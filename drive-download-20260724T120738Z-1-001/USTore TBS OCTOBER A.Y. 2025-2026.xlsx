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TOBER 2025 - TBS" sheetId="1" r:id="rId5"/>
    <sheet state="visible" name="NOVEMBER 2025 - TBS" sheetId="2" r:id="rId6"/>
    <sheet state="visible" name="DECEMBER 2025 - TBS" sheetId="3" r:id="rId7"/>
    <sheet state="visible" name="JANUARY 2026 - TBS" sheetId="4" r:id="rId8"/>
    <sheet state="visible" name="FEBRUARY 2026 - TBS" sheetId="5" r:id="rId9"/>
    <sheet state="visible" name="MARCH 2026 - TBS" sheetId="6" r:id="rId10"/>
    <sheet state="visible" name="APRIL 2026 - TBS" sheetId="7" r:id="rId11"/>
    <sheet state="visible" name="MAY 2026 - TBS" sheetId="8" r:id="rId12"/>
    <sheet state="visible" name="JUNE 2026 - TBS" sheetId="9" r:id="rId13"/>
    <sheet state="visible" name="JULY 2026 - TBS" sheetId="10" r:id="rId14"/>
  </sheets>
  <definedNames/>
  <calcPr/>
</workbook>
</file>

<file path=xl/sharedStrings.xml><?xml version="1.0" encoding="utf-8"?>
<sst xmlns="http://schemas.openxmlformats.org/spreadsheetml/2006/main" count="2022" uniqueCount="410">
  <si>
    <t>TOTAL QUANTITY</t>
  </si>
  <si>
    <t>ITEM PRICE</t>
  </si>
  <si>
    <t>FOR REMITTANCE</t>
  </si>
  <si>
    <t>LEGEND</t>
  </si>
  <si>
    <t>USTORE (PAID)</t>
  </si>
  <si>
    <t>NO OPERATION</t>
  </si>
  <si>
    <t>Black Eco Bag</t>
  </si>
  <si>
    <t>NAPOLIZ ENTERPRISES</t>
  </si>
  <si>
    <t>Back pack</t>
  </si>
  <si>
    <t>Support Staff General Assembly 2025</t>
  </si>
  <si>
    <t>Clappers</t>
  </si>
  <si>
    <t>EVM (Enriched Virtual Mode)</t>
  </si>
  <si>
    <t>Feast of the Black Nazarene</t>
  </si>
  <si>
    <t>C. Keychain</t>
  </si>
  <si>
    <t>WITH PO</t>
  </si>
  <si>
    <t>Cane Umbrella</t>
  </si>
  <si>
    <t>Thomasian Kit</t>
  </si>
  <si>
    <t>Hoodies Breaker</t>
  </si>
  <si>
    <t>Preparation for USTET Selling</t>
  </si>
  <si>
    <t>Lanyard @180</t>
  </si>
  <si>
    <t>CLASS SUSPENSION</t>
  </si>
  <si>
    <t>Double Canopy</t>
  </si>
  <si>
    <t>BENCH-MARKING</t>
  </si>
  <si>
    <t>College Sticker @120</t>
  </si>
  <si>
    <t>STORE MAINTENANCE</t>
  </si>
  <si>
    <t>Laptop Bag</t>
  </si>
  <si>
    <t>USTET Selling Day</t>
  </si>
  <si>
    <t>Tote Bag Canvas White @160</t>
  </si>
  <si>
    <t>INVENTORY</t>
  </si>
  <si>
    <t>MathEd Selling</t>
  </si>
  <si>
    <t>Shirts</t>
  </si>
  <si>
    <t>Cleaning after USTET</t>
  </si>
  <si>
    <t>Tote Viva Santo Tomas</t>
  </si>
  <si>
    <t>Sling Bag</t>
  </si>
  <si>
    <t>Tote ONE FOR UST</t>
  </si>
  <si>
    <t>TOTAL SELLING DAYS</t>
  </si>
  <si>
    <t>Aquaflask</t>
  </si>
  <si>
    <t>Tote Bag Black</t>
  </si>
  <si>
    <t>16 DAYS</t>
  </si>
  <si>
    <t>Scarf @490</t>
  </si>
  <si>
    <t>Inventory</t>
  </si>
  <si>
    <t>Tote Bag White</t>
  </si>
  <si>
    <t>Feast of St. Thomas Aquinas</t>
  </si>
  <si>
    <t>11 DAYS</t>
  </si>
  <si>
    <t>Chibi Stickers</t>
  </si>
  <si>
    <t>TOTAL</t>
  </si>
  <si>
    <t>JYL ATHLETICA</t>
  </si>
  <si>
    <t>Button Pin (Small)</t>
  </si>
  <si>
    <t>18 DAYS</t>
  </si>
  <si>
    <t>GT 375</t>
  </si>
  <si>
    <t>Button Pin (Big)</t>
  </si>
  <si>
    <t>17 DAYS</t>
  </si>
  <si>
    <t>Jacket</t>
  </si>
  <si>
    <t>Umb ONE FOR UST</t>
  </si>
  <si>
    <t>Corp Jacket</t>
  </si>
  <si>
    <t>Utensils</t>
  </si>
  <si>
    <t>Corp Windbreaker</t>
  </si>
  <si>
    <t>Tiger Plushie Small</t>
  </si>
  <si>
    <t xml:space="preserve">                                                                                                                     </t>
  </si>
  <si>
    <t>Cotton Brush Jacket</t>
  </si>
  <si>
    <t>Tiger Plushie Big</t>
  </si>
  <si>
    <t>Automatic Umbrella</t>
  </si>
  <si>
    <t>Cotton Gray Jacket</t>
  </si>
  <si>
    <t>MJ Sticker Small</t>
  </si>
  <si>
    <t>Cotton Black Jacket</t>
  </si>
  <si>
    <t>Machete v2</t>
  </si>
  <si>
    <t>MJ Sticker Medium</t>
  </si>
  <si>
    <t>Taslan NEW</t>
  </si>
  <si>
    <t>MJ Sticker Large</t>
  </si>
  <si>
    <t>Poloshirt 123456 @860</t>
  </si>
  <si>
    <t>MJ Sticker Bundle</t>
  </si>
  <si>
    <t>Poloshirt @800</t>
  </si>
  <si>
    <t>Notelet</t>
  </si>
  <si>
    <t>Subli. Shirt 2 colors</t>
  </si>
  <si>
    <t>Bookmark</t>
  </si>
  <si>
    <t>Pencil</t>
  </si>
  <si>
    <t>VB Jersey with Sig. @2800</t>
  </si>
  <si>
    <t>Yellow Notebook</t>
  </si>
  <si>
    <t>VB Jersey without Sig @1000</t>
  </si>
  <si>
    <t>ID Case @20</t>
  </si>
  <si>
    <t>VB Jersey without Sig @1500</t>
  </si>
  <si>
    <t>VB Jersey without Sig @2000</t>
  </si>
  <si>
    <t>ID Case v2 @40</t>
  </si>
  <si>
    <t xml:space="preserve"> </t>
  </si>
  <si>
    <t>BASE BALL SHIRT</t>
  </si>
  <si>
    <t>Yellow Lanyard</t>
  </si>
  <si>
    <t>DRI-FIT NEW</t>
  </si>
  <si>
    <t>5M Rotating Keychain</t>
  </si>
  <si>
    <t>QUIANA SUBLI SHIRT (B&amp;Y)</t>
  </si>
  <si>
    <t>5M Magnetic Pin</t>
  </si>
  <si>
    <t>Insignia Pen</t>
  </si>
  <si>
    <t>JUC</t>
  </si>
  <si>
    <t>UST College ID Lace</t>
  </si>
  <si>
    <t>Blanca Pen</t>
  </si>
  <si>
    <t>Picasso Pen</t>
  </si>
  <si>
    <t>WITH PO - 123551</t>
  </si>
  <si>
    <t>GROWLING HOODIE</t>
  </si>
  <si>
    <t>Travel Mug</t>
  </si>
  <si>
    <t>UST OAT Hoodie Jacket</t>
  </si>
  <si>
    <t>Stainless Eco Tumbler</t>
  </si>
  <si>
    <t>Powerbank</t>
  </si>
  <si>
    <t>UST OAT MUG (Y,W)</t>
  </si>
  <si>
    <t>MJ Charger</t>
  </si>
  <si>
    <t>UST OAT MUG (B)</t>
  </si>
  <si>
    <t>USTORE Voucher (200)</t>
  </si>
  <si>
    <t>USTORE Voucher (500)</t>
  </si>
  <si>
    <t>UST OAT T-Shirt Y/B/COLLEGE</t>
  </si>
  <si>
    <t>USTORE Voucher (1000)</t>
  </si>
  <si>
    <t>UST Sweatshirt Sporty</t>
  </si>
  <si>
    <t>UST T-Shirt Santo Tomas Shirt/UST T-Shirt Tiger Pattern/HAPPY</t>
  </si>
  <si>
    <t>JUC (CONSIGNMENT)</t>
  </si>
  <si>
    <t>Shirts all @450 UPSIZE (3XL-4XL)</t>
  </si>
  <si>
    <t>PO 124807</t>
  </si>
  <si>
    <t>Shirts all @450 UPSIZE (5XL)</t>
  </si>
  <si>
    <t>UST T-Shirt Sporty</t>
  </si>
  <si>
    <t>UST T-Shirt Sporty UPSIZE (3XL-5XL)</t>
  </si>
  <si>
    <t>PO 124599</t>
  </si>
  <si>
    <t>OAT Tote Bag (Phased Out)</t>
  </si>
  <si>
    <t>PO 125388</t>
  </si>
  <si>
    <t>Bomber Jacket</t>
  </si>
  <si>
    <t>UST OAT MUG (Y,W,B)</t>
  </si>
  <si>
    <t>USTORE</t>
  </si>
  <si>
    <t>UST OAT MUG (Pure Black)</t>
  </si>
  <si>
    <t>Charger</t>
  </si>
  <si>
    <t>Bag</t>
  </si>
  <si>
    <t>Eco Bag</t>
  </si>
  <si>
    <t>Thomasian Kit Set</t>
  </si>
  <si>
    <t>BLAZE (CONSIGNMENT)</t>
  </si>
  <si>
    <t>Polo Shirt @800</t>
  </si>
  <si>
    <t>Lanyard @190</t>
  </si>
  <si>
    <t>PO 124820</t>
  </si>
  <si>
    <t>White Embro</t>
  </si>
  <si>
    <t>Black Embro</t>
  </si>
  <si>
    <t>NB @75</t>
  </si>
  <si>
    <t>Triple Black Embro</t>
  </si>
  <si>
    <t>NB @100</t>
  </si>
  <si>
    <t>Sash Big</t>
  </si>
  <si>
    <t>SHIRT HAPPENS</t>
  </si>
  <si>
    <t>ABSC College Shirt (60th)</t>
  </si>
  <si>
    <t>PO 124797</t>
  </si>
  <si>
    <t>Sash Small</t>
  </si>
  <si>
    <t>Shabby Hat</t>
  </si>
  <si>
    <t>PO 124823</t>
  </si>
  <si>
    <t xml:space="preserve">Go Fight UST Shirt </t>
  </si>
  <si>
    <t>PO 125389</t>
  </si>
  <si>
    <t>New Tiger Plushie Big @850</t>
  </si>
  <si>
    <t>JYL ATHLETICA (CONSIGNMENT)</t>
  </si>
  <si>
    <t>New Tiger Plushie Small @750</t>
  </si>
  <si>
    <t>ARTS AND LETTERS (SHIRT HAPPENS)</t>
  </si>
  <si>
    <t>Tiger Stuff Toy Small Grad</t>
  </si>
  <si>
    <t>PO 124824</t>
  </si>
  <si>
    <t>Machete V2</t>
  </si>
  <si>
    <t>Tote Bag CGEEE!</t>
  </si>
  <si>
    <t xml:space="preserve">Tote Bag Canvas White </t>
  </si>
  <si>
    <t>PO 125390</t>
  </si>
  <si>
    <t>PO 124800</t>
  </si>
  <si>
    <t>Tote (One For UST)</t>
  </si>
  <si>
    <t>Tote (Viva)</t>
  </si>
  <si>
    <t>PO 125391</t>
  </si>
  <si>
    <t>Corp Jacket V3</t>
  </si>
  <si>
    <t>Tumbler</t>
  </si>
  <si>
    <t>Umb. Cane</t>
  </si>
  <si>
    <t>Umb (One For UST)</t>
  </si>
  <si>
    <t>Umb Old @250</t>
  </si>
  <si>
    <t>Baseball Shirt (Y,W)</t>
  </si>
  <si>
    <t>Tiger BUNDLE</t>
  </si>
  <si>
    <t>NEW TRENDS (PAID)</t>
  </si>
  <si>
    <t>Pen with BOX</t>
  </si>
  <si>
    <t>Utensil</t>
  </si>
  <si>
    <t>STITCH CORP. (BLEEVES CONSIGNMENT)</t>
  </si>
  <si>
    <t>Baseball Cap METAL @380</t>
  </si>
  <si>
    <t>QUIANA SUBLI SHIRT (B&amp;Y), 2 TONED</t>
  </si>
  <si>
    <t>PO 124815</t>
  </si>
  <si>
    <t>Baseball Cap VELCRO @380</t>
  </si>
  <si>
    <t>Clock @550</t>
  </si>
  <si>
    <t>C. Sticker @120</t>
  </si>
  <si>
    <t>Clock @700</t>
  </si>
  <si>
    <t xml:space="preserve">Wearable Blanket </t>
  </si>
  <si>
    <t>Paper weight @330</t>
  </si>
  <si>
    <t>Tiger w/ Box</t>
  </si>
  <si>
    <t>PO 124802</t>
  </si>
  <si>
    <t>STITCH CORP. (BLEEVES PAID)</t>
  </si>
  <si>
    <t>Ballpen 2 Designs @50 (B&amp;Y)</t>
  </si>
  <si>
    <t>Bamboo Pen @60</t>
  </si>
  <si>
    <t>PO 125392</t>
  </si>
  <si>
    <t>Bamboo Notebook @150</t>
  </si>
  <si>
    <t>Kraft Notebook @130</t>
  </si>
  <si>
    <t>Corp Jacket V2</t>
  </si>
  <si>
    <t>NAPOLIZ ENTERPRISES (CONSIGNMENT)</t>
  </si>
  <si>
    <t>Back Pack</t>
  </si>
  <si>
    <t>PO 124814</t>
  </si>
  <si>
    <t>Ballpen 3 Designs @50 (B,Y,W)</t>
  </si>
  <si>
    <t>VARSITY LIFESTYLE (CONSIGNMENT)</t>
  </si>
  <si>
    <t>VL Sticker Pack</t>
  </si>
  <si>
    <t>PO 124803</t>
  </si>
  <si>
    <t>PO 124813</t>
  </si>
  <si>
    <t>Long Sticker</t>
  </si>
  <si>
    <t>Discounted Yellow Lanyard @80</t>
  </si>
  <si>
    <t>Keychain</t>
  </si>
  <si>
    <t>Baller</t>
  </si>
  <si>
    <t>PO 125393</t>
  </si>
  <si>
    <t>Lanyard</t>
  </si>
  <si>
    <t>PO 124804</t>
  </si>
  <si>
    <t>Scarves</t>
  </si>
  <si>
    <t xml:space="preserve">Shirts </t>
  </si>
  <si>
    <t>New GT Shirts</t>
  </si>
  <si>
    <t>Sweatshirt (NEW)</t>
  </si>
  <si>
    <t>PO 125394</t>
  </si>
  <si>
    <t>MADEBYRUZ CONSUMER GOODS TRADING (CONSIGNMENT)</t>
  </si>
  <si>
    <t>Chibi Stickers (S1,S2)</t>
  </si>
  <si>
    <t>Small Mystery Car</t>
  </si>
  <si>
    <t>Button Pins Small</t>
  </si>
  <si>
    <t>PO 124812</t>
  </si>
  <si>
    <t>Big Car</t>
  </si>
  <si>
    <t>Button Pins Big</t>
  </si>
  <si>
    <t>Tiger Costume</t>
  </si>
  <si>
    <t xml:space="preserve">Stainless Eco Tumbler </t>
  </si>
  <si>
    <t>Tiger Claw</t>
  </si>
  <si>
    <t xml:space="preserve">Powerbank </t>
  </si>
  <si>
    <t>PO 124596</t>
  </si>
  <si>
    <t>Tiger Paw Keychain @375</t>
  </si>
  <si>
    <t>Tiger Headband (2 Designs)</t>
  </si>
  <si>
    <t>Tiger Claw Keychain @375</t>
  </si>
  <si>
    <t>THREADMARKED (CONSIGNMENT)</t>
  </si>
  <si>
    <t>Go USTE (W,Y,B) @450</t>
  </si>
  <si>
    <t xml:space="preserve">Y,B VL UST </t>
  </si>
  <si>
    <t>Oversized shirt (V,B) @650</t>
  </si>
  <si>
    <t>TET AND DARS</t>
  </si>
  <si>
    <t>Arch @320</t>
  </si>
  <si>
    <t>USTWBT Championship Shirt 2025</t>
  </si>
  <si>
    <t>THREADMARKED (PAID)</t>
  </si>
  <si>
    <t>Two-toned windbreaker @1700</t>
  </si>
  <si>
    <t>Paper Bag BIG @130</t>
  </si>
  <si>
    <t>Hoodie UST embro (V,G,Y,B) @1800</t>
  </si>
  <si>
    <t>Paper Bag SMALL @80</t>
  </si>
  <si>
    <t>Embro Cap</t>
  </si>
  <si>
    <t>PO 125395</t>
  </si>
  <si>
    <t>Keychain @180</t>
  </si>
  <si>
    <t>TET AND DARS (PAID)</t>
  </si>
  <si>
    <t>Main @430</t>
  </si>
  <si>
    <t>Mug @170</t>
  </si>
  <si>
    <t>Pen @40</t>
  </si>
  <si>
    <t>Notebook @220</t>
  </si>
  <si>
    <t>Long Sticker @120</t>
  </si>
  <si>
    <t>Pen @50</t>
  </si>
  <si>
    <t>Logo Sticker @25</t>
  </si>
  <si>
    <t>PO 125396</t>
  </si>
  <si>
    <t>TIGER FLASK</t>
  </si>
  <si>
    <t>480ML Tumbler (MKA-KO48) Push Button Lid Anti-Bacterial</t>
  </si>
  <si>
    <t>PO 124557</t>
  </si>
  <si>
    <t>500ML Tumbler (MTA-T050) For Carbonated Drinks</t>
  </si>
  <si>
    <t>800ML Tumbler (MTA-T080) for Carbonated Drinks</t>
  </si>
  <si>
    <t>STITCH CORP. (BLEEVES)</t>
  </si>
  <si>
    <t>1.2L Tumbler (MTA-T120) for Carbonated Drinks</t>
  </si>
  <si>
    <t>(Consignment)</t>
  </si>
  <si>
    <t>1.5 Tumbler (MTA-T150) for Carbonated Drinks</t>
  </si>
  <si>
    <t>800ml Sports Tumbler (MCZ-2080) screw lid anti bacterial</t>
  </si>
  <si>
    <t>PO 123772</t>
  </si>
  <si>
    <t>280ml Desk Mug</t>
  </si>
  <si>
    <t>0.8 B1T1 Tumbler 2 way lid</t>
  </si>
  <si>
    <t xml:space="preserve">Arch @350 </t>
  </si>
  <si>
    <t>0.50L B1T1 Tumbler (MCX-A501) Push Button Lid</t>
  </si>
  <si>
    <t>0.50L B1T1 Tumbler (MCY-A050) Screw Lid</t>
  </si>
  <si>
    <t>(Paid)</t>
  </si>
  <si>
    <t>ASSOCIATION FOR THE EDUCATIONAL ASSISTANCE OF POOR SEMINARIANS, INC.</t>
  </si>
  <si>
    <t>Woven Sling Bag (SMALL)</t>
  </si>
  <si>
    <t>Woven Sling Bag (LARGE)</t>
  </si>
  <si>
    <t xml:space="preserve">Logo Sticker @30 </t>
  </si>
  <si>
    <t>Woven Tote Bag (SMALL)</t>
  </si>
  <si>
    <t>Woven Tote Bag (BIG)</t>
  </si>
  <si>
    <t>Logo Keychain @200</t>
  </si>
  <si>
    <t>GRAND TOTAL</t>
  </si>
  <si>
    <t>BLAZE</t>
  </si>
  <si>
    <t>Crew Neck Shirt @475</t>
  </si>
  <si>
    <t>PO123775</t>
  </si>
  <si>
    <t>PO 125397</t>
  </si>
  <si>
    <t>Socks @375</t>
  </si>
  <si>
    <t>MITSUI</t>
  </si>
  <si>
    <t>Stylus pen @45</t>
  </si>
  <si>
    <t>280ml Desk Mug / MCIA028</t>
  </si>
  <si>
    <t>Retractable @25</t>
  </si>
  <si>
    <t>CENTRAL SEMINARY</t>
  </si>
  <si>
    <t>Sublimation Shirt</t>
  </si>
  <si>
    <t>IPEA</t>
  </si>
  <si>
    <t>IPEA Shirt</t>
  </si>
  <si>
    <t>NEW TRENDS</t>
  </si>
  <si>
    <t>UST-Pen W/Box</t>
  </si>
  <si>
    <t>MADEBYRUZ CONSUMER GOODS TRADING</t>
  </si>
  <si>
    <t>PO 123778</t>
  </si>
  <si>
    <t>PO 123793</t>
  </si>
  <si>
    <t>VARSITY LIFESTYLE</t>
  </si>
  <si>
    <t>PO 123794</t>
  </si>
  <si>
    <t>Caps</t>
  </si>
  <si>
    <t>Hoodie</t>
  </si>
  <si>
    <t>Oversized Sweatshirt</t>
  </si>
  <si>
    <t>Sticker Pack</t>
  </si>
  <si>
    <t>Varsity Jacket</t>
  </si>
  <si>
    <t xml:space="preserve">GRAND TOTAL </t>
  </si>
  <si>
    <t>PHP</t>
  </si>
  <si>
    <t>Operational Planning AY 2026-2027</t>
  </si>
  <si>
    <t>Chinese New Year</t>
  </si>
  <si>
    <t xml:space="preserve">USTore General Suppliers Meeting </t>
  </si>
  <si>
    <t>EDSA People Power</t>
  </si>
  <si>
    <t>Inventory for the month of March</t>
  </si>
  <si>
    <t>UST ALAB: Retreat 2026</t>
  </si>
  <si>
    <t>Eid'l Fitr Holiday</t>
  </si>
  <si>
    <t>EVM (due to jeepney strike)</t>
  </si>
  <si>
    <t>UST Volleyball Game Selling</t>
  </si>
  <si>
    <t>16 days</t>
  </si>
  <si>
    <t>Invty. Mezzanine</t>
  </si>
  <si>
    <t>Holiday (Day of Valor)</t>
  </si>
  <si>
    <t>EVM (transport strike) and as per UST</t>
  </si>
  <si>
    <t xml:space="preserve">UST Support Staff Sportsfest 2026 </t>
  </si>
  <si>
    <t>15 days</t>
  </si>
  <si>
    <t>PO 126310</t>
  </si>
  <si>
    <t>PO 126313</t>
  </si>
  <si>
    <t>228 ABSC SHIRTS INCLUDED</t>
  </si>
  <si>
    <t>TOP GUN PHILS.</t>
  </si>
  <si>
    <t>Trucker Cap</t>
  </si>
  <si>
    <t>PO 126316</t>
  </si>
  <si>
    <t>Ceramic Mug 18oz</t>
  </si>
  <si>
    <t>PO 126664</t>
  </si>
  <si>
    <t>UST OAT T-Shirt Y/B/COLLEGE (XS-2XL)</t>
  </si>
  <si>
    <t>UST OAT T-Shirt Y/B/COLLEGE (3XL)</t>
  </si>
  <si>
    <t>TOP GUN PHILS. (PAID)</t>
  </si>
  <si>
    <t>PO 127662</t>
  </si>
  <si>
    <t>Dri-Fit Golden Tigresses</t>
  </si>
  <si>
    <t>PO 126665</t>
  </si>
  <si>
    <t>Jersey Short</t>
  </si>
  <si>
    <t>UST T-Shirt Santo Tomas Shirt/UST T-Shirt Tiger Pattern/HAPPY/Script</t>
  </si>
  <si>
    <t>PO 126314</t>
  </si>
  <si>
    <t>Black w/ Yellow UST Embro</t>
  </si>
  <si>
    <t>PO 126666</t>
  </si>
  <si>
    <t>S88 UAAP Poloshirt</t>
  </si>
  <si>
    <t>PO 126667</t>
  </si>
  <si>
    <t>PO 127663</t>
  </si>
  <si>
    <t>PO 126317</t>
  </si>
  <si>
    <t>SHIRT HAPPENS (CONSIGNMENT)</t>
  </si>
  <si>
    <t>PO 127644</t>
  </si>
  <si>
    <t>PO 127665</t>
  </si>
  <si>
    <t>PO 126318</t>
  </si>
  <si>
    <t>STITCH CORP. (CONSIGNMENT)</t>
  </si>
  <si>
    <t>UAAP Closing 2026</t>
  </si>
  <si>
    <t>PO 126668</t>
  </si>
  <si>
    <t>Eid'l Adha Holiday</t>
  </si>
  <si>
    <t>UST Support Staff Gen. Assembly</t>
  </si>
  <si>
    <t>Afternoon Selling Fray Mhel's Bday</t>
  </si>
  <si>
    <t xml:space="preserve">EVM (transport strike) / General Cleaning </t>
  </si>
  <si>
    <t>Double Canopy (B,Y)</t>
  </si>
  <si>
    <t>HIYAS 2026</t>
  </si>
  <si>
    <t>STITCH CORP. (PAID)</t>
  </si>
  <si>
    <t>15 DAYS</t>
  </si>
  <si>
    <t>COLLEGE OF SCIENCE AT 100</t>
  </si>
  <si>
    <t>Sci Notebook</t>
  </si>
  <si>
    <t>Sci Ballpen</t>
  </si>
  <si>
    <t>Sci Totebag</t>
  </si>
  <si>
    <t>PO 126319</t>
  </si>
  <si>
    <t>PO 126669</t>
  </si>
  <si>
    <t>PO 127666</t>
  </si>
  <si>
    <t>PO 126670</t>
  </si>
  <si>
    <t>VL Keychain</t>
  </si>
  <si>
    <t>PO 126321</t>
  </si>
  <si>
    <t>Keep Growling OS (B,V)</t>
  </si>
  <si>
    <t>UST Embro OS (B,V)</t>
  </si>
  <si>
    <t>PO 126671</t>
  </si>
  <si>
    <t>PO 127667</t>
  </si>
  <si>
    <t>PO 127668</t>
  </si>
  <si>
    <t>1 - 600</t>
  </si>
  <si>
    <t>UST Arch Clicker</t>
  </si>
  <si>
    <t>VL Lanyard</t>
  </si>
  <si>
    <t>UST Logo Clicker</t>
  </si>
  <si>
    <t>PO 127414</t>
  </si>
  <si>
    <t>UST TIGERS Oversized shirt (V,B) @650</t>
  </si>
  <si>
    <t>PO 127669</t>
  </si>
  <si>
    <t>UST OAT MUG (Pure Black) PHASED OUT</t>
  </si>
  <si>
    <t>Varsity Jacket Embro</t>
  </si>
  <si>
    <t>PO 127418</t>
  </si>
  <si>
    <t>UST 1611 Embro Shirt (B,V)</t>
  </si>
  <si>
    <t>UST Logo Embro Polo Shirt (XS-XL)</t>
  </si>
  <si>
    <t>UST Logo Embro Polo Shirt (2XL-3XL)</t>
  </si>
  <si>
    <t>PO 126673</t>
  </si>
  <si>
    <t>PO 127536</t>
  </si>
  <si>
    <t>UST Keyboard Clicker (Fidget)</t>
  </si>
  <si>
    <t>UST 3D Keychain</t>
  </si>
  <si>
    <t>PO 127537</t>
  </si>
  <si>
    <t>Canvass Bag</t>
  </si>
  <si>
    <t>Leather Bag</t>
  </si>
  <si>
    <t>PO 127538</t>
  </si>
  <si>
    <t>PO 127539</t>
  </si>
  <si>
    <t>PO 127540</t>
  </si>
  <si>
    <t>PO 127541</t>
  </si>
  <si>
    <t>Manila Day (Holiday)</t>
  </si>
  <si>
    <t>Independence Day</t>
  </si>
  <si>
    <t>B. Lanyard @180</t>
  </si>
  <si>
    <t>EVM (transport strike) as per UST</t>
  </si>
  <si>
    <t>Monthly Inventory</t>
  </si>
  <si>
    <t>18 days</t>
  </si>
  <si>
    <t>Tiger Plushie Small V1</t>
  </si>
  <si>
    <t>SM Tiger Plushie V2</t>
  </si>
  <si>
    <t>Tiger Plushie Big V1</t>
  </si>
  <si>
    <t>Benchmarking</t>
  </si>
  <si>
    <t>Gemini Paper Bag Small</t>
  </si>
  <si>
    <t>Gemini Paper Bag Medium</t>
  </si>
  <si>
    <t>Gemini Paper Bag Large</t>
  </si>
  <si>
    <t>USTore Thanksgiving Party</t>
  </si>
  <si>
    <t>Store Maintenance</t>
  </si>
  <si>
    <t>SM Tiger Plushie Small V2</t>
  </si>
  <si>
    <t>SM Tiger Plushie Big V2</t>
  </si>
  <si>
    <t>Triple White Embro</t>
  </si>
  <si>
    <t>UST Toddler Hoodie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</si>
</sst>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 yyyy"/>
    <numFmt numFmtId="165" formatCode="mmm&quot;-&quot;d"/>
    <numFmt numFmtId="166" formatCode="mmm yyyy"/>
    <numFmt numFmtId="167" formatCode="[$₱]#,##0.00"/>
  </numFmts>
  <fonts count="24">
    <font>
      <sz val="10.0"/>
      <color rgb="FF000000"/>
      <name val="Arial"/>
      <scheme val="minor"/>
    </font>
    <font>
      <b/>
      <sz val="13.0"/>
      <color theme="1"/>
      <name val="Arial"/>
    </font>
    <font>
      <b/>
      <sz val="11.0"/>
      <color theme="1"/>
      <name val="Arial"/>
    </font>
    <font>
      <b/>
      <sz val="12.0"/>
      <color theme="1"/>
      <name val="Arial Narrow"/>
    </font>
    <font>
      <b/>
      <sz val="12.0"/>
      <color theme="1"/>
      <name val="Arial"/>
      <scheme val="minor"/>
    </font>
    <font/>
    <font>
      <b/>
      <sz val="14.0"/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b/>
      <sz val="14.0"/>
      <color theme="1"/>
      <name val="Arial Narrow"/>
    </font>
    <font>
      <color theme="1"/>
      <name val="Arial"/>
    </font>
    <font>
      <sz val="12.0"/>
      <color theme="1"/>
      <name val="Arial Narrow"/>
    </font>
    <font>
      <b/>
      <sz val="11.0"/>
      <color theme="1"/>
      <name val="Arial"/>
      <scheme val="minor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sz val="12.0"/>
      <color theme="1"/>
      <name val="Arial"/>
      <scheme val="minor"/>
    </font>
    <font>
      <b/>
      <sz val="13.0"/>
      <color theme="1"/>
      <name val="Arial Narrow"/>
    </font>
    <font>
      <sz val="16.0"/>
      <color theme="1"/>
      <name val="Arial"/>
    </font>
    <font>
      <sz val="15.0"/>
      <color theme="1"/>
      <name val="Arial"/>
    </font>
    <font>
      <b/>
      <sz val="16.0"/>
      <color theme="1"/>
      <name val="Arial"/>
    </font>
    <font>
      <sz val="12.0"/>
      <color theme="1"/>
      <name val="Arial"/>
    </font>
    <font>
      <b/>
      <sz val="16.0"/>
      <color theme="1"/>
      <name val="Arial Narrow"/>
    </font>
    <font>
      <sz val="17.0"/>
      <color theme="1"/>
      <name val="Arial"/>
    </font>
    <font>
      <b/>
      <sz val="11.0"/>
      <color rgb="FF000000"/>
      <name val="Arial"/>
      <scheme val="minor"/>
    </font>
  </fonts>
  <fills count="31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theme="8"/>
        <bgColor theme="8"/>
      </patternFill>
    </fill>
    <fill>
      <patternFill patternType="solid">
        <fgColor rgb="FF4A86E8"/>
        <bgColor rgb="FF4A86E8"/>
      </patternFill>
    </fill>
    <fill>
      <patternFill patternType="solid">
        <fgColor theme="6"/>
        <bgColor theme="6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69351F"/>
        <bgColor rgb="FF69351F"/>
      </patternFill>
    </fill>
    <fill>
      <patternFill patternType="solid">
        <fgColor rgb="FFFFFF00"/>
        <bgColor rgb="FFFFFF00"/>
      </patternFill>
    </fill>
    <fill>
      <patternFill patternType="solid">
        <fgColor rgb="FF7F6000"/>
        <bgColor rgb="FF7F6000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783F04"/>
        <bgColor rgb="FF783F04"/>
      </patternFill>
    </fill>
    <fill>
      <patternFill patternType="solid">
        <fgColor rgb="FF6FA8DC"/>
        <bgColor rgb="FF6FA8DC"/>
      </patternFill>
    </fill>
    <fill>
      <patternFill patternType="solid">
        <fgColor rgb="FFB45F06"/>
        <bgColor rgb="FFB45F06"/>
      </patternFill>
    </fill>
    <fill>
      <patternFill patternType="solid">
        <fgColor rgb="FF6D9EEB"/>
        <bgColor rgb="FF6D9EEB"/>
      </patternFill>
    </fill>
    <fill>
      <patternFill patternType="solid">
        <fgColor rgb="FF980000"/>
        <bgColor rgb="FF980000"/>
      </patternFill>
    </fill>
    <fill>
      <patternFill patternType="solid">
        <fgColor rgb="FF6AA84F"/>
        <bgColor rgb="FF6AA84F"/>
      </patternFill>
    </fill>
    <fill>
      <patternFill patternType="solid">
        <fgColor rgb="FF0000FF"/>
        <bgColor rgb="FF0000FF"/>
      </patternFill>
    </fill>
    <fill>
      <patternFill patternType="solid">
        <fgColor rgb="FFA64D79"/>
        <bgColor rgb="FFA64D79"/>
      </patternFill>
    </fill>
    <fill>
      <patternFill patternType="solid">
        <fgColor theme="5"/>
        <bgColor theme="5"/>
      </patternFill>
    </fill>
    <fill>
      <patternFill patternType="solid">
        <fgColor rgb="FF85200C"/>
        <bgColor rgb="FF85200C"/>
      </patternFill>
    </fill>
    <fill>
      <patternFill patternType="solid">
        <fgColor theme="4"/>
        <bgColor theme="4"/>
      </patternFill>
    </fill>
    <fill>
      <patternFill patternType="solid">
        <fgColor rgb="FF93C47D"/>
        <bgColor rgb="FF93C47D"/>
      </patternFill>
    </fill>
    <fill>
      <patternFill patternType="solid">
        <fgColor theme="7"/>
        <bgColor theme="7"/>
      </patternFill>
    </fill>
  </fills>
  <borders count="4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left style="medium">
        <color rgb="FF000000"/>
      </lef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850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shrinkToFit="0" vertical="center" wrapText="1"/>
    </xf>
    <xf borderId="1" fillId="2" fontId="2" numFmtId="165" xfId="0" applyAlignment="1" applyBorder="1" applyFont="1" applyNumberFormat="1">
      <alignment horizontal="center" readingOrder="0" textRotation="90" vertical="center"/>
    </xf>
    <xf borderId="1" fillId="3" fontId="2" numFmtId="165" xfId="0" applyAlignment="1" applyBorder="1" applyFill="1" applyFont="1" applyNumberFormat="1">
      <alignment horizontal="center" readingOrder="0" textRotation="90" vertical="center"/>
    </xf>
    <xf borderId="1" fillId="4" fontId="2" numFmtId="165" xfId="0" applyAlignment="1" applyBorder="1" applyFill="1" applyFont="1" applyNumberFormat="1">
      <alignment horizontal="center" readingOrder="0" textRotation="90" vertical="center"/>
    </xf>
    <xf borderId="1" fillId="5" fontId="3" numFmtId="166" xfId="0" applyAlignment="1" applyBorder="1" applyFill="1" applyFont="1" applyNumberFormat="1">
      <alignment horizontal="center" readingOrder="0" vertical="center"/>
    </xf>
    <xf borderId="1" fillId="6" fontId="2" numFmtId="165" xfId="0" applyAlignment="1" applyBorder="1" applyFill="1" applyFont="1" applyNumberFormat="1">
      <alignment horizontal="center" readingOrder="0" textRotation="90" vertical="center"/>
    </xf>
    <xf borderId="1" fillId="5" fontId="3" numFmtId="165" xfId="0" applyAlignment="1" applyBorder="1" applyFont="1" applyNumberFormat="1">
      <alignment horizontal="center" readingOrder="0" textRotation="90" vertical="center"/>
    </xf>
    <xf borderId="1" fillId="7" fontId="2" numFmtId="165" xfId="0" applyAlignment="1" applyBorder="1" applyFill="1" applyFont="1" applyNumberFormat="1">
      <alignment horizontal="center" readingOrder="0" textRotation="90" vertical="center"/>
    </xf>
    <xf borderId="1" fillId="8" fontId="2" numFmtId="165" xfId="0" applyAlignment="1" applyBorder="1" applyFill="1" applyFont="1" applyNumberFormat="1">
      <alignment horizontal="center" readingOrder="0" textRotation="90" vertical="center"/>
    </xf>
    <xf borderId="1" fillId="5" fontId="2" numFmtId="165" xfId="0" applyAlignment="1" applyBorder="1" applyFont="1" applyNumberFormat="1">
      <alignment horizontal="center" readingOrder="0" textRotation="90" vertical="center"/>
    </xf>
    <xf borderId="1" fillId="6" fontId="3" numFmtId="165" xfId="0" applyAlignment="1" applyBorder="1" applyFont="1" applyNumberFormat="1">
      <alignment horizontal="center" readingOrder="0" textRotation="90" vertical="center"/>
    </xf>
    <xf borderId="1" fillId="9" fontId="2" numFmtId="165" xfId="0" applyAlignment="1" applyBorder="1" applyFill="1" applyFont="1" applyNumberFormat="1">
      <alignment horizontal="center" readingOrder="0" textRotation="90" vertical="center"/>
    </xf>
    <xf borderId="1" fillId="4" fontId="3" numFmtId="165" xfId="0" applyAlignment="1" applyBorder="1" applyFont="1" applyNumberFormat="1">
      <alignment horizontal="center" readingOrder="0" textRotation="90" vertical="center"/>
    </xf>
    <xf borderId="1" fillId="5" fontId="2" numFmtId="0" xfId="0" applyAlignment="1" applyBorder="1" applyFont="1">
      <alignment horizontal="center" readingOrder="0" shrinkToFit="0" textRotation="0" vertical="center" wrapText="1"/>
    </xf>
    <xf borderId="1" fillId="5" fontId="2" numFmtId="4" xfId="0" applyAlignment="1" applyBorder="1" applyFont="1" applyNumberFormat="1">
      <alignment horizontal="center" shrinkToFit="0" vertical="center" wrapText="1"/>
    </xf>
    <xf borderId="1" fillId="7" fontId="3" numFmtId="165" xfId="0" applyAlignment="1" applyBorder="1" applyFont="1" applyNumberFormat="1">
      <alignment horizontal="center" readingOrder="0" textRotation="90" vertical="center"/>
    </xf>
    <xf borderId="0" fillId="5" fontId="2" numFmtId="4" xfId="0" applyAlignment="1" applyFont="1" applyNumberFormat="1">
      <alignment horizontal="center" shrinkToFit="0" vertical="center" wrapText="1"/>
    </xf>
    <xf borderId="1" fillId="2" fontId="3" numFmtId="165" xfId="0" applyAlignment="1" applyBorder="1" applyFont="1" applyNumberFormat="1">
      <alignment horizontal="center" readingOrder="0" textRotation="90" vertical="center"/>
    </xf>
    <xf borderId="1" fillId="10" fontId="2" numFmtId="165" xfId="0" applyAlignment="1" applyBorder="1" applyFill="1" applyFont="1" applyNumberFormat="1">
      <alignment horizontal="center" readingOrder="0" textRotation="90" vertical="center"/>
    </xf>
    <xf borderId="2" fillId="5" fontId="4" numFmtId="0" xfId="0" applyAlignment="1" applyBorder="1" applyFont="1">
      <alignment horizontal="center" readingOrder="0" vertical="center"/>
    </xf>
    <xf borderId="1" fillId="11" fontId="3" numFmtId="165" xfId="0" applyAlignment="1" applyBorder="1" applyFill="1" applyFont="1" applyNumberFormat="1">
      <alignment horizontal="center" readingOrder="0" textRotation="90" vertical="center"/>
    </xf>
    <xf borderId="3" fillId="0" fontId="5" numFmtId="0" xfId="0" applyBorder="1" applyFont="1"/>
    <xf borderId="1" fillId="8" fontId="3" numFmtId="165" xfId="0" applyAlignment="1" applyBorder="1" applyFont="1" applyNumberFormat="1">
      <alignment horizontal="center" readingOrder="0" textRotation="90" vertical="center"/>
    </xf>
    <xf borderId="4" fillId="12" fontId="6" numFmtId="4" xfId="0" applyAlignment="1" applyBorder="1" applyFill="1" applyFont="1" applyNumberFormat="1">
      <alignment readingOrder="0"/>
    </xf>
    <xf borderId="1" fillId="13" fontId="3" numFmtId="165" xfId="0" applyAlignment="1" applyBorder="1" applyFill="1" applyFont="1" applyNumberFormat="1">
      <alignment horizontal="center" readingOrder="0" textRotation="90" vertical="center"/>
    </xf>
    <xf borderId="5" fillId="0" fontId="5" numFmtId="0" xfId="0" applyBorder="1" applyFont="1"/>
    <xf borderId="1" fillId="14" fontId="2" numFmtId="165" xfId="0" applyAlignment="1" applyBorder="1" applyFill="1" applyFont="1" applyNumberFormat="1">
      <alignment horizontal="center" readingOrder="0" textRotation="90" vertical="center"/>
    </xf>
    <xf borderId="6" fillId="0" fontId="5" numFmtId="0" xfId="0" applyBorder="1" applyFont="1"/>
    <xf borderId="1" fillId="6" fontId="7" numFmtId="0" xfId="0" applyBorder="1" applyFont="1"/>
    <xf borderId="1" fillId="14" fontId="3" numFmtId="165" xfId="0" applyAlignment="1" applyBorder="1" applyFont="1" applyNumberFormat="1">
      <alignment horizontal="center" readingOrder="0" textRotation="90" vertical="center"/>
    </xf>
    <xf borderId="1" fillId="0" fontId="7" numFmtId="0" xfId="0" applyAlignment="1" applyBorder="1" applyFont="1">
      <alignment horizontal="left" readingOrder="0"/>
    </xf>
    <xf borderId="1" fillId="5" fontId="3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readingOrder="0"/>
    </xf>
    <xf borderId="1" fillId="3" fontId="8" numFmtId="0" xfId="0" applyAlignment="1" applyBorder="1" applyFont="1">
      <alignment horizontal="center"/>
    </xf>
    <xf borderId="1" fillId="5" fontId="3" numFmtId="4" xfId="0" applyAlignment="1" applyBorder="1" applyFont="1" applyNumberFormat="1">
      <alignment horizontal="center" shrinkToFit="0" vertical="center" wrapText="1"/>
    </xf>
    <xf borderId="1" fillId="15" fontId="8" numFmtId="0" xfId="0" applyAlignment="1" applyBorder="1" applyFill="1" applyFont="1">
      <alignment horizontal="center" readingOrder="0"/>
    </xf>
    <xf borderId="0" fillId="5" fontId="3" numFmtId="4" xfId="0" applyAlignment="1" applyFont="1" applyNumberFormat="1">
      <alignment horizontal="center" shrinkToFit="0" vertical="center" wrapText="1"/>
    </xf>
    <xf borderId="1" fillId="15" fontId="8" numFmtId="0" xfId="0" applyAlignment="1" applyBorder="1" applyFont="1">
      <alignment horizontal="center"/>
    </xf>
    <xf borderId="1" fillId="15" fontId="8" numFmtId="0" xfId="0" applyAlignment="1" applyBorder="1" applyFont="1">
      <alignment readingOrder="0"/>
    </xf>
    <xf borderId="1" fillId="4" fontId="8" numFmtId="0" xfId="0" applyBorder="1" applyFont="1"/>
    <xf borderId="1" fillId="7" fontId="8" numFmtId="0" xfId="0" applyBorder="1" applyFont="1"/>
    <xf borderId="1" fillId="15" fontId="8" numFmtId="0" xfId="0" applyAlignment="1" applyBorder="1" applyFont="1">
      <alignment horizontal="center" vertical="bottom"/>
    </xf>
    <xf borderId="1" fillId="8" fontId="8" numFmtId="0" xfId="0" applyAlignment="1" applyBorder="1" applyFont="1">
      <alignment readingOrder="0"/>
    </xf>
    <xf borderId="4" fillId="12" fontId="9" numFmtId="0" xfId="0" applyAlignment="1" applyBorder="1" applyFont="1">
      <alignment readingOrder="0" vertical="center"/>
    </xf>
    <xf borderId="1" fillId="6" fontId="8" numFmtId="0" xfId="0" applyAlignment="1" applyBorder="1" applyFont="1">
      <alignment readingOrder="0"/>
    </xf>
    <xf borderId="1" fillId="15" fontId="10" numFmtId="0" xfId="0" applyAlignment="1" applyBorder="1" applyFont="1">
      <alignment vertical="bottom"/>
    </xf>
    <xf borderId="1" fillId="9" fontId="8" numFmtId="0" xfId="0" applyBorder="1" applyFont="1"/>
    <xf borderId="1" fillId="4" fontId="10" numFmtId="0" xfId="0" applyAlignment="1" applyBorder="1" applyFont="1">
      <alignment vertical="bottom"/>
    </xf>
    <xf borderId="1" fillId="15" fontId="8" numFmtId="0" xfId="0" applyAlignment="1" applyBorder="1" applyFont="1">
      <alignment horizontal="right" vertical="bottom"/>
    </xf>
    <xf borderId="1" fillId="15" fontId="8" numFmtId="0" xfId="0" applyBorder="1" applyFont="1"/>
    <xf borderId="1" fillId="6" fontId="10" numFmtId="0" xfId="0" applyAlignment="1" applyBorder="1" applyFont="1">
      <alignment vertical="bottom"/>
    </xf>
    <xf borderId="5" fillId="12" fontId="9" numFmtId="0" xfId="0" applyAlignment="1" applyBorder="1" applyFont="1">
      <alignment readingOrder="0" vertical="center"/>
    </xf>
    <xf borderId="1" fillId="0" fontId="8" numFmtId="0" xfId="0" applyAlignment="1" applyBorder="1" applyFont="1">
      <alignment horizontal="center"/>
    </xf>
    <xf borderId="1" fillId="15" fontId="10" numFmtId="0" xfId="0" applyAlignment="1" applyBorder="1" applyFont="1">
      <alignment vertical="bottom"/>
    </xf>
    <xf borderId="1" fillId="6" fontId="8" numFmtId="0" xfId="0" applyBorder="1" applyFont="1"/>
    <xf borderId="1" fillId="3" fontId="8" numFmtId="0" xfId="0" applyBorder="1" applyFont="1"/>
    <xf borderId="7" fillId="0" fontId="11" numFmtId="0" xfId="0" applyAlignment="1" applyBorder="1" applyFont="1">
      <alignment vertical="bottom"/>
    </xf>
    <xf borderId="1" fillId="0" fontId="8" numFmtId="0" xfId="0" applyBorder="1" applyFont="1"/>
    <xf borderId="1" fillId="15" fontId="10" numFmtId="0" xfId="0" applyAlignment="1" applyBorder="1" applyFont="1">
      <alignment readingOrder="0" vertical="bottom"/>
    </xf>
    <xf borderId="1" fillId="7" fontId="10" numFmtId="0" xfId="0" applyAlignment="1" applyBorder="1" applyFont="1">
      <alignment vertical="bottom"/>
    </xf>
    <xf borderId="8" fillId="15" fontId="11" numFmtId="4" xfId="0" applyAlignment="1" applyBorder="1" applyFont="1" applyNumberFormat="1">
      <alignment vertical="bottom"/>
    </xf>
    <xf borderId="1" fillId="15" fontId="8" numFmtId="0" xfId="0" applyAlignment="1" applyBorder="1" applyFont="1">
      <alignment horizontal="center" shrinkToFit="0" wrapText="1"/>
    </xf>
    <xf borderId="1" fillId="8" fontId="10" numFmtId="0" xfId="0" applyAlignment="1" applyBorder="1" applyFont="1">
      <alignment readingOrder="0" vertical="bottom"/>
    </xf>
    <xf borderId="1" fillId="15" fontId="11" numFmtId="0" xfId="0" applyAlignment="1" applyBorder="1" applyFont="1">
      <alignment horizontal="center" readingOrder="0" vertical="bottom"/>
    </xf>
    <xf borderId="1" fillId="15" fontId="8" numFmtId="4" xfId="0" applyAlignment="1" applyBorder="1" applyFont="1" applyNumberFormat="1">
      <alignment horizontal="center" readingOrder="0"/>
    </xf>
    <xf borderId="1" fillId="9" fontId="10" numFmtId="0" xfId="0" applyAlignment="1" applyBorder="1" applyFont="1">
      <alignment vertical="bottom"/>
    </xf>
    <xf borderId="1" fillId="6" fontId="11" numFmtId="0" xfId="0" applyAlignment="1" applyBorder="1" applyFont="1">
      <alignment horizontal="center" readingOrder="0" vertical="bottom"/>
    </xf>
    <xf borderId="1" fillId="0" fontId="8" numFmtId="4" xfId="0" applyAlignment="1" applyBorder="1" applyFont="1" applyNumberFormat="1">
      <alignment horizontal="center"/>
    </xf>
    <xf borderId="1" fillId="10" fontId="10" numFmtId="0" xfId="0" applyAlignment="1" applyBorder="1" applyFont="1">
      <alignment vertical="bottom"/>
    </xf>
    <xf borderId="1" fillId="14" fontId="2" numFmtId="0" xfId="0" applyBorder="1" applyFont="1"/>
    <xf borderId="7" fillId="4" fontId="7" numFmtId="0" xfId="0" applyBorder="1" applyFont="1"/>
    <xf borderId="1" fillId="4" fontId="11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left" readingOrder="0" shrinkToFit="0" vertical="center" wrapText="1"/>
    </xf>
    <xf borderId="1" fillId="7" fontId="11" numFmtId="0" xfId="0" applyAlignment="1" applyBorder="1" applyFont="1">
      <alignment horizontal="center" readingOrder="0" vertical="bottom"/>
    </xf>
    <xf borderId="1" fillId="11" fontId="11" numFmtId="0" xfId="0" applyAlignment="1" applyBorder="1" applyFont="1">
      <alignment horizontal="center" readingOrder="0" vertical="bottom"/>
    </xf>
    <xf borderId="1" fillId="8" fontId="11" numFmtId="0" xfId="0" applyAlignment="1" applyBorder="1" applyFont="1">
      <alignment horizontal="center" readingOrder="0" vertical="bottom"/>
    </xf>
    <xf borderId="1" fillId="8" fontId="8" numFmtId="0" xfId="0" applyBorder="1" applyFont="1"/>
    <xf borderId="1" fillId="13" fontId="11" numFmtId="0" xfId="0" applyAlignment="1" applyBorder="1" applyFont="1">
      <alignment horizontal="center" readingOrder="0" vertical="bottom"/>
    </xf>
    <xf borderId="1" fillId="14" fontId="11" numFmtId="0" xfId="0" applyAlignment="1" applyBorder="1" applyFont="1">
      <alignment horizontal="center" readingOrder="0" vertical="bottom"/>
    </xf>
    <xf borderId="1" fillId="0" fontId="8" numFmtId="4" xfId="0" applyAlignment="1" applyBorder="1" applyFont="1" applyNumberFormat="1">
      <alignment horizontal="center" readingOrder="0"/>
    </xf>
    <xf borderId="9" fillId="0" fontId="5" numFmtId="0" xfId="0" applyBorder="1" applyFont="1"/>
    <xf borderId="1" fillId="15" fontId="11" numFmtId="0" xfId="0" applyAlignment="1" applyBorder="1" applyFont="1">
      <alignment horizontal="center" vertical="bottom"/>
    </xf>
    <xf borderId="1" fillId="3" fontId="8" numFmtId="0" xfId="0" applyAlignment="1" applyBorder="1" applyFont="1">
      <alignment horizontal="center" readingOrder="0"/>
    </xf>
    <xf borderId="1" fillId="15" fontId="11" numFmtId="4" xfId="0" applyAlignment="1" applyBorder="1" applyFont="1" applyNumberFormat="1">
      <alignment horizontal="center" vertical="bottom"/>
    </xf>
    <xf borderId="2" fillId="15" fontId="11" numFmtId="4" xfId="0" applyAlignment="1" applyBorder="1" applyFont="1" applyNumberFormat="1">
      <alignment horizontal="center" vertical="bottom"/>
    </xf>
    <xf borderId="1" fillId="9" fontId="8" numFmtId="0" xfId="0" applyAlignment="1" applyBorder="1" applyFont="1">
      <alignment readingOrder="0"/>
    </xf>
    <xf borderId="10" fillId="15" fontId="11" numFmtId="4" xfId="0" applyAlignment="1" applyBorder="1" applyFont="1" applyNumberFormat="1">
      <alignment horizontal="center" readingOrder="0" vertical="bottom"/>
    </xf>
    <xf borderId="1" fillId="8" fontId="10" numFmtId="0" xfId="0" applyAlignment="1" applyBorder="1" applyFont="1">
      <alignment vertical="bottom"/>
    </xf>
    <xf borderId="8" fillId="0" fontId="11" numFmtId="0" xfId="0" applyAlignment="1" applyBorder="1" applyFont="1">
      <alignment vertical="bottom"/>
    </xf>
    <xf borderId="1" fillId="0" fontId="8" numFmtId="0" xfId="0" applyAlignment="1" applyBorder="1" applyFont="1">
      <alignment horizontal="center" readingOrder="0"/>
    </xf>
    <xf borderId="11" fillId="0" fontId="5" numFmtId="0" xfId="0" applyBorder="1" applyFont="1"/>
    <xf borderId="1" fillId="15" fontId="8" numFmtId="0" xfId="0" applyAlignment="1" applyBorder="1" applyFont="1">
      <alignment horizontal="right" vertical="bottom"/>
    </xf>
    <xf borderId="1" fillId="0" fontId="11" numFmtId="0" xfId="0" applyAlignment="1" applyBorder="1" applyFont="1">
      <alignment horizontal="center" vertical="bottom"/>
    </xf>
    <xf borderId="1" fillId="0" fontId="11" numFmtId="4" xfId="0" applyAlignment="1" applyBorder="1" applyFont="1" applyNumberFormat="1">
      <alignment horizontal="center" vertical="bottom"/>
    </xf>
    <xf borderId="2" fillId="0" fontId="11" numFmtId="4" xfId="0" applyAlignment="1" applyBorder="1" applyFont="1" applyNumberFormat="1">
      <alignment horizontal="center" vertical="bottom"/>
    </xf>
    <xf borderId="12" fillId="0" fontId="5" numFmtId="0" xfId="0" applyBorder="1" applyFont="1"/>
    <xf borderId="1" fillId="7" fontId="7" numFmtId="0" xfId="0" applyBorder="1" applyFont="1"/>
    <xf borderId="1" fillId="0" fontId="7" numFmtId="0" xfId="0" applyAlignment="1" applyBorder="1" applyFont="1">
      <alignment horizontal="left" readingOrder="0" shrinkToFit="0" wrapText="1"/>
    </xf>
    <xf borderId="11" fillId="0" fontId="11" numFmtId="0" xfId="0" applyBorder="1" applyFont="1"/>
    <xf borderId="1" fillId="3" fontId="12" numFmtId="0" xfId="0" applyAlignment="1" applyBorder="1" applyFont="1">
      <alignment horizontal="center" readingOrder="0"/>
    </xf>
    <xf borderId="1" fillId="15" fontId="13" numFmtId="0" xfId="0" applyAlignment="1" applyBorder="1" applyFont="1">
      <alignment horizontal="left" readingOrder="0"/>
    </xf>
    <xf borderId="0" fillId="7" fontId="7" numFmtId="0" xfId="0" applyFont="1"/>
    <xf borderId="1" fillId="8" fontId="4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left" readingOrder="0"/>
    </xf>
    <xf borderId="1" fillId="7" fontId="10" numFmtId="0" xfId="0" applyAlignment="1" applyBorder="1" applyFont="1">
      <alignment readingOrder="0" vertical="bottom"/>
    </xf>
    <xf borderId="1" fillId="14" fontId="4" numFmtId="0" xfId="0" applyAlignment="1" applyBorder="1" applyFont="1">
      <alignment horizontal="center" readingOrder="0"/>
    </xf>
    <xf borderId="1" fillId="11" fontId="12" numFmtId="0" xfId="0" applyAlignment="1" applyBorder="1" applyFont="1">
      <alignment horizontal="center" readingOrder="0"/>
    </xf>
    <xf borderId="1" fillId="15" fontId="14" numFmtId="0" xfId="0" applyAlignment="1" applyBorder="1" applyFont="1">
      <alignment horizontal="left" readingOrder="0"/>
    </xf>
    <xf borderId="7" fillId="8" fontId="12" numFmtId="0" xfId="0" applyAlignment="1" applyBorder="1" applyFont="1">
      <alignment horizontal="center" readingOrder="0"/>
    </xf>
    <xf borderId="1" fillId="9" fontId="4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left" readingOrder="0"/>
    </xf>
    <xf borderId="7" fillId="0" fontId="13" numFmtId="0" xfId="0" applyAlignment="1" applyBorder="1" applyFont="1">
      <alignment horizontal="left" readingOrder="0" vertical="center"/>
    </xf>
    <xf borderId="0" fillId="0" fontId="4" numFmtId="0" xfId="0" applyAlignment="1" applyFont="1">
      <alignment horizontal="center" readingOrder="0"/>
    </xf>
    <xf borderId="1" fillId="8" fontId="12" numFmtId="0" xfId="0" applyAlignment="1" applyBorder="1" applyFont="1">
      <alignment horizontal="center" readingOrder="0"/>
    </xf>
    <xf borderId="1" fillId="15" fontId="14" numFmtId="0" xfId="0" applyAlignment="1" applyBorder="1" applyFont="1">
      <alignment horizontal="left" readingOrder="0"/>
    </xf>
    <xf borderId="8" fillId="0" fontId="11" numFmtId="4" xfId="0" applyAlignment="1" applyBorder="1" applyFont="1" applyNumberFormat="1">
      <alignment vertical="bottom"/>
    </xf>
    <xf borderId="2" fillId="0" fontId="4" numFmtId="0" xfId="0" applyAlignment="1" applyBorder="1" applyFont="1">
      <alignment horizontal="center" readingOrder="0"/>
    </xf>
    <xf borderId="0" fillId="0" fontId="15" numFmtId="0" xfId="0" applyAlignment="1" applyFont="1">
      <alignment horizontal="center"/>
    </xf>
    <xf borderId="1" fillId="13" fontId="12" numFmtId="0" xfId="0" applyAlignment="1" applyBorder="1" applyFont="1">
      <alignment horizontal="center" readingOrder="0"/>
    </xf>
    <xf borderId="2" fillId="0" fontId="7" numFmtId="0" xfId="0" applyAlignment="1" applyBorder="1" applyFont="1">
      <alignment horizontal="center" readingOrder="0"/>
    </xf>
    <xf borderId="3" fillId="0" fontId="14" numFmtId="0" xfId="0" applyAlignment="1" applyBorder="1" applyFont="1">
      <alignment horizontal="left" readingOrder="0"/>
    </xf>
    <xf borderId="13" fillId="0" fontId="11" numFmtId="0" xfId="0" applyAlignment="1" applyBorder="1" applyFont="1">
      <alignment vertical="bottom"/>
    </xf>
    <xf borderId="1" fillId="10" fontId="4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/>
    </xf>
    <xf borderId="7" fillId="0" fontId="11" numFmtId="4" xfId="0" applyAlignment="1" applyBorder="1" applyFont="1" applyNumberFormat="1">
      <alignment horizontal="center" vertical="bottom"/>
    </xf>
    <xf borderId="10" fillId="0" fontId="11" numFmtId="4" xfId="0" applyAlignment="1" applyBorder="1" applyFont="1" applyNumberFormat="1">
      <alignment horizontal="center" readingOrder="0" vertical="bottom"/>
    </xf>
    <xf borderId="14" fillId="10" fontId="3" numFmtId="4" xfId="0" applyAlignment="1" applyBorder="1" applyFont="1" applyNumberFormat="1">
      <alignment horizontal="right" vertical="bottom"/>
    </xf>
    <xf borderId="15" fillId="0" fontId="5" numFmtId="0" xfId="0" applyBorder="1" applyFont="1"/>
    <xf borderId="16" fillId="0" fontId="5" numFmtId="0" xfId="0" applyBorder="1" applyFont="1"/>
    <xf borderId="14" fillId="10" fontId="16" numFmtId="4" xfId="0" applyAlignment="1" applyBorder="1" applyFont="1" applyNumberFormat="1">
      <alignment horizontal="center" vertical="top"/>
    </xf>
    <xf borderId="17" fillId="0" fontId="5" numFmtId="0" xfId="0" applyBorder="1" applyFont="1"/>
    <xf borderId="0" fillId="0" fontId="8" numFmtId="4" xfId="0" applyAlignment="1" applyFont="1" applyNumberFormat="1">
      <alignment horizontal="center"/>
    </xf>
    <xf borderId="18" fillId="12" fontId="9" numFmtId="0" xfId="0" applyAlignment="1" applyBorder="1" applyFont="1">
      <alignment vertical="center"/>
    </xf>
    <xf borderId="19" fillId="0" fontId="5" numFmtId="0" xfId="0" applyBorder="1" applyFont="1"/>
    <xf borderId="20" fillId="0" fontId="5" numFmtId="0" xfId="0" applyBorder="1" applyFont="1"/>
    <xf borderId="5" fillId="12" fontId="9" numFmtId="0" xfId="0" applyAlignment="1" applyBorder="1" applyFont="1">
      <alignment vertical="center"/>
    </xf>
    <xf borderId="8" fillId="15" fontId="11" numFmtId="0" xfId="0" applyAlignment="1" applyBorder="1" applyFont="1">
      <alignment vertical="bottom"/>
    </xf>
    <xf borderId="1" fillId="0" fontId="11" numFmtId="4" xfId="0" applyAlignment="1" applyBorder="1" applyFont="1" applyNumberFormat="1">
      <alignment horizontal="center" readingOrder="0" vertical="bottom"/>
    </xf>
    <xf borderId="8" fillId="15" fontId="11" numFmtId="0" xfId="0" applyAlignment="1" applyBorder="1" applyFont="1">
      <alignment readingOrder="0" vertical="bottom"/>
    </xf>
    <xf borderId="1" fillId="15" fontId="11" numFmtId="4" xfId="0" applyAlignment="1" applyBorder="1" applyFont="1" applyNumberFormat="1">
      <alignment horizontal="center" readingOrder="0" vertical="bottom"/>
    </xf>
    <xf borderId="0" fillId="0" fontId="7" numFmtId="0" xfId="0" applyAlignment="1" applyFont="1">
      <alignment readingOrder="0"/>
    </xf>
    <xf borderId="1" fillId="0" fontId="8" numFmtId="4" xfId="0" applyAlignment="1" applyBorder="1" applyFont="1" applyNumberFormat="1">
      <alignment readingOrder="0" vertical="bottom"/>
    </xf>
    <xf borderId="3" fillId="0" fontId="11" numFmtId="4" xfId="0" applyAlignment="1" applyBorder="1" applyFont="1" applyNumberFormat="1">
      <alignment horizontal="center" vertical="bottom"/>
    </xf>
    <xf borderId="21" fillId="0" fontId="11" numFmtId="4" xfId="0" applyAlignment="1" applyBorder="1" applyFont="1" applyNumberFormat="1">
      <alignment horizontal="center" vertical="bottom"/>
    </xf>
    <xf borderId="1" fillId="15" fontId="11" numFmtId="0" xfId="0" applyAlignment="1" applyBorder="1" applyFont="1">
      <alignment vertical="bottom"/>
    </xf>
    <xf borderId="1" fillId="15" fontId="11" numFmtId="0" xfId="0" applyAlignment="1" applyBorder="1" applyFont="1">
      <alignment readingOrder="0" vertical="bottom"/>
    </xf>
    <xf borderId="1" fillId="0" fontId="8" numFmtId="4" xfId="0" applyAlignment="1" applyBorder="1" applyFont="1" applyNumberFormat="1">
      <alignment vertical="bottom"/>
    </xf>
    <xf borderId="7" fillId="15" fontId="11" numFmtId="0" xfId="0" applyAlignment="1" applyBorder="1" applyFont="1">
      <alignment readingOrder="0" vertical="bottom"/>
    </xf>
    <xf borderId="7" fillId="0" fontId="11" numFmtId="0" xfId="0" applyAlignment="1" applyBorder="1" applyFont="1">
      <alignment horizontal="center" vertical="bottom"/>
    </xf>
    <xf borderId="7" fillId="0" fontId="11" numFmtId="4" xfId="0" applyAlignment="1" applyBorder="1" applyFont="1" applyNumberFormat="1">
      <alignment horizontal="center" readingOrder="0" vertical="bottom"/>
    </xf>
    <xf borderId="22" fillId="10" fontId="16" numFmtId="4" xfId="0" applyAlignment="1" applyBorder="1" applyFont="1" applyNumberFormat="1">
      <alignment horizontal="center" vertical="bottom"/>
    </xf>
    <xf borderId="18" fillId="12" fontId="3" numFmtId="0" xfId="0" applyAlignment="1" applyBorder="1" applyFont="1">
      <alignment vertical="center"/>
    </xf>
    <xf borderId="5" fillId="12" fontId="3" numFmtId="0" xfId="0" applyAlignment="1" applyBorder="1" applyFont="1">
      <alignment vertical="center"/>
    </xf>
    <xf borderId="8" fillId="0" fontId="11" numFmtId="0" xfId="0" applyAlignment="1" applyBorder="1" applyFont="1">
      <alignment readingOrder="0" vertical="bottom"/>
    </xf>
    <xf borderId="0" fillId="15" fontId="8" numFmtId="4" xfId="0" applyAlignment="1" applyFont="1" applyNumberFormat="1">
      <alignment horizontal="center"/>
    </xf>
    <xf borderId="7" fillId="0" fontId="8" numFmtId="0" xfId="0" applyAlignment="1" applyBorder="1" applyFont="1">
      <alignment readingOrder="0"/>
    </xf>
    <xf borderId="7" fillId="3" fontId="8" numFmtId="0" xfId="0" applyAlignment="1" applyBorder="1" applyFont="1">
      <alignment horizontal="center"/>
    </xf>
    <xf borderId="7" fillId="15" fontId="8" numFmtId="0" xfId="0" applyAlignment="1" applyBorder="1" applyFont="1">
      <alignment horizontal="center" readingOrder="0"/>
    </xf>
    <xf borderId="7" fillId="15" fontId="8" numFmtId="0" xfId="0" applyBorder="1" applyFont="1"/>
    <xf borderId="7" fillId="4" fontId="8" numFmtId="0" xfId="0" applyBorder="1" applyFont="1"/>
    <xf borderId="7" fillId="7" fontId="8" numFmtId="0" xfId="0" applyBorder="1" applyFont="1"/>
    <xf borderId="7" fillId="8" fontId="8" numFmtId="0" xfId="0" applyBorder="1" applyFont="1"/>
    <xf borderId="7" fillId="6" fontId="8" numFmtId="0" xfId="0" applyBorder="1" applyFont="1"/>
    <xf borderId="7" fillId="9" fontId="8" numFmtId="0" xfId="0" applyBorder="1" applyFont="1"/>
    <xf borderId="7" fillId="15" fontId="8" numFmtId="0" xfId="0" applyAlignment="1" applyBorder="1" applyFont="1">
      <alignment readingOrder="0"/>
    </xf>
    <xf borderId="7" fillId="15" fontId="8" numFmtId="0" xfId="0" applyAlignment="1" applyBorder="1" applyFont="1">
      <alignment horizontal="center" shrinkToFit="0" wrapText="1"/>
    </xf>
    <xf borderId="7" fillId="0" fontId="8" numFmtId="4" xfId="0" applyAlignment="1" applyBorder="1" applyFont="1" applyNumberFormat="1">
      <alignment horizontal="center" readingOrder="0"/>
    </xf>
    <xf borderId="7" fillId="0" fontId="8" numFmtId="4" xfId="0" applyAlignment="1" applyBorder="1" applyFont="1" applyNumberFormat="1">
      <alignment horizontal="center"/>
    </xf>
    <xf borderId="14" fillId="10" fontId="1" numFmtId="0" xfId="0" applyAlignment="1" applyBorder="1" applyFont="1">
      <alignment horizontal="right" readingOrder="0"/>
    </xf>
    <xf borderId="8" fillId="0" fontId="11" numFmtId="0" xfId="0" applyAlignment="1" applyBorder="1" applyFont="1">
      <alignment shrinkToFit="0" vertical="center" wrapText="1"/>
    </xf>
    <xf borderId="7" fillId="0" fontId="8" numFmtId="0" xfId="0" applyAlignment="1" applyBorder="1" applyFont="1">
      <alignment horizontal="center"/>
    </xf>
    <xf borderId="7" fillId="15" fontId="8" numFmtId="0" xfId="0" applyAlignment="1" applyBorder="1" applyFont="1">
      <alignment horizontal="center"/>
    </xf>
    <xf borderId="7" fillId="3" fontId="8" numFmtId="0" xfId="0" applyBorder="1" applyFont="1"/>
    <xf borderId="22" fillId="10" fontId="1" numFmtId="4" xfId="0" applyAlignment="1" applyBorder="1" applyFont="1" applyNumberFormat="1">
      <alignment horizontal="center"/>
    </xf>
    <xf borderId="7" fillId="0" fontId="8" numFmtId="0" xfId="0" applyBorder="1" applyFont="1"/>
    <xf borderId="0" fillId="15" fontId="1" numFmtId="4" xfId="0" applyAlignment="1" applyFont="1" applyNumberFormat="1">
      <alignment horizontal="center"/>
    </xf>
    <xf borderId="7" fillId="14" fontId="2" numFmtId="0" xfId="0" applyBorder="1" applyFont="1"/>
    <xf borderId="0" fillId="15" fontId="6" numFmtId="4" xfId="0" applyAlignment="1" applyFont="1" applyNumberFormat="1">
      <alignment readingOrder="0"/>
    </xf>
    <xf borderId="8" fillId="0" fontId="11" numFmtId="0" xfId="0" applyAlignment="1" applyBorder="1" applyFont="1">
      <alignment readingOrder="0" shrinkToFit="0" vertical="center" wrapText="1"/>
    </xf>
    <xf borderId="0" fillId="15" fontId="8" numFmtId="4" xfId="0" applyAlignment="1" applyFont="1" applyNumberFormat="1">
      <alignment horizontal="center" readingOrder="0"/>
    </xf>
    <xf borderId="7" fillId="15" fontId="10" numFmtId="0" xfId="0" applyAlignment="1" applyBorder="1" applyFont="1">
      <alignment vertical="bottom"/>
    </xf>
    <xf borderId="7" fillId="4" fontId="10" numFmtId="0" xfId="0" applyAlignment="1" applyBorder="1" applyFont="1">
      <alignment vertical="bottom"/>
    </xf>
    <xf borderId="7" fillId="6" fontId="10" numFmtId="0" xfId="0" applyAlignment="1" applyBorder="1" applyFont="1">
      <alignment vertical="bottom"/>
    </xf>
    <xf borderId="7" fillId="15" fontId="10" numFmtId="0" xfId="0" applyAlignment="1" applyBorder="1" applyFont="1">
      <alignment vertical="bottom"/>
    </xf>
    <xf borderId="7" fillId="7" fontId="10" numFmtId="0" xfId="0" applyAlignment="1" applyBorder="1" applyFont="1">
      <alignment vertical="bottom"/>
    </xf>
    <xf borderId="7" fillId="8" fontId="10" numFmtId="0" xfId="0" applyAlignment="1" applyBorder="1" applyFont="1">
      <alignment vertical="bottom"/>
    </xf>
    <xf borderId="7" fillId="9" fontId="10" numFmtId="0" xfId="0" applyAlignment="1" applyBorder="1" applyFont="1">
      <alignment vertical="bottom"/>
    </xf>
    <xf borderId="7" fillId="10" fontId="10" numFmtId="0" xfId="0" applyAlignment="1" applyBorder="1" applyFont="1">
      <alignment vertical="bottom"/>
    </xf>
    <xf borderId="1" fillId="0" fontId="8" numFmtId="0" xfId="0" applyAlignment="1" applyBorder="1" applyFont="1">
      <alignment vertical="bottom"/>
    </xf>
    <xf borderId="13" fillId="0" fontId="11" numFmtId="0" xfId="0" applyAlignment="1" applyBorder="1" applyFont="1">
      <alignment readingOrder="0" vertical="bottom"/>
    </xf>
    <xf borderId="1" fillId="4" fontId="10" numFmtId="0" xfId="0" applyAlignment="1" applyBorder="1" applyFont="1">
      <alignment vertical="bottom"/>
    </xf>
    <xf borderId="1" fillId="6" fontId="10" numFmtId="0" xfId="0" applyAlignment="1" applyBorder="1" applyFont="1">
      <alignment vertical="bottom"/>
    </xf>
    <xf borderId="23" fillId="0" fontId="11" numFmtId="4" xfId="0" applyAlignment="1" applyBorder="1" applyFont="1" applyNumberFormat="1">
      <alignment horizontal="center" vertical="bottom"/>
    </xf>
    <xf borderId="10" fillId="0" fontId="11" numFmtId="4" xfId="0" applyAlignment="1" applyBorder="1" applyFont="1" applyNumberFormat="1">
      <alignment horizontal="center" vertical="bottom"/>
    </xf>
    <xf borderId="0" fillId="15" fontId="2" numFmtId="4" xfId="0" applyAlignment="1" applyFont="1" applyNumberFormat="1">
      <alignment horizontal="center" readingOrder="0"/>
    </xf>
    <xf borderId="14" fillId="10" fontId="3" numFmtId="4" xfId="0" applyAlignment="1" applyBorder="1" applyFont="1" applyNumberFormat="1">
      <alignment horizontal="right" readingOrder="0" vertical="bottom"/>
    </xf>
    <xf borderId="1" fillId="0" fontId="8" numFmtId="0" xfId="0" applyAlignment="1" applyBorder="1" applyFont="1">
      <alignment readingOrder="0" vertical="bottom"/>
    </xf>
    <xf borderId="1" fillId="0" fontId="8" numFmtId="0" xfId="0" applyAlignment="1" applyBorder="1" applyFont="1">
      <alignment shrinkToFit="0" wrapText="1"/>
    </xf>
    <xf borderId="4" fillId="12" fontId="9" numFmtId="4" xfId="0" applyBorder="1" applyFont="1" applyNumberFormat="1"/>
    <xf borderId="5" fillId="12" fontId="9" numFmtId="4" xfId="0" applyBorder="1" applyFont="1" applyNumberFormat="1"/>
    <xf borderId="0" fillId="0" fontId="10" numFmtId="0" xfId="0" applyAlignment="1" applyFont="1">
      <alignment vertical="bottom"/>
    </xf>
    <xf borderId="11" fillId="0" fontId="11" numFmtId="4" xfId="0" applyAlignment="1" applyBorder="1" applyFont="1" applyNumberFormat="1">
      <alignment readingOrder="0" vertical="bottom"/>
    </xf>
    <xf borderId="23" fillId="0" fontId="11" numFmtId="4" xfId="0" applyAlignment="1" applyBorder="1" applyFont="1" applyNumberFormat="1">
      <alignment horizontal="center" readingOrder="0" vertical="bottom"/>
    </xf>
    <xf borderId="11" fillId="0" fontId="11" numFmtId="4" xfId="0" applyAlignment="1" applyBorder="1" applyFont="1" applyNumberFormat="1">
      <alignment vertical="bottom"/>
    </xf>
    <xf borderId="7" fillId="0" fontId="8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7" fillId="0" fontId="8" numFmtId="0" xfId="0" applyAlignment="1" applyBorder="1" applyFont="1">
      <alignment horizontal="left" readingOrder="0"/>
    </xf>
    <xf borderId="1" fillId="7" fontId="10" numFmtId="0" xfId="0" applyAlignment="1" applyBorder="1" applyFont="1">
      <alignment vertical="bottom"/>
    </xf>
    <xf borderId="1" fillId="8" fontId="10" numFmtId="0" xfId="0" applyAlignment="1" applyBorder="1" applyFont="1">
      <alignment vertical="bottom"/>
    </xf>
    <xf borderId="1" fillId="9" fontId="10" numFmtId="0" xfId="0" applyAlignment="1" applyBorder="1" applyFont="1">
      <alignment vertical="bottom"/>
    </xf>
    <xf borderId="1" fillId="10" fontId="10" numFmtId="0" xfId="0" applyAlignment="1" applyBorder="1" applyFont="1">
      <alignment vertical="bottom"/>
    </xf>
    <xf borderId="7" fillId="7" fontId="10" numFmtId="0" xfId="0" applyAlignment="1" applyBorder="1" applyFont="1">
      <alignment vertical="bottom"/>
    </xf>
    <xf borderId="7" fillId="8" fontId="10" numFmtId="0" xfId="0" applyAlignment="1" applyBorder="1" applyFont="1">
      <alignment vertical="bottom"/>
    </xf>
    <xf borderId="7" fillId="9" fontId="10" numFmtId="0" xfId="0" applyAlignment="1" applyBorder="1" applyFont="1">
      <alignment vertical="bottom"/>
    </xf>
    <xf borderId="7" fillId="10" fontId="10" numFmtId="0" xfId="0" applyAlignment="1" applyBorder="1" applyFont="1">
      <alignment vertical="bottom"/>
    </xf>
    <xf borderId="1" fillId="15" fontId="8" numFmtId="4" xfId="0" applyAlignment="1" applyBorder="1" applyFont="1" applyNumberFormat="1">
      <alignment horizontal="left" readingOrder="0" vertical="bottom"/>
    </xf>
    <xf borderId="1" fillId="0" fontId="2" numFmtId="4" xfId="0" applyAlignment="1" applyBorder="1" applyFont="1" applyNumberFormat="1">
      <alignment horizontal="center" readingOrder="0"/>
    </xf>
    <xf borderId="24" fillId="10" fontId="1" numFmtId="0" xfId="0" applyAlignment="1" applyBorder="1" applyFont="1">
      <alignment horizontal="right" readingOrder="0"/>
    </xf>
    <xf borderId="25" fillId="0" fontId="5" numFmtId="0" xfId="0" applyBorder="1" applyFont="1"/>
    <xf borderId="26" fillId="0" fontId="5" numFmtId="0" xfId="0" applyBorder="1" applyFont="1"/>
    <xf borderId="27" fillId="10" fontId="1" numFmtId="4" xfId="0" applyAlignment="1" applyBorder="1" applyFont="1" applyNumberFormat="1">
      <alignment horizontal="center"/>
    </xf>
    <xf borderId="28" fillId="0" fontId="11" numFmtId="0" xfId="0" applyAlignment="1" applyBorder="1" applyFont="1">
      <alignment readingOrder="0"/>
    </xf>
    <xf borderId="1" fillId="15" fontId="8" numFmtId="0" xfId="0" applyAlignment="1" applyBorder="1" applyFont="1">
      <alignment vertical="bottom"/>
    </xf>
    <xf borderId="1" fillId="7" fontId="8" numFmtId="0" xfId="0" applyAlignment="1" applyBorder="1" applyFont="1">
      <alignment readingOrder="0"/>
    </xf>
    <xf borderId="7" fillId="15" fontId="8" numFmtId="4" xfId="0" applyAlignment="1" applyBorder="1" applyFont="1" applyNumberFormat="1">
      <alignment horizontal="left" readingOrder="0" vertical="bottom"/>
    </xf>
    <xf borderId="1" fillId="15" fontId="8" numFmtId="0" xfId="0" applyAlignment="1" applyBorder="1" applyFont="1">
      <alignment readingOrder="0" vertical="bottom"/>
    </xf>
    <xf borderId="11" fillId="15" fontId="11" numFmtId="4" xfId="0" applyAlignment="1" applyBorder="1" applyFont="1" applyNumberFormat="1">
      <alignment vertical="bottom"/>
    </xf>
    <xf borderId="7" fillId="15" fontId="8" numFmtId="0" xfId="0" applyAlignment="1" applyBorder="1" applyFont="1">
      <alignment horizontal="center" vertical="bottom"/>
    </xf>
    <xf borderId="7" fillId="6" fontId="10" numFmtId="0" xfId="0" applyAlignment="1" applyBorder="1" applyFont="1">
      <alignment vertical="bottom"/>
    </xf>
    <xf borderId="7" fillId="8" fontId="10" numFmtId="0" xfId="0" applyAlignment="1" applyBorder="1" applyFont="1">
      <alignment readingOrder="0" vertical="bottom"/>
    </xf>
    <xf borderId="7" fillId="7" fontId="10" numFmtId="0" xfId="0" applyAlignment="1" applyBorder="1" applyFont="1">
      <alignment readingOrder="0" vertical="bottom"/>
    </xf>
    <xf borderId="23" fillId="15" fontId="11" numFmtId="4" xfId="0" applyAlignment="1" applyBorder="1" applyFont="1" applyNumberFormat="1">
      <alignment horizontal="center" vertical="bottom"/>
    </xf>
    <xf borderId="0" fillId="15" fontId="10" numFmtId="0" xfId="0" applyAlignment="1" applyFont="1">
      <alignment vertical="bottom"/>
    </xf>
    <xf borderId="23" fillId="15" fontId="11" numFmtId="4" xfId="0" applyAlignment="1" applyBorder="1" applyFont="1" applyNumberFormat="1">
      <alignment horizontal="center" readingOrder="0" vertical="bottom"/>
    </xf>
    <xf borderId="11" fillId="15" fontId="11" numFmtId="4" xfId="0" applyAlignment="1" applyBorder="1" applyFont="1" applyNumberFormat="1">
      <alignment readingOrder="0" vertical="bottom"/>
    </xf>
    <xf borderId="1" fillId="0" fontId="11" numFmtId="4" xfId="0" applyAlignment="1" applyBorder="1" applyFont="1" applyNumberFormat="1">
      <alignment vertical="bottom"/>
    </xf>
    <xf borderId="7" fillId="6" fontId="8" numFmtId="0" xfId="0" applyAlignment="1" applyBorder="1" applyFont="1">
      <alignment readingOrder="0"/>
    </xf>
    <xf borderId="22" fillId="10" fontId="1" numFmtId="4" xfId="0" applyAlignment="1" applyBorder="1" applyFont="1" applyNumberFormat="1">
      <alignment horizontal="center" readingOrder="0"/>
    </xf>
    <xf borderId="0" fillId="15" fontId="1" numFmtId="4" xfId="0" applyAlignment="1" applyFont="1" applyNumberFormat="1">
      <alignment horizontal="center" readingOrder="0"/>
    </xf>
    <xf borderId="14" fillId="10" fontId="1" numFmtId="4" xfId="0" applyAlignment="1" applyBorder="1" applyFont="1" applyNumberFormat="1">
      <alignment horizontal="right" vertical="bottom"/>
    </xf>
    <xf borderId="7" fillId="0" fontId="8" numFmtId="0" xfId="0" applyAlignment="1" applyBorder="1" applyFont="1">
      <alignment horizontal="center" readingOrder="0"/>
    </xf>
    <xf borderId="1" fillId="0" fontId="8" numFmtId="4" xfId="0" applyAlignment="1" applyBorder="1" applyFont="1" applyNumberFormat="1">
      <alignment horizontal="center" readingOrder="0" vertical="bottom"/>
    </xf>
    <xf borderId="7" fillId="0" fontId="8" numFmtId="0" xfId="0" applyAlignment="1" applyBorder="1" applyFont="1">
      <alignment readingOrder="0" vertical="bottom"/>
    </xf>
    <xf borderId="1" fillId="0" fontId="11" numFmtId="4" xfId="0" applyAlignment="1" applyBorder="1" applyFont="1" applyNumberFormat="1">
      <alignment readingOrder="0" vertical="bottom"/>
    </xf>
    <xf borderId="7" fillId="4" fontId="10" numFmtId="0" xfId="0" applyAlignment="1" applyBorder="1" applyFont="1">
      <alignment vertical="bottom"/>
    </xf>
    <xf borderId="7" fillId="15" fontId="8" numFmtId="0" xfId="0" applyAlignment="1" applyBorder="1" applyFont="1">
      <alignment horizontal="right" vertical="bottom"/>
    </xf>
    <xf borderId="7" fillId="15" fontId="10" numFmtId="0" xfId="0" applyAlignment="1" applyBorder="1" applyFont="1">
      <alignment readingOrder="0" vertical="bottom"/>
    </xf>
    <xf borderId="7" fillId="9" fontId="8" numFmtId="0" xfId="0" applyAlignment="1" applyBorder="1" applyFont="1">
      <alignment readingOrder="0"/>
    </xf>
    <xf borderId="7" fillId="0" fontId="8" numFmtId="4" xfId="0" applyAlignment="1" applyBorder="1" applyFont="1" applyNumberFormat="1">
      <alignment horizontal="center" readingOrder="0" vertical="bottom"/>
    </xf>
    <xf borderId="7" fillId="8" fontId="8" numFmtId="0" xfId="0" applyAlignment="1" applyBorder="1" applyFont="1">
      <alignment readingOrder="0"/>
    </xf>
    <xf borderId="14" fillId="10" fontId="2" numFmtId="4" xfId="0" applyAlignment="1" applyBorder="1" applyFont="1" applyNumberFormat="1">
      <alignment horizontal="right" vertical="bottom"/>
    </xf>
    <xf borderId="1" fillId="15" fontId="8" numFmtId="4" xfId="0" applyAlignment="1" applyBorder="1" applyFont="1" applyNumberFormat="1">
      <alignment readingOrder="0" vertical="bottom"/>
    </xf>
    <xf borderId="7" fillId="0" fontId="8" numFmtId="0" xfId="0" applyAlignment="1" applyBorder="1" applyFont="1">
      <alignment vertical="bottom"/>
    </xf>
    <xf borderId="14" fillId="10" fontId="2" numFmtId="0" xfId="0" applyAlignment="1" applyBorder="1" applyFont="1">
      <alignment horizontal="right" readingOrder="0"/>
    </xf>
    <xf borderId="0" fillId="15" fontId="2" numFmtId="4" xfId="0" applyAlignment="1" applyFont="1" applyNumberFormat="1">
      <alignment horizontal="center"/>
    </xf>
    <xf borderId="4" fillId="12" fontId="6" numFmtId="0" xfId="0" applyAlignment="1" applyBorder="1" applyFont="1">
      <alignment readingOrder="0" vertical="center"/>
    </xf>
    <xf borderId="0" fillId="15" fontId="6" numFmtId="0" xfId="0" applyAlignment="1" applyFont="1">
      <alignment readingOrder="0" vertical="center"/>
    </xf>
    <xf borderId="1" fillId="0" fontId="8" numFmtId="4" xfId="0" applyAlignment="1" applyBorder="1" applyFont="1" applyNumberFormat="1">
      <alignment shrinkToFit="0" vertical="bottom" wrapText="1"/>
    </xf>
    <xf borderId="7" fillId="0" fontId="8" numFmtId="4" xfId="0" applyAlignment="1" applyBorder="1" applyFont="1" applyNumberFormat="1">
      <alignment readingOrder="0" shrinkToFit="0" vertical="bottom" wrapText="1"/>
    </xf>
    <xf borderId="22" fillId="10" fontId="1" numFmtId="4" xfId="0" applyAlignment="1" applyBorder="1" applyFont="1" applyNumberFormat="1">
      <alignment horizontal="center" readingOrder="0" vertical="center"/>
    </xf>
    <xf borderId="0" fillId="15" fontId="2" numFmtId="4" xfId="0" applyAlignment="1" applyFont="1" applyNumberFormat="1">
      <alignment horizontal="center" readingOrder="0" vertical="center"/>
    </xf>
    <xf borderId="4" fillId="16" fontId="6" numFmtId="0" xfId="0" applyAlignment="1" applyBorder="1" applyFill="1" applyFont="1">
      <alignment readingOrder="0" vertical="center"/>
    </xf>
    <xf borderId="7" fillId="0" fontId="8" numFmtId="4" xfId="0" applyAlignment="1" applyBorder="1" applyFont="1" applyNumberFormat="1">
      <alignment readingOrder="0" vertical="bottom"/>
    </xf>
    <xf borderId="7" fillId="3" fontId="8" numFmtId="0" xfId="0" applyAlignment="1" applyBorder="1" applyFont="1">
      <alignment horizontal="center" readingOrder="0"/>
    </xf>
    <xf borderId="7" fillId="0" fontId="11" numFmtId="4" xfId="0" applyAlignment="1" applyBorder="1" applyFont="1" applyNumberFormat="1">
      <alignment readingOrder="0" vertical="bottom"/>
    </xf>
    <xf borderId="1" fillId="15" fontId="8" numFmtId="0" xfId="0" applyAlignment="1" applyBorder="1" applyFont="1">
      <alignment readingOrder="0" vertical="center"/>
    </xf>
    <xf borderId="1" fillId="0" fontId="8" numFmtId="4" xfId="0" applyAlignment="1" applyBorder="1" applyFont="1" applyNumberFormat="1">
      <alignment readingOrder="0" shrinkToFit="0" vertical="bottom" wrapText="1"/>
    </xf>
    <xf borderId="1" fillId="15" fontId="8" numFmtId="0" xfId="0" applyAlignment="1" applyBorder="1" applyFont="1">
      <alignment readingOrder="0" vertical="center"/>
    </xf>
    <xf borderId="0" fillId="10" fontId="16" numFmtId="4" xfId="0" applyAlignment="1" applyFont="1" applyNumberFormat="1">
      <alignment horizontal="center" vertical="bottom"/>
    </xf>
    <xf borderId="22" fillId="10" fontId="1" numFmtId="4" xfId="0" applyAlignment="1" applyBorder="1" applyFont="1" applyNumberFormat="1">
      <alignment horizontal="center" vertical="center"/>
    </xf>
    <xf borderId="0" fillId="15" fontId="2" numFmtId="4" xfId="0" applyAlignment="1" applyFont="1" applyNumberFormat="1">
      <alignment horizontal="center" vertical="center"/>
    </xf>
    <xf borderId="18" fillId="12" fontId="6" numFmtId="0" xfId="0" applyAlignment="1" applyBorder="1" applyFont="1">
      <alignment readingOrder="0" vertical="center"/>
    </xf>
    <xf borderId="1" fillId="0" fontId="8" numFmtId="0" xfId="0" applyAlignment="1" applyBorder="1" applyFont="1">
      <alignment vertical="bottom"/>
    </xf>
    <xf borderId="29" fillId="10" fontId="2" numFmtId="0" xfId="0" applyAlignment="1" applyBorder="1" applyFont="1">
      <alignment horizontal="right" readingOrder="0"/>
    </xf>
    <xf borderId="30" fillId="0" fontId="5" numFmtId="0" xfId="0" applyBorder="1" applyFont="1"/>
    <xf borderId="31" fillId="0" fontId="5" numFmtId="0" xfId="0" applyBorder="1" applyFont="1"/>
    <xf borderId="32" fillId="10" fontId="1" numFmtId="4" xfId="0" applyAlignment="1" applyBorder="1" applyFont="1" applyNumberFormat="1">
      <alignment horizontal="center"/>
    </xf>
    <xf borderId="29" fillId="12" fontId="6" numFmtId="0" xfId="0" applyAlignment="1" applyBorder="1" applyFont="1">
      <alignment readingOrder="0" vertical="center"/>
    </xf>
    <xf borderId="1" fillId="15" fontId="8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readingOrder="0" vertical="center"/>
    </xf>
    <xf borderId="1" fillId="15" fontId="2" numFmtId="0" xfId="0" applyAlignment="1" applyBorder="1" applyFont="1">
      <alignment readingOrder="0" vertical="center"/>
    </xf>
    <xf borderId="1" fillId="4" fontId="8" numFmtId="0" xfId="0" applyAlignment="1" applyBorder="1" applyFont="1">
      <alignment readingOrder="0" vertical="center"/>
    </xf>
    <xf borderId="1" fillId="7" fontId="8" numFmtId="0" xfId="0" applyAlignment="1" applyBorder="1" applyFont="1">
      <alignment readingOrder="0" vertical="center"/>
    </xf>
    <xf borderId="1" fillId="8" fontId="8" numFmtId="0" xfId="0" applyAlignment="1" applyBorder="1" applyFont="1">
      <alignment readingOrder="0" vertical="center"/>
    </xf>
    <xf borderId="1" fillId="6" fontId="8" numFmtId="0" xfId="0" applyAlignment="1" applyBorder="1" applyFont="1">
      <alignment readingOrder="0" vertical="center"/>
    </xf>
    <xf borderId="1" fillId="9" fontId="8" numFmtId="0" xfId="0" applyAlignment="1" applyBorder="1" applyFont="1">
      <alignment readingOrder="0" vertical="center"/>
    </xf>
    <xf borderId="1" fillId="15" fontId="8" numFmtId="0" xfId="0" applyAlignment="1" applyBorder="1" applyFont="1">
      <alignment horizontal="center" readingOrder="0" vertical="center"/>
    </xf>
    <xf borderId="1" fillId="15" fontId="8" numFmtId="4" xfId="0" applyAlignment="1" applyBorder="1" applyFont="1" applyNumberFormat="1">
      <alignment horizontal="center" readingOrder="0" vertical="center"/>
    </xf>
    <xf borderId="1" fillId="0" fontId="8" numFmtId="4" xfId="0" applyAlignment="1" applyBorder="1" applyFont="1" applyNumberFormat="1">
      <alignment horizontal="center" vertical="center"/>
    </xf>
    <xf borderId="14" fillId="12" fontId="6" numFmtId="0" xfId="0" applyAlignment="1" applyBorder="1" applyFont="1">
      <alignment readingOrder="0" vertical="center"/>
    </xf>
    <xf borderId="1" fillId="15" fontId="6" numFmtId="0" xfId="0" applyAlignment="1" applyBorder="1" applyFont="1">
      <alignment readingOrder="0" vertical="center"/>
    </xf>
    <xf borderId="1" fillId="3" fontId="6" numFmtId="0" xfId="0" applyAlignment="1" applyBorder="1" applyFont="1">
      <alignment readingOrder="0" vertical="center"/>
    </xf>
    <xf borderId="1" fillId="6" fontId="6" numFmtId="0" xfId="0" applyAlignment="1" applyBorder="1" applyFont="1">
      <alignment readingOrder="0" vertical="center"/>
    </xf>
    <xf borderId="1" fillId="7" fontId="6" numFmtId="0" xfId="0" applyAlignment="1" applyBorder="1" applyFont="1">
      <alignment readingOrder="0" vertical="center"/>
    </xf>
    <xf borderId="17" fillId="17" fontId="9" numFmtId="0" xfId="0" applyAlignment="1" applyBorder="1" applyFill="1" applyFont="1">
      <alignment readingOrder="0" vertical="bottom"/>
    </xf>
    <xf borderId="1" fillId="4" fontId="6" numFmtId="0" xfId="0" applyAlignment="1" applyBorder="1" applyFont="1">
      <alignment readingOrder="0" vertical="center"/>
    </xf>
    <xf borderId="33" fillId="0" fontId="5" numFmtId="0" xfId="0" applyBorder="1" applyFont="1"/>
    <xf borderId="11" fillId="17" fontId="9" numFmtId="0" xfId="0" applyAlignment="1" applyBorder="1" applyFont="1">
      <alignment readingOrder="0" vertical="bottom"/>
    </xf>
    <xf borderId="1" fillId="14" fontId="6" numFmtId="0" xfId="0" applyAlignment="1" applyBorder="1" applyFont="1">
      <alignment readingOrder="0" vertical="center"/>
    </xf>
    <xf borderId="1" fillId="0" fontId="11" numFmtId="0" xfId="0" applyAlignment="1" applyBorder="1" applyFont="1">
      <alignment readingOrder="0" vertical="bottom"/>
    </xf>
    <xf borderId="34" fillId="0" fontId="5" numFmtId="0" xfId="0" applyBorder="1" applyFont="1"/>
    <xf borderId="7" fillId="0" fontId="11" numFmtId="0" xfId="0" applyAlignment="1" applyBorder="1" applyFont="1">
      <alignment readingOrder="0" vertical="bottom"/>
    </xf>
    <xf borderId="12" fillId="17" fontId="9" numFmtId="0" xfId="0" applyAlignment="1" applyBorder="1" applyFont="1">
      <alignment readingOrder="0" vertical="bottom"/>
    </xf>
    <xf borderId="9" fillId="17" fontId="9" numFmtId="0" xfId="0" applyAlignment="1" applyBorder="1" applyFont="1">
      <alignment readingOrder="0" vertical="bottom"/>
    </xf>
    <xf borderId="24" fillId="10" fontId="2" numFmtId="0" xfId="0" applyAlignment="1" applyBorder="1" applyFont="1">
      <alignment horizontal="right" readingOrder="0"/>
    </xf>
    <xf borderId="27" fillId="10" fontId="6" numFmtId="4" xfId="0" applyAlignment="1" applyBorder="1" applyFont="1" applyNumberFormat="1">
      <alignment horizontal="center" readingOrder="0" vertical="center"/>
    </xf>
    <xf borderId="17" fillId="12" fontId="6" numFmtId="0" xfId="0" applyAlignment="1" applyBorder="1" applyFont="1">
      <alignment readingOrder="0" vertical="center"/>
    </xf>
    <xf borderId="1" fillId="0" fontId="11" numFmtId="4" xfId="0" applyAlignment="1" applyBorder="1" applyFont="1" applyNumberFormat="1">
      <alignment readingOrder="0" shrinkToFit="0" vertical="bottom" wrapText="1"/>
    </xf>
    <xf borderId="7" fillId="0" fontId="11" numFmtId="4" xfId="0" applyAlignment="1" applyBorder="1" applyFont="1" applyNumberFormat="1">
      <alignment readingOrder="0" shrinkToFit="0" vertical="bottom" wrapText="1"/>
    </xf>
    <xf borderId="1" fillId="10" fontId="1" numFmtId="4" xfId="0" applyAlignment="1" applyBorder="1" applyFont="1" applyNumberFormat="1">
      <alignment horizontal="center" readingOrder="0" vertical="center"/>
    </xf>
    <xf borderId="0" fillId="0" fontId="8" numFmtId="0" xfId="0" applyFont="1"/>
    <xf borderId="0" fillId="3" fontId="8" numFmtId="0" xfId="0" applyAlignment="1" applyFont="1">
      <alignment horizontal="center"/>
    </xf>
    <xf borderId="0" fillId="15" fontId="8" numFmtId="0" xfId="0" applyAlignment="1" applyFont="1">
      <alignment horizontal="center"/>
    </xf>
    <xf borderId="0" fillId="15" fontId="8" numFmtId="0" xfId="0" applyFont="1"/>
    <xf borderId="0" fillId="4" fontId="8" numFmtId="0" xfId="0" applyFont="1"/>
    <xf borderId="0" fillId="7" fontId="8" numFmtId="0" xfId="0" applyFont="1"/>
    <xf borderId="0" fillId="8" fontId="8" numFmtId="0" xfId="0" applyFont="1"/>
    <xf borderId="0" fillId="6" fontId="8" numFmtId="0" xfId="0" applyFont="1"/>
    <xf borderId="0" fillId="9" fontId="8" numFmtId="0" xfId="0" applyFont="1"/>
    <xf borderId="2" fillId="15" fontId="17" numFmtId="0" xfId="0" applyAlignment="1" applyBorder="1" applyFont="1">
      <alignment horizontal="center" readingOrder="0" shrinkToFit="0" wrapText="1"/>
    </xf>
    <xf borderId="1" fillId="15" fontId="17" numFmtId="167" xfId="0" applyAlignment="1" applyBorder="1" applyFont="1" applyNumberFormat="1">
      <alignment horizontal="center"/>
    </xf>
    <xf borderId="0" fillId="15" fontId="2" numFmtId="4" xfId="0" applyAlignment="1" applyFont="1" applyNumberFormat="1">
      <alignment horizontal="center" shrinkToFit="0" vertical="center" wrapText="1"/>
    </xf>
    <xf borderId="0" fillId="15" fontId="18" numFmtId="167" xfId="0" applyAlignment="1" applyFont="1" applyNumberFormat="1">
      <alignment horizontal="center"/>
    </xf>
    <xf borderId="0" fillId="15" fontId="8" numFmtId="0" xfId="0" applyAlignment="1" applyFont="1">
      <alignment horizontal="center" shrinkToFit="0" wrapText="1"/>
    </xf>
    <xf borderId="1" fillId="0" fontId="11" numFmtId="0" xfId="0" applyAlignment="1" applyBorder="1" applyFont="1">
      <alignment horizontal="left"/>
    </xf>
    <xf borderId="1" fillId="15" fontId="10" numFmtId="0" xfId="0" applyBorder="1" applyFont="1"/>
    <xf borderId="1" fillId="4" fontId="10" numFmtId="0" xfId="0" applyBorder="1" applyFont="1"/>
    <xf borderId="1" fillId="6" fontId="10" numFmtId="0" xfId="0" applyBorder="1" applyFont="1"/>
    <xf borderId="1" fillId="7" fontId="10" numFmtId="0" xfId="0" applyBorder="1" applyFont="1"/>
    <xf borderId="1" fillId="8" fontId="10" numFmtId="0" xfId="0" applyBorder="1" applyFont="1"/>
    <xf borderId="1" fillId="9" fontId="10" numFmtId="0" xfId="0" applyBorder="1" applyFont="1"/>
    <xf borderId="1" fillId="10" fontId="10" numFmtId="0" xfId="0" applyBorder="1" applyFont="1"/>
    <xf borderId="11" fillId="0" fontId="11" numFmtId="0" xfId="0" applyAlignment="1" applyBorder="1" applyFont="1">
      <alignment horizontal="left"/>
    </xf>
    <xf borderId="1" fillId="0" fontId="11" numFmtId="0" xfId="0" applyAlignment="1" applyBorder="1" applyFont="1">
      <alignment horizontal="left" readingOrder="0"/>
    </xf>
    <xf borderId="0" fillId="15" fontId="2" numFmtId="0" xfId="0" applyFont="1"/>
    <xf borderId="1" fillId="15" fontId="10" numFmtId="0" xfId="0" applyAlignment="1" applyBorder="1" applyFont="1">
      <alignment readingOrder="0"/>
    </xf>
    <xf borderId="7" fillId="0" fontId="11" numFmtId="0" xfId="0" applyBorder="1" applyFont="1"/>
    <xf borderId="14" fillId="10" fontId="16" numFmtId="4" xfId="0" applyAlignment="1" applyBorder="1" applyFont="1" applyNumberFormat="1">
      <alignment horizontal="center" vertical="bottom"/>
    </xf>
    <xf borderId="1" fillId="0" fontId="11" numFmtId="0" xfId="0" applyAlignment="1" applyBorder="1" applyFont="1">
      <alignment vertical="bottom"/>
    </xf>
    <xf borderId="1" fillId="15" fontId="8" numFmtId="0" xfId="0" applyAlignment="1" applyBorder="1" applyFont="1">
      <alignment horizontal="right"/>
    </xf>
    <xf borderId="7" fillId="0" fontId="11" numFmtId="4" xfId="0" applyAlignment="1" applyBorder="1" applyFont="1" applyNumberFormat="1">
      <alignment horizontal="left" vertical="bottom"/>
    </xf>
    <xf borderId="7" fillId="0" fontId="11" numFmtId="3" xfId="0" applyAlignment="1" applyBorder="1" applyFont="1" applyNumberFormat="1">
      <alignment horizontal="center" vertical="bottom"/>
    </xf>
    <xf borderId="0" fillId="12" fontId="9" numFmtId="4" xfId="0" applyAlignment="1" applyFont="1" applyNumberFormat="1">
      <alignment horizontal="left" readingOrder="0" vertical="bottom"/>
    </xf>
    <xf borderId="0" fillId="15" fontId="7" numFmtId="0" xfId="0" applyFont="1"/>
    <xf borderId="7" fillId="15" fontId="11" numFmtId="4" xfId="0" applyAlignment="1" applyBorder="1" applyFont="1" applyNumberFormat="1">
      <alignment horizontal="left" readingOrder="0" vertical="bottom"/>
    </xf>
    <xf borderId="7" fillId="15" fontId="8" numFmtId="0" xfId="0" applyAlignment="1" applyBorder="1" applyFont="1">
      <alignment readingOrder="0" shrinkToFit="0" vertical="center" wrapText="1"/>
    </xf>
    <xf borderId="7" fillId="15" fontId="10" numFmtId="0" xfId="0" applyBorder="1" applyFont="1"/>
    <xf borderId="7" fillId="4" fontId="10" numFmtId="0" xfId="0" applyBorder="1" applyFont="1"/>
    <xf borderId="7" fillId="6" fontId="10" numFmtId="0" xfId="0" applyBorder="1" applyFont="1"/>
    <xf borderId="7" fillId="15" fontId="11" numFmtId="49" xfId="0" applyAlignment="1" applyBorder="1" applyFont="1" applyNumberFormat="1">
      <alignment horizontal="center" readingOrder="0" vertical="bottom"/>
    </xf>
    <xf borderId="7" fillId="15" fontId="3" numFmtId="4" xfId="0" applyAlignment="1" applyBorder="1" applyFont="1" applyNumberFormat="1">
      <alignment horizontal="center" readingOrder="0" vertical="bottom"/>
    </xf>
    <xf borderId="7" fillId="7" fontId="10" numFmtId="0" xfId="0" applyBorder="1" applyFont="1"/>
    <xf borderId="7" fillId="8" fontId="10" numFmtId="0" xfId="0" applyBorder="1" applyFont="1"/>
    <xf borderId="7" fillId="9" fontId="10" numFmtId="0" xfId="0" applyBorder="1" applyFont="1"/>
    <xf borderId="7" fillId="10" fontId="10" numFmtId="0" xfId="0" applyBorder="1" applyFont="1"/>
    <xf borderId="7" fillId="15" fontId="8" numFmtId="0" xfId="0" applyAlignment="1" applyBorder="1" applyFont="1">
      <alignment horizontal="center" readingOrder="0" vertical="center"/>
    </xf>
    <xf borderId="7" fillId="15" fontId="8" numFmtId="4" xfId="0" applyAlignment="1" applyBorder="1" applyFont="1" applyNumberFormat="1">
      <alignment horizontal="center" readingOrder="0" vertical="center"/>
    </xf>
    <xf borderId="7" fillId="0" fontId="8" numFmtId="4" xfId="0" applyAlignment="1" applyBorder="1" applyFont="1" applyNumberFormat="1">
      <alignment horizontal="center" vertical="center"/>
    </xf>
    <xf borderId="22" fillId="10" fontId="16" numFmtId="4" xfId="0" applyAlignment="1" applyBorder="1" applyFont="1" applyNumberFormat="1">
      <alignment horizontal="center" readingOrder="0" vertical="bottom"/>
    </xf>
    <xf borderId="0" fillId="10" fontId="16" numFmtId="4" xfId="0" applyAlignment="1" applyFont="1" applyNumberFormat="1">
      <alignment horizontal="center" readingOrder="0" vertical="bottom"/>
    </xf>
    <xf borderId="4" fillId="12" fontId="9" numFmtId="0" xfId="0" applyAlignment="1" applyBorder="1" applyFont="1">
      <alignment vertical="center"/>
    </xf>
    <xf borderId="22" fillId="10" fontId="6" numFmtId="4" xfId="0" applyAlignment="1" applyBorder="1" applyFont="1" applyNumberFormat="1">
      <alignment horizontal="center" readingOrder="0" vertical="center"/>
    </xf>
    <xf borderId="1" fillId="4" fontId="8" numFmtId="0" xfId="0" applyAlignment="1" applyBorder="1" applyFont="1">
      <alignment horizontal="center"/>
    </xf>
    <xf borderId="1" fillId="10" fontId="8" numFmtId="0" xfId="0" applyBorder="1" applyFont="1"/>
    <xf borderId="22" fillId="10" fontId="3" numFmtId="4" xfId="0" applyAlignment="1" applyBorder="1" applyFont="1" applyNumberFormat="1">
      <alignment horizontal="center" vertical="bottom"/>
    </xf>
    <xf borderId="0" fillId="10" fontId="3" numFmtId="4" xfId="0" applyAlignment="1" applyFont="1" applyNumberFormat="1">
      <alignment horizontal="center" vertical="bottom"/>
    </xf>
    <xf borderId="1" fillId="4" fontId="8" numFmtId="0" xfId="0" applyAlignment="1" applyBorder="1" applyFont="1">
      <alignment horizontal="center" readingOrder="0"/>
    </xf>
    <xf borderId="0" fillId="0" fontId="11" numFmtId="4" xfId="0" applyAlignment="1" applyFont="1" applyNumberFormat="1">
      <alignment horizontal="left" vertical="bottom"/>
    </xf>
    <xf borderId="7" fillId="15" fontId="11" numFmtId="3" xfId="0" applyAlignment="1" applyBorder="1" applyFont="1" applyNumberFormat="1">
      <alignment horizontal="center" vertical="bottom"/>
    </xf>
    <xf borderId="7" fillId="15" fontId="11" numFmtId="3" xfId="0" applyAlignment="1" applyBorder="1" applyFont="1" applyNumberFormat="1">
      <alignment horizontal="right" readingOrder="0" vertical="bottom"/>
    </xf>
    <xf borderId="7" fillId="15" fontId="11" numFmtId="3" xfId="0" applyAlignment="1" applyBorder="1" applyFont="1" applyNumberFormat="1">
      <alignment horizontal="right" vertical="bottom"/>
    </xf>
    <xf borderId="7" fillId="6" fontId="11" numFmtId="3" xfId="0" applyAlignment="1" applyBorder="1" applyFont="1" applyNumberFormat="1">
      <alignment horizontal="right" vertical="bottom"/>
    </xf>
    <xf borderId="7" fillId="15" fontId="11" numFmtId="3" xfId="0" applyAlignment="1" applyBorder="1" applyFont="1" applyNumberFormat="1">
      <alignment horizontal="center" readingOrder="0" vertical="bottom"/>
    </xf>
    <xf borderId="7" fillId="4" fontId="11" numFmtId="3" xfId="0" applyAlignment="1" applyBorder="1" applyFont="1" applyNumberFormat="1">
      <alignment horizontal="right" vertical="bottom"/>
    </xf>
    <xf borderId="7" fillId="7" fontId="11" numFmtId="3" xfId="0" applyAlignment="1" applyBorder="1" applyFont="1" applyNumberFormat="1">
      <alignment horizontal="right" vertical="bottom"/>
    </xf>
    <xf borderId="7" fillId="11" fontId="11" numFmtId="3" xfId="0" applyAlignment="1" applyBorder="1" applyFont="1" applyNumberFormat="1">
      <alignment horizontal="right" vertical="bottom"/>
    </xf>
    <xf borderId="7" fillId="8" fontId="11" numFmtId="3" xfId="0" applyAlignment="1" applyBorder="1" applyFont="1" applyNumberFormat="1">
      <alignment horizontal="right" vertical="bottom"/>
    </xf>
    <xf borderId="7" fillId="13" fontId="11" numFmtId="3" xfId="0" applyAlignment="1" applyBorder="1" applyFont="1" applyNumberFormat="1">
      <alignment horizontal="right" vertical="bottom"/>
    </xf>
    <xf borderId="7" fillId="8" fontId="11" numFmtId="3" xfId="0" applyAlignment="1" applyBorder="1" applyFont="1" applyNumberFormat="1">
      <alignment horizontal="right" readingOrder="0" vertical="bottom"/>
    </xf>
    <xf borderId="7" fillId="14" fontId="11" numFmtId="3" xfId="0" applyAlignment="1" applyBorder="1" applyFont="1" applyNumberFormat="1">
      <alignment horizontal="right" vertical="bottom"/>
    </xf>
    <xf borderId="7" fillId="4" fontId="8" numFmtId="0" xfId="0" applyAlignment="1" applyBorder="1" applyFont="1">
      <alignment horizontal="center" readingOrder="0"/>
    </xf>
    <xf borderId="7" fillId="10" fontId="8" numFmtId="0" xfId="0" applyBorder="1" applyFont="1"/>
    <xf borderId="4" fillId="16" fontId="9" numFmtId="0" xfId="0" applyAlignment="1" applyBorder="1" applyFont="1">
      <alignment readingOrder="0" vertical="center"/>
    </xf>
    <xf borderId="5" fillId="16" fontId="9" numFmtId="0" xfId="0" applyAlignment="1" applyBorder="1" applyFont="1">
      <alignment readingOrder="0" vertical="center"/>
    </xf>
    <xf borderId="8" fillId="0" fontId="11" numFmtId="4" xfId="0" applyAlignment="1" applyBorder="1" applyFont="1" applyNumberFormat="1">
      <alignment readingOrder="0" vertical="bottom"/>
    </xf>
    <xf borderId="2" fillId="10" fontId="19" numFmtId="0" xfId="0" applyAlignment="1" applyBorder="1" applyFont="1">
      <alignment horizontal="center" readingOrder="0" shrinkToFit="0" wrapText="1"/>
    </xf>
    <xf borderId="11" fillId="10" fontId="19" numFmtId="167" xfId="0" applyAlignment="1" applyBorder="1" applyFont="1" applyNumberFormat="1">
      <alignment horizontal="center" vertical="center"/>
    </xf>
    <xf borderId="35" fillId="0" fontId="11" numFmtId="4" xfId="0" applyAlignment="1" applyBorder="1" applyFont="1" applyNumberFormat="1">
      <alignment readingOrder="0" vertical="bottom"/>
    </xf>
    <xf borderId="11" fillId="0" fontId="11" numFmtId="4" xfId="0" applyAlignment="1" applyBorder="1" applyFont="1" applyNumberFormat="1">
      <alignment horizontal="center" vertical="bottom"/>
    </xf>
    <xf borderId="9" fillId="0" fontId="11" numFmtId="4" xfId="0" applyAlignment="1" applyBorder="1" applyFont="1" applyNumberFormat="1">
      <alignment horizontal="center" readingOrder="0" vertical="bottom"/>
    </xf>
    <xf borderId="29" fillId="12" fontId="9" numFmtId="0" xfId="0" applyAlignment="1" applyBorder="1" applyFont="1">
      <alignment readingOrder="0" vertical="center"/>
    </xf>
    <xf borderId="0" fillId="12" fontId="9" numFmtId="0" xfId="0" applyAlignment="1" applyFont="1">
      <alignment readingOrder="0" vertical="center"/>
    </xf>
    <xf borderId="1" fillId="15" fontId="11" numFmtId="0" xfId="0" applyAlignment="1" applyBorder="1" applyFont="1">
      <alignment readingOrder="0" vertical="center"/>
    </xf>
    <xf borderId="1" fillId="15" fontId="11" numFmtId="0" xfId="0" applyAlignment="1" applyBorder="1" applyFont="1">
      <alignment horizontal="center" readingOrder="0" vertical="center"/>
    </xf>
    <xf borderId="1" fillId="6" fontId="11" numFmtId="0" xfId="0" applyAlignment="1" applyBorder="1" applyFont="1">
      <alignment horizontal="center" readingOrder="0" vertical="center"/>
    </xf>
    <xf borderId="1" fillId="4" fontId="11" numFmtId="0" xfId="0" applyAlignment="1" applyBorder="1" applyFont="1">
      <alignment horizontal="center" readingOrder="0" vertical="center"/>
    </xf>
    <xf borderId="1" fillId="7" fontId="11" numFmtId="0" xfId="0" applyAlignment="1" applyBorder="1" applyFont="1">
      <alignment horizontal="center" readingOrder="0" vertical="center"/>
    </xf>
    <xf borderId="1" fillId="11" fontId="11" numFmtId="0" xfId="0" applyAlignment="1" applyBorder="1" applyFont="1">
      <alignment horizontal="center" readingOrder="0" vertical="center"/>
    </xf>
    <xf borderId="1" fillId="8" fontId="11" numFmtId="0" xfId="0" applyAlignment="1" applyBorder="1" applyFont="1">
      <alignment horizontal="center" readingOrder="0" vertical="center"/>
    </xf>
    <xf borderId="1" fillId="13" fontId="11" numFmtId="0" xfId="0" applyAlignment="1" applyBorder="1" applyFont="1">
      <alignment horizontal="center" readingOrder="0" vertical="center"/>
    </xf>
    <xf borderId="1" fillId="14" fontId="11" numFmtId="0" xfId="0" applyAlignment="1" applyBorder="1" applyFont="1">
      <alignment horizontal="center" readingOrder="0" vertical="center"/>
    </xf>
    <xf borderId="1" fillId="15" fontId="11" numFmtId="4" xfId="0" applyAlignment="1" applyBorder="1" applyFont="1" applyNumberFormat="1">
      <alignment horizontal="center" readingOrder="0" vertical="center"/>
    </xf>
    <xf borderId="7" fillId="15" fontId="11" numFmtId="4" xfId="0" applyAlignment="1" applyBorder="1" applyFont="1" applyNumberFormat="1">
      <alignment horizontal="center" readingOrder="0" vertical="center"/>
    </xf>
    <xf borderId="7" fillId="15" fontId="11" numFmtId="0" xfId="0" applyAlignment="1" applyBorder="1" applyFont="1">
      <alignment readingOrder="0" vertical="center"/>
    </xf>
    <xf borderId="7" fillId="15" fontId="11" numFmtId="0" xfId="0" applyAlignment="1" applyBorder="1" applyFont="1">
      <alignment horizontal="center" readingOrder="0" vertical="center"/>
    </xf>
    <xf borderId="7" fillId="6" fontId="11" numFmtId="0" xfId="0" applyAlignment="1" applyBorder="1" applyFont="1">
      <alignment horizontal="center" readingOrder="0" vertical="center"/>
    </xf>
    <xf borderId="7" fillId="4" fontId="11" numFmtId="0" xfId="0" applyAlignment="1" applyBorder="1" applyFont="1">
      <alignment horizontal="center" readingOrder="0" vertical="center"/>
    </xf>
    <xf borderId="7" fillId="7" fontId="11" numFmtId="0" xfId="0" applyAlignment="1" applyBorder="1" applyFont="1">
      <alignment horizontal="center" readingOrder="0" vertical="center"/>
    </xf>
    <xf borderId="7" fillId="11" fontId="11" numFmtId="0" xfId="0" applyAlignment="1" applyBorder="1" applyFont="1">
      <alignment horizontal="center" readingOrder="0" vertical="center"/>
    </xf>
    <xf borderId="7" fillId="8" fontId="11" numFmtId="0" xfId="0" applyAlignment="1" applyBorder="1" applyFont="1">
      <alignment horizontal="center" readingOrder="0" vertical="center"/>
    </xf>
    <xf borderId="7" fillId="13" fontId="11" numFmtId="0" xfId="0" applyAlignment="1" applyBorder="1" applyFont="1">
      <alignment horizontal="center" readingOrder="0" vertical="center"/>
    </xf>
    <xf borderId="7" fillId="14" fontId="11" numFmtId="0" xfId="0" applyAlignment="1" applyBorder="1" applyFont="1">
      <alignment horizontal="center" readingOrder="0" vertical="center"/>
    </xf>
    <xf borderId="36" fillId="10" fontId="3" numFmtId="0" xfId="0" applyAlignment="1" applyBorder="1" applyFont="1">
      <alignment horizontal="right" readingOrder="0" vertical="center"/>
    </xf>
    <xf borderId="37" fillId="0" fontId="5" numFmtId="0" xfId="0" applyBorder="1" applyFont="1"/>
    <xf borderId="38" fillId="0" fontId="5" numFmtId="0" xfId="0" applyBorder="1" applyFont="1"/>
    <xf borderId="16" fillId="10" fontId="16" numFmtId="4" xfId="0" applyAlignment="1" applyBorder="1" applyFont="1" applyNumberFormat="1">
      <alignment horizontal="center" readingOrder="0" vertical="center"/>
    </xf>
    <xf borderId="0" fillId="10" fontId="16" numFmtId="4" xfId="0" applyAlignment="1" applyFont="1" applyNumberFormat="1">
      <alignment horizontal="center" readingOrder="0" vertical="center"/>
    </xf>
    <xf borderId="17" fillId="12" fontId="9" numFmtId="0" xfId="0" applyAlignment="1" applyBorder="1" applyFont="1">
      <alignment readingOrder="0" vertical="center"/>
    </xf>
    <xf borderId="11" fillId="12" fontId="9" numFmtId="0" xfId="0" applyAlignment="1" applyBorder="1" applyFont="1">
      <alignment readingOrder="0" vertical="center"/>
    </xf>
    <xf borderId="11" fillId="15" fontId="11" numFmtId="0" xfId="0" applyAlignment="1" applyBorder="1" applyFont="1">
      <alignment readingOrder="0" vertical="center"/>
    </xf>
    <xf borderId="11" fillId="15" fontId="11" numFmtId="0" xfId="0" applyAlignment="1" applyBorder="1" applyFont="1">
      <alignment horizontal="center" readingOrder="0" vertical="center"/>
    </xf>
    <xf borderId="11" fillId="6" fontId="11" numFmtId="0" xfId="0" applyAlignment="1" applyBorder="1" applyFont="1">
      <alignment horizontal="center" readingOrder="0" vertical="center"/>
    </xf>
    <xf borderId="11" fillId="4" fontId="11" numFmtId="0" xfId="0" applyAlignment="1" applyBorder="1" applyFont="1">
      <alignment horizontal="center" readingOrder="0" vertical="center"/>
    </xf>
    <xf borderId="11" fillId="7" fontId="11" numFmtId="0" xfId="0" applyAlignment="1" applyBorder="1" applyFont="1">
      <alignment horizontal="center" readingOrder="0" vertical="center"/>
    </xf>
    <xf borderId="11" fillId="11" fontId="11" numFmtId="0" xfId="0" applyAlignment="1" applyBorder="1" applyFont="1">
      <alignment horizontal="center" readingOrder="0" vertical="center"/>
    </xf>
    <xf borderId="11" fillId="8" fontId="11" numFmtId="0" xfId="0" applyAlignment="1" applyBorder="1" applyFont="1">
      <alignment horizontal="center" readingOrder="0" vertical="center"/>
    </xf>
    <xf borderId="11" fillId="13" fontId="11" numFmtId="0" xfId="0" applyAlignment="1" applyBorder="1" applyFont="1">
      <alignment horizontal="center" readingOrder="0" vertical="center"/>
    </xf>
    <xf borderId="11" fillId="14" fontId="11" numFmtId="0" xfId="0" applyAlignment="1" applyBorder="1" applyFont="1">
      <alignment horizontal="center" readingOrder="0" vertical="center"/>
    </xf>
    <xf borderId="11" fillId="15" fontId="11" numFmtId="4" xfId="0" applyAlignment="1" applyBorder="1" applyFont="1" applyNumberFormat="1">
      <alignment horizontal="center" readingOrder="0" vertical="center"/>
    </xf>
    <xf borderId="22" fillId="10" fontId="16" numFmtId="4" xfId="0" applyAlignment="1" applyBorder="1" applyFont="1" applyNumberFormat="1">
      <alignment horizontal="center" readingOrder="0" vertical="center"/>
    </xf>
    <xf borderId="35" fillId="0" fontId="11" numFmtId="4" xfId="0" applyAlignment="1" applyBorder="1" applyFont="1" applyNumberFormat="1">
      <alignment vertical="bottom"/>
    </xf>
    <xf borderId="11" fillId="0" fontId="11" numFmtId="4" xfId="0" applyAlignment="1" applyBorder="1" applyFont="1" applyNumberFormat="1">
      <alignment shrinkToFit="0" vertical="bottom" wrapText="1"/>
    </xf>
    <xf borderId="11" fillId="0" fontId="11" numFmtId="4" xfId="0" applyAlignment="1" applyBorder="1" applyFont="1" applyNumberFormat="1">
      <alignment readingOrder="0" shrinkToFit="0" vertical="bottom" wrapText="1"/>
    </xf>
    <xf borderId="11" fillId="0" fontId="11" numFmtId="4" xfId="0" applyAlignment="1" applyBorder="1" applyFont="1" applyNumberFormat="1">
      <alignment horizontal="center" readingOrder="0" vertical="bottom"/>
    </xf>
    <xf borderId="0" fillId="15" fontId="8" numFmtId="0" xfId="0" applyAlignment="1" applyFont="1">
      <alignment readingOrder="0"/>
    </xf>
    <xf borderId="9" fillId="0" fontId="11" numFmtId="4" xfId="0" applyAlignment="1" applyBorder="1" applyFont="1" applyNumberFormat="1">
      <alignment shrinkToFit="0" vertical="bottom" wrapText="1"/>
    </xf>
    <xf borderId="0" fillId="15" fontId="8" numFmtId="0" xfId="0" applyAlignment="1" applyFont="1">
      <alignment horizontal="center" readingOrder="0"/>
    </xf>
    <xf borderId="7" fillId="15" fontId="11" numFmtId="0" xfId="0" applyAlignment="1" applyBorder="1" applyFont="1">
      <alignment horizontal="center" readingOrder="0" vertical="bottom"/>
    </xf>
    <xf borderId="7" fillId="6" fontId="11" numFmtId="0" xfId="0" applyAlignment="1" applyBorder="1" applyFont="1">
      <alignment horizontal="center" readingOrder="0" vertical="bottom"/>
    </xf>
    <xf borderId="7" fillId="4" fontId="11" numFmtId="0" xfId="0" applyAlignment="1" applyBorder="1" applyFont="1">
      <alignment horizontal="center" readingOrder="0" vertical="bottom"/>
    </xf>
    <xf borderId="7" fillId="7" fontId="11" numFmtId="0" xfId="0" applyAlignment="1" applyBorder="1" applyFont="1">
      <alignment horizontal="center" readingOrder="0" vertical="bottom"/>
    </xf>
    <xf borderId="7" fillId="11" fontId="11" numFmtId="0" xfId="0" applyAlignment="1" applyBorder="1" applyFont="1">
      <alignment horizontal="center" readingOrder="0" vertical="bottom"/>
    </xf>
    <xf borderId="7" fillId="8" fontId="11" numFmtId="0" xfId="0" applyAlignment="1" applyBorder="1" applyFont="1">
      <alignment horizontal="center" readingOrder="0" vertical="bottom"/>
    </xf>
    <xf borderId="7" fillId="13" fontId="11" numFmtId="0" xfId="0" applyAlignment="1" applyBorder="1" applyFont="1">
      <alignment horizontal="center" readingOrder="0" vertical="bottom"/>
    </xf>
    <xf borderId="7" fillId="14" fontId="11" numFmtId="0" xfId="0" applyAlignment="1" applyBorder="1" applyFont="1">
      <alignment horizontal="center" readingOrder="0" vertical="bottom"/>
    </xf>
    <xf borderId="9" fillId="0" fontId="11" numFmtId="4" xfId="0" applyAlignment="1" applyBorder="1" applyFont="1" applyNumberFormat="1">
      <alignment horizontal="center" vertical="bottom"/>
    </xf>
    <xf borderId="0" fillId="10" fontId="16" numFmtId="0" xfId="0" applyAlignment="1" applyFont="1">
      <alignment horizontal="center" readingOrder="0" vertical="center"/>
    </xf>
    <xf borderId="0" fillId="0" fontId="11" numFmtId="0" xfId="0" applyAlignment="1" applyFont="1">
      <alignment vertical="bottom"/>
    </xf>
    <xf borderId="0" fillId="0" fontId="11" numFmtId="4" xfId="0" applyAlignment="1" applyFont="1" applyNumberFormat="1">
      <alignment horizontal="center" vertical="bottom"/>
    </xf>
    <xf borderId="34" fillId="0" fontId="11" numFmtId="0" xfId="0" applyAlignment="1" applyBorder="1" applyFont="1">
      <alignment vertical="bottom"/>
    </xf>
    <xf borderId="0" fillId="15" fontId="20" numFmtId="0" xfId="0" applyAlignment="1" applyFont="1">
      <alignment vertical="bottom"/>
    </xf>
    <xf borderId="0" fillId="15" fontId="20" numFmtId="0" xfId="0" applyAlignment="1" applyFont="1">
      <alignment horizontal="center" vertical="bottom"/>
    </xf>
    <xf borderId="0" fillId="15" fontId="20" numFmtId="0" xfId="0" applyAlignment="1" applyFont="1">
      <alignment horizontal="center" shrinkToFit="0" vertical="bottom" wrapText="1"/>
    </xf>
    <xf borderId="0" fillId="15" fontId="15" numFmtId="0" xfId="0" applyAlignment="1" applyFont="1">
      <alignment horizontal="center"/>
    </xf>
    <xf borderId="39" fillId="5" fontId="3" numFmtId="0" xfId="0" applyAlignment="1" applyBorder="1" applyFont="1">
      <alignment horizontal="center" vertical="center"/>
    </xf>
    <xf borderId="32" fillId="5" fontId="21" numFmtId="4" xfId="0" applyAlignment="1" applyBorder="1" applyFont="1" applyNumberFormat="1">
      <alignment horizontal="center" vertical="center"/>
    </xf>
    <xf borderId="0" fillId="5" fontId="21" numFmtId="4" xfId="0" applyAlignment="1" applyFont="1" applyNumberFormat="1">
      <alignment horizontal="center" vertical="center"/>
    </xf>
    <xf borderId="0" fillId="15" fontId="8" numFmtId="4" xfId="0" applyAlignment="1" applyFont="1" applyNumberFormat="1">
      <alignment readingOrder="0" vertical="bottom"/>
    </xf>
    <xf borderId="40" fillId="5" fontId="3" numFmtId="0" xfId="0" applyAlignment="1" applyBorder="1" applyFont="1">
      <alignment horizontal="center" vertical="center"/>
    </xf>
    <xf borderId="27" fillId="0" fontId="5" numFmtId="0" xfId="0" applyBorder="1" applyFont="1"/>
    <xf borderId="0" fillId="15" fontId="20" numFmtId="4" xfId="0" applyAlignment="1" applyFont="1" applyNumberFormat="1">
      <alignment vertical="bottom"/>
    </xf>
    <xf borderId="0" fillId="0" fontId="20" numFmtId="0" xfId="0" applyAlignment="1" applyFont="1">
      <alignment horizontal="center" vertical="bottom"/>
    </xf>
    <xf borderId="0" fillId="0" fontId="20" numFmtId="4" xfId="0" applyAlignment="1" applyFont="1" applyNumberFormat="1">
      <alignment horizontal="center" vertical="bottom"/>
    </xf>
    <xf borderId="0" fillId="15" fontId="10" numFmtId="0" xfId="0" applyAlignment="1" applyFont="1">
      <alignment horizontal="center" vertical="bottom"/>
    </xf>
    <xf borderId="0" fillId="15" fontId="10" numFmtId="0" xfId="0" applyAlignment="1" applyFont="1">
      <alignment horizontal="center" shrinkToFit="0" vertical="bottom" wrapText="1"/>
    </xf>
    <xf borderId="0" fillId="0" fontId="10" numFmtId="0" xfId="0" applyAlignment="1" applyFont="1">
      <alignment horizontal="center" vertical="bottom"/>
    </xf>
    <xf borderId="0" fillId="0" fontId="10" numFmtId="4" xfId="0" applyAlignment="1" applyFont="1" applyNumberFormat="1">
      <alignment horizontal="center" vertical="bottom"/>
    </xf>
    <xf borderId="0" fillId="15" fontId="10" numFmtId="4" xfId="0" applyAlignment="1" applyFont="1" applyNumberFormat="1">
      <alignment vertical="bottom"/>
    </xf>
    <xf borderId="0" fillId="15" fontId="10" numFmtId="0" xfId="0" applyFont="1"/>
    <xf borderId="0" fillId="15" fontId="10" numFmtId="0" xfId="0" applyAlignment="1" applyFont="1">
      <alignment horizontal="center"/>
    </xf>
    <xf borderId="0" fillId="15" fontId="10" numFmtId="0" xfId="0" applyAlignment="1" applyFont="1">
      <alignment horizontal="center" shrinkToFit="0" wrapText="1"/>
    </xf>
    <xf borderId="0" fillId="15" fontId="7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15" fontId="8" numFmtId="4" xfId="0" applyAlignment="1" applyFont="1" applyNumberFormat="1">
      <alignment vertical="bottom"/>
    </xf>
    <xf borderId="0" fillId="0" fontId="10" numFmtId="4" xfId="0" applyAlignment="1" applyFont="1" applyNumberFormat="1">
      <alignment horizontal="center"/>
    </xf>
    <xf borderId="0" fillId="15" fontId="1" numFmtId="0" xfId="0" applyAlignment="1" applyFont="1">
      <alignment horizontal="right" readingOrder="0"/>
    </xf>
    <xf borderId="0" fillId="15" fontId="8" numFmtId="0" xfId="0" applyAlignment="1" applyFont="1">
      <alignment vertical="bottom"/>
    </xf>
    <xf borderId="0" fillId="15" fontId="8" numFmtId="0" xfId="0" applyAlignment="1" applyFont="1">
      <alignment shrinkToFit="0" wrapText="1"/>
    </xf>
    <xf borderId="0" fillId="15" fontId="8" numFmtId="0" xfId="0" applyAlignment="1" applyFont="1">
      <alignment horizontal="left" readingOrder="0"/>
    </xf>
    <xf borderId="0" fillId="15" fontId="8" numFmtId="4" xfId="0" applyAlignment="1" applyFont="1" applyNumberFormat="1">
      <alignment horizontal="left" readingOrder="0" vertical="bottom"/>
    </xf>
    <xf borderId="0" fillId="15" fontId="8" numFmtId="0" xfId="0" applyAlignment="1" applyFont="1">
      <alignment vertical="bottom"/>
    </xf>
    <xf borderId="0" fillId="15" fontId="8" numFmtId="0" xfId="0" applyAlignment="1" applyFont="1">
      <alignment readingOrder="0" vertical="bottom"/>
    </xf>
    <xf borderId="0" fillId="15" fontId="22" numFmtId="0" xfId="0" applyAlignment="1" applyFont="1">
      <alignment horizontal="center" readingOrder="0" shrinkToFit="0" wrapText="1"/>
    </xf>
    <xf borderId="0" fillId="15" fontId="19" numFmtId="167" xfId="0" applyAlignment="1" applyFont="1" applyNumberFormat="1">
      <alignment horizontal="center" vertical="center"/>
    </xf>
    <xf borderId="0" fillId="15" fontId="10" numFmtId="0" xfId="0" applyAlignment="1" applyFont="1">
      <alignment shrinkToFit="0" wrapText="1"/>
    </xf>
    <xf borderId="0" fillId="0" fontId="7" numFmtId="4" xfId="0" applyAlignment="1" applyFont="1" applyNumberFormat="1">
      <alignment horizontal="center"/>
    </xf>
    <xf borderId="0" fillId="15" fontId="19" numFmtId="0" xfId="0" applyAlignment="1" applyFont="1">
      <alignment horizontal="center" readingOrder="0" shrinkToFit="0" wrapText="1"/>
    </xf>
    <xf borderId="1" fillId="18" fontId="2" numFmtId="165" xfId="0" applyAlignment="1" applyBorder="1" applyFill="1" applyFont="1" applyNumberFormat="1">
      <alignment horizontal="center" readingOrder="0" textRotation="90" vertical="center"/>
    </xf>
    <xf borderId="1" fillId="8" fontId="8" numFmtId="0" xfId="0" applyAlignment="1" applyBorder="1" applyFont="1">
      <alignment horizontal="center" readingOrder="0" vertical="bottom"/>
    </xf>
    <xf borderId="1" fillId="18" fontId="10" numFmtId="0" xfId="0" applyAlignment="1" applyBorder="1" applyFont="1">
      <alignment vertical="bottom"/>
    </xf>
    <xf borderId="1" fillId="3" fontId="10" numFmtId="0" xfId="0" applyAlignment="1" applyBorder="1" applyFont="1">
      <alignment vertical="bottom"/>
    </xf>
    <xf borderId="1" fillId="6" fontId="8" numFmtId="0" xfId="0" applyAlignment="1" applyBorder="1" applyFont="1">
      <alignment horizontal="right" vertical="bottom"/>
    </xf>
    <xf borderId="1" fillId="15" fontId="8" numFmtId="0" xfId="0" applyAlignment="1" applyBorder="1" applyFont="1">
      <alignment horizontal="right" readingOrder="0" vertical="bottom"/>
    </xf>
    <xf borderId="7" fillId="3" fontId="7" numFmtId="0" xfId="0" applyBorder="1" applyFont="1"/>
    <xf borderId="1" fillId="8" fontId="8" numFmtId="0" xfId="0" applyAlignment="1" applyBorder="1" applyFont="1">
      <alignment horizontal="center" vertical="bottom"/>
    </xf>
    <xf borderId="1" fillId="18" fontId="8" numFmtId="0" xfId="0" applyAlignment="1" applyBorder="1" applyFont="1">
      <alignment horizontal="center" vertical="bottom"/>
    </xf>
    <xf borderId="1" fillId="18" fontId="12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left" readingOrder="0" vertical="center"/>
    </xf>
    <xf borderId="1" fillId="4" fontId="12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left" readingOrder="0" shrinkToFit="0" vertical="center" wrapText="1"/>
    </xf>
    <xf borderId="11" fillId="10" fontId="12" numFmtId="0" xfId="0" applyAlignment="1" applyBorder="1" applyFont="1">
      <alignment horizontal="center" readingOrder="0"/>
    </xf>
    <xf borderId="1" fillId="15" fontId="13" numFmtId="0" xfId="0" applyAlignment="1" applyBorder="1" applyFont="1">
      <alignment horizontal="left" readingOrder="0"/>
    </xf>
    <xf borderId="0" fillId="15" fontId="7" numFmtId="4" xfId="0" applyAlignment="1" applyFont="1" applyNumberFormat="1">
      <alignment horizontal="center"/>
    </xf>
    <xf borderId="1" fillId="19" fontId="2" numFmtId="165" xfId="0" applyAlignment="1" applyBorder="1" applyFill="1" applyFont="1" applyNumberFormat="1">
      <alignment horizontal="center" readingOrder="0" textRotation="90" vertical="center"/>
    </xf>
    <xf borderId="1" fillId="20" fontId="2" numFmtId="165" xfId="0" applyAlignment="1" applyBorder="1" applyFill="1" applyFont="1" applyNumberFormat="1">
      <alignment horizontal="center" readingOrder="0" textRotation="90" vertical="center"/>
    </xf>
    <xf borderId="1" fillId="21" fontId="2" numFmtId="165" xfId="0" applyAlignment="1" applyBorder="1" applyFill="1" applyFont="1" applyNumberFormat="1">
      <alignment horizontal="center" readingOrder="0" textRotation="90" vertical="center"/>
    </xf>
    <xf borderId="1" fillId="3" fontId="8" numFmtId="0" xfId="0" applyAlignment="1" applyBorder="1" applyFont="1">
      <alignment horizontal="center" readingOrder="0" vertical="bottom"/>
    </xf>
    <xf borderId="1" fillId="3" fontId="10" numFmtId="0" xfId="0" applyAlignment="1" applyBorder="1" applyFont="1">
      <alignment vertical="bottom"/>
    </xf>
    <xf borderId="1" fillId="7" fontId="8" numFmtId="0" xfId="0" applyAlignment="1" applyBorder="1" applyFont="1">
      <alignment horizontal="right" vertical="bottom"/>
    </xf>
    <xf borderId="1" fillId="6" fontId="8" numFmtId="0" xfId="0" applyAlignment="1" applyBorder="1" applyFont="1">
      <alignment horizontal="right" readingOrder="0" vertical="bottom"/>
    </xf>
    <xf borderId="1" fillId="19" fontId="10" numFmtId="0" xfId="0" applyAlignment="1" applyBorder="1" applyFont="1">
      <alignment readingOrder="0" vertical="bottom"/>
    </xf>
    <xf borderId="1" fillId="20" fontId="10" numFmtId="0" xfId="0" applyAlignment="1" applyBorder="1" applyFont="1">
      <alignment vertical="bottom"/>
    </xf>
    <xf borderId="1" fillId="21" fontId="10" numFmtId="0" xfId="0" applyAlignment="1" applyBorder="1" applyFont="1">
      <alignment vertical="bottom"/>
    </xf>
    <xf borderId="1" fillId="3" fontId="10" numFmtId="0" xfId="0" applyAlignment="1" applyBorder="1" applyFont="1">
      <alignment horizontal="center" vertical="bottom"/>
    </xf>
    <xf borderId="1" fillId="6" fontId="10" numFmtId="0" xfId="0" applyAlignment="1" applyBorder="1" applyFont="1">
      <alignment readingOrder="0" vertical="bottom"/>
    </xf>
    <xf borderId="1" fillId="3" fontId="8" numFmtId="0" xfId="0" applyAlignment="1" applyBorder="1" applyFont="1">
      <alignment horizontal="center" vertical="bottom"/>
    </xf>
    <xf borderId="1" fillId="20" fontId="10" numFmtId="0" xfId="0" applyAlignment="1" applyBorder="1" applyFont="1">
      <alignment readingOrder="0" vertical="bottom"/>
    </xf>
    <xf borderId="1" fillId="19" fontId="10" numFmtId="0" xfId="0" applyAlignment="1" applyBorder="1" applyFont="1">
      <alignment vertical="bottom"/>
    </xf>
    <xf borderId="1" fillId="21" fontId="12" numFmtId="0" xfId="0" applyAlignment="1" applyBorder="1" applyFont="1">
      <alignment horizontal="center" readingOrder="0"/>
    </xf>
    <xf borderId="1" fillId="15" fontId="13" numFmtId="0" xfId="0" applyAlignment="1" applyBorder="1" applyFont="1">
      <alignment horizontal="left" readingOrder="0" shrinkToFit="0" vertical="center" wrapText="1"/>
    </xf>
    <xf borderId="1" fillId="22" fontId="2" numFmtId="165" xfId="0" applyAlignment="1" applyBorder="1" applyFill="1" applyFont="1" applyNumberFormat="1">
      <alignment horizontal="center" readingOrder="0" textRotation="90" vertical="center"/>
    </xf>
    <xf borderId="1" fillId="0" fontId="14" numFmtId="0" xfId="0" applyAlignment="1" applyBorder="1" applyFont="1">
      <alignment horizontal="center" readingOrder="0"/>
    </xf>
    <xf borderId="1" fillId="23" fontId="2" numFmtId="165" xfId="0" applyAlignment="1" applyBorder="1" applyFill="1" applyFont="1" applyNumberFormat="1">
      <alignment horizontal="center" readingOrder="0" textRotation="90" vertical="center"/>
    </xf>
    <xf borderId="17" fillId="0" fontId="4" numFmtId="0" xfId="0" applyAlignment="1" applyBorder="1" applyFont="1">
      <alignment horizontal="center" readingOrder="0"/>
    </xf>
    <xf borderId="33" fillId="0" fontId="4" numFmtId="0" xfId="0" applyAlignment="1" applyBorder="1" applyFont="1">
      <alignment horizontal="center" readingOrder="0"/>
    </xf>
    <xf borderId="1" fillId="0" fontId="14" numFmtId="0" xfId="0" applyAlignment="1" applyBorder="1" applyFont="1">
      <alignment horizontal="left" readingOrder="0"/>
    </xf>
    <xf borderId="1" fillId="22" fontId="10" numFmtId="0" xfId="0" applyAlignment="1" applyBorder="1" applyFont="1">
      <alignment readingOrder="0" vertical="bottom"/>
    </xf>
    <xf borderId="1" fillId="3" fontId="10" numFmtId="0" xfId="0" applyAlignment="1" applyBorder="1" applyFont="1">
      <alignment horizontal="center" readingOrder="0" vertical="bottom"/>
    </xf>
    <xf borderId="1" fillId="4" fontId="8" numFmtId="0" xfId="0" applyAlignment="1" applyBorder="1" applyFont="1">
      <alignment horizontal="right" readingOrder="0" vertical="bottom"/>
    </xf>
    <xf borderId="1" fillId="4" fontId="10" numFmtId="0" xfId="0" applyAlignment="1" applyBorder="1" applyFont="1">
      <alignment readingOrder="0" vertical="bottom"/>
    </xf>
    <xf borderId="1" fillId="23" fontId="10" numFmtId="0" xfId="0" applyAlignment="1" applyBorder="1" applyFont="1">
      <alignment readingOrder="0" vertical="bottom"/>
    </xf>
    <xf borderId="7" fillId="0" fontId="14" numFmtId="0" xfId="0" applyAlignment="1" applyBorder="1" applyFont="1">
      <alignment horizontal="left" readingOrder="0" shrinkToFit="0" vertical="center" wrapText="1"/>
    </xf>
    <xf borderId="1" fillId="8" fontId="10" numFmtId="0" xfId="0" applyAlignment="1" applyBorder="1" applyFont="1">
      <alignment horizontal="center" readingOrder="0" vertical="bottom"/>
    </xf>
    <xf borderId="1" fillId="22" fontId="10" numFmtId="0" xfId="0" applyAlignment="1" applyBorder="1" applyFont="1">
      <alignment vertical="bottom"/>
    </xf>
    <xf borderId="1" fillId="23" fontId="10" numFmtId="0" xfId="0" applyAlignment="1" applyBorder="1" applyFont="1">
      <alignment vertical="bottom"/>
    </xf>
    <xf borderId="1" fillId="22" fontId="7" numFmtId="0" xfId="0" applyBorder="1" applyFont="1"/>
    <xf borderId="1" fillId="15" fontId="14" numFmtId="0" xfId="0" applyAlignment="1" applyBorder="1" applyFont="1">
      <alignment horizontal="left" readingOrder="0" shrinkToFit="0" vertical="center" wrapText="1"/>
    </xf>
    <xf borderId="1" fillId="4" fontId="8" numFmtId="0" xfId="0" applyAlignment="1" applyBorder="1" applyFont="1">
      <alignment horizontal="right" vertical="bottom"/>
    </xf>
    <xf borderId="1" fillId="4" fontId="23" numFmtId="0" xfId="0" applyAlignment="1" applyBorder="1" applyFont="1">
      <alignment horizontal="center" readingOrder="0"/>
    </xf>
    <xf borderId="1" fillId="23" fontId="4" numFmtId="0" xfId="0" applyAlignment="1" applyBorder="1" applyFont="1">
      <alignment horizontal="center" readingOrder="0"/>
    </xf>
    <xf borderId="1" fillId="8" fontId="10" numFmtId="0" xfId="0" applyAlignment="1" applyBorder="1" applyFont="1">
      <alignment horizontal="center" vertical="bottom"/>
    </xf>
    <xf borderId="7" fillId="18" fontId="10" numFmtId="0" xfId="0" applyAlignment="1" applyBorder="1" applyFont="1">
      <alignment vertical="bottom"/>
    </xf>
    <xf borderId="7" fillId="3" fontId="10" numFmtId="0" xfId="0" applyAlignment="1" applyBorder="1" applyFont="1">
      <alignment vertical="bottom"/>
    </xf>
    <xf borderId="2" fillId="0" fontId="14" numFmtId="0" xfId="0" applyAlignment="1" applyBorder="1" applyFont="1">
      <alignment horizontal="center" readingOrder="0"/>
    </xf>
    <xf borderId="1" fillId="18" fontId="10" numFmtId="0" xfId="0" applyAlignment="1" applyBorder="1" applyFont="1">
      <alignment vertical="bottom"/>
    </xf>
    <xf borderId="7" fillId="18" fontId="10" numFmtId="0" xfId="0" applyAlignment="1" applyBorder="1" applyFont="1">
      <alignment vertical="bottom"/>
    </xf>
    <xf borderId="1" fillId="4" fontId="8" numFmtId="0" xfId="0" applyAlignment="1" applyBorder="1" applyFont="1">
      <alignment horizontal="right" vertical="bottom"/>
    </xf>
    <xf borderId="7" fillId="3" fontId="10" numFmtId="0" xfId="0" applyAlignment="1" applyBorder="1" applyFont="1">
      <alignment horizontal="center" vertical="bottom"/>
    </xf>
    <xf borderId="7" fillId="3" fontId="10" numFmtId="0" xfId="0" applyAlignment="1" applyBorder="1" applyFont="1">
      <alignment vertical="bottom"/>
    </xf>
    <xf borderId="7" fillId="19" fontId="10" numFmtId="0" xfId="0" applyAlignment="1" applyBorder="1" applyFont="1">
      <alignment vertical="bottom"/>
    </xf>
    <xf borderId="7" fillId="20" fontId="10" numFmtId="0" xfId="0" applyAlignment="1" applyBorder="1" applyFont="1">
      <alignment vertical="bottom"/>
    </xf>
    <xf borderId="7" fillId="21" fontId="10" numFmtId="0" xfId="0" applyAlignment="1" applyBorder="1" applyFont="1">
      <alignment vertical="bottom"/>
    </xf>
    <xf borderId="7" fillId="8" fontId="8" numFmtId="0" xfId="0" applyAlignment="1" applyBorder="1" applyFont="1">
      <alignment horizontal="center" readingOrder="0" vertical="bottom"/>
    </xf>
    <xf borderId="1" fillId="15" fontId="8" numFmtId="4" xfId="0" applyAlignment="1" applyBorder="1" applyFont="1" applyNumberFormat="1">
      <alignment readingOrder="0"/>
    </xf>
    <xf borderId="1" fillId="3" fontId="8" numFmtId="0" xfId="0" applyAlignment="1" applyBorder="1" applyFont="1">
      <alignment readingOrder="0"/>
    </xf>
    <xf borderId="1" fillId="21" fontId="8" numFmtId="0" xfId="0" applyAlignment="1" applyBorder="1" applyFont="1">
      <alignment readingOrder="0"/>
    </xf>
    <xf borderId="1" fillId="20" fontId="8" numFmtId="0" xfId="0" applyAlignment="1" applyBorder="1" applyFont="1">
      <alignment readingOrder="0"/>
    </xf>
    <xf borderId="1" fillId="15" fontId="8" numFmtId="49" xfId="0" applyAlignment="1" applyBorder="1" applyFont="1" applyNumberFormat="1">
      <alignment horizontal="center" readingOrder="0"/>
    </xf>
    <xf borderId="7" fillId="15" fontId="8" numFmtId="4" xfId="0" applyAlignment="1" applyBorder="1" applyFont="1" applyNumberFormat="1">
      <alignment horizontal="center" readingOrder="0"/>
    </xf>
    <xf borderId="7" fillId="8" fontId="10" numFmtId="0" xfId="0" applyAlignment="1" applyBorder="1" applyFont="1">
      <alignment horizontal="center" vertical="bottom"/>
    </xf>
    <xf borderId="7" fillId="22" fontId="10" numFmtId="0" xfId="0" applyAlignment="1" applyBorder="1" applyFont="1">
      <alignment vertical="bottom"/>
    </xf>
    <xf borderId="7" fillId="23" fontId="10" numFmtId="0" xfId="0" applyAlignment="1" applyBorder="1" applyFont="1">
      <alignment vertical="bottom"/>
    </xf>
    <xf borderId="1" fillId="8" fontId="8" numFmtId="0" xfId="0" applyAlignment="1" applyBorder="1" applyFont="1">
      <alignment horizontal="center" readingOrder="0"/>
    </xf>
    <xf borderId="1" fillId="22" fontId="8" numFmtId="0" xfId="0" applyAlignment="1" applyBorder="1" applyFont="1">
      <alignment readingOrder="0"/>
    </xf>
    <xf borderId="1" fillId="4" fontId="8" numFmtId="0" xfId="0" applyAlignment="1" applyBorder="1" applyFont="1">
      <alignment readingOrder="0"/>
    </xf>
    <xf borderId="1" fillId="23" fontId="8" numFmtId="0" xfId="0" applyAlignment="1" applyBorder="1" applyFont="1">
      <alignment readingOrder="0"/>
    </xf>
    <xf borderId="1" fillId="3" fontId="10" numFmtId="0" xfId="0" applyAlignment="1" applyBorder="1" applyFont="1">
      <alignment horizontal="center" vertical="bottom"/>
    </xf>
    <xf borderId="1" fillId="19" fontId="10" numFmtId="0" xfId="0" applyAlignment="1" applyBorder="1" applyFont="1">
      <alignment vertical="bottom"/>
    </xf>
    <xf borderId="1" fillId="20" fontId="10" numFmtId="0" xfId="0" applyAlignment="1" applyBorder="1" applyFont="1">
      <alignment vertical="bottom"/>
    </xf>
    <xf borderId="1" fillId="21" fontId="10" numFmtId="0" xfId="0" applyAlignment="1" applyBorder="1" applyFont="1">
      <alignment vertical="bottom"/>
    </xf>
    <xf borderId="7" fillId="3" fontId="10" numFmtId="0" xfId="0" applyAlignment="1" applyBorder="1" applyFont="1">
      <alignment horizontal="center" vertical="bottom"/>
    </xf>
    <xf borderId="7" fillId="18" fontId="8" numFmtId="0" xfId="0" applyAlignment="1" applyBorder="1" applyFont="1">
      <alignment horizontal="center" vertical="bottom"/>
    </xf>
    <xf borderId="7" fillId="19" fontId="10" numFmtId="0" xfId="0" applyAlignment="1" applyBorder="1" applyFont="1">
      <alignment vertical="bottom"/>
    </xf>
    <xf borderId="7" fillId="20" fontId="10" numFmtId="0" xfId="0" applyAlignment="1" applyBorder="1" applyFont="1">
      <alignment vertical="bottom"/>
    </xf>
    <xf borderId="7" fillId="6" fontId="8" numFmtId="0" xfId="0" applyAlignment="1" applyBorder="1" applyFont="1">
      <alignment horizontal="right" vertical="bottom"/>
    </xf>
    <xf borderId="7" fillId="21" fontId="10" numFmtId="0" xfId="0" applyAlignment="1" applyBorder="1" applyFont="1">
      <alignment vertical="bottom"/>
    </xf>
    <xf borderId="7" fillId="15" fontId="8" numFmtId="0" xfId="0" applyAlignment="1" applyBorder="1" applyFont="1">
      <alignment horizontal="right" readingOrder="0" vertical="bottom"/>
    </xf>
    <xf borderId="1" fillId="0" fontId="8" numFmtId="0" xfId="0" applyAlignment="1" applyBorder="1" applyFont="1">
      <alignment readingOrder="0" shrinkToFit="0" wrapText="1"/>
    </xf>
    <xf borderId="7" fillId="6" fontId="10" numFmtId="0" xfId="0" applyAlignment="1" applyBorder="1" applyFont="1">
      <alignment readingOrder="0" vertical="bottom"/>
    </xf>
    <xf borderId="1" fillId="8" fontId="10" numFmtId="0" xfId="0" applyAlignment="1" applyBorder="1" applyFont="1">
      <alignment horizontal="center" vertical="bottom"/>
    </xf>
    <xf borderId="7" fillId="3" fontId="8" numFmtId="0" xfId="0" applyAlignment="1" applyBorder="1" applyFont="1">
      <alignment horizontal="center" readingOrder="0" vertical="bottom"/>
    </xf>
    <xf borderId="7" fillId="19" fontId="10" numFmtId="0" xfId="0" applyAlignment="1" applyBorder="1" applyFont="1">
      <alignment readingOrder="0" vertical="bottom"/>
    </xf>
    <xf borderId="7" fillId="20" fontId="10" numFmtId="0" xfId="0" applyAlignment="1" applyBorder="1" applyFont="1">
      <alignment readingOrder="0" vertical="bottom"/>
    </xf>
    <xf borderId="1" fillId="23" fontId="10" numFmtId="0" xfId="0" applyAlignment="1" applyBorder="1" applyFont="1">
      <alignment vertical="bottom"/>
    </xf>
    <xf borderId="7" fillId="8" fontId="10" numFmtId="0" xfId="0" applyAlignment="1" applyBorder="1" applyFont="1">
      <alignment horizontal="center" vertical="bottom"/>
    </xf>
    <xf borderId="7" fillId="23" fontId="10" numFmtId="0" xfId="0" applyAlignment="1" applyBorder="1" applyFont="1">
      <alignment vertical="bottom"/>
    </xf>
    <xf borderId="7" fillId="8" fontId="10" numFmtId="0" xfId="0" applyAlignment="1" applyBorder="1" applyFont="1">
      <alignment horizontal="center" readingOrder="0" vertical="bottom"/>
    </xf>
    <xf borderId="7" fillId="4" fontId="10" numFmtId="0" xfId="0" applyAlignment="1" applyBorder="1" applyFont="1">
      <alignment readingOrder="0" vertical="bottom"/>
    </xf>
    <xf borderId="7" fillId="8" fontId="8" numFmtId="0" xfId="0" applyAlignment="1" applyBorder="1" applyFont="1">
      <alignment horizontal="center" vertical="bottom"/>
    </xf>
    <xf borderId="7" fillId="22" fontId="10" numFmtId="0" xfId="0" applyAlignment="1" applyBorder="1" applyFont="1">
      <alignment readingOrder="0" vertical="bottom"/>
    </xf>
    <xf borderId="7" fillId="3" fontId="8" numFmtId="0" xfId="0" applyAlignment="1" applyBorder="1" applyFont="1">
      <alignment horizontal="center" vertical="bottom"/>
    </xf>
    <xf borderId="1" fillId="24" fontId="2" numFmtId="165" xfId="0" applyAlignment="1" applyBorder="1" applyFill="1" applyFont="1" applyNumberFormat="1">
      <alignment horizontal="center" readingOrder="0" textRotation="90" vertical="center"/>
    </xf>
    <xf borderId="1" fillId="25" fontId="2" numFmtId="165" xfId="0" applyAlignment="1" applyBorder="1" applyFill="1" applyFont="1" applyNumberFormat="1">
      <alignment horizontal="center" readingOrder="0" textRotation="90" vertical="center"/>
    </xf>
    <xf borderId="7" fillId="6" fontId="7" numFmtId="0" xfId="0" applyBorder="1" applyFont="1"/>
    <xf borderId="1" fillId="15" fontId="8" numFmtId="0" xfId="0" applyAlignment="1" applyBorder="1" applyFont="1">
      <alignment horizontal="center" readingOrder="0" vertical="bottom"/>
    </xf>
    <xf borderId="1" fillId="23" fontId="8" numFmtId="0" xfId="0" applyAlignment="1" applyBorder="1" applyFont="1">
      <alignment horizontal="right" readingOrder="0" vertical="bottom"/>
    </xf>
    <xf borderId="1" fillId="3" fontId="8" numFmtId="0" xfId="0" applyAlignment="1" applyBorder="1" applyFont="1">
      <alignment horizontal="right" readingOrder="0" vertical="bottom"/>
    </xf>
    <xf borderId="1" fillId="24" fontId="10" numFmtId="0" xfId="0" applyAlignment="1" applyBorder="1" applyFont="1">
      <alignment readingOrder="0" vertical="bottom"/>
    </xf>
    <xf borderId="1" fillId="26" fontId="10" numFmtId="0" xfId="0" applyAlignment="1" applyBorder="1" applyFill="1" applyFont="1">
      <alignment readingOrder="0" vertical="bottom"/>
    </xf>
    <xf borderId="1" fillId="25" fontId="10" numFmtId="0" xfId="0" applyAlignment="1" applyBorder="1" applyFont="1">
      <alignment readingOrder="0" vertical="bottom"/>
    </xf>
    <xf borderId="1" fillId="14" fontId="10" numFmtId="0" xfId="0" applyAlignment="1" applyBorder="1" applyFont="1">
      <alignment readingOrder="0" vertical="bottom"/>
    </xf>
    <xf borderId="1" fillId="3" fontId="7" numFmtId="0" xfId="0" applyBorder="1" applyFont="1"/>
    <xf borderId="1" fillId="0" fontId="14" numFmtId="0" xfId="0" applyAlignment="1" applyBorder="1" applyFont="1">
      <alignment horizontal="left" readingOrder="0" shrinkToFit="0" vertical="center" wrapText="1"/>
    </xf>
    <xf borderId="1" fillId="15" fontId="10" numFmtId="0" xfId="0" applyAlignment="1" applyBorder="1" applyFont="1">
      <alignment horizontal="center" readingOrder="0" vertical="bottom"/>
    </xf>
    <xf borderId="1" fillId="26" fontId="10" numFmtId="0" xfId="0" applyAlignment="1" applyBorder="1" applyFont="1">
      <alignment vertical="bottom"/>
    </xf>
    <xf borderId="1" fillId="25" fontId="10" numFmtId="0" xfId="0" applyAlignment="1" applyBorder="1" applyFont="1">
      <alignment vertical="bottom"/>
    </xf>
    <xf borderId="1" fillId="14" fontId="10" numFmtId="0" xfId="0" applyAlignment="1" applyBorder="1" applyFont="1">
      <alignment vertical="bottom"/>
    </xf>
    <xf borderId="11" fillId="14" fontId="7" numFmtId="0" xfId="0" applyBorder="1" applyFont="1"/>
    <xf borderId="11" fillId="0" fontId="14" numFmtId="0" xfId="0" applyAlignment="1" applyBorder="1" applyFont="1">
      <alignment horizontal="left" readingOrder="0" shrinkToFit="0" vertical="center" wrapText="1"/>
    </xf>
    <xf borderId="1" fillId="25" fontId="7" numFmtId="0" xfId="0" applyBorder="1" applyFont="1"/>
    <xf borderId="1" fillId="3" fontId="10" numFmtId="0" xfId="0" applyAlignment="1" applyBorder="1" applyFont="1">
      <alignment readingOrder="0" vertical="bottom"/>
    </xf>
    <xf borderId="1" fillId="24" fontId="10" numFmtId="0" xfId="0" applyAlignment="1" applyBorder="1" applyFont="1">
      <alignment vertical="bottom"/>
    </xf>
    <xf borderId="1" fillId="24" fontId="4" numFmtId="0" xfId="0" applyAlignment="1" applyBorder="1" applyFont="1">
      <alignment horizontal="center" readingOrder="0"/>
    </xf>
    <xf borderId="1" fillId="23" fontId="8" numFmtId="0" xfId="0" applyAlignment="1" applyBorder="1" applyFont="1">
      <alignment horizontal="right" vertical="bottom"/>
    </xf>
    <xf borderId="7" fillId="4" fontId="8" numFmtId="0" xfId="0" applyAlignment="1" applyBorder="1" applyFont="1">
      <alignment horizontal="right" readingOrder="0" vertical="bottom"/>
    </xf>
    <xf borderId="1" fillId="6" fontId="8" numFmtId="0" xfId="0" applyAlignment="1" applyBorder="1" applyFont="1">
      <alignment horizontal="right" vertical="bottom"/>
    </xf>
    <xf borderId="7" fillId="3" fontId="10" numFmtId="0" xfId="0" applyAlignment="1" applyBorder="1" applyFont="1">
      <alignment horizontal="center" readingOrder="0" vertical="bottom"/>
    </xf>
    <xf borderId="1" fillId="15" fontId="10" numFmtId="0" xfId="0" applyAlignment="1" applyBorder="1" applyFont="1">
      <alignment horizontal="center" vertical="bottom"/>
    </xf>
    <xf borderId="1" fillId="3" fontId="8" numFmtId="0" xfId="0" applyAlignment="1" applyBorder="1" applyFont="1">
      <alignment horizontal="right" vertical="bottom"/>
    </xf>
    <xf borderId="0" fillId="12" fontId="6" numFmtId="4" xfId="0" applyAlignment="1" applyFont="1" applyNumberFormat="1">
      <alignment horizontal="left" readingOrder="0" vertical="bottom"/>
    </xf>
    <xf borderId="1" fillId="8" fontId="8" numFmtId="4" xfId="0" applyAlignment="1" applyBorder="1" applyFont="1" applyNumberFormat="1">
      <alignment horizontal="left" readingOrder="0" vertical="bottom"/>
    </xf>
    <xf borderId="1" fillId="3" fontId="8" numFmtId="4" xfId="0" applyAlignment="1" applyBorder="1" applyFont="1" applyNumberFormat="1">
      <alignment horizontal="left" readingOrder="0" vertical="bottom"/>
    </xf>
    <xf borderId="1" fillId="15" fontId="8" numFmtId="4" xfId="0" applyAlignment="1" applyBorder="1" applyFont="1" applyNumberFormat="1">
      <alignment horizontal="left" readingOrder="0" vertical="bottom"/>
    </xf>
    <xf borderId="1" fillId="27" fontId="8" numFmtId="4" xfId="0" applyAlignment="1" applyBorder="1" applyFill="1" applyFont="1" applyNumberFormat="1">
      <alignment horizontal="left" readingOrder="0" vertical="bottom"/>
    </xf>
    <xf borderId="1" fillId="6" fontId="8" numFmtId="4" xfId="0" applyAlignment="1" applyBorder="1" applyFont="1" applyNumberFormat="1">
      <alignment horizontal="left" readingOrder="0" vertical="bottom"/>
    </xf>
    <xf borderId="1" fillId="4" fontId="8" numFmtId="4" xfId="0" applyAlignment="1" applyBorder="1" applyFont="1" applyNumberFormat="1">
      <alignment horizontal="left" readingOrder="0" vertical="bottom"/>
    </xf>
    <xf borderId="1" fillId="28" fontId="8" numFmtId="4" xfId="0" applyAlignment="1" applyBorder="1" applyFill="1" applyFont="1" applyNumberFormat="1">
      <alignment horizontal="left" readingOrder="0" vertical="bottom"/>
    </xf>
    <xf borderId="1" fillId="23" fontId="8" numFmtId="4" xfId="0" applyAlignment="1" applyBorder="1" applyFont="1" applyNumberFormat="1">
      <alignment horizontal="left" readingOrder="0" vertical="bottom"/>
    </xf>
    <xf borderId="1" fillId="15" fontId="8" numFmtId="49" xfId="0" applyAlignment="1" applyBorder="1" applyFont="1" applyNumberFormat="1">
      <alignment horizontal="center" readingOrder="0" vertical="bottom"/>
    </xf>
    <xf borderId="1" fillId="15" fontId="8" numFmtId="4" xfId="0" applyAlignment="1" applyBorder="1" applyFont="1" applyNumberFormat="1">
      <alignment horizontal="center" readingOrder="0" vertical="bottom"/>
    </xf>
    <xf borderId="7" fillId="7" fontId="8" numFmtId="0" xfId="0" applyAlignment="1" applyBorder="1" applyFont="1">
      <alignment horizontal="right" vertical="bottom"/>
    </xf>
    <xf borderId="7" fillId="6" fontId="8" numFmtId="0" xfId="0" applyAlignment="1" applyBorder="1" applyFont="1">
      <alignment horizontal="right" readingOrder="0" vertical="bottom"/>
    </xf>
    <xf borderId="7" fillId="8" fontId="8" numFmtId="4" xfId="0" applyAlignment="1" applyBorder="1" applyFont="1" applyNumberFormat="1">
      <alignment horizontal="left" readingOrder="0" vertical="bottom"/>
    </xf>
    <xf borderId="7" fillId="3" fontId="8" numFmtId="4" xfId="0" applyAlignment="1" applyBorder="1" applyFont="1" applyNumberFormat="1">
      <alignment horizontal="left" readingOrder="0" vertical="bottom"/>
    </xf>
    <xf borderId="7" fillId="15" fontId="8" numFmtId="4" xfId="0" applyAlignment="1" applyBorder="1" applyFont="1" applyNumberFormat="1">
      <alignment horizontal="left" readingOrder="0" vertical="bottom"/>
    </xf>
    <xf borderId="7" fillId="27" fontId="8" numFmtId="4" xfId="0" applyAlignment="1" applyBorder="1" applyFont="1" applyNumberFormat="1">
      <alignment horizontal="left" readingOrder="0" vertical="bottom"/>
    </xf>
    <xf borderId="7" fillId="6" fontId="8" numFmtId="4" xfId="0" applyAlignment="1" applyBorder="1" applyFont="1" applyNumberFormat="1">
      <alignment horizontal="left" readingOrder="0" vertical="bottom"/>
    </xf>
    <xf borderId="27" fillId="10" fontId="1" numFmtId="4" xfId="0" applyAlignment="1" applyBorder="1" applyFont="1" applyNumberFormat="1">
      <alignment horizontal="center" readingOrder="0" vertical="center"/>
    </xf>
    <xf borderId="7" fillId="4" fontId="8" numFmtId="4" xfId="0" applyAlignment="1" applyBorder="1" applyFont="1" applyNumberFormat="1">
      <alignment horizontal="left" readingOrder="0" vertical="bottom"/>
    </xf>
    <xf borderId="7" fillId="28" fontId="8" numFmtId="4" xfId="0" applyAlignment="1" applyBorder="1" applyFont="1" applyNumberFormat="1">
      <alignment horizontal="left" readingOrder="0" vertical="bottom"/>
    </xf>
    <xf borderId="7" fillId="23" fontId="8" numFmtId="4" xfId="0" applyAlignment="1" applyBorder="1" applyFont="1" applyNumberFormat="1">
      <alignment horizontal="left" readingOrder="0" vertical="bottom"/>
    </xf>
    <xf borderId="7" fillId="15" fontId="8" numFmtId="49" xfId="0" applyAlignment="1" applyBorder="1" applyFont="1" applyNumberFormat="1">
      <alignment horizontal="center" readingOrder="0" vertical="bottom"/>
    </xf>
    <xf borderId="7" fillId="15" fontId="8" numFmtId="4" xfId="0" applyAlignment="1" applyBorder="1" applyFont="1" applyNumberFormat="1">
      <alignment horizontal="center" readingOrder="0" vertical="bottom"/>
    </xf>
    <xf borderId="22" fillId="10" fontId="1" numFmtId="4" xfId="0" applyAlignment="1" applyBorder="1" applyFont="1" applyNumberFormat="1">
      <alignment horizontal="center" readingOrder="0" vertical="bottom"/>
    </xf>
    <xf borderId="7" fillId="4" fontId="8" numFmtId="0" xfId="0" applyAlignment="1" applyBorder="1" applyFont="1">
      <alignment horizontal="right" vertical="bottom"/>
    </xf>
    <xf borderId="7" fillId="23" fontId="10" numFmtId="0" xfId="0" applyAlignment="1" applyBorder="1" applyFont="1">
      <alignment readingOrder="0" vertical="bottom"/>
    </xf>
    <xf borderId="0" fillId="0" fontId="8" numFmtId="4" xfId="0" applyAlignment="1" applyFont="1" applyNumberFormat="1">
      <alignment horizontal="center" readingOrder="0"/>
    </xf>
    <xf borderId="7" fillId="15" fontId="10" numFmtId="0" xfId="0" applyAlignment="1" applyBorder="1" applyFont="1">
      <alignment horizontal="center" vertical="bottom"/>
    </xf>
    <xf borderId="7" fillId="24" fontId="10" numFmtId="0" xfId="0" applyAlignment="1" applyBorder="1" applyFont="1">
      <alignment vertical="bottom"/>
    </xf>
    <xf borderId="7" fillId="26" fontId="10" numFmtId="0" xfId="0" applyAlignment="1" applyBorder="1" applyFont="1">
      <alignment vertical="bottom"/>
    </xf>
    <xf borderId="7" fillId="25" fontId="10" numFmtId="0" xfId="0" applyAlignment="1" applyBorder="1" applyFont="1">
      <alignment vertical="bottom"/>
    </xf>
    <xf borderId="7" fillId="14" fontId="10" numFmtId="0" xfId="0" applyAlignment="1" applyBorder="1" applyFont="1">
      <alignment vertical="bottom"/>
    </xf>
    <xf borderId="1" fillId="24" fontId="8" numFmtId="0" xfId="0" applyAlignment="1" applyBorder="1" applyFont="1">
      <alignment readingOrder="0"/>
    </xf>
    <xf borderId="1" fillId="26" fontId="8" numFmtId="0" xfId="0" applyAlignment="1" applyBorder="1" applyFont="1">
      <alignment readingOrder="0"/>
    </xf>
    <xf borderId="1" fillId="25" fontId="8" numFmtId="0" xfId="0" applyAlignment="1" applyBorder="1" applyFont="1">
      <alignment readingOrder="0"/>
    </xf>
    <xf borderId="1" fillId="14" fontId="8" numFmtId="0" xfId="0" applyAlignment="1" applyBorder="1" applyFont="1">
      <alignment readingOrder="0"/>
    </xf>
    <xf borderId="41" fillId="10" fontId="2" numFmtId="0" xfId="0" applyAlignment="1" applyBorder="1" applyFont="1">
      <alignment horizontal="right" readingOrder="0"/>
    </xf>
    <xf borderId="42" fillId="0" fontId="5" numFmtId="0" xfId="0" applyBorder="1" applyFont="1"/>
    <xf borderId="1" fillId="18" fontId="10" numFmtId="0" xfId="0" applyBorder="1" applyFont="1"/>
    <xf borderId="1" fillId="3" fontId="10" numFmtId="0" xfId="0" applyBorder="1" applyFont="1"/>
    <xf borderId="7" fillId="15" fontId="8" numFmtId="0" xfId="0" applyAlignment="1" applyBorder="1" applyFont="1">
      <alignment readingOrder="0" vertical="center"/>
    </xf>
    <xf borderId="1" fillId="6" fontId="8" numFmtId="0" xfId="0" applyAlignment="1" applyBorder="1" applyFont="1">
      <alignment readingOrder="0" vertical="bottom"/>
    </xf>
    <xf borderId="1" fillId="6" fontId="8" numFmtId="0" xfId="0" applyAlignment="1" applyBorder="1" applyFont="1">
      <alignment horizontal="center" vertical="bottom"/>
    </xf>
    <xf borderId="1" fillId="6" fontId="8" numFmtId="0" xfId="0" applyAlignment="1" applyBorder="1" applyFont="1">
      <alignment horizontal="center" shrinkToFit="0" wrapText="1"/>
    </xf>
    <xf borderId="1" fillId="6" fontId="8" numFmtId="4" xfId="0" applyAlignment="1" applyBorder="1" applyFont="1" applyNumberFormat="1">
      <alignment horizontal="center" readingOrder="0"/>
    </xf>
    <xf borderId="1" fillId="6" fontId="8" numFmtId="4" xfId="0" applyAlignment="1" applyBorder="1" applyFont="1" applyNumberFormat="1">
      <alignment horizontal="center"/>
    </xf>
    <xf borderId="0" fillId="6" fontId="2" numFmtId="4" xfId="0" applyAlignment="1" applyFont="1" applyNumberFormat="1">
      <alignment horizontal="center" shrinkToFit="0" vertical="center" wrapText="1"/>
    </xf>
    <xf borderId="0" fillId="6" fontId="8" numFmtId="4" xfId="0" applyAlignment="1" applyFont="1" applyNumberFormat="1">
      <alignment horizontal="center"/>
    </xf>
    <xf borderId="1" fillId="15" fontId="10" numFmtId="0" xfId="0" applyAlignment="1" applyBorder="1" applyFont="1">
      <alignment horizontal="center" vertical="bottom"/>
    </xf>
    <xf borderId="1" fillId="24" fontId="10" numFmtId="0" xfId="0" applyAlignment="1" applyBorder="1" applyFont="1">
      <alignment vertical="bottom"/>
    </xf>
    <xf borderId="1" fillId="25" fontId="10" numFmtId="0" xfId="0" applyAlignment="1" applyBorder="1" applyFont="1">
      <alignment vertical="bottom"/>
    </xf>
    <xf borderId="1" fillId="14" fontId="10" numFmtId="0" xfId="0" applyAlignment="1" applyBorder="1" applyFont="1">
      <alignment vertical="bottom"/>
    </xf>
    <xf borderId="7" fillId="15" fontId="10" numFmtId="0" xfId="0" applyAlignment="1" applyBorder="1" applyFont="1">
      <alignment horizontal="center" vertical="bottom"/>
    </xf>
    <xf borderId="7" fillId="24" fontId="10" numFmtId="0" xfId="0" applyAlignment="1" applyBorder="1" applyFont="1">
      <alignment vertical="bottom"/>
    </xf>
    <xf borderId="7" fillId="26" fontId="10" numFmtId="0" xfId="0" applyAlignment="1" applyBorder="1" applyFont="1">
      <alignment vertical="bottom"/>
    </xf>
    <xf borderId="7" fillId="25" fontId="10" numFmtId="0" xfId="0" applyAlignment="1" applyBorder="1" applyFont="1">
      <alignment vertical="bottom"/>
    </xf>
    <xf borderId="7" fillId="14" fontId="10" numFmtId="0" xfId="0" applyAlignment="1" applyBorder="1" applyFont="1">
      <alignment vertical="bottom"/>
    </xf>
    <xf borderId="1" fillId="3" fontId="10" numFmtId="0" xfId="0" applyAlignment="1" applyBorder="1" applyFont="1">
      <alignment horizontal="center"/>
    </xf>
    <xf borderId="7" fillId="15" fontId="10" numFmtId="0" xfId="0" applyAlignment="1" applyBorder="1" applyFont="1">
      <alignment horizontal="center" readingOrder="0" vertical="bottom"/>
    </xf>
    <xf borderId="1" fillId="19" fontId="10" numFmtId="0" xfId="0" applyBorder="1" applyFont="1"/>
    <xf borderId="7" fillId="3" fontId="10" numFmtId="0" xfId="0" applyAlignment="1" applyBorder="1" applyFont="1">
      <alignment readingOrder="0" vertical="bottom"/>
    </xf>
    <xf borderId="1" fillId="20" fontId="10" numFmtId="0" xfId="0" applyBorder="1" applyFont="1"/>
    <xf borderId="7" fillId="24" fontId="10" numFmtId="0" xfId="0" applyAlignment="1" applyBorder="1" applyFont="1">
      <alignment readingOrder="0" vertical="bottom"/>
    </xf>
    <xf borderId="1" fillId="21" fontId="10" numFmtId="0" xfId="0" applyBorder="1" applyFont="1"/>
    <xf borderId="7" fillId="26" fontId="10" numFmtId="0" xfId="0" applyAlignment="1" applyBorder="1" applyFont="1">
      <alignment readingOrder="0" vertical="bottom"/>
    </xf>
    <xf borderId="7" fillId="25" fontId="10" numFmtId="0" xfId="0" applyAlignment="1" applyBorder="1" applyFont="1">
      <alignment readingOrder="0" vertical="bottom"/>
    </xf>
    <xf borderId="7" fillId="14" fontId="10" numFmtId="0" xfId="0" applyAlignment="1" applyBorder="1" applyFont="1">
      <alignment readingOrder="0" vertical="bottom"/>
    </xf>
    <xf borderId="1" fillId="8" fontId="8" numFmtId="0" xfId="0" applyAlignment="1" applyBorder="1" applyFont="1">
      <alignment horizontal="center"/>
    </xf>
    <xf borderId="1" fillId="18" fontId="8" numFmtId="0" xfId="0" applyAlignment="1" applyBorder="1" applyFont="1">
      <alignment horizontal="center"/>
    </xf>
    <xf borderId="1" fillId="26" fontId="10" numFmtId="0" xfId="0" applyAlignment="1" applyBorder="1" applyFont="1">
      <alignment vertical="bottom"/>
    </xf>
    <xf borderId="7" fillId="15" fontId="8" numFmtId="0" xfId="0" applyAlignment="1" applyBorder="1" applyFont="1">
      <alignment horizontal="center" readingOrder="0" vertical="bottom"/>
    </xf>
    <xf borderId="7" fillId="8" fontId="8" numFmtId="0" xfId="0" applyAlignment="1" applyBorder="1" applyFont="1">
      <alignment horizontal="center"/>
    </xf>
    <xf borderId="7" fillId="18" fontId="8" numFmtId="0" xfId="0" applyAlignment="1" applyBorder="1" applyFont="1">
      <alignment horizontal="center"/>
    </xf>
    <xf borderId="1" fillId="7" fontId="8" numFmtId="0" xfId="0" applyAlignment="1" applyBorder="1" applyFont="1">
      <alignment horizontal="right"/>
    </xf>
    <xf borderId="0" fillId="8" fontId="8" numFmtId="0" xfId="0" applyAlignment="1" applyFont="1">
      <alignment horizontal="center"/>
    </xf>
    <xf borderId="0" fillId="18" fontId="8" numFmtId="0" xfId="0" applyAlignment="1" applyFont="1">
      <alignment horizontal="center"/>
    </xf>
    <xf borderId="0" fillId="10" fontId="8" numFmtId="0" xfId="0" applyFont="1"/>
    <xf borderId="1" fillId="10" fontId="19" numFmtId="167" xfId="0" applyAlignment="1" applyBorder="1" applyFont="1" applyNumberFormat="1">
      <alignment horizontal="center" vertical="center"/>
    </xf>
    <xf borderId="7" fillId="3" fontId="10" numFmtId="0" xfId="0" applyAlignment="1" applyBorder="1" applyFont="1">
      <alignment horizontal="center"/>
    </xf>
    <xf borderId="7" fillId="3" fontId="10" numFmtId="0" xfId="0" applyBorder="1" applyFont="1"/>
    <xf borderId="7" fillId="19" fontId="10" numFmtId="0" xfId="0" applyBorder="1" applyFont="1"/>
    <xf borderId="7" fillId="20" fontId="10" numFmtId="0" xfId="0" applyBorder="1" applyFont="1"/>
    <xf borderId="7" fillId="21" fontId="10" numFmtId="0" xfId="0" applyBorder="1" applyFont="1"/>
    <xf borderId="1" fillId="7" fontId="8" numFmtId="0" xfId="0" applyAlignment="1" applyBorder="1" applyFont="1">
      <alignment horizontal="center"/>
    </xf>
    <xf borderId="1" fillId="8" fontId="10" numFmtId="0" xfId="0" applyAlignment="1" applyBorder="1" applyFont="1">
      <alignment horizontal="center"/>
    </xf>
    <xf borderId="1" fillId="22" fontId="10" numFmtId="0" xfId="0" applyBorder="1" applyFont="1"/>
    <xf borderId="1" fillId="19" fontId="8" numFmtId="0" xfId="0" applyBorder="1" applyFont="1"/>
    <xf borderId="1" fillId="20" fontId="8" numFmtId="0" xfId="0" applyBorder="1" applyFont="1"/>
    <xf borderId="1" fillId="21" fontId="8" numFmtId="0" xfId="0" applyBorder="1" applyFont="1"/>
    <xf borderId="1" fillId="23" fontId="10" numFmtId="0" xfId="0" applyBorder="1" applyFont="1"/>
    <xf borderId="1" fillId="7" fontId="8" numFmtId="0" xfId="0" applyAlignment="1" applyBorder="1" applyFont="1">
      <alignment horizontal="center" readingOrder="0"/>
    </xf>
    <xf borderId="1" fillId="4" fontId="10" numFmtId="0" xfId="0" applyAlignment="1" applyBorder="1" applyFont="1">
      <alignment readingOrder="0"/>
    </xf>
    <xf borderId="7" fillId="7" fontId="8" numFmtId="0" xfId="0" applyAlignment="1" applyBorder="1" applyFont="1">
      <alignment horizontal="center" readingOrder="0"/>
    </xf>
    <xf borderId="7" fillId="19" fontId="8" numFmtId="0" xfId="0" applyBorder="1" applyFont="1"/>
    <xf borderId="7" fillId="20" fontId="8" numFmtId="0" xfId="0" applyBorder="1" applyFont="1"/>
    <xf borderId="7" fillId="21" fontId="8" numFmtId="0" xfId="0" applyBorder="1" applyFont="1"/>
    <xf borderId="0" fillId="7" fontId="8" numFmtId="0" xfId="0" applyAlignment="1" applyFont="1">
      <alignment horizontal="center"/>
    </xf>
    <xf borderId="0" fillId="19" fontId="8" numFmtId="0" xfId="0" applyFont="1"/>
    <xf borderId="0" fillId="20" fontId="8" numFmtId="0" xfId="0" applyFont="1"/>
    <xf borderId="29" fillId="10" fontId="1" numFmtId="4" xfId="0" applyAlignment="1" applyBorder="1" applyFont="1" applyNumberFormat="1">
      <alignment horizontal="right" vertical="bottom"/>
    </xf>
    <xf borderId="0" fillId="21" fontId="8" numFmtId="0" xfId="0" applyFont="1"/>
    <xf borderId="17" fillId="10" fontId="19" numFmtId="0" xfId="0" applyAlignment="1" applyBorder="1" applyFont="1">
      <alignment horizontal="center" readingOrder="0" shrinkToFit="0" wrapText="1"/>
    </xf>
    <xf borderId="32" fillId="10" fontId="1" numFmtId="4" xfId="0" applyAlignment="1" applyBorder="1" applyFont="1" applyNumberFormat="1">
      <alignment horizontal="center" readingOrder="0"/>
    </xf>
    <xf borderId="1" fillId="24" fontId="8" numFmtId="4" xfId="0" applyAlignment="1" applyBorder="1" applyFont="1" applyNumberFormat="1">
      <alignment horizontal="left" readingOrder="0" vertical="bottom"/>
    </xf>
    <xf borderId="1" fillId="26" fontId="8" numFmtId="4" xfId="0" applyAlignment="1" applyBorder="1" applyFont="1" applyNumberFormat="1">
      <alignment horizontal="left" readingOrder="0" vertical="bottom"/>
    </xf>
    <xf borderId="1" fillId="25" fontId="8" numFmtId="4" xfId="0" applyAlignment="1" applyBorder="1" applyFont="1" applyNumberFormat="1">
      <alignment horizontal="left" readingOrder="0" vertical="bottom"/>
    </xf>
    <xf borderId="1" fillId="14" fontId="8" numFmtId="4" xfId="0" applyAlignment="1" applyBorder="1" applyFont="1" applyNumberFormat="1">
      <alignment horizontal="left" readingOrder="0" vertical="bottom"/>
    </xf>
    <xf borderId="5" fillId="10" fontId="1" numFmtId="4" xfId="0" applyAlignment="1" applyBorder="1" applyFont="1" applyNumberFormat="1">
      <alignment horizontal="center" readingOrder="0" vertical="bottom"/>
    </xf>
    <xf borderId="7" fillId="8" fontId="10" numFmtId="0" xfId="0" applyAlignment="1" applyBorder="1" applyFont="1">
      <alignment horizontal="center"/>
    </xf>
    <xf borderId="7" fillId="22" fontId="10" numFmtId="0" xfId="0" applyBorder="1" applyFont="1"/>
    <xf borderId="7" fillId="23" fontId="10" numFmtId="0" xfId="0" applyBorder="1" applyFont="1"/>
    <xf borderId="1" fillId="22" fontId="8" numFmtId="0" xfId="0" applyBorder="1" applyFont="1"/>
    <xf borderId="1" fillId="23" fontId="8" numFmtId="0" xfId="0" applyBorder="1" applyFont="1"/>
    <xf borderId="7" fillId="22" fontId="8" numFmtId="0" xfId="0" applyBorder="1" applyFont="1"/>
    <xf borderId="7" fillId="23" fontId="8" numFmtId="0" xfId="0" applyBorder="1" applyFont="1"/>
    <xf borderId="0" fillId="22" fontId="8" numFmtId="0" xfId="0" applyFont="1"/>
    <xf borderId="0" fillId="23" fontId="8" numFmtId="0" xfId="0" applyFont="1"/>
    <xf borderId="7" fillId="23" fontId="8" numFmtId="0" xfId="0" applyAlignment="1" applyBorder="1" applyFont="1">
      <alignment horizontal="right" readingOrder="0" vertical="bottom"/>
    </xf>
    <xf borderId="0" fillId="18" fontId="8" numFmtId="0" xfId="0" applyAlignment="1" applyFont="1">
      <alignment horizontal="center" readingOrder="0"/>
    </xf>
    <xf borderId="0" fillId="6" fontId="8" numFmtId="0" xfId="0" applyAlignment="1" applyFont="1">
      <alignment readingOrder="0"/>
    </xf>
    <xf borderId="7" fillId="23" fontId="8" numFmtId="0" xfId="0" applyAlignment="1" applyBorder="1" applyFont="1">
      <alignment horizontal="right" vertical="bottom"/>
    </xf>
    <xf borderId="0" fillId="7" fontId="8" numFmtId="0" xfId="0" applyAlignment="1" applyFont="1">
      <alignment readingOrder="0"/>
    </xf>
    <xf borderId="0" fillId="10" fontId="8" numFmtId="0" xfId="0" applyAlignment="1" applyFont="1">
      <alignment readingOrder="0"/>
    </xf>
    <xf borderId="0" fillId="4" fontId="8" numFmtId="0" xfId="0" applyAlignment="1" applyFont="1">
      <alignment readingOrder="0"/>
    </xf>
    <xf borderId="0" fillId="3" fontId="8" numFmtId="0" xfId="0" applyAlignment="1" applyFont="1">
      <alignment horizontal="center" readingOrder="0"/>
    </xf>
    <xf borderId="0" fillId="8" fontId="8" numFmtId="0" xfId="0" applyAlignment="1" applyFont="1">
      <alignment horizontal="center" readingOrder="0"/>
    </xf>
    <xf borderId="0" fillId="19" fontId="8" numFmtId="0" xfId="0" applyAlignment="1" applyFont="1">
      <alignment readingOrder="0"/>
    </xf>
    <xf borderId="0" fillId="20" fontId="8" numFmtId="0" xfId="0" applyAlignment="1" applyFont="1">
      <alignment readingOrder="0"/>
    </xf>
    <xf borderId="0" fillId="21" fontId="8" numFmtId="0" xfId="0" applyAlignment="1" applyFont="1">
      <alignment readingOrder="0"/>
    </xf>
    <xf borderId="0" fillId="8" fontId="8" numFmtId="0" xfId="0" applyAlignment="1" applyFont="1">
      <alignment readingOrder="0"/>
    </xf>
    <xf borderId="0" fillId="7" fontId="8" numFmtId="0" xfId="0" applyAlignment="1" applyFont="1">
      <alignment horizontal="center" readingOrder="0"/>
    </xf>
    <xf borderId="7" fillId="3" fontId="8" numFmtId="0" xfId="0" applyAlignment="1" applyBorder="1" applyFont="1">
      <alignment horizontal="right" vertical="bottom"/>
    </xf>
    <xf borderId="0" fillId="23" fontId="8" numFmtId="0" xfId="0" applyAlignment="1" applyFont="1">
      <alignment readingOrder="0"/>
    </xf>
    <xf borderId="27" fillId="10" fontId="1" numFmtId="4" xfId="0" applyAlignment="1" applyBorder="1" applyFont="1" applyNumberFormat="1">
      <alignment horizontal="center" vertical="center"/>
    </xf>
    <xf borderId="1" fillId="15" fontId="10" numFmtId="0" xfId="0" applyAlignment="1" applyBorder="1" applyFont="1">
      <alignment horizontal="center"/>
    </xf>
    <xf borderId="1" fillId="24" fontId="10" numFmtId="0" xfId="0" applyBorder="1" applyFont="1"/>
    <xf borderId="1" fillId="26" fontId="10" numFmtId="0" xfId="0" applyBorder="1" applyFont="1"/>
    <xf borderId="1" fillId="25" fontId="10" numFmtId="0" xfId="0" applyBorder="1" applyFont="1"/>
    <xf borderId="1" fillId="14" fontId="10" numFmtId="0" xfId="0" applyBorder="1" applyFont="1"/>
    <xf borderId="1" fillId="14" fontId="10" numFmtId="0" xfId="0" applyAlignment="1" applyBorder="1" applyFont="1">
      <alignment readingOrder="0"/>
    </xf>
    <xf borderId="1" fillId="23" fontId="8" numFmtId="0" xfId="0" applyAlignment="1" applyBorder="1" applyFont="1">
      <alignment horizontal="right"/>
    </xf>
    <xf borderId="1" fillId="3" fontId="10" numFmtId="0" xfId="0" applyAlignment="1" applyBorder="1" applyFont="1">
      <alignment readingOrder="0"/>
    </xf>
    <xf borderId="7" fillId="15" fontId="10" numFmtId="0" xfId="0" applyAlignment="1" applyBorder="1" applyFont="1">
      <alignment horizontal="center"/>
    </xf>
    <xf borderId="7" fillId="24" fontId="10" numFmtId="0" xfId="0" applyBorder="1" applyFont="1"/>
    <xf borderId="7" fillId="26" fontId="10" numFmtId="0" xfId="0" applyBorder="1" applyFont="1"/>
    <xf borderId="7" fillId="25" fontId="10" numFmtId="0" xfId="0" applyBorder="1" applyFont="1"/>
    <xf borderId="7" fillId="14" fontId="10" numFmtId="0" xfId="0" applyBorder="1" applyFont="1"/>
    <xf borderId="1" fillId="24" fontId="8" numFmtId="0" xfId="0" applyBorder="1" applyFont="1"/>
    <xf borderId="1" fillId="26" fontId="8" numFmtId="0" xfId="0" applyBorder="1" applyFont="1"/>
    <xf borderId="1" fillId="25" fontId="8" numFmtId="0" xfId="0" applyBorder="1" applyFont="1"/>
    <xf borderId="1" fillId="14" fontId="8" numFmtId="0" xfId="0" applyBorder="1" applyFont="1"/>
    <xf borderId="7" fillId="24" fontId="8" numFmtId="0" xfId="0" applyBorder="1" applyFont="1"/>
    <xf borderId="7" fillId="26" fontId="8" numFmtId="0" xfId="0" applyBorder="1" applyFont="1"/>
    <xf borderId="7" fillId="25" fontId="8" numFmtId="0" xfId="0" applyBorder="1" applyFont="1"/>
    <xf borderId="7" fillId="14" fontId="8" numFmtId="0" xfId="0" applyBorder="1" applyFont="1"/>
    <xf borderId="0" fillId="3" fontId="8" numFmtId="0" xfId="0" applyFont="1"/>
    <xf borderId="0" fillId="24" fontId="8" numFmtId="0" xfId="0" applyFont="1"/>
    <xf borderId="0" fillId="26" fontId="8" numFmtId="0" xfId="0" applyFont="1"/>
    <xf borderId="0" fillId="25" fontId="8" numFmtId="0" xfId="0" applyFont="1"/>
    <xf borderId="0" fillId="14" fontId="8" numFmtId="0" xfId="0" applyFont="1"/>
    <xf borderId="0" fillId="3" fontId="8" numFmtId="0" xfId="0" applyAlignment="1" applyFont="1">
      <alignment readingOrder="0"/>
    </xf>
    <xf borderId="0" fillId="24" fontId="8" numFmtId="0" xfId="0" applyAlignment="1" applyFont="1">
      <alignment readingOrder="0"/>
    </xf>
    <xf borderId="0" fillId="26" fontId="8" numFmtId="0" xfId="0" applyAlignment="1" applyFont="1">
      <alignment readingOrder="0"/>
    </xf>
    <xf borderId="0" fillId="25" fontId="8" numFmtId="0" xfId="0" applyAlignment="1" applyFont="1">
      <alignment readingOrder="0"/>
    </xf>
    <xf borderId="0" fillId="14" fontId="8" numFmtId="0" xfId="0" applyAlignment="1" applyFont="1">
      <alignment readingOrder="0"/>
    </xf>
    <xf borderId="1" fillId="15" fontId="8" numFmtId="0" xfId="0" applyAlignment="1" applyBorder="1" applyFont="1">
      <alignment horizontal="right" readingOrder="0" vertical="center"/>
    </xf>
    <xf borderId="1" fillId="4" fontId="4" numFmtId="0" xfId="0" applyAlignment="1" applyBorder="1" applyFont="1">
      <alignment horizontal="center" readingOrder="0"/>
    </xf>
    <xf borderId="0" fillId="15" fontId="4" numFmtId="0" xfId="0" applyAlignment="1" applyFont="1">
      <alignment horizontal="center" readingOrder="0"/>
    </xf>
    <xf borderId="0" fillId="15" fontId="14" numFmtId="0" xfId="0" applyAlignment="1" applyFont="1">
      <alignment horizontal="left" readingOrder="0"/>
    </xf>
    <xf borderId="1" fillId="29" fontId="2" numFmtId="165" xfId="0" applyAlignment="1" applyBorder="1" applyFill="1" applyFont="1" applyNumberFormat="1">
      <alignment horizontal="center" readingOrder="0" textRotation="90" vertical="center"/>
    </xf>
    <xf borderId="1" fillId="22" fontId="8" numFmtId="0" xfId="0" applyAlignment="1" applyBorder="1" applyFont="1">
      <alignment horizontal="right" readingOrder="0" vertical="bottom"/>
    </xf>
    <xf borderId="1" fillId="29" fontId="10" numFmtId="0" xfId="0" applyAlignment="1" applyBorder="1" applyFont="1">
      <alignment readingOrder="0" vertical="bottom"/>
    </xf>
    <xf borderId="1" fillId="22" fontId="10" numFmtId="0" xfId="0" applyAlignment="1" applyBorder="1" applyFont="1">
      <alignment vertical="bottom"/>
    </xf>
    <xf borderId="1" fillId="29" fontId="10" numFmtId="0" xfId="0" applyAlignment="1" applyBorder="1" applyFont="1">
      <alignment vertical="bottom"/>
    </xf>
    <xf borderId="1" fillId="10" fontId="8" numFmtId="0" xfId="0" applyAlignment="1" applyBorder="1" applyFont="1">
      <alignment readingOrder="0"/>
    </xf>
    <xf borderId="1" fillId="30" fontId="4" numFmtId="0" xfId="0" applyAlignment="1" applyBorder="1" applyFill="1" applyFont="1">
      <alignment horizontal="center" readingOrder="0"/>
    </xf>
    <xf borderId="1" fillId="22" fontId="8" numFmtId="0" xfId="0" applyAlignment="1" applyBorder="1" applyFont="1">
      <alignment horizontal="right" vertical="bottom"/>
    </xf>
    <xf borderId="29" fillId="10" fontId="1" numFmtId="0" xfId="0" applyAlignment="1" applyBorder="1" applyFont="1">
      <alignment horizontal="right" readingOrder="0"/>
    </xf>
    <xf borderId="7" fillId="22" fontId="10" numFmtId="0" xfId="0" applyAlignment="1" applyBorder="1" applyFont="1">
      <alignment vertical="bottom"/>
    </xf>
    <xf borderId="7" fillId="29" fontId="10" numFmtId="0" xfId="0" applyAlignment="1" applyBorder="1" applyFont="1">
      <alignment vertical="bottom"/>
    </xf>
    <xf borderId="1" fillId="29" fontId="8" numFmtId="0" xfId="0" applyAlignment="1" applyBorder="1" applyFont="1">
      <alignment readingOrder="0"/>
    </xf>
    <xf borderId="0" fillId="12" fontId="6" numFmtId="4" xfId="0" applyAlignment="1" applyFont="1" applyNumberFormat="1">
      <alignment readingOrder="0"/>
    </xf>
    <xf borderId="11" fillId="15" fontId="8" numFmtId="0" xfId="0" applyAlignment="1" applyBorder="1" applyFont="1">
      <alignment horizontal="center" readingOrder="0" vertical="bottom"/>
    </xf>
    <xf borderId="11" fillId="15" fontId="10" numFmtId="0" xfId="0" applyAlignment="1" applyBorder="1" applyFont="1">
      <alignment readingOrder="0" vertical="bottom"/>
    </xf>
    <xf borderId="11" fillId="15" fontId="10" numFmtId="0" xfId="0" applyAlignment="1" applyBorder="1" applyFont="1">
      <alignment vertical="bottom"/>
    </xf>
    <xf borderId="11" fillId="6" fontId="8" numFmtId="0" xfId="0" applyAlignment="1" applyBorder="1" applyFont="1">
      <alignment horizontal="right" readingOrder="0" vertical="bottom"/>
    </xf>
    <xf borderId="11" fillId="15" fontId="8" numFmtId="0" xfId="0" applyAlignment="1" applyBorder="1" applyFont="1">
      <alignment horizontal="right" readingOrder="0" vertical="bottom"/>
    </xf>
    <xf borderId="11" fillId="22" fontId="10" numFmtId="0" xfId="0" applyAlignment="1" applyBorder="1" applyFont="1">
      <alignment readingOrder="0" vertical="bottom"/>
    </xf>
    <xf borderId="11" fillId="6" fontId="10" numFmtId="0" xfId="0" applyAlignment="1" applyBorder="1" applyFont="1">
      <alignment readingOrder="0" vertical="bottom"/>
    </xf>
    <xf borderId="11" fillId="15" fontId="10" numFmtId="0" xfId="0" applyAlignment="1" applyBorder="1" applyFont="1">
      <alignment vertical="bottom"/>
    </xf>
    <xf borderId="11" fillId="4" fontId="10" numFmtId="0" xfId="0" applyAlignment="1" applyBorder="1" applyFont="1">
      <alignment vertical="bottom"/>
    </xf>
    <xf borderId="11" fillId="3" fontId="10" numFmtId="0" xfId="0" applyAlignment="1" applyBorder="1" applyFont="1">
      <alignment readingOrder="0" vertical="bottom"/>
    </xf>
    <xf borderId="11" fillId="10" fontId="10" numFmtId="0" xfId="0" applyAlignment="1" applyBorder="1" applyFont="1">
      <alignment vertical="bottom"/>
    </xf>
    <xf borderId="11" fillId="6" fontId="10" numFmtId="0" xfId="0" applyAlignment="1" applyBorder="1" applyFont="1">
      <alignment vertical="bottom"/>
    </xf>
    <xf borderId="11" fillId="15" fontId="8" numFmtId="0" xfId="0" applyAlignment="1" applyBorder="1" applyFont="1">
      <alignment horizontal="center" shrinkToFit="0" wrapText="1"/>
    </xf>
    <xf borderId="11" fillId="0" fontId="8" numFmtId="4" xfId="0" applyAlignment="1" applyBorder="1" applyFont="1" applyNumberFormat="1">
      <alignment horizontal="center" readingOrder="0"/>
    </xf>
    <xf borderId="11" fillId="0" fontId="8" numFmtId="4" xfId="0" applyAlignment="1" applyBorder="1" applyFont="1" applyNumberFormat="1">
      <alignment horizontal="center"/>
    </xf>
    <xf borderId="1" fillId="0" fontId="8" numFmtId="4" xfId="0" applyAlignment="1" applyBorder="1" applyFont="1" applyNumberFormat="1">
      <alignment horizontal="center" readingOrder="0" vertical="center"/>
    </xf>
    <xf borderId="2" fillId="12" fontId="6" numFmtId="4" xfId="0" applyAlignment="1" applyBorder="1" applyFont="1" applyNumberFormat="1">
      <alignment readingOrder="0"/>
    </xf>
    <xf borderId="21" fillId="0" fontId="5" numFmtId="0" xfId="0" applyBorder="1" applyFont="1"/>
    <xf borderId="1" fillId="29" fontId="10" numFmtId="0" xfId="0" applyAlignment="1" applyBorder="1" applyFont="1">
      <alignment vertical="bottom"/>
    </xf>
    <xf borderId="7" fillId="29" fontId="10" numFmtId="0" xfId="0" applyAlignment="1" applyBorder="1" applyFont="1">
      <alignment vertical="bottom"/>
    </xf>
    <xf borderId="7" fillId="0" fontId="8" numFmtId="4" xfId="0" applyAlignment="1" applyBorder="1" applyFont="1" applyNumberFormat="1">
      <alignment horizontal="center" readingOrder="0" vertical="center"/>
    </xf>
    <xf borderId="1" fillId="4" fontId="8" numFmtId="0" xfId="0" applyAlignment="1" applyBorder="1" applyFont="1">
      <alignment readingOrder="0" vertical="bottom"/>
    </xf>
    <xf borderId="7" fillId="29" fontId="10" numFmtId="0" xfId="0" applyAlignment="1" applyBorder="1" applyFont="1">
      <alignment readingOrder="0" vertical="bottom"/>
    </xf>
    <xf borderId="17" fillId="12" fontId="6" numFmtId="4" xfId="0" applyAlignment="1" applyBorder="1" applyFont="1" applyNumberFormat="1">
      <alignment horizontal="left" readingOrder="0" vertical="bottom"/>
    </xf>
    <xf borderId="1" fillId="22" fontId="8" numFmtId="4" xfId="0" applyAlignment="1" applyBorder="1" applyFont="1" applyNumberFormat="1">
      <alignment horizontal="left" readingOrder="0" vertical="bottom"/>
    </xf>
    <xf borderId="1" fillId="10" fontId="8" numFmtId="4" xfId="0" applyAlignment="1" applyBorder="1" applyFont="1" applyNumberFormat="1">
      <alignment horizontal="left" readingOrder="0" vertical="bottom"/>
    </xf>
    <xf borderId="7" fillId="22" fontId="8" numFmtId="4" xfId="0" applyAlignment="1" applyBorder="1" applyFont="1" applyNumberFormat="1">
      <alignment horizontal="left" readingOrder="0" vertical="bottom"/>
    </xf>
    <xf borderId="11" fillId="3" fontId="8" numFmtId="0" xfId="0" applyAlignment="1" applyBorder="1" applyFont="1">
      <alignment horizontal="center" readingOrder="0" vertical="bottom"/>
    </xf>
    <xf borderId="7" fillId="10" fontId="8" numFmtId="4" xfId="0" applyAlignment="1" applyBorder="1" applyFont="1" applyNumberFormat="1">
      <alignment horizontal="left" readingOrder="0" vertical="bottom"/>
    </xf>
    <xf borderId="11" fillId="4" fontId="10" numFmtId="0" xfId="0" applyAlignment="1" applyBorder="1" applyFont="1">
      <alignment vertical="bottom"/>
    </xf>
    <xf borderId="11" fillId="4" fontId="8" numFmtId="0" xfId="0" applyAlignment="1" applyBorder="1" applyFont="1">
      <alignment horizontal="right" readingOrder="0" vertical="bottom"/>
    </xf>
    <xf borderId="11" fillId="22" fontId="8" numFmtId="0" xfId="0" applyAlignment="1" applyBorder="1" applyFont="1">
      <alignment horizontal="right" readingOrder="0" vertical="bottom"/>
    </xf>
    <xf borderId="11" fillId="4" fontId="10" numFmtId="0" xfId="0" applyAlignment="1" applyBorder="1" applyFont="1">
      <alignment readingOrder="0" vertical="bottom"/>
    </xf>
    <xf borderId="11" fillId="15" fontId="8" numFmtId="0" xfId="0" applyAlignment="1" applyBorder="1" applyFont="1">
      <alignment horizontal="right" vertical="bottom"/>
    </xf>
    <xf borderId="11" fillId="29" fontId="10" numFmtId="0" xfId="0" applyAlignment="1" applyBorder="1" applyFont="1">
      <alignment vertical="bottom"/>
    </xf>
    <xf borderId="17" fillId="12" fontId="6" numFmtId="4" xfId="0" applyAlignment="1" applyBorder="1" applyFont="1" applyNumberFormat="1">
      <alignment readingOrder="0"/>
    </xf>
    <xf borderId="0" fillId="22" fontId="8" numFmtId="0" xfId="0" applyAlignment="1" applyFont="1">
      <alignment readingOrder="0"/>
    </xf>
    <xf borderId="7" fillId="22" fontId="8" numFmtId="0" xfId="0" applyAlignment="1" applyBorder="1" applyFont="1">
      <alignment horizontal="right" vertical="bottom"/>
    </xf>
    <xf borderId="1" fillId="29" fontId="8" numFmtId="0" xfId="0" applyBorder="1" applyFont="1"/>
    <xf borderId="7" fillId="29" fontId="8" numFmtId="0" xfId="0" applyBorder="1" applyFont="1"/>
    <xf borderId="1" fillId="29" fontId="8" numFmtId="4" xfId="0" applyAlignment="1" applyBorder="1" applyFont="1" applyNumberFormat="1">
      <alignment horizontal="left" readingOrder="0" vertical="bottom"/>
    </xf>
    <xf borderId="7" fillId="29" fontId="8" numFmtId="4" xfId="0" applyAlignment="1" applyBorder="1" applyFont="1" applyNumberFormat="1">
      <alignment horizontal="left" readingOrder="0" vertical="bottom"/>
    </xf>
    <xf borderId="1" fillId="29" fontId="10" numFmtId="0" xfId="0" applyBorder="1" applyFont="1"/>
    <xf borderId="1" fillId="22" fontId="10" numFmtId="0" xfId="0" applyAlignment="1" applyBorder="1" applyFont="1">
      <alignment readingOrder="0"/>
    </xf>
    <xf borderId="7" fillId="29" fontId="10" numFmtId="0" xfId="0" applyBorder="1" applyFont="1"/>
    <xf borderId="0" fillId="29" fontId="8" numFmtId="0" xfId="0" applyFont="1"/>
    <xf borderId="0" fillId="29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5"/>
    <col customWidth="1" min="2" max="2" width="3.75"/>
    <col customWidth="1" min="3" max="3" width="3.63"/>
    <col customWidth="1" min="4" max="4" width="3.75"/>
    <col customWidth="1" min="5" max="5" width="4.0"/>
    <col customWidth="1" min="6" max="8" width="3.5"/>
    <col customWidth="1" min="9" max="9" width="3.88"/>
    <col customWidth="1" min="10" max="17" width="3.5"/>
    <col customWidth="1" min="18" max="18" width="3.75"/>
    <col customWidth="1" min="19" max="25" width="3.5"/>
    <col customWidth="1" min="26" max="26" width="3.75"/>
    <col customWidth="1" min="27" max="27" width="3.25"/>
    <col customWidth="1" min="28" max="30" width="3.5"/>
    <col customWidth="1" min="31" max="31" width="10.38"/>
    <col customWidth="1" min="32" max="32" width="15.25"/>
    <col customWidth="1" min="33" max="34" width="13.75"/>
    <col customWidth="1" min="35" max="35" width="4.0"/>
    <col customWidth="1" min="36" max="36" width="10.0"/>
    <col customWidth="1" min="37" max="37" width="21.0"/>
  </cols>
  <sheetData>
    <row r="1" ht="48.0" customHeight="1">
      <c r="A1" s="5">
        <v>45931.0</v>
      </c>
      <c r="B1" s="7">
        <v>45931.0</v>
      </c>
      <c r="C1" s="7">
        <v>45932.0</v>
      </c>
      <c r="D1" s="7">
        <v>45933.0</v>
      </c>
      <c r="E1" s="7">
        <v>45934.0</v>
      </c>
      <c r="F1" s="11">
        <v>45935.0</v>
      </c>
      <c r="G1" s="7">
        <v>45936.0</v>
      </c>
      <c r="H1" s="7">
        <v>45937.0</v>
      </c>
      <c r="I1" s="7">
        <v>45938.0</v>
      </c>
      <c r="J1" s="7">
        <v>45939.0</v>
      </c>
      <c r="K1" s="7">
        <v>45940.0</v>
      </c>
      <c r="L1" s="13">
        <v>45941.0</v>
      </c>
      <c r="M1" s="11">
        <v>45942.0</v>
      </c>
      <c r="N1" s="7">
        <v>45943.0</v>
      </c>
      <c r="O1" s="7">
        <v>45944.0</v>
      </c>
      <c r="P1" s="16">
        <v>45945.0</v>
      </c>
      <c r="Q1" s="16">
        <v>45946.0</v>
      </c>
      <c r="R1" s="18">
        <v>45947.0</v>
      </c>
      <c r="S1" s="21">
        <v>45948.0</v>
      </c>
      <c r="T1" s="23">
        <v>45949.0</v>
      </c>
      <c r="U1" s="25">
        <v>45950.0</v>
      </c>
      <c r="V1" s="25">
        <v>45951.0</v>
      </c>
      <c r="W1" s="7">
        <v>45952.0</v>
      </c>
      <c r="X1" s="7">
        <v>45953.0</v>
      </c>
      <c r="Y1" s="7">
        <v>45954.0</v>
      </c>
      <c r="Z1" s="7">
        <v>45955.0</v>
      </c>
      <c r="AA1" s="11">
        <v>45956.0</v>
      </c>
      <c r="AB1" s="23">
        <v>45957.0</v>
      </c>
      <c r="AC1" s="7">
        <v>45958.0</v>
      </c>
      <c r="AD1" s="30">
        <v>45959.0</v>
      </c>
      <c r="AE1" s="32" t="s">
        <v>0</v>
      </c>
      <c r="AF1" s="32" t="s">
        <v>1</v>
      </c>
      <c r="AG1" s="35" t="s">
        <v>2</v>
      </c>
      <c r="AH1" s="37"/>
      <c r="AJ1" s="20" t="s">
        <v>3</v>
      </c>
      <c r="AK1" s="22"/>
    </row>
    <row r="2" ht="16.5" customHeight="1">
      <c r="A2" s="44" t="s">
        <v>7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8"/>
      <c r="AH2" s="52"/>
      <c r="AI2" s="57"/>
      <c r="AJ2" s="29"/>
      <c r="AK2" s="31" t="s">
        <v>5</v>
      </c>
    </row>
    <row r="3" ht="15.75" customHeight="1">
      <c r="A3" s="61" t="s">
        <v>8</v>
      </c>
      <c r="B3" s="64">
        <v>1.0</v>
      </c>
      <c r="C3" s="64"/>
      <c r="D3" s="64">
        <v>1.0</v>
      </c>
      <c r="E3" s="64"/>
      <c r="F3" s="67"/>
      <c r="G3" s="64"/>
      <c r="H3" s="64"/>
      <c r="I3" s="64"/>
      <c r="J3" s="64"/>
      <c r="K3" s="64"/>
      <c r="L3" s="72"/>
      <c r="M3" s="67"/>
      <c r="N3" s="64"/>
      <c r="O3" s="64"/>
      <c r="P3" s="74"/>
      <c r="Q3" s="74"/>
      <c r="R3" s="64"/>
      <c r="S3" s="75"/>
      <c r="T3" s="76"/>
      <c r="U3" s="78"/>
      <c r="V3" s="78"/>
      <c r="W3" s="64"/>
      <c r="X3" s="64"/>
      <c r="Y3" s="64"/>
      <c r="Z3" s="64"/>
      <c r="AA3" s="67"/>
      <c r="AB3" s="76"/>
      <c r="AC3" s="64"/>
      <c r="AD3" s="79"/>
      <c r="AE3" s="82">
        <f t="shared" ref="AE3:AE11" si="1">SUM(B3:AD3)</f>
        <v>2</v>
      </c>
      <c r="AF3" s="84">
        <v>1036.0</v>
      </c>
      <c r="AG3" s="85">
        <f t="shared" ref="AG3:AG8" si="2">AF3*AE3</f>
        <v>2072</v>
      </c>
      <c r="AH3" s="87" t="s">
        <v>14</v>
      </c>
      <c r="AI3" s="81"/>
      <c r="AJ3" s="71"/>
      <c r="AK3" s="73" t="s">
        <v>11</v>
      </c>
    </row>
    <row r="4" ht="15.75" customHeight="1">
      <c r="A4" s="89" t="s">
        <v>15</v>
      </c>
      <c r="B4" s="64"/>
      <c r="C4" s="64"/>
      <c r="D4" s="64"/>
      <c r="E4" s="64"/>
      <c r="F4" s="67"/>
      <c r="G4" s="64"/>
      <c r="H4" s="64"/>
      <c r="I4" s="64"/>
      <c r="J4" s="64"/>
      <c r="K4" s="64"/>
      <c r="L4" s="72"/>
      <c r="M4" s="67"/>
      <c r="N4" s="64"/>
      <c r="O4" s="64"/>
      <c r="P4" s="74"/>
      <c r="Q4" s="74"/>
      <c r="R4" s="64"/>
      <c r="S4" s="75"/>
      <c r="T4" s="76"/>
      <c r="U4" s="78"/>
      <c r="V4" s="78"/>
      <c r="W4" s="64"/>
      <c r="X4" s="64"/>
      <c r="Y4" s="64"/>
      <c r="Z4" s="64"/>
      <c r="AA4" s="67"/>
      <c r="AB4" s="76"/>
      <c r="AC4" s="64"/>
      <c r="AD4" s="79"/>
      <c r="AE4" s="93">
        <f t="shared" si="1"/>
        <v>0</v>
      </c>
      <c r="AF4" s="94">
        <v>330.0</v>
      </c>
      <c r="AG4" s="95">
        <f t="shared" si="2"/>
        <v>0</v>
      </c>
      <c r="AH4" s="96"/>
      <c r="AI4" s="81"/>
      <c r="AJ4" s="81"/>
      <c r="AK4" s="81"/>
    </row>
    <row r="5" ht="15.75" customHeight="1">
      <c r="A5" s="89" t="s">
        <v>17</v>
      </c>
      <c r="B5" s="64">
        <v>4.0</v>
      </c>
      <c r="C5" s="64"/>
      <c r="D5" s="64">
        <v>3.0</v>
      </c>
      <c r="E5" s="64"/>
      <c r="F5" s="67"/>
      <c r="G5" s="64"/>
      <c r="H5" s="64"/>
      <c r="I5" s="64">
        <v>1.0</v>
      </c>
      <c r="J5" s="64">
        <v>1.0</v>
      </c>
      <c r="K5" s="64">
        <v>1.0</v>
      </c>
      <c r="L5" s="72"/>
      <c r="M5" s="67"/>
      <c r="N5" s="64">
        <v>3.0</v>
      </c>
      <c r="O5" s="64"/>
      <c r="P5" s="74"/>
      <c r="Q5" s="74"/>
      <c r="R5" s="64"/>
      <c r="S5" s="75"/>
      <c r="T5" s="76"/>
      <c r="U5" s="78"/>
      <c r="V5" s="78"/>
      <c r="W5" s="64">
        <v>3.0</v>
      </c>
      <c r="X5" s="64">
        <v>1.0</v>
      </c>
      <c r="Y5" s="64">
        <v>2.0</v>
      </c>
      <c r="Z5" s="64">
        <v>2.0</v>
      </c>
      <c r="AA5" s="67"/>
      <c r="AB5" s="76"/>
      <c r="AC5" s="64"/>
      <c r="AD5" s="79">
        <v>4.0</v>
      </c>
      <c r="AE5" s="93">
        <f t="shared" si="1"/>
        <v>25</v>
      </c>
      <c r="AF5" s="94">
        <v>1125.0</v>
      </c>
      <c r="AG5" s="95">
        <f t="shared" si="2"/>
        <v>28125</v>
      </c>
      <c r="AH5" s="96"/>
      <c r="AI5" s="81"/>
      <c r="AJ5" s="91"/>
      <c r="AK5" s="91"/>
    </row>
    <row r="6" ht="15.75" customHeight="1">
      <c r="A6" s="99" t="s">
        <v>21</v>
      </c>
      <c r="B6" s="64"/>
      <c r="C6" s="64"/>
      <c r="D6" s="64"/>
      <c r="E6" s="64"/>
      <c r="F6" s="67"/>
      <c r="G6" s="64"/>
      <c r="H6" s="64"/>
      <c r="I6" s="64"/>
      <c r="J6" s="64"/>
      <c r="K6" s="64"/>
      <c r="L6" s="72"/>
      <c r="M6" s="67"/>
      <c r="N6" s="64"/>
      <c r="O6" s="64"/>
      <c r="P6" s="74"/>
      <c r="Q6" s="74"/>
      <c r="R6" s="64"/>
      <c r="S6" s="75"/>
      <c r="T6" s="76"/>
      <c r="U6" s="78"/>
      <c r="V6" s="78"/>
      <c r="W6" s="64"/>
      <c r="X6" s="64"/>
      <c r="Y6" s="64"/>
      <c r="Z6" s="64"/>
      <c r="AA6" s="67"/>
      <c r="AB6" s="76"/>
      <c r="AC6" s="64"/>
      <c r="AD6" s="79"/>
      <c r="AE6" s="93">
        <f t="shared" si="1"/>
        <v>0</v>
      </c>
      <c r="AF6" s="94">
        <v>330.0</v>
      </c>
      <c r="AG6" s="95">
        <f t="shared" si="2"/>
        <v>0</v>
      </c>
      <c r="AH6" s="96"/>
      <c r="AI6" s="81"/>
      <c r="AJ6" s="102"/>
      <c r="AK6" s="31" t="s">
        <v>20</v>
      </c>
    </row>
    <row r="7" ht="15.75" customHeight="1">
      <c r="A7" s="61" t="s">
        <v>25</v>
      </c>
      <c r="B7" s="64"/>
      <c r="C7" s="64"/>
      <c r="D7" s="64"/>
      <c r="E7" s="64"/>
      <c r="F7" s="67"/>
      <c r="G7" s="64"/>
      <c r="H7" s="64"/>
      <c r="I7" s="64"/>
      <c r="J7" s="64"/>
      <c r="K7" s="64"/>
      <c r="L7" s="72"/>
      <c r="M7" s="67"/>
      <c r="N7" s="64"/>
      <c r="O7" s="64"/>
      <c r="P7" s="74"/>
      <c r="Q7" s="74"/>
      <c r="R7" s="64"/>
      <c r="S7" s="75"/>
      <c r="T7" s="76"/>
      <c r="U7" s="78"/>
      <c r="V7" s="78"/>
      <c r="W7" s="64"/>
      <c r="X7" s="64"/>
      <c r="Y7" s="64"/>
      <c r="Z7" s="64"/>
      <c r="AA7" s="67"/>
      <c r="AB7" s="76"/>
      <c r="AC7" s="64"/>
      <c r="AD7" s="79"/>
      <c r="AE7" s="82">
        <f t="shared" si="1"/>
        <v>0</v>
      </c>
      <c r="AF7" s="84">
        <v>840.0</v>
      </c>
      <c r="AG7" s="85">
        <f t="shared" si="2"/>
        <v>0</v>
      </c>
      <c r="AH7" s="96"/>
      <c r="AI7" s="81"/>
      <c r="AJ7" s="107"/>
      <c r="AK7" s="108" t="s">
        <v>29</v>
      </c>
    </row>
    <row r="8" ht="15.75" customHeight="1">
      <c r="A8" s="89" t="s">
        <v>30</v>
      </c>
      <c r="B8" s="64"/>
      <c r="C8" s="64"/>
      <c r="D8" s="64"/>
      <c r="E8" s="64"/>
      <c r="F8" s="67"/>
      <c r="G8" s="64"/>
      <c r="H8" s="64"/>
      <c r="I8" s="64"/>
      <c r="J8" s="64"/>
      <c r="K8" s="64"/>
      <c r="L8" s="72"/>
      <c r="M8" s="67"/>
      <c r="N8" s="64"/>
      <c r="O8" s="64"/>
      <c r="P8" s="74"/>
      <c r="Q8" s="74"/>
      <c r="R8" s="64"/>
      <c r="S8" s="75"/>
      <c r="T8" s="76"/>
      <c r="U8" s="78"/>
      <c r="V8" s="78"/>
      <c r="W8" s="64"/>
      <c r="X8" s="64"/>
      <c r="Y8" s="64"/>
      <c r="Z8" s="64"/>
      <c r="AA8" s="67"/>
      <c r="AB8" s="76"/>
      <c r="AC8" s="64"/>
      <c r="AD8" s="79"/>
      <c r="AE8" s="93">
        <f t="shared" si="1"/>
        <v>0</v>
      </c>
      <c r="AF8" s="94">
        <v>360.0</v>
      </c>
      <c r="AG8" s="95">
        <f t="shared" si="2"/>
        <v>0</v>
      </c>
      <c r="AH8" s="96"/>
      <c r="AI8" s="81"/>
      <c r="AJ8" s="114"/>
      <c r="AK8" s="115" t="s">
        <v>26</v>
      </c>
    </row>
    <row r="9" ht="15.75" customHeight="1">
      <c r="A9" s="116" t="s">
        <v>33</v>
      </c>
      <c r="B9" s="64"/>
      <c r="C9" s="64"/>
      <c r="D9" s="64"/>
      <c r="E9" s="64"/>
      <c r="F9" s="67"/>
      <c r="G9" s="64"/>
      <c r="H9" s="64"/>
      <c r="I9" s="64"/>
      <c r="J9" s="64"/>
      <c r="K9" s="64"/>
      <c r="L9" s="72"/>
      <c r="M9" s="67"/>
      <c r="N9" s="64"/>
      <c r="O9" s="64"/>
      <c r="P9" s="74"/>
      <c r="Q9" s="74"/>
      <c r="R9" s="64"/>
      <c r="S9" s="75"/>
      <c r="T9" s="76"/>
      <c r="U9" s="78"/>
      <c r="V9" s="78"/>
      <c r="W9" s="64"/>
      <c r="X9" s="64"/>
      <c r="Y9" s="64"/>
      <c r="Z9" s="64"/>
      <c r="AA9" s="67"/>
      <c r="AB9" s="76"/>
      <c r="AC9" s="64"/>
      <c r="AD9" s="79"/>
      <c r="AE9" s="93">
        <f t="shared" si="1"/>
        <v>0</v>
      </c>
      <c r="AF9" s="118"/>
      <c r="AG9" s="95">
        <f>AF8*AE9</f>
        <v>0</v>
      </c>
      <c r="AH9" s="96"/>
      <c r="AI9" s="81"/>
      <c r="AJ9" s="119"/>
      <c r="AK9" s="115" t="s">
        <v>31</v>
      </c>
    </row>
    <row r="10" ht="15.75" customHeight="1">
      <c r="A10" s="89" t="s">
        <v>37</v>
      </c>
      <c r="B10" s="64"/>
      <c r="C10" s="64"/>
      <c r="D10" s="64"/>
      <c r="E10" s="64"/>
      <c r="F10" s="67"/>
      <c r="G10" s="64"/>
      <c r="H10" s="64"/>
      <c r="I10" s="64"/>
      <c r="J10" s="64"/>
      <c r="K10" s="64"/>
      <c r="L10" s="72"/>
      <c r="M10" s="67"/>
      <c r="N10" s="64"/>
      <c r="O10" s="64"/>
      <c r="P10" s="74"/>
      <c r="Q10" s="74"/>
      <c r="R10" s="64"/>
      <c r="S10" s="75"/>
      <c r="T10" s="76"/>
      <c r="U10" s="78"/>
      <c r="V10" s="78"/>
      <c r="W10" s="64"/>
      <c r="X10" s="64"/>
      <c r="Y10" s="64"/>
      <c r="Z10" s="64"/>
      <c r="AA10" s="67"/>
      <c r="AB10" s="76"/>
      <c r="AC10" s="64"/>
      <c r="AD10" s="79"/>
      <c r="AE10" s="93">
        <f t="shared" si="1"/>
        <v>0</v>
      </c>
      <c r="AF10" s="84">
        <v>230.0</v>
      </c>
      <c r="AG10" s="95">
        <f>AF10*AE10</f>
        <v>0</v>
      </c>
      <c r="AH10" s="96"/>
      <c r="AI10" s="81"/>
      <c r="AJ10" s="106"/>
      <c r="AK10" s="121" t="s">
        <v>40</v>
      </c>
    </row>
    <row r="11" ht="15.75" customHeight="1">
      <c r="A11" s="122" t="s">
        <v>41</v>
      </c>
      <c r="B11" s="64"/>
      <c r="C11" s="64"/>
      <c r="D11" s="64"/>
      <c r="E11" s="64"/>
      <c r="F11" s="67"/>
      <c r="G11" s="64"/>
      <c r="H11" s="64"/>
      <c r="I11" s="64"/>
      <c r="J11" s="64"/>
      <c r="K11" s="64"/>
      <c r="L11" s="72"/>
      <c r="M11" s="67"/>
      <c r="N11" s="64"/>
      <c r="O11" s="64"/>
      <c r="P11" s="74"/>
      <c r="Q11" s="74"/>
      <c r="R11" s="64"/>
      <c r="S11" s="75"/>
      <c r="T11" s="76"/>
      <c r="U11" s="78"/>
      <c r="V11" s="78"/>
      <c r="W11" s="64"/>
      <c r="X11" s="64"/>
      <c r="Y11" s="64"/>
      <c r="Z11" s="64"/>
      <c r="AA11" s="67"/>
      <c r="AB11" s="76"/>
      <c r="AC11" s="64"/>
      <c r="AD11" s="79"/>
      <c r="AE11" s="93">
        <f t="shared" si="1"/>
        <v>0</v>
      </c>
      <c r="AF11" s="125">
        <v>200.0</v>
      </c>
      <c r="AG11" s="126">
        <v>0.0</v>
      </c>
      <c r="AH11" s="96"/>
      <c r="AI11" s="81"/>
      <c r="AJ11" s="120"/>
      <c r="AK11" s="22"/>
    </row>
    <row r="12" ht="22.5" customHeight="1">
      <c r="A12" s="127" t="s">
        <v>45</v>
      </c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9"/>
      <c r="AG12" s="130">
        <f>SUM(AG3:AG11)</f>
        <v>30197</v>
      </c>
      <c r="AH12" s="131"/>
      <c r="AI12" s="81"/>
      <c r="AJ12" s="117" t="s">
        <v>35</v>
      </c>
      <c r="AK12" s="22"/>
    </row>
    <row r="13" ht="15.75" customHeight="1">
      <c r="A13" s="133" t="s">
        <v>46</v>
      </c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135"/>
      <c r="AH13" s="136"/>
      <c r="AI13" s="81"/>
      <c r="AJ13" s="120" t="s">
        <v>48</v>
      </c>
      <c r="AK13" s="22"/>
    </row>
    <row r="14" ht="15.75" customHeight="1">
      <c r="A14" s="137" t="s">
        <v>49</v>
      </c>
      <c r="B14" s="64"/>
      <c r="C14" s="64"/>
      <c r="D14" s="64"/>
      <c r="E14" s="64"/>
      <c r="F14" s="67"/>
      <c r="G14" s="64"/>
      <c r="H14" s="64"/>
      <c r="I14" s="64"/>
      <c r="J14" s="64"/>
      <c r="K14" s="64"/>
      <c r="L14" s="72"/>
      <c r="M14" s="67"/>
      <c r="N14" s="64"/>
      <c r="O14" s="64"/>
      <c r="P14" s="74"/>
      <c r="Q14" s="74"/>
      <c r="R14" s="64"/>
      <c r="S14" s="75"/>
      <c r="T14" s="76"/>
      <c r="U14" s="78"/>
      <c r="V14" s="78"/>
      <c r="W14" s="64"/>
      <c r="X14" s="64"/>
      <c r="Y14" s="64"/>
      <c r="Z14" s="64"/>
      <c r="AA14" s="67"/>
      <c r="AB14" s="76"/>
      <c r="AC14" s="64"/>
      <c r="AD14" s="79"/>
      <c r="AE14" s="93">
        <f t="shared" ref="AE14:AE32" si="3">SUM(B14:AD14)</f>
        <v>0</v>
      </c>
      <c r="AF14" s="94">
        <v>250.0</v>
      </c>
      <c r="AG14" s="95">
        <f t="shared" ref="AG14:AG32" si="4">AF14*AE14</f>
        <v>0</v>
      </c>
      <c r="AH14" s="126" t="s">
        <v>14</v>
      </c>
      <c r="AI14" s="81"/>
    </row>
    <row r="15" ht="15.75" customHeight="1">
      <c r="A15" s="137" t="s">
        <v>52</v>
      </c>
      <c r="B15" s="64">
        <v>1.0</v>
      </c>
      <c r="C15" s="64"/>
      <c r="D15" s="64">
        <v>1.0</v>
      </c>
      <c r="E15" s="64"/>
      <c r="F15" s="67"/>
      <c r="G15" s="64"/>
      <c r="H15" s="64">
        <v>1.0</v>
      </c>
      <c r="I15" s="64"/>
      <c r="J15" s="64"/>
      <c r="K15" s="64"/>
      <c r="L15" s="72"/>
      <c r="M15" s="67"/>
      <c r="N15" s="64"/>
      <c r="O15" s="64">
        <v>1.0</v>
      </c>
      <c r="P15" s="74"/>
      <c r="Q15" s="74"/>
      <c r="R15" s="64">
        <v>2.0</v>
      </c>
      <c r="S15" s="75"/>
      <c r="T15" s="76">
        <v>3.0</v>
      </c>
      <c r="U15" s="78"/>
      <c r="V15" s="78"/>
      <c r="W15" s="64">
        <v>1.0</v>
      </c>
      <c r="X15" s="64">
        <v>2.0</v>
      </c>
      <c r="Y15" s="64"/>
      <c r="Z15" s="64">
        <v>1.0</v>
      </c>
      <c r="AA15" s="67"/>
      <c r="AB15" s="76"/>
      <c r="AC15" s="64">
        <v>2.0</v>
      </c>
      <c r="AD15" s="79">
        <v>2.0</v>
      </c>
      <c r="AE15" s="93">
        <f t="shared" si="3"/>
        <v>17</v>
      </c>
      <c r="AF15" s="138">
        <v>1200.0</v>
      </c>
      <c r="AG15" s="95">
        <f t="shared" si="4"/>
        <v>20400</v>
      </c>
      <c r="AH15" s="96"/>
      <c r="AI15" s="81"/>
    </row>
    <row r="16" ht="15.75" customHeight="1">
      <c r="A16" s="137" t="s">
        <v>54</v>
      </c>
      <c r="B16" s="64">
        <v>2.0</v>
      </c>
      <c r="C16" s="64">
        <v>1.0</v>
      </c>
      <c r="D16" s="64"/>
      <c r="E16" s="64">
        <v>2.0</v>
      </c>
      <c r="F16" s="67"/>
      <c r="G16" s="64">
        <v>3.0</v>
      </c>
      <c r="H16" s="64"/>
      <c r="I16" s="64">
        <v>1.0</v>
      </c>
      <c r="J16" s="64"/>
      <c r="K16" s="64">
        <v>1.0</v>
      </c>
      <c r="L16" s="72"/>
      <c r="M16" s="67"/>
      <c r="N16" s="64">
        <v>1.0</v>
      </c>
      <c r="O16" s="64"/>
      <c r="P16" s="74"/>
      <c r="Q16" s="74"/>
      <c r="R16" s="64">
        <v>4.0</v>
      </c>
      <c r="S16" s="75"/>
      <c r="T16" s="76">
        <v>5.0</v>
      </c>
      <c r="U16" s="78"/>
      <c r="V16" s="78"/>
      <c r="W16" s="64">
        <v>4.0</v>
      </c>
      <c r="X16" s="64"/>
      <c r="Y16" s="64"/>
      <c r="Z16" s="64">
        <v>1.0</v>
      </c>
      <c r="AA16" s="67"/>
      <c r="AB16" s="76">
        <v>1.0</v>
      </c>
      <c r="AC16" s="64">
        <v>1.0</v>
      </c>
      <c r="AD16" s="79">
        <v>3.0</v>
      </c>
      <c r="AE16" s="93">
        <f t="shared" si="3"/>
        <v>30</v>
      </c>
      <c r="AF16" s="84">
        <v>1500.0</v>
      </c>
      <c r="AG16" s="95">
        <f t="shared" si="4"/>
        <v>45000</v>
      </c>
      <c r="AH16" s="96"/>
      <c r="AI16" s="81"/>
    </row>
    <row r="17" ht="15.75" customHeight="1">
      <c r="A17" s="139" t="s">
        <v>56</v>
      </c>
      <c r="B17" s="64"/>
      <c r="C17" s="64"/>
      <c r="D17" s="64"/>
      <c r="E17" s="64"/>
      <c r="F17" s="67"/>
      <c r="G17" s="64"/>
      <c r="H17" s="64">
        <v>1.0</v>
      </c>
      <c r="I17" s="64"/>
      <c r="J17" s="64"/>
      <c r="K17" s="64"/>
      <c r="L17" s="72"/>
      <c r="M17" s="67"/>
      <c r="N17" s="64"/>
      <c r="O17" s="64"/>
      <c r="P17" s="74"/>
      <c r="Q17" s="74"/>
      <c r="R17" s="64"/>
      <c r="S17" s="75"/>
      <c r="T17" s="76"/>
      <c r="U17" s="78"/>
      <c r="V17" s="78"/>
      <c r="W17" s="64"/>
      <c r="X17" s="64"/>
      <c r="Y17" s="64"/>
      <c r="Z17" s="64"/>
      <c r="AA17" s="67"/>
      <c r="AB17" s="76"/>
      <c r="AC17" s="64"/>
      <c r="AD17" s="79"/>
      <c r="AE17" s="93">
        <f t="shared" si="3"/>
        <v>1</v>
      </c>
      <c r="AF17" s="140">
        <v>1500.0</v>
      </c>
      <c r="AG17" s="95">
        <f t="shared" si="4"/>
        <v>1500</v>
      </c>
      <c r="AH17" s="96"/>
      <c r="AI17" s="81"/>
      <c r="AK17" s="141" t="s">
        <v>58</v>
      </c>
    </row>
    <row r="18" ht="15.75" customHeight="1">
      <c r="A18" s="139" t="s">
        <v>59</v>
      </c>
      <c r="B18" s="64">
        <v>2.0</v>
      </c>
      <c r="C18" s="64">
        <v>2.0</v>
      </c>
      <c r="D18" s="64">
        <v>3.0</v>
      </c>
      <c r="E18" s="64">
        <v>4.0</v>
      </c>
      <c r="F18" s="67"/>
      <c r="G18" s="64"/>
      <c r="H18" s="64">
        <v>3.0</v>
      </c>
      <c r="I18" s="64">
        <v>1.0</v>
      </c>
      <c r="J18" s="64">
        <v>1.0</v>
      </c>
      <c r="K18" s="64"/>
      <c r="L18" s="72"/>
      <c r="M18" s="67"/>
      <c r="N18" s="64">
        <v>1.0</v>
      </c>
      <c r="O18" s="64"/>
      <c r="P18" s="74"/>
      <c r="Q18" s="74"/>
      <c r="R18" s="64">
        <v>1.0</v>
      </c>
      <c r="S18" s="75"/>
      <c r="T18" s="76">
        <v>3.0</v>
      </c>
      <c r="U18" s="78"/>
      <c r="V18" s="78"/>
      <c r="W18" s="64"/>
      <c r="X18" s="64">
        <v>3.0</v>
      </c>
      <c r="Y18" s="64">
        <v>3.0</v>
      </c>
      <c r="Z18" s="64">
        <v>2.0</v>
      </c>
      <c r="AA18" s="67"/>
      <c r="AB18" s="76">
        <v>1.0</v>
      </c>
      <c r="AC18" s="64">
        <v>1.0</v>
      </c>
      <c r="AD18" s="79">
        <v>4.0</v>
      </c>
      <c r="AE18" s="93">
        <f t="shared" si="3"/>
        <v>35</v>
      </c>
      <c r="AF18" s="140">
        <v>1500.0</v>
      </c>
      <c r="AG18" s="95">
        <f t="shared" si="4"/>
        <v>52500</v>
      </c>
      <c r="AH18" s="96"/>
      <c r="AI18" s="81"/>
    </row>
    <row r="19" ht="15.75" customHeight="1">
      <c r="A19" s="139" t="s">
        <v>62</v>
      </c>
      <c r="B19" s="64">
        <v>4.0</v>
      </c>
      <c r="C19" s="64"/>
      <c r="D19" s="64">
        <v>1.0</v>
      </c>
      <c r="E19" s="64">
        <v>1.0</v>
      </c>
      <c r="F19" s="67"/>
      <c r="G19" s="64">
        <v>1.0</v>
      </c>
      <c r="H19" s="64"/>
      <c r="I19" s="64"/>
      <c r="J19" s="64">
        <v>1.0</v>
      </c>
      <c r="K19" s="64"/>
      <c r="L19" s="72"/>
      <c r="M19" s="67"/>
      <c r="N19" s="64">
        <v>3.0</v>
      </c>
      <c r="O19" s="64">
        <v>1.0</v>
      </c>
      <c r="P19" s="74"/>
      <c r="Q19" s="74"/>
      <c r="R19" s="64"/>
      <c r="S19" s="75"/>
      <c r="T19" s="76">
        <v>7.0</v>
      </c>
      <c r="U19" s="78"/>
      <c r="V19" s="78"/>
      <c r="W19" s="64"/>
      <c r="X19" s="64">
        <v>3.0</v>
      </c>
      <c r="Y19" s="64">
        <v>2.0</v>
      </c>
      <c r="Z19" s="64">
        <v>1.0</v>
      </c>
      <c r="AA19" s="67"/>
      <c r="AB19" s="76">
        <v>3.0</v>
      </c>
      <c r="AC19" s="64">
        <v>4.0</v>
      </c>
      <c r="AD19" s="79"/>
      <c r="AE19" s="93">
        <f t="shared" si="3"/>
        <v>32</v>
      </c>
      <c r="AF19" s="140">
        <v>1500.0</v>
      </c>
      <c r="AG19" s="95">
        <f t="shared" si="4"/>
        <v>48000</v>
      </c>
      <c r="AH19" s="96"/>
      <c r="AI19" s="81"/>
    </row>
    <row r="20" ht="15.75" customHeight="1">
      <c r="A20" s="139" t="s">
        <v>64</v>
      </c>
      <c r="B20" s="64">
        <v>2.0</v>
      </c>
      <c r="C20" s="64"/>
      <c r="D20" s="64"/>
      <c r="E20" s="64"/>
      <c r="F20" s="67"/>
      <c r="G20" s="64">
        <v>1.0</v>
      </c>
      <c r="H20" s="64"/>
      <c r="I20" s="64"/>
      <c r="J20" s="64"/>
      <c r="K20" s="64"/>
      <c r="L20" s="72"/>
      <c r="M20" s="67"/>
      <c r="N20" s="64"/>
      <c r="O20" s="64">
        <v>1.0</v>
      </c>
      <c r="P20" s="74"/>
      <c r="Q20" s="74"/>
      <c r="R20" s="64">
        <v>1.0</v>
      </c>
      <c r="S20" s="75"/>
      <c r="T20" s="76">
        <v>4.0</v>
      </c>
      <c r="U20" s="78"/>
      <c r="V20" s="78"/>
      <c r="W20" s="64"/>
      <c r="X20" s="64"/>
      <c r="Y20" s="64">
        <v>1.0</v>
      </c>
      <c r="Z20" s="64"/>
      <c r="AA20" s="67"/>
      <c r="AB20" s="76">
        <v>1.0</v>
      </c>
      <c r="AC20" s="64"/>
      <c r="AD20" s="79">
        <v>1.0</v>
      </c>
      <c r="AE20" s="93">
        <f t="shared" si="3"/>
        <v>12</v>
      </c>
      <c r="AF20" s="140">
        <v>1500.0</v>
      </c>
      <c r="AG20" s="95">
        <f t="shared" si="4"/>
        <v>18000</v>
      </c>
      <c r="AH20" s="96"/>
      <c r="AI20" s="81"/>
    </row>
    <row r="21" ht="15.75" customHeight="1">
      <c r="A21" s="139" t="s">
        <v>65</v>
      </c>
      <c r="B21" s="64"/>
      <c r="C21" s="64"/>
      <c r="D21" s="64">
        <v>1.0</v>
      </c>
      <c r="E21" s="64"/>
      <c r="F21" s="67"/>
      <c r="G21" s="64">
        <v>2.0</v>
      </c>
      <c r="H21" s="64"/>
      <c r="I21" s="64"/>
      <c r="J21" s="64">
        <v>1.0</v>
      </c>
      <c r="K21" s="64">
        <v>2.0</v>
      </c>
      <c r="L21" s="72"/>
      <c r="M21" s="67"/>
      <c r="N21" s="64"/>
      <c r="O21" s="64"/>
      <c r="P21" s="74"/>
      <c r="Q21" s="74"/>
      <c r="R21" s="64">
        <v>1.0</v>
      </c>
      <c r="S21" s="75"/>
      <c r="T21" s="76">
        <v>1.0</v>
      </c>
      <c r="U21" s="78"/>
      <c r="V21" s="78"/>
      <c r="W21" s="64">
        <v>3.0</v>
      </c>
      <c r="X21" s="64">
        <v>3.0</v>
      </c>
      <c r="Y21" s="64">
        <v>1.0</v>
      </c>
      <c r="Z21" s="64"/>
      <c r="AA21" s="67"/>
      <c r="AB21" s="76">
        <v>1.0</v>
      </c>
      <c r="AC21" s="64"/>
      <c r="AD21" s="79"/>
      <c r="AE21" s="93">
        <f t="shared" si="3"/>
        <v>16</v>
      </c>
      <c r="AF21" s="140">
        <v>1500.0</v>
      </c>
      <c r="AG21" s="95">
        <f t="shared" si="4"/>
        <v>24000</v>
      </c>
      <c r="AH21" s="96"/>
      <c r="AI21" s="81"/>
    </row>
    <row r="22" ht="15.75" customHeight="1">
      <c r="A22" s="139" t="s">
        <v>67</v>
      </c>
      <c r="B22" s="64"/>
      <c r="C22" s="64"/>
      <c r="D22" s="64"/>
      <c r="E22" s="64"/>
      <c r="F22" s="67"/>
      <c r="G22" s="64"/>
      <c r="H22" s="64"/>
      <c r="I22" s="64"/>
      <c r="J22" s="64"/>
      <c r="K22" s="64"/>
      <c r="L22" s="72"/>
      <c r="M22" s="67"/>
      <c r="N22" s="64"/>
      <c r="O22" s="64"/>
      <c r="P22" s="74"/>
      <c r="Q22" s="74"/>
      <c r="R22" s="64"/>
      <c r="S22" s="75"/>
      <c r="T22" s="76"/>
      <c r="U22" s="78"/>
      <c r="V22" s="78"/>
      <c r="W22" s="64"/>
      <c r="X22" s="64"/>
      <c r="Y22" s="64"/>
      <c r="Z22" s="64"/>
      <c r="AA22" s="67"/>
      <c r="AB22" s="76"/>
      <c r="AC22" s="64"/>
      <c r="AD22" s="79"/>
      <c r="AE22" s="93">
        <f t="shared" si="3"/>
        <v>0</v>
      </c>
      <c r="AF22" s="140">
        <v>1500.0</v>
      </c>
      <c r="AG22" s="95">
        <f t="shared" si="4"/>
        <v>0</v>
      </c>
      <c r="AH22" s="96"/>
      <c r="AI22" s="81"/>
    </row>
    <row r="23" ht="15.75" customHeight="1">
      <c r="A23" s="137" t="s">
        <v>69</v>
      </c>
      <c r="B23" s="64">
        <v>1.0</v>
      </c>
      <c r="C23" s="64"/>
      <c r="D23" s="64">
        <v>1.0</v>
      </c>
      <c r="E23" s="64"/>
      <c r="F23" s="67"/>
      <c r="G23" s="64"/>
      <c r="H23" s="64"/>
      <c r="I23" s="64"/>
      <c r="J23" s="64">
        <v>1.0</v>
      </c>
      <c r="K23" s="64"/>
      <c r="L23" s="72"/>
      <c r="M23" s="67"/>
      <c r="N23" s="64"/>
      <c r="O23" s="64"/>
      <c r="P23" s="74"/>
      <c r="Q23" s="74"/>
      <c r="R23" s="64"/>
      <c r="S23" s="75"/>
      <c r="T23" s="76"/>
      <c r="U23" s="78"/>
      <c r="V23" s="78"/>
      <c r="W23" s="64">
        <v>1.0</v>
      </c>
      <c r="X23" s="64">
        <v>3.0</v>
      </c>
      <c r="Y23" s="64">
        <v>1.0</v>
      </c>
      <c r="Z23" s="64"/>
      <c r="AA23" s="67"/>
      <c r="AB23" s="76"/>
      <c r="AC23" s="64"/>
      <c r="AD23" s="79"/>
      <c r="AE23" s="93">
        <f t="shared" si="3"/>
        <v>8</v>
      </c>
      <c r="AF23" s="84">
        <v>600.0</v>
      </c>
      <c r="AG23" s="95">
        <f t="shared" si="4"/>
        <v>4800</v>
      </c>
      <c r="AH23" s="96"/>
      <c r="AI23" s="81"/>
    </row>
    <row r="24" ht="15.75" customHeight="1">
      <c r="A24" s="137" t="s">
        <v>71</v>
      </c>
      <c r="B24" s="64">
        <v>4.0</v>
      </c>
      <c r="C24" s="64">
        <v>1.0</v>
      </c>
      <c r="D24" s="64">
        <v>6.0</v>
      </c>
      <c r="E24" s="64">
        <v>2.0</v>
      </c>
      <c r="F24" s="67"/>
      <c r="G24" s="64">
        <v>3.0</v>
      </c>
      <c r="H24" s="64">
        <v>1.0</v>
      </c>
      <c r="I24" s="64">
        <v>1.0</v>
      </c>
      <c r="J24" s="64">
        <v>1.0</v>
      </c>
      <c r="K24" s="64">
        <v>5.0</v>
      </c>
      <c r="L24" s="72"/>
      <c r="M24" s="67"/>
      <c r="N24" s="64">
        <v>1.0</v>
      </c>
      <c r="O24" s="64">
        <v>3.0</v>
      </c>
      <c r="P24" s="74"/>
      <c r="Q24" s="74"/>
      <c r="R24" s="64">
        <v>4.0</v>
      </c>
      <c r="S24" s="75"/>
      <c r="T24" s="76"/>
      <c r="U24" s="78"/>
      <c r="V24" s="78"/>
      <c r="W24" s="64">
        <v>5.0</v>
      </c>
      <c r="X24" s="64">
        <v>1.0</v>
      </c>
      <c r="Y24" s="64"/>
      <c r="Z24" s="64"/>
      <c r="AA24" s="67"/>
      <c r="AB24" s="76">
        <v>2.0</v>
      </c>
      <c r="AC24" s="64"/>
      <c r="AD24" s="79">
        <v>7.0</v>
      </c>
      <c r="AE24" s="93">
        <f t="shared" si="3"/>
        <v>47</v>
      </c>
      <c r="AF24" s="84">
        <v>500.0</v>
      </c>
      <c r="AG24" s="95">
        <f t="shared" si="4"/>
        <v>23500</v>
      </c>
      <c r="AH24" s="96"/>
      <c r="AI24" s="81"/>
    </row>
    <row r="25" ht="15.75" customHeight="1">
      <c r="A25" s="137" t="s">
        <v>73</v>
      </c>
      <c r="B25" s="64"/>
      <c r="C25" s="64"/>
      <c r="D25" s="64"/>
      <c r="E25" s="64"/>
      <c r="F25" s="67"/>
      <c r="G25" s="64"/>
      <c r="H25" s="64"/>
      <c r="I25" s="64"/>
      <c r="J25" s="64"/>
      <c r="K25" s="64"/>
      <c r="L25" s="72"/>
      <c r="M25" s="67"/>
      <c r="N25" s="64"/>
      <c r="O25" s="64"/>
      <c r="P25" s="74"/>
      <c r="Q25" s="74"/>
      <c r="R25" s="64"/>
      <c r="S25" s="75"/>
      <c r="T25" s="76"/>
      <c r="U25" s="78"/>
      <c r="V25" s="78"/>
      <c r="W25" s="64"/>
      <c r="X25" s="64"/>
      <c r="Y25" s="64"/>
      <c r="Z25" s="64"/>
      <c r="AA25" s="67"/>
      <c r="AB25" s="76"/>
      <c r="AC25" s="64"/>
      <c r="AD25" s="79"/>
      <c r="AE25" s="93">
        <f t="shared" si="3"/>
        <v>0</v>
      </c>
      <c r="AF25" s="84">
        <v>500.0</v>
      </c>
      <c r="AG25" s="95">
        <f t="shared" si="4"/>
        <v>0</v>
      </c>
      <c r="AH25" s="96"/>
      <c r="AI25" s="81"/>
    </row>
    <row r="26" ht="15.75" customHeight="1">
      <c r="A26" s="137" t="s">
        <v>76</v>
      </c>
      <c r="B26" s="64"/>
      <c r="C26" s="64"/>
      <c r="D26" s="64"/>
      <c r="E26" s="64"/>
      <c r="F26" s="67"/>
      <c r="G26" s="64"/>
      <c r="H26" s="64"/>
      <c r="I26" s="64"/>
      <c r="J26" s="64"/>
      <c r="K26" s="64"/>
      <c r="L26" s="72"/>
      <c r="M26" s="67"/>
      <c r="N26" s="64"/>
      <c r="O26" s="64"/>
      <c r="P26" s="74"/>
      <c r="Q26" s="74"/>
      <c r="R26" s="64"/>
      <c r="S26" s="75"/>
      <c r="T26" s="76"/>
      <c r="U26" s="78"/>
      <c r="V26" s="78"/>
      <c r="W26" s="64"/>
      <c r="X26" s="64"/>
      <c r="Y26" s="64"/>
      <c r="Z26" s="64"/>
      <c r="AA26" s="67"/>
      <c r="AB26" s="76"/>
      <c r="AC26" s="64"/>
      <c r="AD26" s="79"/>
      <c r="AE26" s="93">
        <f t="shared" si="3"/>
        <v>0</v>
      </c>
      <c r="AF26" s="94">
        <v>800.0</v>
      </c>
      <c r="AG26" s="95">
        <f t="shared" si="4"/>
        <v>0</v>
      </c>
      <c r="AH26" s="96"/>
      <c r="AI26" s="81"/>
    </row>
    <row r="27" ht="15.75" customHeight="1">
      <c r="A27" s="137" t="s">
        <v>78</v>
      </c>
      <c r="B27" s="64"/>
      <c r="C27" s="64"/>
      <c r="D27" s="64"/>
      <c r="E27" s="64"/>
      <c r="F27" s="67"/>
      <c r="G27" s="64"/>
      <c r="H27" s="64"/>
      <c r="I27" s="64"/>
      <c r="J27" s="64"/>
      <c r="K27" s="64"/>
      <c r="L27" s="72"/>
      <c r="M27" s="67"/>
      <c r="N27" s="64"/>
      <c r="O27" s="64"/>
      <c r="P27" s="74"/>
      <c r="Q27" s="74"/>
      <c r="R27" s="64"/>
      <c r="S27" s="75"/>
      <c r="T27" s="76"/>
      <c r="U27" s="78"/>
      <c r="V27" s="78"/>
      <c r="W27" s="64"/>
      <c r="X27" s="64"/>
      <c r="Y27" s="64"/>
      <c r="Z27" s="64"/>
      <c r="AA27" s="67"/>
      <c r="AB27" s="76"/>
      <c r="AC27" s="64"/>
      <c r="AD27" s="79"/>
      <c r="AE27" s="93">
        <f t="shared" si="3"/>
        <v>0</v>
      </c>
      <c r="AF27" s="94">
        <v>800.0</v>
      </c>
      <c r="AG27" s="95">
        <f t="shared" si="4"/>
        <v>0</v>
      </c>
      <c r="AH27" s="96"/>
      <c r="AI27" s="81"/>
    </row>
    <row r="28" ht="15.75" customHeight="1">
      <c r="A28" s="137" t="s">
        <v>80</v>
      </c>
      <c r="B28" s="64"/>
      <c r="C28" s="64"/>
      <c r="D28" s="64"/>
      <c r="E28" s="64"/>
      <c r="F28" s="67"/>
      <c r="G28" s="64"/>
      <c r="H28" s="64"/>
      <c r="I28" s="64"/>
      <c r="J28" s="64"/>
      <c r="K28" s="64"/>
      <c r="L28" s="72"/>
      <c r="M28" s="67"/>
      <c r="N28" s="64"/>
      <c r="O28" s="64"/>
      <c r="P28" s="74"/>
      <c r="Q28" s="74"/>
      <c r="R28" s="64"/>
      <c r="S28" s="75"/>
      <c r="T28" s="76">
        <v>1.0</v>
      </c>
      <c r="U28" s="78"/>
      <c r="V28" s="78"/>
      <c r="W28" s="64"/>
      <c r="X28" s="64"/>
      <c r="Y28" s="64"/>
      <c r="Z28" s="64"/>
      <c r="AA28" s="67"/>
      <c r="AB28" s="76"/>
      <c r="AC28" s="64"/>
      <c r="AD28" s="79"/>
      <c r="AE28" s="93">
        <f t="shared" si="3"/>
        <v>1</v>
      </c>
      <c r="AF28" s="143">
        <v>800.0</v>
      </c>
      <c r="AG28" s="144">
        <f t="shared" si="4"/>
        <v>800</v>
      </c>
      <c r="AH28" s="96"/>
      <c r="AI28" s="81"/>
    </row>
    <row r="29" ht="15.75" customHeight="1">
      <c r="A29" s="137" t="s">
        <v>81</v>
      </c>
      <c r="B29" s="64"/>
      <c r="C29" s="64"/>
      <c r="D29" s="64"/>
      <c r="E29" s="64"/>
      <c r="F29" s="67"/>
      <c r="G29" s="64"/>
      <c r="H29" s="64"/>
      <c r="I29" s="64"/>
      <c r="J29" s="64"/>
      <c r="K29" s="64"/>
      <c r="L29" s="72"/>
      <c r="M29" s="67"/>
      <c r="N29" s="64"/>
      <c r="O29" s="64"/>
      <c r="P29" s="74"/>
      <c r="Q29" s="74"/>
      <c r="R29" s="64"/>
      <c r="S29" s="75"/>
      <c r="T29" s="76"/>
      <c r="U29" s="78"/>
      <c r="V29" s="78"/>
      <c r="W29" s="64"/>
      <c r="X29" s="64"/>
      <c r="Y29" s="64"/>
      <c r="Z29" s="64"/>
      <c r="AA29" s="67"/>
      <c r="AB29" s="76"/>
      <c r="AC29" s="64"/>
      <c r="AD29" s="79"/>
      <c r="AE29" s="93">
        <f t="shared" si="3"/>
        <v>0</v>
      </c>
      <c r="AF29" s="143">
        <v>800.0</v>
      </c>
      <c r="AG29" s="144">
        <f t="shared" si="4"/>
        <v>0</v>
      </c>
      <c r="AH29" s="96"/>
      <c r="AI29" s="81"/>
      <c r="AK29" s="141" t="s">
        <v>83</v>
      </c>
    </row>
    <row r="30" ht="15.75" customHeight="1">
      <c r="A30" s="145" t="s">
        <v>84</v>
      </c>
      <c r="B30" s="64"/>
      <c r="C30" s="64"/>
      <c r="D30" s="64"/>
      <c r="E30" s="64"/>
      <c r="F30" s="67"/>
      <c r="G30" s="64"/>
      <c r="H30" s="64"/>
      <c r="I30" s="64">
        <v>1.0</v>
      </c>
      <c r="J30" s="64"/>
      <c r="K30" s="64">
        <v>1.0</v>
      </c>
      <c r="L30" s="72"/>
      <c r="M30" s="67"/>
      <c r="N30" s="64"/>
      <c r="O30" s="64"/>
      <c r="P30" s="74"/>
      <c r="Q30" s="74"/>
      <c r="R30" s="64"/>
      <c r="S30" s="75"/>
      <c r="T30" s="76"/>
      <c r="U30" s="78"/>
      <c r="V30" s="78"/>
      <c r="W30" s="64"/>
      <c r="X30" s="64"/>
      <c r="Y30" s="64"/>
      <c r="Z30" s="64"/>
      <c r="AA30" s="67"/>
      <c r="AB30" s="76"/>
      <c r="AC30" s="64"/>
      <c r="AD30" s="79">
        <v>1.0</v>
      </c>
      <c r="AE30" s="93">
        <f t="shared" si="3"/>
        <v>3</v>
      </c>
      <c r="AF30" s="94">
        <v>500.0</v>
      </c>
      <c r="AG30" s="94">
        <f t="shared" si="4"/>
        <v>1500</v>
      </c>
      <c r="AH30" s="96"/>
      <c r="AI30" s="81"/>
    </row>
    <row r="31" ht="15.75" customHeight="1">
      <c r="A31" s="146" t="s">
        <v>86</v>
      </c>
      <c r="B31" s="64">
        <v>5.0</v>
      </c>
      <c r="C31" s="64"/>
      <c r="D31" s="64">
        <v>2.0</v>
      </c>
      <c r="E31" s="64">
        <v>4.0</v>
      </c>
      <c r="F31" s="67"/>
      <c r="G31" s="64">
        <v>2.0</v>
      </c>
      <c r="H31" s="64">
        <v>1.0</v>
      </c>
      <c r="I31" s="64"/>
      <c r="J31" s="64">
        <v>1.0</v>
      </c>
      <c r="K31" s="64">
        <v>1.0</v>
      </c>
      <c r="L31" s="72"/>
      <c r="M31" s="67"/>
      <c r="N31" s="64">
        <v>1.0</v>
      </c>
      <c r="O31" s="64">
        <v>4.0</v>
      </c>
      <c r="P31" s="74"/>
      <c r="Q31" s="74"/>
      <c r="R31" s="64">
        <v>1.0</v>
      </c>
      <c r="S31" s="75"/>
      <c r="T31" s="76"/>
      <c r="U31" s="78"/>
      <c r="V31" s="78"/>
      <c r="W31" s="64">
        <v>2.0</v>
      </c>
      <c r="X31" s="64">
        <v>3.0</v>
      </c>
      <c r="Y31" s="64">
        <v>2.0</v>
      </c>
      <c r="Z31" s="64">
        <v>1.0</v>
      </c>
      <c r="AA31" s="67"/>
      <c r="AB31" s="76">
        <v>4.0</v>
      </c>
      <c r="AC31" s="64">
        <v>3.0</v>
      </c>
      <c r="AD31" s="79"/>
      <c r="AE31" s="93">
        <f t="shared" si="3"/>
        <v>37</v>
      </c>
      <c r="AF31" s="138">
        <v>500.0</v>
      </c>
      <c r="AG31" s="94">
        <f t="shared" si="4"/>
        <v>18500</v>
      </c>
      <c r="AH31" s="96"/>
      <c r="AI31" s="81"/>
    </row>
    <row r="32" ht="15.75" customHeight="1">
      <c r="A32" s="148" t="s">
        <v>88</v>
      </c>
      <c r="B32" s="64">
        <v>2.0</v>
      </c>
      <c r="C32" s="64">
        <v>2.0</v>
      </c>
      <c r="D32" s="64">
        <v>3.0</v>
      </c>
      <c r="E32" s="64">
        <v>4.0</v>
      </c>
      <c r="F32" s="67"/>
      <c r="G32" s="64">
        <v>3.0</v>
      </c>
      <c r="H32" s="64">
        <v>1.0</v>
      </c>
      <c r="I32" s="64"/>
      <c r="J32" s="64">
        <v>11.0</v>
      </c>
      <c r="K32" s="64">
        <v>2.0</v>
      </c>
      <c r="L32" s="72"/>
      <c r="M32" s="67"/>
      <c r="N32" s="64">
        <v>1.0</v>
      </c>
      <c r="O32" s="64">
        <v>3.0</v>
      </c>
      <c r="P32" s="74"/>
      <c r="Q32" s="74"/>
      <c r="R32" s="64">
        <v>5.0</v>
      </c>
      <c r="S32" s="75"/>
      <c r="T32" s="76"/>
      <c r="U32" s="78"/>
      <c r="V32" s="78"/>
      <c r="W32" s="64">
        <v>2.0</v>
      </c>
      <c r="X32" s="64">
        <v>3.0</v>
      </c>
      <c r="Y32" s="64">
        <v>4.0</v>
      </c>
      <c r="Z32" s="64">
        <v>5.0</v>
      </c>
      <c r="AA32" s="67"/>
      <c r="AB32" s="76">
        <v>1.0</v>
      </c>
      <c r="AC32" s="64">
        <v>8.0</v>
      </c>
      <c r="AD32" s="79">
        <v>2.0</v>
      </c>
      <c r="AE32" s="149">
        <f t="shared" si="3"/>
        <v>62</v>
      </c>
      <c r="AF32" s="150">
        <v>500.0</v>
      </c>
      <c r="AG32" s="125">
        <f t="shared" si="4"/>
        <v>31000</v>
      </c>
      <c r="AH32" s="96"/>
      <c r="AI32" s="81"/>
    </row>
    <row r="33" ht="22.5" customHeight="1">
      <c r="A33" s="127" t="s">
        <v>45</v>
      </c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9"/>
      <c r="AG33" s="151">
        <f>SUM(AG14:AG32)</f>
        <v>289500</v>
      </c>
      <c r="AH33" s="131"/>
      <c r="AI33" s="81"/>
    </row>
    <row r="34" ht="15.75" customHeight="1">
      <c r="A34" s="152" t="s">
        <v>91</v>
      </c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  <c r="AE34" s="134"/>
      <c r="AF34" s="134"/>
      <c r="AG34" s="135"/>
      <c r="AH34" s="153"/>
      <c r="AI34" s="81"/>
    </row>
    <row r="35" ht="15.75" customHeight="1">
      <c r="A35" s="116" t="s">
        <v>92</v>
      </c>
      <c r="B35" s="64">
        <v>27.0</v>
      </c>
      <c r="C35" s="64">
        <v>11.0</v>
      </c>
      <c r="D35" s="64">
        <v>16.0</v>
      </c>
      <c r="E35" s="64">
        <v>12.0</v>
      </c>
      <c r="F35" s="67"/>
      <c r="G35" s="64">
        <v>8.0</v>
      </c>
      <c r="H35" s="64">
        <v>16.0</v>
      </c>
      <c r="I35" s="64">
        <v>7.0</v>
      </c>
      <c r="J35" s="64">
        <v>23.0</v>
      </c>
      <c r="K35" s="64">
        <v>16.0</v>
      </c>
      <c r="L35" s="72"/>
      <c r="M35" s="67"/>
      <c r="N35" s="64">
        <v>9.0</v>
      </c>
      <c r="O35" s="64">
        <v>11.0</v>
      </c>
      <c r="P35" s="74"/>
      <c r="Q35" s="74"/>
      <c r="R35" s="64">
        <v>14.0</v>
      </c>
      <c r="S35" s="75"/>
      <c r="T35" s="76"/>
      <c r="U35" s="78"/>
      <c r="V35" s="78"/>
      <c r="W35" s="64">
        <v>12.0</v>
      </c>
      <c r="X35" s="64">
        <v>11.0</v>
      </c>
      <c r="Y35" s="64">
        <v>7.0</v>
      </c>
      <c r="Z35" s="64">
        <v>6.0</v>
      </c>
      <c r="AA35" s="67"/>
      <c r="AB35" s="76">
        <v>14.0</v>
      </c>
      <c r="AC35" s="64">
        <v>18.0</v>
      </c>
      <c r="AD35" s="79">
        <v>43.0</v>
      </c>
      <c r="AE35" s="93">
        <f t="shared" ref="AE35:AE48" si="5">SUM(B35:AD35)</f>
        <v>281</v>
      </c>
      <c r="AF35" s="138">
        <v>100.0</v>
      </c>
      <c r="AG35" s="95">
        <f t="shared" ref="AG35:AG46" si="6">AE35*AF35</f>
        <v>28100</v>
      </c>
      <c r="AH35" s="126" t="s">
        <v>95</v>
      </c>
      <c r="AI35" s="81"/>
    </row>
    <row r="36" ht="15.75" customHeight="1">
      <c r="A36" s="116" t="s">
        <v>96</v>
      </c>
      <c r="B36" s="64"/>
      <c r="C36" s="64"/>
      <c r="D36" s="64"/>
      <c r="E36" s="64"/>
      <c r="F36" s="67"/>
      <c r="G36" s="64"/>
      <c r="H36" s="64"/>
      <c r="I36" s="64"/>
      <c r="J36" s="64"/>
      <c r="K36" s="64"/>
      <c r="L36" s="72"/>
      <c r="M36" s="67"/>
      <c r="N36" s="64"/>
      <c r="O36" s="64"/>
      <c r="P36" s="74"/>
      <c r="Q36" s="74"/>
      <c r="R36" s="64"/>
      <c r="S36" s="75"/>
      <c r="T36" s="76"/>
      <c r="U36" s="78"/>
      <c r="V36" s="78"/>
      <c r="W36" s="64"/>
      <c r="X36" s="64"/>
      <c r="Y36" s="64"/>
      <c r="Z36" s="64"/>
      <c r="AA36" s="67"/>
      <c r="AB36" s="76"/>
      <c r="AC36" s="64"/>
      <c r="AD36" s="79"/>
      <c r="AE36" s="93">
        <f t="shared" si="5"/>
        <v>0</v>
      </c>
      <c r="AF36" s="94">
        <v>1000.0</v>
      </c>
      <c r="AG36" s="95">
        <f t="shared" si="6"/>
        <v>0</v>
      </c>
      <c r="AH36" s="96"/>
      <c r="AI36" s="81"/>
    </row>
    <row r="37" ht="15.75" customHeight="1">
      <c r="A37" s="116" t="s">
        <v>98</v>
      </c>
      <c r="B37" s="64">
        <v>5.0</v>
      </c>
      <c r="C37" s="64">
        <v>1.0</v>
      </c>
      <c r="D37" s="64">
        <v>3.0</v>
      </c>
      <c r="E37" s="64">
        <v>2.0</v>
      </c>
      <c r="F37" s="67"/>
      <c r="G37" s="64">
        <v>3.0</v>
      </c>
      <c r="H37" s="64">
        <v>1.0</v>
      </c>
      <c r="I37" s="64"/>
      <c r="J37" s="64">
        <v>4.0</v>
      </c>
      <c r="K37" s="64"/>
      <c r="L37" s="72"/>
      <c r="M37" s="67"/>
      <c r="N37" s="64"/>
      <c r="O37" s="64"/>
      <c r="P37" s="74"/>
      <c r="Q37" s="74"/>
      <c r="R37" s="64">
        <v>2.0</v>
      </c>
      <c r="S37" s="75"/>
      <c r="T37" s="76">
        <v>7.0</v>
      </c>
      <c r="U37" s="78"/>
      <c r="V37" s="78"/>
      <c r="W37" s="64">
        <v>2.0</v>
      </c>
      <c r="X37" s="64">
        <v>3.0</v>
      </c>
      <c r="Y37" s="64"/>
      <c r="Z37" s="64">
        <v>1.0</v>
      </c>
      <c r="AA37" s="67"/>
      <c r="AB37" s="76">
        <v>3.0</v>
      </c>
      <c r="AC37" s="64"/>
      <c r="AD37" s="79">
        <v>2.0</v>
      </c>
      <c r="AE37" s="93">
        <f t="shared" si="5"/>
        <v>39</v>
      </c>
      <c r="AF37" s="94">
        <v>1000.0</v>
      </c>
      <c r="AG37" s="95">
        <f t="shared" si="6"/>
        <v>39000</v>
      </c>
      <c r="AH37" s="96"/>
      <c r="AI37" s="81"/>
    </row>
    <row r="38" ht="15.75" customHeight="1">
      <c r="A38" s="154" t="s">
        <v>101</v>
      </c>
      <c r="B38" s="64"/>
      <c r="C38" s="64">
        <v>3.0</v>
      </c>
      <c r="D38" s="64">
        <v>1.0</v>
      </c>
      <c r="E38" s="64"/>
      <c r="F38" s="67"/>
      <c r="G38" s="64"/>
      <c r="H38" s="64"/>
      <c r="I38" s="64">
        <v>1.0</v>
      </c>
      <c r="J38" s="64">
        <v>1.0</v>
      </c>
      <c r="K38" s="64"/>
      <c r="L38" s="72"/>
      <c r="M38" s="67"/>
      <c r="N38" s="64">
        <v>7.0</v>
      </c>
      <c r="O38" s="64">
        <v>5.0</v>
      </c>
      <c r="P38" s="74"/>
      <c r="Q38" s="74"/>
      <c r="R38" s="64">
        <v>2.0</v>
      </c>
      <c r="S38" s="75"/>
      <c r="T38" s="76"/>
      <c r="U38" s="78"/>
      <c r="V38" s="78"/>
      <c r="W38" s="64">
        <v>23.0</v>
      </c>
      <c r="X38" s="64">
        <v>3.0</v>
      </c>
      <c r="Y38" s="64">
        <v>3.0</v>
      </c>
      <c r="Z38" s="64">
        <v>7.0</v>
      </c>
      <c r="AA38" s="67"/>
      <c r="AB38" s="76">
        <v>3.0</v>
      </c>
      <c r="AC38" s="64"/>
      <c r="AD38" s="79"/>
      <c r="AE38" s="93">
        <f t="shared" si="5"/>
        <v>59</v>
      </c>
      <c r="AF38" s="138">
        <v>120.0</v>
      </c>
      <c r="AG38" s="95">
        <f t="shared" si="6"/>
        <v>7080</v>
      </c>
      <c r="AH38" s="96"/>
      <c r="AI38" s="81"/>
    </row>
    <row r="39" ht="15.75" customHeight="1">
      <c r="A39" s="154" t="s">
        <v>103</v>
      </c>
      <c r="B39" s="64">
        <v>1.0</v>
      </c>
      <c r="C39" s="64"/>
      <c r="D39" s="64">
        <v>1.0</v>
      </c>
      <c r="E39" s="64">
        <v>4.0</v>
      </c>
      <c r="F39" s="67"/>
      <c r="G39" s="64"/>
      <c r="H39" s="64"/>
      <c r="I39" s="64"/>
      <c r="J39" s="64">
        <v>4.0</v>
      </c>
      <c r="K39" s="64">
        <v>1.0</v>
      </c>
      <c r="L39" s="72"/>
      <c r="M39" s="67"/>
      <c r="N39" s="64">
        <v>1.0</v>
      </c>
      <c r="O39" s="64"/>
      <c r="P39" s="74"/>
      <c r="Q39" s="74"/>
      <c r="R39" s="64">
        <v>9.0</v>
      </c>
      <c r="S39" s="75"/>
      <c r="T39" s="76"/>
      <c r="U39" s="78"/>
      <c r="V39" s="78"/>
      <c r="W39" s="64">
        <v>50.0</v>
      </c>
      <c r="X39" s="64">
        <v>1.0</v>
      </c>
      <c r="Y39" s="64"/>
      <c r="Z39" s="64">
        <v>7.0</v>
      </c>
      <c r="AA39" s="67"/>
      <c r="AB39" s="76"/>
      <c r="AC39" s="64">
        <v>6.0</v>
      </c>
      <c r="AD39" s="79"/>
      <c r="AE39" s="93">
        <f t="shared" si="5"/>
        <v>85</v>
      </c>
      <c r="AF39" s="138">
        <v>150.0</v>
      </c>
      <c r="AG39" s="95">
        <f t="shared" si="6"/>
        <v>12750</v>
      </c>
      <c r="AH39" s="96"/>
      <c r="AI39" s="81"/>
    </row>
    <row r="40" ht="15.75" customHeight="1">
      <c r="A40" s="89" t="s">
        <v>106</v>
      </c>
      <c r="B40" s="64">
        <v>19.0</v>
      </c>
      <c r="C40" s="64">
        <v>3.0</v>
      </c>
      <c r="D40" s="64">
        <v>9.0</v>
      </c>
      <c r="E40" s="64">
        <v>16.0</v>
      </c>
      <c r="F40" s="67"/>
      <c r="G40" s="64">
        <v>7.0</v>
      </c>
      <c r="H40" s="64">
        <v>66.0</v>
      </c>
      <c r="I40" s="64">
        <v>6.0</v>
      </c>
      <c r="J40" s="64">
        <v>26.0</v>
      </c>
      <c r="K40" s="64">
        <v>9.0</v>
      </c>
      <c r="L40" s="72"/>
      <c r="M40" s="67"/>
      <c r="N40" s="64">
        <v>5.0</v>
      </c>
      <c r="O40" s="64">
        <v>10.0</v>
      </c>
      <c r="P40" s="74"/>
      <c r="Q40" s="74"/>
      <c r="R40" s="64">
        <v>21.0</v>
      </c>
      <c r="S40" s="75"/>
      <c r="T40" s="76">
        <v>28.0</v>
      </c>
      <c r="U40" s="78"/>
      <c r="V40" s="78"/>
      <c r="W40" s="64">
        <v>40.0</v>
      </c>
      <c r="X40" s="64">
        <v>12.0</v>
      </c>
      <c r="Y40" s="64">
        <v>28.0</v>
      </c>
      <c r="Z40" s="64">
        <v>17.0</v>
      </c>
      <c r="AA40" s="67"/>
      <c r="AB40" s="76">
        <v>21.0</v>
      </c>
      <c r="AC40" s="64">
        <v>9.0</v>
      </c>
      <c r="AD40" s="79">
        <v>17.0</v>
      </c>
      <c r="AE40" s="93">
        <f t="shared" si="5"/>
        <v>369</v>
      </c>
      <c r="AF40" s="94">
        <v>280.0</v>
      </c>
      <c r="AG40" s="95">
        <f t="shared" si="6"/>
        <v>103320</v>
      </c>
      <c r="AH40" s="96"/>
      <c r="AI40" s="81"/>
    </row>
    <row r="41" ht="15.75" customHeight="1">
      <c r="A41" s="116" t="s">
        <v>108</v>
      </c>
      <c r="B41" s="64">
        <v>1.0</v>
      </c>
      <c r="C41" s="64">
        <v>1.0</v>
      </c>
      <c r="D41" s="64"/>
      <c r="E41" s="64">
        <v>1.0</v>
      </c>
      <c r="F41" s="67"/>
      <c r="G41" s="64"/>
      <c r="H41" s="64"/>
      <c r="I41" s="64"/>
      <c r="J41" s="64">
        <v>2.0</v>
      </c>
      <c r="K41" s="64">
        <v>1.0</v>
      </c>
      <c r="L41" s="72"/>
      <c r="M41" s="67"/>
      <c r="N41" s="64">
        <v>3.0</v>
      </c>
      <c r="O41" s="64"/>
      <c r="P41" s="74"/>
      <c r="Q41" s="74"/>
      <c r="R41" s="64">
        <v>3.0</v>
      </c>
      <c r="S41" s="75"/>
      <c r="T41" s="76">
        <v>6.0</v>
      </c>
      <c r="U41" s="78"/>
      <c r="V41" s="78"/>
      <c r="W41" s="64"/>
      <c r="X41" s="64">
        <v>1.0</v>
      </c>
      <c r="Y41" s="64">
        <v>2.0</v>
      </c>
      <c r="Z41" s="64"/>
      <c r="AA41" s="67"/>
      <c r="AB41" s="76"/>
      <c r="AC41" s="64"/>
      <c r="AD41" s="79">
        <v>1.0</v>
      </c>
      <c r="AE41" s="93">
        <f t="shared" si="5"/>
        <v>22</v>
      </c>
      <c r="AF41" s="94">
        <v>900.0</v>
      </c>
      <c r="AG41" s="95">
        <f t="shared" si="6"/>
        <v>19800</v>
      </c>
      <c r="AH41" s="96"/>
      <c r="AI41" s="81"/>
    </row>
    <row r="42" ht="15.75" customHeight="1">
      <c r="A42" s="170" t="s">
        <v>109</v>
      </c>
      <c r="B42" s="64">
        <v>28.0</v>
      </c>
      <c r="C42" s="64">
        <v>12.0</v>
      </c>
      <c r="D42" s="64">
        <v>20.0</v>
      </c>
      <c r="E42" s="64">
        <v>50.0</v>
      </c>
      <c r="F42" s="67"/>
      <c r="G42" s="64">
        <v>13.0</v>
      </c>
      <c r="H42" s="64">
        <v>13.0</v>
      </c>
      <c r="I42" s="64">
        <v>6.0</v>
      </c>
      <c r="J42" s="64">
        <v>26.0</v>
      </c>
      <c r="K42" s="64">
        <v>25.0</v>
      </c>
      <c r="L42" s="72"/>
      <c r="M42" s="67"/>
      <c r="N42" s="64">
        <v>12.0</v>
      </c>
      <c r="O42" s="64">
        <v>17.0</v>
      </c>
      <c r="P42" s="74"/>
      <c r="Q42" s="74"/>
      <c r="R42" s="64">
        <v>37.0</v>
      </c>
      <c r="S42" s="75"/>
      <c r="T42" s="76">
        <v>86.0</v>
      </c>
      <c r="U42" s="78"/>
      <c r="V42" s="78"/>
      <c r="W42" s="64">
        <v>32.0</v>
      </c>
      <c r="X42" s="64">
        <v>26.0</v>
      </c>
      <c r="Y42" s="64">
        <v>15.0</v>
      </c>
      <c r="Z42" s="64">
        <v>37.0</v>
      </c>
      <c r="AA42" s="67"/>
      <c r="AB42" s="76">
        <v>28.0</v>
      </c>
      <c r="AC42" s="64">
        <v>22.0</v>
      </c>
      <c r="AD42" s="79">
        <v>6.0</v>
      </c>
      <c r="AE42" s="93">
        <f t="shared" si="5"/>
        <v>511</v>
      </c>
      <c r="AF42" s="94">
        <v>330.0</v>
      </c>
      <c r="AG42" s="95">
        <f t="shared" si="6"/>
        <v>168630</v>
      </c>
      <c r="AH42" s="96"/>
      <c r="AI42" s="81"/>
    </row>
    <row r="43" ht="15.75" customHeight="1">
      <c r="A43" s="179" t="s">
        <v>111</v>
      </c>
      <c r="B43" s="64">
        <v>2.0</v>
      </c>
      <c r="C43" s="64">
        <v>2.0</v>
      </c>
      <c r="D43" s="64">
        <v>2.0</v>
      </c>
      <c r="E43" s="64">
        <v>1.0</v>
      </c>
      <c r="F43" s="67"/>
      <c r="G43" s="64"/>
      <c r="H43" s="64">
        <v>1.0</v>
      </c>
      <c r="I43" s="64"/>
      <c r="J43" s="64"/>
      <c r="K43" s="64"/>
      <c r="L43" s="72"/>
      <c r="M43" s="67"/>
      <c r="N43" s="64"/>
      <c r="O43" s="64">
        <v>1.0</v>
      </c>
      <c r="P43" s="74"/>
      <c r="Q43" s="74"/>
      <c r="R43" s="64">
        <v>4.0</v>
      </c>
      <c r="S43" s="75"/>
      <c r="T43" s="76">
        <v>4.0</v>
      </c>
      <c r="U43" s="78"/>
      <c r="V43" s="78"/>
      <c r="W43" s="64">
        <v>4.0</v>
      </c>
      <c r="X43" s="64"/>
      <c r="Y43" s="64">
        <v>1.0</v>
      </c>
      <c r="Z43" s="64"/>
      <c r="AA43" s="67"/>
      <c r="AB43" s="76"/>
      <c r="AC43" s="64">
        <v>2.0</v>
      </c>
      <c r="AD43" s="79">
        <v>1.0</v>
      </c>
      <c r="AE43" s="93">
        <f t="shared" si="5"/>
        <v>25</v>
      </c>
      <c r="AF43" s="138">
        <v>360.0</v>
      </c>
      <c r="AG43" s="95">
        <f t="shared" si="6"/>
        <v>9000</v>
      </c>
      <c r="AH43" s="96"/>
      <c r="AI43" s="81"/>
    </row>
    <row r="44" ht="15.75" customHeight="1">
      <c r="A44" s="179" t="s">
        <v>113</v>
      </c>
      <c r="B44" s="64"/>
      <c r="C44" s="64"/>
      <c r="D44" s="64"/>
      <c r="E44" s="64">
        <v>1.0</v>
      </c>
      <c r="F44" s="67"/>
      <c r="G44" s="64"/>
      <c r="H44" s="64"/>
      <c r="I44" s="64"/>
      <c r="J44" s="64"/>
      <c r="K44" s="64"/>
      <c r="L44" s="72"/>
      <c r="M44" s="67"/>
      <c r="N44" s="64"/>
      <c r="O44" s="64"/>
      <c r="P44" s="74"/>
      <c r="Q44" s="74"/>
      <c r="R44" s="64">
        <v>2.0</v>
      </c>
      <c r="S44" s="75"/>
      <c r="T44" s="76"/>
      <c r="U44" s="78"/>
      <c r="V44" s="78"/>
      <c r="W44" s="64"/>
      <c r="X44" s="64"/>
      <c r="Y44" s="64"/>
      <c r="Z44" s="64"/>
      <c r="AA44" s="67"/>
      <c r="AB44" s="76"/>
      <c r="AC44" s="64"/>
      <c r="AD44" s="79"/>
      <c r="AE44" s="93">
        <f t="shared" si="5"/>
        <v>3</v>
      </c>
      <c r="AF44" s="138">
        <v>380.0</v>
      </c>
      <c r="AG44" s="95">
        <f t="shared" si="6"/>
        <v>1140</v>
      </c>
      <c r="AH44" s="96"/>
      <c r="AI44" s="81"/>
    </row>
    <row r="45" ht="15.75" customHeight="1">
      <c r="A45" s="89" t="s">
        <v>114</v>
      </c>
      <c r="B45" s="64">
        <v>14.0</v>
      </c>
      <c r="C45" s="64">
        <v>4.0</v>
      </c>
      <c r="D45" s="64">
        <v>9.0</v>
      </c>
      <c r="E45" s="64">
        <v>14.0</v>
      </c>
      <c r="F45" s="67"/>
      <c r="G45" s="64"/>
      <c r="H45" s="64">
        <v>3.0</v>
      </c>
      <c r="I45" s="64">
        <v>2.0</v>
      </c>
      <c r="J45" s="64">
        <v>12.0</v>
      </c>
      <c r="K45" s="64">
        <v>9.0</v>
      </c>
      <c r="L45" s="72"/>
      <c r="M45" s="67"/>
      <c r="N45" s="64">
        <v>2.0</v>
      </c>
      <c r="O45" s="64">
        <v>4.0</v>
      </c>
      <c r="P45" s="74"/>
      <c r="Q45" s="74"/>
      <c r="R45" s="64">
        <v>6.0</v>
      </c>
      <c r="S45" s="75"/>
      <c r="T45" s="76">
        <v>19.0</v>
      </c>
      <c r="U45" s="78"/>
      <c r="V45" s="78"/>
      <c r="W45" s="64"/>
      <c r="X45" s="64">
        <v>4.0</v>
      </c>
      <c r="Y45" s="64">
        <v>8.0</v>
      </c>
      <c r="Z45" s="64">
        <v>8.0</v>
      </c>
      <c r="AA45" s="67"/>
      <c r="AB45" s="76">
        <v>3.0</v>
      </c>
      <c r="AC45" s="64">
        <v>8.0</v>
      </c>
      <c r="AD45" s="79"/>
      <c r="AE45" s="93">
        <f t="shared" si="5"/>
        <v>129</v>
      </c>
      <c r="AF45" s="94">
        <v>280.0</v>
      </c>
      <c r="AG45" s="95">
        <f t="shared" si="6"/>
        <v>36120</v>
      </c>
      <c r="AH45" s="96"/>
      <c r="AI45" s="81"/>
    </row>
    <row r="46" ht="15.75" customHeight="1">
      <c r="A46" s="190" t="s">
        <v>115</v>
      </c>
      <c r="B46" s="64"/>
      <c r="C46" s="64"/>
      <c r="D46" s="64"/>
      <c r="E46" s="64"/>
      <c r="F46" s="67"/>
      <c r="G46" s="64"/>
      <c r="H46" s="64"/>
      <c r="I46" s="64"/>
      <c r="J46" s="64"/>
      <c r="K46" s="64"/>
      <c r="L46" s="72"/>
      <c r="M46" s="67"/>
      <c r="N46" s="64"/>
      <c r="O46" s="64"/>
      <c r="P46" s="74"/>
      <c r="Q46" s="74"/>
      <c r="R46" s="64"/>
      <c r="S46" s="75"/>
      <c r="T46" s="76"/>
      <c r="U46" s="78"/>
      <c r="V46" s="78"/>
      <c r="W46" s="64"/>
      <c r="X46" s="64"/>
      <c r="Y46" s="64"/>
      <c r="Z46" s="64"/>
      <c r="AA46" s="67"/>
      <c r="AB46" s="76"/>
      <c r="AC46" s="64"/>
      <c r="AD46" s="79"/>
      <c r="AE46" s="93">
        <f t="shared" si="5"/>
        <v>0</v>
      </c>
      <c r="AF46" s="138">
        <v>330.0</v>
      </c>
      <c r="AG46" s="95">
        <f t="shared" si="6"/>
        <v>0</v>
      </c>
      <c r="AH46" s="96"/>
      <c r="AI46" s="81"/>
    </row>
    <row r="47" ht="15.75" customHeight="1">
      <c r="A47" s="122" t="s">
        <v>117</v>
      </c>
      <c r="B47" s="64"/>
      <c r="C47" s="64"/>
      <c r="D47" s="64"/>
      <c r="E47" s="64"/>
      <c r="F47" s="67"/>
      <c r="G47" s="64"/>
      <c r="H47" s="64"/>
      <c r="I47" s="64"/>
      <c r="J47" s="64"/>
      <c r="K47" s="64"/>
      <c r="L47" s="72"/>
      <c r="M47" s="67"/>
      <c r="N47" s="64"/>
      <c r="O47" s="64"/>
      <c r="P47" s="74"/>
      <c r="Q47" s="74"/>
      <c r="R47" s="64"/>
      <c r="S47" s="75"/>
      <c r="T47" s="76"/>
      <c r="U47" s="78"/>
      <c r="V47" s="78"/>
      <c r="W47" s="64"/>
      <c r="X47" s="64"/>
      <c r="Y47" s="64"/>
      <c r="Z47" s="64"/>
      <c r="AA47" s="67"/>
      <c r="AB47" s="76"/>
      <c r="AC47" s="64"/>
      <c r="AD47" s="79"/>
      <c r="AE47" s="93">
        <f t="shared" si="5"/>
        <v>0</v>
      </c>
      <c r="AF47" s="193">
        <v>120.0</v>
      </c>
      <c r="AG47" s="194">
        <f t="shared" ref="AG47:AG48" si="7">AF47*AE47</f>
        <v>0</v>
      </c>
      <c r="AH47" s="96"/>
      <c r="AI47" s="81"/>
    </row>
    <row r="48" ht="15.75" customHeight="1">
      <c r="A48" s="57" t="s">
        <v>119</v>
      </c>
      <c r="B48" s="64"/>
      <c r="C48" s="64"/>
      <c r="D48" s="64"/>
      <c r="E48" s="64"/>
      <c r="F48" s="67"/>
      <c r="G48" s="64"/>
      <c r="H48" s="64"/>
      <c r="I48" s="64"/>
      <c r="J48" s="64"/>
      <c r="K48" s="64">
        <v>1.0</v>
      </c>
      <c r="L48" s="72"/>
      <c r="M48" s="67"/>
      <c r="N48" s="64"/>
      <c r="O48" s="64">
        <v>2.0</v>
      </c>
      <c r="P48" s="74"/>
      <c r="Q48" s="74"/>
      <c r="R48" s="64"/>
      <c r="S48" s="75"/>
      <c r="T48" s="76"/>
      <c r="U48" s="78"/>
      <c r="V48" s="78"/>
      <c r="W48" s="64"/>
      <c r="X48" s="64"/>
      <c r="Y48" s="64"/>
      <c r="Z48" s="64"/>
      <c r="AA48" s="67"/>
      <c r="AB48" s="76"/>
      <c r="AC48" s="64"/>
      <c r="AD48" s="79"/>
      <c r="AE48" s="149">
        <f t="shared" si="5"/>
        <v>3</v>
      </c>
      <c r="AF48" s="193">
        <v>1250.0</v>
      </c>
      <c r="AG48" s="194">
        <f t="shared" si="7"/>
        <v>3750</v>
      </c>
      <c r="AH48" s="96"/>
      <c r="AI48" s="81"/>
    </row>
    <row r="49" ht="25.5" customHeight="1">
      <c r="A49" s="196" t="s">
        <v>45</v>
      </c>
      <c r="B49" s="128"/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  <c r="AC49" s="128"/>
      <c r="AD49" s="128"/>
      <c r="AE49" s="128"/>
      <c r="AF49" s="129"/>
      <c r="AG49" s="151">
        <f>SUM(AG35:AG48)</f>
        <v>428690</v>
      </c>
      <c r="AH49" s="131"/>
      <c r="AI49" s="81"/>
    </row>
    <row r="50" ht="15.75" customHeight="1">
      <c r="A50" s="199" t="s">
        <v>121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8"/>
      <c r="AH50" s="200"/>
      <c r="AI50" s="81"/>
      <c r="AJ50" s="201"/>
      <c r="AK50" s="201"/>
    </row>
    <row r="51" ht="15.75" customHeight="1">
      <c r="A51" s="202" t="s">
        <v>123</v>
      </c>
      <c r="B51" s="64"/>
      <c r="C51" s="64"/>
      <c r="D51" s="64"/>
      <c r="E51" s="64"/>
      <c r="F51" s="67"/>
      <c r="G51" s="64"/>
      <c r="H51" s="64"/>
      <c r="I51" s="64"/>
      <c r="J51" s="64"/>
      <c r="K51" s="64"/>
      <c r="L51" s="72"/>
      <c r="M51" s="67"/>
      <c r="N51" s="64"/>
      <c r="O51" s="64"/>
      <c r="P51" s="74"/>
      <c r="Q51" s="74"/>
      <c r="R51" s="64"/>
      <c r="S51" s="75"/>
      <c r="T51" s="76"/>
      <c r="U51" s="78"/>
      <c r="V51" s="78"/>
      <c r="W51" s="64"/>
      <c r="X51" s="64"/>
      <c r="Y51" s="64"/>
      <c r="Z51" s="64"/>
      <c r="AA51" s="67"/>
      <c r="AB51" s="76"/>
      <c r="AC51" s="64"/>
      <c r="AD51" s="79"/>
      <c r="AE51" s="93">
        <f t="shared" ref="AE51:AE105" si="8">SUM(B51:AD51)</f>
        <v>0</v>
      </c>
      <c r="AF51" s="203">
        <v>1100.0</v>
      </c>
      <c r="AG51" s="193">
        <f t="shared" ref="AG51:AG105" si="9">AF51*AE51</f>
        <v>0</v>
      </c>
      <c r="AH51" s="193"/>
      <c r="AI51" s="81"/>
      <c r="AJ51" s="201"/>
      <c r="AK51" s="201"/>
    </row>
    <row r="52" ht="15.75" customHeight="1">
      <c r="A52" s="204" t="s">
        <v>124</v>
      </c>
      <c r="B52" s="64"/>
      <c r="C52" s="64"/>
      <c r="D52" s="64"/>
      <c r="E52" s="64"/>
      <c r="F52" s="67"/>
      <c r="G52" s="64"/>
      <c r="H52" s="64"/>
      <c r="I52" s="64"/>
      <c r="J52" s="64"/>
      <c r="K52" s="64"/>
      <c r="L52" s="72"/>
      <c r="M52" s="67"/>
      <c r="N52" s="64"/>
      <c r="O52" s="64"/>
      <c r="P52" s="74"/>
      <c r="Q52" s="74"/>
      <c r="R52" s="64"/>
      <c r="S52" s="75"/>
      <c r="T52" s="76"/>
      <c r="U52" s="78"/>
      <c r="V52" s="78"/>
      <c r="W52" s="64"/>
      <c r="X52" s="64"/>
      <c r="Y52" s="64"/>
      <c r="Z52" s="64"/>
      <c r="AA52" s="67"/>
      <c r="AB52" s="76"/>
      <c r="AC52" s="64"/>
      <c r="AD52" s="79"/>
      <c r="AE52" s="93">
        <f t="shared" si="8"/>
        <v>0</v>
      </c>
      <c r="AF52" s="193">
        <v>250.0</v>
      </c>
      <c r="AG52" s="193">
        <f t="shared" si="9"/>
        <v>0</v>
      </c>
      <c r="AH52" s="193"/>
      <c r="AI52" s="81"/>
      <c r="AJ52" s="201"/>
      <c r="AK52" s="201"/>
    </row>
    <row r="53" ht="15.75" customHeight="1">
      <c r="A53" s="202" t="s">
        <v>125</v>
      </c>
      <c r="B53" s="64"/>
      <c r="C53" s="64">
        <v>15.0</v>
      </c>
      <c r="D53" s="64"/>
      <c r="E53" s="64">
        <v>2.0</v>
      </c>
      <c r="F53" s="67"/>
      <c r="G53" s="64">
        <v>1.0</v>
      </c>
      <c r="H53" s="64"/>
      <c r="I53" s="64"/>
      <c r="J53" s="64">
        <v>7.0</v>
      </c>
      <c r="K53" s="64"/>
      <c r="L53" s="72"/>
      <c r="M53" s="67"/>
      <c r="N53" s="64"/>
      <c r="O53" s="64">
        <v>3.0</v>
      </c>
      <c r="P53" s="74"/>
      <c r="Q53" s="74"/>
      <c r="R53" s="64">
        <v>13.0</v>
      </c>
      <c r="S53" s="75"/>
      <c r="T53" s="76">
        <v>4.0</v>
      </c>
      <c r="U53" s="78"/>
      <c r="V53" s="78"/>
      <c r="W53" s="64">
        <v>12.0</v>
      </c>
      <c r="X53" s="64">
        <v>2.0</v>
      </c>
      <c r="Y53" s="64">
        <v>8.0</v>
      </c>
      <c r="Z53" s="64">
        <v>4.0</v>
      </c>
      <c r="AA53" s="67"/>
      <c r="AB53" s="76">
        <v>2.0</v>
      </c>
      <c r="AC53" s="64">
        <v>7.0</v>
      </c>
      <c r="AD53" s="79"/>
      <c r="AE53" s="93">
        <f t="shared" si="8"/>
        <v>80</v>
      </c>
      <c r="AF53" s="193">
        <v>50.0</v>
      </c>
      <c r="AG53" s="193">
        <f t="shared" si="9"/>
        <v>4000</v>
      </c>
      <c r="AH53" s="193"/>
      <c r="AI53" s="81"/>
      <c r="AJ53" s="201"/>
      <c r="AK53" s="201"/>
    </row>
    <row r="54" ht="15.75" customHeight="1">
      <c r="A54" s="204" t="s">
        <v>13</v>
      </c>
      <c r="B54" s="64">
        <v>6.0</v>
      </c>
      <c r="C54" s="64">
        <v>3.0</v>
      </c>
      <c r="D54" s="64">
        <v>5.0</v>
      </c>
      <c r="E54" s="64">
        <v>8.0</v>
      </c>
      <c r="F54" s="67"/>
      <c r="G54" s="64">
        <v>2.0</v>
      </c>
      <c r="H54" s="64">
        <v>2.0</v>
      </c>
      <c r="I54" s="64">
        <v>1.0</v>
      </c>
      <c r="J54" s="64"/>
      <c r="K54" s="64">
        <v>5.0</v>
      </c>
      <c r="L54" s="72"/>
      <c r="M54" s="67"/>
      <c r="N54" s="64">
        <v>4.0</v>
      </c>
      <c r="O54" s="64">
        <v>3.0</v>
      </c>
      <c r="P54" s="74"/>
      <c r="Q54" s="74"/>
      <c r="R54" s="64">
        <v>5.0</v>
      </c>
      <c r="S54" s="75"/>
      <c r="T54" s="76"/>
      <c r="U54" s="78"/>
      <c r="V54" s="78"/>
      <c r="W54" s="64">
        <v>1.0</v>
      </c>
      <c r="X54" s="64">
        <v>2.0</v>
      </c>
      <c r="Y54" s="64">
        <v>2.0</v>
      </c>
      <c r="Z54" s="64">
        <v>3.0</v>
      </c>
      <c r="AA54" s="67"/>
      <c r="AB54" s="76">
        <v>6.0</v>
      </c>
      <c r="AC54" s="64"/>
      <c r="AD54" s="79"/>
      <c r="AE54" s="93">
        <f t="shared" si="8"/>
        <v>58</v>
      </c>
      <c r="AF54" s="193">
        <v>200.0</v>
      </c>
      <c r="AG54" s="193">
        <f t="shared" si="9"/>
        <v>11600</v>
      </c>
      <c r="AH54" s="193"/>
      <c r="AI54" s="81"/>
      <c r="AJ54" s="201"/>
      <c r="AK54" s="201"/>
    </row>
    <row r="55" ht="15.75" customHeight="1">
      <c r="A55" s="202" t="s">
        <v>126</v>
      </c>
      <c r="B55" s="64"/>
      <c r="C55" s="64"/>
      <c r="D55" s="64"/>
      <c r="E55" s="64"/>
      <c r="F55" s="67"/>
      <c r="G55" s="64"/>
      <c r="H55" s="64"/>
      <c r="I55" s="64"/>
      <c r="J55" s="64"/>
      <c r="K55" s="64"/>
      <c r="L55" s="72"/>
      <c r="M55" s="67"/>
      <c r="N55" s="64"/>
      <c r="O55" s="64">
        <v>3.0</v>
      </c>
      <c r="P55" s="74"/>
      <c r="Q55" s="74"/>
      <c r="R55" s="64"/>
      <c r="S55" s="75"/>
      <c r="T55" s="76"/>
      <c r="U55" s="78"/>
      <c r="V55" s="78"/>
      <c r="W55" s="64">
        <v>1.0</v>
      </c>
      <c r="X55" s="64"/>
      <c r="Y55" s="64">
        <v>1.0</v>
      </c>
      <c r="Z55" s="64"/>
      <c r="AA55" s="67"/>
      <c r="AB55" s="76"/>
      <c r="AC55" s="64"/>
      <c r="AD55" s="79"/>
      <c r="AE55" s="93">
        <f t="shared" si="8"/>
        <v>5</v>
      </c>
      <c r="AF55" s="203">
        <v>850.0</v>
      </c>
      <c r="AG55" s="193">
        <f t="shared" si="9"/>
        <v>4250</v>
      </c>
      <c r="AH55" s="193"/>
      <c r="AI55" s="81"/>
      <c r="AJ55" s="201"/>
      <c r="AK55" s="201"/>
    </row>
    <row r="56" ht="15.75" customHeight="1">
      <c r="A56" s="204" t="s">
        <v>129</v>
      </c>
      <c r="B56" s="64"/>
      <c r="C56" s="64"/>
      <c r="D56" s="64"/>
      <c r="E56" s="64"/>
      <c r="F56" s="67"/>
      <c r="G56" s="64"/>
      <c r="H56" s="64"/>
      <c r="I56" s="64"/>
      <c r="J56" s="64"/>
      <c r="K56" s="64"/>
      <c r="L56" s="72"/>
      <c r="M56" s="67"/>
      <c r="N56" s="64"/>
      <c r="O56" s="64"/>
      <c r="P56" s="74"/>
      <c r="Q56" s="74"/>
      <c r="R56" s="64"/>
      <c r="S56" s="75"/>
      <c r="T56" s="76"/>
      <c r="U56" s="78"/>
      <c r="V56" s="78"/>
      <c r="W56" s="64"/>
      <c r="X56" s="64"/>
      <c r="Y56" s="64"/>
      <c r="Z56" s="64"/>
      <c r="AA56" s="67"/>
      <c r="AB56" s="76"/>
      <c r="AC56" s="64"/>
      <c r="AD56" s="79"/>
      <c r="AE56" s="93">
        <f t="shared" si="8"/>
        <v>0</v>
      </c>
      <c r="AF56" s="203">
        <v>190.0</v>
      </c>
      <c r="AG56" s="193">
        <f t="shared" si="9"/>
        <v>0</v>
      </c>
      <c r="AH56" s="193"/>
      <c r="AI56" s="81"/>
      <c r="AJ56" s="201"/>
      <c r="AK56" s="201"/>
    </row>
    <row r="57" ht="15.75" customHeight="1">
      <c r="A57" s="204" t="s">
        <v>19</v>
      </c>
      <c r="B57" s="64">
        <v>49.0</v>
      </c>
      <c r="C57" s="64">
        <v>17.0</v>
      </c>
      <c r="D57" s="64">
        <v>45.0</v>
      </c>
      <c r="E57" s="64">
        <v>27.0</v>
      </c>
      <c r="F57" s="67"/>
      <c r="G57" s="64">
        <v>9.0</v>
      </c>
      <c r="H57" s="64">
        <v>25.0</v>
      </c>
      <c r="I57" s="64">
        <v>22.0</v>
      </c>
      <c r="J57" s="64">
        <v>17.0</v>
      </c>
      <c r="K57" s="64">
        <v>35.0</v>
      </c>
      <c r="L57" s="72"/>
      <c r="M57" s="67"/>
      <c r="N57" s="64">
        <v>18.0</v>
      </c>
      <c r="O57" s="64">
        <v>29.0</v>
      </c>
      <c r="P57" s="74"/>
      <c r="Q57" s="74"/>
      <c r="R57" s="64">
        <v>25.0</v>
      </c>
      <c r="S57" s="75"/>
      <c r="T57" s="76">
        <v>56.0</v>
      </c>
      <c r="U57" s="78"/>
      <c r="V57" s="78"/>
      <c r="W57" s="64">
        <v>33.0</v>
      </c>
      <c r="X57" s="64">
        <v>35.0</v>
      </c>
      <c r="Y57" s="64">
        <v>26.0</v>
      </c>
      <c r="Z57" s="64">
        <v>18.0</v>
      </c>
      <c r="AA57" s="67"/>
      <c r="AB57" s="76"/>
      <c r="AC57" s="64">
        <v>26.0</v>
      </c>
      <c r="AD57" s="79">
        <v>58.0</v>
      </c>
      <c r="AE57" s="93">
        <f t="shared" si="8"/>
        <v>570</v>
      </c>
      <c r="AF57" s="203">
        <v>180.0</v>
      </c>
      <c r="AG57" s="193">
        <f t="shared" si="9"/>
        <v>102600</v>
      </c>
      <c r="AH57" s="193"/>
      <c r="AI57" s="81"/>
      <c r="AJ57" s="201"/>
      <c r="AK57" s="201"/>
    </row>
    <row r="58" ht="15.75" customHeight="1">
      <c r="A58" s="204" t="s">
        <v>133</v>
      </c>
      <c r="B58" s="64"/>
      <c r="C58" s="64"/>
      <c r="D58" s="64"/>
      <c r="E58" s="64"/>
      <c r="F58" s="67"/>
      <c r="G58" s="64"/>
      <c r="H58" s="64"/>
      <c r="I58" s="64"/>
      <c r="J58" s="64"/>
      <c r="K58" s="64"/>
      <c r="L58" s="72"/>
      <c r="M58" s="67"/>
      <c r="N58" s="64"/>
      <c r="O58" s="64"/>
      <c r="P58" s="74"/>
      <c r="Q58" s="74"/>
      <c r="R58" s="64"/>
      <c r="S58" s="75"/>
      <c r="T58" s="76"/>
      <c r="U58" s="78"/>
      <c r="V58" s="78"/>
      <c r="W58" s="64"/>
      <c r="X58" s="64"/>
      <c r="Y58" s="64"/>
      <c r="Z58" s="64"/>
      <c r="AA58" s="67"/>
      <c r="AB58" s="76"/>
      <c r="AC58" s="64"/>
      <c r="AD58" s="79"/>
      <c r="AE58" s="93">
        <f t="shared" si="8"/>
        <v>0</v>
      </c>
      <c r="AF58" s="193">
        <v>75.0</v>
      </c>
      <c r="AG58" s="193">
        <f t="shared" si="9"/>
        <v>0</v>
      </c>
      <c r="AH58" s="193"/>
      <c r="AI58" s="81"/>
      <c r="AJ58" s="201"/>
      <c r="AK58" s="201"/>
    </row>
    <row r="59" ht="15.75" customHeight="1">
      <c r="A59" s="204" t="s">
        <v>135</v>
      </c>
      <c r="B59" s="64"/>
      <c r="C59" s="64"/>
      <c r="D59" s="64"/>
      <c r="E59" s="64"/>
      <c r="F59" s="67"/>
      <c r="G59" s="64"/>
      <c r="H59" s="64"/>
      <c r="I59" s="64"/>
      <c r="J59" s="64"/>
      <c r="K59" s="64"/>
      <c r="L59" s="72"/>
      <c r="M59" s="67"/>
      <c r="N59" s="64"/>
      <c r="O59" s="64"/>
      <c r="P59" s="74"/>
      <c r="Q59" s="74"/>
      <c r="R59" s="64"/>
      <c r="S59" s="75"/>
      <c r="T59" s="76"/>
      <c r="U59" s="78"/>
      <c r="V59" s="78"/>
      <c r="W59" s="64"/>
      <c r="X59" s="64"/>
      <c r="Y59" s="64"/>
      <c r="Z59" s="64"/>
      <c r="AA59" s="67"/>
      <c r="AB59" s="76"/>
      <c r="AC59" s="64"/>
      <c r="AD59" s="79"/>
      <c r="AE59" s="93">
        <f t="shared" si="8"/>
        <v>0</v>
      </c>
      <c r="AF59" s="193">
        <v>100.0</v>
      </c>
      <c r="AG59" s="193">
        <f t="shared" si="9"/>
        <v>0</v>
      </c>
      <c r="AH59" s="193"/>
      <c r="AI59" s="81"/>
      <c r="AJ59" s="201"/>
      <c r="AK59" s="201"/>
    </row>
    <row r="60" ht="15.75" customHeight="1">
      <c r="A60" s="204" t="s">
        <v>136</v>
      </c>
      <c r="B60" s="64"/>
      <c r="C60" s="64"/>
      <c r="D60" s="64"/>
      <c r="E60" s="64"/>
      <c r="F60" s="67"/>
      <c r="G60" s="64"/>
      <c r="H60" s="64"/>
      <c r="I60" s="64"/>
      <c r="J60" s="64"/>
      <c r="K60" s="64"/>
      <c r="L60" s="72"/>
      <c r="M60" s="67"/>
      <c r="N60" s="64"/>
      <c r="O60" s="64"/>
      <c r="P60" s="74"/>
      <c r="Q60" s="74"/>
      <c r="R60" s="64"/>
      <c r="S60" s="75"/>
      <c r="T60" s="76"/>
      <c r="U60" s="78"/>
      <c r="V60" s="78"/>
      <c r="W60" s="64"/>
      <c r="X60" s="64"/>
      <c r="Y60" s="64"/>
      <c r="Z60" s="64"/>
      <c r="AA60" s="67"/>
      <c r="AB60" s="76"/>
      <c r="AC60" s="64"/>
      <c r="AD60" s="79"/>
      <c r="AE60" s="93">
        <f t="shared" si="8"/>
        <v>0</v>
      </c>
      <c r="AF60" s="193">
        <v>600.0</v>
      </c>
      <c r="AG60" s="193">
        <f t="shared" si="9"/>
        <v>0</v>
      </c>
      <c r="AH60" s="193"/>
      <c r="AI60" s="81"/>
      <c r="AJ60" s="201"/>
      <c r="AK60" s="201"/>
    </row>
    <row r="61" ht="15.75" customHeight="1">
      <c r="A61" s="204" t="s">
        <v>140</v>
      </c>
      <c r="B61" s="64"/>
      <c r="C61" s="64"/>
      <c r="D61" s="64"/>
      <c r="E61" s="64"/>
      <c r="F61" s="67"/>
      <c r="G61" s="64"/>
      <c r="H61" s="64"/>
      <c r="I61" s="64"/>
      <c r="J61" s="64"/>
      <c r="K61" s="64"/>
      <c r="L61" s="72"/>
      <c r="M61" s="67"/>
      <c r="N61" s="64"/>
      <c r="O61" s="64"/>
      <c r="P61" s="74"/>
      <c r="Q61" s="74"/>
      <c r="R61" s="64"/>
      <c r="S61" s="75"/>
      <c r="T61" s="76"/>
      <c r="U61" s="78"/>
      <c r="V61" s="78"/>
      <c r="W61" s="64"/>
      <c r="X61" s="64"/>
      <c r="Y61" s="64"/>
      <c r="Z61" s="64"/>
      <c r="AA61" s="67"/>
      <c r="AB61" s="76"/>
      <c r="AC61" s="64"/>
      <c r="AD61" s="79"/>
      <c r="AE61" s="93">
        <f t="shared" si="8"/>
        <v>0</v>
      </c>
      <c r="AF61" s="193">
        <v>150.0</v>
      </c>
      <c r="AG61" s="193">
        <f t="shared" si="9"/>
        <v>0</v>
      </c>
      <c r="AH61" s="193"/>
      <c r="AI61" s="81"/>
      <c r="AJ61" s="201"/>
      <c r="AK61" s="201"/>
    </row>
    <row r="62" ht="15.75" customHeight="1">
      <c r="A62" s="204" t="s">
        <v>141</v>
      </c>
      <c r="B62" s="64"/>
      <c r="C62" s="64"/>
      <c r="D62" s="64"/>
      <c r="E62" s="64"/>
      <c r="F62" s="67"/>
      <c r="G62" s="64"/>
      <c r="H62" s="64"/>
      <c r="I62" s="64"/>
      <c r="J62" s="64"/>
      <c r="K62" s="64"/>
      <c r="L62" s="72"/>
      <c r="M62" s="67"/>
      <c r="N62" s="64"/>
      <c r="O62" s="64"/>
      <c r="P62" s="74"/>
      <c r="Q62" s="74"/>
      <c r="R62" s="64"/>
      <c r="S62" s="75"/>
      <c r="T62" s="76"/>
      <c r="U62" s="78"/>
      <c r="V62" s="78"/>
      <c r="W62" s="64"/>
      <c r="X62" s="64"/>
      <c r="Y62" s="64"/>
      <c r="Z62" s="64"/>
      <c r="AA62" s="67"/>
      <c r="AB62" s="76"/>
      <c r="AC62" s="64"/>
      <c r="AD62" s="79"/>
      <c r="AE62" s="93">
        <f t="shared" si="8"/>
        <v>0</v>
      </c>
      <c r="AF62" s="193">
        <v>200.0</v>
      </c>
      <c r="AG62" s="193">
        <f t="shared" si="9"/>
        <v>0</v>
      </c>
      <c r="AH62" s="193"/>
      <c r="AI62" s="81"/>
      <c r="AJ62" s="201"/>
      <c r="AK62" s="201"/>
    </row>
    <row r="63" ht="15.75" customHeight="1">
      <c r="A63" s="202" t="s">
        <v>145</v>
      </c>
      <c r="B63" s="64"/>
      <c r="C63" s="64">
        <v>2.0</v>
      </c>
      <c r="D63" s="64">
        <v>1.0</v>
      </c>
      <c r="E63" s="64">
        <v>2.0</v>
      </c>
      <c r="F63" s="67"/>
      <c r="G63" s="64"/>
      <c r="H63" s="64"/>
      <c r="I63" s="64"/>
      <c r="J63" s="64">
        <v>14.0</v>
      </c>
      <c r="K63" s="64">
        <v>2.0</v>
      </c>
      <c r="L63" s="72"/>
      <c r="M63" s="67"/>
      <c r="N63" s="64">
        <v>1.0</v>
      </c>
      <c r="O63" s="64">
        <v>12.0</v>
      </c>
      <c r="P63" s="74"/>
      <c r="Q63" s="74"/>
      <c r="R63" s="64">
        <v>8.0</v>
      </c>
      <c r="S63" s="75"/>
      <c r="T63" s="76">
        <v>3.0</v>
      </c>
      <c r="U63" s="78"/>
      <c r="V63" s="78"/>
      <c r="W63" s="64">
        <v>4.0</v>
      </c>
      <c r="X63" s="64">
        <v>2.0</v>
      </c>
      <c r="Y63" s="64">
        <v>5.0</v>
      </c>
      <c r="Z63" s="64">
        <v>1.0</v>
      </c>
      <c r="AA63" s="67"/>
      <c r="AB63" s="76">
        <v>6.0</v>
      </c>
      <c r="AC63" s="64">
        <v>2.0</v>
      </c>
      <c r="AD63" s="79"/>
      <c r="AE63" s="93">
        <f t="shared" si="8"/>
        <v>65</v>
      </c>
      <c r="AF63" s="203">
        <v>850.0</v>
      </c>
      <c r="AG63" s="193">
        <f t="shared" si="9"/>
        <v>55250</v>
      </c>
      <c r="AH63" s="193"/>
      <c r="AI63" s="81"/>
      <c r="AJ63" s="201"/>
      <c r="AK63" s="201"/>
    </row>
    <row r="64" ht="15.75" customHeight="1">
      <c r="A64" s="222" t="s">
        <v>147</v>
      </c>
      <c r="B64" s="64"/>
      <c r="C64" s="64">
        <v>1.0</v>
      </c>
      <c r="D64" s="64"/>
      <c r="E64" s="64">
        <v>5.0</v>
      </c>
      <c r="F64" s="67"/>
      <c r="G64" s="64"/>
      <c r="H64" s="64">
        <v>1.0</v>
      </c>
      <c r="I64" s="64"/>
      <c r="J64" s="64">
        <v>4.0</v>
      </c>
      <c r="K64" s="64">
        <v>2.0</v>
      </c>
      <c r="L64" s="72"/>
      <c r="M64" s="67"/>
      <c r="N64" s="64">
        <v>3.0</v>
      </c>
      <c r="O64" s="64">
        <v>1.0</v>
      </c>
      <c r="P64" s="74"/>
      <c r="Q64" s="74"/>
      <c r="R64" s="64">
        <v>2.0</v>
      </c>
      <c r="S64" s="75"/>
      <c r="T64" s="76">
        <v>3.0</v>
      </c>
      <c r="U64" s="78"/>
      <c r="V64" s="78"/>
      <c r="W64" s="64">
        <v>6.0</v>
      </c>
      <c r="X64" s="64">
        <v>1.0</v>
      </c>
      <c r="Y64" s="64">
        <v>2.0</v>
      </c>
      <c r="Z64" s="64"/>
      <c r="AA64" s="67"/>
      <c r="AB64" s="76"/>
      <c r="AC64" s="64">
        <v>1.0</v>
      </c>
      <c r="AD64" s="79"/>
      <c r="AE64" s="93">
        <f t="shared" si="8"/>
        <v>32</v>
      </c>
      <c r="AF64" s="203">
        <v>750.0</v>
      </c>
      <c r="AG64" s="193">
        <f t="shared" si="9"/>
        <v>24000</v>
      </c>
      <c r="AH64" s="193"/>
      <c r="AI64" s="81"/>
      <c r="AJ64" s="201"/>
      <c r="AK64" s="201"/>
    </row>
    <row r="65" ht="15.75" customHeight="1">
      <c r="A65" s="204" t="s">
        <v>149</v>
      </c>
      <c r="B65" s="64"/>
      <c r="C65" s="64"/>
      <c r="D65" s="64"/>
      <c r="E65" s="64"/>
      <c r="F65" s="67"/>
      <c r="G65" s="64"/>
      <c r="H65" s="64"/>
      <c r="I65" s="64"/>
      <c r="J65" s="64"/>
      <c r="K65" s="64"/>
      <c r="L65" s="72"/>
      <c r="M65" s="67"/>
      <c r="N65" s="64"/>
      <c r="O65" s="64"/>
      <c r="P65" s="74"/>
      <c r="Q65" s="74"/>
      <c r="R65" s="64"/>
      <c r="S65" s="75"/>
      <c r="T65" s="76"/>
      <c r="U65" s="78"/>
      <c r="V65" s="78"/>
      <c r="W65" s="64"/>
      <c r="X65" s="64"/>
      <c r="Y65" s="64"/>
      <c r="Z65" s="64"/>
      <c r="AA65" s="67"/>
      <c r="AB65" s="76"/>
      <c r="AC65" s="64"/>
      <c r="AD65" s="79"/>
      <c r="AE65" s="93">
        <f t="shared" si="8"/>
        <v>0</v>
      </c>
      <c r="AF65" s="193">
        <v>250.0</v>
      </c>
      <c r="AG65" s="193">
        <f t="shared" si="9"/>
        <v>0</v>
      </c>
      <c r="AH65" s="193"/>
      <c r="AI65" s="81"/>
      <c r="AJ65" s="201"/>
      <c r="AK65" s="201"/>
    </row>
    <row r="66" ht="15.75" customHeight="1">
      <c r="A66" s="204" t="s">
        <v>152</v>
      </c>
      <c r="B66" s="64"/>
      <c r="C66" s="64"/>
      <c r="D66" s="64"/>
      <c r="E66" s="64"/>
      <c r="F66" s="67"/>
      <c r="G66" s="64"/>
      <c r="H66" s="64"/>
      <c r="I66" s="64"/>
      <c r="J66" s="64"/>
      <c r="K66" s="64"/>
      <c r="L66" s="72"/>
      <c r="M66" s="67"/>
      <c r="N66" s="64"/>
      <c r="O66" s="64"/>
      <c r="P66" s="74"/>
      <c r="Q66" s="74"/>
      <c r="R66" s="64"/>
      <c r="S66" s="75"/>
      <c r="T66" s="76"/>
      <c r="U66" s="78"/>
      <c r="V66" s="78"/>
      <c r="W66" s="64"/>
      <c r="X66" s="64"/>
      <c r="Y66" s="64"/>
      <c r="Z66" s="64"/>
      <c r="AA66" s="67"/>
      <c r="AB66" s="76"/>
      <c r="AC66" s="64"/>
      <c r="AD66" s="79"/>
      <c r="AE66" s="93">
        <f t="shared" si="8"/>
        <v>0</v>
      </c>
      <c r="AF66" s="193">
        <v>120.0</v>
      </c>
      <c r="AG66" s="193">
        <f t="shared" si="9"/>
        <v>0</v>
      </c>
      <c r="AH66" s="193"/>
      <c r="AI66" s="81"/>
      <c r="AJ66" s="201"/>
      <c r="AK66" s="201"/>
    </row>
    <row r="67" ht="15.75" customHeight="1">
      <c r="A67" s="227" t="s">
        <v>153</v>
      </c>
      <c r="B67" s="64"/>
      <c r="C67" s="64"/>
      <c r="D67" s="64"/>
      <c r="E67" s="64">
        <v>2.0</v>
      </c>
      <c r="F67" s="67"/>
      <c r="G67" s="64"/>
      <c r="H67" s="64">
        <v>11.0</v>
      </c>
      <c r="I67" s="64"/>
      <c r="J67" s="64">
        <v>1.0</v>
      </c>
      <c r="K67" s="64"/>
      <c r="L67" s="72"/>
      <c r="M67" s="67"/>
      <c r="N67" s="64">
        <v>1.0</v>
      </c>
      <c r="O67" s="64">
        <v>8.0</v>
      </c>
      <c r="P67" s="74"/>
      <c r="Q67" s="74"/>
      <c r="R67" s="64">
        <v>1.0</v>
      </c>
      <c r="S67" s="75"/>
      <c r="T67" s="76">
        <v>13.0</v>
      </c>
      <c r="U67" s="78"/>
      <c r="V67" s="78"/>
      <c r="W67" s="64"/>
      <c r="X67" s="64"/>
      <c r="Y67" s="64">
        <v>3.0</v>
      </c>
      <c r="Z67" s="64">
        <v>2.0</v>
      </c>
      <c r="AA67" s="67"/>
      <c r="AB67" s="76"/>
      <c r="AC67" s="64">
        <v>9.0</v>
      </c>
      <c r="AD67" s="79"/>
      <c r="AE67" s="82">
        <f t="shared" si="8"/>
        <v>51</v>
      </c>
      <c r="AF67" s="232">
        <v>160.0</v>
      </c>
      <c r="AG67" s="232">
        <f t="shared" si="9"/>
        <v>8160</v>
      </c>
      <c r="AH67" s="232"/>
      <c r="AI67" s="81"/>
      <c r="AJ67" s="233"/>
      <c r="AK67" s="233"/>
    </row>
    <row r="68" ht="15.75" customHeight="1">
      <c r="A68" s="227" t="s">
        <v>156</v>
      </c>
      <c r="B68" s="64">
        <v>3.0</v>
      </c>
      <c r="C68" s="64"/>
      <c r="D68" s="64"/>
      <c r="E68" s="64">
        <v>2.0</v>
      </c>
      <c r="F68" s="67"/>
      <c r="G68" s="64">
        <v>1.0</v>
      </c>
      <c r="H68" s="64">
        <v>1.0</v>
      </c>
      <c r="I68" s="64"/>
      <c r="J68" s="64"/>
      <c r="K68" s="64"/>
      <c r="L68" s="72"/>
      <c r="M68" s="67"/>
      <c r="N68" s="64"/>
      <c r="O68" s="64"/>
      <c r="P68" s="74"/>
      <c r="Q68" s="74"/>
      <c r="R68" s="64"/>
      <c r="S68" s="75"/>
      <c r="T68" s="76"/>
      <c r="U68" s="78"/>
      <c r="V68" s="78"/>
      <c r="W68" s="64"/>
      <c r="X68" s="64"/>
      <c r="Y68" s="64"/>
      <c r="Z68" s="64"/>
      <c r="AA68" s="67"/>
      <c r="AB68" s="76"/>
      <c r="AC68" s="64"/>
      <c r="AD68" s="79"/>
      <c r="AE68" s="82">
        <f t="shared" si="8"/>
        <v>7</v>
      </c>
      <c r="AF68" s="234">
        <v>350.0</v>
      </c>
      <c r="AG68" s="232">
        <f t="shared" si="9"/>
        <v>2450</v>
      </c>
      <c r="AH68" s="232"/>
      <c r="AI68" s="81"/>
      <c r="AJ68" s="233"/>
      <c r="AK68" s="233"/>
    </row>
    <row r="69" ht="15.75" customHeight="1">
      <c r="A69" s="235" t="s">
        <v>157</v>
      </c>
      <c r="B69" s="64">
        <v>5.0</v>
      </c>
      <c r="C69" s="64">
        <v>1.0</v>
      </c>
      <c r="D69" s="64"/>
      <c r="E69" s="64">
        <v>2.0</v>
      </c>
      <c r="F69" s="67"/>
      <c r="G69" s="64">
        <v>2.0</v>
      </c>
      <c r="H69" s="64">
        <v>2.0</v>
      </c>
      <c r="I69" s="64"/>
      <c r="J69" s="64">
        <v>1.0</v>
      </c>
      <c r="K69" s="64">
        <v>13.0</v>
      </c>
      <c r="L69" s="72"/>
      <c r="M69" s="67"/>
      <c r="N69" s="64">
        <v>5.0</v>
      </c>
      <c r="O69" s="64">
        <v>2.0</v>
      </c>
      <c r="P69" s="74"/>
      <c r="Q69" s="74"/>
      <c r="R69" s="64">
        <v>6.0</v>
      </c>
      <c r="S69" s="75"/>
      <c r="T69" s="76">
        <v>5.0</v>
      </c>
      <c r="U69" s="78"/>
      <c r="V69" s="78"/>
      <c r="W69" s="64">
        <v>15.0</v>
      </c>
      <c r="X69" s="64">
        <v>7.0</v>
      </c>
      <c r="Y69" s="64">
        <v>5.0</v>
      </c>
      <c r="Z69" s="64">
        <v>10.0</v>
      </c>
      <c r="AA69" s="67"/>
      <c r="AB69" s="76">
        <v>1.0</v>
      </c>
      <c r="AC69" s="64">
        <v>1.0</v>
      </c>
      <c r="AD69" s="79"/>
      <c r="AE69" s="82">
        <f t="shared" si="8"/>
        <v>83</v>
      </c>
      <c r="AF69" s="234">
        <v>350.0</v>
      </c>
      <c r="AG69" s="232">
        <f t="shared" si="9"/>
        <v>29050</v>
      </c>
      <c r="AH69" s="232"/>
      <c r="AI69" s="81"/>
      <c r="AJ69" s="233"/>
      <c r="AK69" s="233"/>
    </row>
    <row r="70" ht="15.75" customHeight="1">
      <c r="A70" s="204" t="s">
        <v>160</v>
      </c>
      <c r="B70" s="64"/>
      <c r="C70" s="64"/>
      <c r="D70" s="64"/>
      <c r="E70" s="64"/>
      <c r="F70" s="67"/>
      <c r="G70" s="64"/>
      <c r="H70" s="64"/>
      <c r="I70" s="64"/>
      <c r="J70" s="64"/>
      <c r="K70" s="64"/>
      <c r="L70" s="72"/>
      <c r="M70" s="67"/>
      <c r="N70" s="64"/>
      <c r="O70" s="64"/>
      <c r="P70" s="74"/>
      <c r="Q70" s="74"/>
      <c r="R70" s="64"/>
      <c r="S70" s="75"/>
      <c r="T70" s="76"/>
      <c r="U70" s="78"/>
      <c r="V70" s="78"/>
      <c r="W70" s="64"/>
      <c r="X70" s="64"/>
      <c r="Y70" s="64"/>
      <c r="Z70" s="64"/>
      <c r="AA70" s="67"/>
      <c r="AB70" s="76"/>
      <c r="AC70" s="64"/>
      <c r="AD70" s="79"/>
      <c r="AE70" s="93">
        <f t="shared" si="8"/>
        <v>0</v>
      </c>
      <c r="AF70" s="193">
        <v>150.0</v>
      </c>
      <c r="AG70" s="193">
        <f t="shared" si="9"/>
        <v>0</v>
      </c>
      <c r="AH70" s="193"/>
      <c r="AI70" s="81"/>
      <c r="AJ70" s="201"/>
      <c r="AK70" s="201"/>
    </row>
    <row r="71" ht="15.75" customHeight="1">
      <c r="A71" s="204" t="s">
        <v>161</v>
      </c>
      <c r="B71" s="64"/>
      <c r="C71" s="64"/>
      <c r="D71" s="64"/>
      <c r="E71" s="64"/>
      <c r="F71" s="67"/>
      <c r="G71" s="64"/>
      <c r="H71" s="64"/>
      <c r="I71" s="64"/>
      <c r="J71" s="64"/>
      <c r="K71" s="64"/>
      <c r="L71" s="72"/>
      <c r="M71" s="67"/>
      <c r="N71" s="64"/>
      <c r="O71" s="64"/>
      <c r="P71" s="74"/>
      <c r="Q71" s="74"/>
      <c r="R71" s="64"/>
      <c r="S71" s="75"/>
      <c r="T71" s="76"/>
      <c r="U71" s="78"/>
      <c r="V71" s="78"/>
      <c r="W71" s="64"/>
      <c r="X71" s="64"/>
      <c r="Y71" s="64"/>
      <c r="Z71" s="64"/>
      <c r="AA71" s="67"/>
      <c r="AB71" s="76"/>
      <c r="AC71" s="64"/>
      <c r="AD71" s="79"/>
      <c r="AE71" s="93">
        <f t="shared" si="8"/>
        <v>0</v>
      </c>
      <c r="AF71" s="193">
        <v>500.0</v>
      </c>
      <c r="AG71" s="193">
        <f t="shared" si="9"/>
        <v>0</v>
      </c>
      <c r="AH71" s="193"/>
      <c r="AI71" s="81"/>
      <c r="AJ71" s="201"/>
      <c r="AK71" s="201"/>
    </row>
    <row r="72" ht="15.75" customHeight="1">
      <c r="A72" s="204" t="s">
        <v>162</v>
      </c>
      <c r="B72" s="64">
        <v>10.0</v>
      </c>
      <c r="C72" s="64">
        <v>10.0</v>
      </c>
      <c r="D72" s="64">
        <v>11.0</v>
      </c>
      <c r="E72" s="64">
        <v>3.0</v>
      </c>
      <c r="F72" s="67"/>
      <c r="G72" s="64">
        <v>1.0</v>
      </c>
      <c r="H72" s="64">
        <v>16.0</v>
      </c>
      <c r="I72" s="64">
        <v>1.0</v>
      </c>
      <c r="J72" s="64">
        <v>4.0</v>
      </c>
      <c r="K72" s="64">
        <v>7.0</v>
      </c>
      <c r="L72" s="72"/>
      <c r="M72" s="67"/>
      <c r="N72" s="64">
        <v>5.0</v>
      </c>
      <c r="O72" s="64">
        <v>7.0</v>
      </c>
      <c r="P72" s="74"/>
      <c r="Q72" s="74"/>
      <c r="R72" s="64">
        <v>3.0</v>
      </c>
      <c r="S72" s="75"/>
      <c r="T72" s="76">
        <v>38.0</v>
      </c>
      <c r="U72" s="78"/>
      <c r="V72" s="78"/>
      <c r="W72" s="64">
        <v>13.0</v>
      </c>
      <c r="X72" s="64">
        <v>4.0</v>
      </c>
      <c r="Y72" s="64">
        <v>6.0</v>
      </c>
      <c r="Z72" s="64">
        <v>3.0</v>
      </c>
      <c r="AA72" s="67"/>
      <c r="AB72" s="76">
        <v>5.0</v>
      </c>
      <c r="AC72" s="64">
        <v>4.0</v>
      </c>
      <c r="AD72" s="79"/>
      <c r="AE72" s="93">
        <f t="shared" si="8"/>
        <v>151</v>
      </c>
      <c r="AF72" s="193">
        <v>350.0</v>
      </c>
      <c r="AG72" s="193">
        <f t="shared" si="9"/>
        <v>52850</v>
      </c>
      <c r="AH72" s="193"/>
      <c r="AI72" s="81"/>
      <c r="AJ72" s="201"/>
      <c r="AK72" s="201"/>
    </row>
    <row r="73" ht="15.75" customHeight="1">
      <c r="A73" s="236" t="s">
        <v>163</v>
      </c>
      <c r="B73" s="64"/>
      <c r="C73" s="64"/>
      <c r="D73" s="64"/>
      <c r="E73" s="64"/>
      <c r="F73" s="67"/>
      <c r="G73" s="64"/>
      <c r="H73" s="64"/>
      <c r="I73" s="64"/>
      <c r="J73" s="64"/>
      <c r="K73" s="64"/>
      <c r="L73" s="72"/>
      <c r="M73" s="67"/>
      <c r="N73" s="64"/>
      <c r="O73" s="64"/>
      <c r="P73" s="74"/>
      <c r="Q73" s="74"/>
      <c r="R73" s="64"/>
      <c r="S73" s="75"/>
      <c r="T73" s="76"/>
      <c r="U73" s="78"/>
      <c r="V73" s="78"/>
      <c r="W73" s="64"/>
      <c r="X73" s="64"/>
      <c r="Y73" s="64"/>
      <c r="Z73" s="64"/>
      <c r="AA73" s="67"/>
      <c r="AB73" s="76"/>
      <c r="AC73" s="64"/>
      <c r="AD73" s="79"/>
      <c r="AE73" s="93">
        <f t="shared" si="8"/>
        <v>0</v>
      </c>
      <c r="AF73" s="94">
        <v>250.0</v>
      </c>
      <c r="AG73" s="193">
        <f t="shared" si="9"/>
        <v>0</v>
      </c>
      <c r="AH73" s="193"/>
      <c r="AI73" s="81"/>
      <c r="AJ73" s="201"/>
      <c r="AK73" s="201"/>
    </row>
    <row r="74" ht="15.75" customHeight="1">
      <c r="A74" s="236" t="s">
        <v>165</v>
      </c>
      <c r="B74" s="64"/>
      <c r="C74" s="64"/>
      <c r="D74" s="64"/>
      <c r="E74" s="64"/>
      <c r="F74" s="67"/>
      <c r="G74" s="64"/>
      <c r="H74" s="64"/>
      <c r="I74" s="64"/>
      <c r="J74" s="64"/>
      <c r="K74" s="64"/>
      <c r="L74" s="72"/>
      <c r="M74" s="67"/>
      <c r="N74" s="64"/>
      <c r="O74" s="64"/>
      <c r="P74" s="74"/>
      <c r="Q74" s="74"/>
      <c r="R74" s="64"/>
      <c r="S74" s="75"/>
      <c r="T74" s="76"/>
      <c r="U74" s="78"/>
      <c r="V74" s="78"/>
      <c r="W74" s="64"/>
      <c r="X74" s="64"/>
      <c r="Y74" s="64"/>
      <c r="Z74" s="64"/>
      <c r="AA74" s="67"/>
      <c r="AB74" s="76"/>
      <c r="AC74" s="64"/>
      <c r="AD74" s="79"/>
      <c r="AE74" s="93">
        <f t="shared" si="8"/>
        <v>0</v>
      </c>
      <c r="AF74" s="125">
        <v>900.0</v>
      </c>
      <c r="AG74" s="193">
        <f t="shared" si="9"/>
        <v>0</v>
      </c>
      <c r="AH74" s="193"/>
      <c r="AI74" s="81"/>
      <c r="AJ74" s="201"/>
      <c r="AK74" s="201"/>
    </row>
    <row r="75" ht="15.75" customHeight="1">
      <c r="A75" s="236" t="s">
        <v>168</v>
      </c>
      <c r="B75" s="64"/>
      <c r="C75" s="64"/>
      <c r="D75" s="64"/>
      <c r="E75" s="64"/>
      <c r="F75" s="67"/>
      <c r="G75" s="64"/>
      <c r="H75" s="64"/>
      <c r="I75" s="64"/>
      <c r="J75" s="64"/>
      <c r="K75" s="64"/>
      <c r="L75" s="72"/>
      <c r="M75" s="67"/>
      <c r="N75" s="64"/>
      <c r="O75" s="64">
        <v>1.0</v>
      </c>
      <c r="P75" s="74"/>
      <c r="Q75" s="74"/>
      <c r="R75" s="64">
        <v>1.0</v>
      </c>
      <c r="S75" s="75"/>
      <c r="T75" s="76"/>
      <c r="U75" s="78"/>
      <c r="V75" s="78"/>
      <c r="W75" s="64">
        <v>1.0</v>
      </c>
      <c r="X75" s="64"/>
      <c r="Y75" s="64"/>
      <c r="Z75" s="64"/>
      <c r="AA75" s="67"/>
      <c r="AB75" s="76"/>
      <c r="AC75" s="64"/>
      <c r="AD75" s="79"/>
      <c r="AE75" s="93">
        <f t="shared" si="8"/>
        <v>3</v>
      </c>
      <c r="AF75" s="150">
        <v>250.0</v>
      </c>
      <c r="AG75" s="125">
        <f t="shared" si="9"/>
        <v>750</v>
      </c>
      <c r="AH75" s="125"/>
      <c r="AI75" s="81"/>
      <c r="AJ75" s="201"/>
      <c r="AK75" s="201"/>
    </row>
    <row r="76" ht="15.75" customHeight="1">
      <c r="A76" s="236" t="s">
        <v>10</v>
      </c>
      <c r="B76" s="64">
        <v>12.0</v>
      </c>
      <c r="C76" s="64"/>
      <c r="D76" s="64">
        <v>2.0</v>
      </c>
      <c r="E76" s="64">
        <v>1.0</v>
      </c>
      <c r="F76" s="67"/>
      <c r="G76" s="64"/>
      <c r="H76" s="64"/>
      <c r="I76" s="64">
        <v>1.0</v>
      </c>
      <c r="J76" s="64">
        <v>6.0</v>
      </c>
      <c r="K76" s="64">
        <v>2.0</v>
      </c>
      <c r="L76" s="72"/>
      <c r="M76" s="67"/>
      <c r="N76" s="64">
        <v>2.0</v>
      </c>
      <c r="O76" s="64"/>
      <c r="P76" s="74"/>
      <c r="Q76" s="74"/>
      <c r="R76" s="64"/>
      <c r="S76" s="75"/>
      <c r="T76" s="76">
        <v>1.0</v>
      </c>
      <c r="U76" s="78"/>
      <c r="V76" s="78"/>
      <c r="W76" s="64"/>
      <c r="X76" s="64"/>
      <c r="Y76" s="64"/>
      <c r="Z76" s="64"/>
      <c r="AA76" s="67"/>
      <c r="AB76" s="76"/>
      <c r="AC76" s="64">
        <v>1.0</v>
      </c>
      <c r="AD76" s="79"/>
      <c r="AE76" s="93">
        <f t="shared" si="8"/>
        <v>28</v>
      </c>
      <c r="AF76" s="94">
        <v>18.0</v>
      </c>
      <c r="AG76" s="94">
        <f t="shared" si="9"/>
        <v>504</v>
      </c>
      <c r="AH76" s="94"/>
      <c r="AI76" s="81"/>
      <c r="AJ76" s="201"/>
      <c r="AK76" s="201"/>
    </row>
    <row r="77" ht="15.75" customHeight="1">
      <c r="A77" s="244" t="s">
        <v>175</v>
      </c>
      <c r="B77" s="64"/>
      <c r="C77" s="64"/>
      <c r="D77" s="64"/>
      <c r="E77" s="64"/>
      <c r="F77" s="67"/>
      <c r="G77" s="64"/>
      <c r="H77" s="64">
        <v>1.0</v>
      </c>
      <c r="I77" s="64"/>
      <c r="J77" s="64"/>
      <c r="K77" s="64">
        <v>1.0</v>
      </c>
      <c r="L77" s="72"/>
      <c r="M77" s="67"/>
      <c r="N77" s="64"/>
      <c r="O77" s="64"/>
      <c r="P77" s="74"/>
      <c r="Q77" s="74"/>
      <c r="R77" s="64"/>
      <c r="S77" s="75"/>
      <c r="T77" s="76"/>
      <c r="U77" s="78"/>
      <c r="V77" s="78"/>
      <c r="W77" s="64"/>
      <c r="X77" s="64"/>
      <c r="Y77" s="64"/>
      <c r="Z77" s="64"/>
      <c r="AA77" s="67"/>
      <c r="AB77" s="76"/>
      <c r="AC77" s="64"/>
      <c r="AD77" s="79"/>
      <c r="AE77" s="93">
        <f t="shared" si="8"/>
        <v>2</v>
      </c>
      <c r="AF77" s="138">
        <v>100.0</v>
      </c>
      <c r="AG77" s="94">
        <f t="shared" si="9"/>
        <v>200</v>
      </c>
      <c r="AH77" s="94"/>
      <c r="AI77" s="81"/>
      <c r="AJ77" s="201"/>
      <c r="AK77" s="201"/>
    </row>
    <row r="78" ht="15.75" customHeight="1">
      <c r="A78" s="244" t="s">
        <v>178</v>
      </c>
      <c r="B78" s="64"/>
      <c r="C78" s="64"/>
      <c r="D78" s="64"/>
      <c r="E78" s="64"/>
      <c r="F78" s="67"/>
      <c r="G78" s="64"/>
      <c r="H78" s="64"/>
      <c r="I78" s="64"/>
      <c r="J78" s="64"/>
      <c r="K78" s="64"/>
      <c r="L78" s="72"/>
      <c r="M78" s="67"/>
      <c r="N78" s="64"/>
      <c r="O78" s="64"/>
      <c r="P78" s="74"/>
      <c r="Q78" s="74"/>
      <c r="R78" s="64"/>
      <c r="S78" s="75"/>
      <c r="T78" s="76"/>
      <c r="U78" s="78"/>
      <c r="V78" s="78"/>
      <c r="W78" s="64"/>
      <c r="X78" s="64"/>
      <c r="Y78" s="64"/>
      <c r="Z78" s="64"/>
      <c r="AA78" s="67"/>
      <c r="AB78" s="76"/>
      <c r="AC78" s="64"/>
      <c r="AD78" s="79"/>
      <c r="AE78" s="93">
        <f t="shared" si="8"/>
        <v>0</v>
      </c>
      <c r="AF78" s="138">
        <v>330.0</v>
      </c>
      <c r="AG78" s="94">
        <f t="shared" si="9"/>
        <v>0</v>
      </c>
      <c r="AH78" s="94"/>
      <c r="AI78" s="81"/>
      <c r="AJ78" s="201"/>
      <c r="AK78" s="201"/>
    </row>
    <row r="79" ht="15.75" customHeight="1">
      <c r="A79" s="244" t="s">
        <v>36</v>
      </c>
      <c r="B79" s="64">
        <v>1.0</v>
      </c>
      <c r="C79" s="64">
        <v>10.0</v>
      </c>
      <c r="D79" s="64"/>
      <c r="E79" s="64"/>
      <c r="F79" s="67"/>
      <c r="G79" s="64"/>
      <c r="H79" s="64"/>
      <c r="I79" s="64"/>
      <c r="J79" s="64">
        <v>2.0</v>
      </c>
      <c r="K79" s="64">
        <v>1.0</v>
      </c>
      <c r="L79" s="72"/>
      <c r="M79" s="67"/>
      <c r="N79" s="64">
        <v>1.0</v>
      </c>
      <c r="O79" s="64">
        <v>2.0</v>
      </c>
      <c r="P79" s="74"/>
      <c r="Q79" s="74"/>
      <c r="R79" s="64">
        <v>3.0</v>
      </c>
      <c r="S79" s="75"/>
      <c r="T79" s="76">
        <v>3.0</v>
      </c>
      <c r="U79" s="78"/>
      <c r="V79" s="78"/>
      <c r="W79" s="64">
        <v>1.0</v>
      </c>
      <c r="X79" s="64"/>
      <c r="Y79" s="64"/>
      <c r="Z79" s="64">
        <v>1.0</v>
      </c>
      <c r="AA79" s="67"/>
      <c r="AB79" s="76"/>
      <c r="AC79" s="64">
        <v>1.0</v>
      </c>
      <c r="AD79" s="79"/>
      <c r="AE79" s="93">
        <f t="shared" si="8"/>
        <v>26</v>
      </c>
      <c r="AF79" s="138">
        <v>1200.0</v>
      </c>
      <c r="AG79" s="94">
        <f t="shared" si="9"/>
        <v>31200</v>
      </c>
      <c r="AH79" s="94"/>
      <c r="AI79" s="81"/>
      <c r="AJ79" s="201"/>
      <c r="AK79" s="201"/>
    </row>
    <row r="80" ht="15.75" customHeight="1">
      <c r="A80" s="244" t="s">
        <v>63</v>
      </c>
      <c r="B80" s="64">
        <v>24.0</v>
      </c>
      <c r="C80" s="64">
        <v>6.0</v>
      </c>
      <c r="D80" s="64">
        <v>3.0</v>
      </c>
      <c r="E80" s="64">
        <v>22.0</v>
      </c>
      <c r="F80" s="67"/>
      <c r="G80" s="64">
        <v>14.0</v>
      </c>
      <c r="H80" s="64">
        <v>7.0</v>
      </c>
      <c r="I80" s="64">
        <v>2.0</v>
      </c>
      <c r="J80" s="64">
        <v>16.0</v>
      </c>
      <c r="K80" s="64">
        <v>6.0</v>
      </c>
      <c r="L80" s="72"/>
      <c r="M80" s="67"/>
      <c r="N80" s="64">
        <v>4.0</v>
      </c>
      <c r="O80" s="64">
        <v>8.0</v>
      </c>
      <c r="P80" s="74"/>
      <c r="Q80" s="74"/>
      <c r="R80" s="64">
        <v>5.0</v>
      </c>
      <c r="S80" s="75"/>
      <c r="T80" s="76"/>
      <c r="U80" s="78"/>
      <c r="V80" s="78"/>
      <c r="W80" s="64">
        <v>1.0</v>
      </c>
      <c r="X80" s="64">
        <v>7.0</v>
      </c>
      <c r="Y80" s="64">
        <v>7.0</v>
      </c>
      <c r="Z80" s="64">
        <v>4.0</v>
      </c>
      <c r="AA80" s="67"/>
      <c r="AB80" s="76">
        <v>8.0</v>
      </c>
      <c r="AC80" s="64">
        <v>9.0</v>
      </c>
      <c r="AD80" s="79"/>
      <c r="AE80" s="93">
        <f t="shared" si="8"/>
        <v>153</v>
      </c>
      <c r="AF80" s="138">
        <v>25.0</v>
      </c>
      <c r="AG80" s="94">
        <f t="shared" si="9"/>
        <v>3825</v>
      </c>
      <c r="AH80" s="94"/>
      <c r="AI80" s="81"/>
      <c r="AJ80" s="201"/>
      <c r="AK80" s="201"/>
    </row>
    <row r="81" ht="15.75" customHeight="1">
      <c r="A81" s="244" t="s">
        <v>66</v>
      </c>
      <c r="B81" s="64">
        <v>11.0</v>
      </c>
      <c r="C81" s="64">
        <v>4.0</v>
      </c>
      <c r="D81" s="64">
        <v>1.0</v>
      </c>
      <c r="E81" s="64">
        <v>8.0</v>
      </c>
      <c r="F81" s="67"/>
      <c r="G81" s="64">
        <v>5.0</v>
      </c>
      <c r="H81" s="64">
        <v>9.0</v>
      </c>
      <c r="I81" s="64">
        <v>2.0</v>
      </c>
      <c r="J81" s="64">
        <v>11.0</v>
      </c>
      <c r="K81" s="64">
        <v>8.0</v>
      </c>
      <c r="L81" s="72"/>
      <c r="M81" s="67"/>
      <c r="N81" s="64"/>
      <c r="O81" s="64">
        <v>6.0</v>
      </c>
      <c r="P81" s="74"/>
      <c r="Q81" s="74"/>
      <c r="R81" s="64">
        <v>3.0</v>
      </c>
      <c r="S81" s="75"/>
      <c r="T81" s="76"/>
      <c r="U81" s="78"/>
      <c r="V81" s="78"/>
      <c r="W81" s="64">
        <v>2.0</v>
      </c>
      <c r="X81" s="64">
        <v>4.0</v>
      </c>
      <c r="Y81" s="64">
        <v>5.0</v>
      </c>
      <c r="Z81" s="64">
        <v>6.0</v>
      </c>
      <c r="AA81" s="67"/>
      <c r="AB81" s="76">
        <v>8.0</v>
      </c>
      <c r="AC81" s="64">
        <v>6.0</v>
      </c>
      <c r="AD81" s="79"/>
      <c r="AE81" s="93">
        <f t="shared" si="8"/>
        <v>99</v>
      </c>
      <c r="AF81" s="138">
        <v>30.0</v>
      </c>
      <c r="AG81" s="94">
        <f t="shared" si="9"/>
        <v>2970</v>
      </c>
      <c r="AH81" s="94"/>
      <c r="AI81" s="81"/>
      <c r="AJ81" s="201"/>
      <c r="AK81" s="201"/>
    </row>
    <row r="82" ht="15.75" customHeight="1">
      <c r="A82" s="244" t="s">
        <v>68</v>
      </c>
      <c r="B82" s="64">
        <v>4.0</v>
      </c>
      <c r="C82" s="64">
        <v>2.0</v>
      </c>
      <c r="D82" s="64"/>
      <c r="E82" s="64">
        <v>7.0</v>
      </c>
      <c r="F82" s="67"/>
      <c r="G82" s="64">
        <v>1.0</v>
      </c>
      <c r="H82" s="64">
        <v>2.0</v>
      </c>
      <c r="I82" s="64"/>
      <c r="J82" s="64">
        <v>5.0</v>
      </c>
      <c r="K82" s="64">
        <v>1.0</v>
      </c>
      <c r="L82" s="72"/>
      <c r="M82" s="67"/>
      <c r="N82" s="64"/>
      <c r="O82" s="64">
        <v>4.0</v>
      </c>
      <c r="P82" s="74"/>
      <c r="Q82" s="74"/>
      <c r="R82" s="64">
        <v>8.0</v>
      </c>
      <c r="S82" s="75"/>
      <c r="T82" s="76"/>
      <c r="U82" s="78"/>
      <c r="V82" s="78"/>
      <c r="W82" s="64">
        <v>3.0</v>
      </c>
      <c r="X82" s="64">
        <v>4.0</v>
      </c>
      <c r="Y82" s="64">
        <v>1.0</v>
      </c>
      <c r="Z82" s="64">
        <v>3.0</v>
      </c>
      <c r="AA82" s="67"/>
      <c r="AB82" s="76">
        <v>4.0</v>
      </c>
      <c r="AC82" s="64">
        <v>2.0</v>
      </c>
      <c r="AD82" s="79"/>
      <c r="AE82" s="93">
        <f t="shared" si="8"/>
        <v>51</v>
      </c>
      <c r="AF82" s="138">
        <v>35.0</v>
      </c>
      <c r="AG82" s="94">
        <f t="shared" si="9"/>
        <v>1785</v>
      </c>
      <c r="AH82" s="94"/>
      <c r="AI82" s="81"/>
      <c r="AJ82" s="201"/>
      <c r="AK82" s="201"/>
    </row>
    <row r="83" ht="15.75" customHeight="1">
      <c r="A83" s="244" t="s">
        <v>70</v>
      </c>
      <c r="B83" s="64"/>
      <c r="C83" s="64"/>
      <c r="D83" s="64"/>
      <c r="E83" s="64"/>
      <c r="F83" s="67"/>
      <c r="G83" s="64"/>
      <c r="H83" s="64"/>
      <c r="I83" s="64"/>
      <c r="J83" s="64"/>
      <c r="K83" s="64"/>
      <c r="L83" s="72"/>
      <c r="M83" s="67"/>
      <c r="N83" s="64"/>
      <c r="O83" s="64">
        <v>1.0</v>
      </c>
      <c r="P83" s="74"/>
      <c r="Q83" s="74"/>
      <c r="R83" s="64"/>
      <c r="S83" s="75"/>
      <c r="T83" s="76"/>
      <c r="U83" s="78"/>
      <c r="V83" s="78"/>
      <c r="W83" s="64"/>
      <c r="X83" s="64"/>
      <c r="Y83" s="64"/>
      <c r="Z83" s="64"/>
      <c r="AA83" s="67"/>
      <c r="AB83" s="76"/>
      <c r="AC83" s="64"/>
      <c r="AD83" s="79"/>
      <c r="AE83" s="93">
        <f t="shared" si="8"/>
        <v>1</v>
      </c>
      <c r="AF83" s="138">
        <v>130.0</v>
      </c>
      <c r="AG83" s="94">
        <f t="shared" si="9"/>
        <v>130</v>
      </c>
      <c r="AH83" s="94"/>
      <c r="AI83" s="81"/>
      <c r="AJ83" s="201"/>
      <c r="AK83" s="201"/>
    </row>
    <row r="84" ht="15.75" customHeight="1">
      <c r="A84" s="244" t="s">
        <v>72</v>
      </c>
      <c r="B84" s="64"/>
      <c r="C84" s="64"/>
      <c r="D84" s="64"/>
      <c r="E84" s="64"/>
      <c r="F84" s="67"/>
      <c r="G84" s="64"/>
      <c r="H84" s="64"/>
      <c r="I84" s="64"/>
      <c r="J84" s="64"/>
      <c r="K84" s="64"/>
      <c r="L84" s="72"/>
      <c r="M84" s="67"/>
      <c r="N84" s="64"/>
      <c r="O84" s="64"/>
      <c r="P84" s="74"/>
      <c r="Q84" s="74"/>
      <c r="R84" s="64">
        <v>5.0</v>
      </c>
      <c r="S84" s="75"/>
      <c r="T84" s="76"/>
      <c r="U84" s="78"/>
      <c r="V84" s="78"/>
      <c r="W84" s="64">
        <v>19.0</v>
      </c>
      <c r="X84" s="64">
        <v>1.0</v>
      </c>
      <c r="Y84" s="64">
        <v>8.0</v>
      </c>
      <c r="Z84" s="64">
        <v>4.0</v>
      </c>
      <c r="AA84" s="67"/>
      <c r="AB84" s="76">
        <v>1.0</v>
      </c>
      <c r="AC84" s="64">
        <v>11.0</v>
      </c>
      <c r="AD84" s="79"/>
      <c r="AE84" s="93">
        <f t="shared" si="8"/>
        <v>49</v>
      </c>
      <c r="AF84" s="138">
        <v>50.0</v>
      </c>
      <c r="AG84" s="94">
        <f t="shared" si="9"/>
        <v>2450</v>
      </c>
      <c r="AH84" s="94"/>
      <c r="AI84" s="81"/>
      <c r="AJ84" s="201"/>
      <c r="AK84" s="201"/>
    </row>
    <row r="85" ht="15.75" customHeight="1">
      <c r="A85" s="244" t="s">
        <v>74</v>
      </c>
      <c r="B85" s="64"/>
      <c r="C85" s="64"/>
      <c r="D85" s="64"/>
      <c r="E85" s="64"/>
      <c r="F85" s="67"/>
      <c r="G85" s="64">
        <v>1.0</v>
      </c>
      <c r="H85" s="64"/>
      <c r="I85" s="64"/>
      <c r="J85" s="64"/>
      <c r="K85" s="64"/>
      <c r="L85" s="72"/>
      <c r="M85" s="67"/>
      <c r="N85" s="64"/>
      <c r="O85" s="64"/>
      <c r="P85" s="74"/>
      <c r="Q85" s="74"/>
      <c r="R85" s="64"/>
      <c r="S85" s="75"/>
      <c r="T85" s="76"/>
      <c r="U85" s="78"/>
      <c r="V85" s="78"/>
      <c r="W85" s="64"/>
      <c r="X85" s="64"/>
      <c r="Y85" s="64"/>
      <c r="Z85" s="64"/>
      <c r="AA85" s="67"/>
      <c r="AB85" s="76"/>
      <c r="AC85" s="64"/>
      <c r="AD85" s="79"/>
      <c r="AE85" s="93">
        <f t="shared" si="8"/>
        <v>1</v>
      </c>
      <c r="AF85" s="138">
        <v>30.0</v>
      </c>
      <c r="AG85" s="94">
        <f t="shared" si="9"/>
        <v>30</v>
      </c>
      <c r="AH85" s="94"/>
      <c r="AI85" s="81"/>
      <c r="AJ85" s="201"/>
      <c r="AK85" s="201"/>
    </row>
    <row r="86" ht="15.75" customHeight="1">
      <c r="A86" s="244" t="s">
        <v>75</v>
      </c>
      <c r="B86" s="64"/>
      <c r="C86" s="64">
        <v>10.0</v>
      </c>
      <c r="D86" s="64"/>
      <c r="E86" s="64"/>
      <c r="F86" s="67"/>
      <c r="G86" s="64">
        <v>3.0</v>
      </c>
      <c r="H86" s="64"/>
      <c r="I86" s="64"/>
      <c r="J86" s="64"/>
      <c r="K86" s="64"/>
      <c r="L86" s="72"/>
      <c r="M86" s="67"/>
      <c r="N86" s="64"/>
      <c r="O86" s="64">
        <v>2.0</v>
      </c>
      <c r="P86" s="74"/>
      <c r="Q86" s="74"/>
      <c r="R86" s="64">
        <v>1.0</v>
      </c>
      <c r="S86" s="75"/>
      <c r="T86" s="76">
        <v>3.0</v>
      </c>
      <c r="U86" s="78"/>
      <c r="V86" s="78"/>
      <c r="W86" s="64"/>
      <c r="X86" s="64"/>
      <c r="Y86" s="64"/>
      <c r="Z86" s="64"/>
      <c r="AA86" s="67"/>
      <c r="AB86" s="76"/>
      <c r="AC86" s="64"/>
      <c r="AD86" s="79"/>
      <c r="AE86" s="93">
        <f t="shared" si="8"/>
        <v>19</v>
      </c>
      <c r="AF86" s="138">
        <v>35.0</v>
      </c>
      <c r="AG86" s="94">
        <f t="shared" si="9"/>
        <v>665</v>
      </c>
      <c r="AH86" s="94"/>
      <c r="AI86" s="81"/>
      <c r="AJ86" s="201"/>
      <c r="AK86" s="201"/>
    </row>
    <row r="87" ht="15.75" customHeight="1">
      <c r="A87" s="244" t="s">
        <v>79</v>
      </c>
      <c r="B87" s="64">
        <v>2.0</v>
      </c>
      <c r="C87" s="64"/>
      <c r="D87" s="64"/>
      <c r="E87" s="64"/>
      <c r="F87" s="67"/>
      <c r="G87" s="64"/>
      <c r="H87" s="64"/>
      <c r="I87" s="64"/>
      <c r="J87" s="64"/>
      <c r="K87" s="64"/>
      <c r="L87" s="72"/>
      <c r="M87" s="67"/>
      <c r="N87" s="64"/>
      <c r="O87" s="64"/>
      <c r="P87" s="74"/>
      <c r="Q87" s="74"/>
      <c r="R87" s="64"/>
      <c r="S87" s="75"/>
      <c r="T87" s="76"/>
      <c r="U87" s="78"/>
      <c r="V87" s="78"/>
      <c r="W87" s="64"/>
      <c r="X87" s="64"/>
      <c r="Y87" s="64"/>
      <c r="Z87" s="64"/>
      <c r="AA87" s="67"/>
      <c r="AB87" s="76"/>
      <c r="AC87" s="64"/>
      <c r="AD87" s="79"/>
      <c r="AE87" s="93">
        <f t="shared" si="8"/>
        <v>2</v>
      </c>
      <c r="AF87" s="138">
        <v>20.0</v>
      </c>
      <c r="AG87" s="94">
        <f t="shared" si="9"/>
        <v>40</v>
      </c>
      <c r="AH87" s="94"/>
      <c r="AI87" s="81"/>
      <c r="AJ87" s="201"/>
      <c r="AK87" s="201"/>
    </row>
    <row r="88" ht="15.75" customHeight="1">
      <c r="A88" s="244" t="s">
        <v>82</v>
      </c>
      <c r="B88" s="64">
        <v>10.0</v>
      </c>
      <c r="C88" s="64">
        <v>3.0</v>
      </c>
      <c r="D88" s="64">
        <v>7.0</v>
      </c>
      <c r="E88" s="64">
        <v>7.0</v>
      </c>
      <c r="F88" s="67"/>
      <c r="G88" s="64">
        <v>2.0</v>
      </c>
      <c r="H88" s="64">
        <v>4.0</v>
      </c>
      <c r="I88" s="64">
        <v>2.0</v>
      </c>
      <c r="J88" s="64">
        <v>5.0</v>
      </c>
      <c r="K88" s="64">
        <v>8.0</v>
      </c>
      <c r="L88" s="72"/>
      <c r="M88" s="67"/>
      <c r="N88" s="64">
        <v>7.0</v>
      </c>
      <c r="O88" s="64">
        <v>3.0</v>
      </c>
      <c r="P88" s="74"/>
      <c r="Q88" s="74"/>
      <c r="R88" s="64">
        <v>8.0</v>
      </c>
      <c r="S88" s="75"/>
      <c r="T88" s="76"/>
      <c r="U88" s="78"/>
      <c r="V88" s="78"/>
      <c r="W88" s="64">
        <v>2.0</v>
      </c>
      <c r="X88" s="64">
        <v>7.0</v>
      </c>
      <c r="Y88" s="64">
        <v>3.0</v>
      </c>
      <c r="Z88" s="64">
        <v>3.0</v>
      </c>
      <c r="AA88" s="67"/>
      <c r="AB88" s="76">
        <v>3.0</v>
      </c>
      <c r="AC88" s="64">
        <v>3.0</v>
      </c>
      <c r="AD88" s="79"/>
      <c r="AE88" s="93">
        <f t="shared" si="8"/>
        <v>87</v>
      </c>
      <c r="AF88" s="138">
        <v>40.0</v>
      </c>
      <c r="AG88" s="94">
        <f t="shared" si="9"/>
        <v>3480</v>
      </c>
      <c r="AH88" s="94"/>
      <c r="AI88" s="81"/>
      <c r="AJ88" s="201"/>
      <c r="AK88" s="201"/>
    </row>
    <row r="89" ht="15.75" customHeight="1">
      <c r="A89" s="244" t="s">
        <v>197</v>
      </c>
      <c r="B89" s="64">
        <v>11.0</v>
      </c>
      <c r="C89" s="64"/>
      <c r="D89" s="64">
        <v>2.0</v>
      </c>
      <c r="E89" s="64">
        <v>4.0</v>
      </c>
      <c r="F89" s="67"/>
      <c r="G89" s="64">
        <v>5.0</v>
      </c>
      <c r="H89" s="64">
        <v>4.0</v>
      </c>
      <c r="I89" s="64">
        <v>1.0</v>
      </c>
      <c r="J89" s="64">
        <v>22.0</v>
      </c>
      <c r="K89" s="64">
        <v>4.0</v>
      </c>
      <c r="L89" s="72"/>
      <c r="M89" s="67"/>
      <c r="N89" s="64">
        <v>2.0</v>
      </c>
      <c r="O89" s="64">
        <v>4.0</v>
      </c>
      <c r="P89" s="74"/>
      <c r="Q89" s="74"/>
      <c r="R89" s="64">
        <v>18.0</v>
      </c>
      <c r="S89" s="75"/>
      <c r="T89" s="76">
        <v>29.0</v>
      </c>
      <c r="U89" s="78"/>
      <c r="V89" s="78"/>
      <c r="W89" s="64">
        <v>10.0</v>
      </c>
      <c r="X89" s="64">
        <v>5.0</v>
      </c>
      <c r="Y89" s="64">
        <v>3.0</v>
      </c>
      <c r="Z89" s="64">
        <v>18.0</v>
      </c>
      <c r="AA89" s="67"/>
      <c r="AB89" s="76">
        <v>8.0</v>
      </c>
      <c r="AC89" s="64">
        <v>10.0</v>
      </c>
      <c r="AD89" s="79"/>
      <c r="AE89" s="93">
        <f t="shared" si="8"/>
        <v>160</v>
      </c>
      <c r="AF89" s="138">
        <v>80.0</v>
      </c>
      <c r="AG89" s="94">
        <f t="shared" si="9"/>
        <v>12800</v>
      </c>
      <c r="AH89" s="94"/>
      <c r="AI89" s="81"/>
      <c r="AJ89" s="201"/>
      <c r="AK89" s="201"/>
    </row>
    <row r="90" ht="15.75" customHeight="1">
      <c r="A90" s="244" t="s">
        <v>77</v>
      </c>
      <c r="B90" s="64">
        <v>1.0</v>
      </c>
      <c r="C90" s="64"/>
      <c r="D90" s="64"/>
      <c r="E90" s="64">
        <v>6.0</v>
      </c>
      <c r="F90" s="67"/>
      <c r="G90" s="64">
        <v>1.0</v>
      </c>
      <c r="H90" s="64"/>
      <c r="I90" s="64"/>
      <c r="J90" s="64"/>
      <c r="K90" s="64"/>
      <c r="L90" s="72"/>
      <c r="M90" s="67"/>
      <c r="N90" s="64">
        <v>7.0</v>
      </c>
      <c r="O90" s="64">
        <v>1.0</v>
      </c>
      <c r="P90" s="74"/>
      <c r="Q90" s="74"/>
      <c r="R90" s="64">
        <v>3.0</v>
      </c>
      <c r="S90" s="75"/>
      <c r="T90" s="76"/>
      <c r="U90" s="78"/>
      <c r="V90" s="78"/>
      <c r="W90" s="64">
        <v>4.0</v>
      </c>
      <c r="X90" s="64">
        <v>3.0</v>
      </c>
      <c r="Y90" s="64">
        <v>20.0</v>
      </c>
      <c r="Z90" s="64">
        <v>21.0</v>
      </c>
      <c r="AA90" s="67"/>
      <c r="AB90" s="76">
        <v>7.0</v>
      </c>
      <c r="AC90" s="64">
        <v>1.0</v>
      </c>
      <c r="AD90" s="79"/>
      <c r="AE90" s="93">
        <f t="shared" si="8"/>
        <v>75</v>
      </c>
      <c r="AF90" s="138">
        <v>100.0</v>
      </c>
      <c r="AG90" s="94">
        <f t="shared" si="9"/>
        <v>7500</v>
      </c>
      <c r="AH90" s="94"/>
      <c r="AI90" s="81"/>
      <c r="AJ90" s="201"/>
      <c r="AK90" s="201"/>
    </row>
    <row r="91" ht="15.75" customHeight="1">
      <c r="A91" s="244" t="s">
        <v>97</v>
      </c>
      <c r="B91" s="64">
        <v>2.0</v>
      </c>
      <c r="C91" s="64">
        <v>14.0</v>
      </c>
      <c r="D91" s="64">
        <v>11.0</v>
      </c>
      <c r="E91" s="64"/>
      <c r="F91" s="67"/>
      <c r="G91" s="64"/>
      <c r="H91" s="64">
        <v>1.0</v>
      </c>
      <c r="I91" s="64"/>
      <c r="J91" s="64">
        <v>3.0</v>
      </c>
      <c r="K91" s="64"/>
      <c r="L91" s="72"/>
      <c r="M91" s="67"/>
      <c r="N91" s="64">
        <v>2.0</v>
      </c>
      <c r="O91" s="64">
        <v>15.0</v>
      </c>
      <c r="P91" s="74"/>
      <c r="Q91" s="74"/>
      <c r="R91" s="64"/>
      <c r="S91" s="75"/>
      <c r="T91" s="76">
        <v>7.0</v>
      </c>
      <c r="U91" s="78"/>
      <c r="V91" s="78"/>
      <c r="W91" s="64">
        <v>2.0</v>
      </c>
      <c r="X91" s="64">
        <v>2.0</v>
      </c>
      <c r="Y91" s="64"/>
      <c r="Z91" s="64"/>
      <c r="AA91" s="67"/>
      <c r="AB91" s="76"/>
      <c r="AC91" s="64">
        <v>4.0</v>
      </c>
      <c r="AD91" s="79">
        <v>9.0</v>
      </c>
      <c r="AE91" s="93">
        <f t="shared" si="8"/>
        <v>72</v>
      </c>
      <c r="AF91" s="138">
        <v>500.0</v>
      </c>
      <c r="AG91" s="94">
        <f t="shared" si="9"/>
        <v>36000</v>
      </c>
      <c r="AH91" s="94"/>
      <c r="AI91" s="81"/>
      <c r="AJ91" s="201"/>
      <c r="AK91" s="201"/>
    </row>
    <row r="92" ht="15.75" customHeight="1">
      <c r="A92" s="244" t="s">
        <v>87</v>
      </c>
      <c r="B92" s="64">
        <v>2.0</v>
      </c>
      <c r="C92" s="64">
        <v>5.0</v>
      </c>
      <c r="D92" s="64">
        <v>2.0</v>
      </c>
      <c r="E92" s="64">
        <v>2.0</v>
      </c>
      <c r="F92" s="67"/>
      <c r="G92" s="64">
        <v>4.0</v>
      </c>
      <c r="H92" s="64">
        <v>7.0</v>
      </c>
      <c r="I92" s="64">
        <v>2.0</v>
      </c>
      <c r="J92" s="64">
        <v>9.0</v>
      </c>
      <c r="K92" s="64"/>
      <c r="L92" s="72"/>
      <c r="M92" s="67"/>
      <c r="N92" s="64">
        <v>10.0</v>
      </c>
      <c r="O92" s="64">
        <v>1.0</v>
      </c>
      <c r="P92" s="74"/>
      <c r="Q92" s="74"/>
      <c r="R92" s="64">
        <v>14.0</v>
      </c>
      <c r="S92" s="75"/>
      <c r="T92" s="76">
        <v>38.0</v>
      </c>
      <c r="U92" s="78"/>
      <c r="V92" s="78"/>
      <c r="W92" s="64">
        <v>10.0</v>
      </c>
      <c r="X92" s="64"/>
      <c r="Y92" s="64">
        <v>7.0</v>
      </c>
      <c r="Z92" s="64">
        <v>10.0</v>
      </c>
      <c r="AA92" s="67"/>
      <c r="AB92" s="76">
        <v>13.0</v>
      </c>
      <c r="AC92" s="64">
        <v>9.0</v>
      </c>
      <c r="AD92" s="79">
        <v>5.0</v>
      </c>
      <c r="AE92" s="93">
        <f t="shared" si="8"/>
        <v>150</v>
      </c>
      <c r="AF92" s="138">
        <v>170.0</v>
      </c>
      <c r="AG92" s="94">
        <f t="shared" si="9"/>
        <v>25500</v>
      </c>
      <c r="AH92" s="94"/>
      <c r="AI92" s="81"/>
      <c r="AJ92" s="201"/>
      <c r="AK92" s="201"/>
    </row>
    <row r="93" ht="15.75" customHeight="1">
      <c r="A93" s="244" t="s">
        <v>89</v>
      </c>
      <c r="B93" s="64">
        <v>2.0</v>
      </c>
      <c r="C93" s="64">
        <v>1.0</v>
      </c>
      <c r="D93" s="64">
        <v>1.0</v>
      </c>
      <c r="E93" s="64">
        <v>2.0</v>
      </c>
      <c r="F93" s="67"/>
      <c r="G93" s="64">
        <v>3.0</v>
      </c>
      <c r="H93" s="64"/>
      <c r="I93" s="64">
        <v>3.0</v>
      </c>
      <c r="J93" s="64">
        <v>1.0</v>
      </c>
      <c r="K93" s="64">
        <v>1.0</v>
      </c>
      <c r="L93" s="72"/>
      <c r="M93" s="67"/>
      <c r="N93" s="64">
        <v>2.0</v>
      </c>
      <c r="O93" s="64">
        <v>1.0</v>
      </c>
      <c r="P93" s="74"/>
      <c r="Q93" s="74"/>
      <c r="R93" s="64">
        <v>3.0</v>
      </c>
      <c r="S93" s="75"/>
      <c r="T93" s="76">
        <v>18.0</v>
      </c>
      <c r="U93" s="78"/>
      <c r="V93" s="78"/>
      <c r="W93" s="64"/>
      <c r="X93" s="64"/>
      <c r="Y93" s="64">
        <v>2.0</v>
      </c>
      <c r="Z93" s="64">
        <v>2.0</v>
      </c>
      <c r="AA93" s="67"/>
      <c r="AB93" s="76">
        <v>2.0</v>
      </c>
      <c r="AC93" s="64"/>
      <c r="AD93" s="79">
        <v>16.0</v>
      </c>
      <c r="AE93" s="93">
        <f t="shared" si="8"/>
        <v>60</v>
      </c>
      <c r="AF93" s="138">
        <v>130.0</v>
      </c>
      <c r="AG93" s="94">
        <f t="shared" si="9"/>
        <v>7800</v>
      </c>
      <c r="AH93" s="94"/>
      <c r="AI93" s="81"/>
      <c r="AJ93" s="201"/>
      <c r="AK93" s="201"/>
    </row>
    <row r="94" ht="15.75" customHeight="1">
      <c r="A94" s="244" t="s">
        <v>39</v>
      </c>
      <c r="B94" s="64">
        <v>1.0</v>
      </c>
      <c r="C94" s="64"/>
      <c r="D94" s="64"/>
      <c r="E94" s="64"/>
      <c r="F94" s="67"/>
      <c r="G94" s="64"/>
      <c r="H94" s="64"/>
      <c r="I94" s="64"/>
      <c r="J94" s="64"/>
      <c r="K94" s="64"/>
      <c r="L94" s="72"/>
      <c r="M94" s="67"/>
      <c r="N94" s="64">
        <v>1.0</v>
      </c>
      <c r="O94" s="64"/>
      <c r="P94" s="74"/>
      <c r="Q94" s="74"/>
      <c r="R94" s="64">
        <v>1.0</v>
      </c>
      <c r="S94" s="75"/>
      <c r="T94" s="76"/>
      <c r="U94" s="78"/>
      <c r="V94" s="78"/>
      <c r="W94" s="64"/>
      <c r="X94" s="64">
        <v>1.0</v>
      </c>
      <c r="Y94" s="64">
        <v>1.0</v>
      </c>
      <c r="Z94" s="64">
        <v>1.0</v>
      </c>
      <c r="AA94" s="67"/>
      <c r="AB94" s="76">
        <v>1.0</v>
      </c>
      <c r="AC94" s="64"/>
      <c r="AD94" s="79"/>
      <c r="AE94" s="93">
        <f t="shared" si="8"/>
        <v>7</v>
      </c>
      <c r="AF94" s="138">
        <v>490.0</v>
      </c>
      <c r="AG94" s="94">
        <f t="shared" si="9"/>
        <v>3430</v>
      </c>
      <c r="AH94" s="94"/>
      <c r="AI94" s="81"/>
      <c r="AJ94" s="201"/>
      <c r="AK94" s="201"/>
    </row>
    <row r="95" ht="15.75" customHeight="1">
      <c r="A95" s="244" t="s">
        <v>90</v>
      </c>
      <c r="B95" s="64"/>
      <c r="C95" s="64">
        <v>10.0</v>
      </c>
      <c r="D95" s="64"/>
      <c r="E95" s="64"/>
      <c r="F95" s="67"/>
      <c r="G95" s="64">
        <v>1.0</v>
      </c>
      <c r="H95" s="64"/>
      <c r="I95" s="64"/>
      <c r="J95" s="64">
        <v>1.0</v>
      </c>
      <c r="K95" s="64">
        <v>1.0</v>
      </c>
      <c r="L95" s="72"/>
      <c r="M95" s="67"/>
      <c r="N95" s="64"/>
      <c r="O95" s="64">
        <v>1.0</v>
      </c>
      <c r="P95" s="74"/>
      <c r="Q95" s="74"/>
      <c r="R95" s="64"/>
      <c r="S95" s="75"/>
      <c r="T95" s="76"/>
      <c r="U95" s="78"/>
      <c r="V95" s="78"/>
      <c r="W95" s="64"/>
      <c r="X95" s="64"/>
      <c r="Y95" s="64"/>
      <c r="Z95" s="64"/>
      <c r="AA95" s="67"/>
      <c r="AB95" s="76">
        <v>1.0</v>
      </c>
      <c r="AC95" s="64"/>
      <c r="AD95" s="79"/>
      <c r="AE95" s="93">
        <f t="shared" si="8"/>
        <v>15</v>
      </c>
      <c r="AF95" s="138">
        <v>150.0</v>
      </c>
      <c r="AG95" s="94">
        <f t="shared" si="9"/>
        <v>2250</v>
      </c>
      <c r="AH95" s="94"/>
      <c r="AI95" s="81"/>
      <c r="AJ95" s="201"/>
      <c r="AK95" s="201"/>
    </row>
    <row r="96" ht="15.75" customHeight="1">
      <c r="A96" s="244" t="s">
        <v>93</v>
      </c>
      <c r="B96" s="64"/>
      <c r="C96" s="64"/>
      <c r="D96" s="64"/>
      <c r="E96" s="64">
        <v>2.0</v>
      </c>
      <c r="F96" s="67"/>
      <c r="G96" s="64"/>
      <c r="H96" s="64"/>
      <c r="I96" s="64"/>
      <c r="J96" s="64"/>
      <c r="K96" s="64"/>
      <c r="L96" s="72"/>
      <c r="M96" s="67"/>
      <c r="N96" s="64"/>
      <c r="O96" s="64"/>
      <c r="P96" s="74"/>
      <c r="Q96" s="74"/>
      <c r="R96" s="64"/>
      <c r="S96" s="75"/>
      <c r="T96" s="76"/>
      <c r="U96" s="78"/>
      <c r="V96" s="78"/>
      <c r="W96" s="64"/>
      <c r="X96" s="64"/>
      <c r="Y96" s="64"/>
      <c r="Z96" s="64"/>
      <c r="AA96" s="67"/>
      <c r="AB96" s="76"/>
      <c r="AC96" s="64"/>
      <c r="AD96" s="79"/>
      <c r="AE96" s="93">
        <f t="shared" si="8"/>
        <v>2</v>
      </c>
      <c r="AF96" s="138">
        <v>180.0</v>
      </c>
      <c r="AG96" s="94">
        <f t="shared" si="9"/>
        <v>360</v>
      </c>
      <c r="AH96" s="94"/>
      <c r="AI96" s="81"/>
      <c r="AJ96" s="201"/>
      <c r="AK96" s="201"/>
    </row>
    <row r="97" ht="15.75" customHeight="1">
      <c r="A97" s="244" t="s">
        <v>94</v>
      </c>
      <c r="B97" s="64"/>
      <c r="C97" s="64"/>
      <c r="D97" s="64"/>
      <c r="E97" s="64"/>
      <c r="F97" s="67"/>
      <c r="G97" s="64"/>
      <c r="H97" s="64"/>
      <c r="I97" s="64"/>
      <c r="J97" s="64"/>
      <c r="K97" s="64"/>
      <c r="L97" s="72"/>
      <c r="M97" s="67"/>
      <c r="N97" s="64"/>
      <c r="O97" s="64"/>
      <c r="P97" s="74"/>
      <c r="Q97" s="74"/>
      <c r="R97" s="64"/>
      <c r="S97" s="75"/>
      <c r="T97" s="76"/>
      <c r="U97" s="78"/>
      <c r="V97" s="78"/>
      <c r="W97" s="64"/>
      <c r="X97" s="64"/>
      <c r="Y97" s="64"/>
      <c r="Z97" s="64"/>
      <c r="AA97" s="67"/>
      <c r="AB97" s="76"/>
      <c r="AC97" s="64"/>
      <c r="AD97" s="79"/>
      <c r="AE97" s="93">
        <f t="shared" si="8"/>
        <v>0</v>
      </c>
      <c r="AF97" s="138">
        <v>245.0</v>
      </c>
      <c r="AG97" s="94">
        <f t="shared" si="9"/>
        <v>0</v>
      </c>
      <c r="AH97" s="94"/>
      <c r="AI97" s="81"/>
      <c r="AJ97" s="201"/>
      <c r="AK97" s="201"/>
    </row>
    <row r="98" ht="15.75" customHeight="1">
      <c r="A98" s="244" t="s">
        <v>209</v>
      </c>
      <c r="B98" s="64"/>
      <c r="C98" s="64">
        <v>1.0</v>
      </c>
      <c r="D98" s="64"/>
      <c r="E98" s="64">
        <v>3.0</v>
      </c>
      <c r="F98" s="67"/>
      <c r="G98" s="64"/>
      <c r="H98" s="64">
        <v>2.0</v>
      </c>
      <c r="I98" s="64">
        <v>5.0</v>
      </c>
      <c r="J98" s="64">
        <v>1.0</v>
      </c>
      <c r="K98" s="64">
        <v>1.0</v>
      </c>
      <c r="L98" s="72"/>
      <c r="M98" s="67"/>
      <c r="N98" s="64">
        <v>4.0</v>
      </c>
      <c r="O98" s="64">
        <v>3.0</v>
      </c>
      <c r="P98" s="74"/>
      <c r="Q98" s="74"/>
      <c r="R98" s="64">
        <v>2.0</v>
      </c>
      <c r="S98" s="75"/>
      <c r="T98" s="76">
        <v>8.0</v>
      </c>
      <c r="U98" s="78"/>
      <c r="V98" s="78"/>
      <c r="W98" s="64"/>
      <c r="X98" s="64"/>
      <c r="Y98" s="64">
        <v>2.0</v>
      </c>
      <c r="Z98" s="64"/>
      <c r="AA98" s="67"/>
      <c r="AB98" s="76">
        <v>2.0</v>
      </c>
      <c r="AC98" s="64">
        <v>2.0</v>
      </c>
      <c r="AD98" s="79"/>
      <c r="AE98" s="93">
        <f t="shared" si="8"/>
        <v>36</v>
      </c>
      <c r="AF98" s="138">
        <v>85.0</v>
      </c>
      <c r="AG98" s="94">
        <f t="shared" si="9"/>
        <v>3060</v>
      </c>
      <c r="AH98" s="94"/>
      <c r="AI98" s="81"/>
      <c r="AJ98" s="201"/>
      <c r="AK98" s="201"/>
    </row>
    <row r="99" ht="15.75" customHeight="1">
      <c r="A99" s="244" t="s">
        <v>211</v>
      </c>
      <c r="B99" s="64"/>
      <c r="C99" s="64"/>
      <c r="D99" s="64">
        <v>3.0</v>
      </c>
      <c r="E99" s="64">
        <v>1.0</v>
      </c>
      <c r="F99" s="67"/>
      <c r="G99" s="64"/>
      <c r="H99" s="64"/>
      <c r="I99" s="64"/>
      <c r="J99" s="64">
        <v>5.0</v>
      </c>
      <c r="K99" s="64">
        <v>1.0</v>
      </c>
      <c r="L99" s="72"/>
      <c r="M99" s="67"/>
      <c r="N99" s="64">
        <v>1.0</v>
      </c>
      <c r="O99" s="64">
        <v>1.0</v>
      </c>
      <c r="P99" s="74"/>
      <c r="Q99" s="74"/>
      <c r="R99" s="64">
        <v>2.0</v>
      </c>
      <c r="S99" s="75"/>
      <c r="T99" s="76"/>
      <c r="U99" s="78"/>
      <c r="V99" s="78"/>
      <c r="W99" s="64"/>
      <c r="X99" s="64">
        <v>2.0</v>
      </c>
      <c r="Y99" s="64"/>
      <c r="Z99" s="64">
        <v>3.0</v>
      </c>
      <c r="AA99" s="67"/>
      <c r="AB99" s="76">
        <v>1.0</v>
      </c>
      <c r="AC99" s="64"/>
      <c r="AD99" s="79"/>
      <c r="AE99" s="93">
        <f t="shared" si="8"/>
        <v>20</v>
      </c>
      <c r="AF99" s="138">
        <v>42.0</v>
      </c>
      <c r="AG99" s="94">
        <f t="shared" si="9"/>
        <v>840</v>
      </c>
      <c r="AH99" s="94"/>
      <c r="AI99" s="81"/>
      <c r="AJ99" s="201"/>
      <c r="AK99" s="201"/>
    </row>
    <row r="100" ht="15.75" customHeight="1">
      <c r="A100" s="244" t="s">
        <v>214</v>
      </c>
      <c r="B100" s="64"/>
      <c r="C100" s="64">
        <v>1.0</v>
      </c>
      <c r="D100" s="64"/>
      <c r="E100" s="64">
        <v>1.0</v>
      </c>
      <c r="F100" s="67"/>
      <c r="G100" s="64">
        <v>1.0</v>
      </c>
      <c r="H100" s="64"/>
      <c r="I100" s="64"/>
      <c r="J100" s="64"/>
      <c r="K100" s="64"/>
      <c r="L100" s="72"/>
      <c r="M100" s="67"/>
      <c r="N100" s="64"/>
      <c r="O100" s="64"/>
      <c r="P100" s="74"/>
      <c r="Q100" s="74"/>
      <c r="R100" s="64"/>
      <c r="S100" s="75"/>
      <c r="T100" s="76"/>
      <c r="U100" s="78"/>
      <c r="V100" s="78"/>
      <c r="W100" s="64"/>
      <c r="X100" s="64"/>
      <c r="Y100" s="64"/>
      <c r="Z100" s="64">
        <v>3.0</v>
      </c>
      <c r="AA100" s="67"/>
      <c r="AB100" s="76">
        <v>1.0</v>
      </c>
      <c r="AC100" s="64"/>
      <c r="AD100" s="79"/>
      <c r="AE100" s="93">
        <f t="shared" si="8"/>
        <v>7</v>
      </c>
      <c r="AF100" s="138">
        <v>48.0</v>
      </c>
      <c r="AG100" s="94">
        <f t="shared" si="9"/>
        <v>336</v>
      </c>
      <c r="AH100" s="94"/>
      <c r="AI100" s="81"/>
      <c r="AJ100" s="201"/>
      <c r="AK100" s="201"/>
    </row>
    <row r="101" ht="15.75" customHeight="1">
      <c r="A101" s="244" t="s">
        <v>216</v>
      </c>
      <c r="B101" s="64"/>
      <c r="C101" s="64"/>
      <c r="D101" s="64"/>
      <c r="E101" s="64"/>
      <c r="F101" s="67"/>
      <c r="G101" s="64"/>
      <c r="H101" s="64"/>
      <c r="I101" s="64"/>
      <c r="J101" s="64"/>
      <c r="K101" s="64"/>
      <c r="L101" s="72"/>
      <c r="M101" s="67"/>
      <c r="N101" s="64"/>
      <c r="O101" s="64"/>
      <c r="P101" s="74"/>
      <c r="Q101" s="74"/>
      <c r="R101" s="64"/>
      <c r="S101" s="75"/>
      <c r="T101" s="76"/>
      <c r="U101" s="78"/>
      <c r="V101" s="78"/>
      <c r="W101" s="64"/>
      <c r="X101" s="64"/>
      <c r="Y101" s="64"/>
      <c r="Z101" s="64"/>
      <c r="AA101" s="67"/>
      <c r="AB101" s="76"/>
      <c r="AC101" s="64"/>
      <c r="AD101" s="79"/>
      <c r="AE101" s="93">
        <f t="shared" si="8"/>
        <v>0</v>
      </c>
      <c r="AF101" s="138">
        <v>900.0</v>
      </c>
      <c r="AG101" s="94">
        <f t="shared" si="9"/>
        <v>0</v>
      </c>
      <c r="AH101" s="94"/>
      <c r="AI101" s="81"/>
      <c r="AJ101" s="201"/>
      <c r="AK101" s="201"/>
    </row>
    <row r="102" ht="15.75" customHeight="1">
      <c r="A102" s="244" t="s">
        <v>218</v>
      </c>
      <c r="B102" s="64"/>
      <c r="C102" s="64"/>
      <c r="D102" s="64"/>
      <c r="E102" s="64"/>
      <c r="F102" s="67"/>
      <c r="G102" s="64"/>
      <c r="H102" s="64"/>
      <c r="I102" s="64"/>
      <c r="J102" s="64"/>
      <c r="K102" s="64"/>
      <c r="L102" s="72"/>
      <c r="M102" s="67"/>
      <c r="N102" s="64"/>
      <c r="O102" s="64"/>
      <c r="P102" s="74"/>
      <c r="Q102" s="74"/>
      <c r="R102" s="64"/>
      <c r="S102" s="75"/>
      <c r="T102" s="76"/>
      <c r="U102" s="78"/>
      <c r="V102" s="78"/>
      <c r="W102" s="64"/>
      <c r="X102" s="64"/>
      <c r="Y102" s="64"/>
      <c r="Z102" s="64"/>
      <c r="AA102" s="67"/>
      <c r="AB102" s="76"/>
      <c r="AC102" s="64"/>
      <c r="AD102" s="79"/>
      <c r="AE102" s="93">
        <f t="shared" si="8"/>
        <v>0</v>
      </c>
      <c r="AF102" s="138">
        <v>1100.0</v>
      </c>
      <c r="AG102" s="94">
        <f t="shared" si="9"/>
        <v>0</v>
      </c>
      <c r="AH102" s="94"/>
      <c r="AI102" s="81"/>
      <c r="AJ102" s="201"/>
      <c r="AK102" s="201"/>
    </row>
    <row r="103" ht="15.75" customHeight="1">
      <c r="A103" s="244" t="s">
        <v>104</v>
      </c>
      <c r="B103" s="64"/>
      <c r="C103" s="64"/>
      <c r="D103" s="64"/>
      <c r="E103" s="64"/>
      <c r="F103" s="67"/>
      <c r="G103" s="64"/>
      <c r="H103" s="64"/>
      <c r="I103" s="64"/>
      <c r="J103" s="64"/>
      <c r="K103" s="64"/>
      <c r="L103" s="72"/>
      <c r="M103" s="67"/>
      <c r="N103" s="64"/>
      <c r="O103" s="64"/>
      <c r="P103" s="74"/>
      <c r="Q103" s="74"/>
      <c r="R103" s="64"/>
      <c r="S103" s="75"/>
      <c r="T103" s="76"/>
      <c r="U103" s="78"/>
      <c r="V103" s="78"/>
      <c r="W103" s="64"/>
      <c r="X103" s="64"/>
      <c r="Y103" s="64"/>
      <c r="Z103" s="64"/>
      <c r="AA103" s="67"/>
      <c r="AB103" s="76">
        <v>6.0</v>
      </c>
      <c r="AC103" s="64"/>
      <c r="AD103" s="79"/>
      <c r="AE103" s="93">
        <f t="shared" si="8"/>
        <v>6</v>
      </c>
      <c r="AF103" s="138">
        <v>200.0</v>
      </c>
      <c r="AG103" s="94">
        <f t="shared" si="9"/>
        <v>1200</v>
      </c>
      <c r="AH103" s="94"/>
      <c r="AI103" s="81"/>
      <c r="AJ103" s="201"/>
      <c r="AK103" s="201"/>
    </row>
    <row r="104" ht="15.75" customHeight="1">
      <c r="A104" s="244" t="s">
        <v>105</v>
      </c>
      <c r="B104" s="64"/>
      <c r="C104" s="64"/>
      <c r="D104" s="64"/>
      <c r="E104" s="64"/>
      <c r="F104" s="67"/>
      <c r="G104" s="64"/>
      <c r="H104" s="64"/>
      <c r="I104" s="64"/>
      <c r="J104" s="64"/>
      <c r="K104" s="64"/>
      <c r="L104" s="72"/>
      <c r="M104" s="67"/>
      <c r="N104" s="64"/>
      <c r="O104" s="64"/>
      <c r="P104" s="74"/>
      <c r="Q104" s="74"/>
      <c r="R104" s="64"/>
      <c r="S104" s="75"/>
      <c r="T104" s="76"/>
      <c r="U104" s="78"/>
      <c r="V104" s="78"/>
      <c r="W104" s="64"/>
      <c r="X104" s="64"/>
      <c r="Y104" s="64"/>
      <c r="Z104" s="64"/>
      <c r="AA104" s="67"/>
      <c r="AB104" s="76"/>
      <c r="AC104" s="64"/>
      <c r="AD104" s="79"/>
      <c r="AE104" s="93">
        <f t="shared" si="8"/>
        <v>0</v>
      </c>
      <c r="AF104" s="138">
        <v>500.0</v>
      </c>
      <c r="AG104" s="94">
        <f t="shared" si="9"/>
        <v>0</v>
      </c>
      <c r="AH104" s="94"/>
      <c r="AI104" s="81"/>
      <c r="AJ104" s="201"/>
      <c r="AK104" s="201"/>
    </row>
    <row r="105" ht="15.75" customHeight="1">
      <c r="A105" s="265" t="s">
        <v>107</v>
      </c>
      <c r="B105" s="64"/>
      <c r="C105" s="64"/>
      <c r="D105" s="64"/>
      <c r="E105" s="64"/>
      <c r="F105" s="67"/>
      <c r="G105" s="64"/>
      <c r="H105" s="64"/>
      <c r="I105" s="64"/>
      <c r="J105" s="64"/>
      <c r="K105" s="64"/>
      <c r="L105" s="72"/>
      <c r="M105" s="67"/>
      <c r="N105" s="64"/>
      <c r="O105" s="64"/>
      <c r="P105" s="74"/>
      <c r="Q105" s="74"/>
      <c r="R105" s="64"/>
      <c r="S105" s="75"/>
      <c r="T105" s="76"/>
      <c r="U105" s="78"/>
      <c r="V105" s="78"/>
      <c r="W105" s="64"/>
      <c r="X105" s="64"/>
      <c r="Y105" s="64"/>
      <c r="Z105" s="64"/>
      <c r="AA105" s="67"/>
      <c r="AB105" s="76"/>
      <c r="AC105" s="64"/>
      <c r="AD105" s="79"/>
      <c r="AE105" s="149">
        <f t="shared" si="8"/>
        <v>0</v>
      </c>
      <c r="AF105" s="150">
        <v>1000.0</v>
      </c>
      <c r="AG105" s="125">
        <f t="shared" si="9"/>
        <v>0</v>
      </c>
      <c r="AH105" s="125"/>
      <c r="AI105" s="81"/>
      <c r="AJ105" s="201"/>
      <c r="AK105" s="201"/>
    </row>
    <row r="106" ht="23.25" customHeight="1">
      <c r="A106" s="127" t="s">
        <v>45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8"/>
      <c r="AB106" s="128"/>
      <c r="AC106" s="128"/>
      <c r="AD106" s="128"/>
      <c r="AE106" s="128"/>
      <c r="AF106" s="129"/>
      <c r="AG106" s="151">
        <f>SUM(AG51:AG105)</f>
        <v>443315</v>
      </c>
      <c r="AH106" s="269"/>
      <c r="AI106" s="81"/>
      <c r="AJ106" s="201"/>
      <c r="AK106" s="201"/>
    </row>
    <row r="107" ht="15.75" customHeight="1">
      <c r="A107" s="133" t="s">
        <v>227</v>
      </c>
      <c r="B107" s="134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  <c r="AA107" s="134"/>
      <c r="AB107" s="134"/>
      <c r="AC107" s="134"/>
      <c r="AD107" s="134"/>
      <c r="AE107" s="134"/>
      <c r="AF107" s="134"/>
      <c r="AG107" s="135"/>
      <c r="AH107" s="136"/>
      <c r="AI107" s="81"/>
    </row>
    <row r="108" ht="15.75" customHeight="1">
      <c r="A108" s="89" t="s">
        <v>228</v>
      </c>
      <c r="B108" s="64">
        <v>1.0</v>
      </c>
      <c r="C108" s="64">
        <v>4.0</v>
      </c>
      <c r="D108" s="64"/>
      <c r="E108" s="64"/>
      <c r="F108" s="67"/>
      <c r="G108" s="64"/>
      <c r="H108" s="64">
        <v>10.0</v>
      </c>
      <c r="I108" s="64"/>
      <c r="J108" s="64">
        <v>4.0</v>
      </c>
      <c r="K108" s="64"/>
      <c r="L108" s="72"/>
      <c r="M108" s="67"/>
      <c r="N108" s="64"/>
      <c r="O108" s="64"/>
      <c r="P108" s="74"/>
      <c r="Q108" s="74"/>
      <c r="R108" s="64">
        <v>1.0</v>
      </c>
      <c r="S108" s="75"/>
      <c r="T108" s="76"/>
      <c r="U108" s="78"/>
      <c r="V108" s="78"/>
      <c r="W108" s="64">
        <v>10.0</v>
      </c>
      <c r="X108" s="64"/>
      <c r="Y108" s="64">
        <v>1.0</v>
      </c>
      <c r="Z108" s="64"/>
      <c r="AA108" s="67"/>
      <c r="AB108" s="76">
        <v>6.0</v>
      </c>
      <c r="AC108" s="64">
        <v>1.0</v>
      </c>
      <c r="AD108" s="79"/>
      <c r="AE108" s="93">
        <f t="shared" ref="AE108:AE118" si="10">SUM(B108:AD108)</f>
        <v>38</v>
      </c>
      <c r="AF108" s="203">
        <v>320.0</v>
      </c>
      <c r="AG108" s="193">
        <f t="shared" ref="AG108:AG118" si="11">AF108*AE108</f>
        <v>12160</v>
      </c>
      <c r="AH108" s="193"/>
      <c r="AI108" s="81"/>
    </row>
    <row r="109" ht="15.75" customHeight="1">
      <c r="A109" s="154" t="s">
        <v>232</v>
      </c>
      <c r="B109" s="64"/>
      <c r="C109" s="64"/>
      <c r="D109" s="64"/>
      <c r="E109" s="64"/>
      <c r="F109" s="67"/>
      <c r="G109" s="64"/>
      <c r="H109" s="64"/>
      <c r="I109" s="64"/>
      <c r="J109" s="64"/>
      <c r="K109" s="64"/>
      <c r="L109" s="72"/>
      <c r="M109" s="67"/>
      <c r="N109" s="64"/>
      <c r="O109" s="64"/>
      <c r="P109" s="74"/>
      <c r="Q109" s="74"/>
      <c r="R109" s="64"/>
      <c r="S109" s="75"/>
      <c r="T109" s="76"/>
      <c r="U109" s="78"/>
      <c r="V109" s="78"/>
      <c r="W109" s="64"/>
      <c r="X109" s="64"/>
      <c r="Y109" s="64"/>
      <c r="Z109" s="64"/>
      <c r="AA109" s="67"/>
      <c r="AB109" s="76"/>
      <c r="AC109" s="64"/>
      <c r="AD109" s="79"/>
      <c r="AE109" s="93">
        <f t="shared" si="10"/>
        <v>0</v>
      </c>
      <c r="AF109" s="203">
        <v>130.0</v>
      </c>
      <c r="AG109" s="193">
        <f t="shared" si="11"/>
        <v>0</v>
      </c>
      <c r="AH109" s="193"/>
      <c r="AI109" s="81"/>
    </row>
    <row r="110" ht="15.75" customHeight="1">
      <c r="A110" s="154" t="s">
        <v>234</v>
      </c>
      <c r="B110" s="64"/>
      <c r="C110" s="64"/>
      <c r="D110" s="64"/>
      <c r="E110" s="64"/>
      <c r="F110" s="67"/>
      <c r="G110" s="64"/>
      <c r="H110" s="64"/>
      <c r="I110" s="64"/>
      <c r="J110" s="64"/>
      <c r="K110" s="64"/>
      <c r="L110" s="72"/>
      <c r="M110" s="67"/>
      <c r="N110" s="64"/>
      <c r="O110" s="64"/>
      <c r="P110" s="74"/>
      <c r="Q110" s="74"/>
      <c r="R110" s="64"/>
      <c r="S110" s="75"/>
      <c r="T110" s="76"/>
      <c r="U110" s="78"/>
      <c r="V110" s="78"/>
      <c r="W110" s="64"/>
      <c r="X110" s="64"/>
      <c r="Y110" s="64"/>
      <c r="Z110" s="64"/>
      <c r="AA110" s="67"/>
      <c r="AB110" s="76"/>
      <c r="AC110" s="64"/>
      <c r="AD110" s="79"/>
      <c r="AE110" s="93">
        <f t="shared" si="10"/>
        <v>0</v>
      </c>
      <c r="AF110" s="203">
        <v>80.0</v>
      </c>
      <c r="AG110" s="193">
        <f t="shared" si="11"/>
        <v>0</v>
      </c>
      <c r="AH110" s="193"/>
      <c r="AI110" s="81"/>
    </row>
    <row r="111" ht="15.75" customHeight="1">
      <c r="A111" s="154" t="s">
        <v>237</v>
      </c>
      <c r="B111" s="64"/>
      <c r="C111" s="64"/>
      <c r="D111" s="64"/>
      <c r="E111" s="64"/>
      <c r="F111" s="67"/>
      <c r="G111" s="64"/>
      <c r="H111" s="64"/>
      <c r="I111" s="64"/>
      <c r="J111" s="64"/>
      <c r="K111" s="64"/>
      <c r="L111" s="72"/>
      <c r="M111" s="67"/>
      <c r="N111" s="64"/>
      <c r="O111" s="64"/>
      <c r="P111" s="74"/>
      <c r="Q111" s="74"/>
      <c r="R111" s="64"/>
      <c r="S111" s="75"/>
      <c r="T111" s="76"/>
      <c r="U111" s="78"/>
      <c r="V111" s="78"/>
      <c r="W111" s="64"/>
      <c r="X111" s="64"/>
      <c r="Y111" s="64"/>
      <c r="Z111" s="64"/>
      <c r="AA111" s="67"/>
      <c r="AB111" s="76"/>
      <c r="AC111" s="64"/>
      <c r="AD111" s="79"/>
      <c r="AE111" s="93">
        <f t="shared" si="10"/>
        <v>0</v>
      </c>
      <c r="AF111" s="203">
        <v>180.0</v>
      </c>
      <c r="AG111" s="193">
        <f t="shared" si="11"/>
        <v>0</v>
      </c>
      <c r="AH111" s="193"/>
      <c r="AI111" s="81"/>
    </row>
    <row r="112" ht="15.75" customHeight="1">
      <c r="A112" s="89" t="s">
        <v>239</v>
      </c>
      <c r="B112" s="64"/>
      <c r="C112" s="64"/>
      <c r="D112" s="64"/>
      <c r="E112" s="64"/>
      <c r="F112" s="67"/>
      <c r="G112" s="64"/>
      <c r="H112" s="64"/>
      <c r="I112" s="64"/>
      <c r="J112" s="64"/>
      <c r="K112" s="64"/>
      <c r="L112" s="72"/>
      <c r="M112" s="67"/>
      <c r="N112" s="64"/>
      <c r="O112" s="64"/>
      <c r="P112" s="74"/>
      <c r="Q112" s="74"/>
      <c r="R112" s="64"/>
      <c r="S112" s="75"/>
      <c r="T112" s="76"/>
      <c r="U112" s="78"/>
      <c r="V112" s="78"/>
      <c r="W112" s="64"/>
      <c r="X112" s="64"/>
      <c r="Y112" s="64"/>
      <c r="Z112" s="64"/>
      <c r="AA112" s="67"/>
      <c r="AB112" s="76"/>
      <c r="AC112" s="64"/>
      <c r="AD112" s="79"/>
      <c r="AE112" s="93">
        <f t="shared" si="10"/>
        <v>0</v>
      </c>
      <c r="AF112" s="193">
        <v>350.0</v>
      </c>
      <c r="AG112" s="193">
        <f t="shared" si="11"/>
        <v>0</v>
      </c>
      <c r="AH112" s="193"/>
      <c r="AI112" s="81"/>
    </row>
    <row r="113" ht="15.75" customHeight="1">
      <c r="A113" s="89" t="s">
        <v>240</v>
      </c>
      <c r="B113" s="64"/>
      <c r="C113" s="64"/>
      <c r="D113" s="64"/>
      <c r="E113" s="64"/>
      <c r="F113" s="67"/>
      <c r="G113" s="64"/>
      <c r="H113" s="64"/>
      <c r="I113" s="64"/>
      <c r="J113" s="64"/>
      <c r="K113" s="64"/>
      <c r="L113" s="72"/>
      <c r="M113" s="67"/>
      <c r="N113" s="64"/>
      <c r="O113" s="64"/>
      <c r="P113" s="74"/>
      <c r="Q113" s="74"/>
      <c r="R113" s="64"/>
      <c r="S113" s="75"/>
      <c r="T113" s="76"/>
      <c r="U113" s="78"/>
      <c r="V113" s="78"/>
      <c r="W113" s="64"/>
      <c r="X113" s="64"/>
      <c r="Y113" s="64"/>
      <c r="Z113" s="64"/>
      <c r="AA113" s="67"/>
      <c r="AB113" s="76"/>
      <c r="AC113" s="64"/>
      <c r="AD113" s="79"/>
      <c r="AE113" s="93">
        <f t="shared" si="10"/>
        <v>0</v>
      </c>
      <c r="AF113" s="193">
        <v>125.0</v>
      </c>
      <c r="AG113" s="193">
        <f t="shared" si="11"/>
        <v>0</v>
      </c>
      <c r="AH113" s="193"/>
      <c r="AI113" s="81"/>
    </row>
    <row r="114" ht="15.75" customHeight="1">
      <c r="A114" s="89" t="s">
        <v>242</v>
      </c>
      <c r="B114" s="64"/>
      <c r="C114" s="64"/>
      <c r="D114" s="64"/>
      <c r="E114" s="64"/>
      <c r="F114" s="67"/>
      <c r="G114" s="64"/>
      <c r="H114" s="64"/>
      <c r="I114" s="64"/>
      <c r="J114" s="64"/>
      <c r="K114" s="64"/>
      <c r="L114" s="72"/>
      <c r="M114" s="67"/>
      <c r="N114" s="64"/>
      <c r="O114" s="64"/>
      <c r="P114" s="74"/>
      <c r="Q114" s="74"/>
      <c r="R114" s="64"/>
      <c r="S114" s="75"/>
      <c r="T114" s="76"/>
      <c r="U114" s="78"/>
      <c r="V114" s="78"/>
      <c r="W114" s="64"/>
      <c r="X114" s="64"/>
      <c r="Y114" s="64"/>
      <c r="Z114" s="64"/>
      <c r="AA114" s="67"/>
      <c r="AB114" s="76"/>
      <c r="AC114" s="64"/>
      <c r="AD114" s="79"/>
      <c r="AE114" s="93">
        <f t="shared" si="10"/>
        <v>0</v>
      </c>
      <c r="AF114" s="193">
        <v>170.0</v>
      </c>
      <c r="AG114" s="193">
        <f t="shared" si="11"/>
        <v>0</v>
      </c>
      <c r="AH114" s="193"/>
      <c r="AI114" s="81"/>
    </row>
    <row r="115" ht="15.75" customHeight="1">
      <c r="A115" s="154" t="s">
        <v>244</v>
      </c>
      <c r="B115" s="64"/>
      <c r="C115" s="64"/>
      <c r="D115" s="64"/>
      <c r="E115" s="64"/>
      <c r="F115" s="67"/>
      <c r="G115" s="64"/>
      <c r="H115" s="64"/>
      <c r="I115" s="64"/>
      <c r="J115" s="64"/>
      <c r="K115" s="64"/>
      <c r="L115" s="72"/>
      <c r="M115" s="67"/>
      <c r="N115" s="64"/>
      <c r="O115" s="64"/>
      <c r="P115" s="74"/>
      <c r="Q115" s="74"/>
      <c r="R115" s="64"/>
      <c r="S115" s="75"/>
      <c r="T115" s="76"/>
      <c r="U115" s="78"/>
      <c r="V115" s="78"/>
      <c r="W115" s="64"/>
      <c r="X115" s="64"/>
      <c r="Y115" s="64"/>
      <c r="Z115" s="64"/>
      <c r="AA115" s="67"/>
      <c r="AB115" s="76"/>
      <c r="AC115" s="64"/>
      <c r="AD115" s="79"/>
      <c r="AE115" s="93">
        <f t="shared" si="10"/>
        <v>0</v>
      </c>
      <c r="AF115" s="193">
        <v>42.0</v>
      </c>
      <c r="AG115" s="193">
        <f t="shared" si="11"/>
        <v>0</v>
      </c>
      <c r="AH115" s="193"/>
      <c r="AI115" s="81"/>
    </row>
    <row r="116" ht="15.75" customHeight="1">
      <c r="A116" s="154" t="s">
        <v>241</v>
      </c>
      <c r="B116" s="64">
        <v>2.0</v>
      </c>
      <c r="C116" s="64">
        <v>2.0</v>
      </c>
      <c r="D116" s="64"/>
      <c r="E116" s="64">
        <v>4.0</v>
      </c>
      <c r="F116" s="67"/>
      <c r="G116" s="64">
        <v>1.0</v>
      </c>
      <c r="H116" s="64">
        <v>1.0</v>
      </c>
      <c r="I116" s="64">
        <v>1.0</v>
      </c>
      <c r="J116" s="64">
        <v>5.0</v>
      </c>
      <c r="K116" s="64">
        <v>2.0</v>
      </c>
      <c r="L116" s="72"/>
      <c r="M116" s="67"/>
      <c r="N116" s="64">
        <v>1.0</v>
      </c>
      <c r="O116" s="64">
        <v>1.0</v>
      </c>
      <c r="P116" s="74"/>
      <c r="Q116" s="74"/>
      <c r="R116" s="64">
        <v>15.0</v>
      </c>
      <c r="S116" s="75"/>
      <c r="T116" s="76"/>
      <c r="U116" s="78"/>
      <c r="V116" s="78"/>
      <c r="W116" s="64">
        <v>17.0</v>
      </c>
      <c r="X116" s="64">
        <v>5.0</v>
      </c>
      <c r="Y116" s="64">
        <v>3.0</v>
      </c>
      <c r="Z116" s="64">
        <v>11.0</v>
      </c>
      <c r="AA116" s="67"/>
      <c r="AB116" s="76">
        <v>3.0</v>
      </c>
      <c r="AC116" s="64">
        <v>26.0</v>
      </c>
      <c r="AD116" s="79"/>
      <c r="AE116" s="93">
        <f t="shared" si="10"/>
        <v>100</v>
      </c>
      <c r="AF116" s="203">
        <v>40.0</v>
      </c>
      <c r="AG116" s="193">
        <f t="shared" si="11"/>
        <v>4000</v>
      </c>
      <c r="AH116" s="193"/>
      <c r="AI116" s="81"/>
    </row>
    <row r="117" ht="15.75" customHeight="1">
      <c r="A117" s="154" t="s">
        <v>243</v>
      </c>
      <c r="B117" s="64">
        <v>1.0</v>
      </c>
      <c r="C117" s="64">
        <v>1.0</v>
      </c>
      <c r="D117" s="64"/>
      <c r="E117" s="64">
        <v>1.0</v>
      </c>
      <c r="F117" s="67"/>
      <c r="G117" s="64">
        <v>2.0</v>
      </c>
      <c r="H117" s="64">
        <v>10.0</v>
      </c>
      <c r="I117" s="64"/>
      <c r="J117" s="64"/>
      <c r="K117" s="64">
        <v>1.0</v>
      </c>
      <c r="L117" s="72"/>
      <c r="M117" s="67"/>
      <c r="N117" s="64">
        <v>2.0</v>
      </c>
      <c r="O117" s="64"/>
      <c r="P117" s="74"/>
      <c r="Q117" s="74"/>
      <c r="R117" s="64"/>
      <c r="S117" s="75"/>
      <c r="T117" s="76">
        <v>2.0</v>
      </c>
      <c r="U117" s="78"/>
      <c r="V117" s="78"/>
      <c r="W117" s="64">
        <v>3.0</v>
      </c>
      <c r="X117" s="64">
        <v>4.0</v>
      </c>
      <c r="Y117" s="64">
        <v>1.0</v>
      </c>
      <c r="Z117" s="64"/>
      <c r="AA117" s="67"/>
      <c r="AB117" s="76">
        <v>2.0</v>
      </c>
      <c r="AC117" s="64">
        <v>2.0</v>
      </c>
      <c r="AD117" s="79"/>
      <c r="AE117" s="93">
        <f t="shared" si="10"/>
        <v>32</v>
      </c>
      <c r="AF117" s="203">
        <v>120.0</v>
      </c>
      <c r="AG117" s="193">
        <f t="shared" si="11"/>
        <v>3840</v>
      </c>
      <c r="AH117" s="193"/>
      <c r="AI117" s="81"/>
    </row>
    <row r="118" ht="15.75" customHeight="1">
      <c r="A118" s="190" t="s">
        <v>245</v>
      </c>
      <c r="B118" s="64">
        <v>5.0</v>
      </c>
      <c r="C118" s="64">
        <v>3.0</v>
      </c>
      <c r="D118" s="64">
        <v>3.0</v>
      </c>
      <c r="E118" s="64">
        <v>3.0</v>
      </c>
      <c r="F118" s="67"/>
      <c r="G118" s="64">
        <v>2.0</v>
      </c>
      <c r="H118" s="64"/>
      <c r="I118" s="64"/>
      <c r="J118" s="64">
        <v>4.0</v>
      </c>
      <c r="K118" s="64"/>
      <c r="L118" s="72"/>
      <c r="M118" s="67"/>
      <c r="N118" s="64">
        <v>6.0</v>
      </c>
      <c r="O118" s="64"/>
      <c r="P118" s="74"/>
      <c r="Q118" s="74"/>
      <c r="R118" s="64">
        <v>8.0</v>
      </c>
      <c r="S118" s="75"/>
      <c r="T118" s="76"/>
      <c r="U118" s="78"/>
      <c r="V118" s="78"/>
      <c r="W118" s="64">
        <v>10.0</v>
      </c>
      <c r="X118" s="64">
        <v>2.0</v>
      </c>
      <c r="Y118" s="64">
        <v>2.0</v>
      </c>
      <c r="Z118" s="64">
        <v>1.0</v>
      </c>
      <c r="AA118" s="67"/>
      <c r="AB118" s="76">
        <v>4.0</v>
      </c>
      <c r="AC118" s="64">
        <v>1.0</v>
      </c>
      <c r="AD118" s="79">
        <v>2.0</v>
      </c>
      <c r="AE118" s="149">
        <f t="shared" si="10"/>
        <v>56</v>
      </c>
      <c r="AF118" s="203">
        <v>25.0</v>
      </c>
      <c r="AG118" s="193">
        <f t="shared" si="11"/>
        <v>1400</v>
      </c>
      <c r="AH118" s="193"/>
      <c r="AI118" s="81"/>
    </row>
    <row r="119" ht="23.25" customHeight="1">
      <c r="A119" s="127" t="s">
        <v>45</v>
      </c>
      <c r="B119" s="128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8"/>
      <c r="AB119" s="128"/>
      <c r="AC119" s="128"/>
      <c r="AD119" s="128"/>
      <c r="AE119" s="128"/>
      <c r="AF119" s="129"/>
      <c r="AG119" s="151">
        <f>SUM(AG108:AG118)</f>
        <v>21400</v>
      </c>
      <c r="AH119" s="269"/>
      <c r="AI119" s="81"/>
    </row>
    <row r="120" ht="15.75" customHeight="1">
      <c r="A120" s="295" t="s">
        <v>252</v>
      </c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97"/>
      <c r="AH120" s="298"/>
      <c r="AI120" s="81"/>
    </row>
    <row r="121" ht="15.75" customHeight="1">
      <c r="A121" s="295" t="s">
        <v>254</v>
      </c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97"/>
      <c r="AH121" s="298"/>
      <c r="AI121" s="81"/>
    </row>
    <row r="122" ht="15.75" customHeight="1">
      <c r="A122" s="300" t="s">
        <v>170</v>
      </c>
      <c r="B122" s="64">
        <v>2.0</v>
      </c>
      <c r="C122" s="64">
        <v>1.0</v>
      </c>
      <c r="D122" s="64"/>
      <c r="E122" s="64">
        <v>2.0</v>
      </c>
      <c r="F122" s="67"/>
      <c r="G122" s="64"/>
      <c r="H122" s="64">
        <v>1.0</v>
      </c>
      <c r="I122" s="64">
        <v>1.0</v>
      </c>
      <c r="J122" s="64">
        <v>5.0</v>
      </c>
      <c r="K122" s="64">
        <v>2.0</v>
      </c>
      <c r="L122" s="72"/>
      <c r="M122" s="67"/>
      <c r="N122" s="64">
        <v>1.0</v>
      </c>
      <c r="O122" s="64"/>
      <c r="P122" s="74"/>
      <c r="Q122" s="74"/>
      <c r="R122" s="64">
        <v>1.0</v>
      </c>
      <c r="S122" s="75"/>
      <c r="T122" s="76">
        <v>3.0</v>
      </c>
      <c r="U122" s="78"/>
      <c r="V122" s="78"/>
      <c r="W122" s="64"/>
      <c r="X122" s="64">
        <v>1.0</v>
      </c>
      <c r="Y122" s="64"/>
      <c r="Z122" s="64"/>
      <c r="AA122" s="67"/>
      <c r="AB122" s="76">
        <v>4.0</v>
      </c>
      <c r="AC122" s="64"/>
      <c r="AD122" s="79"/>
      <c r="AE122" s="93">
        <f t="shared" ref="AE122:AE127" si="12">SUM(B122:AD122)</f>
        <v>24</v>
      </c>
      <c r="AF122" s="138">
        <v>280.0</v>
      </c>
      <c r="AG122" s="193">
        <f t="shared" ref="AG122:AG127" si="13">AF122*AE122</f>
        <v>6720</v>
      </c>
      <c r="AH122" s="203" t="s">
        <v>257</v>
      </c>
      <c r="AI122" s="81"/>
    </row>
    <row r="123" ht="15.75" customHeight="1">
      <c r="A123" s="300" t="s">
        <v>173</v>
      </c>
      <c r="B123" s="64"/>
      <c r="C123" s="64"/>
      <c r="D123" s="64"/>
      <c r="E123" s="64"/>
      <c r="F123" s="67"/>
      <c r="G123" s="64"/>
      <c r="H123" s="64"/>
      <c r="I123" s="64"/>
      <c r="J123" s="64"/>
      <c r="K123" s="64"/>
      <c r="L123" s="72"/>
      <c r="M123" s="67"/>
      <c r="N123" s="64"/>
      <c r="O123" s="64"/>
      <c r="P123" s="74"/>
      <c r="Q123" s="74"/>
      <c r="R123" s="64"/>
      <c r="S123" s="75"/>
      <c r="T123" s="76"/>
      <c r="U123" s="78"/>
      <c r="V123" s="78"/>
      <c r="W123" s="64"/>
      <c r="X123" s="64"/>
      <c r="Y123" s="64"/>
      <c r="Z123" s="64"/>
      <c r="AA123" s="67"/>
      <c r="AB123" s="76"/>
      <c r="AC123" s="64"/>
      <c r="AD123" s="79"/>
      <c r="AE123" s="93">
        <f t="shared" si="12"/>
        <v>0</v>
      </c>
      <c r="AF123" s="138">
        <v>260.0</v>
      </c>
      <c r="AG123" s="193">
        <f t="shared" si="13"/>
        <v>0</v>
      </c>
      <c r="AH123" s="301"/>
      <c r="AI123" s="81"/>
    </row>
    <row r="124" ht="15.75" customHeight="1">
      <c r="A124" s="302" t="s">
        <v>174</v>
      </c>
      <c r="B124" s="64"/>
      <c r="C124" s="64"/>
      <c r="D124" s="64"/>
      <c r="E124" s="64"/>
      <c r="F124" s="67"/>
      <c r="G124" s="64"/>
      <c r="H124" s="64"/>
      <c r="I124" s="64"/>
      <c r="J124" s="64"/>
      <c r="K124" s="64"/>
      <c r="L124" s="72"/>
      <c r="M124" s="67"/>
      <c r="N124" s="64"/>
      <c r="O124" s="64"/>
      <c r="P124" s="74"/>
      <c r="Q124" s="74"/>
      <c r="R124" s="64"/>
      <c r="S124" s="75"/>
      <c r="T124" s="76"/>
      <c r="U124" s="78"/>
      <c r="V124" s="78"/>
      <c r="W124" s="64"/>
      <c r="X124" s="64"/>
      <c r="Y124" s="64"/>
      <c r="Z124" s="64"/>
      <c r="AA124" s="67"/>
      <c r="AB124" s="76"/>
      <c r="AC124" s="64"/>
      <c r="AD124" s="79"/>
      <c r="AE124" s="93">
        <f t="shared" si="12"/>
        <v>0</v>
      </c>
      <c r="AF124" s="138">
        <v>380.0</v>
      </c>
      <c r="AG124" s="193">
        <f t="shared" si="13"/>
        <v>0</v>
      </c>
      <c r="AH124" s="301"/>
      <c r="AI124" s="81"/>
    </row>
    <row r="125" ht="15.75" customHeight="1">
      <c r="A125" s="302" t="s">
        <v>176</v>
      </c>
      <c r="B125" s="64"/>
      <c r="C125" s="64"/>
      <c r="D125" s="64"/>
      <c r="E125" s="64"/>
      <c r="F125" s="67"/>
      <c r="G125" s="64"/>
      <c r="H125" s="64"/>
      <c r="I125" s="64"/>
      <c r="J125" s="64"/>
      <c r="K125" s="64"/>
      <c r="L125" s="72"/>
      <c r="M125" s="67"/>
      <c r="N125" s="64"/>
      <c r="O125" s="64"/>
      <c r="P125" s="74"/>
      <c r="Q125" s="74"/>
      <c r="R125" s="64"/>
      <c r="S125" s="75"/>
      <c r="T125" s="76"/>
      <c r="U125" s="78"/>
      <c r="V125" s="78"/>
      <c r="W125" s="64"/>
      <c r="X125" s="64"/>
      <c r="Y125" s="64"/>
      <c r="Z125" s="64"/>
      <c r="AA125" s="67"/>
      <c r="AB125" s="76"/>
      <c r="AC125" s="64"/>
      <c r="AD125" s="79"/>
      <c r="AE125" s="93">
        <f t="shared" si="12"/>
        <v>0</v>
      </c>
      <c r="AF125" s="138">
        <v>420.0</v>
      </c>
      <c r="AG125" s="193">
        <f t="shared" si="13"/>
        <v>0</v>
      </c>
      <c r="AH125" s="301"/>
      <c r="AI125" s="81"/>
    </row>
    <row r="126" ht="15.75" customHeight="1">
      <c r="A126" s="300" t="s">
        <v>177</v>
      </c>
      <c r="B126" s="64"/>
      <c r="C126" s="64">
        <v>1.0</v>
      </c>
      <c r="D126" s="64"/>
      <c r="E126" s="64">
        <v>1.0</v>
      </c>
      <c r="F126" s="67"/>
      <c r="G126" s="64"/>
      <c r="H126" s="64"/>
      <c r="I126" s="64"/>
      <c r="J126" s="64"/>
      <c r="K126" s="64"/>
      <c r="L126" s="72"/>
      <c r="M126" s="67"/>
      <c r="N126" s="64"/>
      <c r="O126" s="64"/>
      <c r="P126" s="74"/>
      <c r="Q126" s="74"/>
      <c r="R126" s="64"/>
      <c r="S126" s="75"/>
      <c r="T126" s="76"/>
      <c r="U126" s="78"/>
      <c r="V126" s="78"/>
      <c r="W126" s="64"/>
      <c r="X126" s="64"/>
      <c r="Y126" s="64"/>
      <c r="Z126" s="64"/>
      <c r="AA126" s="67"/>
      <c r="AB126" s="76"/>
      <c r="AC126" s="64"/>
      <c r="AD126" s="79"/>
      <c r="AE126" s="93">
        <f t="shared" si="12"/>
        <v>2</v>
      </c>
      <c r="AF126" s="138">
        <v>750.0</v>
      </c>
      <c r="AG126" s="94">
        <f t="shared" si="13"/>
        <v>1500</v>
      </c>
      <c r="AH126" s="301"/>
      <c r="AI126" s="81"/>
    </row>
    <row r="127" ht="15.75" customHeight="1">
      <c r="A127" s="302" t="s">
        <v>179</v>
      </c>
      <c r="B127" s="64">
        <v>2.0</v>
      </c>
      <c r="C127" s="64">
        <v>3.0</v>
      </c>
      <c r="D127" s="64"/>
      <c r="E127" s="64">
        <v>1.0</v>
      </c>
      <c r="F127" s="67"/>
      <c r="G127" s="64">
        <v>1.0</v>
      </c>
      <c r="H127" s="64"/>
      <c r="I127" s="64"/>
      <c r="J127" s="64">
        <v>2.0</v>
      </c>
      <c r="K127" s="64"/>
      <c r="L127" s="72"/>
      <c r="M127" s="67"/>
      <c r="N127" s="64"/>
      <c r="O127" s="64">
        <v>3.0</v>
      </c>
      <c r="P127" s="74"/>
      <c r="Q127" s="74"/>
      <c r="R127" s="64">
        <v>2.0</v>
      </c>
      <c r="S127" s="75"/>
      <c r="T127" s="76"/>
      <c r="U127" s="78"/>
      <c r="V127" s="78"/>
      <c r="W127" s="64">
        <v>3.0</v>
      </c>
      <c r="X127" s="64">
        <v>1.0</v>
      </c>
      <c r="Y127" s="64">
        <v>4.0</v>
      </c>
      <c r="Z127" s="64">
        <v>1.0</v>
      </c>
      <c r="AA127" s="67"/>
      <c r="AB127" s="76">
        <v>2.0</v>
      </c>
      <c r="AC127" s="64"/>
      <c r="AD127" s="79"/>
      <c r="AE127" s="149">
        <f t="shared" si="12"/>
        <v>25</v>
      </c>
      <c r="AF127" s="150">
        <v>595.0</v>
      </c>
      <c r="AG127" s="125">
        <f t="shared" si="13"/>
        <v>14875</v>
      </c>
      <c r="AH127" s="301"/>
      <c r="AI127" s="81"/>
    </row>
    <row r="128" ht="22.5" customHeight="1">
      <c r="A128" s="127" t="s">
        <v>45</v>
      </c>
      <c r="B128" s="128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  <c r="AA128" s="128"/>
      <c r="AB128" s="128"/>
      <c r="AC128" s="128"/>
      <c r="AD128" s="128"/>
      <c r="AE128" s="128"/>
      <c r="AF128" s="129"/>
      <c r="AG128" s="151">
        <f>SUM(AG122:AG127)</f>
        <v>23095</v>
      </c>
      <c r="AH128" s="269"/>
      <c r="AI128" s="81"/>
    </row>
    <row r="129" ht="15.75" customHeight="1">
      <c r="A129" s="303" t="s">
        <v>263</v>
      </c>
      <c r="AG129" s="301"/>
      <c r="AH129" s="304"/>
      <c r="AI129" s="81"/>
    </row>
    <row r="130" ht="15.75" customHeight="1">
      <c r="A130" s="300" t="s">
        <v>182</v>
      </c>
      <c r="B130" s="64">
        <v>6.0</v>
      </c>
      <c r="C130" s="64">
        <v>8.0</v>
      </c>
      <c r="D130" s="64">
        <v>6.0</v>
      </c>
      <c r="E130" s="64">
        <v>21.0</v>
      </c>
      <c r="F130" s="67"/>
      <c r="G130" s="64">
        <v>3.0</v>
      </c>
      <c r="H130" s="64">
        <v>3.0</v>
      </c>
      <c r="I130" s="64">
        <v>1.0</v>
      </c>
      <c r="J130" s="64">
        <v>18.0</v>
      </c>
      <c r="K130" s="64">
        <v>3.0</v>
      </c>
      <c r="L130" s="72"/>
      <c r="M130" s="67"/>
      <c r="N130" s="64">
        <v>37.0</v>
      </c>
      <c r="O130" s="64">
        <v>3.0</v>
      </c>
      <c r="P130" s="74"/>
      <c r="Q130" s="74"/>
      <c r="R130" s="64">
        <v>18.0</v>
      </c>
      <c r="S130" s="75"/>
      <c r="T130" s="76">
        <v>20.0</v>
      </c>
      <c r="U130" s="78"/>
      <c r="V130" s="78"/>
      <c r="W130" s="64">
        <v>6.0</v>
      </c>
      <c r="X130" s="64">
        <v>8.0</v>
      </c>
      <c r="Y130" s="64">
        <v>5.0</v>
      </c>
      <c r="Z130" s="64">
        <v>26.0</v>
      </c>
      <c r="AA130" s="67"/>
      <c r="AB130" s="76">
        <v>24.0</v>
      </c>
      <c r="AC130" s="64">
        <v>4.0</v>
      </c>
      <c r="AD130" s="79"/>
      <c r="AE130" s="93">
        <f t="shared" ref="AE130:AE134" si="14">SUM(B130:AD130)</f>
        <v>220</v>
      </c>
      <c r="AF130" s="138">
        <v>50.0</v>
      </c>
      <c r="AG130" s="94">
        <f t="shared" ref="AG130:AG134" si="15">AF130*AE130</f>
        <v>11000</v>
      </c>
      <c r="AH130" s="94"/>
      <c r="AI130" s="81"/>
    </row>
    <row r="131" ht="15.75" customHeight="1">
      <c r="A131" s="300" t="s">
        <v>183</v>
      </c>
      <c r="B131" s="64">
        <v>1.0</v>
      </c>
      <c r="C131" s="64"/>
      <c r="D131" s="64"/>
      <c r="E131" s="64">
        <v>4.0</v>
      </c>
      <c r="F131" s="67"/>
      <c r="G131" s="64">
        <v>1.0</v>
      </c>
      <c r="H131" s="64">
        <v>1.0</v>
      </c>
      <c r="I131" s="64"/>
      <c r="J131" s="64">
        <v>4.0</v>
      </c>
      <c r="K131" s="64">
        <v>2.0</v>
      </c>
      <c r="L131" s="72"/>
      <c r="M131" s="67"/>
      <c r="N131" s="64"/>
      <c r="O131" s="64">
        <v>1.0</v>
      </c>
      <c r="P131" s="74"/>
      <c r="Q131" s="74"/>
      <c r="R131" s="64">
        <v>17.0</v>
      </c>
      <c r="S131" s="75"/>
      <c r="T131" s="76"/>
      <c r="U131" s="78"/>
      <c r="V131" s="78"/>
      <c r="W131" s="64">
        <v>1.0</v>
      </c>
      <c r="X131" s="64">
        <v>3.0</v>
      </c>
      <c r="Y131" s="64"/>
      <c r="Z131" s="64"/>
      <c r="AA131" s="67"/>
      <c r="AB131" s="76">
        <v>15.0</v>
      </c>
      <c r="AC131" s="64">
        <v>2.0</v>
      </c>
      <c r="AD131" s="79"/>
      <c r="AE131" s="93">
        <f t="shared" si="14"/>
        <v>52</v>
      </c>
      <c r="AF131" s="138">
        <v>60.0</v>
      </c>
      <c r="AG131" s="94">
        <f t="shared" si="15"/>
        <v>3120</v>
      </c>
      <c r="AH131" s="94"/>
      <c r="AI131" s="81"/>
    </row>
    <row r="132" ht="15.75" customHeight="1">
      <c r="A132" s="300" t="s">
        <v>185</v>
      </c>
      <c r="B132" s="64"/>
      <c r="C132" s="64"/>
      <c r="D132" s="64"/>
      <c r="E132" s="64"/>
      <c r="F132" s="67"/>
      <c r="G132" s="64">
        <v>4.0</v>
      </c>
      <c r="H132" s="64"/>
      <c r="I132" s="64"/>
      <c r="J132" s="64">
        <v>9.0</v>
      </c>
      <c r="K132" s="64"/>
      <c r="L132" s="72"/>
      <c r="M132" s="67"/>
      <c r="N132" s="64"/>
      <c r="O132" s="64">
        <v>4.0</v>
      </c>
      <c r="P132" s="74"/>
      <c r="Q132" s="74"/>
      <c r="R132" s="64">
        <v>8.0</v>
      </c>
      <c r="S132" s="75"/>
      <c r="T132" s="76"/>
      <c r="U132" s="78"/>
      <c r="V132" s="78"/>
      <c r="W132" s="64">
        <v>3.0</v>
      </c>
      <c r="X132" s="64">
        <v>1.0</v>
      </c>
      <c r="Y132" s="64">
        <v>3.0</v>
      </c>
      <c r="Z132" s="64">
        <v>3.0</v>
      </c>
      <c r="AA132" s="67"/>
      <c r="AB132" s="76"/>
      <c r="AC132" s="64">
        <v>4.0</v>
      </c>
      <c r="AD132" s="79"/>
      <c r="AE132" s="93">
        <f t="shared" si="14"/>
        <v>39</v>
      </c>
      <c r="AF132" s="138">
        <v>150.0</v>
      </c>
      <c r="AG132" s="94">
        <f t="shared" si="15"/>
        <v>5850</v>
      </c>
      <c r="AH132" s="94"/>
      <c r="AI132" s="81"/>
    </row>
    <row r="133" ht="15.75" customHeight="1">
      <c r="A133" s="300" t="s">
        <v>186</v>
      </c>
      <c r="B133" s="64"/>
      <c r="C133" s="64">
        <v>10.0</v>
      </c>
      <c r="D133" s="64"/>
      <c r="E133" s="64"/>
      <c r="F133" s="67"/>
      <c r="G133" s="64"/>
      <c r="H133" s="64">
        <v>10.0</v>
      </c>
      <c r="I133" s="64">
        <v>7.0</v>
      </c>
      <c r="J133" s="64">
        <v>2.0</v>
      </c>
      <c r="K133" s="64"/>
      <c r="L133" s="72"/>
      <c r="M133" s="67"/>
      <c r="N133" s="64">
        <v>1.0</v>
      </c>
      <c r="O133" s="64">
        <v>1.0</v>
      </c>
      <c r="P133" s="74"/>
      <c r="Q133" s="74"/>
      <c r="R133" s="64">
        <v>2.0</v>
      </c>
      <c r="S133" s="75"/>
      <c r="T133" s="76"/>
      <c r="U133" s="78"/>
      <c r="V133" s="78"/>
      <c r="W133" s="64"/>
      <c r="X133" s="64">
        <v>3.0</v>
      </c>
      <c r="Y133" s="64">
        <v>2.0</v>
      </c>
      <c r="Z133" s="64"/>
      <c r="AA133" s="67"/>
      <c r="AB133" s="76"/>
      <c r="AC133" s="64">
        <v>12.0</v>
      </c>
      <c r="AD133" s="79"/>
      <c r="AE133" s="93">
        <f t="shared" si="14"/>
        <v>50</v>
      </c>
      <c r="AF133" s="138">
        <v>130.0</v>
      </c>
      <c r="AG133" s="94">
        <f t="shared" si="15"/>
        <v>6500</v>
      </c>
      <c r="AH133" s="94"/>
      <c r="AI133" s="81"/>
    </row>
    <row r="134" ht="15.75" customHeight="1">
      <c r="A134" s="302" t="s">
        <v>187</v>
      </c>
      <c r="B134" s="64">
        <v>7.0</v>
      </c>
      <c r="C134" s="64">
        <v>1.0</v>
      </c>
      <c r="D134" s="64">
        <v>5.0</v>
      </c>
      <c r="E134" s="64">
        <v>5.0</v>
      </c>
      <c r="F134" s="67"/>
      <c r="G134" s="64"/>
      <c r="H134" s="64">
        <v>3.0</v>
      </c>
      <c r="I134" s="64">
        <v>4.0</v>
      </c>
      <c r="J134" s="64">
        <v>3.0</v>
      </c>
      <c r="K134" s="64"/>
      <c r="L134" s="72"/>
      <c r="M134" s="67"/>
      <c r="N134" s="64">
        <v>1.0</v>
      </c>
      <c r="O134" s="64">
        <v>1.0</v>
      </c>
      <c r="P134" s="74"/>
      <c r="Q134" s="74"/>
      <c r="R134" s="64">
        <v>5.0</v>
      </c>
      <c r="S134" s="75"/>
      <c r="T134" s="76">
        <v>8.0</v>
      </c>
      <c r="U134" s="78"/>
      <c r="V134" s="78"/>
      <c r="W134" s="64"/>
      <c r="X134" s="64">
        <v>1.0</v>
      </c>
      <c r="Y134" s="64">
        <v>4.0</v>
      </c>
      <c r="Z134" s="64"/>
      <c r="AA134" s="67"/>
      <c r="AB134" s="76">
        <v>2.0</v>
      </c>
      <c r="AC134" s="64">
        <v>4.0</v>
      </c>
      <c r="AD134" s="79"/>
      <c r="AE134" s="93">
        <f t="shared" si="14"/>
        <v>54</v>
      </c>
      <c r="AF134" s="138">
        <v>750.0</v>
      </c>
      <c r="AG134" s="125">
        <f t="shared" si="15"/>
        <v>40500</v>
      </c>
      <c r="AH134" s="125"/>
      <c r="AI134" s="81"/>
    </row>
    <row r="135" ht="24.75" customHeight="1">
      <c r="A135" s="127" t="s">
        <v>45</v>
      </c>
      <c r="B135" s="128"/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9"/>
      <c r="AG135" s="151">
        <f>SUM(AG130:AG134)</f>
        <v>66970</v>
      </c>
      <c r="AH135" s="269"/>
      <c r="AI135" s="81"/>
    </row>
    <row r="136" ht="15.75" customHeight="1">
      <c r="A136" s="133" t="s">
        <v>272</v>
      </c>
      <c r="B136" s="134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  <c r="AE136" s="134"/>
      <c r="AF136" s="134"/>
      <c r="AG136" s="135"/>
      <c r="AH136" s="136"/>
      <c r="AI136" s="81"/>
    </row>
    <row r="137" ht="14.25" customHeight="1">
      <c r="A137" s="325" t="s">
        <v>273</v>
      </c>
      <c r="B137" s="64"/>
      <c r="C137" s="64"/>
      <c r="D137" s="64"/>
      <c r="E137" s="64"/>
      <c r="F137" s="67"/>
      <c r="G137" s="64"/>
      <c r="H137" s="64"/>
      <c r="I137" s="64"/>
      <c r="J137" s="64"/>
      <c r="K137" s="64"/>
      <c r="L137" s="72"/>
      <c r="M137" s="67"/>
      <c r="N137" s="64"/>
      <c r="O137" s="64"/>
      <c r="P137" s="74"/>
      <c r="Q137" s="74"/>
      <c r="R137" s="64"/>
      <c r="S137" s="75"/>
      <c r="T137" s="76"/>
      <c r="U137" s="78"/>
      <c r="V137" s="78"/>
      <c r="W137" s="64"/>
      <c r="X137" s="64"/>
      <c r="Y137" s="64"/>
      <c r="Z137" s="64"/>
      <c r="AA137" s="67"/>
      <c r="AB137" s="76"/>
      <c r="AC137" s="64"/>
      <c r="AD137" s="79"/>
      <c r="AE137" s="94">
        <f t="shared" ref="AE137:AE142" si="16">SUM(B137:AD137)</f>
        <v>0</v>
      </c>
      <c r="AF137" s="193">
        <v>350.0</v>
      </c>
      <c r="AG137" s="193">
        <f t="shared" ref="AG137:AG142" si="17">AF137*AE137</f>
        <v>0</v>
      </c>
      <c r="AH137" s="203" t="s">
        <v>274</v>
      </c>
      <c r="AI137" s="81"/>
      <c r="AJ137" s="201"/>
      <c r="AK137" s="201"/>
    </row>
    <row r="138" ht="15.75" customHeight="1">
      <c r="A138" s="333" t="s">
        <v>128</v>
      </c>
      <c r="B138" s="64">
        <v>1.0</v>
      </c>
      <c r="C138" s="64"/>
      <c r="D138" s="64"/>
      <c r="E138" s="64">
        <v>1.0</v>
      </c>
      <c r="F138" s="67"/>
      <c r="G138" s="64">
        <v>3.0</v>
      </c>
      <c r="H138" s="64">
        <v>2.0</v>
      </c>
      <c r="I138" s="64">
        <v>1.0</v>
      </c>
      <c r="J138" s="64"/>
      <c r="K138" s="64">
        <v>1.0</v>
      </c>
      <c r="L138" s="72"/>
      <c r="M138" s="67"/>
      <c r="N138" s="64">
        <v>1.0</v>
      </c>
      <c r="O138" s="64"/>
      <c r="P138" s="74"/>
      <c r="Q138" s="74"/>
      <c r="R138" s="64">
        <v>1.0</v>
      </c>
      <c r="S138" s="75"/>
      <c r="T138" s="76"/>
      <c r="U138" s="78"/>
      <c r="V138" s="78"/>
      <c r="W138" s="64">
        <v>2.0</v>
      </c>
      <c r="X138" s="64">
        <v>2.0</v>
      </c>
      <c r="Y138" s="64"/>
      <c r="Z138" s="64"/>
      <c r="AA138" s="67"/>
      <c r="AB138" s="76"/>
      <c r="AC138" s="64">
        <v>1.0</v>
      </c>
      <c r="AD138" s="79">
        <v>4.0</v>
      </c>
      <c r="AE138" s="94">
        <f t="shared" si="16"/>
        <v>20</v>
      </c>
      <c r="AF138" s="193">
        <v>550.0</v>
      </c>
      <c r="AG138" s="193">
        <f t="shared" si="17"/>
        <v>11000</v>
      </c>
      <c r="AH138" s="301"/>
      <c r="AI138" s="81"/>
      <c r="AJ138" s="201"/>
      <c r="AK138" s="201"/>
    </row>
    <row r="139" ht="15.75" customHeight="1">
      <c r="A139" s="334" t="s">
        <v>131</v>
      </c>
      <c r="B139" s="64"/>
      <c r="C139" s="64"/>
      <c r="D139" s="64"/>
      <c r="E139" s="64">
        <v>1.0</v>
      </c>
      <c r="F139" s="67"/>
      <c r="G139" s="64">
        <v>2.0</v>
      </c>
      <c r="H139" s="64"/>
      <c r="I139" s="64"/>
      <c r="J139" s="64">
        <v>6.0</v>
      </c>
      <c r="K139" s="64">
        <v>2.0</v>
      </c>
      <c r="L139" s="72"/>
      <c r="M139" s="67"/>
      <c r="N139" s="64"/>
      <c r="O139" s="64">
        <v>2.0</v>
      </c>
      <c r="P139" s="74"/>
      <c r="Q139" s="74"/>
      <c r="R139" s="64"/>
      <c r="S139" s="75"/>
      <c r="T139" s="76">
        <v>6.0</v>
      </c>
      <c r="U139" s="78"/>
      <c r="V139" s="78"/>
      <c r="W139" s="64"/>
      <c r="X139" s="64">
        <v>2.0</v>
      </c>
      <c r="Y139" s="64"/>
      <c r="Z139" s="64">
        <v>2.0</v>
      </c>
      <c r="AA139" s="67"/>
      <c r="AB139" s="76">
        <v>5.0</v>
      </c>
      <c r="AC139" s="64">
        <v>1.0</v>
      </c>
      <c r="AD139" s="79">
        <v>3.0</v>
      </c>
      <c r="AE139" s="94">
        <f t="shared" si="16"/>
        <v>32</v>
      </c>
      <c r="AF139" s="203">
        <v>350.0</v>
      </c>
      <c r="AG139" s="193">
        <f t="shared" si="17"/>
        <v>11200</v>
      </c>
      <c r="AH139" s="301"/>
      <c r="AI139" s="81"/>
      <c r="AJ139" s="201"/>
      <c r="AK139" s="201"/>
    </row>
    <row r="140" ht="15.75" customHeight="1">
      <c r="A140" s="334" t="s">
        <v>134</v>
      </c>
      <c r="B140" s="64">
        <v>2.0</v>
      </c>
      <c r="C140" s="64"/>
      <c r="D140" s="64"/>
      <c r="E140" s="64">
        <v>1.0</v>
      </c>
      <c r="F140" s="67"/>
      <c r="G140" s="64"/>
      <c r="H140" s="64"/>
      <c r="I140" s="64"/>
      <c r="J140" s="64"/>
      <c r="K140" s="64">
        <v>1.0</v>
      </c>
      <c r="L140" s="72"/>
      <c r="M140" s="67"/>
      <c r="N140" s="64"/>
      <c r="O140" s="64"/>
      <c r="P140" s="74"/>
      <c r="Q140" s="74"/>
      <c r="R140" s="64">
        <v>1.0</v>
      </c>
      <c r="S140" s="75"/>
      <c r="T140" s="76"/>
      <c r="U140" s="78"/>
      <c r="V140" s="78"/>
      <c r="W140" s="64"/>
      <c r="X140" s="64"/>
      <c r="Y140" s="64"/>
      <c r="Z140" s="64">
        <v>1.0</v>
      </c>
      <c r="AA140" s="67"/>
      <c r="AB140" s="76"/>
      <c r="AC140" s="64"/>
      <c r="AD140" s="79"/>
      <c r="AE140" s="94">
        <f t="shared" si="16"/>
        <v>6</v>
      </c>
      <c r="AF140" s="203">
        <v>350.0</v>
      </c>
      <c r="AG140" s="193">
        <f t="shared" si="17"/>
        <v>2100</v>
      </c>
      <c r="AH140" s="301"/>
      <c r="AI140" s="81"/>
      <c r="AJ140" s="201"/>
      <c r="AK140" s="201"/>
    </row>
    <row r="141" ht="15.75" customHeight="1">
      <c r="A141" s="334" t="s">
        <v>132</v>
      </c>
      <c r="B141" s="64">
        <v>2.0</v>
      </c>
      <c r="C141" s="64"/>
      <c r="D141" s="64">
        <v>1.0</v>
      </c>
      <c r="E141" s="64">
        <v>3.0</v>
      </c>
      <c r="F141" s="67"/>
      <c r="G141" s="64"/>
      <c r="H141" s="64"/>
      <c r="I141" s="64"/>
      <c r="J141" s="64"/>
      <c r="K141" s="64">
        <v>3.0</v>
      </c>
      <c r="L141" s="72"/>
      <c r="M141" s="67"/>
      <c r="N141" s="64"/>
      <c r="O141" s="64">
        <v>1.0</v>
      </c>
      <c r="P141" s="74"/>
      <c r="Q141" s="74"/>
      <c r="R141" s="64"/>
      <c r="S141" s="75"/>
      <c r="T141" s="76"/>
      <c r="U141" s="78"/>
      <c r="V141" s="78"/>
      <c r="W141" s="64"/>
      <c r="X141" s="64">
        <v>1.0</v>
      </c>
      <c r="Y141" s="64">
        <v>1.0</v>
      </c>
      <c r="Z141" s="64">
        <v>3.0</v>
      </c>
      <c r="AA141" s="67"/>
      <c r="AB141" s="76">
        <v>1.0</v>
      </c>
      <c r="AC141" s="64">
        <v>1.0</v>
      </c>
      <c r="AD141" s="79">
        <v>3.0</v>
      </c>
      <c r="AE141" s="94">
        <f t="shared" si="16"/>
        <v>20</v>
      </c>
      <c r="AF141" s="203">
        <v>350.0</v>
      </c>
      <c r="AG141" s="193">
        <f t="shared" si="17"/>
        <v>7000</v>
      </c>
      <c r="AH141" s="301"/>
      <c r="AI141" s="81"/>
      <c r="AJ141" s="201"/>
      <c r="AK141" s="201"/>
    </row>
    <row r="142" ht="15.75" customHeight="1">
      <c r="A142" s="337" t="s">
        <v>276</v>
      </c>
      <c r="B142" s="64"/>
      <c r="C142" s="64"/>
      <c r="D142" s="64"/>
      <c r="E142" s="64"/>
      <c r="F142" s="67"/>
      <c r="G142" s="64"/>
      <c r="H142" s="64"/>
      <c r="I142" s="64"/>
      <c r="J142" s="64"/>
      <c r="K142" s="64"/>
      <c r="L142" s="72"/>
      <c r="M142" s="67"/>
      <c r="N142" s="64"/>
      <c r="O142" s="64"/>
      <c r="P142" s="74"/>
      <c r="Q142" s="74"/>
      <c r="R142" s="64"/>
      <c r="S142" s="75"/>
      <c r="T142" s="76"/>
      <c r="U142" s="78"/>
      <c r="V142" s="78"/>
      <c r="W142" s="64"/>
      <c r="X142" s="64"/>
      <c r="Y142" s="64"/>
      <c r="Z142" s="64"/>
      <c r="AA142" s="67"/>
      <c r="AB142" s="76"/>
      <c r="AC142" s="64"/>
      <c r="AD142" s="79"/>
      <c r="AE142" s="125">
        <f t="shared" si="16"/>
        <v>0</v>
      </c>
      <c r="AF142" s="193">
        <v>250.0</v>
      </c>
      <c r="AG142" s="193">
        <f t="shared" si="17"/>
        <v>0</v>
      </c>
      <c r="AH142" s="301"/>
      <c r="AI142" s="81"/>
      <c r="AJ142" s="201"/>
      <c r="AK142" s="201"/>
    </row>
    <row r="143" ht="24.0" customHeight="1">
      <c r="A143" s="127" t="s">
        <v>45</v>
      </c>
      <c r="B143" s="128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9"/>
      <c r="AG143" s="338">
        <f>SUM(AG137:AG142)</f>
        <v>31300</v>
      </c>
      <c r="AH143" s="269"/>
      <c r="AI143" s="81"/>
    </row>
    <row r="144" ht="15.75" customHeight="1">
      <c r="A144" s="133" t="s">
        <v>277</v>
      </c>
      <c r="B144" s="134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5"/>
      <c r="AH144" s="136"/>
      <c r="AI144" s="81"/>
    </row>
    <row r="145" ht="15.75" customHeight="1">
      <c r="A145" s="339" t="s">
        <v>278</v>
      </c>
      <c r="B145" s="64"/>
      <c r="C145" s="64"/>
      <c r="D145" s="64"/>
      <c r="E145" s="64"/>
      <c r="F145" s="67"/>
      <c r="G145" s="64"/>
      <c r="H145" s="64"/>
      <c r="I145" s="64"/>
      <c r="J145" s="64"/>
      <c r="K145" s="64"/>
      <c r="L145" s="72"/>
      <c r="M145" s="67"/>
      <c r="N145" s="64"/>
      <c r="O145" s="64"/>
      <c r="P145" s="74"/>
      <c r="Q145" s="74"/>
      <c r="R145" s="64"/>
      <c r="S145" s="75"/>
      <c r="T145" s="76"/>
      <c r="U145" s="78"/>
      <c r="V145" s="78"/>
      <c r="W145" s="64"/>
      <c r="X145" s="64"/>
      <c r="Y145" s="64"/>
      <c r="Z145" s="64"/>
      <c r="AA145" s="67"/>
      <c r="AB145" s="76"/>
      <c r="AC145" s="64"/>
      <c r="AD145" s="79"/>
      <c r="AE145" s="94">
        <f t="shared" ref="AE145:AE146" si="18">SUM(B145:AD145)</f>
        <v>0</v>
      </c>
      <c r="AF145" s="193">
        <v>17.36</v>
      </c>
      <c r="AG145" s="193">
        <f t="shared" ref="AG145:AG146" si="19">AF145*AE145</f>
        <v>0</v>
      </c>
      <c r="AH145" s="193"/>
      <c r="AI145" s="81"/>
      <c r="AJ145" s="201"/>
      <c r="AK145" s="201"/>
    </row>
    <row r="146" ht="15.75" customHeight="1">
      <c r="A146" s="57" t="s">
        <v>280</v>
      </c>
      <c r="B146" s="64"/>
      <c r="C146" s="64"/>
      <c r="D146" s="64"/>
      <c r="E146" s="64"/>
      <c r="F146" s="67"/>
      <c r="G146" s="64"/>
      <c r="H146" s="64"/>
      <c r="I146" s="64"/>
      <c r="J146" s="64"/>
      <c r="K146" s="64"/>
      <c r="L146" s="72"/>
      <c r="M146" s="67"/>
      <c r="N146" s="64"/>
      <c r="O146" s="64"/>
      <c r="P146" s="74"/>
      <c r="Q146" s="74"/>
      <c r="R146" s="64"/>
      <c r="S146" s="75"/>
      <c r="T146" s="76"/>
      <c r="U146" s="78"/>
      <c r="V146" s="78"/>
      <c r="W146" s="64"/>
      <c r="X146" s="64"/>
      <c r="Y146" s="64"/>
      <c r="Z146" s="64"/>
      <c r="AA146" s="67"/>
      <c r="AB146" s="76"/>
      <c r="AC146" s="64"/>
      <c r="AD146" s="79"/>
      <c r="AE146" s="94">
        <f t="shared" si="18"/>
        <v>0</v>
      </c>
      <c r="AF146" s="193">
        <v>10.08</v>
      </c>
      <c r="AG146" s="193">
        <f t="shared" si="19"/>
        <v>0</v>
      </c>
      <c r="AH146" s="193"/>
      <c r="AI146" s="81"/>
      <c r="AJ146" s="201"/>
      <c r="AK146" s="201"/>
    </row>
    <row r="147" ht="15.75" customHeight="1">
      <c r="A147" s="127" t="s">
        <v>45</v>
      </c>
      <c r="B147" s="128"/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9"/>
      <c r="AG147" s="338">
        <f>SUM(AG145:AG146)</f>
        <v>0</v>
      </c>
      <c r="AH147" s="269"/>
      <c r="AI147" s="81"/>
    </row>
    <row r="148" ht="15.75" customHeight="1">
      <c r="A148" s="133" t="s">
        <v>281</v>
      </c>
      <c r="B148" s="134"/>
      <c r="C148" s="134"/>
      <c r="D148" s="134"/>
      <c r="E148" s="134"/>
      <c r="F148" s="134"/>
      <c r="G148" s="134"/>
      <c r="H148" s="134"/>
      <c r="I148" s="134"/>
      <c r="J148" s="134"/>
      <c r="K148" s="134"/>
      <c r="L148" s="134"/>
      <c r="M148" s="134"/>
      <c r="N148" s="134"/>
      <c r="O148" s="134"/>
      <c r="P148" s="134"/>
      <c r="Q148" s="134"/>
      <c r="R148" s="134"/>
      <c r="S148" s="134"/>
      <c r="T148" s="134"/>
      <c r="U148" s="134"/>
      <c r="V148" s="134"/>
      <c r="W148" s="134"/>
      <c r="X148" s="134"/>
      <c r="Y148" s="134"/>
      <c r="Z148" s="134"/>
      <c r="AA148" s="134"/>
      <c r="AB148" s="134"/>
      <c r="AC148" s="134"/>
      <c r="AD148" s="134"/>
      <c r="AE148" s="134"/>
      <c r="AF148" s="134"/>
      <c r="AG148" s="135"/>
      <c r="AH148" s="136"/>
      <c r="AI148" s="81"/>
    </row>
    <row r="149" ht="15.75" customHeight="1">
      <c r="A149" s="341" t="s">
        <v>282</v>
      </c>
      <c r="B149" s="64"/>
      <c r="C149" s="64"/>
      <c r="D149" s="64"/>
      <c r="E149" s="64"/>
      <c r="F149" s="67"/>
      <c r="G149" s="64"/>
      <c r="H149" s="64"/>
      <c r="I149" s="64"/>
      <c r="J149" s="64"/>
      <c r="K149" s="64"/>
      <c r="L149" s="72"/>
      <c r="M149" s="67"/>
      <c r="N149" s="64"/>
      <c r="O149" s="64"/>
      <c r="P149" s="74"/>
      <c r="Q149" s="74"/>
      <c r="R149" s="64"/>
      <c r="S149" s="75"/>
      <c r="T149" s="76"/>
      <c r="U149" s="78"/>
      <c r="V149" s="78"/>
      <c r="W149" s="64"/>
      <c r="X149" s="64"/>
      <c r="Y149" s="64"/>
      <c r="Z149" s="64"/>
      <c r="AA149" s="67"/>
      <c r="AB149" s="76"/>
      <c r="AC149" s="64"/>
      <c r="AD149" s="79"/>
      <c r="AE149" s="342">
        <f>SUM(B149:AD149)</f>
        <v>0</v>
      </c>
      <c r="AF149" s="342">
        <v>500.0</v>
      </c>
      <c r="AG149" s="125">
        <f>AF149*AE149</f>
        <v>0</v>
      </c>
      <c r="AH149" s="125"/>
      <c r="AI149" s="81"/>
    </row>
    <row r="150" ht="15.75" customHeight="1">
      <c r="A150" s="127" t="s">
        <v>45</v>
      </c>
      <c r="B150" s="128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9"/>
      <c r="AG150" s="151">
        <f>AG149</f>
        <v>0</v>
      </c>
      <c r="AH150" s="269"/>
      <c r="AI150" s="81"/>
    </row>
    <row r="151" ht="15.75" customHeight="1">
      <c r="A151" s="343" t="s">
        <v>148</v>
      </c>
      <c r="AH151" s="343"/>
      <c r="AI151" s="81"/>
      <c r="AJ151" s="344"/>
      <c r="AK151" s="344"/>
    </row>
    <row r="152" ht="15.75" customHeight="1">
      <c r="A152" s="345" t="s">
        <v>138</v>
      </c>
      <c r="B152" s="64"/>
      <c r="C152" s="64">
        <v>1.0</v>
      </c>
      <c r="D152" s="64">
        <v>1.0</v>
      </c>
      <c r="E152" s="64"/>
      <c r="F152" s="67"/>
      <c r="G152" s="64">
        <v>1.0</v>
      </c>
      <c r="H152" s="64"/>
      <c r="I152" s="64"/>
      <c r="J152" s="64"/>
      <c r="K152" s="64"/>
      <c r="L152" s="72"/>
      <c r="M152" s="67"/>
      <c r="N152" s="64">
        <v>1.0</v>
      </c>
      <c r="O152" s="64"/>
      <c r="P152" s="74"/>
      <c r="Q152" s="74"/>
      <c r="R152" s="64">
        <v>1.0</v>
      </c>
      <c r="S152" s="75"/>
      <c r="T152" s="76"/>
      <c r="U152" s="78"/>
      <c r="V152" s="78"/>
      <c r="W152" s="64"/>
      <c r="X152" s="64"/>
      <c r="Y152" s="64"/>
      <c r="Z152" s="64"/>
      <c r="AA152" s="67"/>
      <c r="AB152" s="76">
        <v>2.0</v>
      </c>
      <c r="AC152" s="64"/>
      <c r="AD152" s="79">
        <v>1.0</v>
      </c>
      <c r="AE152" s="350">
        <f>SUM(B152:AD152)</f>
        <v>8</v>
      </c>
      <c r="AF152" s="351">
        <v>220.0</v>
      </c>
      <c r="AG152" s="351">
        <f>AE152*AF152</f>
        <v>1760</v>
      </c>
      <c r="AH152" s="351"/>
      <c r="AI152" s="81"/>
      <c r="AJ152" s="344"/>
      <c r="AK152" s="344"/>
    </row>
    <row r="153" ht="21.75" customHeight="1">
      <c r="A153" s="196" t="s">
        <v>45</v>
      </c>
      <c r="B153" s="128"/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9"/>
      <c r="AG153" s="359">
        <f>AG152</f>
        <v>1760</v>
      </c>
      <c r="AH153" s="360"/>
      <c r="AI153" s="81"/>
      <c r="AJ153" s="344"/>
      <c r="AK153" s="344"/>
    </row>
    <row r="154" ht="15.75" customHeight="1">
      <c r="A154" s="361" t="s">
        <v>283</v>
      </c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8"/>
      <c r="AH154" s="136"/>
      <c r="AI154" s="81"/>
    </row>
    <row r="155" ht="15.75" customHeight="1">
      <c r="A155" s="341" t="s">
        <v>284</v>
      </c>
      <c r="B155" s="64"/>
      <c r="C155" s="64"/>
      <c r="D155" s="64"/>
      <c r="E155" s="64"/>
      <c r="F155" s="67"/>
      <c r="G155" s="64"/>
      <c r="H155" s="64"/>
      <c r="I155" s="64"/>
      <c r="J155" s="64"/>
      <c r="K155" s="64"/>
      <c r="L155" s="72"/>
      <c r="M155" s="67"/>
      <c r="N155" s="64"/>
      <c r="O155" s="64"/>
      <c r="P155" s="74"/>
      <c r="Q155" s="74"/>
      <c r="R155" s="64"/>
      <c r="S155" s="75"/>
      <c r="T155" s="76"/>
      <c r="U155" s="78"/>
      <c r="V155" s="78"/>
      <c r="W155" s="64"/>
      <c r="X155" s="64"/>
      <c r="Y155" s="64"/>
      <c r="Z155" s="64"/>
      <c r="AA155" s="67"/>
      <c r="AB155" s="76"/>
      <c r="AC155" s="64"/>
      <c r="AD155" s="79"/>
      <c r="AE155" s="342">
        <f>SUM(B155:AD155)</f>
        <v>0</v>
      </c>
      <c r="AF155" s="342">
        <v>350.0</v>
      </c>
      <c r="AG155" s="193">
        <f>AF155*AE155</f>
        <v>0</v>
      </c>
      <c r="AH155" s="193"/>
      <c r="AI155" s="81"/>
    </row>
    <row r="156" ht="15.75" customHeight="1">
      <c r="A156" s="127" t="s">
        <v>45</v>
      </c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9"/>
      <c r="AG156" s="365">
        <f>AG155</f>
        <v>0</v>
      </c>
      <c r="AH156" s="366"/>
      <c r="AI156" s="81"/>
    </row>
    <row r="157" ht="15.75" customHeight="1">
      <c r="A157" s="133" t="s">
        <v>285</v>
      </c>
      <c r="B157" s="134"/>
      <c r="C157" s="134"/>
      <c r="D157" s="134"/>
      <c r="E157" s="134"/>
      <c r="F157" s="134"/>
      <c r="G157" s="134"/>
      <c r="H157" s="134"/>
      <c r="I157" s="134"/>
      <c r="J157" s="134"/>
      <c r="K157" s="134"/>
      <c r="L157" s="134"/>
      <c r="M157" s="134"/>
      <c r="N157" s="134"/>
      <c r="O157" s="134"/>
      <c r="P157" s="134"/>
      <c r="Q157" s="134"/>
      <c r="R157" s="134"/>
      <c r="S157" s="134"/>
      <c r="T157" s="134"/>
      <c r="U157" s="134"/>
      <c r="V157" s="134"/>
      <c r="W157" s="134"/>
      <c r="X157" s="134"/>
      <c r="Y157" s="134"/>
      <c r="Z157" s="134"/>
      <c r="AA157" s="134"/>
      <c r="AB157" s="134"/>
      <c r="AC157" s="134"/>
      <c r="AD157" s="134"/>
      <c r="AE157" s="134"/>
      <c r="AF157" s="134"/>
      <c r="AG157" s="135"/>
      <c r="AH157" s="136"/>
      <c r="AI157" s="81"/>
    </row>
    <row r="158" ht="15.75" customHeight="1">
      <c r="A158" s="368" t="s">
        <v>286</v>
      </c>
      <c r="B158" s="369"/>
      <c r="C158" s="370">
        <v>6.0</v>
      </c>
      <c r="D158" s="371"/>
      <c r="E158" s="371"/>
      <c r="F158" s="372"/>
      <c r="G158" s="373">
        <v>1.0</v>
      </c>
      <c r="H158" s="371"/>
      <c r="I158" s="370">
        <v>6.0</v>
      </c>
      <c r="J158" s="371"/>
      <c r="K158" s="371"/>
      <c r="L158" s="374"/>
      <c r="M158" s="372"/>
      <c r="N158" s="371"/>
      <c r="O158" s="370">
        <v>2.0</v>
      </c>
      <c r="P158" s="375"/>
      <c r="Q158" s="375"/>
      <c r="R158" s="371"/>
      <c r="S158" s="376"/>
      <c r="T158" s="377"/>
      <c r="U158" s="378"/>
      <c r="V158" s="378"/>
      <c r="W158" s="371"/>
      <c r="X158" s="371"/>
      <c r="Y158" s="371"/>
      <c r="Z158" s="371"/>
      <c r="AA158" s="372"/>
      <c r="AB158" s="379">
        <v>1.0</v>
      </c>
      <c r="AC158" s="371"/>
      <c r="AD158" s="380"/>
      <c r="AE158" s="342">
        <f>SUM(B158:AD158)</f>
        <v>16</v>
      </c>
      <c r="AF158" s="342">
        <v>350.0</v>
      </c>
      <c r="AG158" s="194">
        <f>AF158*AE158</f>
        <v>5600</v>
      </c>
      <c r="AH158" s="194"/>
      <c r="AI158" s="81"/>
    </row>
    <row r="159" ht="21.75" customHeight="1">
      <c r="A159" s="196" t="s">
        <v>45</v>
      </c>
      <c r="B159" s="128"/>
      <c r="C159" s="128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9"/>
      <c r="AG159" s="151">
        <f>AG158</f>
        <v>5600</v>
      </c>
      <c r="AH159" s="269"/>
      <c r="AI159" s="81"/>
    </row>
    <row r="160" ht="15.75" customHeight="1">
      <c r="A160" s="383" t="s">
        <v>287</v>
      </c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8"/>
      <c r="AH160" s="384"/>
      <c r="AI160" s="81"/>
    </row>
    <row r="161" ht="15.75" customHeight="1">
      <c r="A161" s="385" t="s">
        <v>213</v>
      </c>
      <c r="B161" s="64"/>
      <c r="C161" s="64">
        <v>1.0</v>
      </c>
      <c r="D161" s="64"/>
      <c r="E161" s="64"/>
      <c r="F161" s="67"/>
      <c r="G161" s="64"/>
      <c r="H161" s="64"/>
      <c r="I161" s="64"/>
      <c r="J161" s="64"/>
      <c r="K161" s="64"/>
      <c r="L161" s="72"/>
      <c r="M161" s="67"/>
      <c r="N161" s="64"/>
      <c r="O161" s="64"/>
      <c r="P161" s="74"/>
      <c r="Q161" s="74"/>
      <c r="R161" s="64"/>
      <c r="S161" s="75"/>
      <c r="T161" s="76"/>
      <c r="U161" s="78"/>
      <c r="V161" s="78"/>
      <c r="W161" s="64"/>
      <c r="X161" s="64"/>
      <c r="Y161" s="64"/>
      <c r="Z161" s="64"/>
      <c r="AA161" s="67"/>
      <c r="AB161" s="76"/>
      <c r="AC161" s="64">
        <v>1.0</v>
      </c>
      <c r="AD161" s="79"/>
      <c r="AE161" s="93">
        <f t="shared" ref="AE161:AE166" si="20">SUM(B161:AD161)</f>
        <v>2</v>
      </c>
      <c r="AF161" s="138">
        <v>1450.0</v>
      </c>
      <c r="AG161" s="94">
        <f t="shared" ref="AG161:AG166" si="21">AF161*AE161</f>
        <v>2900</v>
      </c>
      <c r="AH161" s="150" t="s">
        <v>288</v>
      </c>
      <c r="AI161" s="81"/>
    </row>
    <row r="162" ht="15.75" customHeight="1">
      <c r="A162" s="388" t="s">
        <v>210</v>
      </c>
      <c r="B162" s="64">
        <v>3.0</v>
      </c>
      <c r="C162" s="64"/>
      <c r="D162" s="64"/>
      <c r="E162" s="64">
        <v>2.0</v>
      </c>
      <c r="F162" s="67"/>
      <c r="G162" s="64"/>
      <c r="H162" s="64"/>
      <c r="I162" s="64"/>
      <c r="J162" s="64"/>
      <c r="K162" s="64">
        <v>2.0</v>
      </c>
      <c r="L162" s="72"/>
      <c r="M162" s="67"/>
      <c r="N162" s="64">
        <v>1.0</v>
      </c>
      <c r="O162" s="64"/>
      <c r="P162" s="74"/>
      <c r="Q162" s="74"/>
      <c r="R162" s="64"/>
      <c r="S162" s="75"/>
      <c r="T162" s="76"/>
      <c r="U162" s="78"/>
      <c r="V162" s="78"/>
      <c r="W162" s="64"/>
      <c r="X162" s="64"/>
      <c r="Y162" s="64">
        <v>1.0</v>
      </c>
      <c r="Z162" s="64"/>
      <c r="AA162" s="67"/>
      <c r="AB162" s="76"/>
      <c r="AC162" s="64"/>
      <c r="AD162" s="79"/>
      <c r="AE162" s="93">
        <f t="shared" si="20"/>
        <v>9</v>
      </c>
      <c r="AF162" s="389">
        <v>700.0</v>
      </c>
      <c r="AG162" s="94">
        <f t="shared" si="21"/>
        <v>6300</v>
      </c>
      <c r="AH162" s="81"/>
      <c r="AI162" s="81"/>
    </row>
    <row r="163" ht="15.75" customHeight="1">
      <c r="A163" s="244" t="s">
        <v>215</v>
      </c>
      <c r="B163" s="64">
        <v>1.0</v>
      </c>
      <c r="C163" s="64"/>
      <c r="D163" s="64"/>
      <c r="E163" s="64">
        <v>1.0</v>
      </c>
      <c r="F163" s="67"/>
      <c r="G163" s="64"/>
      <c r="H163" s="64"/>
      <c r="I163" s="64"/>
      <c r="J163" s="64"/>
      <c r="K163" s="64"/>
      <c r="L163" s="72"/>
      <c r="M163" s="67"/>
      <c r="N163" s="64"/>
      <c r="O163" s="64">
        <v>2.0</v>
      </c>
      <c r="P163" s="74"/>
      <c r="Q163" s="74"/>
      <c r="R163" s="64"/>
      <c r="S163" s="75"/>
      <c r="T163" s="76"/>
      <c r="U163" s="78"/>
      <c r="V163" s="78"/>
      <c r="W163" s="64"/>
      <c r="X163" s="64">
        <v>1.0</v>
      </c>
      <c r="Y163" s="64"/>
      <c r="Z163" s="64"/>
      <c r="AA163" s="67"/>
      <c r="AB163" s="76"/>
      <c r="AC163" s="64">
        <v>2.0</v>
      </c>
      <c r="AD163" s="79"/>
      <c r="AE163" s="93">
        <f t="shared" si="20"/>
        <v>7</v>
      </c>
      <c r="AF163" s="390">
        <v>800.0</v>
      </c>
      <c r="AG163" s="125">
        <f t="shared" si="21"/>
        <v>5600</v>
      </c>
      <c r="AH163" s="81"/>
      <c r="AI163" s="81"/>
    </row>
    <row r="164" ht="15.75" customHeight="1">
      <c r="A164" s="244" t="s">
        <v>217</v>
      </c>
      <c r="B164" s="64">
        <v>1.0</v>
      </c>
      <c r="C164" s="64">
        <v>1.0</v>
      </c>
      <c r="D164" s="64"/>
      <c r="E164" s="64">
        <v>4.0</v>
      </c>
      <c r="F164" s="67"/>
      <c r="G164" s="64">
        <v>1.0</v>
      </c>
      <c r="H164" s="64">
        <v>1.0</v>
      </c>
      <c r="I164" s="64"/>
      <c r="J164" s="64"/>
      <c r="K164" s="64"/>
      <c r="L164" s="72"/>
      <c r="M164" s="67"/>
      <c r="N164" s="64"/>
      <c r="O164" s="64">
        <v>1.0</v>
      </c>
      <c r="P164" s="74"/>
      <c r="Q164" s="74"/>
      <c r="R164" s="64"/>
      <c r="S164" s="75"/>
      <c r="T164" s="76"/>
      <c r="U164" s="78"/>
      <c r="V164" s="78"/>
      <c r="W164" s="64">
        <v>1.0</v>
      </c>
      <c r="X164" s="64"/>
      <c r="Y164" s="64">
        <v>1.0</v>
      </c>
      <c r="Z164" s="64">
        <v>2.0</v>
      </c>
      <c r="AA164" s="67"/>
      <c r="AB164" s="76"/>
      <c r="AC164" s="64">
        <v>2.0</v>
      </c>
      <c r="AD164" s="79"/>
      <c r="AE164" s="93">
        <f t="shared" si="20"/>
        <v>15</v>
      </c>
      <c r="AF164" s="138">
        <v>800.0</v>
      </c>
      <c r="AG164" s="125">
        <f t="shared" si="21"/>
        <v>12000</v>
      </c>
      <c r="AH164" s="81"/>
      <c r="AI164" s="81"/>
    </row>
    <row r="165" ht="15.75" customHeight="1">
      <c r="A165" s="244" t="s">
        <v>221</v>
      </c>
      <c r="B165" s="64"/>
      <c r="C165" s="64"/>
      <c r="D165" s="64"/>
      <c r="E165" s="64">
        <v>4.0</v>
      </c>
      <c r="F165" s="67"/>
      <c r="G165" s="64">
        <v>3.0</v>
      </c>
      <c r="H165" s="64"/>
      <c r="I165" s="64"/>
      <c r="J165" s="64">
        <v>1.0</v>
      </c>
      <c r="K165" s="64">
        <v>1.0</v>
      </c>
      <c r="L165" s="72"/>
      <c r="M165" s="67"/>
      <c r="N165" s="64">
        <v>2.0</v>
      </c>
      <c r="O165" s="64">
        <v>1.0</v>
      </c>
      <c r="P165" s="74"/>
      <c r="Q165" s="74"/>
      <c r="R165" s="64">
        <v>2.0</v>
      </c>
      <c r="S165" s="75"/>
      <c r="T165" s="76">
        <v>3.0</v>
      </c>
      <c r="U165" s="78"/>
      <c r="V165" s="78"/>
      <c r="W165" s="64">
        <v>1.0</v>
      </c>
      <c r="X165" s="64"/>
      <c r="Y165" s="64"/>
      <c r="Z165" s="64"/>
      <c r="AA165" s="67"/>
      <c r="AB165" s="76"/>
      <c r="AC165" s="64">
        <v>9.0</v>
      </c>
      <c r="AD165" s="79"/>
      <c r="AE165" s="93">
        <f t="shared" si="20"/>
        <v>27</v>
      </c>
      <c r="AF165" s="138">
        <v>180.0</v>
      </c>
      <c r="AG165" s="94">
        <f t="shared" si="21"/>
        <v>4860</v>
      </c>
      <c r="AH165" s="81"/>
      <c r="AI165" s="81"/>
    </row>
    <row r="166" ht="15.75" customHeight="1">
      <c r="A166" s="265" t="s">
        <v>222</v>
      </c>
      <c r="B166" s="64">
        <v>4.0</v>
      </c>
      <c r="C166" s="64">
        <v>7.0</v>
      </c>
      <c r="D166" s="64">
        <v>33.0</v>
      </c>
      <c r="E166" s="64"/>
      <c r="F166" s="67"/>
      <c r="G166" s="64"/>
      <c r="H166" s="64"/>
      <c r="I166" s="64"/>
      <c r="J166" s="64"/>
      <c r="K166" s="64"/>
      <c r="L166" s="72"/>
      <c r="M166" s="67"/>
      <c r="N166" s="64"/>
      <c r="O166" s="64">
        <v>5.0</v>
      </c>
      <c r="P166" s="74"/>
      <c r="Q166" s="74"/>
      <c r="R166" s="64">
        <v>3.0</v>
      </c>
      <c r="S166" s="75"/>
      <c r="T166" s="76">
        <v>15.0</v>
      </c>
      <c r="U166" s="78"/>
      <c r="V166" s="78"/>
      <c r="W166" s="64">
        <v>46.0</v>
      </c>
      <c r="X166" s="64">
        <v>1.0</v>
      </c>
      <c r="Y166" s="64">
        <v>2.0</v>
      </c>
      <c r="Z166" s="64">
        <v>2.0</v>
      </c>
      <c r="AA166" s="67"/>
      <c r="AB166" s="76"/>
      <c r="AC166" s="64">
        <v>6.0</v>
      </c>
      <c r="AD166" s="79"/>
      <c r="AE166" s="149">
        <f t="shared" si="20"/>
        <v>124</v>
      </c>
      <c r="AF166" s="150">
        <v>260.0</v>
      </c>
      <c r="AG166" s="125">
        <f t="shared" si="21"/>
        <v>32240</v>
      </c>
      <c r="AH166" s="91"/>
      <c r="AI166" s="81"/>
    </row>
    <row r="167" ht="19.5" customHeight="1">
      <c r="A167" s="196" t="s">
        <v>45</v>
      </c>
      <c r="B167" s="128"/>
      <c r="C167" s="128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9"/>
      <c r="AG167" s="151">
        <f>SUM(AG161:AG166)</f>
        <v>63900</v>
      </c>
      <c r="AH167" s="269"/>
      <c r="AI167" s="81"/>
    </row>
    <row r="168" ht="18.0" customHeight="1">
      <c r="A168" s="391" t="s">
        <v>223</v>
      </c>
      <c r="B168" s="275"/>
      <c r="C168" s="275"/>
      <c r="D168" s="275"/>
      <c r="E168" s="275"/>
      <c r="F168" s="275"/>
      <c r="G168" s="275"/>
      <c r="H168" s="275"/>
      <c r="I168" s="275"/>
      <c r="J168" s="275"/>
      <c r="K168" s="275"/>
      <c r="L168" s="275"/>
      <c r="M168" s="275"/>
      <c r="N168" s="275"/>
      <c r="O168" s="275"/>
      <c r="P168" s="275"/>
      <c r="Q168" s="275"/>
      <c r="R168" s="275"/>
      <c r="S168" s="275"/>
      <c r="T168" s="275"/>
      <c r="U168" s="275"/>
      <c r="V168" s="275"/>
      <c r="W168" s="275"/>
      <c r="X168" s="275"/>
      <c r="Y168" s="275"/>
      <c r="Z168" s="275"/>
      <c r="AA168" s="275"/>
      <c r="AB168" s="275"/>
      <c r="AC168" s="275"/>
      <c r="AD168" s="275"/>
      <c r="AE168" s="275"/>
      <c r="AF168" s="275"/>
      <c r="AG168" s="276"/>
      <c r="AH168" s="392"/>
      <c r="AI168" s="81"/>
    </row>
    <row r="169" ht="15.75" customHeight="1">
      <c r="A169" s="393" t="s">
        <v>224</v>
      </c>
      <c r="B169" s="394">
        <v>3.0</v>
      </c>
      <c r="C169" s="394"/>
      <c r="D169" s="394">
        <v>4.0</v>
      </c>
      <c r="E169" s="394">
        <v>5.0</v>
      </c>
      <c r="F169" s="395"/>
      <c r="G169" s="394">
        <v>2.0</v>
      </c>
      <c r="H169" s="394">
        <v>4.0</v>
      </c>
      <c r="I169" s="394">
        <v>4.0</v>
      </c>
      <c r="J169" s="394">
        <v>9.0</v>
      </c>
      <c r="K169" s="394">
        <v>7.0</v>
      </c>
      <c r="L169" s="396"/>
      <c r="M169" s="395"/>
      <c r="N169" s="394">
        <v>2.0</v>
      </c>
      <c r="O169" s="394">
        <v>4.0</v>
      </c>
      <c r="P169" s="397"/>
      <c r="Q169" s="397"/>
      <c r="R169" s="394">
        <v>1.0</v>
      </c>
      <c r="S169" s="398"/>
      <c r="T169" s="399">
        <v>1.0</v>
      </c>
      <c r="U169" s="400"/>
      <c r="V169" s="400"/>
      <c r="W169" s="394">
        <v>1.0</v>
      </c>
      <c r="X169" s="394">
        <v>3.0</v>
      </c>
      <c r="Y169" s="394">
        <v>4.0</v>
      </c>
      <c r="Z169" s="394">
        <v>5.0</v>
      </c>
      <c r="AA169" s="395"/>
      <c r="AB169" s="399"/>
      <c r="AC169" s="394">
        <v>5.0</v>
      </c>
      <c r="AD169" s="401"/>
      <c r="AE169" s="394">
        <f t="shared" ref="AE169:AE170" si="22">SUM(B169:AD169)</f>
        <v>64</v>
      </c>
      <c r="AF169" s="402">
        <v>325.0</v>
      </c>
      <c r="AG169" s="402">
        <f t="shared" ref="AG169:AG170" si="23">AF169*AE169</f>
        <v>20800</v>
      </c>
      <c r="AH169" s="403" t="s">
        <v>289</v>
      </c>
      <c r="AI169" s="81"/>
    </row>
    <row r="170" ht="15.75" customHeight="1">
      <c r="A170" s="404" t="s">
        <v>226</v>
      </c>
      <c r="B170" s="405">
        <v>8.0</v>
      </c>
      <c r="C170" s="405">
        <v>3.0</v>
      </c>
      <c r="D170" s="405"/>
      <c r="E170" s="405"/>
      <c r="F170" s="406"/>
      <c r="G170" s="405"/>
      <c r="H170" s="405"/>
      <c r="I170" s="405"/>
      <c r="J170" s="405">
        <v>2.0</v>
      </c>
      <c r="K170" s="405">
        <v>1.0</v>
      </c>
      <c r="L170" s="407"/>
      <c r="M170" s="406"/>
      <c r="N170" s="405">
        <v>1.0</v>
      </c>
      <c r="O170" s="405">
        <v>3.0</v>
      </c>
      <c r="P170" s="408"/>
      <c r="Q170" s="408"/>
      <c r="R170" s="405">
        <v>2.0</v>
      </c>
      <c r="S170" s="409"/>
      <c r="T170" s="410"/>
      <c r="U170" s="411"/>
      <c r="V170" s="411"/>
      <c r="W170" s="405"/>
      <c r="X170" s="405">
        <v>3.0</v>
      </c>
      <c r="Y170" s="405">
        <v>1.0</v>
      </c>
      <c r="Z170" s="405">
        <v>1.0</v>
      </c>
      <c r="AA170" s="406"/>
      <c r="AB170" s="410">
        <v>3.0</v>
      </c>
      <c r="AC170" s="405">
        <v>3.0</v>
      </c>
      <c r="AD170" s="412">
        <v>3.0</v>
      </c>
      <c r="AE170" s="405">
        <f t="shared" si="22"/>
        <v>34</v>
      </c>
      <c r="AF170" s="403">
        <v>485.0</v>
      </c>
      <c r="AG170" s="403">
        <f t="shared" si="23"/>
        <v>16490</v>
      </c>
      <c r="AH170" s="91"/>
      <c r="AI170" s="81"/>
    </row>
    <row r="171" ht="19.5" customHeight="1">
      <c r="A171" s="413" t="s">
        <v>45</v>
      </c>
      <c r="B171" s="414"/>
      <c r="C171" s="414"/>
      <c r="D171" s="414"/>
      <c r="E171" s="414"/>
      <c r="F171" s="414"/>
      <c r="G171" s="414"/>
      <c r="H171" s="414"/>
      <c r="I171" s="414"/>
      <c r="J171" s="414"/>
      <c r="K171" s="414"/>
      <c r="L171" s="414"/>
      <c r="M171" s="414"/>
      <c r="N171" s="414"/>
      <c r="O171" s="414"/>
      <c r="P171" s="414"/>
      <c r="Q171" s="414"/>
      <c r="R171" s="414"/>
      <c r="S171" s="414"/>
      <c r="T171" s="414"/>
      <c r="U171" s="414"/>
      <c r="V171" s="414"/>
      <c r="W171" s="414"/>
      <c r="X171" s="414"/>
      <c r="Y171" s="414"/>
      <c r="Z171" s="414"/>
      <c r="AA171" s="414"/>
      <c r="AB171" s="414"/>
      <c r="AC171" s="414"/>
      <c r="AD171" s="414"/>
      <c r="AE171" s="414"/>
      <c r="AF171" s="415"/>
      <c r="AG171" s="416">
        <f>SUM(AG169:AG170)</f>
        <v>37290</v>
      </c>
      <c r="AH171" s="417"/>
      <c r="AI171" s="81"/>
    </row>
    <row r="172" ht="18.0" customHeight="1">
      <c r="A172" s="418" t="s">
        <v>230</v>
      </c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97"/>
      <c r="AH172" s="419"/>
      <c r="AI172" s="81"/>
    </row>
    <row r="173" ht="15.75" customHeight="1">
      <c r="A173" s="420" t="s">
        <v>231</v>
      </c>
      <c r="B173" s="421">
        <v>2.0</v>
      </c>
      <c r="C173" s="421">
        <v>1.0</v>
      </c>
      <c r="D173" s="421"/>
      <c r="E173" s="421">
        <v>6.0</v>
      </c>
      <c r="F173" s="422"/>
      <c r="G173" s="421">
        <v>1.0</v>
      </c>
      <c r="H173" s="421">
        <v>5.0</v>
      </c>
      <c r="I173" s="421"/>
      <c r="J173" s="421">
        <v>3.0</v>
      </c>
      <c r="K173" s="421">
        <v>3.0</v>
      </c>
      <c r="L173" s="423"/>
      <c r="M173" s="422"/>
      <c r="N173" s="421">
        <v>1.0</v>
      </c>
      <c r="O173" s="421">
        <v>1.0</v>
      </c>
      <c r="P173" s="424"/>
      <c r="Q173" s="424"/>
      <c r="R173" s="421">
        <v>1.0</v>
      </c>
      <c r="S173" s="425"/>
      <c r="T173" s="426"/>
      <c r="U173" s="427"/>
      <c r="V173" s="427"/>
      <c r="W173" s="421">
        <v>2.0</v>
      </c>
      <c r="X173" s="421"/>
      <c r="Y173" s="421"/>
      <c r="Z173" s="421">
        <v>2.0</v>
      </c>
      <c r="AA173" s="422"/>
      <c r="AB173" s="426">
        <v>2.0</v>
      </c>
      <c r="AC173" s="421">
        <v>1.0</v>
      </c>
      <c r="AD173" s="428">
        <v>4.0</v>
      </c>
      <c r="AE173" s="421">
        <f t="shared" ref="AE173:AE174" si="24">SUM(B173:AD173)</f>
        <v>35</v>
      </c>
      <c r="AF173" s="429">
        <v>1150.0</v>
      </c>
      <c r="AG173" s="402">
        <f t="shared" ref="AG173:AG174" si="25">AF173*AE173</f>
        <v>40250</v>
      </c>
      <c r="AH173" s="402"/>
      <c r="AI173" s="81"/>
    </row>
    <row r="174" ht="15.75" customHeight="1">
      <c r="A174" s="404" t="s">
        <v>233</v>
      </c>
      <c r="B174" s="405">
        <v>5.0</v>
      </c>
      <c r="C174" s="405">
        <v>2.0</v>
      </c>
      <c r="D174" s="405">
        <v>6.0</v>
      </c>
      <c r="E174" s="405">
        <v>5.0</v>
      </c>
      <c r="F174" s="406"/>
      <c r="G174" s="405">
        <v>3.0</v>
      </c>
      <c r="H174" s="405">
        <v>3.0</v>
      </c>
      <c r="I174" s="405">
        <v>1.0</v>
      </c>
      <c r="J174" s="405">
        <v>1.0</v>
      </c>
      <c r="K174" s="405">
        <v>6.0</v>
      </c>
      <c r="L174" s="407"/>
      <c r="M174" s="406"/>
      <c r="N174" s="405">
        <v>4.0</v>
      </c>
      <c r="O174" s="405">
        <v>2.0</v>
      </c>
      <c r="P174" s="408"/>
      <c r="Q174" s="408"/>
      <c r="R174" s="405">
        <v>7.0</v>
      </c>
      <c r="S174" s="409"/>
      <c r="T174" s="410">
        <v>22.0</v>
      </c>
      <c r="U174" s="411"/>
      <c r="V174" s="411"/>
      <c r="W174" s="405">
        <v>3.0</v>
      </c>
      <c r="X174" s="405">
        <v>5.0</v>
      </c>
      <c r="Y174" s="405">
        <v>3.0</v>
      </c>
      <c r="Z174" s="405">
        <v>7.0</v>
      </c>
      <c r="AA174" s="406"/>
      <c r="AB174" s="410">
        <v>5.0</v>
      </c>
      <c r="AC174" s="405">
        <v>2.0</v>
      </c>
      <c r="AD174" s="412">
        <v>1.0</v>
      </c>
      <c r="AE174" s="405">
        <f t="shared" si="24"/>
        <v>93</v>
      </c>
      <c r="AF174" s="403">
        <v>1250.0</v>
      </c>
      <c r="AG174" s="403">
        <f t="shared" si="25"/>
        <v>116250</v>
      </c>
      <c r="AH174" s="403"/>
      <c r="AI174" s="81"/>
    </row>
    <row r="175" ht="21.0" customHeight="1">
      <c r="A175" s="196" t="s">
        <v>45</v>
      </c>
      <c r="B175" s="128"/>
      <c r="C175" s="128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9"/>
      <c r="AG175" s="430">
        <f>SUM(AG173:AG174)</f>
        <v>156500</v>
      </c>
      <c r="AH175" s="417"/>
      <c r="AI175" s="81"/>
    </row>
    <row r="176" ht="15.75" customHeight="1">
      <c r="A176" s="361" t="s">
        <v>290</v>
      </c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8"/>
      <c r="AH176" s="136"/>
      <c r="AI176" s="81"/>
    </row>
    <row r="177" ht="15.75" customHeight="1">
      <c r="A177" s="116" t="s">
        <v>199</v>
      </c>
      <c r="B177" s="64"/>
      <c r="C177" s="64"/>
      <c r="D177" s="64"/>
      <c r="E177" s="64"/>
      <c r="F177" s="67"/>
      <c r="G177" s="64"/>
      <c r="H177" s="64"/>
      <c r="I177" s="64"/>
      <c r="J177" s="64"/>
      <c r="K177" s="64"/>
      <c r="L177" s="72"/>
      <c r="M177" s="67"/>
      <c r="N177" s="64"/>
      <c r="O177" s="64"/>
      <c r="P177" s="74"/>
      <c r="Q177" s="74"/>
      <c r="R177" s="64"/>
      <c r="S177" s="75"/>
      <c r="T177" s="76"/>
      <c r="U177" s="78"/>
      <c r="V177" s="78"/>
      <c r="W177" s="64"/>
      <c r="X177" s="64"/>
      <c r="Y177" s="64"/>
      <c r="Z177" s="64"/>
      <c r="AA177" s="67"/>
      <c r="AB177" s="76"/>
      <c r="AC177" s="64"/>
      <c r="AD177" s="79"/>
      <c r="AE177" s="93">
        <f t="shared" ref="AE177:AE190" si="26">SUM(B177:AD177)</f>
        <v>0</v>
      </c>
      <c r="AF177" s="94">
        <v>90.0</v>
      </c>
      <c r="AG177" s="94">
        <f t="shared" ref="AG177:AG190" si="27">AF177*AE177</f>
        <v>0</v>
      </c>
      <c r="AH177" s="150" t="s">
        <v>291</v>
      </c>
      <c r="AI177" s="81"/>
    </row>
    <row r="178" ht="15.75" customHeight="1">
      <c r="A178" s="431" t="s">
        <v>292</v>
      </c>
      <c r="B178" s="64"/>
      <c r="C178" s="64"/>
      <c r="D178" s="64"/>
      <c r="E178" s="64"/>
      <c r="F178" s="67"/>
      <c r="G178" s="64"/>
      <c r="H178" s="64"/>
      <c r="I178" s="64"/>
      <c r="J178" s="64"/>
      <c r="K178" s="64"/>
      <c r="L178" s="72"/>
      <c r="M178" s="67"/>
      <c r="N178" s="64"/>
      <c r="O178" s="64"/>
      <c r="P178" s="74"/>
      <c r="Q178" s="74"/>
      <c r="R178" s="64"/>
      <c r="S178" s="75"/>
      <c r="T178" s="76"/>
      <c r="U178" s="78"/>
      <c r="V178" s="78"/>
      <c r="W178" s="64"/>
      <c r="X178" s="64"/>
      <c r="Y178" s="64"/>
      <c r="Z178" s="64"/>
      <c r="AA178" s="67"/>
      <c r="AB178" s="76"/>
      <c r="AC178" s="64"/>
      <c r="AD178" s="79"/>
      <c r="AE178" s="93">
        <f t="shared" si="26"/>
        <v>0</v>
      </c>
      <c r="AF178" s="389">
        <v>700.0</v>
      </c>
      <c r="AG178" s="94">
        <f t="shared" si="27"/>
        <v>0</v>
      </c>
      <c r="AH178" s="81"/>
      <c r="AI178" s="81"/>
    </row>
    <row r="179" ht="15.75" customHeight="1">
      <c r="A179" s="431" t="s">
        <v>293</v>
      </c>
      <c r="B179" s="64"/>
      <c r="C179" s="64"/>
      <c r="D179" s="64"/>
      <c r="E179" s="64"/>
      <c r="F179" s="67"/>
      <c r="G179" s="64"/>
      <c r="H179" s="64"/>
      <c r="I179" s="64"/>
      <c r="J179" s="64"/>
      <c r="K179" s="64"/>
      <c r="L179" s="72"/>
      <c r="M179" s="67"/>
      <c r="N179" s="64"/>
      <c r="O179" s="64"/>
      <c r="P179" s="74"/>
      <c r="Q179" s="74"/>
      <c r="R179" s="64"/>
      <c r="S179" s="75"/>
      <c r="T179" s="76"/>
      <c r="U179" s="78"/>
      <c r="V179" s="78"/>
      <c r="W179" s="64"/>
      <c r="X179" s="64"/>
      <c r="Y179" s="64"/>
      <c r="Z179" s="64"/>
      <c r="AA179" s="67"/>
      <c r="AB179" s="76"/>
      <c r="AC179" s="64"/>
      <c r="AD179" s="79"/>
      <c r="AE179" s="93">
        <f t="shared" si="26"/>
        <v>0</v>
      </c>
      <c r="AF179" s="389">
        <v>1500.0</v>
      </c>
      <c r="AG179" s="94">
        <f t="shared" si="27"/>
        <v>0</v>
      </c>
      <c r="AH179" s="81"/>
      <c r="AI179" s="81"/>
    </row>
    <row r="180" ht="15.75" customHeight="1">
      <c r="A180" s="432" t="s">
        <v>198</v>
      </c>
      <c r="B180" s="64"/>
      <c r="C180" s="64"/>
      <c r="D180" s="64"/>
      <c r="E180" s="64"/>
      <c r="F180" s="67"/>
      <c r="G180" s="64"/>
      <c r="H180" s="64"/>
      <c r="I180" s="64"/>
      <c r="J180" s="64"/>
      <c r="K180" s="64"/>
      <c r="L180" s="72"/>
      <c r="M180" s="67"/>
      <c r="N180" s="64"/>
      <c r="O180" s="64"/>
      <c r="P180" s="74"/>
      <c r="Q180" s="74"/>
      <c r="R180" s="64"/>
      <c r="S180" s="75"/>
      <c r="T180" s="76">
        <v>13.0</v>
      </c>
      <c r="U180" s="78"/>
      <c r="V180" s="78"/>
      <c r="W180" s="64"/>
      <c r="X180" s="64">
        <v>1.0</v>
      </c>
      <c r="Y180" s="64"/>
      <c r="Z180" s="64"/>
      <c r="AA180" s="67"/>
      <c r="AB180" s="76">
        <v>1.0</v>
      </c>
      <c r="AC180" s="64">
        <v>2.0</v>
      </c>
      <c r="AD180" s="79"/>
      <c r="AE180" s="93">
        <f t="shared" si="26"/>
        <v>17</v>
      </c>
      <c r="AF180" s="389">
        <v>90.0</v>
      </c>
      <c r="AG180" s="94">
        <f t="shared" si="27"/>
        <v>1530</v>
      </c>
      <c r="AH180" s="81"/>
      <c r="AI180" s="81"/>
    </row>
    <row r="181" ht="15.75" customHeight="1">
      <c r="A181" s="432" t="s">
        <v>201</v>
      </c>
      <c r="B181" s="64"/>
      <c r="C181" s="64"/>
      <c r="D181" s="64"/>
      <c r="E181" s="64"/>
      <c r="F181" s="67"/>
      <c r="G181" s="64"/>
      <c r="H181" s="64"/>
      <c r="I181" s="64"/>
      <c r="J181" s="64"/>
      <c r="K181" s="64"/>
      <c r="L181" s="72"/>
      <c r="M181" s="67"/>
      <c r="N181" s="64"/>
      <c r="O181" s="64"/>
      <c r="P181" s="74"/>
      <c r="Q181" s="74"/>
      <c r="R181" s="64"/>
      <c r="S181" s="75"/>
      <c r="T181" s="76">
        <v>27.0</v>
      </c>
      <c r="U181" s="78"/>
      <c r="V181" s="78"/>
      <c r="W181" s="64"/>
      <c r="X181" s="64">
        <v>2.0</v>
      </c>
      <c r="Y181" s="64">
        <v>3.0</v>
      </c>
      <c r="Z181" s="64"/>
      <c r="AA181" s="67"/>
      <c r="AB181" s="76">
        <v>5.0</v>
      </c>
      <c r="AC181" s="64">
        <v>5.0</v>
      </c>
      <c r="AD181" s="79">
        <v>3.0</v>
      </c>
      <c r="AE181" s="93">
        <f t="shared" si="26"/>
        <v>45</v>
      </c>
      <c r="AF181" s="389">
        <v>200.0</v>
      </c>
      <c r="AG181" s="94">
        <f t="shared" si="27"/>
        <v>9000</v>
      </c>
      <c r="AH181" s="81"/>
      <c r="AI181" s="81"/>
    </row>
    <row r="182" ht="15.75" customHeight="1">
      <c r="A182" s="432" t="s">
        <v>196</v>
      </c>
      <c r="B182" s="64"/>
      <c r="C182" s="64"/>
      <c r="D182" s="64"/>
      <c r="E182" s="64"/>
      <c r="F182" s="67"/>
      <c r="G182" s="64"/>
      <c r="H182" s="64"/>
      <c r="I182" s="64"/>
      <c r="J182" s="64"/>
      <c r="K182" s="64"/>
      <c r="L182" s="72"/>
      <c r="M182" s="67"/>
      <c r="N182" s="64"/>
      <c r="O182" s="64"/>
      <c r="P182" s="74"/>
      <c r="Q182" s="74"/>
      <c r="R182" s="64"/>
      <c r="S182" s="75"/>
      <c r="T182" s="76"/>
      <c r="U182" s="78"/>
      <c r="V182" s="78"/>
      <c r="W182" s="64"/>
      <c r="X182" s="64"/>
      <c r="Y182" s="64"/>
      <c r="Z182" s="64"/>
      <c r="AA182" s="67"/>
      <c r="AB182" s="76"/>
      <c r="AC182" s="64"/>
      <c r="AD182" s="79"/>
      <c r="AE182" s="93">
        <f t="shared" si="26"/>
        <v>0</v>
      </c>
      <c r="AF182" s="389">
        <v>90.0</v>
      </c>
      <c r="AG182" s="94">
        <f t="shared" si="27"/>
        <v>0</v>
      </c>
      <c r="AH182" s="81"/>
      <c r="AI182" s="81"/>
    </row>
    <row r="183" ht="15.75" customHeight="1">
      <c r="A183" s="432" t="s">
        <v>193</v>
      </c>
      <c r="B183" s="64">
        <v>2.0</v>
      </c>
      <c r="C183" s="64">
        <v>2.0</v>
      </c>
      <c r="D183" s="64"/>
      <c r="E183" s="64">
        <v>2.0</v>
      </c>
      <c r="F183" s="67"/>
      <c r="G183" s="64"/>
      <c r="H183" s="64">
        <v>1.0</v>
      </c>
      <c r="I183" s="64">
        <v>1.0</v>
      </c>
      <c r="J183" s="64"/>
      <c r="K183" s="64"/>
      <c r="L183" s="72"/>
      <c r="M183" s="67"/>
      <c r="N183" s="64"/>
      <c r="O183" s="64"/>
      <c r="P183" s="74"/>
      <c r="Q183" s="74"/>
      <c r="R183" s="64"/>
      <c r="S183" s="75"/>
      <c r="T183" s="76">
        <v>17.0</v>
      </c>
      <c r="U183" s="78"/>
      <c r="V183" s="78"/>
      <c r="W183" s="64"/>
      <c r="X183" s="64">
        <v>1.0</v>
      </c>
      <c r="Y183" s="64"/>
      <c r="Z183" s="64"/>
      <c r="AA183" s="67"/>
      <c r="AB183" s="76">
        <v>1.0</v>
      </c>
      <c r="AC183" s="64"/>
      <c r="AD183" s="79">
        <v>11.0</v>
      </c>
      <c r="AE183" s="93">
        <f t="shared" si="26"/>
        <v>38</v>
      </c>
      <c r="AF183" s="389">
        <v>130.0</v>
      </c>
      <c r="AG183" s="94">
        <f t="shared" si="27"/>
        <v>4940</v>
      </c>
      <c r="AH183" s="81"/>
      <c r="AI183" s="81"/>
    </row>
    <row r="184" ht="15.75" customHeight="1">
      <c r="A184" s="432" t="s">
        <v>294</v>
      </c>
      <c r="B184" s="64"/>
      <c r="C184" s="64"/>
      <c r="D184" s="64"/>
      <c r="E184" s="64"/>
      <c r="F184" s="67"/>
      <c r="G184" s="64"/>
      <c r="H184" s="64"/>
      <c r="I184" s="64"/>
      <c r="J184" s="64"/>
      <c r="K184" s="64"/>
      <c r="L184" s="72"/>
      <c r="M184" s="67"/>
      <c r="N184" s="64"/>
      <c r="O184" s="64"/>
      <c r="P184" s="74"/>
      <c r="Q184" s="74"/>
      <c r="R184" s="64"/>
      <c r="S184" s="75"/>
      <c r="T184" s="76"/>
      <c r="U184" s="78"/>
      <c r="V184" s="78"/>
      <c r="W184" s="64"/>
      <c r="X184" s="64"/>
      <c r="Y184" s="64"/>
      <c r="Z184" s="64"/>
      <c r="AA184" s="67"/>
      <c r="AB184" s="76"/>
      <c r="AC184" s="64"/>
      <c r="AD184" s="79"/>
      <c r="AE184" s="93">
        <f t="shared" si="26"/>
        <v>0</v>
      </c>
      <c r="AF184" s="389">
        <v>1300.0</v>
      </c>
      <c r="AG184" s="94">
        <f t="shared" si="27"/>
        <v>0</v>
      </c>
      <c r="AH184" s="81"/>
      <c r="AI184" s="81"/>
    </row>
    <row r="185" ht="15.75" customHeight="1">
      <c r="A185" s="433" t="s">
        <v>206</v>
      </c>
      <c r="B185" s="64"/>
      <c r="C185" s="64"/>
      <c r="D185" s="64"/>
      <c r="E185" s="64"/>
      <c r="F185" s="67"/>
      <c r="G185" s="64"/>
      <c r="H185" s="64"/>
      <c r="I185" s="64"/>
      <c r="J185" s="64"/>
      <c r="K185" s="64"/>
      <c r="L185" s="72"/>
      <c r="M185" s="67"/>
      <c r="N185" s="64"/>
      <c r="O185" s="64"/>
      <c r="P185" s="74"/>
      <c r="Q185" s="74"/>
      <c r="R185" s="64"/>
      <c r="S185" s="75"/>
      <c r="T185" s="76"/>
      <c r="U185" s="78"/>
      <c r="V185" s="78"/>
      <c r="W185" s="64"/>
      <c r="X185" s="64"/>
      <c r="Y185" s="64"/>
      <c r="Z185" s="64"/>
      <c r="AA185" s="67"/>
      <c r="AB185" s="76"/>
      <c r="AC185" s="64"/>
      <c r="AD185" s="79"/>
      <c r="AE185" s="93">
        <f t="shared" si="26"/>
        <v>0</v>
      </c>
      <c r="AF185" s="434">
        <v>1300.0</v>
      </c>
      <c r="AG185" s="94">
        <f t="shared" si="27"/>
        <v>0</v>
      </c>
      <c r="AH185" s="81"/>
      <c r="AI185" s="81"/>
    </row>
    <row r="186" ht="15.75" customHeight="1">
      <c r="A186" s="432" t="s">
        <v>203</v>
      </c>
      <c r="B186" s="64">
        <v>1.0</v>
      </c>
      <c r="C186" s="64"/>
      <c r="D186" s="64">
        <v>1.0</v>
      </c>
      <c r="E186" s="64"/>
      <c r="F186" s="67"/>
      <c r="G186" s="64"/>
      <c r="H186" s="64"/>
      <c r="I186" s="64"/>
      <c r="J186" s="64">
        <v>1.0</v>
      </c>
      <c r="K186" s="64">
        <v>1.0</v>
      </c>
      <c r="L186" s="72"/>
      <c r="M186" s="67"/>
      <c r="N186" s="64"/>
      <c r="O186" s="64"/>
      <c r="P186" s="74"/>
      <c r="Q186" s="74"/>
      <c r="R186" s="64"/>
      <c r="S186" s="75"/>
      <c r="T186" s="76"/>
      <c r="U186" s="78"/>
      <c r="V186" s="78"/>
      <c r="W186" s="64"/>
      <c r="X186" s="64"/>
      <c r="Y186" s="64"/>
      <c r="Z186" s="64"/>
      <c r="AA186" s="67"/>
      <c r="AB186" s="76"/>
      <c r="AC186" s="64"/>
      <c r="AD186" s="79"/>
      <c r="AE186" s="93">
        <f t="shared" si="26"/>
        <v>4</v>
      </c>
      <c r="AF186" s="389">
        <v>350.0</v>
      </c>
      <c r="AG186" s="94">
        <f t="shared" si="27"/>
        <v>1400</v>
      </c>
      <c r="AH186" s="81"/>
      <c r="AI186" s="81"/>
    </row>
    <row r="187" ht="15.75" customHeight="1">
      <c r="A187" s="432" t="s">
        <v>204</v>
      </c>
      <c r="B187" s="64"/>
      <c r="C187" s="64"/>
      <c r="D187" s="64"/>
      <c r="E187" s="64"/>
      <c r="F187" s="67"/>
      <c r="G187" s="64"/>
      <c r="H187" s="64"/>
      <c r="I187" s="64"/>
      <c r="J187" s="64"/>
      <c r="K187" s="64"/>
      <c r="L187" s="72"/>
      <c r="M187" s="67"/>
      <c r="N187" s="64"/>
      <c r="O187" s="64">
        <v>1.0</v>
      </c>
      <c r="P187" s="74"/>
      <c r="Q187" s="74"/>
      <c r="R187" s="64"/>
      <c r="S187" s="75"/>
      <c r="T187" s="76"/>
      <c r="U187" s="78"/>
      <c r="V187" s="78"/>
      <c r="W187" s="64"/>
      <c r="X187" s="64"/>
      <c r="Y187" s="64"/>
      <c r="Z187" s="64"/>
      <c r="AA187" s="67"/>
      <c r="AB187" s="76"/>
      <c r="AC187" s="64"/>
      <c r="AD187" s="79"/>
      <c r="AE187" s="93">
        <f t="shared" si="26"/>
        <v>1</v>
      </c>
      <c r="AF187" s="389">
        <v>600.0</v>
      </c>
      <c r="AG187" s="94">
        <f t="shared" si="27"/>
        <v>600</v>
      </c>
      <c r="AH187" s="81"/>
      <c r="AI187" s="81"/>
    </row>
    <row r="188" ht="15.75" customHeight="1">
      <c r="A188" s="432" t="s">
        <v>205</v>
      </c>
      <c r="B188" s="64">
        <v>1.0</v>
      </c>
      <c r="C188" s="64"/>
      <c r="D188" s="64">
        <v>1.0</v>
      </c>
      <c r="E188" s="64"/>
      <c r="F188" s="67"/>
      <c r="G188" s="64"/>
      <c r="H188" s="64"/>
      <c r="I188" s="64"/>
      <c r="J188" s="64"/>
      <c r="K188" s="64">
        <v>1.0</v>
      </c>
      <c r="L188" s="72"/>
      <c r="M188" s="67"/>
      <c r="N188" s="64">
        <v>1.0</v>
      </c>
      <c r="O188" s="64">
        <v>1.0</v>
      </c>
      <c r="P188" s="74"/>
      <c r="Q188" s="74"/>
      <c r="R188" s="64">
        <v>2.0</v>
      </c>
      <c r="S188" s="75"/>
      <c r="T188" s="76"/>
      <c r="U188" s="78"/>
      <c r="V188" s="78"/>
      <c r="W188" s="64"/>
      <c r="X188" s="64"/>
      <c r="Y188" s="64"/>
      <c r="Z188" s="64">
        <v>1.0</v>
      </c>
      <c r="AA188" s="67"/>
      <c r="AB188" s="76"/>
      <c r="AC188" s="64"/>
      <c r="AD188" s="79">
        <v>1.0</v>
      </c>
      <c r="AE188" s="93">
        <f t="shared" si="26"/>
        <v>9</v>
      </c>
      <c r="AF188" s="389">
        <v>600.0</v>
      </c>
      <c r="AG188" s="94">
        <f t="shared" si="27"/>
        <v>5400</v>
      </c>
      <c r="AH188" s="81"/>
      <c r="AI188" s="81"/>
    </row>
    <row r="189" ht="15.75" customHeight="1">
      <c r="A189" s="432" t="s">
        <v>295</v>
      </c>
      <c r="B189" s="64"/>
      <c r="C189" s="64"/>
      <c r="D189" s="64"/>
      <c r="E189" s="64"/>
      <c r="F189" s="67"/>
      <c r="G189" s="64"/>
      <c r="H189" s="64"/>
      <c r="I189" s="64"/>
      <c r="J189" s="64"/>
      <c r="K189" s="64"/>
      <c r="L189" s="72"/>
      <c r="M189" s="67"/>
      <c r="N189" s="64"/>
      <c r="O189" s="64"/>
      <c r="P189" s="74"/>
      <c r="Q189" s="74"/>
      <c r="R189" s="64"/>
      <c r="S189" s="75"/>
      <c r="T189" s="76"/>
      <c r="U189" s="78"/>
      <c r="V189" s="78"/>
      <c r="W189" s="64"/>
      <c r="X189" s="64"/>
      <c r="Y189" s="64"/>
      <c r="Z189" s="64"/>
      <c r="AA189" s="67"/>
      <c r="AB189" s="76"/>
      <c r="AC189" s="64"/>
      <c r="AD189" s="79"/>
      <c r="AE189" s="93">
        <f t="shared" si="26"/>
        <v>0</v>
      </c>
      <c r="AF189" s="389">
        <v>130.0</v>
      </c>
      <c r="AG189" s="94">
        <f t="shared" si="27"/>
        <v>0</v>
      </c>
      <c r="AH189" s="81"/>
      <c r="AI189" s="81"/>
    </row>
    <row r="190" ht="15.75" customHeight="1">
      <c r="A190" s="436" t="s">
        <v>296</v>
      </c>
      <c r="B190" s="438"/>
      <c r="C190" s="438"/>
      <c r="D190" s="438"/>
      <c r="E190" s="438"/>
      <c r="F190" s="439"/>
      <c r="G190" s="438"/>
      <c r="H190" s="438"/>
      <c r="I190" s="438"/>
      <c r="J190" s="438"/>
      <c r="K190" s="438"/>
      <c r="L190" s="440"/>
      <c r="M190" s="439"/>
      <c r="N190" s="438"/>
      <c r="O190" s="438"/>
      <c r="P190" s="441"/>
      <c r="Q190" s="441"/>
      <c r="R190" s="438"/>
      <c r="S190" s="442"/>
      <c r="T190" s="443"/>
      <c r="U190" s="444"/>
      <c r="V190" s="444"/>
      <c r="W190" s="438"/>
      <c r="X190" s="438"/>
      <c r="Y190" s="438"/>
      <c r="Z190" s="438"/>
      <c r="AA190" s="439"/>
      <c r="AB190" s="443"/>
      <c r="AC190" s="438"/>
      <c r="AD190" s="445"/>
      <c r="AE190" s="149">
        <f t="shared" si="26"/>
        <v>0</v>
      </c>
      <c r="AF190" s="446">
        <v>1900.0</v>
      </c>
      <c r="AG190" s="125">
        <f t="shared" si="27"/>
        <v>0</v>
      </c>
      <c r="AH190" s="91"/>
      <c r="AI190" s="91"/>
    </row>
    <row r="191" ht="20.25" customHeight="1">
      <c r="A191" s="196" t="s">
        <v>45</v>
      </c>
      <c r="B191" s="128"/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9"/>
      <c r="AG191" s="430">
        <f>SUM(AG177:AG190)</f>
        <v>22870</v>
      </c>
      <c r="AH191" s="447"/>
      <c r="AI191" s="448"/>
    </row>
    <row r="192" ht="15.75" customHeight="1">
      <c r="A192" s="418" t="s">
        <v>264</v>
      </c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97"/>
      <c r="AH192" s="392"/>
      <c r="AI192" s="448"/>
    </row>
    <row r="193" ht="15.75" customHeight="1">
      <c r="A193" s="308" t="s">
        <v>265</v>
      </c>
      <c r="B193" s="64"/>
      <c r="C193" s="64"/>
      <c r="D193" s="64"/>
      <c r="E193" s="64"/>
      <c r="F193" s="67"/>
      <c r="G193" s="64"/>
      <c r="H193" s="64"/>
      <c r="I193" s="64"/>
      <c r="J193" s="64"/>
      <c r="K193" s="64"/>
      <c r="L193" s="72"/>
      <c r="M193" s="67"/>
      <c r="N193" s="64"/>
      <c r="O193" s="64"/>
      <c r="P193" s="74"/>
      <c r="Q193" s="74"/>
      <c r="R193" s="64"/>
      <c r="S193" s="75"/>
      <c r="T193" s="76"/>
      <c r="U193" s="78"/>
      <c r="V193" s="78"/>
      <c r="W193" s="64"/>
      <c r="X193" s="64"/>
      <c r="Y193" s="64"/>
      <c r="Z193" s="64"/>
      <c r="AA193" s="67"/>
      <c r="AB193" s="76"/>
      <c r="AC193" s="64"/>
      <c r="AD193" s="79"/>
      <c r="AE193" s="93">
        <f t="shared" ref="AE193:AE196" si="28">SUM(B193:AD193)</f>
        <v>0</v>
      </c>
      <c r="AF193" s="138">
        <v>2100.0</v>
      </c>
      <c r="AG193" s="94">
        <f t="shared" ref="AG193:AG196" si="29">AF193*AE193</f>
        <v>0</v>
      </c>
      <c r="AH193" s="449"/>
      <c r="AI193" s="448"/>
    </row>
    <row r="194" ht="15.75" customHeight="1">
      <c r="A194" s="308" t="s">
        <v>266</v>
      </c>
      <c r="B194" s="64"/>
      <c r="C194" s="64"/>
      <c r="D194" s="64"/>
      <c r="E194" s="64"/>
      <c r="F194" s="67"/>
      <c r="G194" s="64"/>
      <c r="H194" s="64"/>
      <c r="I194" s="64"/>
      <c r="J194" s="64"/>
      <c r="K194" s="64"/>
      <c r="L194" s="72"/>
      <c r="M194" s="67"/>
      <c r="N194" s="64"/>
      <c r="O194" s="64"/>
      <c r="P194" s="74"/>
      <c r="Q194" s="74"/>
      <c r="R194" s="64"/>
      <c r="S194" s="75"/>
      <c r="T194" s="76"/>
      <c r="U194" s="78"/>
      <c r="V194" s="78"/>
      <c r="W194" s="64"/>
      <c r="X194" s="64"/>
      <c r="Y194" s="64"/>
      <c r="Z194" s="64"/>
      <c r="AA194" s="67"/>
      <c r="AB194" s="76"/>
      <c r="AC194" s="64"/>
      <c r="AD194" s="79"/>
      <c r="AE194" s="93">
        <f t="shared" si="28"/>
        <v>0</v>
      </c>
      <c r="AF194" s="138">
        <v>2800.0</v>
      </c>
      <c r="AG194" s="94">
        <f t="shared" si="29"/>
        <v>0</v>
      </c>
      <c r="AH194" s="449"/>
      <c r="AI194" s="448"/>
    </row>
    <row r="195" ht="15.75" customHeight="1">
      <c r="A195" s="308" t="s">
        <v>268</v>
      </c>
      <c r="B195" s="64"/>
      <c r="C195" s="64"/>
      <c r="D195" s="64"/>
      <c r="E195" s="64"/>
      <c r="F195" s="67"/>
      <c r="G195" s="64"/>
      <c r="H195" s="64"/>
      <c r="I195" s="64"/>
      <c r="J195" s="64"/>
      <c r="K195" s="64"/>
      <c r="L195" s="72"/>
      <c r="M195" s="67"/>
      <c r="N195" s="64"/>
      <c r="O195" s="64"/>
      <c r="P195" s="74"/>
      <c r="Q195" s="74"/>
      <c r="R195" s="64"/>
      <c r="S195" s="75"/>
      <c r="T195" s="76"/>
      <c r="U195" s="78"/>
      <c r="V195" s="78"/>
      <c r="W195" s="64"/>
      <c r="X195" s="64"/>
      <c r="Y195" s="64"/>
      <c r="Z195" s="64"/>
      <c r="AA195" s="67"/>
      <c r="AB195" s="76"/>
      <c r="AC195" s="64"/>
      <c r="AD195" s="79"/>
      <c r="AE195" s="93">
        <f t="shared" si="28"/>
        <v>0</v>
      </c>
      <c r="AF195" s="138">
        <v>2800.0</v>
      </c>
      <c r="AG195" s="94">
        <f t="shared" si="29"/>
        <v>0</v>
      </c>
      <c r="AH195" s="449"/>
      <c r="AI195" s="448"/>
    </row>
    <row r="196" ht="15.75" customHeight="1">
      <c r="A196" s="309" t="s">
        <v>269</v>
      </c>
      <c r="B196" s="438"/>
      <c r="C196" s="438"/>
      <c r="D196" s="438"/>
      <c r="E196" s="438"/>
      <c r="F196" s="439"/>
      <c r="G196" s="438"/>
      <c r="H196" s="438"/>
      <c r="I196" s="438"/>
      <c r="J196" s="438"/>
      <c r="K196" s="438"/>
      <c r="L196" s="440"/>
      <c r="M196" s="439"/>
      <c r="N196" s="438"/>
      <c r="O196" s="438"/>
      <c r="P196" s="441"/>
      <c r="Q196" s="441"/>
      <c r="R196" s="438"/>
      <c r="S196" s="442"/>
      <c r="T196" s="443"/>
      <c r="U196" s="444"/>
      <c r="V196" s="444"/>
      <c r="W196" s="438"/>
      <c r="X196" s="438"/>
      <c r="Y196" s="438"/>
      <c r="Z196" s="438"/>
      <c r="AA196" s="439"/>
      <c r="AB196" s="443"/>
      <c r="AC196" s="438"/>
      <c r="AD196" s="445"/>
      <c r="AE196" s="149">
        <f t="shared" si="28"/>
        <v>0</v>
      </c>
      <c r="AF196" s="150">
        <v>3200.0</v>
      </c>
      <c r="AG196" s="125">
        <f t="shared" si="29"/>
        <v>0</v>
      </c>
      <c r="AH196" s="449"/>
      <c r="AI196" s="448"/>
    </row>
    <row r="197" ht="17.25" customHeight="1">
      <c r="A197" s="196" t="s">
        <v>45</v>
      </c>
      <c r="B197" s="128"/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9"/>
      <c r="AG197" s="151">
        <f>SUM(AG193:AG196)</f>
        <v>0</v>
      </c>
      <c r="AH197" s="269"/>
      <c r="AI197" s="450"/>
    </row>
    <row r="198" ht="15.75" customHeight="1">
      <c r="A198" s="451"/>
      <c r="B198" s="452"/>
      <c r="C198" s="452"/>
      <c r="D198" s="453"/>
      <c r="E198" s="451"/>
      <c r="F198" s="451"/>
      <c r="G198" s="452"/>
      <c r="H198" s="452"/>
      <c r="I198" s="452"/>
      <c r="J198" s="452"/>
      <c r="K198" s="451"/>
      <c r="L198" s="451"/>
      <c r="M198" s="451"/>
      <c r="N198" s="451"/>
      <c r="O198" s="451"/>
      <c r="P198" s="451"/>
      <c r="Q198" s="452"/>
      <c r="R198" s="451"/>
      <c r="S198" s="451"/>
      <c r="T198" s="452"/>
      <c r="U198" s="452"/>
      <c r="V198" s="452"/>
      <c r="W198" s="451"/>
      <c r="X198" s="451"/>
      <c r="Y198" s="451"/>
      <c r="Z198" s="452"/>
      <c r="AA198" s="451"/>
      <c r="AB198" s="451"/>
      <c r="AC198" s="451"/>
      <c r="AD198" s="451"/>
      <c r="AE198" s="454"/>
      <c r="AF198" s="455" t="s">
        <v>297</v>
      </c>
      <c r="AG198" s="456">
        <f>AG12+AG33+AG49+AG106+AG119+AG128+AG135+AG143+AG147+AG150+AG153+AG156+AG159+AG167+AG171+AG175+AG191+AG197</f>
        <v>1622387</v>
      </c>
      <c r="AH198" s="457"/>
      <c r="AI198" s="201"/>
    </row>
    <row r="199" ht="15.75" customHeight="1">
      <c r="A199" s="451"/>
      <c r="B199" s="452"/>
      <c r="C199" s="452"/>
      <c r="D199" s="453"/>
      <c r="E199" s="451"/>
      <c r="F199" s="451"/>
      <c r="G199" s="452"/>
      <c r="H199" s="452"/>
      <c r="I199" s="452"/>
      <c r="J199" s="452"/>
      <c r="K199" s="451"/>
      <c r="L199" s="451"/>
      <c r="M199" s="451"/>
      <c r="N199" s="451"/>
      <c r="O199" s="451"/>
      <c r="P199" s="451"/>
      <c r="Q199" s="452"/>
      <c r="R199" s="451"/>
      <c r="S199" s="451"/>
      <c r="T199" s="452"/>
      <c r="U199" s="452"/>
      <c r="V199" s="452"/>
      <c r="W199" s="451"/>
      <c r="X199" s="451"/>
      <c r="Y199" s="451"/>
      <c r="Z199" s="452"/>
      <c r="AA199" s="451"/>
      <c r="AB199" s="451"/>
      <c r="AC199" s="451"/>
      <c r="AD199" s="451"/>
      <c r="AE199" s="452"/>
      <c r="AF199" s="459" t="s">
        <v>298</v>
      </c>
      <c r="AG199" s="460"/>
      <c r="AH199" s="457"/>
      <c r="AI199" s="201"/>
    </row>
    <row r="200" ht="15.75" customHeight="1">
      <c r="A200" s="461"/>
      <c r="B200" s="452"/>
      <c r="C200" s="452"/>
      <c r="D200" s="453"/>
      <c r="E200" s="451"/>
      <c r="F200" s="451"/>
      <c r="G200" s="452"/>
      <c r="H200" s="452"/>
      <c r="I200" s="452"/>
      <c r="J200" s="452"/>
      <c r="K200" s="451"/>
      <c r="L200" s="451"/>
      <c r="M200" s="451"/>
      <c r="N200" s="451"/>
      <c r="O200" s="451"/>
      <c r="P200" s="451"/>
      <c r="Q200" s="452"/>
      <c r="R200" s="451"/>
      <c r="S200" s="451"/>
      <c r="T200" s="452"/>
      <c r="U200" s="452"/>
      <c r="V200" s="452"/>
      <c r="W200" s="451"/>
      <c r="X200" s="451"/>
      <c r="Y200" s="451"/>
      <c r="Z200" s="452"/>
      <c r="AA200" s="451"/>
      <c r="AB200" s="451"/>
      <c r="AC200" s="451"/>
      <c r="AD200" s="451"/>
      <c r="AE200" s="452"/>
      <c r="AF200" s="462"/>
      <c r="AG200" s="463">
        <f>SUM(AG198:AG199)</f>
        <v>1622387</v>
      </c>
      <c r="AH200" s="463"/>
      <c r="AI200" s="201"/>
    </row>
    <row r="201" ht="15.75" customHeight="1">
      <c r="A201" s="233"/>
      <c r="B201" s="464"/>
      <c r="C201" s="464"/>
      <c r="D201" s="465"/>
      <c r="E201" s="233"/>
      <c r="F201" s="233"/>
      <c r="G201" s="464"/>
      <c r="H201" s="464"/>
      <c r="I201" s="464"/>
      <c r="J201" s="464"/>
      <c r="K201" s="233"/>
      <c r="L201" s="233"/>
      <c r="M201" s="233"/>
      <c r="N201" s="233"/>
      <c r="O201" s="233"/>
      <c r="P201" s="233"/>
      <c r="Q201" s="464"/>
      <c r="R201" s="233"/>
      <c r="S201" s="233"/>
      <c r="T201" s="464"/>
      <c r="U201" s="464"/>
      <c r="V201" s="464"/>
      <c r="W201" s="233"/>
      <c r="X201" s="233"/>
      <c r="Y201" s="233"/>
      <c r="Z201" s="464"/>
      <c r="AA201" s="233"/>
      <c r="AB201" s="233"/>
      <c r="AC201" s="233"/>
      <c r="AD201" s="233"/>
      <c r="AE201" s="464"/>
      <c r="AF201" s="466"/>
      <c r="AG201" s="467"/>
      <c r="AH201" s="467"/>
      <c r="AI201" s="201"/>
    </row>
    <row r="202" ht="15.75" customHeight="1">
      <c r="A202" s="233"/>
      <c r="B202" s="464"/>
      <c r="C202" s="464"/>
      <c r="D202" s="465"/>
      <c r="E202" s="233"/>
      <c r="F202" s="233"/>
      <c r="G202" s="464"/>
      <c r="H202" s="464"/>
      <c r="I202" s="464"/>
      <c r="J202" s="464"/>
      <c r="K202" s="233"/>
      <c r="L202" s="233"/>
      <c r="M202" s="233"/>
      <c r="N202" s="233"/>
      <c r="O202" s="233"/>
      <c r="P202" s="233"/>
      <c r="Q202" s="464"/>
      <c r="R202" s="233"/>
      <c r="S202" s="233"/>
      <c r="T202" s="464"/>
      <c r="U202" s="464"/>
      <c r="V202" s="464"/>
      <c r="W202" s="233"/>
      <c r="X202" s="233"/>
      <c r="Y202" s="233"/>
      <c r="Z202" s="464"/>
      <c r="AA202" s="233"/>
      <c r="AB202" s="233"/>
      <c r="AC202" s="233"/>
      <c r="AD202" s="233"/>
      <c r="AE202" s="464"/>
      <c r="AF202" s="466"/>
      <c r="AG202" s="467"/>
      <c r="AH202" s="467"/>
      <c r="AI202" s="201"/>
    </row>
    <row r="203" ht="15.75" customHeight="1">
      <c r="A203" s="233"/>
      <c r="B203" s="464"/>
      <c r="C203" s="464"/>
      <c r="D203" s="465"/>
      <c r="E203" s="233"/>
      <c r="F203" s="233"/>
      <c r="G203" s="464"/>
      <c r="H203" s="464"/>
      <c r="I203" s="464"/>
      <c r="J203" s="464"/>
      <c r="K203" s="233"/>
      <c r="L203" s="233"/>
      <c r="M203" s="233"/>
      <c r="N203" s="233"/>
      <c r="O203" s="233"/>
      <c r="P203" s="233"/>
      <c r="Q203" s="464"/>
      <c r="R203" s="233"/>
      <c r="S203" s="233"/>
      <c r="T203" s="464"/>
      <c r="U203" s="464"/>
      <c r="V203" s="464"/>
      <c r="W203" s="233"/>
      <c r="X203" s="233"/>
      <c r="Y203" s="233"/>
      <c r="Z203" s="464"/>
      <c r="AA203" s="233"/>
      <c r="AB203" s="233"/>
      <c r="AC203" s="233"/>
      <c r="AD203" s="233"/>
      <c r="AE203" s="464"/>
      <c r="AF203" s="466"/>
      <c r="AG203" s="467"/>
      <c r="AH203" s="467"/>
      <c r="AI203" s="201"/>
    </row>
    <row r="204" ht="15.75" customHeight="1">
      <c r="A204" s="468"/>
      <c r="B204" s="464"/>
      <c r="C204" s="464"/>
      <c r="D204" s="465"/>
      <c r="E204" s="233"/>
      <c r="F204" s="233"/>
      <c r="G204" s="464"/>
      <c r="H204" s="464"/>
      <c r="I204" s="464"/>
      <c r="J204" s="464"/>
      <c r="K204" s="233"/>
      <c r="L204" s="233"/>
      <c r="M204" s="233"/>
      <c r="N204" s="233"/>
      <c r="O204" s="233"/>
      <c r="P204" s="233"/>
      <c r="Q204" s="464"/>
      <c r="R204" s="233"/>
      <c r="S204" s="233"/>
      <c r="T204" s="464"/>
      <c r="U204" s="464"/>
      <c r="V204" s="464"/>
      <c r="W204" s="233"/>
      <c r="X204" s="233"/>
      <c r="Y204" s="233"/>
      <c r="Z204" s="464"/>
      <c r="AA204" s="233"/>
      <c r="AB204" s="233"/>
      <c r="AC204" s="233"/>
      <c r="AD204" s="233"/>
      <c r="AE204" s="464"/>
      <c r="AF204" s="466"/>
      <c r="AG204" s="467"/>
      <c r="AH204" s="467"/>
      <c r="AI204" s="201"/>
    </row>
    <row r="205" ht="15.75" customHeight="1">
      <c r="A205" s="233"/>
      <c r="B205" s="464"/>
      <c r="C205" s="464"/>
      <c r="D205" s="465"/>
      <c r="E205" s="233"/>
      <c r="F205" s="233"/>
      <c r="G205" s="464"/>
      <c r="H205" s="464"/>
      <c r="I205" s="464"/>
      <c r="J205" s="464"/>
      <c r="K205" s="233"/>
      <c r="L205" s="233"/>
      <c r="M205" s="233"/>
      <c r="N205" s="233"/>
      <c r="O205" s="233"/>
      <c r="P205" s="233"/>
      <c r="Q205" s="464"/>
      <c r="R205" s="233"/>
      <c r="S205" s="233"/>
      <c r="T205" s="464"/>
      <c r="U205" s="464"/>
      <c r="V205" s="464"/>
      <c r="W205" s="233"/>
      <c r="X205" s="233"/>
      <c r="Y205" s="233"/>
      <c r="Z205" s="464"/>
      <c r="AA205" s="233"/>
      <c r="AB205" s="233"/>
      <c r="AC205" s="233"/>
      <c r="AD205" s="233"/>
      <c r="AE205" s="464"/>
      <c r="AF205" s="466"/>
      <c r="AG205" s="467"/>
      <c r="AH205" s="467"/>
      <c r="AI205" s="201"/>
    </row>
    <row r="206" ht="15.75" customHeight="1">
      <c r="A206" s="233"/>
      <c r="B206" s="464"/>
      <c r="C206" s="464"/>
      <c r="D206" s="465"/>
      <c r="E206" s="233"/>
      <c r="F206" s="233"/>
      <c r="G206" s="464"/>
      <c r="H206" s="464"/>
      <c r="I206" s="464"/>
      <c r="J206" s="464"/>
      <c r="K206" s="233"/>
      <c r="L206" s="233"/>
      <c r="M206" s="233"/>
      <c r="N206" s="233"/>
      <c r="O206" s="233"/>
      <c r="P206" s="233"/>
      <c r="Q206" s="464"/>
      <c r="R206" s="233"/>
      <c r="S206" s="233"/>
      <c r="T206" s="464"/>
      <c r="U206" s="464"/>
      <c r="V206" s="464"/>
      <c r="W206" s="233"/>
      <c r="X206" s="233"/>
      <c r="Y206" s="233"/>
      <c r="Z206" s="464"/>
      <c r="AA206" s="233"/>
      <c r="AB206" s="233"/>
      <c r="AC206" s="233"/>
      <c r="AD206" s="233"/>
      <c r="AE206" s="464"/>
      <c r="AF206" s="466"/>
      <c r="AG206" s="467"/>
      <c r="AH206" s="467"/>
      <c r="AI206" s="201"/>
    </row>
    <row r="207" ht="15.75" customHeight="1">
      <c r="A207" s="233"/>
      <c r="B207" s="464"/>
      <c r="C207" s="464"/>
      <c r="D207" s="465"/>
      <c r="E207" s="233"/>
      <c r="F207" s="233"/>
      <c r="G207" s="464"/>
      <c r="H207" s="464"/>
      <c r="I207" s="464"/>
      <c r="J207" s="464"/>
      <c r="K207" s="233"/>
      <c r="L207" s="233"/>
      <c r="M207" s="233"/>
      <c r="N207" s="233"/>
      <c r="O207" s="233"/>
      <c r="P207" s="233"/>
      <c r="Q207" s="464"/>
      <c r="R207" s="233"/>
      <c r="S207" s="233"/>
      <c r="T207" s="464"/>
      <c r="U207" s="464"/>
      <c r="V207" s="464"/>
      <c r="W207" s="233"/>
      <c r="X207" s="233"/>
      <c r="Y207" s="233"/>
      <c r="Z207" s="464"/>
      <c r="AA207" s="233"/>
      <c r="AB207" s="233"/>
      <c r="AC207" s="233"/>
      <c r="AD207" s="233"/>
      <c r="AE207" s="464"/>
      <c r="AF207" s="466"/>
      <c r="AG207" s="467"/>
      <c r="AH207" s="467"/>
      <c r="AI207" s="201"/>
    </row>
    <row r="208" ht="15.75" customHeight="1">
      <c r="A208" s="469"/>
      <c r="B208" s="470"/>
      <c r="C208" s="470"/>
      <c r="D208" s="471"/>
      <c r="E208" s="469"/>
      <c r="F208" s="469"/>
      <c r="G208" s="470"/>
      <c r="H208" s="470"/>
      <c r="I208" s="470"/>
      <c r="J208" s="470"/>
      <c r="K208" s="469"/>
      <c r="L208" s="469"/>
      <c r="M208" s="469"/>
      <c r="N208" s="469"/>
      <c r="O208" s="469"/>
      <c r="P208" s="469"/>
      <c r="Q208" s="470"/>
      <c r="R208" s="469"/>
      <c r="S208" s="469"/>
      <c r="T208" s="470"/>
      <c r="U208" s="470"/>
      <c r="V208" s="470"/>
      <c r="W208" s="469"/>
      <c r="X208" s="469"/>
      <c r="Y208" s="469"/>
      <c r="Z208" s="470"/>
      <c r="AA208" s="469"/>
      <c r="AB208" s="469"/>
      <c r="AC208" s="469"/>
      <c r="AD208" s="469"/>
      <c r="AE208" s="472"/>
      <c r="AF208" s="473"/>
      <c r="AG208" s="475"/>
      <c r="AH208" s="475"/>
    </row>
    <row r="209" ht="15.75" customHeight="1">
      <c r="A209" s="344"/>
      <c r="B209" s="470"/>
      <c r="C209" s="470"/>
      <c r="D209" s="471"/>
      <c r="E209" s="469"/>
      <c r="F209" s="469"/>
      <c r="G209" s="470"/>
      <c r="H209" s="470"/>
      <c r="I209" s="470"/>
      <c r="J209" s="470"/>
      <c r="K209" s="469"/>
      <c r="L209" s="469"/>
      <c r="M209" s="469"/>
      <c r="N209" s="469"/>
      <c r="O209" s="469"/>
      <c r="P209" s="469"/>
      <c r="Q209" s="470"/>
      <c r="R209" s="469"/>
      <c r="S209" s="469"/>
      <c r="T209" s="470"/>
      <c r="U209" s="470"/>
      <c r="V209" s="470"/>
      <c r="W209" s="469"/>
      <c r="X209" s="469"/>
      <c r="Y209" s="469"/>
      <c r="Z209" s="470"/>
      <c r="AA209" s="469"/>
      <c r="AB209" s="469"/>
      <c r="AC209" s="469"/>
      <c r="AD209" s="469"/>
      <c r="AE209" s="472"/>
      <c r="AF209" s="473"/>
      <c r="AG209" s="475"/>
      <c r="AH209" s="475"/>
    </row>
    <row r="210" ht="15.75" customHeight="1">
      <c r="A210" s="469"/>
      <c r="B210" s="470"/>
      <c r="C210" s="470"/>
      <c r="D210" s="471"/>
      <c r="E210" s="469"/>
      <c r="F210" s="469"/>
      <c r="G210" s="470"/>
      <c r="H210" s="470"/>
      <c r="I210" s="470"/>
      <c r="J210" s="470"/>
      <c r="K210" s="469"/>
      <c r="L210" s="469"/>
      <c r="M210" s="469"/>
      <c r="N210" s="469"/>
      <c r="O210" s="469"/>
      <c r="P210" s="469"/>
      <c r="Q210" s="470"/>
      <c r="R210" s="469"/>
      <c r="S210" s="469"/>
      <c r="T210" s="470"/>
      <c r="U210" s="470"/>
      <c r="V210" s="470"/>
      <c r="W210" s="469"/>
      <c r="X210" s="469"/>
      <c r="Y210" s="469"/>
      <c r="Z210" s="470"/>
      <c r="AA210" s="469"/>
      <c r="AB210" s="469"/>
      <c r="AC210" s="469"/>
      <c r="AD210" s="469"/>
      <c r="AE210" s="472"/>
      <c r="AF210" s="473"/>
      <c r="AG210" s="475"/>
      <c r="AH210" s="475"/>
    </row>
    <row r="211" ht="15.75" customHeight="1">
      <c r="A211" s="469"/>
      <c r="B211" s="470"/>
      <c r="C211" s="470"/>
      <c r="D211" s="471"/>
      <c r="E211" s="469"/>
      <c r="F211" s="469"/>
      <c r="G211" s="470"/>
      <c r="H211" s="470"/>
      <c r="I211" s="470"/>
      <c r="J211" s="470"/>
      <c r="K211" s="469"/>
      <c r="L211" s="469"/>
      <c r="M211" s="469"/>
      <c r="N211" s="469"/>
      <c r="O211" s="469"/>
      <c r="P211" s="469"/>
      <c r="Q211" s="470"/>
      <c r="R211" s="469"/>
      <c r="S211" s="469"/>
      <c r="T211" s="470"/>
      <c r="U211" s="470"/>
      <c r="V211" s="470"/>
      <c r="W211" s="469"/>
      <c r="X211" s="469"/>
      <c r="Y211" s="469"/>
      <c r="Z211" s="470"/>
      <c r="AA211" s="469"/>
      <c r="AB211" s="469"/>
      <c r="AC211" s="469"/>
      <c r="AD211" s="469"/>
      <c r="AE211" s="472"/>
      <c r="AF211" s="473"/>
      <c r="AG211" s="475"/>
      <c r="AH211" s="475"/>
    </row>
    <row r="212" ht="15.75" customHeight="1">
      <c r="A212" s="344"/>
      <c r="B212" s="470"/>
      <c r="C212" s="470"/>
      <c r="D212" s="471"/>
      <c r="E212" s="469"/>
      <c r="F212" s="469"/>
      <c r="G212" s="470"/>
      <c r="H212" s="470"/>
      <c r="I212" s="470"/>
      <c r="J212" s="470"/>
      <c r="K212" s="469"/>
      <c r="L212" s="469"/>
      <c r="M212" s="469"/>
      <c r="N212" s="469"/>
      <c r="O212" s="469"/>
      <c r="P212" s="469"/>
      <c r="Q212" s="470"/>
      <c r="R212" s="469"/>
      <c r="S212" s="469"/>
      <c r="T212" s="470"/>
      <c r="U212" s="470"/>
      <c r="V212" s="470"/>
      <c r="W212" s="469"/>
      <c r="X212" s="469"/>
      <c r="Y212" s="469"/>
      <c r="Z212" s="470"/>
      <c r="AA212" s="469"/>
      <c r="AB212" s="469"/>
      <c r="AC212" s="469"/>
      <c r="AD212" s="469"/>
      <c r="AE212" s="472"/>
      <c r="AF212" s="473"/>
      <c r="AG212" s="475"/>
      <c r="AH212" s="475"/>
    </row>
    <row r="213" ht="15.75" customHeight="1">
      <c r="A213" s="344"/>
      <c r="B213" s="470"/>
      <c r="C213" s="470"/>
      <c r="D213" s="471"/>
      <c r="E213" s="469"/>
      <c r="F213" s="469"/>
      <c r="G213" s="470"/>
      <c r="H213" s="470"/>
      <c r="I213" s="470"/>
      <c r="J213" s="470"/>
      <c r="K213" s="469"/>
      <c r="L213" s="469"/>
      <c r="M213" s="469"/>
      <c r="N213" s="469"/>
      <c r="O213" s="469"/>
      <c r="P213" s="469"/>
      <c r="Q213" s="470"/>
      <c r="R213" s="469"/>
      <c r="S213" s="469"/>
      <c r="T213" s="470"/>
      <c r="U213" s="470"/>
      <c r="V213" s="470"/>
      <c r="W213" s="469"/>
      <c r="X213" s="469"/>
      <c r="Y213" s="469"/>
      <c r="Z213" s="470"/>
      <c r="AA213" s="469"/>
      <c r="AB213" s="469"/>
      <c r="AC213" s="469"/>
      <c r="AD213" s="469"/>
      <c r="AE213" s="472"/>
      <c r="AF213" s="473"/>
      <c r="AG213" s="475"/>
      <c r="AH213" s="475"/>
    </row>
    <row r="214" ht="15.75" customHeight="1">
      <c r="A214" s="344"/>
      <c r="B214" s="470"/>
      <c r="C214" s="470"/>
      <c r="D214" s="471"/>
      <c r="E214" s="469"/>
      <c r="F214" s="469"/>
      <c r="G214" s="470"/>
      <c r="H214" s="470"/>
      <c r="I214" s="470"/>
      <c r="J214" s="470"/>
      <c r="K214" s="469"/>
      <c r="L214" s="469"/>
      <c r="M214" s="469"/>
      <c r="N214" s="469"/>
      <c r="O214" s="469"/>
      <c r="P214" s="469"/>
      <c r="Q214" s="470"/>
      <c r="R214" s="469"/>
      <c r="S214" s="469"/>
      <c r="T214" s="470"/>
      <c r="U214" s="470"/>
      <c r="V214" s="470"/>
      <c r="W214" s="469"/>
      <c r="X214" s="469"/>
      <c r="Y214" s="469"/>
      <c r="Z214" s="470"/>
      <c r="AA214" s="469"/>
      <c r="AB214" s="469"/>
      <c r="AC214" s="469"/>
      <c r="AD214" s="469"/>
      <c r="AE214" s="472"/>
      <c r="AF214" s="473"/>
      <c r="AG214" s="475"/>
      <c r="AH214" s="475"/>
    </row>
    <row r="215" ht="15.75" customHeight="1">
      <c r="A215" s="344"/>
      <c r="B215" s="470"/>
      <c r="C215" s="470"/>
      <c r="D215" s="471"/>
      <c r="E215" s="469"/>
      <c r="F215" s="469"/>
      <c r="G215" s="470"/>
      <c r="H215" s="470"/>
      <c r="I215" s="470"/>
      <c r="J215" s="470"/>
      <c r="K215" s="469"/>
      <c r="L215" s="469"/>
      <c r="M215" s="469"/>
      <c r="N215" s="469"/>
      <c r="O215" s="469"/>
      <c r="P215" s="469"/>
      <c r="Q215" s="470"/>
      <c r="R215" s="469"/>
      <c r="S215" s="469"/>
      <c r="T215" s="470"/>
      <c r="U215" s="470"/>
      <c r="V215" s="470"/>
      <c r="W215" s="469"/>
      <c r="X215" s="469"/>
      <c r="Y215" s="469"/>
      <c r="Z215" s="470"/>
      <c r="AA215" s="469"/>
      <c r="AB215" s="469"/>
      <c r="AC215" s="469"/>
      <c r="AD215" s="469"/>
      <c r="AE215" s="472"/>
      <c r="AF215" s="473"/>
      <c r="AG215" s="475"/>
      <c r="AH215" s="475"/>
    </row>
    <row r="216" ht="15.75" customHeight="1">
      <c r="A216" s="344"/>
      <c r="B216" s="470"/>
      <c r="C216" s="470"/>
      <c r="D216" s="471"/>
      <c r="E216" s="469"/>
      <c r="F216" s="469"/>
      <c r="G216" s="470"/>
      <c r="H216" s="470"/>
      <c r="I216" s="470"/>
      <c r="J216" s="470"/>
      <c r="K216" s="469"/>
      <c r="L216" s="469"/>
      <c r="M216" s="469"/>
      <c r="N216" s="469"/>
      <c r="O216" s="469"/>
      <c r="P216" s="469"/>
      <c r="Q216" s="470"/>
      <c r="R216" s="469"/>
      <c r="S216" s="469"/>
      <c r="T216" s="470"/>
      <c r="U216" s="470"/>
      <c r="V216" s="470"/>
      <c r="W216" s="469"/>
      <c r="X216" s="469"/>
      <c r="Y216" s="469"/>
      <c r="Z216" s="470"/>
      <c r="AA216" s="469"/>
      <c r="AB216" s="469"/>
      <c r="AC216" s="469"/>
      <c r="AD216" s="469"/>
      <c r="AE216" s="472"/>
      <c r="AF216" s="473"/>
      <c r="AG216" s="475"/>
      <c r="AH216" s="475"/>
    </row>
    <row r="217" ht="15.75" customHeight="1">
      <c r="A217" s="344"/>
      <c r="B217" s="470"/>
      <c r="C217" s="470"/>
      <c r="D217" s="471"/>
      <c r="E217" s="469"/>
      <c r="F217" s="469"/>
      <c r="G217" s="470"/>
      <c r="H217" s="470"/>
      <c r="I217" s="470"/>
      <c r="J217" s="470"/>
      <c r="K217" s="469"/>
      <c r="L217" s="469"/>
      <c r="M217" s="469"/>
      <c r="N217" s="469"/>
      <c r="O217" s="469"/>
      <c r="P217" s="469"/>
      <c r="Q217" s="470"/>
      <c r="R217" s="469"/>
      <c r="S217" s="469"/>
      <c r="T217" s="470"/>
      <c r="U217" s="470"/>
      <c r="V217" s="470"/>
      <c r="W217" s="469"/>
      <c r="X217" s="469"/>
      <c r="Y217" s="469"/>
      <c r="Z217" s="470"/>
      <c r="AA217" s="469"/>
      <c r="AB217" s="469"/>
      <c r="AC217" s="469"/>
      <c r="AD217" s="469"/>
      <c r="AE217" s="472"/>
      <c r="AF217" s="473"/>
      <c r="AG217" s="475"/>
      <c r="AH217" s="475"/>
    </row>
    <row r="218" ht="15.75" customHeight="1">
      <c r="A218" s="344"/>
      <c r="B218" s="470"/>
      <c r="C218" s="470"/>
      <c r="D218" s="471"/>
      <c r="E218" s="469"/>
      <c r="F218" s="469"/>
      <c r="G218" s="470"/>
      <c r="H218" s="470"/>
      <c r="I218" s="470"/>
      <c r="J218" s="470"/>
      <c r="K218" s="469"/>
      <c r="L218" s="469"/>
      <c r="M218" s="469"/>
      <c r="N218" s="469"/>
      <c r="O218" s="469"/>
      <c r="P218" s="469"/>
      <c r="Q218" s="470"/>
      <c r="R218" s="469"/>
      <c r="S218" s="469"/>
      <c r="T218" s="470"/>
      <c r="U218" s="470"/>
      <c r="V218" s="470"/>
      <c r="W218" s="469"/>
      <c r="X218" s="469"/>
      <c r="Y218" s="469"/>
      <c r="Z218" s="470"/>
      <c r="AA218" s="469"/>
      <c r="AB218" s="469"/>
      <c r="AC218" s="469"/>
      <c r="AD218" s="469"/>
      <c r="AE218" s="472"/>
      <c r="AF218" s="473"/>
      <c r="AG218" s="475"/>
      <c r="AH218" s="475"/>
    </row>
    <row r="219" ht="15.75" customHeight="1">
      <c r="A219" s="344"/>
      <c r="B219" s="470"/>
      <c r="C219" s="470"/>
      <c r="D219" s="471"/>
      <c r="E219" s="469"/>
      <c r="F219" s="469"/>
      <c r="G219" s="470"/>
      <c r="H219" s="470"/>
      <c r="I219" s="470"/>
      <c r="J219" s="470"/>
      <c r="K219" s="469"/>
      <c r="L219" s="469"/>
      <c r="M219" s="469"/>
      <c r="N219" s="469"/>
      <c r="O219" s="469"/>
      <c r="P219" s="469"/>
      <c r="Q219" s="470"/>
      <c r="R219" s="469"/>
      <c r="S219" s="469"/>
      <c r="T219" s="470"/>
      <c r="U219" s="470"/>
      <c r="V219" s="470"/>
      <c r="W219" s="469"/>
      <c r="X219" s="469"/>
      <c r="Y219" s="469"/>
      <c r="Z219" s="470"/>
      <c r="AA219" s="469"/>
      <c r="AB219" s="469"/>
      <c r="AC219" s="469"/>
      <c r="AD219" s="469"/>
      <c r="AE219" s="472"/>
      <c r="AF219" s="473"/>
      <c r="AG219" s="475"/>
      <c r="AH219" s="475"/>
    </row>
    <row r="220" ht="15.75" customHeight="1">
      <c r="A220" s="344"/>
      <c r="B220" s="470"/>
      <c r="C220" s="470"/>
      <c r="D220" s="471"/>
      <c r="E220" s="469"/>
      <c r="F220" s="469"/>
      <c r="G220" s="470"/>
      <c r="H220" s="470"/>
      <c r="I220" s="470"/>
      <c r="J220" s="470"/>
      <c r="K220" s="469"/>
      <c r="L220" s="469"/>
      <c r="M220" s="469"/>
      <c r="N220" s="469"/>
      <c r="O220" s="469"/>
      <c r="P220" s="469"/>
      <c r="Q220" s="470"/>
      <c r="R220" s="469"/>
      <c r="S220" s="469"/>
      <c r="T220" s="470"/>
      <c r="U220" s="470"/>
      <c r="V220" s="470"/>
      <c r="W220" s="469"/>
      <c r="X220" s="469"/>
      <c r="Y220" s="469"/>
      <c r="Z220" s="470"/>
      <c r="AA220" s="469"/>
      <c r="AB220" s="469"/>
      <c r="AC220" s="469"/>
      <c r="AD220" s="469"/>
      <c r="AE220" s="472"/>
      <c r="AF220" s="473"/>
      <c r="AG220" s="475"/>
      <c r="AH220" s="475"/>
    </row>
    <row r="221" ht="15.75" customHeight="1">
      <c r="A221" s="344"/>
      <c r="B221" s="470"/>
      <c r="C221" s="470"/>
      <c r="D221" s="471"/>
      <c r="E221" s="469"/>
      <c r="F221" s="469"/>
      <c r="G221" s="470"/>
      <c r="H221" s="470"/>
      <c r="I221" s="470"/>
      <c r="J221" s="470"/>
      <c r="K221" s="469"/>
      <c r="L221" s="469"/>
      <c r="M221" s="469"/>
      <c r="N221" s="469"/>
      <c r="O221" s="469"/>
      <c r="P221" s="469"/>
      <c r="Q221" s="470"/>
      <c r="R221" s="469"/>
      <c r="S221" s="469"/>
      <c r="T221" s="470"/>
      <c r="U221" s="470"/>
      <c r="V221" s="470"/>
      <c r="W221" s="469"/>
      <c r="X221" s="469"/>
      <c r="Y221" s="469"/>
      <c r="Z221" s="470"/>
      <c r="AA221" s="469"/>
      <c r="AB221" s="469"/>
      <c r="AC221" s="469"/>
      <c r="AD221" s="469"/>
      <c r="AE221" s="472"/>
      <c r="AF221" s="473"/>
      <c r="AG221" s="475"/>
      <c r="AH221" s="475"/>
    </row>
    <row r="222" ht="15.75" customHeight="1">
      <c r="A222" s="344"/>
      <c r="B222" s="470"/>
      <c r="C222" s="470"/>
      <c r="D222" s="471"/>
      <c r="E222" s="469"/>
      <c r="F222" s="469"/>
      <c r="G222" s="470"/>
      <c r="H222" s="470"/>
      <c r="I222" s="470"/>
      <c r="J222" s="470"/>
      <c r="K222" s="469"/>
      <c r="L222" s="469"/>
      <c r="M222" s="469"/>
      <c r="N222" s="469"/>
      <c r="O222" s="469"/>
      <c r="P222" s="469"/>
      <c r="Q222" s="470"/>
      <c r="R222" s="469"/>
      <c r="S222" s="469"/>
      <c r="T222" s="470"/>
      <c r="U222" s="470"/>
      <c r="V222" s="470"/>
      <c r="W222" s="469"/>
      <c r="X222" s="469"/>
      <c r="Y222" s="469"/>
      <c r="Z222" s="470"/>
      <c r="AA222" s="469"/>
      <c r="AB222" s="469"/>
      <c r="AC222" s="469"/>
      <c r="AD222" s="469"/>
      <c r="AE222" s="472"/>
      <c r="AF222" s="473"/>
      <c r="AG222" s="475"/>
      <c r="AH222" s="475"/>
    </row>
    <row r="223" ht="15.75" customHeight="1">
      <c r="A223" s="344"/>
      <c r="B223" s="470"/>
      <c r="C223" s="470"/>
      <c r="D223" s="471"/>
      <c r="E223" s="469"/>
      <c r="F223" s="469"/>
      <c r="G223" s="470"/>
      <c r="H223" s="470"/>
      <c r="I223" s="470"/>
      <c r="J223" s="470"/>
      <c r="K223" s="469"/>
      <c r="L223" s="469"/>
      <c r="M223" s="469"/>
      <c r="N223" s="469"/>
      <c r="O223" s="469"/>
      <c r="P223" s="469"/>
      <c r="Q223" s="470"/>
      <c r="R223" s="469"/>
      <c r="S223" s="469"/>
      <c r="T223" s="470"/>
      <c r="U223" s="470"/>
      <c r="V223" s="470"/>
      <c r="W223" s="469"/>
      <c r="X223" s="469"/>
      <c r="Y223" s="469"/>
      <c r="Z223" s="470"/>
      <c r="AA223" s="469"/>
      <c r="AB223" s="469"/>
      <c r="AC223" s="469"/>
      <c r="AD223" s="469"/>
      <c r="AE223" s="472"/>
      <c r="AF223" s="473"/>
      <c r="AG223" s="475"/>
      <c r="AH223" s="475"/>
    </row>
    <row r="224" ht="15.75" customHeight="1">
      <c r="A224" s="344"/>
      <c r="B224" s="470"/>
      <c r="C224" s="470"/>
      <c r="D224" s="471"/>
      <c r="E224" s="469"/>
      <c r="F224" s="469"/>
      <c r="G224" s="470"/>
      <c r="H224" s="470"/>
      <c r="I224" s="470"/>
      <c r="J224" s="470"/>
      <c r="K224" s="469"/>
      <c r="L224" s="469"/>
      <c r="M224" s="469"/>
      <c r="N224" s="469"/>
      <c r="O224" s="469"/>
      <c r="P224" s="469"/>
      <c r="Q224" s="470"/>
      <c r="R224" s="469"/>
      <c r="S224" s="469"/>
      <c r="T224" s="470"/>
      <c r="U224" s="470"/>
      <c r="V224" s="470"/>
      <c r="W224" s="469"/>
      <c r="X224" s="469"/>
      <c r="Y224" s="469"/>
      <c r="Z224" s="470"/>
      <c r="AA224" s="469"/>
      <c r="AB224" s="469"/>
      <c r="AC224" s="469"/>
      <c r="AD224" s="469"/>
      <c r="AE224" s="472"/>
      <c r="AF224" s="473"/>
      <c r="AG224" s="475"/>
      <c r="AH224" s="475"/>
    </row>
    <row r="225" ht="15.75" customHeight="1">
      <c r="A225" s="344"/>
      <c r="B225" s="470"/>
      <c r="C225" s="470"/>
      <c r="D225" s="471"/>
      <c r="E225" s="469"/>
      <c r="F225" s="469"/>
      <c r="G225" s="470"/>
      <c r="H225" s="470"/>
      <c r="I225" s="470"/>
      <c r="J225" s="470"/>
      <c r="K225" s="469"/>
      <c r="L225" s="469"/>
      <c r="M225" s="469"/>
      <c r="N225" s="469"/>
      <c r="O225" s="469"/>
      <c r="P225" s="469"/>
      <c r="Q225" s="470"/>
      <c r="R225" s="469"/>
      <c r="S225" s="469"/>
      <c r="T225" s="470"/>
      <c r="U225" s="470"/>
      <c r="V225" s="470"/>
      <c r="W225" s="469"/>
      <c r="X225" s="469"/>
      <c r="Y225" s="469"/>
      <c r="Z225" s="470"/>
      <c r="AA225" s="469"/>
      <c r="AB225" s="469"/>
      <c r="AC225" s="469"/>
      <c r="AD225" s="469"/>
      <c r="AE225" s="472"/>
      <c r="AF225" s="473"/>
      <c r="AG225" s="475"/>
      <c r="AH225" s="475"/>
    </row>
    <row r="226" ht="15.75" customHeight="1">
      <c r="A226" s="344"/>
      <c r="B226" s="470"/>
      <c r="C226" s="470"/>
      <c r="D226" s="471"/>
      <c r="E226" s="469"/>
      <c r="F226" s="469"/>
      <c r="G226" s="470"/>
      <c r="H226" s="470"/>
      <c r="I226" s="470"/>
      <c r="J226" s="470"/>
      <c r="K226" s="469"/>
      <c r="L226" s="469"/>
      <c r="M226" s="469"/>
      <c r="N226" s="469"/>
      <c r="O226" s="469"/>
      <c r="P226" s="469"/>
      <c r="Q226" s="470"/>
      <c r="R226" s="469"/>
      <c r="S226" s="469"/>
      <c r="T226" s="470"/>
      <c r="U226" s="470"/>
      <c r="V226" s="470"/>
      <c r="W226" s="469"/>
      <c r="X226" s="469"/>
      <c r="Y226" s="469"/>
      <c r="Z226" s="470"/>
      <c r="AA226" s="469"/>
      <c r="AB226" s="469"/>
      <c r="AC226" s="469"/>
      <c r="AD226" s="469"/>
      <c r="AE226" s="472"/>
      <c r="AF226" s="473"/>
      <c r="AG226" s="475"/>
      <c r="AH226" s="475"/>
    </row>
    <row r="227" ht="15.75" customHeight="1">
      <c r="A227" s="344"/>
      <c r="B227" s="470"/>
      <c r="C227" s="470"/>
      <c r="D227" s="471"/>
      <c r="E227" s="469"/>
      <c r="F227" s="469"/>
      <c r="G227" s="470"/>
      <c r="H227" s="470"/>
      <c r="I227" s="470"/>
      <c r="J227" s="470"/>
      <c r="K227" s="469"/>
      <c r="L227" s="469"/>
      <c r="M227" s="469"/>
      <c r="N227" s="469"/>
      <c r="O227" s="469"/>
      <c r="P227" s="469"/>
      <c r="Q227" s="470"/>
      <c r="R227" s="469"/>
      <c r="S227" s="469"/>
      <c r="T227" s="470"/>
      <c r="U227" s="470"/>
      <c r="V227" s="470"/>
      <c r="W227" s="469"/>
      <c r="X227" s="469"/>
      <c r="Y227" s="469"/>
      <c r="Z227" s="470"/>
      <c r="AA227" s="469"/>
      <c r="AB227" s="469"/>
      <c r="AC227" s="469"/>
      <c r="AD227" s="469"/>
      <c r="AE227" s="472"/>
      <c r="AF227" s="473"/>
      <c r="AG227" s="475"/>
      <c r="AH227" s="475"/>
    </row>
    <row r="228" ht="15.75" customHeight="1">
      <c r="A228" s="344"/>
      <c r="B228" s="470"/>
      <c r="C228" s="470"/>
      <c r="D228" s="471"/>
      <c r="E228" s="469"/>
      <c r="F228" s="469"/>
      <c r="G228" s="470"/>
      <c r="H228" s="470"/>
      <c r="I228" s="470"/>
      <c r="J228" s="470"/>
      <c r="K228" s="469"/>
      <c r="L228" s="469"/>
      <c r="M228" s="469"/>
      <c r="N228" s="469"/>
      <c r="O228" s="469"/>
      <c r="P228" s="469"/>
      <c r="Q228" s="470"/>
      <c r="R228" s="469"/>
      <c r="S228" s="469"/>
      <c r="T228" s="470"/>
      <c r="U228" s="470"/>
      <c r="V228" s="470"/>
      <c r="W228" s="469"/>
      <c r="X228" s="469"/>
      <c r="Y228" s="469"/>
      <c r="Z228" s="470"/>
      <c r="AA228" s="469"/>
      <c r="AB228" s="469"/>
      <c r="AC228" s="469"/>
      <c r="AD228" s="469"/>
      <c r="AE228" s="472"/>
      <c r="AF228" s="473"/>
      <c r="AG228" s="475"/>
      <c r="AH228" s="475"/>
    </row>
    <row r="229" ht="15.75" customHeight="1">
      <c r="A229" s="344"/>
      <c r="B229" s="470"/>
      <c r="C229" s="470"/>
      <c r="D229" s="471"/>
      <c r="E229" s="469"/>
      <c r="F229" s="469"/>
      <c r="G229" s="470"/>
      <c r="H229" s="470"/>
      <c r="I229" s="470"/>
      <c r="J229" s="470"/>
      <c r="K229" s="469"/>
      <c r="L229" s="469"/>
      <c r="M229" s="469"/>
      <c r="N229" s="469"/>
      <c r="O229" s="469"/>
      <c r="P229" s="469"/>
      <c r="Q229" s="470"/>
      <c r="R229" s="469"/>
      <c r="S229" s="469"/>
      <c r="T229" s="470"/>
      <c r="U229" s="470"/>
      <c r="V229" s="470"/>
      <c r="W229" s="469"/>
      <c r="X229" s="469"/>
      <c r="Y229" s="469"/>
      <c r="Z229" s="470"/>
      <c r="AA229" s="469"/>
      <c r="AB229" s="469"/>
      <c r="AC229" s="469"/>
      <c r="AD229" s="469"/>
      <c r="AE229" s="472"/>
      <c r="AF229" s="473"/>
      <c r="AG229" s="475"/>
      <c r="AH229" s="475"/>
    </row>
    <row r="230" ht="15.75" customHeight="1">
      <c r="A230" s="344"/>
      <c r="B230" s="470"/>
      <c r="C230" s="470"/>
      <c r="D230" s="471"/>
      <c r="E230" s="469"/>
      <c r="F230" s="469"/>
      <c r="G230" s="470"/>
      <c r="H230" s="470"/>
      <c r="I230" s="470"/>
      <c r="J230" s="470"/>
      <c r="K230" s="469"/>
      <c r="L230" s="469"/>
      <c r="M230" s="469"/>
      <c r="N230" s="469"/>
      <c r="O230" s="469"/>
      <c r="P230" s="469"/>
      <c r="Q230" s="470"/>
      <c r="R230" s="469"/>
      <c r="S230" s="469"/>
      <c r="T230" s="470"/>
      <c r="U230" s="470"/>
      <c r="V230" s="470"/>
      <c r="W230" s="469"/>
      <c r="X230" s="469"/>
      <c r="Y230" s="469"/>
      <c r="Z230" s="470"/>
      <c r="AA230" s="469"/>
      <c r="AB230" s="469"/>
      <c r="AC230" s="469"/>
      <c r="AD230" s="469"/>
      <c r="AE230" s="472"/>
      <c r="AF230" s="473"/>
      <c r="AG230" s="475"/>
      <c r="AH230" s="475"/>
    </row>
    <row r="231" ht="15.75" customHeight="1">
      <c r="A231" s="344"/>
      <c r="B231" s="470"/>
      <c r="C231" s="470"/>
      <c r="D231" s="471"/>
      <c r="E231" s="469"/>
      <c r="F231" s="469"/>
      <c r="G231" s="470"/>
      <c r="H231" s="470"/>
      <c r="I231" s="470"/>
      <c r="J231" s="470"/>
      <c r="K231" s="469"/>
      <c r="L231" s="469"/>
      <c r="M231" s="469"/>
      <c r="N231" s="469"/>
      <c r="O231" s="469"/>
      <c r="P231" s="469"/>
      <c r="Q231" s="470"/>
      <c r="R231" s="469"/>
      <c r="S231" s="469"/>
      <c r="T231" s="470"/>
      <c r="U231" s="470"/>
      <c r="V231" s="470"/>
      <c r="W231" s="469"/>
      <c r="X231" s="469"/>
      <c r="Y231" s="469"/>
      <c r="Z231" s="470"/>
      <c r="AA231" s="469"/>
      <c r="AB231" s="469"/>
      <c r="AC231" s="469"/>
      <c r="AD231" s="469"/>
      <c r="AE231" s="472"/>
      <c r="AF231" s="473"/>
      <c r="AG231" s="475"/>
      <c r="AH231" s="475"/>
    </row>
    <row r="232" ht="15.75" customHeight="1">
      <c r="A232" s="344"/>
      <c r="B232" s="470"/>
      <c r="C232" s="470"/>
      <c r="D232" s="471"/>
      <c r="E232" s="469"/>
      <c r="F232" s="469"/>
      <c r="G232" s="470"/>
      <c r="H232" s="470"/>
      <c r="I232" s="470"/>
      <c r="J232" s="470"/>
      <c r="K232" s="469"/>
      <c r="L232" s="469"/>
      <c r="M232" s="469"/>
      <c r="N232" s="469"/>
      <c r="O232" s="469"/>
      <c r="P232" s="469"/>
      <c r="Q232" s="470"/>
      <c r="R232" s="469"/>
      <c r="S232" s="469"/>
      <c r="T232" s="470"/>
      <c r="U232" s="470"/>
      <c r="V232" s="470"/>
      <c r="W232" s="469"/>
      <c r="X232" s="469"/>
      <c r="Y232" s="469"/>
      <c r="Z232" s="470"/>
      <c r="AA232" s="469"/>
      <c r="AB232" s="469"/>
      <c r="AC232" s="469"/>
      <c r="AD232" s="469"/>
      <c r="AE232" s="472"/>
      <c r="AF232" s="473"/>
      <c r="AG232" s="475"/>
      <c r="AH232" s="475"/>
    </row>
    <row r="233" ht="15.75" customHeight="1">
      <c r="A233" s="344"/>
      <c r="B233" s="470"/>
      <c r="C233" s="470"/>
      <c r="D233" s="471"/>
      <c r="E233" s="469"/>
      <c r="F233" s="469"/>
      <c r="G233" s="470"/>
      <c r="H233" s="470"/>
      <c r="I233" s="470"/>
      <c r="J233" s="470"/>
      <c r="K233" s="469"/>
      <c r="L233" s="469"/>
      <c r="M233" s="469"/>
      <c r="N233" s="469"/>
      <c r="O233" s="469"/>
      <c r="P233" s="469"/>
      <c r="Q233" s="470"/>
      <c r="R233" s="469"/>
      <c r="S233" s="469"/>
      <c r="T233" s="470"/>
      <c r="U233" s="470"/>
      <c r="V233" s="470"/>
      <c r="W233" s="469"/>
      <c r="X233" s="469"/>
      <c r="Y233" s="469"/>
      <c r="Z233" s="470"/>
      <c r="AA233" s="469"/>
      <c r="AB233" s="469"/>
      <c r="AC233" s="469"/>
      <c r="AD233" s="469"/>
      <c r="AE233" s="472"/>
      <c r="AF233" s="473"/>
      <c r="AG233" s="475"/>
      <c r="AH233" s="475"/>
    </row>
    <row r="234" ht="15.75" customHeight="1">
      <c r="A234" s="344"/>
      <c r="B234" s="470"/>
      <c r="C234" s="470"/>
      <c r="D234" s="471"/>
      <c r="E234" s="469"/>
      <c r="F234" s="469"/>
      <c r="G234" s="470"/>
      <c r="H234" s="470"/>
      <c r="I234" s="470"/>
      <c r="J234" s="470"/>
      <c r="K234" s="469"/>
      <c r="L234" s="469"/>
      <c r="M234" s="469"/>
      <c r="N234" s="469"/>
      <c r="O234" s="469"/>
      <c r="P234" s="469"/>
      <c r="Q234" s="470"/>
      <c r="R234" s="469"/>
      <c r="S234" s="469"/>
      <c r="T234" s="470"/>
      <c r="U234" s="470"/>
      <c r="V234" s="470"/>
      <c r="W234" s="469"/>
      <c r="X234" s="469"/>
      <c r="Y234" s="469"/>
      <c r="Z234" s="470"/>
      <c r="AA234" s="469"/>
      <c r="AB234" s="469"/>
      <c r="AC234" s="469"/>
      <c r="AD234" s="469"/>
      <c r="AE234" s="472"/>
      <c r="AF234" s="473"/>
      <c r="AG234" s="475"/>
      <c r="AH234" s="475"/>
    </row>
    <row r="235" ht="15.75" customHeight="1">
      <c r="A235" s="344"/>
      <c r="B235" s="470"/>
      <c r="C235" s="470"/>
      <c r="D235" s="471"/>
      <c r="E235" s="469"/>
      <c r="F235" s="469"/>
      <c r="G235" s="470"/>
      <c r="H235" s="470"/>
      <c r="I235" s="470"/>
      <c r="J235" s="470"/>
      <c r="K235" s="469"/>
      <c r="L235" s="469"/>
      <c r="M235" s="469"/>
      <c r="N235" s="469"/>
      <c r="O235" s="469"/>
      <c r="P235" s="469"/>
      <c r="Q235" s="470"/>
      <c r="R235" s="469"/>
      <c r="S235" s="469"/>
      <c r="T235" s="470"/>
      <c r="U235" s="470"/>
      <c r="V235" s="470"/>
      <c r="W235" s="469"/>
      <c r="X235" s="469"/>
      <c r="Y235" s="469"/>
      <c r="Z235" s="470"/>
      <c r="AA235" s="469"/>
      <c r="AB235" s="469"/>
      <c r="AC235" s="469"/>
      <c r="AD235" s="469"/>
      <c r="AE235" s="472"/>
      <c r="AF235" s="473"/>
      <c r="AG235" s="475"/>
      <c r="AH235" s="475"/>
    </row>
    <row r="236" ht="15.75" customHeight="1">
      <c r="A236" s="344"/>
      <c r="B236" s="470"/>
      <c r="C236" s="470"/>
      <c r="D236" s="471"/>
      <c r="E236" s="469"/>
      <c r="F236" s="469"/>
      <c r="G236" s="470"/>
      <c r="H236" s="470"/>
      <c r="I236" s="470"/>
      <c r="J236" s="470"/>
      <c r="K236" s="469"/>
      <c r="L236" s="469"/>
      <c r="M236" s="469"/>
      <c r="N236" s="469"/>
      <c r="O236" s="469"/>
      <c r="P236" s="469"/>
      <c r="Q236" s="470"/>
      <c r="R236" s="469"/>
      <c r="S236" s="469"/>
      <c r="T236" s="470"/>
      <c r="U236" s="470"/>
      <c r="V236" s="470"/>
      <c r="W236" s="469"/>
      <c r="X236" s="469"/>
      <c r="Y236" s="469"/>
      <c r="Z236" s="470"/>
      <c r="AA236" s="469"/>
      <c r="AB236" s="469"/>
      <c r="AC236" s="469"/>
      <c r="AD236" s="469"/>
      <c r="AE236" s="472"/>
      <c r="AF236" s="473"/>
      <c r="AG236" s="475"/>
      <c r="AH236" s="475"/>
    </row>
    <row r="237" ht="15.75" customHeight="1">
      <c r="A237" s="344"/>
      <c r="B237" s="470"/>
      <c r="C237" s="470"/>
      <c r="D237" s="471"/>
      <c r="E237" s="469"/>
      <c r="F237" s="469"/>
      <c r="G237" s="470"/>
      <c r="H237" s="470"/>
      <c r="I237" s="470"/>
      <c r="J237" s="470"/>
      <c r="K237" s="469"/>
      <c r="L237" s="469"/>
      <c r="M237" s="469"/>
      <c r="N237" s="469"/>
      <c r="O237" s="469"/>
      <c r="P237" s="469"/>
      <c r="Q237" s="470"/>
      <c r="R237" s="469"/>
      <c r="S237" s="469"/>
      <c r="T237" s="470"/>
      <c r="U237" s="470"/>
      <c r="V237" s="470"/>
      <c r="W237" s="469"/>
      <c r="X237" s="469"/>
      <c r="Y237" s="469"/>
      <c r="Z237" s="470"/>
      <c r="AA237" s="469"/>
      <c r="AB237" s="469"/>
      <c r="AC237" s="469"/>
      <c r="AD237" s="469"/>
      <c r="AE237" s="472"/>
      <c r="AF237" s="473"/>
      <c r="AG237" s="475"/>
      <c r="AH237" s="475"/>
    </row>
    <row r="238" ht="15.75" customHeight="1">
      <c r="A238" s="344"/>
      <c r="B238" s="470"/>
      <c r="C238" s="470"/>
      <c r="D238" s="471"/>
      <c r="E238" s="469"/>
      <c r="F238" s="469"/>
      <c r="G238" s="470"/>
      <c r="H238" s="470"/>
      <c r="I238" s="470"/>
      <c r="J238" s="470"/>
      <c r="K238" s="469"/>
      <c r="L238" s="469"/>
      <c r="M238" s="469"/>
      <c r="N238" s="469"/>
      <c r="O238" s="469"/>
      <c r="P238" s="469"/>
      <c r="Q238" s="470"/>
      <c r="R238" s="469"/>
      <c r="S238" s="469"/>
      <c r="T238" s="470"/>
      <c r="U238" s="470"/>
      <c r="V238" s="470"/>
      <c r="W238" s="469"/>
      <c r="X238" s="469"/>
      <c r="Y238" s="469"/>
      <c r="Z238" s="470"/>
      <c r="AA238" s="469"/>
      <c r="AB238" s="469"/>
      <c r="AC238" s="469"/>
      <c r="AD238" s="469"/>
      <c r="AE238" s="472"/>
      <c r="AF238" s="473"/>
      <c r="AG238" s="475"/>
      <c r="AH238" s="475"/>
    </row>
    <row r="239" ht="15.75" customHeight="1">
      <c r="A239" s="344"/>
      <c r="B239" s="470"/>
      <c r="C239" s="470"/>
      <c r="D239" s="471"/>
      <c r="E239" s="469"/>
      <c r="F239" s="469"/>
      <c r="G239" s="470"/>
      <c r="H239" s="470"/>
      <c r="I239" s="470"/>
      <c r="J239" s="470"/>
      <c r="K239" s="469"/>
      <c r="L239" s="469"/>
      <c r="M239" s="469"/>
      <c r="N239" s="469"/>
      <c r="O239" s="469"/>
      <c r="P239" s="469"/>
      <c r="Q239" s="470"/>
      <c r="R239" s="469"/>
      <c r="S239" s="469"/>
      <c r="T239" s="470"/>
      <c r="U239" s="470"/>
      <c r="V239" s="470"/>
      <c r="W239" s="469"/>
      <c r="X239" s="469"/>
      <c r="Y239" s="469"/>
      <c r="Z239" s="470"/>
      <c r="AA239" s="469"/>
      <c r="AB239" s="469"/>
      <c r="AC239" s="469"/>
      <c r="AD239" s="469"/>
      <c r="AE239" s="472"/>
      <c r="AF239" s="473"/>
      <c r="AG239" s="475"/>
      <c r="AH239" s="475"/>
    </row>
    <row r="240" ht="15.75" customHeight="1">
      <c r="A240" s="344"/>
      <c r="B240" s="470"/>
      <c r="C240" s="470"/>
      <c r="D240" s="471"/>
      <c r="E240" s="469"/>
      <c r="F240" s="469"/>
      <c r="G240" s="470"/>
      <c r="H240" s="470"/>
      <c r="I240" s="470"/>
      <c r="J240" s="470"/>
      <c r="K240" s="469"/>
      <c r="L240" s="469"/>
      <c r="M240" s="469"/>
      <c r="N240" s="469"/>
      <c r="O240" s="469"/>
      <c r="P240" s="469"/>
      <c r="Q240" s="470"/>
      <c r="R240" s="469"/>
      <c r="S240" s="469"/>
      <c r="T240" s="470"/>
      <c r="U240" s="470"/>
      <c r="V240" s="470"/>
      <c r="W240" s="469"/>
      <c r="X240" s="469"/>
      <c r="Y240" s="469"/>
      <c r="Z240" s="470"/>
      <c r="AA240" s="469"/>
      <c r="AB240" s="469"/>
      <c r="AC240" s="469"/>
      <c r="AD240" s="469"/>
      <c r="AE240" s="472"/>
      <c r="AF240" s="473"/>
      <c r="AG240" s="475"/>
      <c r="AH240" s="475"/>
    </row>
    <row r="241" ht="15.75" customHeight="1">
      <c r="A241" s="344"/>
      <c r="B241" s="470"/>
      <c r="C241" s="470"/>
      <c r="D241" s="471"/>
      <c r="E241" s="469"/>
      <c r="F241" s="469"/>
      <c r="G241" s="470"/>
      <c r="H241" s="470"/>
      <c r="I241" s="470"/>
      <c r="J241" s="470"/>
      <c r="K241" s="469"/>
      <c r="L241" s="469"/>
      <c r="M241" s="469"/>
      <c r="N241" s="469"/>
      <c r="O241" s="469"/>
      <c r="P241" s="469"/>
      <c r="Q241" s="470"/>
      <c r="R241" s="469"/>
      <c r="S241" s="469"/>
      <c r="T241" s="470"/>
      <c r="U241" s="470"/>
      <c r="V241" s="470"/>
      <c r="W241" s="469"/>
      <c r="X241" s="469"/>
      <c r="Y241" s="469"/>
      <c r="Z241" s="470"/>
      <c r="AA241" s="469"/>
      <c r="AB241" s="469"/>
      <c r="AC241" s="469"/>
      <c r="AD241" s="469"/>
      <c r="AE241" s="472"/>
      <c r="AF241" s="473"/>
      <c r="AG241" s="475"/>
      <c r="AH241" s="475"/>
    </row>
    <row r="242" ht="15.75" customHeight="1">
      <c r="A242" s="344"/>
      <c r="B242" s="470"/>
      <c r="C242" s="470"/>
      <c r="D242" s="471"/>
      <c r="E242" s="469"/>
      <c r="F242" s="469"/>
      <c r="G242" s="470"/>
      <c r="H242" s="470"/>
      <c r="I242" s="470"/>
      <c r="J242" s="470"/>
      <c r="K242" s="469"/>
      <c r="L242" s="469"/>
      <c r="M242" s="469"/>
      <c r="N242" s="469"/>
      <c r="O242" s="469"/>
      <c r="P242" s="469"/>
      <c r="Q242" s="470"/>
      <c r="R242" s="469"/>
      <c r="S242" s="469"/>
      <c r="T242" s="470"/>
      <c r="U242" s="470"/>
      <c r="V242" s="470"/>
      <c r="W242" s="469"/>
      <c r="X242" s="469"/>
      <c r="Y242" s="469"/>
      <c r="Z242" s="470"/>
      <c r="AA242" s="469"/>
      <c r="AB242" s="469"/>
      <c r="AC242" s="469"/>
      <c r="AD242" s="469"/>
      <c r="AE242" s="472"/>
      <c r="AF242" s="473"/>
      <c r="AG242" s="475"/>
      <c r="AH242" s="475"/>
    </row>
    <row r="243" ht="15.75" customHeight="1">
      <c r="A243" s="344"/>
      <c r="B243" s="470"/>
      <c r="C243" s="470"/>
      <c r="D243" s="471"/>
      <c r="E243" s="469"/>
      <c r="F243" s="469"/>
      <c r="G243" s="470"/>
      <c r="H243" s="470"/>
      <c r="I243" s="470"/>
      <c r="J243" s="470"/>
      <c r="K243" s="469"/>
      <c r="L243" s="469"/>
      <c r="M243" s="469"/>
      <c r="N243" s="469"/>
      <c r="O243" s="469"/>
      <c r="P243" s="469"/>
      <c r="Q243" s="470"/>
      <c r="R243" s="469"/>
      <c r="S243" s="469"/>
      <c r="T243" s="470"/>
      <c r="U243" s="470"/>
      <c r="V243" s="470"/>
      <c r="W243" s="469"/>
      <c r="X243" s="469"/>
      <c r="Y243" s="469"/>
      <c r="Z243" s="470"/>
      <c r="AA243" s="469"/>
      <c r="AB243" s="469"/>
      <c r="AC243" s="469"/>
      <c r="AD243" s="469"/>
      <c r="AE243" s="472"/>
      <c r="AF243" s="473"/>
      <c r="AG243" s="475"/>
      <c r="AH243" s="475"/>
    </row>
    <row r="244" ht="15.75" customHeight="1">
      <c r="A244" s="344"/>
      <c r="B244" s="470"/>
      <c r="C244" s="470"/>
      <c r="D244" s="471"/>
      <c r="E244" s="469"/>
      <c r="F244" s="469"/>
      <c r="G244" s="470"/>
      <c r="H244" s="470"/>
      <c r="I244" s="470"/>
      <c r="J244" s="470"/>
      <c r="K244" s="469"/>
      <c r="L244" s="469"/>
      <c r="M244" s="469"/>
      <c r="N244" s="469"/>
      <c r="O244" s="469"/>
      <c r="P244" s="469"/>
      <c r="Q244" s="470"/>
      <c r="R244" s="469"/>
      <c r="S244" s="469"/>
      <c r="T244" s="470"/>
      <c r="U244" s="470"/>
      <c r="V244" s="470"/>
      <c r="W244" s="469"/>
      <c r="X244" s="469"/>
      <c r="Y244" s="469"/>
      <c r="Z244" s="470"/>
      <c r="AA244" s="469"/>
      <c r="AB244" s="469"/>
      <c r="AC244" s="469"/>
      <c r="AD244" s="469"/>
      <c r="AE244" s="472"/>
      <c r="AF244" s="473"/>
      <c r="AG244" s="475"/>
      <c r="AH244" s="475"/>
    </row>
    <row r="245" ht="15.75" customHeight="1">
      <c r="A245" s="344"/>
      <c r="B245" s="470"/>
      <c r="C245" s="470"/>
      <c r="D245" s="471"/>
      <c r="E245" s="469"/>
      <c r="F245" s="469"/>
      <c r="G245" s="470"/>
      <c r="H245" s="470"/>
      <c r="I245" s="470"/>
      <c r="J245" s="470"/>
      <c r="K245" s="469"/>
      <c r="L245" s="469"/>
      <c r="M245" s="469"/>
      <c r="N245" s="469"/>
      <c r="O245" s="469"/>
      <c r="P245" s="469"/>
      <c r="Q245" s="470"/>
      <c r="R245" s="469"/>
      <c r="S245" s="469"/>
      <c r="T245" s="470"/>
      <c r="U245" s="470"/>
      <c r="V245" s="470"/>
      <c r="W245" s="469"/>
      <c r="X245" s="469"/>
      <c r="Y245" s="469"/>
      <c r="Z245" s="470"/>
      <c r="AA245" s="469"/>
      <c r="AB245" s="469"/>
      <c r="AC245" s="469"/>
      <c r="AD245" s="469"/>
      <c r="AE245" s="472"/>
      <c r="AF245" s="473"/>
      <c r="AG245" s="475"/>
      <c r="AH245" s="475"/>
    </row>
    <row r="246" ht="15.75" customHeight="1">
      <c r="A246" s="344"/>
      <c r="B246" s="470"/>
      <c r="C246" s="470"/>
      <c r="D246" s="471"/>
      <c r="E246" s="469"/>
      <c r="F246" s="469"/>
      <c r="G246" s="470"/>
      <c r="H246" s="470"/>
      <c r="I246" s="470"/>
      <c r="J246" s="470"/>
      <c r="K246" s="469"/>
      <c r="L246" s="469"/>
      <c r="M246" s="469"/>
      <c r="N246" s="469"/>
      <c r="O246" s="469"/>
      <c r="P246" s="469"/>
      <c r="Q246" s="470"/>
      <c r="R246" s="469"/>
      <c r="S246" s="469"/>
      <c r="T246" s="470"/>
      <c r="U246" s="470"/>
      <c r="V246" s="470"/>
      <c r="W246" s="469"/>
      <c r="X246" s="469"/>
      <c r="Y246" s="469"/>
      <c r="Z246" s="470"/>
      <c r="AA246" s="469"/>
      <c r="AB246" s="469"/>
      <c r="AC246" s="469"/>
      <c r="AD246" s="469"/>
      <c r="AE246" s="472"/>
      <c r="AF246" s="473"/>
      <c r="AG246" s="475"/>
      <c r="AH246" s="475"/>
    </row>
    <row r="247" ht="15.75" customHeight="1">
      <c r="A247" s="344"/>
      <c r="B247" s="470"/>
      <c r="C247" s="470"/>
      <c r="D247" s="471"/>
      <c r="E247" s="469"/>
      <c r="F247" s="469"/>
      <c r="G247" s="470"/>
      <c r="H247" s="470"/>
      <c r="I247" s="470"/>
      <c r="J247" s="470"/>
      <c r="K247" s="469"/>
      <c r="L247" s="469"/>
      <c r="M247" s="469"/>
      <c r="N247" s="469"/>
      <c r="O247" s="469"/>
      <c r="P247" s="469"/>
      <c r="Q247" s="470"/>
      <c r="R247" s="469"/>
      <c r="S247" s="469"/>
      <c r="T247" s="470"/>
      <c r="U247" s="470"/>
      <c r="V247" s="470"/>
      <c r="W247" s="469"/>
      <c r="X247" s="469"/>
      <c r="Y247" s="469"/>
      <c r="Z247" s="470"/>
      <c r="AA247" s="469"/>
      <c r="AB247" s="469"/>
      <c r="AC247" s="469"/>
      <c r="AD247" s="469"/>
      <c r="AE247" s="472"/>
      <c r="AF247" s="473"/>
      <c r="AG247" s="475"/>
      <c r="AH247" s="475"/>
    </row>
    <row r="248" ht="15.75" customHeight="1">
      <c r="A248" s="344"/>
      <c r="B248" s="470"/>
      <c r="C248" s="470"/>
      <c r="D248" s="471"/>
      <c r="E248" s="469"/>
      <c r="F248" s="469"/>
      <c r="G248" s="470"/>
      <c r="H248" s="470"/>
      <c r="I248" s="470"/>
      <c r="J248" s="470"/>
      <c r="K248" s="469"/>
      <c r="L248" s="469"/>
      <c r="M248" s="469"/>
      <c r="N248" s="469"/>
      <c r="O248" s="469"/>
      <c r="P248" s="469"/>
      <c r="Q248" s="470"/>
      <c r="R248" s="469"/>
      <c r="S248" s="469"/>
      <c r="T248" s="470"/>
      <c r="U248" s="470"/>
      <c r="V248" s="470"/>
      <c r="W248" s="469"/>
      <c r="X248" s="469"/>
      <c r="Y248" s="469"/>
      <c r="Z248" s="470"/>
      <c r="AA248" s="469"/>
      <c r="AB248" s="469"/>
      <c r="AC248" s="469"/>
      <c r="AD248" s="469"/>
      <c r="AE248" s="472"/>
      <c r="AF248" s="473"/>
      <c r="AG248" s="475"/>
      <c r="AH248" s="475"/>
    </row>
    <row r="249" ht="15.75" customHeight="1">
      <c r="A249" s="344"/>
      <c r="B249" s="470"/>
      <c r="C249" s="470"/>
      <c r="D249" s="471"/>
      <c r="E249" s="469"/>
      <c r="F249" s="469"/>
      <c r="G249" s="470"/>
      <c r="H249" s="470"/>
      <c r="I249" s="470"/>
      <c r="J249" s="470"/>
      <c r="K249" s="469"/>
      <c r="L249" s="469"/>
      <c r="M249" s="469"/>
      <c r="N249" s="469"/>
      <c r="O249" s="469"/>
      <c r="P249" s="469"/>
      <c r="Q249" s="470"/>
      <c r="R249" s="469"/>
      <c r="S249" s="469"/>
      <c r="T249" s="470"/>
      <c r="U249" s="470"/>
      <c r="V249" s="470"/>
      <c r="W249" s="469"/>
      <c r="X249" s="469"/>
      <c r="Y249" s="469"/>
      <c r="Z249" s="470"/>
      <c r="AA249" s="469"/>
      <c r="AB249" s="469"/>
      <c r="AC249" s="469"/>
      <c r="AD249" s="469"/>
      <c r="AE249" s="472"/>
      <c r="AF249" s="473"/>
      <c r="AG249" s="475"/>
      <c r="AH249" s="475"/>
    </row>
    <row r="250" ht="15.75" customHeight="1">
      <c r="A250" s="344"/>
      <c r="B250" s="470"/>
      <c r="C250" s="470"/>
      <c r="D250" s="471"/>
      <c r="E250" s="469"/>
      <c r="F250" s="469"/>
      <c r="G250" s="470"/>
      <c r="H250" s="470"/>
      <c r="I250" s="470"/>
      <c r="J250" s="470"/>
      <c r="K250" s="469"/>
      <c r="L250" s="469"/>
      <c r="M250" s="469"/>
      <c r="N250" s="469"/>
      <c r="O250" s="469"/>
      <c r="P250" s="469"/>
      <c r="Q250" s="470"/>
      <c r="R250" s="469"/>
      <c r="S250" s="469"/>
      <c r="T250" s="470"/>
      <c r="U250" s="470"/>
      <c r="V250" s="470"/>
      <c r="W250" s="469"/>
      <c r="X250" s="469"/>
      <c r="Y250" s="469"/>
      <c r="Z250" s="470"/>
      <c r="AA250" s="469"/>
      <c r="AB250" s="469"/>
      <c r="AC250" s="469"/>
      <c r="AD250" s="469"/>
      <c r="AE250" s="472"/>
      <c r="AF250" s="473"/>
      <c r="AG250" s="475"/>
      <c r="AH250" s="475"/>
    </row>
    <row r="251" ht="15.75" customHeight="1">
      <c r="A251" s="344"/>
      <c r="B251" s="470"/>
      <c r="C251" s="470"/>
      <c r="D251" s="471"/>
      <c r="E251" s="469"/>
      <c r="F251" s="469"/>
      <c r="G251" s="470"/>
      <c r="H251" s="470"/>
      <c r="I251" s="470"/>
      <c r="J251" s="470"/>
      <c r="K251" s="469"/>
      <c r="L251" s="469"/>
      <c r="M251" s="469"/>
      <c r="N251" s="469"/>
      <c r="O251" s="469"/>
      <c r="P251" s="469"/>
      <c r="Q251" s="470"/>
      <c r="R251" s="469"/>
      <c r="S251" s="469"/>
      <c r="T251" s="470"/>
      <c r="U251" s="470"/>
      <c r="V251" s="470"/>
      <c r="W251" s="469"/>
      <c r="X251" s="469"/>
      <c r="Y251" s="469"/>
      <c r="Z251" s="470"/>
      <c r="AA251" s="469"/>
      <c r="AB251" s="469"/>
      <c r="AC251" s="469"/>
      <c r="AD251" s="469"/>
      <c r="AE251" s="472"/>
      <c r="AF251" s="473"/>
      <c r="AG251" s="475"/>
      <c r="AH251" s="475"/>
    </row>
    <row r="252" ht="15.75" customHeight="1">
      <c r="A252" s="344"/>
      <c r="B252" s="470"/>
      <c r="C252" s="470"/>
      <c r="D252" s="471"/>
      <c r="E252" s="469"/>
      <c r="F252" s="469"/>
      <c r="G252" s="470"/>
      <c r="H252" s="470"/>
      <c r="I252" s="470"/>
      <c r="J252" s="470"/>
      <c r="K252" s="469"/>
      <c r="L252" s="469"/>
      <c r="M252" s="469"/>
      <c r="N252" s="469"/>
      <c r="O252" s="469"/>
      <c r="P252" s="469"/>
      <c r="Q252" s="470"/>
      <c r="R252" s="469"/>
      <c r="S252" s="469"/>
      <c r="T252" s="470"/>
      <c r="U252" s="470"/>
      <c r="V252" s="470"/>
      <c r="W252" s="469"/>
      <c r="X252" s="469"/>
      <c r="Y252" s="469"/>
      <c r="Z252" s="470"/>
      <c r="AA252" s="469"/>
      <c r="AB252" s="469"/>
      <c r="AC252" s="469"/>
      <c r="AD252" s="469"/>
      <c r="AE252" s="472"/>
      <c r="AF252" s="473"/>
      <c r="AG252" s="475"/>
      <c r="AH252" s="475"/>
    </row>
    <row r="253" ht="15.75" customHeight="1">
      <c r="A253" s="344"/>
      <c r="B253" s="470"/>
      <c r="C253" s="470"/>
      <c r="D253" s="471"/>
      <c r="E253" s="469"/>
      <c r="F253" s="469"/>
      <c r="G253" s="470"/>
      <c r="H253" s="470"/>
      <c r="I253" s="470"/>
      <c r="J253" s="470"/>
      <c r="K253" s="469"/>
      <c r="L253" s="469"/>
      <c r="M253" s="469"/>
      <c r="N253" s="469"/>
      <c r="O253" s="469"/>
      <c r="P253" s="469"/>
      <c r="Q253" s="470"/>
      <c r="R253" s="469"/>
      <c r="S253" s="469"/>
      <c r="T253" s="470"/>
      <c r="U253" s="470"/>
      <c r="V253" s="470"/>
      <c r="W253" s="469"/>
      <c r="X253" s="469"/>
      <c r="Y253" s="469"/>
      <c r="Z253" s="470"/>
      <c r="AA253" s="469"/>
      <c r="AB253" s="469"/>
      <c r="AC253" s="469"/>
      <c r="AD253" s="469"/>
      <c r="AE253" s="472"/>
      <c r="AF253" s="473"/>
      <c r="AG253" s="475"/>
      <c r="AH253" s="475"/>
    </row>
    <row r="254" ht="15.75" customHeight="1">
      <c r="A254" s="344"/>
      <c r="B254" s="470"/>
      <c r="C254" s="470"/>
      <c r="D254" s="471"/>
      <c r="E254" s="469"/>
      <c r="F254" s="469"/>
      <c r="G254" s="470"/>
      <c r="H254" s="470"/>
      <c r="I254" s="470"/>
      <c r="J254" s="470"/>
      <c r="K254" s="469"/>
      <c r="L254" s="469"/>
      <c r="M254" s="469"/>
      <c r="N254" s="469"/>
      <c r="O254" s="469"/>
      <c r="P254" s="469"/>
      <c r="Q254" s="470"/>
      <c r="R254" s="469"/>
      <c r="S254" s="469"/>
      <c r="T254" s="470"/>
      <c r="U254" s="470"/>
      <c r="V254" s="470"/>
      <c r="W254" s="469"/>
      <c r="X254" s="469"/>
      <c r="Y254" s="469"/>
      <c r="Z254" s="470"/>
      <c r="AA254" s="469"/>
      <c r="AB254" s="469"/>
      <c r="AC254" s="469"/>
      <c r="AD254" s="469"/>
      <c r="AE254" s="472"/>
      <c r="AF254" s="473"/>
      <c r="AG254" s="475"/>
      <c r="AH254" s="475"/>
    </row>
    <row r="255" ht="15.75" customHeight="1">
      <c r="A255" s="344"/>
      <c r="B255" s="470"/>
      <c r="C255" s="470"/>
      <c r="D255" s="471"/>
      <c r="E255" s="469"/>
      <c r="F255" s="469"/>
      <c r="G255" s="470"/>
      <c r="H255" s="470"/>
      <c r="I255" s="470"/>
      <c r="J255" s="470"/>
      <c r="K255" s="469"/>
      <c r="L255" s="469"/>
      <c r="M255" s="469"/>
      <c r="N255" s="469"/>
      <c r="O255" s="469"/>
      <c r="P255" s="469"/>
      <c r="Q255" s="470"/>
      <c r="R255" s="469"/>
      <c r="S255" s="469"/>
      <c r="T255" s="470"/>
      <c r="U255" s="470"/>
      <c r="V255" s="470"/>
      <c r="W255" s="469"/>
      <c r="X255" s="469"/>
      <c r="Y255" s="469"/>
      <c r="Z255" s="470"/>
      <c r="AA255" s="469"/>
      <c r="AB255" s="469"/>
      <c r="AC255" s="469"/>
      <c r="AD255" s="469"/>
      <c r="AE255" s="472"/>
      <c r="AF255" s="473"/>
      <c r="AG255" s="475"/>
      <c r="AH255" s="475"/>
    </row>
    <row r="256" ht="15.75" customHeight="1">
      <c r="A256" s="344"/>
      <c r="B256" s="470"/>
      <c r="C256" s="470"/>
      <c r="D256" s="471"/>
      <c r="E256" s="469"/>
      <c r="F256" s="469"/>
      <c r="G256" s="470"/>
      <c r="H256" s="470"/>
      <c r="I256" s="470"/>
      <c r="J256" s="470"/>
      <c r="K256" s="469"/>
      <c r="L256" s="469"/>
      <c r="M256" s="469"/>
      <c r="N256" s="469"/>
      <c r="O256" s="469"/>
      <c r="P256" s="469"/>
      <c r="Q256" s="470"/>
      <c r="R256" s="469"/>
      <c r="S256" s="469"/>
      <c r="T256" s="470"/>
      <c r="U256" s="470"/>
      <c r="V256" s="470"/>
      <c r="W256" s="469"/>
      <c r="X256" s="469"/>
      <c r="Y256" s="469"/>
      <c r="Z256" s="470"/>
      <c r="AA256" s="469"/>
      <c r="AB256" s="469"/>
      <c r="AC256" s="469"/>
      <c r="AD256" s="469"/>
      <c r="AE256" s="472"/>
      <c r="AF256" s="473"/>
      <c r="AG256" s="475"/>
      <c r="AH256" s="475"/>
    </row>
    <row r="257" ht="15.75" customHeight="1">
      <c r="A257" s="344"/>
      <c r="B257" s="470"/>
      <c r="C257" s="470"/>
      <c r="D257" s="471"/>
      <c r="E257" s="469"/>
      <c r="F257" s="469"/>
      <c r="G257" s="470"/>
      <c r="H257" s="470"/>
      <c r="I257" s="470"/>
      <c r="J257" s="470"/>
      <c r="K257" s="469"/>
      <c r="L257" s="469"/>
      <c r="M257" s="469"/>
      <c r="N257" s="469"/>
      <c r="O257" s="469"/>
      <c r="P257" s="469"/>
      <c r="Q257" s="470"/>
      <c r="R257" s="469"/>
      <c r="S257" s="469"/>
      <c r="T257" s="470"/>
      <c r="U257" s="470"/>
      <c r="V257" s="470"/>
      <c r="W257" s="469"/>
      <c r="X257" s="469"/>
      <c r="Y257" s="469"/>
      <c r="Z257" s="470"/>
      <c r="AA257" s="469"/>
      <c r="AB257" s="469"/>
      <c r="AC257" s="469"/>
      <c r="AD257" s="469"/>
      <c r="AE257" s="472"/>
      <c r="AF257" s="473"/>
      <c r="AG257" s="475"/>
      <c r="AH257" s="475"/>
    </row>
    <row r="258" ht="15.75" customHeight="1">
      <c r="A258" s="344"/>
      <c r="B258" s="470"/>
      <c r="C258" s="470"/>
      <c r="D258" s="471"/>
      <c r="E258" s="469"/>
      <c r="F258" s="469"/>
      <c r="G258" s="470"/>
      <c r="H258" s="470"/>
      <c r="I258" s="470"/>
      <c r="J258" s="470"/>
      <c r="K258" s="469"/>
      <c r="L258" s="469"/>
      <c r="M258" s="469"/>
      <c r="N258" s="469"/>
      <c r="O258" s="469"/>
      <c r="P258" s="469"/>
      <c r="Q258" s="470"/>
      <c r="R258" s="469"/>
      <c r="S258" s="469"/>
      <c r="T258" s="470"/>
      <c r="U258" s="470"/>
      <c r="V258" s="470"/>
      <c r="W258" s="469"/>
      <c r="X258" s="469"/>
      <c r="Y258" s="469"/>
      <c r="Z258" s="470"/>
      <c r="AA258" s="469"/>
      <c r="AB258" s="469"/>
      <c r="AC258" s="469"/>
      <c r="AD258" s="469"/>
      <c r="AE258" s="472"/>
      <c r="AF258" s="473"/>
      <c r="AG258" s="475"/>
      <c r="AH258" s="475"/>
    </row>
    <row r="259" ht="15.75" customHeight="1">
      <c r="A259" s="344"/>
      <c r="B259" s="470"/>
      <c r="C259" s="470"/>
      <c r="D259" s="471"/>
      <c r="E259" s="469"/>
      <c r="F259" s="469"/>
      <c r="G259" s="470"/>
      <c r="H259" s="470"/>
      <c r="I259" s="470"/>
      <c r="J259" s="470"/>
      <c r="K259" s="469"/>
      <c r="L259" s="469"/>
      <c r="M259" s="469"/>
      <c r="N259" s="469"/>
      <c r="O259" s="469"/>
      <c r="P259" s="469"/>
      <c r="Q259" s="470"/>
      <c r="R259" s="469"/>
      <c r="S259" s="469"/>
      <c r="T259" s="470"/>
      <c r="U259" s="470"/>
      <c r="V259" s="470"/>
      <c r="W259" s="469"/>
      <c r="X259" s="469"/>
      <c r="Y259" s="469"/>
      <c r="Z259" s="470"/>
      <c r="AA259" s="469"/>
      <c r="AB259" s="469"/>
      <c r="AC259" s="469"/>
      <c r="AD259" s="469"/>
      <c r="AE259" s="472"/>
      <c r="AF259" s="473"/>
      <c r="AG259" s="475"/>
      <c r="AH259" s="475"/>
    </row>
    <row r="260" ht="15.75" customHeight="1">
      <c r="A260" s="344"/>
      <c r="B260" s="470"/>
      <c r="C260" s="470"/>
      <c r="D260" s="471"/>
      <c r="E260" s="469"/>
      <c r="F260" s="469"/>
      <c r="G260" s="470"/>
      <c r="H260" s="470"/>
      <c r="I260" s="470"/>
      <c r="J260" s="470"/>
      <c r="K260" s="469"/>
      <c r="L260" s="469"/>
      <c r="M260" s="469"/>
      <c r="N260" s="469"/>
      <c r="O260" s="469"/>
      <c r="P260" s="469"/>
      <c r="Q260" s="470"/>
      <c r="R260" s="469"/>
      <c r="S260" s="469"/>
      <c r="T260" s="470"/>
      <c r="U260" s="470"/>
      <c r="V260" s="470"/>
      <c r="W260" s="469"/>
      <c r="X260" s="469"/>
      <c r="Y260" s="469"/>
      <c r="Z260" s="470"/>
      <c r="AA260" s="469"/>
      <c r="AB260" s="469"/>
      <c r="AC260" s="469"/>
      <c r="AD260" s="469"/>
      <c r="AE260" s="472"/>
      <c r="AF260" s="473"/>
      <c r="AG260" s="475"/>
      <c r="AH260" s="475"/>
    </row>
    <row r="261" ht="15.75" customHeight="1">
      <c r="A261" s="344"/>
      <c r="B261" s="470"/>
      <c r="C261" s="470"/>
      <c r="D261" s="471"/>
      <c r="E261" s="469"/>
      <c r="F261" s="469"/>
      <c r="G261" s="470"/>
      <c r="H261" s="470"/>
      <c r="I261" s="470"/>
      <c r="J261" s="470"/>
      <c r="K261" s="469"/>
      <c r="L261" s="469"/>
      <c r="M261" s="469"/>
      <c r="N261" s="469"/>
      <c r="O261" s="469"/>
      <c r="P261" s="469"/>
      <c r="Q261" s="470"/>
      <c r="R261" s="469"/>
      <c r="S261" s="469"/>
      <c r="T261" s="470"/>
      <c r="U261" s="470"/>
      <c r="V261" s="470"/>
      <c r="W261" s="469"/>
      <c r="X261" s="469"/>
      <c r="Y261" s="469"/>
      <c r="Z261" s="470"/>
      <c r="AA261" s="469"/>
      <c r="AB261" s="469"/>
      <c r="AC261" s="469"/>
      <c r="AD261" s="469"/>
      <c r="AE261" s="472"/>
      <c r="AF261" s="473"/>
      <c r="AG261" s="475"/>
      <c r="AH261" s="475"/>
    </row>
    <row r="262" ht="15.75" customHeight="1">
      <c r="A262" s="344"/>
      <c r="B262" s="470"/>
      <c r="C262" s="470"/>
      <c r="D262" s="471"/>
      <c r="E262" s="469"/>
      <c r="F262" s="469"/>
      <c r="G262" s="470"/>
      <c r="H262" s="470"/>
      <c r="I262" s="470"/>
      <c r="J262" s="470"/>
      <c r="K262" s="469"/>
      <c r="L262" s="469"/>
      <c r="M262" s="469"/>
      <c r="N262" s="469"/>
      <c r="O262" s="469"/>
      <c r="P262" s="469"/>
      <c r="Q262" s="470"/>
      <c r="R262" s="469"/>
      <c r="S262" s="469"/>
      <c r="T262" s="470"/>
      <c r="U262" s="470"/>
      <c r="V262" s="470"/>
      <c r="W262" s="469"/>
      <c r="X262" s="469"/>
      <c r="Y262" s="469"/>
      <c r="Z262" s="470"/>
      <c r="AA262" s="469"/>
      <c r="AB262" s="469"/>
      <c r="AC262" s="469"/>
      <c r="AD262" s="469"/>
      <c r="AE262" s="472"/>
      <c r="AF262" s="473"/>
      <c r="AG262" s="475"/>
      <c r="AH262" s="475"/>
    </row>
    <row r="263" ht="15.75" customHeight="1">
      <c r="A263" s="344"/>
      <c r="B263" s="470"/>
      <c r="C263" s="470"/>
      <c r="D263" s="471"/>
      <c r="E263" s="469"/>
      <c r="F263" s="469"/>
      <c r="G263" s="470"/>
      <c r="H263" s="470"/>
      <c r="I263" s="470"/>
      <c r="J263" s="470"/>
      <c r="K263" s="469"/>
      <c r="L263" s="469"/>
      <c r="M263" s="469"/>
      <c r="N263" s="469"/>
      <c r="O263" s="469"/>
      <c r="P263" s="469"/>
      <c r="Q263" s="470"/>
      <c r="R263" s="469"/>
      <c r="S263" s="469"/>
      <c r="T263" s="470"/>
      <c r="U263" s="470"/>
      <c r="V263" s="470"/>
      <c r="W263" s="469"/>
      <c r="X263" s="469"/>
      <c r="Y263" s="469"/>
      <c r="Z263" s="470"/>
      <c r="AA263" s="469"/>
      <c r="AB263" s="469"/>
      <c r="AC263" s="469"/>
      <c r="AD263" s="469"/>
      <c r="AE263" s="472"/>
      <c r="AF263" s="473"/>
      <c r="AG263" s="475"/>
      <c r="AH263" s="475"/>
    </row>
    <row r="264" ht="15.75" customHeight="1">
      <c r="A264" s="344"/>
      <c r="B264" s="470"/>
      <c r="C264" s="470"/>
      <c r="D264" s="471"/>
      <c r="E264" s="469"/>
      <c r="F264" s="469"/>
      <c r="G264" s="470"/>
      <c r="H264" s="470"/>
      <c r="I264" s="470"/>
      <c r="J264" s="470"/>
      <c r="K264" s="469"/>
      <c r="L264" s="469"/>
      <c r="M264" s="469"/>
      <c r="N264" s="469"/>
      <c r="O264" s="469"/>
      <c r="P264" s="469"/>
      <c r="Q264" s="470"/>
      <c r="R264" s="469"/>
      <c r="S264" s="469"/>
      <c r="T264" s="470"/>
      <c r="U264" s="470"/>
      <c r="V264" s="470"/>
      <c r="W264" s="469"/>
      <c r="X264" s="469"/>
      <c r="Y264" s="469"/>
      <c r="Z264" s="470"/>
      <c r="AA264" s="469"/>
      <c r="AB264" s="469"/>
      <c r="AC264" s="469"/>
      <c r="AD264" s="469"/>
      <c r="AE264" s="472"/>
      <c r="AF264" s="473"/>
      <c r="AG264" s="475"/>
      <c r="AH264" s="475"/>
    </row>
    <row r="265" ht="15.75" customHeight="1">
      <c r="A265" s="344"/>
      <c r="B265" s="470"/>
      <c r="C265" s="470"/>
      <c r="D265" s="471"/>
      <c r="E265" s="469"/>
      <c r="F265" s="469"/>
      <c r="G265" s="470"/>
      <c r="H265" s="470"/>
      <c r="I265" s="470"/>
      <c r="J265" s="470"/>
      <c r="K265" s="469"/>
      <c r="L265" s="469"/>
      <c r="M265" s="469"/>
      <c r="N265" s="469"/>
      <c r="O265" s="469"/>
      <c r="P265" s="469"/>
      <c r="Q265" s="470"/>
      <c r="R265" s="469"/>
      <c r="S265" s="469"/>
      <c r="T265" s="470"/>
      <c r="U265" s="470"/>
      <c r="V265" s="470"/>
      <c r="W265" s="469"/>
      <c r="X265" s="469"/>
      <c r="Y265" s="469"/>
      <c r="Z265" s="470"/>
      <c r="AA265" s="469"/>
      <c r="AB265" s="469"/>
      <c r="AC265" s="469"/>
      <c r="AD265" s="469"/>
      <c r="AE265" s="472"/>
      <c r="AF265" s="473"/>
      <c r="AG265" s="475"/>
      <c r="AH265" s="475"/>
    </row>
    <row r="266" ht="15.75" customHeight="1">
      <c r="A266" s="344"/>
      <c r="B266" s="470"/>
      <c r="C266" s="470"/>
      <c r="D266" s="471"/>
      <c r="E266" s="469"/>
      <c r="F266" s="469"/>
      <c r="G266" s="470"/>
      <c r="H266" s="470"/>
      <c r="I266" s="470"/>
      <c r="J266" s="470"/>
      <c r="K266" s="469"/>
      <c r="L266" s="469"/>
      <c r="M266" s="469"/>
      <c r="N266" s="469"/>
      <c r="O266" s="469"/>
      <c r="P266" s="469"/>
      <c r="Q266" s="470"/>
      <c r="R266" s="469"/>
      <c r="S266" s="469"/>
      <c r="T266" s="470"/>
      <c r="U266" s="470"/>
      <c r="V266" s="470"/>
      <c r="W266" s="469"/>
      <c r="X266" s="469"/>
      <c r="Y266" s="469"/>
      <c r="Z266" s="470"/>
      <c r="AA266" s="469"/>
      <c r="AB266" s="469"/>
      <c r="AC266" s="469"/>
      <c r="AD266" s="469"/>
      <c r="AE266" s="472"/>
      <c r="AF266" s="473"/>
      <c r="AG266" s="475"/>
      <c r="AH266" s="475"/>
    </row>
    <row r="267" ht="15.75" customHeight="1">
      <c r="A267" s="344"/>
      <c r="B267" s="470"/>
      <c r="C267" s="470"/>
      <c r="D267" s="471"/>
      <c r="E267" s="469"/>
      <c r="F267" s="469"/>
      <c r="G267" s="470"/>
      <c r="H267" s="470"/>
      <c r="I267" s="470"/>
      <c r="J267" s="470"/>
      <c r="K267" s="469"/>
      <c r="L267" s="469"/>
      <c r="M267" s="469"/>
      <c r="N267" s="469"/>
      <c r="O267" s="469"/>
      <c r="P267" s="469"/>
      <c r="Q267" s="470"/>
      <c r="R267" s="469"/>
      <c r="S267" s="469"/>
      <c r="T267" s="470"/>
      <c r="U267" s="470"/>
      <c r="V267" s="470"/>
      <c r="W267" s="469"/>
      <c r="X267" s="469"/>
      <c r="Y267" s="469"/>
      <c r="Z267" s="470"/>
      <c r="AA267" s="469"/>
      <c r="AB267" s="469"/>
      <c r="AC267" s="469"/>
      <c r="AD267" s="469"/>
      <c r="AE267" s="472"/>
      <c r="AF267" s="473"/>
      <c r="AG267" s="475"/>
      <c r="AH267" s="475"/>
    </row>
    <row r="268" ht="15.75" customHeight="1">
      <c r="A268" s="344"/>
      <c r="B268" s="470"/>
      <c r="C268" s="470"/>
      <c r="D268" s="471"/>
      <c r="E268" s="469"/>
      <c r="F268" s="469"/>
      <c r="G268" s="470"/>
      <c r="H268" s="470"/>
      <c r="I268" s="470"/>
      <c r="J268" s="470"/>
      <c r="K268" s="469"/>
      <c r="L268" s="469"/>
      <c r="M268" s="469"/>
      <c r="N268" s="469"/>
      <c r="O268" s="469"/>
      <c r="P268" s="469"/>
      <c r="Q268" s="470"/>
      <c r="R268" s="469"/>
      <c r="S268" s="469"/>
      <c r="T268" s="470"/>
      <c r="U268" s="470"/>
      <c r="V268" s="470"/>
      <c r="W268" s="469"/>
      <c r="X268" s="469"/>
      <c r="Y268" s="469"/>
      <c r="Z268" s="470"/>
      <c r="AA268" s="469"/>
      <c r="AB268" s="469"/>
      <c r="AC268" s="469"/>
      <c r="AD268" s="469"/>
      <c r="AE268" s="472"/>
      <c r="AF268" s="473"/>
      <c r="AG268" s="475"/>
      <c r="AH268" s="475"/>
    </row>
    <row r="269" ht="15.75" customHeight="1">
      <c r="A269" s="344"/>
      <c r="B269" s="470"/>
      <c r="C269" s="470"/>
      <c r="D269" s="471"/>
      <c r="E269" s="469"/>
      <c r="F269" s="469"/>
      <c r="G269" s="470"/>
      <c r="H269" s="470"/>
      <c r="I269" s="470"/>
      <c r="J269" s="470"/>
      <c r="K269" s="469"/>
      <c r="L269" s="469"/>
      <c r="M269" s="469"/>
      <c r="N269" s="469"/>
      <c r="O269" s="469"/>
      <c r="P269" s="469"/>
      <c r="Q269" s="470"/>
      <c r="R269" s="469"/>
      <c r="S269" s="469"/>
      <c r="T269" s="470"/>
      <c r="U269" s="470"/>
      <c r="V269" s="470"/>
      <c r="W269" s="469"/>
      <c r="X269" s="469"/>
      <c r="Y269" s="469"/>
      <c r="Z269" s="470"/>
      <c r="AA269" s="469"/>
      <c r="AB269" s="469"/>
      <c r="AC269" s="469"/>
      <c r="AD269" s="469"/>
      <c r="AE269" s="472"/>
      <c r="AF269" s="473"/>
      <c r="AG269" s="475"/>
      <c r="AH269" s="475"/>
    </row>
    <row r="270" ht="15.75" customHeight="1">
      <c r="A270" s="344"/>
      <c r="B270" s="470"/>
      <c r="C270" s="470"/>
      <c r="D270" s="471"/>
      <c r="E270" s="469"/>
      <c r="F270" s="469"/>
      <c r="G270" s="470"/>
      <c r="H270" s="470"/>
      <c r="I270" s="470"/>
      <c r="J270" s="470"/>
      <c r="K270" s="469"/>
      <c r="L270" s="469"/>
      <c r="M270" s="469"/>
      <c r="N270" s="469"/>
      <c r="O270" s="469"/>
      <c r="P270" s="469"/>
      <c r="Q270" s="470"/>
      <c r="R270" s="469"/>
      <c r="S270" s="469"/>
      <c r="T270" s="470"/>
      <c r="U270" s="470"/>
      <c r="V270" s="470"/>
      <c r="W270" s="469"/>
      <c r="X270" s="469"/>
      <c r="Y270" s="469"/>
      <c r="Z270" s="470"/>
      <c r="AA270" s="469"/>
      <c r="AB270" s="469"/>
      <c r="AC270" s="469"/>
      <c r="AD270" s="469"/>
      <c r="AE270" s="472"/>
      <c r="AF270" s="473"/>
      <c r="AG270" s="475"/>
      <c r="AH270" s="475"/>
    </row>
    <row r="271" ht="15.75" customHeight="1">
      <c r="A271" s="344"/>
      <c r="B271" s="470"/>
      <c r="C271" s="470"/>
      <c r="D271" s="471"/>
      <c r="E271" s="469"/>
      <c r="F271" s="469"/>
      <c r="G271" s="470"/>
      <c r="H271" s="470"/>
      <c r="I271" s="470"/>
      <c r="J271" s="470"/>
      <c r="K271" s="469"/>
      <c r="L271" s="469"/>
      <c r="M271" s="469"/>
      <c r="N271" s="469"/>
      <c r="O271" s="469"/>
      <c r="P271" s="469"/>
      <c r="Q271" s="470"/>
      <c r="R271" s="469"/>
      <c r="S271" s="469"/>
      <c r="T271" s="470"/>
      <c r="U271" s="470"/>
      <c r="V271" s="470"/>
      <c r="W271" s="469"/>
      <c r="X271" s="469"/>
      <c r="Y271" s="469"/>
      <c r="Z271" s="470"/>
      <c r="AA271" s="469"/>
      <c r="AB271" s="469"/>
      <c r="AC271" s="469"/>
      <c r="AD271" s="469"/>
      <c r="AE271" s="472"/>
      <c r="AF271" s="473"/>
      <c r="AG271" s="475"/>
      <c r="AH271" s="475"/>
    </row>
    <row r="272" ht="15.75" customHeight="1">
      <c r="A272" s="344"/>
      <c r="B272" s="470"/>
      <c r="C272" s="470"/>
      <c r="D272" s="471"/>
      <c r="E272" s="469"/>
      <c r="F272" s="469"/>
      <c r="G272" s="470"/>
      <c r="H272" s="470"/>
      <c r="I272" s="470"/>
      <c r="J272" s="470"/>
      <c r="K272" s="469"/>
      <c r="L272" s="469"/>
      <c r="M272" s="469"/>
      <c r="N272" s="469"/>
      <c r="O272" s="469"/>
      <c r="P272" s="469"/>
      <c r="Q272" s="470"/>
      <c r="R272" s="469"/>
      <c r="S272" s="469"/>
      <c r="T272" s="470"/>
      <c r="U272" s="470"/>
      <c r="V272" s="470"/>
      <c r="W272" s="469"/>
      <c r="X272" s="469"/>
      <c r="Y272" s="469"/>
      <c r="Z272" s="470"/>
      <c r="AA272" s="469"/>
      <c r="AB272" s="469"/>
      <c r="AC272" s="469"/>
      <c r="AD272" s="469"/>
      <c r="AE272" s="472"/>
      <c r="AF272" s="473"/>
      <c r="AG272" s="475"/>
      <c r="AH272" s="475"/>
    </row>
    <row r="273" ht="15.75" customHeight="1">
      <c r="A273" s="344"/>
      <c r="B273" s="470"/>
      <c r="C273" s="470"/>
      <c r="D273" s="471"/>
      <c r="E273" s="469"/>
      <c r="F273" s="469"/>
      <c r="G273" s="470"/>
      <c r="H273" s="470"/>
      <c r="I273" s="470"/>
      <c r="J273" s="470"/>
      <c r="K273" s="469"/>
      <c r="L273" s="469"/>
      <c r="M273" s="469"/>
      <c r="N273" s="469"/>
      <c r="O273" s="469"/>
      <c r="P273" s="469"/>
      <c r="Q273" s="470"/>
      <c r="R273" s="469"/>
      <c r="S273" s="469"/>
      <c r="T273" s="470"/>
      <c r="U273" s="470"/>
      <c r="V273" s="470"/>
      <c r="W273" s="469"/>
      <c r="X273" s="469"/>
      <c r="Y273" s="469"/>
      <c r="Z273" s="470"/>
      <c r="AA273" s="469"/>
      <c r="AB273" s="469"/>
      <c r="AC273" s="469"/>
      <c r="AD273" s="469"/>
      <c r="AE273" s="472"/>
      <c r="AF273" s="473"/>
      <c r="AG273" s="475"/>
      <c r="AH273" s="475"/>
    </row>
    <row r="274" ht="15.75" customHeight="1">
      <c r="A274" s="344"/>
      <c r="B274" s="470"/>
      <c r="C274" s="470"/>
      <c r="D274" s="471"/>
      <c r="E274" s="469"/>
      <c r="F274" s="469"/>
      <c r="G274" s="470"/>
      <c r="H274" s="470"/>
      <c r="I274" s="470"/>
      <c r="J274" s="470"/>
      <c r="K274" s="469"/>
      <c r="L274" s="469"/>
      <c r="M274" s="469"/>
      <c r="N274" s="469"/>
      <c r="O274" s="469"/>
      <c r="P274" s="469"/>
      <c r="Q274" s="470"/>
      <c r="R274" s="469"/>
      <c r="S274" s="469"/>
      <c r="T274" s="470"/>
      <c r="U274" s="470"/>
      <c r="V274" s="470"/>
      <c r="W274" s="469"/>
      <c r="X274" s="469"/>
      <c r="Y274" s="469"/>
      <c r="Z274" s="470"/>
      <c r="AA274" s="469"/>
      <c r="AB274" s="469"/>
      <c r="AC274" s="469"/>
      <c r="AD274" s="469"/>
      <c r="AE274" s="472"/>
      <c r="AF274" s="473"/>
      <c r="AG274" s="475"/>
      <c r="AH274" s="475"/>
    </row>
    <row r="275" ht="15.75" customHeight="1">
      <c r="A275" s="344"/>
      <c r="B275" s="470"/>
      <c r="C275" s="470"/>
      <c r="D275" s="471"/>
      <c r="E275" s="469"/>
      <c r="F275" s="469"/>
      <c r="G275" s="470"/>
      <c r="H275" s="470"/>
      <c r="I275" s="470"/>
      <c r="J275" s="470"/>
      <c r="K275" s="469"/>
      <c r="L275" s="469"/>
      <c r="M275" s="469"/>
      <c r="N275" s="469"/>
      <c r="O275" s="469"/>
      <c r="P275" s="469"/>
      <c r="Q275" s="470"/>
      <c r="R275" s="469"/>
      <c r="S275" s="469"/>
      <c r="T275" s="470"/>
      <c r="U275" s="470"/>
      <c r="V275" s="470"/>
      <c r="W275" s="469"/>
      <c r="X275" s="469"/>
      <c r="Y275" s="469"/>
      <c r="Z275" s="470"/>
      <c r="AA275" s="469"/>
      <c r="AB275" s="469"/>
      <c r="AC275" s="469"/>
      <c r="AD275" s="469"/>
      <c r="AE275" s="472"/>
      <c r="AF275" s="473"/>
      <c r="AG275" s="475"/>
      <c r="AH275" s="475"/>
    </row>
    <row r="276" ht="15.75" customHeight="1">
      <c r="A276" s="344"/>
      <c r="B276" s="470"/>
      <c r="C276" s="470"/>
      <c r="D276" s="471"/>
      <c r="E276" s="469"/>
      <c r="F276" s="469"/>
      <c r="G276" s="470"/>
      <c r="H276" s="470"/>
      <c r="I276" s="470"/>
      <c r="J276" s="470"/>
      <c r="K276" s="469"/>
      <c r="L276" s="469"/>
      <c r="M276" s="469"/>
      <c r="N276" s="469"/>
      <c r="O276" s="469"/>
      <c r="P276" s="469"/>
      <c r="Q276" s="470"/>
      <c r="R276" s="469"/>
      <c r="S276" s="469"/>
      <c r="T276" s="470"/>
      <c r="U276" s="470"/>
      <c r="V276" s="470"/>
      <c r="W276" s="469"/>
      <c r="X276" s="469"/>
      <c r="Y276" s="469"/>
      <c r="Z276" s="470"/>
      <c r="AA276" s="469"/>
      <c r="AB276" s="469"/>
      <c r="AC276" s="469"/>
      <c r="AD276" s="469"/>
      <c r="AE276" s="472"/>
      <c r="AF276" s="473"/>
      <c r="AG276" s="475"/>
      <c r="AH276" s="475"/>
    </row>
    <row r="277" ht="15.75" customHeight="1">
      <c r="A277" s="344"/>
      <c r="B277" s="470"/>
      <c r="C277" s="470"/>
      <c r="D277" s="471"/>
      <c r="E277" s="469"/>
      <c r="F277" s="469"/>
      <c r="G277" s="470"/>
      <c r="H277" s="470"/>
      <c r="I277" s="470"/>
      <c r="J277" s="470"/>
      <c r="K277" s="469"/>
      <c r="L277" s="469"/>
      <c r="M277" s="469"/>
      <c r="N277" s="469"/>
      <c r="O277" s="469"/>
      <c r="P277" s="469"/>
      <c r="Q277" s="470"/>
      <c r="R277" s="469"/>
      <c r="S277" s="469"/>
      <c r="T277" s="470"/>
      <c r="U277" s="470"/>
      <c r="V277" s="470"/>
      <c r="W277" s="469"/>
      <c r="X277" s="469"/>
      <c r="Y277" s="469"/>
      <c r="Z277" s="470"/>
      <c r="AA277" s="469"/>
      <c r="AB277" s="469"/>
      <c r="AC277" s="469"/>
      <c r="AD277" s="469"/>
      <c r="AE277" s="472"/>
      <c r="AF277" s="473"/>
      <c r="AG277" s="475"/>
      <c r="AH277" s="475"/>
    </row>
    <row r="278" ht="15.75" customHeight="1">
      <c r="A278" s="344"/>
      <c r="B278" s="470"/>
      <c r="C278" s="470"/>
      <c r="D278" s="471"/>
      <c r="E278" s="469"/>
      <c r="F278" s="469"/>
      <c r="G278" s="470"/>
      <c r="H278" s="470"/>
      <c r="I278" s="470"/>
      <c r="J278" s="470"/>
      <c r="K278" s="469"/>
      <c r="L278" s="469"/>
      <c r="M278" s="469"/>
      <c r="N278" s="469"/>
      <c r="O278" s="469"/>
      <c r="P278" s="469"/>
      <c r="Q278" s="470"/>
      <c r="R278" s="469"/>
      <c r="S278" s="469"/>
      <c r="T278" s="470"/>
      <c r="U278" s="470"/>
      <c r="V278" s="470"/>
      <c r="W278" s="469"/>
      <c r="X278" s="469"/>
      <c r="Y278" s="469"/>
      <c r="Z278" s="470"/>
      <c r="AA278" s="469"/>
      <c r="AB278" s="469"/>
      <c r="AC278" s="469"/>
      <c r="AD278" s="469"/>
      <c r="AE278" s="472"/>
      <c r="AF278" s="473"/>
      <c r="AG278" s="475"/>
      <c r="AH278" s="475"/>
    </row>
    <row r="279" ht="15.75" customHeight="1">
      <c r="A279" s="344"/>
      <c r="B279" s="470"/>
      <c r="C279" s="470"/>
      <c r="D279" s="471"/>
      <c r="E279" s="469"/>
      <c r="F279" s="469"/>
      <c r="G279" s="470"/>
      <c r="H279" s="470"/>
      <c r="I279" s="470"/>
      <c r="J279" s="470"/>
      <c r="K279" s="469"/>
      <c r="L279" s="469"/>
      <c r="M279" s="469"/>
      <c r="N279" s="469"/>
      <c r="O279" s="469"/>
      <c r="P279" s="469"/>
      <c r="Q279" s="470"/>
      <c r="R279" s="469"/>
      <c r="S279" s="469"/>
      <c r="T279" s="470"/>
      <c r="U279" s="470"/>
      <c r="V279" s="470"/>
      <c r="W279" s="469"/>
      <c r="X279" s="469"/>
      <c r="Y279" s="469"/>
      <c r="Z279" s="470"/>
      <c r="AA279" s="469"/>
      <c r="AB279" s="469"/>
      <c r="AC279" s="469"/>
      <c r="AD279" s="469"/>
      <c r="AE279" s="472"/>
      <c r="AF279" s="473"/>
      <c r="AG279" s="475"/>
      <c r="AH279" s="475"/>
    </row>
    <row r="280" ht="15.75" customHeight="1">
      <c r="A280" s="344"/>
      <c r="B280" s="470"/>
      <c r="C280" s="470"/>
      <c r="D280" s="471"/>
      <c r="E280" s="469"/>
      <c r="F280" s="469"/>
      <c r="G280" s="470"/>
      <c r="H280" s="470"/>
      <c r="I280" s="470"/>
      <c r="J280" s="470"/>
      <c r="K280" s="469"/>
      <c r="L280" s="469"/>
      <c r="M280" s="469"/>
      <c r="N280" s="469"/>
      <c r="O280" s="469"/>
      <c r="P280" s="469"/>
      <c r="Q280" s="470"/>
      <c r="R280" s="469"/>
      <c r="S280" s="469"/>
      <c r="T280" s="470"/>
      <c r="U280" s="470"/>
      <c r="V280" s="470"/>
      <c r="W280" s="469"/>
      <c r="X280" s="469"/>
      <c r="Y280" s="469"/>
      <c r="Z280" s="470"/>
      <c r="AA280" s="469"/>
      <c r="AB280" s="469"/>
      <c r="AC280" s="469"/>
      <c r="AD280" s="469"/>
      <c r="AE280" s="472"/>
      <c r="AF280" s="473"/>
      <c r="AG280" s="475"/>
      <c r="AH280" s="475"/>
    </row>
    <row r="281" ht="15.75" customHeight="1">
      <c r="A281" s="344"/>
      <c r="B281" s="470"/>
      <c r="C281" s="470"/>
      <c r="D281" s="471"/>
      <c r="E281" s="469"/>
      <c r="F281" s="469"/>
      <c r="G281" s="470"/>
      <c r="H281" s="470"/>
      <c r="I281" s="470"/>
      <c r="J281" s="470"/>
      <c r="K281" s="469"/>
      <c r="L281" s="469"/>
      <c r="M281" s="469"/>
      <c r="N281" s="469"/>
      <c r="O281" s="469"/>
      <c r="P281" s="469"/>
      <c r="Q281" s="470"/>
      <c r="R281" s="469"/>
      <c r="S281" s="469"/>
      <c r="T281" s="470"/>
      <c r="U281" s="470"/>
      <c r="V281" s="470"/>
      <c r="W281" s="469"/>
      <c r="X281" s="469"/>
      <c r="Y281" s="469"/>
      <c r="Z281" s="470"/>
      <c r="AA281" s="469"/>
      <c r="AB281" s="469"/>
      <c r="AC281" s="469"/>
      <c r="AD281" s="469"/>
      <c r="AE281" s="472"/>
      <c r="AF281" s="473"/>
      <c r="AG281" s="475"/>
      <c r="AH281" s="475"/>
    </row>
    <row r="282" ht="15.75" customHeight="1">
      <c r="A282" s="344"/>
      <c r="B282" s="470"/>
      <c r="C282" s="470"/>
      <c r="D282" s="471"/>
      <c r="E282" s="469"/>
      <c r="F282" s="469"/>
      <c r="G282" s="470"/>
      <c r="H282" s="470"/>
      <c r="I282" s="470"/>
      <c r="J282" s="470"/>
      <c r="K282" s="469"/>
      <c r="L282" s="469"/>
      <c r="M282" s="469"/>
      <c r="N282" s="469"/>
      <c r="O282" s="469"/>
      <c r="P282" s="469"/>
      <c r="Q282" s="470"/>
      <c r="R282" s="469"/>
      <c r="S282" s="469"/>
      <c r="T282" s="470"/>
      <c r="U282" s="470"/>
      <c r="V282" s="470"/>
      <c r="W282" s="469"/>
      <c r="X282" s="469"/>
      <c r="Y282" s="469"/>
      <c r="Z282" s="470"/>
      <c r="AA282" s="469"/>
      <c r="AB282" s="469"/>
      <c r="AC282" s="469"/>
      <c r="AD282" s="469"/>
      <c r="AE282" s="472"/>
      <c r="AF282" s="473"/>
      <c r="AG282" s="475"/>
      <c r="AH282" s="475"/>
    </row>
    <row r="283" ht="15.75" customHeight="1">
      <c r="A283" s="344"/>
      <c r="B283" s="470"/>
      <c r="C283" s="470"/>
      <c r="D283" s="471"/>
      <c r="E283" s="469"/>
      <c r="F283" s="469"/>
      <c r="G283" s="470"/>
      <c r="H283" s="470"/>
      <c r="I283" s="470"/>
      <c r="J283" s="470"/>
      <c r="K283" s="469"/>
      <c r="L283" s="469"/>
      <c r="M283" s="469"/>
      <c r="N283" s="469"/>
      <c r="O283" s="469"/>
      <c r="P283" s="469"/>
      <c r="Q283" s="470"/>
      <c r="R283" s="469"/>
      <c r="S283" s="469"/>
      <c r="T283" s="470"/>
      <c r="U283" s="470"/>
      <c r="V283" s="470"/>
      <c r="W283" s="469"/>
      <c r="X283" s="469"/>
      <c r="Y283" s="469"/>
      <c r="Z283" s="470"/>
      <c r="AA283" s="469"/>
      <c r="AB283" s="469"/>
      <c r="AC283" s="469"/>
      <c r="AD283" s="469"/>
      <c r="AE283" s="472"/>
      <c r="AF283" s="473"/>
      <c r="AG283" s="475"/>
      <c r="AH283" s="475"/>
    </row>
    <row r="284" ht="15.75" customHeight="1">
      <c r="A284" s="344"/>
      <c r="B284" s="470"/>
      <c r="C284" s="470"/>
      <c r="D284" s="471"/>
      <c r="E284" s="469"/>
      <c r="F284" s="469"/>
      <c r="G284" s="470"/>
      <c r="H284" s="470"/>
      <c r="I284" s="470"/>
      <c r="J284" s="470"/>
      <c r="K284" s="469"/>
      <c r="L284" s="469"/>
      <c r="M284" s="469"/>
      <c r="N284" s="469"/>
      <c r="O284" s="469"/>
      <c r="P284" s="469"/>
      <c r="Q284" s="470"/>
      <c r="R284" s="469"/>
      <c r="S284" s="469"/>
      <c r="T284" s="470"/>
      <c r="U284" s="470"/>
      <c r="V284" s="470"/>
      <c r="W284" s="469"/>
      <c r="X284" s="469"/>
      <c r="Y284" s="469"/>
      <c r="Z284" s="470"/>
      <c r="AA284" s="469"/>
      <c r="AB284" s="469"/>
      <c r="AC284" s="469"/>
      <c r="AD284" s="469"/>
      <c r="AE284" s="472"/>
      <c r="AF284" s="473"/>
      <c r="AG284" s="475"/>
      <c r="AH284" s="475"/>
    </row>
    <row r="285" ht="15.75" customHeight="1">
      <c r="A285" s="344"/>
      <c r="B285" s="470"/>
      <c r="C285" s="470"/>
      <c r="D285" s="471"/>
      <c r="E285" s="469"/>
      <c r="F285" s="469"/>
      <c r="G285" s="470"/>
      <c r="H285" s="470"/>
      <c r="I285" s="470"/>
      <c r="J285" s="470"/>
      <c r="K285" s="469"/>
      <c r="L285" s="469"/>
      <c r="M285" s="469"/>
      <c r="N285" s="469"/>
      <c r="O285" s="469"/>
      <c r="P285" s="469"/>
      <c r="Q285" s="470"/>
      <c r="R285" s="469"/>
      <c r="S285" s="469"/>
      <c r="T285" s="470"/>
      <c r="U285" s="470"/>
      <c r="V285" s="470"/>
      <c r="W285" s="469"/>
      <c r="X285" s="469"/>
      <c r="Y285" s="469"/>
      <c r="Z285" s="470"/>
      <c r="AA285" s="469"/>
      <c r="AB285" s="469"/>
      <c r="AC285" s="469"/>
      <c r="AD285" s="469"/>
      <c r="AE285" s="472"/>
      <c r="AF285" s="473"/>
      <c r="AG285" s="475"/>
      <c r="AH285" s="475"/>
    </row>
    <row r="286" ht="15.75" customHeight="1">
      <c r="A286" s="344"/>
      <c r="B286" s="470"/>
      <c r="C286" s="470"/>
      <c r="D286" s="471"/>
      <c r="E286" s="469"/>
      <c r="F286" s="469"/>
      <c r="G286" s="470"/>
      <c r="H286" s="470"/>
      <c r="I286" s="470"/>
      <c r="J286" s="470"/>
      <c r="K286" s="469"/>
      <c r="L286" s="469"/>
      <c r="M286" s="469"/>
      <c r="N286" s="469"/>
      <c r="O286" s="469"/>
      <c r="P286" s="469"/>
      <c r="Q286" s="470"/>
      <c r="R286" s="469"/>
      <c r="S286" s="469"/>
      <c r="T286" s="470"/>
      <c r="U286" s="470"/>
      <c r="V286" s="470"/>
      <c r="W286" s="469"/>
      <c r="X286" s="469"/>
      <c r="Y286" s="469"/>
      <c r="Z286" s="470"/>
      <c r="AA286" s="469"/>
      <c r="AB286" s="469"/>
      <c r="AC286" s="469"/>
      <c r="AD286" s="469"/>
      <c r="AE286" s="472"/>
      <c r="AF286" s="473"/>
      <c r="AG286" s="475"/>
      <c r="AH286" s="475"/>
    </row>
    <row r="287" ht="15.75" customHeight="1">
      <c r="A287" s="344"/>
      <c r="B287" s="470"/>
      <c r="C287" s="470"/>
      <c r="D287" s="471"/>
      <c r="E287" s="469"/>
      <c r="F287" s="469"/>
      <c r="G287" s="470"/>
      <c r="H287" s="470"/>
      <c r="I287" s="470"/>
      <c r="J287" s="470"/>
      <c r="K287" s="469"/>
      <c r="L287" s="469"/>
      <c r="M287" s="469"/>
      <c r="N287" s="469"/>
      <c r="O287" s="469"/>
      <c r="P287" s="469"/>
      <c r="Q287" s="470"/>
      <c r="R287" s="469"/>
      <c r="S287" s="469"/>
      <c r="T287" s="470"/>
      <c r="U287" s="470"/>
      <c r="V287" s="470"/>
      <c r="W287" s="469"/>
      <c r="X287" s="469"/>
      <c r="Y287" s="469"/>
      <c r="Z287" s="470"/>
      <c r="AA287" s="469"/>
      <c r="AB287" s="469"/>
      <c r="AC287" s="469"/>
      <c r="AD287" s="469"/>
      <c r="AE287" s="472"/>
      <c r="AF287" s="473"/>
      <c r="AG287" s="475"/>
      <c r="AH287" s="475"/>
    </row>
    <row r="288" ht="15.75" customHeight="1">
      <c r="A288" s="344"/>
      <c r="B288" s="470"/>
      <c r="C288" s="470"/>
      <c r="D288" s="471"/>
      <c r="E288" s="469"/>
      <c r="F288" s="469"/>
      <c r="G288" s="470"/>
      <c r="H288" s="470"/>
      <c r="I288" s="470"/>
      <c r="J288" s="470"/>
      <c r="K288" s="469"/>
      <c r="L288" s="469"/>
      <c r="M288" s="469"/>
      <c r="N288" s="469"/>
      <c r="O288" s="469"/>
      <c r="P288" s="469"/>
      <c r="Q288" s="470"/>
      <c r="R288" s="469"/>
      <c r="S288" s="469"/>
      <c r="T288" s="470"/>
      <c r="U288" s="470"/>
      <c r="V288" s="470"/>
      <c r="W288" s="469"/>
      <c r="X288" s="469"/>
      <c r="Y288" s="469"/>
      <c r="Z288" s="470"/>
      <c r="AA288" s="469"/>
      <c r="AB288" s="469"/>
      <c r="AC288" s="469"/>
      <c r="AD288" s="469"/>
      <c r="AE288" s="472"/>
      <c r="AF288" s="473"/>
      <c r="AG288" s="475"/>
      <c r="AH288" s="475"/>
    </row>
    <row r="289" ht="15.75" customHeight="1">
      <c r="A289" s="344"/>
      <c r="B289" s="470"/>
      <c r="C289" s="470"/>
      <c r="D289" s="471"/>
      <c r="E289" s="469"/>
      <c r="F289" s="469"/>
      <c r="G289" s="470"/>
      <c r="H289" s="470"/>
      <c r="I289" s="470"/>
      <c r="J289" s="470"/>
      <c r="K289" s="469"/>
      <c r="L289" s="469"/>
      <c r="M289" s="469"/>
      <c r="N289" s="469"/>
      <c r="O289" s="469"/>
      <c r="P289" s="469"/>
      <c r="Q289" s="470"/>
      <c r="R289" s="469"/>
      <c r="S289" s="469"/>
      <c r="T289" s="470"/>
      <c r="U289" s="470"/>
      <c r="V289" s="470"/>
      <c r="W289" s="469"/>
      <c r="X289" s="469"/>
      <c r="Y289" s="469"/>
      <c r="Z289" s="470"/>
      <c r="AA289" s="469"/>
      <c r="AB289" s="469"/>
      <c r="AC289" s="469"/>
      <c r="AD289" s="469"/>
      <c r="AE289" s="472"/>
      <c r="AF289" s="473"/>
      <c r="AG289" s="475"/>
      <c r="AH289" s="475"/>
    </row>
    <row r="290" ht="15.75" customHeight="1">
      <c r="A290" s="344"/>
      <c r="B290" s="470"/>
      <c r="C290" s="470"/>
      <c r="D290" s="471"/>
      <c r="E290" s="469"/>
      <c r="F290" s="469"/>
      <c r="G290" s="470"/>
      <c r="H290" s="470"/>
      <c r="I290" s="470"/>
      <c r="J290" s="470"/>
      <c r="K290" s="469"/>
      <c r="L290" s="469"/>
      <c r="M290" s="469"/>
      <c r="N290" s="469"/>
      <c r="O290" s="469"/>
      <c r="P290" s="469"/>
      <c r="Q290" s="470"/>
      <c r="R290" s="469"/>
      <c r="S290" s="469"/>
      <c r="T290" s="470"/>
      <c r="U290" s="470"/>
      <c r="V290" s="470"/>
      <c r="W290" s="469"/>
      <c r="X290" s="469"/>
      <c r="Y290" s="469"/>
      <c r="Z290" s="470"/>
      <c r="AA290" s="469"/>
      <c r="AB290" s="469"/>
      <c r="AC290" s="469"/>
      <c r="AD290" s="469"/>
      <c r="AE290" s="472"/>
      <c r="AF290" s="473"/>
      <c r="AG290" s="475"/>
      <c r="AH290" s="475"/>
    </row>
    <row r="291" ht="15.75" customHeight="1">
      <c r="A291" s="344"/>
      <c r="B291" s="470"/>
      <c r="C291" s="470"/>
      <c r="D291" s="471"/>
      <c r="E291" s="469"/>
      <c r="F291" s="469"/>
      <c r="G291" s="470"/>
      <c r="H291" s="470"/>
      <c r="I291" s="470"/>
      <c r="J291" s="470"/>
      <c r="K291" s="469"/>
      <c r="L291" s="469"/>
      <c r="M291" s="469"/>
      <c r="N291" s="469"/>
      <c r="O291" s="469"/>
      <c r="P291" s="469"/>
      <c r="Q291" s="470"/>
      <c r="R291" s="469"/>
      <c r="S291" s="469"/>
      <c r="T291" s="470"/>
      <c r="U291" s="470"/>
      <c r="V291" s="470"/>
      <c r="W291" s="469"/>
      <c r="X291" s="469"/>
      <c r="Y291" s="469"/>
      <c r="Z291" s="470"/>
      <c r="AA291" s="469"/>
      <c r="AB291" s="469"/>
      <c r="AC291" s="469"/>
      <c r="AD291" s="469"/>
      <c r="AE291" s="472"/>
      <c r="AF291" s="473"/>
      <c r="AG291" s="475"/>
      <c r="AH291" s="475"/>
    </row>
    <row r="292" ht="15.75" customHeight="1">
      <c r="A292" s="344"/>
      <c r="B292" s="470"/>
      <c r="C292" s="470"/>
      <c r="D292" s="471"/>
      <c r="E292" s="469"/>
      <c r="F292" s="469"/>
      <c r="G292" s="470"/>
      <c r="H292" s="470"/>
      <c r="I292" s="470"/>
      <c r="J292" s="470"/>
      <c r="K292" s="469"/>
      <c r="L292" s="469"/>
      <c r="M292" s="469"/>
      <c r="N292" s="469"/>
      <c r="O292" s="469"/>
      <c r="P292" s="469"/>
      <c r="Q292" s="470"/>
      <c r="R292" s="469"/>
      <c r="S292" s="469"/>
      <c r="T292" s="470"/>
      <c r="U292" s="470"/>
      <c r="V292" s="470"/>
      <c r="W292" s="469"/>
      <c r="X292" s="469"/>
      <c r="Y292" s="469"/>
      <c r="Z292" s="470"/>
      <c r="AA292" s="469"/>
      <c r="AB292" s="469"/>
      <c r="AC292" s="469"/>
      <c r="AD292" s="469"/>
      <c r="AE292" s="472"/>
      <c r="AF292" s="473"/>
      <c r="AG292" s="475"/>
      <c r="AH292" s="475"/>
    </row>
    <row r="293" ht="15.75" customHeight="1">
      <c r="A293" s="344"/>
      <c r="B293" s="470"/>
      <c r="C293" s="470"/>
      <c r="D293" s="471"/>
      <c r="E293" s="469"/>
      <c r="F293" s="469"/>
      <c r="G293" s="470"/>
      <c r="H293" s="470"/>
      <c r="I293" s="470"/>
      <c r="J293" s="470"/>
      <c r="K293" s="469"/>
      <c r="L293" s="469"/>
      <c r="M293" s="469"/>
      <c r="N293" s="469"/>
      <c r="O293" s="469"/>
      <c r="P293" s="469"/>
      <c r="Q293" s="470"/>
      <c r="R293" s="469"/>
      <c r="S293" s="469"/>
      <c r="T293" s="470"/>
      <c r="U293" s="470"/>
      <c r="V293" s="470"/>
      <c r="W293" s="469"/>
      <c r="X293" s="469"/>
      <c r="Y293" s="469"/>
      <c r="Z293" s="470"/>
      <c r="AA293" s="469"/>
      <c r="AB293" s="469"/>
      <c r="AC293" s="469"/>
      <c r="AD293" s="469"/>
      <c r="AE293" s="472"/>
      <c r="AF293" s="473"/>
      <c r="AG293" s="475"/>
      <c r="AH293" s="475"/>
    </row>
    <row r="294" ht="15.75" customHeight="1">
      <c r="A294" s="344"/>
      <c r="B294" s="470"/>
      <c r="C294" s="470"/>
      <c r="D294" s="471"/>
      <c r="E294" s="469"/>
      <c r="F294" s="469"/>
      <c r="G294" s="470"/>
      <c r="H294" s="470"/>
      <c r="I294" s="470"/>
      <c r="J294" s="470"/>
      <c r="K294" s="469"/>
      <c r="L294" s="469"/>
      <c r="M294" s="469"/>
      <c r="N294" s="469"/>
      <c r="O294" s="469"/>
      <c r="P294" s="469"/>
      <c r="Q294" s="470"/>
      <c r="R294" s="469"/>
      <c r="S294" s="469"/>
      <c r="T294" s="470"/>
      <c r="U294" s="470"/>
      <c r="V294" s="470"/>
      <c r="W294" s="469"/>
      <c r="X294" s="469"/>
      <c r="Y294" s="469"/>
      <c r="Z294" s="470"/>
      <c r="AA294" s="469"/>
      <c r="AB294" s="469"/>
      <c r="AC294" s="469"/>
      <c r="AD294" s="469"/>
      <c r="AE294" s="472"/>
      <c r="AF294" s="473"/>
      <c r="AG294" s="475"/>
      <c r="AH294" s="475"/>
    </row>
    <row r="295" ht="15.75" customHeight="1">
      <c r="A295" s="344"/>
      <c r="B295" s="470"/>
      <c r="C295" s="470"/>
      <c r="D295" s="471"/>
      <c r="E295" s="469"/>
      <c r="F295" s="469"/>
      <c r="G295" s="470"/>
      <c r="H295" s="470"/>
      <c r="I295" s="470"/>
      <c r="J295" s="470"/>
      <c r="K295" s="469"/>
      <c r="L295" s="469"/>
      <c r="M295" s="469"/>
      <c r="N295" s="469"/>
      <c r="O295" s="469"/>
      <c r="P295" s="469"/>
      <c r="Q295" s="470"/>
      <c r="R295" s="469"/>
      <c r="S295" s="469"/>
      <c r="T295" s="470"/>
      <c r="U295" s="470"/>
      <c r="V295" s="470"/>
      <c r="W295" s="469"/>
      <c r="X295" s="469"/>
      <c r="Y295" s="469"/>
      <c r="Z295" s="470"/>
      <c r="AA295" s="469"/>
      <c r="AB295" s="469"/>
      <c r="AC295" s="469"/>
      <c r="AD295" s="469"/>
      <c r="AE295" s="472"/>
      <c r="AF295" s="473"/>
      <c r="AG295" s="475"/>
      <c r="AH295" s="475"/>
    </row>
    <row r="296" ht="15.75" customHeight="1">
      <c r="A296" s="344"/>
      <c r="B296" s="470"/>
      <c r="C296" s="470"/>
      <c r="D296" s="471"/>
      <c r="E296" s="469"/>
      <c r="F296" s="469"/>
      <c r="G296" s="470"/>
      <c r="H296" s="470"/>
      <c r="I296" s="470"/>
      <c r="J296" s="470"/>
      <c r="K296" s="469"/>
      <c r="L296" s="469"/>
      <c r="M296" s="469"/>
      <c r="N296" s="469"/>
      <c r="O296" s="469"/>
      <c r="P296" s="469"/>
      <c r="Q296" s="470"/>
      <c r="R296" s="469"/>
      <c r="S296" s="469"/>
      <c r="T296" s="470"/>
      <c r="U296" s="470"/>
      <c r="V296" s="470"/>
      <c r="W296" s="469"/>
      <c r="X296" s="469"/>
      <c r="Y296" s="469"/>
      <c r="Z296" s="470"/>
      <c r="AA296" s="469"/>
      <c r="AB296" s="469"/>
      <c r="AC296" s="469"/>
      <c r="AD296" s="469"/>
      <c r="AE296" s="472"/>
      <c r="AF296" s="473"/>
      <c r="AG296" s="475"/>
      <c r="AH296" s="475"/>
    </row>
    <row r="297" ht="15.75" customHeight="1">
      <c r="A297" s="344"/>
      <c r="B297" s="470"/>
      <c r="C297" s="470"/>
      <c r="D297" s="471"/>
      <c r="E297" s="469"/>
      <c r="F297" s="469"/>
      <c r="G297" s="470"/>
      <c r="H297" s="470"/>
      <c r="I297" s="470"/>
      <c r="J297" s="470"/>
      <c r="K297" s="469"/>
      <c r="L297" s="469"/>
      <c r="M297" s="469"/>
      <c r="N297" s="469"/>
      <c r="O297" s="469"/>
      <c r="P297" s="469"/>
      <c r="Q297" s="470"/>
      <c r="R297" s="469"/>
      <c r="S297" s="469"/>
      <c r="T297" s="470"/>
      <c r="U297" s="470"/>
      <c r="V297" s="470"/>
      <c r="W297" s="469"/>
      <c r="X297" s="469"/>
      <c r="Y297" s="469"/>
      <c r="Z297" s="470"/>
      <c r="AA297" s="469"/>
      <c r="AB297" s="469"/>
      <c r="AC297" s="469"/>
      <c r="AD297" s="469"/>
      <c r="AE297" s="472"/>
      <c r="AF297" s="473"/>
      <c r="AG297" s="475"/>
      <c r="AH297" s="475"/>
    </row>
    <row r="298" ht="15.75" customHeight="1">
      <c r="A298" s="344"/>
      <c r="B298" s="470"/>
      <c r="C298" s="470"/>
      <c r="D298" s="471"/>
      <c r="E298" s="469"/>
      <c r="F298" s="469"/>
      <c r="G298" s="470"/>
      <c r="H298" s="470"/>
      <c r="I298" s="470"/>
      <c r="J298" s="470"/>
      <c r="K298" s="469"/>
      <c r="L298" s="469"/>
      <c r="M298" s="469"/>
      <c r="N298" s="469"/>
      <c r="O298" s="469"/>
      <c r="P298" s="469"/>
      <c r="Q298" s="470"/>
      <c r="R298" s="469"/>
      <c r="S298" s="469"/>
      <c r="T298" s="470"/>
      <c r="U298" s="470"/>
      <c r="V298" s="470"/>
      <c r="W298" s="469"/>
      <c r="X298" s="469"/>
      <c r="Y298" s="469"/>
      <c r="Z298" s="470"/>
      <c r="AA298" s="469"/>
      <c r="AB298" s="469"/>
      <c r="AC298" s="469"/>
      <c r="AD298" s="469"/>
      <c r="AE298" s="472"/>
      <c r="AF298" s="473"/>
      <c r="AG298" s="475"/>
      <c r="AH298" s="475"/>
    </row>
    <row r="299" ht="15.75" customHeight="1">
      <c r="A299" s="344"/>
      <c r="B299" s="470"/>
      <c r="C299" s="470"/>
      <c r="D299" s="471"/>
      <c r="E299" s="469"/>
      <c r="F299" s="469"/>
      <c r="G299" s="470"/>
      <c r="H299" s="470"/>
      <c r="I299" s="470"/>
      <c r="J299" s="470"/>
      <c r="K299" s="469"/>
      <c r="L299" s="469"/>
      <c r="M299" s="469"/>
      <c r="N299" s="469"/>
      <c r="O299" s="469"/>
      <c r="P299" s="469"/>
      <c r="Q299" s="470"/>
      <c r="R299" s="469"/>
      <c r="S299" s="469"/>
      <c r="T299" s="470"/>
      <c r="U299" s="470"/>
      <c r="V299" s="470"/>
      <c r="W299" s="469"/>
      <c r="X299" s="469"/>
      <c r="Y299" s="469"/>
      <c r="Z299" s="470"/>
      <c r="AA299" s="469"/>
      <c r="AB299" s="469"/>
      <c r="AC299" s="469"/>
      <c r="AD299" s="469"/>
      <c r="AE299" s="472"/>
      <c r="AF299" s="473"/>
      <c r="AG299" s="475"/>
      <c r="AH299" s="475"/>
    </row>
    <row r="300" ht="15.75" customHeight="1">
      <c r="A300" s="344"/>
      <c r="B300" s="470"/>
      <c r="C300" s="470"/>
      <c r="D300" s="471"/>
      <c r="E300" s="469"/>
      <c r="F300" s="469"/>
      <c r="G300" s="470"/>
      <c r="H300" s="470"/>
      <c r="I300" s="470"/>
      <c r="J300" s="470"/>
      <c r="K300" s="469"/>
      <c r="L300" s="469"/>
      <c r="M300" s="469"/>
      <c r="N300" s="469"/>
      <c r="O300" s="469"/>
      <c r="P300" s="469"/>
      <c r="Q300" s="470"/>
      <c r="R300" s="469"/>
      <c r="S300" s="469"/>
      <c r="T300" s="470"/>
      <c r="U300" s="470"/>
      <c r="V300" s="470"/>
      <c r="W300" s="469"/>
      <c r="X300" s="469"/>
      <c r="Y300" s="469"/>
      <c r="Z300" s="470"/>
      <c r="AA300" s="469"/>
      <c r="AB300" s="469"/>
      <c r="AC300" s="469"/>
      <c r="AD300" s="469"/>
      <c r="AE300" s="472"/>
      <c r="AF300" s="473"/>
      <c r="AG300" s="475"/>
      <c r="AH300" s="475"/>
    </row>
    <row r="301" ht="15.75" customHeight="1">
      <c r="A301" s="344"/>
      <c r="B301" s="470"/>
      <c r="C301" s="470"/>
      <c r="D301" s="471"/>
      <c r="E301" s="469"/>
      <c r="F301" s="469"/>
      <c r="G301" s="470"/>
      <c r="H301" s="470"/>
      <c r="I301" s="470"/>
      <c r="J301" s="470"/>
      <c r="K301" s="469"/>
      <c r="L301" s="469"/>
      <c r="M301" s="469"/>
      <c r="N301" s="469"/>
      <c r="O301" s="469"/>
      <c r="P301" s="469"/>
      <c r="Q301" s="470"/>
      <c r="R301" s="469"/>
      <c r="S301" s="469"/>
      <c r="T301" s="470"/>
      <c r="U301" s="470"/>
      <c r="V301" s="470"/>
      <c r="W301" s="469"/>
      <c r="X301" s="469"/>
      <c r="Y301" s="469"/>
      <c r="Z301" s="470"/>
      <c r="AA301" s="469"/>
      <c r="AB301" s="469"/>
      <c r="AC301" s="469"/>
      <c r="AD301" s="469"/>
      <c r="AE301" s="472"/>
      <c r="AF301" s="473"/>
      <c r="AG301" s="475"/>
      <c r="AH301" s="475"/>
    </row>
    <row r="302" ht="15.75" customHeight="1">
      <c r="A302" s="344"/>
      <c r="B302" s="470"/>
      <c r="C302" s="470"/>
      <c r="D302" s="471"/>
      <c r="E302" s="469"/>
      <c r="F302" s="469"/>
      <c r="G302" s="470"/>
      <c r="H302" s="470"/>
      <c r="I302" s="470"/>
      <c r="J302" s="470"/>
      <c r="K302" s="469"/>
      <c r="L302" s="469"/>
      <c r="M302" s="469"/>
      <c r="N302" s="469"/>
      <c r="O302" s="469"/>
      <c r="P302" s="469"/>
      <c r="Q302" s="470"/>
      <c r="R302" s="469"/>
      <c r="S302" s="469"/>
      <c r="T302" s="470"/>
      <c r="U302" s="470"/>
      <c r="V302" s="470"/>
      <c r="W302" s="469"/>
      <c r="X302" s="469"/>
      <c r="Y302" s="469"/>
      <c r="Z302" s="470"/>
      <c r="AA302" s="469"/>
      <c r="AB302" s="469"/>
      <c r="AC302" s="469"/>
      <c r="AD302" s="469"/>
      <c r="AE302" s="472"/>
      <c r="AF302" s="473"/>
      <c r="AG302" s="475"/>
      <c r="AH302" s="475"/>
    </row>
    <row r="303" ht="15.75" customHeight="1">
      <c r="A303" s="344"/>
      <c r="B303" s="470"/>
      <c r="C303" s="470"/>
      <c r="D303" s="471"/>
      <c r="E303" s="469"/>
      <c r="F303" s="469"/>
      <c r="G303" s="470"/>
      <c r="H303" s="470"/>
      <c r="I303" s="470"/>
      <c r="J303" s="470"/>
      <c r="K303" s="469"/>
      <c r="L303" s="469"/>
      <c r="M303" s="469"/>
      <c r="N303" s="469"/>
      <c r="O303" s="469"/>
      <c r="P303" s="469"/>
      <c r="Q303" s="470"/>
      <c r="R303" s="469"/>
      <c r="S303" s="469"/>
      <c r="T303" s="470"/>
      <c r="U303" s="470"/>
      <c r="V303" s="470"/>
      <c r="W303" s="469"/>
      <c r="X303" s="469"/>
      <c r="Y303" s="469"/>
      <c r="Z303" s="470"/>
      <c r="AA303" s="469"/>
      <c r="AB303" s="469"/>
      <c r="AC303" s="469"/>
      <c r="AD303" s="469"/>
      <c r="AE303" s="472"/>
      <c r="AF303" s="473"/>
      <c r="AG303" s="475"/>
      <c r="AH303" s="475"/>
    </row>
    <row r="304" ht="15.75" customHeight="1">
      <c r="A304" s="344"/>
      <c r="B304" s="470"/>
      <c r="C304" s="470"/>
      <c r="D304" s="471"/>
      <c r="E304" s="469"/>
      <c r="F304" s="469"/>
      <c r="G304" s="470"/>
      <c r="H304" s="470"/>
      <c r="I304" s="470"/>
      <c r="J304" s="470"/>
      <c r="K304" s="469"/>
      <c r="L304" s="469"/>
      <c r="M304" s="469"/>
      <c r="N304" s="469"/>
      <c r="O304" s="469"/>
      <c r="P304" s="469"/>
      <c r="Q304" s="470"/>
      <c r="R304" s="469"/>
      <c r="S304" s="469"/>
      <c r="T304" s="470"/>
      <c r="U304" s="470"/>
      <c r="V304" s="470"/>
      <c r="W304" s="469"/>
      <c r="X304" s="469"/>
      <c r="Y304" s="469"/>
      <c r="Z304" s="470"/>
      <c r="AA304" s="469"/>
      <c r="AB304" s="469"/>
      <c r="AC304" s="469"/>
      <c r="AD304" s="469"/>
      <c r="AE304" s="472"/>
      <c r="AF304" s="473"/>
      <c r="AG304" s="475"/>
      <c r="AH304" s="475"/>
    </row>
    <row r="305" ht="15.75" customHeight="1">
      <c r="A305" s="344"/>
      <c r="B305" s="470"/>
      <c r="C305" s="470"/>
      <c r="D305" s="471"/>
      <c r="E305" s="469"/>
      <c r="F305" s="469"/>
      <c r="G305" s="470"/>
      <c r="H305" s="470"/>
      <c r="I305" s="470"/>
      <c r="J305" s="470"/>
      <c r="K305" s="469"/>
      <c r="L305" s="469"/>
      <c r="M305" s="469"/>
      <c r="N305" s="469"/>
      <c r="O305" s="469"/>
      <c r="P305" s="469"/>
      <c r="Q305" s="470"/>
      <c r="R305" s="469"/>
      <c r="S305" s="469"/>
      <c r="T305" s="470"/>
      <c r="U305" s="470"/>
      <c r="V305" s="470"/>
      <c r="W305" s="469"/>
      <c r="X305" s="469"/>
      <c r="Y305" s="469"/>
      <c r="Z305" s="470"/>
      <c r="AA305" s="469"/>
      <c r="AB305" s="469"/>
      <c r="AC305" s="469"/>
      <c r="AD305" s="469"/>
      <c r="AE305" s="472"/>
      <c r="AF305" s="472"/>
      <c r="AG305" s="475"/>
      <c r="AH305" s="475"/>
    </row>
    <row r="306" ht="15.75" customHeight="1">
      <c r="A306" s="344"/>
      <c r="B306" s="470"/>
      <c r="C306" s="470"/>
      <c r="D306" s="471"/>
      <c r="E306" s="469"/>
      <c r="F306" s="469"/>
      <c r="G306" s="470"/>
      <c r="H306" s="470"/>
      <c r="I306" s="470"/>
      <c r="J306" s="470"/>
      <c r="K306" s="469"/>
      <c r="L306" s="469"/>
      <c r="M306" s="469"/>
      <c r="N306" s="469"/>
      <c r="O306" s="469"/>
      <c r="P306" s="469"/>
      <c r="Q306" s="470"/>
      <c r="R306" s="469"/>
      <c r="S306" s="469"/>
      <c r="T306" s="470"/>
      <c r="U306" s="470"/>
      <c r="V306" s="470"/>
      <c r="W306" s="469"/>
      <c r="X306" s="469"/>
      <c r="Y306" s="469"/>
      <c r="Z306" s="470"/>
      <c r="AA306" s="469"/>
      <c r="AB306" s="469"/>
      <c r="AC306" s="469"/>
      <c r="AD306" s="469"/>
      <c r="AE306" s="472"/>
      <c r="AF306" s="472"/>
      <c r="AG306" s="475"/>
      <c r="AH306" s="475"/>
    </row>
    <row r="307" ht="15.75" customHeight="1">
      <c r="A307" s="344"/>
      <c r="B307" s="470"/>
      <c r="C307" s="470"/>
      <c r="D307" s="471"/>
      <c r="E307" s="469"/>
      <c r="F307" s="469"/>
      <c r="G307" s="470"/>
      <c r="H307" s="470"/>
      <c r="I307" s="470"/>
      <c r="J307" s="470"/>
      <c r="K307" s="469"/>
      <c r="L307" s="469"/>
      <c r="M307" s="469"/>
      <c r="N307" s="469"/>
      <c r="O307" s="469"/>
      <c r="P307" s="469"/>
      <c r="Q307" s="470"/>
      <c r="R307" s="469"/>
      <c r="S307" s="469"/>
      <c r="T307" s="470"/>
      <c r="U307" s="470"/>
      <c r="V307" s="470"/>
      <c r="W307" s="469"/>
      <c r="X307" s="469"/>
      <c r="Y307" s="469"/>
      <c r="Z307" s="470"/>
      <c r="AA307" s="469"/>
      <c r="AB307" s="469"/>
      <c r="AC307" s="469"/>
      <c r="AD307" s="469"/>
      <c r="AE307" s="472"/>
      <c r="AF307" s="472"/>
      <c r="AG307" s="475"/>
      <c r="AH307" s="475"/>
    </row>
    <row r="308" ht="15.75" customHeight="1">
      <c r="A308" s="344"/>
      <c r="B308" s="470"/>
      <c r="C308" s="470"/>
      <c r="D308" s="471"/>
      <c r="E308" s="469"/>
      <c r="F308" s="469"/>
      <c r="G308" s="470"/>
      <c r="H308" s="470"/>
      <c r="I308" s="470"/>
      <c r="J308" s="470"/>
      <c r="K308" s="469"/>
      <c r="L308" s="469"/>
      <c r="M308" s="469"/>
      <c r="N308" s="469"/>
      <c r="O308" s="469"/>
      <c r="P308" s="469"/>
      <c r="Q308" s="470"/>
      <c r="R308" s="469"/>
      <c r="S308" s="469"/>
      <c r="T308" s="470"/>
      <c r="U308" s="470"/>
      <c r="V308" s="470"/>
      <c r="W308" s="469"/>
      <c r="X308" s="469"/>
      <c r="Y308" s="469"/>
      <c r="Z308" s="470"/>
      <c r="AA308" s="469"/>
      <c r="AB308" s="469"/>
      <c r="AC308" s="469"/>
      <c r="AD308" s="469"/>
      <c r="AE308" s="472"/>
      <c r="AF308" s="472"/>
      <c r="AG308" s="475"/>
      <c r="AH308" s="475"/>
    </row>
    <row r="309" ht="15.75" customHeight="1">
      <c r="A309" s="344"/>
      <c r="B309" s="470"/>
      <c r="C309" s="470"/>
      <c r="D309" s="471"/>
      <c r="E309" s="469"/>
      <c r="F309" s="469"/>
      <c r="G309" s="470"/>
      <c r="H309" s="470"/>
      <c r="I309" s="470"/>
      <c r="J309" s="470"/>
      <c r="K309" s="469"/>
      <c r="L309" s="469"/>
      <c r="M309" s="469"/>
      <c r="N309" s="469"/>
      <c r="O309" s="469"/>
      <c r="P309" s="469"/>
      <c r="Q309" s="470"/>
      <c r="R309" s="469"/>
      <c r="S309" s="469"/>
      <c r="T309" s="470"/>
      <c r="U309" s="470"/>
      <c r="V309" s="470"/>
      <c r="W309" s="469"/>
      <c r="X309" s="469"/>
      <c r="Y309" s="469"/>
      <c r="Z309" s="470"/>
      <c r="AA309" s="469"/>
      <c r="AB309" s="469"/>
      <c r="AC309" s="469"/>
      <c r="AD309" s="469"/>
      <c r="AE309" s="472"/>
      <c r="AF309" s="472"/>
      <c r="AG309" s="475"/>
      <c r="AH309" s="475"/>
    </row>
    <row r="310" ht="15.75" customHeight="1">
      <c r="A310" s="344"/>
      <c r="B310" s="470"/>
      <c r="C310" s="470"/>
      <c r="D310" s="471"/>
      <c r="E310" s="469"/>
      <c r="F310" s="469"/>
      <c r="G310" s="470"/>
      <c r="H310" s="470"/>
      <c r="I310" s="470"/>
      <c r="J310" s="470"/>
      <c r="K310" s="469"/>
      <c r="L310" s="469"/>
      <c r="M310" s="469"/>
      <c r="N310" s="469"/>
      <c r="O310" s="469"/>
      <c r="P310" s="469"/>
      <c r="Q310" s="470"/>
      <c r="R310" s="469"/>
      <c r="S310" s="469"/>
      <c r="T310" s="470"/>
      <c r="U310" s="470"/>
      <c r="V310" s="470"/>
      <c r="W310" s="469"/>
      <c r="X310" s="469"/>
      <c r="Y310" s="469"/>
      <c r="Z310" s="470"/>
      <c r="AA310" s="469"/>
      <c r="AB310" s="469"/>
      <c r="AC310" s="469"/>
      <c r="AD310" s="469"/>
      <c r="AE310" s="472"/>
      <c r="AF310" s="472"/>
      <c r="AG310" s="475"/>
      <c r="AH310" s="475"/>
    </row>
    <row r="311" ht="15.75" customHeight="1">
      <c r="A311" s="344"/>
      <c r="B311" s="470"/>
      <c r="C311" s="470"/>
      <c r="D311" s="471"/>
      <c r="E311" s="469"/>
      <c r="F311" s="469"/>
      <c r="G311" s="470"/>
      <c r="H311" s="470"/>
      <c r="I311" s="470"/>
      <c r="J311" s="470"/>
      <c r="K311" s="469"/>
      <c r="L311" s="469"/>
      <c r="M311" s="469"/>
      <c r="N311" s="469"/>
      <c r="O311" s="469"/>
      <c r="P311" s="469"/>
      <c r="Q311" s="470"/>
      <c r="R311" s="469"/>
      <c r="S311" s="469"/>
      <c r="T311" s="470"/>
      <c r="U311" s="470"/>
      <c r="V311" s="470"/>
      <c r="W311" s="469"/>
      <c r="X311" s="469"/>
      <c r="Y311" s="469"/>
      <c r="Z311" s="470"/>
      <c r="AA311" s="469"/>
      <c r="AB311" s="469"/>
      <c r="AC311" s="469"/>
      <c r="AD311" s="469"/>
      <c r="AE311" s="472"/>
      <c r="AF311" s="472"/>
      <c r="AG311" s="475"/>
      <c r="AH311" s="475"/>
    </row>
    <row r="312" ht="15.75" customHeight="1">
      <c r="A312" s="344"/>
      <c r="B312" s="470"/>
      <c r="C312" s="470"/>
      <c r="D312" s="471"/>
      <c r="E312" s="469"/>
      <c r="F312" s="469"/>
      <c r="G312" s="470"/>
      <c r="H312" s="470"/>
      <c r="I312" s="470"/>
      <c r="J312" s="470"/>
      <c r="K312" s="469"/>
      <c r="L312" s="469"/>
      <c r="M312" s="469"/>
      <c r="N312" s="469"/>
      <c r="O312" s="469"/>
      <c r="P312" s="469"/>
      <c r="Q312" s="470"/>
      <c r="R312" s="469"/>
      <c r="S312" s="469"/>
      <c r="T312" s="470"/>
      <c r="U312" s="470"/>
      <c r="V312" s="470"/>
      <c r="W312" s="469"/>
      <c r="X312" s="469"/>
      <c r="Y312" s="469"/>
      <c r="Z312" s="470"/>
      <c r="AA312" s="469"/>
      <c r="AB312" s="469"/>
      <c r="AC312" s="469"/>
      <c r="AD312" s="469"/>
      <c r="AE312" s="472"/>
      <c r="AF312" s="472"/>
      <c r="AG312" s="475"/>
      <c r="AH312" s="475"/>
    </row>
    <row r="313" ht="15.75" customHeight="1">
      <c r="A313" s="344"/>
      <c r="B313" s="470"/>
      <c r="C313" s="470"/>
      <c r="D313" s="471"/>
      <c r="E313" s="469"/>
      <c r="F313" s="469"/>
      <c r="G313" s="470"/>
      <c r="H313" s="470"/>
      <c r="I313" s="470"/>
      <c r="J313" s="470"/>
      <c r="K313" s="469"/>
      <c r="L313" s="469"/>
      <c r="M313" s="469"/>
      <c r="N313" s="469"/>
      <c r="O313" s="469"/>
      <c r="P313" s="469"/>
      <c r="Q313" s="470"/>
      <c r="R313" s="469"/>
      <c r="S313" s="469"/>
      <c r="T313" s="470"/>
      <c r="U313" s="470"/>
      <c r="V313" s="470"/>
      <c r="W313" s="469"/>
      <c r="X313" s="469"/>
      <c r="Y313" s="469"/>
      <c r="Z313" s="470"/>
      <c r="AA313" s="469"/>
      <c r="AB313" s="469"/>
      <c r="AC313" s="469"/>
      <c r="AD313" s="469"/>
      <c r="AE313" s="472"/>
      <c r="AF313" s="472"/>
      <c r="AG313" s="475"/>
      <c r="AH313" s="475"/>
    </row>
    <row r="314" ht="15.75" customHeight="1">
      <c r="A314" s="344"/>
      <c r="B314" s="470"/>
      <c r="C314" s="470"/>
      <c r="D314" s="471"/>
      <c r="E314" s="469"/>
      <c r="F314" s="469"/>
      <c r="G314" s="470"/>
      <c r="H314" s="470"/>
      <c r="I314" s="470"/>
      <c r="J314" s="470"/>
      <c r="K314" s="469"/>
      <c r="L314" s="469"/>
      <c r="M314" s="469"/>
      <c r="N314" s="469"/>
      <c r="O314" s="469"/>
      <c r="P314" s="469"/>
      <c r="Q314" s="470"/>
      <c r="R314" s="469"/>
      <c r="S314" s="469"/>
      <c r="T314" s="470"/>
      <c r="U314" s="470"/>
      <c r="V314" s="470"/>
      <c r="W314" s="469"/>
      <c r="X314" s="469"/>
      <c r="Y314" s="469"/>
      <c r="Z314" s="470"/>
      <c r="AA314" s="469"/>
      <c r="AB314" s="469"/>
      <c r="AC314" s="469"/>
      <c r="AD314" s="469"/>
      <c r="AE314" s="472"/>
      <c r="AF314" s="472"/>
      <c r="AG314" s="475"/>
      <c r="AH314" s="475"/>
    </row>
    <row r="315" ht="15.75" customHeight="1">
      <c r="A315" s="344"/>
      <c r="B315" s="470"/>
      <c r="C315" s="470"/>
      <c r="D315" s="471"/>
      <c r="E315" s="469"/>
      <c r="F315" s="469"/>
      <c r="G315" s="470"/>
      <c r="H315" s="470"/>
      <c r="I315" s="470"/>
      <c r="J315" s="470"/>
      <c r="K315" s="469"/>
      <c r="L315" s="469"/>
      <c r="M315" s="469"/>
      <c r="N315" s="469"/>
      <c r="O315" s="469"/>
      <c r="P315" s="469"/>
      <c r="Q315" s="470"/>
      <c r="R315" s="469"/>
      <c r="S315" s="469"/>
      <c r="T315" s="470"/>
      <c r="U315" s="470"/>
      <c r="V315" s="470"/>
      <c r="W315" s="469"/>
      <c r="X315" s="469"/>
      <c r="Y315" s="469"/>
      <c r="Z315" s="470"/>
      <c r="AA315" s="469"/>
      <c r="AB315" s="469"/>
      <c r="AC315" s="469"/>
      <c r="AD315" s="469"/>
      <c r="AE315" s="472"/>
      <c r="AF315" s="472"/>
      <c r="AG315" s="475"/>
      <c r="AH315" s="475"/>
    </row>
    <row r="316" ht="15.75" customHeight="1">
      <c r="A316" s="344"/>
      <c r="B316" s="470"/>
      <c r="C316" s="470"/>
      <c r="D316" s="471"/>
      <c r="E316" s="469"/>
      <c r="F316" s="469"/>
      <c r="G316" s="470"/>
      <c r="H316" s="470"/>
      <c r="I316" s="470"/>
      <c r="J316" s="470"/>
      <c r="K316" s="469"/>
      <c r="L316" s="469"/>
      <c r="M316" s="469"/>
      <c r="N316" s="469"/>
      <c r="O316" s="469"/>
      <c r="P316" s="469"/>
      <c r="Q316" s="470"/>
      <c r="R316" s="469"/>
      <c r="S316" s="469"/>
      <c r="T316" s="470"/>
      <c r="U316" s="470"/>
      <c r="V316" s="470"/>
      <c r="W316" s="469"/>
      <c r="X316" s="469"/>
      <c r="Y316" s="469"/>
      <c r="Z316" s="470"/>
      <c r="AA316" s="469"/>
      <c r="AB316" s="469"/>
      <c r="AC316" s="469"/>
      <c r="AD316" s="469"/>
      <c r="AE316" s="472"/>
      <c r="AF316" s="472"/>
      <c r="AG316" s="475"/>
      <c r="AH316" s="475"/>
    </row>
    <row r="317" ht="15.75" customHeight="1">
      <c r="A317" s="344"/>
      <c r="B317" s="470"/>
      <c r="C317" s="470"/>
      <c r="D317" s="471"/>
      <c r="E317" s="469"/>
      <c r="F317" s="469"/>
      <c r="G317" s="470"/>
      <c r="H317" s="470"/>
      <c r="I317" s="470"/>
      <c r="J317" s="470"/>
      <c r="K317" s="469"/>
      <c r="L317" s="469"/>
      <c r="M317" s="469"/>
      <c r="N317" s="469"/>
      <c r="O317" s="469"/>
      <c r="P317" s="469"/>
      <c r="Q317" s="470"/>
      <c r="R317" s="469"/>
      <c r="S317" s="469"/>
      <c r="T317" s="470"/>
      <c r="U317" s="470"/>
      <c r="V317" s="470"/>
      <c r="W317" s="469"/>
      <c r="X317" s="469"/>
      <c r="Y317" s="469"/>
      <c r="Z317" s="470"/>
      <c r="AA317" s="469"/>
      <c r="AB317" s="469"/>
      <c r="AC317" s="469"/>
      <c r="AD317" s="469"/>
      <c r="AE317" s="472"/>
      <c r="AF317" s="472"/>
      <c r="AG317" s="475"/>
      <c r="AH317" s="475"/>
    </row>
    <row r="318" ht="15.75" customHeight="1">
      <c r="A318" s="344"/>
      <c r="B318" s="470"/>
      <c r="C318" s="470"/>
      <c r="D318" s="471"/>
      <c r="E318" s="469"/>
      <c r="F318" s="469"/>
      <c r="G318" s="470"/>
      <c r="H318" s="470"/>
      <c r="I318" s="470"/>
      <c r="J318" s="470"/>
      <c r="K318" s="469"/>
      <c r="L318" s="469"/>
      <c r="M318" s="469"/>
      <c r="N318" s="469"/>
      <c r="O318" s="469"/>
      <c r="P318" s="469"/>
      <c r="Q318" s="470"/>
      <c r="R318" s="469"/>
      <c r="S318" s="469"/>
      <c r="T318" s="470"/>
      <c r="U318" s="470"/>
      <c r="V318" s="470"/>
      <c r="W318" s="469"/>
      <c r="X318" s="469"/>
      <c r="Y318" s="469"/>
      <c r="Z318" s="470"/>
      <c r="AA318" s="469"/>
      <c r="AB318" s="469"/>
      <c r="AC318" s="469"/>
      <c r="AD318" s="469"/>
      <c r="AE318" s="472"/>
      <c r="AF318" s="472"/>
      <c r="AG318" s="475"/>
      <c r="AH318" s="475"/>
    </row>
    <row r="319" ht="15.75" customHeight="1">
      <c r="A319" s="344"/>
      <c r="B319" s="470"/>
      <c r="C319" s="470"/>
      <c r="D319" s="471"/>
      <c r="E319" s="469"/>
      <c r="F319" s="469"/>
      <c r="G319" s="470"/>
      <c r="H319" s="470"/>
      <c r="I319" s="470"/>
      <c r="J319" s="470"/>
      <c r="K319" s="469"/>
      <c r="L319" s="469"/>
      <c r="M319" s="469"/>
      <c r="N319" s="469"/>
      <c r="O319" s="469"/>
      <c r="P319" s="469"/>
      <c r="Q319" s="470"/>
      <c r="R319" s="469"/>
      <c r="S319" s="469"/>
      <c r="T319" s="470"/>
      <c r="U319" s="470"/>
      <c r="V319" s="470"/>
      <c r="W319" s="469"/>
      <c r="X319" s="469"/>
      <c r="Y319" s="469"/>
      <c r="Z319" s="470"/>
      <c r="AA319" s="469"/>
      <c r="AB319" s="469"/>
      <c r="AC319" s="469"/>
      <c r="AD319" s="469"/>
      <c r="AE319" s="472"/>
      <c r="AF319" s="472"/>
      <c r="AG319" s="475"/>
      <c r="AH319" s="475"/>
    </row>
    <row r="320" ht="15.75" customHeight="1">
      <c r="A320" s="344"/>
      <c r="B320" s="470"/>
      <c r="C320" s="470"/>
      <c r="D320" s="471"/>
      <c r="E320" s="469"/>
      <c r="F320" s="469"/>
      <c r="G320" s="470"/>
      <c r="H320" s="470"/>
      <c r="I320" s="470"/>
      <c r="J320" s="470"/>
      <c r="K320" s="469"/>
      <c r="L320" s="469"/>
      <c r="M320" s="469"/>
      <c r="N320" s="469"/>
      <c r="O320" s="469"/>
      <c r="P320" s="469"/>
      <c r="Q320" s="470"/>
      <c r="R320" s="469"/>
      <c r="S320" s="469"/>
      <c r="T320" s="470"/>
      <c r="U320" s="470"/>
      <c r="V320" s="470"/>
      <c r="W320" s="469"/>
      <c r="X320" s="469"/>
      <c r="Y320" s="469"/>
      <c r="Z320" s="470"/>
      <c r="AA320" s="469"/>
      <c r="AB320" s="469"/>
      <c r="AC320" s="469"/>
      <c r="AD320" s="469"/>
      <c r="AE320" s="472"/>
      <c r="AF320" s="472"/>
      <c r="AG320" s="475"/>
      <c r="AH320" s="475"/>
    </row>
    <row r="321" ht="15.75" customHeight="1">
      <c r="A321" s="344"/>
      <c r="B321" s="470"/>
      <c r="C321" s="470"/>
      <c r="D321" s="471"/>
      <c r="E321" s="469"/>
      <c r="F321" s="469"/>
      <c r="G321" s="470"/>
      <c r="H321" s="470"/>
      <c r="I321" s="470"/>
      <c r="J321" s="470"/>
      <c r="K321" s="469"/>
      <c r="L321" s="469"/>
      <c r="M321" s="469"/>
      <c r="N321" s="469"/>
      <c r="O321" s="469"/>
      <c r="P321" s="469"/>
      <c r="Q321" s="470"/>
      <c r="R321" s="469"/>
      <c r="S321" s="469"/>
      <c r="T321" s="470"/>
      <c r="U321" s="470"/>
      <c r="V321" s="470"/>
      <c r="W321" s="469"/>
      <c r="X321" s="469"/>
      <c r="Y321" s="469"/>
      <c r="Z321" s="470"/>
      <c r="AA321" s="469"/>
      <c r="AB321" s="469"/>
      <c r="AC321" s="469"/>
      <c r="AD321" s="469"/>
      <c r="AE321" s="472"/>
      <c r="AF321" s="472"/>
      <c r="AG321" s="475"/>
      <c r="AH321" s="475"/>
    </row>
    <row r="322" ht="15.75" customHeight="1">
      <c r="A322" s="344"/>
      <c r="B322" s="470"/>
      <c r="C322" s="470"/>
      <c r="D322" s="471"/>
      <c r="E322" s="469"/>
      <c r="F322" s="469"/>
      <c r="G322" s="470"/>
      <c r="H322" s="470"/>
      <c r="I322" s="470"/>
      <c r="J322" s="470"/>
      <c r="K322" s="469"/>
      <c r="L322" s="469"/>
      <c r="M322" s="469"/>
      <c r="N322" s="469"/>
      <c r="O322" s="469"/>
      <c r="P322" s="469"/>
      <c r="Q322" s="470"/>
      <c r="R322" s="469"/>
      <c r="S322" s="469"/>
      <c r="T322" s="470"/>
      <c r="U322" s="470"/>
      <c r="V322" s="470"/>
      <c r="W322" s="469"/>
      <c r="X322" s="469"/>
      <c r="Y322" s="469"/>
      <c r="Z322" s="470"/>
      <c r="AA322" s="469"/>
      <c r="AB322" s="469"/>
      <c r="AC322" s="469"/>
      <c r="AD322" s="469"/>
      <c r="AE322" s="472"/>
      <c r="AF322" s="472"/>
      <c r="AG322" s="475"/>
      <c r="AH322" s="475"/>
    </row>
    <row r="323" ht="15.75" customHeight="1">
      <c r="A323" s="344"/>
      <c r="B323" s="470"/>
      <c r="C323" s="470"/>
      <c r="D323" s="471"/>
      <c r="E323" s="469"/>
      <c r="F323" s="469"/>
      <c r="G323" s="470"/>
      <c r="H323" s="470"/>
      <c r="I323" s="470"/>
      <c r="J323" s="470"/>
      <c r="K323" s="469"/>
      <c r="L323" s="469"/>
      <c r="M323" s="469"/>
      <c r="N323" s="469"/>
      <c r="O323" s="469"/>
      <c r="P323" s="469"/>
      <c r="Q323" s="470"/>
      <c r="R323" s="469"/>
      <c r="S323" s="469"/>
      <c r="T323" s="470"/>
      <c r="U323" s="470"/>
      <c r="V323" s="470"/>
      <c r="W323" s="469"/>
      <c r="X323" s="469"/>
      <c r="Y323" s="469"/>
      <c r="Z323" s="470"/>
      <c r="AA323" s="469"/>
      <c r="AB323" s="469"/>
      <c r="AC323" s="469"/>
      <c r="AD323" s="469"/>
      <c r="AE323" s="472"/>
      <c r="AF323" s="472"/>
      <c r="AG323" s="475"/>
      <c r="AH323" s="475"/>
    </row>
    <row r="324" ht="15.75" customHeight="1">
      <c r="A324" s="344"/>
      <c r="B324" s="470"/>
      <c r="C324" s="470"/>
      <c r="D324" s="471"/>
      <c r="E324" s="469"/>
      <c r="F324" s="469"/>
      <c r="G324" s="470"/>
      <c r="H324" s="470"/>
      <c r="I324" s="470"/>
      <c r="J324" s="470"/>
      <c r="K324" s="469"/>
      <c r="L324" s="469"/>
      <c r="M324" s="469"/>
      <c r="N324" s="469"/>
      <c r="O324" s="469"/>
      <c r="P324" s="469"/>
      <c r="Q324" s="470"/>
      <c r="R324" s="469"/>
      <c r="S324" s="469"/>
      <c r="T324" s="470"/>
      <c r="U324" s="470"/>
      <c r="V324" s="470"/>
      <c r="W324" s="469"/>
      <c r="X324" s="469"/>
      <c r="Y324" s="469"/>
      <c r="Z324" s="470"/>
      <c r="AA324" s="469"/>
      <c r="AB324" s="469"/>
      <c r="AC324" s="469"/>
      <c r="AD324" s="469"/>
      <c r="AE324" s="472"/>
      <c r="AF324" s="472"/>
      <c r="AG324" s="475"/>
      <c r="AH324" s="475"/>
    </row>
    <row r="325" ht="15.75" customHeight="1">
      <c r="A325" s="344"/>
      <c r="B325" s="470"/>
      <c r="C325" s="470"/>
      <c r="D325" s="471"/>
      <c r="E325" s="469"/>
      <c r="F325" s="469"/>
      <c r="G325" s="470"/>
      <c r="H325" s="470"/>
      <c r="I325" s="470"/>
      <c r="J325" s="470"/>
      <c r="K325" s="469"/>
      <c r="L325" s="469"/>
      <c r="M325" s="469"/>
      <c r="N325" s="469"/>
      <c r="O325" s="469"/>
      <c r="P325" s="469"/>
      <c r="Q325" s="470"/>
      <c r="R325" s="469"/>
      <c r="S325" s="469"/>
      <c r="T325" s="470"/>
      <c r="U325" s="470"/>
      <c r="V325" s="470"/>
      <c r="W325" s="469"/>
      <c r="X325" s="469"/>
      <c r="Y325" s="469"/>
      <c r="Z325" s="470"/>
      <c r="AA325" s="469"/>
      <c r="AB325" s="469"/>
      <c r="AC325" s="469"/>
      <c r="AD325" s="469"/>
      <c r="AE325" s="472"/>
      <c r="AF325" s="472"/>
      <c r="AG325" s="475"/>
      <c r="AH325" s="475"/>
    </row>
    <row r="326" ht="15.75" customHeight="1">
      <c r="A326" s="344"/>
      <c r="B326" s="470"/>
      <c r="C326" s="470"/>
      <c r="D326" s="471"/>
      <c r="E326" s="469"/>
      <c r="F326" s="469"/>
      <c r="G326" s="470"/>
      <c r="H326" s="470"/>
      <c r="I326" s="470"/>
      <c r="J326" s="470"/>
      <c r="K326" s="469"/>
      <c r="L326" s="469"/>
      <c r="M326" s="469"/>
      <c r="N326" s="469"/>
      <c r="O326" s="469"/>
      <c r="P326" s="469"/>
      <c r="Q326" s="470"/>
      <c r="R326" s="469"/>
      <c r="S326" s="469"/>
      <c r="T326" s="470"/>
      <c r="U326" s="470"/>
      <c r="V326" s="470"/>
      <c r="W326" s="469"/>
      <c r="X326" s="469"/>
      <c r="Y326" s="469"/>
      <c r="Z326" s="470"/>
      <c r="AA326" s="469"/>
      <c r="AB326" s="469"/>
      <c r="AC326" s="469"/>
      <c r="AD326" s="469"/>
      <c r="AE326" s="472"/>
      <c r="AF326" s="472"/>
      <c r="AG326" s="475"/>
      <c r="AH326" s="475"/>
    </row>
    <row r="327" ht="15.75" customHeight="1">
      <c r="A327" s="344"/>
      <c r="B327" s="470"/>
      <c r="C327" s="470"/>
      <c r="D327" s="471"/>
      <c r="E327" s="469"/>
      <c r="F327" s="469"/>
      <c r="G327" s="470"/>
      <c r="H327" s="470"/>
      <c r="I327" s="470"/>
      <c r="J327" s="470"/>
      <c r="K327" s="469"/>
      <c r="L327" s="469"/>
      <c r="M327" s="469"/>
      <c r="N327" s="469"/>
      <c r="O327" s="469"/>
      <c r="P327" s="469"/>
      <c r="Q327" s="470"/>
      <c r="R327" s="469"/>
      <c r="S327" s="469"/>
      <c r="T327" s="470"/>
      <c r="U327" s="470"/>
      <c r="V327" s="470"/>
      <c r="W327" s="469"/>
      <c r="X327" s="469"/>
      <c r="Y327" s="469"/>
      <c r="Z327" s="470"/>
      <c r="AA327" s="469"/>
      <c r="AB327" s="469"/>
      <c r="AC327" s="469"/>
      <c r="AD327" s="469"/>
      <c r="AE327" s="472"/>
      <c r="AF327" s="472"/>
      <c r="AG327" s="475"/>
      <c r="AH327" s="475"/>
    </row>
    <row r="328" ht="15.75" customHeight="1">
      <c r="A328" s="344"/>
      <c r="B328" s="470"/>
      <c r="C328" s="470"/>
      <c r="D328" s="471"/>
      <c r="E328" s="469"/>
      <c r="F328" s="469"/>
      <c r="G328" s="470"/>
      <c r="H328" s="470"/>
      <c r="I328" s="470"/>
      <c r="J328" s="470"/>
      <c r="K328" s="469"/>
      <c r="L328" s="469"/>
      <c r="M328" s="469"/>
      <c r="N328" s="469"/>
      <c r="O328" s="469"/>
      <c r="P328" s="469"/>
      <c r="Q328" s="470"/>
      <c r="R328" s="469"/>
      <c r="S328" s="469"/>
      <c r="T328" s="470"/>
      <c r="U328" s="470"/>
      <c r="V328" s="470"/>
      <c r="W328" s="469"/>
      <c r="X328" s="469"/>
      <c r="Y328" s="469"/>
      <c r="Z328" s="470"/>
      <c r="AA328" s="469"/>
      <c r="AB328" s="469"/>
      <c r="AC328" s="469"/>
      <c r="AD328" s="469"/>
      <c r="AE328" s="472"/>
      <c r="AF328" s="472"/>
      <c r="AG328" s="475"/>
      <c r="AH328" s="475"/>
    </row>
    <row r="329" ht="15.75" customHeight="1">
      <c r="A329" s="344"/>
      <c r="B329" s="470"/>
      <c r="C329" s="470"/>
      <c r="D329" s="471"/>
      <c r="E329" s="469"/>
      <c r="F329" s="469"/>
      <c r="G329" s="470"/>
      <c r="H329" s="470"/>
      <c r="I329" s="470"/>
      <c r="J329" s="470"/>
      <c r="K329" s="469"/>
      <c r="L329" s="469"/>
      <c r="M329" s="469"/>
      <c r="N329" s="469"/>
      <c r="O329" s="469"/>
      <c r="P329" s="469"/>
      <c r="Q329" s="470"/>
      <c r="R329" s="469"/>
      <c r="S329" s="469"/>
      <c r="T329" s="470"/>
      <c r="U329" s="470"/>
      <c r="V329" s="470"/>
      <c r="W329" s="469"/>
      <c r="X329" s="469"/>
      <c r="Y329" s="469"/>
      <c r="Z329" s="470"/>
      <c r="AA329" s="469"/>
      <c r="AB329" s="469"/>
      <c r="AC329" s="469"/>
      <c r="AD329" s="469"/>
      <c r="AE329" s="472"/>
      <c r="AF329" s="472"/>
      <c r="AG329" s="475"/>
      <c r="AH329" s="475"/>
    </row>
    <row r="330" ht="15.75" customHeight="1">
      <c r="A330" s="344"/>
      <c r="B330" s="470"/>
      <c r="C330" s="470"/>
      <c r="D330" s="471"/>
      <c r="E330" s="469"/>
      <c r="F330" s="469"/>
      <c r="G330" s="470"/>
      <c r="H330" s="470"/>
      <c r="I330" s="470"/>
      <c r="J330" s="470"/>
      <c r="K330" s="469"/>
      <c r="L330" s="469"/>
      <c r="M330" s="469"/>
      <c r="N330" s="469"/>
      <c r="O330" s="469"/>
      <c r="P330" s="469"/>
      <c r="Q330" s="470"/>
      <c r="R330" s="469"/>
      <c r="S330" s="469"/>
      <c r="T330" s="470"/>
      <c r="U330" s="470"/>
      <c r="V330" s="470"/>
      <c r="W330" s="469"/>
      <c r="X330" s="469"/>
      <c r="Y330" s="469"/>
      <c r="Z330" s="470"/>
      <c r="AA330" s="469"/>
      <c r="AB330" s="469"/>
      <c r="AC330" s="469"/>
      <c r="AD330" s="469"/>
      <c r="AE330" s="472"/>
      <c r="AF330" s="472"/>
      <c r="AG330" s="475"/>
      <c r="AH330" s="475"/>
    </row>
    <row r="331" ht="15.75" customHeight="1">
      <c r="A331" s="344"/>
      <c r="B331" s="470"/>
      <c r="C331" s="470"/>
      <c r="D331" s="471"/>
      <c r="E331" s="469"/>
      <c r="F331" s="469"/>
      <c r="G331" s="470"/>
      <c r="H331" s="470"/>
      <c r="I331" s="470"/>
      <c r="J331" s="470"/>
      <c r="K331" s="469"/>
      <c r="L331" s="469"/>
      <c r="M331" s="469"/>
      <c r="N331" s="469"/>
      <c r="O331" s="469"/>
      <c r="P331" s="469"/>
      <c r="Q331" s="470"/>
      <c r="R331" s="469"/>
      <c r="S331" s="469"/>
      <c r="T331" s="470"/>
      <c r="U331" s="470"/>
      <c r="V331" s="470"/>
      <c r="W331" s="469"/>
      <c r="X331" s="469"/>
      <c r="Y331" s="469"/>
      <c r="Z331" s="470"/>
      <c r="AA331" s="469"/>
      <c r="AB331" s="469"/>
      <c r="AC331" s="469"/>
      <c r="AD331" s="469"/>
      <c r="AE331" s="472"/>
      <c r="AF331" s="472"/>
      <c r="AG331" s="475"/>
      <c r="AH331" s="475"/>
    </row>
    <row r="332" ht="15.75" customHeight="1">
      <c r="A332" s="344"/>
      <c r="B332" s="470"/>
      <c r="C332" s="470"/>
      <c r="D332" s="471"/>
      <c r="E332" s="469"/>
      <c r="F332" s="469"/>
      <c r="G332" s="470"/>
      <c r="H332" s="470"/>
      <c r="I332" s="470"/>
      <c r="J332" s="470"/>
      <c r="K332" s="469"/>
      <c r="L332" s="469"/>
      <c r="M332" s="469"/>
      <c r="N332" s="469"/>
      <c r="O332" s="469"/>
      <c r="P332" s="469"/>
      <c r="Q332" s="470"/>
      <c r="R332" s="469"/>
      <c r="S332" s="469"/>
      <c r="T332" s="470"/>
      <c r="U332" s="470"/>
      <c r="V332" s="470"/>
      <c r="W332" s="469"/>
      <c r="X332" s="469"/>
      <c r="Y332" s="469"/>
      <c r="Z332" s="470"/>
      <c r="AA332" s="469"/>
      <c r="AB332" s="469"/>
      <c r="AC332" s="469"/>
      <c r="AD332" s="469"/>
      <c r="AE332" s="472"/>
      <c r="AF332" s="472"/>
      <c r="AG332" s="475"/>
      <c r="AH332" s="475"/>
    </row>
    <row r="333" ht="15.75" customHeight="1">
      <c r="A333" s="344"/>
      <c r="B333" s="470"/>
      <c r="C333" s="470"/>
      <c r="D333" s="471"/>
      <c r="E333" s="469"/>
      <c r="F333" s="469"/>
      <c r="G333" s="470"/>
      <c r="H333" s="470"/>
      <c r="I333" s="470"/>
      <c r="J333" s="470"/>
      <c r="K333" s="469"/>
      <c r="L333" s="469"/>
      <c r="M333" s="469"/>
      <c r="N333" s="469"/>
      <c r="O333" s="469"/>
      <c r="P333" s="469"/>
      <c r="Q333" s="470"/>
      <c r="R333" s="469"/>
      <c r="S333" s="469"/>
      <c r="T333" s="470"/>
      <c r="U333" s="470"/>
      <c r="V333" s="470"/>
      <c r="W333" s="469"/>
      <c r="X333" s="469"/>
      <c r="Y333" s="469"/>
      <c r="Z333" s="470"/>
      <c r="AA333" s="469"/>
      <c r="AB333" s="469"/>
      <c r="AC333" s="469"/>
      <c r="AD333" s="469"/>
      <c r="AE333" s="472"/>
      <c r="AF333" s="472"/>
      <c r="AG333" s="475"/>
      <c r="AH333" s="475"/>
    </row>
    <row r="334" ht="15.75" customHeight="1">
      <c r="A334" s="344"/>
      <c r="B334" s="470"/>
      <c r="C334" s="470"/>
      <c r="D334" s="471"/>
      <c r="E334" s="469"/>
      <c r="F334" s="469"/>
      <c r="G334" s="470"/>
      <c r="H334" s="470"/>
      <c r="I334" s="470"/>
      <c r="J334" s="470"/>
      <c r="K334" s="469"/>
      <c r="L334" s="469"/>
      <c r="M334" s="469"/>
      <c r="N334" s="469"/>
      <c r="O334" s="469"/>
      <c r="P334" s="469"/>
      <c r="Q334" s="470"/>
      <c r="R334" s="469"/>
      <c r="S334" s="469"/>
      <c r="T334" s="470"/>
      <c r="U334" s="470"/>
      <c r="V334" s="470"/>
      <c r="W334" s="469"/>
      <c r="X334" s="469"/>
      <c r="Y334" s="469"/>
      <c r="Z334" s="470"/>
      <c r="AA334" s="469"/>
      <c r="AB334" s="469"/>
      <c r="AC334" s="469"/>
      <c r="AD334" s="469"/>
      <c r="AE334" s="472"/>
      <c r="AF334" s="472"/>
      <c r="AG334" s="475"/>
      <c r="AH334" s="475"/>
    </row>
    <row r="335" ht="15.75" customHeight="1">
      <c r="A335" s="344"/>
      <c r="B335" s="470"/>
      <c r="C335" s="470"/>
      <c r="D335" s="471"/>
      <c r="E335" s="469"/>
      <c r="F335" s="469"/>
      <c r="G335" s="470"/>
      <c r="H335" s="470"/>
      <c r="I335" s="470"/>
      <c r="J335" s="470"/>
      <c r="K335" s="469"/>
      <c r="L335" s="469"/>
      <c r="M335" s="469"/>
      <c r="N335" s="469"/>
      <c r="O335" s="469"/>
      <c r="P335" s="469"/>
      <c r="Q335" s="470"/>
      <c r="R335" s="469"/>
      <c r="S335" s="469"/>
      <c r="T335" s="470"/>
      <c r="U335" s="470"/>
      <c r="V335" s="470"/>
      <c r="W335" s="469"/>
      <c r="X335" s="469"/>
      <c r="Y335" s="469"/>
      <c r="Z335" s="470"/>
      <c r="AA335" s="469"/>
      <c r="AB335" s="469"/>
      <c r="AC335" s="469"/>
      <c r="AD335" s="469"/>
      <c r="AE335" s="472"/>
      <c r="AF335" s="472"/>
      <c r="AG335" s="475"/>
      <c r="AH335" s="475"/>
    </row>
    <row r="336" ht="15.75" customHeight="1">
      <c r="A336" s="344"/>
      <c r="B336" s="470"/>
      <c r="C336" s="470"/>
      <c r="D336" s="471"/>
      <c r="E336" s="469"/>
      <c r="F336" s="469"/>
      <c r="G336" s="470"/>
      <c r="H336" s="470"/>
      <c r="I336" s="470"/>
      <c r="J336" s="470"/>
      <c r="K336" s="469"/>
      <c r="L336" s="469"/>
      <c r="M336" s="469"/>
      <c r="N336" s="469"/>
      <c r="O336" s="469"/>
      <c r="P336" s="469"/>
      <c r="Q336" s="470"/>
      <c r="R336" s="469"/>
      <c r="S336" s="469"/>
      <c r="T336" s="470"/>
      <c r="U336" s="470"/>
      <c r="V336" s="470"/>
      <c r="W336" s="469"/>
      <c r="X336" s="469"/>
      <c r="Y336" s="469"/>
      <c r="Z336" s="470"/>
      <c r="AA336" s="469"/>
      <c r="AB336" s="469"/>
      <c r="AC336" s="469"/>
      <c r="AD336" s="469"/>
      <c r="AE336" s="472"/>
      <c r="AF336" s="472"/>
      <c r="AG336" s="475"/>
      <c r="AH336" s="475"/>
    </row>
    <row r="337" ht="15.75" customHeight="1">
      <c r="A337" s="344"/>
      <c r="B337" s="470"/>
      <c r="C337" s="470"/>
      <c r="D337" s="471"/>
      <c r="E337" s="469"/>
      <c r="F337" s="469"/>
      <c r="G337" s="470"/>
      <c r="H337" s="470"/>
      <c r="I337" s="470"/>
      <c r="J337" s="470"/>
      <c r="K337" s="469"/>
      <c r="L337" s="469"/>
      <c r="M337" s="469"/>
      <c r="N337" s="469"/>
      <c r="O337" s="469"/>
      <c r="P337" s="469"/>
      <c r="Q337" s="470"/>
      <c r="R337" s="469"/>
      <c r="S337" s="469"/>
      <c r="T337" s="470"/>
      <c r="U337" s="470"/>
      <c r="V337" s="470"/>
      <c r="W337" s="469"/>
      <c r="X337" s="469"/>
      <c r="Y337" s="469"/>
      <c r="Z337" s="470"/>
      <c r="AA337" s="469"/>
      <c r="AB337" s="469"/>
      <c r="AC337" s="469"/>
      <c r="AD337" s="469"/>
      <c r="AE337" s="472"/>
      <c r="AF337" s="472"/>
      <c r="AG337" s="475"/>
      <c r="AH337" s="475"/>
    </row>
    <row r="338" ht="15.75" customHeight="1">
      <c r="A338" s="344"/>
      <c r="B338" s="470"/>
      <c r="C338" s="470"/>
      <c r="D338" s="471"/>
      <c r="E338" s="469"/>
      <c r="F338" s="469"/>
      <c r="G338" s="470"/>
      <c r="H338" s="470"/>
      <c r="I338" s="470"/>
      <c r="J338" s="470"/>
      <c r="K338" s="469"/>
      <c r="L338" s="469"/>
      <c r="M338" s="469"/>
      <c r="N338" s="469"/>
      <c r="O338" s="469"/>
      <c r="P338" s="469"/>
      <c r="Q338" s="470"/>
      <c r="R338" s="469"/>
      <c r="S338" s="469"/>
      <c r="T338" s="470"/>
      <c r="U338" s="470"/>
      <c r="V338" s="470"/>
      <c r="W338" s="469"/>
      <c r="X338" s="469"/>
      <c r="Y338" s="469"/>
      <c r="Z338" s="470"/>
      <c r="AA338" s="469"/>
      <c r="AB338" s="469"/>
      <c r="AC338" s="469"/>
      <c r="AD338" s="469"/>
      <c r="AE338" s="472"/>
      <c r="AF338" s="472"/>
      <c r="AG338" s="475"/>
      <c r="AH338" s="475"/>
    </row>
    <row r="339" ht="15.75" customHeight="1">
      <c r="A339" s="344"/>
      <c r="B339" s="470"/>
      <c r="C339" s="470"/>
      <c r="D339" s="471"/>
      <c r="E339" s="469"/>
      <c r="F339" s="469"/>
      <c r="G339" s="470"/>
      <c r="H339" s="470"/>
      <c r="I339" s="470"/>
      <c r="J339" s="470"/>
      <c r="K339" s="469"/>
      <c r="L339" s="469"/>
      <c r="M339" s="469"/>
      <c r="N339" s="469"/>
      <c r="O339" s="469"/>
      <c r="P339" s="469"/>
      <c r="Q339" s="470"/>
      <c r="R339" s="469"/>
      <c r="S339" s="469"/>
      <c r="T339" s="470"/>
      <c r="U339" s="470"/>
      <c r="V339" s="470"/>
      <c r="W339" s="469"/>
      <c r="X339" s="469"/>
      <c r="Y339" s="469"/>
      <c r="Z339" s="470"/>
      <c r="AA339" s="469"/>
      <c r="AB339" s="469"/>
      <c r="AC339" s="469"/>
      <c r="AD339" s="469"/>
      <c r="AE339" s="472"/>
      <c r="AF339" s="472"/>
      <c r="AG339" s="475"/>
      <c r="AH339" s="475"/>
    </row>
    <row r="340" ht="15.75" customHeight="1">
      <c r="A340" s="344"/>
      <c r="B340" s="470"/>
      <c r="C340" s="470"/>
      <c r="D340" s="471"/>
      <c r="E340" s="469"/>
      <c r="F340" s="469"/>
      <c r="G340" s="470"/>
      <c r="H340" s="470"/>
      <c r="I340" s="470"/>
      <c r="J340" s="470"/>
      <c r="K340" s="469"/>
      <c r="L340" s="469"/>
      <c r="M340" s="469"/>
      <c r="N340" s="469"/>
      <c r="O340" s="469"/>
      <c r="P340" s="469"/>
      <c r="Q340" s="470"/>
      <c r="R340" s="469"/>
      <c r="S340" s="469"/>
      <c r="T340" s="470"/>
      <c r="U340" s="470"/>
      <c r="V340" s="470"/>
      <c r="W340" s="469"/>
      <c r="X340" s="469"/>
      <c r="Y340" s="469"/>
      <c r="Z340" s="470"/>
      <c r="AA340" s="469"/>
      <c r="AB340" s="469"/>
      <c r="AC340" s="469"/>
      <c r="AD340" s="469"/>
      <c r="AE340" s="472"/>
      <c r="AF340" s="472"/>
      <c r="AG340" s="475"/>
      <c r="AH340" s="475"/>
    </row>
    <row r="341" ht="15.75" customHeight="1">
      <c r="A341" s="344"/>
      <c r="B341" s="470"/>
      <c r="C341" s="470"/>
      <c r="D341" s="471"/>
      <c r="E341" s="469"/>
      <c r="F341" s="469"/>
      <c r="G341" s="470"/>
      <c r="H341" s="470"/>
      <c r="I341" s="470"/>
      <c r="J341" s="470"/>
      <c r="K341" s="469"/>
      <c r="L341" s="469"/>
      <c r="M341" s="469"/>
      <c r="N341" s="469"/>
      <c r="O341" s="469"/>
      <c r="P341" s="469"/>
      <c r="Q341" s="470"/>
      <c r="R341" s="469"/>
      <c r="S341" s="469"/>
      <c r="T341" s="470"/>
      <c r="U341" s="470"/>
      <c r="V341" s="470"/>
      <c r="W341" s="469"/>
      <c r="X341" s="469"/>
      <c r="Y341" s="469"/>
      <c r="Z341" s="470"/>
      <c r="AA341" s="469"/>
      <c r="AB341" s="469"/>
      <c r="AC341" s="469"/>
      <c r="AD341" s="469"/>
      <c r="AE341" s="472"/>
      <c r="AF341" s="472"/>
      <c r="AG341" s="475"/>
      <c r="AH341" s="475"/>
    </row>
    <row r="342" ht="15.75" customHeight="1">
      <c r="A342" s="344"/>
      <c r="B342" s="470"/>
      <c r="C342" s="470"/>
      <c r="D342" s="471"/>
      <c r="E342" s="469"/>
      <c r="F342" s="469"/>
      <c r="G342" s="470"/>
      <c r="H342" s="470"/>
      <c r="I342" s="470"/>
      <c r="J342" s="470"/>
      <c r="K342" s="469"/>
      <c r="L342" s="469"/>
      <c r="M342" s="469"/>
      <c r="N342" s="469"/>
      <c r="O342" s="469"/>
      <c r="P342" s="469"/>
      <c r="Q342" s="470"/>
      <c r="R342" s="469"/>
      <c r="S342" s="469"/>
      <c r="T342" s="470"/>
      <c r="U342" s="470"/>
      <c r="V342" s="470"/>
      <c r="W342" s="469"/>
      <c r="X342" s="469"/>
      <c r="Y342" s="469"/>
      <c r="Z342" s="470"/>
      <c r="AA342" s="469"/>
      <c r="AB342" s="469"/>
      <c r="AC342" s="469"/>
      <c r="AD342" s="469"/>
      <c r="AE342" s="472"/>
      <c r="AF342" s="472"/>
      <c r="AG342" s="475"/>
      <c r="AH342" s="475"/>
    </row>
    <row r="343" ht="15.75" customHeight="1">
      <c r="A343" s="344"/>
      <c r="B343" s="470"/>
      <c r="C343" s="470"/>
      <c r="D343" s="471"/>
      <c r="E343" s="469"/>
      <c r="F343" s="469"/>
      <c r="G343" s="470"/>
      <c r="H343" s="470"/>
      <c r="I343" s="470"/>
      <c r="J343" s="470"/>
      <c r="K343" s="469"/>
      <c r="L343" s="469"/>
      <c r="M343" s="469"/>
      <c r="N343" s="469"/>
      <c r="O343" s="469"/>
      <c r="P343" s="469"/>
      <c r="Q343" s="470"/>
      <c r="R343" s="469"/>
      <c r="S343" s="469"/>
      <c r="T343" s="470"/>
      <c r="U343" s="470"/>
      <c r="V343" s="470"/>
      <c r="W343" s="469"/>
      <c r="X343" s="469"/>
      <c r="Y343" s="469"/>
      <c r="Z343" s="470"/>
      <c r="AA343" s="469"/>
      <c r="AB343" s="469"/>
      <c r="AC343" s="469"/>
      <c r="AD343" s="469"/>
      <c r="AE343" s="472"/>
      <c r="AF343" s="472"/>
      <c r="AG343" s="475"/>
      <c r="AH343" s="475"/>
    </row>
    <row r="344" ht="15.75" customHeight="1">
      <c r="A344" s="344"/>
      <c r="B344" s="470"/>
      <c r="C344" s="470"/>
      <c r="D344" s="471"/>
      <c r="E344" s="469"/>
      <c r="F344" s="469"/>
      <c r="G344" s="470"/>
      <c r="H344" s="470"/>
      <c r="I344" s="470"/>
      <c r="J344" s="470"/>
      <c r="K344" s="469"/>
      <c r="L344" s="469"/>
      <c r="M344" s="469"/>
      <c r="N344" s="469"/>
      <c r="O344" s="469"/>
      <c r="P344" s="469"/>
      <c r="Q344" s="470"/>
      <c r="R344" s="469"/>
      <c r="S344" s="469"/>
      <c r="T344" s="470"/>
      <c r="U344" s="470"/>
      <c r="V344" s="470"/>
      <c r="W344" s="469"/>
      <c r="X344" s="469"/>
      <c r="Y344" s="469"/>
      <c r="Z344" s="470"/>
      <c r="AA344" s="469"/>
      <c r="AB344" s="469"/>
      <c r="AC344" s="469"/>
      <c r="AD344" s="469"/>
      <c r="AE344" s="472"/>
      <c r="AF344" s="472"/>
      <c r="AG344" s="475"/>
      <c r="AH344" s="475"/>
    </row>
    <row r="345" ht="15.75" customHeight="1">
      <c r="A345" s="344"/>
      <c r="B345" s="470"/>
      <c r="C345" s="470"/>
      <c r="D345" s="471"/>
      <c r="E345" s="469"/>
      <c r="F345" s="469"/>
      <c r="G345" s="470"/>
      <c r="H345" s="470"/>
      <c r="I345" s="470"/>
      <c r="J345" s="470"/>
      <c r="K345" s="469"/>
      <c r="L345" s="469"/>
      <c r="M345" s="469"/>
      <c r="N345" s="469"/>
      <c r="O345" s="469"/>
      <c r="P345" s="469"/>
      <c r="Q345" s="470"/>
      <c r="R345" s="469"/>
      <c r="S345" s="469"/>
      <c r="T345" s="470"/>
      <c r="U345" s="470"/>
      <c r="V345" s="470"/>
      <c r="W345" s="469"/>
      <c r="X345" s="469"/>
      <c r="Y345" s="469"/>
      <c r="Z345" s="470"/>
      <c r="AA345" s="469"/>
      <c r="AB345" s="469"/>
      <c r="AC345" s="469"/>
      <c r="AD345" s="469"/>
      <c r="AE345" s="472"/>
      <c r="AF345" s="472"/>
      <c r="AG345" s="475"/>
      <c r="AH345" s="475"/>
    </row>
    <row r="346" ht="15.75" customHeight="1">
      <c r="A346" s="344"/>
      <c r="B346" s="470"/>
      <c r="C346" s="470"/>
      <c r="D346" s="471"/>
      <c r="E346" s="469"/>
      <c r="F346" s="469"/>
      <c r="G346" s="470"/>
      <c r="H346" s="470"/>
      <c r="I346" s="470"/>
      <c r="J346" s="470"/>
      <c r="K346" s="469"/>
      <c r="L346" s="469"/>
      <c r="M346" s="469"/>
      <c r="N346" s="469"/>
      <c r="O346" s="469"/>
      <c r="P346" s="469"/>
      <c r="Q346" s="470"/>
      <c r="R346" s="469"/>
      <c r="S346" s="469"/>
      <c r="T346" s="470"/>
      <c r="U346" s="470"/>
      <c r="V346" s="470"/>
      <c r="W346" s="469"/>
      <c r="X346" s="469"/>
      <c r="Y346" s="469"/>
      <c r="Z346" s="470"/>
      <c r="AA346" s="469"/>
      <c r="AB346" s="469"/>
      <c r="AC346" s="469"/>
      <c r="AD346" s="469"/>
      <c r="AE346" s="472"/>
      <c r="AF346" s="472"/>
      <c r="AG346" s="475"/>
      <c r="AH346" s="475"/>
    </row>
    <row r="347" ht="15.75" customHeight="1">
      <c r="A347" s="344"/>
      <c r="B347" s="470"/>
      <c r="C347" s="470"/>
      <c r="D347" s="471"/>
      <c r="E347" s="469"/>
      <c r="F347" s="469"/>
      <c r="G347" s="470"/>
      <c r="H347" s="470"/>
      <c r="I347" s="470"/>
      <c r="J347" s="470"/>
      <c r="K347" s="469"/>
      <c r="L347" s="469"/>
      <c r="M347" s="469"/>
      <c r="N347" s="469"/>
      <c r="O347" s="469"/>
      <c r="P347" s="469"/>
      <c r="Q347" s="470"/>
      <c r="R347" s="469"/>
      <c r="S347" s="469"/>
      <c r="T347" s="470"/>
      <c r="U347" s="470"/>
      <c r="V347" s="470"/>
      <c r="W347" s="469"/>
      <c r="X347" s="469"/>
      <c r="Y347" s="469"/>
      <c r="Z347" s="470"/>
      <c r="AA347" s="469"/>
      <c r="AB347" s="469"/>
      <c r="AC347" s="469"/>
      <c r="AD347" s="469"/>
      <c r="AE347" s="472"/>
      <c r="AF347" s="472"/>
      <c r="AG347" s="475"/>
      <c r="AH347" s="475"/>
    </row>
    <row r="348" ht="15.75" customHeight="1">
      <c r="A348" s="344"/>
      <c r="B348" s="470"/>
      <c r="C348" s="470"/>
      <c r="D348" s="471"/>
      <c r="E348" s="469"/>
      <c r="F348" s="469"/>
      <c r="G348" s="470"/>
      <c r="H348" s="470"/>
      <c r="I348" s="470"/>
      <c r="J348" s="470"/>
      <c r="K348" s="469"/>
      <c r="L348" s="469"/>
      <c r="M348" s="469"/>
      <c r="N348" s="469"/>
      <c r="O348" s="469"/>
      <c r="P348" s="469"/>
      <c r="Q348" s="470"/>
      <c r="R348" s="469"/>
      <c r="S348" s="469"/>
      <c r="T348" s="470"/>
      <c r="U348" s="470"/>
      <c r="V348" s="470"/>
      <c r="W348" s="469"/>
      <c r="X348" s="469"/>
      <c r="Y348" s="469"/>
      <c r="Z348" s="470"/>
      <c r="AA348" s="469"/>
      <c r="AB348" s="469"/>
      <c r="AC348" s="469"/>
      <c r="AD348" s="469"/>
      <c r="AE348" s="472"/>
      <c r="AF348" s="472"/>
      <c r="AG348" s="475"/>
      <c r="AH348" s="475"/>
    </row>
    <row r="349" ht="15.75" customHeight="1">
      <c r="A349" s="344"/>
      <c r="B349" s="470"/>
      <c r="C349" s="470"/>
      <c r="D349" s="471"/>
      <c r="E349" s="469"/>
      <c r="F349" s="469"/>
      <c r="G349" s="470"/>
      <c r="H349" s="470"/>
      <c r="I349" s="470"/>
      <c r="J349" s="470"/>
      <c r="K349" s="469"/>
      <c r="L349" s="469"/>
      <c r="M349" s="469"/>
      <c r="N349" s="469"/>
      <c r="O349" s="469"/>
      <c r="P349" s="469"/>
      <c r="Q349" s="470"/>
      <c r="R349" s="469"/>
      <c r="S349" s="469"/>
      <c r="T349" s="470"/>
      <c r="U349" s="470"/>
      <c r="V349" s="470"/>
      <c r="W349" s="469"/>
      <c r="X349" s="469"/>
      <c r="Y349" s="469"/>
      <c r="Z349" s="470"/>
      <c r="AA349" s="469"/>
      <c r="AB349" s="469"/>
      <c r="AC349" s="469"/>
      <c r="AD349" s="469"/>
      <c r="AE349" s="472"/>
      <c r="AF349" s="472"/>
      <c r="AG349" s="475"/>
      <c r="AH349" s="475"/>
    </row>
    <row r="350" ht="15.75" customHeight="1">
      <c r="A350" s="344"/>
      <c r="B350" s="470"/>
      <c r="C350" s="470"/>
      <c r="D350" s="471"/>
      <c r="E350" s="469"/>
      <c r="F350" s="469"/>
      <c r="G350" s="470"/>
      <c r="H350" s="470"/>
      <c r="I350" s="470"/>
      <c r="J350" s="470"/>
      <c r="K350" s="469"/>
      <c r="L350" s="469"/>
      <c r="M350" s="469"/>
      <c r="N350" s="469"/>
      <c r="O350" s="469"/>
      <c r="P350" s="469"/>
      <c r="Q350" s="470"/>
      <c r="R350" s="469"/>
      <c r="S350" s="469"/>
      <c r="T350" s="470"/>
      <c r="U350" s="470"/>
      <c r="V350" s="470"/>
      <c r="W350" s="469"/>
      <c r="X350" s="469"/>
      <c r="Y350" s="469"/>
      <c r="Z350" s="470"/>
      <c r="AA350" s="469"/>
      <c r="AB350" s="469"/>
      <c r="AC350" s="469"/>
      <c r="AD350" s="469"/>
      <c r="AE350" s="472"/>
      <c r="AF350" s="472"/>
      <c r="AG350" s="475"/>
      <c r="AH350" s="475"/>
    </row>
    <row r="351" ht="15.75" customHeight="1">
      <c r="A351" s="344"/>
      <c r="B351" s="470"/>
      <c r="C351" s="470"/>
      <c r="D351" s="471"/>
      <c r="E351" s="469"/>
      <c r="F351" s="469"/>
      <c r="G351" s="470"/>
      <c r="H351" s="470"/>
      <c r="I351" s="470"/>
      <c r="J351" s="470"/>
      <c r="K351" s="469"/>
      <c r="L351" s="469"/>
      <c r="M351" s="469"/>
      <c r="N351" s="469"/>
      <c r="O351" s="469"/>
      <c r="P351" s="469"/>
      <c r="Q351" s="470"/>
      <c r="R351" s="469"/>
      <c r="S351" s="469"/>
      <c r="T351" s="470"/>
      <c r="U351" s="470"/>
      <c r="V351" s="470"/>
      <c r="W351" s="469"/>
      <c r="X351" s="469"/>
      <c r="Y351" s="469"/>
      <c r="Z351" s="470"/>
      <c r="AA351" s="469"/>
      <c r="AB351" s="469"/>
      <c r="AC351" s="469"/>
      <c r="AD351" s="469"/>
      <c r="AE351" s="472"/>
      <c r="AF351" s="472"/>
      <c r="AG351" s="475"/>
      <c r="AH351" s="475"/>
    </row>
    <row r="352" ht="15.75" customHeight="1">
      <c r="A352" s="344"/>
      <c r="B352" s="470"/>
      <c r="C352" s="470"/>
      <c r="D352" s="471"/>
      <c r="E352" s="469"/>
      <c r="F352" s="469"/>
      <c r="G352" s="470"/>
      <c r="H352" s="470"/>
      <c r="I352" s="470"/>
      <c r="J352" s="470"/>
      <c r="K352" s="469"/>
      <c r="L352" s="469"/>
      <c r="M352" s="469"/>
      <c r="N352" s="469"/>
      <c r="O352" s="469"/>
      <c r="P352" s="469"/>
      <c r="Q352" s="470"/>
      <c r="R352" s="469"/>
      <c r="S352" s="469"/>
      <c r="T352" s="470"/>
      <c r="U352" s="470"/>
      <c r="V352" s="470"/>
      <c r="W352" s="469"/>
      <c r="X352" s="469"/>
      <c r="Y352" s="469"/>
      <c r="Z352" s="470"/>
      <c r="AA352" s="469"/>
      <c r="AB352" s="469"/>
      <c r="AC352" s="469"/>
      <c r="AD352" s="469"/>
      <c r="AE352" s="472"/>
      <c r="AF352" s="472"/>
      <c r="AG352" s="475"/>
      <c r="AH352" s="475"/>
    </row>
    <row r="353" ht="15.75" customHeight="1">
      <c r="A353" s="344"/>
      <c r="B353" s="470"/>
      <c r="C353" s="470"/>
      <c r="D353" s="471"/>
      <c r="E353" s="469"/>
      <c r="F353" s="469"/>
      <c r="G353" s="470"/>
      <c r="H353" s="470"/>
      <c r="I353" s="470"/>
      <c r="J353" s="470"/>
      <c r="K353" s="469"/>
      <c r="L353" s="469"/>
      <c r="M353" s="469"/>
      <c r="N353" s="469"/>
      <c r="O353" s="469"/>
      <c r="P353" s="469"/>
      <c r="Q353" s="470"/>
      <c r="R353" s="469"/>
      <c r="S353" s="469"/>
      <c r="T353" s="470"/>
      <c r="U353" s="470"/>
      <c r="V353" s="470"/>
      <c r="W353" s="469"/>
      <c r="X353" s="469"/>
      <c r="Y353" s="469"/>
      <c r="Z353" s="470"/>
      <c r="AA353" s="469"/>
      <c r="AB353" s="469"/>
      <c r="AC353" s="469"/>
      <c r="AD353" s="469"/>
      <c r="AE353" s="472"/>
      <c r="AF353" s="472"/>
      <c r="AG353" s="475"/>
      <c r="AH353" s="475"/>
    </row>
    <row r="354" ht="15.75" customHeight="1">
      <c r="A354" s="344"/>
      <c r="B354" s="470"/>
      <c r="C354" s="470"/>
      <c r="D354" s="471"/>
      <c r="E354" s="469"/>
      <c r="F354" s="469"/>
      <c r="G354" s="470"/>
      <c r="H354" s="470"/>
      <c r="I354" s="470"/>
      <c r="J354" s="470"/>
      <c r="K354" s="469"/>
      <c r="L354" s="469"/>
      <c r="M354" s="469"/>
      <c r="N354" s="469"/>
      <c r="O354" s="469"/>
      <c r="P354" s="469"/>
      <c r="Q354" s="470"/>
      <c r="R354" s="469"/>
      <c r="S354" s="469"/>
      <c r="T354" s="470"/>
      <c r="U354" s="470"/>
      <c r="V354" s="470"/>
      <c r="W354" s="469"/>
      <c r="X354" s="469"/>
      <c r="Y354" s="469"/>
      <c r="Z354" s="470"/>
      <c r="AA354" s="469"/>
      <c r="AB354" s="469"/>
      <c r="AC354" s="469"/>
      <c r="AD354" s="469"/>
      <c r="AE354" s="472"/>
      <c r="AF354" s="472"/>
      <c r="AG354" s="475"/>
      <c r="AH354" s="475"/>
    </row>
    <row r="355" ht="15.75" customHeight="1">
      <c r="A355" s="344"/>
      <c r="B355" s="470"/>
      <c r="C355" s="470"/>
      <c r="D355" s="471"/>
      <c r="E355" s="469"/>
      <c r="F355" s="469"/>
      <c r="G355" s="470"/>
      <c r="H355" s="470"/>
      <c r="I355" s="470"/>
      <c r="J355" s="470"/>
      <c r="K355" s="469"/>
      <c r="L355" s="469"/>
      <c r="M355" s="469"/>
      <c r="N355" s="469"/>
      <c r="O355" s="469"/>
      <c r="P355" s="469"/>
      <c r="Q355" s="470"/>
      <c r="R355" s="469"/>
      <c r="S355" s="469"/>
      <c r="T355" s="470"/>
      <c r="U355" s="470"/>
      <c r="V355" s="470"/>
      <c r="W355" s="469"/>
      <c r="X355" s="469"/>
      <c r="Y355" s="469"/>
      <c r="Z355" s="470"/>
      <c r="AA355" s="469"/>
      <c r="AB355" s="469"/>
      <c r="AC355" s="469"/>
      <c r="AD355" s="469"/>
      <c r="AE355" s="472"/>
      <c r="AF355" s="472"/>
      <c r="AG355" s="475"/>
      <c r="AH355" s="475"/>
    </row>
    <row r="356" ht="15.75" customHeight="1">
      <c r="A356" s="344"/>
      <c r="B356" s="470"/>
      <c r="C356" s="470"/>
      <c r="D356" s="471"/>
      <c r="E356" s="469"/>
      <c r="F356" s="469"/>
      <c r="G356" s="470"/>
      <c r="H356" s="470"/>
      <c r="I356" s="470"/>
      <c r="J356" s="470"/>
      <c r="K356" s="469"/>
      <c r="L356" s="469"/>
      <c r="M356" s="469"/>
      <c r="N356" s="469"/>
      <c r="O356" s="469"/>
      <c r="P356" s="469"/>
      <c r="Q356" s="470"/>
      <c r="R356" s="469"/>
      <c r="S356" s="469"/>
      <c r="T356" s="470"/>
      <c r="U356" s="470"/>
      <c r="V356" s="470"/>
      <c r="W356" s="469"/>
      <c r="X356" s="469"/>
      <c r="Y356" s="469"/>
      <c r="Z356" s="470"/>
      <c r="AA356" s="469"/>
      <c r="AB356" s="469"/>
      <c r="AC356" s="469"/>
      <c r="AD356" s="469"/>
      <c r="AE356" s="472"/>
      <c r="AF356" s="472"/>
      <c r="AG356" s="475"/>
      <c r="AH356" s="475"/>
    </row>
    <row r="357" ht="15.75" customHeight="1">
      <c r="A357" s="344"/>
      <c r="B357" s="470"/>
      <c r="C357" s="470"/>
      <c r="D357" s="471"/>
      <c r="E357" s="469"/>
      <c r="F357" s="469"/>
      <c r="G357" s="470"/>
      <c r="H357" s="470"/>
      <c r="I357" s="470"/>
      <c r="J357" s="470"/>
      <c r="K357" s="469"/>
      <c r="L357" s="469"/>
      <c r="M357" s="469"/>
      <c r="N357" s="469"/>
      <c r="O357" s="469"/>
      <c r="P357" s="469"/>
      <c r="Q357" s="470"/>
      <c r="R357" s="469"/>
      <c r="S357" s="469"/>
      <c r="T357" s="470"/>
      <c r="U357" s="470"/>
      <c r="V357" s="470"/>
      <c r="W357" s="469"/>
      <c r="X357" s="469"/>
      <c r="Y357" s="469"/>
      <c r="Z357" s="470"/>
      <c r="AA357" s="469"/>
      <c r="AB357" s="469"/>
      <c r="AC357" s="469"/>
      <c r="AD357" s="469"/>
      <c r="AE357" s="472"/>
      <c r="AF357" s="472"/>
      <c r="AG357" s="475"/>
      <c r="AH357" s="475"/>
    </row>
    <row r="358" ht="15.75" customHeight="1">
      <c r="A358" s="344"/>
      <c r="B358" s="470"/>
      <c r="C358" s="470"/>
      <c r="D358" s="471"/>
      <c r="E358" s="469"/>
      <c r="F358" s="469"/>
      <c r="G358" s="470"/>
      <c r="H358" s="470"/>
      <c r="I358" s="470"/>
      <c r="J358" s="470"/>
      <c r="K358" s="469"/>
      <c r="L358" s="469"/>
      <c r="M358" s="469"/>
      <c r="N358" s="469"/>
      <c r="O358" s="469"/>
      <c r="P358" s="469"/>
      <c r="Q358" s="470"/>
      <c r="R358" s="469"/>
      <c r="S358" s="469"/>
      <c r="T358" s="470"/>
      <c r="U358" s="470"/>
      <c r="V358" s="470"/>
      <c r="W358" s="469"/>
      <c r="X358" s="469"/>
      <c r="Y358" s="469"/>
      <c r="Z358" s="470"/>
      <c r="AA358" s="469"/>
      <c r="AB358" s="469"/>
      <c r="AC358" s="469"/>
      <c r="AD358" s="469"/>
      <c r="AE358" s="472"/>
      <c r="AF358" s="472"/>
      <c r="AG358" s="475"/>
      <c r="AH358" s="475"/>
    </row>
    <row r="359" ht="15.75" customHeight="1">
      <c r="A359" s="344"/>
      <c r="B359" s="470"/>
      <c r="C359" s="470"/>
      <c r="D359" s="471"/>
      <c r="E359" s="469"/>
      <c r="F359" s="469"/>
      <c r="G359" s="470"/>
      <c r="H359" s="470"/>
      <c r="I359" s="470"/>
      <c r="J359" s="470"/>
      <c r="K359" s="469"/>
      <c r="L359" s="469"/>
      <c r="M359" s="469"/>
      <c r="N359" s="469"/>
      <c r="O359" s="469"/>
      <c r="P359" s="469"/>
      <c r="Q359" s="470"/>
      <c r="R359" s="469"/>
      <c r="S359" s="469"/>
      <c r="T359" s="470"/>
      <c r="U359" s="470"/>
      <c r="V359" s="470"/>
      <c r="W359" s="469"/>
      <c r="X359" s="469"/>
      <c r="Y359" s="469"/>
      <c r="Z359" s="470"/>
      <c r="AA359" s="469"/>
      <c r="AB359" s="469"/>
      <c r="AC359" s="469"/>
      <c r="AD359" s="469"/>
      <c r="AE359" s="472"/>
      <c r="AF359" s="472"/>
      <c r="AG359" s="475"/>
      <c r="AH359" s="475"/>
    </row>
    <row r="360" ht="15.75" customHeight="1">
      <c r="A360" s="344"/>
      <c r="B360" s="470"/>
      <c r="C360" s="470"/>
      <c r="D360" s="471"/>
      <c r="E360" s="469"/>
      <c r="F360" s="469"/>
      <c r="G360" s="470"/>
      <c r="H360" s="470"/>
      <c r="I360" s="470"/>
      <c r="J360" s="470"/>
      <c r="K360" s="469"/>
      <c r="L360" s="469"/>
      <c r="M360" s="469"/>
      <c r="N360" s="469"/>
      <c r="O360" s="469"/>
      <c r="P360" s="469"/>
      <c r="Q360" s="470"/>
      <c r="R360" s="469"/>
      <c r="S360" s="469"/>
      <c r="T360" s="470"/>
      <c r="U360" s="470"/>
      <c r="V360" s="470"/>
      <c r="W360" s="469"/>
      <c r="X360" s="469"/>
      <c r="Y360" s="469"/>
      <c r="Z360" s="470"/>
      <c r="AA360" s="469"/>
      <c r="AB360" s="469"/>
      <c r="AC360" s="469"/>
      <c r="AD360" s="469"/>
      <c r="AE360" s="472"/>
      <c r="AF360" s="472"/>
      <c r="AG360" s="475"/>
      <c r="AH360" s="475"/>
    </row>
    <row r="361" ht="15.75" customHeight="1">
      <c r="A361" s="344"/>
      <c r="B361" s="470"/>
      <c r="C361" s="470"/>
      <c r="D361" s="471"/>
      <c r="E361" s="469"/>
      <c r="F361" s="469"/>
      <c r="G361" s="470"/>
      <c r="H361" s="470"/>
      <c r="I361" s="470"/>
      <c r="J361" s="470"/>
      <c r="K361" s="469"/>
      <c r="L361" s="469"/>
      <c r="M361" s="469"/>
      <c r="N361" s="469"/>
      <c r="O361" s="469"/>
      <c r="P361" s="469"/>
      <c r="Q361" s="470"/>
      <c r="R361" s="469"/>
      <c r="S361" s="469"/>
      <c r="T361" s="470"/>
      <c r="U361" s="470"/>
      <c r="V361" s="470"/>
      <c r="W361" s="469"/>
      <c r="X361" s="469"/>
      <c r="Y361" s="469"/>
      <c r="Z361" s="470"/>
      <c r="AA361" s="469"/>
      <c r="AB361" s="469"/>
      <c r="AC361" s="469"/>
      <c r="AD361" s="469"/>
      <c r="AE361" s="472"/>
      <c r="AF361" s="472"/>
      <c r="AG361" s="475"/>
      <c r="AH361" s="475"/>
    </row>
    <row r="362" ht="15.75" customHeight="1">
      <c r="A362" s="344"/>
      <c r="B362" s="470"/>
      <c r="C362" s="470"/>
      <c r="D362" s="471"/>
      <c r="E362" s="469"/>
      <c r="F362" s="469"/>
      <c r="G362" s="470"/>
      <c r="H362" s="470"/>
      <c r="I362" s="470"/>
      <c r="J362" s="470"/>
      <c r="K362" s="469"/>
      <c r="L362" s="469"/>
      <c r="M362" s="469"/>
      <c r="N362" s="469"/>
      <c r="O362" s="469"/>
      <c r="P362" s="469"/>
      <c r="Q362" s="470"/>
      <c r="R362" s="469"/>
      <c r="S362" s="469"/>
      <c r="T362" s="470"/>
      <c r="U362" s="470"/>
      <c r="V362" s="470"/>
      <c r="W362" s="469"/>
      <c r="X362" s="469"/>
      <c r="Y362" s="469"/>
      <c r="Z362" s="470"/>
      <c r="AA362" s="469"/>
      <c r="AB362" s="469"/>
      <c r="AC362" s="469"/>
      <c r="AD362" s="469"/>
      <c r="AE362" s="472"/>
      <c r="AF362" s="472"/>
      <c r="AG362" s="475"/>
      <c r="AH362" s="475"/>
    </row>
    <row r="363" ht="15.75" customHeight="1">
      <c r="A363" s="344"/>
      <c r="B363" s="470"/>
      <c r="C363" s="470"/>
      <c r="D363" s="471"/>
      <c r="E363" s="469"/>
      <c r="F363" s="469"/>
      <c r="G363" s="470"/>
      <c r="H363" s="470"/>
      <c r="I363" s="470"/>
      <c r="J363" s="470"/>
      <c r="K363" s="469"/>
      <c r="L363" s="469"/>
      <c r="M363" s="469"/>
      <c r="N363" s="469"/>
      <c r="O363" s="469"/>
      <c r="P363" s="469"/>
      <c r="Q363" s="470"/>
      <c r="R363" s="469"/>
      <c r="S363" s="469"/>
      <c r="T363" s="470"/>
      <c r="U363" s="470"/>
      <c r="V363" s="470"/>
      <c r="W363" s="469"/>
      <c r="X363" s="469"/>
      <c r="Y363" s="469"/>
      <c r="Z363" s="470"/>
      <c r="AA363" s="469"/>
      <c r="AB363" s="469"/>
      <c r="AC363" s="469"/>
      <c r="AD363" s="469"/>
      <c r="AE363" s="472"/>
      <c r="AF363" s="472"/>
      <c r="AG363" s="475"/>
      <c r="AH363" s="475"/>
    </row>
    <row r="364" ht="15.75" customHeight="1">
      <c r="A364" s="344"/>
      <c r="B364" s="470"/>
      <c r="C364" s="470"/>
      <c r="D364" s="471"/>
      <c r="E364" s="469"/>
      <c r="F364" s="469"/>
      <c r="G364" s="470"/>
      <c r="H364" s="470"/>
      <c r="I364" s="470"/>
      <c r="J364" s="470"/>
      <c r="K364" s="469"/>
      <c r="L364" s="469"/>
      <c r="M364" s="469"/>
      <c r="N364" s="469"/>
      <c r="O364" s="469"/>
      <c r="P364" s="469"/>
      <c r="Q364" s="470"/>
      <c r="R364" s="469"/>
      <c r="S364" s="469"/>
      <c r="T364" s="470"/>
      <c r="U364" s="470"/>
      <c r="V364" s="470"/>
      <c r="W364" s="469"/>
      <c r="X364" s="469"/>
      <c r="Y364" s="469"/>
      <c r="Z364" s="470"/>
      <c r="AA364" s="469"/>
      <c r="AB364" s="469"/>
      <c r="AC364" s="469"/>
      <c r="AD364" s="469"/>
      <c r="AE364" s="472"/>
      <c r="AF364" s="472"/>
      <c r="AG364" s="475"/>
      <c r="AH364" s="475"/>
    </row>
    <row r="365" ht="15.75" customHeight="1">
      <c r="A365" s="344"/>
      <c r="B365" s="470"/>
      <c r="C365" s="470"/>
      <c r="D365" s="471"/>
      <c r="E365" s="469"/>
      <c r="F365" s="469"/>
      <c r="G365" s="470"/>
      <c r="H365" s="470"/>
      <c r="I365" s="470"/>
      <c r="J365" s="470"/>
      <c r="K365" s="469"/>
      <c r="L365" s="469"/>
      <c r="M365" s="469"/>
      <c r="N365" s="469"/>
      <c r="O365" s="469"/>
      <c r="P365" s="469"/>
      <c r="Q365" s="470"/>
      <c r="R365" s="469"/>
      <c r="S365" s="469"/>
      <c r="T365" s="470"/>
      <c r="U365" s="470"/>
      <c r="V365" s="470"/>
      <c r="W365" s="469"/>
      <c r="X365" s="469"/>
      <c r="Y365" s="469"/>
      <c r="Z365" s="470"/>
      <c r="AA365" s="469"/>
      <c r="AB365" s="469"/>
      <c r="AC365" s="469"/>
      <c r="AD365" s="469"/>
      <c r="AE365" s="472"/>
      <c r="AF365" s="472"/>
      <c r="AG365" s="475"/>
      <c r="AH365" s="475"/>
    </row>
    <row r="366" ht="15.75" customHeight="1">
      <c r="A366" s="344"/>
      <c r="B366" s="470"/>
      <c r="C366" s="470"/>
      <c r="D366" s="471"/>
      <c r="E366" s="469"/>
      <c r="F366" s="469"/>
      <c r="G366" s="470"/>
      <c r="H366" s="470"/>
      <c r="I366" s="470"/>
      <c r="J366" s="470"/>
      <c r="K366" s="469"/>
      <c r="L366" s="469"/>
      <c r="M366" s="469"/>
      <c r="N366" s="469"/>
      <c r="O366" s="469"/>
      <c r="P366" s="469"/>
      <c r="Q366" s="470"/>
      <c r="R366" s="469"/>
      <c r="S366" s="469"/>
      <c r="T366" s="470"/>
      <c r="U366" s="470"/>
      <c r="V366" s="470"/>
      <c r="W366" s="469"/>
      <c r="X366" s="469"/>
      <c r="Y366" s="469"/>
      <c r="Z366" s="470"/>
      <c r="AA366" s="469"/>
      <c r="AB366" s="469"/>
      <c r="AC366" s="469"/>
      <c r="AD366" s="469"/>
      <c r="AE366" s="472"/>
      <c r="AF366" s="472"/>
      <c r="AG366" s="475"/>
      <c r="AH366" s="475"/>
    </row>
    <row r="367" ht="15.75" customHeight="1">
      <c r="A367" s="344"/>
      <c r="B367" s="470"/>
      <c r="C367" s="470"/>
      <c r="D367" s="471"/>
      <c r="E367" s="469"/>
      <c r="F367" s="469"/>
      <c r="G367" s="470"/>
      <c r="H367" s="470"/>
      <c r="I367" s="470"/>
      <c r="J367" s="470"/>
      <c r="K367" s="469"/>
      <c r="L367" s="469"/>
      <c r="M367" s="469"/>
      <c r="N367" s="469"/>
      <c r="O367" s="469"/>
      <c r="P367" s="469"/>
      <c r="Q367" s="470"/>
      <c r="R367" s="469"/>
      <c r="S367" s="469"/>
      <c r="T367" s="470"/>
      <c r="U367" s="470"/>
      <c r="V367" s="470"/>
      <c r="W367" s="469"/>
      <c r="X367" s="469"/>
      <c r="Y367" s="469"/>
      <c r="Z367" s="470"/>
      <c r="AA367" s="469"/>
      <c r="AB367" s="469"/>
      <c r="AC367" s="469"/>
      <c r="AD367" s="469"/>
      <c r="AE367" s="472"/>
      <c r="AF367" s="472"/>
      <c r="AG367" s="475"/>
      <c r="AH367" s="475"/>
    </row>
    <row r="368" ht="15.75" customHeight="1">
      <c r="A368" s="344"/>
      <c r="B368" s="470"/>
      <c r="C368" s="470"/>
      <c r="D368" s="471"/>
      <c r="E368" s="469"/>
      <c r="F368" s="469"/>
      <c r="G368" s="470"/>
      <c r="H368" s="470"/>
      <c r="I368" s="470"/>
      <c r="J368" s="470"/>
      <c r="K368" s="469"/>
      <c r="L368" s="469"/>
      <c r="M368" s="469"/>
      <c r="N368" s="469"/>
      <c r="O368" s="469"/>
      <c r="P368" s="469"/>
      <c r="Q368" s="470"/>
      <c r="R368" s="469"/>
      <c r="S368" s="469"/>
      <c r="T368" s="470"/>
      <c r="U368" s="470"/>
      <c r="V368" s="470"/>
      <c r="W368" s="469"/>
      <c r="X368" s="469"/>
      <c r="Y368" s="469"/>
      <c r="Z368" s="470"/>
      <c r="AA368" s="469"/>
      <c r="AB368" s="469"/>
      <c r="AC368" s="469"/>
      <c r="AD368" s="469"/>
      <c r="AE368" s="472"/>
      <c r="AF368" s="472"/>
      <c r="AG368" s="475"/>
      <c r="AH368" s="475"/>
    </row>
    <row r="369" ht="15.75" customHeight="1">
      <c r="A369" s="344"/>
      <c r="B369" s="470"/>
      <c r="C369" s="470"/>
      <c r="D369" s="471"/>
      <c r="E369" s="469"/>
      <c r="F369" s="469"/>
      <c r="G369" s="470"/>
      <c r="H369" s="470"/>
      <c r="I369" s="470"/>
      <c r="J369" s="470"/>
      <c r="K369" s="469"/>
      <c r="L369" s="469"/>
      <c r="M369" s="469"/>
      <c r="N369" s="469"/>
      <c r="O369" s="469"/>
      <c r="P369" s="469"/>
      <c r="Q369" s="470"/>
      <c r="R369" s="469"/>
      <c r="S369" s="469"/>
      <c r="T369" s="470"/>
      <c r="U369" s="470"/>
      <c r="V369" s="470"/>
      <c r="W369" s="469"/>
      <c r="X369" s="469"/>
      <c r="Y369" s="469"/>
      <c r="Z369" s="470"/>
      <c r="AA369" s="469"/>
      <c r="AB369" s="469"/>
      <c r="AC369" s="469"/>
      <c r="AD369" s="469"/>
      <c r="AE369" s="472"/>
      <c r="AF369" s="472"/>
      <c r="AG369" s="475"/>
      <c r="AH369" s="475"/>
    </row>
    <row r="370" ht="15.75" customHeight="1">
      <c r="A370" s="344"/>
      <c r="B370" s="470"/>
      <c r="C370" s="470"/>
      <c r="D370" s="471"/>
      <c r="E370" s="469"/>
      <c r="F370" s="469"/>
      <c r="G370" s="470"/>
      <c r="H370" s="470"/>
      <c r="I370" s="470"/>
      <c r="J370" s="470"/>
      <c r="K370" s="469"/>
      <c r="L370" s="469"/>
      <c r="M370" s="469"/>
      <c r="N370" s="469"/>
      <c r="O370" s="469"/>
      <c r="P370" s="469"/>
      <c r="Q370" s="470"/>
      <c r="R370" s="469"/>
      <c r="S370" s="469"/>
      <c r="T370" s="470"/>
      <c r="U370" s="470"/>
      <c r="V370" s="470"/>
      <c r="W370" s="469"/>
      <c r="X370" s="469"/>
      <c r="Y370" s="469"/>
      <c r="Z370" s="470"/>
      <c r="AA370" s="469"/>
      <c r="AB370" s="469"/>
      <c r="AC370" s="469"/>
      <c r="AD370" s="469"/>
      <c r="AE370" s="472"/>
      <c r="AF370" s="472"/>
      <c r="AG370" s="475"/>
      <c r="AH370" s="475"/>
    </row>
    <row r="371" ht="15.75" customHeight="1">
      <c r="A371" s="344"/>
      <c r="B371" s="470"/>
      <c r="C371" s="470"/>
      <c r="D371" s="471"/>
      <c r="E371" s="469"/>
      <c r="F371" s="469"/>
      <c r="G371" s="470"/>
      <c r="H371" s="470"/>
      <c r="I371" s="470"/>
      <c r="J371" s="470"/>
      <c r="K371" s="469"/>
      <c r="L371" s="469"/>
      <c r="M371" s="469"/>
      <c r="N371" s="469"/>
      <c r="O371" s="469"/>
      <c r="P371" s="469"/>
      <c r="Q371" s="470"/>
      <c r="R371" s="469"/>
      <c r="S371" s="469"/>
      <c r="T371" s="470"/>
      <c r="U371" s="470"/>
      <c r="V371" s="470"/>
      <c r="W371" s="469"/>
      <c r="X371" s="469"/>
      <c r="Y371" s="469"/>
      <c r="Z371" s="470"/>
      <c r="AA371" s="469"/>
      <c r="AB371" s="469"/>
      <c r="AC371" s="469"/>
      <c r="AD371" s="469"/>
      <c r="AE371" s="472"/>
      <c r="AF371" s="472"/>
      <c r="AG371" s="475"/>
      <c r="AH371" s="475"/>
    </row>
    <row r="372" ht="15.75" customHeight="1">
      <c r="A372" s="344"/>
      <c r="B372" s="470"/>
      <c r="C372" s="470"/>
      <c r="D372" s="471"/>
      <c r="E372" s="469"/>
      <c r="F372" s="469"/>
      <c r="G372" s="470"/>
      <c r="H372" s="470"/>
      <c r="I372" s="470"/>
      <c r="J372" s="470"/>
      <c r="K372" s="469"/>
      <c r="L372" s="469"/>
      <c r="M372" s="469"/>
      <c r="N372" s="469"/>
      <c r="O372" s="469"/>
      <c r="P372" s="469"/>
      <c r="Q372" s="470"/>
      <c r="R372" s="469"/>
      <c r="S372" s="469"/>
      <c r="T372" s="470"/>
      <c r="U372" s="470"/>
      <c r="V372" s="470"/>
      <c r="W372" s="469"/>
      <c r="X372" s="469"/>
      <c r="Y372" s="469"/>
      <c r="Z372" s="470"/>
      <c r="AA372" s="469"/>
      <c r="AB372" s="469"/>
      <c r="AC372" s="469"/>
      <c r="AD372" s="469"/>
      <c r="AE372" s="472"/>
      <c r="AF372" s="472"/>
      <c r="AG372" s="475"/>
      <c r="AH372" s="475"/>
    </row>
    <row r="373" ht="15.75" customHeight="1">
      <c r="A373" s="344"/>
      <c r="B373" s="470"/>
      <c r="C373" s="470"/>
      <c r="D373" s="471"/>
      <c r="E373" s="469"/>
      <c r="F373" s="469"/>
      <c r="G373" s="470"/>
      <c r="H373" s="470"/>
      <c r="I373" s="470"/>
      <c r="J373" s="470"/>
      <c r="K373" s="469"/>
      <c r="L373" s="469"/>
      <c r="M373" s="469"/>
      <c r="N373" s="469"/>
      <c r="O373" s="469"/>
      <c r="P373" s="469"/>
      <c r="Q373" s="470"/>
      <c r="R373" s="469"/>
      <c r="S373" s="469"/>
      <c r="T373" s="470"/>
      <c r="U373" s="470"/>
      <c r="V373" s="470"/>
      <c r="W373" s="469"/>
      <c r="X373" s="469"/>
      <c r="Y373" s="469"/>
      <c r="Z373" s="470"/>
      <c r="AA373" s="469"/>
      <c r="AB373" s="469"/>
      <c r="AC373" s="469"/>
      <c r="AD373" s="469"/>
      <c r="AE373" s="472"/>
      <c r="AF373" s="472"/>
      <c r="AG373" s="475"/>
      <c r="AH373" s="475"/>
    </row>
    <row r="374" ht="15.75" customHeight="1">
      <c r="A374" s="344"/>
      <c r="B374" s="470"/>
      <c r="C374" s="470"/>
      <c r="D374" s="471"/>
      <c r="E374" s="469"/>
      <c r="F374" s="469"/>
      <c r="G374" s="470"/>
      <c r="H374" s="470"/>
      <c r="I374" s="470"/>
      <c r="J374" s="470"/>
      <c r="K374" s="469"/>
      <c r="L374" s="469"/>
      <c r="M374" s="469"/>
      <c r="N374" s="469"/>
      <c r="O374" s="469"/>
      <c r="P374" s="469"/>
      <c r="Q374" s="470"/>
      <c r="R374" s="469"/>
      <c r="S374" s="469"/>
      <c r="T374" s="470"/>
      <c r="U374" s="470"/>
      <c r="V374" s="470"/>
      <c r="W374" s="469"/>
      <c r="X374" s="469"/>
      <c r="Y374" s="469"/>
      <c r="Z374" s="470"/>
      <c r="AA374" s="469"/>
      <c r="AB374" s="469"/>
      <c r="AC374" s="469"/>
      <c r="AD374" s="469"/>
      <c r="AE374" s="472"/>
      <c r="AF374" s="472"/>
      <c r="AG374" s="475"/>
      <c r="AH374" s="475"/>
    </row>
    <row r="375" ht="15.75" customHeight="1">
      <c r="A375" s="344"/>
      <c r="B375" s="470"/>
      <c r="C375" s="470"/>
      <c r="D375" s="471"/>
      <c r="E375" s="469"/>
      <c r="F375" s="469"/>
      <c r="G375" s="470"/>
      <c r="H375" s="470"/>
      <c r="I375" s="470"/>
      <c r="J375" s="470"/>
      <c r="K375" s="469"/>
      <c r="L375" s="469"/>
      <c r="M375" s="469"/>
      <c r="N375" s="469"/>
      <c r="O375" s="469"/>
      <c r="P375" s="469"/>
      <c r="Q375" s="470"/>
      <c r="R375" s="469"/>
      <c r="S375" s="469"/>
      <c r="T375" s="470"/>
      <c r="U375" s="470"/>
      <c r="V375" s="470"/>
      <c r="W375" s="469"/>
      <c r="X375" s="469"/>
      <c r="Y375" s="469"/>
      <c r="Z375" s="470"/>
      <c r="AA375" s="469"/>
      <c r="AB375" s="469"/>
      <c r="AC375" s="469"/>
      <c r="AD375" s="469"/>
      <c r="AE375" s="472"/>
      <c r="AF375" s="472"/>
      <c r="AG375" s="475"/>
      <c r="AH375" s="475"/>
    </row>
    <row r="376" ht="15.75" customHeight="1">
      <c r="A376" s="344"/>
      <c r="B376" s="470"/>
      <c r="C376" s="470"/>
      <c r="D376" s="471"/>
      <c r="E376" s="469"/>
      <c r="F376" s="469"/>
      <c r="G376" s="470"/>
      <c r="H376" s="470"/>
      <c r="I376" s="470"/>
      <c r="J376" s="470"/>
      <c r="K376" s="469"/>
      <c r="L376" s="469"/>
      <c r="M376" s="469"/>
      <c r="N376" s="469"/>
      <c r="O376" s="469"/>
      <c r="P376" s="469"/>
      <c r="Q376" s="470"/>
      <c r="R376" s="469"/>
      <c r="S376" s="469"/>
      <c r="T376" s="470"/>
      <c r="U376" s="470"/>
      <c r="V376" s="470"/>
      <c r="W376" s="469"/>
      <c r="X376" s="469"/>
      <c r="Y376" s="469"/>
      <c r="Z376" s="470"/>
      <c r="AA376" s="469"/>
      <c r="AB376" s="469"/>
      <c r="AC376" s="469"/>
      <c r="AD376" s="469"/>
      <c r="AE376" s="472"/>
      <c r="AF376" s="472"/>
      <c r="AG376" s="475"/>
      <c r="AH376" s="475"/>
    </row>
    <row r="377" ht="15.75" customHeight="1">
      <c r="A377" s="344"/>
      <c r="B377" s="470"/>
      <c r="C377" s="470"/>
      <c r="D377" s="471"/>
      <c r="E377" s="469"/>
      <c r="F377" s="469"/>
      <c r="G377" s="470"/>
      <c r="H377" s="470"/>
      <c r="I377" s="470"/>
      <c r="J377" s="470"/>
      <c r="K377" s="469"/>
      <c r="L377" s="469"/>
      <c r="M377" s="469"/>
      <c r="N377" s="469"/>
      <c r="O377" s="469"/>
      <c r="P377" s="469"/>
      <c r="Q377" s="470"/>
      <c r="R377" s="469"/>
      <c r="S377" s="469"/>
      <c r="T377" s="470"/>
      <c r="U377" s="470"/>
      <c r="V377" s="470"/>
      <c r="W377" s="469"/>
      <c r="X377" s="469"/>
      <c r="Y377" s="469"/>
      <c r="Z377" s="470"/>
      <c r="AA377" s="469"/>
      <c r="AB377" s="469"/>
      <c r="AC377" s="469"/>
      <c r="AD377" s="469"/>
      <c r="AE377" s="472"/>
      <c r="AF377" s="472"/>
      <c r="AG377" s="475"/>
      <c r="AH377" s="475"/>
    </row>
    <row r="378" ht="15.75" customHeight="1">
      <c r="A378" s="344"/>
      <c r="B378" s="470"/>
      <c r="C378" s="470"/>
      <c r="D378" s="471"/>
      <c r="E378" s="469"/>
      <c r="F378" s="469"/>
      <c r="G378" s="470"/>
      <c r="H378" s="470"/>
      <c r="I378" s="470"/>
      <c r="J378" s="470"/>
      <c r="K378" s="469"/>
      <c r="L378" s="469"/>
      <c r="M378" s="469"/>
      <c r="N378" s="469"/>
      <c r="O378" s="469"/>
      <c r="P378" s="469"/>
      <c r="Q378" s="470"/>
      <c r="R378" s="469"/>
      <c r="S378" s="469"/>
      <c r="T378" s="470"/>
      <c r="U378" s="470"/>
      <c r="V378" s="470"/>
      <c r="W378" s="469"/>
      <c r="X378" s="469"/>
      <c r="Y378" s="469"/>
      <c r="Z378" s="470"/>
      <c r="AA378" s="469"/>
      <c r="AB378" s="469"/>
      <c r="AC378" s="469"/>
      <c r="AD378" s="469"/>
      <c r="AE378" s="472"/>
      <c r="AF378" s="472"/>
      <c r="AG378" s="475"/>
      <c r="AH378" s="475"/>
    </row>
    <row r="379" ht="15.75" customHeight="1">
      <c r="A379" s="344"/>
      <c r="B379" s="470"/>
      <c r="C379" s="470"/>
      <c r="D379" s="471"/>
      <c r="E379" s="469"/>
      <c r="F379" s="469"/>
      <c r="G379" s="470"/>
      <c r="H379" s="470"/>
      <c r="I379" s="470"/>
      <c r="J379" s="470"/>
      <c r="K379" s="469"/>
      <c r="L379" s="469"/>
      <c r="M379" s="469"/>
      <c r="N379" s="469"/>
      <c r="O379" s="469"/>
      <c r="P379" s="469"/>
      <c r="Q379" s="470"/>
      <c r="R379" s="469"/>
      <c r="S379" s="469"/>
      <c r="T379" s="470"/>
      <c r="U379" s="470"/>
      <c r="V379" s="470"/>
      <c r="W379" s="469"/>
      <c r="X379" s="469"/>
      <c r="Y379" s="469"/>
      <c r="Z379" s="470"/>
      <c r="AA379" s="469"/>
      <c r="AB379" s="469"/>
      <c r="AC379" s="469"/>
      <c r="AD379" s="469"/>
      <c r="AE379" s="472"/>
      <c r="AF379" s="472"/>
      <c r="AG379" s="475"/>
      <c r="AH379" s="475"/>
    </row>
    <row r="380" ht="15.75" customHeight="1">
      <c r="A380" s="344"/>
      <c r="B380" s="470"/>
      <c r="C380" s="470"/>
      <c r="D380" s="471"/>
      <c r="E380" s="469"/>
      <c r="F380" s="469"/>
      <c r="G380" s="470"/>
      <c r="H380" s="470"/>
      <c r="I380" s="470"/>
      <c r="J380" s="470"/>
      <c r="K380" s="469"/>
      <c r="L380" s="469"/>
      <c r="M380" s="469"/>
      <c r="N380" s="469"/>
      <c r="O380" s="469"/>
      <c r="P380" s="469"/>
      <c r="Q380" s="470"/>
      <c r="R380" s="469"/>
      <c r="S380" s="469"/>
      <c r="T380" s="470"/>
      <c r="U380" s="470"/>
      <c r="V380" s="470"/>
      <c r="W380" s="469"/>
      <c r="X380" s="469"/>
      <c r="Y380" s="469"/>
      <c r="Z380" s="470"/>
      <c r="AA380" s="469"/>
      <c r="AB380" s="469"/>
      <c r="AC380" s="469"/>
      <c r="AD380" s="469"/>
      <c r="AE380" s="472"/>
      <c r="AF380" s="472"/>
      <c r="AG380" s="475"/>
      <c r="AH380" s="475"/>
    </row>
    <row r="381" ht="15.75" customHeight="1">
      <c r="A381" s="344"/>
      <c r="B381" s="470"/>
      <c r="C381" s="470"/>
      <c r="D381" s="471"/>
      <c r="E381" s="469"/>
      <c r="F381" s="469"/>
      <c r="G381" s="470"/>
      <c r="H381" s="470"/>
      <c r="I381" s="470"/>
      <c r="J381" s="470"/>
      <c r="K381" s="469"/>
      <c r="L381" s="469"/>
      <c r="M381" s="469"/>
      <c r="N381" s="469"/>
      <c r="O381" s="469"/>
      <c r="P381" s="469"/>
      <c r="Q381" s="470"/>
      <c r="R381" s="469"/>
      <c r="S381" s="469"/>
      <c r="T381" s="470"/>
      <c r="U381" s="470"/>
      <c r="V381" s="470"/>
      <c r="W381" s="469"/>
      <c r="X381" s="469"/>
      <c r="Y381" s="469"/>
      <c r="Z381" s="470"/>
      <c r="AA381" s="469"/>
      <c r="AB381" s="469"/>
      <c r="AC381" s="469"/>
      <c r="AD381" s="469"/>
      <c r="AE381" s="472"/>
      <c r="AF381" s="472"/>
      <c r="AG381" s="475"/>
      <c r="AH381" s="475"/>
    </row>
    <row r="382" ht="15.75" customHeight="1">
      <c r="A382" s="344"/>
      <c r="B382" s="470"/>
      <c r="C382" s="470"/>
      <c r="D382" s="471"/>
      <c r="E382" s="469"/>
      <c r="F382" s="469"/>
      <c r="G382" s="470"/>
      <c r="H382" s="470"/>
      <c r="I382" s="470"/>
      <c r="J382" s="470"/>
      <c r="K382" s="469"/>
      <c r="L382" s="469"/>
      <c r="M382" s="469"/>
      <c r="N382" s="469"/>
      <c r="O382" s="469"/>
      <c r="P382" s="469"/>
      <c r="Q382" s="470"/>
      <c r="R382" s="469"/>
      <c r="S382" s="469"/>
      <c r="T382" s="470"/>
      <c r="U382" s="470"/>
      <c r="V382" s="470"/>
      <c r="W382" s="469"/>
      <c r="X382" s="469"/>
      <c r="Y382" s="469"/>
      <c r="Z382" s="470"/>
      <c r="AA382" s="469"/>
      <c r="AB382" s="469"/>
      <c r="AC382" s="469"/>
      <c r="AD382" s="469"/>
      <c r="AE382" s="472"/>
      <c r="AF382" s="472"/>
      <c r="AG382" s="475"/>
      <c r="AH382" s="475"/>
    </row>
    <row r="383" ht="15.75" customHeight="1">
      <c r="A383" s="344"/>
      <c r="B383" s="470"/>
      <c r="C383" s="470"/>
      <c r="D383" s="471"/>
      <c r="E383" s="469"/>
      <c r="F383" s="469"/>
      <c r="G383" s="470"/>
      <c r="H383" s="470"/>
      <c r="I383" s="470"/>
      <c r="J383" s="470"/>
      <c r="K383" s="469"/>
      <c r="L383" s="469"/>
      <c r="M383" s="469"/>
      <c r="N383" s="469"/>
      <c r="O383" s="469"/>
      <c r="P383" s="469"/>
      <c r="Q383" s="470"/>
      <c r="R383" s="469"/>
      <c r="S383" s="469"/>
      <c r="T383" s="470"/>
      <c r="U383" s="470"/>
      <c r="V383" s="470"/>
      <c r="W383" s="469"/>
      <c r="X383" s="469"/>
      <c r="Y383" s="469"/>
      <c r="Z383" s="470"/>
      <c r="AA383" s="469"/>
      <c r="AB383" s="469"/>
      <c r="AC383" s="469"/>
      <c r="AD383" s="469"/>
      <c r="AE383" s="472"/>
      <c r="AF383" s="472"/>
      <c r="AG383" s="475"/>
      <c r="AH383" s="475"/>
    </row>
    <row r="384" ht="15.75" customHeight="1">
      <c r="A384" s="344"/>
      <c r="B384" s="470"/>
      <c r="C384" s="470"/>
      <c r="D384" s="471"/>
      <c r="E384" s="469"/>
      <c r="F384" s="469"/>
      <c r="G384" s="470"/>
      <c r="H384" s="470"/>
      <c r="I384" s="470"/>
      <c r="J384" s="470"/>
      <c r="K384" s="469"/>
      <c r="L384" s="469"/>
      <c r="M384" s="469"/>
      <c r="N384" s="469"/>
      <c r="O384" s="469"/>
      <c r="P384" s="469"/>
      <c r="Q384" s="470"/>
      <c r="R384" s="469"/>
      <c r="S384" s="469"/>
      <c r="T384" s="470"/>
      <c r="U384" s="470"/>
      <c r="V384" s="470"/>
      <c r="W384" s="469"/>
      <c r="X384" s="469"/>
      <c r="Y384" s="469"/>
      <c r="Z384" s="470"/>
      <c r="AA384" s="469"/>
      <c r="AB384" s="469"/>
      <c r="AC384" s="469"/>
      <c r="AD384" s="469"/>
      <c r="AE384" s="472"/>
      <c r="AF384" s="472"/>
      <c r="AG384" s="475"/>
      <c r="AH384" s="475"/>
    </row>
    <row r="385" ht="15.75" customHeight="1">
      <c r="A385" s="344"/>
      <c r="B385" s="470"/>
      <c r="C385" s="470"/>
      <c r="D385" s="471"/>
      <c r="E385" s="469"/>
      <c r="F385" s="469"/>
      <c r="G385" s="470"/>
      <c r="H385" s="470"/>
      <c r="I385" s="470"/>
      <c r="J385" s="470"/>
      <c r="K385" s="469"/>
      <c r="L385" s="469"/>
      <c r="M385" s="469"/>
      <c r="N385" s="469"/>
      <c r="O385" s="469"/>
      <c r="P385" s="469"/>
      <c r="Q385" s="470"/>
      <c r="R385" s="469"/>
      <c r="S385" s="469"/>
      <c r="T385" s="470"/>
      <c r="U385" s="470"/>
      <c r="V385" s="470"/>
      <c r="W385" s="469"/>
      <c r="X385" s="469"/>
      <c r="Y385" s="469"/>
      <c r="Z385" s="470"/>
      <c r="AA385" s="469"/>
      <c r="AB385" s="469"/>
      <c r="AC385" s="469"/>
      <c r="AD385" s="469"/>
      <c r="AE385" s="472"/>
      <c r="AF385" s="472"/>
      <c r="AG385" s="475"/>
      <c r="AH385" s="475"/>
    </row>
    <row r="386" ht="15.75" customHeight="1">
      <c r="A386" s="344"/>
      <c r="B386" s="470"/>
      <c r="C386" s="470"/>
      <c r="D386" s="471"/>
      <c r="E386" s="469"/>
      <c r="F386" s="469"/>
      <c r="G386" s="470"/>
      <c r="H386" s="470"/>
      <c r="I386" s="470"/>
      <c r="J386" s="470"/>
      <c r="K386" s="469"/>
      <c r="L386" s="469"/>
      <c r="M386" s="469"/>
      <c r="N386" s="469"/>
      <c r="O386" s="469"/>
      <c r="P386" s="469"/>
      <c r="Q386" s="470"/>
      <c r="R386" s="469"/>
      <c r="S386" s="469"/>
      <c r="T386" s="470"/>
      <c r="U386" s="470"/>
      <c r="V386" s="470"/>
      <c r="W386" s="469"/>
      <c r="X386" s="469"/>
      <c r="Y386" s="469"/>
      <c r="Z386" s="470"/>
      <c r="AA386" s="469"/>
      <c r="AB386" s="469"/>
      <c r="AC386" s="469"/>
      <c r="AD386" s="469"/>
      <c r="AE386" s="472"/>
      <c r="AF386" s="472"/>
      <c r="AG386" s="475"/>
      <c r="AH386" s="475"/>
    </row>
    <row r="387" ht="15.75" customHeight="1">
      <c r="A387" s="344"/>
      <c r="B387" s="470"/>
      <c r="C387" s="470"/>
      <c r="D387" s="471"/>
      <c r="E387" s="469"/>
      <c r="F387" s="469"/>
      <c r="G387" s="470"/>
      <c r="H387" s="470"/>
      <c r="I387" s="470"/>
      <c r="J387" s="470"/>
      <c r="K387" s="469"/>
      <c r="L387" s="469"/>
      <c r="M387" s="469"/>
      <c r="N387" s="469"/>
      <c r="O387" s="469"/>
      <c r="P387" s="469"/>
      <c r="Q387" s="470"/>
      <c r="R387" s="469"/>
      <c r="S387" s="469"/>
      <c r="T387" s="470"/>
      <c r="U387" s="470"/>
      <c r="V387" s="470"/>
      <c r="W387" s="469"/>
      <c r="X387" s="469"/>
      <c r="Y387" s="469"/>
      <c r="Z387" s="470"/>
      <c r="AA387" s="469"/>
      <c r="AB387" s="469"/>
      <c r="AC387" s="469"/>
      <c r="AD387" s="469"/>
      <c r="AE387" s="472"/>
      <c r="AF387" s="472"/>
      <c r="AG387" s="475"/>
      <c r="AH387" s="475"/>
    </row>
    <row r="388" ht="15.75" customHeight="1">
      <c r="A388" s="344"/>
      <c r="B388" s="470"/>
      <c r="C388" s="470"/>
      <c r="D388" s="471"/>
      <c r="E388" s="469"/>
      <c r="F388" s="469"/>
      <c r="G388" s="470"/>
      <c r="H388" s="470"/>
      <c r="I388" s="470"/>
      <c r="J388" s="470"/>
      <c r="K388" s="469"/>
      <c r="L388" s="469"/>
      <c r="M388" s="469"/>
      <c r="N388" s="469"/>
      <c r="O388" s="469"/>
      <c r="P388" s="469"/>
      <c r="Q388" s="470"/>
      <c r="R388" s="469"/>
      <c r="S388" s="469"/>
      <c r="T388" s="470"/>
      <c r="U388" s="470"/>
      <c r="V388" s="470"/>
      <c r="W388" s="469"/>
      <c r="X388" s="469"/>
      <c r="Y388" s="469"/>
      <c r="Z388" s="470"/>
      <c r="AA388" s="469"/>
      <c r="AB388" s="469"/>
      <c r="AC388" s="469"/>
      <c r="AD388" s="469"/>
      <c r="AE388" s="472"/>
      <c r="AF388" s="472"/>
      <c r="AG388" s="475"/>
      <c r="AH388" s="475"/>
    </row>
    <row r="389" ht="15.75" customHeight="1">
      <c r="A389" s="344"/>
      <c r="B389" s="470"/>
      <c r="C389" s="470"/>
      <c r="D389" s="471"/>
      <c r="E389" s="469"/>
      <c r="F389" s="469"/>
      <c r="G389" s="470"/>
      <c r="H389" s="470"/>
      <c r="I389" s="470"/>
      <c r="J389" s="470"/>
      <c r="K389" s="469"/>
      <c r="L389" s="469"/>
      <c r="M389" s="469"/>
      <c r="N389" s="469"/>
      <c r="O389" s="469"/>
      <c r="P389" s="469"/>
      <c r="Q389" s="470"/>
      <c r="R389" s="469"/>
      <c r="S389" s="469"/>
      <c r="T389" s="470"/>
      <c r="U389" s="470"/>
      <c r="V389" s="470"/>
      <c r="W389" s="469"/>
      <c r="X389" s="469"/>
      <c r="Y389" s="469"/>
      <c r="Z389" s="470"/>
      <c r="AA389" s="469"/>
      <c r="AB389" s="469"/>
      <c r="AC389" s="469"/>
      <c r="AD389" s="469"/>
      <c r="AE389" s="472"/>
      <c r="AF389" s="472"/>
      <c r="AG389" s="475"/>
      <c r="AH389" s="475"/>
    </row>
    <row r="390" ht="15.75" customHeight="1">
      <c r="A390" s="344"/>
      <c r="B390" s="470"/>
      <c r="C390" s="470"/>
      <c r="D390" s="471"/>
      <c r="E390" s="469"/>
      <c r="F390" s="469"/>
      <c r="G390" s="470"/>
      <c r="H390" s="470"/>
      <c r="I390" s="470"/>
      <c r="J390" s="470"/>
      <c r="K390" s="469"/>
      <c r="L390" s="469"/>
      <c r="M390" s="469"/>
      <c r="N390" s="469"/>
      <c r="O390" s="469"/>
      <c r="P390" s="469"/>
      <c r="Q390" s="470"/>
      <c r="R390" s="469"/>
      <c r="S390" s="469"/>
      <c r="T390" s="470"/>
      <c r="U390" s="470"/>
      <c r="V390" s="470"/>
      <c r="W390" s="469"/>
      <c r="X390" s="469"/>
      <c r="Y390" s="469"/>
      <c r="Z390" s="470"/>
      <c r="AA390" s="469"/>
      <c r="AB390" s="469"/>
      <c r="AC390" s="469"/>
      <c r="AD390" s="469"/>
      <c r="AE390" s="472"/>
      <c r="AF390" s="472"/>
      <c r="AG390" s="475"/>
      <c r="AH390" s="475"/>
    </row>
    <row r="391" ht="15.75" customHeight="1">
      <c r="A391" s="344"/>
      <c r="B391" s="470"/>
      <c r="C391" s="470"/>
      <c r="D391" s="471"/>
      <c r="E391" s="469"/>
      <c r="F391" s="469"/>
      <c r="G391" s="470"/>
      <c r="H391" s="470"/>
      <c r="I391" s="470"/>
      <c r="J391" s="470"/>
      <c r="K391" s="469"/>
      <c r="L391" s="469"/>
      <c r="M391" s="469"/>
      <c r="N391" s="469"/>
      <c r="O391" s="469"/>
      <c r="P391" s="469"/>
      <c r="Q391" s="470"/>
      <c r="R391" s="469"/>
      <c r="S391" s="469"/>
      <c r="T391" s="470"/>
      <c r="U391" s="470"/>
      <c r="V391" s="470"/>
      <c r="W391" s="469"/>
      <c r="X391" s="469"/>
      <c r="Y391" s="469"/>
      <c r="Z391" s="470"/>
      <c r="AA391" s="469"/>
      <c r="AB391" s="469"/>
      <c r="AC391" s="469"/>
      <c r="AD391" s="469"/>
      <c r="AE391" s="472"/>
      <c r="AF391" s="472"/>
      <c r="AG391" s="475"/>
      <c r="AH391" s="475"/>
    </row>
    <row r="392" ht="15.75" customHeight="1">
      <c r="A392" s="344"/>
      <c r="B392" s="470"/>
      <c r="C392" s="470"/>
      <c r="D392" s="471"/>
      <c r="E392" s="469"/>
      <c r="F392" s="469"/>
      <c r="G392" s="470"/>
      <c r="H392" s="470"/>
      <c r="I392" s="470"/>
      <c r="J392" s="470"/>
      <c r="K392" s="469"/>
      <c r="L392" s="469"/>
      <c r="M392" s="469"/>
      <c r="N392" s="469"/>
      <c r="O392" s="469"/>
      <c r="P392" s="469"/>
      <c r="Q392" s="470"/>
      <c r="R392" s="469"/>
      <c r="S392" s="469"/>
      <c r="T392" s="470"/>
      <c r="U392" s="470"/>
      <c r="V392" s="470"/>
      <c r="W392" s="469"/>
      <c r="X392" s="469"/>
      <c r="Y392" s="469"/>
      <c r="Z392" s="470"/>
      <c r="AA392" s="469"/>
      <c r="AB392" s="469"/>
      <c r="AC392" s="469"/>
      <c r="AD392" s="469"/>
      <c r="AE392" s="472"/>
      <c r="AF392" s="472"/>
      <c r="AG392" s="475"/>
      <c r="AH392" s="475"/>
    </row>
    <row r="393" ht="15.75" customHeight="1">
      <c r="A393" s="344"/>
      <c r="B393" s="470"/>
      <c r="C393" s="470"/>
      <c r="D393" s="471"/>
      <c r="E393" s="469"/>
      <c r="F393" s="469"/>
      <c r="G393" s="470"/>
      <c r="H393" s="470"/>
      <c r="I393" s="470"/>
      <c r="J393" s="470"/>
      <c r="K393" s="469"/>
      <c r="L393" s="469"/>
      <c r="M393" s="469"/>
      <c r="N393" s="469"/>
      <c r="O393" s="469"/>
      <c r="P393" s="469"/>
      <c r="Q393" s="470"/>
      <c r="R393" s="469"/>
      <c r="S393" s="469"/>
      <c r="T393" s="470"/>
      <c r="U393" s="470"/>
      <c r="V393" s="470"/>
      <c r="W393" s="469"/>
      <c r="X393" s="469"/>
      <c r="Y393" s="469"/>
      <c r="Z393" s="470"/>
      <c r="AA393" s="469"/>
      <c r="AB393" s="469"/>
      <c r="AC393" s="469"/>
      <c r="AD393" s="469"/>
      <c r="AE393" s="472"/>
      <c r="AF393" s="472"/>
      <c r="AG393" s="475"/>
      <c r="AH393" s="475"/>
    </row>
    <row r="394" ht="15.75" customHeight="1">
      <c r="A394" s="344"/>
      <c r="B394" s="470"/>
      <c r="C394" s="470"/>
      <c r="D394" s="471"/>
      <c r="E394" s="469"/>
      <c r="F394" s="469"/>
      <c r="G394" s="470"/>
      <c r="H394" s="470"/>
      <c r="I394" s="470"/>
      <c r="J394" s="470"/>
      <c r="K394" s="469"/>
      <c r="L394" s="469"/>
      <c r="M394" s="469"/>
      <c r="N394" s="469"/>
      <c r="O394" s="469"/>
      <c r="P394" s="469"/>
      <c r="Q394" s="470"/>
      <c r="R394" s="469"/>
      <c r="S394" s="469"/>
      <c r="T394" s="470"/>
      <c r="U394" s="470"/>
      <c r="V394" s="470"/>
      <c r="W394" s="469"/>
      <c r="X394" s="469"/>
      <c r="Y394" s="469"/>
      <c r="Z394" s="470"/>
      <c r="AA394" s="469"/>
      <c r="AB394" s="469"/>
      <c r="AC394" s="469"/>
      <c r="AD394" s="469"/>
      <c r="AE394" s="472"/>
      <c r="AF394" s="472"/>
      <c r="AG394" s="475"/>
      <c r="AH394" s="475"/>
    </row>
    <row r="395" ht="15.75" customHeight="1">
      <c r="A395" s="344"/>
      <c r="B395" s="470"/>
      <c r="C395" s="470"/>
      <c r="D395" s="471"/>
      <c r="E395" s="469"/>
      <c r="F395" s="469"/>
      <c r="G395" s="470"/>
      <c r="H395" s="470"/>
      <c r="I395" s="470"/>
      <c r="J395" s="470"/>
      <c r="K395" s="469"/>
      <c r="L395" s="469"/>
      <c r="M395" s="469"/>
      <c r="N395" s="469"/>
      <c r="O395" s="469"/>
      <c r="P395" s="469"/>
      <c r="Q395" s="470"/>
      <c r="R395" s="469"/>
      <c r="S395" s="469"/>
      <c r="T395" s="470"/>
      <c r="U395" s="470"/>
      <c r="V395" s="470"/>
      <c r="W395" s="469"/>
      <c r="X395" s="469"/>
      <c r="Y395" s="469"/>
      <c r="Z395" s="470"/>
      <c r="AA395" s="469"/>
      <c r="AB395" s="469"/>
      <c r="AC395" s="469"/>
      <c r="AD395" s="469"/>
      <c r="AE395" s="472"/>
      <c r="AF395" s="472"/>
      <c r="AG395" s="475"/>
      <c r="AH395" s="475"/>
    </row>
    <row r="396" ht="15.75" customHeight="1">
      <c r="A396" s="344"/>
      <c r="B396" s="470"/>
      <c r="C396" s="470"/>
      <c r="D396" s="471"/>
      <c r="E396" s="469"/>
      <c r="F396" s="469"/>
      <c r="G396" s="470"/>
      <c r="H396" s="470"/>
      <c r="I396" s="470"/>
      <c r="J396" s="470"/>
      <c r="K396" s="469"/>
      <c r="L396" s="469"/>
      <c r="M396" s="469"/>
      <c r="N396" s="469"/>
      <c r="O396" s="469"/>
      <c r="P396" s="469"/>
      <c r="Q396" s="470"/>
      <c r="R396" s="469"/>
      <c r="S396" s="469"/>
      <c r="T396" s="470"/>
      <c r="U396" s="470"/>
      <c r="V396" s="470"/>
      <c r="W396" s="469"/>
      <c r="X396" s="469"/>
      <c r="Y396" s="469"/>
      <c r="Z396" s="470"/>
      <c r="AA396" s="469"/>
      <c r="AB396" s="469"/>
      <c r="AC396" s="469"/>
      <c r="AD396" s="469"/>
      <c r="AE396" s="472"/>
      <c r="AF396" s="472"/>
      <c r="AG396" s="475"/>
      <c r="AH396" s="475"/>
    </row>
    <row r="397" ht="15.75" customHeight="1">
      <c r="A397" s="344"/>
      <c r="B397" s="470"/>
      <c r="C397" s="470"/>
      <c r="D397" s="471"/>
      <c r="E397" s="469"/>
      <c r="F397" s="469"/>
      <c r="G397" s="470"/>
      <c r="H397" s="470"/>
      <c r="I397" s="470"/>
      <c r="J397" s="470"/>
      <c r="K397" s="469"/>
      <c r="L397" s="469"/>
      <c r="M397" s="469"/>
      <c r="N397" s="469"/>
      <c r="O397" s="469"/>
      <c r="P397" s="469"/>
      <c r="Q397" s="470"/>
      <c r="R397" s="469"/>
      <c r="S397" s="469"/>
      <c r="T397" s="470"/>
      <c r="U397" s="470"/>
      <c r="V397" s="470"/>
      <c r="W397" s="469"/>
      <c r="X397" s="469"/>
      <c r="Y397" s="469"/>
      <c r="Z397" s="470"/>
      <c r="AA397" s="469"/>
      <c r="AB397" s="469"/>
      <c r="AC397" s="469"/>
      <c r="AD397" s="469"/>
      <c r="AE397" s="472"/>
      <c r="AF397" s="472"/>
      <c r="AG397" s="475"/>
      <c r="AH397" s="475"/>
    </row>
    <row r="398" ht="15.75" customHeight="1">
      <c r="A398" s="344"/>
      <c r="B398" s="470"/>
      <c r="C398" s="470"/>
      <c r="D398" s="471"/>
      <c r="E398" s="469"/>
      <c r="F398" s="469"/>
      <c r="G398" s="470"/>
      <c r="H398" s="470"/>
      <c r="I398" s="470"/>
      <c r="J398" s="470"/>
      <c r="K398" s="469"/>
      <c r="L398" s="469"/>
      <c r="M398" s="469"/>
      <c r="N398" s="469"/>
      <c r="O398" s="469"/>
      <c r="P398" s="469"/>
      <c r="Q398" s="470"/>
      <c r="R398" s="469"/>
      <c r="S398" s="469"/>
      <c r="T398" s="470"/>
      <c r="U398" s="470"/>
      <c r="V398" s="470"/>
      <c r="W398" s="469"/>
      <c r="X398" s="469"/>
      <c r="Y398" s="469"/>
      <c r="Z398" s="470"/>
      <c r="AA398" s="469"/>
      <c r="AB398" s="469"/>
      <c r="AC398" s="469"/>
      <c r="AD398" s="469"/>
      <c r="AE398" s="472"/>
      <c r="AF398" s="472"/>
      <c r="AG398" s="475"/>
      <c r="AH398" s="475"/>
    </row>
    <row r="399" ht="15.75" customHeight="1">
      <c r="A399" s="344"/>
      <c r="B399" s="470"/>
      <c r="C399" s="470"/>
      <c r="D399" s="471"/>
      <c r="E399" s="469"/>
      <c r="F399" s="469"/>
      <c r="G399" s="470"/>
      <c r="H399" s="470"/>
      <c r="I399" s="470"/>
      <c r="J399" s="470"/>
      <c r="K399" s="469"/>
      <c r="L399" s="469"/>
      <c r="M399" s="469"/>
      <c r="N399" s="469"/>
      <c r="O399" s="469"/>
      <c r="P399" s="469"/>
      <c r="Q399" s="470"/>
      <c r="R399" s="469"/>
      <c r="S399" s="469"/>
      <c r="T399" s="470"/>
      <c r="U399" s="470"/>
      <c r="V399" s="470"/>
      <c r="W399" s="469"/>
      <c r="X399" s="469"/>
      <c r="Y399" s="469"/>
      <c r="Z399" s="470"/>
      <c r="AA399" s="469"/>
      <c r="AB399" s="469"/>
      <c r="AC399" s="469"/>
      <c r="AD399" s="469"/>
      <c r="AE399" s="472"/>
      <c r="AF399" s="472"/>
      <c r="AG399" s="475"/>
      <c r="AH399" s="475"/>
    </row>
    <row r="400" ht="15.75" customHeight="1">
      <c r="A400" s="344"/>
      <c r="B400" s="470"/>
      <c r="C400" s="469"/>
      <c r="D400" s="485"/>
      <c r="E400" s="469"/>
      <c r="F400" s="469"/>
      <c r="G400" s="470"/>
      <c r="H400" s="469"/>
      <c r="I400" s="470"/>
      <c r="J400" s="470"/>
      <c r="K400" s="344"/>
      <c r="L400" s="469"/>
      <c r="M400" s="469"/>
      <c r="N400" s="469"/>
      <c r="O400" s="469"/>
      <c r="P400" s="469"/>
      <c r="Q400" s="470"/>
      <c r="R400" s="469"/>
      <c r="S400" s="469"/>
      <c r="T400" s="470"/>
      <c r="U400" s="470"/>
      <c r="V400" s="470"/>
      <c r="W400" s="469"/>
      <c r="X400" s="469"/>
      <c r="Y400" s="469"/>
      <c r="Z400" s="470"/>
      <c r="AA400" s="469"/>
      <c r="AB400" s="469"/>
      <c r="AC400" s="469"/>
      <c r="AD400" s="469"/>
      <c r="AE400" s="472"/>
      <c r="AF400" s="472"/>
      <c r="AG400" s="486"/>
      <c r="AH400" s="486"/>
    </row>
    <row r="401" ht="15.75" customHeight="1">
      <c r="A401" s="344"/>
      <c r="B401" s="470"/>
      <c r="C401" s="469"/>
      <c r="D401" s="485"/>
      <c r="E401" s="469"/>
      <c r="F401" s="469"/>
      <c r="G401" s="470"/>
      <c r="H401" s="469"/>
      <c r="I401" s="470"/>
      <c r="J401" s="470"/>
      <c r="K401" s="344"/>
      <c r="L401" s="469"/>
      <c r="M401" s="469"/>
      <c r="N401" s="469"/>
      <c r="O401" s="469"/>
      <c r="P401" s="469"/>
      <c r="Q401" s="470"/>
      <c r="R401" s="469"/>
      <c r="S401" s="469"/>
      <c r="T401" s="470"/>
      <c r="U401" s="470"/>
      <c r="V401" s="470"/>
      <c r="W401" s="469"/>
      <c r="X401" s="469"/>
      <c r="Y401" s="469"/>
      <c r="Z401" s="470"/>
      <c r="AA401" s="469"/>
      <c r="AB401" s="469"/>
      <c r="AC401" s="469"/>
      <c r="AD401" s="469"/>
      <c r="AE401" s="472"/>
      <c r="AF401" s="472"/>
      <c r="AG401" s="486"/>
      <c r="AH401" s="486"/>
    </row>
    <row r="402" ht="15.75" customHeight="1">
      <c r="A402" s="344"/>
      <c r="B402" s="470"/>
      <c r="C402" s="469"/>
      <c r="D402" s="485"/>
      <c r="E402" s="469"/>
      <c r="F402" s="469"/>
      <c r="G402" s="470"/>
      <c r="H402" s="469"/>
      <c r="I402" s="470"/>
      <c r="J402" s="470"/>
      <c r="K402" s="344"/>
      <c r="L402" s="469"/>
      <c r="M402" s="469"/>
      <c r="N402" s="469"/>
      <c r="O402" s="469"/>
      <c r="P402" s="469"/>
      <c r="Q402" s="470"/>
      <c r="R402" s="469"/>
      <c r="S402" s="469"/>
      <c r="T402" s="470"/>
      <c r="U402" s="470"/>
      <c r="V402" s="470"/>
      <c r="W402" s="469"/>
      <c r="X402" s="469"/>
      <c r="Y402" s="469"/>
      <c r="Z402" s="470"/>
      <c r="AA402" s="469"/>
      <c r="AB402" s="469"/>
      <c r="AC402" s="469"/>
      <c r="AD402" s="469"/>
      <c r="AE402" s="472"/>
      <c r="AF402" s="472"/>
      <c r="AG402" s="486"/>
      <c r="AH402" s="486"/>
    </row>
    <row r="403" ht="15.75" customHeight="1">
      <c r="A403" s="344"/>
      <c r="B403" s="470"/>
      <c r="C403" s="469"/>
      <c r="D403" s="485"/>
      <c r="E403" s="469"/>
      <c r="F403" s="469"/>
      <c r="G403" s="470"/>
      <c r="H403" s="469"/>
      <c r="I403" s="470"/>
      <c r="J403" s="470"/>
      <c r="K403" s="344"/>
      <c r="L403" s="469"/>
      <c r="M403" s="469"/>
      <c r="N403" s="469"/>
      <c r="O403" s="469"/>
      <c r="P403" s="469"/>
      <c r="Q403" s="470"/>
      <c r="R403" s="469"/>
      <c r="S403" s="469"/>
      <c r="T403" s="470"/>
      <c r="U403" s="470"/>
      <c r="V403" s="470"/>
      <c r="W403" s="469"/>
      <c r="X403" s="469"/>
      <c r="Y403" s="469"/>
      <c r="Z403" s="470"/>
      <c r="AA403" s="469"/>
      <c r="AB403" s="469"/>
      <c r="AC403" s="469"/>
      <c r="AD403" s="469"/>
      <c r="AE403" s="472"/>
      <c r="AF403" s="472"/>
      <c r="AG403" s="486"/>
      <c r="AH403" s="486"/>
    </row>
    <row r="404" ht="15.75" customHeight="1">
      <c r="A404" s="344"/>
      <c r="B404" s="470"/>
      <c r="C404" s="469"/>
      <c r="D404" s="485"/>
      <c r="E404" s="469"/>
      <c r="F404" s="469"/>
      <c r="G404" s="470"/>
      <c r="H404" s="469"/>
      <c r="I404" s="470"/>
      <c r="J404" s="470"/>
      <c r="K404" s="344"/>
      <c r="L404" s="469"/>
      <c r="M404" s="469"/>
      <c r="N404" s="469"/>
      <c r="O404" s="469"/>
      <c r="P404" s="469"/>
      <c r="Q404" s="470"/>
      <c r="R404" s="469"/>
      <c r="S404" s="469"/>
      <c r="T404" s="470"/>
      <c r="U404" s="470"/>
      <c r="V404" s="470"/>
      <c r="W404" s="469"/>
      <c r="X404" s="469"/>
      <c r="Y404" s="469"/>
      <c r="Z404" s="470"/>
      <c r="AA404" s="469"/>
      <c r="AB404" s="469"/>
      <c r="AC404" s="469"/>
      <c r="AD404" s="469"/>
      <c r="AE404" s="472"/>
      <c r="AF404" s="472"/>
      <c r="AG404" s="486"/>
      <c r="AH404" s="486"/>
    </row>
    <row r="405" ht="15.75" customHeight="1">
      <c r="A405" s="344"/>
      <c r="B405" s="470"/>
      <c r="C405" s="469"/>
      <c r="D405" s="485"/>
      <c r="E405" s="469"/>
      <c r="F405" s="469"/>
      <c r="G405" s="470"/>
      <c r="H405" s="469"/>
      <c r="I405" s="470"/>
      <c r="J405" s="470"/>
      <c r="K405" s="344"/>
      <c r="L405" s="469"/>
      <c r="M405" s="469"/>
      <c r="N405" s="469"/>
      <c r="O405" s="469"/>
      <c r="P405" s="469"/>
      <c r="Q405" s="470"/>
      <c r="R405" s="469"/>
      <c r="S405" s="469"/>
      <c r="T405" s="470"/>
      <c r="U405" s="470"/>
      <c r="V405" s="470"/>
      <c r="W405" s="469"/>
      <c r="X405" s="469"/>
      <c r="Y405" s="469"/>
      <c r="Z405" s="470"/>
      <c r="AA405" s="469"/>
      <c r="AB405" s="469"/>
      <c r="AC405" s="469"/>
      <c r="AD405" s="469"/>
      <c r="AE405" s="472"/>
      <c r="AF405" s="472"/>
      <c r="AG405" s="486"/>
      <c r="AH405" s="486"/>
    </row>
    <row r="406" ht="15.75" customHeight="1">
      <c r="A406" s="344"/>
      <c r="B406" s="470"/>
      <c r="C406" s="469"/>
      <c r="D406" s="485"/>
      <c r="E406" s="469"/>
      <c r="F406" s="469"/>
      <c r="G406" s="470"/>
      <c r="H406" s="469"/>
      <c r="I406" s="470"/>
      <c r="J406" s="470"/>
      <c r="K406" s="344"/>
      <c r="L406" s="469"/>
      <c r="M406" s="469"/>
      <c r="N406" s="469"/>
      <c r="O406" s="469"/>
      <c r="P406" s="469"/>
      <c r="Q406" s="470"/>
      <c r="R406" s="469"/>
      <c r="S406" s="469"/>
      <c r="T406" s="470"/>
      <c r="U406" s="470"/>
      <c r="V406" s="470"/>
      <c r="W406" s="469"/>
      <c r="X406" s="469"/>
      <c r="Y406" s="469"/>
      <c r="Z406" s="470"/>
      <c r="AA406" s="469"/>
      <c r="AB406" s="469"/>
      <c r="AC406" s="469"/>
      <c r="AD406" s="469"/>
      <c r="AE406" s="472"/>
      <c r="AF406" s="472"/>
      <c r="AG406" s="486"/>
      <c r="AH406" s="486"/>
    </row>
    <row r="407" ht="15.75" customHeight="1">
      <c r="A407" s="344"/>
      <c r="B407" s="470"/>
      <c r="C407" s="469"/>
      <c r="D407" s="485"/>
      <c r="E407" s="469"/>
      <c r="F407" s="469"/>
      <c r="G407" s="470"/>
      <c r="H407" s="469"/>
      <c r="I407" s="470"/>
      <c r="J407" s="470"/>
      <c r="K407" s="344"/>
      <c r="L407" s="469"/>
      <c r="M407" s="469"/>
      <c r="N407" s="469"/>
      <c r="O407" s="469"/>
      <c r="P407" s="469"/>
      <c r="Q407" s="470"/>
      <c r="R407" s="469"/>
      <c r="S407" s="469"/>
      <c r="T407" s="470"/>
      <c r="U407" s="470"/>
      <c r="V407" s="470"/>
      <c r="W407" s="469"/>
      <c r="X407" s="469"/>
      <c r="Y407" s="469"/>
      <c r="Z407" s="470"/>
      <c r="AA407" s="469"/>
      <c r="AB407" s="469"/>
      <c r="AC407" s="469"/>
      <c r="AD407" s="469"/>
      <c r="AE407" s="472"/>
      <c r="AF407" s="472"/>
      <c r="AG407" s="486"/>
      <c r="AH407" s="486"/>
    </row>
    <row r="408" ht="15.75" customHeight="1">
      <c r="A408" s="344"/>
      <c r="B408" s="470"/>
      <c r="C408" s="469"/>
      <c r="D408" s="485"/>
      <c r="E408" s="469"/>
      <c r="F408" s="469"/>
      <c r="G408" s="470"/>
      <c r="H408" s="469"/>
      <c r="I408" s="470"/>
      <c r="J408" s="470"/>
      <c r="K408" s="344"/>
      <c r="L408" s="469"/>
      <c r="M408" s="469"/>
      <c r="N408" s="469"/>
      <c r="O408" s="469"/>
      <c r="P408" s="469"/>
      <c r="Q408" s="470"/>
      <c r="R408" s="469"/>
      <c r="S408" s="469"/>
      <c r="T408" s="470"/>
      <c r="U408" s="470"/>
      <c r="V408" s="470"/>
      <c r="W408" s="469"/>
      <c r="X408" s="469"/>
      <c r="Y408" s="469"/>
      <c r="Z408" s="470"/>
      <c r="AA408" s="469"/>
      <c r="AB408" s="469"/>
      <c r="AC408" s="469"/>
      <c r="AD408" s="469"/>
      <c r="AE408" s="472"/>
      <c r="AF408" s="472"/>
      <c r="AG408" s="486"/>
      <c r="AH408" s="486"/>
    </row>
    <row r="409" ht="15.75" customHeight="1">
      <c r="A409" s="344"/>
      <c r="B409" s="470"/>
      <c r="C409" s="469"/>
      <c r="D409" s="485"/>
      <c r="E409" s="469"/>
      <c r="F409" s="469"/>
      <c r="G409" s="470"/>
      <c r="H409" s="469"/>
      <c r="I409" s="470"/>
      <c r="J409" s="470"/>
      <c r="K409" s="344"/>
      <c r="L409" s="469"/>
      <c r="M409" s="469"/>
      <c r="N409" s="469"/>
      <c r="O409" s="469"/>
      <c r="P409" s="469"/>
      <c r="Q409" s="470"/>
      <c r="R409" s="469"/>
      <c r="S409" s="469"/>
      <c r="T409" s="470"/>
      <c r="U409" s="470"/>
      <c r="V409" s="470"/>
      <c r="W409" s="469"/>
      <c r="X409" s="469"/>
      <c r="Y409" s="469"/>
      <c r="Z409" s="470"/>
      <c r="AA409" s="469"/>
      <c r="AB409" s="469"/>
      <c r="AC409" s="469"/>
      <c r="AD409" s="469"/>
      <c r="AE409" s="472"/>
      <c r="AF409" s="472"/>
      <c r="AG409" s="486"/>
      <c r="AH409" s="486"/>
    </row>
    <row r="410" ht="15.75" customHeight="1">
      <c r="A410" s="344"/>
      <c r="B410" s="470"/>
      <c r="C410" s="469"/>
      <c r="D410" s="485"/>
      <c r="E410" s="469"/>
      <c r="F410" s="469"/>
      <c r="G410" s="470"/>
      <c r="H410" s="469"/>
      <c r="I410" s="470"/>
      <c r="J410" s="470"/>
      <c r="K410" s="344"/>
      <c r="L410" s="469"/>
      <c r="M410" s="469"/>
      <c r="N410" s="469"/>
      <c r="O410" s="469"/>
      <c r="P410" s="469"/>
      <c r="Q410" s="470"/>
      <c r="R410" s="469"/>
      <c r="S410" s="469"/>
      <c r="T410" s="470"/>
      <c r="U410" s="470"/>
      <c r="V410" s="470"/>
      <c r="W410" s="469"/>
      <c r="X410" s="469"/>
      <c r="Y410" s="469"/>
      <c r="Z410" s="470"/>
      <c r="AA410" s="469"/>
      <c r="AB410" s="469"/>
      <c r="AC410" s="469"/>
      <c r="AD410" s="469"/>
      <c r="AE410" s="472"/>
      <c r="AF410" s="472"/>
      <c r="AG410" s="486"/>
      <c r="AH410" s="486"/>
    </row>
    <row r="411" ht="15.75" customHeight="1">
      <c r="A411" s="344"/>
      <c r="B411" s="470"/>
      <c r="C411" s="469"/>
      <c r="D411" s="485"/>
      <c r="E411" s="469"/>
      <c r="F411" s="469"/>
      <c r="G411" s="470"/>
      <c r="H411" s="469"/>
      <c r="I411" s="470"/>
      <c r="J411" s="470"/>
      <c r="K411" s="344"/>
      <c r="L411" s="469"/>
      <c r="M411" s="469"/>
      <c r="N411" s="469"/>
      <c r="O411" s="469"/>
      <c r="P411" s="469"/>
      <c r="Q411" s="470"/>
      <c r="R411" s="469"/>
      <c r="S411" s="469"/>
      <c r="T411" s="470"/>
      <c r="U411" s="470"/>
      <c r="V411" s="470"/>
      <c r="W411" s="469"/>
      <c r="X411" s="469"/>
      <c r="Y411" s="469"/>
      <c r="Z411" s="470"/>
      <c r="AA411" s="469"/>
      <c r="AB411" s="469"/>
      <c r="AC411" s="469"/>
      <c r="AD411" s="469"/>
      <c r="AE411" s="472"/>
      <c r="AF411" s="472"/>
      <c r="AG411" s="486"/>
      <c r="AH411" s="486"/>
    </row>
    <row r="412" ht="15.75" customHeight="1">
      <c r="A412" s="344"/>
      <c r="B412" s="470"/>
      <c r="C412" s="469"/>
      <c r="D412" s="485"/>
      <c r="E412" s="469"/>
      <c r="F412" s="469"/>
      <c r="G412" s="470"/>
      <c r="H412" s="469"/>
      <c r="I412" s="470"/>
      <c r="J412" s="470"/>
      <c r="K412" s="344"/>
      <c r="L412" s="469"/>
      <c r="M412" s="469"/>
      <c r="N412" s="469"/>
      <c r="O412" s="469"/>
      <c r="P412" s="469"/>
      <c r="Q412" s="470"/>
      <c r="R412" s="469"/>
      <c r="S412" s="469"/>
      <c r="T412" s="470"/>
      <c r="U412" s="470"/>
      <c r="V412" s="470"/>
      <c r="W412" s="469"/>
      <c r="X412" s="469"/>
      <c r="Y412" s="469"/>
      <c r="Z412" s="470"/>
      <c r="AA412" s="469"/>
      <c r="AB412" s="469"/>
      <c r="AC412" s="469"/>
      <c r="AD412" s="469"/>
      <c r="AE412" s="472"/>
      <c r="AF412" s="472"/>
      <c r="AG412" s="486"/>
      <c r="AH412" s="486"/>
    </row>
    <row r="413" ht="15.75" customHeight="1">
      <c r="A413" s="344"/>
      <c r="B413" s="470"/>
      <c r="C413" s="469"/>
      <c r="D413" s="485"/>
      <c r="E413" s="469"/>
      <c r="F413" s="469"/>
      <c r="G413" s="470"/>
      <c r="H413" s="469"/>
      <c r="I413" s="470"/>
      <c r="J413" s="470"/>
      <c r="K413" s="344"/>
      <c r="L413" s="469"/>
      <c r="M413" s="469"/>
      <c r="N413" s="469"/>
      <c r="O413" s="469"/>
      <c r="P413" s="469"/>
      <c r="Q413" s="470"/>
      <c r="R413" s="469"/>
      <c r="S413" s="469"/>
      <c r="T413" s="470"/>
      <c r="U413" s="470"/>
      <c r="V413" s="470"/>
      <c r="W413" s="469"/>
      <c r="X413" s="469"/>
      <c r="Y413" s="469"/>
      <c r="Z413" s="470"/>
      <c r="AA413" s="469"/>
      <c r="AB413" s="469"/>
      <c r="AC413" s="469"/>
      <c r="AD413" s="469"/>
      <c r="AE413" s="472"/>
      <c r="AF413" s="472"/>
      <c r="AG413" s="486"/>
      <c r="AH413" s="486"/>
    </row>
    <row r="414" ht="15.75" customHeight="1">
      <c r="A414" s="344"/>
      <c r="B414" s="470"/>
      <c r="C414" s="469"/>
      <c r="D414" s="485"/>
      <c r="E414" s="469"/>
      <c r="F414" s="469"/>
      <c r="G414" s="470"/>
      <c r="H414" s="469"/>
      <c r="I414" s="470"/>
      <c r="J414" s="470"/>
      <c r="K414" s="344"/>
      <c r="L414" s="469"/>
      <c r="M414" s="469"/>
      <c r="N414" s="469"/>
      <c r="O414" s="469"/>
      <c r="P414" s="469"/>
      <c r="Q414" s="470"/>
      <c r="R414" s="469"/>
      <c r="S414" s="469"/>
      <c r="T414" s="470"/>
      <c r="U414" s="470"/>
      <c r="V414" s="470"/>
      <c r="W414" s="469"/>
      <c r="X414" s="469"/>
      <c r="Y414" s="469"/>
      <c r="Z414" s="470"/>
      <c r="AA414" s="469"/>
      <c r="AB414" s="469"/>
      <c r="AC414" s="469"/>
      <c r="AD414" s="469"/>
      <c r="AE414" s="472"/>
      <c r="AF414" s="472"/>
      <c r="AG414" s="486"/>
      <c r="AH414" s="486"/>
    </row>
    <row r="415" ht="15.75" customHeight="1">
      <c r="A415" s="344"/>
      <c r="B415" s="470"/>
      <c r="C415" s="469"/>
      <c r="D415" s="485"/>
      <c r="E415" s="469"/>
      <c r="F415" s="469"/>
      <c r="G415" s="470"/>
      <c r="H415" s="469"/>
      <c r="I415" s="470"/>
      <c r="J415" s="470"/>
      <c r="K415" s="344"/>
      <c r="L415" s="469"/>
      <c r="M415" s="469"/>
      <c r="N415" s="469"/>
      <c r="O415" s="469"/>
      <c r="P415" s="469"/>
      <c r="Q415" s="470"/>
      <c r="R415" s="469"/>
      <c r="S415" s="469"/>
      <c r="T415" s="470"/>
      <c r="U415" s="470"/>
      <c r="V415" s="470"/>
      <c r="W415" s="469"/>
      <c r="X415" s="469"/>
      <c r="Y415" s="469"/>
      <c r="Z415" s="470"/>
      <c r="AA415" s="469"/>
      <c r="AB415" s="469"/>
      <c r="AC415" s="469"/>
      <c r="AD415" s="469"/>
      <c r="AE415" s="472"/>
      <c r="AF415" s="472"/>
      <c r="AG415" s="486"/>
      <c r="AH415" s="486"/>
    </row>
    <row r="416" ht="15.75" customHeight="1">
      <c r="A416" s="344"/>
      <c r="B416" s="470"/>
      <c r="C416" s="469"/>
      <c r="D416" s="485"/>
      <c r="E416" s="469"/>
      <c r="F416" s="469"/>
      <c r="G416" s="470"/>
      <c r="H416" s="469"/>
      <c r="I416" s="470"/>
      <c r="J416" s="470"/>
      <c r="K416" s="344"/>
      <c r="L416" s="469"/>
      <c r="M416" s="469"/>
      <c r="N416" s="469"/>
      <c r="O416" s="469"/>
      <c r="P416" s="469"/>
      <c r="Q416" s="470"/>
      <c r="R416" s="469"/>
      <c r="S416" s="469"/>
      <c r="T416" s="470"/>
      <c r="U416" s="470"/>
      <c r="V416" s="470"/>
      <c r="W416" s="469"/>
      <c r="X416" s="469"/>
      <c r="Y416" s="469"/>
      <c r="Z416" s="470"/>
      <c r="AA416" s="469"/>
      <c r="AB416" s="469"/>
      <c r="AC416" s="469"/>
      <c r="AD416" s="469"/>
      <c r="AE416" s="472"/>
      <c r="AF416" s="472"/>
      <c r="AG416" s="486"/>
      <c r="AH416" s="486"/>
    </row>
    <row r="417" ht="15.75" customHeight="1">
      <c r="A417" s="344"/>
      <c r="B417" s="470"/>
      <c r="C417" s="469"/>
      <c r="D417" s="485"/>
      <c r="E417" s="469"/>
      <c r="F417" s="469"/>
      <c r="G417" s="470"/>
      <c r="H417" s="469"/>
      <c r="I417" s="470"/>
      <c r="J417" s="470"/>
      <c r="K417" s="344"/>
      <c r="L417" s="469"/>
      <c r="M417" s="469"/>
      <c r="N417" s="469"/>
      <c r="O417" s="469"/>
      <c r="P417" s="469"/>
      <c r="Q417" s="470"/>
      <c r="R417" s="469"/>
      <c r="S417" s="469"/>
      <c r="T417" s="470"/>
      <c r="U417" s="470"/>
      <c r="V417" s="470"/>
      <c r="W417" s="469"/>
      <c r="X417" s="469"/>
      <c r="Y417" s="469"/>
      <c r="Z417" s="470"/>
      <c r="AA417" s="469"/>
      <c r="AB417" s="469"/>
      <c r="AC417" s="469"/>
      <c r="AD417" s="469"/>
      <c r="AE417" s="472"/>
      <c r="AF417" s="472"/>
      <c r="AG417" s="486"/>
      <c r="AH417" s="486"/>
    </row>
    <row r="418" ht="15.75" customHeight="1">
      <c r="A418" s="344"/>
      <c r="B418" s="470"/>
      <c r="C418" s="469"/>
      <c r="D418" s="485"/>
      <c r="E418" s="469"/>
      <c r="F418" s="469"/>
      <c r="G418" s="470"/>
      <c r="H418" s="469"/>
      <c r="I418" s="470"/>
      <c r="J418" s="470"/>
      <c r="K418" s="344"/>
      <c r="L418" s="469"/>
      <c r="M418" s="469"/>
      <c r="N418" s="469"/>
      <c r="O418" s="469"/>
      <c r="P418" s="469"/>
      <c r="Q418" s="470"/>
      <c r="R418" s="469"/>
      <c r="S418" s="469"/>
      <c r="T418" s="470"/>
      <c r="U418" s="470"/>
      <c r="V418" s="470"/>
      <c r="W418" s="469"/>
      <c r="X418" s="469"/>
      <c r="Y418" s="469"/>
      <c r="Z418" s="470"/>
      <c r="AA418" s="469"/>
      <c r="AB418" s="469"/>
      <c r="AC418" s="469"/>
      <c r="AD418" s="469"/>
      <c r="AE418" s="472"/>
      <c r="AF418" s="472"/>
      <c r="AG418" s="486"/>
      <c r="AH418" s="486"/>
    </row>
    <row r="419" ht="15.75" customHeight="1">
      <c r="A419" s="344"/>
      <c r="B419" s="470"/>
      <c r="C419" s="469"/>
      <c r="D419" s="485"/>
      <c r="E419" s="469"/>
      <c r="F419" s="469"/>
      <c r="G419" s="470"/>
      <c r="H419" s="469"/>
      <c r="I419" s="470"/>
      <c r="J419" s="470"/>
      <c r="K419" s="344"/>
      <c r="L419" s="469"/>
      <c r="M419" s="469"/>
      <c r="N419" s="469"/>
      <c r="O419" s="469"/>
      <c r="P419" s="469"/>
      <c r="Q419" s="470"/>
      <c r="R419" s="469"/>
      <c r="S419" s="469"/>
      <c r="T419" s="470"/>
      <c r="U419" s="470"/>
      <c r="V419" s="470"/>
      <c r="W419" s="469"/>
      <c r="X419" s="469"/>
      <c r="Y419" s="469"/>
      <c r="Z419" s="470"/>
      <c r="AA419" s="469"/>
      <c r="AB419" s="469"/>
      <c r="AC419" s="469"/>
      <c r="AD419" s="469"/>
      <c r="AE419" s="472"/>
      <c r="AF419" s="472"/>
      <c r="AG419" s="486"/>
      <c r="AH419" s="486"/>
    </row>
    <row r="420" ht="15.75" customHeight="1">
      <c r="A420" s="344"/>
      <c r="B420" s="470"/>
      <c r="C420" s="469"/>
      <c r="D420" s="485"/>
      <c r="E420" s="469"/>
      <c r="F420" s="469"/>
      <c r="G420" s="470"/>
      <c r="H420" s="469"/>
      <c r="I420" s="470"/>
      <c r="J420" s="470"/>
      <c r="K420" s="344"/>
      <c r="L420" s="469"/>
      <c r="M420" s="469"/>
      <c r="N420" s="469"/>
      <c r="O420" s="469"/>
      <c r="P420" s="469"/>
      <c r="Q420" s="470"/>
      <c r="R420" s="469"/>
      <c r="S420" s="469"/>
      <c r="T420" s="470"/>
      <c r="U420" s="470"/>
      <c r="V420" s="470"/>
      <c r="W420" s="469"/>
      <c r="X420" s="469"/>
      <c r="Y420" s="469"/>
      <c r="Z420" s="470"/>
      <c r="AA420" s="469"/>
      <c r="AB420" s="469"/>
      <c r="AC420" s="469"/>
      <c r="AD420" s="469"/>
      <c r="AE420" s="472"/>
      <c r="AF420" s="472"/>
      <c r="AG420" s="486"/>
      <c r="AH420" s="486"/>
    </row>
    <row r="421" ht="15.75" customHeight="1">
      <c r="A421" s="344"/>
      <c r="B421" s="470"/>
      <c r="C421" s="469"/>
      <c r="D421" s="485"/>
      <c r="E421" s="469"/>
      <c r="F421" s="469"/>
      <c r="G421" s="470"/>
      <c r="H421" s="469"/>
      <c r="I421" s="470"/>
      <c r="J421" s="470"/>
      <c r="K421" s="344"/>
      <c r="L421" s="469"/>
      <c r="M421" s="469"/>
      <c r="N421" s="469"/>
      <c r="O421" s="469"/>
      <c r="P421" s="469"/>
      <c r="Q421" s="470"/>
      <c r="R421" s="469"/>
      <c r="S421" s="469"/>
      <c r="T421" s="470"/>
      <c r="U421" s="470"/>
      <c r="V421" s="470"/>
      <c r="W421" s="469"/>
      <c r="X421" s="469"/>
      <c r="Y421" s="469"/>
      <c r="Z421" s="470"/>
      <c r="AA421" s="469"/>
      <c r="AB421" s="469"/>
      <c r="AC421" s="469"/>
      <c r="AD421" s="469"/>
      <c r="AE421" s="472"/>
      <c r="AF421" s="472"/>
      <c r="AG421" s="486"/>
      <c r="AH421" s="486"/>
    </row>
    <row r="422" ht="15.75" customHeight="1">
      <c r="A422" s="344"/>
      <c r="B422" s="470"/>
      <c r="C422" s="469"/>
      <c r="D422" s="485"/>
      <c r="E422" s="469"/>
      <c r="F422" s="469"/>
      <c r="G422" s="470"/>
      <c r="H422" s="469"/>
      <c r="I422" s="470"/>
      <c r="J422" s="470"/>
      <c r="K422" s="344"/>
      <c r="L422" s="469"/>
      <c r="M422" s="469"/>
      <c r="N422" s="469"/>
      <c r="O422" s="469"/>
      <c r="P422" s="469"/>
      <c r="Q422" s="470"/>
      <c r="R422" s="469"/>
      <c r="S422" s="469"/>
      <c r="T422" s="470"/>
      <c r="U422" s="470"/>
      <c r="V422" s="470"/>
      <c r="W422" s="469"/>
      <c r="X422" s="469"/>
      <c r="Y422" s="469"/>
      <c r="Z422" s="470"/>
      <c r="AA422" s="469"/>
      <c r="AB422" s="469"/>
      <c r="AC422" s="469"/>
      <c r="AD422" s="469"/>
      <c r="AE422" s="472"/>
      <c r="AF422" s="472"/>
      <c r="AG422" s="486"/>
      <c r="AH422" s="486"/>
    </row>
    <row r="423" ht="15.75" customHeight="1">
      <c r="A423" s="344"/>
      <c r="B423" s="470"/>
      <c r="C423" s="469"/>
      <c r="D423" s="485"/>
      <c r="E423" s="469"/>
      <c r="F423" s="469"/>
      <c r="G423" s="470"/>
      <c r="H423" s="469"/>
      <c r="I423" s="470"/>
      <c r="J423" s="470"/>
      <c r="K423" s="344"/>
      <c r="L423" s="469"/>
      <c r="M423" s="469"/>
      <c r="N423" s="469"/>
      <c r="O423" s="469"/>
      <c r="P423" s="469"/>
      <c r="Q423" s="470"/>
      <c r="R423" s="469"/>
      <c r="S423" s="469"/>
      <c r="T423" s="470"/>
      <c r="U423" s="470"/>
      <c r="V423" s="470"/>
      <c r="W423" s="469"/>
      <c r="X423" s="469"/>
      <c r="Y423" s="469"/>
      <c r="Z423" s="470"/>
      <c r="AA423" s="469"/>
      <c r="AB423" s="469"/>
      <c r="AC423" s="469"/>
      <c r="AD423" s="469"/>
      <c r="AE423" s="472"/>
      <c r="AF423" s="472"/>
      <c r="AG423" s="486"/>
      <c r="AH423" s="486"/>
    </row>
    <row r="424" ht="15.75" customHeight="1">
      <c r="A424" s="344"/>
      <c r="B424" s="470"/>
      <c r="C424" s="469"/>
      <c r="D424" s="485"/>
      <c r="E424" s="469"/>
      <c r="F424" s="469"/>
      <c r="G424" s="470"/>
      <c r="H424" s="469"/>
      <c r="I424" s="470"/>
      <c r="J424" s="470"/>
      <c r="K424" s="344"/>
      <c r="L424" s="469"/>
      <c r="M424" s="469"/>
      <c r="N424" s="469"/>
      <c r="O424" s="469"/>
      <c r="P424" s="469"/>
      <c r="Q424" s="470"/>
      <c r="R424" s="469"/>
      <c r="S424" s="469"/>
      <c r="T424" s="470"/>
      <c r="U424" s="470"/>
      <c r="V424" s="470"/>
      <c r="W424" s="469"/>
      <c r="X424" s="469"/>
      <c r="Y424" s="469"/>
      <c r="Z424" s="470"/>
      <c r="AA424" s="469"/>
      <c r="AB424" s="469"/>
      <c r="AC424" s="469"/>
      <c r="AD424" s="469"/>
      <c r="AE424" s="472"/>
      <c r="AF424" s="472"/>
      <c r="AG424" s="486"/>
      <c r="AH424" s="486"/>
    </row>
    <row r="425" ht="15.75" customHeight="1">
      <c r="A425" s="344"/>
      <c r="B425" s="470"/>
      <c r="C425" s="469"/>
      <c r="D425" s="485"/>
      <c r="E425" s="469"/>
      <c r="F425" s="469"/>
      <c r="G425" s="470"/>
      <c r="H425" s="469"/>
      <c r="I425" s="470"/>
      <c r="J425" s="470"/>
      <c r="K425" s="344"/>
      <c r="L425" s="469"/>
      <c r="M425" s="469"/>
      <c r="N425" s="469"/>
      <c r="O425" s="469"/>
      <c r="P425" s="469"/>
      <c r="Q425" s="470"/>
      <c r="R425" s="469"/>
      <c r="S425" s="469"/>
      <c r="T425" s="470"/>
      <c r="U425" s="470"/>
      <c r="V425" s="470"/>
      <c r="W425" s="469"/>
      <c r="X425" s="469"/>
      <c r="Y425" s="469"/>
      <c r="Z425" s="470"/>
      <c r="AA425" s="469"/>
      <c r="AB425" s="469"/>
      <c r="AC425" s="469"/>
      <c r="AD425" s="469"/>
      <c r="AE425" s="472"/>
      <c r="AF425" s="472"/>
      <c r="AG425" s="486"/>
      <c r="AH425" s="486"/>
    </row>
    <row r="426" ht="15.75" customHeight="1">
      <c r="A426" s="344"/>
      <c r="B426" s="470"/>
      <c r="C426" s="469"/>
      <c r="D426" s="485"/>
      <c r="E426" s="469"/>
      <c r="F426" s="469"/>
      <c r="G426" s="470"/>
      <c r="H426" s="469"/>
      <c r="I426" s="470"/>
      <c r="J426" s="470"/>
      <c r="K426" s="344"/>
      <c r="L426" s="469"/>
      <c r="M426" s="469"/>
      <c r="N426" s="469"/>
      <c r="O426" s="469"/>
      <c r="P426" s="469"/>
      <c r="Q426" s="470"/>
      <c r="R426" s="469"/>
      <c r="S426" s="469"/>
      <c r="T426" s="470"/>
      <c r="U426" s="470"/>
      <c r="V426" s="470"/>
      <c r="W426" s="469"/>
      <c r="X426" s="469"/>
      <c r="Y426" s="469"/>
      <c r="Z426" s="470"/>
      <c r="AA426" s="469"/>
      <c r="AB426" s="469"/>
      <c r="AC426" s="469"/>
      <c r="AD426" s="469"/>
      <c r="AE426" s="472"/>
      <c r="AF426" s="472"/>
      <c r="AG426" s="486"/>
      <c r="AH426" s="486"/>
    </row>
    <row r="427" ht="15.75" customHeight="1">
      <c r="A427" s="344"/>
      <c r="B427" s="470"/>
      <c r="C427" s="469"/>
      <c r="D427" s="485"/>
      <c r="E427" s="469"/>
      <c r="F427" s="469"/>
      <c r="G427" s="470"/>
      <c r="H427" s="469"/>
      <c r="I427" s="470"/>
      <c r="J427" s="470"/>
      <c r="K427" s="344"/>
      <c r="L427" s="469"/>
      <c r="M427" s="469"/>
      <c r="N427" s="469"/>
      <c r="O427" s="469"/>
      <c r="P427" s="469"/>
      <c r="Q427" s="470"/>
      <c r="R427" s="469"/>
      <c r="S427" s="469"/>
      <c r="T427" s="470"/>
      <c r="U427" s="470"/>
      <c r="V427" s="470"/>
      <c r="W427" s="469"/>
      <c r="X427" s="469"/>
      <c r="Y427" s="469"/>
      <c r="Z427" s="470"/>
      <c r="AA427" s="469"/>
      <c r="AB427" s="469"/>
      <c r="AC427" s="469"/>
      <c r="AD427" s="469"/>
      <c r="AE427" s="472"/>
      <c r="AF427" s="472"/>
      <c r="AG427" s="486"/>
      <c r="AH427" s="486"/>
    </row>
    <row r="428" ht="15.75" customHeight="1">
      <c r="A428" s="344"/>
      <c r="B428" s="470"/>
      <c r="C428" s="469"/>
      <c r="D428" s="485"/>
      <c r="E428" s="469"/>
      <c r="F428" s="469"/>
      <c r="G428" s="470"/>
      <c r="H428" s="469"/>
      <c r="I428" s="470"/>
      <c r="J428" s="470"/>
      <c r="K428" s="344"/>
      <c r="L428" s="469"/>
      <c r="M428" s="469"/>
      <c r="N428" s="469"/>
      <c r="O428" s="469"/>
      <c r="P428" s="469"/>
      <c r="Q428" s="470"/>
      <c r="R428" s="469"/>
      <c r="S428" s="469"/>
      <c r="T428" s="470"/>
      <c r="U428" s="470"/>
      <c r="V428" s="470"/>
      <c r="W428" s="469"/>
      <c r="X428" s="469"/>
      <c r="Y428" s="469"/>
      <c r="Z428" s="470"/>
      <c r="AA428" s="469"/>
      <c r="AB428" s="469"/>
      <c r="AC428" s="469"/>
      <c r="AD428" s="469"/>
      <c r="AE428" s="472"/>
      <c r="AF428" s="472"/>
      <c r="AG428" s="486"/>
      <c r="AH428" s="486"/>
    </row>
    <row r="429" ht="15.75" customHeight="1">
      <c r="A429" s="344"/>
      <c r="B429" s="470"/>
      <c r="C429" s="469"/>
      <c r="D429" s="485"/>
      <c r="E429" s="469"/>
      <c r="F429" s="469"/>
      <c r="G429" s="470"/>
      <c r="H429" s="469"/>
      <c r="I429" s="470"/>
      <c r="J429" s="470"/>
      <c r="K429" s="344"/>
      <c r="L429" s="469"/>
      <c r="M429" s="469"/>
      <c r="N429" s="469"/>
      <c r="O429" s="469"/>
      <c r="P429" s="469"/>
      <c r="Q429" s="470"/>
      <c r="R429" s="469"/>
      <c r="S429" s="469"/>
      <c r="T429" s="470"/>
      <c r="U429" s="470"/>
      <c r="V429" s="470"/>
      <c r="W429" s="469"/>
      <c r="X429" s="469"/>
      <c r="Y429" s="469"/>
      <c r="Z429" s="470"/>
      <c r="AA429" s="469"/>
      <c r="AB429" s="469"/>
      <c r="AC429" s="469"/>
      <c r="AD429" s="469"/>
      <c r="AE429" s="472"/>
      <c r="AF429" s="472"/>
      <c r="AG429" s="486"/>
      <c r="AH429" s="486"/>
    </row>
    <row r="430" ht="15.75" customHeight="1">
      <c r="A430" s="344"/>
      <c r="B430" s="470"/>
      <c r="C430" s="469"/>
      <c r="D430" s="485"/>
      <c r="E430" s="469"/>
      <c r="F430" s="469"/>
      <c r="G430" s="470"/>
      <c r="H430" s="469"/>
      <c r="I430" s="470"/>
      <c r="J430" s="470"/>
      <c r="K430" s="344"/>
      <c r="L430" s="469"/>
      <c r="M430" s="469"/>
      <c r="N430" s="469"/>
      <c r="O430" s="469"/>
      <c r="P430" s="469"/>
      <c r="Q430" s="470"/>
      <c r="R430" s="469"/>
      <c r="S430" s="469"/>
      <c r="T430" s="470"/>
      <c r="U430" s="470"/>
      <c r="V430" s="470"/>
      <c r="W430" s="469"/>
      <c r="X430" s="469"/>
      <c r="Y430" s="469"/>
      <c r="Z430" s="470"/>
      <c r="AA430" s="469"/>
      <c r="AB430" s="469"/>
      <c r="AC430" s="469"/>
      <c r="AD430" s="469"/>
      <c r="AE430" s="472"/>
      <c r="AF430" s="472"/>
      <c r="AG430" s="486"/>
      <c r="AH430" s="486"/>
    </row>
    <row r="431" ht="15.75" customHeight="1">
      <c r="A431" s="344"/>
      <c r="B431" s="470"/>
      <c r="C431" s="469"/>
      <c r="D431" s="485"/>
      <c r="E431" s="469"/>
      <c r="F431" s="469"/>
      <c r="G431" s="470"/>
      <c r="H431" s="469"/>
      <c r="I431" s="470"/>
      <c r="J431" s="470"/>
      <c r="K431" s="344"/>
      <c r="L431" s="469"/>
      <c r="M431" s="469"/>
      <c r="N431" s="469"/>
      <c r="O431" s="469"/>
      <c r="P431" s="469"/>
      <c r="Q431" s="470"/>
      <c r="R431" s="469"/>
      <c r="S431" s="469"/>
      <c r="T431" s="470"/>
      <c r="U431" s="470"/>
      <c r="V431" s="470"/>
      <c r="W431" s="469"/>
      <c r="X431" s="469"/>
      <c r="Y431" s="469"/>
      <c r="Z431" s="470"/>
      <c r="AA431" s="469"/>
      <c r="AB431" s="469"/>
      <c r="AC431" s="469"/>
      <c r="AD431" s="469"/>
      <c r="AE431" s="472"/>
      <c r="AF431" s="472"/>
      <c r="AG431" s="486"/>
      <c r="AH431" s="486"/>
    </row>
    <row r="432" ht="15.75" customHeight="1">
      <c r="A432" s="344"/>
      <c r="B432" s="470"/>
      <c r="C432" s="469"/>
      <c r="D432" s="485"/>
      <c r="E432" s="469"/>
      <c r="F432" s="469"/>
      <c r="G432" s="470"/>
      <c r="H432" s="469"/>
      <c r="I432" s="470"/>
      <c r="J432" s="470"/>
      <c r="K432" s="344"/>
      <c r="L432" s="469"/>
      <c r="M432" s="469"/>
      <c r="N432" s="469"/>
      <c r="O432" s="469"/>
      <c r="P432" s="469"/>
      <c r="Q432" s="470"/>
      <c r="R432" s="469"/>
      <c r="S432" s="469"/>
      <c r="T432" s="470"/>
      <c r="U432" s="470"/>
      <c r="V432" s="470"/>
      <c r="W432" s="469"/>
      <c r="X432" s="469"/>
      <c r="Y432" s="469"/>
      <c r="Z432" s="470"/>
      <c r="AA432" s="469"/>
      <c r="AB432" s="469"/>
      <c r="AC432" s="469"/>
      <c r="AD432" s="469"/>
      <c r="AE432" s="472"/>
      <c r="AF432" s="472"/>
      <c r="AG432" s="486"/>
      <c r="AH432" s="486"/>
    </row>
    <row r="433" ht="15.75" customHeight="1">
      <c r="A433" s="344"/>
      <c r="B433" s="470"/>
      <c r="C433" s="469"/>
      <c r="D433" s="485"/>
      <c r="E433" s="469"/>
      <c r="F433" s="469"/>
      <c r="G433" s="470"/>
      <c r="H433" s="469"/>
      <c r="I433" s="470"/>
      <c r="J433" s="470"/>
      <c r="K433" s="344"/>
      <c r="L433" s="469"/>
      <c r="M433" s="469"/>
      <c r="N433" s="469"/>
      <c r="O433" s="469"/>
      <c r="P433" s="469"/>
      <c r="Q433" s="470"/>
      <c r="R433" s="469"/>
      <c r="S433" s="469"/>
      <c r="T433" s="470"/>
      <c r="U433" s="470"/>
      <c r="V433" s="470"/>
      <c r="W433" s="469"/>
      <c r="X433" s="469"/>
      <c r="Y433" s="469"/>
      <c r="Z433" s="470"/>
      <c r="AA433" s="469"/>
      <c r="AB433" s="469"/>
      <c r="AC433" s="469"/>
      <c r="AD433" s="469"/>
      <c r="AE433" s="472"/>
      <c r="AF433" s="472"/>
      <c r="AG433" s="486"/>
      <c r="AH433" s="486"/>
    </row>
    <row r="434" ht="15.75" customHeight="1">
      <c r="A434" s="344"/>
      <c r="B434" s="470"/>
      <c r="C434" s="469"/>
      <c r="D434" s="485"/>
      <c r="E434" s="469"/>
      <c r="F434" s="469"/>
      <c r="G434" s="470"/>
      <c r="H434" s="469"/>
      <c r="I434" s="470"/>
      <c r="J434" s="470"/>
      <c r="K434" s="344"/>
      <c r="L434" s="469"/>
      <c r="M434" s="469"/>
      <c r="N434" s="469"/>
      <c r="O434" s="469"/>
      <c r="P434" s="469"/>
      <c r="Q434" s="470"/>
      <c r="R434" s="469"/>
      <c r="S434" s="469"/>
      <c r="T434" s="470"/>
      <c r="U434" s="470"/>
      <c r="V434" s="470"/>
      <c r="W434" s="469"/>
      <c r="X434" s="469"/>
      <c r="Y434" s="469"/>
      <c r="Z434" s="470"/>
      <c r="AA434" s="469"/>
      <c r="AB434" s="469"/>
      <c r="AC434" s="469"/>
      <c r="AD434" s="469"/>
      <c r="AE434" s="472"/>
      <c r="AF434" s="472"/>
      <c r="AG434" s="486"/>
      <c r="AH434" s="486"/>
    </row>
    <row r="435" ht="15.75" customHeight="1">
      <c r="A435" s="344"/>
      <c r="B435" s="470"/>
      <c r="C435" s="469"/>
      <c r="D435" s="485"/>
      <c r="E435" s="469"/>
      <c r="F435" s="469"/>
      <c r="G435" s="470"/>
      <c r="H435" s="469"/>
      <c r="I435" s="470"/>
      <c r="J435" s="470"/>
      <c r="K435" s="344"/>
      <c r="L435" s="469"/>
      <c r="M435" s="469"/>
      <c r="N435" s="469"/>
      <c r="O435" s="469"/>
      <c r="P435" s="469"/>
      <c r="Q435" s="470"/>
      <c r="R435" s="469"/>
      <c r="S435" s="469"/>
      <c r="T435" s="470"/>
      <c r="U435" s="470"/>
      <c r="V435" s="470"/>
      <c r="W435" s="469"/>
      <c r="X435" s="469"/>
      <c r="Y435" s="469"/>
      <c r="Z435" s="470"/>
      <c r="AA435" s="469"/>
      <c r="AB435" s="469"/>
      <c r="AC435" s="469"/>
      <c r="AD435" s="469"/>
      <c r="AE435" s="472"/>
      <c r="AF435" s="472"/>
      <c r="AG435" s="486"/>
      <c r="AH435" s="486"/>
    </row>
    <row r="436" ht="15.75" customHeight="1">
      <c r="A436" s="344"/>
      <c r="B436" s="470"/>
      <c r="C436" s="469"/>
      <c r="D436" s="485"/>
      <c r="E436" s="469"/>
      <c r="F436" s="469"/>
      <c r="G436" s="470"/>
      <c r="H436" s="469"/>
      <c r="I436" s="470"/>
      <c r="J436" s="470"/>
      <c r="K436" s="344"/>
      <c r="L436" s="469"/>
      <c r="M436" s="469"/>
      <c r="N436" s="469"/>
      <c r="O436" s="469"/>
      <c r="P436" s="469"/>
      <c r="Q436" s="470"/>
      <c r="R436" s="469"/>
      <c r="S436" s="469"/>
      <c r="T436" s="470"/>
      <c r="U436" s="470"/>
      <c r="V436" s="470"/>
      <c r="W436" s="469"/>
      <c r="X436" s="469"/>
      <c r="Y436" s="469"/>
      <c r="Z436" s="470"/>
      <c r="AA436" s="469"/>
      <c r="AB436" s="469"/>
      <c r="AC436" s="469"/>
      <c r="AD436" s="469"/>
      <c r="AE436" s="472"/>
      <c r="AF436" s="472"/>
      <c r="AG436" s="486"/>
      <c r="AH436" s="486"/>
    </row>
    <row r="437" ht="15.75" customHeight="1">
      <c r="A437" s="344"/>
      <c r="B437" s="470"/>
      <c r="C437" s="469"/>
      <c r="D437" s="485"/>
      <c r="E437" s="469"/>
      <c r="F437" s="469"/>
      <c r="G437" s="470"/>
      <c r="H437" s="469"/>
      <c r="I437" s="470"/>
      <c r="J437" s="470"/>
      <c r="K437" s="344"/>
      <c r="L437" s="469"/>
      <c r="M437" s="469"/>
      <c r="N437" s="469"/>
      <c r="O437" s="469"/>
      <c r="P437" s="469"/>
      <c r="Q437" s="470"/>
      <c r="R437" s="469"/>
      <c r="S437" s="469"/>
      <c r="T437" s="470"/>
      <c r="U437" s="470"/>
      <c r="V437" s="470"/>
      <c r="W437" s="469"/>
      <c r="X437" s="469"/>
      <c r="Y437" s="469"/>
      <c r="Z437" s="470"/>
      <c r="AA437" s="469"/>
      <c r="AB437" s="469"/>
      <c r="AC437" s="469"/>
      <c r="AD437" s="469"/>
      <c r="AE437" s="472"/>
      <c r="AF437" s="472"/>
      <c r="AG437" s="486"/>
      <c r="AH437" s="486"/>
    </row>
    <row r="438" ht="15.75" customHeight="1">
      <c r="A438" s="344"/>
      <c r="B438" s="470"/>
      <c r="C438" s="469"/>
      <c r="D438" s="485"/>
      <c r="E438" s="469"/>
      <c r="F438" s="469"/>
      <c r="G438" s="470"/>
      <c r="H438" s="469"/>
      <c r="I438" s="470"/>
      <c r="J438" s="470"/>
      <c r="K438" s="344"/>
      <c r="L438" s="469"/>
      <c r="M438" s="469"/>
      <c r="N438" s="469"/>
      <c r="O438" s="469"/>
      <c r="P438" s="469"/>
      <c r="Q438" s="470"/>
      <c r="R438" s="469"/>
      <c r="S438" s="469"/>
      <c r="T438" s="470"/>
      <c r="U438" s="470"/>
      <c r="V438" s="470"/>
      <c r="W438" s="469"/>
      <c r="X438" s="469"/>
      <c r="Y438" s="469"/>
      <c r="Z438" s="470"/>
      <c r="AA438" s="469"/>
      <c r="AB438" s="469"/>
      <c r="AC438" s="469"/>
      <c r="AD438" s="469"/>
      <c r="AE438" s="472"/>
      <c r="AF438" s="472"/>
      <c r="AG438" s="486"/>
      <c r="AH438" s="486"/>
    </row>
    <row r="439" ht="15.75" customHeight="1">
      <c r="A439" s="344"/>
      <c r="B439" s="470"/>
      <c r="C439" s="469"/>
      <c r="D439" s="485"/>
      <c r="E439" s="469"/>
      <c r="F439" s="469"/>
      <c r="G439" s="470"/>
      <c r="H439" s="469"/>
      <c r="I439" s="470"/>
      <c r="J439" s="470"/>
      <c r="K439" s="344"/>
      <c r="L439" s="469"/>
      <c r="M439" s="469"/>
      <c r="N439" s="469"/>
      <c r="O439" s="469"/>
      <c r="P439" s="469"/>
      <c r="Q439" s="470"/>
      <c r="R439" s="469"/>
      <c r="S439" s="469"/>
      <c r="T439" s="470"/>
      <c r="U439" s="470"/>
      <c r="V439" s="470"/>
      <c r="W439" s="469"/>
      <c r="X439" s="469"/>
      <c r="Y439" s="469"/>
      <c r="Z439" s="470"/>
      <c r="AA439" s="469"/>
      <c r="AB439" s="469"/>
      <c r="AC439" s="469"/>
      <c r="AD439" s="469"/>
      <c r="AE439" s="472"/>
      <c r="AF439" s="472"/>
      <c r="AG439" s="486"/>
      <c r="AH439" s="486"/>
    </row>
    <row r="440" ht="15.75" customHeight="1">
      <c r="A440" s="344"/>
      <c r="B440" s="470"/>
      <c r="C440" s="469"/>
      <c r="D440" s="485"/>
      <c r="E440" s="469"/>
      <c r="F440" s="469"/>
      <c r="G440" s="470"/>
      <c r="H440" s="469"/>
      <c r="I440" s="470"/>
      <c r="J440" s="470"/>
      <c r="K440" s="344"/>
      <c r="L440" s="469"/>
      <c r="M440" s="469"/>
      <c r="N440" s="469"/>
      <c r="O440" s="469"/>
      <c r="P440" s="469"/>
      <c r="Q440" s="470"/>
      <c r="R440" s="469"/>
      <c r="S440" s="469"/>
      <c r="T440" s="470"/>
      <c r="U440" s="470"/>
      <c r="V440" s="470"/>
      <c r="W440" s="469"/>
      <c r="X440" s="469"/>
      <c r="Y440" s="469"/>
      <c r="Z440" s="470"/>
      <c r="AA440" s="469"/>
      <c r="AB440" s="469"/>
      <c r="AC440" s="469"/>
      <c r="AD440" s="469"/>
      <c r="AE440" s="472"/>
      <c r="AF440" s="472"/>
      <c r="AG440" s="486"/>
      <c r="AH440" s="486"/>
    </row>
    <row r="441" ht="15.75" customHeight="1">
      <c r="A441" s="344"/>
      <c r="B441" s="470"/>
      <c r="C441" s="469"/>
      <c r="D441" s="485"/>
      <c r="E441" s="469"/>
      <c r="F441" s="469"/>
      <c r="G441" s="470"/>
      <c r="H441" s="469"/>
      <c r="I441" s="470"/>
      <c r="J441" s="470"/>
      <c r="K441" s="344"/>
      <c r="L441" s="469"/>
      <c r="M441" s="469"/>
      <c r="N441" s="469"/>
      <c r="O441" s="469"/>
      <c r="P441" s="469"/>
      <c r="Q441" s="470"/>
      <c r="R441" s="469"/>
      <c r="S441" s="469"/>
      <c r="T441" s="470"/>
      <c r="U441" s="470"/>
      <c r="V441" s="470"/>
      <c r="W441" s="469"/>
      <c r="X441" s="469"/>
      <c r="Y441" s="469"/>
      <c r="Z441" s="470"/>
      <c r="AA441" s="469"/>
      <c r="AB441" s="469"/>
      <c r="AC441" s="469"/>
      <c r="AD441" s="469"/>
      <c r="AE441" s="472"/>
      <c r="AF441" s="472"/>
      <c r="AG441" s="486"/>
      <c r="AH441" s="486"/>
    </row>
    <row r="442" ht="15.75" customHeight="1">
      <c r="A442" s="344"/>
      <c r="B442" s="470"/>
      <c r="C442" s="469"/>
      <c r="D442" s="485"/>
      <c r="E442" s="469"/>
      <c r="F442" s="469"/>
      <c r="G442" s="470"/>
      <c r="H442" s="469"/>
      <c r="I442" s="470"/>
      <c r="J442" s="470"/>
      <c r="K442" s="344"/>
      <c r="L442" s="469"/>
      <c r="M442" s="469"/>
      <c r="N442" s="469"/>
      <c r="O442" s="469"/>
      <c r="P442" s="469"/>
      <c r="Q442" s="470"/>
      <c r="R442" s="469"/>
      <c r="S442" s="469"/>
      <c r="T442" s="470"/>
      <c r="U442" s="470"/>
      <c r="V442" s="470"/>
      <c r="W442" s="469"/>
      <c r="X442" s="469"/>
      <c r="Y442" s="469"/>
      <c r="Z442" s="470"/>
      <c r="AA442" s="469"/>
      <c r="AB442" s="469"/>
      <c r="AC442" s="469"/>
      <c r="AD442" s="469"/>
      <c r="AE442" s="472"/>
      <c r="AF442" s="472"/>
      <c r="AG442" s="486"/>
      <c r="AH442" s="486"/>
    </row>
    <row r="443" ht="15.75" customHeight="1">
      <c r="A443" s="344"/>
      <c r="B443" s="470"/>
      <c r="C443" s="469"/>
      <c r="D443" s="485"/>
      <c r="E443" s="469"/>
      <c r="F443" s="469"/>
      <c r="G443" s="470"/>
      <c r="H443" s="469"/>
      <c r="I443" s="470"/>
      <c r="J443" s="470"/>
      <c r="K443" s="344"/>
      <c r="L443" s="469"/>
      <c r="M443" s="469"/>
      <c r="N443" s="469"/>
      <c r="O443" s="469"/>
      <c r="P443" s="469"/>
      <c r="Q443" s="470"/>
      <c r="R443" s="469"/>
      <c r="S443" s="469"/>
      <c r="T443" s="470"/>
      <c r="U443" s="470"/>
      <c r="V443" s="470"/>
      <c r="W443" s="469"/>
      <c r="X443" s="469"/>
      <c r="Y443" s="469"/>
      <c r="Z443" s="470"/>
      <c r="AA443" s="469"/>
      <c r="AB443" s="469"/>
      <c r="AC443" s="469"/>
      <c r="AD443" s="469"/>
      <c r="AE443" s="472"/>
      <c r="AF443" s="472"/>
      <c r="AG443" s="486"/>
      <c r="AH443" s="486"/>
    </row>
    <row r="444" ht="15.75" customHeight="1">
      <c r="A444" s="344"/>
      <c r="B444" s="470"/>
      <c r="C444" s="469"/>
      <c r="D444" s="485"/>
      <c r="E444" s="469"/>
      <c r="F444" s="469"/>
      <c r="G444" s="470"/>
      <c r="H444" s="469"/>
      <c r="I444" s="470"/>
      <c r="J444" s="470"/>
      <c r="K444" s="344"/>
      <c r="L444" s="469"/>
      <c r="M444" s="469"/>
      <c r="N444" s="469"/>
      <c r="O444" s="469"/>
      <c r="P444" s="469"/>
      <c r="Q444" s="470"/>
      <c r="R444" s="469"/>
      <c r="S444" s="469"/>
      <c r="T444" s="470"/>
      <c r="U444" s="470"/>
      <c r="V444" s="470"/>
      <c r="W444" s="469"/>
      <c r="X444" s="469"/>
      <c r="Y444" s="469"/>
      <c r="Z444" s="470"/>
      <c r="AA444" s="469"/>
      <c r="AB444" s="469"/>
      <c r="AC444" s="469"/>
      <c r="AD444" s="469"/>
      <c r="AE444" s="472"/>
      <c r="AF444" s="472"/>
      <c r="AG444" s="486"/>
      <c r="AH444" s="486"/>
    </row>
    <row r="445" ht="15.75" customHeight="1">
      <c r="A445" s="344"/>
      <c r="B445" s="470"/>
      <c r="C445" s="469"/>
      <c r="D445" s="485"/>
      <c r="E445" s="469"/>
      <c r="F445" s="469"/>
      <c r="G445" s="470"/>
      <c r="H445" s="469"/>
      <c r="I445" s="470"/>
      <c r="J445" s="470"/>
      <c r="K445" s="344"/>
      <c r="L445" s="469"/>
      <c r="M445" s="469"/>
      <c r="N445" s="469"/>
      <c r="O445" s="469"/>
      <c r="P445" s="469"/>
      <c r="Q445" s="470"/>
      <c r="R445" s="469"/>
      <c r="S445" s="469"/>
      <c r="T445" s="470"/>
      <c r="U445" s="470"/>
      <c r="V445" s="470"/>
      <c r="W445" s="469"/>
      <c r="X445" s="469"/>
      <c r="Y445" s="469"/>
      <c r="Z445" s="470"/>
      <c r="AA445" s="469"/>
      <c r="AB445" s="469"/>
      <c r="AC445" s="469"/>
      <c r="AD445" s="469"/>
      <c r="AE445" s="472"/>
      <c r="AF445" s="472"/>
      <c r="AG445" s="486"/>
      <c r="AH445" s="486"/>
    </row>
    <row r="446" ht="15.75" customHeight="1">
      <c r="A446" s="344"/>
      <c r="B446" s="470"/>
      <c r="C446" s="469"/>
      <c r="D446" s="485"/>
      <c r="E446" s="469"/>
      <c r="F446" s="469"/>
      <c r="G446" s="470"/>
      <c r="H446" s="469"/>
      <c r="I446" s="470"/>
      <c r="J446" s="470"/>
      <c r="K446" s="344"/>
      <c r="L446" s="469"/>
      <c r="M446" s="469"/>
      <c r="N446" s="469"/>
      <c r="O446" s="469"/>
      <c r="P446" s="469"/>
      <c r="Q446" s="470"/>
      <c r="R446" s="469"/>
      <c r="S446" s="469"/>
      <c r="T446" s="470"/>
      <c r="U446" s="470"/>
      <c r="V446" s="470"/>
      <c r="W446" s="469"/>
      <c r="X446" s="469"/>
      <c r="Y446" s="469"/>
      <c r="Z446" s="470"/>
      <c r="AA446" s="469"/>
      <c r="AB446" s="469"/>
      <c r="AC446" s="469"/>
      <c r="AD446" s="469"/>
      <c r="AE446" s="472"/>
      <c r="AF446" s="472"/>
      <c r="AG446" s="486"/>
      <c r="AH446" s="486"/>
    </row>
    <row r="447" ht="15.75" customHeight="1">
      <c r="A447" s="344"/>
      <c r="B447" s="470"/>
      <c r="C447" s="469"/>
      <c r="D447" s="485"/>
      <c r="E447" s="469"/>
      <c r="F447" s="469"/>
      <c r="G447" s="470"/>
      <c r="H447" s="469"/>
      <c r="I447" s="470"/>
      <c r="J447" s="470"/>
      <c r="K447" s="344"/>
      <c r="L447" s="469"/>
      <c r="M447" s="469"/>
      <c r="N447" s="469"/>
      <c r="O447" s="469"/>
      <c r="P447" s="469"/>
      <c r="Q447" s="470"/>
      <c r="R447" s="469"/>
      <c r="S447" s="469"/>
      <c r="T447" s="470"/>
      <c r="U447" s="470"/>
      <c r="V447" s="470"/>
      <c r="W447" s="469"/>
      <c r="X447" s="469"/>
      <c r="Y447" s="469"/>
      <c r="Z447" s="470"/>
      <c r="AA447" s="469"/>
      <c r="AB447" s="469"/>
      <c r="AC447" s="469"/>
      <c r="AD447" s="469"/>
      <c r="AE447" s="472"/>
      <c r="AF447" s="472"/>
      <c r="AG447" s="486"/>
      <c r="AH447" s="486"/>
    </row>
    <row r="448" ht="15.75" customHeight="1">
      <c r="A448" s="344"/>
      <c r="B448" s="470"/>
      <c r="C448" s="469"/>
      <c r="D448" s="485"/>
      <c r="E448" s="469"/>
      <c r="F448" s="469"/>
      <c r="G448" s="470"/>
      <c r="H448" s="469"/>
      <c r="I448" s="470"/>
      <c r="J448" s="470"/>
      <c r="K448" s="344"/>
      <c r="L448" s="469"/>
      <c r="M448" s="469"/>
      <c r="N448" s="469"/>
      <c r="O448" s="469"/>
      <c r="P448" s="469"/>
      <c r="Q448" s="470"/>
      <c r="R448" s="469"/>
      <c r="S448" s="469"/>
      <c r="T448" s="470"/>
      <c r="U448" s="470"/>
      <c r="V448" s="470"/>
      <c r="W448" s="469"/>
      <c r="X448" s="469"/>
      <c r="Y448" s="469"/>
      <c r="Z448" s="470"/>
      <c r="AA448" s="469"/>
      <c r="AB448" s="469"/>
      <c r="AC448" s="469"/>
      <c r="AD448" s="469"/>
      <c r="AE448" s="472"/>
      <c r="AF448" s="472"/>
      <c r="AG448" s="486"/>
      <c r="AH448" s="486"/>
    </row>
    <row r="449" ht="15.75" customHeight="1">
      <c r="A449" s="344"/>
      <c r="B449" s="470"/>
      <c r="C449" s="469"/>
      <c r="D449" s="485"/>
      <c r="E449" s="469"/>
      <c r="F449" s="469"/>
      <c r="G449" s="470"/>
      <c r="H449" s="469"/>
      <c r="I449" s="470"/>
      <c r="J449" s="470"/>
      <c r="K449" s="344"/>
      <c r="L449" s="469"/>
      <c r="M449" s="469"/>
      <c r="N449" s="469"/>
      <c r="O449" s="469"/>
      <c r="P449" s="469"/>
      <c r="Q449" s="470"/>
      <c r="R449" s="469"/>
      <c r="S449" s="469"/>
      <c r="T449" s="470"/>
      <c r="U449" s="470"/>
      <c r="V449" s="470"/>
      <c r="W449" s="469"/>
      <c r="X449" s="469"/>
      <c r="Y449" s="469"/>
      <c r="Z449" s="470"/>
      <c r="AA449" s="469"/>
      <c r="AB449" s="469"/>
      <c r="AC449" s="469"/>
      <c r="AD449" s="469"/>
      <c r="AE449" s="472"/>
      <c r="AF449" s="472"/>
      <c r="AG449" s="486"/>
      <c r="AH449" s="486"/>
    </row>
    <row r="450" ht="15.75" customHeight="1">
      <c r="A450" s="344"/>
      <c r="B450" s="470"/>
      <c r="C450" s="469"/>
      <c r="D450" s="485"/>
      <c r="E450" s="469"/>
      <c r="F450" s="469"/>
      <c r="G450" s="470"/>
      <c r="H450" s="469"/>
      <c r="I450" s="470"/>
      <c r="J450" s="470"/>
      <c r="K450" s="344"/>
      <c r="L450" s="469"/>
      <c r="M450" s="469"/>
      <c r="N450" s="469"/>
      <c r="O450" s="469"/>
      <c r="P450" s="469"/>
      <c r="Q450" s="470"/>
      <c r="R450" s="469"/>
      <c r="S450" s="469"/>
      <c r="T450" s="470"/>
      <c r="U450" s="470"/>
      <c r="V450" s="470"/>
      <c r="W450" s="469"/>
      <c r="X450" s="469"/>
      <c r="Y450" s="469"/>
      <c r="Z450" s="470"/>
      <c r="AA450" s="469"/>
      <c r="AB450" s="469"/>
      <c r="AC450" s="469"/>
      <c r="AD450" s="469"/>
      <c r="AE450" s="472"/>
      <c r="AF450" s="472"/>
      <c r="AG450" s="486"/>
      <c r="AH450" s="486"/>
    </row>
    <row r="451" ht="15.75" customHeight="1">
      <c r="A451" s="344"/>
      <c r="B451" s="470"/>
      <c r="C451" s="469"/>
      <c r="D451" s="485"/>
      <c r="E451" s="469"/>
      <c r="F451" s="469"/>
      <c r="G451" s="470"/>
      <c r="H451" s="469"/>
      <c r="I451" s="470"/>
      <c r="J451" s="470"/>
      <c r="K451" s="344"/>
      <c r="L451" s="469"/>
      <c r="M451" s="469"/>
      <c r="N451" s="469"/>
      <c r="O451" s="469"/>
      <c r="P451" s="469"/>
      <c r="Q451" s="470"/>
      <c r="R451" s="469"/>
      <c r="S451" s="469"/>
      <c r="T451" s="470"/>
      <c r="U451" s="470"/>
      <c r="V451" s="470"/>
      <c r="W451" s="469"/>
      <c r="X451" s="469"/>
      <c r="Y451" s="469"/>
      <c r="Z451" s="470"/>
      <c r="AA451" s="469"/>
      <c r="AB451" s="469"/>
      <c r="AC451" s="469"/>
      <c r="AD451" s="469"/>
      <c r="AE451" s="472"/>
      <c r="AF451" s="472"/>
      <c r="AG451" s="486"/>
      <c r="AH451" s="486"/>
    </row>
    <row r="452" ht="15.75" customHeight="1">
      <c r="A452" s="344"/>
      <c r="B452" s="470"/>
      <c r="C452" s="469"/>
      <c r="D452" s="485"/>
      <c r="E452" s="469"/>
      <c r="F452" s="469"/>
      <c r="G452" s="470"/>
      <c r="H452" s="469"/>
      <c r="I452" s="470"/>
      <c r="J452" s="470"/>
      <c r="K452" s="344"/>
      <c r="L452" s="469"/>
      <c r="M452" s="469"/>
      <c r="N452" s="469"/>
      <c r="O452" s="469"/>
      <c r="P452" s="469"/>
      <c r="Q452" s="470"/>
      <c r="R452" s="469"/>
      <c r="S452" s="469"/>
      <c r="T452" s="470"/>
      <c r="U452" s="470"/>
      <c r="V452" s="470"/>
      <c r="W452" s="469"/>
      <c r="X452" s="469"/>
      <c r="Y452" s="469"/>
      <c r="Z452" s="470"/>
      <c r="AA452" s="469"/>
      <c r="AB452" s="469"/>
      <c r="AC452" s="469"/>
      <c r="AD452" s="469"/>
      <c r="AE452" s="472"/>
      <c r="AF452" s="472"/>
      <c r="AG452" s="486"/>
      <c r="AH452" s="486"/>
    </row>
    <row r="453" ht="15.75" customHeight="1">
      <c r="A453" s="344"/>
      <c r="B453" s="470"/>
      <c r="C453" s="469"/>
      <c r="D453" s="485"/>
      <c r="E453" s="469"/>
      <c r="F453" s="469"/>
      <c r="G453" s="470"/>
      <c r="H453" s="469"/>
      <c r="I453" s="470"/>
      <c r="J453" s="470"/>
      <c r="K453" s="344"/>
      <c r="L453" s="469"/>
      <c r="M453" s="469"/>
      <c r="N453" s="469"/>
      <c r="O453" s="469"/>
      <c r="P453" s="469"/>
      <c r="Q453" s="470"/>
      <c r="R453" s="469"/>
      <c r="S453" s="469"/>
      <c r="T453" s="470"/>
      <c r="U453" s="470"/>
      <c r="V453" s="470"/>
      <c r="W453" s="469"/>
      <c r="X453" s="469"/>
      <c r="Y453" s="469"/>
      <c r="Z453" s="470"/>
      <c r="AA453" s="469"/>
      <c r="AB453" s="469"/>
      <c r="AC453" s="469"/>
      <c r="AD453" s="469"/>
      <c r="AE453" s="472"/>
      <c r="AF453" s="472"/>
      <c r="AG453" s="486"/>
      <c r="AH453" s="486"/>
    </row>
    <row r="454" ht="15.75" customHeight="1">
      <c r="A454" s="344"/>
      <c r="B454" s="470"/>
      <c r="C454" s="469"/>
      <c r="D454" s="485"/>
      <c r="E454" s="469"/>
      <c r="F454" s="469"/>
      <c r="G454" s="470"/>
      <c r="H454" s="469"/>
      <c r="I454" s="470"/>
      <c r="J454" s="470"/>
      <c r="K454" s="344"/>
      <c r="L454" s="469"/>
      <c r="M454" s="469"/>
      <c r="N454" s="469"/>
      <c r="O454" s="469"/>
      <c r="P454" s="469"/>
      <c r="Q454" s="470"/>
      <c r="R454" s="469"/>
      <c r="S454" s="469"/>
      <c r="T454" s="470"/>
      <c r="U454" s="470"/>
      <c r="V454" s="470"/>
      <c r="W454" s="469"/>
      <c r="X454" s="469"/>
      <c r="Y454" s="469"/>
      <c r="Z454" s="470"/>
      <c r="AA454" s="469"/>
      <c r="AB454" s="469"/>
      <c r="AC454" s="469"/>
      <c r="AD454" s="469"/>
      <c r="AE454" s="472"/>
      <c r="AF454" s="472"/>
      <c r="AG454" s="486"/>
      <c r="AH454" s="486"/>
    </row>
    <row r="455" ht="15.75" customHeight="1">
      <c r="A455" s="344"/>
      <c r="B455" s="470"/>
      <c r="C455" s="469"/>
      <c r="D455" s="485"/>
      <c r="E455" s="469"/>
      <c r="F455" s="469"/>
      <c r="G455" s="470"/>
      <c r="H455" s="469"/>
      <c r="I455" s="470"/>
      <c r="J455" s="470"/>
      <c r="K455" s="344"/>
      <c r="L455" s="469"/>
      <c r="M455" s="469"/>
      <c r="N455" s="469"/>
      <c r="O455" s="469"/>
      <c r="P455" s="469"/>
      <c r="Q455" s="470"/>
      <c r="R455" s="469"/>
      <c r="S455" s="469"/>
      <c r="T455" s="470"/>
      <c r="U455" s="470"/>
      <c r="V455" s="470"/>
      <c r="W455" s="469"/>
      <c r="X455" s="469"/>
      <c r="Y455" s="469"/>
      <c r="Z455" s="470"/>
      <c r="AA455" s="469"/>
      <c r="AB455" s="469"/>
      <c r="AC455" s="469"/>
      <c r="AD455" s="469"/>
      <c r="AE455" s="472"/>
      <c r="AF455" s="472"/>
      <c r="AG455" s="486"/>
      <c r="AH455" s="486"/>
    </row>
    <row r="456" ht="15.75" customHeight="1">
      <c r="A456" s="344"/>
      <c r="B456" s="470"/>
      <c r="C456" s="469"/>
      <c r="D456" s="485"/>
      <c r="E456" s="469"/>
      <c r="F456" s="469"/>
      <c r="G456" s="470"/>
      <c r="H456" s="469"/>
      <c r="I456" s="470"/>
      <c r="J456" s="470"/>
      <c r="K456" s="344"/>
      <c r="L456" s="469"/>
      <c r="M456" s="469"/>
      <c r="N456" s="469"/>
      <c r="O456" s="469"/>
      <c r="P456" s="469"/>
      <c r="Q456" s="470"/>
      <c r="R456" s="469"/>
      <c r="S456" s="469"/>
      <c r="T456" s="470"/>
      <c r="U456" s="470"/>
      <c r="V456" s="470"/>
      <c r="W456" s="469"/>
      <c r="X456" s="469"/>
      <c r="Y456" s="469"/>
      <c r="Z456" s="470"/>
      <c r="AA456" s="469"/>
      <c r="AB456" s="469"/>
      <c r="AC456" s="469"/>
      <c r="AD456" s="469"/>
      <c r="AE456" s="472"/>
      <c r="AF456" s="472"/>
      <c r="AG456" s="486"/>
      <c r="AH456" s="486"/>
    </row>
    <row r="457" ht="15.75" customHeight="1">
      <c r="A457" s="344"/>
      <c r="B457" s="470"/>
      <c r="C457" s="469"/>
      <c r="D457" s="485"/>
      <c r="E457" s="469"/>
      <c r="F457" s="469"/>
      <c r="G457" s="470"/>
      <c r="H457" s="469"/>
      <c r="I457" s="470"/>
      <c r="J457" s="470"/>
      <c r="K457" s="344"/>
      <c r="L457" s="469"/>
      <c r="M457" s="469"/>
      <c r="N457" s="469"/>
      <c r="O457" s="469"/>
      <c r="P457" s="469"/>
      <c r="Q457" s="470"/>
      <c r="R457" s="469"/>
      <c r="S457" s="469"/>
      <c r="T457" s="470"/>
      <c r="U457" s="470"/>
      <c r="V457" s="470"/>
      <c r="W457" s="469"/>
      <c r="X457" s="469"/>
      <c r="Y457" s="469"/>
      <c r="Z457" s="470"/>
      <c r="AA457" s="469"/>
      <c r="AB457" s="469"/>
      <c r="AC457" s="469"/>
      <c r="AD457" s="469"/>
      <c r="AE457" s="472"/>
      <c r="AF457" s="472"/>
      <c r="AG457" s="486"/>
      <c r="AH457" s="486"/>
    </row>
    <row r="458" ht="15.75" customHeight="1">
      <c r="A458" s="344"/>
      <c r="B458" s="470"/>
      <c r="C458" s="469"/>
      <c r="D458" s="485"/>
      <c r="E458" s="469"/>
      <c r="F458" s="469"/>
      <c r="G458" s="470"/>
      <c r="H458" s="469"/>
      <c r="I458" s="470"/>
      <c r="J458" s="470"/>
      <c r="K458" s="344"/>
      <c r="L458" s="469"/>
      <c r="M458" s="469"/>
      <c r="N458" s="469"/>
      <c r="O458" s="469"/>
      <c r="P458" s="469"/>
      <c r="Q458" s="470"/>
      <c r="R458" s="469"/>
      <c r="S458" s="469"/>
      <c r="T458" s="470"/>
      <c r="U458" s="470"/>
      <c r="V458" s="470"/>
      <c r="W458" s="469"/>
      <c r="X458" s="469"/>
      <c r="Y458" s="469"/>
      <c r="Z458" s="470"/>
      <c r="AA458" s="469"/>
      <c r="AB458" s="469"/>
      <c r="AC458" s="469"/>
      <c r="AD458" s="469"/>
      <c r="AE458" s="472"/>
      <c r="AF458" s="472"/>
      <c r="AG458" s="486"/>
      <c r="AH458" s="486"/>
    </row>
    <row r="459" ht="15.75" customHeight="1">
      <c r="A459" s="344"/>
      <c r="B459" s="470"/>
      <c r="C459" s="469"/>
      <c r="D459" s="485"/>
      <c r="E459" s="469"/>
      <c r="F459" s="469"/>
      <c r="G459" s="470"/>
      <c r="H459" s="469"/>
      <c r="I459" s="470"/>
      <c r="J459" s="470"/>
      <c r="K459" s="344"/>
      <c r="L459" s="469"/>
      <c r="M459" s="469"/>
      <c r="N459" s="469"/>
      <c r="O459" s="469"/>
      <c r="P459" s="469"/>
      <c r="Q459" s="470"/>
      <c r="R459" s="469"/>
      <c r="S459" s="469"/>
      <c r="T459" s="470"/>
      <c r="U459" s="470"/>
      <c r="V459" s="470"/>
      <c r="W459" s="469"/>
      <c r="X459" s="469"/>
      <c r="Y459" s="469"/>
      <c r="Z459" s="470"/>
      <c r="AA459" s="469"/>
      <c r="AB459" s="469"/>
      <c r="AC459" s="469"/>
      <c r="AD459" s="469"/>
      <c r="AE459" s="472"/>
      <c r="AF459" s="472"/>
      <c r="AG459" s="486"/>
      <c r="AH459" s="486"/>
    </row>
    <row r="460" ht="15.75" customHeight="1">
      <c r="A460" s="344"/>
      <c r="B460" s="470"/>
      <c r="C460" s="469"/>
      <c r="D460" s="485"/>
      <c r="E460" s="469"/>
      <c r="F460" s="469"/>
      <c r="G460" s="470"/>
      <c r="H460" s="469"/>
      <c r="I460" s="470"/>
      <c r="J460" s="470"/>
      <c r="K460" s="344"/>
      <c r="L460" s="469"/>
      <c r="M460" s="469"/>
      <c r="N460" s="469"/>
      <c r="O460" s="469"/>
      <c r="P460" s="469"/>
      <c r="Q460" s="470"/>
      <c r="R460" s="469"/>
      <c r="S460" s="469"/>
      <c r="T460" s="470"/>
      <c r="U460" s="470"/>
      <c r="V460" s="470"/>
      <c r="W460" s="469"/>
      <c r="X460" s="469"/>
      <c r="Y460" s="469"/>
      <c r="Z460" s="470"/>
      <c r="AA460" s="469"/>
      <c r="AB460" s="469"/>
      <c r="AC460" s="469"/>
      <c r="AD460" s="469"/>
      <c r="AE460" s="472"/>
      <c r="AF460" s="472"/>
      <c r="AG460" s="486"/>
      <c r="AH460" s="486"/>
    </row>
    <row r="461" ht="15.75" customHeight="1">
      <c r="A461" s="344"/>
      <c r="B461" s="470"/>
      <c r="C461" s="469"/>
      <c r="D461" s="485"/>
      <c r="E461" s="469"/>
      <c r="F461" s="469"/>
      <c r="G461" s="470"/>
      <c r="H461" s="469"/>
      <c r="I461" s="470"/>
      <c r="J461" s="470"/>
      <c r="K461" s="344"/>
      <c r="L461" s="469"/>
      <c r="M461" s="469"/>
      <c r="N461" s="469"/>
      <c r="O461" s="469"/>
      <c r="P461" s="469"/>
      <c r="Q461" s="470"/>
      <c r="R461" s="469"/>
      <c r="S461" s="469"/>
      <c r="T461" s="470"/>
      <c r="U461" s="470"/>
      <c r="V461" s="470"/>
      <c r="W461" s="469"/>
      <c r="X461" s="469"/>
      <c r="Y461" s="469"/>
      <c r="Z461" s="470"/>
      <c r="AA461" s="469"/>
      <c r="AB461" s="469"/>
      <c r="AC461" s="469"/>
      <c r="AD461" s="469"/>
      <c r="AE461" s="472"/>
      <c r="AF461" s="472"/>
      <c r="AG461" s="486"/>
      <c r="AH461" s="486"/>
    </row>
    <row r="462" ht="15.75" customHeight="1">
      <c r="A462" s="344"/>
      <c r="B462" s="470"/>
      <c r="C462" s="469"/>
      <c r="D462" s="485"/>
      <c r="E462" s="469"/>
      <c r="F462" s="469"/>
      <c r="G462" s="470"/>
      <c r="H462" s="469"/>
      <c r="I462" s="470"/>
      <c r="J462" s="470"/>
      <c r="K462" s="344"/>
      <c r="L462" s="469"/>
      <c r="M462" s="469"/>
      <c r="N462" s="469"/>
      <c r="O462" s="469"/>
      <c r="P462" s="469"/>
      <c r="Q462" s="470"/>
      <c r="R462" s="469"/>
      <c r="S462" s="469"/>
      <c r="T462" s="470"/>
      <c r="U462" s="470"/>
      <c r="V462" s="470"/>
      <c r="W462" s="469"/>
      <c r="X462" s="469"/>
      <c r="Y462" s="469"/>
      <c r="Z462" s="470"/>
      <c r="AA462" s="469"/>
      <c r="AB462" s="469"/>
      <c r="AC462" s="469"/>
      <c r="AD462" s="469"/>
      <c r="AE462" s="472"/>
      <c r="AF462" s="472"/>
      <c r="AG462" s="486"/>
      <c r="AH462" s="486"/>
    </row>
    <row r="463" ht="15.75" customHeight="1">
      <c r="A463" s="344"/>
      <c r="B463" s="470"/>
      <c r="C463" s="469"/>
      <c r="D463" s="485"/>
      <c r="E463" s="469"/>
      <c r="F463" s="469"/>
      <c r="G463" s="470"/>
      <c r="H463" s="469"/>
      <c r="I463" s="470"/>
      <c r="J463" s="470"/>
      <c r="K463" s="344"/>
      <c r="L463" s="469"/>
      <c r="M463" s="469"/>
      <c r="N463" s="469"/>
      <c r="O463" s="469"/>
      <c r="P463" s="469"/>
      <c r="Q463" s="470"/>
      <c r="R463" s="469"/>
      <c r="S463" s="469"/>
      <c r="T463" s="470"/>
      <c r="U463" s="470"/>
      <c r="V463" s="470"/>
      <c r="W463" s="469"/>
      <c r="X463" s="469"/>
      <c r="Y463" s="469"/>
      <c r="Z463" s="470"/>
      <c r="AA463" s="469"/>
      <c r="AB463" s="469"/>
      <c r="AC463" s="469"/>
      <c r="AD463" s="469"/>
      <c r="AE463" s="472"/>
      <c r="AF463" s="472"/>
      <c r="AG463" s="486"/>
      <c r="AH463" s="486"/>
    </row>
    <row r="464" ht="15.75" customHeight="1">
      <c r="A464" s="344"/>
      <c r="B464" s="470"/>
      <c r="C464" s="469"/>
      <c r="D464" s="485"/>
      <c r="E464" s="469"/>
      <c r="F464" s="469"/>
      <c r="G464" s="470"/>
      <c r="H464" s="469"/>
      <c r="I464" s="470"/>
      <c r="J464" s="470"/>
      <c r="K464" s="344"/>
      <c r="L464" s="469"/>
      <c r="M464" s="469"/>
      <c r="N464" s="469"/>
      <c r="O464" s="469"/>
      <c r="P464" s="469"/>
      <c r="Q464" s="470"/>
      <c r="R464" s="469"/>
      <c r="S464" s="469"/>
      <c r="T464" s="470"/>
      <c r="U464" s="470"/>
      <c r="V464" s="470"/>
      <c r="W464" s="469"/>
      <c r="X464" s="469"/>
      <c r="Y464" s="469"/>
      <c r="Z464" s="470"/>
      <c r="AA464" s="469"/>
      <c r="AB464" s="469"/>
      <c r="AC464" s="469"/>
      <c r="AD464" s="469"/>
      <c r="AE464" s="472"/>
      <c r="AF464" s="472"/>
      <c r="AG464" s="486"/>
      <c r="AH464" s="486"/>
    </row>
    <row r="465" ht="15.75" customHeight="1">
      <c r="A465" s="344"/>
      <c r="B465" s="470"/>
      <c r="C465" s="469"/>
      <c r="D465" s="485"/>
      <c r="E465" s="469"/>
      <c r="F465" s="469"/>
      <c r="G465" s="470"/>
      <c r="H465" s="469"/>
      <c r="I465" s="470"/>
      <c r="J465" s="470"/>
      <c r="K465" s="344"/>
      <c r="L465" s="469"/>
      <c r="M465" s="469"/>
      <c r="N465" s="469"/>
      <c r="O465" s="469"/>
      <c r="P465" s="469"/>
      <c r="Q465" s="470"/>
      <c r="R465" s="469"/>
      <c r="S465" s="469"/>
      <c r="T465" s="470"/>
      <c r="U465" s="470"/>
      <c r="V465" s="470"/>
      <c r="W465" s="469"/>
      <c r="X465" s="469"/>
      <c r="Y465" s="469"/>
      <c r="Z465" s="470"/>
      <c r="AA465" s="469"/>
      <c r="AB465" s="469"/>
      <c r="AC465" s="469"/>
      <c r="AD465" s="469"/>
      <c r="AE465" s="472"/>
      <c r="AF465" s="472"/>
      <c r="AG465" s="486"/>
      <c r="AH465" s="486"/>
    </row>
    <row r="466" ht="15.75" customHeight="1">
      <c r="A466" s="344"/>
      <c r="B466" s="470"/>
      <c r="C466" s="469"/>
      <c r="D466" s="485"/>
      <c r="E466" s="469"/>
      <c r="F466" s="469"/>
      <c r="G466" s="470"/>
      <c r="H466" s="469"/>
      <c r="I466" s="470"/>
      <c r="J466" s="470"/>
      <c r="K466" s="344"/>
      <c r="L466" s="469"/>
      <c r="M466" s="469"/>
      <c r="N466" s="469"/>
      <c r="O466" s="469"/>
      <c r="P466" s="469"/>
      <c r="Q466" s="470"/>
      <c r="R466" s="469"/>
      <c r="S466" s="469"/>
      <c r="T466" s="470"/>
      <c r="U466" s="470"/>
      <c r="V466" s="470"/>
      <c r="W466" s="469"/>
      <c r="X466" s="469"/>
      <c r="Y466" s="469"/>
      <c r="Z466" s="470"/>
      <c r="AA466" s="469"/>
      <c r="AB466" s="469"/>
      <c r="AC466" s="469"/>
      <c r="AD466" s="469"/>
      <c r="AE466" s="472"/>
      <c r="AF466" s="472"/>
      <c r="AG466" s="486"/>
      <c r="AH466" s="486"/>
    </row>
    <row r="467" ht="15.75" customHeight="1">
      <c r="A467" s="344"/>
      <c r="B467" s="470"/>
      <c r="C467" s="469"/>
      <c r="D467" s="485"/>
      <c r="E467" s="469"/>
      <c r="F467" s="469"/>
      <c r="G467" s="470"/>
      <c r="H467" s="469"/>
      <c r="I467" s="470"/>
      <c r="J467" s="470"/>
      <c r="K467" s="344"/>
      <c r="L467" s="469"/>
      <c r="M467" s="469"/>
      <c r="N467" s="469"/>
      <c r="O467" s="469"/>
      <c r="P467" s="469"/>
      <c r="Q467" s="470"/>
      <c r="R467" s="469"/>
      <c r="S467" s="469"/>
      <c r="T467" s="470"/>
      <c r="U467" s="470"/>
      <c r="V467" s="470"/>
      <c r="W467" s="469"/>
      <c r="X467" s="469"/>
      <c r="Y467" s="469"/>
      <c r="Z467" s="470"/>
      <c r="AA467" s="469"/>
      <c r="AB467" s="469"/>
      <c r="AC467" s="469"/>
      <c r="AD467" s="469"/>
      <c r="AE467" s="472"/>
      <c r="AF467" s="472"/>
      <c r="AG467" s="486"/>
      <c r="AH467" s="486"/>
    </row>
    <row r="468" ht="15.75" customHeight="1">
      <c r="A468" s="344"/>
      <c r="B468" s="470"/>
      <c r="C468" s="469"/>
      <c r="D468" s="485"/>
      <c r="E468" s="469"/>
      <c r="F468" s="469"/>
      <c r="G468" s="470"/>
      <c r="H468" s="469"/>
      <c r="I468" s="470"/>
      <c r="J468" s="470"/>
      <c r="K468" s="344"/>
      <c r="L468" s="469"/>
      <c r="M468" s="469"/>
      <c r="N468" s="469"/>
      <c r="O468" s="469"/>
      <c r="P468" s="469"/>
      <c r="Q468" s="470"/>
      <c r="R468" s="469"/>
      <c r="S468" s="469"/>
      <c r="T468" s="470"/>
      <c r="U468" s="470"/>
      <c r="V468" s="470"/>
      <c r="W468" s="469"/>
      <c r="X468" s="469"/>
      <c r="Y468" s="469"/>
      <c r="Z468" s="470"/>
      <c r="AA468" s="469"/>
      <c r="AB468" s="469"/>
      <c r="AC468" s="469"/>
      <c r="AD468" s="469"/>
      <c r="AE468" s="472"/>
      <c r="AF468" s="472"/>
      <c r="AG468" s="486"/>
      <c r="AH468" s="486"/>
    </row>
    <row r="469" ht="15.75" customHeight="1">
      <c r="A469" s="344"/>
      <c r="B469" s="470"/>
      <c r="C469" s="469"/>
      <c r="D469" s="485"/>
      <c r="E469" s="469"/>
      <c r="F469" s="469"/>
      <c r="G469" s="470"/>
      <c r="H469" s="469"/>
      <c r="I469" s="470"/>
      <c r="J469" s="470"/>
      <c r="K469" s="344"/>
      <c r="L469" s="469"/>
      <c r="M469" s="469"/>
      <c r="N469" s="469"/>
      <c r="O469" s="469"/>
      <c r="P469" s="469"/>
      <c r="Q469" s="470"/>
      <c r="R469" s="469"/>
      <c r="S469" s="469"/>
      <c r="T469" s="470"/>
      <c r="U469" s="470"/>
      <c r="V469" s="470"/>
      <c r="W469" s="469"/>
      <c r="X469" s="469"/>
      <c r="Y469" s="469"/>
      <c r="Z469" s="470"/>
      <c r="AA469" s="469"/>
      <c r="AB469" s="469"/>
      <c r="AC469" s="469"/>
      <c r="AD469" s="469"/>
      <c r="AE469" s="472"/>
      <c r="AF469" s="472"/>
      <c r="AG469" s="486"/>
      <c r="AH469" s="486"/>
    </row>
    <row r="470" ht="15.75" customHeight="1">
      <c r="A470" s="344"/>
      <c r="B470" s="470"/>
      <c r="C470" s="469"/>
      <c r="D470" s="485"/>
      <c r="E470" s="469"/>
      <c r="F470" s="469"/>
      <c r="G470" s="470"/>
      <c r="H470" s="469"/>
      <c r="I470" s="470"/>
      <c r="J470" s="470"/>
      <c r="K470" s="344"/>
      <c r="L470" s="469"/>
      <c r="M470" s="469"/>
      <c r="N470" s="469"/>
      <c r="O470" s="469"/>
      <c r="P470" s="469"/>
      <c r="Q470" s="470"/>
      <c r="R470" s="469"/>
      <c r="S470" s="469"/>
      <c r="T470" s="470"/>
      <c r="U470" s="470"/>
      <c r="V470" s="470"/>
      <c r="W470" s="469"/>
      <c r="X470" s="469"/>
      <c r="Y470" s="469"/>
      <c r="Z470" s="470"/>
      <c r="AA470" s="469"/>
      <c r="AB470" s="469"/>
      <c r="AC470" s="469"/>
      <c r="AD470" s="469"/>
      <c r="AE470" s="472"/>
      <c r="AF470" s="472"/>
      <c r="AG470" s="486"/>
      <c r="AH470" s="486"/>
    </row>
    <row r="471" ht="15.75" customHeight="1">
      <c r="A471" s="344"/>
      <c r="B471" s="470"/>
      <c r="C471" s="469"/>
      <c r="D471" s="485"/>
      <c r="E471" s="469"/>
      <c r="F471" s="469"/>
      <c r="G471" s="470"/>
      <c r="H471" s="469"/>
      <c r="I471" s="470"/>
      <c r="J471" s="470"/>
      <c r="K471" s="344"/>
      <c r="L471" s="469"/>
      <c r="M471" s="469"/>
      <c r="N471" s="469"/>
      <c r="O471" s="469"/>
      <c r="P471" s="469"/>
      <c r="Q471" s="470"/>
      <c r="R471" s="469"/>
      <c r="S471" s="469"/>
      <c r="T471" s="470"/>
      <c r="U471" s="470"/>
      <c r="V471" s="470"/>
      <c r="W471" s="469"/>
      <c r="X471" s="469"/>
      <c r="Y471" s="469"/>
      <c r="Z471" s="470"/>
      <c r="AA471" s="469"/>
      <c r="AB471" s="469"/>
      <c r="AC471" s="469"/>
      <c r="AD471" s="469"/>
      <c r="AE471" s="472"/>
      <c r="AF471" s="472"/>
      <c r="AG471" s="486"/>
      <c r="AH471" s="486"/>
    </row>
    <row r="472" ht="15.75" customHeight="1">
      <c r="A472" s="344"/>
      <c r="B472" s="470"/>
      <c r="C472" s="469"/>
      <c r="D472" s="485"/>
      <c r="E472" s="469"/>
      <c r="F472" s="469"/>
      <c r="G472" s="470"/>
      <c r="H472" s="469"/>
      <c r="I472" s="470"/>
      <c r="J472" s="470"/>
      <c r="K472" s="344"/>
      <c r="L472" s="469"/>
      <c r="M472" s="469"/>
      <c r="N472" s="469"/>
      <c r="O472" s="469"/>
      <c r="P472" s="469"/>
      <c r="Q472" s="470"/>
      <c r="R472" s="469"/>
      <c r="S472" s="469"/>
      <c r="T472" s="470"/>
      <c r="U472" s="470"/>
      <c r="V472" s="470"/>
      <c r="W472" s="469"/>
      <c r="X472" s="469"/>
      <c r="Y472" s="469"/>
      <c r="Z472" s="470"/>
      <c r="AA472" s="469"/>
      <c r="AB472" s="469"/>
      <c r="AC472" s="469"/>
      <c r="AD472" s="469"/>
      <c r="AE472" s="472"/>
      <c r="AF472" s="472"/>
      <c r="AG472" s="486"/>
      <c r="AH472" s="486"/>
    </row>
    <row r="473" ht="15.75" customHeight="1">
      <c r="A473" s="344"/>
      <c r="B473" s="470"/>
      <c r="C473" s="469"/>
      <c r="D473" s="485"/>
      <c r="E473" s="469"/>
      <c r="F473" s="469"/>
      <c r="G473" s="470"/>
      <c r="H473" s="469"/>
      <c r="I473" s="470"/>
      <c r="J473" s="470"/>
      <c r="K473" s="344"/>
      <c r="L473" s="469"/>
      <c r="M473" s="469"/>
      <c r="N473" s="469"/>
      <c r="O473" s="469"/>
      <c r="P473" s="469"/>
      <c r="Q473" s="470"/>
      <c r="R473" s="469"/>
      <c r="S473" s="469"/>
      <c r="T473" s="470"/>
      <c r="U473" s="470"/>
      <c r="V473" s="470"/>
      <c r="W473" s="469"/>
      <c r="X473" s="469"/>
      <c r="Y473" s="469"/>
      <c r="Z473" s="470"/>
      <c r="AA473" s="469"/>
      <c r="AB473" s="469"/>
      <c r="AC473" s="469"/>
      <c r="AD473" s="469"/>
      <c r="AE473" s="472"/>
      <c r="AF473" s="472"/>
      <c r="AG473" s="486"/>
      <c r="AH473" s="486"/>
    </row>
    <row r="474" ht="15.75" customHeight="1">
      <c r="A474" s="344"/>
      <c r="B474" s="470"/>
      <c r="C474" s="469"/>
      <c r="D474" s="485"/>
      <c r="E474" s="469"/>
      <c r="F474" s="469"/>
      <c r="G474" s="470"/>
      <c r="H474" s="469"/>
      <c r="I474" s="470"/>
      <c r="J474" s="470"/>
      <c r="K474" s="344"/>
      <c r="L474" s="469"/>
      <c r="M474" s="469"/>
      <c r="N474" s="469"/>
      <c r="O474" s="469"/>
      <c r="P474" s="469"/>
      <c r="Q474" s="470"/>
      <c r="R474" s="469"/>
      <c r="S474" s="469"/>
      <c r="T474" s="470"/>
      <c r="U474" s="470"/>
      <c r="V474" s="470"/>
      <c r="W474" s="469"/>
      <c r="X474" s="469"/>
      <c r="Y474" s="469"/>
      <c r="Z474" s="470"/>
      <c r="AA474" s="469"/>
      <c r="AB474" s="469"/>
      <c r="AC474" s="469"/>
      <c r="AD474" s="469"/>
      <c r="AE474" s="472"/>
      <c r="AF474" s="472"/>
      <c r="AG474" s="486"/>
      <c r="AH474" s="486"/>
    </row>
    <row r="475" ht="15.75" customHeight="1">
      <c r="A475" s="344"/>
      <c r="B475" s="470"/>
      <c r="C475" s="469"/>
      <c r="D475" s="485"/>
      <c r="E475" s="469"/>
      <c r="F475" s="469"/>
      <c r="G475" s="470"/>
      <c r="H475" s="469"/>
      <c r="I475" s="470"/>
      <c r="J475" s="470"/>
      <c r="K475" s="344"/>
      <c r="L475" s="469"/>
      <c r="M475" s="469"/>
      <c r="N475" s="469"/>
      <c r="O475" s="469"/>
      <c r="P475" s="469"/>
      <c r="Q475" s="470"/>
      <c r="R475" s="469"/>
      <c r="S475" s="469"/>
      <c r="T475" s="470"/>
      <c r="U475" s="470"/>
      <c r="V475" s="470"/>
      <c r="W475" s="469"/>
      <c r="X475" s="469"/>
      <c r="Y475" s="469"/>
      <c r="Z475" s="470"/>
      <c r="AA475" s="469"/>
      <c r="AB475" s="469"/>
      <c r="AC475" s="469"/>
      <c r="AD475" s="469"/>
      <c r="AE475" s="472"/>
      <c r="AF475" s="472"/>
      <c r="AG475" s="486"/>
      <c r="AH475" s="486"/>
    </row>
    <row r="476" ht="15.75" customHeight="1">
      <c r="A476" s="344"/>
      <c r="B476" s="470"/>
      <c r="C476" s="469"/>
      <c r="D476" s="485"/>
      <c r="E476" s="469"/>
      <c r="F476" s="469"/>
      <c r="G476" s="470"/>
      <c r="H476" s="469"/>
      <c r="I476" s="470"/>
      <c r="J476" s="470"/>
      <c r="K476" s="344"/>
      <c r="L476" s="469"/>
      <c r="M476" s="469"/>
      <c r="N476" s="469"/>
      <c r="O476" s="469"/>
      <c r="P476" s="469"/>
      <c r="Q476" s="470"/>
      <c r="R476" s="469"/>
      <c r="S476" s="469"/>
      <c r="T476" s="470"/>
      <c r="U476" s="470"/>
      <c r="V476" s="470"/>
      <c r="W476" s="469"/>
      <c r="X476" s="469"/>
      <c r="Y476" s="469"/>
      <c r="Z476" s="470"/>
      <c r="AA476" s="469"/>
      <c r="AB476" s="469"/>
      <c r="AC476" s="469"/>
      <c r="AD476" s="469"/>
      <c r="AE476" s="472"/>
      <c r="AF476" s="472"/>
      <c r="AG476" s="486"/>
      <c r="AH476" s="486"/>
    </row>
    <row r="477" ht="15.75" customHeight="1">
      <c r="A477" s="344"/>
      <c r="B477" s="470"/>
      <c r="C477" s="469"/>
      <c r="D477" s="485"/>
      <c r="E477" s="469"/>
      <c r="F477" s="469"/>
      <c r="G477" s="470"/>
      <c r="H477" s="469"/>
      <c r="I477" s="470"/>
      <c r="J477" s="470"/>
      <c r="K477" s="344"/>
      <c r="L477" s="469"/>
      <c r="M477" s="469"/>
      <c r="N477" s="469"/>
      <c r="O477" s="469"/>
      <c r="P477" s="469"/>
      <c r="Q477" s="470"/>
      <c r="R477" s="469"/>
      <c r="S477" s="469"/>
      <c r="T477" s="470"/>
      <c r="U477" s="470"/>
      <c r="V477" s="470"/>
      <c r="W477" s="469"/>
      <c r="X477" s="469"/>
      <c r="Y477" s="469"/>
      <c r="Z477" s="470"/>
      <c r="AA477" s="469"/>
      <c r="AB477" s="469"/>
      <c r="AC477" s="469"/>
      <c r="AD477" s="469"/>
      <c r="AE477" s="472"/>
      <c r="AF477" s="472"/>
      <c r="AG477" s="486"/>
      <c r="AH477" s="486"/>
    </row>
    <row r="478" ht="15.75" customHeight="1">
      <c r="A478" s="344"/>
      <c r="B478" s="470"/>
      <c r="C478" s="469"/>
      <c r="D478" s="485"/>
      <c r="E478" s="469"/>
      <c r="F478" s="469"/>
      <c r="G478" s="470"/>
      <c r="H478" s="469"/>
      <c r="I478" s="470"/>
      <c r="J478" s="470"/>
      <c r="K478" s="344"/>
      <c r="L478" s="469"/>
      <c r="M478" s="469"/>
      <c r="N478" s="469"/>
      <c r="O478" s="469"/>
      <c r="P478" s="469"/>
      <c r="Q478" s="470"/>
      <c r="R478" s="469"/>
      <c r="S478" s="469"/>
      <c r="T478" s="470"/>
      <c r="U478" s="470"/>
      <c r="V478" s="470"/>
      <c r="W478" s="469"/>
      <c r="X478" s="469"/>
      <c r="Y478" s="469"/>
      <c r="Z478" s="470"/>
      <c r="AA478" s="469"/>
      <c r="AB478" s="469"/>
      <c r="AC478" s="469"/>
      <c r="AD478" s="469"/>
      <c r="AE478" s="472"/>
      <c r="AF478" s="472"/>
      <c r="AG478" s="486"/>
      <c r="AH478" s="486"/>
    </row>
    <row r="479" ht="15.75" customHeight="1">
      <c r="A479" s="344"/>
      <c r="B479" s="470"/>
      <c r="C479" s="469"/>
      <c r="D479" s="485"/>
      <c r="E479" s="469"/>
      <c r="F479" s="469"/>
      <c r="G479" s="470"/>
      <c r="H479" s="469"/>
      <c r="I479" s="470"/>
      <c r="J479" s="470"/>
      <c r="K479" s="344"/>
      <c r="L479" s="469"/>
      <c r="M479" s="469"/>
      <c r="N479" s="469"/>
      <c r="O479" s="469"/>
      <c r="P479" s="469"/>
      <c r="Q479" s="470"/>
      <c r="R479" s="469"/>
      <c r="S479" s="469"/>
      <c r="T479" s="470"/>
      <c r="U479" s="470"/>
      <c r="V479" s="470"/>
      <c r="W479" s="469"/>
      <c r="X479" s="469"/>
      <c r="Y479" s="469"/>
      <c r="Z479" s="470"/>
      <c r="AA479" s="469"/>
      <c r="AB479" s="469"/>
      <c r="AC479" s="469"/>
      <c r="AD479" s="469"/>
      <c r="AE479" s="472"/>
      <c r="AF479" s="472"/>
      <c r="AG479" s="486"/>
      <c r="AH479" s="486"/>
    </row>
    <row r="480" ht="15.75" customHeight="1">
      <c r="A480" s="344"/>
      <c r="B480" s="470"/>
      <c r="C480" s="469"/>
      <c r="D480" s="485"/>
      <c r="E480" s="469"/>
      <c r="F480" s="469"/>
      <c r="G480" s="470"/>
      <c r="H480" s="469"/>
      <c r="I480" s="470"/>
      <c r="J480" s="470"/>
      <c r="K480" s="344"/>
      <c r="L480" s="469"/>
      <c r="M480" s="469"/>
      <c r="N480" s="469"/>
      <c r="O480" s="469"/>
      <c r="P480" s="469"/>
      <c r="Q480" s="470"/>
      <c r="R480" s="469"/>
      <c r="S480" s="469"/>
      <c r="T480" s="470"/>
      <c r="U480" s="470"/>
      <c r="V480" s="470"/>
      <c r="W480" s="469"/>
      <c r="X480" s="469"/>
      <c r="Y480" s="469"/>
      <c r="Z480" s="470"/>
      <c r="AA480" s="469"/>
      <c r="AB480" s="469"/>
      <c r="AC480" s="469"/>
      <c r="AD480" s="469"/>
      <c r="AE480" s="472"/>
      <c r="AF480" s="472"/>
      <c r="AG480" s="486"/>
      <c r="AH480" s="486"/>
    </row>
    <row r="481" ht="15.75" customHeight="1">
      <c r="A481" s="344"/>
      <c r="B481" s="470"/>
      <c r="C481" s="469"/>
      <c r="D481" s="485"/>
      <c r="E481" s="469"/>
      <c r="F481" s="469"/>
      <c r="G481" s="470"/>
      <c r="H481" s="469"/>
      <c r="I481" s="470"/>
      <c r="J481" s="470"/>
      <c r="K481" s="344"/>
      <c r="L481" s="469"/>
      <c r="M481" s="469"/>
      <c r="N481" s="469"/>
      <c r="O481" s="469"/>
      <c r="P481" s="469"/>
      <c r="Q481" s="470"/>
      <c r="R481" s="469"/>
      <c r="S481" s="469"/>
      <c r="T481" s="470"/>
      <c r="U481" s="470"/>
      <c r="V481" s="470"/>
      <c r="W481" s="469"/>
      <c r="X481" s="469"/>
      <c r="Y481" s="469"/>
      <c r="Z481" s="470"/>
      <c r="AA481" s="469"/>
      <c r="AB481" s="469"/>
      <c r="AC481" s="469"/>
      <c r="AD481" s="469"/>
      <c r="AE481" s="472"/>
      <c r="AF481" s="472"/>
      <c r="AG481" s="486"/>
      <c r="AH481" s="486"/>
    </row>
    <row r="482" ht="15.75" customHeight="1">
      <c r="A482" s="344"/>
      <c r="B482" s="470"/>
      <c r="C482" s="469"/>
      <c r="D482" s="485"/>
      <c r="E482" s="469"/>
      <c r="F482" s="469"/>
      <c r="G482" s="470"/>
      <c r="H482" s="469"/>
      <c r="I482" s="470"/>
      <c r="J482" s="470"/>
      <c r="K482" s="344"/>
      <c r="L482" s="469"/>
      <c r="M482" s="469"/>
      <c r="N482" s="469"/>
      <c r="O482" s="469"/>
      <c r="P482" s="469"/>
      <c r="Q482" s="470"/>
      <c r="R482" s="469"/>
      <c r="S482" s="469"/>
      <c r="T482" s="470"/>
      <c r="U482" s="470"/>
      <c r="V482" s="470"/>
      <c r="W482" s="469"/>
      <c r="X482" s="469"/>
      <c r="Y482" s="469"/>
      <c r="Z482" s="470"/>
      <c r="AA482" s="469"/>
      <c r="AB482" s="469"/>
      <c r="AC482" s="469"/>
      <c r="AD482" s="469"/>
      <c r="AE482" s="472"/>
      <c r="AF482" s="472"/>
      <c r="AG482" s="486"/>
      <c r="AH482" s="486"/>
    </row>
    <row r="483" ht="15.75" customHeight="1">
      <c r="A483" s="344"/>
      <c r="B483" s="470"/>
      <c r="C483" s="469"/>
      <c r="D483" s="485"/>
      <c r="E483" s="469"/>
      <c r="F483" s="469"/>
      <c r="G483" s="470"/>
      <c r="H483" s="469"/>
      <c r="I483" s="470"/>
      <c r="J483" s="470"/>
      <c r="K483" s="344"/>
      <c r="L483" s="469"/>
      <c r="M483" s="469"/>
      <c r="N483" s="469"/>
      <c r="O483" s="469"/>
      <c r="P483" s="469"/>
      <c r="Q483" s="470"/>
      <c r="R483" s="469"/>
      <c r="S483" s="469"/>
      <c r="T483" s="470"/>
      <c r="U483" s="470"/>
      <c r="V483" s="470"/>
      <c r="W483" s="469"/>
      <c r="X483" s="469"/>
      <c r="Y483" s="469"/>
      <c r="Z483" s="470"/>
      <c r="AA483" s="469"/>
      <c r="AB483" s="469"/>
      <c r="AC483" s="469"/>
      <c r="AD483" s="469"/>
      <c r="AE483" s="472"/>
      <c r="AF483" s="472"/>
      <c r="AG483" s="486"/>
      <c r="AH483" s="486"/>
    </row>
    <row r="484" ht="15.75" customHeight="1">
      <c r="A484" s="344"/>
      <c r="B484" s="470"/>
      <c r="C484" s="469"/>
      <c r="D484" s="485"/>
      <c r="E484" s="469"/>
      <c r="F484" s="469"/>
      <c r="G484" s="470"/>
      <c r="H484" s="469"/>
      <c r="I484" s="470"/>
      <c r="J484" s="470"/>
      <c r="K484" s="344"/>
      <c r="L484" s="469"/>
      <c r="M484" s="469"/>
      <c r="N484" s="469"/>
      <c r="O484" s="469"/>
      <c r="P484" s="469"/>
      <c r="Q484" s="470"/>
      <c r="R484" s="469"/>
      <c r="S484" s="469"/>
      <c r="T484" s="470"/>
      <c r="U484" s="470"/>
      <c r="V484" s="470"/>
      <c r="W484" s="469"/>
      <c r="X484" s="469"/>
      <c r="Y484" s="469"/>
      <c r="Z484" s="470"/>
      <c r="AA484" s="469"/>
      <c r="AB484" s="469"/>
      <c r="AC484" s="469"/>
      <c r="AD484" s="469"/>
      <c r="AE484" s="472"/>
      <c r="AF484" s="472"/>
      <c r="AG484" s="486"/>
      <c r="AH484" s="486"/>
    </row>
    <row r="485" ht="15.75" customHeight="1">
      <c r="A485" s="344"/>
      <c r="B485" s="470"/>
      <c r="C485" s="469"/>
      <c r="D485" s="485"/>
      <c r="E485" s="469"/>
      <c r="F485" s="469"/>
      <c r="G485" s="470"/>
      <c r="H485" s="469"/>
      <c r="I485" s="470"/>
      <c r="J485" s="470"/>
      <c r="K485" s="344"/>
      <c r="L485" s="469"/>
      <c r="M485" s="469"/>
      <c r="N485" s="469"/>
      <c r="O485" s="469"/>
      <c r="P485" s="469"/>
      <c r="Q485" s="470"/>
      <c r="R485" s="469"/>
      <c r="S485" s="469"/>
      <c r="T485" s="470"/>
      <c r="U485" s="470"/>
      <c r="V485" s="470"/>
      <c r="W485" s="469"/>
      <c r="X485" s="469"/>
      <c r="Y485" s="469"/>
      <c r="Z485" s="470"/>
      <c r="AA485" s="469"/>
      <c r="AB485" s="469"/>
      <c r="AC485" s="469"/>
      <c r="AD485" s="469"/>
      <c r="AE485" s="472"/>
      <c r="AF485" s="472"/>
      <c r="AG485" s="486"/>
      <c r="AH485" s="486"/>
    </row>
    <row r="486" ht="15.75" customHeight="1">
      <c r="A486" s="344"/>
      <c r="B486" s="470"/>
      <c r="C486" s="469"/>
      <c r="D486" s="485"/>
      <c r="E486" s="469"/>
      <c r="F486" s="469"/>
      <c r="G486" s="470"/>
      <c r="H486" s="469"/>
      <c r="I486" s="470"/>
      <c r="J486" s="470"/>
      <c r="K486" s="344"/>
      <c r="L486" s="469"/>
      <c r="M486" s="469"/>
      <c r="N486" s="469"/>
      <c r="O486" s="469"/>
      <c r="P486" s="469"/>
      <c r="Q486" s="470"/>
      <c r="R486" s="469"/>
      <c r="S486" s="469"/>
      <c r="T486" s="470"/>
      <c r="U486" s="470"/>
      <c r="V486" s="470"/>
      <c r="W486" s="469"/>
      <c r="X486" s="469"/>
      <c r="Y486" s="469"/>
      <c r="Z486" s="470"/>
      <c r="AA486" s="469"/>
      <c r="AB486" s="469"/>
      <c r="AC486" s="469"/>
      <c r="AD486" s="469"/>
      <c r="AE486" s="472"/>
      <c r="AF486" s="472"/>
      <c r="AG486" s="486"/>
      <c r="AH486" s="486"/>
    </row>
    <row r="487" ht="15.75" customHeight="1">
      <c r="A487" s="344"/>
      <c r="B487" s="470"/>
      <c r="C487" s="469"/>
      <c r="D487" s="485"/>
      <c r="E487" s="469"/>
      <c r="F487" s="469"/>
      <c r="G487" s="470"/>
      <c r="H487" s="469"/>
      <c r="I487" s="470"/>
      <c r="J487" s="470"/>
      <c r="K487" s="344"/>
      <c r="L487" s="469"/>
      <c r="M487" s="469"/>
      <c r="N487" s="469"/>
      <c r="O487" s="469"/>
      <c r="P487" s="469"/>
      <c r="Q487" s="470"/>
      <c r="R487" s="469"/>
      <c r="S487" s="469"/>
      <c r="T487" s="470"/>
      <c r="U487" s="470"/>
      <c r="V487" s="470"/>
      <c r="W487" s="469"/>
      <c r="X487" s="469"/>
      <c r="Y487" s="469"/>
      <c r="Z487" s="470"/>
      <c r="AA487" s="469"/>
      <c r="AB487" s="469"/>
      <c r="AC487" s="469"/>
      <c r="AD487" s="469"/>
      <c r="AE487" s="472"/>
      <c r="AF487" s="472"/>
      <c r="AG487" s="486"/>
      <c r="AH487" s="486"/>
    </row>
    <row r="488" ht="15.75" customHeight="1">
      <c r="A488" s="344"/>
      <c r="B488" s="470"/>
      <c r="C488" s="469"/>
      <c r="D488" s="485"/>
      <c r="E488" s="469"/>
      <c r="F488" s="469"/>
      <c r="G488" s="470"/>
      <c r="H488" s="469"/>
      <c r="I488" s="470"/>
      <c r="J488" s="470"/>
      <c r="K488" s="344"/>
      <c r="L488" s="469"/>
      <c r="M488" s="469"/>
      <c r="N488" s="469"/>
      <c r="O488" s="469"/>
      <c r="P488" s="469"/>
      <c r="Q488" s="470"/>
      <c r="R488" s="469"/>
      <c r="S488" s="469"/>
      <c r="T488" s="470"/>
      <c r="U488" s="470"/>
      <c r="V488" s="470"/>
      <c r="W488" s="469"/>
      <c r="X488" s="469"/>
      <c r="Y488" s="469"/>
      <c r="Z488" s="470"/>
      <c r="AA488" s="469"/>
      <c r="AB488" s="469"/>
      <c r="AC488" s="469"/>
      <c r="AD488" s="469"/>
      <c r="AE488" s="472"/>
      <c r="AF488" s="472"/>
      <c r="AG488" s="486"/>
      <c r="AH488" s="486"/>
    </row>
    <row r="489" ht="15.75" customHeight="1">
      <c r="A489" s="344"/>
      <c r="B489" s="470"/>
      <c r="C489" s="469"/>
      <c r="D489" s="485"/>
      <c r="E489" s="469"/>
      <c r="F489" s="469"/>
      <c r="G489" s="470"/>
      <c r="H489" s="469"/>
      <c r="I489" s="470"/>
      <c r="J489" s="470"/>
      <c r="K489" s="344"/>
      <c r="L489" s="469"/>
      <c r="M489" s="469"/>
      <c r="N489" s="469"/>
      <c r="O489" s="469"/>
      <c r="P489" s="469"/>
      <c r="Q489" s="470"/>
      <c r="R489" s="469"/>
      <c r="S489" s="469"/>
      <c r="T489" s="470"/>
      <c r="U489" s="470"/>
      <c r="V489" s="470"/>
      <c r="W489" s="469"/>
      <c r="X489" s="469"/>
      <c r="Y489" s="469"/>
      <c r="Z489" s="470"/>
      <c r="AA489" s="469"/>
      <c r="AB489" s="469"/>
      <c r="AC489" s="469"/>
      <c r="AD489" s="469"/>
      <c r="AE489" s="472"/>
      <c r="AF489" s="472"/>
      <c r="AG489" s="486"/>
      <c r="AH489" s="486"/>
    </row>
    <row r="490" ht="15.75" customHeight="1">
      <c r="A490" s="344"/>
      <c r="B490" s="470"/>
      <c r="C490" s="469"/>
      <c r="D490" s="485"/>
      <c r="E490" s="469"/>
      <c r="F490" s="469"/>
      <c r="G490" s="470"/>
      <c r="H490" s="469"/>
      <c r="I490" s="470"/>
      <c r="J490" s="470"/>
      <c r="K490" s="344"/>
      <c r="L490" s="469"/>
      <c r="M490" s="469"/>
      <c r="N490" s="469"/>
      <c r="O490" s="469"/>
      <c r="P490" s="469"/>
      <c r="Q490" s="470"/>
      <c r="R490" s="469"/>
      <c r="S490" s="469"/>
      <c r="T490" s="470"/>
      <c r="U490" s="470"/>
      <c r="V490" s="470"/>
      <c r="W490" s="469"/>
      <c r="X490" s="469"/>
      <c r="Y490" s="469"/>
      <c r="Z490" s="470"/>
      <c r="AA490" s="469"/>
      <c r="AB490" s="469"/>
      <c r="AC490" s="469"/>
      <c r="AD490" s="469"/>
      <c r="AE490" s="472"/>
      <c r="AF490" s="472"/>
      <c r="AG490" s="486"/>
      <c r="AH490" s="486"/>
    </row>
    <row r="491" ht="15.75" customHeight="1">
      <c r="A491" s="344"/>
      <c r="B491" s="470"/>
      <c r="C491" s="469"/>
      <c r="D491" s="485"/>
      <c r="E491" s="469"/>
      <c r="F491" s="469"/>
      <c r="G491" s="470"/>
      <c r="H491" s="469"/>
      <c r="I491" s="470"/>
      <c r="J491" s="470"/>
      <c r="K491" s="344"/>
      <c r="L491" s="469"/>
      <c r="M491" s="469"/>
      <c r="N491" s="469"/>
      <c r="O491" s="469"/>
      <c r="P491" s="469"/>
      <c r="Q491" s="470"/>
      <c r="R491" s="469"/>
      <c r="S491" s="469"/>
      <c r="T491" s="470"/>
      <c r="U491" s="470"/>
      <c r="V491" s="470"/>
      <c r="W491" s="469"/>
      <c r="X491" s="469"/>
      <c r="Y491" s="469"/>
      <c r="Z491" s="470"/>
      <c r="AA491" s="469"/>
      <c r="AB491" s="469"/>
      <c r="AC491" s="469"/>
      <c r="AD491" s="469"/>
      <c r="AE491" s="472"/>
      <c r="AF491" s="472"/>
      <c r="AG491" s="486"/>
      <c r="AH491" s="486"/>
    </row>
    <row r="492" ht="15.75" customHeight="1">
      <c r="A492" s="344"/>
      <c r="B492" s="470"/>
      <c r="C492" s="469"/>
      <c r="D492" s="485"/>
      <c r="E492" s="469"/>
      <c r="F492" s="469"/>
      <c r="G492" s="470"/>
      <c r="H492" s="469"/>
      <c r="I492" s="470"/>
      <c r="J492" s="470"/>
      <c r="K492" s="344"/>
      <c r="L492" s="469"/>
      <c r="M492" s="469"/>
      <c r="N492" s="469"/>
      <c r="O492" s="469"/>
      <c r="P492" s="469"/>
      <c r="Q492" s="470"/>
      <c r="R492" s="469"/>
      <c r="S492" s="469"/>
      <c r="T492" s="470"/>
      <c r="U492" s="470"/>
      <c r="V492" s="470"/>
      <c r="W492" s="469"/>
      <c r="X492" s="469"/>
      <c r="Y492" s="469"/>
      <c r="Z492" s="470"/>
      <c r="AA492" s="469"/>
      <c r="AB492" s="469"/>
      <c r="AC492" s="469"/>
      <c r="AD492" s="469"/>
      <c r="AE492" s="472"/>
      <c r="AF492" s="472"/>
      <c r="AG492" s="486"/>
      <c r="AH492" s="486"/>
    </row>
    <row r="493" ht="15.75" customHeight="1">
      <c r="A493" s="344"/>
      <c r="B493" s="470"/>
      <c r="C493" s="469"/>
      <c r="D493" s="485"/>
      <c r="E493" s="469"/>
      <c r="F493" s="469"/>
      <c r="G493" s="470"/>
      <c r="H493" s="469"/>
      <c r="I493" s="470"/>
      <c r="J493" s="470"/>
      <c r="K493" s="344"/>
      <c r="L493" s="469"/>
      <c r="M493" s="469"/>
      <c r="N493" s="469"/>
      <c r="O493" s="469"/>
      <c r="P493" s="469"/>
      <c r="Q493" s="470"/>
      <c r="R493" s="469"/>
      <c r="S493" s="469"/>
      <c r="T493" s="470"/>
      <c r="U493" s="470"/>
      <c r="V493" s="470"/>
      <c r="W493" s="469"/>
      <c r="X493" s="469"/>
      <c r="Y493" s="469"/>
      <c r="Z493" s="470"/>
      <c r="AA493" s="469"/>
      <c r="AB493" s="469"/>
      <c r="AC493" s="469"/>
      <c r="AD493" s="469"/>
      <c r="AE493" s="472"/>
      <c r="AF493" s="472"/>
      <c r="AG493" s="486"/>
      <c r="AH493" s="486"/>
    </row>
    <row r="494" ht="15.75" customHeight="1">
      <c r="A494" s="344"/>
      <c r="B494" s="470"/>
      <c r="C494" s="469"/>
      <c r="D494" s="485"/>
      <c r="E494" s="469"/>
      <c r="F494" s="469"/>
      <c r="G494" s="470"/>
      <c r="H494" s="469"/>
      <c r="I494" s="470"/>
      <c r="J494" s="470"/>
      <c r="K494" s="344"/>
      <c r="L494" s="469"/>
      <c r="M494" s="469"/>
      <c r="N494" s="469"/>
      <c r="O494" s="469"/>
      <c r="P494" s="469"/>
      <c r="Q494" s="470"/>
      <c r="R494" s="469"/>
      <c r="S494" s="469"/>
      <c r="T494" s="470"/>
      <c r="U494" s="470"/>
      <c r="V494" s="470"/>
      <c r="W494" s="469"/>
      <c r="X494" s="469"/>
      <c r="Y494" s="469"/>
      <c r="Z494" s="470"/>
      <c r="AA494" s="469"/>
      <c r="AB494" s="469"/>
      <c r="AC494" s="469"/>
      <c r="AD494" s="469"/>
      <c r="AE494" s="472"/>
      <c r="AF494" s="472"/>
      <c r="AG494" s="486"/>
      <c r="AH494" s="486"/>
    </row>
    <row r="495" ht="15.75" customHeight="1">
      <c r="A495" s="344"/>
      <c r="B495" s="470"/>
      <c r="C495" s="469"/>
      <c r="D495" s="485"/>
      <c r="E495" s="469"/>
      <c r="F495" s="469"/>
      <c r="G495" s="470"/>
      <c r="H495" s="469"/>
      <c r="I495" s="470"/>
      <c r="J495" s="470"/>
      <c r="K495" s="344"/>
      <c r="L495" s="469"/>
      <c r="M495" s="469"/>
      <c r="N495" s="469"/>
      <c r="O495" s="469"/>
      <c r="P495" s="469"/>
      <c r="Q495" s="470"/>
      <c r="R495" s="469"/>
      <c r="S495" s="469"/>
      <c r="T495" s="470"/>
      <c r="U495" s="470"/>
      <c r="V495" s="470"/>
      <c r="W495" s="469"/>
      <c r="X495" s="469"/>
      <c r="Y495" s="469"/>
      <c r="Z495" s="470"/>
      <c r="AA495" s="469"/>
      <c r="AB495" s="469"/>
      <c r="AC495" s="469"/>
      <c r="AD495" s="469"/>
      <c r="AE495" s="472"/>
      <c r="AF495" s="472"/>
      <c r="AG495" s="486"/>
      <c r="AH495" s="486"/>
    </row>
    <row r="496" ht="15.75" customHeight="1">
      <c r="A496" s="344"/>
      <c r="B496" s="470"/>
      <c r="C496" s="469"/>
      <c r="D496" s="485"/>
      <c r="E496" s="469"/>
      <c r="F496" s="469"/>
      <c r="G496" s="470"/>
      <c r="H496" s="469"/>
      <c r="I496" s="470"/>
      <c r="J496" s="470"/>
      <c r="K496" s="344"/>
      <c r="L496" s="469"/>
      <c r="M496" s="469"/>
      <c r="N496" s="469"/>
      <c r="O496" s="469"/>
      <c r="P496" s="469"/>
      <c r="Q496" s="470"/>
      <c r="R496" s="469"/>
      <c r="S496" s="469"/>
      <c r="T496" s="470"/>
      <c r="U496" s="470"/>
      <c r="V496" s="470"/>
      <c r="W496" s="469"/>
      <c r="X496" s="469"/>
      <c r="Y496" s="469"/>
      <c r="Z496" s="470"/>
      <c r="AA496" s="469"/>
      <c r="AB496" s="469"/>
      <c r="AC496" s="469"/>
      <c r="AD496" s="469"/>
      <c r="AE496" s="472"/>
      <c r="AF496" s="472"/>
      <c r="AG496" s="486"/>
      <c r="AH496" s="486"/>
    </row>
    <row r="497" ht="15.75" customHeight="1">
      <c r="A497" s="344"/>
      <c r="B497" s="470"/>
      <c r="C497" s="469"/>
      <c r="D497" s="485"/>
      <c r="E497" s="469"/>
      <c r="F497" s="469"/>
      <c r="G497" s="470"/>
      <c r="H497" s="469"/>
      <c r="I497" s="470"/>
      <c r="J497" s="470"/>
      <c r="K497" s="344"/>
      <c r="L497" s="469"/>
      <c r="M497" s="469"/>
      <c r="N497" s="469"/>
      <c r="O497" s="469"/>
      <c r="P497" s="469"/>
      <c r="Q497" s="470"/>
      <c r="R497" s="469"/>
      <c r="S497" s="469"/>
      <c r="T497" s="470"/>
      <c r="U497" s="470"/>
      <c r="V497" s="470"/>
      <c r="W497" s="469"/>
      <c r="X497" s="469"/>
      <c r="Y497" s="469"/>
      <c r="Z497" s="470"/>
      <c r="AA497" s="469"/>
      <c r="AB497" s="469"/>
      <c r="AC497" s="469"/>
      <c r="AD497" s="469"/>
      <c r="AE497" s="472"/>
      <c r="AF497" s="472"/>
      <c r="AG497" s="486"/>
      <c r="AH497" s="486"/>
    </row>
    <row r="498" ht="15.75" customHeight="1">
      <c r="A498" s="344"/>
      <c r="B498" s="470"/>
      <c r="C498" s="469"/>
      <c r="D498" s="485"/>
      <c r="E498" s="469"/>
      <c r="F498" s="469"/>
      <c r="G498" s="470"/>
      <c r="H498" s="469"/>
      <c r="I498" s="470"/>
      <c r="J498" s="470"/>
      <c r="K498" s="344"/>
      <c r="L498" s="469"/>
      <c r="M498" s="469"/>
      <c r="N498" s="469"/>
      <c r="O498" s="469"/>
      <c r="P498" s="469"/>
      <c r="Q498" s="470"/>
      <c r="R498" s="469"/>
      <c r="S498" s="469"/>
      <c r="T498" s="470"/>
      <c r="U498" s="470"/>
      <c r="V498" s="470"/>
      <c r="W498" s="469"/>
      <c r="X498" s="469"/>
      <c r="Y498" s="469"/>
      <c r="Z498" s="470"/>
      <c r="AA498" s="469"/>
      <c r="AB498" s="469"/>
      <c r="AC498" s="469"/>
      <c r="AD498" s="469"/>
      <c r="AE498" s="472"/>
      <c r="AF498" s="472"/>
      <c r="AG498" s="486"/>
      <c r="AH498" s="486"/>
    </row>
    <row r="499" ht="15.75" customHeight="1">
      <c r="A499" s="344"/>
      <c r="B499" s="470"/>
      <c r="C499" s="469"/>
      <c r="D499" s="485"/>
      <c r="E499" s="469"/>
      <c r="F499" s="469"/>
      <c r="G499" s="470"/>
      <c r="H499" s="469"/>
      <c r="I499" s="470"/>
      <c r="J499" s="470"/>
      <c r="K499" s="344"/>
      <c r="L499" s="469"/>
      <c r="M499" s="469"/>
      <c r="N499" s="469"/>
      <c r="O499" s="469"/>
      <c r="P499" s="469"/>
      <c r="Q499" s="470"/>
      <c r="R499" s="469"/>
      <c r="S499" s="469"/>
      <c r="T499" s="470"/>
      <c r="U499" s="470"/>
      <c r="V499" s="470"/>
      <c r="W499" s="469"/>
      <c r="X499" s="469"/>
      <c r="Y499" s="469"/>
      <c r="Z499" s="470"/>
      <c r="AA499" s="469"/>
      <c r="AB499" s="469"/>
      <c r="AC499" s="469"/>
      <c r="AD499" s="469"/>
      <c r="AE499" s="472"/>
      <c r="AF499" s="472"/>
      <c r="AG499" s="486"/>
      <c r="AH499" s="486"/>
    </row>
    <row r="500" ht="15.75" customHeight="1">
      <c r="A500" s="344"/>
      <c r="B500" s="470"/>
      <c r="C500" s="469"/>
      <c r="D500" s="485"/>
      <c r="E500" s="469"/>
      <c r="F500" s="469"/>
      <c r="G500" s="470"/>
      <c r="H500" s="469"/>
      <c r="I500" s="470"/>
      <c r="J500" s="470"/>
      <c r="K500" s="344"/>
      <c r="L500" s="469"/>
      <c r="M500" s="469"/>
      <c r="N500" s="469"/>
      <c r="O500" s="469"/>
      <c r="P500" s="469"/>
      <c r="Q500" s="470"/>
      <c r="R500" s="469"/>
      <c r="S500" s="469"/>
      <c r="T500" s="470"/>
      <c r="U500" s="470"/>
      <c r="V500" s="470"/>
      <c r="W500" s="469"/>
      <c r="X500" s="469"/>
      <c r="Y500" s="469"/>
      <c r="Z500" s="470"/>
      <c r="AA500" s="469"/>
      <c r="AB500" s="469"/>
      <c r="AC500" s="469"/>
      <c r="AD500" s="469"/>
      <c r="AE500" s="472"/>
      <c r="AF500" s="472"/>
      <c r="AG500" s="486"/>
      <c r="AH500" s="486"/>
    </row>
    <row r="501" ht="15.75" customHeight="1">
      <c r="A501" s="344"/>
      <c r="B501" s="470"/>
      <c r="C501" s="469"/>
      <c r="D501" s="485"/>
      <c r="E501" s="469"/>
      <c r="F501" s="469"/>
      <c r="G501" s="470"/>
      <c r="H501" s="469"/>
      <c r="I501" s="470"/>
      <c r="J501" s="470"/>
      <c r="K501" s="344"/>
      <c r="L501" s="469"/>
      <c r="M501" s="469"/>
      <c r="N501" s="469"/>
      <c r="O501" s="469"/>
      <c r="P501" s="469"/>
      <c r="Q501" s="470"/>
      <c r="R501" s="469"/>
      <c r="S501" s="469"/>
      <c r="T501" s="470"/>
      <c r="U501" s="470"/>
      <c r="V501" s="470"/>
      <c r="W501" s="469"/>
      <c r="X501" s="469"/>
      <c r="Y501" s="469"/>
      <c r="Z501" s="470"/>
      <c r="AA501" s="469"/>
      <c r="AB501" s="469"/>
      <c r="AC501" s="469"/>
      <c r="AD501" s="469"/>
      <c r="AE501" s="472"/>
      <c r="AF501" s="472"/>
      <c r="AG501" s="486"/>
      <c r="AH501" s="486"/>
    </row>
    <row r="502" ht="15.75" customHeight="1">
      <c r="A502" s="344"/>
      <c r="B502" s="470"/>
      <c r="C502" s="469"/>
      <c r="D502" s="485"/>
      <c r="E502" s="469"/>
      <c r="F502" s="469"/>
      <c r="G502" s="470"/>
      <c r="H502" s="469"/>
      <c r="I502" s="470"/>
      <c r="J502" s="470"/>
      <c r="K502" s="344"/>
      <c r="L502" s="469"/>
      <c r="M502" s="469"/>
      <c r="N502" s="469"/>
      <c r="O502" s="469"/>
      <c r="P502" s="469"/>
      <c r="Q502" s="470"/>
      <c r="R502" s="469"/>
      <c r="S502" s="469"/>
      <c r="T502" s="470"/>
      <c r="U502" s="470"/>
      <c r="V502" s="470"/>
      <c r="W502" s="469"/>
      <c r="X502" s="469"/>
      <c r="Y502" s="469"/>
      <c r="Z502" s="470"/>
      <c r="AA502" s="469"/>
      <c r="AB502" s="469"/>
      <c r="AC502" s="469"/>
      <c r="AD502" s="469"/>
      <c r="AE502" s="472"/>
      <c r="AF502" s="472"/>
      <c r="AG502" s="486"/>
      <c r="AH502" s="486"/>
    </row>
    <row r="503" ht="15.75" customHeight="1">
      <c r="A503" s="344"/>
      <c r="B503" s="470"/>
      <c r="C503" s="469"/>
      <c r="D503" s="485"/>
      <c r="E503" s="469"/>
      <c r="F503" s="469"/>
      <c r="G503" s="470"/>
      <c r="H503" s="469"/>
      <c r="I503" s="470"/>
      <c r="J503" s="470"/>
      <c r="K503" s="344"/>
      <c r="L503" s="469"/>
      <c r="M503" s="469"/>
      <c r="N503" s="469"/>
      <c r="O503" s="469"/>
      <c r="P503" s="469"/>
      <c r="Q503" s="470"/>
      <c r="R503" s="469"/>
      <c r="S503" s="469"/>
      <c r="T503" s="470"/>
      <c r="U503" s="470"/>
      <c r="V503" s="470"/>
      <c r="W503" s="469"/>
      <c r="X503" s="469"/>
      <c r="Y503" s="469"/>
      <c r="Z503" s="470"/>
      <c r="AA503" s="469"/>
      <c r="AB503" s="469"/>
      <c r="AC503" s="469"/>
      <c r="AD503" s="469"/>
      <c r="AE503" s="472"/>
      <c r="AF503" s="472"/>
      <c r="AG503" s="486"/>
      <c r="AH503" s="486"/>
    </row>
    <row r="504" ht="15.75" customHeight="1">
      <c r="A504" s="344"/>
      <c r="B504" s="470"/>
      <c r="C504" s="469"/>
      <c r="D504" s="485"/>
      <c r="E504" s="469"/>
      <c r="F504" s="469"/>
      <c r="G504" s="470"/>
      <c r="H504" s="469"/>
      <c r="I504" s="470"/>
      <c r="J504" s="470"/>
      <c r="K504" s="344"/>
      <c r="L504" s="469"/>
      <c r="M504" s="469"/>
      <c r="N504" s="469"/>
      <c r="O504" s="469"/>
      <c r="P504" s="469"/>
      <c r="Q504" s="470"/>
      <c r="R504" s="469"/>
      <c r="S504" s="469"/>
      <c r="T504" s="470"/>
      <c r="U504" s="470"/>
      <c r="V504" s="470"/>
      <c r="W504" s="469"/>
      <c r="X504" s="469"/>
      <c r="Y504" s="469"/>
      <c r="Z504" s="470"/>
      <c r="AA504" s="469"/>
      <c r="AB504" s="469"/>
      <c r="AC504" s="469"/>
      <c r="AD504" s="469"/>
      <c r="AE504" s="472"/>
      <c r="AF504" s="472"/>
      <c r="AG504" s="486"/>
      <c r="AH504" s="486"/>
    </row>
    <row r="505" ht="15.75" customHeight="1">
      <c r="A505" s="344"/>
      <c r="B505" s="470"/>
      <c r="C505" s="469"/>
      <c r="D505" s="485"/>
      <c r="E505" s="469"/>
      <c r="F505" s="469"/>
      <c r="G505" s="470"/>
      <c r="H505" s="469"/>
      <c r="I505" s="470"/>
      <c r="J505" s="470"/>
      <c r="K505" s="344"/>
      <c r="L505" s="469"/>
      <c r="M505" s="469"/>
      <c r="N505" s="469"/>
      <c r="O505" s="469"/>
      <c r="P505" s="469"/>
      <c r="Q505" s="470"/>
      <c r="R505" s="469"/>
      <c r="S505" s="469"/>
      <c r="T505" s="470"/>
      <c r="U505" s="470"/>
      <c r="V505" s="470"/>
      <c r="W505" s="469"/>
      <c r="X505" s="469"/>
      <c r="Y505" s="469"/>
      <c r="Z505" s="470"/>
      <c r="AA505" s="469"/>
      <c r="AB505" s="469"/>
      <c r="AC505" s="469"/>
      <c r="AD505" s="469"/>
      <c r="AE505" s="472"/>
      <c r="AF505" s="472"/>
      <c r="AG505" s="486"/>
      <c r="AH505" s="486"/>
    </row>
    <row r="506" ht="15.75" customHeight="1">
      <c r="A506" s="344"/>
      <c r="B506" s="470"/>
      <c r="C506" s="469"/>
      <c r="D506" s="485"/>
      <c r="E506" s="469"/>
      <c r="F506" s="469"/>
      <c r="G506" s="470"/>
      <c r="H506" s="469"/>
      <c r="I506" s="470"/>
      <c r="J506" s="470"/>
      <c r="K506" s="344"/>
      <c r="L506" s="469"/>
      <c r="M506" s="469"/>
      <c r="N506" s="469"/>
      <c r="O506" s="469"/>
      <c r="P506" s="469"/>
      <c r="Q506" s="470"/>
      <c r="R506" s="469"/>
      <c r="S506" s="469"/>
      <c r="T506" s="470"/>
      <c r="U506" s="470"/>
      <c r="V506" s="470"/>
      <c r="W506" s="469"/>
      <c r="X506" s="469"/>
      <c r="Y506" s="469"/>
      <c r="Z506" s="470"/>
      <c r="AA506" s="469"/>
      <c r="AB506" s="469"/>
      <c r="AC506" s="469"/>
      <c r="AD506" s="469"/>
      <c r="AE506" s="472"/>
      <c r="AF506" s="472"/>
      <c r="AG506" s="486"/>
      <c r="AH506" s="486"/>
    </row>
    <row r="507" ht="15.75" customHeight="1">
      <c r="A507" s="344"/>
      <c r="B507" s="470"/>
      <c r="C507" s="469"/>
      <c r="D507" s="485"/>
      <c r="E507" s="469"/>
      <c r="F507" s="469"/>
      <c r="G507" s="470"/>
      <c r="H507" s="469"/>
      <c r="I507" s="470"/>
      <c r="J507" s="470"/>
      <c r="K507" s="344"/>
      <c r="L507" s="469"/>
      <c r="M507" s="469"/>
      <c r="N507" s="469"/>
      <c r="O507" s="469"/>
      <c r="P507" s="469"/>
      <c r="Q507" s="470"/>
      <c r="R507" s="469"/>
      <c r="S507" s="469"/>
      <c r="T507" s="470"/>
      <c r="U507" s="470"/>
      <c r="V507" s="470"/>
      <c r="W507" s="469"/>
      <c r="X507" s="469"/>
      <c r="Y507" s="469"/>
      <c r="Z507" s="470"/>
      <c r="AA507" s="469"/>
      <c r="AB507" s="469"/>
      <c r="AC507" s="469"/>
      <c r="AD507" s="469"/>
      <c r="AE507" s="472"/>
      <c r="AF507" s="472"/>
      <c r="AG507" s="486"/>
      <c r="AH507" s="486"/>
    </row>
    <row r="508" ht="15.75" customHeight="1">
      <c r="A508" s="344"/>
      <c r="B508" s="470"/>
      <c r="C508" s="469"/>
      <c r="D508" s="485"/>
      <c r="E508" s="469"/>
      <c r="F508" s="469"/>
      <c r="G508" s="470"/>
      <c r="H508" s="469"/>
      <c r="I508" s="470"/>
      <c r="J508" s="470"/>
      <c r="K508" s="344"/>
      <c r="L508" s="469"/>
      <c r="M508" s="469"/>
      <c r="N508" s="469"/>
      <c r="O508" s="469"/>
      <c r="P508" s="469"/>
      <c r="Q508" s="470"/>
      <c r="R508" s="469"/>
      <c r="S508" s="469"/>
      <c r="T508" s="470"/>
      <c r="U508" s="470"/>
      <c r="V508" s="470"/>
      <c r="W508" s="469"/>
      <c r="X508" s="469"/>
      <c r="Y508" s="469"/>
      <c r="Z508" s="470"/>
      <c r="AA508" s="469"/>
      <c r="AB508" s="469"/>
      <c r="AC508" s="469"/>
      <c r="AD508" s="469"/>
      <c r="AE508" s="472"/>
      <c r="AF508" s="472"/>
      <c r="AG508" s="486"/>
      <c r="AH508" s="486"/>
    </row>
    <row r="509" ht="15.75" customHeight="1">
      <c r="A509" s="344"/>
      <c r="B509" s="470"/>
      <c r="C509" s="469"/>
      <c r="D509" s="485"/>
      <c r="E509" s="469"/>
      <c r="F509" s="469"/>
      <c r="G509" s="470"/>
      <c r="H509" s="469"/>
      <c r="I509" s="470"/>
      <c r="J509" s="470"/>
      <c r="K509" s="344"/>
      <c r="L509" s="469"/>
      <c r="M509" s="469"/>
      <c r="N509" s="469"/>
      <c r="O509" s="469"/>
      <c r="P509" s="469"/>
      <c r="Q509" s="470"/>
      <c r="R509" s="469"/>
      <c r="S509" s="469"/>
      <c r="T509" s="470"/>
      <c r="U509" s="470"/>
      <c r="V509" s="470"/>
      <c r="W509" s="469"/>
      <c r="X509" s="469"/>
      <c r="Y509" s="469"/>
      <c r="Z509" s="470"/>
      <c r="AA509" s="469"/>
      <c r="AB509" s="469"/>
      <c r="AC509" s="469"/>
      <c r="AD509" s="469"/>
      <c r="AE509" s="472"/>
      <c r="AF509" s="472"/>
      <c r="AG509" s="486"/>
      <c r="AH509" s="486"/>
    </row>
    <row r="510" ht="15.75" customHeight="1">
      <c r="A510" s="344"/>
      <c r="B510" s="470"/>
      <c r="C510" s="469"/>
      <c r="D510" s="485"/>
      <c r="E510" s="469"/>
      <c r="F510" s="469"/>
      <c r="G510" s="470"/>
      <c r="H510" s="469"/>
      <c r="I510" s="470"/>
      <c r="J510" s="470"/>
      <c r="K510" s="344"/>
      <c r="L510" s="469"/>
      <c r="M510" s="469"/>
      <c r="N510" s="469"/>
      <c r="O510" s="469"/>
      <c r="P510" s="469"/>
      <c r="Q510" s="470"/>
      <c r="R510" s="469"/>
      <c r="S510" s="469"/>
      <c r="T510" s="470"/>
      <c r="U510" s="470"/>
      <c r="V510" s="470"/>
      <c r="W510" s="469"/>
      <c r="X510" s="469"/>
      <c r="Y510" s="469"/>
      <c r="Z510" s="470"/>
      <c r="AA510" s="469"/>
      <c r="AB510" s="469"/>
      <c r="AC510" s="469"/>
      <c r="AD510" s="469"/>
      <c r="AE510" s="472"/>
      <c r="AF510" s="472"/>
      <c r="AG510" s="486"/>
      <c r="AH510" s="486"/>
    </row>
    <row r="511" ht="15.75" customHeight="1">
      <c r="A511" s="344"/>
      <c r="B511" s="470"/>
      <c r="C511" s="469"/>
      <c r="D511" s="485"/>
      <c r="E511" s="469"/>
      <c r="F511" s="469"/>
      <c r="G511" s="470"/>
      <c r="H511" s="469"/>
      <c r="I511" s="470"/>
      <c r="J511" s="470"/>
      <c r="K511" s="344"/>
      <c r="L511" s="469"/>
      <c r="M511" s="469"/>
      <c r="N511" s="469"/>
      <c r="O511" s="469"/>
      <c r="P511" s="469"/>
      <c r="Q511" s="470"/>
      <c r="R511" s="469"/>
      <c r="S511" s="469"/>
      <c r="T511" s="470"/>
      <c r="U511" s="470"/>
      <c r="V511" s="470"/>
      <c r="W511" s="469"/>
      <c r="X511" s="469"/>
      <c r="Y511" s="469"/>
      <c r="Z511" s="470"/>
      <c r="AA511" s="469"/>
      <c r="AB511" s="469"/>
      <c r="AC511" s="469"/>
      <c r="AD511" s="469"/>
      <c r="AE511" s="472"/>
      <c r="AF511" s="472"/>
      <c r="AG511" s="486"/>
      <c r="AH511" s="486"/>
    </row>
    <row r="512" ht="15.75" customHeight="1">
      <c r="A512" s="344"/>
      <c r="B512" s="470"/>
      <c r="C512" s="469"/>
      <c r="D512" s="485"/>
      <c r="E512" s="469"/>
      <c r="F512" s="469"/>
      <c r="G512" s="470"/>
      <c r="H512" s="469"/>
      <c r="I512" s="470"/>
      <c r="J512" s="470"/>
      <c r="K512" s="344"/>
      <c r="L512" s="469"/>
      <c r="M512" s="469"/>
      <c r="N512" s="469"/>
      <c r="O512" s="469"/>
      <c r="P512" s="469"/>
      <c r="Q512" s="470"/>
      <c r="R512" s="469"/>
      <c r="S512" s="469"/>
      <c r="T512" s="470"/>
      <c r="U512" s="470"/>
      <c r="V512" s="470"/>
      <c r="W512" s="469"/>
      <c r="X512" s="469"/>
      <c r="Y512" s="469"/>
      <c r="Z512" s="470"/>
      <c r="AA512" s="469"/>
      <c r="AB512" s="469"/>
      <c r="AC512" s="469"/>
      <c r="AD512" s="469"/>
      <c r="AE512" s="472"/>
      <c r="AF512" s="472"/>
      <c r="AG512" s="486"/>
      <c r="AH512" s="486"/>
    </row>
    <row r="513" ht="15.75" customHeight="1">
      <c r="A513" s="344"/>
      <c r="B513" s="470"/>
      <c r="C513" s="469"/>
      <c r="D513" s="485"/>
      <c r="E513" s="469"/>
      <c r="F513" s="469"/>
      <c r="G513" s="470"/>
      <c r="H513" s="469"/>
      <c r="I513" s="470"/>
      <c r="J513" s="470"/>
      <c r="K513" s="344"/>
      <c r="L513" s="469"/>
      <c r="M513" s="469"/>
      <c r="N513" s="469"/>
      <c r="O513" s="469"/>
      <c r="P513" s="469"/>
      <c r="Q513" s="470"/>
      <c r="R513" s="469"/>
      <c r="S513" s="469"/>
      <c r="T513" s="470"/>
      <c r="U513" s="470"/>
      <c r="V513" s="470"/>
      <c r="W513" s="469"/>
      <c r="X513" s="469"/>
      <c r="Y513" s="469"/>
      <c r="Z513" s="470"/>
      <c r="AA513" s="469"/>
      <c r="AB513" s="469"/>
      <c r="AC513" s="469"/>
      <c r="AD513" s="469"/>
      <c r="AE513" s="472"/>
      <c r="AF513" s="472"/>
      <c r="AG513" s="486"/>
      <c r="AH513" s="486"/>
    </row>
    <row r="514" ht="15.75" customHeight="1">
      <c r="A514" s="344"/>
      <c r="B514" s="470"/>
      <c r="C514" s="469"/>
      <c r="D514" s="485"/>
      <c r="E514" s="469"/>
      <c r="F514" s="469"/>
      <c r="G514" s="470"/>
      <c r="H514" s="469"/>
      <c r="I514" s="470"/>
      <c r="J514" s="470"/>
      <c r="K514" s="344"/>
      <c r="L514" s="469"/>
      <c r="M514" s="469"/>
      <c r="N514" s="469"/>
      <c r="O514" s="469"/>
      <c r="P514" s="469"/>
      <c r="Q514" s="470"/>
      <c r="R514" s="469"/>
      <c r="S514" s="469"/>
      <c r="T514" s="470"/>
      <c r="U514" s="470"/>
      <c r="V514" s="470"/>
      <c r="W514" s="469"/>
      <c r="X514" s="469"/>
      <c r="Y514" s="469"/>
      <c r="Z514" s="470"/>
      <c r="AA514" s="469"/>
      <c r="AB514" s="469"/>
      <c r="AC514" s="469"/>
      <c r="AD514" s="469"/>
      <c r="AE514" s="472"/>
      <c r="AF514" s="472"/>
      <c r="AG514" s="486"/>
      <c r="AH514" s="486"/>
    </row>
    <row r="515" ht="15.75" customHeight="1">
      <c r="A515" s="344"/>
      <c r="B515" s="470"/>
      <c r="C515" s="469"/>
      <c r="D515" s="485"/>
      <c r="E515" s="469"/>
      <c r="F515" s="469"/>
      <c r="G515" s="470"/>
      <c r="H515" s="469"/>
      <c r="I515" s="470"/>
      <c r="J515" s="470"/>
      <c r="K515" s="344"/>
      <c r="L515" s="469"/>
      <c r="M515" s="469"/>
      <c r="N515" s="469"/>
      <c r="O515" s="469"/>
      <c r="P515" s="469"/>
      <c r="Q515" s="470"/>
      <c r="R515" s="469"/>
      <c r="S515" s="469"/>
      <c r="T515" s="470"/>
      <c r="U515" s="470"/>
      <c r="V515" s="470"/>
      <c r="W515" s="469"/>
      <c r="X515" s="469"/>
      <c r="Y515" s="469"/>
      <c r="Z515" s="470"/>
      <c r="AA515" s="469"/>
      <c r="AB515" s="469"/>
      <c r="AC515" s="469"/>
      <c r="AD515" s="469"/>
      <c r="AE515" s="472"/>
      <c r="AF515" s="472"/>
      <c r="AG515" s="486"/>
      <c r="AH515" s="486"/>
    </row>
    <row r="516" ht="15.75" customHeight="1">
      <c r="A516" s="344"/>
      <c r="B516" s="470"/>
      <c r="C516" s="469"/>
      <c r="D516" s="485"/>
      <c r="E516" s="469"/>
      <c r="F516" s="469"/>
      <c r="G516" s="470"/>
      <c r="H516" s="469"/>
      <c r="I516" s="470"/>
      <c r="J516" s="470"/>
      <c r="K516" s="344"/>
      <c r="L516" s="469"/>
      <c r="M516" s="469"/>
      <c r="N516" s="469"/>
      <c r="O516" s="469"/>
      <c r="P516" s="469"/>
      <c r="Q516" s="470"/>
      <c r="R516" s="469"/>
      <c r="S516" s="469"/>
      <c r="T516" s="470"/>
      <c r="U516" s="470"/>
      <c r="V516" s="470"/>
      <c r="W516" s="469"/>
      <c r="X516" s="469"/>
      <c r="Y516" s="469"/>
      <c r="Z516" s="470"/>
      <c r="AA516" s="469"/>
      <c r="AB516" s="469"/>
      <c r="AC516" s="469"/>
      <c r="AD516" s="469"/>
      <c r="AE516" s="472"/>
      <c r="AF516" s="472"/>
      <c r="AG516" s="486"/>
      <c r="AH516" s="486"/>
    </row>
    <row r="517" ht="15.75" customHeight="1">
      <c r="A517" s="344"/>
      <c r="B517" s="470"/>
      <c r="C517" s="469"/>
      <c r="D517" s="485"/>
      <c r="E517" s="469"/>
      <c r="F517" s="469"/>
      <c r="G517" s="470"/>
      <c r="H517" s="469"/>
      <c r="I517" s="470"/>
      <c r="J517" s="470"/>
      <c r="K517" s="344"/>
      <c r="L517" s="469"/>
      <c r="M517" s="469"/>
      <c r="N517" s="469"/>
      <c r="O517" s="469"/>
      <c r="P517" s="469"/>
      <c r="Q517" s="470"/>
      <c r="R517" s="469"/>
      <c r="S517" s="469"/>
      <c r="T517" s="470"/>
      <c r="U517" s="470"/>
      <c r="V517" s="470"/>
      <c r="W517" s="469"/>
      <c r="X517" s="469"/>
      <c r="Y517" s="469"/>
      <c r="Z517" s="470"/>
      <c r="AA517" s="469"/>
      <c r="AB517" s="469"/>
      <c r="AC517" s="469"/>
      <c r="AD517" s="469"/>
      <c r="AE517" s="472"/>
      <c r="AF517" s="472"/>
      <c r="AG517" s="486"/>
      <c r="AH517" s="486"/>
    </row>
    <row r="518" ht="15.75" customHeight="1">
      <c r="A518" s="344"/>
      <c r="B518" s="470"/>
      <c r="C518" s="469"/>
      <c r="D518" s="485"/>
      <c r="E518" s="469"/>
      <c r="F518" s="469"/>
      <c r="G518" s="470"/>
      <c r="H518" s="469"/>
      <c r="I518" s="470"/>
      <c r="J518" s="470"/>
      <c r="K518" s="344"/>
      <c r="L518" s="469"/>
      <c r="M518" s="469"/>
      <c r="N518" s="469"/>
      <c r="O518" s="469"/>
      <c r="P518" s="469"/>
      <c r="Q518" s="470"/>
      <c r="R518" s="469"/>
      <c r="S518" s="469"/>
      <c r="T518" s="470"/>
      <c r="U518" s="470"/>
      <c r="V518" s="470"/>
      <c r="W518" s="469"/>
      <c r="X518" s="469"/>
      <c r="Y518" s="469"/>
      <c r="Z518" s="470"/>
      <c r="AA518" s="469"/>
      <c r="AB518" s="469"/>
      <c r="AC518" s="469"/>
      <c r="AD518" s="469"/>
      <c r="AE518" s="472"/>
      <c r="AF518" s="472"/>
      <c r="AG518" s="486"/>
      <c r="AH518" s="486"/>
    </row>
    <row r="519" ht="15.75" customHeight="1">
      <c r="A519" s="344"/>
      <c r="B519" s="470"/>
      <c r="C519" s="469"/>
      <c r="D519" s="485"/>
      <c r="E519" s="469"/>
      <c r="F519" s="469"/>
      <c r="G519" s="470"/>
      <c r="H519" s="469"/>
      <c r="I519" s="470"/>
      <c r="J519" s="470"/>
      <c r="K519" s="344"/>
      <c r="L519" s="469"/>
      <c r="M519" s="469"/>
      <c r="N519" s="469"/>
      <c r="O519" s="469"/>
      <c r="P519" s="469"/>
      <c r="Q519" s="470"/>
      <c r="R519" s="469"/>
      <c r="S519" s="469"/>
      <c r="T519" s="470"/>
      <c r="U519" s="470"/>
      <c r="V519" s="470"/>
      <c r="W519" s="469"/>
      <c r="X519" s="469"/>
      <c r="Y519" s="469"/>
      <c r="Z519" s="470"/>
      <c r="AA519" s="469"/>
      <c r="AB519" s="469"/>
      <c r="AC519" s="469"/>
      <c r="AD519" s="469"/>
      <c r="AE519" s="472"/>
      <c r="AF519" s="472"/>
      <c r="AG519" s="486"/>
      <c r="AH519" s="486"/>
    </row>
    <row r="520" ht="15.75" customHeight="1">
      <c r="A520" s="344"/>
      <c r="B520" s="470"/>
      <c r="C520" s="469"/>
      <c r="D520" s="485"/>
      <c r="E520" s="469"/>
      <c r="F520" s="469"/>
      <c r="G520" s="470"/>
      <c r="H520" s="469"/>
      <c r="I520" s="470"/>
      <c r="J520" s="470"/>
      <c r="K520" s="344"/>
      <c r="L520" s="469"/>
      <c r="M520" s="469"/>
      <c r="N520" s="469"/>
      <c r="O520" s="469"/>
      <c r="P520" s="469"/>
      <c r="Q520" s="470"/>
      <c r="R520" s="469"/>
      <c r="S520" s="469"/>
      <c r="T520" s="470"/>
      <c r="U520" s="470"/>
      <c r="V520" s="470"/>
      <c r="W520" s="469"/>
      <c r="X520" s="469"/>
      <c r="Y520" s="469"/>
      <c r="Z520" s="470"/>
      <c r="AA520" s="469"/>
      <c r="AB520" s="469"/>
      <c r="AC520" s="469"/>
      <c r="AD520" s="469"/>
      <c r="AE520" s="472"/>
      <c r="AF520" s="472"/>
      <c r="AG520" s="486"/>
      <c r="AH520" s="486"/>
    </row>
    <row r="521" ht="15.75" customHeight="1">
      <c r="A521" s="344"/>
      <c r="B521" s="470"/>
      <c r="C521" s="469"/>
      <c r="D521" s="485"/>
      <c r="E521" s="469"/>
      <c r="F521" s="469"/>
      <c r="G521" s="470"/>
      <c r="H521" s="469"/>
      <c r="I521" s="470"/>
      <c r="J521" s="470"/>
      <c r="K521" s="344"/>
      <c r="L521" s="469"/>
      <c r="M521" s="469"/>
      <c r="N521" s="469"/>
      <c r="O521" s="469"/>
      <c r="P521" s="469"/>
      <c r="Q521" s="470"/>
      <c r="R521" s="469"/>
      <c r="S521" s="469"/>
      <c r="T521" s="470"/>
      <c r="U521" s="470"/>
      <c r="V521" s="470"/>
      <c r="W521" s="469"/>
      <c r="X521" s="469"/>
      <c r="Y521" s="469"/>
      <c r="Z521" s="470"/>
      <c r="AA521" s="469"/>
      <c r="AB521" s="469"/>
      <c r="AC521" s="469"/>
      <c r="AD521" s="469"/>
      <c r="AE521" s="472"/>
      <c r="AF521" s="472"/>
      <c r="AG521" s="486"/>
      <c r="AH521" s="486"/>
    </row>
    <row r="522" ht="15.75" customHeight="1">
      <c r="A522" s="344"/>
      <c r="B522" s="470"/>
      <c r="C522" s="469"/>
      <c r="D522" s="485"/>
      <c r="E522" s="469"/>
      <c r="F522" s="469"/>
      <c r="G522" s="470"/>
      <c r="H522" s="469"/>
      <c r="I522" s="470"/>
      <c r="J522" s="470"/>
      <c r="K522" s="344"/>
      <c r="L522" s="469"/>
      <c r="M522" s="469"/>
      <c r="N522" s="469"/>
      <c r="O522" s="469"/>
      <c r="P522" s="469"/>
      <c r="Q522" s="470"/>
      <c r="R522" s="469"/>
      <c r="S522" s="469"/>
      <c r="T522" s="470"/>
      <c r="U522" s="470"/>
      <c r="V522" s="470"/>
      <c r="W522" s="469"/>
      <c r="X522" s="469"/>
      <c r="Y522" s="469"/>
      <c r="Z522" s="470"/>
      <c r="AA522" s="469"/>
      <c r="AB522" s="469"/>
      <c r="AC522" s="469"/>
      <c r="AD522" s="469"/>
      <c r="AE522" s="472"/>
      <c r="AF522" s="472"/>
      <c r="AG522" s="486"/>
      <c r="AH522" s="486"/>
    </row>
    <row r="523" ht="15.75" customHeight="1">
      <c r="A523" s="344"/>
      <c r="B523" s="470"/>
      <c r="C523" s="469"/>
      <c r="D523" s="485"/>
      <c r="E523" s="469"/>
      <c r="F523" s="469"/>
      <c r="G523" s="470"/>
      <c r="H523" s="469"/>
      <c r="I523" s="470"/>
      <c r="J523" s="470"/>
      <c r="K523" s="344"/>
      <c r="L523" s="469"/>
      <c r="M523" s="469"/>
      <c r="N523" s="469"/>
      <c r="O523" s="469"/>
      <c r="P523" s="469"/>
      <c r="Q523" s="470"/>
      <c r="R523" s="469"/>
      <c r="S523" s="469"/>
      <c r="T523" s="470"/>
      <c r="U523" s="470"/>
      <c r="V523" s="470"/>
      <c r="W523" s="469"/>
      <c r="X523" s="469"/>
      <c r="Y523" s="469"/>
      <c r="Z523" s="470"/>
      <c r="AA523" s="469"/>
      <c r="AB523" s="469"/>
      <c r="AC523" s="469"/>
      <c r="AD523" s="469"/>
      <c r="AE523" s="472"/>
      <c r="AF523" s="472"/>
      <c r="AG523" s="486"/>
      <c r="AH523" s="486"/>
    </row>
    <row r="524" ht="15.75" customHeight="1">
      <c r="A524" s="344"/>
      <c r="B524" s="470"/>
      <c r="C524" s="469"/>
      <c r="D524" s="485"/>
      <c r="E524" s="469"/>
      <c r="F524" s="469"/>
      <c r="G524" s="470"/>
      <c r="H524" s="469"/>
      <c r="I524" s="470"/>
      <c r="J524" s="470"/>
      <c r="K524" s="344"/>
      <c r="L524" s="469"/>
      <c r="M524" s="469"/>
      <c r="N524" s="469"/>
      <c r="O524" s="469"/>
      <c r="P524" s="469"/>
      <c r="Q524" s="470"/>
      <c r="R524" s="469"/>
      <c r="S524" s="469"/>
      <c r="T524" s="470"/>
      <c r="U524" s="470"/>
      <c r="V524" s="470"/>
      <c r="W524" s="469"/>
      <c r="X524" s="469"/>
      <c r="Y524" s="469"/>
      <c r="Z524" s="470"/>
      <c r="AA524" s="469"/>
      <c r="AB524" s="469"/>
      <c r="AC524" s="469"/>
      <c r="AD524" s="469"/>
      <c r="AE524" s="472"/>
      <c r="AF524" s="472"/>
      <c r="AG524" s="486"/>
      <c r="AH524" s="486"/>
    </row>
    <row r="525" ht="15.75" customHeight="1">
      <c r="A525" s="344"/>
      <c r="B525" s="470"/>
      <c r="C525" s="469"/>
      <c r="D525" s="485"/>
      <c r="E525" s="469"/>
      <c r="F525" s="469"/>
      <c r="G525" s="470"/>
      <c r="H525" s="469"/>
      <c r="I525" s="470"/>
      <c r="J525" s="470"/>
      <c r="K525" s="344"/>
      <c r="L525" s="469"/>
      <c r="M525" s="469"/>
      <c r="N525" s="469"/>
      <c r="O525" s="469"/>
      <c r="P525" s="469"/>
      <c r="Q525" s="470"/>
      <c r="R525" s="469"/>
      <c r="S525" s="469"/>
      <c r="T525" s="470"/>
      <c r="U525" s="470"/>
      <c r="V525" s="470"/>
      <c r="W525" s="469"/>
      <c r="X525" s="469"/>
      <c r="Y525" s="469"/>
      <c r="Z525" s="470"/>
      <c r="AA525" s="469"/>
      <c r="AB525" s="469"/>
      <c r="AC525" s="469"/>
      <c r="AD525" s="469"/>
      <c r="AE525" s="472"/>
      <c r="AF525" s="472"/>
      <c r="AG525" s="486"/>
      <c r="AH525" s="486"/>
    </row>
    <row r="526" ht="15.75" customHeight="1">
      <c r="A526" s="344"/>
      <c r="B526" s="470"/>
      <c r="C526" s="469"/>
      <c r="D526" s="485"/>
      <c r="E526" s="469"/>
      <c r="F526" s="469"/>
      <c r="G526" s="470"/>
      <c r="H526" s="469"/>
      <c r="I526" s="470"/>
      <c r="J526" s="470"/>
      <c r="K526" s="344"/>
      <c r="L526" s="469"/>
      <c r="M526" s="469"/>
      <c r="N526" s="469"/>
      <c r="O526" s="469"/>
      <c r="P526" s="469"/>
      <c r="Q526" s="470"/>
      <c r="R526" s="469"/>
      <c r="S526" s="469"/>
      <c r="T526" s="470"/>
      <c r="U526" s="470"/>
      <c r="V526" s="470"/>
      <c r="W526" s="469"/>
      <c r="X526" s="469"/>
      <c r="Y526" s="469"/>
      <c r="Z526" s="470"/>
      <c r="AA526" s="469"/>
      <c r="AB526" s="469"/>
      <c r="AC526" s="469"/>
      <c r="AD526" s="469"/>
      <c r="AE526" s="472"/>
      <c r="AF526" s="472"/>
      <c r="AG526" s="486"/>
      <c r="AH526" s="486"/>
    </row>
    <row r="527" ht="15.75" customHeight="1">
      <c r="A527" s="344"/>
      <c r="B527" s="470"/>
      <c r="C527" s="469"/>
      <c r="D527" s="485"/>
      <c r="E527" s="469"/>
      <c r="F527" s="469"/>
      <c r="G527" s="470"/>
      <c r="H527" s="469"/>
      <c r="I527" s="470"/>
      <c r="J527" s="470"/>
      <c r="K527" s="344"/>
      <c r="L527" s="469"/>
      <c r="M527" s="469"/>
      <c r="N527" s="469"/>
      <c r="O527" s="469"/>
      <c r="P527" s="469"/>
      <c r="Q527" s="470"/>
      <c r="R527" s="469"/>
      <c r="S527" s="469"/>
      <c r="T527" s="470"/>
      <c r="U527" s="470"/>
      <c r="V527" s="470"/>
      <c r="W527" s="469"/>
      <c r="X527" s="469"/>
      <c r="Y527" s="469"/>
      <c r="Z527" s="470"/>
      <c r="AA527" s="469"/>
      <c r="AB527" s="469"/>
      <c r="AC527" s="469"/>
      <c r="AD527" s="469"/>
      <c r="AE527" s="472"/>
      <c r="AF527" s="472"/>
      <c r="AG527" s="486"/>
      <c r="AH527" s="486"/>
    </row>
    <row r="528" ht="15.75" customHeight="1">
      <c r="A528" s="344"/>
      <c r="B528" s="470"/>
      <c r="C528" s="469"/>
      <c r="D528" s="485"/>
      <c r="E528" s="469"/>
      <c r="F528" s="469"/>
      <c r="G528" s="470"/>
      <c r="H528" s="469"/>
      <c r="I528" s="470"/>
      <c r="J528" s="470"/>
      <c r="K528" s="344"/>
      <c r="L528" s="469"/>
      <c r="M528" s="469"/>
      <c r="N528" s="469"/>
      <c r="O528" s="469"/>
      <c r="P528" s="469"/>
      <c r="Q528" s="470"/>
      <c r="R528" s="469"/>
      <c r="S528" s="469"/>
      <c r="T528" s="470"/>
      <c r="U528" s="470"/>
      <c r="V528" s="470"/>
      <c r="W528" s="469"/>
      <c r="X528" s="469"/>
      <c r="Y528" s="469"/>
      <c r="Z528" s="470"/>
      <c r="AA528" s="469"/>
      <c r="AB528" s="469"/>
      <c r="AC528" s="469"/>
      <c r="AD528" s="469"/>
      <c r="AE528" s="472"/>
      <c r="AF528" s="472"/>
      <c r="AG528" s="486"/>
      <c r="AH528" s="486"/>
    </row>
    <row r="529" ht="15.75" customHeight="1">
      <c r="A529" s="344"/>
      <c r="B529" s="470"/>
      <c r="C529" s="469"/>
      <c r="D529" s="485"/>
      <c r="E529" s="469"/>
      <c r="F529" s="469"/>
      <c r="G529" s="470"/>
      <c r="H529" s="469"/>
      <c r="I529" s="470"/>
      <c r="J529" s="470"/>
      <c r="K529" s="344"/>
      <c r="L529" s="469"/>
      <c r="M529" s="469"/>
      <c r="N529" s="469"/>
      <c r="O529" s="469"/>
      <c r="P529" s="469"/>
      <c r="Q529" s="470"/>
      <c r="R529" s="469"/>
      <c r="S529" s="469"/>
      <c r="T529" s="470"/>
      <c r="U529" s="470"/>
      <c r="V529" s="470"/>
      <c r="W529" s="469"/>
      <c r="X529" s="469"/>
      <c r="Y529" s="469"/>
      <c r="Z529" s="470"/>
      <c r="AA529" s="469"/>
      <c r="AB529" s="469"/>
      <c r="AC529" s="469"/>
      <c r="AD529" s="469"/>
      <c r="AE529" s="472"/>
      <c r="AF529" s="472"/>
      <c r="AG529" s="486"/>
      <c r="AH529" s="486"/>
    </row>
    <row r="530" ht="15.75" customHeight="1">
      <c r="A530" s="344"/>
      <c r="B530" s="470"/>
      <c r="C530" s="469"/>
      <c r="D530" s="485"/>
      <c r="E530" s="469"/>
      <c r="F530" s="469"/>
      <c r="G530" s="470"/>
      <c r="H530" s="469"/>
      <c r="I530" s="470"/>
      <c r="J530" s="470"/>
      <c r="K530" s="344"/>
      <c r="L530" s="469"/>
      <c r="M530" s="469"/>
      <c r="N530" s="469"/>
      <c r="O530" s="469"/>
      <c r="P530" s="469"/>
      <c r="Q530" s="470"/>
      <c r="R530" s="469"/>
      <c r="S530" s="469"/>
      <c r="T530" s="470"/>
      <c r="U530" s="470"/>
      <c r="V530" s="470"/>
      <c r="W530" s="469"/>
      <c r="X530" s="469"/>
      <c r="Y530" s="469"/>
      <c r="Z530" s="470"/>
      <c r="AA530" s="469"/>
      <c r="AB530" s="469"/>
      <c r="AC530" s="469"/>
      <c r="AD530" s="469"/>
      <c r="AE530" s="472"/>
      <c r="AF530" s="472"/>
      <c r="AG530" s="486"/>
      <c r="AH530" s="486"/>
    </row>
    <row r="531" ht="15.75" customHeight="1">
      <c r="A531" s="344"/>
      <c r="B531" s="470"/>
      <c r="C531" s="469"/>
      <c r="D531" s="485"/>
      <c r="E531" s="469"/>
      <c r="F531" s="469"/>
      <c r="G531" s="470"/>
      <c r="H531" s="469"/>
      <c r="I531" s="470"/>
      <c r="J531" s="470"/>
      <c r="K531" s="344"/>
      <c r="L531" s="469"/>
      <c r="M531" s="469"/>
      <c r="N531" s="469"/>
      <c r="O531" s="469"/>
      <c r="P531" s="469"/>
      <c r="Q531" s="470"/>
      <c r="R531" s="469"/>
      <c r="S531" s="469"/>
      <c r="T531" s="470"/>
      <c r="U531" s="470"/>
      <c r="V531" s="470"/>
      <c r="W531" s="469"/>
      <c r="X531" s="469"/>
      <c r="Y531" s="469"/>
      <c r="Z531" s="470"/>
      <c r="AA531" s="469"/>
      <c r="AB531" s="469"/>
      <c r="AC531" s="469"/>
      <c r="AD531" s="469"/>
      <c r="AE531" s="472"/>
      <c r="AF531" s="472"/>
      <c r="AG531" s="486"/>
      <c r="AH531" s="486"/>
    </row>
    <row r="532" ht="15.75" customHeight="1">
      <c r="A532" s="344"/>
      <c r="B532" s="470"/>
      <c r="C532" s="469"/>
      <c r="D532" s="485"/>
      <c r="E532" s="469"/>
      <c r="F532" s="469"/>
      <c r="G532" s="470"/>
      <c r="H532" s="469"/>
      <c r="I532" s="470"/>
      <c r="J532" s="470"/>
      <c r="K532" s="344"/>
      <c r="L532" s="469"/>
      <c r="M532" s="469"/>
      <c r="N532" s="469"/>
      <c r="O532" s="469"/>
      <c r="P532" s="469"/>
      <c r="Q532" s="470"/>
      <c r="R532" s="469"/>
      <c r="S532" s="469"/>
      <c r="T532" s="470"/>
      <c r="U532" s="470"/>
      <c r="V532" s="470"/>
      <c r="W532" s="469"/>
      <c r="X532" s="469"/>
      <c r="Y532" s="469"/>
      <c r="Z532" s="470"/>
      <c r="AA532" s="469"/>
      <c r="AB532" s="469"/>
      <c r="AC532" s="469"/>
      <c r="AD532" s="469"/>
      <c r="AE532" s="472"/>
      <c r="AF532" s="472"/>
      <c r="AG532" s="486"/>
      <c r="AH532" s="486"/>
    </row>
    <row r="533" ht="15.75" customHeight="1">
      <c r="A533" s="344"/>
      <c r="B533" s="470"/>
      <c r="C533" s="469"/>
      <c r="D533" s="485"/>
      <c r="E533" s="469"/>
      <c r="F533" s="469"/>
      <c r="G533" s="470"/>
      <c r="H533" s="469"/>
      <c r="I533" s="470"/>
      <c r="J533" s="470"/>
      <c r="K533" s="344"/>
      <c r="L533" s="469"/>
      <c r="M533" s="469"/>
      <c r="N533" s="469"/>
      <c r="O533" s="469"/>
      <c r="P533" s="469"/>
      <c r="Q533" s="470"/>
      <c r="R533" s="469"/>
      <c r="S533" s="469"/>
      <c r="T533" s="470"/>
      <c r="U533" s="470"/>
      <c r="V533" s="470"/>
      <c r="W533" s="469"/>
      <c r="X533" s="469"/>
      <c r="Y533" s="469"/>
      <c r="Z533" s="470"/>
      <c r="AA533" s="469"/>
      <c r="AB533" s="469"/>
      <c r="AC533" s="469"/>
      <c r="AD533" s="469"/>
      <c r="AE533" s="472"/>
      <c r="AF533" s="472"/>
      <c r="AG533" s="486"/>
      <c r="AH533" s="486"/>
    </row>
    <row r="534" ht="15.75" customHeight="1">
      <c r="A534" s="344"/>
      <c r="B534" s="470"/>
      <c r="C534" s="469"/>
      <c r="D534" s="485"/>
      <c r="E534" s="469"/>
      <c r="F534" s="469"/>
      <c r="G534" s="470"/>
      <c r="H534" s="469"/>
      <c r="I534" s="470"/>
      <c r="J534" s="470"/>
      <c r="K534" s="344"/>
      <c r="L534" s="469"/>
      <c r="M534" s="469"/>
      <c r="N534" s="469"/>
      <c r="O534" s="469"/>
      <c r="P534" s="469"/>
      <c r="Q534" s="470"/>
      <c r="R534" s="469"/>
      <c r="S534" s="469"/>
      <c r="T534" s="470"/>
      <c r="U534" s="470"/>
      <c r="V534" s="470"/>
      <c r="W534" s="469"/>
      <c r="X534" s="469"/>
      <c r="Y534" s="469"/>
      <c r="Z534" s="470"/>
      <c r="AA534" s="469"/>
      <c r="AB534" s="469"/>
      <c r="AC534" s="469"/>
      <c r="AD534" s="469"/>
      <c r="AE534" s="472"/>
      <c r="AF534" s="472"/>
      <c r="AG534" s="486"/>
      <c r="AH534" s="486"/>
    </row>
    <row r="535" ht="15.75" customHeight="1">
      <c r="A535" s="344"/>
      <c r="B535" s="470"/>
      <c r="C535" s="469"/>
      <c r="D535" s="485"/>
      <c r="E535" s="469"/>
      <c r="F535" s="469"/>
      <c r="G535" s="470"/>
      <c r="H535" s="469"/>
      <c r="I535" s="470"/>
      <c r="J535" s="470"/>
      <c r="K535" s="344"/>
      <c r="L535" s="469"/>
      <c r="M535" s="469"/>
      <c r="N535" s="469"/>
      <c r="O535" s="469"/>
      <c r="P535" s="469"/>
      <c r="Q535" s="470"/>
      <c r="R535" s="469"/>
      <c r="S535" s="469"/>
      <c r="T535" s="470"/>
      <c r="U535" s="470"/>
      <c r="V535" s="470"/>
      <c r="W535" s="469"/>
      <c r="X535" s="469"/>
      <c r="Y535" s="469"/>
      <c r="Z535" s="470"/>
      <c r="AA535" s="469"/>
      <c r="AB535" s="469"/>
      <c r="AC535" s="469"/>
      <c r="AD535" s="469"/>
      <c r="AE535" s="472"/>
      <c r="AF535" s="472"/>
      <c r="AG535" s="486"/>
      <c r="AH535" s="486"/>
    </row>
    <row r="536" ht="15.75" customHeight="1">
      <c r="A536" s="344"/>
      <c r="B536" s="470"/>
      <c r="C536" s="469"/>
      <c r="D536" s="485"/>
      <c r="E536" s="469"/>
      <c r="F536" s="469"/>
      <c r="G536" s="470"/>
      <c r="H536" s="469"/>
      <c r="I536" s="470"/>
      <c r="J536" s="470"/>
      <c r="K536" s="344"/>
      <c r="L536" s="469"/>
      <c r="M536" s="469"/>
      <c r="N536" s="469"/>
      <c r="O536" s="469"/>
      <c r="P536" s="469"/>
      <c r="Q536" s="470"/>
      <c r="R536" s="469"/>
      <c r="S536" s="469"/>
      <c r="T536" s="470"/>
      <c r="U536" s="470"/>
      <c r="V536" s="470"/>
      <c r="W536" s="469"/>
      <c r="X536" s="469"/>
      <c r="Y536" s="469"/>
      <c r="Z536" s="470"/>
      <c r="AA536" s="469"/>
      <c r="AB536" s="469"/>
      <c r="AC536" s="469"/>
      <c r="AD536" s="469"/>
      <c r="AE536" s="472"/>
      <c r="AF536" s="472"/>
      <c r="AG536" s="486"/>
      <c r="AH536" s="486"/>
    </row>
    <row r="537" ht="15.75" customHeight="1">
      <c r="A537" s="344"/>
      <c r="B537" s="470"/>
      <c r="C537" s="469"/>
      <c r="D537" s="485"/>
      <c r="E537" s="469"/>
      <c r="F537" s="469"/>
      <c r="G537" s="470"/>
      <c r="H537" s="469"/>
      <c r="I537" s="470"/>
      <c r="J537" s="470"/>
      <c r="K537" s="344"/>
      <c r="L537" s="469"/>
      <c r="M537" s="469"/>
      <c r="N537" s="469"/>
      <c r="O537" s="469"/>
      <c r="P537" s="469"/>
      <c r="Q537" s="470"/>
      <c r="R537" s="469"/>
      <c r="S537" s="469"/>
      <c r="T537" s="470"/>
      <c r="U537" s="470"/>
      <c r="V537" s="470"/>
      <c r="W537" s="469"/>
      <c r="X537" s="469"/>
      <c r="Y537" s="469"/>
      <c r="Z537" s="470"/>
      <c r="AA537" s="469"/>
      <c r="AB537" s="469"/>
      <c r="AC537" s="469"/>
      <c r="AD537" s="469"/>
      <c r="AE537" s="472"/>
      <c r="AF537" s="472"/>
      <c r="AG537" s="486"/>
      <c r="AH537" s="486"/>
    </row>
    <row r="538" ht="15.75" customHeight="1">
      <c r="A538" s="344"/>
      <c r="B538" s="470"/>
      <c r="C538" s="469"/>
      <c r="D538" s="485"/>
      <c r="E538" s="469"/>
      <c r="F538" s="469"/>
      <c r="G538" s="470"/>
      <c r="H538" s="469"/>
      <c r="I538" s="470"/>
      <c r="J538" s="470"/>
      <c r="K538" s="344"/>
      <c r="L538" s="469"/>
      <c r="M538" s="469"/>
      <c r="N538" s="469"/>
      <c r="O538" s="469"/>
      <c r="P538" s="469"/>
      <c r="Q538" s="470"/>
      <c r="R538" s="469"/>
      <c r="S538" s="469"/>
      <c r="T538" s="470"/>
      <c r="U538" s="470"/>
      <c r="V538" s="470"/>
      <c r="W538" s="469"/>
      <c r="X538" s="469"/>
      <c r="Y538" s="469"/>
      <c r="Z538" s="470"/>
      <c r="AA538" s="469"/>
      <c r="AB538" s="469"/>
      <c r="AC538" s="469"/>
      <c r="AD538" s="469"/>
      <c r="AE538" s="472"/>
      <c r="AF538" s="472"/>
      <c r="AG538" s="486"/>
      <c r="AH538" s="486"/>
    </row>
    <row r="539" ht="15.75" customHeight="1">
      <c r="A539" s="344"/>
      <c r="B539" s="470"/>
      <c r="C539" s="469"/>
      <c r="D539" s="485"/>
      <c r="E539" s="469"/>
      <c r="F539" s="469"/>
      <c r="G539" s="470"/>
      <c r="H539" s="469"/>
      <c r="I539" s="470"/>
      <c r="J539" s="470"/>
      <c r="K539" s="344"/>
      <c r="L539" s="469"/>
      <c r="M539" s="469"/>
      <c r="N539" s="469"/>
      <c r="O539" s="469"/>
      <c r="P539" s="469"/>
      <c r="Q539" s="470"/>
      <c r="R539" s="469"/>
      <c r="S539" s="469"/>
      <c r="T539" s="470"/>
      <c r="U539" s="470"/>
      <c r="V539" s="470"/>
      <c r="W539" s="469"/>
      <c r="X539" s="469"/>
      <c r="Y539" s="469"/>
      <c r="Z539" s="470"/>
      <c r="AA539" s="469"/>
      <c r="AB539" s="469"/>
      <c r="AC539" s="469"/>
      <c r="AD539" s="469"/>
      <c r="AE539" s="472"/>
      <c r="AF539" s="472"/>
      <c r="AG539" s="486"/>
      <c r="AH539" s="486"/>
    </row>
    <row r="540" ht="15.75" customHeight="1">
      <c r="A540" s="344"/>
      <c r="B540" s="470"/>
      <c r="C540" s="469"/>
      <c r="D540" s="485"/>
      <c r="E540" s="469"/>
      <c r="F540" s="469"/>
      <c r="G540" s="470"/>
      <c r="H540" s="469"/>
      <c r="I540" s="470"/>
      <c r="J540" s="470"/>
      <c r="K540" s="344"/>
      <c r="L540" s="469"/>
      <c r="M540" s="469"/>
      <c r="N540" s="469"/>
      <c r="O540" s="469"/>
      <c r="P540" s="469"/>
      <c r="Q540" s="470"/>
      <c r="R540" s="469"/>
      <c r="S540" s="469"/>
      <c r="T540" s="470"/>
      <c r="U540" s="470"/>
      <c r="V540" s="470"/>
      <c r="W540" s="469"/>
      <c r="X540" s="469"/>
      <c r="Y540" s="469"/>
      <c r="Z540" s="470"/>
      <c r="AA540" s="469"/>
      <c r="AB540" s="469"/>
      <c r="AC540" s="469"/>
      <c r="AD540" s="469"/>
      <c r="AE540" s="472"/>
      <c r="AF540" s="472"/>
      <c r="AG540" s="486"/>
      <c r="AH540" s="486"/>
    </row>
    <row r="541" ht="15.75" customHeight="1">
      <c r="A541" s="344"/>
      <c r="B541" s="470"/>
      <c r="C541" s="469"/>
      <c r="D541" s="485"/>
      <c r="E541" s="469"/>
      <c r="F541" s="469"/>
      <c r="G541" s="470"/>
      <c r="H541" s="469"/>
      <c r="I541" s="470"/>
      <c r="J541" s="470"/>
      <c r="K541" s="344"/>
      <c r="L541" s="469"/>
      <c r="M541" s="469"/>
      <c r="N541" s="469"/>
      <c r="O541" s="469"/>
      <c r="P541" s="469"/>
      <c r="Q541" s="470"/>
      <c r="R541" s="469"/>
      <c r="S541" s="469"/>
      <c r="T541" s="470"/>
      <c r="U541" s="470"/>
      <c r="V541" s="470"/>
      <c r="W541" s="469"/>
      <c r="X541" s="469"/>
      <c r="Y541" s="469"/>
      <c r="Z541" s="470"/>
      <c r="AA541" s="469"/>
      <c r="AB541" s="469"/>
      <c r="AC541" s="469"/>
      <c r="AD541" s="469"/>
      <c r="AE541" s="472"/>
      <c r="AF541" s="472"/>
      <c r="AG541" s="486"/>
      <c r="AH541" s="486"/>
    </row>
    <row r="542" ht="15.75" customHeight="1">
      <c r="A542" s="344"/>
      <c r="B542" s="470"/>
      <c r="C542" s="469"/>
      <c r="D542" s="485"/>
      <c r="E542" s="469"/>
      <c r="F542" s="469"/>
      <c r="G542" s="470"/>
      <c r="H542" s="469"/>
      <c r="I542" s="470"/>
      <c r="J542" s="470"/>
      <c r="K542" s="344"/>
      <c r="L542" s="469"/>
      <c r="M542" s="469"/>
      <c r="N542" s="469"/>
      <c r="O542" s="469"/>
      <c r="P542" s="469"/>
      <c r="Q542" s="470"/>
      <c r="R542" s="469"/>
      <c r="S542" s="469"/>
      <c r="T542" s="470"/>
      <c r="U542" s="470"/>
      <c r="V542" s="470"/>
      <c r="W542" s="469"/>
      <c r="X542" s="469"/>
      <c r="Y542" s="469"/>
      <c r="Z542" s="470"/>
      <c r="AA542" s="469"/>
      <c r="AB542" s="469"/>
      <c r="AC542" s="469"/>
      <c r="AD542" s="469"/>
      <c r="AE542" s="472"/>
      <c r="AF542" s="472"/>
      <c r="AG542" s="486"/>
      <c r="AH542" s="486"/>
    </row>
    <row r="543" ht="15.75" customHeight="1">
      <c r="A543" s="344"/>
      <c r="B543" s="470"/>
      <c r="C543" s="469"/>
      <c r="D543" s="485"/>
      <c r="E543" s="469"/>
      <c r="F543" s="469"/>
      <c r="G543" s="470"/>
      <c r="H543" s="469"/>
      <c r="I543" s="470"/>
      <c r="J543" s="470"/>
      <c r="K543" s="344"/>
      <c r="L543" s="469"/>
      <c r="M543" s="469"/>
      <c r="N543" s="469"/>
      <c r="O543" s="469"/>
      <c r="P543" s="469"/>
      <c r="Q543" s="470"/>
      <c r="R543" s="469"/>
      <c r="S543" s="469"/>
      <c r="T543" s="470"/>
      <c r="U543" s="470"/>
      <c r="V543" s="470"/>
      <c r="W543" s="469"/>
      <c r="X543" s="469"/>
      <c r="Y543" s="469"/>
      <c r="Z543" s="470"/>
      <c r="AA543" s="469"/>
      <c r="AB543" s="469"/>
      <c r="AC543" s="469"/>
      <c r="AD543" s="469"/>
      <c r="AE543" s="472"/>
      <c r="AF543" s="472"/>
      <c r="AG543" s="486"/>
      <c r="AH543" s="486"/>
    </row>
    <row r="544" ht="15.75" customHeight="1">
      <c r="A544" s="344"/>
      <c r="B544" s="470"/>
      <c r="C544" s="469"/>
      <c r="D544" s="485"/>
      <c r="E544" s="469"/>
      <c r="F544" s="469"/>
      <c r="G544" s="470"/>
      <c r="H544" s="469"/>
      <c r="I544" s="470"/>
      <c r="J544" s="470"/>
      <c r="K544" s="344"/>
      <c r="L544" s="469"/>
      <c r="M544" s="469"/>
      <c r="N544" s="469"/>
      <c r="O544" s="469"/>
      <c r="P544" s="469"/>
      <c r="Q544" s="470"/>
      <c r="R544" s="469"/>
      <c r="S544" s="469"/>
      <c r="T544" s="470"/>
      <c r="U544" s="470"/>
      <c r="V544" s="470"/>
      <c r="W544" s="469"/>
      <c r="X544" s="469"/>
      <c r="Y544" s="469"/>
      <c r="Z544" s="470"/>
      <c r="AA544" s="469"/>
      <c r="AB544" s="469"/>
      <c r="AC544" s="469"/>
      <c r="AD544" s="469"/>
      <c r="AE544" s="472"/>
      <c r="AF544" s="472"/>
      <c r="AG544" s="486"/>
      <c r="AH544" s="486"/>
    </row>
    <row r="545" ht="15.75" customHeight="1">
      <c r="A545" s="344"/>
      <c r="B545" s="470"/>
      <c r="C545" s="469"/>
      <c r="D545" s="485"/>
      <c r="E545" s="469"/>
      <c r="F545" s="469"/>
      <c r="G545" s="470"/>
      <c r="H545" s="469"/>
      <c r="I545" s="470"/>
      <c r="J545" s="470"/>
      <c r="K545" s="344"/>
      <c r="L545" s="469"/>
      <c r="M545" s="469"/>
      <c r="N545" s="469"/>
      <c r="O545" s="469"/>
      <c r="P545" s="469"/>
      <c r="Q545" s="470"/>
      <c r="R545" s="469"/>
      <c r="S545" s="469"/>
      <c r="T545" s="470"/>
      <c r="U545" s="470"/>
      <c r="V545" s="470"/>
      <c r="W545" s="469"/>
      <c r="X545" s="469"/>
      <c r="Y545" s="469"/>
      <c r="Z545" s="470"/>
      <c r="AA545" s="469"/>
      <c r="AB545" s="469"/>
      <c r="AC545" s="469"/>
      <c r="AD545" s="469"/>
      <c r="AE545" s="472"/>
      <c r="AF545" s="472"/>
      <c r="AG545" s="486"/>
      <c r="AH545" s="486"/>
    </row>
    <row r="546" ht="15.75" customHeight="1">
      <c r="A546" s="344"/>
      <c r="B546" s="470"/>
      <c r="C546" s="469"/>
      <c r="D546" s="485"/>
      <c r="E546" s="469"/>
      <c r="F546" s="469"/>
      <c r="G546" s="470"/>
      <c r="H546" s="469"/>
      <c r="I546" s="470"/>
      <c r="J546" s="470"/>
      <c r="K546" s="344"/>
      <c r="L546" s="469"/>
      <c r="M546" s="469"/>
      <c r="N546" s="469"/>
      <c r="O546" s="469"/>
      <c r="P546" s="469"/>
      <c r="Q546" s="470"/>
      <c r="R546" s="469"/>
      <c r="S546" s="469"/>
      <c r="T546" s="470"/>
      <c r="U546" s="470"/>
      <c r="V546" s="470"/>
      <c r="W546" s="469"/>
      <c r="X546" s="469"/>
      <c r="Y546" s="469"/>
      <c r="Z546" s="470"/>
      <c r="AA546" s="469"/>
      <c r="AB546" s="469"/>
      <c r="AC546" s="469"/>
      <c r="AD546" s="469"/>
      <c r="AE546" s="472"/>
      <c r="AF546" s="472"/>
      <c r="AG546" s="486"/>
      <c r="AH546" s="486"/>
    </row>
    <row r="547" ht="15.75" customHeight="1">
      <c r="A547" s="344"/>
      <c r="B547" s="470"/>
      <c r="C547" s="469"/>
      <c r="D547" s="485"/>
      <c r="E547" s="469"/>
      <c r="F547" s="469"/>
      <c r="G547" s="470"/>
      <c r="H547" s="469"/>
      <c r="I547" s="470"/>
      <c r="J547" s="470"/>
      <c r="K547" s="344"/>
      <c r="L547" s="469"/>
      <c r="M547" s="469"/>
      <c r="N547" s="469"/>
      <c r="O547" s="469"/>
      <c r="P547" s="469"/>
      <c r="Q547" s="470"/>
      <c r="R547" s="469"/>
      <c r="S547" s="469"/>
      <c r="T547" s="470"/>
      <c r="U547" s="470"/>
      <c r="V547" s="470"/>
      <c r="W547" s="469"/>
      <c r="X547" s="469"/>
      <c r="Y547" s="469"/>
      <c r="Z547" s="470"/>
      <c r="AA547" s="469"/>
      <c r="AB547" s="469"/>
      <c r="AC547" s="469"/>
      <c r="AD547" s="469"/>
      <c r="AE547" s="472"/>
      <c r="AF547" s="472"/>
      <c r="AG547" s="486"/>
      <c r="AH547" s="486"/>
    </row>
    <row r="548" ht="15.75" customHeight="1">
      <c r="A548" s="344"/>
      <c r="B548" s="470"/>
      <c r="C548" s="469"/>
      <c r="D548" s="485"/>
      <c r="E548" s="469"/>
      <c r="F548" s="469"/>
      <c r="G548" s="470"/>
      <c r="H548" s="469"/>
      <c r="I548" s="470"/>
      <c r="J548" s="470"/>
      <c r="K548" s="344"/>
      <c r="L548" s="469"/>
      <c r="M548" s="469"/>
      <c r="N548" s="469"/>
      <c r="O548" s="469"/>
      <c r="P548" s="469"/>
      <c r="Q548" s="470"/>
      <c r="R548" s="469"/>
      <c r="S548" s="469"/>
      <c r="T548" s="470"/>
      <c r="U548" s="470"/>
      <c r="V548" s="470"/>
      <c r="W548" s="469"/>
      <c r="X548" s="469"/>
      <c r="Y548" s="469"/>
      <c r="Z548" s="470"/>
      <c r="AA548" s="469"/>
      <c r="AB548" s="469"/>
      <c r="AC548" s="469"/>
      <c r="AD548" s="469"/>
      <c r="AE548" s="472"/>
      <c r="AF548" s="472"/>
      <c r="AG548" s="486"/>
      <c r="AH548" s="486"/>
    </row>
    <row r="549" ht="15.75" customHeight="1">
      <c r="A549" s="344"/>
      <c r="B549" s="470"/>
      <c r="C549" s="469"/>
      <c r="D549" s="485"/>
      <c r="E549" s="469"/>
      <c r="F549" s="469"/>
      <c r="G549" s="470"/>
      <c r="H549" s="469"/>
      <c r="I549" s="470"/>
      <c r="J549" s="470"/>
      <c r="K549" s="344"/>
      <c r="L549" s="469"/>
      <c r="M549" s="469"/>
      <c r="N549" s="469"/>
      <c r="O549" s="469"/>
      <c r="P549" s="469"/>
      <c r="Q549" s="470"/>
      <c r="R549" s="469"/>
      <c r="S549" s="469"/>
      <c r="T549" s="470"/>
      <c r="U549" s="470"/>
      <c r="V549" s="470"/>
      <c r="W549" s="469"/>
      <c r="X549" s="469"/>
      <c r="Y549" s="469"/>
      <c r="Z549" s="470"/>
      <c r="AA549" s="469"/>
      <c r="AB549" s="469"/>
      <c r="AC549" s="469"/>
      <c r="AD549" s="469"/>
      <c r="AE549" s="472"/>
      <c r="AF549" s="472"/>
      <c r="AG549" s="486"/>
      <c r="AH549" s="486"/>
    </row>
    <row r="550" ht="15.75" customHeight="1">
      <c r="A550" s="344"/>
      <c r="B550" s="470"/>
      <c r="C550" s="469"/>
      <c r="D550" s="485"/>
      <c r="E550" s="469"/>
      <c r="F550" s="469"/>
      <c r="G550" s="470"/>
      <c r="H550" s="469"/>
      <c r="I550" s="470"/>
      <c r="J550" s="470"/>
      <c r="K550" s="344"/>
      <c r="L550" s="469"/>
      <c r="M550" s="469"/>
      <c r="N550" s="469"/>
      <c r="O550" s="469"/>
      <c r="P550" s="469"/>
      <c r="Q550" s="470"/>
      <c r="R550" s="469"/>
      <c r="S550" s="469"/>
      <c r="T550" s="470"/>
      <c r="U550" s="470"/>
      <c r="V550" s="470"/>
      <c r="W550" s="469"/>
      <c r="X550" s="469"/>
      <c r="Y550" s="469"/>
      <c r="Z550" s="470"/>
      <c r="AA550" s="469"/>
      <c r="AB550" s="469"/>
      <c r="AC550" s="469"/>
      <c r="AD550" s="469"/>
      <c r="AE550" s="472"/>
      <c r="AF550" s="472"/>
      <c r="AG550" s="486"/>
      <c r="AH550" s="486"/>
    </row>
    <row r="551" ht="15.75" customHeight="1">
      <c r="A551" s="344"/>
      <c r="B551" s="470"/>
      <c r="C551" s="469"/>
      <c r="D551" s="485"/>
      <c r="E551" s="469"/>
      <c r="F551" s="469"/>
      <c r="G551" s="470"/>
      <c r="H551" s="469"/>
      <c r="I551" s="470"/>
      <c r="J551" s="470"/>
      <c r="K551" s="344"/>
      <c r="L551" s="469"/>
      <c r="M551" s="469"/>
      <c r="N551" s="469"/>
      <c r="O551" s="469"/>
      <c r="P551" s="469"/>
      <c r="Q551" s="470"/>
      <c r="R551" s="469"/>
      <c r="S551" s="469"/>
      <c r="T551" s="470"/>
      <c r="U551" s="470"/>
      <c r="V551" s="470"/>
      <c r="W551" s="469"/>
      <c r="X551" s="469"/>
      <c r="Y551" s="469"/>
      <c r="Z551" s="470"/>
      <c r="AA551" s="469"/>
      <c r="AB551" s="469"/>
      <c r="AC551" s="469"/>
      <c r="AD551" s="469"/>
      <c r="AE551" s="472"/>
      <c r="AF551" s="472"/>
      <c r="AG551" s="486"/>
      <c r="AH551" s="486"/>
    </row>
    <row r="552" ht="15.75" customHeight="1">
      <c r="A552" s="344"/>
      <c r="B552" s="470"/>
      <c r="C552" s="469"/>
      <c r="D552" s="485"/>
      <c r="E552" s="469"/>
      <c r="F552" s="469"/>
      <c r="G552" s="470"/>
      <c r="H552" s="469"/>
      <c r="I552" s="470"/>
      <c r="J552" s="470"/>
      <c r="K552" s="344"/>
      <c r="L552" s="469"/>
      <c r="M552" s="469"/>
      <c r="N552" s="469"/>
      <c r="O552" s="469"/>
      <c r="P552" s="469"/>
      <c r="Q552" s="470"/>
      <c r="R552" s="469"/>
      <c r="S552" s="469"/>
      <c r="T552" s="470"/>
      <c r="U552" s="470"/>
      <c r="V552" s="470"/>
      <c r="W552" s="469"/>
      <c r="X552" s="469"/>
      <c r="Y552" s="469"/>
      <c r="Z552" s="470"/>
      <c r="AA552" s="469"/>
      <c r="AB552" s="469"/>
      <c r="AC552" s="469"/>
      <c r="AD552" s="469"/>
      <c r="AE552" s="472"/>
      <c r="AF552" s="472"/>
      <c r="AG552" s="486"/>
      <c r="AH552" s="486"/>
    </row>
    <row r="553" ht="15.75" customHeight="1">
      <c r="A553" s="344"/>
      <c r="B553" s="470"/>
      <c r="C553" s="469"/>
      <c r="D553" s="485"/>
      <c r="E553" s="469"/>
      <c r="F553" s="469"/>
      <c r="G553" s="470"/>
      <c r="H553" s="469"/>
      <c r="I553" s="470"/>
      <c r="J553" s="470"/>
      <c r="K553" s="344"/>
      <c r="L553" s="469"/>
      <c r="M553" s="469"/>
      <c r="N553" s="469"/>
      <c r="O553" s="469"/>
      <c r="P553" s="469"/>
      <c r="Q553" s="470"/>
      <c r="R553" s="469"/>
      <c r="S553" s="469"/>
      <c r="T553" s="470"/>
      <c r="U553" s="470"/>
      <c r="V553" s="470"/>
      <c r="W553" s="469"/>
      <c r="X553" s="469"/>
      <c r="Y553" s="469"/>
      <c r="Z553" s="470"/>
      <c r="AA553" s="469"/>
      <c r="AB553" s="469"/>
      <c r="AC553" s="469"/>
      <c r="AD553" s="469"/>
      <c r="AE553" s="472"/>
      <c r="AF553" s="472"/>
      <c r="AG553" s="486"/>
      <c r="AH553" s="486"/>
    </row>
    <row r="554" ht="15.75" customHeight="1">
      <c r="A554" s="344"/>
      <c r="B554" s="470"/>
      <c r="C554" s="469"/>
      <c r="D554" s="485"/>
      <c r="E554" s="469"/>
      <c r="F554" s="469"/>
      <c r="G554" s="470"/>
      <c r="H554" s="469"/>
      <c r="I554" s="470"/>
      <c r="J554" s="470"/>
      <c r="K554" s="344"/>
      <c r="L554" s="469"/>
      <c r="M554" s="469"/>
      <c r="N554" s="469"/>
      <c r="O554" s="469"/>
      <c r="P554" s="469"/>
      <c r="Q554" s="470"/>
      <c r="R554" s="469"/>
      <c r="S554" s="469"/>
      <c r="T554" s="470"/>
      <c r="U554" s="470"/>
      <c r="V554" s="470"/>
      <c r="W554" s="469"/>
      <c r="X554" s="469"/>
      <c r="Y554" s="469"/>
      <c r="Z554" s="470"/>
      <c r="AA554" s="469"/>
      <c r="AB554" s="469"/>
      <c r="AC554" s="469"/>
      <c r="AD554" s="469"/>
      <c r="AE554" s="472"/>
      <c r="AF554" s="472"/>
      <c r="AG554" s="486"/>
      <c r="AH554" s="486"/>
    </row>
    <row r="555" ht="15.75" customHeight="1">
      <c r="A555" s="344"/>
      <c r="B555" s="470"/>
      <c r="C555" s="469"/>
      <c r="D555" s="485"/>
      <c r="E555" s="469"/>
      <c r="F555" s="469"/>
      <c r="G555" s="470"/>
      <c r="H555" s="469"/>
      <c r="I555" s="470"/>
      <c r="J555" s="470"/>
      <c r="K555" s="344"/>
      <c r="L555" s="469"/>
      <c r="M555" s="469"/>
      <c r="N555" s="469"/>
      <c r="O555" s="469"/>
      <c r="P555" s="469"/>
      <c r="Q555" s="470"/>
      <c r="R555" s="469"/>
      <c r="S555" s="469"/>
      <c r="T555" s="470"/>
      <c r="U555" s="470"/>
      <c r="V555" s="470"/>
      <c r="W555" s="469"/>
      <c r="X555" s="469"/>
      <c r="Y555" s="469"/>
      <c r="Z555" s="470"/>
      <c r="AA555" s="469"/>
      <c r="AB555" s="469"/>
      <c r="AC555" s="469"/>
      <c r="AD555" s="469"/>
      <c r="AE555" s="472"/>
      <c r="AF555" s="472"/>
      <c r="AG555" s="486"/>
      <c r="AH555" s="486"/>
    </row>
    <row r="556" ht="15.75" customHeight="1">
      <c r="A556" s="344"/>
      <c r="B556" s="470"/>
      <c r="C556" s="469"/>
      <c r="D556" s="485"/>
      <c r="E556" s="469"/>
      <c r="F556" s="469"/>
      <c r="G556" s="470"/>
      <c r="H556" s="469"/>
      <c r="I556" s="470"/>
      <c r="J556" s="470"/>
      <c r="K556" s="344"/>
      <c r="L556" s="469"/>
      <c r="M556" s="469"/>
      <c r="N556" s="469"/>
      <c r="O556" s="469"/>
      <c r="P556" s="469"/>
      <c r="Q556" s="470"/>
      <c r="R556" s="469"/>
      <c r="S556" s="469"/>
      <c r="T556" s="470"/>
      <c r="U556" s="470"/>
      <c r="V556" s="470"/>
      <c r="W556" s="469"/>
      <c r="X556" s="469"/>
      <c r="Y556" s="469"/>
      <c r="Z556" s="470"/>
      <c r="AA556" s="469"/>
      <c r="AB556" s="469"/>
      <c r="AC556" s="469"/>
      <c r="AD556" s="469"/>
      <c r="AE556" s="472"/>
      <c r="AF556" s="472"/>
      <c r="AG556" s="486"/>
      <c r="AH556" s="486"/>
    </row>
    <row r="557" ht="15.75" customHeight="1">
      <c r="A557" s="344"/>
      <c r="B557" s="470"/>
      <c r="C557" s="469"/>
      <c r="D557" s="485"/>
      <c r="E557" s="469"/>
      <c r="F557" s="469"/>
      <c r="G557" s="470"/>
      <c r="H557" s="469"/>
      <c r="I557" s="470"/>
      <c r="J557" s="470"/>
      <c r="K557" s="344"/>
      <c r="L557" s="469"/>
      <c r="M557" s="469"/>
      <c r="N557" s="469"/>
      <c r="O557" s="469"/>
      <c r="P557" s="469"/>
      <c r="Q557" s="470"/>
      <c r="R557" s="469"/>
      <c r="S557" s="469"/>
      <c r="T557" s="470"/>
      <c r="U557" s="470"/>
      <c r="V557" s="470"/>
      <c r="W557" s="469"/>
      <c r="X557" s="469"/>
      <c r="Y557" s="469"/>
      <c r="Z557" s="470"/>
      <c r="AA557" s="469"/>
      <c r="AB557" s="469"/>
      <c r="AC557" s="469"/>
      <c r="AD557" s="469"/>
      <c r="AE557" s="472"/>
      <c r="AF557" s="472"/>
      <c r="AG557" s="486"/>
      <c r="AH557" s="486"/>
    </row>
    <row r="558" ht="15.75" customHeight="1">
      <c r="A558" s="344"/>
      <c r="B558" s="470"/>
      <c r="C558" s="469"/>
      <c r="D558" s="485"/>
      <c r="E558" s="469"/>
      <c r="F558" s="469"/>
      <c r="G558" s="470"/>
      <c r="H558" s="469"/>
      <c r="I558" s="470"/>
      <c r="J558" s="470"/>
      <c r="K558" s="344"/>
      <c r="L558" s="469"/>
      <c r="M558" s="469"/>
      <c r="N558" s="469"/>
      <c r="O558" s="469"/>
      <c r="P558" s="469"/>
      <c r="Q558" s="470"/>
      <c r="R558" s="469"/>
      <c r="S558" s="469"/>
      <c r="T558" s="470"/>
      <c r="U558" s="470"/>
      <c r="V558" s="470"/>
      <c r="W558" s="469"/>
      <c r="X558" s="469"/>
      <c r="Y558" s="469"/>
      <c r="Z558" s="470"/>
      <c r="AA558" s="469"/>
      <c r="AB558" s="469"/>
      <c r="AC558" s="469"/>
      <c r="AD558" s="469"/>
      <c r="AE558" s="472"/>
      <c r="AF558" s="472"/>
      <c r="AG558" s="486"/>
      <c r="AH558" s="486"/>
    </row>
    <row r="559" ht="15.75" customHeight="1">
      <c r="A559" s="344"/>
      <c r="B559" s="470"/>
      <c r="C559" s="469"/>
      <c r="D559" s="485"/>
      <c r="E559" s="469"/>
      <c r="F559" s="469"/>
      <c r="G559" s="470"/>
      <c r="H559" s="469"/>
      <c r="I559" s="470"/>
      <c r="J559" s="470"/>
      <c r="K559" s="344"/>
      <c r="L559" s="469"/>
      <c r="M559" s="469"/>
      <c r="N559" s="469"/>
      <c r="O559" s="469"/>
      <c r="P559" s="469"/>
      <c r="Q559" s="470"/>
      <c r="R559" s="469"/>
      <c r="S559" s="469"/>
      <c r="T559" s="470"/>
      <c r="U559" s="470"/>
      <c r="V559" s="470"/>
      <c r="W559" s="469"/>
      <c r="X559" s="469"/>
      <c r="Y559" s="469"/>
      <c r="Z559" s="470"/>
      <c r="AA559" s="469"/>
      <c r="AB559" s="469"/>
      <c r="AC559" s="469"/>
      <c r="AD559" s="469"/>
      <c r="AE559" s="472"/>
      <c r="AF559" s="472"/>
      <c r="AG559" s="486"/>
      <c r="AH559" s="486"/>
    </row>
    <row r="560" ht="15.75" customHeight="1">
      <c r="A560" s="344"/>
      <c r="B560" s="470"/>
      <c r="C560" s="469"/>
      <c r="D560" s="485"/>
      <c r="E560" s="469"/>
      <c r="F560" s="469"/>
      <c r="G560" s="470"/>
      <c r="H560" s="469"/>
      <c r="I560" s="470"/>
      <c r="J560" s="470"/>
      <c r="K560" s="344"/>
      <c r="L560" s="469"/>
      <c r="M560" s="469"/>
      <c r="N560" s="469"/>
      <c r="O560" s="469"/>
      <c r="P560" s="469"/>
      <c r="Q560" s="470"/>
      <c r="R560" s="469"/>
      <c r="S560" s="469"/>
      <c r="T560" s="470"/>
      <c r="U560" s="470"/>
      <c r="V560" s="470"/>
      <c r="W560" s="469"/>
      <c r="X560" s="469"/>
      <c r="Y560" s="469"/>
      <c r="Z560" s="470"/>
      <c r="AA560" s="469"/>
      <c r="AB560" s="469"/>
      <c r="AC560" s="469"/>
      <c r="AD560" s="469"/>
      <c r="AE560" s="472"/>
      <c r="AF560" s="472"/>
      <c r="AG560" s="486"/>
      <c r="AH560" s="486"/>
    </row>
    <row r="561" ht="15.75" customHeight="1">
      <c r="A561" s="344"/>
      <c r="B561" s="470"/>
      <c r="C561" s="469"/>
      <c r="D561" s="485"/>
      <c r="E561" s="469"/>
      <c r="F561" s="469"/>
      <c r="G561" s="470"/>
      <c r="H561" s="469"/>
      <c r="I561" s="470"/>
      <c r="J561" s="470"/>
      <c r="K561" s="344"/>
      <c r="L561" s="469"/>
      <c r="M561" s="469"/>
      <c r="N561" s="469"/>
      <c r="O561" s="469"/>
      <c r="P561" s="469"/>
      <c r="Q561" s="470"/>
      <c r="R561" s="469"/>
      <c r="S561" s="469"/>
      <c r="T561" s="470"/>
      <c r="U561" s="470"/>
      <c r="V561" s="470"/>
      <c r="W561" s="469"/>
      <c r="X561" s="469"/>
      <c r="Y561" s="469"/>
      <c r="Z561" s="470"/>
      <c r="AA561" s="469"/>
      <c r="AB561" s="469"/>
      <c r="AC561" s="469"/>
      <c r="AD561" s="469"/>
      <c r="AE561" s="472"/>
      <c r="AF561" s="472"/>
      <c r="AG561" s="486"/>
      <c r="AH561" s="486"/>
    </row>
    <row r="562" ht="15.75" customHeight="1">
      <c r="A562" s="344"/>
      <c r="B562" s="470"/>
      <c r="C562" s="469"/>
      <c r="D562" s="485"/>
      <c r="E562" s="469"/>
      <c r="F562" s="469"/>
      <c r="G562" s="470"/>
      <c r="H562" s="469"/>
      <c r="I562" s="470"/>
      <c r="J562" s="470"/>
      <c r="K562" s="344"/>
      <c r="L562" s="469"/>
      <c r="M562" s="469"/>
      <c r="N562" s="469"/>
      <c r="O562" s="469"/>
      <c r="P562" s="469"/>
      <c r="Q562" s="470"/>
      <c r="R562" s="469"/>
      <c r="S562" s="469"/>
      <c r="T562" s="470"/>
      <c r="U562" s="470"/>
      <c r="V562" s="470"/>
      <c r="W562" s="469"/>
      <c r="X562" s="469"/>
      <c r="Y562" s="469"/>
      <c r="Z562" s="470"/>
      <c r="AA562" s="469"/>
      <c r="AB562" s="469"/>
      <c r="AC562" s="469"/>
      <c r="AD562" s="469"/>
      <c r="AE562" s="472"/>
      <c r="AF562" s="472"/>
      <c r="AG562" s="486"/>
      <c r="AH562" s="486"/>
    </row>
    <row r="563" ht="15.75" customHeight="1">
      <c r="A563" s="344"/>
      <c r="B563" s="470"/>
      <c r="C563" s="469"/>
      <c r="D563" s="485"/>
      <c r="E563" s="469"/>
      <c r="F563" s="469"/>
      <c r="G563" s="470"/>
      <c r="H563" s="469"/>
      <c r="I563" s="470"/>
      <c r="J563" s="470"/>
      <c r="K563" s="344"/>
      <c r="L563" s="469"/>
      <c r="M563" s="469"/>
      <c r="N563" s="469"/>
      <c r="O563" s="469"/>
      <c r="P563" s="469"/>
      <c r="Q563" s="470"/>
      <c r="R563" s="469"/>
      <c r="S563" s="469"/>
      <c r="T563" s="470"/>
      <c r="U563" s="470"/>
      <c r="V563" s="470"/>
      <c r="W563" s="469"/>
      <c r="X563" s="469"/>
      <c r="Y563" s="469"/>
      <c r="Z563" s="470"/>
      <c r="AA563" s="469"/>
      <c r="AB563" s="469"/>
      <c r="AC563" s="469"/>
      <c r="AD563" s="469"/>
      <c r="AE563" s="472"/>
      <c r="AF563" s="472"/>
      <c r="AG563" s="486"/>
      <c r="AH563" s="486"/>
    </row>
    <row r="564" ht="15.75" customHeight="1">
      <c r="A564" s="344"/>
      <c r="B564" s="470"/>
      <c r="C564" s="469"/>
      <c r="D564" s="485"/>
      <c r="E564" s="469"/>
      <c r="F564" s="469"/>
      <c r="G564" s="470"/>
      <c r="H564" s="469"/>
      <c r="I564" s="470"/>
      <c r="J564" s="470"/>
      <c r="K564" s="344"/>
      <c r="L564" s="469"/>
      <c r="M564" s="469"/>
      <c r="N564" s="469"/>
      <c r="O564" s="469"/>
      <c r="P564" s="469"/>
      <c r="Q564" s="470"/>
      <c r="R564" s="469"/>
      <c r="S564" s="469"/>
      <c r="T564" s="470"/>
      <c r="U564" s="470"/>
      <c r="V564" s="470"/>
      <c r="W564" s="469"/>
      <c r="X564" s="469"/>
      <c r="Y564" s="469"/>
      <c r="Z564" s="470"/>
      <c r="AA564" s="469"/>
      <c r="AB564" s="469"/>
      <c r="AC564" s="469"/>
      <c r="AD564" s="469"/>
      <c r="AE564" s="472"/>
      <c r="AF564" s="472"/>
      <c r="AG564" s="486"/>
      <c r="AH564" s="486"/>
    </row>
    <row r="565" ht="15.75" customHeight="1">
      <c r="A565" s="344"/>
      <c r="B565" s="470"/>
      <c r="C565" s="469"/>
      <c r="D565" s="485"/>
      <c r="E565" s="469"/>
      <c r="F565" s="469"/>
      <c r="G565" s="470"/>
      <c r="H565" s="469"/>
      <c r="I565" s="470"/>
      <c r="J565" s="470"/>
      <c r="K565" s="344"/>
      <c r="L565" s="469"/>
      <c r="M565" s="469"/>
      <c r="N565" s="469"/>
      <c r="O565" s="469"/>
      <c r="P565" s="469"/>
      <c r="Q565" s="470"/>
      <c r="R565" s="469"/>
      <c r="S565" s="469"/>
      <c r="T565" s="470"/>
      <c r="U565" s="470"/>
      <c r="V565" s="470"/>
      <c r="W565" s="469"/>
      <c r="X565" s="469"/>
      <c r="Y565" s="469"/>
      <c r="Z565" s="470"/>
      <c r="AA565" s="469"/>
      <c r="AB565" s="469"/>
      <c r="AC565" s="469"/>
      <c r="AD565" s="469"/>
      <c r="AE565" s="472"/>
      <c r="AF565" s="472"/>
      <c r="AG565" s="486"/>
      <c r="AH565" s="486"/>
    </row>
    <row r="566" ht="15.75" customHeight="1">
      <c r="A566" s="344"/>
      <c r="B566" s="470"/>
      <c r="C566" s="469"/>
      <c r="D566" s="485"/>
      <c r="E566" s="469"/>
      <c r="F566" s="469"/>
      <c r="G566" s="470"/>
      <c r="H566" s="469"/>
      <c r="I566" s="470"/>
      <c r="J566" s="470"/>
      <c r="K566" s="344"/>
      <c r="L566" s="469"/>
      <c r="M566" s="469"/>
      <c r="N566" s="469"/>
      <c r="O566" s="469"/>
      <c r="P566" s="469"/>
      <c r="Q566" s="470"/>
      <c r="R566" s="469"/>
      <c r="S566" s="469"/>
      <c r="T566" s="470"/>
      <c r="U566" s="470"/>
      <c r="V566" s="470"/>
      <c r="W566" s="469"/>
      <c r="X566" s="469"/>
      <c r="Y566" s="469"/>
      <c r="Z566" s="470"/>
      <c r="AA566" s="469"/>
      <c r="AB566" s="469"/>
      <c r="AC566" s="469"/>
      <c r="AD566" s="469"/>
      <c r="AE566" s="472"/>
      <c r="AF566" s="472"/>
      <c r="AG566" s="486"/>
      <c r="AH566" s="486"/>
    </row>
    <row r="567" ht="15.75" customHeight="1">
      <c r="A567" s="344"/>
      <c r="B567" s="470"/>
      <c r="C567" s="469"/>
      <c r="D567" s="485"/>
      <c r="E567" s="469"/>
      <c r="F567" s="469"/>
      <c r="G567" s="470"/>
      <c r="H567" s="469"/>
      <c r="I567" s="470"/>
      <c r="J567" s="470"/>
      <c r="K567" s="344"/>
      <c r="L567" s="469"/>
      <c r="M567" s="469"/>
      <c r="N567" s="469"/>
      <c r="O567" s="469"/>
      <c r="P567" s="469"/>
      <c r="Q567" s="470"/>
      <c r="R567" s="469"/>
      <c r="S567" s="469"/>
      <c r="T567" s="470"/>
      <c r="U567" s="470"/>
      <c r="V567" s="470"/>
      <c r="W567" s="469"/>
      <c r="X567" s="469"/>
      <c r="Y567" s="469"/>
      <c r="Z567" s="470"/>
      <c r="AA567" s="469"/>
      <c r="AB567" s="469"/>
      <c r="AC567" s="469"/>
      <c r="AD567" s="469"/>
      <c r="AE567" s="472"/>
      <c r="AF567" s="472"/>
      <c r="AG567" s="486"/>
      <c r="AH567" s="486"/>
    </row>
    <row r="568" ht="15.75" customHeight="1">
      <c r="A568" s="344"/>
      <c r="B568" s="470"/>
      <c r="C568" s="469"/>
      <c r="D568" s="485"/>
      <c r="E568" s="469"/>
      <c r="F568" s="469"/>
      <c r="G568" s="470"/>
      <c r="H568" s="469"/>
      <c r="I568" s="470"/>
      <c r="J568" s="470"/>
      <c r="K568" s="344"/>
      <c r="L568" s="469"/>
      <c r="M568" s="469"/>
      <c r="N568" s="469"/>
      <c r="O568" s="469"/>
      <c r="P568" s="469"/>
      <c r="Q568" s="470"/>
      <c r="R568" s="469"/>
      <c r="S568" s="469"/>
      <c r="T568" s="470"/>
      <c r="U568" s="470"/>
      <c r="V568" s="470"/>
      <c r="W568" s="469"/>
      <c r="X568" s="469"/>
      <c r="Y568" s="469"/>
      <c r="Z568" s="470"/>
      <c r="AA568" s="469"/>
      <c r="AB568" s="469"/>
      <c r="AC568" s="469"/>
      <c r="AD568" s="469"/>
      <c r="AE568" s="472"/>
      <c r="AF568" s="472"/>
      <c r="AG568" s="486"/>
      <c r="AH568" s="486"/>
    </row>
    <row r="569" ht="15.75" customHeight="1">
      <c r="A569" s="344"/>
      <c r="B569" s="470"/>
      <c r="C569" s="469"/>
      <c r="D569" s="485"/>
      <c r="E569" s="469"/>
      <c r="F569" s="469"/>
      <c r="G569" s="470"/>
      <c r="H569" s="469"/>
      <c r="I569" s="470"/>
      <c r="J569" s="470"/>
      <c r="K569" s="344"/>
      <c r="L569" s="469"/>
      <c r="M569" s="469"/>
      <c r="N569" s="469"/>
      <c r="O569" s="469"/>
      <c r="P569" s="469"/>
      <c r="Q569" s="470"/>
      <c r="R569" s="469"/>
      <c r="S569" s="469"/>
      <c r="T569" s="470"/>
      <c r="U569" s="470"/>
      <c r="V569" s="470"/>
      <c r="W569" s="469"/>
      <c r="X569" s="469"/>
      <c r="Y569" s="469"/>
      <c r="Z569" s="470"/>
      <c r="AA569" s="469"/>
      <c r="AB569" s="469"/>
      <c r="AC569" s="469"/>
      <c r="AD569" s="469"/>
      <c r="AE569" s="472"/>
      <c r="AF569" s="472"/>
      <c r="AG569" s="486"/>
      <c r="AH569" s="486"/>
    </row>
    <row r="570" ht="15.75" customHeight="1">
      <c r="A570" s="344"/>
      <c r="B570" s="470"/>
      <c r="C570" s="469"/>
      <c r="D570" s="485"/>
      <c r="E570" s="469"/>
      <c r="F570" s="469"/>
      <c r="G570" s="470"/>
      <c r="H570" s="469"/>
      <c r="I570" s="470"/>
      <c r="J570" s="470"/>
      <c r="K570" s="344"/>
      <c r="L570" s="469"/>
      <c r="M570" s="469"/>
      <c r="N570" s="469"/>
      <c r="O570" s="469"/>
      <c r="P570" s="469"/>
      <c r="Q570" s="470"/>
      <c r="R570" s="469"/>
      <c r="S570" s="469"/>
      <c r="T570" s="470"/>
      <c r="U570" s="470"/>
      <c r="V570" s="470"/>
      <c r="W570" s="469"/>
      <c r="X570" s="469"/>
      <c r="Y570" s="469"/>
      <c r="Z570" s="470"/>
      <c r="AA570" s="469"/>
      <c r="AB570" s="469"/>
      <c r="AC570" s="469"/>
      <c r="AD570" s="469"/>
      <c r="AE570" s="472"/>
      <c r="AF570" s="472"/>
      <c r="AG570" s="486"/>
      <c r="AH570" s="486"/>
    </row>
    <row r="571" ht="15.75" customHeight="1">
      <c r="A571" s="344"/>
      <c r="B571" s="470"/>
      <c r="C571" s="469"/>
      <c r="D571" s="485"/>
      <c r="E571" s="469"/>
      <c r="F571" s="469"/>
      <c r="G571" s="470"/>
      <c r="H571" s="469"/>
      <c r="I571" s="470"/>
      <c r="J571" s="470"/>
      <c r="K571" s="344"/>
      <c r="L571" s="469"/>
      <c r="M571" s="469"/>
      <c r="N571" s="469"/>
      <c r="O571" s="469"/>
      <c r="P571" s="469"/>
      <c r="Q571" s="470"/>
      <c r="R571" s="469"/>
      <c r="S571" s="469"/>
      <c r="T571" s="470"/>
      <c r="U571" s="470"/>
      <c r="V571" s="470"/>
      <c r="W571" s="469"/>
      <c r="X571" s="469"/>
      <c r="Y571" s="469"/>
      <c r="Z571" s="470"/>
      <c r="AA571" s="469"/>
      <c r="AB571" s="469"/>
      <c r="AC571" s="469"/>
      <c r="AD571" s="469"/>
      <c r="AE571" s="472"/>
      <c r="AF571" s="472"/>
      <c r="AG571" s="486"/>
      <c r="AH571" s="486"/>
    </row>
    <row r="572" ht="15.75" customHeight="1">
      <c r="A572" s="344"/>
      <c r="B572" s="470"/>
      <c r="C572" s="469"/>
      <c r="D572" s="485"/>
      <c r="E572" s="469"/>
      <c r="F572" s="469"/>
      <c r="G572" s="470"/>
      <c r="H572" s="469"/>
      <c r="I572" s="470"/>
      <c r="J572" s="470"/>
      <c r="K572" s="344"/>
      <c r="L572" s="469"/>
      <c r="M572" s="469"/>
      <c r="N572" s="469"/>
      <c r="O572" s="469"/>
      <c r="P572" s="469"/>
      <c r="Q572" s="470"/>
      <c r="R572" s="469"/>
      <c r="S572" s="469"/>
      <c r="T572" s="470"/>
      <c r="U572" s="470"/>
      <c r="V572" s="470"/>
      <c r="W572" s="469"/>
      <c r="X572" s="469"/>
      <c r="Y572" s="469"/>
      <c r="Z572" s="470"/>
      <c r="AA572" s="469"/>
      <c r="AB572" s="469"/>
      <c r="AC572" s="469"/>
      <c r="AD572" s="469"/>
      <c r="AE572" s="472"/>
      <c r="AF572" s="472"/>
      <c r="AG572" s="486"/>
      <c r="AH572" s="486"/>
    </row>
    <row r="573" ht="15.75" customHeight="1">
      <c r="A573" s="344"/>
      <c r="B573" s="470"/>
      <c r="C573" s="469"/>
      <c r="D573" s="485"/>
      <c r="E573" s="469"/>
      <c r="F573" s="469"/>
      <c r="G573" s="470"/>
      <c r="H573" s="469"/>
      <c r="I573" s="470"/>
      <c r="J573" s="470"/>
      <c r="K573" s="344"/>
      <c r="L573" s="469"/>
      <c r="M573" s="469"/>
      <c r="N573" s="469"/>
      <c r="O573" s="469"/>
      <c r="P573" s="469"/>
      <c r="Q573" s="470"/>
      <c r="R573" s="469"/>
      <c r="S573" s="469"/>
      <c r="T573" s="470"/>
      <c r="U573" s="470"/>
      <c r="V573" s="470"/>
      <c r="W573" s="469"/>
      <c r="X573" s="469"/>
      <c r="Y573" s="469"/>
      <c r="Z573" s="470"/>
      <c r="AA573" s="469"/>
      <c r="AB573" s="469"/>
      <c r="AC573" s="469"/>
      <c r="AD573" s="469"/>
      <c r="AE573" s="472"/>
      <c r="AF573" s="472"/>
      <c r="AG573" s="486"/>
      <c r="AH573" s="486"/>
    </row>
    <row r="574" ht="15.75" customHeight="1">
      <c r="A574" s="344"/>
      <c r="B574" s="470"/>
      <c r="C574" s="469"/>
      <c r="D574" s="485"/>
      <c r="E574" s="469"/>
      <c r="F574" s="469"/>
      <c r="G574" s="470"/>
      <c r="H574" s="469"/>
      <c r="I574" s="470"/>
      <c r="J574" s="470"/>
      <c r="K574" s="344"/>
      <c r="L574" s="469"/>
      <c r="M574" s="469"/>
      <c r="N574" s="469"/>
      <c r="O574" s="469"/>
      <c r="P574" s="469"/>
      <c r="Q574" s="470"/>
      <c r="R574" s="469"/>
      <c r="S574" s="469"/>
      <c r="T574" s="470"/>
      <c r="U574" s="470"/>
      <c r="V574" s="470"/>
      <c r="W574" s="469"/>
      <c r="X574" s="469"/>
      <c r="Y574" s="469"/>
      <c r="Z574" s="470"/>
      <c r="AA574" s="469"/>
      <c r="AB574" s="469"/>
      <c r="AC574" s="469"/>
      <c r="AD574" s="469"/>
      <c r="AE574" s="472"/>
      <c r="AF574" s="472"/>
      <c r="AG574" s="486"/>
      <c r="AH574" s="486"/>
    </row>
    <row r="575" ht="15.75" customHeight="1">
      <c r="A575" s="344"/>
      <c r="B575" s="470"/>
      <c r="C575" s="469"/>
      <c r="D575" s="485"/>
      <c r="E575" s="469"/>
      <c r="F575" s="469"/>
      <c r="G575" s="470"/>
      <c r="H575" s="469"/>
      <c r="I575" s="470"/>
      <c r="J575" s="470"/>
      <c r="K575" s="344"/>
      <c r="L575" s="469"/>
      <c r="M575" s="469"/>
      <c r="N575" s="469"/>
      <c r="O575" s="469"/>
      <c r="P575" s="469"/>
      <c r="Q575" s="470"/>
      <c r="R575" s="469"/>
      <c r="S575" s="469"/>
      <c r="T575" s="470"/>
      <c r="U575" s="470"/>
      <c r="V575" s="470"/>
      <c r="W575" s="469"/>
      <c r="X575" s="469"/>
      <c r="Y575" s="469"/>
      <c r="Z575" s="470"/>
      <c r="AA575" s="469"/>
      <c r="AB575" s="469"/>
      <c r="AC575" s="469"/>
      <c r="AD575" s="469"/>
      <c r="AE575" s="472"/>
      <c r="AF575" s="472"/>
      <c r="AG575" s="486"/>
      <c r="AH575" s="486"/>
    </row>
    <row r="576" ht="15.75" customHeight="1">
      <c r="A576" s="344"/>
      <c r="B576" s="470"/>
      <c r="C576" s="469"/>
      <c r="D576" s="485"/>
      <c r="E576" s="469"/>
      <c r="F576" s="469"/>
      <c r="G576" s="470"/>
      <c r="H576" s="469"/>
      <c r="I576" s="470"/>
      <c r="J576" s="470"/>
      <c r="K576" s="344"/>
      <c r="L576" s="469"/>
      <c r="M576" s="469"/>
      <c r="N576" s="469"/>
      <c r="O576" s="469"/>
      <c r="P576" s="469"/>
      <c r="Q576" s="470"/>
      <c r="R576" s="469"/>
      <c r="S576" s="469"/>
      <c r="T576" s="470"/>
      <c r="U576" s="470"/>
      <c r="V576" s="470"/>
      <c r="W576" s="469"/>
      <c r="X576" s="469"/>
      <c r="Y576" s="469"/>
      <c r="Z576" s="470"/>
      <c r="AA576" s="469"/>
      <c r="AB576" s="469"/>
      <c r="AC576" s="469"/>
      <c r="AD576" s="469"/>
      <c r="AE576" s="472"/>
      <c r="AF576" s="472"/>
      <c r="AG576" s="486"/>
      <c r="AH576" s="486"/>
    </row>
    <row r="577" ht="15.75" customHeight="1">
      <c r="A577" s="344"/>
      <c r="B577" s="470"/>
      <c r="C577" s="469"/>
      <c r="D577" s="485"/>
      <c r="E577" s="469"/>
      <c r="F577" s="469"/>
      <c r="G577" s="470"/>
      <c r="H577" s="469"/>
      <c r="I577" s="470"/>
      <c r="J577" s="470"/>
      <c r="K577" s="344"/>
      <c r="L577" s="469"/>
      <c r="M577" s="469"/>
      <c r="N577" s="469"/>
      <c r="O577" s="469"/>
      <c r="P577" s="469"/>
      <c r="Q577" s="470"/>
      <c r="R577" s="469"/>
      <c r="S577" s="469"/>
      <c r="T577" s="470"/>
      <c r="U577" s="470"/>
      <c r="V577" s="470"/>
      <c r="W577" s="469"/>
      <c r="X577" s="469"/>
      <c r="Y577" s="469"/>
      <c r="Z577" s="470"/>
      <c r="AA577" s="469"/>
      <c r="AB577" s="469"/>
      <c r="AC577" s="469"/>
      <c r="AD577" s="469"/>
      <c r="AE577" s="472"/>
      <c r="AF577" s="472"/>
      <c r="AG577" s="486"/>
      <c r="AH577" s="486"/>
    </row>
    <row r="578" ht="15.75" customHeight="1">
      <c r="A578" s="344"/>
      <c r="B578" s="470"/>
      <c r="C578" s="469"/>
      <c r="D578" s="485"/>
      <c r="E578" s="469"/>
      <c r="F578" s="469"/>
      <c r="G578" s="470"/>
      <c r="H578" s="469"/>
      <c r="I578" s="470"/>
      <c r="J578" s="470"/>
      <c r="K578" s="344"/>
      <c r="L578" s="469"/>
      <c r="M578" s="469"/>
      <c r="N578" s="469"/>
      <c r="O578" s="469"/>
      <c r="P578" s="469"/>
      <c r="Q578" s="470"/>
      <c r="R578" s="469"/>
      <c r="S578" s="469"/>
      <c r="T578" s="470"/>
      <c r="U578" s="470"/>
      <c r="V578" s="470"/>
      <c r="W578" s="469"/>
      <c r="X578" s="469"/>
      <c r="Y578" s="469"/>
      <c r="Z578" s="470"/>
      <c r="AA578" s="469"/>
      <c r="AB578" s="469"/>
      <c r="AC578" s="469"/>
      <c r="AD578" s="469"/>
      <c r="AE578" s="472"/>
      <c r="AF578" s="472"/>
      <c r="AG578" s="486"/>
      <c r="AH578" s="486"/>
    </row>
    <row r="579" ht="15.75" customHeight="1">
      <c r="A579" s="344"/>
      <c r="B579" s="470"/>
      <c r="C579" s="469"/>
      <c r="D579" s="485"/>
      <c r="E579" s="469"/>
      <c r="F579" s="469"/>
      <c r="G579" s="470"/>
      <c r="H579" s="469"/>
      <c r="I579" s="470"/>
      <c r="J579" s="470"/>
      <c r="K579" s="344"/>
      <c r="L579" s="469"/>
      <c r="M579" s="469"/>
      <c r="N579" s="469"/>
      <c r="O579" s="469"/>
      <c r="P579" s="469"/>
      <c r="Q579" s="470"/>
      <c r="R579" s="469"/>
      <c r="S579" s="469"/>
      <c r="T579" s="470"/>
      <c r="U579" s="470"/>
      <c r="V579" s="470"/>
      <c r="W579" s="469"/>
      <c r="X579" s="469"/>
      <c r="Y579" s="469"/>
      <c r="Z579" s="470"/>
      <c r="AA579" s="469"/>
      <c r="AB579" s="469"/>
      <c r="AC579" s="469"/>
      <c r="AD579" s="469"/>
      <c r="AE579" s="472"/>
      <c r="AF579" s="472"/>
      <c r="AG579" s="486"/>
      <c r="AH579" s="486"/>
    </row>
    <row r="580" ht="15.75" customHeight="1">
      <c r="A580" s="344"/>
      <c r="B580" s="470"/>
      <c r="C580" s="469"/>
      <c r="D580" s="485"/>
      <c r="E580" s="469"/>
      <c r="F580" s="469"/>
      <c r="G580" s="470"/>
      <c r="H580" s="469"/>
      <c r="I580" s="470"/>
      <c r="J580" s="470"/>
      <c r="K580" s="344"/>
      <c r="L580" s="469"/>
      <c r="M580" s="469"/>
      <c r="N580" s="469"/>
      <c r="O580" s="469"/>
      <c r="P580" s="469"/>
      <c r="Q580" s="470"/>
      <c r="R580" s="469"/>
      <c r="S580" s="469"/>
      <c r="T580" s="470"/>
      <c r="U580" s="470"/>
      <c r="V580" s="470"/>
      <c r="W580" s="469"/>
      <c r="X580" s="469"/>
      <c r="Y580" s="469"/>
      <c r="Z580" s="470"/>
      <c r="AA580" s="469"/>
      <c r="AB580" s="469"/>
      <c r="AC580" s="469"/>
      <c r="AD580" s="469"/>
      <c r="AE580" s="472"/>
      <c r="AF580" s="472"/>
      <c r="AG580" s="486"/>
      <c r="AH580" s="486"/>
    </row>
    <row r="581" ht="15.75" customHeight="1">
      <c r="A581" s="344"/>
      <c r="B581" s="470"/>
      <c r="C581" s="469"/>
      <c r="D581" s="485"/>
      <c r="E581" s="469"/>
      <c r="F581" s="469"/>
      <c r="G581" s="470"/>
      <c r="H581" s="469"/>
      <c r="I581" s="470"/>
      <c r="J581" s="470"/>
      <c r="K581" s="344"/>
      <c r="L581" s="469"/>
      <c r="M581" s="469"/>
      <c r="N581" s="469"/>
      <c r="O581" s="469"/>
      <c r="P581" s="469"/>
      <c r="Q581" s="470"/>
      <c r="R581" s="469"/>
      <c r="S581" s="469"/>
      <c r="T581" s="470"/>
      <c r="U581" s="470"/>
      <c r="V581" s="470"/>
      <c r="W581" s="469"/>
      <c r="X581" s="469"/>
      <c r="Y581" s="469"/>
      <c r="Z581" s="470"/>
      <c r="AA581" s="469"/>
      <c r="AB581" s="469"/>
      <c r="AC581" s="469"/>
      <c r="AD581" s="469"/>
      <c r="AE581" s="472"/>
      <c r="AF581" s="472"/>
      <c r="AG581" s="486"/>
      <c r="AH581" s="486"/>
    </row>
    <row r="582" ht="15.75" customHeight="1">
      <c r="A582" s="344"/>
      <c r="B582" s="470"/>
      <c r="C582" s="469"/>
      <c r="D582" s="485"/>
      <c r="E582" s="469"/>
      <c r="F582" s="469"/>
      <c r="G582" s="470"/>
      <c r="H582" s="469"/>
      <c r="I582" s="470"/>
      <c r="J582" s="470"/>
      <c r="K582" s="344"/>
      <c r="L582" s="469"/>
      <c r="M582" s="469"/>
      <c r="N582" s="469"/>
      <c r="O582" s="469"/>
      <c r="P582" s="469"/>
      <c r="Q582" s="470"/>
      <c r="R582" s="469"/>
      <c r="S582" s="469"/>
      <c r="T582" s="470"/>
      <c r="U582" s="470"/>
      <c r="V582" s="470"/>
      <c r="W582" s="469"/>
      <c r="X582" s="469"/>
      <c r="Y582" s="469"/>
      <c r="Z582" s="470"/>
      <c r="AA582" s="469"/>
      <c r="AB582" s="469"/>
      <c r="AC582" s="469"/>
      <c r="AD582" s="469"/>
      <c r="AE582" s="472"/>
      <c r="AF582" s="472"/>
      <c r="AG582" s="486"/>
      <c r="AH582" s="486"/>
    </row>
    <row r="583" ht="15.75" customHeight="1">
      <c r="A583" s="344"/>
      <c r="B583" s="470"/>
      <c r="C583" s="469"/>
      <c r="D583" s="485"/>
      <c r="E583" s="469"/>
      <c r="F583" s="469"/>
      <c r="G583" s="470"/>
      <c r="H583" s="469"/>
      <c r="I583" s="470"/>
      <c r="J583" s="470"/>
      <c r="K583" s="344"/>
      <c r="L583" s="469"/>
      <c r="M583" s="469"/>
      <c r="N583" s="469"/>
      <c r="O583" s="469"/>
      <c r="P583" s="469"/>
      <c r="Q583" s="470"/>
      <c r="R583" s="469"/>
      <c r="S583" s="469"/>
      <c r="T583" s="470"/>
      <c r="U583" s="470"/>
      <c r="V583" s="470"/>
      <c r="W583" s="469"/>
      <c r="X583" s="469"/>
      <c r="Y583" s="469"/>
      <c r="Z583" s="470"/>
      <c r="AA583" s="469"/>
      <c r="AB583" s="469"/>
      <c r="AC583" s="469"/>
      <c r="AD583" s="469"/>
      <c r="AE583" s="472"/>
      <c r="AF583" s="472"/>
      <c r="AG583" s="486"/>
      <c r="AH583" s="486"/>
    </row>
    <row r="584" ht="15.75" customHeight="1">
      <c r="A584" s="344"/>
      <c r="B584" s="470"/>
      <c r="C584" s="469"/>
      <c r="D584" s="485"/>
      <c r="E584" s="469"/>
      <c r="F584" s="469"/>
      <c r="G584" s="470"/>
      <c r="H584" s="469"/>
      <c r="I584" s="470"/>
      <c r="J584" s="470"/>
      <c r="K584" s="344"/>
      <c r="L584" s="469"/>
      <c r="M584" s="469"/>
      <c r="N584" s="469"/>
      <c r="O584" s="469"/>
      <c r="P584" s="469"/>
      <c r="Q584" s="470"/>
      <c r="R584" s="469"/>
      <c r="S584" s="469"/>
      <c r="T584" s="470"/>
      <c r="U584" s="470"/>
      <c r="V584" s="470"/>
      <c r="W584" s="469"/>
      <c r="X584" s="469"/>
      <c r="Y584" s="469"/>
      <c r="Z584" s="470"/>
      <c r="AA584" s="469"/>
      <c r="AB584" s="469"/>
      <c r="AC584" s="469"/>
      <c r="AD584" s="469"/>
      <c r="AE584" s="472"/>
      <c r="AF584" s="472"/>
      <c r="AG584" s="486"/>
      <c r="AH584" s="486"/>
    </row>
    <row r="585" ht="15.75" customHeight="1">
      <c r="A585" s="344"/>
      <c r="B585" s="470"/>
      <c r="C585" s="469"/>
      <c r="D585" s="485"/>
      <c r="E585" s="469"/>
      <c r="F585" s="469"/>
      <c r="G585" s="470"/>
      <c r="H585" s="469"/>
      <c r="I585" s="470"/>
      <c r="J585" s="470"/>
      <c r="K585" s="344"/>
      <c r="L585" s="469"/>
      <c r="M585" s="469"/>
      <c r="N585" s="469"/>
      <c r="O585" s="469"/>
      <c r="P585" s="469"/>
      <c r="Q585" s="470"/>
      <c r="R585" s="469"/>
      <c r="S585" s="469"/>
      <c r="T585" s="470"/>
      <c r="U585" s="470"/>
      <c r="V585" s="470"/>
      <c r="W585" s="469"/>
      <c r="X585" s="469"/>
      <c r="Y585" s="469"/>
      <c r="Z585" s="470"/>
      <c r="AA585" s="469"/>
      <c r="AB585" s="469"/>
      <c r="AC585" s="469"/>
      <c r="AD585" s="469"/>
      <c r="AE585" s="472"/>
      <c r="AF585" s="472"/>
      <c r="AG585" s="486"/>
      <c r="AH585" s="486"/>
    </row>
    <row r="586" ht="15.75" customHeight="1">
      <c r="A586" s="344"/>
      <c r="B586" s="470"/>
      <c r="C586" s="469"/>
      <c r="D586" s="485"/>
      <c r="E586" s="469"/>
      <c r="F586" s="469"/>
      <c r="G586" s="470"/>
      <c r="H586" s="469"/>
      <c r="I586" s="470"/>
      <c r="J586" s="470"/>
      <c r="K586" s="344"/>
      <c r="L586" s="469"/>
      <c r="M586" s="469"/>
      <c r="N586" s="469"/>
      <c r="O586" s="469"/>
      <c r="P586" s="469"/>
      <c r="Q586" s="470"/>
      <c r="R586" s="469"/>
      <c r="S586" s="469"/>
      <c r="T586" s="470"/>
      <c r="U586" s="470"/>
      <c r="V586" s="470"/>
      <c r="W586" s="469"/>
      <c r="X586" s="469"/>
      <c r="Y586" s="469"/>
      <c r="Z586" s="470"/>
      <c r="AA586" s="469"/>
      <c r="AB586" s="469"/>
      <c r="AC586" s="469"/>
      <c r="AD586" s="469"/>
      <c r="AE586" s="472"/>
      <c r="AF586" s="472"/>
      <c r="AG586" s="486"/>
      <c r="AH586" s="486"/>
    </row>
    <row r="587" ht="15.75" customHeight="1">
      <c r="A587" s="344"/>
      <c r="B587" s="470"/>
      <c r="C587" s="469"/>
      <c r="D587" s="485"/>
      <c r="E587" s="469"/>
      <c r="F587" s="469"/>
      <c r="G587" s="470"/>
      <c r="H587" s="469"/>
      <c r="I587" s="470"/>
      <c r="J587" s="470"/>
      <c r="K587" s="344"/>
      <c r="L587" s="469"/>
      <c r="M587" s="469"/>
      <c r="N587" s="469"/>
      <c r="O587" s="469"/>
      <c r="P587" s="469"/>
      <c r="Q587" s="470"/>
      <c r="R587" s="469"/>
      <c r="S587" s="469"/>
      <c r="T587" s="470"/>
      <c r="U587" s="470"/>
      <c r="V587" s="470"/>
      <c r="W587" s="469"/>
      <c r="X587" s="469"/>
      <c r="Y587" s="469"/>
      <c r="Z587" s="470"/>
      <c r="AA587" s="469"/>
      <c r="AB587" s="469"/>
      <c r="AC587" s="469"/>
      <c r="AD587" s="469"/>
      <c r="AE587" s="472"/>
      <c r="AF587" s="472"/>
      <c r="AG587" s="486"/>
      <c r="AH587" s="486"/>
    </row>
    <row r="588" ht="15.75" customHeight="1">
      <c r="A588" s="344"/>
      <c r="B588" s="470"/>
      <c r="C588" s="469"/>
      <c r="D588" s="485"/>
      <c r="E588" s="469"/>
      <c r="F588" s="469"/>
      <c r="G588" s="470"/>
      <c r="H588" s="469"/>
      <c r="I588" s="470"/>
      <c r="J588" s="470"/>
      <c r="K588" s="344"/>
      <c r="L588" s="469"/>
      <c r="M588" s="469"/>
      <c r="N588" s="469"/>
      <c r="O588" s="469"/>
      <c r="P588" s="469"/>
      <c r="Q588" s="470"/>
      <c r="R588" s="469"/>
      <c r="S588" s="469"/>
      <c r="T588" s="470"/>
      <c r="U588" s="470"/>
      <c r="V588" s="470"/>
      <c r="W588" s="469"/>
      <c r="X588" s="469"/>
      <c r="Y588" s="469"/>
      <c r="Z588" s="470"/>
      <c r="AA588" s="469"/>
      <c r="AB588" s="469"/>
      <c r="AC588" s="469"/>
      <c r="AD588" s="469"/>
      <c r="AE588" s="472"/>
      <c r="AF588" s="472"/>
      <c r="AG588" s="486"/>
      <c r="AH588" s="486"/>
    </row>
    <row r="589" ht="15.75" customHeight="1">
      <c r="A589" s="344"/>
      <c r="B589" s="470"/>
      <c r="C589" s="469"/>
      <c r="D589" s="485"/>
      <c r="E589" s="469"/>
      <c r="F589" s="469"/>
      <c r="G589" s="470"/>
      <c r="H589" s="469"/>
      <c r="I589" s="470"/>
      <c r="J589" s="470"/>
      <c r="K589" s="344"/>
      <c r="L589" s="469"/>
      <c r="M589" s="469"/>
      <c r="N589" s="469"/>
      <c r="O589" s="469"/>
      <c r="P589" s="469"/>
      <c r="Q589" s="470"/>
      <c r="R589" s="469"/>
      <c r="S589" s="469"/>
      <c r="T589" s="470"/>
      <c r="U589" s="470"/>
      <c r="V589" s="470"/>
      <c r="W589" s="469"/>
      <c r="X589" s="469"/>
      <c r="Y589" s="469"/>
      <c r="Z589" s="470"/>
      <c r="AA589" s="469"/>
      <c r="AB589" s="469"/>
      <c r="AC589" s="469"/>
      <c r="AD589" s="469"/>
      <c r="AE589" s="472"/>
      <c r="AF589" s="472"/>
      <c r="AG589" s="486"/>
      <c r="AH589" s="486"/>
    </row>
    <row r="590" ht="15.75" customHeight="1">
      <c r="A590" s="344"/>
      <c r="B590" s="470"/>
      <c r="C590" s="469"/>
      <c r="D590" s="485"/>
      <c r="E590" s="469"/>
      <c r="F590" s="469"/>
      <c r="G590" s="470"/>
      <c r="H590" s="469"/>
      <c r="I590" s="470"/>
      <c r="J590" s="470"/>
      <c r="K590" s="344"/>
      <c r="L590" s="469"/>
      <c r="M590" s="469"/>
      <c r="N590" s="469"/>
      <c r="O590" s="469"/>
      <c r="P590" s="469"/>
      <c r="Q590" s="470"/>
      <c r="R590" s="469"/>
      <c r="S590" s="469"/>
      <c r="T590" s="470"/>
      <c r="U590" s="470"/>
      <c r="V590" s="470"/>
      <c r="W590" s="469"/>
      <c r="X590" s="469"/>
      <c r="Y590" s="469"/>
      <c r="Z590" s="470"/>
      <c r="AA590" s="469"/>
      <c r="AB590" s="469"/>
      <c r="AC590" s="469"/>
      <c r="AD590" s="469"/>
      <c r="AE590" s="472"/>
      <c r="AF590" s="472"/>
      <c r="AG590" s="486"/>
      <c r="AH590" s="486"/>
    </row>
    <row r="591" ht="15.75" customHeight="1">
      <c r="A591" s="344"/>
      <c r="B591" s="470"/>
      <c r="C591" s="469"/>
      <c r="D591" s="485"/>
      <c r="E591" s="469"/>
      <c r="F591" s="469"/>
      <c r="G591" s="470"/>
      <c r="H591" s="469"/>
      <c r="I591" s="470"/>
      <c r="J591" s="470"/>
      <c r="K591" s="344"/>
      <c r="L591" s="469"/>
      <c r="M591" s="469"/>
      <c r="N591" s="469"/>
      <c r="O591" s="469"/>
      <c r="P591" s="469"/>
      <c r="Q591" s="470"/>
      <c r="R591" s="469"/>
      <c r="S591" s="469"/>
      <c r="T591" s="470"/>
      <c r="U591" s="470"/>
      <c r="V591" s="470"/>
      <c r="W591" s="469"/>
      <c r="X591" s="469"/>
      <c r="Y591" s="469"/>
      <c r="Z591" s="470"/>
      <c r="AA591" s="469"/>
      <c r="AB591" s="469"/>
      <c r="AC591" s="469"/>
      <c r="AD591" s="469"/>
      <c r="AE591" s="472"/>
      <c r="AF591" s="472"/>
      <c r="AG591" s="486"/>
      <c r="AH591" s="486"/>
    </row>
    <row r="592" ht="15.75" customHeight="1">
      <c r="A592" s="344"/>
      <c r="B592" s="470"/>
      <c r="C592" s="469"/>
      <c r="D592" s="485"/>
      <c r="E592" s="469"/>
      <c r="F592" s="469"/>
      <c r="G592" s="470"/>
      <c r="H592" s="469"/>
      <c r="I592" s="470"/>
      <c r="J592" s="470"/>
      <c r="K592" s="344"/>
      <c r="L592" s="469"/>
      <c r="M592" s="469"/>
      <c r="N592" s="469"/>
      <c r="O592" s="469"/>
      <c r="P592" s="469"/>
      <c r="Q592" s="470"/>
      <c r="R592" s="469"/>
      <c r="S592" s="469"/>
      <c r="T592" s="470"/>
      <c r="U592" s="470"/>
      <c r="V592" s="470"/>
      <c r="W592" s="469"/>
      <c r="X592" s="469"/>
      <c r="Y592" s="469"/>
      <c r="Z592" s="470"/>
      <c r="AA592" s="469"/>
      <c r="AB592" s="469"/>
      <c r="AC592" s="469"/>
      <c r="AD592" s="469"/>
      <c r="AE592" s="472"/>
      <c r="AF592" s="472"/>
      <c r="AG592" s="486"/>
      <c r="AH592" s="486"/>
    </row>
    <row r="593" ht="15.75" customHeight="1">
      <c r="A593" s="344"/>
      <c r="B593" s="470"/>
      <c r="C593" s="469"/>
      <c r="D593" s="485"/>
      <c r="E593" s="469"/>
      <c r="F593" s="469"/>
      <c r="G593" s="470"/>
      <c r="H593" s="469"/>
      <c r="I593" s="470"/>
      <c r="J593" s="470"/>
      <c r="K593" s="344"/>
      <c r="L593" s="469"/>
      <c r="M593" s="469"/>
      <c r="N593" s="469"/>
      <c r="O593" s="469"/>
      <c r="P593" s="469"/>
      <c r="Q593" s="470"/>
      <c r="R593" s="469"/>
      <c r="S593" s="469"/>
      <c r="T593" s="470"/>
      <c r="U593" s="470"/>
      <c r="V593" s="470"/>
      <c r="W593" s="469"/>
      <c r="X593" s="469"/>
      <c r="Y593" s="469"/>
      <c r="Z593" s="470"/>
      <c r="AA593" s="469"/>
      <c r="AB593" s="469"/>
      <c r="AC593" s="469"/>
      <c r="AD593" s="469"/>
      <c r="AE593" s="472"/>
      <c r="AF593" s="472"/>
      <c r="AG593" s="486"/>
      <c r="AH593" s="486"/>
    </row>
    <row r="594" ht="15.75" customHeight="1">
      <c r="A594" s="344"/>
      <c r="B594" s="470"/>
      <c r="C594" s="469"/>
      <c r="D594" s="485"/>
      <c r="E594" s="469"/>
      <c r="F594" s="469"/>
      <c r="G594" s="470"/>
      <c r="H594" s="469"/>
      <c r="I594" s="470"/>
      <c r="J594" s="470"/>
      <c r="K594" s="344"/>
      <c r="L594" s="469"/>
      <c r="M594" s="469"/>
      <c r="N594" s="469"/>
      <c r="O594" s="469"/>
      <c r="P594" s="469"/>
      <c r="Q594" s="470"/>
      <c r="R594" s="469"/>
      <c r="S594" s="469"/>
      <c r="T594" s="470"/>
      <c r="U594" s="470"/>
      <c r="V594" s="470"/>
      <c r="W594" s="469"/>
      <c r="X594" s="469"/>
      <c r="Y594" s="469"/>
      <c r="Z594" s="470"/>
      <c r="AA594" s="469"/>
      <c r="AB594" s="469"/>
      <c r="AC594" s="469"/>
      <c r="AD594" s="469"/>
      <c r="AE594" s="472"/>
      <c r="AF594" s="472"/>
      <c r="AG594" s="486"/>
      <c r="AH594" s="486"/>
    </row>
    <row r="595" ht="15.75" customHeight="1">
      <c r="A595" s="344"/>
      <c r="B595" s="470"/>
      <c r="C595" s="469"/>
      <c r="D595" s="485"/>
      <c r="E595" s="469"/>
      <c r="F595" s="469"/>
      <c r="G595" s="470"/>
      <c r="H595" s="469"/>
      <c r="I595" s="470"/>
      <c r="J595" s="470"/>
      <c r="K595" s="344"/>
      <c r="L595" s="469"/>
      <c r="M595" s="469"/>
      <c r="N595" s="469"/>
      <c r="O595" s="469"/>
      <c r="P595" s="469"/>
      <c r="Q595" s="470"/>
      <c r="R595" s="469"/>
      <c r="S595" s="469"/>
      <c r="T595" s="470"/>
      <c r="U595" s="470"/>
      <c r="V595" s="470"/>
      <c r="W595" s="469"/>
      <c r="X595" s="469"/>
      <c r="Y595" s="469"/>
      <c r="Z595" s="470"/>
      <c r="AA595" s="469"/>
      <c r="AB595" s="469"/>
      <c r="AC595" s="469"/>
      <c r="AD595" s="469"/>
      <c r="AE595" s="472"/>
      <c r="AF595" s="472"/>
      <c r="AG595" s="486"/>
      <c r="AH595" s="486"/>
    </row>
    <row r="596" ht="15.75" customHeight="1">
      <c r="A596" s="344"/>
      <c r="B596" s="470"/>
      <c r="C596" s="469"/>
      <c r="D596" s="485"/>
      <c r="E596" s="469"/>
      <c r="F596" s="469"/>
      <c r="G596" s="470"/>
      <c r="H596" s="469"/>
      <c r="I596" s="470"/>
      <c r="J596" s="470"/>
      <c r="K596" s="344"/>
      <c r="L596" s="469"/>
      <c r="M596" s="469"/>
      <c r="N596" s="469"/>
      <c r="O596" s="469"/>
      <c r="P596" s="469"/>
      <c r="Q596" s="470"/>
      <c r="R596" s="469"/>
      <c r="S596" s="469"/>
      <c r="T596" s="470"/>
      <c r="U596" s="470"/>
      <c r="V596" s="470"/>
      <c r="W596" s="469"/>
      <c r="X596" s="469"/>
      <c r="Y596" s="469"/>
      <c r="Z596" s="470"/>
      <c r="AA596" s="469"/>
      <c r="AB596" s="469"/>
      <c r="AC596" s="469"/>
      <c r="AD596" s="469"/>
      <c r="AE596" s="472"/>
      <c r="AF596" s="472"/>
      <c r="AG596" s="486"/>
      <c r="AH596" s="486"/>
    </row>
    <row r="597" ht="15.75" customHeight="1">
      <c r="A597" s="344"/>
      <c r="B597" s="470"/>
      <c r="C597" s="469"/>
      <c r="D597" s="485"/>
      <c r="E597" s="469"/>
      <c r="F597" s="469"/>
      <c r="G597" s="470"/>
      <c r="H597" s="469"/>
      <c r="I597" s="470"/>
      <c r="J597" s="470"/>
      <c r="K597" s="344"/>
      <c r="L597" s="469"/>
      <c r="M597" s="469"/>
      <c r="N597" s="469"/>
      <c r="O597" s="469"/>
      <c r="P597" s="469"/>
      <c r="Q597" s="470"/>
      <c r="R597" s="469"/>
      <c r="S597" s="469"/>
      <c r="T597" s="470"/>
      <c r="U597" s="470"/>
      <c r="V597" s="470"/>
      <c r="W597" s="469"/>
      <c r="X597" s="469"/>
      <c r="Y597" s="469"/>
      <c r="Z597" s="470"/>
      <c r="AA597" s="469"/>
      <c r="AB597" s="469"/>
      <c r="AC597" s="469"/>
      <c r="AD597" s="469"/>
      <c r="AE597" s="472"/>
      <c r="AF597" s="472"/>
      <c r="AG597" s="486"/>
      <c r="AH597" s="486"/>
    </row>
    <row r="598" ht="15.75" customHeight="1">
      <c r="A598" s="344"/>
      <c r="B598" s="470"/>
      <c r="C598" s="469"/>
      <c r="D598" s="485"/>
      <c r="E598" s="469"/>
      <c r="F598" s="469"/>
      <c r="G598" s="470"/>
      <c r="H598" s="469"/>
      <c r="I598" s="470"/>
      <c r="J598" s="470"/>
      <c r="K598" s="344"/>
      <c r="L598" s="469"/>
      <c r="M598" s="469"/>
      <c r="N598" s="469"/>
      <c r="O598" s="469"/>
      <c r="P598" s="469"/>
      <c r="Q598" s="470"/>
      <c r="R598" s="469"/>
      <c r="S598" s="469"/>
      <c r="T598" s="470"/>
      <c r="U598" s="470"/>
      <c r="V598" s="470"/>
      <c r="W598" s="469"/>
      <c r="X598" s="469"/>
      <c r="Y598" s="469"/>
      <c r="Z598" s="470"/>
      <c r="AA598" s="469"/>
      <c r="AB598" s="469"/>
      <c r="AC598" s="469"/>
      <c r="AD598" s="469"/>
      <c r="AE598" s="472"/>
      <c r="AF598" s="472"/>
      <c r="AG598" s="486"/>
      <c r="AH598" s="486"/>
    </row>
    <row r="599" ht="15.75" customHeight="1">
      <c r="A599" s="344"/>
      <c r="B599" s="470"/>
      <c r="C599" s="469"/>
      <c r="D599" s="485"/>
      <c r="E599" s="469"/>
      <c r="F599" s="469"/>
      <c r="G599" s="470"/>
      <c r="H599" s="469"/>
      <c r="I599" s="470"/>
      <c r="J599" s="470"/>
      <c r="K599" s="344"/>
      <c r="L599" s="469"/>
      <c r="M599" s="469"/>
      <c r="N599" s="469"/>
      <c r="O599" s="469"/>
      <c r="P599" s="469"/>
      <c r="Q599" s="470"/>
      <c r="R599" s="469"/>
      <c r="S599" s="469"/>
      <c r="T599" s="470"/>
      <c r="U599" s="470"/>
      <c r="V599" s="470"/>
      <c r="W599" s="469"/>
      <c r="X599" s="469"/>
      <c r="Y599" s="469"/>
      <c r="Z599" s="470"/>
      <c r="AA599" s="469"/>
      <c r="AB599" s="469"/>
      <c r="AC599" s="469"/>
      <c r="AD599" s="469"/>
      <c r="AE599" s="472"/>
      <c r="AF599" s="472"/>
      <c r="AG599" s="486"/>
      <c r="AH599" s="486"/>
    </row>
    <row r="600" ht="15.75" customHeight="1">
      <c r="A600" s="344"/>
      <c r="B600" s="470"/>
      <c r="C600" s="469"/>
      <c r="D600" s="485"/>
      <c r="E600" s="469"/>
      <c r="F600" s="469"/>
      <c r="G600" s="470"/>
      <c r="H600" s="469"/>
      <c r="I600" s="470"/>
      <c r="J600" s="470"/>
      <c r="K600" s="344"/>
      <c r="L600" s="469"/>
      <c r="M600" s="469"/>
      <c r="N600" s="469"/>
      <c r="O600" s="469"/>
      <c r="P600" s="469"/>
      <c r="Q600" s="470"/>
      <c r="R600" s="469"/>
      <c r="S600" s="469"/>
      <c r="T600" s="470"/>
      <c r="U600" s="470"/>
      <c r="V600" s="470"/>
      <c r="W600" s="469"/>
      <c r="X600" s="469"/>
      <c r="Y600" s="469"/>
      <c r="Z600" s="470"/>
      <c r="AA600" s="469"/>
      <c r="AB600" s="469"/>
      <c r="AC600" s="469"/>
      <c r="AD600" s="469"/>
      <c r="AE600" s="472"/>
      <c r="AF600" s="472"/>
      <c r="AG600" s="486"/>
      <c r="AH600" s="486"/>
    </row>
    <row r="601" ht="15.75" customHeight="1">
      <c r="A601" s="344"/>
      <c r="B601" s="470"/>
      <c r="C601" s="469"/>
      <c r="D601" s="485"/>
      <c r="E601" s="469"/>
      <c r="F601" s="469"/>
      <c r="G601" s="470"/>
      <c r="H601" s="469"/>
      <c r="I601" s="470"/>
      <c r="J601" s="470"/>
      <c r="K601" s="344"/>
      <c r="L601" s="469"/>
      <c r="M601" s="469"/>
      <c r="N601" s="469"/>
      <c r="O601" s="469"/>
      <c r="P601" s="469"/>
      <c r="Q601" s="470"/>
      <c r="R601" s="469"/>
      <c r="S601" s="469"/>
      <c r="T601" s="470"/>
      <c r="U601" s="470"/>
      <c r="V601" s="470"/>
      <c r="W601" s="469"/>
      <c r="X601" s="469"/>
      <c r="Y601" s="469"/>
      <c r="Z601" s="470"/>
      <c r="AA601" s="469"/>
      <c r="AB601" s="469"/>
      <c r="AC601" s="469"/>
      <c r="AD601" s="469"/>
      <c r="AE601" s="472"/>
      <c r="AF601" s="472"/>
      <c r="AG601" s="486"/>
      <c r="AH601" s="486"/>
    </row>
    <row r="602" ht="15.75" customHeight="1">
      <c r="A602" s="344"/>
      <c r="B602" s="470"/>
      <c r="C602" s="469"/>
      <c r="D602" s="485"/>
      <c r="E602" s="469"/>
      <c r="F602" s="469"/>
      <c r="G602" s="470"/>
      <c r="H602" s="469"/>
      <c r="I602" s="470"/>
      <c r="J602" s="470"/>
      <c r="K602" s="344"/>
      <c r="L602" s="469"/>
      <c r="M602" s="469"/>
      <c r="N602" s="469"/>
      <c r="O602" s="469"/>
      <c r="P602" s="469"/>
      <c r="Q602" s="470"/>
      <c r="R602" s="469"/>
      <c r="S602" s="469"/>
      <c r="T602" s="470"/>
      <c r="U602" s="470"/>
      <c r="V602" s="470"/>
      <c r="W602" s="469"/>
      <c r="X602" s="469"/>
      <c r="Y602" s="469"/>
      <c r="Z602" s="470"/>
      <c r="AA602" s="469"/>
      <c r="AB602" s="469"/>
      <c r="AC602" s="469"/>
      <c r="AD602" s="469"/>
      <c r="AE602" s="472"/>
      <c r="AF602" s="472"/>
      <c r="AG602" s="486"/>
      <c r="AH602" s="486"/>
    </row>
    <row r="603" ht="15.75" customHeight="1">
      <c r="A603" s="344"/>
      <c r="B603" s="470"/>
      <c r="C603" s="469"/>
      <c r="D603" s="485"/>
      <c r="E603" s="469"/>
      <c r="F603" s="469"/>
      <c r="G603" s="470"/>
      <c r="H603" s="469"/>
      <c r="I603" s="470"/>
      <c r="J603" s="470"/>
      <c r="K603" s="344"/>
      <c r="L603" s="469"/>
      <c r="M603" s="469"/>
      <c r="N603" s="469"/>
      <c r="O603" s="469"/>
      <c r="P603" s="469"/>
      <c r="Q603" s="470"/>
      <c r="R603" s="469"/>
      <c r="S603" s="469"/>
      <c r="T603" s="470"/>
      <c r="U603" s="470"/>
      <c r="V603" s="470"/>
      <c r="W603" s="469"/>
      <c r="X603" s="469"/>
      <c r="Y603" s="469"/>
      <c r="Z603" s="470"/>
      <c r="AA603" s="469"/>
      <c r="AB603" s="469"/>
      <c r="AC603" s="469"/>
      <c r="AD603" s="469"/>
      <c r="AE603" s="472"/>
      <c r="AF603" s="472"/>
      <c r="AG603" s="486"/>
      <c r="AH603" s="486"/>
    </row>
    <row r="604" ht="15.75" customHeight="1">
      <c r="A604" s="344"/>
      <c r="B604" s="470"/>
      <c r="C604" s="469"/>
      <c r="D604" s="485"/>
      <c r="E604" s="469"/>
      <c r="F604" s="469"/>
      <c r="G604" s="470"/>
      <c r="H604" s="469"/>
      <c r="I604" s="470"/>
      <c r="J604" s="470"/>
      <c r="K604" s="344"/>
      <c r="L604" s="469"/>
      <c r="M604" s="469"/>
      <c r="N604" s="469"/>
      <c r="O604" s="469"/>
      <c r="P604" s="469"/>
      <c r="Q604" s="470"/>
      <c r="R604" s="469"/>
      <c r="S604" s="469"/>
      <c r="T604" s="470"/>
      <c r="U604" s="470"/>
      <c r="V604" s="470"/>
      <c r="W604" s="469"/>
      <c r="X604" s="469"/>
      <c r="Y604" s="469"/>
      <c r="Z604" s="470"/>
      <c r="AA604" s="469"/>
      <c r="AB604" s="469"/>
      <c r="AC604" s="469"/>
      <c r="AD604" s="469"/>
      <c r="AE604" s="472"/>
      <c r="AF604" s="472"/>
      <c r="AG604" s="486"/>
      <c r="AH604" s="486"/>
    </row>
    <row r="605" ht="15.75" customHeight="1">
      <c r="A605" s="344"/>
      <c r="B605" s="470"/>
      <c r="C605" s="469"/>
      <c r="D605" s="485"/>
      <c r="E605" s="469"/>
      <c r="F605" s="469"/>
      <c r="G605" s="470"/>
      <c r="H605" s="469"/>
      <c r="I605" s="470"/>
      <c r="J605" s="470"/>
      <c r="K605" s="344"/>
      <c r="L605" s="469"/>
      <c r="M605" s="469"/>
      <c r="N605" s="469"/>
      <c r="O605" s="469"/>
      <c r="P605" s="469"/>
      <c r="Q605" s="470"/>
      <c r="R605" s="469"/>
      <c r="S605" s="469"/>
      <c r="T605" s="470"/>
      <c r="U605" s="470"/>
      <c r="V605" s="470"/>
      <c r="W605" s="469"/>
      <c r="X605" s="469"/>
      <c r="Y605" s="469"/>
      <c r="Z605" s="470"/>
      <c r="AA605" s="469"/>
      <c r="AB605" s="469"/>
      <c r="AC605" s="469"/>
      <c r="AD605" s="469"/>
      <c r="AE605" s="472"/>
      <c r="AF605" s="472"/>
      <c r="AG605" s="486"/>
      <c r="AH605" s="486"/>
    </row>
    <row r="606" ht="15.75" customHeight="1">
      <c r="A606" s="344"/>
      <c r="B606" s="470"/>
      <c r="C606" s="469"/>
      <c r="D606" s="485"/>
      <c r="E606" s="469"/>
      <c r="F606" s="469"/>
      <c r="G606" s="470"/>
      <c r="H606" s="469"/>
      <c r="I606" s="470"/>
      <c r="J606" s="470"/>
      <c r="K606" s="344"/>
      <c r="L606" s="469"/>
      <c r="M606" s="469"/>
      <c r="N606" s="469"/>
      <c r="O606" s="469"/>
      <c r="P606" s="469"/>
      <c r="Q606" s="470"/>
      <c r="R606" s="469"/>
      <c r="S606" s="469"/>
      <c r="T606" s="470"/>
      <c r="U606" s="470"/>
      <c r="V606" s="470"/>
      <c r="W606" s="469"/>
      <c r="X606" s="469"/>
      <c r="Y606" s="469"/>
      <c r="Z606" s="470"/>
      <c r="AA606" s="469"/>
      <c r="AB606" s="469"/>
      <c r="AC606" s="469"/>
      <c r="AD606" s="469"/>
      <c r="AE606" s="472"/>
      <c r="AF606" s="472"/>
      <c r="AG606" s="486"/>
      <c r="AH606" s="486"/>
    </row>
    <row r="607" ht="15.75" customHeight="1">
      <c r="A607" s="344"/>
      <c r="B607" s="470"/>
      <c r="C607" s="469"/>
      <c r="D607" s="485"/>
      <c r="E607" s="469"/>
      <c r="F607" s="469"/>
      <c r="G607" s="470"/>
      <c r="H607" s="469"/>
      <c r="I607" s="470"/>
      <c r="J607" s="470"/>
      <c r="K607" s="344"/>
      <c r="L607" s="469"/>
      <c r="M607" s="469"/>
      <c r="N607" s="469"/>
      <c r="O607" s="469"/>
      <c r="P607" s="469"/>
      <c r="Q607" s="470"/>
      <c r="R607" s="469"/>
      <c r="S607" s="469"/>
      <c r="T607" s="470"/>
      <c r="U607" s="470"/>
      <c r="V607" s="470"/>
      <c r="W607" s="469"/>
      <c r="X607" s="469"/>
      <c r="Y607" s="469"/>
      <c r="Z607" s="470"/>
      <c r="AA607" s="469"/>
      <c r="AB607" s="469"/>
      <c r="AC607" s="469"/>
      <c r="AD607" s="469"/>
      <c r="AE607" s="472"/>
      <c r="AF607" s="472"/>
      <c r="AG607" s="486"/>
      <c r="AH607" s="486"/>
    </row>
    <row r="608" ht="15.75" customHeight="1">
      <c r="A608" s="344"/>
      <c r="B608" s="470"/>
      <c r="C608" s="469"/>
      <c r="D608" s="485"/>
      <c r="E608" s="469"/>
      <c r="F608" s="469"/>
      <c r="G608" s="470"/>
      <c r="H608" s="469"/>
      <c r="I608" s="470"/>
      <c r="J608" s="470"/>
      <c r="K608" s="344"/>
      <c r="L608" s="469"/>
      <c r="M608" s="469"/>
      <c r="N608" s="469"/>
      <c r="O608" s="469"/>
      <c r="P608" s="469"/>
      <c r="Q608" s="470"/>
      <c r="R608" s="469"/>
      <c r="S608" s="469"/>
      <c r="T608" s="470"/>
      <c r="U608" s="470"/>
      <c r="V608" s="470"/>
      <c r="W608" s="469"/>
      <c r="X608" s="469"/>
      <c r="Y608" s="469"/>
      <c r="Z608" s="470"/>
      <c r="AA608" s="469"/>
      <c r="AB608" s="469"/>
      <c r="AC608" s="469"/>
      <c r="AD608" s="469"/>
      <c r="AE608" s="472"/>
      <c r="AF608" s="472"/>
      <c r="AG608" s="486"/>
      <c r="AH608" s="486"/>
    </row>
    <row r="609" ht="15.75" customHeight="1">
      <c r="A609" s="344"/>
      <c r="B609" s="470"/>
      <c r="C609" s="469"/>
      <c r="D609" s="485"/>
      <c r="E609" s="469"/>
      <c r="F609" s="469"/>
      <c r="G609" s="470"/>
      <c r="H609" s="469"/>
      <c r="I609" s="470"/>
      <c r="J609" s="470"/>
      <c r="K609" s="344"/>
      <c r="L609" s="469"/>
      <c r="M609" s="469"/>
      <c r="N609" s="469"/>
      <c r="O609" s="469"/>
      <c r="P609" s="469"/>
      <c r="Q609" s="470"/>
      <c r="R609" s="469"/>
      <c r="S609" s="469"/>
      <c r="T609" s="470"/>
      <c r="U609" s="470"/>
      <c r="V609" s="470"/>
      <c r="W609" s="469"/>
      <c r="X609" s="469"/>
      <c r="Y609" s="469"/>
      <c r="Z609" s="470"/>
      <c r="AA609" s="469"/>
      <c r="AB609" s="469"/>
      <c r="AC609" s="469"/>
      <c r="AD609" s="469"/>
      <c r="AE609" s="472"/>
      <c r="AF609" s="472"/>
      <c r="AG609" s="486"/>
      <c r="AH609" s="486"/>
    </row>
    <row r="610" ht="15.75" customHeight="1">
      <c r="A610" s="344"/>
      <c r="B610" s="470"/>
      <c r="C610" s="469"/>
      <c r="D610" s="485"/>
      <c r="E610" s="469"/>
      <c r="F610" s="469"/>
      <c r="G610" s="470"/>
      <c r="H610" s="469"/>
      <c r="I610" s="470"/>
      <c r="J610" s="470"/>
      <c r="K610" s="344"/>
      <c r="L610" s="469"/>
      <c r="M610" s="469"/>
      <c r="N610" s="469"/>
      <c r="O610" s="469"/>
      <c r="P610" s="469"/>
      <c r="Q610" s="470"/>
      <c r="R610" s="469"/>
      <c r="S610" s="469"/>
      <c r="T610" s="470"/>
      <c r="U610" s="470"/>
      <c r="V610" s="470"/>
      <c r="W610" s="469"/>
      <c r="X610" s="469"/>
      <c r="Y610" s="469"/>
      <c r="Z610" s="470"/>
      <c r="AA610" s="469"/>
      <c r="AB610" s="469"/>
      <c r="AC610" s="469"/>
      <c r="AD610" s="469"/>
      <c r="AE610" s="472"/>
      <c r="AF610" s="472"/>
      <c r="AG610" s="486"/>
      <c r="AH610" s="486"/>
    </row>
    <row r="611" ht="15.75" customHeight="1">
      <c r="A611" s="344"/>
      <c r="B611" s="470"/>
      <c r="C611" s="469"/>
      <c r="D611" s="485"/>
      <c r="E611" s="469"/>
      <c r="F611" s="469"/>
      <c r="G611" s="470"/>
      <c r="H611" s="469"/>
      <c r="I611" s="470"/>
      <c r="J611" s="470"/>
      <c r="K611" s="344"/>
      <c r="L611" s="469"/>
      <c r="M611" s="469"/>
      <c r="N611" s="469"/>
      <c r="O611" s="469"/>
      <c r="P611" s="469"/>
      <c r="Q611" s="470"/>
      <c r="R611" s="469"/>
      <c r="S611" s="469"/>
      <c r="T611" s="470"/>
      <c r="U611" s="470"/>
      <c r="V611" s="470"/>
      <c r="W611" s="469"/>
      <c r="X611" s="469"/>
      <c r="Y611" s="469"/>
      <c r="Z611" s="470"/>
      <c r="AA611" s="469"/>
      <c r="AB611" s="469"/>
      <c r="AC611" s="469"/>
      <c r="AD611" s="469"/>
      <c r="AE611" s="472"/>
      <c r="AF611" s="472"/>
      <c r="AG611" s="486"/>
      <c r="AH611" s="486"/>
    </row>
    <row r="612" ht="15.75" customHeight="1">
      <c r="A612" s="344"/>
      <c r="B612" s="470"/>
      <c r="C612" s="469"/>
      <c r="D612" s="485"/>
      <c r="E612" s="469"/>
      <c r="F612" s="469"/>
      <c r="G612" s="470"/>
      <c r="H612" s="469"/>
      <c r="I612" s="470"/>
      <c r="J612" s="470"/>
      <c r="K612" s="344"/>
      <c r="L612" s="469"/>
      <c r="M612" s="469"/>
      <c r="N612" s="469"/>
      <c r="O612" s="469"/>
      <c r="P612" s="469"/>
      <c r="Q612" s="470"/>
      <c r="R612" s="469"/>
      <c r="S612" s="469"/>
      <c r="T612" s="470"/>
      <c r="U612" s="470"/>
      <c r="V612" s="470"/>
      <c r="W612" s="469"/>
      <c r="X612" s="469"/>
      <c r="Y612" s="469"/>
      <c r="Z612" s="470"/>
      <c r="AA612" s="469"/>
      <c r="AB612" s="469"/>
      <c r="AC612" s="469"/>
      <c r="AD612" s="469"/>
      <c r="AE612" s="472"/>
      <c r="AF612" s="472"/>
      <c r="AG612" s="486"/>
      <c r="AH612" s="486"/>
    </row>
    <row r="613" ht="15.75" customHeight="1">
      <c r="A613" s="344"/>
      <c r="B613" s="470"/>
      <c r="C613" s="469"/>
      <c r="D613" s="485"/>
      <c r="E613" s="469"/>
      <c r="F613" s="469"/>
      <c r="G613" s="470"/>
      <c r="H613" s="469"/>
      <c r="I613" s="470"/>
      <c r="J613" s="470"/>
      <c r="K613" s="344"/>
      <c r="L613" s="469"/>
      <c r="M613" s="469"/>
      <c r="N613" s="469"/>
      <c r="O613" s="469"/>
      <c r="P613" s="469"/>
      <c r="Q613" s="470"/>
      <c r="R613" s="469"/>
      <c r="S613" s="469"/>
      <c r="T613" s="470"/>
      <c r="U613" s="470"/>
      <c r="V613" s="470"/>
      <c r="W613" s="469"/>
      <c r="X613" s="469"/>
      <c r="Y613" s="469"/>
      <c r="Z613" s="470"/>
      <c r="AA613" s="469"/>
      <c r="AB613" s="469"/>
      <c r="AC613" s="469"/>
      <c r="AD613" s="469"/>
      <c r="AE613" s="472"/>
      <c r="AF613" s="472"/>
      <c r="AG613" s="486"/>
      <c r="AH613" s="486"/>
    </row>
    <row r="614" ht="15.75" customHeight="1">
      <c r="A614" s="344"/>
      <c r="B614" s="470"/>
      <c r="C614" s="469"/>
      <c r="D614" s="485"/>
      <c r="E614" s="469"/>
      <c r="F614" s="469"/>
      <c r="G614" s="470"/>
      <c r="H614" s="469"/>
      <c r="I614" s="470"/>
      <c r="J614" s="470"/>
      <c r="K614" s="344"/>
      <c r="L614" s="469"/>
      <c r="M614" s="469"/>
      <c r="N614" s="469"/>
      <c r="O614" s="469"/>
      <c r="P614" s="469"/>
      <c r="Q614" s="470"/>
      <c r="R614" s="469"/>
      <c r="S614" s="469"/>
      <c r="T614" s="470"/>
      <c r="U614" s="470"/>
      <c r="V614" s="470"/>
      <c r="W614" s="469"/>
      <c r="X614" s="469"/>
      <c r="Y614" s="469"/>
      <c r="Z614" s="470"/>
      <c r="AA614" s="469"/>
      <c r="AB614" s="469"/>
      <c r="AC614" s="469"/>
      <c r="AD614" s="469"/>
      <c r="AE614" s="472"/>
      <c r="AF614" s="472"/>
      <c r="AG614" s="486"/>
      <c r="AH614" s="486"/>
    </row>
    <row r="615" ht="15.75" customHeight="1">
      <c r="A615" s="344"/>
      <c r="B615" s="470"/>
      <c r="C615" s="469"/>
      <c r="D615" s="485"/>
      <c r="E615" s="469"/>
      <c r="F615" s="469"/>
      <c r="G615" s="470"/>
      <c r="H615" s="469"/>
      <c r="I615" s="470"/>
      <c r="J615" s="470"/>
      <c r="K615" s="344"/>
      <c r="L615" s="469"/>
      <c r="M615" s="469"/>
      <c r="N615" s="469"/>
      <c r="O615" s="469"/>
      <c r="P615" s="469"/>
      <c r="Q615" s="470"/>
      <c r="R615" s="469"/>
      <c r="S615" s="469"/>
      <c r="T615" s="470"/>
      <c r="U615" s="470"/>
      <c r="V615" s="470"/>
      <c r="W615" s="469"/>
      <c r="X615" s="469"/>
      <c r="Y615" s="469"/>
      <c r="Z615" s="470"/>
      <c r="AA615" s="469"/>
      <c r="AB615" s="469"/>
      <c r="AC615" s="469"/>
      <c r="AD615" s="469"/>
      <c r="AE615" s="472"/>
      <c r="AF615" s="472"/>
      <c r="AG615" s="486"/>
      <c r="AH615" s="486"/>
    </row>
    <row r="616" ht="15.75" customHeight="1">
      <c r="A616" s="344"/>
      <c r="B616" s="470"/>
      <c r="C616" s="469"/>
      <c r="D616" s="485"/>
      <c r="E616" s="469"/>
      <c r="F616" s="469"/>
      <c r="G616" s="470"/>
      <c r="H616" s="469"/>
      <c r="I616" s="470"/>
      <c r="J616" s="470"/>
      <c r="K616" s="344"/>
      <c r="L616" s="469"/>
      <c r="M616" s="469"/>
      <c r="N616" s="469"/>
      <c r="O616" s="469"/>
      <c r="P616" s="469"/>
      <c r="Q616" s="470"/>
      <c r="R616" s="469"/>
      <c r="S616" s="469"/>
      <c r="T616" s="470"/>
      <c r="U616" s="470"/>
      <c r="V616" s="470"/>
      <c r="W616" s="469"/>
      <c r="X616" s="469"/>
      <c r="Y616" s="469"/>
      <c r="Z616" s="470"/>
      <c r="AA616" s="469"/>
      <c r="AB616" s="469"/>
      <c r="AC616" s="469"/>
      <c r="AD616" s="469"/>
      <c r="AE616" s="472"/>
      <c r="AF616" s="472"/>
      <c r="AG616" s="486"/>
      <c r="AH616" s="486"/>
    </row>
    <row r="617" ht="15.75" customHeight="1">
      <c r="A617" s="344"/>
      <c r="B617" s="470"/>
      <c r="C617" s="469"/>
      <c r="D617" s="485"/>
      <c r="E617" s="469"/>
      <c r="F617" s="469"/>
      <c r="G617" s="470"/>
      <c r="H617" s="469"/>
      <c r="I617" s="470"/>
      <c r="J617" s="470"/>
      <c r="K617" s="344"/>
      <c r="L617" s="469"/>
      <c r="M617" s="469"/>
      <c r="N617" s="469"/>
      <c r="O617" s="469"/>
      <c r="P617" s="469"/>
      <c r="Q617" s="470"/>
      <c r="R617" s="469"/>
      <c r="S617" s="469"/>
      <c r="T617" s="470"/>
      <c r="U617" s="470"/>
      <c r="V617" s="470"/>
      <c r="W617" s="469"/>
      <c r="X617" s="469"/>
      <c r="Y617" s="469"/>
      <c r="Z617" s="470"/>
      <c r="AA617" s="469"/>
      <c r="AB617" s="469"/>
      <c r="AC617" s="469"/>
      <c r="AD617" s="469"/>
      <c r="AE617" s="472"/>
      <c r="AF617" s="472"/>
      <c r="AG617" s="486"/>
      <c r="AH617" s="486"/>
    </row>
    <row r="618" ht="15.75" customHeight="1">
      <c r="A618" s="344"/>
      <c r="B618" s="470"/>
      <c r="C618" s="469"/>
      <c r="D618" s="485"/>
      <c r="E618" s="469"/>
      <c r="F618" s="469"/>
      <c r="G618" s="470"/>
      <c r="H618" s="469"/>
      <c r="I618" s="470"/>
      <c r="J618" s="470"/>
      <c r="K618" s="344"/>
      <c r="L618" s="469"/>
      <c r="M618" s="469"/>
      <c r="N618" s="469"/>
      <c r="O618" s="469"/>
      <c r="P618" s="469"/>
      <c r="Q618" s="470"/>
      <c r="R618" s="469"/>
      <c r="S618" s="469"/>
      <c r="T618" s="470"/>
      <c r="U618" s="470"/>
      <c r="V618" s="470"/>
      <c r="W618" s="469"/>
      <c r="X618" s="469"/>
      <c r="Y618" s="469"/>
      <c r="Z618" s="470"/>
      <c r="AA618" s="469"/>
      <c r="AB618" s="469"/>
      <c r="AC618" s="469"/>
      <c r="AD618" s="469"/>
      <c r="AE618" s="472"/>
      <c r="AF618" s="472"/>
      <c r="AG618" s="486"/>
      <c r="AH618" s="486"/>
    </row>
    <row r="619" ht="15.75" customHeight="1">
      <c r="A619" s="344"/>
      <c r="B619" s="470"/>
      <c r="C619" s="469"/>
      <c r="D619" s="485"/>
      <c r="E619" s="469"/>
      <c r="F619" s="469"/>
      <c r="G619" s="470"/>
      <c r="H619" s="469"/>
      <c r="I619" s="470"/>
      <c r="J619" s="470"/>
      <c r="K619" s="344"/>
      <c r="L619" s="469"/>
      <c r="M619" s="469"/>
      <c r="N619" s="469"/>
      <c r="O619" s="469"/>
      <c r="P619" s="469"/>
      <c r="Q619" s="470"/>
      <c r="R619" s="469"/>
      <c r="S619" s="469"/>
      <c r="T619" s="470"/>
      <c r="U619" s="470"/>
      <c r="V619" s="470"/>
      <c r="W619" s="469"/>
      <c r="X619" s="469"/>
      <c r="Y619" s="469"/>
      <c r="Z619" s="470"/>
      <c r="AA619" s="469"/>
      <c r="AB619" s="469"/>
      <c r="AC619" s="469"/>
      <c r="AD619" s="469"/>
      <c r="AE619" s="472"/>
      <c r="AF619" s="472"/>
      <c r="AG619" s="486"/>
      <c r="AH619" s="486"/>
    </row>
    <row r="620" ht="15.75" customHeight="1">
      <c r="A620" s="344"/>
      <c r="B620" s="470"/>
      <c r="C620" s="469"/>
      <c r="D620" s="485"/>
      <c r="E620" s="469"/>
      <c r="F620" s="469"/>
      <c r="G620" s="470"/>
      <c r="H620" s="469"/>
      <c r="I620" s="470"/>
      <c r="J620" s="470"/>
      <c r="K620" s="344"/>
      <c r="L620" s="469"/>
      <c r="M620" s="469"/>
      <c r="N620" s="469"/>
      <c r="O620" s="469"/>
      <c r="P620" s="469"/>
      <c r="Q620" s="470"/>
      <c r="R620" s="469"/>
      <c r="S620" s="469"/>
      <c r="T620" s="470"/>
      <c r="U620" s="470"/>
      <c r="V620" s="470"/>
      <c r="W620" s="469"/>
      <c r="X620" s="469"/>
      <c r="Y620" s="469"/>
      <c r="Z620" s="470"/>
      <c r="AA620" s="469"/>
      <c r="AB620" s="469"/>
      <c r="AC620" s="469"/>
      <c r="AD620" s="469"/>
      <c r="AE620" s="472"/>
      <c r="AF620" s="472"/>
      <c r="AG620" s="486"/>
      <c r="AH620" s="486"/>
    </row>
    <row r="621" ht="15.75" customHeight="1">
      <c r="A621" s="344"/>
      <c r="B621" s="470"/>
      <c r="C621" s="469"/>
      <c r="D621" s="485"/>
      <c r="E621" s="469"/>
      <c r="F621" s="469"/>
      <c r="G621" s="470"/>
      <c r="H621" s="469"/>
      <c r="I621" s="470"/>
      <c r="J621" s="470"/>
      <c r="K621" s="344"/>
      <c r="L621" s="469"/>
      <c r="M621" s="469"/>
      <c r="N621" s="469"/>
      <c r="O621" s="469"/>
      <c r="P621" s="469"/>
      <c r="Q621" s="470"/>
      <c r="R621" s="469"/>
      <c r="S621" s="469"/>
      <c r="T621" s="470"/>
      <c r="U621" s="470"/>
      <c r="V621" s="470"/>
      <c r="W621" s="469"/>
      <c r="X621" s="469"/>
      <c r="Y621" s="469"/>
      <c r="Z621" s="470"/>
      <c r="AA621" s="469"/>
      <c r="AB621" s="469"/>
      <c r="AC621" s="469"/>
      <c r="AD621" s="469"/>
      <c r="AE621" s="472"/>
      <c r="AF621" s="472"/>
      <c r="AG621" s="486"/>
      <c r="AH621" s="486"/>
    </row>
    <row r="622" ht="15.75" customHeight="1">
      <c r="A622" s="344"/>
      <c r="B622" s="470"/>
      <c r="C622" s="469"/>
      <c r="D622" s="485"/>
      <c r="E622" s="469"/>
      <c r="F622" s="469"/>
      <c r="G622" s="470"/>
      <c r="H622" s="469"/>
      <c r="I622" s="470"/>
      <c r="J622" s="470"/>
      <c r="K622" s="344"/>
      <c r="L622" s="469"/>
      <c r="M622" s="469"/>
      <c r="N622" s="469"/>
      <c r="O622" s="469"/>
      <c r="P622" s="469"/>
      <c r="Q622" s="470"/>
      <c r="R622" s="469"/>
      <c r="S622" s="469"/>
      <c r="T622" s="470"/>
      <c r="U622" s="470"/>
      <c r="V622" s="470"/>
      <c r="W622" s="469"/>
      <c r="X622" s="469"/>
      <c r="Y622" s="469"/>
      <c r="Z622" s="470"/>
      <c r="AA622" s="469"/>
      <c r="AB622" s="469"/>
      <c r="AC622" s="469"/>
      <c r="AD622" s="469"/>
      <c r="AE622" s="472"/>
      <c r="AF622" s="472"/>
      <c r="AG622" s="486"/>
      <c r="AH622" s="486"/>
    </row>
    <row r="623" ht="15.75" customHeight="1">
      <c r="A623" s="344"/>
      <c r="B623" s="470"/>
      <c r="C623" s="469"/>
      <c r="D623" s="485"/>
      <c r="E623" s="469"/>
      <c r="F623" s="469"/>
      <c r="G623" s="470"/>
      <c r="H623" s="469"/>
      <c r="I623" s="470"/>
      <c r="J623" s="470"/>
      <c r="K623" s="344"/>
      <c r="L623" s="469"/>
      <c r="M623" s="469"/>
      <c r="N623" s="469"/>
      <c r="O623" s="469"/>
      <c r="P623" s="469"/>
      <c r="Q623" s="470"/>
      <c r="R623" s="469"/>
      <c r="S623" s="469"/>
      <c r="T623" s="470"/>
      <c r="U623" s="470"/>
      <c r="V623" s="470"/>
      <c r="W623" s="469"/>
      <c r="X623" s="469"/>
      <c r="Y623" s="469"/>
      <c r="Z623" s="470"/>
      <c r="AA623" s="469"/>
      <c r="AB623" s="469"/>
      <c r="AC623" s="469"/>
      <c r="AD623" s="469"/>
      <c r="AE623" s="472"/>
      <c r="AF623" s="472"/>
      <c r="AG623" s="486"/>
      <c r="AH623" s="486"/>
    </row>
    <row r="624" ht="15.75" customHeight="1">
      <c r="A624" s="344"/>
      <c r="B624" s="470"/>
      <c r="C624" s="469"/>
      <c r="D624" s="485"/>
      <c r="E624" s="469"/>
      <c r="F624" s="469"/>
      <c r="G624" s="470"/>
      <c r="H624" s="469"/>
      <c r="I624" s="470"/>
      <c r="J624" s="470"/>
      <c r="K624" s="344"/>
      <c r="L624" s="469"/>
      <c r="M624" s="469"/>
      <c r="N624" s="469"/>
      <c r="O624" s="469"/>
      <c r="P624" s="469"/>
      <c r="Q624" s="470"/>
      <c r="R624" s="469"/>
      <c r="S624" s="469"/>
      <c r="T624" s="470"/>
      <c r="U624" s="470"/>
      <c r="V624" s="470"/>
      <c r="W624" s="469"/>
      <c r="X624" s="469"/>
      <c r="Y624" s="469"/>
      <c r="Z624" s="470"/>
      <c r="AA624" s="469"/>
      <c r="AB624" s="469"/>
      <c r="AC624" s="469"/>
      <c r="AD624" s="469"/>
      <c r="AE624" s="472"/>
      <c r="AF624" s="472"/>
      <c r="AG624" s="486"/>
      <c r="AH624" s="486"/>
    </row>
    <row r="625" ht="15.75" customHeight="1">
      <c r="A625" s="344"/>
      <c r="B625" s="470"/>
      <c r="C625" s="469"/>
      <c r="D625" s="485"/>
      <c r="E625" s="469"/>
      <c r="F625" s="469"/>
      <c r="G625" s="470"/>
      <c r="H625" s="469"/>
      <c r="I625" s="470"/>
      <c r="J625" s="470"/>
      <c r="K625" s="344"/>
      <c r="L625" s="469"/>
      <c r="M625" s="469"/>
      <c r="N625" s="469"/>
      <c r="O625" s="469"/>
      <c r="P625" s="469"/>
      <c r="Q625" s="470"/>
      <c r="R625" s="469"/>
      <c r="S625" s="469"/>
      <c r="T625" s="470"/>
      <c r="U625" s="470"/>
      <c r="V625" s="470"/>
      <c r="W625" s="469"/>
      <c r="X625" s="469"/>
      <c r="Y625" s="469"/>
      <c r="Z625" s="470"/>
      <c r="AA625" s="469"/>
      <c r="AB625" s="469"/>
      <c r="AC625" s="469"/>
      <c r="AD625" s="469"/>
      <c r="AE625" s="472"/>
      <c r="AF625" s="472"/>
      <c r="AG625" s="486"/>
      <c r="AH625" s="486"/>
    </row>
    <row r="626" ht="15.75" customHeight="1">
      <c r="A626" s="344"/>
      <c r="B626" s="470"/>
      <c r="C626" s="469"/>
      <c r="D626" s="485"/>
      <c r="E626" s="469"/>
      <c r="F626" s="469"/>
      <c r="G626" s="470"/>
      <c r="H626" s="469"/>
      <c r="I626" s="470"/>
      <c r="J626" s="470"/>
      <c r="K626" s="344"/>
      <c r="L626" s="469"/>
      <c r="M626" s="469"/>
      <c r="N626" s="469"/>
      <c r="O626" s="469"/>
      <c r="P626" s="469"/>
      <c r="Q626" s="470"/>
      <c r="R626" s="469"/>
      <c r="S626" s="469"/>
      <c r="T626" s="470"/>
      <c r="U626" s="470"/>
      <c r="V626" s="470"/>
      <c r="W626" s="469"/>
      <c r="X626" s="469"/>
      <c r="Y626" s="469"/>
      <c r="Z626" s="470"/>
      <c r="AA626" s="469"/>
      <c r="AB626" s="469"/>
      <c r="AC626" s="469"/>
      <c r="AD626" s="469"/>
      <c r="AE626" s="472"/>
      <c r="AF626" s="472"/>
      <c r="AG626" s="486"/>
      <c r="AH626" s="486"/>
    </row>
    <row r="627" ht="15.75" customHeight="1">
      <c r="A627" s="344"/>
      <c r="B627" s="470"/>
      <c r="C627" s="469"/>
      <c r="D627" s="485"/>
      <c r="E627" s="469"/>
      <c r="F627" s="469"/>
      <c r="G627" s="470"/>
      <c r="H627" s="469"/>
      <c r="I627" s="470"/>
      <c r="J627" s="470"/>
      <c r="K627" s="344"/>
      <c r="L627" s="469"/>
      <c r="M627" s="469"/>
      <c r="N627" s="469"/>
      <c r="O627" s="469"/>
      <c r="P627" s="469"/>
      <c r="Q627" s="470"/>
      <c r="R627" s="469"/>
      <c r="S627" s="469"/>
      <c r="T627" s="470"/>
      <c r="U627" s="470"/>
      <c r="V627" s="470"/>
      <c r="W627" s="469"/>
      <c r="X627" s="469"/>
      <c r="Y627" s="469"/>
      <c r="Z627" s="470"/>
      <c r="AA627" s="469"/>
      <c r="AB627" s="469"/>
      <c r="AC627" s="469"/>
      <c r="AD627" s="469"/>
      <c r="AE627" s="472"/>
      <c r="AF627" s="472"/>
      <c r="AG627" s="486"/>
      <c r="AH627" s="486"/>
    </row>
    <row r="628" ht="15.75" customHeight="1">
      <c r="A628" s="344"/>
      <c r="B628" s="470"/>
      <c r="C628" s="469"/>
      <c r="D628" s="485"/>
      <c r="E628" s="469"/>
      <c r="F628" s="469"/>
      <c r="G628" s="470"/>
      <c r="H628" s="469"/>
      <c r="I628" s="470"/>
      <c r="J628" s="470"/>
      <c r="K628" s="344"/>
      <c r="L628" s="469"/>
      <c r="M628" s="469"/>
      <c r="N628" s="469"/>
      <c r="O628" s="469"/>
      <c r="P628" s="469"/>
      <c r="Q628" s="470"/>
      <c r="R628" s="469"/>
      <c r="S628" s="469"/>
      <c r="T628" s="470"/>
      <c r="U628" s="470"/>
      <c r="V628" s="470"/>
      <c r="W628" s="469"/>
      <c r="X628" s="469"/>
      <c r="Y628" s="469"/>
      <c r="Z628" s="470"/>
      <c r="AA628" s="469"/>
      <c r="AB628" s="469"/>
      <c r="AC628" s="469"/>
      <c r="AD628" s="469"/>
      <c r="AE628" s="472"/>
      <c r="AF628" s="472"/>
      <c r="AG628" s="486"/>
      <c r="AH628" s="486"/>
    </row>
    <row r="629" ht="15.75" customHeight="1">
      <c r="A629" s="344"/>
      <c r="B629" s="470"/>
      <c r="C629" s="469"/>
      <c r="D629" s="485"/>
      <c r="E629" s="469"/>
      <c r="F629" s="469"/>
      <c r="G629" s="470"/>
      <c r="H629" s="469"/>
      <c r="I629" s="470"/>
      <c r="J629" s="470"/>
      <c r="K629" s="344"/>
      <c r="L629" s="469"/>
      <c r="M629" s="469"/>
      <c r="N629" s="469"/>
      <c r="O629" s="469"/>
      <c r="P629" s="469"/>
      <c r="Q629" s="470"/>
      <c r="R629" s="469"/>
      <c r="S629" s="469"/>
      <c r="T629" s="470"/>
      <c r="U629" s="470"/>
      <c r="V629" s="470"/>
      <c r="W629" s="469"/>
      <c r="X629" s="469"/>
      <c r="Y629" s="469"/>
      <c r="Z629" s="470"/>
      <c r="AA629" s="469"/>
      <c r="AB629" s="469"/>
      <c r="AC629" s="469"/>
      <c r="AD629" s="469"/>
      <c r="AE629" s="472"/>
      <c r="AF629" s="472"/>
      <c r="AG629" s="486"/>
      <c r="AH629" s="486"/>
    </row>
    <row r="630" ht="15.75" customHeight="1">
      <c r="A630" s="344"/>
      <c r="B630" s="470"/>
      <c r="C630" s="469"/>
      <c r="D630" s="485"/>
      <c r="E630" s="469"/>
      <c r="F630" s="469"/>
      <c r="G630" s="470"/>
      <c r="H630" s="469"/>
      <c r="I630" s="470"/>
      <c r="J630" s="470"/>
      <c r="K630" s="344"/>
      <c r="L630" s="469"/>
      <c r="M630" s="469"/>
      <c r="N630" s="469"/>
      <c r="O630" s="469"/>
      <c r="P630" s="469"/>
      <c r="Q630" s="470"/>
      <c r="R630" s="469"/>
      <c r="S630" s="469"/>
      <c r="T630" s="470"/>
      <c r="U630" s="470"/>
      <c r="V630" s="470"/>
      <c r="W630" s="469"/>
      <c r="X630" s="469"/>
      <c r="Y630" s="469"/>
      <c r="Z630" s="470"/>
      <c r="AA630" s="469"/>
      <c r="AB630" s="469"/>
      <c r="AC630" s="469"/>
      <c r="AD630" s="469"/>
      <c r="AE630" s="472"/>
      <c r="AF630" s="472"/>
      <c r="AG630" s="486"/>
      <c r="AH630" s="486"/>
    </row>
    <row r="631" ht="15.75" customHeight="1">
      <c r="A631" s="344"/>
      <c r="B631" s="470"/>
      <c r="C631" s="469"/>
      <c r="D631" s="485"/>
      <c r="E631" s="469"/>
      <c r="F631" s="469"/>
      <c r="G631" s="470"/>
      <c r="H631" s="469"/>
      <c r="I631" s="470"/>
      <c r="J631" s="470"/>
      <c r="K631" s="344"/>
      <c r="L631" s="469"/>
      <c r="M631" s="469"/>
      <c r="N631" s="469"/>
      <c r="O631" s="469"/>
      <c r="P631" s="469"/>
      <c r="Q631" s="470"/>
      <c r="R631" s="469"/>
      <c r="S631" s="469"/>
      <c r="T631" s="470"/>
      <c r="U631" s="470"/>
      <c r="V631" s="470"/>
      <c r="W631" s="469"/>
      <c r="X631" s="469"/>
      <c r="Y631" s="469"/>
      <c r="Z631" s="470"/>
      <c r="AA631" s="469"/>
      <c r="AB631" s="469"/>
      <c r="AC631" s="469"/>
      <c r="AD631" s="469"/>
      <c r="AE631" s="472"/>
      <c r="AF631" s="472"/>
      <c r="AG631" s="486"/>
      <c r="AH631" s="486"/>
    </row>
    <row r="632" ht="15.75" customHeight="1">
      <c r="A632" s="344"/>
      <c r="B632" s="470"/>
      <c r="C632" s="469"/>
      <c r="D632" s="485"/>
      <c r="E632" s="469"/>
      <c r="F632" s="469"/>
      <c r="G632" s="470"/>
      <c r="H632" s="469"/>
      <c r="I632" s="470"/>
      <c r="J632" s="470"/>
      <c r="K632" s="344"/>
      <c r="L632" s="469"/>
      <c r="M632" s="469"/>
      <c r="N632" s="469"/>
      <c r="O632" s="469"/>
      <c r="P632" s="469"/>
      <c r="Q632" s="470"/>
      <c r="R632" s="469"/>
      <c r="S632" s="469"/>
      <c r="T632" s="470"/>
      <c r="U632" s="470"/>
      <c r="V632" s="470"/>
      <c r="W632" s="469"/>
      <c r="X632" s="469"/>
      <c r="Y632" s="469"/>
      <c r="Z632" s="470"/>
      <c r="AA632" s="469"/>
      <c r="AB632" s="469"/>
      <c r="AC632" s="469"/>
      <c r="AD632" s="469"/>
      <c r="AE632" s="472"/>
      <c r="AF632" s="472"/>
      <c r="AG632" s="486"/>
      <c r="AH632" s="486"/>
    </row>
    <row r="633" ht="15.75" customHeight="1">
      <c r="A633" s="344"/>
      <c r="B633" s="470"/>
      <c r="C633" s="469"/>
      <c r="D633" s="485"/>
      <c r="E633" s="469"/>
      <c r="F633" s="469"/>
      <c r="G633" s="470"/>
      <c r="H633" s="469"/>
      <c r="I633" s="470"/>
      <c r="J633" s="470"/>
      <c r="K633" s="344"/>
      <c r="L633" s="469"/>
      <c r="M633" s="469"/>
      <c r="N633" s="469"/>
      <c r="O633" s="469"/>
      <c r="P633" s="469"/>
      <c r="Q633" s="470"/>
      <c r="R633" s="469"/>
      <c r="S633" s="469"/>
      <c r="T633" s="470"/>
      <c r="U633" s="470"/>
      <c r="V633" s="470"/>
      <c r="W633" s="469"/>
      <c r="X633" s="469"/>
      <c r="Y633" s="469"/>
      <c r="Z633" s="470"/>
      <c r="AA633" s="469"/>
      <c r="AB633" s="469"/>
      <c r="AC633" s="469"/>
      <c r="AD633" s="469"/>
      <c r="AE633" s="472"/>
      <c r="AF633" s="472"/>
      <c r="AG633" s="486"/>
      <c r="AH633" s="486"/>
    </row>
    <row r="634" ht="15.75" customHeight="1">
      <c r="A634" s="344"/>
      <c r="B634" s="470"/>
      <c r="C634" s="469"/>
      <c r="D634" s="485"/>
      <c r="E634" s="469"/>
      <c r="F634" s="469"/>
      <c r="G634" s="470"/>
      <c r="H634" s="469"/>
      <c r="I634" s="470"/>
      <c r="J634" s="470"/>
      <c r="K634" s="344"/>
      <c r="L634" s="469"/>
      <c r="M634" s="469"/>
      <c r="N634" s="469"/>
      <c r="O634" s="469"/>
      <c r="P634" s="469"/>
      <c r="Q634" s="470"/>
      <c r="R634" s="469"/>
      <c r="S634" s="469"/>
      <c r="T634" s="470"/>
      <c r="U634" s="470"/>
      <c r="V634" s="470"/>
      <c r="W634" s="469"/>
      <c r="X634" s="469"/>
      <c r="Y634" s="469"/>
      <c r="Z634" s="470"/>
      <c r="AA634" s="469"/>
      <c r="AB634" s="469"/>
      <c r="AC634" s="469"/>
      <c r="AD634" s="469"/>
      <c r="AE634" s="472"/>
      <c r="AF634" s="472"/>
      <c r="AG634" s="486"/>
      <c r="AH634" s="486"/>
    </row>
    <row r="635" ht="15.75" customHeight="1">
      <c r="A635" s="344"/>
      <c r="B635" s="470"/>
      <c r="C635" s="469"/>
      <c r="D635" s="485"/>
      <c r="E635" s="469"/>
      <c r="F635" s="469"/>
      <c r="G635" s="470"/>
      <c r="H635" s="469"/>
      <c r="I635" s="470"/>
      <c r="J635" s="470"/>
      <c r="K635" s="344"/>
      <c r="L635" s="469"/>
      <c r="M635" s="469"/>
      <c r="N635" s="469"/>
      <c r="O635" s="469"/>
      <c r="P635" s="469"/>
      <c r="Q635" s="470"/>
      <c r="R635" s="469"/>
      <c r="S635" s="469"/>
      <c r="T635" s="470"/>
      <c r="U635" s="470"/>
      <c r="V635" s="470"/>
      <c r="W635" s="469"/>
      <c r="X635" s="469"/>
      <c r="Y635" s="469"/>
      <c r="Z635" s="470"/>
      <c r="AA635" s="469"/>
      <c r="AB635" s="469"/>
      <c r="AC635" s="469"/>
      <c r="AD635" s="469"/>
      <c r="AE635" s="472"/>
      <c r="AF635" s="472"/>
      <c r="AG635" s="486"/>
      <c r="AH635" s="486"/>
    </row>
    <row r="636" ht="15.75" customHeight="1">
      <c r="A636" s="344"/>
      <c r="B636" s="470"/>
      <c r="C636" s="469"/>
      <c r="D636" s="485"/>
      <c r="E636" s="469"/>
      <c r="F636" s="469"/>
      <c r="G636" s="470"/>
      <c r="H636" s="469"/>
      <c r="I636" s="470"/>
      <c r="J636" s="470"/>
      <c r="K636" s="344"/>
      <c r="L636" s="469"/>
      <c r="M636" s="469"/>
      <c r="N636" s="469"/>
      <c r="O636" s="469"/>
      <c r="P636" s="469"/>
      <c r="Q636" s="470"/>
      <c r="R636" s="469"/>
      <c r="S636" s="469"/>
      <c r="T636" s="470"/>
      <c r="U636" s="470"/>
      <c r="V636" s="470"/>
      <c r="W636" s="469"/>
      <c r="X636" s="469"/>
      <c r="Y636" s="469"/>
      <c r="Z636" s="470"/>
      <c r="AA636" s="469"/>
      <c r="AB636" s="469"/>
      <c r="AC636" s="469"/>
      <c r="AD636" s="469"/>
      <c r="AE636" s="472"/>
      <c r="AF636" s="472"/>
      <c r="AG636" s="486"/>
      <c r="AH636" s="486"/>
    </row>
    <row r="637" ht="15.75" customHeight="1">
      <c r="A637" s="344"/>
      <c r="B637" s="470"/>
      <c r="C637" s="469"/>
      <c r="D637" s="485"/>
      <c r="E637" s="469"/>
      <c r="F637" s="469"/>
      <c r="G637" s="470"/>
      <c r="H637" s="469"/>
      <c r="I637" s="470"/>
      <c r="J637" s="470"/>
      <c r="K637" s="344"/>
      <c r="L637" s="469"/>
      <c r="M637" s="469"/>
      <c r="N637" s="469"/>
      <c r="O637" s="469"/>
      <c r="P637" s="469"/>
      <c r="Q637" s="470"/>
      <c r="R637" s="469"/>
      <c r="S637" s="469"/>
      <c r="T637" s="470"/>
      <c r="U637" s="470"/>
      <c r="V637" s="470"/>
      <c r="W637" s="469"/>
      <c r="X637" s="469"/>
      <c r="Y637" s="469"/>
      <c r="Z637" s="470"/>
      <c r="AA637" s="469"/>
      <c r="AB637" s="469"/>
      <c r="AC637" s="469"/>
      <c r="AD637" s="469"/>
      <c r="AE637" s="472"/>
      <c r="AF637" s="472"/>
      <c r="AG637" s="486"/>
      <c r="AH637" s="486"/>
    </row>
    <row r="638" ht="15.75" customHeight="1">
      <c r="A638" s="344"/>
      <c r="B638" s="470"/>
      <c r="C638" s="469"/>
      <c r="D638" s="485"/>
      <c r="E638" s="469"/>
      <c r="F638" s="469"/>
      <c r="G638" s="470"/>
      <c r="H638" s="469"/>
      <c r="I638" s="470"/>
      <c r="J638" s="470"/>
      <c r="K638" s="344"/>
      <c r="L638" s="469"/>
      <c r="M638" s="469"/>
      <c r="N638" s="469"/>
      <c r="O638" s="469"/>
      <c r="P638" s="469"/>
      <c r="Q638" s="470"/>
      <c r="R638" s="469"/>
      <c r="S638" s="469"/>
      <c r="T638" s="470"/>
      <c r="U638" s="470"/>
      <c r="V638" s="470"/>
      <c r="W638" s="469"/>
      <c r="X638" s="469"/>
      <c r="Y638" s="469"/>
      <c r="Z638" s="470"/>
      <c r="AA638" s="469"/>
      <c r="AB638" s="469"/>
      <c r="AC638" s="469"/>
      <c r="AD638" s="469"/>
      <c r="AE638" s="472"/>
      <c r="AF638" s="472"/>
      <c r="AG638" s="486"/>
      <c r="AH638" s="486"/>
    </row>
    <row r="639" ht="15.75" customHeight="1">
      <c r="A639" s="344"/>
      <c r="B639" s="470"/>
      <c r="C639" s="469"/>
      <c r="D639" s="485"/>
      <c r="E639" s="469"/>
      <c r="F639" s="469"/>
      <c r="G639" s="470"/>
      <c r="H639" s="469"/>
      <c r="I639" s="470"/>
      <c r="J639" s="470"/>
      <c r="K639" s="344"/>
      <c r="L639" s="469"/>
      <c r="M639" s="469"/>
      <c r="N639" s="469"/>
      <c r="O639" s="469"/>
      <c r="P639" s="469"/>
      <c r="Q639" s="470"/>
      <c r="R639" s="469"/>
      <c r="S639" s="469"/>
      <c r="T639" s="470"/>
      <c r="U639" s="470"/>
      <c r="V639" s="470"/>
      <c r="W639" s="469"/>
      <c r="X639" s="469"/>
      <c r="Y639" s="469"/>
      <c r="Z639" s="470"/>
      <c r="AA639" s="469"/>
      <c r="AB639" s="469"/>
      <c r="AC639" s="469"/>
      <c r="AD639" s="469"/>
      <c r="AE639" s="472"/>
      <c r="AF639" s="472"/>
      <c r="AG639" s="486"/>
      <c r="AH639" s="486"/>
    </row>
    <row r="640" ht="15.75" customHeight="1">
      <c r="A640" s="344"/>
      <c r="B640" s="470"/>
      <c r="C640" s="469"/>
      <c r="D640" s="485"/>
      <c r="E640" s="469"/>
      <c r="F640" s="469"/>
      <c r="G640" s="470"/>
      <c r="H640" s="469"/>
      <c r="I640" s="470"/>
      <c r="J640" s="470"/>
      <c r="K640" s="344"/>
      <c r="L640" s="469"/>
      <c r="M640" s="469"/>
      <c r="N640" s="469"/>
      <c r="O640" s="469"/>
      <c r="P640" s="469"/>
      <c r="Q640" s="470"/>
      <c r="R640" s="469"/>
      <c r="S640" s="469"/>
      <c r="T640" s="470"/>
      <c r="U640" s="470"/>
      <c r="V640" s="470"/>
      <c r="W640" s="469"/>
      <c r="X640" s="469"/>
      <c r="Y640" s="469"/>
      <c r="Z640" s="470"/>
      <c r="AA640" s="469"/>
      <c r="AB640" s="469"/>
      <c r="AC640" s="469"/>
      <c r="AD640" s="469"/>
      <c r="AE640" s="472"/>
      <c r="AF640" s="472"/>
      <c r="AG640" s="486"/>
      <c r="AH640" s="486"/>
    </row>
    <row r="641" ht="15.75" customHeight="1">
      <c r="A641" s="344"/>
      <c r="B641" s="470"/>
      <c r="C641" s="469"/>
      <c r="D641" s="485"/>
      <c r="E641" s="469"/>
      <c r="F641" s="469"/>
      <c r="G641" s="470"/>
      <c r="H641" s="469"/>
      <c r="I641" s="470"/>
      <c r="J641" s="470"/>
      <c r="K641" s="344"/>
      <c r="L641" s="469"/>
      <c r="M641" s="469"/>
      <c r="N641" s="469"/>
      <c r="O641" s="469"/>
      <c r="P641" s="469"/>
      <c r="Q641" s="470"/>
      <c r="R641" s="469"/>
      <c r="S641" s="469"/>
      <c r="T641" s="470"/>
      <c r="U641" s="470"/>
      <c r="V641" s="470"/>
      <c r="W641" s="469"/>
      <c r="X641" s="469"/>
      <c r="Y641" s="469"/>
      <c r="Z641" s="470"/>
      <c r="AA641" s="469"/>
      <c r="AB641" s="469"/>
      <c r="AC641" s="469"/>
      <c r="AD641" s="469"/>
      <c r="AE641" s="472"/>
      <c r="AF641" s="472"/>
      <c r="AG641" s="486"/>
      <c r="AH641" s="486"/>
    </row>
    <row r="642" ht="15.75" customHeight="1">
      <c r="A642" s="344"/>
      <c r="B642" s="470"/>
      <c r="C642" s="469"/>
      <c r="D642" s="485"/>
      <c r="E642" s="469"/>
      <c r="F642" s="469"/>
      <c r="G642" s="470"/>
      <c r="H642" s="469"/>
      <c r="I642" s="470"/>
      <c r="J642" s="470"/>
      <c r="K642" s="344"/>
      <c r="L642" s="469"/>
      <c r="M642" s="469"/>
      <c r="N642" s="469"/>
      <c r="O642" s="469"/>
      <c r="P642" s="469"/>
      <c r="Q642" s="470"/>
      <c r="R642" s="469"/>
      <c r="S642" s="469"/>
      <c r="T642" s="470"/>
      <c r="U642" s="470"/>
      <c r="V642" s="470"/>
      <c r="W642" s="469"/>
      <c r="X642" s="469"/>
      <c r="Y642" s="469"/>
      <c r="Z642" s="470"/>
      <c r="AA642" s="469"/>
      <c r="AB642" s="469"/>
      <c r="AC642" s="469"/>
      <c r="AD642" s="469"/>
      <c r="AE642" s="472"/>
      <c r="AF642" s="472"/>
      <c r="AG642" s="486"/>
      <c r="AH642" s="486"/>
    </row>
    <row r="643" ht="15.75" customHeight="1">
      <c r="A643" s="344"/>
      <c r="B643" s="470"/>
      <c r="C643" s="469"/>
      <c r="D643" s="485"/>
      <c r="E643" s="469"/>
      <c r="F643" s="469"/>
      <c r="G643" s="470"/>
      <c r="H643" s="469"/>
      <c r="I643" s="470"/>
      <c r="J643" s="470"/>
      <c r="K643" s="344"/>
      <c r="L643" s="469"/>
      <c r="M643" s="469"/>
      <c r="N643" s="469"/>
      <c r="O643" s="469"/>
      <c r="P643" s="469"/>
      <c r="Q643" s="470"/>
      <c r="R643" s="469"/>
      <c r="S643" s="469"/>
      <c r="T643" s="470"/>
      <c r="U643" s="470"/>
      <c r="V643" s="470"/>
      <c r="W643" s="469"/>
      <c r="X643" s="469"/>
      <c r="Y643" s="469"/>
      <c r="Z643" s="470"/>
      <c r="AA643" s="469"/>
      <c r="AB643" s="469"/>
      <c r="AC643" s="469"/>
      <c r="AD643" s="469"/>
      <c r="AE643" s="472"/>
      <c r="AF643" s="472"/>
      <c r="AG643" s="486"/>
      <c r="AH643" s="486"/>
    </row>
    <row r="644" ht="15.75" customHeight="1">
      <c r="A644" s="344"/>
      <c r="B644" s="470"/>
      <c r="C644" s="469"/>
      <c r="D644" s="485"/>
      <c r="E644" s="469"/>
      <c r="F644" s="469"/>
      <c r="G644" s="470"/>
      <c r="H644" s="469"/>
      <c r="I644" s="470"/>
      <c r="J644" s="470"/>
      <c r="K644" s="344"/>
      <c r="L644" s="469"/>
      <c r="M644" s="469"/>
      <c r="N644" s="469"/>
      <c r="O644" s="469"/>
      <c r="P644" s="469"/>
      <c r="Q644" s="470"/>
      <c r="R644" s="469"/>
      <c r="S644" s="469"/>
      <c r="T644" s="470"/>
      <c r="U644" s="470"/>
      <c r="V644" s="470"/>
      <c r="W644" s="469"/>
      <c r="X644" s="469"/>
      <c r="Y644" s="469"/>
      <c r="Z644" s="470"/>
      <c r="AA644" s="469"/>
      <c r="AB644" s="469"/>
      <c r="AC644" s="469"/>
      <c r="AD644" s="469"/>
      <c r="AE644" s="472"/>
      <c r="AF644" s="472"/>
      <c r="AG644" s="486"/>
      <c r="AH644" s="486"/>
    </row>
    <row r="645" ht="15.75" customHeight="1">
      <c r="A645" s="344"/>
      <c r="B645" s="470"/>
      <c r="C645" s="469"/>
      <c r="D645" s="485"/>
      <c r="E645" s="469"/>
      <c r="F645" s="469"/>
      <c r="G645" s="470"/>
      <c r="H645" s="469"/>
      <c r="I645" s="470"/>
      <c r="J645" s="470"/>
      <c r="K645" s="344"/>
      <c r="L645" s="469"/>
      <c r="M645" s="469"/>
      <c r="N645" s="469"/>
      <c r="O645" s="469"/>
      <c r="P645" s="469"/>
      <c r="Q645" s="470"/>
      <c r="R645" s="469"/>
      <c r="S645" s="469"/>
      <c r="T645" s="470"/>
      <c r="U645" s="470"/>
      <c r="V645" s="470"/>
      <c r="W645" s="469"/>
      <c r="X645" s="469"/>
      <c r="Y645" s="469"/>
      <c r="Z645" s="470"/>
      <c r="AA645" s="469"/>
      <c r="AB645" s="469"/>
      <c r="AC645" s="469"/>
      <c r="AD645" s="469"/>
      <c r="AE645" s="472"/>
      <c r="AF645" s="472"/>
      <c r="AG645" s="486"/>
      <c r="AH645" s="486"/>
    </row>
    <row r="646" ht="15.75" customHeight="1">
      <c r="A646" s="344"/>
      <c r="B646" s="470"/>
      <c r="C646" s="469"/>
      <c r="D646" s="485"/>
      <c r="E646" s="469"/>
      <c r="F646" s="469"/>
      <c r="G646" s="470"/>
      <c r="H646" s="469"/>
      <c r="I646" s="470"/>
      <c r="J646" s="470"/>
      <c r="K646" s="344"/>
      <c r="L646" s="469"/>
      <c r="M646" s="469"/>
      <c r="N646" s="469"/>
      <c r="O646" s="469"/>
      <c r="P646" s="469"/>
      <c r="Q646" s="470"/>
      <c r="R646" s="469"/>
      <c r="S646" s="469"/>
      <c r="T646" s="470"/>
      <c r="U646" s="470"/>
      <c r="V646" s="470"/>
      <c r="W646" s="469"/>
      <c r="X646" s="469"/>
      <c r="Y646" s="469"/>
      <c r="Z646" s="470"/>
      <c r="AA646" s="469"/>
      <c r="AB646" s="469"/>
      <c r="AC646" s="469"/>
      <c r="AD646" s="469"/>
      <c r="AE646" s="472"/>
      <c r="AF646" s="472"/>
      <c r="AG646" s="486"/>
      <c r="AH646" s="486"/>
    </row>
    <row r="647" ht="15.75" customHeight="1">
      <c r="A647" s="344"/>
      <c r="B647" s="470"/>
      <c r="C647" s="469"/>
      <c r="D647" s="485"/>
      <c r="E647" s="469"/>
      <c r="F647" s="469"/>
      <c r="G647" s="470"/>
      <c r="H647" s="469"/>
      <c r="I647" s="470"/>
      <c r="J647" s="470"/>
      <c r="K647" s="344"/>
      <c r="L647" s="469"/>
      <c r="M647" s="469"/>
      <c r="N647" s="469"/>
      <c r="O647" s="469"/>
      <c r="P647" s="469"/>
      <c r="Q647" s="470"/>
      <c r="R647" s="469"/>
      <c r="S647" s="469"/>
      <c r="T647" s="470"/>
      <c r="U647" s="470"/>
      <c r="V647" s="470"/>
      <c r="W647" s="469"/>
      <c r="X647" s="469"/>
      <c r="Y647" s="469"/>
      <c r="Z647" s="470"/>
      <c r="AA647" s="469"/>
      <c r="AB647" s="469"/>
      <c r="AC647" s="469"/>
      <c r="AD647" s="469"/>
      <c r="AE647" s="472"/>
      <c r="AF647" s="472"/>
      <c r="AG647" s="486"/>
      <c r="AH647" s="486"/>
    </row>
    <row r="648" ht="15.75" customHeight="1">
      <c r="A648" s="344"/>
      <c r="B648" s="470"/>
      <c r="C648" s="469"/>
      <c r="D648" s="485"/>
      <c r="E648" s="469"/>
      <c r="F648" s="469"/>
      <c r="G648" s="470"/>
      <c r="H648" s="469"/>
      <c r="I648" s="470"/>
      <c r="J648" s="470"/>
      <c r="K648" s="344"/>
      <c r="L648" s="469"/>
      <c r="M648" s="469"/>
      <c r="N648" s="469"/>
      <c r="O648" s="469"/>
      <c r="P648" s="469"/>
      <c r="Q648" s="470"/>
      <c r="R648" s="469"/>
      <c r="S648" s="469"/>
      <c r="T648" s="470"/>
      <c r="U648" s="470"/>
      <c r="V648" s="470"/>
      <c r="W648" s="469"/>
      <c r="X648" s="469"/>
      <c r="Y648" s="469"/>
      <c r="Z648" s="470"/>
      <c r="AA648" s="469"/>
      <c r="AB648" s="469"/>
      <c r="AC648" s="469"/>
      <c r="AD648" s="469"/>
      <c r="AE648" s="472"/>
      <c r="AF648" s="472"/>
      <c r="AG648" s="486"/>
      <c r="AH648" s="486"/>
    </row>
    <row r="649" ht="15.75" customHeight="1">
      <c r="A649" s="344"/>
      <c r="B649" s="470"/>
      <c r="C649" s="469"/>
      <c r="D649" s="485"/>
      <c r="E649" s="469"/>
      <c r="F649" s="469"/>
      <c r="G649" s="470"/>
      <c r="H649" s="469"/>
      <c r="I649" s="470"/>
      <c r="J649" s="470"/>
      <c r="K649" s="344"/>
      <c r="L649" s="469"/>
      <c r="M649" s="469"/>
      <c r="N649" s="469"/>
      <c r="O649" s="469"/>
      <c r="P649" s="469"/>
      <c r="Q649" s="470"/>
      <c r="R649" s="469"/>
      <c r="S649" s="469"/>
      <c r="T649" s="470"/>
      <c r="U649" s="470"/>
      <c r="V649" s="470"/>
      <c r="W649" s="469"/>
      <c r="X649" s="469"/>
      <c r="Y649" s="469"/>
      <c r="Z649" s="470"/>
      <c r="AA649" s="469"/>
      <c r="AB649" s="469"/>
      <c r="AC649" s="469"/>
      <c r="AD649" s="469"/>
      <c r="AE649" s="472"/>
      <c r="AF649" s="472"/>
      <c r="AG649" s="486"/>
      <c r="AH649" s="486"/>
    </row>
    <row r="650" ht="15.75" customHeight="1">
      <c r="A650" s="344"/>
      <c r="B650" s="470"/>
      <c r="C650" s="469"/>
      <c r="D650" s="485"/>
      <c r="E650" s="469"/>
      <c r="F650" s="469"/>
      <c r="G650" s="470"/>
      <c r="H650" s="469"/>
      <c r="I650" s="470"/>
      <c r="J650" s="470"/>
      <c r="K650" s="344"/>
      <c r="L650" s="469"/>
      <c r="M650" s="469"/>
      <c r="N650" s="469"/>
      <c r="O650" s="469"/>
      <c r="P650" s="469"/>
      <c r="Q650" s="470"/>
      <c r="R650" s="469"/>
      <c r="S650" s="469"/>
      <c r="T650" s="470"/>
      <c r="U650" s="470"/>
      <c r="V650" s="470"/>
      <c r="W650" s="469"/>
      <c r="X650" s="469"/>
      <c r="Y650" s="469"/>
      <c r="Z650" s="470"/>
      <c r="AA650" s="469"/>
      <c r="AB650" s="469"/>
      <c r="AC650" s="469"/>
      <c r="AD650" s="469"/>
      <c r="AE650" s="472"/>
      <c r="AF650" s="472"/>
      <c r="AG650" s="486"/>
      <c r="AH650" s="486"/>
    </row>
    <row r="651" ht="15.75" customHeight="1">
      <c r="A651" s="344"/>
      <c r="B651" s="470"/>
      <c r="C651" s="469"/>
      <c r="D651" s="485"/>
      <c r="E651" s="469"/>
      <c r="F651" s="469"/>
      <c r="G651" s="470"/>
      <c r="H651" s="469"/>
      <c r="I651" s="470"/>
      <c r="J651" s="470"/>
      <c r="K651" s="344"/>
      <c r="L651" s="469"/>
      <c r="M651" s="469"/>
      <c r="N651" s="469"/>
      <c r="O651" s="469"/>
      <c r="P651" s="469"/>
      <c r="Q651" s="470"/>
      <c r="R651" s="469"/>
      <c r="S651" s="469"/>
      <c r="T651" s="470"/>
      <c r="U651" s="470"/>
      <c r="V651" s="470"/>
      <c r="W651" s="469"/>
      <c r="X651" s="469"/>
      <c r="Y651" s="469"/>
      <c r="Z651" s="470"/>
      <c r="AA651" s="469"/>
      <c r="AB651" s="469"/>
      <c r="AC651" s="469"/>
      <c r="AD651" s="469"/>
      <c r="AE651" s="472"/>
      <c r="AF651" s="472"/>
      <c r="AG651" s="486"/>
      <c r="AH651" s="486"/>
    </row>
    <row r="652" ht="15.75" customHeight="1">
      <c r="A652" s="344"/>
      <c r="B652" s="470"/>
      <c r="C652" s="469"/>
      <c r="D652" s="485"/>
      <c r="E652" s="469"/>
      <c r="F652" s="469"/>
      <c r="G652" s="470"/>
      <c r="H652" s="469"/>
      <c r="I652" s="470"/>
      <c r="J652" s="470"/>
      <c r="K652" s="344"/>
      <c r="L652" s="469"/>
      <c r="M652" s="469"/>
      <c r="N652" s="469"/>
      <c r="O652" s="469"/>
      <c r="P652" s="469"/>
      <c r="Q652" s="470"/>
      <c r="R652" s="469"/>
      <c r="S652" s="469"/>
      <c r="T652" s="470"/>
      <c r="U652" s="470"/>
      <c r="V652" s="470"/>
      <c r="W652" s="469"/>
      <c r="X652" s="469"/>
      <c r="Y652" s="469"/>
      <c r="Z652" s="470"/>
      <c r="AA652" s="469"/>
      <c r="AB652" s="469"/>
      <c r="AC652" s="469"/>
      <c r="AD652" s="469"/>
      <c r="AE652" s="472"/>
      <c r="AF652" s="472"/>
      <c r="AG652" s="486"/>
      <c r="AH652" s="486"/>
    </row>
    <row r="653" ht="15.75" customHeight="1">
      <c r="A653" s="344"/>
      <c r="B653" s="470"/>
      <c r="C653" s="469"/>
      <c r="D653" s="485"/>
      <c r="E653" s="469"/>
      <c r="F653" s="469"/>
      <c r="G653" s="470"/>
      <c r="H653" s="469"/>
      <c r="I653" s="470"/>
      <c r="J653" s="470"/>
      <c r="K653" s="344"/>
      <c r="L653" s="469"/>
      <c r="M653" s="469"/>
      <c r="N653" s="469"/>
      <c r="O653" s="469"/>
      <c r="P653" s="469"/>
      <c r="Q653" s="470"/>
      <c r="R653" s="469"/>
      <c r="S653" s="469"/>
      <c r="T653" s="470"/>
      <c r="U653" s="470"/>
      <c r="V653" s="470"/>
      <c r="W653" s="469"/>
      <c r="X653" s="469"/>
      <c r="Y653" s="469"/>
      <c r="Z653" s="470"/>
      <c r="AA653" s="469"/>
      <c r="AB653" s="469"/>
      <c r="AC653" s="469"/>
      <c r="AD653" s="469"/>
      <c r="AE653" s="472"/>
      <c r="AF653" s="472"/>
      <c r="AG653" s="486"/>
      <c r="AH653" s="486"/>
    </row>
    <row r="654" ht="15.75" customHeight="1">
      <c r="A654" s="344"/>
      <c r="B654" s="470"/>
      <c r="C654" s="469"/>
      <c r="D654" s="485"/>
      <c r="E654" s="469"/>
      <c r="F654" s="469"/>
      <c r="G654" s="470"/>
      <c r="H654" s="469"/>
      <c r="I654" s="470"/>
      <c r="J654" s="470"/>
      <c r="K654" s="344"/>
      <c r="L654" s="469"/>
      <c r="M654" s="469"/>
      <c r="N654" s="469"/>
      <c r="O654" s="469"/>
      <c r="P654" s="469"/>
      <c r="Q654" s="470"/>
      <c r="R654" s="469"/>
      <c r="S654" s="469"/>
      <c r="T654" s="470"/>
      <c r="U654" s="470"/>
      <c r="V654" s="470"/>
      <c r="W654" s="469"/>
      <c r="X654" s="469"/>
      <c r="Y654" s="469"/>
      <c r="Z654" s="470"/>
      <c r="AA654" s="469"/>
      <c r="AB654" s="469"/>
      <c r="AC654" s="469"/>
      <c r="AD654" s="469"/>
      <c r="AE654" s="472"/>
      <c r="AF654" s="472"/>
      <c r="AG654" s="486"/>
      <c r="AH654" s="486"/>
    </row>
    <row r="655" ht="15.75" customHeight="1">
      <c r="A655" s="344"/>
      <c r="B655" s="470"/>
      <c r="C655" s="469"/>
      <c r="D655" s="485"/>
      <c r="E655" s="469"/>
      <c r="F655" s="469"/>
      <c r="G655" s="470"/>
      <c r="H655" s="469"/>
      <c r="I655" s="470"/>
      <c r="J655" s="470"/>
      <c r="K655" s="344"/>
      <c r="L655" s="469"/>
      <c r="M655" s="469"/>
      <c r="N655" s="469"/>
      <c r="O655" s="469"/>
      <c r="P655" s="469"/>
      <c r="Q655" s="470"/>
      <c r="R655" s="469"/>
      <c r="S655" s="469"/>
      <c r="T655" s="470"/>
      <c r="U655" s="470"/>
      <c r="V655" s="470"/>
      <c r="W655" s="469"/>
      <c r="X655" s="469"/>
      <c r="Y655" s="469"/>
      <c r="Z655" s="470"/>
      <c r="AA655" s="469"/>
      <c r="AB655" s="469"/>
      <c r="AC655" s="469"/>
      <c r="AD655" s="469"/>
      <c r="AE655" s="472"/>
      <c r="AF655" s="472"/>
      <c r="AG655" s="486"/>
      <c r="AH655" s="486"/>
    </row>
    <row r="656" ht="15.75" customHeight="1">
      <c r="A656" s="344"/>
      <c r="B656" s="470"/>
      <c r="C656" s="469"/>
      <c r="D656" s="485"/>
      <c r="E656" s="469"/>
      <c r="F656" s="469"/>
      <c r="G656" s="470"/>
      <c r="H656" s="469"/>
      <c r="I656" s="470"/>
      <c r="J656" s="470"/>
      <c r="K656" s="344"/>
      <c r="L656" s="469"/>
      <c r="M656" s="469"/>
      <c r="N656" s="469"/>
      <c r="O656" s="469"/>
      <c r="P656" s="469"/>
      <c r="Q656" s="470"/>
      <c r="R656" s="469"/>
      <c r="S656" s="469"/>
      <c r="T656" s="470"/>
      <c r="U656" s="470"/>
      <c r="V656" s="470"/>
      <c r="W656" s="469"/>
      <c r="X656" s="469"/>
      <c r="Y656" s="469"/>
      <c r="Z656" s="470"/>
      <c r="AA656" s="469"/>
      <c r="AB656" s="469"/>
      <c r="AC656" s="469"/>
      <c r="AD656" s="469"/>
      <c r="AE656" s="472"/>
      <c r="AF656" s="472"/>
      <c r="AG656" s="486"/>
      <c r="AH656" s="486"/>
    </row>
    <row r="657" ht="15.75" customHeight="1">
      <c r="A657" s="344"/>
      <c r="B657" s="470"/>
      <c r="C657" s="469"/>
      <c r="D657" s="485"/>
      <c r="E657" s="469"/>
      <c r="F657" s="469"/>
      <c r="G657" s="470"/>
      <c r="H657" s="469"/>
      <c r="I657" s="470"/>
      <c r="J657" s="470"/>
      <c r="K657" s="344"/>
      <c r="L657" s="469"/>
      <c r="M657" s="469"/>
      <c r="N657" s="469"/>
      <c r="O657" s="469"/>
      <c r="P657" s="469"/>
      <c r="Q657" s="470"/>
      <c r="R657" s="469"/>
      <c r="S657" s="469"/>
      <c r="T657" s="470"/>
      <c r="U657" s="470"/>
      <c r="V657" s="470"/>
      <c r="W657" s="469"/>
      <c r="X657" s="469"/>
      <c r="Y657" s="469"/>
      <c r="Z657" s="470"/>
      <c r="AA657" s="469"/>
      <c r="AB657" s="469"/>
      <c r="AC657" s="469"/>
      <c r="AD657" s="469"/>
      <c r="AE657" s="472"/>
      <c r="AF657" s="472"/>
      <c r="AG657" s="486"/>
      <c r="AH657" s="486"/>
    </row>
    <row r="658" ht="15.75" customHeight="1">
      <c r="A658" s="344"/>
      <c r="B658" s="470"/>
      <c r="C658" s="469"/>
      <c r="D658" s="485"/>
      <c r="E658" s="469"/>
      <c r="F658" s="469"/>
      <c r="G658" s="470"/>
      <c r="H658" s="469"/>
      <c r="I658" s="470"/>
      <c r="J658" s="470"/>
      <c r="K658" s="344"/>
      <c r="L658" s="469"/>
      <c r="M658" s="469"/>
      <c r="N658" s="469"/>
      <c r="O658" s="469"/>
      <c r="P658" s="469"/>
      <c r="Q658" s="470"/>
      <c r="R658" s="469"/>
      <c r="S658" s="469"/>
      <c r="T658" s="470"/>
      <c r="U658" s="470"/>
      <c r="V658" s="470"/>
      <c r="W658" s="469"/>
      <c r="X658" s="469"/>
      <c r="Y658" s="469"/>
      <c r="Z658" s="470"/>
      <c r="AA658" s="469"/>
      <c r="AB658" s="469"/>
      <c r="AC658" s="469"/>
      <c r="AD658" s="469"/>
      <c r="AE658" s="472"/>
      <c r="AF658" s="472"/>
      <c r="AG658" s="486"/>
      <c r="AH658" s="486"/>
    </row>
    <row r="659" ht="15.75" customHeight="1">
      <c r="A659" s="344"/>
      <c r="B659" s="470"/>
      <c r="C659" s="469"/>
      <c r="D659" s="485"/>
      <c r="E659" s="469"/>
      <c r="F659" s="469"/>
      <c r="G659" s="470"/>
      <c r="H659" s="469"/>
      <c r="I659" s="470"/>
      <c r="J659" s="470"/>
      <c r="K659" s="344"/>
      <c r="L659" s="469"/>
      <c r="M659" s="469"/>
      <c r="N659" s="469"/>
      <c r="O659" s="469"/>
      <c r="P659" s="469"/>
      <c r="Q659" s="470"/>
      <c r="R659" s="469"/>
      <c r="S659" s="469"/>
      <c r="T659" s="470"/>
      <c r="U659" s="470"/>
      <c r="V659" s="470"/>
      <c r="W659" s="469"/>
      <c r="X659" s="469"/>
      <c r="Y659" s="469"/>
      <c r="Z659" s="470"/>
      <c r="AA659" s="469"/>
      <c r="AB659" s="469"/>
      <c r="AC659" s="469"/>
      <c r="AD659" s="469"/>
      <c r="AE659" s="472"/>
      <c r="AF659" s="472"/>
      <c r="AG659" s="486"/>
      <c r="AH659" s="486"/>
    </row>
    <row r="660" ht="15.75" customHeight="1">
      <c r="A660" s="344"/>
      <c r="B660" s="470"/>
      <c r="C660" s="469"/>
      <c r="D660" s="485"/>
      <c r="E660" s="469"/>
      <c r="F660" s="469"/>
      <c r="G660" s="470"/>
      <c r="H660" s="469"/>
      <c r="I660" s="470"/>
      <c r="J660" s="470"/>
      <c r="K660" s="344"/>
      <c r="L660" s="469"/>
      <c r="M660" s="469"/>
      <c r="N660" s="469"/>
      <c r="O660" s="469"/>
      <c r="P660" s="469"/>
      <c r="Q660" s="470"/>
      <c r="R660" s="469"/>
      <c r="S660" s="469"/>
      <c r="T660" s="470"/>
      <c r="U660" s="470"/>
      <c r="V660" s="470"/>
      <c r="W660" s="469"/>
      <c r="X660" s="469"/>
      <c r="Y660" s="469"/>
      <c r="Z660" s="470"/>
      <c r="AA660" s="469"/>
      <c r="AB660" s="469"/>
      <c r="AC660" s="469"/>
      <c r="AD660" s="469"/>
      <c r="AE660" s="472"/>
      <c r="AF660" s="472"/>
      <c r="AG660" s="486"/>
      <c r="AH660" s="486"/>
    </row>
    <row r="661" ht="15.75" customHeight="1">
      <c r="A661" s="344"/>
      <c r="B661" s="470"/>
      <c r="C661" s="469"/>
      <c r="D661" s="485"/>
      <c r="E661" s="469"/>
      <c r="F661" s="469"/>
      <c r="G661" s="470"/>
      <c r="H661" s="469"/>
      <c r="I661" s="470"/>
      <c r="J661" s="470"/>
      <c r="K661" s="344"/>
      <c r="L661" s="469"/>
      <c r="M661" s="469"/>
      <c r="N661" s="469"/>
      <c r="O661" s="469"/>
      <c r="P661" s="469"/>
      <c r="Q661" s="470"/>
      <c r="R661" s="469"/>
      <c r="S661" s="469"/>
      <c r="T661" s="470"/>
      <c r="U661" s="470"/>
      <c r="V661" s="470"/>
      <c r="W661" s="469"/>
      <c r="X661" s="469"/>
      <c r="Y661" s="469"/>
      <c r="Z661" s="470"/>
      <c r="AA661" s="469"/>
      <c r="AB661" s="469"/>
      <c r="AC661" s="469"/>
      <c r="AD661" s="469"/>
      <c r="AE661" s="472"/>
      <c r="AF661" s="472"/>
      <c r="AG661" s="486"/>
      <c r="AH661" s="486"/>
    </row>
    <row r="662" ht="15.75" customHeight="1">
      <c r="A662" s="344"/>
      <c r="B662" s="470"/>
      <c r="C662" s="469"/>
      <c r="D662" s="485"/>
      <c r="E662" s="469"/>
      <c r="F662" s="469"/>
      <c r="G662" s="470"/>
      <c r="H662" s="469"/>
      <c r="I662" s="470"/>
      <c r="J662" s="470"/>
      <c r="K662" s="344"/>
      <c r="L662" s="469"/>
      <c r="M662" s="469"/>
      <c r="N662" s="469"/>
      <c r="O662" s="469"/>
      <c r="P662" s="469"/>
      <c r="Q662" s="470"/>
      <c r="R662" s="469"/>
      <c r="S662" s="469"/>
      <c r="T662" s="470"/>
      <c r="U662" s="470"/>
      <c r="V662" s="470"/>
      <c r="W662" s="469"/>
      <c r="X662" s="469"/>
      <c r="Y662" s="469"/>
      <c r="Z662" s="470"/>
      <c r="AA662" s="469"/>
      <c r="AB662" s="469"/>
      <c r="AC662" s="469"/>
      <c r="AD662" s="469"/>
      <c r="AE662" s="472"/>
      <c r="AF662" s="472"/>
      <c r="AG662" s="486"/>
      <c r="AH662" s="486"/>
    </row>
    <row r="663" ht="15.75" customHeight="1">
      <c r="A663" s="344"/>
      <c r="B663" s="470"/>
      <c r="C663" s="469"/>
      <c r="D663" s="485"/>
      <c r="E663" s="469"/>
      <c r="F663" s="469"/>
      <c r="G663" s="470"/>
      <c r="H663" s="469"/>
      <c r="I663" s="470"/>
      <c r="J663" s="470"/>
      <c r="K663" s="344"/>
      <c r="L663" s="469"/>
      <c r="M663" s="469"/>
      <c r="N663" s="469"/>
      <c r="O663" s="469"/>
      <c r="P663" s="469"/>
      <c r="Q663" s="470"/>
      <c r="R663" s="469"/>
      <c r="S663" s="469"/>
      <c r="T663" s="470"/>
      <c r="U663" s="470"/>
      <c r="V663" s="470"/>
      <c r="W663" s="469"/>
      <c r="X663" s="469"/>
      <c r="Y663" s="469"/>
      <c r="Z663" s="470"/>
      <c r="AA663" s="469"/>
      <c r="AB663" s="469"/>
      <c r="AC663" s="469"/>
      <c r="AD663" s="469"/>
      <c r="AE663" s="472"/>
      <c r="AF663" s="472"/>
      <c r="AG663" s="486"/>
      <c r="AH663" s="486"/>
    </row>
    <row r="664" ht="15.75" customHeight="1">
      <c r="A664" s="344"/>
      <c r="B664" s="470"/>
      <c r="C664" s="469"/>
      <c r="D664" s="485"/>
      <c r="E664" s="469"/>
      <c r="F664" s="469"/>
      <c r="G664" s="470"/>
      <c r="H664" s="469"/>
      <c r="I664" s="470"/>
      <c r="J664" s="470"/>
      <c r="K664" s="344"/>
      <c r="L664" s="469"/>
      <c r="M664" s="469"/>
      <c r="N664" s="469"/>
      <c r="O664" s="469"/>
      <c r="P664" s="469"/>
      <c r="Q664" s="470"/>
      <c r="R664" s="469"/>
      <c r="S664" s="469"/>
      <c r="T664" s="470"/>
      <c r="U664" s="470"/>
      <c r="V664" s="470"/>
      <c r="W664" s="469"/>
      <c r="X664" s="469"/>
      <c r="Y664" s="469"/>
      <c r="Z664" s="470"/>
      <c r="AA664" s="469"/>
      <c r="AB664" s="469"/>
      <c r="AC664" s="469"/>
      <c r="AD664" s="469"/>
      <c r="AE664" s="472"/>
      <c r="AF664" s="472"/>
      <c r="AG664" s="486"/>
      <c r="AH664" s="486"/>
    </row>
    <row r="665" ht="15.75" customHeight="1">
      <c r="A665" s="344"/>
      <c r="B665" s="470"/>
      <c r="C665" s="469"/>
      <c r="D665" s="485"/>
      <c r="E665" s="469"/>
      <c r="F665" s="469"/>
      <c r="G665" s="470"/>
      <c r="H665" s="469"/>
      <c r="I665" s="470"/>
      <c r="J665" s="470"/>
      <c r="K665" s="344"/>
      <c r="L665" s="469"/>
      <c r="M665" s="469"/>
      <c r="N665" s="469"/>
      <c r="O665" s="469"/>
      <c r="P665" s="469"/>
      <c r="Q665" s="470"/>
      <c r="R665" s="469"/>
      <c r="S665" s="469"/>
      <c r="T665" s="470"/>
      <c r="U665" s="470"/>
      <c r="V665" s="470"/>
      <c r="W665" s="469"/>
      <c r="X665" s="469"/>
      <c r="Y665" s="469"/>
      <c r="Z665" s="470"/>
      <c r="AA665" s="469"/>
      <c r="AB665" s="469"/>
      <c r="AC665" s="469"/>
      <c r="AD665" s="469"/>
      <c r="AE665" s="472"/>
      <c r="AF665" s="472"/>
      <c r="AG665" s="486"/>
      <c r="AH665" s="486"/>
    </row>
    <row r="666" ht="15.75" customHeight="1">
      <c r="A666" s="344"/>
      <c r="B666" s="470"/>
      <c r="C666" s="469"/>
      <c r="D666" s="485"/>
      <c r="E666" s="469"/>
      <c r="F666" s="469"/>
      <c r="G666" s="470"/>
      <c r="H666" s="469"/>
      <c r="I666" s="470"/>
      <c r="J666" s="470"/>
      <c r="K666" s="344"/>
      <c r="L666" s="469"/>
      <c r="M666" s="469"/>
      <c r="N666" s="469"/>
      <c r="O666" s="469"/>
      <c r="P666" s="469"/>
      <c r="Q666" s="470"/>
      <c r="R666" s="469"/>
      <c r="S666" s="469"/>
      <c r="T666" s="470"/>
      <c r="U666" s="470"/>
      <c r="V666" s="470"/>
      <c r="W666" s="469"/>
      <c r="X666" s="469"/>
      <c r="Y666" s="469"/>
      <c r="Z666" s="470"/>
      <c r="AA666" s="469"/>
      <c r="AB666" s="469"/>
      <c r="AC666" s="469"/>
      <c r="AD666" s="469"/>
      <c r="AE666" s="472"/>
      <c r="AF666" s="472"/>
      <c r="AG666" s="486"/>
      <c r="AH666" s="486"/>
    </row>
    <row r="667" ht="15.75" customHeight="1">
      <c r="A667" s="344"/>
      <c r="B667" s="470"/>
      <c r="C667" s="469"/>
      <c r="D667" s="485"/>
      <c r="E667" s="469"/>
      <c r="F667" s="469"/>
      <c r="G667" s="470"/>
      <c r="H667" s="469"/>
      <c r="I667" s="470"/>
      <c r="J667" s="470"/>
      <c r="K667" s="344"/>
      <c r="L667" s="469"/>
      <c r="M667" s="469"/>
      <c r="N667" s="469"/>
      <c r="O667" s="469"/>
      <c r="P667" s="469"/>
      <c r="Q667" s="470"/>
      <c r="R667" s="469"/>
      <c r="S667" s="469"/>
      <c r="T667" s="470"/>
      <c r="U667" s="470"/>
      <c r="V667" s="470"/>
      <c r="W667" s="469"/>
      <c r="X667" s="469"/>
      <c r="Y667" s="469"/>
      <c r="Z667" s="470"/>
      <c r="AA667" s="469"/>
      <c r="AB667" s="469"/>
      <c r="AC667" s="469"/>
      <c r="AD667" s="469"/>
      <c r="AE667" s="472"/>
      <c r="AF667" s="472"/>
      <c r="AG667" s="486"/>
      <c r="AH667" s="486"/>
    </row>
    <row r="668" ht="15.75" customHeight="1">
      <c r="A668" s="344"/>
      <c r="B668" s="470"/>
      <c r="C668" s="469"/>
      <c r="D668" s="485"/>
      <c r="E668" s="469"/>
      <c r="F668" s="469"/>
      <c r="G668" s="470"/>
      <c r="H668" s="469"/>
      <c r="I668" s="470"/>
      <c r="J668" s="470"/>
      <c r="K668" s="344"/>
      <c r="L668" s="469"/>
      <c r="M668" s="469"/>
      <c r="N668" s="469"/>
      <c r="O668" s="469"/>
      <c r="P668" s="469"/>
      <c r="Q668" s="470"/>
      <c r="R668" s="469"/>
      <c r="S668" s="469"/>
      <c r="T668" s="470"/>
      <c r="U668" s="470"/>
      <c r="V668" s="470"/>
      <c r="W668" s="469"/>
      <c r="X668" s="469"/>
      <c r="Y668" s="469"/>
      <c r="Z668" s="470"/>
      <c r="AA668" s="469"/>
      <c r="AB668" s="469"/>
      <c r="AC668" s="469"/>
      <c r="AD668" s="469"/>
      <c r="AE668" s="472"/>
      <c r="AF668" s="472"/>
      <c r="AG668" s="486"/>
      <c r="AH668" s="486"/>
    </row>
    <row r="669" ht="15.75" customHeight="1">
      <c r="A669" s="344"/>
      <c r="B669" s="470"/>
      <c r="C669" s="469"/>
      <c r="D669" s="485"/>
      <c r="E669" s="469"/>
      <c r="F669" s="469"/>
      <c r="G669" s="470"/>
      <c r="H669" s="469"/>
      <c r="I669" s="470"/>
      <c r="J669" s="470"/>
      <c r="K669" s="344"/>
      <c r="L669" s="469"/>
      <c r="M669" s="469"/>
      <c r="N669" s="469"/>
      <c r="O669" s="469"/>
      <c r="P669" s="469"/>
      <c r="Q669" s="470"/>
      <c r="R669" s="469"/>
      <c r="S669" s="469"/>
      <c r="T669" s="470"/>
      <c r="U669" s="470"/>
      <c r="V669" s="470"/>
      <c r="W669" s="469"/>
      <c r="X669" s="469"/>
      <c r="Y669" s="469"/>
      <c r="Z669" s="470"/>
      <c r="AA669" s="469"/>
      <c r="AB669" s="469"/>
      <c r="AC669" s="469"/>
      <c r="AD669" s="469"/>
      <c r="AE669" s="472"/>
      <c r="AF669" s="472"/>
      <c r="AG669" s="486"/>
      <c r="AH669" s="486"/>
    </row>
    <row r="670" ht="15.75" customHeight="1">
      <c r="A670" s="344"/>
      <c r="B670" s="470"/>
      <c r="C670" s="469"/>
      <c r="D670" s="485"/>
      <c r="E670" s="469"/>
      <c r="F670" s="469"/>
      <c r="G670" s="470"/>
      <c r="H670" s="469"/>
      <c r="I670" s="470"/>
      <c r="J670" s="470"/>
      <c r="K670" s="344"/>
      <c r="L670" s="469"/>
      <c r="M670" s="469"/>
      <c r="N670" s="469"/>
      <c r="O670" s="469"/>
      <c r="P670" s="469"/>
      <c r="Q670" s="470"/>
      <c r="R670" s="469"/>
      <c r="S670" s="469"/>
      <c r="T670" s="470"/>
      <c r="U670" s="470"/>
      <c r="V670" s="470"/>
      <c r="W670" s="469"/>
      <c r="X670" s="469"/>
      <c r="Y670" s="469"/>
      <c r="Z670" s="470"/>
      <c r="AA670" s="469"/>
      <c r="AB670" s="469"/>
      <c r="AC670" s="469"/>
      <c r="AD670" s="469"/>
      <c r="AE670" s="472"/>
      <c r="AF670" s="472"/>
      <c r="AG670" s="486"/>
      <c r="AH670" s="486"/>
    </row>
    <row r="671" ht="15.75" customHeight="1">
      <c r="A671" s="344"/>
      <c r="B671" s="470"/>
      <c r="C671" s="469"/>
      <c r="D671" s="485"/>
      <c r="E671" s="469"/>
      <c r="F671" s="469"/>
      <c r="G671" s="470"/>
      <c r="H671" s="469"/>
      <c r="I671" s="470"/>
      <c r="J671" s="470"/>
      <c r="K671" s="344"/>
      <c r="L671" s="469"/>
      <c r="M671" s="469"/>
      <c r="N671" s="469"/>
      <c r="O671" s="469"/>
      <c r="P671" s="469"/>
      <c r="Q671" s="470"/>
      <c r="R671" s="469"/>
      <c r="S671" s="469"/>
      <c r="T671" s="470"/>
      <c r="U671" s="470"/>
      <c r="V671" s="470"/>
      <c r="W671" s="469"/>
      <c r="X671" s="469"/>
      <c r="Y671" s="469"/>
      <c r="Z671" s="470"/>
      <c r="AA671" s="469"/>
      <c r="AB671" s="469"/>
      <c r="AC671" s="469"/>
      <c r="AD671" s="469"/>
      <c r="AE671" s="472"/>
      <c r="AF671" s="472"/>
      <c r="AG671" s="486"/>
      <c r="AH671" s="486"/>
    </row>
    <row r="672" ht="15.75" customHeight="1">
      <c r="A672" s="344"/>
      <c r="B672" s="470"/>
      <c r="C672" s="469"/>
      <c r="D672" s="485"/>
      <c r="E672" s="469"/>
      <c r="F672" s="469"/>
      <c r="G672" s="470"/>
      <c r="H672" s="469"/>
      <c r="I672" s="470"/>
      <c r="J672" s="470"/>
      <c r="K672" s="344"/>
      <c r="L672" s="469"/>
      <c r="M672" s="469"/>
      <c r="N672" s="469"/>
      <c r="O672" s="469"/>
      <c r="P672" s="469"/>
      <c r="Q672" s="470"/>
      <c r="R672" s="469"/>
      <c r="S672" s="469"/>
      <c r="T672" s="470"/>
      <c r="U672" s="470"/>
      <c r="V672" s="470"/>
      <c r="W672" s="469"/>
      <c r="X672" s="469"/>
      <c r="Y672" s="469"/>
      <c r="Z672" s="470"/>
      <c r="AA672" s="469"/>
      <c r="AB672" s="469"/>
      <c r="AC672" s="469"/>
      <c r="AD672" s="469"/>
      <c r="AE672" s="472"/>
      <c r="AF672" s="472"/>
      <c r="AG672" s="486"/>
      <c r="AH672" s="486"/>
    </row>
    <row r="673" ht="15.75" customHeight="1">
      <c r="A673" s="344"/>
      <c r="B673" s="470"/>
      <c r="C673" s="469"/>
      <c r="D673" s="485"/>
      <c r="E673" s="469"/>
      <c r="F673" s="469"/>
      <c r="G673" s="470"/>
      <c r="H673" s="469"/>
      <c r="I673" s="470"/>
      <c r="J673" s="470"/>
      <c r="K673" s="344"/>
      <c r="L673" s="469"/>
      <c r="M673" s="469"/>
      <c r="N673" s="469"/>
      <c r="O673" s="469"/>
      <c r="P673" s="469"/>
      <c r="Q673" s="470"/>
      <c r="R673" s="469"/>
      <c r="S673" s="469"/>
      <c r="T673" s="470"/>
      <c r="U673" s="470"/>
      <c r="V673" s="470"/>
      <c r="W673" s="469"/>
      <c r="X673" s="469"/>
      <c r="Y673" s="469"/>
      <c r="Z673" s="470"/>
      <c r="AA673" s="469"/>
      <c r="AB673" s="469"/>
      <c r="AC673" s="469"/>
      <c r="AD673" s="469"/>
      <c r="AE673" s="472"/>
      <c r="AF673" s="472"/>
      <c r="AG673" s="486"/>
      <c r="AH673" s="486"/>
    </row>
    <row r="674" ht="15.75" customHeight="1">
      <c r="A674" s="344"/>
      <c r="B674" s="470"/>
      <c r="C674" s="469"/>
      <c r="D674" s="485"/>
      <c r="E674" s="469"/>
      <c r="F674" s="469"/>
      <c r="G674" s="470"/>
      <c r="H674" s="469"/>
      <c r="I674" s="470"/>
      <c r="J674" s="470"/>
      <c r="K674" s="344"/>
      <c r="L674" s="469"/>
      <c r="M674" s="469"/>
      <c r="N674" s="469"/>
      <c r="O674" s="469"/>
      <c r="P674" s="469"/>
      <c r="Q674" s="470"/>
      <c r="R674" s="469"/>
      <c r="S674" s="469"/>
      <c r="T674" s="470"/>
      <c r="U674" s="470"/>
      <c r="V674" s="470"/>
      <c r="W674" s="469"/>
      <c r="X674" s="469"/>
      <c r="Y674" s="469"/>
      <c r="Z674" s="470"/>
      <c r="AA674" s="469"/>
      <c r="AB674" s="469"/>
      <c r="AC674" s="469"/>
      <c r="AD674" s="469"/>
      <c r="AE674" s="472"/>
      <c r="AF674" s="472"/>
      <c r="AG674" s="486"/>
      <c r="AH674" s="486"/>
    </row>
    <row r="675" ht="15.75" customHeight="1">
      <c r="A675" s="344"/>
      <c r="B675" s="470"/>
      <c r="C675" s="469"/>
      <c r="D675" s="485"/>
      <c r="E675" s="469"/>
      <c r="F675" s="469"/>
      <c r="G675" s="470"/>
      <c r="H675" s="469"/>
      <c r="I675" s="470"/>
      <c r="J675" s="470"/>
      <c r="K675" s="344"/>
      <c r="L675" s="469"/>
      <c r="M675" s="469"/>
      <c r="N675" s="469"/>
      <c r="O675" s="469"/>
      <c r="P675" s="469"/>
      <c r="Q675" s="470"/>
      <c r="R675" s="469"/>
      <c r="S675" s="469"/>
      <c r="T675" s="470"/>
      <c r="U675" s="470"/>
      <c r="V675" s="470"/>
      <c r="W675" s="469"/>
      <c r="X675" s="469"/>
      <c r="Y675" s="469"/>
      <c r="Z675" s="470"/>
      <c r="AA675" s="469"/>
      <c r="AB675" s="469"/>
      <c r="AC675" s="469"/>
      <c r="AD675" s="469"/>
      <c r="AE675" s="472"/>
      <c r="AF675" s="472"/>
      <c r="AG675" s="486"/>
      <c r="AH675" s="486"/>
    </row>
    <row r="676" ht="15.75" customHeight="1">
      <c r="A676" s="344"/>
      <c r="B676" s="470"/>
      <c r="C676" s="469"/>
      <c r="D676" s="485"/>
      <c r="E676" s="469"/>
      <c r="F676" s="469"/>
      <c r="G676" s="470"/>
      <c r="H676" s="469"/>
      <c r="I676" s="470"/>
      <c r="J676" s="470"/>
      <c r="K676" s="344"/>
      <c r="L676" s="469"/>
      <c r="M676" s="469"/>
      <c r="N676" s="469"/>
      <c r="O676" s="469"/>
      <c r="P676" s="469"/>
      <c r="Q676" s="470"/>
      <c r="R676" s="469"/>
      <c r="S676" s="469"/>
      <c r="T676" s="470"/>
      <c r="U676" s="470"/>
      <c r="V676" s="470"/>
      <c r="W676" s="469"/>
      <c r="X676" s="469"/>
      <c r="Y676" s="469"/>
      <c r="Z676" s="470"/>
      <c r="AA676" s="469"/>
      <c r="AB676" s="469"/>
      <c r="AC676" s="469"/>
      <c r="AD676" s="469"/>
      <c r="AE676" s="472"/>
      <c r="AF676" s="472"/>
      <c r="AG676" s="486"/>
      <c r="AH676" s="486"/>
    </row>
    <row r="677" ht="15.75" customHeight="1">
      <c r="A677" s="344"/>
      <c r="B677" s="470"/>
      <c r="C677" s="469"/>
      <c r="D677" s="485"/>
      <c r="E677" s="469"/>
      <c r="F677" s="469"/>
      <c r="G677" s="470"/>
      <c r="H677" s="469"/>
      <c r="I677" s="470"/>
      <c r="J677" s="470"/>
      <c r="K677" s="344"/>
      <c r="L677" s="469"/>
      <c r="M677" s="469"/>
      <c r="N677" s="469"/>
      <c r="O677" s="469"/>
      <c r="P677" s="469"/>
      <c r="Q677" s="470"/>
      <c r="R677" s="469"/>
      <c r="S677" s="469"/>
      <c r="T677" s="470"/>
      <c r="U677" s="470"/>
      <c r="V677" s="470"/>
      <c r="W677" s="469"/>
      <c r="X677" s="469"/>
      <c r="Y677" s="469"/>
      <c r="Z677" s="470"/>
      <c r="AA677" s="469"/>
      <c r="AB677" s="469"/>
      <c r="AC677" s="469"/>
      <c r="AD677" s="469"/>
      <c r="AE677" s="472"/>
      <c r="AF677" s="472"/>
      <c r="AG677" s="486"/>
      <c r="AH677" s="486"/>
    </row>
    <row r="678" ht="15.75" customHeight="1">
      <c r="A678" s="344"/>
      <c r="B678" s="470"/>
      <c r="C678" s="469"/>
      <c r="D678" s="485"/>
      <c r="E678" s="469"/>
      <c r="F678" s="469"/>
      <c r="G678" s="470"/>
      <c r="H678" s="469"/>
      <c r="I678" s="470"/>
      <c r="J678" s="470"/>
      <c r="K678" s="344"/>
      <c r="L678" s="469"/>
      <c r="M678" s="469"/>
      <c r="N678" s="469"/>
      <c r="O678" s="469"/>
      <c r="P678" s="469"/>
      <c r="Q678" s="470"/>
      <c r="R678" s="469"/>
      <c r="S678" s="469"/>
      <c r="T678" s="470"/>
      <c r="U678" s="470"/>
      <c r="V678" s="470"/>
      <c r="W678" s="469"/>
      <c r="X678" s="469"/>
      <c r="Y678" s="469"/>
      <c r="Z678" s="470"/>
      <c r="AA678" s="469"/>
      <c r="AB678" s="469"/>
      <c r="AC678" s="469"/>
      <c r="AD678" s="469"/>
      <c r="AE678" s="472"/>
      <c r="AF678" s="472"/>
      <c r="AG678" s="486"/>
      <c r="AH678" s="486"/>
    </row>
    <row r="679" ht="15.75" customHeight="1">
      <c r="A679" s="344"/>
      <c r="B679" s="470"/>
      <c r="C679" s="469"/>
      <c r="D679" s="485"/>
      <c r="E679" s="469"/>
      <c r="F679" s="469"/>
      <c r="G679" s="470"/>
      <c r="H679" s="469"/>
      <c r="I679" s="470"/>
      <c r="J679" s="470"/>
      <c r="K679" s="344"/>
      <c r="L679" s="469"/>
      <c r="M679" s="469"/>
      <c r="N679" s="469"/>
      <c r="O679" s="469"/>
      <c r="P679" s="469"/>
      <c r="Q679" s="470"/>
      <c r="R679" s="469"/>
      <c r="S679" s="469"/>
      <c r="T679" s="470"/>
      <c r="U679" s="470"/>
      <c r="V679" s="470"/>
      <c r="W679" s="469"/>
      <c r="X679" s="469"/>
      <c r="Y679" s="469"/>
      <c r="Z679" s="470"/>
      <c r="AA679" s="469"/>
      <c r="AB679" s="469"/>
      <c r="AC679" s="469"/>
      <c r="AD679" s="469"/>
      <c r="AE679" s="472"/>
      <c r="AF679" s="472"/>
      <c r="AG679" s="486"/>
      <c r="AH679" s="486"/>
    </row>
    <row r="680" ht="15.75" customHeight="1">
      <c r="A680" s="344"/>
      <c r="B680" s="470"/>
      <c r="C680" s="469"/>
      <c r="D680" s="485"/>
      <c r="E680" s="469"/>
      <c r="F680" s="469"/>
      <c r="G680" s="470"/>
      <c r="H680" s="469"/>
      <c r="I680" s="470"/>
      <c r="J680" s="470"/>
      <c r="K680" s="344"/>
      <c r="L680" s="469"/>
      <c r="M680" s="469"/>
      <c r="N680" s="469"/>
      <c r="O680" s="469"/>
      <c r="P680" s="469"/>
      <c r="Q680" s="470"/>
      <c r="R680" s="469"/>
      <c r="S680" s="469"/>
      <c r="T680" s="470"/>
      <c r="U680" s="470"/>
      <c r="V680" s="470"/>
      <c r="W680" s="469"/>
      <c r="X680" s="469"/>
      <c r="Y680" s="469"/>
      <c r="Z680" s="470"/>
      <c r="AA680" s="469"/>
      <c r="AB680" s="469"/>
      <c r="AC680" s="469"/>
      <c r="AD680" s="469"/>
      <c r="AE680" s="472"/>
      <c r="AF680" s="472"/>
      <c r="AG680" s="486"/>
      <c r="AH680" s="486"/>
    </row>
    <row r="681" ht="15.75" customHeight="1">
      <c r="A681" s="344"/>
      <c r="B681" s="470"/>
      <c r="C681" s="469"/>
      <c r="D681" s="485"/>
      <c r="E681" s="469"/>
      <c r="F681" s="469"/>
      <c r="G681" s="470"/>
      <c r="H681" s="469"/>
      <c r="I681" s="470"/>
      <c r="J681" s="470"/>
      <c r="K681" s="344"/>
      <c r="L681" s="469"/>
      <c r="M681" s="469"/>
      <c r="N681" s="469"/>
      <c r="O681" s="469"/>
      <c r="P681" s="469"/>
      <c r="Q681" s="470"/>
      <c r="R681" s="469"/>
      <c r="S681" s="469"/>
      <c r="T681" s="470"/>
      <c r="U681" s="470"/>
      <c r="V681" s="470"/>
      <c r="W681" s="469"/>
      <c r="X681" s="469"/>
      <c r="Y681" s="469"/>
      <c r="Z681" s="470"/>
      <c r="AA681" s="469"/>
      <c r="AB681" s="469"/>
      <c r="AC681" s="469"/>
      <c r="AD681" s="469"/>
      <c r="AE681" s="472"/>
      <c r="AF681" s="472"/>
      <c r="AG681" s="486"/>
      <c r="AH681" s="486"/>
    </row>
    <row r="682" ht="15.75" customHeight="1">
      <c r="A682" s="344"/>
      <c r="B682" s="470"/>
      <c r="C682" s="469"/>
      <c r="D682" s="485"/>
      <c r="E682" s="469"/>
      <c r="F682" s="469"/>
      <c r="G682" s="470"/>
      <c r="H682" s="469"/>
      <c r="I682" s="470"/>
      <c r="J682" s="470"/>
      <c r="K682" s="344"/>
      <c r="L682" s="469"/>
      <c r="M682" s="469"/>
      <c r="N682" s="469"/>
      <c r="O682" s="469"/>
      <c r="P682" s="469"/>
      <c r="Q682" s="470"/>
      <c r="R682" s="469"/>
      <c r="S682" s="469"/>
      <c r="T682" s="470"/>
      <c r="U682" s="470"/>
      <c r="V682" s="470"/>
      <c r="W682" s="469"/>
      <c r="X682" s="469"/>
      <c r="Y682" s="469"/>
      <c r="Z682" s="470"/>
      <c r="AA682" s="469"/>
      <c r="AB682" s="469"/>
      <c r="AC682" s="469"/>
      <c r="AD682" s="469"/>
      <c r="AE682" s="472"/>
      <c r="AF682" s="472"/>
      <c r="AG682" s="486"/>
      <c r="AH682" s="486"/>
    </row>
    <row r="683" ht="15.75" customHeight="1">
      <c r="A683" s="344"/>
      <c r="B683" s="470"/>
      <c r="C683" s="469"/>
      <c r="D683" s="485"/>
      <c r="E683" s="469"/>
      <c r="F683" s="469"/>
      <c r="G683" s="470"/>
      <c r="H683" s="469"/>
      <c r="I683" s="470"/>
      <c r="J683" s="470"/>
      <c r="K683" s="344"/>
      <c r="L683" s="469"/>
      <c r="M683" s="469"/>
      <c r="N683" s="469"/>
      <c r="O683" s="469"/>
      <c r="P683" s="469"/>
      <c r="Q683" s="470"/>
      <c r="R683" s="469"/>
      <c r="S683" s="469"/>
      <c r="T683" s="470"/>
      <c r="U683" s="470"/>
      <c r="V683" s="470"/>
      <c r="W683" s="469"/>
      <c r="X683" s="469"/>
      <c r="Y683" s="469"/>
      <c r="Z683" s="470"/>
      <c r="AA683" s="469"/>
      <c r="AB683" s="469"/>
      <c r="AC683" s="469"/>
      <c r="AD683" s="469"/>
      <c r="AE683" s="472"/>
      <c r="AF683" s="472"/>
      <c r="AG683" s="486"/>
      <c r="AH683" s="486"/>
    </row>
    <row r="684" ht="15.75" customHeight="1">
      <c r="A684" s="344"/>
      <c r="B684" s="470"/>
      <c r="C684" s="469"/>
      <c r="D684" s="485"/>
      <c r="E684" s="469"/>
      <c r="F684" s="469"/>
      <c r="G684" s="470"/>
      <c r="H684" s="469"/>
      <c r="I684" s="470"/>
      <c r="J684" s="470"/>
      <c r="K684" s="344"/>
      <c r="L684" s="469"/>
      <c r="M684" s="469"/>
      <c r="N684" s="469"/>
      <c r="O684" s="469"/>
      <c r="P684" s="469"/>
      <c r="Q684" s="470"/>
      <c r="R684" s="469"/>
      <c r="S684" s="469"/>
      <c r="T684" s="470"/>
      <c r="U684" s="470"/>
      <c r="V684" s="470"/>
      <c r="W684" s="469"/>
      <c r="X684" s="469"/>
      <c r="Y684" s="469"/>
      <c r="Z684" s="470"/>
      <c r="AA684" s="469"/>
      <c r="AB684" s="469"/>
      <c r="AC684" s="469"/>
      <c r="AD684" s="469"/>
      <c r="AE684" s="472"/>
      <c r="AF684" s="472"/>
      <c r="AG684" s="486"/>
      <c r="AH684" s="486"/>
    </row>
    <row r="685" ht="15.75" customHeight="1">
      <c r="A685" s="344"/>
      <c r="B685" s="470"/>
      <c r="C685" s="469"/>
      <c r="D685" s="485"/>
      <c r="E685" s="469"/>
      <c r="F685" s="469"/>
      <c r="G685" s="470"/>
      <c r="H685" s="469"/>
      <c r="I685" s="470"/>
      <c r="J685" s="470"/>
      <c r="K685" s="344"/>
      <c r="L685" s="469"/>
      <c r="M685" s="469"/>
      <c r="N685" s="469"/>
      <c r="O685" s="469"/>
      <c r="P685" s="469"/>
      <c r="Q685" s="470"/>
      <c r="R685" s="469"/>
      <c r="S685" s="469"/>
      <c r="T685" s="470"/>
      <c r="U685" s="470"/>
      <c r="V685" s="470"/>
      <c r="W685" s="469"/>
      <c r="X685" s="469"/>
      <c r="Y685" s="469"/>
      <c r="Z685" s="470"/>
      <c r="AA685" s="469"/>
      <c r="AB685" s="469"/>
      <c r="AC685" s="469"/>
      <c r="AD685" s="469"/>
      <c r="AE685" s="472"/>
      <c r="AF685" s="472"/>
      <c r="AG685" s="486"/>
      <c r="AH685" s="486"/>
    </row>
    <row r="686" ht="15.75" customHeight="1">
      <c r="A686" s="344"/>
      <c r="B686" s="470"/>
      <c r="C686" s="469"/>
      <c r="D686" s="485"/>
      <c r="E686" s="469"/>
      <c r="F686" s="469"/>
      <c r="G686" s="470"/>
      <c r="H686" s="469"/>
      <c r="I686" s="470"/>
      <c r="J686" s="470"/>
      <c r="K686" s="344"/>
      <c r="L686" s="469"/>
      <c r="M686" s="469"/>
      <c r="N686" s="469"/>
      <c r="O686" s="469"/>
      <c r="P686" s="469"/>
      <c r="Q686" s="470"/>
      <c r="R686" s="469"/>
      <c r="S686" s="469"/>
      <c r="T686" s="470"/>
      <c r="U686" s="470"/>
      <c r="V686" s="470"/>
      <c r="W686" s="469"/>
      <c r="X686" s="469"/>
      <c r="Y686" s="469"/>
      <c r="Z686" s="470"/>
      <c r="AA686" s="469"/>
      <c r="AB686" s="469"/>
      <c r="AC686" s="469"/>
      <c r="AD686" s="469"/>
      <c r="AE686" s="472"/>
      <c r="AF686" s="472"/>
      <c r="AG686" s="486"/>
      <c r="AH686" s="486"/>
    </row>
    <row r="687" ht="15.75" customHeight="1">
      <c r="A687" s="344"/>
      <c r="B687" s="470"/>
      <c r="C687" s="469"/>
      <c r="D687" s="485"/>
      <c r="E687" s="469"/>
      <c r="F687" s="469"/>
      <c r="G687" s="470"/>
      <c r="H687" s="469"/>
      <c r="I687" s="470"/>
      <c r="J687" s="470"/>
      <c r="K687" s="344"/>
      <c r="L687" s="469"/>
      <c r="M687" s="469"/>
      <c r="N687" s="469"/>
      <c r="O687" s="469"/>
      <c r="P687" s="469"/>
      <c r="Q687" s="470"/>
      <c r="R687" s="469"/>
      <c r="S687" s="469"/>
      <c r="T687" s="470"/>
      <c r="U687" s="470"/>
      <c r="V687" s="470"/>
      <c r="W687" s="469"/>
      <c r="X687" s="469"/>
      <c r="Y687" s="469"/>
      <c r="Z687" s="470"/>
      <c r="AA687" s="469"/>
      <c r="AB687" s="469"/>
      <c r="AC687" s="469"/>
      <c r="AD687" s="469"/>
      <c r="AE687" s="472"/>
      <c r="AF687" s="472"/>
      <c r="AG687" s="486"/>
      <c r="AH687" s="486"/>
    </row>
    <row r="688" ht="15.75" customHeight="1">
      <c r="A688" s="344"/>
      <c r="B688" s="470"/>
      <c r="C688" s="469"/>
      <c r="D688" s="485"/>
      <c r="E688" s="469"/>
      <c r="F688" s="469"/>
      <c r="G688" s="470"/>
      <c r="H688" s="469"/>
      <c r="I688" s="470"/>
      <c r="J688" s="470"/>
      <c r="K688" s="344"/>
      <c r="L688" s="469"/>
      <c r="M688" s="469"/>
      <c r="N688" s="469"/>
      <c r="O688" s="469"/>
      <c r="P688" s="469"/>
      <c r="Q688" s="470"/>
      <c r="R688" s="469"/>
      <c r="S688" s="469"/>
      <c r="T688" s="470"/>
      <c r="U688" s="470"/>
      <c r="V688" s="470"/>
      <c r="W688" s="469"/>
      <c r="X688" s="469"/>
      <c r="Y688" s="469"/>
      <c r="Z688" s="470"/>
      <c r="AA688" s="469"/>
      <c r="AB688" s="469"/>
      <c r="AC688" s="469"/>
      <c r="AD688" s="469"/>
      <c r="AE688" s="472"/>
      <c r="AF688" s="472"/>
      <c r="AG688" s="486"/>
      <c r="AH688" s="486"/>
    </row>
    <row r="689" ht="15.75" customHeight="1">
      <c r="A689" s="344"/>
      <c r="B689" s="470"/>
      <c r="C689" s="469"/>
      <c r="D689" s="485"/>
      <c r="E689" s="469"/>
      <c r="F689" s="469"/>
      <c r="G689" s="470"/>
      <c r="H689" s="469"/>
      <c r="I689" s="470"/>
      <c r="J689" s="470"/>
      <c r="K689" s="344"/>
      <c r="L689" s="469"/>
      <c r="M689" s="469"/>
      <c r="N689" s="469"/>
      <c r="O689" s="469"/>
      <c r="P689" s="469"/>
      <c r="Q689" s="470"/>
      <c r="R689" s="469"/>
      <c r="S689" s="469"/>
      <c r="T689" s="470"/>
      <c r="U689" s="470"/>
      <c r="V689" s="470"/>
      <c r="W689" s="469"/>
      <c r="X689" s="469"/>
      <c r="Y689" s="469"/>
      <c r="Z689" s="470"/>
      <c r="AA689" s="469"/>
      <c r="AB689" s="469"/>
      <c r="AC689" s="469"/>
      <c r="AD689" s="469"/>
      <c r="AE689" s="472"/>
      <c r="AF689" s="472"/>
      <c r="AG689" s="486"/>
      <c r="AH689" s="486"/>
    </row>
    <row r="690" ht="15.75" customHeight="1">
      <c r="A690" s="344"/>
      <c r="B690" s="470"/>
      <c r="C690" s="469"/>
      <c r="D690" s="485"/>
      <c r="E690" s="469"/>
      <c r="F690" s="469"/>
      <c r="G690" s="470"/>
      <c r="H690" s="469"/>
      <c r="I690" s="470"/>
      <c r="J690" s="470"/>
      <c r="K690" s="344"/>
      <c r="L690" s="469"/>
      <c r="M690" s="469"/>
      <c r="N690" s="469"/>
      <c r="O690" s="469"/>
      <c r="P690" s="469"/>
      <c r="Q690" s="470"/>
      <c r="R690" s="469"/>
      <c r="S690" s="469"/>
      <c r="T690" s="470"/>
      <c r="U690" s="470"/>
      <c r="V690" s="470"/>
      <c r="W690" s="469"/>
      <c r="X690" s="469"/>
      <c r="Y690" s="469"/>
      <c r="Z690" s="470"/>
      <c r="AA690" s="469"/>
      <c r="AB690" s="469"/>
      <c r="AC690" s="469"/>
      <c r="AD690" s="469"/>
      <c r="AE690" s="472"/>
      <c r="AF690" s="472"/>
      <c r="AG690" s="486"/>
      <c r="AH690" s="486"/>
    </row>
    <row r="691" ht="15.75" customHeight="1">
      <c r="A691" s="344"/>
      <c r="B691" s="470"/>
      <c r="C691" s="469"/>
      <c r="D691" s="485"/>
      <c r="E691" s="469"/>
      <c r="F691" s="469"/>
      <c r="G691" s="470"/>
      <c r="H691" s="469"/>
      <c r="I691" s="470"/>
      <c r="J691" s="470"/>
      <c r="K691" s="344"/>
      <c r="L691" s="469"/>
      <c r="M691" s="469"/>
      <c r="N691" s="469"/>
      <c r="O691" s="469"/>
      <c r="P691" s="469"/>
      <c r="Q691" s="470"/>
      <c r="R691" s="469"/>
      <c r="S691" s="469"/>
      <c r="T691" s="470"/>
      <c r="U691" s="470"/>
      <c r="V691" s="470"/>
      <c r="W691" s="469"/>
      <c r="X691" s="469"/>
      <c r="Y691" s="469"/>
      <c r="Z691" s="470"/>
      <c r="AA691" s="469"/>
      <c r="AB691" s="469"/>
      <c r="AC691" s="469"/>
      <c r="AD691" s="469"/>
      <c r="AE691" s="472"/>
      <c r="AF691" s="472"/>
      <c r="AG691" s="486"/>
      <c r="AH691" s="486"/>
    </row>
    <row r="692" ht="15.75" customHeight="1">
      <c r="A692" s="344"/>
      <c r="B692" s="470"/>
      <c r="C692" s="469"/>
      <c r="D692" s="485"/>
      <c r="E692" s="469"/>
      <c r="F692" s="469"/>
      <c r="G692" s="470"/>
      <c r="H692" s="469"/>
      <c r="I692" s="470"/>
      <c r="J692" s="470"/>
      <c r="K692" s="344"/>
      <c r="L692" s="469"/>
      <c r="M692" s="469"/>
      <c r="N692" s="469"/>
      <c r="O692" s="469"/>
      <c r="P692" s="469"/>
      <c r="Q692" s="470"/>
      <c r="R692" s="469"/>
      <c r="S692" s="469"/>
      <c r="T692" s="470"/>
      <c r="U692" s="470"/>
      <c r="V692" s="470"/>
      <c r="W692" s="469"/>
      <c r="X692" s="469"/>
      <c r="Y692" s="469"/>
      <c r="Z692" s="470"/>
      <c r="AA692" s="469"/>
      <c r="AB692" s="469"/>
      <c r="AC692" s="469"/>
      <c r="AD692" s="469"/>
      <c r="AE692" s="472"/>
      <c r="AF692" s="472"/>
      <c r="AG692" s="486"/>
      <c r="AH692" s="486"/>
    </row>
    <row r="693" ht="15.75" customHeight="1">
      <c r="A693" s="344"/>
      <c r="B693" s="470"/>
      <c r="C693" s="469"/>
      <c r="D693" s="485"/>
      <c r="E693" s="469"/>
      <c r="F693" s="469"/>
      <c r="G693" s="470"/>
      <c r="H693" s="469"/>
      <c r="I693" s="470"/>
      <c r="J693" s="470"/>
      <c r="K693" s="344"/>
      <c r="L693" s="469"/>
      <c r="M693" s="469"/>
      <c r="N693" s="469"/>
      <c r="O693" s="469"/>
      <c r="P693" s="469"/>
      <c r="Q693" s="470"/>
      <c r="R693" s="469"/>
      <c r="S693" s="469"/>
      <c r="T693" s="470"/>
      <c r="U693" s="470"/>
      <c r="V693" s="470"/>
      <c r="W693" s="469"/>
      <c r="X693" s="469"/>
      <c r="Y693" s="469"/>
      <c r="Z693" s="470"/>
      <c r="AA693" s="469"/>
      <c r="AB693" s="469"/>
      <c r="AC693" s="469"/>
      <c r="AD693" s="469"/>
      <c r="AE693" s="472"/>
      <c r="AF693" s="472"/>
      <c r="AG693" s="486"/>
      <c r="AH693" s="486"/>
    </row>
    <row r="694" ht="15.75" customHeight="1">
      <c r="A694" s="344"/>
      <c r="B694" s="470"/>
      <c r="C694" s="469"/>
      <c r="D694" s="485"/>
      <c r="E694" s="469"/>
      <c r="F694" s="469"/>
      <c r="G694" s="470"/>
      <c r="H694" s="469"/>
      <c r="I694" s="470"/>
      <c r="J694" s="470"/>
      <c r="K694" s="344"/>
      <c r="L694" s="469"/>
      <c r="M694" s="469"/>
      <c r="N694" s="469"/>
      <c r="O694" s="469"/>
      <c r="P694" s="469"/>
      <c r="Q694" s="470"/>
      <c r="R694" s="469"/>
      <c r="S694" s="469"/>
      <c r="T694" s="470"/>
      <c r="U694" s="470"/>
      <c r="V694" s="470"/>
      <c r="W694" s="469"/>
      <c r="X694" s="469"/>
      <c r="Y694" s="469"/>
      <c r="Z694" s="470"/>
      <c r="AA694" s="469"/>
      <c r="AB694" s="469"/>
      <c r="AC694" s="469"/>
      <c r="AD694" s="469"/>
      <c r="AE694" s="472"/>
      <c r="AF694" s="472"/>
      <c r="AG694" s="486"/>
      <c r="AH694" s="486"/>
    </row>
    <row r="695" ht="15.75" customHeight="1">
      <c r="A695" s="344"/>
      <c r="B695" s="470"/>
      <c r="C695" s="469"/>
      <c r="D695" s="485"/>
      <c r="E695" s="469"/>
      <c r="F695" s="469"/>
      <c r="G695" s="470"/>
      <c r="H695" s="469"/>
      <c r="I695" s="470"/>
      <c r="J695" s="470"/>
      <c r="K695" s="344"/>
      <c r="L695" s="469"/>
      <c r="M695" s="469"/>
      <c r="N695" s="469"/>
      <c r="O695" s="469"/>
      <c r="P695" s="469"/>
      <c r="Q695" s="470"/>
      <c r="R695" s="469"/>
      <c r="S695" s="469"/>
      <c r="T695" s="470"/>
      <c r="U695" s="470"/>
      <c r="V695" s="470"/>
      <c r="W695" s="469"/>
      <c r="X695" s="469"/>
      <c r="Y695" s="469"/>
      <c r="Z695" s="470"/>
      <c r="AA695" s="469"/>
      <c r="AB695" s="469"/>
      <c r="AC695" s="469"/>
      <c r="AD695" s="469"/>
      <c r="AE695" s="472"/>
      <c r="AF695" s="472"/>
      <c r="AG695" s="486"/>
      <c r="AH695" s="486"/>
    </row>
    <row r="696" ht="15.75" customHeight="1">
      <c r="A696" s="344"/>
      <c r="B696" s="470"/>
      <c r="C696" s="469"/>
      <c r="D696" s="485"/>
      <c r="E696" s="469"/>
      <c r="F696" s="469"/>
      <c r="G696" s="470"/>
      <c r="H696" s="469"/>
      <c r="I696" s="470"/>
      <c r="J696" s="470"/>
      <c r="K696" s="344"/>
      <c r="L696" s="469"/>
      <c r="M696" s="469"/>
      <c r="N696" s="469"/>
      <c r="O696" s="469"/>
      <c r="P696" s="469"/>
      <c r="Q696" s="470"/>
      <c r="R696" s="469"/>
      <c r="S696" s="469"/>
      <c r="T696" s="470"/>
      <c r="U696" s="470"/>
      <c r="V696" s="470"/>
      <c r="W696" s="469"/>
      <c r="X696" s="469"/>
      <c r="Y696" s="469"/>
      <c r="Z696" s="470"/>
      <c r="AA696" s="469"/>
      <c r="AB696" s="469"/>
      <c r="AC696" s="469"/>
      <c r="AD696" s="469"/>
      <c r="AE696" s="472"/>
      <c r="AF696" s="472"/>
      <c r="AG696" s="486"/>
      <c r="AH696" s="486"/>
    </row>
    <row r="697" ht="15.75" customHeight="1">
      <c r="A697" s="344"/>
      <c r="B697" s="470"/>
      <c r="C697" s="469"/>
      <c r="D697" s="485"/>
      <c r="E697" s="469"/>
      <c r="F697" s="469"/>
      <c r="G697" s="470"/>
      <c r="H697" s="469"/>
      <c r="I697" s="470"/>
      <c r="J697" s="470"/>
      <c r="K697" s="344"/>
      <c r="L697" s="469"/>
      <c r="M697" s="469"/>
      <c r="N697" s="469"/>
      <c r="O697" s="469"/>
      <c r="P697" s="469"/>
      <c r="Q697" s="470"/>
      <c r="R697" s="469"/>
      <c r="S697" s="469"/>
      <c r="T697" s="470"/>
      <c r="U697" s="470"/>
      <c r="V697" s="470"/>
      <c r="W697" s="469"/>
      <c r="X697" s="469"/>
      <c r="Y697" s="469"/>
      <c r="Z697" s="470"/>
      <c r="AA697" s="469"/>
      <c r="AB697" s="469"/>
      <c r="AC697" s="469"/>
      <c r="AD697" s="469"/>
      <c r="AE697" s="472"/>
      <c r="AF697" s="472"/>
      <c r="AG697" s="486"/>
      <c r="AH697" s="486"/>
    </row>
    <row r="698" ht="15.75" customHeight="1">
      <c r="A698" s="344"/>
      <c r="B698" s="470"/>
      <c r="C698" s="469"/>
      <c r="D698" s="485"/>
      <c r="E698" s="469"/>
      <c r="F698" s="469"/>
      <c r="G698" s="470"/>
      <c r="H698" s="469"/>
      <c r="I698" s="470"/>
      <c r="J698" s="470"/>
      <c r="K698" s="344"/>
      <c r="L698" s="469"/>
      <c r="M698" s="469"/>
      <c r="N698" s="469"/>
      <c r="O698" s="469"/>
      <c r="P698" s="469"/>
      <c r="Q698" s="470"/>
      <c r="R698" s="469"/>
      <c r="S698" s="469"/>
      <c r="T698" s="470"/>
      <c r="U698" s="470"/>
      <c r="V698" s="470"/>
      <c r="W698" s="469"/>
      <c r="X698" s="469"/>
      <c r="Y698" s="469"/>
      <c r="Z698" s="470"/>
      <c r="AA698" s="469"/>
      <c r="AB698" s="469"/>
      <c r="AC698" s="469"/>
      <c r="AD698" s="469"/>
      <c r="AE698" s="472"/>
      <c r="AF698" s="472"/>
      <c r="AG698" s="486"/>
      <c r="AH698" s="486"/>
    </row>
    <row r="699" ht="15.75" customHeight="1">
      <c r="A699" s="344"/>
      <c r="B699" s="470"/>
      <c r="C699" s="469"/>
      <c r="D699" s="485"/>
      <c r="E699" s="469"/>
      <c r="F699" s="469"/>
      <c r="G699" s="470"/>
      <c r="H699" s="469"/>
      <c r="I699" s="470"/>
      <c r="J699" s="470"/>
      <c r="K699" s="344"/>
      <c r="L699" s="469"/>
      <c r="M699" s="469"/>
      <c r="N699" s="469"/>
      <c r="O699" s="469"/>
      <c r="P699" s="469"/>
      <c r="Q699" s="470"/>
      <c r="R699" s="469"/>
      <c r="S699" s="469"/>
      <c r="T699" s="470"/>
      <c r="U699" s="470"/>
      <c r="V699" s="470"/>
      <c r="W699" s="469"/>
      <c r="X699" s="469"/>
      <c r="Y699" s="469"/>
      <c r="Z699" s="470"/>
      <c r="AA699" s="469"/>
      <c r="AB699" s="469"/>
      <c r="AC699" s="469"/>
      <c r="AD699" s="469"/>
      <c r="AE699" s="472"/>
      <c r="AF699" s="472"/>
      <c r="AG699" s="486"/>
      <c r="AH699" s="486"/>
    </row>
    <row r="700" ht="15.75" customHeight="1">
      <c r="A700" s="344"/>
      <c r="B700" s="470"/>
      <c r="C700" s="469"/>
      <c r="D700" s="485"/>
      <c r="E700" s="469"/>
      <c r="F700" s="469"/>
      <c r="G700" s="470"/>
      <c r="H700" s="469"/>
      <c r="I700" s="470"/>
      <c r="J700" s="470"/>
      <c r="K700" s="344"/>
      <c r="L700" s="469"/>
      <c r="M700" s="469"/>
      <c r="N700" s="469"/>
      <c r="O700" s="469"/>
      <c r="P700" s="469"/>
      <c r="Q700" s="470"/>
      <c r="R700" s="469"/>
      <c r="S700" s="469"/>
      <c r="T700" s="470"/>
      <c r="U700" s="470"/>
      <c r="V700" s="470"/>
      <c r="W700" s="469"/>
      <c r="X700" s="469"/>
      <c r="Y700" s="469"/>
      <c r="Z700" s="470"/>
      <c r="AA700" s="469"/>
      <c r="AB700" s="469"/>
      <c r="AC700" s="469"/>
      <c r="AD700" s="469"/>
      <c r="AE700" s="472"/>
      <c r="AF700" s="472"/>
      <c r="AG700" s="486"/>
      <c r="AH700" s="486"/>
    </row>
    <row r="701" ht="15.75" customHeight="1">
      <c r="A701" s="344"/>
      <c r="B701" s="470"/>
      <c r="C701" s="469"/>
      <c r="D701" s="485"/>
      <c r="E701" s="469"/>
      <c r="F701" s="469"/>
      <c r="G701" s="470"/>
      <c r="H701" s="469"/>
      <c r="I701" s="470"/>
      <c r="J701" s="470"/>
      <c r="K701" s="344"/>
      <c r="L701" s="469"/>
      <c r="M701" s="469"/>
      <c r="N701" s="469"/>
      <c r="O701" s="469"/>
      <c r="P701" s="469"/>
      <c r="Q701" s="470"/>
      <c r="R701" s="469"/>
      <c r="S701" s="469"/>
      <c r="T701" s="470"/>
      <c r="U701" s="470"/>
      <c r="V701" s="470"/>
      <c r="W701" s="469"/>
      <c r="X701" s="469"/>
      <c r="Y701" s="469"/>
      <c r="Z701" s="470"/>
      <c r="AA701" s="469"/>
      <c r="AB701" s="469"/>
      <c r="AC701" s="469"/>
      <c r="AD701" s="469"/>
      <c r="AE701" s="472"/>
      <c r="AF701" s="472"/>
      <c r="AG701" s="486"/>
      <c r="AH701" s="486"/>
    </row>
    <row r="702" ht="15.75" customHeight="1">
      <c r="A702" s="344"/>
      <c r="B702" s="470"/>
      <c r="C702" s="469"/>
      <c r="D702" s="485"/>
      <c r="E702" s="469"/>
      <c r="F702" s="469"/>
      <c r="G702" s="470"/>
      <c r="H702" s="469"/>
      <c r="I702" s="470"/>
      <c r="J702" s="470"/>
      <c r="K702" s="344"/>
      <c r="L702" s="469"/>
      <c r="M702" s="469"/>
      <c r="N702" s="469"/>
      <c r="O702" s="469"/>
      <c r="P702" s="469"/>
      <c r="Q702" s="470"/>
      <c r="R702" s="469"/>
      <c r="S702" s="469"/>
      <c r="T702" s="470"/>
      <c r="U702" s="470"/>
      <c r="V702" s="470"/>
      <c r="W702" s="469"/>
      <c r="X702" s="469"/>
      <c r="Y702" s="469"/>
      <c r="Z702" s="470"/>
      <c r="AA702" s="469"/>
      <c r="AB702" s="469"/>
      <c r="AC702" s="469"/>
      <c r="AD702" s="469"/>
      <c r="AE702" s="472"/>
      <c r="AF702" s="472"/>
      <c r="AG702" s="486"/>
      <c r="AH702" s="486"/>
    </row>
    <row r="703" ht="15.75" customHeight="1">
      <c r="A703" s="344"/>
      <c r="B703" s="470"/>
      <c r="C703" s="469"/>
      <c r="D703" s="485"/>
      <c r="E703" s="469"/>
      <c r="F703" s="469"/>
      <c r="G703" s="470"/>
      <c r="H703" s="469"/>
      <c r="I703" s="470"/>
      <c r="J703" s="470"/>
      <c r="K703" s="344"/>
      <c r="L703" s="469"/>
      <c r="M703" s="469"/>
      <c r="N703" s="469"/>
      <c r="O703" s="469"/>
      <c r="P703" s="469"/>
      <c r="Q703" s="470"/>
      <c r="R703" s="469"/>
      <c r="S703" s="469"/>
      <c r="T703" s="470"/>
      <c r="U703" s="470"/>
      <c r="V703" s="470"/>
      <c r="W703" s="469"/>
      <c r="X703" s="469"/>
      <c r="Y703" s="469"/>
      <c r="Z703" s="470"/>
      <c r="AA703" s="469"/>
      <c r="AB703" s="469"/>
      <c r="AC703" s="469"/>
      <c r="AD703" s="469"/>
      <c r="AE703" s="472"/>
      <c r="AF703" s="472"/>
      <c r="AG703" s="486"/>
      <c r="AH703" s="486"/>
    </row>
    <row r="704" ht="15.75" customHeight="1">
      <c r="A704" s="344"/>
      <c r="B704" s="470"/>
      <c r="C704" s="469"/>
      <c r="D704" s="485"/>
      <c r="E704" s="469"/>
      <c r="F704" s="469"/>
      <c r="G704" s="470"/>
      <c r="H704" s="469"/>
      <c r="I704" s="470"/>
      <c r="J704" s="470"/>
      <c r="K704" s="344"/>
      <c r="L704" s="469"/>
      <c r="M704" s="469"/>
      <c r="N704" s="469"/>
      <c r="O704" s="469"/>
      <c r="P704" s="469"/>
      <c r="Q704" s="470"/>
      <c r="R704" s="469"/>
      <c r="S704" s="469"/>
      <c r="T704" s="470"/>
      <c r="U704" s="470"/>
      <c r="V704" s="470"/>
      <c r="W704" s="469"/>
      <c r="X704" s="469"/>
      <c r="Y704" s="469"/>
      <c r="Z704" s="470"/>
      <c r="AA704" s="469"/>
      <c r="AB704" s="469"/>
      <c r="AC704" s="469"/>
      <c r="AD704" s="469"/>
      <c r="AE704" s="472"/>
      <c r="AF704" s="472"/>
      <c r="AG704" s="486"/>
      <c r="AH704" s="486"/>
    </row>
    <row r="705" ht="15.75" customHeight="1">
      <c r="A705" s="344"/>
      <c r="B705" s="470"/>
      <c r="C705" s="469"/>
      <c r="D705" s="485"/>
      <c r="E705" s="469"/>
      <c r="F705" s="469"/>
      <c r="G705" s="470"/>
      <c r="H705" s="469"/>
      <c r="I705" s="470"/>
      <c r="J705" s="470"/>
      <c r="K705" s="344"/>
      <c r="L705" s="469"/>
      <c r="M705" s="469"/>
      <c r="N705" s="469"/>
      <c r="O705" s="469"/>
      <c r="P705" s="469"/>
      <c r="Q705" s="470"/>
      <c r="R705" s="469"/>
      <c r="S705" s="469"/>
      <c r="T705" s="470"/>
      <c r="U705" s="470"/>
      <c r="V705" s="470"/>
      <c r="W705" s="469"/>
      <c r="X705" s="469"/>
      <c r="Y705" s="469"/>
      <c r="Z705" s="470"/>
      <c r="AA705" s="469"/>
      <c r="AB705" s="469"/>
      <c r="AC705" s="469"/>
      <c r="AD705" s="469"/>
      <c r="AE705" s="472"/>
      <c r="AF705" s="472"/>
      <c r="AG705" s="486"/>
      <c r="AH705" s="486"/>
    </row>
    <row r="706" ht="15.75" customHeight="1">
      <c r="A706" s="344"/>
      <c r="B706" s="470"/>
      <c r="C706" s="469"/>
      <c r="D706" s="485"/>
      <c r="E706" s="469"/>
      <c r="F706" s="469"/>
      <c r="G706" s="470"/>
      <c r="H706" s="469"/>
      <c r="I706" s="470"/>
      <c r="J706" s="470"/>
      <c r="K706" s="344"/>
      <c r="L706" s="469"/>
      <c r="M706" s="469"/>
      <c r="N706" s="469"/>
      <c r="O706" s="469"/>
      <c r="P706" s="469"/>
      <c r="Q706" s="470"/>
      <c r="R706" s="469"/>
      <c r="S706" s="469"/>
      <c r="T706" s="470"/>
      <c r="U706" s="470"/>
      <c r="V706" s="470"/>
      <c r="W706" s="469"/>
      <c r="X706" s="469"/>
      <c r="Y706" s="469"/>
      <c r="Z706" s="470"/>
      <c r="AA706" s="469"/>
      <c r="AB706" s="469"/>
      <c r="AC706" s="469"/>
      <c r="AD706" s="469"/>
      <c r="AE706" s="472"/>
      <c r="AF706" s="472"/>
      <c r="AG706" s="486"/>
      <c r="AH706" s="486"/>
    </row>
    <row r="707" ht="15.75" customHeight="1">
      <c r="A707" s="344"/>
      <c r="B707" s="470"/>
      <c r="C707" s="469"/>
      <c r="D707" s="485"/>
      <c r="E707" s="469"/>
      <c r="F707" s="469"/>
      <c r="G707" s="470"/>
      <c r="H707" s="469"/>
      <c r="I707" s="470"/>
      <c r="J707" s="470"/>
      <c r="K707" s="344"/>
      <c r="L707" s="469"/>
      <c r="M707" s="469"/>
      <c r="N707" s="469"/>
      <c r="O707" s="469"/>
      <c r="P707" s="469"/>
      <c r="Q707" s="470"/>
      <c r="R707" s="469"/>
      <c r="S707" s="469"/>
      <c r="T707" s="470"/>
      <c r="U707" s="470"/>
      <c r="V707" s="470"/>
      <c r="W707" s="469"/>
      <c r="X707" s="469"/>
      <c r="Y707" s="469"/>
      <c r="Z707" s="470"/>
      <c r="AA707" s="469"/>
      <c r="AB707" s="469"/>
      <c r="AC707" s="469"/>
      <c r="AD707" s="469"/>
      <c r="AE707" s="472"/>
      <c r="AF707" s="472"/>
      <c r="AG707" s="486"/>
      <c r="AH707" s="486"/>
    </row>
    <row r="708" ht="15.75" customHeight="1">
      <c r="A708" s="344"/>
      <c r="B708" s="470"/>
      <c r="C708" s="469"/>
      <c r="D708" s="485"/>
      <c r="E708" s="469"/>
      <c r="F708" s="469"/>
      <c r="G708" s="470"/>
      <c r="H708" s="469"/>
      <c r="I708" s="470"/>
      <c r="J708" s="470"/>
      <c r="K708" s="344"/>
      <c r="L708" s="469"/>
      <c r="M708" s="469"/>
      <c r="N708" s="469"/>
      <c r="O708" s="469"/>
      <c r="P708" s="469"/>
      <c r="Q708" s="470"/>
      <c r="R708" s="469"/>
      <c r="S708" s="469"/>
      <c r="T708" s="470"/>
      <c r="U708" s="470"/>
      <c r="V708" s="470"/>
      <c r="W708" s="469"/>
      <c r="X708" s="469"/>
      <c r="Y708" s="469"/>
      <c r="Z708" s="470"/>
      <c r="AA708" s="469"/>
      <c r="AB708" s="469"/>
      <c r="AC708" s="469"/>
      <c r="AD708" s="469"/>
      <c r="AE708" s="472"/>
      <c r="AF708" s="472"/>
      <c r="AG708" s="486"/>
      <c r="AH708" s="486"/>
    </row>
    <row r="709" ht="15.75" customHeight="1">
      <c r="A709" s="344"/>
      <c r="B709" s="470"/>
      <c r="C709" s="469"/>
      <c r="D709" s="485"/>
      <c r="E709" s="469"/>
      <c r="F709" s="469"/>
      <c r="G709" s="470"/>
      <c r="H709" s="469"/>
      <c r="I709" s="470"/>
      <c r="J709" s="470"/>
      <c r="K709" s="344"/>
      <c r="L709" s="469"/>
      <c r="M709" s="469"/>
      <c r="N709" s="469"/>
      <c r="O709" s="469"/>
      <c r="P709" s="469"/>
      <c r="Q709" s="470"/>
      <c r="R709" s="469"/>
      <c r="S709" s="469"/>
      <c r="T709" s="470"/>
      <c r="U709" s="470"/>
      <c r="V709" s="470"/>
      <c r="W709" s="469"/>
      <c r="X709" s="469"/>
      <c r="Y709" s="469"/>
      <c r="Z709" s="470"/>
      <c r="AA709" s="469"/>
      <c r="AB709" s="469"/>
      <c r="AC709" s="469"/>
      <c r="AD709" s="469"/>
      <c r="AE709" s="472"/>
      <c r="AF709" s="472"/>
      <c r="AG709" s="486"/>
      <c r="AH709" s="486"/>
    </row>
    <row r="710" ht="15.75" customHeight="1">
      <c r="A710" s="344"/>
      <c r="B710" s="470"/>
      <c r="C710" s="469"/>
      <c r="D710" s="485"/>
      <c r="E710" s="469"/>
      <c r="F710" s="469"/>
      <c r="G710" s="470"/>
      <c r="H710" s="469"/>
      <c r="I710" s="470"/>
      <c r="J710" s="470"/>
      <c r="K710" s="344"/>
      <c r="L710" s="469"/>
      <c r="M710" s="469"/>
      <c r="N710" s="469"/>
      <c r="O710" s="469"/>
      <c r="P710" s="469"/>
      <c r="Q710" s="470"/>
      <c r="R710" s="469"/>
      <c r="S710" s="469"/>
      <c r="T710" s="470"/>
      <c r="U710" s="470"/>
      <c r="V710" s="470"/>
      <c r="W710" s="469"/>
      <c r="X710" s="469"/>
      <c r="Y710" s="469"/>
      <c r="Z710" s="470"/>
      <c r="AA710" s="469"/>
      <c r="AB710" s="469"/>
      <c r="AC710" s="469"/>
      <c r="AD710" s="469"/>
      <c r="AE710" s="472"/>
      <c r="AF710" s="472"/>
      <c r="AG710" s="486"/>
      <c r="AH710" s="486"/>
    </row>
    <row r="711" ht="15.75" customHeight="1">
      <c r="A711" s="344"/>
      <c r="B711" s="470"/>
      <c r="C711" s="469"/>
      <c r="D711" s="485"/>
      <c r="E711" s="469"/>
      <c r="F711" s="469"/>
      <c r="G711" s="470"/>
      <c r="H711" s="469"/>
      <c r="I711" s="470"/>
      <c r="J711" s="470"/>
      <c r="K711" s="344"/>
      <c r="L711" s="469"/>
      <c r="M711" s="469"/>
      <c r="N711" s="469"/>
      <c r="O711" s="469"/>
      <c r="P711" s="469"/>
      <c r="Q711" s="470"/>
      <c r="R711" s="469"/>
      <c r="S711" s="469"/>
      <c r="T711" s="470"/>
      <c r="U711" s="470"/>
      <c r="V711" s="470"/>
      <c r="W711" s="469"/>
      <c r="X711" s="469"/>
      <c r="Y711" s="469"/>
      <c r="Z711" s="470"/>
      <c r="AA711" s="469"/>
      <c r="AB711" s="469"/>
      <c r="AC711" s="469"/>
      <c r="AD711" s="469"/>
      <c r="AE711" s="472"/>
      <c r="AF711" s="472"/>
      <c r="AG711" s="486"/>
      <c r="AH711" s="486"/>
    </row>
    <row r="712" ht="15.75" customHeight="1">
      <c r="A712" s="344"/>
      <c r="B712" s="470"/>
      <c r="C712" s="469"/>
      <c r="D712" s="485"/>
      <c r="E712" s="469"/>
      <c r="F712" s="469"/>
      <c r="G712" s="470"/>
      <c r="H712" s="469"/>
      <c r="I712" s="470"/>
      <c r="J712" s="470"/>
      <c r="K712" s="344"/>
      <c r="L712" s="469"/>
      <c r="M712" s="469"/>
      <c r="N712" s="469"/>
      <c r="O712" s="469"/>
      <c r="P712" s="469"/>
      <c r="Q712" s="470"/>
      <c r="R712" s="469"/>
      <c r="S712" s="469"/>
      <c r="T712" s="470"/>
      <c r="U712" s="470"/>
      <c r="V712" s="470"/>
      <c r="W712" s="469"/>
      <c r="X712" s="469"/>
      <c r="Y712" s="469"/>
      <c r="Z712" s="470"/>
      <c r="AA712" s="469"/>
      <c r="AB712" s="469"/>
      <c r="AC712" s="469"/>
      <c r="AD712" s="469"/>
      <c r="AE712" s="472"/>
      <c r="AF712" s="472"/>
      <c r="AG712" s="486"/>
      <c r="AH712" s="486"/>
    </row>
    <row r="713" ht="15.75" customHeight="1">
      <c r="A713" s="344"/>
      <c r="B713" s="470"/>
      <c r="C713" s="469"/>
      <c r="D713" s="485"/>
      <c r="E713" s="469"/>
      <c r="F713" s="469"/>
      <c r="G713" s="470"/>
      <c r="H713" s="469"/>
      <c r="I713" s="470"/>
      <c r="J713" s="470"/>
      <c r="K713" s="344"/>
      <c r="L713" s="469"/>
      <c r="M713" s="469"/>
      <c r="N713" s="469"/>
      <c r="O713" s="469"/>
      <c r="P713" s="469"/>
      <c r="Q713" s="470"/>
      <c r="R713" s="469"/>
      <c r="S713" s="469"/>
      <c r="T713" s="470"/>
      <c r="U713" s="470"/>
      <c r="V713" s="470"/>
      <c r="W713" s="469"/>
      <c r="X713" s="469"/>
      <c r="Y713" s="469"/>
      <c r="Z713" s="470"/>
      <c r="AA713" s="469"/>
      <c r="AB713" s="469"/>
      <c r="AC713" s="469"/>
      <c r="AD713" s="469"/>
      <c r="AE713" s="472"/>
      <c r="AF713" s="472"/>
      <c r="AG713" s="486"/>
      <c r="AH713" s="486"/>
    </row>
    <row r="714" ht="15.75" customHeight="1">
      <c r="A714" s="344"/>
      <c r="B714" s="470"/>
      <c r="C714" s="469"/>
      <c r="D714" s="485"/>
      <c r="E714" s="469"/>
      <c r="F714" s="469"/>
      <c r="G714" s="470"/>
      <c r="H714" s="469"/>
      <c r="I714" s="470"/>
      <c r="J714" s="470"/>
      <c r="K714" s="344"/>
      <c r="L714" s="469"/>
      <c r="M714" s="469"/>
      <c r="N714" s="469"/>
      <c r="O714" s="469"/>
      <c r="P714" s="469"/>
      <c r="Q714" s="470"/>
      <c r="R714" s="469"/>
      <c r="S714" s="469"/>
      <c r="T714" s="470"/>
      <c r="U714" s="470"/>
      <c r="V714" s="470"/>
      <c r="W714" s="469"/>
      <c r="X714" s="469"/>
      <c r="Y714" s="469"/>
      <c r="Z714" s="470"/>
      <c r="AA714" s="469"/>
      <c r="AB714" s="469"/>
      <c r="AC714" s="469"/>
      <c r="AD714" s="469"/>
      <c r="AE714" s="472"/>
      <c r="AF714" s="472"/>
      <c r="AG714" s="486"/>
      <c r="AH714" s="486"/>
    </row>
    <row r="715" ht="15.75" customHeight="1">
      <c r="A715" s="344"/>
      <c r="B715" s="470"/>
      <c r="C715" s="469"/>
      <c r="D715" s="485"/>
      <c r="E715" s="469"/>
      <c r="F715" s="469"/>
      <c r="G715" s="470"/>
      <c r="H715" s="469"/>
      <c r="I715" s="470"/>
      <c r="J715" s="470"/>
      <c r="K715" s="344"/>
      <c r="L715" s="469"/>
      <c r="M715" s="469"/>
      <c r="N715" s="469"/>
      <c r="O715" s="469"/>
      <c r="P715" s="469"/>
      <c r="Q715" s="470"/>
      <c r="R715" s="469"/>
      <c r="S715" s="469"/>
      <c r="T715" s="470"/>
      <c r="U715" s="470"/>
      <c r="V715" s="470"/>
      <c r="W715" s="469"/>
      <c r="X715" s="469"/>
      <c r="Y715" s="469"/>
      <c r="Z715" s="470"/>
      <c r="AA715" s="469"/>
      <c r="AB715" s="469"/>
      <c r="AC715" s="469"/>
      <c r="AD715" s="469"/>
      <c r="AE715" s="472"/>
      <c r="AF715" s="472"/>
      <c r="AG715" s="486"/>
      <c r="AH715" s="486"/>
    </row>
    <row r="716" ht="15.75" customHeight="1">
      <c r="A716" s="344"/>
      <c r="B716" s="470"/>
      <c r="C716" s="469"/>
      <c r="D716" s="485"/>
      <c r="E716" s="469"/>
      <c r="F716" s="469"/>
      <c r="G716" s="470"/>
      <c r="H716" s="469"/>
      <c r="I716" s="470"/>
      <c r="J716" s="470"/>
      <c r="K716" s="344"/>
      <c r="L716" s="469"/>
      <c r="M716" s="469"/>
      <c r="N716" s="469"/>
      <c r="O716" s="469"/>
      <c r="P716" s="469"/>
      <c r="Q716" s="470"/>
      <c r="R716" s="469"/>
      <c r="S716" s="469"/>
      <c r="T716" s="470"/>
      <c r="U716" s="470"/>
      <c r="V716" s="470"/>
      <c r="W716" s="469"/>
      <c r="X716" s="469"/>
      <c r="Y716" s="469"/>
      <c r="Z716" s="470"/>
      <c r="AA716" s="469"/>
      <c r="AB716" s="469"/>
      <c r="AC716" s="469"/>
      <c r="AD716" s="469"/>
      <c r="AE716" s="472"/>
      <c r="AF716" s="472"/>
      <c r="AG716" s="486"/>
      <c r="AH716" s="486"/>
    </row>
    <row r="717" ht="15.75" customHeight="1">
      <c r="A717" s="344"/>
      <c r="B717" s="470"/>
      <c r="C717" s="469"/>
      <c r="D717" s="485"/>
      <c r="E717" s="469"/>
      <c r="F717" s="469"/>
      <c r="G717" s="470"/>
      <c r="H717" s="469"/>
      <c r="I717" s="470"/>
      <c r="J717" s="470"/>
      <c r="K717" s="344"/>
      <c r="L717" s="469"/>
      <c r="M717" s="469"/>
      <c r="N717" s="469"/>
      <c r="O717" s="469"/>
      <c r="P717" s="469"/>
      <c r="Q717" s="470"/>
      <c r="R717" s="469"/>
      <c r="S717" s="469"/>
      <c r="T717" s="470"/>
      <c r="U717" s="470"/>
      <c r="V717" s="470"/>
      <c r="W717" s="469"/>
      <c r="X717" s="469"/>
      <c r="Y717" s="469"/>
      <c r="Z717" s="470"/>
      <c r="AA717" s="469"/>
      <c r="AB717" s="469"/>
      <c r="AC717" s="469"/>
      <c r="AD717" s="469"/>
      <c r="AE717" s="472"/>
      <c r="AF717" s="472"/>
      <c r="AG717" s="486"/>
      <c r="AH717" s="486"/>
    </row>
    <row r="718" ht="15.75" customHeight="1">
      <c r="A718" s="344"/>
      <c r="B718" s="470"/>
      <c r="C718" s="469"/>
      <c r="D718" s="485"/>
      <c r="E718" s="469"/>
      <c r="F718" s="469"/>
      <c r="G718" s="470"/>
      <c r="H718" s="469"/>
      <c r="I718" s="470"/>
      <c r="J718" s="470"/>
      <c r="K718" s="344"/>
      <c r="L718" s="469"/>
      <c r="M718" s="469"/>
      <c r="N718" s="469"/>
      <c r="O718" s="469"/>
      <c r="P718" s="469"/>
      <c r="Q718" s="470"/>
      <c r="R718" s="469"/>
      <c r="S718" s="469"/>
      <c r="T718" s="470"/>
      <c r="U718" s="470"/>
      <c r="V718" s="470"/>
      <c r="W718" s="469"/>
      <c r="X718" s="469"/>
      <c r="Y718" s="469"/>
      <c r="Z718" s="470"/>
      <c r="AA718" s="469"/>
      <c r="AB718" s="469"/>
      <c r="AC718" s="469"/>
      <c r="AD718" s="469"/>
      <c r="AE718" s="472"/>
      <c r="AF718" s="472"/>
      <c r="AG718" s="486"/>
      <c r="AH718" s="486"/>
    </row>
    <row r="719" ht="15.75" customHeight="1">
      <c r="A719" s="344"/>
      <c r="B719" s="470"/>
      <c r="C719" s="469"/>
      <c r="D719" s="485"/>
      <c r="E719" s="469"/>
      <c r="F719" s="469"/>
      <c r="G719" s="470"/>
      <c r="H719" s="469"/>
      <c r="I719" s="470"/>
      <c r="J719" s="470"/>
      <c r="K719" s="344"/>
      <c r="L719" s="469"/>
      <c r="M719" s="469"/>
      <c r="N719" s="469"/>
      <c r="O719" s="469"/>
      <c r="P719" s="469"/>
      <c r="Q719" s="470"/>
      <c r="R719" s="469"/>
      <c r="S719" s="469"/>
      <c r="T719" s="470"/>
      <c r="U719" s="470"/>
      <c r="V719" s="470"/>
      <c r="W719" s="469"/>
      <c r="X719" s="469"/>
      <c r="Y719" s="469"/>
      <c r="Z719" s="470"/>
      <c r="AA719" s="469"/>
      <c r="AB719" s="469"/>
      <c r="AC719" s="469"/>
      <c r="AD719" s="469"/>
      <c r="AE719" s="472"/>
      <c r="AF719" s="472"/>
      <c r="AG719" s="486"/>
      <c r="AH719" s="486"/>
    </row>
    <row r="720" ht="15.75" customHeight="1">
      <c r="A720" s="344"/>
      <c r="B720" s="470"/>
      <c r="C720" s="469"/>
      <c r="D720" s="485"/>
      <c r="E720" s="469"/>
      <c r="F720" s="469"/>
      <c r="G720" s="470"/>
      <c r="H720" s="469"/>
      <c r="I720" s="470"/>
      <c r="J720" s="470"/>
      <c r="K720" s="344"/>
      <c r="L720" s="469"/>
      <c r="M720" s="469"/>
      <c r="N720" s="469"/>
      <c r="O720" s="469"/>
      <c r="P720" s="469"/>
      <c r="Q720" s="470"/>
      <c r="R720" s="469"/>
      <c r="S720" s="469"/>
      <c r="T720" s="470"/>
      <c r="U720" s="470"/>
      <c r="V720" s="470"/>
      <c r="W720" s="469"/>
      <c r="X720" s="469"/>
      <c r="Y720" s="469"/>
      <c r="Z720" s="470"/>
      <c r="AA720" s="469"/>
      <c r="AB720" s="469"/>
      <c r="AC720" s="469"/>
      <c r="AD720" s="469"/>
      <c r="AE720" s="472"/>
      <c r="AF720" s="472"/>
      <c r="AG720" s="486"/>
      <c r="AH720" s="486"/>
    </row>
    <row r="721" ht="15.75" customHeight="1">
      <c r="A721" s="344"/>
      <c r="B721" s="470"/>
      <c r="C721" s="469"/>
      <c r="D721" s="485"/>
      <c r="E721" s="469"/>
      <c r="F721" s="469"/>
      <c r="G721" s="470"/>
      <c r="H721" s="469"/>
      <c r="I721" s="470"/>
      <c r="J721" s="470"/>
      <c r="K721" s="344"/>
      <c r="L721" s="469"/>
      <c r="M721" s="469"/>
      <c r="N721" s="469"/>
      <c r="O721" s="469"/>
      <c r="P721" s="469"/>
      <c r="Q721" s="470"/>
      <c r="R721" s="469"/>
      <c r="S721" s="469"/>
      <c r="T721" s="470"/>
      <c r="U721" s="470"/>
      <c r="V721" s="470"/>
      <c r="W721" s="469"/>
      <c r="X721" s="469"/>
      <c r="Y721" s="469"/>
      <c r="Z721" s="470"/>
      <c r="AA721" s="469"/>
      <c r="AB721" s="469"/>
      <c r="AC721" s="469"/>
      <c r="AD721" s="469"/>
      <c r="AE721" s="472"/>
      <c r="AF721" s="472"/>
      <c r="AG721" s="486"/>
      <c r="AH721" s="486"/>
    </row>
    <row r="722" ht="15.75" customHeight="1">
      <c r="A722" s="344"/>
      <c r="B722" s="470"/>
      <c r="C722" s="469"/>
      <c r="D722" s="485"/>
      <c r="E722" s="469"/>
      <c r="F722" s="469"/>
      <c r="G722" s="470"/>
      <c r="H722" s="469"/>
      <c r="I722" s="470"/>
      <c r="J722" s="470"/>
      <c r="K722" s="344"/>
      <c r="L722" s="469"/>
      <c r="M722" s="469"/>
      <c r="N722" s="469"/>
      <c r="O722" s="469"/>
      <c r="P722" s="469"/>
      <c r="Q722" s="470"/>
      <c r="R722" s="469"/>
      <c r="S722" s="469"/>
      <c r="T722" s="470"/>
      <c r="U722" s="470"/>
      <c r="V722" s="470"/>
      <c r="W722" s="469"/>
      <c r="X722" s="469"/>
      <c r="Y722" s="469"/>
      <c r="Z722" s="470"/>
      <c r="AA722" s="469"/>
      <c r="AB722" s="469"/>
      <c r="AC722" s="469"/>
      <c r="AD722" s="469"/>
      <c r="AE722" s="472"/>
      <c r="AF722" s="472"/>
      <c r="AG722" s="486"/>
      <c r="AH722" s="486"/>
    </row>
    <row r="723" ht="15.75" customHeight="1">
      <c r="A723" s="344"/>
      <c r="B723" s="470"/>
      <c r="C723" s="469"/>
      <c r="D723" s="485"/>
      <c r="E723" s="469"/>
      <c r="F723" s="469"/>
      <c r="G723" s="470"/>
      <c r="H723" s="469"/>
      <c r="I723" s="470"/>
      <c r="J723" s="470"/>
      <c r="K723" s="344"/>
      <c r="L723" s="469"/>
      <c r="M723" s="469"/>
      <c r="N723" s="469"/>
      <c r="O723" s="469"/>
      <c r="P723" s="469"/>
      <c r="Q723" s="470"/>
      <c r="R723" s="469"/>
      <c r="S723" s="469"/>
      <c r="T723" s="470"/>
      <c r="U723" s="470"/>
      <c r="V723" s="470"/>
      <c r="W723" s="469"/>
      <c r="X723" s="469"/>
      <c r="Y723" s="469"/>
      <c r="Z723" s="470"/>
      <c r="AA723" s="469"/>
      <c r="AB723" s="469"/>
      <c r="AC723" s="469"/>
      <c r="AD723" s="469"/>
      <c r="AE723" s="472"/>
      <c r="AF723" s="472"/>
      <c r="AG723" s="486"/>
      <c r="AH723" s="486"/>
    </row>
    <row r="724" ht="15.75" customHeight="1">
      <c r="A724" s="344"/>
      <c r="B724" s="470"/>
      <c r="C724" s="469"/>
      <c r="D724" s="485"/>
      <c r="E724" s="469"/>
      <c r="F724" s="469"/>
      <c r="G724" s="470"/>
      <c r="H724" s="469"/>
      <c r="I724" s="470"/>
      <c r="J724" s="470"/>
      <c r="K724" s="344"/>
      <c r="L724" s="469"/>
      <c r="M724" s="469"/>
      <c r="N724" s="469"/>
      <c r="O724" s="469"/>
      <c r="P724" s="469"/>
      <c r="Q724" s="470"/>
      <c r="R724" s="469"/>
      <c r="S724" s="469"/>
      <c r="T724" s="470"/>
      <c r="U724" s="470"/>
      <c r="V724" s="470"/>
      <c r="W724" s="469"/>
      <c r="X724" s="469"/>
      <c r="Y724" s="469"/>
      <c r="Z724" s="470"/>
      <c r="AA724" s="469"/>
      <c r="AB724" s="469"/>
      <c r="AC724" s="469"/>
      <c r="AD724" s="469"/>
      <c r="AE724" s="472"/>
      <c r="AF724" s="472"/>
      <c r="AG724" s="486"/>
      <c r="AH724" s="486"/>
    </row>
    <row r="725" ht="15.75" customHeight="1">
      <c r="A725" s="344"/>
      <c r="B725" s="470"/>
      <c r="C725" s="469"/>
      <c r="D725" s="485"/>
      <c r="E725" s="469"/>
      <c r="F725" s="469"/>
      <c r="G725" s="470"/>
      <c r="H725" s="469"/>
      <c r="I725" s="470"/>
      <c r="J725" s="470"/>
      <c r="K725" s="344"/>
      <c r="L725" s="469"/>
      <c r="M725" s="469"/>
      <c r="N725" s="469"/>
      <c r="O725" s="469"/>
      <c r="P725" s="469"/>
      <c r="Q725" s="470"/>
      <c r="R725" s="469"/>
      <c r="S725" s="469"/>
      <c r="T725" s="470"/>
      <c r="U725" s="470"/>
      <c r="V725" s="470"/>
      <c r="W725" s="469"/>
      <c r="X725" s="469"/>
      <c r="Y725" s="469"/>
      <c r="Z725" s="470"/>
      <c r="AA725" s="469"/>
      <c r="AB725" s="469"/>
      <c r="AC725" s="469"/>
      <c r="AD725" s="469"/>
      <c r="AE725" s="472"/>
      <c r="AF725" s="472"/>
      <c r="AG725" s="486"/>
      <c r="AH725" s="486"/>
    </row>
    <row r="726" ht="15.75" customHeight="1">
      <c r="A726" s="344"/>
      <c r="B726" s="470"/>
      <c r="C726" s="469"/>
      <c r="D726" s="485"/>
      <c r="E726" s="469"/>
      <c r="F726" s="469"/>
      <c r="G726" s="470"/>
      <c r="H726" s="469"/>
      <c r="I726" s="470"/>
      <c r="J726" s="470"/>
      <c r="K726" s="344"/>
      <c r="L726" s="469"/>
      <c r="M726" s="469"/>
      <c r="N726" s="469"/>
      <c r="O726" s="469"/>
      <c r="P726" s="469"/>
      <c r="Q726" s="470"/>
      <c r="R726" s="469"/>
      <c r="S726" s="469"/>
      <c r="T726" s="470"/>
      <c r="U726" s="470"/>
      <c r="V726" s="470"/>
      <c r="W726" s="469"/>
      <c r="X726" s="469"/>
      <c r="Y726" s="469"/>
      <c r="Z726" s="470"/>
      <c r="AA726" s="469"/>
      <c r="AB726" s="469"/>
      <c r="AC726" s="469"/>
      <c r="AD726" s="469"/>
      <c r="AE726" s="472"/>
      <c r="AF726" s="472"/>
      <c r="AG726" s="486"/>
      <c r="AH726" s="486"/>
    </row>
    <row r="727" ht="15.75" customHeight="1">
      <c r="A727" s="344"/>
      <c r="B727" s="470"/>
      <c r="C727" s="469"/>
      <c r="D727" s="485"/>
      <c r="E727" s="469"/>
      <c r="F727" s="469"/>
      <c r="G727" s="470"/>
      <c r="H727" s="469"/>
      <c r="I727" s="470"/>
      <c r="J727" s="470"/>
      <c r="K727" s="344"/>
      <c r="L727" s="469"/>
      <c r="M727" s="469"/>
      <c r="N727" s="469"/>
      <c r="O727" s="469"/>
      <c r="P727" s="469"/>
      <c r="Q727" s="470"/>
      <c r="R727" s="469"/>
      <c r="S727" s="469"/>
      <c r="T727" s="470"/>
      <c r="U727" s="470"/>
      <c r="V727" s="470"/>
      <c r="W727" s="469"/>
      <c r="X727" s="469"/>
      <c r="Y727" s="469"/>
      <c r="Z727" s="470"/>
      <c r="AA727" s="469"/>
      <c r="AB727" s="469"/>
      <c r="AC727" s="469"/>
      <c r="AD727" s="469"/>
      <c r="AE727" s="472"/>
      <c r="AF727" s="472"/>
      <c r="AG727" s="486"/>
      <c r="AH727" s="486"/>
    </row>
    <row r="728" ht="15.75" customHeight="1">
      <c r="A728" s="344"/>
      <c r="B728" s="470"/>
      <c r="C728" s="469"/>
      <c r="D728" s="485"/>
      <c r="E728" s="469"/>
      <c r="F728" s="469"/>
      <c r="G728" s="470"/>
      <c r="H728" s="469"/>
      <c r="I728" s="470"/>
      <c r="J728" s="470"/>
      <c r="K728" s="344"/>
      <c r="L728" s="469"/>
      <c r="M728" s="469"/>
      <c r="N728" s="469"/>
      <c r="O728" s="469"/>
      <c r="P728" s="469"/>
      <c r="Q728" s="470"/>
      <c r="R728" s="469"/>
      <c r="S728" s="469"/>
      <c r="T728" s="470"/>
      <c r="U728" s="470"/>
      <c r="V728" s="470"/>
      <c r="W728" s="469"/>
      <c r="X728" s="469"/>
      <c r="Y728" s="469"/>
      <c r="Z728" s="470"/>
      <c r="AA728" s="469"/>
      <c r="AB728" s="469"/>
      <c r="AC728" s="469"/>
      <c r="AD728" s="469"/>
      <c r="AE728" s="472"/>
      <c r="AF728" s="472"/>
      <c r="AG728" s="486"/>
      <c r="AH728" s="486"/>
    </row>
    <row r="729" ht="15.75" customHeight="1">
      <c r="A729" s="344"/>
      <c r="B729" s="470"/>
      <c r="C729" s="469"/>
      <c r="D729" s="485"/>
      <c r="E729" s="469"/>
      <c r="F729" s="469"/>
      <c r="G729" s="470"/>
      <c r="H729" s="469"/>
      <c r="I729" s="470"/>
      <c r="J729" s="470"/>
      <c r="K729" s="344"/>
      <c r="L729" s="469"/>
      <c r="M729" s="469"/>
      <c r="N729" s="469"/>
      <c r="O729" s="469"/>
      <c r="P729" s="469"/>
      <c r="Q729" s="470"/>
      <c r="R729" s="469"/>
      <c r="S729" s="469"/>
      <c r="T729" s="470"/>
      <c r="U729" s="470"/>
      <c r="V729" s="470"/>
      <c r="W729" s="469"/>
      <c r="X729" s="469"/>
      <c r="Y729" s="469"/>
      <c r="Z729" s="470"/>
      <c r="AA729" s="469"/>
      <c r="AB729" s="469"/>
      <c r="AC729" s="469"/>
      <c r="AD729" s="469"/>
      <c r="AE729" s="472"/>
      <c r="AF729" s="472"/>
      <c r="AG729" s="486"/>
      <c r="AH729" s="486"/>
    </row>
    <row r="730" ht="15.75" customHeight="1">
      <c r="A730" s="344"/>
      <c r="B730" s="470"/>
      <c r="C730" s="469"/>
      <c r="D730" s="485"/>
      <c r="E730" s="469"/>
      <c r="F730" s="469"/>
      <c r="G730" s="470"/>
      <c r="H730" s="469"/>
      <c r="I730" s="470"/>
      <c r="J730" s="470"/>
      <c r="K730" s="344"/>
      <c r="L730" s="469"/>
      <c r="M730" s="469"/>
      <c r="N730" s="469"/>
      <c r="O730" s="469"/>
      <c r="P730" s="469"/>
      <c r="Q730" s="470"/>
      <c r="R730" s="469"/>
      <c r="S730" s="469"/>
      <c r="T730" s="470"/>
      <c r="U730" s="470"/>
      <c r="V730" s="470"/>
      <c r="W730" s="469"/>
      <c r="X730" s="469"/>
      <c r="Y730" s="469"/>
      <c r="Z730" s="470"/>
      <c r="AA730" s="469"/>
      <c r="AB730" s="469"/>
      <c r="AC730" s="469"/>
      <c r="AD730" s="469"/>
      <c r="AE730" s="472"/>
      <c r="AF730" s="472"/>
      <c r="AG730" s="486"/>
      <c r="AH730" s="486"/>
    </row>
    <row r="731" ht="15.75" customHeight="1">
      <c r="A731" s="344"/>
      <c r="B731" s="470"/>
      <c r="C731" s="469"/>
      <c r="D731" s="485"/>
      <c r="E731" s="469"/>
      <c r="F731" s="469"/>
      <c r="G731" s="470"/>
      <c r="H731" s="469"/>
      <c r="I731" s="470"/>
      <c r="J731" s="470"/>
      <c r="K731" s="344"/>
      <c r="L731" s="469"/>
      <c r="M731" s="469"/>
      <c r="N731" s="469"/>
      <c r="O731" s="469"/>
      <c r="P731" s="469"/>
      <c r="Q731" s="470"/>
      <c r="R731" s="469"/>
      <c r="S731" s="469"/>
      <c r="T731" s="470"/>
      <c r="U731" s="470"/>
      <c r="V731" s="470"/>
      <c r="W731" s="469"/>
      <c r="X731" s="469"/>
      <c r="Y731" s="469"/>
      <c r="Z731" s="470"/>
      <c r="AA731" s="469"/>
      <c r="AB731" s="469"/>
      <c r="AC731" s="469"/>
      <c r="AD731" s="469"/>
      <c r="AE731" s="472"/>
      <c r="AF731" s="472"/>
      <c r="AG731" s="486"/>
      <c r="AH731" s="486"/>
    </row>
    <row r="732" ht="15.75" customHeight="1">
      <c r="A732" s="344"/>
      <c r="B732" s="470"/>
      <c r="C732" s="469"/>
      <c r="D732" s="485"/>
      <c r="E732" s="469"/>
      <c r="F732" s="469"/>
      <c r="G732" s="470"/>
      <c r="H732" s="469"/>
      <c r="I732" s="470"/>
      <c r="J732" s="470"/>
      <c r="K732" s="344"/>
      <c r="L732" s="469"/>
      <c r="M732" s="469"/>
      <c r="N732" s="469"/>
      <c r="O732" s="469"/>
      <c r="P732" s="469"/>
      <c r="Q732" s="470"/>
      <c r="R732" s="469"/>
      <c r="S732" s="469"/>
      <c r="T732" s="470"/>
      <c r="U732" s="470"/>
      <c r="V732" s="470"/>
      <c r="W732" s="469"/>
      <c r="X732" s="469"/>
      <c r="Y732" s="469"/>
      <c r="Z732" s="470"/>
      <c r="AA732" s="469"/>
      <c r="AB732" s="469"/>
      <c r="AC732" s="469"/>
      <c r="AD732" s="469"/>
      <c r="AE732" s="472"/>
      <c r="AF732" s="472"/>
      <c r="AG732" s="486"/>
      <c r="AH732" s="486"/>
    </row>
    <row r="733" ht="15.75" customHeight="1">
      <c r="A733" s="344"/>
      <c r="B733" s="470"/>
      <c r="C733" s="469"/>
      <c r="D733" s="485"/>
      <c r="E733" s="469"/>
      <c r="F733" s="469"/>
      <c r="G733" s="470"/>
      <c r="H733" s="469"/>
      <c r="I733" s="470"/>
      <c r="J733" s="470"/>
      <c r="K733" s="344"/>
      <c r="L733" s="469"/>
      <c r="M733" s="469"/>
      <c r="N733" s="469"/>
      <c r="O733" s="469"/>
      <c r="P733" s="469"/>
      <c r="Q733" s="470"/>
      <c r="R733" s="469"/>
      <c r="S733" s="469"/>
      <c r="T733" s="470"/>
      <c r="U733" s="470"/>
      <c r="V733" s="470"/>
      <c r="W733" s="469"/>
      <c r="X733" s="469"/>
      <c r="Y733" s="469"/>
      <c r="Z733" s="470"/>
      <c r="AA733" s="469"/>
      <c r="AB733" s="469"/>
      <c r="AC733" s="469"/>
      <c r="AD733" s="469"/>
      <c r="AE733" s="472"/>
      <c r="AF733" s="472"/>
      <c r="AG733" s="486"/>
      <c r="AH733" s="486"/>
    </row>
    <row r="734" ht="15.75" customHeight="1">
      <c r="A734" s="344"/>
      <c r="B734" s="470"/>
      <c r="C734" s="469"/>
      <c r="D734" s="485"/>
      <c r="E734" s="469"/>
      <c r="F734" s="469"/>
      <c r="G734" s="470"/>
      <c r="H734" s="469"/>
      <c r="I734" s="470"/>
      <c r="J734" s="470"/>
      <c r="K734" s="344"/>
      <c r="L734" s="469"/>
      <c r="M734" s="469"/>
      <c r="N734" s="469"/>
      <c r="O734" s="469"/>
      <c r="P734" s="469"/>
      <c r="Q734" s="470"/>
      <c r="R734" s="469"/>
      <c r="S734" s="469"/>
      <c r="T734" s="470"/>
      <c r="U734" s="470"/>
      <c r="V734" s="470"/>
      <c r="W734" s="469"/>
      <c r="X734" s="469"/>
      <c r="Y734" s="469"/>
      <c r="Z734" s="470"/>
      <c r="AA734" s="469"/>
      <c r="AB734" s="469"/>
      <c r="AC734" s="469"/>
      <c r="AD734" s="469"/>
      <c r="AE734" s="472"/>
      <c r="AF734" s="472"/>
      <c r="AG734" s="486"/>
      <c r="AH734" s="486"/>
    </row>
    <row r="735" ht="15.75" customHeight="1">
      <c r="A735" s="344"/>
      <c r="B735" s="470"/>
      <c r="C735" s="469"/>
      <c r="D735" s="485"/>
      <c r="E735" s="469"/>
      <c r="F735" s="469"/>
      <c r="G735" s="470"/>
      <c r="H735" s="469"/>
      <c r="I735" s="470"/>
      <c r="J735" s="470"/>
      <c r="K735" s="344"/>
      <c r="L735" s="469"/>
      <c r="M735" s="469"/>
      <c r="N735" s="469"/>
      <c r="O735" s="469"/>
      <c r="P735" s="469"/>
      <c r="Q735" s="470"/>
      <c r="R735" s="469"/>
      <c r="S735" s="469"/>
      <c r="T735" s="470"/>
      <c r="U735" s="470"/>
      <c r="V735" s="470"/>
      <c r="W735" s="469"/>
      <c r="X735" s="469"/>
      <c r="Y735" s="469"/>
      <c r="Z735" s="470"/>
      <c r="AA735" s="469"/>
      <c r="AB735" s="469"/>
      <c r="AC735" s="469"/>
      <c r="AD735" s="469"/>
      <c r="AE735" s="472"/>
      <c r="AF735" s="472"/>
      <c r="AG735" s="486"/>
      <c r="AH735" s="486"/>
    </row>
    <row r="736" ht="15.75" customHeight="1">
      <c r="A736" s="344"/>
      <c r="B736" s="470"/>
      <c r="C736" s="469"/>
      <c r="D736" s="485"/>
      <c r="E736" s="469"/>
      <c r="F736" s="469"/>
      <c r="G736" s="470"/>
      <c r="H736" s="469"/>
      <c r="I736" s="470"/>
      <c r="J736" s="470"/>
      <c r="K736" s="344"/>
      <c r="L736" s="469"/>
      <c r="M736" s="469"/>
      <c r="N736" s="469"/>
      <c r="O736" s="469"/>
      <c r="P736" s="469"/>
      <c r="Q736" s="470"/>
      <c r="R736" s="469"/>
      <c r="S736" s="469"/>
      <c r="T736" s="470"/>
      <c r="U736" s="470"/>
      <c r="V736" s="470"/>
      <c r="W736" s="469"/>
      <c r="X736" s="469"/>
      <c r="Y736" s="469"/>
      <c r="Z736" s="470"/>
      <c r="AA736" s="469"/>
      <c r="AB736" s="469"/>
      <c r="AC736" s="469"/>
      <c r="AD736" s="469"/>
      <c r="AE736" s="472"/>
      <c r="AF736" s="472"/>
      <c r="AG736" s="486"/>
      <c r="AH736" s="486"/>
    </row>
    <row r="737" ht="15.75" customHeight="1">
      <c r="A737" s="344"/>
      <c r="B737" s="470"/>
      <c r="C737" s="469"/>
      <c r="D737" s="485"/>
      <c r="E737" s="469"/>
      <c r="F737" s="469"/>
      <c r="G737" s="470"/>
      <c r="H737" s="469"/>
      <c r="I737" s="470"/>
      <c r="J737" s="470"/>
      <c r="K737" s="344"/>
      <c r="L737" s="469"/>
      <c r="M737" s="469"/>
      <c r="N737" s="469"/>
      <c r="O737" s="469"/>
      <c r="P737" s="469"/>
      <c r="Q737" s="470"/>
      <c r="R737" s="469"/>
      <c r="S737" s="469"/>
      <c r="T737" s="470"/>
      <c r="U737" s="470"/>
      <c r="V737" s="470"/>
      <c r="W737" s="469"/>
      <c r="X737" s="469"/>
      <c r="Y737" s="469"/>
      <c r="Z737" s="470"/>
      <c r="AA737" s="469"/>
      <c r="AB737" s="469"/>
      <c r="AC737" s="469"/>
      <c r="AD737" s="469"/>
      <c r="AE737" s="472"/>
      <c r="AF737" s="472"/>
      <c r="AG737" s="486"/>
      <c r="AH737" s="486"/>
    </row>
    <row r="738" ht="15.75" customHeight="1">
      <c r="A738" s="344"/>
      <c r="B738" s="470"/>
      <c r="C738" s="469"/>
      <c r="D738" s="485"/>
      <c r="E738" s="469"/>
      <c r="F738" s="469"/>
      <c r="G738" s="470"/>
      <c r="H738" s="469"/>
      <c r="I738" s="470"/>
      <c r="J738" s="470"/>
      <c r="K738" s="344"/>
      <c r="L738" s="469"/>
      <c r="M738" s="469"/>
      <c r="N738" s="469"/>
      <c r="O738" s="469"/>
      <c r="P738" s="469"/>
      <c r="Q738" s="470"/>
      <c r="R738" s="469"/>
      <c r="S738" s="469"/>
      <c r="T738" s="470"/>
      <c r="U738" s="470"/>
      <c r="V738" s="470"/>
      <c r="W738" s="469"/>
      <c r="X738" s="469"/>
      <c r="Y738" s="469"/>
      <c r="Z738" s="470"/>
      <c r="AA738" s="469"/>
      <c r="AB738" s="469"/>
      <c r="AC738" s="469"/>
      <c r="AD738" s="469"/>
      <c r="AE738" s="472"/>
      <c r="AF738" s="472"/>
      <c r="AG738" s="486"/>
      <c r="AH738" s="486"/>
    </row>
    <row r="739" ht="15.75" customHeight="1">
      <c r="A739" s="344"/>
      <c r="B739" s="470"/>
      <c r="C739" s="469"/>
      <c r="D739" s="485"/>
      <c r="E739" s="469"/>
      <c r="F739" s="469"/>
      <c r="G739" s="470"/>
      <c r="H739" s="469"/>
      <c r="I739" s="470"/>
      <c r="J739" s="470"/>
      <c r="K739" s="344"/>
      <c r="L739" s="469"/>
      <c r="M739" s="469"/>
      <c r="N739" s="469"/>
      <c r="O739" s="469"/>
      <c r="P739" s="469"/>
      <c r="Q739" s="470"/>
      <c r="R739" s="469"/>
      <c r="S739" s="469"/>
      <c r="T739" s="470"/>
      <c r="U739" s="470"/>
      <c r="V739" s="470"/>
      <c r="W739" s="469"/>
      <c r="X739" s="469"/>
      <c r="Y739" s="469"/>
      <c r="Z739" s="470"/>
      <c r="AA739" s="469"/>
      <c r="AB739" s="469"/>
      <c r="AC739" s="469"/>
      <c r="AD739" s="469"/>
      <c r="AE739" s="472"/>
      <c r="AF739" s="472"/>
      <c r="AG739" s="486"/>
      <c r="AH739" s="486"/>
    </row>
    <row r="740" ht="15.75" customHeight="1">
      <c r="A740" s="344"/>
      <c r="B740" s="470"/>
      <c r="C740" s="469"/>
      <c r="D740" s="485"/>
      <c r="E740" s="469"/>
      <c r="F740" s="469"/>
      <c r="G740" s="470"/>
      <c r="H740" s="469"/>
      <c r="I740" s="470"/>
      <c r="J740" s="470"/>
      <c r="K740" s="344"/>
      <c r="L740" s="469"/>
      <c r="M740" s="469"/>
      <c r="N740" s="469"/>
      <c r="O740" s="469"/>
      <c r="P740" s="469"/>
      <c r="Q740" s="470"/>
      <c r="R740" s="469"/>
      <c r="S740" s="469"/>
      <c r="T740" s="470"/>
      <c r="U740" s="470"/>
      <c r="V740" s="470"/>
      <c r="W740" s="469"/>
      <c r="X740" s="469"/>
      <c r="Y740" s="469"/>
      <c r="Z740" s="470"/>
      <c r="AA740" s="469"/>
      <c r="AB740" s="469"/>
      <c r="AC740" s="469"/>
      <c r="AD740" s="469"/>
      <c r="AE740" s="472"/>
      <c r="AF740" s="472"/>
      <c r="AG740" s="486"/>
      <c r="AH740" s="486"/>
    </row>
    <row r="741" ht="15.75" customHeight="1">
      <c r="A741" s="344"/>
      <c r="B741" s="470"/>
      <c r="C741" s="469"/>
      <c r="D741" s="485"/>
      <c r="E741" s="469"/>
      <c r="F741" s="469"/>
      <c r="G741" s="470"/>
      <c r="H741" s="469"/>
      <c r="I741" s="470"/>
      <c r="J741" s="470"/>
      <c r="K741" s="344"/>
      <c r="L741" s="469"/>
      <c r="M741" s="469"/>
      <c r="N741" s="469"/>
      <c r="O741" s="469"/>
      <c r="P741" s="469"/>
      <c r="Q741" s="470"/>
      <c r="R741" s="469"/>
      <c r="S741" s="469"/>
      <c r="T741" s="470"/>
      <c r="U741" s="470"/>
      <c r="V741" s="470"/>
      <c r="W741" s="469"/>
      <c r="X741" s="469"/>
      <c r="Y741" s="469"/>
      <c r="Z741" s="470"/>
      <c r="AA741" s="469"/>
      <c r="AB741" s="469"/>
      <c r="AC741" s="469"/>
      <c r="AD741" s="469"/>
      <c r="AE741" s="472"/>
      <c r="AF741" s="472"/>
      <c r="AG741" s="486"/>
      <c r="AH741" s="486"/>
    </row>
    <row r="742" ht="15.75" customHeight="1">
      <c r="A742" s="344"/>
      <c r="B742" s="470"/>
      <c r="C742" s="469"/>
      <c r="D742" s="485"/>
      <c r="E742" s="469"/>
      <c r="F742" s="469"/>
      <c r="G742" s="470"/>
      <c r="H742" s="469"/>
      <c r="I742" s="470"/>
      <c r="J742" s="470"/>
      <c r="K742" s="344"/>
      <c r="L742" s="469"/>
      <c r="M742" s="469"/>
      <c r="N742" s="469"/>
      <c r="O742" s="469"/>
      <c r="P742" s="469"/>
      <c r="Q742" s="470"/>
      <c r="R742" s="469"/>
      <c r="S742" s="469"/>
      <c r="T742" s="470"/>
      <c r="U742" s="470"/>
      <c r="V742" s="470"/>
      <c r="W742" s="469"/>
      <c r="X742" s="469"/>
      <c r="Y742" s="469"/>
      <c r="Z742" s="470"/>
      <c r="AA742" s="469"/>
      <c r="AB742" s="469"/>
      <c r="AC742" s="469"/>
      <c r="AD742" s="469"/>
      <c r="AE742" s="472"/>
      <c r="AF742" s="472"/>
      <c r="AG742" s="486"/>
      <c r="AH742" s="486"/>
    </row>
    <row r="743" ht="15.75" customHeight="1">
      <c r="A743" s="344"/>
      <c r="B743" s="470"/>
      <c r="C743" s="469"/>
      <c r="D743" s="485"/>
      <c r="E743" s="469"/>
      <c r="F743" s="469"/>
      <c r="G743" s="470"/>
      <c r="H743" s="469"/>
      <c r="I743" s="470"/>
      <c r="J743" s="470"/>
      <c r="K743" s="344"/>
      <c r="L743" s="469"/>
      <c r="M743" s="469"/>
      <c r="N743" s="469"/>
      <c r="O743" s="469"/>
      <c r="P743" s="469"/>
      <c r="Q743" s="470"/>
      <c r="R743" s="469"/>
      <c r="S743" s="469"/>
      <c r="T743" s="470"/>
      <c r="U743" s="470"/>
      <c r="V743" s="470"/>
      <c r="W743" s="469"/>
      <c r="X743" s="469"/>
      <c r="Y743" s="469"/>
      <c r="Z743" s="470"/>
      <c r="AA743" s="469"/>
      <c r="AB743" s="469"/>
      <c r="AC743" s="469"/>
      <c r="AD743" s="469"/>
      <c r="AE743" s="472"/>
      <c r="AF743" s="472"/>
      <c r="AG743" s="486"/>
      <c r="AH743" s="486"/>
    </row>
    <row r="744" ht="15.75" customHeight="1">
      <c r="A744" s="344"/>
      <c r="B744" s="470"/>
      <c r="C744" s="469"/>
      <c r="D744" s="485"/>
      <c r="E744" s="469"/>
      <c r="F744" s="469"/>
      <c r="G744" s="470"/>
      <c r="H744" s="469"/>
      <c r="I744" s="470"/>
      <c r="J744" s="470"/>
      <c r="K744" s="344"/>
      <c r="L744" s="469"/>
      <c r="M744" s="469"/>
      <c r="N744" s="469"/>
      <c r="O744" s="469"/>
      <c r="P744" s="469"/>
      <c r="Q744" s="470"/>
      <c r="R744" s="469"/>
      <c r="S744" s="469"/>
      <c r="T744" s="470"/>
      <c r="U744" s="470"/>
      <c r="V744" s="470"/>
      <c r="W744" s="469"/>
      <c r="X744" s="469"/>
      <c r="Y744" s="469"/>
      <c r="Z744" s="470"/>
      <c r="AA744" s="469"/>
      <c r="AB744" s="469"/>
      <c r="AC744" s="469"/>
      <c r="AD744" s="469"/>
      <c r="AE744" s="472"/>
      <c r="AF744" s="472"/>
      <c r="AG744" s="486"/>
      <c r="AH744" s="486"/>
    </row>
    <row r="745" ht="15.75" customHeight="1">
      <c r="A745" s="344"/>
      <c r="B745" s="470"/>
      <c r="C745" s="469"/>
      <c r="D745" s="485"/>
      <c r="E745" s="469"/>
      <c r="F745" s="469"/>
      <c r="G745" s="470"/>
      <c r="H745" s="469"/>
      <c r="I745" s="470"/>
      <c r="J745" s="470"/>
      <c r="K745" s="344"/>
      <c r="L745" s="469"/>
      <c r="M745" s="469"/>
      <c r="N745" s="469"/>
      <c r="O745" s="469"/>
      <c r="P745" s="469"/>
      <c r="Q745" s="470"/>
      <c r="R745" s="469"/>
      <c r="S745" s="469"/>
      <c r="T745" s="470"/>
      <c r="U745" s="470"/>
      <c r="V745" s="470"/>
      <c r="W745" s="469"/>
      <c r="X745" s="469"/>
      <c r="Y745" s="469"/>
      <c r="Z745" s="470"/>
      <c r="AA745" s="469"/>
      <c r="AB745" s="469"/>
      <c r="AC745" s="469"/>
      <c r="AD745" s="469"/>
      <c r="AE745" s="472"/>
      <c r="AF745" s="472"/>
      <c r="AG745" s="486"/>
      <c r="AH745" s="486"/>
    </row>
    <row r="746" ht="15.75" customHeight="1">
      <c r="A746" s="344"/>
      <c r="B746" s="470"/>
      <c r="C746" s="469"/>
      <c r="D746" s="485"/>
      <c r="E746" s="469"/>
      <c r="F746" s="469"/>
      <c r="G746" s="470"/>
      <c r="H746" s="469"/>
      <c r="I746" s="470"/>
      <c r="J746" s="470"/>
      <c r="K746" s="344"/>
      <c r="L746" s="469"/>
      <c r="M746" s="469"/>
      <c r="N746" s="469"/>
      <c r="O746" s="469"/>
      <c r="P746" s="469"/>
      <c r="Q746" s="470"/>
      <c r="R746" s="469"/>
      <c r="S746" s="469"/>
      <c r="T746" s="470"/>
      <c r="U746" s="470"/>
      <c r="V746" s="470"/>
      <c r="W746" s="469"/>
      <c r="X746" s="469"/>
      <c r="Y746" s="469"/>
      <c r="Z746" s="470"/>
      <c r="AA746" s="469"/>
      <c r="AB746" s="469"/>
      <c r="AC746" s="469"/>
      <c r="AD746" s="469"/>
      <c r="AE746" s="472"/>
      <c r="AF746" s="472"/>
      <c r="AG746" s="486"/>
      <c r="AH746" s="486"/>
    </row>
    <row r="747" ht="15.75" customHeight="1">
      <c r="A747" s="344"/>
      <c r="B747" s="470"/>
      <c r="C747" s="469"/>
      <c r="D747" s="485"/>
      <c r="E747" s="469"/>
      <c r="F747" s="469"/>
      <c r="G747" s="470"/>
      <c r="H747" s="469"/>
      <c r="I747" s="470"/>
      <c r="J747" s="470"/>
      <c r="K747" s="344"/>
      <c r="L747" s="469"/>
      <c r="M747" s="469"/>
      <c r="N747" s="469"/>
      <c r="O747" s="469"/>
      <c r="P747" s="469"/>
      <c r="Q747" s="470"/>
      <c r="R747" s="469"/>
      <c r="S747" s="469"/>
      <c r="T747" s="470"/>
      <c r="U747" s="470"/>
      <c r="V747" s="470"/>
      <c r="W747" s="469"/>
      <c r="X747" s="469"/>
      <c r="Y747" s="469"/>
      <c r="Z747" s="470"/>
      <c r="AA747" s="469"/>
      <c r="AB747" s="469"/>
      <c r="AC747" s="469"/>
      <c r="AD747" s="469"/>
      <c r="AE747" s="472"/>
      <c r="AF747" s="472"/>
      <c r="AG747" s="486"/>
      <c r="AH747" s="486"/>
    </row>
    <row r="748" ht="15.75" customHeight="1">
      <c r="A748" s="344"/>
      <c r="B748" s="470"/>
      <c r="C748" s="469"/>
      <c r="D748" s="485"/>
      <c r="E748" s="469"/>
      <c r="F748" s="469"/>
      <c r="G748" s="470"/>
      <c r="H748" s="469"/>
      <c r="I748" s="470"/>
      <c r="J748" s="470"/>
      <c r="K748" s="344"/>
      <c r="L748" s="469"/>
      <c r="M748" s="469"/>
      <c r="N748" s="469"/>
      <c r="O748" s="469"/>
      <c r="P748" s="469"/>
      <c r="Q748" s="470"/>
      <c r="R748" s="469"/>
      <c r="S748" s="469"/>
      <c r="T748" s="470"/>
      <c r="U748" s="470"/>
      <c r="V748" s="470"/>
      <c r="W748" s="469"/>
      <c r="X748" s="469"/>
      <c r="Y748" s="469"/>
      <c r="Z748" s="470"/>
      <c r="AA748" s="469"/>
      <c r="AB748" s="469"/>
      <c r="AC748" s="469"/>
      <c r="AD748" s="469"/>
      <c r="AE748" s="472"/>
      <c r="AF748" s="472"/>
      <c r="AG748" s="486"/>
      <c r="AH748" s="486"/>
    </row>
    <row r="749" ht="15.75" customHeight="1">
      <c r="A749" s="344"/>
      <c r="B749" s="470"/>
      <c r="C749" s="469"/>
      <c r="D749" s="485"/>
      <c r="E749" s="469"/>
      <c r="F749" s="469"/>
      <c r="G749" s="470"/>
      <c r="H749" s="469"/>
      <c r="I749" s="470"/>
      <c r="J749" s="470"/>
      <c r="K749" s="344"/>
      <c r="L749" s="469"/>
      <c r="M749" s="469"/>
      <c r="N749" s="469"/>
      <c r="O749" s="469"/>
      <c r="P749" s="469"/>
      <c r="Q749" s="470"/>
      <c r="R749" s="469"/>
      <c r="S749" s="469"/>
      <c r="T749" s="470"/>
      <c r="U749" s="470"/>
      <c r="V749" s="470"/>
      <c r="W749" s="469"/>
      <c r="X749" s="469"/>
      <c r="Y749" s="469"/>
      <c r="Z749" s="470"/>
      <c r="AA749" s="469"/>
      <c r="AB749" s="469"/>
      <c r="AC749" s="469"/>
      <c r="AD749" s="469"/>
      <c r="AE749" s="472"/>
      <c r="AF749" s="472"/>
      <c r="AG749" s="486"/>
      <c r="AH749" s="486"/>
    </row>
    <row r="750" ht="15.75" customHeight="1">
      <c r="A750" s="344"/>
      <c r="B750" s="470"/>
      <c r="C750" s="469"/>
      <c r="D750" s="485"/>
      <c r="E750" s="469"/>
      <c r="F750" s="469"/>
      <c r="G750" s="470"/>
      <c r="H750" s="469"/>
      <c r="I750" s="470"/>
      <c r="J750" s="470"/>
      <c r="K750" s="344"/>
      <c r="L750" s="469"/>
      <c r="M750" s="469"/>
      <c r="N750" s="469"/>
      <c r="O750" s="469"/>
      <c r="P750" s="469"/>
      <c r="Q750" s="470"/>
      <c r="R750" s="469"/>
      <c r="S750" s="469"/>
      <c r="T750" s="470"/>
      <c r="U750" s="470"/>
      <c r="V750" s="470"/>
      <c r="W750" s="469"/>
      <c r="X750" s="469"/>
      <c r="Y750" s="469"/>
      <c r="Z750" s="470"/>
      <c r="AA750" s="469"/>
      <c r="AB750" s="469"/>
      <c r="AC750" s="469"/>
      <c r="AD750" s="469"/>
      <c r="AE750" s="472"/>
      <c r="AF750" s="472"/>
      <c r="AG750" s="486"/>
      <c r="AH750" s="486"/>
    </row>
    <row r="751" ht="15.75" customHeight="1">
      <c r="A751" s="344"/>
      <c r="B751" s="470"/>
      <c r="C751" s="469"/>
      <c r="D751" s="485"/>
      <c r="E751" s="469"/>
      <c r="F751" s="469"/>
      <c r="G751" s="470"/>
      <c r="H751" s="469"/>
      <c r="I751" s="470"/>
      <c r="J751" s="470"/>
      <c r="K751" s="344"/>
      <c r="L751" s="469"/>
      <c r="M751" s="469"/>
      <c r="N751" s="469"/>
      <c r="O751" s="469"/>
      <c r="P751" s="469"/>
      <c r="Q751" s="470"/>
      <c r="R751" s="469"/>
      <c r="S751" s="469"/>
      <c r="T751" s="470"/>
      <c r="U751" s="470"/>
      <c r="V751" s="470"/>
      <c r="W751" s="469"/>
      <c r="X751" s="469"/>
      <c r="Y751" s="469"/>
      <c r="Z751" s="470"/>
      <c r="AA751" s="469"/>
      <c r="AB751" s="469"/>
      <c r="AC751" s="469"/>
      <c r="AD751" s="469"/>
      <c r="AE751" s="472"/>
      <c r="AF751" s="472"/>
      <c r="AG751" s="486"/>
      <c r="AH751" s="486"/>
    </row>
    <row r="752" ht="15.75" customHeight="1">
      <c r="A752" s="344"/>
      <c r="B752" s="470"/>
      <c r="C752" s="469"/>
      <c r="D752" s="485"/>
      <c r="E752" s="469"/>
      <c r="F752" s="469"/>
      <c r="G752" s="470"/>
      <c r="H752" s="469"/>
      <c r="I752" s="470"/>
      <c r="J752" s="470"/>
      <c r="K752" s="344"/>
      <c r="L752" s="469"/>
      <c r="M752" s="469"/>
      <c r="N752" s="469"/>
      <c r="O752" s="469"/>
      <c r="P752" s="469"/>
      <c r="Q752" s="470"/>
      <c r="R752" s="469"/>
      <c r="S752" s="469"/>
      <c r="T752" s="470"/>
      <c r="U752" s="470"/>
      <c r="V752" s="470"/>
      <c r="W752" s="469"/>
      <c r="X752" s="469"/>
      <c r="Y752" s="469"/>
      <c r="Z752" s="470"/>
      <c r="AA752" s="469"/>
      <c r="AB752" s="469"/>
      <c r="AC752" s="469"/>
      <c r="AD752" s="469"/>
      <c r="AE752" s="472"/>
      <c r="AF752" s="472"/>
      <c r="AG752" s="486"/>
      <c r="AH752" s="486"/>
    </row>
    <row r="753" ht="15.75" customHeight="1">
      <c r="A753" s="344"/>
      <c r="B753" s="470"/>
      <c r="C753" s="469"/>
      <c r="D753" s="485"/>
      <c r="E753" s="469"/>
      <c r="F753" s="469"/>
      <c r="G753" s="470"/>
      <c r="H753" s="469"/>
      <c r="I753" s="470"/>
      <c r="J753" s="470"/>
      <c r="K753" s="344"/>
      <c r="L753" s="469"/>
      <c r="M753" s="469"/>
      <c r="N753" s="469"/>
      <c r="O753" s="469"/>
      <c r="P753" s="469"/>
      <c r="Q753" s="470"/>
      <c r="R753" s="469"/>
      <c r="S753" s="469"/>
      <c r="T753" s="470"/>
      <c r="U753" s="470"/>
      <c r="V753" s="470"/>
      <c r="W753" s="469"/>
      <c r="X753" s="469"/>
      <c r="Y753" s="469"/>
      <c r="Z753" s="470"/>
      <c r="AA753" s="469"/>
      <c r="AB753" s="469"/>
      <c r="AC753" s="469"/>
      <c r="AD753" s="469"/>
      <c r="AE753" s="472"/>
      <c r="AF753" s="472"/>
      <c r="AG753" s="486"/>
      <c r="AH753" s="486"/>
    </row>
    <row r="754" ht="15.75" customHeight="1">
      <c r="A754" s="344"/>
      <c r="B754" s="470"/>
      <c r="C754" s="469"/>
      <c r="D754" s="485"/>
      <c r="E754" s="469"/>
      <c r="F754" s="469"/>
      <c r="G754" s="470"/>
      <c r="H754" s="469"/>
      <c r="I754" s="470"/>
      <c r="J754" s="470"/>
      <c r="K754" s="344"/>
      <c r="L754" s="469"/>
      <c r="M754" s="469"/>
      <c r="N754" s="469"/>
      <c r="O754" s="469"/>
      <c r="P754" s="469"/>
      <c r="Q754" s="470"/>
      <c r="R754" s="469"/>
      <c r="S754" s="469"/>
      <c r="T754" s="470"/>
      <c r="U754" s="470"/>
      <c r="V754" s="470"/>
      <c r="W754" s="469"/>
      <c r="X754" s="469"/>
      <c r="Y754" s="469"/>
      <c r="Z754" s="470"/>
      <c r="AA754" s="469"/>
      <c r="AB754" s="469"/>
      <c r="AC754" s="469"/>
      <c r="AD754" s="469"/>
      <c r="AE754" s="472"/>
      <c r="AF754" s="472"/>
      <c r="AG754" s="486"/>
      <c r="AH754" s="486"/>
    </row>
    <row r="755" ht="15.75" customHeight="1">
      <c r="A755" s="344"/>
      <c r="B755" s="470"/>
      <c r="C755" s="469"/>
      <c r="D755" s="485"/>
      <c r="E755" s="469"/>
      <c r="F755" s="469"/>
      <c r="G755" s="470"/>
      <c r="H755" s="469"/>
      <c r="I755" s="470"/>
      <c r="J755" s="470"/>
      <c r="K755" s="344"/>
      <c r="L755" s="469"/>
      <c r="M755" s="469"/>
      <c r="N755" s="469"/>
      <c r="O755" s="469"/>
      <c r="P755" s="469"/>
      <c r="Q755" s="470"/>
      <c r="R755" s="469"/>
      <c r="S755" s="469"/>
      <c r="T755" s="470"/>
      <c r="U755" s="470"/>
      <c r="V755" s="470"/>
      <c r="W755" s="469"/>
      <c r="X755" s="469"/>
      <c r="Y755" s="469"/>
      <c r="Z755" s="470"/>
      <c r="AA755" s="469"/>
      <c r="AB755" s="469"/>
      <c r="AC755" s="469"/>
      <c r="AD755" s="469"/>
      <c r="AE755" s="472"/>
      <c r="AF755" s="472"/>
      <c r="AG755" s="486"/>
      <c r="AH755" s="486"/>
    </row>
    <row r="756" ht="15.75" customHeight="1">
      <c r="A756" s="344"/>
      <c r="B756" s="470"/>
      <c r="C756" s="469"/>
      <c r="D756" s="485"/>
      <c r="E756" s="469"/>
      <c r="F756" s="469"/>
      <c r="G756" s="470"/>
      <c r="H756" s="469"/>
      <c r="I756" s="470"/>
      <c r="J756" s="470"/>
      <c r="K756" s="344"/>
      <c r="L756" s="469"/>
      <c r="M756" s="469"/>
      <c r="N756" s="469"/>
      <c r="O756" s="469"/>
      <c r="P756" s="469"/>
      <c r="Q756" s="470"/>
      <c r="R756" s="469"/>
      <c r="S756" s="469"/>
      <c r="T756" s="470"/>
      <c r="U756" s="470"/>
      <c r="V756" s="470"/>
      <c r="W756" s="469"/>
      <c r="X756" s="469"/>
      <c r="Y756" s="469"/>
      <c r="Z756" s="470"/>
      <c r="AA756" s="469"/>
      <c r="AB756" s="469"/>
      <c r="AC756" s="469"/>
      <c r="AD756" s="469"/>
      <c r="AE756" s="472"/>
      <c r="AF756" s="472"/>
      <c r="AG756" s="486"/>
      <c r="AH756" s="486"/>
    </row>
    <row r="757" ht="15.75" customHeight="1">
      <c r="A757" s="344"/>
      <c r="B757" s="470"/>
      <c r="C757" s="469"/>
      <c r="D757" s="485"/>
      <c r="E757" s="469"/>
      <c r="F757" s="469"/>
      <c r="G757" s="470"/>
      <c r="H757" s="469"/>
      <c r="I757" s="470"/>
      <c r="J757" s="470"/>
      <c r="K757" s="344"/>
      <c r="L757" s="469"/>
      <c r="M757" s="469"/>
      <c r="N757" s="469"/>
      <c r="O757" s="469"/>
      <c r="P757" s="469"/>
      <c r="Q757" s="470"/>
      <c r="R757" s="469"/>
      <c r="S757" s="469"/>
      <c r="T757" s="470"/>
      <c r="U757" s="470"/>
      <c r="V757" s="470"/>
      <c r="W757" s="469"/>
      <c r="X757" s="469"/>
      <c r="Y757" s="469"/>
      <c r="Z757" s="470"/>
      <c r="AA757" s="469"/>
      <c r="AB757" s="469"/>
      <c r="AC757" s="469"/>
      <c r="AD757" s="469"/>
      <c r="AE757" s="472"/>
      <c r="AF757" s="472"/>
      <c r="AG757" s="486"/>
      <c r="AH757" s="486"/>
    </row>
    <row r="758" ht="15.75" customHeight="1">
      <c r="A758" s="344"/>
      <c r="B758" s="470"/>
      <c r="C758" s="469"/>
      <c r="D758" s="485"/>
      <c r="E758" s="469"/>
      <c r="F758" s="469"/>
      <c r="G758" s="470"/>
      <c r="H758" s="469"/>
      <c r="I758" s="470"/>
      <c r="J758" s="470"/>
      <c r="K758" s="344"/>
      <c r="L758" s="469"/>
      <c r="M758" s="469"/>
      <c r="N758" s="469"/>
      <c r="O758" s="469"/>
      <c r="P758" s="469"/>
      <c r="Q758" s="470"/>
      <c r="R758" s="469"/>
      <c r="S758" s="469"/>
      <c r="T758" s="470"/>
      <c r="U758" s="470"/>
      <c r="V758" s="470"/>
      <c r="W758" s="469"/>
      <c r="X758" s="469"/>
      <c r="Y758" s="469"/>
      <c r="Z758" s="470"/>
      <c r="AA758" s="469"/>
      <c r="AB758" s="469"/>
      <c r="AC758" s="469"/>
      <c r="AD758" s="469"/>
      <c r="AE758" s="472"/>
      <c r="AF758" s="472"/>
      <c r="AG758" s="486"/>
      <c r="AH758" s="486"/>
    </row>
    <row r="759" ht="15.75" customHeight="1">
      <c r="A759" s="344"/>
      <c r="B759" s="470"/>
      <c r="C759" s="469"/>
      <c r="D759" s="485"/>
      <c r="E759" s="469"/>
      <c r="F759" s="469"/>
      <c r="G759" s="470"/>
      <c r="H759" s="469"/>
      <c r="I759" s="470"/>
      <c r="J759" s="470"/>
      <c r="K759" s="344"/>
      <c r="L759" s="469"/>
      <c r="M759" s="469"/>
      <c r="N759" s="469"/>
      <c r="O759" s="469"/>
      <c r="P759" s="469"/>
      <c r="Q759" s="470"/>
      <c r="R759" s="469"/>
      <c r="S759" s="469"/>
      <c r="T759" s="470"/>
      <c r="U759" s="470"/>
      <c r="V759" s="470"/>
      <c r="W759" s="469"/>
      <c r="X759" s="469"/>
      <c r="Y759" s="469"/>
      <c r="Z759" s="470"/>
      <c r="AA759" s="469"/>
      <c r="AB759" s="469"/>
      <c r="AC759" s="469"/>
      <c r="AD759" s="469"/>
      <c r="AE759" s="472"/>
      <c r="AF759" s="472"/>
      <c r="AG759" s="486"/>
      <c r="AH759" s="486"/>
    </row>
    <row r="760" ht="15.75" customHeight="1">
      <c r="A760" s="344"/>
      <c r="B760" s="470"/>
      <c r="C760" s="469"/>
      <c r="D760" s="485"/>
      <c r="E760" s="469"/>
      <c r="F760" s="469"/>
      <c r="G760" s="470"/>
      <c r="H760" s="469"/>
      <c r="I760" s="470"/>
      <c r="J760" s="470"/>
      <c r="K760" s="344"/>
      <c r="L760" s="469"/>
      <c r="M760" s="469"/>
      <c r="N760" s="469"/>
      <c r="O760" s="469"/>
      <c r="P760" s="469"/>
      <c r="Q760" s="470"/>
      <c r="R760" s="469"/>
      <c r="S760" s="469"/>
      <c r="T760" s="470"/>
      <c r="U760" s="470"/>
      <c r="V760" s="470"/>
      <c r="W760" s="469"/>
      <c r="X760" s="469"/>
      <c r="Y760" s="469"/>
      <c r="Z760" s="470"/>
      <c r="AA760" s="469"/>
      <c r="AB760" s="469"/>
      <c r="AC760" s="469"/>
      <c r="AD760" s="469"/>
      <c r="AE760" s="472"/>
      <c r="AF760" s="472"/>
      <c r="AG760" s="486"/>
      <c r="AH760" s="486"/>
    </row>
    <row r="761" ht="15.75" customHeight="1">
      <c r="A761" s="344"/>
      <c r="B761" s="470"/>
      <c r="C761" s="469"/>
      <c r="D761" s="485"/>
      <c r="E761" s="469"/>
      <c r="F761" s="469"/>
      <c r="G761" s="470"/>
      <c r="H761" s="469"/>
      <c r="I761" s="470"/>
      <c r="J761" s="470"/>
      <c r="K761" s="344"/>
      <c r="L761" s="469"/>
      <c r="M761" s="469"/>
      <c r="N761" s="469"/>
      <c r="O761" s="469"/>
      <c r="P761" s="469"/>
      <c r="Q761" s="470"/>
      <c r="R761" s="469"/>
      <c r="S761" s="469"/>
      <c r="T761" s="470"/>
      <c r="U761" s="470"/>
      <c r="V761" s="470"/>
      <c r="W761" s="469"/>
      <c r="X761" s="469"/>
      <c r="Y761" s="469"/>
      <c r="Z761" s="470"/>
      <c r="AA761" s="469"/>
      <c r="AB761" s="469"/>
      <c r="AC761" s="469"/>
      <c r="AD761" s="469"/>
      <c r="AE761" s="472"/>
      <c r="AF761" s="472"/>
      <c r="AG761" s="486"/>
      <c r="AH761" s="486"/>
    </row>
    <row r="762" ht="15.75" customHeight="1">
      <c r="A762" s="344"/>
      <c r="B762" s="470"/>
      <c r="C762" s="469"/>
      <c r="D762" s="485"/>
      <c r="E762" s="469"/>
      <c r="F762" s="469"/>
      <c r="G762" s="470"/>
      <c r="H762" s="469"/>
      <c r="I762" s="470"/>
      <c r="J762" s="470"/>
      <c r="K762" s="344"/>
      <c r="L762" s="469"/>
      <c r="M762" s="469"/>
      <c r="N762" s="469"/>
      <c r="O762" s="469"/>
      <c r="P762" s="469"/>
      <c r="Q762" s="470"/>
      <c r="R762" s="469"/>
      <c r="S762" s="469"/>
      <c r="T762" s="470"/>
      <c r="U762" s="470"/>
      <c r="V762" s="470"/>
      <c r="W762" s="469"/>
      <c r="X762" s="469"/>
      <c r="Y762" s="469"/>
      <c r="Z762" s="470"/>
      <c r="AA762" s="469"/>
      <c r="AB762" s="469"/>
      <c r="AC762" s="469"/>
      <c r="AD762" s="469"/>
      <c r="AE762" s="472"/>
      <c r="AF762" s="472"/>
      <c r="AG762" s="486"/>
      <c r="AH762" s="486"/>
    </row>
    <row r="763" ht="15.75" customHeight="1">
      <c r="A763" s="344"/>
      <c r="B763" s="470"/>
      <c r="C763" s="469"/>
      <c r="D763" s="485"/>
      <c r="E763" s="469"/>
      <c r="F763" s="469"/>
      <c r="G763" s="470"/>
      <c r="H763" s="469"/>
      <c r="I763" s="470"/>
      <c r="J763" s="470"/>
      <c r="K763" s="344"/>
      <c r="L763" s="469"/>
      <c r="M763" s="469"/>
      <c r="N763" s="469"/>
      <c r="O763" s="469"/>
      <c r="P763" s="469"/>
      <c r="Q763" s="470"/>
      <c r="R763" s="469"/>
      <c r="S763" s="469"/>
      <c r="T763" s="470"/>
      <c r="U763" s="470"/>
      <c r="V763" s="470"/>
      <c r="W763" s="469"/>
      <c r="X763" s="469"/>
      <c r="Y763" s="469"/>
      <c r="Z763" s="470"/>
      <c r="AA763" s="469"/>
      <c r="AB763" s="469"/>
      <c r="AC763" s="469"/>
      <c r="AD763" s="469"/>
      <c r="AE763" s="472"/>
      <c r="AF763" s="472"/>
      <c r="AG763" s="486"/>
      <c r="AH763" s="486"/>
    </row>
    <row r="764" ht="15.75" customHeight="1">
      <c r="A764" s="344"/>
      <c r="B764" s="470"/>
      <c r="C764" s="469"/>
      <c r="D764" s="485"/>
      <c r="E764" s="469"/>
      <c r="F764" s="469"/>
      <c r="G764" s="470"/>
      <c r="H764" s="469"/>
      <c r="I764" s="470"/>
      <c r="J764" s="470"/>
      <c r="K764" s="344"/>
      <c r="L764" s="469"/>
      <c r="M764" s="469"/>
      <c r="N764" s="469"/>
      <c r="O764" s="469"/>
      <c r="P764" s="469"/>
      <c r="Q764" s="470"/>
      <c r="R764" s="469"/>
      <c r="S764" s="469"/>
      <c r="T764" s="470"/>
      <c r="U764" s="470"/>
      <c r="V764" s="470"/>
      <c r="W764" s="469"/>
      <c r="X764" s="469"/>
      <c r="Y764" s="469"/>
      <c r="Z764" s="470"/>
      <c r="AA764" s="469"/>
      <c r="AB764" s="469"/>
      <c r="AC764" s="469"/>
      <c r="AD764" s="469"/>
      <c r="AE764" s="472"/>
      <c r="AF764" s="472"/>
      <c r="AG764" s="486"/>
      <c r="AH764" s="486"/>
    </row>
    <row r="765" ht="15.75" customHeight="1">
      <c r="A765" s="344"/>
      <c r="B765" s="470"/>
      <c r="C765" s="469"/>
      <c r="D765" s="485"/>
      <c r="E765" s="469"/>
      <c r="F765" s="469"/>
      <c r="G765" s="470"/>
      <c r="H765" s="469"/>
      <c r="I765" s="470"/>
      <c r="J765" s="470"/>
      <c r="K765" s="344"/>
      <c r="L765" s="469"/>
      <c r="M765" s="469"/>
      <c r="N765" s="469"/>
      <c r="O765" s="469"/>
      <c r="P765" s="469"/>
      <c r="Q765" s="470"/>
      <c r="R765" s="469"/>
      <c r="S765" s="469"/>
      <c r="T765" s="470"/>
      <c r="U765" s="470"/>
      <c r="V765" s="470"/>
      <c r="W765" s="469"/>
      <c r="X765" s="469"/>
      <c r="Y765" s="469"/>
      <c r="Z765" s="470"/>
      <c r="AA765" s="469"/>
      <c r="AB765" s="469"/>
      <c r="AC765" s="469"/>
      <c r="AD765" s="469"/>
      <c r="AE765" s="472"/>
      <c r="AF765" s="472"/>
      <c r="AG765" s="486"/>
      <c r="AH765" s="486"/>
    </row>
    <row r="766" ht="15.75" customHeight="1">
      <c r="A766" s="344"/>
      <c r="B766" s="470"/>
      <c r="C766" s="469"/>
      <c r="D766" s="485"/>
      <c r="E766" s="469"/>
      <c r="F766" s="469"/>
      <c r="G766" s="470"/>
      <c r="H766" s="469"/>
      <c r="I766" s="470"/>
      <c r="J766" s="470"/>
      <c r="K766" s="344"/>
      <c r="L766" s="469"/>
      <c r="M766" s="469"/>
      <c r="N766" s="469"/>
      <c r="O766" s="469"/>
      <c r="P766" s="469"/>
      <c r="Q766" s="470"/>
      <c r="R766" s="469"/>
      <c r="S766" s="469"/>
      <c r="T766" s="470"/>
      <c r="U766" s="470"/>
      <c r="V766" s="470"/>
      <c r="W766" s="469"/>
      <c r="X766" s="469"/>
      <c r="Y766" s="469"/>
      <c r="Z766" s="470"/>
      <c r="AA766" s="469"/>
      <c r="AB766" s="469"/>
      <c r="AC766" s="469"/>
      <c r="AD766" s="469"/>
      <c r="AE766" s="472"/>
      <c r="AF766" s="472"/>
      <c r="AG766" s="486"/>
      <c r="AH766" s="486"/>
    </row>
    <row r="767" ht="15.75" customHeight="1">
      <c r="A767" s="344"/>
      <c r="B767" s="470"/>
      <c r="C767" s="469"/>
      <c r="D767" s="485"/>
      <c r="E767" s="469"/>
      <c r="F767" s="469"/>
      <c r="G767" s="470"/>
      <c r="H767" s="469"/>
      <c r="I767" s="470"/>
      <c r="J767" s="470"/>
      <c r="K767" s="344"/>
      <c r="L767" s="469"/>
      <c r="M767" s="469"/>
      <c r="N767" s="469"/>
      <c r="O767" s="469"/>
      <c r="P767" s="469"/>
      <c r="Q767" s="470"/>
      <c r="R767" s="469"/>
      <c r="S767" s="469"/>
      <c r="T767" s="470"/>
      <c r="U767" s="470"/>
      <c r="V767" s="470"/>
      <c r="W767" s="469"/>
      <c r="X767" s="469"/>
      <c r="Y767" s="469"/>
      <c r="Z767" s="470"/>
      <c r="AA767" s="469"/>
      <c r="AB767" s="469"/>
      <c r="AC767" s="469"/>
      <c r="AD767" s="469"/>
      <c r="AE767" s="472"/>
      <c r="AF767" s="472"/>
      <c r="AG767" s="486"/>
      <c r="AH767" s="486"/>
    </row>
    <row r="768" ht="15.75" customHeight="1">
      <c r="A768" s="344"/>
      <c r="B768" s="470"/>
      <c r="C768" s="469"/>
      <c r="D768" s="485"/>
      <c r="E768" s="469"/>
      <c r="F768" s="469"/>
      <c r="G768" s="470"/>
      <c r="H768" s="469"/>
      <c r="I768" s="470"/>
      <c r="J768" s="470"/>
      <c r="K768" s="344"/>
      <c r="L768" s="469"/>
      <c r="M768" s="469"/>
      <c r="N768" s="469"/>
      <c r="O768" s="469"/>
      <c r="P768" s="469"/>
      <c r="Q768" s="470"/>
      <c r="R768" s="469"/>
      <c r="S768" s="469"/>
      <c r="T768" s="470"/>
      <c r="U768" s="470"/>
      <c r="V768" s="470"/>
      <c r="W768" s="469"/>
      <c r="X768" s="469"/>
      <c r="Y768" s="469"/>
      <c r="Z768" s="470"/>
      <c r="AA768" s="469"/>
      <c r="AB768" s="469"/>
      <c r="AC768" s="469"/>
      <c r="AD768" s="469"/>
      <c r="AE768" s="472"/>
      <c r="AF768" s="472"/>
      <c r="AG768" s="486"/>
      <c r="AH768" s="486"/>
    </row>
    <row r="769" ht="15.75" customHeight="1">
      <c r="A769" s="344"/>
      <c r="B769" s="470"/>
      <c r="C769" s="469"/>
      <c r="D769" s="485"/>
      <c r="E769" s="469"/>
      <c r="F769" s="469"/>
      <c r="G769" s="470"/>
      <c r="H769" s="469"/>
      <c r="I769" s="470"/>
      <c r="J769" s="470"/>
      <c r="K769" s="344"/>
      <c r="L769" s="469"/>
      <c r="M769" s="469"/>
      <c r="N769" s="469"/>
      <c r="O769" s="469"/>
      <c r="P769" s="469"/>
      <c r="Q769" s="470"/>
      <c r="R769" s="469"/>
      <c r="S769" s="469"/>
      <c r="T769" s="470"/>
      <c r="U769" s="470"/>
      <c r="V769" s="470"/>
      <c r="W769" s="469"/>
      <c r="X769" s="469"/>
      <c r="Y769" s="469"/>
      <c r="Z769" s="470"/>
      <c r="AA769" s="469"/>
      <c r="AB769" s="469"/>
      <c r="AC769" s="469"/>
      <c r="AD769" s="469"/>
      <c r="AE769" s="472"/>
      <c r="AF769" s="472"/>
      <c r="AG769" s="486"/>
      <c r="AH769" s="486"/>
    </row>
    <row r="770" ht="15.75" customHeight="1">
      <c r="A770" s="344"/>
      <c r="B770" s="470"/>
      <c r="C770" s="469"/>
      <c r="D770" s="485"/>
      <c r="E770" s="469"/>
      <c r="F770" s="469"/>
      <c r="G770" s="470"/>
      <c r="H770" s="469"/>
      <c r="I770" s="470"/>
      <c r="J770" s="470"/>
      <c r="K770" s="344"/>
      <c r="L770" s="469"/>
      <c r="M770" s="469"/>
      <c r="N770" s="469"/>
      <c r="O770" s="469"/>
      <c r="P770" s="469"/>
      <c r="Q770" s="470"/>
      <c r="R770" s="469"/>
      <c r="S770" s="469"/>
      <c r="T770" s="470"/>
      <c r="U770" s="470"/>
      <c r="V770" s="470"/>
      <c r="W770" s="469"/>
      <c r="X770" s="469"/>
      <c r="Y770" s="469"/>
      <c r="Z770" s="470"/>
      <c r="AA770" s="469"/>
      <c r="AB770" s="469"/>
      <c r="AC770" s="469"/>
      <c r="AD770" s="469"/>
      <c r="AE770" s="472"/>
      <c r="AF770" s="472"/>
      <c r="AG770" s="486"/>
      <c r="AH770" s="486"/>
    </row>
    <row r="771" ht="15.75" customHeight="1">
      <c r="A771" s="344"/>
      <c r="B771" s="470"/>
      <c r="C771" s="469"/>
      <c r="D771" s="485"/>
      <c r="E771" s="469"/>
      <c r="F771" s="469"/>
      <c r="G771" s="470"/>
      <c r="H771" s="469"/>
      <c r="I771" s="470"/>
      <c r="J771" s="470"/>
      <c r="K771" s="344"/>
      <c r="L771" s="469"/>
      <c r="M771" s="469"/>
      <c r="N771" s="469"/>
      <c r="O771" s="469"/>
      <c r="P771" s="469"/>
      <c r="Q771" s="470"/>
      <c r="R771" s="469"/>
      <c r="S771" s="469"/>
      <c r="T771" s="470"/>
      <c r="U771" s="470"/>
      <c r="V771" s="470"/>
      <c r="W771" s="469"/>
      <c r="X771" s="469"/>
      <c r="Y771" s="469"/>
      <c r="Z771" s="470"/>
      <c r="AA771" s="469"/>
      <c r="AB771" s="469"/>
      <c r="AC771" s="469"/>
      <c r="AD771" s="469"/>
      <c r="AE771" s="472"/>
      <c r="AF771" s="472"/>
      <c r="AG771" s="486"/>
      <c r="AH771" s="486"/>
    </row>
    <row r="772" ht="15.75" customHeight="1">
      <c r="A772" s="344"/>
      <c r="B772" s="470"/>
      <c r="C772" s="469"/>
      <c r="D772" s="485"/>
      <c r="E772" s="469"/>
      <c r="F772" s="469"/>
      <c r="G772" s="470"/>
      <c r="H772" s="469"/>
      <c r="I772" s="470"/>
      <c r="J772" s="470"/>
      <c r="K772" s="344"/>
      <c r="L772" s="469"/>
      <c r="M772" s="469"/>
      <c r="N772" s="469"/>
      <c r="O772" s="469"/>
      <c r="P772" s="469"/>
      <c r="Q772" s="470"/>
      <c r="R772" s="469"/>
      <c r="S772" s="469"/>
      <c r="T772" s="470"/>
      <c r="U772" s="470"/>
      <c r="V772" s="470"/>
      <c r="W772" s="469"/>
      <c r="X772" s="469"/>
      <c r="Y772" s="469"/>
      <c r="Z772" s="470"/>
      <c r="AA772" s="469"/>
      <c r="AB772" s="469"/>
      <c r="AC772" s="469"/>
      <c r="AD772" s="469"/>
      <c r="AE772" s="472"/>
      <c r="AF772" s="472"/>
      <c r="AG772" s="486"/>
      <c r="AH772" s="486"/>
    </row>
    <row r="773" ht="15.75" customHeight="1">
      <c r="A773" s="344"/>
      <c r="B773" s="470"/>
      <c r="C773" s="469"/>
      <c r="D773" s="485"/>
      <c r="E773" s="469"/>
      <c r="F773" s="469"/>
      <c r="G773" s="470"/>
      <c r="H773" s="469"/>
      <c r="I773" s="470"/>
      <c r="J773" s="470"/>
      <c r="K773" s="344"/>
      <c r="L773" s="469"/>
      <c r="M773" s="469"/>
      <c r="N773" s="469"/>
      <c r="O773" s="469"/>
      <c r="P773" s="469"/>
      <c r="Q773" s="470"/>
      <c r="R773" s="469"/>
      <c r="S773" s="469"/>
      <c r="T773" s="470"/>
      <c r="U773" s="470"/>
      <c r="V773" s="470"/>
      <c r="W773" s="469"/>
      <c r="X773" s="469"/>
      <c r="Y773" s="469"/>
      <c r="Z773" s="470"/>
      <c r="AA773" s="469"/>
      <c r="AB773" s="469"/>
      <c r="AC773" s="469"/>
      <c r="AD773" s="469"/>
      <c r="AE773" s="472"/>
      <c r="AF773" s="472"/>
      <c r="AG773" s="486"/>
      <c r="AH773" s="486"/>
    </row>
    <row r="774" ht="15.75" customHeight="1">
      <c r="A774" s="344"/>
      <c r="B774" s="470"/>
      <c r="C774" s="469"/>
      <c r="D774" s="485"/>
      <c r="E774" s="469"/>
      <c r="F774" s="469"/>
      <c r="G774" s="470"/>
      <c r="H774" s="469"/>
      <c r="I774" s="470"/>
      <c r="J774" s="470"/>
      <c r="K774" s="344"/>
      <c r="L774" s="469"/>
      <c r="M774" s="469"/>
      <c r="N774" s="469"/>
      <c r="O774" s="469"/>
      <c r="P774" s="469"/>
      <c r="Q774" s="470"/>
      <c r="R774" s="469"/>
      <c r="S774" s="469"/>
      <c r="T774" s="470"/>
      <c r="U774" s="470"/>
      <c r="V774" s="470"/>
      <c r="W774" s="469"/>
      <c r="X774" s="469"/>
      <c r="Y774" s="469"/>
      <c r="Z774" s="470"/>
      <c r="AA774" s="469"/>
      <c r="AB774" s="469"/>
      <c r="AC774" s="469"/>
      <c r="AD774" s="469"/>
      <c r="AE774" s="472"/>
      <c r="AF774" s="472"/>
      <c r="AG774" s="486"/>
      <c r="AH774" s="486"/>
    </row>
    <row r="775" ht="15.75" customHeight="1">
      <c r="A775" s="344"/>
      <c r="B775" s="470"/>
      <c r="C775" s="469"/>
      <c r="D775" s="485"/>
      <c r="E775" s="469"/>
      <c r="F775" s="469"/>
      <c r="G775" s="470"/>
      <c r="H775" s="469"/>
      <c r="I775" s="470"/>
      <c r="J775" s="470"/>
      <c r="K775" s="344"/>
      <c r="L775" s="469"/>
      <c r="M775" s="469"/>
      <c r="N775" s="469"/>
      <c r="O775" s="469"/>
      <c r="P775" s="469"/>
      <c r="Q775" s="470"/>
      <c r="R775" s="469"/>
      <c r="S775" s="469"/>
      <c r="T775" s="470"/>
      <c r="U775" s="470"/>
      <c r="V775" s="470"/>
      <c r="W775" s="469"/>
      <c r="X775" s="469"/>
      <c r="Y775" s="469"/>
      <c r="Z775" s="470"/>
      <c r="AA775" s="469"/>
      <c r="AB775" s="469"/>
      <c r="AC775" s="469"/>
      <c r="AD775" s="469"/>
      <c r="AE775" s="472"/>
      <c r="AF775" s="472"/>
      <c r="AG775" s="486"/>
      <c r="AH775" s="486"/>
    </row>
    <row r="776" ht="15.75" customHeight="1">
      <c r="A776" s="344"/>
      <c r="B776" s="470"/>
      <c r="C776" s="469"/>
      <c r="D776" s="485"/>
      <c r="E776" s="469"/>
      <c r="F776" s="469"/>
      <c r="G776" s="470"/>
      <c r="H776" s="469"/>
      <c r="I776" s="470"/>
      <c r="J776" s="470"/>
      <c r="K776" s="344"/>
      <c r="L776" s="469"/>
      <c r="M776" s="469"/>
      <c r="N776" s="469"/>
      <c r="O776" s="469"/>
      <c r="P776" s="469"/>
      <c r="Q776" s="470"/>
      <c r="R776" s="469"/>
      <c r="S776" s="469"/>
      <c r="T776" s="470"/>
      <c r="U776" s="470"/>
      <c r="V776" s="470"/>
      <c r="W776" s="469"/>
      <c r="X776" s="469"/>
      <c r="Y776" s="469"/>
      <c r="Z776" s="470"/>
      <c r="AA776" s="469"/>
      <c r="AB776" s="469"/>
      <c r="AC776" s="469"/>
      <c r="AD776" s="469"/>
      <c r="AE776" s="472"/>
      <c r="AF776" s="472"/>
      <c r="AG776" s="486"/>
      <c r="AH776" s="486"/>
    </row>
    <row r="777" ht="15.75" customHeight="1">
      <c r="A777" s="344"/>
      <c r="B777" s="470"/>
      <c r="C777" s="469"/>
      <c r="D777" s="485"/>
      <c r="E777" s="469"/>
      <c r="F777" s="469"/>
      <c r="G777" s="470"/>
      <c r="H777" s="469"/>
      <c r="I777" s="470"/>
      <c r="J777" s="470"/>
      <c r="K777" s="344"/>
      <c r="L777" s="469"/>
      <c r="M777" s="469"/>
      <c r="N777" s="469"/>
      <c r="O777" s="469"/>
      <c r="P777" s="469"/>
      <c r="Q777" s="470"/>
      <c r="R777" s="469"/>
      <c r="S777" s="469"/>
      <c r="T777" s="470"/>
      <c r="U777" s="470"/>
      <c r="V777" s="470"/>
      <c r="W777" s="469"/>
      <c r="X777" s="469"/>
      <c r="Y777" s="469"/>
      <c r="Z777" s="470"/>
      <c r="AA777" s="469"/>
      <c r="AB777" s="469"/>
      <c r="AC777" s="469"/>
      <c r="AD777" s="469"/>
      <c r="AE777" s="472"/>
      <c r="AF777" s="472"/>
      <c r="AG777" s="486"/>
      <c r="AH777" s="486"/>
    </row>
    <row r="778" ht="15.75" customHeight="1">
      <c r="A778" s="344"/>
      <c r="B778" s="470"/>
      <c r="C778" s="469"/>
      <c r="D778" s="485"/>
      <c r="E778" s="469"/>
      <c r="F778" s="469"/>
      <c r="G778" s="470"/>
      <c r="H778" s="469"/>
      <c r="I778" s="470"/>
      <c r="J778" s="470"/>
      <c r="K778" s="344"/>
      <c r="L778" s="469"/>
      <c r="M778" s="469"/>
      <c r="N778" s="469"/>
      <c r="O778" s="469"/>
      <c r="P778" s="469"/>
      <c r="Q778" s="470"/>
      <c r="R778" s="469"/>
      <c r="S778" s="469"/>
      <c r="T778" s="470"/>
      <c r="U778" s="470"/>
      <c r="V778" s="470"/>
      <c r="W778" s="469"/>
      <c r="X778" s="469"/>
      <c r="Y778" s="469"/>
      <c r="Z778" s="470"/>
      <c r="AA778" s="469"/>
      <c r="AB778" s="469"/>
      <c r="AC778" s="469"/>
      <c r="AD778" s="469"/>
      <c r="AE778" s="472"/>
      <c r="AF778" s="472"/>
      <c r="AG778" s="486"/>
      <c r="AH778" s="486"/>
    </row>
    <row r="779" ht="15.75" customHeight="1">
      <c r="A779" s="344"/>
      <c r="B779" s="470"/>
      <c r="C779" s="469"/>
      <c r="D779" s="485"/>
      <c r="E779" s="469"/>
      <c r="F779" s="469"/>
      <c r="G779" s="470"/>
      <c r="H779" s="469"/>
      <c r="I779" s="470"/>
      <c r="J779" s="470"/>
      <c r="K779" s="344"/>
      <c r="L779" s="469"/>
      <c r="M779" s="469"/>
      <c r="N779" s="469"/>
      <c r="O779" s="469"/>
      <c r="P779" s="469"/>
      <c r="Q779" s="470"/>
      <c r="R779" s="469"/>
      <c r="S779" s="469"/>
      <c r="T779" s="470"/>
      <c r="U779" s="470"/>
      <c r="V779" s="470"/>
      <c r="W779" s="469"/>
      <c r="X779" s="469"/>
      <c r="Y779" s="469"/>
      <c r="Z779" s="470"/>
      <c r="AA779" s="469"/>
      <c r="AB779" s="469"/>
      <c r="AC779" s="469"/>
      <c r="AD779" s="469"/>
      <c r="AE779" s="472"/>
      <c r="AF779" s="472"/>
      <c r="AG779" s="486"/>
      <c r="AH779" s="486"/>
    </row>
    <row r="780" ht="15.75" customHeight="1">
      <c r="A780" s="344"/>
      <c r="B780" s="470"/>
      <c r="C780" s="469"/>
      <c r="D780" s="485"/>
      <c r="E780" s="469"/>
      <c r="F780" s="469"/>
      <c r="G780" s="470"/>
      <c r="H780" s="469"/>
      <c r="I780" s="470"/>
      <c r="J780" s="470"/>
      <c r="K780" s="344"/>
      <c r="L780" s="469"/>
      <c r="M780" s="469"/>
      <c r="N780" s="469"/>
      <c r="O780" s="469"/>
      <c r="P780" s="469"/>
      <c r="Q780" s="470"/>
      <c r="R780" s="469"/>
      <c r="S780" s="469"/>
      <c r="T780" s="470"/>
      <c r="U780" s="470"/>
      <c r="V780" s="470"/>
      <c r="W780" s="469"/>
      <c r="X780" s="469"/>
      <c r="Y780" s="469"/>
      <c r="Z780" s="470"/>
      <c r="AA780" s="469"/>
      <c r="AB780" s="469"/>
      <c r="AC780" s="469"/>
      <c r="AD780" s="469"/>
      <c r="AE780" s="472"/>
      <c r="AF780" s="472"/>
      <c r="AG780" s="486"/>
      <c r="AH780" s="486"/>
    </row>
    <row r="781" ht="15.75" customHeight="1">
      <c r="A781" s="344"/>
      <c r="B781" s="470"/>
      <c r="C781" s="469"/>
      <c r="D781" s="485"/>
      <c r="E781" s="469"/>
      <c r="F781" s="469"/>
      <c r="G781" s="470"/>
      <c r="H781" s="469"/>
      <c r="I781" s="470"/>
      <c r="J781" s="470"/>
      <c r="K781" s="344"/>
      <c r="L781" s="469"/>
      <c r="M781" s="469"/>
      <c r="N781" s="469"/>
      <c r="O781" s="469"/>
      <c r="P781" s="469"/>
      <c r="Q781" s="470"/>
      <c r="R781" s="469"/>
      <c r="S781" s="469"/>
      <c r="T781" s="470"/>
      <c r="U781" s="470"/>
      <c r="V781" s="470"/>
      <c r="W781" s="469"/>
      <c r="X781" s="469"/>
      <c r="Y781" s="469"/>
      <c r="Z781" s="470"/>
      <c r="AA781" s="469"/>
      <c r="AB781" s="469"/>
      <c r="AC781" s="469"/>
      <c r="AD781" s="469"/>
      <c r="AE781" s="472"/>
      <c r="AF781" s="472"/>
      <c r="AG781" s="486"/>
      <c r="AH781" s="486"/>
    </row>
    <row r="782" ht="15.75" customHeight="1">
      <c r="A782" s="344"/>
      <c r="B782" s="470"/>
      <c r="C782" s="469"/>
      <c r="D782" s="485"/>
      <c r="E782" s="469"/>
      <c r="F782" s="469"/>
      <c r="G782" s="470"/>
      <c r="H782" s="469"/>
      <c r="I782" s="470"/>
      <c r="J782" s="470"/>
      <c r="K782" s="344"/>
      <c r="L782" s="469"/>
      <c r="M782" s="469"/>
      <c r="N782" s="469"/>
      <c r="O782" s="469"/>
      <c r="P782" s="469"/>
      <c r="Q782" s="470"/>
      <c r="R782" s="469"/>
      <c r="S782" s="469"/>
      <c r="T782" s="470"/>
      <c r="U782" s="470"/>
      <c r="V782" s="470"/>
      <c r="W782" s="469"/>
      <c r="X782" s="469"/>
      <c r="Y782" s="469"/>
      <c r="Z782" s="470"/>
      <c r="AA782" s="469"/>
      <c r="AB782" s="469"/>
      <c r="AC782" s="469"/>
      <c r="AD782" s="469"/>
      <c r="AE782" s="472"/>
      <c r="AF782" s="472"/>
      <c r="AG782" s="486"/>
      <c r="AH782" s="486"/>
    </row>
    <row r="783" ht="15.75" customHeight="1">
      <c r="A783" s="344"/>
      <c r="B783" s="470"/>
      <c r="C783" s="469"/>
      <c r="D783" s="485"/>
      <c r="E783" s="469"/>
      <c r="F783" s="469"/>
      <c r="G783" s="470"/>
      <c r="H783" s="469"/>
      <c r="I783" s="470"/>
      <c r="J783" s="470"/>
      <c r="K783" s="344"/>
      <c r="L783" s="469"/>
      <c r="M783" s="469"/>
      <c r="N783" s="469"/>
      <c r="O783" s="469"/>
      <c r="P783" s="469"/>
      <c r="Q783" s="470"/>
      <c r="R783" s="469"/>
      <c r="S783" s="469"/>
      <c r="T783" s="470"/>
      <c r="U783" s="470"/>
      <c r="V783" s="470"/>
      <c r="W783" s="469"/>
      <c r="X783" s="469"/>
      <c r="Y783" s="469"/>
      <c r="Z783" s="470"/>
      <c r="AA783" s="469"/>
      <c r="AB783" s="469"/>
      <c r="AC783" s="469"/>
      <c r="AD783" s="469"/>
      <c r="AE783" s="472"/>
      <c r="AF783" s="472"/>
      <c r="AG783" s="486"/>
      <c r="AH783" s="486"/>
    </row>
    <row r="784" ht="15.75" customHeight="1">
      <c r="A784" s="344"/>
      <c r="B784" s="470"/>
      <c r="C784" s="469"/>
      <c r="D784" s="485"/>
      <c r="E784" s="469"/>
      <c r="F784" s="469"/>
      <c r="G784" s="470"/>
      <c r="H784" s="469"/>
      <c r="I784" s="470"/>
      <c r="J784" s="470"/>
      <c r="K784" s="344"/>
      <c r="L784" s="469"/>
      <c r="M784" s="469"/>
      <c r="N784" s="469"/>
      <c r="O784" s="469"/>
      <c r="P784" s="469"/>
      <c r="Q784" s="470"/>
      <c r="R784" s="469"/>
      <c r="S784" s="469"/>
      <c r="T784" s="470"/>
      <c r="U784" s="470"/>
      <c r="V784" s="470"/>
      <c r="W784" s="469"/>
      <c r="X784" s="469"/>
      <c r="Y784" s="469"/>
      <c r="Z784" s="470"/>
      <c r="AA784" s="469"/>
      <c r="AB784" s="469"/>
      <c r="AC784" s="469"/>
      <c r="AD784" s="469"/>
      <c r="AE784" s="472"/>
      <c r="AF784" s="472"/>
      <c r="AG784" s="486"/>
      <c r="AH784" s="486"/>
    </row>
    <row r="785" ht="15.75" customHeight="1">
      <c r="A785" s="344"/>
      <c r="B785" s="470"/>
      <c r="C785" s="469"/>
      <c r="D785" s="485"/>
      <c r="E785" s="469"/>
      <c r="F785" s="469"/>
      <c r="G785" s="470"/>
      <c r="H785" s="469"/>
      <c r="I785" s="470"/>
      <c r="J785" s="470"/>
      <c r="K785" s="344"/>
      <c r="L785" s="469"/>
      <c r="M785" s="469"/>
      <c r="N785" s="469"/>
      <c r="O785" s="469"/>
      <c r="P785" s="469"/>
      <c r="Q785" s="470"/>
      <c r="R785" s="469"/>
      <c r="S785" s="469"/>
      <c r="T785" s="470"/>
      <c r="U785" s="470"/>
      <c r="V785" s="470"/>
      <c r="W785" s="469"/>
      <c r="X785" s="469"/>
      <c r="Y785" s="469"/>
      <c r="Z785" s="470"/>
      <c r="AA785" s="469"/>
      <c r="AB785" s="469"/>
      <c r="AC785" s="469"/>
      <c r="AD785" s="469"/>
      <c r="AE785" s="472"/>
      <c r="AF785" s="472"/>
      <c r="AG785" s="486"/>
      <c r="AH785" s="486"/>
    </row>
    <row r="786" ht="15.75" customHeight="1">
      <c r="A786" s="344"/>
      <c r="B786" s="470"/>
      <c r="C786" s="469"/>
      <c r="D786" s="485"/>
      <c r="E786" s="469"/>
      <c r="F786" s="469"/>
      <c r="G786" s="470"/>
      <c r="H786" s="469"/>
      <c r="I786" s="470"/>
      <c r="J786" s="470"/>
      <c r="K786" s="344"/>
      <c r="L786" s="469"/>
      <c r="M786" s="469"/>
      <c r="N786" s="469"/>
      <c r="O786" s="469"/>
      <c r="P786" s="469"/>
      <c r="Q786" s="470"/>
      <c r="R786" s="469"/>
      <c r="S786" s="469"/>
      <c r="T786" s="470"/>
      <c r="U786" s="470"/>
      <c r="V786" s="470"/>
      <c r="W786" s="469"/>
      <c r="X786" s="469"/>
      <c r="Y786" s="469"/>
      <c r="Z786" s="470"/>
      <c r="AA786" s="469"/>
      <c r="AB786" s="469"/>
      <c r="AC786" s="469"/>
      <c r="AD786" s="469"/>
      <c r="AE786" s="472"/>
      <c r="AF786" s="472"/>
      <c r="AG786" s="486"/>
      <c r="AH786" s="486"/>
    </row>
    <row r="787" ht="15.75" customHeight="1">
      <c r="A787" s="344"/>
      <c r="B787" s="470"/>
      <c r="C787" s="469"/>
      <c r="D787" s="485"/>
      <c r="E787" s="469"/>
      <c r="F787" s="469"/>
      <c r="G787" s="470"/>
      <c r="H787" s="469"/>
      <c r="I787" s="470"/>
      <c r="J787" s="470"/>
      <c r="K787" s="344"/>
      <c r="L787" s="469"/>
      <c r="M787" s="469"/>
      <c r="N787" s="469"/>
      <c r="O787" s="469"/>
      <c r="P787" s="469"/>
      <c r="Q787" s="470"/>
      <c r="R787" s="469"/>
      <c r="S787" s="469"/>
      <c r="T787" s="470"/>
      <c r="U787" s="470"/>
      <c r="V787" s="470"/>
      <c r="W787" s="469"/>
      <c r="X787" s="469"/>
      <c r="Y787" s="469"/>
      <c r="Z787" s="470"/>
      <c r="AA787" s="469"/>
      <c r="AB787" s="469"/>
      <c r="AC787" s="469"/>
      <c r="AD787" s="469"/>
      <c r="AE787" s="472"/>
      <c r="AF787" s="472"/>
      <c r="AG787" s="486"/>
      <c r="AH787" s="486"/>
    </row>
    <row r="788" ht="15.75" customHeight="1">
      <c r="A788" s="344"/>
      <c r="B788" s="470"/>
      <c r="C788" s="469"/>
      <c r="D788" s="485"/>
      <c r="E788" s="469"/>
      <c r="F788" s="469"/>
      <c r="G788" s="470"/>
      <c r="H788" s="469"/>
      <c r="I788" s="470"/>
      <c r="J788" s="470"/>
      <c r="K788" s="344"/>
      <c r="L788" s="469"/>
      <c r="M788" s="469"/>
      <c r="N788" s="469"/>
      <c r="O788" s="469"/>
      <c r="P788" s="469"/>
      <c r="Q788" s="470"/>
      <c r="R788" s="469"/>
      <c r="S788" s="469"/>
      <c r="T788" s="470"/>
      <c r="U788" s="470"/>
      <c r="V788" s="470"/>
      <c r="W788" s="469"/>
      <c r="X788" s="469"/>
      <c r="Y788" s="469"/>
      <c r="Z788" s="470"/>
      <c r="AA788" s="469"/>
      <c r="AB788" s="469"/>
      <c r="AC788" s="469"/>
      <c r="AD788" s="469"/>
      <c r="AE788" s="472"/>
      <c r="AF788" s="472"/>
      <c r="AG788" s="486"/>
      <c r="AH788" s="486"/>
    </row>
    <row r="789" ht="15.75" customHeight="1">
      <c r="A789" s="344"/>
      <c r="B789" s="470"/>
      <c r="C789" s="469"/>
      <c r="D789" s="485"/>
      <c r="E789" s="469"/>
      <c r="F789" s="469"/>
      <c r="G789" s="470"/>
      <c r="H789" s="469"/>
      <c r="I789" s="470"/>
      <c r="J789" s="470"/>
      <c r="K789" s="344"/>
      <c r="L789" s="469"/>
      <c r="M789" s="469"/>
      <c r="N789" s="469"/>
      <c r="O789" s="469"/>
      <c r="P789" s="469"/>
      <c r="Q789" s="470"/>
      <c r="R789" s="469"/>
      <c r="S789" s="469"/>
      <c r="T789" s="470"/>
      <c r="U789" s="470"/>
      <c r="V789" s="470"/>
      <c r="W789" s="469"/>
      <c r="X789" s="469"/>
      <c r="Y789" s="469"/>
      <c r="Z789" s="470"/>
      <c r="AA789" s="469"/>
      <c r="AB789" s="469"/>
      <c r="AC789" s="469"/>
      <c r="AD789" s="469"/>
      <c r="AE789" s="472"/>
      <c r="AF789" s="472"/>
      <c r="AG789" s="486"/>
      <c r="AH789" s="486"/>
    </row>
    <row r="790" ht="15.75" customHeight="1">
      <c r="A790" s="344"/>
      <c r="B790" s="470"/>
      <c r="C790" s="469"/>
      <c r="D790" s="485"/>
      <c r="E790" s="469"/>
      <c r="F790" s="469"/>
      <c r="G790" s="470"/>
      <c r="H790" s="469"/>
      <c r="I790" s="470"/>
      <c r="J790" s="470"/>
      <c r="K790" s="344"/>
      <c r="L790" s="469"/>
      <c r="M790" s="469"/>
      <c r="N790" s="469"/>
      <c r="O790" s="469"/>
      <c r="P790" s="469"/>
      <c r="Q790" s="470"/>
      <c r="R790" s="469"/>
      <c r="S790" s="469"/>
      <c r="T790" s="470"/>
      <c r="U790" s="470"/>
      <c r="V790" s="470"/>
      <c r="W790" s="469"/>
      <c r="X790" s="469"/>
      <c r="Y790" s="469"/>
      <c r="Z790" s="470"/>
      <c r="AA790" s="469"/>
      <c r="AB790" s="469"/>
      <c r="AC790" s="469"/>
      <c r="AD790" s="469"/>
      <c r="AE790" s="472"/>
      <c r="AF790" s="472"/>
      <c r="AG790" s="486"/>
      <c r="AH790" s="486"/>
    </row>
    <row r="791" ht="15.75" customHeight="1">
      <c r="A791" s="344"/>
      <c r="B791" s="470"/>
      <c r="C791" s="469"/>
      <c r="D791" s="485"/>
      <c r="E791" s="469"/>
      <c r="F791" s="469"/>
      <c r="G791" s="470"/>
      <c r="H791" s="469"/>
      <c r="I791" s="470"/>
      <c r="J791" s="470"/>
      <c r="K791" s="344"/>
      <c r="L791" s="469"/>
      <c r="M791" s="469"/>
      <c r="N791" s="469"/>
      <c r="O791" s="469"/>
      <c r="P791" s="469"/>
      <c r="Q791" s="470"/>
      <c r="R791" s="469"/>
      <c r="S791" s="469"/>
      <c r="T791" s="470"/>
      <c r="U791" s="470"/>
      <c r="V791" s="470"/>
      <c r="W791" s="469"/>
      <c r="X791" s="469"/>
      <c r="Y791" s="469"/>
      <c r="Z791" s="470"/>
      <c r="AA791" s="469"/>
      <c r="AB791" s="469"/>
      <c r="AC791" s="469"/>
      <c r="AD791" s="469"/>
      <c r="AE791" s="472"/>
      <c r="AF791" s="472"/>
      <c r="AG791" s="486"/>
      <c r="AH791" s="486"/>
    </row>
    <row r="792" ht="15.75" customHeight="1">
      <c r="A792" s="344"/>
      <c r="B792" s="470"/>
      <c r="C792" s="469"/>
      <c r="D792" s="485"/>
      <c r="E792" s="469"/>
      <c r="F792" s="469"/>
      <c r="G792" s="470"/>
      <c r="H792" s="469"/>
      <c r="I792" s="470"/>
      <c r="J792" s="470"/>
      <c r="K792" s="344"/>
      <c r="L792" s="469"/>
      <c r="M792" s="469"/>
      <c r="N792" s="469"/>
      <c r="O792" s="469"/>
      <c r="P792" s="469"/>
      <c r="Q792" s="470"/>
      <c r="R792" s="469"/>
      <c r="S792" s="469"/>
      <c r="T792" s="470"/>
      <c r="U792" s="470"/>
      <c r="V792" s="470"/>
      <c r="W792" s="469"/>
      <c r="X792" s="469"/>
      <c r="Y792" s="469"/>
      <c r="Z792" s="470"/>
      <c r="AA792" s="469"/>
      <c r="AB792" s="469"/>
      <c r="AC792" s="469"/>
      <c r="AD792" s="469"/>
      <c r="AE792" s="472"/>
      <c r="AF792" s="472"/>
      <c r="AG792" s="486"/>
      <c r="AH792" s="486"/>
    </row>
    <row r="793" ht="15.75" customHeight="1">
      <c r="A793" s="344"/>
      <c r="B793" s="470"/>
      <c r="C793" s="469"/>
      <c r="D793" s="485"/>
      <c r="E793" s="469"/>
      <c r="F793" s="469"/>
      <c r="G793" s="470"/>
      <c r="H793" s="469"/>
      <c r="I793" s="470"/>
      <c r="J793" s="470"/>
      <c r="K793" s="344"/>
      <c r="L793" s="469"/>
      <c r="M793" s="469"/>
      <c r="N793" s="469"/>
      <c r="O793" s="469"/>
      <c r="P793" s="469"/>
      <c r="Q793" s="470"/>
      <c r="R793" s="469"/>
      <c r="S793" s="469"/>
      <c r="T793" s="470"/>
      <c r="U793" s="470"/>
      <c r="V793" s="470"/>
      <c r="W793" s="469"/>
      <c r="X793" s="469"/>
      <c r="Y793" s="469"/>
      <c r="Z793" s="470"/>
      <c r="AA793" s="469"/>
      <c r="AB793" s="469"/>
      <c r="AC793" s="469"/>
      <c r="AD793" s="469"/>
      <c r="AE793" s="472"/>
      <c r="AF793" s="472"/>
      <c r="AG793" s="486"/>
      <c r="AH793" s="486"/>
    </row>
    <row r="794" ht="15.75" customHeight="1">
      <c r="A794" s="344"/>
      <c r="B794" s="470"/>
      <c r="C794" s="469"/>
      <c r="D794" s="485"/>
      <c r="E794" s="469"/>
      <c r="F794" s="469"/>
      <c r="G794" s="470"/>
      <c r="H794" s="469"/>
      <c r="I794" s="470"/>
      <c r="J794" s="470"/>
      <c r="K794" s="344"/>
      <c r="L794" s="469"/>
      <c r="M794" s="469"/>
      <c r="N794" s="469"/>
      <c r="O794" s="469"/>
      <c r="P794" s="469"/>
      <c r="Q794" s="470"/>
      <c r="R794" s="469"/>
      <c r="S794" s="469"/>
      <c r="T794" s="470"/>
      <c r="U794" s="470"/>
      <c r="V794" s="470"/>
      <c r="W794" s="469"/>
      <c r="X794" s="469"/>
      <c r="Y794" s="469"/>
      <c r="Z794" s="470"/>
      <c r="AA794" s="469"/>
      <c r="AB794" s="469"/>
      <c r="AC794" s="469"/>
      <c r="AD794" s="469"/>
      <c r="AE794" s="472"/>
      <c r="AF794" s="472"/>
      <c r="AG794" s="486"/>
      <c r="AH794" s="486"/>
    </row>
    <row r="795" ht="15.75" customHeight="1">
      <c r="A795" s="344"/>
      <c r="B795" s="470"/>
      <c r="C795" s="469"/>
      <c r="D795" s="485"/>
      <c r="E795" s="469"/>
      <c r="F795" s="469"/>
      <c r="G795" s="470"/>
      <c r="H795" s="469"/>
      <c r="I795" s="470"/>
      <c r="J795" s="470"/>
      <c r="K795" s="344"/>
      <c r="L795" s="469"/>
      <c r="M795" s="469"/>
      <c r="N795" s="469"/>
      <c r="O795" s="469"/>
      <c r="P795" s="469"/>
      <c r="Q795" s="470"/>
      <c r="R795" s="469"/>
      <c r="S795" s="469"/>
      <c r="T795" s="470"/>
      <c r="U795" s="470"/>
      <c r="V795" s="470"/>
      <c r="W795" s="469"/>
      <c r="X795" s="469"/>
      <c r="Y795" s="469"/>
      <c r="Z795" s="470"/>
      <c r="AA795" s="469"/>
      <c r="AB795" s="469"/>
      <c r="AC795" s="469"/>
      <c r="AD795" s="469"/>
      <c r="AE795" s="472"/>
      <c r="AF795" s="472"/>
      <c r="AG795" s="486"/>
      <c r="AH795" s="486"/>
    </row>
    <row r="796" ht="15.75" customHeight="1">
      <c r="A796" s="344"/>
      <c r="B796" s="470"/>
      <c r="C796" s="469"/>
      <c r="D796" s="485"/>
      <c r="E796" s="469"/>
      <c r="F796" s="469"/>
      <c r="G796" s="470"/>
      <c r="H796" s="469"/>
      <c r="I796" s="470"/>
      <c r="J796" s="470"/>
      <c r="K796" s="344"/>
      <c r="L796" s="469"/>
      <c r="M796" s="469"/>
      <c r="N796" s="469"/>
      <c r="O796" s="469"/>
      <c r="P796" s="469"/>
      <c r="Q796" s="470"/>
      <c r="R796" s="469"/>
      <c r="S796" s="469"/>
      <c r="T796" s="470"/>
      <c r="U796" s="470"/>
      <c r="V796" s="470"/>
      <c r="W796" s="469"/>
      <c r="X796" s="469"/>
      <c r="Y796" s="469"/>
      <c r="Z796" s="470"/>
      <c r="AA796" s="469"/>
      <c r="AB796" s="469"/>
      <c r="AC796" s="469"/>
      <c r="AD796" s="469"/>
      <c r="AE796" s="472"/>
      <c r="AF796" s="472"/>
      <c r="AG796" s="486"/>
      <c r="AH796" s="486"/>
    </row>
    <row r="797" ht="15.75" customHeight="1">
      <c r="A797" s="344"/>
      <c r="B797" s="470"/>
      <c r="C797" s="469"/>
      <c r="D797" s="485"/>
      <c r="E797" s="469"/>
      <c r="F797" s="469"/>
      <c r="G797" s="470"/>
      <c r="H797" s="469"/>
      <c r="I797" s="470"/>
      <c r="J797" s="470"/>
      <c r="K797" s="344"/>
      <c r="L797" s="469"/>
      <c r="M797" s="469"/>
      <c r="N797" s="469"/>
      <c r="O797" s="469"/>
      <c r="P797" s="469"/>
      <c r="Q797" s="470"/>
      <c r="R797" s="469"/>
      <c r="S797" s="469"/>
      <c r="T797" s="470"/>
      <c r="U797" s="470"/>
      <c r="V797" s="470"/>
      <c r="W797" s="469"/>
      <c r="X797" s="469"/>
      <c r="Y797" s="469"/>
      <c r="Z797" s="470"/>
      <c r="AA797" s="469"/>
      <c r="AB797" s="469"/>
      <c r="AC797" s="469"/>
      <c r="AD797" s="469"/>
      <c r="AE797" s="472"/>
      <c r="AF797" s="472"/>
      <c r="AG797" s="486"/>
      <c r="AH797" s="486"/>
    </row>
    <row r="798" ht="15.75" customHeight="1">
      <c r="A798" s="344"/>
      <c r="B798" s="470"/>
      <c r="C798" s="469"/>
      <c r="D798" s="485"/>
      <c r="E798" s="469"/>
      <c r="F798" s="469"/>
      <c r="G798" s="470"/>
      <c r="H798" s="469"/>
      <c r="I798" s="470"/>
      <c r="J798" s="470"/>
      <c r="K798" s="344"/>
      <c r="L798" s="469"/>
      <c r="M798" s="469"/>
      <c r="N798" s="469"/>
      <c r="O798" s="469"/>
      <c r="P798" s="469"/>
      <c r="Q798" s="470"/>
      <c r="R798" s="469"/>
      <c r="S798" s="469"/>
      <c r="T798" s="470"/>
      <c r="U798" s="470"/>
      <c r="V798" s="470"/>
      <c r="W798" s="469"/>
      <c r="X798" s="469"/>
      <c r="Y798" s="469"/>
      <c r="Z798" s="470"/>
      <c r="AA798" s="469"/>
      <c r="AB798" s="469"/>
      <c r="AC798" s="469"/>
      <c r="AD798" s="469"/>
      <c r="AE798" s="472"/>
      <c r="AF798" s="472"/>
      <c r="AG798" s="486"/>
      <c r="AH798" s="486"/>
    </row>
    <row r="799" ht="15.75" customHeight="1">
      <c r="A799" s="344"/>
      <c r="B799" s="470"/>
      <c r="C799" s="469"/>
      <c r="D799" s="485"/>
      <c r="E799" s="469"/>
      <c r="F799" s="469"/>
      <c r="G799" s="470"/>
      <c r="H799" s="469"/>
      <c r="I799" s="470"/>
      <c r="J799" s="470"/>
      <c r="K799" s="344"/>
      <c r="L799" s="469"/>
      <c r="M799" s="469"/>
      <c r="N799" s="469"/>
      <c r="O799" s="469"/>
      <c r="P799" s="469"/>
      <c r="Q799" s="470"/>
      <c r="R799" s="469"/>
      <c r="S799" s="469"/>
      <c r="T799" s="470"/>
      <c r="U799" s="470"/>
      <c r="V799" s="470"/>
      <c r="W799" s="469"/>
      <c r="X799" s="469"/>
      <c r="Y799" s="469"/>
      <c r="Z799" s="470"/>
      <c r="AA799" s="469"/>
      <c r="AB799" s="469"/>
      <c r="AC799" s="469"/>
      <c r="AD799" s="469"/>
      <c r="AE799" s="472"/>
      <c r="AF799" s="472"/>
      <c r="AG799" s="486"/>
      <c r="AH799" s="486"/>
    </row>
    <row r="800" ht="15.75" customHeight="1">
      <c r="A800" s="344"/>
      <c r="B800" s="470"/>
      <c r="C800" s="469"/>
      <c r="D800" s="485"/>
      <c r="E800" s="469"/>
      <c r="F800" s="469"/>
      <c r="G800" s="470"/>
      <c r="H800" s="469"/>
      <c r="I800" s="470"/>
      <c r="J800" s="470"/>
      <c r="K800" s="344"/>
      <c r="L800" s="469"/>
      <c r="M800" s="469"/>
      <c r="N800" s="469"/>
      <c r="O800" s="469"/>
      <c r="P800" s="469"/>
      <c r="Q800" s="470"/>
      <c r="R800" s="469"/>
      <c r="S800" s="469"/>
      <c r="T800" s="470"/>
      <c r="U800" s="470"/>
      <c r="V800" s="470"/>
      <c r="W800" s="469"/>
      <c r="X800" s="469"/>
      <c r="Y800" s="469"/>
      <c r="Z800" s="470"/>
      <c r="AA800" s="469"/>
      <c r="AB800" s="469"/>
      <c r="AC800" s="469"/>
      <c r="AD800" s="469"/>
      <c r="AE800" s="472"/>
      <c r="AF800" s="472"/>
      <c r="AG800" s="486"/>
      <c r="AH800" s="486"/>
    </row>
    <row r="801" ht="15.75" customHeight="1">
      <c r="A801" s="344"/>
      <c r="B801" s="470"/>
      <c r="C801" s="469"/>
      <c r="D801" s="485"/>
      <c r="E801" s="469"/>
      <c r="F801" s="469"/>
      <c r="G801" s="470"/>
      <c r="H801" s="469"/>
      <c r="I801" s="470"/>
      <c r="J801" s="470"/>
      <c r="K801" s="344"/>
      <c r="L801" s="469"/>
      <c r="M801" s="469"/>
      <c r="N801" s="469"/>
      <c r="O801" s="469"/>
      <c r="P801" s="469"/>
      <c r="Q801" s="470"/>
      <c r="R801" s="469"/>
      <c r="S801" s="469"/>
      <c r="T801" s="470"/>
      <c r="U801" s="470"/>
      <c r="V801" s="470"/>
      <c r="W801" s="469"/>
      <c r="X801" s="469"/>
      <c r="Y801" s="469"/>
      <c r="Z801" s="470"/>
      <c r="AA801" s="469"/>
      <c r="AB801" s="469"/>
      <c r="AC801" s="469"/>
      <c r="AD801" s="469"/>
      <c r="AE801" s="472"/>
      <c r="AF801" s="472"/>
      <c r="AG801" s="486"/>
      <c r="AH801" s="486"/>
    </row>
    <row r="802" ht="15.75" customHeight="1">
      <c r="A802" s="344"/>
      <c r="B802" s="470"/>
      <c r="C802" s="469"/>
      <c r="D802" s="485"/>
      <c r="E802" s="469"/>
      <c r="F802" s="469"/>
      <c r="G802" s="470"/>
      <c r="H802" s="469"/>
      <c r="I802" s="470"/>
      <c r="J802" s="470"/>
      <c r="K802" s="344"/>
      <c r="L802" s="469"/>
      <c r="M802" s="469"/>
      <c r="N802" s="469"/>
      <c r="O802" s="469"/>
      <c r="P802" s="469"/>
      <c r="Q802" s="470"/>
      <c r="R802" s="469"/>
      <c r="S802" s="469"/>
      <c r="T802" s="470"/>
      <c r="U802" s="470"/>
      <c r="V802" s="470"/>
      <c r="W802" s="469"/>
      <c r="X802" s="469"/>
      <c r="Y802" s="469"/>
      <c r="Z802" s="470"/>
      <c r="AA802" s="469"/>
      <c r="AB802" s="469"/>
      <c r="AC802" s="469"/>
      <c r="AD802" s="469"/>
      <c r="AE802" s="472"/>
      <c r="AF802" s="472"/>
      <c r="AG802" s="486"/>
      <c r="AH802" s="486"/>
    </row>
    <row r="803" ht="15.75" customHeight="1">
      <c r="A803" s="344"/>
      <c r="B803" s="470"/>
      <c r="C803" s="469"/>
      <c r="D803" s="485"/>
      <c r="E803" s="469"/>
      <c r="F803" s="469"/>
      <c r="G803" s="470"/>
      <c r="H803" s="469"/>
      <c r="I803" s="470"/>
      <c r="J803" s="470"/>
      <c r="K803" s="344"/>
      <c r="L803" s="469"/>
      <c r="M803" s="469"/>
      <c r="N803" s="469"/>
      <c r="O803" s="469"/>
      <c r="P803" s="469"/>
      <c r="Q803" s="470"/>
      <c r="R803" s="469"/>
      <c r="S803" s="469"/>
      <c r="T803" s="470"/>
      <c r="U803" s="470"/>
      <c r="V803" s="470"/>
      <c r="W803" s="469"/>
      <c r="X803" s="469"/>
      <c r="Y803" s="469"/>
      <c r="Z803" s="470"/>
      <c r="AA803" s="469"/>
      <c r="AB803" s="469"/>
      <c r="AC803" s="469"/>
      <c r="AD803" s="469"/>
      <c r="AE803" s="472"/>
      <c r="AF803" s="472"/>
      <c r="AG803" s="486"/>
      <c r="AH803" s="486"/>
    </row>
    <row r="804" ht="15.75" customHeight="1">
      <c r="A804" s="344"/>
      <c r="B804" s="470"/>
      <c r="C804" s="469"/>
      <c r="D804" s="485"/>
      <c r="E804" s="469"/>
      <c r="F804" s="469"/>
      <c r="G804" s="470"/>
      <c r="H804" s="469"/>
      <c r="I804" s="470"/>
      <c r="J804" s="470"/>
      <c r="K804" s="344"/>
      <c r="L804" s="469"/>
      <c r="M804" s="469"/>
      <c r="N804" s="469"/>
      <c r="O804" s="469"/>
      <c r="P804" s="469"/>
      <c r="Q804" s="470"/>
      <c r="R804" s="469"/>
      <c r="S804" s="469"/>
      <c r="T804" s="470"/>
      <c r="U804" s="470"/>
      <c r="V804" s="470"/>
      <c r="W804" s="469"/>
      <c r="X804" s="469"/>
      <c r="Y804" s="469"/>
      <c r="Z804" s="470"/>
      <c r="AA804" s="469"/>
      <c r="AB804" s="469"/>
      <c r="AC804" s="469"/>
      <c r="AD804" s="469"/>
      <c r="AE804" s="472"/>
      <c r="AF804" s="472"/>
      <c r="AG804" s="486"/>
      <c r="AH804" s="486"/>
    </row>
    <row r="805" ht="15.75" customHeight="1">
      <c r="A805" s="344"/>
      <c r="B805" s="470"/>
      <c r="C805" s="469"/>
      <c r="D805" s="485"/>
      <c r="E805" s="469"/>
      <c r="F805" s="469"/>
      <c r="G805" s="470"/>
      <c r="H805" s="469"/>
      <c r="I805" s="470"/>
      <c r="J805" s="470"/>
      <c r="K805" s="344"/>
      <c r="L805" s="469"/>
      <c r="M805" s="469"/>
      <c r="N805" s="469"/>
      <c r="O805" s="469"/>
      <c r="P805" s="469"/>
      <c r="Q805" s="470"/>
      <c r="R805" s="469"/>
      <c r="S805" s="469"/>
      <c r="T805" s="470"/>
      <c r="U805" s="470"/>
      <c r="V805" s="470"/>
      <c r="W805" s="469"/>
      <c r="X805" s="469"/>
      <c r="Y805" s="469"/>
      <c r="Z805" s="470"/>
      <c r="AA805" s="469"/>
      <c r="AB805" s="469"/>
      <c r="AC805" s="469"/>
      <c r="AD805" s="469"/>
      <c r="AE805" s="472"/>
      <c r="AF805" s="472"/>
      <c r="AG805" s="486"/>
      <c r="AH805" s="486"/>
    </row>
    <row r="806" ht="15.75" customHeight="1">
      <c r="A806" s="344"/>
      <c r="B806" s="470"/>
      <c r="C806" s="469"/>
      <c r="D806" s="485"/>
      <c r="E806" s="469"/>
      <c r="F806" s="469"/>
      <c r="G806" s="470"/>
      <c r="H806" s="469"/>
      <c r="I806" s="470"/>
      <c r="J806" s="470"/>
      <c r="K806" s="344"/>
      <c r="L806" s="469"/>
      <c r="M806" s="469"/>
      <c r="N806" s="469"/>
      <c r="O806" s="469"/>
      <c r="P806" s="469"/>
      <c r="Q806" s="470"/>
      <c r="R806" s="469"/>
      <c r="S806" s="469"/>
      <c r="T806" s="470"/>
      <c r="U806" s="470"/>
      <c r="V806" s="470"/>
      <c r="W806" s="469"/>
      <c r="X806" s="469"/>
      <c r="Y806" s="469"/>
      <c r="Z806" s="470"/>
      <c r="AA806" s="469"/>
      <c r="AB806" s="469"/>
      <c r="AC806" s="469"/>
      <c r="AD806" s="469"/>
      <c r="AE806" s="472"/>
      <c r="AF806" s="472"/>
      <c r="AG806" s="486"/>
      <c r="AH806" s="486"/>
    </row>
    <row r="807" ht="15.75" customHeight="1">
      <c r="A807" s="344"/>
      <c r="B807" s="470"/>
      <c r="C807" s="469"/>
      <c r="D807" s="485"/>
      <c r="E807" s="469"/>
      <c r="F807" s="469"/>
      <c r="G807" s="470"/>
      <c r="H807" s="469"/>
      <c r="I807" s="470"/>
      <c r="J807" s="470"/>
      <c r="K807" s="344"/>
      <c r="L807" s="469"/>
      <c r="M807" s="469"/>
      <c r="N807" s="469"/>
      <c r="O807" s="469"/>
      <c r="P807" s="469"/>
      <c r="Q807" s="470"/>
      <c r="R807" s="469"/>
      <c r="S807" s="469"/>
      <c r="T807" s="470"/>
      <c r="U807" s="470"/>
      <c r="V807" s="470"/>
      <c r="W807" s="469"/>
      <c r="X807" s="469"/>
      <c r="Y807" s="469"/>
      <c r="Z807" s="470"/>
      <c r="AA807" s="469"/>
      <c r="AB807" s="469"/>
      <c r="AC807" s="469"/>
      <c r="AD807" s="469"/>
      <c r="AE807" s="472"/>
      <c r="AF807" s="472"/>
      <c r="AG807" s="486"/>
      <c r="AH807" s="486"/>
    </row>
    <row r="808" ht="15.75" customHeight="1">
      <c r="A808" s="344"/>
      <c r="B808" s="470"/>
      <c r="C808" s="469"/>
      <c r="D808" s="485"/>
      <c r="E808" s="469"/>
      <c r="F808" s="469"/>
      <c r="G808" s="470"/>
      <c r="H808" s="469"/>
      <c r="I808" s="470"/>
      <c r="J808" s="470"/>
      <c r="K808" s="344"/>
      <c r="L808" s="469"/>
      <c r="M808" s="469"/>
      <c r="N808" s="469"/>
      <c r="O808" s="469"/>
      <c r="P808" s="469"/>
      <c r="Q808" s="470"/>
      <c r="R808" s="469"/>
      <c r="S808" s="469"/>
      <c r="T808" s="470"/>
      <c r="U808" s="470"/>
      <c r="V808" s="470"/>
      <c r="W808" s="469"/>
      <c r="X808" s="469"/>
      <c r="Y808" s="469"/>
      <c r="Z808" s="470"/>
      <c r="AA808" s="469"/>
      <c r="AB808" s="469"/>
      <c r="AC808" s="469"/>
      <c r="AD808" s="469"/>
      <c r="AE808" s="472"/>
      <c r="AF808" s="472"/>
      <c r="AG808" s="486"/>
      <c r="AH808" s="486"/>
    </row>
    <row r="809" ht="15.75" customHeight="1">
      <c r="A809" s="344"/>
      <c r="B809" s="470"/>
      <c r="C809" s="469"/>
      <c r="D809" s="485"/>
      <c r="E809" s="469"/>
      <c r="F809" s="469"/>
      <c r="G809" s="470"/>
      <c r="H809" s="469"/>
      <c r="I809" s="470"/>
      <c r="J809" s="470"/>
      <c r="K809" s="344"/>
      <c r="L809" s="469"/>
      <c r="M809" s="469"/>
      <c r="N809" s="469"/>
      <c r="O809" s="469"/>
      <c r="P809" s="469"/>
      <c r="Q809" s="470"/>
      <c r="R809" s="469"/>
      <c r="S809" s="469"/>
      <c r="T809" s="470"/>
      <c r="U809" s="470"/>
      <c r="V809" s="470"/>
      <c r="W809" s="469"/>
      <c r="X809" s="469"/>
      <c r="Y809" s="469"/>
      <c r="Z809" s="470"/>
      <c r="AA809" s="469"/>
      <c r="AB809" s="469"/>
      <c r="AC809" s="469"/>
      <c r="AD809" s="469"/>
      <c r="AE809" s="472"/>
      <c r="AF809" s="472"/>
      <c r="AG809" s="486"/>
      <c r="AH809" s="486"/>
    </row>
    <row r="810" ht="15.75" customHeight="1">
      <c r="A810" s="344"/>
      <c r="B810" s="470"/>
      <c r="C810" s="469"/>
      <c r="D810" s="485"/>
      <c r="E810" s="469"/>
      <c r="F810" s="469"/>
      <c r="G810" s="470"/>
      <c r="H810" s="469"/>
      <c r="I810" s="470"/>
      <c r="J810" s="470"/>
      <c r="K810" s="344"/>
      <c r="L810" s="469"/>
      <c r="M810" s="469"/>
      <c r="N810" s="469"/>
      <c r="O810" s="469"/>
      <c r="P810" s="469"/>
      <c r="Q810" s="470"/>
      <c r="R810" s="469"/>
      <c r="S810" s="469"/>
      <c r="T810" s="470"/>
      <c r="U810" s="470"/>
      <c r="V810" s="470"/>
      <c r="W810" s="469"/>
      <c r="X810" s="469"/>
      <c r="Y810" s="469"/>
      <c r="Z810" s="470"/>
      <c r="AA810" s="469"/>
      <c r="AB810" s="469"/>
      <c r="AC810" s="469"/>
      <c r="AD810" s="469"/>
      <c r="AE810" s="472"/>
      <c r="AF810" s="472"/>
      <c r="AG810" s="486"/>
      <c r="AH810" s="486"/>
    </row>
    <row r="811" ht="15.75" customHeight="1">
      <c r="A811" s="344"/>
      <c r="B811" s="470"/>
      <c r="C811" s="469"/>
      <c r="D811" s="485"/>
      <c r="E811" s="469"/>
      <c r="F811" s="469"/>
      <c r="G811" s="470"/>
      <c r="H811" s="469"/>
      <c r="I811" s="470"/>
      <c r="J811" s="470"/>
      <c r="K811" s="344"/>
      <c r="L811" s="469"/>
      <c r="M811" s="469"/>
      <c r="N811" s="469"/>
      <c r="O811" s="469"/>
      <c r="P811" s="469"/>
      <c r="Q811" s="470"/>
      <c r="R811" s="469"/>
      <c r="S811" s="469"/>
      <c r="T811" s="470"/>
      <c r="U811" s="470"/>
      <c r="V811" s="470"/>
      <c r="W811" s="469"/>
      <c r="X811" s="469"/>
      <c r="Y811" s="469"/>
      <c r="Z811" s="470"/>
      <c r="AA811" s="469"/>
      <c r="AB811" s="469"/>
      <c r="AC811" s="469"/>
      <c r="AD811" s="469"/>
      <c r="AE811" s="472"/>
      <c r="AF811" s="472"/>
      <c r="AG811" s="486"/>
      <c r="AH811" s="486"/>
    </row>
    <row r="812" ht="15.75" customHeight="1">
      <c r="A812" s="344"/>
      <c r="B812" s="470"/>
      <c r="C812" s="469"/>
      <c r="D812" s="485"/>
      <c r="E812" s="469"/>
      <c r="F812" s="469"/>
      <c r="G812" s="470"/>
      <c r="H812" s="469"/>
      <c r="I812" s="470"/>
      <c r="J812" s="470"/>
      <c r="K812" s="344"/>
      <c r="L812" s="469"/>
      <c r="M812" s="469"/>
      <c r="N812" s="469"/>
      <c r="O812" s="469"/>
      <c r="P812" s="469"/>
      <c r="Q812" s="470"/>
      <c r="R812" s="469"/>
      <c r="S812" s="469"/>
      <c r="T812" s="470"/>
      <c r="U812" s="470"/>
      <c r="V812" s="470"/>
      <c r="W812" s="469"/>
      <c r="X812" s="469"/>
      <c r="Y812" s="469"/>
      <c r="Z812" s="470"/>
      <c r="AA812" s="469"/>
      <c r="AB812" s="469"/>
      <c r="AC812" s="469"/>
      <c r="AD812" s="469"/>
      <c r="AE812" s="472"/>
      <c r="AF812" s="472"/>
      <c r="AG812" s="486"/>
      <c r="AH812" s="486"/>
    </row>
    <row r="813" ht="15.75" customHeight="1">
      <c r="A813" s="344"/>
      <c r="B813" s="470"/>
      <c r="C813" s="469"/>
      <c r="D813" s="485"/>
      <c r="E813" s="469"/>
      <c r="F813" s="469"/>
      <c r="G813" s="470"/>
      <c r="H813" s="469"/>
      <c r="I813" s="470"/>
      <c r="J813" s="470"/>
      <c r="K813" s="344"/>
      <c r="L813" s="469"/>
      <c r="M813" s="469"/>
      <c r="N813" s="469"/>
      <c r="O813" s="469"/>
      <c r="P813" s="469"/>
      <c r="Q813" s="470"/>
      <c r="R813" s="469"/>
      <c r="S813" s="469"/>
      <c r="T813" s="470"/>
      <c r="U813" s="470"/>
      <c r="V813" s="470"/>
      <c r="W813" s="469"/>
      <c r="X813" s="469"/>
      <c r="Y813" s="469"/>
      <c r="Z813" s="470"/>
      <c r="AA813" s="469"/>
      <c r="AB813" s="469"/>
      <c r="AC813" s="469"/>
      <c r="AD813" s="469"/>
      <c r="AE813" s="472"/>
      <c r="AF813" s="472"/>
      <c r="AG813" s="486"/>
      <c r="AH813" s="486"/>
    </row>
    <row r="814" ht="15.75" customHeight="1">
      <c r="A814" s="344"/>
      <c r="B814" s="470"/>
      <c r="C814" s="469"/>
      <c r="D814" s="485"/>
      <c r="E814" s="469"/>
      <c r="F814" s="469"/>
      <c r="G814" s="470"/>
      <c r="H814" s="469"/>
      <c r="I814" s="470"/>
      <c r="J814" s="470"/>
      <c r="K814" s="344"/>
      <c r="L814" s="469"/>
      <c r="M814" s="469"/>
      <c r="N814" s="469"/>
      <c r="O814" s="469"/>
      <c r="P814" s="469"/>
      <c r="Q814" s="470"/>
      <c r="R814" s="469"/>
      <c r="S814" s="469"/>
      <c r="T814" s="470"/>
      <c r="U814" s="470"/>
      <c r="V814" s="470"/>
      <c r="W814" s="469"/>
      <c r="X814" s="469"/>
      <c r="Y814" s="469"/>
      <c r="Z814" s="470"/>
      <c r="AA814" s="469"/>
      <c r="AB814" s="469"/>
      <c r="AC814" s="469"/>
      <c r="AD814" s="469"/>
      <c r="AE814" s="472"/>
      <c r="AF814" s="472"/>
      <c r="AG814" s="486"/>
      <c r="AH814" s="486"/>
    </row>
    <row r="815" ht="15.75" customHeight="1">
      <c r="A815" s="344"/>
      <c r="B815" s="470"/>
      <c r="C815" s="469"/>
      <c r="D815" s="485"/>
      <c r="E815" s="469"/>
      <c r="F815" s="469"/>
      <c r="G815" s="470"/>
      <c r="H815" s="469"/>
      <c r="I815" s="470"/>
      <c r="J815" s="470"/>
      <c r="K815" s="344"/>
      <c r="L815" s="469"/>
      <c r="M815" s="469"/>
      <c r="N815" s="469"/>
      <c r="O815" s="469"/>
      <c r="P815" s="469"/>
      <c r="Q815" s="470"/>
      <c r="R815" s="469"/>
      <c r="S815" s="469"/>
      <c r="T815" s="470"/>
      <c r="U815" s="470"/>
      <c r="V815" s="470"/>
      <c r="W815" s="469"/>
      <c r="X815" s="469"/>
      <c r="Y815" s="469"/>
      <c r="Z815" s="470"/>
      <c r="AA815" s="469"/>
      <c r="AB815" s="469"/>
      <c r="AC815" s="469"/>
      <c r="AD815" s="469"/>
      <c r="AE815" s="472"/>
      <c r="AF815" s="472"/>
      <c r="AG815" s="486"/>
      <c r="AH815" s="486"/>
    </row>
    <row r="816" ht="15.75" customHeight="1">
      <c r="A816" s="344"/>
      <c r="B816" s="470"/>
      <c r="C816" s="469"/>
      <c r="D816" s="485"/>
      <c r="E816" s="469"/>
      <c r="F816" s="469"/>
      <c r="G816" s="470"/>
      <c r="H816" s="469"/>
      <c r="I816" s="470"/>
      <c r="J816" s="470"/>
      <c r="K816" s="344"/>
      <c r="L816" s="469"/>
      <c r="M816" s="469"/>
      <c r="N816" s="469"/>
      <c r="O816" s="469"/>
      <c r="P816" s="469"/>
      <c r="Q816" s="470"/>
      <c r="R816" s="469"/>
      <c r="S816" s="469"/>
      <c r="T816" s="470"/>
      <c r="U816" s="470"/>
      <c r="V816" s="470"/>
      <c r="W816" s="469"/>
      <c r="X816" s="469"/>
      <c r="Y816" s="469"/>
      <c r="Z816" s="470"/>
      <c r="AA816" s="469"/>
      <c r="AB816" s="469"/>
      <c r="AC816" s="469"/>
      <c r="AD816" s="469"/>
      <c r="AE816" s="472"/>
      <c r="AF816" s="472"/>
      <c r="AG816" s="486"/>
      <c r="AH816" s="486"/>
    </row>
    <row r="817" ht="15.75" customHeight="1">
      <c r="A817" s="344"/>
      <c r="B817" s="470"/>
      <c r="C817" s="469"/>
      <c r="D817" s="485"/>
      <c r="E817" s="469"/>
      <c r="F817" s="469"/>
      <c r="G817" s="470"/>
      <c r="H817" s="469"/>
      <c r="I817" s="470"/>
      <c r="J817" s="470"/>
      <c r="K817" s="344"/>
      <c r="L817" s="469"/>
      <c r="M817" s="469"/>
      <c r="N817" s="469"/>
      <c r="O817" s="469"/>
      <c r="P817" s="469"/>
      <c r="Q817" s="470"/>
      <c r="R817" s="469"/>
      <c r="S817" s="469"/>
      <c r="T817" s="470"/>
      <c r="U817" s="470"/>
      <c r="V817" s="470"/>
      <c r="W817" s="469"/>
      <c r="X817" s="469"/>
      <c r="Y817" s="469"/>
      <c r="Z817" s="470"/>
      <c r="AA817" s="469"/>
      <c r="AB817" s="469"/>
      <c r="AC817" s="469"/>
      <c r="AD817" s="469"/>
      <c r="AE817" s="472"/>
      <c r="AF817" s="472"/>
      <c r="AG817" s="486"/>
      <c r="AH817" s="486"/>
    </row>
    <row r="818" ht="15.75" customHeight="1">
      <c r="A818" s="344"/>
      <c r="B818" s="470"/>
      <c r="C818" s="469"/>
      <c r="D818" s="485"/>
      <c r="E818" s="469"/>
      <c r="F818" s="469"/>
      <c r="G818" s="470"/>
      <c r="H818" s="469"/>
      <c r="I818" s="470"/>
      <c r="J818" s="470"/>
      <c r="K818" s="344"/>
      <c r="L818" s="469"/>
      <c r="M818" s="469"/>
      <c r="N818" s="469"/>
      <c r="O818" s="469"/>
      <c r="P818" s="469"/>
      <c r="Q818" s="470"/>
      <c r="R818" s="469"/>
      <c r="S818" s="469"/>
      <c r="T818" s="470"/>
      <c r="U818" s="470"/>
      <c r="V818" s="470"/>
      <c r="W818" s="469"/>
      <c r="X818" s="469"/>
      <c r="Y818" s="469"/>
      <c r="Z818" s="470"/>
      <c r="AA818" s="469"/>
      <c r="AB818" s="469"/>
      <c r="AC818" s="469"/>
      <c r="AD818" s="469"/>
      <c r="AE818" s="472"/>
      <c r="AF818" s="472"/>
      <c r="AG818" s="486"/>
      <c r="AH818" s="486"/>
    </row>
    <row r="819" ht="15.75" customHeight="1">
      <c r="A819" s="344"/>
      <c r="B819" s="470"/>
      <c r="C819" s="469"/>
      <c r="D819" s="485"/>
      <c r="E819" s="469"/>
      <c r="F819" s="469"/>
      <c r="G819" s="470"/>
      <c r="H819" s="469"/>
      <c r="I819" s="470"/>
      <c r="J819" s="470"/>
      <c r="K819" s="344"/>
      <c r="L819" s="469"/>
      <c r="M819" s="469"/>
      <c r="N819" s="469"/>
      <c r="O819" s="469"/>
      <c r="P819" s="469"/>
      <c r="Q819" s="470"/>
      <c r="R819" s="469"/>
      <c r="S819" s="469"/>
      <c r="T819" s="470"/>
      <c r="U819" s="470"/>
      <c r="V819" s="470"/>
      <c r="W819" s="469"/>
      <c r="X819" s="469"/>
      <c r="Y819" s="469"/>
      <c r="Z819" s="470"/>
      <c r="AA819" s="469"/>
      <c r="AB819" s="469"/>
      <c r="AC819" s="469"/>
      <c r="AD819" s="469"/>
      <c r="AE819" s="472"/>
      <c r="AF819" s="472"/>
      <c r="AG819" s="486"/>
      <c r="AH819" s="486"/>
    </row>
    <row r="820" ht="15.75" customHeight="1">
      <c r="A820" s="344"/>
      <c r="B820" s="470"/>
      <c r="C820" s="469"/>
      <c r="D820" s="485"/>
      <c r="E820" s="469"/>
      <c r="F820" s="469"/>
      <c r="G820" s="470"/>
      <c r="H820" s="469"/>
      <c r="I820" s="470"/>
      <c r="J820" s="470"/>
      <c r="K820" s="344"/>
      <c r="L820" s="469"/>
      <c r="M820" s="469"/>
      <c r="N820" s="469"/>
      <c r="O820" s="469"/>
      <c r="P820" s="469"/>
      <c r="Q820" s="470"/>
      <c r="R820" s="469"/>
      <c r="S820" s="469"/>
      <c r="T820" s="470"/>
      <c r="U820" s="470"/>
      <c r="V820" s="470"/>
      <c r="W820" s="469"/>
      <c r="X820" s="469"/>
      <c r="Y820" s="469"/>
      <c r="Z820" s="470"/>
      <c r="AA820" s="469"/>
      <c r="AB820" s="469"/>
      <c r="AC820" s="469"/>
      <c r="AD820" s="469"/>
      <c r="AE820" s="472"/>
      <c r="AF820" s="472"/>
      <c r="AG820" s="486"/>
      <c r="AH820" s="486"/>
    </row>
    <row r="821" ht="15.75" customHeight="1">
      <c r="A821" s="344"/>
      <c r="B821" s="470"/>
      <c r="C821" s="469"/>
      <c r="D821" s="485"/>
      <c r="E821" s="469"/>
      <c r="F821" s="469"/>
      <c r="G821" s="470"/>
      <c r="H821" s="469"/>
      <c r="I821" s="470"/>
      <c r="J821" s="470"/>
      <c r="K821" s="344"/>
      <c r="L821" s="469"/>
      <c r="M821" s="469"/>
      <c r="N821" s="469"/>
      <c r="O821" s="469"/>
      <c r="P821" s="469"/>
      <c r="Q821" s="470"/>
      <c r="R821" s="469"/>
      <c r="S821" s="469"/>
      <c r="T821" s="470"/>
      <c r="U821" s="470"/>
      <c r="V821" s="470"/>
      <c r="W821" s="469"/>
      <c r="X821" s="469"/>
      <c r="Y821" s="469"/>
      <c r="Z821" s="470"/>
      <c r="AA821" s="469"/>
      <c r="AB821" s="469"/>
      <c r="AC821" s="469"/>
      <c r="AD821" s="469"/>
      <c r="AE821" s="472"/>
      <c r="AF821" s="472"/>
      <c r="AG821" s="486"/>
      <c r="AH821" s="486"/>
    </row>
    <row r="822" ht="15.75" customHeight="1">
      <c r="A822" s="344"/>
      <c r="B822" s="470"/>
      <c r="C822" s="469"/>
      <c r="D822" s="485"/>
      <c r="E822" s="469"/>
      <c r="F822" s="469"/>
      <c r="G822" s="470"/>
      <c r="H822" s="469"/>
      <c r="I822" s="470"/>
      <c r="J822" s="470"/>
      <c r="K822" s="344"/>
      <c r="L822" s="469"/>
      <c r="M822" s="469"/>
      <c r="N822" s="469"/>
      <c r="O822" s="469"/>
      <c r="P822" s="469"/>
      <c r="Q822" s="470"/>
      <c r="R822" s="469"/>
      <c r="S822" s="469"/>
      <c r="T822" s="470"/>
      <c r="U822" s="470"/>
      <c r="V822" s="470"/>
      <c r="W822" s="469"/>
      <c r="X822" s="469"/>
      <c r="Y822" s="469"/>
      <c r="Z822" s="470"/>
      <c r="AA822" s="469"/>
      <c r="AB822" s="469"/>
      <c r="AC822" s="469"/>
      <c r="AD822" s="469"/>
      <c r="AE822" s="472"/>
      <c r="AF822" s="472"/>
      <c r="AG822" s="486"/>
      <c r="AH822" s="486"/>
    </row>
    <row r="823" ht="15.75" customHeight="1">
      <c r="A823" s="344"/>
      <c r="B823" s="470"/>
      <c r="C823" s="469"/>
      <c r="D823" s="485"/>
      <c r="E823" s="469"/>
      <c r="F823" s="469"/>
      <c r="G823" s="470"/>
      <c r="H823" s="469"/>
      <c r="I823" s="470"/>
      <c r="J823" s="470"/>
      <c r="K823" s="344"/>
      <c r="L823" s="469"/>
      <c r="M823" s="469"/>
      <c r="N823" s="469"/>
      <c r="O823" s="469"/>
      <c r="P823" s="469"/>
      <c r="Q823" s="470"/>
      <c r="R823" s="469"/>
      <c r="S823" s="469"/>
      <c r="T823" s="470"/>
      <c r="U823" s="470"/>
      <c r="V823" s="470"/>
      <c r="W823" s="469"/>
      <c r="X823" s="469"/>
      <c r="Y823" s="469"/>
      <c r="Z823" s="470"/>
      <c r="AA823" s="469"/>
      <c r="AB823" s="469"/>
      <c r="AC823" s="469"/>
      <c r="AD823" s="469"/>
      <c r="AE823" s="472"/>
      <c r="AF823" s="472"/>
      <c r="AG823" s="486"/>
      <c r="AH823" s="486"/>
    </row>
    <row r="824" ht="15.75" customHeight="1">
      <c r="A824" s="344"/>
      <c r="B824" s="470"/>
      <c r="C824" s="469"/>
      <c r="D824" s="485"/>
      <c r="E824" s="469"/>
      <c r="F824" s="469"/>
      <c r="G824" s="470"/>
      <c r="H824" s="469"/>
      <c r="I824" s="470"/>
      <c r="J824" s="470"/>
      <c r="K824" s="344"/>
      <c r="L824" s="469"/>
      <c r="M824" s="469"/>
      <c r="N824" s="469"/>
      <c r="O824" s="469"/>
      <c r="P824" s="469"/>
      <c r="Q824" s="470"/>
      <c r="R824" s="469"/>
      <c r="S824" s="469"/>
      <c r="T824" s="470"/>
      <c r="U824" s="470"/>
      <c r="V824" s="470"/>
      <c r="W824" s="469"/>
      <c r="X824" s="469"/>
      <c r="Y824" s="469"/>
      <c r="Z824" s="470"/>
      <c r="AA824" s="469"/>
      <c r="AB824" s="469"/>
      <c r="AC824" s="469"/>
      <c r="AD824" s="469"/>
      <c r="AE824" s="472"/>
      <c r="AF824" s="472"/>
      <c r="AG824" s="486"/>
      <c r="AH824" s="486"/>
    </row>
    <row r="825" ht="15.75" customHeight="1">
      <c r="A825" s="344"/>
      <c r="B825" s="470"/>
      <c r="C825" s="469"/>
      <c r="D825" s="485"/>
      <c r="E825" s="469"/>
      <c r="F825" s="469"/>
      <c r="G825" s="470"/>
      <c r="H825" s="469"/>
      <c r="I825" s="470"/>
      <c r="J825" s="470"/>
      <c r="K825" s="344"/>
      <c r="L825" s="469"/>
      <c r="M825" s="469"/>
      <c r="N825" s="469"/>
      <c r="O825" s="469"/>
      <c r="P825" s="469"/>
      <c r="Q825" s="470"/>
      <c r="R825" s="469"/>
      <c r="S825" s="469"/>
      <c r="T825" s="470"/>
      <c r="U825" s="470"/>
      <c r="V825" s="470"/>
      <c r="W825" s="469"/>
      <c r="X825" s="469"/>
      <c r="Y825" s="469"/>
      <c r="Z825" s="470"/>
      <c r="AA825" s="469"/>
      <c r="AB825" s="469"/>
      <c r="AC825" s="469"/>
      <c r="AD825" s="469"/>
      <c r="AE825" s="472"/>
      <c r="AF825" s="472"/>
      <c r="AG825" s="486"/>
      <c r="AH825" s="486"/>
    </row>
    <row r="826" ht="15.75" customHeight="1">
      <c r="A826" s="344"/>
      <c r="B826" s="470"/>
      <c r="C826" s="469"/>
      <c r="D826" s="485"/>
      <c r="E826" s="469"/>
      <c r="F826" s="469"/>
      <c r="G826" s="470"/>
      <c r="H826" s="469"/>
      <c r="I826" s="470"/>
      <c r="J826" s="470"/>
      <c r="K826" s="344"/>
      <c r="L826" s="469"/>
      <c r="M826" s="469"/>
      <c r="N826" s="469"/>
      <c r="O826" s="469"/>
      <c r="P826" s="469"/>
      <c r="Q826" s="470"/>
      <c r="R826" s="469"/>
      <c r="S826" s="469"/>
      <c r="T826" s="470"/>
      <c r="U826" s="470"/>
      <c r="V826" s="470"/>
      <c r="W826" s="469"/>
      <c r="X826" s="469"/>
      <c r="Y826" s="469"/>
      <c r="Z826" s="470"/>
      <c r="AA826" s="469"/>
      <c r="AB826" s="469"/>
      <c r="AC826" s="469"/>
      <c r="AD826" s="469"/>
      <c r="AE826" s="472"/>
      <c r="AF826" s="472"/>
      <c r="AG826" s="486"/>
      <c r="AH826" s="486"/>
    </row>
    <row r="827" ht="15.75" customHeight="1">
      <c r="A827" s="344"/>
      <c r="B827" s="470"/>
      <c r="C827" s="469"/>
      <c r="D827" s="485"/>
      <c r="E827" s="469"/>
      <c r="F827" s="469"/>
      <c r="G827" s="470"/>
      <c r="H827" s="469"/>
      <c r="I827" s="470"/>
      <c r="J827" s="470"/>
      <c r="K827" s="344"/>
      <c r="L827" s="469"/>
      <c r="M827" s="469"/>
      <c r="N827" s="469"/>
      <c r="O827" s="469"/>
      <c r="P827" s="469"/>
      <c r="Q827" s="470"/>
      <c r="R827" s="469"/>
      <c r="S827" s="469"/>
      <c r="T827" s="470"/>
      <c r="U827" s="470"/>
      <c r="V827" s="470"/>
      <c r="W827" s="469"/>
      <c r="X827" s="469"/>
      <c r="Y827" s="469"/>
      <c r="Z827" s="470"/>
      <c r="AA827" s="469"/>
      <c r="AB827" s="469"/>
      <c r="AC827" s="469"/>
      <c r="AD827" s="469"/>
      <c r="AE827" s="472"/>
      <c r="AF827" s="472"/>
      <c r="AG827" s="486"/>
      <c r="AH827" s="486"/>
    </row>
    <row r="828" ht="15.75" customHeight="1">
      <c r="A828" s="344"/>
      <c r="B828" s="470"/>
      <c r="C828" s="469"/>
      <c r="D828" s="485"/>
      <c r="E828" s="469"/>
      <c r="F828" s="469"/>
      <c r="G828" s="470"/>
      <c r="H828" s="469"/>
      <c r="I828" s="470"/>
      <c r="J828" s="470"/>
      <c r="K828" s="344"/>
      <c r="L828" s="469"/>
      <c r="M828" s="469"/>
      <c r="N828" s="469"/>
      <c r="O828" s="469"/>
      <c r="P828" s="469"/>
      <c r="Q828" s="470"/>
      <c r="R828" s="469"/>
      <c r="S828" s="469"/>
      <c r="T828" s="470"/>
      <c r="U828" s="470"/>
      <c r="V828" s="470"/>
      <c r="W828" s="469"/>
      <c r="X828" s="469"/>
      <c r="Y828" s="469"/>
      <c r="Z828" s="470"/>
      <c r="AA828" s="469"/>
      <c r="AB828" s="469"/>
      <c r="AC828" s="469"/>
      <c r="AD828" s="469"/>
      <c r="AE828" s="472"/>
      <c r="AF828" s="472"/>
      <c r="AG828" s="486"/>
      <c r="AH828" s="486"/>
    </row>
    <row r="829" ht="15.75" customHeight="1">
      <c r="A829" s="344"/>
      <c r="B829" s="470"/>
      <c r="C829" s="469"/>
      <c r="D829" s="485"/>
      <c r="E829" s="469"/>
      <c r="F829" s="469"/>
      <c r="G829" s="470"/>
      <c r="H829" s="469"/>
      <c r="I829" s="470"/>
      <c r="J829" s="470"/>
      <c r="K829" s="344"/>
      <c r="L829" s="469"/>
      <c r="M829" s="469"/>
      <c r="N829" s="469"/>
      <c r="O829" s="469"/>
      <c r="P829" s="469"/>
      <c r="Q829" s="470"/>
      <c r="R829" s="469"/>
      <c r="S829" s="469"/>
      <c r="T829" s="470"/>
      <c r="U829" s="470"/>
      <c r="V829" s="470"/>
      <c r="W829" s="469"/>
      <c r="X829" s="469"/>
      <c r="Y829" s="469"/>
      <c r="Z829" s="470"/>
      <c r="AA829" s="469"/>
      <c r="AB829" s="469"/>
      <c r="AC829" s="469"/>
      <c r="AD829" s="469"/>
      <c r="AE829" s="472"/>
      <c r="AF829" s="472"/>
      <c r="AG829" s="486"/>
      <c r="AH829" s="486"/>
    </row>
    <row r="830" ht="15.75" customHeight="1">
      <c r="A830" s="344"/>
      <c r="B830" s="470"/>
      <c r="C830" s="469"/>
      <c r="D830" s="485"/>
      <c r="E830" s="469"/>
      <c r="F830" s="469"/>
      <c r="G830" s="470"/>
      <c r="H830" s="469"/>
      <c r="I830" s="470"/>
      <c r="J830" s="470"/>
      <c r="K830" s="344"/>
      <c r="L830" s="469"/>
      <c r="M830" s="469"/>
      <c r="N830" s="469"/>
      <c r="O830" s="469"/>
      <c r="P830" s="469"/>
      <c r="Q830" s="470"/>
      <c r="R830" s="469"/>
      <c r="S830" s="469"/>
      <c r="T830" s="470"/>
      <c r="U830" s="470"/>
      <c r="V830" s="470"/>
      <c r="W830" s="469"/>
      <c r="X830" s="469"/>
      <c r="Y830" s="469"/>
      <c r="Z830" s="470"/>
      <c r="AA830" s="469"/>
      <c r="AB830" s="469"/>
      <c r="AC830" s="469"/>
      <c r="AD830" s="469"/>
      <c r="AE830" s="472"/>
      <c r="AF830" s="472"/>
      <c r="AG830" s="486"/>
      <c r="AH830" s="486"/>
    </row>
    <row r="831" ht="15.75" customHeight="1">
      <c r="A831" s="344"/>
      <c r="B831" s="470"/>
      <c r="C831" s="469"/>
      <c r="D831" s="485"/>
      <c r="E831" s="469"/>
      <c r="F831" s="469"/>
      <c r="G831" s="470"/>
      <c r="H831" s="469"/>
      <c r="I831" s="470"/>
      <c r="J831" s="470"/>
      <c r="K831" s="344"/>
      <c r="L831" s="469"/>
      <c r="M831" s="469"/>
      <c r="N831" s="469"/>
      <c r="O831" s="469"/>
      <c r="P831" s="469"/>
      <c r="Q831" s="470"/>
      <c r="R831" s="469"/>
      <c r="S831" s="469"/>
      <c r="T831" s="470"/>
      <c r="U831" s="470"/>
      <c r="V831" s="470"/>
      <c r="W831" s="469"/>
      <c r="X831" s="469"/>
      <c r="Y831" s="469"/>
      <c r="Z831" s="470"/>
      <c r="AA831" s="469"/>
      <c r="AB831" s="469"/>
      <c r="AC831" s="469"/>
      <c r="AD831" s="469"/>
      <c r="AE831" s="472"/>
      <c r="AF831" s="472"/>
      <c r="AG831" s="486"/>
      <c r="AH831" s="486"/>
    </row>
    <row r="832" ht="15.75" customHeight="1">
      <c r="A832" s="344"/>
      <c r="B832" s="470"/>
      <c r="C832" s="469"/>
      <c r="D832" s="485"/>
      <c r="E832" s="469"/>
      <c r="F832" s="469"/>
      <c r="G832" s="470"/>
      <c r="H832" s="469"/>
      <c r="I832" s="470"/>
      <c r="J832" s="470"/>
      <c r="K832" s="344"/>
      <c r="L832" s="469"/>
      <c r="M832" s="469"/>
      <c r="N832" s="469"/>
      <c r="O832" s="469"/>
      <c r="P832" s="469"/>
      <c r="Q832" s="470"/>
      <c r="R832" s="469"/>
      <c r="S832" s="469"/>
      <c r="T832" s="470"/>
      <c r="U832" s="470"/>
      <c r="V832" s="470"/>
      <c r="W832" s="469"/>
      <c r="X832" s="469"/>
      <c r="Y832" s="469"/>
      <c r="Z832" s="470"/>
      <c r="AA832" s="469"/>
      <c r="AB832" s="469"/>
      <c r="AC832" s="469"/>
      <c r="AD832" s="469"/>
      <c r="AE832" s="472"/>
      <c r="AF832" s="472"/>
      <c r="AG832" s="486"/>
      <c r="AH832" s="486"/>
    </row>
    <row r="833" ht="15.75" customHeight="1">
      <c r="A833" s="344"/>
      <c r="B833" s="470"/>
      <c r="C833" s="469"/>
      <c r="D833" s="485"/>
      <c r="E833" s="469"/>
      <c r="F833" s="469"/>
      <c r="G833" s="470"/>
      <c r="H833" s="469"/>
      <c r="I833" s="470"/>
      <c r="J833" s="470"/>
      <c r="K833" s="344"/>
      <c r="L833" s="469"/>
      <c r="M833" s="469"/>
      <c r="N833" s="469"/>
      <c r="O833" s="469"/>
      <c r="P833" s="469"/>
      <c r="Q833" s="470"/>
      <c r="R833" s="469"/>
      <c r="S833" s="469"/>
      <c r="T833" s="470"/>
      <c r="U833" s="470"/>
      <c r="V833" s="470"/>
      <c r="W833" s="469"/>
      <c r="X833" s="469"/>
      <c r="Y833" s="469"/>
      <c r="Z833" s="470"/>
      <c r="AA833" s="469"/>
      <c r="AB833" s="469"/>
      <c r="AC833" s="469"/>
      <c r="AD833" s="469"/>
      <c r="AE833" s="472"/>
      <c r="AF833" s="472"/>
      <c r="AG833" s="486"/>
      <c r="AH833" s="486"/>
    </row>
    <row r="834" ht="15.75" customHeight="1">
      <c r="A834" s="344"/>
      <c r="B834" s="470"/>
      <c r="C834" s="469"/>
      <c r="D834" s="485"/>
      <c r="E834" s="469"/>
      <c r="F834" s="469"/>
      <c r="G834" s="470"/>
      <c r="H834" s="469"/>
      <c r="I834" s="470"/>
      <c r="J834" s="470"/>
      <c r="K834" s="344"/>
      <c r="L834" s="469"/>
      <c r="M834" s="469"/>
      <c r="N834" s="469"/>
      <c r="O834" s="469"/>
      <c r="P834" s="469"/>
      <c r="Q834" s="470"/>
      <c r="R834" s="469"/>
      <c r="S834" s="469"/>
      <c r="T834" s="470"/>
      <c r="U834" s="470"/>
      <c r="V834" s="470"/>
      <c r="W834" s="469"/>
      <c r="X834" s="469"/>
      <c r="Y834" s="469"/>
      <c r="Z834" s="470"/>
      <c r="AA834" s="469"/>
      <c r="AB834" s="469"/>
      <c r="AC834" s="469"/>
      <c r="AD834" s="469"/>
      <c r="AE834" s="472"/>
      <c r="AF834" s="472"/>
      <c r="AG834" s="486"/>
      <c r="AH834" s="486"/>
    </row>
    <row r="835" ht="15.75" customHeight="1">
      <c r="A835" s="344"/>
      <c r="B835" s="470"/>
      <c r="C835" s="469"/>
      <c r="D835" s="485"/>
      <c r="E835" s="469"/>
      <c r="F835" s="469"/>
      <c r="G835" s="470"/>
      <c r="H835" s="469"/>
      <c r="I835" s="470"/>
      <c r="J835" s="470"/>
      <c r="K835" s="344"/>
      <c r="L835" s="469"/>
      <c r="M835" s="469"/>
      <c r="N835" s="469"/>
      <c r="O835" s="469"/>
      <c r="P835" s="469"/>
      <c r="Q835" s="470"/>
      <c r="R835" s="469"/>
      <c r="S835" s="469"/>
      <c r="T835" s="470"/>
      <c r="U835" s="470"/>
      <c r="V835" s="470"/>
      <c r="W835" s="469"/>
      <c r="X835" s="469"/>
      <c r="Y835" s="469"/>
      <c r="Z835" s="470"/>
      <c r="AA835" s="469"/>
      <c r="AB835" s="469"/>
      <c r="AC835" s="469"/>
      <c r="AD835" s="469"/>
      <c r="AE835" s="472"/>
      <c r="AF835" s="472"/>
      <c r="AG835" s="486"/>
      <c r="AH835" s="486"/>
    </row>
    <row r="836" ht="15.75" customHeight="1">
      <c r="A836" s="344"/>
      <c r="B836" s="470"/>
      <c r="C836" s="469"/>
      <c r="D836" s="485"/>
      <c r="E836" s="469"/>
      <c r="F836" s="469"/>
      <c r="G836" s="470"/>
      <c r="H836" s="469"/>
      <c r="I836" s="470"/>
      <c r="J836" s="470"/>
      <c r="K836" s="344"/>
      <c r="L836" s="469"/>
      <c r="M836" s="469"/>
      <c r="N836" s="469"/>
      <c r="O836" s="469"/>
      <c r="P836" s="469"/>
      <c r="Q836" s="470"/>
      <c r="R836" s="469"/>
      <c r="S836" s="469"/>
      <c r="T836" s="470"/>
      <c r="U836" s="470"/>
      <c r="V836" s="470"/>
      <c r="W836" s="469"/>
      <c r="X836" s="469"/>
      <c r="Y836" s="469"/>
      <c r="Z836" s="470"/>
      <c r="AA836" s="469"/>
      <c r="AB836" s="469"/>
      <c r="AC836" s="469"/>
      <c r="AD836" s="469"/>
      <c r="AE836" s="472"/>
      <c r="AF836" s="472"/>
      <c r="AG836" s="486"/>
      <c r="AH836" s="486"/>
    </row>
    <row r="837" ht="15.75" customHeight="1">
      <c r="A837" s="344"/>
      <c r="B837" s="470"/>
      <c r="C837" s="469"/>
      <c r="D837" s="485"/>
      <c r="E837" s="469"/>
      <c r="F837" s="469"/>
      <c r="G837" s="470"/>
      <c r="H837" s="469"/>
      <c r="I837" s="470"/>
      <c r="J837" s="470"/>
      <c r="K837" s="344"/>
      <c r="L837" s="469"/>
      <c r="M837" s="469"/>
      <c r="N837" s="469"/>
      <c r="O837" s="469"/>
      <c r="P837" s="469"/>
      <c r="Q837" s="470"/>
      <c r="R837" s="469"/>
      <c r="S837" s="469"/>
      <c r="T837" s="470"/>
      <c r="U837" s="470"/>
      <c r="V837" s="470"/>
      <c r="W837" s="469"/>
      <c r="X837" s="469"/>
      <c r="Y837" s="469"/>
      <c r="Z837" s="470"/>
      <c r="AA837" s="469"/>
      <c r="AB837" s="469"/>
      <c r="AC837" s="469"/>
      <c r="AD837" s="469"/>
      <c r="AE837" s="472"/>
      <c r="AF837" s="472"/>
      <c r="AG837" s="486"/>
      <c r="AH837" s="486"/>
    </row>
    <row r="838" ht="15.75" customHeight="1">
      <c r="A838" s="344"/>
      <c r="B838" s="470"/>
      <c r="C838" s="469"/>
      <c r="D838" s="485"/>
      <c r="E838" s="469"/>
      <c r="F838" s="469"/>
      <c r="G838" s="470"/>
      <c r="H838" s="469"/>
      <c r="I838" s="470"/>
      <c r="J838" s="470"/>
      <c r="K838" s="344"/>
      <c r="L838" s="469"/>
      <c r="M838" s="469"/>
      <c r="N838" s="469"/>
      <c r="O838" s="469"/>
      <c r="P838" s="469"/>
      <c r="Q838" s="470"/>
      <c r="R838" s="469"/>
      <c r="S838" s="469"/>
      <c r="T838" s="470"/>
      <c r="U838" s="470"/>
      <c r="V838" s="470"/>
      <c r="W838" s="469"/>
      <c r="X838" s="469"/>
      <c r="Y838" s="469"/>
      <c r="Z838" s="470"/>
      <c r="AA838" s="469"/>
      <c r="AB838" s="469"/>
      <c r="AC838" s="469"/>
      <c r="AD838" s="469"/>
      <c r="AE838" s="472"/>
      <c r="AF838" s="472"/>
      <c r="AG838" s="486"/>
      <c r="AH838" s="486"/>
    </row>
    <row r="839" ht="15.75" customHeight="1">
      <c r="A839" s="344"/>
      <c r="B839" s="470"/>
      <c r="C839" s="469"/>
      <c r="D839" s="485"/>
      <c r="E839" s="469"/>
      <c r="F839" s="469"/>
      <c r="G839" s="470"/>
      <c r="H839" s="469"/>
      <c r="I839" s="470"/>
      <c r="J839" s="470"/>
      <c r="K839" s="344"/>
      <c r="L839" s="469"/>
      <c r="M839" s="469"/>
      <c r="N839" s="469"/>
      <c r="O839" s="469"/>
      <c r="P839" s="469"/>
      <c r="Q839" s="470"/>
      <c r="R839" s="469"/>
      <c r="S839" s="469"/>
      <c r="T839" s="470"/>
      <c r="U839" s="470"/>
      <c r="V839" s="470"/>
      <c r="W839" s="469"/>
      <c r="X839" s="469"/>
      <c r="Y839" s="469"/>
      <c r="Z839" s="470"/>
      <c r="AA839" s="469"/>
      <c r="AB839" s="469"/>
      <c r="AC839" s="469"/>
      <c r="AD839" s="469"/>
      <c r="AE839" s="472"/>
      <c r="AF839" s="472"/>
      <c r="AG839" s="486"/>
      <c r="AH839" s="486"/>
    </row>
    <row r="840" ht="15.75" customHeight="1">
      <c r="A840" s="344"/>
      <c r="B840" s="470"/>
      <c r="C840" s="469"/>
      <c r="D840" s="485"/>
      <c r="E840" s="469"/>
      <c r="F840" s="469"/>
      <c r="G840" s="470"/>
      <c r="H840" s="469"/>
      <c r="I840" s="470"/>
      <c r="J840" s="470"/>
      <c r="K840" s="344"/>
      <c r="L840" s="469"/>
      <c r="M840" s="469"/>
      <c r="N840" s="469"/>
      <c r="O840" s="469"/>
      <c r="P840" s="469"/>
      <c r="Q840" s="470"/>
      <c r="R840" s="469"/>
      <c r="S840" s="469"/>
      <c r="T840" s="470"/>
      <c r="U840" s="470"/>
      <c r="V840" s="470"/>
      <c r="W840" s="469"/>
      <c r="X840" s="469"/>
      <c r="Y840" s="469"/>
      <c r="Z840" s="470"/>
      <c r="AA840" s="469"/>
      <c r="AB840" s="469"/>
      <c r="AC840" s="469"/>
      <c r="AD840" s="469"/>
      <c r="AE840" s="472"/>
      <c r="AF840" s="472"/>
      <c r="AG840" s="486"/>
      <c r="AH840" s="486"/>
    </row>
    <row r="841" ht="15.75" customHeight="1">
      <c r="A841" s="344"/>
      <c r="B841" s="470"/>
      <c r="C841" s="469"/>
      <c r="D841" s="485"/>
      <c r="E841" s="469"/>
      <c r="F841" s="469"/>
      <c r="G841" s="470"/>
      <c r="H841" s="469"/>
      <c r="I841" s="470"/>
      <c r="J841" s="470"/>
      <c r="K841" s="344"/>
      <c r="L841" s="469"/>
      <c r="M841" s="469"/>
      <c r="N841" s="469"/>
      <c r="O841" s="469"/>
      <c r="P841" s="469"/>
      <c r="Q841" s="470"/>
      <c r="R841" s="469"/>
      <c r="S841" s="469"/>
      <c r="T841" s="470"/>
      <c r="U841" s="470"/>
      <c r="V841" s="470"/>
      <c r="W841" s="469"/>
      <c r="X841" s="469"/>
      <c r="Y841" s="469"/>
      <c r="Z841" s="470"/>
      <c r="AA841" s="469"/>
      <c r="AB841" s="469"/>
      <c r="AC841" s="469"/>
      <c r="AD841" s="469"/>
      <c r="AE841" s="472"/>
      <c r="AF841" s="472"/>
      <c r="AG841" s="486"/>
      <c r="AH841" s="486"/>
    </row>
    <row r="842" ht="15.75" customHeight="1">
      <c r="A842" s="344"/>
      <c r="B842" s="470"/>
      <c r="C842" s="469"/>
      <c r="D842" s="485"/>
      <c r="E842" s="469"/>
      <c r="F842" s="469"/>
      <c r="G842" s="470"/>
      <c r="H842" s="469"/>
      <c r="I842" s="470"/>
      <c r="J842" s="470"/>
      <c r="K842" s="344"/>
      <c r="L842" s="469"/>
      <c r="M842" s="469"/>
      <c r="N842" s="469"/>
      <c r="O842" s="469"/>
      <c r="P842" s="469"/>
      <c r="Q842" s="470"/>
      <c r="R842" s="469"/>
      <c r="S842" s="469"/>
      <c r="T842" s="470"/>
      <c r="U842" s="470"/>
      <c r="V842" s="470"/>
      <c r="W842" s="469"/>
      <c r="X842" s="469"/>
      <c r="Y842" s="469"/>
      <c r="Z842" s="470"/>
      <c r="AA842" s="469"/>
      <c r="AB842" s="469"/>
      <c r="AC842" s="469"/>
      <c r="AD842" s="469"/>
      <c r="AE842" s="472"/>
      <c r="AF842" s="472"/>
      <c r="AG842" s="486"/>
      <c r="AH842" s="486"/>
    </row>
    <row r="843" ht="15.75" customHeight="1">
      <c r="A843" s="344"/>
      <c r="B843" s="470"/>
      <c r="C843" s="469"/>
      <c r="D843" s="485"/>
      <c r="E843" s="469"/>
      <c r="F843" s="469"/>
      <c r="G843" s="470"/>
      <c r="H843" s="469"/>
      <c r="I843" s="470"/>
      <c r="J843" s="470"/>
      <c r="K843" s="344"/>
      <c r="L843" s="469"/>
      <c r="M843" s="469"/>
      <c r="N843" s="469"/>
      <c r="O843" s="469"/>
      <c r="P843" s="469"/>
      <c r="Q843" s="470"/>
      <c r="R843" s="469"/>
      <c r="S843" s="469"/>
      <c r="T843" s="470"/>
      <c r="U843" s="470"/>
      <c r="V843" s="470"/>
      <c r="W843" s="469"/>
      <c r="X843" s="469"/>
      <c r="Y843" s="469"/>
      <c r="Z843" s="470"/>
      <c r="AA843" s="469"/>
      <c r="AB843" s="469"/>
      <c r="AC843" s="469"/>
      <c r="AD843" s="469"/>
      <c r="AE843" s="472"/>
      <c r="AF843" s="472"/>
      <c r="AG843" s="486"/>
      <c r="AH843" s="486"/>
    </row>
    <row r="844" ht="15.75" customHeight="1">
      <c r="A844" s="344"/>
      <c r="B844" s="470"/>
      <c r="C844" s="469"/>
      <c r="D844" s="485"/>
      <c r="E844" s="469"/>
      <c r="F844" s="469"/>
      <c r="G844" s="470"/>
      <c r="H844" s="469"/>
      <c r="I844" s="470"/>
      <c r="J844" s="470"/>
      <c r="K844" s="344"/>
      <c r="L844" s="469"/>
      <c r="M844" s="469"/>
      <c r="N844" s="469"/>
      <c r="O844" s="469"/>
      <c r="P844" s="469"/>
      <c r="Q844" s="470"/>
      <c r="R844" s="469"/>
      <c r="S844" s="469"/>
      <c r="T844" s="470"/>
      <c r="U844" s="470"/>
      <c r="V844" s="470"/>
      <c r="W844" s="469"/>
      <c r="X844" s="469"/>
      <c r="Y844" s="469"/>
      <c r="Z844" s="470"/>
      <c r="AA844" s="469"/>
      <c r="AB844" s="469"/>
      <c r="AC844" s="469"/>
      <c r="AD844" s="469"/>
      <c r="AE844" s="472"/>
      <c r="AF844" s="472"/>
      <c r="AG844" s="486"/>
      <c r="AH844" s="486"/>
    </row>
    <row r="845" ht="15.75" customHeight="1">
      <c r="A845" s="344"/>
      <c r="B845" s="470"/>
      <c r="C845" s="469"/>
      <c r="D845" s="485"/>
      <c r="E845" s="469"/>
      <c r="F845" s="469"/>
      <c r="G845" s="470"/>
      <c r="H845" s="469"/>
      <c r="I845" s="470"/>
      <c r="J845" s="470"/>
      <c r="K845" s="344"/>
      <c r="L845" s="469"/>
      <c r="M845" s="469"/>
      <c r="N845" s="469"/>
      <c r="O845" s="469"/>
      <c r="P845" s="469"/>
      <c r="Q845" s="470"/>
      <c r="R845" s="469"/>
      <c r="S845" s="469"/>
      <c r="T845" s="470"/>
      <c r="U845" s="470"/>
      <c r="V845" s="470"/>
      <c r="W845" s="469"/>
      <c r="X845" s="469"/>
      <c r="Y845" s="469"/>
      <c r="Z845" s="470"/>
      <c r="AA845" s="469"/>
      <c r="AB845" s="469"/>
      <c r="AC845" s="469"/>
      <c r="AD845" s="469"/>
      <c r="AE845" s="472"/>
      <c r="AF845" s="472"/>
      <c r="AG845" s="486"/>
      <c r="AH845" s="486"/>
    </row>
    <row r="846" ht="15.75" customHeight="1">
      <c r="A846" s="344"/>
      <c r="B846" s="470"/>
      <c r="C846" s="469"/>
      <c r="D846" s="485"/>
      <c r="E846" s="469"/>
      <c r="F846" s="469"/>
      <c r="G846" s="470"/>
      <c r="H846" s="469"/>
      <c r="I846" s="470"/>
      <c r="J846" s="470"/>
      <c r="K846" s="344"/>
      <c r="L846" s="469"/>
      <c r="M846" s="469"/>
      <c r="N846" s="469"/>
      <c r="O846" s="469"/>
      <c r="P846" s="469"/>
      <c r="Q846" s="470"/>
      <c r="R846" s="469"/>
      <c r="S846" s="469"/>
      <c r="T846" s="470"/>
      <c r="U846" s="470"/>
      <c r="V846" s="470"/>
      <c r="W846" s="469"/>
      <c r="X846" s="469"/>
      <c r="Y846" s="469"/>
      <c r="Z846" s="470"/>
      <c r="AA846" s="469"/>
      <c r="AB846" s="469"/>
      <c r="AC846" s="469"/>
      <c r="AD846" s="469"/>
      <c r="AE846" s="472"/>
      <c r="AF846" s="472"/>
      <c r="AG846" s="486"/>
      <c r="AH846" s="486"/>
    </row>
    <row r="847" ht="15.75" customHeight="1">
      <c r="A847" s="344"/>
      <c r="B847" s="470"/>
      <c r="C847" s="469"/>
      <c r="D847" s="485"/>
      <c r="E847" s="469"/>
      <c r="F847" s="469"/>
      <c r="G847" s="470"/>
      <c r="H847" s="469"/>
      <c r="I847" s="470"/>
      <c r="J847" s="470"/>
      <c r="K847" s="344"/>
      <c r="L847" s="469"/>
      <c r="M847" s="469"/>
      <c r="N847" s="469"/>
      <c r="O847" s="469"/>
      <c r="P847" s="469"/>
      <c r="Q847" s="470"/>
      <c r="R847" s="469"/>
      <c r="S847" s="469"/>
      <c r="T847" s="470"/>
      <c r="U847" s="470"/>
      <c r="V847" s="470"/>
      <c r="W847" s="469"/>
      <c r="X847" s="469"/>
      <c r="Y847" s="469"/>
      <c r="Z847" s="470"/>
      <c r="AA847" s="469"/>
      <c r="AB847" s="469"/>
      <c r="AC847" s="469"/>
      <c r="AD847" s="469"/>
      <c r="AE847" s="472"/>
      <c r="AF847" s="472"/>
      <c r="AG847" s="486"/>
      <c r="AH847" s="486"/>
    </row>
    <row r="848" ht="15.75" customHeight="1">
      <c r="A848" s="344"/>
      <c r="B848" s="470"/>
      <c r="C848" s="469"/>
      <c r="D848" s="485"/>
      <c r="E848" s="469"/>
      <c r="F848" s="469"/>
      <c r="G848" s="470"/>
      <c r="H848" s="469"/>
      <c r="I848" s="470"/>
      <c r="J848" s="470"/>
      <c r="K848" s="344"/>
      <c r="L848" s="469"/>
      <c r="M848" s="469"/>
      <c r="N848" s="469"/>
      <c r="O848" s="469"/>
      <c r="P848" s="469"/>
      <c r="Q848" s="470"/>
      <c r="R848" s="469"/>
      <c r="S848" s="469"/>
      <c r="T848" s="470"/>
      <c r="U848" s="470"/>
      <c r="V848" s="470"/>
      <c r="W848" s="469"/>
      <c r="X848" s="469"/>
      <c r="Y848" s="469"/>
      <c r="Z848" s="470"/>
      <c r="AA848" s="469"/>
      <c r="AB848" s="469"/>
      <c r="AC848" s="469"/>
      <c r="AD848" s="469"/>
      <c r="AE848" s="472"/>
      <c r="AF848" s="472"/>
      <c r="AG848" s="486"/>
      <c r="AH848" s="486"/>
    </row>
    <row r="849" ht="15.75" customHeight="1">
      <c r="A849" s="344"/>
      <c r="B849" s="470"/>
      <c r="C849" s="469"/>
      <c r="D849" s="485"/>
      <c r="E849" s="469"/>
      <c r="F849" s="469"/>
      <c r="G849" s="470"/>
      <c r="H849" s="469"/>
      <c r="I849" s="470"/>
      <c r="J849" s="470"/>
      <c r="K849" s="344"/>
      <c r="L849" s="469"/>
      <c r="M849" s="469"/>
      <c r="N849" s="469"/>
      <c r="O849" s="469"/>
      <c r="P849" s="469"/>
      <c r="Q849" s="470"/>
      <c r="R849" s="469"/>
      <c r="S849" s="469"/>
      <c r="T849" s="470"/>
      <c r="U849" s="470"/>
      <c r="V849" s="470"/>
      <c r="W849" s="469"/>
      <c r="X849" s="469"/>
      <c r="Y849" s="469"/>
      <c r="Z849" s="470"/>
      <c r="AA849" s="469"/>
      <c r="AB849" s="469"/>
      <c r="AC849" s="469"/>
      <c r="AD849" s="469"/>
      <c r="AE849" s="472"/>
      <c r="AF849" s="472"/>
      <c r="AG849" s="486"/>
      <c r="AH849" s="486"/>
    </row>
    <row r="850" ht="15.75" customHeight="1">
      <c r="A850" s="344"/>
      <c r="B850" s="470"/>
      <c r="C850" s="469"/>
      <c r="D850" s="485"/>
      <c r="E850" s="469"/>
      <c r="F850" s="469"/>
      <c r="G850" s="470"/>
      <c r="H850" s="469"/>
      <c r="I850" s="470"/>
      <c r="J850" s="470"/>
      <c r="K850" s="344"/>
      <c r="L850" s="469"/>
      <c r="M850" s="469"/>
      <c r="N850" s="469"/>
      <c r="O850" s="469"/>
      <c r="P850" s="469"/>
      <c r="Q850" s="470"/>
      <c r="R850" s="469"/>
      <c r="S850" s="469"/>
      <c r="T850" s="470"/>
      <c r="U850" s="470"/>
      <c r="V850" s="470"/>
      <c r="W850" s="469"/>
      <c r="X850" s="469"/>
      <c r="Y850" s="469"/>
      <c r="Z850" s="470"/>
      <c r="AA850" s="469"/>
      <c r="AB850" s="469"/>
      <c r="AC850" s="469"/>
      <c r="AD850" s="469"/>
      <c r="AE850" s="472"/>
      <c r="AF850" s="472"/>
      <c r="AG850" s="486"/>
      <c r="AH850" s="486"/>
    </row>
    <row r="851" ht="15.75" customHeight="1">
      <c r="A851" s="344"/>
      <c r="B851" s="470"/>
      <c r="C851" s="469"/>
      <c r="D851" s="485"/>
      <c r="E851" s="469"/>
      <c r="F851" s="469"/>
      <c r="G851" s="470"/>
      <c r="H851" s="469"/>
      <c r="I851" s="470"/>
      <c r="J851" s="470"/>
      <c r="K851" s="344"/>
      <c r="L851" s="469"/>
      <c r="M851" s="469"/>
      <c r="N851" s="469"/>
      <c r="O851" s="469"/>
      <c r="P851" s="469"/>
      <c r="Q851" s="470"/>
      <c r="R851" s="469"/>
      <c r="S851" s="469"/>
      <c r="T851" s="470"/>
      <c r="U851" s="470"/>
      <c r="V851" s="470"/>
      <c r="W851" s="469"/>
      <c r="X851" s="469"/>
      <c r="Y851" s="469"/>
      <c r="Z851" s="470"/>
      <c r="AA851" s="469"/>
      <c r="AB851" s="469"/>
      <c r="AC851" s="469"/>
      <c r="AD851" s="469"/>
      <c r="AE851" s="472"/>
      <c r="AF851" s="472"/>
      <c r="AG851" s="486"/>
      <c r="AH851" s="486"/>
    </row>
    <row r="852" ht="15.75" customHeight="1">
      <c r="A852" s="344"/>
      <c r="B852" s="470"/>
      <c r="C852" s="469"/>
      <c r="D852" s="485"/>
      <c r="E852" s="469"/>
      <c r="F852" s="469"/>
      <c r="G852" s="470"/>
      <c r="H852" s="469"/>
      <c r="I852" s="470"/>
      <c r="J852" s="470"/>
      <c r="K852" s="344"/>
      <c r="L852" s="469"/>
      <c r="M852" s="469"/>
      <c r="N852" s="469"/>
      <c r="O852" s="469"/>
      <c r="P852" s="469"/>
      <c r="Q852" s="470"/>
      <c r="R852" s="469"/>
      <c r="S852" s="469"/>
      <c r="T852" s="470"/>
      <c r="U852" s="470"/>
      <c r="V852" s="470"/>
      <c r="W852" s="469"/>
      <c r="X852" s="469"/>
      <c r="Y852" s="469"/>
      <c r="Z852" s="470"/>
      <c r="AA852" s="469"/>
      <c r="AB852" s="469"/>
      <c r="AC852" s="469"/>
      <c r="AD852" s="469"/>
      <c r="AE852" s="472"/>
      <c r="AF852" s="472"/>
      <c r="AG852" s="486"/>
      <c r="AH852" s="486"/>
    </row>
    <row r="853" ht="15.75" customHeight="1">
      <c r="A853" s="344"/>
      <c r="B853" s="470"/>
      <c r="C853" s="469"/>
      <c r="D853" s="485"/>
      <c r="E853" s="469"/>
      <c r="F853" s="469"/>
      <c r="G853" s="470"/>
      <c r="H853" s="469"/>
      <c r="I853" s="470"/>
      <c r="J853" s="470"/>
      <c r="K853" s="344"/>
      <c r="L853" s="469"/>
      <c r="M853" s="469"/>
      <c r="N853" s="469"/>
      <c r="O853" s="469"/>
      <c r="P853" s="469"/>
      <c r="Q853" s="470"/>
      <c r="R853" s="469"/>
      <c r="S853" s="469"/>
      <c r="T853" s="470"/>
      <c r="U853" s="470"/>
      <c r="V853" s="470"/>
      <c r="W853" s="469"/>
      <c r="X853" s="469"/>
      <c r="Y853" s="469"/>
      <c r="Z853" s="470"/>
      <c r="AA853" s="469"/>
      <c r="AB853" s="469"/>
      <c r="AC853" s="469"/>
      <c r="AD853" s="469"/>
      <c r="AE853" s="472"/>
      <c r="AF853" s="472"/>
      <c r="AG853" s="486"/>
      <c r="AH853" s="486"/>
    </row>
    <row r="854" ht="15.75" customHeight="1">
      <c r="A854" s="344"/>
      <c r="B854" s="470"/>
      <c r="C854" s="469"/>
      <c r="D854" s="485"/>
      <c r="E854" s="469"/>
      <c r="F854" s="469"/>
      <c r="G854" s="470"/>
      <c r="H854" s="469"/>
      <c r="I854" s="470"/>
      <c r="J854" s="470"/>
      <c r="K854" s="344"/>
      <c r="L854" s="469"/>
      <c r="M854" s="469"/>
      <c r="N854" s="469"/>
      <c r="O854" s="469"/>
      <c r="P854" s="469"/>
      <c r="Q854" s="470"/>
      <c r="R854" s="469"/>
      <c r="S854" s="469"/>
      <c r="T854" s="470"/>
      <c r="U854" s="470"/>
      <c r="V854" s="470"/>
      <c r="W854" s="469"/>
      <c r="X854" s="469"/>
      <c r="Y854" s="469"/>
      <c r="Z854" s="470"/>
      <c r="AA854" s="469"/>
      <c r="AB854" s="469"/>
      <c r="AC854" s="469"/>
      <c r="AD854" s="469"/>
      <c r="AE854" s="472"/>
      <c r="AF854" s="472"/>
      <c r="AG854" s="486"/>
      <c r="AH854" s="486"/>
    </row>
    <row r="855" ht="15.75" customHeight="1">
      <c r="A855" s="344"/>
      <c r="B855" s="470"/>
      <c r="C855" s="469"/>
      <c r="D855" s="485"/>
      <c r="E855" s="469"/>
      <c r="F855" s="469"/>
      <c r="G855" s="470"/>
      <c r="H855" s="469"/>
      <c r="I855" s="470"/>
      <c r="J855" s="470"/>
      <c r="K855" s="344"/>
      <c r="L855" s="469"/>
      <c r="M855" s="469"/>
      <c r="N855" s="469"/>
      <c r="O855" s="469"/>
      <c r="P855" s="469"/>
      <c r="Q855" s="470"/>
      <c r="R855" s="469"/>
      <c r="S855" s="469"/>
      <c r="T855" s="470"/>
      <c r="U855" s="470"/>
      <c r="V855" s="470"/>
      <c r="W855" s="469"/>
      <c r="X855" s="469"/>
      <c r="Y855" s="469"/>
      <c r="Z855" s="470"/>
      <c r="AA855" s="469"/>
      <c r="AB855" s="469"/>
      <c r="AC855" s="469"/>
      <c r="AD855" s="469"/>
      <c r="AE855" s="472"/>
      <c r="AF855" s="472"/>
      <c r="AG855" s="486"/>
      <c r="AH855" s="486"/>
    </row>
    <row r="856" ht="15.75" customHeight="1">
      <c r="A856" s="344"/>
      <c r="B856" s="470"/>
      <c r="C856" s="469"/>
      <c r="D856" s="485"/>
      <c r="E856" s="469"/>
      <c r="F856" s="469"/>
      <c r="G856" s="470"/>
      <c r="H856" s="469"/>
      <c r="I856" s="470"/>
      <c r="J856" s="470"/>
      <c r="K856" s="344"/>
      <c r="L856" s="469"/>
      <c r="M856" s="469"/>
      <c r="N856" s="469"/>
      <c r="O856" s="469"/>
      <c r="P856" s="469"/>
      <c r="Q856" s="470"/>
      <c r="R856" s="469"/>
      <c r="S856" s="469"/>
      <c r="T856" s="470"/>
      <c r="U856" s="470"/>
      <c r="V856" s="470"/>
      <c r="W856" s="469"/>
      <c r="X856" s="469"/>
      <c r="Y856" s="469"/>
      <c r="Z856" s="470"/>
      <c r="AA856" s="469"/>
      <c r="AB856" s="469"/>
      <c r="AC856" s="469"/>
      <c r="AD856" s="469"/>
      <c r="AE856" s="472"/>
      <c r="AF856" s="472"/>
      <c r="AG856" s="486"/>
      <c r="AH856" s="486"/>
    </row>
    <row r="857" ht="15.75" customHeight="1">
      <c r="A857" s="344"/>
      <c r="B857" s="470"/>
      <c r="C857" s="469"/>
      <c r="D857" s="485"/>
      <c r="E857" s="469"/>
      <c r="F857" s="469"/>
      <c r="G857" s="470"/>
      <c r="H857" s="469"/>
      <c r="I857" s="470"/>
      <c r="J857" s="470"/>
      <c r="K857" s="344"/>
      <c r="L857" s="469"/>
      <c r="M857" s="469"/>
      <c r="N857" s="469"/>
      <c r="O857" s="469"/>
      <c r="P857" s="469"/>
      <c r="Q857" s="470"/>
      <c r="R857" s="469"/>
      <c r="S857" s="469"/>
      <c r="T857" s="470"/>
      <c r="U857" s="470"/>
      <c r="V857" s="470"/>
      <c r="W857" s="469"/>
      <c r="X857" s="469"/>
      <c r="Y857" s="469"/>
      <c r="Z857" s="470"/>
      <c r="AA857" s="469"/>
      <c r="AB857" s="469"/>
      <c r="AC857" s="469"/>
      <c r="AD857" s="469"/>
      <c r="AE857" s="472"/>
      <c r="AF857" s="472"/>
      <c r="AG857" s="486"/>
      <c r="AH857" s="486"/>
    </row>
    <row r="858" ht="15.75" customHeight="1">
      <c r="A858" s="344"/>
      <c r="B858" s="470"/>
      <c r="C858" s="469"/>
      <c r="D858" s="485"/>
      <c r="E858" s="469"/>
      <c r="F858" s="469"/>
      <c r="G858" s="470"/>
      <c r="H858" s="469"/>
      <c r="I858" s="470"/>
      <c r="J858" s="470"/>
      <c r="K858" s="344"/>
      <c r="L858" s="469"/>
      <c r="M858" s="469"/>
      <c r="N858" s="469"/>
      <c r="O858" s="469"/>
      <c r="P858" s="469"/>
      <c r="Q858" s="470"/>
      <c r="R858" s="469"/>
      <c r="S858" s="469"/>
      <c r="T858" s="470"/>
      <c r="U858" s="470"/>
      <c r="V858" s="470"/>
      <c r="W858" s="469"/>
      <c r="X858" s="469"/>
      <c r="Y858" s="469"/>
      <c r="Z858" s="470"/>
      <c r="AA858" s="469"/>
      <c r="AB858" s="469"/>
      <c r="AC858" s="469"/>
      <c r="AD858" s="469"/>
      <c r="AE858" s="472"/>
      <c r="AF858" s="472"/>
      <c r="AG858" s="486"/>
      <c r="AH858" s="486"/>
    </row>
    <row r="859" ht="15.75" customHeight="1">
      <c r="A859" s="344"/>
      <c r="B859" s="470"/>
      <c r="C859" s="469"/>
      <c r="D859" s="485"/>
      <c r="E859" s="469"/>
      <c r="F859" s="469"/>
      <c r="G859" s="470"/>
      <c r="H859" s="469"/>
      <c r="I859" s="470"/>
      <c r="J859" s="470"/>
      <c r="K859" s="344"/>
      <c r="L859" s="469"/>
      <c r="M859" s="469"/>
      <c r="N859" s="469"/>
      <c r="O859" s="469"/>
      <c r="P859" s="469"/>
      <c r="Q859" s="470"/>
      <c r="R859" s="469"/>
      <c r="S859" s="469"/>
      <c r="T859" s="470"/>
      <c r="U859" s="470"/>
      <c r="V859" s="470"/>
      <c r="W859" s="469"/>
      <c r="X859" s="469"/>
      <c r="Y859" s="469"/>
      <c r="Z859" s="470"/>
      <c r="AA859" s="469"/>
      <c r="AB859" s="469"/>
      <c r="AC859" s="469"/>
      <c r="AD859" s="469"/>
      <c r="AE859" s="472"/>
      <c r="AF859" s="472"/>
      <c r="AG859" s="486"/>
      <c r="AH859" s="486"/>
    </row>
    <row r="860" ht="15.75" customHeight="1">
      <c r="A860" s="344"/>
      <c r="B860" s="470"/>
      <c r="C860" s="469"/>
      <c r="D860" s="485"/>
      <c r="E860" s="469"/>
      <c r="F860" s="469"/>
      <c r="G860" s="470"/>
      <c r="H860" s="469"/>
      <c r="I860" s="470"/>
      <c r="J860" s="470"/>
      <c r="K860" s="344"/>
      <c r="L860" s="469"/>
      <c r="M860" s="469"/>
      <c r="N860" s="469"/>
      <c r="O860" s="469"/>
      <c r="P860" s="469"/>
      <c r="Q860" s="470"/>
      <c r="R860" s="469"/>
      <c r="S860" s="469"/>
      <c r="T860" s="470"/>
      <c r="U860" s="470"/>
      <c r="V860" s="470"/>
      <c r="W860" s="469"/>
      <c r="X860" s="469"/>
      <c r="Y860" s="469"/>
      <c r="Z860" s="470"/>
      <c r="AA860" s="469"/>
      <c r="AB860" s="469"/>
      <c r="AC860" s="469"/>
      <c r="AD860" s="469"/>
      <c r="AE860" s="472"/>
      <c r="AF860" s="472"/>
      <c r="AG860" s="486"/>
      <c r="AH860" s="486"/>
    </row>
    <row r="861" ht="15.75" customHeight="1">
      <c r="A861" s="344"/>
      <c r="B861" s="470"/>
      <c r="C861" s="469"/>
      <c r="D861" s="485"/>
      <c r="E861" s="469"/>
      <c r="F861" s="469"/>
      <c r="G861" s="470"/>
      <c r="H861" s="469"/>
      <c r="I861" s="470"/>
      <c r="J861" s="470"/>
      <c r="K861" s="344"/>
      <c r="L861" s="469"/>
      <c r="M861" s="469"/>
      <c r="N861" s="469"/>
      <c r="O861" s="469"/>
      <c r="P861" s="469"/>
      <c r="Q861" s="470"/>
      <c r="R861" s="469"/>
      <c r="S861" s="469"/>
      <c r="T861" s="470"/>
      <c r="U861" s="470"/>
      <c r="V861" s="470"/>
      <c r="W861" s="469"/>
      <c r="X861" s="469"/>
      <c r="Y861" s="469"/>
      <c r="Z861" s="470"/>
      <c r="AA861" s="469"/>
      <c r="AB861" s="469"/>
      <c r="AC861" s="469"/>
      <c r="AD861" s="469"/>
      <c r="AE861" s="472"/>
      <c r="AF861" s="472"/>
      <c r="AG861" s="486"/>
      <c r="AH861" s="486"/>
    </row>
    <row r="862" ht="15.75" customHeight="1">
      <c r="A862" s="344"/>
      <c r="B862" s="470"/>
      <c r="C862" s="469"/>
      <c r="D862" s="485"/>
      <c r="E862" s="469"/>
      <c r="F862" s="469"/>
      <c r="G862" s="470"/>
      <c r="H862" s="469"/>
      <c r="I862" s="470"/>
      <c r="J862" s="470"/>
      <c r="K862" s="344"/>
      <c r="L862" s="469"/>
      <c r="M862" s="469"/>
      <c r="N862" s="469"/>
      <c r="O862" s="469"/>
      <c r="P862" s="469"/>
      <c r="Q862" s="470"/>
      <c r="R862" s="469"/>
      <c r="S862" s="469"/>
      <c r="T862" s="470"/>
      <c r="U862" s="470"/>
      <c r="V862" s="470"/>
      <c r="W862" s="469"/>
      <c r="X862" s="469"/>
      <c r="Y862" s="469"/>
      <c r="Z862" s="470"/>
      <c r="AA862" s="469"/>
      <c r="AB862" s="469"/>
      <c r="AC862" s="469"/>
      <c r="AD862" s="469"/>
      <c r="AE862" s="472"/>
      <c r="AF862" s="472"/>
      <c r="AG862" s="486"/>
      <c r="AH862" s="486"/>
    </row>
    <row r="863" ht="15.75" customHeight="1">
      <c r="A863" s="344"/>
      <c r="B863" s="470"/>
      <c r="C863" s="469"/>
      <c r="D863" s="485"/>
      <c r="E863" s="469"/>
      <c r="F863" s="469"/>
      <c r="G863" s="470"/>
      <c r="H863" s="469"/>
      <c r="I863" s="470"/>
      <c r="J863" s="470"/>
      <c r="K863" s="344"/>
      <c r="L863" s="469"/>
      <c r="M863" s="469"/>
      <c r="N863" s="469"/>
      <c r="O863" s="469"/>
      <c r="P863" s="469"/>
      <c r="Q863" s="470"/>
      <c r="R863" s="469"/>
      <c r="S863" s="469"/>
      <c r="T863" s="470"/>
      <c r="U863" s="470"/>
      <c r="V863" s="470"/>
      <c r="W863" s="469"/>
      <c r="X863" s="469"/>
      <c r="Y863" s="469"/>
      <c r="Z863" s="470"/>
      <c r="AA863" s="469"/>
      <c r="AB863" s="469"/>
      <c r="AC863" s="469"/>
      <c r="AD863" s="469"/>
      <c r="AE863" s="472"/>
      <c r="AF863" s="472"/>
      <c r="AG863" s="486"/>
      <c r="AH863" s="486"/>
    </row>
    <row r="864" ht="15.75" customHeight="1">
      <c r="A864" s="344"/>
      <c r="B864" s="470"/>
      <c r="C864" s="469"/>
      <c r="D864" s="485"/>
      <c r="E864" s="469"/>
      <c r="F864" s="469"/>
      <c r="G864" s="470"/>
      <c r="H864" s="469"/>
      <c r="I864" s="470"/>
      <c r="J864" s="470"/>
      <c r="K864" s="344"/>
      <c r="L864" s="469"/>
      <c r="M864" s="469"/>
      <c r="N864" s="469"/>
      <c r="O864" s="469"/>
      <c r="P864" s="469"/>
      <c r="Q864" s="470"/>
      <c r="R864" s="469"/>
      <c r="S864" s="469"/>
      <c r="T864" s="470"/>
      <c r="U864" s="470"/>
      <c r="V864" s="470"/>
      <c r="W864" s="469"/>
      <c r="X864" s="469"/>
      <c r="Y864" s="469"/>
      <c r="Z864" s="470"/>
      <c r="AA864" s="469"/>
      <c r="AB864" s="469"/>
      <c r="AC864" s="469"/>
      <c r="AD864" s="469"/>
      <c r="AE864" s="472"/>
      <c r="AF864" s="472"/>
      <c r="AG864" s="486"/>
      <c r="AH864" s="486"/>
    </row>
    <row r="865" ht="15.75" customHeight="1">
      <c r="A865" s="344"/>
      <c r="B865" s="470"/>
      <c r="C865" s="469"/>
      <c r="D865" s="485"/>
      <c r="E865" s="469"/>
      <c r="F865" s="469"/>
      <c r="G865" s="470"/>
      <c r="H865" s="469"/>
      <c r="I865" s="470"/>
      <c r="J865" s="470"/>
      <c r="K865" s="344"/>
      <c r="L865" s="469"/>
      <c r="M865" s="469"/>
      <c r="N865" s="469"/>
      <c r="O865" s="469"/>
      <c r="P865" s="469"/>
      <c r="Q865" s="470"/>
      <c r="R865" s="469"/>
      <c r="S865" s="469"/>
      <c r="T865" s="470"/>
      <c r="U865" s="470"/>
      <c r="V865" s="470"/>
      <c r="W865" s="469"/>
      <c r="X865" s="469"/>
      <c r="Y865" s="469"/>
      <c r="Z865" s="470"/>
      <c r="AA865" s="469"/>
      <c r="AB865" s="469"/>
      <c r="AC865" s="469"/>
      <c r="AD865" s="469"/>
      <c r="AE865" s="472"/>
      <c r="AF865" s="472"/>
      <c r="AG865" s="486"/>
      <c r="AH865" s="486"/>
    </row>
    <row r="866" ht="15.75" customHeight="1">
      <c r="A866" s="344"/>
      <c r="B866" s="470"/>
      <c r="C866" s="469"/>
      <c r="D866" s="485"/>
      <c r="E866" s="469"/>
      <c r="F866" s="469"/>
      <c r="G866" s="470"/>
      <c r="H866" s="469"/>
      <c r="I866" s="470"/>
      <c r="J866" s="470"/>
      <c r="K866" s="344"/>
      <c r="L866" s="469"/>
      <c r="M866" s="469"/>
      <c r="N866" s="469"/>
      <c r="O866" s="469"/>
      <c r="P866" s="469"/>
      <c r="Q866" s="470"/>
      <c r="R866" s="469"/>
      <c r="S866" s="469"/>
      <c r="T866" s="470"/>
      <c r="U866" s="470"/>
      <c r="V866" s="470"/>
      <c r="W866" s="469"/>
      <c r="X866" s="469"/>
      <c r="Y866" s="469"/>
      <c r="Z866" s="470"/>
      <c r="AA866" s="469"/>
      <c r="AB866" s="469"/>
      <c r="AC866" s="469"/>
      <c r="AD866" s="469"/>
      <c r="AE866" s="472"/>
      <c r="AF866" s="472"/>
      <c r="AG866" s="486"/>
      <c r="AH866" s="486"/>
    </row>
    <row r="867" ht="15.75" customHeight="1">
      <c r="A867" s="344"/>
      <c r="B867" s="470"/>
      <c r="C867" s="469"/>
      <c r="D867" s="485"/>
      <c r="E867" s="469"/>
      <c r="F867" s="469"/>
      <c r="G867" s="470"/>
      <c r="H867" s="469"/>
      <c r="I867" s="470"/>
      <c r="J867" s="470"/>
      <c r="K867" s="344"/>
      <c r="L867" s="469"/>
      <c r="M867" s="469"/>
      <c r="N867" s="469"/>
      <c r="O867" s="469"/>
      <c r="P867" s="469"/>
      <c r="Q867" s="470"/>
      <c r="R867" s="469"/>
      <c r="S867" s="469"/>
      <c r="T867" s="470"/>
      <c r="U867" s="470"/>
      <c r="V867" s="470"/>
      <c r="W867" s="469"/>
      <c r="X867" s="469"/>
      <c r="Y867" s="469"/>
      <c r="Z867" s="470"/>
      <c r="AA867" s="469"/>
      <c r="AB867" s="469"/>
      <c r="AC867" s="469"/>
      <c r="AD867" s="469"/>
      <c r="AE867" s="472"/>
      <c r="AF867" s="472"/>
      <c r="AG867" s="486"/>
      <c r="AH867" s="486"/>
    </row>
    <row r="868" ht="15.75" customHeight="1">
      <c r="A868" s="344"/>
      <c r="B868" s="470"/>
      <c r="C868" s="469"/>
      <c r="D868" s="485"/>
      <c r="E868" s="469"/>
      <c r="F868" s="469"/>
      <c r="G868" s="470"/>
      <c r="H868" s="469"/>
      <c r="I868" s="470"/>
      <c r="J868" s="470"/>
      <c r="K868" s="344"/>
      <c r="L868" s="469"/>
      <c r="M868" s="469"/>
      <c r="N868" s="469"/>
      <c r="O868" s="469"/>
      <c r="P868" s="469"/>
      <c r="Q868" s="470"/>
      <c r="R868" s="469"/>
      <c r="S868" s="469"/>
      <c r="T868" s="470"/>
      <c r="U868" s="470"/>
      <c r="V868" s="470"/>
      <c r="W868" s="469"/>
      <c r="X868" s="469"/>
      <c r="Y868" s="469"/>
      <c r="Z868" s="470"/>
      <c r="AA868" s="469"/>
      <c r="AB868" s="469"/>
      <c r="AC868" s="469"/>
      <c r="AD868" s="469"/>
      <c r="AE868" s="472"/>
      <c r="AF868" s="472"/>
      <c r="AG868" s="486"/>
      <c r="AH868" s="486"/>
    </row>
    <row r="869" ht="15.75" customHeight="1">
      <c r="A869" s="344"/>
      <c r="B869" s="470"/>
      <c r="C869" s="469"/>
      <c r="D869" s="485"/>
      <c r="E869" s="469"/>
      <c r="F869" s="469"/>
      <c r="G869" s="470"/>
      <c r="H869" s="469"/>
      <c r="I869" s="470"/>
      <c r="J869" s="470"/>
      <c r="K869" s="344"/>
      <c r="L869" s="469"/>
      <c r="M869" s="469"/>
      <c r="N869" s="469"/>
      <c r="O869" s="469"/>
      <c r="P869" s="469"/>
      <c r="Q869" s="470"/>
      <c r="R869" s="469"/>
      <c r="S869" s="469"/>
      <c r="T869" s="470"/>
      <c r="U869" s="470"/>
      <c r="V869" s="470"/>
      <c r="W869" s="469"/>
      <c r="X869" s="469"/>
      <c r="Y869" s="469"/>
      <c r="Z869" s="470"/>
      <c r="AA869" s="469"/>
      <c r="AB869" s="469"/>
      <c r="AC869" s="469"/>
      <c r="AD869" s="469"/>
      <c r="AE869" s="472"/>
      <c r="AF869" s="472"/>
      <c r="AG869" s="486"/>
      <c r="AH869" s="486"/>
    </row>
    <row r="870" ht="15.75" customHeight="1">
      <c r="A870" s="344"/>
      <c r="B870" s="470"/>
      <c r="C870" s="469"/>
      <c r="D870" s="485"/>
      <c r="E870" s="469"/>
      <c r="F870" s="469"/>
      <c r="G870" s="470"/>
      <c r="H870" s="469"/>
      <c r="I870" s="470"/>
      <c r="J870" s="470"/>
      <c r="K870" s="344"/>
      <c r="L870" s="469"/>
      <c r="M870" s="469"/>
      <c r="N870" s="469"/>
      <c r="O870" s="469"/>
      <c r="P870" s="469"/>
      <c r="Q870" s="470"/>
      <c r="R870" s="469"/>
      <c r="S870" s="469"/>
      <c r="T870" s="470"/>
      <c r="U870" s="470"/>
      <c r="V870" s="470"/>
      <c r="W870" s="469"/>
      <c r="X870" s="469"/>
      <c r="Y870" s="469"/>
      <c r="Z870" s="470"/>
      <c r="AA870" s="469"/>
      <c r="AB870" s="469"/>
      <c r="AC870" s="469"/>
      <c r="AD870" s="469"/>
      <c r="AE870" s="472"/>
      <c r="AF870" s="472"/>
      <c r="AG870" s="486"/>
      <c r="AH870" s="486"/>
    </row>
    <row r="871" ht="15.75" customHeight="1">
      <c r="A871" s="344"/>
      <c r="B871" s="470"/>
      <c r="C871" s="469"/>
      <c r="D871" s="485"/>
      <c r="E871" s="469"/>
      <c r="F871" s="469"/>
      <c r="G871" s="470"/>
      <c r="H871" s="469"/>
      <c r="I871" s="470"/>
      <c r="J871" s="470"/>
      <c r="K871" s="344"/>
      <c r="L871" s="469"/>
      <c r="M871" s="469"/>
      <c r="N871" s="469"/>
      <c r="O871" s="469"/>
      <c r="P871" s="469"/>
      <c r="Q871" s="470"/>
      <c r="R871" s="469"/>
      <c r="S871" s="469"/>
      <c r="T871" s="470"/>
      <c r="U871" s="470"/>
      <c r="V871" s="470"/>
      <c r="W871" s="469"/>
      <c r="X871" s="469"/>
      <c r="Y871" s="469"/>
      <c r="Z871" s="470"/>
      <c r="AA871" s="469"/>
      <c r="AB871" s="469"/>
      <c r="AC871" s="469"/>
      <c r="AD871" s="469"/>
      <c r="AE871" s="472"/>
      <c r="AF871" s="472"/>
      <c r="AG871" s="486"/>
      <c r="AH871" s="486"/>
    </row>
    <row r="872" ht="15.75" customHeight="1">
      <c r="A872" s="344"/>
      <c r="B872" s="470"/>
      <c r="C872" s="469"/>
      <c r="D872" s="485"/>
      <c r="E872" s="469"/>
      <c r="F872" s="469"/>
      <c r="G872" s="470"/>
      <c r="H872" s="469"/>
      <c r="I872" s="470"/>
      <c r="J872" s="470"/>
      <c r="K872" s="344"/>
      <c r="L872" s="469"/>
      <c r="M872" s="469"/>
      <c r="N872" s="469"/>
      <c r="O872" s="469"/>
      <c r="P872" s="469"/>
      <c r="Q872" s="470"/>
      <c r="R872" s="469"/>
      <c r="S872" s="469"/>
      <c r="T872" s="470"/>
      <c r="U872" s="470"/>
      <c r="V872" s="470"/>
      <c r="W872" s="469"/>
      <c r="X872" s="469"/>
      <c r="Y872" s="469"/>
      <c r="Z872" s="470"/>
      <c r="AA872" s="469"/>
      <c r="AB872" s="469"/>
      <c r="AC872" s="469"/>
      <c r="AD872" s="469"/>
      <c r="AE872" s="472"/>
      <c r="AF872" s="472"/>
      <c r="AG872" s="486"/>
      <c r="AH872" s="486"/>
    </row>
    <row r="873" ht="15.75" customHeight="1">
      <c r="A873" s="344"/>
      <c r="B873" s="470"/>
      <c r="C873" s="469"/>
      <c r="D873" s="485"/>
      <c r="E873" s="469"/>
      <c r="F873" s="469"/>
      <c r="G873" s="470"/>
      <c r="H873" s="469"/>
      <c r="I873" s="470"/>
      <c r="J873" s="470"/>
      <c r="K873" s="344"/>
      <c r="L873" s="469"/>
      <c r="M873" s="469"/>
      <c r="N873" s="469"/>
      <c r="O873" s="469"/>
      <c r="P873" s="469"/>
      <c r="Q873" s="470"/>
      <c r="R873" s="469"/>
      <c r="S873" s="469"/>
      <c r="T873" s="470"/>
      <c r="U873" s="470"/>
      <c r="V873" s="470"/>
      <c r="W873" s="469"/>
      <c r="X873" s="469"/>
      <c r="Y873" s="469"/>
      <c r="Z873" s="470"/>
      <c r="AA873" s="469"/>
      <c r="AB873" s="469"/>
      <c r="AC873" s="469"/>
      <c r="AD873" s="469"/>
      <c r="AE873" s="472"/>
      <c r="AF873" s="472"/>
      <c r="AG873" s="486"/>
      <c r="AH873" s="486"/>
    </row>
    <row r="874" ht="15.75" customHeight="1">
      <c r="A874" s="344"/>
      <c r="B874" s="470"/>
      <c r="C874" s="469"/>
      <c r="D874" s="485"/>
      <c r="E874" s="469"/>
      <c r="F874" s="469"/>
      <c r="G874" s="470"/>
      <c r="H874" s="469"/>
      <c r="I874" s="470"/>
      <c r="J874" s="470"/>
      <c r="K874" s="344"/>
      <c r="L874" s="469"/>
      <c r="M874" s="469"/>
      <c r="N874" s="469"/>
      <c r="O874" s="469"/>
      <c r="P874" s="469"/>
      <c r="Q874" s="470"/>
      <c r="R874" s="469"/>
      <c r="S874" s="469"/>
      <c r="T874" s="470"/>
      <c r="U874" s="470"/>
      <c r="V874" s="470"/>
      <c r="W874" s="469"/>
      <c r="X874" s="469"/>
      <c r="Y874" s="469"/>
      <c r="Z874" s="470"/>
      <c r="AA874" s="469"/>
      <c r="AB874" s="469"/>
      <c r="AC874" s="469"/>
      <c r="AD874" s="469"/>
      <c r="AE874" s="472"/>
      <c r="AF874" s="472"/>
      <c r="AG874" s="503"/>
      <c r="AH874" s="503"/>
    </row>
    <row r="875" ht="15.75" customHeight="1">
      <c r="A875" s="344"/>
      <c r="B875" s="470"/>
      <c r="C875" s="469"/>
      <c r="D875" s="485"/>
      <c r="E875" s="469"/>
      <c r="F875" s="469"/>
      <c r="G875" s="470"/>
      <c r="H875" s="469"/>
      <c r="I875" s="470"/>
      <c r="J875" s="470"/>
      <c r="K875" s="344"/>
      <c r="L875" s="469"/>
      <c r="M875" s="469"/>
      <c r="N875" s="469"/>
      <c r="O875" s="469"/>
      <c r="P875" s="469"/>
      <c r="Q875" s="470"/>
      <c r="R875" s="469"/>
      <c r="S875" s="469"/>
      <c r="T875" s="470"/>
      <c r="U875" s="470"/>
      <c r="V875" s="470"/>
      <c r="W875" s="469"/>
      <c r="X875" s="469"/>
      <c r="Y875" s="469"/>
      <c r="Z875" s="470"/>
      <c r="AA875" s="469"/>
      <c r="AB875" s="469"/>
      <c r="AC875" s="469"/>
      <c r="AD875" s="469"/>
      <c r="AE875" s="472"/>
      <c r="AF875" s="472"/>
      <c r="AG875" s="503"/>
      <c r="AH875" s="503"/>
    </row>
    <row r="876" ht="15.75" customHeight="1">
      <c r="A876" s="344"/>
      <c r="B876" s="470"/>
      <c r="C876" s="469"/>
      <c r="D876" s="485"/>
      <c r="E876" s="469"/>
      <c r="F876" s="469"/>
      <c r="G876" s="470"/>
      <c r="H876" s="469"/>
      <c r="I876" s="470"/>
      <c r="J876" s="470"/>
      <c r="K876" s="344"/>
      <c r="L876" s="469"/>
      <c r="M876" s="469"/>
      <c r="N876" s="469"/>
      <c r="O876" s="469"/>
      <c r="P876" s="469"/>
      <c r="Q876" s="470"/>
      <c r="R876" s="469"/>
      <c r="S876" s="469"/>
      <c r="T876" s="470"/>
      <c r="U876" s="470"/>
      <c r="V876" s="470"/>
      <c r="W876" s="469"/>
      <c r="X876" s="469"/>
      <c r="Y876" s="469"/>
      <c r="Z876" s="470"/>
      <c r="AA876" s="469"/>
      <c r="AB876" s="469"/>
      <c r="AC876" s="469"/>
      <c r="AD876" s="469"/>
      <c r="AE876" s="472"/>
      <c r="AF876" s="472"/>
      <c r="AG876" s="503"/>
      <c r="AH876" s="503"/>
    </row>
    <row r="877" ht="15.75" customHeight="1">
      <c r="A877" s="344"/>
      <c r="B877" s="470"/>
      <c r="C877" s="469"/>
      <c r="D877" s="485"/>
      <c r="E877" s="469"/>
      <c r="F877" s="469"/>
      <c r="G877" s="470"/>
      <c r="H877" s="469"/>
      <c r="I877" s="470"/>
      <c r="J877" s="470"/>
      <c r="K877" s="344"/>
      <c r="L877" s="469"/>
      <c r="M877" s="469"/>
      <c r="N877" s="469"/>
      <c r="O877" s="469"/>
      <c r="P877" s="469"/>
      <c r="Q877" s="470"/>
      <c r="R877" s="469"/>
      <c r="S877" s="469"/>
      <c r="T877" s="470"/>
      <c r="U877" s="470"/>
      <c r="V877" s="470"/>
      <c r="W877" s="469"/>
      <c r="X877" s="469"/>
      <c r="Y877" s="469"/>
      <c r="Z877" s="470"/>
      <c r="AA877" s="469"/>
      <c r="AB877" s="469"/>
      <c r="AC877" s="469"/>
      <c r="AD877" s="469"/>
      <c r="AE877" s="472"/>
      <c r="AF877" s="472"/>
      <c r="AG877" s="503"/>
      <c r="AH877" s="503"/>
    </row>
    <row r="878" ht="15.75" customHeight="1">
      <c r="A878" s="344"/>
      <c r="B878" s="470"/>
      <c r="C878" s="469"/>
      <c r="D878" s="485"/>
      <c r="E878" s="469"/>
      <c r="F878" s="469"/>
      <c r="G878" s="470"/>
      <c r="H878" s="469"/>
      <c r="I878" s="470"/>
      <c r="J878" s="470"/>
      <c r="K878" s="344"/>
      <c r="L878" s="469"/>
      <c r="M878" s="469"/>
      <c r="N878" s="469"/>
      <c r="O878" s="469"/>
      <c r="P878" s="469"/>
      <c r="Q878" s="470"/>
      <c r="R878" s="469"/>
      <c r="S878" s="469"/>
      <c r="T878" s="470"/>
      <c r="U878" s="470"/>
      <c r="V878" s="470"/>
      <c r="W878" s="469"/>
      <c r="X878" s="469"/>
      <c r="Y878" s="469"/>
      <c r="Z878" s="470"/>
      <c r="AA878" s="469"/>
      <c r="AB878" s="469"/>
      <c r="AC878" s="469"/>
      <c r="AD878" s="469"/>
      <c r="AE878" s="472"/>
      <c r="AF878" s="472"/>
      <c r="AG878" s="503"/>
      <c r="AH878" s="503"/>
    </row>
    <row r="879" ht="15.75" customHeight="1">
      <c r="A879" s="344"/>
      <c r="B879" s="470"/>
      <c r="C879" s="469"/>
      <c r="D879" s="485"/>
      <c r="E879" s="469"/>
      <c r="F879" s="469"/>
      <c r="G879" s="470"/>
      <c r="H879" s="469"/>
      <c r="I879" s="470"/>
      <c r="J879" s="470"/>
      <c r="K879" s="344"/>
      <c r="L879" s="469"/>
      <c r="M879" s="469"/>
      <c r="N879" s="469"/>
      <c r="O879" s="469"/>
      <c r="P879" s="469"/>
      <c r="Q879" s="470"/>
      <c r="R879" s="469"/>
      <c r="S879" s="469"/>
      <c r="T879" s="470"/>
      <c r="U879" s="470"/>
      <c r="V879" s="470"/>
      <c r="W879" s="469"/>
      <c r="X879" s="469"/>
      <c r="Y879" s="469"/>
      <c r="Z879" s="470"/>
      <c r="AA879" s="469"/>
      <c r="AB879" s="469"/>
      <c r="AC879" s="469"/>
      <c r="AD879" s="469"/>
      <c r="AE879" s="472"/>
      <c r="AF879" s="472"/>
      <c r="AG879" s="503"/>
      <c r="AH879" s="503"/>
    </row>
    <row r="880" ht="15.75" customHeight="1">
      <c r="A880" s="344"/>
      <c r="B880" s="470"/>
      <c r="C880" s="469"/>
      <c r="D880" s="485"/>
      <c r="E880" s="469"/>
      <c r="F880" s="469"/>
      <c r="G880" s="470"/>
      <c r="H880" s="469"/>
      <c r="I880" s="470"/>
      <c r="J880" s="470"/>
      <c r="K880" s="344"/>
      <c r="L880" s="469"/>
      <c r="M880" s="469"/>
      <c r="N880" s="469"/>
      <c r="O880" s="469"/>
      <c r="P880" s="469"/>
      <c r="Q880" s="470"/>
      <c r="R880" s="469"/>
      <c r="S880" s="469"/>
      <c r="T880" s="470"/>
      <c r="U880" s="470"/>
      <c r="V880" s="470"/>
      <c r="W880" s="469"/>
      <c r="X880" s="469"/>
      <c r="Y880" s="469"/>
      <c r="Z880" s="470"/>
      <c r="AA880" s="469"/>
      <c r="AB880" s="469"/>
      <c r="AC880" s="469"/>
      <c r="AD880" s="469"/>
      <c r="AE880" s="472"/>
      <c r="AF880" s="472"/>
      <c r="AG880" s="503"/>
      <c r="AH880" s="503"/>
    </row>
    <row r="881" ht="15.75" customHeight="1">
      <c r="A881" s="344"/>
      <c r="B881" s="470"/>
      <c r="C881" s="469"/>
      <c r="D881" s="485"/>
      <c r="E881" s="469"/>
      <c r="F881" s="469"/>
      <c r="G881" s="470"/>
      <c r="H881" s="469"/>
      <c r="I881" s="470"/>
      <c r="J881" s="470"/>
      <c r="K881" s="344"/>
      <c r="L881" s="469"/>
      <c r="M881" s="469"/>
      <c r="N881" s="469"/>
      <c r="O881" s="469"/>
      <c r="P881" s="469"/>
      <c r="Q881" s="470"/>
      <c r="R881" s="469"/>
      <c r="S881" s="469"/>
      <c r="T881" s="470"/>
      <c r="U881" s="470"/>
      <c r="V881" s="470"/>
      <c r="W881" s="469"/>
      <c r="X881" s="469"/>
      <c r="Y881" s="469"/>
      <c r="Z881" s="470"/>
      <c r="AA881" s="469"/>
      <c r="AB881" s="469"/>
      <c r="AC881" s="469"/>
      <c r="AD881" s="469"/>
      <c r="AE881" s="472"/>
      <c r="AF881" s="472"/>
      <c r="AG881" s="503"/>
      <c r="AH881" s="503"/>
    </row>
    <row r="882" ht="15.75" customHeight="1">
      <c r="A882" s="344"/>
      <c r="B882" s="470"/>
      <c r="C882" s="469"/>
      <c r="D882" s="485"/>
      <c r="E882" s="469"/>
      <c r="F882" s="469"/>
      <c r="G882" s="470"/>
      <c r="H882" s="469"/>
      <c r="I882" s="470"/>
      <c r="J882" s="470"/>
      <c r="K882" s="344"/>
      <c r="L882" s="469"/>
      <c r="M882" s="469"/>
      <c r="N882" s="469"/>
      <c r="O882" s="469"/>
      <c r="P882" s="469"/>
      <c r="Q882" s="470"/>
      <c r="R882" s="469"/>
      <c r="S882" s="469"/>
      <c r="T882" s="470"/>
      <c r="U882" s="470"/>
      <c r="V882" s="470"/>
      <c r="W882" s="469"/>
      <c r="X882" s="469"/>
      <c r="Y882" s="469"/>
      <c r="Z882" s="470"/>
      <c r="AA882" s="469"/>
      <c r="AB882" s="469"/>
      <c r="AC882" s="469"/>
      <c r="AD882" s="469"/>
      <c r="AE882" s="472"/>
      <c r="AF882" s="472"/>
      <c r="AG882" s="503"/>
      <c r="AH882" s="503"/>
    </row>
    <row r="883" ht="15.75" customHeight="1">
      <c r="A883" s="344"/>
      <c r="B883" s="470"/>
      <c r="C883" s="469"/>
      <c r="D883" s="485"/>
      <c r="E883" s="469"/>
      <c r="F883" s="469"/>
      <c r="G883" s="470"/>
      <c r="H883" s="469"/>
      <c r="I883" s="470"/>
      <c r="J883" s="470"/>
      <c r="K883" s="344"/>
      <c r="L883" s="469"/>
      <c r="M883" s="469"/>
      <c r="N883" s="469"/>
      <c r="O883" s="469"/>
      <c r="P883" s="469"/>
      <c r="Q883" s="470"/>
      <c r="R883" s="469"/>
      <c r="S883" s="469"/>
      <c r="T883" s="470"/>
      <c r="U883" s="470"/>
      <c r="V883" s="470"/>
      <c r="W883" s="469"/>
      <c r="X883" s="469"/>
      <c r="Y883" s="469"/>
      <c r="Z883" s="470"/>
      <c r="AA883" s="469"/>
      <c r="AB883" s="469"/>
      <c r="AC883" s="469"/>
      <c r="AD883" s="469"/>
      <c r="AE883" s="472"/>
      <c r="AF883" s="472"/>
      <c r="AG883" s="503"/>
      <c r="AH883" s="503"/>
    </row>
    <row r="884" ht="15.75" customHeight="1">
      <c r="A884" s="344"/>
      <c r="B884" s="470"/>
      <c r="C884" s="469"/>
      <c r="D884" s="485"/>
      <c r="E884" s="469"/>
      <c r="F884" s="469"/>
      <c r="G884" s="470"/>
      <c r="H884" s="469"/>
      <c r="I884" s="470"/>
      <c r="J884" s="470"/>
      <c r="K884" s="344"/>
      <c r="L884" s="469"/>
      <c r="M884" s="469"/>
      <c r="N884" s="469"/>
      <c r="O884" s="469"/>
      <c r="P884" s="469"/>
      <c r="Q884" s="470"/>
      <c r="R884" s="469"/>
      <c r="S884" s="469"/>
      <c r="T884" s="470"/>
      <c r="U884" s="470"/>
      <c r="V884" s="470"/>
      <c r="W884" s="469"/>
      <c r="X884" s="469"/>
      <c r="Y884" s="469"/>
      <c r="Z884" s="470"/>
      <c r="AA884" s="469"/>
      <c r="AB884" s="469"/>
      <c r="AC884" s="469"/>
      <c r="AD884" s="469"/>
      <c r="AE884" s="472"/>
      <c r="AF884" s="472"/>
      <c r="AG884" s="503"/>
      <c r="AH884" s="503"/>
    </row>
    <row r="885" ht="15.75" customHeight="1">
      <c r="A885" s="344"/>
      <c r="B885" s="470"/>
      <c r="C885" s="469"/>
      <c r="D885" s="485"/>
      <c r="E885" s="469"/>
      <c r="F885" s="469"/>
      <c r="G885" s="470"/>
      <c r="H885" s="469"/>
      <c r="I885" s="470"/>
      <c r="J885" s="470"/>
      <c r="K885" s="344"/>
      <c r="L885" s="469"/>
      <c r="M885" s="469"/>
      <c r="N885" s="469"/>
      <c r="O885" s="469"/>
      <c r="P885" s="469"/>
      <c r="Q885" s="470"/>
      <c r="R885" s="469"/>
      <c r="S885" s="469"/>
      <c r="T885" s="470"/>
      <c r="U885" s="470"/>
      <c r="V885" s="470"/>
      <c r="W885" s="469"/>
      <c r="X885" s="469"/>
      <c r="Y885" s="469"/>
      <c r="Z885" s="470"/>
      <c r="AA885" s="469"/>
      <c r="AB885" s="469"/>
      <c r="AC885" s="469"/>
      <c r="AD885" s="469"/>
      <c r="AE885" s="472"/>
      <c r="AF885" s="472"/>
      <c r="AG885" s="503"/>
      <c r="AH885" s="503"/>
    </row>
    <row r="886" ht="15.75" customHeight="1">
      <c r="A886" s="344"/>
      <c r="B886" s="470"/>
      <c r="C886" s="469"/>
      <c r="D886" s="485"/>
      <c r="E886" s="469"/>
      <c r="F886" s="469"/>
      <c r="G886" s="470"/>
      <c r="H886" s="469"/>
      <c r="I886" s="470"/>
      <c r="J886" s="470"/>
      <c r="K886" s="344"/>
      <c r="L886" s="469"/>
      <c r="M886" s="469"/>
      <c r="N886" s="469"/>
      <c r="O886" s="469"/>
      <c r="P886" s="469"/>
      <c r="Q886" s="470"/>
      <c r="R886" s="469"/>
      <c r="S886" s="469"/>
      <c r="T886" s="470"/>
      <c r="U886" s="470"/>
      <c r="V886" s="470"/>
      <c r="W886" s="469"/>
      <c r="X886" s="469"/>
      <c r="Y886" s="469"/>
      <c r="Z886" s="470"/>
      <c r="AA886" s="469"/>
      <c r="AB886" s="469"/>
      <c r="AC886" s="469"/>
      <c r="AD886" s="469"/>
      <c r="AE886" s="472"/>
      <c r="AF886" s="472"/>
      <c r="AG886" s="503"/>
      <c r="AH886" s="503"/>
    </row>
    <row r="887" ht="15.75" customHeight="1">
      <c r="A887" s="344"/>
      <c r="B887" s="470"/>
      <c r="C887" s="469"/>
      <c r="D887" s="485"/>
      <c r="E887" s="469"/>
      <c r="F887" s="469"/>
      <c r="G887" s="470"/>
      <c r="H887" s="469"/>
      <c r="I887" s="470"/>
      <c r="J887" s="470"/>
      <c r="K887" s="344"/>
      <c r="L887" s="469"/>
      <c r="M887" s="469"/>
      <c r="N887" s="469"/>
      <c r="O887" s="469"/>
      <c r="P887" s="469"/>
      <c r="Q887" s="470"/>
      <c r="R887" s="469"/>
      <c r="S887" s="469"/>
      <c r="T887" s="470"/>
      <c r="U887" s="470"/>
      <c r="V887" s="470"/>
      <c r="W887" s="469"/>
      <c r="X887" s="469"/>
      <c r="Y887" s="469"/>
      <c r="Z887" s="470"/>
      <c r="AA887" s="469"/>
      <c r="AB887" s="469"/>
      <c r="AC887" s="469"/>
      <c r="AD887" s="469"/>
      <c r="AE887" s="472"/>
      <c r="AF887" s="472"/>
      <c r="AG887" s="503"/>
      <c r="AH887" s="503"/>
    </row>
    <row r="888" ht="15.75" customHeight="1">
      <c r="A888" s="344"/>
      <c r="B888" s="470"/>
      <c r="C888" s="469"/>
      <c r="D888" s="485"/>
      <c r="E888" s="469"/>
      <c r="F888" s="469"/>
      <c r="G888" s="470"/>
      <c r="H888" s="469"/>
      <c r="I888" s="470"/>
      <c r="J888" s="470"/>
      <c r="K888" s="344"/>
      <c r="L888" s="469"/>
      <c r="M888" s="469"/>
      <c r="N888" s="469"/>
      <c r="O888" s="469"/>
      <c r="P888" s="469"/>
      <c r="Q888" s="470"/>
      <c r="R888" s="469"/>
      <c r="S888" s="469"/>
      <c r="T888" s="470"/>
      <c r="U888" s="470"/>
      <c r="V888" s="470"/>
      <c r="W888" s="469"/>
      <c r="X888" s="469"/>
      <c r="Y888" s="469"/>
      <c r="Z888" s="470"/>
      <c r="AA888" s="469"/>
      <c r="AB888" s="469"/>
      <c r="AC888" s="469"/>
      <c r="AD888" s="469"/>
      <c r="AE888" s="472"/>
      <c r="AF888" s="472"/>
      <c r="AG888" s="503"/>
      <c r="AH888" s="503"/>
    </row>
    <row r="889" ht="15.75" customHeight="1">
      <c r="A889" s="344"/>
      <c r="B889" s="470"/>
      <c r="C889" s="469"/>
      <c r="D889" s="485"/>
      <c r="E889" s="469"/>
      <c r="F889" s="469"/>
      <c r="G889" s="470"/>
      <c r="H889" s="469"/>
      <c r="I889" s="470"/>
      <c r="J889" s="470"/>
      <c r="K889" s="344"/>
      <c r="L889" s="469"/>
      <c r="M889" s="469"/>
      <c r="N889" s="469"/>
      <c r="O889" s="469"/>
      <c r="P889" s="469"/>
      <c r="Q889" s="470"/>
      <c r="R889" s="469"/>
      <c r="S889" s="469"/>
      <c r="T889" s="470"/>
      <c r="U889" s="470"/>
      <c r="V889" s="470"/>
      <c r="W889" s="469"/>
      <c r="X889" s="469"/>
      <c r="Y889" s="469"/>
      <c r="Z889" s="470"/>
      <c r="AA889" s="469"/>
      <c r="AB889" s="469"/>
      <c r="AC889" s="469"/>
      <c r="AD889" s="469"/>
      <c r="AE889" s="472"/>
      <c r="AF889" s="472"/>
      <c r="AG889" s="503"/>
      <c r="AH889" s="503"/>
    </row>
    <row r="890" ht="15.75" customHeight="1">
      <c r="A890" s="344"/>
      <c r="B890" s="470"/>
      <c r="C890" s="469"/>
      <c r="D890" s="485"/>
      <c r="E890" s="469"/>
      <c r="F890" s="469"/>
      <c r="G890" s="470"/>
      <c r="H890" s="469"/>
      <c r="I890" s="470"/>
      <c r="J890" s="470"/>
      <c r="K890" s="344"/>
      <c r="L890" s="469"/>
      <c r="M890" s="469"/>
      <c r="N890" s="469"/>
      <c r="O890" s="469"/>
      <c r="P890" s="469"/>
      <c r="Q890" s="470"/>
      <c r="R890" s="469"/>
      <c r="S890" s="469"/>
      <c r="T890" s="470"/>
      <c r="U890" s="470"/>
      <c r="V890" s="470"/>
      <c r="W890" s="469"/>
      <c r="X890" s="469"/>
      <c r="Y890" s="469"/>
      <c r="Z890" s="470"/>
      <c r="AA890" s="469"/>
      <c r="AB890" s="469"/>
      <c r="AC890" s="469"/>
      <c r="AD890" s="469"/>
      <c r="AE890" s="472"/>
      <c r="AF890" s="472"/>
      <c r="AG890" s="503"/>
      <c r="AH890" s="503"/>
    </row>
    <row r="891" ht="15.75" customHeight="1">
      <c r="A891" s="344"/>
      <c r="B891" s="470"/>
      <c r="C891" s="469"/>
      <c r="D891" s="485"/>
      <c r="E891" s="469"/>
      <c r="F891" s="469"/>
      <c r="G891" s="470"/>
      <c r="H891" s="469"/>
      <c r="I891" s="470"/>
      <c r="J891" s="470"/>
      <c r="K891" s="344"/>
      <c r="L891" s="469"/>
      <c r="M891" s="469"/>
      <c r="N891" s="469"/>
      <c r="O891" s="469"/>
      <c r="P891" s="469"/>
      <c r="Q891" s="470"/>
      <c r="R891" s="469"/>
      <c r="S891" s="469"/>
      <c r="T891" s="470"/>
      <c r="U891" s="470"/>
      <c r="V891" s="470"/>
      <c r="W891" s="469"/>
      <c r="X891" s="469"/>
      <c r="Y891" s="469"/>
      <c r="Z891" s="470"/>
      <c r="AA891" s="469"/>
      <c r="AB891" s="469"/>
      <c r="AC891" s="469"/>
      <c r="AD891" s="469"/>
      <c r="AE891" s="472"/>
      <c r="AF891" s="472"/>
      <c r="AG891" s="503"/>
      <c r="AH891" s="503"/>
    </row>
    <row r="892" ht="15.75" customHeight="1">
      <c r="A892" s="344"/>
      <c r="B892" s="470"/>
      <c r="C892" s="469"/>
      <c r="D892" s="485"/>
      <c r="E892" s="469"/>
      <c r="F892" s="469"/>
      <c r="G892" s="470"/>
      <c r="H892" s="469"/>
      <c r="I892" s="470"/>
      <c r="J892" s="470"/>
      <c r="K892" s="344"/>
      <c r="L892" s="469"/>
      <c r="M892" s="469"/>
      <c r="N892" s="469"/>
      <c r="O892" s="469"/>
      <c r="P892" s="469"/>
      <c r="Q892" s="470"/>
      <c r="R892" s="469"/>
      <c r="S892" s="469"/>
      <c r="T892" s="470"/>
      <c r="U892" s="470"/>
      <c r="V892" s="470"/>
      <c r="W892" s="469"/>
      <c r="X892" s="469"/>
      <c r="Y892" s="469"/>
      <c r="Z892" s="470"/>
      <c r="AA892" s="469"/>
      <c r="AB892" s="469"/>
      <c r="AC892" s="469"/>
      <c r="AD892" s="469"/>
      <c r="AE892" s="472"/>
      <c r="AF892" s="472"/>
      <c r="AG892" s="503"/>
      <c r="AH892" s="503"/>
    </row>
    <row r="893" ht="15.75" customHeight="1">
      <c r="A893" s="344"/>
      <c r="B893" s="470"/>
      <c r="C893" s="469"/>
      <c r="D893" s="485"/>
      <c r="E893" s="469"/>
      <c r="F893" s="469"/>
      <c r="G893" s="470"/>
      <c r="H893" s="469"/>
      <c r="I893" s="470"/>
      <c r="J893" s="470"/>
      <c r="K893" s="344"/>
      <c r="L893" s="469"/>
      <c r="M893" s="469"/>
      <c r="N893" s="469"/>
      <c r="O893" s="469"/>
      <c r="P893" s="469"/>
      <c r="Q893" s="470"/>
      <c r="R893" s="469"/>
      <c r="S893" s="469"/>
      <c r="T893" s="470"/>
      <c r="U893" s="470"/>
      <c r="V893" s="470"/>
      <c r="W893" s="469"/>
      <c r="X893" s="469"/>
      <c r="Y893" s="469"/>
      <c r="Z893" s="470"/>
      <c r="AA893" s="469"/>
      <c r="AB893" s="469"/>
      <c r="AC893" s="469"/>
      <c r="AD893" s="469"/>
      <c r="AE893" s="472"/>
      <c r="AF893" s="472"/>
      <c r="AG893" s="503"/>
      <c r="AH893" s="503"/>
    </row>
    <row r="894" ht="15.75" customHeight="1">
      <c r="A894" s="344"/>
      <c r="B894" s="470"/>
      <c r="C894" s="469"/>
      <c r="D894" s="485"/>
      <c r="E894" s="469"/>
      <c r="F894" s="469"/>
      <c r="G894" s="470"/>
      <c r="H894" s="469"/>
      <c r="I894" s="470"/>
      <c r="J894" s="470"/>
      <c r="K894" s="344"/>
      <c r="L894" s="469"/>
      <c r="M894" s="469"/>
      <c r="N894" s="469"/>
      <c r="O894" s="469"/>
      <c r="P894" s="469"/>
      <c r="Q894" s="470"/>
      <c r="R894" s="469"/>
      <c r="S894" s="469"/>
      <c r="T894" s="470"/>
      <c r="U894" s="470"/>
      <c r="V894" s="470"/>
      <c r="W894" s="469"/>
      <c r="X894" s="469"/>
      <c r="Y894" s="469"/>
      <c r="Z894" s="470"/>
      <c r="AA894" s="469"/>
      <c r="AB894" s="469"/>
      <c r="AC894" s="469"/>
      <c r="AD894" s="469"/>
      <c r="AE894" s="472"/>
      <c r="AF894" s="472"/>
      <c r="AG894" s="503"/>
      <c r="AH894" s="503"/>
    </row>
    <row r="895" ht="15.75" customHeight="1">
      <c r="A895" s="344"/>
      <c r="B895" s="470"/>
      <c r="C895" s="469"/>
      <c r="D895" s="485"/>
      <c r="E895" s="469"/>
      <c r="F895" s="469"/>
      <c r="G895" s="470"/>
      <c r="H895" s="469"/>
      <c r="I895" s="470"/>
      <c r="J895" s="470"/>
      <c r="K895" s="344"/>
      <c r="L895" s="469"/>
      <c r="M895" s="469"/>
      <c r="N895" s="469"/>
      <c r="O895" s="469"/>
      <c r="P895" s="469"/>
      <c r="Q895" s="470"/>
      <c r="R895" s="469"/>
      <c r="S895" s="469"/>
      <c r="T895" s="470"/>
      <c r="U895" s="470"/>
      <c r="V895" s="470"/>
      <c r="W895" s="469"/>
      <c r="X895" s="469"/>
      <c r="Y895" s="469"/>
      <c r="Z895" s="470"/>
      <c r="AA895" s="469"/>
      <c r="AB895" s="469"/>
      <c r="AC895" s="469"/>
      <c r="AD895" s="469"/>
      <c r="AE895" s="472"/>
      <c r="AF895" s="472"/>
      <c r="AG895" s="503"/>
      <c r="AH895" s="503"/>
    </row>
    <row r="896" ht="15.75" customHeight="1">
      <c r="A896" s="344"/>
      <c r="B896" s="470"/>
      <c r="C896" s="469"/>
      <c r="D896" s="485"/>
      <c r="E896" s="469"/>
      <c r="F896" s="469"/>
      <c r="G896" s="470"/>
      <c r="H896" s="469"/>
      <c r="I896" s="470"/>
      <c r="J896" s="470"/>
      <c r="K896" s="344"/>
      <c r="L896" s="469"/>
      <c r="M896" s="469"/>
      <c r="N896" s="469"/>
      <c r="O896" s="469"/>
      <c r="P896" s="469"/>
      <c r="Q896" s="470"/>
      <c r="R896" s="469"/>
      <c r="S896" s="469"/>
      <c r="T896" s="470"/>
      <c r="U896" s="470"/>
      <c r="V896" s="470"/>
      <c r="W896" s="469"/>
      <c r="X896" s="469"/>
      <c r="Y896" s="469"/>
      <c r="Z896" s="470"/>
      <c r="AA896" s="469"/>
      <c r="AB896" s="469"/>
      <c r="AC896" s="469"/>
      <c r="AD896" s="469"/>
      <c r="AE896" s="472"/>
      <c r="AF896" s="472"/>
      <c r="AG896" s="503"/>
      <c r="AH896" s="503"/>
    </row>
    <row r="897" ht="15.75" customHeight="1">
      <c r="A897" s="344"/>
      <c r="B897" s="470"/>
      <c r="C897" s="469"/>
      <c r="D897" s="485"/>
      <c r="E897" s="469"/>
      <c r="F897" s="469"/>
      <c r="G897" s="470"/>
      <c r="H897" s="469"/>
      <c r="I897" s="470"/>
      <c r="J897" s="470"/>
      <c r="K897" s="344"/>
      <c r="L897" s="469"/>
      <c r="M897" s="469"/>
      <c r="N897" s="469"/>
      <c r="O897" s="469"/>
      <c r="P897" s="469"/>
      <c r="Q897" s="470"/>
      <c r="R897" s="469"/>
      <c r="S897" s="469"/>
      <c r="T897" s="470"/>
      <c r="U897" s="470"/>
      <c r="V897" s="470"/>
      <c r="W897" s="469"/>
      <c r="X897" s="469"/>
      <c r="Y897" s="469"/>
      <c r="Z897" s="470"/>
      <c r="AA897" s="469"/>
      <c r="AB897" s="469"/>
      <c r="AC897" s="469"/>
      <c r="AD897" s="469"/>
      <c r="AE897" s="472"/>
      <c r="AF897" s="472"/>
      <c r="AG897" s="503"/>
      <c r="AH897" s="503"/>
    </row>
    <row r="898" ht="15.75" customHeight="1">
      <c r="A898" s="344"/>
      <c r="B898" s="470"/>
      <c r="C898" s="469"/>
      <c r="D898" s="485"/>
      <c r="E898" s="469"/>
      <c r="F898" s="469"/>
      <c r="G898" s="470"/>
      <c r="H898" s="469"/>
      <c r="I898" s="470"/>
      <c r="J898" s="470"/>
      <c r="K898" s="344"/>
      <c r="L898" s="469"/>
      <c r="M898" s="469"/>
      <c r="N898" s="469"/>
      <c r="O898" s="469"/>
      <c r="P898" s="469"/>
      <c r="Q898" s="470"/>
      <c r="R898" s="469"/>
      <c r="S898" s="469"/>
      <c r="T898" s="470"/>
      <c r="U898" s="470"/>
      <c r="V898" s="470"/>
      <c r="W898" s="469"/>
      <c r="X898" s="469"/>
      <c r="Y898" s="469"/>
      <c r="Z898" s="470"/>
      <c r="AA898" s="469"/>
      <c r="AB898" s="469"/>
      <c r="AC898" s="469"/>
      <c r="AD898" s="469"/>
      <c r="AE898" s="472"/>
      <c r="AF898" s="472"/>
      <c r="AG898" s="503"/>
      <c r="AH898" s="503"/>
    </row>
    <row r="899" ht="15.75" customHeight="1">
      <c r="A899" s="344"/>
      <c r="B899" s="470"/>
      <c r="C899" s="469"/>
      <c r="D899" s="485"/>
      <c r="E899" s="469"/>
      <c r="F899" s="469"/>
      <c r="G899" s="470"/>
      <c r="H899" s="469"/>
      <c r="I899" s="470"/>
      <c r="J899" s="470"/>
      <c r="K899" s="344"/>
      <c r="L899" s="469"/>
      <c r="M899" s="469"/>
      <c r="N899" s="469"/>
      <c r="O899" s="469"/>
      <c r="P899" s="469"/>
      <c r="Q899" s="470"/>
      <c r="R899" s="469"/>
      <c r="S899" s="469"/>
      <c r="T899" s="470"/>
      <c r="U899" s="470"/>
      <c r="V899" s="470"/>
      <c r="W899" s="469"/>
      <c r="X899" s="469"/>
      <c r="Y899" s="469"/>
      <c r="Z899" s="470"/>
      <c r="AA899" s="469"/>
      <c r="AB899" s="469"/>
      <c r="AC899" s="469"/>
      <c r="AD899" s="469"/>
      <c r="AE899" s="472"/>
      <c r="AF899" s="472"/>
      <c r="AG899" s="503"/>
      <c r="AH899" s="503"/>
    </row>
    <row r="900" ht="15.75" customHeight="1">
      <c r="A900" s="344"/>
      <c r="B900" s="470"/>
      <c r="C900" s="469"/>
      <c r="D900" s="485"/>
      <c r="E900" s="469"/>
      <c r="F900" s="469"/>
      <c r="G900" s="470"/>
      <c r="H900" s="469"/>
      <c r="I900" s="470"/>
      <c r="J900" s="470"/>
      <c r="K900" s="344"/>
      <c r="L900" s="469"/>
      <c r="M900" s="469"/>
      <c r="N900" s="469"/>
      <c r="O900" s="469"/>
      <c r="P900" s="469"/>
      <c r="Q900" s="470"/>
      <c r="R900" s="469"/>
      <c r="S900" s="469"/>
      <c r="T900" s="470"/>
      <c r="U900" s="470"/>
      <c r="V900" s="470"/>
      <c r="W900" s="469"/>
      <c r="X900" s="469"/>
      <c r="Y900" s="469"/>
      <c r="Z900" s="470"/>
      <c r="AA900" s="469"/>
      <c r="AB900" s="469"/>
      <c r="AC900" s="469"/>
      <c r="AD900" s="469"/>
      <c r="AE900" s="472"/>
      <c r="AF900" s="472"/>
      <c r="AG900" s="503"/>
      <c r="AH900" s="503"/>
    </row>
    <row r="901" ht="15.75" customHeight="1">
      <c r="A901" s="344"/>
      <c r="B901" s="470"/>
      <c r="C901" s="469"/>
      <c r="D901" s="485"/>
      <c r="E901" s="469"/>
      <c r="F901" s="469"/>
      <c r="G901" s="470"/>
      <c r="H901" s="469"/>
      <c r="I901" s="470"/>
      <c r="J901" s="470"/>
      <c r="K901" s="344"/>
      <c r="L901" s="469"/>
      <c r="M901" s="469"/>
      <c r="N901" s="469"/>
      <c r="O901" s="469"/>
      <c r="P901" s="469"/>
      <c r="Q901" s="470"/>
      <c r="R901" s="469"/>
      <c r="S901" s="469"/>
      <c r="T901" s="470"/>
      <c r="U901" s="470"/>
      <c r="V901" s="470"/>
      <c r="W901" s="469"/>
      <c r="X901" s="469"/>
      <c r="Y901" s="469"/>
      <c r="Z901" s="470"/>
      <c r="AA901" s="469"/>
      <c r="AB901" s="469"/>
      <c r="AC901" s="469"/>
      <c r="AD901" s="469"/>
      <c r="AE901" s="472"/>
      <c r="AF901" s="472"/>
      <c r="AG901" s="503"/>
      <c r="AH901" s="503"/>
    </row>
    <row r="902" ht="15.75" customHeight="1">
      <c r="A902" s="344"/>
      <c r="B902" s="470"/>
      <c r="C902" s="469"/>
      <c r="D902" s="485"/>
      <c r="E902" s="469"/>
      <c r="F902" s="469"/>
      <c r="G902" s="470"/>
      <c r="H902" s="469"/>
      <c r="I902" s="470"/>
      <c r="J902" s="470"/>
      <c r="K902" s="344"/>
      <c r="L902" s="469"/>
      <c r="M902" s="469"/>
      <c r="N902" s="469"/>
      <c r="O902" s="469"/>
      <c r="P902" s="469"/>
      <c r="Q902" s="470"/>
      <c r="R902" s="469"/>
      <c r="S902" s="469"/>
      <c r="T902" s="470"/>
      <c r="U902" s="470"/>
      <c r="V902" s="470"/>
      <c r="W902" s="469"/>
      <c r="X902" s="469"/>
      <c r="Y902" s="469"/>
      <c r="Z902" s="470"/>
      <c r="AA902" s="469"/>
      <c r="AB902" s="469"/>
      <c r="AC902" s="469"/>
      <c r="AD902" s="469"/>
      <c r="AE902" s="472"/>
      <c r="AF902" s="472"/>
      <c r="AG902" s="503"/>
      <c r="AH902" s="503"/>
    </row>
    <row r="903" ht="15.75" customHeight="1">
      <c r="A903" s="344"/>
      <c r="B903" s="470"/>
      <c r="C903" s="469"/>
      <c r="D903" s="485"/>
      <c r="E903" s="469"/>
      <c r="F903" s="469"/>
      <c r="G903" s="470"/>
      <c r="H903" s="469"/>
      <c r="I903" s="470"/>
      <c r="J903" s="470"/>
      <c r="K903" s="344"/>
      <c r="L903" s="469"/>
      <c r="M903" s="469"/>
      <c r="N903" s="469"/>
      <c r="O903" s="469"/>
      <c r="P903" s="469"/>
      <c r="Q903" s="470"/>
      <c r="R903" s="469"/>
      <c r="S903" s="469"/>
      <c r="T903" s="470"/>
      <c r="U903" s="470"/>
      <c r="V903" s="470"/>
      <c r="W903" s="469"/>
      <c r="X903" s="469"/>
      <c r="Y903" s="469"/>
      <c r="Z903" s="470"/>
      <c r="AA903" s="469"/>
      <c r="AB903" s="469"/>
      <c r="AC903" s="469"/>
      <c r="AD903" s="469"/>
      <c r="AE903" s="472"/>
      <c r="AF903" s="472"/>
      <c r="AG903" s="503"/>
      <c r="AH903" s="503"/>
    </row>
    <row r="904" ht="15.75" customHeight="1">
      <c r="A904" s="344"/>
      <c r="B904" s="470"/>
      <c r="C904" s="469"/>
      <c r="D904" s="485"/>
      <c r="E904" s="469"/>
      <c r="F904" s="469"/>
      <c r="G904" s="470"/>
      <c r="H904" s="469"/>
      <c r="I904" s="470"/>
      <c r="J904" s="470"/>
      <c r="K904" s="344"/>
      <c r="L904" s="469"/>
      <c r="M904" s="469"/>
      <c r="N904" s="469"/>
      <c r="O904" s="469"/>
      <c r="P904" s="469"/>
      <c r="Q904" s="470"/>
      <c r="R904" s="469"/>
      <c r="S904" s="469"/>
      <c r="T904" s="470"/>
      <c r="U904" s="470"/>
      <c r="V904" s="470"/>
      <c r="W904" s="469"/>
      <c r="X904" s="469"/>
      <c r="Y904" s="469"/>
      <c r="Z904" s="470"/>
      <c r="AA904" s="469"/>
      <c r="AB904" s="469"/>
      <c r="AC904" s="469"/>
      <c r="AD904" s="469"/>
      <c r="AE904" s="472"/>
      <c r="AF904" s="472"/>
      <c r="AG904" s="503"/>
      <c r="AH904" s="503"/>
    </row>
    <row r="905" ht="15.75" customHeight="1">
      <c r="A905" s="344"/>
      <c r="B905" s="470"/>
      <c r="C905" s="469"/>
      <c r="D905" s="485"/>
      <c r="E905" s="469"/>
      <c r="F905" s="469"/>
      <c r="G905" s="470"/>
      <c r="H905" s="469"/>
      <c r="I905" s="470"/>
      <c r="J905" s="470"/>
      <c r="K905" s="344"/>
      <c r="L905" s="469"/>
      <c r="M905" s="469"/>
      <c r="N905" s="469"/>
      <c r="O905" s="469"/>
      <c r="P905" s="469"/>
      <c r="Q905" s="470"/>
      <c r="R905" s="469"/>
      <c r="S905" s="469"/>
      <c r="T905" s="470"/>
      <c r="U905" s="470"/>
      <c r="V905" s="470"/>
      <c r="W905" s="469"/>
      <c r="X905" s="469"/>
      <c r="Y905" s="469"/>
      <c r="Z905" s="470"/>
      <c r="AA905" s="469"/>
      <c r="AB905" s="469"/>
      <c r="AC905" s="469"/>
      <c r="AD905" s="469"/>
      <c r="AE905" s="472"/>
      <c r="AF905" s="472"/>
      <c r="AG905" s="503"/>
      <c r="AH905" s="503"/>
    </row>
    <row r="906" ht="15.75" customHeight="1">
      <c r="A906" s="344"/>
      <c r="B906" s="470"/>
      <c r="C906" s="469"/>
      <c r="D906" s="485"/>
      <c r="E906" s="469"/>
      <c r="F906" s="469"/>
      <c r="G906" s="470"/>
      <c r="H906" s="469"/>
      <c r="I906" s="470"/>
      <c r="J906" s="470"/>
      <c r="K906" s="344"/>
      <c r="L906" s="469"/>
      <c r="M906" s="469"/>
      <c r="N906" s="469"/>
      <c r="O906" s="469"/>
      <c r="P906" s="469"/>
      <c r="Q906" s="470"/>
      <c r="R906" s="469"/>
      <c r="S906" s="469"/>
      <c r="T906" s="470"/>
      <c r="U906" s="470"/>
      <c r="V906" s="470"/>
      <c r="W906" s="469"/>
      <c r="X906" s="469"/>
      <c r="Y906" s="469"/>
      <c r="Z906" s="470"/>
      <c r="AA906" s="469"/>
      <c r="AB906" s="469"/>
      <c r="AC906" s="469"/>
      <c r="AD906" s="469"/>
      <c r="AE906" s="472"/>
      <c r="AF906" s="472"/>
      <c r="AG906" s="503"/>
      <c r="AH906" s="503"/>
    </row>
    <row r="907" ht="15.75" customHeight="1">
      <c r="A907" s="344"/>
      <c r="B907" s="470"/>
      <c r="C907" s="469"/>
      <c r="D907" s="485"/>
      <c r="E907" s="469"/>
      <c r="F907" s="469"/>
      <c r="G907" s="470"/>
      <c r="H907" s="469"/>
      <c r="I907" s="470"/>
      <c r="J907" s="470"/>
      <c r="K907" s="344"/>
      <c r="L907" s="469"/>
      <c r="M907" s="469"/>
      <c r="N907" s="469"/>
      <c r="O907" s="469"/>
      <c r="P907" s="469"/>
      <c r="Q907" s="470"/>
      <c r="R907" s="469"/>
      <c r="S907" s="469"/>
      <c r="T907" s="470"/>
      <c r="U907" s="470"/>
      <c r="V907" s="470"/>
      <c r="W907" s="469"/>
      <c r="X907" s="469"/>
      <c r="Y907" s="469"/>
      <c r="Z907" s="470"/>
      <c r="AA907" s="469"/>
      <c r="AB907" s="469"/>
      <c r="AC907" s="469"/>
      <c r="AD907" s="469"/>
      <c r="AE907" s="472"/>
      <c r="AF907" s="472"/>
      <c r="AG907" s="503"/>
      <c r="AH907" s="503"/>
    </row>
    <row r="908" ht="15.75" customHeight="1">
      <c r="A908" s="344"/>
      <c r="B908" s="470"/>
      <c r="C908" s="469"/>
      <c r="D908" s="485"/>
      <c r="E908" s="469"/>
      <c r="F908" s="469"/>
      <c r="G908" s="470"/>
      <c r="H908" s="469"/>
      <c r="I908" s="470"/>
      <c r="J908" s="470"/>
      <c r="K908" s="344"/>
      <c r="L908" s="469"/>
      <c r="M908" s="469"/>
      <c r="N908" s="469"/>
      <c r="O908" s="469"/>
      <c r="P908" s="469"/>
      <c r="Q908" s="470"/>
      <c r="R908" s="469"/>
      <c r="S908" s="469"/>
      <c r="T908" s="470"/>
      <c r="U908" s="470"/>
      <c r="V908" s="470"/>
      <c r="W908" s="469"/>
      <c r="X908" s="469"/>
      <c r="Y908" s="469"/>
      <c r="Z908" s="470"/>
      <c r="AA908" s="469"/>
      <c r="AB908" s="469"/>
      <c r="AC908" s="469"/>
      <c r="AD908" s="469"/>
      <c r="AE908" s="472"/>
      <c r="AF908" s="472"/>
      <c r="AG908" s="503"/>
      <c r="AH908" s="503"/>
    </row>
    <row r="909" ht="15.75" customHeight="1">
      <c r="A909" s="344"/>
      <c r="B909" s="470"/>
      <c r="C909" s="469"/>
      <c r="D909" s="485"/>
      <c r="E909" s="469"/>
      <c r="F909" s="469"/>
      <c r="G909" s="470"/>
      <c r="H909" s="469"/>
      <c r="I909" s="470"/>
      <c r="J909" s="470"/>
      <c r="K909" s="344"/>
      <c r="L909" s="469"/>
      <c r="M909" s="469"/>
      <c r="N909" s="469"/>
      <c r="O909" s="469"/>
      <c r="P909" s="469"/>
      <c r="Q909" s="470"/>
      <c r="R909" s="469"/>
      <c r="S909" s="469"/>
      <c r="T909" s="470"/>
      <c r="U909" s="470"/>
      <c r="V909" s="470"/>
      <c r="W909" s="469"/>
      <c r="X909" s="469"/>
      <c r="Y909" s="469"/>
      <c r="Z909" s="470"/>
      <c r="AA909" s="469"/>
      <c r="AB909" s="469"/>
      <c r="AC909" s="469"/>
      <c r="AD909" s="469"/>
      <c r="AE909" s="472"/>
      <c r="AF909" s="472"/>
      <c r="AG909" s="503"/>
      <c r="AH909" s="503"/>
    </row>
    <row r="910" ht="15.75" customHeight="1">
      <c r="A910" s="344"/>
      <c r="B910" s="470"/>
      <c r="C910" s="469"/>
      <c r="D910" s="485"/>
      <c r="E910" s="469"/>
      <c r="F910" s="469"/>
      <c r="G910" s="470"/>
      <c r="H910" s="469"/>
      <c r="I910" s="470"/>
      <c r="J910" s="470"/>
      <c r="K910" s="344"/>
      <c r="L910" s="469"/>
      <c r="M910" s="469"/>
      <c r="N910" s="469"/>
      <c r="O910" s="469"/>
      <c r="P910" s="469"/>
      <c r="Q910" s="470"/>
      <c r="R910" s="469"/>
      <c r="S910" s="469"/>
      <c r="T910" s="470"/>
      <c r="U910" s="470"/>
      <c r="V910" s="470"/>
      <c r="W910" s="469"/>
      <c r="X910" s="469"/>
      <c r="Y910" s="469"/>
      <c r="Z910" s="470"/>
      <c r="AA910" s="469"/>
      <c r="AB910" s="469"/>
      <c r="AC910" s="469"/>
      <c r="AD910" s="469"/>
      <c r="AE910" s="472"/>
      <c r="AF910" s="472"/>
      <c r="AG910" s="503"/>
      <c r="AH910" s="503"/>
    </row>
    <row r="911" ht="15.75" customHeight="1">
      <c r="A911" s="344"/>
      <c r="B911" s="470"/>
      <c r="C911" s="469"/>
      <c r="D911" s="485"/>
      <c r="E911" s="469"/>
      <c r="F911" s="469"/>
      <c r="G911" s="470"/>
      <c r="H911" s="469"/>
      <c r="I911" s="470"/>
      <c r="J911" s="470"/>
      <c r="K911" s="344"/>
      <c r="L911" s="469"/>
      <c r="M911" s="469"/>
      <c r="N911" s="469"/>
      <c r="O911" s="469"/>
      <c r="P911" s="469"/>
      <c r="Q911" s="470"/>
      <c r="R911" s="469"/>
      <c r="S911" s="469"/>
      <c r="T911" s="470"/>
      <c r="U911" s="470"/>
      <c r="V911" s="470"/>
      <c r="W911" s="469"/>
      <c r="X911" s="469"/>
      <c r="Y911" s="469"/>
      <c r="Z911" s="470"/>
      <c r="AA911" s="469"/>
      <c r="AB911" s="469"/>
      <c r="AC911" s="469"/>
      <c r="AD911" s="469"/>
      <c r="AE911" s="472"/>
      <c r="AF911" s="472"/>
      <c r="AG911" s="503"/>
      <c r="AH911" s="503"/>
    </row>
    <row r="912" ht="15.75" customHeight="1">
      <c r="A912" s="344"/>
      <c r="B912" s="470"/>
      <c r="C912" s="469"/>
      <c r="D912" s="485"/>
      <c r="E912" s="469"/>
      <c r="F912" s="469"/>
      <c r="G912" s="470"/>
      <c r="H912" s="469"/>
      <c r="I912" s="470"/>
      <c r="J912" s="470"/>
      <c r="K912" s="344"/>
      <c r="L912" s="469"/>
      <c r="M912" s="469"/>
      <c r="N912" s="469"/>
      <c r="O912" s="469"/>
      <c r="P912" s="469"/>
      <c r="Q912" s="470"/>
      <c r="R912" s="469"/>
      <c r="S912" s="469"/>
      <c r="T912" s="470"/>
      <c r="U912" s="470"/>
      <c r="V912" s="470"/>
      <c r="W912" s="469"/>
      <c r="X912" s="469"/>
      <c r="Y912" s="469"/>
      <c r="Z912" s="470"/>
      <c r="AA912" s="469"/>
      <c r="AB912" s="469"/>
      <c r="AC912" s="469"/>
      <c r="AD912" s="469"/>
      <c r="AE912" s="472"/>
      <c r="AF912" s="472"/>
      <c r="AG912" s="503"/>
      <c r="AH912" s="503"/>
    </row>
    <row r="913" ht="15.75" customHeight="1">
      <c r="A913" s="344"/>
      <c r="B913" s="470"/>
      <c r="C913" s="469"/>
      <c r="D913" s="485"/>
      <c r="E913" s="469"/>
      <c r="F913" s="469"/>
      <c r="G913" s="470"/>
      <c r="H913" s="469"/>
      <c r="I913" s="470"/>
      <c r="J913" s="470"/>
      <c r="K913" s="344"/>
      <c r="L913" s="469"/>
      <c r="M913" s="469"/>
      <c r="N913" s="469"/>
      <c r="O913" s="469"/>
      <c r="P913" s="469"/>
      <c r="Q913" s="470"/>
      <c r="R913" s="469"/>
      <c r="S913" s="469"/>
      <c r="T913" s="470"/>
      <c r="U913" s="470"/>
      <c r="V913" s="470"/>
      <c r="W913" s="469"/>
      <c r="X913" s="469"/>
      <c r="Y913" s="469"/>
      <c r="Z913" s="470"/>
      <c r="AA913" s="469"/>
      <c r="AB913" s="469"/>
      <c r="AC913" s="469"/>
      <c r="AD913" s="469"/>
      <c r="AE913" s="472"/>
      <c r="AF913" s="472"/>
      <c r="AG913" s="503"/>
      <c r="AH913" s="503"/>
    </row>
    <row r="914" ht="15.75" customHeight="1">
      <c r="A914" s="344"/>
      <c r="B914" s="470"/>
      <c r="C914" s="469"/>
      <c r="D914" s="485"/>
      <c r="E914" s="469"/>
      <c r="F914" s="469"/>
      <c r="G914" s="470"/>
      <c r="H914" s="469"/>
      <c r="I914" s="470"/>
      <c r="J914" s="470"/>
      <c r="K914" s="344"/>
      <c r="L914" s="469"/>
      <c r="M914" s="469"/>
      <c r="N914" s="469"/>
      <c r="O914" s="469"/>
      <c r="P914" s="469"/>
      <c r="Q914" s="470"/>
      <c r="R914" s="469"/>
      <c r="S914" s="469"/>
      <c r="T914" s="470"/>
      <c r="U914" s="470"/>
      <c r="V914" s="470"/>
      <c r="W914" s="469"/>
      <c r="X914" s="469"/>
      <c r="Y914" s="469"/>
      <c r="Z914" s="470"/>
      <c r="AA914" s="469"/>
      <c r="AB914" s="469"/>
      <c r="AC914" s="469"/>
      <c r="AD914" s="469"/>
      <c r="AE914" s="472"/>
      <c r="AF914" s="472"/>
      <c r="AG914" s="503"/>
      <c r="AH914" s="503"/>
    </row>
    <row r="915" ht="15.75" customHeight="1">
      <c r="A915" s="344"/>
      <c r="B915" s="470"/>
      <c r="C915" s="469"/>
      <c r="D915" s="485"/>
      <c r="E915" s="469"/>
      <c r="F915" s="469"/>
      <c r="G915" s="470"/>
      <c r="H915" s="469"/>
      <c r="I915" s="470"/>
      <c r="J915" s="470"/>
      <c r="K915" s="344"/>
      <c r="L915" s="469"/>
      <c r="M915" s="469"/>
      <c r="N915" s="469"/>
      <c r="O915" s="469"/>
      <c r="P915" s="469"/>
      <c r="Q915" s="470"/>
      <c r="R915" s="469"/>
      <c r="S915" s="469"/>
      <c r="T915" s="470"/>
      <c r="U915" s="470"/>
      <c r="V915" s="470"/>
      <c r="W915" s="469"/>
      <c r="X915" s="469"/>
      <c r="Y915" s="469"/>
      <c r="Z915" s="470"/>
      <c r="AA915" s="469"/>
      <c r="AB915" s="469"/>
      <c r="AC915" s="469"/>
      <c r="AD915" s="469"/>
      <c r="AE915" s="472"/>
      <c r="AF915" s="472"/>
      <c r="AG915" s="503"/>
      <c r="AH915" s="503"/>
    </row>
    <row r="916" ht="15.75" customHeight="1">
      <c r="A916" s="344"/>
      <c r="B916" s="470"/>
      <c r="C916" s="469"/>
      <c r="D916" s="485"/>
      <c r="E916" s="469"/>
      <c r="F916" s="469"/>
      <c r="G916" s="470"/>
      <c r="H916" s="469"/>
      <c r="I916" s="470"/>
      <c r="J916" s="470"/>
      <c r="K916" s="344"/>
      <c r="L916" s="469"/>
      <c r="M916" s="469"/>
      <c r="N916" s="469"/>
      <c r="O916" s="469"/>
      <c r="P916" s="469"/>
      <c r="Q916" s="470"/>
      <c r="R916" s="469"/>
      <c r="S916" s="469"/>
      <c r="T916" s="470"/>
      <c r="U916" s="470"/>
      <c r="V916" s="470"/>
      <c r="W916" s="469"/>
      <c r="X916" s="469"/>
      <c r="Y916" s="469"/>
      <c r="Z916" s="470"/>
      <c r="AA916" s="469"/>
      <c r="AB916" s="469"/>
      <c r="AC916" s="469"/>
      <c r="AD916" s="469"/>
      <c r="AE916" s="472"/>
      <c r="AF916" s="472"/>
      <c r="AG916" s="503"/>
      <c r="AH916" s="503"/>
    </row>
    <row r="917" ht="15.75" customHeight="1">
      <c r="A917" s="344"/>
      <c r="B917" s="470"/>
      <c r="C917" s="469"/>
      <c r="D917" s="485"/>
      <c r="E917" s="469"/>
      <c r="F917" s="469"/>
      <c r="G917" s="470"/>
      <c r="H917" s="469"/>
      <c r="I917" s="470"/>
      <c r="J917" s="470"/>
      <c r="K917" s="344"/>
      <c r="L917" s="469"/>
      <c r="M917" s="469"/>
      <c r="N917" s="469"/>
      <c r="O917" s="469"/>
      <c r="P917" s="469"/>
      <c r="Q917" s="470"/>
      <c r="R917" s="469"/>
      <c r="S917" s="469"/>
      <c r="T917" s="470"/>
      <c r="U917" s="470"/>
      <c r="V917" s="470"/>
      <c r="W917" s="469"/>
      <c r="X917" s="469"/>
      <c r="Y917" s="469"/>
      <c r="Z917" s="470"/>
      <c r="AA917" s="469"/>
      <c r="AB917" s="469"/>
      <c r="AC917" s="469"/>
      <c r="AD917" s="469"/>
      <c r="AE917" s="472"/>
      <c r="AF917" s="472"/>
      <c r="AG917" s="503"/>
      <c r="AH917" s="503"/>
    </row>
    <row r="918" ht="15.75" customHeight="1">
      <c r="A918" s="344"/>
      <c r="B918" s="470"/>
      <c r="C918" s="469"/>
      <c r="D918" s="485"/>
      <c r="E918" s="469"/>
      <c r="F918" s="469"/>
      <c r="G918" s="470"/>
      <c r="H918" s="469"/>
      <c r="I918" s="470"/>
      <c r="J918" s="470"/>
      <c r="K918" s="344"/>
      <c r="L918" s="469"/>
      <c r="M918" s="469"/>
      <c r="N918" s="469"/>
      <c r="O918" s="469"/>
      <c r="P918" s="469"/>
      <c r="Q918" s="470"/>
      <c r="R918" s="469"/>
      <c r="S918" s="469"/>
      <c r="T918" s="470"/>
      <c r="U918" s="470"/>
      <c r="V918" s="470"/>
      <c r="W918" s="469"/>
      <c r="X918" s="469"/>
      <c r="Y918" s="469"/>
      <c r="Z918" s="470"/>
      <c r="AA918" s="469"/>
      <c r="AB918" s="469"/>
      <c r="AC918" s="469"/>
      <c r="AD918" s="469"/>
      <c r="AE918" s="472"/>
      <c r="AF918" s="472"/>
      <c r="AG918" s="503"/>
      <c r="AH918" s="503"/>
    </row>
    <row r="919" ht="15.75" customHeight="1">
      <c r="A919" s="344"/>
      <c r="B919" s="470"/>
      <c r="C919" s="469"/>
      <c r="D919" s="485"/>
      <c r="E919" s="469"/>
      <c r="F919" s="469"/>
      <c r="G919" s="470"/>
      <c r="H919" s="469"/>
      <c r="I919" s="470"/>
      <c r="J919" s="470"/>
      <c r="K919" s="344"/>
      <c r="L919" s="469"/>
      <c r="M919" s="469"/>
      <c r="N919" s="469"/>
      <c r="O919" s="469"/>
      <c r="P919" s="469"/>
      <c r="Q919" s="470"/>
      <c r="R919" s="469"/>
      <c r="S919" s="469"/>
      <c r="T919" s="470"/>
      <c r="U919" s="470"/>
      <c r="V919" s="470"/>
      <c r="W919" s="469"/>
      <c r="X919" s="469"/>
      <c r="Y919" s="469"/>
      <c r="Z919" s="470"/>
      <c r="AA919" s="469"/>
      <c r="AB919" s="469"/>
      <c r="AC919" s="469"/>
      <c r="AD919" s="469"/>
      <c r="AE919" s="472"/>
      <c r="AF919" s="472"/>
      <c r="AG919" s="503"/>
      <c r="AH919" s="503"/>
    </row>
    <row r="920" ht="15.75" customHeight="1">
      <c r="A920" s="344"/>
      <c r="B920" s="470"/>
      <c r="C920" s="469"/>
      <c r="D920" s="485"/>
      <c r="E920" s="469"/>
      <c r="F920" s="469"/>
      <c r="G920" s="470"/>
      <c r="H920" s="469"/>
      <c r="I920" s="470"/>
      <c r="J920" s="470"/>
      <c r="K920" s="344"/>
      <c r="L920" s="469"/>
      <c r="M920" s="469"/>
      <c r="N920" s="469"/>
      <c r="O920" s="469"/>
      <c r="P920" s="469"/>
      <c r="Q920" s="470"/>
      <c r="R920" s="469"/>
      <c r="S920" s="469"/>
      <c r="T920" s="470"/>
      <c r="U920" s="470"/>
      <c r="V920" s="470"/>
      <c r="W920" s="469"/>
      <c r="X920" s="469"/>
      <c r="Y920" s="469"/>
      <c r="Z920" s="470"/>
      <c r="AA920" s="469"/>
      <c r="AB920" s="469"/>
      <c r="AC920" s="469"/>
      <c r="AD920" s="469"/>
      <c r="AE920" s="472"/>
      <c r="AF920" s="472"/>
      <c r="AG920" s="503"/>
      <c r="AH920" s="503"/>
    </row>
    <row r="921" ht="15.75" customHeight="1">
      <c r="A921" s="344"/>
      <c r="B921" s="470"/>
      <c r="C921" s="469"/>
      <c r="D921" s="485"/>
      <c r="E921" s="469"/>
      <c r="F921" s="469"/>
      <c r="G921" s="470"/>
      <c r="H921" s="469"/>
      <c r="I921" s="470"/>
      <c r="J921" s="470"/>
      <c r="K921" s="344"/>
      <c r="L921" s="469"/>
      <c r="M921" s="469"/>
      <c r="N921" s="469"/>
      <c r="O921" s="469"/>
      <c r="P921" s="469"/>
      <c r="Q921" s="470"/>
      <c r="R921" s="469"/>
      <c r="S921" s="469"/>
      <c r="T921" s="470"/>
      <c r="U921" s="470"/>
      <c r="V921" s="470"/>
      <c r="W921" s="469"/>
      <c r="X921" s="469"/>
      <c r="Y921" s="469"/>
      <c r="Z921" s="470"/>
      <c r="AA921" s="469"/>
      <c r="AB921" s="469"/>
      <c r="AC921" s="469"/>
      <c r="AD921" s="469"/>
      <c r="AE921" s="472"/>
      <c r="AF921" s="472"/>
      <c r="AG921" s="503"/>
      <c r="AH921" s="503"/>
    </row>
    <row r="922" ht="15.75" customHeight="1">
      <c r="A922" s="344"/>
      <c r="B922" s="470"/>
      <c r="C922" s="469"/>
      <c r="D922" s="485"/>
      <c r="E922" s="469"/>
      <c r="F922" s="469"/>
      <c r="G922" s="470"/>
      <c r="H922" s="469"/>
      <c r="I922" s="470"/>
      <c r="J922" s="470"/>
      <c r="K922" s="344"/>
      <c r="L922" s="469"/>
      <c r="M922" s="469"/>
      <c r="N922" s="469"/>
      <c r="O922" s="469"/>
      <c r="P922" s="469"/>
      <c r="Q922" s="470"/>
      <c r="R922" s="469"/>
      <c r="S922" s="469"/>
      <c r="T922" s="470"/>
      <c r="U922" s="470"/>
      <c r="V922" s="470"/>
      <c r="W922" s="469"/>
      <c r="X922" s="469"/>
      <c r="Y922" s="469"/>
      <c r="Z922" s="470"/>
      <c r="AA922" s="469"/>
      <c r="AB922" s="469"/>
      <c r="AC922" s="469"/>
      <c r="AD922" s="469"/>
      <c r="AE922" s="472"/>
      <c r="AF922" s="472"/>
      <c r="AG922" s="503"/>
      <c r="AH922" s="503"/>
    </row>
    <row r="923" ht="15.75" customHeight="1">
      <c r="A923" s="344"/>
      <c r="B923" s="470"/>
      <c r="C923" s="469"/>
      <c r="D923" s="485"/>
      <c r="E923" s="469"/>
      <c r="F923" s="469"/>
      <c r="G923" s="470"/>
      <c r="H923" s="469"/>
      <c r="I923" s="470"/>
      <c r="J923" s="470"/>
      <c r="K923" s="344"/>
      <c r="L923" s="469"/>
      <c r="M923" s="469"/>
      <c r="N923" s="469"/>
      <c r="O923" s="469"/>
      <c r="P923" s="469"/>
      <c r="Q923" s="470"/>
      <c r="R923" s="469"/>
      <c r="S923" s="469"/>
      <c r="T923" s="470"/>
      <c r="U923" s="470"/>
      <c r="V923" s="470"/>
      <c r="W923" s="469"/>
      <c r="X923" s="469"/>
      <c r="Y923" s="469"/>
      <c r="Z923" s="470"/>
      <c r="AA923" s="469"/>
      <c r="AB923" s="469"/>
      <c r="AC923" s="469"/>
      <c r="AD923" s="469"/>
      <c r="AE923" s="472"/>
      <c r="AF923" s="472"/>
      <c r="AG923" s="503"/>
      <c r="AH923" s="503"/>
    </row>
    <row r="924" ht="15.75" customHeight="1">
      <c r="A924" s="344"/>
      <c r="B924" s="470"/>
      <c r="C924" s="469"/>
      <c r="D924" s="485"/>
      <c r="E924" s="469"/>
      <c r="F924" s="469"/>
      <c r="G924" s="470"/>
      <c r="H924" s="469"/>
      <c r="I924" s="470"/>
      <c r="J924" s="470"/>
      <c r="K924" s="344"/>
      <c r="L924" s="469"/>
      <c r="M924" s="469"/>
      <c r="N924" s="469"/>
      <c r="O924" s="469"/>
      <c r="P924" s="469"/>
      <c r="Q924" s="470"/>
      <c r="R924" s="469"/>
      <c r="S924" s="469"/>
      <c r="T924" s="470"/>
      <c r="U924" s="470"/>
      <c r="V924" s="470"/>
      <c r="W924" s="469"/>
      <c r="X924" s="469"/>
      <c r="Y924" s="469"/>
      <c r="Z924" s="470"/>
      <c r="AA924" s="469"/>
      <c r="AB924" s="469"/>
      <c r="AC924" s="469"/>
      <c r="AD924" s="469"/>
      <c r="AE924" s="472"/>
      <c r="AF924" s="472"/>
      <c r="AG924" s="503"/>
      <c r="AH924" s="503"/>
    </row>
    <row r="925" ht="15.75" customHeight="1">
      <c r="A925" s="344"/>
      <c r="B925" s="470"/>
      <c r="C925" s="469"/>
      <c r="D925" s="485"/>
      <c r="E925" s="469"/>
      <c r="F925" s="469"/>
      <c r="G925" s="470"/>
      <c r="H925" s="469"/>
      <c r="I925" s="470"/>
      <c r="J925" s="470"/>
      <c r="K925" s="344"/>
      <c r="L925" s="469"/>
      <c r="M925" s="469"/>
      <c r="N925" s="469"/>
      <c r="O925" s="469"/>
      <c r="P925" s="469"/>
      <c r="Q925" s="470"/>
      <c r="R925" s="469"/>
      <c r="S925" s="469"/>
      <c r="T925" s="470"/>
      <c r="U925" s="470"/>
      <c r="V925" s="470"/>
      <c r="W925" s="469"/>
      <c r="X925" s="469"/>
      <c r="Y925" s="469"/>
      <c r="Z925" s="470"/>
      <c r="AA925" s="469"/>
      <c r="AB925" s="469"/>
      <c r="AC925" s="469"/>
      <c r="AD925" s="469"/>
      <c r="AE925" s="472"/>
      <c r="AF925" s="472"/>
      <c r="AG925" s="503"/>
      <c r="AH925" s="503"/>
    </row>
    <row r="926" ht="15.75" customHeight="1">
      <c r="A926" s="344"/>
      <c r="B926" s="470"/>
      <c r="C926" s="469"/>
      <c r="D926" s="485"/>
      <c r="E926" s="469"/>
      <c r="F926" s="469"/>
      <c r="G926" s="470"/>
      <c r="H926" s="469"/>
      <c r="I926" s="470"/>
      <c r="J926" s="470"/>
      <c r="K926" s="344"/>
      <c r="L926" s="469"/>
      <c r="M926" s="469"/>
      <c r="N926" s="469"/>
      <c r="O926" s="469"/>
      <c r="P926" s="469"/>
      <c r="Q926" s="470"/>
      <c r="R926" s="469"/>
      <c r="S926" s="469"/>
      <c r="T926" s="470"/>
      <c r="U926" s="470"/>
      <c r="V926" s="470"/>
      <c r="W926" s="469"/>
      <c r="X926" s="469"/>
      <c r="Y926" s="469"/>
      <c r="Z926" s="470"/>
      <c r="AA926" s="469"/>
      <c r="AB926" s="469"/>
      <c r="AC926" s="469"/>
      <c r="AD926" s="469"/>
      <c r="AE926" s="472"/>
      <c r="AF926" s="472"/>
      <c r="AG926" s="503"/>
      <c r="AH926" s="503"/>
    </row>
    <row r="927" ht="15.75" customHeight="1">
      <c r="A927" s="344"/>
      <c r="B927" s="470"/>
      <c r="C927" s="469"/>
      <c r="D927" s="485"/>
      <c r="E927" s="469"/>
      <c r="F927" s="469"/>
      <c r="G927" s="470"/>
      <c r="H927" s="469"/>
      <c r="I927" s="470"/>
      <c r="J927" s="470"/>
      <c r="K927" s="344"/>
      <c r="L927" s="469"/>
      <c r="M927" s="469"/>
      <c r="N927" s="469"/>
      <c r="O927" s="469"/>
      <c r="P927" s="469"/>
      <c r="Q927" s="470"/>
      <c r="R927" s="469"/>
      <c r="S927" s="469"/>
      <c r="T927" s="470"/>
      <c r="U927" s="470"/>
      <c r="V927" s="470"/>
      <c r="W927" s="469"/>
      <c r="X927" s="469"/>
      <c r="Y927" s="469"/>
      <c r="Z927" s="470"/>
      <c r="AA927" s="469"/>
      <c r="AB927" s="469"/>
      <c r="AC927" s="469"/>
      <c r="AD927" s="469"/>
      <c r="AE927" s="472"/>
      <c r="AF927" s="472"/>
      <c r="AG927" s="503"/>
      <c r="AH927" s="503"/>
    </row>
    <row r="928" ht="15.75" customHeight="1">
      <c r="A928" s="344"/>
      <c r="B928" s="470"/>
      <c r="C928" s="469"/>
      <c r="D928" s="485"/>
      <c r="E928" s="469"/>
      <c r="F928" s="469"/>
      <c r="G928" s="470"/>
      <c r="H928" s="469"/>
      <c r="I928" s="470"/>
      <c r="J928" s="470"/>
      <c r="K928" s="344"/>
      <c r="L928" s="469"/>
      <c r="M928" s="469"/>
      <c r="N928" s="469"/>
      <c r="O928" s="469"/>
      <c r="P928" s="469"/>
      <c r="Q928" s="470"/>
      <c r="R928" s="469"/>
      <c r="S928" s="469"/>
      <c r="T928" s="470"/>
      <c r="U928" s="470"/>
      <c r="V928" s="470"/>
      <c r="W928" s="469"/>
      <c r="X928" s="469"/>
      <c r="Y928" s="469"/>
      <c r="Z928" s="470"/>
      <c r="AA928" s="469"/>
      <c r="AB928" s="469"/>
      <c r="AC928" s="469"/>
      <c r="AD928" s="469"/>
      <c r="AE928" s="472"/>
      <c r="AF928" s="472"/>
      <c r="AG928" s="503"/>
      <c r="AH928" s="503"/>
    </row>
    <row r="929" ht="15.75" customHeight="1">
      <c r="A929" s="344"/>
      <c r="B929" s="470"/>
      <c r="C929" s="469"/>
      <c r="D929" s="485"/>
      <c r="E929" s="469"/>
      <c r="F929" s="469"/>
      <c r="G929" s="470"/>
      <c r="H929" s="469"/>
      <c r="I929" s="470"/>
      <c r="J929" s="470"/>
      <c r="K929" s="344"/>
      <c r="L929" s="469"/>
      <c r="M929" s="469"/>
      <c r="N929" s="469"/>
      <c r="O929" s="469"/>
      <c r="P929" s="469"/>
      <c r="Q929" s="470"/>
      <c r="R929" s="469"/>
      <c r="S929" s="469"/>
      <c r="T929" s="470"/>
      <c r="U929" s="470"/>
      <c r="V929" s="470"/>
      <c r="W929" s="469"/>
      <c r="X929" s="469"/>
      <c r="Y929" s="469"/>
      <c r="Z929" s="470"/>
      <c r="AA929" s="469"/>
      <c r="AB929" s="469"/>
      <c r="AC929" s="469"/>
      <c r="AD929" s="469"/>
      <c r="AE929" s="472"/>
      <c r="AF929" s="472"/>
      <c r="AG929" s="503"/>
      <c r="AH929" s="503"/>
    </row>
    <row r="930" ht="15.75" customHeight="1">
      <c r="A930" s="344"/>
      <c r="B930" s="470"/>
      <c r="C930" s="469"/>
      <c r="D930" s="485"/>
      <c r="E930" s="469"/>
      <c r="F930" s="469"/>
      <c r="G930" s="470"/>
      <c r="H930" s="469"/>
      <c r="I930" s="470"/>
      <c r="J930" s="470"/>
      <c r="K930" s="344"/>
      <c r="L930" s="469"/>
      <c r="M930" s="469"/>
      <c r="N930" s="469"/>
      <c r="O930" s="469"/>
      <c r="P930" s="469"/>
      <c r="Q930" s="470"/>
      <c r="R930" s="469"/>
      <c r="S930" s="469"/>
      <c r="T930" s="470"/>
      <c r="U930" s="470"/>
      <c r="V930" s="470"/>
      <c r="W930" s="469"/>
      <c r="X930" s="469"/>
      <c r="Y930" s="469"/>
      <c r="Z930" s="470"/>
      <c r="AA930" s="469"/>
      <c r="AB930" s="469"/>
      <c r="AC930" s="469"/>
      <c r="AD930" s="469"/>
      <c r="AE930" s="472"/>
      <c r="AF930" s="472"/>
      <c r="AG930" s="503"/>
      <c r="AH930" s="503"/>
    </row>
    <row r="931" ht="15.75" customHeight="1">
      <c r="A931" s="344"/>
      <c r="B931" s="470"/>
      <c r="C931" s="469"/>
      <c r="D931" s="485"/>
      <c r="E931" s="469"/>
      <c r="F931" s="469"/>
      <c r="G931" s="470"/>
      <c r="H931" s="469"/>
      <c r="I931" s="470"/>
      <c r="J931" s="470"/>
      <c r="K931" s="344"/>
      <c r="L931" s="469"/>
      <c r="M931" s="469"/>
      <c r="N931" s="469"/>
      <c r="O931" s="469"/>
      <c r="P931" s="469"/>
      <c r="Q931" s="470"/>
      <c r="R931" s="469"/>
      <c r="S931" s="469"/>
      <c r="T931" s="470"/>
      <c r="U931" s="470"/>
      <c r="V931" s="470"/>
      <c r="W931" s="469"/>
      <c r="X931" s="469"/>
      <c r="Y931" s="469"/>
      <c r="Z931" s="470"/>
      <c r="AA931" s="469"/>
      <c r="AB931" s="469"/>
      <c r="AC931" s="469"/>
      <c r="AD931" s="469"/>
      <c r="AE931" s="472"/>
      <c r="AF931" s="472"/>
      <c r="AG931" s="503"/>
      <c r="AH931" s="503"/>
    </row>
    <row r="932" ht="15.75" customHeight="1">
      <c r="A932" s="344"/>
      <c r="B932" s="470"/>
      <c r="C932" s="469"/>
      <c r="D932" s="485"/>
      <c r="E932" s="469"/>
      <c r="F932" s="469"/>
      <c r="G932" s="470"/>
      <c r="H932" s="469"/>
      <c r="I932" s="470"/>
      <c r="J932" s="470"/>
      <c r="K932" s="344"/>
      <c r="L932" s="469"/>
      <c r="M932" s="469"/>
      <c r="N932" s="469"/>
      <c r="O932" s="469"/>
      <c r="P932" s="469"/>
      <c r="Q932" s="470"/>
      <c r="R932" s="469"/>
      <c r="S932" s="469"/>
      <c r="T932" s="470"/>
      <c r="U932" s="470"/>
      <c r="V932" s="470"/>
      <c r="W932" s="469"/>
      <c r="X932" s="469"/>
      <c r="Y932" s="469"/>
      <c r="Z932" s="470"/>
      <c r="AA932" s="469"/>
      <c r="AB932" s="469"/>
      <c r="AC932" s="469"/>
      <c r="AD932" s="469"/>
      <c r="AE932" s="472"/>
      <c r="AF932" s="472"/>
      <c r="AG932" s="503"/>
      <c r="AH932" s="503"/>
    </row>
    <row r="933" ht="15.75" customHeight="1">
      <c r="A933" s="344"/>
      <c r="B933" s="470"/>
      <c r="C933" s="469"/>
      <c r="D933" s="485"/>
      <c r="E933" s="469"/>
      <c r="F933" s="469"/>
      <c r="G933" s="470"/>
      <c r="H933" s="469"/>
      <c r="I933" s="470"/>
      <c r="J933" s="470"/>
      <c r="K933" s="344"/>
      <c r="L933" s="469"/>
      <c r="M933" s="469"/>
      <c r="N933" s="469"/>
      <c r="O933" s="469"/>
      <c r="P933" s="469"/>
      <c r="Q933" s="470"/>
      <c r="R933" s="469"/>
      <c r="S933" s="469"/>
      <c r="T933" s="470"/>
      <c r="U933" s="470"/>
      <c r="V933" s="470"/>
      <c r="W933" s="469"/>
      <c r="X933" s="469"/>
      <c r="Y933" s="469"/>
      <c r="Z933" s="470"/>
      <c r="AA933" s="469"/>
      <c r="AB933" s="469"/>
      <c r="AC933" s="469"/>
      <c r="AD933" s="469"/>
      <c r="AE933" s="472"/>
      <c r="AF933" s="472"/>
      <c r="AG933" s="503"/>
      <c r="AH933" s="503"/>
    </row>
    <row r="934" ht="15.75" customHeight="1">
      <c r="A934" s="344"/>
      <c r="B934" s="470"/>
      <c r="C934" s="469"/>
      <c r="D934" s="485"/>
      <c r="E934" s="469"/>
      <c r="F934" s="469"/>
      <c r="G934" s="470"/>
      <c r="H934" s="469"/>
      <c r="I934" s="470"/>
      <c r="J934" s="470"/>
      <c r="K934" s="344"/>
      <c r="L934" s="469"/>
      <c r="M934" s="469"/>
      <c r="N934" s="469"/>
      <c r="O934" s="469"/>
      <c r="P934" s="469"/>
      <c r="Q934" s="470"/>
      <c r="R934" s="469"/>
      <c r="S934" s="469"/>
      <c r="T934" s="470"/>
      <c r="U934" s="470"/>
      <c r="V934" s="470"/>
      <c r="W934" s="469"/>
      <c r="X934" s="469"/>
      <c r="Y934" s="469"/>
      <c r="Z934" s="470"/>
      <c r="AA934" s="469"/>
      <c r="AB934" s="469"/>
      <c r="AC934" s="469"/>
      <c r="AD934" s="469"/>
      <c r="AE934" s="472"/>
      <c r="AF934" s="472"/>
      <c r="AG934" s="503"/>
      <c r="AH934" s="503"/>
    </row>
    <row r="935" ht="15.75" customHeight="1">
      <c r="A935" s="344"/>
      <c r="B935" s="470"/>
      <c r="C935" s="469"/>
      <c r="D935" s="485"/>
      <c r="E935" s="469"/>
      <c r="F935" s="469"/>
      <c r="G935" s="470"/>
      <c r="H935" s="469"/>
      <c r="I935" s="470"/>
      <c r="J935" s="470"/>
      <c r="K935" s="344"/>
      <c r="L935" s="469"/>
      <c r="M935" s="469"/>
      <c r="N935" s="469"/>
      <c r="O935" s="469"/>
      <c r="P935" s="469"/>
      <c r="Q935" s="470"/>
      <c r="R935" s="469"/>
      <c r="S935" s="469"/>
      <c r="T935" s="470"/>
      <c r="U935" s="470"/>
      <c r="V935" s="470"/>
      <c r="W935" s="469"/>
      <c r="X935" s="469"/>
      <c r="Y935" s="469"/>
      <c r="Z935" s="470"/>
      <c r="AA935" s="469"/>
      <c r="AB935" s="469"/>
      <c r="AC935" s="469"/>
      <c r="AD935" s="469"/>
      <c r="AE935" s="472"/>
      <c r="AF935" s="472"/>
      <c r="AG935" s="503"/>
      <c r="AH935" s="503"/>
    </row>
    <row r="936" ht="15.75" customHeight="1">
      <c r="A936" s="344"/>
      <c r="B936" s="470"/>
      <c r="C936" s="469"/>
      <c r="D936" s="485"/>
      <c r="E936" s="469"/>
      <c r="F936" s="469"/>
      <c r="G936" s="470"/>
      <c r="H936" s="469"/>
      <c r="I936" s="470"/>
      <c r="J936" s="470"/>
      <c r="K936" s="344"/>
      <c r="L936" s="469"/>
      <c r="M936" s="469"/>
      <c r="N936" s="469"/>
      <c r="O936" s="469"/>
      <c r="P936" s="469"/>
      <c r="Q936" s="470"/>
      <c r="R936" s="469"/>
      <c r="S936" s="469"/>
      <c r="T936" s="470"/>
      <c r="U936" s="470"/>
      <c r="V936" s="470"/>
      <c r="W936" s="469"/>
      <c r="X936" s="469"/>
      <c r="Y936" s="469"/>
      <c r="Z936" s="470"/>
      <c r="AA936" s="469"/>
      <c r="AB936" s="469"/>
      <c r="AC936" s="469"/>
      <c r="AD936" s="469"/>
      <c r="AE936" s="472"/>
      <c r="AF936" s="472"/>
      <c r="AG936" s="503"/>
      <c r="AH936" s="503"/>
    </row>
    <row r="937" ht="15.75" customHeight="1">
      <c r="A937" s="344"/>
      <c r="B937" s="470"/>
      <c r="C937" s="469"/>
      <c r="D937" s="485"/>
      <c r="E937" s="469"/>
      <c r="F937" s="469"/>
      <c r="G937" s="470"/>
      <c r="H937" s="469"/>
      <c r="I937" s="470"/>
      <c r="J937" s="470"/>
      <c r="K937" s="344"/>
      <c r="L937" s="469"/>
      <c r="M937" s="469"/>
      <c r="N937" s="469"/>
      <c r="O937" s="469"/>
      <c r="P937" s="469"/>
      <c r="Q937" s="470"/>
      <c r="R937" s="469"/>
      <c r="S937" s="469"/>
      <c r="T937" s="470"/>
      <c r="U937" s="470"/>
      <c r="V937" s="470"/>
      <c r="W937" s="469"/>
      <c r="X937" s="469"/>
      <c r="Y937" s="469"/>
      <c r="Z937" s="470"/>
      <c r="AA937" s="469"/>
      <c r="AB937" s="469"/>
      <c r="AC937" s="469"/>
      <c r="AD937" s="469"/>
      <c r="AE937" s="472"/>
      <c r="AF937" s="472"/>
      <c r="AG937" s="503"/>
      <c r="AH937" s="503"/>
    </row>
    <row r="938" ht="15.75" customHeight="1">
      <c r="A938" s="344"/>
      <c r="B938" s="470"/>
      <c r="C938" s="469"/>
      <c r="D938" s="485"/>
      <c r="E938" s="469"/>
      <c r="F938" s="469"/>
      <c r="G938" s="470"/>
      <c r="H938" s="469"/>
      <c r="I938" s="470"/>
      <c r="J938" s="470"/>
      <c r="K938" s="344"/>
      <c r="L938" s="469"/>
      <c r="M938" s="469"/>
      <c r="N938" s="469"/>
      <c r="O938" s="469"/>
      <c r="P938" s="469"/>
      <c r="Q938" s="470"/>
      <c r="R938" s="469"/>
      <c r="S938" s="469"/>
      <c r="T938" s="470"/>
      <c r="U938" s="470"/>
      <c r="V938" s="470"/>
      <c r="W938" s="469"/>
      <c r="X938" s="469"/>
      <c r="Y938" s="469"/>
      <c r="Z938" s="470"/>
      <c r="AA938" s="469"/>
      <c r="AB938" s="469"/>
      <c r="AC938" s="469"/>
      <c r="AD938" s="469"/>
      <c r="AE938" s="472"/>
      <c r="AF938" s="472"/>
      <c r="AG938" s="503"/>
      <c r="AH938" s="503"/>
    </row>
    <row r="939" ht="15.75" customHeight="1">
      <c r="A939" s="344"/>
      <c r="B939" s="470"/>
      <c r="C939" s="469"/>
      <c r="D939" s="485"/>
      <c r="E939" s="469"/>
      <c r="F939" s="469"/>
      <c r="G939" s="470"/>
      <c r="H939" s="469"/>
      <c r="I939" s="470"/>
      <c r="J939" s="470"/>
      <c r="K939" s="344"/>
      <c r="L939" s="469"/>
      <c r="M939" s="469"/>
      <c r="N939" s="469"/>
      <c r="O939" s="469"/>
      <c r="P939" s="469"/>
      <c r="Q939" s="470"/>
      <c r="R939" s="469"/>
      <c r="S939" s="469"/>
      <c r="T939" s="470"/>
      <c r="U939" s="470"/>
      <c r="V939" s="470"/>
      <c r="W939" s="469"/>
      <c r="X939" s="469"/>
      <c r="Y939" s="469"/>
      <c r="Z939" s="470"/>
      <c r="AA939" s="469"/>
      <c r="AB939" s="469"/>
      <c r="AC939" s="469"/>
      <c r="AD939" s="469"/>
      <c r="AE939" s="472"/>
      <c r="AF939" s="472"/>
      <c r="AG939" s="503"/>
      <c r="AH939" s="503"/>
    </row>
    <row r="940" ht="15.75" customHeight="1">
      <c r="A940" s="344"/>
      <c r="B940" s="470"/>
      <c r="C940" s="469"/>
      <c r="D940" s="485"/>
      <c r="E940" s="469"/>
      <c r="F940" s="469"/>
      <c r="G940" s="470"/>
      <c r="H940" s="469"/>
      <c r="I940" s="470"/>
      <c r="J940" s="470"/>
      <c r="K940" s="344"/>
      <c r="L940" s="469"/>
      <c r="M940" s="469"/>
      <c r="N940" s="469"/>
      <c r="O940" s="469"/>
      <c r="P940" s="469"/>
      <c r="Q940" s="470"/>
      <c r="R940" s="469"/>
      <c r="S940" s="469"/>
      <c r="T940" s="470"/>
      <c r="U940" s="470"/>
      <c r="V940" s="470"/>
      <c r="W940" s="469"/>
      <c r="X940" s="469"/>
      <c r="Y940" s="469"/>
      <c r="Z940" s="470"/>
      <c r="AA940" s="469"/>
      <c r="AB940" s="469"/>
      <c r="AC940" s="469"/>
      <c r="AD940" s="469"/>
      <c r="AE940" s="472"/>
      <c r="AF940" s="472"/>
      <c r="AG940" s="503"/>
      <c r="AH940" s="503"/>
    </row>
    <row r="941" ht="15.75" customHeight="1">
      <c r="A941" s="344"/>
      <c r="B941" s="470"/>
      <c r="C941" s="469"/>
      <c r="D941" s="485"/>
      <c r="E941" s="469"/>
      <c r="F941" s="469"/>
      <c r="G941" s="470"/>
      <c r="H941" s="469"/>
      <c r="I941" s="470"/>
      <c r="J941" s="470"/>
      <c r="K941" s="344"/>
      <c r="L941" s="469"/>
      <c r="M941" s="469"/>
      <c r="N941" s="469"/>
      <c r="O941" s="469"/>
      <c r="P941" s="469"/>
      <c r="Q941" s="470"/>
      <c r="R941" s="469"/>
      <c r="S941" s="469"/>
      <c r="T941" s="470"/>
      <c r="U941" s="470"/>
      <c r="V941" s="470"/>
      <c r="W941" s="469"/>
      <c r="X941" s="469"/>
      <c r="Y941" s="469"/>
      <c r="Z941" s="470"/>
      <c r="AA941" s="469"/>
      <c r="AB941" s="469"/>
      <c r="AC941" s="469"/>
      <c r="AD941" s="469"/>
      <c r="AE941" s="472"/>
      <c r="AF941" s="472"/>
      <c r="AG941" s="503"/>
      <c r="AH941" s="503"/>
    </row>
    <row r="942" ht="15.75" customHeight="1">
      <c r="A942" s="344"/>
      <c r="B942" s="470"/>
      <c r="C942" s="469"/>
      <c r="D942" s="485"/>
      <c r="E942" s="469"/>
      <c r="F942" s="469"/>
      <c r="G942" s="470"/>
      <c r="H942" s="469"/>
      <c r="I942" s="470"/>
      <c r="J942" s="470"/>
      <c r="K942" s="344"/>
      <c r="L942" s="469"/>
      <c r="M942" s="469"/>
      <c r="N942" s="469"/>
      <c r="O942" s="469"/>
      <c r="P942" s="469"/>
      <c r="Q942" s="470"/>
      <c r="R942" s="469"/>
      <c r="S942" s="469"/>
      <c r="T942" s="470"/>
      <c r="U942" s="470"/>
      <c r="V942" s="470"/>
      <c r="W942" s="469"/>
      <c r="X942" s="469"/>
      <c r="Y942" s="469"/>
      <c r="Z942" s="470"/>
      <c r="AA942" s="469"/>
      <c r="AB942" s="469"/>
      <c r="AC942" s="469"/>
      <c r="AD942" s="469"/>
      <c r="AE942" s="472"/>
      <c r="AF942" s="472"/>
      <c r="AG942" s="503"/>
      <c r="AH942" s="503"/>
    </row>
    <row r="943" ht="15.75" customHeight="1">
      <c r="A943" s="344"/>
      <c r="B943" s="470"/>
      <c r="C943" s="469"/>
      <c r="D943" s="485"/>
      <c r="E943" s="469"/>
      <c r="F943" s="469"/>
      <c r="G943" s="470"/>
      <c r="H943" s="469"/>
      <c r="I943" s="470"/>
      <c r="J943" s="470"/>
      <c r="K943" s="344"/>
      <c r="L943" s="469"/>
      <c r="M943" s="469"/>
      <c r="N943" s="469"/>
      <c r="O943" s="469"/>
      <c r="P943" s="469"/>
      <c r="Q943" s="470"/>
      <c r="R943" s="469"/>
      <c r="S943" s="469"/>
      <c r="T943" s="470"/>
      <c r="U943" s="470"/>
      <c r="V943" s="470"/>
      <c r="W943" s="469"/>
      <c r="X943" s="469"/>
      <c r="Y943" s="469"/>
      <c r="Z943" s="470"/>
      <c r="AA943" s="469"/>
      <c r="AB943" s="469"/>
      <c r="AC943" s="469"/>
      <c r="AD943" s="469"/>
      <c r="AE943" s="472"/>
      <c r="AF943" s="472"/>
      <c r="AG943" s="503"/>
      <c r="AH943" s="503"/>
    </row>
    <row r="944" ht="15.75" customHeight="1">
      <c r="A944" s="344"/>
      <c r="B944" s="470"/>
      <c r="C944" s="469"/>
      <c r="D944" s="485"/>
      <c r="E944" s="469"/>
      <c r="F944" s="469"/>
      <c r="G944" s="470"/>
      <c r="H944" s="469"/>
      <c r="I944" s="470"/>
      <c r="J944" s="470"/>
      <c r="K944" s="344"/>
      <c r="L944" s="469"/>
      <c r="M944" s="469"/>
      <c r="N944" s="469"/>
      <c r="O944" s="469"/>
      <c r="P944" s="469"/>
      <c r="Q944" s="470"/>
      <c r="R944" s="469"/>
      <c r="S944" s="469"/>
      <c r="T944" s="470"/>
      <c r="U944" s="470"/>
      <c r="V944" s="470"/>
      <c r="W944" s="469"/>
      <c r="X944" s="469"/>
      <c r="Y944" s="469"/>
      <c r="Z944" s="470"/>
      <c r="AA944" s="469"/>
      <c r="AB944" s="469"/>
      <c r="AC944" s="469"/>
      <c r="AD944" s="469"/>
      <c r="AE944" s="472"/>
      <c r="AF944" s="472"/>
      <c r="AG944" s="503"/>
      <c r="AH944" s="503"/>
    </row>
    <row r="945" ht="15.75" customHeight="1">
      <c r="A945" s="344"/>
      <c r="B945" s="470"/>
      <c r="C945" s="469"/>
      <c r="D945" s="485"/>
      <c r="E945" s="469"/>
      <c r="F945" s="469"/>
      <c r="G945" s="470"/>
      <c r="H945" s="469"/>
      <c r="I945" s="470"/>
      <c r="J945" s="470"/>
      <c r="K945" s="344"/>
      <c r="L945" s="469"/>
      <c r="M945" s="469"/>
      <c r="N945" s="469"/>
      <c r="O945" s="469"/>
      <c r="P945" s="469"/>
      <c r="Q945" s="470"/>
      <c r="R945" s="469"/>
      <c r="S945" s="469"/>
      <c r="T945" s="470"/>
      <c r="U945" s="470"/>
      <c r="V945" s="470"/>
      <c r="W945" s="469"/>
      <c r="X945" s="469"/>
      <c r="Y945" s="469"/>
      <c r="Z945" s="470"/>
      <c r="AA945" s="469"/>
      <c r="AB945" s="469"/>
      <c r="AC945" s="469"/>
      <c r="AD945" s="469"/>
      <c r="AE945" s="472"/>
      <c r="AF945" s="472"/>
      <c r="AG945" s="503"/>
      <c r="AH945" s="503"/>
    </row>
    <row r="946" ht="15.75" customHeight="1">
      <c r="A946" s="344"/>
      <c r="B946" s="470"/>
      <c r="C946" s="469"/>
      <c r="D946" s="485"/>
      <c r="E946" s="469"/>
      <c r="F946" s="469"/>
      <c r="G946" s="470"/>
      <c r="H946" s="469"/>
      <c r="I946" s="470"/>
      <c r="J946" s="470"/>
      <c r="K946" s="344"/>
      <c r="L946" s="469"/>
      <c r="M946" s="469"/>
      <c r="N946" s="469"/>
      <c r="O946" s="469"/>
      <c r="P946" s="469"/>
      <c r="Q946" s="470"/>
      <c r="R946" s="469"/>
      <c r="S946" s="469"/>
      <c r="T946" s="470"/>
      <c r="U946" s="470"/>
      <c r="V946" s="470"/>
      <c r="W946" s="469"/>
      <c r="X946" s="469"/>
      <c r="Y946" s="469"/>
      <c r="Z946" s="470"/>
      <c r="AA946" s="469"/>
      <c r="AB946" s="469"/>
      <c r="AC946" s="469"/>
      <c r="AD946" s="469"/>
      <c r="AE946" s="472"/>
      <c r="AF946" s="472"/>
      <c r="AG946" s="503"/>
      <c r="AH946" s="503"/>
    </row>
    <row r="947" ht="15.75" customHeight="1">
      <c r="A947" s="344"/>
      <c r="B947" s="470"/>
      <c r="C947" s="469"/>
      <c r="D947" s="485"/>
      <c r="E947" s="469"/>
      <c r="F947" s="469"/>
      <c r="G947" s="470"/>
      <c r="H947" s="469"/>
      <c r="I947" s="470"/>
      <c r="J947" s="470"/>
      <c r="K947" s="344"/>
      <c r="L947" s="469"/>
      <c r="M947" s="469"/>
      <c r="N947" s="469"/>
      <c r="O947" s="469"/>
      <c r="P947" s="469"/>
      <c r="Q947" s="470"/>
      <c r="R947" s="469"/>
      <c r="S947" s="469"/>
      <c r="T947" s="470"/>
      <c r="U947" s="470"/>
      <c r="V947" s="470"/>
      <c r="W947" s="469"/>
      <c r="X947" s="469"/>
      <c r="Y947" s="469"/>
      <c r="Z947" s="470"/>
      <c r="AA947" s="469"/>
      <c r="AB947" s="469"/>
      <c r="AC947" s="469"/>
      <c r="AD947" s="469"/>
      <c r="AE947" s="472"/>
      <c r="AF947" s="472"/>
      <c r="AG947" s="503"/>
      <c r="AH947" s="503"/>
    </row>
    <row r="948" ht="15.75" customHeight="1">
      <c r="A948" s="344"/>
      <c r="B948" s="470"/>
      <c r="C948" s="469"/>
      <c r="D948" s="485"/>
      <c r="E948" s="469"/>
      <c r="F948" s="469"/>
      <c r="G948" s="470"/>
      <c r="H948" s="469"/>
      <c r="I948" s="470"/>
      <c r="J948" s="470"/>
      <c r="K948" s="344"/>
      <c r="L948" s="469"/>
      <c r="M948" s="469"/>
      <c r="N948" s="469"/>
      <c r="O948" s="469"/>
      <c r="P948" s="469"/>
      <c r="Q948" s="470"/>
      <c r="R948" s="469"/>
      <c r="S948" s="469"/>
      <c r="T948" s="470"/>
      <c r="U948" s="470"/>
      <c r="V948" s="470"/>
      <c r="W948" s="469"/>
      <c r="X948" s="469"/>
      <c r="Y948" s="469"/>
      <c r="Z948" s="470"/>
      <c r="AA948" s="469"/>
      <c r="AB948" s="469"/>
      <c r="AC948" s="469"/>
      <c r="AD948" s="469"/>
      <c r="AE948" s="472"/>
      <c r="AF948" s="472"/>
      <c r="AG948" s="503"/>
      <c r="AH948" s="503"/>
    </row>
    <row r="949" ht="15.75" customHeight="1">
      <c r="A949" s="344"/>
      <c r="B949" s="470"/>
      <c r="C949" s="469"/>
      <c r="D949" s="485"/>
      <c r="E949" s="469"/>
      <c r="F949" s="469"/>
      <c r="G949" s="470"/>
      <c r="H949" s="469"/>
      <c r="I949" s="470"/>
      <c r="J949" s="470"/>
      <c r="K949" s="344"/>
      <c r="L949" s="469"/>
      <c r="M949" s="469"/>
      <c r="N949" s="469"/>
      <c r="O949" s="469"/>
      <c r="P949" s="469"/>
      <c r="Q949" s="470"/>
      <c r="R949" s="469"/>
      <c r="S949" s="469"/>
      <c r="T949" s="470"/>
      <c r="U949" s="470"/>
      <c r="V949" s="470"/>
      <c r="W949" s="469"/>
      <c r="X949" s="469"/>
      <c r="Y949" s="469"/>
      <c r="Z949" s="470"/>
      <c r="AA949" s="469"/>
      <c r="AB949" s="469"/>
      <c r="AC949" s="469"/>
      <c r="AD949" s="469"/>
      <c r="AE949" s="472"/>
      <c r="AF949" s="472"/>
      <c r="AG949" s="503"/>
      <c r="AH949" s="503"/>
    </row>
    <row r="950" ht="15.75" customHeight="1">
      <c r="A950" s="344"/>
      <c r="B950" s="470"/>
      <c r="C950" s="469"/>
      <c r="D950" s="485"/>
      <c r="E950" s="469"/>
      <c r="F950" s="469"/>
      <c r="G950" s="470"/>
      <c r="H950" s="469"/>
      <c r="I950" s="470"/>
      <c r="J950" s="470"/>
      <c r="K950" s="344"/>
      <c r="L950" s="469"/>
      <c r="M950" s="469"/>
      <c r="N950" s="469"/>
      <c r="O950" s="469"/>
      <c r="P950" s="469"/>
      <c r="Q950" s="470"/>
      <c r="R950" s="469"/>
      <c r="S950" s="469"/>
      <c r="T950" s="470"/>
      <c r="U950" s="470"/>
      <c r="V950" s="470"/>
      <c r="W950" s="469"/>
      <c r="X950" s="469"/>
      <c r="Y950" s="469"/>
      <c r="Z950" s="470"/>
      <c r="AA950" s="469"/>
      <c r="AB950" s="469"/>
      <c r="AC950" s="469"/>
      <c r="AD950" s="469"/>
      <c r="AE950" s="472"/>
      <c r="AF950" s="472"/>
      <c r="AG950" s="503"/>
      <c r="AH950" s="503"/>
    </row>
    <row r="951" ht="15.75" customHeight="1">
      <c r="A951" s="344"/>
      <c r="B951" s="470"/>
      <c r="C951" s="469"/>
      <c r="D951" s="485"/>
      <c r="E951" s="469"/>
      <c r="F951" s="469"/>
      <c r="G951" s="470"/>
      <c r="H951" s="469"/>
      <c r="I951" s="470"/>
      <c r="J951" s="470"/>
      <c r="K951" s="344"/>
      <c r="L951" s="469"/>
      <c r="M951" s="469"/>
      <c r="N951" s="469"/>
      <c r="O951" s="469"/>
      <c r="P951" s="469"/>
      <c r="Q951" s="470"/>
      <c r="R951" s="469"/>
      <c r="S951" s="469"/>
      <c r="T951" s="470"/>
      <c r="U951" s="470"/>
      <c r="V951" s="470"/>
      <c r="W951" s="469"/>
      <c r="X951" s="469"/>
      <c r="Y951" s="469"/>
      <c r="Z951" s="470"/>
      <c r="AA951" s="469"/>
      <c r="AB951" s="469"/>
      <c r="AC951" s="469"/>
      <c r="AD951" s="469"/>
      <c r="AE951" s="472"/>
      <c r="AF951" s="472"/>
      <c r="AG951" s="503"/>
      <c r="AH951" s="503"/>
    </row>
    <row r="952" ht="15.75" customHeight="1">
      <c r="A952" s="344"/>
      <c r="B952" s="470"/>
      <c r="C952" s="469"/>
      <c r="D952" s="485"/>
      <c r="E952" s="469"/>
      <c r="F952" s="469"/>
      <c r="G952" s="470"/>
      <c r="H952" s="469"/>
      <c r="I952" s="470"/>
      <c r="J952" s="470"/>
      <c r="K952" s="344"/>
      <c r="L952" s="469"/>
      <c r="M952" s="469"/>
      <c r="N952" s="469"/>
      <c r="O952" s="469"/>
      <c r="P952" s="469"/>
      <c r="Q952" s="470"/>
      <c r="R952" s="469"/>
      <c r="S952" s="469"/>
      <c r="T952" s="470"/>
      <c r="U952" s="470"/>
      <c r="V952" s="470"/>
      <c r="W952" s="469"/>
      <c r="X952" s="469"/>
      <c r="Y952" s="469"/>
      <c r="Z952" s="470"/>
      <c r="AA952" s="469"/>
      <c r="AB952" s="469"/>
      <c r="AC952" s="469"/>
      <c r="AD952" s="469"/>
      <c r="AE952" s="472"/>
      <c r="AF952" s="472"/>
      <c r="AG952" s="503"/>
      <c r="AH952" s="503"/>
    </row>
    <row r="953" ht="15.75" customHeight="1">
      <c r="A953" s="344"/>
      <c r="B953" s="470"/>
      <c r="C953" s="469"/>
      <c r="D953" s="485"/>
      <c r="E953" s="469"/>
      <c r="F953" s="469"/>
      <c r="G953" s="470"/>
      <c r="H953" s="469"/>
      <c r="I953" s="470"/>
      <c r="J953" s="470"/>
      <c r="K953" s="344"/>
      <c r="L953" s="469"/>
      <c r="M953" s="469"/>
      <c r="N953" s="469"/>
      <c r="O953" s="469"/>
      <c r="P953" s="469"/>
      <c r="Q953" s="470"/>
      <c r="R953" s="469"/>
      <c r="S953" s="469"/>
      <c r="T953" s="470"/>
      <c r="U953" s="470"/>
      <c r="V953" s="470"/>
      <c r="W953" s="469"/>
      <c r="X953" s="469"/>
      <c r="Y953" s="469"/>
      <c r="Z953" s="470"/>
      <c r="AA953" s="469"/>
      <c r="AB953" s="469"/>
      <c r="AC953" s="469"/>
      <c r="AD953" s="469"/>
      <c r="AE953" s="472"/>
      <c r="AF953" s="472"/>
      <c r="AG953" s="503"/>
      <c r="AH953" s="503"/>
    </row>
    <row r="954" ht="15.75" customHeight="1">
      <c r="A954" s="344"/>
      <c r="B954" s="470"/>
      <c r="C954" s="469"/>
      <c r="D954" s="485"/>
      <c r="E954" s="469"/>
      <c r="F954" s="469"/>
      <c r="G954" s="470"/>
      <c r="H954" s="469"/>
      <c r="I954" s="470"/>
      <c r="J954" s="470"/>
      <c r="K954" s="344"/>
      <c r="L954" s="469"/>
      <c r="M954" s="469"/>
      <c r="N954" s="469"/>
      <c r="O954" s="469"/>
      <c r="P954" s="469"/>
      <c r="Q954" s="470"/>
      <c r="R954" s="469"/>
      <c r="S954" s="469"/>
      <c r="T954" s="470"/>
      <c r="U954" s="470"/>
      <c r="V954" s="470"/>
      <c r="W954" s="469"/>
      <c r="X954" s="469"/>
      <c r="Y954" s="469"/>
      <c r="Z954" s="470"/>
      <c r="AA954" s="469"/>
      <c r="AB954" s="469"/>
      <c r="AC954" s="469"/>
      <c r="AD954" s="469"/>
      <c r="AE954" s="472"/>
      <c r="AF954" s="472"/>
      <c r="AG954" s="503"/>
      <c r="AH954" s="503"/>
    </row>
    <row r="955" ht="15.75" customHeight="1">
      <c r="A955" s="344"/>
      <c r="B955" s="470"/>
      <c r="C955" s="469"/>
      <c r="D955" s="485"/>
      <c r="E955" s="469"/>
      <c r="F955" s="469"/>
      <c r="G955" s="470"/>
      <c r="H955" s="469"/>
      <c r="I955" s="470"/>
      <c r="J955" s="470"/>
      <c r="K955" s="344"/>
      <c r="L955" s="469"/>
      <c r="M955" s="469"/>
      <c r="N955" s="469"/>
      <c r="O955" s="469"/>
      <c r="P955" s="469"/>
      <c r="Q955" s="470"/>
      <c r="R955" s="469"/>
      <c r="S955" s="469"/>
      <c r="T955" s="470"/>
      <c r="U955" s="470"/>
      <c r="V955" s="470"/>
      <c r="W955" s="469"/>
      <c r="X955" s="469"/>
      <c r="Y955" s="469"/>
      <c r="Z955" s="470"/>
      <c r="AA955" s="469"/>
      <c r="AB955" s="469"/>
      <c r="AC955" s="469"/>
      <c r="AD955" s="469"/>
      <c r="AE955" s="472"/>
      <c r="AF955" s="472"/>
      <c r="AG955" s="503"/>
      <c r="AH955" s="503"/>
    </row>
    <row r="956" ht="15.75" customHeight="1">
      <c r="A956" s="344"/>
      <c r="B956" s="470"/>
      <c r="C956" s="469"/>
      <c r="D956" s="485"/>
      <c r="E956" s="469"/>
      <c r="F956" s="469"/>
      <c r="G956" s="470"/>
      <c r="H956" s="469"/>
      <c r="I956" s="470"/>
      <c r="J956" s="470"/>
      <c r="K956" s="344"/>
      <c r="L956" s="469"/>
      <c r="M956" s="469"/>
      <c r="N956" s="469"/>
      <c r="O956" s="469"/>
      <c r="P956" s="469"/>
      <c r="Q956" s="470"/>
      <c r="R956" s="469"/>
      <c r="S956" s="469"/>
      <c r="T956" s="470"/>
      <c r="U956" s="470"/>
      <c r="V956" s="470"/>
      <c r="W956" s="469"/>
      <c r="X956" s="469"/>
      <c r="Y956" s="469"/>
      <c r="Z956" s="470"/>
      <c r="AA956" s="469"/>
      <c r="AB956" s="469"/>
      <c r="AC956" s="469"/>
      <c r="AD956" s="469"/>
      <c r="AE956" s="472"/>
      <c r="AF956" s="472"/>
      <c r="AG956" s="503"/>
      <c r="AH956" s="503"/>
    </row>
    <row r="957" ht="15.75" customHeight="1">
      <c r="A957" s="344"/>
      <c r="B957" s="470"/>
      <c r="C957" s="469"/>
      <c r="D957" s="485"/>
      <c r="E957" s="469"/>
      <c r="F957" s="469"/>
      <c r="G957" s="470"/>
      <c r="H957" s="469"/>
      <c r="I957" s="470"/>
      <c r="J957" s="470"/>
      <c r="K957" s="344"/>
      <c r="L957" s="469"/>
      <c r="M957" s="469"/>
      <c r="N957" s="469"/>
      <c r="O957" s="469"/>
      <c r="P957" s="469"/>
      <c r="Q957" s="470"/>
      <c r="R957" s="469"/>
      <c r="S957" s="469"/>
      <c r="T957" s="470"/>
      <c r="U957" s="470"/>
      <c r="V957" s="470"/>
      <c r="W957" s="469"/>
      <c r="X957" s="469"/>
      <c r="Y957" s="469"/>
      <c r="Z957" s="470"/>
      <c r="AA957" s="469"/>
      <c r="AB957" s="469"/>
      <c r="AC957" s="469"/>
      <c r="AD957" s="469"/>
      <c r="AE957" s="472"/>
      <c r="AF957" s="472"/>
      <c r="AG957" s="503"/>
      <c r="AH957" s="503"/>
    </row>
    <row r="958" ht="15.75" customHeight="1">
      <c r="A958" s="344"/>
      <c r="B958" s="470"/>
      <c r="C958" s="469"/>
      <c r="D958" s="485"/>
      <c r="E958" s="469"/>
      <c r="F958" s="469"/>
      <c r="G958" s="470"/>
      <c r="H958" s="469"/>
      <c r="I958" s="470"/>
      <c r="J958" s="470"/>
      <c r="K958" s="344"/>
      <c r="L958" s="469"/>
      <c r="M958" s="469"/>
      <c r="N958" s="469"/>
      <c r="O958" s="469"/>
      <c r="P958" s="469"/>
      <c r="Q958" s="470"/>
      <c r="R958" s="469"/>
      <c r="S958" s="469"/>
      <c r="T958" s="470"/>
      <c r="U958" s="470"/>
      <c r="V958" s="470"/>
      <c r="W958" s="469"/>
      <c r="X958" s="469"/>
      <c r="Y958" s="469"/>
      <c r="Z958" s="470"/>
      <c r="AA958" s="469"/>
      <c r="AB958" s="469"/>
      <c r="AC958" s="469"/>
      <c r="AD958" s="469"/>
      <c r="AE958" s="472"/>
      <c r="AF958" s="472"/>
      <c r="AG958" s="503"/>
      <c r="AH958" s="503"/>
    </row>
    <row r="959" ht="15.75" customHeight="1">
      <c r="A959" s="344"/>
      <c r="B959" s="470"/>
      <c r="C959" s="469"/>
      <c r="D959" s="485"/>
      <c r="E959" s="469"/>
      <c r="F959" s="469"/>
      <c r="G959" s="470"/>
      <c r="H959" s="469"/>
      <c r="I959" s="470"/>
      <c r="J959" s="470"/>
      <c r="K959" s="344"/>
      <c r="L959" s="469"/>
      <c r="M959" s="469"/>
      <c r="N959" s="469"/>
      <c r="O959" s="469"/>
      <c r="P959" s="469"/>
      <c r="Q959" s="470"/>
      <c r="R959" s="469"/>
      <c r="S959" s="469"/>
      <c r="T959" s="470"/>
      <c r="U959" s="470"/>
      <c r="V959" s="470"/>
      <c r="W959" s="469"/>
      <c r="X959" s="469"/>
      <c r="Y959" s="469"/>
      <c r="Z959" s="470"/>
      <c r="AA959" s="469"/>
      <c r="AB959" s="469"/>
      <c r="AC959" s="469"/>
      <c r="AD959" s="469"/>
      <c r="AE959" s="472"/>
      <c r="AF959" s="472"/>
      <c r="AG959" s="503"/>
      <c r="AH959" s="503"/>
    </row>
    <row r="960" ht="15.75" customHeight="1">
      <c r="A960" s="344"/>
      <c r="B960" s="470"/>
      <c r="C960" s="469"/>
      <c r="D960" s="485"/>
      <c r="E960" s="469"/>
      <c r="F960" s="469"/>
      <c r="G960" s="470"/>
      <c r="H960" s="469"/>
      <c r="I960" s="470"/>
      <c r="J960" s="470"/>
      <c r="K960" s="344"/>
      <c r="L960" s="469"/>
      <c r="M960" s="469"/>
      <c r="N960" s="469"/>
      <c r="O960" s="469"/>
      <c r="P960" s="469"/>
      <c r="Q960" s="470"/>
      <c r="R960" s="469"/>
      <c r="S960" s="469"/>
      <c r="T960" s="470"/>
      <c r="U960" s="470"/>
      <c r="V960" s="470"/>
      <c r="W960" s="469"/>
      <c r="X960" s="469"/>
      <c r="Y960" s="469"/>
      <c r="Z960" s="470"/>
      <c r="AA960" s="469"/>
      <c r="AB960" s="469"/>
      <c r="AC960" s="469"/>
      <c r="AD960" s="469"/>
      <c r="AE960" s="472"/>
      <c r="AF960" s="472"/>
      <c r="AG960" s="503"/>
      <c r="AH960" s="503"/>
    </row>
    <row r="961" ht="15.75" customHeight="1">
      <c r="A961" s="344"/>
      <c r="B961" s="470"/>
      <c r="C961" s="469"/>
      <c r="D961" s="485"/>
      <c r="E961" s="469"/>
      <c r="F961" s="469"/>
      <c r="G961" s="470"/>
      <c r="H961" s="469"/>
      <c r="I961" s="470"/>
      <c r="J961" s="470"/>
      <c r="K961" s="344"/>
      <c r="L961" s="469"/>
      <c r="M961" s="469"/>
      <c r="N961" s="469"/>
      <c r="O961" s="469"/>
      <c r="P961" s="469"/>
      <c r="Q961" s="470"/>
      <c r="R961" s="469"/>
      <c r="S961" s="469"/>
      <c r="T961" s="470"/>
      <c r="U961" s="470"/>
      <c r="V961" s="470"/>
      <c r="W961" s="469"/>
      <c r="X961" s="469"/>
      <c r="Y961" s="469"/>
      <c r="Z961" s="470"/>
      <c r="AA961" s="469"/>
      <c r="AB961" s="469"/>
      <c r="AC961" s="469"/>
      <c r="AD961" s="469"/>
      <c r="AE961" s="472"/>
      <c r="AF961" s="472"/>
      <c r="AG961" s="503"/>
      <c r="AH961" s="503"/>
    </row>
    <row r="962" ht="15.75" customHeight="1">
      <c r="A962" s="344"/>
      <c r="B962" s="470"/>
      <c r="C962" s="469"/>
      <c r="D962" s="485"/>
      <c r="E962" s="469"/>
      <c r="F962" s="469"/>
      <c r="G962" s="470"/>
      <c r="H962" s="469"/>
      <c r="I962" s="470"/>
      <c r="J962" s="470"/>
      <c r="K962" s="344"/>
      <c r="L962" s="469"/>
      <c r="M962" s="469"/>
      <c r="N962" s="469"/>
      <c r="O962" s="469"/>
      <c r="P962" s="469"/>
      <c r="Q962" s="470"/>
      <c r="R962" s="469"/>
      <c r="S962" s="469"/>
      <c r="T962" s="470"/>
      <c r="U962" s="470"/>
      <c r="V962" s="470"/>
      <c r="W962" s="469"/>
      <c r="X962" s="469"/>
      <c r="Y962" s="469"/>
      <c r="Z962" s="470"/>
      <c r="AA962" s="469"/>
      <c r="AB962" s="469"/>
      <c r="AC962" s="469"/>
      <c r="AD962" s="469"/>
      <c r="AE962" s="472"/>
      <c r="AF962" s="472"/>
      <c r="AG962" s="503"/>
      <c r="AH962" s="503"/>
    </row>
    <row r="963" ht="15.75" customHeight="1">
      <c r="A963" s="344"/>
      <c r="B963" s="470"/>
      <c r="C963" s="469"/>
      <c r="D963" s="485"/>
      <c r="E963" s="469"/>
      <c r="F963" s="469"/>
      <c r="G963" s="470"/>
      <c r="H963" s="469"/>
      <c r="I963" s="470"/>
      <c r="J963" s="470"/>
      <c r="K963" s="344"/>
      <c r="L963" s="469"/>
      <c r="M963" s="469"/>
      <c r="N963" s="469"/>
      <c r="O963" s="469"/>
      <c r="P963" s="469"/>
      <c r="Q963" s="470"/>
      <c r="R963" s="469"/>
      <c r="S963" s="469"/>
      <c r="T963" s="470"/>
      <c r="U963" s="470"/>
      <c r="V963" s="470"/>
      <c r="W963" s="469"/>
      <c r="X963" s="469"/>
      <c r="Y963" s="469"/>
      <c r="Z963" s="470"/>
      <c r="AA963" s="469"/>
      <c r="AB963" s="469"/>
      <c r="AC963" s="469"/>
      <c r="AD963" s="469"/>
      <c r="AE963" s="472"/>
      <c r="AF963" s="472"/>
      <c r="AG963" s="503"/>
      <c r="AH963" s="503"/>
    </row>
    <row r="964" ht="15.75" customHeight="1">
      <c r="A964" s="344"/>
      <c r="B964" s="470"/>
      <c r="C964" s="469"/>
      <c r="D964" s="485"/>
      <c r="E964" s="469"/>
      <c r="F964" s="469"/>
      <c r="G964" s="470"/>
      <c r="H964" s="469"/>
      <c r="I964" s="470"/>
      <c r="J964" s="470"/>
      <c r="K964" s="344"/>
      <c r="L964" s="469"/>
      <c r="M964" s="469"/>
      <c r="N964" s="469"/>
      <c r="O964" s="469"/>
      <c r="P964" s="469"/>
      <c r="Q964" s="470"/>
      <c r="R964" s="469"/>
      <c r="S964" s="469"/>
      <c r="T964" s="470"/>
      <c r="U964" s="470"/>
      <c r="V964" s="470"/>
      <c r="W964" s="469"/>
      <c r="X964" s="469"/>
      <c r="Y964" s="469"/>
      <c r="Z964" s="470"/>
      <c r="AA964" s="469"/>
      <c r="AB964" s="469"/>
      <c r="AC964" s="469"/>
      <c r="AD964" s="469"/>
      <c r="AE964" s="472"/>
      <c r="AF964" s="472"/>
      <c r="AG964" s="503"/>
      <c r="AH964" s="503"/>
    </row>
    <row r="965" ht="15.75" customHeight="1">
      <c r="A965" s="344"/>
      <c r="B965" s="470"/>
      <c r="C965" s="469"/>
      <c r="D965" s="485"/>
      <c r="E965" s="469"/>
      <c r="F965" s="469"/>
      <c r="G965" s="470"/>
      <c r="H965" s="469"/>
      <c r="I965" s="470"/>
      <c r="J965" s="470"/>
      <c r="K965" s="344"/>
      <c r="L965" s="469"/>
      <c r="M965" s="469"/>
      <c r="N965" s="469"/>
      <c r="O965" s="469"/>
      <c r="P965" s="469"/>
      <c r="Q965" s="470"/>
      <c r="R965" s="469"/>
      <c r="S965" s="469"/>
      <c r="T965" s="470"/>
      <c r="U965" s="470"/>
      <c r="V965" s="470"/>
      <c r="W965" s="469"/>
      <c r="X965" s="469"/>
      <c r="Y965" s="469"/>
      <c r="Z965" s="470"/>
      <c r="AA965" s="469"/>
      <c r="AB965" s="469"/>
      <c r="AC965" s="469"/>
      <c r="AD965" s="469"/>
      <c r="AE965" s="472"/>
      <c r="AF965" s="472"/>
      <c r="AG965" s="503"/>
      <c r="AH965" s="503"/>
    </row>
    <row r="966" ht="15.75" customHeight="1">
      <c r="A966" s="344"/>
      <c r="B966" s="470"/>
      <c r="C966" s="469"/>
      <c r="D966" s="485"/>
      <c r="E966" s="469"/>
      <c r="F966" s="469"/>
      <c r="G966" s="470"/>
      <c r="H966" s="469"/>
      <c r="I966" s="470"/>
      <c r="J966" s="470"/>
      <c r="K966" s="344"/>
      <c r="L966" s="469"/>
      <c r="M966" s="469"/>
      <c r="N966" s="469"/>
      <c r="O966" s="469"/>
      <c r="P966" s="469"/>
      <c r="Q966" s="470"/>
      <c r="R966" s="469"/>
      <c r="S966" s="469"/>
      <c r="T966" s="470"/>
      <c r="U966" s="470"/>
      <c r="V966" s="470"/>
      <c r="W966" s="469"/>
      <c r="X966" s="469"/>
      <c r="Y966" s="469"/>
      <c r="Z966" s="470"/>
      <c r="AA966" s="469"/>
      <c r="AB966" s="469"/>
      <c r="AC966" s="469"/>
      <c r="AD966" s="469"/>
      <c r="AE966" s="472"/>
      <c r="AF966" s="472"/>
      <c r="AG966" s="503"/>
      <c r="AH966" s="503"/>
    </row>
    <row r="967" ht="15.75" customHeight="1">
      <c r="A967" s="344"/>
      <c r="B967" s="470"/>
      <c r="C967" s="469"/>
      <c r="D967" s="485"/>
      <c r="E967" s="469"/>
      <c r="F967" s="469"/>
      <c r="G967" s="470"/>
      <c r="H967" s="469"/>
      <c r="I967" s="470"/>
      <c r="J967" s="470"/>
      <c r="K967" s="344"/>
      <c r="L967" s="469"/>
      <c r="M967" s="469"/>
      <c r="N967" s="469"/>
      <c r="O967" s="469"/>
      <c r="P967" s="469"/>
      <c r="Q967" s="470"/>
      <c r="R967" s="469"/>
      <c r="S967" s="469"/>
      <c r="T967" s="470"/>
      <c r="U967" s="470"/>
      <c r="V967" s="470"/>
      <c r="W967" s="469"/>
      <c r="X967" s="469"/>
      <c r="Y967" s="469"/>
      <c r="Z967" s="470"/>
      <c r="AA967" s="469"/>
      <c r="AB967" s="469"/>
      <c r="AC967" s="469"/>
      <c r="AD967" s="469"/>
      <c r="AE967" s="472"/>
      <c r="AF967" s="472"/>
      <c r="AG967" s="503"/>
      <c r="AH967" s="503"/>
    </row>
    <row r="968" ht="15.75" customHeight="1">
      <c r="A968" s="344"/>
      <c r="B968" s="470"/>
      <c r="C968" s="469"/>
      <c r="D968" s="485"/>
      <c r="E968" s="469"/>
      <c r="F968" s="469"/>
      <c r="G968" s="470"/>
      <c r="H968" s="469"/>
      <c r="I968" s="470"/>
      <c r="J968" s="470"/>
      <c r="K968" s="344"/>
      <c r="L968" s="469"/>
      <c r="M968" s="469"/>
      <c r="N968" s="469"/>
      <c r="O968" s="469"/>
      <c r="P968" s="469"/>
      <c r="Q968" s="470"/>
      <c r="R968" s="469"/>
      <c r="S968" s="469"/>
      <c r="T968" s="470"/>
      <c r="U968" s="470"/>
      <c r="V968" s="470"/>
      <c r="W968" s="469"/>
      <c r="X968" s="469"/>
      <c r="Y968" s="469"/>
      <c r="Z968" s="470"/>
      <c r="AA968" s="469"/>
      <c r="AB968" s="469"/>
      <c r="AC968" s="469"/>
      <c r="AD968" s="469"/>
      <c r="AE968" s="472"/>
      <c r="AF968" s="472"/>
      <c r="AG968" s="503"/>
      <c r="AH968" s="503"/>
    </row>
    <row r="969" ht="15.75" customHeight="1">
      <c r="A969" s="344"/>
      <c r="B969" s="470"/>
      <c r="C969" s="469"/>
      <c r="D969" s="485"/>
      <c r="E969" s="469"/>
      <c r="F969" s="469"/>
      <c r="G969" s="470"/>
      <c r="H969" s="469"/>
      <c r="I969" s="470"/>
      <c r="J969" s="470"/>
      <c r="K969" s="344"/>
      <c r="L969" s="469"/>
      <c r="M969" s="469"/>
      <c r="N969" s="469"/>
      <c r="O969" s="469"/>
      <c r="P969" s="469"/>
      <c r="Q969" s="470"/>
      <c r="R969" s="469"/>
      <c r="S969" s="469"/>
      <c r="T969" s="470"/>
      <c r="U969" s="470"/>
      <c r="V969" s="470"/>
      <c r="W969" s="469"/>
      <c r="X969" s="469"/>
      <c r="Y969" s="469"/>
      <c r="Z969" s="470"/>
      <c r="AA969" s="469"/>
      <c r="AB969" s="469"/>
      <c r="AC969" s="469"/>
      <c r="AD969" s="469"/>
      <c r="AE969" s="472"/>
      <c r="AF969" s="472"/>
      <c r="AG969" s="503"/>
      <c r="AH969" s="503"/>
    </row>
    <row r="970" ht="15.75" customHeight="1">
      <c r="A970" s="344"/>
      <c r="B970" s="470"/>
      <c r="C970" s="469"/>
      <c r="D970" s="485"/>
      <c r="E970" s="469"/>
      <c r="F970" s="469"/>
      <c r="G970" s="470"/>
      <c r="H970" s="469"/>
      <c r="I970" s="470"/>
      <c r="J970" s="470"/>
      <c r="K970" s="344"/>
      <c r="L970" s="469"/>
      <c r="M970" s="469"/>
      <c r="N970" s="469"/>
      <c r="O970" s="469"/>
      <c r="P970" s="469"/>
      <c r="Q970" s="470"/>
      <c r="R970" s="469"/>
      <c r="S970" s="469"/>
      <c r="T970" s="470"/>
      <c r="U970" s="470"/>
      <c r="V970" s="470"/>
      <c r="W970" s="469"/>
      <c r="X970" s="469"/>
      <c r="Y970" s="469"/>
      <c r="Z970" s="470"/>
      <c r="AA970" s="469"/>
      <c r="AB970" s="469"/>
      <c r="AC970" s="469"/>
      <c r="AD970" s="469"/>
      <c r="AE970" s="472"/>
      <c r="AF970" s="472"/>
      <c r="AG970" s="503"/>
      <c r="AH970" s="503"/>
    </row>
    <row r="971" ht="15.75" customHeight="1">
      <c r="A971" s="344"/>
      <c r="B971" s="470"/>
      <c r="C971" s="469"/>
      <c r="D971" s="485"/>
      <c r="E971" s="469"/>
      <c r="F971" s="469"/>
      <c r="G971" s="470"/>
      <c r="H971" s="469"/>
      <c r="I971" s="470"/>
      <c r="J971" s="470"/>
      <c r="K971" s="344"/>
      <c r="L971" s="469"/>
      <c r="M971" s="469"/>
      <c r="N971" s="469"/>
      <c r="O971" s="469"/>
      <c r="P971" s="469"/>
      <c r="Q971" s="470"/>
      <c r="R971" s="469"/>
      <c r="S971" s="469"/>
      <c r="T971" s="470"/>
      <c r="U971" s="470"/>
      <c r="V971" s="470"/>
      <c r="W971" s="469"/>
      <c r="X971" s="469"/>
      <c r="Y971" s="469"/>
      <c r="Z971" s="470"/>
      <c r="AA971" s="469"/>
      <c r="AB971" s="469"/>
      <c r="AC971" s="469"/>
      <c r="AD971" s="469"/>
      <c r="AE971" s="472"/>
      <c r="AF971" s="472"/>
      <c r="AG971" s="503"/>
      <c r="AH971" s="503"/>
    </row>
    <row r="972" ht="15.75" customHeight="1">
      <c r="A972" s="344"/>
      <c r="B972" s="470"/>
      <c r="C972" s="469"/>
      <c r="D972" s="485"/>
      <c r="E972" s="469"/>
      <c r="F972" s="469"/>
      <c r="G972" s="470"/>
      <c r="H972" s="469"/>
      <c r="I972" s="470"/>
      <c r="J972" s="470"/>
      <c r="K972" s="344"/>
      <c r="L972" s="469"/>
      <c r="M972" s="469"/>
      <c r="N972" s="469"/>
      <c r="O972" s="469"/>
      <c r="P972" s="469"/>
      <c r="Q972" s="470"/>
      <c r="R972" s="469"/>
      <c r="S972" s="469"/>
      <c r="T972" s="470"/>
      <c r="U972" s="470"/>
      <c r="V972" s="470"/>
      <c r="W972" s="469"/>
      <c r="X972" s="469"/>
      <c r="Y972" s="469"/>
      <c r="Z972" s="470"/>
      <c r="AA972" s="469"/>
      <c r="AB972" s="469"/>
      <c r="AC972" s="469"/>
      <c r="AD972" s="469"/>
      <c r="AE972" s="472"/>
      <c r="AF972" s="472"/>
      <c r="AG972" s="503"/>
      <c r="AH972" s="503"/>
    </row>
    <row r="973" ht="15.75" customHeight="1">
      <c r="A973" s="344"/>
      <c r="B973" s="470"/>
      <c r="C973" s="469"/>
      <c r="D973" s="485"/>
      <c r="E973" s="469"/>
      <c r="F973" s="469"/>
      <c r="G973" s="470"/>
      <c r="H973" s="469"/>
      <c r="I973" s="470"/>
      <c r="J973" s="470"/>
      <c r="K973" s="344"/>
      <c r="L973" s="469"/>
      <c r="M973" s="469"/>
      <c r="N973" s="469"/>
      <c r="O973" s="469"/>
      <c r="P973" s="469"/>
      <c r="Q973" s="470"/>
      <c r="R973" s="469"/>
      <c r="S973" s="469"/>
      <c r="T973" s="470"/>
      <c r="U973" s="470"/>
      <c r="V973" s="470"/>
      <c r="W973" s="469"/>
      <c r="X973" s="469"/>
      <c r="Y973" s="469"/>
      <c r="Z973" s="470"/>
      <c r="AA973" s="469"/>
      <c r="AB973" s="469"/>
      <c r="AC973" s="469"/>
      <c r="AD973" s="469"/>
      <c r="AE973" s="472"/>
      <c r="AF973" s="472"/>
      <c r="AG973" s="503"/>
      <c r="AH973" s="503"/>
    </row>
    <row r="974" ht="15.75" customHeight="1">
      <c r="A974" s="344"/>
      <c r="B974" s="470"/>
      <c r="C974" s="469"/>
      <c r="D974" s="485"/>
      <c r="E974" s="469"/>
      <c r="F974" s="469"/>
      <c r="G974" s="470"/>
      <c r="H974" s="469"/>
      <c r="I974" s="470"/>
      <c r="J974" s="470"/>
      <c r="K974" s="344"/>
      <c r="L974" s="469"/>
      <c r="M974" s="469"/>
      <c r="N974" s="469"/>
      <c r="O974" s="469"/>
      <c r="P974" s="469"/>
      <c r="Q974" s="470"/>
      <c r="R974" s="469"/>
      <c r="S974" s="469"/>
      <c r="T974" s="470"/>
      <c r="U974" s="470"/>
      <c r="V974" s="470"/>
      <c r="W974" s="469"/>
      <c r="X974" s="469"/>
      <c r="Y974" s="469"/>
      <c r="Z974" s="470"/>
      <c r="AA974" s="469"/>
      <c r="AB974" s="469"/>
      <c r="AC974" s="469"/>
      <c r="AD974" s="469"/>
      <c r="AE974" s="472"/>
      <c r="AF974" s="472"/>
      <c r="AG974" s="503"/>
      <c r="AH974" s="503"/>
    </row>
    <row r="975" ht="15.75" customHeight="1">
      <c r="A975" s="344"/>
      <c r="B975" s="470"/>
      <c r="C975" s="469"/>
      <c r="D975" s="485"/>
      <c r="E975" s="469"/>
      <c r="F975" s="469"/>
      <c r="G975" s="470"/>
      <c r="H975" s="469"/>
      <c r="I975" s="470"/>
      <c r="J975" s="470"/>
      <c r="K975" s="344"/>
      <c r="L975" s="469"/>
      <c r="M975" s="469"/>
      <c r="N975" s="469"/>
      <c r="O975" s="469"/>
      <c r="P975" s="469"/>
      <c r="Q975" s="470"/>
      <c r="R975" s="469"/>
      <c r="S975" s="469"/>
      <c r="T975" s="470"/>
      <c r="U975" s="470"/>
      <c r="V975" s="470"/>
      <c r="W975" s="469"/>
      <c r="X975" s="469"/>
      <c r="Y975" s="469"/>
      <c r="Z975" s="470"/>
      <c r="AA975" s="469"/>
      <c r="AB975" s="469"/>
      <c r="AC975" s="469"/>
      <c r="AD975" s="469"/>
      <c r="AE975" s="472"/>
      <c r="AF975" s="472"/>
      <c r="AG975" s="503"/>
      <c r="AH975" s="503"/>
    </row>
    <row r="976" ht="15.75" customHeight="1">
      <c r="A976" s="344"/>
      <c r="B976" s="470"/>
      <c r="C976" s="469"/>
      <c r="D976" s="485"/>
      <c r="E976" s="469"/>
      <c r="F976" s="469"/>
      <c r="G976" s="470"/>
      <c r="H976" s="469"/>
      <c r="I976" s="470"/>
      <c r="J976" s="470"/>
      <c r="K976" s="344"/>
      <c r="L976" s="469"/>
      <c r="M976" s="469"/>
      <c r="N976" s="469"/>
      <c r="O976" s="469"/>
      <c r="P976" s="469"/>
      <c r="Q976" s="470"/>
      <c r="R976" s="469"/>
      <c r="S976" s="469"/>
      <c r="T976" s="470"/>
      <c r="U976" s="470"/>
      <c r="V976" s="470"/>
      <c r="W976" s="469"/>
      <c r="X976" s="469"/>
      <c r="Y976" s="469"/>
      <c r="Z976" s="470"/>
      <c r="AA976" s="469"/>
      <c r="AB976" s="469"/>
      <c r="AC976" s="469"/>
      <c r="AD976" s="469"/>
      <c r="AE976" s="472"/>
      <c r="AF976" s="472"/>
      <c r="AG976" s="503"/>
      <c r="AH976" s="503"/>
    </row>
    <row r="977" ht="15.75" customHeight="1">
      <c r="A977" s="344"/>
      <c r="B977" s="470"/>
      <c r="C977" s="469"/>
      <c r="D977" s="485"/>
      <c r="E977" s="469"/>
      <c r="F977" s="469"/>
      <c r="G977" s="470"/>
      <c r="H977" s="469"/>
      <c r="I977" s="470"/>
      <c r="J977" s="470"/>
      <c r="K977" s="344"/>
      <c r="L977" s="469"/>
      <c r="M977" s="469"/>
      <c r="N977" s="469"/>
      <c r="O977" s="469"/>
      <c r="P977" s="469"/>
      <c r="Q977" s="470"/>
      <c r="R977" s="469"/>
      <c r="S977" s="469"/>
      <c r="T977" s="470"/>
      <c r="U977" s="470"/>
      <c r="V977" s="470"/>
      <c r="W977" s="469"/>
      <c r="X977" s="469"/>
      <c r="Y977" s="469"/>
      <c r="Z977" s="470"/>
      <c r="AA977" s="469"/>
      <c r="AB977" s="469"/>
      <c r="AC977" s="469"/>
      <c r="AD977" s="469"/>
      <c r="AE977" s="472"/>
      <c r="AF977" s="472"/>
      <c r="AG977" s="503"/>
      <c r="AH977" s="503"/>
    </row>
    <row r="978" ht="15.75" customHeight="1">
      <c r="A978" s="344"/>
      <c r="B978" s="470"/>
      <c r="C978" s="469"/>
      <c r="D978" s="485"/>
      <c r="E978" s="469"/>
      <c r="F978" s="469"/>
      <c r="G978" s="470"/>
      <c r="H978" s="469"/>
      <c r="I978" s="470"/>
      <c r="J978" s="470"/>
      <c r="K978" s="344"/>
      <c r="L978" s="469"/>
      <c r="M978" s="469"/>
      <c r="N978" s="469"/>
      <c r="O978" s="469"/>
      <c r="P978" s="469"/>
      <c r="Q978" s="470"/>
      <c r="R978" s="469"/>
      <c r="S978" s="469"/>
      <c r="T978" s="470"/>
      <c r="U978" s="470"/>
      <c r="V978" s="470"/>
      <c r="W978" s="469"/>
      <c r="X978" s="469"/>
      <c r="Y978" s="469"/>
      <c r="Z978" s="470"/>
      <c r="AA978" s="469"/>
      <c r="AB978" s="469"/>
      <c r="AC978" s="469"/>
      <c r="AD978" s="469"/>
      <c r="AE978" s="472"/>
      <c r="AF978" s="472"/>
      <c r="AG978" s="503"/>
      <c r="AH978" s="503"/>
    </row>
    <row r="979" ht="15.75" customHeight="1">
      <c r="A979" s="344"/>
      <c r="B979" s="470"/>
      <c r="C979" s="469"/>
      <c r="D979" s="485"/>
      <c r="E979" s="469"/>
      <c r="F979" s="469"/>
      <c r="G979" s="470"/>
      <c r="H979" s="469"/>
      <c r="I979" s="470"/>
      <c r="J979" s="470"/>
      <c r="K979" s="344"/>
      <c r="L979" s="469"/>
      <c r="M979" s="469"/>
      <c r="N979" s="469"/>
      <c r="O979" s="469"/>
      <c r="P979" s="469"/>
      <c r="Q979" s="470"/>
      <c r="R979" s="469"/>
      <c r="S979" s="469"/>
      <c r="T979" s="470"/>
      <c r="U979" s="470"/>
      <c r="V979" s="470"/>
      <c r="W979" s="469"/>
      <c r="X979" s="469"/>
      <c r="Y979" s="469"/>
      <c r="Z979" s="470"/>
      <c r="AA979" s="469"/>
      <c r="AB979" s="469"/>
      <c r="AC979" s="469"/>
      <c r="AD979" s="469"/>
      <c r="AE979" s="472"/>
      <c r="AF979" s="472"/>
      <c r="AG979" s="503"/>
      <c r="AH979" s="503"/>
    </row>
    <row r="980" ht="15.75" customHeight="1">
      <c r="A980" s="344"/>
      <c r="B980" s="470"/>
      <c r="C980" s="469"/>
      <c r="D980" s="485"/>
      <c r="E980" s="469"/>
      <c r="F980" s="469"/>
      <c r="G980" s="470"/>
      <c r="H980" s="469"/>
      <c r="I980" s="470"/>
      <c r="J980" s="470"/>
      <c r="K980" s="344"/>
      <c r="L980" s="469"/>
      <c r="M980" s="469"/>
      <c r="N980" s="469"/>
      <c r="O980" s="469"/>
      <c r="P980" s="469"/>
      <c r="Q980" s="470"/>
      <c r="R980" s="469"/>
      <c r="S980" s="469"/>
      <c r="T980" s="470"/>
      <c r="U980" s="470"/>
      <c r="V980" s="470"/>
      <c r="W980" s="469"/>
      <c r="X980" s="469"/>
      <c r="Y980" s="469"/>
      <c r="Z980" s="470"/>
      <c r="AA980" s="469"/>
      <c r="AB980" s="469"/>
      <c r="AC980" s="469"/>
      <c r="AD980" s="469"/>
      <c r="AE980" s="472"/>
      <c r="AF980" s="472"/>
      <c r="AG980" s="503"/>
      <c r="AH980" s="503"/>
    </row>
    <row r="981" ht="15.75" customHeight="1">
      <c r="A981" s="344"/>
      <c r="B981" s="470"/>
      <c r="C981" s="469"/>
      <c r="D981" s="485"/>
      <c r="E981" s="469"/>
      <c r="F981" s="469"/>
      <c r="G981" s="470"/>
      <c r="H981" s="469"/>
      <c r="I981" s="470"/>
      <c r="J981" s="470"/>
      <c r="K981" s="344"/>
      <c r="L981" s="469"/>
      <c r="M981" s="469"/>
      <c r="N981" s="469"/>
      <c r="O981" s="469"/>
      <c r="P981" s="469"/>
      <c r="Q981" s="470"/>
      <c r="R981" s="469"/>
      <c r="S981" s="469"/>
      <c r="T981" s="470"/>
      <c r="U981" s="470"/>
      <c r="V981" s="470"/>
      <c r="W981" s="469"/>
      <c r="X981" s="469"/>
      <c r="Y981" s="469"/>
      <c r="Z981" s="470"/>
      <c r="AA981" s="469"/>
      <c r="AB981" s="469"/>
      <c r="AC981" s="469"/>
      <c r="AD981" s="469"/>
      <c r="AE981" s="472"/>
      <c r="AF981" s="472"/>
      <c r="AG981" s="503"/>
      <c r="AH981" s="503"/>
    </row>
    <row r="982" ht="15.75" customHeight="1">
      <c r="A982" s="344"/>
      <c r="B982" s="470"/>
      <c r="C982" s="469"/>
      <c r="D982" s="485"/>
      <c r="E982" s="469"/>
      <c r="F982" s="469"/>
      <c r="G982" s="470"/>
      <c r="H982" s="469"/>
      <c r="I982" s="470"/>
      <c r="J982" s="470"/>
      <c r="K982" s="344"/>
      <c r="L982" s="469"/>
      <c r="M982" s="469"/>
      <c r="N982" s="469"/>
      <c r="O982" s="469"/>
      <c r="P982" s="469"/>
      <c r="Q982" s="470"/>
      <c r="R982" s="469"/>
      <c r="S982" s="469"/>
      <c r="T982" s="470"/>
      <c r="U982" s="470"/>
      <c r="V982" s="470"/>
      <c r="W982" s="469"/>
      <c r="X982" s="469"/>
      <c r="Y982" s="469"/>
      <c r="Z982" s="470"/>
      <c r="AA982" s="469"/>
      <c r="AB982" s="469"/>
      <c r="AC982" s="469"/>
      <c r="AD982" s="469"/>
      <c r="AE982" s="472"/>
      <c r="AF982" s="472"/>
      <c r="AG982" s="503"/>
      <c r="AH982" s="503"/>
    </row>
    <row r="983" ht="15.75" customHeight="1">
      <c r="A983" s="344"/>
      <c r="B983" s="470"/>
      <c r="C983" s="469"/>
      <c r="D983" s="485"/>
      <c r="E983" s="469"/>
      <c r="F983" s="469"/>
      <c r="G983" s="470"/>
      <c r="H983" s="469"/>
      <c r="I983" s="470"/>
      <c r="J983" s="470"/>
      <c r="K983" s="344"/>
      <c r="L983" s="469"/>
      <c r="M983" s="469"/>
      <c r="N983" s="469"/>
      <c r="O983" s="469"/>
      <c r="P983" s="469"/>
      <c r="Q983" s="470"/>
      <c r="R983" s="469"/>
      <c r="S983" s="469"/>
      <c r="T983" s="470"/>
      <c r="U983" s="470"/>
      <c r="V983" s="470"/>
      <c r="W983" s="469"/>
      <c r="X983" s="469"/>
      <c r="Y983" s="469"/>
      <c r="Z983" s="470"/>
      <c r="AA983" s="469"/>
      <c r="AB983" s="469"/>
      <c r="AC983" s="469"/>
      <c r="AD983" s="469"/>
      <c r="AE983" s="472"/>
      <c r="AF983" s="472"/>
      <c r="AG983" s="503"/>
      <c r="AH983" s="503"/>
    </row>
    <row r="984" ht="15.75" customHeight="1">
      <c r="A984" s="344"/>
      <c r="B984" s="470"/>
      <c r="C984" s="469"/>
      <c r="D984" s="485"/>
      <c r="E984" s="469"/>
      <c r="F984" s="469"/>
      <c r="G984" s="470"/>
      <c r="H984" s="469"/>
      <c r="I984" s="470"/>
      <c r="J984" s="470"/>
      <c r="K984" s="344"/>
      <c r="L984" s="469"/>
      <c r="M984" s="469"/>
      <c r="N984" s="469"/>
      <c r="O984" s="469"/>
      <c r="P984" s="469"/>
      <c r="Q984" s="470"/>
      <c r="R984" s="469"/>
      <c r="S984" s="469"/>
      <c r="T984" s="470"/>
      <c r="U984" s="470"/>
      <c r="V984" s="470"/>
      <c r="W984" s="469"/>
      <c r="X984" s="469"/>
      <c r="Y984" s="469"/>
      <c r="Z984" s="470"/>
      <c r="AA984" s="469"/>
      <c r="AB984" s="469"/>
      <c r="AC984" s="469"/>
      <c r="AD984" s="469"/>
      <c r="AE984" s="472"/>
      <c r="AF984" s="472"/>
      <c r="AG984" s="503"/>
      <c r="AH984" s="503"/>
    </row>
    <row r="985" ht="15.75" customHeight="1">
      <c r="A985" s="344"/>
      <c r="B985" s="470"/>
      <c r="C985" s="469"/>
      <c r="D985" s="485"/>
      <c r="E985" s="469"/>
      <c r="F985" s="469"/>
      <c r="G985" s="470"/>
      <c r="H985" s="469"/>
      <c r="I985" s="470"/>
      <c r="J985" s="470"/>
      <c r="K985" s="344"/>
      <c r="L985" s="469"/>
      <c r="M985" s="469"/>
      <c r="N985" s="469"/>
      <c r="O985" s="469"/>
      <c r="P985" s="469"/>
      <c r="Q985" s="470"/>
      <c r="R985" s="469"/>
      <c r="S985" s="469"/>
      <c r="T985" s="470"/>
      <c r="U985" s="470"/>
      <c r="V985" s="470"/>
      <c r="W985" s="469"/>
      <c r="X985" s="469"/>
      <c r="Y985" s="469"/>
      <c r="Z985" s="470"/>
      <c r="AA985" s="469"/>
      <c r="AB985" s="469"/>
      <c r="AC985" s="469"/>
      <c r="AD985" s="469"/>
      <c r="AE985" s="472"/>
      <c r="AF985" s="472"/>
      <c r="AG985" s="503"/>
      <c r="AH985" s="503"/>
    </row>
    <row r="986" ht="15.75" customHeight="1">
      <c r="A986" s="344"/>
      <c r="B986" s="470"/>
      <c r="C986" s="469"/>
      <c r="D986" s="485"/>
      <c r="E986" s="469"/>
      <c r="F986" s="469"/>
      <c r="G986" s="470"/>
      <c r="H986" s="469"/>
      <c r="I986" s="470"/>
      <c r="J986" s="470"/>
      <c r="K986" s="344"/>
      <c r="L986" s="469"/>
      <c r="M986" s="469"/>
      <c r="N986" s="469"/>
      <c r="O986" s="469"/>
      <c r="P986" s="469"/>
      <c r="Q986" s="470"/>
      <c r="R986" s="469"/>
      <c r="S986" s="469"/>
      <c r="T986" s="470"/>
      <c r="U986" s="470"/>
      <c r="V986" s="470"/>
      <c r="W986" s="469"/>
      <c r="X986" s="469"/>
      <c r="Y986" s="469"/>
      <c r="Z986" s="470"/>
      <c r="AA986" s="469"/>
      <c r="AB986" s="469"/>
      <c r="AC986" s="469"/>
      <c r="AD986" s="469"/>
      <c r="AE986" s="472"/>
      <c r="AF986" s="472"/>
      <c r="AG986" s="503"/>
      <c r="AH986" s="503"/>
    </row>
    <row r="987" ht="15.75" customHeight="1">
      <c r="A987" s="344"/>
      <c r="B987" s="470"/>
      <c r="C987" s="469"/>
      <c r="D987" s="485"/>
      <c r="E987" s="469"/>
      <c r="F987" s="469"/>
      <c r="G987" s="470"/>
      <c r="H987" s="469"/>
      <c r="I987" s="470"/>
      <c r="J987" s="470"/>
      <c r="K987" s="344"/>
      <c r="L987" s="469"/>
      <c r="M987" s="469"/>
      <c r="N987" s="469"/>
      <c r="O987" s="469"/>
      <c r="P987" s="469"/>
      <c r="Q987" s="470"/>
      <c r="R987" s="469"/>
      <c r="S987" s="469"/>
      <c r="T987" s="470"/>
      <c r="U987" s="470"/>
      <c r="V987" s="470"/>
      <c r="W987" s="469"/>
      <c r="X987" s="469"/>
      <c r="Y987" s="469"/>
      <c r="Z987" s="470"/>
      <c r="AA987" s="469"/>
      <c r="AB987" s="469"/>
      <c r="AC987" s="469"/>
      <c r="AD987" s="469"/>
      <c r="AE987" s="472"/>
      <c r="AF987" s="472"/>
      <c r="AG987" s="503"/>
      <c r="AH987" s="503"/>
    </row>
    <row r="988" ht="15.75" customHeight="1">
      <c r="A988" s="344"/>
      <c r="B988" s="470"/>
      <c r="C988" s="469"/>
      <c r="D988" s="485"/>
      <c r="E988" s="469"/>
      <c r="F988" s="469"/>
      <c r="G988" s="470"/>
      <c r="H988" s="469"/>
      <c r="I988" s="470"/>
      <c r="J988" s="470"/>
      <c r="K988" s="344"/>
      <c r="L988" s="469"/>
      <c r="M988" s="469"/>
      <c r="N988" s="469"/>
      <c r="O988" s="469"/>
      <c r="P988" s="469"/>
      <c r="Q988" s="470"/>
      <c r="R988" s="469"/>
      <c r="S988" s="469"/>
      <c r="T988" s="470"/>
      <c r="U988" s="470"/>
      <c r="V988" s="470"/>
      <c r="W988" s="469"/>
      <c r="X988" s="469"/>
      <c r="Y988" s="469"/>
      <c r="Z988" s="470"/>
      <c r="AA988" s="469"/>
      <c r="AB988" s="469"/>
      <c r="AC988" s="469"/>
      <c r="AD988" s="469"/>
      <c r="AE988" s="472"/>
      <c r="AF988" s="472"/>
      <c r="AG988" s="503"/>
      <c r="AH988" s="503"/>
    </row>
    <row r="989" ht="15.75" customHeight="1">
      <c r="A989" s="344"/>
      <c r="B989" s="470"/>
      <c r="C989" s="469"/>
      <c r="D989" s="485"/>
      <c r="E989" s="469"/>
      <c r="F989" s="469"/>
      <c r="G989" s="470"/>
      <c r="H989" s="469"/>
      <c r="I989" s="470"/>
      <c r="J989" s="470"/>
      <c r="K989" s="344"/>
      <c r="L989" s="469"/>
      <c r="M989" s="469"/>
      <c r="N989" s="469"/>
      <c r="O989" s="469"/>
      <c r="P989" s="469"/>
      <c r="Q989" s="470"/>
      <c r="R989" s="469"/>
      <c r="S989" s="469"/>
      <c r="T989" s="470"/>
      <c r="U989" s="470"/>
      <c r="V989" s="470"/>
      <c r="W989" s="469"/>
      <c r="X989" s="469"/>
      <c r="Y989" s="469"/>
      <c r="Z989" s="470"/>
      <c r="AA989" s="469"/>
      <c r="AB989" s="469"/>
      <c r="AC989" s="469"/>
      <c r="AD989" s="469"/>
      <c r="AE989" s="472"/>
      <c r="AF989" s="472"/>
      <c r="AG989" s="503"/>
      <c r="AH989" s="503"/>
    </row>
    <row r="990" ht="15.75" customHeight="1">
      <c r="A990" s="344"/>
      <c r="B990" s="470"/>
      <c r="C990" s="469"/>
      <c r="D990" s="485"/>
      <c r="E990" s="469"/>
      <c r="F990" s="469"/>
      <c r="G990" s="470"/>
      <c r="H990" s="469"/>
      <c r="I990" s="470"/>
      <c r="J990" s="470"/>
      <c r="K990" s="344"/>
      <c r="L990" s="469"/>
      <c r="M990" s="469"/>
      <c r="N990" s="469"/>
      <c r="O990" s="469"/>
      <c r="P990" s="469"/>
      <c r="Q990" s="470"/>
      <c r="R990" s="469"/>
      <c r="S990" s="469"/>
      <c r="T990" s="470"/>
      <c r="U990" s="470"/>
      <c r="V990" s="470"/>
      <c r="W990" s="469"/>
      <c r="X990" s="469"/>
      <c r="Y990" s="469"/>
      <c r="Z990" s="470"/>
      <c r="AA990" s="469"/>
      <c r="AB990" s="469"/>
      <c r="AC990" s="469"/>
      <c r="AD990" s="469"/>
      <c r="AE990" s="472"/>
      <c r="AF990" s="472"/>
      <c r="AG990" s="503"/>
      <c r="AH990" s="503"/>
    </row>
    <row r="991" ht="15.75" customHeight="1">
      <c r="A991" s="344"/>
      <c r="B991" s="470"/>
      <c r="C991" s="469"/>
      <c r="D991" s="485"/>
      <c r="E991" s="469"/>
      <c r="F991" s="469"/>
      <c r="G991" s="470"/>
      <c r="H991" s="469"/>
      <c r="I991" s="470"/>
      <c r="J991" s="470"/>
      <c r="K991" s="344"/>
      <c r="L991" s="469"/>
      <c r="M991" s="469"/>
      <c r="N991" s="469"/>
      <c r="O991" s="469"/>
      <c r="P991" s="469"/>
      <c r="Q991" s="470"/>
      <c r="R991" s="469"/>
      <c r="S991" s="469"/>
      <c r="T991" s="470"/>
      <c r="U991" s="470"/>
      <c r="V991" s="470"/>
      <c r="W991" s="469"/>
      <c r="X991" s="469"/>
      <c r="Y991" s="469"/>
      <c r="Z991" s="470"/>
      <c r="AA991" s="469"/>
      <c r="AB991" s="469"/>
      <c r="AC991" s="469"/>
      <c r="AD991" s="469"/>
      <c r="AE991" s="472"/>
      <c r="AF991" s="472"/>
      <c r="AG991" s="503"/>
      <c r="AH991" s="503"/>
    </row>
    <row r="992" ht="15.75" customHeight="1">
      <c r="A992" s="344"/>
      <c r="B992" s="470"/>
      <c r="C992" s="469"/>
      <c r="D992" s="485"/>
      <c r="E992" s="469"/>
      <c r="F992" s="469"/>
      <c r="G992" s="470"/>
      <c r="H992" s="469"/>
      <c r="I992" s="470"/>
      <c r="J992" s="470"/>
      <c r="K992" s="344"/>
      <c r="L992" s="469"/>
      <c r="M992" s="469"/>
      <c r="N992" s="469"/>
      <c r="O992" s="469"/>
      <c r="P992" s="469"/>
      <c r="Q992" s="470"/>
      <c r="R992" s="469"/>
      <c r="S992" s="469"/>
      <c r="T992" s="470"/>
      <c r="U992" s="470"/>
      <c r="V992" s="470"/>
      <c r="W992" s="469"/>
      <c r="X992" s="469"/>
      <c r="Y992" s="469"/>
      <c r="Z992" s="470"/>
      <c r="AA992" s="469"/>
      <c r="AB992" s="469"/>
      <c r="AC992" s="469"/>
      <c r="AD992" s="469"/>
      <c r="AE992" s="472"/>
      <c r="AF992" s="472"/>
      <c r="AG992" s="503"/>
      <c r="AH992" s="503"/>
    </row>
    <row r="993" ht="15.75" customHeight="1">
      <c r="A993" s="344"/>
      <c r="B993" s="470"/>
      <c r="C993" s="469"/>
      <c r="D993" s="485"/>
      <c r="E993" s="469"/>
      <c r="F993" s="469"/>
      <c r="G993" s="470"/>
      <c r="H993" s="469"/>
      <c r="I993" s="470"/>
      <c r="J993" s="470"/>
      <c r="K993" s="344"/>
      <c r="L993" s="469"/>
      <c r="M993" s="469"/>
      <c r="N993" s="469"/>
      <c r="O993" s="469"/>
      <c r="P993" s="469"/>
      <c r="Q993" s="470"/>
      <c r="R993" s="469"/>
      <c r="S993" s="469"/>
      <c r="T993" s="470"/>
      <c r="U993" s="470"/>
      <c r="V993" s="470"/>
      <c r="W993" s="469"/>
      <c r="X993" s="469"/>
      <c r="Y993" s="469"/>
      <c r="Z993" s="470"/>
      <c r="AA993" s="469"/>
      <c r="AB993" s="469"/>
      <c r="AC993" s="469"/>
      <c r="AD993" s="469"/>
      <c r="AE993" s="472"/>
      <c r="AF993" s="472"/>
      <c r="AG993" s="503"/>
      <c r="AH993" s="503"/>
    </row>
    <row r="994" ht="15.75" customHeight="1">
      <c r="A994" s="344"/>
      <c r="B994" s="470"/>
      <c r="C994" s="469"/>
      <c r="D994" s="485"/>
      <c r="E994" s="469"/>
      <c r="F994" s="469"/>
      <c r="G994" s="470"/>
      <c r="H994" s="469"/>
      <c r="I994" s="470"/>
      <c r="J994" s="470"/>
      <c r="K994" s="344"/>
      <c r="L994" s="469"/>
      <c r="M994" s="469"/>
      <c r="N994" s="469"/>
      <c r="O994" s="469"/>
      <c r="P994" s="469"/>
      <c r="Q994" s="470"/>
      <c r="R994" s="469"/>
      <c r="S994" s="469"/>
      <c r="T994" s="470"/>
      <c r="U994" s="470"/>
      <c r="V994" s="470"/>
      <c r="W994" s="469"/>
      <c r="X994" s="469"/>
      <c r="Y994" s="469"/>
      <c r="Z994" s="470"/>
      <c r="AA994" s="469"/>
      <c r="AB994" s="469"/>
      <c r="AC994" s="469"/>
      <c r="AD994" s="469"/>
      <c r="AE994" s="472"/>
      <c r="AF994" s="472"/>
      <c r="AG994" s="503"/>
      <c r="AH994" s="503"/>
    </row>
    <row r="995" ht="15.75" customHeight="1">
      <c r="A995" s="344"/>
      <c r="B995" s="470"/>
      <c r="C995" s="469"/>
      <c r="D995" s="485"/>
      <c r="E995" s="469"/>
      <c r="F995" s="469"/>
      <c r="G995" s="470"/>
      <c r="H995" s="469"/>
      <c r="I995" s="470"/>
      <c r="J995" s="470"/>
      <c r="K995" s="344"/>
      <c r="L995" s="469"/>
      <c r="M995" s="469"/>
      <c r="N995" s="469"/>
      <c r="O995" s="469"/>
      <c r="P995" s="469"/>
      <c r="Q995" s="470"/>
      <c r="R995" s="469"/>
      <c r="S995" s="469"/>
      <c r="T995" s="470"/>
      <c r="U995" s="470"/>
      <c r="V995" s="470"/>
      <c r="W995" s="469"/>
      <c r="X995" s="469"/>
      <c r="Y995" s="469"/>
      <c r="Z995" s="470"/>
      <c r="AA995" s="469"/>
      <c r="AB995" s="469"/>
      <c r="AC995" s="469"/>
      <c r="AD995" s="469"/>
      <c r="AE995" s="472"/>
      <c r="AF995" s="472"/>
      <c r="AG995" s="503"/>
      <c r="AH995" s="503"/>
    </row>
    <row r="996" ht="15.75" customHeight="1">
      <c r="A996" s="344"/>
      <c r="B996" s="470"/>
      <c r="C996" s="469"/>
      <c r="D996" s="485"/>
      <c r="E996" s="469"/>
      <c r="F996" s="469"/>
      <c r="G996" s="470"/>
      <c r="H996" s="469"/>
      <c r="I996" s="470"/>
      <c r="J996" s="470"/>
      <c r="K996" s="344"/>
      <c r="L996" s="469"/>
      <c r="M996" s="469"/>
      <c r="N996" s="469"/>
      <c r="O996" s="469"/>
      <c r="P996" s="469"/>
      <c r="Q996" s="470"/>
      <c r="R996" s="469"/>
      <c r="S996" s="469"/>
      <c r="T996" s="470"/>
      <c r="U996" s="470"/>
      <c r="V996" s="470"/>
      <c r="W996" s="469"/>
      <c r="X996" s="469"/>
      <c r="Y996" s="469"/>
      <c r="Z996" s="470"/>
      <c r="AA996" s="469"/>
      <c r="AB996" s="469"/>
      <c r="AC996" s="469"/>
      <c r="AD996" s="469"/>
      <c r="AE996" s="472"/>
      <c r="AF996" s="472"/>
      <c r="AG996" s="503"/>
      <c r="AH996" s="503"/>
    </row>
    <row r="997" ht="15.75" customHeight="1">
      <c r="A997" s="344"/>
      <c r="B997" s="470"/>
      <c r="C997" s="469"/>
      <c r="D997" s="485"/>
      <c r="E997" s="469"/>
      <c r="F997" s="469"/>
      <c r="G997" s="470"/>
      <c r="H997" s="469"/>
      <c r="I997" s="470"/>
      <c r="J997" s="470"/>
      <c r="K997" s="344"/>
      <c r="L997" s="469"/>
      <c r="M997" s="469"/>
      <c r="N997" s="469"/>
      <c r="O997" s="469"/>
      <c r="P997" s="469"/>
      <c r="Q997" s="470"/>
      <c r="R997" s="469"/>
      <c r="S997" s="469"/>
      <c r="T997" s="470"/>
      <c r="U997" s="470"/>
      <c r="V997" s="470"/>
      <c r="W997" s="469"/>
      <c r="X997" s="469"/>
      <c r="Y997" s="469"/>
      <c r="Z997" s="470"/>
      <c r="AA997" s="469"/>
      <c r="AB997" s="469"/>
      <c r="AC997" s="469"/>
      <c r="AD997" s="469"/>
      <c r="AE997" s="472"/>
      <c r="AF997" s="472"/>
      <c r="AG997" s="503"/>
      <c r="AH997" s="503"/>
    </row>
    <row r="998" ht="15.75" customHeight="1">
      <c r="A998" s="344"/>
      <c r="B998" s="470"/>
      <c r="C998" s="469"/>
      <c r="D998" s="485"/>
      <c r="E998" s="469"/>
      <c r="F998" s="469"/>
      <c r="G998" s="470"/>
      <c r="H998" s="469"/>
      <c r="I998" s="470"/>
      <c r="J998" s="470"/>
      <c r="K998" s="344"/>
      <c r="L998" s="469"/>
      <c r="M998" s="469"/>
      <c r="N998" s="469"/>
      <c r="O998" s="469"/>
      <c r="P998" s="469"/>
      <c r="Q998" s="470"/>
      <c r="R998" s="469"/>
      <c r="S998" s="469"/>
      <c r="T998" s="470"/>
      <c r="U998" s="470"/>
      <c r="V998" s="470"/>
      <c r="W998" s="469"/>
      <c r="X998" s="469"/>
      <c r="Y998" s="469"/>
      <c r="Z998" s="470"/>
      <c r="AA998" s="469"/>
      <c r="AB998" s="469"/>
      <c r="AC998" s="469"/>
      <c r="AD998" s="469"/>
      <c r="AE998" s="472"/>
      <c r="AF998" s="472"/>
      <c r="AG998" s="503"/>
      <c r="AH998" s="503"/>
    </row>
    <row r="999" ht="15.75" customHeight="1">
      <c r="A999" s="344"/>
      <c r="B999" s="470"/>
      <c r="C999" s="469"/>
      <c r="D999" s="485"/>
      <c r="E999" s="469"/>
      <c r="F999" s="469"/>
      <c r="G999" s="470"/>
      <c r="H999" s="469"/>
      <c r="I999" s="470"/>
      <c r="J999" s="470"/>
      <c r="K999" s="344"/>
      <c r="L999" s="469"/>
      <c r="M999" s="469"/>
      <c r="N999" s="469"/>
      <c r="O999" s="469"/>
      <c r="P999" s="469"/>
      <c r="Q999" s="470"/>
      <c r="R999" s="469"/>
      <c r="S999" s="469"/>
      <c r="T999" s="470"/>
      <c r="U999" s="470"/>
      <c r="V999" s="470"/>
      <c r="W999" s="469"/>
      <c r="X999" s="469"/>
      <c r="Y999" s="469"/>
      <c r="Z999" s="470"/>
      <c r="AA999" s="469"/>
      <c r="AB999" s="469"/>
      <c r="AC999" s="469"/>
      <c r="AD999" s="469"/>
      <c r="AE999" s="472"/>
      <c r="AF999" s="472"/>
      <c r="AG999" s="503"/>
      <c r="AH999" s="503"/>
    </row>
    <row r="1000" ht="15.75" customHeight="1">
      <c r="A1000" s="344"/>
      <c r="B1000" s="470"/>
      <c r="C1000" s="469"/>
      <c r="D1000" s="485"/>
      <c r="E1000" s="469"/>
      <c r="F1000" s="469"/>
      <c r="G1000" s="470"/>
      <c r="H1000" s="469"/>
      <c r="I1000" s="470"/>
      <c r="J1000" s="470"/>
      <c r="K1000" s="344"/>
      <c r="L1000" s="469"/>
      <c r="M1000" s="469"/>
      <c r="N1000" s="469"/>
      <c r="O1000" s="469"/>
      <c r="P1000" s="469"/>
      <c r="Q1000" s="470"/>
      <c r="R1000" s="469"/>
      <c r="S1000" s="469"/>
      <c r="T1000" s="470"/>
      <c r="U1000" s="470"/>
      <c r="V1000" s="470"/>
      <c r="W1000" s="469"/>
      <c r="X1000" s="469"/>
      <c r="Y1000" s="469"/>
      <c r="Z1000" s="470"/>
      <c r="AA1000" s="469"/>
      <c r="AB1000" s="469"/>
      <c r="AC1000" s="469"/>
      <c r="AD1000" s="469"/>
      <c r="AE1000" s="472"/>
      <c r="AF1000" s="472"/>
      <c r="AG1000" s="503"/>
      <c r="AH1000" s="503"/>
    </row>
    <row r="1001" ht="15.75" customHeight="1">
      <c r="A1001" s="344"/>
      <c r="B1001" s="470"/>
      <c r="C1001" s="469"/>
      <c r="D1001" s="485"/>
      <c r="E1001" s="469"/>
      <c r="F1001" s="469"/>
      <c r="G1001" s="470"/>
      <c r="H1001" s="469"/>
      <c r="I1001" s="470"/>
      <c r="J1001" s="470"/>
      <c r="K1001" s="344"/>
      <c r="L1001" s="469"/>
      <c r="M1001" s="469"/>
      <c r="N1001" s="469"/>
      <c r="O1001" s="469"/>
      <c r="P1001" s="469"/>
      <c r="Q1001" s="470"/>
      <c r="R1001" s="469"/>
      <c r="S1001" s="469"/>
      <c r="T1001" s="470"/>
      <c r="U1001" s="470"/>
      <c r="V1001" s="470"/>
      <c r="W1001" s="469"/>
      <c r="X1001" s="469"/>
      <c r="Y1001" s="469"/>
      <c r="Z1001" s="470"/>
      <c r="AA1001" s="469"/>
      <c r="AB1001" s="469"/>
      <c r="AC1001" s="469"/>
      <c r="AD1001" s="469"/>
      <c r="AE1001" s="472"/>
      <c r="AF1001" s="472"/>
      <c r="AG1001" s="503"/>
      <c r="AH1001" s="503"/>
    </row>
    <row r="1002" ht="15.75" customHeight="1">
      <c r="A1002" s="344"/>
      <c r="B1002" s="470"/>
      <c r="C1002" s="469"/>
      <c r="D1002" s="485"/>
      <c r="E1002" s="469"/>
      <c r="F1002" s="469"/>
      <c r="G1002" s="470"/>
      <c r="H1002" s="469"/>
      <c r="I1002" s="470"/>
      <c r="J1002" s="470"/>
      <c r="K1002" s="344"/>
      <c r="L1002" s="469"/>
      <c r="M1002" s="469"/>
      <c r="N1002" s="469"/>
      <c r="O1002" s="469"/>
      <c r="P1002" s="469"/>
      <c r="Q1002" s="470"/>
      <c r="R1002" s="469"/>
      <c r="S1002" s="469"/>
      <c r="T1002" s="470"/>
      <c r="U1002" s="470"/>
      <c r="V1002" s="470"/>
      <c r="W1002" s="469"/>
      <c r="X1002" s="469"/>
      <c r="Y1002" s="469"/>
      <c r="Z1002" s="470"/>
      <c r="AA1002" s="469"/>
      <c r="AB1002" s="469"/>
      <c r="AC1002" s="469"/>
      <c r="AD1002" s="469"/>
      <c r="AE1002" s="472"/>
      <c r="AF1002" s="472"/>
      <c r="AG1002" s="503"/>
      <c r="AH1002" s="503"/>
    </row>
    <row r="1003" ht="15.75" customHeight="1">
      <c r="A1003" s="344"/>
      <c r="B1003" s="470"/>
      <c r="C1003" s="469"/>
      <c r="D1003" s="485"/>
      <c r="E1003" s="469"/>
      <c r="F1003" s="469"/>
      <c r="G1003" s="470"/>
      <c r="H1003" s="469"/>
      <c r="I1003" s="470"/>
      <c r="J1003" s="470"/>
      <c r="K1003" s="344"/>
      <c r="L1003" s="469"/>
      <c r="M1003" s="469"/>
      <c r="N1003" s="469"/>
      <c r="O1003" s="469"/>
      <c r="P1003" s="469"/>
      <c r="Q1003" s="470"/>
      <c r="R1003" s="469"/>
      <c r="S1003" s="469"/>
      <c r="T1003" s="470"/>
      <c r="U1003" s="470"/>
      <c r="V1003" s="470"/>
      <c r="W1003" s="469"/>
      <c r="X1003" s="469"/>
      <c r="Y1003" s="469"/>
      <c r="Z1003" s="470"/>
      <c r="AA1003" s="469"/>
      <c r="AB1003" s="469"/>
      <c r="AC1003" s="469"/>
      <c r="AD1003" s="469"/>
      <c r="AE1003" s="472"/>
      <c r="AF1003" s="472"/>
      <c r="AG1003" s="503"/>
      <c r="AH1003" s="503"/>
    </row>
    <row r="1004" ht="15.75" customHeight="1">
      <c r="A1004" s="344"/>
      <c r="B1004" s="470"/>
      <c r="C1004" s="469"/>
      <c r="D1004" s="485"/>
      <c r="E1004" s="469"/>
      <c r="F1004" s="469"/>
      <c r="G1004" s="470"/>
      <c r="H1004" s="469"/>
      <c r="I1004" s="470"/>
      <c r="J1004" s="470"/>
      <c r="K1004" s="344"/>
      <c r="L1004" s="469"/>
      <c r="M1004" s="469"/>
      <c r="N1004" s="469"/>
      <c r="O1004" s="469"/>
      <c r="P1004" s="469"/>
      <c r="Q1004" s="470"/>
      <c r="R1004" s="469"/>
      <c r="S1004" s="469"/>
      <c r="T1004" s="470"/>
      <c r="U1004" s="470"/>
      <c r="V1004" s="470"/>
      <c r="W1004" s="469"/>
      <c r="X1004" s="469"/>
      <c r="Y1004" s="469"/>
      <c r="Z1004" s="470"/>
      <c r="AA1004" s="469"/>
      <c r="AB1004" s="469"/>
      <c r="AC1004" s="469"/>
      <c r="AD1004" s="469"/>
      <c r="AE1004" s="472"/>
      <c r="AF1004" s="472"/>
      <c r="AG1004" s="503"/>
      <c r="AH1004" s="503"/>
    </row>
    <row r="1005" ht="15.75" customHeight="1">
      <c r="A1005" s="344"/>
      <c r="B1005" s="470"/>
      <c r="C1005" s="469"/>
      <c r="D1005" s="485"/>
      <c r="E1005" s="469"/>
      <c r="F1005" s="469"/>
      <c r="G1005" s="470"/>
      <c r="H1005" s="469"/>
      <c r="I1005" s="470"/>
      <c r="J1005" s="470"/>
      <c r="K1005" s="344"/>
      <c r="L1005" s="469"/>
      <c r="M1005" s="469"/>
      <c r="N1005" s="469"/>
      <c r="O1005" s="469"/>
      <c r="P1005" s="469"/>
      <c r="Q1005" s="470"/>
      <c r="R1005" s="469"/>
      <c r="S1005" s="469"/>
      <c r="T1005" s="470"/>
      <c r="U1005" s="470"/>
      <c r="V1005" s="470"/>
      <c r="W1005" s="469"/>
      <c r="X1005" s="469"/>
      <c r="Y1005" s="469"/>
      <c r="Z1005" s="470"/>
      <c r="AA1005" s="469"/>
      <c r="AB1005" s="469"/>
      <c r="AC1005" s="469"/>
      <c r="AD1005" s="469"/>
      <c r="AE1005" s="472"/>
      <c r="AF1005" s="472"/>
      <c r="AG1005" s="503"/>
      <c r="AH1005" s="503"/>
    </row>
    <row r="1006" ht="15.75" customHeight="1">
      <c r="A1006" s="344"/>
      <c r="B1006" s="470"/>
      <c r="C1006" s="469"/>
      <c r="D1006" s="485"/>
      <c r="E1006" s="469"/>
      <c r="F1006" s="469"/>
      <c r="G1006" s="470"/>
      <c r="H1006" s="469"/>
      <c r="I1006" s="470"/>
      <c r="J1006" s="470"/>
      <c r="K1006" s="344"/>
      <c r="L1006" s="469"/>
      <c r="M1006" s="469"/>
      <c r="N1006" s="469"/>
      <c r="O1006" s="469"/>
      <c r="P1006" s="469"/>
      <c r="Q1006" s="470"/>
      <c r="R1006" s="469"/>
      <c r="S1006" s="469"/>
      <c r="T1006" s="470"/>
      <c r="U1006" s="470"/>
      <c r="V1006" s="470"/>
      <c r="W1006" s="469"/>
      <c r="X1006" s="469"/>
      <c r="Y1006" s="469"/>
      <c r="Z1006" s="470"/>
      <c r="AA1006" s="469"/>
      <c r="AB1006" s="469"/>
      <c r="AC1006" s="469"/>
      <c r="AD1006" s="469"/>
      <c r="AE1006" s="472"/>
      <c r="AF1006" s="472"/>
      <c r="AG1006" s="503"/>
      <c r="AH1006" s="503"/>
    </row>
    <row r="1007" ht="15.75" customHeight="1">
      <c r="A1007" s="344"/>
      <c r="B1007" s="470"/>
      <c r="C1007" s="469"/>
      <c r="D1007" s="485"/>
      <c r="E1007" s="469"/>
      <c r="F1007" s="469"/>
      <c r="G1007" s="470"/>
      <c r="H1007" s="469"/>
      <c r="I1007" s="470"/>
      <c r="J1007" s="470"/>
      <c r="K1007" s="344"/>
      <c r="L1007" s="469"/>
      <c r="M1007" s="469"/>
      <c r="N1007" s="469"/>
      <c r="O1007" s="469"/>
      <c r="P1007" s="469"/>
      <c r="Q1007" s="470"/>
      <c r="R1007" s="469"/>
      <c r="S1007" s="469"/>
      <c r="T1007" s="470"/>
      <c r="U1007" s="470"/>
      <c r="V1007" s="470"/>
      <c r="W1007" s="469"/>
      <c r="X1007" s="469"/>
      <c r="Y1007" s="469"/>
      <c r="Z1007" s="470"/>
      <c r="AA1007" s="469"/>
      <c r="AB1007" s="469"/>
      <c r="AC1007" s="469"/>
      <c r="AD1007" s="469"/>
      <c r="AE1007" s="472"/>
      <c r="AF1007" s="472"/>
      <c r="AG1007" s="503"/>
      <c r="AH1007" s="503"/>
    </row>
    <row r="1008" ht="15.75" customHeight="1">
      <c r="A1008" s="344"/>
      <c r="B1008" s="470"/>
      <c r="C1008" s="469"/>
      <c r="D1008" s="485"/>
      <c r="E1008" s="469"/>
      <c r="F1008" s="469"/>
      <c r="G1008" s="470"/>
      <c r="H1008" s="469"/>
      <c r="I1008" s="470"/>
      <c r="J1008" s="470"/>
      <c r="K1008" s="344"/>
      <c r="L1008" s="469"/>
      <c r="M1008" s="469"/>
      <c r="N1008" s="469"/>
      <c r="O1008" s="469"/>
      <c r="P1008" s="469"/>
      <c r="Q1008" s="470"/>
      <c r="R1008" s="469"/>
      <c r="S1008" s="469"/>
      <c r="T1008" s="470"/>
      <c r="U1008" s="470"/>
      <c r="V1008" s="470"/>
      <c r="W1008" s="469"/>
      <c r="X1008" s="469"/>
      <c r="Y1008" s="469"/>
      <c r="Z1008" s="470"/>
      <c r="AA1008" s="469"/>
      <c r="AB1008" s="469"/>
      <c r="AC1008" s="469"/>
      <c r="AD1008" s="469"/>
      <c r="AE1008" s="472"/>
      <c r="AF1008" s="472"/>
      <c r="AG1008" s="503"/>
      <c r="AH1008" s="503"/>
    </row>
    <row r="1009" ht="15.75" customHeight="1">
      <c r="A1009" s="344"/>
      <c r="B1009" s="470"/>
      <c r="C1009" s="469"/>
      <c r="D1009" s="485"/>
      <c r="E1009" s="469"/>
      <c r="F1009" s="469"/>
      <c r="G1009" s="470"/>
      <c r="H1009" s="469"/>
      <c r="I1009" s="470"/>
      <c r="J1009" s="470"/>
      <c r="K1009" s="344"/>
      <c r="L1009" s="469"/>
      <c r="M1009" s="469"/>
      <c r="N1009" s="469"/>
      <c r="O1009" s="469"/>
      <c r="P1009" s="469"/>
      <c r="Q1009" s="470"/>
      <c r="R1009" s="469"/>
      <c r="S1009" s="469"/>
      <c r="T1009" s="470"/>
      <c r="U1009" s="470"/>
      <c r="V1009" s="470"/>
      <c r="W1009" s="469"/>
      <c r="X1009" s="469"/>
      <c r="Y1009" s="469"/>
      <c r="Z1009" s="470"/>
      <c r="AA1009" s="469"/>
      <c r="AB1009" s="469"/>
      <c r="AC1009" s="469"/>
      <c r="AD1009" s="469"/>
      <c r="AE1009" s="472"/>
      <c r="AF1009" s="472"/>
      <c r="AG1009" s="503"/>
      <c r="AH1009" s="503"/>
    </row>
    <row r="1010" ht="15.75" customHeight="1">
      <c r="A1010" s="344"/>
      <c r="B1010" s="470"/>
      <c r="C1010" s="469"/>
      <c r="D1010" s="485"/>
      <c r="E1010" s="469"/>
      <c r="F1010" s="469"/>
      <c r="G1010" s="470"/>
      <c r="H1010" s="469"/>
      <c r="I1010" s="470"/>
      <c r="J1010" s="470"/>
      <c r="K1010" s="344"/>
      <c r="L1010" s="469"/>
      <c r="M1010" s="469"/>
      <c r="N1010" s="469"/>
      <c r="O1010" s="469"/>
      <c r="P1010" s="469"/>
      <c r="Q1010" s="470"/>
      <c r="R1010" s="469"/>
      <c r="S1010" s="469"/>
      <c r="T1010" s="470"/>
      <c r="U1010" s="470"/>
      <c r="V1010" s="470"/>
      <c r="W1010" s="469"/>
      <c r="X1010" s="469"/>
      <c r="Y1010" s="469"/>
      <c r="Z1010" s="470"/>
      <c r="AA1010" s="469"/>
      <c r="AB1010" s="469"/>
      <c r="AC1010" s="469"/>
      <c r="AD1010" s="469"/>
      <c r="AE1010" s="472"/>
      <c r="AF1010" s="472"/>
      <c r="AG1010" s="503"/>
      <c r="AH1010" s="503"/>
    </row>
    <row r="1011" ht="15.75" customHeight="1">
      <c r="A1011" s="344"/>
      <c r="B1011" s="470"/>
      <c r="C1011" s="469"/>
      <c r="D1011" s="485"/>
      <c r="E1011" s="469"/>
      <c r="F1011" s="469"/>
      <c r="G1011" s="470"/>
      <c r="H1011" s="469"/>
      <c r="I1011" s="470"/>
      <c r="J1011" s="470"/>
      <c r="K1011" s="344"/>
      <c r="L1011" s="469"/>
      <c r="M1011" s="469"/>
      <c r="N1011" s="469"/>
      <c r="O1011" s="469"/>
      <c r="P1011" s="469"/>
      <c r="Q1011" s="470"/>
      <c r="R1011" s="469"/>
      <c r="S1011" s="469"/>
      <c r="T1011" s="470"/>
      <c r="U1011" s="470"/>
      <c r="V1011" s="470"/>
      <c r="W1011" s="469"/>
      <c r="X1011" s="469"/>
      <c r="Y1011" s="469"/>
      <c r="Z1011" s="470"/>
      <c r="AA1011" s="469"/>
      <c r="AB1011" s="469"/>
      <c r="AC1011" s="469"/>
      <c r="AD1011" s="469"/>
      <c r="AE1011" s="472"/>
      <c r="AF1011" s="472"/>
      <c r="AG1011" s="503"/>
      <c r="AH1011" s="503"/>
    </row>
    <row r="1012" ht="15.75" customHeight="1">
      <c r="A1012" s="344"/>
      <c r="B1012" s="470"/>
      <c r="C1012" s="469"/>
      <c r="D1012" s="485"/>
      <c r="E1012" s="469"/>
      <c r="F1012" s="469"/>
      <c r="G1012" s="470"/>
      <c r="H1012" s="469"/>
      <c r="I1012" s="470"/>
      <c r="J1012" s="470"/>
      <c r="K1012" s="344"/>
      <c r="L1012" s="469"/>
      <c r="M1012" s="469"/>
      <c r="N1012" s="469"/>
      <c r="O1012" s="469"/>
      <c r="P1012" s="469"/>
      <c r="Q1012" s="470"/>
      <c r="R1012" s="469"/>
      <c r="S1012" s="469"/>
      <c r="T1012" s="470"/>
      <c r="U1012" s="470"/>
      <c r="V1012" s="470"/>
      <c r="W1012" s="469"/>
      <c r="X1012" s="469"/>
      <c r="Y1012" s="469"/>
      <c r="Z1012" s="470"/>
      <c r="AA1012" s="469"/>
      <c r="AB1012" s="469"/>
      <c r="AC1012" s="469"/>
      <c r="AD1012" s="469"/>
      <c r="AE1012" s="472"/>
      <c r="AF1012" s="472"/>
      <c r="AG1012" s="503"/>
      <c r="AH1012" s="503"/>
    </row>
    <row r="1013" ht="15.75" customHeight="1">
      <c r="A1013" s="344"/>
      <c r="B1013" s="470"/>
      <c r="C1013" s="469"/>
      <c r="D1013" s="485"/>
      <c r="E1013" s="469"/>
      <c r="F1013" s="469"/>
      <c r="G1013" s="470"/>
      <c r="H1013" s="469"/>
      <c r="I1013" s="470"/>
      <c r="J1013" s="470"/>
      <c r="K1013" s="344"/>
      <c r="L1013" s="469"/>
      <c r="M1013" s="469"/>
      <c r="N1013" s="469"/>
      <c r="O1013" s="469"/>
      <c r="P1013" s="469"/>
      <c r="Q1013" s="470"/>
      <c r="R1013" s="469"/>
      <c r="S1013" s="469"/>
      <c r="T1013" s="470"/>
      <c r="U1013" s="470"/>
      <c r="V1013" s="470"/>
      <c r="W1013" s="469"/>
      <c r="X1013" s="469"/>
      <c r="Y1013" s="469"/>
      <c r="Z1013" s="470"/>
      <c r="AA1013" s="469"/>
      <c r="AB1013" s="469"/>
      <c r="AC1013" s="469"/>
      <c r="AD1013" s="469"/>
      <c r="AE1013" s="472"/>
      <c r="AF1013" s="472"/>
      <c r="AG1013" s="503"/>
      <c r="AH1013" s="503"/>
    </row>
    <row r="1014" ht="15.75" customHeight="1">
      <c r="A1014" s="344"/>
      <c r="B1014" s="470"/>
      <c r="C1014" s="469"/>
      <c r="D1014" s="485"/>
      <c r="E1014" s="469"/>
      <c r="F1014" s="469"/>
      <c r="G1014" s="470"/>
      <c r="H1014" s="469"/>
      <c r="I1014" s="470"/>
      <c r="J1014" s="470"/>
      <c r="K1014" s="344"/>
      <c r="L1014" s="469"/>
      <c r="M1014" s="469"/>
      <c r="N1014" s="469"/>
      <c r="O1014" s="469"/>
      <c r="P1014" s="469"/>
      <c r="Q1014" s="470"/>
      <c r="R1014" s="469"/>
      <c r="S1014" s="469"/>
      <c r="T1014" s="470"/>
      <c r="U1014" s="470"/>
      <c r="V1014" s="470"/>
      <c r="W1014" s="469"/>
      <c r="X1014" s="469"/>
      <c r="Y1014" s="469"/>
      <c r="Z1014" s="470"/>
      <c r="AA1014" s="469"/>
      <c r="AB1014" s="469"/>
      <c r="AC1014" s="469"/>
      <c r="AD1014" s="469"/>
      <c r="AE1014" s="472"/>
      <c r="AF1014" s="472"/>
      <c r="AG1014" s="503"/>
      <c r="AH1014" s="503"/>
    </row>
    <row r="1015" ht="15.75" customHeight="1">
      <c r="A1015" s="344"/>
      <c r="B1015" s="470"/>
      <c r="C1015" s="469"/>
      <c r="D1015" s="485"/>
      <c r="E1015" s="469"/>
      <c r="F1015" s="469"/>
      <c r="G1015" s="470"/>
      <c r="H1015" s="469"/>
      <c r="I1015" s="470"/>
      <c r="J1015" s="470"/>
      <c r="K1015" s="344"/>
      <c r="L1015" s="469"/>
      <c r="M1015" s="469"/>
      <c r="N1015" s="469"/>
      <c r="O1015" s="469"/>
      <c r="P1015" s="469"/>
      <c r="Q1015" s="470"/>
      <c r="R1015" s="469"/>
      <c r="S1015" s="469"/>
      <c r="T1015" s="470"/>
      <c r="U1015" s="470"/>
      <c r="V1015" s="470"/>
      <c r="W1015" s="469"/>
      <c r="X1015" s="469"/>
      <c r="Y1015" s="469"/>
      <c r="Z1015" s="470"/>
      <c r="AA1015" s="469"/>
      <c r="AB1015" s="469"/>
      <c r="AC1015" s="469"/>
      <c r="AD1015" s="469"/>
      <c r="AE1015" s="472"/>
      <c r="AF1015" s="472"/>
      <c r="AG1015" s="503"/>
      <c r="AH1015" s="503"/>
    </row>
    <row r="1016" ht="15.75" customHeight="1">
      <c r="A1016" s="344"/>
      <c r="B1016" s="470"/>
      <c r="C1016" s="469"/>
      <c r="D1016" s="485"/>
      <c r="E1016" s="469"/>
      <c r="F1016" s="469"/>
      <c r="G1016" s="470"/>
      <c r="H1016" s="469"/>
      <c r="I1016" s="470"/>
      <c r="J1016" s="470"/>
      <c r="K1016" s="344"/>
      <c r="L1016" s="469"/>
      <c r="M1016" s="469"/>
      <c r="N1016" s="469"/>
      <c r="O1016" s="469"/>
      <c r="P1016" s="469"/>
      <c r="Q1016" s="470"/>
      <c r="R1016" s="469"/>
      <c r="S1016" s="469"/>
      <c r="T1016" s="470"/>
      <c r="U1016" s="470"/>
      <c r="V1016" s="470"/>
      <c r="W1016" s="469"/>
      <c r="X1016" s="469"/>
      <c r="Y1016" s="469"/>
      <c r="Z1016" s="470"/>
      <c r="AA1016" s="469"/>
      <c r="AB1016" s="469"/>
      <c r="AC1016" s="469"/>
      <c r="AD1016" s="469"/>
      <c r="AE1016" s="472"/>
      <c r="AF1016" s="472"/>
      <c r="AG1016" s="503"/>
      <c r="AH1016" s="503"/>
    </row>
    <row r="1017" ht="15.75" customHeight="1">
      <c r="A1017" s="344"/>
      <c r="B1017" s="470"/>
      <c r="C1017" s="469"/>
      <c r="D1017" s="485"/>
      <c r="E1017" s="469"/>
      <c r="F1017" s="469"/>
      <c r="G1017" s="470"/>
      <c r="H1017" s="469"/>
      <c r="I1017" s="470"/>
      <c r="J1017" s="470"/>
      <c r="K1017" s="344"/>
      <c r="L1017" s="469"/>
      <c r="M1017" s="469"/>
      <c r="N1017" s="469"/>
      <c r="O1017" s="469"/>
      <c r="P1017" s="469"/>
      <c r="Q1017" s="470"/>
      <c r="R1017" s="469"/>
      <c r="S1017" s="469"/>
      <c r="T1017" s="470"/>
      <c r="U1017" s="470"/>
      <c r="V1017" s="470"/>
      <c r="W1017" s="469"/>
      <c r="X1017" s="469"/>
      <c r="Y1017" s="469"/>
      <c r="Z1017" s="470"/>
      <c r="AA1017" s="469"/>
      <c r="AB1017" s="469"/>
      <c r="AC1017" s="469"/>
      <c r="AD1017" s="469"/>
      <c r="AE1017" s="472"/>
      <c r="AF1017" s="472"/>
      <c r="AG1017" s="503"/>
      <c r="AH1017" s="503"/>
    </row>
    <row r="1018" ht="15.75" customHeight="1">
      <c r="A1018" s="344"/>
      <c r="B1018" s="470"/>
      <c r="C1018" s="469"/>
      <c r="D1018" s="485"/>
      <c r="E1018" s="469"/>
      <c r="F1018" s="469"/>
      <c r="G1018" s="470"/>
      <c r="H1018" s="469"/>
      <c r="I1018" s="470"/>
      <c r="J1018" s="470"/>
      <c r="K1018" s="344"/>
      <c r="L1018" s="469"/>
      <c r="M1018" s="469"/>
      <c r="N1018" s="469"/>
      <c r="O1018" s="469"/>
      <c r="P1018" s="469"/>
      <c r="Q1018" s="470"/>
      <c r="R1018" s="469"/>
      <c r="S1018" s="469"/>
      <c r="T1018" s="470"/>
      <c r="U1018" s="470"/>
      <c r="V1018" s="470"/>
      <c r="W1018" s="469"/>
      <c r="X1018" s="469"/>
      <c r="Y1018" s="469"/>
      <c r="Z1018" s="470"/>
      <c r="AA1018" s="469"/>
      <c r="AB1018" s="469"/>
      <c r="AC1018" s="469"/>
      <c r="AD1018" s="469"/>
      <c r="AE1018" s="472"/>
      <c r="AF1018" s="472"/>
      <c r="AG1018" s="503"/>
      <c r="AH1018" s="503"/>
    </row>
    <row r="1019" ht="15.75" customHeight="1">
      <c r="A1019" s="344"/>
      <c r="B1019" s="470"/>
      <c r="C1019" s="469"/>
      <c r="D1019" s="485"/>
      <c r="E1019" s="469"/>
      <c r="F1019" s="469"/>
      <c r="G1019" s="470"/>
      <c r="H1019" s="469"/>
      <c r="I1019" s="470"/>
      <c r="J1019" s="470"/>
      <c r="K1019" s="344"/>
      <c r="L1019" s="469"/>
      <c r="M1019" s="469"/>
      <c r="N1019" s="469"/>
      <c r="O1019" s="469"/>
      <c r="P1019" s="469"/>
      <c r="Q1019" s="470"/>
      <c r="R1019" s="469"/>
      <c r="S1019" s="469"/>
      <c r="T1019" s="470"/>
      <c r="U1019" s="470"/>
      <c r="V1019" s="470"/>
      <c r="W1019" s="469"/>
      <c r="X1019" s="469"/>
      <c r="Y1019" s="469"/>
      <c r="Z1019" s="470"/>
      <c r="AA1019" s="469"/>
      <c r="AB1019" s="469"/>
      <c r="AC1019" s="469"/>
      <c r="AD1019" s="469"/>
      <c r="AE1019" s="472"/>
      <c r="AF1019" s="472"/>
      <c r="AG1019" s="503"/>
      <c r="AH1019" s="503"/>
    </row>
    <row r="1020" ht="15.75" customHeight="1">
      <c r="A1020" s="344"/>
      <c r="B1020" s="470"/>
      <c r="C1020" s="469"/>
      <c r="D1020" s="485"/>
      <c r="E1020" s="469"/>
      <c r="F1020" s="469"/>
      <c r="G1020" s="470"/>
      <c r="H1020" s="469"/>
      <c r="I1020" s="470"/>
      <c r="J1020" s="470"/>
      <c r="K1020" s="344"/>
      <c r="L1020" s="469"/>
      <c r="M1020" s="469"/>
      <c r="N1020" s="469"/>
      <c r="O1020" s="469"/>
      <c r="P1020" s="469"/>
      <c r="Q1020" s="470"/>
      <c r="R1020" s="469"/>
      <c r="S1020" s="469"/>
      <c r="T1020" s="470"/>
      <c r="U1020" s="470"/>
      <c r="V1020" s="470"/>
      <c r="W1020" s="469"/>
      <c r="X1020" s="469"/>
      <c r="Y1020" s="469"/>
      <c r="Z1020" s="470"/>
      <c r="AA1020" s="469"/>
      <c r="AB1020" s="469"/>
      <c r="AC1020" s="469"/>
      <c r="AD1020" s="469"/>
      <c r="AE1020" s="472"/>
      <c r="AF1020" s="472"/>
      <c r="AG1020" s="503"/>
      <c r="AH1020" s="503"/>
    </row>
    <row r="1021" ht="15.75" customHeight="1">
      <c r="A1021" s="344"/>
      <c r="B1021" s="470"/>
      <c r="C1021" s="469"/>
      <c r="D1021" s="485"/>
      <c r="E1021" s="469"/>
      <c r="F1021" s="469"/>
      <c r="G1021" s="470"/>
      <c r="H1021" s="469"/>
      <c r="I1021" s="470"/>
      <c r="J1021" s="470"/>
      <c r="K1021" s="344"/>
      <c r="L1021" s="469"/>
      <c r="M1021" s="469"/>
      <c r="N1021" s="469"/>
      <c r="O1021" s="469"/>
      <c r="P1021" s="469"/>
      <c r="Q1021" s="470"/>
      <c r="R1021" s="469"/>
      <c r="S1021" s="469"/>
      <c r="T1021" s="470"/>
      <c r="U1021" s="470"/>
      <c r="V1021" s="470"/>
      <c r="W1021" s="469"/>
      <c r="X1021" s="469"/>
      <c r="Y1021" s="469"/>
      <c r="Z1021" s="470"/>
      <c r="AA1021" s="469"/>
      <c r="AB1021" s="469"/>
      <c r="AC1021" s="469"/>
      <c r="AD1021" s="469"/>
      <c r="AE1021" s="472"/>
      <c r="AF1021" s="472"/>
      <c r="AG1021" s="503"/>
      <c r="AH1021" s="503"/>
    </row>
    <row r="1022" ht="15.75" customHeight="1">
      <c r="A1022" s="344"/>
      <c r="B1022" s="470"/>
      <c r="C1022" s="469"/>
      <c r="D1022" s="485"/>
      <c r="E1022" s="469"/>
      <c r="F1022" s="469"/>
      <c r="G1022" s="470"/>
      <c r="H1022" s="469"/>
      <c r="I1022" s="470"/>
      <c r="J1022" s="470"/>
      <c r="K1022" s="344"/>
      <c r="L1022" s="469"/>
      <c r="M1022" s="469"/>
      <c r="N1022" s="469"/>
      <c r="O1022" s="469"/>
      <c r="P1022" s="469"/>
      <c r="Q1022" s="470"/>
      <c r="R1022" s="469"/>
      <c r="S1022" s="469"/>
      <c r="T1022" s="470"/>
      <c r="U1022" s="470"/>
      <c r="V1022" s="470"/>
      <c r="W1022" s="469"/>
      <c r="X1022" s="469"/>
      <c r="Y1022" s="469"/>
      <c r="Z1022" s="470"/>
      <c r="AA1022" s="469"/>
      <c r="AB1022" s="469"/>
      <c r="AC1022" s="469"/>
      <c r="AD1022" s="469"/>
      <c r="AE1022" s="472"/>
      <c r="AF1022" s="472"/>
      <c r="AG1022" s="503"/>
      <c r="AH1022" s="503"/>
    </row>
    <row r="1023" ht="15.75" customHeight="1">
      <c r="A1023" s="344"/>
      <c r="B1023" s="470"/>
      <c r="C1023" s="469"/>
      <c r="D1023" s="485"/>
      <c r="E1023" s="469"/>
      <c r="F1023" s="469"/>
      <c r="G1023" s="470"/>
      <c r="H1023" s="469"/>
      <c r="I1023" s="470"/>
      <c r="J1023" s="470"/>
      <c r="K1023" s="344"/>
      <c r="L1023" s="469"/>
      <c r="M1023" s="469"/>
      <c r="N1023" s="469"/>
      <c r="O1023" s="469"/>
      <c r="P1023" s="469"/>
      <c r="Q1023" s="470"/>
      <c r="R1023" s="469"/>
      <c r="S1023" s="469"/>
      <c r="T1023" s="470"/>
      <c r="U1023" s="470"/>
      <c r="V1023" s="470"/>
      <c r="W1023" s="469"/>
      <c r="X1023" s="469"/>
      <c r="Y1023" s="469"/>
      <c r="Z1023" s="470"/>
      <c r="AA1023" s="469"/>
      <c r="AB1023" s="469"/>
      <c r="AC1023" s="469"/>
      <c r="AD1023" s="469"/>
      <c r="AE1023" s="472"/>
      <c r="AF1023" s="472"/>
      <c r="AG1023" s="503"/>
      <c r="AH1023" s="503"/>
    </row>
    <row r="1024" ht="15.75" customHeight="1">
      <c r="A1024" s="344"/>
      <c r="B1024" s="470"/>
      <c r="C1024" s="469"/>
      <c r="D1024" s="485"/>
      <c r="E1024" s="469"/>
      <c r="F1024" s="469"/>
      <c r="G1024" s="470"/>
      <c r="H1024" s="469"/>
      <c r="I1024" s="470"/>
      <c r="J1024" s="470"/>
      <c r="K1024" s="344"/>
      <c r="L1024" s="469"/>
      <c r="M1024" s="469"/>
      <c r="N1024" s="469"/>
      <c r="O1024" s="469"/>
      <c r="P1024" s="469"/>
      <c r="Q1024" s="470"/>
      <c r="R1024" s="469"/>
      <c r="S1024" s="469"/>
      <c r="T1024" s="470"/>
      <c r="U1024" s="470"/>
      <c r="V1024" s="470"/>
      <c r="W1024" s="469"/>
      <c r="X1024" s="469"/>
      <c r="Y1024" s="469"/>
      <c r="Z1024" s="470"/>
      <c r="AA1024" s="469"/>
      <c r="AB1024" s="469"/>
      <c r="AC1024" s="469"/>
      <c r="AD1024" s="469"/>
      <c r="AE1024" s="472"/>
      <c r="AF1024" s="472"/>
      <c r="AG1024" s="503"/>
      <c r="AH1024" s="503"/>
    </row>
    <row r="1025" ht="15.75" customHeight="1">
      <c r="A1025" s="344"/>
      <c r="B1025" s="470"/>
      <c r="C1025" s="469"/>
      <c r="D1025" s="485"/>
      <c r="E1025" s="469"/>
      <c r="F1025" s="469"/>
      <c r="G1025" s="470"/>
      <c r="H1025" s="469"/>
      <c r="I1025" s="470"/>
      <c r="J1025" s="470"/>
      <c r="K1025" s="344"/>
      <c r="L1025" s="469"/>
      <c r="M1025" s="469"/>
      <c r="N1025" s="469"/>
      <c r="O1025" s="469"/>
      <c r="P1025" s="469"/>
      <c r="Q1025" s="470"/>
      <c r="R1025" s="469"/>
      <c r="S1025" s="469"/>
      <c r="T1025" s="470"/>
      <c r="U1025" s="470"/>
      <c r="V1025" s="470"/>
      <c r="W1025" s="469"/>
      <c r="X1025" s="469"/>
      <c r="Y1025" s="469"/>
      <c r="Z1025" s="470"/>
      <c r="AA1025" s="469"/>
      <c r="AB1025" s="469"/>
      <c r="AC1025" s="469"/>
      <c r="AD1025" s="469"/>
      <c r="AE1025" s="472"/>
      <c r="AF1025" s="472"/>
      <c r="AG1025" s="503"/>
      <c r="AH1025" s="503"/>
    </row>
    <row r="1026" ht="15.75" customHeight="1">
      <c r="A1026" s="344"/>
      <c r="B1026" s="470"/>
      <c r="C1026" s="469"/>
      <c r="D1026" s="485"/>
      <c r="E1026" s="469"/>
      <c r="F1026" s="469"/>
      <c r="G1026" s="470"/>
      <c r="H1026" s="469"/>
      <c r="I1026" s="470"/>
      <c r="J1026" s="470"/>
      <c r="K1026" s="344"/>
      <c r="L1026" s="469"/>
      <c r="M1026" s="469"/>
      <c r="N1026" s="469"/>
      <c r="O1026" s="469"/>
      <c r="P1026" s="469"/>
      <c r="Q1026" s="470"/>
      <c r="R1026" s="469"/>
      <c r="S1026" s="469"/>
      <c r="T1026" s="470"/>
      <c r="U1026" s="470"/>
      <c r="V1026" s="470"/>
      <c r="W1026" s="469"/>
      <c r="X1026" s="469"/>
      <c r="Y1026" s="469"/>
      <c r="Z1026" s="470"/>
      <c r="AA1026" s="469"/>
      <c r="AB1026" s="469"/>
      <c r="AC1026" s="469"/>
      <c r="AD1026" s="469"/>
      <c r="AE1026" s="472"/>
      <c r="AF1026" s="472"/>
      <c r="AG1026" s="503"/>
      <c r="AH1026" s="503"/>
    </row>
    <row r="1027" ht="15.75" customHeight="1">
      <c r="A1027" s="344"/>
      <c r="B1027" s="470"/>
      <c r="C1027" s="469"/>
      <c r="D1027" s="485"/>
      <c r="E1027" s="469"/>
      <c r="F1027" s="469"/>
      <c r="G1027" s="470"/>
      <c r="H1027" s="469"/>
      <c r="I1027" s="470"/>
      <c r="J1027" s="470"/>
      <c r="K1027" s="344"/>
      <c r="L1027" s="469"/>
      <c r="M1027" s="469"/>
      <c r="N1027" s="469"/>
      <c r="O1027" s="469"/>
      <c r="P1027" s="469"/>
      <c r="Q1027" s="470"/>
      <c r="R1027" s="469"/>
      <c r="S1027" s="469"/>
      <c r="T1027" s="470"/>
      <c r="U1027" s="470"/>
      <c r="V1027" s="470"/>
      <c r="W1027" s="469"/>
      <c r="X1027" s="469"/>
      <c r="Y1027" s="469"/>
      <c r="Z1027" s="470"/>
      <c r="AA1027" s="469"/>
      <c r="AB1027" s="469"/>
      <c r="AC1027" s="469"/>
      <c r="AD1027" s="469"/>
      <c r="AE1027" s="472"/>
      <c r="AF1027" s="472"/>
      <c r="AG1027" s="503"/>
      <c r="AH1027" s="503"/>
    </row>
    <row r="1028" ht="15.75" customHeight="1">
      <c r="A1028" s="344"/>
      <c r="B1028" s="470"/>
      <c r="C1028" s="469"/>
      <c r="D1028" s="485"/>
      <c r="E1028" s="469"/>
      <c r="F1028" s="469"/>
      <c r="G1028" s="470"/>
      <c r="H1028" s="469"/>
      <c r="I1028" s="470"/>
      <c r="J1028" s="470"/>
      <c r="K1028" s="344"/>
      <c r="L1028" s="469"/>
      <c r="M1028" s="469"/>
      <c r="N1028" s="469"/>
      <c r="O1028" s="469"/>
      <c r="P1028" s="469"/>
      <c r="Q1028" s="470"/>
      <c r="R1028" s="469"/>
      <c r="S1028" s="469"/>
      <c r="T1028" s="470"/>
      <c r="U1028" s="470"/>
      <c r="V1028" s="470"/>
      <c r="W1028" s="469"/>
      <c r="X1028" s="469"/>
      <c r="Y1028" s="469"/>
      <c r="Z1028" s="470"/>
      <c r="AA1028" s="469"/>
      <c r="AB1028" s="469"/>
      <c r="AC1028" s="469"/>
      <c r="AD1028" s="469"/>
      <c r="AE1028" s="472"/>
      <c r="AF1028" s="472"/>
      <c r="AG1028" s="503"/>
      <c r="AH1028" s="503"/>
    </row>
    <row r="1029" ht="15.75" customHeight="1">
      <c r="A1029" s="344"/>
      <c r="B1029" s="470"/>
      <c r="C1029" s="469"/>
      <c r="D1029" s="485"/>
      <c r="E1029" s="469"/>
      <c r="F1029" s="469"/>
      <c r="G1029" s="470"/>
      <c r="H1029" s="469"/>
      <c r="I1029" s="470"/>
      <c r="J1029" s="470"/>
      <c r="K1029" s="344"/>
      <c r="L1029" s="469"/>
      <c r="M1029" s="469"/>
      <c r="N1029" s="469"/>
      <c r="O1029" s="469"/>
      <c r="P1029" s="469"/>
      <c r="Q1029" s="470"/>
      <c r="R1029" s="469"/>
      <c r="S1029" s="469"/>
      <c r="T1029" s="470"/>
      <c r="U1029" s="470"/>
      <c r="V1029" s="470"/>
      <c r="W1029" s="469"/>
      <c r="X1029" s="469"/>
      <c r="Y1029" s="469"/>
      <c r="Z1029" s="470"/>
      <c r="AA1029" s="469"/>
      <c r="AB1029" s="469"/>
      <c r="AC1029" s="469"/>
      <c r="AD1029" s="469"/>
      <c r="AE1029" s="472"/>
      <c r="AF1029" s="472"/>
      <c r="AG1029" s="503"/>
      <c r="AH1029" s="503"/>
    </row>
    <row r="1030" ht="15.75" customHeight="1">
      <c r="A1030" s="344"/>
      <c r="B1030" s="470"/>
      <c r="C1030" s="469"/>
      <c r="D1030" s="485"/>
      <c r="E1030" s="469"/>
      <c r="F1030" s="469"/>
      <c r="G1030" s="470"/>
      <c r="H1030" s="469"/>
      <c r="I1030" s="470"/>
      <c r="J1030" s="470"/>
      <c r="K1030" s="344"/>
      <c r="L1030" s="469"/>
      <c r="M1030" s="469"/>
      <c r="N1030" s="469"/>
      <c r="O1030" s="469"/>
      <c r="P1030" s="469"/>
      <c r="Q1030" s="470"/>
      <c r="R1030" s="469"/>
      <c r="S1030" s="469"/>
      <c r="T1030" s="470"/>
      <c r="U1030" s="470"/>
      <c r="V1030" s="470"/>
      <c r="W1030" s="469"/>
      <c r="X1030" s="469"/>
      <c r="Y1030" s="469"/>
      <c r="Z1030" s="470"/>
      <c r="AA1030" s="469"/>
      <c r="AB1030" s="469"/>
      <c r="AC1030" s="469"/>
      <c r="AD1030" s="469"/>
      <c r="AE1030" s="472"/>
      <c r="AF1030" s="472"/>
      <c r="AG1030" s="503"/>
      <c r="AH1030" s="503"/>
    </row>
    <row r="1031" ht="15.75" customHeight="1">
      <c r="A1031" s="344"/>
      <c r="B1031" s="470"/>
      <c r="C1031" s="469"/>
      <c r="D1031" s="485"/>
      <c r="E1031" s="469"/>
      <c r="F1031" s="469"/>
      <c r="G1031" s="470"/>
      <c r="H1031" s="469"/>
      <c r="I1031" s="470"/>
      <c r="J1031" s="470"/>
      <c r="K1031" s="344"/>
      <c r="L1031" s="469"/>
      <c r="M1031" s="469"/>
      <c r="N1031" s="469"/>
      <c r="O1031" s="469"/>
      <c r="P1031" s="469"/>
      <c r="Q1031" s="470"/>
      <c r="R1031" s="469"/>
      <c r="S1031" s="469"/>
      <c r="T1031" s="470"/>
      <c r="U1031" s="470"/>
      <c r="V1031" s="470"/>
      <c r="W1031" s="469"/>
      <c r="X1031" s="469"/>
      <c r="Y1031" s="469"/>
      <c r="Z1031" s="470"/>
      <c r="AA1031" s="469"/>
      <c r="AB1031" s="469"/>
      <c r="AC1031" s="469"/>
      <c r="AD1031" s="469"/>
      <c r="AE1031" s="472"/>
      <c r="AF1031" s="472"/>
      <c r="AG1031" s="503"/>
      <c r="AH1031" s="503"/>
    </row>
    <row r="1032" ht="15.75" customHeight="1">
      <c r="A1032" s="344"/>
      <c r="B1032" s="470"/>
      <c r="C1032" s="469"/>
      <c r="D1032" s="485"/>
      <c r="E1032" s="469"/>
      <c r="F1032" s="469"/>
      <c r="G1032" s="470"/>
      <c r="H1032" s="469"/>
      <c r="I1032" s="470"/>
      <c r="J1032" s="470"/>
      <c r="K1032" s="344"/>
      <c r="L1032" s="469"/>
      <c r="M1032" s="469"/>
      <c r="N1032" s="469"/>
      <c r="O1032" s="469"/>
      <c r="P1032" s="469"/>
      <c r="Q1032" s="470"/>
      <c r="R1032" s="469"/>
      <c r="S1032" s="469"/>
      <c r="T1032" s="470"/>
      <c r="U1032" s="470"/>
      <c r="V1032" s="470"/>
      <c r="W1032" s="469"/>
      <c r="X1032" s="469"/>
      <c r="Y1032" s="469"/>
      <c r="Z1032" s="470"/>
      <c r="AA1032" s="469"/>
      <c r="AB1032" s="469"/>
      <c r="AC1032" s="469"/>
      <c r="AD1032" s="469"/>
      <c r="AE1032" s="472"/>
      <c r="AF1032" s="472"/>
      <c r="AG1032" s="503"/>
      <c r="AH1032" s="503"/>
    </row>
    <row r="1033" ht="15.75" customHeight="1">
      <c r="A1033" s="344"/>
      <c r="B1033" s="470"/>
      <c r="C1033" s="469"/>
      <c r="D1033" s="485"/>
      <c r="E1033" s="469"/>
      <c r="F1033" s="469"/>
      <c r="G1033" s="470"/>
      <c r="H1033" s="469"/>
      <c r="I1033" s="470"/>
      <c r="J1033" s="470"/>
      <c r="K1033" s="344"/>
      <c r="L1033" s="469"/>
      <c r="M1033" s="469"/>
      <c r="N1033" s="469"/>
      <c r="O1033" s="469"/>
      <c r="P1033" s="469"/>
      <c r="Q1033" s="470"/>
      <c r="R1033" s="469"/>
      <c r="S1033" s="469"/>
      <c r="T1033" s="470"/>
      <c r="U1033" s="470"/>
      <c r="V1033" s="470"/>
      <c r="W1033" s="469"/>
      <c r="X1033" s="469"/>
      <c r="Y1033" s="469"/>
      <c r="Z1033" s="470"/>
      <c r="AA1033" s="469"/>
      <c r="AB1033" s="469"/>
      <c r="AC1033" s="469"/>
      <c r="AD1033" s="469"/>
      <c r="AE1033" s="472"/>
      <c r="AF1033" s="472"/>
      <c r="AG1033" s="503"/>
      <c r="AH1033" s="503"/>
    </row>
    <row r="1034" ht="15.75" customHeight="1">
      <c r="A1034" s="344"/>
      <c r="B1034" s="470"/>
      <c r="C1034" s="469"/>
      <c r="D1034" s="485"/>
      <c r="E1034" s="469"/>
      <c r="F1034" s="469"/>
      <c r="G1034" s="470"/>
      <c r="H1034" s="469"/>
      <c r="I1034" s="470"/>
      <c r="J1034" s="470"/>
      <c r="K1034" s="344"/>
      <c r="L1034" s="469"/>
      <c r="M1034" s="469"/>
      <c r="N1034" s="469"/>
      <c r="O1034" s="469"/>
      <c r="P1034" s="469"/>
      <c r="Q1034" s="470"/>
      <c r="R1034" s="469"/>
      <c r="S1034" s="469"/>
      <c r="T1034" s="470"/>
      <c r="U1034" s="470"/>
      <c r="V1034" s="470"/>
      <c r="W1034" s="469"/>
      <c r="X1034" s="469"/>
      <c r="Y1034" s="469"/>
      <c r="Z1034" s="470"/>
      <c r="AA1034" s="469"/>
      <c r="AB1034" s="469"/>
      <c r="AC1034" s="469"/>
      <c r="AD1034" s="469"/>
      <c r="AE1034" s="472"/>
      <c r="AF1034" s="472"/>
      <c r="AG1034" s="503"/>
      <c r="AH1034" s="503"/>
    </row>
    <row r="1035" ht="15.75" customHeight="1">
      <c r="A1035" s="344"/>
      <c r="B1035" s="470"/>
      <c r="C1035" s="469"/>
      <c r="D1035" s="485"/>
      <c r="E1035" s="469"/>
      <c r="F1035" s="469"/>
      <c r="G1035" s="470"/>
      <c r="H1035" s="469"/>
      <c r="I1035" s="470"/>
      <c r="J1035" s="470"/>
      <c r="K1035" s="344"/>
      <c r="L1035" s="469"/>
      <c r="M1035" s="469"/>
      <c r="N1035" s="469"/>
      <c r="O1035" s="469"/>
      <c r="P1035" s="469"/>
      <c r="Q1035" s="470"/>
      <c r="R1035" s="469"/>
      <c r="S1035" s="469"/>
      <c r="T1035" s="470"/>
      <c r="U1035" s="470"/>
      <c r="V1035" s="470"/>
      <c r="W1035" s="469"/>
      <c r="X1035" s="469"/>
      <c r="Y1035" s="469"/>
      <c r="Z1035" s="470"/>
      <c r="AA1035" s="469"/>
      <c r="AB1035" s="469"/>
      <c r="AC1035" s="469"/>
      <c r="AD1035" s="469"/>
      <c r="AE1035" s="472"/>
      <c r="AF1035" s="472"/>
      <c r="AG1035" s="503"/>
      <c r="AH1035" s="503"/>
    </row>
    <row r="1036" ht="15.75" customHeight="1">
      <c r="A1036" s="344"/>
      <c r="B1036" s="470"/>
      <c r="C1036" s="469"/>
      <c r="D1036" s="485"/>
      <c r="E1036" s="469"/>
      <c r="F1036" s="469"/>
      <c r="G1036" s="470"/>
      <c r="H1036" s="469"/>
      <c r="I1036" s="470"/>
      <c r="J1036" s="470"/>
      <c r="K1036" s="344"/>
      <c r="L1036" s="469"/>
      <c r="M1036" s="469"/>
      <c r="N1036" s="469"/>
      <c r="O1036" s="469"/>
      <c r="P1036" s="469"/>
      <c r="Q1036" s="470"/>
      <c r="R1036" s="469"/>
      <c r="S1036" s="469"/>
      <c r="T1036" s="470"/>
      <c r="U1036" s="470"/>
      <c r="V1036" s="470"/>
      <c r="W1036" s="469"/>
      <c r="X1036" s="469"/>
      <c r="Y1036" s="469"/>
      <c r="Z1036" s="470"/>
      <c r="AA1036" s="469"/>
      <c r="AB1036" s="469"/>
      <c r="AC1036" s="469"/>
      <c r="AD1036" s="469"/>
      <c r="AE1036" s="472"/>
      <c r="AF1036" s="472"/>
      <c r="AG1036" s="503"/>
      <c r="AH1036" s="503"/>
    </row>
    <row r="1037" ht="15.75" customHeight="1">
      <c r="A1037" s="344"/>
      <c r="B1037" s="470"/>
      <c r="C1037" s="469"/>
      <c r="D1037" s="485"/>
      <c r="E1037" s="469"/>
      <c r="F1037" s="469"/>
      <c r="G1037" s="470"/>
      <c r="H1037" s="469"/>
      <c r="I1037" s="470"/>
      <c r="J1037" s="470"/>
      <c r="K1037" s="344"/>
      <c r="L1037" s="469"/>
      <c r="M1037" s="469"/>
      <c r="N1037" s="469"/>
      <c r="O1037" s="469"/>
      <c r="P1037" s="469"/>
      <c r="Q1037" s="470"/>
      <c r="R1037" s="469"/>
      <c r="S1037" s="469"/>
      <c r="T1037" s="470"/>
      <c r="U1037" s="470"/>
      <c r="V1037" s="470"/>
      <c r="W1037" s="469"/>
      <c r="X1037" s="469"/>
      <c r="Y1037" s="469"/>
      <c r="Z1037" s="470"/>
      <c r="AA1037" s="469"/>
      <c r="AB1037" s="469"/>
      <c r="AC1037" s="469"/>
      <c r="AD1037" s="469"/>
      <c r="AE1037" s="472"/>
      <c r="AF1037" s="472"/>
      <c r="AG1037" s="503"/>
      <c r="AH1037" s="503"/>
    </row>
    <row r="1038" ht="15.75" customHeight="1">
      <c r="A1038" s="344"/>
      <c r="B1038" s="470"/>
      <c r="C1038" s="469"/>
      <c r="D1038" s="485"/>
      <c r="E1038" s="469"/>
      <c r="F1038" s="469"/>
      <c r="G1038" s="470"/>
      <c r="H1038" s="469"/>
      <c r="I1038" s="470"/>
      <c r="J1038" s="470"/>
      <c r="K1038" s="344"/>
      <c r="L1038" s="469"/>
      <c r="M1038" s="469"/>
      <c r="N1038" s="469"/>
      <c r="O1038" s="469"/>
      <c r="P1038" s="469"/>
      <c r="Q1038" s="470"/>
      <c r="R1038" s="469"/>
      <c r="S1038" s="469"/>
      <c r="T1038" s="470"/>
      <c r="U1038" s="470"/>
      <c r="V1038" s="470"/>
      <c r="W1038" s="469"/>
      <c r="X1038" s="469"/>
      <c r="Y1038" s="469"/>
      <c r="Z1038" s="470"/>
      <c r="AA1038" s="469"/>
      <c r="AB1038" s="469"/>
      <c r="AC1038" s="469"/>
      <c r="AD1038" s="469"/>
      <c r="AE1038" s="472"/>
      <c r="AF1038" s="472"/>
      <c r="AG1038" s="503"/>
      <c r="AH1038" s="503"/>
    </row>
    <row r="1039" ht="15.75" customHeight="1">
      <c r="A1039" s="344"/>
      <c r="B1039" s="470"/>
      <c r="C1039" s="469"/>
      <c r="D1039" s="485"/>
      <c r="E1039" s="469"/>
      <c r="F1039" s="469"/>
      <c r="G1039" s="470"/>
      <c r="H1039" s="469"/>
      <c r="I1039" s="470"/>
      <c r="J1039" s="470"/>
      <c r="K1039" s="344"/>
      <c r="L1039" s="469"/>
      <c r="M1039" s="469"/>
      <c r="N1039" s="469"/>
      <c r="O1039" s="469"/>
      <c r="P1039" s="469"/>
      <c r="Q1039" s="470"/>
      <c r="R1039" s="469"/>
      <c r="S1039" s="469"/>
      <c r="T1039" s="470"/>
      <c r="U1039" s="470"/>
      <c r="V1039" s="470"/>
      <c r="W1039" s="469"/>
      <c r="X1039" s="469"/>
      <c r="Y1039" s="469"/>
      <c r="Z1039" s="470"/>
      <c r="AA1039" s="469"/>
      <c r="AB1039" s="469"/>
      <c r="AC1039" s="469"/>
      <c r="AD1039" s="469"/>
      <c r="AE1039" s="472"/>
      <c r="AF1039" s="472"/>
      <c r="AG1039" s="503"/>
      <c r="AH1039" s="503"/>
    </row>
    <row r="1040" ht="15.75" customHeight="1">
      <c r="A1040" s="344"/>
      <c r="B1040" s="470"/>
      <c r="C1040" s="469"/>
      <c r="D1040" s="485"/>
      <c r="E1040" s="469"/>
      <c r="F1040" s="469"/>
      <c r="G1040" s="470"/>
      <c r="H1040" s="469"/>
      <c r="I1040" s="470"/>
      <c r="J1040" s="470"/>
      <c r="K1040" s="344"/>
      <c r="L1040" s="469"/>
      <c r="M1040" s="469"/>
      <c r="N1040" s="469"/>
      <c r="O1040" s="469"/>
      <c r="P1040" s="469"/>
      <c r="Q1040" s="470"/>
      <c r="R1040" s="469"/>
      <c r="S1040" s="469"/>
      <c r="T1040" s="470"/>
      <c r="U1040" s="470"/>
      <c r="V1040" s="470"/>
      <c r="W1040" s="469"/>
      <c r="X1040" s="469"/>
      <c r="Y1040" s="469"/>
      <c r="Z1040" s="470"/>
      <c r="AA1040" s="469"/>
      <c r="AB1040" s="469"/>
      <c r="AC1040" s="469"/>
      <c r="AD1040" s="469"/>
      <c r="AE1040" s="472"/>
      <c r="AF1040" s="472"/>
      <c r="AG1040" s="503"/>
      <c r="AH1040" s="503"/>
    </row>
    <row r="1041" ht="15.75" customHeight="1">
      <c r="A1041" s="344"/>
      <c r="B1041" s="470"/>
      <c r="C1041" s="469"/>
      <c r="D1041" s="485"/>
      <c r="E1041" s="469"/>
      <c r="F1041" s="469"/>
      <c r="G1041" s="470"/>
      <c r="H1041" s="469"/>
      <c r="I1041" s="470"/>
      <c r="J1041" s="470"/>
      <c r="K1041" s="344"/>
      <c r="L1041" s="469"/>
      <c r="M1041" s="469"/>
      <c r="N1041" s="469"/>
      <c r="O1041" s="469"/>
      <c r="P1041" s="469"/>
      <c r="Q1041" s="470"/>
      <c r="R1041" s="469"/>
      <c r="S1041" s="469"/>
      <c r="T1041" s="470"/>
      <c r="U1041" s="470"/>
      <c r="V1041" s="470"/>
      <c r="W1041" s="469"/>
      <c r="X1041" s="469"/>
      <c r="Y1041" s="469"/>
      <c r="Z1041" s="470"/>
      <c r="AA1041" s="469"/>
      <c r="AB1041" s="469"/>
      <c r="AC1041" s="469"/>
      <c r="AD1041" s="469"/>
      <c r="AE1041" s="472"/>
      <c r="AF1041" s="472"/>
      <c r="AG1041" s="503"/>
      <c r="AH1041" s="503"/>
    </row>
    <row r="1042" ht="15.75" customHeight="1">
      <c r="A1042" s="344"/>
      <c r="B1042" s="470"/>
      <c r="C1042" s="469"/>
      <c r="D1042" s="485"/>
      <c r="E1042" s="469"/>
      <c r="F1042" s="469"/>
      <c r="G1042" s="470"/>
      <c r="H1042" s="469"/>
      <c r="I1042" s="470"/>
      <c r="J1042" s="470"/>
      <c r="K1042" s="344"/>
      <c r="L1042" s="469"/>
      <c r="M1042" s="469"/>
      <c r="N1042" s="469"/>
      <c r="O1042" s="469"/>
      <c r="P1042" s="469"/>
      <c r="Q1042" s="470"/>
      <c r="R1042" s="469"/>
      <c r="S1042" s="469"/>
      <c r="T1042" s="470"/>
      <c r="U1042" s="470"/>
      <c r="V1042" s="470"/>
      <c r="W1042" s="469"/>
      <c r="X1042" s="469"/>
      <c r="Y1042" s="469"/>
      <c r="Z1042" s="470"/>
      <c r="AA1042" s="469"/>
      <c r="AB1042" s="469"/>
      <c r="AC1042" s="469"/>
      <c r="AD1042" s="469"/>
      <c r="AE1042" s="472"/>
      <c r="AF1042" s="472"/>
      <c r="AG1042" s="503"/>
      <c r="AH1042" s="503"/>
    </row>
    <row r="1043" ht="15.75" customHeight="1">
      <c r="A1043" s="344"/>
      <c r="B1043" s="470"/>
      <c r="C1043" s="469"/>
      <c r="D1043" s="485"/>
      <c r="E1043" s="469"/>
      <c r="F1043" s="469"/>
      <c r="G1043" s="470"/>
      <c r="H1043" s="469"/>
      <c r="I1043" s="470"/>
      <c r="J1043" s="470"/>
      <c r="K1043" s="344"/>
      <c r="L1043" s="469"/>
      <c r="M1043" s="469"/>
      <c r="N1043" s="469"/>
      <c r="O1043" s="469"/>
      <c r="P1043" s="469"/>
      <c r="Q1043" s="470"/>
      <c r="R1043" s="469"/>
      <c r="S1043" s="469"/>
      <c r="T1043" s="470"/>
      <c r="U1043" s="470"/>
      <c r="V1043" s="470"/>
      <c r="W1043" s="469"/>
      <c r="X1043" s="469"/>
      <c r="Y1043" s="469"/>
      <c r="Z1043" s="470"/>
      <c r="AA1043" s="469"/>
      <c r="AB1043" s="469"/>
      <c r="AC1043" s="469"/>
      <c r="AD1043" s="469"/>
      <c r="AE1043" s="472"/>
      <c r="AF1043" s="472"/>
      <c r="AG1043" s="503"/>
      <c r="AH1043" s="503"/>
    </row>
    <row r="1044" ht="15.75" customHeight="1">
      <c r="A1044" s="344"/>
      <c r="B1044" s="470"/>
      <c r="C1044" s="469"/>
      <c r="D1044" s="485"/>
      <c r="E1044" s="469"/>
      <c r="F1044" s="469"/>
      <c r="G1044" s="470"/>
      <c r="H1044" s="469"/>
      <c r="I1044" s="470"/>
      <c r="J1044" s="470"/>
      <c r="K1044" s="344"/>
      <c r="L1044" s="469"/>
      <c r="M1044" s="469"/>
      <c r="N1044" s="469"/>
      <c r="O1044" s="469"/>
      <c r="P1044" s="469"/>
      <c r="Q1044" s="470"/>
      <c r="R1044" s="469"/>
      <c r="S1044" s="469"/>
      <c r="T1044" s="470"/>
      <c r="U1044" s="470"/>
      <c r="V1044" s="470"/>
      <c r="W1044" s="469"/>
      <c r="X1044" s="469"/>
      <c r="Y1044" s="469"/>
      <c r="Z1044" s="470"/>
      <c r="AA1044" s="469"/>
      <c r="AB1044" s="469"/>
      <c r="AC1044" s="469"/>
      <c r="AD1044" s="469"/>
      <c r="AE1044" s="472"/>
      <c r="AF1044" s="472"/>
      <c r="AG1044" s="503"/>
      <c r="AH1044" s="503"/>
    </row>
    <row r="1045" ht="15.75" customHeight="1">
      <c r="A1045" s="344"/>
      <c r="B1045" s="470"/>
      <c r="C1045" s="469"/>
      <c r="D1045" s="485"/>
      <c r="E1045" s="469"/>
      <c r="F1045" s="469"/>
      <c r="G1045" s="470"/>
      <c r="H1045" s="469"/>
      <c r="I1045" s="470"/>
      <c r="J1045" s="470"/>
      <c r="K1045" s="344"/>
      <c r="L1045" s="469"/>
      <c r="M1045" s="469"/>
      <c r="N1045" s="469"/>
      <c r="O1045" s="469"/>
      <c r="P1045" s="469"/>
      <c r="Q1045" s="470"/>
      <c r="R1045" s="469"/>
      <c r="S1045" s="469"/>
      <c r="T1045" s="470"/>
      <c r="U1045" s="470"/>
      <c r="V1045" s="470"/>
      <c r="W1045" s="469"/>
      <c r="X1045" s="469"/>
      <c r="Y1045" s="469"/>
      <c r="Z1045" s="470"/>
      <c r="AA1045" s="469"/>
      <c r="AB1045" s="469"/>
      <c r="AC1045" s="469"/>
      <c r="AD1045" s="469"/>
      <c r="AE1045" s="472"/>
      <c r="AF1045" s="472"/>
      <c r="AG1045" s="503"/>
      <c r="AH1045" s="503"/>
    </row>
    <row r="1046" ht="15.75" customHeight="1">
      <c r="A1046" s="344"/>
      <c r="B1046" s="470"/>
      <c r="C1046" s="469"/>
      <c r="D1046" s="485"/>
      <c r="E1046" s="469"/>
      <c r="F1046" s="469"/>
      <c r="G1046" s="470"/>
      <c r="H1046" s="469"/>
      <c r="I1046" s="470"/>
      <c r="J1046" s="470"/>
      <c r="K1046" s="344"/>
      <c r="L1046" s="469"/>
      <c r="M1046" s="469"/>
      <c r="N1046" s="469"/>
      <c r="O1046" s="469"/>
      <c r="P1046" s="469"/>
      <c r="Q1046" s="470"/>
      <c r="R1046" s="469"/>
      <c r="S1046" s="469"/>
      <c r="T1046" s="470"/>
      <c r="U1046" s="470"/>
      <c r="V1046" s="470"/>
      <c r="W1046" s="469"/>
      <c r="X1046" s="469"/>
      <c r="Y1046" s="469"/>
      <c r="Z1046" s="470"/>
      <c r="AA1046" s="469"/>
      <c r="AB1046" s="469"/>
      <c r="AC1046" s="469"/>
      <c r="AD1046" s="469"/>
      <c r="AE1046" s="472"/>
      <c r="AF1046" s="472"/>
      <c r="AG1046" s="503"/>
      <c r="AH1046" s="503"/>
    </row>
    <row r="1047" ht="15.75" customHeight="1">
      <c r="A1047" s="344"/>
      <c r="B1047" s="470"/>
      <c r="C1047" s="469"/>
      <c r="D1047" s="485"/>
      <c r="E1047" s="469"/>
      <c r="F1047" s="469"/>
      <c r="G1047" s="470"/>
      <c r="H1047" s="469"/>
      <c r="I1047" s="470"/>
      <c r="J1047" s="470"/>
      <c r="K1047" s="344"/>
      <c r="L1047" s="469"/>
      <c r="M1047" s="469"/>
      <c r="N1047" s="469"/>
      <c r="O1047" s="469"/>
      <c r="P1047" s="469"/>
      <c r="Q1047" s="470"/>
      <c r="R1047" s="469"/>
      <c r="S1047" s="469"/>
      <c r="T1047" s="470"/>
      <c r="U1047" s="470"/>
      <c r="V1047" s="470"/>
      <c r="W1047" s="469"/>
      <c r="X1047" s="469"/>
      <c r="Y1047" s="469"/>
      <c r="Z1047" s="470"/>
      <c r="AA1047" s="469"/>
      <c r="AB1047" s="469"/>
      <c r="AC1047" s="469"/>
      <c r="AD1047" s="469"/>
      <c r="AE1047" s="472"/>
      <c r="AF1047" s="472"/>
      <c r="AG1047" s="503"/>
      <c r="AH1047" s="503"/>
    </row>
    <row r="1048" ht="15.75" customHeight="1">
      <c r="A1048" s="344"/>
      <c r="B1048" s="470"/>
      <c r="C1048" s="469"/>
      <c r="D1048" s="485"/>
      <c r="E1048" s="469"/>
      <c r="F1048" s="469"/>
      <c r="G1048" s="470"/>
      <c r="H1048" s="469"/>
      <c r="I1048" s="470"/>
      <c r="J1048" s="470"/>
      <c r="K1048" s="344"/>
      <c r="L1048" s="469"/>
      <c r="M1048" s="469"/>
      <c r="N1048" s="469"/>
      <c r="O1048" s="469"/>
      <c r="P1048" s="469"/>
      <c r="Q1048" s="470"/>
      <c r="R1048" s="469"/>
      <c r="S1048" s="469"/>
      <c r="T1048" s="470"/>
      <c r="U1048" s="470"/>
      <c r="V1048" s="470"/>
      <c r="W1048" s="469"/>
      <c r="X1048" s="469"/>
      <c r="Y1048" s="469"/>
      <c r="Z1048" s="470"/>
      <c r="AA1048" s="469"/>
      <c r="AB1048" s="469"/>
      <c r="AC1048" s="469"/>
      <c r="AD1048" s="469"/>
      <c r="AE1048" s="472"/>
      <c r="AF1048" s="472"/>
      <c r="AG1048" s="503"/>
      <c r="AH1048" s="503"/>
    </row>
    <row r="1049" ht="15.75" customHeight="1">
      <c r="A1049" s="344"/>
      <c r="B1049" s="470"/>
      <c r="C1049" s="469"/>
      <c r="D1049" s="485"/>
      <c r="E1049" s="469"/>
      <c r="F1049" s="469"/>
      <c r="G1049" s="470"/>
      <c r="H1049" s="469"/>
      <c r="I1049" s="470"/>
      <c r="J1049" s="470"/>
      <c r="K1049" s="344"/>
      <c r="L1049" s="469"/>
      <c r="M1049" s="469"/>
      <c r="N1049" s="469"/>
      <c r="O1049" s="469"/>
      <c r="P1049" s="469"/>
      <c r="Q1049" s="470"/>
      <c r="R1049" s="469"/>
      <c r="S1049" s="469"/>
      <c r="T1049" s="470"/>
      <c r="U1049" s="470"/>
      <c r="V1049" s="470"/>
      <c r="W1049" s="469"/>
      <c r="X1049" s="469"/>
      <c r="Y1049" s="469"/>
      <c r="Z1049" s="470"/>
      <c r="AA1049" s="469"/>
      <c r="AB1049" s="469"/>
      <c r="AC1049" s="469"/>
      <c r="AD1049" s="469"/>
      <c r="AE1049" s="472"/>
      <c r="AF1049" s="472"/>
      <c r="AG1049" s="503"/>
      <c r="AH1049" s="503"/>
    </row>
    <row r="1050" ht="15.75" customHeight="1">
      <c r="A1050" s="344"/>
      <c r="B1050" s="470"/>
      <c r="C1050" s="469"/>
      <c r="D1050" s="485"/>
      <c r="E1050" s="469"/>
      <c r="F1050" s="469"/>
      <c r="G1050" s="470"/>
      <c r="H1050" s="469"/>
      <c r="I1050" s="470"/>
      <c r="J1050" s="470"/>
      <c r="K1050" s="344"/>
      <c r="L1050" s="469"/>
      <c r="M1050" s="469"/>
      <c r="N1050" s="469"/>
      <c r="O1050" s="469"/>
      <c r="P1050" s="469"/>
      <c r="Q1050" s="470"/>
      <c r="R1050" s="469"/>
      <c r="S1050" s="469"/>
      <c r="T1050" s="470"/>
      <c r="U1050" s="470"/>
      <c r="V1050" s="470"/>
      <c r="W1050" s="469"/>
      <c r="X1050" s="469"/>
      <c r="Y1050" s="469"/>
      <c r="Z1050" s="470"/>
      <c r="AA1050" s="469"/>
      <c r="AB1050" s="469"/>
      <c r="AC1050" s="469"/>
      <c r="AD1050" s="469"/>
      <c r="AE1050" s="472"/>
      <c r="AF1050" s="472"/>
      <c r="AG1050" s="503"/>
      <c r="AH1050" s="503"/>
    </row>
    <row r="1051" ht="15.75" customHeight="1">
      <c r="A1051" s="344"/>
      <c r="B1051" s="470"/>
      <c r="C1051" s="469"/>
      <c r="D1051" s="485"/>
      <c r="E1051" s="469"/>
      <c r="F1051" s="469"/>
      <c r="G1051" s="470"/>
      <c r="H1051" s="469"/>
      <c r="I1051" s="470"/>
      <c r="J1051" s="470"/>
      <c r="K1051" s="344"/>
      <c r="L1051" s="469"/>
      <c r="M1051" s="469"/>
      <c r="N1051" s="469"/>
      <c r="O1051" s="469"/>
      <c r="P1051" s="469"/>
      <c r="Q1051" s="470"/>
      <c r="R1051" s="469"/>
      <c r="S1051" s="469"/>
      <c r="T1051" s="470"/>
      <c r="U1051" s="470"/>
      <c r="V1051" s="470"/>
      <c r="W1051" s="469"/>
      <c r="X1051" s="469"/>
      <c r="Y1051" s="469"/>
      <c r="Z1051" s="470"/>
      <c r="AA1051" s="469"/>
      <c r="AB1051" s="469"/>
      <c r="AC1051" s="469"/>
      <c r="AD1051" s="469"/>
      <c r="AE1051" s="472"/>
      <c r="AF1051" s="472"/>
      <c r="AG1051" s="503"/>
      <c r="AH1051" s="503"/>
    </row>
    <row r="1052" ht="15.75" customHeight="1">
      <c r="A1052" s="344"/>
      <c r="B1052" s="470"/>
      <c r="C1052" s="469"/>
      <c r="D1052" s="485"/>
      <c r="E1052" s="469"/>
      <c r="F1052" s="469"/>
      <c r="G1052" s="470"/>
      <c r="H1052" s="469"/>
      <c r="I1052" s="470"/>
      <c r="J1052" s="470"/>
      <c r="K1052" s="344"/>
      <c r="L1052" s="469"/>
      <c r="M1052" s="469"/>
      <c r="N1052" s="469"/>
      <c r="O1052" s="469"/>
      <c r="P1052" s="469"/>
      <c r="Q1052" s="470"/>
      <c r="R1052" s="469"/>
      <c r="S1052" s="469"/>
      <c r="T1052" s="470"/>
      <c r="U1052" s="470"/>
      <c r="V1052" s="470"/>
      <c r="W1052" s="469"/>
      <c r="X1052" s="469"/>
      <c r="Y1052" s="469"/>
      <c r="Z1052" s="470"/>
      <c r="AA1052" s="469"/>
      <c r="AB1052" s="469"/>
      <c r="AC1052" s="469"/>
      <c r="AD1052" s="469"/>
      <c r="AE1052" s="472"/>
      <c r="AF1052" s="472"/>
      <c r="AG1052" s="503"/>
      <c r="AH1052" s="503"/>
    </row>
    <row r="1053" ht="15.75" customHeight="1">
      <c r="A1053" s="344"/>
      <c r="B1053" s="470"/>
      <c r="C1053" s="469"/>
      <c r="D1053" s="485"/>
      <c r="E1053" s="469"/>
      <c r="F1053" s="469"/>
      <c r="G1053" s="470"/>
      <c r="H1053" s="469"/>
      <c r="I1053" s="470"/>
      <c r="J1053" s="470"/>
      <c r="K1053" s="344"/>
      <c r="L1053" s="469"/>
      <c r="M1053" s="469"/>
      <c r="N1053" s="469"/>
      <c r="O1053" s="469"/>
      <c r="P1053" s="469"/>
      <c r="Q1053" s="470"/>
      <c r="R1053" s="469"/>
      <c r="S1053" s="469"/>
      <c r="T1053" s="470"/>
      <c r="U1053" s="470"/>
      <c r="V1053" s="470"/>
      <c r="W1053" s="469"/>
      <c r="X1053" s="469"/>
      <c r="Y1053" s="469"/>
      <c r="Z1053" s="470"/>
      <c r="AA1053" s="469"/>
      <c r="AB1053" s="469"/>
      <c r="AC1053" s="469"/>
      <c r="AD1053" s="469"/>
      <c r="AE1053" s="472"/>
      <c r="AF1053" s="472"/>
      <c r="AG1053" s="503"/>
      <c r="AH1053" s="503"/>
    </row>
    <row r="1054" ht="15.75" customHeight="1">
      <c r="A1054" s="344"/>
      <c r="B1054" s="470"/>
      <c r="C1054" s="469"/>
      <c r="D1054" s="485"/>
      <c r="E1054" s="469"/>
      <c r="F1054" s="469"/>
      <c r="G1054" s="470"/>
      <c r="H1054" s="469"/>
      <c r="I1054" s="470"/>
      <c r="J1054" s="470"/>
      <c r="K1054" s="344"/>
      <c r="L1054" s="469"/>
      <c r="M1054" s="469"/>
      <c r="N1054" s="469"/>
      <c r="O1054" s="469"/>
      <c r="P1054" s="469"/>
      <c r="Q1054" s="470"/>
      <c r="R1054" s="469"/>
      <c r="S1054" s="469"/>
      <c r="T1054" s="470"/>
      <c r="U1054" s="470"/>
      <c r="V1054" s="470"/>
      <c r="W1054" s="469"/>
      <c r="X1054" s="469"/>
      <c r="Y1054" s="469"/>
      <c r="Z1054" s="470"/>
      <c r="AA1054" s="469"/>
      <c r="AB1054" s="469"/>
      <c r="AC1054" s="469"/>
      <c r="AD1054" s="469"/>
      <c r="AE1054" s="472"/>
      <c r="AF1054" s="472"/>
      <c r="AG1054" s="503"/>
      <c r="AH1054" s="503"/>
    </row>
    <row r="1055" ht="15.75" customHeight="1">
      <c r="A1055" s="344"/>
      <c r="B1055" s="470"/>
      <c r="C1055" s="469"/>
      <c r="D1055" s="485"/>
      <c r="E1055" s="469"/>
      <c r="F1055" s="469"/>
      <c r="G1055" s="470"/>
      <c r="H1055" s="469"/>
      <c r="I1055" s="470"/>
      <c r="J1055" s="470"/>
      <c r="K1055" s="344"/>
      <c r="L1055" s="469"/>
      <c r="M1055" s="469"/>
      <c r="N1055" s="469"/>
      <c r="O1055" s="469"/>
      <c r="P1055" s="469"/>
      <c r="Q1055" s="470"/>
      <c r="R1055" s="469"/>
      <c r="S1055" s="469"/>
      <c r="T1055" s="470"/>
      <c r="U1055" s="470"/>
      <c r="V1055" s="470"/>
      <c r="W1055" s="469"/>
      <c r="X1055" s="469"/>
      <c r="Y1055" s="469"/>
      <c r="Z1055" s="470"/>
      <c r="AA1055" s="469"/>
      <c r="AB1055" s="469"/>
      <c r="AC1055" s="469"/>
      <c r="AD1055" s="469"/>
      <c r="AE1055" s="472"/>
      <c r="AF1055" s="472"/>
      <c r="AG1055" s="503"/>
      <c r="AH1055" s="503"/>
    </row>
    <row r="1056" ht="15.75" customHeight="1">
      <c r="A1056" s="344"/>
      <c r="B1056" s="470"/>
      <c r="C1056" s="469"/>
      <c r="D1056" s="485"/>
      <c r="E1056" s="469"/>
      <c r="F1056" s="469"/>
      <c r="G1056" s="470"/>
      <c r="H1056" s="469"/>
      <c r="I1056" s="470"/>
      <c r="J1056" s="470"/>
      <c r="K1056" s="344"/>
      <c r="L1056" s="469"/>
      <c r="M1056" s="469"/>
      <c r="N1056" s="469"/>
      <c r="O1056" s="469"/>
      <c r="P1056" s="469"/>
      <c r="Q1056" s="470"/>
      <c r="R1056" s="469"/>
      <c r="S1056" s="469"/>
      <c r="T1056" s="470"/>
      <c r="U1056" s="470"/>
      <c r="V1056" s="470"/>
      <c r="W1056" s="469"/>
      <c r="X1056" s="469"/>
      <c r="Y1056" s="469"/>
      <c r="Z1056" s="470"/>
      <c r="AA1056" s="469"/>
      <c r="AB1056" s="469"/>
      <c r="AC1056" s="469"/>
      <c r="AD1056" s="469"/>
      <c r="AE1056" s="472"/>
      <c r="AF1056" s="472"/>
      <c r="AG1056" s="503"/>
      <c r="AH1056" s="503"/>
    </row>
    <row r="1057" ht="15.75" customHeight="1">
      <c r="A1057" s="344"/>
      <c r="B1057" s="470"/>
      <c r="C1057" s="469"/>
      <c r="D1057" s="485"/>
      <c r="E1057" s="469"/>
      <c r="F1057" s="469"/>
      <c r="G1057" s="470"/>
      <c r="H1057" s="469"/>
      <c r="I1057" s="470"/>
      <c r="J1057" s="470"/>
      <c r="K1057" s="344"/>
      <c r="L1057" s="469"/>
      <c r="M1057" s="469"/>
      <c r="N1057" s="469"/>
      <c r="O1057" s="469"/>
      <c r="P1057" s="469"/>
      <c r="Q1057" s="470"/>
      <c r="R1057" s="469"/>
      <c r="S1057" s="469"/>
      <c r="T1057" s="470"/>
      <c r="U1057" s="470"/>
      <c r="V1057" s="470"/>
      <c r="W1057" s="469"/>
      <c r="X1057" s="469"/>
      <c r="Y1057" s="469"/>
      <c r="Z1057" s="470"/>
      <c r="AA1057" s="469"/>
      <c r="AB1057" s="469"/>
      <c r="AC1057" s="469"/>
      <c r="AD1057" s="469"/>
      <c r="AE1057" s="472"/>
      <c r="AF1057" s="472"/>
      <c r="AG1057" s="503"/>
      <c r="AH1057" s="503"/>
    </row>
    <row r="1058" ht="15.75" customHeight="1">
      <c r="A1058" s="344"/>
      <c r="B1058" s="470"/>
      <c r="C1058" s="469"/>
      <c r="D1058" s="485"/>
      <c r="E1058" s="469"/>
      <c r="F1058" s="469"/>
      <c r="G1058" s="470"/>
      <c r="H1058" s="469"/>
      <c r="I1058" s="470"/>
      <c r="J1058" s="470"/>
      <c r="K1058" s="344"/>
      <c r="L1058" s="469"/>
      <c r="M1058" s="469"/>
      <c r="N1058" s="469"/>
      <c r="O1058" s="469"/>
      <c r="P1058" s="469"/>
      <c r="Q1058" s="470"/>
      <c r="R1058" s="469"/>
      <c r="S1058" s="469"/>
      <c r="T1058" s="470"/>
      <c r="U1058" s="470"/>
      <c r="V1058" s="470"/>
      <c r="W1058" s="469"/>
      <c r="X1058" s="469"/>
      <c r="Y1058" s="469"/>
      <c r="Z1058" s="470"/>
      <c r="AA1058" s="469"/>
      <c r="AB1058" s="469"/>
      <c r="AC1058" s="469"/>
      <c r="AD1058" s="469"/>
      <c r="AE1058" s="472"/>
      <c r="AF1058" s="472"/>
      <c r="AG1058" s="503"/>
      <c r="AH1058" s="503"/>
    </row>
    <row r="1059" ht="15.75" customHeight="1">
      <c r="A1059" s="344"/>
      <c r="B1059" s="470"/>
      <c r="C1059" s="469"/>
      <c r="D1059" s="485"/>
      <c r="E1059" s="469"/>
      <c r="F1059" s="469"/>
      <c r="G1059" s="470"/>
      <c r="H1059" s="469"/>
      <c r="I1059" s="470"/>
      <c r="J1059" s="470"/>
      <c r="K1059" s="344"/>
      <c r="L1059" s="469"/>
      <c r="M1059" s="469"/>
      <c r="N1059" s="469"/>
      <c r="O1059" s="469"/>
      <c r="P1059" s="469"/>
      <c r="Q1059" s="470"/>
      <c r="R1059" s="469"/>
      <c r="S1059" s="469"/>
      <c r="T1059" s="470"/>
      <c r="U1059" s="470"/>
      <c r="V1059" s="470"/>
      <c r="W1059" s="469"/>
      <c r="X1059" s="469"/>
      <c r="Y1059" s="469"/>
      <c r="Z1059" s="470"/>
      <c r="AA1059" s="469"/>
      <c r="AB1059" s="469"/>
      <c r="AC1059" s="469"/>
      <c r="AD1059" s="469"/>
      <c r="AE1059" s="472"/>
      <c r="AF1059" s="472"/>
      <c r="AG1059" s="503"/>
      <c r="AH1059" s="503"/>
    </row>
    <row r="1060" ht="15.75" customHeight="1">
      <c r="A1060" s="344"/>
      <c r="B1060" s="470"/>
      <c r="C1060" s="469"/>
      <c r="D1060" s="485"/>
      <c r="E1060" s="469"/>
      <c r="F1060" s="469"/>
      <c r="G1060" s="470"/>
      <c r="H1060" s="469"/>
      <c r="I1060" s="470"/>
      <c r="J1060" s="470"/>
      <c r="K1060" s="344"/>
      <c r="L1060" s="469"/>
      <c r="M1060" s="469"/>
      <c r="N1060" s="469"/>
      <c r="O1060" s="469"/>
      <c r="P1060" s="469"/>
      <c r="Q1060" s="470"/>
      <c r="R1060" s="469"/>
      <c r="S1060" s="469"/>
      <c r="T1060" s="470"/>
      <c r="U1060" s="470"/>
      <c r="V1060" s="470"/>
      <c r="W1060" s="469"/>
      <c r="X1060" s="469"/>
      <c r="Y1060" s="469"/>
      <c r="Z1060" s="470"/>
      <c r="AA1060" s="469"/>
      <c r="AB1060" s="469"/>
      <c r="AC1060" s="469"/>
      <c r="AD1060" s="469"/>
      <c r="AE1060" s="472"/>
      <c r="AF1060" s="472"/>
      <c r="AG1060" s="503"/>
      <c r="AH1060" s="503"/>
    </row>
    <row r="1061" ht="15.75" customHeight="1">
      <c r="A1061" s="344"/>
      <c r="B1061" s="470"/>
      <c r="C1061" s="469"/>
      <c r="D1061" s="485"/>
      <c r="E1061" s="469"/>
      <c r="F1061" s="469"/>
      <c r="G1061" s="470"/>
      <c r="H1061" s="469"/>
      <c r="I1061" s="470"/>
      <c r="J1061" s="470"/>
      <c r="K1061" s="344"/>
      <c r="L1061" s="469"/>
      <c r="M1061" s="469"/>
      <c r="N1061" s="469"/>
      <c r="O1061" s="469"/>
      <c r="P1061" s="469"/>
      <c r="Q1061" s="470"/>
      <c r="R1061" s="469"/>
      <c r="S1061" s="469"/>
      <c r="T1061" s="470"/>
      <c r="U1061" s="470"/>
      <c r="V1061" s="470"/>
      <c r="W1061" s="469"/>
      <c r="X1061" s="469"/>
      <c r="Y1061" s="469"/>
      <c r="Z1061" s="470"/>
      <c r="AA1061" s="469"/>
      <c r="AB1061" s="469"/>
      <c r="AC1061" s="469"/>
      <c r="AD1061" s="469"/>
      <c r="AE1061" s="472"/>
      <c r="AF1061" s="472"/>
      <c r="AG1061" s="503"/>
      <c r="AH1061" s="503"/>
    </row>
    <row r="1062" ht="15.75" customHeight="1">
      <c r="A1062" s="344"/>
      <c r="B1062" s="470"/>
      <c r="C1062" s="469"/>
      <c r="D1062" s="485"/>
      <c r="E1062" s="469"/>
      <c r="F1062" s="469"/>
      <c r="G1062" s="470"/>
      <c r="H1062" s="469"/>
      <c r="I1062" s="470"/>
      <c r="J1062" s="470"/>
      <c r="K1062" s="344"/>
      <c r="L1062" s="469"/>
      <c r="M1062" s="469"/>
      <c r="N1062" s="469"/>
      <c r="O1062" s="469"/>
      <c r="P1062" s="469"/>
      <c r="Q1062" s="470"/>
      <c r="R1062" s="469"/>
      <c r="S1062" s="469"/>
      <c r="T1062" s="470"/>
      <c r="U1062" s="470"/>
      <c r="V1062" s="470"/>
      <c r="W1062" s="469"/>
      <c r="X1062" s="469"/>
      <c r="Y1062" s="469"/>
      <c r="Z1062" s="470"/>
      <c r="AA1062" s="469"/>
      <c r="AB1062" s="469"/>
      <c r="AC1062" s="469"/>
      <c r="AD1062" s="469"/>
      <c r="AE1062" s="472"/>
      <c r="AF1062" s="472"/>
      <c r="AG1062" s="503"/>
      <c r="AH1062" s="503"/>
    </row>
    <row r="1063" ht="15.75" customHeight="1">
      <c r="A1063" s="344"/>
      <c r="B1063" s="470"/>
      <c r="C1063" s="469"/>
      <c r="D1063" s="485"/>
      <c r="E1063" s="469"/>
      <c r="F1063" s="469"/>
      <c r="G1063" s="470"/>
      <c r="H1063" s="469"/>
      <c r="I1063" s="470"/>
      <c r="J1063" s="470"/>
      <c r="K1063" s="344"/>
      <c r="L1063" s="469"/>
      <c r="M1063" s="469"/>
      <c r="N1063" s="469"/>
      <c r="O1063" s="469"/>
      <c r="P1063" s="469"/>
      <c r="Q1063" s="470"/>
      <c r="R1063" s="469"/>
      <c r="S1063" s="469"/>
      <c r="T1063" s="470"/>
      <c r="U1063" s="470"/>
      <c r="V1063" s="470"/>
      <c r="W1063" s="469"/>
      <c r="X1063" s="469"/>
      <c r="Y1063" s="469"/>
      <c r="Z1063" s="470"/>
      <c r="AA1063" s="469"/>
      <c r="AB1063" s="469"/>
      <c r="AC1063" s="469"/>
      <c r="AD1063" s="469"/>
      <c r="AE1063" s="472"/>
      <c r="AF1063" s="472"/>
      <c r="AG1063" s="503"/>
      <c r="AH1063" s="503"/>
    </row>
    <row r="1064" ht="15.75" customHeight="1">
      <c r="A1064" s="344"/>
      <c r="B1064" s="470"/>
      <c r="C1064" s="469"/>
      <c r="D1064" s="485"/>
      <c r="E1064" s="469"/>
      <c r="F1064" s="469"/>
      <c r="G1064" s="470"/>
      <c r="H1064" s="469"/>
      <c r="I1064" s="470"/>
      <c r="J1064" s="470"/>
      <c r="K1064" s="344"/>
      <c r="L1064" s="469"/>
      <c r="M1064" s="469"/>
      <c r="N1064" s="469"/>
      <c r="O1064" s="469"/>
      <c r="P1064" s="469"/>
      <c r="Q1064" s="470"/>
      <c r="R1064" s="469"/>
      <c r="S1064" s="469"/>
      <c r="T1064" s="470"/>
      <c r="U1064" s="470"/>
      <c r="V1064" s="470"/>
      <c r="W1064" s="469"/>
      <c r="X1064" s="469"/>
      <c r="Y1064" s="469"/>
      <c r="Z1064" s="470"/>
      <c r="AA1064" s="469"/>
      <c r="AB1064" s="469"/>
      <c r="AC1064" s="469"/>
      <c r="AD1064" s="469"/>
      <c r="AE1064" s="472"/>
      <c r="AF1064" s="472"/>
      <c r="AG1064" s="503"/>
      <c r="AH1064" s="503"/>
    </row>
    <row r="1065" ht="15.75" customHeight="1">
      <c r="A1065" s="344"/>
      <c r="B1065" s="470"/>
      <c r="C1065" s="469"/>
      <c r="D1065" s="485"/>
      <c r="E1065" s="469"/>
      <c r="F1065" s="469"/>
      <c r="G1065" s="470"/>
      <c r="H1065" s="469"/>
      <c r="I1065" s="470"/>
      <c r="J1065" s="470"/>
      <c r="K1065" s="344"/>
      <c r="L1065" s="469"/>
      <c r="M1065" s="469"/>
      <c r="N1065" s="469"/>
      <c r="O1065" s="469"/>
      <c r="P1065" s="469"/>
      <c r="Q1065" s="470"/>
      <c r="R1065" s="469"/>
      <c r="S1065" s="469"/>
      <c r="T1065" s="470"/>
      <c r="U1065" s="470"/>
      <c r="V1065" s="470"/>
      <c r="W1065" s="469"/>
      <c r="X1065" s="469"/>
      <c r="Y1065" s="469"/>
      <c r="Z1065" s="470"/>
      <c r="AA1065" s="469"/>
      <c r="AB1065" s="469"/>
      <c r="AC1065" s="469"/>
      <c r="AD1065" s="469"/>
      <c r="AE1065" s="472"/>
      <c r="AF1065" s="472"/>
      <c r="AG1065" s="503"/>
      <c r="AH1065" s="503"/>
    </row>
    <row r="1066" ht="15.75" customHeight="1">
      <c r="A1066" s="344"/>
      <c r="B1066" s="470"/>
      <c r="C1066" s="469"/>
      <c r="D1066" s="485"/>
      <c r="E1066" s="469"/>
      <c r="F1066" s="469"/>
      <c r="G1066" s="470"/>
      <c r="H1066" s="469"/>
      <c r="I1066" s="470"/>
      <c r="J1066" s="470"/>
      <c r="K1066" s="344"/>
      <c r="L1066" s="469"/>
      <c r="M1066" s="469"/>
      <c r="N1066" s="469"/>
      <c r="O1066" s="469"/>
      <c r="P1066" s="469"/>
      <c r="Q1066" s="470"/>
      <c r="R1066" s="469"/>
      <c r="S1066" s="469"/>
      <c r="T1066" s="470"/>
      <c r="U1066" s="470"/>
      <c r="V1066" s="470"/>
      <c r="W1066" s="469"/>
      <c r="X1066" s="469"/>
      <c r="Y1066" s="469"/>
      <c r="Z1066" s="470"/>
      <c r="AA1066" s="469"/>
      <c r="AB1066" s="469"/>
      <c r="AC1066" s="469"/>
      <c r="AD1066" s="469"/>
      <c r="AE1066" s="472"/>
      <c r="AF1066" s="472"/>
      <c r="AG1066" s="503"/>
      <c r="AH1066" s="503"/>
    </row>
    <row r="1067" ht="15.75" customHeight="1">
      <c r="A1067" s="344"/>
      <c r="B1067" s="470"/>
      <c r="C1067" s="469"/>
      <c r="D1067" s="485"/>
      <c r="E1067" s="469"/>
      <c r="F1067" s="469"/>
      <c r="G1067" s="470"/>
      <c r="H1067" s="469"/>
      <c r="I1067" s="470"/>
      <c r="J1067" s="470"/>
      <c r="K1067" s="344"/>
      <c r="L1067" s="469"/>
      <c r="M1067" s="469"/>
      <c r="N1067" s="469"/>
      <c r="O1067" s="469"/>
      <c r="P1067" s="469"/>
      <c r="Q1067" s="470"/>
      <c r="R1067" s="469"/>
      <c r="S1067" s="469"/>
      <c r="T1067" s="470"/>
      <c r="U1067" s="470"/>
      <c r="V1067" s="470"/>
      <c r="W1067" s="469"/>
      <c r="X1067" s="469"/>
      <c r="Y1067" s="469"/>
      <c r="Z1067" s="470"/>
      <c r="AA1067" s="469"/>
      <c r="AB1067" s="469"/>
      <c r="AC1067" s="469"/>
      <c r="AD1067" s="469"/>
      <c r="AE1067" s="472"/>
      <c r="AF1067" s="472"/>
      <c r="AG1067" s="503"/>
      <c r="AH1067" s="503"/>
    </row>
    <row r="1068" ht="15.75" customHeight="1">
      <c r="A1068" s="344"/>
      <c r="B1068" s="470"/>
      <c r="C1068" s="469"/>
      <c r="D1068" s="485"/>
      <c r="E1068" s="469"/>
      <c r="F1068" s="469"/>
      <c r="G1068" s="470"/>
      <c r="H1068" s="469"/>
      <c r="I1068" s="470"/>
      <c r="J1068" s="470"/>
      <c r="K1068" s="344"/>
      <c r="L1068" s="469"/>
      <c r="M1068" s="469"/>
      <c r="N1068" s="469"/>
      <c r="O1068" s="469"/>
      <c r="P1068" s="469"/>
      <c r="Q1068" s="470"/>
      <c r="R1068" s="469"/>
      <c r="S1068" s="469"/>
      <c r="T1068" s="470"/>
      <c r="U1068" s="470"/>
      <c r="V1068" s="470"/>
      <c r="W1068" s="469"/>
      <c r="X1068" s="469"/>
      <c r="Y1068" s="469"/>
      <c r="Z1068" s="470"/>
      <c r="AA1068" s="469"/>
      <c r="AB1068" s="469"/>
      <c r="AC1068" s="469"/>
      <c r="AD1068" s="469"/>
      <c r="AE1068" s="472"/>
      <c r="AF1068" s="472"/>
      <c r="AG1068" s="503"/>
      <c r="AH1068" s="503"/>
    </row>
    <row r="1069" ht="15.75" customHeight="1">
      <c r="A1069" s="344"/>
      <c r="B1069" s="470"/>
      <c r="C1069" s="469"/>
      <c r="D1069" s="485"/>
      <c r="E1069" s="469"/>
      <c r="F1069" s="469"/>
      <c r="G1069" s="470"/>
      <c r="H1069" s="469"/>
      <c r="I1069" s="470"/>
      <c r="J1069" s="470"/>
      <c r="K1069" s="344"/>
      <c r="L1069" s="469"/>
      <c r="M1069" s="469"/>
      <c r="N1069" s="469"/>
      <c r="O1069" s="469"/>
      <c r="P1069" s="469"/>
      <c r="Q1069" s="470"/>
      <c r="R1069" s="469"/>
      <c r="S1069" s="469"/>
      <c r="T1069" s="470"/>
      <c r="U1069" s="470"/>
      <c r="V1069" s="470"/>
      <c r="W1069" s="469"/>
      <c r="X1069" s="469"/>
      <c r="Y1069" s="469"/>
      <c r="Z1069" s="470"/>
      <c r="AA1069" s="469"/>
      <c r="AB1069" s="469"/>
      <c r="AC1069" s="469"/>
      <c r="AD1069" s="469"/>
      <c r="AE1069" s="472"/>
      <c r="AF1069" s="472"/>
      <c r="AG1069" s="503"/>
      <c r="AH1069" s="503"/>
    </row>
    <row r="1070" ht="15.75" customHeight="1">
      <c r="A1070" s="344"/>
      <c r="B1070" s="470"/>
      <c r="C1070" s="469"/>
      <c r="D1070" s="485"/>
      <c r="E1070" s="469"/>
      <c r="F1070" s="469"/>
      <c r="G1070" s="470"/>
      <c r="H1070" s="469"/>
      <c r="I1070" s="470"/>
      <c r="J1070" s="470"/>
      <c r="K1070" s="344"/>
      <c r="L1070" s="469"/>
      <c r="M1070" s="469"/>
      <c r="N1070" s="469"/>
      <c r="O1070" s="469"/>
      <c r="P1070" s="469"/>
      <c r="Q1070" s="470"/>
      <c r="R1070" s="469"/>
      <c r="S1070" s="469"/>
      <c r="T1070" s="470"/>
      <c r="U1070" s="470"/>
      <c r="V1070" s="470"/>
      <c r="W1070" s="469"/>
      <c r="X1070" s="469"/>
      <c r="Y1070" s="469"/>
      <c r="Z1070" s="470"/>
      <c r="AA1070" s="469"/>
      <c r="AB1070" s="469"/>
      <c r="AC1070" s="469"/>
      <c r="AD1070" s="469"/>
      <c r="AE1070" s="472"/>
      <c r="AF1070" s="472"/>
      <c r="AG1070" s="503"/>
      <c r="AH1070" s="503"/>
    </row>
    <row r="1071" ht="15.75" customHeight="1">
      <c r="A1071" s="344"/>
      <c r="B1071" s="470"/>
      <c r="C1071" s="469"/>
      <c r="D1071" s="485"/>
      <c r="E1071" s="469"/>
      <c r="F1071" s="469"/>
      <c r="G1071" s="470"/>
      <c r="H1071" s="469"/>
      <c r="I1071" s="470"/>
      <c r="J1071" s="470"/>
      <c r="K1071" s="344"/>
      <c r="L1071" s="469"/>
      <c r="M1071" s="469"/>
      <c r="N1071" s="469"/>
      <c r="O1071" s="469"/>
      <c r="P1071" s="469"/>
      <c r="Q1071" s="470"/>
      <c r="R1071" s="469"/>
      <c r="S1071" s="469"/>
      <c r="T1071" s="470"/>
      <c r="U1071" s="470"/>
      <c r="V1071" s="470"/>
      <c r="W1071" s="469"/>
      <c r="X1071" s="469"/>
      <c r="Y1071" s="469"/>
      <c r="Z1071" s="470"/>
      <c r="AA1071" s="469"/>
      <c r="AB1071" s="469"/>
      <c r="AC1071" s="469"/>
      <c r="AD1071" s="469"/>
      <c r="AE1071" s="472"/>
      <c r="AF1071" s="472"/>
      <c r="AG1071" s="503"/>
      <c r="AH1071" s="503"/>
    </row>
    <row r="1072" ht="15.75" customHeight="1">
      <c r="A1072" s="344"/>
      <c r="B1072" s="470"/>
      <c r="C1072" s="469"/>
      <c r="D1072" s="485"/>
      <c r="E1072" s="469"/>
      <c r="F1072" s="469"/>
      <c r="G1072" s="470"/>
      <c r="H1072" s="469"/>
      <c r="I1072" s="470"/>
      <c r="J1072" s="470"/>
      <c r="K1072" s="344"/>
      <c r="L1072" s="469"/>
      <c r="M1072" s="469"/>
      <c r="N1072" s="469"/>
      <c r="O1072" s="469"/>
      <c r="P1072" s="469"/>
      <c r="Q1072" s="470"/>
      <c r="R1072" s="469"/>
      <c r="S1072" s="469"/>
      <c r="T1072" s="470"/>
      <c r="U1072" s="470"/>
      <c r="V1072" s="470"/>
      <c r="W1072" s="469"/>
      <c r="X1072" s="469"/>
      <c r="Y1072" s="469"/>
      <c r="Z1072" s="470"/>
      <c r="AA1072" s="469"/>
      <c r="AB1072" s="469"/>
      <c r="AC1072" s="469"/>
      <c r="AD1072" s="469"/>
      <c r="AE1072" s="472"/>
      <c r="AF1072" s="472"/>
      <c r="AG1072" s="503"/>
      <c r="AH1072" s="503"/>
    </row>
    <row r="1073" ht="15.75" customHeight="1">
      <c r="A1073" s="344"/>
      <c r="B1073" s="470"/>
      <c r="C1073" s="469"/>
      <c r="D1073" s="485"/>
      <c r="E1073" s="469"/>
      <c r="F1073" s="469"/>
      <c r="G1073" s="470"/>
      <c r="H1073" s="469"/>
      <c r="I1073" s="470"/>
      <c r="J1073" s="470"/>
      <c r="K1073" s="344"/>
      <c r="L1073" s="469"/>
      <c r="M1073" s="469"/>
      <c r="N1073" s="469"/>
      <c r="O1073" s="469"/>
      <c r="P1073" s="469"/>
      <c r="Q1073" s="470"/>
      <c r="R1073" s="469"/>
      <c r="S1073" s="469"/>
      <c r="T1073" s="470"/>
      <c r="U1073" s="470"/>
      <c r="V1073" s="470"/>
      <c r="W1073" s="469"/>
      <c r="X1073" s="469"/>
      <c r="Y1073" s="469"/>
      <c r="Z1073" s="470"/>
      <c r="AA1073" s="469"/>
      <c r="AB1073" s="469"/>
      <c r="AC1073" s="469"/>
      <c r="AD1073" s="469"/>
      <c r="AE1073" s="472"/>
      <c r="AF1073" s="472"/>
      <c r="AG1073" s="503"/>
      <c r="AH1073" s="503"/>
    </row>
    <row r="1074" ht="15.75" customHeight="1">
      <c r="A1074" s="344"/>
      <c r="B1074" s="470"/>
      <c r="C1074" s="469"/>
      <c r="D1074" s="485"/>
      <c r="E1074" s="469"/>
      <c r="F1074" s="469"/>
      <c r="G1074" s="470"/>
      <c r="H1074" s="469"/>
      <c r="I1074" s="470"/>
      <c r="J1074" s="470"/>
      <c r="K1074" s="344"/>
      <c r="L1074" s="469"/>
      <c r="M1074" s="469"/>
      <c r="N1074" s="469"/>
      <c r="O1074" s="469"/>
      <c r="P1074" s="469"/>
      <c r="Q1074" s="470"/>
      <c r="R1074" s="469"/>
      <c r="S1074" s="469"/>
      <c r="T1074" s="470"/>
      <c r="U1074" s="470"/>
      <c r="V1074" s="470"/>
      <c r="W1074" s="469"/>
      <c r="X1074" s="469"/>
      <c r="Y1074" s="469"/>
      <c r="Z1074" s="470"/>
      <c r="AA1074" s="469"/>
      <c r="AB1074" s="469"/>
      <c r="AC1074" s="469"/>
      <c r="AD1074" s="469"/>
      <c r="AE1074" s="472"/>
      <c r="AF1074" s="472"/>
      <c r="AG1074" s="503"/>
      <c r="AH1074" s="503"/>
    </row>
    <row r="1075" ht="15.75" customHeight="1">
      <c r="A1075" s="344"/>
      <c r="B1075" s="470"/>
      <c r="C1075" s="469"/>
      <c r="D1075" s="485"/>
      <c r="E1075" s="469"/>
      <c r="F1075" s="469"/>
      <c r="G1075" s="470"/>
      <c r="H1075" s="469"/>
      <c r="I1075" s="470"/>
      <c r="J1075" s="470"/>
      <c r="K1075" s="344"/>
      <c r="L1075" s="469"/>
      <c r="M1075" s="469"/>
      <c r="N1075" s="469"/>
      <c r="O1075" s="469"/>
      <c r="P1075" s="469"/>
      <c r="Q1075" s="470"/>
      <c r="R1075" s="469"/>
      <c r="S1075" s="469"/>
      <c r="T1075" s="470"/>
      <c r="U1075" s="470"/>
      <c r="V1075" s="470"/>
      <c r="W1075" s="469"/>
      <c r="X1075" s="469"/>
      <c r="Y1075" s="469"/>
      <c r="Z1075" s="470"/>
      <c r="AA1075" s="469"/>
      <c r="AB1075" s="469"/>
      <c r="AC1075" s="469"/>
      <c r="AD1075" s="469"/>
      <c r="AE1075" s="472"/>
      <c r="AF1075" s="472"/>
      <c r="AG1075" s="503"/>
      <c r="AH1075" s="503"/>
    </row>
    <row r="1076" ht="15.75" customHeight="1">
      <c r="A1076" s="344"/>
      <c r="B1076" s="470"/>
      <c r="C1076" s="469"/>
      <c r="D1076" s="485"/>
      <c r="E1076" s="469"/>
      <c r="F1076" s="469"/>
      <c r="G1076" s="470"/>
      <c r="H1076" s="469"/>
      <c r="I1076" s="470"/>
      <c r="J1076" s="470"/>
      <c r="K1076" s="344"/>
      <c r="L1076" s="469"/>
      <c r="M1076" s="469"/>
      <c r="N1076" s="469"/>
      <c r="O1076" s="469"/>
      <c r="P1076" s="469"/>
      <c r="Q1076" s="470"/>
      <c r="R1076" s="469"/>
      <c r="S1076" s="469"/>
      <c r="T1076" s="470"/>
      <c r="U1076" s="470"/>
      <c r="V1076" s="470"/>
      <c r="W1076" s="469"/>
      <c r="X1076" s="469"/>
      <c r="Y1076" s="469"/>
      <c r="Z1076" s="470"/>
      <c r="AA1076" s="469"/>
      <c r="AB1076" s="469"/>
      <c r="AC1076" s="469"/>
      <c r="AD1076" s="469"/>
      <c r="AE1076" s="472"/>
      <c r="AF1076" s="472"/>
      <c r="AG1076" s="503"/>
      <c r="AH1076" s="503"/>
    </row>
    <row r="1077" ht="15.75" customHeight="1">
      <c r="A1077" s="344"/>
      <c r="B1077" s="470"/>
      <c r="C1077" s="469"/>
      <c r="D1077" s="485"/>
      <c r="E1077" s="469"/>
      <c r="F1077" s="469"/>
      <c r="G1077" s="470"/>
      <c r="H1077" s="469"/>
      <c r="I1077" s="470"/>
      <c r="J1077" s="470"/>
      <c r="K1077" s="344"/>
      <c r="L1077" s="469"/>
      <c r="M1077" s="469"/>
      <c r="N1077" s="469"/>
      <c r="O1077" s="469"/>
      <c r="P1077" s="469"/>
      <c r="Q1077" s="470"/>
      <c r="R1077" s="469"/>
      <c r="S1077" s="469"/>
      <c r="T1077" s="470"/>
      <c r="U1077" s="470"/>
      <c r="V1077" s="470"/>
      <c r="W1077" s="469"/>
      <c r="X1077" s="469"/>
      <c r="Y1077" s="469"/>
      <c r="Z1077" s="470"/>
      <c r="AA1077" s="469"/>
      <c r="AB1077" s="469"/>
      <c r="AC1077" s="469"/>
      <c r="AD1077" s="469"/>
      <c r="AE1077" s="472"/>
      <c r="AF1077" s="472"/>
      <c r="AG1077" s="503"/>
      <c r="AH1077" s="503"/>
    </row>
    <row r="1078" ht="15.75" customHeight="1">
      <c r="A1078" s="344"/>
      <c r="B1078" s="470"/>
      <c r="C1078" s="469"/>
      <c r="D1078" s="485"/>
      <c r="E1078" s="469"/>
      <c r="F1078" s="469"/>
      <c r="G1078" s="470"/>
      <c r="H1078" s="469"/>
      <c r="I1078" s="470"/>
      <c r="J1078" s="470"/>
      <c r="K1078" s="344"/>
      <c r="L1078" s="469"/>
      <c r="M1078" s="469"/>
      <c r="N1078" s="469"/>
      <c r="O1078" s="469"/>
      <c r="P1078" s="469"/>
      <c r="Q1078" s="470"/>
      <c r="R1078" s="469"/>
      <c r="S1078" s="469"/>
      <c r="T1078" s="470"/>
      <c r="U1078" s="470"/>
      <c r="V1078" s="470"/>
      <c r="W1078" s="469"/>
      <c r="X1078" s="469"/>
      <c r="Y1078" s="469"/>
      <c r="Z1078" s="470"/>
      <c r="AA1078" s="469"/>
      <c r="AB1078" s="469"/>
      <c r="AC1078" s="469"/>
      <c r="AD1078" s="469"/>
      <c r="AE1078" s="472"/>
      <c r="AF1078" s="472"/>
      <c r="AG1078" s="503"/>
      <c r="AH1078" s="503"/>
    </row>
    <row r="1079" ht="15.75" customHeight="1">
      <c r="A1079" s="344"/>
      <c r="B1079" s="470"/>
      <c r="C1079" s="469"/>
      <c r="D1079" s="485"/>
      <c r="E1079" s="469"/>
      <c r="F1079" s="469"/>
      <c r="G1079" s="470"/>
      <c r="H1079" s="469"/>
      <c r="I1079" s="470"/>
      <c r="J1079" s="470"/>
      <c r="K1079" s="344"/>
      <c r="L1079" s="469"/>
      <c r="M1079" s="469"/>
      <c r="N1079" s="469"/>
      <c r="O1079" s="469"/>
      <c r="P1079" s="469"/>
      <c r="Q1079" s="470"/>
      <c r="R1079" s="469"/>
      <c r="S1079" s="469"/>
      <c r="T1079" s="470"/>
      <c r="U1079" s="470"/>
      <c r="V1079" s="470"/>
      <c r="W1079" s="469"/>
      <c r="X1079" s="469"/>
      <c r="Y1079" s="469"/>
      <c r="Z1079" s="470"/>
      <c r="AA1079" s="469"/>
      <c r="AB1079" s="469"/>
      <c r="AC1079" s="469"/>
      <c r="AD1079" s="469"/>
      <c r="AE1079" s="472"/>
      <c r="AF1079" s="472"/>
      <c r="AG1079" s="503"/>
      <c r="AH1079" s="503"/>
    </row>
    <row r="1080" ht="15.75" customHeight="1">
      <c r="A1080" s="344"/>
      <c r="B1080" s="470"/>
      <c r="C1080" s="469"/>
      <c r="D1080" s="485"/>
      <c r="E1080" s="469"/>
      <c r="F1080" s="469"/>
      <c r="G1080" s="470"/>
      <c r="H1080" s="469"/>
      <c r="I1080" s="470"/>
      <c r="J1080" s="470"/>
      <c r="K1080" s="344"/>
      <c r="L1080" s="469"/>
      <c r="M1080" s="469"/>
      <c r="N1080" s="469"/>
      <c r="O1080" s="469"/>
      <c r="P1080" s="469"/>
      <c r="Q1080" s="470"/>
      <c r="R1080" s="469"/>
      <c r="S1080" s="469"/>
      <c r="T1080" s="470"/>
      <c r="U1080" s="470"/>
      <c r="V1080" s="470"/>
      <c r="W1080" s="469"/>
      <c r="X1080" s="469"/>
      <c r="Y1080" s="469"/>
      <c r="Z1080" s="470"/>
      <c r="AA1080" s="469"/>
      <c r="AB1080" s="469"/>
      <c r="AC1080" s="469"/>
      <c r="AD1080" s="469"/>
      <c r="AE1080" s="472"/>
      <c r="AF1080" s="472"/>
      <c r="AG1080" s="503"/>
      <c r="AH1080" s="503"/>
    </row>
    <row r="1081" ht="15.75" customHeight="1">
      <c r="A1081" s="344"/>
      <c r="B1081" s="470"/>
      <c r="C1081" s="469"/>
      <c r="D1081" s="485"/>
      <c r="E1081" s="469"/>
      <c r="F1081" s="469"/>
      <c r="G1081" s="470"/>
      <c r="H1081" s="469"/>
      <c r="I1081" s="470"/>
      <c r="J1081" s="470"/>
      <c r="K1081" s="344"/>
      <c r="L1081" s="469"/>
      <c r="M1081" s="469"/>
      <c r="N1081" s="469"/>
      <c r="O1081" s="469"/>
      <c r="P1081" s="469"/>
      <c r="Q1081" s="470"/>
      <c r="R1081" s="469"/>
      <c r="S1081" s="469"/>
      <c r="T1081" s="470"/>
      <c r="U1081" s="470"/>
      <c r="V1081" s="470"/>
      <c r="W1081" s="469"/>
      <c r="X1081" s="469"/>
      <c r="Y1081" s="469"/>
      <c r="Z1081" s="470"/>
      <c r="AA1081" s="469"/>
      <c r="AB1081" s="469"/>
      <c r="AC1081" s="469"/>
      <c r="AD1081" s="469"/>
      <c r="AE1081" s="472"/>
      <c r="AF1081" s="472"/>
      <c r="AG1081" s="503"/>
      <c r="AH1081" s="503"/>
    </row>
    <row r="1082" ht="15.75" customHeight="1">
      <c r="A1082" s="344"/>
      <c r="B1082" s="470"/>
      <c r="C1082" s="469"/>
      <c r="D1082" s="485"/>
      <c r="E1082" s="469"/>
      <c r="F1082" s="469"/>
      <c r="G1082" s="470"/>
      <c r="H1082" s="469"/>
      <c r="I1082" s="470"/>
      <c r="J1082" s="470"/>
      <c r="K1082" s="344"/>
      <c r="L1082" s="469"/>
      <c r="M1082" s="469"/>
      <c r="N1082" s="469"/>
      <c r="O1082" s="469"/>
      <c r="P1082" s="469"/>
      <c r="Q1082" s="470"/>
      <c r="R1082" s="469"/>
      <c r="S1082" s="469"/>
      <c r="T1082" s="470"/>
      <c r="U1082" s="470"/>
      <c r="V1082" s="470"/>
      <c r="W1082" s="469"/>
      <c r="X1082" s="469"/>
      <c r="Y1082" s="469"/>
      <c r="Z1082" s="470"/>
      <c r="AA1082" s="469"/>
      <c r="AB1082" s="469"/>
      <c r="AC1082" s="469"/>
      <c r="AD1082" s="469"/>
      <c r="AE1082" s="472"/>
      <c r="AF1082" s="472"/>
      <c r="AG1082" s="503"/>
      <c r="AH1082" s="503"/>
    </row>
    <row r="1083" ht="15.75" customHeight="1">
      <c r="A1083" s="344"/>
      <c r="B1083" s="470"/>
      <c r="C1083" s="469"/>
      <c r="D1083" s="485"/>
      <c r="E1083" s="469"/>
      <c r="F1083" s="469"/>
      <c r="G1083" s="470"/>
      <c r="H1083" s="469"/>
      <c r="I1083" s="470"/>
      <c r="J1083" s="470"/>
      <c r="K1083" s="344"/>
      <c r="L1083" s="469"/>
      <c r="M1083" s="469"/>
      <c r="N1083" s="469"/>
      <c r="O1083" s="469"/>
      <c r="P1083" s="469"/>
      <c r="Q1083" s="470"/>
      <c r="R1083" s="469"/>
      <c r="S1083" s="469"/>
      <c r="T1083" s="470"/>
      <c r="U1083" s="470"/>
      <c r="V1083" s="470"/>
      <c r="W1083" s="469"/>
      <c r="X1083" s="469"/>
      <c r="Y1083" s="469"/>
      <c r="Z1083" s="470"/>
      <c r="AA1083" s="469"/>
      <c r="AB1083" s="469"/>
      <c r="AC1083" s="469"/>
      <c r="AD1083" s="469"/>
      <c r="AE1083" s="472"/>
      <c r="AF1083" s="472"/>
      <c r="AG1083" s="503"/>
      <c r="AH1083" s="503"/>
    </row>
    <row r="1084" ht="15.75" customHeight="1">
      <c r="A1084" s="344"/>
      <c r="B1084" s="470"/>
      <c r="C1084" s="469"/>
      <c r="D1084" s="485"/>
      <c r="E1084" s="469"/>
      <c r="F1084" s="469"/>
      <c r="G1084" s="470"/>
      <c r="H1084" s="469"/>
      <c r="I1084" s="470"/>
      <c r="J1084" s="470"/>
      <c r="K1084" s="344"/>
      <c r="L1084" s="469"/>
      <c r="M1084" s="469"/>
      <c r="N1084" s="469"/>
      <c r="O1084" s="469"/>
      <c r="P1084" s="469"/>
      <c r="Q1084" s="470"/>
      <c r="R1084" s="469"/>
      <c r="S1084" s="469"/>
      <c r="T1084" s="470"/>
      <c r="U1084" s="470"/>
      <c r="V1084" s="470"/>
      <c r="W1084" s="469"/>
      <c r="X1084" s="469"/>
      <c r="Y1084" s="469"/>
      <c r="Z1084" s="470"/>
      <c r="AA1084" s="469"/>
      <c r="AB1084" s="469"/>
      <c r="AC1084" s="469"/>
      <c r="AD1084" s="469"/>
      <c r="AE1084" s="472"/>
      <c r="AF1084" s="472"/>
      <c r="AG1084" s="503"/>
      <c r="AH1084" s="503"/>
    </row>
    <row r="1085" ht="15.75" customHeight="1">
      <c r="A1085" s="344"/>
      <c r="B1085" s="470"/>
      <c r="C1085" s="469"/>
      <c r="D1085" s="485"/>
      <c r="E1085" s="469"/>
      <c r="F1085" s="469"/>
      <c r="G1085" s="470"/>
      <c r="H1085" s="469"/>
      <c r="I1085" s="470"/>
      <c r="J1085" s="470"/>
      <c r="K1085" s="344"/>
      <c r="L1085" s="469"/>
      <c r="M1085" s="469"/>
      <c r="N1085" s="469"/>
      <c r="O1085" s="469"/>
      <c r="P1085" s="469"/>
      <c r="Q1085" s="470"/>
      <c r="R1085" s="469"/>
      <c r="S1085" s="469"/>
      <c r="T1085" s="470"/>
      <c r="U1085" s="470"/>
      <c r="V1085" s="470"/>
      <c r="W1085" s="469"/>
      <c r="X1085" s="469"/>
      <c r="Y1085" s="469"/>
      <c r="Z1085" s="470"/>
      <c r="AA1085" s="469"/>
      <c r="AB1085" s="469"/>
      <c r="AC1085" s="469"/>
      <c r="AD1085" s="469"/>
      <c r="AE1085" s="472"/>
      <c r="AF1085" s="472"/>
      <c r="AG1085" s="503"/>
      <c r="AH1085" s="503"/>
    </row>
    <row r="1086" ht="15.75" customHeight="1">
      <c r="A1086" s="344"/>
      <c r="B1086" s="470"/>
      <c r="C1086" s="469"/>
      <c r="D1086" s="485"/>
      <c r="E1086" s="469"/>
      <c r="F1086" s="469"/>
      <c r="G1086" s="470"/>
      <c r="H1086" s="469"/>
      <c r="I1086" s="470"/>
      <c r="J1086" s="470"/>
      <c r="K1086" s="344"/>
      <c r="L1086" s="469"/>
      <c r="M1086" s="469"/>
      <c r="N1086" s="469"/>
      <c r="O1086" s="469"/>
      <c r="P1086" s="469"/>
      <c r="Q1086" s="470"/>
      <c r="R1086" s="469"/>
      <c r="S1086" s="469"/>
      <c r="T1086" s="470"/>
      <c r="U1086" s="470"/>
      <c r="V1086" s="470"/>
      <c r="W1086" s="469"/>
      <c r="X1086" s="469"/>
      <c r="Y1086" s="469"/>
      <c r="Z1086" s="470"/>
      <c r="AA1086" s="469"/>
      <c r="AB1086" s="469"/>
      <c r="AC1086" s="469"/>
      <c r="AD1086" s="469"/>
      <c r="AE1086" s="472"/>
      <c r="AF1086" s="472"/>
      <c r="AG1086" s="503"/>
      <c r="AH1086" s="503"/>
    </row>
    <row r="1087" ht="15.75" customHeight="1">
      <c r="A1087" s="344"/>
      <c r="B1087" s="470"/>
      <c r="C1087" s="469"/>
      <c r="D1087" s="485"/>
      <c r="E1087" s="469"/>
      <c r="F1087" s="469"/>
      <c r="G1087" s="470"/>
      <c r="H1087" s="469"/>
      <c r="I1087" s="470"/>
      <c r="J1087" s="470"/>
      <c r="K1087" s="344"/>
      <c r="L1087" s="469"/>
      <c r="M1087" s="469"/>
      <c r="N1087" s="469"/>
      <c r="O1087" s="469"/>
      <c r="P1087" s="469"/>
      <c r="Q1087" s="470"/>
      <c r="R1087" s="469"/>
      <c r="S1087" s="469"/>
      <c r="T1087" s="470"/>
      <c r="U1087" s="470"/>
      <c r="V1087" s="470"/>
      <c r="W1087" s="469"/>
      <c r="X1087" s="469"/>
      <c r="Y1087" s="469"/>
      <c r="Z1087" s="470"/>
      <c r="AA1087" s="469"/>
      <c r="AB1087" s="469"/>
      <c r="AC1087" s="469"/>
      <c r="AD1087" s="469"/>
      <c r="AE1087" s="472"/>
      <c r="AF1087" s="472"/>
      <c r="AG1087" s="503"/>
      <c r="AH1087" s="503"/>
    </row>
    <row r="1088" ht="15.75" customHeight="1">
      <c r="A1088" s="344"/>
      <c r="B1088" s="470"/>
      <c r="C1088" s="469"/>
      <c r="D1088" s="485"/>
      <c r="E1088" s="469"/>
      <c r="F1088" s="469"/>
      <c r="G1088" s="470"/>
      <c r="H1088" s="469"/>
      <c r="I1088" s="470"/>
      <c r="J1088" s="470"/>
      <c r="K1088" s="344"/>
      <c r="L1088" s="469"/>
      <c r="M1088" s="469"/>
      <c r="N1088" s="469"/>
      <c r="O1088" s="469"/>
      <c r="P1088" s="469"/>
      <c r="Q1088" s="470"/>
      <c r="R1088" s="469"/>
      <c r="S1088" s="469"/>
      <c r="T1088" s="470"/>
      <c r="U1088" s="470"/>
      <c r="V1088" s="470"/>
      <c r="W1088" s="469"/>
      <c r="X1088" s="469"/>
      <c r="Y1088" s="469"/>
      <c r="Z1088" s="470"/>
      <c r="AA1088" s="469"/>
      <c r="AB1088" s="469"/>
      <c r="AC1088" s="469"/>
      <c r="AD1088" s="469"/>
      <c r="AE1088" s="472"/>
      <c r="AF1088" s="472"/>
      <c r="AG1088" s="503"/>
      <c r="AH1088" s="503"/>
    </row>
    <row r="1089" ht="15.75" customHeight="1">
      <c r="A1089" s="344"/>
      <c r="B1089" s="470"/>
      <c r="C1089" s="469"/>
      <c r="D1089" s="485"/>
      <c r="E1089" s="469"/>
      <c r="F1089" s="469"/>
      <c r="G1089" s="470"/>
      <c r="H1089" s="469"/>
      <c r="I1089" s="470"/>
      <c r="J1089" s="470"/>
      <c r="K1089" s="344"/>
      <c r="L1089" s="469"/>
      <c r="M1089" s="469"/>
      <c r="N1089" s="469"/>
      <c r="O1089" s="469"/>
      <c r="P1089" s="469"/>
      <c r="Q1089" s="470"/>
      <c r="R1089" s="469"/>
      <c r="S1089" s="469"/>
      <c r="T1089" s="470"/>
      <c r="U1089" s="470"/>
      <c r="V1089" s="470"/>
      <c r="W1089" s="469"/>
      <c r="X1089" s="469"/>
      <c r="Y1089" s="469"/>
      <c r="Z1089" s="470"/>
      <c r="AA1089" s="469"/>
      <c r="AB1089" s="469"/>
      <c r="AC1089" s="469"/>
      <c r="AD1089" s="469"/>
      <c r="AE1089" s="472"/>
      <c r="AF1089" s="472"/>
      <c r="AG1089" s="503"/>
      <c r="AH1089" s="503"/>
    </row>
  </sheetData>
  <mergeCells count="53">
    <mergeCell ref="AH14:AH33"/>
    <mergeCell ref="A33:AF33"/>
    <mergeCell ref="AJ1:AK1"/>
    <mergeCell ref="A2:AG2"/>
    <mergeCell ref="AJ3:AJ5"/>
    <mergeCell ref="AK3:AK5"/>
    <mergeCell ref="A12:AF12"/>
    <mergeCell ref="A34:AG34"/>
    <mergeCell ref="A121:AG121"/>
    <mergeCell ref="A119:AF119"/>
    <mergeCell ref="A120:AG120"/>
    <mergeCell ref="A128:AF128"/>
    <mergeCell ref="A129:AG129"/>
    <mergeCell ref="A135:AF135"/>
    <mergeCell ref="A136:AG136"/>
    <mergeCell ref="A143:AF143"/>
    <mergeCell ref="A144:AG144"/>
    <mergeCell ref="A147:AF147"/>
    <mergeCell ref="A148:AG148"/>
    <mergeCell ref="A150:AF150"/>
    <mergeCell ref="A151:AG151"/>
    <mergeCell ref="A153:AF153"/>
    <mergeCell ref="A154:AG154"/>
    <mergeCell ref="AJ11:AK11"/>
    <mergeCell ref="AJ12:AK12"/>
    <mergeCell ref="A13:AG13"/>
    <mergeCell ref="AJ13:AK13"/>
    <mergeCell ref="AH3:AH12"/>
    <mergeCell ref="AH35:AH49"/>
    <mergeCell ref="A49:AF49"/>
    <mergeCell ref="A50:AG50"/>
    <mergeCell ref="A106:AF106"/>
    <mergeCell ref="A107:AG107"/>
    <mergeCell ref="AI2:AI190"/>
    <mergeCell ref="AH122:AH127"/>
    <mergeCell ref="AH137:AH142"/>
    <mergeCell ref="AH161:AH166"/>
    <mergeCell ref="AH169:AH170"/>
    <mergeCell ref="AH177:AH190"/>
    <mergeCell ref="A172:AG172"/>
    <mergeCell ref="A175:AF175"/>
    <mergeCell ref="A176:AG176"/>
    <mergeCell ref="A191:AF191"/>
    <mergeCell ref="A192:AG192"/>
    <mergeCell ref="A197:AF197"/>
    <mergeCell ref="AG198:AG199"/>
    <mergeCell ref="A156:AF156"/>
    <mergeCell ref="A157:AG157"/>
    <mergeCell ref="A159:AF159"/>
    <mergeCell ref="A160:AG160"/>
    <mergeCell ref="A167:AF167"/>
    <mergeCell ref="A168:AG168"/>
    <mergeCell ref="A171:AF17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75"/>
    <col customWidth="1" min="2" max="2" width="3.63"/>
    <col customWidth="1" min="3" max="3" width="3.38"/>
    <col customWidth="1" min="4" max="27" width="3.63"/>
    <col customWidth="1" min="28" max="28" width="10.63"/>
    <col customWidth="1" min="29" max="29" width="9.88"/>
    <col customWidth="1" min="30" max="30" width="18.63"/>
    <col customWidth="1" min="31" max="31" width="3.88"/>
    <col customWidth="1" min="32" max="32" width="11.5"/>
    <col customWidth="1" min="33" max="33" width="23.5"/>
  </cols>
  <sheetData>
    <row r="1" ht="50.25" customHeight="1">
      <c r="A1" s="1">
        <v>45962.0</v>
      </c>
      <c r="B1" s="2">
        <v>45966.0</v>
      </c>
      <c r="C1" s="2">
        <v>45967.0</v>
      </c>
      <c r="D1" s="2">
        <v>45968.0</v>
      </c>
      <c r="E1" s="3">
        <v>45969.0</v>
      </c>
      <c r="F1" s="6">
        <v>45970.0</v>
      </c>
      <c r="G1" s="8">
        <v>45971.0</v>
      </c>
      <c r="H1" s="8">
        <v>45972.0</v>
      </c>
      <c r="I1" s="10">
        <v>45973.0</v>
      </c>
      <c r="J1" s="10">
        <v>45974.0</v>
      </c>
      <c r="K1" s="10">
        <v>45975.0</v>
      </c>
      <c r="L1" s="3">
        <v>45976.0</v>
      </c>
      <c r="M1" s="10">
        <v>45977.0</v>
      </c>
      <c r="N1" s="4">
        <v>45978.0</v>
      </c>
      <c r="O1" s="4">
        <v>45979.0</v>
      </c>
      <c r="P1" s="10">
        <v>45980.0</v>
      </c>
      <c r="Q1" s="10">
        <v>45981.0</v>
      </c>
      <c r="R1" s="10">
        <v>45982.0</v>
      </c>
      <c r="S1" s="10">
        <v>45983.0</v>
      </c>
      <c r="T1" s="6">
        <v>45984.0</v>
      </c>
      <c r="U1" s="10">
        <v>45985.0</v>
      </c>
      <c r="V1" s="10">
        <v>45986.0</v>
      </c>
      <c r="W1" s="10">
        <v>45987.0</v>
      </c>
      <c r="X1" s="10">
        <v>45988.0</v>
      </c>
      <c r="Y1" s="10">
        <v>45989.0</v>
      </c>
      <c r="Z1" s="27">
        <v>45990.0</v>
      </c>
      <c r="AA1" s="10">
        <v>45991.0</v>
      </c>
      <c r="AB1" s="14" t="s">
        <v>0</v>
      </c>
      <c r="AC1" s="15" t="s">
        <v>1</v>
      </c>
      <c r="AD1" s="15" t="s">
        <v>2</v>
      </c>
      <c r="AE1" s="17"/>
      <c r="AF1" s="20" t="s">
        <v>3</v>
      </c>
      <c r="AG1" s="22"/>
    </row>
    <row r="2">
      <c r="A2" s="24" t="s">
        <v>4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8"/>
      <c r="AE2" s="17"/>
      <c r="AF2" s="29"/>
      <c r="AG2" s="31" t="s">
        <v>5</v>
      </c>
    </row>
    <row r="3">
      <c r="A3" s="33" t="s">
        <v>6</v>
      </c>
      <c r="B3" s="53"/>
      <c r="C3" s="36">
        <v>6.0</v>
      </c>
      <c r="D3" s="38"/>
      <c r="E3" s="56"/>
      <c r="F3" s="55"/>
      <c r="G3" s="41"/>
      <c r="H3" s="41"/>
      <c r="I3" s="39">
        <v>1.0</v>
      </c>
      <c r="J3" s="50"/>
      <c r="K3" s="39">
        <v>50.0</v>
      </c>
      <c r="L3" s="56"/>
      <c r="M3" s="58"/>
      <c r="N3" s="40"/>
      <c r="O3" s="40"/>
      <c r="P3" s="33">
        <v>17.0</v>
      </c>
      <c r="Q3" s="58"/>
      <c r="R3" s="50"/>
      <c r="S3" s="39">
        <v>4.0</v>
      </c>
      <c r="T3" s="55"/>
      <c r="U3" s="39">
        <v>1.0</v>
      </c>
      <c r="V3" s="39">
        <v>2.0</v>
      </c>
      <c r="W3" s="36">
        <v>5.0</v>
      </c>
      <c r="X3" s="36">
        <v>6.0</v>
      </c>
      <c r="Y3" s="50"/>
      <c r="Z3" s="70"/>
      <c r="AA3" s="53"/>
      <c r="AB3" s="62">
        <f t="shared" ref="AB3:AB43" si="1">SUM(B3:AA3)</f>
        <v>92</v>
      </c>
      <c r="AC3" s="65">
        <v>50.0</v>
      </c>
      <c r="AD3" s="68">
        <f t="shared" ref="AD3:AD43" si="2">AB3*AC3</f>
        <v>4600</v>
      </c>
      <c r="AE3" s="17"/>
      <c r="AF3" s="71"/>
      <c r="AG3" s="73" t="s">
        <v>11</v>
      </c>
    </row>
    <row r="4">
      <c r="A4" s="33" t="s">
        <v>10</v>
      </c>
      <c r="B4" s="53"/>
      <c r="C4" s="38"/>
      <c r="D4" s="38"/>
      <c r="E4" s="56"/>
      <c r="F4" s="55"/>
      <c r="G4" s="41"/>
      <c r="H4" s="41"/>
      <c r="I4" s="50"/>
      <c r="J4" s="50"/>
      <c r="K4" s="50"/>
      <c r="L4" s="56"/>
      <c r="M4" s="58"/>
      <c r="N4" s="40"/>
      <c r="O4" s="40"/>
      <c r="P4" s="58"/>
      <c r="Q4" s="58"/>
      <c r="R4" s="50"/>
      <c r="S4" s="50"/>
      <c r="T4" s="55"/>
      <c r="U4" s="50"/>
      <c r="V4" s="50"/>
      <c r="W4" s="38"/>
      <c r="X4" s="38"/>
      <c r="Y4" s="50"/>
      <c r="Z4" s="70"/>
      <c r="AA4" s="53"/>
      <c r="AB4" s="62">
        <f t="shared" si="1"/>
        <v>0</v>
      </c>
      <c r="AC4" s="80">
        <v>18.0</v>
      </c>
      <c r="AD4" s="68">
        <f t="shared" si="2"/>
        <v>0</v>
      </c>
      <c r="AE4" s="17"/>
      <c r="AF4" s="81"/>
      <c r="AG4" s="81"/>
    </row>
    <row r="5">
      <c r="A5" s="33" t="s">
        <v>13</v>
      </c>
      <c r="B5" s="90">
        <v>3.0</v>
      </c>
      <c r="C5" s="36">
        <v>2.0</v>
      </c>
      <c r="D5" s="36">
        <v>2.0</v>
      </c>
      <c r="E5" s="56"/>
      <c r="F5" s="55"/>
      <c r="G5" s="41"/>
      <c r="H5" s="41"/>
      <c r="I5" s="39">
        <v>2.0</v>
      </c>
      <c r="J5" s="39">
        <v>2.0</v>
      </c>
      <c r="K5" s="39">
        <v>4.0</v>
      </c>
      <c r="L5" s="56"/>
      <c r="M5" s="58"/>
      <c r="N5" s="40"/>
      <c r="O5" s="40"/>
      <c r="P5" s="33">
        <v>1.0</v>
      </c>
      <c r="Q5" s="58"/>
      <c r="R5" s="39">
        <v>3.0</v>
      </c>
      <c r="S5" s="50"/>
      <c r="T5" s="55"/>
      <c r="U5" s="39">
        <v>10.0</v>
      </c>
      <c r="V5" s="50"/>
      <c r="W5" s="36">
        <v>1.0</v>
      </c>
      <c r="X5" s="36">
        <v>1.0</v>
      </c>
      <c r="Y5" s="39">
        <v>3.0</v>
      </c>
      <c r="Z5" s="70"/>
      <c r="AA5" s="53"/>
      <c r="AB5" s="62">
        <f t="shared" si="1"/>
        <v>34</v>
      </c>
      <c r="AC5" s="80">
        <v>200.0</v>
      </c>
      <c r="AD5" s="68">
        <f t="shared" si="2"/>
        <v>6800</v>
      </c>
      <c r="AE5" s="17"/>
      <c r="AF5" s="91"/>
      <c r="AG5" s="91"/>
    </row>
    <row r="6" ht="18.75" customHeight="1">
      <c r="A6" s="33" t="s">
        <v>16</v>
      </c>
      <c r="B6" s="53"/>
      <c r="C6" s="38"/>
      <c r="D6" s="36">
        <v>1.0</v>
      </c>
      <c r="E6" s="56"/>
      <c r="F6" s="55"/>
      <c r="G6" s="41"/>
      <c r="H6" s="41"/>
      <c r="I6" s="39">
        <v>1.0</v>
      </c>
      <c r="J6" s="50"/>
      <c r="K6" s="50"/>
      <c r="L6" s="56"/>
      <c r="M6" s="58"/>
      <c r="N6" s="40"/>
      <c r="O6" s="40"/>
      <c r="P6" s="58"/>
      <c r="Q6" s="58"/>
      <c r="R6" s="50"/>
      <c r="S6" s="50"/>
      <c r="T6" s="55"/>
      <c r="U6" s="50"/>
      <c r="V6" s="50"/>
      <c r="W6" s="38"/>
      <c r="X6" s="38"/>
      <c r="Y6" s="50"/>
      <c r="Z6" s="70"/>
      <c r="AA6" s="53"/>
      <c r="AB6" s="62">
        <f t="shared" si="1"/>
        <v>2</v>
      </c>
      <c r="AC6" s="80">
        <v>850.0</v>
      </c>
      <c r="AD6" s="68">
        <f t="shared" si="2"/>
        <v>1700</v>
      </c>
      <c r="AE6" s="17"/>
      <c r="AF6" s="97"/>
      <c r="AG6" s="98" t="s">
        <v>20</v>
      </c>
    </row>
    <row r="7">
      <c r="A7" s="33" t="s">
        <v>19</v>
      </c>
      <c r="B7" s="90">
        <v>23.0</v>
      </c>
      <c r="C7" s="36">
        <v>25.0</v>
      </c>
      <c r="D7" s="36">
        <v>17.0</v>
      </c>
      <c r="E7" s="56"/>
      <c r="F7" s="55"/>
      <c r="G7" s="41"/>
      <c r="H7" s="41"/>
      <c r="I7" s="39">
        <v>8.0</v>
      </c>
      <c r="J7" s="39">
        <v>17.0</v>
      </c>
      <c r="K7" s="39">
        <v>18.0</v>
      </c>
      <c r="L7" s="56"/>
      <c r="M7" s="33">
        <v>2.0</v>
      </c>
      <c r="N7" s="40"/>
      <c r="O7" s="40"/>
      <c r="P7" s="33">
        <v>21.0</v>
      </c>
      <c r="Q7" s="33">
        <v>16.0</v>
      </c>
      <c r="R7" s="39">
        <v>17.0</v>
      </c>
      <c r="S7" s="39">
        <v>16.0</v>
      </c>
      <c r="T7" s="55"/>
      <c r="U7" s="39">
        <v>15.0</v>
      </c>
      <c r="V7" s="39">
        <v>14.0</v>
      </c>
      <c r="W7" s="36">
        <v>16.0</v>
      </c>
      <c r="X7" s="36">
        <v>19.0</v>
      </c>
      <c r="Y7" s="39">
        <v>17.0</v>
      </c>
      <c r="Z7" s="70"/>
      <c r="AA7" s="90">
        <v>19.0</v>
      </c>
      <c r="AB7" s="62">
        <f t="shared" si="1"/>
        <v>280</v>
      </c>
      <c r="AC7" s="80">
        <v>180.0</v>
      </c>
      <c r="AD7" s="68">
        <f t="shared" si="2"/>
        <v>50400</v>
      </c>
      <c r="AE7" s="17"/>
      <c r="AF7" s="100"/>
      <c r="AG7" s="101" t="s">
        <v>24</v>
      </c>
    </row>
    <row r="8">
      <c r="A8" s="33" t="s">
        <v>23</v>
      </c>
      <c r="B8" s="90">
        <v>1.0</v>
      </c>
      <c r="C8" s="38"/>
      <c r="D8" s="36">
        <v>1.0</v>
      </c>
      <c r="E8" s="56"/>
      <c r="F8" s="55"/>
      <c r="G8" s="41"/>
      <c r="H8" s="41"/>
      <c r="I8" s="50"/>
      <c r="J8" s="50"/>
      <c r="K8" s="39">
        <v>3.0</v>
      </c>
      <c r="L8" s="56"/>
      <c r="M8" s="58"/>
      <c r="N8" s="40"/>
      <c r="O8" s="40"/>
      <c r="P8" s="58"/>
      <c r="Q8" s="58"/>
      <c r="R8" s="50"/>
      <c r="S8" s="50"/>
      <c r="T8" s="55"/>
      <c r="U8" s="39">
        <v>1.0</v>
      </c>
      <c r="V8" s="50"/>
      <c r="W8" s="38"/>
      <c r="X8" s="38"/>
      <c r="Y8" s="50"/>
      <c r="Z8" s="70"/>
      <c r="AA8" s="53"/>
      <c r="AB8" s="62">
        <f t="shared" si="1"/>
        <v>6</v>
      </c>
      <c r="AC8" s="80">
        <v>120.0</v>
      </c>
      <c r="AD8" s="68">
        <f t="shared" si="2"/>
        <v>720</v>
      </c>
      <c r="AE8" s="17"/>
      <c r="AF8" s="106"/>
      <c r="AG8" s="104" t="s">
        <v>28</v>
      </c>
    </row>
    <row r="9">
      <c r="A9" s="33" t="s">
        <v>27</v>
      </c>
      <c r="B9" s="90">
        <v>1.0</v>
      </c>
      <c r="C9" s="36">
        <v>5.0</v>
      </c>
      <c r="D9" s="36">
        <v>2.0</v>
      </c>
      <c r="E9" s="56"/>
      <c r="F9" s="55"/>
      <c r="G9" s="41"/>
      <c r="H9" s="41"/>
      <c r="I9" s="50"/>
      <c r="J9" s="50"/>
      <c r="K9" s="50"/>
      <c r="L9" s="56"/>
      <c r="M9" s="58"/>
      <c r="N9" s="40"/>
      <c r="O9" s="40"/>
      <c r="P9" s="33">
        <v>6.0</v>
      </c>
      <c r="Q9" s="58"/>
      <c r="R9" s="39">
        <v>3.0</v>
      </c>
      <c r="S9" s="39">
        <v>2.0</v>
      </c>
      <c r="T9" s="55"/>
      <c r="U9" s="50"/>
      <c r="V9" s="39">
        <v>2.0</v>
      </c>
      <c r="W9" s="38"/>
      <c r="X9" s="38"/>
      <c r="Y9" s="50"/>
      <c r="Z9" s="70"/>
      <c r="AA9" s="53"/>
      <c r="AB9" s="62">
        <f t="shared" si="1"/>
        <v>21</v>
      </c>
      <c r="AC9" s="80">
        <v>160.0</v>
      </c>
      <c r="AD9" s="68">
        <f t="shared" si="2"/>
        <v>3360</v>
      </c>
      <c r="AE9" s="17"/>
      <c r="AF9" s="113"/>
    </row>
    <row r="10">
      <c r="A10" s="33" t="s">
        <v>32</v>
      </c>
      <c r="B10" s="90">
        <v>3.0</v>
      </c>
      <c r="C10" s="36">
        <v>1.0</v>
      </c>
      <c r="D10" s="36">
        <v>1.0</v>
      </c>
      <c r="E10" s="56"/>
      <c r="F10" s="55"/>
      <c r="G10" s="41"/>
      <c r="H10" s="41"/>
      <c r="I10" s="39">
        <v>5.0</v>
      </c>
      <c r="J10" s="39">
        <v>1.0</v>
      </c>
      <c r="K10" s="39">
        <v>2.0</v>
      </c>
      <c r="L10" s="56"/>
      <c r="M10" s="58"/>
      <c r="N10" s="40"/>
      <c r="O10" s="40"/>
      <c r="P10" s="33">
        <v>3.0</v>
      </c>
      <c r="Q10" s="33">
        <v>11.0</v>
      </c>
      <c r="R10" s="39">
        <v>2.0</v>
      </c>
      <c r="S10" s="39">
        <v>6.0</v>
      </c>
      <c r="T10" s="55"/>
      <c r="U10" s="50"/>
      <c r="V10" s="50"/>
      <c r="W10" s="38"/>
      <c r="X10" s="36">
        <v>3.0</v>
      </c>
      <c r="Y10" s="39">
        <v>2.0</v>
      </c>
      <c r="Z10" s="70"/>
      <c r="AA10" s="53"/>
      <c r="AB10" s="62">
        <f t="shared" si="1"/>
        <v>40</v>
      </c>
      <c r="AC10" s="80">
        <v>350.0</v>
      </c>
      <c r="AD10" s="68">
        <f t="shared" si="2"/>
        <v>14000</v>
      </c>
      <c r="AE10" s="17"/>
      <c r="AF10" s="117" t="s">
        <v>35</v>
      </c>
      <c r="AG10" s="22"/>
    </row>
    <row r="11">
      <c r="A11" s="33" t="s">
        <v>34</v>
      </c>
      <c r="B11" s="53"/>
      <c r="C11" s="38"/>
      <c r="D11" s="38"/>
      <c r="E11" s="56"/>
      <c r="F11" s="55"/>
      <c r="G11" s="41"/>
      <c r="H11" s="41"/>
      <c r="I11" s="50"/>
      <c r="J11" s="50"/>
      <c r="K11" s="50"/>
      <c r="L11" s="56"/>
      <c r="M11" s="58"/>
      <c r="N11" s="40"/>
      <c r="O11" s="40"/>
      <c r="P11" s="58"/>
      <c r="Q11" s="58"/>
      <c r="R11" s="50"/>
      <c r="S11" s="50"/>
      <c r="T11" s="55"/>
      <c r="U11" s="50"/>
      <c r="V11" s="50"/>
      <c r="W11" s="38"/>
      <c r="X11" s="38"/>
      <c r="Y11" s="50"/>
      <c r="Z11" s="70"/>
      <c r="AA11" s="53"/>
      <c r="AB11" s="62">
        <f t="shared" si="1"/>
        <v>0</v>
      </c>
      <c r="AC11" s="80">
        <v>350.0</v>
      </c>
      <c r="AD11" s="68">
        <f t="shared" si="2"/>
        <v>0</v>
      </c>
      <c r="AE11" s="17"/>
      <c r="AF11" s="120" t="s">
        <v>38</v>
      </c>
      <c r="AG11" s="22"/>
    </row>
    <row r="12">
      <c r="A12" s="33" t="s">
        <v>36</v>
      </c>
      <c r="B12" s="53"/>
      <c r="C12" s="38"/>
      <c r="D12" s="36">
        <v>3.0</v>
      </c>
      <c r="E12" s="56"/>
      <c r="F12" s="55"/>
      <c r="G12" s="41"/>
      <c r="H12" s="41"/>
      <c r="I12" s="50"/>
      <c r="J12" s="39">
        <v>2.0</v>
      </c>
      <c r="K12" s="39">
        <v>2.0</v>
      </c>
      <c r="L12" s="56"/>
      <c r="M12" s="58"/>
      <c r="N12" s="40"/>
      <c r="O12" s="40"/>
      <c r="P12" s="58"/>
      <c r="Q12" s="58"/>
      <c r="R12" s="39">
        <v>10.0</v>
      </c>
      <c r="S12" s="50"/>
      <c r="T12" s="55"/>
      <c r="U12" s="39">
        <v>2.0</v>
      </c>
      <c r="V12" s="39">
        <v>3.0</v>
      </c>
      <c r="W12" s="38"/>
      <c r="X12" s="38"/>
      <c r="Y12" s="50"/>
      <c r="Z12" s="70"/>
      <c r="AA12" s="53"/>
      <c r="AB12" s="62">
        <f t="shared" si="1"/>
        <v>22</v>
      </c>
      <c r="AC12" s="80">
        <v>1200.0</v>
      </c>
      <c r="AD12" s="68">
        <f t="shared" si="2"/>
        <v>26400</v>
      </c>
      <c r="AE12" s="17"/>
      <c r="AF12" s="124"/>
      <c r="AG12" s="124"/>
    </row>
    <row r="13">
      <c r="A13" s="33" t="s">
        <v>39</v>
      </c>
      <c r="B13" s="53"/>
      <c r="C13" s="38"/>
      <c r="D13" s="38"/>
      <c r="E13" s="56"/>
      <c r="F13" s="55"/>
      <c r="G13" s="41"/>
      <c r="H13" s="41"/>
      <c r="I13" s="50"/>
      <c r="J13" s="50"/>
      <c r="K13" s="50"/>
      <c r="L13" s="56"/>
      <c r="M13" s="58"/>
      <c r="N13" s="40"/>
      <c r="O13" s="40"/>
      <c r="P13" s="58"/>
      <c r="Q13" s="33">
        <v>1.0</v>
      </c>
      <c r="R13" s="50"/>
      <c r="S13" s="50"/>
      <c r="T13" s="55"/>
      <c r="U13" s="50"/>
      <c r="V13" s="50"/>
      <c r="W13" s="36">
        <v>1.0</v>
      </c>
      <c r="X13" s="38"/>
      <c r="Y13" s="39">
        <v>1.0</v>
      </c>
      <c r="Z13" s="70"/>
      <c r="AA13" s="53"/>
      <c r="AB13" s="62">
        <f t="shared" si="1"/>
        <v>3</v>
      </c>
      <c r="AC13" s="80">
        <v>490.0</v>
      </c>
      <c r="AD13" s="68">
        <f t="shared" si="2"/>
        <v>1470</v>
      </c>
      <c r="AE13" s="17"/>
      <c r="AF13" s="124"/>
      <c r="AG13" s="124"/>
    </row>
    <row r="14">
      <c r="A14" s="33" t="s">
        <v>44</v>
      </c>
      <c r="B14" s="90">
        <v>1.0</v>
      </c>
      <c r="C14" s="38"/>
      <c r="D14" s="38"/>
      <c r="E14" s="56"/>
      <c r="F14" s="55"/>
      <c r="G14" s="41"/>
      <c r="H14" s="41"/>
      <c r="I14" s="50"/>
      <c r="J14" s="39">
        <v>2.0</v>
      </c>
      <c r="K14" s="39">
        <v>3.0</v>
      </c>
      <c r="L14" s="56"/>
      <c r="M14" s="58"/>
      <c r="N14" s="40"/>
      <c r="O14" s="40"/>
      <c r="P14" s="58"/>
      <c r="Q14" s="58"/>
      <c r="R14" s="50"/>
      <c r="S14" s="39">
        <v>1.0</v>
      </c>
      <c r="T14" s="55"/>
      <c r="U14" s="39">
        <v>2.0</v>
      </c>
      <c r="V14" s="39">
        <v>2.0</v>
      </c>
      <c r="W14" s="36">
        <v>2.0</v>
      </c>
      <c r="X14" s="36">
        <v>3.0</v>
      </c>
      <c r="Y14" s="50"/>
      <c r="Z14" s="70"/>
      <c r="AA14" s="53"/>
      <c r="AB14" s="62">
        <f t="shared" si="1"/>
        <v>16</v>
      </c>
      <c r="AC14" s="80">
        <v>130.0</v>
      </c>
      <c r="AD14" s="68">
        <f t="shared" si="2"/>
        <v>2080</v>
      </c>
      <c r="AE14" s="17"/>
      <c r="AF14" s="132"/>
      <c r="AG14" s="132"/>
    </row>
    <row r="15">
      <c r="A15" s="33" t="s">
        <v>47</v>
      </c>
      <c r="B15" s="53"/>
      <c r="C15" s="36">
        <v>1.0</v>
      </c>
      <c r="D15" s="38"/>
      <c r="E15" s="56"/>
      <c r="F15" s="55"/>
      <c r="G15" s="41"/>
      <c r="H15" s="41"/>
      <c r="I15" s="50"/>
      <c r="J15" s="50"/>
      <c r="K15" s="50"/>
      <c r="L15" s="56"/>
      <c r="M15" s="58"/>
      <c r="N15" s="40"/>
      <c r="O15" s="40"/>
      <c r="P15" s="58"/>
      <c r="Q15" s="58"/>
      <c r="R15" s="50"/>
      <c r="S15" s="50"/>
      <c r="T15" s="55"/>
      <c r="U15" s="50"/>
      <c r="V15" s="50"/>
      <c r="W15" s="38"/>
      <c r="X15" s="38"/>
      <c r="Y15" s="39">
        <v>3.0</v>
      </c>
      <c r="Z15" s="70"/>
      <c r="AA15" s="53"/>
      <c r="AB15" s="62">
        <f t="shared" si="1"/>
        <v>4</v>
      </c>
      <c r="AC15" s="80">
        <v>60.0</v>
      </c>
      <c r="AD15" s="68">
        <f t="shared" si="2"/>
        <v>240</v>
      </c>
      <c r="AE15" s="17"/>
      <c r="AF15" s="132"/>
      <c r="AG15" s="132"/>
    </row>
    <row r="16">
      <c r="A16" s="33" t="s">
        <v>50</v>
      </c>
      <c r="B16" s="53"/>
      <c r="C16" s="38"/>
      <c r="D16" s="38"/>
      <c r="E16" s="56"/>
      <c r="F16" s="55"/>
      <c r="G16" s="41"/>
      <c r="H16" s="41"/>
      <c r="I16" s="50"/>
      <c r="J16" s="50"/>
      <c r="K16" s="50"/>
      <c r="L16" s="56"/>
      <c r="M16" s="58"/>
      <c r="N16" s="40"/>
      <c r="O16" s="40"/>
      <c r="P16" s="58"/>
      <c r="Q16" s="58"/>
      <c r="R16" s="39">
        <v>7.0</v>
      </c>
      <c r="S16" s="50"/>
      <c r="T16" s="55"/>
      <c r="U16" s="50"/>
      <c r="V16" s="50"/>
      <c r="W16" s="38"/>
      <c r="X16" s="36">
        <v>2.0</v>
      </c>
      <c r="Y16" s="50"/>
      <c r="Z16" s="70"/>
      <c r="AA16" s="53"/>
      <c r="AB16" s="62">
        <f t="shared" si="1"/>
        <v>9</v>
      </c>
      <c r="AC16" s="80">
        <v>75.0</v>
      </c>
      <c r="AD16" s="68">
        <f t="shared" si="2"/>
        <v>675</v>
      </c>
      <c r="AE16" s="17"/>
      <c r="AF16" s="132"/>
      <c r="AG16" s="132"/>
    </row>
    <row r="17">
      <c r="A17" s="33" t="s">
        <v>53</v>
      </c>
      <c r="B17" s="90">
        <v>1.0</v>
      </c>
      <c r="C17" s="36">
        <v>7.0</v>
      </c>
      <c r="D17" s="36">
        <v>3.0</v>
      </c>
      <c r="E17" s="56"/>
      <c r="F17" s="55"/>
      <c r="G17" s="41"/>
      <c r="H17" s="41"/>
      <c r="I17" s="39">
        <v>2.0</v>
      </c>
      <c r="J17" s="39">
        <v>5.0</v>
      </c>
      <c r="K17" s="39">
        <v>4.0</v>
      </c>
      <c r="L17" s="56"/>
      <c r="M17" s="58"/>
      <c r="N17" s="40"/>
      <c r="O17" s="40"/>
      <c r="P17" s="33">
        <v>11.0</v>
      </c>
      <c r="Q17" s="33">
        <v>7.0</v>
      </c>
      <c r="R17" s="39">
        <v>2.0</v>
      </c>
      <c r="S17" s="39">
        <v>6.0</v>
      </c>
      <c r="T17" s="55"/>
      <c r="U17" s="39">
        <v>2.0</v>
      </c>
      <c r="V17" s="39">
        <v>10.0</v>
      </c>
      <c r="W17" s="36">
        <v>3.0</v>
      </c>
      <c r="X17" s="36">
        <v>4.0</v>
      </c>
      <c r="Y17" s="39">
        <v>1.0</v>
      </c>
      <c r="Z17" s="70"/>
      <c r="AA17" s="90">
        <v>6.0</v>
      </c>
      <c r="AB17" s="62">
        <f t="shared" si="1"/>
        <v>74</v>
      </c>
      <c r="AC17" s="80">
        <v>350.0</v>
      </c>
      <c r="AD17" s="68">
        <f t="shared" si="2"/>
        <v>25900</v>
      </c>
      <c r="AE17" s="17"/>
      <c r="AF17" s="132"/>
      <c r="AG17" s="132"/>
    </row>
    <row r="18">
      <c r="A18" s="33" t="s">
        <v>55</v>
      </c>
      <c r="B18" s="53"/>
      <c r="C18" s="38"/>
      <c r="D18" s="38"/>
      <c r="E18" s="56"/>
      <c r="F18" s="55"/>
      <c r="G18" s="41"/>
      <c r="H18" s="41"/>
      <c r="I18" s="50"/>
      <c r="J18" s="50"/>
      <c r="K18" s="50"/>
      <c r="L18" s="56"/>
      <c r="M18" s="58"/>
      <c r="N18" s="40"/>
      <c r="O18" s="40"/>
      <c r="P18" s="58"/>
      <c r="Q18" s="58"/>
      <c r="R18" s="50"/>
      <c r="S18" s="50"/>
      <c r="T18" s="55"/>
      <c r="U18" s="50"/>
      <c r="V18" s="50"/>
      <c r="W18" s="36">
        <v>1.0</v>
      </c>
      <c r="X18" s="36">
        <v>1.0</v>
      </c>
      <c r="Y18" s="50"/>
      <c r="Z18" s="70"/>
      <c r="AA18" s="53"/>
      <c r="AB18" s="62">
        <f t="shared" si="1"/>
        <v>2</v>
      </c>
      <c r="AC18" s="80">
        <v>250.0</v>
      </c>
      <c r="AD18" s="68">
        <f t="shared" si="2"/>
        <v>500</v>
      </c>
      <c r="AE18" s="17"/>
      <c r="AF18" s="132"/>
      <c r="AG18" s="132"/>
    </row>
    <row r="19">
      <c r="A19" s="33" t="s">
        <v>57</v>
      </c>
      <c r="B19" s="53"/>
      <c r="C19" s="38"/>
      <c r="D19" s="38"/>
      <c r="E19" s="56"/>
      <c r="F19" s="55"/>
      <c r="G19" s="41"/>
      <c r="H19" s="41"/>
      <c r="I19" s="39"/>
      <c r="J19" s="39">
        <v>2.0</v>
      </c>
      <c r="K19" s="39">
        <v>18.0</v>
      </c>
      <c r="L19" s="56"/>
      <c r="M19" s="58"/>
      <c r="N19" s="40"/>
      <c r="O19" s="40"/>
      <c r="P19" s="58"/>
      <c r="Q19" s="58"/>
      <c r="R19" s="39">
        <v>1.0</v>
      </c>
      <c r="S19" s="50"/>
      <c r="T19" s="55"/>
      <c r="U19" s="39">
        <v>5.0</v>
      </c>
      <c r="V19" s="39">
        <v>1.0</v>
      </c>
      <c r="W19" s="38"/>
      <c r="X19" s="36">
        <v>4.0</v>
      </c>
      <c r="Y19" s="39">
        <v>1.0</v>
      </c>
      <c r="Z19" s="70"/>
      <c r="AA19" s="53"/>
      <c r="AB19" s="62">
        <f t="shared" si="1"/>
        <v>32</v>
      </c>
      <c r="AC19" s="80">
        <v>750.0</v>
      </c>
      <c r="AD19" s="68">
        <f t="shared" si="2"/>
        <v>24000</v>
      </c>
      <c r="AE19" s="17"/>
      <c r="AF19" s="132"/>
      <c r="AG19" s="132"/>
    </row>
    <row r="20">
      <c r="A20" s="33" t="s">
        <v>60</v>
      </c>
      <c r="B20" s="90">
        <v>1.0</v>
      </c>
      <c r="C20" s="36">
        <v>1.0</v>
      </c>
      <c r="D20" s="38"/>
      <c r="E20" s="56"/>
      <c r="F20" s="55"/>
      <c r="G20" s="41"/>
      <c r="H20" s="41"/>
      <c r="I20" s="39">
        <v>3.0</v>
      </c>
      <c r="J20" s="50"/>
      <c r="K20" s="50"/>
      <c r="L20" s="56"/>
      <c r="M20" s="58"/>
      <c r="N20" s="40"/>
      <c r="O20" s="40"/>
      <c r="P20" s="33">
        <v>3.0</v>
      </c>
      <c r="Q20" s="58"/>
      <c r="R20" s="39">
        <v>3.0</v>
      </c>
      <c r="S20" s="50"/>
      <c r="T20" s="55"/>
      <c r="U20" s="39">
        <v>2.0</v>
      </c>
      <c r="V20" s="50"/>
      <c r="W20" s="36">
        <v>1.0</v>
      </c>
      <c r="X20" s="38"/>
      <c r="Y20" s="50"/>
      <c r="Z20" s="70"/>
      <c r="AA20" s="53"/>
      <c r="AB20" s="62">
        <f t="shared" si="1"/>
        <v>14</v>
      </c>
      <c r="AC20" s="80">
        <v>850.0</v>
      </c>
      <c r="AD20" s="68">
        <f t="shared" si="2"/>
        <v>11900</v>
      </c>
      <c r="AE20" s="17"/>
      <c r="AF20" s="132"/>
      <c r="AG20" s="132"/>
    </row>
    <row r="21">
      <c r="A21" s="142" t="s">
        <v>63</v>
      </c>
      <c r="B21" s="90">
        <v>5.0</v>
      </c>
      <c r="C21" s="36">
        <v>4.0</v>
      </c>
      <c r="D21" s="36">
        <v>2.0</v>
      </c>
      <c r="E21" s="56"/>
      <c r="F21" s="55"/>
      <c r="G21" s="41"/>
      <c r="H21" s="41"/>
      <c r="I21" s="39">
        <v>2.0</v>
      </c>
      <c r="J21" s="39">
        <v>4.0</v>
      </c>
      <c r="K21" s="39">
        <v>7.0</v>
      </c>
      <c r="L21" s="56"/>
      <c r="M21" s="58"/>
      <c r="N21" s="40"/>
      <c r="O21" s="40"/>
      <c r="P21" s="33">
        <v>2.0</v>
      </c>
      <c r="Q21" s="58"/>
      <c r="R21" s="39">
        <v>5.0</v>
      </c>
      <c r="S21" s="39">
        <v>19.0</v>
      </c>
      <c r="T21" s="55"/>
      <c r="U21" s="39">
        <v>6.0</v>
      </c>
      <c r="V21" s="39">
        <v>3.0</v>
      </c>
      <c r="W21" s="36">
        <v>15.0</v>
      </c>
      <c r="X21" s="36">
        <v>3.0</v>
      </c>
      <c r="Y21" s="39">
        <v>4.0</v>
      </c>
      <c r="Z21" s="70"/>
      <c r="AA21" s="53"/>
      <c r="AB21" s="62">
        <f t="shared" si="1"/>
        <v>81</v>
      </c>
      <c r="AC21" s="80">
        <v>25.0</v>
      </c>
      <c r="AD21" s="68">
        <f t="shared" si="2"/>
        <v>2025</v>
      </c>
      <c r="AE21" s="17"/>
      <c r="AF21" s="132"/>
      <c r="AG21" s="132"/>
    </row>
    <row r="22">
      <c r="A22" s="142" t="s">
        <v>66</v>
      </c>
      <c r="B22" s="90">
        <v>4.0</v>
      </c>
      <c r="C22" s="36">
        <v>1.0</v>
      </c>
      <c r="D22" s="36">
        <v>4.0</v>
      </c>
      <c r="E22" s="56"/>
      <c r="F22" s="55"/>
      <c r="G22" s="41"/>
      <c r="H22" s="41"/>
      <c r="I22" s="50"/>
      <c r="J22" s="39">
        <v>8.0</v>
      </c>
      <c r="K22" s="39">
        <v>2.0</v>
      </c>
      <c r="L22" s="56"/>
      <c r="M22" s="33">
        <v>4.0</v>
      </c>
      <c r="N22" s="40"/>
      <c r="O22" s="40"/>
      <c r="P22" s="58"/>
      <c r="Q22" s="58"/>
      <c r="R22" s="39">
        <v>5.0</v>
      </c>
      <c r="S22" s="39">
        <v>12.0</v>
      </c>
      <c r="T22" s="55"/>
      <c r="U22" s="39">
        <v>7.0</v>
      </c>
      <c r="V22" s="39">
        <v>2.0</v>
      </c>
      <c r="W22" s="36">
        <v>11.0</v>
      </c>
      <c r="X22" s="36">
        <v>3.0</v>
      </c>
      <c r="Y22" s="39">
        <v>3.0</v>
      </c>
      <c r="Z22" s="70"/>
      <c r="AA22" s="53"/>
      <c r="AB22" s="62">
        <f t="shared" si="1"/>
        <v>66</v>
      </c>
      <c r="AC22" s="80">
        <v>30.0</v>
      </c>
      <c r="AD22" s="68">
        <f t="shared" si="2"/>
        <v>1980</v>
      </c>
      <c r="AE22" s="17"/>
      <c r="AF22" s="132"/>
      <c r="AG22" s="132"/>
    </row>
    <row r="23">
      <c r="A23" s="142" t="s">
        <v>68</v>
      </c>
      <c r="B23" s="90">
        <v>4.0</v>
      </c>
      <c r="C23" s="36">
        <v>1.0</v>
      </c>
      <c r="D23" s="36">
        <v>1.0</v>
      </c>
      <c r="E23" s="56"/>
      <c r="F23" s="55"/>
      <c r="G23" s="41"/>
      <c r="H23" s="41"/>
      <c r="I23" s="39">
        <v>2.0</v>
      </c>
      <c r="J23" s="39">
        <v>5.0</v>
      </c>
      <c r="K23" s="39">
        <v>2.0</v>
      </c>
      <c r="L23" s="56"/>
      <c r="M23" s="58"/>
      <c r="N23" s="40"/>
      <c r="O23" s="40"/>
      <c r="P23" s="58"/>
      <c r="Q23" s="58"/>
      <c r="R23" s="39">
        <v>1.0</v>
      </c>
      <c r="S23" s="39">
        <v>7.0</v>
      </c>
      <c r="T23" s="55"/>
      <c r="U23" s="39">
        <v>3.0</v>
      </c>
      <c r="V23" s="39">
        <v>3.0</v>
      </c>
      <c r="W23" s="36">
        <v>3.0</v>
      </c>
      <c r="X23" s="36">
        <v>1.0</v>
      </c>
      <c r="Y23" s="39">
        <v>1.0</v>
      </c>
      <c r="Z23" s="70"/>
      <c r="AA23" s="53"/>
      <c r="AB23" s="62">
        <f t="shared" si="1"/>
        <v>34</v>
      </c>
      <c r="AC23" s="80">
        <v>35.0</v>
      </c>
      <c r="AD23" s="68">
        <f t="shared" si="2"/>
        <v>1190</v>
      </c>
      <c r="AE23" s="17"/>
      <c r="AF23" s="132"/>
      <c r="AG23" s="132"/>
    </row>
    <row r="24">
      <c r="A24" s="142" t="s">
        <v>70</v>
      </c>
      <c r="B24" s="53"/>
      <c r="C24" s="38"/>
      <c r="D24" s="38"/>
      <c r="E24" s="56"/>
      <c r="F24" s="55"/>
      <c r="G24" s="41"/>
      <c r="H24" s="41"/>
      <c r="I24" s="50"/>
      <c r="J24" s="50"/>
      <c r="K24" s="50"/>
      <c r="L24" s="56"/>
      <c r="M24" s="58"/>
      <c r="N24" s="40"/>
      <c r="O24" s="40"/>
      <c r="P24" s="58"/>
      <c r="Q24" s="58"/>
      <c r="R24" s="50"/>
      <c r="S24" s="50"/>
      <c r="T24" s="55"/>
      <c r="U24" s="50"/>
      <c r="V24" s="50"/>
      <c r="W24" s="36"/>
      <c r="X24" s="38"/>
      <c r="Y24" s="50"/>
      <c r="Z24" s="70"/>
      <c r="AA24" s="53"/>
      <c r="AB24" s="62">
        <f t="shared" si="1"/>
        <v>0</v>
      </c>
      <c r="AC24" s="80">
        <v>130.0</v>
      </c>
      <c r="AD24" s="68">
        <f t="shared" si="2"/>
        <v>0</v>
      </c>
      <c r="AE24" s="17"/>
      <c r="AF24" s="132"/>
      <c r="AG24" s="132"/>
    </row>
    <row r="25">
      <c r="A25" s="142" t="s">
        <v>72</v>
      </c>
      <c r="B25" s="90">
        <v>2.0</v>
      </c>
      <c r="C25" s="38"/>
      <c r="D25" s="38"/>
      <c r="E25" s="56"/>
      <c r="F25" s="55"/>
      <c r="G25" s="41"/>
      <c r="H25" s="41"/>
      <c r="I25" s="50"/>
      <c r="J25" s="50"/>
      <c r="K25" s="39">
        <v>1.0</v>
      </c>
      <c r="L25" s="56"/>
      <c r="M25" s="58"/>
      <c r="N25" s="40"/>
      <c r="O25" s="40"/>
      <c r="P25" s="33">
        <v>7.0</v>
      </c>
      <c r="Q25" s="33">
        <v>52.0</v>
      </c>
      <c r="R25" s="39">
        <v>8.0</v>
      </c>
      <c r="S25" s="50"/>
      <c r="T25" s="55"/>
      <c r="U25" s="39">
        <v>50.0</v>
      </c>
      <c r="V25" s="39">
        <v>51.0</v>
      </c>
      <c r="W25" s="36">
        <v>1.0</v>
      </c>
      <c r="X25" s="38"/>
      <c r="Y25" s="50"/>
      <c r="Z25" s="70"/>
      <c r="AA25" s="53"/>
      <c r="AB25" s="62">
        <f t="shared" si="1"/>
        <v>172</v>
      </c>
      <c r="AC25" s="80">
        <v>50.0</v>
      </c>
      <c r="AD25" s="68">
        <f t="shared" si="2"/>
        <v>8600</v>
      </c>
      <c r="AE25" s="17"/>
      <c r="AF25" s="132"/>
      <c r="AG25" s="132"/>
    </row>
    <row r="26">
      <c r="A26" s="142" t="s">
        <v>74</v>
      </c>
      <c r="B26" s="53"/>
      <c r="C26" s="38"/>
      <c r="D26" s="38"/>
      <c r="E26" s="56"/>
      <c r="F26" s="55"/>
      <c r="G26" s="41"/>
      <c r="H26" s="41"/>
      <c r="I26" s="50"/>
      <c r="J26" s="50"/>
      <c r="K26" s="50"/>
      <c r="L26" s="56"/>
      <c r="M26" s="58"/>
      <c r="N26" s="40"/>
      <c r="O26" s="40"/>
      <c r="P26" s="58"/>
      <c r="Q26" s="58"/>
      <c r="R26" s="50"/>
      <c r="S26" s="50"/>
      <c r="T26" s="55"/>
      <c r="U26" s="50"/>
      <c r="V26" s="50"/>
      <c r="W26" s="38"/>
      <c r="X26" s="38"/>
      <c r="Y26" s="50"/>
      <c r="Z26" s="70"/>
      <c r="AA26" s="53"/>
      <c r="AB26" s="62">
        <f t="shared" si="1"/>
        <v>0</v>
      </c>
      <c r="AC26" s="80">
        <v>50.0</v>
      </c>
      <c r="AD26" s="68">
        <f t="shared" si="2"/>
        <v>0</v>
      </c>
      <c r="AE26" s="17"/>
      <c r="AF26" s="132"/>
      <c r="AG26" s="132"/>
    </row>
    <row r="27">
      <c r="A27" s="142" t="s">
        <v>75</v>
      </c>
      <c r="B27" s="53"/>
      <c r="C27" s="36">
        <v>2.0</v>
      </c>
      <c r="D27" s="38"/>
      <c r="E27" s="56"/>
      <c r="F27" s="55"/>
      <c r="G27" s="41"/>
      <c r="H27" s="41"/>
      <c r="I27" s="39">
        <v>5.0</v>
      </c>
      <c r="J27" s="50"/>
      <c r="K27" s="50"/>
      <c r="L27" s="56"/>
      <c r="M27" s="58"/>
      <c r="N27" s="40"/>
      <c r="O27" s="40"/>
      <c r="P27" s="58"/>
      <c r="Q27" s="33">
        <v>1.0</v>
      </c>
      <c r="R27" s="50"/>
      <c r="S27" s="50"/>
      <c r="T27" s="55"/>
      <c r="U27" s="39">
        <v>20.0</v>
      </c>
      <c r="V27" s="39">
        <v>8.0</v>
      </c>
      <c r="W27" s="38"/>
      <c r="X27" s="38"/>
      <c r="Y27" s="50"/>
      <c r="Z27" s="70"/>
      <c r="AA27" s="53"/>
      <c r="AB27" s="62">
        <f t="shared" si="1"/>
        <v>36</v>
      </c>
      <c r="AC27" s="80">
        <v>35.0</v>
      </c>
      <c r="AD27" s="68">
        <f t="shared" si="2"/>
        <v>1260</v>
      </c>
      <c r="AE27" s="17"/>
      <c r="AF27" s="132"/>
      <c r="AG27" s="132"/>
    </row>
    <row r="28">
      <c r="A28" s="142" t="s">
        <v>77</v>
      </c>
      <c r="B28" s="53"/>
      <c r="C28" s="36">
        <v>25.0</v>
      </c>
      <c r="D28" s="36">
        <v>1.0</v>
      </c>
      <c r="E28" s="56"/>
      <c r="F28" s="55"/>
      <c r="G28" s="41"/>
      <c r="H28" s="41"/>
      <c r="I28" s="39">
        <v>1.0</v>
      </c>
      <c r="J28" s="50"/>
      <c r="K28" s="39">
        <v>3.0</v>
      </c>
      <c r="L28" s="56"/>
      <c r="M28" s="58"/>
      <c r="N28" s="40"/>
      <c r="O28" s="40"/>
      <c r="P28" s="33">
        <v>5.0</v>
      </c>
      <c r="Q28" s="33">
        <v>7.0</v>
      </c>
      <c r="R28" s="50"/>
      <c r="S28" s="39">
        <v>2.0</v>
      </c>
      <c r="T28" s="55"/>
      <c r="U28" s="50"/>
      <c r="V28" s="39">
        <v>1.0</v>
      </c>
      <c r="W28" s="36">
        <v>2.0</v>
      </c>
      <c r="X28" s="36">
        <v>4.0</v>
      </c>
      <c r="Y28" s="39">
        <v>2.0</v>
      </c>
      <c r="Z28" s="70"/>
      <c r="AA28" s="53"/>
      <c r="AB28" s="62">
        <f t="shared" si="1"/>
        <v>53</v>
      </c>
      <c r="AC28" s="80">
        <v>100.0</v>
      </c>
      <c r="AD28" s="68">
        <f t="shared" si="2"/>
        <v>5300</v>
      </c>
      <c r="AE28" s="17"/>
      <c r="AF28" s="132"/>
      <c r="AG28" s="132"/>
    </row>
    <row r="29">
      <c r="A29" s="142" t="s">
        <v>79</v>
      </c>
      <c r="B29" s="53"/>
      <c r="C29" s="38"/>
      <c r="D29" s="36">
        <v>2.0</v>
      </c>
      <c r="E29" s="56"/>
      <c r="F29" s="55"/>
      <c r="G29" s="41"/>
      <c r="H29" s="41"/>
      <c r="I29" s="50"/>
      <c r="J29" s="50"/>
      <c r="K29" s="39"/>
      <c r="L29" s="56"/>
      <c r="M29" s="58"/>
      <c r="N29" s="40"/>
      <c r="O29" s="40"/>
      <c r="P29" s="58"/>
      <c r="Q29" s="58"/>
      <c r="R29" s="50"/>
      <c r="S29" s="39">
        <v>4.0</v>
      </c>
      <c r="T29" s="55"/>
      <c r="U29" s="50"/>
      <c r="V29" s="50"/>
      <c r="W29" s="38"/>
      <c r="X29" s="36"/>
      <c r="Y29" s="39">
        <v>3.0</v>
      </c>
      <c r="Z29" s="70"/>
      <c r="AA29" s="53"/>
      <c r="AB29" s="62">
        <f t="shared" si="1"/>
        <v>9</v>
      </c>
      <c r="AC29" s="80">
        <v>20.0</v>
      </c>
      <c r="AD29" s="68">
        <f t="shared" si="2"/>
        <v>180</v>
      </c>
      <c r="AE29" s="17"/>
      <c r="AF29" s="132"/>
      <c r="AG29" s="132"/>
    </row>
    <row r="30">
      <c r="A30" s="142" t="s">
        <v>82</v>
      </c>
      <c r="B30" s="90">
        <v>2.0</v>
      </c>
      <c r="C30" s="36">
        <v>3.0</v>
      </c>
      <c r="D30" s="38"/>
      <c r="E30" s="56"/>
      <c r="F30" s="55"/>
      <c r="G30" s="41"/>
      <c r="H30" s="41"/>
      <c r="I30" s="39">
        <v>5.0</v>
      </c>
      <c r="J30" s="39">
        <v>1.0</v>
      </c>
      <c r="K30" s="39">
        <v>2.0</v>
      </c>
      <c r="L30" s="56"/>
      <c r="M30" s="33">
        <v>1.0</v>
      </c>
      <c r="N30" s="40"/>
      <c r="O30" s="40"/>
      <c r="P30" s="33">
        <v>6.0</v>
      </c>
      <c r="Q30" s="33">
        <v>2.0</v>
      </c>
      <c r="R30" s="39">
        <v>4.0</v>
      </c>
      <c r="S30" s="39">
        <v>3.0</v>
      </c>
      <c r="T30" s="55"/>
      <c r="U30" s="39">
        <v>1.0</v>
      </c>
      <c r="V30" s="39">
        <v>2.0</v>
      </c>
      <c r="W30" s="36">
        <v>2.0</v>
      </c>
      <c r="X30" s="36">
        <v>3.0</v>
      </c>
      <c r="Y30" s="39">
        <v>1.0</v>
      </c>
      <c r="Z30" s="70"/>
      <c r="AA30" s="53"/>
      <c r="AB30" s="62">
        <f t="shared" si="1"/>
        <v>38</v>
      </c>
      <c r="AC30" s="80">
        <v>40.0</v>
      </c>
      <c r="AD30" s="68">
        <f t="shared" si="2"/>
        <v>1520</v>
      </c>
      <c r="AE30" s="17"/>
      <c r="AF30" s="132"/>
      <c r="AG30" s="132"/>
    </row>
    <row r="31">
      <c r="A31" s="33" t="s">
        <v>85</v>
      </c>
      <c r="B31" s="90">
        <v>4.0</v>
      </c>
      <c r="C31" s="36">
        <v>1.0</v>
      </c>
      <c r="D31" s="36">
        <v>2.0</v>
      </c>
      <c r="E31" s="56"/>
      <c r="F31" s="55"/>
      <c r="G31" s="41"/>
      <c r="H31" s="41"/>
      <c r="I31" s="39">
        <v>3.0</v>
      </c>
      <c r="J31" s="39">
        <v>2.0</v>
      </c>
      <c r="K31" s="39">
        <v>43.0</v>
      </c>
      <c r="L31" s="56"/>
      <c r="M31" s="58"/>
      <c r="N31" s="40"/>
      <c r="O31" s="40"/>
      <c r="P31" s="58"/>
      <c r="Q31" s="33">
        <v>2.0</v>
      </c>
      <c r="R31" s="50"/>
      <c r="S31" s="39">
        <v>2.0</v>
      </c>
      <c r="T31" s="55"/>
      <c r="U31" s="39">
        <v>3.0</v>
      </c>
      <c r="V31" s="50"/>
      <c r="W31" s="36">
        <v>8.0</v>
      </c>
      <c r="X31" s="36">
        <v>5.0</v>
      </c>
      <c r="Y31" s="50"/>
      <c r="Z31" s="70"/>
      <c r="AA31" s="53"/>
      <c r="AB31" s="62">
        <f t="shared" si="1"/>
        <v>75</v>
      </c>
      <c r="AC31" s="80">
        <v>80.0</v>
      </c>
      <c r="AD31" s="68">
        <f t="shared" si="2"/>
        <v>6000</v>
      </c>
      <c r="AE31" s="17"/>
      <c r="AF31" s="132"/>
      <c r="AG31" s="132"/>
    </row>
    <row r="32">
      <c r="A32" s="147" t="s">
        <v>87</v>
      </c>
      <c r="B32" s="90">
        <v>2.0</v>
      </c>
      <c r="C32" s="36">
        <v>6.0</v>
      </c>
      <c r="D32" s="36">
        <v>8.0</v>
      </c>
      <c r="E32" s="56"/>
      <c r="F32" s="55"/>
      <c r="G32" s="41"/>
      <c r="H32" s="41"/>
      <c r="I32" s="39">
        <v>2.0</v>
      </c>
      <c r="J32" s="39">
        <v>6.0</v>
      </c>
      <c r="K32" s="39">
        <v>9.0</v>
      </c>
      <c r="L32" s="56"/>
      <c r="M32" s="58"/>
      <c r="N32" s="40"/>
      <c r="O32" s="40"/>
      <c r="P32" s="33">
        <v>4.0</v>
      </c>
      <c r="Q32" s="33">
        <v>2.0</v>
      </c>
      <c r="R32" s="50"/>
      <c r="S32" s="50"/>
      <c r="T32" s="55"/>
      <c r="U32" s="39">
        <v>4.0</v>
      </c>
      <c r="V32" s="39">
        <v>2.0</v>
      </c>
      <c r="W32" s="36">
        <v>17.0</v>
      </c>
      <c r="X32" s="36">
        <v>3.0</v>
      </c>
      <c r="Y32" s="50"/>
      <c r="Z32" s="70"/>
      <c r="AA32" s="53"/>
      <c r="AB32" s="62">
        <f t="shared" si="1"/>
        <v>65</v>
      </c>
      <c r="AC32" s="80">
        <v>170.0</v>
      </c>
      <c r="AD32" s="68">
        <f t="shared" si="2"/>
        <v>11050</v>
      </c>
      <c r="AE32" s="17"/>
      <c r="AF32" s="132"/>
      <c r="AG32" s="132"/>
    </row>
    <row r="33">
      <c r="A33" s="147" t="s">
        <v>89</v>
      </c>
      <c r="B33" s="90">
        <v>3.0</v>
      </c>
      <c r="C33" s="38"/>
      <c r="D33" s="38"/>
      <c r="E33" s="56"/>
      <c r="F33" s="55"/>
      <c r="G33" s="41"/>
      <c r="H33" s="41"/>
      <c r="I33" s="39">
        <v>1.0</v>
      </c>
      <c r="J33" s="39">
        <v>1.0</v>
      </c>
      <c r="K33" s="50"/>
      <c r="L33" s="56"/>
      <c r="M33" s="58"/>
      <c r="N33" s="40"/>
      <c r="O33" s="40"/>
      <c r="P33" s="58"/>
      <c r="Q33" s="33">
        <v>7.0</v>
      </c>
      <c r="R33" s="50"/>
      <c r="S33" s="50"/>
      <c r="T33" s="55"/>
      <c r="U33" s="50"/>
      <c r="V33" s="39">
        <v>1.0</v>
      </c>
      <c r="W33" s="36">
        <v>2.0</v>
      </c>
      <c r="X33" s="36">
        <v>3.0</v>
      </c>
      <c r="Y33" s="50"/>
      <c r="Z33" s="70"/>
      <c r="AA33" s="53"/>
      <c r="AB33" s="62">
        <f t="shared" si="1"/>
        <v>18</v>
      </c>
      <c r="AC33" s="80">
        <v>130.0</v>
      </c>
      <c r="AD33" s="68">
        <f t="shared" si="2"/>
        <v>2340</v>
      </c>
      <c r="AE33" s="17"/>
      <c r="AF33" s="132"/>
      <c r="AG33" s="132"/>
    </row>
    <row r="34">
      <c r="A34" s="147" t="s">
        <v>90</v>
      </c>
      <c r="B34" s="53"/>
      <c r="C34" s="38"/>
      <c r="D34" s="38"/>
      <c r="E34" s="56"/>
      <c r="F34" s="55"/>
      <c r="G34" s="41"/>
      <c r="H34" s="41"/>
      <c r="I34" s="50"/>
      <c r="J34" s="50"/>
      <c r="K34" s="50"/>
      <c r="L34" s="56"/>
      <c r="M34" s="58"/>
      <c r="N34" s="40"/>
      <c r="O34" s="40"/>
      <c r="P34" s="33">
        <v>3.0</v>
      </c>
      <c r="Q34" s="58"/>
      <c r="R34" s="50"/>
      <c r="S34" s="50"/>
      <c r="T34" s="55"/>
      <c r="U34" s="50"/>
      <c r="V34" s="50"/>
      <c r="W34" s="38"/>
      <c r="X34" s="38"/>
      <c r="Y34" s="50"/>
      <c r="Z34" s="70"/>
      <c r="AA34" s="53"/>
      <c r="AB34" s="62">
        <f t="shared" si="1"/>
        <v>3</v>
      </c>
      <c r="AC34" s="80">
        <v>150.0</v>
      </c>
      <c r="AD34" s="68">
        <f t="shared" si="2"/>
        <v>450</v>
      </c>
      <c r="AE34" s="17"/>
      <c r="AF34" s="132"/>
      <c r="AG34" s="132"/>
    </row>
    <row r="35">
      <c r="A35" s="147" t="s">
        <v>93</v>
      </c>
      <c r="B35" s="53"/>
      <c r="C35" s="36">
        <v>25.0</v>
      </c>
      <c r="D35" s="38"/>
      <c r="E35" s="56"/>
      <c r="F35" s="55"/>
      <c r="G35" s="41"/>
      <c r="H35" s="41"/>
      <c r="I35" s="39">
        <v>5.0</v>
      </c>
      <c r="J35" s="50"/>
      <c r="K35" s="50"/>
      <c r="L35" s="56"/>
      <c r="M35" s="58"/>
      <c r="N35" s="40"/>
      <c r="O35" s="40"/>
      <c r="P35" s="58"/>
      <c r="Q35" s="58"/>
      <c r="R35" s="50"/>
      <c r="S35" s="50"/>
      <c r="T35" s="55"/>
      <c r="U35" s="50"/>
      <c r="V35" s="50"/>
      <c r="W35" s="38"/>
      <c r="X35" s="36">
        <v>1.0</v>
      </c>
      <c r="Y35" s="50"/>
      <c r="Z35" s="70"/>
      <c r="AA35" s="53"/>
      <c r="AB35" s="62">
        <f t="shared" si="1"/>
        <v>31</v>
      </c>
      <c r="AC35" s="80">
        <v>180.0</v>
      </c>
      <c r="AD35" s="68">
        <f t="shared" si="2"/>
        <v>5580</v>
      </c>
      <c r="AE35" s="17"/>
      <c r="AF35" s="132"/>
      <c r="AG35" s="132"/>
    </row>
    <row r="36">
      <c r="A36" s="147" t="s">
        <v>94</v>
      </c>
      <c r="B36" s="53"/>
      <c r="C36" s="38"/>
      <c r="D36" s="38"/>
      <c r="E36" s="56"/>
      <c r="F36" s="55"/>
      <c r="G36" s="41"/>
      <c r="H36" s="41"/>
      <c r="I36" s="50"/>
      <c r="J36" s="50"/>
      <c r="K36" s="39">
        <v>2.0</v>
      </c>
      <c r="L36" s="56"/>
      <c r="M36" s="58"/>
      <c r="N36" s="40"/>
      <c r="O36" s="40"/>
      <c r="P36" s="58"/>
      <c r="Q36" s="58"/>
      <c r="R36" s="50"/>
      <c r="S36" s="50"/>
      <c r="T36" s="55"/>
      <c r="U36" s="50"/>
      <c r="V36" s="50"/>
      <c r="W36" s="38"/>
      <c r="X36" s="38"/>
      <c r="Y36" s="50"/>
      <c r="Z36" s="70"/>
      <c r="AA36" s="53"/>
      <c r="AB36" s="62">
        <f t="shared" si="1"/>
        <v>2</v>
      </c>
      <c r="AC36" s="80">
        <v>245.0</v>
      </c>
      <c r="AD36" s="68">
        <f t="shared" si="2"/>
        <v>490</v>
      </c>
      <c r="AE36" s="17"/>
      <c r="AF36" s="132"/>
      <c r="AG36" s="132"/>
    </row>
    <row r="37">
      <c r="A37" s="142" t="s">
        <v>97</v>
      </c>
      <c r="B37" s="53"/>
      <c r="C37" s="36">
        <v>2.0</v>
      </c>
      <c r="D37" s="38"/>
      <c r="E37" s="56"/>
      <c r="F37" s="55"/>
      <c r="G37" s="41"/>
      <c r="H37" s="41"/>
      <c r="I37" s="50"/>
      <c r="J37" s="39">
        <v>1.0</v>
      </c>
      <c r="K37" s="39">
        <v>3.0</v>
      </c>
      <c r="L37" s="56"/>
      <c r="M37" s="58"/>
      <c r="N37" s="40"/>
      <c r="O37" s="40"/>
      <c r="P37" s="58"/>
      <c r="Q37" s="58"/>
      <c r="R37" s="50"/>
      <c r="S37" s="50"/>
      <c r="T37" s="55"/>
      <c r="U37" s="50"/>
      <c r="V37" s="39">
        <v>3.0</v>
      </c>
      <c r="W37" s="38"/>
      <c r="X37" s="38"/>
      <c r="Y37" s="50"/>
      <c r="Z37" s="70"/>
      <c r="AA37" s="53"/>
      <c r="AB37" s="62">
        <f t="shared" si="1"/>
        <v>9</v>
      </c>
      <c r="AC37" s="80">
        <v>500.0</v>
      </c>
      <c r="AD37" s="68">
        <f t="shared" si="2"/>
        <v>4500</v>
      </c>
      <c r="AE37" s="17"/>
      <c r="AF37" s="132"/>
      <c r="AG37" s="132"/>
    </row>
    <row r="38">
      <c r="A38" s="33" t="s">
        <v>99</v>
      </c>
      <c r="B38" s="53"/>
      <c r="C38" s="36">
        <v>1.0</v>
      </c>
      <c r="D38" s="38"/>
      <c r="E38" s="56"/>
      <c r="F38" s="55"/>
      <c r="G38" s="41"/>
      <c r="H38" s="41"/>
      <c r="I38" s="50"/>
      <c r="J38" s="50"/>
      <c r="K38" s="50"/>
      <c r="L38" s="56"/>
      <c r="M38" s="58"/>
      <c r="N38" s="40"/>
      <c r="O38" s="40"/>
      <c r="P38" s="58"/>
      <c r="Q38" s="58"/>
      <c r="R38" s="39">
        <v>11.0</v>
      </c>
      <c r="S38" s="50"/>
      <c r="T38" s="55"/>
      <c r="U38" s="50"/>
      <c r="V38" s="50"/>
      <c r="W38" s="38"/>
      <c r="X38" s="38"/>
      <c r="Y38" s="50"/>
      <c r="Z38" s="70"/>
      <c r="AA38" s="53"/>
      <c r="AB38" s="62">
        <f t="shared" si="1"/>
        <v>12</v>
      </c>
      <c r="AC38" s="80">
        <v>900.0</v>
      </c>
      <c r="AD38" s="68">
        <f t="shared" si="2"/>
        <v>10800</v>
      </c>
      <c r="AE38" s="17"/>
      <c r="AF38" s="132"/>
      <c r="AG38" s="132"/>
    </row>
    <row r="39">
      <c r="A39" s="33" t="s">
        <v>100</v>
      </c>
      <c r="B39" s="90">
        <v>1.0</v>
      </c>
      <c r="C39" s="38"/>
      <c r="D39" s="38"/>
      <c r="E39" s="56"/>
      <c r="F39" s="55"/>
      <c r="G39" s="41"/>
      <c r="H39" s="41"/>
      <c r="I39" s="50"/>
      <c r="J39" s="50"/>
      <c r="K39" s="50"/>
      <c r="L39" s="56"/>
      <c r="M39" s="58"/>
      <c r="N39" s="40"/>
      <c r="O39" s="40"/>
      <c r="P39" s="58"/>
      <c r="Q39" s="58"/>
      <c r="R39" s="50"/>
      <c r="S39" s="50"/>
      <c r="T39" s="55"/>
      <c r="U39" s="50"/>
      <c r="V39" s="50"/>
      <c r="W39" s="38"/>
      <c r="X39" s="38"/>
      <c r="Y39" s="50"/>
      <c r="Z39" s="70"/>
      <c r="AA39" s="53"/>
      <c r="AB39" s="62">
        <f t="shared" si="1"/>
        <v>1</v>
      </c>
      <c r="AC39" s="80">
        <v>1100.0</v>
      </c>
      <c r="AD39" s="68">
        <f t="shared" si="2"/>
        <v>1100</v>
      </c>
      <c r="AE39" s="17"/>
      <c r="AF39" s="132"/>
      <c r="AG39" s="132"/>
    </row>
    <row r="40">
      <c r="A40" s="33" t="s">
        <v>102</v>
      </c>
      <c r="B40" s="90">
        <v>1.0</v>
      </c>
      <c r="C40" s="38"/>
      <c r="D40" s="38"/>
      <c r="E40" s="56"/>
      <c r="F40" s="55"/>
      <c r="G40" s="41"/>
      <c r="H40" s="41"/>
      <c r="I40" s="50"/>
      <c r="J40" s="50"/>
      <c r="K40" s="50"/>
      <c r="L40" s="56"/>
      <c r="M40" s="58"/>
      <c r="N40" s="40"/>
      <c r="O40" s="40"/>
      <c r="P40" s="58"/>
      <c r="Q40" s="58"/>
      <c r="R40" s="50"/>
      <c r="S40" s="50"/>
      <c r="T40" s="55"/>
      <c r="U40" s="50"/>
      <c r="V40" s="50"/>
      <c r="W40" s="38"/>
      <c r="X40" s="38"/>
      <c r="Y40" s="50"/>
      <c r="Z40" s="70"/>
      <c r="AA40" s="53"/>
      <c r="AB40" s="62">
        <f t="shared" si="1"/>
        <v>1</v>
      </c>
      <c r="AC40" s="80">
        <v>1200.0</v>
      </c>
      <c r="AD40" s="68">
        <f t="shared" si="2"/>
        <v>1200</v>
      </c>
      <c r="AE40" s="17"/>
      <c r="AF40" s="132"/>
      <c r="AG40" s="132"/>
    </row>
    <row r="41">
      <c r="A41" s="33" t="s">
        <v>104</v>
      </c>
      <c r="B41" s="53"/>
      <c r="C41" s="36">
        <v>2.0</v>
      </c>
      <c r="D41" s="38"/>
      <c r="E41" s="56"/>
      <c r="F41" s="55"/>
      <c r="G41" s="41"/>
      <c r="H41" s="41"/>
      <c r="I41" s="50"/>
      <c r="J41" s="50"/>
      <c r="K41" s="50"/>
      <c r="L41" s="56"/>
      <c r="M41" s="58"/>
      <c r="N41" s="40"/>
      <c r="O41" s="40"/>
      <c r="P41" s="58"/>
      <c r="Q41" s="58"/>
      <c r="R41" s="50"/>
      <c r="S41" s="50"/>
      <c r="T41" s="55"/>
      <c r="U41" s="50"/>
      <c r="V41" s="50"/>
      <c r="W41" s="38"/>
      <c r="X41" s="38"/>
      <c r="Y41" s="50"/>
      <c r="Z41" s="70"/>
      <c r="AA41" s="53"/>
      <c r="AB41" s="62">
        <f t="shared" si="1"/>
        <v>2</v>
      </c>
      <c r="AC41" s="80">
        <v>200.0</v>
      </c>
      <c r="AD41" s="68">
        <f t="shared" si="2"/>
        <v>400</v>
      </c>
      <c r="AE41" s="17"/>
      <c r="AF41" s="132"/>
      <c r="AG41" s="132"/>
    </row>
    <row r="42">
      <c r="A42" s="33" t="s">
        <v>105</v>
      </c>
      <c r="B42" s="53"/>
      <c r="C42" s="38"/>
      <c r="D42" s="38"/>
      <c r="E42" s="56"/>
      <c r="F42" s="55"/>
      <c r="G42" s="41"/>
      <c r="H42" s="41"/>
      <c r="I42" s="50"/>
      <c r="J42" s="50"/>
      <c r="K42" s="39">
        <v>10.0</v>
      </c>
      <c r="L42" s="56"/>
      <c r="M42" s="33">
        <v>6.0</v>
      </c>
      <c r="N42" s="40"/>
      <c r="O42" s="40"/>
      <c r="P42" s="58"/>
      <c r="Q42" s="58"/>
      <c r="R42" s="50"/>
      <c r="S42" s="50"/>
      <c r="T42" s="55"/>
      <c r="U42" s="50"/>
      <c r="V42" s="50"/>
      <c r="W42" s="38"/>
      <c r="X42" s="38"/>
      <c r="Y42" s="50"/>
      <c r="Z42" s="70"/>
      <c r="AA42" s="53"/>
      <c r="AB42" s="62">
        <f t="shared" si="1"/>
        <v>16</v>
      </c>
      <c r="AC42" s="80">
        <v>500.0</v>
      </c>
      <c r="AD42" s="68">
        <f t="shared" si="2"/>
        <v>8000</v>
      </c>
      <c r="AE42" s="17"/>
      <c r="AF42" s="155"/>
      <c r="AG42" s="155"/>
    </row>
    <row r="43">
      <c r="A43" s="156" t="s">
        <v>107</v>
      </c>
      <c r="B43" s="171"/>
      <c r="C43" s="158">
        <v>7.0</v>
      </c>
      <c r="D43" s="172"/>
      <c r="E43" s="173"/>
      <c r="F43" s="163"/>
      <c r="G43" s="161"/>
      <c r="H43" s="161"/>
      <c r="I43" s="159"/>
      <c r="J43" s="159"/>
      <c r="K43" s="165">
        <v>2.0</v>
      </c>
      <c r="L43" s="173"/>
      <c r="M43" s="156">
        <v>2.0</v>
      </c>
      <c r="N43" s="160"/>
      <c r="O43" s="160"/>
      <c r="P43" s="175"/>
      <c r="Q43" s="175"/>
      <c r="R43" s="159"/>
      <c r="S43" s="159"/>
      <c r="T43" s="163"/>
      <c r="U43" s="165">
        <v>12.0</v>
      </c>
      <c r="V43" s="159"/>
      <c r="W43" s="172"/>
      <c r="X43" s="172"/>
      <c r="Y43" s="159"/>
      <c r="Z43" s="177"/>
      <c r="AA43" s="171"/>
      <c r="AB43" s="166">
        <f t="shared" si="1"/>
        <v>23</v>
      </c>
      <c r="AC43" s="167">
        <v>1000.0</v>
      </c>
      <c r="AD43" s="168">
        <f t="shared" si="2"/>
        <v>23000</v>
      </c>
      <c r="AE43" s="17"/>
      <c r="AF43" s="155"/>
      <c r="AG43" s="155"/>
    </row>
    <row r="44">
      <c r="A44" s="169" t="s">
        <v>45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9"/>
      <c r="AD44" s="174">
        <f>SUM(AD3:AD43)</f>
        <v>271710</v>
      </c>
      <c r="AE44" s="17"/>
      <c r="AF44" s="176"/>
      <c r="AG44" s="176"/>
    </row>
    <row r="45">
      <c r="A45" s="24" t="s">
        <v>110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8"/>
      <c r="AE45" s="17"/>
      <c r="AF45" s="178"/>
      <c r="AG45" s="178"/>
    </row>
    <row r="46">
      <c r="A46" s="147" t="s">
        <v>92</v>
      </c>
      <c r="B46" s="90">
        <v>16.0</v>
      </c>
      <c r="C46" s="36">
        <v>6.0</v>
      </c>
      <c r="D46" s="36">
        <v>8.0</v>
      </c>
      <c r="E46" s="56"/>
      <c r="F46" s="55"/>
      <c r="G46" s="41"/>
      <c r="H46" s="41"/>
      <c r="I46" s="39">
        <v>7.0</v>
      </c>
      <c r="J46" s="39">
        <v>9.0</v>
      </c>
      <c r="K46" s="39">
        <v>6.0</v>
      </c>
      <c r="L46" s="56"/>
      <c r="M46" s="58"/>
      <c r="N46" s="40"/>
      <c r="O46" s="40"/>
      <c r="P46" s="33">
        <v>3.0</v>
      </c>
      <c r="Q46" s="33">
        <v>9.0</v>
      </c>
      <c r="R46" s="39">
        <v>8.0</v>
      </c>
      <c r="S46" s="39">
        <v>1.0</v>
      </c>
      <c r="T46" s="55"/>
      <c r="U46" s="39">
        <v>10.0</v>
      </c>
      <c r="V46" s="39">
        <v>5.0</v>
      </c>
      <c r="W46" s="36">
        <v>3.0</v>
      </c>
      <c r="X46" s="36">
        <v>8.0</v>
      </c>
      <c r="Y46" s="39">
        <v>5.0</v>
      </c>
      <c r="Z46" s="70"/>
      <c r="AA46" s="53"/>
      <c r="AB46" s="62">
        <f t="shared" ref="AB46:AB57" si="3">SUM(B46:AA46)</f>
        <v>104</v>
      </c>
      <c r="AC46" s="80">
        <v>100.0</v>
      </c>
      <c r="AD46" s="68">
        <f t="shared" ref="AD46:AD57" si="4">AB46*AC46</f>
        <v>10400</v>
      </c>
      <c r="AE46" s="17"/>
      <c r="AF46" s="180" t="s">
        <v>116</v>
      </c>
      <c r="AG46" s="155"/>
    </row>
    <row r="47">
      <c r="A47" s="147" t="s">
        <v>98</v>
      </c>
      <c r="B47" s="53"/>
      <c r="C47" s="38"/>
      <c r="D47" s="36">
        <v>3.0</v>
      </c>
      <c r="E47" s="56"/>
      <c r="F47" s="55"/>
      <c r="G47" s="41"/>
      <c r="H47" s="41"/>
      <c r="I47" s="50"/>
      <c r="J47" s="39">
        <v>2.0</v>
      </c>
      <c r="K47" s="39">
        <v>2.0</v>
      </c>
      <c r="L47" s="56"/>
      <c r="M47" s="58"/>
      <c r="N47" s="40"/>
      <c r="O47" s="40"/>
      <c r="P47" s="58"/>
      <c r="Q47" s="58"/>
      <c r="R47" s="50"/>
      <c r="S47" s="39">
        <v>1.0</v>
      </c>
      <c r="T47" s="55"/>
      <c r="U47" s="39">
        <v>2.0</v>
      </c>
      <c r="V47" s="50"/>
      <c r="W47" s="38"/>
      <c r="X47" s="36">
        <v>1.0</v>
      </c>
      <c r="Y47" s="50"/>
      <c r="Z47" s="70"/>
      <c r="AA47" s="53"/>
      <c r="AB47" s="62">
        <f t="shared" si="3"/>
        <v>11</v>
      </c>
      <c r="AC47" s="80">
        <v>1000.0</v>
      </c>
      <c r="AD47" s="68">
        <f t="shared" si="4"/>
        <v>11000</v>
      </c>
      <c r="AE47" s="17"/>
      <c r="AF47" s="155"/>
      <c r="AG47" s="155"/>
    </row>
    <row r="48">
      <c r="A48" s="189" t="s">
        <v>101</v>
      </c>
      <c r="B48" s="90">
        <v>1.0</v>
      </c>
      <c r="C48" s="36">
        <v>2.0</v>
      </c>
      <c r="D48" s="36">
        <v>1.0</v>
      </c>
      <c r="E48" s="56"/>
      <c r="F48" s="55"/>
      <c r="G48" s="41"/>
      <c r="H48" s="41"/>
      <c r="I48" s="39">
        <v>11.0</v>
      </c>
      <c r="J48" s="39">
        <v>5.0</v>
      </c>
      <c r="K48" s="39">
        <v>40.0</v>
      </c>
      <c r="L48" s="56"/>
      <c r="M48" s="33">
        <v>7.0</v>
      </c>
      <c r="N48" s="40"/>
      <c r="O48" s="40"/>
      <c r="P48" s="33">
        <v>6.0</v>
      </c>
      <c r="Q48" s="33">
        <v>9.0</v>
      </c>
      <c r="R48" s="39">
        <v>4.0</v>
      </c>
      <c r="S48" s="39">
        <v>5.0</v>
      </c>
      <c r="T48" s="55"/>
      <c r="U48" s="50"/>
      <c r="V48" s="39">
        <v>8.0</v>
      </c>
      <c r="W48" s="36">
        <v>1.0</v>
      </c>
      <c r="X48" s="36">
        <v>4.0</v>
      </c>
      <c r="Y48" s="39">
        <v>1.0</v>
      </c>
      <c r="Z48" s="70"/>
      <c r="AA48" s="53"/>
      <c r="AB48" s="62">
        <f t="shared" si="3"/>
        <v>105</v>
      </c>
      <c r="AC48" s="80">
        <v>120.0</v>
      </c>
      <c r="AD48" s="68">
        <f t="shared" si="4"/>
        <v>12600</v>
      </c>
      <c r="AE48" s="17"/>
      <c r="AF48" s="155"/>
      <c r="AG48" s="155"/>
    </row>
    <row r="49">
      <c r="A49" s="189" t="s">
        <v>103</v>
      </c>
      <c r="B49" s="90">
        <v>1.0</v>
      </c>
      <c r="C49" s="36">
        <v>1.0</v>
      </c>
      <c r="D49" s="38"/>
      <c r="E49" s="56"/>
      <c r="F49" s="55"/>
      <c r="G49" s="41"/>
      <c r="H49" s="41"/>
      <c r="I49" s="50"/>
      <c r="J49" s="50"/>
      <c r="K49" s="39">
        <v>1.0</v>
      </c>
      <c r="L49" s="56"/>
      <c r="M49" s="33">
        <v>6.0</v>
      </c>
      <c r="N49" s="40"/>
      <c r="O49" s="40"/>
      <c r="P49" s="33">
        <v>5.0</v>
      </c>
      <c r="Q49" s="58"/>
      <c r="R49" s="39">
        <v>2.0</v>
      </c>
      <c r="S49" s="39">
        <v>2.0</v>
      </c>
      <c r="T49" s="55"/>
      <c r="U49" s="39">
        <v>1.0</v>
      </c>
      <c r="V49" s="39">
        <v>4.0</v>
      </c>
      <c r="W49" s="36">
        <v>2.0</v>
      </c>
      <c r="X49" s="36">
        <v>6.0</v>
      </c>
      <c r="Y49" s="39">
        <v>2.0</v>
      </c>
      <c r="Z49" s="70"/>
      <c r="AA49" s="53"/>
      <c r="AB49" s="62">
        <f t="shared" si="3"/>
        <v>33</v>
      </c>
      <c r="AC49" s="80">
        <v>150.0</v>
      </c>
      <c r="AD49" s="68">
        <f t="shared" si="4"/>
        <v>4950</v>
      </c>
      <c r="AE49" s="17"/>
      <c r="AF49" s="155"/>
      <c r="AG49" s="155"/>
    </row>
    <row r="50">
      <c r="A50" s="189" t="s">
        <v>106</v>
      </c>
      <c r="B50" s="90">
        <v>6.0</v>
      </c>
      <c r="C50" s="36">
        <v>5.0</v>
      </c>
      <c r="D50" s="36">
        <v>8.0</v>
      </c>
      <c r="E50" s="56"/>
      <c r="F50" s="55"/>
      <c r="G50" s="41"/>
      <c r="H50" s="41"/>
      <c r="I50" s="39">
        <v>7.0</v>
      </c>
      <c r="J50" s="39">
        <v>8.0</v>
      </c>
      <c r="K50" s="39">
        <v>14.0</v>
      </c>
      <c r="L50" s="56"/>
      <c r="M50" s="33">
        <v>2.0</v>
      </c>
      <c r="N50" s="40"/>
      <c r="O50" s="40"/>
      <c r="P50" s="33">
        <v>11.0</v>
      </c>
      <c r="Q50" s="33">
        <v>5.0</v>
      </c>
      <c r="R50" s="39">
        <v>12.0</v>
      </c>
      <c r="S50" s="39">
        <v>8.0</v>
      </c>
      <c r="T50" s="55"/>
      <c r="U50" s="39">
        <v>3.0</v>
      </c>
      <c r="V50" s="39">
        <v>3.0</v>
      </c>
      <c r="W50" s="36">
        <v>4.0</v>
      </c>
      <c r="X50" s="36">
        <v>10.0</v>
      </c>
      <c r="Y50" s="39">
        <v>17.0</v>
      </c>
      <c r="Z50" s="70"/>
      <c r="AA50" s="90">
        <v>3.0</v>
      </c>
      <c r="AB50" s="62">
        <f t="shared" si="3"/>
        <v>126</v>
      </c>
      <c r="AC50" s="80">
        <v>280.0</v>
      </c>
      <c r="AD50" s="68">
        <f t="shared" si="4"/>
        <v>35280</v>
      </c>
      <c r="AE50" s="17"/>
      <c r="AF50" s="155"/>
      <c r="AG50" s="155"/>
    </row>
    <row r="51">
      <c r="A51" s="147" t="s">
        <v>108</v>
      </c>
      <c r="B51" s="53"/>
      <c r="C51" s="36">
        <v>2.0</v>
      </c>
      <c r="D51" s="38"/>
      <c r="E51" s="56"/>
      <c r="F51" s="55"/>
      <c r="G51" s="41"/>
      <c r="H51" s="41"/>
      <c r="I51" s="50"/>
      <c r="J51" s="39">
        <v>2.0</v>
      </c>
      <c r="K51" s="50"/>
      <c r="L51" s="56"/>
      <c r="M51" s="58"/>
      <c r="N51" s="40"/>
      <c r="O51" s="40"/>
      <c r="P51" s="33">
        <v>2.0</v>
      </c>
      <c r="Q51" s="33">
        <v>1.0</v>
      </c>
      <c r="R51" s="50"/>
      <c r="S51" s="39">
        <v>3.0</v>
      </c>
      <c r="T51" s="55"/>
      <c r="U51" s="39">
        <v>2.0</v>
      </c>
      <c r="V51" s="39">
        <v>2.0</v>
      </c>
      <c r="W51" s="36">
        <v>1.0</v>
      </c>
      <c r="X51" s="36">
        <v>1.0</v>
      </c>
      <c r="Y51" s="39">
        <v>2.0</v>
      </c>
      <c r="Z51" s="70"/>
      <c r="AA51" s="90">
        <v>2.0</v>
      </c>
      <c r="AB51" s="62">
        <f t="shared" si="3"/>
        <v>20</v>
      </c>
      <c r="AC51" s="80">
        <v>900.0</v>
      </c>
      <c r="AD51" s="68">
        <f t="shared" si="4"/>
        <v>18000</v>
      </c>
      <c r="AE51" s="17"/>
      <c r="AF51" s="155"/>
      <c r="AG51" s="155"/>
    </row>
    <row r="52">
      <c r="A52" s="198" t="s">
        <v>109</v>
      </c>
      <c r="B52" s="90">
        <v>9.0</v>
      </c>
      <c r="C52" s="36">
        <v>20.0</v>
      </c>
      <c r="D52" s="36">
        <v>13.0</v>
      </c>
      <c r="E52" s="56"/>
      <c r="F52" s="55"/>
      <c r="G52" s="41"/>
      <c r="H52" s="41"/>
      <c r="I52" s="39">
        <v>15.0</v>
      </c>
      <c r="J52" s="39">
        <v>55.0</v>
      </c>
      <c r="K52" s="39">
        <v>27.0</v>
      </c>
      <c r="L52" s="56"/>
      <c r="M52" s="33">
        <v>2.0</v>
      </c>
      <c r="N52" s="40"/>
      <c r="O52" s="40"/>
      <c r="P52" s="33">
        <v>9.0</v>
      </c>
      <c r="Q52" s="33">
        <v>20.0</v>
      </c>
      <c r="R52" s="39">
        <v>14.0</v>
      </c>
      <c r="S52" s="39">
        <v>21.0</v>
      </c>
      <c r="T52" s="55"/>
      <c r="U52" s="39">
        <v>13.0</v>
      </c>
      <c r="V52" s="39">
        <v>19.0</v>
      </c>
      <c r="W52" s="36">
        <v>11.0</v>
      </c>
      <c r="X52" s="36">
        <v>11.0</v>
      </c>
      <c r="Y52" s="39">
        <v>58.0</v>
      </c>
      <c r="Z52" s="70"/>
      <c r="AA52" s="90">
        <v>2.0</v>
      </c>
      <c r="AB52" s="62">
        <f t="shared" si="3"/>
        <v>319</v>
      </c>
      <c r="AC52" s="80">
        <v>330.0</v>
      </c>
      <c r="AD52" s="68">
        <f t="shared" si="4"/>
        <v>105270</v>
      </c>
      <c r="AE52" s="17"/>
      <c r="AF52" s="155"/>
      <c r="AG52" s="155"/>
    </row>
    <row r="53">
      <c r="A53" s="198" t="s">
        <v>111</v>
      </c>
      <c r="B53" s="90">
        <v>1.0</v>
      </c>
      <c r="C53" s="36">
        <v>1.0</v>
      </c>
      <c r="D53" s="38"/>
      <c r="E53" s="56"/>
      <c r="F53" s="55"/>
      <c r="G53" s="41"/>
      <c r="H53" s="41"/>
      <c r="I53" s="39">
        <v>2.0</v>
      </c>
      <c r="J53" s="39">
        <v>2.0</v>
      </c>
      <c r="K53" s="39">
        <v>1.0</v>
      </c>
      <c r="L53" s="56"/>
      <c r="M53" s="58"/>
      <c r="N53" s="40"/>
      <c r="O53" s="40"/>
      <c r="P53" s="33">
        <v>1.0</v>
      </c>
      <c r="Q53" s="58"/>
      <c r="R53" s="39">
        <v>2.0</v>
      </c>
      <c r="S53" s="50"/>
      <c r="T53" s="55"/>
      <c r="U53" s="50"/>
      <c r="V53" s="39">
        <v>1.0</v>
      </c>
      <c r="W53" s="38"/>
      <c r="X53" s="38"/>
      <c r="Y53" s="39">
        <v>2.0</v>
      </c>
      <c r="Z53" s="70"/>
      <c r="AA53" s="90">
        <v>1.0</v>
      </c>
      <c r="AB53" s="62">
        <f t="shared" si="3"/>
        <v>14</v>
      </c>
      <c r="AC53" s="80">
        <v>360.0</v>
      </c>
      <c r="AD53" s="68">
        <f t="shared" si="4"/>
        <v>5040</v>
      </c>
      <c r="AE53" s="17"/>
      <c r="AF53" s="155"/>
      <c r="AG53" s="155"/>
    </row>
    <row r="54">
      <c r="A54" s="198" t="s">
        <v>113</v>
      </c>
      <c r="B54" s="90">
        <v>1.0</v>
      </c>
      <c r="C54" s="36">
        <v>1.0</v>
      </c>
      <c r="D54" s="38"/>
      <c r="E54" s="56"/>
      <c r="F54" s="55"/>
      <c r="G54" s="41"/>
      <c r="H54" s="41"/>
      <c r="I54" s="39">
        <v>1.0</v>
      </c>
      <c r="J54" s="50"/>
      <c r="K54" s="39">
        <v>3.0</v>
      </c>
      <c r="L54" s="56"/>
      <c r="M54" s="58"/>
      <c r="N54" s="40"/>
      <c r="O54" s="40"/>
      <c r="P54" s="58"/>
      <c r="Q54" s="58"/>
      <c r="R54" s="50"/>
      <c r="S54" s="50"/>
      <c r="T54" s="55"/>
      <c r="U54" s="50"/>
      <c r="V54" s="50"/>
      <c r="W54" s="38"/>
      <c r="X54" s="38"/>
      <c r="Y54" s="50"/>
      <c r="Z54" s="70"/>
      <c r="AA54" s="53"/>
      <c r="AB54" s="62">
        <f t="shared" si="3"/>
        <v>6</v>
      </c>
      <c r="AC54" s="80">
        <v>380.0</v>
      </c>
      <c r="AD54" s="68">
        <f t="shared" si="4"/>
        <v>2280</v>
      </c>
      <c r="AE54" s="17"/>
      <c r="AF54" s="155"/>
      <c r="AG54" s="155"/>
    </row>
    <row r="55">
      <c r="A55" s="189" t="s">
        <v>114</v>
      </c>
      <c r="B55" s="53"/>
      <c r="C55" s="36">
        <v>2.0</v>
      </c>
      <c r="D55" s="36">
        <v>3.0</v>
      </c>
      <c r="E55" s="56"/>
      <c r="F55" s="55"/>
      <c r="G55" s="41"/>
      <c r="H55" s="41"/>
      <c r="I55" s="39">
        <v>4.0</v>
      </c>
      <c r="J55" s="39">
        <v>6.0</v>
      </c>
      <c r="K55" s="39">
        <v>6.0</v>
      </c>
      <c r="L55" s="56"/>
      <c r="M55" s="33">
        <v>2.0</v>
      </c>
      <c r="N55" s="40"/>
      <c r="O55" s="40"/>
      <c r="P55" s="33">
        <v>3.0</v>
      </c>
      <c r="Q55" s="58"/>
      <c r="R55" s="39">
        <v>1.0</v>
      </c>
      <c r="S55" s="39">
        <v>3.0</v>
      </c>
      <c r="T55" s="55"/>
      <c r="U55" s="39">
        <v>1.0</v>
      </c>
      <c r="V55" s="50"/>
      <c r="W55" s="36">
        <v>1.0</v>
      </c>
      <c r="X55" s="36">
        <v>5.0</v>
      </c>
      <c r="Y55" s="39">
        <v>23.0</v>
      </c>
      <c r="Z55" s="70"/>
      <c r="AA55" s="53"/>
      <c r="AB55" s="62">
        <f t="shared" si="3"/>
        <v>60</v>
      </c>
      <c r="AC55" s="80">
        <v>280.0</v>
      </c>
      <c r="AD55" s="68">
        <f t="shared" si="4"/>
        <v>16800</v>
      </c>
      <c r="AE55" s="17"/>
      <c r="AF55" s="155"/>
      <c r="AG55" s="155"/>
    </row>
    <row r="56">
      <c r="A56" s="189" t="s">
        <v>115</v>
      </c>
      <c r="B56" s="53"/>
      <c r="C56" s="38"/>
      <c r="D56" s="38"/>
      <c r="E56" s="56"/>
      <c r="F56" s="55"/>
      <c r="G56" s="41"/>
      <c r="H56" s="41"/>
      <c r="I56" s="50"/>
      <c r="J56" s="50"/>
      <c r="K56" s="50"/>
      <c r="L56" s="56"/>
      <c r="M56" s="58"/>
      <c r="N56" s="40"/>
      <c r="O56" s="40"/>
      <c r="P56" s="58"/>
      <c r="Q56" s="58"/>
      <c r="R56" s="50"/>
      <c r="S56" s="50"/>
      <c r="T56" s="55"/>
      <c r="U56" s="50"/>
      <c r="V56" s="50"/>
      <c r="W56" s="38"/>
      <c r="X56" s="38"/>
      <c r="Y56" s="50"/>
      <c r="Z56" s="70"/>
      <c r="AA56" s="53"/>
      <c r="AB56" s="62">
        <f t="shared" si="3"/>
        <v>0</v>
      </c>
      <c r="AC56" s="80">
        <v>330.0</v>
      </c>
      <c r="AD56" s="68">
        <f t="shared" si="4"/>
        <v>0</v>
      </c>
      <c r="AE56" s="17"/>
      <c r="AF56" s="155"/>
      <c r="AG56" s="155"/>
    </row>
    <row r="57">
      <c r="A57" s="205" t="s">
        <v>119</v>
      </c>
      <c r="B57" s="171"/>
      <c r="C57" s="172"/>
      <c r="D57" s="172"/>
      <c r="E57" s="173"/>
      <c r="F57" s="163"/>
      <c r="G57" s="161"/>
      <c r="H57" s="161"/>
      <c r="I57" s="159"/>
      <c r="J57" s="159"/>
      <c r="K57" s="159"/>
      <c r="L57" s="173"/>
      <c r="M57" s="175"/>
      <c r="N57" s="160"/>
      <c r="O57" s="160"/>
      <c r="P57" s="175"/>
      <c r="Q57" s="175"/>
      <c r="R57" s="159"/>
      <c r="S57" s="159"/>
      <c r="T57" s="163"/>
      <c r="U57" s="159"/>
      <c r="V57" s="159"/>
      <c r="W57" s="172"/>
      <c r="X57" s="172"/>
      <c r="Y57" s="159"/>
      <c r="Z57" s="177"/>
      <c r="AA57" s="171"/>
      <c r="AB57" s="166">
        <f t="shared" si="3"/>
        <v>0</v>
      </c>
      <c r="AC57" s="167">
        <v>1250.0</v>
      </c>
      <c r="AD57" s="168">
        <f t="shared" si="4"/>
        <v>0</v>
      </c>
      <c r="AE57" s="17"/>
      <c r="AF57" s="155"/>
      <c r="AG57" s="155"/>
    </row>
    <row r="58">
      <c r="A58" s="169" t="s">
        <v>45</v>
      </c>
      <c r="B58" s="128"/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9"/>
      <c r="AD58" s="174">
        <f>SUM(AD46:AD57)</f>
        <v>221620</v>
      </c>
      <c r="AE58" s="17"/>
      <c r="AF58" s="176"/>
      <c r="AG58" s="176"/>
    </row>
    <row r="59">
      <c r="A59" s="24" t="s">
        <v>127</v>
      </c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8"/>
      <c r="AE59" s="17"/>
      <c r="AF59" s="178"/>
      <c r="AG59" s="178"/>
    </row>
    <row r="60">
      <c r="A60" s="206" t="s">
        <v>128</v>
      </c>
      <c r="B60" s="90">
        <v>1.0</v>
      </c>
      <c r="C60" s="36">
        <v>2.0</v>
      </c>
      <c r="D60" s="36">
        <v>1.0</v>
      </c>
      <c r="E60" s="56"/>
      <c r="F60" s="55"/>
      <c r="G60" s="41"/>
      <c r="H60" s="41"/>
      <c r="I60" s="50"/>
      <c r="J60" s="50"/>
      <c r="K60" s="50"/>
      <c r="L60" s="56"/>
      <c r="M60" s="58"/>
      <c r="N60" s="40"/>
      <c r="O60" s="40"/>
      <c r="P60" s="58"/>
      <c r="Q60" s="33">
        <v>1.0</v>
      </c>
      <c r="R60" s="39">
        <v>1.0</v>
      </c>
      <c r="S60" s="39">
        <v>1.0</v>
      </c>
      <c r="T60" s="55"/>
      <c r="U60" s="50"/>
      <c r="V60" s="39">
        <v>1.0</v>
      </c>
      <c r="W60" s="36">
        <v>1.0</v>
      </c>
      <c r="X60" s="38"/>
      <c r="Y60" s="50"/>
      <c r="Z60" s="70"/>
      <c r="AA60" s="53"/>
      <c r="AB60" s="62">
        <f t="shared" ref="AB60:AB63" si="5">SUM(B60:AA60)</f>
        <v>9</v>
      </c>
      <c r="AC60" s="80">
        <v>550.0</v>
      </c>
      <c r="AD60" s="68">
        <f t="shared" ref="AD60:AD63" si="6">AB60*AC60</f>
        <v>4950</v>
      </c>
      <c r="AE60" s="17"/>
      <c r="AF60" s="180" t="s">
        <v>139</v>
      </c>
      <c r="AG60" s="155"/>
    </row>
    <row r="61">
      <c r="A61" s="189" t="s">
        <v>131</v>
      </c>
      <c r="B61" s="53"/>
      <c r="C61" s="38"/>
      <c r="D61" s="36">
        <v>1.0</v>
      </c>
      <c r="E61" s="56"/>
      <c r="F61" s="55"/>
      <c r="G61" s="41"/>
      <c r="H61" s="41"/>
      <c r="I61" s="39">
        <v>1.0</v>
      </c>
      <c r="J61" s="39">
        <v>1.0</v>
      </c>
      <c r="K61" s="39">
        <v>1.0</v>
      </c>
      <c r="L61" s="56"/>
      <c r="M61" s="58"/>
      <c r="N61" s="40"/>
      <c r="O61" s="40"/>
      <c r="P61" s="58"/>
      <c r="Q61" s="58"/>
      <c r="R61" s="39">
        <v>1.0</v>
      </c>
      <c r="S61" s="50"/>
      <c r="T61" s="55"/>
      <c r="U61" s="50"/>
      <c r="V61" s="39">
        <v>2.0</v>
      </c>
      <c r="W61" s="38"/>
      <c r="X61" s="36">
        <v>2.0</v>
      </c>
      <c r="Y61" s="39">
        <v>4.0</v>
      </c>
      <c r="Z61" s="70"/>
      <c r="AA61" s="53"/>
      <c r="AB61" s="62">
        <f t="shared" si="5"/>
        <v>13</v>
      </c>
      <c r="AC61" s="80">
        <v>350.0</v>
      </c>
      <c r="AD61" s="68">
        <f t="shared" si="6"/>
        <v>4550</v>
      </c>
      <c r="AE61" s="17"/>
      <c r="AF61" s="155"/>
      <c r="AG61" s="155"/>
    </row>
    <row r="62">
      <c r="A62" s="189" t="s">
        <v>132</v>
      </c>
      <c r="B62" s="53"/>
      <c r="C62" s="36">
        <v>5.0</v>
      </c>
      <c r="D62" s="36">
        <v>3.0</v>
      </c>
      <c r="E62" s="56"/>
      <c r="F62" s="55"/>
      <c r="G62" s="41"/>
      <c r="H62" s="41"/>
      <c r="I62" s="50"/>
      <c r="J62" s="50"/>
      <c r="K62" s="39">
        <v>1.0</v>
      </c>
      <c r="L62" s="56"/>
      <c r="M62" s="58"/>
      <c r="N62" s="40"/>
      <c r="O62" s="40"/>
      <c r="P62" s="33">
        <v>3.0</v>
      </c>
      <c r="Q62" s="58"/>
      <c r="R62" s="39">
        <v>1.0</v>
      </c>
      <c r="S62" s="39">
        <v>1.0</v>
      </c>
      <c r="T62" s="55"/>
      <c r="U62" s="50"/>
      <c r="V62" s="50"/>
      <c r="W62" s="38"/>
      <c r="X62" s="38"/>
      <c r="Y62" s="50"/>
      <c r="Z62" s="70"/>
      <c r="AA62" s="53"/>
      <c r="AB62" s="62">
        <f t="shared" si="5"/>
        <v>14</v>
      </c>
      <c r="AC62" s="80">
        <v>350.0</v>
      </c>
      <c r="AD62" s="68">
        <f t="shared" si="6"/>
        <v>4900</v>
      </c>
      <c r="AE62" s="17"/>
      <c r="AF62" s="155"/>
      <c r="AG62" s="155"/>
    </row>
    <row r="63">
      <c r="A63" s="207" t="s">
        <v>134</v>
      </c>
      <c r="B63" s="171"/>
      <c r="C63" s="172"/>
      <c r="D63" s="172"/>
      <c r="E63" s="173"/>
      <c r="F63" s="163"/>
      <c r="G63" s="161"/>
      <c r="H63" s="161"/>
      <c r="I63" s="159"/>
      <c r="J63" s="159"/>
      <c r="K63" s="159"/>
      <c r="L63" s="173"/>
      <c r="M63" s="175"/>
      <c r="N63" s="160"/>
      <c r="O63" s="160"/>
      <c r="P63" s="175"/>
      <c r="Q63" s="156">
        <v>1.0</v>
      </c>
      <c r="R63" s="159"/>
      <c r="S63" s="159"/>
      <c r="T63" s="163"/>
      <c r="U63" s="159"/>
      <c r="V63" s="159"/>
      <c r="W63" s="172"/>
      <c r="X63" s="172"/>
      <c r="Y63" s="159"/>
      <c r="Z63" s="177"/>
      <c r="AA63" s="171"/>
      <c r="AB63" s="166">
        <f t="shared" si="5"/>
        <v>1</v>
      </c>
      <c r="AC63" s="167">
        <v>350.0</v>
      </c>
      <c r="AD63" s="168">
        <f t="shared" si="6"/>
        <v>350</v>
      </c>
      <c r="AE63" s="17"/>
      <c r="AF63" s="155"/>
      <c r="AG63" s="155"/>
    </row>
    <row r="64">
      <c r="A64" s="169" t="s">
        <v>45</v>
      </c>
      <c r="B64" s="128"/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  <c r="AA64" s="128"/>
      <c r="AB64" s="128"/>
      <c r="AC64" s="129"/>
      <c r="AD64" s="174">
        <f>SUM(AD60:AD63)</f>
        <v>14750</v>
      </c>
      <c r="AE64" s="17"/>
      <c r="AF64" s="176"/>
      <c r="AG64" s="176"/>
    </row>
    <row r="65">
      <c r="A65" s="24" t="s">
        <v>148</v>
      </c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8"/>
      <c r="AE65" s="17"/>
      <c r="AF65" s="178"/>
      <c r="AG65" s="178"/>
    </row>
    <row r="66">
      <c r="A66" s="225" t="s">
        <v>138</v>
      </c>
      <c r="B66" s="171"/>
      <c r="C66" s="158">
        <v>1.0</v>
      </c>
      <c r="D66" s="172"/>
      <c r="E66" s="173"/>
      <c r="F66" s="163"/>
      <c r="G66" s="161"/>
      <c r="H66" s="161"/>
      <c r="I66" s="159"/>
      <c r="J66" s="165">
        <v>1.0</v>
      </c>
      <c r="K66" s="159"/>
      <c r="L66" s="173"/>
      <c r="M66" s="175"/>
      <c r="N66" s="160"/>
      <c r="O66" s="160"/>
      <c r="P66" s="175"/>
      <c r="Q66" s="156">
        <v>1.0</v>
      </c>
      <c r="R66" s="159"/>
      <c r="S66" s="159"/>
      <c r="T66" s="163"/>
      <c r="U66" s="159"/>
      <c r="V66" s="159"/>
      <c r="W66" s="172"/>
      <c r="X66" s="158">
        <v>1.0</v>
      </c>
      <c r="Y66" s="159"/>
      <c r="Z66" s="177"/>
      <c r="AA66" s="171"/>
      <c r="AB66" s="166">
        <f>SUM(B66:AA66)</f>
        <v>4</v>
      </c>
      <c r="AC66" s="167">
        <v>220.0</v>
      </c>
      <c r="AD66" s="167">
        <f>AB66*AC66</f>
        <v>880</v>
      </c>
      <c r="AE66" s="17"/>
      <c r="AF66" s="155"/>
      <c r="AG66" s="155"/>
    </row>
    <row r="67">
      <c r="A67" s="169" t="s">
        <v>45</v>
      </c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9"/>
      <c r="AD67" s="174">
        <f>SUM(AD66)</f>
        <v>880</v>
      </c>
      <c r="AE67" s="17"/>
      <c r="AF67" s="176"/>
      <c r="AG67" s="176"/>
    </row>
    <row r="68">
      <c r="A68" s="24" t="s">
        <v>146</v>
      </c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8"/>
      <c r="AE68" s="17"/>
      <c r="AF68" s="178"/>
      <c r="AG68" s="178"/>
    </row>
    <row r="69">
      <c r="A69" s="223" t="s">
        <v>52</v>
      </c>
      <c r="B69" s="53"/>
      <c r="C69" s="38"/>
      <c r="D69" s="38"/>
      <c r="E69" s="56"/>
      <c r="F69" s="55"/>
      <c r="G69" s="41"/>
      <c r="H69" s="41"/>
      <c r="I69" s="39">
        <v>1.0</v>
      </c>
      <c r="J69" s="50"/>
      <c r="K69" s="39">
        <v>4.0</v>
      </c>
      <c r="L69" s="56"/>
      <c r="M69" s="58"/>
      <c r="N69" s="40"/>
      <c r="O69" s="40"/>
      <c r="P69" s="58"/>
      <c r="Q69" s="33">
        <v>1.0</v>
      </c>
      <c r="R69" s="50"/>
      <c r="S69" s="50"/>
      <c r="T69" s="55"/>
      <c r="U69" s="50"/>
      <c r="V69" s="50"/>
      <c r="W69" s="38"/>
      <c r="X69" s="38"/>
      <c r="Y69" s="50"/>
      <c r="Z69" s="70"/>
      <c r="AA69" s="53"/>
      <c r="AB69" s="62">
        <f t="shared" ref="AB69:AB82" si="7">SUM(B69:AA69)</f>
        <v>6</v>
      </c>
      <c r="AC69" s="80">
        <v>1200.0</v>
      </c>
      <c r="AD69" s="68">
        <f t="shared" ref="AD69:AD82" si="8">AB69*AC69</f>
        <v>7200</v>
      </c>
      <c r="AE69" s="17"/>
      <c r="AF69" s="180" t="s">
        <v>155</v>
      </c>
      <c r="AG69" s="155"/>
    </row>
    <row r="70">
      <c r="A70" s="33" t="s">
        <v>151</v>
      </c>
      <c r="B70" s="53"/>
      <c r="C70" s="36">
        <v>1.0</v>
      </c>
      <c r="D70" s="36">
        <v>2.0</v>
      </c>
      <c r="E70" s="56"/>
      <c r="F70" s="55"/>
      <c r="G70" s="41"/>
      <c r="H70" s="41"/>
      <c r="I70" s="50"/>
      <c r="J70" s="39">
        <v>2.0</v>
      </c>
      <c r="K70" s="39">
        <v>1.0</v>
      </c>
      <c r="L70" s="56"/>
      <c r="M70" s="58"/>
      <c r="N70" s="40"/>
      <c r="O70" s="40"/>
      <c r="P70" s="33">
        <v>2.0</v>
      </c>
      <c r="Q70" s="58"/>
      <c r="R70" s="39">
        <v>1.0</v>
      </c>
      <c r="S70" s="39">
        <v>1.0</v>
      </c>
      <c r="T70" s="55"/>
      <c r="U70" s="39">
        <v>1.0</v>
      </c>
      <c r="V70" s="39">
        <v>2.0</v>
      </c>
      <c r="W70" s="38"/>
      <c r="X70" s="36">
        <v>1.0</v>
      </c>
      <c r="Y70" s="39">
        <v>1.0</v>
      </c>
      <c r="Z70" s="70"/>
      <c r="AA70" s="90">
        <v>1.0</v>
      </c>
      <c r="AB70" s="62">
        <f t="shared" si="7"/>
        <v>16</v>
      </c>
      <c r="AC70" s="80">
        <v>1500.0</v>
      </c>
      <c r="AD70" s="68">
        <f t="shared" si="8"/>
        <v>24000</v>
      </c>
      <c r="AE70" s="17"/>
      <c r="AF70" s="155"/>
      <c r="AG70" s="155"/>
    </row>
    <row r="71">
      <c r="A71" s="226" t="s">
        <v>56</v>
      </c>
      <c r="B71" s="53"/>
      <c r="C71" s="38"/>
      <c r="D71" s="36">
        <v>1.0</v>
      </c>
      <c r="E71" s="56"/>
      <c r="F71" s="55"/>
      <c r="G71" s="41"/>
      <c r="H71" s="41"/>
      <c r="I71" s="50"/>
      <c r="J71" s="50"/>
      <c r="K71" s="50"/>
      <c r="L71" s="56"/>
      <c r="M71" s="58"/>
      <c r="N71" s="40"/>
      <c r="O71" s="40"/>
      <c r="P71" s="58"/>
      <c r="Q71" s="58"/>
      <c r="R71" s="50"/>
      <c r="S71" s="50"/>
      <c r="T71" s="55"/>
      <c r="U71" s="50"/>
      <c r="V71" s="50"/>
      <c r="W71" s="38"/>
      <c r="X71" s="38"/>
      <c r="Y71" s="50"/>
      <c r="Z71" s="70"/>
      <c r="AA71" s="53"/>
      <c r="AB71" s="62">
        <f t="shared" si="7"/>
        <v>1</v>
      </c>
      <c r="AC71" s="80">
        <v>1500.0</v>
      </c>
      <c r="AD71" s="68">
        <f t="shared" si="8"/>
        <v>1500</v>
      </c>
      <c r="AE71" s="17"/>
      <c r="AF71" s="155"/>
      <c r="AG71" s="155"/>
    </row>
    <row r="72">
      <c r="A72" s="226" t="s">
        <v>59</v>
      </c>
      <c r="B72" s="53"/>
      <c r="C72" s="38"/>
      <c r="D72" s="36">
        <v>1.0</v>
      </c>
      <c r="E72" s="56"/>
      <c r="F72" s="55"/>
      <c r="G72" s="41"/>
      <c r="H72" s="41"/>
      <c r="I72" s="39">
        <v>1.0</v>
      </c>
      <c r="J72" s="39">
        <v>1.0</v>
      </c>
      <c r="K72" s="50"/>
      <c r="L72" s="56"/>
      <c r="M72" s="58"/>
      <c r="N72" s="40"/>
      <c r="O72" s="40"/>
      <c r="P72" s="33">
        <v>1.0</v>
      </c>
      <c r="Q72" s="58"/>
      <c r="R72" s="39">
        <v>4.0</v>
      </c>
      <c r="S72" s="39">
        <v>1.0</v>
      </c>
      <c r="T72" s="55"/>
      <c r="U72" s="39">
        <v>1.0</v>
      </c>
      <c r="V72" s="39">
        <v>1.0</v>
      </c>
      <c r="W72" s="36">
        <v>2.0</v>
      </c>
      <c r="X72" s="38"/>
      <c r="Y72" s="39">
        <v>2.0</v>
      </c>
      <c r="Z72" s="70"/>
      <c r="AA72" s="90">
        <v>2.0</v>
      </c>
      <c r="AB72" s="62">
        <f t="shared" si="7"/>
        <v>17</v>
      </c>
      <c r="AC72" s="80">
        <v>1500.0</v>
      </c>
      <c r="AD72" s="68">
        <f t="shared" si="8"/>
        <v>25500</v>
      </c>
      <c r="AE72" s="17"/>
      <c r="AF72" s="155"/>
      <c r="AG72" s="155"/>
    </row>
    <row r="73">
      <c r="A73" s="226" t="s">
        <v>62</v>
      </c>
      <c r="B73" s="53"/>
      <c r="C73" s="38"/>
      <c r="D73" s="38"/>
      <c r="E73" s="56"/>
      <c r="F73" s="55"/>
      <c r="G73" s="41"/>
      <c r="H73" s="41"/>
      <c r="I73" s="39">
        <v>1.0</v>
      </c>
      <c r="J73" s="50"/>
      <c r="K73" s="39">
        <v>2.0</v>
      </c>
      <c r="L73" s="56"/>
      <c r="M73" s="58"/>
      <c r="N73" s="40"/>
      <c r="O73" s="40"/>
      <c r="P73" s="33">
        <v>2.0</v>
      </c>
      <c r="Q73" s="33">
        <v>3.0</v>
      </c>
      <c r="R73" s="39">
        <v>1.0</v>
      </c>
      <c r="S73" s="39">
        <v>1.0</v>
      </c>
      <c r="T73" s="55"/>
      <c r="U73" s="39">
        <v>1.0</v>
      </c>
      <c r="V73" s="39">
        <v>1.0</v>
      </c>
      <c r="W73" s="38"/>
      <c r="X73" s="38"/>
      <c r="Y73" s="50"/>
      <c r="Z73" s="70"/>
      <c r="AA73" s="90">
        <v>1.0</v>
      </c>
      <c r="AB73" s="62">
        <f t="shared" si="7"/>
        <v>13</v>
      </c>
      <c r="AC73" s="80">
        <v>1500.0</v>
      </c>
      <c r="AD73" s="68">
        <f t="shared" si="8"/>
        <v>19500</v>
      </c>
      <c r="AE73" s="17"/>
      <c r="AF73" s="155"/>
      <c r="AG73" s="155"/>
    </row>
    <row r="74">
      <c r="A74" s="226" t="s">
        <v>64</v>
      </c>
      <c r="B74" s="53"/>
      <c r="C74" s="38"/>
      <c r="D74" s="38"/>
      <c r="E74" s="56"/>
      <c r="F74" s="55"/>
      <c r="G74" s="41"/>
      <c r="H74" s="41"/>
      <c r="I74" s="39">
        <v>1.0</v>
      </c>
      <c r="J74" s="50"/>
      <c r="K74" s="39">
        <v>1.0</v>
      </c>
      <c r="L74" s="56"/>
      <c r="M74" s="58"/>
      <c r="N74" s="40"/>
      <c r="O74" s="40"/>
      <c r="P74" s="58"/>
      <c r="Q74" s="58"/>
      <c r="R74" s="50"/>
      <c r="S74" s="39">
        <v>2.0</v>
      </c>
      <c r="T74" s="55"/>
      <c r="U74" s="50"/>
      <c r="V74" s="50"/>
      <c r="W74" s="36">
        <v>3.0</v>
      </c>
      <c r="X74" s="38"/>
      <c r="Y74" s="39">
        <v>1.0</v>
      </c>
      <c r="Z74" s="70"/>
      <c r="AA74" s="53"/>
      <c r="AB74" s="62">
        <f t="shared" si="7"/>
        <v>8</v>
      </c>
      <c r="AC74" s="80">
        <v>1500.0</v>
      </c>
      <c r="AD74" s="68">
        <f t="shared" si="8"/>
        <v>12000</v>
      </c>
      <c r="AE74" s="17"/>
      <c r="AF74" s="155"/>
      <c r="AG74" s="155"/>
    </row>
    <row r="75">
      <c r="A75" s="223" t="s">
        <v>54</v>
      </c>
      <c r="B75" s="90">
        <v>3.0</v>
      </c>
      <c r="C75" s="36">
        <v>1.0</v>
      </c>
      <c r="D75" s="36">
        <v>1.0</v>
      </c>
      <c r="E75" s="56"/>
      <c r="F75" s="55"/>
      <c r="G75" s="41"/>
      <c r="H75" s="41"/>
      <c r="I75" s="39">
        <v>1.0</v>
      </c>
      <c r="J75" s="50"/>
      <c r="K75" s="39">
        <v>1.0</v>
      </c>
      <c r="L75" s="56"/>
      <c r="M75" s="58"/>
      <c r="N75" s="40"/>
      <c r="O75" s="40"/>
      <c r="P75" s="58"/>
      <c r="Q75" s="58"/>
      <c r="R75" s="50"/>
      <c r="S75" s="50"/>
      <c r="T75" s="55"/>
      <c r="U75" s="50"/>
      <c r="V75" s="39">
        <v>1.0</v>
      </c>
      <c r="W75" s="38"/>
      <c r="X75" s="38"/>
      <c r="Y75" s="50"/>
      <c r="Z75" s="70"/>
      <c r="AA75" s="53"/>
      <c r="AB75" s="62">
        <f t="shared" si="7"/>
        <v>8</v>
      </c>
      <c r="AC75" s="80">
        <v>1500.0</v>
      </c>
      <c r="AD75" s="68">
        <f t="shared" si="8"/>
        <v>12000</v>
      </c>
      <c r="AE75" s="17"/>
      <c r="AF75" s="155"/>
      <c r="AG75" s="155"/>
    </row>
    <row r="76">
      <c r="A76" s="226" t="s">
        <v>67</v>
      </c>
      <c r="B76" s="90">
        <v>1.0</v>
      </c>
      <c r="C76" s="38"/>
      <c r="D76" s="38"/>
      <c r="E76" s="56"/>
      <c r="F76" s="55"/>
      <c r="G76" s="41"/>
      <c r="H76" s="41"/>
      <c r="I76" s="50"/>
      <c r="J76" s="39">
        <v>1.0</v>
      </c>
      <c r="K76" s="50"/>
      <c r="L76" s="56"/>
      <c r="M76" s="58"/>
      <c r="N76" s="40"/>
      <c r="O76" s="40"/>
      <c r="P76" s="58"/>
      <c r="Q76" s="58"/>
      <c r="R76" s="39">
        <v>1.0</v>
      </c>
      <c r="S76" s="50"/>
      <c r="T76" s="55"/>
      <c r="U76" s="50"/>
      <c r="V76" s="50"/>
      <c r="W76" s="38"/>
      <c r="X76" s="36">
        <v>1.0</v>
      </c>
      <c r="Y76" s="50"/>
      <c r="Z76" s="70"/>
      <c r="AA76" s="53"/>
      <c r="AB76" s="62">
        <f t="shared" si="7"/>
        <v>4</v>
      </c>
      <c r="AC76" s="80">
        <v>1500.0</v>
      </c>
      <c r="AD76" s="68">
        <f t="shared" si="8"/>
        <v>6000</v>
      </c>
      <c r="AE76" s="17"/>
      <c r="AF76" s="155"/>
      <c r="AG76" s="155"/>
    </row>
    <row r="77">
      <c r="A77" s="223" t="s">
        <v>69</v>
      </c>
      <c r="B77" s="53"/>
      <c r="C77" s="38"/>
      <c r="D77" s="38"/>
      <c r="E77" s="56"/>
      <c r="F77" s="55"/>
      <c r="G77" s="41"/>
      <c r="H77" s="41"/>
      <c r="I77" s="50"/>
      <c r="J77" s="50"/>
      <c r="K77" s="39">
        <v>1.0</v>
      </c>
      <c r="L77" s="56"/>
      <c r="M77" s="58"/>
      <c r="N77" s="40"/>
      <c r="O77" s="40"/>
      <c r="P77" s="58"/>
      <c r="Q77" s="58"/>
      <c r="R77" s="50"/>
      <c r="S77" s="50"/>
      <c r="T77" s="55"/>
      <c r="U77" s="39">
        <v>3.0</v>
      </c>
      <c r="V77" s="50"/>
      <c r="W77" s="38"/>
      <c r="X77" s="38"/>
      <c r="Y77" s="50"/>
      <c r="Z77" s="70"/>
      <c r="AA77" s="53"/>
      <c r="AB77" s="62">
        <f t="shared" si="7"/>
        <v>4</v>
      </c>
      <c r="AC77" s="80">
        <v>600.0</v>
      </c>
      <c r="AD77" s="68">
        <f t="shared" si="8"/>
        <v>2400</v>
      </c>
      <c r="AE77" s="17"/>
      <c r="AF77" s="155"/>
      <c r="AG77" s="155"/>
    </row>
    <row r="78">
      <c r="A78" s="223" t="s">
        <v>71</v>
      </c>
      <c r="B78" s="53"/>
      <c r="C78" s="38"/>
      <c r="D78" s="36">
        <v>3.0</v>
      </c>
      <c r="E78" s="56"/>
      <c r="F78" s="55"/>
      <c r="G78" s="41"/>
      <c r="H78" s="41"/>
      <c r="I78" s="39">
        <v>1.0</v>
      </c>
      <c r="J78" s="39">
        <v>2.0</v>
      </c>
      <c r="K78" s="39">
        <v>2.0</v>
      </c>
      <c r="L78" s="56"/>
      <c r="M78" s="58"/>
      <c r="N78" s="40"/>
      <c r="O78" s="40"/>
      <c r="P78" s="33">
        <v>1.0</v>
      </c>
      <c r="Q78" s="58"/>
      <c r="R78" s="39">
        <v>1.0</v>
      </c>
      <c r="S78" s="39">
        <v>1.0</v>
      </c>
      <c r="T78" s="55"/>
      <c r="U78" s="39">
        <v>7.0</v>
      </c>
      <c r="V78" s="39">
        <v>3.0</v>
      </c>
      <c r="W78" s="36">
        <v>1.0</v>
      </c>
      <c r="X78" s="36">
        <v>3.0</v>
      </c>
      <c r="Y78" s="39">
        <v>1.0</v>
      </c>
      <c r="Z78" s="70"/>
      <c r="AA78" s="90">
        <v>2.0</v>
      </c>
      <c r="AB78" s="62">
        <f t="shared" si="7"/>
        <v>28</v>
      </c>
      <c r="AC78" s="80">
        <v>500.0</v>
      </c>
      <c r="AD78" s="68">
        <f t="shared" si="8"/>
        <v>14000</v>
      </c>
      <c r="AE78" s="17"/>
      <c r="AF78" s="155"/>
      <c r="AG78" s="155"/>
    </row>
    <row r="79">
      <c r="A79" s="226" t="s">
        <v>88</v>
      </c>
      <c r="B79" s="53"/>
      <c r="C79" s="38"/>
      <c r="D79" s="36">
        <v>2.0</v>
      </c>
      <c r="E79" s="56"/>
      <c r="F79" s="55"/>
      <c r="G79" s="41"/>
      <c r="H79" s="41"/>
      <c r="I79" s="39">
        <v>2.0</v>
      </c>
      <c r="J79" s="39">
        <v>4.0</v>
      </c>
      <c r="K79" s="39">
        <v>2.0</v>
      </c>
      <c r="L79" s="56"/>
      <c r="M79" s="33">
        <v>1.0</v>
      </c>
      <c r="N79" s="40"/>
      <c r="O79" s="40"/>
      <c r="P79" s="58"/>
      <c r="Q79" s="33">
        <v>1.0</v>
      </c>
      <c r="R79" s="50"/>
      <c r="S79" s="39">
        <v>1.0</v>
      </c>
      <c r="T79" s="55"/>
      <c r="U79" s="39">
        <v>3.0</v>
      </c>
      <c r="V79" s="39">
        <v>1.0</v>
      </c>
      <c r="W79" s="36">
        <v>1.0</v>
      </c>
      <c r="X79" s="36">
        <v>1.0</v>
      </c>
      <c r="Y79" s="39">
        <v>3.0</v>
      </c>
      <c r="Z79" s="70"/>
      <c r="AA79" s="53"/>
      <c r="AB79" s="62">
        <f t="shared" si="7"/>
        <v>22</v>
      </c>
      <c r="AC79" s="80">
        <v>500.0</v>
      </c>
      <c r="AD79" s="68">
        <f t="shared" si="8"/>
        <v>11000</v>
      </c>
      <c r="AE79" s="17"/>
      <c r="AF79" s="155"/>
      <c r="AG79" s="155"/>
    </row>
    <row r="80">
      <c r="A80" s="226" t="s">
        <v>86</v>
      </c>
      <c r="B80" s="53"/>
      <c r="C80" s="36">
        <v>2.0</v>
      </c>
      <c r="D80" s="36">
        <v>3.0</v>
      </c>
      <c r="E80" s="56"/>
      <c r="F80" s="55"/>
      <c r="G80" s="41"/>
      <c r="H80" s="41"/>
      <c r="I80" s="50"/>
      <c r="J80" s="50"/>
      <c r="K80" s="39">
        <v>1.0</v>
      </c>
      <c r="L80" s="56"/>
      <c r="M80" s="58"/>
      <c r="N80" s="40"/>
      <c r="O80" s="40"/>
      <c r="P80" s="33">
        <v>1.0</v>
      </c>
      <c r="Q80" s="33">
        <v>1.0</v>
      </c>
      <c r="R80" s="39">
        <v>5.0</v>
      </c>
      <c r="S80" s="39">
        <v>8.0</v>
      </c>
      <c r="T80" s="55"/>
      <c r="U80" s="50"/>
      <c r="V80" s="50"/>
      <c r="W80" s="36">
        <v>1.0</v>
      </c>
      <c r="X80" s="36">
        <v>2.0</v>
      </c>
      <c r="Y80" s="39">
        <v>1.0</v>
      </c>
      <c r="Z80" s="70"/>
      <c r="AA80" s="53"/>
      <c r="AB80" s="62">
        <f t="shared" si="7"/>
        <v>25</v>
      </c>
      <c r="AC80" s="80">
        <v>500.0</v>
      </c>
      <c r="AD80" s="68">
        <f t="shared" si="8"/>
        <v>12500</v>
      </c>
      <c r="AE80" s="17"/>
      <c r="AF80" s="155"/>
      <c r="AG80" s="155"/>
    </row>
    <row r="81">
      <c r="A81" s="223" t="s">
        <v>80</v>
      </c>
      <c r="B81" s="53"/>
      <c r="C81" s="36">
        <v>1.0</v>
      </c>
      <c r="D81" s="38"/>
      <c r="E81" s="56"/>
      <c r="F81" s="55"/>
      <c r="G81" s="41"/>
      <c r="H81" s="41"/>
      <c r="I81" s="50"/>
      <c r="J81" s="39">
        <v>1.0</v>
      </c>
      <c r="K81" s="50"/>
      <c r="L81" s="56"/>
      <c r="M81" s="58"/>
      <c r="N81" s="40"/>
      <c r="O81" s="40"/>
      <c r="P81" s="58"/>
      <c r="Q81" s="58"/>
      <c r="R81" s="50"/>
      <c r="S81" s="50"/>
      <c r="T81" s="55"/>
      <c r="U81" s="50"/>
      <c r="V81" s="50"/>
      <c r="W81" s="38"/>
      <c r="X81" s="38"/>
      <c r="Y81" s="50"/>
      <c r="Z81" s="70"/>
      <c r="AA81" s="53"/>
      <c r="AB81" s="62">
        <f t="shared" si="7"/>
        <v>2</v>
      </c>
      <c r="AC81" s="80">
        <v>1500.0</v>
      </c>
      <c r="AD81" s="68">
        <f t="shared" si="8"/>
        <v>3000</v>
      </c>
      <c r="AE81" s="17"/>
      <c r="AF81" s="155"/>
      <c r="AG81" s="155"/>
    </row>
    <row r="82">
      <c r="A82" s="156" t="s">
        <v>164</v>
      </c>
      <c r="B82" s="171"/>
      <c r="C82" s="172"/>
      <c r="D82" s="158">
        <v>2.0</v>
      </c>
      <c r="E82" s="173"/>
      <c r="F82" s="163"/>
      <c r="G82" s="161"/>
      <c r="H82" s="161"/>
      <c r="I82" s="165">
        <v>1.0</v>
      </c>
      <c r="J82" s="159"/>
      <c r="K82" s="165">
        <v>1.0</v>
      </c>
      <c r="L82" s="173"/>
      <c r="M82" s="175"/>
      <c r="N82" s="160"/>
      <c r="O82" s="160"/>
      <c r="P82" s="175"/>
      <c r="Q82" s="175"/>
      <c r="R82" s="159"/>
      <c r="S82" s="165">
        <v>1.0</v>
      </c>
      <c r="T82" s="163"/>
      <c r="U82" s="159"/>
      <c r="V82" s="159"/>
      <c r="W82" s="172"/>
      <c r="X82" s="172"/>
      <c r="Y82" s="159"/>
      <c r="Z82" s="177"/>
      <c r="AA82" s="241">
        <v>2.0</v>
      </c>
      <c r="AB82" s="166">
        <f t="shared" si="7"/>
        <v>7</v>
      </c>
      <c r="AC82" s="167">
        <v>500.0</v>
      </c>
      <c r="AD82" s="168">
        <f t="shared" si="8"/>
        <v>3500</v>
      </c>
      <c r="AE82" s="17"/>
      <c r="AF82" s="155"/>
      <c r="AG82" s="155"/>
    </row>
    <row r="83">
      <c r="A83" s="169" t="s">
        <v>45</v>
      </c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9"/>
      <c r="AD83" s="238">
        <f>SUM(AD69:AD82)</f>
        <v>154100</v>
      </c>
      <c r="AE83" s="17"/>
      <c r="AF83" s="239"/>
      <c r="AG83" s="239"/>
    </row>
    <row r="84">
      <c r="A84" s="24" t="s">
        <v>166</v>
      </c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8"/>
      <c r="AE84" s="17"/>
      <c r="AF84" s="178"/>
      <c r="AG84" s="178"/>
    </row>
    <row r="85">
      <c r="A85" s="156" t="s">
        <v>167</v>
      </c>
      <c r="B85" s="171"/>
      <c r="C85" s="172"/>
      <c r="D85" s="158">
        <v>5.0</v>
      </c>
      <c r="E85" s="173"/>
      <c r="F85" s="163"/>
      <c r="G85" s="161"/>
      <c r="H85" s="161"/>
      <c r="I85" s="159"/>
      <c r="J85" s="159"/>
      <c r="K85" s="159"/>
      <c r="L85" s="173"/>
      <c r="M85" s="175"/>
      <c r="N85" s="160"/>
      <c r="O85" s="160"/>
      <c r="P85" s="175"/>
      <c r="Q85" s="175"/>
      <c r="R85" s="159"/>
      <c r="S85" s="165">
        <v>1.0</v>
      </c>
      <c r="T85" s="163"/>
      <c r="U85" s="159"/>
      <c r="V85" s="165">
        <v>1.0</v>
      </c>
      <c r="W85" s="172"/>
      <c r="X85" s="172"/>
      <c r="Y85" s="159"/>
      <c r="Z85" s="177"/>
      <c r="AA85" s="171"/>
      <c r="AB85" s="166">
        <f>SUM(B85:AA85)</f>
        <v>7</v>
      </c>
      <c r="AC85" s="167">
        <v>350.0</v>
      </c>
      <c r="AD85" s="168">
        <f>AB85*AC85</f>
        <v>2450</v>
      </c>
      <c r="AE85" s="17"/>
      <c r="AF85" s="155"/>
      <c r="AG85" s="155"/>
    </row>
    <row r="86">
      <c r="A86" s="240" t="s">
        <v>45</v>
      </c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  <c r="AB86" s="128"/>
      <c r="AC86" s="129"/>
      <c r="AD86" s="238">
        <f>SUM(AD85)</f>
        <v>2450</v>
      </c>
      <c r="AE86" s="17"/>
      <c r="AF86" s="239"/>
      <c r="AG86" s="239"/>
    </row>
    <row r="87">
      <c r="A87" s="24" t="s">
        <v>169</v>
      </c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8"/>
      <c r="AE87" s="17"/>
      <c r="AF87" s="178"/>
      <c r="AG87" s="178"/>
    </row>
    <row r="88">
      <c r="A88" s="197" t="s">
        <v>170</v>
      </c>
      <c r="B88" s="53"/>
      <c r="C88" s="38"/>
      <c r="D88" s="38"/>
      <c r="E88" s="56"/>
      <c r="F88" s="55"/>
      <c r="G88" s="41"/>
      <c r="H88" s="41"/>
      <c r="I88" s="39">
        <v>1.0</v>
      </c>
      <c r="J88" s="50"/>
      <c r="K88" s="50"/>
      <c r="L88" s="56"/>
      <c r="M88" s="58"/>
      <c r="N88" s="40"/>
      <c r="O88" s="40"/>
      <c r="P88" s="33">
        <v>3.0</v>
      </c>
      <c r="Q88" s="58"/>
      <c r="R88" s="50"/>
      <c r="S88" s="50"/>
      <c r="T88" s="55"/>
      <c r="U88" s="39">
        <v>1.0</v>
      </c>
      <c r="V88" s="39">
        <v>1.0</v>
      </c>
      <c r="W88" s="38"/>
      <c r="X88" s="38"/>
      <c r="Y88" s="50"/>
      <c r="Z88" s="70"/>
      <c r="AA88" s="53"/>
      <c r="AB88" s="62">
        <f t="shared" ref="AB88:AB93" si="9">SUM(B88:AA88)</f>
        <v>6</v>
      </c>
      <c r="AC88" s="242">
        <v>280.0</v>
      </c>
      <c r="AD88" s="68">
        <f t="shared" ref="AD88:AD93" si="10">AB88*AC88</f>
        <v>1680</v>
      </c>
      <c r="AE88" s="17"/>
      <c r="AF88" s="180" t="s">
        <v>180</v>
      </c>
      <c r="AG88" s="155"/>
    </row>
    <row r="89">
      <c r="A89" s="197" t="s">
        <v>173</v>
      </c>
      <c r="B89" s="53"/>
      <c r="C89" s="38"/>
      <c r="D89" s="38"/>
      <c r="E89" s="56"/>
      <c r="F89" s="55"/>
      <c r="G89" s="41"/>
      <c r="H89" s="41"/>
      <c r="I89" s="50"/>
      <c r="J89" s="50"/>
      <c r="K89" s="50"/>
      <c r="L89" s="56"/>
      <c r="M89" s="58"/>
      <c r="N89" s="40"/>
      <c r="O89" s="40"/>
      <c r="P89" s="58"/>
      <c r="Q89" s="58"/>
      <c r="R89" s="50"/>
      <c r="S89" s="50"/>
      <c r="T89" s="55"/>
      <c r="U89" s="50"/>
      <c r="V89" s="50"/>
      <c r="W89" s="38"/>
      <c r="X89" s="38"/>
      <c r="Y89" s="50"/>
      <c r="Z89" s="70"/>
      <c r="AA89" s="53"/>
      <c r="AB89" s="62">
        <f t="shared" si="9"/>
        <v>0</v>
      </c>
      <c r="AC89" s="242">
        <v>260.0</v>
      </c>
      <c r="AD89" s="68">
        <f t="shared" si="10"/>
        <v>0</v>
      </c>
      <c r="AE89" s="17"/>
      <c r="AF89" s="155"/>
      <c r="AG89" s="155"/>
    </row>
    <row r="90">
      <c r="A90" s="243" t="s">
        <v>174</v>
      </c>
      <c r="B90" s="53"/>
      <c r="C90" s="38"/>
      <c r="D90" s="38"/>
      <c r="E90" s="56"/>
      <c r="F90" s="55"/>
      <c r="G90" s="41"/>
      <c r="H90" s="41"/>
      <c r="I90" s="50"/>
      <c r="J90" s="50"/>
      <c r="K90" s="50"/>
      <c r="L90" s="56"/>
      <c r="M90" s="58"/>
      <c r="N90" s="40"/>
      <c r="O90" s="40"/>
      <c r="P90" s="58"/>
      <c r="Q90" s="58"/>
      <c r="R90" s="50"/>
      <c r="S90" s="50"/>
      <c r="T90" s="55"/>
      <c r="U90" s="50"/>
      <c r="V90" s="50"/>
      <c r="W90" s="38"/>
      <c r="X90" s="38"/>
      <c r="Y90" s="50"/>
      <c r="Z90" s="70"/>
      <c r="AA90" s="53"/>
      <c r="AB90" s="62">
        <f t="shared" si="9"/>
        <v>0</v>
      </c>
      <c r="AC90" s="242">
        <v>380.0</v>
      </c>
      <c r="AD90" s="68">
        <f t="shared" si="10"/>
        <v>0</v>
      </c>
      <c r="AE90" s="17"/>
      <c r="AF90" s="155"/>
      <c r="AG90" s="155"/>
    </row>
    <row r="91">
      <c r="A91" s="243" t="s">
        <v>176</v>
      </c>
      <c r="B91" s="53"/>
      <c r="C91" s="38"/>
      <c r="D91" s="38"/>
      <c r="E91" s="56"/>
      <c r="F91" s="55"/>
      <c r="G91" s="41"/>
      <c r="H91" s="41"/>
      <c r="I91" s="50"/>
      <c r="J91" s="50"/>
      <c r="K91" s="50"/>
      <c r="L91" s="56"/>
      <c r="M91" s="58"/>
      <c r="N91" s="40"/>
      <c r="O91" s="40"/>
      <c r="P91" s="58"/>
      <c r="Q91" s="58"/>
      <c r="R91" s="50"/>
      <c r="S91" s="50"/>
      <c r="T91" s="55"/>
      <c r="U91" s="39">
        <v>46.0</v>
      </c>
      <c r="V91" s="50"/>
      <c r="W91" s="38"/>
      <c r="X91" s="38"/>
      <c r="Y91" s="50"/>
      <c r="Z91" s="70"/>
      <c r="AA91" s="53"/>
      <c r="AB91" s="62">
        <f t="shared" si="9"/>
        <v>46</v>
      </c>
      <c r="AC91" s="242">
        <v>420.0</v>
      </c>
      <c r="AD91" s="68">
        <f t="shared" si="10"/>
        <v>19320</v>
      </c>
      <c r="AE91" s="17"/>
      <c r="AF91" s="155"/>
      <c r="AG91" s="155"/>
    </row>
    <row r="92">
      <c r="A92" s="197" t="s">
        <v>177</v>
      </c>
      <c r="B92" s="90">
        <v>1.0</v>
      </c>
      <c r="C92" s="38"/>
      <c r="D92" s="38"/>
      <c r="E92" s="56"/>
      <c r="F92" s="55"/>
      <c r="G92" s="41"/>
      <c r="H92" s="41"/>
      <c r="I92" s="50"/>
      <c r="J92" s="50"/>
      <c r="K92" s="50"/>
      <c r="L92" s="56"/>
      <c r="M92" s="58"/>
      <c r="N92" s="40"/>
      <c r="O92" s="40"/>
      <c r="P92" s="58"/>
      <c r="Q92" s="58"/>
      <c r="R92" s="50"/>
      <c r="S92" s="39">
        <v>1.0</v>
      </c>
      <c r="T92" s="55"/>
      <c r="U92" s="39">
        <v>1.0</v>
      </c>
      <c r="V92" s="50"/>
      <c r="W92" s="38"/>
      <c r="X92" s="38"/>
      <c r="Y92" s="50"/>
      <c r="Z92" s="70"/>
      <c r="AA92" s="53"/>
      <c r="AB92" s="62">
        <f t="shared" si="9"/>
        <v>3</v>
      </c>
      <c r="AC92" s="242">
        <v>795.0</v>
      </c>
      <c r="AD92" s="68">
        <f t="shared" si="10"/>
        <v>2385</v>
      </c>
      <c r="AE92" s="17"/>
      <c r="AF92" s="155"/>
      <c r="AG92" s="155"/>
    </row>
    <row r="93">
      <c r="A93" s="243" t="s">
        <v>179</v>
      </c>
      <c r="B93" s="171"/>
      <c r="C93" s="172"/>
      <c r="D93" s="172"/>
      <c r="E93" s="173"/>
      <c r="F93" s="163"/>
      <c r="G93" s="161"/>
      <c r="H93" s="161"/>
      <c r="I93" s="159"/>
      <c r="J93" s="165">
        <v>2.0</v>
      </c>
      <c r="K93" s="159"/>
      <c r="L93" s="173"/>
      <c r="M93" s="156">
        <v>1.0</v>
      </c>
      <c r="N93" s="160"/>
      <c r="O93" s="160"/>
      <c r="P93" s="156">
        <v>4.0</v>
      </c>
      <c r="Q93" s="175"/>
      <c r="R93" s="165">
        <v>1.0</v>
      </c>
      <c r="S93" s="159"/>
      <c r="T93" s="163"/>
      <c r="U93" s="159"/>
      <c r="V93" s="165">
        <v>9.0</v>
      </c>
      <c r="W93" s="158">
        <v>4.0</v>
      </c>
      <c r="X93" s="172"/>
      <c r="Y93" s="159"/>
      <c r="Z93" s="177"/>
      <c r="AA93" s="241">
        <v>2.0</v>
      </c>
      <c r="AB93" s="166">
        <f t="shared" si="9"/>
        <v>23</v>
      </c>
      <c r="AC93" s="249">
        <v>550.0</v>
      </c>
      <c r="AD93" s="168">
        <f t="shared" si="10"/>
        <v>12650</v>
      </c>
      <c r="AE93" s="17"/>
      <c r="AF93" s="155"/>
      <c r="AG93" s="155"/>
    </row>
    <row r="94">
      <c r="A94" s="169" t="s">
        <v>45</v>
      </c>
      <c r="B94" s="128"/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  <c r="AB94" s="128"/>
      <c r="AC94" s="129"/>
      <c r="AD94" s="174">
        <f>SUM(AD88:AD93)</f>
        <v>36035</v>
      </c>
      <c r="AE94" s="17"/>
      <c r="AF94" s="176"/>
      <c r="AG94" s="176"/>
    </row>
    <row r="95">
      <c r="A95" s="24" t="s">
        <v>181</v>
      </c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8"/>
      <c r="AE95" s="17"/>
      <c r="AF95" s="178"/>
      <c r="AG95" s="178"/>
    </row>
    <row r="96">
      <c r="A96" s="197" t="s">
        <v>182</v>
      </c>
      <c r="B96" s="90">
        <v>5.0</v>
      </c>
      <c r="C96" s="36">
        <v>13.0</v>
      </c>
      <c r="D96" s="36">
        <v>5.0</v>
      </c>
      <c r="E96" s="56"/>
      <c r="F96" s="55"/>
      <c r="G96" s="41"/>
      <c r="H96" s="41"/>
      <c r="I96" s="39">
        <v>5.0</v>
      </c>
      <c r="J96" s="50"/>
      <c r="K96" s="39">
        <v>4.0</v>
      </c>
      <c r="L96" s="56"/>
      <c r="M96" s="58"/>
      <c r="N96" s="40"/>
      <c r="O96" s="40"/>
      <c r="P96" s="33">
        <v>53.0</v>
      </c>
      <c r="Q96" s="33">
        <v>52.0</v>
      </c>
      <c r="R96" s="39">
        <v>6.0</v>
      </c>
      <c r="S96" s="39">
        <v>17.0</v>
      </c>
      <c r="T96" s="55"/>
      <c r="U96" s="39">
        <v>55.0</v>
      </c>
      <c r="V96" s="39">
        <v>65.0</v>
      </c>
      <c r="W96" s="36">
        <v>15.0</v>
      </c>
      <c r="X96" s="36">
        <v>5.0</v>
      </c>
      <c r="Y96" s="39">
        <v>17.0</v>
      </c>
      <c r="Z96" s="70"/>
      <c r="AA96" s="53"/>
      <c r="AB96" s="62">
        <f t="shared" ref="AB96:AB100" si="11">SUM(B96:AA96)</f>
        <v>317</v>
      </c>
      <c r="AC96" s="80">
        <v>50.0</v>
      </c>
      <c r="AD96" s="68">
        <f t="shared" ref="AD96:AD100" si="12">AB96*AC96</f>
        <v>15850</v>
      </c>
      <c r="AE96" s="17"/>
      <c r="AF96" s="155"/>
      <c r="AG96" s="155"/>
    </row>
    <row r="97">
      <c r="A97" s="197" t="s">
        <v>183</v>
      </c>
      <c r="B97" s="53"/>
      <c r="C97" s="38"/>
      <c r="D97" s="38"/>
      <c r="E97" s="56"/>
      <c r="F97" s="55"/>
      <c r="G97" s="41"/>
      <c r="H97" s="41"/>
      <c r="I97" s="50"/>
      <c r="J97" s="50"/>
      <c r="K97" s="39">
        <v>40.0</v>
      </c>
      <c r="L97" s="56"/>
      <c r="M97" s="58"/>
      <c r="N97" s="40"/>
      <c r="O97" s="40"/>
      <c r="P97" s="33">
        <v>1.0</v>
      </c>
      <c r="Q97" s="58"/>
      <c r="R97" s="50"/>
      <c r="S97" s="50"/>
      <c r="T97" s="55"/>
      <c r="U97" s="50"/>
      <c r="V97" s="39">
        <v>3.0</v>
      </c>
      <c r="W97" s="36">
        <v>6.0</v>
      </c>
      <c r="X97" s="38"/>
      <c r="Y97" s="39">
        <v>2.0</v>
      </c>
      <c r="Z97" s="70"/>
      <c r="AA97" s="53"/>
      <c r="AB97" s="62">
        <f t="shared" si="11"/>
        <v>52</v>
      </c>
      <c r="AC97" s="80">
        <v>60.0</v>
      </c>
      <c r="AD97" s="68">
        <f t="shared" si="12"/>
        <v>3120</v>
      </c>
      <c r="AE97" s="17"/>
      <c r="AF97" s="155"/>
      <c r="AG97" s="155"/>
    </row>
    <row r="98">
      <c r="A98" s="197" t="s">
        <v>185</v>
      </c>
      <c r="B98" s="53"/>
      <c r="C98" s="36">
        <v>3.0</v>
      </c>
      <c r="D98" s="38"/>
      <c r="E98" s="56"/>
      <c r="F98" s="55"/>
      <c r="G98" s="41"/>
      <c r="H98" s="41"/>
      <c r="I98" s="39">
        <v>5.0</v>
      </c>
      <c r="J98" s="50"/>
      <c r="K98" s="39">
        <v>2.0</v>
      </c>
      <c r="L98" s="56"/>
      <c r="M98" s="58"/>
      <c r="N98" s="40"/>
      <c r="O98" s="40"/>
      <c r="P98" s="58"/>
      <c r="Q98" s="33">
        <v>1.0</v>
      </c>
      <c r="R98" s="50"/>
      <c r="S98" s="50"/>
      <c r="T98" s="55"/>
      <c r="U98" s="50"/>
      <c r="V98" s="39">
        <v>3.0</v>
      </c>
      <c r="W98" s="38"/>
      <c r="X98" s="36">
        <v>2.0</v>
      </c>
      <c r="Y98" s="39">
        <v>3.0</v>
      </c>
      <c r="Z98" s="70"/>
      <c r="AA98" s="53"/>
      <c r="AB98" s="62">
        <f t="shared" si="11"/>
        <v>19</v>
      </c>
      <c r="AC98" s="80">
        <v>150.0</v>
      </c>
      <c r="AD98" s="68">
        <f t="shared" si="12"/>
        <v>2850</v>
      </c>
      <c r="AE98" s="17"/>
      <c r="AF98" s="155"/>
      <c r="AG98" s="155"/>
    </row>
    <row r="99">
      <c r="A99" s="197" t="s">
        <v>186</v>
      </c>
      <c r="B99" s="90">
        <v>1.0</v>
      </c>
      <c r="C99" s="36">
        <v>8.0</v>
      </c>
      <c r="D99" s="38"/>
      <c r="E99" s="56"/>
      <c r="F99" s="55"/>
      <c r="G99" s="41"/>
      <c r="H99" s="41"/>
      <c r="I99" s="50"/>
      <c r="J99" s="50"/>
      <c r="K99" s="39">
        <v>44.0</v>
      </c>
      <c r="L99" s="56"/>
      <c r="M99" s="58"/>
      <c r="N99" s="40"/>
      <c r="O99" s="40"/>
      <c r="P99" s="33">
        <v>7.0</v>
      </c>
      <c r="Q99" s="58"/>
      <c r="R99" s="39">
        <v>2.0</v>
      </c>
      <c r="S99" s="50"/>
      <c r="T99" s="55"/>
      <c r="U99" s="39">
        <v>1.0</v>
      </c>
      <c r="V99" s="50"/>
      <c r="W99" s="36">
        <v>5.0</v>
      </c>
      <c r="X99" s="36">
        <v>4.0</v>
      </c>
      <c r="Y99" s="50"/>
      <c r="Z99" s="70"/>
      <c r="AA99" s="53"/>
      <c r="AB99" s="62">
        <f t="shared" si="11"/>
        <v>72</v>
      </c>
      <c r="AC99" s="80">
        <v>130.0</v>
      </c>
      <c r="AD99" s="68">
        <f t="shared" si="12"/>
        <v>9360</v>
      </c>
      <c r="AE99" s="17"/>
      <c r="AF99" s="155"/>
      <c r="AG99" s="155"/>
    </row>
    <row r="100">
      <c r="A100" s="243" t="s">
        <v>187</v>
      </c>
      <c r="B100" s="171"/>
      <c r="C100" s="158">
        <v>5.0</v>
      </c>
      <c r="D100" s="158">
        <v>4.0</v>
      </c>
      <c r="E100" s="173"/>
      <c r="F100" s="163"/>
      <c r="G100" s="161"/>
      <c r="H100" s="161"/>
      <c r="I100" s="165">
        <v>1.0</v>
      </c>
      <c r="J100" s="165">
        <v>5.0</v>
      </c>
      <c r="K100" s="165">
        <v>18.0</v>
      </c>
      <c r="L100" s="173"/>
      <c r="M100" s="156">
        <v>2.0</v>
      </c>
      <c r="N100" s="160"/>
      <c r="O100" s="160"/>
      <c r="P100" s="156">
        <v>4.0</v>
      </c>
      <c r="Q100" s="156">
        <v>5.0</v>
      </c>
      <c r="R100" s="165">
        <v>2.0</v>
      </c>
      <c r="S100" s="165">
        <v>2.0</v>
      </c>
      <c r="T100" s="163"/>
      <c r="U100" s="165">
        <v>2.0</v>
      </c>
      <c r="V100" s="165">
        <v>5.0</v>
      </c>
      <c r="W100" s="158">
        <v>3.0</v>
      </c>
      <c r="X100" s="158">
        <v>3.0</v>
      </c>
      <c r="Y100" s="165">
        <v>1.0</v>
      </c>
      <c r="Z100" s="177"/>
      <c r="AA100" s="241">
        <v>1.0</v>
      </c>
      <c r="AB100" s="166">
        <f t="shared" si="11"/>
        <v>63</v>
      </c>
      <c r="AC100" s="167">
        <v>1650.0</v>
      </c>
      <c r="AD100" s="168">
        <f t="shared" si="12"/>
        <v>103950</v>
      </c>
      <c r="AE100" s="17"/>
      <c r="AF100" s="155"/>
      <c r="AG100" s="155"/>
    </row>
    <row r="101">
      <c r="A101" s="251" t="s">
        <v>45</v>
      </c>
      <c r="B101" s="128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  <c r="AA101" s="128"/>
      <c r="AB101" s="128"/>
      <c r="AC101" s="129"/>
      <c r="AD101" s="238">
        <f>SUM(AD96:AD100)</f>
        <v>135130</v>
      </c>
      <c r="AE101" s="17"/>
      <c r="AF101" s="195"/>
      <c r="AG101" s="195"/>
    </row>
    <row r="102">
      <c r="A102" s="24" t="s">
        <v>188</v>
      </c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8"/>
      <c r="AE102" s="17"/>
      <c r="AF102" s="178"/>
      <c r="AG102" s="178"/>
    </row>
    <row r="103">
      <c r="A103" s="252" t="s">
        <v>189</v>
      </c>
      <c r="B103" s="53"/>
      <c r="C103" s="38"/>
      <c r="D103" s="38"/>
      <c r="E103" s="56"/>
      <c r="F103" s="55"/>
      <c r="G103" s="41"/>
      <c r="H103" s="41"/>
      <c r="I103" s="50"/>
      <c r="J103" s="50"/>
      <c r="K103" s="50"/>
      <c r="L103" s="56"/>
      <c r="M103" s="58"/>
      <c r="N103" s="40"/>
      <c r="O103" s="40"/>
      <c r="P103" s="58"/>
      <c r="Q103" s="58"/>
      <c r="R103" s="50"/>
      <c r="S103" s="50"/>
      <c r="T103" s="55"/>
      <c r="U103" s="50"/>
      <c r="V103" s="50"/>
      <c r="W103" s="38"/>
      <c r="X103" s="38"/>
      <c r="Y103" s="50"/>
      <c r="Z103" s="70"/>
      <c r="AA103" s="53"/>
      <c r="AB103" s="62">
        <f t="shared" ref="AB103:AB105" si="13">SUM(B103:AA103)</f>
        <v>0</v>
      </c>
      <c r="AC103" s="80">
        <v>1036.0</v>
      </c>
      <c r="AD103" s="68">
        <f t="shared" ref="AD103:AD105" si="14">AB103*AC103</f>
        <v>0</v>
      </c>
      <c r="AE103" s="17"/>
      <c r="AF103" s="180" t="s">
        <v>194</v>
      </c>
      <c r="AG103" s="155"/>
    </row>
    <row r="104">
      <c r="A104" s="33" t="s">
        <v>25</v>
      </c>
      <c r="B104" s="53"/>
      <c r="C104" s="38"/>
      <c r="D104" s="36">
        <v>5.0</v>
      </c>
      <c r="E104" s="56"/>
      <c r="F104" s="55"/>
      <c r="G104" s="41"/>
      <c r="H104" s="41"/>
      <c r="I104" s="50"/>
      <c r="J104" s="50"/>
      <c r="K104" s="50"/>
      <c r="L104" s="56"/>
      <c r="M104" s="58"/>
      <c r="N104" s="40"/>
      <c r="O104" s="40"/>
      <c r="P104" s="58"/>
      <c r="Q104" s="58"/>
      <c r="R104" s="50"/>
      <c r="S104" s="50"/>
      <c r="T104" s="55"/>
      <c r="U104" s="50"/>
      <c r="V104" s="50"/>
      <c r="W104" s="38"/>
      <c r="X104" s="38"/>
      <c r="Y104" s="50"/>
      <c r="Z104" s="70"/>
      <c r="AA104" s="53"/>
      <c r="AB104" s="62">
        <f t="shared" si="13"/>
        <v>5</v>
      </c>
      <c r="AC104" s="80">
        <v>840.0</v>
      </c>
      <c r="AD104" s="68">
        <f t="shared" si="14"/>
        <v>4200</v>
      </c>
      <c r="AE104" s="17"/>
      <c r="AF104" s="155"/>
      <c r="AG104" s="155"/>
    </row>
    <row r="105">
      <c r="A105" s="253" t="s">
        <v>17</v>
      </c>
      <c r="B105" s="171"/>
      <c r="C105" s="158">
        <v>3.0</v>
      </c>
      <c r="D105" s="158">
        <v>1.0</v>
      </c>
      <c r="E105" s="173"/>
      <c r="F105" s="163"/>
      <c r="G105" s="161"/>
      <c r="H105" s="161"/>
      <c r="I105" s="165">
        <v>2.0</v>
      </c>
      <c r="J105" s="165">
        <v>3.0</v>
      </c>
      <c r="K105" s="159"/>
      <c r="L105" s="173"/>
      <c r="M105" s="156">
        <v>1.0</v>
      </c>
      <c r="N105" s="160"/>
      <c r="O105" s="160"/>
      <c r="P105" s="156">
        <v>2.0</v>
      </c>
      <c r="Q105" s="175"/>
      <c r="R105" s="165">
        <v>3.0</v>
      </c>
      <c r="S105" s="165">
        <v>1.0</v>
      </c>
      <c r="T105" s="163"/>
      <c r="U105" s="165">
        <v>1.0</v>
      </c>
      <c r="V105" s="159"/>
      <c r="W105" s="158">
        <v>2.0</v>
      </c>
      <c r="X105" s="158">
        <v>2.0</v>
      </c>
      <c r="Y105" s="159"/>
      <c r="Z105" s="177"/>
      <c r="AA105" s="241">
        <v>6.0</v>
      </c>
      <c r="AB105" s="166">
        <f t="shared" si="13"/>
        <v>27</v>
      </c>
      <c r="AC105" s="167">
        <v>1125.0</v>
      </c>
      <c r="AD105" s="168">
        <f t="shared" si="14"/>
        <v>30375</v>
      </c>
      <c r="AE105" s="17"/>
      <c r="AF105" s="155"/>
      <c r="AG105" s="155"/>
    </row>
    <row r="106">
      <c r="A106" s="254" t="s">
        <v>45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8"/>
      <c r="AB106" s="128"/>
      <c r="AC106" s="129"/>
      <c r="AD106" s="174">
        <f>SUM(AD103:AD105)</f>
        <v>34575</v>
      </c>
      <c r="AE106" s="17"/>
      <c r="AF106" s="255"/>
      <c r="AG106" s="255"/>
    </row>
    <row r="107">
      <c r="A107" s="256" t="s">
        <v>192</v>
      </c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8"/>
      <c r="AE107" s="17"/>
      <c r="AF107" s="257"/>
      <c r="AG107" s="257"/>
    </row>
    <row r="108">
      <c r="A108" s="258" t="s">
        <v>193</v>
      </c>
      <c r="B108" s="53"/>
      <c r="C108" s="38"/>
      <c r="D108" s="38"/>
      <c r="E108" s="56"/>
      <c r="F108" s="55"/>
      <c r="G108" s="41"/>
      <c r="H108" s="41"/>
      <c r="I108" s="50"/>
      <c r="J108" s="39">
        <v>1.0</v>
      </c>
      <c r="K108" s="39">
        <v>2.0</v>
      </c>
      <c r="L108" s="56"/>
      <c r="M108" s="58"/>
      <c r="N108" s="40"/>
      <c r="O108" s="40"/>
      <c r="P108" s="33">
        <v>1.0</v>
      </c>
      <c r="Q108" s="58"/>
      <c r="R108" s="39">
        <v>1.0</v>
      </c>
      <c r="S108" s="50"/>
      <c r="T108" s="55"/>
      <c r="U108" s="39">
        <v>1.0</v>
      </c>
      <c r="V108" s="50"/>
      <c r="W108" s="36">
        <v>1.0</v>
      </c>
      <c r="X108" s="38"/>
      <c r="Y108" s="50"/>
      <c r="Z108" s="70"/>
      <c r="AA108" s="53"/>
      <c r="AB108" s="62">
        <f t="shared" ref="AB108:AB116" si="15">SUM(B108:AA108)</f>
        <v>7</v>
      </c>
      <c r="AC108" s="80">
        <v>130.0</v>
      </c>
      <c r="AD108" s="68">
        <f t="shared" ref="AD108:AD116" si="16">AB108*AC108</f>
        <v>910</v>
      </c>
      <c r="AE108" s="17"/>
      <c r="AF108" s="180" t="s">
        <v>202</v>
      </c>
      <c r="AG108" s="155"/>
    </row>
    <row r="109">
      <c r="A109" s="258" t="s">
        <v>196</v>
      </c>
      <c r="B109" s="53"/>
      <c r="C109" s="38"/>
      <c r="D109" s="38"/>
      <c r="E109" s="56"/>
      <c r="F109" s="55"/>
      <c r="G109" s="41"/>
      <c r="H109" s="41"/>
      <c r="I109" s="50"/>
      <c r="J109" s="39">
        <v>1.0</v>
      </c>
      <c r="K109" s="50"/>
      <c r="L109" s="56"/>
      <c r="M109" s="58"/>
      <c r="N109" s="40"/>
      <c r="O109" s="40"/>
      <c r="P109" s="58"/>
      <c r="Q109" s="58"/>
      <c r="R109" s="50"/>
      <c r="S109" s="50"/>
      <c r="T109" s="55"/>
      <c r="U109" s="50"/>
      <c r="V109" s="50"/>
      <c r="W109" s="38"/>
      <c r="X109" s="38"/>
      <c r="Y109" s="50"/>
      <c r="Z109" s="70"/>
      <c r="AA109" s="90">
        <v>2.0</v>
      </c>
      <c r="AB109" s="62">
        <f t="shared" si="15"/>
        <v>3</v>
      </c>
      <c r="AC109" s="80">
        <v>130.0</v>
      </c>
      <c r="AD109" s="68">
        <f t="shared" si="16"/>
        <v>390</v>
      </c>
      <c r="AE109" s="17"/>
      <c r="AF109" s="155"/>
      <c r="AG109" s="155"/>
    </row>
    <row r="110">
      <c r="A110" s="258" t="s">
        <v>198</v>
      </c>
      <c r="B110" s="90">
        <v>1.0</v>
      </c>
      <c r="C110" s="36">
        <v>21.0</v>
      </c>
      <c r="D110" s="38"/>
      <c r="E110" s="56"/>
      <c r="F110" s="55"/>
      <c r="G110" s="41"/>
      <c r="H110" s="41"/>
      <c r="I110" s="50"/>
      <c r="J110" s="50"/>
      <c r="K110" s="39">
        <v>1.0</v>
      </c>
      <c r="L110" s="56"/>
      <c r="M110" s="58"/>
      <c r="N110" s="40"/>
      <c r="O110" s="40"/>
      <c r="P110" s="33">
        <v>1.0</v>
      </c>
      <c r="Q110" s="33">
        <v>1.0</v>
      </c>
      <c r="R110" s="39">
        <v>1.0</v>
      </c>
      <c r="S110" s="39">
        <v>6.0</v>
      </c>
      <c r="T110" s="55"/>
      <c r="U110" s="50"/>
      <c r="V110" s="50"/>
      <c r="W110" s="36">
        <v>2.0</v>
      </c>
      <c r="X110" s="38"/>
      <c r="Y110" s="39">
        <v>5.0</v>
      </c>
      <c r="Z110" s="70"/>
      <c r="AA110" s="90">
        <v>5.0</v>
      </c>
      <c r="AB110" s="62">
        <f t="shared" si="15"/>
        <v>44</v>
      </c>
      <c r="AC110" s="80">
        <v>90.0</v>
      </c>
      <c r="AD110" s="68">
        <f t="shared" si="16"/>
        <v>3960</v>
      </c>
      <c r="AE110" s="17"/>
      <c r="AF110" s="155"/>
      <c r="AG110" s="155"/>
    </row>
    <row r="111">
      <c r="A111" s="147" t="s">
        <v>199</v>
      </c>
      <c r="B111" s="53"/>
      <c r="C111" s="38"/>
      <c r="D111" s="38"/>
      <c r="E111" s="56"/>
      <c r="F111" s="55"/>
      <c r="G111" s="41"/>
      <c r="H111" s="41"/>
      <c r="I111" s="50"/>
      <c r="J111" s="50"/>
      <c r="K111" s="50"/>
      <c r="L111" s="56"/>
      <c r="M111" s="58"/>
      <c r="N111" s="40"/>
      <c r="O111" s="40"/>
      <c r="P111" s="58"/>
      <c r="Q111" s="58"/>
      <c r="R111" s="50"/>
      <c r="S111" s="50"/>
      <c r="T111" s="55"/>
      <c r="U111" s="50"/>
      <c r="V111" s="50"/>
      <c r="W111" s="38"/>
      <c r="X111" s="38"/>
      <c r="Y111" s="50"/>
      <c r="Z111" s="70"/>
      <c r="AA111" s="53"/>
      <c r="AB111" s="62">
        <f t="shared" si="15"/>
        <v>0</v>
      </c>
      <c r="AC111" s="80">
        <v>90.0</v>
      </c>
      <c r="AD111" s="68">
        <f t="shared" si="16"/>
        <v>0</v>
      </c>
      <c r="AE111" s="17"/>
      <c r="AF111" s="155"/>
      <c r="AG111" s="155"/>
    </row>
    <row r="112">
      <c r="A112" s="258" t="s">
        <v>201</v>
      </c>
      <c r="B112" s="90">
        <v>1.0</v>
      </c>
      <c r="C112" s="36">
        <v>2.0</v>
      </c>
      <c r="D112" s="36">
        <v>1.0</v>
      </c>
      <c r="E112" s="56"/>
      <c r="F112" s="55"/>
      <c r="G112" s="41"/>
      <c r="H112" s="41"/>
      <c r="I112" s="39">
        <v>1.0</v>
      </c>
      <c r="J112" s="39">
        <v>2.0</v>
      </c>
      <c r="K112" s="39">
        <v>4.0</v>
      </c>
      <c r="L112" s="56"/>
      <c r="M112" s="58"/>
      <c r="N112" s="40"/>
      <c r="O112" s="40"/>
      <c r="P112" s="33">
        <v>1.0</v>
      </c>
      <c r="Q112" s="33">
        <v>1.0</v>
      </c>
      <c r="R112" s="39">
        <v>1.0</v>
      </c>
      <c r="S112" s="39">
        <v>2.0</v>
      </c>
      <c r="T112" s="55"/>
      <c r="U112" s="50"/>
      <c r="V112" s="50"/>
      <c r="W112" s="38"/>
      <c r="X112" s="36">
        <v>4.0</v>
      </c>
      <c r="Y112" s="50"/>
      <c r="Z112" s="70"/>
      <c r="AA112" s="90">
        <v>3.0</v>
      </c>
      <c r="AB112" s="62">
        <f t="shared" si="15"/>
        <v>23</v>
      </c>
      <c r="AC112" s="80">
        <v>200.0</v>
      </c>
      <c r="AD112" s="68">
        <f t="shared" si="16"/>
        <v>4600</v>
      </c>
      <c r="AE112" s="17"/>
      <c r="AF112" s="155"/>
      <c r="AG112" s="155"/>
    </row>
    <row r="113">
      <c r="A113" s="258" t="s">
        <v>203</v>
      </c>
      <c r="B113" s="53"/>
      <c r="C113" s="38"/>
      <c r="D113" s="38"/>
      <c r="E113" s="56"/>
      <c r="F113" s="55"/>
      <c r="G113" s="41"/>
      <c r="H113" s="41"/>
      <c r="I113" s="50"/>
      <c r="J113" s="50"/>
      <c r="K113" s="50"/>
      <c r="L113" s="56"/>
      <c r="M113" s="58"/>
      <c r="N113" s="40"/>
      <c r="O113" s="40"/>
      <c r="P113" s="58"/>
      <c r="Q113" s="58"/>
      <c r="R113" s="50"/>
      <c r="S113" s="39">
        <v>2.0</v>
      </c>
      <c r="T113" s="55"/>
      <c r="U113" s="50"/>
      <c r="V113" s="50"/>
      <c r="W113" s="38"/>
      <c r="X113" s="38"/>
      <c r="Y113" s="50"/>
      <c r="Z113" s="70"/>
      <c r="AA113" s="53"/>
      <c r="AB113" s="62">
        <f t="shared" si="15"/>
        <v>2</v>
      </c>
      <c r="AC113" s="80">
        <v>200.0</v>
      </c>
      <c r="AD113" s="68">
        <f t="shared" si="16"/>
        <v>400</v>
      </c>
      <c r="AE113" s="17"/>
      <c r="AF113" s="155"/>
      <c r="AG113" s="155"/>
    </row>
    <row r="114">
      <c r="A114" s="258" t="s">
        <v>204</v>
      </c>
      <c r="B114" s="53"/>
      <c r="C114" s="38"/>
      <c r="D114" s="38"/>
      <c r="E114" s="56"/>
      <c r="F114" s="55"/>
      <c r="G114" s="41"/>
      <c r="H114" s="41"/>
      <c r="I114" s="50"/>
      <c r="J114" s="50"/>
      <c r="K114" s="50"/>
      <c r="L114" s="56"/>
      <c r="M114" s="58"/>
      <c r="N114" s="40"/>
      <c r="O114" s="40"/>
      <c r="P114" s="58"/>
      <c r="Q114" s="58"/>
      <c r="R114" s="50"/>
      <c r="S114" s="50"/>
      <c r="T114" s="55"/>
      <c r="U114" s="50"/>
      <c r="V114" s="50"/>
      <c r="W114" s="38"/>
      <c r="X114" s="38"/>
      <c r="Y114" s="50"/>
      <c r="Z114" s="70"/>
      <c r="AA114" s="53"/>
      <c r="AB114" s="62">
        <f t="shared" si="15"/>
        <v>0</v>
      </c>
      <c r="AC114" s="80">
        <v>600.0</v>
      </c>
      <c r="AD114" s="68">
        <f t="shared" si="16"/>
        <v>0</v>
      </c>
      <c r="AE114" s="17"/>
      <c r="AF114" s="155"/>
      <c r="AG114" s="155"/>
    </row>
    <row r="115">
      <c r="A115" s="258" t="s">
        <v>205</v>
      </c>
      <c r="B115" s="53"/>
      <c r="C115" s="38"/>
      <c r="D115" s="36">
        <v>1.0</v>
      </c>
      <c r="E115" s="56"/>
      <c r="F115" s="55"/>
      <c r="G115" s="41"/>
      <c r="H115" s="41"/>
      <c r="I115" s="50"/>
      <c r="J115" s="50"/>
      <c r="K115" s="50"/>
      <c r="L115" s="56"/>
      <c r="M115" s="58"/>
      <c r="N115" s="40"/>
      <c r="O115" s="40"/>
      <c r="P115" s="58"/>
      <c r="Q115" s="58"/>
      <c r="R115" s="50"/>
      <c r="S115" s="39">
        <v>2.0</v>
      </c>
      <c r="T115" s="55"/>
      <c r="U115" s="50"/>
      <c r="V115" s="50"/>
      <c r="W115" s="38"/>
      <c r="X115" s="38"/>
      <c r="Y115" s="39">
        <v>1.0</v>
      </c>
      <c r="Z115" s="70"/>
      <c r="AA115" s="90">
        <v>1.0</v>
      </c>
      <c r="AB115" s="62">
        <f t="shared" si="15"/>
        <v>5</v>
      </c>
      <c r="AC115" s="80">
        <v>600.0</v>
      </c>
      <c r="AD115" s="68">
        <f t="shared" si="16"/>
        <v>3000</v>
      </c>
      <c r="AE115" s="17"/>
      <c r="AF115" s="155"/>
      <c r="AG115" s="155"/>
    </row>
    <row r="116">
      <c r="A116" s="259" t="s">
        <v>206</v>
      </c>
      <c r="B116" s="171"/>
      <c r="C116" s="172"/>
      <c r="D116" s="172"/>
      <c r="E116" s="173"/>
      <c r="F116" s="163"/>
      <c r="G116" s="161"/>
      <c r="H116" s="161"/>
      <c r="I116" s="159"/>
      <c r="J116" s="159"/>
      <c r="K116" s="159"/>
      <c r="L116" s="173"/>
      <c r="M116" s="175"/>
      <c r="N116" s="160"/>
      <c r="O116" s="160"/>
      <c r="P116" s="175"/>
      <c r="Q116" s="175"/>
      <c r="R116" s="159"/>
      <c r="S116" s="159"/>
      <c r="T116" s="163"/>
      <c r="U116" s="159"/>
      <c r="V116" s="159"/>
      <c r="W116" s="172"/>
      <c r="X116" s="172"/>
      <c r="Y116" s="159"/>
      <c r="Z116" s="177"/>
      <c r="AA116" s="171"/>
      <c r="AB116" s="166">
        <f t="shared" si="15"/>
        <v>0</v>
      </c>
      <c r="AC116" s="167">
        <v>1300.0</v>
      </c>
      <c r="AD116" s="168">
        <f t="shared" si="16"/>
        <v>0</v>
      </c>
      <c r="AE116" s="17"/>
      <c r="AF116" s="155"/>
      <c r="AG116" s="155"/>
    </row>
    <row r="117">
      <c r="A117" s="254" t="s">
        <v>45</v>
      </c>
      <c r="B117" s="128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  <c r="AA117" s="128"/>
      <c r="AB117" s="128"/>
      <c r="AC117" s="129"/>
      <c r="AD117" s="260">
        <f>SUM(AD108:AD116)</f>
        <v>13260</v>
      </c>
      <c r="AE117" s="17"/>
      <c r="AF117" s="261"/>
      <c r="AG117" s="261"/>
    </row>
    <row r="118">
      <c r="A118" s="262" t="s">
        <v>208</v>
      </c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8"/>
      <c r="AE118" s="17"/>
      <c r="AF118" s="257"/>
      <c r="AG118" s="257"/>
    </row>
    <row r="119">
      <c r="A119" s="142" t="s">
        <v>210</v>
      </c>
      <c r="B119" s="53"/>
      <c r="C119" s="38"/>
      <c r="D119" s="38"/>
      <c r="E119" s="56"/>
      <c r="F119" s="55"/>
      <c r="G119" s="41"/>
      <c r="H119" s="41"/>
      <c r="I119" s="50"/>
      <c r="J119" s="50"/>
      <c r="K119" s="50"/>
      <c r="L119" s="56"/>
      <c r="M119" s="58"/>
      <c r="N119" s="40"/>
      <c r="O119" s="40"/>
      <c r="P119" s="58"/>
      <c r="Q119" s="58"/>
      <c r="R119" s="50"/>
      <c r="S119" s="50"/>
      <c r="T119" s="55"/>
      <c r="U119" s="39">
        <v>1.0</v>
      </c>
      <c r="V119" s="50"/>
      <c r="W119" s="38"/>
      <c r="X119" s="38"/>
      <c r="Y119" s="50"/>
      <c r="Z119" s="70"/>
      <c r="AA119" s="53"/>
      <c r="AB119" s="62">
        <f t="shared" ref="AB119:AB124" si="17">SUM(B119:AA119)</f>
        <v>1</v>
      </c>
      <c r="AC119" s="80">
        <v>700.0</v>
      </c>
      <c r="AD119" s="68">
        <f t="shared" ref="AD119:AD124" si="18">AB119*AC119</f>
        <v>700</v>
      </c>
      <c r="AE119" s="17"/>
      <c r="AF119" s="180" t="s">
        <v>219</v>
      </c>
      <c r="AG119" s="155"/>
    </row>
    <row r="120">
      <c r="A120" s="142" t="s">
        <v>213</v>
      </c>
      <c r="B120" s="53"/>
      <c r="C120" s="38"/>
      <c r="D120" s="38"/>
      <c r="E120" s="56"/>
      <c r="F120" s="55"/>
      <c r="G120" s="41"/>
      <c r="H120" s="41"/>
      <c r="I120" s="50"/>
      <c r="J120" s="50"/>
      <c r="K120" s="50"/>
      <c r="L120" s="56"/>
      <c r="M120" s="58"/>
      <c r="N120" s="40"/>
      <c r="O120" s="40"/>
      <c r="P120" s="58"/>
      <c r="Q120" s="58"/>
      <c r="R120" s="50"/>
      <c r="S120" s="50"/>
      <c r="T120" s="55"/>
      <c r="U120" s="50"/>
      <c r="V120" s="39">
        <v>1.0</v>
      </c>
      <c r="W120" s="38"/>
      <c r="X120" s="38"/>
      <c r="Y120" s="50"/>
      <c r="Z120" s="70"/>
      <c r="AA120" s="53"/>
      <c r="AB120" s="62">
        <f t="shared" si="17"/>
        <v>1</v>
      </c>
      <c r="AC120" s="80">
        <v>1450.0</v>
      </c>
      <c r="AD120" s="68">
        <f t="shared" si="18"/>
        <v>1450</v>
      </c>
      <c r="AE120" s="17"/>
      <c r="AF120" s="155"/>
      <c r="AG120" s="155"/>
    </row>
    <row r="121">
      <c r="A121" s="142" t="s">
        <v>215</v>
      </c>
      <c r="B121" s="53"/>
      <c r="C121" s="38"/>
      <c r="D121" s="38"/>
      <c r="E121" s="56"/>
      <c r="F121" s="55"/>
      <c r="G121" s="41"/>
      <c r="H121" s="41"/>
      <c r="I121" s="50"/>
      <c r="J121" s="50"/>
      <c r="K121" s="50"/>
      <c r="L121" s="56"/>
      <c r="M121" s="58"/>
      <c r="N121" s="40"/>
      <c r="O121" s="40"/>
      <c r="P121" s="58"/>
      <c r="Q121" s="58"/>
      <c r="R121" s="50"/>
      <c r="S121" s="50"/>
      <c r="T121" s="55"/>
      <c r="U121" s="50"/>
      <c r="V121" s="50"/>
      <c r="W121" s="36">
        <v>1.0</v>
      </c>
      <c r="X121" s="38"/>
      <c r="Y121" s="50"/>
      <c r="Z121" s="70"/>
      <c r="AA121" s="53"/>
      <c r="AB121" s="62">
        <f t="shared" si="17"/>
        <v>1</v>
      </c>
      <c r="AC121" s="80">
        <v>800.0</v>
      </c>
      <c r="AD121" s="68">
        <f t="shared" si="18"/>
        <v>800</v>
      </c>
      <c r="AE121" s="17"/>
      <c r="AF121" s="155"/>
      <c r="AG121" s="155"/>
    </row>
    <row r="122">
      <c r="A122" s="142" t="s">
        <v>217</v>
      </c>
      <c r="B122" s="90">
        <v>1.0</v>
      </c>
      <c r="C122" s="38"/>
      <c r="D122" s="36">
        <v>1.0</v>
      </c>
      <c r="E122" s="56"/>
      <c r="F122" s="55"/>
      <c r="G122" s="41"/>
      <c r="H122" s="41"/>
      <c r="I122" s="50"/>
      <c r="J122" s="50"/>
      <c r="K122" s="50"/>
      <c r="L122" s="56"/>
      <c r="M122" s="58"/>
      <c r="N122" s="40"/>
      <c r="O122" s="40"/>
      <c r="P122" s="33">
        <v>1.0</v>
      </c>
      <c r="Q122" s="58"/>
      <c r="R122" s="50"/>
      <c r="S122" s="39">
        <v>2.0</v>
      </c>
      <c r="T122" s="55"/>
      <c r="U122" s="50"/>
      <c r="V122" s="39">
        <v>1.0</v>
      </c>
      <c r="W122" s="38"/>
      <c r="X122" s="38"/>
      <c r="Y122" s="50"/>
      <c r="Z122" s="70"/>
      <c r="AA122" s="53"/>
      <c r="AB122" s="62">
        <f t="shared" si="17"/>
        <v>6</v>
      </c>
      <c r="AC122" s="80">
        <v>800.0</v>
      </c>
      <c r="AD122" s="68">
        <f t="shared" si="18"/>
        <v>4800</v>
      </c>
      <c r="AE122" s="17"/>
      <c r="AF122" s="155"/>
      <c r="AG122" s="155"/>
    </row>
    <row r="123">
      <c r="A123" s="142" t="s">
        <v>222</v>
      </c>
      <c r="B123" s="90">
        <v>3.0</v>
      </c>
      <c r="C123" s="36">
        <v>1.0</v>
      </c>
      <c r="D123" s="36">
        <v>5.0</v>
      </c>
      <c r="E123" s="56"/>
      <c r="F123" s="55"/>
      <c r="G123" s="41"/>
      <c r="H123" s="41"/>
      <c r="I123" s="50"/>
      <c r="J123" s="39">
        <v>3.0</v>
      </c>
      <c r="K123" s="39">
        <v>2.0</v>
      </c>
      <c r="L123" s="56"/>
      <c r="M123" s="58"/>
      <c r="N123" s="40"/>
      <c r="O123" s="40"/>
      <c r="P123" s="58"/>
      <c r="Q123" s="33">
        <v>1.0</v>
      </c>
      <c r="R123" s="39">
        <v>1.0</v>
      </c>
      <c r="S123" s="39">
        <v>4.0</v>
      </c>
      <c r="T123" s="55"/>
      <c r="U123" s="39">
        <v>2.0</v>
      </c>
      <c r="V123" s="39">
        <v>1.0</v>
      </c>
      <c r="W123" s="36">
        <v>1.0</v>
      </c>
      <c r="X123" s="38"/>
      <c r="Y123" s="50"/>
      <c r="Z123" s="70"/>
      <c r="AA123" s="53"/>
      <c r="AB123" s="62">
        <f t="shared" si="17"/>
        <v>24</v>
      </c>
      <c r="AC123" s="80">
        <v>260.0</v>
      </c>
      <c r="AD123" s="68">
        <f t="shared" si="18"/>
        <v>6240</v>
      </c>
      <c r="AE123" s="17"/>
      <c r="AF123" s="155"/>
      <c r="AG123" s="155"/>
    </row>
    <row r="124">
      <c r="A124" s="263" t="s">
        <v>221</v>
      </c>
      <c r="B124" s="241">
        <v>1.0</v>
      </c>
      <c r="C124" s="172"/>
      <c r="D124" s="172"/>
      <c r="E124" s="173"/>
      <c r="F124" s="163"/>
      <c r="G124" s="161"/>
      <c r="H124" s="161"/>
      <c r="I124" s="159"/>
      <c r="J124" s="159"/>
      <c r="K124" s="159"/>
      <c r="L124" s="173"/>
      <c r="M124" s="175"/>
      <c r="N124" s="160"/>
      <c r="O124" s="160"/>
      <c r="P124" s="175"/>
      <c r="Q124" s="175"/>
      <c r="R124" s="159"/>
      <c r="S124" s="165">
        <v>2.0</v>
      </c>
      <c r="T124" s="163"/>
      <c r="U124" s="159"/>
      <c r="V124" s="165">
        <v>1.0</v>
      </c>
      <c r="W124" s="172"/>
      <c r="X124" s="172"/>
      <c r="Y124" s="159"/>
      <c r="Z124" s="177"/>
      <c r="AA124" s="171"/>
      <c r="AB124" s="166">
        <f t="shared" si="17"/>
        <v>4</v>
      </c>
      <c r="AC124" s="167">
        <v>180.0</v>
      </c>
      <c r="AD124" s="168">
        <f t="shared" si="18"/>
        <v>720</v>
      </c>
      <c r="AE124" s="17"/>
      <c r="AF124" s="155"/>
      <c r="AG124" s="155"/>
    </row>
    <row r="125">
      <c r="A125" s="254" t="s">
        <v>45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  <c r="AA125" s="128"/>
      <c r="AB125" s="128"/>
      <c r="AC125" s="129"/>
      <c r="AD125" s="260">
        <f>SUM(AD119:AD124)</f>
        <v>14710</v>
      </c>
      <c r="AE125" s="17"/>
      <c r="AF125" s="261"/>
      <c r="AG125" s="261"/>
    </row>
    <row r="126">
      <c r="A126" s="262" t="s">
        <v>223</v>
      </c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8"/>
      <c r="AE126" s="17"/>
      <c r="AF126" s="257"/>
      <c r="AG126" s="257"/>
    </row>
    <row r="127">
      <c r="A127" s="266" t="s">
        <v>224</v>
      </c>
      <c r="B127" s="90">
        <v>1.0</v>
      </c>
      <c r="C127" s="38"/>
      <c r="D127" s="36">
        <v>1.0</v>
      </c>
      <c r="E127" s="56"/>
      <c r="F127" s="55"/>
      <c r="G127" s="41"/>
      <c r="H127" s="41"/>
      <c r="I127" s="39">
        <v>1.0</v>
      </c>
      <c r="J127" s="39">
        <v>1.0</v>
      </c>
      <c r="K127" s="50"/>
      <c r="L127" s="56"/>
      <c r="M127" s="58"/>
      <c r="N127" s="40"/>
      <c r="O127" s="40"/>
      <c r="P127" s="33">
        <v>4.0</v>
      </c>
      <c r="Q127" s="33">
        <v>1.0</v>
      </c>
      <c r="R127" s="50"/>
      <c r="S127" s="50"/>
      <c r="T127" s="55"/>
      <c r="U127" s="39">
        <v>1.0</v>
      </c>
      <c r="V127" s="39">
        <v>3.0</v>
      </c>
      <c r="W127" s="36">
        <v>2.0</v>
      </c>
      <c r="X127" s="38"/>
      <c r="Y127" s="39">
        <v>6.0</v>
      </c>
      <c r="Z127" s="70"/>
      <c r="AA127" s="90">
        <v>4.0</v>
      </c>
      <c r="AB127" s="62">
        <f t="shared" ref="AB127:AB128" si="19">SUM(B127:AA127)</f>
        <v>25</v>
      </c>
      <c r="AC127" s="80">
        <v>325.0</v>
      </c>
      <c r="AD127" s="68">
        <f t="shared" ref="AD127:AD128" si="20">AB127*AC127</f>
        <v>8125</v>
      </c>
      <c r="AE127" s="17"/>
      <c r="AF127" s="180" t="s">
        <v>14</v>
      </c>
      <c r="AG127" s="155"/>
    </row>
    <row r="128">
      <c r="A128" s="268" t="s">
        <v>226</v>
      </c>
      <c r="B128" s="90">
        <v>4.0</v>
      </c>
      <c r="C128" s="36">
        <v>1.0</v>
      </c>
      <c r="D128" s="36">
        <v>1.0</v>
      </c>
      <c r="E128" s="56"/>
      <c r="F128" s="55"/>
      <c r="G128" s="41"/>
      <c r="H128" s="41"/>
      <c r="I128" s="39">
        <v>1.0</v>
      </c>
      <c r="J128" s="50"/>
      <c r="K128" s="50"/>
      <c r="L128" s="56"/>
      <c r="M128" s="33">
        <v>1.0</v>
      </c>
      <c r="N128" s="40"/>
      <c r="O128" s="40"/>
      <c r="P128" s="58"/>
      <c r="Q128" s="33">
        <v>1.0</v>
      </c>
      <c r="R128" s="39">
        <v>1.0</v>
      </c>
      <c r="S128" s="39">
        <v>1.0</v>
      </c>
      <c r="T128" s="55"/>
      <c r="U128" s="39">
        <v>3.0</v>
      </c>
      <c r="V128" s="39">
        <v>2.0</v>
      </c>
      <c r="W128" s="36">
        <v>4.0</v>
      </c>
      <c r="X128" s="36">
        <v>6.0</v>
      </c>
      <c r="Y128" s="39">
        <v>2.0</v>
      </c>
      <c r="Z128" s="70"/>
      <c r="AA128" s="90">
        <v>2.0</v>
      </c>
      <c r="AB128" s="62">
        <f t="shared" si="19"/>
        <v>30</v>
      </c>
      <c r="AC128" s="80">
        <v>485.0</v>
      </c>
      <c r="AD128" s="68">
        <f t="shared" si="20"/>
        <v>14550</v>
      </c>
      <c r="AE128" s="17"/>
      <c r="AF128" s="155"/>
      <c r="AG128" s="155"/>
    </row>
    <row r="129">
      <c r="A129" s="254" t="s">
        <v>45</v>
      </c>
      <c r="B129" s="128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  <c r="AA129" s="128"/>
      <c r="AB129" s="128"/>
      <c r="AC129" s="129"/>
      <c r="AD129" s="260">
        <f>SUM(AD127:AD128)</f>
        <v>22675</v>
      </c>
      <c r="AE129" s="17"/>
      <c r="AF129" s="261"/>
      <c r="AG129" s="261"/>
    </row>
    <row r="130">
      <c r="A130" s="262" t="s">
        <v>230</v>
      </c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8"/>
      <c r="AE130" s="17"/>
      <c r="AF130" s="257"/>
      <c r="AG130" s="257"/>
    </row>
    <row r="131">
      <c r="A131" s="268" t="s">
        <v>231</v>
      </c>
      <c r="B131" s="53"/>
      <c r="C131" s="38"/>
      <c r="D131" s="38"/>
      <c r="E131" s="56"/>
      <c r="F131" s="55"/>
      <c r="G131" s="41"/>
      <c r="H131" s="41"/>
      <c r="I131" s="50"/>
      <c r="J131" s="50"/>
      <c r="K131" s="50"/>
      <c r="L131" s="56"/>
      <c r="M131" s="58"/>
      <c r="N131" s="40"/>
      <c r="O131" s="40"/>
      <c r="P131" s="58"/>
      <c r="Q131" s="58"/>
      <c r="R131" s="50"/>
      <c r="S131" s="50"/>
      <c r="T131" s="55"/>
      <c r="U131" s="50"/>
      <c r="V131" s="50"/>
      <c r="W131" s="38"/>
      <c r="X131" s="36">
        <v>6.0</v>
      </c>
      <c r="Y131" s="50"/>
      <c r="Z131" s="70"/>
      <c r="AA131" s="53"/>
      <c r="AB131" s="62">
        <f t="shared" ref="AB131:AB133" si="21">SUM(B131:AA131)</f>
        <v>6</v>
      </c>
      <c r="AC131" s="80">
        <v>1150.0</v>
      </c>
      <c r="AD131" s="68">
        <f t="shared" ref="AD131:AD133" si="22">AB131*AC131</f>
        <v>6900</v>
      </c>
      <c r="AE131" s="17"/>
      <c r="AF131" s="155"/>
      <c r="AG131" s="155"/>
    </row>
    <row r="132">
      <c r="A132" s="268" t="s">
        <v>233</v>
      </c>
      <c r="B132" s="90">
        <v>2.0</v>
      </c>
      <c r="C132" s="36">
        <v>1.0</v>
      </c>
      <c r="D132" s="36">
        <v>2.0</v>
      </c>
      <c r="E132" s="56"/>
      <c r="F132" s="55"/>
      <c r="G132" s="41"/>
      <c r="H132" s="41"/>
      <c r="I132" s="39">
        <v>7.0</v>
      </c>
      <c r="J132" s="39">
        <v>7.0</v>
      </c>
      <c r="K132" s="39">
        <v>5.0</v>
      </c>
      <c r="L132" s="56"/>
      <c r="M132" s="33">
        <v>2.0</v>
      </c>
      <c r="N132" s="40"/>
      <c r="O132" s="40"/>
      <c r="P132" s="33">
        <v>2.0</v>
      </c>
      <c r="Q132" s="33">
        <v>4.0</v>
      </c>
      <c r="R132" s="39">
        <v>2.0</v>
      </c>
      <c r="S132" s="39">
        <v>2.0</v>
      </c>
      <c r="T132" s="55"/>
      <c r="U132" s="39">
        <v>7.0</v>
      </c>
      <c r="V132" s="39">
        <v>2.0</v>
      </c>
      <c r="W132" s="36">
        <v>4.0</v>
      </c>
      <c r="X132" s="36">
        <v>1.0</v>
      </c>
      <c r="Y132" s="39">
        <v>3.0</v>
      </c>
      <c r="Z132" s="70"/>
      <c r="AA132" s="53"/>
      <c r="AB132" s="62">
        <f t="shared" si="21"/>
        <v>53</v>
      </c>
      <c r="AC132" s="80">
        <v>1250.0</v>
      </c>
      <c r="AD132" s="68">
        <f t="shared" si="22"/>
        <v>66250</v>
      </c>
      <c r="AE132" s="17"/>
      <c r="AF132" s="155"/>
      <c r="AG132" s="155"/>
    </row>
    <row r="133">
      <c r="A133" s="156" t="s">
        <v>235</v>
      </c>
      <c r="B133" s="171"/>
      <c r="C133" s="172"/>
      <c r="D133" s="172"/>
      <c r="E133" s="173"/>
      <c r="F133" s="163"/>
      <c r="G133" s="161"/>
      <c r="H133" s="161"/>
      <c r="I133" s="165"/>
      <c r="J133" s="159"/>
      <c r="K133" s="159"/>
      <c r="L133" s="173"/>
      <c r="M133" s="175"/>
      <c r="N133" s="160"/>
      <c r="O133" s="160"/>
      <c r="P133" s="175"/>
      <c r="Q133" s="175"/>
      <c r="R133" s="159"/>
      <c r="S133" s="159"/>
      <c r="T133" s="163"/>
      <c r="U133" s="159"/>
      <c r="V133" s="159"/>
      <c r="W133" s="172"/>
      <c r="X133" s="158"/>
      <c r="Y133" s="159"/>
      <c r="Z133" s="177"/>
      <c r="AA133" s="171"/>
      <c r="AB133" s="166">
        <f t="shared" si="21"/>
        <v>0</v>
      </c>
      <c r="AC133" s="168"/>
      <c r="AD133" s="168">
        <f t="shared" si="22"/>
        <v>0</v>
      </c>
      <c r="AE133" s="17"/>
      <c r="AF133" s="155"/>
      <c r="AG133" s="155"/>
    </row>
    <row r="134">
      <c r="A134" s="254" t="s">
        <v>45</v>
      </c>
      <c r="B134" s="128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9"/>
      <c r="AD134" s="270">
        <f>SUM(AD127:AD133)</f>
        <v>118500</v>
      </c>
      <c r="AE134" s="17"/>
      <c r="AF134" s="271"/>
      <c r="AG134" s="271"/>
    </row>
    <row r="135">
      <c r="A135" s="272" t="s">
        <v>238</v>
      </c>
      <c r="B135" s="134"/>
      <c r="C135" s="134"/>
      <c r="D135" s="134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  <c r="AA135" s="134"/>
      <c r="AB135" s="134"/>
      <c r="AC135" s="134"/>
      <c r="AD135" s="135"/>
      <c r="AE135" s="17"/>
      <c r="AF135" s="257"/>
      <c r="AG135" s="257"/>
    </row>
    <row r="136">
      <c r="A136" s="273" t="s">
        <v>228</v>
      </c>
      <c r="B136" s="53"/>
      <c r="C136" s="36">
        <v>15.0</v>
      </c>
      <c r="D136" s="38"/>
      <c r="E136" s="56"/>
      <c r="F136" s="55"/>
      <c r="G136" s="41"/>
      <c r="H136" s="41"/>
      <c r="I136" s="50"/>
      <c r="J136" s="50"/>
      <c r="K136" s="39">
        <v>1.0</v>
      </c>
      <c r="L136" s="56"/>
      <c r="M136" s="58"/>
      <c r="N136" s="40"/>
      <c r="O136" s="40"/>
      <c r="P136" s="33">
        <v>3.0</v>
      </c>
      <c r="Q136" s="33">
        <v>2.0</v>
      </c>
      <c r="R136" s="50"/>
      <c r="S136" s="39">
        <v>7.0</v>
      </c>
      <c r="T136" s="55"/>
      <c r="U136" s="50"/>
      <c r="V136" s="39">
        <v>1.0</v>
      </c>
      <c r="W136" s="38"/>
      <c r="X136" s="38"/>
      <c r="Y136" s="50"/>
      <c r="Z136" s="70"/>
      <c r="AA136" s="90">
        <v>4.0</v>
      </c>
      <c r="AB136" s="62">
        <f t="shared" ref="AB136:AB141" si="23">SUM(B136:AA136)</f>
        <v>33</v>
      </c>
      <c r="AC136" s="80">
        <v>320.0</v>
      </c>
      <c r="AD136" s="68">
        <f t="shared" ref="AD136:AD141" si="24">AB136*AC136</f>
        <v>10560</v>
      </c>
      <c r="AE136" s="17"/>
      <c r="AF136" s="155"/>
      <c r="AG136" s="155"/>
    </row>
    <row r="137">
      <c r="A137" s="197" t="s">
        <v>232</v>
      </c>
      <c r="B137" s="53"/>
      <c r="C137" s="38"/>
      <c r="D137" s="38"/>
      <c r="E137" s="56"/>
      <c r="F137" s="55"/>
      <c r="G137" s="41"/>
      <c r="H137" s="41"/>
      <c r="I137" s="50"/>
      <c r="J137" s="50"/>
      <c r="K137" s="50"/>
      <c r="L137" s="56"/>
      <c r="M137" s="58"/>
      <c r="N137" s="40"/>
      <c r="O137" s="40"/>
      <c r="P137" s="58"/>
      <c r="Q137" s="58"/>
      <c r="R137" s="50"/>
      <c r="S137" s="50"/>
      <c r="T137" s="55"/>
      <c r="U137" s="50"/>
      <c r="V137" s="50"/>
      <c r="W137" s="38"/>
      <c r="X137" s="38"/>
      <c r="Y137" s="50"/>
      <c r="Z137" s="70"/>
      <c r="AA137" s="53"/>
      <c r="AB137" s="62">
        <f t="shared" si="23"/>
        <v>0</v>
      </c>
      <c r="AC137" s="80">
        <v>130.0</v>
      </c>
      <c r="AD137" s="68">
        <f t="shared" si="24"/>
        <v>0</v>
      </c>
      <c r="AE137" s="17"/>
      <c r="AF137" s="155"/>
      <c r="AG137" s="155"/>
    </row>
    <row r="138">
      <c r="A138" s="197" t="s">
        <v>234</v>
      </c>
      <c r="B138" s="53"/>
      <c r="C138" s="38"/>
      <c r="D138" s="38"/>
      <c r="E138" s="56"/>
      <c r="F138" s="55"/>
      <c r="G138" s="41"/>
      <c r="H138" s="41"/>
      <c r="I138" s="50"/>
      <c r="J138" s="50"/>
      <c r="K138" s="50"/>
      <c r="L138" s="56"/>
      <c r="M138" s="58"/>
      <c r="N138" s="40"/>
      <c r="O138" s="40"/>
      <c r="P138" s="58"/>
      <c r="Q138" s="58"/>
      <c r="R138" s="50"/>
      <c r="S138" s="50"/>
      <c r="T138" s="55"/>
      <c r="U138" s="50"/>
      <c r="V138" s="50"/>
      <c r="W138" s="38"/>
      <c r="X138" s="38"/>
      <c r="Y138" s="50"/>
      <c r="Z138" s="70"/>
      <c r="AA138" s="53"/>
      <c r="AB138" s="62">
        <f t="shared" si="23"/>
        <v>0</v>
      </c>
      <c r="AC138" s="80">
        <v>80.0</v>
      </c>
      <c r="AD138" s="68">
        <f t="shared" si="24"/>
        <v>0</v>
      </c>
      <c r="AE138" s="17"/>
      <c r="AF138" s="155"/>
      <c r="AG138" s="155"/>
    </row>
    <row r="139">
      <c r="A139" s="197" t="s">
        <v>241</v>
      </c>
      <c r="B139" s="90">
        <v>5.0</v>
      </c>
      <c r="C139" s="36">
        <v>4.0</v>
      </c>
      <c r="D139" s="38"/>
      <c r="E139" s="56"/>
      <c r="F139" s="55"/>
      <c r="G139" s="41"/>
      <c r="H139" s="41"/>
      <c r="I139" s="50"/>
      <c r="J139" s="50"/>
      <c r="K139" s="39">
        <v>4.0</v>
      </c>
      <c r="L139" s="56"/>
      <c r="M139" s="58"/>
      <c r="N139" s="40"/>
      <c r="O139" s="40"/>
      <c r="P139" s="58"/>
      <c r="Q139" s="33">
        <v>7.0</v>
      </c>
      <c r="R139" s="39">
        <v>6.0</v>
      </c>
      <c r="S139" s="50"/>
      <c r="T139" s="55"/>
      <c r="U139" s="39">
        <v>2.0</v>
      </c>
      <c r="V139" s="39">
        <v>1.0</v>
      </c>
      <c r="W139" s="36">
        <v>8.0</v>
      </c>
      <c r="X139" s="36">
        <v>5.0</v>
      </c>
      <c r="Y139" s="39">
        <v>1.0</v>
      </c>
      <c r="Z139" s="70"/>
      <c r="AA139" s="53"/>
      <c r="AB139" s="62">
        <f t="shared" si="23"/>
        <v>43</v>
      </c>
      <c r="AC139" s="80">
        <v>40.0</v>
      </c>
      <c r="AD139" s="68">
        <f t="shared" si="24"/>
        <v>1720</v>
      </c>
      <c r="AE139" s="17"/>
      <c r="AF139" s="155"/>
      <c r="AG139" s="155"/>
    </row>
    <row r="140">
      <c r="A140" s="197" t="s">
        <v>243</v>
      </c>
      <c r="B140" s="53"/>
      <c r="C140" s="36">
        <v>1.0</v>
      </c>
      <c r="D140" s="36">
        <v>1.0</v>
      </c>
      <c r="E140" s="56"/>
      <c r="F140" s="55"/>
      <c r="G140" s="41"/>
      <c r="H140" s="41"/>
      <c r="I140" s="50"/>
      <c r="J140" s="39">
        <v>1.0</v>
      </c>
      <c r="K140" s="39">
        <v>2.0</v>
      </c>
      <c r="L140" s="56"/>
      <c r="M140" s="33">
        <v>1.0</v>
      </c>
      <c r="N140" s="40"/>
      <c r="O140" s="40"/>
      <c r="P140" s="33">
        <v>1.0</v>
      </c>
      <c r="Q140" s="58"/>
      <c r="R140" s="39">
        <v>3.0</v>
      </c>
      <c r="S140" s="39">
        <v>4.0</v>
      </c>
      <c r="T140" s="55"/>
      <c r="U140" s="50"/>
      <c r="V140" s="50"/>
      <c r="W140" s="38"/>
      <c r="X140" s="36">
        <v>2.0</v>
      </c>
      <c r="Y140" s="39">
        <v>1.0</v>
      </c>
      <c r="Z140" s="70"/>
      <c r="AA140" s="53"/>
      <c r="AB140" s="62">
        <f t="shared" si="23"/>
        <v>17</v>
      </c>
      <c r="AC140" s="80">
        <v>120.0</v>
      </c>
      <c r="AD140" s="68">
        <f t="shared" si="24"/>
        <v>2040</v>
      </c>
      <c r="AE140" s="17"/>
      <c r="AF140" s="155"/>
      <c r="AG140" s="155"/>
    </row>
    <row r="141">
      <c r="A141" s="243" t="s">
        <v>245</v>
      </c>
      <c r="B141" s="171"/>
      <c r="C141" s="172"/>
      <c r="D141" s="172"/>
      <c r="E141" s="173"/>
      <c r="F141" s="163"/>
      <c r="G141" s="161"/>
      <c r="H141" s="161"/>
      <c r="I141" s="165">
        <v>3.0</v>
      </c>
      <c r="J141" s="159"/>
      <c r="K141" s="159"/>
      <c r="L141" s="173"/>
      <c r="M141" s="175"/>
      <c r="N141" s="160"/>
      <c r="O141" s="160"/>
      <c r="P141" s="175"/>
      <c r="Q141" s="175"/>
      <c r="R141" s="159"/>
      <c r="S141" s="159"/>
      <c r="T141" s="163"/>
      <c r="U141" s="165">
        <v>1.0</v>
      </c>
      <c r="V141" s="159"/>
      <c r="W141" s="158">
        <v>2.0</v>
      </c>
      <c r="X141" s="158">
        <v>4.0</v>
      </c>
      <c r="Y141" s="159"/>
      <c r="Z141" s="177"/>
      <c r="AA141" s="171"/>
      <c r="AB141" s="166">
        <f t="shared" si="23"/>
        <v>10</v>
      </c>
      <c r="AC141" s="167">
        <v>25.0</v>
      </c>
      <c r="AD141" s="168">
        <f t="shared" si="24"/>
        <v>250</v>
      </c>
      <c r="AE141" s="17"/>
      <c r="AF141" s="155"/>
      <c r="AG141" s="155"/>
    </row>
    <row r="142">
      <c r="A142" s="274" t="s">
        <v>45</v>
      </c>
      <c r="B142" s="275"/>
      <c r="C142" s="275"/>
      <c r="D142" s="275"/>
      <c r="E142" s="275"/>
      <c r="F142" s="275"/>
      <c r="G142" s="275"/>
      <c r="H142" s="275"/>
      <c r="I142" s="275"/>
      <c r="J142" s="275"/>
      <c r="K142" s="275"/>
      <c r="L142" s="275"/>
      <c r="M142" s="275"/>
      <c r="N142" s="275"/>
      <c r="O142" s="275"/>
      <c r="P142" s="275"/>
      <c r="Q142" s="275"/>
      <c r="R142" s="275"/>
      <c r="S142" s="275"/>
      <c r="T142" s="275"/>
      <c r="U142" s="275"/>
      <c r="V142" s="275"/>
      <c r="W142" s="275"/>
      <c r="X142" s="275"/>
      <c r="Y142" s="275"/>
      <c r="Z142" s="275"/>
      <c r="AA142" s="275"/>
      <c r="AB142" s="275"/>
      <c r="AC142" s="276"/>
      <c r="AD142" s="277">
        <f>SUM(AD136:AD141)</f>
        <v>14570</v>
      </c>
      <c r="AE142" s="17"/>
      <c r="AF142" s="255"/>
      <c r="AG142" s="255"/>
    </row>
    <row r="143">
      <c r="A143" s="290" t="s">
        <v>247</v>
      </c>
      <c r="B143" s="128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9"/>
      <c r="AE143" s="17"/>
      <c r="AF143" s="257"/>
      <c r="AG143" s="257"/>
    </row>
    <row r="144">
      <c r="A144" s="279" t="s">
        <v>248</v>
      </c>
      <c r="B144" s="291"/>
      <c r="C144" s="291"/>
      <c r="D144" s="291"/>
      <c r="E144" s="292"/>
      <c r="F144" s="293"/>
      <c r="G144" s="294"/>
      <c r="H144" s="294"/>
      <c r="I144" s="291"/>
      <c r="J144" s="291"/>
      <c r="K144" s="291"/>
      <c r="L144" s="292"/>
      <c r="M144" s="291"/>
      <c r="N144" s="296"/>
      <c r="O144" s="296"/>
      <c r="P144" s="291"/>
      <c r="Q144" s="291"/>
      <c r="R144" s="291"/>
      <c r="S144" s="291"/>
      <c r="T144" s="293"/>
      <c r="U144" s="291"/>
      <c r="V144" s="291"/>
      <c r="W144" s="291"/>
      <c r="X144" s="291"/>
      <c r="Y144" s="291"/>
      <c r="Z144" s="299"/>
      <c r="AA144" s="291"/>
      <c r="AB144" s="287">
        <f t="shared" ref="AB144:AB156" si="25">SUM(B144:AA144)</f>
        <v>0</v>
      </c>
      <c r="AC144" s="288">
        <v>1940.0</v>
      </c>
      <c r="AD144" s="288">
        <f t="shared" ref="AD144:AD156" si="26">AB144*AC144</f>
        <v>0</v>
      </c>
      <c r="AE144" s="17"/>
      <c r="AF144" s="257" t="s">
        <v>249</v>
      </c>
      <c r="AG144" s="257"/>
    </row>
    <row r="145">
      <c r="A145" s="279" t="s">
        <v>250</v>
      </c>
      <c r="B145" s="291"/>
      <c r="C145" s="291"/>
      <c r="D145" s="291"/>
      <c r="E145" s="292"/>
      <c r="F145" s="293"/>
      <c r="G145" s="294"/>
      <c r="H145" s="294"/>
      <c r="I145" s="291"/>
      <c r="J145" s="291"/>
      <c r="K145" s="291"/>
      <c r="L145" s="292"/>
      <c r="M145" s="291"/>
      <c r="N145" s="296"/>
      <c r="O145" s="296"/>
      <c r="P145" s="291"/>
      <c r="Q145" s="291"/>
      <c r="R145" s="291"/>
      <c r="S145" s="291"/>
      <c r="T145" s="293"/>
      <c r="U145" s="291"/>
      <c r="V145" s="291"/>
      <c r="W145" s="291"/>
      <c r="X145" s="291"/>
      <c r="Y145" s="291"/>
      <c r="Z145" s="299"/>
      <c r="AA145" s="291"/>
      <c r="AB145" s="287">
        <f t="shared" si="25"/>
        <v>0</v>
      </c>
      <c r="AC145" s="288">
        <v>1820.0</v>
      </c>
      <c r="AD145" s="288">
        <f t="shared" si="26"/>
        <v>0</v>
      </c>
      <c r="AE145" s="17"/>
      <c r="AF145" s="257"/>
      <c r="AG145" s="257"/>
    </row>
    <row r="146">
      <c r="A146" s="279" t="s">
        <v>251</v>
      </c>
      <c r="B146" s="291"/>
      <c r="C146" s="291"/>
      <c r="D146" s="291"/>
      <c r="E146" s="292"/>
      <c r="F146" s="293"/>
      <c r="G146" s="294"/>
      <c r="H146" s="294"/>
      <c r="I146" s="291"/>
      <c r="J146" s="291"/>
      <c r="K146" s="291"/>
      <c r="L146" s="292"/>
      <c r="M146" s="291"/>
      <c r="N146" s="296"/>
      <c r="O146" s="296"/>
      <c r="P146" s="291"/>
      <c r="Q146" s="291"/>
      <c r="R146" s="291"/>
      <c r="S146" s="291"/>
      <c r="T146" s="293"/>
      <c r="U146" s="291"/>
      <c r="V146" s="291"/>
      <c r="W146" s="291"/>
      <c r="X146" s="291"/>
      <c r="Y146" s="291"/>
      <c r="Z146" s="299"/>
      <c r="AA146" s="291"/>
      <c r="AB146" s="287">
        <f t="shared" si="25"/>
        <v>0</v>
      </c>
      <c r="AC146" s="288">
        <v>1940.0</v>
      </c>
      <c r="AD146" s="288">
        <f t="shared" si="26"/>
        <v>0</v>
      </c>
      <c r="AE146" s="17"/>
      <c r="AF146" s="257" t="s">
        <v>83</v>
      </c>
      <c r="AG146" s="257"/>
    </row>
    <row r="147">
      <c r="A147" s="279" t="s">
        <v>253</v>
      </c>
      <c r="B147" s="291"/>
      <c r="C147" s="291"/>
      <c r="D147" s="291"/>
      <c r="E147" s="292"/>
      <c r="F147" s="293"/>
      <c r="G147" s="294"/>
      <c r="H147" s="294"/>
      <c r="I147" s="291"/>
      <c r="J147" s="291"/>
      <c r="K147" s="291"/>
      <c r="L147" s="292"/>
      <c r="M147" s="291"/>
      <c r="N147" s="296"/>
      <c r="O147" s="296"/>
      <c r="P147" s="291"/>
      <c r="Q147" s="291"/>
      <c r="R147" s="291"/>
      <c r="S147" s="291"/>
      <c r="T147" s="293"/>
      <c r="U147" s="291"/>
      <c r="V147" s="291"/>
      <c r="W147" s="291"/>
      <c r="X147" s="291"/>
      <c r="Y147" s="291"/>
      <c r="Z147" s="299"/>
      <c r="AA147" s="291"/>
      <c r="AB147" s="287">
        <f t="shared" si="25"/>
        <v>0</v>
      </c>
      <c r="AC147" s="288">
        <v>2000.0</v>
      </c>
      <c r="AD147" s="288">
        <f t="shared" si="26"/>
        <v>0</v>
      </c>
      <c r="AE147" s="17"/>
      <c r="AF147" s="257"/>
      <c r="AG147" s="257"/>
    </row>
    <row r="148">
      <c r="A148" s="279" t="s">
        <v>255</v>
      </c>
      <c r="B148" s="291"/>
      <c r="C148" s="291"/>
      <c r="D148" s="291"/>
      <c r="E148" s="292"/>
      <c r="F148" s="293"/>
      <c r="G148" s="294"/>
      <c r="H148" s="294"/>
      <c r="I148" s="291"/>
      <c r="J148" s="291"/>
      <c r="K148" s="291"/>
      <c r="L148" s="292"/>
      <c r="M148" s="291"/>
      <c r="N148" s="296"/>
      <c r="O148" s="296"/>
      <c r="P148" s="291"/>
      <c r="Q148" s="291"/>
      <c r="R148" s="291"/>
      <c r="S148" s="291"/>
      <c r="T148" s="293"/>
      <c r="U148" s="291"/>
      <c r="V148" s="291"/>
      <c r="W148" s="291"/>
      <c r="X148" s="291"/>
      <c r="Y148" s="291"/>
      <c r="Z148" s="299"/>
      <c r="AA148" s="291"/>
      <c r="AB148" s="287">
        <f t="shared" si="25"/>
        <v>0</v>
      </c>
      <c r="AC148" s="288">
        <v>2140.0</v>
      </c>
      <c r="AD148" s="288">
        <f t="shared" si="26"/>
        <v>0</v>
      </c>
      <c r="AE148" s="17"/>
      <c r="AF148" s="257"/>
      <c r="AG148" s="257"/>
    </row>
    <row r="149">
      <c r="A149" s="279" t="s">
        <v>256</v>
      </c>
      <c r="B149" s="291"/>
      <c r="C149" s="291"/>
      <c r="D149" s="291"/>
      <c r="E149" s="292"/>
      <c r="F149" s="293"/>
      <c r="G149" s="294"/>
      <c r="H149" s="294"/>
      <c r="I149" s="291"/>
      <c r="J149" s="291"/>
      <c r="K149" s="291"/>
      <c r="L149" s="292"/>
      <c r="M149" s="291"/>
      <c r="N149" s="296"/>
      <c r="O149" s="296"/>
      <c r="P149" s="291"/>
      <c r="Q149" s="291"/>
      <c r="R149" s="291"/>
      <c r="S149" s="291"/>
      <c r="T149" s="293"/>
      <c r="U149" s="291"/>
      <c r="V149" s="291"/>
      <c r="W149" s="291"/>
      <c r="X149" s="291"/>
      <c r="Y149" s="291"/>
      <c r="Z149" s="299"/>
      <c r="AA149" s="291"/>
      <c r="AB149" s="287">
        <f t="shared" si="25"/>
        <v>0</v>
      </c>
      <c r="AC149" s="288">
        <v>2500.0</v>
      </c>
      <c r="AD149" s="288">
        <f t="shared" si="26"/>
        <v>0</v>
      </c>
      <c r="AE149" s="17"/>
      <c r="AF149" s="257"/>
      <c r="AG149" s="257"/>
    </row>
    <row r="150">
      <c r="A150" s="279" t="s">
        <v>258</v>
      </c>
      <c r="B150" s="291"/>
      <c r="C150" s="291"/>
      <c r="D150" s="291"/>
      <c r="E150" s="292"/>
      <c r="F150" s="293"/>
      <c r="G150" s="294"/>
      <c r="H150" s="294"/>
      <c r="I150" s="291"/>
      <c r="J150" s="291"/>
      <c r="K150" s="291"/>
      <c r="L150" s="292"/>
      <c r="M150" s="291"/>
      <c r="N150" s="296"/>
      <c r="O150" s="296"/>
      <c r="P150" s="291"/>
      <c r="Q150" s="291"/>
      <c r="R150" s="291"/>
      <c r="S150" s="291"/>
      <c r="T150" s="293"/>
      <c r="U150" s="291"/>
      <c r="V150" s="291"/>
      <c r="W150" s="291"/>
      <c r="X150" s="291"/>
      <c r="Y150" s="266">
        <v>1.0</v>
      </c>
      <c r="Z150" s="299"/>
      <c r="AA150" s="291"/>
      <c r="AB150" s="287">
        <f t="shared" si="25"/>
        <v>1</v>
      </c>
      <c r="AC150" s="288">
        <v>1300.0</v>
      </c>
      <c r="AD150" s="288">
        <f t="shared" si="26"/>
        <v>1300</v>
      </c>
      <c r="AE150" s="17"/>
      <c r="AF150" s="257"/>
      <c r="AG150" s="257"/>
    </row>
    <row r="151">
      <c r="A151" s="279" t="s">
        <v>259</v>
      </c>
      <c r="B151" s="291"/>
      <c r="C151" s="291"/>
      <c r="D151" s="291"/>
      <c r="E151" s="292"/>
      <c r="F151" s="293"/>
      <c r="G151" s="294"/>
      <c r="H151" s="294"/>
      <c r="I151" s="291"/>
      <c r="J151" s="291"/>
      <c r="K151" s="291"/>
      <c r="L151" s="292"/>
      <c r="M151" s="291"/>
      <c r="N151" s="296"/>
      <c r="O151" s="296"/>
      <c r="P151" s="291"/>
      <c r="Q151" s="291"/>
      <c r="R151" s="291"/>
      <c r="S151" s="291"/>
      <c r="T151" s="293"/>
      <c r="U151" s="291"/>
      <c r="V151" s="291"/>
      <c r="W151" s="291"/>
      <c r="X151" s="291"/>
      <c r="Y151" s="291"/>
      <c r="Z151" s="299"/>
      <c r="AA151" s="291"/>
      <c r="AB151" s="287">
        <f t="shared" si="25"/>
        <v>0</v>
      </c>
      <c r="AC151" s="288">
        <v>2500.0</v>
      </c>
      <c r="AD151" s="288">
        <f t="shared" si="26"/>
        <v>0</v>
      </c>
      <c r="AE151" s="17"/>
      <c r="AF151" s="257"/>
      <c r="AG151" s="257"/>
    </row>
    <row r="152">
      <c r="A152" s="279" t="s">
        <v>259</v>
      </c>
      <c r="B152" s="291"/>
      <c r="C152" s="291"/>
      <c r="D152" s="291"/>
      <c r="E152" s="292"/>
      <c r="F152" s="293"/>
      <c r="G152" s="294"/>
      <c r="H152" s="294"/>
      <c r="I152" s="291"/>
      <c r="J152" s="291"/>
      <c r="K152" s="291"/>
      <c r="L152" s="292"/>
      <c r="M152" s="291"/>
      <c r="N152" s="296"/>
      <c r="O152" s="296"/>
      <c r="P152" s="291"/>
      <c r="Q152" s="291"/>
      <c r="R152" s="291"/>
      <c r="S152" s="291"/>
      <c r="T152" s="293"/>
      <c r="U152" s="291"/>
      <c r="V152" s="291"/>
      <c r="W152" s="291"/>
      <c r="X152" s="291"/>
      <c r="Y152" s="291"/>
      <c r="Z152" s="299"/>
      <c r="AA152" s="291"/>
      <c r="AB152" s="287">
        <f t="shared" si="25"/>
        <v>0</v>
      </c>
      <c r="AC152" s="288">
        <v>2600.0</v>
      </c>
      <c r="AD152" s="288">
        <f t="shared" si="26"/>
        <v>0</v>
      </c>
      <c r="AE152" s="17"/>
      <c r="AF152" s="257"/>
      <c r="AG152" s="257"/>
    </row>
    <row r="153">
      <c r="A153" s="279" t="s">
        <v>261</v>
      </c>
      <c r="B153" s="291"/>
      <c r="C153" s="291"/>
      <c r="D153" s="291"/>
      <c r="E153" s="292"/>
      <c r="F153" s="293"/>
      <c r="G153" s="294"/>
      <c r="H153" s="294"/>
      <c r="I153" s="291"/>
      <c r="J153" s="291"/>
      <c r="K153" s="291"/>
      <c r="L153" s="292"/>
      <c r="M153" s="291"/>
      <c r="N153" s="296"/>
      <c r="O153" s="296"/>
      <c r="P153" s="291"/>
      <c r="Q153" s="291"/>
      <c r="R153" s="291"/>
      <c r="S153" s="291"/>
      <c r="T153" s="293"/>
      <c r="U153" s="291"/>
      <c r="V153" s="291"/>
      <c r="W153" s="291"/>
      <c r="X153" s="291"/>
      <c r="Y153" s="291"/>
      <c r="Z153" s="299"/>
      <c r="AA153" s="291"/>
      <c r="AB153" s="287">
        <f t="shared" si="25"/>
        <v>0</v>
      </c>
      <c r="AC153" s="288">
        <v>1400.0</v>
      </c>
      <c r="AD153" s="288">
        <f t="shared" si="26"/>
        <v>0</v>
      </c>
      <c r="AE153" s="17"/>
      <c r="AF153" s="257"/>
      <c r="AG153" s="257"/>
    </row>
    <row r="154">
      <c r="A154" s="279" t="s">
        <v>261</v>
      </c>
      <c r="B154" s="291"/>
      <c r="C154" s="291"/>
      <c r="D154" s="291"/>
      <c r="E154" s="292"/>
      <c r="F154" s="293"/>
      <c r="G154" s="294"/>
      <c r="H154" s="294"/>
      <c r="I154" s="291"/>
      <c r="J154" s="291"/>
      <c r="K154" s="291"/>
      <c r="L154" s="292"/>
      <c r="M154" s="291"/>
      <c r="N154" s="296"/>
      <c r="O154" s="296"/>
      <c r="P154" s="291"/>
      <c r="Q154" s="291"/>
      <c r="R154" s="291"/>
      <c r="S154" s="291"/>
      <c r="T154" s="293"/>
      <c r="U154" s="291"/>
      <c r="V154" s="291"/>
      <c r="W154" s="291"/>
      <c r="X154" s="291"/>
      <c r="Y154" s="291"/>
      <c r="Z154" s="299"/>
      <c r="AA154" s="291"/>
      <c r="AB154" s="287">
        <f t="shared" si="25"/>
        <v>0</v>
      </c>
      <c r="AC154" s="288">
        <v>1900.0</v>
      </c>
      <c r="AD154" s="288">
        <f t="shared" si="26"/>
        <v>0</v>
      </c>
      <c r="AE154" s="17"/>
      <c r="AF154" s="257"/>
      <c r="AG154" s="257"/>
    </row>
    <row r="155">
      <c r="A155" s="279" t="s">
        <v>262</v>
      </c>
      <c r="B155" s="291"/>
      <c r="C155" s="291"/>
      <c r="D155" s="291"/>
      <c r="E155" s="292"/>
      <c r="F155" s="293"/>
      <c r="G155" s="294"/>
      <c r="H155" s="294"/>
      <c r="I155" s="291"/>
      <c r="J155" s="291"/>
      <c r="K155" s="291"/>
      <c r="L155" s="292"/>
      <c r="M155" s="291"/>
      <c r="N155" s="296"/>
      <c r="O155" s="296"/>
      <c r="P155" s="291"/>
      <c r="Q155" s="291"/>
      <c r="R155" s="291"/>
      <c r="S155" s="291"/>
      <c r="T155" s="293"/>
      <c r="U155" s="291"/>
      <c r="V155" s="291"/>
      <c r="W155" s="291"/>
      <c r="X155" s="291"/>
      <c r="Y155" s="291"/>
      <c r="Z155" s="299"/>
      <c r="AA155" s="291"/>
      <c r="AB155" s="287">
        <f t="shared" si="25"/>
        <v>0</v>
      </c>
      <c r="AC155" s="288">
        <v>1300.0</v>
      </c>
      <c r="AD155" s="288">
        <f t="shared" si="26"/>
        <v>0</v>
      </c>
      <c r="AE155" s="17"/>
      <c r="AF155" s="257"/>
      <c r="AG155" s="257"/>
    </row>
    <row r="156">
      <c r="A156" s="279" t="s">
        <v>262</v>
      </c>
      <c r="B156" s="291"/>
      <c r="C156" s="291"/>
      <c r="D156" s="291"/>
      <c r="E156" s="292"/>
      <c r="F156" s="293"/>
      <c r="G156" s="294"/>
      <c r="H156" s="294"/>
      <c r="I156" s="291"/>
      <c r="J156" s="291"/>
      <c r="K156" s="291"/>
      <c r="L156" s="292"/>
      <c r="M156" s="291"/>
      <c r="N156" s="296"/>
      <c r="O156" s="296"/>
      <c r="P156" s="291"/>
      <c r="Q156" s="291"/>
      <c r="R156" s="291"/>
      <c r="S156" s="291"/>
      <c r="T156" s="293"/>
      <c r="U156" s="291"/>
      <c r="V156" s="291"/>
      <c r="W156" s="291"/>
      <c r="X156" s="291"/>
      <c r="Y156" s="291"/>
      <c r="Z156" s="299"/>
      <c r="AA156" s="291"/>
      <c r="AB156" s="287">
        <f t="shared" si="25"/>
        <v>0</v>
      </c>
      <c r="AC156" s="288">
        <v>1800.0</v>
      </c>
      <c r="AD156" s="288">
        <f t="shared" si="26"/>
        <v>0</v>
      </c>
      <c r="AE156" s="17"/>
      <c r="AF156" s="257"/>
      <c r="AG156" s="257"/>
    </row>
    <row r="157">
      <c r="A157" s="274" t="s">
        <v>45</v>
      </c>
      <c r="B157" s="275"/>
      <c r="C157" s="275"/>
      <c r="D157" s="275"/>
      <c r="E157" s="275"/>
      <c r="F157" s="275"/>
      <c r="G157" s="275"/>
      <c r="H157" s="275"/>
      <c r="I157" s="275"/>
      <c r="J157" s="275"/>
      <c r="K157" s="275"/>
      <c r="L157" s="275"/>
      <c r="M157" s="275"/>
      <c r="N157" s="275"/>
      <c r="O157" s="275"/>
      <c r="P157" s="275"/>
      <c r="Q157" s="275"/>
      <c r="R157" s="275"/>
      <c r="S157" s="275"/>
      <c r="T157" s="275"/>
      <c r="U157" s="275"/>
      <c r="V157" s="275"/>
      <c r="W157" s="275"/>
      <c r="X157" s="275"/>
      <c r="Y157" s="275"/>
      <c r="Z157" s="275"/>
      <c r="AA157" s="275"/>
      <c r="AB157" s="275"/>
      <c r="AC157" s="276"/>
      <c r="AD157" s="310">
        <f>SUM(AD144:AD156)</f>
        <v>1300</v>
      </c>
      <c r="AE157" s="17"/>
      <c r="AF157" s="257"/>
      <c r="AG157" s="257"/>
    </row>
    <row r="158">
      <c r="A158" s="307" t="s">
        <v>264</v>
      </c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97"/>
      <c r="AE158" s="17"/>
      <c r="AF158" s="257"/>
      <c r="AG158" s="257"/>
    </row>
    <row r="159">
      <c r="A159" s="308" t="s">
        <v>265</v>
      </c>
      <c r="B159" s="53"/>
      <c r="C159" s="38"/>
      <c r="D159" s="38"/>
      <c r="E159" s="56"/>
      <c r="F159" s="55"/>
      <c r="G159" s="41"/>
      <c r="H159" s="41"/>
      <c r="I159" s="50"/>
      <c r="J159" s="50"/>
      <c r="K159" s="50"/>
      <c r="L159" s="56"/>
      <c r="M159" s="58"/>
      <c r="N159" s="40"/>
      <c r="O159" s="40"/>
      <c r="P159" s="58"/>
      <c r="Q159" s="58"/>
      <c r="R159" s="50"/>
      <c r="S159" s="50"/>
      <c r="T159" s="55"/>
      <c r="U159" s="50"/>
      <c r="V159" s="50"/>
      <c r="W159" s="38"/>
      <c r="X159" s="38"/>
      <c r="Y159" s="50"/>
      <c r="Z159" s="70"/>
      <c r="AA159" s="53"/>
      <c r="AB159" s="62">
        <f t="shared" ref="AB159:AB162" si="27">SUM(B159:AA159)</f>
        <v>0</v>
      </c>
      <c r="AC159" s="242">
        <v>2100.0</v>
      </c>
      <c r="AD159" s="68">
        <f t="shared" ref="AD159:AD162" si="28">AB159*AC159</f>
        <v>0</v>
      </c>
      <c r="AE159" s="17"/>
      <c r="AF159" s="155"/>
      <c r="AG159" s="155"/>
    </row>
    <row r="160">
      <c r="A160" s="308" t="s">
        <v>266</v>
      </c>
      <c r="B160" s="53"/>
      <c r="C160" s="38"/>
      <c r="D160" s="36">
        <v>1.0</v>
      </c>
      <c r="E160" s="56"/>
      <c r="F160" s="55"/>
      <c r="G160" s="41"/>
      <c r="H160" s="41"/>
      <c r="I160" s="50"/>
      <c r="J160" s="50"/>
      <c r="K160" s="50"/>
      <c r="L160" s="56"/>
      <c r="M160" s="58"/>
      <c r="N160" s="40"/>
      <c r="O160" s="40"/>
      <c r="P160" s="58"/>
      <c r="Q160" s="58"/>
      <c r="R160" s="50"/>
      <c r="S160" s="50"/>
      <c r="T160" s="55"/>
      <c r="U160" s="50"/>
      <c r="V160" s="50"/>
      <c r="W160" s="38"/>
      <c r="X160" s="38"/>
      <c r="Y160" s="50"/>
      <c r="Z160" s="70"/>
      <c r="AA160" s="53"/>
      <c r="AB160" s="62">
        <f t="shared" si="27"/>
        <v>1</v>
      </c>
      <c r="AC160" s="242">
        <v>2800.0</v>
      </c>
      <c r="AD160" s="68">
        <f t="shared" si="28"/>
        <v>2800</v>
      </c>
      <c r="AE160" s="17"/>
      <c r="AF160" s="155"/>
      <c r="AG160" s="155"/>
    </row>
    <row r="161">
      <c r="A161" s="308" t="s">
        <v>268</v>
      </c>
      <c r="B161" s="53"/>
      <c r="C161" s="38"/>
      <c r="D161" s="38"/>
      <c r="E161" s="56"/>
      <c r="F161" s="55"/>
      <c r="G161" s="41"/>
      <c r="H161" s="41"/>
      <c r="I161" s="50"/>
      <c r="J161" s="50"/>
      <c r="K161" s="50"/>
      <c r="L161" s="56"/>
      <c r="M161" s="58"/>
      <c r="N161" s="40"/>
      <c r="O161" s="40"/>
      <c r="P161" s="58"/>
      <c r="Q161" s="58"/>
      <c r="R161" s="50"/>
      <c r="S161" s="50"/>
      <c r="T161" s="55"/>
      <c r="U161" s="50"/>
      <c r="V161" s="50"/>
      <c r="W161" s="38"/>
      <c r="X161" s="38"/>
      <c r="Y161" s="50"/>
      <c r="Z161" s="70"/>
      <c r="AA161" s="53"/>
      <c r="AB161" s="62">
        <f t="shared" si="27"/>
        <v>0</v>
      </c>
      <c r="AC161" s="242">
        <v>2800.0</v>
      </c>
      <c r="AD161" s="68">
        <f t="shared" si="28"/>
        <v>0</v>
      </c>
      <c r="AE161" s="17"/>
      <c r="AF161" s="155"/>
      <c r="AG161" s="155"/>
    </row>
    <row r="162">
      <c r="A162" s="309" t="s">
        <v>269</v>
      </c>
      <c r="B162" s="171"/>
      <c r="C162" s="172"/>
      <c r="D162" s="172"/>
      <c r="E162" s="173"/>
      <c r="F162" s="163"/>
      <c r="G162" s="161"/>
      <c r="H162" s="161"/>
      <c r="I162" s="159"/>
      <c r="J162" s="159"/>
      <c r="K162" s="159"/>
      <c r="L162" s="173"/>
      <c r="M162" s="175"/>
      <c r="N162" s="160"/>
      <c r="O162" s="160"/>
      <c r="P162" s="175"/>
      <c r="Q162" s="175"/>
      <c r="R162" s="159"/>
      <c r="S162" s="159"/>
      <c r="T162" s="163"/>
      <c r="U162" s="159"/>
      <c r="V162" s="159"/>
      <c r="W162" s="172"/>
      <c r="X162" s="172"/>
      <c r="Y162" s="159"/>
      <c r="Z162" s="177"/>
      <c r="AA162" s="171"/>
      <c r="AB162" s="166">
        <f t="shared" si="27"/>
        <v>0</v>
      </c>
      <c r="AC162" s="249">
        <v>3200.0</v>
      </c>
      <c r="AD162" s="168">
        <f t="shared" si="28"/>
        <v>0</v>
      </c>
      <c r="AE162" s="17"/>
      <c r="AF162" s="155"/>
      <c r="AG162" s="155"/>
    </row>
    <row r="163">
      <c r="A163" s="254" t="s">
        <v>45</v>
      </c>
      <c r="B163" s="128"/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9"/>
      <c r="AD163" s="277">
        <f>SUM(AD159:AD162)</f>
        <v>2800</v>
      </c>
      <c r="AE163" s="17"/>
      <c r="AF163" s="255"/>
      <c r="AG163" s="255"/>
    </row>
    <row r="164">
      <c r="A164" s="311"/>
      <c r="B164" s="313"/>
      <c r="C164" s="313"/>
      <c r="D164" s="313"/>
      <c r="E164" s="314"/>
      <c r="F164" s="314"/>
      <c r="G164" s="314"/>
      <c r="H164" s="314"/>
      <c r="I164" s="314"/>
      <c r="J164" s="314"/>
      <c r="K164" s="314"/>
      <c r="L164" s="314"/>
      <c r="M164" s="314"/>
      <c r="N164" s="314"/>
      <c r="O164" s="314"/>
      <c r="P164" s="314"/>
      <c r="Q164" s="314"/>
      <c r="R164" s="314"/>
      <c r="S164" s="314"/>
      <c r="T164" s="314"/>
      <c r="U164" s="314"/>
      <c r="V164" s="314"/>
      <c r="W164" s="313"/>
      <c r="X164" s="313"/>
      <c r="Y164" s="314"/>
      <c r="Z164" s="335"/>
      <c r="AA164" s="313"/>
      <c r="AB164" s="320" t="s">
        <v>271</v>
      </c>
      <c r="AC164" s="22"/>
      <c r="AD164" s="321">
        <f>AD44+AD58+AD64+AD67+AD83+AD86+AD94+AD101+AD106+AD117+AD125+AD129+AD134+AD142+AD157+AD163</f>
        <v>1059065</v>
      </c>
      <c r="AE164" s="322"/>
      <c r="AF164" s="323"/>
      <c r="AG164" s="323"/>
    </row>
    <row r="165">
      <c r="A165" s="311"/>
      <c r="B165" s="313"/>
      <c r="C165" s="313"/>
      <c r="D165" s="313"/>
      <c r="E165" s="314"/>
      <c r="F165" s="314"/>
      <c r="G165" s="314"/>
      <c r="H165" s="314"/>
      <c r="I165" s="314"/>
      <c r="J165" s="314"/>
      <c r="K165" s="314"/>
      <c r="L165" s="314"/>
      <c r="M165" s="314"/>
      <c r="N165" s="314"/>
      <c r="O165" s="314"/>
      <c r="P165" s="314"/>
      <c r="Q165" s="314"/>
      <c r="R165" s="314"/>
      <c r="S165" s="314"/>
      <c r="T165" s="314"/>
      <c r="U165" s="314"/>
      <c r="V165" s="314"/>
      <c r="W165" s="313"/>
      <c r="X165" s="313"/>
      <c r="Y165" s="314"/>
      <c r="Z165" s="335"/>
      <c r="AA165" s="313"/>
      <c r="AB165" s="324"/>
      <c r="AC165" s="155"/>
      <c r="AD165" s="155"/>
      <c r="AE165" s="322"/>
      <c r="AF165" s="155"/>
      <c r="AG165" s="132"/>
    </row>
    <row r="166">
      <c r="A166" s="311"/>
      <c r="B166" s="313"/>
      <c r="C166" s="313"/>
      <c r="D166" s="313"/>
      <c r="E166" s="314"/>
      <c r="F166" s="314"/>
      <c r="G166" s="314"/>
      <c r="H166" s="314"/>
      <c r="I166" s="314"/>
      <c r="J166" s="314"/>
      <c r="K166" s="314"/>
      <c r="L166" s="314"/>
      <c r="M166" s="314"/>
      <c r="N166" s="314"/>
      <c r="O166" s="314"/>
      <c r="P166" s="314"/>
      <c r="Q166" s="314"/>
      <c r="R166" s="314"/>
      <c r="S166" s="314"/>
      <c r="T166" s="314"/>
      <c r="U166" s="314"/>
      <c r="V166" s="314"/>
      <c r="W166" s="313"/>
      <c r="X166" s="313"/>
      <c r="Y166" s="314"/>
      <c r="Z166" s="335"/>
      <c r="AA166" s="313"/>
      <c r="AB166" s="324"/>
      <c r="AC166" s="155"/>
      <c r="AD166" s="155"/>
      <c r="AE166" s="322"/>
      <c r="AF166" s="155"/>
      <c r="AG166" s="132"/>
    </row>
    <row r="167">
      <c r="A167" s="311"/>
      <c r="B167" s="313"/>
      <c r="C167" s="313"/>
      <c r="D167" s="313"/>
      <c r="E167" s="314"/>
      <c r="F167" s="314"/>
      <c r="G167" s="314"/>
      <c r="H167" s="314"/>
      <c r="I167" s="314"/>
      <c r="J167" s="314"/>
      <c r="K167" s="314"/>
      <c r="L167" s="314"/>
      <c r="M167" s="314"/>
      <c r="N167" s="314"/>
      <c r="O167" s="314"/>
      <c r="P167" s="314"/>
      <c r="Q167" s="314"/>
      <c r="R167" s="314"/>
      <c r="S167" s="314"/>
      <c r="T167" s="314"/>
      <c r="U167" s="314"/>
      <c r="V167" s="314"/>
      <c r="W167" s="313"/>
      <c r="X167" s="313"/>
      <c r="Y167" s="314"/>
      <c r="Z167" s="335"/>
      <c r="AA167" s="313"/>
      <c r="AB167" s="324"/>
      <c r="AC167" s="155"/>
      <c r="AD167" s="155"/>
      <c r="AE167" s="322"/>
      <c r="AF167" s="155"/>
      <c r="AG167" s="132"/>
    </row>
    <row r="168">
      <c r="A168" s="311"/>
      <c r="B168" s="313"/>
      <c r="C168" s="313"/>
      <c r="D168" s="313"/>
      <c r="E168" s="314"/>
      <c r="F168" s="314"/>
      <c r="G168" s="314"/>
      <c r="H168" s="314"/>
      <c r="I168" s="314"/>
      <c r="J168" s="314"/>
      <c r="K168" s="314"/>
      <c r="L168" s="314"/>
      <c r="M168" s="314"/>
      <c r="N168" s="314"/>
      <c r="O168" s="314"/>
      <c r="P168" s="314"/>
      <c r="Q168" s="314"/>
      <c r="R168" s="314"/>
      <c r="S168" s="314"/>
      <c r="T168" s="314"/>
      <c r="U168" s="314"/>
      <c r="V168" s="314"/>
      <c r="W168" s="313"/>
      <c r="X168" s="313"/>
      <c r="Y168" s="314"/>
      <c r="Z168" s="335"/>
      <c r="AA168" s="313"/>
      <c r="AB168" s="324"/>
      <c r="AC168" s="155"/>
      <c r="AD168" s="155"/>
      <c r="AE168" s="322"/>
      <c r="AF168" s="155"/>
      <c r="AG168" s="132"/>
    </row>
    <row r="169">
      <c r="A169" s="311"/>
      <c r="B169" s="313"/>
      <c r="C169" s="313"/>
      <c r="D169" s="313"/>
      <c r="E169" s="314"/>
      <c r="F169" s="314"/>
      <c r="G169" s="314"/>
      <c r="H169" s="314"/>
      <c r="I169" s="314"/>
      <c r="J169" s="314"/>
      <c r="K169" s="314"/>
      <c r="L169" s="314"/>
      <c r="M169" s="314"/>
      <c r="N169" s="314"/>
      <c r="O169" s="314"/>
      <c r="P169" s="314"/>
      <c r="Q169" s="314"/>
      <c r="R169" s="314"/>
      <c r="S169" s="314"/>
      <c r="T169" s="314"/>
      <c r="U169" s="314"/>
      <c r="V169" s="314"/>
      <c r="W169" s="313"/>
      <c r="X169" s="313"/>
      <c r="Y169" s="314"/>
      <c r="Z169" s="335"/>
      <c r="AA169" s="313"/>
      <c r="AB169" s="324"/>
      <c r="AC169" s="155"/>
      <c r="AD169" s="155"/>
      <c r="AE169" s="322"/>
      <c r="AF169" s="155"/>
      <c r="AG169" s="132"/>
    </row>
    <row r="170">
      <c r="A170" s="311"/>
      <c r="B170" s="313"/>
      <c r="C170" s="313"/>
      <c r="D170" s="313"/>
      <c r="E170" s="314"/>
      <c r="F170" s="314"/>
      <c r="G170" s="314"/>
      <c r="H170" s="314"/>
      <c r="I170" s="314"/>
      <c r="J170" s="314"/>
      <c r="K170" s="314"/>
      <c r="L170" s="314"/>
      <c r="M170" s="314"/>
      <c r="N170" s="314"/>
      <c r="O170" s="314"/>
      <c r="P170" s="314"/>
      <c r="Q170" s="314"/>
      <c r="R170" s="314"/>
      <c r="S170" s="314"/>
      <c r="T170" s="314"/>
      <c r="U170" s="314"/>
      <c r="V170" s="314"/>
      <c r="W170" s="313"/>
      <c r="X170" s="313"/>
      <c r="Y170" s="314"/>
      <c r="Z170" s="335"/>
      <c r="AA170" s="313"/>
      <c r="AB170" s="324"/>
      <c r="AC170" s="155"/>
      <c r="AD170" s="155"/>
      <c r="AE170" s="322"/>
      <c r="AF170" s="155"/>
      <c r="AG170" s="132"/>
    </row>
    <row r="171">
      <c r="A171" s="311"/>
      <c r="B171" s="313"/>
      <c r="C171" s="313"/>
      <c r="D171" s="313"/>
      <c r="E171" s="314"/>
      <c r="F171" s="314"/>
      <c r="G171" s="314"/>
      <c r="H171" s="314"/>
      <c r="I171" s="314"/>
      <c r="J171" s="314"/>
      <c r="K171" s="314"/>
      <c r="L171" s="314"/>
      <c r="M171" s="314"/>
      <c r="N171" s="314"/>
      <c r="O171" s="314"/>
      <c r="P171" s="314"/>
      <c r="Q171" s="314"/>
      <c r="R171" s="314"/>
      <c r="S171" s="314"/>
      <c r="T171" s="314"/>
      <c r="U171" s="314"/>
      <c r="V171" s="314"/>
      <c r="W171" s="313"/>
      <c r="X171" s="313"/>
      <c r="Y171" s="314"/>
      <c r="Z171" s="335"/>
      <c r="AA171" s="313"/>
      <c r="AB171" s="324"/>
      <c r="AC171" s="155"/>
      <c r="AD171" s="155"/>
      <c r="AE171" s="322"/>
      <c r="AF171" s="155"/>
      <c r="AG171" s="132"/>
    </row>
    <row r="172">
      <c r="A172" s="311"/>
      <c r="B172" s="313"/>
      <c r="C172" s="313"/>
      <c r="D172" s="313"/>
      <c r="E172" s="314"/>
      <c r="F172" s="314"/>
      <c r="G172" s="314"/>
      <c r="H172" s="314"/>
      <c r="I172" s="314"/>
      <c r="J172" s="314"/>
      <c r="K172" s="314"/>
      <c r="L172" s="314"/>
      <c r="M172" s="314"/>
      <c r="N172" s="314"/>
      <c r="O172" s="314"/>
      <c r="P172" s="314"/>
      <c r="Q172" s="314"/>
      <c r="R172" s="314"/>
      <c r="S172" s="314"/>
      <c r="T172" s="314"/>
      <c r="U172" s="314"/>
      <c r="V172" s="314"/>
      <c r="W172" s="313"/>
      <c r="X172" s="313"/>
      <c r="Y172" s="314"/>
      <c r="Z172" s="335"/>
      <c r="AA172" s="313"/>
      <c r="AB172" s="324"/>
      <c r="AC172" s="155"/>
      <c r="AD172" s="155"/>
      <c r="AE172" s="322"/>
      <c r="AF172" s="155"/>
      <c r="AG172" s="132"/>
    </row>
    <row r="173">
      <c r="A173" s="311"/>
      <c r="B173" s="313"/>
      <c r="C173" s="313"/>
      <c r="D173" s="313"/>
      <c r="E173" s="314"/>
      <c r="F173" s="314"/>
      <c r="G173" s="314"/>
      <c r="H173" s="314"/>
      <c r="I173" s="314"/>
      <c r="J173" s="314"/>
      <c r="K173" s="314"/>
      <c r="L173" s="314"/>
      <c r="M173" s="314"/>
      <c r="N173" s="314"/>
      <c r="O173" s="314"/>
      <c r="P173" s="314"/>
      <c r="Q173" s="314"/>
      <c r="R173" s="314"/>
      <c r="S173" s="314"/>
      <c r="T173" s="314"/>
      <c r="U173" s="314"/>
      <c r="V173" s="314"/>
      <c r="W173" s="313"/>
      <c r="X173" s="313"/>
      <c r="Y173" s="314"/>
      <c r="Z173" s="335"/>
      <c r="AA173" s="313"/>
      <c r="AB173" s="324"/>
      <c r="AC173" s="155"/>
      <c r="AD173" s="155"/>
      <c r="AE173" s="322"/>
      <c r="AF173" s="155"/>
      <c r="AG173" s="132"/>
    </row>
    <row r="174">
      <c r="A174" s="311"/>
      <c r="B174" s="313"/>
      <c r="C174" s="313"/>
      <c r="D174" s="313"/>
      <c r="E174" s="314"/>
      <c r="F174" s="314"/>
      <c r="G174" s="314"/>
      <c r="H174" s="314"/>
      <c r="I174" s="314"/>
      <c r="J174" s="314"/>
      <c r="K174" s="314"/>
      <c r="L174" s="314"/>
      <c r="M174" s="314"/>
      <c r="N174" s="314"/>
      <c r="O174" s="314"/>
      <c r="P174" s="314"/>
      <c r="Q174" s="314"/>
      <c r="R174" s="314"/>
      <c r="S174" s="314"/>
      <c r="T174" s="314"/>
      <c r="U174" s="314"/>
      <c r="V174" s="314"/>
      <c r="W174" s="313"/>
      <c r="X174" s="313"/>
      <c r="Y174" s="314"/>
      <c r="Z174" s="335"/>
      <c r="AA174" s="313"/>
      <c r="AB174" s="324"/>
      <c r="AC174" s="155"/>
      <c r="AD174" s="155"/>
      <c r="AE174" s="322"/>
      <c r="AF174" s="155"/>
      <c r="AG174" s="132"/>
    </row>
    <row r="175">
      <c r="A175" s="311"/>
      <c r="B175" s="313"/>
      <c r="C175" s="313"/>
      <c r="D175" s="313"/>
      <c r="E175" s="314"/>
      <c r="F175" s="314"/>
      <c r="G175" s="314"/>
      <c r="H175" s="314"/>
      <c r="I175" s="314"/>
      <c r="J175" s="314"/>
      <c r="K175" s="314"/>
      <c r="L175" s="314"/>
      <c r="M175" s="314"/>
      <c r="N175" s="314"/>
      <c r="O175" s="314"/>
      <c r="P175" s="314"/>
      <c r="Q175" s="314"/>
      <c r="R175" s="314"/>
      <c r="S175" s="314"/>
      <c r="T175" s="314"/>
      <c r="U175" s="314"/>
      <c r="V175" s="314"/>
      <c r="W175" s="313"/>
      <c r="X175" s="313"/>
      <c r="Y175" s="314"/>
      <c r="Z175" s="335"/>
      <c r="AA175" s="313"/>
      <c r="AB175" s="324"/>
      <c r="AC175" s="155"/>
      <c r="AD175" s="155"/>
      <c r="AE175" s="322"/>
      <c r="AF175" s="155"/>
      <c r="AG175" s="132"/>
    </row>
    <row r="176">
      <c r="A176" s="311"/>
      <c r="B176" s="313"/>
      <c r="C176" s="313"/>
      <c r="D176" s="313"/>
      <c r="E176" s="314"/>
      <c r="F176" s="314"/>
      <c r="G176" s="314"/>
      <c r="H176" s="314"/>
      <c r="I176" s="314"/>
      <c r="J176" s="314"/>
      <c r="K176" s="314"/>
      <c r="L176" s="314"/>
      <c r="M176" s="314"/>
      <c r="N176" s="314"/>
      <c r="O176" s="314"/>
      <c r="P176" s="314"/>
      <c r="Q176" s="314"/>
      <c r="R176" s="314"/>
      <c r="S176" s="314"/>
      <c r="T176" s="314"/>
      <c r="U176" s="314"/>
      <c r="V176" s="314"/>
      <c r="W176" s="313"/>
      <c r="X176" s="313"/>
      <c r="Y176" s="314"/>
      <c r="Z176" s="335"/>
      <c r="AA176" s="313"/>
      <c r="AB176" s="324"/>
      <c r="AC176" s="155"/>
      <c r="AD176" s="155"/>
      <c r="AE176" s="322"/>
      <c r="AF176" s="155"/>
      <c r="AG176" s="132"/>
    </row>
    <row r="177">
      <c r="A177" s="311"/>
      <c r="B177" s="313"/>
      <c r="C177" s="313"/>
      <c r="D177" s="313"/>
      <c r="E177" s="314"/>
      <c r="F177" s="314"/>
      <c r="G177" s="314"/>
      <c r="H177" s="314"/>
      <c r="I177" s="314"/>
      <c r="J177" s="314"/>
      <c r="K177" s="314"/>
      <c r="L177" s="314"/>
      <c r="M177" s="314"/>
      <c r="N177" s="314"/>
      <c r="O177" s="314"/>
      <c r="P177" s="314"/>
      <c r="Q177" s="314"/>
      <c r="R177" s="314"/>
      <c r="S177" s="314"/>
      <c r="T177" s="314"/>
      <c r="U177" s="314"/>
      <c r="V177" s="314"/>
      <c r="W177" s="313"/>
      <c r="X177" s="313"/>
      <c r="Y177" s="314"/>
      <c r="Z177" s="335"/>
      <c r="AA177" s="313"/>
      <c r="AB177" s="324"/>
      <c r="AC177" s="155"/>
      <c r="AD177" s="155"/>
      <c r="AE177" s="322"/>
      <c r="AF177" s="155"/>
      <c r="AG177" s="132"/>
    </row>
    <row r="178">
      <c r="A178" s="311"/>
      <c r="B178" s="313"/>
      <c r="C178" s="313"/>
      <c r="D178" s="313"/>
      <c r="E178" s="314"/>
      <c r="F178" s="314"/>
      <c r="G178" s="314"/>
      <c r="H178" s="314"/>
      <c r="I178" s="314"/>
      <c r="J178" s="314"/>
      <c r="K178" s="314"/>
      <c r="L178" s="314"/>
      <c r="M178" s="314"/>
      <c r="N178" s="314"/>
      <c r="O178" s="314"/>
      <c r="P178" s="314"/>
      <c r="Q178" s="314"/>
      <c r="R178" s="314"/>
      <c r="S178" s="314"/>
      <c r="T178" s="314"/>
      <c r="U178" s="314"/>
      <c r="V178" s="314"/>
      <c r="W178" s="313"/>
      <c r="X178" s="313"/>
      <c r="Y178" s="314"/>
      <c r="Z178" s="335"/>
      <c r="AA178" s="313"/>
      <c r="AB178" s="324"/>
      <c r="AC178" s="155"/>
      <c r="AD178" s="155"/>
      <c r="AE178" s="322"/>
      <c r="AF178" s="155"/>
      <c r="AG178" s="132"/>
    </row>
    <row r="179">
      <c r="A179" s="311"/>
      <c r="B179" s="313"/>
      <c r="C179" s="313"/>
      <c r="D179" s="313"/>
      <c r="E179" s="314"/>
      <c r="F179" s="314"/>
      <c r="G179" s="314"/>
      <c r="H179" s="314"/>
      <c r="I179" s="314"/>
      <c r="J179" s="314"/>
      <c r="K179" s="314"/>
      <c r="L179" s="314"/>
      <c r="M179" s="314"/>
      <c r="N179" s="314"/>
      <c r="O179" s="314"/>
      <c r="P179" s="314"/>
      <c r="Q179" s="314"/>
      <c r="R179" s="314"/>
      <c r="S179" s="314"/>
      <c r="T179" s="314"/>
      <c r="U179" s="314"/>
      <c r="V179" s="314"/>
      <c r="W179" s="313"/>
      <c r="X179" s="313"/>
      <c r="Y179" s="314"/>
      <c r="Z179" s="335"/>
      <c r="AA179" s="313"/>
      <c r="AB179" s="324"/>
      <c r="AC179" s="155"/>
      <c r="AD179" s="155"/>
      <c r="AE179" s="322"/>
      <c r="AF179" s="155"/>
      <c r="AG179" s="132"/>
    </row>
    <row r="180">
      <c r="A180" s="311"/>
      <c r="B180" s="313"/>
      <c r="C180" s="313"/>
      <c r="D180" s="313"/>
      <c r="E180" s="314"/>
      <c r="F180" s="314"/>
      <c r="G180" s="314"/>
      <c r="H180" s="314"/>
      <c r="I180" s="314"/>
      <c r="J180" s="314"/>
      <c r="K180" s="314"/>
      <c r="L180" s="314"/>
      <c r="M180" s="314"/>
      <c r="N180" s="314"/>
      <c r="O180" s="314"/>
      <c r="P180" s="314"/>
      <c r="Q180" s="314"/>
      <c r="R180" s="314"/>
      <c r="S180" s="314"/>
      <c r="T180" s="314"/>
      <c r="U180" s="314"/>
      <c r="V180" s="314"/>
      <c r="W180" s="313"/>
      <c r="X180" s="313"/>
      <c r="Y180" s="314"/>
      <c r="Z180" s="335"/>
      <c r="AA180" s="313"/>
      <c r="AB180" s="324"/>
      <c r="AC180" s="155"/>
      <c r="AD180" s="155"/>
      <c r="AE180" s="322"/>
      <c r="AF180" s="155"/>
      <c r="AG180" s="132"/>
    </row>
    <row r="181">
      <c r="A181" s="311"/>
      <c r="B181" s="313"/>
      <c r="C181" s="313"/>
      <c r="D181" s="313"/>
      <c r="E181" s="314"/>
      <c r="F181" s="314"/>
      <c r="G181" s="314"/>
      <c r="H181" s="314"/>
      <c r="I181" s="314"/>
      <c r="J181" s="314"/>
      <c r="K181" s="314"/>
      <c r="L181" s="314"/>
      <c r="M181" s="314"/>
      <c r="N181" s="314"/>
      <c r="O181" s="314"/>
      <c r="P181" s="314"/>
      <c r="Q181" s="314"/>
      <c r="R181" s="314"/>
      <c r="S181" s="314"/>
      <c r="T181" s="314"/>
      <c r="U181" s="314"/>
      <c r="V181" s="314"/>
      <c r="W181" s="313"/>
      <c r="X181" s="313"/>
      <c r="Y181" s="314"/>
      <c r="Z181" s="335"/>
      <c r="AA181" s="313"/>
      <c r="AB181" s="324"/>
      <c r="AC181" s="155"/>
      <c r="AD181" s="155"/>
      <c r="AE181" s="322"/>
      <c r="AF181" s="155"/>
      <c r="AG181" s="132"/>
    </row>
    <row r="182">
      <c r="A182" s="311"/>
      <c r="B182" s="313"/>
      <c r="C182" s="313"/>
      <c r="D182" s="313"/>
      <c r="E182" s="314"/>
      <c r="F182" s="314"/>
      <c r="G182" s="314"/>
      <c r="H182" s="314"/>
      <c r="I182" s="314"/>
      <c r="J182" s="314"/>
      <c r="K182" s="314"/>
      <c r="L182" s="314"/>
      <c r="M182" s="314"/>
      <c r="N182" s="314"/>
      <c r="O182" s="314"/>
      <c r="P182" s="314"/>
      <c r="Q182" s="314"/>
      <c r="R182" s="314"/>
      <c r="S182" s="314"/>
      <c r="T182" s="314"/>
      <c r="U182" s="314"/>
      <c r="V182" s="314"/>
      <c r="W182" s="313"/>
      <c r="X182" s="313"/>
      <c r="Y182" s="314"/>
      <c r="Z182" s="335"/>
      <c r="AA182" s="313"/>
      <c r="AB182" s="324"/>
      <c r="AC182" s="155"/>
      <c r="AD182" s="155"/>
      <c r="AE182" s="322"/>
      <c r="AF182" s="155"/>
      <c r="AG182" s="132"/>
    </row>
    <row r="183">
      <c r="A183" s="311"/>
      <c r="B183" s="313"/>
      <c r="C183" s="313"/>
      <c r="D183" s="313"/>
      <c r="E183" s="314"/>
      <c r="F183" s="314"/>
      <c r="G183" s="314"/>
      <c r="H183" s="314"/>
      <c r="I183" s="314"/>
      <c r="J183" s="314"/>
      <c r="K183" s="314"/>
      <c r="L183" s="314"/>
      <c r="M183" s="314"/>
      <c r="N183" s="314"/>
      <c r="O183" s="314"/>
      <c r="P183" s="314"/>
      <c r="Q183" s="314"/>
      <c r="R183" s="314"/>
      <c r="S183" s="314"/>
      <c r="T183" s="314"/>
      <c r="U183" s="314"/>
      <c r="V183" s="314"/>
      <c r="W183" s="313"/>
      <c r="X183" s="313"/>
      <c r="Y183" s="314"/>
      <c r="Z183" s="335"/>
      <c r="AA183" s="313"/>
      <c r="AB183" s="324"/>
      <c r="AC183" s="155"/>
      <c r="AD183" s="155"/>
      <c r="AE183" s="322"/>
      <c r="AF183" s="155"/>
      <c r="AG183" s="132"/>
    </row>
    <row r="184">
      <c r="A184" s="311"/>
      <c r="B184" s="313"/>
      <c r="C184" s="313"/>
      <c r="D184" s="313"/>
      <c r="E184" s="314"/>
      <c r="F184" s="314"/>
      <c r="G184" s="314"/>
      <c r="H184" s="314"/>
      <c r="I184" s="314"/>
      <c r="J184" s="314"/>
      <c r="K184" s="314"/>
      <c r="L184" s="314"/>
      <c r="M184" s="314"/>
      <c r="N184" s="314"/>
      <c r="O184" s="314"/>
      <c r="P184" s="314"/>
      <c r="Q184" s="314"/>
      <c r="R184" s="314"/>
      <c r="S184" s="314"/>
      <c r="T184" s="314"/>
      <c r="U184" s="314"/>
      <c r="V184" s="314"/>
      <c r="W184" s="313"/>
      <c r="X184" s="313"/>
      <c r="Y184" s="314"/>
      <c r="Z184" s="335"/>
      <c r="AA184" s="313"/>
      <c r="AB184" s="324"/>
      <c r="AC184" s="155"/>
      <c r="AD184" s="155"/>
      <c r="AE184" s="322"/>
      <c r="AF184" s="155"/>
      <c r="AG184" s="132"/>
    </row>
    <row r="185">
      <c r="A185" s="311"/>
      <c r="B185" s="313"/>
      <c r="C185" s="313"/>
      <c r="D185" s="313"/>
      <c r="E185" s="314"/>
      <c r="F185" s="314"/>
      <c r="G185" s="314"/>
      <c r="H185" s="314"/>
      <c r="I185" s="314"/>
      <c r="J185" s="314"/>
      <c r="K185" s="314"/>
      <c r="L185" s="314"/>
      <c r="M185" s="314"/>
      <c r="N185" s="314"/>
      <c r="O185" s="314"/>
      <c r="P185" s="314"/>
      <c r="Q185" s="314"/>
      <c r="R185" s="314"/>
      <c r="S185" s="314"/>
      <c r="T185" s="314"/>
      <c r="U185" s="314"/>
      <c r="V185" s="314"/>
      <c r="W185" s="313"/>
      <c r="X185" s="313"/>
      <c r="Y185" s="314"/>
      <c r="Z185" s="335"/>
      <c r="AA185" s="313"/>
      <c r="AB185" s="324"/>
      <c r="AC185" s="155"/>
      <c r="AD185" s="155"/>
      <c r="AE185" s="322"/>
      <c r="AF185" s="155"/>
      <c r="AG185" s="132"/>
    </row>
    <row r="186">
      <c r="A186" s="311"/>
      <c r="B186" s="313"/>
      <c r="C186" s="313"/>
      <c r="D186" s="313"/>
      <c r="E186" s="314"/>
      <c r="F186" s="314"/>
      <c r="G186" s="314"/>
      <c r="H186" s="314"/>
      <c r="I186" s="314"/>
      <c r="J186" s="314"/>
      <c r="K186" s="314"/>
      <c r="L186" s="314"/>
      <c r="M186" s="314"/>
      <c r="N186" s="314"/>
      <c r="O186" s="314"/>
      <c r="P186" s="314"/>
      <c r="Q186" s="314"/>
      <c r="R186" s="314"/>
      <c r="S186" s="314"/>
      <c r="T186" s="314"/>
      <c r="U186" s="314"/>
      <c r="V186" s="314"/>
      <c r="W186" s="313"/>
      <c r="X186" s="313"/>
      <c r="Y186" s="314"/>
      <c r="Z186" s="335"/>
      <c r="AA186" s="313"/>
      <c r="AB186" s="324"/>
      <c r="AC186" s="155"/>
      <c r="AD186" s="155"/>
      <c r="AE186" s="322"/>
      <c r="AF186" s="155"/>
      <c r="AG186" s="132"/>
    </row>
    <row r="187">
      <c r="A187" s="311"/>
      <c r="B187" s="313"/>
      <c r="C187" s="313"/>
      <c r="D187" s="313"/>
      <c r="E187" s="314"/>
      <c r="F187" s="314"/>
      <c r="G187" s="314"/>
      <c r="H187" s="314"/>
      <c r="I187" s="314"/>
      <c r="J187" s="314"/>
      <c r="K187" s="314"/>
      <c r="L187" s="314"/>
      <c r="M187" s="314"/>
      <c r="N187" s="314"/>
      <c r="O187" s="314"/>
      <c r="P187" s="314"/>
      <c r="Q187" s="314"/>
      <c r="R187" s="314"/>
      <c r="S187" s="314"/>
      <c r="T187" s="314"/>
      <c r="U187" s="314"/>
      <c r="V187" s="314"/>
      <c r="W187" s="313"/>
      <c r="X187" s="313"/>
      <c r="Y187" s="314"/>
      <c r="Z187" s="335"/>
      <c r="AA187" s="313"/>
      <c r="AB187" s="324"/>
      <c r="AC187" s="155"/>
      <c r="AD187" s="155"/>
      <c r="AE187" s="322"/>
      <c r="AF187" s="155"/>
      <c r="AG187" s="132"/>
    </row>
    <row r="188">
      <c r="A188" s="311"/>
      <c r="B188" s="313"/>
      <c r="C188" s="313"/>
      <c r="D188" s="313"/>
      <c r="E188" s="314"/>
      <c r="F188" s="314"/>
      <c r="G188" s="314"/>
      <c r="H188" s="314"/>
      <c r="I188" s="314"/>
      <c r="J188" s="314"/>
      <c r="K188" s="314"/>
      <c r="L188" s="314"/>
      <c r="M188" s="314"/>
      <c r="N188" s="314"/>
      <c r="O188" s="314"/>
      <c r="P188" s="314"/>
      <c r="Q188" s="314"/>
      <c r="R188" s="314"/>
      <c r="S188" s="314"/>
      <c r="T188" s="314"/>
      <c r="U188" s="314"/>
      <c r="V188" s="314"/>
      <c r="W188" s="313"/>
      <c r="X188" s="313"/>
      <c r="Y188" s="314"/>
      <c r="Z188" s="335"/>
      <c r="AA188" s="313"/>
      <c r="AB188" s="324"/>
      <c r="AC188" s="155"/>
      <c r="AD188" s="155"/>
      <c r="AE188" s="322"/>
      <c r="AF188" s="155"/>
      <c r="AG188" s="132"/>
    </row>
    <row r="189">
      <c r="A189" s="311"/>
      <c r="B189" s="313"/>
      <c r="C189" s="313"/>
      <c r="D189" s="313"/>
      <c r="E189" s="314"/>
      <c r="F189" s="314"/>
      <c r="G189" s="314"/>
      <c r="H189" s="314"/>
      <c r="I189" s="314"/>
      <c r="J189" s="314"/>
      <c r="K189" s="314"/>
      <c r="L189" s="314"/>
      <c r="M189" s="314"/>
      <c r="N189" s="314"/>
      <c r="O189" s="314"/>
      <c r="P189" s="314"/>
      <c r="Q189" s="314"/>
      <c r="R189" s="314"/>
      <c r="S189" s="314"/>
      <c r="T189" s="314"/>
      <c r="U189" s="314"/>
      <c r="V189" s="314"/>
      <c r="W189" s="313"/>
      <c r="X189" s="313"/>
      <c r="Y189" s="314"/>
      <c r="Z189" s="335"/>
      <c r="AA189" s="313"/>
      <c r="AB189" s="324"/>
      <c r="AC189" s="155"/>
      <c r="AD189" s="155"/>
      <c r="AE189" s="322"/>
      <c r="AF189" s="155"/>
      <c r="AG189" s="132"/>
    </row>
    <row r="190">
      <c r="A190" s="311"/>
      <c r="B190" s="313"/>
      <c r="C190" s="313"/>
      <c r="D190" s="313"/>
      <c r="E190" s="314"/>
      <c r="F190" s="314"/>
      <c r="G190" s="314"/>
      <c r="H190" s="314"/>
      <c r="I190" s="314"/>
      <c r="J190" s="314"/>
      <c r="K190" s="314"/>
      <c r="L190" s="314"/>
      <c r="M190" s="314"/>
      <c r="N190" s="314"/>
      <c r="O190" s="314"/>
      <c r="P190" s="314"/>
      <c r="Q190" s="314"/>
      <c r="R190" s="314"/>
      <c r="S190" s="314"/>
      <c r="T190" s="314"/>
      <c r="U190" s="314"/>
      <c r="V190" s="314"/>
      <c r="W190" s="313"/>
      <c r="X190" s="313"/>
      <c r="Y190" s="314"/>
      <c r="Z190" s="335"/>
      <c r="AA190" s="313"/>
      <c r="AB190" s="324"/>
      <c r="AC190" s="155"/>
      <c r="AD190" s="155"/>
      <c r="AE190" s="322"/>
      <c r="AF190" s="155"/>
      <c r="AG190" s="132"/>
    </row>
    <row r="191">
      <c r="A191" s="311"/>
      <c r="B191" s="313"/>
      <c r="C191" s="313"/>
      <c r="D191" s="313"/>
      <c r="E191" s="314"/>
      <c r="F191" s="314"/>
      <c r="G191" s="314"/>
      <c r="H191" s="314"/>
      <c r="I191" s="314"/>
      <c r="J191" s="314"/>
      <c r="K191" s="314"/>
      <c r="L191" s="314"/>
      <c r="M191" s="314"/>
      <c r="N191" s="314"/>
      <c r="O191" s="314"/>
      <c r="P191" s="314"/>
      <c r="Q191" s="314"/>
      <c r="R191" s="314"/>
      <c r="S191" s="314"/>
      <c r="T191" s="314"/>
      <c r="U191" s="314"/>
      <c r="V191" s="314"/>
      <c r="W191" s="313"/>
      <c r="X191" s="313"/>
      <c r="Y191" s="314"/>
      <c r="Z191" s="335"/>
      <c r="AA191" s="313"/>
      <c r="AB191" s="324"/>
      <c r="AC191" s="155"/>
      <c r="AD191" s="155"/>
      <c r="AE191" s="322"/>
      <c r="AF191" s="155"/>
      <c r="AG191" s="132"/>
    </row>
    <row r="192">
      <c r="A192" s="311"/>
      <c r="B192" s="313"/>
      <c r="C192" s="313"/>
      <c r="D192" s="313"/>
      <c r="E192" s="314"/>
      <c r="F192" s="314"/>
      <c r="G192" s="314"/>
      <c r="H192" s="314"/>
      <c r="I192" s="314"/>
      <c r="J192" s="314"/>
      <c r="K192" s="314"/>
      <c r="L192" s="314"/>
      <c r="M192" s="314"/>
      <c r="N192" s="314"/>
      <c r="O192" s="314"/>
      <c r="P192" s="314"/>
      <c r="Q192" s="314"/>
      <c r="R192" s="314"/>
      <c r="S192" s="314"/>
      <c r="T192" s="314"/>
      <c r="U192" s="314"/>
      <c r="V192" s="314"/>
      <c r="W192" s="313"/>
      <c r="X192" s="313"/>
      <c r="Y192" s="314"/>
      <c r="Z192" s="335"/>
      <c r="AA192" s="313"/>
      <c r="AB192" s="324"/>
      <c r="AC192" s="155"/>
      <c r="AD192" s="155"/>
      <c r="AE192" s="322"/>
      <c r="AF192" s="155"/>
      <c r="AG192" s="132"/>
    </row>
    <row r="193">
      <c r="A193" s="311"/>
      <c r="B193" s="313"/>
      <c r="C193" s="313"/>
      <c r="D193" s="313"/>
      <c r="E193" s="314"/>
      <c r="F193" s="314"/>
      <c r="G193" s="314"/>
      <c r="H193" s="314"/>
      <c r="I193" s="314"/>
      <c r="J193" s="314"/>
      <c r="K193" s="314"/>
      <c r="L193" s="314"/>
      <c r="M193" s="314"/>
      <c r="N193" s="314"/>
      <c r="O193" s="314"/>
      <c r="P193" s="314"/>
      <c r="Q193" s="314"/>
      <c r="R193" s="314"/>
      <c r="S193" s="314"/>
      <c r="T193" s="314"/>
      <c r="U193" s="314"/>
      <c r="V193" s="314"/>
      <c r="W193" s="313"/>
      <c r="X193" s="313"/>
      <c r="Y193" s="314"/>
      <c r="Z193" s="335"/>
      <c r="AA193" s="313"/>
      <c r="AB193" s="324"/>
      <c r="AC193" s="155"/>
      <c r="AD193" s="155"/>
      <c r="AE193" s="322"/>
      <c r="AF193" s="155"/>
      <c r="AG193" s="132"/>
    </row>
    <row r="194">
      <c r="A194" s="311"/>
      <c r="B194" s="313"/>
      <c r="C194" s="313"/>
      <c r="D194" s="313"/>
      <c r="E194" s="314"/>
      <c r="F194" s="314"/>
      <c r="G194" s="314"/>
      <c r="H194" s="314"/>
      <c r="I194" s="314"/>
      <c r="J194" s="314"/>
      <c r="K194" s="314"/>
      <c r="L194" s="314"/>
      <c r="M194" s="314"/>
      <c r="N194" s="314"/>
      <c r="O194" s="314"/>
      <c r="P194" s="314"/>
      <c r="Q194" s="314"/>
      <c r="R194" s="314"/>
      <c r="S194" s="314"/>
      <c r="T194" s="314"/>
      <c r="U194" s="314"/>
      <c r="V194" s="314"/>
      <c r="W194" s="313"/>
      <c r="X194" s="313"/>
      <c r="Y194" s="314"/>
      <c r="Z194" s="335"/>
      <c r="AA194" s="313"/>
      <c r="AB194" s="324"/>
      <c r="AC194" s="155"/>
      <c r="AD194" s="155"/>
      <c r="AE194" s="322"/>
      <c r="AF194" s="155"/>
      <c r="AG194" s="132"/>
    </row>
    <row r="195">
      <c r="A195" s="311"/>
      <c r="B195" s="313"/>
      <c r="C195" s="313"/>
      <c r="D195" s="313"/>
      <c r="E195" s="314"/>
      <c r="F195" s="314"/>
      <c r="G195" s="314"/>
      <c r="H195" s="314"/>
      <c r="I195" s="314"/>
      <c r="J195" s="314"/>
      <c r="K195" s="314"/>
      <c r="L195" s="314"/>
      <c r="M195" s="314"/>
      <c r="N195" s="314"/>
      <c r="O195" s="314"/>
      <c r="P195" s="314"/>
      <c r="Q195" s="314"/>
      <c r="R195" s="314"/>
      <c r="S195" s="314"/>
      <c r="T195" s="314"/>
      <c r="U195" s="314"/>
      <c r="V195" s="314"/>
      <c r="W195" s="313"/>
      <c r="X195" s="313"/>
      <c r="Y195" s="314"/>
      <c r="Z195" s="335"/>
      <c r="AA195" s="313"/>
      <c r="AB195" s="324"/>
      <c r="AC195" s="155"/>
      <c r="AD195" s="155"/>
      <c r="AE195" s="322"/>
      <c r="AF195" s="155"/>
      <c r="AG195" s="132"/>
    </row>
    <row r="196">
      <c r="A196" s="311"/>
      <c r="B196" s="313"/>
      <c r="C196" s="313"/>
      <c r="D196" s="313"/>
      <c r="E196" s="314"/>
      <c r="F196" s="314"/>
      <c r="G196" s="314"/>
      <c r="H196" s="314"/>
      <c r="I196" s="314"/>
      <c r="J196" s="314"/>
      <c r="K196" s="314"/>
      <c r="L196" s="314"/>
      <c r="M196" s="314"/>
      <c r="N196" s="314"/>
      <c r="O196" s="314"/>
      <c r="P196" s="314"/>
      <c r="Q196" s="314"/>
      <c r="R196" s="314"/>
      <c r="S196" s="314"/>
      <c r="T196" s="314"/>
      <c r="U196" s="314"/>
      <c r="V196" s="314"/>
      <c r="W196" s="313"/>
      <c r="X196" s="313"/>
      <c r="Y196" s="314"/>
      <c r="Z196" s="335"/>
      <c r="AA196" s="313"/>
      <c r="AB196" s="324"/>
      <c r="AC196" s="155"/>
      <c r="AD196" s="155"/>
      <c r="AE196" s="322"/>
      <c r="AF196" s="155"/>
      <c r="AG196" s="132"/>
    </row>
    <row r="197">
      <c r="A197" s="311"/>
      <c r="B197" s="313"/>
      <c r="C197" s="313"/>
      <c r="D197" s="313"/>
      <c r="E197" s="314"/>
      <c r="F197" s="314"/>
      <c r="G197" s="314"/>
      <c r="H197" s="314"/>
      <c r="I197" s="314"/>
      <c r="J197" s="314"/>
      <c r="K197" s="314"/>
      <c r="L197" s="314"/>
      <c r="M197" s="314"/>
      <c r="N197" s="314"/>
      <c r="O197" s="314"/>
      <c r="P197" s="314"/>
      <c r="Q197" s="314"/>
      <c r="R197" s="314"/>
      <c r="S197" s="314"/>
      <c r="T197" s="314"/>
      <c r="U197" s="314"/>
      <c r="V197" s="314"/>
      <c r="W197" s="313"/>
      <c r="X197" s="313"/>
      <c r="Y197" s="314"/>
      <c r="Z197" s="335"/>
      <c r="AA197" s="313"/>
      <c r="AB197" s="324"/>
      <c r="AC197" s="155"/>
      <c r="AD197" s="155"/>
      <c r="AE197" s="322"/>
      <c r="AF197" s="155"/>
      <c r="AG197" s="132"/>
    </row>
    <row r="198">
      <c r="A198" s="311"/>
      <c r="B198" s="313"/>
      <c r="C198" s="313"/>
      <c r="D198" s="313"/>
      <c r="E198" s="314"/>
      <c r="F198" s="314"/>
      <c r="G198" s="314"/>
      <c r="H198" s="314"/>
      <c r="I198" s="314"/>
      <c r="J198" s="314"/>
      <c r="K198" s="314"/>
      <c r="L198" s="314"/>
      <c r="M198" s="314"/>
      <c r="N198" s="314"/>
      <c r="O198" s="314"/>
      <c r="P198" s="314"/>
      <c r="Q198" s="314"/>
      <c r="R198" s="314"/>
      <c r="S198" s="314"/>
      <c r="T198" s="314"/>
      <c r="U198" s="314"/>
      <c r="V198" s="314"/>
      <c r="W198" s="313"/>
      <c r="X198" s="313"/>
      <c r="Y198" s="314"/>
      <c r="Z198" s="335"/>
      <c r="AA198" s="313"/>
      <c r="AB198" s="324"/>
      <c r="AC198" s="155"/>
      <c r="AD198" s="155"/>
      <c r="AE198" s="322"/>
      <c r="AF198" s="155"/>
      <c r="AG198" s="132"/>
    </row>
    <row r="199">
      <c r="A199" s="311"/>
      <c r="B199" s="313"/>
      <c r="C199" s="313"/>
      <c r="D199" s="313"/>
      <c r="E199" s="314"/>
      <c r="F199" s="314"/>
      <c r="G199" s="314"/>
      <c r="H199" s="314"/>
      <c r="I199" s="314"/>
      <c r="J199" s="314"/>
      <c r="K199" s="314"/>
      <c r="L199" s="314"/>
      <c r="M199" s="314"/>
      <c r="N199" s="314"/>
      <c r="O199" s="314"/>
      <c r="P199" s="314"/>
      <c r="Q199" s="314"/>
      <c r="R199" s="314"/>
      <c r="S199" s="314"/>
      <c r="T199" s="314"/>
      <c r="U199" s="314"/>
      <c r="V199" s="314"/>
      <c r="W199" s="313"/>
      <c r="X199" s="313"/>
      <c r="Y199" s="314"/>
      <c r="Z199" s="335"/>
      <c r="AA199" s="313"/>
      <c r="AB199" s="324"/>
      <c r="AC199" s="155"/>
      <c r="AD199" s="155"/>
      <c r="AE199" s="322"/>
      <c r="AF199" s="155"/>
      <c r="AG199" s="132"/>
    </row>
    <row r="200">
      <c r="A200" s="311"/>
      <c r="B200" s="313"/>
      <c r="C200" s="313"/>
      <c r="D200" s="313"/>
      <c r="E200" s="314"/>
      <c r="F200" s="314"/>
      <c r="G200" s="314"/>
      <c r="H200" s="314"/>
      <c r="I200" s="314"/>
      <c r="J200" s="314"/>
      <c r="K200" s="314"/>
      <c r="L200" s="314"/>
      <c r="M200" s="314"/>
      <c r="N200" s="314"/>
      <c r="O200" s="314"/>
      <c r="P200" s="314"/>
      <c r="Q200" s="314"/>
      <c r="R200" s="314"/>
      <c r="S200" s="314"/>
      <c r="T200" s="314"/>
      <c r="U200" s="314"/>
      <c r="V200" s="314"/>
      <c r="W200" s="313"/>
      <c r="X200" s="313"/>
      <c r="Y200" s="314"/>
      <c r="Z200" s="335"/>
      <c r="AA200" s="313"/>
      <c r="AB200" s="324"/>
      <c r="AC200" s="155"/>
      <c r="AD200" s="155"/>
      <c r="AE200" s="322"/>
      <c r="AF200" s="155"/>
      <c r="AG200" s="132"/>
    </row>
    <row r="201">
      <c r="A201" s="311"/>
      <c r="B201" s="313"/>
      <c r="C201" s="313"/>
      <c r="D201" s="313"/>
      <c r="E201" s="314"/>
      <c r="F201" s="314"/>
      <c r="G201" s="314"/>
      <c r="H201" s="314"/>
      <c r="I201" s="314"/>
      <c r="J201" s="314"/>
      <c r="K201" s="314"/>
      <c r="L201" s="314"/>
      <c r="M201" s="314"/>
      <c r="N201" s="314"/>
      <c r="O201" s="314"/>
      <c r="P201" s="314"/>
      <c r="Q201" s="314"/>
      <c r="R201" s="314"/>
      <c r="S201" s="314"/>
      <c r="T201" s="314"/>
      <c r="U201" s="314"/>
      <c r="V201" s="314"/>
      <c r="W201" s="313"/>
      <c r="X201" s="313"/>
      <c r="Y201" s="314"/>
      <c r="Z201" s="335"/>
      <c r="AA201" s="313"/>
      <c r="AB201" s="324"/>
      <c r="AC201" s="155"/>
      <c r="AD201" s="155"/>
      <c r="AE201" s="322"/>
      <c r="AF201" s="155"/>
      <c r="AG201" s="132"/>
    </row>
    <row r="202">
      <c r="A202" s="311"/>
      <c r="B202" s="313"/>
      <c r="C202" s="313"/>
      <c r="D202" s="313"/>
      <c r="E202" s="314"/>
      <c r="F202" s="314"/>
      <c r="G202" s="314"/>
      <c r="H202" s="314"/>
      <c r="I202" s="314"/>
      <c r="J202" s="314"/>
      <c r="K202" s="314"/>
      <c r="L202" s="314"/>
      <c r="M202" s="314"/>
      <c r="N202" s="314"/>
      <c r="O202" s="314"/>
      <c r="P202" s="314"/>
      <c r="Q202" s="314"/>
      <c r="R202" s="314"/>
      <c r="S202" s="314"/>
      <c r="T202" s="314"/>
      <c r="U202" s="314"/>
      <c r="V202" s="314"/>
      <c r="W202" s="313"/>
      <c r="X202" s="313"/>
      <c r="Y202" s="314"/>
      <c r="Z202" s="335"/>
      <c r="AA202" s="313"/>
      <c r="AB202" s="324"/>
      <c r="AC202" s="155"/>
      <c r="AD202" s="155"/>
      <c r="AE202" s="322"/>
      <c r="AF202" s="155"/>
      <c r="AG202" s="132"/>
    </row>
    <row r="203">
      <c r="A203" s="311"/>
      <c r="B203" s="313"/>
      <c r="C203" s="313"/>
      <c r="D203" s="313"/>
      <c r="E203" s="314"/>
      <c r="F203" s="314"/>
      <c r="G203" s="314"/>
      <c r="H203" s="314"/>
      <c r="I203" s="314"/>
      <c r="J203" s="314"/>
      <c r="K203" s="314"/>
      <c r="L203" s="314"/>
      <c r="M203" s="314"/>
      <c r="N203" s="314"/>
      <c r="O203" s="314"/>
      <c r="P203" s="314"/>
      <c r="Q203" s="314"/>
      <c r="R203" s="314"/>
      <c r="S203" s="314"/>
      <c r="T203" s="314"/>
      <c r="U203" s="314"/>
      <c r="V203" s="314"/>
      <c r="W203" s="313"/>
      <c r="X203" s="313"/>
      <c r="Y203" s="314"/>
      <c r="Z203" s="335"/>
      <c r="AA203" s="313"/>
      <c r="AB203" s="324"/>
      <c r="AC203" s="155"/>
      <c r="AD203" s="155"/>
      <c r="AE203" s="322"/>
      <c r="AF203" s="155"/>
      <c r="AG203" s="132"/>
    </row>
    <row r="204">
      <c r="A204" s="311"/>
      <c r="B204" s="313"/>
      <c r="C204" s="313"/>
      <c r="D204" s="313"/>
      <c r="E204" s="314"/>
      <c r="F204" s="314"/>
      <c r="G204" s="314"/>
      <c r="H204" s="314"/>
      <c r="I204" s="314"/>
      <c r="J204" s="314"/>
      <c r="K204" s="314"/>
      <c r="L204" s="314"/>
      <c r="M204" s="314"/>
      <c r="N204" s="314"/>
      <c r="O204" s="314"/>
      <c r="P204" s="314"/>
      <c r="Q204" s="314"/>
      <c r="R204" s="314"/>
      <c r="S204" s="314"/>
      <c r="T204" s="314"/>
      <c r="U204" s="314"/>
      <c r="V204" s="314"/>
      <c r="W204" s="313"/>
      <c r="X204" s="313"/>
      <c r="Y204" s="314"/>
      <c r="Z204" s="335"/>
      <c r="AA204" s="313"/>
      <c r="AB204" s="324"/>
      <c r="AC204" s="155"/>
      <c r="AD204" s="155"/>
      <c r="AE204" s="322"/>
      <c r="AF204" s="155"/>
      <c r="AG204" s="132"/>
    </row>
    <row r="205">
      <c r="A205" s="311"/>
      <c r="B205" s="313"/>
      <c r="C205" s="313"/>
      <c r="D205" s="313"/>
      <c r="E205" s="314"/>
      <c r="F205" s="314"/>
      <c r="G205" s="314"/>
      <c r="H205" s="314"/>
      <c r="I205" s="314"/>
      <c r="J205" s="314"/>
      <c r="K205" s="314"/>
      <c r="L205" s="314"/>
      <c r="M205" s="314"/>
      <c r="N205" s="314"/>
      <c r="O205" s="314"/>
      <c r="P205" s="314"/>
      <c r="Q205" s="314"/>
      <c r="R205" s="314"/>
      <c r="S205" s="314"/>
      <c r="T205" s="314"/>
      <c r="U205" s="314"/>
      <c r="V205" s="314"/>
      <c r="W205" s="313"/>
      <c r="X205" s="313"/>
      <c r="Y205" s="314"/>
      <c r="Z205" s="335"/>
      <c r="AA205" s="313"/>
      <c r="AB205" s="324"/>
      <c r="AC205" s="155"/>
      <c r="AD205" s="155"/>
      <c r="AE205" s="322"/>
      <c r="AF205" s="155"/>
      <c r="AG205" s="132"/>
    </row>
    <row r="206">
      <c r="A206" s="311"/>
      <c r="B206" s="313"/>
      <c r="C206" s="313"/>
      <c r="D206" s="313"/>
      <c r="E206" s="314"/>
      <c r="F206" s="314"/>
      <c r="G206" s="314"/>
      <c r="H206" s="314"/>
      <c r="I206" s="314"/>
      <c r="J206" s="314"/>
      <c r="K206" s="314"/>
      <c r="L206" s="314"/>
      <c r="M206" s="314"/>
      <c r="N206" s="314"/>
      <c r="O206" s="314"/>
      <c r="P206" s="314"/>
      <c r="Q206" s="314"/>
      <c r="R206" s="314"/>
      <c r="S206" s="314"/>
      <c r="T206" s="314"/>
      <c r="U206" s="314"/>
      <c r="V206" s="314"/>
      <c r="W206" s="313"/>
      <c r="X206" s="313"/>
      <c r="Y206" s="314"/>
      <c r="Z206" s="335"/>
      <c r="AA206" s="313"/>
      <c r="AB206" s="324"/>
      <c r="AC206" s="155"/>
      <c r="AD206" s="155"/>
      <c r="AE206" s="322"/>
      <c r="AF206" s="155"/>
      <c r="AG206" s="132"/>
    </row>
    <row r="207">
      <c r="A207" s="311"/>
      <c r="B207" s="313"/>
      <c r="C207" s="313"/>
      <c r="D207" s="313"/>
      <c r="E207" s="314"/>
      <c r="F207" s="314"/>
      <c r="G207" s="314"/>
      <c r="H207" s="314"/>
      <c r="I207" s="314"/>
      <c r="J207" s="314"/>
      <c r="K207" s="314"/>
      <c r="L207" s="314"/>
      <c r="M207" s="314"/>
      <c r="N207" s="314"/>
      <c r="O207" s="314"/>
      <c r="P207" s="314"/>
      <c r="Q207" s="314"/>
      <c r="R207" s="314"/>
      <c r="S207" s="314"/>
      <c r="T207" s="314"/>
      <c r="U207" s="314"/>
      <c r="V207" s="314"/>
      <c r="W207" s="313"/>
      <c r="X207" s="313"/>
      <c r="Y207" s="314"/>
      <c r="Z207" s="335"/>
      <c r="AA207" s="313"/>
      <c r="AB207" s="324"/>
      <c r="AC207" s="155"/>
      <c r="AD207" s="155"/>
      <c r="AE207" s="322"/>
      <c r="AF207" s="155"/>
      <c r="AG207" s="132"/>
    </row>
    <row r="208">
      <c r="A208" s="311"/>
      <c r="B208" s="313"/>
      <c r="C208" s="313"/>
      <c r="D208" s="313"/>
      <c r="E208" s="314"/>
      <c r="F208" s="314"/>
      <c r="G208" s="314"/>
      <c r="H208" s="314"/>
      <c r="I208" s="314"/>
      <c r="J208" s="314"/>
      <c r="K208" s="314"/>
      <c r="L208" s="314"/>
      <c r="M208" s="314"/>
      <c r="N208" s="314"/>
      <c r="O208" s="314"/>
      <c r="P208" s="314"/>
      <c r="Q208" s="314"/>
      <c r="R208" s="314"/>
      <c r="S208" s="314"/>
      <c r="T208" s="314"/>
      <c r="U208" s="314"/>
      <c r="V208" s="314"/>
      <c r="W208" s="313"/>
      <c r="X208" s="313"/>
      <c r="Y208" s="314"/>
      <c r="Z208" s="335"/>
      <c r="AA208" s="313"/>
      <c r="AB208" s="324"/>
      <c r="AC208" s="155"/>
      <c r="AD208" s="155"/>
      <c r="AE208" s="322"/>
      <c r="AF208" s="155"/>
      <c r="AG208" s="132"/>
    </row>
    <row r="209">
      <c r="A209" s="311"/>
      <c r="B209" s="313"/>
      <c r="C209" s="313"/>
      <c r="D209" s="313"/>
      <c r="E209" s="314"/>
      <c r="F209" s="314"/>
      <c r="G209" s="314"/>
      <c r="H209" s="314"/>
      <c r="I209" s="314"/>
      <c r="J209" s="314"/>
      <c r="K209" s="314"/>
      <c r="L209" s="314"/>
      <c r="M209" s="314"/>
      <c r="N209" s="314"/>
      <c r="O209" s="314"/>
      <c r="P209" s="314"/>
      <c r="Q209" s="314"/>
      <c r="R209" s="314"/>
      <c r="S209" s="314"/>
      <c r="T209" s="314"/>
      <c r="U209" s="314"/>
      <c r="V209" s="314"/>
      <c r="W209" s="313"/>
      <c r="X209" s="313"/>
      <c r="Y209" s="314"/>
      <c r="Z209" s="335"/>
      <c r="AA209" s="313"/>
      <c r="AB209" s="324"/>
      <c r="AC209" s="155"/>
      <c r="AD209" s="155"/>
      <c r="AE209" s="322"/>
      <c r="AF209" s="155"/>
      <c r="AG209" s="132"/>
    </row>
    <row r="210">
      <c r="A210" s="311"/>
      <c r="B210" s="313"/>
      <c r="C210" s="313"/>
      <c r="D210" s="313"/>
      <c r="E210" s="314"/>
      <c r="F210" s="314"/>
      <c r="G210" s="314"/>
      <c r="H210" s="314"/>
      <c r="I210" s="314"/>
      <c r="J210" s="314"/>
      <c r="K210" s="314"/>
      <c r="L210" s="314"/>
      <c r="M210" s="314"/>
      <c r="N210" s="314"/>
      <c r="O210" s="314"/>
      <c r="P210" s="314"/>
      <c r="Q210" s="314"/>
      <c r="R210" s="314"/>
      <c r="S210" s="314"/>
      <c r="T210" s="314"/>
      <c r="U210" s="314"/>
      <c r="V210" s="314"/>
      <c r="W210" s="313"/>
      <c r="X210" s="313"/>
      <c r="Y210" s="314"/>
      <c r="Z210" s="335"/>
      <c r="AA210" s="313"/>
      <c r="AB210" s="324"/>
      <c r="AC210" s="155"/>
      <c r="AD210" s="155"/>
      <c r="AE210" s="322"/>
      <c r="AF210" s="155"/>
      <c r="AG210" s="132"/>
    </row>
    <row r="211">
      <c r="A211" s="311"/>
      <c r="B211" s="313"/>
      <c r="C211" s="313"/>
      <c r="D211" s="313"/>
      <c r="E211" s="314"/>
      <c r="F211" s="314"/>
      <c r="G211" s="314"/>
      <c r="H211" s="314"/>
      <c r="I211" s="314"/>
      <c r="J211" s="314"/>
      <c r="K211" s="314"/>
      <c r="L211" s="314"/>
      <c r="M211" s="314"/>
      <c r="N211" s="314"/>
      <c r="O211" s="314"/>
      <c r="P211" s="314"/>
      <c r="Q211" s="314"/>
      <c r="R211" s="314"/>
      <c r="S211" s="314"/>
      <c r="T211" s="314"/>
      <c r="U211" s="314"/>
      <c r="V211" s="314"/>
      <c r="W211" s="313"/>
      <c r="X211" s="313"/>
      <c r="Y211" s="314"/>
      <c r="Z211" s="335"/>
      <c r="AA211" s="313"/>
      <c r="AB211" s="324"/>
      <c r="AC211" s="155"/>
      <c r="AD211" s="155"/>
      <c r="AE211" s="322"/>
      <c r="AF211" s="155"/>
      <c r="AG211" s="132"/>
    </row>
    <row r="212">
      <c r="A212" s="311"/>
      <c r="B212" s="313"/>
      <c r="C212" s="313"/>
      <c r="D212" s="313"/>
      <c r="E212" s="314"/>
      <c r="F212" s="314"/>
      <c r="G212" s="314"/>
      <c r="H212" s="314"/>
      <c r="I212" s="314"/>
      <c r="J212" s="314"/>
      <c r="K212" s="314"/>
      <c r="L212" s="314"/>
      <c r="M212" s="314"/>
      <c r="N212" s="314"/>
      <c r="O212" s="314"/>
      <c r="P212" s="314"/>
      <c r="Q212" s="314"/>
      <c r="R212" s="314"/>
      <c r="S212" s="314"/>
      <c r="T212" s="314"/>
      <c r="U212" s="314"/>
      <c r="V212" s="314"/>
      <c r="W212" s="313"/>
      <c r="X212" s="313"/>
      <c r="Y212" s="314"/>
      <c r="Z212" s="335"/>
      <c r="AA212" s="313"/>
      <c r="AB212" s="324"/>
      <c r="AC212" s="155"/>
      <c r="AD212" s="155"/>
      <c r="AE212" s="322"/>
      <c r="AF212" s="155"/>
      <c r="AG212" s="132"/>
    </row>
    <row r="213">
      <c r="A213" s="311"/>
      <c r="B213" s="313"/>
      <c r="C213" s="313"/>
      <c r="D213" s="313"/>
      <c r="E213" s="314"/>
      <c r="F213" s="314"/>
      <c r="G213" s="314"/>
      <c r="H213" s="314"/>
      <c r="I213" s="314"/>
      <c r="J213" s="314"/>
      <c r="K213" s="314"/>
      <c r="L213" s="314"/>
      <c r="M213" s="314"/>
      <c r="N213" s="314"/>
      <c r="O213" s="314"/>
      <c r="P213" s="314"/>
      <c r="Q213" s="314"/>
      <c r="R213" s="314"/>
      <c r="S213" s="314"/>
      <c r="T213" s="314"/>
      <c r="U213" s="314"/>
      <c r="V213" s="314"/>
      <c r="W213" s="313"/>
      <c r="X213" s="313"/>
      <c r="Y213" s="314"/>
      <c r="Z213" s="335"/>
      <c r="AA213" s="313"/>
      <c r="AB213" s="324"/>
      <c r="AC213" s="155"/>
      <c r="AD213" s="155"/>
      <c r="AE213" s="322"/>
      <c r="AF213" s="155"/>
      <c r="AG213" s="132"/>
    </row>
    <row r="214">
      <c r="A214" s="311"/>
      <c r="B214" s="313"/>
      <c r="C214" s="313"/>
      <c r="D214" s="313"/>
      <c r="E214" s="314"/>
      <c r="F214" s="314"/>
      <c r="G214" s="314"/>
      <c r="H214" s="314"/>
      <c r="I214" s="314"/>
      <c r="J214" s="314"/>
      <c r="K214" s="314"/>
      <c r="L214" s="314"/>
      <c r="M214" s="314"/>
      <c r="N214" s="314"/>
      <c r="O214" s="314"/>
      <c r="P214" s="314"/>
      <c r="Q214" s="314"/>
      <c r="R214" s="314"/>
      <c r="S214" s="314"/>
      <c r="T214" s="314"/>
      <c r="U214" s="314"/>
      <c r="V214" s="314"/>
      <c r="W214" s="313"/>
      <c r="X214" s="313"/>
      <c r="Y214" s="314"/>
      <c r="Z214" s="335"/>
      <c r="AA214" s="313"/>
      <c r="AB214" s="324"/>
      <c r="AC214" s="155"/>
      <c r="AD214" s="155"/>
      <c r="AE214" s="322"/>
      <c r="AF214" s="155"/>
      <c r="AG214" s="132"/>
    </row>
    <row r="215">
      <c r="A215" s="311"/>
      <c r="B215" s="313"/>
      <c r="C215" s="313"/>
      <c r="D215" s="313"/>
      <c r="E215" s="314"/>
      <c r="F215" s="314"/>
      <c r="G215" s="314"/>
      <c r="H215" s="314"/>
      <c r="I215" s="314"/>
      <c r="J215" s="314"/>
      <c r="K215" s="314"/>
      <c r="L215" s="314"/>
      <c r="M215" s="314"/>
      <c r="N215" s="314"/>
      <c r="O215" s="314"/>
      <c r="P215" s="314"/>
      <c r="Q215" s="314"/>
      <c r="R215" s="314"/>
      <c r="S215" s="314"/>
      <c r="T215" s="314"/>
      <c r="U215" s="314"/>
      <c r="V215" s="314"/>
      <c r="W215" s="313"/>
      <c r="X215" s="313"/>
      <c r="Y215" s="314"/>
      <c r="Z215" s="335"/>
      <c r="AA215" s="313"/>
      <c r="AB215" s="324"/>
      <c r="AC215" s="155"/>
      <c r="AD215" s="155"/>
      <c r="AE215" s="322"/>
      <c r="AF215" s="155"/>
      <c r="AG215" s="132"/>
    </row>
    <row r="216">
      <c r="A216" s="311"/>
      <c r="B216" s="313"/>
      <c r="C216" s="313"/>
      <c r="D216" s="313"/>
      <c r="E216" s="314"/>
      <c r="F216" s="314"/>
      <c r="G216" s="314"/>
      <c r="H216" s="314"/>
      <c r="I216" s="314"/>
      <c r="J216" s="314"/>
      <c r="K216" s="314"/>
      <c r="L216" s="314"/>
      <c r="M216" s="314"/>
      <c r="N216" s="314"/>
      <c r="O216" s="314"/>
      <c r="P216" s="314"/>
      <c r="Q216" s="314"/>
      <c r="R216" s="314"/>
      <c r="S216" s="314"/>
      <c r="T216" s="314"/>
      <c r="U216" s="314"/>
      <c r="V216" s="314"/>
      <c r="W216" s="313"/>
      <c r="X216" s="313"/>
      <c r="Y216" s="314"/>
      <c r="Z216" s="335"/>
      <c r="AA216" s="313"/>
      <c r="AB216" s="324"/>
      <c r="AC216" s="155"/>
      <c r="AD216" s="155"/>
      <c r="AE216" s="322"/>
      <c r="AF216" s="155"/>
      <c r="AG216" s="132"/>
    </row>
    <row r="217">
      <c r="A217" s="311"/>
      <c r="B217" s="313"/>
      <c r="C217" s="313"/>
      <c r="D217" s="313"/>
      <c r="E217" s="314"/>
      <c r="F217" s="314"/>
      <c r="G217" s="314"/>
      <c r="H217" s="314"/>
      <c r="I217" s="314"/>
      <c r="J217" s="314"/>
      <c r="K217" s="314"/>
      <c r="L217" s="314"/>
      <c r="M217" s="314"/>
      <c r="N217" s="314"/>
      <c r="O217" s="314"/>
      <c r="P217" s="314"/>
      <c r="Q217" s="314"/>
      <c r="R217" s="314"/>
      <c r="S217" s="314"/>
      <c r="T217" s="314"/>
      <c r="U217" s="314"/>
      <c r="V217" s="314"/>
      <c r="W217" s="313"/>
      <c r="X217" s="313"/>
      <c r="Y217" s="314"/>
      <c r="Z217" s="335"/>
      <c r="AA217" s="313"/>
      <c r="AB217" s="324"/>
      <c r="AC217" s="155"/>
      <c r="AD217" s="155"/>
      <c r="AE217" s="322"/>
      <c r="AF217" s="155"/>
      <c r="AG217" s="132"/>
    </row>
    <row r="218">
      <c r="A218" s="311"/>
      <c r="B218" s="313"/>
      <c r="C218" s="313"/>
      <c r="D218" s="313"/>
      <c r="E218" s="314"/>
      <c r="F218" s="314"/>
      <c r="G218" s="314"/>
      <c r="H218" s="314"/>
      <c r="I218" s="314"/>
      <c r="J218" s="314"/>
      <c r="K218" s="314"/>
      <c r="L218" s="314"/>
      <c r="M218" s="314"/>
      <c r="N218" s="314"/>
      <c r="O218" s="314"/>
      <c r="P218" s="314"/>
      <c r="Q218" s="314"/>
      <c r="R218" s="314"/>
      <c r="S218" s="314"/>
      <c r="T218" s="314"/>
      <c r="U218" s="314"/>
      <c r="V218" s="314"/>
      <c r="W218" s="313"/>
      <c r="X218" s="313"/>
      <c r="Y218" s="314"/>
      <c r="Z218" s="335"/>
      <c r="AA218" s="313"/>
      <c r="AB218" s="324"/>
      <c r="AC218" s="155"/>
      <c r="AD218" s="155"/>
      <c r="AE218" s="322"/>
      <c r="AF218" s="155"/>
      <c r="AG218" s="132"/>
    </row>
    <row r="219">
      <c r="A219" s="311"/>
      <c r="B219" s="313"/>
      <c r="C219" s="313"/>
      <c r="D219" s="313"/>
      <c r="E219" s="314"/>
      <c r="F219" s="314"/>
      <c r="G219" s="314"/>
      <c r="H219" s="314"/>
      <c r="I219" s="314"/>
      <c r="J219" s="314"/>
      <c r="K219" s="314"/>
      <c r="L219" s="314"/>
      <c r="M219" s="314"/>
      <c r="N219" s="314"/>
      <c r="O219" s="314"/>
      <c r="P219" s="314"/>
      <c r="Q219" s="314"/>
      <c r="R219" s="314"/>
      <c r="S219" s="314"/>
      <c r="T219" s="314"/>
      <c r="U219" s="314"/>
      <c r="V219" s="314"/>
      <c r="W219" s="313"/>
      <c r="X219" s="313"/>
      <c r="Y219" s="314"/>
      <c r="Z219" s="335"/>
      <c r="AA219" s="313"/>
      <c r="AB219" s="324"/>
      <c r="AC219" s="155"/>
      <c r="AD219" s="155"/>
      <c r="AE219" s="322"/>
      <c r="AF219" s="155"/>
      <c r="AG219" s="132"/>
    </row>
    <row r="220">
      <c r="A220" s="311"/>
      <c r="B220" s="313"/>
      <c r="C220" s="313"/>
      <c r="D220" s="313"/>
      <c r="E220" s="314"/>
      <c r="F220" s="314"/>
      <c r="G220" s="314"/>
      <c r="H220" s="314"/>
      <c r="I220" s="314"/>
      <c r="J220" s="314"/>
      <c r="K220" s="314"/>
      <c r="L220" s="314"/>
      <c r="M220" s="314"/>
      <c r="N220" s="314"/>
      <c r="O220" s="314"/>
      <c r="P220" s="314"/>
      <c r="Q220" s="314"/>
      <c r="R220" s="314"/>
      <c r="S220" s="314"/>
      <c r="T220" s="314"/>
      <c r="U220" s="314"/>
      <c r="V220" s="314"/>
      <c r="W220" s="313"/>
      <c r="X220" s="313"/>
      <c r="Y220" s="314"/>
      <c r="Z220" s="335"/>
      <c r="AA220" s="313"/>
      <c r="AB220" s="324"/>
      <c r="AC220" s="155"/>
      <c r="AD220" s="155"/>
      <c r="AE220" s="322"/>
      <c r="AF220" s="155"/>
      <c r="AG220" s="132"/>
    </row>
    <row r="221">
      <c r="A221" s="311"/>
      <c r="B221" s="313"/>
      <c r="C221" s="313"/>
      <c r="D221" s="313"/>
      <c r="E221" s="314"/>
      <c r="F221" s="314"/>
      <c r="G221" s="314"/>
      <c r="H221" s="314"/>
      <c r="I221" s="314"/>
      <c r="J221" s="314"/>
      <c r="K221" s="314"/>
      <c r="L221" s="314"/>
      <c r="M221" s="314"/>
      <c r="N221" s="314"/>
      <c r="O221" s="314"/>
      <c r="P221" s="314"/>
      <c r="Q221" s="314"/>
      <c r="R221" s="314"/>
      <c r="S221" s="314"/>
      <c r="T221" s="314"/>
      <c r="U221" s="314"/>
      <c r="V221" s="314"/>
      <c r="W221" s="313"/>
      <c r="X221" s="313"/>
      <c r="Y221" s="314"/>
      <c r="Z221" s="335"/>
      <c r="AA221" s="313"/>
      <c r="AB221" s="324"/>
      <c r="AC221" s="155"/>
      <c r="AD221" s="155"/>
      <c r="AE221" s="322"/>
      <c r="AF221" s="155"/>
      <c r="AG221" s="132"/>
    </row>
    <row r="222">
      <c r="A222" s="311"/>
      <c r="B222" s="313"/>
      <c r="C222" s="313"/>
      <c r="D222" s="313"/>
      <c r="E222" s="314"/>
      <c r="F222" s="314"/>
      <c r="G222" s="314"/>
      <c r="H222" s="314"/>
      <c r="I222" s="314"/>
      <c r="J222" s="314"/>
      <c r="K222" s="314"/>
      <c r="L222" s="314"/>
      <c r="M222" s="314"/>
      <c r="N222" s="314"/>
      <c r="O222" s="314"/>
      <c r="P222" s="314"/>
      <c r="Q222" s="314"/>
      <c r="R222" s="314"/>
      <c r="S222" s="314"/>
      <c r="T222" s="314"/>
      <c r="U222" s="314"/>
      <c r="V222" s="314"/>
      <c r="W222" s="313"/>
      <c r="X222" s="313"/>
      <c r="Y222" s="314"/>
      <c r="Z222" s="335"/>
      <c r="AA222" s="313"/>
      <c r="AB222" s="324"/>
      <c r="AC222" s="155"/>
      <c r="AD222" s="155"/>
      <c r="AE222" s="322"/>
      <c r="AF222" s="155"/>
      <c r="AG222" s="132"/>
    </row>
    <row r="223">
      <c r="A223" s="311"/>
      <c r="B223" s="313"/>
      <c r="C223" s="313"/>
      <c r="D223" s="313"/>
      <c r="E223" s="314"/>
      <c r="F223" s="314"/>
      <c r="G223" s="314"/>
      <c r="H223" s="314"/>
      <c r="I223" s="314"/>
      <c r="J223" s="314"/>
      <c r="K223" s="314"/>
      <c r="L223" s="314"/>
      <c r="M223" s="314"/>
      <c r="N223" s="314"/>
      <c r="O223" s="314"/>
      <c r="P223" s="314"/>
      <c r="Q223" s="314"/>
      <c r="R223" s="314"/>
      <c r="S223" s="314"/>
      <c r="T223" s="314"/>
      <c r="U223" s="314"/>
      <c r="V223" s="314"/>
      <c r="W223" s="313"/>
      <c r="X223" s="313"/>
      <c r="Y223" s="314"/>
      <c r="Z223" s="335"/>
      <c r="AA223" s="313"/>
      <c r="AB223" s="324"/>
      <c r="AC223" s="155"/>
      <c r="AD223" s="155"/>
      <c r="AE223" s="322"/>
      <c r="AF223" s="155"/>
      <c r="AG223" s="132"/>
    </row>
    <row r="224">
      <c r="A224" s="311"/>
      <c r="B224" s="313"/>
      <c r="C224" s="313"/>
      <c r="D224" s="313"/>
      <c r="E224" s="314"/>
      <c r="F224" s="314"/>
      <c r="G224" s="314"/>
      <c r="H224" s="314"/>
      <c r="I224" s="314"/>
      <c r="J224" s="314"/>
      <c r="K224" s="314"/>
      <c r="L224" s="314"/>
      <c r="M224" s="314"/>
      <c r="N224" s="314"/>
      <c r="O224" s="314"/>
      <c r="P224" s="314"/>
      <c r="Q224" s="314"/>
      <c r="R224" s="314"/>
      <c r="S224" s="314"/>
      <c r="T224" s="314"/>
      <c r="U224" s="314"/>
      <c r="V224" s="314"/>
      <c r="W224" s="313"/>
      <c r="X224" s="313"/>
      <c r="Y224" s="314"/>
      <c r="Z224" s="335"/>
      <c r="AA224" s="313"/>
      <c r="AB224" s="324"/>
      <c r="AC224" s="155"/>
      <c r="AD224" s="155"/>
      <c r="AE224" s="322"/>
      <c r="AF224" s="155"/>
      <c r="AG224" s="132"/>
    </row>
    <row r="225">
      <c r="A225" s="311"/>
      <c r="B225" s="313"/>
      <c r="C225" s="313"/>
      <c r="D225" s="313"/>
      <c r="E225" s="314"/>
      <c r="F225" s="314"/>
      <c r="G225" s="314"/>
      <c r="H225" s="314"/>
      <c r="I225" s="314"/>
      <c r="J225" s="314"/>
      <c r="K225" s="314"/>
      <c r="L225" s="314"/>
      <c r="M225" s="314"/>
      <c r="N225" s="314"/>
      <c r="O225" s="314"/>
      <c r="P225" s="314"/>
      <c r="Q225" s="314"/>
      <c r="R225" s="314"/>
      <c r="S225" s="314"/>
      <c r="T225" s="314"/>
      <c r="U225" s="314"/>
      <c r="V225" s="314"/>
      <c r="W225" s="313"/>
      <c r="X225" s="313"/>
      <c r="Y225" s="314"/>
      <c r="Z225" s="335"/>
      <c r="AA225" s="313"/>
      <c r="AB225" s="324"/>
      <c r="AC225" s="155"/>
      <c r="AD225" s="155"/>
      <c r="AE225" s="322"/>
      <c r="AF225" s="155"/>
      <c r="AG225" s="132"/>
    </row>
    <row r="226">
      <c r="A226" s="311"/>
      <c r="B226" s="313"/>
      <c r="C226" s="313"/>
      <c r="D226" s="313"/>
      <c r="E226" s="314"/>
      <c r="F226" s="314"/>
      <c r="G226" s="314"/>
      <c r="H226" s="314"/>
      <c r="I226" s="314"/>
      <c r="J226" s="314"/>
      <c r="K226" s="314"/>
      <c r="L226" s="314"/>
      <c r="M226" s="314"/>
      <c r="N226" s="314"/>
      <c r="O226" s="314"/>
      <c r="P226" s="314"/>
      <c r="Q226" s="314"/>
      <c r="R226" s="314"/>
      <c r="S226" s="314"/>
      <c r="T226" s="314"/>
      <c r="U226" s="314"/>
      <c r="V226" s="314"/>
      <c r="W226" s="313"/>
      <c r="X226" s="313"/>
      <c r="Y226" s="314"/>
      <c r="Z226" s="335"/>
      <c r="AA226" s="313"/>
      <c r="AB226" s="324"/>
      <c r="AC226" s="155"/>
      <c r="AD226" s="155"/>
      <c r="AE226" s="322"/>
      <c r="AF226" s="155"/>
      <c r="AG226" s="132"/>
    </row>
    <row r="227">
      <c r="A227" s="311"/>
      <c r="B227" s="313"/>
      <c r="C227" s="313"/>
      <c r="D227" s="313"/>
      <c r="E227" s="314"/>
      <c r="F227" s="314"/>
      <c r="G227" s="314"/>
      <c r="H227" s="314"/>
      <c r="I227" s="314"/>
      <c r="J227" s="314"/>
      <c r="K227" s="314"/>
      <c r="L227" s="314"/>
      <c r="M227" s="314"/>
      <c r="N227" s="314"/>
      <c r="O227" s="314"/>
      <c r="P227" s="314"/>
      <c r="Q227" s="314"/>
      <c r="R227" s="314"/>
      <c r="S227" s="314"/>
      <c r="T227" s="314"/>
      <c r="U227" s="314"/>
      <c r="V227" s="314"/>
      <c r="W227" s="313"/>
      <c r="X227" s="313"/>
      <c r="Y227" s="314"/>
      <c r="Z227" s="335"/>
      <c r="AA227" s="313"/>
      <c r="AB227" s="324"/>
      <c r="AC227" s="155"/>
      <c r="AD227" s="155"/>
      <c r="AE227" s="322"/>
      <c r="AF227" s="155"/>
      <c r="AG227" s="132"/>
    </row>
    <row r="228">
      <c r="A228" s="311"/>
      <c r="B228" s="313"/>
      <c r="C228" s="313"/>
      <c r="D228" s="313"/>
      <c r="E228" s="314"/>
      <c r="F228" s="314"/>
      <c r="G228" s="314"/>
      <c r="H228" s="314"/>
      <c r="I228" s="314"/>
      <c r="J228" s="314"/>
      <c r="K228" s="314"/>
      <c r="L228" s="314"/>
      <c r="M228" s="314"/>
      <c r="N228" s="314"/>
      <c r="O228" s="314"/>
      <c r="P228" s="314"/>
      <c r="Q228" s="314"/>
      <c r="R228" s="314"/>
      <c r="S228" s="314"/>
      <c r="T228" s="314"/>
      <c r="U228" s="314"/>
      <c r="V228" s="314"/>
      <c r="W228" s="313"/>
      <c r="X228" s="313"/>
      <c r="Y228" s="314"/>
      <c r="Z228" s="335"/>
      <c r="AA228" s="313"/>
      <c r="AB228" s="324"/>
      <c r="AC228" s="155"/>
      <c r="AD228" s="155"/>
      <c r="AE228" s="322"/>
      <c r="AF228" s="155"/>
      <c r="AG228" s="132"/>
    </row>
    <row r="229">
      <c r="A229" s="311"/>
      <c r="B229" s="313"/>
      <c r="C229" s="313"/>
      <c r="D229" s="313"/>
      <c r="E229" s="314"/>
      <c r="F229" s="314"/>
      <c r="G229" s="314"/>
      <c r="H229" s="314"/>
      <c r="I229" s="314"/>
      <c r="J229" s="314"/>
      <c r="K229" s="314"/>
      <c r="L229" s="314"/>
      <c r="M229" s="314"/>
      <c r="N229" s="314"/>
      <c r="O229" s="314"/>
      <c r="P229" s="314"/>
      <c r="Q229" s="314"/>
      <c r="R229" s="314"/>
      <c r="S229" s="314"/>
      <c r="T229" s="314"/>
      <c r="U229" s="314"/>
      <c r="V229" s="314"/>
      <c r="W229" s="313"/>
      <c r="X229" s="313"/>
      <c r="Y229" s="314"/>
      <c r="Z229" s="335"/>
      <c r="AA229" s="313"/>
      <c r="AB229" s="324"/>
      <c r="AC229" s="155"/>
      <c r="AD229" s="155"/>
      <c r="AE229" s="322"/>
      <c r="AF229" s="155"/>
      <c r="AG229" s="132"/>
    </row>
    <row r="230">
      <c r="A230" s="311"/>
      <c r="B230" s="313"/>
      <c r="C230" s="313"/>
      <c r="D230" s="313"/>
      <c r="E230" s="314"/>
      <c r="F230" s="314"/>
      <c r="G230" s="314"/>
      <c r="H230" s="314"/>
      <c r="I230" s="314"/>
      <c r="J230" s="314"/>
      <c r="K230" s="314"/>
      <c r="L230" s="314"/>
      <c r="M230" s="314"/>
      <c r="N230" s="314"/>
      <c r="O230" s="314"/>
      <c r="P230" s="314"/>
      <c r="Q230" s="314"/>
      <c r="R230" s="314"/>
      <c r="S230" s="314"/>
      <c r="T230" s="314"/>
      <c r="U230" s="314"/>
      <c r="V230" s="314"/>
      <c r="W230" s="313"/>
      <c r="X230" s="313"/>
      <c r="Y230" s="314"/>
      <c r="Z230" s="335"/>
      <c r="AA230" s="313"/>
      <c r="AB230" s="324"/>
      <c r="AC230" s="155"/>
      <c r="AD230" s="155"/>
      <c r="AE230" s="322"/>
      <c r="AF230" s="155"/>
      <c r="AG230" s="132"/>
    </row>
    <row r="231">
      <c r="A231" s="311"/>
      <c r="B231" s="313"/>
      <c r="C231" s="313"/>
      <c r="D231" s="313"/>
      <c r="E231" s="314"/>
      <c r="F231" s="314"/>
      <c r="G231" s="314"/>
      <c r="H231" s="314"/>
      <c r="I231" s="314"/>
      <c r="J231" s="314"/>
      <c r="K231" s="314"/>
      <c r="L231" s="314"/>
      <c r="M231" s="314"/>
      <c r="N231" s="314"/>
      <c r="O231" s="314"/>
      <c r="P231" s="314"/>
      <c r="Q231" s="314"/>
      <c r="R231" s="314"/>
      <c r="S231" s="314"/>
      <c r="T231" s="314"/>
      <c r="U231" s="314"/>
      <c r="V231" s="314"/>
      <c r="W231" s="313"/>
      <c r="X231" s="313"/>
      <c r="Y231" s="314"/>
      <c r="Z231" s="335"/>
      <c r="AA231" s="313"/>
      <c r="AB231" s="324"/>
      <c r="AC231" s="155"/>
      <c r="AD231" s="155"/>
      <c r="AE231" s="322"/>
      <c r="AF231" s="155"/>
      <c r="AG231" s="132"/>
    </row>
    <row r="232">
      <c r="A232" s="311"/>
      <c r="B232" s="313"/>
      <c r="C232" s="313"/>
      <c r="D232" s="313"/>
      <c r="E232" s="314"/>
      <c r="F232" s="314"/>
      <c r="G232" s="314"/>
      <c r="H232" s="314"/>
      <c r="I232" s="314"/>
      <c r="J232" s="314"/>
      <c r="K232" s="314"/>
      <c r="L232" s="314"/>
      <c r="M232" s="314"/>
      <c r="N232" s="314"/>
      <c r="O232" s="314"/>
      <c r="P232" s="314"/>
      <c r="Q232" s="314"/>
      <c r="R232" s="314"/>
      <c r="S232" s="314"/>
      <c r="T232" s="314"/>
      <c r="U232" s="314"/>
      <c r="V232" s="314"/>
      <c r="W232" s="313"/>
      <c r="X232" s="313"/>
      <c r="Y232" s="314"/>
      <c r="Z232" s="335"/>
      <c r="AA232" s="313"/>
      <c r="AB232" s="324"/>
      <c r="AC232" s="155"/>
      <c r="AD232" s="155"/>
      <c r="AE232" s="322"/>
      <c r="AF232" s="155"/>
      <c r="AG232" s="132"/>
    </row>
    <row r="233">
      <c r="A233" s="311"/>
      <c r="B233" s="313"/>
      <c r="C233" s="313"/>
      <c r="D233" s="313"/>
      <c r="E233" s="314"/>
      <c r="F233" s="314"/>
      <c r="G233" s="314"/>
      <c r="H233" s="314"/>
      <c r="I233" s="314"/>
      <c r="J233" s="314"/>
      <c r="K233" s="314"/>
      <c r="L233" s="314"/>
      <c r="M233" s="314"/>
      <c r="N233" s="314"/>
      <c r="O233" s="314"/>
      <c r="P233" s="314"/>
      <c r="Q233" s="314"/>
      <c r="R233" s="314"/>
      <c r="S233" s="314"/>
      <c r="T233" s="314"/>
      <c r="U233" s="314"/>
      <c r="V233" s="314"/>
      <c r="W233" s="313"/>
      <c r="X233" s="313"/>
      <c r="Y233" s="314"/>
      <c r="Z233" s="335"/>
      <c r="AA233" s="313"/>
      <c r="AB233" s="324"/>
      <c r="AC233" s="155"/>
      <c r="AD233" s="155"/>
      <c r="AE233" s="322"/>
      <c r="AF233" s="155"/>
      <c r="AG233" s="132"/>
    </row>
    <row r="234">
      <c r="A234" s="311"/>
      <c r="B234" s="313"/>
      <c r="C234" s="313"/>
      <c r="D234" s="313"/>
      <c r="E234" s="314"/>
      <c r="F234" s="314"/>
      <c r="G234" s="314"/>
      <c r="H234" s="314"/>
      <c r="I234" s="314"/>
      <c r="J234" s="314"/>
      <c r="K234" s="314"/>
      <c r="L234" s="314"/>
      <c r="M234" s="314"/>
      <c r="N234" s="314"/>
      <c r="O234" s="314"/>
      <c r="P234" s="314"/>
      <c r="Q234" s="314"/>
      <c r="R234" s="314"/>
      <c r="S234" s="314"/>
      <c r="T234" s="314"/>
      <c r="U234" s="314"/>
      <c r="V234" s="314"/>
      <c r="W234" s="313"/>
      <c r="X234" s="313"/>
      <c r="Y234" s="314"/>
      <c r="Z234" s="335"/>
      <c r="AA234" s="313"/>
      <c r="AB234" s="324"/>
      <c r="AC234" s="155"/>
      <c r="AD234" s="155"/>
      <c r="AE234" s="322"/>
      <c r="AF234" s="155"/>
      <c r="AG234" s="132"/>
    </row>
    <row r="235">
      <c r="A235" s="311"/>
      <c r="B235" s="313"/>
      <c r="C235" s="313"/>
      <c r="D235" s="313"/>
      <c r="E235" s="314"/>
      <c r="F235" s="314"/>
      <c r="G235" s="314"/>
      <c r="H235" s="314"/>
      <c r="I235" s="314"/>
      <c r="J235" s="314"/>
      <c r="K235" s="314"/>
      <c r="L235" s="314"/>
      <c r="M235" s="314"/>
      <c r="N235" s="314"/>
      <c r="O235" s="314"/>
      <c r="P235" s="314"/>
      <c r="Q235" s="314"/>
      <c r="R235" s="314"/>
      <c r="S235" s="314"/>
      <c r="T235" s="314"/>
      <c r="U235" s="314"/>
      <c r="V235" s="314"/>
      <c r="W235" s="313"/>
      <c r="X235" s="313"/>
      <c r="Y235" s="314"/>
      <c r="Z235" s="335"/>
      <c r="AA235" s="313"/>
      <c r="AB235" s="324"/>
      <c r="AC235" s="155"/>
      <c r="AD235" s="155"/>
      <c r="AE235" s="322"/>
      <c r="AF235" s="155"/>
      <c r="AG235" s="132"/>
    </row>
    <row r="236">
      <c r="A236" s="311"/>
      <c r="B236" s="313"/>
      <c r="C236" s="313"/>
      <c r="D236" s="313"/>
      <c r="E236" s="314"/>
      <c r="F236" s="314"/>
      <c r="G236" s="314"/>
      <c r="H236" s="314"/>
      <c r="I236" s="314"/>
      <c r="J236" s="314"/>
      <c r="K236" s="314"/>
      <c r="L236" s="314"/>
      <c r="M236" s="314"/>
      <c r="N236" s="314"/>
      <c r="O236" s="314"/>
      <c r="P236" s="314"/>
      <c r="Q236" s="314"/>
      <c r="R236" s="314"/>
      <c r="S236" s="314"/>
      <c r="T236" s="314"/>
      <c r="U236" s="314"/>
      <c r="V236" s="314"/>
      <c r="W236" s="313"/>
      <c r="X236" s="313"/>
      <c r="Y236" s="314"/>
      <c r="Z236" s="335"/>
      <c r="AA236" s="313"/>
      <c r="AB236" s="324"/>
      <c r="AC236" s="155"/>
      <c r="AD236" s="155"/>
      <c r="AE236" s="322"/>
      <c r="AF236" s="155"/>
      <c r="AG236" s="132"/>
    </row>
    <row r="237">
      <c r="A237" s="311"/>
      <c r="B237" s="313"/>
      <c r="C237" s="313"/>
      <c r="D237" s="313"/>
      <c r="E237" s="314"/>
      <c r="F237" s="314"/>
      <c r="G237" s="314"/>
      <c r="H237" s="314"/>
      <c r="I237" s="314"/>
      <c r="J237" s="314"/>
      <c r="K237" s="314"/>
      <c r="L237" s="314"/>
      <c r="M237" s="314"/>
      <c r="N237" s="314"/>
      <c r="O237" s="314"/>
      <c r="P237" s="314"/>
      <c r="Q237" s="314"/>
      <c r="R237" s="314"/>
      <c r="S237" s="314"/>
      <c r="T237" s="314"/>
      <c r="U237" s="314"/>
      <c r="V237" s="314"/>
      <c r="W237" s="313"/>
      <c r="X237" s="313"/>
      <c r="Y237" s="314"/>
      <c r="Z237" s="335"/>
      <c r="AA237" s="313"/>
      <c r="AB237" s="324"/>
      <c r="AC237" s="155"/>
      <c r="AD237" s="155"/>
      <c r="AE237" s="322"/>
      <c r="AF237" s="155"/>
      <c r="AG237" s="132"/>
    </row>
    <row r="238">
      <c r="A238" s="311"/>
      <c r="B238" s="313"/>
      <c r="C238" s="313"/>
      <c r="D238" s="313"/>
      <c r="E238" s="314"/>
      <c r="F238" s="314"/>
      <c r="G238" s="314"/>
      <c r="H238" s="314"/>
      <c r="I238" s="314"/>
      <c r="J238" s="314"/>
      <c r="K238" s="314"/>
      <c r="L238" s="314"/>
      <c r="M238" s="314"/>
      <c r="N238" s="314"/>
      <c r="O238" s="314"/>
      <c r="P238" s="314"/>
      <c r="Q238" s="314"/>
      <c r="R238" s="314"/>
      <c r="S238" s="314"/>
      <c r="T238" s="314"/>
      <c r="U238" s="314"/>
      <c r="V238" s="314"/>
      <c r="W238" s="313"/>
      <c r="X238" s="313"/>
      <c r="Y238" s="314"/>
      <c r="Z238" s="335"/>
      <c r="AA238" s="313"/>
      <c r="AB238" s="324"/>
      <c r="AC238" s="155"/>
      <c r="AD238" s="155"/>
      <c r="AE238" s="322"/>
      <c r="AF238" s="155"/>
      <c r="AG238" s="132"/>
    </row>
    <row r="239">
      <c r="A239" s="311"/>
      <c r="B239" s="313"/>
      <c r="C239" s="313"/>
      <c r="D239" s="313"/>
      <c r="E239" s="314"/>
      <c r="F239" s="314"/>
      <c r="G239" s="314"/>
      <c r="H239" s="314"/>
      <c r="I239" s="314"/>
      <c r="J239" s="314"/>
      <c r="K239" s="314"/>
      <c r="L239" s="314"/>
      <c r="M239" s="314"/>
      <c r="N239" s="314"/>
      <c r="O239" s="314"/>
      <c r="P239" s="314"/>
      <c r="Q239" s="314"/>
      <c r="R239" s="314"/>
      <c r="S239" s="314"/>
      <c r="T239" s="314"/>
      <c r="U239" s="314"/>
      <c r="V239" s="314"/>
      <c r="W239" s="313"/>
      <c r="X239" s="313"/>
      <c r="Y239" s="314"/>
      <c r="Z239" s="335"/>
      <c r="AA239" s="313"/>
      <c r="AB239" s="324"/>
      <c r="AC239" s="155"/>
      <c r="AD239" s="155"/>
      <c r="AE239" s="322"/>
      <c r="AF239" s="155"/>
      <c r="AG239" s="132"/>
    </row>
    <row r="240">
      <c r="A240" s="311"/>
      <c r="B240" s="313"/>
      <c r="C240" s="313"/>
      <c r="D240" s="313"/>
      <c r="E240" s="314"/>
      <c r="F240" s="314"/>
      <c r="G240" s="314"/>
      <c r="H240" s="314"/>
      <c r="I240" s="314"/>
      <c r="J240" s="314"/>
      <c r="K240" s="314"/>
      <c r="L240" s="314"/>
      <c r="M240" s="314"/>
      <c r="N240" s="314"/>
      <c r="O240" s="314"/>
      <c r="P240" s="314"/>
      <c r="Q240" s="314"/>
      <c r="R240" s="314"/>
      <c r="S240" s="314"/>
      <c r="T240" s="314"/>
      <c r="U240" s="314"/>
      <c r="V240" s="314"/>
      <c r="W240" s="313"/>
      <c r="X240" s="313"/>
      <c r="Y240" s="314"/>
      <c r="Z240" s="335"/>
      <c r="AA240" s="313"/>
      <c r="AB240" s="324"/>
      <c r="AC240" s="155"/>
      <c r="AD240" s="155"/>
      <c r="AE240" s="322"/>
      <c r="AF240" s="155"/>
      <c r="AG240" s="132"/>
    </row>
    <row r="241">
      <c r="A241" s="311"/>
      <c r="B241" s="313"/>
      <c r="C241" s="313"/>
      <c r="D241" s="313"/>
      <c r="E241" s="314"/>
      <c r="F241" s="314"/>
      <c r="G241" s="314"/>
      <c r="H241" s="314"/>
      <c r="I241" s="314"/>
      <c r="J241" s="314"/>
      <c r="K241" s="314"/>
      <c r="L241" s="314"/>
      <c r="M241" s="314"/>
      <c r="N241" s="314"/>
      <c r="O241" s="314"/>
      <c r="P241" s="314"/>
      <c r="Q241" s="314"/>
      <c r="R241" s="314"/>
      <c r="S241" s="314"/>
      <c r="T241" s="314"/>
      <c r="U241" s="314"/>
      <c r="V241" s="314"/>
      <c r="W241" s="313"/>
      <c r="X241" s="313"/>
      <c r="Y241" s="314"/>
      <c r="Z241" s="335"/>
      <c r="AA241" s="313"/>
      <c r="AB241" s="324"/>
      <c r="AC241" s="155"/>
      <c r="AD241" s="155"/>
      <c r="AE241" s="322"/>
      <c r="AF241" s="155"/>
      <c r="AG241" s="132"/>
    </row>
    <row r="242">
      <c r="A242" s="311"/>
      <c r="B242" s="313"/>
      <c r="C242" s="313"/>
      <c r="D242" s="313"/>
      <c r="E242" s="314"/>
      <c r="F242" s="314"/>
      <c r="G242" s="314"/>
      <c r="H242" s="314"/>
      <c r="I242" s="314"/>
      <c r="J242" s="314"/>
      <c r="K242" s="314"/>
      <c r="L242" s="314"/>
      <c r="M242" s="314"/>
      <c r="N242" s="314"/>
      <c r="O242" s="314"/>
      <c r="P242" s="314"/>
      <c r="Q242" s="314"/>
      <c r="R242" s="314"/>
      <c r="S242" s="314"/>
      <c r="T242" s="314"/>
      <c r="U242" s="314"/>
      <c r="V242" s="314"/>
      <c r="W242" s="313"/>
      <c r="X242" s="313"/>
      <c r="Y242" s="314"/>
      <c r="Z242" s="335"/>
      <c r="AA242" s="313"/>
      <c r="AB242" s="324"/>
      <c r="AC242" s="155"/>
      <c r="AD242" s="155"/>
      <c r="AE242" s="322"/>
      <c r="AF242" s="155"/>
      <c r="AG242" s="132"/>
    </row>
    <row r="243">
      <c r="A243" s="311"/>
      <c r="B243" s="313"/>
      <c r="C243" s="313"/>
      <c r="D243" s="313"/>
      <c r="E243" s="314"/>
      <c r="F243" s="314"/>
      <c r="G243" s="314"/>
      <c r="H243" s="314"/>
      <c r="I243" s="314"/>
      <c r="J243" s="314"/>
      <c r="K243" s="314"/>
      <c r="L243" s="314"/>
      <c r="M243" s="314"/>
      <c r="N243" s="314"/>
      <c r="O243" s="314"/>
      <c r="P243" s="314"/>
      <c r="Q243" s="314"/>
      <c r="R243" s="314"/>
      <c r="S243" s="314"/>
      <c r="T243" s="314"/>
      <c r="U243" s="314"/>
      <c r="V243" s="314"/>
      <c r="W243" s="313"/>
      <c r="X243" s="313"/>
      <c r="Y243" s="314"/>
      <c r="Z243" s="335"/>
      <c r="AA243" s="313"/>
      <c r="AB243" s="324"/>
      <c r="AC243" s="155"/>
      <c r="AD243" s="155"/>
      <c r="AE243" s="322"/>
      <c r="AF243" s="155"/>
      <c r="AG243" s="132"/>
    </row>
    <row r="244">
      <c r="A244" s="311"/>
      <c r="B244" s="313"/>
      <c r="C244" s="313"/>
      <c r="D244" s="313"/>
      <c r="E244" s="314"/>
      <c r="F244" s="314"/>
      <c r="G244" s="314"/>
      <c r="H244" s="314"/>
      <c r="I244" s="314"/>
      <c r="J244" s="314"/>
      <c r="K244" s="314"/>
      <c r="L244" s="314"/>
      <c r="M244" s="314"/>
      <c r="N244" s="314"/>
      <c r="O244" s="314"/>
      <c r="P244" s="314"/>
      <c r="Q244" s="314"/>
      <c r="R244" s="314"/>
      <c r="S244" s="314"/>
      <c r="T244" s="314"/>
      <c r="U244" s="314"/>
      <c r="V244" s="314"/>
      <c r="W244" s="313"/>
      <c r="X244" s="313"/>
      <c r="Y244" s="314"/>
      <c r="Z244" s="335"/>
      <c r="AA244" s="313"/>
      <c r="AB244" s="324"/>
      <c r="AC244" s="155"/>
      <c r="AD244" s="155"/>
      <c r="AE244" s="322"/>
      <c r="AF244" s="155"/>
      <c r="AG244" s="132"/>
    </row>
    <row r="245">
      <c r="A245" s="311"/>
      <c r="B245" s="313"/>
      <c r="C245" s="313"/>
      <c r="D245" s="313"/>
      <c r="E245" s="314"/>
      <c r="F245" s="314"/>
      <c r="G245" s="314"/>
      <c r="H245" s="314"/>
      <c r="I245" s="314"/>
      <c r="J245" s="314"/>
      <c r="K245" s="314"/>
      <c r="L245" s="314"/>
      <c r="M245" s="314"/>
      <c r="N245" s="314"/>
      <c r="O245" s="314"/>
      <c r="P245" s="314"/>
      <c r="Q245" s="314"/>
      <c r="R245" s="314"/>
      <c r="S245" s="314"/>
      <c r="T245" s="314"/>
      <c r="U245" s="314"/>
      <c r="V245" s="314"/>
      <c r="W245" s="313"/>
      <c r="X245" s="313"/>
      <c r="Y245" s="314"/>
      <c r="Z245" s="335"/>
      <c r="AA245" s="313"/>
      <c r="AB245" s="324"/>
      <c r="AC245" s="155"/>
      <c r="AD245" s="155"/>
      <c r="AE245" s="322"/>
      <c r="AF245" s="155"/>
      <c r="AG245" s="132"/>
    </row>
    <row r="246">
      <c r="A246" s="311"/>
      <c r="B246" s="313"/>
      <c r="C246" s="313"/>
      <c r="D246" s="313"/>
      <c r="E246" s="314"/>
      <c r="F246" s="314"/>
      <c r="G246" s="314"/>
      <c r="H246" s="314"/>
      <c r="I246" s="314"/>
      <c r="J246" s="314"/>
      <c r="K246" s="314"/>
      <c r="L246" s="314"/>
      <c r="M246" s="314"/>
      <c r="N246" s="314"/>
      <c r="O246" s="314"/>
      <c r="P246" s="314"/>
      <c r="Q246" s="314"/>
      <c r="R246" s="314"/>
      <c r="S246" s="314"/>
      <c r="T246" s="314"/>
      <c r="U246" s="314"/>
      <c r="V246" s="314"/>
      <c r="W246" s="313"/>
      <c r="X246" s="313"/>
      <c r="Y246" s="314"/>
      <c r="Z246" s="335"/>
      <c r="AA246" s="313"/>
      <c r="AB246" s="324"/>
      <c r="AC246" s="155"/>
      <c r="AD246" s="155"/>
      <c r="AE246" s="322"/>
      <c r="AF246" s="155"/>
      <c r="AG246" s="132"/>
    </row>
    <row r="247">
      <c r="A247" s="311"/>
      <c r="B247" s="313"/>
      <c r="C247" s="313"/>
      <c r="D247" s="313"/>
      <c r="E247" s="314"/>
      <c r="F247" s="314"/>
      <c r="G247" s="314"/>
      <c r="H247" s="314"/>
      <c r="I247" s="314"/>
      <c r="J247" s="314"/>
      <c r="K247" s="314"/>
      <c r="L247" s="314"/>
      <c r="M247" s="314"/>
      <c r="N247" s="314"/>
      <c r="O247" s="314"/>
      <c r="P247" s="314"/>
      <c r="Q247" s="314"/>
      <c r="R247" s="314"/>
      <c r="S247" s="314"/>
      <c r="T247" s="314"/>
      <c r="U247" s="314"/>
      <c r="V247" s="314"/>
      <c r="W247" s="313"/>
      <c r="X247" s="313"/>
      <c r="Y247" s="314"/>
      <c r="Z247" s="335"/>
      <c r="AA247" s="313"/>
      <c r="AB247" s="324"/>
      <c r="AC247" s="155"/>
      <c r="AD247" s="155"/>
      <c r="AE247" s="322"/>
      <c r="AF247" s="155"/>
      <c r="AG247" s="132"/>
    </row>
    <row r="248">
      <c r="A248" s="311"/>
      <c r="B248" s="313"/>
      <c r="C248" s="313"/>
      <c r="D248" s="313"/>
      <c r="E248" s="314"/>
      <c r="F248" s="314"/>
      <c r="G248" s="314"/>
      <c r="H248" s="314"/>
      <c r="I248" s="314"/>
      <c r="J248" s="314"/>
      <c r="K248" s="314"/>
      <c r="L248" s="314"/>
      <c r="M248" s="314"/>
      <c r="N248" s="314"/>
      <c r="O248" s="314"/>
      <c r="P248" s="314"/>
      <c r="Q248" s="314"/>
      <c r="R248" s="314"/>
      <c r="S248" s="314"/>
      <c r="T248" s="314"/>
      <c r="U248" s="314"/>
      <c r="V248" s="314"/>
      <c r="W248" s="313"/>
      <c r="X248" s="313"/>
      <c r="Y248" s="314"/>
      <c r="Z248" s="335"/>
      <c r="AA248" s="313"/>
      <c r="AB248" s="324"/>
      <c r="AC248" s="155"/>
      <c r="AD248" s="155"/>
      <c r="AE248" s="322"/>
      <c r="AF248" s="155"/>
      <c r="AG248" s="132"/>
    </row>
    <row r="249">
      <c r="A249" s="311"/>
      <c r="B249" s="313"/>
      <c r="C249" s="313"/>
      <c r="D249" s="313"/>
      <c r="E249" s="314"/>
      <c r="F249" s="314"/>
      <c r="G249" s="314"/>
      <c r="H249" s="314"/>
      <c r="I249" s="314"/>
      <c r="J249" s="314"/>
      <c r="K249" s="314"/>
      <c r="L249" s="314"/>
      <c r="M249" s="314"/>
      <c r="N249" s="314"/>
      <c r="O249" s="314"/>
      <c r="P249" s="314"/>
      <c r="Q249" s="314"/>
      <c r="R249" s="314"/>
      <c r="S249" s="314"/>
      <c r="T249" s="314"/>
      <c r="U249" s="314"/>
      <c r="V249" s="314"/>
      <c r="W249" s="313"/>
      <c r="X249" s="313"/>
      <c r="Y249" s="314"/>
      <c r="Z249" s="335"/>
      <c r="AA249" s="313"/>
      <c r="AB249" s="324"/>
      <c r="AC249" s="155"/>
      <c r="AD249" s="155"/>
      <c r="AE249" s="322"/>
      <c r="AF249" s="155"/>
      <c r="AG249" s="132"/>
    </row>
    <row r="250">
      <c r="A250" s="311"/>
      <c r="B250" s="313"/>
      <c r="C250" s="313"/>
      <c r="D250" s="313"/>
      <c r="E250" s="314"/>
      <c r="F250" s="314"/>
      <c r="G250" s="314"/>
      <c r="H250" s="314"/>
      <c r="I250" s="314"/>
      <c r="J250" s="314"/>
      <c r="K250" s="314"/>
      <c r="L250" s="314"/>
      <c r="M250" s="314"/>
      <c r="N250" s="314"/>
      <c r="O250" s="314"/>
      <c r="P250" s="314"/>
      <c r="Q250" s="314"/>
      <c r="R250" s="314"/>
      <c r="S250" s="314"/>
      <c r="T250" s="314"/>
      <c r="U250" s="314"/>
      <c r="V250" s="314"/>
      <c r="W250" s="313"/>
      <c r="X250" s="313"/>
      <c r="Y250" s="314"/>
      <c r="Z250" s="335"/>
      <c r="AA250" s="313"/>
      <c r="AB250" s="324"/>
      <c r="AC250" s="155"/>
      <c r="AD250" s="155"/>
      <c r="AE250" s="322"/>
      <c r="AF250" s="155"/>
      <c r="AG250" s="132"/>
    </row>
    <row r="251">
      <c r="A251" s="311"/>
      <c r="B251" s="313"/>
      <c r="C251" s="313"/>
      <c r="D251" s="313"/>
      <c r="E251" s="314"/>
      <c r="F251" s="314"/>
      <c r="G251" s="314"/>
      <c r="H251" s="314"/>
      <c r="I251" s="314"/>
      <c r="J251" s="314"/>
      <c r="K251" s="314"/>
      <c r="L251" s="314"/>
      <c r="M251" s="314"/>
      <c r="N251" s="314"/>
      <c r="O251" s="314"/>
      <c r="P251" s="314"/>
      <c r="Q251" s="314"/>
      <c r="R251" s="314"/>
      <c r="S251" s="314"/>
      <c r="T251" s="314"/>
      <c r="U251" s="314"/>
      <c r="V251" s="314"/>
      <c r="W251" s="313"/>
      <c r="X251" s="313"/>
      <c r="Y251" s="314"/>
      <c r="Z251" s="335"/>
      <c r="AA251" s="313"/>
      <c r="AB251" s="324"/>
      <c r="AC251" s="155"/>
      <c r="AD251" s="155"/>
      <c r="AE251" s="322"/>
      <c r="AF251" s="155"/>
      <c r="AG251" s="132"/>
    </row>
    <row r="252">
      <c r="A252" s="311"/>
      <c r="B252" s="313"/>
      <c r="C252" s="313"/>
      <c r="D252" s="313"/>
      <c r="E252" s="314"/>
      <c r="F252" s="314"/>
      <c r="G252" s="314"/>
      <c r="H252" s="314"/>
      <c r="I252" s="314"/>
      <c r="J252" s="314"/>
      <c r="K252" s="314"/>
      <c r="L252" s="314"/>
      <c r="M252" s="314"/>
      <c r="N252" s="314"/>
      <c r="O252" s="314"/>
      <c r="P252" s="314"/>
      <c r="Q252" s="314"/>
      <c r="R252" s="314"/>
      <c r="S252" s="314"/>
      <c r="T252" s="314"/>
      <c r="U252" s="314"/>
      <c r="V252" s="314"/>
      <c r="W252" s="313"/>
      <c r="X252" s="313"/>
      <c r="Y252" s="314"/>
      <c r="Z252" s="335"/>
      <c r="AA252" s="313"/>
      <c r="AB252" s="324"/>
      <c r="AC252" s="155"/>
      <c r="AD252" s="155"/>
      <c r="AE252" s="322"/>
      <c r="AF252" s="155"/>
      <c r="AG252" s="132"/>
    </row>
    <row r="253">
      <c r="A253" s="311"/>
      <c r="B253" s="313"/>
      <c r="C253" s="313"/>
      <c r="D253" s="313"/>
      <c r="E253" s="314"/>
      <c r="F253" s="314"/>
      <c r="G253" s="314"/>
      <c r="H253" s="314"/>
      <c r="I253" s="314"/>
      <c r="J253" s="314"/>
      <c r="K253" s="314"/>
      <c r="L253" s="314"/>
      <c r="M253" s="314"/>
      <c r="N253" s="314"/>
      <c r="O253" s="314"/>
      <c r="P253" s="314"/>
      <c r="Q253" s="314"/>
      <c r="R253" s="314"/>
      <c r="S253" s="314"/>
      <c r="T253" s="314"/>
      <c r="U253" s="314"/>
      <c r="V253" s="314"/>
      <c r="W253" s="313"/>
      <c r="X253" s="313"/>
      <c r="Y253" s="314"/>
      <c r="Z253" s="335"/>
      <c r="AA253" s="313"/>
      <c r="AB253" s="324"/>
      <c r="AC253" s="155"/>
      <c r="AD253" s="155"/>
      <c r="AE253" s="322"/>
      <c r="AF253" s="155"/>
      <c r="AG253" s="132"/>
    </row>
    <row r="254">
      <c r="A254" s="311"/>
      <c r="B254" s="313"/>
      <c r="C254" s="313"/>
      <c r="D254" s="313"/>
      <c r="E254" s="314"/>
      <c r="F254" s="314"/>
      <c r="G254" s="314"/>
      <c r="H254" s="314"/>
      <c r="I254" s="314"/>
      <c r="J254" s="314"/>
      <c r="K254" s="314"/>
      <c r="L254" s="314"/>
      <c r="M254" s="314"/>
      <c r="N254" s="314"/>
      <c r="O254" s="314"/>
      <c r="P254" s="314"/>
      <c r="Q254" s="314"/>
      <c r="R254" s="314"/>
      <c r="S254" s="314"/>
      <c r="T254" s="314"/>
      <c r="U254" s="314"/>
      <c r="V254" s="314"/>
      <c r="W254" s="313"/>
      <c r="X254" s="313"/>
      <c r="Y254" s="314"/>
      <c r="Z254" s="335"/>
      <c r="AA254" s="313"/>
      <c r="AB254" s="324"/>
      <c r="AC254" s="155"/>
      <c r="AD254" s="155"/>
      <c r="AE254" s="322"/>
      <c r="AF254" s="155"/>
      <c r="AG254" s="132"/>
    </row>
    <row r="255">
      <c r="A255" s="311"/>
      <c r="B255" s="313"/>
      <c r="C255" s="313"/>
      <c r="D255" s="313"/>
      <c r="E255" s="314"/>
      <c r="F255" s="314"/>
      <c r="G255" s="314"/>
      <c r="H255" s="314"/>
      <c r="I255" s="314"/>
      <c r="J255" s="314"/>
      <c r="K255" s="314"/>
      <c r="L255" s="314"/>
      <c r="M255" s="314"/>
      <c r="N255" s="314"/>
      <c r="O255" s="314"/>
      <c r="P255" s="314"/>
      <c r="Q255" s="314"/>
      <c r="R255" s="314"/>
      <c r="S255" s="314"/>
      <c r="T255" s="314"/>
      <c r="U255" s="314"/>
      <c r="V255" s="314"/>
      <c r="W255" s="313"/>
      <c r="X255" s="313"/>
      <c r="Y255" s="314"/>
      <c r="Z255" s="335"/>
      <c r="AA255" s="313"/>
      <c r="AB255" s="324"/>
      <c r="AC255" s="155"/>
      <c r="AD255" s="155"/>
      <c r="AE255" s="322"/>
      <c r="AF255" s="155"/>
      <c r="AG255" s="132"/>
    </row>
    <row r="256">
      <c r="A256" s="311"/>
      <c r="B256" s="313"/>
      <c r="C256" s="313"/>
      <c r="D256" s="313"/>
      <c r="E256" s="314"/>
      <c r="F256" s="314"/>
      <c r="G256" s="314"/>
      <c r="H256" s="314"/>
      <c r="I256" s="314"/>
      <c r="J256" s="314"/>
      <c r="K256" s="314"/>
      <c r="L256" s="314"/>
      <c r="M256" s="314"/>
      <c r="N256" s="314"/>
      <c r="O256" s="314"/>
      <c r="P256" s="314"/>
      <c r="Q256" s="314"/>
      <c r="R256" s="314"/>
      <c r="S256" s="314"/>
      <c r="T256" s="314"/>
      <c r="U256" s="314"/>
      <c r="V256" s="314"/>
      <c r="W256" s="313"/>
      <c r="X256" s="313"/>
      <c r="Y256" s="314"/>
      <c r="Z256" s="335"/>
      <c r="AA256" s="313"/>
      <c r="AB256" s="324"/>
      <c r="AC256" s="155"/>
      <c r="AD256" s="155"/>
      <c r="AE256" s="322"/>
      <c r="AF256" s="155"/>
      <c r="AG256" s="132"/>
    </row>
    <row r="257">
      <c r="A257" s="311"/>
      <c r="B257" s="313"/>
      <c r="C257" s="313"/>
      <c r="D257" s="313"/>
      <c r="E257" s="314"/>
      <c r="F257" s="314"/>
      <c r="G257" s="314"/>
      <c r="H257" s="314"/>
      <c r="I257" s="314"/>
      <c r="J257" s="314"/>
      <c r="K257" s="314"/>
      <c r="L257" s="314"/>
      <c r="M257" s="314"/>
      <c r="N257" s="314"/>
      <c r="O257" s="314"/>
      <c r="P257" s="314"/>
      <c r="Q257" s="314"/>
      <c r="R257" s="314"/>
      <c r="S257" s="314"/>
      <c r="T257" s="314"/>
      <c r="U257" s="314"/>
      <c r="V257" s="314"/>
      <c r="W257" s="313"/>
      <c r="X257" s="313"/>
      <c r="Y257" s="314"/>
      <c r="Z257" s="335"/>
      <c r="AA257" s="313"/>
      <c r="AB257" s="324"/>
      <c r="AC257" s="155"/>
      <c r="AD257" s="155"/>
      <c r="AE257" s="322"/>
      <c r="AF257" s="155"/>
      <c r="AG257" s="132"/>
    </row>
    <row r="258">
      <c r="A258" s="311"/>
      <c r="B258" s="313"/>
      <c r="C258" s="313"/>
      <c r="D258" s="313"/>
      <c r="E258" s="314"/>
      <c r="F258" s="314"/>
      <c r="G258" s="314"/>
      <c r="H258" s="314"/>
      <c r="I258" s="314"/>
      <c r="J258" s="314"/>
      <c r="K258" s="314"/>
      <c r="L258" s="314"/>
      <c r="M258" s="314"/>
      <c r="N258" s="314"/>
      <c r="O258" s="314"/>
      <c r="P258" s="314"/>
      <c r="Q258" s="314"/>
      <c r="R258" s="314"/>
      <c r="S258" s="314"/>
      <c r="T258" s="314"/>
      <c r="U258" s="314"/>
      <c r="V258" s="314"/>
      <c r="W258" s="313"/>
      <c r="X258" s="313"/>
      <c r="Y258" s="314"/>
      <c r="Z258" s="335"/>
      <c r="AA258" s="313"/>
      <c r="AB258" s="324"/>
      <c r="AC258" s="155"/>
      <c r="AD258" s="155"/>
      <c r="AE258" s="322"/>
      <c r="AF258" s="155"/>
      <c r="AG258" s="132"/>
    </row>
    <row r="259">
      <c r="A259" s="311"/>
      <c r="B259" s="313"/>
      <c r="C259" s="313"/>
      <c r="D259" s="313"/>
      <c r="E259" s="314"/>
      <c r="F259" s="314"/>
      <c r="G259" s="314"/>
      <c r="H259" s="314"/>
      <c r="I259" s="314"/>
      <c r="J259" s="314"/>
      <c r="K259" s="314"/>
      <c r="L259" s="314"/>
      <c r="M259" s="314"/>
      <c r="N259" s="314"/>
      <c r="O259" s="314"/>
      <c r="P259" s="314"/>
      <c r="Q259" s="314"/>
      <c r="R259" s="314"/>
      <c r="S259" s="314"/>
      <c r="T259" s="314"/>
      <c r="U259" s="314"/>
      <c r="V259" s="314"/>
      <c r="W259" s="313"/>
      <c r="X259" s="313"/>
      <c r="Y259" s="314"/>
      <c r="Z259" s="335"/>
      <c r="AA259" s="313"/>
      <c r="AB259" s="324"/>
      <c r="AC259" s="155"/>
      <c r="AD259" s="155"/>
      <c r="AE259" s="322"/>
      <c r="AF259" s="155"/>
      <c r="AG259" s="132"/>
    </row>
    <row r="260">
      <c r="A260" s="311"/>
      <c r="B260" s="313"/>
      <c r="C260" s="313"/>
      <c r="D260" s="313"/>
      <c r="E260" s="314"/>
      <c r="F260" s="314"/>
      <c r="G260" s="314"/>
      <c r="H260" s="314"/>
      <c r="I260" s="314"/>
      <c r="J260" s="314"/>
      <c r="K260" s="314"/>
      <c r="L260" s="314"/>
      <c r="M260" s="314"/>
      <c r="N260" s="314"/>
      <c r="O260" s="314"/>
      <c r="P260" s="314"/>
      <c r="Q260" s="314"/>
      <c r="R260" s="314"/>
      <c r="S260" s="314"/>
      <c r="T260" s="314"/>
      <c r="U260" s="314"/>
      <c r="V260" s="314"/>
      <c r="W260" s="313"/>
      <c r="X260" s="313"/>
      <c r="Y260" s="314"/>
      <c r="Z260" s="335"/>
      <c r="AA260" s="313"/>
      <c r="AB260" s="324"/>
      <c r="AC260" s="155"/>
      <c r="AD260" s="155"/>
      <c r="AE260" s="322"/>
      <c r="AF260" s="155"/>
      <c r="AG260" s="132"/>
    </row>
    <row r="261">
      <c r="A261" s="311"/>
      <c r="B261" s="313"/>
      <c r="C261" s="313"/>
      <c r="D261" s="313"/>
      <c r="E261" s="314"/>
      <c r="F261" s="314"/>
      <c r="G261" s="314"/>
      <c r="H261" s="314"/>
      <c r="I261" s="314"/>
      <c r="J261" s="314"/>
      <c r="K261" s="314"/>
      <c r="L261" s="314"/>
      <c r="M261" s="314"/>
      <c r="N261" s="314"/>
      <c r="O261" s="314"/>
      <c r="P261" s="314"/>
      <c r="Q261" s="314"/>
      <c r="R261" s="314"/>
      <c r="S261" s="314"/>
      <c r="T261" s="314"/>
      <c r="U261" s="314"/>
      <c r="V261" s="314"/>
      <c r="W261" s="313"/>
      <c r="X261" s="313"/>
      <c r="Y261" s="314"/>
      <c r="Z261" s="335"/>
      <c r="AA261" s="313"/>
      <c r="AB261" s="324"/>
      <c r="AC261" s="155"/>
      <c r="AD261" s="155"/>
      <c r="AE261" s="322"/>
      <c r="AF261" s="155"/>
      <c r="AG261" s="132"/>
    </row>
    <row r="262">
      <c r="A262" s="311"/>
      <c r="B262" s="313"/>
      <c r="C262" s="313"/>
      <c r="D262" s="313"/>
      <c r="E262" s="314"/>
      <c r="F262" s="314"/>
      <c r="G262" s="314"/>
      <c r="H262" s="314"/>
      <c r="I262" s="314"/>
      <c r="J262" s="314"/>
      <c r="K262" s="314"/>
      <c r="L262" s="314"/>
      <c r="M262" s="314"/>
      <c r="N262" s="314"/>
      <c r="O262" s="314"/>
      <c r="P262" s="314"/>
      <c r="Q262" s="314"/>
      <c r="R262" s="314"/>
      <c r="S262" s="314"/>
      <c r="T262" s="314"/>
      <c r="U262" s="314"/>
      <c r="V262" s="314"/>
      <c r="W262" s="313"/>
      <c r="X262" s="313"/>
      <c r="Y262" s="314"/>
      <c r="Z262" s="335"/>
      <c r="AA262" s="313"/>
      <c r="AB262" s="324"/>
      <c r="AC262" s="155"/>
      <c r="AD262" s="155"/>
      <c r="AE262" s="322"/>
      <c r="AF262" s="155"/>
      <c r="AG262" s="132"/>
    </row>
    <row r="263">
      <c r="A263" s="311"/>
      <c r="B263" s="313"/>
      <c r="C263" s="313"/>
      <c r="D263" s="313"/>
      <c r="E263" s="314"/>
      <c r="F263" s="314"/>
      <c r="G263" s="314"/>
      <c r="H263" s="314"/>
      <c r="I263" s="314"/>
      <c r="J263" s="314"/>
      <c r="K263" s="314"/>
      <c r="L263" s="314"/>
      <c r="M263" s="314"/>
      <c r="N263" s="314"/>
      <c r="O263" s="314"/>
      <c r="P263" s="314"/>
      <c r="Q263" s="314"/>
      <c r="R263" s="314"/>
      <c r="S263" s="314"/>
      <c r="T263" s="314"/>
      <c r="U263" s="314"/>
      <c r="V263" s="314"/>
      <c r="W263" s="313"/>
      <c r="X263" s="313"/>
      <c r="Y263" s="314"/>
      <c r="Z263" s="335"/>
      <c r="AA263" s="313"/>
      <c r="AB263" s="324"/>
      <c r="AC263" s="155"/>
      <c r="AD263" s="155"/>
      <c r="AE263" s="322"/>
      <c r="AF263" s="155"/>
      <c r="AG263" s="132"/>
    </row>
    <row r="264">
      <c r="A264" s="311"/>
      <c r="B264" s="313"/>
      <c r="C264" s="313"/>
      <c r="D264" s="313"/>
      <c r="E264" s="314"/>
      <c r="F264" s="314"/>
      <c r="G264" s="314"/>
      <c r="H264" s="314"/>
      <c r="I264" s="314"/>
      <c r="J264" s="314"/>
      <c r="K264" s="314"/>
      <c r="L264" s="314"/>
      <c r="M264" s="314"/>
      <c r="N264" s="314"/>
      <c r="O264" s="314"/>
      <c r="P264" s="314"/>
      <c r="Q264" s="314"/>
      <c r="R264" s="314"/>
      <c r="S264" s="314"/>
      <c r="T264" s="314"/>
      <c r="U264" s="314"/>
      <c r="V264" s="314"/>
      <c r="W264" s="313"/>
      <c r="X264" s="313"/>
      <c r="Y264" s="314"/>
      <c r="Z264" s="335"/>
      <c r="AA264" s="313"/>
      <c r="AB264" s="324"/>
      <c r="AC264" s="155"/>
      <c r="AD264" s="155"/>
      <c r="AE264" s="322"/>
      <c r="AF264" s="155"/>
      <c r="AG264" s="132"/>
    </row>
    <row r="265">
      <c r="A265" s="311"/>
      <c r="B265" s="313"/>
      <c r="C265" s="313"/>
      <c r="D265" s="313"/>
      <c r="E265" s="314"/>
      <c r="F265" s="314"/>
      <c r="G265" s="314"/>
      <c r="H265" s="314"/>
      <c r="I265" s="314"/>
      <c r="J265" s="314"/>
      <c r="K265" s="314"/>
      <c r="L265" s="314"/>
      <c r="M265" s="314"/>
      <c r="N265" s="314"/>
      <c r="O265" s="314"/>
      <c r="P265" s="314"/>
      <c r="Q265" s="314"/>
      <c r="R265" s="314"/>
      <c r="S265" s="314"/>
      <c r="T265" s="314"/>
      <c r="U265" s="314"/>
      <c r="V265" s="314"/>
      <c r="W265" s="313"/>
      <c r="X265" s="313"/>
      <c r="Y265" s="314"/>
      <c r="Z265" s="335"/>
      <c r="AA265" s="313"/>
      <c r="AB265" s="324"/>
      <c r="AC265" s="155"/>
      <c r="AD265" s="155"/>
      <c r="AE265" s="322"/>
      <c r="AF265" s="155"/>
      <c r="AG265" s="132"/>
    </row>
    <row r="266">
      <c r="A266" s="311"/>
      <c r="B266" s="313"/>
      <c r="C266" s="313"/>
      <c r="D266" s="313"/>
      <c r="E266" s="314"/>
      <c r="F266" s="314"/>
      <c r="G266" s="314"/>
      <c r="H266" s="314"/>
      <c r="I266" s="314"/>
      <c r="J266" s="314"/>
      <c r="K266" s="314"/>
      <c r="L266" s="314"/>
      <c r="M266" s="314"/>
      <c r="N266" s="314"/>
      <c r="O266" s="314"/>
      <c r="P266" s="314"/>
      <c r="Q266" s="314"/>
      <c r="R266" s="314"/>
      <c r="S266" s="314"/>
      <c r="T266" s="314"/>
      <c r="U266" s="314"/>
      <c r="V266" s="314"/>
      <c r="W266" s="313"/>
      <c r="X266" s="313"/>
      <c r="Y266" s="314"/>
      <c r="Z266" s="335"/>
      <c r="AA266" s="313"/>
      <c r="AB266" s="324"/>
      <c r="AC266" s="155"/>
      <c r="AD266" s="155"/>
      <c r="AE266" s="322"/>
      <c r="AF266" s="155"/>
      <c r="AG266" s="132"/>
    </row>
    <row r="267">
      <c r="A267" s="311"/>
      <c r="B267" s="313"/>
      <c r="C267" s="313"/>
      <c r="D267" s="313"/>
      <c r="E267" s="314"/>
      <c r="F267" s="314"/>
      <c r="G267" s="314"/>
      <c r="H267" s="314"/>
      <c r="I267" s="314"/>
      <c r="J267" s="314"/>
      <c r="K267" s="314"/>
      <c r="L267" s="314"/>
      <c r="M267" s="314"/>
      <c r="N267" s="314"/>
      <c r="O267" s="314"/>
      <c r="P267" s="314"/>
      <c r="Q267" s="314"/>
      <c r="R267" s="314"/>
      <c r="S267" s="314"/>
      <c r="T267" s="314"/>
      <c r="U267" s="314"/>
      <c r="V267" s="314"/>
      <c r="W267" s="313"/>
      <c r="X267" s="313"/>
      <c r="Y267" s="314"/>
      <c r="Z267" s="335"/>
      <c r="AA267" s="313"/>
      <c r="AB267" s="324"/>
      <c r="AC267" s="155"/>
      <c r="AD267" s="155"/>
      <c r="AE267" s="322"/>
      <c r="AF267" s="155"/>
      <c r="AG267" s="132"/>
    </row>
    <row r="268">
      <c r="A268" s="311"/>
      <c r="B268" s="313"/>
      <c r="C268" s="313"/>
      <c r="D268" s="313"/>
      <c r="E268" s="314"/>
      <c r="F268" s="314"/>
      <c r="G268" s="314"/>
      <c r="H268" s="314"/>
      <c r="I268" s="314"/>
      <c r="J268" s="314"/>
      <c r="K268" s="314"/>
      <c r="L268" s="314"/>
      <c r="M268" s="314"/>
      <c r="N268" s="314"/>
      <c r="O268" s="314"/>
      <c r="P268" s="314"/>
      <c r="Q268" s="314"/>
      <c r="R268" s="314"/>
      <c r="S268" s="314"/>
      <c r="T268" s="314"/>
      <c r="U268" s="314"/>
      <c r="V268" s="314"/>
      <c r="W268" s="313"/>
      <c r="X268" s="313"/>
      <c r="Y268" s="314"/>
      <c r="Z268" s="335"/>
      <c r="AA268" s="313"/>
      <c r="AB268" s="324"/>
      <c r="AC268" s="155"/>
      <c r="AD268" s="155"/>
      <c r="AE268" s="322"/>
      <c r="AF268" s="155"/>
      <c r="AG268" s="132"/>
    </row>
    <row r="269">
      <c r="A269" s="311"/>
      <c r="B269" s="313"/>
      <c r="C269" s="313"/>
      <c r="D269" s="313"/>
      <c r="E269" s="314"/>
      <c r="F269" s="314"/>
      <c r="G269" s="314"/>
      <c r="H269" s="314"/>
      <c r="I269" s="314"/>
      <c r="J269" s="314"/>
      <c r="K269" s="314"/>
      <c r="L269" s="314"/>
      <c r="M269" s="314"/>
      <c r="N269" s="314"/>
      <c r="O269" s="314"/>
      <c r="P269" s="314"/>
      <c r="Q269" s="314"/>
      <c r="R269" s="314"/>
      <c r="S269" s="314"/>
      <c r="T269" s="314"/>
      <c r="U269" s="314"/>
      <c r="V269" s="314"/>
      <c r="W269" s="313"/>
      <c r="X269" s="313"/>
      <c r="Y269" s="314"/>
      <c r="Z269" s="335"/>
      <c r="AA269" s="313"/>
      <c r="AB269" s="324"/>
      <c r="AC269" s="155"/>
      <c r="AD269" s="155"/>
      <c r="AE269" s="322"/>
      <c r="AF269" s="155"/>
      <c r="AG269" s="132"/>
    </row>
    <row r="270">
      <c r="A270" s="311"/>
      <c r="B270" s="313"/>
      <c r="C270" s="313"/>
      <c r="D270" s="313"/>
      <c r="E270" s="314"/>
      <c r="F270" s="314"/>
      <c r="G270" s="314"/>
      <c r="H270" s="314"/>
      <c r="I270" s="314"/>
      <c r="J270" s="314"/>
      <c r="K270" s="314"/>
      <c r="L270" s="314"/>
      <c r="M270" s="314"/>
      <c r="N270" s="314"/>
      <c r="O270" s="314"/>
      <c r="P270" s="314"/>
      <c r="Q270" s="314"/>
      <c r="R270" s="314"/>
      <c r="S270" s="314"/>
      <c r="T270" s="314"/>
      <c r="U270" s="314"/>
      <c r="V270" s="314"/>
      <c r="W270" s="313"/>
      <c r="X270" s="313"/>
      <c r="Y270" s="314"/>
      <c r="Z270" s="335"/>
      <c r="AA270" s="313"/>
      <c r="AB270" s="324"/>
      <c r="AC270" s="155"/>
      <c r="AD270" s="155"/>
      <c r="AE270" s="322"/>
      <c r="AF270" s="155"/>
      <c r="AG270" s="132"/>
    </row>
    <row r="271">
      <c r="A271" s="311"/>
      <c r="B271" s="313"/>
      <c r="C271" s="313"/>
      <c r="D271" s="313"/>
      <c r="E271" s="314"/>
      <c r="F271" s="314"/>
      <c r="G271" s="314"/>
      <c r="H271" s="314"/>
      <c r="I271" s="314"/>
      <c r="J271" s="314"/>
      <c r="K271" s="314"/>
      <c r="L271" s="314"/>
      <c r="M271" s="314"/>
      <c r="N271" s="314"/>
      <c r="O271" s="314"/>
      <c r="P271" s="314"/>
      <c r="Q271" s="314"/>
      <c r="R271" s="314"/>
      <c r="S271" s="314"/>
      <c r="T271" s="314"/>
      <c r="U271" s="314"/>
      <c r="V271" s="314"/>
      <c r="W271" s="313"/>
      <c r="X271" s="313"/>
      <c r="Y271" s="314"/>
      <c r="Z271" s="335"/>
      <c r="AA271" s="313"/>
      <c r="AB271" s="324"/>
      <c r="AC271" s="155"/>
      <c r="AD271" s="155"/>
      <c r="AE271" s="322"/>
      <c r="AF271" s="155"/>
      <c r="AG271" s="132"/>
    </row>
    <row r="272">
      <c r="A272" s="311"/>
      <c r="B272" s="313"/>
      <c r="C272" s="313"/>
      <c r="D272" s="313"/>
      <c r="E272" s="314"/>
      <c r="F272" s="314"/>
      <c r="G272" s="314"/>
      <c r="H272" s="314"/>
      <c r="I272" s="314"/>
      <c r="J272" s="314"/>
      <c r="K272" s="314"/>
      <c r="L272" s="314"/>
      <c r="M272" s="314"/>
      <c r="N272" s="314"/>
      <c r="O272" s="314"/>
      <c r="P272" s="314"/>
      <c r="Q272" s="314"/>
      <c r="R272" s="314"/>
      <c r="S272" s="314"/>
      <c r="T272" s="314"/>
      <c r="U272" s="314"/>
      <c r="V272" s="314"/>
      <c r="W272" s="313"/>
      <c r="X272" s="313"/>
      <c r="Y272" s="314"/>
      <c r="Z272" s="335"/>
      <c r="AA272" s="313"/>
      <c r="AB272" s="324"/>
      <c r="AC272" s="155"/>
      <c r="AD272" s="155"/>
      <c r="AE272" s="322"/>
      <c r="AF272" s="155"/>
      <c r="AG272" s="132"/>
    </row>
    <row r="273">
      <c r="A273" s="311"/>
      <c r="B273" s="313"/>
      <c r="C273" s="313"/>
      <c r="D273" s="313"/>
      <c r="E273" s="314"/>
      <c r="F273" s="314"/>
      <c r="G273" s="314"/>
      <c r="H273" s="314"/>
      <c r="I273" s="314"/>
      <c r="J273" s="314"/>
      <c r="K273" s="314"/>
      <c r="L273" s="314"/>
      <c r="M273" s="314"/>
      <c r="N273" s="314"/>
      <c r="O273" s="314"/>
      <c r="P273" s="314"/>
      <c r="Q273" s="314"/>
      <c r="R273" s="314"/>
      <c r="S273" s="314"/>
      <c r="T273" s="314"/>
      <c r="U273" s="314"/>
      <c r="V273" s="314"/>
      <c r="W273" s="313"/>
      <c r="X273" s="313"/>
      <c r="Y273" s="314"/>
      <c r="Z273" s="335"/>
      <c r="AA273" s="313"/>
      <c r="AB273" s="324"/>
      <c r="AC273" s="155"/>
      <c r="AD273" s="155"/>
      <c r="AE273" s="322"/>
      <c r="AF273" s="155"/>
      <c r="AG273" s="132"/>
    </row>
    <row r="274">
      <c r="A274" s="311"/>
      <c r="B274" s="313"/>
      <c r="C274" s="313"/>
      <c r="D274" s="313"/>
      <c r="E274" s="314"/>
      <c r="F274" s="314"/>
      <c r="G274" s="314"/>
      <c r="H274" s="314"/>
      <c r="I274" s="314"/>
      <c r="J274" s="314"/>
      <c r="K274" s="314"/>
      <c r="L274" s="314"/>
      <c r="M274" s="314"/>
      <c r="N274" s="314"/>
      <c r="O274" s="314"/>
      <c r="P274" s="314"/>
      <c r="Q274" s="314"/>
      <c r="R274" s="314"/>
      <c r="S274" s="314"/>
      <c r="T274" s="314"/>
      <c r="U274" s="314"/>
      <c r="V274" s="314"/>
      <c r="W274" s="313"/>
      <c r="X274" s="313"/>
      <c r="Y274" s="314"/>
      <c r="Z274" s="335"/>
      <c r="AA274" s="313"/>
      <c r="AB274" s="324"/>
      <c r="AC274" s="155"/>
      <c r="AD274" s="155"/>
      <c r="AE274" s="322"/>
      <c r="AF274" s="155"/>
      <c r="AG274" s="132"/>
    </row>
    <row r="275">
      <c r="A275" s="311"/>
      <c r="B275" s="313"/>
      <c r="C275" s="313"/>
      <c r="D275" s="313"/>
      <c r="E275" s="314"/>
      <c r="F275" s="314"/>
      <c r="G275" s="314"/>
      <c r="H275" s="314"/>
      <c r="I275" s="314"/>
      <c r="J275" s="314"/>
      <c r="K275" s="314"/>
      <c r="L275" s="314"/>
      <c r="M275" s="314"/>
      <c r="N275" s="314"/>
      <c r="O275" s="314"/>
      <c r="P275" s="314"/>
      <c r="Q275" s="314"/>
      <c r="R275" s="314"/>
      <c r="S275" s="314"/>
      <c r="T275" s="314"/>
      <c r="U275" s="314"/>
      <c r="V275" s="314"/>
      <c r="W275" s="313"/>
      <c r="X275" s="313"/>
      <c r="Y275" s="314"/>
      <c r="Z275" s="335"/>
      <c r="AA275" s="313"/>
      <c r="AB275" s="324"/>
      <c r="AC275" s="155"/>
      <c r="AD275" s="155"/>
      <c r="AE275" s="322"/>
      <c r="AF275" s="155"/>
      <c r="AG275" s="132"/>
    </row>
    <row r="276">
      <c r="A276" s="311"/>
      <c r="B276" s="313"/>
      <c r="C276" s="313"/>
      <c r="D276" s="313"/>
      <c r="E276" s="314"/>
      <c r="F276" s="314"/>
      <c r="G276" s="314"/>
      <c r="H276" s="314"/>
      <c r="I276" s="314"/>
      <c r="J276" s="314"/>
      <c r="K276" s="314"/>
      <c r="L276" s="314"/>
      <c r="M276" s="314"/>
      <c r="N276" s="314"/>
      <c r="O276" s="314"/>
      <c r="P276" s="314"/>
      <c r="Q276" s="314"/>
      <c r="R276" s="314"/>
      <c r="S276" s="314"/>
      <c r="T276" s="314"/>
      <c r="U276" s="314"/>
      <c r="V276" s="314"/>
      <c r="W276" s="313"/>
      <c r="X276" s="313"/>
      <c r="Y276" s="314"/>
      <c r="Z276" s="335"/>
      <c r="AA276" s="313"/>
      <c r="AB276" s="324"/>
      <c r="AC276" s="155"/>
      <c r="AD276" s="155"/>
      <c r="AE276" s="322"/>
      <c r="AF276" s="155"/>
      <c r="AG276" s="132"/>
    </row>
    <row r="277">
      <c r="A277" s="311"/>
      <c r="B277" s="313"/>
      <c r="C277" s="313"/>
      <c r="D277" s="313"/>
      <c r="E277" s="314"/>
      <c r="F277" s="314"/>
      <c r="G277" s="314"/>
      <c r="H277" s="314"/>
      <c r="I277" s="314"/>
      <c r="J277" s="314"/>
      <c r="K277" s="314"/>
      <c r="L277" s="314"/>
      <c r="M277" s="314"/>
      <c r="N277" s="314"/>
      <c r="O277" s="314"/>
      <c r="P277" s="314"/>
      <c r="Q277" s="314"/>
      <c r="R277" s="314"/>
      <c r="S277" s="314"/>
      <c r="T277" s="314"/>
      <c r="U277" s="314"/>
      <c r="V277" s="314"/>
      <c r="W277" s="313"/>
      <c r="X277" s="313"/>
      <c r="Y277" s="314"/>
      <c r="Z277" s="335"/>
      <c r="AA277" s="313"/>
      <c r="AB277" s="324"/>
      <c r="AC277" s="155"/>
      <c r="AD277" s="155"/>
      <c r="AE277" s="322"/>
      <c r="AF277" s="155"/>
      <c r="AG277" s="132"/>
    </row>
    <row r="278">
      <c r="A278" s="311"/>
      <c r="B278" s="313"/>
      <c r="C278" s="313"/>
      <c r="D278" s="313"/>
      <c r="E278" s="314"/>
      <c r="F278" s="314"/>
      <c r="G278" s="314"/>
      <c r="H278" s="314"/>
      <c r="I278" s="314"/>
      <c r="J278" s="314"/>
      <c r="K278" s="314"/>
      <c r="L278" s="314"/>
      <c r="M278" s="314"/>
      <c r="N278" s="314"/>
      <c r="O278" s="314"/>
      <c r="P278" s="314"/>
      <c r="Q278" s="314"/>
      <c r="R278" s="314"/>
      <c r="S278" s="314"/>
      <c r="T278" s="314"/>
      <c r="U278" s="314"/>
      <c r="V278" s="314"/>
      <c r="W278" s="313"/>
      <c r="X278" s="313"/>
      <c r="Y278" s="314"/>
      <c r="Z278" s="335"/>
      <c r="AA278" s="313"/>
      <c r="AB278" s="324"/>
      <c r="AC278" s="155"/>
      <c r="AD278" s="155"/>
      <c r="AE278" s="322"/>
      <c r="AF278" s="155"/>
      <c r="AG278" s="132"/>
    </row>
    <row r="279">
      <c r="A279" s="311"/>
      <c r="B279" s="313"/>
      <c r="C279" s="313"/>
      <c r="D279" s="313"/>
      <c r="E279" s="314"/>
      <c r="F279" s="314"/>
      <c r="G279" s="314"/>
      <c r="H279" s="314"/>
      <c r="I279" s="314"/>
      <c r="J279" s="314"/>
      <c r="K279" s="314"/>
      <c r="L279" s="314"/>
      <c r="M279" s="314"/>
      <c r="N279" s="314"/>
      <c r="O279" s="314"/>
      <c r="P279" s="314"/>
      <c r="Q279" s="314"/>
      <c r="R279" s="314"/>
      <c r="S279" s="314"/>
      <c r="T279" s="314"/>
      <c r="U279" s="314"/>
      <c r="V279" s="314"/>
      <c r="W279" s="313"/>
      <c r="X279" s="313"/>
      <c r="Y279" s="314"/>
      <c r="Z279" s="335"/>
      <c r="AA279" s="313"/>
      <c r="AB279" s="324"/>
      <c r="AC279" s="155"/>
      <c r="AD279" s="155"/>
      <c r="AE279" s="322"/>
      <c r="AF279" s="155"/>
      <c r="AG279" s="132"/>
    </row>
    <row r="280">
      <c r="A280" s="311"/>
      <c r="B280" s="313"/>
      <c r="C280" s="313"/>
      <c r="D280" s="313"/>
      <c r="E280" s="314"/>
      <c r="F280" s="314"/>
      <c r="G280" s="314"/>
      <c r="H280" s="314"/>
      <c r="I280" s="314"/>
      <c r="J280" s="314"/>
      <c r="K280" s="314"/>
      <c r="L280" s="314"/>
      <c r="M280" s="314"/>
      <c r="N280" s="314"/>
      <c r="O280" s="314"/>
      <c r="P280" s="314"/>
      <c r="Q280" s="314"/>
      <c r="R280" s="314"/>
      <c r="S280" s="314"/>
      <c r="T280" s="314"/>
      <c r="U280" s="314"/>
      <c r="V280" s="314"/>
      <c r="W280" s="313"/>
      <c r="X280" s="313"/>
      <c r="Y280" s="314"/>
      <c r="Z280" s="335"/>
      <c r="AA280" s="313"/>
      <c r="AB280" s="324"/>
      <c r="AC280" s="155"/>
      <c r="AD280" s="155"/>
      <c r="AE280" s="322"/>
      <c r="AF280" s="155"/>
      <c r="AG280" s="132"/>
    </row>
    <row r="281">
      <c r="A281" s="311"/>
      <c r="B281" s="313"/>
      <c r="C281" s="313"/>
      <c r="D281" s="313"/>
      <c r="E281" s="314"/>
      <c r="F281" s="314"/>
      <c r="G281" s="314"/>
      <c r="H281" s="314"/>
      <c r="I281" s="314"/>
      <c r="J281" s="314"/>
      <c r="K281" s="314"/>
      <c r="L281" s="314"/>
      <c r="M281" s="314"/>
      <c r="N281" s="314"/>
      <c r="O281" s="314"/>
      <c r="P281" s="314"/>
      <c r="Q281" s="314"/>
      <c r="R281" s="314"/>
      <c r="S281" s="314"/>
      <c r="T281" s="314"/>
      <c r="U281" s="314"/>
      <c r="V281" s="314"/>
      <c r="W281" s="313"/>
      <c r="X281" s="313"/>
      <c r="Y281" s="314"/>
      <c r="Z281" s="335"/>
      <c r="AA281" s="313"/>
      <c r="AB281" s="324"/>
      <c r="AC281" s="155"/>
      <c r="AD281" s="155"/>
      <c r="AE281" s="322"/>
      <c r="AF281" s="155"/>
      <c r="AG281" s="132"/>
    </row>
    <row r="282">
      <c r="A282" s="311"/>
      <c r="B282" s="313"/>
      <c r="C282" s="313"/>
      <c r="D282" s="313"/>
      <c r="E282" s="314"/>
      <c r="F282" s="314"/>
      <c r="G282" s="314"/>
      <c r="H282" s="314"/>
      <c r="I282" s="314"/>
      <c r="J282" s="314"/>
      <c r="K282" s="314"/>
      <c r="L282" s="314"/>
      <c r="M282" s="314"/>
      <c r="N282" s="314"/>
      <c r="O282" s="314"/>
      <c r="P282" s="314"/>
      <c r="Q282" s="314"/>
      <c r="R282" s="314"/>
      <c r="S282" s="314"/>
      <c r="T282" s="314"/>
      <c r="U282" s="314"/>
      <c r="V282" s="314"/>
      <c r="W282" s="313"/>
      <c r="X282" s="313"/>
      <c r="Y282" s="314"/>
      <c r="Z282" s="335"/>
      <c r="AA282" s="313"/>
      <c r="AB282" s="324"/>
      <c r="AC282" s="155"/>
      <c r="AD282" s="155"/>
      <c r="AE282" s="322"/>
      <c r="AF282" s="155"/>
      <c r="AG282" s="132"/>
    </row>
    <row r="283">
      <c r="A283" s="311"/>
      <c r="B283" s="313"/>
      <c r="C283" s="313"/>
      <c r="D283" s="313"/>
      <c r="E283" s="314"/>
      <c r="F283" s="314"/>
      <c r="G283" s="314"/>
      <c r="H283" s="314"/>
      <c r="I283" s="314"/>
      <c r="J283" s="314"/>
      <c r="K283" s="314"/>
      <c r="L283" s="314"/>
      <c r="M283" s="314"/>
      <c r="N283" s="314"/>
      <c r="O283" s="314"/>
      <c r="P283" s="314"/>
      <c r="Q283" s="314"/>
      <c r="R283" s="314"/>
      <c r="S283" s="314"/>
      <c r="T283" s="314"/>
      <c r="U283" s="314"/>
      <c r="V283" s="314"/>
      <c r="W283" s="313"/>
      <c r="X283" s="313"/>
      <c r="Y283" s="314"/>
      <c r="Z283" s="335"/>
      <c r="AA283" s="313"/>
      <c r="AB283" s="324"/>
      <c r="AC283" s="155"/>
      <c r="AD283" s="155"/>
      <c r="AE283" s="322"/>
      <c r="AF283" s="155"/>
      <c r="AG283" s="132"/>
    </row>
    <row r="284">
      <c r="A284" s="311"/>
      <c r="B284" s="313"/>
      <c r="C284" s="313"/>
      <c r="D284" s="313"/>
      <c r="E284" s="314"/>
      <c r="F284" s="314"/>
      <c r="G284" s="314"/>
      <c r="H284" s="314"/>
      <c r="I284" s="314"/>
      <c r="J284" s="314"/>
      <c r="K284" s="314"/>
      <c r="L284" s="314"/>
      <c r="M284" s="314"/>
      <c r="N284" s="314"/>
      <c r="O284" s="314"/>
      <c r="P284" s="314"/>
      <c r="Q284" s="314"/>
      <c r="R284" s="314"/>
      <c r="S284" s="314"/>
      <c r="T284" s="314"/>
      <c r="U284" s="314"/>
      <c r="V284" s="314"/>
      <c r="W284" s="313"/>
      <c r="X284" s="313"/>
      <c r="Y284" s="314"/>
      <c r="Z284" s="335"/>
      <c r="AA284" s="313"/>
      <c r="AB284" s="324"/>
      <c r="AC284" s="155"/>
      <c r="AD284" s="155"/>
      <c r="AE284" s="322"/>
      <c r="AF284" s="155"/>
      <c r="AG284" s="132"/>
    </row>
    <row r="285">
      <c r="A285" s="311"/>
      <c r="B285" s="313"/>
      <c r="C285" s="313"/>
      <c r="D285" s="313"/>
      <c r="E285" s="314"/>
      <c r="F285" s="314"/>
      <c r="G285" s="314"/>
      <c r="H285" s="314"/>
      <c r="I285" s="314"/>
      <c r="J285" s="314"/>
      <c r="K285" s="314"/>
      <c r="L285" s="314"/>
      <c r="M285" s="314"/>
      <c r="N285" s="314"/>
      <c r="O285" s="314"/>
      <c r="P285" s="314"/>
      <c r="Q285" s="314"/>
      <c r="R285" s="314"/>
      <c r="S285" s="314"/>
      <c r="T285" s="314"/>
      <c r="U285" s="314"/>
      <c r="V285" s="314"/>
      <c r="W285" s="313"/>
      <c r="X285" s="313"/>
      <c r="Y285" s="314"/>
      <c r="Z285" s="335"/>
      <c r="AA285" s="313"/>
      <c r="AB285" s="324"/>
      <c r="AC285" s="155"/>
      <c r="AD285" s="155"/>
      <c r="AE285" s="322"/>
      <c r="AF285" s="155"/>
      <c r="AG285" s="132"/>
    </row>
    <row r="286">
      <c r="A286" s="311"/>
      <c r="B286" s="313"/>
      <c r="C286" s="313"/>
      <c r="D286" s="313"/>
      <c r="E286" s="314"/>
      <c r="F286" s="314"/>
      <c r="G286" s="314"/>
      <c r="H286" s="314"/>
      <c r="I286" s="314"/>
      <c r="J286" s="314"/>
      <c r="K286" s="314"/>
      <c r="L286" s="314"/>
      <c r="M286" s="314"/>
      <c r="N286" s="314"/>
      <c r="O286" s="314"/>
      <c r="P286" s="314"/>
      <c r="Q286" s="314"/>
      <c r="R286" s="314"/>
      <c r="S286" s="314"/>
      <c r="T286" s="314"/>
      <c r="U286" s="314"/>
      <c r="V286" s="314"/>
      <c r="W286" s="313"/>
      <c r="X286" s="313"/>
      <c r="Y286" s="314"/>
      <c r="Z286" s="335"/>
      <c r="AA286" s="313"/>
      <c r="AB286" s="324"/>
      <c r="AC286" s="155"/>
      <c r="AD286" s="155"/>
      <c r="AE286" s="322"/>
      <c r="AF286" s="155"/>
      <c r="AG286" s="132"/>
    </row>
    <row r="287">
      <c r="A287" s="311"/>
      <c r="B287" s="313"/>
      <c r="C287" s="313"/>
      <c r="D287" s="313"/>
      <c r="E287" s="314"/>
      <c r="F287" s="314"/>
      <c r="G287" s="314"/>
      <c r="H287" s="314"/>
      <c r="I287" s="314"/>
      <c r="J287" s="314"/>
      <c r="K287" s="314"/>
      <c r="L287" s="314"/>
      <c r="M287" s="314"/>
      <c r="N287" s="314"/>
      <c r="O287" s="314"/>
      <c r="P287" s="314"/>
      <c r="Q287" s="314"/>
      <c r="R287" s="314"/>
      <c r="S287" s="314"/>
      <c r="T287" s="314"/>
      <c r="U287" s="314"/>
      <c r="V287" s="314"/>
      <c r="W287" s="313"/>
      <c r="X287" s="313"/>
      <c r="Y287" s="314"/>
      <c r="Z287" s="335"/>
      <c r="AA287" s="313"/>
      <c r="AB287" s="324"/>
      <c r="AC287" s="155"/>
      <c r="AD287" s="155"/>
      <c r="AE287" s="322"/>
      <c r="AF287" s="155"/>
      <c r="AG287" s="132"/>
    </row>
    <row r="288">
      <c r="A288" s="311"/>
      <c r="B288" s="313"/>
      <c r="C288" s="313"/>
      <c r="D288" s="313"/>
      <c r="E288" s="314"/>
      <c r="F288" s="314"/>
      <c r="G288" s="314"/>
      <c r="H288" s="314"/>
      <c r="I288" s="314"/>
      <c r="J288" s="314"/>
      <c r="K288" s="314"/>
      <c r="L288" s="314"/>
      <c r="M288" s="314"/>
      <c r="N288" s="314"/>
      <c r="O288" s="314"/>
      <c r="P288" s="314"/>
      <c r="Q288" s="314"/>
      <c r="R288" s="314"/>
      <c r="S288" s="314"/>
      <c r="T288" s="314"/>
      <c r="U288" s="314"/>
      <c r="V288" s="314"/>
      <c r="W288" s="313"/>
      <c r="X288" s="313"/>
      <c r="Y288" s="314"/>
      <c r="Z288" s="335"/>
      <c r="AA288" s="313"/>
      <c r="AB288" s="324"/>
      <c r="AC288" s="155"/>
      <c r="AD288" s="155"/>
      <c r="AE288" s="322"/>
      <c r="AF288" s="155"/>
      <c r="AG288" s="132"/>
    </row>
    <row r="289">
      <c r="A289" s="311"/>
      <c r="B289" s="313"/>
      <c r="C289" s="313"/>
      <c r="D289" s="313"/>
      <c r="E289" s="314"/>
      <c r="F289" s="314"/>
      <c r="G289" s="314"/>
      <c r="H289" s="314"/>
      <c r="I289" s="314"/>
      <c r="J289" s="314"/>
      <c r="K289" s="314"/>
      <c r="L289" s="314"/>
      <c r="M289" s="314"/>
      <c r="N289" s="314"/>
      <c r="O289" s="314"/>
      <c r="P289" s="314"/>
      <c r="Q289" s="314"/>
      <c r="R289" s="314"/>
      <c r="S289" s="314"/>
      <c r="T289" s="314"/>
      <c r="U289" s="314"/>
      <c r="V289" s="314"/>
      <c r="W289" s="313"/>
      <c r="X289" s="313"/>
      <c r="Y289" s="314"/>
      <c r="Z289" s="335"/>
      <c r="AA289" s="313"/>
      <c r="AB289" s="324"/>
      <c r="AC289" s="155"/>
      <c r="AD289" s="155"/>
      <c r="AE289" s="322"/>
      <c r="AF289" s="155"/>
      <c r="AG289" s="132"/>
    </row>
    <row r="290">
      <c r="A290" s="311"/>
      <c r="B290" s="313"/>
      <c r="C290" s="313"/>
      <c r="D290" s="313"/>
      <c r="E290" s="314"/>
      <c r="F290" s="314"/>
      <c r="G290" s="314"/>
      <c r="H290" s="314"/>
      <c r="I290" s="314"/>
      <c r="J290" s="314"/>
      <c r="K290" s="314"/>
      <c r="L290" s="314"/>
      <c r="M290" s="314"/>
      <c r="N290" s="314"/>
      <c r="O290" s="314"/>
      <c r="P290" s="314"/>
      <c r="Q290" s="314"/>
      <c r="R290" s="314"/>
      <c r="S290" s="314"/>
      <c r="T290" s="314"/>
      <c r="U290" s="314"/>
      <c r="V290" s="314"/>
      <c r="W290" s="313"/>
      <c r="X290" s="313"/>
      <c r="Y290" s="314"/>
      <c r="Z290" s="335"/>
      <c r="AA290" s="313"/>
      <c r="AB290" s="324"/>
      <c r="AC290" s="155"/>
      <c r="AD290" s="155"/>
      <c r="AE290" s="322"/>
      <c r="AF290" s="155"/>
      <c r="AG290" s="132"/>
    </row>
    <row r="291">
      <c r="A291" s="311"/>
      <c r="B291" s="313"/>
      <c r="C291" s="313"/>
      <c r="D291" s="313"/>
      <c r="E291" s="314"/>
      <c r="F291" s="314"/>
      <c r="G291" s="314"/>
      <c r="H291" s="314"/>
      <c r="I291" s="314"/>
      <c r="J291" s="314"/>
      <c r="K291" s="314"/>
      <c r="L291" s="314"/>
      <c r="M291" s="314"/>
      <c r="N291" s="314"/>
      <c r="O291" s="314"/>
      <c r="P291" s="314"/>
      <c r="Q291" s="314"/>
      <c r="R291" s="314"/>
      <c r="S291" s="314"/>
      <c r="T291" s="314"/>
      <c r="U291" s="314"/>
      <c r="V291" s="314"/>
      <c r="W291" s="313"/>
      <c r="X291" s="313"/>
      <c r="Y291" s="314"/>
      <c r="Z291" s="335"/>
      <c r="AA291" s="313"/>
      <c r="AB291" s="324"/>
      <c r="AC291" s="155"/>
      <c r="AD291" s="155"/>
      <c r="AE291" s="322"/>
      <c r="AF291" s="155"/>
      <c r="AG291" s="132"/>
    </row>
    <row r="292">
      <c r="A292" s="311"/>
      <c r="B292" s="313"/>
      <c r="C292" s="313"/>
      <c r="D292" s="313"/>
      <c r="E292" s="314"/>
      <c r="F292" s="314"/>
      <c r="G292" s="314"/>
      <c r="H292" s="314"/>
      <c r="I292" s="314"/>
      <c r="J292" s="314"/>
      <c r="K292" s="314"/>
      <c r="L292" s="314"/>
      <c r="M292" s="314"/>
      <c r="N292" s="314"/>
      <c r="O292" s="314"/>
      <c r="P292" s="314"/>
      <c r="Q292" s="314"/>
      <c r="R292" s="314"/>
      <c r="S292" s="314"/>
      <c r="T292" s="314"/>
      <c r="U292" s="314"/>
      <c r="V292" s="314"/>
      <c r="W292" s="313"/>
      <c r="X292" s="313"/>
      <c r="Y292" s="314"/>
      <c r="Z292" s="335"/>
      <c r="AA292" s="313"/>
      <c r="AB292" s="324"/>
      <c r="AC292" s="155"/>
      <c r="AD292" s="155"/>
      <c r="AE292" s="322"/>
      <c r="AF292" s="155"/>
      <c r="AG292" s="132"/>
    </row>
    <row r="293">
      <c r="A293" s="311"/>
      <c r="B293" s="313"/>
      <c r="C293" s="313"/>
      <c r="D293" s="313"/>
      <c r="E293" s="314"/>
      <c r="F293" s="314"/>
      <c r="G293" s="314"/>
      <c r="H293" s="314"/>
      <c r="I293" s="314"/>
      <c r="J293" s="314"/>
      <c r="K293" s="314"/>
      <c r="L293" s="314"/>
      <c r="M293" s="314"/>
      <c r="N293" s="314"/>
      <c r="O293" s="314"/>
      <c r="P293" s="314"/>
      <c r="Q293" s="314"/>
      <c r="R293" s="314"/>
      <c r="S293" s="314"/>
      <c r="T293" s="314"/>
      <c r="U293" s="314"/>
      <c r="V293" s="314"/>
      <c r="W293" s="313"/>
      <c r="X293" s="313"/>
      <c r="Y293" s="314"/>
      <c r="Z293" s="335"/>
      <c r="AA293" s="313"/>
      <c r="AB293" s="324"/>
      <c r="AC293" s="155"/>
      <c r="AD293" s="155"/>
      <c r="AE293" s="322"/>
      <c r="AF293" s="155"/>
      <c r="AG293" s="132"/>
    </row>
    <row r="294">
      <c r="A294" s="311"/>
      <c r="B294" s="313"/>
      <c r="C294" s="313"/>
      <c r="D294" s="313"/>
      <c r="E294" s="314"/>
      <c r="F294" s="314"/>
      <c r="G294" s="314"/>
      <c r="H294" s="314"/>
      <c r="I294" s="314"/>
      <c r="J294" s="314"/>
      <c r="K294" s="314"/>
      <c r="L294" s="314"/>
      <c r="M294" s="314"/>
      <c r="N294" s="314"/>
      <c r="O294" s="314"/>
      <c r="P294" s="314"/>
      <c r="Q294" s="314"/>
      <c r="R294" s="314"/>
      <c r="S294" s="314"/>
      <c r="T294" s="314"/>
      <c r="U294" s="314"/>
      <c r="V294" s="314"/>
      <c r="W294" s="313"/>
      <c r="X294" s="313"/>
      <c r="Y294" s="314"/>
      <c r="Z294" s="335"/>
      <c r="AA294" s="313"/>
      <c r="AB294" s="324"/>
      <c r="AC294" s="155"/>
      <c r="AD294" s="155"/>
      <c r="AE294" s="322"/>
      <c r="AF294" s="155"/>
      <c r="AG294" s="132"/>
    </row>
    <row r="295">
      <c r="A295" s="311"/>
      <c r="B295" s="313"/>
      <c r="C295" s="313"/>
      <c r="D295" s="313"/>
      <c r="E295" s="314"/>
      <c r="F295" s="314"/>
      <c r="G295" s="314"/>
      <c r="H295" s="314"/>
      <c r="I295" s="314"/>
      <c r="J295" s="314"/>
      <c r="K295" s="314"/>
      <c r="L295" s="314"/>
      <c r="M295" s="314"/>
      <c r="N295" s="314"/>
      <c r="O295" s="314"/>
      <c r="P295" s="314"/>
      <c r="Q295" s="314"/>
      <c r="R295" s="314"/>
      <c r="S295" s="314"/>
      <c r="T295" s="314"/>
      <c r="U295" s="314"/>
      <c r="V295" s="314"/>
      <c r="W295" s="313"/>
      <c r="X295" s="313"/>
      <c r="Y295" s="314"/>
      <c r="Z295" s="335"/>
      <c r="AA295" s="313"/>
      <c r="AB295" s="324"/>
      <c r="AC295" s="155"/>
      <c r="AD295" s="155"/>
      <c r="AE295" s="322"/>
      <c r="AF295" s="155"/>
      <c r="AG295" s="132"/>
    </row>
    <row r="296">
      <c r="A296" s="311"/>
      <c r="B296" s="313"/>
      <c r="C296" s="313"/>
      <c r="D296" s="313"/>
      <c r="E296" s="314"/>
      <c r="F296" s="314"/>
      <c r="G296" s="314"/>
      <c r="H296" s="314"/>
      <c r="I296" s="314"/>
      <c r="J296" s="314"/>
      <c r="K296" s="314"/>
      <c r="L296" s="314"/>
      <c r="M296" s="314"/>
      <c r="N296" s="314"/>
      <c r="O296" s="314"/>
      <c r="P296" s="314"/>
      <c r="Q296" s="314"/>
      <c r="R296" s="314"/>
      <c r="S296" s="314"/>
      <c r="T296" s="314"/>
      <c r="U296" s="314"/>
      <c r="V296" s="314"/>
      <c r="W296" s="313"/>
      <c r="X296" s="313"/>
      <c r="Y296" s="314"/>
      <c r="Z296" s="335"/>
      <c r="AA296" s="313"/>
      <c r="AB296" s="324"/>
      <c r="AC296" s="155"/>
      <c r="AD296" s="155"/>
      <c r="AE296" s="322"/>
      <c r="AF296" s="155"/>
      <c r="AG296" s="132"/>
    </row>
    <row r="297">
      <c r="A297" s="311"/>
      <c r="B297" s="313"/>
      <c r="C297" s="313"/>
      <c r="D297" s="313"/>
      <c r="E297" s="314"/>
      <c r="F297" s="314"/>
      <c r="G297" s="314"/>
      <c r="H297" s="314"/>
      <c r="I297" s="314"/>
      <c r="J297" s="314"/>
      <c r="K297" s="314"/>
      <c r="L297" s="314"/>
      <c r="M297" s="314"/>
      <c r="N297" s="314"/>
      <c r="O297" s="314"/>
      <c r="P297" s="314"/>
      <c r="Q297" s="314"/>
      <c r="R297" s="314"/>
      <c r="S297" s="314"/>
      <c r="T297" s="314"/>
      <c r="U297" s="314"/>
      <c r="V297" s="314"/>
      <c r="W297" s="313"/>
      <c r="X297" s="313"/>
      <c r="Y297" s="314"/>
      <c r="Z297" s="335"/>
      <c r="AA297" s="313"/>
      <c r="AB297" s="324"/>
      <c r="AC297" s="155"/>
      <c r="AD297" s="155"/>
      <c r="AE297" s="322"/>
      <c r="AF297" s="155"/>
      <c r="AG297" s="132"/>
    </row>
    <row r="298">
      <c r="A298" s="311"/>
      <c r="B298" s="313"/>
      <c r="C298" s="313"/>
      <c r="D298" s="313"/>
      <c r="E298" s="314"/>
      <c r="F298" s="314"/>
      <c r="G298" s="314"/>
      <c r="H298" s="314"/>
      <c r="I298" s="314"/>
      <c r="J298" s="314"/>
      <c r="K298" s="314"/>
      <c r="L298" s="314"/>
      <c r="M298" s="314"/>
      <c r="N298" s="314"/>
      <c r="O298" s="314"/>
      <c r="P298" s="314"/>
      <c r="Q298" s="314"/>
      <c r="R298" s="314"/>
      <c r="S298" s="314"/>
      <c r="T298" s="314"/>
      <c r="U298" s="314"/>
      <c r="V298" s="314"/>
      <c r="W298" s="313"/>
      <c r="X298" s="313"/>
      <c r="Y298" s="314"/>
      <c r="Z298" s="335"/>
      <c r="AA298" s="313"/>
      <c r="AB298" s="324"/>
      <c r="AC298" s="155"/>
      <c r="AD298" s="155"/>
      <c r="AE298" s="322"/>
      <c r="AF298" s="155"/>
      <c r="AG298" s="132"/>
    </row>
    <row r="299">
      <c r="A299" s="311"/>
      <c r="B299" s="313"/>
      <c r="C299" s="313"/>
      <c r="D299" s="313"/>
      <c r="E299" s="314"/>
      <c r="F299" s="314"/>
      <c r="G299" s="314"/>
      <c r="H299" s="314"/>
      <c r="I299" s="314"/>
      <c r="J299" s="314"/>
      <c r="K299" s="314"/>
      <c r="L299" s="314"/>
      <c r="M299" s="314"/>
      <c r="N299" s="314"/>
      <c r="O299" s="314"/>
      <c r="P299" s="314"/>
      <c r="Q299" s="314"/>
      <c r="R299" s="314"/>
      <c r="S299" s="314"/>
      <c r="T299" s="314"/>
      <c r="U299" s="314"/>
      <c r="V299" s="314"/>
      <c r="W299" s="313"/>
      <c r="X299" s="313"/>
      <c r="Y299" s="314"/>
      <c r="Z299" s="335"/>
      <c r="AA299" s="313"/>
      <c r="AB299" s="324"/>
      <c r="AC299" s="155"/>
      <c r="AD299" s="155"/>
      <c r="AE299" s="322"/>
      <c r="AF299" s="155"/>
      <c r="AG299" s="132"/>
    </row>
    <row r="300">
      <c r="A300" s="311"/>
      <c r="B300" s="313"/>
      <c r="C300" s="313"/>
      <c r="D300" s="313"/>
      <c r="E300" s="314"/>
      <c r="F300" s="314"/>
      <c r="G300" s="314"/>
      <c r="H300" s="314"/>
      <c r="I300" s="314"/>
      <c r="J300" s="314"/>
      <c r="K300" s="314"/>
      <c r="L300" s="314"/>
      <c r="M300" s="314"/>
      <c r="N300" s="314"/>
      <c r="O300" s="314"/>
      <c r="P300" s="314"/>
      <c r="Q300" s="314"/>
      <c r="R300" s="314"/>
      <c r="S300" s="314"/>
      <c r="T300" s="314"/>
      <c r="U300" s="314"/>
      <c r="V300" s="314"/>
      <c r="W300" s="313"/>
      <c r="X300" s="313"/>
      <c r="Y300" s="314"/>
      <c r="Z300" s="335"/>
      <c r="AA300" s="313"/>
      <c r="AB300" s="324"/>
      <c r="AC300" s="155"/>
      <c r="AD300" s="155"/>
      <c r="AE300" s="322"/>
      <c r="AF300" s="155"/>
      <c r="AG300" s="132"/>
    </row>
    <row r="301">
      <c r="A301" s="311"/>
      <c r="B301" s="313"/>
      <c r="C301" s="313"/>
      <c r="D301" s="313"/>
      <c r="E301" s="314"/>
      <c r="F301" s="314"/>
      <c r="G301" s="314"/>
      <c r="H301" s="314"/>
      <c r="I301" s="314"/>
      <c r="J301" s="314"/>
      <c r="K301" s="314"/>
      <c r="L301" s="314"/>
      <c r="M301" s="314"/>
      <c r="N301" s="314"/>
      <c r="O301" s="314"/>
      <c r="P301" s="314"/>
      <c r="Q301" s="314"/>
      <c r="R301" s="314"/>
      <c r="S301" s="314"/>
      <c r="T301" s="314"/>
      <c r="U301" s="314"/>
      <c r="V301" s="314"/>
      <c r="W301" s="313"/>
      <c r="X301" s="313"/>
      <c r="Y301" s="314"/>
      <c r="Z301" s="335"/>
      <c r="AA301" s="313"/>
      <c r="AB301" s="324"/>
      <c r="AC301" s="155"/>
      <c r="AD301" s="155"/>
      <c r="AE301" s="322"/>
      <c r="AF301" s="155"/>
      <c r="AG301" s="132"/>
    </row>
    <row r="302">
      <c r="A302" s="311"/>
      <c r="B302" s="313"/>
      <c r="C302" s="313"/>
      <c r="D302" s="313"/>
      <c r="E302" s="314"/>
      <c r="F302" s="314"/>
      <c r="G302" s="314"/>
      <c r="H302" s="314"/>
      <c r="I302" s="314"/>
      <c r="J302" s="314"/>
      <c r="K302" s="314"/>
      <c r="L302" s="314"/>
      <c r="M302" s="314"/>
      <c r="N302" s="314"/>
      <c r="O302" s="314"/>
      <c r="P302" s="314"/>
      <c r="Q302" s="314"/>
      <c r="R302" s="314"/>
      <c r="S302" s="314"/>
      <c r="T302" s="314"/>
      <c r="U302" s="314"/>
      <c r="V302" s="314"/>
      <c r="W302" s="313"/>
      <c r="X302" s="313"/>
      <c r="Y302" s="314"/>
      <c r="Z302" s="335"/>
      <c r="AA302" s="313"/>
      <c r="AB302" s="324"/>
      <c r="AC302" s="155"/>
      <c r="AD302" s="155"/>
      <c r="AE302" s="322"/>
      <c r="AF302" s="155"/>
      <c r="AG302" s="132"/>
    </row>
    <row r="303">
      <c r="A303" s="311"/>
      <c r="B303" s="313"/>
      <c r="C303" s="313"/>
      <c r="D303" s="313"/>
      <c r="E303" s="314"/>
      <c r="F303" s="314"/>
      <c r="G303" s="314"/>
      <c r="H303" s="314"/>
      <c r="I303" s="314"/>
      <c r="J303" s="314"/>
      <c r="K303" s="314"/>
      <c r="L303" s="314"/>
      <c r="M303" s="314"/>
      <c r="N303" s="314"/>
      <c r="O303" s="314"/>
      <c r="P303" s="314"/>
      <c r="Q303" s="314"/>
      <c r="R303" s="314"/>
      <c r="S303" s="314"/>
      <c r="T303" s="314"/>
      <c r="U303" s="314"/>
      <c r="V303" s="314"/>
      <c r="W303" s="313"/>
      <c r="X303" s="313"/>
      <c r="Y303" s="314"/>
      <c r="Z303" s="335"/>
      <c r="AA303" s="313"/>
      <c r="AB303" s="324"/>
      <c r="AC303" s="155"/>
      <c r="AD303" s="155"/>
      <c r="AE303" s="322"/>
      <c r="AF303" s="155"/>
      <c r="AG303" s="132"/>
    </row>
    <row r="304">
      <c r="A304" s="311"/>
      <c r="B304" s="313"/>
      <c r="C304" s="313"/>
      <c r="D304" s="313"/>
      <c r="E304" s="314"/>
      <c r="F304" s="314"/>
      <c r="G304" s="314"/>
      <c r="H304" s="314"/>
      <c r="I304" s="314"/>
      <c r="J304" s="314"/>
      <c r="K304" s="314"/>
      <c r="L304" s="314"/>
      <c r="M304" s="314"/>
      <c r="N304" s="314"/>
      <c r="O304" s="314"/>
      <c r="P304" s="314"/>
      <c r="Q304" s="314"/>
      <c r="R304" s="314"/>
      <c r="S304" s="314"/>
      <c r="T304" s="314"/>
      <c r="U304" s="314"/>
      <c r="V304" s="314"/>
      <c r="W304" s="313"/>
      <c r="X304" s="313"/>
      <c r="Y304" s="314"/>
      <c r="Z304" s="335"/>
      <c r="AA304" s="313"/>
      <c r="AB304" s="324"/>
      <c r="AC304" s="155"/>
      <c r="AD304" s="155"/>
      <c r="AE304" s="322"/>
      <c r="AF304" s="155"/>
      <c r="AG304" s="132"/>
    </row>
    <row r="305">
      <c r="A305" s="311"/>
      <c r="B305" s="313"/>
      <c r="C305" s="313"/>
      <c r="D305" s="313"/>
      <c r="E305" s="314"/>
      <c r="F305" s="314"/>
      <c r="G305" s="314"/>
      <c r="H305" s="314"/>
      <c r="I305" s="314"/>
      <c r="J305" s="314"/>
      <c r="K305" s="314"/>
      <c r="L305" s="314"/>
      <c r="M305" s="314"/>
      <c r="N305" s="314"/>
      <c r="O305" s="314"/>
      <c r="P305" s="314"/>
      <c r="Q305" s="314"/>
      <c r="R305" s="314"/>
      <c r="S305" s="314"/>
      <c r="T305" s="314"/>
      <c r="U305" s="314"/>
      <c r="V305" s="314"/>
      <c r="W305" s="313"/>
      <c r="X305" s="313"/>
      <c r="Y305" s="314"/>
      <c r="Z305" s="335"/>
      <c r="AA305" s="313"/>
      <c r="AB305" s="324"/>
      <c r="AC305" s="155"/>
      <c r="AD305" s="155"/>
      <c r="AE305" s="322"/>
      <c r="AF305" s="155"/>
      <c r="AG305" s="132"/>
    </row>
    <row r="306">
      <c r="A306" s="311"/>
      <c r="B306" s="313"/>
      <c r="C306" s="313"/>
      <c r="D306" s="313"/>
      <c r="E306" s="314"/>
      <c r="F306" s="314"/>
      <c r="G306" s="314"/>
      <c r="H306" s="314"/>
      <c r="I306" s="314"/>
      <c r="J306" s="314"/>
      <c r="K306" s="314"/>
      <c r="L306" s="314"/>
      <c r="M306" s="314"/>
      <c r="N306" s="314"/>
      <c r="O306" s="314"/>
      <c r="P306" s="314"/>
      <c r="Q306" s="314"/>
      <c r="R306" s="314"/>
      <c r="S306" s="314"/>
      <c r="T306" s="314"/>
      <c r="U306" s="314"/>
      <c r="V306" s="314"/>
      <c r="W306" s="313"/>
      <c r="X306" s="313"/>
      <c r="Y306" s="314"/>
      <c r="Z306" s="335"/>
      <c r="AA306" s="313"/>
      <c r="AB306" s="324"/>
      <c r="AC306" s="155"/>
      <c r="AD306" s="155"/>
      <c r="AE306" s="322"/>
      <c r="AF306" s="155"/>
      <c r="AG306" s="132"/>
    </row>
    <row r="307">
      <c r="A307" s="311"/>
      <c r="B307" s="313"/>
      <c r="C307" s="313"/>
      <c r="D307" s="313"/>
      <c r="E307" s="314"/>
      <c r="F307" s="314"/>
      <c r="G307" s="314"/>
      <c r="H307" s="314"/>
      <c r="I307" s="314"/>
      <c r="J307" s="314"/>
      <c r="K307" s="314"/>
      <c r="L307" s="314"/>
      <c r="M307" s="314"/>
      <c r="N307" s="314"/>
      <c r="O307" s="314"/>
      <c r="P307" s="314"/>
      <c r="Q307" s="314"/>
      <c r="R307" s="314"/>
      <c r="S307" s="314"/>
      <c r="T307" s="314"/>
      <c r="U307" s="314"/>
      <c r="V307" s="314"/>
      <c r="W307" s="313"/>
      <c r="X307" s="313"/>
      <c r="Y307" s="314"/>
      <c r="Z307" s="335"/>
      <c r="AA307" s="313"/>
      <c r="AB307" s="324"/>
      <c r="AC307" s="155"/>
      <c r="AD307" s="155"/>
      <c r="AE307" s="322"/>
      <c r="AF307" s="155"/>
      <c r="AG307" s="132"/>
    </row>
    <row r="308">
      <c r="A308" s="311"/>
      <c r="B308" s="313"/>
      <c r="C308" s="313"/>
      <c r="D308" s="313"/>
      <c r="E308" s="314"/>
      <c r="F308" s="314"/>
      <c r="G308" s="314"/>
      <c r="H308" s="314"/>
      <c r="I308" s="314"/>
      <c r="J308" s="314"/>
      <c r="K308" s="314"/>
      <c r="L308" s="314"/>
      <c r="M308" s="314"/>
      <c r="N308" s="314"/>
      <c r="O308" s="314"/>
      <c r="P308" s="314"/>
      <c r="Q308" s="314"/>
      <c r="R308" s="314"/>
      <c r="S308" s="314"/>
      <c r="T308" s="314"/>
      <c r="U308" s="314"/>
      <c r="V308" s="314"/>
      <c r="W308" s="313"/>
      <c r="X308" s="313"/>
      <c r="Y308" s="314"/>
      <c r="Z308" s="335"/>
      <c r="AA308" s="313"/>
      <c r="AB308" s="324"/>
      <c r="AC308" s="155"/>
      <c r="AD308" s="155"/>
      <c r="AE308" s="322"/>
      <c r="AF308" s="155"/>
      <c r="AG308" s="132"/>
    </row>
    <row r="309">
      <c r="A309" s="311"/>
      <c r="B309" s="313"/>
      <c r="C309" s="313"/>
      <c r="D309" s="313"/>
      <c r="E309" s="314"/>
      <c r="F309" s="314"/>
      <c r="G309" s="314"/>
      <c r="H309" s="314"/>
      <c r="I309" s="314"/>
      <c r="J309" s="314"/>
      <c r="K309" s="314"/>
      <c r="L309" s="314"/>
      <c r="M309" s="314"/>
      <c r="N309" s="314"/>
      <c r="O309" s="314"/>
      <c r="P309" s="314"/>
      <c r="Q309" s="314"/>
      <c r="R309" s="314"/>
      <c r="S309" s="314"/>
      <c r="T309" s="314"/>
      <c r="U309" s="314"/>
      <c r="V309" s="314"/>
      <c r="W309" s="313"/>
      <c r="X309" s="313"/>
      <c r="Y309" s="314"/>
      <c r="Z309" s="335"/>
      <c r="AA309" s="313"/>
      <c r="AB309" s="324"/>
      <c r="AC309" s="155"/>
      <c r="AD309" s="155"/>
      <c r="AE309" s="322"/>
      <c r="AF309" s="155"/>
      <c r="AG309" s="132"/>
    </row>
    <row r="310">
      <c r="A310" s="311"/>
      <c r="B310" s="313"/>
      <c r="C310" s="313"/>
      <c r="D310" s="313"/>
      <c r="E310" s="314"/>
      <c r="F310" s="314"/>
      <c r="G310" s="314"/>
      <c r="H310" s="314"/>
      <c r="I310" s="314"/>
      <c r="J310" s="314"/>
      <c r="K310" s="314"/>
      <c r="L310" s="314"/>
      <c r="M310" s="314"/>
      <c r="N310" s="314"/>
      <c r="O310" s="314"/>
      <c r="P310" s="314"/>
      <c r="Q310" s="314"/>
      <c r="R310" s="314"/>
      <c r="S310" s="314"/>
      <c r="T310" s="314"/>
      <c r="U310" s="314"/>
      <c r="V310" s="314"/>
      <c r="W310" s="313"/>
      <c r="X310" s="313"/>
      <c r="Y310" s="314"/>
      <c r="Z310" s="335"/>
      <c r="AA310" s="313"/>
      <c r="AB310" s="324"/>
      <c r="AC310" s="155"/>
      <c r="AD310" s="155"/>
      <c r="AE310" s="322"/>
      <c r="AF310" s="155"/>
      <c r="AG310" s="132"/>
    </row>
    <row r="311">
      <c r="A311" s="311"/>
      <c r="B311" s="313"/>
      <c r="C311" s="313"/>
      <c r="D311" s="313"/>
      <c r="E311" s="314"/>
      <c r="F311" s="314"/>
      <c r="G311" s="314"/>
      <c r="H311" s="314"/>
      <c r="I311" s="314"/>
      <c r="J311" s="314"/>
      <c r="K311" s="314"/>
      <c r="L311" s="314"/>
      <c r="M311" s="314"/>
      <c r="N311" s="314"/>
      <c r="O311" s="314"/>
      <c r="P311" s="314"/>
      <c r="Q311" s="314"/>
      <c r="R311" s="314"/>
      <c r="S311" s="314"/>
      <c r="T311" s="314"/>
      <c r="U311" s="314"/>
      <c r="V311" s="314"/>
      <c r="W311" s="313"/>
      <c r="X311" s="313"/>
      <c r="Y311" s="314"/>
      <c r="Z311" s="335"/>
      <c r="AA311" s="313"/>
      <c r="AB311" s="324"/>
      <c r="AC311" s="155"/>
      <c r="AD311" s="155"/>
      <c r="AE311" s="322"/>
      <c r="AF311" s="155"/>
      <c r="AG311" s="132"/>
    </row>
    <row r="312">
      <c r="A312" s="311"/>
      <c r="B312" s="313"/>
      <c r="C312" s="313"/>
      <c r="D312" s="313"/>
      <c r="E312" s="314"/>
      <c r="F312" s="314"/>
      <c r="G312" s="314"/>
      <c r="H312" s="314"/>
      <c r="I312" s="314"/>
      <c r="J312" s="314"/>
      <c r="K312" s="314"/>
      <c r="L312" s="314"/>
      <c r="M312" s="314"/>
      <c r="N312" s="314"/>
      <c r="O312" s="314"/>
      <c r="P312" s="314"/>
      <c r="Q312" s="314"/>
      <c r="R312" s="314"/>
      <c r="S312" s="314"/>
      <c r="T312" s="314"/>
      <c r="U312" s="314"/>
      <c r="V312" s="314"/>
      <c r="W312" s="313"/>
      <c r="X312" s="313"/>
      <c r="Y312" s="314"/>
      <c r="Z312" s="335"/>
      <c r="AA312" s="313"/>
      <c r="AB312" s="324"/>
      <c r="AC312" s="155"/>
      <c r="AD312" s="155"/>
      <c r="AE312" s="322"/>
      <c r="AF312" s="155"/>
      <c r="AG312" s="132"/>
    </row>
    <row r="313">
      <c r="A313" s="311"/>
      <c r="B313" s="313"/>
      <c r="C313" s="313"/>
      <c r="D313" s="313"/>
      <c r="E313" s="314"/>
      <c r="F313" s="314"/>
      <c r="G313" s="314"/>
      <c r="H313" s="314"/>
      <c r="I313" s="314"/>
      <c r="J313" s="314"/>
      <c r="K313" s="314"/>
      <c r="L313" s="314"/>
      <c r="M313" s="314"/>
      <c r="N313" s="314"/>
      <c r="O313" s="314"/>
      <c r="P313" s="314"/>
      <c r="Q313" s="314"/>
      <c r="R313" s="314"/>
      <c r="S313" s="314"/>
      <c r="T313" s="314"/>
      <c r="U313" s="314"/>
      <c r="V313" s="314"/>
      <c r="W313" s="313"/>
      <c r="X313" s="313"/>
      <c r="Y313" s="314"/>
      <c r="Z313" s="335"/>
      <c r="AA313" s="313"/>
      <c r="AB313" s="324"/>
      <c r="AC313" s="155"/>
      <c r="AD313" s="155"/>
      <c r="AE313" s="322"/>
      <c r="AF313" s="155"/>
      <c r="AG313" s="132"/>
    </row>
    <row r="314">
      <c r="A314" s="311"/>
      <c r="B314" s="313"/>
      <c r="C314" s="313"/>
      <c r="D314" s="313"/>
      <c r="E314" s="314"/>
      <c r="F314" s="314"/>
      <c r="G314" s="314"/>
      <c r="H314" s="314"/>
      <c r="I314" s="314"/>
      <c r="J314" s="314"/>
      <c r="K314" s="314"/>
      <c r="L314" s="314"/>
      <c r="M314" s="314"/>
      <c r="N314" s="314"/>
      <c r="O314" s="314"/>
      <c r="P314" s="314"/>
      <c r="Q314" s="314"/>
      <c r="R314" s="314"/>
      <c r="S314" s="314"/>
      <c r="T314" s="314"/>
      <c r="U314" s="314"/>
      <c r="V314" s="314"/>
      <c r="W314" s="313"/>
      <c r="X314" s="313"/>
      <c r="Y314" s="314"/>
      <c r="Z314" s="335"/>
      <c r="AA314" s="313"/>
      <c r="AB314" s="324"/>
      <c r="AC314" s="155"/>
      <c r="AD314" s="155"/>
      <c r="AE314" s="322"/>
      <c r="AF314" s="155"/>
      <c r="AG314" s="132"/>
    </row>
    <row r="315">
      <c r="A315" s="311"/>
      <c r="B315" s="313"/>
      <c r="C315" s="313"/>
      <c r="D315" s="313"/>
      <c r="E315" s="314"/>
      <c r="F315" s="314"/>
      <c r="G315" s="314"/>
      <c r="H315" s="314"/>
      <c r="I315" s="314"/>
      <c r="J315" s="314"/>
      <c r="K315" s="314"/>
      <c r="L315" s="314"/>
      <c r="M315" s="314"/>
      <c r="N315" s="314"/>
      <c r="O315" s="314"/>
      <c r="P315" s="314"/>
      <c r="Q315" s="314"/>
      <c r="R315" s="314"/>
      <c r="S315" s="314"/>
      <c r="T315" s="314"/>
      <c r="U315" s="314"/>
      <c r="V315" s="314"/>
      <c r="W315" s="313"/>
      <c r="X315" s="313"/>
      <c r="Y315" s="314"/>
      <c r="Z315" s="335"/>
      <c r="AA315" s="313"/>
      <c r="AB315" s="324"/>
      <c r="AC315" s="155"/>
      <c r="AD315" s="155"/>
      <c r="AE315" s="322"/>
      <c r="AF315" s="155"/>
      <c r="AG315" s="132"/>
    </row>
    <row r="316">
      <c r="A316" s="311"/>
      <c r="B316" s="313"/>
      <c r="C316" s="313"/>
      <c r="D316" s="313"/>
      <c r="E316" s="314"/>
      <c r="F316" s="314"/>
      <c r="G316" s="314"/>
      <c r="H316" s="314"/>
      <c r="I316" s="314"/>
      <c r="J316" s="314"/>
      <c r="K316" s="314"/>
      <c r="L316" s="314"/>
      <c r="M316" s="314"/>
      <c r="N316" s="314"/>
      <c r="O316" s="314"/>
      <c r="P316" s="314"/>
      <c r="Q316" s="314"/>
      <c r="R316" s="314"/>
      <c r="S316" s="314"/>
      <c r="T316" s="314"/>
      <c r="U316" s="314"/>
      <c r="V316" s="314"/>
      <c r="W316" s="313"/>
      <c r="X316" s="313"/>
      <c r="Y316" s="314"/>
      <c r="Z316" s="335"/>
      <c r="AA316" s="313"/>
      <c r="AB316" s="324"/>
      <c r="AC316" s="155"/>
      <c r="AD316" s="155"/>
      <c r="AE316" s="322"/>
      <c r="AF316" s="155"/>
      <c r="AG316" s="132"/>
    </row>
    <row r="317">
      <c r="A317" s="311"/>
      <c r="B317" s="313"/>
      <c r="C317" s="313"/>
      <c r="D317" s="313"/>
      <c r="E317" s="314"/>
      <c r="F317" s="314"/>
      <c r="G317" s="314"/>
      <c r="H317" s="314"/>
      <c r="I317" s="314"/>
      <c r="J317" s="314"/>
      <c r="K317" s="314"/>
      <c r="L317" s="314"/>
      <c r="M317" s="314"/>
      <c r="N317" s="314"/>
      <c r="O317" s="314"/>
      <c r="P317" s="314"/>
      <c r="Q317" s="314"/>
      <c r="R317" s="314"/>
      <c r="S317" s="314"/>
      <c r="T317" s="314"/>
      <c r="U317" s="314"/>
      <c r="V317" s="314"/>
      <c r="W317" s="313"/>
      <c r="X317" s="313"/>
      <c r="Y317" s="314"/>
      <c r="Z317" s="335"/>
      <c r="AA317" s="313"/>
      <c r="AB317" s="324"/>
      <c r="AC317" s="155"/>
      <c r="AD317" s="155"/>
      <c r="AE317" s="322"/>
      <c r="AF317" s="155"/>
      <c r="AG317" s="132"/>
    </row>
    <row r="318">
      <c r="A318" s="311"/>
      <c r="B318" s="313"/>
      <c r="C318" s="313"/>
      <c r="D318" s="313"/>
      <c r="E318" s="314"/>
      <c r="F318" s="314"/>
      <c r="G318" s="314"/>
      <c r="H318" s="314"/>
      <c r="I318" s="314"/>
      <c r="J318" s="314"/>
      <c r="K318" s="314"/>
      <c r="L318" s="314"/>
      <c r="M318" s="314"/>
      <c r="N318" s="314"/>
      <c r="O318" s="314"/>
      <c r="P318" s="314"/>
      <c r="Q318" s="314"/>
      <c r="R318" s="314"/>
      <c r="S318" s="314"/>
      <c r="T318" s="314"/>
      <c r="U318" s="314"/>
      <c r="V318" s="314"/>
      <c r="W318" s="313"/>
      <c r="X318" s="313"/>
      <c r="Y318" s="314"/>
      <c r="Z318" s="335"/>
      <c r="AA318" s="313"/>
      <c r="AB318" s="324"/>
      <c r="AC318" s="155"/>
      <c r="AD318" s="155"/>
      <c r="AE318" s="322"/>
      <c r="AF318" s="155"/>
      <c r="AG318" s="132"/>
    </row>
    <row r="319">
      <c r="A319" s="311"/>
      <c r="B319" s="313"/>
      <c r="C319" s="313"/>
      <c r="D319" s="313"/>
      <c r="E319" s="314"/>
      <c r="F319" s="314"/>
      <c r="G319" s="314"/>
      <c r="H319" s="314"/>
      <c r="I319" s="314"/>
      <c r="J319" s="314"/>
      <c r="K319" s="314"/>
      <c r="L319" s="314"/>
      <c r="M319" s="314"/>
      <c r="N319" s="314"/>
      <c r="O319" s="314"/>
      <c r="P319" s="314"/>
      <c r="Q319" s="314"/>
      <c r="R319" s="314"/>
      <c r="S319" s="314"/>
      <c r="T319" s="314"/>
      <c r="U319" s="314"/>
      <c r="V319" s="314"/>
      <c r="W319" s="313"/>
      <c r="X319" s="313"/>
      <c r="Y319" s="314"/>
      <c r="Z319" s="335"/>
      <c r="AA319" s="313"/>
      <c r="AB319" s="324"/>
      <c r="AC319" s="155"/>
      <c r="AD319" s="155"/>
      <c r="AE319" s="322"/>
      <c r="AF319" s="155"/>
      <c r="AG319" s="132"/>
    </row>
    <row r="320">
      <c r="A320" s="311"/>
      <c r="B320" s="313"/>
      <c r="C320" s="313"/>
      <c r="D320" s="313"/>
      <c r="E320" s="314"/>
      <c r="F320" s="314"/>
      <c r="G320" s="314"/>
      <c r="H320" s="314"/>
      <c r="I320" s="314"/>
      <c r="J320" s="314"/>
      <c r="K320" s="314"/>
      <c r="L320" s="314"/>
      <c r="M320" s="314"/>
      <c r="N320" s="314"/>
      <c r="O320" s="314"/>
      <c r="P320" s="314"/>
      <c r="Q320" s="314"/>
      <c r="R320" s="314"/>
      <c r="S320" s="314"/>
      <c r="T320" s="314"/>
      <c r="U320" s="314"/>
      <c r="V320" s="314"/>
      <c r="W320" s="313"/>
      <c r="X320" s="313"/>
      <c r="Y320" s="314"/>
      <c r="Z320" s="335"/>
      <c r="AA320" s="313"/>
      <c r="AB320" s="324"/>
      <c r="AC320" s="155"/>
      <c r="AD320" s="155"/>
      <c r="AE320" s="322"/>
      <c r="AF320" s="155"/>
      <c r="AG320" s="132"/>
    </row>
    <row r="321">
      <c r="A321" s="311"/>
      <c r="B321" s="313"/>
      <c r="C321" s="313"/>
      <c r="D321" s="313"/>
      <c r="E321" s="314"/>
      <c r="F321" s="314"/>
      <c r="G321" s="314"/>
      <c r="H321" s="314"/>
      <c r="I321" s="314"/>
      <c r="J321" s="314"/>
      <c r="K321" s="314"/>
      <c r="L321" s="314"/>
      <c r="M321" s="314"/>
      <c r="N321" s="314"/>
      <c r="O321" s="314"/>
      <c r="P321" s="314"/>
      <c r="Q321" s="314"/>
      <c r="R321" s="314"/>
      <c r="S321" s="314"/>
      <c r="T321" s="314"/>
      <c r="U321" s="314"/>
      <c r="V321" s="314"/>
      <c r="W321" s="313"/>
      <c r="X321" s="313"/>
      <c r="Y321" s="314"/>
      <c r="Z321" s="335"/>
      <c r="AA321" s="313"/>
      <c r="AB321" s="324"/>
      <c r="AC321" s="155"/>
      <c r="AD321" s="155"/>
      <c r="AE321" s="322"/>
      <c r="AF321" s="155"/>
      <c r="AG321" s="132"/>
    </row>
    <row r="322">
      <c r="A322" s="311"/>
      <c r="B322" s="313"/>
      <c r="C322" s="313"/>
      <c r="D322" s="313"/>
      <c r="E322" s="314"/>
      <c r="F322" s="314"/>
      <c r="G322" s="314"/>
      <c r="H322" s="314"/>
      <c r="I322" s="314"/>
      <c r="J322" s="314"/>
      <c r="K322" s="314"/>
      <c r="L322" s="314"/>
      <c r="M322" s="314"/>
      <c r="N322" s="314"/>
      <c r="O322" s="314"/>
      <c r="P322" s="314"/>
      <c r="Q322" s="314"/>
      <c r="R322" s="314"/>
      <c r="S322" s="314"/>
      <c r="T322" s="314"/>
      <c r="U322" s="314"/>
      <c r="V322" s="314"/>
      <c r="W322" s="313"/>
      <c r="X322" s="313"/>
      <c r="Y322" s="314"/>
      <c r="Z322" s="335"/>
      <c r="AA322" s="313"/>
      <c r="AB322" s="324"/>
      <c r="AC322" s="155"/>
      <c r="AD322" s="155"/>
      <c r="AE322" s="322"/>
      <c r="AF322" s="155"/>
      <c r="AG322" s="132"/>
    </row>
    <row r="323">
      <c r="A323" s="311"/>
      <c r="B323" s="313"/>
      <c r="C323" s="313"/>
      <c r="D323" s="313"/>
      <c r="E323" s="314"/>
      <c r="F323" s="314"/>
      <c r="G323" s="314"/>
      <c r="H323" s="314"/>
      <c r="I323" s="314"/>
      <c r="J323" s="314"/>
      <c r="K323" s="314"/>
      <c r="L323" s="314"/>
      <c r="M323" s="314"/>
      <c r="N323" s="314"/>
      <c r="O323" s="314"/>
      <c r="P323" s="314"/>
      <c r="Q323" s="314"/>
      <c r="R323" s="314"/>
      <c r="S323" s="314"/>
      <c r="T323" s="314"/>
      <c r="U323" s="314"/>
      <c r="V323" s="314"/>
      <c r="W323" s="313"/>
      <c r="X323" s="313"/>
      <c r="Y323" s="314"/>
      <c r="Z323" s="335"/>
      <c r="AA323" s="313"/>
      <c r="AB323" s="324"/>
      <c r="AC323" s="155"/>
      <c r="AD323" s="155"/>
      <c r="AE323" s="322"/>
      <c r="AF323" s="155"/>
      <c r="AG323" s="132"/>
    </row>
    <row r="324">
      <c r="A324" s="311"/>
      <c r="B324" s="313"/>
      <c r="C324" s="313"/>
      <c r="D324" s="313"/>
      <c r="E324" s="314"/>
      <c r="F324" s="314"/>
      <c r="G324" s="314"/>
      <c r="H324" s="314"/>
      <c r="I324" s="314"/>
      <c r="J324" s="314"/>
      <c r="K324" s="314"/>
      <c r="L324" s="314"/>
      <c r="M324" s="314"/>
      <c r="N324" s="314"/>
      <c r="O324" s="314"/>
      <c r="P324" s="314"/>
      <c r="Q324" s="314"/>
      <c r="R324" s="314"/>
      <c r="S324" s="314"/>
      <c r="T324" s="314"/>
      <c r="U324" s="314"/>
      <c r="V324" s="314"/>
      <c r="W324" s="313"/>
      <c r="X324" s="313"/>
      <c r="Y324" s="314"/>
      <c r="Z324" s="335"/>
      <c r="AA324" s="313"/>
      <c r="AB324" s="324"/>
      <c r="AC324" s="155"/>
      <c r="AD324" s="155"/>
      <c r="AE324" s="322"/>
      <c r="AF324" s="155"/>
      <c r="AG324" s="132"/>
    </row>
    <row r="325">
      <c r="A325" s="311"/>
      <c r="B325" s="313"/>
      <c r="C325" s="313"/>
      <c r="D325" s="313"/>
      <c r="E325" s="314"/>
      <c r="F325" s="314"/>
      <c r="G325" s="314"/>
      <c r="H325" s="314"/>
      <c r="I325" s="314"/>
      <c r="J325" s="314"/>
      <c r="K325" s="314"/>
      <c r="L325" s="314"/>
      <c r="M325" s="314"/>
      <c r="N325" s="314"/>
      <c r="O325" s="314"/>
      <c r="P325" s="314"/>
      <c r="Q325" s="314"/>
      <c r="R325" s="314"/>
      <c r="S325" s="314"/>
      <c r="T325" s="314"/>
      <c r="U325" s="314"/>
      <c r="V325" s="314"/>
      <c r="W325" s="313"/>
      <c r="X325" s="313"/>
      <c r="Y325" s="314"/>
      <c r="Z325" s="335"/>
      <c r="AA325" s="313"/>
      <c r="AB325" s="324"/>
      <c r="AC325" s="155"/>
      <c r="AD325" s="155"/>
      <c r="AE325" s="322"/>
      <c r="AF325" s="155"/>
      <c r="AG325" s="132"/>
    </row>
    <row r="326">
      <c r="A326" s="311"/>
      <c r="B326" s="313"/>
      <c r="C326" s="313"/>
      <c r="D326" s="313"/>
      <c r="E326" s="314"/>
      <c r="F326" s="314"/>
      <c r="G326" s="314"/>
      <c r="H326" s="314"/>
      <c r="I326" s="314"/>
      <c r="J326" s="314"/>
      <c r="K326" s="314"/>
      <c r="L326" s="314"/>
      <c r="M326" s="314"/>
      <c r="N326" s="314"/>
      <c r="O326" s="314"/>
      <c r="P326" s="314"/>
      <c r="Q326" s="314"/>
      <c r="R326" s="314"/>
      <c r="S326" s="314"/>
      <c r="T326" s="314"/>
      <c r="U326" s="314"/>
      <c r="V326" s="314"/>
      <c r="W326" s="313"/>
      <c r="X326" s="313"/>
      <c r="Y326" s="314"/>
      <c r="Z326" s="335"/>
      <c r="AA326" s="313"/>
      <c r="AB326" s="324"/>
      <c r="AC326" s="155"/>
      <c r="AD326" s="155"/>
      <c r="AE326" s="322"/>
      <c r="AF326" s="155"/>
      <c r="AG326" s="132"/>
    </row>
    <row r="327">
      <c r="A327" s="311"/>
      <c r="B327" s="313"/>
      <c r="C327" s="313"/>
      <c r="D327" s="313"/>
      <c r="E327" s="314"/>
      <c r="F327" s="314"/>
      <c r="G327" s="314"/>
      <c r="H327" s="314"/>
      <c r="I327" s="314"/>
      <c r="J327" s="314"/>
      <c r="K327" s="314"/>
      <c r="L327" s="314"/>
      <c r="M327" s="314"/>
      <c r="N327" s="314"/>
      <c r="O327" s="314"/>
      <c r="P327" s="314"/>
      <c r="Q327" s="314"/>
      <c r="R327" s="314"/>
      <c r="S327" s="314"/>
      <c r="T327" s="314"/>
      <c r="U327" s="314"/>
      <c r="V327" s="314"/>
      <c r="W327" s="313"/>
      <c r="X327" s="313"/>
      <c r="Y327" s="314"/>
      <c r="Z327" s="335"/>
      <c r="AA327" s="313"/>
      <c r="AB327" s="324"/>
      <c r="AC327" s="155"/>
      <c r="AD327" s="155"/>
      <c r="AE327" s="322"/>
      <c r="AF327" s="155"/>
      <c r="AG327" s="132"/>
    </row>
    <row r="328">
      <c r="A328" s="311"/>
      <c r="B328" s="313"/>
      <c r="C328" s="313"/>
      <c r="D328" s="313"/>
      <c r="E328" s="314"/>
      <c r="F328" s="314"/>
      <c r="G328" s="314"/>
      <c r="H328" s="314"/>
      <c r="I328" s="314"/>
      <c r="J328" s="314"/>
      <c r="K328" s="314"/>
      <c r="L328" s="314"/>
      <c r="M328" s="314"/>
      <c r="N328" s="314"/>
      <c r="O328" s="314"/>
      <c r="P328" s="314"/>
      <c r="Q328" s="314"/>
      <c r="R328" s="314"/>
      <c r="S328" s="314"/>
      <c r="T328" s="314"/>
      <c r="U328" s="314"/>
      <c r="V328" s="314"/>
      <c r="W328" s="313"/>
      <c r="X328" s="313"/>
      <c r="Y328" s="314"/>
      <c r="Z328" s="335"/>
      <c r="AA328" s="313"/>
      <c r="AB328" s="324"/>
      <c r="AC328" s="155"/>
      <c r="AD328" s="155"/>
      <c r="AE328" s="322"/>
      <c r="AF328" s="155"/>
      <c r="AG328" s="132"/>
    </row>
    <row r="329">
      <c r="A329" s="311"/>
      <c r="B329" s="313"/>
      <c r="C329" s="313"/>
      <c r="D329" s="313"/>
      <c r="E329" s="314"/>
      <c r="F329" s="314"/>
      <c r="G329" s="314"/>
      <c r="H329" s="314"/>
      <c r="I329" s="314"/>
      <c r="J329" s="314"/>
      <c r="K329" s="314"/>
      <c r="L329" s="314"/>
      <c r="M329" s="314"/>
      <c r="N329" s="314"/>
      <c r="O329" s="314"/>
      <c r="P329" s="314"/>
      <c r="Q329" s="314"/>
      <c r="R329" s="314"/>
      <c r="S329" s="314"/>
      <c r="T329" s="314"/>
      <c r="U329" s="314"/>
      <c r="V329" s="314"/>
      <c r="W329" s="313"/>
      <c r="X329" s="313"/>
      <c r="Y329" s="314"/>
      <c r="Z329" s="335"/>
      <c r="AA329" s="313"/>
      <c r="AB329" s="324"/>
      <c r="AC329" s="155"/>
      <c r="AD329" s="155"/>
      <c r="AE329" s="322"/>
      <c r="AF329" s="155"/>
      <c r="AG329" s="132"/>
    </row>
    <row r="330">
      <c r="A330" s="311"/>
      <c r="B330" s="313"/>
      <c r="C330" s="313"/>
      <c r="D330" s="313"/>
      <c r="E330" s="314"/>
      <c r="F330" s="314"/>
      <c r="G330" s="314"/>
      <c r="H330" s="314"/>
      <c r="I330" s="314"/>
      <c r="J330" s="314"/>
      <c r="K330" s="314"/>
      <c r="L330" s="314"/>
      <c r="M330" s="314"/>
      <c r="N330" s="314"/>
      <c r="O330" s="314"/>
      <c r="P330" s="314"/>
      <c r="Q330" s="314"/>
      <c r="R330" s="314"/>
      <c r="S330" s="314"/>
      <c r="T330" s="314"/>
      <c r="U330" s="314"/>
      <c r="V330" s="314"/>
      <c r="W330" s="313"/>
      <c r="X330" s="313"/>
      <c r="Y330" s="314"/>
      <c r="Z330" s="335"/>
      <c r="AA330" s="313"/>
      <c r="AB330" s="324"/>
      <c r="AC330" s="155"/>
      <c r="AD330" s="155"/>
      <c r="AE330" s="322"/>
      <c r="AF330" s="155"/>
      <c r="AG330" s="132"/>
    </row>
    <row r="331">
      <c r="A331" s="311"/>
      <c r="B331" s="313"/>
      <c r="C331" s="313"/>
      <c r="D331" s="313"/>
      <c r="E331" s="314"/>
      <c r="F331" s="314"/>
      <c r="G331" s="314"/>
      <c r="H331" s="314"/>
      <c r="I331" s="314"/>
      <c r="J331" s="314"/>
      <c r="K331" s="314"/>
      <c r="L331" s="314"/>
      <c r="M331" s="314"/>
      <c r="N331" s="314"/>
      <c r="O331" s="314"/>
      <c r="P331" s="314"/>
      <c r="Q331" s="314"/>
      <c r="R331" s="314"/>
      <c r="S331" s="314"/>
      <c r="T331" s="314"/>
      <c r="U331" s="314"/>
      <c r="V331" s="314"/>
      <c r="W331" s="313"/>
      <c r="X331" s="313"/>
      <c r="Y331" s="314"/>
      <c r="Z331" s="335"/>
      <c r="AA331" s="313"/>
      <c r="AB331" s="324"/>
      <c r="AC331" s="155"/>
      <c r="AD331" s="155"/>
      <c r="AE331" s="322"/>
      <c r="AF331" s="155"/>
      <c r="AG331" s="132"/>
    </row>
    <row r="332">
      <c r="A332" s="311"/>
      <c r="B332" s="313"/>
      <c r="C332" s="313"/>
      <c r="D332" s="313"/>
      <c r="E332" s="314"/>
      <c r="F332" s="314"/>
      <c r="G332" s="314"/>
      <c r="H332" s="314"/>
      <c r="I332" s="314"/>
      <c r="J332" s="314"/>
      <c r="K332" s="314"/>
      <c r="L332" s="314"/>
      <c r="M332" s="314"/>
      <c r="N332" s="314"/>
      <c r="O332" s="314"/>
      <c r="P332" s="314"/>
      <c r="Q332" s="314"/>
      <c r="R332" s="314"/>
      <c r="S332" s="314"/>
      <c r="T332" s="314"/>
      <c r="U332" s="314"/>
      <c r="V332" s="314"/>
      <c r="W332" s="313"/>
      <c r="X332" s="313"/>
      <c r="Y332" s="314"/>
      <c r="Z332" s="335"/>
      <c r="AA332" s="313"/>
      <c r="AB332" s="324"/>
      <c r="AC332" s="155"/>
      <c r="AD332" s="155"/>
      <c r="AE332" s="322"/>
      <c r="AF332" s="155"/>
      <c r="AG332" s="132"/>
    </row>
    <row r="333">
      <c r="A333" s="311"/>
      <c r="B333" s="313"/>
      <c r="C333" s="313"/>
      <c r="D333" s="313"/>
      <c r="E333" s="314"/>
      <c r="F333" s="314"/>
      <c r="G333" s="314"/>
      <c r="H333" s="314"/>
      <c r="I333" s="314"/>
      <c r="J333" s="314"/>
      <c r="K333" s="314"/>
      <c r="L333" s="314"/>
      <c r="M333" s="314"/>
      <c r="N333" s="314"/>
      <c r="O333" s="314"/>
      <c r="P333" s="314"/>
      <c r="Q333" s="314"/>
      <c r="R333" s="314"/>
      <c r="S333" s="314"/>
      <c r="T333" s="314"/>
      <c r="U333" s="314"/>
      <c r="V333" s="314"/>
      <c r="W333" s="313"/>
      <c r="X333" s="313"/>
      <c r="Y333" s="314"/>
      <c r="Z333" s="335"/>
      <c r="AA333" s="313"/>
      <c r="AB333" s="324"/>
      <c r="AC333" s="155"/>
      <c r="AD333" s="155"/>
      <c r="AE333" s="322"/>
      <c r="AF333" s="155"/>
      <c r="AG333" s="132"/>
    </row>
    <row r="334">
      <c r="A334" s="311"/>
      <c r="B334" s="313"/>
      <c r="C334" s="313"/>
      <c r="D334" s="313"/>
      <c r="E334" s="314"/>
      <c r="F334" s="314"/>
      <c r="G334" s="314"/>
      <c r="H334" s="314"/>
      <c r="I334" s="314"/>
      <c r="J334" s="314"/>
      <c r="K334" s="314"/>
      <c r="L334" s="314"/>
      <c r="M334" s="314"/>
      <c r="N334" s="314"/>
      <c r="O334" s="314"/>
      <c r="P334" s="314"/>
      <c r="Q334" s="314"/>
      <c r="R334" s="314"/>
      <c r="S334" s="314"/>
      <c r="T334" s="314"/>
      <c r="U334" s="314"/>
      <c r="V334" s="314"/>
      <c r="W334" s="313"/>
      <c r="X334" s="313"/>
      <c r="Y334" s="314"/>
      <c r="Z334" s="335"/>
      <c r="AA334" s="313"/>
      <c r="AB334" s="324"/>
      <c r="AC334" s="155"/>
      <c r="AD334" s="155"/>
      <c r="AE334" s="322"/>
      <c r="AF334" s="155"/>
      <c r="AG334" s="132"/>
    </row>
    <row r="335">
      <c r="A335" s="311"/>
      <c r="B335" s="313"/>
      <c r="C335" s="313"/>
      <c r="D335" s="313"/>
      <c r="E335" s="314"/>
      <c r="F335" s="314"/>
      <c r="G335" s="314"/>
      <c r="H335" s="314"/>
      <c r="I335" s="314"/>
      <c r="J335" s="314"/>
      <c r="K335" s="314"/>
      <c r="L335" s="314"/>
      <c r="M335" s="314"/>
      <c r="N335" s="314"/>
      <c r="O335" s="314"/>
      <c r="P335" s="314"/>
      <c r="Q335" s="314"/>
      <c r="R335" s="314"/>
      <c r="S335" s="314"/>
      <c r="T335" s="314"/>
      <c r="U335" s="314"/>
      <c r="V335" s="314"/>
      <c r="W335" s="313"/>
      <c r="X335" s="313"/>
      <c r="Y335" s="314"/>
      <c r="Z335" s="335"/>
      <c r="AA335" s="313"/>
      <c r="AB335" s="324"/>
      <c r="AC335" s="155"/>
      <c r="AD335" s="155"/>
      <c r="AE335" s="322"/>
      <c r="AF335" s="155"/>
      <c r="AG335" s="132"/>
    </row>
    <row r="336">
      <c r="A336" s="311"/>
      <c r="B336" s="313"/>
      <c r="C336" s="313"/>
      <c r="D336" s="313"/>
      <c r="E336" s="314"/>
      <c r="F336" s="314"/>
      <c r="G336" s="314"/>
      <c r="H336" s="314"/>
      <c r="I336" s="314"/>
      <c r="J336" s="314"/>
      <c r="K336" s="314"/>
      <c r="L336" s="314"/>
      <c r="M336" s="314"/>
      <c r="N336" s="314"/>
      <c r="O336" s="314"/>
      <c r="P336" s="314"/>
      <c r="Q336" s="314"/>
      <c r="R336" s="314"/>
      <c r="S336" s="314"/>
      <c r="T336" s="314"/>
      <c r="U336" s="314"/>
      <c r="V336" s="314"/>
      <c r="W336" s="313"/>
      <c r="X336" s="313"/>
      <c r="Y336" s="314"/>
      <c r="Z336" s="335"/>
      <c r="AA336" s="313"/>
      <c r="AB336" s="324"/>
      <c r="AC336" s="155"/>
      <c r="AD336" s="155"/>
      <c r="AE336" s="322"/>
      <c r="AF336" s="155"/>
      <c r="AG336" s="132"/>
    </row>
    <row r="337">
      <c r="A337" s="311"/>
      <c r="B337" s="313"/>
      <c r="C337" s="313"/>
      <c r="D337" s="313"/>
      <c r="E337" s="314"/>
      <c r="F337" s="314"/>
      <c r="G337" s="314"/>
      <c r="H337" s="314"/>
      <c r="I337" s="314"/>
      <c r="J337" s="314"/>
      <c r="K337" s="314"/>
      <c r="L337" s="314"/>
      <c r="M337" s="314"/>
      <c r="N337" s="314"/>
      <c r="O337" s="314"/>
      <c r="P337" s="314"/>
      <c r="Q337" s="314"/>
      <c r="R337" s="314"/>
      <c r="S337" s="314"/>
      <c r="T337" s="314"/>
      <c r="U337" s="314"/>
      <c r="V337" s="314"/>
      <c r="W337" s="313"/>
      <c r="X337" s="313"/>
      <c r="Y337" s="314"/>
      <c r="Z337" s="335"/>
      <c r="AA337" s="313"/>
      <c r="AB337" s="324"/>
      <c r="AC337" s="155"/>
      <c r="AD337" s="155"/>
      <c r="AE337" s="322"/>
      <c r="AF337" s="155"/>
      <c r="AG337" s="132"/>
    </row>
    <row r="338">
      <c r="A338" s="311"/>
      <c r="B338" s="313"/>
      <c r="C338" s="313"/>
      <c r="D338" s="313"/>
      <c r="E338" s="314"/>
      <c r="F338" s="314"/>
      <c r="G338" s="314"/>
      <c r="H338" s="314"/>
      <c r="I338" s="314"/>
      <c r="J338" s="314"/>
      <c r="K338" s="314"/>
      <c r="L338" s="314"/>
      <c r="M338" s="314"/>
      <c r="N338" s="314"/>
      <c r="O338" s="314"/>
      <c r="P338" s="314"/>
      <c r="Q338" s="314"/>
      <c r="R338" s="314"/>
      <c r="S338" s="314"/>
      <c r="T338" s="314"/>
      <c r="U338" s="314"/>
      <c r="V338" s="314"/>
      <c r="W338" s="313"/>
      <c r="X338" s="313"/>
      <c r="Y338" s="314"/>
      <c r="Z338" s="335"/>
      <c r="AA338" s="313"/>
      <c r="AB338" s="324"/>
      <c r="AC338" s="155"/>
      <c r="AD338" s="155"/>
      <c r="AE338" s="322"/>
      <c r="AF338" s="155"/>
      <c r="AG338" s="132"/>
    </row>
    <row r="339">
      <c r="A339" s="311"/>
      <c r="B339" s="313"/>
      <c r="C339" s="313"/>
      <c r="D339" s="313"/>
      <c r="E339" s="314"/>
      <c r="F339" s="314"/>
      <c r="G339" s="314"/>
      <c r="H339" s="314"/>
      <c r="I339" s="314"/>
      <c r="J339" s="314"/>
      <c r="K339" s="314"/>
      <c r="L339" s="314"/>
      <c r="M339" s="314"/>
      <c r="N339" s="314"/>
      <c r="O339" s="314"/>
      <c r="P339" s="314"/>
      <c r="Q339" s="314"/>
      <c r="R339" s="314"/>
      <c r="S339" s="314"/>
      <c r="T339" s="314"/>
      <c r="U339" s="314"/>
      <c r="V339" s="314"/>
      <c r="W339" s="313"/>
      <c r="X339" s="313"/>
      <c r="Y339" s="314"/>
      <c r="Z339" s="335"/>
      <c r="AA339" s="313"/>
      <c r="AB339" s="324"/>
      <c r="AC339" s="155"/>
      <c r="AD339" s="155"/>
      <c r="AE339" s="322"/>
      <c r="AF339" s="155"/>
      <c r="AG339" s="132"/>
    </row>
    <row r="340">
      <c r="A340" s="311"/>
      <c r="B340" s="313"/>
      <c r="C340" s="313"/>
      <c r="D340" s="313"/>
      <c r="E340" s="314"/>
      <c r="F340" s="314"/>
      <c r="G340" s="314"/>
      <c r="H340" s="314"/>
      <c r="I340" s="314"/>
      <c r="J340" s="314"/>
      <c r="K340" s="314"/>
      <c r="L340" s="314"/>
      <c r="M340" s="314"/>
      <c r="N340" s="314"/>
      <c r="O340" s="314"/>
      <c r="P340" s="314"/>
      <c r="Q340" s="314"/>
      <c r="R340" s="314"/>
      <c r="S340" s="314"/>
      <c r="T340" s="314"/>
      <c r="U340" s="314"/>
      <c r="V340" s="314"/>
      <c r="W340" s="313"/>
      <c r="X340" s="313"/>
      <c r="Y340" s="314"/>
      <c r="Z340" s="335"/>
      <c r="AA340" s="313"/>
      <c r="AB340" s="324"/>
      <c r="AC340" s="155"/>
      <c r="AD340" s="155"/>
      <c r="AE340" s="322"/>
      <c r="AF340" s="155"/>
      <c r="AG340" s="132"/>
    </row>
    <row r="341">
      <c r="A341" s="311"/>
      <c r="B341" s="313"/>
      <c r="C341" s="313"/>
      <c r="D341" s="313"/>
      <c r="E341" s="314"/>
      <c r="F341" s="314"/>
      <c r="G341" s="314"/>
      <c r="H341" s="314"/>
      <c r="I341" s="314"/>
      <c r="J341" s="314"/>
      <c r="K341" s="314"/>
      <c r="L341" s="314"/>
      <c r="M341" s="314"/>
      <c r="N341" s="314"/>
      <c r="O341" s="314"/>
      <c r="P341" s="314"/>
      <c r="Q341" s="314"/>
      <c r="R341" s="314"/>
      <c r="S341" s="314"/>
      <c r="T341" s="314"/>
      <c r="U341" s="314"/>
      <c r="V341" s="314"/>
      <c r="W341" s="313"/>
      <c r="X341" s="313"/>
      <c r="Y341" s="314"/>
      <c r="Z341" s="335"/>
      <c r="AA341" s="313"/>
      <c r="AB341" s="324"/>
      <c r="AC341" s="155"/>
      <c r="AD341" s="155"/>
      <c r="AE341" s="322"/>
      <c r="AF341" s="155"/>
      <c r="AG341" s="132"/>
    </row>
    <row r="342">
      <c r="A342" s="311"/>
      <c r="B342" s="313"/>
      <c r="C342" s="313"/>
      <c r="D342" s="313"/>
      <c r="E342" s="314"/>
      <c r="F342" s="314"/>
      <c r="G342" s="314"/>
      <c r="H342" s="314"/>
      <c r="I342" s="314"/>
      <c r="J342" s="314"/>
      <c r="K342" s="314"/>
      <c r="L342" s="314"/>
      <c r="M342" s="314"/>
      <c r="N342" s="314"/>
      <c r="O342" s="314"/>
      <c r="P342" s="314"/>
      <c r="Q342" s="314"/>
      <c r="R342" s="314"/>
      <c r="S342" s="314"/>
      <c r="T342" s="314"/>
      <c r="U342" s="314"/>
      <c r="V342" s="314"/>
      <c r="W342" s="313"/>
      <c r="X342" s="313"/>
      <c r="Y342" s="314"/>
      <c r="Z342" s="335"/>
      <c r="AA342" s="313"/>
      <c r="AB342" s="324"/>
      <c r="AC342" s="155"/>
      <c r="AD342" s="155"/>
      <c r="AE342" s="322"/>
      <c r="AF342" s="155"/>
      <c r="AG342" s="132"/>
    </row>
    <row r="343">
      <c r="A343" s="311"/>
      <c r="B343" s="313"/>
      <c r="C343" s="313"/>
      <c r="D343" s="313"/>
      <c r="E343" s="314"/>
      <c r="F343" s="314"/>
      <c r="G343" s="314"/>
      <c r="H343" s="314"/>
      <c r="I343" s="314"/>
      <c r="J343" s="314"/>
      <c r="K343" s="314"/>
      <c r="L343" s="314"/>
      <c r="M343" s="314"/>
      <c r="N343" s="314"/>
      <c r="O343" s="314"/>
      <c r="P343" s="314"/>
      <c r="Q343" s="314"/>
      <c r="R343" s="314"/>
      <c r="S343" s="314"/>
      <c r="T343" s="314"/>
      <c r="U343" s="314"/>
      <c r="V343" s="314"/>
      <c r="W343" s="313"/>
      <c r="X343" s="313"/>
      <c r="Y343" s="314"/>
      <c r="Z343" s="335"/>
      <c r="AA343" s="313"/>
      <c r="AB343" s="324"/>
      <c r="AC343" s="155"/>
      <c r="AD343" s="155"/>
      <c r="AE343" s="322"/>
      <c r="AF343" s="155"/>
      <c r="AG343" s="132"/>
    </row>
    <row r="344">
      <c r="A344" s="311"/>
      <c r="B344" s="313"/>
      <c r="C344" s="313"/>
      <c r="D344" s="313"/>
      <c r="E344" s="314"/>
      <c r="F344" s="314"/>
      <c r="G344" s="314"/>
      <c r="H344" s="314"/>
      <c r="I344" s="314"/>
      <c r="J344" s="314"/>
      <c r="K344" s="314"/>
      <c r="L344" s="314"/>
      <c r="M344" s="314"/>
      <c r="N344" s="314"/>
      <c r="O344" s="314"/>
      <c r="P344" s="314"/>
      <c r="Q344" s="314"/>
      <c r="R344" s="314"/>
      <c r="S344" s="314"/>
      <c r="T344" s="314"/>
      <c r="U344" s="314"/>
      <c r="V344" s="314"/>
      <c r="W344" s="313"/>
      <c r="X344" s="313"/>
      <c r="Y344" s="314"/>
      <c r="Z344" s="335"/>
      <c r="AA344" s="313"/>
      <c r="AB344" s="324"/>
      <c r="AC344" s="155"/>
      <c r="AD344" s="155"/>
      <c r="AE344" s="322"/>
      <c r="AF344" s="155"/>
      <c r="AG344" s="132"/>
    </row>
    <row r="345">
      <c r="A345" s="311"/>
      <c r="B345" s="313"/>
      <c r="C345" s="313"/>
      <c r="D345" s="313"/>
      <c r="E345" s="314"/>
      <c r="F345" s="314"/>
      <c r="G345" s="314"/>
      <c r="H345" s="314"/>
      <c r="I345" s="314"/>
      <c r="J345" s="314"/>
      <c r="K345" s="314"/>
      <c r="L345" s="314"/>
      <c r="M345" s="314"/>
      <c r="N345" s="314"/>
      <c r="O345" s="314"/>
      <c r="P345" s="314"/>
      <c r="Q345" s="314"/>
      <c r="R345" s="314"/>
      <c r="S345" s="314"/>
      <c r="T345" s="314"/>
      <c r="U345" s="314"/>
      <c r="V345" s="314"/>
      <c r="W345" s="313"/>
      <c r="X345" s="313"/>
      <c r="Y345" s="314"/>
      <c r="Z345" s="335"/>
      <c r="AA345" s="313"/>
      <c r="AB345" s="324"/>
      <c r="AC345" s="155"/>
      <c r="AD345" s="155"/>
      <c r="AE345" s="322"/>
      <c r="AF345" s="155"/>
      <c r="AG345" s="132"/>
    </row>
    <row r="346">
      <c r="A346" s="311"/>
      <c r="B346" s="313"/>
      <c r="C346" s="313"/>
      <c r="D346" s="313"/>
      <c r="E346" s="314"/>
      <c r="F346" s="314"/>
      <c r="G346" s="314"/>
      <c r="H346" s="314"/>
      <c r="I346" s="314"/>
      <c r="J346" s="314"/>
      <c r="K346" s="314"/>
      <c r="L346" s="314"/>
      <c r="M346" s="314"/>
      <c r="N346" s="314"/>
      <c r="O346" s="314"/>
      <c r="P346" s="314"/>
      <c r="Q346" s="314"/>
      <c r="R346" s="314"/>
      <c r="S346" s="314"/>
      <c r="T346" s="314"/>
      <c r="U346" s="314"/>
      <c r="V346" s="314"/>
      <c r="W346" s="313"/>
      <c r="X346" s="313"/>
      <c r="Y346" s="314"/>
      <c r="Z346" s="335"/>
      <c r="AA346" s="313"/>
      <c r="AB346" s="324"/>
      <c r="AC346" s="155"/>
      <c r="AD346" s="155"/>
      <c r="AE346" s="322"/>
      <c r="AF346" s="155"/>
      <c r="AG346" s="132"/>
    </row>
    <row r="347">
      <c r="A347" s="311"/>
      <c r="B347" s="313"/>
      <c r="C347" s="313"/>
      <c r="D347" s="313"/>
      <c r="E347" s="314"/>
      <c r="F347" s="314"/>
      <c r="G347" s="314"/>
      <c r="H347" s="314"/>
      <c r="I347" s="314"/>
      <c r="J347" s="314"/>
      <c r="K347" s="314"/>
      <c r="L347" s="314"/>
      <c r="M347" s="314"/>
      <c r="N347" s="314"/>
      <c r="O347" s="314"/>
      <c r="P347" s="314"/>
      <c r="Q347" s="314"/>
      <c r="R347" s="314"/>
      <c r="S347" s="314"/>
      <c r="T347" s="314"/>
      <c r="U347" s="314"/>
      <c r="V347" s="314"/>
      <c r="W347" s="313"/>
      <c r="X347" s="313"/>
      <c r="Y347" s="314"/>
      <c r="Z347" s="335"/>
      <c r="AA347" s="313"/>
      <c r="AB347" s="324"/>
      <c r="AC347" s="155"/>
      <c r="AD347" s="155"/>
      <c r="AE347" s="322"/>
      <c r="AF347" s="155"/>
      <c r="AG347" s="132"/>
    </row>
    <row r="348">
      <c r="A348" s="311"/>
      <c r="B348" s="313"/>
      <c r="C348" s="313"/>
      <c r="D348" s="313"/>
      <c r="E348" s="314"/>
      <c r="F348" s="314"/>
      <c r="G348" s="314"/>
      <c r="H348" s="314"/>
      <c r="I348" s="314"/>
      <c r="J348" s="314"/>
      <c r="K348" s="314"/>
      <c r="L348" s="314"/>
      <c r="M348" s="314"/>
      <c r="N348" s="314"/>
      <c r="O348" s="314"/>
      <c r="P348" s="314"/>
      <c r="Q348" s="314"/>
      <c r="R348" s="314"/>
      <c r="S348" s="314"/>
      <c r="T348" s="314"/>
      <c r="U348" s="314"/>
      <c r="V348" s="314"/>
      <c r="W348" s="313"/>
      <c r="X348" s="313"/>
      <c r="Y348" s="314"/>
      <c r="Z348" s="335"/>
      <c r="AA348" s="313"/>
      <c r="AB348" s="324"/>
      <c r="AC348" s="155"/>
      <c r="AD348" s="155"/>
      <c r="AE348" s="322"/>
      <c r="AF348" s="155"/>
      <c r="AG348" s="132"/>
    </row>
    <row r="349">
      <c r="A349" s="311"/>
      <c r="B349" s="313"/>
      <c r="C349" s="313"/>
      <c r="D349" s="313"/>
      <c r="E349" s="314"/>
      <c r="F349" s="314"/>
      <c r="G349" s="314"/>
      <c r="H349" s="314"/>
      <c r="I349" s="314"/>
      <c r="J349" s="314"/>
      <c r="K349" s="314"/>
      <c r="L349" s="314"/>
      <c r="M349" s="314"/>
      <c r="N349" s="314"/>
      <c r="O349" s="314"/>
      <c r="P349" s="314"/>
      <c r="Q349" s="314"/>
      <c r="R349" s="314"/>
      <c r="S349" s="314"/>
      <c r="T349" s="314"/>
      <c r="U349" s="314"/>
      <c r="V349" s="314"/>
      <c r="W349" s="313"/>
      <c r="X349" s="313"/>
      <c r="Y349" s="314"/>
      <c r="Z349" s="335"/>
      <c r="AA349" s="313"/>
      <c r="AB349" s="324"/>
      <c r="AC349" s="155"/>
      <c r="AD349" s="155"/>
      <c r="AE349" s="322"/>
      <c r="AF349" s="155"/>
      <c r="AG349" s="132"/>
    </row>
    <row r="350">
      <c r="A350" s="311"/>
      <c r="B350" s="313"/>
      <c r="C350" s="313"/>
      <c r="D350" s="313"/>
      <c r="E350" s="314"/>
      <c r="F350" s="314"/>
      <c r="G350" s="314"/>
      <c r="H350" s="314"/>
      <c r="I350" s="314"/>
      <c r="J350" s="314"/>
      <c r="K350" s="314"/>
      <c r="L350" s="314"/>
      <c r="M350" s="314"/>
      <c r="N350" s="314"/>
      <c r="O350" s="314"/>
      <c r="P350" s="314"/>
      <c r="Q350" s="314"/>
      <c r="R350" s="314"/>
      <c r="S350" s="314"/>
      <c r="T350" s="314"/>
      <c r="U350" s="314"/>
      <c r="V350" s="314"/>
      <c r="W350" s="313"/>
      <c r="X350" s="313"/>
      <c r="Y350" s="314"/>
      <c r="Z350" s="335"/>
      <c r="AA350" s="313"/>
      <c r="AB350" s="324"/>
      <c r="AC350" s="155"/>
      <c r="AD350" s="155"/>
      <c r="AE350" s="322"/>
      <c r="AF350" s="155"/>
      <c r="AG350" s="132"/>
    </row>
    <row r="351">
      <c r="A351" s="311"/>
      <c r="B351" s="313"/>
      <c r="C351" s="313"/>
      <c r="D351" s="313"/>
      <c r="E351" s="314"/>
      <c r="F351" s="314"/>
      <c r="G351" s="314"/>
      <c r="H351" s="314"/>
      <c r="I351" s="314"/>
      <c r="J351" s="314"/>
      <c r="K351" s="314"/>
      <c r="L351" s="314"/>
      <c r="M351" s="314"/>
      <c r="N351" s="314"/>
      <c r="O351" s="314"/>
      <c r="P351" s="314"/>
      <c r="Q351" s="314"/>
      <c r="R351" s="314"/>
      <c r="S351" s="314"/>
      <c r="T351" s="314"/>
      <c r="U351" s="314"/>
      <c r="V351" s="314"/>
      <c r="W351" s="313"/>
      <c r="X351" s="313"/>
      <c r="Y351" s="314"/>
      <c r="Z351" s="335"/>
      <c r="AA351" s="313"/>
      <c r="AB351" s="324"/>
      <c r="AC351" s="155"/>
      <c r="AD351" s="155"/>
      <c r="AE351" s="322"/>
      <c r="AF351" s="155"/>
      <c r="AG351" s="132"/>
    </row>
    <row r="352">
      <c r="A352" s="311"/>
      <c r="B352" s="313"/>
      <c r="C352" s="313"/>
      <c r="D352" s="313"/>
      <c r="E352" s="314"/>
      <c r="F352" s="314"/>
      <c r="G352" s="314"/>
      <c r="H352" s="314"/>
      <c r="I352" s="314"/>
      <c r="J352" s="314"/>
      <c r="K352" s="314"/>
      <c r="L352" s="314"/>
      <c r="M352" s="314"/>
      <c r="N352" s="314"/>
      <c r="O352" s="314"/>
      <c r="P352" s="314"/>
      <c r="Q352" s="314"/>
      <c r="R352" s="314"/>
      <c r="S352" s="314"/>
      <c r="T352" s="314"/>
      <c r="U352" s="314"/>
      <c r="V352" s="314"/>
      <c r="W352" s="313"/>
      <c r="X352" s="313"/>
      <c r="Y352" s="314"/>
      <c r="Z352" s="335"/>
      <c r="AA352" s="313"/>
      <c r="AB352" s="324"/>
      <c r="AC352" s="155"/>
      <c r="AD352" s="155"/>
      <c r="AE352" s="322"/>
      <c r="AF352" s="155"/>
      <c r="AG352" s="132"/>
    </row>
    <row r="353">
      <c r="A353" s="311"/>
      <c r="B353" s="313"/>
      <c r="C353" s="313"/>
      <c r="D353" s="313"/>
      <c r="E353" s="314"/>
      <c r="F353" s="314"/>
      <c r="G353" s="314"/>
      <c r="H353" s="314"/>
      <c r="I353" s="314"/>
      <c r="J353" s="314"/>
      <c r="K353" s="314"/>
      <c r="L353" s="314"/>
      <c r="M353" s="314"/>
      <c r="N353" s="314"/>
      <c r="O353" s="314"/>
      <c r="P353" s="314"/>
      <c r="Q353" s="314"/>
      <c r="R353" s="314"/>
      <c r="S353" s="314"/>
      <c r="T353" s="314"/>
      <c r="U353" s="314"/>
      <c r="V353" s="314"/>
      <c r="W353" s="313"/>
      <c r="X353" s="313"/>
      <c r="Y353" s="314"/>
      <c r="Z353" s="335"/>
      <c r="AA353" s="313"/>
      <c r="AB353" s="324"/>
      <c r="AC353" s="155"/>
      <c r="AD353" s="155"/>
      <c r="AE353" s="322"/>
      <c r="AF353" s="155"/>
      <c r="AG353" s="132"/>
    </row>
    <row r="354">
      <c r="A354" s="311"/>
      <c r="B354" s="313"/>
      <c r="C354" s="313"/>
      <c r="D354" s="313"/>
      <c r="E354" s="314"/>
      <c r="F354" s="314"/>
      <c r="G354" s="314"/>
      <c r="H354" s="314"/>
      <c r="I354" s="314"/>
      <c r="J354" s="314"/>
      <c r="K354" s="314"/>
      <c r="L354" s="314"/>
      <c r="M354" s="314"/>
      <c r="N354" s="314"/>
      <c r="O354" s="314"/>
      <c r="P354" s="314"/>
      <c r="Q354" s="314"/>
      <c r="R354" s="314"/>
      <c r="S354" s="314"/>
      <c r="T354" s="314"/>
      <c r="U354" s="314"/>
      <c r="V354" s="314"/>
      <c r="W354" s="313"/>
      <c r="X354" s="313"/>
      <c r="Y354" s="314"/>
      <c r="Z354" s="335"/>
      <c r="AA354" s="313"/>
      <c r="AB354" s="324"/>
      <c r="AC354" s="155"/>
      <c r="AD354" s="155"/>
      <c r="AE354" s="322"/>
      <c r="AF354" s="155"/>
      <c r="AG354" s="132"/>
    </row>
    <row r="355">
      <c r="A355" s="311"/>
      <c r="B355" s="313"/>
      <c r="C355" s="313"/>
      <c r="D355" s="313"/>
      <c r="E355" s="314"/>
      <c r="F355" s="314"/>
      <c r="G355" s="314"/>
      <c r="H355" s="314"/>
      <c r="I355" s="314"/>
      <c r="J355" s="314"/>
      <c r="K355" s="314"/>
      <c r="L355" s="314"/>
      <c r="M355" s="314"/>
      <c r="N355" s="314"/>
      <c r="O355" s="314"/>
      <c r="P355" s="314"/>
      <c r="Q355" s="314"/>
      <c r="R355" s="314"/>
      <c r="S355" s="314"/>
      <c r="T355" s="314"/>
      <c r="U355" s="314"/>
      <c r="V355" s="314"/>
      <c r="W355" s="313"/>
      <c r="X355" s="313"/>
      <c r="Y355" s="314"/>
      <c r="Z355" s="335"/>
      <c r="AA355" s="313"/>
      <c r="AB355" s="324"/>
      <c r="AC355" s="155"/>
      <c r="AD355" s="155"/>
      <c r="AE355" s="322"/>
      <c r="AF355" s="155"/>
      <c r="AG355" s="132"/>
    </row>
    <row r="356">
      <c r="A356" s="311"/>
      <c r="B356" s="313"/>
      <c r="C356" s="313"/>
      <c r="D356" s="313"/>
      <c r="E356" s="314"/>
      <c r="F356" s="314"/>
      <c r="G356" s="314"/>
      <c r="H356" s="314"/>
      <c r="I356" s="314"/>
      <c r="J356" s="314"/>
      <c r="K356" s="314"/>
      <c r="L356" s="314"/>
      <c r="M356" s="314"/>
      <c r="N356" s="314"/>
      <c r="O356" s="314"/>
      <c r="P356" s="314"/>
      <c r="Q356" s="314"/>
      <c r="R356" s="314"/>
      <c r="S356" s="314"/>
      <c r="T356" s="314"/>
      <c r="U356" s="314"/>
      <c r="V356" s="314"/>
      <c r="W356" s="313"/>
      <c r="X356" s="313"/>
      <c r="Y356" s="314"/>
      <c r="Z356" s="335"/>
      <c r="AA356" s="313"/>
      <c r="AB356" s="324"/>
      <c r="AC356" s="155"/>
      <c r="AD356" s="155"/>
      <c r="AE356" s="322"/>
      <c r="AF356" s="155"/>
      <c r="AG356" s="132"/>
    </row>
    <row r="357">
      <c r="A357" s="311"/>
      <c r="B357" s="313"/>
      <c r="C357" s="313"/>
      <c r="D357" s="313"/>
      <c r="E357" s="314"/>
      <c r="F357" s="314"/>
      <c r="G357" s="314"/>
      <c r="H357" s="314"/>
      <c r="I357" s="314"/>
      <c r="J357" s="314"/>
      <c r="K357" s="314"/>
      <c r="L357" s="314"/>
      <c r="M357" s="314"/>
      <c r="N357" s="314"/>
      <c r="O357" s="314"/>
      <c r="P357" s="314"/>
      <c r="Q357" s="314"/>
      <c r="R357" s="314"/>
      <c r="S357" s="314"/>
      <c r="T357" s="314"/>
      <c r="U357" s="314"/>
      <c r="V357" s="314"/>
      <c r="W357" s="313"/>
      <c r="X357" s="313"/>
      <c r="Y357" s="314"/>
      <c r="Z357" s="335"/>
      <c r="AA357" s="313"/>
      <c r="AB357" s="324"/>
      <c r="AC357" s="155"/>
      <c r="AD357" s="155"/>
      <c r="AE357" s="322"/>
      <c r="AF357" s="155"/>
      <c r="AG357" s="132"/>
    </row>
    <row r="358">
      <c r="A358" s="311"/>
      <c r="B358" s="313"/>
      <c r="C358" s="313"/>
      <c r="D358" s="313"/>
      <c r="E358" s="314"/>
      <c r="F358" s="314"/>
      <c r="G358" s="314"/>
      <c r="H358" s="314"/>
      <c r="I358" s="314"/>
      <c r="J358" s="314"/>
      <c r="K358" s="314"/>
      <c r="L358" s="314"/>
      <c r="M358" s="314"/>
      <c r="N358" s="314"/>
      <c r="O358" s="314"/>
      <c r="P358" s="314"/>
      <c r="Q358" s="314"/>
      <c r="R358" s="314"/>
      <c r="S358" s="314"/>
      <c r="T358" s="314"/>
      <c r="U358" s="314"/>
      <c r="V358" s="314"/>
      <c r="W358" s="313"/>
      <c r="X358" s="313"/>
      <c r="Y358" s="314"/>
      <c r="Z358" s="335"/>
      <c r="AA358" s="313"/>
      <c r="AB358" s="324"/>
      <c r="AC358" s="155"/>
      <c r="AD358" s="155"/>
      <c r="AE358" s="322"/>
      <c r="AF358" s="155"/>
      <c r="AG358" s="132"/>
    </row>
    <row r="359">
      <c r="A359" s="311"/>
      <c r="B359" s="313"/>
      <c r="C359" s="313"/>
      <c r="D359" s="313"/>
      <c r="E359" s="314"/>
      <c r="F359" s="314"/>
      <c r="G359" s="314"/>
      <c r="H359" s="314"/>
      <c r="I359" s="314"/>
      <c r="J359" s="314"/>
      <c r="K359" s="314"/>
      <c r="L359" s="314"/>
      <c r="M359" s="314"/>
      <c r="N359" s="314"/>
      <c r="O359" s="314"/>
      <c r="P359" s="314"/>
      <c r="Q359" s="314"/>
      <c r="R359" s="314"/>
      <c r="S359" s="314"/>
      <c r="T359" s="314"/>
      <c r="U359" s="314"/>
      <c r="V359" s="314"/>
      <c r="W359" s="313"/>
      <c r="X359" s="313"/>
      <c r="Y359" s="314"/>
      <c r="Z359" s="335"/>
      <c r="AA359" s="313"/>
      <c r="AB359" s="324"/>
      <c r="AC359" s="155"/>
      <c r="AD359" s="155"/>
      <c r="AE359" s="322"/>
      <c r="AF359" s="155"/>
      <c r="AG359" s="132"/>
    </row>
    <row r="360">
      <c r="A360" s="311"/>
      <c r="B360" s="313"/>
      <c r="C360" s="313"/>
      <c r="D360" s="313"/>
      <c r="E360" s="314"/>
      <c r="F360" s="314"/>
      <c r="G360" s="314"/>
      <c r="H360" s="314"/>
      <c r="I360" s="314"/>
      <c r="J360" s="314"/>
      <c r="K360" s="314"/>
      <c r="L360" s="314"/>
      <c r="M360" s="314"/>
      <c r="N360" s="314"/>
      <c r="O360" s="314"/>
      <c r="P360" s="314"/>
      <c r="Q360" s="314"/>
      <c r="R360" s="314"/>
      <c r="S360" s="314"/>
      <c r="T360" s="314"/>
      <c r="U360" s="314"/>
      <c r="V360" s="314"/>
      <c r="W360" s="313"/>
      <c r="X360" s="313"/>
      <c r="Y360" s="314"/>
      <c r="Z360" s="335"/>
      <c r="AA360" s="313"/>
      <c r="AB360" s="324"/>
      <c r="AC360" s="155"/>
      <c r="AD360" s="155"/>
      <c r="AE360" s="322"/>
      <c r="AF360" s="155"/>
      <c r="AG360" s="132"/>
    </row>
    <row r="361">
      <c r="A361" s="311"/>
      <c r="B361" s="313"/>
      <c r="C361" s="313"/>
      <c r="D361" s="313"/>
      <c r="E361" s="314"/>
      <c r="F361" s="314"/>
      <c r="G361" s="314"/>
      <c r="H361" s="314"/>
      <c r="I361" s="314"/>
      <c r="J361" s="314"/>
      <c r="K361" s="314"/>
      <c r="L361" s="314"/>
      <c r="M361" s="314"/>
      <c r="N361" s="314"/>
      <c r="O361" s="314"/>
      <c r="P361" s="314"/>
      <c r="Q361" s="314"/>
      <c r="R361" s="314"/>
      <c r="S361" s="314"/>
      <c r="T361" s="314"/>
      <c r="U361" s="314"/>
      <c r="V361" s="314"/>
      <c r="W361" s="313"/>
      <c r="X361" s="313"/>
      <c r="Y361" s="314"/>
      <c r="Z361" s="335"/>
      <c r="AA361" s="313"/>
      <c r="AB361" s="324"/>
      <c r="AC361" s="155"/>
      <c r="AD361" s="155"/>
      <c r="AE361" s="322"/>
      <c r="AF361" s="155"/>
      <c r="AG361" s="132"/>
    </row>
    <row r="362">
      <c r="A362" s="311"/>
      <c r="B362" s="313"/>
      <c r="C362" s="313"/>
      <c r="D362" s="313"/>
      <c r="E362" s="314"/>
      <c r="F362" s="314"/>
      <c r="G362" s="314"/>
      <c r="H362" s="314"/>
      <c r="I362" s="314"/>
      <c r="J362" s="314"/>
      <c r="K362" s="314"/>
      <c r="L362" s="314"/>
      <c r="M362" s="314"/>
      <c r="N362" s="314"/>
      <c r="O362" s="314"/>
      <c r="P362" s="314"/>
      <c r="Q362" s="314"/>
      <c r="R362" s="314"/>
      <c r="S362" s="314"/>
      <c r="T362" s="314"/>
      <c r="U362" s="314"/>
      <c r="V362" s="314"/>
      <c r="W362" s="313"/>
      <c r="X362" s="313"/>
      <c r="Y362" s="314"/>
      <c r="Z362" s="335"/>
      <c r="AA362" s="313"/>
      <c r="AB362" s="324"/>
      <c r="AC362" s="155"/>
      <c r="AD362" s="155"/>
      <c r="AE362" s="322"/>
      <c r="AF362" s="155"/>
      <c r="AG362" s="132"/>
    </row>
    <row r="363">
      <c r="A363" s="311"/>
      <c r="B363" s="313"/>
      <c r="C363" s="313"/>
      <c r="D363" s="313"/>
      <c r="E363" s="314"/>
      <c r="F363" s="314"/>
      <c r="G363" s="314"/>
      <c r="H363" s="314"/>
      <c r="I363" s="314"/>
      <c r="J363" s="314"/>
      <c r="K363" s="314"/>
      <c r="L363" s="314"/>
      <c r="M363" s="314"/>
      <c r="N363" s="314"/>
      <c r="O363" s="314"/>
      <c r="P363" s="314"/>
      <c r="Q363" s="314"/>
      <c r="R363" s="314"/>
      <c r="S363" s="314"/>
      <c r="T363" s="314"/>
      <c r="U363" s="314"/>
      <c r="V363" s="314"/>
      <c r="W363" s="313"/>
      <c r="X363" s="313"/>
      <c r="Y363" s="314"/>
      <c r="Z363" s="335"/>
      <c r="AA363" s="313"/>
      <c r="AB363" s="324"/>
      <c r="AC363" s="155"/>
      <c r="AD363" s="155"/>
      <c r="AE363" s="322"/>
      <c r="AF363" s="155"/>
      <c r="AG363" s="132"/>
    </row>
    <row r="364">
      <c r="A364" s="311"/>
      <c r="B364" s="313"/>
      <c r="C364" s="313"/>
      <c r="D364" s="313"/>
      <c r="E364" s="314"/>
      <c r="F364" s="314"/>
      <c r="G364" s="314"/>
      <c r="H364" s="314"/>
      <c r="I364" s="314"/>
      <c r="J364" s="314"/>
      <c r="K364" s="314"/>
      <c r="L364" s="314"/>
      <c r="M364" s="314"/>
      <c r="N364" s="314"/>
      <c r="O364" s="314"/>
      <c r="P364" s="314"/>
      <c r="Q364" s="314"/>
      <c r="R364" s="314"/>
      <c r="S364" s="314"/>
      <c r="T364" s="314"/>
      <c r="U364" s="314"/>
      <c r="V364" s="314"/>
      <c r="W364" s="313"/>
      <c r="X364" s="313"/>
      <c r="Y364" s="314"/>
      <c r="Z364" s="335"/>
      <c r="AA364" s="313"/>
      <c r="AB364" s="324"/>
      <c r="AC364" s="155"/>
      <c r="AD364" s="155"/>
      <c r="AE364" s="322"/>
      <c r="AF364" s="155"/>
      <c r="AG364" s="132"/>
    </row>
    <row r="365">
      <c r="A365" s="311"/>
      <c r="B365" s="313"/>
      <c r="C365" s="313"/>
      <c r="D365" s="313"/>
      <c r="E365" s="314"/>
      <c r="F365" s="314"/>
      <c r="G365" s="314"/>
      <c r="H365" s="314"/>
      <c r="I365" s="314"/>
      <c r="J365" s="314"/>
      <c r="K365" s="314"/>
      <c r="L365" s="314"/>
      <c r="M365" s="314"/>
      <c r="N365" s="314"/>
      <c r="O365" s="314"/>
      <c r="P365" s="314"/>
      <c r="Q365" s="314"/>
      <c r="R365" s="314"/>
      <c r="S365" s="314"/>
      <c r="T365" s="314"/>
      <c r="U365" s="314"/>
      <c r="V365" s="314"/>
      <c r="W365" s="313"/>
      <c r="X365" s="313"/>
      <c r="Y365" s="314"/>
      <c r="Z365" s="335"/>
      <c r="AA365" s="313"/>
      <c r="AB365" s="324"/>
      <c r="AC365" s="155"/>
      <c r="AD365" s="155"/>
      <c r="AE365" s="322"/>
      <c r="AF365" s="155"/>
      <c r="AG365" s="132"/>
    </row>
    <row r="366">
      <c r="A366" s="311"/>
      <c r="B366" s="313"/>
      <c r="C366" s="313"/>
      <c r="D366" s="313"/>
      <c r="E366" s="314"/>
      <c r="F366" s="314"/>
      <c r="G366" s="314"/>
      <c r="H366" s="314"/>
      <c r="I366" s="314"/>
      <c r="J366" s="314"/>
      <c r="K366" s="314"/>
      <c r="L366" s="314"/>
      <c r="M366" s="314"/>
      <c r="N366" s="314"/>
      <c r="O366" s="314"/>
      <c r="P366" s="314"/>
      <c r="Q366" s="314"/>
      <c r="R366" s="314"/>
      <c r="S366" s="314"/>
      <c r="T366" s="314"/>
      <c r="U366" s="314"/>
      <c r="V366" s="314"/>
      <c r="W366" s="313"/>
      <c r="X366" s="313"/>
      <c r="Y366" s="314"/>
      <c r="Z366" s="335"/>
      <c r="AA366" s="313"/>
      <c r="AB366" s="324"/>
      <c r="AC366" s="155"/>
      <c r="AD366" s="155"/>
      <c r="AE366" s="322"/>
      <c r="AF366" s="155"/>
      <c r="AG366" s="132"/>
    </row>
    <row r="367">
      <c r="A367" s="311"/>
      <c r="B367" s="313"/>
      <c r="C367" s="313"/>
      <c r="D367" s="313"/>
      <c r="E367" s="314"/>
      <c r="F367" s="314"/>
      <c r="G367" s="314"/>
      <c r="H367" s="314"/>
      <c r="I367" s="314"/>
      <c r="J367" s="314"/>
      <c r="K367" s="314"/>
      <c r="L367" s="314"/>
      <c r="M367" s="314"/>
      <c r="N367" s="314"/>
      <c r="O367" s="314"/>
      <c r="P367" s="314"/>
      <c r="Q367" s="314"/>
      <c r="R367" s="314"/>
      <c r="S367" s="314"/>
      <c r="T367" s="314"/>
      <c r="U367" s="314"/>
      <c r="V367" s="314"/>
      <c r="W367" s="313"/>
      <c r="X367" s="313"/>
      <c r="Y367" s="314"/>
      <c r="Z367" s="335"/>
      <c r="AA367" s="313"/>
      <c r="AB367" s="324"/>
      <c r="AC367" s="155"/>
      <c r="AD367" s="155"/>
      <c r="AE367" s="322"/>
      <c r="AF367" s="155"/>
      <c r="AG367" s="132"/>
    </row>
    <row r="368">
      <c r="A368" s="311"/>
      <c r="B368" s="313"/>
      <c r="C368" s="313"/>
      <c r="D368" s="313"/>
      <c r="E368" s="314"/>
      <c r="F368" s="314"/>
      <c r="G368" s="314"/>
      <c r="H368" s="314"/>
      <c r="I368" s="314"/>
      <c r="J368" s="314"/>
      <c r="K368" s="314"/>
      <c r="L368" s="314"/>
      <c r="M368" s="314"/>
      <c r="N368" s="314"/>
      <c r="O368" s="314"/>
      <c r="P368" s="314"/>
      <c r="Q368" s="314"/>
      <c r="R368" s="314"/>
      <c r="S368" s="314"/>
      <c r="T368" s="314"/>
      <c r="U368" s="314"/>
      <c r="V368" s="314"/>
      <c r="W368" s="313"/>
      <c r="X368" s="313"/>
      <c r="Y368" s="314"/>
      <c r="Z368" s="335"/>
      <c r="AA368" s="313"/>
      <c r="AB368" s="324"/>
      <c r="AC368" s="155"/>
      <c r="AD368" s="155"/>
      <c r="AE368" s="322"/>
      <c r="AF368" s="155"/>
      <c r="AG368" s="132"/>
    </row>
    <row r="369">
      <c r="A369" s="311"/>
      <c r="B369" s="313"/>
      <c r="C369" s="313"/>
      <c r="D369" s="313"/>
      <c r="E369" s="314"/>
      <c r="F369" s="314"/>
      <c r="G369" s="314"/>
      <c r="H369" s="314"/>
      <c r="I369" s="314"/>
      <c r="J369" s="314"/>
      <c r="K369" s="314"/>
      <c r="L369" s="314"/>
      <c r="M369" s="314"/>
      <c r="N369" s="314"/>
      <c r="O369" s="314"/>
      <c r="P369" s="314"/>
      <c r="Q369" s="314"/>
      <c r="R369" s="314"/>
      <c r="S369" s="314"/>
      <c r="T369" s="314"/>
      <c r="U369" s="314"/>
      <c r="V369" s="314"/>
      <c r="W369" s="313"/>
      <c r="X369" s="313"/>
      <c r="Y369" s="314"/>
      <c r="Z369" s="335"/>
      <c r="AA369" s="313"/>
      <c r="AB369" s="324"/>
      <c r="AC369" s="155"/>
      <c r="AD369" s="155"/>
      <c r="AE369" s="322"/>
      <c r="AF369" s="155"/>
      <c r="AG369" s="132"/>
    </row>
    <row r="370">
      <c r="A370" s="311"/>
      <c r="B370" s="313"/>
      <c r="C370" s="313"/>
      <c r="D370" s="313"/>
      <c r="E370" s="314"/>
      <c r="F370" s="314"/>
      <c r="G370" s="314"/>
      <c r="H370" s="314"/>
      <c r="I370" s="314"/>
      <c r="J370" s="314"/>
      <c r="K370" s="314"/>
      <c r="L370" s="314"/>
      <c r="M370" s="314"/>
      <c r="N370" s="314"/>
      <c r="O370" s="314"/>
      <c r="P370" s="314"/>
      <c r="Q370" s="314"/>
      <c r="R370" s="314"/>
      <c r="S370" s="314"/>
      <c r="T370" s="314"/>
      <c r="U370" s="314"/>
      <c r="V370" s="314"/>
      <c r="W370" s="313"/>
      <c r="X370" s="313"/>
      <c r="Y370" s="314"/>
      <c r="Z370" s="335"/>
      <c r="AA370" s="313"/>
      <c r="AB370" s="324"/>
      <c r="AC370" s="155"/>
      <c r="AD370" s="155"/>
      <c r="AE370" s="322"/>
      <c r="AF370" s="155"/>
      <c r="AG370" s="132"/>
    </row>
    <row r="371">
      <c r="A371" s="311"/>
      <c r="B371" s="313"/>
      <c r="C371" s="313"/>
      <c r="D371" s="313"/>
      <c r="E371" s="314"/>
      <c r="F371" s="314"/>
      <c r="G371" s="314"/>
      <c r="H371" s="314"/>
      <c r="I371" s="314"/>
      <c r="J371" s="314"/>
      <c r="K371" s="314"/>
      <c r="L371" s="314"/>
      <c r="M371" s="314"/>
      <c r="N371" s="314"/>
      <c r="O371" s="314"/>
      <c r="P371" s="314"/>
      <c r="Q371" s="314"/>
      <c r="R371" s="314"/>
      <c r="S371" s="314"/>
      <c r="T371" s="314"/>
      <c r="U371" s="314"/>
      <c r="V371" s="314"/>
      <c r="W371" s="313"/>
      <c r="X371" s="313"/>
      <c r="Y371" s="314"/>
      <c r="Z371" s="335"/>
      <c r="AA371" s="313"/>
      <c r="AB371" s="324"/>
      <c r="AC371" s="155"/>
      <c r="AD371" s="155"/>
      <c r="AE371" s="322"/>
      <c r="AF371" s="155"/>
      <c r="AG371" s="132"/>
    </row>
    <row r="372">
      <c r="A372" s="311"/>
      <c r="B372" s="313"/>
      <c r="C372" s="313"/>
      <c r="D372" s="313"/>
      <c r="E372" s="314"/>
      <c r="F372" s="314"/>
      <c r="G372" s="314"/>
      <c r="H372" s="314"/>
      <c r="I372" s="314"/>
      <c r="J372" s="314"/>
      <c r="K372" s="314"/>
      <c r="L372" s="314"/>
      <c r="M372" s="314"/>
      <c r="N372" s="314"/>
      <c r="O372" s="314"/>
      <c r="P372" s="314"/>
      <c r="Q372" s="314"/>
      <c r="R372" s="314"/>
      <c r="S372" s="314"/>
      <c r="T372" s="314"/>
      <c r="U372" s="314"/>
      <c r="V372" s="314"/>
      <c r="W372" s="313"/>
      <c r="X372" s="313"/>
      <c r="Y372" s="314"/>
      <c r="Z372" s="335"/>
      <c r="AA372" s="313"/>
      <c r="AB372" s="324"/>
      <c r="AC372" s="155"/>
      <c r="AD372" s="155"/>
      <c r="AE372" s="322"/>
      <c r="AF372" s="155"/>
      <c r="AG372" s="132"/>
    </row>
    <row r="373">
      <c r="A373" s="311"/>
      <c r="B373" s="313"/>
      <c r="C373" s="313"/>
      <c r="D373" s="313"/>
      <c r="E373" s="314"/>
      <c r="F373" s="314"/>
      <c r="G373" s="314"/>
      <c r="H373" s="314"/>
      <c r="I373" s="314"/>
      <c r="J373" s="314"/>
      <c r="K373" s="314"/>
      <c r="L373" s="314"/>
      <c r="M373" s="314"/>
      <c r="N373" s="314"/>
      <c r="O373" s="314"/>
      <c r="P373" s="314"/>
      <c r="Q373" s="314"/>
      <c r="R373" s="314"/>
      <c r="S373" s="314"/>
      <c r="T373" s="314"/>
      <c r="U373" s="314"/>
      <c r="V373" s="314"/>
      <c r="W373" s="313"/>
      <c r="X373" s="313"/>
      <c r="Y373" s="314"/>
      <c r="Z373" s="335"/>
      <c r="AA373" s="313"/>
      <c r="AB373" s="324"/>
      <c r="AC373" s="155"/>
      <c r="AD373" s="155"/>
      <c r="AE373" s="322"/>
      <c r="AF373" s="155"/>
      <c r="AG373" s="132"/>
    </row>
    <row r="374">
      <c r="A374" s="311"/>
      <c r="B374" s="313"/>
      <c r="C374" s="313"/>
      <c r="D374" s="313"/>
      <c r="E374" s="314"/>
      <c r="F374" s="314"/>
      <c r="G374" s="314"/>
      <c r="H374" s="314"/>
      <c r="I374" s="314"/>
      <c r="J374" s="314"/>
      <c r="K374" s="314"/>
      <c r="L374" s="314"/>
      <c r="M374" s="314"/>
      <c r="N374" s="314"/>
      <c r="O374" s="314"/>
      <c r="P374" s="314"/>
      <c r="Q374" s="314"/>
      <c r="R374" s="314"/>
      <c r="S374" s="314"/>
      <c r="T374" s="314"/>
      <c r="U374" s="314"/>
      <c r="V374" s="314"/>
      <c r="W374" s="313"/>
      <c r="X374" s="313"/>
      <c r="Y374" s="314"/>
      <c r="Z374" s="335"/>
      <c r="AA374" s="313"/>
      <c r="AB374" s="324"/>
      <c r="AC374" s="155"/>
      <c r="AD374" s="155"/>
      <c r="AE374" s="322"/>
      <c r="AF374" s="155"/>
      <c r="AG374" s="132"/>
    </row>
    <row r="375">
      <c r="A375" s="311"/>
      <c r="B375" s="313"/>
      <c r="C375" s="313"/>
      <c r="D375" s="313"/>
      <c r="E375" s="314"/>
      <c r="F375" s="314"/>
      <c r="G375" s="314"/>
      <c r="H375" s="314"/>
      <c r="I375" s="314"/>
      <c r="J375" s="314"/>
      <c r="K375" s="314"/>
      <c r="L375" s="314"/>
      <c r="M375" s="314"/>
      <c r="N375" s="314"/>
      <c r="O375" s="314"/>
      <c r="P375" s="314"/>
      <c r="Q375" s="314"/>
      <c r="R375" s="314"/>
      <c r="S375" s="314"/>
      <c r="T375" s="314"/>
      <c r="U375" s="314"/>
      <c r="V375" s="314"/>
      <c r="W375" s="313"/>
      <c r="X375" s="313"/>
      <c r="Y375" s="314"/>
      <c r="Z375" s="335"/>
      <c r="AA375" s="313"/>
      <c r="AB375" s="324"/>
      <c r="AC375" s="155"/>
      <c r="AD375" s="155"/>
      <c r="AE375" s="322"/>
      <c r="AF375" s="155"/>
      <c r="AG375" s="132"/>
    </row>
    <row r="376">
      <c r="A376" s="311"/>
      <c r="B376" s="313"/>
      <c r="C376" s="313"/>
      <c r="D376" s="313"/>
      <c r="E376" s="314"/>
      <c r="F376" s="314"/>
      <c r="G376" s="314"/>
      <c r="H376" s="314"/>
      <c r="I376" s="314"/>
      <c r="J376" s="314"/>
      <c r="K376" s="314"/>
      <c r="L376" s="314"/>
      <c r="M376" s="314"/>
      <c r="N376" s="314"/>
      <c r="O376" s="314"/>
      <c r="P376" s="314"/>
      <c r="Q376" s="314"/>
      <c r="R376" s="314"/>
      <c r="S376" s="314"/>
      <c r="T376" s="314"/>
      <c r="U376" s="314"/>
      <c r="V376" s="314"/>
      <c r="W376" s="313"/>
      <c r="X376" s="313"/>
      <c r="Y376" s="314"/>
      <c r="Z376" s="335"/>
      <c r="AA376" s="313"/>
      <c r="AB376" s="324"/>
      <c r="AC376" s="155"/>
      <c r="AD376" s="155"/>
      <c r="AE376" s="322"/>
      <c r="AF376" s="155"/>
      <c r="AG376" s="132"/>
    </row>
    <row r="377">
      <c r="A377" s="311"/>
      <c r="B377" s="313"/>
      <c r="C377" s="313"/>
      <c r="D377" s="313"/>
      <c r="E377" s="314"/>
      <c r="F377" s="314"/>
      <c r="G377" s="314"/>
      <c r="H377" s="314"/>
      <c r="I377" s="314"/>
      <c r="J377" s="314"/>
      <c r="K377" s="314"/>
      <c r="L377" s="314"/>
      <c r="M377" s="314"/>
      <c r="N377" s="314"/>
      <c r="O377" s="314"/>
      <c r="P377" s="314"/>
      <c r="Q377" s="314"/>
      <c r="R377" s="314"/>
      <c r="S377" s="314"/>
      <c r="T377" s="314"/>
      <c r="U377" s="314"/>
      <c r="V377" s="314"/>
      <c r="W377" s="313"/>
      <c r="X377" s="313"/>
      <c r="Y377" s="314"/>
      <c r="Z377" s="335"/>
      <c r="AA377" s="313"/>
      <c r="AB377" s="324"/>
      <c r="AC377" s="155"/>
      <c r="AD377" s="155"/>
      <c r="AE377" s="322"/>
      <c r="AF377" s="155"/>
      <c r="AG377" s="132"/>
    </row>
    <row r="378">
      <c r="A378" s="311"/>
      <c r="B378" s="313"/>
      <c r="C378" s="313"/>
      <c r="D378" s="313"/>
      <c r="E378" s="314"/>
      <c r="F378" s="314"/>
      <c r="G378" s="314"/>
      <c r="H378" s="314"/>
      <c r="I378" s="314"/>
      <c r="J378" s="314"/>
      <c r="K378" s="314"/>
      <c r="L378" s="314"/>
      <c r="M378" s="314"/>
      <c r="N378" s="314"/>
      <c r="O378" s="314"/>
      <c r="P378" s="314"/>
      <c r="Q378" s="314"/>
      <c r="R378" s="314"/>
      <c r="S378" s="314"/>
      <c r="T378" s="314"/>
      <c r="U378" s="314"/>
      <c r="V378" s="314"/>
      <c r="W378" s="313"/>
      <c r="X378" s="313"/>
      <c r="Y378" s="314"/>
      <c r="Z378" s="335"/>
      <c r="AA378" s="313"/>
      <c r="AB378" s="324"/>
      <c r="AC378" s="155"/>
      <c r="AD378" s="155"/>
      <c r="AE378" s="322"/>
      <c r="AF378" s="155"/>
      <c r="AG378" s="132"/>
    </row>
    <row r="379">
      <c r="A379" s="311"/>
      <c r="B379" s="313"/>
      <c r="C379" s="313"/>
      <c r="D379" s="313"/>
      <c r="E379" s="314"/>
      <c r="F379" s="314"/>
      <c r="G379" s="314"/>
      <c r="H379" s="314"/>
      <c r="I379" s="314"/>
      <c r="J379" s="314"/>
      <c r="K379" s="314"/>
      <c r="L379" s="314"/>
      <c r="M379" s="314"/>
      <c r="N379" s="314"/>
      <c r="O379" s="314"/>
      <c r="P379" s="314"/>
      <c r="Q379" s="314"/>
      <c r="R379" s="314"/>
      <c r="S379" s="314"/>
      <c r="T379" s="314"/>
      <c r="U379" s="314"/>
      <c r="V379" s="314"/>
      <c r="W379" s="313"/>
      <c r="X379" s="313"/>
      <c r="Y379" s="314"/>
      <c r="Z379" s="335"/>
      <c r="AA379" s="313"/>
      <c r="AB379" s="324"/>
      <c r="AC379" s="155"/>
      <c r="AD379" s="155"/>
      <c r="AE379" s="322"/>
      <c r="AF379" s="155"/>
      <c r="AG379" s="132"/>
    </row>
    <row r="380">
      <c r="A380" s="311"/>
      <c r="B380" s="313"/>
      <c r="C380" s="313"/>
      <c r="D380" s="313"/>
      <c r="E380" s="314"/>
      <c r="F380" s="314"/>
      <c r="G380" s="314"/>
      <c r="H380" s="314"/>
      <c r="I380" s="314"/>
      <c r="J380" s="314"/>
      <c r="K380" s="314"/>
      <c r="L380" s="314"/>
      <c r="M380" s="314"/>
      <c r="N380" s="314"/>
      <c r="O380" s="314"/>
      <c r="P380" s="314"/>
      <c r="Q380" s="314"/>
      <c r="R380" s="314"/>
      <c r="S380" s="314"/>
      <c r="T380" s="314"/>
      <c r="U380" s="314"/>
      <c r="V380" s="314"/>
      <c r="W380" s="313"/>
      <c r="X380" s="313"/>
      <c r="Y380" s="314"/>
      <c r="Z380" s="335"/>
      <c r="AA380" s="313"/>
      <c r="AB380" s="324"/>
      <c r="AC380" s="155"/>
      <c r="AD380" s="155"/>
      <c r="AE380" s="322"/>
      <c r="AF380" s="155"/>
      <c r="AG380" s="132"/>
    </row>
    <row r="381">
      <c r="A381" s="311"/>
      <c r="B381" s="313"/>
      <c r="C381" s="313"/>
      <c r="D381" s="313"/>
      <c r="E381" s="314"/>
      <c r="F381" s="314"/>
      <c r="G381" s="314"/>
      <c r="H381" s="314"/>
      <c r="I381" s="314"/>
      <c r="J381" s="314"/>
      <c r="K381" s="314"/>
      <c r="L381" s="314"/>
      <c r="M381" s="314"/>
      <c r="N381" s="314"/>
      <c r="O381" s="314"/>
      <c r="P381" s="314"/>
      <c r="Q381" s="314"/>
      <c r="R381" s="314"/>
      <c r="S381" s="314"/>
      <c r="T381" s="314"/>
      <c r="U381" s="314"/>
      <c r="V381" s="314"/>
      <c r="W381" s="313"/>
      <c r="X381" s="313"/>
      <c r="Y381" s="314"/>
      <c r="Z381" s="335"/>
      <c r="AA381" s="313"/>
      <c r="AB381" s="324"/>
      <c r="AC381" s="155"/>
      <c r="AD381" s="155"/>
      <c r="AE381" s="322"/>
      <c r="AF381" s="155"/>
      <c r="AG381" s="132"/>
    </row>
    <row r="382">
      <c r="A382" s="311"/>
      <c r="B382" s="313"/>
      <c r="C382" s="313"/>
      <c r="D382" s="313"/>
      <c r="E382" s="314"/>
      <c r="F382" s="314"/>
      <c r="G382" s="314"/>
      <c r="H382" s="314"/>
      <c r="I382" s="314"/>
      <c r="J382" s="314"/>
      <c r="K382" s="314"/>
      <c r="L382" s="314"/>
      <c r="M382" s="314"/>
      <c r="N382" s="314"/>
      <c r="O382" s="314"/>
      <c r="P382" s="314"/>
      <c r="Q382" s="314"/>
      <c r="R382" s="314"/>
      <c r="S382" s="314"/>
      <c r="T382" s="314"/>
      <c r="U382" s="314"/>
      <c r="V382" s="314"/>
      <c r="W382" s="313"/>
      <c r="X382" s="313"/>
      <c r="Y382" s="314"/>
      <c r="Z382" s="335"/>
      <c r="AA382" s="313"/>
      <c r="AB382" s="324"/>
      <c r="AC382" s="155"/>
      <c r="AD382" s="155"/>
      <c r="AE382" s="322"/>
      <c r="AF382" s="155"/>
      <c r="AG382" s="132"/>
    </row>
    <row r="383">
      <c r="A383" s="311"/>
      <c r="B383" s="313"/>
      <c r="C383" s="313"/>
      <c r="D383" s="313"/>
      <c r="E383" s="314"/>
      <c r="F383" s="314"/>
      <c r="G383" s="314"/>
      <c r="H383" s="314"/>
      <c r="I383" s="314"/>
      <c r="J383" s="314"/>
      <c r="K383" s="314"/>
      <c r="L383" s="314"/>
      <c r="M383" s="314"/>
      <c r="N383" s="314"/>
      <c r="O383" s="314"/>
      <c r="P383" s="314"/>
      <c r="Q383" s="314"/>
      <c r="R383" s="314"/>
      <c r="S383" s="314"/>
      <c r="T383" s="314"/>
      <c r="U383" s="314"/>
      <c r="V383" s="314"/>
      <c r="W383" s="313"/>
      <c r="X383" s="313"/>
      <c r="Y383" s="314"/>
      <c r="Z383" s="335"/>
      <c r="AA383" s="313"/>
      <c r="AB383" s="324"/>
      <c r="AC383" s="155"/>
      <c r="AD383" s="155"/>
      <c r="AE383" s="322"/>
      <c r="AF383" s="155"/>
      <c r="AG383" s="132"/>
    </row>
    <row r="384">
      <c r="A384" s="311"/>
      <c r="B384" s="313"/>
      <c r="C384" s="313"/>
      <c r="D384" s="313"/>
      <c r="E384" s="314"/>
      <c r="F384" s="314"/>
      <c r="G384" s="314"/>
      <c r="H384" s="314"/>
      <c r="I384" s="314"/>
      <c r="J384" s="314"/>
      <c r="K384" s="314"/>
      <c r="L384" s="314"/>
      <c r="M384" s="314"/>
      <c r="N384" s="314"/>
      <c r="O384" s="314"/>
      <c r="P384" s="314"/>
      <c r="Q384" s="314"/>
      <c r="R384" s="314"/>
      <c r="S384" s="314"/>
      <c r="T384" s="314"/>
      <c r="U384" s="314"/>
      <c r="V384" s="314"/>
      <c r="W384" s="313"/>
      <c r="X384" s="313"/>
      <c r="Y384" s="314"/>
      <c r="Z384" s="335"/>
      <c r="AA384" s="313"/>
      <c r="AB384" s="324"/>
      <c r="AC384" s="155"/>
      <c r="AD384" s="155"/>
      <c r="AE384" s="322"/>
      <c r="AF384" s="155"/>
      <c r="AG384" s="132"/>
    </row>
    <row r="385">
      <c r="A385" s="311"/>
      <c r="B385" s="313"/>
      <c r="C385" s="313"/>
      <c r="D385" s="313"/>
      <c r="E385" s="314"/>
      <c r="F385" s="314"/>
      <c r="G385" s="314"/>
      <c r="H385" s="314"/>
      <c r="I385" s="314"/>
      <c r="J385" s="314"/>
      <c r="K385" s="314"/>
      <c r="L385" s="314"/>
      <c r="M385" s="314"/>
      <c r="N385" s="314"/>
      <c r="O385" s="314"/>
      <c r="P385" s="314"/>
      <c r="Q385" s="314"/>
      <c r="R385" s="314"/>
      <c r="S385" s="314"/>
      <c r="T385" s="314"/>
      <c r="U385" s="314"/>
      <c r="V385" s="314"/>
      <c r="W385" s="313"/>
      <c r="X385" s="313"/>
      <c r="Y385" s="314"/>
      <c r="Z385" s="335"/>
      <c r="AA385" s="313"/>
      <c r="AB385" s="324"/>
      <c r="AC385" s="155"/>
      <c r="AD385" s="155"/>
      <c r="AE385" s="322"/>
      <c r="AF385" s="155"/>
      <c r="AG385" s="132"/>
    </row>
    <row r="386">
      <c r="A386" s="311"/>
      <c r="B386" s="313"/>
      <c r="C386" s="313"/>
      <c r="D386" s="313"/>
      <c r="E386" s="314"/>
      <c r="F386" s="314"/>
      <c r="G386" s="314"/>
      <c r="H386" s="314"/>
      <c r="I386" s="314"/>
      <c r="J386" s="314"/>
      <c r="K386" s="314"/>
      <c r="L386" s="314"/>
      <c r="M386" s="314"/>
      <c r="N386" s="314"/>
      <c r="O386" s="314"/>
      <c r="P386" s="314"/>
      <c r="Q386" s="314"/>
      <c r="R386" s="314"/>
      <c r="S386" s="314"/>
      <c r="T386" s="314"/>
      <c r="U386" s="314"/>
      <c r="V386" s="314"/>
      <c r="W386" s="313"/>
      <c r="X386" s="313"/>
      <c r="Y386" s="314"/>
      <c r="Z386" s="335"/>
      <c r="AA386" s="313"/>
      <c r="AB386" s="324"/>
      <c r="AC386" s="155"/>
      <c r="AD386" s="155"/>
      <c r="AE386" s="322"/>
      <c r="AF386" s="155"/>
      <c r="AG386" s="132"/>
    </row>
    <row r="387">
      <c r="A387" s="311"/>
      <c r="B387" s="313"/>
      <c r="C387" s="313"/>
      <c r="D387" s="313"/>
      <c r="E387" s="314"/>
      <c r="F387" s="314"/>
      <c r="G387" s="314"/>
      <c r="H387" s="314"/>
      <c r="I387" s="314"/>
      <c r="J387" s="314"/>
      <c r="K387" s="314"/>
      <c r="L387" s="314"/>
      <c r="M387" s="314"/>
      <c r="N387" s="314"/>
      <c r="O387" s="314"/>
      <c r="P387" s="314"/>
      <c r="Q387" s="314"/>
      <c r="R387" s="314"/>
      <c r="S387" s="314"/>
      <c r="T387" s="314"/>
      <c r="U387" s="314"/>
      <c r="V387" s="314"/>
      <c r="W387" s="313"/>
      <c r="X387" s="313"/>
      <c r="Y387" s="314"/>
      <c r="Z387" s="335"/>
      <c r="AA387" s="313"/>
      <c r="AB387" s="324"/>
      <c r="AC387" s="155"/>
      <c r="AD387" s="155"/>
      <c r="AE387" s="322"/>
      <c r="AF387" s="155"/>
      <c r="AG387" s="132"/>
    </row>
    <row r="388">
      <c r="A388" s="311"/>
      <c r="B388" s="313"/>
      <c r="C388" s="313"/>
      <c r="D388" s="313"/>
      <c r="E388" s="314"/>
      <c r="F388" s="314"/>
      <c r="G388" s="314"/>
      <c r="H388" s="314"/>
      <c r="I388" s="314"/>
      <c r="J388" s="314"/>
      <c r="K388" s="314"/>
      <c r="L388" s="314"/>
      <c r="M388" s="314"/>
      <c r="N388" s="314"/>
      <c r="O388" s="314"/>
      <c r="P388" s="314"/>
      <c r="Q388" s="314"/>
      <c r="R388" s="314"/>
      <c r="S388" s="314"/>
      <c r="T388" s="314"/>
      <c r="U388" s="314"/>
      <c r="V388" s="314"/>
      <c r="W388" s="313"/>
      <c r="X388" s="313"/>
      <c r="Y388" s="314"/>
      <c r="Z388" s="335"/>
      <c r="AA388" s="313"/>
      <c r="AB388" s="324"/>
      <c r="AC388" s="155"/>
      <c r="AD388" s="155"/>
      <c r="AE388" s="322"/>
      <c r="AF388" s="155"/>
      <c r="AG388" s="132"/>
    </row>
    <row r="389">
      <c r="A389" s="311"/>
      <c r="B389" s="313"/>
      <c r="C389" s="313"/>
      <c r="D389" s="313"/>
      <c r="E389" s="314"/>
      <c r="F389" s="314"/>
      <c r="G389" s="314"/>
      <c r="H389" s="314"/>
      <c r="I389" s="314"/>
      <c r="J389" s="314"/>
      <c r="K389" s="314"/>
      <c r="L389" s="314"/>
      <c r="M389" s="314"/>
      <c r="N389" s="314"/>
      <c r="O389" s="314"/>
      <c r="P389" s="314"/>
      <c r="Q389" s="314"/>
      <c r="R389" s="314"/>
      <c r="S389" s="314"/>
      <c r="T389" s="314"/>
      <c r="U389" s="314"/>
      <c r="V389" s="314"/>
      <c r="W389" s="313"/>
      <c r="X389" s="313"/>
      <c r="Y389" s="314"/>
      <c r="Z389" s="335"/>
      <c r="AA389" s="313"/>
      <c r="AB389" s="324"/>
      <c r="AC389" s="155"/>
      <c r="AD389" s="155"/>
      <c r="AE389" s="322"/>
      <c r="AF389" s="155"/>
      <c r="AG389" s="132"/>
    </row>
    <row r="390">
      <c r="A390" s="311"/>
      <c r="B390" s="313"/>
      <c r="C390" s="313"/>
      <c r="D390" s="313"/>
      <c r="E390" s="314"/>
      <c r="F390" s="314"/>
      <c r="G390" s="314"/>
      <c r="H390" s="314"/>
      <c r="I390" s="314"/>
      <c r="J390" s="314"/>
      <c r="K390" s="314"/>
      <c r="L390" s="314"/>
      <c r="M390" s="314"/>
      <c r="N390" s="314"/>
      <c r="O390" s="314"/>
      <c r="P390" s="314"/>
      <c r="Q390" s="314"/>
      <c r="R390" s="314"/>
      <c r="S390" s="314"/>
      <c r="T390" s="314"/>
      <c r="U390" s="314"/>
      <c r="V390" s="314"/>
      <c r="W390" s="313"/>
      <c r="X390" s="313"/>
      <c r="Y390" s="314"/>
      <c r="Z390" s="335"/>
      <c r="AA390" s="313"/>
      <c r="AB390" s="324"/>
      <c r="AC390" s="155"/>
      <c r="AD390" s="155"/>
      <c r="AE390" s="322"/>
      <c r="AF390" s="155"/>
      <c r="AG390" s="132"/>
    </row>
    <row r="391">
      <c r="A391" s="311"/>
      <c r="B391" s="313"/>
      <c r="C391" s="313"/>
      <c r="D391" s="313"/>
      <c r="E391" s="314"/>
      <c r="F391" s="314"/>
      <c r="G391" s="314"/>
      <c r="H391" s="314"/>
      <c r="I391" s="314"/>
      <c r="J391" s="314"/>
      <c r="K391" s="314"/>
      <c r="L391" s="314"/>
      <c r="M391" s="314"/>
      <c r="N391" s="314"/>
      <c r="O391" s="314"/>
      <c r="P391" s="314"/>
      <c r="Q391" s="314"/>
      <c r="R391" s="314"/>
      <c r="S391" s="314"/>
      <c r="T391" s="314"/>
      <c r="U391" s="314"/>
      <c r="V391" s="314"/>
      <c r="W391" s="313"/>
      <c r="X391" s="313"/>
      <c r="Y391" s="314"/>
      <c r="Z391" s="335"/>
      <c r="AA391" s="313"/>
      <c r="AB391" s="324"/>
      <c r="AC391" s="155"/>
      <c r="AD391" s="155"/>
      <c r="AE391" s="322"/>
      <c r="AF391" s="155"/>
      <c r="AG391" s="132"/>
    </row>
    <row r="392">
      <c r="A392" s="311"/>
      <c r="B392" s="313"/>
      <c r="C392" s="313"/>
      <c r="D392" s="313"/>
      <c r="E392" s="314"/>
      <c r="F392" s="314"/>
      <c r="G392" s="314"/>
      <c r="H392" s="314"/>
      <c r="I392" s="314"/>
      <c r="J392" s="314"/>
      <c r="K392" s="314"/>
      <c r="L392" s="314"/>
      <c r="M392" s="314"/>
      <c r="N392" s="314"/>
      <c r="O392" s="314"/>
      <c r="P392" s="314"/>
      <c r="Q392" s="314"/>
      <c r="R392" s="314"/>
      <c r="S392" s="314"/>
      <c r="T392" s="314"/>
      <c r="U392" s="314"/>
      <c r="V392" s="314"/>
      <c r="W392" s="313"/>
      <c r="X392" s="313"/>
      <c r="Y392" s="314"/>
      <c r="Z392" s="335"/>
      <c r="AA392" s="313"/>
      <c r="AB392" s="324"/>
      <c r="AC392" s="155"/>
      <c r="AD392" s="155"/>
      <c r="AE392" s="322"/>
      <c r="AF392" s="155"/>
      <c r="AG392" s="132"/>
    </row>
    <row r="393">
      <c r="A393" s="311"/>
      <c r="B393" s="313"/>
      <c r="C393" s="313"/>
      <c r="D393" s="313"/>
      <c r="E393" s="314"/>
      <c r="F393" s="314"/>
      <c r="G393" s="314"/>
      <c r="H393" s="314"/>
      <c r="I393" s="314"/>
      <c r="J393" s="314"/>
      <c r="K393" s="314"/>
      <c r="L393" s="314"/>
      <c r="M393" s="314"/>
      <c r="N393" s="314"/>
      <c r="O393" s="314"/>
      <c r="P393" s="314"/>
      <c r="Q393" s="314"/>
      <c r="R393" s="314"/>
      <c r="S393" s="314"/>
      <c r="T393" s="314"/>
      <c r="U393" s="314"/>
      <c r="V393" s="314"/>
      <c r="W393" s="313"/>
      <c r="X393" s="313"/>
      <c r="Y393" s="314"/>
      <c r="Z393" s="335"/>
      <c r="AA393" s="313"/>
      <c r="AB393" s="324"/>
      <c r="AC393" s="155"/>
      <c r="AD393" s="155"/>
      <c r="AE393" s="322"/>
      <c r="AF393" s="155"/>
      <c r="AG393" s="132"/>
    </row>
    <row r="394">
      <c r="A394" s="311"/>
      <c r="B394" s="313"/>
      <c r="C394" s="313"/>
      <c r="D394" s="313"/>
      <c r="E394" s="314"/>
      <c r="F394" s="314"/>
      <c r="G394" s="314"/>
      <c r="H394" s="314"/>
      <c r="I394" s="314"/>
      <c r="J394" s="314"/>
      <c r="K394" s="314"/>
      <c r="L394" s="314"/>
      <c r="M394" s="314"/>
      <c r="N394" s="314"/>
      <c r="O394" s="314"/>
      <c r="P394" s="314"/>
      <c r="Q394" s="314"/>
      <c r="R394" s="314"/>
      <c r="S394" s="314"/>
      <c r="T394" s="314"/>
      <c r="U394" s="314"/>
      <c r="V394" s="314"/>
      <c r="W394" s="313"/>
      <c r="X394" s="313"/>
      <c r="Y394" s="314"/>
      <c r="Z394" s="335"/>
      <c r="AA394" s="313"/>
      <c r="AB394" s="324"/>
      <c r="AC394" s="155"/>
      <c r="AD394" s="155"/>
      <c r="AE394" s="322"/>
      <c r="AF394" s="155"/>
      <c r="AG394" s="132"/>
    </row>
    <row r="395">
      <c r="A395" s="311"/>
      <c r="B395" s="313"/>
      <c r="C395" s="313"/>
      <c r="D395" s="313"/>
      <c r="E395" s="314"/>
      <c r="F395" s="314"/>
      <c r="G395" s="314"/>
      <c r="H395" s="314"/>
      <c r="I395" s="314"/>
      <c r="J395" s="314"/>
      <c r="K395" s="314"/>
      <c r="L395" s="314"/>
      <c r="M395" s="314"/>
      <c r="N395" s="314"/>
      <c r="O395" s="314"/>
      <c r="P395" s="314"/>
      <c r="Q395" s="314"/>
      <c r="R395" s="314"/>
      <c r="S395" s="314"/>
      <c r="T395" s="314"/>
      <c r="U395" s="314"/>
      <c r="V395" s="314"/>
      <c r="W395" s="313"/>
      <c r="X395" s="313"/>
      <c r="Y395" s="314"/>
      <c r="Z395" s="335"/>
      <c r="AA395" s="313"/>
      <c r="AB395" s="324"/>
      <c r="AC395" s="155"/>
      <c r="AD395" s="155"/>
      <c r="AE395" s="322"/>
      <c r="AF395" s="155"/>
      <c r="AG395" s="132"/>
    </row>
    <row r="396">
      <c r="A396" s="311"/>
      <c r="B396" s="313"/>
      <c r="C396" s="313"/>
      <c r="D396" s="313"/>
      <c r="E396" s="314"/>
      <c r="F396" s="314"/>
      <c r="G396" s="314"/>
      <c r="H396" s="314"/>
      <c r="I396" s="314"/>
      <c r="J396" s="314"/>
      <c r="K396" s="314"/>
      <c r="L396" s="314"/>
      <c r="M396" s="314"/>
      <c r="N396" s="314"/>
      <c r="O396" s="314"/>
      <c r="P396" s="314"/>
      <c r="Q396" s="314"/>
      <c r="R396" s="314"/>
      <c r="S396" s="314"/>
      <c r="T396" s="314"/>
      <c r="U396" s="314"/>
      <c r="V396" s="314"/>
      <c r="W396" s="313"/>
      <c r="X396" s="313"/>
      <c r="Y396" s="314"/>
      <c r="Z396" s="335"/>
      <c r="AA396" s="313"/>
      <c r="AB396" s="324"/>
      <c r="AC396" s="155"/>
      <c r="AD396" s="155"/>
      <c r="AE396" s="322"/>
      <c r="AF396" s="155"/>
      <c r="AG396" s="132"/>
    </row>
    <row r="397">
      <c r="A397" s="311"/>
      <c r="B397" s="313"/>
      <c r="C397" s="313"/>
      <c r="D397" s="313"/>
      <c r="E397" s="314"/>
      <c r="F397" s="314"/>
      <c r="G397" s="314"/>
      <c r="H397" s="314"/>
      <c r="I397" s="314"/>
      <c r="J397" s="314"/>
      <c r="K397" s="314"/>
      <c r="L397" s="314"/>
      <c r="M397" s="314"/>
      <c r="N397" s="314"/>
      <c r="O397" s="314"/>
      <c r="P397" s="314"/>
      <c r="Q397" s="314"/>
      <c r="R397" s="314"/>
      <c r="S397" s="314"/>
      <c r="T397" s="314"/>
      <c r="U397" s="314"/>
      <c r="V397" s="314"/>
      <c r="W397" s="313"/>
      <c r="X397" s="313"/>
      <c r="Y397" s="314"/>
      <c r="Z397" s="335"/>
      <c r="AA397" s="313"/>
      <c r="AB397" s="324"/>
      <c r="AC397" s="155"/>
      <c r="AD397" s="155"/>
      <c r="AE397" s="322"/>
      <c r="AF397" s="155"/>
      <c r="AG397" s="132"/>
    </row>
    <row r="398">
      <c r="A398" s="311"/>
      <c r="B398" s="313"/>
      <c r="C398" s="313"/>
      <c r="D398" s="313"/>
      <c r="E398" s="314"/>
      <c r="F398" s="314"/>
      <c r="G398" s="314"/>
      <c r="H398" s="314"/>
      <c r="I398" s="314"/>
      <c r="J398" s="314"/>
      <c r="K398" s="314"/>
      <c r="L398" s="314"/>
      <c r="M398" s="314"/>
      <c r="N398" s="314"/>
      <c r="O398" s="314"/>
      <c r="P398" s="314"/>
      <c r="Q398" s="314"/>
      <c r="R398" s="314"/>
      <c r="S398" s="314"/>
      <c r="T398" s="314"/>
      <c r="U398" s="314"/>
      <c r="V398" s="314"/>
      <c r="W398" s="313"/>
      <c r="X398" s="313"/>
      <c r="Y398" s="314"/>
      <c r="Z398" s="335"/>
      <c r="AA398" s="313"/>
      <c r="AB398" s="324"/>
      <c r="AC398" s="155"/>
      <c r="AD398" s="155"/>
      <c r="AE398" s="322"/>
      <c r="AF398" s="155"/>
      <c r="AG398" s="132"/>
    </row>
    <row r="399">
      <c r="A399" s="311"/>
      <c r="B399" s="313"/>
      <c r="C399" s="313"/>
      <c r="D399" s="313"/>
      <c r="E399" s="314"/>
      <c r="F399" s="314"/>
      <c r="G399" s="314"/>
      <c r="H399" s="314"/>
      <c r="I399" s="314"/>
      <c r="J399" s="314"/>
      <c r="K399" s="314"/>
      <c r="L399" s="314"/>
      <c r="M399" s="314"/>
      <c r="N399" s="314"/>
      <c r="O399" s="314"/>
      <c r="P399" s="314"/>
      <c r="Q399" s="314"/>
      <c r="R399" s="314"/>
      <c r="S399" s="314"/>
      <c r="T399" s="314"/>
      <c r="U399" s="314"/>
      <c r="V399" s="314"/>
      <c r="W399" s="313"/>
      <c r="X399" s="313"/>
      <c r="Y399" s="314"/>
      <c r="Z399" s="335"/>
      <c r="AA399" s="313"/>
      <c r="AB399" s="324"/>
      <c r="AC399" s="155"/>
      <c r="AD399" s="155"/>
      <c r="AE399" s="322"/>
      <c r="AF399" s="155"/>
      <c r="AG399" s="132"/>
    </row>
    <row r="400">
      <c r="A400" s="311"/>
      <c r="B400" s="313"/>
      <c r="C400" s="313"/>
      <c r="D400" s="313"/>
      <c r="E400" s="314"/>
      <c r="F400" s="314"/>
      <c r="G400" s="314"/>
      <c r="H400" s="314"/>
      <c r="I400" s="314"/>
      <c r="J400" s="314"/>
      <c r="K400" s="314"/>
      <c r="L400" s="314"/>
      <c r="M400" s="314"/>
      <c r="N400" s="314"/>
      <c r="O400" s="314"/>
      <c r="P400" s="314"/>
      <c r="Q400" s="314"/>
      <c r="R400" s="314"/>
      <c r="S400" s="314"/>
      <c r="T400" s="314"/>
      <c r="U400" s="314"/>
      <c r="V400" s="314"/>
      <c r="W400" s="313"/>
      <c r="X400" s="313"/>
      <c r="Y400" s="314"/>
      <c r="Z400" s="335"/>
      <c r="AA400" s="313"/>
      <c r="AB400" s="324"/>
      <c r="AC400" s="155"/>
      <c r="AD400" s="155"/>
      <c r="AE400" s="322"/>
      <c r="AF400" s="155"/>
      <c r="AG400" s="132"/>
    </row>
    <row r="401">
      <c r="A401" s="311"/>
      <c r="B401" s="313"/>
      <c r="C401" s="313"/>
      <c r="D401" s="313"/>
      <c r="E401" s="314"/>
      <c r="F401" s="314"/>
      <c r="G401" s="314"/>
      <c r="H401" s="314"/>
      <c r="I401" s="314"/>
      <c r="J401" s="314"/>
      <c r="K401" s="314"/>
      <c r="L401" s="314"/>
      <c r="M401" s="314"/>
      <c r="N401" s="314"/>
      <c r="O401" s="314"/>
      <c r="P401" s="314"/>
      <c r="Q401" s="314"/>
      <c r="R401" s="314"/>
      <c r="S401" s="314"/>
      <c r="T401" s="314"/>
      <c r="U401" s="314"/>
      <c r="V401" s="314"/>
      <c r="W401" s="313"/>
      <c r="X401" s="313"/>
      <c r="Y401" s="314"/>
      <c r="Z401" s="335"/>
      <c r="AA401" s="313"/>
      <c r="AB401" s="324"/>
      <c r="AC401" s="155"/>
      <c r="AD401" s="155"/>
      <c r="AE401" s="322"/>
      <c r="AF401" s="155"/>
      <c r="AG401" s="132"/>
    </row>
    <row r="402">
      <c r="A402" s="311"/>
      <c r="B402" s="313"/>
      <c r="C402" s="313"/>
      <c r="D402" s="313"/>
      <c r="E402" s="314"/>
      <c r="F402" s="314"/>
      <c r="G402" s="314"/>
      <c r="H402" s="314"/>
      <c r="I402" s="314"/>
      <c r="J402" s="314"/>
      <c r="K402" s="314"/>
      <c r="L402" s="314"/>
      <c r="M402" s="314"/>
      <c r="N402" s="314"/>
      <c r="O402" s="314"/>
      <c r="P402" s="314"/>
      <c r="Q402" s="314"/>
      <c r="R402" s="314"/>
      <c r="S402" s="314"/>
      <c r="T402" s="314"/>
      <c r="U402" s="314"/>
      <c r="V402" s="314"/>
      <c r="W402" s="313"/>
      <c r="X402" s="313"/>
      <c r="Y402" s="314"/>
      <c r="Z402" s="335"/>
      <c r="AA402" s="313"/>
      <c r="AB402" s="324"/>
      <c r="AC402" s="155"/>
      <c r="AD402" s="155"/>
      <c r="AE402" s="322"/>
      <c r="AF402" s="155"/>
      <c r="AG402" s="132"/>
    </row>
    <row r="403">
      <c r="A403" s="311"/>
      <c r="B403" s="313"/>
      <c r="C403" s="313"/>
      <c r="D403" s="313"/>
      <c r="E403" s="314"/>
      <c r="F403" s="314"/>
      <c r="G403" s="314"/>
      <c r="H403" s="314"/>
      <c r="I403" s="314"/>
      <c r="J403" s="314"/>
      <c r="K403" s="314"/>
      <c r="L403" s="314"/>
      <c r="M403" s="314"/>
      <c r="N403" s="314"/>
      <c r="O403" s="314"/>
      <c r="P403" s="314"/>
      <c r="Q403" s="314"/>
      <c r="R403" s="314"/>
      <c r="S403" s="314"/>
      <c r="T403" s="314"/>
      <c r="U403" s="314"/>
      <c r="V403" s="314"/>
      <c r="W403" s="313"/>
      <c r="X403" s="313"/>
      <c r="Y403" s="314"/>
      <c r="Z403" s="335"/>
      <c r="AA403" s="313"/>
      <c r="AB403" s="324"/>
      <c r="AC403" s="155"/>
      <c r="AD403" s="155"/>
      <c r="AE403" s="322"/>
      <c r="AF403" s="155"/>
      <c r="AG403" s="132"/>
    </row>
    <row r="404">
      <c r="A404" s="311"/>
      <c r="B404" s="313"/>
      <c r="C404" s="313"/>
      <c r="D404" s="313"/>
      <c r="E404" s="314"/>
      <c r="F404" s="314"/>
      <c r="G404" s="314"/>
      <c r="H404" s="314"/>
      <c r="I404" s="314"/>
      <c r="J404" s="314"/>
      <c r="K404" s="314"/>
      <c r="L404" s="314"/>
      <c r="M404" s="314"/>
      <c r="N404" s="314"/>
      <c r="O404" s="314"/>
      <c r="P404" s="314"/>
      <c r="Q404" s="314"/>
      <c r="R404" s="314"/>
      <c r="S404" s="314"/>
      <c r="T404" s="314"/>
      <c r="U404" s="314"/>
      <c r="V404" s="314"/>
      <c r="W404" s="313"/>
      <c r="X404" s="313"/>
      <c r="Y404" s="314"/>
      <c r="Z404" s="335"/>
      <c r="AA404" s="313"/>
      <c r="AB404" s="324"/>
      <c r="AC404" s="155"/>
      <c r="AD404" s="155"/>
      <c r="AE404" s="322"/>
      <c r="AF404" s="155"/>
      <c r="AG404" s="132"/>
    </row>
    <row r="405">
      <c r="A405" s="311"/>
      <c r="B405" s="313"/>
      <c r="C405" s="313"/>
      <c r="D405" s="313"/>
      <c r="E405" s="314"/>
      <c r="F405" s="314"/>
      <c r="G405" s="314"/>
      <c r="H405" s="314"/>
      <c r="I405" s="314"/>
      <c r="J405" s="314"/>
      <c r="K405" s="314"/>
      <c r="L405" s="314"/>
      <c r="M405" s="314"/>
      <c r="N405" s="314"/>
      <c r="O405" s="314"/>
      <c r="P405" s="314"/>
      <c r="Q405" s="314"/>
      <c r="R405" s="314"/>
      <c r="S405" s="314"/>
      <c r="T405" s="314"/>
      <c r="U405" s="314"/>
      <c r="V405" s="314"/>
      <c r="W405" s="313"/>
      <c r="X405" s="313"/>
      <c r="Y405" s="314"/>
      <c r="Z405" s="335"/>
      <c r="AA405" s="313"/>
      <c r="AB405" s="324"/>
      <c r="AC405" s="155"/>
      <c r="AD405" s="155"/>
      <c r="AE405" s="322"/>
      <c r="AF405" s="155"/>
      <c r="AG405" s="132"/>
    </row>
    <row r="406">
      <c r="A406" s="311"/>
      <c r="B406" s="313"/>
      <c r="C406" s="313"/>
      <c r="D406" s="313"/>
      <c r="E406" s="314"/>
      <c r="F406" s="314"/>
      <c r="G406" s="314"/>
      <c r="H406" s="314"/>
      <c r="I406" s="314"/>
      <c r="J406" s="314"/>
      <c r="K406" s="314"/>
      <c r="L406" s="314"/>
      <c r="M406" s="314"/>
      <c r="N406" s="314"/>
      <c r="O406" s="314"/>
      <c r="P406" s="314"/>
      <c r="Q406" s="314"/>
      <c r="R406" s="314"/>
      <c r="S406" s="314"/>
      <c r="T406" s="314"/>
      <c r="U406" s="314"/>
      <c r="V406" s="314"/>
      <c r="W406" s="313"/>
      <c r="X406" s="313"/>
      <c r="Y406" s="314"/>
      <c r="Z406" s="335"/>
      <c r="AA406" s="313"/>
      <c r="AB406" s="324"/>
      <c r="AC406" s="155"/>
      <c r="AD406" s="155"/>
      <c r="AE406" s="322"/>
      <c r="AF406" s="155"/>
      <c r="AG406" s="132"/>
    </row>
    <row r="407">
      <c r="A407" s="311"/>
      <c r="B407" s="313"/>
      <c r="C407" s="313"/>
      <c r="D407" s="313"/>
      <c r="E407" s="314"/>
      <c r="F407" s="314"/>
      <c r="G407" s="314"/>
      <c r="H407" s="314"/>
      <c r="I407" s="314"/>
      <c r="J407" s="314"/>
      <c r="K407" s="314"/>
      <c r="L407" s="314"/>
      <c r="M407" s="314"/>
      <c r="N407" s="314"/>
      <c r="O407" s="314"/>
      <c r="P407" s="314"/>
      <c r="Q407" s="314"/>
      <c r="R407" s="314"/>
      <c r="S407" s="314"/>
      <c r="T407" s="314"/>
      <c r="U407" s="314"/>
      <c r="V407" s="314"/>
      <c r="W407" s="313"/>
      <c r="X407" s="313"/>
      <c r="Y407" s="314"/>
      <c r="Z407" s="335"/>
      <c r="AA407" s="313"/>
      <c r="AB407" s="324"/>
      <c r="AC407" s="155"/>
      <c r="AD407" s="155"/>
      <c r="AE407" s="322"/>
      <c r="AF407" s="155"/>
      <c r="AG407" s="132"/>
    </row>
    <row r="408">
      <c r="A408" s="311"/>
      <c r="B408" s="313"/>
      <c r="C408" s="313"/>
      <c r="D408" s="313"/>
      <c r="E408" s="314"/>
      <c r="F408" s="314"/>
      <c r="G408" s="314"/>
      <c r="H408" s="314"/>
      <c r="I408" s="314"/>
      <c r="J408" s="314"/>
      <c r="K408" s="314"/>
      <c r="L408" s="314"/>
      <c r="M408" s="314"/>
      <c r="N408" s="314"/>
      <c r="O408" s="314"/>
      <c r="P408" s="314"/>
      <c r="Q408" s="314"/>
      <c r="R408" s="314"/>
      <c r="S408" s="314"/>
      <c r="T408" s="314"/>
      <c r="U408" s="314"/>
      <c r="V408" s="314"/>
      <c r="W408" s="313"/>
      <c r="X408" s="313"/>
      <c r="Y408" s="314"/>
      <c r="Z408" s="335"/>
      <c r="AA408" s="313"/>
      <c r="AB408" s="324"/>
      <c r="AC408" s="155"/>
      <c r="AD408" s="155"/>
      <c r="AE408" s="322"/>
      <c r="AF408" s="155"/>
      <c r="AG408" s="132"/>
    </row>
    <row r="409">
      <c r="A409" s="311"/>
      <c r="B409" s="313"/>
      <c r="C409" s="313"/>
      <c r="D409" s="313"/>
      <c r="E409" s="314"/>
      <c r="F409" s="314"/>
      <c r="G409" s="314"/>
      <c r="H409" s="314"/>
      <c r="I409" s="314"/>
      <c r="J409" s="314"/>
      <c r="K409" s="314"/>
      <c r="L409" s="314"/>
      <c r="M409" s="314"/>
      <c r="N409" s="314"/>
      <c r="O409" s="314"/>
      <c r="P409" s="314"/>
      <c r="Q409" s="314"/>
      <c r="R409" s="314"/>
      <c r="S409" s="314"/>
      <c r="T409" s="314"/>
      <c r="U409" s="314"/>
      <c r="V409" s="314"/>
      <c r="W409" s="313"/>
      <c r="X409" s="313"/>
      <c r="Y409" s="314"/>
      <c r="Z409" s="335"/>
      <c r="AA409" s="313"/>
      <c r="AB409" s="324"/>
      <c r="AC409" s="155"/>
      <c r="AD409" s="155"/>
      <c r="AE409" s="322"/>
      <c r="AF409" s="155"/>
      <c r="AG409" s="132"/>
    </row>
    <row r="410">
      <c r="A410" s="311"/>
      <c r="B410" s="313"/>
      <c r="C410" s="313"/>
      <c r="D410" s="313"/>
      <c r="E410" s="314"/>
      <c r="F410" s="314"/>
      <c r="G410" s="314"/>
      <c r="H410" s="314"/>
      <c r="I410" s="314"/>
      <c r="J410" s="314"/>
      <c r="K410" s="314"/>
      <c r="L410" s="314"/>
      <c r="M410" s="314"/>
      <c r="N410" s="314"/>
      <c r="O410" s="314"/>
      <c r="P410" s="314"/>
      <c r="Q410" s="314"/>
      <c r="R410" s="314"/>
      <c r="S410" s="314"/>
      <c r="T410" s="314"/>
      <c r="U410" s="314"/>
      <c r="V410" s="314"/>
      <c r="W410" s="313"/>
      <c r="X410" s="313"/>
      <c r="Y410" s="314"/>
      <c r="Z410" s="335"/>
      <c r="AA410" s="313"/>
      <c r="AB410" s="324"/>
      <c r="AC410" s="155"/>
      <c r="AD410" s="155"/>
      <c r="AE410" s="322"/>
      <c r="AF410" s="155"/>
      <c r="AG410" s="132"/>
    </row>
    <row r="411">
      <c r="A411" s="311"/>
      <c r="B411" s="313"/>
      <c r="C411" s="313"/>
      <c r="D411" s="313"/>
      <c r="E411" s="314"/>
      <c r="F411" s="314"/>
      <c r="G411" s="314"/>
      <c r="H411" s="314"/>
      <c r="I411" s="314"/>
      <c r="J411" s="314"/>
      <c r="K411" s="314"/>
      <c r="L411" s="314"/>
      <c r="M411" s="314"/>
      <c r="N411" s="314"/>
      <c r="O411" s="314"/>
      <c r="P411" s="314"/>
      <c r="Q411" s="314"/>
      <c r="R411" s="314"/>
      <c r="S411" s="314"/>
      <c r="T411" s="314"/>
      <c r="U411" s="314"/>
      <c r="V411" s="314"/>
      <c r="W411" s="313"/>
      <c r="X411" s="313"/>
      <c r="Y411" s="314"/>
      <c r="Z411" s="335"/>
      <c r="AA411" s="313"/>
      <c r="AB411" s="324"/>
      <c r="AC411" s="155"/>
      <c r="AD411" s="155"/>
      <c r="AE411" s="322"/>
      <c r="AF411" s="155"/>
      <c r="AG411" s="132"/>
    </row>
    <row r="412">
      <c r="A412" s="311"/>
      <c r="B412" s="313"/>
      <c r="C412" s="313"/>
      <c r="D412" s="313"/>
      <c r="E412" s="314"/>
      <c r="F412" s="314"/>
      <c r="G412" s="314"/>
      <c r="H412" s="314"/>
      <c r="I412" s="314"/>
      <c r="J412" s="314"/>
      <c r="K412" s="314"/>
      <c r="L412" s="314"/>
      <c r="M412" s="314"/>
      <c r="N412" s="314"/>
      <c r="O412" s="314"/>
      <c r="P412" s="314"/>
      <c r="Q412" s="314"/>
      <c r="R412" s="314"/>
      <c r="S412" s="314"/>
      <c r="T412" s="314"/>
      <c r="U412" s="314"/>
      <c r="V412" s="314"/>
      <c r="W412" s="313"/>
      <c r="X412" s="313"/>
      <c r="Y412" s="314"/>
      <c r="Z412" s="335"/>
      <c r="AA412" s="313"/>
      <c r="AB412" s="324"/>
      <c r="AC412" s="155"/>
      <c r="AD412" s="155"/>
      <c r="AE412" s="322"/>
      <c r="AF412" s="155"/>
      <c r="AG412" s="132"/>
    </row>
    <row r="413">
      <c r="A413" s="311"/>
      <c r="B413" s="313"/>
      <c r="C413" s="313"/>
      <c r="D413" s="313"/>
      <c r="E413" s="314"/>
      <c r="F413" s="314"/>
      <c r="G413" s="314"/>
      <c r="H413" s="314"/>
      <c r="I413" s="314"/>
      <c r="J413" s="314"/>
      <c r="K413" s="314"/>
      <c r="L413" s="314"/>
      <c r="M413" s="314"/>
      <c r="N413" s="314"/>
      <c r="O413" s="314"/>
      <c r="P413" s="314"/>
      <c r="Q413" s="314"/>
      <c r="R413" s="314"/>
      <c r="S413" s="314"/>
      <c r="T413" s="314"/>
      <c r="U413" s="314"/>
      <c r="V413" s="314"/>
      <c r="W413" s="313"/>
      <c r="X413" s="313"/>
      <c r="Y413" s="314"/>
      <c r="Z413" s="335"/>
      <c r="AA413" s="313"/>
      <c r="AB413" s="324"/>
      <c r="AC413" s="155"/>
      <c r="AD413" s="155"/>
      <c r="AE413" s="322"/>
      <c r="AF413" s="155"/>
      <c r="AG413" s="132"/>
    </row>
    <row r="414">
      <c r="A414" s="311"/>
      <c r="B414" s="313"/>
      <c r="C414" s="313"/>
      <c r="D414" s="313"/>
      <c r="E414" s="314"/>
      <c r="F414" s="314"/>
      <c r="G414" s="314"/>
      <c r="H414" s="314"/>
      <c r="I414" s="314"/>
      <c r="J414" s="314"/>
      <c r="K414" s="314"/>
      <c r="L414" s="314"/>
      <c r="M414" s="314"/>
      <c r="N414" s="314"/>
      <c r="O414" s="314"/>
      <c r="P414" s="314"/>
      <c r="Q414" s="314"/>
      <c r="R414" s="314"/>
      <c r="S414" s="314"/>
      <c r="T414" s="314"/>
      <c r="U414" s="314"/>
      <c r="V414" s="314"/>
      <c r="W414" s="313"/>
      <c r="X414" s="313"/>
      <c r="Y414" s="314"/>
      <c r="Z414" s="335"/>
      <c r="AA414" s="313"/>
      <c r="AB414" s="324"/>
      <c r="AC414" s="155"/>
      <c r="AD414" s="155"/>
      <c r="AE414" s="322"/>
      <c r="AF414" s="155"/>
      <c r="AG414" s="132"/>
    </row>
    <row r="415">
      <c r="A415" s="311"/>
      <c r="B415" s="313"/>
      <c r="C415" s="313"/>
      <c r="D415" s="313"/>
      <c r="E415" s="314"/>
      <c r="F415" s="314"/>
      <c r="G415" s="314"/>
      <c r="H415" s="314"/>
      <c r="I415" s="314"/>
      <c r="J415" s="314"/>
      <c r="K415" s="314"/>
      <c r="L415" s="314"/>
      <c r="M415" s="314"/>
      <c r="N415" s="314"/>
      <c r="O415" s="314"/>
      <c r="P415" s="314"/>
      <c r="Q415" s="314"/>
      <c r="R415" s="314"/>
      <c r="S415" s="314"/>
      <c r="T415" s="314"/>
      <c r="U415" s="314"/>
      <c r="V415" s="314"/>
      <c r="W415" s="313"/>
      <c r="X415" s="313"/>
      <c r="Y415" s="314"/>
      <c r="Z415" s="335"/>
      <c r="AA415" s="313"/>
      <c r="AB415" s="324"/>
      <c r="AC415" s="155"/>
      <c r="AD415" s="155"/>
      <c r="AE415" s="322"/>
      <c r="AF415" s="155"/>
      <c r="AG415" s="132"/>
    </row>
    <row r="416">
      <c r="A416" s="311"/>
      <c r="B416" s="313"/>
      <c r="C416" s="313"/>
      <c r="D416" s="313"/>
      <c r="E416" s="314"/>
      <c r="F416" s="314"/>
      <c r="G416" s="314"/>
      <c r="H416" s="314"/>
      <c r="I416" s="314"/>
      <c r="J416" s="314"/>
      <c r="K416" s="314"/>
      <c r="L416" s="314"/>
      <c r="M416" s="314"/>
      <c r="N416" s="314"/>
      <c r="O416" s="314"/>
      <c r="P416" s="314"/>
      <c r="Q416" s="314"/>
      <c r="R416" s="314"/>
      <c r="S416" s="314"/>
      <c r="T416" s="314"/>
      <c r="U416" s="314"/>
      <c r="V416" s="314"/>
      <c r="W416" s="313"/>
      <c r="X416" s="313"/>
      <c r="Y416" s="314"/>
      <c r="Z416" s="335"/>
      <c r="AA416" s="313"/>
      <c r="AB416" s="324"/>
      <c r="AC416" s="155"/>
      <c r="AD416" s="155"/>
      <c r="AE416" s="322"/>
      <c r="AF416" s="155"/>
      <c r="AG416" s="132"/>
    </row>
    <row r="417">
      <c r="A417" s="311"/>
      <c r="B417" s="313"/>
      <c r="C417" s="313"/>
      <c r="D417" s="313"/>
      <c r="E417" s="314"/>
      <c r="F417" s="314"/>
      <c r="G417" s="314"/>
      <c r="H417" s="314"/>
      <c r="I417" s="314"/>
      <c r="J417" s="314"/>
      <c r="K417" s="314"/>
      <c r="L417" s="314"/>
      <c r="M417" s="314"/>
      <c r="N417" s="314"/>
      <c r="O417" s="314"/>
      <c r="P417" s="314"/>
      <c r="Q417" s="314"/>
      <c r="R417" s="314"/>
      <c r="S417" s="314"/>
      <c r="T417" s="314"/>
      <c r="U417" s="314"/>
      <c r="V417" s="314"/>
      <c r="W417" s="313"/>
      <c r="X417" s="313"/>
      <c r="Y417" s="314"/>
      <c r="Z417" s="335"/>
      <c r="AA417" s="313"/>
      <c r="AB417" s="324"/>
      <c r="AC417" s="155"/>
      <c r="AD417" s="155"/>
      <c r="AE417" s="322"/>
      <c r="AF417" s="155"/>
      <c r="AG417" s="132"/>
    </row>
    <row r="418">
      <c r="A418" s="311"/>
      <c r="B418" s="313"/>
      <c r="C418" s="313"/>
      <c r="D418" s="313"/>
      <c r="E418" s="314"/>
      <c r="F418" s="314"/>
      <c r="G418" s="314"/>
      <c r="H418" s="314"/>
      <c r="I418" s="314"/>
      <c r="J418" s="314"/>
      <c r="K418" s="314"/>
      <c r="L418" s="314"/>
      <c r="M418" s="314"/>
      <c r="N418" s="314"/>
      <c r="O418" s="314"/>
      <c r="P418" s="314"/>
      <c r="Q418" s="314"/>
      <c r="R418" s="314"/>
      <c r="S418" s="314"/>
      <c r="T418" s="314"/>
      <c r="U418" s="314"/>
      <c r="V418" s="314"/>
      <c r="W418" s="313"/>
      <c r="X418" s="313"/>
      <c r="Y418" s="314"/>
      <c r="Z418" s="335"/>
      <c r="AA418" s="313"/>
      <c r="AB418" s="324"/>
      <c r="AC418" s="155"/>
      <c r="AD418" s="155"/>
      <c r="AE418" s="322"/>
      <c r="AF418" s="155"/>
      <c r="AG418" s="132"/>
    </row>
    <row r="419">
      <c r="A419" s="311"/>
      <c r="B419" s="313"/>
      <c r="C419" s="313"/>
      <c r="D419" s="313"/>
      <c r="E419" s="314"/>
      <c r="F419" s="314"/>
      <c r="G419" s="314"/>
      <c r="H419" s="314"/>
      <c r="I419" s="314"/>
      <c r="J419" s="314"/>
      <c r="K419" s="314"/>
      <c r="L419" s="314"/>
      <c r="M419" s="314"/>
      <c r="N419" s="314"/>
      <c r="O419" s="314"/>
      <c r="P419" s="314"/>
      <c r="Q419" s="314"/>
      <c r="R419" s="314"/>
      <c r="S419" s="314"/>
      <c r="T419" s="314"/>
      <c r="U419" s="314"/>
      <c r="V419" s="314"/>
      <c r="W419" s="313"/>
      <c r="X419" s="313"/>
      <c r="Y419" s="314"/>
      <c r="Z419" s="335"/>
      <c r="AA419" s="313"/>
      <c r="AB419" s="324"/>
      <c r="AC419" s="155"/>
      <c r="AD419" s="155"/>
      <c r="AE419" s="322"/>
      <c r="AF419" s="155"/>
      <c r="AG419" s="132"/>
    </row>
    <row r="420">
      <c r="A420" s="311"/>
      <c r="B420" s="313"/>
      <c r="C420" s="313"/>
      <c r="D420" s="313"/>
      <c r="E420" s="314"/>
      <c r="F420" s="314"/>
      <c r="G420" s="314"/>
      <c r="H420" s="314"/>
      <c r="I420" s="314"/>
      <c r="J420" s="314"/>
      <c r="K420" s="314"/>
      <c r="L420" s="314"/>
      <c r="M420" s="314"/>
      <c r="N420" s="314"/>
      <c r="O420" s="314"/>
      <c r="P420" s="314"/>
      <c r="Q420" s="314"/>
      <c r="R420" s="314"/>
      <c r="S420" s="314"/>
      <c r="T420" s="314"/>
      <c r="U420" s="314"/>
      <c r="V420" s="314"/>
      <c r="W420" s="313"/>
      <c r="X420" s="313"/>
      <c r="Y420" s="314"/>
      <c r="Z420" s="335"/>
      <c r="AA420" s="313"/>
      <c r="AB420" s="324"/>
      <c r="AC420" s="155"/>
      <c r="AD420" s="155"/>
      <c r="AE420" s="322"/>
      <c r="AF420" s="155"/>
      <c r="AG420" s="132"/>
    </row>
    <row r="421">
      <c r="A421" s="311"/>
      <c r="B421" s="313"/>
      <c r="C421" s="313"/>
      <c r="D421" s="313"/>
      <c r="E421" s="314"/>
      <c r="F421" s="314"/>
      <c r="G421" s="314"/>
      <c r="H421" s="314"/>
      <c r="I421" s="314"/>
      <c r="J421" s="314"/>
      <c r="K421" s="314"/>
      <c r="L421" s="314"/>
      <c r="M421" s="314"/>
      <c r="N421" s="314"/>
      <c r="O421" s="314"/>
      <c r="P421" s="314"/>
      <c r="Q421" s="314"/>
      <c r="R421" s="314"/>
      <c r="S421" s="314"/>
      <c r="T421" s="314"/>
      <c r="U421" s="314"/>
      <c r="V421" s="314"/>
      <c r="W421" s="313"/>
      <c r="X421" s="313"/>
      <c r="Y421" s="314"/>
      <c r="Z421" s="335"/>
      <c r="AA421" s="313"/>
      <c r="AB421" s="324"/>
      <c r="AC421" s="155"/>
      <c r="AD421" s="155"/>
      <c r="AE421" s="322"/>
      <c r="AF421" s="155"/>
      <c r="AG421" s="132"/>
    </row>
    <row r="422">
      <c r="A422" s="311"/>
      <c r="B422" s="313"/>
      <c r="C422" s="313"/>
      <c r="D422" s="313"/>
      <c r="E422" s="314"/>
      <c r="F422" s="314"/>
      <c r="G422" s="314"/>
      <c r="H422" s="314"/>
      <c r="I422" s="314"/>
      <c r="J422" s="314"/>
      <c r="K422" s="314"/>
      <c r="L422" s="314"/>
      <c r="M422" s="314"/>
      <c r="N422" s="314"/>
      <c r="O422" s="314"/>
      <c r="P422" s="314"/>
      <c r="Q422" s="314"/>
      <c r="R422" s="314"/>
      <c r="S422" s="314"/>
      <c r="T422" s="314"/>
      <c r="U422" s="314"/>
      <c r="V422" s="314"/>
      <c r="W422" s="313"/>
      <c r="X422" s="313"/>
      <c r="Y422" s="314"/>
      <c r="Z422" s="335"/>
      <c r="AA422" s="313"/>
      <c r="AB422" s="324"/>
      <c r="AC422" s="155"/>
      <c r="AD422" s="155"/>
      <c r="AE422" s="322"/>
      <c r="AF422" s="155"/>
      <c r="AG422" s="132"/>
    </row>
    <row r="423">
      <c r="A423" s="311"/>
      <c r="B423" s="313"/>
      <c r="C423" s="313"/>
      <c r="D423" s="313"/>
      <c r="E423" s="314"/>
      <c r="F423" s="314"/>
      <c r="G423" s="314"/>
      <c r="H423" s="314"/>
      <c r="I423" s="314"/>
      <c r="J423" s="314"/>
      <c r="K423" s="314"/>
      <c r="L423" s="314"/>
      <c r="M423" s="314"/>
      <c r="N423" s="314"/>
      <c r="O423" s="314"/>
      <c r="P423" s="314"/>
      <c r="Q423" s="314"/>
      <c r="R423" s="314"/>
      <c r="S423" s="314"/>
      <c r="T423" s="314"/>
      <c r="U423" s="314"/>
      <c r="V423" s="314"/>
      <c r="W423" s="313"/>
      <c r="X423" s="313"/>
      <c r="Y423" s="314"/>
      <c r="Z423" s="335"/>
      <c r="AA423" s="313"/>
      <c r="AB423" s="324"/>
      <c r="AC423" s="155"/>
      <c r="AD423" s="155"/>
      <c r="AE423" s="322"/>
      <c r="AF423" s="155"/>
      <c r="AG423" s="132"/>
    </row>
    <row r="424">
      <c r="A424" s="311"/>
      <c r="B424" s="313"/>
      <c r="C424" s="313"/>
      <c r="D424" s="313"/>
      <c r="E424" s="314"/>
      <c r="F424" s="314"/>
      <c r="G424" s="314"/>
      <c r="H424" s="314"/>
      <c r="I424" s="314"/>
      <c r="J424" s="314"/>
      <c r="K424" s="314"/>
      <c r="L424" s="314"/>
      <c r="M424" s="314"/>
      <c r="N424" s="314"/>
      <c r="O424" s="314"/>
      <c r="P424" s="314"/>
      <c r="Q424" s="314"/>
      <c r="R424" s="314"/>
      <c r="S424" s="314"/>
      <c r="T424" s="314"/>
      <c r="U424" s="314"/>
      <c r="V424" s="314"/>
      <c r="W424" s="313"/>
      <c r="X424" s="313"/>
      <c r="Y424" s="314"/>
      <c r="Z424" s="335"/>
      <c r="AA424" s="313"/>
      <c r="AB424" s="324"/>
      <c r="AC424" s="155"/>
      <c r="AD424" s="155"/>
      <c r="AE424" s="322"/>
      <c r="AF424" s="155"/>
      <c r="AG424" s="132"/>
    </row>
    <row r="425">
      <c r="A425" s="311"/>
      <c r="B425" s="313"/>
      <c r="C425" s="313"/>
      <c r="D425" s="313"/>
      <c r="E425" s="314"/>
      <c r="F425" s="314"/>
      <c r="G425" s="314"/>
      <c r="H425" s="314"/>
      <c r="I425" s="314"/>
      <c r="J425" s="314"/>
      <c r="K425" s="314"/>
      <c r="L425" s="314"/>
      <c r="M425" s="314"/>
      <c r="N425" s="314"/>
      <c r="O425" s="314"/>
      <c r="P425" s="314"/>
      <c r="Q425" s="314"/>
      <c r="R425" s="314"/>
      <c r="S425" s="314"/>
      <c r="T425" s="314"/>
      <c r="U425" s="314"/>
      <c r="V425" s="314"/>
      <c r="W425" s="313"/>
      <c r="X425" s="313"/>
      <c r="Y425" s="314"/>
      <c r="Z425" s="335"/>
      <c r="AA425" s="313"/>
      <c r="AB425" s="324"/>
      <c r="AC425" s="155"/>
      <c r="AD425" s="155"/>
      <c r="AE425" s="322"/>
      <c r="AF425" s="155"/>
      <c r="AG425" s="132"/>
    </row>
    <row r="426">
      <c r="A426" s="311"/>
      <c r="B426" s="313"/>
      <c r="C426" s="313"/>
      <c r="D426" s="313"/>
      <c r="E426" s="314"/>
      <c r="F426" s="314"/>
      <c r="G426" s="314"/>
      <c r="H426" s="314"/>
      <c r="I426" s="314"/>
      <c r="J426" s="314"/>
      <c r="K426" s="314"/>
      <c r="L426" s="314"/>
      <c r="M426" s="314"/>
      <c r="N426" s="314"/>
      <c r="O426" s="314"/>
      <c r="P426" s="314"/>
      <c r="Q426" s="314"/>
      <c r="R426" s="314"/>
      <c r="S426" s="314"/>
      <c r="T426" s="314"/>
      <c r="U426" s="314"/>
      <c r="V426" s="314"/>
      <c r="W426" s="313"/>
      <c r="X426" s="313"/>
      <c r="Y426" s="314"/>
      <c r="Z426" s="335"/>
      <c r="AA426" s="313"/>
      <c r="AB426" s="324"/>
      <c r="AC426" s="155"/>
      <c r="AD426" s="155"/>
      <c r="AE426" s="322"/>
      <c r="AF426" s="155"/>
      <c r="AG426" s="132"/>
    </row>
    <row r="427">
      <c r="A427" s="311"/>
      <c r="B427" s="313"/>
      <c r="C427" s="313"/>
      <c r="D427" s="313"/>
      <c r="E427" s="314"/>
      <c r="F427" s="314"/>
      <c r="G427" s="314"/>
      <c r="H427" s="314"/>
      <c r="I427" s="314"/>
      <c r="J427" s="314"/>
      <c r="K427" s="314"/>
      <c r="L427" s="314"/>
      <c r="M427" s="314"/>
      <c r="N427" s="314"/>
      <c r="O427" s="314"/>
      <c r="P427" s="314"/>
      <c r="Q427" s="314"/>
      <c r="R427" s="314"/>
      <c r="S427" s="314"/>
      <c r="T427" s="314"/>
      <c r="U427" s="314"/>
      <c r="V427" s="314"/>
      <c r="W427" s="313"/>
      <c r="X427" s="313"/>
      <c r="Y427" s="314"/>
      <c r="Z427" s="335"/>
      <c r="AA427" s="313"/>
      <c r="AB427" s="324"/>
      <c r="AC427" s="155"/>
      <c r="AD427" s="155"/>
      <c r="AE427" s="322"/>
      <c r="AF427" s="132"/>
      <c r="AG427" s="132"/>
    </row>
    <row r="428">
      <c r="A428" s="311"/>
      <c r="B428" s="313"/>
      <c r="C428" s="313"/>
      <c r="D428" s="313"/>
      <c r="E428" s="314"/>
      <c r="F428" s="314"/>
      <c r="G428" s="314"/>
      <c r="H428" s="314"/>
      <c r="I428" s="314"/>
      <c r="J428" s="314"/>
      <c r="K428" s="314"/>
      <c r="L428" s="314"/>
      <c r="M428" s="314"/>
      <c r="N428" s="314"/>
      <c r="O428" s="314"/>
      <c r="P428" s="314"/>
      <c r="Q428" s="314"/>
      <c r="R428" s="314"/>
      <c r="S428" s="314"/>
      <c r="T428" s="314"/>
      <c r="U428" s="314"/>
      <c r="V428" s="314"/>
      <c r="W428" s="313"/>
      <c r="X428" s="313"/>
      <c r="Y428" s="314"/>
      <c r="Z428" s="335"/>
      <c r="AA428" s="313"/>
      <c r="AB428" s="324"/>
      <c r="AC428" s="155"/>
      <c r="AD428" s="155"/>
      <c r="AE428" s="322"/>
      <c r="AF428" s="132"/>
      <c r="AG428" s="132"/>
    </row>
    <row r="429">
      <c r="A429" s="311"/>
      <c r="B429" s="313"/>
      <c r="C429" s="313"/>
      <c r="D429" s="313"/>
      <c r="E429" s="314"/>
      <c r="F429" s="314"/>
      <c r="G429" s="314"/>
      <c r="H429" s="314"/>
      <c r="I429" s="314"/>
      <c r="J429" s="314"/>
      <c r="K429" s="314"/>
      <c r="L429" s="314"/>
      <c r="M429" s="314"/>
      <c r="N429" s="314"/>
      <c r="O429" s="314"/>
      <c r="P429" s="314"/>
      <c r="Q429" s="314"/>
      <c r="R429" s="314"/>
      <c r="S429" s="314"/>
      <c r="T429" s="314"/>
      <c r="U429" s="314"/>
      <c r="V429" s="314"/>
      <c r="W429" s="313"/>
      <c r="X429" s="313"/>
      <c r="Y429" s="314"/>
      <c r="Z429" s="335"/>
      <c r="AA429" s="313"/>
      <c r="AB429" s="324"/>
      <c r="AC429" s="155"/>
      <c r="AD429" s="155"/>
      <c r="AE429" s="322"/>
      <c r="AF429" s="132"/>
      <c r="AG429" s="132"/>
    </row>
    <row r="430">
      <c r="A430" s="311"/>
      <c r="B430" s="313"/>
      <c r="C430" s="313"/>
      <c r="D430" s="313"/>
      <c r="E430" s="314"/>
      <c r="F430" s="314"/>
      <c r="G430" s="314"/>
      <c r="H430" s="314"/>
      <c r="I430" s="314"/>
      <c r="J430" s="314"/>
      <c r="K430" s="314"/>
      <c r="L430" s="314"/>
      <c r="M430" s="314"/>
      <c r="N430" s="314"/>
      <c r="O430" s="314"/>
      <c r="P430" s="314"/>
      <c r="Q430" s="314"/>
      <c r="R430" s="314"/>
      <c r="S430" s="314"/>
      <c r="T430" s="314"/>
      <c r="U430" s="314"/>
      <c r="V430" s="314"/>
      <c r="W430" s="313"/>
      <c r="X430" s="313"/>
      <c r="Y430" s="314"/>
      <c r="Z430" s="335"/>
      <c r="AA430" s="313"/>
      <c r="AB430" s="324"/>
      <c r="AC430" s="155"/>
      <c r="AD430" s="155"/>
      <c r="AE430" s="322"/>
      <c r="AF430" s="132"/>
      <c r="AG430" s="132"/>
    </row>
    <row r="431">
      <c r="A431" s="311"/>
      <c r="B431" s="313"/>
      <c r="C431" s="313"/>
      <c r="D431" s="313"/>
      <c r="E431" s="314"/>
      <c r="F431" s="314"/>
      <c r="G431" s="314"/>
      <c r="H431" s="314"/>
      <c r="I431" s="314"/>
      <c r="J431" s="314"/>
      <c r="K431" s="314"/>
      <c r="L431" s="314"/>
      <c r="M431" s="314"/>
      <c r="N431" s="314"/>
      <c r="O431" s="314"/>
      <c r="P431" s="314"/>
      <c r="Q431" s="314"/>
      <c r="R431" s="314"/>
      <c r="S431" s="314"/>
      <c r="T431" s="314"/>
      <c r="U431" s="314"/>
      <c r="V431" s="314"/>
      <c r="W431" s="313"/>
      <c r="X431" s="313"/>
      <c r="Y431" s="314"/>
      <c r="Z431" s="335"/>
      <c r="AA431" s="313"/>
      <c r="AB431" s="324"/>
      <c r="AC431" s="155"/>
      <c r="AD431" s="155"/>
      <c r="AE431" s="322"/>
      <c r="AF431" s="132"/>
      <c r="AG431" s="132"/>
    </row>
    <row r="432">
      <c r="A432" s="311"/>
      <c r="B432" s="313"/>
      <c r="C432" s="313"/>
      <c r="D432" s="313"/>
      <c r="E432" s="314"/>
      <c r="F432" s="314"/>
      <c r="G432" s="314"/>
      <c r="H432" s="314"/>
      <c r="I432" s="314"/>
      <c r="J432" s="314"/>
      <c r="K432" s="314"/>
      <c r="L432" s="314"/>
      <c r="M432" s="314"/>
      <c r="N432" s="314"/>
      <c r="O432" s="314"/>
      <c r="P432" s="314"/>
      <c r="Q432" s="314"/>
      <c r="R432" s="314"/>
      <c r="S432" s="314"/>
      <c r="T432" s="314"/>
      <c r="U432" s="314"/>
      <c r="V432" s="314"/>
      <c r="W432" s="313"/>
      <c r="X432" s="313"/>
      <c r="Y432" s="314"/>
      <c r="Z432" s="335"/>
      <c r="AA432" s="313"/>
      <c r="AB432" s="324"/>
      <c r="AC432" s="155"/>
      <c r="AD432" s="155"/>
      <c r="AE432" s="322"/>
      <c r="AF432" s="132"/>
      <c r="AG432" s="132"/>
    </row>
    <row r="433">
      <c r="A433" s="311"/>
      <c r="B433" s="313"/>
      <c r="C433" s="313"/>
      <c r="D433" s="313"/>
      <c r="E433" s="314"/>
      <c r="F433" s="314"/>
      <c r="G433" s="314"/>
      <c r="H433" s="314"/>
      <c r="I433" s="314"/>
      <c r="J433" s="314"/>
      <c r="K433" s="314"/>
      <c r="L433" s="314"/>
      <c r="M433" s="314"/>
      <c r="N433" s="314"/>
      <c r="O433" s="314"/>
      <c r="P433" s="314"/>
      <c r="Q433" s="314"/>
      <c r="R433" s="314"/>
      <c r="S433" s="314"/>
      <c r="T433" s="314"/>
      <c r="U433" s="314"/>
      <c r="V433" s="314"/>
      <c r="W433" s="313"/>
      <c r="X433" s="313"/>
      <c r="Y433" s="314"/>
      <c r="Z433" s="335"/>
      <c r="AA433" s="313"/>
      <c r="AB433" s="324"/>
      <c r="AC433" s="155"/>
      <c r="AD433" s="155"/>
      <c r="AE433" s="322"/>
      <c r="AF433" s="132"/>
      <c r="AG433" s="132"/>
    </row>
    <row r="434">
      <c r="A434" s="311"/>
      <c r="B434" s="313"/>
      <c r="C434" s="313"/>
      <c r="D434" s="313"/>
      <c r="E434" s="314"/>
      <c r="F434" s="314"/>
      <c r="G434" s="314"/>
      <c r="H434" s="314"/>
      <c r="I434" s="314"/>
      <c r="J434" s="314"/>
      <c r="K434" s="314"/>
      <c r="L434" s="314"/>
      <c r="M434" s="314"/>
      <c r="N434" s="314"/>
      <c r="O434" s="314"/>
      <c r="P434" s="314"/>
      <c r="Q434" s="314"/>
      <c r="R434" s="314"/>
      <c r="S434" s="314"/>
      <c r="T434" s="314"/>
      <c r="U434" s="314"/>
      <c r="V434" s="314"/>
      <c r="W434" s="313"/>
      <c r="X434" s="313"/>
      <c r="Y434" s="314"/>
      <c r="Z434" s="335"/>
      <c r="AA434" s="313"/>
      <c r="AB434" s="324"/>
      <c r="AC434" s="155"/>
      <c r="AD434" s="155"/>
      <c r="AE434" s="322"/>
      <c r="AF434" s="132"/>
      <c r="AG434" s="132"/>
    </row>
    <row r="435">
      <c r="A435" s="311"/>
      <c r="B435" s="313"/>
      <c r="C435" s="313"/>
      <c r="D435" s="313"/>
      <c r="E435" s="314"/>
      <c r="F435" s="314"/>
      <c r="G435" s="314"/>
      <c r="H435" s="314"/>
      <c r="I435" s="314"/>
      <c r="J435" s="314"/>
      <c r="K435" s="314"/>
      <c r="L435" s="314"/>
      <c r="M435" s="314"/>
      <c r="N435" s="314"/>
      <c r="O435" s="314"/>
      <c r="P435" s="314"/>
      <c r="Q435" s="314"/>
      <c r="R435" s="314"/>
      <c r="S435" s="314"/>
      <c r="T435" s="314"/>
      <c r="U435" s="314"/>
      <c r="V435" s="314"/>
      <c r="W435" s="313"/>
      <c r="X435" s="313"/>
      <c r="Y435" s="314"/>
      <c r="Z435" s="335"/>
      <c r="AA435" s="313"/>
      <c r="AB435" s="324"/>
      <c r="AC435" s="155"/>
      <c r="AD435" s="155"/>
      <c r="AE435" s="322"/>
      <c r="AF435" s="132"/>
      <c r="AG435" s="132"/>
    </row>
    <row r="436">
      <c r="A436" s="311"/>
      <c r="B436" s="313"/>
      <c r="C436" s="313"/>
      <c r="D436" s="313"/>
      <c r="E436" s="314"/>
      <c r="F436" s="314"/>
      <c r="G436" s="314"/>
      <c r="H436" s="314"/>
      <c r="I436" s="314"/>
      <c r="J436" s="314"/>
      <c r="K436" s="314"/>
      <c r="L436" s="314"/>
      <c r="M436" s="314"/>
      <c r="N436" s="314"/>
      <c r="O436" s="314"/>
      <c r="P436" s="314"/>
      <c r="Q436" s="314"/>
      <c r="R436" s="314"/>
      <c r="S436" s="314"/>
      <c r="T436" s="314"/>
      <c r="U436" s="314"/>
      <c r="V436" s="314"/>
      <c r="W436" s="313"/>
      <c r="X436" s="313"/>
      <c r="Y436" s="314"/>
      <c r="Z436" s="335"/>
      <c r="AA436" s="313"/>
      <c r="AB436" s="324"/>
      <c r="AC436" s="155"/>
      <c r="AD436" s="155"/>
      <c r="AE436" s="322"/>
      <c r="AF436" s="132"/>
      <c r="AG436" s="132"/>
    </row>
    <row r="437">
      <c r="A437" s="311"/>
      <c r="B437" s="313"/>
      <c r="C437" s="313"/>
      <c r="D437" s="313"/>
      <c r="E437" s="314"/>
      <c r="F437" s="314"/>
      <c r="G437" s="314"/>
      <c r="H437" s="314"/>
      <c r="I437" s="314"/>
      <c r="J437" s="314"/>
      <c r="K437" s="314"/>
      <c r="L437" s="314"/>
      <c r="M437" s="314"/>
      <c r="N437" s="314"/>
      <c r="O437" s="314"/>
      <c r="P437" s="314"/>
      <c r="Q437" s="314"/>
      <c r="R437" s="314"/>
      <c r="S437" s="314"/>
      <c r="T437" s="314"/>
      <c r="U437" s="314"/>
      <c r="V437" s="314"/>
      <c r="W437" s="313"/>
      <c r="X437" s="313"/>
      <c r="Y437" s="314"/>
      <c r="Z437" s="335"/>
      <c r="AA437" s="313"/>
      <c r="AB437" s="324"/>
      <c r="AC437" s="155"/>
      <c r="AD437" s="155"/>
      <c r="AE437" s="322"/>
      <c r="AF437" s="132"/>
      <c r="AG437" s="132"/>
    </row>
    <row r="438">
      <c r="A438" s="311"/>
      <c r="B438" s="313"/>
      <c r="C438" s="313"/>
      <c r="D438" s="313"/>
      <c r="E438" s="314"/>
      <c r="F438" s="314"/>
      <c r="G438" s="314"/>
      <c r="H438" s="314"/>
      <c r="I438" s="314"/>
      <c r="J438" s="314"/>
      <c r="K438" s="314"/>
      <c r="L438" s="314"/>
      <c r="M438" s="314"/>
      <c r="N438" s="314"/>
      <c r="O438" s="314"/>
      <c r="P438" s="314"/>
      <c r="Q438" s="314"/>
      <c r="R438" s="314"/>
      <c r="S438" s="314"/>
      <c r="T438" s="314"/>
      <c r="U438" s="314"/>
      <c r="V438" s="314"/>
      <c r="W438" s="313"/>
      <c r="X438" s="313"/>
      <c r="Y438" s="314"/>
      <c r="Z438" s="335"/>
      <c r="AA438" s="313"/>
      <c r="AB438" s="324"/>
      <c r="AC438" s="155"/>
      <c r="AD438" s="155"/>
      <c r="AE438" s="322"/>
      <c r="AF438" s="132"/>
      <c r="AG438" s="132"/>
    </row>
    <row r="439">
      <c r="A439" s="311"/>
      <c r="B439" s="313"/>
      <c r="C439" s="313"/>
      <c r="D439" s="313"/>
      <c r="E439" s="314"/>
      <c r="F439" s="314"/>
      <c r="G439" s="314"/>
      <c r="H439" s="314"/>
      <c r="I439" s="314"/>
      <c r="J439" s="314"/>
      <c r="K439" s="314"/>
      <c r="L439" s="314"/>
      <c r="M439" s="314"/>
      <c r="N439" s="314"/>
      <c r="O439" s="314"/>
      <c r="P439" s="314"/>
      <c r="Q439" s="314"/>
      <c r="R439" s="314"/>
      <c r="S439" s="314"/>
      <c r="T439" s="314"/>
      <c r="U439" s="314"/>
      <c r="V439" s="314"/>
      <c r="W439" s="313"/>
      <c r="X439" s="313"/>
      <c r="Y439" s="314"/>
      <c r="Z439" s="335"/>
      <c r="AA439" s="313"/>
      <c r="AB439" s="324"/>
      <c r="AC439" s="155"/>
      <c r="AD439" s="155"/>
      <c r="AE439" s="322"/>
      <c r="AF439" s="132"/>
      <c r="AG439" s="132"/>
    </row>
    <row r="440">
      <c r="A440" s="311"/>
      <c r="B440" s="313"/>
      <c r="C440" s="313"/>
      <c r="D440" s="313"/>
      <c r="E440" s="314"/>
      <c r="F440" s="314"/>
      <c r="G440" s="314"/>
      <c r="H440" s="314"/>
      <c r="I440" s="314"/>
      <c r="J440" s="314"/>
      <c r="K440" s="314"/>
      <c r="L440" s="314"/>
      <c r="M440" s="314"/>
      <c r="N440" s="314"/>
      <c r="O440" s="314"/>
      <c r="P440" s="314"/>
      <c r="Q440" s="314"/>
      <c r="R440" s="314"/>
      <c r="S440" s="314"/>
      <c r="T440" s="314"/>
      <c r="U440" s="314"/>
      <c r="V440" s="314"/>
      <c r="W440" s="313"/>
      <c r="X440" s="313"/>
      <c r="Y440" s="314"/>
      <c r="Z440" s="335"/>
      <c r="AA440" s="313"/>
      <c r="AB440" s="324"/>
      <c r="AC440" s="155"/>
      <c r="AD440" s="155"/>
      <c r="AE440" s="322"/>
      <c r="AF440" s="132"/>
      <c r="AG440" s="132"/>
    </row>
    <row r="441">
      <c r="A441" s="311"/>
      <c r="B441" s="313"/>
      <c r="C441" s="313"/>
      <c r="D441" s="313"/>
      <c r="E441" s="314"/>
      <c r="F441" s="314"/>
      <c r="G441" s="314"/>
      <c r="H441" s="314"/>
      <c r="I441" s="314"/>
      <c r="J441" s="314"/>
      <c r="K441" s="314"/>
      <c r="L441" s="314"/>
      <c r="M441" s="314"/>
      <c r="N441" s="314"/>
      <c r="O441" s="314"/>
      <c r="P441" s="314"/>
      <c r="Q441" s="314"/>
      <c r="R441" s="314"/>
      <c r="S441" s="314"/>
      <c r="T441" s="314"/>
      <c r="U441" s="314"/>
      <c r="V441" s="314"/>
      <c r="W441" s="313"/>
      <c r="X441" s="313"/>
      <c r="Y441" s="314"/>
      <c r="Z441" s="335"/>
      <c r="AA441" s="313"/>
      <c r="AB441" s="324"/>
      <c r="AC441" s="155"/>
      <c r="AD441" s="155"/>
      <c r="AE441" s="322"/>
      <c r="AF441" s="132"/>
      <c r="AG441" s="132"/>
    </row>
    <row r="442">
      <c r="A442" s="311"/>
      <c r="B442" s="313"/>
      <c r="C442" s="313"/>
      <c r="D442" s="313"/>
      <c r="E442" s="314"/>
      <c r="F442" s="314"/>
      <c r="G442" s="314"/>
      <c r="H442" s="314"/>
      <c r="I442" s="314"/>
      <c r="J442" s="314"/>
      <c r="K442" s="314"/>
      <c r="L442" s="314"/>
      <c r="M442" s="314"/>
      <c r="N442" s="314"/>
      <c r="O442" s="314"/>
      <c r="P442" s="314"/>
      <c r="Q442" s="314"/>
      <c r="R442" s="314"/>
      <c r="S442" s="314"/>
      <c r="T442" s="314"/>
      <c r="U442" s="314"/>
      <c r="V442" s="314"/>
      <c r="W442" s="313"/>
      <c r="X442" s="313"/>
      <c r="Y442" s="314"/>
      <c r="Z442" s="335"/>
      <c r="AA442" s="313"/>
      <c r="AB442" s="324"/>
      <c r="AC442" s="155"/>
      <c r="AD442" s="155"/>
      <c r="AE442" s="322"/>
      <c r="AF442" s="132"/>
      <c r="AG442" s="132"/>
    </row>
    <row r="443">
      <c r="A443" s="311"/>
      <c r="B443" s="313"/>
      <c r="C443" s="313"/>
      <c r="D443" s="313"/>
      <c r="E443" s="314"/>
      <c r="F443" s="314"/>
      <c r="G443" s="314"/>
      <c r="H443" s="314"/>
      <c r="I443" s="314"/>
      <c r="J443" s="314"/>
      <c r="K443" s="314"/>
      <c r="L443" s="314"/>
      <c r="M443" s="314"/>
      <c r="N443" s="314"/>
      <c r="O443" s="314"/>
      <c r="P443" s="314"/>
      <c r="Q443" s="314"/>
      <c r="R443" s="314"/>
      <c r="S443" s="314"/>
      <c r="T443" s="314"/>
      <c r="U443" s="314"/>
      <c r="V443" s="314"/>
      <c r="W443" s="313"/>
      <c r="X443" s="313"/>
      <c r="Y443" s="314"/>
      <c r="Z443" s="335"/>
      <c r="AA443" s="313"/>
      <c r="AB443" s="324"/>
      <c r="AC443" s="155"/>
      <c r="AD443" s="155"/>
      <c r="AE443" s="322"/>
      <c r="AF443" s="132"/>
      <c r="AG443" s="132"/>
    </row>
    <row r="444">
      <c r="A444" s="311"/>
      <c r="B444" s="313"/>
      <c r="C444" s="313"/>
      <c r="D444" s="313"/>
      <c r="E444" s="314"/>
      <c r="F444" s="314"/>
      <c r="G444" s="314"/>
      <c r="H444" s="314"/>
      <c r="I444" s="314"/>
      <c r="J444" s="314"/>
      <c r="K444" s="314"/>
      <c r="L444" s="314"/>
      <c r="M444" s="314"/>
      <c r="N444" s="314"/>
      <c r="O444" s="314"/>
      <c r="P444" s="314"/>
      <c r="Q444" s="314"/>
      <c r="R444" s="314"/>
      <c r="S444" s="314"/>
      <c r="T444" s="314"/>
      <c r="U444" s="314"/>
      <c r="V444" s="314"/>
      <c r="W444" s="313"/>
      <c r="X444" s="313"/>
      <c r="Y444" s="314"/>
      <c r="Z444" s="335"/>
      <c r="AA444" s="313"/>
      <c r="AB444" s="324"/>
      <c r="AC444" s="155"/>
      <c r="AD444" s="155"/>
      <c r="AE444" s="322"/>
      <c r="AF444" s="132"/>
      <c r="AG444" s="132"/>
    </row>
    <row r="445">
      <c r="A445" s="311"/>
      <c r="B445" s="313"/>
      <c r="C445" s="313"/>
      <c r="D445" s="313"/>
      <c r="E445" s="314"/>
      <c r="F445" s="314"/>
      <c r="G445" s="314"/>
      <c r="H445" s="314"/>
      <c r="I445" s="314"/>
      <c r="J445" s="314"/>
      <c r="K445" s="314"/>
      <c r="L445" s="314"/>
      <c r="M445" s="314"/>
      <c r="N445" s="314"/>
      <c r="O445" s="314"/>
      <c r="P445" s="314"/>
      <c r="Q445" s="314"/>
      <c r="R445" s="314"/>
      <c r="S445" s="314"/>
      <c r="T445" s="314"/>
      <c r="U445" s="314"/>
      <c r="V445" s="314"/>
      <c r="W445" s="313"/>
      <c r="X445" s="313"/>
      <c r="Y445" s="314"/>
      <c r="Z445" s="335"/>
      <c r="AA445" s="313"/>
      <c r="AB445" s="324"/>
      <c r="AC445" s="155"/>
      <c r="AD445" s="155"/>
      <c r="AE445" s="322"/>
      <c r="AF445" s="132"/>
      <c r="AG445" s="132"/>
    </row>
    <row r="446">
      <c r="A446" s="311"/>
      <c r="B446" s="313"/>
      <c r="C446" s="313"/>
      <c r="D446" s="313"/>
      <c r="E446" s="314"/>
      <c r="F446" s="314"/>
      <c r="G446" s="314"/>
      <c r="H446" s="314"/>
      <c r="I446" s="314"/>
      <c r="J446" s="314"/>
      <c r="K446" s="314"/>
      <c r="L446" s="314"/>
      <c r="M446" s="314"/>
      <c r="N446" s="314"/>
      <c r="O446" s="314"/>
      <c r="P446" s="314"/>
      <c r="Q446" s="314"/>
      <c r="R446" s="314"/>
      <c r="S446" s="314"/>
      <c r="T446" s="314"/>
      <c r="U446" s="314"/>
      <c r="V446" s="314"/>
      <c r="W446" s="313"/>
      <c r="X446" s="313"/>
      <c r="Y446" s="314"/>
      <c r="Z446" s="335"/>
      <c r="AA446" s="313"/>
      <c r="AB446" s="324"/>
      <c r="AC446" s="155"/>
      <c r="AD446" s="155"/>
      <c r="AE446" s="322"/>
      <c r="AF446" s="132"/>
      <c r="AG446" s="132"/>
    </row>
    <row r="447">
      <c r="A447" s="311"/>
      <c r="B447" s="313"/>
      <c r="C447" s="313"/>
      <c r="D447" s="313"/>
      <c r="E447" s="314"/>
      <c r="F447" s="314"/>
      <c r="G447" s="314"/>
      <c r="H447" s="314"/>
      <c r="I447" s="314"/>
      <c r="J447" s="314"/>
      <c r="K447" s="314"/>
      <c r="L447" s="314"/>
      <c r="M447" s="314"/>
      <c r="N447" s="314"/>
      <c r="O447" s="314"/>
      <c r="P447" s="314"/>
      <c r="Q447" s="314"/>
      <c r="R447" s="314"/>
      <c r="S447" s="314"/>
      <c r="T447" s="314"/>
      <c r="U447" s="314"/>
      <c r="V447" s="314"/>
      <c r="W447" s="313"/>
      <c r="X447" s="313"/>
      <c r="Y447" s="314"/>
      <c r="Z447" s="335"/>
      <c r="AA447" s="313"/>
      <c r="AB447" s="324"/>
      <c r="AC447" s="155"/>
      <c r="AD447" s="155"/>
      <c r="AE447" s="322"/>
      <c r="AF447" s="132"/>
      <c r="AG447" s="132"/>
    </row>
    <row r="448">
      <c r="A448" s="311"/>
      <c r="B448" s="313"/>
      <c r="C448" s="313"/>
      <c r="D448" s="313"/>
      <c r="E448" s="314"/>
      <c r="F448" s="314"/>
      <c r="G448" s="314"/>
      <c r="H448" s="314"/>
      <c r="I448" s="314"/>
      <c r="J448" s="314"/>
      <c r="K448" s="314"/>
      <c r="L448" s="314"/>
      <c r="M448" s="314"/>
      <c r="N448" s="314"/>
      <c r="O448" s="314"/>
      <c r="P448" s="314"/>
      <c r="Q448" s="314"/>
      <c r="R448" s="314"/>
      <c r="S448" s="314"/>
      <c r="T448" s="314"/>
      <c r="U448" s="314"/>
      <c r="V448" s="314"/>
      <c r="W448" s="313"/>
      <c r="X448" s="313"/>
      <c r="Y448" s="314"/>
      <c r="Z448" s="335"/>
      <c r="AA448" s="313"/>
      <c r="AB448" s="324"/>
      <c r="AC448" s="155"/>
      <c r="AD448" s="155"/>
      <c r="AE448" s="322"/>
      <c r="AF448" s="132"/>
      <c r="AG448" s="132"/>
    </row>
    <row r="449">
      <c r="A449" s="311"/>
      <c r="B449" s="313"/>
      <c r="C449" s="313"/>
      <c r="D449" s="313"/>
      <c r="E449" s="314"/>
      <c r="F449" s="314"/>
      <c r="G449" s="314"/>
      <c r="H449" s="314"/>
      <c r="I449" s="314"/>
      <c r="J449" s="314"/>
      <c r="K449" s="314"/>
      <c r="L449" s="314"/>
      <c r="M449" s="314"/>
      <c r="N449" s="314"/>
      <c r="O449" s="314"/>
      <c r="P449" s="314"/>
      <c r="Q449" s="314"/>
      <c r="R449" s="314"/>
      <c r="S449" s="314"/>
      <c r="T449" s="314"/>
      <c r="U449" s="314"/>
      <c r="V449" s="314"/>
      <c r="W449" s="313"/>
      <c r="X449" s="313"/>
      <c r="Y449" s="314"/>
      <c r="Z449" s="335"/>
      <c r="AA449" s="313"/>
      <c r="AB449" s="324"/>
      <c r="AC449" s="155"/>
      <c r="AD449" s="155"/>
      <c r="AE449" s="322"/>
      <c r="AF449" s="132"/>
      <c r="AG449" s="132"/>
    </row>
    <row r="450">
      <c r="A450" s="311"/>
      <c r="B450" s="313"/>
      <c r="C450" s="313"/>
      <c r="D450" s="313"/>
      <c r="E450" s="314"/>
      <c r="F450" s="314"/>
      <c r="G450" s="314"/>
      <c r="H450" s="314"/>
      <c r="I450" s="314"/>
      <c r="J450" s="314"/>
      <c r="K450" s="314"/>
      <c r="L450" s="314"/>
      <c r="M450" s="314"/>
      <c r="N450" s="314"/>
      <c r="O450" s="314"/>
      <c r="P450" s="314"/>
      <c r="Q450" s="314"/>
      <c r="R450" s="314"/>
      <c r="S450" s="314"/>
      <c r="T450" s="314"/>
      <c r="U450" s="314"/>
      <c r="V450" s="314"/>
      <c r="W450" s="313"/>
      <c r="X450" s="313"/>
      <c r="Y450" s="314"/>
      <c r="Z450" s="335"/>
      <c r="AA450" s="313"/>
      <c r="AB450" s="324"/>
      <c r="AC450" s="155"/>
      <c r="AD450" s="155"/>
      <c r="AE450" s="322"/>
      <c r="AF450" s="132"/>
      <c r="AG450" s="132"/>
    </row>
    <row r="451">
      <c r="A451" s="311"/>
      <c r="B451" s="313"/>
      <c r="C451" s="313"/>
      <c r="D451" s="313"/>
      <c r="E451" s="314"/>
      <c r="F451" s="314"/>
      <c r="G451" s="314"/>
      <c r="H451" s="314"/>
      <c r="I451" s="314"/>
      <c r="J451" s="314"/>
      <c r="K451" s="314"/>
      <c r="L451" s="314"/>
      <c r="M451" s="314"/>
      <c r="N451" s="314"/>
      <c r="O451" s="314"/>
      <c r="P451" s="314"/>
      <c r="Q451" s="314"/>
      <c r="R451" s="314"/>
      <c r="S451" s="314"/>
      <c r="T451" s="314"/>
      <c r="U451" s="314"/>
      <c r="V451" s="314"/>
      <c r="W451" s="313"/>
      <c r="X451" s="313"/>
      <c r="Y451" s="314"/>
      <c r="Z451" s="335"/>
      <c r="AA451" s="313"/>
      <c r="AB451" s="324"/>
      <c r="AC451" s="155"/>
      <c r="AD451" s="155"/>
      <c r="AE451" s="322"/>
      <c r="AF451" s="132"/>
      <c r="AG451" s="132"/>
    </row>
    <row r="452">
      <c r="A452" s="311"/>
      <c r="B452" s="313"/>
      <c r="C452" s="313"/>
      <c r="D452" s="313"/>
      <c r="E452" s="314"/>
      <c r="F452" s="314"/>
      <c r="G452" s="314"/>
      <c r="H452" s="314"/>
      <c r="I452" s="314"/>
      <c r="J452" s="314"/>
      <c r="K452" s="314"/>
      <c r="L452" s="314"/>
      <c r="M452" s="314"/>
      <c r="N452" s="314"/>
      <c r="O452" s="314"/>
      <c r="P452" s="314"/>
      <c r="Q452" s="314"/>
      <c r="R452" s="314"/>
      <c r="S452" s="314"/>
      <c r="T452" s="314"/>
      <c r="U452" s="314"/>
      <c r="V452" s="314"/>
      <c r="W452" s="313"/>
      <c r="X452" s="313"/>
      <c r="Y452" s="314"/>
      <c r="Z452" s="335"/>
      <c r="AA452" s="313"/>
      <c r="AB452" s="324"/>
      <c r="AC452" s="155"/>
      <c r="AD452" s="155"/>
      <c r="AE452" s="322"/>
      <c r="AF452" s="132"/>
      <c r="AG452" s="132"/>
    </row>
    <row r="453">
      <c r="A453" s="311"/>
      <c r="B453" s="313"/>
      <c r="C453" s="313"/>
      <c r="D453" s="313"/>
      <c r="E453" s="314"/>
      <c r="F453" s="314"/>
      <c r="G453" s="314"/>
      <c r="H453" s="314"/>
      <c r="I453" s="314"/>
      <c r="J453" s="314"/>
      <c r="K453" s="314"/>
      <c r="L453" s="314"/>
      <c r="M453" s="314"/>
      <c r="N453" s="314"/>
      <c r="O453" s="314"/>
      <c r="P453" s="314"/>
      <c r="Q453" s="314"/>
      <c r="R453" s="314"/>
      <c r="S453" s="314"/>
      <c r="T453" s="314"/>
      <c r="U453" s="314"/>
      <c r="V453" s="314"/>
      <c r="W453" s="313"/>
      <c r="X453" s="313"/>
      <c r="Y453" s="314"/>
      <c r="Z453" s="335"/>
      <c r="AA453" s="313"/>
      <c r="AB453" s="324"/>
      <c r="AC453" s="155"/>
      <c r="AD453" s="155"/>
      <c r="AE453" s="322"/>
      <c r="AF453" s="132"/>
      <c r="AG453" s="132"/>
    </row>
    <row r="454">
      <c r="A454" s="311"/>
      <c r="B454" s="313"/>
      <c r="C454" s="313"/>
      <c r="D454" s="313"/>
      <c r="E454" s="314"/>
      <c r="F454" s="314"/>
      <c r="G454" s="314"/>
      <c r="H454" s="314"/>
      <c r="I454" s="314"/>
      <c r="J454" s="314"/>
      <c r="K454" s="314"/>
      <c r="L454" s="314"/>
      <c r="M454" s="314"/>
      <c r="N454" s="314"/>
      <c r="O454" s="314"/>
      <c r="P454" s="314"/>
      <c r="Q454" s="314"/>
      <c r="R454" s="314"/>
      <c r="S454" s="314"/>
      <c r="T454" s="314"/>
      <c r="U454" s="314"/>
      <c r="V454" s="314"/>
      <c r="W454" s="313"/>
      <c r="X454" s="313"/>
      <c r="Y454" s="314"/>
      <c r="Z454" s="335"/>
      <c r="AA454" s="313"/>
      <c r="AB454" s="324"/>
      <c r="AC454" s="155"/>
      <c r="AD454" s="155"/>
      <c r="AE454" s="322"/>
      <c r="AF454" s="132"/>
      <c r="AG454" s="132"/>
    </row>
    <row r="455">
      <c r="A455" s="311"/>
      <c r="B455" s="313"/>
      <c r="C455" s="313"/>
      <c r="D455" s="313"/>
      <c r="E455" s="314"/>
      <c r="F455" s="314"/>
      <c r="G455" s="314"/>
      <c r="H455" s="314"/>
      <c r="I455" s="314"/>
      <c r="J455" s="314"/>
      <c r="K455" s="314"/>
      <c r="L455" s="314"/>
      <c r="M455" s="314"/>
      <c r="N455" s="314"/>
      <c r="O455" s="314"/>
      <c r="P455" s="314"/>
      <c r="Q455" s="314"/>
      <c r="R455" s="314"/>
      <c r="S455" s="314"/>
      <c r="T455" s="314"/>
      <c r="U455" s="314"/>
      <c r="V455" s="314"/>
      <c r="W455" s="313"/>
      <c r="X455" s="313"/>
      <c r="Y455" s="314"/>
      <c r="Z455" s="335"/>
      <c r="AA455" s="313"/>
      <c r="AB455" s="324"/>
      <c r="AC455" s="155"/>
      <c r="AD455" s="155"/>
      <c r="AE455" s="322"/>
      <c r="AF455" s="132"/>
      <c r="AG455" s="132"/>
    </row>
    <row r="456">
      <c r="A456" s="311"/>
      <c r="B456" s="313"/>
      <c r="C456" s="313"/>
      <c r="D456" s="313"/>
      <c r="E456" s="314"/>
      <c r="F456" s="314"/>
      <c r="G456" s="314"/>
      <c r="H456" s="314"/>
      <c r="I456" s="314"/>
      <c r="J456" s="314"/>
      <c r="K456" s="314"/>
      <c r="L456" s="314"/>
      <c r="M456" s="314"/>
      <c r="N456" s="314"/>
      <c r="O456" s="314"/>
      <c r="P456" s="314"/>
      <c r="Q456" s="314"/>
      <c r="R456" s="314"/>
      <c r="S456" s="314"/>
      <c r="T456" s="314"/>
      <c r="U456" s="314"/>
      <c r="V456" s="314"/>
      <c r="W456" s="313"/>
      <c r="X456" s="313"/>
      <c r="Y456" s="314"/>
      <c r="Z456" s="335"/>
      <c r="AA456" s="313"/>
      <c r="AB456" s="324"/>
      <c r="AC456" s="155"/>
      <c r="AD456" s="155"/>
      <c r="AE456" s="322"/>
      <c r="AF456" s="132"/>
      <c r="AG456" s="132"/>
    </row>
    <row r="457">
      <c r="A457" s="311"/>
      <c r="B457" s="313"/>
      <c r="C457" s="313"/>
      <c r="D457" s="313"/>
      <c r="E457" s="314"/>
      <c r="F457" s="314"/>
      <c r="G457" s="314"/>
      <c r="H457" s="314"/>
      <c r="I457" s="314"/>
      <c r="J457" s="314"/>
      <c r="K457" s="314"/>
      <c r="L457" s="314"/>
      <c r="M457" s="314"/>
      <c r="N457" s="314"/>
      <c r="O457" s="314"/>
      <c r="P457" s="314"/>
      <c r="Q457" s="314"/>
      <c r="R457" s="314"/>
      <c r="S457" s="314"/>
      <c r="T457" s="314"/>
      <c r="U457" s="314"/>
      <c r="V457" s="314"/>
      <c r="W457" s="313"/>
      <c r="X457" s="313"/>
      <c r="Y457" s="314"/>
      <c r="Z457" s="335"/>
      <c r="AA457" s="313"/>
      <c r="AB457" s="324"/>
      <c r="AC457" s="155"/>
      <c r="AD457" s="155"/>
      <c r="AE457" s="322"/>
      <c r="AF457" s="132"/>
      <c r="AG457" s="132"/>
    </row>
    <row r="458">
      <c r="A458" s="311"/>
      <c r="B458" s="313"/>
      <c r="C458" s="313"/>
      <c r="D458" s="313"/>
      <c r="E458" s="314"/>
      <c r="F458" s="314"/>
      <c r="G458" s="314"/>
      <c r="H458" s="314"/>
      <c r="I458" s="314"/>
      <c r="J458" s="314"/>
      <c r="K458" s="314"/>
      <c r="L458" s="314"/>
      <c r="M458" s="314"/>
      <c r="N458" s="314"/>
      <c r="O458" s="314"/>
      <c r="P458" s="314"/>
      <c r="Q458" s="314"/>
      <c r="R458" s="314"/>
      <c r="S458" s="314"/>
      <c r="T458" s="314"/>
      <c r="U458" s="314"/>
      <c r="V458" s="314"/>
      <c r="W458" s="313"/>
      <c r="X458" s="313"/>
      <c r="Y458" s="314"/>
      <c r="Z458" s="335"/>
      <c r="AA458" s="313"/>
      <c r="AB458" s="324"/>
      <c r="AC458" s="155"/>
      <c r="AD458" s="155"/>
      <c r="AE458" s="322"/>
      <c r="AF458" s="132"/>
      <c r="AG458" s="132"/>
    </row>
    <row r="459">
      <c r="A459" s="311"/>
      <c r="B459" s="313"/>
      <c r="C459" s="313"/>
      <c r="D459" s="313"/>
      <c r="E459" s="314"/>
      <c r="F459" s="314"/>
      <c r="G459" s="314"/>
      <c r="H459" s="314"/>
      <c r="I459" s="314"/>
      <c r="J459" s="314"/>
      <c r="K459" s="314"/>
      <c r="L459" s="314"/>
      <c r="M459" s="314"/>
      <c r="N459" s="314"/>
      <c r="O459" s="314"/>
      <c r="P459" s="314"/>
      <c r="Q459" s="314"/>
      <c r="R459" s="314"/>
      <c r="S459" s="314"/>
      <c r="T459" s="314"/>
      <c r="U459" s="314"/>
      <c r="V459" s="314"/>
      <c r="W459" s="313"/>
      <c r="X459" s="313"/>
      <c r="Y459" s="314"/>
      <c r="Z459" s="335"/>
      <c r="AA459" s="313"/>
      <c r="AB459" s="324"/>
      <c r="AC459" s="155"/>
      <c r="AD459" s="155"/>
      <c r="AE459" s="322"/>
      <c r="AF459" s="132"/>
      <c r="AG459" s="132"/>
    </row>
    <row r="460">
      <c r="A460" s="311"/>
      <c r="B460" s="313"/>
      <c r="C460" s="313"/>
      <c r="D460" s="313"/>
      <c r="E460" s="314"/>
      <c r="F460" s="314"/>
      <c r="G460" s="314"/>
      <c r="H460" s="314"/>
      <c r="I460" s="314"/>
      <c r="J460" s="314"/>
      <c r="K460" s="314"/>
      <c r="L460" s="314"/>
      <c r="M460" s="314"/>
      <c r="N460" s="314"/>
      <c r="O460" s="314"/>
      <c r="P460" s="314"/>
      <c r="Q460" s="314"/>
      <c r="R460" s="314"/>
      <c r="S460" s="314"/>
      <c r="T460" s="314"/>
      <c r="U460" s="314"/>
      <c r="V460" s="314"/>
      <c r="W460" s="313"/>
      <c r="X460" s="313"/>
      <c r="Y460" s="314"/>
      <c r="Z460" s="335"/>
      <c r="AA460" s="313"/>
      <c r="AB460" s="324"/>
      <c r="AC460" s="155"/>
      <c r="AD460" s="155"/>
      <c r="AE460" s="322"/>
      <c r="AF460" s="132"/>
      <c r="AG460" s="132"/>
    </row>
    <row r="461">
      <c r="A461" s="311"/>
      <c r="B461" s="313"/>
      <c r="C461" s="313"/>
      <c r="D461" s="313"/>
      <c r="E461" s="314"/>
      <c r="F461" s="314"/>
      <c r="G461" s="314"/>
      <c r="H461" s="314"/>
      <c r="I461" s="314"/>
      <c r="J461" s="314"/>
      <c r="K461" s="314"/>
      <c r="L461" s="314"/>
      <c r="M461" s="314"/>
      <c r="N461" s="314"/>
      <c r="O461" s="314"/>
      <c r="P461" s="314"/>
      <c r="Q461" s="314"/>
      <c r="R461" s="314"/>
      <c r="S461" s="314"/>
      <c r="T461" s="314"/>
      <c r="U461" s="314"/>
      <c r="V461" s="314"/>
      <c r="W461" s="313"/>
      <c r="X461" s="313"/>
      <c r="Y461" s="314"/>
      <c r="Z461" s="335"/>
      <c r="AA461" s="313"/>
      <c r="AB461" s="324"/>
      <c r="AC461" s="155"/>
      <c r="AD461" s="155"/>
      <c r="AE461" s="322"/>
      <c r="AF461" s="132"/>
      <c r="AG461" s="132"/>
    </row>
    <row r="462">
      <c r="A462" s="311"/>
      <c r="B462" s="313"/>
      <c r="C462" s="313"/>
      <c r="D462" s="313"/>
      <c r="E462" s="314"/>
      <c r="F462" s="314"/>
      <c r="G462" s="314"/>
      <c r="H462" s="314"/>
      <c r="I462" s="314"/>
      <c r="J462" s="314"/>
      <c r="K462" s="314"/>
      <c r="L462" s="314"/>
      <c r="M462" s="314"/>
      <c r="N462" s="314"/>
      <c r="O462" s="314"/>
      <c r="P462" s="314"/>
      <c r="Q462" s="314"/>
      <c r="R462" s="314"/>
      <c r="S462" s="314"/>
      <c r="T462" s="314"/>
      <c r="U462" s="314"/>
      <c r="V462" s="314"/>
      <c r="W462" s="313"/>
      <c r="X462" s="313"/>
      <c r="Y462" s="314"/>
      <c r="Z462" s="335"/>
      <c r="AA462" s="313"/>
      <c r="AB462" s="324"/>
      <c r="AC462" s="155"/>
      <c r="AD462" s="155"/>
      <c r="AE462" s="322"/>
      <c r="AF462" s="132"/>
      <c r="AG462" s="132"/>
    </row>
    <row r="463">
      <c r="A463" s="311"/>
      <c r="B463" s="313"/>
      <c r="C463" s="313"/>
      <c r="D463" s="313"/>
      <c r="E463" s="314"/>
      <c r="F463" s="314"/>
      <c r="G463" s="314"/>
      <c r="H463" s="314"/>
      <c r="I463" s="314"/>
      <c r="J463" s="314"/>
      <c r="K463" s="314"/>
      <c r="L463" s="314"/>
      <c r="M463" s="314"/>
      <c r="N463" s="314"/>
      <c r="O463" s="314"/>
      <c r="P463" s="314"/>
      <c r="Q463" s="314"/>
      <c r="R463" s="314"/>
      <c r="S463" s="314"/>
      <c r="T463" s="314"/>
      <c r="U463" s="314"/>
      <c r="V463" s="314"/>
      <c r="W463" s="313"/>
      <c r="X463" s="313"/>
      <c r="Y463" s="314"/>
      <c r="Z463" s="335"/>
      <c r="AA463" s="313"/>
      <c r="AB463" s="324"/>
      <c r="AC463" s="155"/>
      <c r="AD463" s="155"/>
      <c r="AE463" s="322"/>
      <c r="AF463" s="132"/>
      <c r="AG463" s="132"/>
    </row>
    <row r="464">
      <c r="A464" s="311"/>
      <c r="B464" s="313"/>
      <c r="C464" s="313"/>
      <c r="D464" s="313"/>
      <c r="E464" s="314"/>
      <c r="F464" s="314"/>
      <c r="G464" s="314"/>
      <c r="H464" s="314"/>
      <c r="I464" s="314"/>
      <c r="J464" s="314"/>
      <c r="K464" s="314"/>
      <c r="L464" s="314"/>
      <c r="M464" s="314"/>
      <c r="N464" s="314"/>
      <c r="O464" s="314"/>
      <c r="P464" s="314"/>
      <c r="Q464" s="314"/>
      <c r="R464" s="314"/>
      <c r="S464" s="314"/>
      <c r="T464" s="314"/>
      <c r="U464" s="314"/>
      <c r="V464" s="314"/>
      <c r="W464" s="313"/>
      <c r="X464" s="313"/>
      <c r="Y464" s="314"/>
      <c r="Z464" s="335"/>
      <c r="AA464" s="313"/>
      <c r="AB464" s="324"/>
      <c r="AC464" s="155"/>
      <c r="AD464" s="155"/>
      <c r="AE464" s="322"/>
      <c r="AF464" s="132"/>
      <c r="AG464" s="132"/>
    </row>
    <row r="465">
      <c r="A465" s="311"/>
      <c r="B465" s="313"/>
      <c r="C465" s="313"/>
      <c r="D465" s="313"/>
      <c r="E465" s="314"/>
      <c r="F465" s="314"/>
      <c r="G465" s="314"/>
      <c r="H465" s="314"/>
      <c r="I465" s="314"/>
      <c r="J465" s="314"/>
      <c r="K465" s="314"/>
      <c r="L465" s="314"/>
      <c r="M465" s="314"/>
      <c r="N465" s="314"/>
      <c r="O465" s="314"/>
      <c r="P465" s="314"/>
      <c r="Q465" s="314"/>
      <c r="R465" s="314"/>
      <c r="S465" s="314"/>
      <c r="T465" s="314"/>
      <c r="U465" s="314"/>
      <c r="V465" s="314"/>
      <c r="W465" s="313"/>
      <c r="X465" s="313"/>
      <c r="Y465" s="314"/>
      <c r="Z465" s="335"/>
      <c r="AA465" s="313"/>
      <c r="AB465" s="324"/>
      <c r="AC465" s="155"/>
      <c r="AD465" s="155"/>
      <c r="AE465" s="322"/>
      <c r="AF465" s="132"/>
      <c r="AG465" s="132"/>
    </row>
    <row r="466">
      <c r="A466" s="311"/>
      <c r="B466" s="313"/>
      <c r="C466" s="313"/>
      <c r="D466" s="313"/>
      <c r="E466" s="314"/>
      <c r="F466" s="314"/>
      <c r="G466" s="314"/>
      <c r="H466" s="314"/>
      <c r="I466" s="314"/>
      <c r="J466" s="314"/>
      <c r="K466" s="314"/>
      <c r="L466" s="314"/>
      <c r="M466" s="314"/>
      <c r="N466" s="314"/>
      <c r="O466" s="314"/>
      <c r="P466" s="314"/>
      <c r="Q466" s="314"/>
      <c r="R466" s="314"/>
      <c r="S466" s="314"/>
      <c r="T466" s="314"/>
      <c r="U466" s="314"/>
      <c r="V466" s="314"/>
      <c r="W466" s="313"/>
      <c r="X466" s="313"/>
      <c r="Y466" s="314"/>
      <c r="Z466" s="335"/>
      <c r="AA466" s="313"/>
      <c r="AB466" s="324"/>
      <c r="AC466" s="155"/>
      <c r="AD466" s="155"/>
      <c r="AE466" s="322"/>
      <c r="AF466" s="132"/>
      <c r="AG466" s="132"/>
    </row>
    <row r="467">
      <c r="A467" s="311"/>
      <c r="B467" s="313"/>
      <c r="C467" s="313"/>
      <c r="D467" s="313"/>
      <c r="E467" s="314"/>
      <c r="F467" s="314"/>
      <c r="G467" s="314"/>
      <c r="H467" s="314"/>
      <c r="I467" s="314"/>
      <c r="J467" s="314"/>
      <c r="K467" s="314"/>
      <c r="L467" s="314"/>
      <c r="M467" s="314"/>
      <c r="N467" s="314"/>
      <c r="O467" s="314"/>
      <c r="P467" s="314"/>
      <c r="Q467" s="314"/>
      <c r="R467" s="314"/>
      <c r="S467" s="314"/>
      <c r="T467" s="314"/>
      <c r="U467" s="314"/>
      <c r="V467" s="314"/>
      <c r="W467" s="313"/>
      <c r="X467" s="313"/>
      <c r="Y467" s="314"/>
      <c r="Z467" s="335"/>
      <c r="AA467" s="313"/>
      <c r="AB467" s="324"/>
      <c r="AC467" s="155"/>
      <c r="AD467" s="155"/>
      <c r="AE467" s="322"/>
      <c r="AF467" s="132"/>
      <c r="AG467" s="132"/>
    </row>
    <row r="468">
      <c r="A468" s="311"/>
      <c r="B468" s="313"/>
      <c r="C468" s="313"/>
      <c r="D468" s="313"/>
      <c r="E468" s="314"/>
      <c r="F468" s="314"/>
      <c r="G468" s="314"/>
      <c r="H468" s="314"/>
      <c r="I468" s="314"/>
      <c r="J468" s="314"/>
      <c r="K468" s="314"/>
      <c r="L468" s="314"/>
      <c r="M468" s="314"/>
      <c r="N468" s="314"/>
      <c r="O468" s="314"/>
      <c r="P468" s="314"/>
      <c r="Q468" s="314"/>
      <c r="R468" s="314"/>
      <c r="S468" s="314"/>
      <c r="T468" s="314"/>
      <c r="U468" s="314"/>
      <c r="V468" s="314"/>
      <c r="W468" s="313"/>
      <c r="X468" s="313"/>
      <c r="Y468" s="314"/>
      <c r="Z468" s="335"/>
      <c r="AA468" s="313"/>
      <c r="AB468" s="324"/>
      <c r="AC468" s="155"/>
      <c r="AD468" s="155"/>
      <c r="AE468" s="322"/>
      <c r="AF468" s="132"/>
      <c r="AG468" s="132"/>
    </row>
    <row r="469">
      <c r="A469" s="311"/>
      <c r="B469" s="313"/>
      <c r="C469" s="313"/>
      <c r="D469" s="313"/>
      <c r="E469" s="314"/>
      <c r="F469" s="314"/>
      <c r="G469" s="314"/>
      <c r="H469" s="314"/>
      <c r="I469" s="314"/>
      <c r="J469" s="314"/>
      <c r="K469" s="314"/>
      <c r="L469" s="314"/>
      <c r="M469" s="314"/>
      <c r="N469" s="314"/>
      <c r="O469" s="314"/>
      <c r="P469" s="314"/>
      <c r="Q469" s="314"/>
      <c r="R469" s="314"/>
      <c r="S469" s="314"/>
      <c r="T469" s="314"/>
      <c r="U469" s="314"/>
      <c r="V469" s="314"/>
      <c r="W469" s="313"/>
      <c r="X469" s="313"/>
      <c r="Y469" s="314"/>
      <c r="Z469" s="335"/>
      <c r="AA469" s="313"/>
      <c r="AB469" s="324"/>
      <c r="AC469" s="155"/>
      <c r="AD469" s="155"/>
      <c r="AE469" s="322"/>
      <c r="AF469" s="132"/>
      <c r="AG469" s="132"/>
    </row>
    <row r="470">
      <c r="A470" s="311"/>
      <c r="B470" s="313"/>
      <c r="C470" s="313"/>
      <c r="D470" s="313"/>
      <c r="E470" s="314"/>
      <c r="F470" s="314"/>
      <c r="G470" s="314"/>
      <c r="H470" s="314"/>
      <c r="I470" s="314"/>
      <c r="J470" s="314"/>
      <c r="K470" s="314"/>
      <c r="L470" s="314"/>
      <c r="M470" s="314"/>
      <c r="N470" s="314"/>
      <c r="O470" s="314"/>
      <c r="P470" s="314"/>
      <c r="Q470" s="314"/>
      <c r="R470" s="314"/>
      <c r="S470" s="314"/>
      <c r="T470" s="314"/>
      <c r="U470" s="314"/>
      <c r="V470" s="314"/>
      <c r="W470" s="313"/>
      <c r="X470" s="313"/>
      <c r="Y470" s="314"/>
      <c r="Z470" s="335"/>
      <c r="AA470" s="313"/>
      <c r="AB470" s="324"/>
      <c r="AC470" s="155"/>
      <c r="AD470" s="155"/>
      <c r="AE470" s="322"/>
      <c r="AF470" s="132"/>
      <c r="AG470" s="132"/>
    </row>
    <row r="471">
      <c r="A471" s="311"/>
      <c r="B471" s="313"/>
      <c r="C471" s="313"/>
      <c r="D471" s="313"/>
      <c r="E471" s="314"/>
      <c r="F471" s="314"/>
      <c r="G471" s="314"/>
      <c r="H471" s="314"/>
      <c r="I471" s="314"/>
      <c r="J471" s="314"/>
      <c r="K471" s="314"/>
      <c r="L471" s="314"/>
      <c r="M471" s="314"/>
      <c r="N471" s="314"/>
      <c r="O471" s="314"/>
      <c r="P471" s="314"/>
      <c r="Q471" s="314"/>
      <c r="R471" s="314"/>
      <c r="S471" s="314"/>
      <c r="T471" s="314"/>
      <c r="U471" s="314"/>
      <c r="V471" s="314"/>
      <c r="W471" s="313"/>
      <c r="X471" s="313"/>
      <c r="Y471" s="314"/>
      <c r="Z471" s="335"/>
      <c r="AA471" s="313"/>
      <c r="AB471" s="324"/>
      <c r="AC471" s="155"/>
      <c r="AD471" s="155"/>
      <c r="AE471" s="322"/>
      <c r="AF471" s="132"/>
      <c r="AG471" s="132"/>
    </row>
    <row r="472">
      <c r="A472" s="311"/>
      <c r="B472" s="313"/>
      <c r="C472" s="313"/>
      <c r="D472" s="313"/>
      <c r="E472" s="314"/>
      <c r="F472" s="314"/>
      <c r="G472" s="314"/>
      <c r="H472" s="314"/>
      <c r="I472" s="314"/>
      <c r="J472" s="314"/>
      <c r="K472" s="314"/>
      <c r="L472" s="314"/>
      <c r="M472" s="314"/>
      <c r="N472" s="314"/>
      <c r="O472" s="314"/>
      <c r="P472" s="314"/>
      <c r="Q472" s="314"/>
      <c r="R472" s="314"/>
      <c r="S472" s="314"/>
      <c r="T472" s="314"/>
      <c r="U472" s="314"/>
      <c r="V472" s="314"/>
      <c r="W472" s="313"/>
      <c r="X472" s="313"/>
      <c r="Y472" s="314"/>
      <c r="Z472" s="335"/>
      <c r="AA472" s="313"/>
      <c r="AB472" s="324"/>
      <c r="AC472" s="155"/>
      <c r="AD472" s="155"/>
      <c r="AE472" s="322"/>
      <c r="AF472" s="132"/>
      <c r="AG472" s="132"/>
    </row>
    <row r="473">
      <c r="A473" s="311"/>
      <c r="B473" s="313"/>
      <c r="C473" s="313"/>
      <c r="D473" s="313"/>
      <c r="E473" s="314"/>
      <c r="F473" s="314"/>
      <c r="G473" s="314"/>
      <c r="H473" s="314"/>
      <c r="I473" s="314"/>
      <c r="J473" s="314"/>
      <c r="K473" s="314"/>
      <c r="L473" s="314"/>
      <c r="M473" s="314"/>
      <c r="N473" s="314"/>
      <c r="O473" s="314"/>
      <c r="P473" s="314"/>
      <c r="Q473" s="314"/>
      <c r="R473" s="314"/>
      <c r="S473" s="314"/>
      <c r="T473" s="314"/>
      <c r="U473" s="314"/>
      <c r="V473" s="314"/>
      <c r="W473" s="313"/>
      <c r="X473" s="313"/>
      <c r="Y473" s="314"/>
      <c r="Z473" s="335"/>
      <c r="AA473" s="313"/>
      <c r="AB473" s="324"/>
      <c r="AC473" s="155"/>
      <c r="AD473" s="155"/>
      <c r="AE473" s="322"/>
      <c r="AF473" s="132"/>
      <c r="AG473" s="132"/>
    </row>
    <row r="474">
      <c r="A474" s="311"/>
      <c r="B474" s="313"/>
      <c r="C474" s="313"/>
      <c r="D474" s="313"/>
      <c r="E474" s="314"/>
      <c r="F474" s="314"/>
      <c r="G474" s="314"/>
      <c r="H474" s="314"/>
      <c r="I474" s="314"/>
      <c r="J474" s="314"/>
      <c r="K474" s="314"/>
      <c r="L474" s="314"/>
      <c r="M474" s="314"/>
      <c r="N474" s="314"/>
      <c r="O474" s="314"/>
      <c r="P474" s="314"/>
      <c r="Q474" s="314"/>
      <c r="R474" s="314"/>
      <c r="S474" s="314"/>
      <c r="T474" s="314"/>
      <c r="U474" s="314"/>
      <c r="V474" s="314"/>
      <c r="W474" s="313"/>
      <c r="X474" s="313"/>
      <c r="Y474" s="314"/>
      <c r="Z474" s="335"/>
      <c r="AA474" s="313"/>
      <c r="AB474" s="324"/>
      <c r="AC474" s="155"/>
      <c r="AD474" s="155"/>
      <c r="AE474" s="322"/>
      <c r="AF474" s="132"/>
      <c r="AG474" s="132"/>
    </row>
    <row r="475">
      <c r="A475" s="311"/>
      <c r="B475" s="313"/>
      <c r="C475" s="313"/>
      <c r="D475" s="313"/>
      <c r="E475" s="314"/>
      <c r="F475" s="314"/>
      <c r="G475" s="314"/>
      <c r="H475" s="314"/>
      <c r="I475" s="314"/>
      <c r="J475" s="314"/>
      <c r="K475" s="314"/>
      <c r="L475" s="314"/>
      <c r="M475" s="314"/>
      <c r="N475" s="314"/>
      <c r="O475" s="314"/>
      <c r="P475" s="314"/>
      <c r="Q475" s="314"/>
      <c r="R475" s="314"/>
      <c r="S475" s="314"/>
      <c r="T475" s="314"/>
      <c r="U475" s="314"/>
      <c r="V475" s="314"/>
      <c r="W475" s="313"/>
      <c r="X475" s="313"/>
      <c r="Y475" s="314"/>
      <c r="Z475" s="335"/>
      <c r="AA475" s="313"/>
      <c r="AB475" s="324"/>
      <c r="AC475" s="155"/>
      <c r="AD475" s="155"/>
      <c r="AE475" s="322"/>
      <c r="AF475" s="132"/>
      <c r="AG475" s="132"/>
    </row>
    <row r="476">
      <c r="A476" s="311"/>
      <c r="B476" s="313"/>
      <c r="C476" s="313"/>
      <c r="D476" s="313"/>
      <c r="E476" s="314"/>
      <c r="F476" s="314"/>
      <c r="G476" s="314"/>
      <c r="H476" s="314"/>
      <c r="I476" s="314"/>
      <c r="J476" s="314"/>
      <c r="K476" s="314"/>
      <c r="L476" s="314"/>
      <c r="M476" s="314"/>
      <c r="N476" s="314"/>
      <c r="O476" s="314"/>
      <c r="P476" s="314"/>
      <c r="Q476" s="314"/>
      <c r="R476" s="314"/>
      <c r="S476" s="314"/>
      <c r="T476" s="314"/>
      <c r="U476" s="314"/>
      <c r="V476" s="314"/>
      <c r="W476" s="313"/>
      <c r="X476" s="313"/>
      <c r="Y476" s="314"/>
      <c r="Z476" s="335"/>
      <c r="AA476" s="313"/>
      <c r="AB476" s="324"/>
      <c r="AC476" s="155"/>
      <c r="AD476" s="155"/>
      <c r="AE476" s="322"/>
      <c r="AF476" s="132"/>
      <c r="AG476" s="132"/>
    </row>
    <row r="477">
      <c r="A477" s="311"/>
      <c r="B477" s="313"/>
      <c r="C477" s="313"/>
      <c r="D477" s="313"/>
      <c r="E477" s="314"/>
      <c r="F477" s="314"/>
      <c r="G477" s="314"/>
      <c r="H477" s="314"/>
      <c r="I477" s="314"/>
      <c r="J477" s="314"/>
      <c r="K477" s="314"/>
      <c r="L477" s="314"/>
      <c r="M477" s="314"/>
      <c r="N477" s="314"/>
      <c r="O477" s="314"/>
      <c r="P477" s="314"/>
      <c r="Q477" s="314"/>
      <c r="R477" s="314"/>
      <c r="S477" s="314"/>
      <c r="T477" s="314"/>
      <c r="U477" s="314"/>
      <c r="V477" s="314"/>
      <c r="W477" s="313"/>
      <c r="X477" s="313"/>
      <c r="Y477" s="314"/>
      <c r="Z477" s="335"/>
      <c r="AA477" s="313"/>
      <c r="AB477" s="324"/>
      <c r="AC477" s="155"/>
      <c r="AD477" s="155"/>
      <c r="AE477" s="322"/>
      <c r="AF477" s="132"/>
      <c r="AG477" s="132"/>
    </row>
    <row r="478">
      <c r="A478" s="311"/>
      <c r="B478" s="313"/>
      <c r="C478" s="313"/>
      <c r="D478" s="313"/>
      <c r="E478" s="314"/>
      <c r="F478" s="314"/>
      <c r="G478" s="314"/>
      <c r="H478" s="314"/>
      <c r="I478" s="314"/>
      <c r="J478" s="314"/>
      <c r="K478" s="314"/>
      <c r="L478" s="314"/>
      <c r="M478" s="314"/>
      <c r="N478" s="314"/>
      <c r="O478" s="314"/>
      <c r="P478" s="314"/>
      <c r="Q478" s="314"/>
      <c r="R478" s="314"/>
      <c r="S478" s="314"/>
      <c r="T478" s="314"/>
      <c r="U478" s="314"/>
      <c r="V478" s="314"/>
      <c r="W478" s="313"/>
      <c r="X478" s="313"/>
      <c r="Y478" s="314"/>
      <c r="Z478" s="335"/>
      <c r="AA478" s="313"/>
      <c r="AB478" s="324"/>
      <c r="AC478" s="155"/>
      <c r="AD478" s="155"/>
      <c r="AE478" s="322"/>
      <c r="AF478" s="132"/>
      <c r="AG478" s="132"/>
    </row>
    <row r="479">
      <c r="A479" s="311"/>
      <c r="B479" s="313"/>
      <c r="C479" s="313"/>
      <c r="D479" s="313"/>
      <c r="E479" s="314"/>
      <c r="F479" s="314"/>
      <c r="G479" s="314"/>
      <c r="H479" s="314"/>
      <c r="I479" s="314"/>
      <c r="J479" s="314"/>
      <c r="K479" s="314"/>
      <c r="L479" s="314"/>
      <c r="M479" s="314"/>
      <c r="N479" s="314"/>
      <c r="O479" s="314"/>
      <c r="P479" s="314"/>
      <c r="Q479" s="314"/>
      <c r="R479" s="314"/>
      <c r="S479" s="314"/>
      <c r="T479" s="314"/>
      <c r="U479" s="314"/>
      <c r="V479" s="314"/>
      <c r="W479" s="313"/>
      <c r="X479" s="313"/>
      <c r="Y479" s="314"/>
      <c r="Z479" s="335"/>
      <c r="AA479" s="313"/>
      <c r="AB479" s="324"/>
      <c r="AC479" s="155"/>
      <c r="AD479" s="155"/>
      <c r="AE479" s="322"/>
      <c r="AF479" s="132"/>
      <c r="AG479" s="132"/>
    </row>
    <row r="480">
      <c r="A480" s="311"/>
      <c r="B480" s="313"/>
      <c r="C480" s="313"/>
      <c r="D480" s="313"/>
      <c r="E480" s="314"/>
      <c r="F480" s="314"/>
      <c r="G480" s="314"/>
      <c r="H480" s="314"/>
      <c r="I480" s="314"/>
      <c r="J480" s="314"/>
      <c r="K480" s="314"/>
      <c r="L480" s="314"/>
      <c r="M480" s="314"/>
      <c r="N480" s="314"/>
      <c r="O480" s="314"/>
      <c r="P480" s="314"/>
      <c r="Q480" s="314"/>
      <c r="R480" s="314"/>
      <c r="S480" s="314"/>
      <c r="T480" s="314"/>
      <c r="U480" s="314"/>
      <c r="V480" s="314"/>
      <c r="W480" s="313"/>
      <c r="X480" s="313"/>
      <c r="Y480" s="314"/>
      <c r="Z480" s="335"/>
      <c r="AA480" s="313"/>
      <c r="AB480" s="324"/>
      <c r="AC480" s="155"/>
      <c r="AD480" s="155"/>
      <c r="AE480" s="322"/>
      <c r="AF480" s="132"/>
      <c r="AG480" s="132"/>
    </row>
    <row r="481">
      <c r="A481" s="311"/>
      <c r="B481" s="313"/>
      <c r="C481" s="313"/>
      <c r="D481" s="313"/>
      <c r="E481" s="314"/>
      <c r="F481" s="314"/>
      <c r="G481" s="314"/>
      <c r="H481" s="314"/>
      <c r="I481" s="314"/>
      <c r="J481" s="314"/>
      <c r="K481" s="314"/>
      <c r="L481" s="314"/>
      <c r="M481" s="314"/>
      <c r="N481" s="314"/>
      <c r="O481" s="314"/>
      <c r="P481" s="314"/>
      <c r="Q481" s="314"/>
      <c r="R481" s="314"/>
      <c r="S481" s="314"/>
      <c r="T481" s="314"/>
      <c r="U481" s="314"/>
      <c r="V481" s="314"/>
      <c r="W481" s="313"/>
      <c r="X481" s="313"/>
      <c r="Y481" s="314"/>
      <c r="Z481" s="335"/>
      <c r="AA481" s="313"/>
      <c r="AB481" s="324"/>
      <c r="AC481" s="155"/>
      <c r="AD481" s="155"/>
      <c r="AE481" s="322"/>
      <c r="AF481" s="132"/>
      <c r="AG481" s="132"/>
    </row>
    <row r="482">
      <c r="A482" s="311"/>
      <c r="B482" s="313"/>
      <c r="C482" s="313"/>
      <c r="D482" s="313"/>
      <c r="E482" s="314"/>
      <c r="F482" s="314"/>
      <c r="G482" s="314"/>
      <c r="H482" s="314"/>
      <c r="I482" s="314"/>
      <c r="J482" s="314"/>
      <c r="K482" s="314"/>
      <c r="L482" s="314"/>
      <c r="M482" s="314"/>
      <c r="N482" s="314"/>
      <c r="O482" s="314"/>
      <c r="P482" s="314"/>
      <c r="Q482" s="314"/>
      <c r="R482" s="314"/>
      <c r="S482" s="314"/>
      <c r="T482" s="314"/>
      <c r="U482" s="314"/>
      <c r="V482" s="314"/>
      <c r="W482" s="313"/>
      <c r="X482" s="313"/>
      <c r="Y482" s="314"/>
      <c r="Z482" s="335"/>
      <c r="AA482" s="313"/>
      <c r="AB482" s="324"/>
      <c r="AC482" s="155"/>
      <c r="AD482" s="155"/>
      <c r="AE482" s="322"/>
      <c r="AF482" s="132"/>
      <c r="AG482" s="132"/>
    </row>
    <row r="483">
      <c r="A483" s="311"/>
      <c r="B483" s="313"/>
      <c r="C483" s="313"/>
      <c r="D483" s="313"/>
      <c r="E483" s="314"/>
      <c r="F483" s="314"/>
      <c r="G483" s="314"/>
      <c r="H483" s="314"/>
      <c r="I483" s="314"/>
      <c r="J483" s="314"/>
      <c r="K483" s="314"/>
      <c r="L483" s="314"/>
      <c r="M483" s="314"/>
      <c r="N483" s="314"/>
      <c r="O483" s="314"/>
      <c r="P483" s="314"/>
      <c r="Q483" s="314"/>
      <c r="R483" s="314"/>
      <c r="S483" s="314"/>
      <c r="T483" s="314"/>
      <c r="U483" s="314"/>
      <c r="V483" s="314"/>
      <c r="W483" s="313"/>
      <c r="X483" s="313"/>
      <c r="Y483" s="314"/>
      <c r="Z483" s="335"/>
      <c r="AA483" s="313"/>
      <c r="AB483" s="324"/>
      <c r="AC483" s="155"/>
      <c r="AD483" s="155"/>
      <c r="AE483" s="322"/>
      <c r="AF483" s="132"/>
      <c r="AG483" s="132"/>
    </row>
    <row r="484">
      <c r="A484" s="311"/>
      <c r="B484" s="313"/>
      <c r="C484" s="313"/>
      <c r="D484" s="313"/>
      <c r="E484" s="314"/>
      <c r="F484" s="314"/>
      <c r="G484" s="314"/>
      <c r="H484" s="314"/>
      <c r="I484" s="314"/>
      <c r="J484" s="314"/>
      <c r="K484" s="314"/>
      <c r="L484" s="314"/>
      <c r="M484" s="314"/>
      <c r="N484" s="314"/>
      <c r="O484" s="314"/>
      <c r="P484" s="314"/>
      <c r="Q484" s="314"/>
      <c r="R484" s="314"/>
      <c r="S484" s="314"/>
      <c r="T484" s="314"/>
      <c r="U484" s="314"/>
      <c r="V484" s="314"/>
      <c r="W484" s="313"/>
      <c r="X484" s="313"/>
      <c r="Y484" s="314"/>
      <c r="Z484" s="335"/>
      <c r="AA484" s="313"/>
      <c r="AB484" s="324"/>
      <c r="AC484" s="155"/>
      <c r="AD484" s="155"/>
      <c r="AE484" s="322"/>
      <c r="AF484" s="132"/>
      <c r="AG484" s="132"/>
    </row>
    <row r="485">
      <c r="A485" s="311"/>
      <c r="B485" s="313"/>
      <c r="C485" s="313"/>
      <c r="D485" s="313"/>
      <c r="E485" s="314"/>
      <c r="F485" s="314"/>
      <c r="G485" s="314"/>
      <c r="H485" s="314"/>
      <c r="I485" s="314"/>
      <c r="J485" s="314"/>
      <c r="K485" s="314"/>
      <c r="L485" s="314"/>
      <c r="M485" s="314"/>
      <c r="N485" s="314"/>
      <c r="O485" s="314"/>
      <c r="P485" s="314"/>
      <c r="Q485" s="314"/>
      <c r="R485" s="314"/>
      <c r="S485" s="314"/>
      <c r="T485" s="314"/>
      <c r="U485" s="314"/>
      <c r="V485" s="314"/>
      <c r="W485" s="313"/>
      <c r="X485" s="313"/>
      <c r="Y485" s="314"/>
      <c r="Z485" s="335"/>
      <c r="AA485" s="313"/>
      <c r="AB485" s="324"/>
      <c r="AC485" s="155"/>
      <c r="AD485" s="155"/>
      <c r="AE485" s="322"/>
      <c r="AF485" s="132"/>
      <c r="AG485" s="132"/>
    </row>
    <row r="486">
      <c r="A486" s="311"/>
      <c r="B486" s="313"/>
      <c r="C486" s="313"/>
      <c r="D486" s="313"/>
      <c r="E486" s="314"/>
      <c r="F486" s="314"/>
      <c r="G486" s="314"/>
      <c r="H486" s="314"/>
      <c r="I486" s="314"/>
      <c r="J486" s="314"/>
      <c r="K486" s="314"/>
      <c r="L486" s="314"/>
      <c r="M486" s="314"/>
      <c r="N486" s="314"/>
      <c r="O486" s="314"/>
      <c r="P486" s="314"/>
      <c r="Q486" s="314"/>
      <c r="R486" s="314"/>
      <c r="S486" s="314"/>
      <c r="T486" s="314"/>
      <c r="U486" s="314"/>
      <c r="V486" s="314"/>
      <c r="W486" s="313"/>
      <c r="X486" s="313"/>
      <c r="Y486" s="314"/>
      <c r="Z486" s="335"/>
      <c r="AA486" s="313"/>
      <c r="AB486" s="324"/>
      <c r="AC486" s="155"/>
      <c r="AD486" s="155"/>
      <c r="AE486" s="322"/>
      <c r="AF486" s="132"/>
      <c r="AG486" s="132"/>
    </row>
    <row r="487">
      <c r="A487" s="311"/>
      <c r="B487" s="313"/>
      <c r="C487" s="313"/>
      <c r="D487" s="313"/>
      <c r="E487" s="314"/>
      <c r="F487" s="314"/>
      <c r="G487" s="314"/>
      <c r="H487" s="314"/>
      <c r="I487" s="314"/>
      <c r="J487" s="314"/>
      <c r="K487" s="314"/>
      <c r="L487" s="314"/>
      <c r="M487" s="314"/>
      <c r="N487" s="314"/>
      <c r="O487" s="314"/>
      <c r="P487" s="314"/>
      <c r="Q487" s="314"/>
      <c r="R487" s="314"/>
      <c r="S487" s="314"/>
      <c r="T487" s="314"/>
      <c r="U487" s="314"/>
      <c r="V487" s="314"/>
      <c r="W487" s="313"/>
      <c r="X487" s="313"/>
      <c r="Y487" s="314"/>
      <c r="Z487" s="335"/>
      <c r="AA487" s="313"/>
      <c r="AB487" s="324"/>
      <c r="AC487" s="155"/>
      <c r="AD487" s="155"/>
      <c r="AE487" s="322"/>
      <c r="AF487" s="132"/>
      <c r="AG487" s="132"/>
    </row>
    <row r="488">
      <c r="A488" s="311"/>
      <c r="B488" s="313"/>
      <c r="C488" s="313"/>
      <c r="D488" s="313"/>
      <c r="E488" s="314"/>
      <c r="F488" s="314"/>
      <c r="G488" s="314"/>
      <c r="H488" s="314"/>
      <c r="I488" s="314"/>
      <c r="J488" s="314"/>
      <c r="K488" s="314"/>
      <c r="L488" s="314"/>
      <c r="M488" s="314"/>
      <c r="N488" s="314"/>
      <c r="O488" s="314"/>
      <c r="P488" s="314"/>
      <c r="Q488" s="314"/>
      <c r="R488" s="314"/>
      <c r="S488" s="314"/>
      <c r="T488" s="314"/>
      <c r="U488" s="314"/>
      <c r="V488" s="314"/>
      <c r="W488" s="313"/>
      <c r="X488" s="313"/>
      <c r="Y488" s="314"/>
      <c r="Z488" s="335"/>
      <c r="AA488" s="313"/>
      <c r="AB488" s="324"/>
      <c r="AC488" s="155"/>
      <c r="AD488" s="155"/>
      <c r="AE488" s="322"/>
      <c r="AF488" s="132"/>
      <c r="AG488" s="132"/>
    </row>
    <row r="489">
      <c r="A489" s="311"/>
      <c r="B489" s="313"/>
      <c r="C489" s="313"/>
      <c r="D489" s="313"/>
      <c r="E489" s="314"/>
      <c r="F489" s="314"/>
      <c r="G489" s="314"/>
      <c r="H489" s="314"/>
      <c r="I489" s="314"/>
      <c r="J489" s="314"/>
      <c r="K489" s="314"/>
      <c r="L489" s="314"/>
      <c r="M489" s="314"/>
      <c r="N489" s="314"/>
      <c r="O489" s="314"/>
      <c r="P489" s="314"/>
      <c r="Q489" s="314"/>
      <c r="R489" s="314"/>
      <c r="S489" s="314"/>
      <c r="T489" s="314"/>
      <c r="U489" s="314"/>
      <c r="V489" s="314"/>
      <c r="W489" s="313"/>
      <c r="X489" s="313"/>
      <c r="Y489" s="314"/>
      <c r="Z489" s="335"/>
      <c r="AA489" s="313"/>
      <c r="AB489" s="324"/>
      <c r="AC489" s="155"/>
      <c r="AD489" s="155"/>
      <c r="AE489" s="322"/>
      <c r="AF489" s="132"/>
      <c r="AG489" s="132"/>
    </row>
    <row r="490">
      <c r="A490" s="311"/>
      <c r="B490" s="313"/>
      <c r="C490" s="313"/>
      <c r="D490" s="313"/>
      <c r="E490" s="314"/>
      <c r="F490" s="314"/>
      <c r="G490" s="314"/>
      <c r="H490" s="314"/>
      <c r="I490" s="314"/>
      <c r="J490" s="314"/>
      <c r="K490" s="314"/>
      <c r="L490" s="314"/>
      <c r="M490" s="314"/>
      <c r="N490" s="314"/>
      <c r="O490" s="314"/>
      <c r="P490" s="314"/>
      <c r="Q490" s="314"/>
      <c r="R490" s="314"/>
      <c r="S490" s="314"/>
      <c r="T490" s="314"/>
      <c r="U490" s="314"/>
      <c r="V490" s="314"/>
      <c r="W490" s="313"/>
      <c r="X490" s="313"/>
      <c r="Y490" s="314"/>
      <c r="Z490" s="335"/>
      <c r="AA490" s="313"/>
      <c r="AB490" s="324"/>
      <c r="AC490" s="155"/>
      <c r="AD490" s="155"/>
      <c r="AE490" s="322"/>
      <c r="AF490" s="132"/>
      <c r="AG490" s="132"/>
    </row>
    <row r="491">
      <c r="A491" s="311"/>
      <c r="B491" s="313"/>
      <c r="C491" s="313"/>
      <c r="D491" s="313"/>
      <c r="E491" s="314"/>
      <c r="F491" s="314"/>
      <c r="G491" s="314"/>
      <c r="H491" s="314"/>
      <c r="I491" s="314"/>
      <c r="J491" s="314"/>
      <c r="K491" s="314"/>
      <c r="L491" s="314"/>
      <c r="M491" s="314"/>
      <c r="N491" s="314"/>
      <c r="O491" s="314"/>
      <c r="P491" s="314"/>
      <c r="Q491" s="314"/>
      <c r="R491" s="314"/>
      <c r="S491" s="314"/>
      <c r="T491" s="314"/>
      <c r="U491" s="314"/>
      <c r="V491" s="314"/>
      <c r="W491" s="313"/>
      <c r="X491" s="313"/>
      <c r="Y491" s="314"/>
      <c r="Z491" s="335"/>
      <c r="AA491" s="313"/>
      <c r="AB491" s="324"/>
      <c r="AC491" s="155"/>
      <c r="AD491" s="155"/>
      <c r="AE491" s="322"/>
      <c r="AF491" s="132"/>
      <c r="AG491" s="132"/>
    </row>
    <row r="492">
      <c r="A492" s="311"/>
      <c r="B492" s="313"/>
      <c r="C492" s="313"/>
      <c r="D492" s="313"/>
      <c r="E492" s="314"/>
      <c r="F492" s="314"/>
      <c r="G492" s="314"/>
      <c r="H492" s="314"/>
      <c r="I492" s="314"/>
      <c r="J492" s="314"/>
      <c r="K492" s="314"/>
      <c r="L492" s="314"/>
      <c r="M492" s="314"/>
      <c r="N492" s="314"/>
      <c r="O492" s="314"/>
      <c r="P492" s="314"/>
      <c r="Q492" s="314"/>
      <c r="R492" s="314"/>
      <c r="S492" s="314"/>
      <c r="T492" s="314"/>
      <c r="U492" s="314"/>
      <c r="V492" s="314"/>
      <c r="W492" s="313"/>
      <c r="X492" s="313"/>
      <c r="Y492" s="314"/>
      <c r="Z492" s="335"/>
      <c r="AA492" s="313"/>
      <c r="AB492" s="324"/>
      <c r="AC492" s="155"/>
      <c r="AD492" s="155"/>
      <c r="AE492" s="322"/>
      <c r="AF492" s="132"/>
      <c r="AG492" s="132"/>
    </row>
    <row r="493">
      <c r="A493" s="311"/>
      <c r="B493" s="313"/>
      <c r="C493" s="313"/>
      <c r="D493" s="313"/>
      <c r="E493" s="314"/>
      <c r="F493" s="314"/>
      <c r="G493" s="314"/>
      <c r="H493" s="314"/>
      <c r="I493" s="314"/>
      <c r="J493" s="314"/>
      <c r="K493" s="314"/>
      <c r="L493" s="314"/>
      <c r="M493" s="314"/>
      <c r="N493" s="314"/>
      <c r="O493" s="314"/>
      <c r="P493" s="314"/>
      <c r="Q493" s="314"/>
      <c r="R493" s="314"/>
      <c r="S493" s="314"/>
      <c r="T493" s="314"/>
      <c r="U493" s="314"/>
      <c r="V493" s="314"/>
      <c r="W493" s="313"/>
      <c r="X493" s="313"/>
      <c r="Y493" s="314"/>
      <c r="Z493" s="335"/>
      <c r="AA493" s="313"/>
      <c r="AB493" s="324"/>
      <c r="AC493" s="155"/>
      <c r="AD493" s="155"/>
      <c r="AE493" s="322"/>
      <c r="AF493" s="132"/>
      <c r="AG493" s="132"/>
    </row>
    <row r="494">
      <c r="A494" s="311"/>
      <c r="B494" s="313"/>
      <c r="C494" s="313"/>
      <c r="D494" s="313"/>
      <c r="E494" s="314"/>
      <c r="F494" s="314"/>
      <c r="G494" s="314"/>
      <c r="H494" s="314"/>
      <c r="I494" s="314"/>
      <c r="J494" s="314"/>
      <c r="K494" s="314"/>
      <c r="L494" s="314"/>
      <c r="M494" s="314"/>
      <c r="N494" s="314"/>
      <c r="O494" s="314"/>
      <c r="P494" s="314"/>
      <c r="Q494" s="314"/>
      <c r="R494" s="314"/>
      <c r="S494" s="314"/>
      <c r="T494" s="314"/>
      <c r="U494" s="314"/>
      <c r="V494" s="314"/>
      <c r="W494" s="313"/>
      <c r="X494" s="313"/>
      <c r="Y494" s="314"/>
      <c r="Z494" s="335"/>
      <c r="AA494" s="313"/>
      <c r="AB494" s="324"/>
      <c r="AC494" s="155"/>
      <c r="AD494" s="155"/>
      <c r="AE494" s="322"/>
      <c r="AF494" s="132"/>
      <c r="AG494" s="132"/>
    </row>
    <row r="495">
      <c r="A495" s="311"/>
      <c r="B495" s="313"/>
      <c r="C495" s="313"/>
      <c r="D495" s="313"/>
      <c r="E495" s="314"/>
      <c r="F495" s="314"/>
      <c r="G495" s="314"/>
      <c r="H495" s="314"/>
      <c r="I495" s="314"/>
      <c r="J495" s="314"/>
      <c r="K495" s="314"/>
      <c r="L495" s="314"/>
      <c r="M495" s="314"/>
      <c r="N495" s="314"/>
      <c r="O495" s="314"/>
      <c r="P495" s="314"/>
      <c r="Q495" s="314"/>
      <c r="R495" s="314"/>
      <c r="S495" s="314"/>
      <c r="T495" s="314"/>
      <c r="U495" s="314"/>
      <c r="V495" s="314"/>
      <c r="W495" s="313"/>
      <c r="X495" s="313"/>
      <c r="Y495" s="314"/>
      <c r="Z495" s="335"/>
      <c r="AA495" s="313"/>
      <c r="AB495" s="324"/>
      <c r="AC495" s="155"/>
      <c r="AD495" s="155"/>
      <c r="AE495" s="322"/>
      <c r="AF495" s="132"/>
      <c r="AG495" s="132"/>
    </row>
    <row r="496">
      <c r="A496" s="311"/>
      <c r="B496" s="313"/>
      <c r="C496" s="313"/>
      <c r="D496" s="313"/>
      <c r="E496" s="314"/>
      <c r="F496" s="314"/>
      <c r="G496" s="314"/>
      <c r="H496" s="314"/>
      <c r="I496" s="314"/>
      <c r="J496" s="314"/>
      <c r="K496" s="314"/>
      <c r="L496" s="314"/>
      <c r="M496" s="314"/>
      <c r="N496" s="314"/>
      <c r="O496" s="314"/>
      <c r="P496" s="314"/>
      <c r="Q496" s="314"/>
      <c r="R496" s="314"/>
      <c r="S496" s="314"/>
      <c r="T496" s="314"/>
      <c r="U496" s="314"/>
      <c r="V496" s="314"/>
      <c r="W496" s="313"/>
      <c r="X496" s="313"/>
      <c r="Y496" s="314"/>
      <c r="Z496" s="335"/>
      <c r="AA496" s="313"/>
      <c r="AB496" s="324"/>
      <c r="AC496" s="155"/>
      <c r="AD496" s="155"/>
      <c r="AE496" s="322"/>
      <c r="AF496" s="132"/>
      <c r="AG496" s="132"/>
    </row>
    <row r="497">
      <c r="A497" s="311"/>
      <c r="B497" s="313"/>
      <c r="C497" s="313"/>
      <c r="D497" s="313"/>
      <c r="E497" s="314"/>
      <c r="F497" s="314"/>
      <c r="G497" s="314"/>
      <c r="H497" s="314"/>
      <c r="I497" s="314"/>
      <c r="J497" s="314"/>
      <c r="K497" s="314"/>
      <c r="L497" s="314"/>
      <c r="M497" s="314"/>
      <c r="N497" s="314"/>
      <c r="O497" s="314"/>
      <c r="P497" s="314"/>
      <c r="Q497" s="314"/>
      <c r="R497" s="314"/>
      <c r="S497" s="314"/>
      <c r="T497" s="314"/>
      <c r="U497" s="314"/>
      <c r="V497" s="314"/>
      <c r="W497" s="313"/>
      <c r="X497" s="313"/>
      <c r="Y497" s="314"/>
      <c r="Z497" s="335"/>
      <c r="AA497" s="313"/>
      <c r="AB497" s="324"/>
      <c r="AC497" s="155"/>
      <c r="AD497" s="155"/>
      <c r="AE497" s="322"/>
      <c r="AF497" s="132"/>
      <c r="AG497" s="132"/>
    </row>
    <row r="498">
      <c r="A498" s="311"/>
      <c r="B498" s="313"/>
      <c r="C498" s="313"/>
      <c r="D498" s="313"/>
      <c r="E498" s="314"/>
      <c r="F498" s="314"/>
      <c r="G498" s="314"/>
      <c r="H498" s="314"/>
      <c r="I498" s="314"/>
      <c r="J498" s="314"/>
      <c r="K498" s="314"/>
      <c r="L498" s="314"/>
      <c r="M498" s="314"/>
      <c r="N498" s="314"/>
      <c r="O498" s="314"/>
      <c r="P498" s="314"/>
      <c r="Q498" s="314"/>
      <c r="R498" s="314"/>
      <c r="S498" s="314"/>
      <c r="T498" s="314"/>
      <c r="U498" s="314"/>
      <c r="V498" s="314"/>
      <c r="W498" s="313"/>
      <c r="X498" s="313"/>
      <c r="Y498" s="314"/>
      <c r="Z498" s="335"/>
      <c r="AA498" s="313"/>
      <c r="AB498" s="324"/>
      <c r="AC498" s="155"/>
      <c r="AD498" s="155"/>
      <c r="AE498" s="322"/>
      <c r="AF498" s="132"/>
      <c r="AG498" s="132"/>
    </row>
    <row r="499">
      <c r="A499" s="311"/>
      <c r="B499" s="313"/>
      <c r="C499" s="313"/>
      <c r="D499" s="313"/>
      <c r="E499" s="314"/>
      <c r="F499" s="314"/>
      <c r="G499" s="314"/>
      <c r="H499" s="314"/>
      <c r="I499" s="314"/>
      <c r="J499" s="314"/>
      <c r="K499" s="314"/>
      <c r="L499" s="314"/>
      <c r="M499" s="314"/>
      <c r="N499" s="314"/>
      <c r="O499" s="314"/>
      <c r="P499" s="314"/>
      <c r="Q499" s="314"/>
      <c r="R499" s="314"/>
      <c r="S499" s="314"/>
      <c r="T499" s="314"/>
      <c r="U499" s="314"/>
      <c r="V499" s="314"/>
      <c r="W499" s="313"/>
      <c r="X499" s="313"/>
      <c r="Y499" s="314"/>
      <c r="Z499" s="335"/>
      <c r="AA499" s="313"/>
      <c r="AB499" s="324"/>
      <c r="AC499" s="155"/>
      <c r="AD499" s="155"/>
      <c r="AE499" s="322"/>
      <c r="AF499" s="132"/>
      <c r="AG499" s="132"/>
    </row>
    <row r="500">
      <c r="A500" s="311"/>
      <c r="B500" s="313"/>
      <c r="C500" s="313"/>
      <c r="D500" s="313"/>
      <c r="E500" s="314"/>
      <c r="F500" s="314"/>
      <c r="G500" s="314"/>
      <c r="H500" s="314"/>
      <c r="I500" s="314"/>
      <c r="J500" s="314"/>
      <c r="K500" s="314"/>
      <c r="L500" s="314"/>
      <c r="M500" s="314"/>
      <c r="N500" s="314"/>
      <c r="O500" s="314"/>
      <c r="P500" s="314"/>
      <c r="Q500" s="314"/>
      <c r="R500" s="314"/>
      <c r="S500" s="314"/>
      <c r="T500" s="314"/>
      <c r="U500" s="314"/>
      <c r="V500" s="314"/>
      <c r="W500" s="313"/>
      <c r="X500" s="313"/>
      <c r="Y500" s="314"/>
      <c r="Z500" s="335"/>
      <c r="AA500" s="313"/>
      <c r="AB500" s="324"/>
      <c r="AC500" s="155"/>
      <c r="AD500" s="155"/>
      <c r="AE500" s="322"/>
      <c r="AF500" s="132"/>
      <c r="AG500" s="132"/>
    </row>
    <row r="501">
      <c r="A501" s="311"/>
      <c r="B501" s="313"/>
      <c r="C501" s="313"/>
      <c r="D501" s="313"/>
      <c r="E501" s="314"/>
      <c r="F501" s="314"/>
      <c r="G501" s="314"/>
      <c r="H501" s="314"/>
      <c r="I501" s="314"/>
      <c r="J501" s="314"/>
      <c r="K501" s="314"/>
      <c r="L501" s="314"/>
      <c r="M501" s="314"/>
      <c r="N501" s="314"/>
      <c r="O501" s="314"/>
      <c r="P501" s="314"/>
      <c r="Q501" s="314"/>
      <c r="R501" s="314"/>
      <c r="S501" s="314"/>
      <c r="T501" s="314"/>
      <c r="U501" s="314"/>
      <c r="V501" s="314"/>
      <c r="W501" s="313"/>
      <c r="X501" s="313"/>
      <c r="Y501" s="314"/>
      <c r="Z501" s="335"/>
      <c r="AA501" s="313"/>
      <c r="AB501" s="324"/>
      <c r="AC501" s="155"/>
      <c r="AD501" s="155"/>
      <c r="AE501" s="322"/>
      <c r="AF501" s="132"/>
      <c r="AG501" s="132"/>
    </row>
    <row r="502">
      <c r="A502" s="311"/>
      <c r="B502" s="313"/>
      <c r="C502" s="313"/>
      <c r="D502" s="313"/>
      <c r="E502" s="314"/>
      <c r="F502" s="314"/>
      <c r="G502" s="314"/>
      <c r="H502" s="314"/>
      <c r="I502" s="314"/>
      <c r="J502" s="314"/>
      <c r="K502" s="314"/>
      <c r="L502" s="314"/>
      <c r="M502" s="314"/>
      <c r="N502" s="314"/>
      <c r="O502" s="314"/>
      <c r="P502" s="314"/>
      <c r="Q502" s="314"/>
      <c r="R502" s="314"/>
      <c r="S502" s="314"/>
      <c r="T502" s="314"/>
      <c r="U502" s="314"/>
      <c r="V502" s="314"/>
      <c r="W502" s="313"/>
      <c r="X502" s="313"/>
      <c r="Y502" s="314"/>
      <c r="Z502" s="335"/>
      <c r="AA502" s="313"/>
      <c r="AB502" s="324"/>
      <c r="AC502" s="155"/>
      <c r="AD502" s="155"/>
      <c r="AE502" s="322"/>
      <c r="AF502" s="132"/>
      <c r="AG502" s="132"/>
    </row>
    <row r="503">
      <c r="A503" s="311"/>
      <c r="B503" s="313"/>
      <c r="C503" s="313"/>
      <c r="D503" s="313"/>
      <c r="E503" s="314"/>
      <c r="F503" s="314"/>
      <c r="G503" s="314"/>
      <c r="H503" s="314"/>
      <c r="I503" s="314"/>
      <c r="J503" s="314"/>
      <c r="K503" s="314"/>
      <c r="L503" s="314"/>
      <c r="M503" s="314"/>
      <c r="N503" s="314"/>
      <c r="O503" s="314"/>
      <c r="P503" s="314"/>
      <c r="Q503" s="314"/>
      <c r="R503" s="314"/>
      <c r="S503" s="314"/>
      <c r="T503" s="314"/>
      <c r="U503" s="314"/>
      <c r="V503" s="314"/>
      <c r="W503" s="313"/>
      <c r="X503" s="313"/>
      <c r="Y503" s="314"/>
      <c r="Z503" s="335"/>
      <c r="AA503" s="313"/>
      <c r="AB503" s="324"/>
      <c r="AC503" s="155"/>
      <c r="AD503" s="155"/>
      <c r="AE503" s="322"/>
      <c r="AF503" s="132"/>
      <c r="AG503" s="132"/>
    </row>
    <row r="504">
      <c r="A504" s="311"/>
      <c r="B504" s="313"/>
      <c r="C504" s="313"/>
      <c r="D504" s="313"/>
      <c r="E504" s="314"/>
      <c r="F504" s="314"/>
      <c r="G504" s="314"/>
      <c r="H504" s="314"/>
      <c r="I504" s="314"/>
      <c r="J504" s="314"/>
      <c r="K504" s="314"/>
      <c r="L504" s="314"/>
      <c r="M504" s="314"/>
      <c r="N504" s="314"/>
      <c r="O504" s="314"/>
      <c r="P504" s="314"/>
      <c r="Q504" s="314"/>
      <c r="R504" s="314"/>
      <c r="S504" s="314"/>
      <c r="T504" s="314"/>
      <c r="U504" s="314"/>
      <c r="V504" s="314"/>
      <c r="W504" s="313"/>
      <c r="X504" s="313"/>
      <c r="Y504" s="314"/>
      <c r="Z504" s="335"/>
      <c r="AA504" s="313"/>
      <c r="AB504" s="324"/>
      <c r="AC504" s="155"/>
      <c r="AD504" s="155"/>
      <c r="AE504" s="322"/>
      <c r="AF504" s="132"/>
      <c r="AG504" s="132"/>
    </row>
    <row r="505">
      <c r="A505" s="311"/>
      <c r="B505" s="313"/>
      <c r="C505" s="313"/>
      <c r="D505" s="313"/>
      <c r="E505" s="314"/>
      <c r="F505" s="314"/>
      <c r="G505" s="314"/>
      <c r="H505" s="314"/>
      <c r="I505" s="314"/>
      <c r="J505" s="314"/>
      <c r="K505" s="314"/>
      <c r="L505" s="314"/>
      <c r="M505" s="314"/>
      <c r="N505" s="314"/>
      <c r="O505" s="314"/>
      <c r="P505" s="314"/>
      <c r="Q505" s="314"/>
      <c r="R505" s="314"/>
      <c r="S505" s="314"/>
      <c r="T505" s="314"/>
      <c r="U505" s="314"/>
      <c r="V505" s="314"/>
      <c r="W505" s="313"/>
      <c r="X505" s="313"/>
      <c r="Y505" s="314"/>
      <c r="Z505" s="335"/>
      <c r="AA505" s="313"/>
      <c r="AB505" s="324"/>
      <c r="AC505" s="155"/>
      <c r="AD505" s="155"/>
      <c r="AE505" s="322"/>
      <c r="AF505" s="132"/>
      <c r="AG505" s="132"/>
    </row>
    <row r="506">
      <c r="A506" s="311"/>
      <c r="B506" s="313"/>
      <c r="C506" s="313"/>
      <c r="D506" s="313"/>
      <c r="E506" s="314"/>
      <c r="F506" s="314"/>
      <c r="G506" s="314"/>
      <c r="H506" s="314"/>
      <c r="I506" s="314"/>
      <c r="J506" s="314"/>
      <c r="K506" s="314"/>
      <c r="L506" s="314"/>
      <c r="M506" s="314"/>
      <c r="N506" s="314"/>
      <c r="O506" s="314"/>
      <c r="P506" s="314"/>
      <c r="Q506" s="314"/>
      <c r="R506" s="314"/>
      <c r="S506" s="314"/>
      <c r="T506" s="314"/>
      <c r="U506" s="314"/>
      <c r="V506" s="314"/>
      <c r="W506" s="313"/>
      <c r="X506" s="313"/>
      <c r="Y506" s="314"/>
      <c r="Z506" s="335"/>
      <c r="AA506" s="313"/>
      <c r="AB506" s="324"/>
      <c r="AC506" s="155"/>
      <c r="AD506" s="155"/>
      <c r="AE506" s="322"/>
      <c r="AF506" s="132"/>
      <c r="AG506" s="132"/>
    </row>
    <row r="507">
      <c r="A507" s="311"/>
      <c r="B507" s="313"/>
      <c r="C507" s="313"/>
      <c r="D507" s="313"/>
      <c r="E507" s="314"/>
      <c r="F507" s="314"/>
      <c r="G507" s="314"/>
      <c r="H507" s="314"/>
      <c r="I507" s="314"/>
      <c r="J507" s="314"/>
      <c r="K507" s="314"/>
      <c r="L507" s="314"/>
      <c r="M507" s="314"/>
      <c r="N507" s="314"/>
      <c r="O507" s="314"/>
      <c r="P507" s="314"/>
      <c r="Q507" s="314"/>
      <c r="R507" s="314"/>
      <c r="S507" s="314"/>
      <c r="T507" s="314"/>
      <c r="U507" s="314"/>
      <c r="V507" s="314"/>
      <c r="W507" s="313"/>
      <c r="X507" s="313"/>
      <c r="Y507" s="314"/>
      <c r="Z507" s="335"/>
      <c r="AA507" s="313"/>
      <c r="AB507" s="324"/>
      <c r="AC507" s="155"/>
      <c r="AD507" s="155"/>
      <c r="AE507" s="322"/>
      <c r="AF507" s="132"/>
      <c r="AG507" s="132"/>
    </row>
    <row r="508">
      <c r="A508" s="311"/>
      <c r="B508" s="313"/>
      <c r="C508" s="313"/>
      <c r="D508" s="313"/>
      <c r="E508" s="314"/>
      <c r="F508" s="314"/>
      <c r="G508" s="314"/>
      <c r="H508" s="314"/>
      <c r="I508" s="314"/>
      <c r="J508" s="314"/>
      <c r="K508" s="314"/>
      <c r="L508" s="314"/>
      <c r="M508" s="314"/>
      <c r="N508" s="314"/>
      <c r="O508" s="314"/>
      <c r="P508" s="314"/>
      <c r="Q508" s="314"/>
      <c r="R508" s="314"/>
      <c r="S508" s="314"/>
      <c r="T508" s="314"/>
      <c r="U508" s="314"/>
      <c r="V508" s="314"/>
      <c r="W508" s="313"/>
      <c r="X508" s="313"/>
      <c r="Y508" s="314"/>
      <c r="Z508" s="335"/>
      <c r="AA508" s="313"/>
      <c r="AB508" s="324"/>
      <c r="AC508" s="155"/>
      <c r="AD508" s="155"/>
      <c r="AE508" s="322"/>
      <c r="AF508" s="132"/>
      <c r="AG508" s="132"/>
    </row>
    <row r="509">
      <c r="A509" s="311"/>
      <c r="B509" s="313"/>
      <c r="C509" s="313"/>
      <c r="D509" s="313"/>
      <c r="E509" s="314"/>
      <c r="F509" s="314"/>
      <c r="G509" s="314"/>
      <c r="H509" s="314"/>
      <c r="I509" s="314"/>
      <c r="J509" s="314"/>
      <c r="K509" s="314"/>
      <c r="L509" s="314"/>
      <c r="M509" s="314"/>
      <c r="N509" s="314"/>
      <c r="O509" s="314"/>
      <c r="P509" s="314"/>
      <c r="Q509" s="314"/>
      <c r="R509" s="314"/>
      <c r="S509" s="314"/>
      <c r="T509" s="314"/>
      <c r="U509" s="314"/>
      <c r="V509" s="314"/>
      <c r="W509" s="313"/>
      <c r="X509" s="313"/>
      <c r="Y509" s="314"/>
      <c r="Z509" s="335"/>
      <c r="AA509" s="313"/>
      <c r="AB509" s="324"/>
      <c r="AC509" s="155"/>
      <c r="AD509" s="155"/>
      <c r="AE509" s="322"/>
      <c r="AF509" s="132"/>
      <c r="AG509" s="132"/>
    </row>
    <row r="510">
      <c r="A510" s="311"/>
      <c r="B510" s="313"/>
      <c r="C510" s="313"/>
      <c r="D510" s="313"/>
      <c r="E510" s="314"/>
      <c r="F510" s="314"/>
      <c r="G510" s="314"/>
      <c r="H510" s="314"/>
      <c r="I510" s="314"/>
      <c r="J510" s="314"/>
      <c r="K510" s="314"/>
      <c r="L510" s="314"/>
      <c r="M510" s="314"/>
      <c r="N510" s="314"/>
      <c r="O510" s="314"/>
      <c r="P510" s="314"/>
      <c r="Q510" s="314"/>
      <c r="R510" s="314"/>
      <c r="S510" s="314"/>
      <c r="T510" s="314"/>
      <c r="U510" s="314"/>
      <c r="V510" s="314"/>
      <c r="W510" s="313"/>
      <c r="X510" s="313"/>
      <c r="Y510" s="314"/>
      <c r="Z510" s="335"/>
      <c r="AA510" s="313"/>
      <c r="AB510" s="324"/>
      <c r="AC510" s="155"/>
      <c r="AD510" s="155"/>
      <c r="AE510" s="322"/>
      <c r="AF510" s="132"/>
      <c r="AG510" s="132"/>
    </row>
    <row r="511">
      <c r="A511" s="311"/>
      <c r="B511" s="313"/>
      <c r="C511" s="313"/>
      <c r="D511" s="313"/>
      <c r="E511" s="314"/>
      <c r="F511" s="314"/>
      <c r="G511" s="314"/>
      <c r="H511" s="314"/>
      <c r="I511" s="314"/>
      <c r="J511" s="314"/>
      <c r="K511" s="314"/>
      <c r="L511" s="314"/>
      <c r="M511" s="314"/>
      <c r="N511" s="314"/>
      <c r="O511" s="314"/>
      <c r="P511" s="314"/>
      <c r="Q511" s="314"/>
      <c r="R511" s="314"/>
      <c r="S511" s="314"/>
      <c r="T511" s="314"/>
      <c r="U511" s="314"/>
      <c r="V511" s="314"/>
      <c r="W511" s="313"/>
      <c r="X511" s="313"/>
      <c r="Y511" s="314"/>
      <c r="Z511" s="335"/>
      <c r="AA511" s="313"/>
      <c r="AB511" s="324"/>
      <c r="AC511" s="155"/>
      <c r="AD511" s="155"/>
      <c r="AE511" s="322"/>
      <c r="AF511" s="132"/>
      <c r="AG511" s="132"/>
    </row>
    <row r="512">
      <c r="A512" s="311"/>
      <c r="B512" s="313"/>
      <c r="C512" s="313"/>
      <c r="D512" s="313"/>
      <c r="E512" s="314"/>
      <c r="F512" s="314"/>
      <c r="G512" s="314"/>
      <c r="H512" s="314"/>
      <c r="I512" s="314"/>
      <c r="J512" s="314"/>
      <c r="K512" s="314"/>
      <c r="L512" s="314"/>
      <c r="M512" s="314"/>
      <c r="N512" s="314"/>
      <c r="O512" s="314"/>
      <c r="P512" s="314"/>
      <c r="Q512" s="314"/>
      <c r="R512" s="314"/>
      <c r="S512" s="314"/>
      <c r="T512" s="314"/>
      <c r="U512" s="314"/>
      <c r="V512" s="314"/>
      <c r="W512" s="313"/>
      <c r="X512" s="313"/>
      <c r="Y512" s="314"/>
      <c r="Z512" s="335"/>
      <c r="AA512" s="313"/>
      <c r="AB512" s="324"/>
      <c r="AC512" s="155"/>
      <c r="AD512" s="155"/>
      <c r="AE512" s="322"/>
      <c r="AF512" s="132"/>
      <c r="AG512" s="132"/>
    </row>
    <row r="513">
      <c r="A513" s="311"/>
      <c r="B513" s="313"/>
      <c r="C513" s="313"/>
      <c r="D513" s="313"/>
      <c r="E513" s="314"/>
      <c r="F513" s="314"/>
      <c r="G513" s="314"/>
      <c r="H513" s="314"/>
      <c r="I513" s="314"/>
      <c r="J513" s="314"/>
      <c r="K513" s="314"/>
      <c r="L513" s="314"/>
      <c r="M513" s="314"/>
      <c r="N513" s="314"/>
      <c r="O513" s="314"/>
      <c r="P513" s="314"/>
      <c r="Q513" s="314"/>
      <c r="R513" s="314"/>
      <c r="S513" s="314"/>
      <c r="T513" s="314"/>
      <c r="U513" s="314"/>
      <c r="V513" s="314"/>
      <c r="W513" s="313"/>
      <c r="X513" s="313"/>
      <c r="Y513" s="314"/>
      <c r="Z513" s="335"/>
      <c r="AA513" s="313"/>
      <c r="AB513" s="324"/>
      <c r="AC513" s="155"/>
      <c r="AD513" s="155"/>
      <c r="AE513" s="322"/>
      <c r="AF513" s="132"/>
      <c r="AG513" s="132"/>
    </row>
    <row r="514">
      <c r="A514" s="311"/>
      <c r="B514" s="313"/>
      <c r="C514" s="313"/>
      <c r="D514" s="313"/>
      <c r="E514" s="314"/>
      <c r="F514" s="314"/>
      <c r="G514" s="314"/>
      <c r="H514" s="314"/>
      <c r="I514" s="314"/>
      <c r="J514" s="314"/>
      <c r="K514" s="314"/>
      <c r="L514" s="314"/>
      <c r="M514" s="314"/>
      <c r="N514" s="314"/>
      <c r="O514" s="314"/>
      <c r="P514" s="314"/>
      <c r="Q514" s="314"/>
      <c r="R514" s="314"/>
      <c r="S514" s="314"/>
      <c r="T514" s="314"/>
      <c r="U514" s="314"/>
      <c r="V514" s="314"/>
      <c r="W514" s="313"/>
      <c r="X514" s="313"/>
      <c r="Y514" s="314"/>
      <c r="Z514" s="335"/>
      <c r="AA514" s="313"/>
      <c r="AB514" s="324"/>
      <c r="AC514" s="155"/>
      <c r="AD514" s="155"/>
      <c r="AE514" s="322"/>
      <c r="AF514" s="132"/>
      <c r="AG514" s="132"/>
    </row>
    <row r="515">
      <c r="A515" s="311"/>
      <c r="B515" s="313"/>
      <c r="C515" s="313"/>
      <c r="D515" s="313"/>
      <c r="E515" s="314"/>
      <c r="F515" s="314"/>
      <c r="G515" s="314"/>
      <c r="H515" s="314"/>
      <c r="I515" s="314"/>
      <c r="J515" s="314"/>
      <c r="K515" s="314"/>
      <c r="L515" s="314"/>
      <c r="M515" s="314"/>
      <c r="N515" s="314"/>
      <c r="O515" s="314"/>
      <c r="P515" s="314"/>
      <c r="Q515" s="314"/>
      <c r="R515" s="314"/>
      <c r="S515" s="314"/>
      <c r="T515" s="314"/>
      <c r="U515" s="314"/>
      <c r="V515" s="314"/>
      <c r="W515" s="313"/>
      <c r="X515" s="313"/>
      <c r="Y515" s="314"/>
      <c r="Z515" s="335"/>
      <c r="AA515" s="313"/>
      <c r="AB515" s="324"/>
      <c r="AC515" s="155"/>
      <c r="AD515" s="155"/>
      <c r="AE515" s="322"/>
      <c r="AF515" s="132"/>
      <c r="AG515" s="132"/>
    </row>
    <row r="516">
      <c r="A516" s="311"/>
      <c r="B516" s="313"/>
      <c r="C516" s="313"/>
      <c r="D516" s="313"/>
      <c r="E516" s="314"/>
      <c r="F516" s="314"/>
      <c r="G516" s="314"/>
      <c r="H516" s="314"/>
      <c r="I516" s="314"/>
      <c r="J516" s="314"/>
      <c r="K516" s="314"/>
      <c r="L516" s="314"/>
      <c r="M516" s="314"/>
      <c r="N516" s="314"/>
      <c r="O516" s="314"/>
      <c r="P516" s="314"/>
      <c r="Q516" s="314"/>
      <c r="R516" s="314"/>
      <c r="S516" s="314"/>
      <c r="T516" s="314"/>
      <c r="U516" s="314"/>
      <c r="V516" s="314"/>
      <c r="W516" s="313"/>
      <c r="X516" s="313"/>
      <c r="Y516" s="314"/>
      <c r="Z516" s="335"/>
      <c r="AA516" s="313"/>
      <c r="AB516" s="324"/>
      <c r="AC516" s="155"/>
      <c r="AD516" s="155"/>
      <c r="AE516" s="322"/>
      <c r="AF516" s="132"/>
      <c r="AG516" s="132"/>
    </row>
    <row r="517">
      <c r="A517" s="311"/>
      <c r="B517" s="313"/>
      <c r="C517" s="313"/>
      <c r="D517" s="313"/>
      <c r="E517" s="314"/>
      <c r="F517" s="314"/>
      <c r="G517" s="314"/>
      <c r="H517" s="314"/>
      <c r="I517" s="314"/>
      <c r="J517" s="314"/>
      <c r="K517" s="314"/>
      <c r="L517" s="314"/>
      <c r="M517" s="314"/>
      <c r="N517" s="314"/>
      <c r="O517" s="314"/>
      <c r="P517" s="314"/>
      <c r="Q517" s="314"/>
      <c r="R517" s="314"/>
      <c r="S517" s="314"/>
      <c r="T517" s="314"/>
      <c r="U517" s="314"/>
      <c r="V517" s="314"/>
      <c r="W517" s="313"/>
      <c r="X517" s="313"/>
      <c r="Y517" s="314"/>
      <c r="Z517" s="335"/>
      <c r="AA517" s="313"/>
      <c r="AB517" s="324"/>
      <c r="AC517" s="155"/>
      <c r="AD517" s="155"/>
      <c r="AE517" s="322"/>
      <c r="AF517" s="132"/>
      <c r="AG517" s="132"/>
    </row>
    <row r="518">
      <c r="A518" s="311"/>
      <c r="B518" s="313"/>
      <c r="C518" s="313"/>
      <c r="D518" s="313"/>
      <c r="E518" s="314"/>
      <c r="F518" s="314"/>
      <c r="G518" s="314"/>
      <c r="H518" s="314"/>
      <c r="I518" s="314"/>
      <c r="J518" s="314"/>
      <c r="K518" s="314"/>
      <c r="L518" s="314"/>
      <c r="M518" s="314"/>
      <c r="N518" s="314"/>
      <c r="O518" s="314"/>
      <c r="P518" s="314"/>
      <c r="Q518" s="314"/>
      <c r="R518" s="314"/>
      <c r="S518" s="314"/>
      <c r="T518" s="314"/>
      <c r="U518" s="314"/>
      <c r="V518" s="314"/>
      <c r="W518" s="313"/>
      <c r="X518" s="313"/>
      <c r="Y518" s="314"/>
      <c r="Z518" s="335"/>
      <c r="AA518" s="313"/>
      <c r="AB518" s="324"/>
      <c r="AC518" s="155"/>
      <c r="AD518" s="155"/>
      <c r="AE518" s="322"/>
      <c r="AF518" s="132"/>
      <c r="AG518" s="132"/>
    </row>
    <row r="519">
      <c r="A519" s="311"/>
      <c r="B519" s="313"/>
      <c r="C519" s="313"/>
      <c r="D519" s="313"/>
      <c r="E519" s="314"/>
      <c r="F519" s="314"/>
      <c r="G519" s="314"/>
      <c r="H519" s="314"/>
      <c r="I519" s="314"/>
      <c r="J519" s="314"/>
      <c r="K519" s="314"/>
      <c r="L519" s="314"/>
      <c r="M519" s="314"/>
      <c r="N519" s="314"/>
      <c r="O519" s="314"/>
      <c r="P519" s="314"/>
      <c r="Q519" s="314"/>
      <c r="R519" s="314"/>
      <c r="S519" s="314"/>
      <c r="T519" s="314"/>
      <c r="U519" s="314"/>
      <c r="V519" s="314"/>
      <c r="W519" s="313"/>
      <c r="X519" s="313"/>
      <c r="Y519" s="314"/>
      <c r="Z519" s="335"/>
      <c r="AA519" s="313"/>
      <c r="AB519" s="324"/>
      <c r="AC519" s="155"/>
      <c r="AD519" s="155"/>
      <c r="AE519" s="322"/>
      <c r="AF519" s="132"/>
      <c r="AG519" s="132"/>
    </row>
    <row r="520">
      <c r="A520" s="311"/>
      <c r="B520" s="313"/>
      <c r="C520" s="313"/>
      <c r="D520" s="313"/>
      <c r="E520" s="314"/>
      <c r="F520" s="314"/>
      <c r="G520" s="314"/>
      <c r="H520" s="314"/>
      <c r="I520" s="314"/>
      <c r="J520" s="314"/>
      <c r="K520" s="314"/>
      <c r="L520" s="314"/>
      <c r="M520" s="314"/>
      <c r="N520" s="314"/>
      <c r="O520" s="314"/>
      <c r="P520" s="314"/>
      <c r="Q520" s="314"/>
      <c r="R520" s="314"/>
      <c r="S520" s="314"/>
      <c r="T520" s="314"/>
      <c r="U520" s="314"/>
      <c r="V520" s="314"/>
      <c r="W520" s="313"/>
      <c r="X520" s="313"/>
      <c r="Y520" s="314"/>
      <c r="Z520" s="335"/>
      <c r="AA520" s="313"/>
      <c r="AB520" s="324"/>
      <c r="AC520" s="155"/>
      <c r="AD520" s="155"/>
      <c r="AE520" s="322"/>
      <c r="AF520" s="132"/>
      <c r="AG520" s="132"/>
    </row>
    <row r="521">
      <c r="A521" s="311"/>
      <c r="B521" s="313"/>
      <c r="C521" s="313"/>
      <c r="D521" s="313"/>
      <c r="E521" s="314"/>
      <c r="F521" s="314"/>
      <c r="G521" s="314"/>
      <c r="H521" s="314"/>
      <c r="I521" s="314"/>
      <c r="J521" s="314"/>
      <c r="K521" s="314"/>
      <c r="L521" s="314"/>
      <c r="M521" s="314"/>
      <c r="N521" s="314"/>
      <c r="O521" s="314"/>
      <c r="P521" s="314"/>
      <c r="Q521" s="314"/>
      <c r="R521" s="314"/>
      <c r="S521" s="314"/>
      <c r="T521" s="314"/>
      <c r="U521" s="314"/>
      <c r="V521" s="314"/>
      <c r="W521" s="313"/>
      <c r="X521" s="313"/>
      <c r="Y521" s="314"/>
      <c r="Z521" s="335"/>
      <c r="AA521" s="313"/>
      <c r="AB521" s="324"/>
      <c r="AC521" s="155"/>
      <c r="AD521" s="155"/>
      <c r="AE521" s="322"/>
      <c r="AF521" s="132"/>
      <c r="AG521" s="132"/>
    </row>
    <row r="522">
      <c r="A522" s="311"/>
      <c r="B522" s="313"/>
      <c r="C522" s="313"/>
      <c r="D522" s="313"/>
      <c r="E522" s="314"/>
      <c r="F522" s="314"/>
      <c r="G522" s="314"/>
      <c r="H522" s="314"/>
      <c r="I522" s="314"/>
      <c r="J522" s="314"/>
      <c r="K522" s="314"/>
      <c r="L522" s="314"/>
      <c r="M522" s="314"/>
      <c r="N522" s="314"/>
      <c r="O522" s="314"/>
      <c r="P522" s="314"/>
      <c r="Q522" s="314"/>
      <c r="R522" s="314"/>
      <c r="S522" s="314"/>
      <c r="T522" s="314"/>
      <c r="U522" s="314"/>
      <c r="V522" s="314"/>
      <c r="W522" s="313"/>
      <c r="X522" s="313"/>
      <c r="Y522" s="314"/>
      <c r="Z522" s="335"/>
      <c r="AA522" s="313"/>
      <c r="AB522" s="324"/>
      <c r="AC522" s="155"/>
      <c r="AD522" s="155"/>
      <c r="AE522" s="322"/>
      <c r="AF522" s="132"/>
      <c r="AG522" s="132"/>
    </row>
    <row r="523">
      <c r="A523" s="311"/>
      <c r="B523" s="313"/>
      <c r="C523" s="313"/>
      <c r="D523" s="313"/>
      <c r="E523" s="314"/>
      <c r="F523" s="314"/>
      <c r="G523" s="314"/>
      <c r="H523" s="314"/>
      <c r="I523" s="314"/>
      <c r="J523" s="314"/>
      <c r="K523" s="314"/>
      <c r="L523" s="314"/>
      <c r="M523" s="314"/>
      <c r="N523" s="314"/>
      <c r="O523" s="314"/>
      <c r="P523" s="314"/>
      <c r="Q523" s="314"/>
      <c r="R523" s="314"/>
      <c r="S523" s="314"/>
      <c r="T523" s="314"/>
      <c r="U523" s="314"/>
      <c r="V523" s="314"/>
      <c r="W523" s="313"/>
      <c r="X523" s="313"/>
      <c r="Y523" s="314"/>
      <c r="Z523" s="335"/>
      <c r="AA523" s="313"/>
      <c r="AB523" s="324"/>
      <c r="AC523" s="155"/>
      <c r="AD523" s="155"/>
      <c r="AE523" s="322"/>
      <c r="AF523" s="132"/>
      <c r="AG523" s="132"/>
    </row>
    <row r="524">
      <c r="A524" s="311"/>
      <c r="B524" s="313"/>
      <c r="C524" s="313"/>
      <c r="D524" s="313"/>
      <c r="E524" s="314"/>
      <c r="F524" s="314"/>
      <c r="G524" s="314"/>
      <c r="H524" s="314"/>
      <c r="I524" s="314"/>
      <c r="J524" s="314"/>
      <c r="K524" s="314"/>
      <c r="L524" s="314"/>
      <c r="M524" s="314"/>
      <c r="N524" s="314"/>
      <c r="O524" s="314"/>
      <c r="P524" s="314"/>
      <c r="Q524" s="314"/>
      <c r="R524" s="314"/>
      <c r="S524" s="314"/>
      <c r="T524" s="314"/>
      <c r="U524" s="314"/>
      <c r="V524" s="314"/>
      <c r="W524" s="313"/>
      <c r="X524" s="313"/>
      <c r="Y524" s="314"/>
      <c r="Z524" s="335"/>
      <c r="AA524" s="313"/>
      <c r="AB524" s="324"/>
      <c r="AC524" s="155"/>
      <c r="AD524" s="155"/>
      <c r="AE524" s="322"/>
      <c r="AF524" s="132"/>
      <c r="AG524" s="132"/>
    </row>
    <row r="525">
      <c r="A525" s="311"/>
      <c r="B525" s="313"/>
      <c r="C525" s="313"/>
      <c r="D525" s="313"/>
      <c r="E525" s="314"/>
      <c r="F525" s="314"/>
      <c r="G525" s="314"/>
      <c r="H525" s="314"/>
      <c r="I525" s="314"/>
      <c r="J525" s="314"/>
      <c r="K525" s="314"/>
      <c r="L525" s="314"/>
      <c r="M525" s="314"/>
      <c r="N525" s="314"/>
      <c r="O525" s="314"/>
      <c r="P525" s="314"/>
      <c r="Q525" s="314"/>
      <c r="R525" s="314"/>
      <c r="S525" s="314"/>
      <c r="T525" s="314"/>
      <c r="U525" s="314"/>
      <c r="V525" s="314"/>
      <c r="W525" s="313"/>
      <c r="X525" s="313"/>
      <c r="Y525" s="314"/>
      <c r="Z525" s="335"/>
      <c r="AA525" s="313"/>
      <c r="AB525" s="324"/>
      <c r="AC525" s="155"/>
      <c r="AD525" s="155"/>
      <c r="AE525" s="322"/>
      <c r="AF525" s="132"/>
      <c r="AG525" s="132"/>
    </row>
    <row r="526">
      <c r="A526" s="311"/>
      <c r="B526" s="313"/>
      <c r="C526" s="313"/>
      <c r="D526" s="313"/>
      <c r="E526" s="314"/>
      <c r="F526" s="314"/>
      <c r="G526" s="314"/>
      <c r="H526" s="314"/>
      <c r="I526" s="314"/>
      <c r="J526" s="314"/>
      <c r="K526" s="314"/>
      <c r="L526" s="314"/>
      <c r="M526" s="314"/>
      <c r="N526" s="314"/>
      <c r="O526" s="314"/>
      <c r="P526" s="314"/>
      <c r="Q526" s="314"/>
      <c r="R526" s="314"/>
      <c r="S526" s="314"/>
      <c r="T526" s="314"/>
      <c r="U526" s="314"/>
      <c r="V526" s="314"/>
      <c r="W526" s="313"/>
      <c r="X526" s="313"/>
      <c r="Y526" s="314"/>
      <c r="Z526" s="335"/>
      <c r="AA526" s="313"/>
      <c r="AB526" s="324"/>
      <c r="AC526" s="155"/>
      <c r="AD526" s="155"/>
      <c r="AE526" s="322"/>
      <c r="AF526" s="132"/>
      <c r="AG526" s="132"/>
    </row>
    <row r="527">
      <c r="A527" s="311"/>
      <c r="B527" s="313"/>
      <c r="C527" s="313"/>
      <c r="D527" s="313"/>
      <c r="E527" s="314"/>
      <c r="F527" s="314"/>
      <c r="G527" s="314"/>
      <c r="H527" s="314"/>
      <c r="I527" s="314"/>
      <c r="J527" s="314"/>
      <c r="K527" s="314"/>
      <c r="L527" s="314"/>
      <c r="M527" s="314"/>
      <c r="N527" s="314"/>
      <c r="O527" s="314"/>
      <c r="P527" s="314"/>
      <c r="Q527" s="314"/>
      <c r="R527" s="314"/>
      <c r="S527" s="314"/>
      <c r="T527" s="314"/>
      <c r="U527" s="314"/>
      <c r="V527" s="314"/>
      <c r="W527" s="313"/>
      <c r="X527" s="313"/>
      <c r="Y527" s="314"/>
      <c r="Z527" s="335"/>
      <c r="AA527" s="313"/>
      <c r="AB527" s="324"/>
      <c r="AC527" s="155"/>
      <c r="AD527" s="155"/>
      <c r="AE527" s="322"/>
      <c r="AF527" s="132"/>
      <c r="AG527" s="132"/>
    </row>
    <row r="528">
      <c r="A528" s="311"/>
      <c r="B528" s="313"/>
      <c r="C528" s="313"/>
      <c r="D528" s="313"/>
      <c r="E528" s="314"/>
      <c r="F528" s="314"/>
      <c r="G528" s="314"/>
      <c r="H528" s="314"/>
      <c r="I528" s="314"/>
      <c r="J528" s="314"/>
      <c r="K528" s="314"/>
      <c r="L528" s="314"/>
      <c r="M528" s="314"/>
      <c r="N528" s="314"/>
      <c r="O528" s="314"/>
      <c r="P528" s="314"/>
      <c r="Q528" s="314"/>
      <c r="R528" s="314"/>
      <c r="S528" s="314"/>
      <c r="T528" s="314"/>
      <c r="U528" s="314"/>
      <c r="V528" s="314"/>
      <c r="W528" s="313"/>
      <c r="X528" s="313"/>
      <c r="Y528" s="314"/>
      <c r="Z528" s="335"/>
      <c r="AA528" s="313"/>
      <c r="AB528" s="324"/>
      <c r="AC528" s="155"/>
      <c r="AD528" s="155"/>
      <c r="AE528" s="322"/>
      <c r="AF528" s="132"/>
      <c r="AG528" s="132"/>
    </row>
    <row r="529">
      <c r="A529" s="311"/>
      <c r="B529" s="313"/>
      <c r="C529" s="313"/>
      <c r="D529" s="313"/>
      <c r="E529" s="314"/>
      <c r="F529" s="314"/>
      <c r="G529" s="314"/>
      <c r="H529" s="314"/>
      <c r="I529" s="314"/>
      <c r="J529" s="314"/>
      <c r="K529" s="314"/>
      <c r="L529" s="314"/>
      <c r="M529" s="314"/>
      <c r="N529" s="314"/>
      <c r="O529" s="314"/>
      <c r="P529" s="314"/>
      <c r="Q529" s="314"/>
      <c r="R529" s="314"/>
      <c r="S529" s="314"/>
      <c r="T529" s="314"/>
      <c r="U529" s="314"/>
      <c r="V529" s="314"/>
      <c r="W529" s="313"/>
      <c r="X529" s="313"/>
      <c r="Y529" s="314"/>
      <c r="Z529" s="335"/>
      <c r="AA529" s="313"/>
      <c r="AB529" s="324"/>
      <c r="AC529" s="155"/>
      <c r="AD529" s="155"/>
      <c r="AE529" s="322"/>
      <c r="AF529" s="132"/>
      <c r="AG529" s="132"/>
    </row>
    <row r="530">
      <c r="A530" s="311"/>
      <c r="B530" s="313"/>
      <c r="C530" s="313"/>
      <c r="D530" s="313"/>
      <c r="E530" s="314"/>
      <c r="F530" s="314"/>
      <c r="G530" s="314"/>
      <c r="H530" s="314"/>
      <c r="I530" s="314"/>
      <c r="J530" s="314"/>
      <c r="K530" s="314"/>
      <c r="L530" s="314"/>
      <c r="M530" s="314"/>
      <c r="N530" s="314"/>
      <c r="O530" s="314"/>
      <c r="P530" s="314"/>
      <c r="Q530" s="314"/>
      <c r="R530" s="314"/>
      <c r="S530" s="314"/>
      <c r="T530" s="314"/>
      <c r="U530" s="314"/>
      <c r="V530" s="314"/>
      <c r="W530" s="313"/>
      <c r="X530" s="313"/>
      <c r="Y530" s="314"/>
      <c r="Z530" s="335"/>
      <c r="AA530" s="313"/>
      <c r="AB530" s="324"/>
      <c r="AC530" s="155"/>
      <c r="AD530" s="155"/>
      <c r="AE530" s="322"/>
      <c r="AF530" s="132"/>
      <c r="AG530" s="132"/>
    </row>
    <row r="531">
      <c r="A531" s="311"/>
      <c r="B531" s="313"/>
      <c r="C531" s="313"/>
      <c r="D531" s="313"/>
      <c r="E531" s="314"/>
      <c r="F531" s="314"/>
      <c r="G531" s="314"/>
      <c r="H531" s="314"/>
      <c r="I531" s="314"/>
      <c r="J531" s="314"/>
      <c r="K531" s="314"/>
      <c r="L531" s="314"/>
      <c r="M531" s="314"/>
      <c r="N531" s="314"/>
      <c r="O531" s="314"/>
      <c r="P531" s="314"/>
      <c r="Q531" s="314"/>
      <c r="R531" s="314"/>
      <c r="S531" s="314"/>
      <c r="T531" s="314"/>
      <c r="U531" s="314"/>
      <c r="V531" s="314"/>
      <c r="W531" s="313"/>
      <c r="X531" s="313"/>
      <c r="Y531" s="314"/>
      <c r="Z531" s="335"/>
      <c r="AA531" s="313"/>
      <c r="AB531" s="324"/>
      <c r="AC531" s="155"/>
      <c r="AD531" s="155"/>
      <c r="AE531" s="322"/>
      <c r="AF531" s="132"/>
      <c r="AG531" s="132"/>
    </row>
    <row r="532">
      <c r="A532" s="311"/>
      <c r="B532" s="313"/>
      <c r="C532" s="313"/>
      <c r="D532" s="313"/>
      <c r="E532" s="314"/>
      <c r="F532" s="314"/>
      <c r="G532" s="314"/>
      <c r="H532" s="314"/>
      <c r="I532" s="314"/>
      <c r="J532" s="314"/>
      <c r="K532" s="314"/>
      <c r="L532" s="314"/>
      <c r="M532" s="314"/>
      <c r="N532" s="314"/>
      <c r="O532" s="314"/>
      <c r="P532" s="314"/>
      <c r="Q532" s="314"/>
      <c r="R532" s="314"/>
      <c r="S532" s="314"/>
      <c r="T532" s="314"/>
      <c r="U532" s="314"/>
      <c r="V532" s="314"/>
      <c r="W532" s="313"/>
      <c r="X532" s="313"/>
      <c r="Y532" s="314"/>
      <c r="Z532" s="335"/>
      <c r="AA532" s="313"/>
      <c r="AB532" s="324"/>
      <c r="AC532" s="155"/>
      <c r="AD532" s="155"/>
      <c r="AE532" s="322"/>
      <c r="AF532" s="132"/>
      <c r="AG532" s="132"/>
    </row>
    <row r="533">
      <c r="A533" s="311"/>
      <c r="B533" s="313"/>
      <c r="C533" s="313"/>
      <c r="D533" s="313"/>
      <c r="E533" s="314"/>
      <c r="F533" s="314"/>
      <c r="G533" s="314"/>
      <c r="H533" s="314"/>
      <c r="I533" s="314"/>
      <c r="J533" s="314"/>
      <c r="K533" s="314"/>
      <c r="L533" s="314"/>
      <c r="M533" s="314"/>
      <c r="N533" s="314"/>
      <c r="O533" s="314"/>
      <c r="P533" s="314"/>
      <c r="Q533" s="314"/>
      <c r="R533" s="314"/>
      <c r="S533" s="314"/>
      <c r="T533" s="314"/>
      <c r="U533" s="314"/>
      <c r="V533" s="314"/>
      <c r="W533" s="313"/>
      <c r="X533" s="313"/>
      <c r="Y533" s="314"/>
      <c r="Z533" s="335"/>
      <c r="AA533" s="313"/>
      <c r="AB533" s="324"/>
      <c r="AC533" s="155"/>
      <c r="AD533" s="155"/>
      <c r="AE533" s="322"/>
      <c r="AF533" s="132"/>
      <c r="AG533" s="132"/>
    </row>
    <row r="534">
      <c r="A534" s="311"/>
      <c r="B534" s="313"/>
      <c r="C534" s="313"/>
      <c r="D534" s="313"/>
      <c r="E534" s="314"/>
      <c r="F534" s="314"/>
      <c r="G534" s="314"/>
      <c r="H534" s="314"/>
      <c r="I534" s="314"/>
      <c r="J534" s="314"/>
      <c r="K534" s="314"/>
      <c r="L534" s="314"/>
      <c r="M534" s="314"/>
      <c r="N534" s="314"/>
      <c r="O534" s="314"/>
      <c r="P534" s="314"/>
      <c r="Q534" s="314"/>
      <c r="R534" s="314"/>
      <c r="S534" s="314"/>
      <c r="T534" s="314"/>
      <c r="U534" s="314"/>
      <c r="V534" s="314"/>
      <c r="W534" s="313"/>
      <c r="X534" s="313"/>
      <c r="Y534" s="314"/>
      <c r="Z534" s="335"/>
      <c r="AA534" s="313"/>
      <c r="AB534" s="324"/>
      <c r="AC534" s="155"/>
      <c r="AD534" s="155"/>
      <c r="AE534" s="322"/>
      <c r="AF534" s="132"/>
      <c r="AG534" s="132"/>
    </row>
    <row r="535">
      <c r="A535" s="311"/>
      <c r="B535" s="313"/>
      <c r="C535" s="313"/>
      <c r="D535" s="313"/>
      <c r="E535" s="314"/>
      <c r="F535" s="314"/>
      <c r="G535" s="314"/>
      <c r="H535" s="314"/>
      <c r="I535" s="314"/>
      <c r="J535" s="314"/>
      <c r="K535" s="314"/>
      <c r="L535" s="314"/>
      <c r="M535" s="314"/>
      <c r="N535" s="314"/>
      <c r="O535" s="314"/>
      <c r="P535" s="314"/>
      <c r="Q535" s="314"/>
      <c r="R535" s="314"/>
      <c r="S535" s="314"/>
      <c r="T535" s="314"/>
      <c r="U535" s="314"/>
      <c r="V535" s="314"/>
      <c r="W535" s="313"/>
      <c r="X535" s="313"/>
      <c r="Y535" s="314"/>
      <c r="Z535" s="335"/>
      <c r="AA535" s="313"/>
      <c r="AB535" s="324"/>
      <c r="AC535" s="155"/>
      <c r="AD535" s="155"/>
      <c r="AE535" s="322"/>
      <c r="AF535" s="132"/>
      <c r="AG535" s="132"/>
    </row>
    <row r="536">
      <c r="A536" s="311"/>
      <c r="B536" s="313"/>
      <c r="C536" s="313"/>
      <c r="D536" s="313"/>
      <c r="E536" s="314"/>
      <c r="F536" s="314"/>
      <c r="G536" s="314"/>
      <c r="H536" s="314"/>
      <c r="I536" s="314"/>
      <c r="J536" s="314"/>
      <c r="K536" s="314"/>
      <c r="L536" s="314"/>
      <c r="M536" s="314"/>
      <c r="N536" s="314"/>
      <c r="O536" s="314"/>
      <c r="P536" s="314"/>
      <c r="Q536" s="314"/>
      <c r="R536" s="314"/>
      <c r="S536" s="314"/>
      <c r="T536" s="314"/>
      <c r="U536" s="314"/>
      <c r="V536" s="314"/>
      <c r="W536" s="313"/>
      <c r="X536" s="313"/>
      <c r="Y536" s="314"/>
      <c r="Z536" s="335"/>
      <c r="AA536" s="313"/>
      <c r="AB536" s="324"/>
      <c r="AC536" s="155"/>
      <c r="AD536" s="155"/>
      <c r="AE536" s="322"/>
      <c r="AF536" s="132"/>
      <c r="AG536" s="132"/>
    </row>
    <row r="537">
      <c r="A537" s="311"/>
      <c r="B537" s="313"/>
      <c r="C537" s="313"/>
      <c r="D537" s="313"/>
      <c r="E537" s="314"/>
      <c r="F537" s="314"/>
      <c r="G537" s="314"/>
      <c r="H537" s="314"/>
      <c r="I537" s="314"/>
      <c r="J537" s="314"/>
      <c r="K537" s="314"/>
      <c r="L537" s="314"/>
      <c r="M537" s="314"/>
      <c r="N537" s="314"/>
      <c r="O537" s="314"/>
      <c r="P537" s="314"/>
      <c r="Q537" s="314"/>
      <c r="R537" s="314"/>
      <c r="S537" s="314"/>
      <c r="T537" s="314"/>
      <c r="U537" s="314"/>
      <c r="V537" s="314"/>
      <c r="W537" s="313"/>
      <c r="X537" s="313"/>
      <c r="Y537" s="314"/>
      <c r="Z537" s="335"/>
      <c r="AA537" s="313"/>
      <c r="AB537" s="324"/>
      <c r="AC537" s="155"/>
      <c r="AD537" s="155"/>
      <c r="AE537" s="322"/>
      <c r="AF537" s="132"/>
      <c r="AG537" s="132"/>
    </row>
    <row r="538">
      <c r="A538" s="311"/>
      <c r="B538" s="313"/>
      <c r="C538" s="313"/>
      <c r="D538" s="313"/>
      <c r="E538" s="314"/>
      <c r="F538" s="314"/>
      <c r="G538" s="314"/>
      <c r="H538" s="314"/>
      <c r="I538" s="314"/>
      <c r="J538" s="314"/>
      <c r="K538" s="314"/>
      <c r="L538" s="314"/>
      <c r="M538" s="314"/>
      <c r="N538" s="314"/>
      <c r="O538" s="314"/>
      <c r="P538" s="314"/>
      <c r="Q538" s="314"/>
      <c r="R538" s="314"/>
      <c r="S538" s="314"/>
      <c r="T538" s="314"/>
      <c r="U538" s="314"/>
      <c r="V538" s="314"/>
      <c r="W538" s="313"/>
      <c r="X538" s="313"/>
      <c r="Y538" s="314"/>
      <c r="Z538" s="335"/>
      <c r="AA538" s="313"/>
      <c r="AB538" s="324"/>
      <c r="AC538" s="155"/>
      <c r="AD538" s="155"/>
      <c r="AE538" s="322"/>
      <c r="AF538" s="132"/>
      <c r="AG538" s="132"/>
    </row>
    <row r="539">
      <c r="A539" s="311"/>
      <c r="B539" s="313"/>
      <c r="C539" s="313"/>
      <c r="D539" s="313"/>
      <c r="E539" s="314"/>
      <c r="F539" s="314"/>
      <c r="G539" s="314"/>
      <c r="H539" s="314"/>
      <c r="I539" s="314"/>
      <c r="J539" s="314"/>
      <c r="K539" s="314"/>
      <c r="L539" s="314"/>
      <c r="M539" s="314"/>
      <c r="N539" s="314"/>
      <c r="O539" s="314"/>
      <c r="P539" s="314"/>
      <c r="Q539" s="314"/>
      <c r="R539" s="314"/>
      <c r="S539" s="314"/>
      <c r="T539" s="314"/>
      <c r="U539" s="314"/>
      <c r="V539" s="314"/>
      <c r="W539" s="313"/>
      <c r="X539" s="313"/>
      <c r="Y539" s="314"/>
      <c r="Z539" s="335"/>
      <c r="AA539" s="313"/>
      <c r="AB539" s="324"/>
      <c r="AC539" s="155"/>
      <c r="AD539" s="155"/>
      <c r="AE539" s="322"/>
      <c r="AF539" s="132"/>
      <c r="AG539" s="132"/>
    </row>
    <row r="540">
      <c r="A540" s="311"/>
      <c r="B540" s="313"/>
      <c r="C540" s="313"/>
      <c r="D540" s="313"/>
      <c r="E540" s="314"/>
      <c r="F540" s="314"/>
      <c r="G540" s="314"/>
      <c r="H540" s="314"/>
      <c r="I540" s="314"/>
      <c r="J540" s="314"/>
      <c r="K540" s="314"/>
      <c r="L540" s="314"/>
      <c r="M540" s="314"/>
      <c r="N540" s="314"/>
      <c r="O540" s="314"/>
      <c r="P540" s="314"/>
      <c r="Q540" s="314"/>
      <c r="R540" s="314"/>
      <c r="S540" s="314"/>
      <c r="T540" s="314"/>
      <c r="U540" s="314"/>
      <c r="V540" s="314"/>
      <c r="W540" s="313"/>
      <c r="X540" s="313"/>
      <c r="Y540" s="314"/>
      <c r="Z540" s="335"/>
      <c r="AA540" s="313"/>
      <c r="AB540" s="324"/>
      <c r="AC540" s="155"/>
      <c r="AD540" s="155"/>
      <c r="AE540" s="322"/>
      <c r="AF540" s="132"/>
      <c r="AG540" s="132"/>
    </row>
    <row r="541">
      <c r="A541" s="311"/>
      <c r="B541" s="313"/>
      <c r="C541" s="313"/>
      <c r="D541" s="313"/>
      <c r="E541" s="314"/>
      <c r="F541" s="314"/>
      <c r="G541" s="314"/>
      <c r="H541" s="314"/>
      <c r="I541" s="314"/>
      <c r="J541" s="314"/>
      <c r="K541" s="314"/>
      <c r="L541" s="314"/>
      <c r="M541" s="314"/>
      <c r="N541" s="314"/>
      <c r="O541" s="314"/>
      <c r="P541" s="314"/>
      <c r="Q541" s="314"/>
      <c r="R541" s="314"/>
      <c r="S541" s="314"/>
      <c r="T541" s="314"/>
      <c r="U541" s="314"/>
      <c r="V541" s="314"/>
      <c r="W541" s="313"/>
      <c r="X541" s="313"/>
      <c r="Y541" s="314"/>
      <c r="Z541" s="335"/>
      <c r="AA541" s="313"/>
      <c r="AB541" s="324"/>
      <c r="AC541" s="155"/>
      <c r="AD541" s="155"/>
      <c r="AE541" s="322"/>
      <c r="AF541" s="132"/>
      <c r="AG541" s="132"/>
    </row>
    <row r="542">
      <c r="A542" s="311"/>
      <c r="B542" s="313"/>
      <c r="C542" s="313"/>
      <c r="D542" s="313"/>
      <c r="E542" s="314"/>
      <c r="F542" s="314"/>
      <c r="G542" s="314"/>
      <c r="H542" s="314"/>
      <c r="I542" s="314"/>
      <c r="J542" s="314"/>
      <c r="K542" s="314"/>
      <c r="L542" s="314"/>
      <c r="M542" s="314"/>
      <c r="N542" s="314"/>
      <c r="O542" s="314"/>
      <c r="P542" s="314"/>
      <c r="Q542" s="314"/>
      <c r="R542" s="314"/>
      <c r="S542" s="314"/>
      <c r="T542" s="314"/>
      <c r="U542" s="314"/>
      <c r="V542" s="314"/>
      <c r="W542" s="313"/>
      <c r="X542" s="313"/>
      <c r="Y542" s="314"/>
      <c r="Z542" s="335"/>
      <c r="AA542" s="313"/>
      <c r="AB542" s="324"/>
      <c r="AC542" s="155"/>
      <c r="AD542" s="155"/>
      <c r="AE542" s="322"/>
      <c r="AF542" s="132"/>
      <c r="AG542" s="132"/>
    </row>
    <row r="543">
      <c r="A543" s="311"/>
      <c r="B543" s="313"/>
      <c r="C543" s="313"/>
      <c r="D543" s="313"/>
      <c r="E543" s="314"/>
      <c r="F543" s="314"/>
      <c r="G543" s="314"/>
      <c r="H543" s="314"/>
      <c r="I543" s="314"/>
      <c r="J543" s="314"/>
      <c r="K543" s="314"/>
      <c r="L543" s="314"/>
      <c r="M543" s="314"/>
      <c r="N543" s="314"/>
      <c r="O543" s="314"/>
      <c r="P543" s="314"/>
      <c r="Q543" s="314"/>
      <c r="R543" s="314"/>
      <c r="S543" s="314"/>
      <c r="T543" s="314"/>
      <c r="U543" s="314"/>
      <c r="V543" s="314"/>
      <c r="W543" s="313"/>
      <c r="X543" s="313"/>
      <c r="Y543" s="314"/>
      <c r="Z543" s="335"/>
      <c r="AA543" s="313"/>
      <c r="AB543" s="324"/>
      <c r="AC543" s="155"/>
      <c r="AD543" s="155"/>
      <c r="AE543" s="322"/>
      <c r="AF543" s="132"/>
      <c r="AG543" s="132"/>
    </row>
    <row r="544">
      <c r="A544" s="311"/>
      <c r="B544" s="313"/>
      <c r="C544" s="313"/>
      <c r="D544" s="313"/>
      <c r="E544" s="314"/>
      <c r="F544" s="314"/>
      <c r="G544" s="314"/>
      <c r="H544" s="314"/>
      <c r="I544" s="314"/>
      <c r="J544" s="314"/>
      <c r="K544" s="314"/>
      <c r="L544" s="314"/>
      <c r="M544" s="314"/>
      <c r="N544" s="314"/>
      <c r="O544" s="314"/>
      <c r="P544" s="314"/>
      <c r="Q544" s="314"/>
      <c r="R544" s="314"/>
      <c r="S544" s="314"/>
      <c r="T544" s="314"/>
      <c r="U544" s="314"/>
      <c r="V544" s="314"/>
      <c r="W544" s="313"/>
      <c r="X544" s="313"/>
      <c r="Y544" s="314"/>
      <c r="Z544" s="335"/>
      <c r="AA544" s="313"/>
      <c r="AB544" s="324"/>
      <c r="AC544" s="155"/>
      <c r="AD544" s="155"/>
      <c r="AE544" s="322"/>
      <c r="AF544" s="132"/>
      <c r="AG544" s="132"/>
    </row>
    <row r="545">
      <c r="A545" s="311"/>
      <c r="B545" s="313"/>
      <c r="C545" s="313"/>
      <c r="D545" s="313"/>
      <c r="E545" s="314"/>
      <c r="F545" s="314"/>
      <c r="G545" s="314"/>
      <c r="H545" s="314"/>
      <c r="I545" s="314"/>
      <c r="J545" s="314"/>
      <c r="K545" s="314"/>
      <c r="L545" s="314"/>
      <c r="M545" s="314"/>
      <c r="N545" s="314"/>
      <c r="O545" s="314"/>
      <c r="P545" s="314"/>
      <c r="Q545" s="314"/>
      <c r="R545" s="314"/>
      <c r="S545" s="314"/>
      <c r="T545" s="314"/>
      <c r="U545" s="314"/>
      <c r="V545" s="314"/>
      <c r="W545" s="313"/>
      <c r="X545" s="313"/>
      <c r="Y545" s="314"/>
      <c r="Z545" s="335"/>
      <c r="AA545" s="313"/>
      <c r="AB545" s="324"/>
      <c r="AC545" s="155"/>
      <c r="AD545" s="155"/>
      <c r="AE545" s="322"/>
      <c r="AF545" s="132"/>
      <c r="AG545" s="132"/>
    </row>
    <row r="546">
      <c r="A546" s="311"/>
      <c r="B546" s="313"/>
      <c r="C546" s="313"/>
      <c r="D546" s="313"/>
      <c r="E546" s="314"/>
      <c r="F546" s="314"/>
      <c r="G546" s="314"/>
      <c r="H546" s="314"/>
      <c r="I546" s="314"/>
      <c r="J546" s="314"/>
      <c r="K546" s="314"/>
      <c r="L546" s="314"/>
      <c r="M546" s="314"/>
      <c r="N546" s="314"/>
      <c r="O546" s="314"/>
      <c r="P546" s="314"/>
      <c r="Q546" s="314"/>
      <c r="R546" s="314"/>
      <c r="S546" s="314"/>
      <c r="T546" s="314"/>
      <c r="U546" s="314"/>
      <c r="V546" s="314"/>
      <c r="W546" s="313"/>
      <c r="X546" s="313"/>
      <c r="Y546" s="314"/>
      <c r="Z546" s="335"/>
      <c r="AA546" s="313"/>
      <c r="AB546" s="324"/>
      <c r="AC546" s="155"/>
      <c r="AD546" s="155"/>
      <c r="AE546" s="322"/>
      <c r="AF546" s="132"/>
      <c r="AG546" s="132"/>
    </row>
    <row r="547">
      <c r="A547" s="311"/>
      <c r="B547" s="313"/>
      <c r="C547" s="313"/>
      <c r="D547" s="313"/>
      <c r="E547" s="314"/>
      <c r="F547" s="314"/>
      <c r="G547" s="314"/>
      <c r="H547" s="314"/>
      <c r="I547" s="314"/>
      <c r="J547" s="314"/>
      <c r="K547" s="314"/>
      <c r="L547" s="314"/>
      <c r="M547" s="314"/>
      <c r="N547" s="314"/>
      <c r="O547" s="314"/>
      <c r="P547" s="314"/>
      <c r="Q547" s="314"/>
      <c r="R547" s="314"/>
      <c r="S547" s="314"/>
      <c r="T547" s="314"/>
      <c r="U547" s="314"/>
      <c r="V547" s="314"/>
      <c r="W547" s="313"/>
      <c r="X547" s="313"/>
      <c r="Y547" s="314"/>
      <c r="Z547" s="335"/>
      <c r="AA547" s="313"/>
      <c r="AB547" s="324"/>
      <c r="AC547" s="155"/>
      <c r="AD547" s="155"/>
      <c r="AE547" s="322"/>
      <c r="AF547" s="132"/>
      <c r="AG547" s="132"/>
    </row>
    <row r="548">
      <c r="A548" s="311"/>
      <c r="B548" s="313"/>
      <c r="C548" s="313"/>
      <c r="D548" s="313"/>
      <c r="E548" s="314"/>
      <c r="F548" s="314"/>
      <c r="G548" s="314"/>
      <c r="H548" s="314"/>
      <c r="I548" s="314"/>
      <c r="J548" s="314"/>
      <c r="K548" s="314"/>
      <c r="L548" s="314"/>
      <c r="M548" s="314"/>
      <c r="N548" s="314"/>
      <c r="O548" s="314"/>
      <c r="P548" s="314"/>
      <c r="Q548" s="314"/>
      <c r="R548" s="314"/>
      <c r="S548" s="314"/>
      <c r="T548" s="314"/>
      <c r="U548" s="314"/>
      <c r="V548" s="314"/>
      <c r="W548" s="313"/>
      <c r="X548" s="313"/>
      <c r="Y548" s="314"/>
      <c r="Z548" s="335"/>
      <c r="AA548" s="313"/>
      <c r="AB548" s="324"/>
      <c r="AC548" s="155"/>
      <c r="AD548" s="155"/>
      <c r="AE548" s="322"/>
      <c r="AF548" s="132"/>
      <c r="AG548" s="132"/>
    </row>
    <row r="549">
      <c r="A549" s="311"/>
      <c r="B549" s="313"/>
      <c r="C549" s="313"/>
      <c r="D549" s="313"/>
      <c r="E549" s="314"/>
      <c r="F549" s="314"/>
      <c r="G549" s="314"/>
      <c r="H549" s="314"/>
      <c r="I549" s="314"/>
      <c r="J549" s="314"/>
      <c r="K549" s="314"/>
      <c r="L549" s="314"/>
      <c r="M549" s="314"/>
      <c r="N549" s="314"/>
      <c r="O549" s="314"/>
      <c r="P549" s="314"/>
      <c r="Q549" s="314"/>
      <c r="R549" s="314"/>
      <c r="S549" s="314"/>
      <c r="T549" s="314"/>
      <c r="U549" s="314"/>
      <c r="V549" s="314"/>
      <c r="W549" s="313"/>
      <c r="X549" s="313"/>
      <c r="Y549" s="314"/>
      <c r="Z549" s="335"/>
      <c r="AA549" s="313"/>
      <c r="AB549" s="324"/>
      <c r="AC549" s="155"/>
      <c r="AD549" s="155"/>
      <c r="AE549" s="322"/>
      <c r="AF549" s="132"/>
      <c r="AG549" s="132"/>
    </row>
    <row r="550">
      <c r="A550" s="311"/>
      <c r="B550" s="313"/>
      <c r="C550" s="313"/>
      <c r="D550" s="313"/>
      <c r="E550" s="314"/>
      <c r="F550" s="314"/>
      <c r="G550" s="314"/>
      <c r="H550" s="314"/>
      <c r="I550" s="314"/>
      <c r="J550" s="314"/>
      <c r="K550" s="314"/>
      <c r="L550" s="314"/>
      <c r="M550" s="314"/>
      <c r="N550" s="314"/>
      <c r="O550" s="314"/>
      <c r="P550" s="314"/>
      <c r="Q550" s="314"/>
      <c r="R550" s="314"/>
      <c r="S550" s="314"/>
      <c r="T550" s="314"/>
      <c r="U550" s="314"/>
      <c r="V550" s="314"/>
      <c r="W550" s="313"/>
      <c r="X550" s="313"/>
      <c r="Y550" s="314"/>
      <c r="Z550" s="335"/>
      <c r="AA550" s="313"/>
      <c r="AB550" s="324"/>
      <c r="AC550" s="155"/>
      <c r="AD550" s="155"/>
      <c r="AE550" s="322"/>
      <c r="AF550" s="132"/>
      <c r="AG550" s="132"/>
    </row>
    <row r="551">
      <c r="A551" s="311"/>
      <c r="B551" s="313"/>
      <c r="C551" s="313"/>
      <c r="D551" s="313"/>
      <c r="E551" s="314"/>
      <c r="F551" s="314"/>
      <c r="G551" s="314"/>
      <c r="H551" s="314"/>
      <c r="I551" s="314"/>
      <c r="J551" s="314"/>
      <c r="K551" s="314"/>
      <c r="L551" s="314"/>
      <c r="M551" s="314"/>
      <c r="N551" s="314"/>
      <c r="O551" s="314"/>
      <c r="P551" s="314"/>
      <c r="Q551" s="314"/>
      <c r="R551" s="314"/>
      <c r="S551" s="314"/>
      <c r="T551" s="314"/>
      <c r="U551" s="314"/>
      <c r="V551" s="314"/>
      <c r="W551" s="313"/>
      <c r="X551" s="313"/>
      <c r="Y551" s="314"/>
      <c r="Z551" s="335"/>
      <c r="AA551" s="313"/>
      <c r="AB551" s="324"/>
      <c r="AC551" s="155"/>
      <c r="AD551" s="155"/>
      <c r="AE551" s="322"/>
      <c r="AF551" s="132"/>
      <c r="AG551" s="132"/>
    </row>
    <row r="552">
      <c r="A552" s="311"/>
      <c r="B552" s="313"/>
      <c r="C552" s="313"/>
      <c r="D552" s="313"/>
      <c r="E552" s="314"/>
      <c r="F552" s="314"/>
      <c r="G552" s="314"/>
      <c r="H552" s="314"/>
      <c r="I552" s="314"/>
      <c r="J552" s="314"/>
      <c r="K552" s="314"/>
      <c r="L552" s="314"/>
      <c r="M552" s="314"/>
      <c r="N552" s="314"/>
      <c r="O552" s="314"/>
      <c r="P552" s="314"/>
      <c r="Q552" s="314"/>
      <c r="R552" s="314"/>
      <c r="S552" s="314"/>
      <c r="T552" s="314"/>
      <c r="U552" s="314"/>
      <c r="V552" s="314"/>
      <c r="W552" s="313"/>
      <c r="X552" s="313"/>
      <c r="Y552" s="314"/>
      <c r="Z552" s="335"/>
      <c r="AA552" s="313"/>
      <c r="AB552" s="324"/>
      <c r="AC552" s="155"/>
      <c r="AD552" s="155"/>
      <c r="AE552" s="322"/>
      <c r="AF552" s="132"/>
      <c r="AG552" s="132"/>
    </row>
    <row r="553">
      <c r="A553" s="311"/>
      <c r="B553" s="313"/>
      <c r="C553" s="313"/>
      <c r="D553" s="313"/>
      <c r="E553" s="314"/>
      <c r="F553" s="314"/>
      <c r="G553" s="314"/>
      <c r="H553" s="314"/>
      <c r="I553" s="314"/>
      <c r="J553" s="314"/>
      <c r="K553" s="314"/>
      <c r="L553" s="314"/>
      <c r="M553" s="314"/>
      <c r="N553" s="314"/>
      <c r="O553" s="314"/>
      <c r="P553" s="314"/>
      <c r="Q553" s="314"/>
      <c r="R553" s="314"/>
      <c r="S553" s="314"/>
      <c r="T553" s="314"/>
      <c r="U553" s="314"/>
      <c r="V553" s="314"/>
      <c r="W553" s="313"/>
      <c r="X553" s="313"/>
      <c r="Y553" s="314"/>
      <c r="Z553" s="335"/>
      <c r="AA553" s="313"/>
      <c r="AB553" s="324"/>
      <c r="AC553" s="155"/>
      <c r="AD553" s="155"/>
      <c r="AE553" s="322"/>
      <c r="AF553" s="132"/>
      <c r="AG553" s="132"/>
    </row>
    <row r="554">
      <c r="A554" s="311"/>
      <c r="B554" s="313"/>
      <c r="C554" s="313"/>
      <c r="D554" s="313"/>
      <c r="E554" s="314"/>
      <c r="F554" s="314"/>
      <c r="G554" s="314"/>
      <c r="H554" s="314"/>
      <c r="I554" s="314"/>
      <c r="J554" s="314"/>
      <c r="K554" s="314"/>
      <c r="L554" s="314"/>
      <c r="M554" s="314"/>
      <c r="N554" s="314"/>
      <c r="O554" s="314"/>
      <c r="P554" s="314"/>
      <c r="Q554" s="314"/>
      <c r="R554" s="314"/>
      <c r="S554" s="314"/>
      <c r="T554" s="314"/>
      <c r="U554" s="314"/>
      <c r="V554" s="314"/>
      <c r="W554" s="313"/>
      <c r="X554" s="313"/>
      <c r="Y554" s="314"/>
      <c r="Z554" s="335"/>
      <c r="AA554" s="313"/>
      <c r="AB554" s="324"/>
      <c r="AC554" s="155"/>
      <c r="AD554" s="155"/>
      <c r="AE554" s="322"/>
      <c r="AF554" s="132"/>
      <c r="AG554" s="132"/>
    </row>
    <row r="555">
      <c r="A555" s="311"/>
      <c r="B555" s="313"/>
      <c r="C555" s="313"/>
      <c r="D555" s="313"/>
      <c r="E555" s="314"/>
      <c r="F555" s="314"/>
      <c r="G555" s="314"/>
      <c r="H555" s="314"/>
      <c r="I555" s="314"/>
      <c r="J555" s="314"/>
      <c r="K555" s="314"/>
      <c r="L555" s="314"/>
      <c r="M555" s="314"/>
      <c r="N555" s="314"/>
      <c r="O555" s="314"/>
      <c r="P555" s="314"/>
      <c r="Q555" s="314"/>
      <c r="R555" s="314"/>
      <c r="S555" s="314"/>
      <c r="T555" s="314"/>
      <c r="U555" s="314"/>
      <c r="V555" s="314"/>
      <c r="W555" s="313"/>
      <c r="X555" s="313"/>
      <c r="Y555" s="314"/>
      <c r="Z555" s="335"/>
      <c r="AA555" s="313"/>
      <c r="AB555" s="324"/>
      <c r="AC555" s="155"/>
      <c r="AD555" s="155"/>
      <c r="AE555" s="322"/>
      <c r="AF555" s="132"/>
      <c r="AG555" s="132"/>
    </row>
    <row r="556">
      <c r="A556" s="311"/>
      <c r="B556" s="313"/>
      <c r="C556" s="313"/>
      <c r="D556" s="313"/>
      <c r="E556" s="314"/>
      <c r="F556" s="314"/>
      <c r="G556" s="314"/>
      <c r="H556" s="314"/>
      <c r="I556" s="314"/>
      <c r="J556" s="314"/>
      <c r="K556" s="314"/>
      <c r="L556" s="314"/>
      <c r="M556" s="314"/>
      <c r="N556" s="314"/>
      <c r="O556" s="314"/>
      <c r="P556" s="314"/>
      <c r="Q556" s="314"/>
      <c r="R556" s="314"/>
      <c r="S556" s="314"/>
      <c r="T556" s="314"/>
      <c r="U556" s="314"/>
      <c r="V556" s="314"/>
      <c r="W556" s="313"/>
      <c r="X556" s="313"/>
      <c r="Y556" s="314"/>
      <c r="Z556" s="335"/>
      <c r="AA556" s="313"/>
      <c r="AB556" s="324"/>
      <c r="AC556" s="155"/>
      <c r="AD556" s="155"/>
      <c r="AE556" s="322"/>
      <c r="AF556" s="132"/>
      <c r="AG556" s="132"/>
    </row>
    <row r="557">
      <c r="A557" s="311"/>
      <c r="B557" s="313"/>
      <c r="C557" s="313"/>
      <c r="D557" s="313"/>
      <c r="E557" s="314"/>
      <c r="F557" s="314"/>
      <c r="G557" s="314"/>
      <c r="H557" s="314"/>
      <c r="I557" s="314"/>
      <c r="J557" s="314"/>
      <c r="K557" s="314"/>
      <c r="L557" s="314"/>
      <c r="M557" s="314"/>
      <c r="N557" s="314"/>
      <c r="O557" s="314"/>
      <c r="P557" s="314"/>
      <c r="Q557" s="314"/>
      <c r="R557" s="314"/>
      <c r="S557" s="314"/>
      <c r="T557" s="314"/>
      <c r="U557" s="314"/>
      <c r="V557" s="314"/>
      <c r="W557" s="313"/>
      <c r="X557" s="313"/>
      <c r="Y557" s="314"/>
      <c r="Z557" s="335"/>
      <c r="AA557" s="313"/>
      <c r="AB557" s="324"/>
      <c r="AC557" s="155"/>
      <c r="AD557" s="155"/>
      <c r="AE557" s="322"/>
      <c r="AF557" s="132"/>
      <c r="AG557" s="132"/>
    </row>
    <row r="558">
      <c r="A558" s="311"/>
      <c r="B558" s="313"/>
      <c r="C558" s="313"/>
      <c r="D558" s="313"/>
      <c r="E558" s="314"/>
      <c r="F558" s="314"/>
      <c r="G558" s="314"/>
      <c r="H558" s="314"/>
      <c r="I558" s="314"/>
      <c r="J558" s="314"/>
      <c r="K558" s="314"/>
      <c r="L558" s="314"/>
      <c r="M558" s="314"/>
      <c r="N558" s="314"/>
      <c r="O558" s="314"/>
      <c r="P558" s="314"/>
      <c r="Q558" s="314"/>
      <c r="R558" s="314"/>
      <c r="S558" s="314"/>
      <c r="T558" s="314"/>
      <c r="U558" s="314"/>
      <c r="V558" s="314"/>
      <c r="W558" s="313"/>
      <c r="X558" s="313"/>
      <c r="Y558" s="314"/>
      <c r="Z558" s="335"/>
      <c r="AA558" s="313"/>
      <c r="AB558" s="324"/>
      <c r="AC558" s="155"/>
      <c r="AD558" s="155"/>
      <c r="AE558" s="322"/>
      <c r="AF558" s="132"/>
      <c r="AG558" s="132"/>
    </row>
    <row r="559">
      <c r="A559" s="311"/>
      <c r="B559" s="313"/>
      <c r="C559" s="313"/>
      <c r="D559" s="313"/>
      <c r="E559" s="314"/>
      <c r="F559" s="314"/>
      <c r="G559" s="314"/>
      <c r="H559" s="314"/>
      <c r="I559" s="314"/>
      <c r="J559" s="314"/>
      <c r="K559" s="314"/>
      <c r="L559" s="314"/>
      <c r="M559" s="314"/>
      <c r="N559" s="314"/>
      <c r="O559" s="314"/>
      <c r="P559" s="314"/>
      <c r="Q559" s="314"/>
      <c r="R559" s="314"/>
      <c r="S559" s="314"/>
      <c r="T559" s="314"/>
      <c r="U559" s="314"/>
      <c r="V559" s="314"/>
      <c r="W559" s="313"/>
      <c r="X559" s="313"/>
      <c r="Y559" s="314"/>
      <c r="Z559" s="335"/>
      <c r="AA559" s="313"/>
      <c r="AB559" s="324"/>
      <c r="AC559" s="155"/>
      <c r="AD559" s="155"/>
      <c r="AE559" s="322"/>
      <c r="AF559" s="132"/>
      <c r="AG559" s="132"/>
    </row>
    <row r="560">
      <c r="A560" s="311"/>
      <c r="B560" s="313"/>
      <c r="C560" s="313"/>
      <c r="D560" s="313"/>
      <c r="E560" s="314"/>
      <c r="F560" s="314"/>
      <c r="G560" s="314"/>
      <c r="H560" s="314"/>
      <c r="I560" s="314"/>
      <c r="J560" s="314"/>
      <c r="K560" s="314"/>
      <c r="L560" s="314"/>
      <c r="M560" s="314"/>
      <c r="N560" s="314"/>
      <c r="O560" s="314"/>
      <c r="P560" s="314"/>
      <c r="Q560" s="314"/>
      <c r="R560" s="314"/>
      <c r="S560" s="314"/>
      <c r="T560" s="314"/>
      <c r="U560" s="314"/>
      <c r="V560" s="314"/>
      <c r="W560" s="313"/>
      <c r="X560" s="313"/>
      <c r="Y560" s="314"/>
      <c r="Z560" s="335"/>
      <c r="AA560" s="313"/>
      <c r="AB560" s="324"/>
      <c r="AC560" s="155"/>
      <c r="AD560" s="155"/>
      <c r="AE560" s="322"/>
      <c r="AF560" s="132"/>
      <c r="AG560" s="132"/>
    </row>
    <row r="561">
      <c r="A561" s="311"/>
      <c r="B561" s="313"/>
      <c r="C561" s="313"/>
      <c r="D561" s="313"/>
      <c r="E561" s="314"/>
      <c r="F561" s="314"/>
      <c r="G561" s="314"/>
      <c r="H561" s="314"/>
      <c r="I561" s="314"/>
      <c r="J561" s="314"/>
      <c r="K561" s="314"/>
      <c r="L561" s="314"/>
      <c r="M561" s="314"/>
      <c r="N561" s="314"/>
      <c r="O561" s="314"/>
      <c r="P561" s="314"/>
      <c r="Q561" s="314"/>
      <c r="R561" s="314"/>
      <c r="S561" s="314"/>
      <c r="T561" s="314"/>
      <c r="U561" s="314"/>
      <c r="V561" s="314"/>
      <c r="W561" s="313"/>
      <c r="X561" s="313"/>
      <c r="Y561" s="314"/>
      <c r="Z561" s="335"/>
      <c r="AA561" s="313"/>
      <c r="AB561" s="324"/>
      <c r="AC561" s="155"/>
      <c r="AD561" s="155"/>
      <c r="AE561" s="322"/>
      <c r="AF561" s="132"/>
      <c r="AG561" s="132"/>
    </row>
    <row r="562">
      <c r="A562" s="311"/>
      <c r="B562" s="313"/>
      <c r="C562" s="313"/>
      <c r="D562" s="313"/>
      <c r="E562" s="314"/>
      <c r="F562" s="314"/>
      <c r="G562" s="314"/>
      <c r="H562" s="314"/>
      <c r="I562" s="314"/>
      <c r="J562" s="314"/>
      <c r="K562" s="314"/>
      <c r="L562" s="314"/>
      <c r="M562" s="314"/>
      <c r="N562" s="314"/>
      <c r="O562" s="314"/>
      <c r="P562" s="314"/>
      <c r="Q562" s="314"/>
      <c r="R562" s="314"/>
      <c r="S562" s="314"/>
      <c r="T562" s="314"/>
      <c r="U562" s="314"/>
      <c r="V562" s="314"/>
      <c r="W562" s="313"/>
      <c r="X562" s="313"/>
      <c r="Y562" s="314"/>
      <c r="Z562" s="335"/>
      <c r="AA562" s="313"/>
      <c r="AB562" s="324"/>
      <c r="AC562" s="155"/>
      <c r="AD562" s="155"/>
      <c r="AE562" s="322"/>
      <c r="AF562" s="132"/>
      <c r="AG562" s="132"/>
    </row>
    <row r="563">
      <c r="A563" s="311"/>
      <c r="B563" s="313"/>
      <c r="C563" s="313"/>
      <c r="D563" s="313"/>
      <c r="E563" s="314"/>
      <c r="F563" s="314"/>
      <c r="G563" s="314"/>
      <c r="H563" s="314"/>
      <c r="I563" s="314"/>
      <c r="J563" s="314"/>
      <c r="K563" s="314"/>
      <c r="L563" s="314"/>
      <c r="M563" s="314"/>
      <c r="N563" s="314"/>
      <c r="O563" s="314"/>
      <c r="P563" s="314"/>
      <c r="Q563" s="314"/>
      <c r="R563" s="314"/>
      <c r="S563" s="314"/>
      <c r="T563" s="314"/>
      <c r="U563" s="314"/>
      <c r="V563" s="314"/>
      <c r="W563" s="313"/>
      <c r="X563" s="313"/>
      <c r="Y563" s="314"/>
      <c r="Z563" s="335"/>
      <c r="AA563" s="313"/>
      <c r="AB563" s="324"/>
      <c r="AC563" s="155"/>
      <c r="AD563" s="155"/>
      <c r="AE563" s="322"/>
      <c r="AF563" s="132"/>
      <c r="AG563" s="132"/>
    </row>
    <row r="564">
      <c r="A564" s="311"/>
      <c r="B564" s="313"/>
      <c r="C564" s="313"/>
      <c r="D564" s="313"/>
      <c r="E564" s="314"/>
      <c r="F564" s="314"/>
      <c r="G564" s="314"/>
      <c r="H564" s="314"/>
      <c r="I564" s="314"/>
      <c r="J564" s="314"/>
      <c r="K564" s="314"/>
      <c r="L564" s="314"/>
      <c r="M564" s="314"/>
      <c r="N564" s="314"/>
      <c r="O564" s="314"/>
      <c r="P564" s="314"/>
      <c r="Q564" s="314"/>
      <c r="R564" s="314"/>
      <c r="S564" s="314"/>
      <c r="T564" s="314"/>
      <c r="U564" s="314"/>
      <c r="V564" s="314"/>
      <c r="W564" s="313"/>
      <c r="X564" s="313"/>
      <c r="Y564" s="314"/>
      <c r="Z564" s="335"/>
      <c r="AA564" s="313"/>
      <c r="AB564" s="324"/>
      <c r="AC564" s="155"/>
      <c r="AD564" s="155"/>
      <c r="AE564" s="322"/>
      <c r="AF564" s="132"/>
      <c r="AG564" s="132"/>
    </row>
    <row r="565">
      <c r="A565" s="311"/>
      <c r="B565" s="313"/>
      <c r="C565" s="313"/>
      <c r="D565" s="313"/>
      <c r="E565" s="314"/>
      <c r="F565" s="314"/>
      <c r="G565" s="314"/>
      <c r="H565" s="314"/>
      <c r="I565" s="314"/>
      <c r="J565" s="314"/>
      <c r="K565" s="314"/>
      <c r="L565" s="314"/>
      <c r="M565" s="314"/>
      <c r="N565" s="314"/>
      <c r="O565" s="314"/>
      <c r="P565" s="314"/>
      <c r="Q565" s="314"/>
      <c r="R565" s="314"/>
      <c r="S565" s="314"/>
      <c r="T565" s="314"/>
      <c r="U565" s="314"/>
      <c r="V565" s="314"/>
      <c r="W565" s="313"/>
      <c r="X565" s="313"/>
      <c r="Y565" s="314"/>
      <c r="Z565" s="335"/>
      <c r="AA565" s="313"/>
      <c r="AB565" s="324"/>
      <c r="AC565" s="155"/>
      <c r="AD565" s="155"/>
      <c r="AE565" s="322"/>
      <c r="AF565" s="132"/>
      <c r="AG565" s="132"/>
    </row>
    <row r="566">
      <c r="A566" s="311"/>
      <c r="B566" s="313"/>
      <c r="C566" s="313"/>
      <c r="D566" s="313"/>
      <c r="E566" s="314"/>
      <c r="F566" s="314"/>
      <c r="G566" s="314"/>
      <c r="H566" s="314"/>
      <c r="I566" s="314"/>
      <c r="J566" s="314"/>
      <c r="K566" s="314"/>
      <c r="L566" s="314"/>
      <c r="M566" s="314"/>
      <c r="N566" s="314"/>
      <c r="O566" s="314"/>
      <c r="P566" s="314"/>
      <c r="Q566" s="314"/>
      <c r="R566" s="314"/>
      <c r="S566" s="314"/>
      <c r="T566" s="314"/>
      <c r="U566" s="314"/>
      <c r="V566" s="314"/>
      <c r="W566" s="313"/>
      <c r="X566" s="313"/>
      <c r="Y566" s="314"/>
      <c r="Z566" s="335"/>
      <c r="AA566" s="313"/>
      <c r="AB566" s="324"/>
      <c r="AC566" s="155"/>
      <c r="AD566" s="155"/>
      <c r="AE566" s="322"/>
      <c r="AF566" s="132"/>
      <c r="AG566" s="132"/>
    </row>
    <row r="567">
      <c r="A567" s="311"/>
      <c r="B567" s="313"/>
      <c r="C567" s="313"/>
      <c r="D567" s="313"/>
      <c r="E567" s="314"/>
      <c r="F567" s="314"/>
      <c r="G567" s="314"/>
      <c r="H567" s="314"/>
      <c r="I567" s="314"/>
      <c r="J567" s="314"/>
      <c r="K567" s="314"/>
      <c r="L567" s="314"/>
      <c r="M567" s="314"/>
      <c r="N567" s="314"/>
      <c r="O567" s="314"/>
      <c r="P567" s="314"/>
      <c r="Q567" s="314"/>
      <c r="R567" s="314"/>
      <c r="S567" s="314"/>
      <c r="T567" s="314"/>
      <c r="U567" s="314"/>
      <c r="V567" s="314"/>
      <c r="W567" s="313"/>
      <c r="X567" s="313"/>
      <c r="Y567" s="314"/>
      <c r="Z567" s="335"/>
      <c r="AA567" s="313"/>
      <c r="AB567" s="324"/>
      <c r="AC567" s="155"/>
      <c r="AD567" s="155"/>
      <c r="AE567" s="322"/>
      <c r="AF567" s="132"/>
      <c r="AG567" s="132"/>
    </row>
    <row r="568">
      <c r="A568" s="311"/>
      <c r="B568" s="313"/>
      <c r="C568" s="313"/>
      <c r="D568" s="313"/>
      <c r="E568" s="314"/>
      <c r="F568" s="314"/>
      <c r="G568" s="314"/>
      <c r="H568" s="314"/>
      <c r="I568" s="314"/>
      <c r="J568" s="314"/>
      <c r="K568" s="314"/>
      <c r="L568" s="314"/>
      <c r="M568" s="314"/>
      <c r="N568" s="314"/>
      <c r="O568" s="314"/>
      <c r="P568" s="314"/>
      <c r="Q568" s="314"/>
      <c r="R568" s="314"/>
      <c r="S568" s="314"/>
      <c r="T568" s="314"/>
      <c r="U568" s="314"/>
      <c r="V568" s="314"/>
      <c r="W568" s="313"/>
      <c r="X568" s="313"/>
      <c r="Y568" s="314"/>
      <c r="Z568" s="335"/>
      <c r="AA568" s="313"/>
      <c r="AB568" s="324"/>
      <c r="AC568" s="155"/>
      <c r="AD568" s="155"/>
      <c r="AE568" s="322"/>
      <c r="AF568" s="132"/>
      <c r="AG568" s="132"/>
    </row>
    <row r="569">
      <c r="A569" s="311"/>
      <c r="B569" s="313"/>
      <c r="C569" s="313"/>
      <c r="D569" s="313"/>
      <c r="E569" s="314"/>
      <c r="F569" s="314"/>
      <c r="G569" s="314"/>
      <c r="H569" s="314"/>
      <c r="I569" s="314"/>
      <c r="J569" s="314"/>
      <c r="K569" s="314"/>
      <c r="L569" s="314"/>
      <c r="M569" s="314"/>
      <c r="N569" s="314"/>
      <c r="O569" s="314"/>
      <c r="P569" s="314"/>
      <c r="Q569" s="314"/>
      <c r="R569" s="314"/>
      <c r="S569" s="314"/>
      <c r="T569" s="314"/>
      <c r="U569" s="314"/>
      <c r="V569" s="314"/>
      <c r="W569" s="313"/>
      <c r="X569" s="313"/>
      <c r="Y569" s="314"/>
      <c r="Z569" s="335"/>
      <c r="AA569" s="313"/>
      <c r="AB569" s="324"/>
      <c r="AC569" s="155"/>
      <c r="AD569" s="155"/>
      <c r="AE569" s="322"/>
      <c r="AF569" s="132"/>
      <c r="AG569" s="132"/>
    </row>
    <row r="570">
      <c r="A570" s="311"/>
      <c r="B570" s="313"/>
      <c r="C570" s="313"/>
      <c r="D570" s="313"/>
      <c r="E570" s="314"/>
      <c r="F570" s="314"/>
      <c r="G570" s="314"/>
      <c r="H570" s="314"/>
      <c r="I570" s="314"/>
      <c r="J570" s="314"/>
      <c r="K570" s="314"/>
      <c r="L570" s="314"/>
      <c r="M570" s="314"/>
      <c r="N570" s="314"/>
      <c r="O570" s="314"/>
      <c r="P570" s="314"/>
      <c r="Q570" s="314"/>
      <c r="R570" s="314"/>
      <c r="S570" s="314"/>
      <c r="T570" s="314"/>
      <c r="U570" s="314"/>
      <c r="V570" s="314"/>
      <c r="W570" s="313"/>
      <c r="X570" s="313"/>
      <c r="Y570" s="314"/>
      <c r="Z570" s="335"/>
      <c r="AA570" s="313"/>
      <c r="AB570" s="324"/>
      <c r="AC570" s="155"/>
      <c r="AD570" s="155"/>
      <c r="AE570" s="322"/>
      <c r="AF570" s="132"/>
      <c r="AG570" s="132"/>
    </row>
    <row r="571">
      <c r="A571" s="311"/>
      <c r="B571" s="313"/>
      <c r="C571" s="313"/>
      <c r="D571" s="313"/>
      <c r="E571" s="314"/>
      <c r="F571" s="314"/>
      <c r="G571" s="314"/>
      <c r="H571" s="314"/>
      <c r="I571" s="314"/>
      <c r="J571" s="314"/>
      <c r="K571" s="314"/>
      <c r="L571" s="314"/>
      <c r="M571" s="314"/>
      <c r="N571" s="314"/>
      <c r="O571" s="314"/>
      <c r="P571" s="314"/>
      <c r="Q571" s="314"/>
      <c r="R571" s="314"/>
      <c r="S571" s="314"/>
      <c r="T571" s="314"/>
      <c r="U571" s="314"/>
      <c r="V571" s="314"/>
      <c r="W571" s="313"/>
      <c r="X571" s="313"/>
      <c r="Y571" s="314"/>
      <c r="Z571" s="335"/>
      <c r="AA571" s="313"/>
      <c r="AB571" s="324"/>
      <c r="AC571" s="155"/>
      <c r="AD571" s="155"/>
      <c r="AE571" s="322"/>
      <c r="AF571" s="132"/>
      <c r="AG571" s="132"/>
    </row>
    <row r="572">
      <c r="A572" s="311"/>
      <c r="B572" s="313"/>
      <c r="C572" s="313"/>
      <c r="D572" s="313"/>
      <c r="E572" s="314"/>
      <c r="F572" s="314"/>
      <c r="G572" s="314"/>
      <c r="H572" s="314"/>
      <c r="I572" s="314"/>
      <c r="J572" s="314"/>
      <c r="K572" s="314"/>
      <c r="L572" s="314"/>
      <c r="M572" s="314"/>
      <c r="N572" s="314"/>
      <c r="O572" s="314"/>
      <c r="P572" s="314"/>
      <c r="Q572" s="314"/>
      <c r="R572" s="314"/>
      <c r="S572" s="314"/>
      <c r="T572" s="314"/>
      <c r="U572" s="314"/>
      <c r="V572" s="314"/>
      <c r="W572" s="313"/>
      <c r="X572" s="313"/>
      <c r="Y572" s="314"/>
      <c r="Z572" s="335"/>
      <c r="AA572" s="313"/>
      <c r="AB572" s="324"/>
      <c r="AC572" s="155"/>
      <c r="AD572" s="155"/>
      <c r="AE572" s="322"/>
      <c r="AF572" s="132"/>
      <c r="AG572" s="132"/>
    </row>
    <row r="573">
      <c r="A573" s="311"/>
      <c r="B573" s="313"/>
      <c r="C573" s="313"/>
      <c r="D573" s="313"/>
      <c r="E573" s="314"/>
      <c r="F573" s="314"/>
      <c r="G573" s="314"/>
      <c r="H573" s="314"/>
      <c r="I573" s="314"/>
      <c r="J573" s="314"/>
      <c r="K573" s="314"/>
      <c r="L573" s="314"/>
      <c r="M573" s="314"/>
      <c r="N573" s="314"/>
      <c r="O573" s="314"/>
      <c r="P573" s="314"/>
      <c r="Q573" s="314"/>
      <c r="R573" s="314"/>
      <c r="S573" s="314"/>
      <c r="T573" s="314"/>
      <c r="U573" s="314"/>
      <c r="V573" s="314"/>
      <c r="W573" s="313"/>
      <c r="X573" s="313"/>
      <c r="Y573" s="314"/>
      <c r="Z573" s="335"/>
      <c r="AA573" s="313"/>
      <c r="AB573" s="324"/>
      <c r="AC573" s="155"/>
      <c r="AD573" s="155"/>
      <c r="AE573" s="322"/>
      <c r="AF573" s="132"/>
      <c r="AG573" s="132"/>
    </row>
    <row r="574">
      <c r="A574" s="311"/>
      <c r="B574" s="313"/>
      <c r="C574" s="313"/>
      <c r="D574" s="313"/>
      <c r="E574" s="314"/>
      <c r="F574" s="314"/>
      <c r="G574" s="314"/>
      <c r="H574" s="314"/>
      <c r="I574" s="314"/>
      <c r="J574" s="314"/>
      <c r="K574" s="314"/>
      <c r="L574" s="314"/>
      <c r="M574" s="314"/>
      <c r="N574" s="314"/>
      <c r="O574" s="314"/>
      <c r="P574" s="314"/>
      <c r="Q574" s="314"/>
      <c r="R574" s="314"/>
      <c r="S574" s="314"/>
      <c r="T574" s="314"/>
      <c r="U574" s="314"/>
      <c r="V574" s="314"/>
      <c r="W574" s="313"/>
      <c r="X574" s="313"/>
      <c r="Y574" s="314"/>
      <c r="Z574" s="335"/>
      <c r="AA574" s="313"/>
      <c r="AB574" s="324"/>
      <c r="AC574" s="155"/>
      <c r="AD574" s="155"/>
      <c r="AE574" s="322"/>
      <c r="AF574" s="132"/>
      <c r="AG574" s="132"/>
    </row>
    <row r="575">
      <c r="A575" s="311"/>
      <c r="B575" s="313"/>
      <c r="C575" s="313"/>
      <c r="D575" s="313"/>
      <c r="E575" s="314"/>
      <c r="F575" s="314"/>
      <c r="G575" s="314"/>
      <c r="H575" s="314"/>
      <c r="I575" s="314"/>
      <c r="J575" s="314"/>
      <c r="K575" s="314"/>
      <c r="L575" s="314"/>
      <c r="M575" s="314"/>
      <c r="N575" s="314"/>
      <c r="O575" s="314"/>
      <c r="P575" s="314"/>
      <c r="Q575" s="314"/>
      <c r="R575" s="314"/>
      <c r="S575" s="314"/>
      <c r="T575" s="314"/>
      <c r="U575" s="314"/>
      <c r="V575" s="314"/>
      <c r="W575" s="313"/>
      <c r="X575" s="313"/>
      <c r="Y575" s="314"/>
      <c r="Z575" s="335"/>
      <c r="AA575" s="313"/>
      <c r="AB575" s="324"/>
      <c r="AC575" s="155"/>
      <c r="AD575" s="155"/>
      <c r="AE575" s="322"/>
      <c r="AF575" s="132"/>
      <c r="AG575" s="132"/>
    </row>
    <row r="576">
      <c r="A576" s="311"/>
      <c r="B576" s="313"/>
      <c r="C576" s="313"/>
      <c r="D576" s="313"/>
      <c r="E576" s="314"/>
      <c r="F576" s="314"/>
      <c r="G576" s="314"/>
      <c r="H576" s="314"/>
      <c r="I576" s="314"/>
      <c r="J576" s="314"/>
      <c r="K576" s="314"/>
      <c r="L576" s="314"/>
      <c r="M576" s="314"/>
      <c r="N576" s="314"/>
      <c r="O576" s="314"/>
      <c r="P576" s="314"/>
      <c r="Q576" s="314"/>
      <c r="R576" s="314"/>
      <c r="S576" s="314"/>
      <c r="T576" s="314"/>
      <c r="U576" s="314"/>
      <c r="V576" s="314"/>
      <c r="W576" s="313"/>
      <c r="X576" s="313"/>
      <c r="Y576" s="314"/>
      <c r="Z576" s="335"/>
      <c r="AA576" s="313"/>
      <c r="AB576" s="324"/>
      <c r="AC576" s="155"/>
      <c r="AD576" s="155"/>
      <c r="AE576" s="322"/>
      <c r="AF576" s="132"/>
      <c r="AG576" s="132"/>
    </row>
    <row r="577">
      <c r="A577" s="311"/>
      <c r="B577" s="313"/>
      <c r="C577" s="313"/>
      <c r="D577" s="313"/>
      <c r="E577" s="314"/>
      <c r="F577" s="314"/>
      <c r="G577" s="314"/>
      <c r="H577" s="314"/>
      <c r="I577" s="314"/>
      <c r="J577" s="314"/>
      <c r="K577" s="314"/>
      <c r="L577" s="314"/>
      <c r="M577" s="314"/>
      <c r="N577" s="314"/>
      <c r="O577" s="314"/>
      <c r="P577" s="314"/>
      <c r="Q577" s="314"/>
      <c r="R577" s="314"/>
      <c r="S577" s="314"/>
      <c r="T577" s="314"/>
      <c r="U577" s="314"/>
      <c r="V577" s="314"/>
      <c r="W577" s="313"/>
      <c r="X577" s="313"/>
      <c r="Y577" s="314"/>
      <c r="Z577" s="335"/>
      <c r="AA577" s="313"/>
      <c r="AB577" s="324"/>
      <c r="AC577" s="155"/>
      <c r="AD577" s="155"/>
      <c r="AE577" s="322"/>
      <c r="AF577" s="132"/>
      <c r="AG577" s="132"/>
    </row>
    <row r="578">
      <c r="A578" s="311"/>
      <c r="B578" s="313"/>
      <c r="C578" s="313"/>
      <c r="D578" s="313"/>
      <c r="E578" s="314"/>
      <c r="F578" s="314"/>
      <c r="G578" s="314"/>
      <c r="H578" s="314"/>
      <c r="I578" s="314"/>
      <c r="J578" s="314"/>
      <c r="K578" s="314"/>
      <c r="L578" s="314"/>
      <c r="M578" s="314"/>
      <c r="N578" s="314"/>
      <c r="O578" s="314"/>
      <c r="P578" s="314"/>
      <c r="Q578" s="314"/>
      <c r="R578" s="314"/>
      <c r="S578" s="314"/>
      <c r="T578" s="314"/>
      <c r="U578" s="314"/>
      <c r="V578" s="314"/>
      <c r="W578" s="313"/>
      <c r="X578" s="313"/>
      <c r="Y578" s="314"/>
      <c r="Z578" s="335"/>
      <c r="AA578" s="313"/>
      <c r="AB578" s="324"/>
      <c r="AC578" s="155"/>
      <c r="AD578" s="155"/>
      <c r="AE578" s="322"/>
      <c r="AF578" s="132"/>
      <c r="AG578" s="132"/>
    </row>
    <row r="579">
      <c r="A579" s="311"/>
      <c r="B579" s="313"/>
      <c r="C579" s="313"/>
      <c r="D579" s="313"/>
      <c r="E579" s="314"/>
      <c r="F579" s="314"/>
      <c r="G579" s="314"/>
      <c r="H579" s="314"/>
      <c r="I579" s="314"/>
      <c r="J579" s="314"/>
      <c r="K579" s="314"/>
      <c r="L579" s="314"/>
      <c r="M579" s="314"/>
      <c r="N579" s="314"/>
      <c r="O579" s="314"/>
      <c r="P579" s="314"/>
      <c r="Q579" s="314"/>
      <c r="R579" s="314"/>
      <c r="S579" s="314"/>
      <c r="T579" s="314"/>
      <c r="U579" s="314"/>
      <c r="V579" s="314"/>
      <c r="W579" s="313"/>
      <c r="X579" s="313"/>
      <c r="Y579" s="314"/>
      <c r="Z579" s="335"/>
      <c r="AA579" s="313"/>
      <c r="AB579" s="324"/>
      <c r="AC579" s="155"/>
      <c r="AD579" s="155"/>
      <c r="AE579" s="322"/>
      <c r="AF579" s="132"/>
      <c r="AG579" s="132"/>
    </row>
    <row r="580">
      <c r="A580" s="311"/>
      <c r="B580" s="313"/>
      <c r="C580" s="313"/>
      <c r="D580" s="313"/>
      <c r="E580" s="314"/>
      <c r="F580" s="314"/>
      <c r="G580" s="314"/>
      <c r="H580" s="314"/>
      <c r="I580" s="314"/>
      <c r="J580" s="314"/>
      <c r="K580" s="314"/>
      <c r="L580" s="314"/>
      <c r="M580" s="314"/>
      <c r="N580" s="314"/>
      <c r="O580" s="314"/>
      <c r="P580" s="314"/>
      <c r="Q580" s="314"/>
      <c r="R580" s="314"/>
      <c r="S580" s="314"/>
      <c r="T580" s="314"/>
      <c r="U580" s="314"/>
      <c r="V580" s="314"/>
      <c r="W580" s="313"/>
      <c r="X580" s="313"/>
      <c r="Y580" s="314"/>
      <c r="Z580" s="335"/>
      <c r="AA580" s="313"/>
      <c r="AB580" s="324"/>
      <c r="AC580" s="155"/>
      <c r="AD580" s="155"/>
      <c r="AE580" s="322"/>
      <c r="AF580" s="132"/>
      <c r="AG580" s="132"/>
    </row>
    <row r="581">
      <c r="A581" s="311"/>
      <c r="B581" s="313"/>
      <c r="C581" s="313"/>
      <c r="D581" s="313"/>
      <c r="E581" s="314"/>
      <c r="F581" s="314"/>
      <c r="G581" s="314"/>
      <c r="H581" s="314"/>
      <c r="I581" s="314"/>
      <c r="J581" s="314"/>
      <c r="K581" s="314"/>
      <c r="L581" s="314"/>
      <c r="M581" s="314"/>
      <c r="N581" s="314"/>
      <c r="O581" s="314"/>
      <c r="P581" s="314"/>
      <c r="Q581" s="314"/>
      <c r="R581" s="314"/>
      <c r="S581" s="314"/>
      <c r="T581" s="314"/>
      <c r="U581" s="314"/>
      <c r="V581" s="314"/>
      <c r="W581" s="313"/>
      <c r="X581" s="313"/>
      <c r="Y581" s="314"/>
      <c r="Z581" s="335"/>
      <c r="AA581" s="313"/>
      <c r="AB581" s="324"/>
      <c r="AC581" s="155"/>
      <c r="AD581" s="155"/>
      <c r="AE581" s="322"/>
      <c r="AF581" s="132"/>
      <c r="AG581" s="132"/>
    </row>
    <row r="582">
      <c r="A582" s="311"/>
      <c r="B582" s="313"/>
      <c r="C582" s="313"/>
      <c r="D582" s="313"/>
      <c r="E582" s="314"/>
      <c r="F582" s="314"/>
      <c r="G582" s="314"/>
      <c r="H582" s="314"/>
      <c r="I582" s="314"/>
      <c r="J582" s="314"/>
      <c r="K582" s="314"/>
      <c r="L582" s="314"/>
      <c r="M582" s="314"/>
      <c r="N582" s="314"/>
      <c r="O582" s="314"/>
      <c r="P582" s="314"/>
      <c r="Q582" s="314"/>
      <c r="R582" s="314"/>
      <c r="S582" s="314"/>
      <c r="T582" s="314"/>
      <c r="U582" s="314"/>
      <c r="V582" s="314"/>
      <c r="W582" s="313"/>
      <c r="X582" s="313"/>
      <c r="Y582" s="314"/>
      <c r="Z582" s="335"/>
      <c r="AA582" s="313"/>
      <c r="AB582" s="324"/>
      <c r="AC582" s="155"/>
      <c r="AD582" s="155"/>
      <c r="AE582" s="322"/>
      <c r="AF582" s="132"/>
      <c r="AG582" s="132"/>
    </row>
    <row r="583">
      <c r="A583" s="311"/>
      <c r="B583" s="313"/>
      <c r="C583" s="313"/>
      <c r="D583" s="313"/>
      <c r="E583" s="314"/>
      <c r="F583" s="314"/>
      <c r="G583" s="314"/>
      <c r="H583" s="314"/>
      <c r="I583" s="314"/>
      <c r="J583" s="314"/>
      <c r="K583" s="314"/>
      <c r="L583" s="314"/>
      <c r="M583" s="314"/>
      <c r="N583" s="314"/>
      <c r="O583" s="314"/>
      <c r="P583" s="314"/>
      <c r="Q583" s="314"/>
      <c r="R583" s="314"/>
      <c r="S583" s="314"/>
      <c r="T583" s="314"/>
      <c r="U583" s="314"/>
      <c r="V583" s="314"/>
      <c r="W583" s="313"/>
      <c r="X583" s="313"/>
      <c r="Y583" s="314"/>
      <c r="Z583" s="335"/>
      <c r="AA583" s="313"/>
      <c r="AB583" s="324"/>
      <c r="AC583" s="155"/>
      <c r="AD583" s="155"/>
      <c r="AE583" s="322"/>
      <c r="AF583" s="132"/>
      <c r="AG583" s="132"/>
    </row>
    <row r="584">
      <c r="A584" s="311"/>
      <c r="B584" s="313"/>
      <c r="C584" s="313"/>
      <c r="D584" s="313"/>
      <c r="E584" s="314"/>
      <c r="F584" s="314"/>
      <c r="G584" s="314"/>
      <c r="H584" s="314"/>
      <c r="I584" s="314"/>
      <c r="J584" s="314"/>
      <c r="K584" s="314"/>
      <c r="L584" s="314"/>
      <c r="M584" s="314"/>
      <c r="N584" s="314"/>
      <c r="O584" s="314"/>
      <c r="P584" s="314"/>
      <c r="Q584" s="314"/>
      <c r="R584" s="314"/>
      <c r="S584" s="314"/>
      <c r="T584" s="314"/>
      <c r="U584" s="314"/>
      <c r="V584" s="314"/>
      <c r="W584" s="313"/>
      <c r="X584" s="313"/>
      <c r="Y584" s="314"/>
      <c r="Z584" s="335"/>
      <c r="AA584" s="313"/>
      <c r="AB584" s="324"/>
      <c r="AC584" s="155"/>
      <c r="AD584" s="155"/>
      <c r="AE584" s="322"/>
      <c r="AF584" s="132"/>
      <c r="AG584" s="132"/>
    </row>
    <row r="585">
      <c r="A585" s="311"/>
      <c r="B585" s="313"/>
      <c r="C585" s="313"/>
      <c r="D585" s="313"/>
      <c r="E585" s="314"/>
      <c r="F585" s="314"/>
      <c r="G585" s="314"/>
      <c r="H585" s="314"/>
      <c r="I585" s="314"/>
      <c r="J585" s="314"/>
      <c r="K585" s="314"/>
      <c r="L585" s="314"/>
      <c r="M585" s="314"/>
      <c r="N585" s="314"/>
      <c r="O585" s="314"/>
      <c r="P585" s="314"/>
      <c r="Q585" s="314"/>
      <c r="R585" s="314"/>
      <c r="S585" s="314"/>
      <c r="T585" s="314"/>
      <c r="U585" s="314"/>
      <c r="V585" s="314"/>
      <c r="W585" s="313"/>
      <c r="X585" s="313"/>
      <c r="Y585" s="314"/>
      <c r="Z585" s="335"/>
      <c r="AA585" s="313"/>
      <c r="AB585" s="324"/>
      <c r="AC585" s="155"/>
      <c r="AD585" s="155"/>
      <c r="AE585" s="322"/>
      <c r="AF585" s="132"/>
      <c r="AG585" s="132"/>
    </row>
    <row r="586">
      <c r="A586" s="311"/>
      <c r="B586" s="313"/>
      <c r="C586" s="313"/>
      <c r="D586" s="313"/>
      <c r="E586" s="314"/>
      <c r="F586" s="314"/>
      <c r="G586" s="314"/>
      <c r="H586" s="314"/>
      <c r="I586" s="314"/>
      <c r="J586" s="314"/>
      <c r="K586" s="314"/>
      <c r="L586" s="314"/>
      <c r="M586" s="314"/>
      <c r="N586" s="314"/>
      <c r="O586" s="314"/>
      <c r="P586" s="314"/>
      <c r="Q586" s="314"/>
      <c r="R586" s="314"/>
      <c r="S586" s="314"/>
      <c r="T586" s="314"/>
      <c r="U586" s="314"/>
      <c r="V586" s="314"/>
      <c r="W586" s="313"/>
      <c r="X586" s="313"/>
      <c r="Y586" s="314"/>
      <c r="Z586" s="335"/>
      <c r="AA586" s="313"/>
      <c r="AB586" s="324"/>
      <c r="AC586" s="155"/>
      <c r="AD586" s="155"/>
      <c r="AE586" s="322"/>
      <c r="AF586" s="132"/>
      <c r="AG586" s="132"/>
    </row>
    <row r="587">
      <c r="A587" s="311"/>
      <c r="B587" s="313"/>
      <c r="C587" s="313"/>
      <c r="D587" s="313"/>
      <c r="E587" s="314"/>
      <c r="F587" s="314"/>
      <c r="G587" s="314"/>
      <c r="H587" s="314"/>
      <c r="I587" s="314"/>
      <c r="J587" s="314"/>
      <c r="K587" s="314"/>
      <c r="L587" s="314"/>
      <c r="M587" s="314"/>
      <c r="N587" s="314"/>
      <c r="O587" s="314"/>
      <c r="P587" s="314"/>
      <c r="Q587" s="314"/>
      <c r="R587" s="314"/>
      <c r="S587" s="314"/>
      <c r="T587" s="314"/>
      <c r="U587" s="314"/>
      <c r="V587" s="314"/>
      <c r="W587" s="313"/>
      <c r="X587" s="313"/>
      <c r="Y587" s="314"/>
      <c r="Z587" s="335"/>
      <c r="AA587" s="313"/>
      <c r="AB587" s="324"/>
      <c r="AC587" s="155"/>
      <c r="AD587" s="155"/>
      <c r="AE587" s="322"/>
      <c r="AF587" s="132"/>
      <c r="AG587" s="132"/>
    </row>
    <row r="588">
      <c r="A588" s="311"/>
      <c r="B588" s="313"/>
      <c r="C588" s="313"/>
      <c r="D588" s="313"/>
      <c r="E588" s="314"/>
      <c r="F588" s="314"/>
      <c r="G588" s="314"/>
      <c r="H588" s="314"/>
      <c r="I588" s="314"/>
      <c r="J588" s="314"/>
      <c r="K588" s="314"/>
      <c r="L588" s="314"/>
      <c r="M588" s="314"/>
      <c r="N588" s="314"/>
      <c r="O588" s="314"/>
      <c r="P588" s="314"/>
      <c r="Q588" s="314"/>
      <c r="R588" s="314"/>
      <c r="S588" s="314"/>
      <c r="T588" s="314"/>
      <c r="U588" s="314"/>
      <c r="V588" s="314"/>
      <c r="W588" s="313"/>
      <c r="X588" s="313"/>
      <c r="Y588" s="314"/>
      <c r="Z588" s="335"/>
      <c r="AA588" s="313"/>
      <c r="AB588" s="324"/>
      <c r="AC588" s="155"/>
      <c r="AD588" s="155"/>
      <c r="AE588" s="322"/>
      <c r="AF588" s="132"/>
      <c r="AG588" s="132"/>
    </row>
    <row r="589">
      <c r="A589" s="311"/>
      <c r="B589" s="313"/>
      <c r="C589" s="313"/>
      <c r="D589" s="313"/>
      <c r="E589" s="314"/>
      <c r="F589" s="314"/>
      <c r="G589" s="314"/>
      <c r="H589" s="314"/>
      <c r="I589" s="314"/>
      <c r="J589" s="314"/>
      <c r="K589" s="314"/>
      <c r="L589" s="314"/>
      <c r="M589" s="314"/>
      <c r="N589" s="314"/>
      <c r="O589" s="314"/>
      <c r="P589" s="314"/>
      <c r="Q589" s="314"/>
      <c r="R589" s="314"/>
      <c r="S589" s="314"/>
      <c r="T589" s="314"/>
      <c r="U589" s="314"/>
      <c r="V589" s="314"/>
      <c r="W589" s="313"/>
      <c r="X589" s="313"/>
      <c r="Y589" s="314"/>
      <c r="Z589" s="335"/>
      <c r="AA589" s="313"/>
      <c r="AB589" s="324"/>
      <c r="AC589" s="155"/>
      <c r="AD589" s="155"/>
      <c r="AE589" s="322"/>
      <c r="AF589" s="132"/>
      <c r="AG589" s="132"/>
    </row>
    <row r="590">
      <c r="A590" s="311"/>
      <c r="B590" s="313"/>
      <c r="C590" s="313"/>
      <c r="D590" s="313"/>
      <c r="E590" s="314"/>
      <c r="F590" s="314"/>
      <c r="G590" s="314"/>
      <c r="H590" s="314"/>
      <c r="I590" s="314"/>
      <c r="J590" s="314"/>
      <c r="K590" s="314"/>
      <c r="L590" s="314"/>
      <c r="M590" s="314"/>
      <c r="N590" s="314"/>
      <c r="O590" s="314"/>
      <c r="P590" s="314"/>
      <c r="Q590" s="314"/>
      <c r="R590" s="314"/>
      <c r="S590" s="314"/>
      <c r="T590" s="314"/>
      <c r="U590" s="314"/>
      <c r="V590" s="314"/>
      <c r="W590" s="313"/>
      <c r="X590" s="313"/>
      <c r="Y590" s="314"/>
      <c r="Z590" s="335"/>
      <c r="AA590" s="313"/>
      <c r="AB590" s="324"/>
      <c r="AC590" s="155"/>
      <c r="AD590" s="155"/>
      <c r="AE590" s="322"/>
      <c r="AF590" s="132"/>
      <c r="AG590" s="132"/>
    </row>
    <row r="591">
      <c r="A591" s="311"/>
      <c r="B591" s="313"/>
      <c r="C591" s="313"/>
      <c r="D591" s="313"/>
      <c r="E591" s="314"/>
      <c r="F591" s="314"/>
      <c r="G591" s="314"/>
      <c r="H591" s="314"/>
      <c r="I591" s="314"/>
      <c r="J591" s="314"/>
      <c r="K591" s="314"/>
      <c r="L591" s="314"/>
      <c r="M591" s="314"/>
      <c r="N591" s="314"/>
      <c r="O591" s="314"/>
      <c r="P591" s="314"/>
      <c r="Q591" s="314"/>
      <c r="R591" s="314"/>
      <c r="S591" s="314"/>
      <c r="T591" s="314"/>
      <c r="U591" s="314"/>
      <c r="V591" s="314"/>
      <c r="W591" s="313"/>
      <c r="X591" s="313"/>
      <c r="Y591" s="314"/>
      <c r="Z591" s="335"/>
      <c r="AA591" s="313"/>
      <c r="AB591" s="324"/>
      <c r="AC591" s="155"/>
      <c r="AD591" s="155"/>
      <c r="AE591" s="322"/>
      <c r="AF591" s="132"/>
      <c r="AG591" s="132"/>
    </row>
    <row r="592">
      <c r="A592" s="311"/>
      <c r="B592" s="313"/>
      <c r="C592" s="313"/>
      <c r="D592" s="313"/>
      <c r="E592" s="314"/>
      <c r="F592" s="314"/>
      <c r="G592" s="314"/>
      <c r="H592" s="314"/>
      <c r="I592" s="314"/>
      <c r="J592" s="314"/>
      <c r="K592" s="314"/>
      <c r="L592" s="314"/>
      <c r="M592" s="314"/>
      <c r="N592" s="314"/>
      <c r="O592" s="314"/>
      <c r="P592" s="314"/>
      <c r="Q592" s="314"/>
      <c r="R592" s="314"/>
      <c r="S592" s="314"/>
      <c r="T592" s="314"/>
      <c r="U592" s="314"/>
      <c r="V592" s="314"/>
      <c r="W592" s="313"/>
      <c r="X592" s="313"/>
      <c r="Y592" s="314"/>
      <c r="Z592" s="335"/>
      <c r="AA592" s="313"/>
      <c r="AB592" s="324"/>
      <c r="AC592" s="155"/>
      <c r="AD592" s="155"/>
      <c r="AE592" s="322"/>
      <c r="AF592" s="132"/>
      <c r="AG592" s="132"/>
    </row>
    <row r="593">
      <c r="A593" s="311"/>
      <c r="B593" s="313"/>
      <c r="C593" s="313"/>
      <c r="D593" s="313"/>
      <c r="E593" s="314"/>
      <c r="F593" s="314"/>
      <c r="G593" s="314"/>
      <c r="H593" s="314"/>
      <c r="I593" s="314"/>
      <c r="J593" s="314"/>
      <c r="K593" s="314"/>
      <c r="L593" s="314"/>
      <c r="M593" s="314"/>
      <c r="N593" s="314"/>
      <c r="O593" s="314"/>
      <c r="P593" s="314"/>
      <c r="Q593" s="314"/>
      <c r="R593" s="314"/>
      <c r="S593" s="314"/>
      <c r="T593" s="314"/>
      <c r="U593" s="314"/>
      <c r="V593" s="314"/>
      <c r="W593" s="313"/>
      <c r="X593" s="313"/>
      <c r="Y593" s="314"/>
      <c r="Z593" s="335"/>
      <c r="AA593" s="313"/>
      <c r="AB593" s="324"/>
      <c r="AC593" s="155"/>
      <c r="AD593" s="155"/>
      <c r="AE593" s="322"/>
      <c r="AF593" s="132"/>
      <c r="AG593" s="132"/>
    </row>
    <row r="594">
      <c r="A594" s="311"/>
      <c r="B594" s="313"/>
      <c r="C594" s="313"/>
      <c r="D594" s="313"/>
      <c r="E594" s="314"/>
      <c r="F594" s="314"/>
      <c r="G594" s="314"/>
      <c r="H594" s="314"/>
      <c r="I594" s="314"/>
      <c r="J594" s="314"/>
      <c r="K594" s="314"/>
      <c r="L594" s="314"/>
      <c r="M594" s="314"/>
      <c r="N594" s="314"/>
      <c r="O594" s="314"/>
      <c r="P594" s="314"/>
      <c r="Q594" s="314"/>
      <c r="R594" s="314"/>
      <c r="S594" s="314"/>
      <c r="T594" s="314"/>
      <c r="U594" s="314"/>
      <c r="V594" s="314"/>
      <c r="W594" s="313"/>
      <c r="X594" s="313"/>
      <c r="Y594" s="314"/>
      <c r="Z594" s="335"/>
      <c r="AA594" s="313"/>
      <c r="AB594" s="324"/>
      <c r="AC594" s="155"/>
      <c r="AD594" s="155"/>
      <c r="AE594" s="322"/>
      <c r="AF594" s="132"/>
      <c r="AG594" s="132"/>
    </row>
    <row r="595">
      <c r="A595" s="311"/>
      <c r="B595" s="313"/>
      <c r="C595" s="313"/>
      <c r="D595" s="313"/>
      <c r="E595" s="314"/>
      <c r="F595" s="314"/>
      <c r="G595" s="314"/>
      <c r="H595" s="314"/>
      <c r="I595" s="314"/>
      <c r="J595" s="314"/>
      <c r="K595" s="314"/>
      <c r="L595" s="314"/>
      <c r="M595" s="314"/>
      <c r="N595" s="314"/>
      <c r="O595" s="314"/>
      <c r="P595" s="314"/>
      <c r="Q595" s="314"/>
      <c r="R595" s="314"/>
      <c r="S595" s="314"/>
      <c r="T595" s="314"/>
      <c r="U595" s="314"/>
      <c r="V595" s="314"/>
      <c r="W595" s="313"/>
      <c r="X595" s="313"/>
      <c r="Y595" s="314"/>
      <c r="Z595" s="335"/>
      <c r="AA595" s="313"/>
      <c r="AB595" s="324"/>
      <c r="AC595" s="155"/>
      <c r="AD595" s="155"/>
      <c r="AE595" s="322"/>
      <c r="AF595" s="132"/>
      <c r="AG595" s="132"/>
    </row>
    <row r="596">
      <c r="A596" s="311"/>
      <c r="B596" s="313"/>
      <c r="C596" s="313"/>
      <c r="D596" s="313"/>
      <c r="E596" s="314"/>
      <c r="F596" s="314"/>
      <c r="G596" s="314"/>
      <c r="H596" s="314"/>
      <c r="I596" s="314"/>
      <c r="J596" s="314"/>
      <c r="K596" s="314"/>
      <c r="L596" s="314"/>
      <c r="M596" s="314"/>
      <c r="N596" s="314"/>
      <c r="O596" s="314"/>
      <c r="P596" s="314"/>
      <c r="Q596" s="314"/>
      <c r="R596" s="314"/>
      <c r="S596" s="314"/>
      <c r="T596" s="314"/>
      <c r="U596" s="314"/>
      <c r="V596" s="314"/>
      <c r="W596" s="313"/>
      <c r="X596" s="313"/>
      <c r="Y596" s="314"/>
      <c r="Z596" s="335"/>
      <c r="AA596" s="313"/>
      <c r="AB596" s="324"/>
      <c r="AC596" s="155"/>
      <c r="AD596" s="155"/>
      <c r="AE596" s="322"/>
      <c r="AF596" s="132"/>
      <c r="AG596" s="132"/>
    </row>
    <row r="597">
      <c r="A597" s="311"/>
      <c r="B597" s="313"/>
      <c r="C597" s="313"/>
      <c r="D597" s="313"/>
      <c r="E597" s="314"/>
      <c r="F597" s="314"/>
      <c r="G597" s="314"/>
      <c r="H597" s="314"/>
      <c r="I597" s="314"/>
      <c r="J597" s="314"/>
      <c r="K597" s="314"/>
      <c r="L597" s="314"/>
      <c r="M597" s="314"/>
      <c r="N597" s="314"/>
      <c r="O597" s="314"/>
      <c r="P597" s="314"/>
      <c r="Q597" s="314"/>
      <c r="R597" s="314"/>
      <c r="S597" s="314"/>
      <c r="T597" s="314"/>
      <c r="U597" s="314"/>
      <c r="V597" s="314"/>
      <c r="W597" s="313"/>
      <c r="X597" s="313"/>
      <c r="Y597" s="314"/>
      <c r="Z597" s="335"/>
      <c r="AA597" s="313"/>
      <c r="AB597" s="324"/>
      <c r="AC597" s="155"/>
      <c r="AD597" s="155"/>
      <c r="AE597" s="322"/>
      <c r="AF597" s="132"/>
      <c r="AG597" s="132"/>
    </row>
    <row r="598">
      <c r="A598" s="311"/>
      <c r="B598" s="313"/>
      <c r="C598" s="313"/>
      <c r="D598" s="313"/>
      <c r="E598" s="314"/>
      <c r="F598" s="314"/>
      <c r="G598" s="314"/>
      <c r="H598" s="314"/>
      <c r="I598" s="314"/>
      <c r="J598" s="314"/>
      <c r="K598" s="314"/>
      <c r="L598" s="314"/>
      <c r="M598" s="314"/>
      <c r="N598" s="314"/>
      <c r="O598" s="314"/>
      <c r="P598" s="314"/>
      <c r="Q598" s="314"/>
      <c r="R598" s="314"/>
      <c r="S598" s="314"/>
      <c r="T598" s="314"/>
      <c r="U598" s="314"/>
      <c r="V598" s="314"/>
      <c r="W598" s="313"/>
      <c r="X598" s="313"/>
      <c r="Y598" s="314"/>
      <c r="Z598" s="335"/>
      <c r="AA598" s="313"/>
      <c r="AB598" s="324"/>
      <c r="AC598" s="155"/>
      <c r="AD598" s="155"/>
      <c r="AE598" s="322"/>
      <c r="AF598" s="132"/>
      <c r="AG598" s="132"/>
    </row>
    <row r="599">
      <c r="A599" s="311"/>
      <c r="B599" s="313"/>
      <c r="C599" s="313"/>
      <c r="D599" s="313"/>
      <c r="E599" s="314"/>
      <c r="F599" s="314"/>
      <c r="G599" s="314"/>
      <c r="H599" s="314"/>
      <c r="I599" s="314"/>
      <c r="J599" s="314"/>
      <c r="K599" s="314"/>
      <c r="L599" s="314"/>
      <c r="M599" s="314"/>
      <c r="N599" s="314"/>
      <c r="O599" s="314"/>
      <c r="P599" s="314"/>
      <c r="Q599" s="314"/>
      <c r="R599" s="314"/>
      <c r="S599" s="314"/>
      <c r="T599" s="314"/>
      <c r="U599" s="314"/>
      <c r="V599" s="314"/>
      <c r="W599" s="313"/>
      <c r="X599" s="313"/>
      <c r="Y599" s="314"/>
      <c r="Z599" s="335"/>
      <c r="AA599" s="313"/>
      <c r="AB599" s="324"/>
      <c r="AC599" s="155"/>
      <c r="AD599" s="155"/>
      <c r="AE599" s="322"/>
      <c r="AF599" s="132"/>
      <c r="AG599" s="132"/>
    </row>
    <row r="600">
      <c r="A600" s="311"/>
      <c r="B600" s="313"/>
      <c r="C600" s="313"/>
      <c r="D600" s="313"/>
      <c r="E600" s="314"/>
      <c r="F600" s="314"/>
      <c r="G600" s="314"/>
      <c r="H600" s="314"/>
      <c r="I600" s="314"/>
      <c r="J600" s="314"/>
      <c r="K600" s="314"/>
      <c r="L600" s="314"/>
      <c r="M600" s="314"/>
      <c r="N600" s="314"/>
      <c r="O600" s="314"/>
      <c r="P600" s="314"/>
      <c r="Q600" s="314"/>
      <c r="R600" s="314"/>
      <c r="S600" s="314"/>
      <c r="T600" s="314"/>
      <c r="U600" s="314"/>
      <c r="V600" s="314"/>
      <c r="W600" s="313"/>
      <c r="X600" s="313"/>
      <c r="Y600" s="314"/>
      <c r="Z600" s="335"/>
      <c r="AA600" s="313"/>
      <c r="AB600" s="324"/>
      <c r="AC600" s="155"/>
      <c r="AD600" s="155"/>
      <c r="AE600" s="322"/>
      <c r="AF600" s="132"/>
      <c r="AG600" s="132"/>
    </row>
    <row r="601">
      <c r="A601" s="311"/>
      <c r="B601" s="313"/>
      <c r="C601" s="313"/>
      <c r="D601" s="313"/>
      <c r="E601" s="314"/>
      <c r="F601" s="314"/>
      <c r="G601" s="314"/>
      <c r="H601" s="314"/>
      <c r="I601" s="314"/>
      <c r="J601" s="314"/>
      <c r="K601" s="314"/>
      <c r="L601" s="314"/>
      <c r="M601" s="314"/>
      <c r="N601" s="314"/>
      <c r="O601" s="314"/>
      <c r="P601" s="314"/>
      <c r="Q601" s="314"/>
      <c r="R601" s="314"/>
      <c r="S601" s="314"/>
      <c r="T601" s="314"/>
      <c r="U601" s="314"/>
      <c r="V601" s="314"/>
      <c r="W601" s="313"/>
      <c r="X601" s="313"/>
      <c r="Y601" s="314"/>
      <c r="Z601" s="335"/>
      <c r="AA601" s="313"/>
      <c r="AB601" s="324"/>
      <c r="AC601" s="155"/>
      <c r="AD601" s="155"/>
      <c r="AE601" s="322"/>
      <c r="AF601" s="132"/>
      <c r="AG601" s="132"/>
    </row>
    <row r="602">
      <c r="A602" s="311"/>
      <c r="B602" s="313"/>
      <c r="C602" s="313"/>
      <c r="D602" s="313"/>
      <c r="E602" s="314"/>
      <c r="F602" s="314"/>
      <c r="G602" s="314"/>
      <c r="H602" s="314"/>
      <c r="I602" s="314"/>
      <c r="J602" s="314"/>
      <c r="K602" s="314"/>
      <c r="L602" s="314"/>
      <c r="M602" s="314"/>
      <c r="N602" s="314"/>
      <c r="O602" s="314"/>
      <c r="P602" s="314"/>
      <c r="Q602" s="314"/>
      <c r="R602" s="314"/>
      <c r="S602" s="314"/>
      <c r="T602" s="314"/>
      <c r="U602" s="314"/>
      <c r="V602" s="314"/>
      <c r="W602" s="313"/>
      <c r="X602" s="313"/>
      <c r="Y602" s="314"/>
      <c r="Z602" s="335"/>
      <c r="AA602" s="313"/>
      <c r="AB602" s="324"/>
      <c r="AC602" s="155"/>
      <c r="AD602" s="155"/>
      <c r="AE602" s="322"/>
      <c r="AF602" s="132"/>
      <c r="AG602" s="132"/>
    </row>
    <row r="603">
      <c r="A603" s="311"/>
      <c r="B603" s="313"/>
      <c r="C603" s="313"/>
      <c r="D603" s="313"/>
      <c r="E603" s="314"/>
      <c r="F603" s="314"/>
      <c r="G603" s="314"/>
      <c r="H603" s="314"/>
      <c r="I603" s="314"/>
      <c r="J603" s="314"/>
      <c r="K603" s="314"/>
      <c r="L603" s="314"/>
      <c r="M603" s="314"/>
      <c r="N603" s="314"/>
      <c r="O603" s="314"/>
      <c r="P603" s="314"/>
      <c r="Q603" s="314"/>
      <c r="R603" s="314"/>
      <c r="S603" s="314"/>
      <c r="T603" s="314"/>
      <c r="U603" s="314"/>
      <c r="V603" s="314"/>
      <c r="W603" s="313"/>
      <c r="X603" s="313"/>
      <c r="Y603" s="314"/>
      <c r="Z603" s="335"/>
      <c r="AA603" s="313"/>
      <c r="AB603" s="324"/>
      <c r="AC603" s="155"/>
      <c r="AD603" s="155"/>
      <c r="AE603" s="322"/>
      <c r="AF603" s="132"/>
      <c r="AG603" s="132"/>
    </row>
    <row r="604">
      <c r="A604" s="311"/>
      <c r="B604" s="313"/>
      <c r="C604" s="313"/>
      <c r="D604" s="313"/>
      <c r="E604" s="314"/>
      <c r="F604" s="314"/>
      <c r="G604" s="314"/>
      <c r="H604" s="314"/>
      <c r="I604" s="314"/>
      <c r="J604" s="314"/>
      <c r="K604" s="314"/>
      <c r="L604" s="314"/>
      <c r="M604" s="314"/>
      <c r="N604" s="314"/>
      <c r="O604" s="314"/>
      <c r="P604" s="314"/>
      <c r="Q604" s="314"/>
      <c r="R604" s="314"/>
      <c r="S604" s="314"/>
      <c r="T604" s="314"/>
      <c r="U604" s="314"/>
      <c r="V604" s="314"/>
      <c r="W604" s="313"/>
      <c r="X604" s="313"/>
      <c r="Y604" s="314"/>
      <c r="Z604" s="335"/>
      <c r="AA604" s="313"/>
      <c r="AB604" s="324"/>
      <c r="AC604" s="155"/>
      <c r="AD604" s="155"/>
      <c r="AE604" s="322"/>
      <c r="AF604" s="132"/>
      <c r="AG604" s="132"/>
    </row>
    <row r="605">
      <c r="A605" s="311"/>
      <c r="B605" s="313"/>
      <c r="C605" s="313"/>
      <c r="D605" s="313"/>
      <c r="E605" s="314"/>
      <c r="F605" s="314"/>
      <c r="G605" s="314"/>
      <c r="H605" s="314"/>
      <c r="I605" s="314"/>
      <c r="J605" s="314"/>
      <c r="K605" s="314"/>
      <c r="L605" s="314"/>
      <c r="M605" s="314"/>
      <c r="N605" s="314"/>
      <c r="O605" s="314"/>
      <c r="P605" s="314"/>
      <c r="Q605" s="314"/>
      <c r="R605" s="314"/>
      <c r="S605" s="314"/>
      <c r="T605" s="314"/>
      <c r="U605" s="314"/>
      <c r="V605" s="314"/>
      <c r="W605" s="313"/>
      <c r="X605" s="313"/>
      <c r="Y605" s="314"/>
      <c r="Z605" s="335"/>
      <c r="AA605" s="313"/>
      <c r="AB605" s="324"/>
      <c r="AC605" s="155"/>
      <c r="AD605" s="155"/>
      <c r="AE605" s="322"/>
      <c r="AF605" s="132"/>
      <c r="AG605" s="132"/>
    </row>
    <row r="606">
      <c r="A606" s="311"/>
      <c r="B606" s="313"/>
      <c r="C606" s="313"/>
      <c r="D606" s="313"/>
      <c r="E606" s="314"/>
      <c r="F606" s="314"/>
      <c r="G606" s="314"/>
      <c r="H606" s="314"/>
      <c r="I606" s="314"/>
      <c r="J606" s="314"/>
      <c r="K606" s="314"/>
      <c r="L606" s="314"/>
      <c r="M606" s="314"/>
      <c r="N606" s="314"/>
      <c r="O606" s="314"/>
      <c r="P606" s="314"/>
      <c r="Q606" s="314"/>
      <c r="R606" s="314"/>
      <c r="S606" s="314"/>
      <c r="T606" s="314"/>
      <c r="U606" s="314"/>
      <c r="V606" s="314"/>
      <c r="W606" s="313"/>
      <c r="X606" s="313"/>
      <c r="Y606" s="314"/>
      <c r="Z606" s="335"/>
      <c r="AA606" s="313"/>
      <c r="AB606" s="324"/>
      <c r="AC606" s="155"/>
      <c r="AD606" s="155"/>
      <c r="AE606" s="322"/>
      <c r="AF606" s="132"/>
      <c r="AG606" s="132"/>
    </row>
    <row r="607">
      <c r="A607" s="311"/>
      <c r="B607" s="313"/>
      <c r="C607" s="313"/>
      <c r="D607" s="313"/>
      <c r="E607" s="314"/>
      <c r="F607" s="314"/>
      <c r="G607" s="314"/>
      <c r="H607" s="314"/>
      <c r="I607" s="314"/>
      <c r="J607" s="314"/>
      <c r="K607" s="314"/>
      <c r="L607" s="314"/>
      <c r="M607" s="314"/>
      <c r="N607" s="314"/>
      <c r="O607" s="314"/>
      <c r="P607" s="314"/>
      <c r="Q607" s="314"/>
      <c r="R607" s="314"/>
      <c r="S607" s="314"/>
      <c r="T607" s="314"/>
      <c r="U607" s="314"/>
      <c r="V607" s="314"/>
      <c r="W607" s="313"/>
      <c r="X607" s="313"/>
      <c r="Y607" s="314"/>
      <c r="Z607" s="335"/>
      <c r="AA607" s="313"/>
      <c r="AB607" s="324"/>
      <c r="AC607" s="155"/>
      <c r="AD607" s="155"/>
      <c r="AE607" s="322"/>
      <c r="AF607" s="132"/>
      <c r="AG607" s="132"/>
    </row>
    <row r="608">
      <c r="A608" s="311"/>
      <c r="B608" s="313"/>
      <c r="C608" s="313"/>
      <c r="D608" s="313"/>
      <c r="E608" s="314"/>
      <c r="F608" s="314"/>
      <c r="G608" s="314"/>
      <c r="H608" s="314"/>
      <c r="I608" s="314"/>
      <c r="J608" s="314"/>
      <c r="K608" s="314"/>
      <c r="L608" s="314"/>
      <c r="M608" s="314"/>
      <c r="N608" s="314"/>
      <c r="O608" s="314"/>
      <c r="P608" s="314"/>
      <c r="Q608" s="314"/>
      <c r="R608" s="314"/>
      <c r="S608" s="314"/>
      <c r="T608" s="314"/>
      <c r="U608" s="314"/>
      <c r="V608" s="314"/>
      <c r="W608" s="313"/>
      <c r="X608" s="313"/>
      <c r="Y608" s="314"/>
      <c r="Z608" s="335"/>
      <c r="AA608" s="313"/>
      <c r="AB608" s="324"/>
      <c r="AC608" s="155"/>
      <c r="AD608" s="155"/>
      <c r="AE608" s="322"/>
      <c r="AF608" s="132"/>
      <c r="AG608" s="132"/>
    </row>
    <row r="609">
      <c r="A609" s="311"/>
      <c r="B609" s="313"/>
      <c r="C609" s="313"/>
      <c r="D609" s="313"/>
      <c r="E609" s="314"/>
      <c r="F609" s="314"/>
      <c r="G609" s="314"/>
      <c r="H609" s="314"/>
      <c r="I609" s="314"/>
      <c r="J609" s="314"/>
      <c r="K609" s="314"/>
      <c r="L609" s="314"/>
      <c r="M609" s="314"/>
      <c r="N609" s="314"/>
      <c r="O609" s="314"/>
      <c r="P609" s="314"/>
      <c r="Q609" s="314"/>
      <c r="R609" s="314"/>
      <c r="S609" s="314"/>
      <c r="T609" s="314"/>
      <c r="U609" s="314"/>
      <c r="V609" s="314"/>
      <c r="W609" s="313"/>
      <c r="X609" s="313"/>
      <c r="Y609" s="314"/>
      <c r="Z609" s="335"/>
      <c r="AA609" s="313"/>
      <c r="AB609" s="324"/>
      <c r="AC609" s="155"/>
      <c r="AD609" s="155"/>
      <c r="AE609" s="322"/>
      <c r="AF609" s="132"/>
      <c r="AG609" s="132"/>
    </row>
    <row r="610">
      <c r="A610" s="311"/>
      <c r="B610" s="313"/>
      <c r="C610" s="313"/>
      <c r="D610" s="313"/>
      <c r="E610" s="314"/>
      <c r="F610" s="314"/>
      <c r="G610" s="314"/>
      <c r="H610" s="314"/>
      <c r="I610" s="314"/>
      <c r="J610" s="314"/>
      <c r="K610" s="314"/>
      <c r="L610" s="314"/>
      <c r="M610" s="314"/>
      <c r="N610" s="314"/>
      <c r="O610" s="314"/>
      <c r="P610" s="314"/>
      <c r="Q610" s="314"/>
      <c r="R610" s="314"/>
      <c r="S610" s="314"/>
      <c r="T610" s="314"/>
      <c r="U610" s="314"/>
      <c r="V610" s="314"/>
      <c r="W610" s="313"/>
      <c r="X610" s="313"/>
      <c r="Y610" s="314"/>
      <c r="Z610" s="335"/>
      <c r="AA610" s="313"/>
      <c r="AB610" s="324"/>
      <c r="AC610" s="155"/>
      <c r="AD610" s="155"/>
      <c r="AE610" s="322"/>
      <c r="AF610" s="132"/>
      <c r="AG610" s="132"/>
    </row>
    <row r="611">
      <c r="A611" s="311"/>
      <c r="B611" s="313"/>
      <c r="C611" s="313"/>
      <c r="D611" s="313"/>
      <c r="E611" s="314"/>
      <c r="F611" s="314"/>
      <c r="G611" s="314"/>
      <c r="H611" s="314"/>
      <c r="I611" s="314"/>
      <c r="J611" s="314"/>
      <c r="K611" s="314"/>
      <c r="L611" s="314"/>
      <c r="M611" s="314"/>
      <c r="N611" s="314"/>
      <c r="O611" s="314"/>
      <c r="P611" s="314"/>
      <c r="Q611" s="314"/>
      <c r="R611" s="314"/>
      <c r="S611" s="314"/>
      <c r="T611" s="314"/>
      <c r="U611" s="314"/>
      <c r="V611" s="314"/>
      <c r="W611" s="313"/>
      <c r="X611" s="313"/>
      <c r="Y611" s="314"/>
      <c r="Z611" s="335"/>
      <c r="AA611" s="313"/>
      <c r="AB611" s="324"/>
      <c r="AC611" s="155"/>
      <c r="AD611" s="155"/>
      <c r="AE611" s="322"/>
      <c r="AF611" s="132"/>
      <c r="AG611" s="132"/>
    </row>
    <row r="612">
      <c r="A612" s="311"/>
      <c r="B612" s="313"/>
      <c r="C612" s="313"/>
      <c r="D612" s="313"/>
      <c r="E612" s="314"/>
      <c r="F612" s="314"/>
      <c r="G612" s="314"/>
      <c r="H612" s="314"/>
      <c r="I612" s="314"/>
      <c r="J612" s="314"/>
      <c r="K612" s="314"/>
      <c r="L612" s="314"/>
      <c r="M612" s="314"/>
      <c r="N612" s="314"/>
      <c r="O612" s="314"/>
      <c r="P612" s="314"/>
      <c r="Q612" s="314"/>
      <c r="R612" s="314"/>
      <c r="S612" s="314"/>
      <c r="T612" s="314"/>
      <c r="U612" s="314"/>
      <c r="V612" s="314"/>
      <c r="W612" s="313"/>
      <c r="X612" s="313"/>
      <c r="Y612" s="314"/>
      <c r="Z612" s="335"/>
      <c r="AA612" s="313"/>
      <c r="AB612" s="324"/>
      <c r="AC612" s="155"/>
      <c r="AD612" s="155"/>
      <c r="AE612" s="322"/>
      <c r="AF612" s="132"/>
      <c r="AG612" s="132"/>
    </row>
    <row r="613">
      <c r="A613" s="311"/>
      <c r="B613" s="313"/>
      <c r="C613" s="313"/>
      <c r="D613" s="313"/>
      <c r="E613" s="314"/>
      <c r="F613" s="314"/>
      <c r="G613" s="314"/>
      <c r="H613" s="314"/>
      <c r="I613" s="314"/>
      <c r="J613" s="314"/>
      <c r="K613" s="314"/>
      <c r="L613" s="314"/>
      <c r="M613" s="314"/>
      <c r="N613" s="314"/>
      <c r="O613" s="314"/>
      <c r="P613" s="314"/>
      <c r="Q613" s="314"/>
      <c r="R613" s="314"/>
      <c r="S613" s="314"/>
      <c r="T613" s="314"/>
      <c r="U613" s="314"/>
      <c r="V613" s="314"/>
      <c r="W613" s="313"/>
      <c r="X613" s="313"/>
      <c r="Y613" s="314"/>
      <c r="Z613" s="335"/>
      <c r="AA613" s="313"/>
      <c r="AB613" s="324"/>
      <c r="AC613" s="155"/>
      <c r="AD613" s="155"/>
      <c r="AE613" s="322"/>
      <c r="AF613" s="132"/>
      <c r="AG613" s="132"/>
    </row>
    <row r="614">
      <c r="A614" s="311"/>
      <c r="B614" s="313"/>
      <c r="C614" s="313"/>
      <c r="D614" s="313"/>
      <c r="E614" s="314"/>
      <c r="F614" s="314"/>
      <c r="G614" s="314"/>
      <c r="H614" s="314"/>
      <c r="I614" s="314"/>
      <c r="J614" s="314"/>
      <c r="K614" s="314"/>
      <c r="L614" s="314"/>
      <c r="M614" s="314"/>
      <c r="N614" s="314"/>
      <c r="O614" s="314"/>
      <c r="P614" s="314"/>
      <c r="Q614" s="314"/>
      <c r="R614" s="314"/>
      <c r="S614" s="314"/>
      <c r="T614" s="314"/>
      <c r="U614" s="314"/>
      <c r="V614" s="314"/>
      <c r="W614" s="313"/>
      <c r="X614" s="313"/>
      <c r="Y614" s="314"/>
      <c r="Z614" s="335"/>
      <c r="AA614" s="313"/>
      <c r="AB614" s="324"/>
      <c r="AC614" s="155"/>
      <c r="AD614" s="155"/>
      <c r="AE614" s="322"/>
      <c r="AF614" s="132"/>
      <c r="AG614" s="132"/>
    </row>
    <row r="615">
      <c r="A615" s="311"/>
      <c r="B615" s="313"/>
      <c r="C615" s="313"/>
      <c r="D615" s="313"/>
      <c r="E615" s="314"/>
      <c r="F615" s="314"/>
      <c r="G615" s="314"/>
      <c r="H615" s="314"/>
      <c r="I615" s="314"/>
      <c r="J615" s="314"/>
      <c r="K615" s="314"/>
      <c r="L615" s="314"/>
      <c r="M615" s="314"/>
      <c r="N615" s="314"/>
      <c r="O615" s="314"/>
      <c r="P615" s="314"/>
      <c r="Q615" s="314"/>
      <c r="R615" s="314"/>
      <c r="S615" s="314"/>
      <c r="T615" s="314"/>
      <c r="U615" s="314"/>
      <c r="V615" s="314"/>
      <c r="W615" s="313"/>
      <c r="X615" s="313"/>
      <c r="Y615" s="314"/>
      <c r="Z615" s="335"/>
      <c r="AA615" s="313"/>
      <c r="AB615" s="324"/>
      <c r="AC615" s="155"/>
      <c r="AD615" s="155"/>
      <c r="AE615" s="322"/>
      <c r="AF615" s="132"/>
      <c r="AG615" s="132"/>
    </row>
    <row r="616">
      <c r="A616" s="311"/>
      <c r="B616" s="313"/>
      <c r="C616" s="313"/>
      <c r="D616" s="313"/>
      <c r="E616" s="314"/>
      <c r="F616" s="314"/>
      <c r="G616" s="314"/>
      <c r="H616" s="314"/>
      <c r="I616" s="314"/>
      <c r="J616" s="314"/>
      <c r="K616" s="314"/>
      <c r="L616" s="314"/>
      <c r="M616" s="314"/>
      <c r="N616" s="314"/>
      <c r="O616" s="314"/>
      <c r="P616" s="314"/>
      <c r="Q616" s="314"/>
      <c r="R616" s="314"/>
      <c r="S616" s="314"/>
      <c r="T616" s="314"/>
      <c r="U616" s="314"/>
      <c r="V616" s="314"/>
      <c r="W616" s="313"/>
      <c r="X616" s="313"/>
      <c r="Y616" s="314"/>
      <c r="Z616" s="335"/>
      <c r="AA616" s="313"/>
      <c r="AB616" s="324"/>
      <c r="AC616" s="155"/>
      <c r="AD616" s="155"/>
      <c r="AE616" s="322"/>
      <c r="AF616" s="132"/>
      <c r="AG616" s="132"/>
    </row>
    <row r="617">
      <c r="A617" s="311"/>
      <c r="B617" s="313"/>
      <c r="C617" s="313"/>
      <c r="D617" s="313"/>
      <c r="E617" s="314"/>
      <c r="F617" s="314"/>
      <c r="G617" s="314"/>
      <c r="H617" s="314"/>
      <c r="I617" s="314"/>
      <c r="J617" s="314"/>
      <c r="K617" s="314"/>
      <c r="L617" s="314"/>
      <c r="M617" s="314"/>
      <c r="N617" s="314"/>
      <c r="O617" s="314"/>
      <c r="P617" s="314"/>
      <c r="Q617" s="314"/>
      <c r="R617" s="314"/>
      <c r="S617" s="314"/>
      <c r="T617" s="314"/>
      <c r="U617" s="314"/>
      <c r="V617" s="314"/>
      <c r="W617" s="313"/>
      <c r="X617" s="313"/>
      <c r="Y617" s="314"/>
      <c r="Z617" s="335"/>
      <c r="AA617" s="313"/>
      <c r="AB617" s="324"/>
      <c r="AC617" s="155"/>
      <c r="AD617" s="155"/>
      <c r="AE617" s="322"/>
      <c r="AF617" s="132"/>
      <c r="AG617" s="132"/>
    </row>
    <row r="618">
      <c r="A618" s="311"/>
      <c r="B618" s="313"/>
      <c r="C618" s="313"/>
      <c r="D618" s="313"/>
      <c r="E618" s="314"/>
      <c r="F618" s="314"/>
      <c r="G618" s="314"/>
      <c r="H618" s="314"/>
      <c r="I618" s="314"/>
      <c r="J618" s="314"/>
      <c r="K618" s="314"/>
      <c r="L618" s="314"/>
      <c r="M618" s="314"/>
      <c r="N618" s="314"/>
      <c r="O618" s="314"/>
      <c r="P618" s="314"/>
      <c r="Q618" s="314"/>
      <c r="R618" s="314"/>
      <c r="S618" s="314"/>
      <c r="T618" s="314"/>
      <c r="U618" s="314"/>
      <c r="V618" s="314"/>
      <c r="W618" s="313"/>
      <c r="X618" s="313"/>
      <c r="Y618" s="314"/>
      <c r="Z618" s="335"/>
      <c r="AA618" s="313"/>
      <c r="AB618" s="324"/>
      <c r="AC618" s="155"/>
      <c r="AD618" s="155"/>
      <c r="AE618" s="322"/>
      <c r="AF618" s="132"/>
      <c r="AG618" s="132"/>
    </row>
    <row r="619">
      <c r="A619" s="311"/>
      <c r="B619" s="313"/>
      <c r="C619" s="313"/>
      <c r="D619" s="313"/>
      <c r="E619" s="314"/>
      <c r="F619" s="314"/>
      <c r="G619" s="314"/>
      <c r="H619" s="314"/>
      <c r="I619" s="314"/>
      <c r="J619" s="314"/>
      <c r="K619" s="314"/>
      <c r="L619" s="314"/>
      <c r="M619" s="314"/>
      <c r="N619" s="314"/>
      <c r="O619" s="314"/>
      <c r="P619" s="314"/>
      <c r="Q619" s="314"/>
      <c r="R619" s="314"/>
      <c r="S619" s="314"/>
      <c r="T619" s="314"/>
      <c r="U619" s="314"/>
      <c r="V619" s="314"/>
      <c r="W619" s="313"/>
      <c r="X619" s="313"/>
      <c r="Y619" s="314"/>
      <c r="Z619" s="335"/>
      <c r="AA619" s="313"/>
      <c r="AB619" s="324"/>
      <c r="AC619" s="155"/>
      <c r="AD619" s="155"/>
      <c r="AE619" s="322"/>
      <c r="AF619" s="132"/>
      <c r="AG619" s="132"/>
    </row>
    <row r="620">
      <c r="A620" s="311"/>
      <c r="B620" s="313"/>
      <c r="C620" s="313"/>
      <c r="D620" s="313"/>
      <c r="E620" s="314"/>
      <c r="F620" s="314"/>
      <c r="G620" s="314"/>
      <c r="H620" s="314"/>
      <c r="I620" s="314"/>
      <c r="J620" s="314"/>
      <c r="K620" s="314"/>
      <c r="L620" s="314"/>
      <c r="M620" s="314"/>
      <c r="N620" s="314"/>
      <c r="O620" s="314"/>
      <c r="P620" s="314"/>
      <c r="Q620" s="314"/>
      <c r="R620" s="314"/>
      <c r="S620" s="314"/>
      <c r="T620" s="314"/>
      <c r="U620" s="314"/>
      <c r="V620" s="314"/>
      <c r="W620" s="313"/>
      <c r="X620" s="313"/>
      <c r="Y620" s="314"/>
      <c r="Z620" s="335"/>
      <c r="AA620" s="313"/>
      <c r="AB620" s="324"/>
      <c r="AC620" s="155"/>
      <c r="AD620" s="155"/>
      <c r="AE620" s="322"/>
      <c r="AF620" s="132"/>
      <c r="AG620" s="132"/>
    </row>
    <row r="621">
      <c r="A621" s="311"/>
      <c r="B621" s="313"/>
      <c r="C621" s="313"/>
      <c r="D621" s="313"/>
      <c r="E621" s="314"/>
      <c r="F621" s="314"/>
      <c r="G621" s="314"/>
      <c r="H621" s="314"/>
      <c r="I621" s="314"/>
      <c r="J621" s="314"/>
      <c r="K621" s="314"/>
      <c r="L621" s="314"/>
      <c r="M621" s="314"/>
      <c r="N621" s="314"/>
      <c r="O621" s="314"/>
      <c r="P621" s="314"/>
      <c r="Q621" s="314"/>
      <c r="R621" s="314"/>
      <c r="S621" s="314"/>
      <c r="T621" s="314"/>
      <c r="U621" s="314"/>
      <c r="V621" s="314"/>
      <c r="W621" s="313"/>
      <c r="X621" s="313"/>
      <c r="Y621" s="314"/>
      <c r="Z621" s="335"/>
      <c r="AA621" s="313"/>
      <c r="AB621" s="324"/>
      <c r="AC621" s="155"/>
      <c r="AD621" s="155"/>
      <c r="AE621" s="322"/>
      <c r="AF621" s="132"/>
      <c r="AG621" s="132"/>
    </row>
    <row r="622">
      <c r="A622" s="311"/>
      <c r="B622" s="313"/>
      <c r="C622" s="313"/>
      <c r="D622" s="313"/>
      <c r="E622" s="314"/>
      <c r="F622" s="314"/>
      <c r="G622" s="314"/>
      <c r="H622" s="314"/>
      <c r="I622" s="314"/>
      <c r="J622" s="314"/>
      <c r="K622" s="314"/>
      <c r="L622" s="314"/>
      <c r="M622" s="314"/>
      <c r="N622" s="314"/>
      <c r="O622" s="314"/>
      <c r="P622" s="314"/>
      <c r="Q622" s="314"/>
      <c r="R622" s="314"/>
      <c r="S622" s="314"/>
      <c r="T622" s="314"/>
      <c r="U622" s="314"/>
      <c r="V622" s="314"/>
      <c r="W622" s="313"/>
      <c r="X622" s="313"/>
      <c r="Y622" s="314"/>
      <c r="Z622" s="335"/>
      <c r="AA622" s="313"/>
      <c r="AB622" s="324"/>
      <c r="AC622" s="155"/>
      <c r="AD622" s="155"/>
      <c r="AE622" s="322"/>
      <c r="AF622" s="132"/>
      <c r="AG622" s="132"/>
    </row>
    <row r="623">
      <c r="A623" s="311"/>
      <c r="B623" s="313"/>
      <c r="C623" s="313"/>
      <c r="D623" s="313"/>
      <c r="E623" s="314"/>
      <c r="F623" s="314"/>
      <c r="G623" s="314"/>
      <c r="H623" s="314"/>
      <c r="I623" s="314"/>
      <c r="J623" s="314"/>
      <c r="K623" s="314"/>
      <c r="L623" s="314"/>
      <c r="M623" s="314"/>
      <c r="N623" s="314"/>
      <c r="O623" s="314"/>
      <c r="P623" s="314"/>
      <c r="Q623" s="314"/>
      <c r="R623" s="314"/>
      <c r="S623" s="314"/>
      <c r="T623" s="314"/>
      <c r="U623" s="314"/>
      <c r="V623" s="314"/>
      <c r="W623" s="313"/>
      <c r="X623" s="313"/>
      <c r="Y623" s="314"/>
      <c r="Z623" s="335"/>
      <c r="AA623" s="313"/>
      <c r="AB623" s="324"/>
      <c r="AC623" s="155"/>
      <c r="AD623" s="155"/>
      <c r="AE623" s="322"/>
      <c r="AF623" s="132"/>
      <c r="AG623" s="132"/>
    </row>
    <row r="624">
      <c r="A624" s="311"/>
      <c r="B624" s="313"/>
      <c r="C624" s="313"/>
      <c r="D624" s="313"/>
      <c r="E624" s="314"/>
      <c r="F624" s="314"/>
      <c r="G624" s="314"/>
      <c r="H624" s="314"/>
      <c r="I624" s="314"/>
      <c r="J624" s="314"/>
      <c r="K624" s="314"/>
      <c r="L624" s="314"/>
      <c r="M624" s="314"/>
      <c r="N624" s="314"/>
      <c r="O624" s="314"/>
      <c r="P624" s="314"/>
      <c r="Q624" s="314"/>
      <c r="R624" s="314"/>
      <c r="S624" s="314"/>
      <c r="T624" s="314"/>
      <c r="U624" s="314"/>
      <c r="V624" s="314"/>
      <c r="W624" s="313"/>
      <c r="X624" s="313"/>
      <c r="Y624" s="314"/>
      <c r="Z624" s="335"/>
      <c r="AA624" s="313"/>
      <c r="AB624" s="324"/>
      <c r="AC624" s="155"/>
      <c r="AD624" s="155"/>
      <c r="AE624" s="322"/>
      <c r="AF624" s="132"/>
      <c r="AG624" s="132"/>
    </row>
    <row r="625">
      <c r="A625" s="311"/>
      <c r="B625" s="313"/>
      <c r="C625" s="313"/>
      <c r="D625" s="313"/>
      <c r="E625" s="314"/>
      <c r="F625" s="314"/>
      <c r="G625" s="314"/>
      <c r="H625" s="314"/>
      <c r="I625" s="314"/>
      <c r="J625" s="314"/>
      <c r="K625" s="314"/>
      <c r="L625" s="314"/>
      <c r="M625" s="314"/>
      <c r="N625" s="314"/>
      <c r="O625" s="314"/>
      <c r="P625" s="314"/>
      <c r="Q625" s="314"/>
      <c r="R625" s="314"/>
      <c r="S625" s="314"/>
      <c r="T625" s="314"/>
      <c r="U625" s="314"/>
      <c r="V625" s="314"/>
      <c r="W625" s="313"/>
      <c r="X625" s="313"/>
      <c r="Y625" s="314"/>
      <c r="Z625" s="335"/>
      <c r="AA625" s="313"/>
      <c r="AB625" s="324"/>
      <c r="AC625" s="155"/>
      <c r="AD625" s="155"/>
      <c r="AE625" s="322"/>
      <c r="AF625" s="132"/>
      <c r="AG625" s="132"/>
    </row>
    <row r="626">
      <c r="A626" s="311"/>
      <c r="B626" s="313"/>
      <c r="C626" s="313"/>
      <c r="D626" s="313"/>
      <c r="E626" s="314"/>
      <c r="F626" s="314"/>
      <c r="G626" s="314"/>
      <c r="H626" s="314"/>
      <c r="I626" s="314"/>
      <c r="J626" s="314"/>
      <c r="K626" s="314"/>
      <c r="L626" s="314"/>
      <c r="M626" s="314"/>
      <c r="N626" s="314"/>
      <c r="O626" s="314"/>
      <c r="P626" s="314"/>
      <c r="Q626" s="314"/>
      <c r="R626" s="314"/>
      <c r="S626" s="314"/>
      <c r="T626" s="314"/>
      <c r="U626" s="314"/>
      <c r="V626" s="314"/>
      <c r="W626" s="313"/>
      <c r="X626" s="313"/>
      <c r="Y626" s="314"/>
      <c r="Z626" s="335"/>
      <c r="AA626" s="313"/>
      <c r="AB626" s="324"/>
      <c r="AC626" s="155"/>
      <c r="AD626" s="155"/>
      <c r="AE626" s="322"/>
      <c r="AF626" s="132"/>
      <c r="AG626" s="132"/>
    </row>
    <row r="627">
      <c r="A627" s="311"/>
      <c r="B627" s="313"/>
      <c r="C627" s="313"/>
      <c r="D627" s="313"/>
      <c r="E627" s="314"/>
      <c r="F627" s="314"/>
      <c r="G627" s="314"/>
      <c r="H627" s="314"/>
      <c r="I627" s="314"/>
      <c r="J627" s="314"/>
      <c r="K627" s="314"/>
      <c r="L627" s="314"/>
      <c r="M627" s="314"/>
      <c r="N627" s="314"/>
      <c r="O627" s="314"/>
      <c r="P627" s="314"/>
      <c r="Q627" s="314"/>
      <c r="R627" s="314"/>
      <c r="S627" s="314"/>
      <c r="T627" s="314"/>
      <c r="U627" s="314"/>
      <c r="V627" s="314"/>
      <c r="W627" s="313"/>
      <c r="X627" s="313"/>
      <c r="Y627" s="314"/>
      <c r="Z627" s="335"/>
      <c r="AA627" s="313"/>
      <c r="AB627" s="324"/>
      <c r="AC627" s="155"/>
      <c r="AD627" s="155"/>
      <c r="AE627" s="322"/>
      <c r="AF627" s="132"/>
      <c r="AG627" s="132"/>
    </row>
    <row r="628">
      <c r="A628" s="311"/>
      <c r="B628" s="313"/>
      <c r="C628" s="313"/>
      <c r="D628" s="313"/>
      <c r="E628" s="314"/>
      <c r="F628" s="314"/>
      <c r="G628" s="314"/>
      <c r="H628" s="314"/>
      <c r="I628" s="314"/>
      <c r="J628" s="314"/>
      <c r="K628" s="314"/>
      <c r="L628" s="314"/>
      <c r="M628" s="314"/>
      <c r="N628" s="314"/>
      <c r="O628" s="314"/>
      <c r="P628" s="314"/>
      <c r="Q628" s="314"/>
      <c r="R628" s="314"/>
      <c r="S628" s="314"/>
      <c r="T628" s="314"/>
      <c r="U628" s="314"/>
      <c r="V628" s="314"/>
      <c r="W628" s="313"/>
      <c r="X628" s="313"/>
      <c r="Y628" s="314"/>
      <c r="Z628" s="335"/>
      <c r="AA628" s="313"/>
      <c r="AB628" s="324"/>
      <c r="AC628" s="155"/>
      <c r="AD628" s="155"/>
      <c r="AE628" s="322"/>
      <c r="AF628" s="132"/>
      <c r="AG628" s="132"/>
    </row>
    <row r="629">
      <c r="A629" s="311"/>
      <c r="B629" s="313"/>
      <c r="C629" s="313"/>
      <c r="D629" s="313"/>
      <c r="E629" s="314"/>
      <c r="F629" s="314"/>
      <c r="G629" s="314"/>
      <c r="H629" s="314"/>
      <c r="I629" s="314"/>
      <c r="J629" s="314"/>
      <c r="K629" s="314"/>
      <c r="L629" s="314"/>
      <c r="M629" s="314"/>
      <c r="N629" s="314"/>
      <c r="O629" s="314"/>
      <c r="P629" s="314"/>
      <c r="Q629" s="314"/>
      <c r="R629" s="314"/>
      <c r="S629" s="314"/>
      <c r="T629" s="314"/>
      <c r="U629" s="314"/>
      <c r="V629" s="314"/>
      <c r="W629" s="313"/>
      <c r="X629" s="313"/>
      <c r="Y629" s="314"/>
      <c r="Z629" s="335"/>
      <c r="AA629" s="313"/>
      <c r="AB629" s="324"/>
      <c r="AC629" s="155"/>
      <c r="AD629" s="155"/>
      <c r="AE629" s="322"/>
      <c r="AF629" s="132"/>
      <c r="AG629" s="132"/>
    </row>
    <row r="630">
      <c r="A630" s="311"/>
      <c r="B630" s="313"/>
      <c r="C630" s="313"/>
      <c r="D630" s="313"/>
      <c r="E630" s="314"/>
      <c r="F630" s="314"/>
      <c r="G630" s="314"/>
      <c r="H630" s="314"/>
      <c r="I630" s="314"/>
      <c r="J630" s="314"/>
      <c r="K630" s="314"/>
      <c r="L630" s="314"/>
      <c r="M630" s="314"/>
      <c r="N630" s="314"/>
      <c r="O630" s="314"/>
      <c r="P630" s="314"/>
      <c r="Q630" s="314"/>
      <c r="R630" s="314"/>
      <c r="S630" s="314"/>
      <c r="T630" s="314"/>
      <c r="U630" s="314"/>
      <c r="V630" s="314"/>
      <c r="W630" s="313"/>
      <c r="X630" s="313"/>
      <c r="Y630" s="314"/>
      <c r="Z630" s="335"/>
      <c r="AA630" s="313"/>
      <c r="AB630" s="324"/>
      <c r="AC630" s="155"/>
      <c r="AD630" s="155"/>
      <c r="AE630" s="322"/>
      <c r="AF630" s="132"/>
      <c r="AG630" s="132"/>
    </row>
    <row r="631">
      <c r="A631" s="311"/>
      <c r="B631" s="313"/>
      <c r="C631" s="313"/>
      <c r="D631" s="313"/>
      <c r="E631" s="314"/>
      <c r="F631" s="314"/>
      <c r="G631" s="314"/>
      <c r="H631" s="314"/>
      <c r="I631" s="314"/>
      <c r="J631" s="314"/>
      <c r="K631" s="314"/>
      <c r="L631" s="314"/>
      <c r="M631" s="314"/>
      <c r="N631" s="314"/>
      <c r="O631" s="314"/>
      <c r="P631" s="314"/>
      <c r="Q631" s="314"/>
      <c r="R631" s="314"/>
      <c r="S631" s="314"/>
      <c r="T631" s="314"/>
      <c r="U631" s="314"/>
      <c r="V631" s="314"/>
      <c r="W631" s="313"/>
      <c r="X631" s="313"/>
      <c r="Y631" s="314"/>
      <c r="Z631" s="335"/>
      <c r="AA631" s="313"/>
      <c r="AB631" s="324"/>
      <c r="AC631" s="155"/>
      <c r="AD631" s="155"/>
      <c r="AE631" s="322"/>
      <c r="AF631" s="132"/>
      <c r="AG631" s="132"/>
    </row>
    <row r="632">
      <c r="A632" s="311"/>
      <c r="B632" s="313"/>
      <c r="C632" s="313"/>
      <c r="D632" s="313"/>
      <c r="E632" s="314"/>
      <c r="F632" s="314"/>
      <c r="G632" s="314"/>
      <c r="H632" s="314"/>
      <c r="I632" s="314"/>
      <c r="J632" s="314"/>
      <c r="K632" s="314"/>
      <c r="L632" s="314"/>
      <c r="M632" s="314"/>
      <c r="N632" s="314"/>
      <c r="O632" s="314"/>
      <c r="P632" s="314"/>
      <c r="Q632" s="314"/>
      <c r="R632" s="314"/>
      <c r="S632" s="314"/>
      <c r="T632" s="314"/>
      <c r="U632" s="314"/>
      <c r="V632" s="314"/>
      <c r="W632" s="313"/>
      <c r="X632" s="313"/>
      <c r="Y632" s="314"/>
      <c r="Z632" s="335"/>
      <c r="AA632" s="313"/>
      <c r="AB632" s="324"/>
      <c r="AC632" s="155"/>
      <c r="AD632" s="155"/>
      <c r="AE632" s="322"/>
      <c r="AF632" s="132"/>
      <c r="AG632" s="132"/>
    </row>
    <row r="633">
      <c r="A633" s="311"/>
      <c r="B633" s="313"/>
      <c r="C633" s="313"/>
      <c r="D633" s="313"/>
      <c r="E633" s="314"/>
      <c r="F633" s="314"/>
      <c r="G633" s="314"/>
      <c r="H633" s="314"/>
      <c r="I633" s="314"/>
      <c r="J633" s="314"/>
      <c r="K633" s="314"/>
      <c r="L633" s="314"/>
      <c r="M633" s="314"/>
      <c r="N633" s="314"/>
      <c r="O633" s="314"/>
      <c r="P633" s="314"/>
      <c r="Q633" s="314"/>
      <c r="R633" s="314"/>
      <c r="S633" s="314"/>
      <c r="T633" s="314"/>
      <c r="U633" s="314"/>
      <c r="V633" s="314"/>
      <c r="W633" s="313"/>
      <c r="X633" s="313"/>
      <c r="Y633" s="314"/>
      <c r="Z633" s="335"/>
      <c r="AA633" s="313"/>
      <c r="AB633" s="324"/>
      <c r="AC633" s="155"/>
      <c r="AD633" s="155"/>
      <c r="AE633" s="322"/>
      <c r="AF633" s="132"/>
      <c r="AG633" s="132"/>
    </row>
    <row r="634">
      <c r="A634" s="311"/>
      <c r="B634" s="313"/>
      <c r="C634" s="313"/>
      <c r="D634" s="313"/>
      <c r="E634" s="314"/>
      <c r="F634" s="314"/>
      <c r="G634" s="314"/>
      <c r="H634" s="314"/>
      <c r="I634" s="314"/>
      <c r="J634" s="314"/>
      <c r="K634" s="314"/>
      <c r="L634" s="314"/>
      <c r="M634" s="314"/>
      <c r="N634" s="314"/>
      <c r="O634" s="314"/>
      <c r="P634" s="314"/>
      <c r="Q634" s="314"/>
      <c r="R634" s="314"/>
      <c r="S634" s="314"/>
      <c r="T634" s="314"/>
      <c r="U634" s="314"/>
      <c r="V634" s="314"/>
      <c r="W634" s="313"/>
      <c r="X634" s="313"/>
      <c r="Y634" s="314"/>
      <c r="Z634" s="335"/>
      <c r="AA634" s="313"/>
      <c r="AB634" s="324"/>
      <c r="AC634" s="155"/>
      <c r="AD634" s="155"/>
      <c r="AE634" s="322"/>
      <c r="AF634" s="132"/>
      <c r="AG634" s="132"/>
    </row>
    <row r="635">
      <c r="A635" s="311"/>
      <c r="B635" s="313"/>
      <c r="C635" s="313"/>
      <c r="D635" s="313"/>
      <c r="E635" s="314"/>
      <c r="F635" s="314"/>
      <c r="G635" s="314"/>
      <c r="H635" s="314"/>
      <c r="I635" s="314"/>
      <c r="J635" s="314"/>
      <c r="K635" s="314"/>
      <c r="L635" s="314"/>
      <c r="M635" s="314"/>
      <c r="N635" s="314"/>
      <c r="O635" s="314"/>
      <c r="P635" s="314"/>
      <c r="Q635" s="314"/>
      <c r="R635" s="314"/>
      <c r="S635" s="314"/>
      <c r="T635" s="314"/>
      <c r="U635" s="314"/>
      <c r="V635" s="314"/>
      <c r="W635" s="313"/>
      <c r="X635" s="313"/>
      <c r="Y635" s="314"/>
      <c r="Z635" s="335"/>
      <c r="AA635" s="313"/>
      <c r="AB635" s="324"/>
      <c r="AC635" s="155"/>
      <c r="AD635" s="155"/>
      <c r="AE635" s="322"/>
      <c r="AF635" s="132"/>
      <c r="AG635" s="132"/>
    </row>
    <row r="636">
      <c r="A636" s="311"/>
      <c r="B636" s="313"/>
      <c r="C636" s="313"/>
      <c r="D636" s="313"/>
      <c r="E636" s="314"/>
      <c r="F636" s="314"/>
      <c r="G636" s="314"/>
      <c r="H636" s="314"/>
      <c r="I636" s="314"/>
      <c r="J636" s="314"/>
      <c r="K636" s="314"/>
      <c r="L636" s="314"/>
      <c r="M636" s="314"/>
      <c r="N636" s="314"/>
      <c r="O636" s="314"/>
      <c r="P636" s="314"/>
      <c r="Q636" s="314"/>
      <c r="R636" s="314"/>
      <c r="S636" s="314"/>
      <c r="T636" s="314"/>
      <c r="U636" s="314"/>
      <c r="V636" s="314"/>
      <c r="W636" s="313"/>
      <c r="X636" s="313"/>
      <c r="Y636" s="314"/>
      <c r="Z636" s="335"/>
      <c r="AA636" s="313"/>
      <c r="AB636" s="324"/>
      <c r="AC636" s="155"/>
      <c r="AD636" s="155"/>
      <c r="AE636" s="322"/>
      <c r="AF636" s="132"/>
      <c r="AG636" s="132"/>
    </row>
    <row r="637">
      <c r="A637" s="311"/>
      <c r="B637" s="313"/>
      <c r="C637" s="313"/>
      <c r="D637" s="313"/>
      <c r="E637" s="314"/>
      <c r="F637" s="314"/>
      <c r="G637" s="314"/>
      <c r="H637" s="314"/>
      <c r="I637" s="314"/>
      <c r="J637" s="314"/>
      <c r="K637" s="314"/>
      <c r="L637" s="314"/>
      <c r="M637" s="314"/>
      <c r="N637" s="314"/>
      <c r="O637" s="314"/>
      <c r="P637" s="314"/>
      <c r="Q637" s="314"/>
      <c r="R637" s="314"/>
      <c r="S637" s="314"/>
      <c r="T637" s="314"/>
      <c r="U637" s="314"/>
      <c r="V637" s="314"/>
      <c r="W637" s="313"/>
      <c r="X637" s="313"/>
      <c r="Y637" s="314"/>
      <c r="Z637" s="335"/>
      <c r="AA637" s="313"/>
      <c r="AB637" s="324"/>
      <c r="AC637" s="155"/>
      <c r="AD637" s="155"/>
      <c r="AE637" s="322"/>
      <c r="AF637" s="132"/>
      <c r="AG637" s="132"/>
    </row>
    <row r="638">
      <c r="A638" s="311"/>
      <c r="B638" s="313"/>
      <c r="C638" s="313"/>
      <c r="D638" s="313"/>
      <c r="E638" s="314"/>
      <c r="F638" s="314"/>
      <c r="G638" s="314"/>
      <c r="H638" s="314"/>
      <c r="I638" s="314"/>
      <c r="J638" s="314"/>
      <c r="K638" s="314"/>
      <c r="L638" s="314"/>
      <c r="M638" s="314"/>
      <c r="N638" s="314"/>
      <c r="O638" s="314"/>
      <c r="P638" s="314"/>
      <c r="Q638" s="314"/>
      <c r="R638" s="314"/>
      <c r="S638" s="314"/>
      <c r="T638" s="314"/>
      <c r="U638" s="314"/>
      <c r="V638" s="314"/>
      <c r="W638" s="313"/>
      <c r="X638" s="313"/>
      <c r="Y638" s="314"/>
      <c r="Z638" s="335"/>
      <c r="AA638" s="313"/>
      <c r="AB638" s="324"/>
      <c r="AC638" s="155"/>
      <c r="AD638" s="155"/>
      <c r="AE638" s="322"/>
      <c r="AF638" s="132"/>
      <c r="AG638" s="132"/>
    </row>
    <row r="639">
      <c r="A639" s="311"/>
      <c r="B639" s="313"/>
      <c r="C639" s="313"/>
      <c r="D639" s="313"/>
      <c r="E639" s="314"/>
      <c r="F639" s="314"/>
      <c r="G639" s="314"/>
      <c r="H639" s="314"/>
      <c r="I639" s="314"/>
      <c r="J639" s="314"/>
      <c r="K639" s="314"/>
      <c r="L639" s="314"/>
      <c r="M639" s="314"/>
      <c r="N639" s="314"/>
      <c r="O639" s="314"/>
      <c r="P639" s="314"/>
      <c r="Q639" s="314"/>
      <c r="R639" s="314"/>
      <c r="S639" s="314"/>
      <c r="T639" s="314"/>
      <c r="U639" s="314"/>
      <c r="V639" s="314"/>
      <c r="W639" s="313"/>
      <c r="X639" s="313"/>
      <c r="Y639" s="314"/>
      <c r="Z639" s="335"/>
      <c r="AA639" s="313"/>
      <c r="AB639" s="324"/>
      <c r="AC639" s="155"/>
      <c r="AD639" s="155"/>
      <c r="AE639" s="322"/>
      <c r="AF639" s="132"/>
      <c r="AG639" s="132"/>
    </row>
    <row r="640">
      <c r="A640" s="311"/>
      <c r="B640" s="313"/>
      <c r="C640" s="313"/>
      <c r="D640" s="313"/>
      <c r="E640" s="314"/>
      <c r="F640" s="314"/>
      <c r="G640" s="314"/>
      <c r="H640" s="314"/>
      <c r="I640" s="314"/>
      <c r="J640" s="314"/>
      <c r="K640" s="314"/>
      <c r="L640" s="314"/>
      <c r="M640" s="314"/>
      <c r="N640" s="314"/>
      <c r="O640" s="314"/>
      <c r="P640" s="314"/>
      <c r="Q640" s="314"/>
      <c r="R640" s="314"/>
      <c r="S640" s="314"/>
      <c r="T640" s="314"/>
      <c r="U640" s="314"/>
      <c r="V640" s="314"/>
      <c r="W640" s="313"/>
      <c r="X640" s="313"/>
      <c r="Y640" s="314"/>
      <c r="Z640" s="335"/>
      <c r="AA640" s="313"/>
      <c r="AB640" s="324"/>
      <c r="AC640" s="155"/>
      <c r="AD640" s="155"/>
      <c r="AE640" s="322"/>
      <c r="AF640" s="132"/>
      <c r="AG640" s="132"/>
    </row>
    <row r="641">
      <c r="A641" s="311"/>
      <c r="B641" s="313"/>
      <c r="C641" s="313"/>
      <c r="D641" s="313"/>
      <c r="E641" s="314"/>
      <c r="F641" s="314"/>
      <c r="G641" s="314"/>
      <c r="H641" s="314"/>
      <c r="I641" s="314"/>
      <c r="J641" s="314"/>
      <c r="K641" s="314"/>
      <c r="L641" s="314"/>
      <c r="M641" s="314"/>
      <c r="N641" s="314"/>
      <c r="O641" s="314"/>
      <c r="P641" s="314"/>
      <c r="Q641" s="314"/>
      <c r="R641" s="314"/>
      <c r="S641" s="314"/>
      <c r="T641" s="314"/>
      <c r="U641" s="314"/>
      <c r="V641" s="314"/>
      <c r="W641" s="313"/>
      <c r="X641" s="313"/>
      <c r="Y641" s="314"/>
      <c r="Z641" s="335"/>
      <c r="AA641" s="313"/>
      <c r="AB641" s="324"/>
      <c r="AC641" s="155"/>
      <c r="AD641" s="155"/>
      <c r="AE641" s="322"/>
      <c r="AF641" s="132"/>
      <c r="AG641" s="132"/>
    </row>
    <row r="642">
      <c r="A642" s="311"/>
      <c r="B642" s="313"/>
      <c r="C642" s="313"/>
      <c r="D642" s="313"/>
      <c r="E642" s="314"/>
      <c r="F642" s="314"/>
      <c r="G642" s="314"/>
      <c r="H642" s="314"/>
      <c r="I642" s="314"/>
      <c r="J642" s="314"/>
      <c r="K642" s="314"/>
      <c r="L642" s="314"/>
      <c r="M642" s="314"/>
      <c r="N642" s="314"/>
      <c r="O642" s="314"/>
      <c r="P642" s="314"/>
      <c r="Q642" s="314"/>
      <c r="R642" s="314"/>
      <c r="S642" s="314"/>
      <c r="T642" s="314"/>
      <c r="U642" s="314"/>
      <c r="V642" s="314"/>
      <c r="W642" s="313"/>
      <c r="X642" s="313"/>
      <c r="Y642" s="314"/>
      <c r="Z642" s="335"/>
      <c r="AA642" s="313"/>
      <c r="AB642" s="324"/>
      <c r="AC642" s="155"/>
      <c r="AD642" s="155"/>
      <c r="AE642" s="322"/>
      <c r="AF642" s="132"/>
      <c r="AG642" s="132"/>
    </row>
    <row r="643">
      <c r="A643" s="311"/>
      <c r="B643" s="313"/>
      <c r="C643" s="313"/>
      <c r="D643" s="313"/>
      <c r="E643" s="314"/>
      <c r="F643" s="314"/>
      <c r="G643" s="314"/>
      <c r="H643" s="314"/>
      <c r="I643" s="314"/>
      <c r="J643" s="314"/>
      <c r="K643" s="314"/>
      <c r="L643" s="314"/>
      <c r="M643" s="314"/>
      <c r="N643" s="314"/>
      <c r="O643" s="314"/>
      <c r="P643" s="314"/>
      <c r="Q643" s="314"/>
      <c r="R643" s="314"/>
      <c r="S643" s="314"/>
      <c r="T643" s="314"/>
      <c r="U643" s="314"/>
      <c r="V643" s="314"/>
      <c r="W643" s="313"/>
      <c r="X643" s="313"/>
      <c r="Y643" s="314"/>
      <c r="Z643" s="335"/>
      <c r="AA643" s="313"/>
      <c r="AB643" s="324"/>
      <c r="AC643" s="155"/>
      <c r="AD643" s="155"/>
      <c r="AE643" s="322"/>
      <c r="AF643" s="132"/>
      <c r="AG643" s="132"/>
    </row>
    <row r="644">
      <c r="A644" s="311"/>
      <c r="B644" s="313"/>
      <c r="C644" s="313"/>
      <c r="D644" s="313"/>
      <c r="E644" s="314"/>
      <c r="F644" s="314"/>
      <c r="G644" s="314"/>
      <c r="H644" s="314"/>
      <c r="I644" s="314"/>
      <c r="J644" s="314"/>
      <c r="K644" s="314"/>
      <c r="L644" s="314"/>
      <c r="M644" s="314"/>
      <c r="N644" s="314"/>
      <c r="O644" s="314"/>
      <c r="P644" s="314"/>
      <c r="Q644" s="314"/>
      <c r="R644" s="314"/>
      <c r="S644" s="314"/>
      <c r="T644" s="314"/>
      <c r="U644" s="314"/>
      <c r="V644" s="314"/>
      <c r="W644" s="313"/>
      <c r="X644" s="313"/>
      <c r="Y644" s="314"/>
      <c r="Z644" s="335"/>
      <c r="AA644" s="313"/>
      <c r="AB644" s="324"/>
      <c r="AC644" s="155"/>
      <c r="AD644" s="155"/>
      <c r="AE644" s="322"/>
      <c r="AF644" s="132"/>
      <c r="AG644" s="132"/>
    </row>
    <row r="645">
      <c r="A645" s="311"/>
      <c r="B645" s="313"/>
      <c r="C645" s="313"/>
      <c r="D645" s="313"/>
      <c r="E645" s="314"/>
      <c r="F645" s="314"/>
      <c r="G645" s="314"/>
      <c r="H645" s="314"/>
      <c r="I645" s="314"/>
      <c r="J645" s="314"/>
      <c r="K645" s="314"/>
      <c r="L645" s="314"/>
      <c r="M645" s="314"/>
      <c r="N645" s="314"/>
      <c r="O645" s="314"/>
      <c r="P645" s="314"/>
      <c r="Q645" s="314"/>
      <c r="R645" s="314"/>
      <c r="S645" s="314"/>
      <c r="T645" s="314"/>
      <c r="U645" s="314"/>
      <c r="V645" s="314"/>
      <c r="W645" s="313"/>
      <c r="X645" s="313"/>
      <c r="Y645" s="314"/>
      <c r="Z645" s="335"/>
      <c r="AA645" s="313"/>
      <c r="AB645" s="324"/>
      <c r="AC645" s="155"/>
      <c r="AD645" s="155"/>
      <c r="AE645" s="322"/>
      <c r="AF645" s="132"/>
      <c r="AG645" s="132"/>
    </row>
    <row r="646">
      <c r="A646" s="311"/>
      <c r="B646" s="313"/>
      <c r="C646" s="313"/>
      <c r="D646" s="313"/>
      <c r="E646" s="314"/>
      <c r="F646" s="314"/>
      <c r="G646" s="314"/>
      <c r="H646" s="314"/>
      <c r="I646" s="314"/>
      <c r="J646" s="314"/>
      <c r="K646" s="314"/>
      <c r="L646" s="314"/>
      <c r="M646" s="314"/>
      <c r="N646" s="314"/>
      <c r="O646" s="314"/>
      <c r="P646" s="314"/>
      <c r="Q646" s="314"/>
      <c r="R646" s="314"/>
      <c r="S646" s="314"/>
      <c r="T646" s="314"/>
      <c r="U646" s="314"/>
      <c r="V646" s="314"/>
      <c r="W646" s="313"/>
      <c r="X646" s="313"/>
      <c r="Y646" s="314"/>
      <c r="Z646" s="335"/>
      <c r="AA646" s="313"/>
      <c r="AB646" s="324"/>
      <c r="AC646" s="155"/>
      <c r="AD646" s="155"/>
      <c r="AE646" s="322"/>
      <c r="AF646" s="132"/>
      <c r="AG646" s="132"/>
    </row>
    <row r="647">
      <c r="A647" s="311"/>
      <c r="B647" s="313"/>
      <c r="C647" s="313"/>
      <c r="D647" s="313"/>
      <c r="E647" s="314"/>
      <c r="F647" s="314"/>
      <c r="G647" s="314"/>
      <c r="H647" s="314"/>
      <c r="I647" s="314"/>
      <c r="J647" s="314"/>
      <c r="K647" s="314"/>
      <c r="L647" s="314"/>
      <c r="M647" s="314"/>
      <c r="N647" s="314"/>
      <c r="O647" s="314"/>
      <c r="P647" s="314"/>
      <c r="Q647" s="314"/>
      <c r="R647" s="314"/>
      <c r="S647" s="314"/>
      <c r="T647" s="314"/>
      <c r="U647" s="314"/>
      <c r="V647" s="314"/>
      <c r="W647" s="313"/>
      <c r="X647" s="313"/>
      <c r="Y647" s="314"/>
      <c r="Z647" s="335"/>
      <c r="AA647" s="313"/>
      <c r="AB647" s="324"/>
      <c r="AC647" s="155"/>
      <c r="AD647" s="155"/>
      <c r="AE647" s="322"/>
      <c r="AF647" s="132"/>
      <c r="AG647" s="132"/>
    </row>
    <row r="648">
      <c r="A648" s="311"/>
      <c r="B648" s="313"/>
      <c r="C648" s="313"/>
      <c r="D648" s="313"/>
      <c r="E648" s="314"/>
      <c r="F648" s="314"/>
      <c r="G648" s="314"/>
      <c r="H648" s="314"/>
      <c r="I648" s="314"/>
      <c r="J648" s="314"/>
      <c r="K648" s="314"/>
      <c r="L648" s="314"/>
      <c r="M648" s="314"/>
      <c r="N648" s="314"/>
      <c r="O648" s="314"/>
      <c r="P648" s="314"/>
      <c r="Q648" s="314"/>
      <c r="R648" s="314"/>
      <c r="S648" s="314"/>
      <c r="T648" s="314"/>
      <c r="U648" s="314"/>
      <c r="V648" s="314"/>
      <c r="W648" s="313"/>
      <c r="X648" s="313"/>
      <c r="Y648" s="314"/>
      <c r="Z648" s="335"/>
      <c r="AA648" s="313"/>
      <c r="AB648" s="324"/>
      <c r="AC648" s="155"/>
      <c r="AD648" s="155"/>
      <c r="AE648" s="322"/>
      <c r="AF648" s="132"/>
      <c r="AG648" s="132"/>
    </row>
    <row r="649">
      <c r="A649" s="311"/>
      <c r="B649" s="313"/>
      <c r="C649" s="313"/>
      <c r="D649" s="313"/>
      <c r="E649" s="314"/>
      <c r="F649" s="314"/>
      <c r="G649" s="314"/>
      <c r="H649" s="314"/>
      <c r="I649" s="314"/>
      <c r="J649" s="314"/>
      <c r="K649" s="314"/>
      <c r="L649" s="314"/>
      <c r="M649" s="314"/>
      <c r="N649" s="314"/>
      <c r="O649" s="314"/>
      <c r="P649" s="314"/>
      <c r="Q649" s="314"/>
      <c r="R649" s="314"/>
      <c r="S649" s="314"/>
      <c r="T649" s="314"/>
      <c r="U649" s="314"/>
      <c r="V649" s="314"/>
      <c r="W649" s="313"/>
      <c r="X649" s="313"/>
      <c r="Y649" s="314"/>
      <c r="Z649" s="335"/>
      <c r="AA649" s="313"/>
      <c r="AB649" s="324"/>
      <c r="AC649" s="155"/>
      <c r="AD649" s="155"/>
      <c r="AE649" s="322"/>
      <c r="AF649" s="132"/>
      <c r="AG649" s="132"/>
    </row>
    <row r="650">
      <c r="A650" s="311"/>
      <c r="B650" s="313"/>
      <c r="C650" s="313"/>
      <c r="D650" s="313"/>
      <c r="E650" s="314"/>
      <c r="F650" s="314"/>
      <c r="G650" s="314"/>
      <c r="H650" s="314"/>
      <c r="I650" s="314"/>
      <c r="J650" s="314"/>
      <c r="K650" s="314"/>
      <c r="L650" s="314"/>
      <c r="M650" s="314"/>
      <c r="N650" s="314"/>
      <c r="O650" s="314"/>
      <c r="P650" s="314"/>
      <c r="Q650" s="314"/>
      <c r="R650" s="314"/>
      <c r="S650" s="314"/>
      <c r="T650" s="314"/>
      <c r="U650" s="314"/>
      <c r="V650" s="314"/>
      <c r="W650" s="313"/>
      <c r="X650" s="313"/>
      <c r="Y650" s="314"/>
      <c r="Z650" s="335"/>
      <c r="AA650" s="313"/>
      <c r="AB650" s="324"/>
      <c r="AC650" s="155"/>
      <c r="AD650" s="155"/>
      <c r="AE650" s="322"/>
      <c r="AF650" s="132"/>
      <c r="AG650" s="132"/>
    </row>
    <row r="651">
      <c r="A651" s="311"/>
      <c r="B651" s="313"/>
      <c r="C651" s="313"/>
      <c r="D651" s="313"/>
      <c r="E651" s="314"/>
      <c r="F651" s="314"/>
      <c r="G651" s="314"/>
      <c r="H651" s="314"/>
      <c r="I651" s="314"/>
      <c r="J651" s="314"/>
      <c r="K651" s="314"/>
      <c r="L651" s="314"/>
      <c r="M651" s="314"/>
      <c r="N651" s="314"/>
      <c r="O651" s="314"/>
      <c r="P651" s="314"/>
      <c r="Q651" s="314"/>
      <c r="R651" s="314"/>
      <c r="S651" s="314"/>
      <c r="T651" s="314"/>
      <c r="U651" s="314"/>
      <c r="V651" s="314"/>
      <c r="W651" s="313"/>
      <c r="X651" s="313"/>
      <c r="Y651" s="314"/>
      <c r="Z651" s="335"/>
      <c r="AA651" s="313"/>
      <c r="AB651" s="324"/>
      <c r="AC651" s="155"/>
      <c r="AD651" s="155"/>
      <c r="AE651" s="322"/>
      <c r="AF651" s="132"/>
      <c r="AG651" s="132"/>
    </row>
    <row r="652">
      <c r="A652" s="311"/>
      <c r="B652" s="313"/>
      <c r="C652" s="313"/>
      <c r="D652" s="313"/>
      <c r="E652" s="314"/>
      <c r="F652" s="314"/>
      <c r="G652" s="314"/>
      <c r="H652" s="314"/>
      <c r="I652" s="314"/>
      <c r="J652" s="314"/>
      <c r="K652" s="314"/>
      <c r="L652" s="314"/>
      <c r="M652" s="314"/>
      <c r="N652" s="314"/>
      <c r="O652" s="314"/>
      <c r="P652" s="314"/>
      <c r="Q652" s="314"/>
      <c r="R652" s="314"/>
      <c r="S652" s="314"/>
      <c r="T652" s="314"/>
      <c r="U652" s="314"/>
      <c r="V652" s="314"/>
      <c r="W652" s="313"/>
      <c r="X652" s="313"/>
      <c r="Y652" s="314"/>
      <c r="Z652" s="335"/>
      <c r="AA652" s="313"/>
      <c r="AB652" s="324"/>
      <c r="AC652" s="155"/>
      <c r="AD652" s="155"/>
      <c r="AE652" s="322"/>
      <c r="AF652" s="132"/>
      <c r="AG652" s="132"/>
    </row>
    <row r="653">
      <c r="A653" s="311"/>
      <c r="B653" s="313"/>
      <c r="C653" s="313"/>
      <c r="D653" s="313"/>
      <c r="E653" s="314"/>
      <c r="F653" s="314"/>
      <c r="G653" s="314"/>
      <c r="H653" s="314"/>
      <c r="I653" s="314"/>
      <c r="J653" s="314"/>
      <c r="K653" s="314"/>
      <c r="L653" s="314"/>
      <c r="M653" s="314"/>
      <c r="N653" s="314"/>
      <c r="O653" s="314"/>
      <c r="P653" s="314"/>
      <c r="Q653" s="314"/>
      <c r="R653" s="314"/>
      <c r="S653" s="314"/>
      <c r="T653" s="314"/>
      <c r="U653" s="314"/>
      <c r="V653" s="314"/>
      <c r="W653" s="313"/>
      <c r="X653" s="313"/>
      <c r="Y653" s="314"/>
      <c r="Z653" s="335"/>
      <c r="AA653" s="313"/>
      <c r="AB653" s="324"/>
      <c r="AC653" s="155"/>
      <c r="AD653" s="155"/>
      <c r="AE653" s="322"/>
      <c r="AF653" s="132"/>
      <c r="AG653" s="132"/>
    </row>
    <row r="654">
      <c r="A654" s="311"/>
      <c r="B654" s="313"/>
      <c r="C654" s="313"/>
      <c r="D654" s="313"/>
      <c r="E654" s="314"/>
      <c r="F654" s="314"/>
      <c r="G654" s="314"/>
      <c r="H654" s="314"/>
      <c r="I654" s="314"/>
      <c r="J654" s="314"/>
      <c r="K654" s="314"/>
      <c r="L654" s="314"/>
      <c r="M654" s="314"/>
      <c r="N654" s="314"/>
      <c r="O654" s="314"/>
      <c r="P654" s="314"/>
      <c r="Q654" s="314"/>
      <c r="R654" s="314"/>
      <c r="S654" s="314"/>
      <c r="T654" s="314"/>
      <c r="U654" s="314"/>
      <c r="V654" s="314"/>
      <c r="W654" s="313"/>
      <c r="X654" s="313"/>
      <c r="Y654" s="314"/>
      <c r="Z654" s="335"/>
      <c r="AA654" s="313"/>
      <c r="AB654" s="324"/>
      <c r="AC654" s="155"/>
      <c r="AD654" s="155"/>
      <c r="AE654" s="322"/>
      <c r="AF654" s="132"/>
      <c r="AG654" s="132"/>
    </row>
    <row r="655">
      <c r="A655" s="311"/>
      <c r="B655" s="313"/>
      <c r="C655" s="313"/>
      <c r="D655" s="313"/>
      <c r="E655" s="314"/>
      <c r="F655" s="314"/>
      <c r="G655" s="314"/>
      <c r="H655" s="314"/>
      <c r="I655" s="314"/>
      <c r="J655" s="314"/>
      <c r="K655" s="314"/>
      <c r="L655" s="314"/>
      <c r="M655" s="314"/>
      <c r="N655" s="314"/>
      <c r="O655" s="314"/>
      <c r="P655" s="314"/>
      <c r="Q655" s="314"/>
      <c r="R655" s="314"/>
      <c r="S655" s="314"/>
      <c r="T655" s="314"/>
      <c r="U655" s="314"/>
      <c r="V655" s="314"/>
      <c r="W655" s="313"/>
      <c r="X655" s="313"/>
      <c r="Y655" s="314"/>
      <c r="Z655" s="335"/>
      <c r="AA655" s="313"/>
      <c r="AB655" s="324"/>
      <c r="AC655" s="155"/>
      <c r="AD655" s="155"/>
      <c r="AE655" s="322"/>
      <c r="AF655" s="132"/>
      <c r="AG655" s="132"/>
    </row>
    <row r="656">
      <c r="A656" s="311"/>
      <c r="B656" s="313"/>
      <c r="C656" s="313"/>
      <c r="D656" s="313"/>
      <c r="E656" s="314"/>
      <c r="F656" s="314"/>
      <c r="G656" s="314"/>
      <c r="H656" s="314"/>
      <c r="I656" s="314"/>
      <c r="J656" s="314"/>
      <c r="K656" s="314"/>
      <c r="L656" s="314"/>
      <c r="M656" s="314"/>
      <c r="N656" s="314"/>
      <c r="O656" s="314"/>
      <c r="P656" s="314"/>
      <c r="Q656" s="314"/>
      <c r="R656" s="314"/>
      <c r="S656" s="314"/>
      <c r="T656" s="314"/>
      <c r="U656" s="314"/>
      <c r="V656" s="314"/>
      <c r="W656" s="313"/>
      <c r="X656" s="313"/>
      <c r="Y656" s="314"/>
      <c r="Z656" s="335"/>
      <c r="AA656" s="313"/>
      <c r="AB656" s="324"/>
      <c r="AC656" s="155"/>
      <c r="AD656" s="155"/>
      <c r="AE656" s="322"/>
      <c r="AF656" s="132"/>
      <c r="AG656" s="132"/>
    </row>
    <row r="657">
      <c r="A657" s="311"/>
      <c r="B657" s="313"/>
      <c r="C657" s="313"/>
      <c r="D657" s="313"/>
      <c r="E657" s="314"/>
      <c r="F657" s="314"/>
      <c r="G657" s="314"/>
      <c r="H657" s="314"/>
      <c r="I657" s="314"/>
      <c r="J657" s="314"/>
      <c r="K657" s="314"/>
      <c r="L657" s="314"/>
      <c r="M657" s="314"/>
      <c r="N657" s="314"/>
      <c r="O657" s="314"/>
      <c r="P657" s="314"/>
      <c r="Q657" s="314"/>
      <c r="R657" s="314"/>
      <c r="S657" s="314"/>
      <c r="T657" s="314"/>
      <c r="U657" s="314"/>
      <c r="V657" s="314"/>
      <c r="W657" s="313"/>
      <c r="X657" s="313"/>
      <c r="Y657" s="314"/>
      <c r="Z657" s="335"/>
      <c r="AA657" s="313"/>
      <c r="AB657" s="324"/>
      <c r="AC657" s="155"/>
      <c r="AD657" s="155"/>
      <c r="AE657" s="322"/>
      <c r="AF657" s="132"/>
      <c r="AG657" s="132"/>
    </row>
    <row r="658">
      <c r="A658" s="311"/>
      <c r="B658" s="313"/>
      <c r="C658" s="313"/>
      <c r="D658" s="313"/>
      <c r="E658" s="314"/>
      <c r="F658" s="314"/>
      <c r="G658" s="314"/>
      <c r="H658" s="314"/>
      <c r="I658" s="314"/>
      <c r="J658" s="314"/>
      <c r="K658" s="314"/>
      <c r="L658" s="314"/>
      <c r="M658" s="314"/>
      <c r="N658" s="314"/>
      <c r="O658" s="314"/>
      <c r="P658" s="314"/>
      <c r="Q658" s="314"/>
      <c r="R658" s="314"/>
      <c r="S658" s="314"/>
      <c r="T658" s="314"/>
      <c r="U658" s="314"/>
      <c r="V658" s="314"/>
      <c r="W658" s="313"/>
      <c r="X658" s="313"/>
      <c r="Y658" s="314"/>
      <c r="Z658" s="335"/>
      <c r="AA658" s="313"/>
      <c r="AB658" s="324"/>
      <c r="AC658" s="155"/>
      <c r="AD658" s="155"/>
      <c r="AE658" s="322"/>
      <c r="AF658" s="132"/>
      <c r="AG658" s="132"/>
    </row>
    <row r="659">
      <c r="A659" s="311"/>
      <c r="B659" s="313"/>
      <c r="C659" s="313"/>
      <c r="D659" s="313"/>
      <c r="E659" s="314"/>
      <c r="F659" s="314"/>
      <c r="G659" s="314"/>
      <c r="H659" s="314"/>
      <c r="I659" s="314"/>
      <c r="J659" s="314"/>
      <c r="K659" s="314"/>
      <c r="L659" s="314"/>
      <c r="M659" s="314"/>
      <c r="N659" s="314"/>
      <c r="O659" s="314"/>
      <c r="P659" s="314"/>
      <c r="Q659" s="314"/>
      <c r="R659" s="314"/>
      <c r="S659" s="314"/>
      <c r="T659" s="314"/>
      <c r="U659" s="314"/>
      <c r="V659" s="314"/>
      <c r="W659" s="313"/>
      <c r="X659" s="313"/>
      <c r="Y659" s="314"/>
      <c r="Z659" s="335"/>
      <c r="AA659" s="313"/>
      <c r="AB659" s="324"/>
      <c r="AC659" s="155"/>
      <c r="AD659" s="155"/>
      <c r="AE659" s="322"/>
      <c r="AF659" s="132"/>
      <c r="AG659" s="132"/>
    </row>
    <row r="660">
      <c r="A660" s="311"/>
      <c r="B660" s="313"/>
      <c r="C660" s="313"/>
      <c r="D660" s="313"/>
      <c r="E660" s="314"/>
      <c r="F660" s="314"/>
      <c r="G660" s="314"/>
      <c r="H660" s="314"/>
      <c r="I660" s="314"/>
      <c r="J660" s="314"/>
      <c r="K660" s="314"/>
      <c r="L660" s="314"/>
      <c r="M660" s="314"/>
      <c r="N660" s="314"/>
      <c r="O660" s="314"/>
      <c r="P660" s="314"/>
      <c r="Q660" s="314"/>
      <c r="R660" s="314"/>
      <c r="S660" s="314"/>
      <c r="T660" s="314"/>
      <c r="U660" s="314"/>
      <c r="V660" s="314"/>
      <c r="W660" s="313"/>
      <c r="X660" s="313"/>
      <c r="Y660" s="314"/>
      <c r="Z660" s="335"/>
      <c r="AA660" s="313"/>
      <c r="AB660" s="324"/>
      <c r="AC660" s="155"/>
      <c r="AD660" s="155"/>
      <c r="AE660" s="322"/>
      <c r="AF660" s="132"/>
      <c r="AG660" s="132"/>
    </row>
    <row r="661">
      <c r="A661" s="311"/>
      <c r="B661" s="313"/>
      <c r="C661" s="313"/>
      <c r="D661" s="313"/>
      <c r="E661" s="314"/>
      <c r="F661" s="314"/>
      <c r="G661" s="314"/>
      <c r="H661" s="314"/>
      <c r="I661" s="314"/>
      <c r="J661" s="314"/>
      <c r="K661" s="314"/>
      <c r="L661" s="314"/>
      <c r="M661" s="314"/>
      <c r="N661" s="314"/>
      <c r="O661" s="314"/>
      <c r="P661" s="314"/>
      <c r="Q661" s="314"/>
      <c r="R661" s="314"/>
      <c r="S661" s="314"/>
      <c r="T661" s="314"/>
      <c r="U661" s="314"/>
      <c r="V661" s="314"/>
      <c r="W661" s="313"/>
      <c r="X661" s="313"/>
      <c r="Y661" s="314"/>
      <c r="Z661" s="335"/>
      <c r="AA661" s="313"/>
      <c r="AB661" s="324"/>
      <c r="AC661" s="155"/>
      <c r="AD661" s="155"/>
      <c r="AE661" s="322"/>
      <c r="AF661" s="132"/>
      <c r="AG661" s="132"/>
    </row>
    <row r="662">
      <c r="A662" s="311"/>
      <c r="B662" s="313"/>
      <c r="C662" s="313"/>
      <c r="D662" s="313"/>
      <c r="E662" s="314"/>
      <c r="F662" s="314"/>
      <c r="G662" s="314"/>
      <c r="H662" s="314"/>
      <c r="I662" s="314"/>
      <c r="J662" s="314"/>
      <c r="K662" s="314"/>
      <c r="L662" s="314"/>
      <c r="M662" s="314"/>
      <c r="N662" s="314"/>
      <c r="O662" s="314"/>
      <c r="P662" s="314"/>
      <c r="Q662" s="314"/>
      <c r="R662" s="314"/>
      <c r="S662" s="314"/>
      <c r="T662" s="314"/>
      <c r="U662" s="314"/>
      <c r="V662" s="314"/>
      <c r="W662" s="313"/>
      <c r="X662" s="313"/>
      <c r="Y662" s="314"/>
      <c r="Z662" s="335"/>
      <c r="AA662" s="313"/>
      <c r="AB662" s="324"/>
      <c r="AC662" s="155"/>
      <c r="AD662" s="155"/>
      <c r="AE662" s="322"/>
      <c r="AF662" s="132"/>
      <c r="AG662" s="132"/>
    </row>
    <row r="663">
      <c r="A663" s="311"/>
      <c r="B663" s="313"/>
      <c r="C663" s="313"/>
      <c r="D663" s="313"/>
      <c r="E663" s="314"/>
      <c r="F663" s="314"/>
      <c r="G663" s="314"/>
      <c r="H663" s="314"/>
      <c r="I663" s="314"/>
      <c r="J663" s="314"/>
      <c r="K663" s="314"/>
      <c r="L663" s="314"/>
      <c r="M663" s="314"/>
      <c r="N663" s="314"/>
      <c r="O663" s="314"/>
      <c r="P663" s="314"/>
      <c r="Q663" s="314"/>
      <c r="R663" s="314"/>
      <c r="S663" s="314"/>
      <c r="T663" s="314"/>
      <c r="U663" s="314"/>
      <c r="V663" s="314"/>
      <c r="W663" s="313"/>
      <c r="X663" s="313"/>
      <c r="Y663" s="314"/>
      <c r="Z663" s="335"/>
      <c r="AA663" s="313"/>
      <c r="AB663" s="324"/>
      <c r="AC663" s="155"/>
      <c r="AD663" s="155"/>
      <c r="AE663" s="322"/>
      <c r="AF663" s="132"/>
      <c r="AG663" s="132"/>
    </row>
    <row r="664">
      <c r="A664" s="311"/>
      <c r="B664" s="313"/>
      <c r="C664" s="313"/>
      <c r="D664" s="313"/>
      <c r="E664" s="314"/>
      <c r="F664" s="314"/>
      <c r="G664" s="314"/>
      <c r="H664" s="314"/>
      <c r="I664" s="314"/>
      <c r="J664" s="314"/>
      <c r="K664" s="314"/>
      <c r="L664" s="314"/>
      <c r="M664" s="314"/>
      <c r="N664" s="314"/>
      <c r="O664" s="314"/>
      <c r="P664" s="314"/>
      <c r="Q664" s="314"/>
      <c r="R664" s="314"/>
      <c r="S664" s="314"/>
      <c r="T664" s="314"/>
      <c r="U664" s="314"/>
      <c r="V664" s="314"/>
      <c r="W664" s="313"/>
      <c r="X664" s="313"/>
      <c r="Y664" s="314"/>
      <c r="Z664" s="335"/>
      <c r="AA664" s="313"/>
      <c r="AB664" s="324"/>
      <c r="AC664" s="155"/>
      <c r="AD664" s="155"/>
      <c r="AE664" s="322"/>
      <c r="AF664" s="132"/>
      <c r="AG664" s="132"/>
    </row>
    <row r="665">
      <c r="A665" s="311"/>
      <c r="B665" s="313"/>
      <c r="C665" s="313"/>
      <c r="D665" s="313"/>
      <c r="E665" s="314"/>
      <c r="F665" s="314"/>
      <c r="G665" s="314"/>
      <c r="H665" s="314"/>
      <c r="I665" s="314"/>
      <c r="J665" s="314"/>
      <c r="K665" s="314"/>
      <c r="L665" s="314"/>
      <c r="M665" s="314"/>
      <c r="N665" s="314"/>
      <c r="O665" s="314"/>
      <c r="P665" s="314"/>
      <c r="Q665" s="314"/>
      <c r="R665" s="314"/>
      <c r="S665" s="314"/>
      <c r="T665" s="314"/>
      <c r="U665" s="314"/>
      <c r="V665" s="314"/>
      <c r="W665" s="313"/>
      <c r="X665" s="313"/>
      <c r="Y665" s="314"/>
      <c r="Z665" s="335"/>
      <c r="AA665" s="313"/>
      <c r="AB665" s="324"/>
      <c r="AC665" s="155"/>
      <c r="AD665" s="155"/>
      <c r="AE665" s="322"/>
      <c r="AF665" s="132"/>
      <c r="AG665" s="132"/>
    </row>
    <row r="666">
      <c r="A666" s="311"/>
      <c r="B666" s="313"/>
      <c r="C666" s="313"/>
      <c r="D666" s="313"/>
      <c r="E666" s="314"/>
      <c r="F666" s="314"/>
      <c r="G666" s="314"/>
      <c r="H666" s="314"/>
      <c r="I666" s="314"/>
      <c r="J666" s="314"/>
      <c r="K666" s="314"/>
      <c r="L666" s="314"/>
      <c r="M666" s="314"/>
      <c r="N666" s="314"/>
      <c r="O666" s="314"/>
      <c r="P666" s="314"/>
      <c r="Q666" s="314"/>
      <c r="R666" s="314"/>
      <c r="S666" s="314"/>
      <c r="T666" s="314"/>
      <c r="U666" s="314"/>
      <c r="V666" s="314"/>
      <c r="W666" s="313"/>
      <c r="X666" s="313"/>
      <c r="Y666" s="314"/>
      <c r="Z666" s="335"/>
      <c r="AA666" s="313"/>
      <c r="AB666" s="324"/>
      <c r="AC666" s="155"/>
      <c r="AD666" s="155"/>
      <c r="AE666" s="322"/>
      <c r="AF666" s="132"/>
      <c r="AG666" s="132"/>
    </row>
    <row r="667">
      <c r="A667" s="311"/>
      <c r="B667" s="313"/>
      <c r="C667" s="313"/>
      <c r="D667" s="313"/>
      <c r="E667" s="314"/>
      <c r="F667" s="314"/>
      <c r="G667" s="314"/>
      <c r="H667" s="314"/>
      <c r="I667" s="314"/>
      <c r="J667" s="314"/>
      <c r="K667" s="314"/>
      <c r="L667" s="314"/>
      <c r="M667" s="314"/>
      <c r="N667" s="314"/>
      <c r="O667" s="314"/>
      <c r="P667" s="314"/>
      <c r="Q667" s="314"/>
      <c r="R667" s="314"/>
      <c r="S667" s="314"/>
      <c r="T667" s="314"/>
      <c r="U667" s="314"/>
      <c r="V667" s="314"/>
      <c r="W667" s="313"/>
      <c r="X667" s="313"/>
      <c r="Y667" s="314"/>
      <c r="Z667" s="335"/>
      <c r="AA667" s="313"/>
      <c r="AB667" s="324"/>
      <c r="AC667" s="155"/>
      <c r="AD667" s="155"/>
      <c r="AE667" s="322"/>
      <c r="AF667" s="132"/>
      <c r="AG667" s="132"/>
    </row>
    <row r="668">
      <c r="A668" s="311"/>
      <c r="B668" s="313"/>
      <c r="C668" s="313"/>
      <c r="D668" s="313"/>
      <c r="E668" s="314"/>
      <c r="F668" s="314"/>
      <c r="G668" s="314"/>
      <c r="H668" s="314"/>
      <c r="I668" s="314"/>
      <c r="J668" s="314"/>
      <c r="K668" s="314"/>
      <c r="L668" s="314"/>
      <c r="M668" s="314"/>
      <c r="N668" s="314"/>
      <c r="O668" s="314"/>
      <c r="P668" s="314"/>
      <c r="Q668" s="314"/>
      <c r="R668" s="314"/>
      <c r="S668" s="314"/>
      <c r="T668" s="314"/>
      <c r="U668" s="314"/>
      <c r="V668" s="314"/>
      <c r="W668" s="313"/>
      <c r="X668" s="313"/>
      <c r="Y668" s="314"/>
      <c r="Z668" s="335"/>
      <c r="AA668" s="313"/>
      <c r="AB668" s="324"/>
      <c r="AC668" s="155"/>
      <c r="AD668" s="155"/>
      <c r="AE668" s="322"/>
      <c r="AF668" s="132"/>
      <c r="AG668" s="132"/>
    </row>
    <row r="669">
      <c r="A669" s="311"/>
      <c r="B669" s="313"/>
      <c r="C669" s="313"/>
      <c r="D669" s="313"/>
      <c r="E669" s="314"/>
      <c r="F669" s="314"/>
      <c r="G669" s="314"/>
      <c r="H669" s="314"/>
      <c r="I669" s="314"/>
      <c r="J669" s="314"/>
      <c r="K669" s="314"/>
      <c r="L669" s="314"/>
      <c r="M669" s="314"/>
      <c r="N669" s="314"/>
      <c r="O669" s="314"/>
      <c r="P669" s="314"/>
      <c r="Q669" s="314"/>
      <c r="R669" s="314"/>
      <c r="S669" s="314"/>
      <c r="T669" s="314"/>
      <c r="U669" s="314"/>
      <c r="V669" s="314"/>
      <c r="W669" s="313"/>
      <c r="X669" s="313"/>
      <c r="Y669" s="314"/>
      <c r="Z669" s="335"/>
      <c r="AA669" s="313"/>
      <c r="AB669" s="324"/>
      <c r="AC669" s="155"/>
      <c r="AD669" s="155"/>
      <c r="AE669" s="322"/>
      <c r="AF669" s="132"/>
      <c r="AG669" s="132"/>
    </row>
    <row r="670">
      <c r="A670" s="311"/>
      <c r="B670" s="313"/>
      <c r="C670" s="313"/>
      <c r="D670" s="313"/>
      <c r="E670" s="314"/>
      <c r="F670" s="314"/>
      <c r="G670" s="314"/>
      <c r="H670" s="314"/>
      <c r="I670" s="314"/>
      <c r="J670" s="314"/>
      <c r="K670" s="314"/>
      <c r="L670" s="314"/>
      <c r="M670" s="314"/>
      <c r="N670" s="314"/>
      <c r="O670" s="314"/>
      <c r="P670" s="314"/>
      <c r="Q670" s="314"/>
      <c r="R670" s="314"/>
      <c r="S670" s="314"/>
      <c r="T670" s="314"/>
      <c r="U670" s="314"/>
      <c r="V670" s="314"/>
      <c r="W670" s="313"/>
      <c r="X670" s="313"/>
      <c r="Y670" s="314"/>
      <c r="Z670" s="335"/>
      <c r="AA670" s="313"/>
      <c r="AB670" s="324"/>
      <c r="AC670" s="155"/>
      <c r="AD670" s="155"/>
      <c r="AE670" s="322"/>
      <c r="AF670" s="132"/>
      <c r="AG670" s="132"/>
    </row>
    <row r="671">
      <c r="A671" s="311"/>
      <c r="B671" s="313"/>
      <c r="C671" s="313"/>
      <c r="D671" s="313"/>
      <c r="E671" s="314"/>
      <c r="F671" s="314"/>
      <c r="G671" s="314"/>
      <c r="H671" s="314"/>
      <c r="I671" s="314"/>
      <c r="J671" s="314"/>
      <c r="K671" s="314"/>
      <c r="L671" s="314"/>
      <c r="M671" s="314"/>
      <c r="N671" s="314"/>
      <c r="O671" s="314"/>
      <c r="P671" s="314"/>
      <c r="Q671" s="314"/>
      <c r="R671" s="314"/>
      <c r="S671" s="314"/>
      <c r="T671" s="314"/>
      <c r="U671" s="314"/>
      <c r="V671" s="314"/>
      <c r="W671" s="313"/>
      <c r="X671" s="313"/>
      <c r="Y671" s="314"/>
      <c r="Z671" s="335"/>
      <c r="AA671" s="313"/>
      <c r="AB671" s="324"/>
      <c r="AC671" s="155"/>
      <c r="AD671" s="155"/>
      <c r="AE671" s="322"/>
      <c r="AF671" s="132"/>
      <c r="AG671" s="132"/>
    </row>
    <row r="672">
      <c r="A672" s="311"/>
      <c r="B672" s="313"/>
      <c r="C672" s="313"/>
      <c r="D672" s="313"/>
      <c r="E672" s="314"/>
      <c r="F672" s="314"/>
      <c r="G672" s="314"/>
      <c r="H672" s="314"/>
      <c r="I672" s="314"/>
      <c r="J672" s="314"/>
      <c r="K672" s="314"/>
      <c r="L672" s="314"/>
      <c r="M672" s="314"/>
      <c r="N672" s="314"/>
      <c r="O672" s="314"/>
      <c r="P672" s="314"/>
      <c r="Q672" s="314"/>
      <c r="R672" s="314"/>
      <c r="S672" s="314"/>
      <c r="T672" s="314"/>
      <c r="U672" s="314"/>
      <c r="V672" s="314"/>
      <c r="W672" s="313"/>
      <c r="X672" s="313"/>
      <c r="Y672" s="314"/>
      <c r="Z672" s="335"/>
      <c r="AA672" s="313"/>
      <c r="AB672" s="324"/>
      <c r="AC672" s="155"/>
      <c r="AD672" s="155"/>
      <c r="AE672" s="322"/>
      <c r="AF672" s="132"/>
      <c r="AG672" s="132"/>
    </row>
    <row r="673">
      <c r="A673" s="311"/>
      <c r="B673" s="313"/>
      <c r="C673" s="313"/>
      <c r="D673" s="313"/>
      <c r="E673" s="314"/>
      <c r="F673" s="314"/>
      <c r="G673" s="314"/>
      <c r="H673" s="314"/>
      <c r="I673" s="314"/>
      <c r="J673" s="314"/>
      <c r="K673" s="314"/>
      <c r="L673" s="314"/>
      <c r="M673" s="314"/>
      <c r="N673" s="314"/>
      <c r="O673" s="314"/>
      <c r="P673" s="314"/>
      <c r="Q673" s="314"/>
      <c r="R673" s="314"/>
      <c r="S673" s="314"/>
      <c r="T673" s="314"/>
      <c r="U673" s="314"/>
      <c r="V673" s="314"/>
      <c r="W673" s="313"/>
      <c r="X673" s="313"/>
      <c r="Y673" s="314"/>
      <c r="Z673" s="335"/>
      <c r="AA673" s="313"/>
      <c r="AB673" s="324"/>
      <c r="AC673" s="155"/>
      <c r="AD673" s="155"/>
      <c r="AE673" s="322"/>
      <c r="AF673" s="132"/>
      <c r="AG673" s="132"/>
    </row>
    <row r="674">
      <c r="A674" s="311"/>
      <c r="B674" s="313"/>
      <c r="C674" s="313"/>
      <c r="D674" s="313"/>
      <c r="E674" s="314"/>
      <c r="F674" s="314"/>
      <c r="G674" s="314"/>
      <c r="H674" s="314"/>
      <c r="I674" s="314"/>
      <c r="J674" s="314"/>
      <c r="K674" s="314"/>
      <c r="L674" s="314"/>
      <c r="M674" s="314"/>
      <c r="N674" s="314"/>
      <c r="O674" s="314"/>
      <c r="P674" s="314"/>
      <c r="Q674" s="314"/>
      <c r="R674" s="314"/>
      <c r="S674" s="314"/>
      <c r="T674" s="314"/>
      <c r="U674" s="314"/>
      <c r="V674" s="314"/>
      <c r="W674" s="313"/>
      <c r="X674" s="313"/>
      <c r="Y674" s="314"/>
      <c r="Z674" s="335"/>
      <c r="AA674" s="313"/>
      <c r="AB674" s="324"/>
      <c r="AC674" s="155"/>
      <c r="AD674" s="155"/>
      <c r="AE674" s="322"/>
      <c r="AF674" s="132"/>
      <c r="AG674" s="132"/>
    </row>
    <row r="675">
      <c r="A675" s="311"/>
      <c r="B675" s="313"/>
      <c r="C675" s="313"/>
      <c r="D675" s="313"/>
      <c r="E675" s="314"/>
      <c r="F675" s="314"/>
      <c r="G675" s="314"/>
      <c r="H675" s="314"/>
      <c r="I675" s="314"/>
      <c r="J675" s="314"/>
      <c r="K675" s="314"/>
      <c r="L675" s="314"/>
      <c r="M675" s="314"/>
      <c r="N675" s="314"/>
      <c r="O675" s="314"/>
      <c r="P675" s="314"/>
      <c r="Q675" s="314"/>
      <c r="R675" s="314"/>
      <c r="S675" s="314"/>
      <c r="T675" s="314"/>
      <c r="U675" s="314"/>
      <c r="V675" s="314"/>
      <c r="W675" s="313"/>
      <c r="X675" s="313"/>
      <c r="Y675" s="314"/>
      <c r="Z675" s="335"/>
      <c r="AA675" s="313"/>
      <c r="AB675" s="324"/>
      <c r="AC675" s="155"/>
      <c r="AD675" s="155"/>
      <c r="AE675" s="322"/>
      <c r="AF675" s="132"/>
      <c r="AG675" s="132"/>
    </row>
    <row r="676">
      <c r="A676" s="311"/>
      <c r="B676" s="313"/>
      <c r="C676" s="313"/>
      <c r="D676" s="313"/>
      <c r="E676" s="314"/>
      <c r="F676" s="314"/>
      <c r="G676" s="314"/>
      <c r="H676" s="314"/>
      <c r="I676" s="314"/>
      <c r="J676" s="314"/>
      <c r="K676" s="314"/>
      <c r="L676" s="314"/>
      <c r="M676" s="314"/>
      <c r="N676" s="314"/>
      <c r="O676" s="314"/>
      <c r="P676" s="314"/>
      <c r="Q676" s="314"/>
      <c r="R676" s="314"/>
      <c r="S676" s="314"/>
      <c r="T676" s="314"/>
      <c r="U676" s="314"/>
      <c r="V676" s="314"/>
      <c r="W676" s="313"/>
      <c r="X676" s="313"/>
      <c r="Y676" s="314"/>
      <c r="Z676" s="335"/>
      <c r="AA676" s="313"/>
      <c r="AB676" s="324"/>
      <c r="AC676" s="155"/>
      <c r="AD676" s="155"/>
      <c r="AE676" s="322"/>
      <c r="AF676" s="132"/>
      <c r="AG676" s="132"/>
    </row>
    <row r="677">
      <c r="A677" s="311"/>
      <c r="B677" s="313"/>
      <c r="C677" s="313"/>
      <c r="D677" s="313"/>
      <c r="E677" s="314"/>
      <c r="F677" s="314"/>
      <c r="G677" s="314"/>
      <c r="H677" s="314"/>
      <c r="I677" s="314"/>
      <c r="J677" s="314"/>
      <c r="K677" s="314"/>
      <c r="L677" s="314"/>
      <c r="M677" s="314"/>
      <c r="N677" s="314"/>
      <c r="O677" s="314"/>
      <c r="P677" s="314"/>
      <c r="Q677" s="314"/>
      <c r="R677" s="314"/>
      <c r="S677" s="314"/>
      <c r="T677" s="314"/>
      <c r="U677" s="314"/>
      <c r="V677" s="314"/>
      <c r="W677" s="313"/>
      <c r="X677" s="313"/>
      <c r="Y677" s="314"/>
      <c r="Z677" s="335"/>
      <c r="AA677" s="313"/>
      <c r="AB677" s="324"/>
      <c r="AC677" s="155"/>
      <c r="AD677" s="155"/>
      <c r="AE677" s="322"/>
      <c r="AF677" s="132"/>
      <c r="AG677" s="132"/>
    </row>
    <row r="678">
      <c r="A678" s="311"/>
      <c r="B678" s="313"/>
      <c r="C678" s="313"/>
      <c r="D678" s="313"/>
      <c r="E678" s="314"/>
      <c r="F678" s="314"/>
      <c r="G678" s="314"/>
      <c r="H678" s="314"/>
      <c r="I678" s="314"/>
      <c r="J678" s="314"/>
      <c r="K678" s="314"/>
      <c r="L678" s="314"/>
      <c r="M678" s="314"/>
      <c r="N678" s="314"/>
      <c r="O678" s="314"/>
      <c r="P678" s="314"/>
      <c r="Q678" s="314"/>
      <c r="R678" s="314"/>
      <c r="S678" s="314"/>
      <c r="T678" s="314"/>
      <c r="U678" s="314"/>
      <c r="V678" s="314"/>
      <c r="W678" s="313"/>
      <c r="X678" s="313"/>
      <c r="Y678" s="314"/>
      <c r="Z678" s="335"/>
      <c r="AA678" s="313"/>
      <c r="AB678" s="324"/>
      <c r="AC678" s="155"/>
      <c r="AD678" s="155"/>
      <c r="AE678" s="322"/>
      <c r="AF678" s="132"/>
      <c r="AG678" s="132"/>
    </row>
    <row r="679">
      <c r="A679" s="311"/>
      <c r="B679" s="313"/>
      <c r="C679" s="313"/>
      <c r="D679" s="313"/>
      <c r="E679" s="314"/>
      <c r="F679" s="314"/>
      <c r="G679" s="314"/>
      <c r="H679" s="314"/>
      <c r="I679" s="314"/>
      <c r="J679" s="314"/>
      <c r="K679" s="314"/>
      <c r="L679" s="314"/>
      <c r="M679" s="314"/>
      <c r="N679" s="314"/>
      <c r="O679" s="314"/>
      <c r="P679" s="314"/>
      <c r="Q679" s="314"/>
      <c r="R679" s="314"/>
      <c r="S679" s="314"/>
      <c r="T679" s="314"/>
      <c r="U679" s="314"/>
      <c r="V679" s="314"/>
      <c r="W679" s="313"/>
      <c r="X679" s="313"/>
      <c r="Y679" s="314"/>
      <c r="Z679" s="335"/>
      <c r="AA679" s="313"/>
      <c r="AB679" s="324"/>
      <c r="AC679" s="155"/>
      <c r="AD679" s="155"/>
      <c r="AE679" s="322"/>
      <c r="AF679" s="132"/>
      <c r="AG679" s="132"/>
    </row>
    <row r="680">
      <c r="A680" s="311"/>
      <c r="B680" s="313"/>
      <c r="C680" s="313"/>
      <c r="D680" s="313"/>
      <c r="E680" s="314"/>
      <c r="F680" s="314"/>
      <c r="G680" s="314"/>
      <c r="H680" s="314"/>
      <c r="I680" s="314"/>
      <c r="J680" s="314"/>
      <c r="K680" s="314"/>
      <c r="L680" s="314"/>
      <c r="M680" s="314"/>
      <c r="N680" s="314"/>
      <c r="O680" s="314"/>
      <c r="P680" s="314"/>
      <c r="Q680" s="314"/>
      <c r="R680" s="314"/>
      <c r="S680" s="314"/>
      <c r="T680" s="314"/>
      <c r="U680" s="314"/>
      <c r="V680" s="314"/>
      <c r="W680" s="313"/>
      <c r="X680" s="313"/>
      <c r="Y680" s="314"/>
      <c r="Z680" s="335"/>
      <c r="AA680" s="313"/>
      <c r="AB680" s="324"/>
      <c r="AC680" s="155"/>
      <c r="AD680" s="155"/>
      <c r="AE680" s="322"/>
      <c r="AF680" s="132"/>
      <c r="AG680" s="132"/>
    </row>
    <row r="681">
      <c r="A681" s="311"/>
      <c r="B681" s="313"/>
      <c r="C681" s="313"/>
      <c r="D681" s="313"/>
      <c r="E681" s="314"/>
      <c r="F681" s="314"/>
      <c r="G681" s="314"/>
      <c r="H681" s="314"/>
      <c r="I681" s="314"/>
      <c r="J681" s="314"/>
      <c r="K681" s="314"/>
      <c r="L681" s="314"/>
      <c r="M681" s="314"/>
      <c r="N681" s="314"/>
      <c r="O681" s="314"/>
      <c r="P681" s="314"/>
      <c r="Q681" s="314"/>
      <c r="R681" s="314"/>
      <c r="S681" s="314"/>
      <c r="T681" s="314"/>
      <c r="U681" s="314"/>
      <c r="V681" s="314"/>
      <c r="W681" s="313"/>
      <c r="X681" s="313"/>
      <c r="Y681" s="314"/>
      <c r="Z681" s="335"/>
      <c r="AA681" s="313"/>
      <c r="AB681" s="324"/>
      <c r="AC681" s="155"/>
      <c r="AD681" s="155"/>
      <c r="AE681" s="322"/>
      <c r="AF681" s="132"/>
      <c r="AG681" s="132"/>
    </row>
    <row r="682">
      <c r="A682" s="311"/>
      <c r="B682" s="313"/>
      <c r="C682" s="313"/>
      <c r="D682" s="313"/>
      <c r="E682" s="314"/>
      <c r="F682" s="314"/>
      <c r="G682" s="314"/>
      <c r="H682" s="314"/>
      <c r="I682" s="314"/>
      <c r="J682" s="314"/>
      <c r="K682" s="314"/>
      <c r="L682" s="314"/>
      <c r="M682" s="314"/>
      <c r="N682" s="314"/>
      <c r="O682" s="314"/>
      <c r="P682" s="314"/>
      <c r="Q682" s="314"/>
      <c r="R682" s="314"/>
      <c r="S682" s="314"/>
      <c r="T682" s="314"/>
      <c r="U682" s="314"/>
      <c r="V682" s="314"/>
      <c r="W682" s="313"/>
      <c r="X682" s="313"/>
      <c r="Y682" s="314"/>
      <c r="Z682" s="335"/>
      <c r="AA682" s="313"/>
      <c r="AB682" s="324"/>
      <c r="AC682" s="155"/>
      <c r="AD682" s="155"/>
      <c r="AE682" s="322"/>
      <c r="AF682" s="132"/>
      <c r="AG682" s="132"/>
    </row>
    <row r="683">
      <c r="A683" s="311"/>
      <c r="B683" s="313"/>
      <c r="C683" s="313"/>
      <c r="D683" s="313"/>
      <c r="E683" s="314"/>
      <c r="F683" s="314"/>
      <c r="G683" s="314"/>
      <c r="H683" s="314"/>
      <c r="I683" s="314"/>
      <c r="J683" s="314"/>
      <c r="K683" s="314"/>
      <c r="L683" s="314"/>
      <c r="M683" s="314"/>
      <c r="N683" s="314"/>
      <c r="O683" s="314"/>
      <c r="P683" s="314"/>
      <c r="Q683" s="314"/>
      <c r="R683" s="314"/>
      <c r="S683" s="314"/>
      <c r="T683" s="314"/>
      <c r="U683" s="314"/>
      <c r="V683" s="314"/>
      <c r="W683" s="313"/>
      <c r="X683" s="313"/>
      <c r="Y683" s="314"/>
      <c r="Z683" s="335"/>
      <c r="AA683" s="313"/>
      <c r="AB683" s="324"/>
      <c r="AC683" s="155"/>
      <c r="AD683" s="155"/>
      <c r="AE683" s="322"/>
      <c r="AF683" s="132"/>
      <c r="AG683" s="132"/>
    </row>
    <row r="684">
      <c r="A684" s="311"/>
      <c r="B684" s="313"/>
      <c r="C684" s="313"/>
      <c r="D684" s="313"/>
      <c r="E684" s="314"/>
      <c r="F684" s="314"/>
      <c r="G684" s="314"/>
      <c r="H684" s="314"/>
      <c r="I684" s="314"/>
      <c r="J684" s="314"/>
      <c r="K684" s="314"/>
      <c r="L684" s="314"/>
      <c r="M684" s="314"/>
      <c r="N684" s="314"/>
      <c r="O684" s="314"/>
      <c r="P684" s="314"/>
      <c r="Q684" s="314"/>
      <c r="R684" s="314"/>
      <c r="S684" s="314"/>
      <c r="T684" s="314"/>
      <c r="U684" s="314"/>
      <c r="V684" s="314"/>
      <c r="W684" s="313"/>
      <c r="X684" s="313"/>
      <c r="Y684" s="314"/>
      <c r="Z684" s="335"/>
      <c r="AA684" s="313"/>
      <c r="AB684" s="324"/>
      <c r="AC684" s="155"/>
      <c r="AD684" s="155"/>
      <c r="AE684" s="322"/>
      <c r="AF684" s="132"/>
      <c r="AG684" s="132"/>
    </row>
    <row r="685">
      <c r="A685" s="311"/>
      <c r="B685" s="313"/>
      <c r="C685" s="313"/>
      <c r="D685" s="313"/>
      <c r="E685" s="314"/>
      <c r="F685" s="314"/>
      <c r="G685" s="314"/>
      <c r="H685" s="314"/>
      <c r="I685" s="314"/>
      <c r="J685" s="314"/>
      <c r="K685" s="314"/>
      <c r="L685" s="314"/>
      <c r="M685" s="314"/>
      <c r="N685" s="314"/>
      <c r="O685" s="314"/>
      <c r="P685" s="314"/>
      <c r="Q685" s="314"/>
      <c r="R685" s="314"/>
      <c r="S685" s="314"/>
      <c r="T685" s="314"/>
      <c r="U685" s="314"/>
      <c r="V685" s="314"/>
      <c r="W685" s="313"/>
      <c r="X685" s="313"/>
      <c r="Y685" s="314"/>
      <c r="Z685" s="335"/>
      <c r="AA685" s="313"/>
      <c r="AB685" s="324"/>
      <c r="AC685" s="155"/>
      <c r="AD685" s="155"/>
      <c r="AE685" s="322"/>
      <c r="AF685" s="132"/>
      <c r="AG685" s="132"/>
    </row>
    <row r="686">
      <c r="A686" s="311"/>
      <c r="B686" s="313"/>
      <c r="C686" s="313"/>
      <c r="D686" s="313"/>
      <c r="E686" s="314"/>
      <c r="F686" s="314"/>
      <c r="G686" s="314"/>
      <c r="H686" s="314"/>
      <c r="I686" s="314"/>
      <c r="J686" s="314"/>
      <c r="K686" s="314"/>
      <c r="L686" s="314"/>
      <c r="M686" s="314"/>
      <c r="N686" s="314"/>
      <c r="O686" s="314"/>
      <c r="P686" s="314"/>
      <c r="Q686" s="314"/>
      <c r="R686" s="314"/>
      <c r="S686" s="314"/>
      <c r="T686" s="314"/>
      <c r="U686" s="314"/>
      <c r="V686" s="314"/>
      <c r="W686" s="313"/>
      <c r="X686" s="313"/>
      <c r="Y686" s="314"/>
      <c r="Z686" s="335"/>
      <c r="AA686" s="313"/>
      <c r="AB686" s="324"/>
      <c r="AC686" s="155"/>
      <c r="AD686" s="155"/>
      <c r="AE686" s="322"/>
      <c r="AF686" s="132"/>
      <c r="AG686" s="132"/>
    </row>
    <row r="687">
      <c r="A687" s="311"/>
      <c r="B687" s="313"/>
      <c r="C687" s="313"/>
      <c r="D687" s="313"/>
      <c r="E687" s="314"/>
      <c r="F687" s="314"/>
      <c r="G687" s="314"/>
      <c r="H687" s="314"/>
      <c r="I687" s="314"/>
      <c r="J687" s="314"/>
      <c r="K687" s="314"/>
      <c r="L687" s="314"/>
      <c r="M687" s="314"/>
      <c r="N687" s="314"/>
      <c r="O687" s="314"/>
      <c r="P687" s="314"/>
      <c r="Q687" s="314"/>
      <c r="R687" s="314"/>
      <c r="S687" s="314"/>
      <c r="T687" s="314"/>
      <c r="U687" s="314"/>
      <c r="V687" s="314"/>
      <c r="W687" s="313"/>
      <c r="X687" s="313"/>
      <c r="Y687" s="314"/>
      <c r="Z687" s="335"/>
      <c r="AA687" s="313"/>
      <c r="AB687" s="324"/>
      <c r="AC687" s="155"/>
      <c r="AD687" s="155"/>
      <c r="AE687" s="322"/>
      <c r="AF687" s="132"/>
      <c r="AG687" s="132"/>
    </row>
    <row r="688">
      <c r="A688" s="311"/>
      <c r="B688" s="313"/>
      <c r="C688" s="313"/>
      <c r="D688" s="313"/>
      <c r="E688" s="314"/>
      <c r="F688" s="314"/>
      <c r="G688" s="314"/>
      <c r="H688" s="314"/>
      <c r="I688" s="314"/>
      <c r="J688" s="314"/>
      <c r="K688" s="314"/>
      <c r="L688" s="314"/>
      <c r="M688" s="314"/>
      <c r="N688" s="314"/>
      <c r="O688" s="314"/>
      <c r="P688" s="314"/>
      <c r="Q688" s="314"/>
      <c r="R688" s="314"/>
      <c r="S688" s="314"/>
      <c r="T688" s="314"/>
      <c r="U688" s="314"/>
      <c r="V688" s="314"/>
      <c r="W688" s="313"/>
      <c r="X688" s="313"/>
      <c r="Y688" s="314"/>
      <c r="Z688" s="335"/>
      <c r="AA688" s="313"/>
      <c r="AB688" s="324"/>
      <c r="AC688" s="155"/>
      <c r="AD688" s="155"/>
      <c r="AE688" s="322"/>
      <c r="AF688" s="132"/>
      <c r="AG688" s="132"/>
    </row>
    <row r="689">
      <c r="A689" s="311"/>
      <c r="B689" s="313"/>
      <c r="C689" s="313"/>
      <c r="D689" s="313"/>
      <c r="E689" s="314"/>
      <c r="F689" s="314"/>
      <c r="G689" s="314"/>
      <c r="H689" s="314"/>
      <c r="I689" s="314"/>
      <c r="J689" s="314"/>
      <c r="K689" s="314"/>
      <c r="L689" s="314"/>
      <c r="M689" s="314"/>
      <c r="N689" s="314"/>
      <c r="O689" s="314"/>
      <c r="P689" s="314"/>
      <c r="Q689" s="314"/>
      <c r="R689" s="314"/>
      <c r="S689" s="314"/>
      <c r="T689" s="314"/>
      <c r="U689" s="314"/>
      <c r="V689" s="314"/>
      <c r="W689" s="313"/>
      <c r="X689" s="313"/>
      <c r="Y689" s="314"/>
      <c r="Z689" s="335"/>
      <c r="AA689" s="313"/>
      <c r="AB689" s="324"/>
      <c r="AC689" s="155"/>
      <c r="AD689" s="155"/>
      <c r="AE689" s="322"/>
      <c r="AF689" s="132"/>
      <c r="AG689" s="132"/>
    </row>
    <row r="690">
      <c r="A690" s="311"/>
      <c r="B690" s="313"/>
      <c r="C690" s="313"/>
      <c r="D690" s="313"/>
      <c r="E690" s="314"/>
      <c r="F690" s="314"/>
      <c r="G690" s="314"/>
      <c r="H690" s="314"/>
      <c r="I690" s="314"/>
      <c r="J690" s="314"/>
      <c r="K690" s="314"/>
      <c r="L690" s="314"/>
      <c r="M690" s="314"/>
      <c r="N690" s="314"/>
      <c r="O690" s="314"/>
      <c r="P690" s="314"/>
      <c r="Q690" s="314"/>
      <c r="R690" s="314"/>
      <c r="S690" s="314"/>
      <c r="T690" s="314"/>
      <c r="U690" s="314"/>
      <c r="V690" s="314"/>
      <c r="W690" s="313"/>
      <c r="X690" s="313"/>
      <c r="Y690" s="314"/>
      <c r="Z690" s="335"/>
      <c r="AA690" s="313"/>
      <c r="AB690" s="324"/>
      <c r="AC690" s="155"/>
      <c r="AD690" s="155"/>
      <c r="AE690" s="322"/>
      <c r="AF690" s="132"/>
      <c r="AG690" s="132"/>
    </row>
    <row r="691">
      <c r="A691" s="311"/>
      <c r="B691" s="313"/>
      <c r="C691" s="313"/>
      <c r="D691" s="313"/>
      <c r="E691" s="314"/>
      <c r="F691" s="314"/>
      <c r="G691" s="314"/>
      <c r="H691" s="314"/>
      <c r="I691" s="314"/>
      <c r="J691" s="314"/>
      <c r="K691" s="314"/>
      <c r="L691" s="314"/>
      <c r="M691" s="314"/>
      <c r="N691" s="314"/>
      <c r="O691" s="314"/>
      <c r="P691" s="314"/>
      <c r="Q691" s="314"/>
      <c r="R691" s="314"/>
      <c r="S691" s="314"/>
      <c r="T691" s="314"/>
      <c r="U691" s="314"/>
      <c r="V691" s="314"/>
      <c r="W691" s="313"/>
      <c r="X691" s="313"/>
      <c r="Y691" s="314"/>
      <c r="Z691" s="335"/>
      <c r="AA691" s="313"/>
      <c r="AB691" s="324"/>
      <c r="AC691" s="155"/>
      <c r="AD691" s="155"/>
      <c r="AE691" s="322"/>
      <c r="AF691" s="132"/>
      <c r="AG691" s="132"/>
    </row>
    <row r="692">
      <c r="A692" s="311"/>
      <c r="B692" s="313"/>
      <c r="C692" s="313"/>
      <c r="D692" s="313"/>
      <c r="E692" s="314"/>
      <c r="F692" s="314"/>
      <c r="G692" s="314"/>
      <c r="H692" s="314"/>
      <c r="I692" s="314"/>
      <c r="J692" s="314"/>
      <c r="K692" s="314"/>
      <c r="L692" s="314"/>
      <c r="M692" s="314"/>
      <c r="N692" s="314"/>
      <c r="O692" s="314"/>
      <c r="P692" s="314"/>
      <c r="Q692" s="314"/>
      <c r="R692" s="314"/>
      <c r="S692" s="314"/>
      <c r="T692" s="314"/>
      <c r="U692" s="314"/>
      <c r="V692" s="314"/>
      <c r="W692" s="313"/>
      <c r="X692" s="313"/>
      <c r="Y692" s="314"/>
      <c r="Z692" s="335"/>
      <c r="AA692" s="313"/>
      <c r="AB692" s="324"/>
      <c r="AC692" s="155"/>
      <c r="AD692" s="155"/>
      <c r="AE692" s="322"/>
      <c r="AF692" s="132"/>
      <c r="AG692" s="132"/>
    </row>
    <row r="693">
      <c r="A693" s="311"/>
      <c r="B693" s="313"/>
      <c r="C693" s="313"/>
      <c r="D693" s="313"/>
      <c r="E693" s="314"/>
      <c r="F693" s="314"/>
      <c r="G693" s="314"/>
      <c r="H693" s="314"/>
      <c r="I693" s="314"/>
      <c r="J693" s="314"/>
      <c r="K693" s="314"/>
      <c r="L693" s="314"/>
      <c r="M693" s="314"/>
      <c r="N693" s="314"/>
      <c r="O693" s="314"/>
      <c r="P693" s="314"/>
      <c r="Q693" s="314"/>
      <c r="R693" s="314"/>
      <c r="S693" s="314"/>
      <c r="T693" s="314"/>
      <c r="U693" s="314"/>
      <c r="V693" s="314"/>
      <c r="W693" s="313"/>
      <c r="X693" s="313"/>
      <c r="Y693" s="314"/>
      <c r="Z693" s="335"/>
      <c r="AA693" s="313"/>
      <c r="AB693" s="324"/>
      <c r="AC693" s="155"/>
      <c r="AD693" s="155"/>
      <c r="AE693" s="322"/>
      <c r="AF693" s="132"/>
      <c r="AG693" s="132"/>
    </row>
    <row r="694">
      <c r="A694" s="311"/>
      <c r="B694" s="313"/>
      <c r="C694" s="313"/>
      <c r="D694" s="313"/>
      <c r="E694" s="314"/>
      <c r="F694" s="314"/>
      <c r="G694" s="314"/>
      <c r="H694" s="314"/>
      <c r="I694" s="314"/>
      <c r="J694" s="314"/>
      <c r="K694" s="314"/>
      <c r="L694" s="314"/>
      <c r="M694" s="314"/>
      <c r="N694" s="314"/>
      <c r="O694" s="314"/>
      <c r="P694" s="314"/>
      <c r="Q694" s="314"/>
      <c r="R694" s="314"/>
      <c r="S694" s="314"/>
      <c r="T694" s="314"/>
      <c r="U694" s="314"/>
      <c r="V694" s="314"/>
      <c r="W694" s="313"/>
      <c r="X694" s="313"/>
      <c r="Y694" s="314"/>
      <c r="Z694" s="335"/>
      <c r="AA694" s="313"/>
      <c r="AB694" s="324"/>
      <c r="AC694" s="155"/>
      <c r="AD694" s="155"/>
      <c r="AE694" s="322"/>
      <c r="AF694" s="132"/>
      <c r="AG694" s="132"/>
    </row>
    <row r="695">
      <c r="A695" s="311"/>
      <c r="B695" s="313"/>
      <c r="C695" s="313"/>
      <c r="D695" s="313"/>
      <c r="E695" s="314"/>
      <c r="F695" s="314"/>
      <c r="G695" s="314"/>
      <c r="H695" s="314"/>
      <c r="I695" s="314"/>
      <c r="J695" s="314"/>
      <c r="K695" s="314"/>
      <c r="L695" s="314"/>
      <c r="M695" s="314"/>
      <c r="N695" s="314"/>
      <c r="O695" s="314"/>
      <c r="P695" s="314"/>
      <c r="Q695" s="314"/>
      <c r="R695" s="314"/>
      <c r="S695" s="314"/>
      <c r="T695" s="314"/>
      <c r="U695" s="314"/>
      <c r="V695" s="314"/>
      <c r="W695" s="313"/>
      <c r="X695" s="313"/>
      <c r="Y695" s="314"/>
      <c r="Z695" s="335"/>
      <c r="AA695" s="313"/>
      <c r="AB695" s="324"/>
      <c r="AC695" s="155"/>
      <c r="AD695" s="155"/>
      <c r="AE695" s="322"/>
      <c r="AF695" s="132"/>
      <c r="AG695" s="132"/>
    </row>
    <row r="696">
      <c r="A696" s="311"/>
      <c r="B696" s="313"/>
      <c r="C696" s="313"/>
      <c r="D696" s="313"/>
      <c r="E696" s="314"/>
      <c r="F696" s="314"/>
      <c r="G696" s="314"/>
      <c r="H696" s="314"/>
      <c r="I696" s="314"/>
      <c r="J696" s="314"/>
      <c r="K696" s="314"/>
      <c r="L696" s="314"/>
      <c r="M696" s="314"/>
      <c r="N696" s="314"/>
      <c r="O696" s="314"/>
      <c r="P696" s="314"/>
      <c r="Q696" s="314"/>
      <c r="R696" s="314"/>
      <c r="S696" s="314"/>
      <c r="T696" s="314"/>
      <c r="U696" s="314"/>
      <c r="V696" s="314"/>
      <c r="W696" s="313"/>
      <c r="X696" s="313"/>
      <c r="Y696" s="314"/>
      <c r="Z696" s="335"/>
      <c r="AA696" s="313"/>
      <c r="AB696" s="324"/>
      <c r="AC696" s="155"/>
      <c r="AD696" s="155"/>
      <c r="AE696" s="322"/>
      <c r="AF696" s="132"/>
      <c r="AG696" s="132"/>
    </row>
    <row r="697">
      <c r="A697" s="311"/>
      <c r="B697" s="313"/>
      <c r="C697" s="313"/>
      <c r="D697" s="313"/>
      <c r="E697" s="314"/>
      <c r="F697" s="314"/>
      <c r="G697" s="314"/>
      <c r="H697" s="314"/>
      <c r="I697" s="314"/>
      <c r="J697" s="314"/>
      <c r="K697" s="314"/>
      <c r="L697" s="314"/>
      <c r="M697" s="314"/>
      <c r="N697" s="314"/>
      <c r="O697" s="314"/>
      <c r="P697" s="314"/>
      <c r="Q697" s="314"/>
      <c r="R697" s="314"/>
      <c r="S697" s="314"/>
      <c r="T697" s="314"/>
      <c r="U697" s="314"/>
      <c r="V697" s="314"/>
      <c r="W697" s="313"/>
      <c r="X697" s="313"/>
      <c r="Y697" s="314"/>
      <c r="Z697" s="335"/>
      <c r="AA697" s="313"/>
      <c r="AB697" s="324"/>
      <c r="AC697" s="155"/>
      <c r="AD697" s="155"/>
      <c r="AE697" s="322"/>
      <c r="AF697" s="132"/>
      <c r="AG697" s="132"/>
    </row>
    <row r="698">
      <c r="A698" s="311"/>
      <c r="B698" s="313"/>
      <c r="C698" s="313"/>
      <c r="D698" s="313"/>
      <c r="E698" s="314"/>
      <c r="F698" s="314"/>
      <c r="G698" s="314"/>
      <c r="H698" s="314"/>
      <c r="I698" s="314"/>
      <c r="J698" s="314"/>
      <c r="K698" s="314"/>
      <c r="L698" s="314"/>
      <c r="M698" s="314"/>
      <c r="N698" s="314"/>
      <c r="O698" s="314"/>
      <c r="P698" s="314"/>
      <c r="Q698" s="314"/>
      <c r="R698" s="314"/>
      <c r="S698" s="314"/>
      <c r="T698" s="314"/>
      <c r="U698" s="314"/>
      <c r="V698" s="314"/>
      <c r="W698" s="313"/>
      <c r="X698" s="313"/>
      <c r="Y698" s="314"/>
      <c r="Z698" s="335"/>
      <c r="AA698" s="313"/>
      <c r="AB698" s="324"/>
      <c r="AC698" s="155"/>
      <c r="AD698" s="155"/>
      <c r="AE698" s="322"/>
      <c r="AF698" s="132"/>
      <c r="AG698" s="132"/>
    </row>
    <row r="699">
      <c r="A699" s="311"/>
      <c r="B699" s="313"/>
      <c r="C699" s="313"/>
      <c r="D699" s="313"/>
      <c r="E699" s="314"/>
      <c r="F699" s="314"/>
      <c r="G699" s="314"/>
      <c r="H699" s="314"/>
      <c r="I699" s="314"/>
      <c r="J699" s="314"/>
      <c r="K699" s="314"/>
      <c r="L699" s="314"/>
      <c r="M699" s="314"/>
      <c r="N699" s="314"/>
      <c r="O699" s="314"/>
      <c r="P699" s="314"/>
      <c r="Q699" s="314"/>
      <c r="R699" s="314"/>
      <c r="S699" s="314"/>
      <c r="T699" s="314"/>
      <c r="U699" s="314"/>
      <c r="V699" s="314"/>
      <c r="W699" s="313"/>
      <c r="X699" s="313"/>
      <c r="Y699" s="314"/>
      <c r="Z699" s="335"/>
      <c r="AA699" s="313"/>
      <c r="AB699" s="324"/>
      <c r="AC699" s="155"/>
      <c r="AD699" s="155"/>
      <c r="AE699" s="322"/>
      <c r="AF699" s="132"/>
      <c r="AG699" s="132"/>
    </row>
    <row r="700">
      <c r="A700" s="311"/>
      <c r="B700" s="313"/>
      <c r="C700" s="313"/>
      <c r="D700" s="313"/>
      <c r="E700" s="314"/>
      <c r="F700" s="314"/>
      <c r="G700" s="314"/>
      <c r="H700" s="314"/>
      <c r="I700" s="314"/>
      <c r="J700" s="314"/>
      <c r="K700" s="314"/>
      <c r="L700" s="314"/>
      <c r="M700" s="314"/>
      <c r="N700" s="314"/>
      <c r="O700" s="314"/>
      <c r="P700" s="314"/>
      <c r="Q700" s="314"/>
      <c r="R700" s="314"/>
      <c r="S700" s="314"/>
      <c r="T700" s="314"/>
      <c r="U700" s="314"/>
      <c r="V700" s="314"/>
      <c r="W700" s="313"/>
      <c r="X700" s="313"/>
      <c r="Y700" s="314"/>
      <c r="Z700" s="335"/>
      <c r="AA700" s="313"/>
      <c r="AB700" s="324"/>
      <c r="AC700" s="155"/>
      <c r="AD700" s="155"/>
      <c r="AE700" s="322"/>
      <c r="AF700" s="132"/>
      <c r="AG700" s="132"/>
    </row>
    <row r="701">
      <c r="A701" s="311"/>
      <c r="B701" s="313"/>
      <c r="C701" s="313"/>
      <c r="D701" s="313"/>
      <c r="E701" s="314"/>
      <c r="F701" s="314"/>
      <c r="G701" s="314"/>
      <c r="H701" s="314"/>
      <c r="I701" s="314"/>
      <c r="J701" s="314"/>
      <c r="K701" s="314"/>
      <c r="L701" s="314"/>
      <c r="M701" s="314"/>
      <c r="N701" s="314"/>
      <c r="O701" s="314"/>
      <c r="P701" s="314"/>
      <c r="Q701" s="314"/>
      <c r="R701" s="314"/>
      <c r="S701" s="314"/>
      <c r="T701" s="314"/>
      <c r="U701" s="314"/>
      <c r="V701" s="314"/>
      <c r="W701" s="313"/>
      <c r="X701" s="313"/>
      <c r="Y701" s="314"/>
      <c r="Z701" s="335"/>
      <c r="AA701" s="313"/>
      <c r="AB701" s="324"/>
      <c r="AC701" s="155"/>
      <c r="AD701" s="155"/>
      <c r="AE701" s="322"/>
      <c r="AF701" s="132"/>
      <c r="AG701" s="132"/>
    </row>
    <row r="702">
      <c r="A702" s="311"/>
      <c r="B702" s="313"/>
      <c r="C702" s="313"/>
      <c r="D702" s="313"/>
      <c r="E702" s="314"/>
      <c r="F702" s="314"/>
      <c r="G702" s="314"/>
      <c r="H702" s="314"/>
      <c r="I702" s="314"/>
      <c r="J702" s="314"/>
      <c r="K702" s="314"/>
      <c r="L702" s="314"/>
      <c r="M702" s="314"/>
      <c r="N702" s="314"/>
      <c r="O702" s="314"/>
      <c r="P702" s="314"/>
      <c r="Q702" s="314"/>
      <c r="R702" s="314"/>
      <c r="S702" s="314"/>
      <c r="T702" s="314"/>
      <c r="U702" s="314"/>
      <c r="V702" s="314"/>
      <c r="W702" s="313"/>
      <c r="X702" s="313"/>
      <c r="Y702" s="314"/>
      <c r="Z702" s="335"/>
      <c r="AA702" s="313"/>
      <c r="AB702" s="324"/>
      <c r="AC702" s="155"/>
      <c r="AD702" s="155"/>
      <c r="AE702" s="322"/>
      <c r="AF702" s="132"/>
      <c r="AG702" s="132"/>
    </row>
    <row r="703">
      <c r="A703" s="311"/>
      <c r="B703" s="313"/>
      <c r="C703" s="313"/>
      <c r="D703" s="313"/>
      <c r="E703" s="314"/>
      <c r="F703" s="314"/>
      <c r="G703" s="314"/>
      <c r="H703" s="314"/>
      <c r="I703" s="314"/>
      <c r="J703" s="314"/>
      <c r="K703" s="314"/>
      <c r="L703" s="314"/>
      <c r="M703" s="314"/>
      <c r="N703" s="314"/>
      <c r="O703" s="314"/>
      <c r="P703" s="314"/>
      <c r="Q703" s="314"/>
      <c r="R703" s="314"/>
      <c r="S703" s="314"/>
      <c r="T703" s="314"/>
      <c r="U703" s="314"/>
      <c r="V703" s="314"/>
      <c r="W703" s="313"/>
      <c r="X703" s="313"/>
      <c r="Y703" s="314"/>
      <c r="Z703" s="335"/>
      <c r="AA703" s="313"/>
      <c r="AB703" s="324"/>
      <c r="AC703" s="155"/>
      <c r="AD703" s="155"/>
      <c r="AE703" s="322"/>
      <c r="AF703" s="132"/>
      <c r="AG703" s="132"/>
    </row>
    <row r="704">
      <c r="A704" s="311"/>
      <c r="B704" s="313"/>
      <c r="C704" s="313"/>
      <c r="D704" s="313"/>
      <c r="E704" s="314"/>
      <c r="F704" s="314"/>
      <c r="G704" s="314"/>
      <c r="H704" s="314"/>
      <c r="I704" s="314"/>
      <c r="J704" s="314"/>
      <c r="K704" s="314"/>
      <c r="L704" s="314"/>
      <c r="M704" s="314"/>
      <c r="N704" s="314"/>
      <c r="O704" s="314"/>
      <c r="P704" s="314"/>
      <c r="Q704" s="314"/>
      <c r="R704" s="314"/>
      <c r="S704" s="314"/>
      <c r="T704" s="314"/>
      <c r="U704" s="314"/>
      <c r="V704" s="314"/>
      <c r="W704" s="313"/>
      <c r="X704" s="313"/>
      <c r="Y704" s="314"/>
      <c r="Z704" s="335"/>
      <c r="AA704" s="313"/>
      <c r="AB704" s="324"/>
      <c r="AC704" s="155"/>
      <c r="AD704" s="155"/>
      <c r="AE704" s="322"/>
      <c r="AF704" s="132"/>
      <c r="AG704" s="132"/>
    </row>
    <row r="705">
      <c r="A705" s="311"/>
      <c r="B705" s="313"/>
      <c r="C705" s="313"/>
      <c r="D705" s="313"/>
      <c r="E705" s="314"/>
      <c r="F705" s="314"/>
      <c r="G705" s="314"/>
      <c r="H705" s="314"/>
      <c r="I705" s="314"/>
      <c r="J705" s="314"/>
      <c r="K705" s="314"/>
      <c r="L705" s="314"/>
      <c r="M705" s="314"/>
      <c r="N705" s="314"/>
      <c r="O705" s="314"/>
      <c r="P705" s="314"/>
      <c r="Q705" s="314"/>
      <c r="R705" s="314"/>
      <c r="S705" s="314"/>
      <c r="T705" s="314"/>
      <c r="U705" s="314"/>
      <c r="V705" s="314"/>
      <c r="W705" s="313"/>
      <c r="X705" s="313"/>
      <c r="Y705" s="314"/>
      <c r="Z705" s="335"/>
      <c r="AA705" s="313"/>
      <c r="AB705" s="324"/>
      <c r="AC705" s="155"/>
      <c r="AD705" s="155"/>
      <c r="AE705" s="322"/>
      <c r="AF705" s="132"/>
      <c r="AG705" s="132"/>
    </row>
    <row r="706">
      <c r="A706" s="311"/>
      <c r="B706" s="313"/>
      <c r="C706" s="313"/>
      <c r="D706" s="313"/>
      <c r="E706" s="314"/>
      <c r="F706" s="314"/>
      <c r="G706" s="314"/>
      <c r="H706" s="314"/>
      <c r="I706" s="314"/>
      <c r="J706" s="314"/>
      <c r="K706" s="314"/>
      <c r="L706" s="314"/>
      <c r="M706" s="314"/>
      <c r="N706" s="314"/>
      <c r="O706" s="314"/>
      <c r="P706" s="314"/>
      <c r="Q706" s="314"/>
      <c r="R706" s="314"/>
      <c r="S706" s="314"/>
      <c r="T706" s="314"/>
      <c r="U706" s="314"/>
      <c r="V706" s="314"/>
      <c r="W706" s="313"/>
      <c r="X706" s="313"/>
      <c r="Y706" s="314"/>
      <c r="Z706" s="335"/>
      <c r="AA706" s="313"/>
      <c r="AB706" s="324"/>
      <c r="AC706" s="155"/>
      <c r="AD706" s="155"/>
      <c r="AE706" s="322"/>
      <c r="AF706" s="132"/>
      <c r="AG706" s="132"/>
    </row>
    <row r="707">
      <c r="A707" s="311"/>
      <c r="B707" s="313"/>
      <c r="C707" s="313"/>
      <c r="D707" s="313"/>
      <c r="E707" s="314"/>
      <c r="F707" s="314"/>
      <c r="G707" s="314"/>
      <c r="H707" s="314"/>
      <c r="I707" s="314"/>
      <c r="J707" s="314"/>
      <c r="K707" s="314"/>
      <c r="L707" s="314"/>
      <c r="M707" s="314"/>
      <c r="N707" s="314"/>
      <c r="O707" s="314"/>
      <c r="P707" s="314"/>
      <c r="Q707" s="314"/>
      <c r="R707" s="314"/>
      <c r="S707" s="314"/>
      <c r="T707" s="314"/>
      <c r="U707" s="314"/>
      <c r="V707" s="314"/>
      <c r="W707" s="313"/>
      <c r="X707" s="313"/>
      <c r="Y707" s="314"/>
      <c r="Z707" s="335"/>
      <c r="AA707" s="313"/>
      <c r="AB707" s="324"/>
      <c r="AC707" s="155"/>
      <c r="AD707" s="155"/>
      <c r="AE707" s="322"/>
      <c r="AF707" s="132"/>
      <c r="AG707" s="132"/>
    </row>
    <row r="708">
      <c r="A708" s="311"/>
      <c r="B708" s="313"/>
      <c r="C708" s="313"/>
      <c r="D708" s="313"/>
      <c r="E708" s="314"/>
      <c r="F708" s="314"/>
      <c r="G708" s="314"/>
      <c r="H708" s="314"/>
      <c r="I708" s="314"/>
      <c r="J708" s="314"/>
      <c r="K708" s="314"/>
      <c r="L708" s="314"/>
      <c r="M708" s="314"/>
      <c r="N708" s="314"/>
      <c r="O708" s="314"/>
      <c r="P708" s="314"/>
      <c r="Q708" s="314"/>
      <c r="R708" s="314"/>
      <c r="S708" s="314"/>
      <c r="T708" s="314"/>
      <c r="U708" s="314"/>
      <c r="V708" s="314"/>
      <c r="W708" s="313"/>
      <c r="X708" s="313"/>
      <c r="Y708" s="314"/>
      <c r="Z708" s="335"/>
      <c r="AA708" s="313"/>
      <c r="AB708" s="324"/>
      <c r="AC708" s="155"/>
      <c r="AD708" s="155"/>
      <c r="AE708" s="322"/>
      <c r="AF708" s="132"/>
      <c r="AG708" s="132"/>
    </row>
    <row r="709">
      <c r="A709" s="311"/>
      <c r="B709" s="313"/>
      <c r="C709" s="313"/>
      <c r="D709" s="313"/>
      <c r="E709" s="314"/>
      <c r="F709" s="314"/>
      <c r="G709" s="314"/>
      <c r="H709" s="314"/>
      <c r="I709" s="314"/>
      <c r="J709" s="314"/>
      <c r="K709" s="314"/>
      <c r="L709" s="314"/>
      <c r="M709" s="314"/>
      <c r="N709" s="314"/>
      <c r="O709" s="314"/>
      <c r="P709" s="314"/>
      <c r="Q709" s="314"/>
      <c r="R709" s="314"/>
      <c r="S709" s="314"/>
      <c r="T709" s="314"/>
      <c r="U709" s="314"/>
      <c r="V709" s="314"/>
      <c r="W709" s="313"/>
      <c r="X709" s="313"/>
      <c r="Y709" s="314"/>
      <c r="Z709" s="335"/>
      <c r="AA709" s="313"/>
      <c r="AB709" s="324"/>
      <c r="AC709" s="155"/>
      <c r="AD709" s="155"/>
      <c r="AE709" s="322"/>
      <c r="AF709" s="132"/>
      <c r="AG709" s="132"/>
    </row>
    <row r="710">
      <c r="A710" s="311"/>
      <c r="B710" s="313"/>
      <c r="C710" s="313"/>
      <c r="D710" s="313"/>
      <c r="E710" s="314"/>
      <c r="F710" s="314"/>
      <c r="G710" s="314"/>
      <c r="H710" s="314"/>
      <c r="I710" s="314"/>
      <c r="J710" s="314"/>
      <c r="K710" s="314"/>
      <c r="L710" s="314"/>
      <c r="M710" s="314"/>
      <c r="N710" s="314"/>
      <c r="O710" s="314"/>
      <c r="P710" s="314"/>
      <c r="Q710" s="314"/>
      <c r="R710" s="314"/>
      <c r="S710" s="314"/>
      <c r="T710" s="314"/>
      <c r="U710" s="314"/>
      <c r="V710" s="314"/>
      <c r="W710" s="313"/>
      <c r="X710" s="313"/>
      <c r="Y710" s="314"/>
      <c r="Z710" s="335"/>
      <c r="AA710" s="313"/>
      <c r="AB710" s="324"/>
      <c r="AC710" s="155"/>
      <c r="AD710" s="155"/>
      <c r="AE710" s="322"/>
      <c r="AF710" s="132"/>
      <c r="AG710" s="132"/>
    </row>
    <row r="711">
      <c r="A711" s="311"/>
      <c r="B711" s="313"/>
      <c r="C711" s="313"/>
      <c r="D711" s="313"/>
      <c r="E711" s="314"/>
      <c r="F711" s="314"/>
      <c r="G711" s="314"/>
      <c r="H711" s="314"/>
      <c r="I711" s="314"/>
      <c r="J711" s="314"/>
      <c r="K711" s="314"/>
      <c r="L711" s="314"/>
      <c r="M711" s="314"/>
      <c r="N711" s="314"/>
      <c r="O711" s="314"/>
      <c r="P711" s="314"/>
      <c r="Q711" s="314"/>
      <c r="R711" s="314"/>
      <c r="S711" s="314"/>
      <c r="T711" s="314"/>
      <c r="U711" s="314"/>
      <c r="V711" s="314"/>
      <c r="W711" s="313"/>
      <c r="X711" s="313"/>
      <c r="Y711" s="314"/>
      <c r="Z711" s="335"/>
      <c r="AA711" s="313"/>
      <c r="AB711" s="324"/>
      <c r="AC711" s="155"/>
      <c r="AD711" s="155"/>
      <c r="AE711" s="322"/>
      <c r="AF711" s="132"/>
      <c r="AG711" s="132"/>
    </row>
    <row r="712">
      <c r="A712" s="311"/>
      <c r="B712" s="313"/>
      <c r="C712" s="313"/>
      <c r="D712" s="313"/>
      <c r="E712" s="314"/>
      <c r="F712" s="314"/>
      <c r="G712" s="314"/>
      <c r="H712" s="314"/>
      <c r="I712" s="314"/>
      <c r="J712" s="314"/>
      <c r="K712" s="314"/>
      <c r="L712" s="314"/>
      <c r="M712" s="314"/>
      <c r="N712" s="314"/>
      <c r="O712" s="314"/>
      <c r="P712" s="314"/>
      <c r="Q712" s="314"/>
      <c r="R712" s="314"/>
      <c r="S712" s="314"/>
      <c r="T712" s="314"/>
      <c r="U712" s="314"/>
      <c r="V712" s="314"/>
      <c r="W712" s="313"/>
      <c r="X712" s="313"/>
      <c r="Y712" s="314"/>
      <c r="Z712" s="335"/>
      <c r="AA712" s="313"/>
      <c r="AB712" s="324"/>
      <c r="AC712" s="155"/>
      <c r="AD712" s="155"/>
      <c r="AE712" s="322"/>
      <c r="AF712" s="132"/>
      <c r="AG712" s="132"/>
    </row>
    <row r="713">
      <c r="A713" s="311"/>
      <c r="B713" s="313"/>
      <c r="C713" s="313"/>
      <c r="D713" s="313"/>
      <c r="E713" s="314"/>
      <c r="F713" s="314"/>
      <c r="G713" s="314"/>
      <c r="H713" s="314"/>
      <c r="I713" s="314"/>
      <c r="J713" s="314"/>
      <c r="K713" s="314"/>
      <c r="L713" s="314"/>
      <c r="M713" s="314"/>
      <c r="N713" s="314"/>
      <c r="O713" s="314"/>
      <c r="P713" s="314"/>
      <c r="Q713" s="314"/>
      <c r="R713" s="314"/>
      <c r="S713" s="314"/>
      <c r="T713" s="314"/>
      <c r="U713" s="314"/>
      <c r="V713" s="314"/>
      <c r="W713" s="313"/>
      <c r="X713" s="313"/>
      <c r="Y713" s="314"/>
      <c r="Z713" s="335"/>
      <c r="AA713" s="313"/>
      <c r="AB713" s="324"/>
      <c r="AC713" s="155"/>
      <c r="AD713" s="155"/>
      <c r="AE713" s="322"/>
      <c r="AF713" s="132"/>
      <c r="AG713" s="132"/>
    </row>
    <row r="714">
      <c r="A714" s="311"/>
      <c r="B714" s="313"/>
      <c r="C714" s="313"/>
      <c r="D714" s="313"/>
      <c r="E714" s="314"/>
      <c r="F714" s="314"/>
      <c r="G714" s="314"/>
      <c r="H714" s="314"/>
      <c r="I714" s="314"/>
      <c r="J714" s="314"/>
      <c r="K714" s="314"/>
      <c r="L714" s="314"/>
      <c r="M714" s="314"/>
      <c r="N714" s="314"/>
      <c r="O714" s="314"/>
      <c r="P714" s="314"/>
      <c r="Q714" s="314"/>
      <c r="R714" s="314"/>
      <c r="S714" s="314"/>
      <c r="T714" s="314"/>
      <c r="U714" s="314"/>
      <c r="V714" s="314"/>
      <c r="W714" s="313"/>
      <c r="X714" s="313"/>
      <c r="Y714" s="314"/>
      <c r="Z714" s="335"/>
      <c r="AA714" s="313"/>
      <c r="AB714" s="324"/>
      <c r="AC714" s="155"/>
      <c r="AD714" s="155"/>
      <c r="AE714" s="322"/>
      <c r="AF714" s="132"/>
      <c r="AG714" s="132"/>
    </row>
    <row r="715">
      <c r="A715" s="311"/>
      <c r="B715" s="313"/>
      <c r="C715" s="313"/>
      <c r="D715" s="313"/>
      <c r="E715" s="314"/>
      <c r="F715" s="314"/>
      <c r="G715" s="314"/>
      <c r="H715" s="314"/>
      <c r="I715" s="314"/>
      <c r="J715" s="314"/>
      <c r="K715" s="314"/>
      <c r="L715" s="314"/>
      <c r="M715" s="314"/>
      <c r="N715" s="314"/>
      <c r="O715" s="314"/>
      <c r="P715" s="314"/>
      <c r="Q715" s="314"/>
      <c r="R715" s="314"/>
      <c r="S715" s="314"/>
      <c r="T715" s="314"/>
      <c r="U715" s="314"/>
      <c r="V715" s="314"/>
      <c r="W715" s="313"/>
      <c r="X715" s="313"/>
      <c r="Y715" s="314"/>
      <c r="Z715" s="335"/>
      <c r="AA715" s="313"/>
      <c r="AB715" s="324"/>
      <c r="AC715" s="155"/>
      <c r="AD715" s="155"/>
      <c r="AE715" s="322"/>
      <c r="AF715" s="132"/>
      <c r="AG715" s="132"/>
    </row>
    <row r="716">
      <c r="A716" s="311"/>
      <c r="B716" s="313"/>
      <c r="C716" s="313"/>
      <c r="D716" s="313"/>
      <c r="E716" s="314"/>
      <c r="F716" s="314"/>
      <c r="G716" s="314"/>
      <c r="H716" s="314"/>
      <c r="I716" s="314"/>
      <c r="J716" s="314"/>
      <c r="K716" s="314"/>
      <c r="L716" s="314"/>
      <c r="M716" s="314"/>
      <c r="N716" s="314"/>
      <c r="O716" s="314"/>
      <c r="P716" s="314"/>
      <c r="Q716" s="314"/>
      <c r="R716" s="314"/>
      <c r="S716" s="314"/>
      <c r="T716" s="314"/>
      <c r="U716" s="314"/>
      <c r="V716" s="314"/>
      <c r="W716" s="313"/>
      <c r="X716" s="313"/>
      <c r="Y716" s="314"/>
      <c r="Z716" s="335"/>
      <c r="AA716" s="313"/>
      <c r="AB716" s="324"/>
      <c r="AC716" s="155"/>
      <c r="AD716" s="155"/>
      <c r="AE716" s="322"/>
      <c r="AF716" s="132"/>
      <c r="AG716" s="132"/>
    </row>
    <row r="717">
      <c r="A717" s="311"/>
      <c r="B717" s="313"/>
      <c r="C717" s="313"/>
      <c r="D717" s="313"/>
      <c r="E717" s="314"/>
      <c r="F717" s="314"/>
      <c r="G717" s="314"/>
      <c r="H717" s="314"/>
      <c r="I717" s="314"/>
      <c r="J717" s="314"/>
      <c r="K717" s="314"/>
      <c r="L717" s="314"/>
      <c r="M717" s="314"/>
      <c r="N717" s="314"/>
      <c r="O717" s="314"/>
      <c r="P717" s="314"/>
      <c r="Q717" s="314"/>
      <c r="R717" s="314"/>
      <c r="S717" s="314"/>
      <c r="T717" s="314"/>
      <c r="U717" s="314"/>
      <c r="V717" s="314"/>
      <c r="W717" s="313"/>
      <c r="X717" s="313"/>
      <c r="Y717" s="314"/>
      <c r="Z717" s="335"/>
      <c r="AA717" s="313"/>
      <c r="AB717" s="324"/>
      <c r="AC717" s="155"/>
      <c r="AD717" s="155"/>
      <c r="AE717" s="322"/>
      <c r="AF717" s="132"/>
      <c r="AG717" s="132"/>
    </row>
    <row r="718">
      <c r="A718" s="311"/>
      <c r="B718" s="313"/>
      <c r="C718" s="313"/>
      <c r="D718" s="313"/>
      <c r="E718" s="314"/>
      <c r="F718" s="314"/>
      <c r="G718" s="314"/>
      <c r="H718" s="314"/>
      <c r="I718" s="314"/>
      <c r="J718" s="314"/>
      <c r="K718" s="314"/>
      <c r="L718" s="314"/>
      <c r="M718" s="314"/>
      <c r="N718" s="314"/>
      <c r="O718" s="314"/>
      <c r="P718" s="314"/>
      <c r="Q718" s="314"/>
      <c r="R718" s="314"/>
      <c r="S718" s="314"/>
      <c r="T718" s="314"/>
      <c r="U718" s="314"/>
      <c r="V718" s="314"/>
      <c r="W718" s="313"/>
      <c r="X718" s="313"/>
      <c r="Y718" s="314"/>
      <c r="Z718" s="335"/>
      <c r="AA718" s="313"/>
      <c r="AB718" s="324"/>
      <c r="AC718" s="155"/>
      <c r="AD718" s="155"/>
      <c r="AE718" s="322"/>
      <c r="AF718" s="132"/>
      <c r="AG718" s="132"/>
    </row>
    <row r="719">
      <c r="A719" s="311"/>
      <c r="B719" s="313"/>
      <c r="C719" s="313"/>
      <c r="D719" s="313"/>
      <c r="E719" s="314"/>
      <c r="F719" s="314"/>
      <c r="G719" s="314"/>
      <c r="H719" s="314"/>
      <c r="I719" s="314"/>
      <c r="J719" s="314"/>
      <c r="K719" s="314"/>
      <c r="L719" s="314"/>
      <c r="M719" s="314"/>
      <c r="N719" s="314"/>
      <c r="O719" s="314"/>
      <c r="P719" s="314"/>
      <c r="Q719" s="314"/>
      <c r="R719" s="314"/>
      <c r="S719" s="314"/>
      <c r="T719" s="314"/>
      <c r="U719" s="314"/>
      <c r="V719" s="314"/>
      <c r="W719" s="313"/>
      <c r="X719" s="313"/>
      <c r="Y719" s="314"/>
      <c r="Z719" s="335"/>
      <c r="AA719" s="313"/>
      <c r="AB719" s="324"/>
      <c r="AC719" s="155"/>
      <c r="AD719" s="155"/>
      <c r="AE719" s="322"/>
      <c r="AF719" s="132"/>
      <c r="AG719" s="132"/>
    </row>
    <row r="720">
      <c r="A720" s="311"/>
      <c r="B720" s="313"/>
      <c r="C720" s="313"/>
      <c r="D720" s="313"/>
      <c r="E720" s="314"/>
      <c r="F720" s="314"/>
      <c r="G720" s="314"/>
      <c r="H720" s="314"/>
      <c r="I720" s="314"/>
      <c r="J720" s="314"/>
      <c r="K720" s="314"/>
      <c r="L720" s="314"/>
      <c r="M720" s="314"/>
      <c r="N720" s="314"/>
      <c r="O720" s="314"/>
      <c r="P720" s="314"/>
      <c r="Q720" s="314"/>
      <c r="R720" s="314"/>
      <c r="S720" s="314"/>
      <c r="T720" s="314"/>
      <c r="U720" s="314"/>
      <c r="V720" s="314"/>
      <c r="W720" s="313"/>
      <c r="X720" s="313"/>
      <c r="Y720" s="314"/>
      <c r="Z720" s="335"/>
      <c r="AA720" s="313"/>
      <c r="AB720" s="324"/>
      <c r="AC720" s="155"/>
      <c r="AD720" s="155"/>
      <c r="AE720" s="322"/>
      <c r="AF720" s="132"/>
      <c r="AG720" s="132"/>
    </row>
    <row r="721">
      <c r="A721" s="311"/>
      <c r="B721" s="313"/>
      <c r="C721" s="313"/>
      <c r="D721" s="313"/>
      <c r="E721" s="314"/>
      <c r="F721" s="314"/>
      <c r="G721" s="314"/>
      <c r="H721" s="314"/>
      <c r="I721" s="314"/>
      <c r="J721" s="314"/>
      <c r="K721" s="314"/>
      <c r="L721" s="314"/>
      <c r="M721" s="314"/>
      <c r="N721" s="314"/>
      <c r="O721" s="314"/>
      <c r="P721" s="314"/>
      <c r="Q721" s="314"/>
      <c r="R721" s="314"/>
      <c r="S721" s="314"/>
      <c r="T721" s="314"/>
      <c r="U721" s="314"/>
      <c r="V721" s="314"/>
      <c r="W721" s="313"/>
      <c r="X721" s="313"/>
      <c r="Y721" s="314"/>
      <c r="Z721" s="335"/>
      <c r="AA721" s="313"/>
      <c r="AB721" s="324"/>
      <c r="AC721" s="155"/>
      <c r="AD721" s="155"/>
      <c r="AE721" s="322"/>
      <c r="AF721" s="132"/>
      <c r="AG721" s="132"/>
    </row>
    <row r="722">
      <c r="A722" s="311"/>
      <c r="B722" s="313"/>
      <c r="C722" s="313"/>
      <c r="D722" s="313"/>
      <c r="E722" s="314"/>
      <c r="F722" s="314"/>
      <c r="G722" s="314"/>
      <c r="H722" s="314"/>
      <c r="I722" s="314"/>
      <c r="J722" s="314"/>
      <c r="K722" s="314"/>
      <c r="L722" s="314"/>
      <c r="M722" s="314"/>
      <c r="N722" s="314"/>
      <c r="O722" s="314"/>
      <c r="P722" s="314"/>
      <c r="Q722" s="314"/>
      <c r="R722" s="314"/>
      <c r="S722" s="314"/>
      <c r="T722" s="314"/>
      <c r="U722" s="314"/>
      <c r="V722" s="314"/>
      <c r="W722" s="313"/>
      <c r="X722" s="313"/>
      <c r="Y722" s="314"/>
      <c r="Z722" s="335"/>
      <c r="AA722" s="313"/>
      <c r="AB722" s="324"/>
      <c r="AC722" s="155"/>
      <c r="AD722" s="155"/>
      <c r="AE722" s="322"/>
      <c r="AF722" s="132"/>
      <c r="AG722" s="132"/>
    </row>
    <row r="723">
      <c r="A723" s="311"/>
      <c r="B723" s="313"/>
      <c r="C723" s="313"/>
      <c r="D723" s="313"/>
      <c r="E723" s="314"/>
      <c r="F723" s="314"/>
      <c r="G723" s="314"/>
      <c r="H723" s="314"/>
      <c r="I723" s="314"/>
      <c r="J723" s="314"/>
      <c r="K723" s="314"/>
      <c r="L723" s="314"/>
      <c r="M723" s="314"/>
      <c r="N723" s="314"/>
      <c r="O723" s="314"/>
      <c r="P723" s="314"/>
      <c r="Q723" s="314"/>
      <c r="R723" s="314"/>
      <c r="S723" s="314"/>
      <c r="T723" s="314"/>
      <c r="U723" s="314"/>
      <c r="V723" s="314"/>
      <c r="W723" s="313"/>
      <c r="X723" s="313"/>
      <c r="Y723" s="314"/>
      <c r="Z723" s="335"/>
      <c r="AA723" s="313"/>
      <c r="AB723" s="324"/>
      <c r="AC723" s="155"/>
      <c r="AD723" s="155"/>
      <c r="AE723" s="322"/>
      <c r="AF723" s="132"/>
      <c r="AG723" s="132"/>
    </row>
    <row r="724">
      <c r="A724" s="311"/>
      <c r="B724" s="313"/>
      <c r="C724" s="313"/>
      <c r="D724" s="313"/>
      <c r="E724" s="314"/>
      <c r="F724" s="314"/>
      <c r="G724" s="314"/>
      <c r="H724" s="314"/>
      <c r="I724" s="314"/>
      <c r="J724" s="314"/>
      <c r="K724" s="314"/>
      <c r="L724" s="314"/>
      <c r="M724" s="314"/>
      <c r="N724" s="314"/>
      <c r="O724" s="314"/>
      <c r="P724" s="314"/>
      <c r="Q724" s="314"/>
      <c r="R724" s="314"/>
      <c r="S724" s="314"/>
      <c r="T724" s="314"/>
      <c r="U724" s="314"/>
      <c r="V724" s="314"/>
      <c r="W724" s="313"/>
      <c r="X724" s="313"/>
      <c r="Y724" s="314"/>
      <c r="Z724" s="335"/>
      <c r="AA724" s="313"/>
      <c r="AB724" s="324"/>
      <c r="AC724" s="155"/>
      <c r="AD724" s="155"/>
      <c r="AE724" s="322"/>
      <c r="AF724" s="132"/>
      <c r="AG724" s="132"/>
    </row>
    <row r="725">
      <c r="A725" s="311"/>
      <c r="B725" s="313"/>
      <c r="C725" s="313"/>
      <c r="D725" s="313"/>
      <c r="E725" s="314"/>
      <c r="F725" s="314"/>
      <c r="G725" s="314"/>
      <c r="H725" s="314"/>
      <c r="I725" s="314"/>
      <c r="J725" s="314"/>
      <c r="K725" s="314"/>
      <c r="L725" s="314"/>
      <c r="M725" s="314"/>
      <c r="N725" s="314"/>
      <c r="O725" s="314"/>
      <c r="P725" s="314"/>
      <c r="Q725" s="314"/>
      <c r="R725" s="314"/>
      <c r="S725" s="314"/>
      <c r="T725" s="314"/>
      <c r="U725" s="314"/>
      <c r="V725" s="314"/>
      <c r="W725" s="313"/>
      <c r="X725" s="313"/>
      <c r="Y725" s="314"/>
      <c r="Z725" s="335"/>
      <c r="AA725" s="313"/>
      <c r="AB725" s="324"/>
      <c r="AC725" s="155"/>
      <c r="AD725" s="155"/>
      <c r="AE725" s="322"/>
      <c r="AF725" s="132"/>
      <c r="AG725" s="132"/>
    </row>
    <row r="726">
      <c r="A726" s="311"/>
      <c r="B726" s="313"/>
      <c r="C726" s="313"/>
      <c r="D726" s="313"/>
      <c r="E726" s="314"/>
      <c r="F726" s="314"/>
      <c r="G726" s="314"/>
      <c r="H726" s="314"/>
      <c r="I726" s="314"/>
      <c r="J726" s="314"/>
      <c r="K726" s="314"/>
      <c r="L726" s="314"/>
      <c r="M726" s="314"/>
      <c r="N726" s="314"/>
      <c r="O726" s="314"/>
      <c r="P726" s="314"/>
      <c r="Q726" s="314"/>
      <c r="R726" s="314"/>
      <c r="S726" s="314"/>
      <c r="T726" s="314"/>
      <c r="U726" s="314"/>
      <c r="V726" s="314"/>
      <c r="W726" s="313"/>
      <c r="X726" s="313"/>
      <c r="Y726" s="314"/>
      <c r="Z726" s="335"/>
      <c r="AA726" s="313"/>
      <c r="AB726" s="324"/>
      <c r="AC726" s="155"/>
      <c r="AD726" s="155"/>
      <c r="AE726" s="322"/>
      <c r="AF726" s="132"/>
      <c r="AG726" s="132"/>
    </row>
    <row r="727">
      <c r="A727" s="311"/>
      <c r="B727" s="313"/>
      <c r="C727" s="313"/>
      <c r="D727" s="313"/>
      <c r="E727" s="314"/>
      <c r="F727" s="314"/>
      <c r="G727" s="314"/>
      <c r="H727" s="314"/>
      <c r="I727" s="314"/>
      <c r="J727" s="314"/>
      <c r="K727" s="314"/>
      <c r="L727" s="314"/>
      <c r="M727" s="314"/>
      <c r="N727" s="314"/>
      <c r="O727" s="314"/>
      <c r="P727" s="314"/>
      <c r="Q727" s="314"/>
      <c r="R727" s="314"/>
      <c r="S727" s="314"/>
      <c r="T727" s="314"/>
      <c r="U727" s="314"/>
      <c r="V727" s="314"/>
      <c r="W727" s="313"/>
      <c r="X727" s="313"/>
      <c r="Y727" s="314"/>
      <c r="Z727" s="335"/>
      <c r="AA727" s="313"/>
      <c r="AB727" s="324"/>
      <c r="AC727" s="155"/>
      <c r="AD727" s="155"/>
      <c r="AE727" s="322"/>
      <c r="AF727" s="132"/>
      <c r="AG727" s="132"/>
    </row>
    <row r="728">
      <c r="A728" s="311"/>
      <c r="B728" s="313"/>
      <c r="C728" s="313"/>
      <c r="D728" s="313"/>
      <c r="E728" s="314"/>
      <c r="F728" s="314"/>
      <c r="G728" s="314"/>
      <c r="H728" s="314"/>
      <c r="I728" s="314"/>
      <c r="J728" s="314"/>
      <c r="K728" s="314"/>
      <c r="L728" s="314"/>
      <c r="M728" s="314"/>
      <c r="N728" s="314"/>
      <c r="O728" s="314"/>
      <c r="P728" s="314"/>
      <c r="Q728" s="314"/>
      <c r="R728" s="314"/>
      <c r="S728" s="314"/>
      <c r="T728" s="314"/>
      <c r="U728" s="314"/>
      <c r="V728" s="314"/>
      <c r="W728" s="313"/>
      <c r="X728" s="313"/>
      <c r="Y728" s="314"/>
      <c r="Z728" s="335"/>
      <c r="AA728" s="313"/>
      <c r="AB728" s="324"/>
      <c r="AC728" s="155"/>
      <c r="AD728" s="155"/>
      <c r="AE728" s="322"/>
      <c r="AF728" s="132"/>
      <c r="AG728" s="132"/>
    </row>
    <row r="729">
      <c r="A729" s="311"/>
      <c r="B729" s="313"/>
      <c r="C729" s="313"/>
      <c r="D729" s="313"/>
      <c r="E729" s="314"/>
      <c r="F729" s="314"/>
      <c r="G729" s="314"/>
      <c r="H729" s="314"/>
      <c r="I729" s="314"/>
      <c r="J729" s="314"/>
      <c r="K729" s="314"/>
      <c r="L729" s="314"/>
      <c r="M729" s="314"/>
      <c r="N729" s="314"/>
      <c r="O729" s="314"/>
      <c r="P729" s="314"/>
      <c r="Q729" s="314"/>
      <c r="R729" s="314"/>
      <c r="S729" s="314"/>
      <c r="T729" s="314"/>
      <c r="U729" s="314"/>
      <c r="V729" s="314"/>
      <c r="W729" s="313"/>
      <c r="X729" s="313"/>
      <c r="Y729" s="314"/>
      <c r="Z729" s="335"/>
      <c r="AA729" s="313"/>
      <c r="AB729" s="324"/>
      <c r="AC729" s="155"/>
      <c r="AD729" s="155"/>
      <c r="AE729" s="322"/>
      <c r="AF729" s="132"/>
      <c r="AG729" s="132"/>
    </row>
    <row r="730">
      <c r="A730" s="311"/>
      <c r="B730" s="313"/>
      <c r="C730" s="313"/>
      <c r="D730" s="313"/>
      <c r="E730" s="314"/>
      <c r="F730" s="314"/>
      <c r="G730" s="314"/>
      <c r="H730" s="314"/>
      <c r="I730" s="314"/>
      <c r="J730" s="314"/>
      <c r="K730" s="314"/>
      <c r="L730" s="314"/>
      <c r="M730" s="314"/>
      <c r="N730" s="314"/>
      <c r="O730" s="314"/>
      <c r="P730" s="314"/>
      <c r="Q730" s="314"/>
      <c r="R730" s="314"/>
      <c r="S730" s="314"/>
      <c r="T730" s="314"/>
      <c r="U730" s="314"/>
      <c r="V730" s="314"/>
      <c r="W730" s="313"/>
      <c r="X730" s="313"/>
      <c r="Y730" s="314"/>
      <c r="Z730" s="335"/>
      <c r="AA730" s="313"/>
      <c r="AB730" s="324"/>
      <c r="AC730" s="155"/>
      <c r="AD730" s="155"/>
      <c r="AE730" s="322"/>
      <c r="AF730" s="132"/>
      <c r="AG730" s="132"/>
    </row>
    <row r="731">
      <c r="A731" s="311"/>
      <c r="B731" s="313"/>
      <c r="C731" s="313"/>
      <c r="D731" s="313"/>
      <c r="E731" s="314"/>
      <c r="F731" s="314"/>
      <c r="G731" s="314"/>
      <c r="H731" s="314"/>
      <c r="I731" s="314"/>
      <c r="J731" s="314"/>
      <c r="K731" s="314"/>
      <c r="L731" s="314"/>
      <c r="M731" s="314"/>
      <c r="N731" s="314"/>
      <c r="O731" s="314"/>
      <c r="P731" s="314"/>
      <c r="Q731" s="314"/>
      <c r="R731" s="314"/>
      <c r="S731" s="314"/>
      <c r="T731" s="314"/>
      <c r="U731" s="314"/>
      <c r="V731" s="314"/>
      <c r="W731" s="313"/>
      <c r="X731" s="313"/>
      <c r="Y731" s="314"/>
      <c r="Z731" s="335"/>
      <c r="AA731" s="313"/>
      <c r="AB731" s="324"/>
      <c r="AC731" s="155"/>
      <c r="AD731" s="155"/>
      <c r="AE731" s="322"/>
      <c r="AF731" s="132"/>
      <c r="AG731" s="132"/>
    </row>
    <row r="732">
      <c r="A732" s="311"/>
      <c r="B732" s="313"/>
      <c r="C732" s="313"/>
      <c r="D732" s="313"/>
      <c r="E732" s="314"/>
      <c r="F732" s="314"/>
      <c r="G732" s="314"/>
      <c r="H732" s="314"/>
      <c r="I732" s="314"/>
      <c r="J732" s="314"/>
      <c r="K732" s="314"/>
      <c r="L732" s="314"/>
      <c r="M732" s="314"/>
      <c r="N732" s="314"/>
      <c r="O732" s="314"/>
      <c r="P732" s="314"/>
      <c r="Q732" s="314"/>
      <c r="R732" s="314"/>
      <c r="S732" s="314"/>
      <c r="T732" s="314"/>
      <c r="U732" s="314"/>
      <c r="V732" s="314"/>
      <c r="W732" s="313"/>
      <c r="X732" s="313"/>
      <c r="Y732" s="314"/>
      <c r="Z732" s="335"/>
      <c r="AA732" s="313"/>
      <c r="AB732" s="324"/>
      <c r="AC732" s="155"/>
      <c r="AD732" s="155"/>
      <c r="AE732" s="322"/>
      <c r="AF732" s="132"/>
      <c r="AG732" s="132"/>
    </row>
    <row r="733">
      <c r="A733" s="311"/>
      <c r="B733" s="313"/>
      <c r="C733" s="313"/>
      <c r="D733" s="313"/>
      <c r="E733" s="314"/>
      <c r="F733" s="314"/>
      <c r="G733" s="314"/>
      <c r="H733" s="314"/>
      <c r="I733" s="314"/>
      <c r="J733" s="314"/>
      <c r="K733" s="314"/>
      <c r="L733" s="314"/>
      <c r="M733" s="314"/>
      <c r="N733" s="314"/>
      <c r="O733" s="314"/>
      <c r="P733" s="314"/>
      <c r="Q733" s="314"/>
      <c r="R733" s="314"/>
      <c r="S733" s="314"/>
      <c r="T733" s="314"/>
      <c r="U733" s="314"/>
      <c r="V733" s="314"/>
      <c r="W733" s="313"/>
      <c r="X733" s="313"/>
      <c r="Y733" s="314"/>
      <c r="Z733" s="335"/>
      <c r="AA733" s="313"/>
      <c r="AB733" s="324"/>
      <c r="AC733" s="155"/>
      <c r="AD733" s="155"/>
      <c r="AE733" s="322"/>
      <c r="AF733" s="132"/>
      <c r="AG733" s="132"/>
    </row>
    <row r="734">
      <c r="A734" s="311"/>
      <c r="B734" s="313"/>
      <c r="C734" s="313"/>
      <c r="D734" s="313"/>
      <c r="E734" s="314"/>
      <c r="F734" s="314"/>
      <c r="G734" s="314"/>
      <c r="H734" s="314"/>
      <c r="I734" s="314"/>
      <c r="J734" s="314"/>
      <c r="K734" s="314"/>
      <c r="L734" s="314"/>
      <c r="M734" s="314"/>
      <c r="N734" s="314"/>
      <c r="O734" s="314"/>
      <c r="P734" s="314"/>
      <c r="Q734" s="314"/>
      <c r="R734" s="314"/>
      <c r="S734" s="314"/>
      <c r="T734" s="314"/>
      <c r="U734" s="314"/>
      <c r="V734" s="314"/>
      <c r="W734" s="313"/>
      <c r="X734" s="313"/>
      <c r="Y734" s="314"/>
      <c r="Z734" s="335"/>
      <c r="AA734" s="313"/>
      <c r="AB734" s="324"/>
      <c r="AC734" s="155"/>
      <c r="AD734" s="155"/>
      <c r="AE734" s="322"/>
      <c r="AF734" s="132"/>
      <c r="AG734" s="132"/>
    </row>
    <row r="735">
      <c r="A735" s="311"/>
      <c r="B735" s="313"/>
      <c r="C735" s="313"/>
      <c r="D735" s="313"/>
      <c r="E735" s="314"/>
      <c r="F735" s="314"/>
      <c r="G735" s="314"/>
      <c r="H735" s="314"/>
      <c r="I735" s="314"/>
      <c r="J735" s="314"/>
      <c r="K735" s="314"/>
      <c r="L735" s="314"/>
      <c r="M735" s="314"/>
      <c r="N735" s="314"/>
      <c r="O735" s="314"/>
      <c r="P735" s="314"/>
      <c r="Q735" s="314"/>
      <c r="R735" s="314"/>
      <c r="S735" s="314"/>
      <c r="T735" s="314"/>
      <c r="U735" s="314"/>
      <c r="V735" s="314"/>
      <c r="W735" s="313"/>
      <c r="X735" s="313"/>
      <c r="Y735" s="314"/>
      <c r="Z735" s="335"/>
      <c r="AA735" s="313"/>
      <c r="AB735" s="324"/>
      <c r="AC735" s="155"/>
      <c r="AD735" s="155"/>
      <c r="AE735" s="322"/>
      <c r="AF735" s="132"/>
      <c r="AG735" s="132"/>
    </row>
    <row r="736">
      <c r="A736" s="311"/>
      <c r="B736" s="313"/>
      <c r="C736" s="313"/>
      <c r="D736" s="313"/>
      <c r="E736" s="314"/>
      <c r="F736" s="314"/>
      <c r="G736" s="314"/>
      <c r="H736" s="314"/>
      <c r="I736" s="314"/>
      <c r="J736" s="314"/>
      <c r="K736" s="314"/>
      <c r="L736" s="314"/>
      <c r="M736" s="314"/>
      <c r="N736" s="314"/>
      <c r="O736" s="314"/>
      <c r="P736" s="314"/>
      <c r="Q736" s="314"/>
      <c r="R736" s="314"/>
      <c r="S736" s="314"/>
      <c r="T736" s="314"/>
      <c r="U736" s="314"/>
      <c r="V736" s="314"/>
      <c r="W736" s="313"/>
      <c r="X736" s="313"/>
      <c r="Y736" s="314"/>
      <c r="Z736" s="335"/>
      <c r="AA736" s="313"/>
      <c r="AB736" s="324"/>
      <c r="AC736" s="155"/>
      <c r="AD736" s="155"/>
      <c r="AE736" s="322"/>
      <c r="AF736" s="132"/>
      <c r="AG736" s="132"/>
    </row>
    <row r="737">
      <c r="A737" s="311"/>
      <c r="B737" s="313"/>
      <c r="C737" s="313"/>
      <c r="D737" s="313"/>
      <c r="E737" s="314"/>
      <c r="F737" s="314"/>
      <c r="G737" s="314"/>
      <c r="H737" s="314"/>
      <c r="I737" s="314"/>
      <c r="J737" s="314"/>
      <c r="K737" s="314"/>
      <c r="L737" s="314"/>
      <c r="M737" s="314"/>
      <c r="N737" s="314"/>
      <c r="O737" s="314"/>
      <c r="P737" s="314"/>
      <c r="Q737" s="314"/>
      <c r="R737" s="314"/>
      <c r="S737" s="314"/>
      <c r="T737" s="314"/>
      <c r="U737" s="314"/>
      <c r="V737" s="314"/>
      <c r="W737" s="313"/>
      <c r="X737" s="313"/>
      <c r="Y737" s="314"/>
      <c r="Z737" s="335"/>
      <c r="AA737" s="313"/>
      <c r="AB737" s="324"/>
      <c r="AC737" s="155"/>
      <c r="AD737" s="155"/>
      <c r="AE737" s="322"/>
      <c r="AF737" s="132"/>
      <c r="AG737" s="132"/>
    </row>
    <row r="738">
      <c r="A738" s="311"/>
      <c r="B738" s="313"/>
      <c r="C738" s="313"/>
      <c r="D738" s="313"/>
      <c r="E738" s="314"/>
      <c r="F738" s="314"/>
      <c r="G738" s="314"/>
      <c r="H738" s="314"/>
      <c r="I738" s="314"/>
      <c r="J738" s="314"/>
      <c r="K738" s="314"/>
      <c r="L738" s="314"/>
      <c r="M738" s="314"/>
      <c r="N738" s="314"/>
      <c r="O738" s="314"/>
      <c r="P738" s="314"/>
      <c r="Q738" s="314"/>
      <c r="R738" s="314"/>
      <c r="S738" s="314"/>
      <c r="T738" s="314"/>
      <c r="U738" s="314"/>
      <c r="V738" s="314"/>
      <c r="W738" s="313"/>
      <c r="X738" s="313"/>
      <c r="Y738" s="314"/>
      <c r="Z738" s="335"/>
      <c r="AA738" s="313"/>
      <c r="AB738" s="324"/>
      <c r="AC738" s="155"/>
      <c r="AD738" s="155"/>
      <c r="AE738" s="322"/>
      <c r="AF738" s="132"/>
      <c r="AG738" s="132"/>
    </row>
    <row r="739">
      <c r="A739" s="311"/>
      <c r="B739" s="313"/>
      <c r="C739" s="313"/>
      <c r="D739" s="313"/>
      <c r="E739" s="314"/>
      <c r="F739" s="314"/>
      <c r="G739" s="314"/>
      <c r="H739" s="314"/>
      <c r="I739" s="314"/>
      <c r="J739" s="314"/>
      <c r="K739" s="314"/>
      <c r="L739" s="314"/>
      <c r="M739" s="314"/>
      <c r="N739" s="314"/>
      <c r="O739" s="314"/>
      <c r="P739" s="314"/>
      <c r="Q739" s="314"/>
      <c r="R739" s="314"/>
      <c r="S739" s="314"/>
      <c r="T739" s="314"/>
      <c r="U739" s="314"/>
      <c r="V739" s="314"/>
      <c r="W739" s="313"/>
      <c r="X739" s="313"/>
      <c r="Y739" s="314"/>
      <c r="Z739" s="335"/>
      <c r="AA739" s="313"/>
      <c r="AB739" s="324"/>
      <c r="AC739" s="155"/>
      <c r="AD739" s="155"/>
      <c r="AE739" s="322"/>
      <c r="AF739" s="132"/>
      <c r="AG739" s="132"/>
    </row>
    <row r="740">
      <c r="A740" s="311"/>
      <c r="B740" s="313"/>
      <c r="C740" s="313"/>
      <c r="D740" s="313"/>
      <c r="E740" s="314"/>
      <c r="F740" s="314"/>
      <c r="G740" s="314"/>
      <c r="H740" s="314"/>
      <c r="I740" s="314"/>
      <c r="J740" s="314"/>
      <c r="K740" s="314"/>
      <c r="L740" s="314"/>
      <c r="M740" s="314"/>
      <c r="N740" s="314"/>
      <c r="O740" s="314"/>
      <c r="P740" s="314"/>
      <c r="Q740" s="314"/>
      <c r="R740" s="314"/>
      <c r="S740" s="314"/>
      <c r="T740" s="314"/>
      <c r="U740" s="314"/>
      <c r="V740" s="314"/>
      <c r="W740" s="313"/>
      <c r="X740" s="313"/>
      <c r="Y740" s="314"/>
      <c r="Z740" s="335"/>
      <c r="AA740" s="313"/>
      <c r="AB740" s="324"/>
      <c r="AC740" s="155"/>
      <c r="AD740" s="155"/>
      <c r="AE740" s="322"/>
      <c r="AF740" s="132"/>
      <c r="AG740" s="132"/>
    </row>
    <row r="741">
      <c r="A741" s="311"/>
      <c r="B741" s="313"/>
      <c r="C741" s="313"/>
      <c r="D741" s="313"/>
      <c r="E741" s="314"/>
      <c r="F741" s="314"/>
      <c r="G741" s="314"/>
      <c r="H741" s="314"/>
      <c r="I741" s="314"/>
      <c r="J741" s="314"/>
      <c r="K741" s="314"/>
      <c r="L741" s="314"/>
      <c r="M741" s="314"/>
      <c r="N741" s="314"/>
      <c r="O741" s="314"/>
      <c r="P741" s="314"/>
      <c r="Q741" s="314"/>
      <c r="R741" s="314"/>
      <c r="S741" s="314"/>
      <c r="T741" s="314"/>
      <c r="U741" s="314"/>
      <c r="V741" s="314"/>
      <c r="W741" s="313"/>
      <c r="X741" s="313"/>
      <c r="Y741" s="314"/>
      <c r="Z741" s="335"/>
      <c r="AA741" s="313"/>
      <c r="AB741" s="324"/>
      <c r="AC741" s="155"/>
      <c r="AD741" s="155"/>
      <c r="AE741" s="322"/>
      <c r="AF741" s="132"/>
      <c r="AG741" s="132"/>
    </row>
    <row r="742">
      <c r="A742" s="311"/>
      <c r="B742" s="313"/>
      <c r="C742" s="313"/>
      <c r="D742" s="313"/>
      <c r="E742" s="314"/>
      <c r="F742" s="314"/>
      <c r="G742" s="314"/>
      <c r="H742" s="314"/>
      <c r="I742" s="314"/>
      <c r="J742" s="314"/>
      <c r="K742" s="314"/>
      <c r="L742" s="314"/>
      <c r="M742" s="314"/>
      <c r="N742" s="314"/>
      <c r="O742" s="314"/>
      <c r="P742" s="314"/>
      <c r="Q742" s="314"/>
      <c r="R742" s="314"/>
      <c r="S742" s="314"/>
      <c r="T742" s="314"/>
      <c r="U742" s="314"/>
      <c r="V742" s="314"/>
      <c r="W742" s="313"/>
      <c r="X742" s="313"/>
      <c r="Y742" s="314"/>
      <c r="Z742" s="335"/>
      <c r="AA742" s="313"/>
      <c r="AB742" s="324"/>
      <c r="AC742" s="155"/>
      <c r="AD742" s="155"/>
      <c r="AE742" s="322"/>
      <c r="AF742" s="132"/>
      <c r="AG742" s="132"/>
    </row>
    <row r="743">
      <c r="A743" s="311"/>
      <c r="B743" s="313"/>
      <c r="C743" s="313"/>
      <c r="D743" s="313"/>
      <c r="E743" s="314"/>
      <c r="F743" s="314"/>
      <c r="G743" s="314"/>
      <c r="H743" s="314"/>
      <c r="I743" s="314"/>
      <c r="J743" s="314"/>
      <c r="K743" s="314"/>
      <c r="L743" s="314"/>
      <c r="M743" s="314"/>
      <c r="N743" s="314"/>
      <c r="O743" s="314"/>
      <c r="P743" s="314"/>
      <c r="Q743" s="314"/>
      <c r="R743" s="314"/>
      <c r="S743" s="314"/>
      <c r="T743" s="314"/>
      <c r="U743" s="314"/>
      <c r="V743" s="314"/>
      <c r="W743" s="313"/>
      <c r="X743" s="313"/>
      <c r="Y743" s="314"/>
      <c r="Z743" s="335"/>
      <c r="AA743" s="313"/>
      <c r="AB743" s="324"/>
      <c r="AC743" s="155"/>
      <c r="AD743" s="155"/>
      <c r="AE743" s="322"/>
      <c r="AF743" s="132"/>
      <c r="AG743" s="132"/>
    </row>
    <row r="744">
      <c r="A744" s="311"/>
      <c r="B744" s="313"/>
      <c r="C744" s="313"/>
      <c r="D744" s="313"/>
      <c r="E744" s="314"/>
      <c r="F744" s="314"/>
      <c r="G744" s="314"/>
      <c r="H744" s="314"/>
      <c r="I744" s="314"/>
      <c r="J744" s="314"/>
      <c r="K744" s="314"/>
      <c r="L744" s="314"/>
      <c r="M744" s="314"/>
      <c r="N744" s="314"/>
      <c r="O744" s="314"/>
      <c r="P744" s="314"/>
      <c r="Q744" s="314"/>
      <c r="R744" s="314"/>
      <c r="S744" s="314"/>
      <c r="T744" s="314"/>
      <c r="U744" s="314"/>
      <c r="V744" s="314"/>
      <c r="W744" s="313"/>
      <c r="X744" s="313"/>
      <c r="Y744" s="314"/>
      <c r="Z744" s="335"/>
      <c r="AA744" s="313"/>
      <c r="AB744" s="324"/>
      <c r="AC744" s="155"/>
      <c r="AD744" s="155"/>
      <c r="AE744" s="322"/>
      <c r="AF744" s="132"/>
      <c r="AG744" s="132"/>
    </row>
    <row r="745">
      <c r="A745" s="311"/>
      <c r="B745" s="313"/>
      <c r="C745" s="313"/>
      <c r="D745" s="313"/>
      <c r="E745" s="314"/>
      <c r="F745" s="314"/>
      <c r="G745" s="314"/>
      <c r="H745" s="314"/>
      <c r="I745" s="314"/>
      <c r="J745" s="314"/>
      <c r="K745" s="314"/>
      <c r="L745" s="314"/>
      <c r="M745" s="314"/>
      <c r="N745" s="314"/>
      <c r="O745" s="314"/>
      <c r="P745" s="314"/>
      <c r="Q745" s="314"/>
      <c r="R745" s="314"/>
      <c r="S745" s="314"/>
      <c r="T745" s="314"/>
      <c r="U745" s="314"/>
      <c r="V745" s="314"/>
      <c r="W745" s="313"/>
      <c r="X745" s="313"/>
      <c r="Y745" s="314"/>
      <c r="Z745" s="335"/>
      <c r="AA745" s="313"/>
      <c r="AB745" s="324"/>
      <c r="AC745" s="155"/>
      <c r="AD745" s="155"/>
      <c r="AE745" s="322"/>
      <c r="AF745" s="132"/>
      <c r="AG745" s="132"/>
    </row>
    <row r="746">
      <c r="A746" s="311"/>
      <c r="B746" s="313"/>
      <c r="C746" s="313"/>
      <c r="D746" s="313"/>
      <c r="E746" s="314"/>
      <c r="F746" s="314"/>
      <c r="G746" s="314"/>
      <c r="H746" s="314"/>
      <c r="I746" s="314"/>
      <c r="J746" s="314"/>
      <c r="K746" s="314"/>
      <c r="L746" s="314"/>
      <c r="M746" s="314"/>
      <c r="N746" s="314"/>
      <c r="O746" s="314"/>
      <c r="P746" s="314"/>
      <c r="Q746" s="314"/>
      <c r="R746" s="314"/>
      <c r="S746" s="314"/>
      <c r="T746" s="314"/>
      <c r="U746" s="314"/>
      <c r="V746" s="314"/>
      <c r="W746" s="313"/>
      <c r="X746" s="313"/>
      <c r="Y746" s="314"/>
      <c r="Z746" s="335"/>
      <c r="AA746" s="313"/>
      <c r="AB746" s="324"/>
      <c r="AC746" s="155"/>
      <c r="AD746" s="155"/>
      <c r="AE746" s="322"/>
      <c r="AF746" s="132"/>
      <c r="AG746" s="132"/>
    </row>
    <row r="747">
      <c r="A747" s="311"/>
      <c r="B747" s="313"/>
      <c r="C747" s="313"/>
      <c r="D747" s="313"/>
      <c r="E747" s="314"/>
      <c r="F747" s="314"/>
      <c r="G747" s="314"/>
      <c r="H747" s="314"/>
      <c r="I747" s="314"/>
      <c r="J747" s="314"/>
      <c r="K747" s="314"/>
      <c r="L747" s="314"/>
      <c r="M747" s="314"/>
      <c r="N747" s="314"/>
      <c r="O747" s="314"/>
      <c r="P747" s="314"/>
      <c r="Q747" s="314"/>
      <c r="R747" s="314"/>
      <c r="S747" s="314"/>
      <c r="T747" s="314"/>
      <c r="U747" s="314"/>
      <c r="V747" s="314"/>
      <c r="W747" s="313"/>
      <c r="X747" s="313"/>
      <c r="Y747" s="314"/>
      <c r="Z747" s="335"/>
      <c r="AA747" s="313"/>
      <c r="AB747" s="324"/>
      <c r="AC747" s="155"/>
      <c r="AD747" s="155"/>
      <c r="AE747" s="322"/>
      <c r="AF747" s="132"/>
      <c r="AG747" s="132"/>
    </row>
    <row r="748">
      <c r="A748" s="311"/>
      <c r="B748" s="313"/>
      <c r="C748" s="313"/>
      <c r="D748" s="313"/>
      <c r="E748" s="314"/>
      <c r="F748" s="314"/>
      <c r="G748" s="314"/>
      <c r="H748" s="314"/>
      <c r="I748" s="314"/>
      <c r="J748" s="314"/>
      <c r="K748" s="314"/>
      <c r="L748" s="314"/>
      <c r="M748" s="314"/>
      <c r="N748" s="314"/>
      <c r="O748" s="314"/>
      <c r="P748" s="314"/>
      <c r="Q748" s="314"/>
      <c r="R748" s="314"/>
      <c r="S748" s="314"/>
      <c r="T748" s="314"/>
      <c r="U748" s="314"/>
      <c r="V748" s="314"/>
      <c r="W748" s="313"/>
      <c r="X748" s="313"/>
      <c r="Y748" s="314"/>
      <c r="Z748" s="335"/>
      <c r="AA748" s="313"/>
      <c r="AB748" s="324"/>
      <c r="AC748" s="155"/>
      <c r="AD748" s="155"/>
      <c r="AE748" s="322"/>
      <c r="AF748" s="132"/>
      <c r="AG748" s="132"/>
    </row>
    <row r="749">
      <c r="A749" s="311"/>
      <c r="B749" s="313"/>
      <c r="C749" s="313"/>
      <c r="D749" s="313"/>
      <c r="E749" s="314"/>
      <c r="F749" s="314"/>
      <c r="G749" s="314"/>
      <c r="H749" s="314"/>
      <c r="I749" s="314"/>
      <c r="J749" s="314"/>
      <c r="K749" s="314"/>
      <c r="L749" s="314"/>
      <c r="M749" s="314"/>
      <c r="N749" s="314"/>
      <c r="O749" s="314"/>
      <c r="P749" s="314"/>
      <c r="Q749" s="314"/>
      <c r="R749" s="314"/>
      <c r="S749" s="314"/>
      <c r="T749" s="314"/>
      <c r="U749" s="314"/>
      <c r="V749" s="314"/>
      <c r="W749" s="313"/>
      <c r="X749" s="313"/>
      <c r="Y749" s="314"/>
      <c r="Z749" s="335"/>
      <c r="AA749" s="313"/>
      <c r="AB749" s="324"/>
      <c r="AC749" s="155"/>
      <c r="AD749" s="155"/>
      <c r="AE749" s="322"/>
      <c r="AF749" s="132"/>
      <c r="AG749" s="132"/>
    </row>
    <row r="750">
      <c r="A750" s="311"/>
      <c r="B750" s="313"/>
      <c r="C750" s="313"/>
      <c r="D750" s="313"/>
      <c r="E750" s="314"/>
      <c r="F750" s="314"/>
      <c r="G750" s="314"/>
      <c r="H750" s="314"/>
      <c r="I750" s="314"/>
      <c r="J750" s="314"/>
      <c r="K750" s="314"/>
      <c r="L750" s="314"/>
      <c r="M750" s="314"/>
      <c r="N750" s="314"/>
      <c r="O750" s="314"/>
      <c r="P750" s="314"/>
      <c r="Q750" s="314"/>
      <c r="R750" s="314"/>
      <c r="S750" s="314"/>
      <c r="T750" s="314"/>
      <c r="U750" s="314"/>
      <c r="V750" s="314"/>
      <c r="W750" s="313"/>
      <c r="X750" s="313"/>
      <c r="Y750" s="314"/>
      <c r="Z750" s="335"/>
      <c r="AA750" s="313"/>
      <c r="AB750" s="324"/>
      <c r="AC750" s="155"/>
      <c r="AD750" s="155"/>
      <c r="AE750" s="322"/>
      <c r="AF750" s="132"/>
      <c r="AG750" s="132"/>
    </row>
    <row r="751">
      <c r="A751" s="311"/>
      <c r="B751" s="313"/>
      <c r="C751" s="313"/>
      <c r="D751" s="313"/>
      <c r="E751" s="314"/>
      <c r="F751" s="314"/>
      <c r="G751" s="314"/>
      <c r="H751" s="314"/>
      <c r="I751" s="314"/>
      <c r="J751" s="314"/>
      <c r="K751" s="314"/>
      <c r="L751" s="314"/>
      <c r="M751" s="314"/>
      <c r="N751" s="314"/>
      <c r="O751" s="314"/>
      <c r="P751" s="314"/>
      <c r="Q751" s="314"/>
      <c r="R751" s="314"/>
      <c r="S751" s="314"/>
      <c r="T751" s="314"/>
      <c r="U751" s="314"/>
      <c r="V751" s="314"/>
      <c r="W751" s="313"/>
      <c r="X751" s="313"/>
      <c r="Y751" s="314"/>
      <c r="Z751" s="335"/>
      <c r="AA751" s="313"/>
      <c r="AB751" s="324"/>
      <c r="AC751" s="155"/>
      <c r="AD751" s="155"/>
      <c r="AE751" s="322"/>
      <c r="AF751" s="132"/>
      <c r="AG751" s="132"/>
    </row>
    <row r="752">
      <c r="A752" s="311"/>
      <c r="B752" s="313"/>
      <c r="C752" s="313"/>
      <c r="D752" s="313"/>
      <c r="E752" s="314"/>
      <c r="F752" s="314"/>
      <c r="G752" s="314"/>
      <c r="H752" s="314"/>
      <c r="I752" s="314"/>
      <c r="J752" s="314"/>
      <c r="K752" s="314"/>
      <c r="L752" s="314"/>
      <c r="M752" s="314"/>
      <c r="N752" s="314"/>
      <c r="O752" s="314"/>
      <c r="P752" s="314"/>
      <c r="Q752" s="314"/>
      <c r="R752" s="314"/>
      <c r="S752" s="314"/>
      <c r="T752" s="314"/>
      <c r="U752" s="314"/>
      <c r="V752" s="314"/>
      <c r="W752" s="313"/>
      <c r="X752" s="313"/>
      <c r="Y752" s="314"/>
      <c r="Z752" s="335"/>
      <c r="AA752" s="313"/>
      <c r="AB752" s="324"/>
      <c r="AC752" s="155"/>
      <c r="AD752" s="155"/>
      <c r="AE752" s="322"/>
      <c r="AF752" s="132"/>
      <c r="AG752" s="132"/>
    </row>
    <row r="753">
      <c r="A753" s="311"/>
      <c r="B753" s="313"/>
      <c r="C753" s="313"/>
      <c r="D753" s="313"/>
      <c r="E753" s="314"/>
      <c r="F753" s="314"/>
      <c r="G753" s="314"/>
      <c r="H753" s="314"/>
      <c r="I753" s="314"/>
      <c r="J753" s="314"/>
      <c r="K753" s="314"/>
      <c r="L753" s="314"/>
      <c r="M753" s="314"/>
      <c r="N753" s="314"/>
      <c r="O753" s="314"/>
      <c r="P753" s="314"/>
      <c r="Q753" s="314"/>
      <c r="R753" s="314"/>
      <c r="S753" s="314"/>
      <c r="T753" s="314"/>
      <c r="U753" s="314"/>
      <c r="V753" s="314"/>
      <c r="W753" s="313"/>
      <c r="X753" s="313"/>
      <c r="Y753" s="314"/>
      <c r="Z753" s="335"/>
      <c r="AA753" s="313"/>
      <c r="AB753" s="324"/>
      <c r="AC753" s="155"/>
      <c r="AD753" s="155"/>
      <c r="AE753" s="322"/>
      <c r="AF753" s="132"/>
      <c r="AG753" s="132"/>
    </row>
    <row r="754">
      <c r="A754" s="311"/>
      <c r="B754" s="313"/>
      <c r="C754" s="313"/>
      <c r="D754" s="313"/>
      <c r="E754" s="314"/>
      <c r="F754" s="314"/>
      <c r="G754" s="314"/>
      <c r="H754" s="314"/>
      <c r="I754" s="314"/>
      <c r="J754" s="314"/>
      <c r="K754" s="314"/>
      <c r="L754" s="314"/>
      <c r="M754" s="314"/>
      <c r="N754" s="314"/>
      <c r="O754" s="314"/>
      <c r="P754" s="314"/>
      <c r="Q754" s="314"/>
      <c r="R754" s="314"/>
      <c r="S754" s="314"/>
      <c r="T754" s="314"/>
      <c r="U754" s="314"/>
      <c r="V754" s="314"/>
      <c r="W754" s="313"/>
      <c r="X754" s="313"/>
      <c r="Y754" s="314"/>
      <c r="Z754" s="335"/>
      <c r="AA754" s="313"/>
      <c r="AB754" s="324"/>
      <c r="AC754" s="155"/>
      <c r="AD754" s="155"/>
      <c r="AE754" s="322"/>
      <c r="AF754" s="132"/>
      <c r="AG754" s="132"/>
    </row>
    <row r="755">
      <c r="A755" s="311"/>
      <c r="B755" s="313"/>
      <c r="C755" s="313"/>
      <c r="D755" s="313"/>
      <c r="E755" s="314"/>
      <c r="F755" s="314"/>
      <c r="G755" s="314"/>
      <c r="H755" s="314"/>
      <c r="I755" s="314"/>
      <c r="J755" s="314"/>
      <c r="K755" s="314"/>
      <c r="L755" s="314"/>
      <c r="M755" s="314"/>
      <c r="N755" s="314"/>
      <c r="O755" s="314"/>
      <c r="P755" s="314"/>
      <c r="Q755" s="314"/>
      <c r="R755" s="314"/>
      <c r="S755" s="314"/>
      <c r="T755" s="314"/>
      <c r="U755" s="314"/>
      <c r="V755" s="314"/>
      <c r="W755" s="313"/>
      <c r="X755" s="313"/>
      <c r="Y755" s="314"/>
      <c r="Z755" s="335"/>
      <c r="AA755" s="313"/>
      <c r="AB755" s="324"/>
      <c r="AC755" s="155"/>
      <c r="AD755" s="155"/>
      <c r="AE755" s="322"/>
      <c r="AF755" s="132"/>
      <c r="AG755" s="132"/>
    </row>
    <row r="756">
      <c r="A756" s="311"/>
      <c r="B756" s="313"/>
      <c r="C756" s="313"/>
      <c r="D756" s="313"/>
      <c r="E756" s="314"/>
      <c r="F756" s="314"/>
      <c r="G756" s="314"/>
      <c r="H756" s="314"/>
      <c r="I756" s="314"/>
      <c r="J756" s="314"/>
      <c r="K756" s="314"/>
      <c r="L756" s="314"/>
      <c r="M756" s="314"/>
      <c r="N756" s="314"/>
      <c r="O756" s="314"/>
      <c r="P756" s="314"/>
      <c r="Q756" s="314"/>
      <c r="R756" s="314"/>
      <c r="S756" s="314"/>
      <c r="T756" s="314"/>
      <c r="U756" s="314"/>
      <c r="V756" s="314"/>
      <c r="W756" s="313"/>
      <c r="X756" s="313"/>
      <c r="Y756" s="314"/>
      <c r="Z756" s="335"/>
      <c r="AA756" s="313"/>
      <c r="AB756" s="324"/>
      <c r="AC756" s="155"/>
      <c r="AD756" s="155"/>
      <c r="AE756" s="322"/>
      <c r="AF756" s="132"/>
      <c r="AG756" s="132"/>
    </row>
    <row r="757">
      <c r="A757" s="311"/>
      <c r="B757" s="313"/>
      <c r="C757" s="313"/>
      <c r="D757" s="313"/>
      <c r="E757" s="314"/>
      <c r="F757" s="314"/>
      <c r="G757" s="314"/>
      <c r="H757" s="314"/>
      <c r="I757" s="314"/>
      <c r="J757" s="314"/>
      <c r="K757" s="314"/>
      <c r="L757" s="314"/>
      <c r="M757" s="314"/>
      <c r="N757" s="314"/>
      <c r="O757" s="314"/>
      <c r="P757" s="314"/>
      <c r="Q757" s="314"/>
      <c r="R757" s="314"/>
      <c r="S757" s="314"/>
      <c r="T757" s="314"/>
      <c r="U757" s="314"/>
      <c r="V757" s="314"/>
      <c r="W757" s="313"/>
      <c r="X757" s="313"/>
      <c r="Y757" s="314"/>
      <c r="Z757" s="335"/>
      <c r="AA757" s="313"/>
      <c r="AB757" s="324"/>
      <c r="AC757" s="155"/>
      <c r="AD757" s="155"/>
      <c r="AE757" s="322"/>
      <c r="AF757" s="132"/>
      <c r="AG757" s="132"/>
    </row>
    <row r="758">
      <c r="A758" s="311"/>
      <c r="B758" s="313"/>
      <c r="C758" s="313"/>
      <c r="D758" s="313"/>
      <c r="E758" s="314"/>
      <c r="F758" s="314"/>
      <c r="G758" s="314"/>
      <c r="H758" s="314"/>
      <c r="I758" s="314"/>
      <c r="J758" s="314"/>
      <c r="K758" s="314"/>
      <c r="L758" s="314"/>
      <c r="M758" s="314"/>
      <c r="N758" s="314"/>
      <c r="O758" s="314"/>
      <c r="P758" s="314"/>
      <c r="Q758" s="314"/>
      <c r="R758" s="314"/>
      <c r="S758" s="314"/>
      <c r="T758" s="314"/>
      <c r="U758" s="314"/>
      <c r="V758" s="314"/>
      <c r="W758" s="313"/>
      <c r="X758" s="313"/>
      <c r="Y758" s="314"/>
      <c r="Z758" s="335"/>
      <c r="AA758" s="313"/>
      <c r="AB758" s="324"/>
      <c r="AC758" s="155"/>
      <c r="AD758" s="155"/>
      <c r="AE758" s="322"/>
      <c r="AF758" s="132"/>
      <c r="AG758" s="132"/>
    </row>
    <row r="759">
      <c r="A759" s="311"/>
      <c r="B759" s="313"/>
      <c r="C759" s="313"/>
      <c r="D759" s="313"/>
      <c r="E759" s="314"/>
      <c r="F759" s="314"/>
      <c r="G759" s="314"/>
      <c r="H759" s="314"/>
      <c r="I759" s="314"/>
      <c r="J759" s="314"/>
      <c r="K759" s="314"/>
      <c r="L759" s="314"/>
      <c r="M759" s="314"/>
      <c r="N759" s="314"/>
      <c r="O759" s="314"/>
      <c r="P759" s="314"/>
      <c r="Q759" s="314"/>
      <c r="R759" s="314"/>
      <c r="S759" s="314"/>
      <c r="T759" s="314"/>
      <c r="U759" s="314"/>
      <c r="V759" s="314"/>
      <c r="W759" s="313"/>
      <c r="X759" s="313"/>
      <c r="Y759" s="314"/>
      <c r="Z759" s="335"/>
      <c r="AA759" s="313"/>
      <c r="AB759" s="324"/>
      <c r="AC759" s="155"/>
      <c r="AD759" s="155"/>
      <c r="AE759" s="322"/>
      <c r="AF759" s="132"/>
      <c r="AG759" s="132"/>
    </row>
    <row r="760">
      <c r="A760" s="311"/>
      <c r="B760" s="313"/>
      <c r="C760" s="313"/>
      <c r="D760" s="313"/>
      <c r="E760" s="314"/>
      <c r="F760" s="314"/>
      <c r="G760" s="314"/>
      <c r="H760" s="314"/>
      <c r="I760" s="314"/>
      <c r="J760" s="314"/>
      <c r="K760" s="314"/>
      <c r="L760" s="314"/>
      <c r="M760" s="314"/>
      <c r="N760" s="314"/>
      <c r="O760" s="314"/>
      <c r="P760" s="314"/>
      <c r="Q760" s="314"/>
      <c r="R760" s="314"/>
      <c r="S760" s="314"/>
      <c r="T760" s="314"/>
      <c r="U760" s="314"/>
      <c r="V760" s="314"/>
      <c r="W760" s="313"/>
      <c r="X760" s="313"/>
      <c r="Y760" s="314"/>
      <c r="Z760" s="335"/>
      <c r="AA760" s="313"/>
      <c r="AB760" s="324"/>
      <c r="AC760" s="155"/>
      <c r="AD760" s="155"/>
      <c r="AE760" s="322"/>
      <c r="AF760" s="132"/>
      <c r="AG760" s="132"/>
    </row>
    <row r="761">
      <c r="A761" s="311"/>
      <c r="B761" s="313"/>
      <c r="C761" s="313"/>
      <c r="D761" s="313"/>
      <c r="E761" s="314"/>
      <c r="F761" s="314"/>
      <c r="G761" s="314"/>
      <c r="H761" s="314"/>
      <c r="I761" s="314"/>
      <c r="J761" s="314"/>
      <c r="K761" s="314"/>
      <c r="L761" s="314"/>
      <c r="M761" s="314"/>
      <c r="N761" s="314"/>
      <c r="O761" s="314"/>
      <c r="P761" s="314"/>
      <c r="Q761" s="314"/>
      <c r="R761" s="314"/>
      <c r="S761" s="314"/>
      <c r="T761" s="314"/>
      <c r="U761" s="314"/>
      <c r="V761" s="314"/>
      <c r="W761" s="313"/>
      <c r="X761" s="313"/>
      <c r="Y761" s="314"/>
      <c r="Z761" s="335"/>
      <c r="AA761" s="313"/>
      <c r="AB761" s="324"/>
      <c r="AC761" s="155"/>
      <c r="AD761" s="155"/>
      <c r="AE761" s="322"/>
      <c r="AF761" s="132"/>
      <c r="AG761" s="132"/>
    </row>
    <row r="762">
      <c r="A762" s="311"/>
      <c r="B762" s="313"/>
      <c r="C762" s="313"/>
      <c r="D762" s="313"/>
      <c r="E762" s="314"/>
      <c r="F762" s="314"/>
      <c r="G762" s="314"/>
      <c r="H762" s="314"/>
      <c r="I762" s="314"/>
      <c r="J762" s="314"/>
      <c r="K762" s="314"/>
      <c r="L762" s="314"/>
      <c r="M762" s="314"/>
      <c r="N762" s="314"/>
      <c r="O762" s="314"/>
      <c r="P762" s="314"/>
      <c r="Q762" s="314"/>
      <c r="R762" s="314"/>
      <c r="S762" s="314"/>
      <c r="T762" s="314"/>
      <c r="U762" s="314"/>
      <c r="V762" s="314"/>
      <c r="W762" s="313"/>
      <c r="X762" s="313"/>
      <c r="Y762" s="314"/>
      <c r="Z762" s="335"/>
      <c r="AA762" s="313"/>
      <c r="AB762" s="324"/>
      <c r="AC762" s="155"/>
      <c r="AD762" s="155"/>
      <c r="AE762" s="322"/>
      <c r="AF762" s="132"/>
      <c r="AG762" s="132"/>
    </row>
    <row r="763">
      <c r="A763" s="311"/>
      <c r="B763" s="313"/>
      <c r="C763" s="313"/>
      <c r="D763" s="313"/>
      <c r="E763" s="314"/>
      <c r="F763" s="314"/>
      <c r="G763" s="314"/>
      <c r="H763" s="314"/>
      <c r="I763" s="314"/>
      <c r="J763" s="314"/>
      <c r="K763" s="314"/>
      <c r="L763" s="314"/>
      <c r="M763" s="314"/>
      <c r="N763" s="314"/>
      <c r="O763" s="314"/>
      <c r="P763" s="314"/>
      <c r="Q763" s="314"/>
      <c r="R763" s="314"/>
      <c r="S763" s="314"/>
      <c r="T763" s="314"/>
      <c r="U763" s="314"/>
      <c r="V763" s="314"/>
      <c r="W763" s="313"/>
      <c r="X763" s="313"/>
      <c r="Y763" s="314"/>
      <c r="Z763" s="335"/>
      <c r="AA763" s="313"/>
      <c r="AB763" s="324"/>
      <c r="AC763" s="155"/>
      <c r="AD763" s="155"/>
      <c r="AE763" s="322"/>
      <c r="AF763" s="132"/>
      <c r="AG763" s="132"/>
    </row>
    <row r="764">
      <c r="A764" s="311"/>
      <c r="B764" s="313"/>
      <c r="C764" s="313"/>
      <c r="D764" s="313"/>
      <c r="E764" s="314"/>
      <c r="F764" s="314"/>
      <c r="G764" s="314"/>
      <c r="H764" s="314"/>
      <c r="I764" s="314"/>
      <c r="J764" s="314"/>
      <c r="K764" s="314"/>
      <c r="L764" s="314"/>
      <c r="M764" s="314"/>
      <c r="N764" s="314"/>
      <c r="O764" s="314"/>
      <c r="P764" s="314"/>
      <c r="Q764" s="314"/>
      <c r="R764" s="314"/>
      <c r="S764" s="314"/>
      <c r="T764" s="314"/>
      <c r="U764" s="314"/>
      <c r="V764" s="314"/>
      <c r="W764" s="313"/>
      <c r="X764" s="313"/>
      <c r="Y764" s="314"/>
      <c r="Z764" s="335"/>
      <c r="AA764" s="313"/>
      <c r="AB764" s="324"/>
      <c r="AC764" s="155"/>
      <c r="AD764" s="155"/>
      <c r="AE764" s="322"/>
      <c r="AF764" s="132"/>
      <c r="AG764" s="132"/>
    </row>
    <row r="765">
      <c r="A765" s="311"/>
      <c r="B765" s="313"/>
      <c r="C765" s="313"/>
      <c r="D765" s="313"/>
      <c r="E765" s="314"/>
      <c r="F765" s="314"/>
      <c r="G765" s="314"/>
      <c r="H765" s="314"/>
      <c r="I765" s="314"/>
      <c r="J765" s="314"/>
      <c r="K765" s="314"/>
      <c r="L765" s="314"/>
      <c r="M765" s="314"/>
      <c r="N765" s="314"/>
      <c r="O765" s="314"/>
      <c r="P765" s="314"/>
      <c r="Q765" s="314"/>
      <c r="R765" s="314"/>
      <c r="S765" s="314"/>
      <c r="T765" s="314"/>
      <c r="U765" s="314"/>
      <c r="V765" s="314"/>
      <c r="W765" s="313"/>
      <c r="X765" s="313"/>
      <c r="Y765" s="314"/>
      <c r="Z765" s="335"/>
      <c r="AA765" s="313"/>
      <c r="AB765" s="324"/>
      <c r="AC765" s="155"/>
      <c r="AD765" s="155"/>
      <c r="AE765" s="322"/>
      <c r="AF765" s="132"/>
      <c r="AG765" s="132"/>
    </row>
    <row r="766">
      <c r="A766" s="311"/>
      <c r="B766" s="313"/>
      <c r="C766" s="313"/>
      <c r="D766" s="313"/>
      <c r="E766" s="314"/>
      <c r="F766" s="314"/>
      <c r="G766" s="314"/>
      <c r="H766" s="314"/>
      <c r="I766" s="314"/>
      <c r="J766" s="314"/>
      <c r="K766" s="314"/>
      <c r="L766" s="314"/>
      <c r="M766" s="314"/>
      <c r="N766" s="314"/>
      <c r="O766" s="314"/>
      <c r="P766" s="314"/>
      <c r="Q766" s="314"/>
      <c r="R766" s="314"/>
      <c r="S766" s="314"/>
      <c r="T766" s="314"/>
      <c r="U766" s="314"/>
      <c r="V766" s="314"/>
      <c r="W766" s="313"/>
      <c r="X766" s="313"/>
      <c r="Y766" s="314"/>
      <c r="Z766" s="335"/>
      <c r="AA766" s="313"/>
      <c r="AB766" s="324"/>
      <c r="AC766" s="155"/>
      <c r="AD766" s="155"/>
      <c r="AE766" s="322"/>
      <c r="AF766" s="132"/>
      <c r="AG766" s="132"/>
    </row>
    <row r="767">
      <c r="A767" s="311"/>
      <c r="B767" s="313"/>
      <c r="C767" s="313"/>
      <c r="D767" s="313"/>
      <c r="E767" s="314"/>
      <c r="F767" s="314"/>
      <c r="G767" s="314"/>
      <c r="H767" s="314"/>
      <c r="I767" s="314"/>
      <c r="J767" s="314"/>
      <c r="K767" s="314"/>
      <c r="L767" s="314"/>
      <c r="M767" s="314"/>
      <c r="N767" s="314"/>
      <c r="O767" s="314"/>
      <c r="P767" s="314"/>
      <c r="Q767" s="314"/>
      <c r="R767" s="314"/>
      <c r="S767" s="314"/>
      <c r="T767" s="314"/>
      <c r="U767" s="314"/>
      <c r="V767" s="314"/>
      <c r="W767" s="313"/>
      <c r="X767" s="313"/>
      <c r="Y767" s="314"/>
      <c r="Z767" s="335"/>
      <c r="AA767" s="313"/>
      <c r="AB767" s="324"/>
      <c r="AC767" s="155"/>
      <c r="AD767" s="155"/>
      <c r="AE767" s="322"/>
      <c r="AF767" s="132"/>
      <c r="AG767" s="132"/>
    </row>
    <row r="768">
      <c r="A768" s="311"/>
      <c r="B768" s="313"/>
      <c r="C768" s="313"/>
      <c r="D768" s="313"/>
      <c r="E768" s="314"/>
      <c r="F768" s="314"/>
      <c r="G768" s="314"/>
      <c r="H768" s="314"/>
      <c r="I768" s="314"/>
      <c r="J768" s="314"/>
      <c r="K768" s="314"/>
      <c r="L768" s="314"/>
      <c r="M768" s="314"/>
      <c r="N768" s="314"/>
      <c r="O768" s="314"/>
      <c r="P768" s="314"/>
      <c r="Q768" s="314"/>
      <c r="R768" s="314"/>
      <c r="S768" s="314"/>
      <c r="T768" s="314"/>
      <c r="U768" s="314"/>
      <c r="V768" s="314"/>
      <c r="W768" s="313"/>
      <c r="X768" s="313"/>
      <c r="Y768" s="314"/>
      <c r="Z768" s="335"/>
      <c r="AA768" s="313"/>
      <c r="AB768" s="324"/>
      <c r="AC768" s="155"/>
      <c r="AD768" s="155"/>
      <c r="AE768" s="322"/>
      <c r="AF768" s="132"/>
      <c r="AG768" s="132"/>
    </row>
    <row r="769">
      <c r="A769" s="311"/>
      <c r="B769" s="313"/>
      <c r="C769" s="313"/>
      <c r="D769" s="313"/>
      <c r="E769" s="314"/>
      <c r="F769" s="314"/>
      <c r="G769" s="314"/>
      <c r="H769" s="314"/>
      <c r="I769" s="314"/>
      <c r="J769" s="314"/>
      <c r="K769" s="314"/>
      <c r="L769" s="314"/>
      <c r="M769" s="314"/>
      <c r="N769" s="314"/>
      <c r="O769" s="314"/>
      <c r="P769" s="314"/>
      <c r="Q769" s="314"/>
      <c r="R769" s="314"/>
      <c r="S769" s="314"/>
      <c r="T769" s="314"/>
      <c r="U769" s="314"/>
      <c r="V769" s="314"/>
      <c r="W769" s="313"/>
      <c r="X769" s="313"/>
      <c r="Y769" s="314"/>
      <c r="Z769" s="335"/>
      <c r="AA769" s="313"/>
      <c r="AB769" s="324"/>
      <c r="AC769" s="155"/>
      <c r="AD769" s="155"/>
      <c r="AE769" s="322"/>
      <c r="AF769" s="132"/>
      <c r="AG769" s="132"/>
    </row>
    <row r="770">
      <c r="A770" s="311"/>
      <c r="B770" s="313"/>
      <c r="C770" s="313"/>
      <c r="D770" s="313"/>
      <c r="E770" s="314"/>
      <c r="F770" s="314"/>
      <c r="G770" s="314"/>
      <c r="H770" s="314"/>
      <c r="I770" s="314"/>
      <c r="J770" s="314"/>
      <c r="K770" s="314"/>
      <c r="L770" s="314"/>
      <c r="M770" s="314"/>
      <c r="N770" s="314"/>
      <c r="O770" s="314"/>
      <c r="P770" s="314"/>
      <c r="Q770" s="314"/>
      <c r="R770" s="314"/>
      <c r="S770" s="314"/>
      <c r="T770" s="314"/>
      <c r="U770" s="314"/>
      <c r="V770" s="314"/>
      <c r="W770" s="313"/>
      <c r="X770" s="313"/>
      <c r="Y770" s="314"/>
      <c r="Z770" s="335"/>
      <c r="AA770" s="313"/>
      <c r="AB770" s="324"/>
      <c r="AC770" s="155"/>
      <c r="AD770" s="155"/>
      <c r="AE770" s="322"/>
      <c r="AF770" s="132"/>
      <c r="AG770" s="132"/>
    </row>
    <row r="771">
      <c r="A771" s="311"/>
      <c r="B771" s="313"/>
      <c r="C771" s="313"/>
      <c r="D771" s="313"/>
      <c r="E771" s="314"/>
      <c r="F771" s="314"/>
      <c r="G771" s="314"/>
      <c r="H771" s="314"/>
      <c r="I771" s="314"/>
      <c r="J771" s="314"/>
      <c r="K771" s="314"/>
      <c r="L771" s="314"/>
      <c r="M771" s="314"/>
      <c r="N771" s="314"/>
      <c r="O771" s="314"/>
      <c r="P771" s="314"/>
      <c r="Q771" s="314"/>
      <c r="R771" s="314"/>
      <c r="S771" s="314"/>
      <c r="T771" s="314"/>
      <c r="U771" s="314"/>
      <c r="V771" s="314"/>
      <c r="W771" s="313"/>
      <c r="X771" s="313"/>
      <c r="Y771" s="314"/>
      <c r="Z771" s="335"/>
      <c r="AA771" s="313"/>
      <c r="AB771" s="324"/>
      <c r="AC771" s="155"/>
      <c r="AD771" s="155"/>
      <c r="AE771" s="322"/>
      <c r="AF771" s="132"/>
      <c r="AG771" s="132"/>
    </row>
    <row r="772">
      <c r="A772" s="311"/>
      <c r="B772" s="313"/>
      <c r="C772" s="313"/>
      <c r="D772" s="313"/>
      <c r="E772" s="314"/>
      <c r="F772" s="314"/>
      <c r="G772" s="314"/>
      <c r="H772" s="314"/>
      <c r="I772" s="314"/>
      <c r="J772" s="314"/>
      <c r="K772" s="314"/>
      <c r="L772" s="314"/>
      <c r="M772" s="314"/>
      <c r="N772" s="314"/>
      <c r="O772" s="314"/>
      <c r="P772" s="314"/>
      <c r="Q772" s="314"/>
      <c r="R772" s="314"/>
      <c r="S772" s="314"/>
      <c r="T772" s="314"/>
      <c r="U772" s="314"/>
      <c r="V772" s="314"/>
      <c r="W772" s="313"/>
      <c r="X772" s="313"/>
      <c r="Y772" s="314"/>
      <c r="Z772" s="335"/>
      <c r="AA772" s="313"/>
      <c r="AB772" s="324"/>
      <c r="AC772" s="155"/>
      <c r="AD772" s="155"/>
      <c r="AE772" s="322"/>
      <c r="AF772" s="132"/>
      <c r="AG772" s="132"/>
    </row>
    <row r="773">
      <c r="A773" s="311"/>
      <c r="B773" s="313"/>
      <c r="C773" s="313"/>
      <c r="D773" s="313"/>
      <c r="E773" s="314"/>
      <c r="F773" s="314"/>
      <c r="G773" s="314"/>
      <c r="H773" s="314"/>
      <c r="I773" s="314"/>
      <c r="J773" s="314"/>
      <c r="K773" s="314"/>
      <c r="L773" s="314"/>
      <c r="M773" s="314"/>
      <c r="N773" s="314"/>
      <c r="O773" s="314"/>
      <c r="P773" s="314"/>
      <c r="Q773" s="314"/>
      <c r="R773" s="314"/>
      <c r="S773" s="314"/>
      <c r="T773" s="314"/>
      <c r="U773" s="314"/>
      <c r="V773" s="314"/>
      <c r="W773" s="313"/>
      <c r="X773" s="313"/>
      <c r="Y773" s="314"/>
      <c r="Z773" s="335"/>
      <c r="AA773" s="313"/>
      <c r="AB773" s="324"/>
      <c r="AC773" s="155"/>
      <c r="AD773" s="155"/>
      <c r="AE773" s="322"/>
      <c r="AF773" s="132"/>
      <c r="AG773" s="132"/>
    </row>
    <row r="774">
      <c r="A774" s="311"/>
      <c r="B774" s="313"/>
      <c r="C774" s="313"/>
      <c r="D774" s="313"/>
      <c r="E774" s="314"/>
      <c r="F774" s="314"/>
      <c r="G774" s="314"/>
      <c r="H774" s="314"/>
      <c r="I774" s="314"/>
      <c r="J774" s="314"/>
      <c r="K774" s="314"/>
      <c r="L774" s="314"/>
      <c r="M774" s="314"/>
      <c r="N774" s="314"/>
      <c r="O774" s="314"/>
      <c r="P774" s="314"/>
      <c r="Q774" s="314"/>
      <c r="R774" s="314"/>
      <c r="S774" s="314"/>
      <c r="T774" s="314"/>
      <c r="U774" s="314"/>
      <c r="V774" s="314"/>
      <c r="W774" s="313"/>
      <c r="X774" s="313"/>
      <c r="Y774" s="314"/>
      <c r="Z774" s="335"/>
      <c r="AA774" s="313"/>
      <c r="AB774" s="324"/>
      <c r="AC774" s="155"/>
      <c r="AD774" s="155"/>
      <c r="AE774" s="322"/>
      <c r="AF774" s="132"/>
      <c r="AG774" s="132"/>
    </row>
    <row r="775">
      <c r="A775" s="311"/>
      <c r="B775" s="313"/>
      <c r="C775" s="313"/>
      <c r="D775" s="313"/>
      <c r="E775" s="314"/>
      <c r="F775" s="314"/>
      <c r="G775" s="314"/>
      <c r="H775" s="314"/>
      <c r="I775" s="314"/>
      <c r="J775" s="314"/>
      <c r="K775" s="314"/>
      <c r="L775" s="314"/>
      <c r="M775" s="314"/>
      <c r="N775" s="314"/>
      <c r="O775" s="314"/>
      <c r="P775" s="314"/>
      <c r="Q775" s="314"/>
      <c r="R775" s="314"/>
      <c r="S775" s="314"/>
      <c r="T775" s="314"/>
      <c r="U775" s="314"/>
      <c r="V775" s="314"/>
      <c r="W775" s="313"/>
      <c r="X775" s="313"/>
      <c r="Y775" s="314"/>
      <c r="Z775" s="335"/>
      <c r="AA775" s="313"/>
      <c r="AB775" s="324"/>
      <c r="AC775" s="155"/>
      <c r="AD775" s="155"/>
      <c r="AE775" s="322"/>
      <c r="AF775" s="132"/>
      <c r="AG775" s="132"/>
    </row>
    <row r="776">
      <c r="A776" s="311"/>
      <c r="B776" s="313"/>
      <c r="C776" s="313"/>
      <c r="D776" s="313"/>
      <c r="E776" s="314"/>
      <c r="F776" s="314"/>
      <c r="G776" s="314"/>
      <c r="H776" s="314"/>
      <c r="I776" s="314"/>
      <c r="J776" s="314"/>
      <c r="K776" s="314"/>
      <c r="L776" s="314"/>
      <c r="M776" s="314"/>
      <c r="N776" s="314"/>
      <c r="O776" s="314"/>
      <c r="P776" s="314"/>
      <c r="Q776" s="314"/>
      <c r="R776" s="314"/>
      <c r="S776" s="314"/>
      <c r="T776" s="314"/>
      <c r="U776" s="314"/>
      <c r="V776" s="314"/>
      <c r="W776" s="313"/>
      <c r="X776" s="313"/>
      <c r="Y776" s="314"/>
      <c r="Z776" s="335"/>
      <c r="AA776" s="313"/>
      <c r="AB776" s="324"/>
      <c r="AC776" s="155"/>
      <c r="AD776" s="155"/>
      <c r="AE776" s="322"/>
      <c r="AF776" s="132"/>
      <c r="AG776" s="132"/>
    </row>
    <row r="777">
      <c r="A777" s="311"/>
      <c r="B777" s="313"/>
      <c r="C777" s="313"/>
      <c r="D777" s="313"/>
      <c r="E777" s="314"/>
      <c r="F777" s="314"/>
      <c r="G777" s="314"/>
      <c r="H777" s="314"/>
      <c r="I777" s="314"/>
      <c r="J777" s="314"/>
      <c r="K777" s="314"/>
      <c r="L777" s="314"/>
      <c r="M777" s="314"/>
      <c r="N777" s="314"/>
      <c r="O777" s="314"/>
      <c r="P777" s="314"/>
      <c r="Q777" s="314"/>
      <c r="R777" s="314"/>
      <c r="S777" s="314"/>
      <c r="T777" s="314"/>
      <c r="U777" s="314"/>
      <c r="V777" s="314"/>
      <c r="W777" s="313"/>
      <c r="X777" s="313"/>
      <c r="Y777" s="314"/>
      <c r="Z777" s="335"/>
      <c r="AA777" s="313"/>
      <c r="AB777" s="324"/>
      <c r="AC777" s="155"/>
      <c r="AD777" s="155"/>
      <c r="AE777" s="322"/>
      <c r="AF777" s="132"/>
      <c r="AG777" s="132"/>
    </row>
    <row r="778">
      <c r="A778" s="311"/>
      <c r="B778" s="313"/>
      <c r="C778" s="313"/>
      <c r="D778" s="313"/>
      <c r="E778" s="314"/>
      <c r="F778" s="314"/>
      <c r="G778" s="314"/>
      <c r="H778" s="314"/>
      <c r="I778" s="314"/>
      <c r="J778" s="314"/>
      <c r="K778" s="314"/>
      <c r="L778" s="314"/>
      <c r="M778" s="314"/>
      <c r="N778" s="314"/>
      <c r="O778" s="314"/>
      <c r="P778" s="314"/>
      <c r="Q778" s="314"/>
      <c r="R778" s="314"/>
      <c r="S778" s="314"/>
      <c r="T778" s="314"/>
      <c r="U778" s="314"/>
      <c r="V778" s="314"/>
      <c r="W778" s="313"/>
      <c r="X778" s="313"/>
      <c r="Y778" s="314"/>
      <c r="Z778" s="335"/>
      <c r="AA778" s="313"/>
      <c r="AB778" s="324"/>
      <c r="AC778" s="155"/>
      <c r="AD778" s="155"/>
      <c r="AE778" s="322"/>
      <c r="AF778" s="132"/>
      <c r="AG778" s="132"/>
    </row>
    <row r="779">
      <c r="A779" s="311"/>
      <c r="B779" s="313"/>
      <c r="C779" s="313"/>
      <c r="D779" s="313"/>
      <c r="E779" s="314"/>
      <c r="F779" s="314"/>
      <c r="G779" s="314"/>
      <c r="H779" s="314"/>
      <c r="I779" s="314"/>
      <c r="J779" s="314"/>
      <c r="K779" s="314"/>
      <c r="L779" s="314"/>
      <c r="M779" s="314"/>
      <c r="N779" s="314"/>
      <c r="O779" s="314"/>
      <c r="P779" s="314"/>
      <c r="Q779" s="314"/>
      <c r="R779" s="314"/>
      <c r="S779" s="314"/>
      <c r="T779" s="314"/>
      <c r="U779" s="314"/>
      <c r="V779" s="314"/>
      <c r="W779" s="313"/>
      <c r="X779" s="313"/>
      <c r="Y779" s="314"/>
      <c r="Z779" s="335"/>
      <c r="AA779" s="313"/>
      <c r="AB779" s="324"/>
      <c r="AC779" s="155"/>
      <c r="AD779" s="155"/>
      <c r="AE779" s="322"/>
      <c r="AF779" s="132"/>
      <c r="AG779" s="132"/>
    </row>
    <row r="780">
      <c r="A780" s="311"/>
      <c r="B780" s="313"/>
      <c r="C780" s="313"/>
      <c r="D780" s="313"/>
      <c r="E780" s="314"/>
      <c r="F780" s="314"/>
      <c r="G780" s="314"/>
      <c r="H780" s="314"/>
      <c r="I780" s="314"/>
      <c r="J780" s="314"/>
      <c r="K780" s="314"/>
      <c r="L780" s="314"/>
      <c r="M780" s="314"/>
      <c r="N780" s="314"/>
      <c r="O780" s="314"/>
      <c r="P780" s="314"/>
      <c r="Q780" s="314"/>
      <c r="R780" s="314"/>
      <c r="S780" s="314"/>
      <c r="T780" s="314"/>
      <c r="U780" s="314"/>
      <c r="V780" s="314"/>
      <c r="W780" s="313"/>
      <c r="X780" s="313"/>
      <c r="Y780" s="314"/>
      <c r="Z780" s="335"/>
      <c r="AA780" s="313"/>
      <c r="AB780" s="324"/>
      <c r="AC780" s="155"/>
      <c r="AD780" s="155"/>
      <c r="AE780" s="322"/>
      <c r="AF780" s="132"/>
      <c r="AG780" s="132"/>
    </row>
    <row r="781">
      <c r="A781" s="311"/>
      <c r="B781" s="313"/>
      <c r="C781" s="313"/>
      <c r="D781" s="313"/>
      <c r="E781" s="314"/>
      <c r="F781" s="314"/>
      <c r="G781" s="314"/>
      <c r="H781" s="314"/>
      <c r="I781" s="314"/>
      <c r="J781" s="314"/>
      <c r="K781" s="314"/>
      <c r="L781" s="314"/>
      <c r="M781" s="314"/>
      <c r="N781" s="314"/>
      <c r="O781" s="314"/>
      <c r="P781" s="314"/>
      <c r="Q781" s="314"/>
      <c r="R781" s="314"/>
      <c r="S781" s="314"/>
      <c r="T781" s="314"/>
      <c r="U781" s="314"/>
      <c r="V781" s="314"/>
      <c r="W781" s="313"/>
      <c r="X781" s="313"/>
      <c r="Y781" s="314"/>
      <c r="Z781" s="335"/>
      <c r="AA781" s="313"/>
      <c r="AB781" s="324"/>
      <c r="AC781" s="155"/>
      <c r="AD781" s="155"/>
      <c r="AE781" s="322"/>
      <c r="AF781" s="132"/>
      <c r="AG781" s="132"/>
    </row>
    <row r="782">
      <c r="A782" s="311"/>
      <c r="B782" s="313"/>
      <c r="C782" s="313"/>
      <c r="D782" s="313"/>
      <c r="E782" s="314"/>
      <c r="F782" s="314"/>
      <c r="G782" s="314"/>
      <c r="H782" s="314"/>
      <c r="I782" s="314"/>
      <c r="J782" s="314"/>
      <c r="K782" s="314"/>
      <c r="L782" s="314"/>
      <c r="M782" s="314"/>
      <c r="N782" s="314"/>
      <c r="O782" s="314"/>
      <c r="P782" s="314"/>
      <c r="Q782" s="314"/>
      <c r="R782" s="314"/>
      <c r="S782" s="314"/>
      <c r="T782" s="314"/>
      <c r="U782" s="314"/>
      <c r="V782" s="314"/>
      <c r="W782" s="313"/>
      <c r="X782" s="313"/>
      <c r="Y782" s="314"/>
      <c r="Z782" s="335"/>
      <c r="AA782" s="313"/>
      <c r="AB782" s="324"/>
      <c r="AC782" s="155"/>
      <c r="AD782" s="155"/>
      <c r="AE782" s="322"/>
      <c r="AF782" s="132"/>
      <c r="AG782" s="132"/>
    </row>
    <row r="783">
      <c r="A783" s="311"/>
      <c r="B783" s="313"/>
      <c r="C783" s="313"/>
      <c r="D783" s="313"/>
      <c r="E783" s="314"/>
      <c r="F783" s="314"/>
      <c r="G783" s="314"/>
      <c r="H783" s="314"/>
      <c r="I783" s="314"/>
      <c r="J783" s="314"/>
      <c r="K783" s="314"/>
      <c r="L783" s="314"/>
      <c r="M783" s="314"/>
      <c r="N783" s="314"/>
      <c r="O783" s="314"/>
      <c r="P783" s="314"/>
      <c r="Q783" s="314"/>
      <c r="R783" s="314"/>
      <c r="S783" s="314"/>
      <c r="T783" s="314"/>
      <c r="U783" s="314"/>
      <c r="V783" s="314"/>
      <c r="W783" s="313"/>
      <c r="X783" s="313"/>
      <c r="Y783" s="314"/>
      <c r="Z783" s="335"/>
      <c r="AA783" s="313"/>
      <c r="AB783" s="324"/>
      <c r="AC783" s="155"/>
      <c r="AD783" s="155"/>
      <c r="AE783" s="322"/>
      <c r="AF783" s="132"/>
      <c r="AG783" s="132"/>
    </row>
    <row r="784">
      <c r="A784" s="311"/>
      <c r="B784" s="313"/>
      <c r="C784" s="313"/>
      <c r="D784" s="313"/>
      <c r="E784" s="314"/>
      <c r="F784" s="314"/>
      <c r="G784" s="314"/>
      <c r="H784" s="314"/>
      <c r="I784" s="314"/>
      <c r="J784" s="314"/>
      <c r="K784" s="314"/>
      <c r="L784" s="314"/>
      <c r="M784" s="314"/>
      <c r="N784" s="314"/>
      <c r="O784" s="314"/>
      <c r="P784" s="314"/>
      <c r="Q784" s="314"/>
      <c r="R784" s="314"/>
      <c r="S784" s="314"/>
      <c r="T784" s="314"/>
      <c r="U784" s="314"/>
      <c r="V784" s="314"/>
      <c r="W784" s="313"/>
      <c r="X784" s="313"/>
      <c r="Y784" s="314"/>
      <c r="Z784" s="335"/>
      <c r="AA784" s="313"/>
      <c r="AB784" s="324"/>
      <c r="AC784" s="155"/>
      <c r="AD784" s="155"/>
      <c r="AE784" s="322"/>
      <c r="AF784" s="132"/>
      <c r="AG784" s="132"/>
    </row>
    <row r="785">
      <c r="A785" s="311"/>
      <c r="B785" s="313"/>
      <c r="C785" s="313"/>
      <c r="D785" s="313"/>
      <c r="E785" s="314"/>
      <c r="F785" s="314"/>
      <c r="G785" s="314"/>
      <c r="H785" s="314"/>
      <c r="I785" s="314"/>
      <c r="J785" s="314"/>
      <c r="K785" s="314"/>
      <c r="L785" s="314"/>
      <c r="M785" s="314"/>
      <c r="N785" s="314"/>
      <c r="O785" s="314"/>
      <c r="P785" s="314"/>
      <c r="Q785" s="314"/>
      <c r="R785" s="314"/>
      <c r="S785" s="314"/>
      <c r="T785" s="314"/>
      <c r="U785" s="314"/>
      <c r="V785" s="314"/>
      <c r="W785" s="313"/>
      <c r="X785" s="313"/>
      <c r="Y785" s="314"/>
      <c r="Z785" s="335"/>
      <c r="AA785" s="313"/>
      <c r="AB785" s="324"/>
      <c r="AC785" s="155"/>
      <c r="AD785" s="155"/>
      <c r="AE785" s="322"/>
      <c r="AF785" s="132"/>
      <c r="AG785" s="132"/>
    </row>
    <row r="786">
      <c r="A786" s="311"/>
      <c r="B786" s="313"/>
      <c r="C786" s="313"/>
      <c r="D786" s="313"/>
      <c r="E786" s="314"/>
      <c r="F786" s="314"/>
      <c r="G786" s="314"/>
      <c r="H786" s="314"/>
      <c r="I786" s="314"/>
      <c r="J786" s="314"/>
      <c r="K786" s="314"/>
      <c r="L786" s="314"/>
      <c r="M786" s="314"/>
      <c r="N786" s="314"/>
      <c r="O786" s="314"/>
      <c r="P786" s="314"/>
      <c r="Q786" s="314"/>
      <c r="R786" s="314"/>
      <c r="S786" s="314"/>
      <c r="T786" s="314"/>
      <c r="U786" s="314"/>
      <c r="V786" s="314"/>
      <c r="W786" s="313"/>
      <c r="X786" s="313"/>
      <c r="Y786" s="314"/>
      <c r="Z786" s="335"/>
      <c r="AA786" s="313"/>
      <c r="AB786" s="324"/>
      <c r="AC786" s="155"/>
      <c r="AD786" s="155"/>
      <c r="AE786" s="322"/>
      <c r="AF786" s="132"/>
      <c r="AG786" s="132"/>
    </row>
    <row r="787">
      <c r="A787" s="311"/>
      <c r="B787" s="313"/>
      <c r="C787" s="313"/>
      <c r="D787" s="313"/>
      <c r="E787" s="314"/>
      <c r="F787" s="314"/>
      <c r="G787" s="314"/>
      <c r="H787" s="314"/>
      <c r="I787" s="314"/>
      <c r="J787" s="314"/>
      <c r="K787" s="314"/>
      <c r="L787" s="314"/>
      <c r="M787" s="314"/>
      <c r="N787" s="314"/>
      <c r="O787" s="314"/>
      <c r="P787" s="314"/>
      <c r="Q787" s="314"/>
      <c r="R787" s="314"/>
      <c r="S787" s="314"/>
      <c r="T787" s="314"/>
      <c r="U787" s="314"/>
      <c r="V787" s="314"/>
      <c r="W787" s="313"/>
      <c r="X787" s="313"/>
      <c r="Y787" s="314"/>
      <c r="Z787" s="335"/>
      <c r="AA787" s="313"/>
      <c r="AB787" s="324"/>
      <c r="AC787" s="155"/>
      <c r="AD787" s="155"/>
      <c r="AE787" s="322"/>
      <c r="AF787" s="132"/>
      <c r="AG787" s="132"/>
    </row>
    <row r="788">
      <c r="A788" s="311"/>
      <c r="B788" s="313"/>
      <c r="C788" s="313"/>
      <c r="D788" s="313"/>
      <c r="E788" s="314"/>
      <c r="F788" s="314"/>
      <c r="G788" s="314"/>
      <c r="H788" s="314"/>
      <c r="I788" s="314"/>
      <c r="J788" s="314"/>
      <c r="K788" s="314"/>
      <c r="L788" s="314"/>
      <c r="M788" s="314"/>
      <c r="N788" s="314"/>
      <c r="O788" s="314"/>
      <c r="P788" s="314"/>
      <c r="Q788" s="314"/>
      <c r="R788" s="314"/>
      <c r="S788" s="314"/>
      <c r="T788" s="314"/>
      <c r="U788" s="314"/>
      <c r="V788" s="314"/>
      <c r="W788" s="313"/>
      <c r="X788" s="313"/>
      <c r="Y788" s="314"/>
      <c r="Z788" s="335"/>
      <c r="AA788" s="313"/>
      <c r="AB788" s="324"/>
      <c r="AC788" s="155"/>
      <c r="AD788" s="155"/>
      <c r="AE788" s="322"/>
      <c r="AF788" s="132"/>
      <c r="AG788" s="132"/>
    </row>
    <row r="789">
      <c r="A789" s="311"/>
      <c r="B789" s="313"/>
      <c r="C789" s="313"/>
      <c r="D789" s="313"/>
      <c r="E789" s="314"/>
      <c r="F789" s="314"/>
      <c r="G789" s="314"/>
      <c r="H789" s="314"/>
      <c r="I789" s="314"/>
      <c r="J789" s="314"/>
      <c r="K789" s="314"/>
      <c r="L789" s="314"/>
      <c r="M789" s="314"/>
      <c r="N789" s="314"/>
      <c r="O789" s="314"/>
      <c r="P789" s="314"/>
      <c r="Q789" s="314"/>
      <c r="R789" s="314"/>
      <c r="S789" s="314"/>
      <c r="T789" s="314"/>
      <c r="U789" s="314"/>
      <c r="V789" s="314"/>
      <c r="W789" s="313"/>
      <c r="X789" s="313"/>
      <c r="Y789" s="314"/>
      <c r="Z789" s="335"/>
      <c r="AA789" s="313"/>
      <c r="AB789" s="324"/>
      <c r="AC789" s="155"/>
      <c r="AD789" s="155"/>
      <c r="AE789" s="322"/>
      <c r="AF789" s="132"/>
      <c r="AG789" s="132"/>
    </row>
    <row r="790">
      <c r="A790" s="311"/>
      <c r="B790" s="313"/>
      <c r="C790" s="313"/>
      <c r="D790" s="313"/>
      <c r="E790" s="314"/>
      <c r="F790" s="314"/>
      <c r="G790" s="314"/>
      <c r="H790" s="314"/>
      <c r="I790" s="314"/>
      <c r="J790" s="314"/>
      <c r="K790" s="314"/>
      <c r="L790" s="314"/>
      <c r="M790" s="314"/>
      <c r="N790" s="314"/>
      <c r="O790" s="314"/>
      <c r="P790" s="314"/>
      <c r="Q790" s="314"/>
      <c r="R790" s="314"/>
      <c r="S790" s="314"/>
      <c r="T790" s="314"/>
      <c r="U790" s="314"/>
      <c r="V790" s="314"/>
      <c r="W790" s="313"/>
      <c r="X790" s="313"/>
      <c r="Y790" s="314"/>
      <c r="Z790" s="335"/>
      <c r="AA790" s="313"/>
      <c r="AB790" s="324"/>
      <c r="AC790" s="155"/>
      <c r="AD790" s="155"/>
      <c r="AE790" s="322"/>
      <c r="AF790" s="132"/>
      <c r="AG790" s="132"/>
    </row>
    <row r="791">
      <c r="A791" s="311"/>
      <c r="B791" s="313"/>
      <c r="C791" s="313"/>
      <c r="D791" s="313"/>
      <c r="E791" s="314"/>
      <c r="F791" s="314"/>
      <c r="G791" s="314"/>
      <c r="H791" s="314"/>
      <c r="I791" s="314"/>
      <c r="J791" s="314"/>
      <c r="K791" s="314"/>
      <c r="L791" s="314"/>
      <c r="M791" s="314"/>
      <c r="N791" s="314"/>
      <c r="O791" s="314"/>
      <c r="P791" s="314"/>
      <c r="Q791" s="314"/>
      <c r="R791" s="314"/>
      <c r="S791" s="314"/>
      <c r="T791" s="314"/>
      <c r="U791" s="314"/>
      <c r="V791" s="314"/>
      <c r="W791" s="313"/>
      <c r="X791" s="313"/>
      <c r="Y791" s="314"/>
      <c r="Z791" s="335"/>
      <c r="AA791" s="313"/>
      <c r="AB791" s="324"/>
      <c r="AC791" s="155"/>
      <c r="AD791" s="155"/>
      <c r="AE791" s="322"/>
      <c r="AF791" s="132"/>
      <c r="AG791" s="132"/>
    </row>
    <row r="792">
      <c r="A792" s="311"/>
      <c r="B792" s="313"/>
      <c r="C792" s="313"/>
      <c r="D792" s="313"/>
      <c r="E792" s="314"/>
      <c r="F792" s="314"/>
      <c r="G792" s="314"/>
      <c r="H792" s="314"/>
      <c r="I792" s="314"/>
      <c r="J792" s="314"/>
      <c r="K792" s="314"/>
      <c r="L792" s="314"/>
      <c r="M792" s="314"/>
      <c r="N792" s="314"/>
      <c r="O792" s="314"/>
      <c r="P792" s="314"/>
      <c r="Q792" s="314"/>
      <c r="R792" s="314"/>
      <c r="S792" s="314"/>
      <c r="T792" s="314"/>
      <c r="U792" s="314"/>
      <c r="V792" s="314"/>
      <c r="W792" s="313"/>
      <c r="X792" s="313"/>
      <c r="Y792" s="314"/>
      <c r="Z792" s="335"/>
      <c r="AA792" s="313"/>
      <c r="AB792" s="324"/>
      <c r="AC792" s="155"/>
      <c r="AD792" s="155"/>
      <c r="AE792" s="322"/>
      <c r="AF792" s="132"/>
      <c r="AG792" s="132"/>
    </row>
    <row r="793">
      <c r="A793" s="311"/>
      <c r="B793" s="313"/>
      <c r="C793" s="313"/>
      <c r="D793" s="313"/>
      <c r="E793" s="314"/>
      <c r="F793" s="314"/>
      <c r="G793" s="314"/>
      <c r="H793" s="314"/>
      <c r="I793" s="314"/>
      <c r="J793" s="314"/>
      <c r="K793" s="314"/>
      <c r="L793" s="314"/>
      <c r="M793" s="314"/>
      <c r="N793" s="314"/>
      <c r="O793" s="314"/>
      <c r="P793" s="314"/>
      <c r="Q793" s="314"/>
      <c r="R793" s="314"/>
      <c r="S793" s="314"/>
      <c r="T793" s="314"/>
      <c r="U793" s="314"/>
      <c r="V793" s="314"/>
      <c r="W793" s="313"/>
      <c r="X793" s="313"/>
      <c r="Y793" s="314"/>
      <c r="Z793" s="335"/>
      <c r="AA793" s="313"/>
      <c r="AB793" s="324"/>
      <c r="AC793" s="155"/>
      <c r="AD793" s="155"/>
      <c r="AE793" s="322"/>
      <c r="AF793" s="132"/>
      <c r="AG793" s="132"/>
    </row>
    <row r="794">
      <c r="A794" s="311"/>
      <c r="B794" s="313"/>
      <c r="C794" s="313"/>
      <c r="D794" s="313"/>
      <c r="E794" s="314"/>
      <c r="F794" s="314"/>
      <c r="G794" s="314"/>
      <c r="H794" s="314"/>
      <c r="I794" s="314"/>
      <c r="J794" s="314"/>
      <c r="K794" s="314"/>
      <c r="L794" s="314"/>
      <c r="M794" s="314"/>
      <c r="N794" s="314"/>
      <c r="O794" s="314"/>
      <c r="P794" s="314"/>
      <c r="Q794" s="314"/>
      <c r="R794" s="314"/>
      <c r="S794" s="314"/>
      <c r="T794" s="314"/>
      <c r="U794" s="314"/>
      <c r="V794" s="314"/>
      <c r="W794" s="313"/>
      <c r="X794" s="313"/>
      <c r="Y794" s="314"/>
      <c r="Z794" s="335"/>
      <c r="AA794" s="313"/>
      <c r="AB794" s="324"/>
      <c r="AC794" s="155"/>
      <c r="AD794" s="155"/>
      <c r="AE794" s="322"/>
      <c r="AF794" s="132"/>
      <c r="AG794" s="132"/>
    </row>
    <row r="795">
      <c r="A795" s="311"/>
      <c r="B795" s="313"/>
      <c r="C795" s="313"/>
      <c r="D795" s="313"/>
      <c r="E795" s="314"/>
      <c r="F795" s="314"/>
      <c r="G795" s="314"/>
      <c r="H795" s="314"/>
      <c r="I795" s="314"/>
      <c r="J795" s="314"/>
      <c r="K795" s="314"/>
      <c r="L795" s="314"/>
      <c r="M795" s="314"/>
      <c r="N795" s="314"/>
      <c r="O795" s="314"/>
      <c r="P795" s="314"/>
      <c r="Q795" s="314"/>
      <c r="R795" s="314"/>
      <c r="S795" s="314"/>
      <c r="T795" s="314"/>
      <c r="U795" s="314"/>
      <c r="V795" s="314"/>
      <c r="W795" s="313"/>
      <c r="X795" s="313"/>
      <c r="Y795" s="314"/>
      <c r="Z795" s="335"/>
      <c r="AA795" s="313"/>
      <c r="AB795" s="324"/>
      <c r="AC795" s="155"/>
      <c r="AD795" s="155"/>
      <c r="AE795" s="322"/>
      <c r="AF795" s="132"/>
      <c r="AG795" s="132"/>
    </row>
    <row r="796">
      <c r="A796" s="311"/>
      <c r="B796" s="313"/>
      <c r="C796" s="313"/>
      <c r="D796" s="313"/>
      <c r="E796" s="314"/>
      <c r="F796" s="314"/>
      <c r="G796" s="314"/>
      <c r="H796" s="314"/>
      <c r="I796" s="314"/>
      <c r="J796" s="314"/>
      <c r="K796" s="314"/>
      <c r="L796" s="314"/>
      <c r="M796" s="314"/>
      <c r="N796" s="314"/>
      <c r="O796" s="314"/>
      <c r="P796" s="314"/>
      <c r="Q796" s="314"/>
      <c r="R796" s="314"/>
      <c r="S796" s="314"/>
      <c r="T796" s="314"/>
      <c r="U796" s="314"/>
      <c r="V796" s="314"/>
      <c r="W796" s="313"/>
      <c r="X796" s="313"/>
      <c r="Y796" s="314"/>
      <c r="Z796" s="335"/>
      <c r="AA796" s="313"/>
      <c r="AB796" s="324"/>
      <c r="AC796" s="155"/>
      <c r="AD796" s="155"/>
      <c r="AE796" s="322"/>
      <c r="AF796" s="132"/>
      <c r="AG796" s="132"/>
    </row>
    <row r="797">
      <c r="A797" s="311"/>
      <c r="B797" s="313"/>
      <c r="C797" s="313"/>
      <c r="D797" s="313"/>
      <c r="E797" s="314"/>
      <c r="F797" s="314"/>
      <c r="G797" s="314"/>
      <c r="H797" s="314"/>
      <c r="I797" s="314"/>
      <c r="J797" s="314"/>
      <c r="K797" s="314"/>
      <c r="L797" s="314"/>
      <c r="M797" s="314"/>
      <c r="N797" s="314"/>
      <c r="O797" s="314"/>
      <c r="P797" s="314"/>
      <c r="Q797" s="314"/>
      <c r="R797" s="314"/>
      <c r="S797" s="314"/>
      <c r="T797" s="314"/>
      <c r="U797" s="314"/>
      <c r="V797" s="314"/>
      <c r="W797" s="313"/>
      <c r="X797" s="313"/>
      <c r="Y797" s="314"/>
      <c r="Z797" s="335"/>
      <c r="AA797" s="313"/>
      <c r="AB797" s="324"/>
      <c r="AC797" s="155"/>
      <c r="AD797" s="155"/>
      <c r="AE797" s="322"/>
      <c r="AF797" s="132"/>
      <c r="AG797" s="132"/>
    </row>
    <row r="798">
      <c r="A798" s="311"/>
      <c r="B798" s="313"/>
      <c r="C798" s="313"/>
      <c r="D798" s="313"/>
      <c r="E798" s="314"/>
      <c r="F798" s="314"/>
      <c r="G798" s="314"/>
      <c r="H798" s="314"/>
      <c r="I798" s="314"/>
      <c r="J798" s="314"/>
      <c r="K798" s="314"/>
      <c r="L798" s="314"/>
      <c r="M798" s="314"/>
      <c r="N798" s="314"/>
      <c r="O798" s="314"/>
      <c r="P798" s="314"/>
      <c r="Q798" s="314"/>
      <c r="R798" s="314"/>
      <c r="S798" s="314"/>
      <c r="T798" s="314"/>
      <c r="U798" s="314"/>
      <c r="V798" s="314"/>
      <c r="W798" s="313"/>
      <c r="X798" s="313"/>
      <c r="Y798" s="314"/>
      <c r="Z798" s="335"/>
      <c r="AA798" s="313"/>
      <c r="AB798" s="324"/>
      <c r="AC798" s="155"/>
      <c r="AD798" s="155"/>
      <c r="AE798" s="322"/>
      <c r="AF798" s="132"/>
      <c r="AG798" s="132"/>
    </row>
    <row r="799">
      <c r="A799" s="311"/>
      <c r="B799" s="313"/>
      <c r="C799" s="313"/>
      <c r="D799" s="313"/>
      <c r="E799" s="314"/>
      <c r="F799" s="314"/>
      <c r="G799" s="314"/>
      <c r="H799" s="314"/>
      <c r="I799" s="314"/>
      <c r="J799" s="314"/>
      <c r="K799" s="314"/>
      <c r="L799" s="314"/>
      <c r="M799" s="314"/>
      <c r="N799" s="314"/>
      <c r="O799" s="314"/>
      <c r="P799" s="314"/>
      <c r="Q799" s="314"/>
      <c r="R799" s="314"/>
      <c r="S799" s="314"/>
      <c r="T799" s="314"/>
      <c r="U799" s="314"/>
      <c r="V799" s="314"/>
      <c r="W799" s="313"/>
      <c r="X799" s="313"/>
      <c r="Y799" s="314"/>
      <c r="Z799" s="335"/>
      <c r="AA799" s="313"/>
      <c r="AB799" s="324"/>
      <c r="AC799" s="155"/>
      <c r="AD799" s="155"/>
      <c r="AE799" s="322"/>
      <c r="AF799" s="132"/>
      <c r="AG799" s="132"/>
    </row>
    <row r="800">
      <c r="A800" s="311"/>
      <c r="B800" s="313"/>
      <c r="C800" s="313"/>
      <c r="D800" s="313"/>
      <c r="E800" s="314"/>
      <c r="F800" s="314"/>
      <c r="G800" s="314"/>
      <c r="H800" s="314"/>
      <c r="I800" s="314"/>
      <c r="J800" s="314"/>
      <c r="K800" s="314"/>
      <c r="L800" s="314"/>
      <c r="M800" s="314"/>
      <c r="N800" s="314"/>
      <c r="O800" s="314"/>
      <c r="P800" s="314"/>
      <c r="Q800" s="314"/>
      <c r="R800" s="314"/>
      <c r="S800" s="314"/>
      <c r="T800" s="314"/>
      <c r="U800" s="314"/>
      <c r="V800" s="314"/>
      <c r="W800" s="313"/>
      <c r="X800" s="313"/>
      <c r="Y800" s="314"/>
      <c r="Z800" s="335"/>
      <c r="AA800" s="313"/>
      <c r="AB800" s="324"/>
      <c r="AC800" s="155"/>
      <c r="AD800" s="155"/>
      <c r="AE800" s="322"/>
      <c r="AF800" s="132"/>
      <c r="AG800" s="132"/>
    </row>
    <row r="801">
      <c r="A801" s="311"/>
      <c r="B801" s="313"/>
      <c r="C801" s="313"/>
      <c r="D801" s="313"/>
      <c r="E801" s="314"/>
      <c r="F801" s="314"/>
      <c r="G801" s="314"/>
      <c r="H801" s="314"/>
      <c r="I801" s="314"/>
      <c r="J801" s="314"/>
      <c r="K801" s="314"/>
      <c r="L801" s="314"/>
      <c r="M801" s="314"/>
      <c r="N801" s="314"/>
      <c r="O801" s="314"/>
      <c r="P801" s="314"/>
      <c r="Q801" s="314"/>
      <c r="R801" s="314"/>
      <c r="S801" s="314"/>
      <c r="T801" s="314"/>
      <c r="U801" s="314"/>
      <c r="V801" s="314"/>
      <c r="W801" s="313"/>
      <c r="X801" s="313"/>
      <c r="Y801" s="314"/>
      <c r="Z801" s="335"/>
      <c r="AA801" s="313"/>
      <c r="AB801" s="324"/>
      <c r="AC801" s="155"/>
      <c r="AD801" s="155"/>
      <c r="AE801" s="322"/>
      <c r="AF801" s="132"/>
      <c r="AG801" s="132"/>
    </row>
    <row r="802">
      <c r="A802" s="311"/>
      <c r="B802" s="313"/>
      <c r="C802" s="313"/>
      <c r="D802" s="313"/>
      <c r="E802" s="314"/>
      <c r="F802" s="314"/>
      <c r="G802" s="314"/>
      <c r="H802" s="314"/>
      <c r="I802" s="314"/>
      <c r="J802" s="314"/>
      <c r="K802" s="314"/>
      <c r="L802" s="314"/>
      <c r="M802" s="314"/>
      <c r="N802" s="314"/>
      <c r="O802" s="314"/>
      <c r="P802" s="314"/>
      <c r="Q802" s="314"/>
      <c r="R802" s="314"/>
      <c r="S802" s="314"/>
      <c r="T802" s="314"/>
      <c r="U802" s="314"/>
      <c r="V802" s="314"/>
      <c r="W802" s="313"/>
      <c r="X802" s="313"/>
      <c r="Y802" s="314"/>
      <c r="Z802" s="335"/>
      <c r="AA802" s="313"/>
      <c r="AB802" s="324"/>
      <c r="AC802" s="155"/>
      <c r="AD802" s="155"/>
      <c r="AE802" s="322"/>
      <c r="AF802" s="132"/>
      <c r="AG802" s="132"/>
    </row>
    <row r="803">
      <c r="A803" s="311"/>
      <c r="B803" s="313"/>
      <c r="C803" s="313"/>
      <c r="D803" s="313"/>
      <c r="E803" s="314"/>
      <c r="F803" s="314"/>
      <c r="G803" s="314"/>
      <c r="H803" s="314"/>
      <c r="I803" s="314"/>
      <c r="J803" s="314"/>
      <c r="K803" s="314"/>
      <c r="L803" s="314"/>
      <c r="M803" s="314"/>
      <c r="N803" s="314"/>
      <c r="O803" s="314"/>
      <c r="P803" s="314"/>
      <c r="Q803" s="314"/>
      <c r="R803" s="314"/>
      <c r="S803" s="314"/>
      <c r="T803" s="314"/>
      <c r="U803" s="314"/>
      <c r="V803" s="314"/>
      <c r="W803" s="313"/>
      <c r="X803" s="313"/>
      <c r="Y803" s="314"/>
      <c r="Z803" s="335"/>
      <c r="AA803" s="313"/>
      <c r="AB803" s="324"/>
      <c r="AC803" s="155"/>
      <c r="AD803" s="155"/>
      <c r="AE803" s="322"/>
      <c r="AF803" s="132"/>
      <c r="AG803" s="132"/>
    </row>
    <row r="804">
      <c r="A804" s="311"/>
      <c r="B804" s="313"/>
      <c r="C804" s="313"/>
      <c r="D804" s="313"/>
      <c r="E804" s="314"/>
      <c r="F804" s="314"/>
      <c r="G804" s="314"/>
      <c r="H804" s="314"/>
      <c r="I804" s="314"/>
      <c r="J804" s="314"/>
      <c r="K804" s="314"/>
      <c r="L804" s="314"/>
      <c r="M804" s="314"/>
      <c r="N804" s="314"/>
      <c r="O804" s="314"/>
      <c r="P804" s="314"/>
      <c r="Q804" s="314"/>
      <c r="R804" s="314"/>
      <c r="S804" s="314"/>
      <c r="T804" s="314"/>
      <c r="U804" s="314"/>
      <c r="V804" s="314"/>
      <c r="W804" s="313"/>
      <c r="X804" s="313"/>
      <c r="Y804" s="314"/>
      <c r="Z804" s="335"/>
      <c r="AA804" s="313"/>
      <c r="AB804" s="324"/>
      <c r="AC804" s="155"/>
      <c r="AD804" s="155"/>
      <c r="AE804" s="322"/>
      <c r="AF804" s="132"/>
      <c r="AG804" s="132"/>
    </row>
    <row r="805">
      <c r="A805" s="311"/>
      <c r="B805" s="313"/>
      <c r="C805" s="313"/>
      <c r="D805" s="313"/>
      <c r="E805" s="314"/>
      <c r="F805" s="314"/>
      <c r="G805" s="314"/>
      <c r="H805" s="314"/>
      <c r="I805" s="314"/>
      <c r="J805" s="314"/>
      <c r="K805" s="314"/>
      <c r="L805" s="314"/>
      <c r="M805" s="314"/>
      <c r="N805" s="314"/>
      <c r="O805" s="314"/>
      <c r="P805" s="314"/>
      <c r="Q805" s="314"/>
      <c r="R805" s="314"/>
      <c r="S805" s="314"/>
      <c r="T805" s="314"/>
      <c r="U805" s="314"/>
      <c r="V805" s="314"/>
      <c r="W805" s="313"/>
      <c r="X805" s="313"/>
      <c r="Y805" s="314"/>
      <c r="Z805" s="335"/>
      <c r="AA805" s="313"/>
      <c r="AB805" s="324"/>
      <c r="AC805" s="155"/>
      <c r="AD805" s="155"/>
      <c r="AE805" s="322"/>
      <c r="AF805" s="132"/>
      <c r="AG805" s="132"/>
    </row>
    <row r="806">
      <c r="A806" s="311"/>
      <c r="B806" s="313"/>
      <c r="C806" s="313"/>
      <c r="D806" s="313"/>
      <c r="E806" s="314"/>
      <c r="F806" s="314"/>
      <c r="G806" s="314"/>
      <c r="H806" s="314"/>
      <c r="I806" s="314"/>
      <c r="J806" s="314"/>
      <c r="K806" s="314"/>
      <c r="L806" s="314"/>
      <c r="M806" s="314"/>
      <c r="N806" s="314"/>
      <c r="O806" s="314"/>
      <c r="P806" s="314"/>
      <c r="Q806" s="314"/>
      <c r="R806" s="314"/>
      <c r="S806" s="314"/>
      <c r="T806" s="314"/>
      <c r="U806" s="314"/>
      <c r="V806" s="314"/>
      <c r="W806" s="313"/>
      <c r="X806" s="313"/>
      <c r="Y806" s="314"/>
      <c r="Z806" s="335"/>
      <c r="AA806" s="313"/>
      <c r="AB806" s="324"/>
      <c r="AC806" s="155"/>
      <c r="AD806" s="155"/>
      <c r="AE806" s="322"/>
      <c r="AF806" s="132"/>
      <c r="AG806" s="132"/>
    </row>
    <row r="807">
      <c r="A807" s="311"/>
      <c r="B807" s="313"/>
      <c r="C807" s="313"/>
      <c r="D807" s="313"/>
      <c r="E807" s="314"/>
      <c r="F807" s="314"/>
      <c r="G807" s="314"/>
      <c r="H807" s="314"/>
      <c r="I807" s="314"/>
      <c r="J807" s="314"/>
      <c r="K807" s="314"/>
      <c r="L807" s="314"/>
      <c r="M807" s="314"/>
      <c r="N807" s="314"/>
      <c r="O807" s="314"/>
      <c r="P807" s="314"/>
      <c r="Q807" s="314"/>
      <c r="R807" s="314"/>
      <c r="S807" s="314"/>
      <c r="T807" s="314"/>
      <c r="U807" s="314"/>
      <c r="V807" s="314"/>
      <c r="W807" s="313"/>
      <c r="X807" s="313"/>
      <c r="Y807" s="314"/>
      <c r="Z807" s="335"/>
      <c r="AA807" s="313"/>
      <c r="AB807" s="324"/>
      <c r="AC807" s="155"/>
      <c r="AD807" s="155"/>
      <c r="AE807" s="322"/>
      <c r="AF807" s="132"/>
      <c r="AG807" s="132"/>
    </row>
    <row r="808">
      <c r="A808" s="311"/>
      <c r="B808" s="313"/>
      <c r="C808" s="313"/>
      <c r="D808" s="313"/>
      <c r="E808" s="314"/>
      <c r="F808" s="314"/>
      <c r="G808" s="314"/>
      <c r="H808" s="314"/>
      <c r="I808" s="314"/>
      <c r="J808" s="314"/>
      <c r="K808" s="314"/>
      <c r="L808" s="314"/>
      <c r="M808" s="314"/>
      <c r="N808" s="314"/>
      <c r="O808" s="314"/>
      <c r="P808" s="314"/>
      <c r="Q808" s="314"/>
      <c r="R808" s="314"/>
      <c r="S808" s="314"/>
      <c r="T808" s="314"/>
      <c r="U808" s="314"/>
      <c r="V808" s="314"/>
      <c r="W808" s="313"/>
      <c r="X808" s="313"/>
      <c r="Y808" s="314"/>
      <c r="Z808" s="335"/>
      <c r="AA808" s="313"/>
      <c r="AB808" s="324"/>
      <c r="AC808" s="155"/>
      <c r="AD808" s="155"/>
      <c r="AE808" s="322"/>
      <c r="AF808" s="132"/>
      <c r="AG808" s="132"/>
    </row>
    <row r="809">
      <c r="A809" s="311"/>
      <c r="B809" s="313"/>
      <c r="C809" s="313"/>
      <c r="D809" s="313"/>
      <c r="E809" s="314"/>
      <c r="F809" s="314"/>
      <c r="G809" s="314"/>
      <c r="H809" s="314"/>
      <c r="I809" s="314"/>
      <c r="J809" s="314"/>
      <c r="K809" s="314"/>
      <c r="L809" s="314"/>
      <c r="M809" s="314"/>
      <c r="N809" s="314"/>
      <c r="O809" s="314"/>
      <c r="P809" s="314"/>
      <c r="Q809" s="314"/>
      <c r="R809" s="314"/>
      <c r="S809" s="314"/>
      <c r="T809" s="314"/>
      <c r="U809" s="314"/>
      <c r="V809" s="314"/>
      <c r="W809" s="313"/>
      <c r="X809" s="313"/>
      <c r="Y809" s="314"/>
      <c r="Z809" s="335"/>
      <c r="AA809" s="313"/>
      <c r="AB809" s="324"/>
      <c r="AC809" s="155"/>
      <c r="AD809" s="155"/>
      <c r="AE809" s="322"/>
      <c r="AF809" s="132"/>
      <c r="AG809" s="132"/>
    </row>
    <row r="810">
      <c r="A810" s="311"/>
      <c r="B810" s="313"/>
      <c r="C810" s="313"/>
      <c r="D810" s="313"/>
      <c r="E810" s="314"/>
      <c r="F810" s="314"/>
      <c r="G810" s="314"/>
      <c r="H810" s="314"/>
      <c r="I810" s="314"/>
      <c r="J810" s="314"/>
      <c r="K810" s="314"/>
      <c r="L810" s="314"/>
      <c r="M810" s="314"/>
      <c r="N810" s="314"/>
      <c r="O810" s="314"/>
      <c r="P810" s="314"/>
      <c r="Q810" s="314"/>
      <c r="R810" s="314"/>
      <c r="S810" s="314"/>
      <c r="T810" s="314"/>
      <c r="U810" s="314"/>
      <c r="V810" s="314"/>
      <c r="W810" s="313"/>
      <c r="X810" s="313"/>
      <c r="Y810" s="314"/>
      <c r="Z810" s="335"/>
      <c r="AA810" s="313"/>
      <c r="AB810" s="324"/>
      <c r="AC810" s="155"/>
      <c r="AD810" s="155"/>
      <c r="AE810" s="322"/>
      <c r="AF810" s="132"/>
      <c r="AG810" s="132"/>
    </row>
    <row r="811">
      <c r="A811" s="311"/>
      <c r="B811" s="313"/>
      <c r="C811" s="313"/>
      <c r="D811" s="313"/>
      <c r="E811" s="314"/>
      <c r="F811" s="314"/>
      <c r="G811" s="314"/>
      <c r="H811" s="314"/>
      <c r="I811" s="314"/>
      <c r="J811" s="314"/>
      <c r="K811" s="314"/>
      <c r="L811" s="314"/>
      <c r="M811" s="314"/>
      <c r="N811" s="314"/>
      <c r="O811" s="314"/>
      <c r="P811" s="314"/>
      <c r="Q811" s="314"/>
      <c r="R811" s="314"/>
      <c r="S811" s="314"/>
      <c r="T811" s="314"/>
      <c r="U811" s="314"/>
      <c r="V811" s="314"/>
      <c r="W811" s="313"/>
      <c r="X811" s="313"/>
      <c r="Y811" s="314"/>
      <c r="Z811" s="335"/>
      <c r="AA811" s="313"/>
      <c r="AB811" s="324"/>
      <c r="AC811" s="155"/>
      <c r="AD811" s="155"/>
      <c r="AE811" s="322"/>
      <c r="AF811" s="132"/>
      <c r="AG811" s="132"/>
    </row>
    <row r="812">
      <c r="A812" s="311"/>
      <c r="B812" s="313"/>
      <c r="C812" s="313"/>
      <c r="D812" s="313"/>
      <c r="E812" s="314"/>
      <c r="F812" s="314"/>
      <c r="G812" s="314"/>
      <c r="H812" s="314"/>
      <c r="I812" s="314"/>
      <c r="J812" s="314"/>
      <c r="K812" s="314"/>
      <c r="L812" s="314"/>
      <c r="M812" s="314"/>
      <c r="N812" s="314"/>
      <c r="O812" s="314"/>
      <c r="P812" s="314"/>
      <c r="Q812" s="314"/>
      <c r="R812" s="314"/>
      <c r="S812" s="314"/>
      <c r="T812" s="314"/>
      <c r="U812" s="314"/>
      <c r="V812" s="314"/>
      <c r="W812" s="313"/>
      <c r="X812" s="313"/>
      <c r="Y812" s="314"/>
      <c r="Z812" s="335"/>
      <c r="AA812" s="313"/>
      <c r="AB812" s="324"/>
      <c r="AC812" s="155"/>
      <c r="AD812" s="155"/>
      <c r="AE812" s="322"/>
      <c r="AF812" s="132"/>
      <c r="AG812" s="132"/>
    </row>
    <row r="813">
      <c r="A813" s="311"/>
      <c r="B813" s="313"/>
      <c r="C813" s="313"/>
      <c r="D813" s="313"/>
      <c r="E813" s="314"/>
      <c r="F813" s="314"/>
      <c r="G813" s="314"/>
      <c r="H813" s="314"/>
      <c r="I813" s="314"/>
      <c r="J813" s="314"/>
      <c r="K813" s="314"/>
      <c r="L813" s="314"/>
      <c r="M813" s="314"/>
      <c r="N813" s="314"/>
      <c r="O813" s="314"/>
      <c r="P813" s="314"/>
      <c r="Q813" s="314"/>
      <c r="R813" s="314"/>
      <c r="S813" s="314"/>
      <c r="T813" s="314"/>
      <c r="U813" s="314"/>
      <c r="V813" s="314"/>
      <c r="W813" s="313"/>
      <c r="X813" s="313"/>
      <c r="Y813" s="314"/>
      <c r="Z813" s="335"/>
      <c r="AA813" s="313"/>
      <c r="AB813" s="324"/>
      <c r="AC813" s="155"/>
      <c r="AD813" s="155"/>
      <c r="AE813" s="322"/>
      <c r="AF813" s="132"/>
      <c r="AG813" s="132"/>
    </row>
    <row r="814">
      <c r="A814" s="311"/>
      <c r="B814" s="313"/>
      <c r="C814" s="313"/>
      <c r="D814" s="313"/>
      <c r="E814" s="314"/>
      <c r="F814" s="314"/>
      <c r="G814" s="314"/>
      <c r="H814" s="314"/>
      <c r="I814" s="314"/>
      <c r="J814" s="314"/>
      <c r="K814" s="314"/>
      <c r="L814" s="314"/>
      <c r="M814" s="314"/>
      <c r="N814" s="314"/>
      <c r="O814" s="314"/>
      <c r="P814" s="314"/>
      <c r="Q814" s="314"/>
      <c r="R814" s="314"/>
      <c r="S814" s="314"/>
      <c r="T814" s="314"/>
      <c r="U814" s="314"/>
      <c r="V814" s="314"/>
      <c r="W814" s="313"/>
      <c r="X814" s="313"/>
      <c r="Y814" s="314"/>
      <c r="Z814" s="335"/>
      <c r="AA814" s="313"/>
      <c r="AB814" s="324"/>
      <c r="AC814" s="155"/>
      <c r="AD814" s="155"/>
      <c r="AE814" s="322"/>
      <c r="AF814" s="132"/>
      <c r="AG814" s="132"/>
    </row>
    <row r="815">
      <c r="A815" s="311"/>
      <c r="B815" s="313"/>
      <c r="C815" s="313"/>
      <c r="D815" s="313"/>
      <c r="E815" s="314"/>
      <c r="F815" s="314"/>
      <c r="G815" s="314"/>
      <c r="H815" s="314"/>
      <c r="I815" s="314"/>
      <c r="J815" s="314"/>
      <c r="K815" s="314"/>
      <c r="L815" s="314"/>
      <c r="M815" s="314"/>
      <c r="N815" s="314"/>
      <c r="O815" s="314"/>
      <c r="P815" s="314"/>
      <c r="Q815" s="314"/>
      <c r="R815" s="314"/>
      <c r="S815" s="314"/>
      <c r="T815" s="314"/>
      <c r="U815" s="314"/>
      <c r="V815" s="314"/>
      <c r="W815" s="313"/>
      <c r="X815" s="313"/>
      <c r="Y815" s="314"/>
      <c r="Z815" s="335"/>
      <c r="AA815" s="313"/>
      <c r="AB815" s="324"/>
      <c r="AC815" s="155"/>
      <c r="AD815" s="155"/>
      <c r="AE815" s="322"/>
      <c r="AF815" s="132"/>
      <c r="AG815" s="132"/>
    </row>
    <row r="816">
      <c r="A816" s="311"/>
      <c r="B816" s="313"/>
      <c r="C816" s="313"/>
      <c r="D816" s="313"/>
      <c r="E816" s="314"/>
      <c r="F816" s="314"/>
      <c r="G816" s="314"/>
      <c r="H816" s="314"/>
      <c r="I816" s="314"/>
      <c r="J816" s="314"/>
      <c r="K816" s="314"/>
      <c r="L816" s="314"/>
      <c r="M816" s="314"/>
      <c r="N816" s="314"/>
      <c r="O816" s="314"/>
      <c r="P816" s="314"/>
      <c r="Q816" s="314"/>
      <c r="R816" s="314"/>
      <c r="S816" s="314"/>
      <c r="T816" s="314"/>
      <c r="U816" s="314"/>
      <c r="V816" s="314"/>
      <c r="W816" s="313"/>
      <c r="X816" s="313"/>
      <c r="Y816" s="314"/>
      <c r="Z816" s="335"/>
      <c r="AA816" s="313"/>
      <c r="AB816" s="324"/>
      <c r="AC816" s="155"/>
      <c r="AD816" s="155"/>
      <c r="AE816" s="322"/>
      <c r="AF816" s="132"/>
      <c r="AG816" s="132"/>
    </row>
    <row r="817">
      <c r="A817" s="311"/>
      <c r="B817" s="313"/>
      <c r="C817" s="313"/>
      <c r="D817" s="313"/>
      <c r="E817" s="314"/>
      <c r="F817" s="314"/>
      <c r="G817" s="314"/>
      <c r="H817" s="314"/>
      <c r="I817" s="314"/>
      <c r="J817" s="314"/>
      <c r="K817" s="314"/>
      <c r="L817" s="314"/>
      <c r="M817" s="314"/>
      <c r="N817" s="314"/>
      <c r="O817" s="314"/>
      <c r="P817" s="314"/>
      <c r="Q817" s="314"/>
      <c r="R817" s="314"/>
      <c r="S817" s="314"/>
      <c r="T817" s="314"/>
      <c r="U817" s="314"/>
      <c r="V817" s="314"/>
      <c r="W817" s="313"/>
      <c r="X817" s="313"/>
      <c r="Y817" s="314"/>
      <c r="Z817" s="335"/>
      <c r="AA817" s="313"/>
      <c r="AB817" s="324"/>
      <c r="AC817" s="155"/>
      <c r="AD817" s="155"/>
      <c r="AE817" s="322"/>
      <c r="AF817" s="132"/>
      <c r="AG817" s="132"/>
    </row>
    <row r="818">
      <c r="A818" s="311"/>
      <c r="B818" s="313"/>
      <c r="C818" s="313"/>
      <c r="D818" s="313"/>
      <c r="E818" s="314"/>
      <c r="F818" s="314"/>
      <c r="G818" s="314"/>
      <c r="H818" s="314"/>
      <c r="I818" s="314"/>
      <c r="J818" s="314"/>
      <c r="K818" s="314"/>
      <c r="L818" s="314"/>
      <c r="M818" s="314"/>
      <c r="N818" s="314"/>
      <c r="O818" s="314"/>
      <c r="P818" s="314"/>
      <c r="Q818" s="314"/>
      <c r="R818" s="314"/>
      <c r="S818" s="314"/>
      <c r="T818" s="314"/>
      <c r="U818" s="314"/>
      <c r="V818" s="314"/>
      <c r="W818" s="313"/>
      <c r="X818" s="313"/>
      <c r="Y818" s="314"/>
      <c r="Z818" s="335"/>
      <c r="AA818" s="313"/>
      <c r="AB818" s="324"/>
      <c r="AC818" s="155"/>
      <c r="AD818" s="155"/>
      <c r="AE818" s="322"/>
      <c r="AF818" s="132"/>
      <c r="AG818" s="132"/>
    </row>
    <row r="819">
      <c r="A819" s="311"/>
      <c r="B819" s="313"/>
      <c r="C819" s="313"/>
      <c r="D819" s="313"/>
      <c r="E819" s="314"/>
      <c r="F819" s="314"/>
      <c r="G819" s="314"/>
      <c r="H819" s="314"/>
      <c r="I819" s="314"/>
      <c r="J819" s="314"/>
      <c r="K819" s="314"/>
      <c r="L819" s="314"/>
      <c r="M819" s="314"/>
      <c r="N819" s="314"/>
      <c r="O819" s="314"/>
      <c r="P819" s="314"/>
      <c r="Q819" s="314"/>
      <c r="R819" s="314"/>
      <c r="S819" s="314"/>
      <c r="T819" s="314"/>
      <c r="U819" s="314"/>
      <c r="V819" s="314"/>
      <c r="W819" s="313"/>
      <c r="X819" s="313"/>
      <c r="Y819" s="314"/>
      <c r="Z819" s="335"/>
      <c r="AA819" s="313"/>
      <c r="AB819" s="324"/>
      <c r="AC819" s="155"/>
      <c r="AD819" s="155"/>
      <c r="AE819" s="322"/>
      <c r="AF819" s="132"/>
      <c r="AG819" s="132"/>
    </row>
    <row r="820">
      <c r="A820" s="311"/>
      <c r="B820" s="313"/>
      <c r="C820" s="313"/>
      <c r="D820" s="313"/>
      <c r="E820" s="314"/>
      <c r="F820" s="314"/>
      <c r="G820" s="314"/>
      <c r="H820" s="314"/>
      <c r="I820" s="314"/>
      <c r="J820" s="314"/>
      <c r="K820" s="314"/>
      <c r="L820" s="314"/>
      <c r="M820" s="314"/>
      <c r="N820" s="314"/>
      <c r="O820" s="314"/>
      <c r="P820" s="314"/>
      <c r="Q820" s="314"/>
      <c r="R820" s="314"/>
      <c r="S820" s="314"/>
      <c r="T820" s="314"/>
      <c r="U820" s="314"/>
      <c r="V820" s="314"/>
      <c r="W820" s="313"/>
      <c r="X820" s="313"/>
      <c r="Y820" s="314"/>
      <c r="Z820" s="335"/>
      <c r="AA820" s="313"/>
      <c r="AB820" s="324"/>
      <c r="AC820" s="155"/>
      <c r="AD820" s="155"/>
      <c r="AE820" s="322"/>
      <c r="AF820" s="132"/>
      <c r="AG820" s="132"/>
    </row>
    <row r="821">
      <c r="A821" s="311"/>
      <c r="B821" s="313"/>
      <c r="C821" s="313"/>
      <c r="D821" s="313"/>
      <c r="E821" s="314"/>
      <c r="F821" s="314"/>
      <c r="G821" s="314"/>
      <c r="H821" s="314"/>
      <c r="I821" s="314"/>
      <c r="J821" s="314"/>
      <c r="K821" s="314"/>
      <c r="L821" s="314"/>
      <c r="M821" s="314"/>
      <c r="N821" s="314"/>
      <c r="O821" s="314"/>
      <c r="P821" s="314"/>
      <c r="Q821" s="314"/>
      <c r="R821" s="314"/>
      <c r="S821" s="314"/>
      <c r="T821" s="314"/>
      <c r="U821" s="314"/>
      <c r="V821" s="314"/>
      <c r="W821" s="313"/>
      <c r="X821" s="313"/>
      <c r="Y821" s="314"/>
      <c r="Z821" s="335"/>
      <c r="AA821" s="313"/>
      <c r="AB821" s="324"/>
      <c r="AC821" s="155"/>
      <c r="AD821" s="155"/>
      <c r="AE821" s="322"/>
      <c r="AF821" s="132"/>
      <c r="AG821" s="132"/>
    </row>
    <row r="822">
      <c r="A822" s="311"/>
      <c r="B822" s="313"/>
      <c r="C822" s="313"/>
      <c r="D822" s="313"/>
      <c r="E822" s="314"/>
      <c r="F822" s="314"/>
      <c r="G822" s="314"/>
      <c r="H822" s="314"/>
      <c r="I822" s="314"/>
      <c r="J822" s="314"/>
      <c r="K822" s="314"/>
      <c r="L822" s="314"/>
      <c r="M822" s="314"/>
      <c r="N822" s="314"/>
      <c r="O822" s="314"/>
      <c r="P822" s="314"/>
      <c r="Q822" s="314"/>
      <c r="R822" s="314"/>
      <c r="S822" s="314"/>
      <c r="T822" s="314"/>
      <c r="U822" s="314"/>
      <c r="V822" s="314"/>
      <c r="W822" s="313"/>
      <c r="X822" s="313"/>
      <c r="Y822" s="314"/>
      <c r="Z822" s="335"/>
      <c r="AA822" s="313"/>
      <c r="AB822" s="324"/>
      <c r="AC822" s="155"/>
      <c r="AD822" s="155"/>
      <c r="AE822" s="322"/>
      <c r="AF822" s="132"/>
      <c r="AG822" s="132"/>
    </row>
    <row r="823">
      <c r="A823" s="311"/>
      <c r="B823" s="313"/>
      <c r="C823" s="313"/>
      <c r="D823" s="313"/>
      <c r="E823" s="314"/>
      <c r="F823" s="314"/>
      <c r="G823" s="314"/>
      <c r="H823" s="314"/>
      <c r="I823" s="314"/>
      <c r="J823" s="314"/>
      <c r="K823" s="314"/>
      <c r="L823" s="314"/>
      <c r="M823" s="314"/>
      <c r="N823" s="314"/>
      <c r="O823" s="314"/>
      <c r="P823" s="314"/>
      <c r="Q823" s="314"/>
      <c r="R823" s="314"/>
      <c r="S823" s="314"/>
      <c r="T823" s="314"/>
      <c r="U823" s="314"/>
      <c r="V823" s="314"/>
      <c r="W823" s="313"/>
      <c r="X823" s="313"/>
      <c r="Y823" s="314"/>
      <c r="Z823" s="335"/>
      <c r="AA823" s="313"/>
      <c r="AB823" s="324"/>
      <c r="AC823" s="155"/>
      <c r="AD823" s="155"/>
      <c r="AE823" s="322"/>
      <c r="AF823" s="132"/>
      <c r="AG823" s="132"/>
    </row>
    <row r="824">
      <c r="A824" s="311"/>
      <c r="B824" s="313"/>
      <c r="C824" s="313"/>
      <c r="D824" s="313"/>
      <c r="E824" s="314"/>
      <c r="F824" s="314"/>
      <c r="G824" s="314"/>
      <c r="H824" s="314"/>
      <c r="I824" s="314"/>
      <c r="J824" s="314"/>
      <c r="K824" s="314"/>
      <c r="L824" s="314"/>
      <c r="M824" s="314"/>
      <c r="N824" s="314"/>
      <c r="O824" s="314"/>
      <c r="P824" s="314"/>
      <c r="Q824" s="314"/>
      <c r="R824" s="314"/>
      <c r="S824" s="314"/>
      <c r="T824" s="314"/>
      <c r="U824" s="314"/>
      <c r="V824" s="314"/>
      <c r="W824" s="313"/>
      <c r="X824" s="313"/>
      <c r="Y824" s="314"/>
      <c r="Z824" s="335"/>
      <c r="AA824" s="313"/>
      <c r="AB824" s="324"/>
      <c r="AC824" s="155"/>
      <c r="AD824" s="155"/>
      <c r="AE824" s="322"/>
      <c r="AF824" s="132"/>
      <c r="AG824" s="132"/>
    </row>
    <row r="825">
      <c r="A825" s="311"/>
      <c r="B825" s="313"/>
      <c r="C825" s="313"/>
      <c r="D825" s="313"/>
      <c r="E825" s="314"/>
      <c r="F825" s="314"/>
      <c r="G825" s="314"/>
      <c r="H825" s="314"/>
      <c r="I825" s="314"/>
      <c r="J825" s="314"/>
      <c r="K825" s="314"/>
      <c r="L825" s="314"/>
      <c r="M825" s="314"/>
      <c r="N825" s="314"/>
      <c r="O825" s="314"/>
      <c r="P825" s="314"/>
      <c r="Q825" s="314"/>
      <c r="R825" s="314"/>
      <c r="S825" s="314"/>
      <c r="T825" s="314"/>
      <c r="U825" s="314"/>
      <c r="V825" s="314"/>
      <c r="W825" s="313"/>
      <c r="X825" s="313"/>
      <c r="Y825" s="314"/>
      <c r="Z825" s="335"/>
      <c r="AA825" s="313"/>
      <c r="AB825" s="324"/>
      <c r="AC825" s="155"/>
      <c r="AD825" s="155"/>
      <c r="AE825" s="322"/>
      <c r="AF825" s="132"/>
      <c r="AG825" s="132"/>
    </row>
    <row r="826">
      <c r="A826" s="311"/>
      <c r="B826" s="313"/>
      <c r="C826" s="313"/>
      <c r="D826" s="313"/>
      <c r="E826" s="314"/>
      <c r="F826" s="314"/>
      <c r="G826" s="314"/>
      <c r="H826" s="314"/>
      <c r="I826" s="314"/>
      <c r="J826" s="314"/>
      <c r="K826" s="314"/>
      <c r="L826" s="314"/>
      <c r="M826" s="314"/>
      <c r="N826" s="314"/>
      <c r="O826" s="314"/>
      <c r="P826" s="314"/>
      <c r="Q826" s="314"/>
      <c r="R826" s="314"/>
      <c r="S826" s="314"/>
      <c r="T826" s="314"/>
      <c r="U826" s="314"/>
      <c r="V826" s="314"/>
      <c r="W826" s="313"/>
      <c r="X826" s="313"/>
      <c r="Y826" s="314"/>
      <c r="Z826" s="335"/>
      <c r="AA826" s="313"/>
      <c r="AB826" s="324"/>
      <c r="AC826" s="155"/>
      <c r="AD826" s="155"/>
      <c r="AE826" s="322"/>
      <c r="AF826" s="132"/>
      <c r="AG826" s="132"/>
    </row>
    <row r="827">
      <c r="A827" s="311"/>
      <c r="B827" s="313"/>
      <c r="C827" s="313"/>
      <c r="D827" s="313"/>
      <c r="E827" s="314"/>
      <c r="F827" s="314"/>
      <c r="G827" s="314"/>
      <c r="H827" s="314"/>
      <c r="I827" s="314"/>
      <c r="J827" s="314"/>
      <c r="K827" s="314"/>
      <c r="L827" s="314"/>
      <c r="M827" s="314"/>
      <c r="N827" s="314"/>
      <c r="O827" s="314"/>
      <c r="P827" s="314"/>
      <c r="Q827" s="314"/>
      <c r="R827" s="314"/>
      <c r="S827" s="314"/>
      <c r="T827" s="314"/>
      <c r="U827" s="314"/>
      <c r="V827" s="314"/>
      <c r="W827" s="313"/>
      <c r="X827" s="313"/>
      <c r="Y827" s="314"/>
      <c r="Z827" s="335"/>
      <c r="AA827" s="313"/>
      <c r="AB827" s="324"/>
      <c r="AC827" s="155"/>
      <c r="AD827" s="155"/>
      <c r="AE827" s="322"/>
      <c r="AF827" s="132"/>
      <c r="AG827" s="132"/>
    </row>
    <row r="828">
      <c r="A828" s="311"/>
      <c r="B828" s="313"/>
      <c r="C828" s="313"/>
      <c r="D828" s="313"/>
      <c r="E828" s="314"/>
      <c r="F828" s="314"/>
      <c r="G828" s="314"/>
      <c r="H828" s="314"/>
      <c r="I828" s="314"/>
      <c r="J828" s="314"/>
      <c r="K828" s="314"/>
      <c r="L828" s="314"/>
      <c r="M828" s="314"/>
      <c r="N828" s="314"/>
      <c r="O828" s="314"/>
      <c r="P828" s="314"/>
      <c r="Q828" s="314"/>
      <c r="R828" s="314"/>
      <c r="S828" s="314"/>
      <c r="T828" s="314"/>
      <c r="U828" s="314"/>
      <c r="V828" s="314"/>
      <c r="W828" s="313"/>
      <c r="X828" s="313"/>
      <c r="Y828" s="314"/>
      <c r="Z828" s="335"/>
      <c r="AA828" s="313"/>
      <c r="AB828" s="324"/>
      <c r="AC828" s="155"/>
      <c r="AD828" s="155"/>
      <c r="AE828" s="322"/>
      <c r="AF828" s="132"/>
      <c r="AG828" s="132"/>
    </row>
    <row r="829">
      <c r="A829" s="311"/>
      <c r="B829" s="313"/>
      <c r="C829" s="313"/>
      <c r="D829" s="313"/>
      <c r="E829" s="314"/>
      <c r="F829" s="314"/>
      <c r="G829" s="314"/>
      <c r="H829" s="314"/>
      <c r="I829" s="314"/>
      <c r="J829" s="314"/>
      <c r="K829" s="314"/>
      <c r="L829" s="314"/>
      <c r="M829" s="314"/>
      <c r="N829" s="314"/>
      <c r="O829" s="314"/>
      <c r="P829" s="314"/>
      <c r="Q829" s="314"/>
      <c r="R829" s="314"/>
      <c r="S829" s="314"/>
      <c r="T829" s="314"/>
      <c r="U829" s="314"/>
      <c r="V829" s="314"/>
      <c r="W829" s="313"/>
      <c r="X829" s="313"/>
      <c r="Y829" s="314"/>
      <c r="Z829" s="335"/>
      <c r="AA829" s="313"/>
      <c r="AB829" s="324"/>
      <c r="AC829" s="155"/>
      <c r="AD829" s="155"/>
      <c r="AE829" s="322"/>
      <c r="AF829" s="132"/>
      <c r="AG829" s="132"/>
    </row>
    <row r="830">
      <c r="A830" s="311"/>
      <c r="B830" s="313"/>
      <c r="C830" s="313"/>
      <c r="D830" s="313"/>
      <c r="E830" s="314"/>
      <c r="F830" s="314"/>
      <c r="G830" s="314"/>
      <c r="H830" s="314"/>
      <c r="I830" s="314"/>
      <c r="J830" s="314"/>
      <c r="K830" s="314"/>
      <c r="L830" s="314"/>
      <c r="M830" s="314"/>
      <c r="N830" s="314"/>
      <c r="O830" s="314"/>
      <c r="P830" s="314"/>
      <c r="Q830" s="314"/>
      <c r="R830" s="314"/>
      <c r="S830" s="314"/>
      <c r="T830" s="314"/>
      <c r="U830" s="314"/>
      <c r="V830" s="314"/>
      <c r="W830" s="313"/>
      <c r="X830" s="313"/>
      <c r="Y830" s="314"/>
      <c r="Z830" s="335"/>
      <c r="AA830" s="313"/>
      <c r="AB830" s="324"/>
      <c r="AC830" s="155"/>
      <c r="AD830" s="155"/>
      <c r="AE830" s="322"/>
      <c r="AF830" s="132"/>
      <c r="AG830" s="132"/>
    </row>
    <row r="831">
      <c r="A831" s="311"/>
      <c r="B831" s="313"/>
      <c r="C831" s="313"/>
      <c r="D831" s="313"/>
      <c r="E831" s="314"/>
      <c r="F831" s="314"/>
      <c r="G831" s="314"/>
      <c r="H831" s="314"/>
      <c r="I831" s="314"/>
      <c r="J831" s="314"/>
      <c r="K831" s="314"/>
      <c r="L831" s="314"/>
      <c r="M831" s="314"/>
      <c r="N831" s="314"/>
      <c r="O831" s="314"/>
      <c r="P831" s="314"/>
      <c r="Q831" s="314"/>
      <c r="R831" s="314"/>
      <c r="S831" s="314"/>
      <c r="T831" s="314"/>
      <c r="U831" s="314"/>
      <c r="V831" s="314"/>
      <c r="W831" s="313"/>
      <c r="X831" s="313"/>
      <c r="Y831" s="314"/>
      <c r="Z831" s="335"/>
      <c r="AA831" s="313"/>
      <c r="AB831" s="324"/>
      <c r="AC831" s="155"/>
      <c r="AD831" s="155"/>
      <c r="AE831" s="322"/>
      <c r="AF831" s="132"/>
      <c r="AG831" s="132"/>
    </row>
    <row r="832">
      <c r="A832" s="311"/>
      <c r="B832" s="313"/>
      <c r="C832" s="313"/>
      <c r="D832" s="313"/>
      <c r="E832" s="314"/>
      <c r="F832" s="314"/>
      <c r="G832" s="314"/>
      <c r="H832" s="314"/>
      <c r="I832" s="314"/>
      <c r="J832" s="314"/>
      <c r="K832" s="314"/>
      <c r="L832" s="314"/>
      <c r="M832" s="314"/>
      <c r="N832" s="314"/>
      <c r="O832" s="314"/>
      <c r="P832" s="314"/>
      <c r="Q832" s="314"/>
      <c r="R832" s="314"/>
      <c r="S832" s="314"/>
      <c r="T832" s="314"/>
      <c r="U832" s="314"/>
      <c r="V832" s="314"/>
      <c r="W832" s="313"/>
      <c r="X832" s="313"/>
      <c r="Y832" s="314"/>
      <c r="Z832" s="335"/>
      <c r="AA832" s="313"/>
      <c r="AB832" s="324"/>
      <c r="AC832" s="155"/>
      <c r="AD832" s="155"/>
      <c r="AE832" s="322"/>
      <c r="AF832" s="132"/>
      <c r="AG832" s="132"/>
    </row>
    <row r="833">
      <c r="A833" s="311"/>
      <c r="B833" s="313"/>
      <c r="C833" s="313"/>
      <c r="D833" s="313"/>
      <c r="E833" s="314"/>
      <c r="F833" s="314"/>
      <c r="G833" s="314"/>
      <c r="H833" s="314"/>
      <c r="I833" s="314"/>
      <c r="J833" s="314"/>
      <c r="K833" s="314"/>
      <c r="L833" s="314"/>
      <c r="M833" s="314"/>
      <c r="N833" s="314"/>
      <c r="O833" s="314"/>
      <c r="P833" s="314"/>
      <c r="Q833" s="314"/>
      <c r="R833" s="314"/>
      <c r="S833" s="314"/>
      <c r="T833" s="314"/>
      <c r="U833" s="314"/>
      <c r="V833" s="314"/>
      <c r="W833" s="313"/>
      <c r="X833" s="313"/>
      <c r="Y833" s="314"/>
      <c r="Z833" s="335"/>
      <c r="AA833" s="313"/>
      <c r="AB833" s="324"/>
      <c r="AC833" s="155"/>
      <c r="AD833" s="155"/>
      <c r="AE833" s="322"/>
      <c r="AF833" s="132"/>
      <c r="AG833" s="132"/>
    </row>
    <row r="834">
      <c r="A834" s="311"/>
      <c r="B834" s="313"/>
      <c r="C834" s="313"/>
      <c r="D834" s="313"/>
      <c r="E834" s="314"/>
      <c r="F834" s="314"/>
      <c r="G834" s="314"/>
      <c r="H834" s="314"/>
      <c r="I834" s="314"/>
      <c r="J834" s="314"/>
      <c r="K834" s="314"/>
      <c r="L834" s="314"/>
      <c r="M834" s="314"/>
      <c r="N834" s="314"/>
      <c r="O834" s="314"/>
      <c r="P834" s="314"/>
      <c r="Q834" s="314"/>
      <c r="R834" s="314"/>
      <c r="S834" s="314"/>
      <c r="T834" s="314"/>
      <c r="U834" s="314"/>
      <c r="V834" s="314"/>
      <c r="W834" s="313"/>
      <c r="X834" s="313"/>
      <c r="Y834" s="314"/>
      <c r="Z834" s="335"/>
      <c r="AA834" s="313"/>
      <c r="AB834" s="324"/>
      <c r="AC834" s="155"/>
      <c r="AD834" s="155"/>
      <c r="AE834" s="322"/>
      <c r="AF834" s="132"/>
      <c r="AG834" s="132"/>
    </row>
    <row r="835">
      <c r="A835" s="311"/>
      <c r="B835" s="313"/>
      <c r="C835" s="313"/>
      <c r="D835" s="313"/>
      <c r="E835" s="314"/>
      <c r="F835" s="314"/>
      <c r="G835" s="314"/>
      <c r="H835" s="314"/>
      <c r="I835" s="314"/>
      <c r="J835" s="314"/>
      <c r="K835" s="314"/>
      <c r="L835" s="314"/>
      <c r="M835" s="314"/>
      <c r="N835" s="314"/>
      <c r="O835" s="314"/>
      <c r="P835" s="314"/>
      <c r="Q835" s="314"/>
      <c r="R835" s="314"/>
      <c r="S835" s="314"/>
      <c r="T835" s="314"/>
      <c r="U835" s="314"/>
      <c r="V835" s="314"/>
      <c r="W835" s="313"/>
      <c r="X835" s="313"/>
      <c r="Y835" s="314"/>
      <c r="Z835" s="335"/>
      <c r="AA835" s="313"/>
      <c r="AB835" s="324"/>
      <c r="AC835" s="155"/>
      <c r="AD835" s="155"/>
      <c r="AE835" s="322"/>
      <c r="AF835" s="132"/>
      <c r="AG835" s="132"/>
    </row>
    <row r="836">
      <c r="A836" s="311"/>
      <c r="B836" s="313"/>
      <c r="C836" s="313"/>
      <c r="D836" s="313"/>
      <c r="E836" s="314"/>
      <c r="F836" s="314"/>
      <c r="G836" s="314"/>
      <c r="H836" s="314"/>
      <c r="I836" s="314"/>
      <c r="J836" s="314"/>
      <c r="K836" s="314"/>
      <c r="L836" s="314"/>
      <c r="M836" s="314"/>
      <c r="N836" s="314"/>
      <c r="O836" s="314"/>
      <c r="P836" s="314"/>
      <c r="Q836" s="314"/>
      <c r="R836" s="314"/>
      <c r="S836" s="314"/>
      <c r="T836" s="314"/>
      <c r="U836" s="314"/>
      <c r="V836" s="314"/>
      <c r="W836" s="313"/>
      <c r="X836" s="313"/>
      <c r="Y836" s="314"/>
      <c r="Z836" s="335"/>
      <c r="AA836" s="313"/>
      <c r="AB836" s="324"/>
      <c r="AC836" s="155"/>
      <c r="AD836" s="155"/>
      <c r="AE836" s="322"/>
      <c r="AF836" s="132"/>
      <c r="AG836" s="132"/>
    </row>
    <row r="837">
      <c r="A837" s="311"/>
      <c r="B837" s="313"/>
      <c r="C837" s="313"/>
      <c r="D837" s="313"/>
      <c r="E837" s="314"/>
      <c r="F837" s="314"/>
      <c r="G837" s="314"/>
      <c r="H837" s="314"/>
      <c r="I837" s="314"/>
      <c r="J837" s="314"/>
      <c r="K837" s="314"/>
      <c r="L837" s="314"/>
      <c r="M837" s="314"/>
      <c r="N837" s="314"/>
      <c r="O837" s="314"/>
      <c r="P837" s="314"/>
      <c r="Q837" s="314"/>
      <c r="R837" s="314"/>
      <c r="S837" s="314"/>
      <c r="T837" s="314"/>
      <c r="U837" s="314"/>
      <c r="V837" s="314"/>
      <c r="W837" s="313"/>
      <c r="X837" s="313"/>
      <c r="Y837" s="314"/>
      <c r="Z837" s="335"/>
      <c r="AA837" s="313"/>
      <c r="AB837" s="324"/>
      <c r="AC837" s="155"/>
      <c r="AD837" s="155"/>
      <c r="AE837" s="322"/>
      <c r="AF837" s="132"/>
      <c r="AG837" s="132"/>
    </row>
    <row r="838">
      <c r="A838" s="311"/>
      <c r="B838" s="313"/>
      <c r="C838" s="313"/>
      <c r="D838" s="313"/>
      <c r="E838" s="314"/>
      <c r="F838" s="314"/>
      <c r="G838" s="314"/>
      <c r="H838" s="314"/>
      <c r="I838" s="314"/>
      <c r="J838" s="314"/>
      <c r="K838" s="314"/>
      <c r="L838" s="314"/>
      <c r="M838" s="314"/>
      <c r="N838" s="314"/>
      <c r="O838" s="314"/>
      <c r="P838" s="314"/>
      <c r="Q838" s="314"/>
      <c r="R838" s="314"/>
      <c r="S838" s="314"/>
      <c r="T838" s="314"/>
      <c r="U838" s="314"/>
      <c r="V838" s="314"/>
      <c r="W838" s="313"/>
      <c r="X838" s="313"/>
      <c r="Y838" s="314"/>
      <c r="Z838" s="335"/>
      <c r="AA838" s="313"/>
      <c r="AB838" s="324"/>
      <c r="AC838" s="155"/>
      <c r="AD838" s="155"/>
      <c r="AE838" s="322"/>
      <c r="AF838" s="132"/>
      <c r="AG838" s="132"/>
    </row>
    <row r="839">
      <c r="A839" s="311"/>
      <c r="B839" s="313"/>
      <c r="C839" s="313"/>
      <c r="D839" s="313"/>
      <c r="E839" s="314"/>
      <c r="F839" s="314"/>
      <c r="G839" s="314"/>
      <c r="H839" s="314"/>
      <c r="I839" s="314"/>
      <c r="J839" s="314"/>
      <c r="K839" s="314"/>
      <c r="L839" s="314"/>
      <c r="M839" s="314"/>
      <c r="N839" s="314"/>
      <c r="O839" s="314"/>
      <c r="P839" s="314"/>
      <c r="Q839" s="314"/>
      <c r="R839" s="314"/>
      <c r="S839" s="314"/>
      <c r="T839" s="314"/>
      <c r="U839" s="314"/>
      <c r="V839" s="314"/>
      <c r="W839" s="313"/>
      <c r="X839" s="313"/>
      <c r="Y839" s="314"/>
      <c r="Z839" s="335"/>
      <c r="AA839" s="313"/>
      <c r="AB839" s="324"/>
      <c r="AC839" s="155"/>
      <c r="AD839" s="155"/>
      <c r="AE839" s="322"/>
      <c r="AF839" s="132"/>
      <c r="AG839" s="132"/>
    </row>
    <row r="840">
      <c r="A840" s="311"/>
      <c r="B840" s="313"/>
      <c r="C840" s="313"/>
      <c r="D840" s="313"/>
      <c r="E840" s="314"/>
      <c r="F840" s="314"/>
      <c r="G840" s="314"/>
      <c r="H840" s="314"/>
      <c r="I840" s="314"/>
      <c r="J840" s="314"/>
      <c r="K840" s="314"/>
      <c r="L840" s="314"/>
      <c r="M840" s="314"/>
      <c r="N840" s="314"/>
      <c r="O840" s="314"/>
      <c r="P840" s="314"/>
      <c r="Q840" s="314"/>
      <c r="R840" s="314"/>
      <c r="S840" s="314"/>
      <c r="T840" s="314"/>
      <c r="U840" s="314"/>
      <c r="V840" s="314"/>
      <c r="W840" s="313"/>
      <c r="X840" s="313"/>
      <c r="Y840" s="314"/>
      <c r="Z840" s="335"/>
      <c r="AA840" s="313"/>
      <c r="AB840" s="324"/>
      <c r="AC840" s="155"/>
      <c r="AD840" s="155"/>
      <c r="AE840" s="322"/>
      <c r="AF840" s="132"/>
      <c r="AG840" s="132"/>
    </row>
    <row r="841">
      <c r="A841" s="311"/>
      <c r="B841" s="313"/>
      <c r="C841" s="313"/>
      <c r="D841" s="313"/>
      <c r="E841" s="314"/>
      <c r="F841" s="314"/>
      <c r="G841" s="314"/>
      <c r="H841" s="314"/>
      <c r="I841" s="314"/>
      <c r="J841" s="314"/>
      <c r="K841" s="314"/>
      <c r="L841" s="314"/>
      <c r="M841" s="314"/>
      <c r="N841" s="314"/>
      <c r="O841" s="314"/>
      <c r="P841" s="314"/>
      <c r="Q841" s="314"/>
      <c r="R841" s="314"/>
      <c r="S841" s="314"/>
      <c r="T841" s="314"/>
      <c r="U841" s="314"/>
      <c r="V841" s="314"/>
      <c r="W841" s="313"/>
      <c r="X841" s="313"/>
      <c r="Y841" s="314"/>
      <c r="Z841" s="335"/>
      <c r="AA841" s="313"/>
      <c r="AB841" s="324"/>
      <c r="AC841" s="155"/>
      <c r="AD841" s="155"/>
      <c r="AE841" s="322"/>
      <c r="AF841" s="132"/>
      <c r="AG841" s="132"/>
    </row>
    <row r="842">
      <c r="A842" s="311"/>
      <c r="B842" s="313"/>
      <c r="C842" s="313"/>
      <c r="D842" s="313"/>
      <c r="E842" s="314"/>
      <c r="F842" s="314"/>
      <c r="G842" s="314"/>
      <c r="H842" s="314"/>
      <c r="I842" s="314"/>
      <c r="J842" s="314"/>
      <c r="K842" s="314"/>
      <c r="L842" s="314"/>
      <c r="M842" s="314"/>
      <c r="N842" s="314"/>
      <c r="O842" s="314"/>
      <c r="P842" s="314"/>
      <c r="Q842" s="314"/>
      <c r="R842" s="314"/>
      <c r="S842" s="314"/>
      <c r="T842" s="314"/>
      <c r="U842" s="314"/>
      <c r="V842" s="314"/>
      <c r="W842" s="313"/>
      <c r="X842" s="313"/>
      <c r="Y842" s="314"/>
      <c r="Z842" s="335"/>
      <c r="AA842" s="313"/>
      <c r="AB842" s="324"/>
      <c r="AC842" s="155"/>
      <c r="AD842" s="155"/>
      <c r="AE842" s="322"/>
      <c r="AF842" s="132"/>
      <c r="AG842" s="132"/>
    </row>
    <row r="843">
      <c r="A843" s="311"/>
      <c r="B843" s="313"/>
      <c r="C843" s="313"/>
      <c r="D843" s="313"/>
      <c r="E843" s="314"/>
      <c r="F843" s="314"/>
      <c r="G843" s="314"/>
      <c r="H843" s="314"/>
      <c r="I843" s="314"/>
      <c r="J843" s="314"/>
      <c r="K843" s="314"/>
      <c r="L843" s="314"/>
      <c r="M843" s="314"/>
      <c r="N843" s="314"/>
      <c r="O843" s="314"/>
      <c r="P843" s="314"/>
      <c r="Q843" s="314"/>
      <c r="R843" s="314"/>
      <c r="S843" s="314"/>
      <c r="T843" s="314"/>
      <c r="U843" s="314"/>
      <c r="V843" s="314"/>
      <c r="W843" s="313"/>
      <c r="X843" s="313"/>
      <c r="Y843" s="314"/>
      <c r="Z843" s="335"/>
      <c r="AA843" s="313"/>
      <c r="AB843" s="324"/>
      <c r="AC843" s="155"/>
      <c r="AD843" s="155"/>
      <c r="AE843" s="322"/>
      <c r="AF843" s="132"/>
      <c r="AG843" s="132"/>
    </row>
    <row r="844">
      <c r="A844" s="311"/>
      <c r="B844" s="313"/>
      <c r="C844" s="313"/>
      <c r="D844" s="313"/>
      <c r="E844" s="314"/>
      <c r="F844" s="314"/>
      <c r="G844" s="314"/>
      <c r="H844" s="314"/>
      <c r="I844" s="314"/>
      <c r="J844" s="314"/>
      <c r="K844" s="314"/>
      <c r="L844" s="314"/>
      <c r="M844" s="314"/>
      <c r="N844" s="314"/>
      <c r="O844" s="314"/>
      <c r="P844" s="314"/>
      <c r="Q844" s="314"/>
      <c r="R844" s="314"/>
      <c r="S844" s="314"/>
      <c r="T844" s="314"/>
      <c r="U844" s="314"/>
      <c r="V844" s="314"/>
      <c r="W844" s="313"/>
      <c r="X844" s="313"/>
      <c r="Y844" s="314"/>
      <c r="Z844" s="335"/>
      <c r="AA844" s="313"/>
      <c r="AB844" s="324"/>
      <c r="AC844" s="155"/>
      <c r="AD844" s="155"/>
      <c r="AE844" s="322"/>
      <c r="AF844" s="132"/>
      <c r="AG844" s="132"/>
    </row>
    <row r="845">
      <c r="A845" s="311"/>
      <c r="B845" s="313"/>
      <c r="C845" s="313"/>
      <c r="D845" s="313"/>
      <c r="E845" s="314"/>
      <c r="F845" s="314"/>
      <c r="G845" s="314"/>
      <c r="H845" s="314"/>
      <c r="I845" s="314"/>
      <c r="J845" s="314"/>
      <c r="K845" s="314"/>
      <c r="L845" s="314"/>
      <c r="M845" s="314"/>
      <c r="N845" s="314"/>
      <c r="O845" s="314"/>
      <c r="P845" s="314"/>
      <c r="Q845" s="314"/>
      <c r="R845" s="314"/>
      <c r="S845" s="314"/>
      <c r="T845" s="314"/>
      <c r="U845" s="314"/>
      <c r="V845" s="314"/>
      <c r="W845" s="313"/>
      <c r="X845" s="313"/>
      <c r="Y845" s="314"/>
      <c r="Z845" s="335"/>
      <c r="AA845" s="313"/>
      <c r="AB845" s="324"/>
      <c r="AC845" s="155"/>
      <c r="AD845" s="155"/>
      <c r="AE845" s="322"/>
      <c r="AF845" s="132"/>
      <c r="AG845" s="132"/>
    </row>
    <row r="846">
      <c r="A846" s="311"/>
      <c r="B846" s="313"/>
      <c r="C846" s="313"/>
      <c r="D846" s="313"/>
      <c r="E846" s="314"/>
      <c r="F846" s="314"/>
      <c r="G846" s="314"/>
      <c r="H846" s="314"/>
      <c r="I846" s="314"/>
      <c r="J846" s="314"/>
      <c r="K846" s="314"/>
      <c r="L846" s="314"/>
      <c r="M846" s="314"/>
      <c r="N846" s="314"/>
      <c r="O846" s="314"/>
      <c r="P846" s="314"/>
      <c r="Q846" s="314"/>
      <c r="R846" s="314"/>
      <c r="S846" s="314"/>
      <c r="T846" s="314"/>
      <c r="U846" s="314"/>
      <c r="V846" s="314"/>
      <c r="W846" s="313"/>
      <c r="X846" s="313"/>
      <c r="Y846" s="314"/>
      <c r="Z846" s="335"/>
      <c r="AA846" s="313"/>
      <c r="AB846" s="324"/>
      <c r="AC846" s="155"/>
      <c r="AD846" s="155"/>
      <c r="AE846" s="322"/>
      <c r="AF846" s="132"/>
      <c r="AG846" s="132"/>
    </row>
    <row r="847">
      <c r="A847" s="311"/>
      <c r="B847" s="313"/>
      <c r="C847" s="313"/>
      <c r="D847" s="313"/>
      <c r="E847" s="314"/>
      <c r="F847" s="314"/>
      <c r="G847" s="314"/>
      <c r="H847" s="314"/>
      <c r="I847" s="314"/>
      <c r="J847" s="314"/>
      <c r="K847" s="314"/>
      <c r="L847" s="314"/>
      <c r="M847" s="314"/>
      <c r="N847" s="314"/>
      <c r="O847" s="314"/>
      <c r="P847" s="314"/>
      <c r="Q847" s="314"/>
      <c r="R847" s="314"/>
      <c r="S847" s="314"/>
      <c r="T847" s="314"/>
      <c r="U847" s="314"/>
      <c r="V847" s="314"/>
      <c r="W847" s="313"/>
      <c r="X847" s="313"/>
      <c r="Y847" s="314"/>
      <c r="Z847" s="335"/>
      <c r="AA847" s="313"/>
      <c r="AB847" s="324"/>
      <c r="AC847" s="155"/>
      <c r="AD847" s="155"/>
      <c r="AE847" s="322"/>
      <c r="AF847" s="132"/>
      <c r="AG847" s="132"/>
    </row>
    <row r="848">
      <c r="A848" s="311"/>
      <c r="B848" s="313"/>
      <c r="C848" s="313"/>
      <c r="D848" s="313"/>
      <c r="E848" s="314"/>
      <c r="F848" s="314"/>
      <c r="G848" s="314"/>
      <c r="H848" s="314"/>
      <c r="I848" s="314"/>
      <c r="J848" s="314"/>
      <c r="K848" s="314"/>
      <c r="L848" s="314"/>
      <c r="M848" s="314"/>
      <c r="N848" s="314"/>
      <c r="O848" s="314"/>
      <c r="P848" s="314"/>
      <c r="Q848" s="314"/>
      <c r="R848" s="314"/>
      <c r="S848" s="314"/>
      <c r="T848" s="314"/>
      <c r="U848" s="314"/>
      <c r="V848" s="314"/>
      <c r="W848" s="313"/>
      <c r="X848" s="313"/>
      <c r="Y848" s="314"/>
      <c r="Z848" s="335"/>
      <c r="AA848" s="313"/>
      <c r="AB848" s="324"/>
      <c r="AC848" s="155"/>
      <c r="AD848" s="155"/>
      <c r="AE848" s="322"/>
      <c r="AF848" s="132"/>
      <c r="AG848" s="132"/>
    </row>
    <row r="849">
      <c r="A849" s="311"/>
      <c r="B849" s="313"/>
      <c r="C849" s="313"/>
      <c r="D849" s="313"/>
      <c r="E849" s="314"/>
      <c r="F849" s="314"/>
      <c r="G849" s="314"/>
      <c r="H849" s="314"/>
      <c r="I849" s="314"/>
      <c r="J849" s="314"/>
      <c r="K849" s="314"/>
      <c r="L849" s="314"/>
      <c r="M849" s="314"/>
      <c r="N849" s="314"/>
      <c r="O849" s="314"/>
      <c r="P849" s="314"/>
      <c r="Q849" s="314"/>
      <c r="R849" s="314"/>
      <c r="S849" s="314"/>
      <c r="T849" s="314"/>
      <c r="U849" s="314"/>
      <c r="V849" s="314"/>
      <c r="W849" s="313"/>
      <c r="X849" s="313"/>
      <c r="Y849" s="314"/>
      <c r="Z849" s="335"/>
      <c r="AA849" s="313"/>
      <c r="AB849" s="324"/>
      <c r="AC849" s="155"/>
      <c r="AD849" s="155"/>
      <c r="AE849" s="322"/>
      <c r="AF849" s="132"/>
      <c r="AG849" s="132"/>
    </row>
    <row r="850">
      <c r="A850" s="311"/>
      <c r="B850" s="313"/>
      <c r="C850" s="313"/>
      <c r="D850" s="313"/>
      <c r="E850" s="314"/>
      <c r="F850" s="314"/>
      <c r="G850" s="314"/>
      <c r="H850" s="314"/>
      <c r="I850" s="314"/>
      <c r="J850" s="314"/>
      <c r="K850" s="314"/>
      <c r="L850" s="314"/>
      <c r="M850" s="314"/>
      <c r="N850" s="314"/>
      <c r="O850" s="314"/>
      <c r="P850" s="314"/>
      <c r="Q850" s="314"/>
      <c r="R850" s="314"/>
      <c r="S850" s="314"/>
      <c r="T850" s="314"/>
      <c r="U850" s="314"/>
      <c r="V850" s="314"/>
      <c r="W850" s="313"/>
      <c r="X850" s="313"/>
      <c r="Y850" s="314"/>
      <c r="Z850" s="335"/>
      <c r="AA850" s="313"/>
      <c r="AB850" s="324"/>
      <c r="AC850" s="155"/>
      <c r="AD850" s="155"/>
      <c r="AE850" s="322"/>
      <c r="AF850" s="132"/>
      <c r="AG850" s="132"/>
    </row>
    <row r="851">
      <c r="A851" s="311"/>
      <c r="B851" s="313"/>
      <c r="C851" s="313"/>
      <c r="D851" s="313"/>
      <c r="E851" s="314"/>
      <c r="F851" s="314"/>
      <c r="G851" s="314"/>
      <c r="H851" s="314"/>
      <c r="I851" s="314"/>
      <c r="J851" s="314"/>
      <c r="K851" s="314"/>
      <c r="L851" s="314"/>
      <c r="M851" s="314"/>
      <c r="N851" s="314"/>
      <c r="O851" s="314"/>
      <c r="P851" s="314"/>
      <c r="Q851" s="314"/>
      <c r="R851" s="314"/>
      <c r="S851" s="314"/>
      <c r="T851" s="314"/>
      <c r="U851" s="314"/>
      <c r="V851" s="314"/>
      <c r="W851" s="313"/>
      <c r="X851" s="313"/>
      <c r="Y851" s="314"/>
      <c r="Z851" s="335"/>
      <c r="AA851" s="313"/>
      <c r="AB851" s="324"/>
      <c r="AC851" s="155"/>
      <c r="AD851" s="155"/>
      <c r="AE851" s="322"/>
      <c r="AF851" s="132"/>
      <c r="AG851" s="132"/>
    </row>
    <row r="852">
      <c r="A852" s="311"/>
      <c r="B852" s="313"/>
      <c r="C852" s="313"/>
      <c r="D852" s="313"/>
      <c r="E852" s="314"/>
      <c r="F852" s="314"/>
      <c r="G852" s="314"/>
      <c r="H852" s="314"/>
      <c r="I852" s="314"/>
      <c r="J852" s="314"/>
      <c r="K852" s="314"/>
      <c r="L852" s="314"/>
      <c r="M852" s="314"/>
      <c r="N852" s="314"/>
      <c r="O852" s="314"/>
      <c r="P852" s="314"/>
      <c r="Q852" s="314"/>
      <c r="R852" s="314"/>
      <c r="S852" s="314"/>
      <c r="T852" s="314"/>
      <c r="U852" s="314"/>
      <c r="V852" s="314"/>
      <c r="W852" s="313"/>
      <c r="X852" s="313"/>
      <c r="Y852" s="314"/>
      <c r="Z852" s="335"/>
      <c r="AA852" s="313"/>
      <c r="AB852" s="324"/>
      <c r="AC852" s="155"/>
      <c r="AD852" s="155"/>
      <c r="AE852" s="322"/>
      <c r="AF852" s="132"/>
      <c r="AG852" s="132"/>
    </row>
    <row r="853">
      <c r="A853" s="311"/>
      <c r="B853" s="313"/>
      <c r="C853" s="313"/>
      <c r="D853" s="313"/>
      <c r="E853" s="314"/>
      <c r="F853" s="314"/>
      <c r="G853" s="314"/>
      <c r="H853" s="314"/>
      <c r="I853" s="314"/>
      <c r="J853" s="314"/>
      <c r="K853" s="314"/>
      <c r="L853" s="314"/>
      <c r="M853" s="314"/>
      <c r="N853" s="314"/>
      <c r="O853" s="314"/>
      <c r="P853" s="314"/>
      <c r="Q853" s="314"/>
      <c r="R853" s="314"/>
      <c r="S853" s="314"/>
      <c r="T853" s="314"/>
      <c r="U853" s="314"/>
      <c r="V853" s="314"/>
      <c r="W853" s="313"/>
      <c r="X853" s="313"/>
      <c r="Y853" s="314"/>
      <c r="Z853" s="335"/>
      <c r="AA853" s="313"/>
      <c r="AB853" s="324"/>
      <c r="AC853" s="155"/>
      <c r="AD853" s="155"/>
      <c r="AE853" s="322"/>
      <c r="AF853" s="132"/>
      <c r="AG853" s="132"/>
    </row>
    <row r="854">
      <c r="A854" s="311"/>
      <c r="B854" s="313"/>
      <c r="C854" s="313"/>
      <c r="D854" s="313"/>
      <c r="E854" s="314"/>
      <c r="F854" s="314"/>
      <c r="G854" s="314"/>
      <c r="H854" s="314"/>
      <c r="I854" s="314"/>
      <c r="J854" s="314"/>
      <c r="K854" s="314"/>
      <c r="L854" s="314"/>
      <c r="M854" s="314"/>
      <c r="N854" s="314"/>
      <c r="O854" s="314"/>
      <c r="P854" s="314"/>
      <c r="Q854" s="314"/>
      <c r="R854" s="314"/>
      <c r="S854" s="314"/>
      <c r="T854" s="314"/>
      <c r="U854" s="314"/>
      <c r="V854" s="314"/>
      <c r="W854" s="313"/>
      <c r="X854" s="313"/>
      <c r="Y854" s="314"/>
      <c r="Z854" s="335"/>
      <c r="AA854" s="313"/>
      <c r="AB854" s="324"/>
      <c r="AC854" s="155"/>
      <c r="AD854" s="155"/>
      <c r="AE854" s="322"/>
      <c r="AF854" s="132"/>
      <c r="AG854" s="132"/>
    </row>
    <row r="855">
      <c r="A855" s="311"/>
      <c r="B855" s="313"/>
      <c r="C855" s="313"/>
      <c r="D855" s="313"/>
      <c r="E855" s="314"/>
      <c r="F855" s="314"/>
      <c r="G855" s="314"/>
      <c r="H855" s="314"/>
      <c r="I855" s="314"/>
      <c r="J855" s="314"/>
      <c r="K855" s="314"/>
      <c r="L855" s="314"/>
      <c r="M855" s="314"/>
      <c r="N855" s="314"/>
      <c r="O855" s="314"/>
      <c r="P855" s="314"/>
      <c r="Q855" s="314"/>
      <c r="R855" s="314"/>
      <c r="S855" s="314"/>
      <c r="T855" s="314"/>
      <c r="U855" s="314"/>
      <c r="V855" s="314"/>
      <c r="W855" s="313"/>
      <c r="X855" s="313"/>
      <c r="Y855" s="314"/>
      <c r="Z855" s="335"/>
      <c r="AA855" s="313"/>
      <c r="AB855" s="324"/>
      <c r="AC855" s="155"/>
      <c r="AD855" s="155"/>
      <c r="AE855" s="322"/>
      <c r="AF855" s="132"/>
      <c r="AG855" s="132"/>
    </row>
    <row r="856">
      <c r="A856" s="311"/>
      <c r="B856" s="313"/>
      <c r="C856" s="313"/>
      <c r="D856" s="313"/>
      <c r="E856" s="314"/>
      <c r="F856" s="314"/>
      <c r="G856" s="314"/>
      <c r="H856" s="314"/>
      <c r="I856" s="314"/>
      <c r="J856" s="314"/>
      <c r="K856" s="314"/>
      <c r="L856" s="314"/>
      <c r="M856" s="314"/>
      <c r="N856" s="314"/>
      <c r="O856" s="314"/>
      <c r="P856" s="314"/>
      <c r="Q856" s="314"/>
      <c r="R856" s="314"/>
      <c r="S856" s="314"/>
      <c r="T856" s="314"/>
      <c r="U856" s="314"/>
      <c r="V856" s="314"/>
      <c r="W856" s="313"/>
      <c r="X856" s="313"/>
      <c r="Y856" s="314"/>
      <c r="Z856" s="335"/>
      <c r="AA856" s="313"/>
      <c r="AB856" s="324"/>
      <c r="AC856" s="155"/>
      <c r="AD856" s="155"/>
      <c r="AE856" s="322"/>
      <c r="AF856" s="132"/>
      <c r="AG856" s="132"/>
    </row>
    <row r="857">
      <c r="A857" s="311"/>
      <c r="B857" s="313"/>
      <c r="C857" s="313"/>
      <c r="D857" s="313"/>
      <c r="E857" s="314"/>
      <c r="F857" s="314"/>
      <c r="G857" s="314"/>
      <c r="H857" s="314"/>
      <c r="I857" s="314"/>
      <c r="J857" s="314"/>
      <c r="K857" s="314"/>
      <c r="L857" s="314"/>
      <c r="M857" s="314"/>
      <c r="N857" s="314"/>
      <c r="O857" s="314"/>
      <c r="P857" s="314"/>
      <c r="Q857" s="314"/>
      <c r="R857" s="314"/>
      <c r="S857" s="314"/>
      <c r="T857" s="314"/>
      <c r="U857" s="314"/>
      <c r="V857" s="314"/>
      <c r="W857" s="313"/>
      <c r="X857" s="313"/>
      <c r="Y857" s="314"/>
      <c r="Z857" s="335"/>
      <c r="AA857" s="313"/>
      <c r="AB857" s="324"/>
      <c r="AC857" s="155"/>
      <c r="AD857" s="155"/>
      <c r="AE857" s="322"/>
      <c r="AF857" s="132"/>
      <c r="AG857" s="132"/>
    </row>
    <row r="858">
      <c r="A858" s="311"/>
      <c r="B858" s="313"/>
      <c r="C858" s="313"/>
      <c r="D858" s="313"/>
      <c r="E858" s="314"/>
      <c r="F858" s="314"/>
      <c r="G858" s="314"/>
      <c r="H858" s="314"/>
      <c r="I858" s="314"/>
      <c r="J858" s="314"/>
      <c r="K858" s="314"/>
      <c r="L858" s="314"/>
      <c r="M858" s="314"/>
      <c r="N858" s="314"/>
      <c r="O858" s="314"/>
      <c r="P858" s="314"/>
      <c r="Q858" s="314"/>
      <c r="R858" s="314"/>
      <c r="S858" s="314"/>
      <c r="T858" s="314"/>
      <c r="U858" s="314"/>
      <c r="V858" s="314"/>
      <c r="W858" s="313"/>
      <c r="X858" s="313"/>
      <c r="Y858" s="314"/>
      <c r="Z858" s="335"/>
      <c r="AA858" s="313"/>
      <c r="AB858" s="324"/>
      <c r="AC858" s="155"/>
      <c r="AD858" s="155"/>
      <c r="AE858" s="322"/>
      <c r="AF858" s="132"/>
      <c r="AG858" s="132"/>
    </row>
    <row r="859">
      <c r="A859" s="311"/>
      <c r="B859" s="313"/>
      <c r="C859" s="313"/>
      <c r="D859" s="313"/>
      <c r="E859" s="314"/>
      <c r="F859" s="314"/>
      <c r="G859" s="314"/>
      <c r="H859" s="314"/>
      <c r="I859" s="314"/>
      <c r="J859" s="314"/>
      <c r="K859" s="314"/>
      <c r="L859" s="314"/>
      <c r="M859" s="314"/>
      <c r="N859" s="314"/>
      <c r="O859" s="314"/>
      <c r="P859" s="314"/>
      <c r="Q859" s="314"/>
      <c r="R859" s="314"/>
      <c r="S859" s="314"/>
      <c r="T859" s="314"/>
      <c r="U859" s="314"/>
      <c r="V859" s="314"/>
      <c r="W859" s="313"/>
      <c r="X859" s="313"/>
      <c r="Y859" s="314"/>
      <c r="Z859" s="335"/>
      <c r="AA859" s="313"/>
      <c r="AB859" s="324"/>
      <c r="AC859" s="155"/>
      <c r="AD859" s="155"/>
      <c r="AE859" s="322"/>
      <c r="AF859" s="132"/>
      <c r="AG859" s="132"/>
    </row>
    <row r="860">
      <c r="A860" s="311"/>
      <c r="B860" s="313"/>
      <c r="C860" s="313"/>
      <c r="D860" s="313"/>
      <c r="E860" s="314"/>
      <c r="F860" s="314"/>
      <c r="G860" s="314"/>
      <c r="H860" s="314"/>
      <c r="I860" s="314"/>
      <c r="J860" s="314"/>
      <c r="K860" s="314"/>
      <c r="L860" s="314"/>
      <c r="M860" s="314"/>
      <c r="N860" s="314"/>
      <c r="O860" s="314"/>
      <c r="P860" s="314"/>
      <c r="Q860" s="314"/>
      <c r="R860" s="314"/>
      <c r="S860" s="314"/>
      <c r="T860" s="314"/>
      <c r="U860" s="314"/>
      <c r="V860" s="314"/>
      <c r="W860" s="313"/>
      <c r="X860" s="313"/>
      <c r="Y860" s="314"/>
      <c r="Z860" s="335"/>
      <c r="AA860" s="313"/>
      <c r="AB860" s="324"/>
      <c r="AC860" s="155"/>
      <c r="AD860" s="155"/>
      <c r="AE860" s="322"/>
      <c r="AF860" s="132"/>
      <c r="AG860" s="132"/>
    </row>
    <row r="861">
      <c r="A861" s="311"/>
      <c r="B861" s="313"/>
      <c r="C861" s="313"/>
      <c r="D861" s="313"/>
      <c r="E861" s="314"/>
      <c r="F861" s="314"/>
      <c r="G861" s="314"/>
      <c r="H861" s="314"/>
      <c r="I861" s="314"/>
      <c r="J861" s="314"/>
      <c r="K861" s="314"/>
      <c r="L861" s="314"/>
      <c r="M861" s="314"/>
      <c r="N861" s="314"/>
      <c r="O861" s="314"/>
      <c r="P861" s="314"/>
      <c r="Q861" s="314"/>
      <c r="R861" s="314"/>
      <c r="S861" s="314"/>
      <c r="T861" s="314"/>
      <c r="U861" s="314"/>
      <c r="V861" s="314"/>
      <c r="W861" s="313"/>
      <c r="X861" s="313"/>
      <c r="Y861" s="314"/>
      <c r="Z861" s="335"/>
      <c r="AA861" s="313"/>
      <c r="AB861" s="324"/>
      <c r="AC861" s="155"/>
      <c r="AD861" s="155"/>
      <c r="AE861" s="322"/>
      <c r="AF861" s="132"/>
      <c r="AG861" s="132"/>
    </row>
    <row r="862">
      <c r="A862" s="311"/>
      <c r="B862" s="313"/>
      <c r="C862" s="313"/>
      <c r="D862" s="313"/>
      <c r="E862" s="314"/>
      <c r="F862" s="314"/>
      <c r="G862" s="314"/>
      <c r="H862" s="314"/>
      <c r="I862" s="314"/>
      <c r="J862" s="314"/>
      <c r="K862" s="314"/>
      <c r="L862" s="314"/>
      <c r="M862" s="314"/>
      <c r="N862" s="314"/>
      <c r="O862" s="314"/>
      <c r="P862" s="314"/>
      <c r="Q862" s="314"/>
      <c r="R862" s="314"/>
      <c r="S862" s="314"/>
      <c r="T862" s="314"/>
      <c r="U862" s="314"/>
      <c r="V862" s="314"/>
      <c r="W862" s="313"/>
      <c r="X862" s="313"/>
      <c r="Y862" s="314"/>
      <c r="Z862" s="335"/>
      <c r="AA862" s="313"/>
      <c r="AB862" s="324"/>
      <c r="AC862" s="155"/>
      <c r="AD862" s="155"/>
      <c r="AE862" s="322"/>
      <c r="AF862" s="132"/>
      <c r="AG862" s="132"/>
    </row>
    <row r="863">
      <c r="A863" s="311"/>
      <c r="B863" s="313"/>
      <c r="C863" s="313"/>
      <c r="D863" s="313"/>
      <c r="E863" s="314"/>
      <c r="F863" s="314"/>
      <c r="G863" s="314"/>
      <c r="H863" s="314"/>
      <c r="I863" s="314"/>
      <c r="J863" s="314"/>
      <c r="K863" s="314"/>
      <c r="L863" s="314"/>
      <c r="M863" s="314"/>
      <c r="N863" s="314"/>
      <c r="O863" s="314"/>
      <c r="P863" s="314"/>
      <c r="Q863" s="314"/>
      <c r="R863" s="314"/>
      <c r="S863" s="314"/>
      <c r="T863" s="314"/>
      <c r="U863" s="314"/>
      <c r="V863" s="314"/>
      <c r="W863" s="313"/>
      <c r="X863" s="313"/>
      <c r="Y863" s="314"/>
      <c r="Z863" s="335"/>
      <c r="AA863" s="313"/>
      <c r="AB863" s="324"/>
      <c r="AC863" s="155"/>
      <c r="AD863" s="155"/>
      <c r="AE863" s="322"/>
      <c r="AF863" s="132"/>
      <c r="AG863" s="132"/>
    </row>
    <row r="864">
      <c r="A864" s="311"/>
      <c r="B864" s="313"/>
      <c r="C864" s="313"/>
      <c r="D864" s="313"/>
      <c r="E864" s="314"/>
      <c r="F864" s="314"/>
      <c r="G864" s="314"/>
      <c r="H864" s="314"/>
      <c r="I864" s="314"/>
      <c r="J864" s="314"/>
      <c r="K864" s="314"/>
      <c r="L864" s="314"/>
      <c r="M864" s="314"/>
      <c r="N864" s="314"/>
      <c r="O864" s="314"/>
      <c r="P864" s="314"/>
      <c r="Q864" s="314"/>
      <c r="R864" s="314"/>
      <c r="S864" s="314"/>
      <c r="T864" s="314"/>
      <c r="U864" s="314"/>
      <c r="V864" s="314"/>
      <c r="W864" s="313"/>
      <c r="X864" s="313"/>
      <c r="Y864" s="314"/>
      <c r="Z864" s="335"/>
      <c r="AA864" s="313"/>
      <c r="AB864" s="324"/>
      <c r="AC864" s="155"/>
      <c r="AD864" s="155"/>
      <c r="AE864" s="322"/>
      <c r="AF864" s="132"/>
      <c r="AG864" s="132"/>
    </row>
    <row r="865">
      <c r="A865" s="311"/>
      <c r="B865" s="313"/>
      <c r="C865" s="313"/>
      <c r="D865" s="313"/>
      <c r="E865" s="314"/>
      <c r="F865" s="314"/>
      <c r="G865" s="314"/>
      <c r="H865" s="314"/>
      <c r="I865" s="314"/>
      <c r="J865" s="314"/>
      <c r="K865" s="314"/>
      <c r="L865" s="314"/>
      <c r="M865" s="314"/>
      <c r="N865" s="314"/>
      <c r="O865" s="314"/>
      <c r="P865" s="314"/>
      <c r="Q865" s="314"/>
      <c r="R865" s="314"/>
      <c r="S865" s="314"/>
      <c r="T865" s="314"/>
      <c r="U865" s="314"/>
      <c r="V865" s="314"/>
      <c r="W865" s="313"/>
      <c r="X865" s="313"/>
      <c r="Y865" s="314"/>
      <c r="Z865" s="335"/>
      <c r="AA865" s="313"/>
      <c r="AB865" s="324"/>
      <c r="AC865" s="155"/>
      <c r="AD865" s="155"/>
      <c r="AE865" s="322"/>
      <c r="AF865" s="132"/>
      <c r="AG865" s="132"/>
    </row>
    <row r="866">
      <c r="A866" s="311"/>
      <c r="B866" s="313"/>
      <c r="C866" s="313"/>
      <c r="D866" s="313"/>
      <c r="E866" s="314"/>
      <c r="F866" s="314"/>
      <c r="G866" s="314"/>
      <c r="H866" s="314"/>
      <c r="I866" s="314"/>
      <c r="J866" s="314"/>
      <c r="K866" s="314"/>
      <c r="L866" s="314"/>
      <c r="M866" s="314"/>
      <c r="N866" s="314"/>
      <c r="O866" s="314"/>
      <c r="P866" s="314"/>
      <c r="Q866" s="314"/>
      <c r="R866" s="314"/>
      <c r="S866" s="314"/>
      <c r="T866" s="314"/>
      <c r="U866" s="314"/>
      <c r="V866" s="314"/>
      <c r="W866" s="313"/>
      <c r="X866" s="313"/>
      <c r="Y866" s="314"/>
      <c r="Z866" s="335"/>
      <c r="AA866" s="313"/>
      <c r="AB866" s="324"/>
      <c r="AC866" s="155"/>
      <c r="AD866" s="155"/>
      <c r="AE866" s="322"/>
      <c r="AF866" s="132"/>
      <c r="AG866" s="132"/>
    </row>
    <row r="867">
      <c r="A867" s="311"/>
      <c r="B867" s="313"/>
      <c r="C867" s="313"/>
      <c r="D867" s="313"/>
      <c r="E867" s="314"/>
      <c r="F867" s="314"/>
      <c r="G867" s="314"/>
      <c r="H867" s="314"/>
      <c r="I867" s="314"/>
      <c r="J867" s="314"/>
      <c r="K867" s="314"/>
      <c r="L867" s="314"/>
      <c r="M867" s="314"/>
      <c r="N867" s="314"/>
      <c r="O867" s="314"/>
      <c r="P867" s="314"/>
      <c r="Q867" s="314"/>
      <c r="R867" s="314"/>
      <c r="S867" s="314"/>
      <c r="T867" s="314"/>
      <c r="U867" s="314"/>
      <c r="V867" s="314"/>
      <c r="W867" s="313"/>
      <c r="X867" s="313"/>
      <c r="Y867" s="314"/>
      <c r="Z867" s="335"/>
      <c r="AA867" s="313"/>
      <c r="AB867" s="324"/>
      <c r="AC867" s="155"/>
      <c r="AD867" s="155"/>
      <c r="AE867" s="322"/>
      <c r="AF867" s="132"/>
      <c r="AG867" s="132"/>
    </row>
    <row r="868">
      <c r="A868" s="311"/>
      <c r="B868" s="313"/>
      <c r="C868" s="313"/>
      <c r="D868" s="313"/>
      <c r="E868" s="314"/>
      <c r="F868" s="314"/>
      <c r="G868" s="314"/>
      <c r="H868" s="314"/>
      <c r="I868" s="314"/>
      <c r="J868" s="314"/>
      <c r="K868" s="314"/>
      <c r="L868" s="314"/>
      <c r="M868" s="314"/>
      <c r="N868" s="314"/>
      <c r="O868" s="314"/>
      <c r="P868" s="314"/>
      <c r="Q868" s="314"/>
      <c r="R868" s="314"/>
      <c r="S868" s="314"/>
      <c r="T868" s="314"/>
      <c r="U868" s="314"/>
      <c r="V868" s="314"/>
      <c r="W868" s="313"/>
      <c r="X868" s="313"/>
      <c r="Y868" s="314"/>
      <c r="Z868" s="335"/>
      <c r="AA868" s="313"/>
      <c r="AB868" s="324"/>
      <c r="AC868" s="155"/>
      <c r="AD868" s="155"/>
      <c r="AE868" s="322"/>
      <c r="AF868" s="132"/>
      <c r="AG868" s="132"/>
    </row>
    <row r="869">
      <c r="A869" s="311"/>
      <c r="B869" s="313"/>
      <c r="C869" s="313"/>
      <c r="D869" s="313"/>
      <c r="E869" s="314"/>
      <c r="F869" s="314"/>
      <c r="G869" s="314"/>
      <c r="H869" s="314"/>
      <c r="I869" s="314"/>
      <c r="J869" s="314"/>
      <c r="K869" s="314"/>
      <c r="L869" s="314"/>
      <c r="M869" s="314"/>
      <c r="N869" s="314"/>
      <c r="O869" s="314"/>
      <c r="P869" s="314"/>
      <c r="Q869" s="314"/>
      <c r="R869" s="314"/>
      <c r="S869" s="314"/>
      <c r="T869" s="314"/>
      <c r="U869" s="314"/>
      <c r="V869" s="314"/>
      <c r="W869" s="313"/>
      <c r="X869" s="313"/>
      <c r="Y869" s="314"/>
      <c r="Z869" s="335"/>
      <c r="AA869" s="313"/>
      <c r="AB869" s="324"/>
      <c r="AC869" s="155"/>
      <c r="AD869" s="155"/>
      <c r="AE869" s="322"/>
      <c r="AF869" s="132"/>
      <c r="AG869" s="132"/>
    </row>
    <row r="870">
      <c r="A870" s="311"/>
      <c r="B870" s="313"/>
      <c r="C870" s="313"/>
      <c r="D870" s="313"/>
      <c r="E870" s="314"/>
      <c r="F870" s="314"/>
      <c r="G870" s="314"/>
      <c r="H870" s="314"/>
      <c r="I870" s="314"/>
      <c r="J870" s="314"/>
      <c r="K870" s="314"/>
      <c r="L870" s="314"/>
      <c r="M870" s="314"/>
      <c r="N870" s="314"/>
      <c r="O870" s="314"/>
      <c r="P870" s="314"/>
      <c r="Q870" s="314"/>
      <c r="R870" s="314"/>
      <c r="S870" s="314"/>
      <c r="T870" s="314"/>
      <c r="U870" s="314"/>
      <c r="V870" s="314"/>
      <c r="W870" s="313"/>
      <c r="X870" s="313"/>
      <c r="Y870" s="314"/>
      <c r="Z870" s="335"/>
      <c r="AA870" s="313"/>
      <c r="AB870" s="324"/>
      <c r="AC870" s="155"/>
      <c r="AD870" s="155"/>
      <c r="AE870" s="322"/>
      <c r="AF870" s="132"/>
      <c r="AG870" s="132"/>
    </row>
    <row r="871">
      <c r="A871" s="311"/>
      <c r="B871" s="313"/>
      <c r="C871" s="313"/>
      <c r="D871" s="313"/>
      <c r="E871" s="314"/>
      <c r="F871" s="314"/>
      <c r="G871" s="314"/>
      <c r="H871" s="314"/>
      <c r="I871" s="314"/>
      <c r="J871" s="314"/>
      <c r="K871" s="314"/>
      <c r="L871" s="314"/>
      <c r="M871" s="314"/>
      <c r="N871" s="314"/>
      <c r="O871" s="314"/>
      <c r="P871" s="314"/>
      <c r="Q871" s="314"/>
      <c r="R871" s="314"/>
      <c r="S871" s="314"/>
      <c r="T871" s="314"/>
      <c r="U871" s="314"/>
      <c r="V871" s="314"/>
      <c r="W871" s="313"/>
      <c r="X871" s="313"/>
      <c r="Y871" s="314"/>
      <c r="Z871" s="335"/>
      <c r="AA871" s="313"/>
      <c r="AB871" s="324"/>
      <c r="AC871" s="155"/>
      <c r="AD871" s="155"/>
      <c r="AE871" s="322"/>
      <c r="AF871" s="132"/>
      <c r="AG871" s="132"/>
    </row>
    <row r="872">
      <c r="A872" s="311"/>
      <c r="B872" s="313"/>
      <c r="C872" s="313"/>
      <c r="D872" s="313"/>
      <c r="E872" s="314"/>
      <c r="F872" s="314"/>
      <c r="G872" s="314"/>
      <c r="H872" s="314"/>
      <c r="I872" s="314"/>
      <c r="J872" s="314"/>
      <c r="K872" s="314"/>
      <c r="L872" s="314"/>
      <c r="M872" s="314"/>
      <c r="N872" s="314"/>
      <c r="O872" s="314"/>
      <c r="P872" s="314"/>
      <c r="Q872" s="314"/>
      <c r="R872" s="314"/>
      <c r="S872" s="314"/>
      <c r="T872" s="314"/>
      <c r="U872" s="314"/>
      <c r="V872" s="314"/>
      <c r="W872" s="313"/>
      <c r="X872" s="313"/>
      <c r="Y872" s="314"/>
      <c r="Z872" s="335"/>
      <c r="AA872" s="313"/>
      <c r="AB872" s="324"/>
      <c r="AC872" s="155"/>
      <c r="AD872" s="155"/>
      <c r="AE872" s="322"/>
      <c r="AF872" s="132"/>
      <c r="AG872" s="132"/>
    </row>
    <row r="873">
      <c r="A873" s="311"/>
      <c r="B873" s="313"/>
      <c r="C873" s="313"/>
      <c r="D873" s="313"/>
      <c r="E873" s="314"/>
      <c r="F873" s="314"/>
      <c r="G873" s="314"/>
      <c r="H873" s="314"/>
      <c r="I873" s="314"/>
      <c r="J873" s="314"/>
      <c r="K873" s="314"/>
      <c r="L873" s="314"/>
      <c r="M873" s="314"/>
      <c r="N873" s="314"/>
      <c r="O873" s="314"/>
      <c r="P873" s="314"/>
      <c r="Q873" s="314"/>
      <c r="R873" s="314"/>
      <c r="S873" s="314"/>
      <c r="T873" s="314"/>
      <c r="U873" s="314"/>
      <c r="V873" s="314"/>
      <c r="W873" s="313"/>
      <c r="X873" s="313"/>
      <c r="Y873" s="314"/>
      <c r="Z873" s="335"/>
      <c r="AA873" s="313"/>
      <c r="AB873" s="324"/>
      <c r="AC873" s="155"/>
      <c r="AD873" s="155"/>
      <c r="AE873" s="322"/>
      <c r="AF873" s="132"/>
      <c r="AG873" s="132"/>
    </row>
    <row r="874">
      <c r="A874" s="311"/>
      <c r="B874" s="313"/>
      <c r="C874" s="313"/>
      <c r="D874" s="313"/>
      <c r="E874" s="314"/>
      <c r="F874" s="314"/>
      <c r="G874" s="314"/>
      <c r="H874" s="314"/>
      <c r="I874" s="314"/>
      <c r="J874" s="314"/>
      <c r="K874" s="314"/>
      <c r="L874" s="314"/>
      <c r="M874" s="314"/>
      <c r="N874" s="314"/>
      <c r="O874" s="314"/>
      <c r="P874" s="314"/>
      <c r="Q874" s="314"/>
      <c r="R874" s="314"/>
      <c r="S874" s="314"/>
      <c r="T874" s="314"/>
      <c r="U874" s="314"/>
      <c r="V874" s="314"/>
      <c r="W874" s="313"/>
      <c r="X874" s="313"/>
      <c r="Y874" s="314"/>
      <c r="Z874" s="335"/>
      <c r="AA874" s="313"/>
      <c r="AB874" s="324"/>
      <c r="AC874" s="155"/>
      <c r="AD874" s="155"/>
      <c r="AE874" s="322"/>
      <c r="AF874" s="132"/>
      <c r="AG874" s="132"/>
    </row>
    <row r="875">
      <c r="A875" s="311"/>
      <c r="B875" s="313"/>
      <c r="C875" s="313"/>
      <c r="D875" s="313"/>
      <c r="E875" s="314"/>
      <c r="F875" s="314"/>
      <c r="G875" s="314"/>
      <c r="H875" s="314"/>
      <c r="I875" s="314"/>
      <c r="J875" s="314"/>
      <c r="K875" s="314"/>
      <c r="L875" s="314"/>
      <c r="M875" s="314"/>
      <c r="N875" s="314"/>
      <c r="O875" s="314"/>
      <c r="P875" s="314"/>
      <c r="Q875" s="314"/>
      <c r="R875" s="314"/>
      <c r="S875" s="314"/>
      <c r="T875" s="314"/>
      <c r="U875" s="314"/>
      <c r="V875" s="314"/>
      <c r="W875" s="313"/>
      <c r="X875" s="313"/>
      <c r="Y875" s="314"/>
      <c r="Z875" s="335"/>
      <c r="AA875" s="313"/>
      <c r="AB875" s="324"/>
      <c r="AC875" s="155"/>
      <c r="AD875" s="155"/>
      <c r="AE875" s="322"/>
      <c r="AF875" s="132"/>
      <c r="AG875" s="132"/>
    </row>
    <row r="876">
      <c r="A876" s="311"/>
      <c r="B876" s="313"/>
      <c r="C876" s="313"/>
      <c r="D876" s="313"/>
      <c r="E876" s="314"/>
      <c r="F876" s="314"/>
      <c r="G876" s="314"/>
      <c r="H876" s="314"/>
      <c r="I876" s="314"/>
      <c r="J876" s="314"/>
      <c r="K876" s="314"/>
      <c r="L876" s="314"/>
      <c r="M876" s="314"/>
      <c r="N876" s="314"/>
      <c r="O876" s="314"/>
      <c r="P876" s="314"/>
      <c r="Q876" s="314"/>
      <c r="R876" s="314"/>
      <c r="S876" s="314"/>
      <c r="T876" s="314"/>
      <c r="U876" s="314"/>
      <c r="V876" s="314"/>
      <c r="W876" s="313"/>
      <c r="X876" s="313"/>
      <c r="Y876" s="314"/>
      <c r="Z876" s="335"/>
      <c r="AA876" s="313"/>
      <c r="AB876" s="324"/>
      <c r="AC876" s="155"/>
      <c r="AD876" s="155"/>
      <c r="AE876" s="322"/>
      <c r="AF876" s="132"/>
      <c r="AG876" s="132"/>
    </row>
    <row r="877">
      <c r="A877" s="311"/>
      <c r="B877" s="313"/>
      <c r="C877" s="313"/>
      <c r="D877" s="313"/>
      <c r="E877" s="314"/>
      <c r="F877" s="314"/>
      <c r="G877" s="314"/>
      <c r="H877" s="314"/>
      <c r="I877" s="314"/>
      <c r="J877" s="314"/>
      <c r="K877" s="314"/>
      <c r="L877" s="314"/>
      <c r="M877" s="314"/>
      <c r="N877" s="314"/>
      <c r="O877" s="314"/>
      <c r="P877" s="314"/>
      <c r="Q877" s="314"/>
      <c r="R877" s="314"/>
      <c r="S877" s="314"/>
      <c r="T877" s="314"/>
      <c r="U877" s="314"/>
      <c r="V877" s="314"/>
      <c r="W877" s="313"/>
      <c r="X877" s="313"/>
      <c r="Y877" s="314"/>
      <c r="Z877" s="335"/>
      <c r="AA877" s="313"/>
      <c r="AB877" s="324"/>
      <c r="AC877" s="155"/>
      <c r="AD877" s="155"/>
      <c r="AE877" s="322"/>
      <c r="AF877" s="132"/>
      <c r="AG877" s="132"/>
    </row>
    <row r="878">
      <c r="A878" s="311"/>
      <c r="B878" s="313"/>
      <c r="C878" s="313"/>
      <c r="D878" s="313"/>
      <c r="E878" s="314"/>
      <c r="F878" s="314"/>
      <c r="G878" s="314"/>
      <c r="H878" s="314"/>
      <c r="I878" s="314"/>
      <c r="J878" s="314"/>
      <c r="K878" s="314"/>
      <c r="L878" s="314"/>
      <c r="M878" s="314"/>
      <c r="N878" s="314"/>
      <c r="O878" s="314"/>
      <c r="P878" s="314"/>
      <c r="Q878" s="314"/>
      <c r="R878" s="314"/>
      <c r="S878" s="314"/>
      <c r="T878" s="314"/>
      <c r="U878" s="314"/>
      <c r="V878" s="314"/>
      <c r="W878" s="313"/>
      <c r="X878" s="313"/>
      <c r="Y878" s="314"/>
      <c r="Z878" s="335"/>
      <c r="AA878" s="313"/>
      <c r="AB878" s="324"/>
      <c r="AC878" s="155"/>
      <c r="AD878" s="155"/>
      <c r="AE878" s="322"/>
      <c r="AF878" s="132"/>
      <c r="AG878" s="132"/>
    </row>
    <row r="879">
      <c r="A879" s="311"/>
      <c r="B879" s="313"/>
      <c r="C879" s="313"/>
      <c r="D879" s="313"/>
      <c r="E879" s="314"/>
      <c r="F879" s="314"/>
      <c r="G879" s="314"/>
      <c r="H879" s="314"/>
      <c r="I879" s="314"/>
      <c r="J879" s="314"/>
      <c r="K879" s="314"/>
      <c r="L879" s="314"/>
      <c r="M879" s="314"/>
      <c r="N879" s="314"/>
      <c r="O879" s="314"/>
      <c r="P879" s="314"/>
      <c r="Q879" s="314"/>
      <c r="R879" s="314"/>
      <c r="S879" s="314"/>
      <c r="T879" s="314"/>
      <c r="U879" s="314"/>
      <c r="V879" s="314"/>
      <c r="W879" s="313"/>
      <c r="X879" s="313"/>
      <c r="Y879" s="314"/>
      <c r="Z879" s="335"/>
      <c r="AA879" s="313"/>
      <c r="AB879" s="324"/>
      <c r="AC879" s="155"/>
      <c r="AD879" s="155"/>
      <c r="AE879" s="322"/>
      <c r="AF879" s="132"/>
      <c r="AG879" s="132"/>
    </row>
    <row r="880">
      <c r="A880" s="311"/>
      <c r="B880" s="313"/>
      <c r="C880" s="313"/>
      <c r="D880" s="313"/>
      <c r="E880" s="314"/>
      <c r="F880" s="314"/>
      <c r="G880" s="314"/>
      <c r="H880" s="314"/>
      <c r="I880" s="314"/>
      <c r="J880" s="314"/>
      <c r="K880" s="314"/>
      <c r="L880" s="314"/>
      <c r="M880" s="314"/>
      <c r="N880" s="314"/>
      <c r="O880" s="314"/>
      <c r="P880" s="314"/>
      <c r="Q880" s="314"/>
      <c r="R880" s="314"/>
      <c r="S880" s="314"/>
      <c r="T880" s="314"/>
      <c r="U880" s="314"/>
      <c r="V880" s="314"/>
      <c r="W880" s="313"/>
      <c r="X880" s="313"/>
      <c r="Y880" s="314"/>
      <c r="Z880" s="335"/>
      <c r="AA880" s="313"/>
      <c r="AB880" s="324"/>
      <c r="AC880" s="155"/>
      <c r="AD880" s="155"/>
      <c r="AE880" s="322"/>
      <c r="AF880" s="132"/>
      <c r="AG880" s="132"/>
    </row>
    <row r="881">
      <c r="A881" s="311"/>
      <c r="B881" s="313"/>
      <c r="C881" s="313"/>
      <c r="D881" s="313"/>
      <c r="E881" s="314"/>
      <c r="F881" s="314"/>
      <c r="G881" s="314"/>
      <c r="H881" s="314"/>
      <c r="I881" s="314"/>
      <c r="J881" s="314"/>
      <c r="K881" s="314"/>
      <c r="L881" s="314"/>
      <c r="M881" s="314"/>
      <c r="N881" s="314"/>
      <c r="O881" s="314"/>
      <c r="P881" s="314"/>
      <c r="Q881" s="314"/>
      <c r="R881" s="314"/>
      <c r="S881" s="314"/>
      <c r="T881" s="314"/>
      <c r="U881" s="314"/>
      <c r="V881" s="314"/>
      <c r="W881" s="313"/>
      <c r="X881" s="313"/>
      <c r="Y881" s="314"/>
      <c r="Z881" s="335"/>
      <c r="AA881" s="313"/>
      <c r="AB881" s="324"/>
      <c r="AC881" s="155"/>
      <c r="AD881" s="155"/>
      <c r="AE881" s="322"/>
      <c r="AF881" s="132"/>
      <c r="AG881" s="132"/>
    </row>
    <row r="882">
      <c r="A882" s="311"/>
      <c r="B882" s="313"/>
      <c r="C882" s="313"/>
      <c r="D882" s="313"/>
      <c r="E882" s="314"/>
      <c r="F882" s="314"/>
      <c r="G882" s="314"/>
      <c r="H882" s="314"/>
      <c r="I882" s="314"/>
      <c r="J882" s="314"/>
      <c r="K882" s="314"/>
      <c r="L882" s="314"/>
      <c r="M882" s="314"/>
      <c r="N882" s="314"/>
      <c r="O882" s="314"/>
      <c r="P882" s="314"/>
      <c r="Q882" s="314"/>
      <c r="R882" s="314"/>
      <c r="S882" s="314"/>
      <c r="T882" s="314"/>
      <c r="U882" s="314"/>
      <c r="V882" s="314"/>
      <c r="W882" s="313"/>
      <c r="X882" s="313"/>
      <c r="Y882" s="314"/>
      <c r="Z882" s="335"/>
      <c r="AA882" s="313"/>
      <c r="AB882" s="324"/>
      <c r="AC882" s="155"/>
      <c r="AD882" s="155"/>
      <c r="AE882" s="322"/>
      <c r="AF882" s="132"/>
      <c r="AG882" s="132"/>
    </row>
    <row r="883">
      <c r="A883" s="311"/>
      <c r="B883" s="313"/>
      <c r="C883" s="313"/>
      <c r="D883" s="313"/>
      <c r="E883" s="314"/>
      <c r="F883" s="314"/>
      <c r="G883" s="314"/>
      <c r="H883" s="314"/>
      <c r="I883" s="314"/>
      <c r="J883" s="314"/>
      <c r="K883" s="314"/>
      <c r="L883" s="314"/>
      <c r="M883" s="314"/>
      <c r="N883" s="314"/>
      <c r="O883" s="314"/>
      <c r="P883" s="314"/>
      <c r="Q883" s="314"/>
      <c r="R883" s="314"/>
      <c r="S883" s="314"/>
      <c r="T883" s="314"/>
      <c r="U883" s="314"/>
      <c r="V883" s="314"/>
      <c r="W883" s="313"/>
      <c r="X883" s="313"/>
      <c r="Y883" s="314"/>
      <c r="Z883" s="335"/>
      <c r="AA883" s="313"/>
      <c r="AB883" s="324"/>
      <c r="AC883" s="155"/>
      <c r="AD883" s="155"/>
      <c r="AE883" s="322"/>
      <c r="AF883" s="132"/>
      <c r="AG883" s="132"/>
    </row>
    <row r="884">
      <c r="A884" s="311"/>
      <c r="B884" s="313"/>
      <c r="C884" s="313"/>
      <c r="D884" s="313"/>
      <c r="E884" s="314"/>
      <c r="F884" s="314"/>
      <c r="G884" s="314"/>
      <c r="H884" s="314"/>
      <c r="I884" s="314"/>
      <c r="J884" s="314"/>
      <c r="K884" s="314"/>
      <c r="L884" s="314"/>
      <c r="M884" s="314"/>
      <c r="N884" s="314"/>
      <c r="O884" s="314"/>
      <c r="P884" s="314"/>
      <c r="Q884" s="314"/>
      <c r="R884" s="314"/>
      <c r="S884" s="314"/>
      <c r="T884" s="314"/>
      <c r="U884" s="314"/>
      <c r="V884" s="314"/>
      <c r="W884" s="313"/>
      <c r="X884" s="313"/>
      <c r="Y884" s="314"/>
      <c r="Z884" s="335"/>
      <c r="AA884" s="313"/>
      <c r="AB884" s="324"/>
      <c r="AC884" s="155"/>
      <c r="AD884" s="155"/>
      <c r="AE884" s="322"/>
      <c r="AF884" s="132"/>
      <c r="AG884" s="132"/>
    </row>
    <row r="885">
      <c r="A885" s="311"/>
      <c r="B885" s="313"/>
      <c r="C885" s="313"/>
      <c r="D885" s="313"/>
      <c r="E885" s="314"/>
      <c r="F885" s="314"/>
      <c r="G885" s="314"/>
      <c r="H885" s="314"/>
      <c r="I885" s="314"/>
      <c r="J885" s="314"/>
      <c r="K885" s="314"/>
      <c r="L885" s="314"/>
      <c r="M885" s="314"/>
      <c r="N885" s="314"/>
      <c r="O885" s="314"/>
      <c r="P885" s="314"/>
      <c r="Q885" s="314"/>
      <c r="R885" s="314"/>
      <c r="S885" s="314"/>
      <c r="T885" s="314"/>
      <c r="U885" s="314"/>
      <c r="V885" s="314"/>
      <c r="W885" s="313"/>
      <c r="X885" s="313"/>
      <c r="Y885" s="314"/>
      <c r="Z885" s="335"/>
      <c r="AA885" s="313"/>
      <c r="AB885" s="324"/>
      <c r="AC885" s="155"/>
      <c r="AD885" s="155"/>
      <c r="AE885" s="322"/>
      <c r="AF885" s="132"/>
      <c r="AG885" s="132"/>
    </row>
    <row r="886">
      <c r="A886" s="311"/>
      <c r="B886" s="313"/>
      <c r="C886" s="313"/>
      <c r="D886" s="313"/>
      <c r="E886" s="314"/>
      <c r="F886" s="314"/>
      <c r="G886" s="314"/>
      <c r="H886" s="314"/>
      <c r="I886" s="314"/>
      <c r="J886" s="314"/>
      <c r="K886" s="314"/>
      <c r="L886" s="314"/>
      <c r="M886" s="314"/>
      <c r="N886" s="314"/>
      <c r="O886" s="314"/>
      <c r="P886" s="314"/>
      <c r="Q886" s="314"/>
      <c r="R886" s="314"/>
      <c r="S886" s="314"/>
      <c r="T886" s="314"/>
      <c r="U886" s="314"/>
      <c r="V886" s="314"/>
      <c r="W886" s="313"/>
      <c r="X886" s="313"/>
      <c r="Y886" s="314"/>
      <c r="Z886" s="335"/>
      <c r="AA886" s="313"/>
      <c r="AB886" s="324"/>
      <c r="AC886" s="155"/>
      <c r="AD886" s="155"/>
      <c r="AE886" s="322"/>
      <c r="AF886" s="132"/>
      <c r="AG886" s="132"/>
    </row>
    <row r="887">
      <c r="A887" s="311"/>
      <c r="B887" s="313"/>
      <c r="C887" s="313"/>
      <c r="D887" s="313"/>
      <c r="E887" s="314"/>
      <c r="F887" s="314"/>
      <c r="G887" s="314"/>
      <c r="H887" s="314"/>
      <c r="I887" s="314"/>
      <c r="J887" s="314"/>
      <c r="K887" s="314"/>
      <c r="L887" s="314"/>
      <c r="M887" s="314"/>
      <c r="N887" s="314"/>
      <c r="O887" s="314"/>
      <c r="P887" s="314"/>
      <c r="Q887" s="314"/>
      <c r="R887" s="314"/>
      <c r="S887" s="314"/>
      <c r="T887" s="314"/>
      <c r="U887" s="314"/>
      <c r="V887" s="314"/>
      <c r="W887" s="313"/>
      <c r="X887" s="313"/>
      <c r="Y887" s="314"/>
      <c r="Z887" s="335"/>
      <c r="AA887" s="313"/>
      <c r="AB887" s="324"/>
      <c r="AC887" s="155"/>
      <c r="AD887" s="155"/>
      <c r="AE887" s="322"/>
      <c r="AF887" s="132"/>
      <c r="AG887" s="132"/>
    </row>
    <row r="888">
      <c r="A888" s="311"/>
      <c r="B888" s="313"/>
      <c r="C888" s="313"/>
      <c r="D888" s="313"/>
      <c r="E888" s="314"/>
      <c r="F888" s="314"/>
      <c r="G888" s="314"/>
      <c r="H888" s="314"/>
      <c r="I888" s="314"/>
      <c r="J888" s="314"/>
      <c r="K888" s="314"/>
      <c r="L888" s="314"/>
      <c r="M888" s="314"/>
      <c r="N888" s="314"/>
      <c r="O888" s="314"/>
      <c r="P888" s="314"/>
      <c r="Q888" s="314"/>
      <c r="R888" s="314"/>
      <c r="S888" s="314"/>
      <c r="T888" s="314"/>
      <c r="U888" s="314"/>
      <c r="V888" s="314"/>
      <c r="W888" s="313"/>
      <c r="X888" s="313"/>
      <c r="Y888" s="314"/>
      <c r="Z888" s="335"/>
      <c r="AA888" s="313"/>
      <c r="AB888" s="324"/>
      <c r="AC888" s="155"/>
      <c r="AD888" s="155"/>
      <c r="AE888" s="322"/>
      <c r="AF888" s="132"/>
      <c r="AG888" s="132"/>
    </row>
    <row r="889">
      <c r="A889" s="311"/>
      <c r="B889" s="313"/>
      <c r="C889" s="313"/>
      <c r="D889" s="313"/>
      <c r="E889" s="314"/>
      <c r="F889" s="314"/>
      <c r="G889" s="314"/>
      <c r="H889" s="314"/>
      <c r="I889" s="314"/>
      <c r="J889" s="314"/>
      <c r="K889" s="314"/>
      <c r="L889" s="314"/>
      <c r="M889" s="314"/>
      <c r="N889" s="314"/>
      <c r="O889" s="314"/>
      <c r="P889" s="314"/>
      <c r="Q889" s="314"/>
      <c r="R889" s="314"/>
      <c r="S889" s="314"/>
      <c r="T889" s="314"/>
      <c r="U889" s="314"/>
      <c r="V889" s="314"/>
      <c r="W889" s="313"/>
      <c r="X889" s="313"/>
      <c r="Y889" s="314"/>
      <c r="Z889" s="335"/>
      <c r="AA889" s="313"/>
      <c r="AB889" s="324"/>
      <c r="AC889" s="155"/>
      <c r="AD889" s="155"/>
      <c r="AE889" s="322"/>
      <c r="AF889" s="132"/>
      <c r="AG889" s="132"/>
    </row>
    <row r="890">
      <c r="A890" s="311"/>
      <c r="B890" s="313"/>
      <c r="C890" s="313"/>
      <c r="D890" s="313"/>
      <c r="E890" s="314"/>
      <c r="F890" s="314"/>
      <c r="G890" s="314"/>
      <c r="H890" s="314"/>
      <c r="I890" s="314"/>
      <c r="J890" s="314"/>
      <c r="K890" s="314"/>
      <c r="L890" s="314"/>
      <c r="M890" s="314"/>
      <c r="N890" s="314"/>
      <c r="O890" s="314"/>
      <c r="P890" s="314"/>
      <c r="Q890" s="314"/>
      <c r="R890" s="314"/>
      <c r="S890" s="314"/>
      <c r="T890" s="314"/>
      <c r="U890" s="314"/>
      <c r="V890" s="314"/>
      <c r="W890" s="313"/>
      <c r="X890" s="313"/>
      <c r="Y890" s="314"/>
      <c r="Z890" s="335"/>
      <c r="AA890" s="313"/>
      <c r="AB890" s="324"/>
      <c r="AC890" s="155"/>
      <c r="AD890" s="155"/>
      <c r="AE890" s="322"/>
      <c r="AF890" s="132"/>
      <c r="AG890" s="132"/>
    </row>
    <row r="891">
      <c r="A891" s="311"/>
      <c r="B891" s="313"/>
      <c r="C891" s="313"/>
      <c r="D891" s="313"/>
      <c r="E891" s="314"/>
      <c r="F891" s="314"/>
      <c r="G891" s="314"/>
      <c r="H891" s="314"/>
      <c r="I891" s="314"/>
      <c r="J891" s="314"/>
      <c r="K891" s="314"/>
      <c r="L891" s="314"/>
      <c r="M891" s="314"/>
      <c r="N891" s="314"/>
      <c r="O891" s="314"/>
      <c r="P891" s="314"/>
      <c r="Q891" s="314"/>
      <c r="R891" s="314"/>
      <c r="S891" s="314"/>
      <c r="T891" s="314"/>
      <c r="U891" s="314"/>
      <c r="V891" s="314"/>
      <c r="W891" s="313"/>
      <c r="X891" s="313"/>
      <c r="Y891" s="314"/>
      <c r="Z891" s="335"/>
      <c r="AA891" s="313"/>
      <c r="AB891" s="324"/>
      <c r="AC891" s="155"/>
      <c r="AD891" s="155"/>
      <c r="AE891" s="322"/>
      <c r="AF891" s="132"/>
      <c r="AG891" s="132"/>
    </row>
    <row r="892">
      <c r="A892" s="311"/>
      <c r="B892" s="313"/>
      <c r="C892" s="313"/>
      <c r="D892" s="313"/>
      <c r="E892" s="314"/>
      <c r="F892" s="314"/>
      <c r="G892" s="314"/>
      <c r="H892" s="314"/>
      <c r="I892" s="314"/>
      <c r="J892" s="314"/>
      <c r="K892" s="314"/>
      <c r="L892" s="314"/>
      <c r="M892" s="314"/>
      <c r="N892" s="314"/>
      <c r="O892" s="314"/>
      <c r="P892" s="314"/>
      <c r="Q892" s="314"/>
      <c r="R892" s="314"/>
      <c r="S892" s="314"/>
      <c r="T892" s="314"/>
      <c r="U892" s="314"/>
      <c r="V892" s="314"/>
      <c r="W892" s="313"/>
      <c r="X892" s="313"/>
      <c r="Y892" s="314"/>
      <c r="Z892" s="335"/>
      <c r="AA892" s="313"/>
      <c r="AB892" s="324"/>
      <c r="AC892" s="155"/>
      <c r="AD892" s="155"/>
      <c r="AE892" s="322"/>
      <c r="AF892" s="132"/>
      <c r="AG892" s="132"/>
    </row>
    <row r="893">
      <c r="A893" s="311"/>
      <c r="B893" s="313"/>
      <c r="C893" s="313"/>
      <c r="D893" s="313"/>
      <c r="E893" s="314"/>
      <c r="F893" s="314"/>
      <c r="G893" s="314"/>
      <c r="H893" s="314"/>
      <c r="I893" s="314"/>
      <c r="J893" s="314"/>
      <c r="K893" s="314"/>
      <c r="L893" s="314"/>
      <c r="M893" s="314"/>
      <c r="N893" s="314"/>
      <c r="O893" s="314"/>
      <c r="P893" s="314"/>
      <c r="Q893" s="314"/>
      <c r="R893" s="314"/>
      <c r="S893" s="314"/>
      <c r="T893" s="314"/>
      <c r="U893" s="314"/>
      <c r="V893" s="314"/>
      <c r="W893" s="313"/>
      <c r="X893" s="313"/>
      <c r="Y893" s="314"/>
      <c r="Z893" s="335"/>
      <c r="AA893" s="313"/>
      <c r="AB893" s="324"/>
      <c r="AC893" s="155"/>
      <c r="AD893" s="155"/>
      <c r="AE893" s="322"/>
      <c r="AF893" s="132"/>
      <c r="AG893" s="132"/>
    </row>
    <row r="894">
      <c r="A894" s="311"/>
      <c r="B894" s="313"/>
      <c r="C894" s="313"/>
      <c r="D894" s="313"/>
      <c r="E894" s="314"/>
      <c r="F894" s="314"/>
      <c r="G894" s="314"/>
      <c r="H894" s="314"/>
      <c r="I894" s="314"/>
      <c r="J894" s="314"/>
      <c r="K894" s="314"/>
      <c r="L894" s="314"/>
      <c r="M894" s="314"/>
      <c r="N894" s="314"/>
      <c r="O894" s="314"/>
      <c r="P894" s="314"/>
      <c r="Q894" s="314"/>
      <c r="R894" s="314"/>
      <c r="S894" s="314"/>
      <c r="T894" s="314"/>
      <c r="U894" s="314"/>
      <c r="V894" s="314"/>
      <c r="W894" s="313"/>
      <c r="X894" s="313"/>
      <c r="Y894" s="314"/>
      <c r="Z894" s="335"/>
      <c r="AA894" s="313"/>
      <c r="AB894" s="324"/>
      <c r="AC894" s="155"/>
      <c r="AD894" s="155"/>
      <c r="AE894" s="322"/>
      <c r="AF894" s="132"/>
      <c r="AG894" s="132"/>
    </row>
    <row r="895">
      <c r="A895" s="311"/>
      <c r="B895" s="313"/>
      <c r="C895" s="313"/>
      <c r="D895" s="313"/>
      <c r="E895" s="314"/>
      <c r="F895" s="314"/>
      <c r="G895" s="314"/>
      <c r="H895" s="314"/>
      <c r="I895" s="314"/>
      <c r="J895" s="314"/>
      <c r="K895" s="314"/>
      <c r="L895" s="314"/>
      <c r="M895" s="314"/>
      <c r="N895" s="314"/>
      <c r="O895" s="314"/>
      <c r="P895" s="314"/>
      <c r="Q895" s="314"/>
      <c r="R895" s="314"/>
      <c r="S895" s="314"/>
      <c r="T895" s="314"/>
      <c r="U895" s="314"/>
      <c r="V895" s="314"/>
      <c r="W895" s="313"/>
      <c r="X895" s="313"/>
      <c r="Y895" s="314"/>
      <c r="Z895" s="335"/>
      <c r="AA895" s="313"/>
      <c r="AB895" s="324"/>
      <c r="AC895" s="155"/>
      <c r="AD895" s="155"/>
      <c r="AE895" s="322"/>
      <c r="AF895" s="132"/>
      <c r="AG895" s="132"/>
    </row>
    <row r="896">
      <c r="A896" s="311"/>
      <c r="B896" s="313"/>
      <c r="C896" s="313"/>
      <c r="D896" s="313"/>
      <c r="E896" s="314"/>
      <c r="F896" s="314"/>
      <c r="G896" s="314"/>
      <c r="H896" s="314"/>
      <c r="I896" s="314"/>
      <c r="J896" s="314"/>
      <c r="K896" s="314"/>
      <c r="L896" s="314"/>
      <c r="M896" s="314"/>
      <c r="N896" s="314"/>
      <c r="O896" s="314"/>
      <c r="P896" s="314"/>
      <c r="Q896" s="314"/>
      <c r="R896" s="314"/>
      <c r="S896" s="314"/>
      <c r="T896" s="314"/>
      <c r="U896" s="314"/>
      <c r="V896" s="314"/>
      <c r="W896" s="313"/>
      <c r="X896" s="313"/>
      <c r="Y896" s="314"/>
      <c r="Z896" s="335"/>
      <c r="AA896" s="313"/>
      <c r="AB896" s="324"/>
      <c r="AC896" s="155"/>
      <c r="AD896" s="155"/>
      <c r="AE896" s="322"/>
      <c r="AF896" s="132"/>
      <c r="AG896" s="132"/>
    </row>
    <row r="897">
      <c r="A897" s="311"/>
      <c r="B897" s="313"/>
      <c r="C897" s="313"/>
      <c r="D897" s="313"/>
      <c r="E897" s="314"/>
      <c r="F897" s="314"/>
      <c r="G897" s="314"/>
      <c r="H897" s="314"/>
      <c r="I897" s="314"/>
      <c r="J897" s="314"/>
      <c r="K897" s="314"/>
      <c r="L897" s="314"/>
      <c r="M897" s="314"/>
      <c r="N897" s="314"/>
      <c r="O897" s="314"/>
      <c r="P897" s="314"/>
      <c r="Q897" s="314"/>
      <c r="R897" s="314"/>
      <c r="S897" s="314"/>
      <c r="T897" s="314"/>
      <c r="U897" s="314"/>
      <c r="V897" s="314"/>
      <c r="W897" s="313"/>
      <c r="X897" s="313"/>
      <c r="Y897" s="314"/>
      <c r="Z897" s="335"/>
      <c r="AA897" s="313"/>
      <c r="AB897" s="324"/>
      <c r="AC897" s="155"/>
      <c r="AD897" s="155"/>
      <c r="AE897" s="322"/>
      <c r="AF897" s="132"/>
      <c r="AG897" s="132"/>
    </row>
    <row r="898">
      <c r="A898" s="311"/>
      <c r="B898" s="313"/>
      <c r="C898" s="313"/>
      <c r="D898" s="313"/>
      <c r="E898" s="314"/>
      <c r="F898" s="314"/>
      <c r="G898" s="314"/>
      <c r="H898" s="314"/>
      <c r="I898" s="314"/>
      <c r="J898" s="314"/>
      <c r="K898" s="314"/>
      <c r="L898" s="314"/>
      <c r="M898" s="314"/>
      <c r="N898" s="314"/>
      <c r="O898" s="314"/>
      <c r="P898" s="314"/>
      <c r="Q898" s="314"/>
      <c r="R898" s="314"/>
      <c r="S898" s="314"/>
      <c r="T898" s="314"/>
      <c r="U898" s="314"/>
      <c r="V898" s="314"/>
      <c r="W898" s="313"/>
      <c r="X898" s="313"/>
      <c r="Y898" s="314"/>
      <c r="Z898" s="335"/>
      <c r="AA898" s="313"/>
      <c r="AB898" s="324"/>
      <c r="AC898" s="155"/>
      <c r="AD898" s="155"/>
      <c r="AE898" s="322"/>
      <c r="AF898" s="132"/>
      <c r="AG898" s="132"/>
    </row>
    <row r="899">
      <c r="A899" s="311"/>
      <c r="B899" s="313"/>
      <c r="C899" s="313"/>
      <c r="D899" s="313"/>
      <c r="E899" s="314"/>
      <c r="F899" s="314"/>
      <c r="G899" s="314"/>
      <c r="H899" s="314"/>
      <c r="I899" s="314"/>
      <c r="J899" s="314"/>
      <c r="K899" s="314"/>
      <c r="L899" s="314"/>
      <c r="M899" s="314"/>
      <c r="N899" s="314"/>
      <c r="O899" s="314"/>
      <c r="P899" s="314"/>
      <c r="Q899" s="314"/>
      <c r="R899" s="314"/>
      <c r="S899" s="314"/>
      <c r="T899" s="314"/>
      <c r="U899" s="314"/>
      <c r="V899" s="314"/>
      <c r="W899" s="313"/>
      <c r="X899" s="313"/>
      <c r="Y899" s="314"/>
      <c r="Z899" s="335"/>
      <c r="AA899" s="313"/>
      <c r="AB899" s="324"/>
      <c r="AC899" s="155"/>
      <c r="AD899" s="155"/>
      <c r="AE899" s="322"/>
      <c r="AF899" s="132"/>
      <c r="AG899" s="132"/>
    </row>
    <row r="900">
      <c r="A900" s="311"/>
      <c r="B900" s="313"/>
      <c r="C900" s="313"/>
      <c r="D900" s="313"/>
      <c r="E900" s="314"/>
      <c r="F900" s="314"/>
      <c r="G900" s="314"/>
      <c r="H900" s="314"/>
      <c r="I900" s="314"/>
      <c r="J900" s="314"/>
      <c r="K900" s="314"/>
      <c r="L900" s="314"/>
      <c r="M900" s="314"/>
      <c r="N900" s="314"/>
      <c r="O900" s="314"/>
      <c r="P900" s="314"/>
      <c r="Q900" s="314"/>
      <c r="R900" s="314"/>
      <c r="S900" s="314"/>
      <c r="T900" s="314"/>
      <c r="U900" s="314"/>
      <c r="V900" s="314"/>
      <c r="W900" s="313"/>
      <c r="X900" s="313"/>
      <c r="Y900" s="314"/>
      <c r="Z900" s="335"/>
      <c r="AA900" s="313"/>
      <c r="AB900" s="324"/>
      <c r="AC900" s="155"/>
      <c r="AD900" s="155"/>
      <c r="AE900" s="322"/>
      <c r="AF900" s="132"/>
      <c r="AG900" s="132"/>
    </row>
    <row r="901">
      <c r="A901" s="311"/>
      <c r="B901" s="313"/>
      <c r="C901" s="313"/>
      <c r="D901" s="313"/>
      <c r="E901" s="314"/>
      <c r="F901" s="314"/>
      <c r="G901" s="314"/>
      <c r="H901" s="314"/>
      <c r="I901" s="314"/>
      <c r="J901" s="314"/>
      <c r="K901" s="314"/>
      <c r="L901" s="314"/>
      <c r="M901" s="314"/>
      <c r="N901" s="314"/>
      <c r="O901" s="314"/>
      <c r="P901" s="314"/>
      <c r="Q901" s="314"/>
      <c r="R901" s="314"/>
      <c r="S901" s="314"/>
      <c r="T901" s="314"/>
      <c r="U901" s="314"/>
      <c r="V901" s="314"/>
      <c r="W901" s="313"/>
      <c r="X901" s="313"/>
      <c r="Y901" s="314"/>
      <c r="Z901" s="335"/>
      <c r="AA901" s="313"/>
      <c r="AB901" s="324"/>
      <c r="AC901" s="155"/>
      <c r="AD901" s="155"/>
      <c r="AE901" s="322"/>
      <c r="AF901" s="132"/>
      <c r="AG901" s="132"/>
    </row>
    <row r="902">
      <c r="A902" s="311"/>
      <c r="B902" s="313"/>
      <c r="C902" s="313"/>
      <c r="D902" s="313"/>
      <c r="E902" s="314"/>
      <c r="F902" s="314"/>
      <c r="G902" s="314"/>
      <c r="H902" s="314"/>
      <c r="I902" s="314"/>
      <c r="J902" s="314"/>
      <c r="K902" s="314"/>
      <c r="L902" s="314"/>
      <c r="M902" s="314"/>
      <c r="N902" s="314"/>
      <c r="O902" s="314"/>
      <c r="P902" s="314"/>
      <c r="Q902" s="314"/>
      <c r="R902" s="314"/>
      <c r="S902" s="314"/>
      <c r="T902" s="314"/>
      <c r="U902" s="314"/>
      <c r="V902" s="314"/>
      <c r="W902" s="313"/>
      <c r="X902" s="313"/>
      <c r="Y902" s="314"/>
      <c r="Z902" s="335"/>
      <c r="AA902" s="313"/>
      <c r="AB902" s="324"/>
      <c r="AC902" s="155"/>
      <c r="AD902" s="155"/>
      <c r="AE902" s="322"/>
      <c r="AF902" s="132"/>
      <c r="AG902" s="132"/>
    </row>
    <row r="903">
      <c r="A903" s="311"/>
      <c r="B903" s="313"/>
      <c r="C903" s="313"/>
      <c r="D903" s="313"/>
      <c r="E903" s="314"/>
      <c r="F903" s="314"/>
      <c r="G903" s="314"/>
      <c r="H903" s="314"/>
      <c r="I903" s="314"/>
      <c r="J903" s="314"/>
      <c r="K903" s="314"/>
      <c r="L903" s="314"/>
      <c r="M903" s="314"/>
      <c r="N903" s="314"/>
      <c r="O903" s="314"/>
      <c r="P903" s="314"/>
      <c r="Q903" s="314"/>
      <c r="R903" s="314"/>
      <c r="S903" s="314"/>
      <c r="T903" s="314"/>
      <c r="U903" s="314"/>
      <c r="V903" s="314"/>
      <c r="W903" s="313"/>
      <c r="X903" s="313"/>
      <c r="Y903" s="314"/>
      <c r="Z903" s="335"/>
      <c r="AA903" s="313"/>
      <c r="AB903" s="324"/>
      <c r="AC903" s="155"/>
      <c r="AD903" s="155"/>
      <c r="AE903" s="322"/>
      <c r="AF903" s="132"/>
      <c r="AG903" s="132"/>
    </row>
    <row r="904">
      <c r="A904" s="311"/>
      <c r="B904" s="313"/>
      <c r="C904" s="313"/>
      <c r="D904" s="313"/>
      <c r="E904" s="314"/>
      <c r="F904" s="314"/>
      <c r="G904" s="314"/>
      <c r="H904" s="314"/>
      <c r="I904" s="314"/>
      <c r="J904" s="314"/>
      <c r="K904" s="314"/>
      <c r="L904" s="314"/>
      <c r="M904" s="314"/>
      <c r="N904" s="314"/>
      <c r="O904" s="314"/>
      <c r="P904" s="314"/>
      <c r="Q904" s="314"/>
      <c r="R904" s="314"/>
      <c r="S904" s="314"/>
      <c r="T904" s="314"/>
      <c r="U904" s="314"/>
      <c r="V904" s="314"/>
      <c r="W904" s="313"/>
      <c r="X904" s="313"/>
      <c r="Y904" s="314"/>
      <c r="Z904" s="335"/>
      <c r="AA904" s="313"/>
      <c r="AB904" s="324"/>
      <c r="AC904" s="155"/>
      <c r="AD904" s="155"/>
      <c r="AE904" s="322"/>
      <c r="AF904" s="132"/>
      <c r="AG904" s="132"/>
    </row>
    <row r="905">
      <c r="A905" s="311"/>
      <c r="B905" s="313"/>
      <c r="C905" s="313"/>
      <c r="D905" s="313"/>
      <c r="E905" s="314"/>
      <c r="F905" s="314"/>
      <c r="G905" s="314"/>
      <c r="H905" s="314"/>
      <c r="I905" s="314"/>
      <c r="J905" s="314"/>
      <c r="K905" s="314"/>
      <c r="L905" s="314"/>
      <c r="M905" s="314"/>
      <c r="N905" s="314"/>
      <c r="O905" s="314"/>
      <c r="P905" s="314"/>
      <c r="Q905" s="314"/>
      <c r="R905" s="314"/>
      <c r="S905" s="314"/>
      <c r="T905" s="314"/>
      <c r="U905" s="314"/>
      <c r="V905" s="314"/>
      <c r="W905" s="313"/>
      <c r="X905" s="313"/>
      <c r="Y905" s="314"/>
      <c r="Z905" s="335"/>
      <c r="AA905" s="313"/>
      <c r="AB905" s="324"/>
      <c r="AC905" s="155"/>
      <c r="AD905" s="155"/>
      <c r="AE905" s="322"/>
      <c r="AF905" s="132"/>
      <c r="AG905" s="132"/>
    </row>
    <row r="906">
      <c r="A906" s="311"/>
      <c r="B906" s="313"/>
      <c r="C906" s="313"/>
      <c r="D906" s="313"/>
      <c r="E906" s="314"/>
      <c r="F906" s="314"/>
      <c r="G906" s="314"/>
      <c r="H906" s="314"/>
      <c r="I906" s="314"/>
      <c r="J906" s="314"/>
      <c r="K906" s="314"/>
      <c r="L906" s="314"/>
      <c r="M906" s="314"/>
      <c r="N906" s="314"/>
      <c r="O906" s="314"/>
      <c r="P906" s="314"/>
      <c r="Q906" s="314"/>
      <c r="R906" s="314"/>
      <c r="S906" s="314"/>
      <c r="T906" s="314"/>
      <c r="U906" s="314"/>
      <c r="V906" s="314"/>
      <c r="W906" s="313"/>
      <c r="X906" s="313"/>
      <c r="Y906" s="314"/>
      <c r="Z906" s="335"/>
      <c r="AA906" s="313"/>
      <c r="AB906" s="324"/>
      <c r="AC906" s="155"/>
      <c r="AD906" s="155"/>
      <c r="AE906" s="322"/>
      <c r="AF906" s="132"/>
      <c r="AG906" s="132"/>
    </row>
    <row r="907">
      <c r="A907" s="311"/>
      <c r="B907" s="313"/>
      <c r="C907" s="313"/>
      <c r="D907" s="313"/>
      <c r="E907" s="314"/>
      <c r="F907" s="314"/>
      <c r="G907" s="314"/>
      <c r="H907" s="314"/>
      <c r="I907" s="314"/>
      <c r="J907" s="314"/>
      <c r="K907" s="314"/>
      <c r="L907" s="314"/>
      <c r="M907" s="314"/>
      <c r="N907" s="314"/>
      <c r="O907" s="314"/>
      <c r="P907" s="314"/>
      <c r="Q907" s="314"/>
      <c r="R907" s="314"/>
      <c r="S907" s="314"/>
      <c r="T907" s="314"/>
      <c r="U907" s="314"/>
      <c r="V907" s="314"/>
      <c r="W907" s="313"/>
      <c r="X907" s="313"/>
      <c r="Y907" s="314"/>
      <c r="Z907" s="335"/>
      <c r="AA907" s="313"/>
      <c r="AB907" s="324"/>
      <c r="AC907" s="155"/>
      <c r="AD907" s="155"/>
      <c r="AE907" s="322"/>
      <c r="AF907" s="132"/>
      <c r="AG907" s="132"/>
    </row>
    <row r="908">
      <c r="A908" s="311"/>
      <c r="B908" s="313"/>
      <c r="C908" s="313"/>
      <c r="D908" s="313"/>
      <c r="E908" s="314"/>
      <c r="F908" s="314"/>
      <c r="G908" s="314"/>
      <c r="H908" s="314"/>
      <c r="I908" s="314"/>
      <c r="J908" s="314"/>
      <c r="K908" s="314"/>
      <c r="L908" s="314"/>
      <c r="M908" s="314"/>
      <c r="N908" s="314"/>
      <c r="O908" s="314"/>
      <c r="P908" s="314"/>
      <c r="Q908" s="314"/>
      <c r="R908" s="314"/>
      <c r="S908" s="314"/>
      <c r="T908" s="314"/>
      <c r="U908" s="314"/>
      <c r="V908" s="314"/>
      <c r="W908" s="313"/>
      <c r="X908" s="313"/>
      <c r="Y908" s="314"/>
      <c r="Z908" s="335"/>
      <c r="AA908" s="313"/>
      <c r="AB908" s="324"/>
      <c r="AC908" s="155"/>
      <c r="AD908" s="155"/>
      <c r="AE908" s="322"/>
      <c r="AF908" s="132"/>
      <c r="AG908" s="132"/>
    </row>
    <row r="909">
      <c r="A909" s="311"/>
      <c r="B909" s="313"/>
      <c r="C909" s="313"/>
      <c r="D909" s="313"/>
      <c r="E909" s="314"/>
      <c r="F909" s="314"/>
      <c r="G909" s="314"/>
      <c r="H909" s="314"/>
      <c r="I909" s="314"/>
      <c r="J909" s="314"/>
      <c r="K909" s="314"/>
      <c r="L909" s="314"/>
      <c r="M909" s="314"/>
      <c r="N909" s="314"/>
      <c r="O909" s="314"/>
      <c r="P909" s="314"/>
      <c r="Q909" s="314"/>
      <c r="R909" s="314"/>
      <c r="S909" s="314"/>
      <c r="T909" s="314"/>
      <c r="U909" s="314"/>
      <c r="V909" s="314"/>
      <c r="W909" s="313"/>
      <c r="X909" s="313"/>
      <c r="Y909" s="314"/>
      <c r="Z909" s="335"/>
      <c r="AA909" s="313"/>
      <c r="AB909" s="324"/>
      <c r="AC909" s="155"/>
      <c r="AD909" s="155"/>
      <c r="AE909" s="322"/>
      <c r="AF909" s="132"/>
      <c r="AG909" s="132"/>
    </row>
    <row r="910">
      <c r="A910" s="311"/>
      <c r="B910" s="313"/>
      <c r="C910" s="313"/>
      <c r="D910" s="313"/>
      <c r="E910" s="314"/>
      <c r="F910" s="314"/>
      <c r="G910" s="314"/>
      <c r="H910" s="314"/>
      <c r="I910" s="314"/>
      <c r="J910" s="314"/>
      <c r="K910" s="314"/>
      <c r="L910" s="314"/>
      <c r="M910" s="314"/>
      <c r="N910" s="314"/>
      <c r="O910" s="314"/>
      <c r="P910" s="314"/>
      <c r="Q910" s="314"/>
      <c r="R910" s="314"/>
      <c r="S910" s="314"/>
      <c r="T910" s="314"/>
      <c r="U910" s="314"/>
      <c r="V910" s="314"/>
      <c r="W910" s="313"/>
      <c r="X910" s="313"/>
      <c r="Y910" s="314"/>
      <c r="Z910" s="335"/>
      <c r="AA910" s="313"/>
      <c r="AB910" s="324"/>
      <c r="AC910" s="155"/>
      <c r="AD910" s="155"/>
      <c r="AE910" s="322"/>
      <c r="AF910" s="132"/>
      <c r="AG910" s="132"/>
    </row>
    <row r="911">
      <c r="A911" s="311"/>
      <c r="B911" s="313"/>
      <c r="C911" s="313"/>
      <c r="D911" s="313"/>
      <c r="E911" s="314"/>
      <c r="F911" s="314"/>
      <c r="G911" s="314"/>
      <c r="H911" s="314"/>
      <c r="I911" s="314"/>
      <c r="J911" s="314"/>
      <c r="K911" s="314"/>
      <c r="L911" s="314"/>
      <c r="M911" s="314"/>
      <c r="N911" s="314"/>
      <c r="O911" s="314"/>
      <c r="P911" s="314"/>
      <c r="Q911" s="314"/>
      <c r="R911" s="314"/>
      <c r="S911" s="314"/>
      <c r="T911" s="314"/>
      <c r="U911" s="314"/>
      <c r="V911" s="314"/>
      <c r="W911" s="313"/>
      <c r="X911" s="313"/>
      <c r="Y911" s="314"/>
      <c r="Z911" s="335"/>
      <c r="AA911" s="313"/>
      <c r="AB911" s="324"/>
      <c r="AC911" s="155"/>
      <c r="AD911" s="155"/>
      <c r="AE911" s="322"/>
      <c r="AF911" s="132"/>
      <c r="AG911" s="132"/>
    </row>
    <row r="912">
      <c r="A912" s="311"/>
      <c r="B912" s="313"/>
      <c r="C912" s="313"/>
      <c r="D912" s="313"/>
      <c r="E912" s="314"/>
      <c r="F912" s="314"/>
      <c r="G912" s="314"/>
      <c r="H912" s="314"/>
      <c r="I912" s="314"/>
      <c r="J912" s="314"/>
      <c r="K912" s="314"/>
      <c r="L912" s="314"/>
      <c r="M912" s="314"/>
      <c r="N912" s="314"/>
      <c r="O912" s="314"/>
      <c r="P912" s="314"/>
      <c r="Q912" s="314"/>
      <c r="R912" s="314"/>
      <c r="S912" s="314"/>
      <c r="T912" s="314"/>
      <c r="U912" s="314"/>
      <c r="V912" s="314"/>
      <c r="W912" s="313"/>
      <c r="X912" s="313"/>
      <c r="Y912" s="314"/>
      <c r="Z912" s="335"/>
      <c r="AA912" s="313"/>
      <c r="AB912" s="324"/>
      <c r="AC912" s="155"/>
      <c r="AD912" s="155"/>
      <c r="AE912" s="322"/>
      <c r="AF912" s="132"/>
      <c r="AG912" s="132"/>
    </row>
    <row r="913">
      <c r="A913" s="311"/>
      <c r="B913" s="313"/>
      <c r="C913" s="313"/>
      <c r="D913" s="313"/>
      <c r="E913" s="314"/>
      <c r="F913" s="314"/>
      <c r="G913" s="314"/>
      <c r="H913" s="314"/>
      <c r="I913" s="314"/>
      <c r="J913" s="314"/>
      <c r="K913" s="314"/>
      <c r="L913" s="314"/>
      <c r="M913" s="314"/>
      <c r="N913" s="314"/>
      <c r="O913" s="314"/>
      <c r="P913" s="314"/>
      <c r="Q913" s="314"/>
      <c r="R913" s="314"/>
      <c r="S913" s="314"/>
      <c r="T913" s="314"/>
      <c r="U913" s="314"/>
      <c r="V913" s="314"/>
      <c r="W913" s="313"/>
      <c r="X913" s="313"/>
      <c r="Y913" s="314"/>
      <c r="Z913" s="335"/>
      <c r="AA913" s="313"/>
      <c r="AB913" s="324"/>
      <c r="AC913" s="155"/>
      <c r="AD913" s="155"/>
      <c r="AE913" s="322"/>
      <c r="AF913" s="132"/>
      <c r="AG913" s="132"/>
    </row>
    <row r="914">
      <c r="A914" s="311"/>
      <c r="B914" s="313"/>
      <c r="C914" s="313"/>
      <c r="D914" s="313"/>
      <c r="E914" s="314"/>
      <c r="F914" s="314"/>
      <c r="G914" s="314"/>
      <c r="H914" s="314"/>
      <c r="I914" s="314"/>
      <c r="J914" s="314"/>
      <c r="K914" s="314"/>
      <c r="L914" s="314"/>
      <c r="M914" s="314"/>
      <c r="N914" s="314"/>
      <c r="O914" s="314"/>
      <c r="P914" s="314"/>
      <c r="Q914" s="314"/>
      <c r="R914" s="314"/>
      <c r="S914" s="314"/>
      <c r="T914" s="314"/>
      <c r="U914" s="314"/>
      <c r="V914" s="314"/>
      <c r="W914" s="313"/>
      <c r="X914" s="313"/>
      <c r="Y914" s="314"/>
      <c r="Z914" s="335"/>
      <c r="AA914" s="313"/>
      <c r="AB914" s="324"/>
      <c r="AC914" s="155"/>
      <c r="AD914" s="155"/>
      <c r="AE914" s="322"/>
      <c r="AF914" s="132"/>
      <c r="AG914" s="132"/>
    </row>
    <row r="915">
      <c r="A915" s="311"/>
      <c r="B915" s="313"/>
      <c r="C915" s="313"/>
      <c r="D915" s="313"/>
      <c r="E915" s="314"/>
      <c r="F915" s="314"/>
      <c r="G915" s="314"/>
      <c r="H915" s="314"/>
      <c r="I915" s="314"/>
      <c r="J915" s="314"/>
      <c r="K915" s="314"/>
      <c r="L915" s="314"/>
      <c r="M915" s="314"/>
      <c r="N915" s="314"/>
      <c r="O915" s="314"/>
      <c r="P915" s="314"/>
      <c r="Q915" s="314"/>
      <c r="R915" s="314"/>
      <c r="S915" s="314"/>
      <c r="T915" s="314"/>
      <c r="U915" s="314"/>
      <c r="V915" s="314"/>
      <c r="W915" s="313"/>
      <c r="X915" s="313"/>
      <c r="Y915" s="314"/>
      <c r="Z915" s="335"/>
      <c r="AA915" s="313"/>
      <c r="AB915" s="324"/>
      <c r="AC915" s="155"/>
      <c r="AD915" s="155"/>
      <c r="AE915" s="322"/>
      <c r="AF915" s="132"/>
      <c r="AG915" s="132"/>
    </row>
    <row r="916">
      <c r="A916" s="311"/>
      <c r="B916" s="313"/>
      <c r="C916" s="313"/>
      <c r="D916" s="313"/>
      <c r="E916" s="314"/>
      <c r="F916" s="314"/>
      <c r="G916" s="314"/>
      <c r="H916" s="314"/>
      <c r="I916" s="314"/>
      <c r="J916" s="314"/>
      <c r="K916" s="314"/>
      <c r="L916" s="314"/>
      <c r="M916" s="314"/>
      <c r="N916" s="314"/>
      <c r="O916" s="314"/>
      <c r="P916" s="314"/>
      <c r="Q916" s="314"/>
      <c r="R916" s="314"/>
      <c r="S916" s="314"/>
      <c r="T916" s="314"/>
      <c r="U916" s="314"/>
      <c r="V916" s="314"/>
      <c r="W916" s="313"/>
      <c r="X916" s="313"/>
      <c r="Y916" s="314"/>
      <c r="Z916" s="335"/>
      <c r="AA916" s="313"/>
      <c r="AB916" s="324"/>
      <c r="AC916" s="155"/>
      <c r="AD916" s="155"/>
      <c r="AE916" s="322"/>
      <c r="AF916" s="132"/>
      <c r="AG916" s="132"/>
    </row>
    <row r="917">
      <c r="A917" s="311"/>
      <c r="B917" s="313"/>
      <c r="C917" s="313"/>
      <c r="D917" s="313"/>
      <c r="E917" s="314"/>
      <c r="F917" s="314"/>
      <c r="G917" s="314"/>
      <c r="H917" s="314"/>
      <c r="I917" s="314"/>
      <c r="J917" s="314"/>
      <c r="K917" s="314"/>
      <c r="L917" s="314"/>
      <c r="M917" s="314"/>
      <c r="N917" s="314"/>
      <c r="O917" s="314"/>
      <c r="P917" s="314"/>
      <c r="Q917" s="314"/>
      <c r="R917" s="314"/>
      <c r="S917" s="314"/>
      <c r="T917" s="314"/>
      <c r="U917" s="314"/>
      <c r="V917" s="314"/>
      <c r="W917" s="313"/>
      <c r="X917" s="313"/>
      <c r="Y917" s="314"/>
      <c r="Z917" s="335"/>
      <c r="AA917" s="313"/>
      <c r="AB917" s="324"/>
      <c r="AC917" s="155"/>
      <c r="AD917" s="155"/>
      <c r="AE917" s="322"/>
      <c r="AF917" s="132"/>
      <c r="AG917" s="132"/>
    </row>
    <row r="918">
      <c r="A918" s="311"/>
      <c r="B918" s="313"/>
      <c r="C918" s="313"/>
      <c r="D918" s="313"/>
      <c r="E918" s="314"/>
      <c r="F918" s="314"/>
      <c r="G918" s="314"/>
      <c r="H918" s="314"/>
      <c r="I918" s="314"/>
      <c r="J918" s="314"/>
      <c r="K918" s="314"/>
      <c r="L918" s="314"/>
      <c r="M918" s="314"/>
      <c r="N918" s="314"/>
      <c r="O918" s="314"/>
      <c r="P918" s="314"/>
      <c r="Q918" s="314"/>
      <c r="R918" s="314"/>
      <c r="S918" s="314"/>
      <c r="T918" s="314"/>
      <c r="U918" s="314"/>
      <c r="V918" s="314"/>
      <c r="W918" s="313"/>
      <c r="X918" s="313"/>
      <c r="Y918" s="314"/>
      <c r="Z918" s="335"/>
      <c r="AA918" s="313"/>
      <c r="AB918" s="324"/>
      <c r="AC918" s="155"/>
      <c r="AD918" s="155"/>
      <c r="AE918" s="322"/>
      <c r="AF918" s="132"/>
      <c r="AG918" s="132"/>
    </row>
    <row r="919">
      <c r="A919" s="311"/>
      <c r="B919" s="313"/>
      <c r="C919" s="313"/>
      <c r="D919" s="313"/>
      <c r="E919" s="314"/>
      <c r="F919" s="314"/>
      <c r="G919" s="314"/>
      <c r="H919" s="314"/>
      <c r="I919" s="314"/>
      <c r="J919" s="314"/>
      <c r="K919" s="314"/>
      <c r="L919" s="314"/>
      <c r="M919" s="314"/>
      <c r="N919" s="314"/>
      <c r="O919" s="314"/>
      <c r="P919" s="314"/>
      <c r="Q919" s="314"/>
      <c r="R919" s="314"/>
      <c r="S919" s="314"/>
      <c r="T919" s="314"/>
      <c r="U919" s="314"/>
      <c r="V919" s="314"/>
      <c r="W919" s="313"/>
      <c r="X919" s="313"/>
      <c r="Y919" s="314"/>
      <c r="Z919" s="335"/>
      <c r="AA919" s="313"/>
      <c r="AB919" s="324"/>
      <c r="AC919" s="155"/>
      <c r="AD919" s="155"/>
      <c r="AE919" s="322"/>
      <c r="AF919" s="132"/>
      <c r="AG919" s="132"/>
    </row>
    <row r="920">
      <c r="A920" s="311"/>
      <c r="B920" s="313"/>
      <c r="C920" s="313"/>
      <c r="D920" s="313"/>
      <c r="E920" s="314"/>
      <c r="F920" s="314"/>
      <c r="G920" s="314"/>
      <c r="H920" s="314"/>
      <c r="I920" s="314"/>
      <c r="J920" s="314"/>
      <c r="K920" s="314"/>
      <c r="L920" s="314"/>
      <c r="M920" s="314"/>
      <c r="N920" s="314"/>
      <c r="O920" s="314"/>
      <c r="P920" s="314"/>
      <c r="Q920" s="314"/>
      <c r="R920" s="314"/>
      <c r="S920" s="314"/>
      <c r="T920" s="314"/>
      <c r="U920" s="314"/>
      <c r="V920" s="314"/>
      <c r="W920" s="313"/>
      <c r="X920" s="313"/>
      <c r="Y920" s="314"/>
      <c r="Z920" s="335"/>
      <c r="AA920" s="313"/>
      <c r="AB920" s="324"/>
      <c r="AC920" s="155"/>
      <c r="AD920" s="155"/>
      <c r="AE920" s="322"/>
      <c r="AF920" s="132"/>
      <c r="AG920" s="132"/>
    </row>
    <row r="921">
      <c r="A921" s="311"/>
      <c r="B921" s="313"/>
      <c r="C921" s="313"/>
      <c r="D921" s="313"/>
      <c r="E921" s="314"/>
      <c r="F921" s="314"/>
      <c r="G921" s="314"/>
      <c r="H921" s="314"/>
      <c r="I921" s="314"/>
      <c r="J921" s="314"/>
      <c r="K921" s="314"/>
      <c r="L921" s="314"/>
      <c r="M921" s="314"/>
      <c r="N921" s="314"/>
      <c r="O921" s="314"/>
      <c r="P921" s="314"/>
      <c r="Q921" s="314"/>
      <c r="R921" s="314"/>
      <c r="S921" s="314"/>
      <c r="T921" s="314"/>
      <c r="U921" s="314"/>
      <c r="V921" s="314"/>
      <c r="W921" s="313"/>
      <c r="X921" s="313"/>
      <c r="Y921" s="314"/>
      <c r="Z921" s="335"/>
      <c r="AA921" s="313"/>
      <c r="AB921" s="324"/>
      <c r="AC921" s="155"/>
      <c r="AD921" s="155"/>
      <c r="AE921" s="322"/>
      <c r="AF921" s="132"/>
      <c r="AG921" s="132"/>
    </row>
    <row r="922">
      <c r="A922" s="311"/>
      <c r="B922" s="313"/>
      <c r="C922" s="313"/>
      <c r="D922" s="313"/>
      <c r="E922" s="314"/>
      <c r="F922" s="314"/>
      <c r="G922" s="314"/>
      <c r="H922" s="314"/>
      <c r="I922" s="314"/>
      <c r="J922" s="314"/>
      <c r="K922" s="314"/>
      <c r="L922" s="314"/>
      <c r="M922" s="314"/>
      <c r="N922" s="314"/>
      <c r="O922" s="314"/>
      <c r="P922" s="314"/>
      <c r="Q922" s="314"/>
      <c r="R922" s="314"/>
      <c r="S922" s="314"/>
      <c r="T922" s="314"/>
      <c r="U922" s="314"/>
      <c r="V922" s="314"/>
      <c r="W922" s="313"/>
      <c r="X922" s="313"/>
      <c r="Y922" s="314"/>
      <c r="Z922" s="335"/>
      <c r="AA922" s="313"/>
      <c r="AB922" s="324"/>
      <c r="AC922" s="155"/>
      <c r="AD922" s="155"/>
      <c r="AE922" s="322"/>
      <c r="AF922" s="132"/>
      <c r="AG922" s="132"/>
    </row>
    <row r="923">
      <c r="A923" s="311"/>
      <c r="B923" s="313"/>
      <c r="C923" s="313"/>
      <c r="D923" s="313"/>
      <c r="E923" s="314"/>
      <c r="F923" s="314"/>
      <c r="G923" s="314"/>
      <c r="H923" s="314"/>
      <c r="I923" s="314"/>
      <c r="J923" s="314"/>
      <c r="K923" s="314"/>
      <c r="L923" s="314"/>
      <c r="M923" s="314"/>
      <c r="N923" s="314"/>
      <c r="O923" s="314"/>
      <c r="P923" s="314"/>
      <c r="Q923" s="314"/>
      <c r="R923" s="314"/>
      <c r="S923" s="314"/>
      <c r="T923" s="314"/>
      <c r="U923" s="314"/>
      <c r="V923" s="314"/>
      <c r="W923" s="313"/>
      <c r="X923" s="313"/>
      <c r="Y923" s="314"/>
      <c r="Z923" s="335"/>
      <c r="AA923" s="313"/>
      <c r="AB923" s="324"/>
      <c r="AC923" s="155"/>
      <c r="AD923" s="155"/>
      <c r="AE923" s="322"/>
      <c r="AF923" s="132"/>
      <c r="AG923" s="132"/>
    </row>
    <row r="924">
      <c r="A924" s="311"/>
      <c r="B924" s="313"/>
      <c r="C924" s="313"/>
      <c r="D924" s="313"/>
      <c r="E924" s="314"/>
      <c r="F924" s="314"/>
      <c r="G924" s="314"/>
      <c r="H924" s="314"/>
      <c r="I924" s="314"/>
      <c r="J924" s="314"/>
      <c r="K924" s="314"/>
      <c r="L924" s="314"/>
      <c r="M924" s="314"/>
      <c r="N924" s="314"/>
      <c r="O924" s="314"/>
      <c r="P924" s="314"/>
      <c r="Q924" s="314"/>
      <c r="R924" s="314"/>
      <c r="S924" s="314"/>
      <c r="T924" s="314"/>
      <c r="U924" s="314"/>
      <c r="V924" s="314"/>
      <c r="W924" s="313"/>
      <c r="X924" s="313"/>
      <c r="Y924" s="314"/>
      <c r="Z924" s="335"/>
      <c r="AA924" s="313"/>
      <c r="AB924" s="324"/>
      <c r="AC924" s="155"/>
      <c r="AD924" s="155"/>
      <c r="AE924" s="322"/>
      <c r="AF924" s="132"/>
      <c r="AG924" s="132"/>
    </row>
    <row r="925">
      <c r="A925" s="311"/>
      <c r="B925" s="313"/>
      <c r="C925" s="313"/>
      <c r="D925" s="313"/>
      <c r="E925" s="314"/>
      <c r="F925" s="314"/>
      <c r="G925" s="314"/>
      <c r="H925" s="314"/>
      <c r="I925" s="314"/>
      <c r="J925" s="314"/>
      <c r="K925" s="314"/>
      <c r="L925" s="314"/>
      <c r="M925" s="314"/>
      <c r="N925" s="314"/>
      <c r="O925" s="314"/>
      <c r="P925" s="314"/>
      <c r="Q925" s="314"/>
      <c r="R925" s="314"/>
      <c r="S925" s="314"/>
      <c r="T925" s="314"/>
      <c r="U925" s="314"/>
      <c r="V925" s="314"/>
      <c r="W925" s="313"/>
      <c r="X925" s="313"/>
      <c r="Y925" s="314"/>
      <c r="Z925" s="335"/>
      <c r="AA925" s="313"/>
      <c r="AB925" s="324"/>
      <c r="AC925" s="155"/>
      <c r="AD925" s="155"/>
      <c r="AE925" s="322"/>
      <c r="AF925" s="132"/>
      <c r="AG925" s="132"/>
    </row>
    <row r="926">
      <c r="A926" s="311"/>
      <c r="B926" s="313"/>
      <c r="C926" s="313"/>
      <c r="D926" s="313"/>
      <c r="E926" s="314"/>
      <c r="F926" s="314"/>
      <c r="G926" s="314"/>
      <c r="H926" s="314"/>
      <c r="I926" s="314"/>
      <c r="J926" s="314"/>
      <c r="K926" s="314"/>
      <c r="L926" s="314"/>
      <c r="M926" s="314"/>
      <c r="N926" s="314"/>
      <c r="O926" s="314"/>
      <c r="P926" s="314"/>
      <c r="Q926" s="314"/>
      <c r="R926" s="314"/>
      <c r="S926" s="314"/>
      <c r="T926" s="314"/>
      <c r="U926" s="314"/>
      <c r="V926" s="314"/>
      <c r="W926" s="313"/>
      <c r="X926" s="313"/>
      <c r="Y926" s="314"/>
      <c r="Z926" s="335"/>
      <c r="AA926" s="313"/>
      <c r="AB926" s="324"/>
      <c r="AC926" s="155"/>
      <c r="AD926" s="155"/>
      <c r="AE926" s="322"/>
      <c r="AF926" s="132"/>
      <c r="AG926" s="132"/>
    </row>
    <row r="927">
      <c r="A927" s="311"/>
      <c r="B927" s="313"/>
      <c r="C927" s="313"/>
      <c r="D927" s="313"/>
      <c r="E927" s="314"/>
      <c r="F927" s="314"/>
      <c r="G927" s="314"/>
      <c r="H927" s="314"/>
      <c r="I927" s="314"/>
      <c r="J927" s="314"/>
      <c r="K927" s="314"/>
      <c r="L927" s="314"/>
      <c r="M927" s="314"/>
      <c r="N927" s="314"/>
      <c r="O927" s="314"/>
      <c r="P927" s="314"/>
      <c r="Q927" s="314"/>
      <c r="R927" s="314"/>
      <c r="S927" s="314"/>
      <c r="T927" s="314"/>
      <c r="U927" s="314"/>
      <c r="V927" s="314"/>
      <c r="W927" s="313"/>
      <c r="X927" s="313"/>
      <c r="Y927" s="314"/>
      <c r="Z927" s="335"/>
      <c r="AA927" s="313"/>
      <c r="AB927" s="324"/>
      <c r="AC927" s="155"/>
      <c r="AD927" s="155"/>
      <c r="AE927" s="322"/>
      <c r="AF927" s="132"/>
      <c r="AG927" s="132"/>
    </row>
    <row r="928">
      <c r="A928" s="311"/>
      <c r="B928" s="313"/>
      <c r="C928" s="313"/>
      <c r="D928" s="313"/>
      <c r="E928" s="314"/>
      <c r="F928" s="314"/>
      <c r="G928" s="314"/>
      <c r="H928" s="314"/>
      <c r="I928" s="314"/>
      <c r="J928" s="314"/>
      <c r="K928" s="314"/>
      <c r="L928" s="314"/>
      <c r="M928" s="314"/>
      <c r="N928" s="314"/>
      <c r="O928" s="314"/>
      <c r="P928" s="314"/>
      <c r="Q928" s="314"/>
      <c r="R928" s="314"/>
      <c r="S928" s="314"/>
      <c r="T928" s="314"/>
      <c r="U928" s="314"/>
      <c r="V928" s="314"/>
      <c r="W928" s="313"/>
      <c r="X928" s="313"/>
      <c r="Y928" s="314"/>
      <c r="Z928" s="335"/>
      <c r="AA928" s="313"/>
      <c r="AB928" s="324"/>
      <c r="AC928" s="155"/>
      <c r="AD928" s="155"/>
      <c r="AE928" s="322"/>
      <c r="AF928" s="132"/>
      <c r="AG928" s="132"/>
    </row>
    <row r="929">
      <c r="A929" s="311"/>
      <c r="B929" s="313"/>
      <c r="C929" s="313"/>
      <c r="D929" s="313"/>
      <c r="E929" s="314"/>
      <c r="F929" s="314"/>
      <c r="G929" s="314"/>
      <c r="H929" s="314"/>
      <c r="I929" s="314"/>
      <c r="J929" s="314"/>
      <c r="K929" s="314"/>
      <c r="L929" s="314"/>
      <c r="M929" s="314"/>
      <c r="N929" s="314"/>
      <c r="O929" s="314"/>
      <c r="P929" s="314"/>
      <c r="Q929" s="314"/>
      <c r="R929" s="314"/>
      <c r="S929" s="314"/>
      <c r="T929" s="314"/>
      <c r="U929" s="314"/>
      <c r="V929" s="314"/>
      <c r="W929" s="313"/>
      <c r="X929" s="313"/>
      <c r="Y929" s="314"/>
      <c r="Z929" s="335"/>
      <c r="AA929" s="313"/>
      <c r="AB929" s="324"/>
      <c r="AC929" s="155"/>
      <c r="AD929" s="155"/>
      <c r="AE929" s="322"/>
      <c r="AF929" s="132"/>
      <c r="AG929" s="132"/>
    </row>
    <row r="930">
      <c r="A930" s="311"/>
      <c r="B930" s="313"/>
      <c r="C930" s="313"/>
      <c r="D930" s="313"/>
      <c r="E930" s="314"/>
      <c r="F930" s="314"/>
      <c r="G930" s="314"/>
      <c r="H930" s="314"/>
      <c r="I930" s="314"/>
      <c r="J930" s="314"/>
      <c r="K930" s="314"/>
      <c r="L930" s="314"/>
      <c r="M930" s="314"/>
      <c r="N930" s="314"/>
      <c r="O930" s="314"/>
      <c r="P930" s="314"/>
      <c r="Q930" s="314"/>
      <c r="R930" s="314"/>
      <c r="S930" s="314"/>
      <c r="T930" s="314"/>
      <c r="U930" s="314"/>
      <c r="V930" s="314"/>
      <c r="W930" s="313"/>
      <c r="X930" s="313"/>
      <c r="Y930" s="314"/>
      <c r="Z930" s="335"/>
      <c r="AA930" s="313"/>
      <c r="AB930" s="324"/>
      <c r="AC930" s="155"/>
      <c r="AD930" s="155"/>
      <c r="AE930" s="322"/>
      <c r="AF930" s="132"/>
      <c r="AG930" s="132"/>
    </row>
    <row r="931">
      <c r="A931" s="311"/>
      <c r="B931" s="313"/>
      <c r="C931" s="313"/>
      <c r="D931" s="313"/>
      <c r="E931" s="314"/>
      <c r="F931" s="314"/>
      <c r="G931" s="314"/>
      <c r="H931" s="314"/>
      <c r="I931" s="314"/>
      <c r="J931" s="314"/>
      <c r="K931" s="314"/>
      <c r="L931" s="314"/>
      <c r="M931" s="314"/>
      <c r="N931" s="314"/>
      <c r="O931" s="314"/>
      <c r="P931" s="314"/>
      <c r="Q931" s="314"/>
      <c r="R931" s="314"/>
      <c r="S931" s="314"/>
      <c r="T931" s="314"/>
      <c r="U931" s="314"/>
      <c r="V931" s="314"/>
      <c r="W931" s="313"/>
      <c r="X931" s="313"/>
      <c r="Y931" s="314"/>
      <c r="Z931" s="335"/>
      <c r="AA931" s="313"/>
      <c r="AB931" s="324"/>
      <c r="AC931" s="155"/>
      <c r="AD931" s="155"/>
      <c r="AE931" s="322"/>
      <c r="AF931" s="132"/>
      <c r="AG931" s="132"/>
    </row>
    <row r="932">
      <c r="A932" s="311"/>
      <c r="B932" s="313"/>
      <c r="C932" s="313"/>
      <c r="D932" s="313"/>
      <c r="E932" s="314"/>
      <c r="F932" s="314"/>
      <c r="G932" s="314"/>
      <c r="H932" s="314"/>
      <c r="I932" s="314"/>
      <c r="J932" s="314"/>
      <c r="K932" s="314"/>
      <c r="L932" s="314"/>
      <c r="M932" s="314"/>
      <c r="N932" s="314"/>
      <c r="O932" s="314"/>
      <c r="P932" s="314"/>
      <c r="Q932" s="314"/>
      <c r="R932" s="314"/>
      <c r="S932" s="314"/>
      <c r="T932" s="314"/>
      <c r="U932" s="314"/>
      <c r="V932" s="314"/>
      <c r="W932" s="313"/>
      <c r="X932" s="313"/>
      <c r="Y932" s="314"/>
      <c r="Z932" s="335"/>
      <c r="AA932" s="313"/>
      <c r="AB932" s="324"/>
      <c r="AC932" s="155"/>
      <c r="AD932" s="155"/>
      <c r="AE932" s="322"/>
      <c r="AF932" s="132"/>
      <c r="AG932" s="132"/>
    </row>
    <row r="933">
      <c r="A933" s="311"/>
      <c r="B933" s="313"/>
      <c r="C933" s="313"/>
      <c r="D933" s="313"/>
      <c r="E933" s="314"/>
      <c r="F933" s="314"/>
      <c r="G933" s="314"/>
      <c r="H933" s="314"/>
      <c r="I933" s="314"/>
      <c r="J933" s="314"/>
      <c r="K933" s="314"/>
      <c r="L933" s="314"/>
      <c r="M933" s="314"/>
      <c r="N933" s="314"/>
      <c r="O933" s="314"/>
      <c r="P933" s="314"/>
      <c r="Q933" s="314"/>
      <c r="R933" s="314"/>
      <c r="S933" s="314"/>
      <c r="T933" s="314"/>
      <c r="U933" s="314"/>
      <c r="V933" s="314"/>
      <c r="W933" s="313"/>
      <c r="X933" s="313"/>
      <c r="Y933" s="314"/>
      <c r="Z933" s="335"/>
      <c r="AA933" s="313"/>
      <c r="AB933" s="324"/>
      <c r="AC933" s="155"/>
      <c r="AD933" s="155"/>
      <c r="AE933" s="322"/>
      <c r="AF933" s="132"/>
      <c r="AG933" s="132"/>
    </row>
    <row r="934">
      <c r="A934" s="311"/>
      <c r="B934" s="313"/>
      <c r="C934" s="313"/>
      <c r="D934" s="313"/>
      <c r="E934" s="314"/>
      <c r="F934" s="314"/>
      <c r="G934" s="314"/>
      <c r="H934" s="314"/>
      <c r="I934" s="314"/>
      <c r="J934" s="314"/>
      <c r="K934" s="314"/>
      <c r="L934" s="314"/>
      <c r="M934" s="314"/>
      <c r="N934" s="314"/>
      <c r="O934" s="314"/>
      <c r="P934" s="314"/>
      <c r="Q934" s="314"/>
      <c r="R934" s="314"/>
      <c r="S934" s="314"/>
      <c r="T934" s="314"/>
      <c r="U934" s="314"/>
      <c r="V934" s="314"/>
      <c r="W934" s="313"/>
      <c r="X934" s="313"/>
      <c r="Y934" s="314"/>
      <c r="Z934" s="335"/>
      <c r="AA934" s="313"/>
      <c r="AB934" s="324"/>
      <c r="AC934" s="155"/>
      <c r="AD934" s="155"/>
      <c r="AE934" s="322"/>
      <c r="AF934" s="132"/>
      <c r="AG934" s="132"/>
    </row>
    <row r="935">
      <c r="A935" s="311"/>
      <c r="B935" s="313"/>
      <c r="C935" s="313"/>
      <c r="D935" s="313"/>
      <c r="E935" s="314"/>
      <c r="F935" s="314"/>
      <c r="G935" s="314"/>
      <c r="H935" s="314"/>
      <c r="I935" s="314"/>
      <c r="J935" s="314"/>
      <c r="K935" s="314"/>
      <c r="L935" s="314"/>
      <c r="M935" s="314"/>
      <c r="N935" s="314"/>
      <c r="O935" s="314"/>
      <c r="P935" s="314"/>
      <c r="Q935" s="314"/>
      <c r="R935" s="314"/>
      <c r="S935" s="314"/>
      <c r="T935" s="314"/>
      <c r="U935" s="314"/>
      <c r="V935" s="314"/>
      <c r="W935" s="313"/>
      <c r="X935" s="313"/>
      <c r="Y935" s="314"/>
      <c r="Z935" s="335"/>
      <c r="AA935" s="313"/>
      <c r="AB935" s="324"/>
      <c r="AC935" s="155"/>
      <c r="AD935" s="155"/>
      <c r="AE935" s="322"/>
      <c r="AF935" s="132"/>
      <c r="AG935" s="132"/>
    </row>
    <row r="936">
      <c r="A936" s="311"/>
      <c r="B936" s="313"/>
      <c r="C936" s="313"/>
      <c r="D936" s="313"/>
      <c r="E936" s="314"/>
      <c r="F936" s="314"/>
      <c r="G936" s="314"/>
      <c r="H936" s="314"/>
      <c r="I936" s="314"/>
      <c r="J936" s="314"/>
      <c r="K936" s="314"/>
      <c r="L936" s="314"/>
      <c r="M936" s="314"/>
      <c r="N936" s="314"/>
      <c r="O936" s="314"/>
      <c r="P936" s="314"/>
      <c r="Q936" s="314"/>
      <c r="R936" s="314"/>
      <c r="S936" s="314"/>
      <c r="T936" s="314"/>
      <c r="U936" s="314"/>
      <c r="V936" s="314"/>
      <c r="W936" s="313"/>
      <c r="X936" s="313"/>
      <c r="Y936" s="314"/>
      <c r="Z936" s="335"/>
      <c r="AA936" s="313"/>
      <c r="AB936" s="324"/>
      <c r="AC936" s="155"/>
      <c r="AD936" s="155"/>
      <c r="AE936" s="322"/>
      <c r="AF936" s="132"/>
      <c r="AG936" s="132"/>
    </row>
    <row r="937">
      <c r="A937" s="311"/>
      <c r="B937" s="313"/>
      <c r="C937" s="313"/>
      <c r="D937" s="313"/>
      <c r="E937" s="314"/>
      <c r="F937" s="314"/>
      <c r="G937" s="314"/>
      <c r="H937" s="314"/>
      <c r="I937" s="314"/>
      <c r="J937" s="314"/>
      <c r="K937" s="314"/>
      <c r="L937" s="314"/>
      <c r="M937" s="314"/>
      <c r="N937" s="314"/>
      <c r="O937" s="314"/>
      <c r="P937" s="314"/>
      <c r="Q937" s="314"/>
      <c r="R937" s="314"/>
      <c r="S937" s="314"/>
      <c r="T937" s="314"/>
      <c r="U937" s="314"/>
      <c r="V937" s="314"/>
      <c r="W937" s="313"/>
      <c r="X937" s="313"/>
      <c r="Y937" s="314"/>
      <c r="Z937" s="335"/>
      <c r="AA937" s="313"/>
      <c r="AB937" s="324"/>
      <c r="AC937" s="155"/>
      <c r="AD937" s="155"/>
      <c r="AE937" s="322"/>
      <c r="AF937" s="132"/>
      <c r="AG937" s="132"/>
    </row>
    <row r="938">
      <c r="A938" s="311"/>
      <c r="B938" s="313"/>
      <c r="C938" s="313"/>
      <c r="D938" s="313"/>
      <c r="E938" s="314"/>
      <c r="F938" s="314"/>
      <c r="G938" s="314"/>
      <c r="H938" s="314"/>
      <c r="I938" s="314"/>
      <c r="J938" s="314"/>
      <c r="K938" s="314"/>
      <c r="L938" s="314"/>
      <c r="M938" s="314"/>
      <c r="N938" s="314"/>
      <c r="O938" s="314"/>
      <c r="P938" s="314"/>
      <c r="Q938" s="314"/>
      <c r="R938" s="314"/>
      <c r="S938" s="314"/>
      <c r="T938" s="314"/>
      <c r="U938" s="314"/>
      <c r="V938" s="314"/>
      <c r="W938" s="313"/>
      <c r="X938" s="313"/>
      <c r="Y938" s="314"/>
      <c r="Z938" s="335"/>
      <c r="AA938" s="313"/>
      <c r="AB938" s="324"/>
      <c r="AC938" s="155"/>
      <c r="AD938" s="155"/>
      <c r="AE938" s="322"/>
      <c r="AF938" s="132"/>
      <c r="AG938" s="132"/>
    </row>
    <row r="939">
      <c r="A939" s="311"/>
      <c r="B939" s="313"/>
      <c r="C939" s="313"/>
      <c r="D939" s="313"/>
      <c r="E939" s="314"/>
      <c r="F939" s="314"/>
      <c r="G939" s="314"/>
      <c r="H939" s="314"/>
      <c r="I939" s="314"/>
      <c r="J939" s="314"/>
      <c r="K939" s="314"/>
      <c r="L939" s="314"/>
      <c r="M939" s="314"/>
      <c r="N939" s="314"/>
      <c r="O939" s="314"/>
      <c r="P939" s="314"/>
      <c r="Q939" s="314"/>
      <c r="R939" s="314"/>
      <c r="S939" s="314"/>
      <c r="T939" s="314"/>
      <c r="U939" s="314"/>
      <c r="V939" s="314"/>
      <c r="W939" s="313"/>
      <c r="X939" s="313"/>
      <c r="Y939" s="314"/>
      <c r="Z939" s="335"/>
      <c r="AA939" s="313"/>
      <c r="AB939" s="324"/>
      <c r="AC939" s="155"/>
      <c r="AD939" s="155"/>
      <c r="AE939" s="322"/>
      <c r="AF939" s="132"/>
      <c r="AG939" s="132"/>
    </row>
    <row r="940">
      <c r="A940" s="311"/>
      <c r="B940" s="313"/>
      <c r="C940" s="313"/>
      <c r="D940" s="313"/>
      <c r="E940" s="314"/>
      <c r="F940" s="314"/>
      <c r="G940" s="314"/>
      <c r="H940" s="314"/>
      <c r="I940" s="314"/>
      <c r="J940" s="314"/>
      <c r="K940" s="314"/>
      <c r="L940" s="314"/>
      <c r="M940" s="314"/>
      <c r="N940" s="314"/>
      <c r="O940" s="314"/>
      <c r="P940" s="314"/>
      <c r="Q940" s="314"/>
      <c r="R940" s="314"/>
      <c r="S940" s="314"/>
      <c r="T940" s="314"/>
      <c r="U940" s="314"/>
      <c r="V940" s="314"/>
      <c r="W940" s="313"/>
      <c r="X940" s="313"/>
      <c r="Y940" s="314"/>
      <c r="Z940" s="335"/>
      <c r="AA940" s="313"/>
      <c r="AB940" s="324"/>
      <c r="AC940" s="155"/>
      <c r="AD940" s="155"/>
      <c r="AE940" s="322"/>
      <c r="AF940" s="132"/>
      <c r="AG940" s="132"/>
    </row>
    <row r="941">
      <c r="A941" s="311"/>
      <c r="B941" s="313"/>
      <c r="C941" s="313"/>
      <c r="D941" s="313"/>
      <c r="E941" s="314"/>
      <c r="F941" s="314"/>
      <c r="G941" s="314"/>
      <c r="H941" s="314"/>
      <c r="I941" s="314"/>
      <c r="J941" s="314"/>
      <c r="K941" s="314"/>
      <c r="L941" s="314"/>
      <c r="M941" s="314"/>
      <c r="N941" s="314"/>
      <c r="O941" s="314"/>
      <c r="P941" s="314"/>
      <c r="Q941" s="314"/>
      <c r="R941" s="314"/>
      <c r="S941" s="314"/>
      <c r="T941" s="314"/>
      <c r="U941" s="314"/>
      <c r="V941" s="314"/>
      <c r="W941" s="313"/>
      <c r="X941" s="313"/>
      <c r="Y941" s="314"/>
      <c r="Z941" s="335"/>
      <c r="AA941" s="313"/>
      <c r="AB941" s="324"/>
      <c r="AC941" s="155"/>
      <c r="AD941" s="155"/>
      <c r="AE941" s="322"/>
      <c r="AF941" s="132"/>
      <c r="AG941" s="132"/>
    </row>
    <row r="942">
      <c r="A942" s="311"/>
      <c r="B942" s="313"/>
      <c r="C942" s="313"/>
      <c r="D942" s="313"/>
      <c r="E942" s="314"/>
      <c r="F942" s="314"/>
      <c r="G942" s="314"/>
      <c r="H942" s="314"/>
      <c r="I942" s="314"/>
      <c r="J942" s="314"/>
      <c r="K942" s="314"/>
      <c r="L942" s="314"/>
      <c r="M942" s="314"/>
      <c r="N942" s="314"/>
      <c r="O942" s="314"/>
      <c r="P942" s="314"/>
      <c r="Q942" s="314"/>
      <c r="R942" s="314"/>
      <c r="S942" s="314"/>
      <c r="T942" s="314"/>
      <c r="U942" s="314"/>
      <c r="V942" s="314"/>
      <c r="W942" s="313"/>
      <c r="X942" s="313"/>
      <c r="Y942" s="314"/>
      <c r="Z942" s="335"/>
      <c r="AA942" s="313"/>
      <c r="AB942" s="324"/>
      <c r="AC942" s="155"/>
      <c r="AD942" s="155"/>
      <c r="AE942" s="322"/>
      <c r="AF942" s="132"/>
      <c r="AG942" s="132"/>
    </row>
    <row r="943">
      <c r="A943" s="311"/>
      <c r="B943" s="313"/>
      <c r="C943" s="313"/>
      <c r="D943" s="313"/>
      <c r="E943" s="314"/>
      <c r="F943" s="314"/>
      <c r="G943" s="314"/>
      <c r="H943" s="314"/>
      <c r="I943" s="314"/>
      <c r="J943" s="314"/>
      <c r="K943" s="314"/>
      <c r="L943" s="314"/>
      <c r="M943" s="314"/>
      <c r="N943" s="314"/>
      <c r="O943" s="314"/>
      <c r="P943" s="314"/>
      <c r="Q943" s="314"/>
      <c r="R943" s="314"/>
      <c r="S943" s="314"/>
      <c r="T943" s="314"/>
      <c r="U943" s="314"/>
      <c r="V943" s="314"/>
      <c r="W943" s="313"/>
      <c r="X943" s="313"/>
      <c r="Y943" s="314"/>
      <c r="Z943" s="335"/>
      <c r="AA943" s="313"/>
      <c r="AB943" s="324"/>
      <c r="AC943" s="155"/>
      <c r="AD943" s="155"/>
      <c r="AE943" s="322"/>
      <c r="AF943" s="132"/>
      <c r="AG943" s="132"/>
    </row>
    <row r="944">
      <c r="A944" s="311"/>
      <c r="B944" s="313"/>
      <c r="C944" s="313"/>
      <c r="D944" s="313"/>
      <c r="E944" s="314"/>
      <c r="F944" s="314"/>
      <c r="G944" s="314"/>
      <c r="H944" s="314"/>
      <c r="I944" s="314"/>
      <c r="J944" s="314"/>
      <c r="K944" s="314"/>
      <c r="L944" s="314"/>
      <c r="M944" s="314"/>
      <c r="N944" s="314"/>
      <c r="O944" s="314"/>
      <c r="P944" s="314"/>
      <c r="Q944" s="314"/>
      <c r="R944" s="314"/>
      <c r="S944" s="314"/>
      <c r="T944" s="314"/>
      <c r="U944" s="314"/>
      <c r="V944" s="314"/>
      <c r="W944" s="313"/>
      <c r="X944" s="313"/>
      <c r="Y944" s="314"/>
      <c r="Z944" s="335"/>
      <c r="AA944" s="313"/>
      <c r="AB944" s="324"/>
      <c r="AC944" s="155"/>
      <c r="AD944" s="155"/>
      <c r="AE944" s="322"/>
      <c r="AF944" s="132"/>
      <c r="AG944" s="132"/>
    </row>
    <row r="945">
      <c r="A945" s="311"/>
      <c r="B945" s="313"/>
      <c r="C945" s="313"/>
      <c r="D945" s="313"/>
      <c r="E945" s="314"/>
      <c r="F945" s="314"/>
      <c r="G945" s="314"/>
      <c r="H945" s="314"/>
      <c r="I945" s="314"/>
      <c r="J945" s="314"/>
      <c r="K945" s="314"/>
      <c r="L945" s="314"/>
      <c r="M945" s="314"/>
      <c r="N945" s="314"/>
      <c r="O945" s="314"/>
      <c r="P945" s="314"/>
      <c r="Q945" s="314"/>
      <c r="R945" s="314"/>
      <c r="S945" s="314"/>
      <c r="T945" s="314"/>
      <c r="U945" s="314"/>
      <c r="V945" s="314"/>
      <c r="W945" s="313"/>
      <c r="X945" s="313"/>
      <c r="Y945" s="314"/>
      <c r="Z945" s="335"/>
      <c r="AA945" s="313"/>
      <c r="AB945" s="324"/>
      <c r="AC945" s="155"/>
      <c r="AD945" s="155"/>
      <c r="AE945" s="322"/>
      <c r="AF945" s="132"/>
      <c r="AG945" s="132"/>
    </row>
    <row r="946">
      <c r="A946" s="311"/>
      <c r="B946" s="313"/>
      <c r="C946" s="313"/>
      <c r="D946" s="313"/>
      <c r="E946" s="314"/>
      <c r="F946" s="314"/>
      <c r="G946" s="314"/>
      <c r="H946" s="314"/>
      <c r="I946" s="314"/>
      <c r="J946" s="314"/>
      <c r="K946" s="314"/>
      <c r="L946" s="314"/>
      <c r="M946" s="314"/>
      <c r="N946" s="314"/>
      <c r="O946" s="314"/>
      <c r="P946" s="314"/>
      <c r="Q946" s="314"/>
      <c r="R946" s="314"/>
      <c r="S946" s="314"/>
      <c r="T946" s="314"/>
      <c r="U946" s="314"/>
      <c r="V946" s="314"/>
      <c r="W946" s="313"/>
      <c r="X946" s="313"/>
      <c r="Y946" s="314"/>
      <c r="Z946" s="335"/>
      <c r="AA946" s="313"/>
      <c r="AB946" s="324"/>
      <c r="AC946" s="155"/>
      <c r="AD946" s="155"/>
      <c r="AE946" s="322"/>
      <c r="AF946" s="132"/>
      <c r="AG946" s="132"/>
    </row>
    <row r="947">
      <c r="A947" s="311"/>
      <c r="B947" s="313"/>
      <c r="C947" s="313"/>
      <c r="D947" s="313"/>
      <c r="E947" s="314"/>
      <c r="F947" s="314"/>
      <c r="G947" s="314"/>
      <c r="H947" s="314"/>
      <c r="I947" s="314"/>
      <c r="J947" s="314"/>
      <c r="K947" s="314"/>
      <c r="L947" s="314"/>
      <c r="M947" s="314"/>
      <c r="N947" s="314"/>
      <c r="O947" s="314"/>
      <c r="P947" s="314"/>
      <c r="Q947" s="314"/>
      <c r="R947" s="314"/>
      <c r="S947" s="314"/>
      <c r="T947" s="314"/>
      <c r="U947" s="314"/>
      <c r="V947" s="314"/>
      <c r="W947" s="313"/>
      <c r="X947" s="313"/>
      <c r="Y947" s="314"/>
      <c r="Z947" s="335"/>
      <c r="AA947" s="313"/>
      <c r="AB947" s="324"/>
      <c r="AC947" s="155"/>
      <c r="AD947" s="155"/>
      <c r="AE947" s="322"/>
      <c r="AF947" s="132"/>
      <c r="AG947" s="132"/>
    </row>
    <row r="948">
      <c r="A948" s="311"/>
      <c r="B948" s="313"/>
      <c r="C948" s="313"/>
      <c r="D948" s="313"/>
      <c r="E948" s="314"/>
      <c r="F948" s="314"/>
      <c r="G948" s="314"/>
      <c r="H948" s="314"/>
      <c r="I948" s="314"/>
      <c r="J948" s="314"/>
      <c r="K948" s="314"/>
      <c r="L948" s="314"/>
      <c r="M948" s="314"/>
      <c r="N948" s="314"/>
      <c r="O948" s="314"/>
      <c r="P948" s="314"/>
      <c r="Q948" s="314"/>
      <c r="R948" s="314"/>
      <c r="S948" s="314"/>
      <c r="T948" s="314"/>
      <c r="U948" s="314"/>
      <c r="V948" s="314"/>
      <c r="W948" s="313"/>
      <c r="X948" s="313"/>
      <c r="Y948" s="314"/>
      <c r="Z948" s="335"/>
      <c r="AA948" s="313"/>
      <c r="AB948" s="324"/>
      <c r="AC948" s="155"/>
      <c r="AD948" s="155"/>
      <c r="AE948" s="322"/>
      <c r="AF948" s="132"/>
      <c r="AG948" s="132"/>
    </row>
    <row r="949">
      <c r="A949" s="311"/>
      <c r="B949" s="313"/>
      <c r="C949" s="313"/>
      <c r="D949" s="313"/>
      <c r="E949" s="314"/>
      <c r="F949" s="314"/>
      <c r="G949" s="314"/>
      <c r="H949" s="314"/>
      <c r="I949" s="314"/>
      <c r="J949" s="314"/>
      <c r="K949" s="314"/>
      <c r="L949" s="314"/>
      <c r="M949" s="314"/>
      <c r="N949" s="314"/>
      <c r="O949" s="314"/>
      <c r="P949" s="314"/>
      <c r="Q949" s="314"/>
      <c r="R949" s="314"/>
      <c r="S949" s="314"/>
      <c r="T949" s="314"/>
      <c r="U949" s="314"/>
      <c r="V949" s="314"/>
      <c r="W949" s="313"/>
      <c r="X949" s="313"/>
      <c r="Y949" s="314"/>
      <c r="Z949" s="335"/>
      <c r="AA949" s="313"/>
      <c r="AB949" s="324"/>
      <c r="AC949" s="155"/>
      <c r="AD949" s="155"/>
      <c r="AE949" s="322"/>
      <c r="AF949" s="132"/>
      <c r="AG949" s="132"/>
    </row>
    <row r="950">
      <c r="A950" s="311"/>
      <c r="B950" s="313"/>
      <c r="C950" s="313"/>
      <c r="D950" s="313"/>
      <c r="E950" s="314"/>
      <c r="F950" s="314"/>
      <c r="G950" s="314"/>
      <c r="H950" s="314"/>
      <c r="I950" s="314"/>
      <c r="J950" s="314"/>
      <c r="K950" s="314"/>
      <c r="L950" s="314"/>
      <c r="M950" s="314"/>
      <c r="N950" s="314"/>
      <c r="O950" s="314"/>
      <c r="P950" s="314"/>
      <c r="Q950" s="314"/>
      <c r="R950" s="314"/>
      <c r="S950" s="314"/>
      <c r="T950" s="314"/>
      <c r="U950" s="314"/>
      <c r="V950" s="314"/>
      <c r="W950" s="313"/>
      <c r="X950" s="313"/>
      <c r="Y950" s="314"/>
      <c r="Z950" s="335"/>
      <c r="AA950" s="313"/>
      <c r="AB950" s="324"/>
      <c r="AC950" s="155"/>
      <c r="AD950" s="155"/>
      <c r="AE950" s="322"/>
      <c r="AF950" s="132"/>
      <c r="AG950" s="132"/>
    </row>
    <row r="951">
      <c r="A951" s="311"/>
      <c r="B951" s="313"/>
      <c r="C951" s="313"/>
      <c r="D951" s="313"/>
      <c r="E951" s="314"/>
      <c r="F951" s="314"/>
      <c r="G951" s="314"/>
      <c r="H951" s="314"/>
      <c r="I951" s="314"/>
      <c r="J951" s="314"/>
      <c r="K951" s="314"/>
      <c r="L951" s="314"/>
      <c r="M951" s="314"/>
      <c r="N951" s="314"/>
      <c r="O951" s="314"/>
      <c r="P951" s="314"/>
      <c r="Q951" s="314"/>
      <c r="R951" s="314"/>
      <c r="S951" s="314"/>
      <c r="T951" s="314"/>
      <c r="U951" s="314"/>
      <c r="V951" s="314"/>
      <c r="W951" s="313"/>
      <c r="X951" s="313"/>
      <c r="Y951" s="314"/>
      <c r="Z951" s="335"/>
      <c r="AA951" s="313"/>
      <c r="AB951" s="324"/>
      <c r="AC951" s="155"/>
      <c r="AD951" s="155"/>
      <c r="AE951" s="322"/>
      <c r="AF951" s="132"/>
      <c r="AG951" s="132"/>
    </row>
    <row r="952">
      <c r="A952" s="311"/>
      <c r="B952" s="313"/>
      <c r="C952" s="313"/>
      <c r="D952" s="313"/>
      <c r="E952" s="314"/>
      <c r="F952" s="314"/>
      <c r="G952" s="314"/>
      <c r="H952" s="314"/>
      <c r="I952" s="314"/>
      <c r="J952" s="314"/>
      <c r="K952" s="314"/>
      <c r="L952" s="314"/>
      <c r="M952" s="314"/>
      <c r="N952" s="314"/>
      <c r="O952" s="314"/>
      <c r="P952" s="314"/>
      <c r="Q952" s="314"/>
      <c r="R952" s="314"/>
      <c r="S952" s="314"/>
      <c r="T952" s="314"/>
      <c r="U952" s="314"/>
      <c r="V952" s="314"/>
      <c r="W952" s="313"/>
      <c r="X952" s="313"/>
      <c r="Y952" s="314"/>
      <c r="Z952" s="335"/>
      <c r="AA952" s="313"/>
      <c r="AB952" s="324"/>
      <c r="AC952" s="155"/>
      <c r="AD952" s="155"/>
      <c r="AE952" s="322"/>
      <c r="AF952" s="132"/>
      <c r="AG952" s="132"/>
    </row>
    <row r="953">
      <c r="A953" s="311"/>
      <c r="B953" s="313"/>
      <c r="C953" s="313"/>
      <c r="D953" s="313"/>
      <c r="E953" s="314"/>
      <c r="F953" s="314"/>
      <c r="G953" s="314"/>
      <c r="H953" s="314"/>
      <c r="I953" s="314"/>
      <c r="J953" s="314"/>
      <c r="K953" s="314"/>
      <c r="L953" s="314"/>
      <c r="M953" s="314"/>
      <c r="N953" s="314"/>
      <c r="O953" s="314"/>
      <c r="P953" s="314"/>
      <c r="Q953" s="314"/>
      <c r="R953" s="314"/>
      <c r="S953" s="314"/>
      <c r="T953" s="314"/>
      <c r="U953" s="314"/>
      <c r="V953" s="314"/>
      <c r="W953" s="313"/>
      <c r="X953" s="313"/>
      <c r="Y953" s="314"/>
      <c r="Z953" s="335"/>
      <c r="AA953" s="313"/>
      <c r="AB953" s="324"/>
      <c r="AC953" s="155"/>
      <c r="AD953" s="155"/>
      <c r="AE953" s="322"/>
      <c r="AF953" s="132"/>
      <c r="AG953" s="132"/>
    </row>
    <row r="954">
      <c r="A954" s="311"/>
      <c r="B954" s="313"/>
      <c r="C954" s="313"/>
      <c r="D954" s="313"/>
      <c r="E954" s="314"/>
      <c r="F954" s="314"/>
      <c r="G954" s="314"/>
      <c r="H954" s="314"/>
      <c r="I954" s="314"/>
      <c r="J954" s="314"/>
      <c r="K954" s="314"/>
      <c r="L954" s="314"/>
      <c r="M954" s="314"/>
      <c r="N954" s="314"/>
      <c r="O954" s="314"/>
      <c r="P954" s="314"/>
      <c r="Q954" s="314"/>
      <c r="R954" s="314"/>
      <c r="S954" s="314"/>
      <c r="T954" s="314"/>
      <c r="U954" s="314"/>
      <c r="V954" s="314"/>
      <c r="W954" s="313"/>
      <c r="X954" s="313"/>
      <c r="Y954" s="314"/>
      <c r="Z954" s="335"/>
      <c r="AA954" s="313"/>
      <c r="AB954" s="324"/>
      <c r="AC954" s="155"/>
      <c r="AD954" s="155"/>
      <c r="AE954" s="322"/>
      <c r="AF954" s="132"/>
      <c r="AG954" s="132"/>
    </row>
    <row r="955">
      <c r="A955" s="311"/>
      <c r="B955" s="313"/>
      <c r="C955" s="313"/>
      <c r="D955" s="313"/>
      <c r="E955" s="314"/>
      <c r="F955" s="314"/>
      <c r="G955" s="314"/>
      <c r="H955" s="314"/>
      <c r="I955" s="314"/>
      <c r="J955" s="314"/>
      <c r="K955" s="314"/>
      <c r="L955" s="314"/>
      <c r="M955" s="314"/>
      <c r="N955" s="314"/>
      <c r="O955" s="314"/>
      <c r="P955" s="314"/>
      <c r="Q955" s="314"/>
      <c r="R955" s="314"/>
      <c r="S955" s="314"/>
      <c r="T955" s="314"/>
      <c r="U955" s="314"/>
      <c r="V955" s="314"/>
      <c r="W955" s="313"/>
      <c r="X955" s="313"/>
      <c r="Y955" s="314"/>
      <c r="Z955" s="335"/>
      <c r="AA955" s="313"/>
      <c r="AB955" s="324"/>
      <c r="AC955" s="155"/>
      <c r="AD955" s="155"/>
      <c r="AE955" s="322"/>
      <c r="AF955" s="132"/>
      <c r="AG955" s="132"/>
    </row>
    <row r="956">
      <c r="A956" s="311"/>
      <c r="B956" s="313"/>
      <c r="C956" s="313"/>
      <c r="D956" s="313"/>
      <c r="E956" s="314"/>
      <c r="F956" s="314"/>
      <c r="G956" s="314"/>
      <c r="H956" s="314"/>
      <c r="I956" s="314"/>
      <c r="J956" s="314"/>
      <c r="K956" s="314"/>
      <c r="L956" s="314"/>
      <c r="M956" s="314"/>
      <c r="N956" s="314"/>
      <c r="O956" s="314"/>
      <c r="P956" s="314"/>
      <c r="Q956" s="314"/>
      <c r="R956" s="314"/>
      <c r="S956" s="314"/>
      <c r="T956" s="314"/>
      <c r="U956" s="314"/>
      <c r="V956" s="314"/>
      <c r="W956" s="313"/>
      <c r="X956" s="313"/>
      <c r="Y956" s="314"/>
      <c r="Z956" s="335"/>
      <c r="AA956" s="313"/>
      <c r="AB956" s="324"/>
      <c r="AC956" s="155"/>
      <c r="AD956" s="155"/>
      <c r="AE956" s="322"/>
      <c r="AF956" s="132"/>
      <c r="AG956" s="132"/>
    </row>
    <row r="957">
      <c r="A957" s="311"/>
      <c r="B957" s="313"/>
      <c r="C957" s="313"/>
      <c r="D957" s="313"/>
      <c r="E957" s="314"/>
      <c r="F957" s="314"/>
      <c r="G957" s="314"/>
      <c r="H957" s="314"/>
      <c r="I957" s="314"/>
      <c r="J957" s="314"/>
      <c r="K957" s="314"/>
      <c r="L957" s="314"/>
      <c r="M957" s="314"/>
      <c r="N957" s="314"/>
      <c r="O957" s="314"/>
      <c r="P957" s="314"/>
      <c r="Q957" s="314"/>
      <c r="R957" s="314"/>
      <c r="S957" s="314"/>
      <c r="T957" s="314"/>
      <c r="U957" s="314"/>
      <c r="V957" s="314"/>
      <c r="W957" s="313"/>
      <c r="X957" s="313"/>
      <c r="Y957" s="314"/>
      <c r="Z957" s="335"/>
      <c r="AA957" s="313"/>
      <c r="AB957" s="324"/>
      <c r="AC957" s="155"/>
      <c r="AD957" s="155"/>
      <c r="AE957" s="322"/>
      <c r="AF957" s="132"/>
      <c r="AG957" s="132"/>
    </row>
    <row r="958">
      <c r="A958" s="311"/>
      <c r="B958" s="313"/>
      <c r="C958" s="313"/>
      <c r="D958" s="313"/>
      <c r="E958" s="314"/>
      <c r="F958" s="314"/>
      <c r="G958" s="314"/>
      <c r="H958" s="314"/>
      <c r="I958" s="314"/>
      <c r="J958" s="314"/>
      <c r="K958" s="314"/>
      <c r="L958" s="314"/>
      <c r="M958" s="314"/>
      <c r="N958" s="314"/>
      <c r="O958" s="314"/>
      <c r="P958" s="314"/>
      <c r="Q958" s="314"/>
      <c r="R958" s="314"/>
      <c r="S958" s="314"/>
      <c r="T958" s="314"/>
      <c r="U958" s="314"/>
      <c r="V958" s="314"/>
      <c r="W958" s="313"/>
      <c r="X958" s="313"/>
      <c r="Y958" s="314"/>
      <c r="Z958" s="335"/>
      <c r="AA958" s="313"/>
      <c r="AB958" s="324"/>
      <c r="AC958" s="155"/>
      <c r="AD958" s="155"/>
      <c r="AE958" s="322"/>
      <c r="AF958" s="132"/>
      <c r="AG958" s="132"/>
    </row>
    <row r="959">
      <c r="A959" s="311"/>
      <c r="B959" s="313"/>
      <c r="C959" s="313"/>
      <c r="D959" s="313"/>
      <c r="E959" s="314"/>
      <c r="F959" s="314"/>
      <c r="G959" s="314"/>
      <c r="H959" s="314"/>
      <c r="I959" s="314"/>
      <c r="J959" s="314"/>
      <c r="K959" s="314"/>
      <c r="L959" s="314"/>
      <c r="M959" s="314"/>
      <c r="N959" s="314"/>
      <c r="O959" s="314"/>
      <c r="P959" s="314"/>
      <c r="Q959" s="314"/>
      <c r="R959" s="314"/>
      <c r="S959" s="314"/>
      <c r="T959" s="314"/>
      <c r="U959" s="314"/>
      <c r="V959" s="314"/>
      <c r="W959" s="313"/>
      <c r="X959" s="313"/>
      <c r="Y959" s="314"/>
      <c r="Z959" s="335"/>
      <c r="AA959" s="313"/>
      <c r="AB959" s="324"/>
      <c r="AC959" s="155"/>
      <c r="AD959" s="155"/>
      <c r="AE959" s="322"/>
      <c r="AF959" s="132"/>
      <c r="AG959" s="132"/>
    </row>
    <row r="960">
      <c r="A960" s="311"/>
      <c r="B960" s="313"/>
      <c r="C960" s="313"/>
      <c r="D960" s="313"/>
      <c r="E960" s="314"/>
      <c r="F960" s="314"/>
      <c r="G960" s="314"/>
      <c r="H960" s="314"/>
      <c r="I960" s="314"/>
      <c r="J960" s="314"/>
      <c r="K960" s="314"/>
      <c r="L960" s="314"/>
      <c r="M960" s="314"/>
      <c r="N960" s="314"/>
      <c r="O960" s="314"/>
      <c r="P960" s="314"/>
      <c r="Q960" s="314"/>
      <c r="R960" s="314"/>
      <c r="S960" s="314"/>
      <c r="T960" s="314"/>
      <c r="U960" s="314"/>
      <c r="V960" s="314"/>
      <c r="W960" s="313"/>
      <c r="X960" s="313"/>
      <c r="Y960" s="314"/>
      <c r="Z960" s="335"/>
      <c r="AA960" s="313"/>
      <c r="AB960" s="324"/>
      <c r="AC960" s="155"/>
      <c r="AD960" s="155"/>
      <c r="AE960" s="322"/>
      <c r="AF960" s="132"/>
      <c r="AG960" s="132"/>
    </row>
    <row r="961">
      <c r="A961" s="311"/>
      <c r="B961" s="313"/>
      <c r="C961" s="313"/>
      <c r="D961" s="313"/>
      <c r="E961" s="314"/>
      <c r="F961" s="314"/>
      <c r="G961" s="314"/>
      <c r="H961" s="314"/>
      <c r="I961" s="314"/>
      <c r="J961" s="314"/>
      <c r="K961" s="314"/>
      <c r="L961" s="314"/>
      <c r="M961" s="314"/>
      <c r="N961" s="314"/>
      <c r="O961" s="314"/>
      <c r="P961" s="314"/>
      <c r="Q961" s="314"/>
      <c r="R961" s="314"/>
      <c r="S961" s="314"/>
      <c r="T961" s="314"/>
      <c r="U961" s="314"/>
      <c r="V961" s="314"/>
      <c r="W961" s="313"/>
      <c r="X961" s="313"/>
      <c r="Y961" s="314"/>
      <c r="Z961" s="335"/>
      <c r="AA961" s="313"/>
      <c r="AB961" s="324"/>
      <c r="AC961" s="155"/>
      <c r="AD961" s="155"/>
      <c r="AE961" s="322"/>
      <c r="AF961" s="132"/>
      <c r="AG961" s="132"/>
    </row>
    <row r="962">
      <c r="A962" s="311"/>
      <c r="B962" s="313"/>
      <c r="C962" s="313"/>
      <c r="D962" s="313"/>
      <c r="E962" s="314"/>
      <c r="F962" s="314"/>
      <c r="G962" s="314"/>
      <c r="H962" s="314"/>
      <c r="I962" s="314"/>
      <c r="J962" s="314"/>
      <c r="K962" s="314"/>
      <c r="L962" s="314"/>
      <c r="M962" s="314"/>
      <c r="N962" s="314"/>
      <c r="O962" s="314"/>
      <c r="P962" s="314"/>
      <c r="Q962" s="314"/>
      <c r="R962" s="314"/>
      <c r="S962" s="314"/>
      <c r="T962" s="314"/>
      <c r="U962" s="314"/>
      <c r="V962" s="314"/>
      <c r="W962" s="313"/>
      <c r="X962" s="313"/>
      <c r="Y962" s="314"/>
      <c r="Z962" s="335"/>
      <c r="AA962" s="313"/>
      <c r="AB962" s="324"/>
      <c r="AC962" s="155"/>
      <c r="AD962" s="155"/>
      <c r="AE962" s="322"/>
      <c r="AF962" s="132"/>
      <c r="AG962" s="132"/>
    </row>
    <row r="963">
      <c r="A963" s="311"/>
      <c r="B963" s="313"/>
      <c r="C963" s="313"/>
      <c r="D963" s="313"/>
      <c r="E963" s="314"/>
      <c r="F963" s="314"/>
      <c r="G963" s="314"/>
      <c r="H963" s="314"/>
      <c r="I963" s="314"/>
      <c r="J963" s="314"/>
      <c r="K963" s="314"/>
      <c r="L963" s="314"/>
      <c r="M963" s="314"/>
      <c r="N963" s="314"/>
      <c r="O963" s="314"/>
      <c r="P963" s="314"/>
      <c r="Q963" s="314"/>
      <c r="R963" s="314"/>
      <c r="S963" s="314"/>
      <c r="T963" s="314"/>
      <c r="U963" s="314"/>
      <c r="V963" s="314"/>
      <c r="W963" s="313"/>
      <c r="X963" s="313"/>
      <c r="Y963" s="314"/>
      <c r="Z963" s="335"/>
      <c r="AA963" s="313"/>
      <c r="AB963" s="324"/>
      <c r="AC963" s="155"/>
      <c r="AD963" s="155"/>
      <c r="AE963" s="322"/>
      <c r="AF963" s="132"/>
      <c r="AG963" s="132"/>
    </row>
    <row r="964">
      <c r="A964" s="311"/>
      <c r="B964" s="313"/>
      <c r="C964" s="313"/>
      <c r="D964" s="313"/>
      <c r="E964" s="314"/>
      <c r="F964" s="314"/>
      <c r="G964" s="314"/>
      <c r="H964" s="314"/>
      <c r="I964" s="314"/>
      <c r="J964" s="314"/>
      <c r="K964" s="314"/>
      <c r="L964" s="314"/>
      <c r="M964" s="314"/>
      <c r="N964" s="314"/>
      <c r="O964" s="314"/>
      <c r="P964" s="314"/>
      <c r="Q964" s="314"/>
      <c r="R964" s="314"/>
      <c r="S964" s="314"/>
      <c r="T964" s="314"/>
      <c r="U964" s="314"/>
      <c r="V964" s="314"/>
      <c r="W964" s="313"/>
      <c r="X964" s="313"/>
      <c r="Y964" s="314"/>
      <c r="Z964" s="335"/>
      <c r="AA964" s="313"/>
      <c r="AB964" s="324"/>
      <c r="AC964" s="155"/>
      <c r="AD964" s="155"/>
      <c r="AE964" s="322"/>
      <c r="AF964" s="132"/>
      <c r="AG964" s="132"/>
    </row>
    <row r="965">
      <c r="A965" s="311"/>
      <c r="B965" s="313"/>
      <c r="C965" s="313"/>
      <c r="D965" s="313"/>
      <c r="E965" s="314"/>
      <c r="F965" s="314"/>
      <c r="G965" s="314"/>
      <c r="H965" s="314"/>
      <c r="I965" s="314"/>
      <c r="J965" s="314"/>
      <c r="K965" s="314"/>
      <c r="L965" s="314"/>
      <c r="M965" s="314"/>
      <c r="N965" s="314"/>
      <c r="O965" s="314"/>
      <c r="P965" s="314"/>
      <c r="Q965" s="314"/>
      <c r="R965" s="314"/>
      <c r="S965" s="314"/>
      <c r="T965" s="314"/>
      <c r="U965" s="314"/>
      <c r="V965" s="314"/>
      <c r="W965" s="313"/>
      <c r="X965" s="313"/>
      <c r="Y965" s="314"/>
      <c r="Z965" s="335"/>
      <c r="AA965" s="313"/>
      <c r="AB965" s="324"/>
      <c r="AC965" s="155"/>
      <c r="AD965" s="155"/>
      <c r="AE965" s="322"/>
      <c r="AF965" s="132"/>
      <c r="AG965" s="132"/>
    </row>
    <row r="966">
      <c r="A966" s="311"/>
      <c r="B966" s="313"/>
      <c r="C966" s="313"/>
      <c r="D966" s="313"/>
      <c r="E966" s="314"/>
      <c r="F966" s="314"/>
      <c r="G966" s="314"/>
      <c r="H966" s="314"/>
      <c r="I966" s="314"/>
      <c r="J966" s="314"/>
      <c r="K966" s="314"/>
      <c r="L966" s="314"/>
      <c r="M966" s="314"/>
      <c r="N966" s="314"/>
      <c r="O966" s="314"/>
      <c r="P966" s="314"/>
      <c r="Q966" s="314"/>
      <c r="R966" s="314"/>
      <c r="S966" s="314"/>
      <c r="T966" s="314"/>
      <c r="U966" s="314"/>
      <c r="V966" s="314"/>
      <c r="W966" s="313"/>
      <c r="X966" s="313"/>
      <c r="Y966" s="314"/>
      <c r="Z966" s="335"/>
      <c r="AA966" s="313"/>
      <c r="AB966" s="324"/>
      <c r="AC966" s="155"/>
      <c r="AD966" s="155"/>
      <c r="AE966" s="322"/>
      <c r="AF966" s="132"/>
      <c r="AG966" s="132"/>
    </row>
    <row r="967">
      <c r="A967" s="311"/>
      <c r="B967" s="313"/>
      <c r="C967" s="313"/>
      <c r="D967" s="313"/>
      <c r="E967" s="314"/>
      <c r="F967" s="314"/>
      <c r="G967" s="314"/>
      <c r="H967" s="314"/>
      <c r="I967" s="314"/>
      <c r="J967" s="314"/>
      <c r="K967" s="314"/>
      <c r="L967" s="314"/>
      <c r="M967" s="314"/>
      <c r="N967" s="314"/>
      <c r="O967" s="314"/>
      <c r="P967" s="314"/>
      <c r="Q967" s="314"/>
      <c r="R967" s="314"/>
      <c r="S967" s="314"/>
      <c r="T967" s="314"/>
      <c r="U967" s="314"/>
      <c r="V967" s="314"/>
      <c r="W967" s="313"/>
      <c r="X967" s="313"/>
      <c r="Y967" s="314"/>
      <c r="Z967" s="335"/>
      <c r="AA967" s="313"/>
      <c r="AB967" s="324"/>
      <c r="AC967" s="155"/>
      <c r="AD967" s="155"/>
      <c r="AE967" s="322"/>
      <c r="AF967" s="132"/>
      <c r="AG967" s="132"/>
    </row>
    <row r="968">
      <c r="A968" s="311"/>
      <c r="B968" s="313"/>
      <c r="C968" s="313"/>
      <c r="D968" s="313"/>
      <c r="E968" s="314"/>
      <c r="F968" s="314"/>
      <c r="G968" s="314"/>
      <c r="H968" s="314"/>
      <c r="I968" s="314"/>
      <c r="J968" s="314"/>
      <c r="K968" s="314"/>
      <c r="L968" s="314"/>
      <c r="M968" s="314"/>
      <c r="N968" s="314"/>
      <c r="O968" s="314"/>
      <c r="P968" s="314"/>
      <c r="Q968" s="314"/>
      <c r="R968" s="314"/>
      <c r="S968" s="314"/>
      <c r="T968" s="314"/>
      <c r="U968" s="314"/>
      <c r="V968" s="314"/>
      <c r="W968" s="313"/>
      <c r="X968" s="313"/>
      <c r="Y968" s="314"/>
      <c r="Z968" s="335"/>
      <c r="AA968" s="313"/>
      <c r="AB968" s="324"/>
      <c r="AC968" s="155"/>
      <c r="AD968" s="155"/>
      <c r="AE968" s="322"/>
      <c r="AF968" s="132"/>
      <c r="AG968" s="132"/>
    </row>
    <row r="969">
      <c r="A969" s="311"/>
      <c r="B969" s="313"/>
      <c r="C969" s="313"/>
      <c r="D969" s="313"/>
      <c r="E969" s="314"/>
      <c r="F969" s="314"/>
      <c r="G969" s="314"/>
      <c r="H969" s="314"/>
      <c r="I969" s="314"/>
      <c r="J969" s="314"/>
      <c r="K969" s="314"/>
      <c r="L969" s="314"/>
      <c r="M969" s="314"/>
      <c r="N969" s="314"/>
      <c r="O969" s="314"/>
      <c r="P969" s="314"/>
      <c r="Q969" s="314"/>
      <c r="R969" s="314"/>
      <c r="S969" s="314"/>
      <c r="T969" s="314"/>
      <c r="U969" s="314"/>
      <c r="V969" s="314"/>
      <c r="W969" s="313"/>
      <c r="X969" s="313"/>
      <c r="Y969" s="314"/>
      <c r="Z969" s="335"/>
      <c r="AA969" s="313"/>
      <c r="AB969" s="324"/>
      <c r="AC969" s="155"/>
      <c r="AD969" s="155"/>
      <c r="AE969" s="322"/>
      <c r="AF969" s="132"/>
      <c r="AG969" s="132"/>
    </row>
    <row r="970">
      <c r="A970" s="311"/>
      <c r="B970" s="313"/>
      <c r="C970" s="313"/>
      <c r="D970" s="313"/>
      <c r="E970" s="314"/>
      <c r="F970" s="314"/>
      <c r="G970" s="314"/>
      <c r="H970" s="314"/>
      <c r="I970" s="314"/>
      <c r="J970" s="314"/>
      <c r="K970" s="314"/>
      <c r="L970" s="314"/>
      <c r="M970" s="314"/>
      <c r="N970" s="314"/>
      <c r="O970" s="314"/>
      <c r="P970" s="314"/>
      <c r="Q970" s="314"/>
      <c r="R970" s="314"/>
      <c r="S970" s="314"/>
      <c r="T970" s="314"/>
      <c r="U970" s="314"/>
      <c r="V970" s="314"/>
      <c r="W970" s="313"/>
      <c r="X970" s="313"/>
      <c r="Y970" s="314"/>
      <c r="Z970" s="335"/>
      <c r="AA970" s="313"/>
      <c r="AB970" s="324"/>
      <c r="AC970" s="155"/>
      <c r="AD970" s="155"/>
      <c r="AE970" s="322"/>
      <c r="AF970" s="132"/>
      <c r="AG970" s="132"/>
    </row>
    <row r="971">
      <c r="A971" s="311"/>
      <c r="B971" s="313"/>
      <c r="C971" s="313"/>
      <c r="D971" s="313"/>
      <c r="E971" s="314"/>
      <c r="F971" s="314"/>
      <c r="G971" s="314"/>
      <c r="H971" s="314"/>
      <c r="I971" s="314"/>
      <c r="J971" s="314"/>
      <c r="K971" s="314"/>
      <c r="L971" s="314"/>
      <c r="M971" s="314"/>
      <c r="N971" s="314"/>
      <c r="O971" s="314"/>
      <c r="P971" s="314"/>
      <c r="Q971" s="314"/>
      <c r="R971" s="314"/>
      <c r="S971" s="314"/>
      <c r="T971" s="314"/>
      <c r="U971" s="314"/>
      <c r="V971" s="314"/>
      <c r="W971" s="313"/>
      <c r="X971" s="313"/>
      <c r="Y971" s="314"/>
      <c r="Z971" s="335"/>
      <c r="AA971" s="313"/>
      <c r="AB971" s="324"/>
      <c r="AC971" s="155"/>
      <c r="AD971" s="155"/>
      <c r="AE971" s="322"/>
      <c r="AF971" s="132"/>
      <c r="AG971" s="132"/>
    </row>
    <row r="972">
      <c r="A972" s="311"/>
      <c r="B972" s="313"/>
      <c r="C972" s="313"/>
      <c r="D972" s="313"/>
      <c r="E972" s="314"/>
      <c r="F972" s="314"/>
      <c r="G972" s="314"/>
      <c r="H972" s="314"/>
      <c r="I972" s="314"/>
      <c r="J972" s="314"/>
      <c r="K972" s="314"/>
      <c r="L972" s="314"/>
      <c r="M972" s="314"/>
      <c r="N972" s="314"/>
      <c r="O972" s="314"/>
      <c r="P972" s="314"/>
      <c r="Q972" s="314"/>
      <c r="R972" s="314"/>
      <c r="S972" s="314"/>
      <c r="T972" s="314"/>
      <c r="U972" s="314"/>
      <c r="V972" s="314"/>
      <c r="W972" s="313"/>
      <c r="X972" s="313"/>
      <c r="Y972" s="314"/>
      <c r="Z972" s="335"/>
      <c r="AA972" s="313"/>
      <c r="AB972" s="324"/>
      <c r="AC972" s="155"/>
      <c r="AD972" s="155"/>
      <c r="AE972" s="322"/>
      <c r="AF972" s="132"/>
      <c r="AG972" s="132"/>
    </row>
    <row r="973">
      <c r="A973" s="311"/>
      <c r="B973" s="313"/>
      <c r="C973" s="313"/>
      <c r="D973" s="313"/>
      <c r="E973" s="314"/>
      <c r="F973" s="314"/>
      <c r="G973" s="314"/>
      <c r="H973" s="314"/>
      <c r="I973" s="314"/>
      <c r="J973" s="314"/>
      <c r="K973" s="314"/>
      <c r="L973" s="314"/>
      <c r="M973" s="314"/>
      <c r="N973" s="314"/>
      <c r="O973" s="314"/>
      <c r="P973" s="314"/>
      <c r="Q973" s="314"/>
      <c r="R973" s="314"/>
      <c r="S973" s="314"/>
      <c r="T973" s="314"/>
      <c r="U973" s="314"/>
      <c r="V973" s="314"/>
      <c r="W973" s="313"/>
      <c r="X973" s="313"/>
      <c r="Y973" s="314"/>
      <c r="Z973" s="335"/>
      <c r="AA973" s="313"/>
      <c r="AB973" s="324"/>
      <c r="AC973" s="155"/>
      <c r="AD973" s="155"/>
      <c r="AE973" s="322"/>
      <c r="AF973" s="132"/>
      <c r="AG973" s="132"/>
    </row>
    <row r="974">
      <c r="A974" s="311"/>
      <c r="B974" s="313"/>
      <c r="C974" s="313"/>
      <c r="D974" s="313"/>
      <c r="E974" s="314"/>
      <c r="F974" s="314"/>
      <c r="G974" s="314"/>
      <c r="H974" s="314"/>
      <c r="I974" s="314"/>
      <c r="J974" s="314"/>
      <c r="K974" s="314"/>
      <c r="L974" s="314"/>
      <c r="M974" s="314"/>
      <c r="N974" s="314"/>
      <c r="O974" s="314"/>
      <c r="P974" s="314"/>
      <c r="Q974" s="314"/>
      <c r="R974" s="314"/>
      <c r="S974" s="314"/>
      <c r="T974" s="314"/>
      <c r="U974" s="314"/>
      <c r="V974" s="314"/>
      <c r="W974" s="313"/>
      <c r="X974" s="313"/>
      <c r="Y974" s="314"/>
      <c r="Z974" s="335"/>
      <c r="AA974" s="313"/>
      <c r="AB974" s="324"/>
      <c r="AC974" s="155"/>
      <c r="AD974" s="155"/>
      <c r="AE974" s="322"/>
      <c r="AF974" s="132"/>
      <c r="AG974" s="132"/>
    </row>
    <row r="975">
      <c r="A975" s="311"/>
      <c r="B975" s="313"/>
      <c r="C975" s="313"/>
      <c r="D975" s="313"/>
      <c r="E975" s="314"/>
      <c r="F975" s="314"/>
      <c r="G975" s="314"/>
      <c r="H975" s="314"/>
      <c r="I975" s="314"/>
      <c r="J975" s="314"/>
      <c r="K975" s="314"/>
      <c r="L975" s="314"/>
      <c r="M975" s="314"/>
      <c r="N975" s="314"/>
      <c r="O975" s="314"/>
      <c r="P975" s="314"/>
      <c r="Q975" s="314"/>
      <c r="R975" s="314"/>
      <c r="S975" s="314"/>
      <c r="T975" s="314"/>
      <c r="U975" s="314"/>
      <c r="V975" s="314"/>
      <c r="W975" s="313"/>
      <c r="X975" s="313"/>
      <c r="Y975" s="314"/>
      <c r="Z975" s="335"/>
      <c r="AA975" s="313"/>
      <c r="AB975" s="324"/>
      <c r="AC975" s="155"/>
      <c r="AD975" s="155"/>
      <c r="AE975" s="322"/>
      <c r="AF975" s="132"/>
      <c r="AG975" s="132"/>
    </row>
    <row r="976">
      <c r="A976" s="311"/>
      <c r="B976" s="313"/>
      <c r="C976" s="313"/>
      <c r="D976" s="313"/>
      <c r="E976" s="314"/>
      <c r="F976" s="314"/>
      <c r="G976" s="314"/>
      <c r="H976" s="314"/>
      <c r="I976" s="314"/>
      <c r="J976" s="314"/>
      <c r="K976" s="314"/>
      <c r="L976" s="314"/>
      <c r="M976" s="314"/>
      <c r="N976" s="314"/>
      <c r="O976" s="314"/>
      <c r="P976" s="314"/>
      <c r="Q976" s="314"/>
      <c r="R976" s="314"/>
      <c r="S976" s="314"/>
      <c r="T976" s="314"/>
      <c r="U976" s="314"/>
      <c r="V976" s="314"/>
      <c r="W976" s="313"/>
      <c r="X976" s="313"/>
      <c r="Y976" s="314"/>
      <c r="Z976" s="335"/>
      <c r="AA976" s="313"/>
      <c r="AB976" s="324"/>
      <c r="AC976" s="155"/>
      <c r="AD976" s="155"/>
      <c r="AE976" s="322"/>
      <c r="AF976" s="132"/>
      <c r="AG976" s="132"/>
    </row>
    <row r="977">
      <c r="A977" s="311"/>
      <c r="B977" s="313"/>
      <c r="C977" s="313"/>
      <c r="D977" s="313"/>
      <c r="E977" s="314"/>
      <c r="F977" s="314"/>
      <c r="G977" s="314"/>
      <c r="H977" s="314"/>
      <c r="I977" s="314"/>
      <c r="J977" s="314"/>
      <c r="K977" s="314"/>
      <c r="L977" s="314"/>
      <c r="M977" s="314"/>
      <c r="N977" s="314"/>
      <c r="O977" s="314"/>
      <c r="P977" s="314"/>
      <c r="Q977" s="314"/>
      <c r="R977" s="314"/>
      <c r="S977" s="314"/>
      <c r="T977" s="314"/>
      <c r="U977" s="314"/>
      <c r="V977" s="314"/>
      <c r="W977" s="313"/>
      <c r="X977" s="313"/>
      <c r="Y977" s="314"/>
      <c r="Z977" s="335"/>
      <c r="AA977" s="313"/>
      <c r="AB977" s="324"/>
      <c r="AC977" s="155"/>
      <c r="AD977" s="155"/>
      <c r="AE977" s="322"/>
      <c r="AF977" s="132"/>
      <c r="AG977" s="132"/>
    </row>
    <row r="978">
      <c r="A978" s="311"/>
      <c r="B978" s="313"/>
      <c r="C978" s="313"/>
      <c r="D978" s="313"/>
      <c r="E978" s="314"/>
      <c r="F978" s="314"/>
      <c r="G978" s="314"/>
      <c r="H978" s="314"/>
      <c r="I978" s="314"/>
      <c r="J978" s="314"/>
      <c r="K978" s="314"/>
      <c r="L978" s="314"/>
      <c r="M978" s="314"/>
      <c r="N978" s="314"/>
      <c r="O978" s="314"/>
      <c r="P978" s="314"/>
      <c r="Q978" s="314"/>
      <c r="R978" s="314"/>
      <c r="S978" s="314"/>
      <c r="T978" s="314"/>
      <c r="U978" s="314"/>
      <c r="V978" s="314"/>
      <c r="W978" s="313"/>
      <c r="X978" s="313"/>
      <c r="Y978" s="314"/>
      <c r="Z978" s="335"/>
      <c r="AA978" s="313"/>
      <c r="AB978" s="324"/>
      <c r="AC978" s="155"/>
      <c r="AD978" s="155"/>
      <c r="AE978" s="322"/>
      <c r="AF978" s="132"/>
      <c r="AG978" s="132"/>
    </row>
    <row r="979">
      <c r="A979" s="311"/>
      <c r="B979" s="313"/>
      <c r="C979" s="313"/>
      <c r="D979" s="313"/>
      <c r="E979" s="314"/>
      <c r="F979" s="314"/>
      <c r="G979" s="314"/>
      <c r="H979" s="314"/>
      <c r="I979" s="314"/>
      <c r="J979" s="314"/>
      <c r="K979" s="314"/>
      <c r="L979" s="314"/>
      <c r="M979" s="314"/>
      <c r="N979" s="314"/>
      <c r="O979" s="314"/>
      <c r="P979" s="314"/>
      <c r="Q979" s="314"/>
      <c r="R979" s="314"/>
      <c r="S979" s="314"/>
      <c r="T979" s="314"/>
      <c r="U979" s="314"/>
      <c r="V979" s="314"/>
      <c r="W979" s="313"/>
      <c r="X979" s="313"/>
      <c r="Y979" s="314"/>
      <c r="Z979" s="335"/>
      <c r="AA979" s="313"/>
      <c r="AB979" s="324"/>
      <c r="AC979" s="155"/>
      <c r="AD979" s="155"/>
      <c r="AE979" s="322"/>
      <c r="AF979" s="132"/>
      <c r="AG979" s="132"/>
    </row>
    <row r="980">
      <c r="A980" s="311"/>
      <c r="B980" s="313"/>
      <c r="C980" s="313"/>
      <c r="D980" s="313"/>
      <c r="E980" s="314"/>
      <c r="F980" s="314"/>
      <c r="G980" s="314"/>
      <c r="H980" s="314"/>
      <c r="I980" s="314"/>
      <c r="J980" s="314"/>
      <c r="K980" s="314"/>
      <c r="L980" s="314"/>
      <c r="M980" s="314"/>
      <c r="N980" s="314"/>
      <c r="O980" s="314"/>
      <c r="P980" s="314"/>
      <c r="Q980" s="314"/>
      <c r="R980" s="314"/>
      <c r="S980" s="314"/>
      <c r="T980" s="314"/>
      <c r="U980" s="314"/>
      <c r="V980" s="314"/>
      <c r="W980" s="313"/>
      <c r="X980" s="313"/>
      <c r="Y980" s="314"/>
      <c r="Z980" s="335"/>
      <c r="AA980" s="313"/>
      <c r="AB980" s="324"/>
      <c r="AC980" s="155"/>
      <c r="AD980" s="155"/>
      <c r="AE980" s="322"/>
      <c r="AF980" s="132"/>
      <c r="AG980" s="132"/>
    </row>
    <row r="981">
      <c r="A981" s="311"/>
      <c r="B981" s="313"/>
      <c r="C981" s="313"/>
      <c r="D981" s="313"/>
      <c r="E981" s="314"/>
      <c r="F981" s="314"/>
      <c r="G981" s="314"/>
      <c r="H981" s="314"/>
      <c r="I981" s="314"/>
      <c r="J981" s="314"/>
      <c r="K981" s="314"/>
      <c r="L981" s="314"/>
      <c r="M981" s="314"/>
      <c r="N981" s="314"/>
      <c r="O981" s="314"/>
      <c r="P981" s="314"/>
      <c r="Q981" s="314"/>
      <c r="R981" s="314"/>
      <c r="S981" s="314"/>
      <c r="T981" s="314"/>
      <c r="U981" s="314"/>
      <c r="V981" s="314"/>
      <c r="W981" s="313"/>
      <c r="X981" s="313"/>
      <c r="Y981" s="314"/>
      <c r="Z981" s="335"/>
      <c r="AA981" s="313"/>
      <c r="AB981" s="324"/>
      <c r="AC981" s="155"/>
      <c r="AD981" s="155"/>
      <c r="AE981" s="322"/>
      <c r="AF981" s="132"/>
      <c r="AG981" s="132"/>
    </row>
    <row r="982">
      <c r="A982" s="311"/>
      <c r="B982" s="313"/>
      <c r="C982" s="313"/>
      <c r="D982" s="313"/>
      <c r="E982" s="314"/>
      <c r="F982" s="314"/>
      <c r="G982" s="314"/>
      <c r="H982" s="314"/>
      <c r="I982" s="314"/>
      <c r="J982" s="314"/>
      <c r="K982" s="314"/>
      <c r="L982" s="314"/>
      <c r="M982" s="314"/>
      <c r="N982" s="314"/>
      <c r="O982" s="314"/>
      <c r="P982" s="314"/>
      <c r="Q982" s="314"/>
      <c r="R982" s="314"/>
      <c r="S982" s="314"/>
      <c r="T982" s="314"/>
      <c r="U982" s="314"/>
      <c r="V982" s="314"/>
      <c r="W982" s="313"/>
      <c r="X982" s="313"/>
      <c r="Y982" s="314"/>
      <c r="Z982" s="335"/>
      <c r="AA982" s="313"/>
      <c r="AB982" s="324"/>
      <c r="AC982" s="155"/>
      <c r="AD982" s="155"/>
      <c r="AE982" s="322"/>
      <c r="AF982" s="132"/>
      <c r="AG982" s="132"/>
    </row>
    <row r="983">
      <c r="A983" s="311"/>
      <c r="B983" s="313"/>
      <c r="C983" s="313"/>
      <c r="D983" s="313"/>
      <c r="E983" s="314"/>
      <c r="F983" s="314"/>
      <c r="G983" s="314"/>
      <c r="H983" s="314"/>
      <c r="I983" s="314"/>
      <c r="J983" s="314"/>
      <c r="K983" s="314"/>
      <c r="L983" s="314"/>
      <c r="M983" s="314"/>
      <c r="N983" s="314"/>
      <c r="O983" s="314"/>
      <c r="P983" s="314"/>
      <c r="Q983" s="314"/>
      <c r="R983" s="314"/>
      <c r="S983" s="314"/>
      <c r="T983" s="314"/>
      <c r="U983" s="314"/>
      <c r="V983" s="314"/>
      <c r="W983" s="313"/>
      <c r="X983" s="313"/>
      <c r="Y983" s="314"/>
      <c r="Z983" s="335"/>
      <c r="AA983" s="313"/>
      <c r="AB983" s="324"/>
      <c r="AC983" s="155"/>
      <c r="AD983" s="155"/>
      <c r="AE983" s="322"/>
      <c r="AF983" s="132"/>
      <c r="AG983" s="132"/>
    </row>
    <row r="984">
      <c r="A984" s="311"/>
      <c r="B984" s="313"/>
      <c r="C984" s="313"/>
      <c r="D984" s="313"/>
      <c r="E984" s="314"/>
      <c r="F984" s="314"/>
      <c r="G984" s="314"/>
      <c r="H984" s="314"/>
      <c r="I984" s="314"/>
      <c r="J984" s="314"/>
      <c r="K984" s="314"/>
      <c r="L984" s="314"/>
      <c r="M984" s="314"/>
      <c r="N984" s="314"/>
      <c r="O984" s="314"/>
      <c r="P984" s="314"/>
      <c r="Q984" s="314"/>
      <c r="R984" s="314"/>
      <c r="S984" s="314"/>
      <c r="T984" s="314"/>
      <c r="U984" s="314"/>
      <c r="V984" s="314"/>
      <c r="W984" s="313"/>
      <c r="X984" s="313"/>
      <c r="Y984" s="314"/>
      <c r="Z984" s="335"/>
      <c r="AA984" s="313"/>
      <c r="AB984" s="324"/>
      <c r="AC984" s="155"/>
      <c r="AD984" s="155"/>
      <c r="AE984" s="322"/>
      <c r="AF984" s="132"/>
      <c r="AG984" s="132"/>
    </row>
    <row r="985">
      <c r="A985" s="311"/>
      <c r="B985" s="313"/>
      <c r="C985" s="313"/>
      <c r="D985" s="313"/>
      <c r="E985" s="314"/>
      <c r="F985" s="314"/>
      <c r="G985" s="314"/>
      <c r="H985" s="314"/>
      <c r="I985" s="314"/>
      <c r="J985" s="314"/>
      <c r="K985" s="314"/>
      <c r="L985" s="314"/>
      <c r="M985" s="314"/>
      <c r="N985" s="314"/>
      <c r="O985" s="314"/>
      <c r="P985" s="314"/>
      <c r="Q985" s="314"/>
      <c r="R985" s="314"/>
      <c r="S985" s="314"/>
      <c r="T985" s="314"/>
      <c r="U985" s="314"/>
      <c r="V985" s="314"/>
      <c r="W985" s="313"/>
      <c r="X985" s="313"/>
      <c r="Y985" s="314"/>
      <c r="Z985" s="335"/>
      <c r="AA985" s="313"/>
      <c r="AB985" s="324"/>
      <c r="AC985" s="155"/>
      <c r="AD985" s="155"/>
      <c r="AE985" s="322"/>
      <c r="AF985" s="132"/>
      <c r="AG985" s="132"/>
    </row>
    <row r="986">
      <c r="A986" s="311"/>
      <c r="B986" s="313"/>
      <c r="C986" s="313"/>
      <c r="D986" s="313"/>
      <c r="E986" s="314"/>
      <c r="F986" s="314"/>
      <c r="G986" s="314"/>
      <c r="H986" s="314"/>
      <c r="I986" s="314"/>
      <c r="J986" s="314"/>
      <c r="K986" s="314"/>
      <c r="L986" s="314"/>
      <c r="M986" s="314"/>
      <c r="N986" s="314"/>
      <c r="O986" s="314"/>
      <c r="P986" s="314"/>
      <c r="Q986" s="314"/>
      <c r="R986" s="314"/>
      <c r="S986" s="314"/>
      <c r="T986" s="314"/>
      <c r="U986" s="314"/>
      <c r="V986" s="314"/>
      <c r="W986" s="313"/>
      <c r="X986" s="313"/>
      <c r="Y986" s="314"/>
      <c r="Z986" s="335"/>
      <c r="AA986" s="313"/>
      <c r="AB986" s="324"/>
      <c r="AC986" s="155"/>
      <c r="AD986" s="155"/>
      <c r="AE986" s="322"/>
      <c r="AF986" s="132"/>
      <c r="AG986" s="132"/>
    </row>
    <row r="987">
      <c r="A987" s="311"/>
      <c r="B987" s="313"/>
      <c r="C987" s="313"/>
      <c r="D987" s="313"/>
      <c r="E987" s="314"/>
      <c r="F987" s="314"/>
      <c r="G987" s="314"/>
      <c r="H987" s="314"/>
      <c r="I987" s="314"/>
      <c r="J987" s="314"/>
      <c r="K987" s="314"/>
      <c r="L987" s="314"/>
      <c r="M987" s="314"/>
      <c r="N987" s="314"/>
      <c r="O987" s="314"/>
      <c r="P987" s="314"/>
      <c r="Q987" s="314"/>
      <c r="R987" s="314"/>
      <c r="S987" s="314"/>
      <c r="T987" s="314"/>
      <c r="U987" s="314"/>
      <c r="V987" s="314"/>
      <c r="W987" s="313"/>
      <c r="X987" s="313"/>
      <c r="Y987" s="314"/>
      <c r="Z987" s="335"/>
      <c r="AA987" s="313"/>
      <c r="AB987" s="324"/>
      <c r="AC987" s="155"/>
      <c r="AD987" s="155"/>
      <c r="AE987" s="322"/>
      <c r="AF987" s="132"/>
      <c r="AG987" s="132"/>
    </row>
    <row r="988">
      <c r="A988" s="311"/>
      <c r="B988" s="313"/>
      <c r="C988" s="313"/>
      <c r="D988" s="313"/>
      <c r="E988" s="314"/>
      <c r="F988" s="314"/>
      <c r="G988" s="314"/>
      <c r="H988" s="314"/>
      <c r="I988" s="314"/>
      <c r="J988" s="314"/>
      <c r="K988" s="314"/>
      <c r="L988" s="314"/>
      <c r="M988" s="314"/>
      <c r="N988" s="314"/>
      <c r="O988" s="314"/>
      <c r="P988" s="314"/>
      <c r="Q988" s="314"/>
      <c r="R988" s="314"/>
      <c r="S988" s="314"/>
      <c r="T988" s="314"/>
      <c r="U988" s="314"/>
      <c r="V988" s="314"/>
      <c r="W988" s="313"/>
      <c r="X988" s="313"/>
      <c r="Y988" s="314"/>
      <c r="Z988" s="335"/>
      <c r="AA988" s="313"/>
      <c r="AB988" s="324"/>
      <c r="AC988" s="155"/>
      <c r="AD988" s="155"/>
      <c r="AE988" s="322"/>
      <c r="AF988" s="132"/>
      <c r="AG988" s="132"/>
    </row>
    <row r="989">
      <c r="A989" s="311"/>
      <c r="B989" s="313"/>
      <c r="C989" s="313"/>
      <c r="D989" s="313"/>
      <c r="E989" s="314"/>
      <c r="F989" s="314"/>
      <c r="G989" s="314"/>
      <c r="H989" s="314"/>
      <c r="I989" s="314"/>
      <c r="J989" s="314"/>
      <c r="K989" s="314"/>
      <c r="L989" s="314"/>
      <c r="M989" s="314"/>
      <c r="N989" s="314"/>
      <c r="O989" s="314"/>
      <c r="P989" s="314"/>
      <c r="Q989" s="314"/>
      <c r="R989" s="314"/>
      <c r="S989" s="314"/>
      <c r="T989" s="314"/>
      <c r="U989" s="314"/>
      <c r="V989" s="314"/>
      <c r="W989" s="313"/>
      <c r="X989" s="313"/>
      <c r="Y989" s="314"/>
      <c r="Z989" s="335"/>
      <c r="AA989" s="313"/>
      <c r="AB989" s="324"/>
      <c r="AC989" s="155"/>
      <c r="AD989" s="155"/>
      <c r="AE989" s="322"/>
      <c r="AF989" s="132"/>
      <c r="AG989" s="132"/>
    </row>
    <row r="990">
      <c r="A990" s="311"/>
      <c r="B990" s="313"/>
      <c r="C990" s="313"/>
      <c r="D990" s="313"/>
      <c r="E990" s="314"/>
      <c r="F990" s="314"/>
      <c r="G990" s="314"/>
      <c r="H990" s="314"/>
      <c r="I990" s="314"/>
      <c r="J990" s="314"/>
      <c r="K990" s="314"/>
      <c r="L990" s="314"/>
      <c r="M990" s="314"/>
      <c r="N990" s="314"/>
      <c r="O990" s="314"/>
      <c r="P990" s="314"/>
      <c r="Q990" s="314"/>
      <c r="R990" s="314"/>
      <c r="S990" s="314"/>
      <c r="T990" s="314"/>
      <c r="U990" s="314"/>
      <c r="V990" s="314"/>
      <c r="W990" s="313"/>
      <c r="X990" s="313"/>
      <c r="Y990" s="314"/>
      <c r="Z990" s="335"/>
      <c r="AA990" s="313"/>
      <c r="AB990" s="324"/>
      <c r="AC990" s="155"/>
      <c r="AD990" s="155"/>
      <c r="AE990" s="322"/>
      <c r="AF990" s="132"/>
      <c r="AG990" s="132"/>
    </row>
    <row r="991">
      <c r="A991" s="311"/>
      <c r="B991" s="313"/>
      <c r="C991" s="313"/>
      <c r="D991" s="313"/>
      <c r="E991" s="314"/>
      <c r="F991" s="314"/>
      <c r="G991" s="314"/>
      <c r="H991" s="314"/>
      <c r="I991" s="314"/>
      <c r="J991" s="314"/>
      <c r="K991" s="314"/>
      <c r="L991" s="314"/>
      <c r="M991" s="314"/>
      <c r="N991" s="314"/>
      <c r="O991" s="314"/>
      <c r="P991" s="314"/>
      <c r="Q991" s="314"/>
      <c r="R991" s="314"/>
      <c r="S991" s="314"/>
      <c r="T991" s="314"/>
      <c r="U991" s="314"/>
      <c r="V991" s="314"/>
      <c r="W991" s="313"/>
      <c r="X991" s="313"/>
      <c r="Y991" s="314"/>
      <c r="Z991" s="335"/>
      <c r="AA991" s="313"/>
      <c r="AB991" s="324"/>
      <c r="AC991" s="155"/>
      <c r="AD991" s="155"/>
      <c r="AE991" s="322"/>
      <c r="AF991" s="132"/>
      <c r="AG991" s="132"/>
    </row>
    <row r="992">
      <c r="A992" s="311"/>
      <c r="B992" s="313"/>
      <c r="C992" s="313"/>
      <c r="D992" s="313"/>
      <c r="E992" s="314"/>
      <c r="F992" s="314"/>
      <c r="G992" s="314"/>
      <c r="H992" s="314"/>
      <c r="I992" s="314"/>
      <c r="J992" s="314"/>
      <c r="K992" s="314"/>
      <c r="L992" s="314"/>
      <c r="M992" s="314"/>
      <c r="N992" s="314"/>
      <c r="O992" s="314"/>
      <c r="P992" s="314"/>
      <c r="Q992" s="314"/>
      <c r="R992" s="314"/>
      <c r="S992" s="314"/>
      <c r="T992" s="314"/>
      <c r="U992" s="314"/>
      <c r="V992" s="314"/>
      <c r="W992" s="313"/>
      <c r="X992" s="313"/>
      <c r="Y992" s="314"/>
      <c r="Z992" s="335"/>
      <c r="AA992" s="313"/>
      <c r="AB992" s="324"/>
      <c r="AC992" s="155"/>
      <c r="AD992" s="155"/>
      <c r="AE992" s="322"/>
      <c r="AF992" s="132"/>
      <c r="AG992" s="132"/>
    </row>
    <row r="993">
      <c r="A993" s="311"/>
      <c r="B993" s="313"/>
      <c r="C993" s="313"/>
      <c r="D993" s="313"/>
      <c r="E993" s="314"/>
      <c r="F993" s="314"/>
      <c r="G993" s="314"/>
      <c r="H993" s="314"/>
      <c r="I993" s="314"/>
      <c r="J993" s="314"/>
      <c r="K993" s="314"/>
      <c r="L993" s="314"/>
      <c r="M993" s="314"/>
      <c r="N993" s="314"/>
      <c r="O993" s="314"/>
      <c r="P993" s="314"/>
      <c r="Q993" s="314"/>
      <c r="R993" s="314"/>
      <c r="S993" s="314"/>
      <c r="T993" s="314"/>
      <c r="U993" s="314"/>
      <c r="V993" s="314"/>
      <c r="W993" s="313"/>
      <c r="X993" s="313"/>
      <c r="Y993" s="314"/>
      <c r="Z993" s="335"/>
      <c r="AA993" s="313"/>
      <c r="AB993" s="324"/>
      <c r="AC993" s="155"/>
      <c r="AD993" s="155"/>
      <c r="AE993" s="322"/>
      <c r="AF993" s="132"/>
      <c r="AG993" s="132"/>
    </row>
    <row r="994">
      <c r="A994" s="311"/>
      <c r="B994" s="313"/>
      <c r="C994" s="313"/>
      <c r="D994" s="313"/>
      <c r="E994" s="314"/>
      <c r="F994" s="314"/>
      <c r="G994" s="314"/>
      <c r="H994" s="314"/>
      <c r="I994" s="314"/>
      <c r="J994" s="314"/>
      <c r="K994" s="314"/>
      <c r="L994" s="314"/>
      <c r="M994" s="314"/>
      <c r="N994" s="314"/>
      <c r="O994" s="314"/>
      <c r="P994" s="314"/>
      <c r="Q994" s="314"/>
      <c r="R994" s="314"/>
      <c r="S994" s="314"/>
      <c r="T994" s="314"/>
      <c r="U994" s="314"/>
      <c r="V994" s="314"/>
      <c r="W994" s="313"/>
      <c r="X994" s="313"/>
      <c r="Y994" s="314"/>
      <c r="Z994" s="335"/>
      <c r="AA994" s="313"/>
      <c r="AB994" s="324"/>
      <c r="AC994" s="155"/>
      <c r="AD994" s="155"/>
      <c r="AE994" s="322"/>
      <c r="AF994" s="132"/>
      <c r="AG994" s="132"/>
    </row>
    <row r="995">
      <c r="A995" s="311"/>
      <c r="B995" s="313"/>
      <c r="C995" s="313"/>
      <c r="D995" s="313"/>
      <c r="E995" s="314"/>
      <c r="F995" s="314"/>
      <c r="G995" s="314"/>
      <c r="H995" s="314"/>
      <c r="I995" s="314"/>
      <c r="J995" s="314"/>
      <c r="K995" s="314"/>
      <c r="L995" s="314"/>
      <c r="M995" s="314"/>
      <c r="N995" s="314"/>
      <c r="O995" s="314"/>
      <c r="P995" s="314"/>
      <c r="Q995" s="314"/>
      <c r="R995" s="314"/>
      <c r="S995" s="314"/>
      <c r="T995" s="314"/>
      <c r="U995" s="314"/>
      <c r="V995" s="314"/>
      <c r="W995" s="313"/>
      <c r="X995" s="313"/>
      <c r="Y995" s="314"/>
      <c r="Z995" s="335"/>
      <c r="AA995" s="313"/>
      <c r="AB995" s="324"/>
      <c r="AC995" s="155"/>
      <c r="AD995" s="155"/>
      <c r="AE995" s="322"/>
      <c r="AF995" s="132"/>
      <c r="AG995" s="132"/>
    </row>
    <row r="996">
      <c r="A996" s="311"/>
      <c r="B996" s="313"/>
      <c r="C996" s="313"/>
      <c r="D996" s="313"/>
      <c r="E996" s="314"/>
      <c r="F996" s="314"/>
      <c r="G996" s="314"/>
      <c r="H996" s="314"/>
      <c r="I996" s="314"/>
      <c r="J996" s="314"/>
      <c r="K996" s="314"/>
      <c r="L996" s="314"/>
      <c r="M996" s="314"/>
      <c r="N996" s="314"/>
      <c r="O996" s="314"/>
      <c r="P996" s="314"/>
      <c r="Q996" s="314"/>
      <c r="R996" s="314"/>
      <c r="S996" s="314"/>
      <c r="T996" s="314"/>
      <c r="U996" s="314"/>
      <c r="V996" s="314"/>
      <c r="W996" s="313"/>
      <c r="X996" s="313"/>
      <c r="Y996" s="314"/>
      <c r="Z996" s="335"/>
      <c r="AA996" s="313"/>
      <c r="AB996" s="324"/>
      <c r="AC996" s="155"/>
      <c r="AD996" s="155"/>
      <c r="AE996" s="322"/>
      <c r="AF996" s="132"/>
      <c r="AG996" s="132"/>
    </row>
    <row r="997">
      <c r="A997" s="311"/>
      <c r="B997" s="313"/>
      <c r="C997" s="313"/>
      <c r="D997" s="313"/>
      <c r="E997" s="314"/>
      <c r="F997" s="314"/>
      <c r="G997" s="314"/>
      <c r="H997" s="314"/>
      <c r="I997" s="314"/>
      <c r="J997" s="314"/>
      <c r="K997" s="314"/>
      <c r="L997" s="314"/>
      <c r="M997" s="314"/>
      <c r="N997" s="314"/>
      <c r="O997" s="314"/>
      <c r="P997" s="314"/>
      <c r="Q997" s="314"/>
      <c r="R997" s="314"/>
      <c r="S997" s="314"/>
      <c r="T997" s="314"/>
      <c r="U997" s="314"/>
      <c r="V997" s="314"/>
      <c r="W997" s="313"/>
      <c r="X997" s="313"/>
      <c r="Y997" s="314"/>
      <c r="Z997" s="335"/>
      <c r="AA997" s="313"/>
      <c r="AB997" s="324"/>
      <c r="AC997" s="155"/>
      <c r="AD997" s="155"/>
      <c r="AE997" s="322"/>
      <c r="AF997" s="132"/>
      <c r="AG997" s="132"/>
    </row>
    <row r="998">
      <c r="A998" s="311"/>
      <c r="B998" s="313"/>
      <c r="C998" s="313"/>
      <c r="D998" s="313"/>
      <c r="E998" s="314"/>
      <c r="F998" s="314"/>
      <c r="G998" s="314"/>
      <c r="H998" s="314"/>
      <c r="I998" s="314"/>
      <c r="J998" s="314"/>
      <c r="K998" s="314"/>
      <c r="L998" s="314"/>
      <c r="M998" s="314"/>
      <c r="N998" s="314"/>
      <c r="O998" s="314"/>
      <c r="P998" s="314"/>
      <c r="Q998" s="314"/>
      <c r="R998" s="314"/>
      <c r="S998" s="314"/>
      <c r="T998" s="314"/>
      <c r="U998" s="314"/>
      <c r="V998" s="314"/>
      <c r="W998" s="313"/>
      <c r="X998" s="313"/>
      <c r="Y998" s="314"/>
      <c r="Z998" s="335"/>
      <c r="AA998" s="313"/>
      <c r="AB998" s="324"/>
      <c r="AC998" s="155"/>
      <c r="AD998" s="155"/>
      <c r="AE998" s="322"/>
      <c r="AF998" s="132"/>
      <c r="AG998" s="132"/>
    </row>
    <row r="999">
      <c r="A999" s="311"/>
      <c r="B999" s="313"/>
      <c r="C999" s="313"/>
      <c r="D999" s="313"/>
      <c r="E999" s="314"/>
      <c r="F999" s="314"/>
      <c r="G999" s="314"/>
      <c r="H999" s="314"/>
      <c r="I999" s="314"/>
      <c r="J999" s="314"/>
      <c r="K999" s="314"/>
      <c r="L999" s="314"/>
      <c r="M999" s="314"/>
      <c r="N999" s="314"/>
      <c r="O999" s="314"/>
      <c r="P999" s="314"/>
      <c r="Q999" s="314"/>
      <c r="R999" s="314"/>
      <c r="S999" s="314"/>
      <c r="T999" s="314"/>
      <c r="U999" s="314"/>
      <c r="V999" s="314"/>
      <c r="W999" s="313"/>
      <c r="X999" s="313"/>
      <c r="Y999" s="314"/>
      <c r="Z999" s="335"/>
      <c r="AA999" s="313"/>
      <c r="AB999" s="324"/>
      <c r="AC999" s="155"/>
      <c r="AD999" s="155"/>
      <c r="AE999" s="322"/>
      <c r="AF999" s="132"/>
      <c r="AG999" s="132"/>
    </row>
    <row r="1000">
      <c r="A1000" s="311"/>
      <c r="B1000" s="313"/>
      <c r="C1000" s="313"/>
      <c r="D1000" s="313"/>
      <c r="E1000" s="314"/>
      <c r="F1000" s="314"/>
      <c r="G1000" s="314"/>
      <c r="H1000" s="314"/>
      <c r="I1000" s="314"/>
      <c r="J1000" s="314"/>
      <c r="K1000" s="314"/>
      <c r="L1000" s="314"/>
      <c r="M1000" s="314"/>
      <c r="N1000" s="314"/>
      <c r="O1000" s="314"/>
      <c r="P1000" s="314"/>
      <c r="Q1000" s="314"/>
      <c r="R1000" s="314"/>
      <c r="S1000" s="314"/>
      <c r="T1000" s="314"/>
      <c r="U1000" s="314"/>
      <c r="V1000" s="314"/>
      <c r="W1000" s="313"/>
      <c r="X1000" s="313"/>
      <c r="Y1000" s="314"/>
      <c r="Z1000" s="335"/>
      <c r="AA1000" s="313"/>
      <c r="AB1000" s="324"/>
      <c r="AC1000" s="155"/>
      <c r="AD1000" s="155"/>
      <c r="AE1000" s="322"/>
      <c r="AF1000" s="132"/>
      <c r="AG1000" s="132"/>
    </row>
    <row r="1001">
      <c r="A1001" s="311"/>
      <c r="B1001" s="313"/>
      <c r="C1001" s="313"/>
      <c r="D1001" s="313"/>
      <c r="E1001" s="314"/>
      <c r="F1001" s="314"/>
      <c r="G1001" s="314"/>
      <c r="H1001" s="314"/>
      <c r="I1001" s="314"/>
      <c r="J1001" s="314"/>
      <c r="K1001" s="314"/>
      <c r="L1001" s="314"/>
      <c r="M1001" s="314"/>
      <c r="N1001" s="314"/>
      <c r="O1001" s="314"/>
      <c r="P1001" s="314"/>
      <c r="Q1001" s="314"/>
      <c r="R1001" s="314"/>
      <c r="S1001" s="314"/>
      <c r="T1001" s="314"/>
      <c r="U1001" s="314"/>
      <c r="V1001" s="314"/>
      <c r="W1001" s="313"/>
      <c r="X1001" s="313"/>
      <c r="Y1001" s="314"/>
      <c r="Z1001" s="335"/>
      <c r="AA1001" s="313"/>
      <c r="AB1001" s="324"/>
      <c r="AC1001" s="155"/>
      <c r="AD1001" s="155"/>
      <c r="AE1001" s="322"/>
      <c r="AF1001" s="132"/>
      <c r="AG1001" s="132"/>
    </row>
    <row r="1002">
      <c r="A1002" s="311"/>
      <c r="B1002" s="313"/>
      <c r="C1002" s="313"/>
      <c r="D1002" s="313"/>
      <c r="E1002" s="314"/>
      <c r="F1002" s="314"/>
      <c r="G1002" s="314"/>
      <c r="H1002" s="314"/>
      <c r="I1002" s="314"/>
      <c r="J1002" s="314"/>
      <c r="K1002" s="314"/>
      <c r="L1002" s="314"/>
      <c r="M1002" s="314"/>
      <c r="N1002" s="314"/>
      <c r="O1002" s="314"/>
      <c r="P1002" s="314"/>
      <c r="Q1002" s="314"/>
      <c r="R1002" s="314"/>
      <c r="S1002" s="314"/>
      <c r="T1002" s="314"/>
      <c r="U1002" s="314"/>
      <c r="V1002" s="314"/>
      <c r="W1002" s="313"/>
      <c r="X1002" s="313"/>
      <c r="Y1002" s="314"/>
      <c r="Z1002" s="335"/>
      <c r="AA1002" s="313"/>
      <c r="AB1002" s="324"/>
      <c r="AC1002" s="155"/>
      <c r="AD1002" s="155"/>
      <c r="AE1002" s="322"/>
      <c r="AF1002" s="132"/>
      <c r="AG1002" s="132"/>
    </row>
    <row r="1003">
      <c r="A1003" s="311"/>
      <c r="B1003" s="313"/>
      <c r="C1003" s="313"/>
      <c r="D1003" s="313"/>
      <c r="E1003" s="314"/>
      <c r="F1003" s="314"/>
      <c r="G1003" s="314"/>
      <c r="H1003" s="314"/>
      <c r="I1003" s="314"/>
      <c r="J1003" s="314"/>
      <c r="K1003" s="314"/>
      <c r="L1003" s="314"/>
      <c r="M1003" s="314"/>
      <c r="N1003" s="314"/>
      <c r="O1003" s="314"/>
      <c r="P1003" s="314"/>
      <c r="Q1003" s="314"/>
      <c r="R1003" s="314"/>
      <c r="S1003" s="314"/>
      <c r="T1003" s="314"/>
      <c r="U1003" s="314"/>
      <c r="V1003" s="314"/>
      <c r="W1003" s="313"/>
      <c r="X1003" s="313"/>
      <c r="Y1003" s="314"/>
      <c r="Z1003" s="335"/>
      <c r="AA1003" s="313"/>
      <c r="AB1003" s="324"/>
      <c r="AC1003" s="155"/>
      <c r="AD1003" s="155"/>
      <c r="AE1003" s="322"/>
      <c r="AF1003" s="132"/>
      <c r="AG1003" s="132"/>
    </row>
    <row r="1004">
      <c r="A1004" s="311"/>
      <c r="B1004" s="313"/>
      <c r="C1004" s="313"/>
      <c r="D1004" s="313"/>
      <c r="E1004" s="314"/>
      <c r="F1004" s="314"/>
      <c r="G1004" s="314"/>
      <c r="H1004" s="314"/>
      <c r="I1004" s="314"/>
      <c r="J1004" s="314"/>
      <c r="K1004" s="314"/>
      <c r="L1004" s="314"/>
      <c r="M1004" s="314"/>
      <c r="N1004" s="314"/>
      <c r="O1004" s="314"/>
      <c r="P1004" s="314"/>
      <c r="Q1004" s="314"/>
      <c r="R1004" s="314"/>
      <c r="S1004" s="314"/>
      <c r="T1004" s="314"/>
      <c r="U1004" s="314"/>
      <c r="V1004" s="314"/>
      <c r="W1004" s="313"/>
      <c r="X1004" s="313"/>
      <c r="Y1004" s="314"/>
      <c r="Z1004" s="335"/>
      <c r="AA1004" s="313"/>
      <c r="AB1004" s="324"/>
      <c r="AC1004" s="155"/>
      <c r="AD1004" s="155"/>
      <c r="AE1004" s="322"/>
      <c r="AF1004" s="132"/>
      <c r="AG1004" s="132"/>
    </row>
    <row r="1005">
      <c r="A1005" s="311"/>
      <c r="B1005" s="313"/>
      <c r="C1005" s="313"/>
      <c r="D1005" s="313"/>
      <c r="E1005" s="314"/>
      <c r="F1005" s="314"/>
      <c r="G1005" s="314"/>
      <c r="H1005" s="314"/>
      <c r="I1005" s="314"/>
      <c r="J1005" s="314"/>
      <c r="K1005" s="314"/>
      <c r="L1005" s="314"/>
      <c r="M1005" s="314"/>
      <c r="N1005" s="314"/>
      <c r="O1005" s="314"/>
      <c r="P1005" s="314"/>
      <c r="Q1005" s="314"/>
      <c r="R1005" s="314"/>
      <c r="S1005" s="314"/>
      <c r="T1005" s="314"/>
      <c r="U1005" s="314"/>
      <c r="V1005" s="314"/>
      <c r="W1005" s="313"/>
      <c r="X1005" s="313"/>
      <c r="Y1005" s="314"/>
      <c r="Z1005" s="335"/>
      <c r="AA1005" s="313"/>
      <c r="AB1005" s="324"/>
      <c r="AC1005" s="155"/>
      <c r="AD1005" s="155"/>
      <c r="AE1005" s="322"/>
      <c r="AF1005" s="132"/>
      <c r="AG1005" s="132"/>
    </row>
    <row r="1006">
      <c r="A1006" s="311"/>
      <c r="B1006" s="313"/>
      <c r="C1006" s="313"/>
      <c r="D1006" s="313"/>
      <c r="E1006" s="314"/>
      <c r="F1006" s="314"/>
      <c r="G1006" s="314"/>
      <c r="H1006" s="314"/>
      <c r="I1006" s="314"/>
      <c r="J1006" s="314"/>
      <c r="K1006" s="314"/>
      <c r="L1006" s="314"/>
      <c r="M1006" s="314"/>
      <c r="N1006" s="314"/>
      <c r="O1006" s="314"/>
      <c r="P1006" s="314"/>
      <c r="Q1006" s="314"/>
      <c r="R1006" s="314"/>
      <c r="S1006" s="314"/>
      <c r="T1006" s="314"/>
      <c r="U1006" s="314"/>
      <c r="V1006" s="314"/>
      <c r="W1006" s="313"/>
      <c r="X1006" s="313"/>
      <c r="Y1006" s="314"/>
      <c r="Z1006" s="335"/>
      <c r="AA1006" s="313"/>
      <c r="AB1006" s="324"/>
      <c r="AC1006" s="155"/>
      <c r="AD1006" s="155"/>
      <c r="AE1006" s="322"/>
      <c r="AF1006" s="132"/>
      <c r="AG1006" s="132"/>
    </row>
    <row r="1007">
      <c r="A1007" s="311"/>
      <c r="B1007" s="313"/>
      <c r="C1007" s="313"/>
      <c r="D1007" s="313"/>
      <c r="E1007" s="314"/>
      <c r="F1007" s="314"/>
      <c r="G1007" s="314"/>
      <c r="H1007" s="314"/>
      <c r="I1007" s="314"/>
      <c r="J1007" s="314"/>
      <c r="K1007" s="314"/>
      <c r="L1007" s="314"/>
      <c r="M1007" s="314"/>
      <c r="N1007" s="314"/>
      <c r="O1007" s="314"/>
      <c r="P1007" s="314"/>
      <c r="Q1007" s="314"/>
      <c r="R1007" s="314"/>
      <c r="S1007" s="314"/>
      <c r="T1007" s="314"/>
      <c r="U1007" s="314"/>
      <c r="V1007" s="314"/>
      <c r="W1007" s="313"/>
      <c r="X1007" s="313"/>
      <c r="Y1007" s="314"/>
      <c r="Z1007" s="335"/>
      <c r="AA1007" s="313"/>
      <c r="AB1007" s="324"/>
      <c r="AC1007" s="155"/>
      <c r="AD1007" s="155"/>
      <c r="AE1007" s="322"/>
      <c r="AF1007" s="132"/>
      <c r="AG1007" s="132"/>
    </row>
    <row r="1008">
      <c r="A1008" s="311"/>
      <c r="B1008" s="313"/>
      <c r="C1008" s="313"/>
      <c r="D1008" s="313"/>
      <c r="E1008" s="314"/>
      <c r="F1008" s="314"/>
      <c r="G1008" s="314"/>
      <c r="H1008" s="314"/>
      <c r="I1008" s="314"/>
      <c r="J1008" s="314"/>
      <c r="K1008" s="314"/>
      <c r="L1008" s="314"/>
      <c r="M1008" s="314"/>
      <c r="N1008" s="314"/>
      <c r="O1008" s="314"/>
      <c r="P1008" s="314"/>
      <c r="Q1008" s="314"/>
      <c r="R1008" s="314"/>
      <c r="S1008" s="314"/>
      <c r="T1008" s="314"/>
      <c r="U1008" s="314"/>
      <c r="V1008" s="314"/>
      <c r="W1008" s="313"/>
      <c r="X1008" s="313"/>
      <c r="Y1008" s="314"/>
      <c r="Z1008" s="335"/>
      <c r="AA1008" s="313"/>
      <c r="AB1008" s="324"/>
      <c r="AC1008" s="155"/>
      <c r="AD1008" s="155"/>
      <c r="AE1008" s="322"/>
      <c r="AF1008" s="132"/>
      <c r="AG1008" s="132"/>
    </row>
    <row r="1009">
      <c r="A1009" s="311"/>
      <c r="B1009" s="313"/>
      <c r="C1009" s="313"/>
      <c r="D1009" s="313"/>
      <c r="E1009" s="314"/>
      <c r="F1009" s="314"/>
      <c r="G1009" s="314"/>
      <c r="H1009" s="314"/>
      <c r="I1009" s="314"/>
      <c r="J1009" s="314"/>
      <c r="K1009" s="314"/>
      <c r="L1009" s="314"/>
      <c r="M1009" s="314"/>
      <c r="N1009" s="314"/>
      <c r="O1009" s="314"/>
      <c r="P1009" s="314"/>
      <c r="Q1009" s="314"/>
      <c r="R1009" s="314"/>
      <c r="S1009" s="314"/>
      <c r="T1009" s="314"/>
      <c r="U1009" s="314"/>
      <c r="V1009" s="314"/>
      <c r="W1009" s="313"/>
      <c r="X1009" s="313"/>
      <c r="Y1009" s="314"/>
      <c r="Z1009" s="335"/>
      <c r="AA1009" s="313"/>
      <c r="AB1009" s="324"/>
      <c r="AC1009" s="155"/>
      <c r="AD1009" s="155"/>
      <c r="AE1009" s="322"/>
      <c r="AF1009" s="132"/>
      <c r="AG1009" s="132"/>
    </row>
    <row r="1010">
      <c r="A1010" s="311"/>
      <c r="B1010" s="313"/>
      <c r="C1010" s="313"/>
      <c r="D1010" s="313"/>
      <c r="E1010" s="314"/>
      <c r="F1010" s="314"/>
      <c r="G1010" s="314"/>
      <c r="H1010" s="314"/>
      <c r="I1010" s="314"/>
      <c r="J1010" s="314"/>
      <c r="K1010" s="314"/>
      <c r="L1010" s="314"/>
      <c r="M1010" s="314"/>
      <c r="N1010" s="314"/>
      <c r="O1010" s="314"/>
      <c r="P1010" s="314"/>
      <c r="Q1010" s="314"/>
      <c r="R1010" s="314"/>
      <c r="S1010" s="314"/>
      <c r="T1010" s="314"/>
      <c r="U1010" s="314"/>
      <c r="V1010" s="314"/>
      <c r="W1010" s="313"/>
      <c r="X1010" s="313"/>
      <c r="Y1010" s="314"/>
      <c r="Z1010" s="335"/>
      <c r="AA1010" s="313"/>
      <c r="AB1010" s="324"/>
      <c r="AC1010" s="155"/>
      <c r="AD1010" s="155"/>
      <c r="AE1010" s="322"/>
      <c r="AF1010" s="132"/>
      <c r="AG1010" s="132"/>
    </row>
    <row r="1011">
      <c r="A1011" s="311"/>
      <c r="B1011" s="313"/>
      <c r="C1011" s="313"/>
      <c r="D1011" s="313"/>
      <c r="E1011" s="314"/>
      <c r="F1011" s="314"/>
      <c r="G1011" s="314"/>
      <c r="H1011" s="314"/>
      <c r="I1011" s="314"/>
      <c r="J1011" s="314"/>
      <c r="K1011" s="314"/>
      <c r="L1011" s="314"/>
      <c r="M1011" s="314"/>
      <c r="N1011" s="314"/>
      <c r="O1011" s="314"/>
      <c r="P1011" s="314"/>
      <c r="Q1011" s="314"/>
      <c r="R1011" s="314"/>
      <c r="S1011" s="314"/>
      <c r="T1011" s="314"/>
      <c r="U1011" s="314"/>
      <c r="V1011" s="314"/>
      <c r="W1011" s="313"/>
      <c r="X1011" s="313"/>
      <c r="Y1011" s="314"/>
      <c r="Z1011" s="335"/>
      <c r="AA1011" s="313"/>
      <c r="AB1011" s="324"/>
      <c r="AC1011" s="155"/>
      <c r="AD1011" s="155"/>
      <c r="AE1011" s="322"/>
      <c r="AF1011" s="132"/>
      <c r="AG1011" s="132"/>
    </row>
    <row r="1012">
      <c r="A1012" s="311"/>
      <c r="B1012" s="313"/>
      <c r="C1012" s="313"/>
      <c r="D1012" s="313"/>
      <c r="E1012" s="314"/>
      <c r="F1012" s="314"/>
      <c r="G1012" s="314"/>
      <c r="H1012" s="314"/>
      <c r="I1012" s="314"/>
      <c r="J1012" s="314"/>
      <c r="K1012" s="314"/>
      <c r="L1012" s="314"/>
      <c r="M1012" s="314"/>
      <c r="N1012" s="314"/>
      <c r="O1012" s="314"/>
      <c r="P1012" s="314"/>
      <c r="Q1012" s="314"/>
      <c r="R1012" s="314"/>
      <c r="S1012" s="314"/>
      <c r="T1012" s="314"/>
      <c r="U1012" s="314"/>
      <c r="V1012" s="314"/>
      <c r="W1012" s="313"/>
      <c r="X1012" s="313"/>
      <c r="Y1012" s="314"/>
      <c r="Z1012" s="335"/>
      <c r="AA1012" s="313"/>
      <c r="AB1012" s="324"/>
      <c r="AC1012" s="155"/>
      <c r="AD1012" s="155"/>
      <c r="AE1012" s="322"/>
      <c r="AF1012" s="132"/>
      <c r="AG1012" s="132"/>
    </row>
    <row r="1013">
      <c r="A1013" s="311"/>
      <c r="B1013" s="313"/>
      <c r="C1013" s="313"/>
      <c r="D1013" s="313"/>
      <c r="E1013" s="314"/>
      <c r="F1013" s="314"/>
      <c r="G1013" s="314"/>
      <c r="H1013" s="314"/>
      <c r="I1013" s="314"/>
      <c r="J1013" s="314"/>
      <c r="K1013" s="314"/>
      <c r="L1013" s="314"/>
      <c r="M1013" s="314"/>
      <c r="N1013" s="314"/>
      <c r="O1013" s="314"/>
      <c r="P1013" s="314"/>
      <c r="Q1013" s="314"/>
      <c r="R1013" s="314"/>
      <c r="S1013" s="314"/>
      <c r="T1013" s="314"/>
      <c r="U1013" s="314"/>
      <c r="V1013" s="314"/>
      <c r="W1013" s="313"/>
      <c r="X1013" s="313"/>
      <c r="Y1013" s="314"/>
      <c r="Z1013" s="335"/>
      <c r="AA1013" s="313"/>
      <c r="AB1013" s="324"/>
      <c r="AC1013" s="155"/>
      <c r="AD1013" s="155"/>
      <c r="AE1013" s="322"/>
      <c r="AF1013" s="132"/>
      <c r="AG1013" s="132"/>
    </row>
    <row r="1014">
      <c r="A1014" s="311"/>
      <c r="B1014" s="313"/>
      <c r="C1014" s="313"/>
      <c r="D1014" s="313"/>
      <c r="E1014" s="314"/>
      <c r="F1014" s="314"/>
      <c r="G1014" s="314"/>
      <c r="H1014" s="314"/>
      <c r="I1014" s="314"/>
      <c r="J1014" s="314"/>
      <c r="K1014" s="314"/>
      <c r="L1014" s="314"/>
      <c r="M1014" s="314"/>
      <c r="N1014" s="314"/>
      <c r="O1014" s="314"/>
      <c r="P1014" s="314"/>
      <c r="Q1014" s="314"/>
      <c r="R1014" s="314"/>
      <c r="S1014" s="314"/>
      <c r="T1014" s="314"/>
      <c r="U1014" s="314"/>
      <c r="V1014" s="314"/>
      <c r="W1014" s="313"/>
      <c r="X1014" s="313"/>
      <c r="Y1014" s="314"/>
      <c r="Z1014" s="335"/>
      <c r="AA1014" s="313"/>
      <c r="AB1014" s="324"/>
      <c r="AC1014" s="155"/>
      <c r="AD1014" s="155"/>
      <c r="AE1014" s="322"/>
      <c r="AF1014" s="132"/>
      <c r="AG1014" s="132"/>
    </row>
    <row r="1015">
      <c r="A1015" s="311"/>
      <c r="B1015" s="313"/>
      <c r="C1015" s="313"/>
      <c r="D1015" s="313"/>
      <c r="E1015" s="314"/>
      <c r="F1015" s="314"/>
      <c r="G1015" s="314"/>
      <c r="H1015" s="314"/>
      <c r="I1015" s="314"/>
      <c r="J1015" s="314"/>
      <c r="K1015" s="314"/>
      <c r="L1015" s="314"/>
      <c r="M1015" s="314"/>
      <c r="N1015" s="314"/>
      <c r="O1015" s="314"/>
      <c r="P1015" s="314"/>
      <c r="Q1015" s="314"/>
      <c r="R1015" s="314"/>
      <c r="S1015" s="314"/>
      <c r="T1015" s="314"/>
      <c r="U1015" s="314"/>
      <c r="V1015" s="314"/>
      <c r="W1015" s="313"/>
      <c r="X1015" s="313"/>
      <c r="Y1015" s="314"/>
      <c r="Z1015" s="335"/>
      <c r="AA1015" s="313"/>
      <c r="AB1015" s="324"/>
      <c r="AC1015" s="155"/>
      <c r="AD1015" s="155"/>
      <c r="AE1015" s="322"/>
      <c r="AF1015" s="132"/>
      <c r="AG1015" s="132"/>
    </row>
    <row r="1016">
      <c r="A1016" s="311"/>
      <c r="B1016" s="313"/>
      <c r="C1016" s="313"/>
      <c r="D1016" s="313"/>
      <c r="E1016" s="314"/>
      <c r="F1016" s="314"/>
      <c r="G1016" s="314"/>
      <c r="H1016" s="314"/>
      <c r="I1016" s="314"/>
      <c r="J1016" s="314"/>
      <c r="K1016" s="314"/>
      <c r="L1016" s="314"/>
      <c r="M1016" s="314"/>
      <c r="N1016" s="314"/>
      <c r="O1016" s="314"/>
      <c r="P1016" s="314"/>
      <c r="Q1016" s="314"/>
      <c r="R1016" s="314"/>
      <c r="S1016" s="314"/>
      <c r="T1016" s="314"/>
      <c r="U1016" s="314"/>
      <c r="V1016" s="314"/>
      <c r="W1016" s="313"/>
      <c r="X1016" s="313"/>
      <c r="Y1016" s="314"/>
      <c r="Z1016" s="335"/>
      <c r="AA1016" s="313"/>
      <c r="AB1016" s="324"/>
      <c r="AC1016" s="155"/>
      <c r="AD1016" s="155"/>
      <c r="AE1016" s="322"/>
      <c r="AF1016" s="132"/>
      <c r="AG1016" s="132"/>
    </row>
    <row r="1017">
      <c r="A1017" s="311"/>
      <c r="B1017" s="313"/>
      <c r="C1017" s="313"/>
      <c r="D1017" s="313"/>
      <c r="E1017" s="314"/>
      <c r="F1017" s="314"/>
      <c r="G1017" s="314"/>
      <c r="H1017" s="314"/>
      <c r="I1017" s="314"/>
      <c r="J1017" s="314"/>
      <c r="K1017" s="314"/>
      <c r="L1017" s="314"/>
      <c r="M1017" s="314"/>
      <c r="N1017" s="314"/>
      <c r="O1017" s="314"/>
      <c r="P1017" s="314"/>
      <c r="Q1017" s="314"/>
      <c r="R1017" s="314"/>
      <c r="S1017" s="314"/>
      <c r="T1017" s="314"/>
      <c r="U1017" s="314"/>
      <c r="V1017" s="314"/>
      <c r="W1017" s="313"/>
      <c r="X1017" s="313"/>
      <c r="Y1017" s="314"/>
      <c r="Z1017" s="335"/>
      <c r="AA1017" s="313"/>
      <c r="AB1017" s="324"/>
      <c r="AC1017" s="155"/>
      <c r="AD1017" s="155"/>
      <c r="AE1017" s="322"/>
      <c r="AF1017" s="132"/>
      <c r="AG1017" s="132"/>
    </row>
    <row r="1018">
      <c r="A1018" s="311"/>
      <c r="B1018" s="313"/>
      <c r="C1018" s="313"/>
      <c r="D1018" s="313"/>
      <c r="E1018" s="314"/>
      <c r="F1018" s="314"/>
      <c r="G1018" s="314"/>
      <c r="H1018" s="314"/>
      <c r="I1018" s="314"/>
      <c r="J1018" s="314"/>
      <c r="K1018" s="314"/>
      <c r="L1018" s="314"/>
      <c r="M1018" s="314"/>
      <c r="N1018" s="314"/>
      <c r="O1018" s="314"/>
      <c r="P1018" s="314"/>
      <c r="Q1018" s="314"/>
      <c r="R1018" s="314"/>
      <c r="S1018" s="314"/>
      <c r="T1018" s="314"/>
      <c r="U1018" s="314"/>
      <c r="V1018" s="314"/>
      <c r="W1018" s="313"/>
      <c r="X1018" s="313"/>
      <c r="Y1018" s="314"/>
      <c r="Z1018" s="335"/>
      <c r="AA1018" s="313"/>
      <c r="AB1018" s="324"/>
      <c r="AC1018" s="155"/>
      <c r="AD1018" s="155"/>
      <c r="AE1018" s="322"/>
      <c r="AF1018" s="132"/>
      <c r="AG1018" s="132"/>
    </row>
    <row r="1019">
      <c r="A1019" s="311"/>
      <c r="B1019" s="313"/>
      <c r="C1019" s="313"/>
      <c r="D1019" s="313"/>
      <c r="E1019" s="314"/>
      <c r="F1019" s="314"/>
      <c r="G1019" s="314"/>
      <c r="H1019" s="314"/>
      <c r="I1019" s="314"/>
      <c r="J1019" s="314"/>
      <c r="K1019" s="314"/>
      <c r="L1019" s="314"/>
      <c r="M1019" s="314"/>
      <c r="N1019" s="314"/>
      <c r="O1019" s="314"/>
      <c r="P1019" s="314"/>
      <c r="Q1019" s="314"/>
      <c r="R1019" s="314"/>
      <c r="S1019" s="314"/>
      <c r="T1019" s="314"/>
      <c r="U1019" s="314"/>
      <c r="V1019" s="314"/>
      <c r="W1019" s="313"/>
      <c r="X1019" s="313"/>
      <c r="Y1019" s="314"/>
      <c r="Z1019" s="335"/>
      <c r="AA1019" s="313"/>
      <c r="AB1019" s="324"/>
      <c r="AC1019" s="155"/>
      <c r="AD1019" s="155"/>
      <c r="AE1019" s="322"/>
      <c r="AF1019" s="132"/>
      <c r="AG1019" s="132"/>
    </row>
    <row r="1020">
      <c r="A1020" s="311"/>
      <c r="B1020" s="313"/>
      <c r="C1020" s="313"/>
      <c r="D1020" s="313"/>
      <c r="E1020" s="314"/>
      <c r="F1020" s="314"/>
      <c r="G1020" s="314"/>
      <c r="H1020" s="314"/>
      <c r="I1020" s="314"/>
      <c r="J1020" s="314"/>
      <c r="K1020" s="314"/>
      <c r="L1020" s="314"/>
      <c r="M1020" s="314"/>
      <c r="N1020" s="314"/>
      <c r="O1020" s="314"/>
      <c r="P1020" s="314"/>
      <c r="Q1020" s="314"/>
      <c r="R1020" s="314"/>
      <c r="S1020" s="314"/>
      <c r="T1020" s="314"/>
      <c r="U1020" s="314"/>
      <c r="V1020" s="314"/>
      <c r="W1020" s="313"/>
      <c r="X1020" s="313"/>
      <c r="Y1020" s="314"/>
      <c r="Z1020" s="335"/>
      <c r="AA1020" s="313"/>
      <c r="AB1020" s="324"/>
      <c r="AC1020" s="155"/>
      <c r="AD1020" s="155"/>
      <c r="AE1020" s="322"/>
      <c r="AF1020" s="132"/>
      <c r="AG1020" s="132"/>
    </row>
    <row r="1021">
      <c r="A1021" s="311"/>
      <c r="B1021" s="313"/>
      <c r="C1021" s="313"/>
      <c r="D1021" s="313"/>
      <c r="E1021" s="314"/>
      <c r="F1021" s="314"/>
      <c r="G1021" s="314"/>
      <c r="H1021" s="314"/>
      <c r="I1021" s="314"/>
      <c r="J1021" s="314"/>
      <c r="K1021" s="314"/>
      <c r="L1021" s="314"/>
      <c r="M1021" s="314"/>
      <c r="N1021" s="314"/>
      <c r="O1021" s="314"/>
      <c r="P1021" s="314"/>
      <c r="Q1021" s="314"/>
      <c r="R1021" s="314"/>
      <c r="S1021" s="314"/>
      <c r="T1021" s="314"/>
      <c r="U1021" s="314"/>
      <c r="V1021" s="314"/>
      <c r="W1021" s="313"/>
      <c r="X1021" s="313"/>
      <c r="Y1021" s="314"/>
      <c r="Z1021" s="335"/>
      <c r="AA1021" s="313"/>
      <c r="AB1021" s="324"/>
      <c r="AC1021" s="155"/>
      <c r="AD1021" s="155"/>
      <c r="AE1021" s="322"/>
      <c r="AF1021" s="132"/>
      <c r="AG1021" s="132"/>
    </row>
    <row r="1022">
      <c r="A1022" s="311"/>
      <c r="B1022" s="313"/>
      <c r="C1022" s="313"/>
      <c r="D1022" s="313"/>
      <c r="E1022" s="314"/>
      <c r="F1022" s="314"/>
      <c r="G1022" s="314"/>
      <c r="H1022" s="314"/>
      <c r="I1022" s="314"/>
      <c r="J1022" s="314"/>
      <c r="K1022" s="314"/>
      <c r="L1022" s="314"/>
      <c r="M1022" s="314"/>
      <c r="N1022" s="314"/>
      <c r="O1022" s="314"/>
      <c r="P1022" s="314"/>
      <c r="Q1022" s="314"/>
      <c r="R1022" s="314"/>
      <c r="S1022" s="314"/>
      <c r="T1022" s="314"/>
      <c r="U1022" s="314"/>
      <c r="V1022" s="314"/>
      <c r="W1022" s="313"/>
      <c r="X1022" s="313"/>
      <c r="Y1022" s="314"/>
      <c r="Z1022" s="335"/>
      <c r="AA1022" s="313"/>
      <c r="AB1022" s="324"/>
      <c r="AC1022" s="155"/>
      <c r="AD1022" s="155"/>
      <c r="AE1022" s="322"/>
      <c r="AF1022" s="132"/>
      <c r="AG1022" s="132"/>
    </row>
  </sheetData>
  <mergeCells count="39">
    <mergeCell ref="AF1:AG1"/>
    <mergeCell ref="A2:AD2"/>
    <mergeCell ref="AF3:AF5"/>
    <mergeCell ref="AG3:AG5"/>
    <mergeCell ref="AF9:AG9"/>
    <mergeCell ref="AF10:AG10"/>
    <mergeCell ref="AF11:AG11"/>
    <mergeCell ref="A44:AC44"/>
    <mergeCell ref="A45:AD45"/>
    <mergeCell ref="A58:AC58"/>
    <mergeCell ref="A59:AD59"/>
    <mergeCell ref="A64:AC64"/>
    <mergeCell ref="A65:AD65"/>
    <mergeCell ref="A67:AC67"/>
    <mergeCell ref="A68:AD68"/>
    <mergeCell ref="A83:AC83"/>
    <mergeCell ref="A84:AD84"/>
    <mergeCell ref="A86:AC86"/>
    <mergeCell ref="A87:AD87"/>
    <mergeCell ref="A94:AC94"/>
    <mergeCell ref="A95:AD95"/>
    <mergeCell ref="A101:AC101"/>
    <mergeCell ref="A102:AD102"/>
    <mergeCell ref="A106:AC106"/>
    <mergeCell ref="A107:AD107"/>
    <mergeCell ref="A117:AC117"/>
    <mergeCell ref="A118:AD118"/>
    <mergeCell ref="A125:AC125"/>
    <mergeCell ref="A157:AC157"/>
    <mergeCell ref="A158:AD158"/>
    <mergeCell ref="A163:AC163"/>
    <mergeCell ref="AB164:AC164"/>
    <mergeCell ref="A126:AD126"/>
    <mergeCell ref="A129:AC129"/>
    <mergeCell ref="A130:AD130"/>
    <mergeCell ref="A134:AC134"/>
    <mergeCell ref="A135:AD135"/>
    <mergeCell ref="A142:AC142"/>
    <mergeCell ref="A143:AD14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75"/>
    <col customWidth="1" min="2" max="2" width="3.63"/>
    <col customWidth="1" min="3" max="3" width="3.38"/>
    <col customWidth="1" min="4" max="19" width="3.63"/>
    <col customWidth="1" min="20" max="20" width="10.63"/>
    <col customWidth="1" min="21" max="21" width="9.88"/>
    <col customWidth="1" min="22" max="22" width="18.63"/>
    <col customWidth="1" min="23" max="23" width="3.88"/>
    <col customWidth="1" min="24" max="24" width="11.5"/>
    <col customWidth="1" min="25" max="25" width="23.5"/>
  </cols>
  <sheetData>
    <row r="1" ht="50.25" customHeight="1">
      <c r="A1" s="1">
        <v>45992.0</v>
      </c>
      <c r="B1" s="3">
        <v>45992.0</v>
      </c>
      <c r="C1" s="2">
        <v>45993.0</v>
      </c>
      <c r="D1" s="2">
        <v>45994.0</v>
      </c>
      <c r="E1" s="2">
        <v>45995.0</v>
      </c>
      <c r="F1" s="4">
        <v>45996.0</v>
      </c>
      <c r="G1" s="8">
        <v>45997.0</v>
      </c>
      <c r="H1" s="9">
        <v>45998.0</v>
      </c>
      <c r="I1" s="6">
        <v>45999.0</v>
      </c>
      <c r="J1" s="12">
        <v>46000.0</v>
      </c>
      <c r="K1" s="2">
        <v>46001.0</v>
      </c>
      <c r="L1" s="2">
        <v>46002.0</v>
      </c>
      <c r="M1" s="2">
        <v>46003.0</v>
      </c>
      <c r="N1" s="2">
        <v>46004.0</v>
      </c>
      <c r="O1" s="6">
        <v>46005.0</v>
      </c>
      <c r="P1" s="2">
        <v>46006.0</v>
      </c>
      <c r="Q1" s="2">
        <v>46007.0</v>
      </c>
      <c r="R1" s="2">
        <v>46008.0</v>
      </c>
      <c r="S1" s="2">
        <v>46009.0</v>
      </c>
      <c r="T1" s="14" t="s">
        <v>0</v>
      </c>
      <c r="U1" s="15" t="s">
        <v>1</v>
      </c>
      <c r="V1" s="15" t="s">
        <v>2</v>
      </c>
      <c r="W1" s="17"/>
      <c r="X1" s="20" t="s">
        <v>3</v>
      </c>
      <c r="Y1" s="22"/>
    </row>
    <row r="2">
      <c r="A2" s="24" t="s">
        <v>4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8"/>
      <c r="W2" s="17"/>
      <c r="X2" s="29"/>
      <c r="Y2" s="31" t="s">
        <v>5</v>
      </c>
    </row>
    <row r="3">
      <c r="A3" s="33" t="s">
        <v>6</v>
      </c>
      <c r="B3" s="34"/>
      <c r="C3" s="36">
        <v>8.0</v>
      </c>
      <c r="D3" s="38"/>
      <c r="E3" s="39">
        <v>85.0</v>
      </c>
      <c r="F3" s="40"/>
      <c r="G3" s="41"/>
      <c r="H3" s="43">
        <v>95.0</v>
      </c>
      <c r="I3" s="45"/>
      <c r="J3" s="47"/>
      <c r="K3" s="39">
        <v>5.0</v>
      </c>
      <c r="L3" s="39">
        <v>2.0</v>
      </c>
      <c r="M3" s="50"/>
      <c r="N3" s="50"/>
      <c r="O3" s="55"/>
      <c r="P3" s="39">
        <v>2.0</v>
      </c>
      <c r="Q3" s="39">
        <v>10.0</v>
      </c>
      <c r="R3" s="39">
        <v>23.0</v>
      </c>
      <c r="S3" s="39">
        <v>3.0</v>
      </c>
      <c r="T3" s="62">
        <f t="shared" ref="T3:T43" si="1">SUM(B3:S3)</f>
        <v>233</v>
      </c>
      <c r="U3" s="65">
        <v>50.0</v>
      </c>
      <c r="V3" s="68">
        <f t="shared" ref="V3:V43" si="2">T3*U3</f>
        <v>11650</v>
      </c>
      <c r="W3" s="17"/>
      <c r="X3" s="71"/>
      <c r="Y3" s="73" t="s">
        <v>9</v>
      </c>
    </row>
    <row r="4">
      <c r="A4" s="33" t="s">
        <v>10</v>
      </c>
      <c r="B4" s="34"/>
      <c r="C4" s="38"/>
      <c r="D4" s="36">
        <v>1.0</v>
      </c>
      <c r="E4" s="50"/>
      <c r="F4" s="40"/>
      <c r="G4" s="41"/>
      <c r="H4" s="77"/>
      <c r="I4" s="55"/>
      <c r="J4" s="47"/>
      <c r="K4" s="50"/>
      <c r="L4" s="50"/>
      <c r="M4" s="39">
        <v>8.0</v>
      </c>
      <c r="N4" s="39">
        <v>18.0</v>
      </c>
      <c r="O4" s="55"/>
      <c r="P4" s="50"/>
      <c r="Q4" s="50"/>
      <c r="R4" s="50"/>
      <c r="S4" s="50"/>
      <c r="T4" s="62">
        <f t="shared" si="1"/>
        <v>27</v>
      </c>
      <c r="U4" s="80">
        <v>18.0</v>
      </c>
      <c r="V4" s="68">
        <f t="shared" si="2"/>
        <v>486</v>
      </c>
      <c r="W4" s="17"/>
      <c r="X4" s="81"/>
      <c r="Y4" s="81"/>
    </row>
    <row r="5">
      <c r="A5" s="33" t="s">
        <v>13</v>
      </c>
      <c r="B5" s="83"/>
      <c r="C5" s="36">
        <v>5.0</v>
      </c>
      <c r="D5" s="36">
        <v>11.0</v>
      </c>
      <c r="E5" s="39">
        <v>4.0</v>
      </c>
      <c r="F5" s="40"/>
      <c r="G5" s="41"/>
      <c r="H5" s="77"/>
      <c r="I5" s="45"/>
      <c r="J5" s="86"/>
      <c r="K5" s="39">
        <v>4.0</v>
      </c>
      <c r="L5" s="39">
        <v>5.0</v>
      </c>
      <c r="M5" s="39">
        <v>3.0</v>
      </c>
      <c r="N5" s="39">
        <v>3.0</v>
      </c>
      <c r="O5" s="55"/>
      <c r="P5" s="39">
        <v>4.0</v>
      </c>
      <c r="Q5" s="50"/>
      <c r="R5" s="39">
        <v>5.0</v>
      </c>
      <c r="S5" s="39">
        <v>10.0</v>
      </c>
      <c r="T5" s="62">
        <f t="shared" si="1"/>
        <v>54</v>
      </c>
      <c r="U5" s="80">
        <v>200.0</v>
      </c>
      <c r="V5" s="68">
        <f t="shared" si="2"/>
        <v>10800</v>
      </c>
      <c r="W5" s="17"/>
      <c r="X5" s="91"/>
      <c r="Y5" s="91"/>
    </row>
    <row r="6" ht="18.75" customHeight="1">
      <c r="A6" s="33" t="s">
        <v>16</v>
      </c>
      <c r="B6" s="34"/>
      <c r="C6" s="38"/>
      <c r="D6" s="36"/>
      <c r="E6" s="50"/>
      <c r="F6" s="40"/>
      <c r="G6" s="41"/>
      <c r="H6" s="77"/>
      <c r="I6" s="45"/>
      <c r="J6" s="47"/>
      <c r="K6" s="39">
        <v>1.0</v>
      </c>
      <c r="L6" s="50"/>
      <c r="M6" s="50"/>
      <c r="N6" s="50"/>
      <c r="O6" s="55"/>
      <c r="P6" s="50"/>
      <c r="Q6" s="39">
        <v>8.0</v>
      </c>
      <c r="R6" s="39">
        <v>1.0</v>
      </c>
      <c r="S6" s="50"/>
      <c r="T6" s="62">
        <f t="shared" si="1"/>
        <v>10</v>
      </c>
      <c r="U6" s="80">
        <v>850.0</v>
      </c>
      <c r="V6" s="68">
        <f t="shared" si="2"/>
        <v>8500</v>
      </c>
      <c r="W6" s="17"/>
      <c r="X6" s="97"/>
      <c r="Y6" s="98" t="s">
        <v>18</v>
      </c>
    </row>
    <row r="7">
      <c r="A7" s="33" t="s">
        <v>19</v>
      </c>
      <c r="B7" s="83"/>
      <c r="C7" s="36">
        <v>20.0</v>
      </c>
      <c r="D7" s="36">
        <v>38.0</v>
      </c>
      <c r="E7" s="39">
        <v>29.0</v>
      </c>
      <c r="F7" s="40"/>
      <c r="G7" s="41"/>
      <c r="H7" s="43">
        <v>355.0</v>
      </c>
      <c r="I7" s="45"/>
      <c r="J7" s="86"/>
      <c r="K7" s="39">
        <v>18.0</v>
      </c>
      <c r="L7" s="39">
        <v>27.0</v>
      </c>
      <c r="M7" s="39">
        <v>24.0</v>
      </c>
      <c r="N7" s="39">
        <v>18.0</v>
      </c>
      <c r="O7" s="55"/>
      <c r="P7" s="39">
        <v>23.0</v>
      </c>
      <c r="Q7" s="39">
        <v>19.0</v>
      </c>
      <c r="R7" s="39">
        <v>31.0</v>
      </c>
      <c r="S7" s="39">
        <v>44.0</v>
      </c>
      <c r="T7" s="62">
        <f t="shared" si="1"/>
        <v>646</v>
      </c>
      <c r="U7" s="80">
        <v>180.0</v>
      </c>
      <c r="V7" s="68">
        <f t="shared" si="2"/>
        <v>116280</v>
      </c>
      <c r="W7" s="17"/>
      <c r="X7" s="100"/>
      <c r="Y7" s="101" t="s">
        <v>22</v>
      </c>
    </row>
    <row r="8">
      <c r="A8" s="33" t="s">
        <v>23</v>
      </c>
      <c r="B8" s="83"/>
      <c r="C8" s="38"/>
      <c r="D8" s="36"/>
      <c r="E8" s="50"/>
      <c r="F8" s="40"/>
      <c r="G8" s="41"/>
      <c r="H8" s="77"/>
      <c r="I8" s="55"/>
      <c r="J8" s="47"/>
      <c r="K8" s="39"/>
      <c r="L8" s="50"/>
      <c r="M8" s="50"/>
      <c r="N8" s="50"/>
      <c r="O8" s="55"/>
      <c r="P8" s="50"/>
      <c r="Q8" s="50"/>
      <c r="R8" s="50"/>
      <c r="S8" s="39">
        <v>6.0</v>
      </c>
      <c r="T8" s="62">
        <f t="shared" si="1"/>
        <v>6</v>
      </c>
      <c r="U8" s="80">
        <v>120.0</v>
      </c>
      <c r="V8" s="68">
        <f t="shared" si="2"/>
        <v>720</v>
      </c>
      <c r="W8" s="17"/>
      <c r="X8" s="103"/>
      <c r="Y8" s="104" t="s">
        <v>26</v>
      </c>
    </row>
    <row r="9">
      <c r="A9" s="33" t="s">
        <v>27</v>
      </c>
      <c r="B9" s="83"/>
      <c r="C9" s="36"/>
      <c r="D9" s="36"/>
      <c r="E9" s="39">
        <v>1.0</v>
      </c>
      <c r="F9" s="40"/>
      <c r="G9" s="41"/>
      <c r="H9" s="43">
        <v>36.0</v>
      </c>
      <c r="I9" s="55"/>
      <c r="J9" s="47"/>
      <c r="K9" s="39">
        <v>9.0</v>
      </c>
      <c r="L9" s="50"/>
      <c r="M9" s="50"/>
      <c r="N9" s="50"/>
      <c r="O9" s="55"/>
      <c r="P9" s="39"/>
      <c r="Q9" s="39">
        <v>100.0</v>
      </c>
      <c r="R9" s="39">
        <v>1.0</v>
      </c>
      <c r="S9" s="39">
        <v>8.0</v>
      </c>
      <c r="T9" s="62">
        <f t="shared" si="1"/>
        <v>155</v>
      </c>
      <c r="U9" s="80">
        <v>160.0</v>
      </c>
      <c r="V9" s="68">
        <f t="shared" si="2"/>
        <v>24800</v>
      </c>
      <c r="W9" s="17"/>
      <c r="X9" s="110"/>
      <c r="Y9" s="111" t="s">
        <v>31</v>
      </c>
    </row>
    <row r="10">
      <c r="A10" s="33" t="s">
        <v>32</v>
      </c>
      <c r="B10" s="83"/>
      <c r="C10" s="36">
        <v>4.0</v>
      </c>
      <c r="D10" s="36">
        <v>4.0</v>
      </c>
      <c r="E10" s="39">
        <v>2.0</v>
      </c>
      <c r="F10" s="40"/>
      <c r="G10" s="41"/>
      <c r="H10" s="43">
        <v>38.0</v>
      </c>
      <c r="I10" s="45"/>
      <c r="J10" s="86"/>
      <c r="K10" s="39">
        <v>6.0</v>
      </c>
      <c r="L10" s="39">
        <v>4.0</v>
      </c>
      <c r="M10" s="39">
        <v>6.0</v>
      </c>
      <c r="N10" s="39">
        <v>1.0</v>
      </c>
      <c r="O10" s="55"/>
      <c r="P10" s="39">
        <v>1.0</v>
      </c>
      <c r="Q10" s="39">
        <v>4.0</v>
      </c>
      <c r="R10" s="39">
        <v>8.0</v>
      </c>
      <c r="S10" s="39">
        <v>36.0</v>
      </c>
      <c r="T10" s="62">
        <f t="shared" si="1"/>
        <v>114</v>
      </c>
      <c r="U10" s="80">
        <v>350.0</v>
      </c>
      <c r="V10" s="68">
        <f t="shared" si="2"/>
        <v>39900</v>
      </c>
      <c r="W10" s="17"/>
      <c r="X10" s="113"/>
      <c r="Y10" s="113"/>
    </row>
    <row r="11">
      <c r="A11" s="33" t="s">
        <v>34</v>
      </c>
      <c r="B11" s="34"/>
      <c r="C11" s="38"/>
      <c r="D11" s="38"/>
      <c r="E11" s="39"/>
      <c r="F11" s="40"/>
      <c r="G11" s="41"/>
      <c r="H11" s="43">
        <v>43.0</v>
      </c>
      <c r="I11" s="55"/>
      <c r="J11" s="47"/>
      <c r="K11" s="50"/>
      <c r="L11" s="50"/>
      <c r="M11" s="50"/>
      <c r="N11" s="50"/>
      <c r="O11" s="55"/>
      <c r="P11" s="50"/>
      <c r="Q11" s="50"/>
      <c r="R11" s="50"/>
      <c r="S11" s="50"/>
      <c r="T11" s="62">
        <f t="shared" si="1"/>
        <v>43</v>
      </c>
      <c r="U11" s="80">
        <v>350.0</v>
      </c>
      <c r="V11" s="68">
        <f t="shared" si="2"/>
        <v>15050</v>
      </c>
      <c r="W11" s="17"/>
      <c r="X11" s="113"/>
      <c r="Y11" s="113"/>
    </row>
    <row r="12">
      <c r="A12" s="33" t="s">
        <v>36</v>
      </c>
      <c r="B12" s="34"/>
      <c r="C12" s="38"/>
      <c r="D12" s="36">
        <v>1.0</v>
      </c>
      <c r="E12" s="50"/>
      <c r="F12" s="40"/>
      <c r="G12" s="41"/>
      <c r="H12" s="43">
        <v>3.0</v>
      </c>
      <c r="I12" s="55"/>
      <c r="J12" s="86"/>
      <c r="K12" s="39">
        <v>2.0</v>
      </c>
      <c r="L12" s="50"/>
      <c r="M12" s="39">
        <v>1.0</v>
      </c>
      <c r="N12" s="50"/>
      <c r="O12" s="55"/>
      <c r="P12" s="50"/>
      <c r="Q12" s="50"/>
      <c r="R12" s="39">
        <v>1.0</v>
      </c>
      <c r="S12" s="39">
        <v>6.0</v>
      </c>
      <c r="T12" s="62">
        <f t="shared" si="1"/>
        <v>14</v>
      </c>
      <c r="U12" s="80">
        <v>1200.0</v>
      </c>
      <c r="V12" s="68">
        <f t="shared" si="2"/>
        <v>16800</v>
      </c>
      <c r="W12" s="17"/>
      <c r="X12" s="117" t="s">
        <v>35</v>
      </c>
      <c r="Y12" s="22"/>
    </row>
    <row r="13">
      <c r="A13" s="33" t="s">
        <v>39</v>
      </c>
      <c r="B13" s="34"/>
      <c r="C13" s="38"/>
      <c r="D13" s="38"/>
      <c r="E13" s="50"/>
      <c r="F13" s="40"/>
      <c r="G13" s="41"/>
      <c r="H13" s="77"/>
      <c r="I13" s="55"/>
      <c r="J13" s="47"/>
      <c r="K13" s="50"/>
      <c r="L13" s="50"/>
      <c r="M13" s="50"/>
      <c r="N13" s="50"/>
      <c r="O13" s="55"/>
      <c r="P13" s="50"/>
      <c r="Q13" s="39"/>
      <c r="R13" s="50"/>
      <c r="S13" s="39">
        <v>3.0</v>
      </c>
      <c r="T13" s="62">
        <f t="shared" si="1"/>
        <v>3</v>
      </c>
      <c r="U13" s="80">
        <v>490.0</v>
      </c>
      <c r="V13" s="68">
        <f t="shared" si="2"/>
        <v>1470</v>
      </c>
      <c r="W13" s="17"/>
      <c r="X13" s="120" t="s">
        <v>43</v>
      </c>
      <c r="Y13" s="22"/>
    </row>
    <row r="14">
      <c r="A14" s="33" t="s">
        <v>44</v>
      </c>
      <c r="B14" s="83"/>
      <c r="C14" s="38"/>
      <c r="D14" s="38"/>
      <c r="E14" s="50"/>
      <c r="F14" s="40"/>
      <c r="G14" s="41"/>
      <c r="H14" s="43">
        <v>77.0</v>
      </c>
      <c r="I14" s="55"/>
      <c r="J14" s="86"/>
      <c r="K14" s="39">
        <v>1.0</v>
      </c>
      <c r="L14" s="50"/>
      <c r="M14" s="50"/>
      <c r="N14" s="39">
        <v>2.0</v>
      </c>
      <c r="O14" s="55"/>
      <c r="P14" s="50"/>
      <c r="Q14" s="50"/>
      <c r="R14" s="39">
        <v>3.0</v>
      </c>
      <c r="S14" s="39">
        <v>2.0</v>
      </c>
      <c r="T14" s="62">
        <f t="shared" si="1"/>
        <v>85</v>
      </c>
      <c r="U14" s="80">
        <v>130.0</v>
      </c>
      <c r="V14" s="68">
        <f t="shared" si="2"/>
        <v>11050</v>
      </c>
      <c r="W14" s="17"/>
      <c r="X14" s="132"/>
      <c r="Y14" s="132"/>
    </row>
    <row r="15">
      <c r="A15" s="33" t="s">
        <v>47</v>
      </c>
      <c r="B15" s="34"/>
      <c r="C15" s="36"/>
      <c r="D15" s="36">
        <v>2.0</v>
      </c>
      <c r="E15" s="39">
        <v>1.0</v>
      </c>
      <c r="F15" s="40"/>
      <c r="G15" s="41"/>
      <c r="H15" s="43">
        <v>105.0</v>
      </c>
      <c r="I15" s="55"/>
      <c r="J15" s="47"/>
      <c r="K15" s="39">
        <v>2.0</v>
      </c>
      <c r="L15" s="50"/>
      <c r="M15" s="50"/>
      <c r="N15" s="50"/>
      <c r="O15" s="55"/>
      <c r="P15" s="50"/>
      <c r="Q15" s="50"/>
      <c r="R15" s="50"/>
      <c r="S15" s="39">
        <v>6.0</v>
      </c>
      <c r="T15" s="62">
        <f t="shared" si="1"/>
        <v>116</v>
      </c>
      <c r="U15" s="80">
        <v>60.0</v>
      </c>
      <c r="V15" s="68">
        <f t="shared" si="2"/>
        <v>6960</v>
      </c>
      <c r="W15" s="17"/>
      <c r="X15" s="132"/>
      <c r="Y15" s="132"/>
    </row>
    <row r="16">
      <c r="A16" s="33" t="s">
        <v>50</v>
      </c>
      <c r="B16" s="34"/>
      <c r="C16" s="38"/>
      <c r="D16" s="38"/>
      <c r="E16" s="50"/>
      <c r="F16" s="40"/>
      <c r="G16" s="41"/>
      <c r="H16" s="43">
        <v>49.0</v>
      </c>
      <c r="I16" s="55"/>
      <c r="J16" s="47"/>
      <c r="K16" s="50"/>
      <c r="L16" s="50"/>
      <c r="M16" s="50"/>
      <c r="N16" s="50"/>
      <c r="O16" s="55"/>
      <c r="P16" s="50"/>
      <c r="Q16" s="50"/>
      <c r="R16" s="39"/>
      <c r="S16" s="50"/>
      <c r="T16" s="62">
        <f t="shared" si="1"/>
        <v>49</v>
      </c>
      <c r="U16" s="80">
        <v>75.0</v>
      </c>
      <c r="V16" s="68">
        <f t="shared" si="2"/>
        <v>3675</v>
      </c>
      <c r="W16" s="17"/>
      <c r="X16" s="132"/>
      <c r="Y16" s="132"/>
    </row>
    <row r="17">
      <c r="A17" s="33" t="s">
        <v>53</v>
      </c>
      <c r="B17" s="83"/>
      <c r="C17" s="36">
        <v>7.0</v>
      </c>
      <c r="D17" s="36">
        <v>7.0</v>
      </c>
      <c r="E17" s="39">
        <v>1.0</v>
      </c>
      <c r="F17" s="40"/>
      <c r="G17" s="41"/>
      <c r="H17" s="43">
        <v>48.0</v>
      </c>
      <c r="I17" s="45"/>
      <c r="J17" s="86"/>
      <c r="K17" s="39">
        <v>15.0</v>
      </c>
      <c r="L17" s="39">
        <v>4.0</v>
      </c>
      <c r="M17" s="39">
        <v>7.0</v>
      </c>
      <c r="N17" s="39">
        <v>1.0</v>
      </c>
      <c r="O17" s="55"/>
      <c r="P17" s="39">
        <v>11.0</v>
      </c>
      <c r="Q17" s="39">
        <v>13.0</v>
      </c>
      <c r="R17" s="39">
        <v>4.0</v>
      </c>
      <c r="S17" s="39">
        <v>11.0</v>
      </c>
      <c r="T17" s="62">
        <f t="shared" si="1"/>
        <v>129</v>
      </c>
      <c r="U17" s="80">
        <v>350.0</v>
      </c>
      <c r="V17" s="68">
        <f t="shared" si="2"/>
        <v>45150</v>
      </c>
      <c r="W17" s="17"/>
      <c r="X17" s="132"/>
      <c r="Y17" s="132"/>
    </row>
    <row r="18">
      <c r="A18" s="33" t="s">
        <v>55</v>
      </c>
      <c r="B18" s="34"/>
      <c r="C18" s="38"/>
      <c r="D18" s="38"/>
      <c r="E18" s="50"/>
      <c r="F18" s="40"/>
      <c r="G18" s="41"/>
      <c r="H18" s="77"/>
      <c r="I18" s="55"/>
      <c r="J18" s="47"/>
      <c r="K18" s="50"/>
      <c r="L18" s="50"/>
      <c r="M18" s="39">
        <v>7.0</v>
      </c>
      <c r="N18" s="50"/>
      <c r="O18" s="55"/>
      <c r="P18" s="50"/>
      <c r="Q18" s="50"/>
      <c r="R18" s="50"/>
      <c r="S18" s="50"/>
      <c r="T18" s="62">
        <f t="shared" si="1"/>
        <v>7</v>
      </c>
      <c r="U18" s="80">
        <v>250.0</v>
      </c>
      <c r="V18" s="68">
        <f t="shared" si="2"/>
        <v>1750</v>
      </c>
      <c r="W18" s="17"/>
      <c r="X18" s="132"/>
      <c r="Y18" s="132"/>
    </row>
    <row r="19">
      <c r="A19" s="33" t="s">
        <v>57</v>
      </c>
      <c r="B19" s="34"/>
      <c r="C19" s="36">
        <v>1.0</v>
      </c>
      <c r="D19" s="36">
        <v>12.0</v>
      </c>
      <c r="E19" s="39">
        <v>1.0</v>
      </c>
      <c r="F19" s="40"/>
      <c r="G19" s="41"/>
      <c r="H19" s="43">
        <v>14.0</v>
      </c>
      <c r="I19" s="45"/>
      <c r="J19" s="86"/>
      <c r="K19" s="39">
        <v>6.0</v>
      </c>
      <c r="L19" s="50"/>
      <c r="M19" s="39">
        <v>1.0</v>
      </c>
      <c r="N19" s="39">
        <v>4.0</v>
      </c>
      <c r="O19" s="55"/>
      <c r="P19" s="39">
        <v>1.0</v>
      </c>
      <c r="Q19" s="39">
        <v>2.0</v>
      </c>
      <c r="R19" s="39">
        <v>20.0</v>
      </c>
      <c r="S19" s="39">
        <v>3.0</v>
      </c>
      <c r="T19" s="62">
        <f t="shared" si="1"/>
        <v>65</v>
      </c>
      <c r="U19" s="80">
        <v>750.0</v>
      </c>
      <c r="V19" s="68">
        <f t="shared" si="2"/>
        <v>48750</v>
      </c>
      <c r="W19" s="17"/>
      <c r="X19" s="132"/>
      <c r="Y19" s="132"/>
    </row>
    <row r="20">
      <c r="A20" s="33" t="s">
        <v>60</v>
      </c>
      <c r="B20" s="83"/>
      <c r="C20" s="36">
        <v>1.0</v>
      </c>
      <c r="D20" s="38"/>
      <c r="E20" s="39">
        <v>2.0</v>
      </c>
      <c r="F20" s="40"/>
      <c r="G20" s="41"/>
      <c r="H20" s="43">
        <v>33.0</v>
      </c>
      <c r="I20" s="45"/>
      <c r="J20" s="47"/>
      <c r="K20" s="39">
        <v>1.0</v>
      </c>
      <c r="L20" s="39">
        <v>2.0</v>
      </c>
      <c r="M20" s="50"/>
      <c r="N20" s="39">
        <v>1.0</v>
      </c>
      <c r="O20" s="55"/>
      <c r="P20" s="39">
        <v>2.0</v>
      </c>
      <c r="Q20" s="50"/>
      <c r="R20" s="39">
        <v>1.0</v>
      </c>
      <c r="S20" s="39">
        <v>10.0</v>
      </c>
      <c r="T20" s="62">
        <f t="shared" si="1"/>
        <v>53</v>
      </c>
      <c r="U20" s="80">
        <v>850.0</v>
      </c>
      <c r="V20" s="68">
        <f t="shared" si="2"/>
        <v>45050</v>
      </c>
      <c r="W20" s="17"/>
      <c r="X20" s="132"/>
      <c r="Y20" s="132"/>
    </row>
    <row r="21">
      <c r="A21" s="142" t="s">
        <v>63</v>
      </c>
      <c r="B21" s="83"/>
      <c r="C21" s="36">
        <v>1.0</v>
      </c>
      <c r="D21" s="36">
        <v>18.0</v>
      </c>
      <c r="E21" s="39">
        <v>3.0</v>
      </c>
      <c r="F21" s="40"/>
      <c r="G21" s="41"/>
      <c r="H21" s="77"/>
      <c r="I21" s="45"/>
      <c r="J21" s="86"/>
      <c r="K21" s="39">
        <v>1.0</v>
      </c>
      <c r="L21" s="39">
        <v>4.0</v>
      </c>
      <c r="M21" s="39">
        <v>5.0</v>
      </c>
      <c r="N21" s="39">
        <v>2.0</v>
      </c>
      <c r="O21" s="55"/>
      <c r="P21" s="39">
        <v>6.0</v>
      </c>
      <c r="Q21" s="39">
        <v>3.0</v>
      </c>
      <c r="R21" s="39">
        <v>1.0</v>
      </c>
      <c r="S21" s="39">
        <v>5.0</v>
      </c>
      <c r="T21" s="62">
        <f t="shared" si="1"/>
        <v>49</v>
      </c>
      <c r="U21" s="80">
        <v>25.0</v>
      </c>
      <c r="V21" s="68">
        <f t="shared" si="2"/>
        <v>1225</v>
      </c>
      <c r="W21" s="17"/>
      <c r="X21" s="132"/>
      <c r="Y21" s="132"/>
    </row>
    <row r="22">
      <c r="A22" s="142" t="s">
        <v>66</v>
      </c>
      <c r="B22" s="83"/>
      <c r="C22" s="36"/>
      <c r="D22" s="36">
        <v>8.0</v>
      </c>
      <c r="E22" s="39">
        <v>1.0</v>
      </c>
      <c r="F22" s="40"/>
      <c r="G22" s="41"/>
      <c r="H22" s="77"/>
      <c r="I22" s="55"/>
      <c r="J22" s="86"/>
      <c r="K22" s="39">
        <v>5.0</v>
      </c>
      <c r="L22" s="39">
        <v>1.0</v>
      </c>
      <c r="M22" s="39">
        <v>4.0</v>
      </c>
      <c r="N22" s="39">
        <v>8.0</v>
      </c>
      <c r="O22" s="55"/>
      <c r="P22" s="39">
        <v>3.0</v>
      </c>
      <c r="Q22" s="39">
        <v>16.0</v>
      </c>
      <c r="R22" s="39">
        <v>4.0</v>
      </c>
      <c r="S22" s="39">
        <v>2.0</v>
      </c>
      <c r="T22" s="62">
        <f t="shared" si="1"/>
        <v>52</v>
      </c>
      <c r="U22" s="80">
        <v>30.0</v>
      </c>
      <c r="V22" s="68">
        <f t="shared" si="2"/>
        <v>1560</v>
      </c>
      <c r="W22" s="17"/>
      <c r="X22" s="132"/>
      <c r="Y22" s="132"/>
    </row>
    <row r="23">
      <c r="A23" s="142" t="s">
        <v>68</v>
      </c>
      <c r="B23" s="83"/>
      <c r="C23" s="36"/>
      <c r="D23" s="36">
        <v>7.0</v>
      </c>
      <c r="E23" s="50"/>
      <c r="F23" s="40"/>
      <c r="G23" s="41"/>
      <c r="H23" s="77"/>
      <c r="I23" s="45"/>
      <c r="J23" s="86"/>
      <c r="K23" s="39">
        <v>2.0</v>
      </c>
      <c r="L23" s="39">
        <v>3.0</v>
      </c>
      <c r="M23" s="39">
        <v>3.0</v>
      </c>
      <c r="N23" s="39">
        <v>1.0</v>
      </c>
      <c r="O23" s="55"/>
      <c r="P23" s="39">
        <v>1.0</v>
      </c>
      <c r="Q23" s="50"/>
      <c r="R23" s="39">
        <v>2.0</v>
      </c>
      <c r="S23" s="39">
        <v>3.0</v>
      </c>
      <c r="T23" s="62">
        <f t="shared" si="1"/>
        <v>22</v>
      </c>
      <c r="U23" s="80">
        <v>35.0</v>
      </c>
      <c r="V23" s="68">
        <f t="shared" si="2"/>
        <v>770</v>
      </c>
      <c r="W23" s="17"/>
      <c r="X23" s="132"/>
      <c r="Y23" s="132"/>
    </row>
    <row r="24">
      <c r="A24" s="142" t="s">
        <v>70</v>
      </c>
      <c r="B24" s="34"/>
      <c r="C24" s="38"/>
      <c r="D24" s="38"/>
      <c r="E24" s="50"/>
      <c r="F24" s="40"/>
      <c r="G24" s="41"/>
      <c r="H24" s="77"/>
      <c r="I24" s="55"/>
      <c r="J24" s="47"/>
      <c r="K24" s="50"/>
      <c r="L24" s="50"/>
      <c r="M24" s="50"/>
      <c r="N24" s="50"/>
      <c r="O24" s="55"/>
      <c r="P24" s="50"/>
      <c r="Q24" s="50"/>
      <c r="R24" s="50"/>
      <c r="S24" s="50"/>
      <c r="T24" s="62">
        <f t="shared" si="1"/>
        <v>0</v>
      </c>
      <c r="U24" s="80">
        <v>130.0</v>
      </c>
      <c r="V24" s="68">
        <f t="shared" si="2"/>
        <v>0</v>
      </c>
      <c r="W24" s="17"/>
      <c r="X24" s="132"/>
      <c r="Y24" s="132"/>
    </row>
    <row r="25">
      <c r="A25" s="142" t="s">
        <v>72</v>
      </c>
      <c r="B25" s="83"/>
      <c r="C25" s="36">
        <v>2.0</v>
      </c>
      <c r="D25" s="36">
        <v>1.0</v>
      </c>
      <c r="E25" s="50"/>
      <c r="F25" s="40"/>
      <c r="G25" s="41"/>
      <c r="H25" s="77"/>
      <c r="I25" s="55"/>
      <c r="J25" s="47"/>
      <c r="K25" s="39">
        <v>4.0</v>
      </c>
      <c r="L25" s="39">
        <v>2.0</v>
      </c>
      <c r="M25" s="39">
        <v>18.0</v>
      </c>
      <c r="N25" s="50"/>
      <c r="O25" s="55"/>
      <c r="P25" s="39">
        <v>3.0</v>
      </c>
      <c r="Q25" s="39">
        <v>1.0</v>
      </c>
      <c r="R25" s="39">
        <v>5.0</v>
      </c>
      <c r="S25" s="39">
        <v>2.0</v>
      </c>
      <c r="T25" s="62">
        <f t="shared" si="1"/>
        <v>38</v>
      </c>
      <c r="U25" s="80">
        <v>50.0</v>
      </c>
      <c r="V25" s="68">
        <f t="shared" si="2"/>
        <v>1900</v>
      </c>
      <c r="W25" s="17"/>
      <c r="X25" s="132"/>
      <c r="Y25" s="132"/>
    </row>
    <row r="26">
      <c r="A26" s="142" t="s">
        <v>74</v>
      </c>
      <c r="B26" s="34"/>
      <c r="C26" s="38"/>
      <c r="D26" s="36">
        <v>1.0</v>
      </c>
      <c r="E26" s="50"/>
      <c r="F26" s="40"/>
      <c r="G26" s="41"/>
      <c r="H26" s="77"/>
      <c r="I26" s="55"/>
      <c r="J26" s="47"/>
      <c r="K26" s="50"/>
      <c r="L26" s="50"/>
      <c r="M26" s="50"/>
      <c r="N26" s="50"/>
      <c r="O26" s="55"/>
      <c r="P26" s="50"/>
      <c r="Q26" s="50"/>
      <c r="R26" s="50"/>
      <c r="S26" s="50"/>
      <c r="T26" s="62">
        <f t="shared" si="1"/>
        <v>1</v>
      </c>
      <c r="U26" s="80">
        <v>50.0</v>
      </c>
      <c r="V26" s="68">
        <f t="shared" si="2"/>
        <v>50</v>
      </c>
      <c r="W26" s="17"/>
      <c r="X26" s="132"/>
      <c r="Y26" s="132"/>
    </row>
    <row r="27">
      <c r="A27" s="142" t="s">
        <v>75</v>
      </c>
      <c r="B27" s="34"/>
      <c r="C27" s="36"/>
      <c r="D27" s="38"/>
      <c r="E27" s="50"/>
      <c r="F27" s="40"/>
      <c r="G27" s="41"/>
      <c r="H27" s="77"/>
      <c r="I27" s="45"/>
      <c r="J27" s="47"/>
      <c r="K27" s="50"/>
      <c r="L27" s="39">
        <v>1.0</v>
      </c>
      <c r="M27" s="50"/>
      <c r="N27" s="50"/>
      <c r="O27" s="55"/>
      <c r="P27" s="50"/>
      <c r="Q27" s="39"/>
      <c r="R27" s="39">
        <v>8.0</v>
      </c>
      <c r="S27" s="39">
        <v>1.0</v>
      </c>
      <c r="T27" s="62">
        <f t="shared" si="1"/>
        <v>10</v>
      </c>
      <c r="U27" s="80">
        <v>35.0</v>
      </c>
      <c r="V27" s="68">
        <f t="shared" si="2"/>
        <v>350</v>
      </c>
      <c r="W27" s="17"/>
      <c r="X27" s="132"/>
      <c r="Y27" s="132"/>
    </row>
    <row r="28">
      <c r="A28" s="142" t="s">
        <v>77</v>
      </c>
      <c r="B28" s="34"/>
      <c r="C28" s="36"/>
      <c r="D28" s="36">
        <v>6.0</v>
      </c>
      <c r="E28" s="39">
        <v>1.0</v>
      </c>
      <c r="F28" s="40"/>
      <c r="G28" s="41"/>
      <c r="H28" s="43">
        <v>35.0</v>
      </c>
      <c r="I28" s="45"/>
      <c r="J28" s="47"/>
      <c r="K28" s="39">
        <v>6.0</v>
      </c>
      <c r="L28" s="39">
        <v>2.0</v>
      </c>
      <c r="M28" s="50"/>
      <c r="N28" s="50"/>
      <c r="O28" s="55"/>
      <c r="P28" s="39"/>
      <c r="Q28" s="39"/>
      <c r="R28" s="39">
        <v>6.0</v>
      </c>
      <c r="S28" s="39"/>
      <c r="T28" s="62">
        <f t="shared" si="1"/>
        <v>56</v>
      </c>
      <c r="U28" s="80">
        <v>100.0</v>
      </c>
      <c r="V28" s="68">
        <f t="shared" si="2"/>
        <v>5600</v>
      </c>
      <c r="W28" s="17"/>
      <c r="X28" s="132"/>
      <c r="Y28" s="132"/>
    </row>
    <row r="29">
      <c r="A29" s="142" t="s">
        <v>79</v>
      </c>
      <c r="B29" s="34"/>
      <c r="C29" s="36">
        <v>7.0</v>
      </c>
      <c r="D29" s="36"/>
      <c r="E29" s="50"/>
      <c r="F29" s="40"/>
      <c r="G29" s="41"/>
      <c r="H29" s="77"/>
      <c r="I29" s="55"/>
      <c r="J29" s="47"/>
      <c r="K29" s="39"/>
      <c r="L29" s="50"/>
      <c r="M29" s="50"/>
      <c r="N29" s="50"/>
      <c r="O29" s="55"/>
      <c r="P29" s="50"/>
      <c r="Q29" s="50"/>
      <c r="R29" s="39"/>
      <c r="S29" s="39"/>
      <c r="T29" s="62">
        <f t="shared" si="1"/>
        <v>7</v>
      </c>
      <c r="U29" s="80">
        <v>20.0</v>
      </c>
      <c r="V29" s="68">
        <f t="shared" si="2"/>
        <v>140</v>
      </c>
      <c r="W29" s="17"/>
      <c r="X29" s="132"/>
      <c r="Y29" s="132"/>
    </row>
    <row r="30">
      <c r="A30" s="142" t="s">
        <v>82</v>
      </c>
      <c r="B30" s="83"/>
      <c r="C30" s="36"/>
      <c r="D30" s="36">
        <v>13.0</v>
      </c>
      <c r="E30" s="39">
        <v>1.0</v>
      </c>
      <c r="F30" s="40"/>
      <c r="G30" s="41"/>
      <c r="H30" s="43">
        <v>29.0</v>
      </c>
      <c r="I30" s="45"/>
      <c r="J30" s="86"/>
      <c r="K30" s="39">
        <v>7.0</v>
      </c>
      <c r="L30" s="39">
        <v>1.0</v>
      </c>
      <c r="M30" s="39">
        <v>6.0</v>
      </c>
      <c r="N30" s="39">
        <v>3.0</v>
      </c>
      <c r="O30" s="55"/>
      <c r="P30" s="39">
        <v>8.0</v>
      </c>
      <c r="Q30" s="39">
        <v>1.0</v>
      </c>
      <c r="R30" s="39">
        <v>7.0</v>
      </c>
      <c r="S30" s="39">
        <v>11.0</v>
      </c>
      <c r="T30" s="62">
        <f t="shared" si="1"/>
        <v>87</v>
      </c>
      <c r="U30" s="80">
        <v>40.0</v>
      </c>
      <c r="V30" s="68">
        <f t="shared" si="2"/>
        <v>3480</v>
      </c>
      <c r="W30" s="17"/>
      <c r="X30" s="132"/>
      <c r="Y30" s="132"/>
    </row>
    <row r="31">
      <c r="A31" s="33" t="s">
        <v>85</v>
      </c>
      <c r="B31" s="83"/>
      <c r="C31" s="36">
        <v>4.0</v>
      </c>
      <c r="D31" s="36">
        <v>5.0</v>
      </c>
      <c r="E31" s="39">
        <v>3.0</v>
      </c>
      <c r="F31" s="40"/>
      <c r="G31" s="41"/>
      <c r="H31" s="43">
        <v>87.0</v>
      </c>
      <c r="I31" s="45"/>
      <c r="J31" s="86"/>
      <c r="K31" s="39">
        <v>3.0</v>
      </c>
      <c r="L31" s="39">
        <v>4.0</v>
      </c>
      <c r="M31" s="39">
        <v>2.0</v>
      </c>
      <c r="N31" s="39">
        <v>4.0</v>
      </c>
      <c r="O31" s="55"/>
      <c r="P31" s="39">
        <v>2.0</v>
      </c>
      <c r="Q31" s="39">
        <v>4.0</v>
      </c>
      <c r="R31" s="39">
        <v>4.0</v>
      </c>
      <c r="S31" s="39">
        <v>41.0</v>
      </c>
      <c r="T31" s="62">
        <f t="shared" si="1"/>
        <v>163</v>
      </c>
      <c r="U31" s="80">
        <v>80.0</v>
      </c>
      <c r="V31" s="68">
        <f t="shared" si="2"/>
        <v>13040</v>
      </c>
      <c r="W31" s="17"/>
      <c r="X31" s="132"/>
      <c r="Y31" s="132"/>
    </row>
    <row r="32">
      <c r="A32" s="147" t="s">
        <v>87</v>
      </c>
      <c r="B32" s="83"/>
      <c r="C32" s="36">
        <v>1.0</v>
      </c>
      <c r="D32" s="36">
        <v>28.0</v>
      </c>
      <c r="E32" s="39">
        <v>4.0</v>
      </c>
      <c r="F32" s="40"/>
      <c r="G32" s="41"/>
      <c r="H32" s="43">
        <v>185.0</v>
      </c>
      <c r="I32" s="45"/>
      <c r="J32" s="86"/>
      <c r="K32" s="39">
        <v>30.0</v>
      </c>
      <c r="L32" s="39">
        <v>13.0</v>
      </c>
      <c r="M32" s="39">
        <v>3.0</v>
      </c>
      <c r="N32" s="39">
        <v>7.0</v>
      </c>
      <c r="O32" s="55"/>
      <c r="P32" s="39">
        <v>2.0</v>
      </c>
      <c r="Q32" s="39">
        <v>9.0</v>
      </c>
      <c r="R32" s="39">
        <v>11.0</v>
      </c>
      <c r="S32" s="39">
        <v>17.0</v>
      </c>
      <c r="T32" s="62">
        <f t="shared" si="1"/>
        <v>310</v>
      </c>
      <c r="U32" s="80">
        <v>170.0</v>
      </c>
      <c r="V32" s="68">
        <f t="shared" si="2"/>
        <v>52700</v>
      </c>
      <c r="W32" s="17"/>
      <c r="X32" s="132"/>
      <c r="Y32" s="132"/>
    </row>
    <row r="33">
      <c r="A33" s="147" t="s">
        <v>89</v>
      </c>
      <c r="B33" s="83"/>
      <c r="C33" s="38"/>
      <c r="D33" s="36">
        <v>26.0</v>
      </c>
      <c r="E33" s="39">
        <v>1.0</v>
      </c>
      <c r="F33" s="40"/>
      <c r="G33" s="41"/>
      <c r="H33" s="43">
        <v>32.0</v>
      </c>
      <c r="I33" s="45"/>
      <c r="J33" s="86"/>
      <c r="K33" s="50"/>
      <c r="L33" s="50"/>
      <c r="M33" s="50"/>
      <c r="N33" s="39">
        <v>1.0</v>
      </c>
      <c r="O33" s="55"/>
      <c r="P33" s="50"/>
      <c r="Q33" s="39"/>
      <c r="R33" s="50"/>
      <c r="S33" s="39">
        <v>16.0</v>
      </c>
      <c r="T33" s="62">
        <f t="shared" si="1"/>
        <v>76</v>
      </c>
      <c r="U33" s="80">
        <v>130.0</v>
      </c>
      <c r="V33" s="68">
        <f t="shared" si="2"/>
        <v>9880</v>
      </c>
      <c r="W33" s="17"/>
      <c r="X33" s="132"/>
      <c r="Y33" s="132"/>
    </row>
    <row r="34">
      <c r="A34" s="147" t="s">
        <v>90</v>
      </c>
      <c r="B34" s="34"/>
      <c r="C34" s="38"/>
      <c r="D34" s="38"/>
      <c r="E34" s="50"/>
      <c r="F34" s="40"/>
      <c r="G34" s="41"/>
      <c r="H34" s="77"/>
      <c r="I34" s="55"/>
      <c r="J34" s="47"/>
      <c r="K34" s="39">
        <v>1.0</v>
      </c>
      <c r="L34" s="50"/>
      <c r="M34" s="50"/>
      <c r="N34" s="50"/>
      <c r="O34" s="55"/>
      <c r="P34" s="39"/>
      <c r="Q34" s="50"/>
      <c r="R34" s="50"/>
      <c r="S34" s="50"/>
      <c r="T34" s="62">
        <f t="shared" si="1"/>
        <v>1</v>
      </c>
      <c r="U34" s="80">
        <v>150.0</v>
      </c>
      <c r="V34" s="68">
        <f t="shared" si="2"/>
        <v>150</v>
      </c>
      <c r="W34" s="17"/>
      <c r="X34" s="132"/>
      <c r="Y34" s="132"/>
    </row>
    <row r="35">
      <c r="A35" s="147" t="s">
        <v>93</v>
      </c>
      <c r="B35" s="34"/>
      <c r="C35" s="36"/>
      <c r="D35" s="36">
        <v>10.0</v>
      </c>
      <c r="E35" s="50"/>
      <c r="F35" s="40"/>
      <c r="G35" s="41"/>
      <c r="H35" s="77"/>
      <c r="I35" s="45"/>
      <c r="J35" s="47"/>
      <c r="K35" s="50"/>
      <c r="L35" s="50"/>
      <c r="M35" s="50"/>
      <c r="N35" s="50"/>
      <c r="O35" s="55"/>
      <c r="P35" s="50"/>
      <c r="Q35" s="50"/>
      <c r="R35" s="50"/>
      <c r="S35" s="50"/>
      <c r="T35" s="62">
        <f t="shared" si="1"/>
        <v>10</v>
      </c>
      <c r="U35" s="80">
        <v>180.0</v>
      </c>
      <c r="V35" s="68">
        <f t="shared" si="2"/>
        <v>1800</v>
      </c>
      <c r="W35" s="17"/>
      <c r="X35" s="132"/>
      <c r="Y35" s="132"/>
    </row>
    <row r="36">
      <c r="A36" s="147" t="s">
        <v>94</v>
      </c>
      <c r="B36" s="34"/>
      <c r="C36" s="38"/>
      <c r="D36" s="38"/>
      <c r="E36" s="50"/>
      <c r="F36" s="40"/>
      <c r="G36" s="41"/>
      <c r="H36" s="77"/>
      <c r="I36" s="55"/>
      <c r="J36" s="47"/>
      <c r="K36" s="39">
        <v>1.0</v>
      </c>
      <c r="L36" s="50"/>
      <c r="M36" s="50"/>
      <c r="N36" s="50"/>
      <c r="O36" s="55"/>
      <c r="P36" s="50"/>
      <c r="Q36" s="50"/>
      <c r="R36" s="50"/>
      <c r="S36" s="50"/>
      <c r="T36" s="62">
        <f t="shared" si="1"/>
        <v>1</v>
      </c>
      <c r="U36" s="80">
        <v>245.0</v>
      </c>
      <c r="V36" s="68">
        <f t="shared" si="2"/>
        <v>245</v>
      </c>
      <c r="W36" s="17"/>
      <c r="X36" s="132"/>
      <c r="Y36" s="132"/>
    </row>
    <row r="37">
      <c r="A37" s="142" t="s">
        <v>97</v>
      </c>
      <c r="B37" s="34"/>
      <c r="C37" s="36"/>
      <c r="D37" s="38"/>
      <c r="E37" s="50"/>
      <c r="F37" s="40"/>
      <c r="G37" s="41"/>
      <c r="H37" s="77"/>
      <c r="I37" s="55"/>
      <c r="J37" s="86"/>
      <c r="K37" s="39">
        <v>2.0</v>
      </c>
      <c r="L37" s="50"/>
      <c r="M37" s="50"/>
      <c r="N37" s="50"/>
      <c r="O37" s="55"/>
      <c r="P37" s="50"/>
      <c r="Q37" s="50"/>
      <c r="R37" s="50"/>
      <c r="S37" s="50"/>
      <c r="T37" s="62">
        <f t="shared" si="1"/>
        <v>2</v>
      </c>
      <c r="U37" s="80">
        <v>500.0</v>
      </c>
      <c r="V37" s="68">
        <f t="shared" si="2"/>
        <v>1000</v>
      </c>
      <c r="W37" s="17"/>
      <c r="X37" s="132"/>
      <c r="Y37" s="132"/>
    </row>
    <row r="38">
      <c r="A38" s="33" t="s">
        <v>99</v>
      </c>
      <c r="B38" s="34"/>
      <c r="C38" s="36"/>
      <c r="D38" s="36">
        <v>5.0</v>
      </c>
      <c r="E38" s="39">
        <v>1.0</v>
      </c>
      <c r="F38" s="40"/>
      <c r="G38" s="41"/>
      <c r="H38" s="43">
        <v>2.0</v>
      </c>
      <c r="I38" s="55"/>
      <c r="J38" s="47"/>
      <c r="K38" s="39">
        <v>4.0</v>
      </c>
      <c r="L38" s="50"/>
      <c r="M38" s="39">
        <v>2.0</v>
      </c>
      <c r="N38" s="39">
        <v>2.0</v>
      </c>
      <c r="O38" s="55"/>
      <c r="P38" s="50"/>
      <c r="Q38" s="50"/>
      <c r="R38" s="39"/>
      <c r="S38" s="50"/>
      <c r="T38" s="62">
        <f t="shared" si="1"/>
        <v>16</v>
      </c>
      <c r="U38" s="80">
        <v>900.0</v>
      </c>
      <c r="V38" s="68">
        <f t="shared" si="2"/>
        <v>14400</v>
      </c>
      <c r="W38" s="17"/>
      <c r="X38" s="132"/>
      <c r="Y38" s="132"/>
    </row>
    <row r="39">
      <c r="A39" s="33" t="s">
        <v>100</v>
      </c>
      <c r="B39" s="83"/>
      <c r="C39" s="38"/>
      <c r="D39" s="38"/>
      <c r="E39" s="50"/>
      <c r="F39" s="40"/>
      <c r="G39" s="41"/>
      <c r="H39" s="77"/>
      <c r="I39" s="55"/>
      <c r="J39" s="47"/>
      <c r="K39" s="50"/>
      <c r="L39" s="50"/>
      <c r="M39" s="50"/>
      <c r="N39" s="50"/>
      <c r="O39" s="55"/>
      <c r="P39" s="39">
        <v>1.0</v>
      </c>
      <c r="Q39" s="50"/>
      <c r="R39" s="50"/>
      <c r="S39" s="50"/>
      <c r="T39" s="62">
        <f t="shared" si="1"/>
        <v>1</v>
      </c>
      <c r="U39" s="80">
        <v>1100.0</v>
      </c>
      <c r="V39" s="68">
        <f t="shared" si="2"/>
        <v>1100</v>
      </c>
      <c r="W39" s="17"/>
      <c r="X39" s="132"/>
      <c r="Y39" s="132"/>
    </row>
    <row r="40">
      <c r="A40" s="33" t="s">
        <v>102</v>
      </c>
      <c r="B40" s="83"/>
      <c r="C40" s="38"/>
      <c r="D40" s="38"/>
      <c r="E40" s="50"/>
      <c r="F40" s="40"/>
      <c r="G40" s="41"/>
      <c r="H40" s="77"/>
      <c r="I40" s="55"/>
      <c r="J40" s="47"/>
      <c r="K40" s="50"/>
      <c r="L40" s="50"/>
      <c r="M40" s="50"/>
      <c r="N40" s="50"/>
      <c r="O40" s="55"/>
      <c r="P40" s="50"/>
      <c r="Q40" s="39">
        <v>1.0</v>
      </c>
      <c r="R40" s="50"/>
      <c r="S40" s="39">
        <v>1.0</v>
      </c>
      <c r="T40" s="62">
        <f t="shared" si="1"/>
        <v>2</v>
      </c>
      <c r="U40" s="80">
        <v>700.0</v>
      </c>
      <c r="V40" s="68">
        <f t="shared" si="2"/>
        <v>1400</v>
      </c>
      <c r="W40" s="17"/>
      <c r="X40" s="132"/>
      <c r="Y40" s="132"/>
    </row>
    <row r="41">
      <c r="A41" s="33" t="s">
        <v>104</v>
      </c>
      <c r="B41" s="34"/>
      <c r="C41" s="36"/>
      <c r="D41" s="38"/>
      <c r="E41" s="50"/>
      <c r="F41" s="40"/>
      <c r="G41" s="41"/>
      <c r="H41" s="77"/>
      <c r="I41" s="55"/>
      <c r="J41" s="47"/>
      <c r="K41" s="50"/>
      <c r="L41" s="50"/>
      <c r="M41" s="50"/>
      <c r="N41" s="50"/>
      <c r="O41" s="55"/>
      <c r="P41" s="50"/>
      <c r="Q41" s="50"/>
      <c r="R41" s="39">
        <v>2.0</v>
      </c>
      <c r="S41" s="50"/>
      <c r="T41" s="62">
        <f t="shared" si="1"/>
        <v>2</v>
      </c>
      <c r="U41" s="80">
        <v>200.0</v>
      </c>
      <c r="V41" s="68">
        <f t="shared" si="2"/>
        <v>400</v>
      </c>
      <c r="W41" s="17"/>
      <c r="X41" s="132"/>
      <c r="Y41" s="132"/>
    </row>
    <row r="42">
      <c r="A42" s="33" t="s">
        <v>105</v>
      </c>
      <c r="B42" s="34"/>
      <c r="C42" s="38"/>
      <c r="D42" s="38"/>
      <c r="E42" s="50"/>
      <c r="F42" s="40"/>
      <c r="G42" s="41"/>
      <c r="H42" s="77"/>
      <c r="I42" s="55"/>
      <c r="J42" s="47"/>
      <c r="K42" s="39"/>
      <c r="L42" s="50"/>
      <c r="M42" s="39"/>
      <c r="N42" s="50"/>
      <c r="O42" s="55"/>
      <c r="P42" s="50"/>
      <c r="Q42" s="39">
        <v>1.0</v>
      </c>
      <c r="R42" s="50"/>
      <c r="S42" s="50"/>
      <c r="T42" s="62">
        <f t="shared" si="1"/>
        <v>1</v>
      </c>
      <c r="U42" s="80">
        <v>500.0</v>
      </c>
      <c r="V42" s="68">
        <f t="shared" si="2"/>
        <v>500</v>
      </c>
      <c r="W42" s="17"/>
      <c r="X42" s="155"/>
      <c r="Y42" s="155"/>
    </row>
    <row r="43">
      <c r="A43" s="156" t="s">
        <v>107</v>
      </c>
      <c r="B43" s="157"/>
      <c r="C43" s="158"/>
      <c r="D43" s="158">
        <v>10.0</v>
      </c>
      <c r="E43" s="159"/>
      <c r="F43" s="160"/>
      <c r="G43" s="161"/>
      <c r="H43" s="162"/>
      <c r="I43" s="163"/>
      <c r="J43" s="164"/>
      <c r="K43" s="165"/>
      <c r="L43" s="159"/>
      <c r="M43" s="165">
        <v>2.0</v>
      </c>
      <c r="N43" s="159"/>
      <c r="O43" s="163"/>
      <c r="P43" s="159"/>
      <c r="Q43" s="165">
        <v>1.0</v>
      </c>
      <c r="R43" s="159"/>
      <c r="S43" s="159"/>
      <c r="T43" s="166">
        <f t="shared" si="1"/>
        <v>13</v>
      </c>
      <c r="U43" s="167">
        <v>1000.0</v>
      </c>
      <c r="V43" s="168">
        <f t="shared" si="2"/>
        <v>13000</v>
      </c>
      <c r="W43" s="17"/>
      <c r="X43" s="155"/>
      <c r="Y43" s="155"/>
    </row>
    <row r="44">
      <c r="A44" s="169" t="s">
        <v>45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9"/>
      <c r="V44" s="174">
        <f>SUM(V3:V43)</f>
        <v>533531</v>
      </c>
      <c r="W44" s="17"/>
      <c r="X44" s="176"/>
      <c r="Y44" s="176"/>
    </row>
    <row r="45">
      <c r="A45" s="24" t="s">
        <v>110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8"/>
      <c r="W45" s="17"/>
      <c r="X45" s="178"/>
      <c r="Y45" s="178"/>
    </row>
    <row r="46">
      <c r="A46" s="147" t="s">
        <v>92</v>
      </c>
      <c r="B46" s="83"/>
      <c r="C46" s="36">
        <v>1.0</v>
      </c>
      <c r="D46" s="36">
        <v>12.0</v>
      </c>
      <c r="E46" s="39">
        <v>8.0</v>
      </c>
      <c r="F46" s="40"/>
      <c r="G46" s="41"/>
      <c r="H46" s="77"/>
      <c r="I46" s="45"/>
      <c r="J46" s="86"/>
      <c r="K46" s="39">
        <v>14.0</v>
      </c>
      <c r="L46" s="39">
        <v>8.0</v>
      </c>
      <c r="M46" s="39">
        <v>2.0</v>
      </c>
      <c r="N46" s="39">
        <v>5.0</v>
      </c>
      <c r="O46" s="55"/>
      <c r="P46" s="39">
        <v>6.0</v>
      </c>
      <c r="Q46" s="39">
        <v>8.0</v>
      </c>
      <c r="R46" s="39">
        <v>6.0</v>
      </c>
      <c r="S46" s="39">
        <v>5.0</v>
      </c>
      <c r="T46" s="62">
        <f t="shared" ref="T46:T57" si="3">SUM(B46:S46)</f>
        <v>75</v>
      </c>
      <c r="U46" s="80">
        <v>100.0</v>
      </c>
      <c r="V46" s="68">
        <f t="shared" ref="V46:V57" si="4">T46*U46</f>
        <v>7500</v>
      </c>
      <c r="W46" s="17"/>
      <c r="X46" s="180" t="s">
        <v>112</v>
      </c>
      <c r="Y46" s="155"/>
    </row>
    <row r="47">
      <c r="A47" s="147" t="s">
        <v>98</v>
      </c>
      <c r="B47" s="34"/>
      <c r="C47" s="36">
        <v>1.0</v>
      </c>
      <c r="D47" s="36"/>
      <c r="E47" s="39">
        <v>1.0</v>
      </c>
      <c r="F47" s="40"/>
      <c r="G47" s="41"/>
      <c r="H47" s="43">
        <v>11.0</v>
      </c>
      <c r="I47" s="55"/>
      <c r="J47" s="86"/>
      <c r="K47" s="39">
        <v>4.0</v>
      </c>
      <c r="L47" s="39">
        <v>4.0</v>
      </c>
      <c r="M47" s="50"/>
      <c r="N47" s="50"/>
      <c r="O47" s="55"/>
      <c r="P47" s="39">
        <v>3.0</v>
      </c>
      <c r="Q47" s="39">
        <v>2.0</v>
      </c>
      <c r="R47" s="39">
        <v>4.0</v>
      </c>
      <c r="S47" s="39">
        <v>3.0</v>
      </c>
      <c r="T47" s="62">
        <f t="shared" si="3"/>
        <v>33</v>
      </c>
      <c r="U47" s="80">
        <v>1000.0</v>
      </c>
      <c r="V47" s="68">
        <f t="shared" si="4"/>
        <v>33000</v>
      </c>
      <c r="W47" s="17"/>
      <c r="X47" s="155"/>
      <c r="Y47" s="155"/>
    </row>
    <row r="48">
      <c r="A48" s="189" t="s">
        <v>101</v>
      </c>
      <c r="B48" s="83"/>
      <c r="C48" s="36">
        <v>3.0</v>
      </c>
      <c r="D48" s="36">
        <v>1.0</v>
      </c>
      <c r="E48" s="50"/>
      <c r="F48" s="40"/>
      <c r="G48" s="41"/>
      <c r="H48" s="43">
        <v>8.0</v>
      </c>
      <c r="I48" s="45"/>
      <c r="J48" s="86"/>
      <c r="K48" s="39">
        <v>2.0</v>
      </c>
      <c r="L48" s="39">
        <v>3.0</v>
      </c>
      <c r="M48" s="39">
        <v>8.0</v>
      </c>
      <c r="N48" s="39">
        <v>1.0</v>
      </c>
      <c r="O48" s="55"/>
      <c r="P48" s="39">
        <v>8.0</v>
      </c>
      <c r="Q48" s="39">
        <v>4.0</v>
      </c>
      <c r="R48" s="39">
        <v>3.0</v>
      </c>
      <c r="S48" s="39">
        <v>26.0</v>
      </c>
      <c r="T48" s="62">
        <f t="shared" si="3"/>
        <v>67</v>
      </c>
      <c r="U48" s="80">
        <v>120.0</v>
      </c>
      <c r="V48" s="68">
        <f t="shared" si="4"/>
        <v>8040</v>
      </c>
      <c r="W48" s="17"/>
      <c r="X48" s="155"/>
      <c r="Y48" s="155"/>
    </row>
    <row r="49">
      <c r="A49" s="189" t="s">
        <v>103</v>
      </c>
      <c r="B49" s="83"/>
      <c r="C49" s="36">
        <v>8.0</v>
      </c>
      <c r="D49" s="36">
        <v>2.0</v>
      </c>
      <c r="E49" s="50"/>
      <c r="F49" s="40"/>
      <c r="G49" s="41"/>
      <c r="H49" s="43">
        <v>12.0</v>
      </c>
      <c r="I49" s="55"/>
      <c r="J49" s="47"/>
      <c r="K49" s="39">
        <v>1.0</v>
      </c>
      <c r="L49" s="39">
        <v>1.0</v>
      </c>
      <c r="M49" s="39">
        <v>2.0</v>
      </c>
      <c r="N49" s="50"/>
      <c r="O49" s="55"/>
      <c r="P49" s="39">
        <v>2.0</v>
      </c>
      <c r="Q49" s="39">
        <v>3.0</v>
      </c>
      <c r="R49" s="39">
        <v>7.0</v>
      </c>
      <c r="S49" s="39">
        <v>48.0</v>
      </c>
      <c r="T49" s="62">
        <f t="shared" si="3"/>
        <v>86</v>
      </c>
      <c r="U49" s="80">
        <v>150.0</v>
      </c>
      <c r="V49" s="68">
        <f t="shared" si="4"/>
        <v>12900</v>
      </c>
      <c r="W49" s="17"/>
      <c r="X49" s="155"/>
      <c r="Y49" s="155"/>
    </row>
    <row r="50">
      <c r="A50" s="189" t="s">
        <v>106</v>
      </c>
      <c r="B50" s="83"/>
      <c r="C50" s="36">
        <v>8.0</v>
      </c>
      <c r="D50" s="36">
        <v>13.0</v>
      </c>
      <c r="E50" s="39">
        <v>7.0</v>
      </c>
      <c r="F50" s="40"/>
      <c r="G50" s="41"/>
      <c r="H50" s="43">
        <v>119.0</v>
      </c>
      <c r="I50" s="45"/>
      <c r="J50" s="86"/>
      <c r="K50" s="39">
        <v>10.0</v>
      </c>
      <c r="L50" s="39">
        <v>5.0</v>
      </c>
      <c r="M50" s="39">
        <v>7.0</v>
      </c>
      <c r="N50" s="39">
        <v>18.0</v>
      </c>
      <c r="O50" s="55"/>
      <c r="P50" s="39">
        <v>11.0</v>
      </c>
      <c r="Q50" s="39">
        <v>59.0</v>
      </c>
      <c r="R50" s="39">
        <v>31.0</v>
      </c>
      <c r="S50" s="39">
        <v>30.0</v>
      </c>
      <c r="T50" s="62">
        <f t="shared" si="3"/>
        <v>318</v>
      </c>
      <c r="U50" s="80">
        <v>280.0</v>
      </c>
      <c r="V50" s="68">
        <f t="shared" si="4"/>
        <v>89040</v>
      </c>
      <c r="W50" s="17"/>
      <c r="X50" s="155"/>
      <c r="Y50" s="155"/>
    </row>
    <row r="51">
      <c r="A51" s="147" t="s">
        <v>108</v>
      </c>
      <c r="B51" s="34"/>
      <c r="C51" s="36">
        <v>1.0</v>
      </c>
      <c r="D51" s="38"/>
      <c r="E51" s="39">
        <v>1.0</v>
      </c>
      <c r="F51" s="40"/>
      <c r="G51" s="41"/>
      <c r="H51" s="43">
        <v>6.0</v>
      </c>
      <c r="I51" s="55"/>
      <c r="J51" s="86"/>
      <c r="K51" s="39">
        <v>2.0</v>
      </c>
      <c r="L51" s="50"/>
      <c r="M51" s="39">
        <v>1.0</v>
      </c>
      <c r="N51" s="50"/>
      <c r="O51" s="55"/>
      <c r="P51" s="39">
        <v>4.0</v>
      </c>
      <c r="Q51" s="39">
        <v>3.0</v>
      </c>
      <c r="R51" s="39">
        <v>2.0</v>
      </c>
      <c r="S51" s="39">
        <v>4.0</v>
      </c>
      <c r="T51" s="62">
        <f t="shared" si="3"/>
        <v>24</v>
      </c>
      <c r="U51" s="80">
        <v>900.0</v>
      </c>
      <c r="V51" s="68">
        <f t="shared" si="4"/>
        <v>21600</v>
      </c>
      <c r="W51" s="17"/>
      <c r="X51" s="155"/>
      <c r="Y51" s="155"/>
    </row>
    <row r="52">
      <c r="A52" s="198" t="s">
        <v>109</v>
      </c>
      <c r="B52" s="83"/>
      <c r="C52" s="36">
        <v>31.0</v>
      </c>
      <c r="D52" s="36">
        <v>22.0</v>
      </c>
      <c r="E52" s="39">
        <v>21.0</v>
      </c>
      <c r="F52" s="40"/>
      <c r="G52" s="41"/>
      <c r="H52" s="43">
        <v>224.0</v>
      </c>
      <c r="I52" s="45"/>
      <c r="J52" s="86"/>
      <c r="K52" s="39">
        <v>26.0</v>
      </c>
      <c r="L52" s="39">
        <v>20.0</v>
      </c>
      <c r="M52" s="39">
        <v>32.0</v>
      </c>
      <c r="N52" s="39">
        <v>24.0</v>
      </c>
      <c r="O52" s="55"/>
      <c r="P52" s="39">
        <v>16.0</v>
      </c>
      <c r="Q52" s="39">
        <v>44.0</v>
      </c>
      <c r="R52" s="39">
        <v>53.0</v>
      </c>
      <c r="S52" s="39">
        <v>69.0</v>
      </c>
      <c r="T52" s="62">
        <f t="shared" si="3"/>
        <v>582</v>
      </c>
      <c r="U52" s="80">
        <v>330.0</v>
      </c>
      <c r="V52" s="68">
        <f t="shared" si="4"/>
        <v>192060</v>
      </c>
      <c r="W52" s="17"/>
      <c r="X52" s="155"/>
      <c r="Y52" s="155"/>
    </row>
    <row r="53">
      <c r="A53" s="198" t="s">
        <v>111</v>
      </c>
      <c r="B53" s="83"/>
      <c r="C53" s="36">
        <v>1.0</v>
      </c>
      <c r="D53" s="36">
        <v>2.0</v>
      </c>
      <c r="E53" s="39">
        <v>2.0</v>
      </c>
      <c r="F53" s="40"/>
      <c r="G53" s="41"/>
      <c r="H53" s="43">
        <v>9.0</v>
      </c>
      <c r="I53" s="45"/>
      <c r="J53" s="86"/>
      <c r="K53" s="39"/>
      <c r="L53" s="39">
        <v>4.0</v>
      </c>
      <c r="M53" s="39">
        <v>2.0</v>
      </c>
      <c r="N53" s="39">
        <v>2.0</v>
      </c>
      <c r="O53" s="55"/>
      <c r="P53" s="39"/>
      <c r="Q53" s="39">
        <v>5.0</v>
      </c>
      <c r="R53" s="39">
        <v>8.0</v>
      </c>
      <c r="S53" s="39">
        <v>12.0</v>
      </c>
      <c r="T53" s="62">
        <f t="shared" si="3"/>
        <v>47</v>
      </c>
      <c r="U53" s="80">
        <v>360.0</v>
      </c>
      <c r="V53" s="68">
        <f t="shared" si="4"/>
        <v>16920</v>
      </c>
      <c r="W53" s="17"/>
      <c r="X53" s="155"/>
      <c r="Y53" s="155"/>
    </row>
    <row r="54">
      <c r="A54" s="198" t="s">
        <v>113</v>
      </c>
      <c r="B54" s="83"/>
      <c r="C54" s="36"/>
      <c r="D54" s="38"/>
      <c r="E54" s="50"/>
      <c r="F54" s="40"/>
      <c r="G54" s="41"/>
      <c r="H54" s="43">
        <v>1.0</v>
      </c>
      <c r="I54" s="45"/>
      <c r="J54" s="47"/>
      <c r="K54" s="39"/>
      <c r="L54" s="50"/>
      <c r="M54" s="39"/>
      <c r="N54" s="50"/>
      <c r="O54" s="55"/>
      <c r="P54" s="50"/>
      <c r="Q54" s="50"/>
      <c r="R54" s="50"/>
      <c r="S54" s="39">
        <v>2.0</v>
      </c>
      <c r="T54" s="62">
        <f t="shared" si="3"/>
        <v>3</v>
      </c>
      <c r="U54" s="80">
        <v>380.0</v>
      </c>
      <c r="V54" s="68">
        <f t="shared" si="4"/>
        <v>1140</v>
      </c>
      <c r="W54" s="17"/>
      <c r="X54" s="155"/>
      <c r="Y54" s="155"/>
    </row>
    <row r="55">
      <c r="A55" s="189" t="s">
        <v>114</v>
      </c>
      <c r="B55" s="34"/>
      <c r="C55" s="36">
        <v>6.0</v>
      </c>
      <c r="D55" s="36">
        <v>6.0</v>
      </c>
      <c r="E55" s="39">
        <v>1.0</v>
      </c>
      <c r="F55" s="40"/>
      <c r="G55" s="41"/>
      <c r="H55" s="43">
        <v>60.0</v>
      </c>
      <c r="I55" s="45"/>
      <c r="J55" s="86"/>
      <c r="K55" s="39">
        <v>5.0</v>
      </c>
      <c r="L55" s="39">
        <v>4.0</v>
      </c>
      <c r="M55" s="39">
        <v>5.0</v>
      </c>
      <c r="N55" s="39">
        <v>4.0</v>
      </c>
      <c r="O55" s="55"/>
      <c r="P55" s="39">
        <v>2.0</v>
      </c>
      <c r="Q55" s="39">
        <v>13.0</v>
      </c>
      <c r="R55" s="39">
        <v>16.0</v>
      </c>
      <c r="S55" s="39">
        <v>20.0</v>
      </c>
      <c r="T55" s="62">
        <f t="shared" si="3"/>
        <v>142</v>
      </c>
      <c r="U55" s="80">
        <v>280.0</v>
      </c>
      <c r="V55" s="68">
        <f t="shared" si="4"/>
        <v>39760</v>
      </c>
      <c r="W55" s="17"/>
      <c r="X55" s="155"/>
      <c r="Y55" s="155"/>
    </row>
    <row r="56">
      <c r="A56" s="189" t="s">
        <v>115</v>
      </c>
      <c r="B56" s="34"/>
      <c r="C56" s="38"/>
      <c r="D56" s="38"/>
      <c r="E56" s="50"/>
      <c r="F56" s="40"/>
      <c r="G56" s="41"/>
      <c r="H56" s="43">
        <v>1.0</v>
      </c>
      <c r="I56" s="55"/>
      <c r="J56" s="47"/>
      <c r="K56" s="50"/>
      <c r="L56" s="50"/>
      <c r="M56" s="50"/>
      <c r="N56" s="39">
        <v>1.0</v>
      </c>
      <c r="O56" s="55"/>
      <c r="P56" s="50"/>
      <c r="Q56" s="39">
        <v>1.0</v>
      </c>
      <c r="R56" s="50"/>
      <c r="S56" s="50"/>
      <c r="T56" s="62">
        <f t="shared" si="3"/>
        <v>3</v>
      </c>
      <c r="U56" s="80">
        <v>330.0</v>
      </c>
      <c r="V56" s="68">
        <f t="shared" si="4"/>
        <v>990</v>
      </c>
      <c r="W56" s="17"/>
      <c r="X56" s="155"/>
      <c r="Y56" s="155"/>
    </row>
    <row r="57">
      <c r="A57" s="205" t="s">
        <v>119</v>
      </c>
      <c r="B57" s="157"/>
      <c r="C57" s="172"/>
      <c r="D57" s="172"/>
      <c r="E57" s="159"/>
      <c r="F57" s="160"/>
      <c r="G57" s="161"/>
      <c r="H57" s="162"/>
      <c r="I57" s="163"/>
      <c r="J57" s="164"/>
      <c r="K57" s="159"/>
      <c r="L57" s="159"/>
      <c r="M57" s="159"/>
      <c r="N57" s="159"/>
      <c r="O57" s="163"/>
      <c r="P57" s="159"/>
      <c r="Q57" s="159"/>
      <c r="R57" s="159"/>
      <c r="S57" s="159"/>
      <c r="T57" s="166">
        <f t="shared" si="3"/>
        <v>0</v>
      </c>
      <c r="U57" s="167">
        <v>1250.0</v>
      </c>
      <c r="V57" s="168">
        <f t="shared" si="4"/>
        <v>0</v>
      </c>
      <c r="W57" s="17"/>
      <c r="X57" s="155"/>
      <c r="Y57" s="155"/>
    </row>
    <row r="58">
      <c r="A58" s="169" t="s">
        <v>45</v>
      </c>
      <c r="B58" s="128"/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9"/>
      <c r="V58" s="174">
        <f>SUM(V46:V57)</f>
        <v>422950</v>
      </c>
      <c r="W58" s="17"/>
      <c r="X58" s="176"/>
      <c r="Y58" s="176"/>
    </row>
    <row r="59">
      <c r="A59" s="24" t="s">
        <v>127</v>
      </c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8"/>
      <c r="W59" s="17"/>
      <c r="X59" s="178"/>
      <c r="Y59" s="178"/>
    </row>
    <row r="60">
      <c r="A60" s="206" t="s">
        <v>128</v>
      </c>
      <c r="B60" s="83"/>
      <c r="C60" s="36"/>
      <c r="D60" s="36"/>
      <c r="E60" s="50"/>
      <c r="F60" s="40"/>
      <c r="G60" s="41"/>
      <c r="H60" s="77"/>
      <c r="I60" s="55"/>
      <c r="J60" s="47"/>
      <c r="K60" s="39">
        <v>2.0</v>
      </c>
      <c r="L60" s="39">
        <v>1.0</v>
      </c>
      <c r="M60" s="50"/>
      <c r="N60" s="50"/>
      <c r="O60" s="55"/>
      <c r="P60" s="50"/>
      <c r="Q60" s="39">
        <v>1.0</v>
      </c>
      <c r="R60" s="39">
        <v>1.0</v>
      </c>
      <c r="S60" s="39">
        <v>2.0</v>
      </c>
      <c r="T60" s="62">
        <f t="shared" ref="T60:T63" si="5">SUM(B60:S60)</f>
        <v>7</v>
      </c>
      <c r="U60" s="80">
        <v>550.0</v>
      </c>
      <c r="V60" s="68">
        <f t="shared" ref="V60:V63" si="6">T60*U60</f>
        <v>3850</v>
      </c>
      <c r="W60" s="17"/>
      <c r="X60" s="180" t="s">
        <v>130</v>
      </c>
      <c r="Y60" s="155"/>
    </row>
    <row r="61">
      <c r="A61" s="189" t="s">
        <v>131</v>
      </c>
      <c r="B61" s="34"/>
      <c r="C61" s="36">
        <v>3.0</v>
      </c>
      <c r="D61" s="36">
        <v>3.0</v>
      </c>
      <c r="E61" s="50"/>
      <c r="F61" s="40"/>
      <c r="G61" s="41"/>
      <c r="H61" s="77"/>
      <c r="I61" s="45"/>
      <c r="J61" s="86"/>
      <c r="K61" s="39">
        <v>2.0</v>
      </c>
      <c r="L61" s="50"/>
      <c r="M61" s="39">
        <v>3.0</v>
      </c>
      <c r="N61" s="50"/>
      <c r="O61" s="55"/>
      <c r="P61" s="50"/>
      <c r="Q61" s="39">
        <v>1.0</v>
      </c>
      <c r="R61" s="39">
        <v>1.0</v>
      </c>
      <c r="S61" s="39">
        <v>1.0</v>
      </c>
      <c r="T61" s="62">
        <f t="shared" si="5"/>
        <v>14</v>
      </c>
      <c r="U61" s="80">
        <v>350.0</v>
      </c>
      <c r="V61" s="68">
        <f t="shared" si="6"/>
        <v>4900</v>
      </c>
      <c r="W61" s="17"/>
      <c r="X61" s="155"/>
      <c r="Y61" s="155"/>
    </row>
    <row r="62">
      <c r="A62" s="189" t="s">
        <v>132</v>
      </c>
      <c r="B62" s="34"/>
      <c r="C62" s="36">
        <v>1.0</v>
      </c>
      <c r="D62" s="36">
        <v>1.0</v>
      </c>
      <c r="E62" s="39">
        <v>1.0</v>
      </c>
      <c r="F62" s="40"/>
      <c r="G62" s="41"/>
      <c r="H62" s="43">
        <v>22.0</v>
      </c>
      <c r="I62" s="55"/>
      <c r="J62" s="47"/>
      <c r="K62" s="39">
        <v>3.0</v>
      </c>
      <c r="L62" s="50"/>
      <c r="M62" s="39">
        <v>1.0</v>
      </c>
      <c r="N62" s="39">
        <v>1.0</v>
      </c>
      <c r="O62" s="55"/>
      <c r="P62" s="39">
        <v>1.0</v>
      </c>
      <c r="Q62" s="39">
        <v>2.0</v>
      </c>
      <c r="R62" s="39">
        <v>1.0</v>
      </c>
      <c r="S62" s="39">
        <v>5.0</v>
      </c>
      <c r="T62" s="62">
        <f t="shared" si="5"/>
        <v>39</v>
      </c>
      <c r="U62" s="80">
        <v>350.0</v>
      </c>
      <c r="V62" s="68">
        <f t="shared" si="6"/>
        <v>13650</v>
      </c>
      <c r="W62" s="17"/>
      <c r="X62" s="155"/>
      <c r="Y62" s="155"/>
    </row>
    <row r="63">
      <c r="A63" s="207" t="s">
        <v>134</v>
      </c>
      <c r="B63" s="157"/>
      <c r="C63" s="172"/>
      <c r="D63" s="172"/>
      <c r="E63" s="159"/>
      <c r="F63" s="160"/>
      <c r="G63" s="161"/>
      <c r="H63" s="162"/>
      <c r="I63" s="163"/>
      <c r="J63" s="164"/>
      <c r="K63" s="159"/>
      <c r="L63" s="159"/>
      <c r="M63" s="159"/>
      <c r="N63" s="159"/>
      <c r="O63" s="163"/>
      <c r="P63" s="159"/>
      <c r="Q63" s="165"/>
      <c r="R63" s="159"/>
      <c r="S63" s="159"/>
      <c r="T63" s="166">
        <f t="shared" si="5"/>
        <v>0</v>
      </c>
      <c r="U63" s="167">
        <v>350.0</v>
      </c>
      <c r="V63" s="168">
        <f t="shared" si="6"/>
        <v>0</v>
      </c>
      <c r="W63" s="17"/>
      <c r="X63" s="155"/>
      <c r="Y63" s="155"/>
    </row>
    <row r="64">
      <c r="A64" s="169" t="s">
        <v>45</v>
      </c>
      <c r="B64" s="128"/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9"/>
      <c r="V64" s="174">
        <f>SUM(V60:V63)</f>
        <v>22400</v>
      </c>
      <c r="W64" s="17"/>
      <c r="X64" s="176"/>
      <c r="Y64" s="176"/>
    </row>
    <row r="65">
      <c r="A65" s="24" t="s">
        <v>137</v>
      </c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8"/>
      <c r="W65" s="17"/>
      <c r="X65" s="178"/>
      <c r="Y65" s="178"/>
    </row>
    <row r="66">
      <c r="A66" s="216" t="s">
        <v>138</v>
      </c>
      <c r="B66" s="34"/>
      <c r="C66" s="36"/>
      <c r="D66" s="38"/>
      <c r="E66" s="50"/>
      <c r="F66" s="40"/>
      <c r="G66" s="41"/>
      <c r="H66" s="77"/>
      <c r="I66" s="55"/>
      <c r="J66" s="86"/>
      <c r="K66" s="39">
        <v>2.0</v>
      </c>
      <c r="L66" s="50"/>
      <c r="M66" s="50"/>
      <c r="N66" s="50"/>
      <c r="O66" s="55"/>
      <c r="P66" s="50"/>
      <c r="Q66" s="39"/>
      <c r="R66" s="50"/>
      <c r="S66" s="50"/>
      <c r="T66" s="62">
        <f t="shared" ref="T66:T67" si="7">SUM(B66:S66)</f>
        <v>2</v>
      </c>
      <c r="U66" s="80">
        <v>220.0</v>
      </c>
      <c r="V66" s="80">
        <f t="shared" ref="V66:V67" si="8">T66*U66</f>
        <v>440</v>
      </c>
      <c r="W66" s="17"/>
      <c r="X66" s="180" t="s">
        <v>142</v>
      </c>
      <c r="Y66" s="155"/>
    </row>
    <row r="67">
      <c r="A67" s="216" t="s">
        <v>143</v>
      </c>
      <c r="B67" s="34"/>
      <c r="C67" s="36"/>
      <c r="D67" s="38"/>
      <c r="E67" s="50"/>
      <c r="F67" s="40"/>
      <c r="G67" s="41"/>
      <c r="H67" s="43">
        <v>10.0</v>
      </c>
      <c r="I67" s="55"/>
      <c r="J67" s="86"/>
      <c r="K67" s="39"/>
      <c r="L67" s="50"/>
      <c r="M67" s="39">
        <v>1.0</v>
      </c>
      <c r="N67" s="39">
        <v>1.0</v>
      </c>
      <c r="O67" s="55"/>
      <c r="P67" s="39">
        <v>3.0</v>
      </c>
      <c r="Q67" s="39">
        <v>5.0</v>
      </c>
      <c r="R67" s="50"/>
      <c r="S67" s="39">
        <v>2.0</v>
      </c>
      <c r="T67" s="62">
        <f t="shared" si="7"/>
        <v>22</v>
      </c>
      <c r="U67" s="80">
        <v>380.0</v>
      </c>
      <c r="V67" s="217">
        <f t="shared" si="8"/>
        <v>8360</v>
      </c>
      <c r="W67" s="17"/>
      <c r="X67" s="155"/>
      <c r="Y67" s="155"/>
    </row>
    <row r="68">
      <c r="A68" s="218" t="s">
        <v>45</v>
      </c>
      <c r="B68" s="219"/>
      <c r="C68" s="219"/>
      <c r="D68" s="219"/>
      <c r="E68" s="219"/>
      <c r="F68" s="219"/>
      <c r="G68" s="219"/>
      <c r="H68" s="219"/>
      <c r="I68" s="219"/>
      <c r="J68" s="219"/>
      <c r="K68" s="219"/>
      <c r="L68" s="219"/>
      <c r="M68" s="219"/>
      <c r="N68" s="219"/>
      <c r="O68" s="219"/>
      <c r="P68" s="219"/>
      <c r="Q68" s="219"/>
      <c r="R68" s="219"/>
      <c r="S68" s="219"/>
      <c r="T68" s="219"/>
      <c r="U68" s="220"/>
      <c r="V68" s="221">
        <f>SUM(V66:V67)</f>
        <v>8800</v>
      </c>
      <c r="W68" s="17"/>
      <c r="X68" s="176"/>
      <c r="Y68" s="176"/>
    </row>
    <row r="69">
      <c r="A69" s="24" t="s">
        <v>146</v>
      </c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8"/>
      <c r="W69" s="17"/>
      <c r="X69" s="178"/>
      <c r="Y69" s="178"/>
    </row>
    <row r="70">
      <c r="A70" s="223" t="s">
        <v>52</v>
      </c>
      <c r="B70" s="34"/>
      <c r="C70" s="36">
        <v>1.0</v>
      </c>
      <c r="D70" s="36">
        <v>1.0</v>
      </c>
      <c r="E70" s="39">
        <v>2.0</v>
      </c>
      <c r="F70" s="40"/>
      <c r="G70" s="224">
        <v>1.0</v>
      </c>
      <c r="H70" s="43">
        <v>10.0</v>
      </c>
      <c r="I70" s="45"/>
      <c r="J70" s="47"/>
      <c r="K70" s="39">
        <v>2.0</v>
      </c>
      <c r="L70" s="39">
        <v>1.0</v>
      </c>
      <c r="M70" s="39">
        <v>1.0</v>
      </c>
      <c r="N70" s="50"/>
      <c r="O70" s="55"/>
      <c r="P70" s="39">
        <v>4.0</v>
      </c>
      <c r="Q70" s="39"/>
      <c r="R70" s="39">
        <v>1.0</v>
      </c>
      <c r="S70" s="39">
        <v>8.0</v>
      </c>
      <c r="T70" s="62">
        <f t="shared" ref="T70:T84" si="9">SUM(B70:S70)</f>
        <v>32</v>
      </c>
      <c r="U70" s="80">
        <v>1200.0</v>
      </c>
      <c r="V70" s="68">
        <f t="shared" ref="V70:V84" si="10">T70*U70</f>
        <v>38400</v>
      </c>
      <c r="W70" s="17"/>
      <c r="X70" s="180" t="s">
        <v>150</v>
      </c>
      <c r="Y70" s="155"/>
    </row>
    <row r="71">
      <c r="A71" s="33" t="s">
        <v>151</v>
      </c>
      <c r="B71" s="34"/>
      <c r="C71" s="36"/>
      <c r="D71" s="36">
        <v>2.0</v>
      </c>
      <c r="E71" s="50"/>
      <c r="F71" s="40"/>
      <c r="G71" s="41"/>
      <c r="H71" s="43">
        <v>9.0</v>
      </c>
      <c r="I71" s="55"/>
      <c r="J71" s="86"/>
      <c r="K71" s="39">
        <v>1.0</v>
      </c>
      <c r="L71" s="50"/>
      <c r="M71" s="50"/>
      <c r="N71" s="50"/>
      <c r="O71" s="55"/>
      <c r="P71" s="39">
        <v>2.0</v>
      </c>
      <c r="Q71" s="39">
        <v>2.0</v>
      </c>
      <c r="R71" s="39">
        <v>1.0</v>
      </c>
      <c r="S71" s="39">
        <v>5.0</v>
      </c>
      <c r="T71" s="62">
        <f t="shared" si="9"/>
        <v>22</v>
      </c>
      <c r="U71" s="80">
        <v>1500.0</v>
      </c>
      <c r="V71" s="68">
        <f t="shared" si="10"/>
        <v>33000</v>
      </c>
      <c r="W71" s="17"/>
      <c r="X71" s="155"/>
      <c r="Y71" s="155"/>
    </row>
    <row r="72">
      <c r="A72" s="226" t="s">
        <v>56</v>
      </c>
      <c r="B72" s="34"/>
      <c r="C72" s="38"/>
      <c r="D72" s="36">
        <v>1.0</v>
      </c>
      <c r="E72" s="50"/>
      <c r="F72" s="40"/>
      <c r="G72" s="41"/>
      <c r="H72" s="77"/>
      <c r="I72" s="55"/>
      <c r="J72" s="47"/>
      <c r="K72" s="39">
        <v>1.0</v>
      </c>
      <c r="L72" s="50"/>
      <c r="M72" s="50"/>
      <c r="N72" s="50"/>
      <c r="O72" s="55"/>
      <c r="P72" s="50"/>
      <c r="Q72" s="50"/>
      <c r="R72" s="39">
        <v>1.0</v>
      </c>
      <c r="S72" s="50"/>
      <c r="T72" s="62">
        <f t="shared" si="9"/>
        <v>3</v>
      </c>
      <c r="U72" s="80">
        <v>1500.0</v>
      </c>
      <c r="V72" s="68">
        <f t="shared" si="10"/>
        <v>4500</v>
      </c>
      <c r="W72" s="17"/>
      <c r="X72" s="155"/>
      <c r="Y72" s="155"/>
    </row>
    <row r="73">
      <c r="A73" s="226" t="s">
        <v>59</v>
      </c>
      <c r="B73" s="34"/>
      <c r="C73" s="36">
        <v>1.0</v>
      </c>
      <c r="D73" s="36">
        <v>1.0</v>
      </c>
      <c r="E73" s="39">
        <v>2.0</v>
      </c>
      <c r="F73" s="40"/>
      <c r="G73" s="41"/>
      <c r="H73" s="43">
        <v>8.0</v>
      </c>
      <c r="I73" s="45"/>
      <c r="J73" s="86"/>
      <c r="K73" s="39">
        <v>1.0</v>
      </c>
      <c r="L73" s="39">
        <v>1.0</v>
      </c>
      <c r="M73" s="39">
        <v>2.0</v>
      </c>
      <c r="N73" s="39">
        <v>1.0</v>
      </c>
      <c r="O73" s="55"/>
      <c r="P73" s="39">
        <v>1.0</v>
      </c>
      <c r="Q73" s="39">
        <v>2.0</v>
      </c>
      <c r="R73" s="39"/>
      <c r="S73" s="39">
        <v>4.0</v>
      </c>
      <c r="T73" s="62">
        <f t="shared" si="9"/>
        <v>24</v>
      </c>
      <c r="U73" s="80">
        <v>1500.0</v>
      </c>
      <c r="V73" s="68">
        <f t="shared" si="10"/>
        <v>36000</v>
      </c>
      <c r="W73" s="17"/>
      <c r="X73" s="155"/>
      <c r="Y73" s="155"/>
    </row>
    <row r="74">
      <c r="A74" s="226" t="s">
        <v>62</v>
      </c>
      <c r="B74" s="34"/>
      <c r="C74" s="36">
        <v>1.0</v>
      </c>
      <c r="D74" s="36">
        <v>1.0</v>
      </c>
      <c r="E74" s="39">
        <v>4.0</v>
      </c>
      <c r="F74" s="40"/>
      <c r="G74" s="41"/>
      <c r="H74" s="43">
        <v>6.0</v>
      </c>
      <c r="I74" s="45"/>
      <c r="J74" s="47"/>
      <c r="K74" s="39">
        <v>1.0</v>
      </c>
      <c r="L74" s="39">
        <v>4.0</v>
      </c>
      <c r="M74" s="50"/>
      <c r="N74" s="39">
        <v>1.0</v>
      </c>
      <c r="O74" s="55"/>
      <c r="P74" s="39"/>
      <c r="Q74" s="39">
        <v>3.0</v>
      </c>
      <c r="R74" s="39">
        <v>1.0</v>
      </c>
      <c r="S74" s="39">
        <v>9.0</v>
      </c>
      <c r="T74" s="62">
        <f t="shared" si="9"/>
        <v>31</v>
      </c>
      <c r="U74" s="80">
        <v>1500.0</v>
      </c>
      <c r="V74" s="68">
        <f t="shared" si="10"/>
        <v>46500</v>
      </c>
      <c r="W74" s="17"/>
      <c r="X74" s="155"/>
      <c r="Y74" s="155"/>
    </row>
    <row r="75">
      <c r="A75" s="226" t="s">
        <v>64</v>
      </c>
      <c r="B75" s="34"/>
      <c r="C75" s="38"/>
      <c r="D75" s="38"/>
      <c r="E75" s="39">
        <v>1.0</v>
      </c>
      <c r="F75" s="40"/>
      <c r="G75" s="41"/>
      <c r="H75" s="43">
        <v>2.0</v>
      </c>
      <c r="I75" s="45"/>
      <c r="J75" s="47"/>
      <c r="K75" s="39">
        <v>1.0</v>
      </c>
      <c r="L75" s="50"/>
      <c r="M75" s="50"/>
      <c r="N75" s="50"/>
      <c r="O75" s="55"/>
      <c r="P75" s="39">
        <v>1.0</v>
      </c>
      <c r="Q75" s="50"/>
      <c r="R75" s="50"/>
      <c r="S75" s="39">
        <v>1.0</v>
      </c>
      <c r="T75" s="62">
        <f t="shared" si="9"/>
        <v>6</v>
      </c>
      <c r="U75" s="80">
        <v>1500.0</v>
      </c>
      <c r="V75" s="68">
        <f t="shared" si="10"/>
        <v>9000</v>
      </c>
      <c r="W75" s="17"/>
      <c r="X75" s="155"/>
      <c r="Y75" s="155"/>
    </row>
    <row r="76">
      <c r="A76" s="223" t="s">
        <v>54</v>
      </c>
      <c r="B76" s="83"/>
      <c r="C76" s="36">
        <v>1.0</v>
      </c>
      <c r="D76" s="36">
        <v>4.0</v>
      </c>
      <c r="E76" s="50"/>
      <c r="F76" s="40"/>
      <c r="G76" s="41"/>
      <c r="H76" s="43">
        <v>2.0</v>
      </c>
      <c r="I76" s="45"/>
      <c r="J76" s="47"/>
      <c r="K76" s="39"/>
      <c r="L76" s="39">
        <v>1.0</v>
      </c>
      <c r="M76" s="50"/>
      <c r="N76" s="50"/>
      <c r="O76" s="55"/>
      <c r="P76" s="39">
        <v>1.0</v>
      </c>
      <c r="Q76" s="50"/>
      <c r="R76" s="39">
        <v>2.0</v>
      </c>
      <c r="S76" s="39">
        <v>2.0</v>
      </c>
      <c r="T76" s="62">
        <f t="shared" si="9"/>
        <v>13</v>
      </c>
      <c r="U76" s="80">
        <v>1500.0</v>
      </c>
      <c r="V76" s="68">
        <f t="shared" si="10"/>
        <v>19500</v>
      </c>
      <c r="W76" s="17"/>
      <c r="X76" s="155"/>
      <c r="Y76" s="155"/>
    </row>
    <row r="77">
      <c r="A77" s="226" t="s">
        <v>159</v>
      </c>
      <c r="B77" s="83"/>
      <c r="C77" s="36"/>
      <c r="D77" s="36"/>
      <c r="E77" s="50"/>
      <c r="F77" s="40"/>
      <c r="G77" s="41"/>
      <c r="H77" s="43">
        <v>6.0</v>
      </c>
      <c r="I77" s="45"/>
      <c r="J77" s="47"/>
      <c r="K77" s="39">
        <v>1.0</v>
      </c>
      <c r="L77" s="39">
        <v>3.0</v>
      </c>
      <c r="M77" s="39">
        <v>1.0</v>
      </c>
      <c r="N77" s="39">
        <v>1.0</v>
      </c>
      <c r="O77" s="55"/>
      <c r="P77" s="39">
        <v>4.0</v>
      </c>
      <c r="Q77" s="39">
        <v>2.0</v>
      </c>
      <c r="R77" s="39">
        <v>1.0</v>
      </c>
      <c r="S77" s="39">
        <v>7.0</v>
      </c>
      <c r="T77" s="62">
        <f t="shared" si="9"/>
        <v>26</v>
      </c>
      <c r="U77" s="80">
        <v>1500.0</v>
      </c>
      <c r="V77" s="68">
        <f t="shared" si="10"/>
        <v>39000</v>
      </c>
      <c r="W77" s="17"/>
      <c r="X77" s="155"/>
      <c r="Y77" s="155"/>
    </row>
    <row r="78">
      <c r="A78" s="226" t="s">
        <v>67</v>
      </c>
      <c r="B78" s="83"/>
      <c r="C78" s="38"/>
      <c r="D78" s="38"/>
      <c r="E78" s="50"/>
      <c r="F78" s="40"/>
      <c r="G78" s="41"/>
      <c r="H78" s="77"/>
      <c r="I78" s="55"/>
      <c r="J78" s="86"/>
      <c r="K78" s="50"/>
      <c r="L78" s="50"/>
      <c r="M78" s="50"/>
      <c r="N78" s="50"/>
      <c r="O78" s="55"/>
      <c r="P78" s="50"/>
      <c r="Q78" s="50"/>
      <c r="R78" s="39"/>
      <c r="S78" s="50"/>
      <c r="T78" s="62">
        <f t="shared" si="9"/>
        <v>0</v>
      </c>
      <c r="U78" s="80">
        <v>1500.0</v>
      </c>
      <c r="V78" s="68">
        <f t="shared" si="10"/>
        <v>0</v>
      </c>
      <c r="W78" s="17"/>
      <c r="X78" s="155"/>
      <c r="Y78" s="155"/>
    </row>
    <row r="79">
      <c r="A79" s="223" t="s">
        <v>69</v>
      </c>
      <c r="B79" s="34"/>
      <c r="C79" s="38"/>
      <c r="D79" s="38"/>
      <c r="E79" s="50"/>
      <c r="F79" s="40"/>
      <c r="G79" s="41"/>
      <c r="H79" s="77"/>
      <c r="I79" s="55"/>
      <c r="J79" s="47"/>
      <c r="K79" s="39"/>
      <c r="L79" s="50"/>
      <c r="M79" s="50"/>
      <c r="N79" s="50"/>
      <c r="O79" s="55"/>
      <c r="P79" s="50"/>
      <c r="Q79" s="39">
        <v>6.0</v>
      </c>
      <c r="R79" s="39">
        <v>1.0</v>
      </c>
      <c r="S79" s="39">
        <v>1.0</v>
      </c>
      <c r="T79" s="62">
        <f t="shared" si="9"/>
        <v>8</v>
      </c>
      <c r="U79" s="80">
        <v>600.0</v>
      </c>
      <c r="V79" s="68">
        <f t="shared" si="10"/>
        <v>4800</v>
      </c>
      <c r="W79" s="17"/>
      <c r="X79" s="155"/>
      <c r="Y79" s="155"/>
    </row>
    <row r="80">
      <c r="A80" s="223" t="s">
        <v>71</v>
      </c>
      <c r="B80" s="34"/>
      <c r="C80" s="36">
        <v>4.0</v>
      </c>
      <c r="D80" s="36">
        <v>1.0</v>
      </c>
      <c r="E80" s="39">
        <v>1.0</v>
      </c>
      <c r="F80" s="40"/>
      <c r="G80" s="41"/>
      <c r="H80" s="77"/>
      <c r="I80" s="45"/>
      <c r="J80" s="86"/>
      <c r="K80" s="39">
        <v>2.0</v>
      </c>
      <c r="L80" s="50"/>
      <c r="M80" s="39">
        <v>4.0</v>
      </c>
      <c r="N80" s="50"/>
      <c r="O80" s="55"/>
      <c r="P80" s="39">
        <v>3.0</v>
      </c>
      <c r="Q80" s="39">
        <v>2.0</v>
      </c>
      <c r="R80" s="39">
        <v>2.0</v>
      </c>
      <c r="S80" s="39">
        <v>10.0</v>
      </c>
      <c r="T80" s="62">
        <f t="shared" si="9"/>
        <v>29</v>
      </c>
      <c r="U80" s="80">
        <v>500.0</v>
      </c>
      <c r="V80" s="68">
        <f t="shared" si="10"/>
        <v>14500</v>
      </c>
      <c r="W80" s="17"/>
      <c r="X80" s="155"/>
      <c r="Y80" s="155"/>
    </row>
    <row r="81">
      <c r="A81" s="226" t="s">
        <v>88</v>
      </c>
      <c r="B81" s="34"/>
      <c r="C81" s="36">
        <v>4.0</v>
      </c>
      <c r="D81" s="36">
        <v>3.0</v>
      </c>
      <c r="E81" s="39">
        <v>4.0</v>
      </c>
      <c r="F81" s="40"/>
      <c r="G81" s="41"/>
      <c r="H81" s="43">
        <v>33.0</v>
      </c>
      <c r="I81" s="45"/>
      <c r="J81" s="86"/>
      <c r="K81" s="39">
        <v>3.0</v>
      </c>
      <c r="L81" s="39">
        <v>1.0</v>
      </c>
      <c r="M81" s="39">
        <v>1.0</v>
      </c>
      <c r="N81" s="39">
        <v>2.0</v>
      </c>
      <c r="O81" s="55"/>
      <c r="P81" s="39">
        <v>1.0</v>
      </c>
      <c r="Q81" s="39">
        <v>5.0</v>
      </c>
      <c r="R81" s="39">
        <v>2.0</v>
      </c>
      <c r="S81" s="39">
        <v>13.0</v>
      </c>
      <c r="T81" s="62">
        <f t="shared" si="9"/>
        <v>72</v>
      </c>
      <c r="U81" s="80">
        <v>500.0</v>
      </c>
      <c r="V81" s="68">
        <f t="shared" si="10"/>
        <v>36000</v>
      </c>
      <c r="W81" s="17"/>
      <c r="X81" s="155"/>
      <c r="Y81" s="155"/>
    </row>
    <row r="82">
      <c r="A82" s="226" t="s">
        <v>86</v>
      </c>
      <c r="B82" s="34"/>
      <c r="C82" s="36">
        <v>3.0</v>
      </c>
      <c r="D82" s="36">
        <v>1.0</v>
      </c>
      <c r="E82" s="39">
        <v>1.0</v>
      </c>
      <c r="F82" s="40"/>
      <c r="G82" s="41"/>
      <c r="H82" s="77"/>
      <c r="I82" s="55"/>
      <c r="J82" s="47"/>
      <c r="K82" s="39">
        <v>1.0</v>
      </c>
      <c r="L82" s="39">
        <v>2.0</v>
      </c>
      <c r="M82" s="39">
        <v>1.0</v>
      </c>
      <c r="N82" s="50"/>
      <c r="O82" s="55"/>
      <c r="P82" s="39">
        <v>2.0</v>
      </c>
      <c r="Q82" s="39">
        <v>1.0</v>
      </c>
      <c r="R82" s="39">
        <v>1.0</v>
      </c>
      <c r="S82" s="39">
        <v>5.0</v>
      </c>
      <c r="T82" s="62">
        <f t="shared" si="9"/>
        <v>18</v>
      </c>
      <c r="U82" s="80">
        <v>500.0</v>
      </c>
      <c r="V82" s="68">
        <f t="shared" si="10"/>
        <v>9000</v>
      </c>
      <c r="W82" s="17"/>
      <c r="X82" s="155"/>
      <c r="Y82" s="155"/>
    </row>
    <row r="83">
      <c r="A83" s="223" t="s">
        <v>80</v>
      </c>
      <c r="B83" s="34"/>
      <c r="C83" s="36"/>
      <c r="D83" s="38"/>
      <c r="E83" s="50"/>
      <c r="F83" s="40"/>
      <c r="G83" s="41"/>
      <c r="H83" s="43">
        <v>2.0</v>
      </c>
      <c r="I83" s="55"/>
      <c r="J83" s="86"/>
      <c r="K83" s="50"/>
      <c r="L83" s="50"/>
      <c r="M83" s="39">
        <v>1.0</v>
      </c>
      <c r="N83" s="50"/>
      <c r="O83" s="55"/>
      <c r="P83" s="50"/>
      <c r="Q83" s="50"/>
      <c r="R83" s="50"/>
      <c r="S83" s="50"/>
      <c r="T83" s="62">
        <f t="shared" si="9"/>
        <v>3</v>
      </c>
      <c r="U83" s="80">
        <v>1500.0</v>
      </c>
      <c r="V83" s="68">
        <f t="shared" si="10"/>
        <v>4500</v>
      </c>
      <c r="W83" s="17"/>
      <c r="X83" s="155"/>
      <c r="Y83" s="155"/>
    </row>
    <row r="84">
      <c r="A84" s="156" t="s">
        <v>164</v>
      </c>
      <c r="B84" s="157"/>
      <c r="C84" s="172"/>
      <c r="D84" s="158"/>
      <c r="E84" s="159"/>
      <c r="F84" s="160"/>
      <c r="G84" s="161"/>
      <c r="H84" s="162"/>
      <c r="I84" s="237"/>
      <c r="J84" s="164"/>
      <c r="K84" s="165">
        <v>1.0</v>
      </c>
      <c r="L84" s="165">
        <v>1.0</v>
      </c>
      <c r="M84" s="165">
        <v>1.0</v>
      </c>
      <c r="N84" s="159"/>
      <c r="O84" s="163"/>
      <c r="P84" s="165">
        <v>3.0</v>
      </c>
      <c r="Q84" s="165">
        <v>3.0</v>
      </c>
      <c r="R84" s="165">
        <v>2.0</v>
      </c>
      <c r="S84" s="165">
        <v>3.0</v>
      </c>
      <c r="T84" s="166">
        <f t="shared" si="9"/>
        <v>14</v>
      </c>
      <c r="U84" s="167">
        <v>500.0</v>
      </c>
      <c r="V84" s="168">
        <f t="shared" si="10"/>
        <v>7000</v>
      </c>
      <c r="W84" s="17"/>
      <c r="X84" s="155"/>
      <c r="Y84" s="155"/>
    </row>
    <row r="85">
      <c r="A85" s="169" t="s">
        <v>45</v>
      </c>
      <c r="B85" s="128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9"/>
      <c r="V85" s="238">
        <f>SUM(V70:V84)</f>
        <v>301700</v>
      </c>
      <c r="W85" s="17"/>
      <c r="X85" s="239"/>
      <c r="Y85" s="239"/>
    </row>
    <row r="86">
      <c r="A86" s="24" t="s">
        <v>166</v>
      </c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8"/>
      <c r="W86" s="17"/>
      <c r="X86" s="178"/>
      <c r="Y86" s="178"/>
    </row>
    <row r="87">
      <c r="A87" s="156" t="s">
        <v>167</v>
      </c>
      <c r="B87" s="157"/>
      <c r="C87" s="158">
        <v>1.0</v>
      </c>
      <c r="D87" s="158"/>
      <c r="E87" s="159"/>
      <c r="F87" s="160"/>
      <c r="G87" s="161"/>
      <c r="H87" s="162"/>
      <c r="I87" s="163"/>
      <c r="J87" s="164"/>
      <c r="K87" s="159"/>
      <c r="L87" s="159"/>
      <c r="M87" s="159"/>
      <c r="N87" s="159"/>
      <c r="O87" s="163"/>
      <c r="P87" s="159"/>
      <c r="Q87" s="159"/>
      <c r="R87" s="159"/>
      <c r="S87" s="165"/>
      <c r="T87" s="166">
        <f>SUM(B87:S87)</f>
        <v>1</v>
      </c>
      <c r="U87" s="167">
        <v>350.0</v>
      </c>
      <c r="V87" s="168">
        <f>T87*U87</f>
        <v>350</v>
      </c>
      <c r="W87" s="17"/>
      <c r="X87" s="155"/>
      <c r="Y87" s="155"/>
    </row>
    <row r="88">
      <c r="A88" s="240" t="s">
        <v>45</v>
      </c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9"/>
      <c r="V88" s="238">
        <f>SUM(V87)</f>
        <v>350</v>
      </c>
      <c r="W88" s="17"/>
      <c r="X88" s="239"/>
      <c r="Y88" s="239"/>
    </row>
    <row r="89">
      <c r="A89" s="24" t="s">
        <v>169</v>
      </c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8"/>
      <c r="W89" s="17"/>
      <c r="X89" s="178"/>
      <c r="Y89" s="178"/>
    </row>
    <row r="90">
      <c r="A90" s="197" t="s">
        <v>170</v>
      </c>
      <c r="B90" s="34"/>
      <c r="C90" s="38"/>
      <c r="D90" s="38"/>
      <c r="E90" s="50"/>
      <c r="F90" s="40"/>
      <c r="G90" s="41"/>
      <c r="H90" s="77"/>
      <c r="I90" s="45"/>
      <c r="J90" s="47"/>
      <c r="K90" s="50"/>
      <c r="L90" s="50"/>
      <c r="M90" s="50"/>
      <c r="N90" s="50"/>
      <c r="O90" s="55"/>
      <c r="P90" s="39"/>
      <c r="Q90" s="50"/>
      <c r="R90" s="50"/>
      <c r="S90" s="50"/>
      <c r="T90" s="62">
        <f t="shared" ref="T90:T95" si="11">SUM(B90:S90)</f>
        <v>0</v>
      </c>
      <c r="U90" s="242">
        <v>280.0</v>
      </c>
      <c r="V90" s="68">
        <f t="shared" ref="V90:V95" si="12">T90*U90</f>
        <v>0</v>
      </c>
      <c r="W90" s="17"/>
      <c r="X90" s="180" t="s">
        <v>172</v>
      </c>
      <c r="Y90" s="155"/>
    </row>
    <row r="91">
      <c r="A91" s="197" t="s">
        <v>173</v>
      </c>
      <c r="B91" s="34"/>
      <c r="C91" s="38"/>
      <c r="D91" s="38"/>
      <c r="E91" s="50"/>
      <c r="F91" s="40"/>
      <c r="G91" s="41"/>
      <c r="H91" s="77"/>
      <c r="I91" s="55"/>
      <c r="J91" s="47"/>
      <c r="K91" s="50"/>
      <c r="L91" s="50"/>
      <c r="M91" s="50"/>
      <c r="N91" s="50"/>
      <c r="O91" s="55"/>
      <c r="P91" s="39">
        <v>1.0</v>
      </c>
      <c r="Q91" s="50"/>
      <c r="R91" s="50"/>
      <c r="S91" s="50"/>
      <c r="T91" s="62">
        <f t="shared" si="11"/>
        <v>1</v>
      </c>
      <c r="U91" s="242">
        <v>260.0</v>
      </c>
      <c r="V91" s="68">
        <f t="shared" si="12"/>
        <v>260</v>
      </c>
      <c r="W91" s="17"/>
      <c r="X91" s="155"/>
      <c r="Y91" s="155"/>
    </row>
    <row r="92">
      <c r="A92" s="243" t="s">
        <v>174</v>
      </c>
      <c r="B92" s="34"/>
      <c r="C92" s="36">
        <v>3.0</v>
      </c>
      <c r="D92" s="38"/>
      <c r="E92" s="50"/>
      <c r="F92" s="40"/>
      <c r="G92" s="41"/>
      <c r="H92" s="77"/>
      <c r="I92" s="55"/>
      <c r="J92" s="47"/>
      <c r="K92" s="50"/>
      <c r="L92" s="50"/>
      <c r="M92" s="50"/>
      <c r="N92" s="50"/>
      <c r="O92" s="55"/>
      <c r="P92" s="39">
        <v>1.0</v>
      </c>
      <c r="Q92" s="50"/>
      <c r="R92" s="50"/>
      <c r="S92" s="39">
        <v>1.0</v>
      </c>
      <c r="T92" s="62">
        <f t="shared" si="11"/>
        <v>5</v>
      </c>
      <c r="U92" s="242">
        <v>380.0</v>
      </c>
      <c r="V92" s="68">
        <f t="shared" si="12"/>
        <v>1900</v>
      </c>
      <c r="W92" s="17"/>
      <c r="X92" s="155"/>
      <c r="Y92" s="155"/>
    </row>
    <row r="93">
      <c r="A93" s="243" t="s">
        <v>176</v>
      </c>
      <c r="B93" s="34"/>
      <c r="C93" s="38"/>
      <c r="D93" s="38"/>
      <c r="E93" s="50"/>
      <c r="F93" s="40"/>
      <c r="G93" s="41"/>
      <c r="H93" s="77"/>
      <c r="I93" s="55"/>
      <c r="J93" s="47"/>
      <c r="K93" s="50"/>
      <c r="L93" s="50"/>
      <c r="M93" s="50"/>
      <c r="N93" s="50"/>
      <c r="O93" s="55"/>
      <c r="P93" s="50"/>
      <c r="Q93" s="50"/>
      <c r="R93" s="50"/>
      <c r="S93" s="39">
        <v>2.0</v>
      </c>
      <c r="T93" s="62">
        <f t="shared" si="11"/>
        <v>2</v>
      </c>
      <c r="U93" s="242">
        <v>420.0</v>
      </c>
      <c r="V93" s="68">
        <f t="shared" si="12"/>
        <v>840</v>
      </c>
      <c r="W93" s="17"/>
      <c r="X93" s="155"/>
      <c r="Y93" s="155"/>
    </row>
    <row r="94">
      <c r="A94" s="197" t="s">
        <v>177</v>
      </c>
      <c r="B94" s="83"/>
      <c r="C94" s="38"/>
      <c r="D94" s="36">
        <v>5.0</v>
      </c>
      <c r="E94" s="50"/>
      <c r="F94" s="40"/>
      <c r="G94" s="41"/>
      <c r="H94" s="77"/>
      <c r="I94" s="55"/>
      <c r="J94" s="47"/>
      <c r="K94" s="50"/>
      <c r="L94" s="50"/>
      <c r="M94" s="50"/>
      <c r="N94" s="39">
        <v>2.0</v>
      </c>
      <c r="O94" s="55"/>
      <c r="P94" s="39">
        <v>1.0</v>
      </c>
      <c r="Q94" s="50"/>
      <c r="R94" s="50"/>
      <c r="S94" s="39">
        <v>6.0</v>
      </c>
      <c r="T94" s="62">
        <f t="shared" si="11"/>
        <v>14</v>
      </c>
      <c r="U94" s="242">
        <v>795.0</v>
      </c>
      <c r="V94" s="68">
        <f t="shared" si="12"/>
        <v>11130</v>
      </c>
      <c r="W94" s="17"/>
      <c r="X94" s="155"/>
      <c r="Y94" s="155"/>
    </row>
    <row r="95">
      <c r="A95" s="243" t="s">
        <v>179</v>
      </c>
      <c r="B95" s="157"/>
      <c r="C95" s="172"/>
      <c r="D95" s="172"/>
      <c r="E95" s="159"/>
      <c r="F95" s="160"/>
      <c r="G95" s="161"/>
      <c r="H95" s="162"/>
      <c r="I95" s="163"/>
      <c r="J95" s="248"/>
      <c r="K95" s="159"/>
      <c r="L95" s="159"/>
      <c r="M95" s="165"/>
      <c r="N95" s="159"/>
      <c r="O95" s="163"/>
      <c r="P95" s="165"/>
      <c r="Q95" s="159"/>
      <c r="R95" s="165"/>
      <c r="S95" s="159"/>
      <c r="T95" s="166">
        <f t="shared" si="11"/>
        <v>0</v>
      </c>
      <c r="U95" s="249">
        <v>550.0</v>
      </c>
      <c r="V95" s="168">
        <f t="shared" si="12"/>
        <v>0</v>
      </c>
      <c r="W95" s="17"/>
      <c r="X95" s="155"/>
      <c r="Y95" s="155"/>
    </row>
    <row r="96">
      <c r="A96" s="169" t="s">
        <v>45</v>
      </c>
      <c r="B96" s="128"/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9"/>
      <c r="V96" s="174">
        <f>SUM(V90:V95)</f>
        <v>14130</v>
      </c>
      <c r="W96" s="17"/>
      <c r="X96" s="176"/>
      <c r="Y96" s="176"/>
    </row>
    <row r="97">
      <c r="A97" s="24" t="s">
        <v>181</v>
      </c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8"/>
      <c r="W97" s="17"/>
      <c r="X97" s="178"/>
      <c r="Y97" s="178"/>
    </row>
    <row r="98">
      <c r="A98" s="197" t="s">
        <v>182</v>
      </c>
      <c r="B98" s="83"/>
      <c r="C98" s="36">
        <v>6.0</v>
      </c>
      <c r="D98" s="36">
        <v>16.0</v>
      </c>
      <c r="E98" s="39">
        <v>1.0</v>
      </c>
      <c r="F98" s="40"/>
      <c r="G98" s="41"/>
      <c r="H98" s="43">
        <v>187.0</v>
      </c>
      <c r="I98" s="45"/>
      <c r="J98" s="47"/>
      <c r="K98" s="39">
        <v>4.0</v>
      </c>
      <c r="L98" s="39">
        <v>6.0</v>
      </c>
      <c r="M98" s="39">
        <v>10.0</v>
      </c>
      <c r="N98" s="50"/>
      <c r="O98" s="55"/>
      <c r="P98" s="39">
        <v>6.0</v>
      </c>
      <c r="Q98" s="39">
        <v>5.0</v>
      </c>
      <c r="R98" s="39">
        <v>29.0</v>
      </c>
      <c r="S98" s="39">
        <v>176.0</v>
      </c>
      <c r="T98" s="62">
        <f t="shared" ref="T98:T102" si="13">SUM(B98:S98)</f>
        <v>446</v>
      </c>
      <c r="U98" s="80">
        <v>50.0</v>
      </c>
      <c r="V98" s="68">
        <f t="shared" ref="V98:V102" si="14">T98*U98</f>
        <v>22300</v>
      </c>
      <c r="W98" s="17"/>
      <c r="X98" s="155"/>
      <c r="Y98" s="155"/>
    </row>
    <row r="99">
      <c r="A99" s="197" t="s">
        <v>183</v>
      </c>
      <c r="B99" s="34"/>
      <c r="C99" s="38"/>
      <c r="D99" s="36">
        <v>3.0</v>
      </c>
      <c r="E99" s="50"/>
      <c r="F99" s="40"/>
      <c r="G99" s="41"/>
      <c r="H99" s="43">
        <v>51.0</v>
      </c>
      <c r="I99" s="55"/>
      <c r="J99" s="47"/>
      <c r="K99" s="39">
        <v>7.0</v>
      </c>
      <c r="L99" s="50"/>
      <c r="M99" s="39">
        <v>1.0</v>
      </c>
      <c r="N99" s="50"/>
      <c r="O99" s="55"/>
      <c r="P99" s="39">
        <v>1.0</v>
      </c>
      <c r="Q99" s="39">
        <v>2.0</v>
      </c>
      <c r="R99" s="39">
        <v>2.0</v>
      </c>
      <c r="S99" s="39">
        <v>3.0</v>
      </c>
      <c r="T99" s="62">
        <f t="shared" si="13"/>
        <v>70</v>
      </c>
      <c r="U99" s="80">
        <v>60.0</v>
      </c>
      <c r="V99" s="68">
        <f t="shared" si="14"/>
        <v>4200</v>
      </c>
      <c r="W99" s="17"/>
      <c r="X99" s="155"/>
      <c r="Y99" s="155"/>
    </row>
    <row r="100">
      <c r="A100" s="197" t="s">
        <v>185</v>
      </c>
      <c r="B100" s="34"/>
      <c r="C100" s="36"/>
      <c r="D100" s="38"/>
      <c r="E100" s="50"/>
      <c r="F100" s="40"/>
      <c r="G100" s="41"/>
      <c r="H100" s="43">
        <v>5.0</v>
      </c>
      <c r="I100" s="45"/>
      <c r="J100" s="47"/>
      <c r="K100" s="39">
        <v>3.0</v>
      </c>
      <c r="L100" s="50"/>
      <c r="M100" s="50"/>
      <c r="N100" s="50"/>
      <c r="O100" s="55"/>
      <c r="P100" s="39">
        <v>1.0</v>
      </c>
      <c r="Q100" s="39">
        <v>2.0</v>
      </c>
      <c r="R100" s="50"/>
      <c r="S100" s="50"/>
      <c r="T100" s="62">
        <f t="shared" si="13"/>
        <v>11</v>
      </c>
      <c r="U100" s="80">
        <v>150.0</v>
      </c>
      <c r="V100" s="68">
        <f t="shared" si="14"/>
        <v>1650</v>
      </c>
      <c r="W100" s="17"/>
      <c r="X100" s="155"/>
      <c r="Y100" s="155"/>
    </row>
    <row r="101">
      <c r="A101" s="197" t="s">
        <v>186</v>
      </c>
      <c r="B101" s="83"/>
      <c r="C101" s="36">
        <v>10.0</v>
      </c>
      <c r="D101" s="36">
        <v>1.0</v>
      </c>
      <c r="E101" s="50"/>
      <c r="F101" s="40"/>
      <c r="G101" s="41"/>
      <c r="H101" s="77"/>
      <c r="I101" s="55"/>
      <c r="J101" s="47"/>
      <c r="K101" s="39"/>
      <c r="L101" s="39">
        <v>1.0</v>
      </c>
      <c r="M101" s="39">
        <v>2.0</v>
      </c>
      <c r="N101" s="50"/>
      <c r="O101" s="55"/>
      <c r="P101" s="39">
        <v>1.0</v>
      </c>
      <c r="Q101" s="50"/>
      <c r="R101" s="39"/>
      <c r="S101" s="39">
        <v>38.0</v>
      </c>
      <c r="T101" s="62">
        <f t="shared" si="13"/>
        <v>53</v>
      </c>
      <c r="U101" s="80">
        <v>130.0</v>
      </c>
      <c r="V101" s="68">
        <f t="shared" si="14"/>
        <v>6890</v>
      </c>
      <c r="W101" s="17"/>
      <c r="X101" s="155"/>
      <c r="Y101" s="155"/>
    </row>
    <row r="102">
      <c r="A102" s="243" t="s">
        <v>187</v>
      </c>
      <c r="B102" s="157"/>
      <c r="C102" s="158">
        <v>4.0</v>
      </c>
      <c r="D102" s="158">
        <v>4.0</v>
      </c>
      <c r="E102" s="165">
        <v>3.0</v>
      </c>
      <c r="F102" s="160"/>
      <c r="G102" s="161"/>
      <c r="H102" s="250">
        <v>16.0</v>
      </c>
      <c r="I102" s="237"/>
      <c r="J102" s="248"/>
      <c r="K102" s="165"/>
      <c r="L102" s="165">
        <v>1.0</v>
      </c>
      <c r="M102" s="165">
        <v>4.0</v>
      </c>
      <c r="N102" s="165">
        <v>2.0</v>
      </c>
      <c r="O102" s="163"/>
      <c r="P102" s="165"/>
      <c r="Q102" s="165">
        <v>3.0</v>
      </c>
      <c r="R102" s="165">
        <v>1.0</v>
      </c>
      <c r="S102" s="165">
        <v>16.0</v>
      </c>
      <c r="T102" s="166">
        <f t="shared" si="13"/>
        <v>54</v>
      </c>
      <c r="U102" s="167">
        <v>1650.0</v>
      </c>
      <c r="V102" s="168">
        <f t="shared" si="14"/>
        <v>89100</v>
      </c>
      <c r="W102" s="17"/>
      <c r="X102" s="155"/>
      <c r="Y102" s="155"/>
    </row>
    <row r="103">
      <c r="A103" s="251" t="s">
        <v>45</v>
      </c>
      <c r="B103" s="128"/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9"/>
      <c r="V103" s="238">
        <f>SUM(V98:V102)</f>
        <v>124140</v>
      </c>
      <c r="W103" s="17"/>
      <c r="X103" s="195"/>
      <c r="Y103" s="195"/>
    </row>
    <row r="104">
      <c r="A104" s="24" t="s">
        <v>188</v>
      </c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8"/>
      <c r="W104" s="17"/>
      <c r="X104" s="178"/>
      <c r="Y104" s="178"/>
    </row>
    <row r="105">
      <c r="A105" s="252" t="s">
        <v>189</v>
      </c>
      <c r="B105" s="34"/>
      <c r="C105" s="38"/>
      <c r="D105" s="38"/>
      <c r="E105" s="50"/>
      <c r="F105" s="40"/>
      <c r="G105" s="41"/>
      <c r="H105" s="77"/>
      <c r="I105" s="55"/>
      <c r="J105" s="47"/>
      <c r="K105" s="50"/>
      <c r="L105" s="50"/>
      <c r="M105" s="50"/>
      <c r="N105" s="50"/>
      <c r="O105" s="55"/>
      <c r="P105" s="50"/>
      <c r="Q105" s="50"/>
      <c r="R105" s="50"/>
      <c r="S105" s="50"/>
      <c r="T105" s="62">
        <f t="shared" ref="T105:T107" si="15">SUM(B105:S105)</f>
        <v>0</v>
      </c>
      <c r="U105" s="80">
        <v>1036.0</v>
      </c>
      <c r="V105" s="68">
        <f t="shared" ref="V105:V107" si="16">T105*U105</f>
        <v>0</v>
      </c>
      <c r="W105" s="17"/>
      <c r="X105" s="180" t="s">
        <v>190</v>
      </c>
      <c r="Y105" s="155"/>
    </row>
    <row r="106">
      <c r="A106" s="33" t="s">
        <v>25</v>
      </c>
      <c r="B106" s="34"/>
      <c r="C106" s="38"/>
      <c r="D106" s="36"/>
      <c r="E106" s="50"/>
      <c r="F106" s="40"/>
      <c r="G106" s="41"/>
      <c r="H106" s="77"/>
      <c r="I106" s="55"/>
      <c r="J106" s="47"/>
      <c r="K106" s="50"/>
      <c r="L106" s="50"/>
      <c r="M106" s="50"/>
      <c r="N106" s="50"/>
      <c r="O106" s="55"/>
      <c r="P106" s="50"/>
      <c r="Q106" s="50"/>
      <c r="R106" s="50"/>
      <c r="S106" s="50"/>
      <c r="T106" s="62">
        <f t="shared" si="15"/>
        <v>0</v>
      </c>
      <c r="U106" s="80">
        <v>840.0</v>
      </c>
      <c r="V106" s="68">
        <f t="shared" si="16"/>
        <v>0</v>
      </c>
      <c r="W106" s="17"/>
      <c r="X106" s="155"/>
      <c r="Y106" s="155"/>
    </row>
    <row r="107">
      <c r="A107" s="253" t="s">
        <v>17</v>
      </c>
      <c r="B107" s="157"/>
      <c r="C107" s="158">
        <v>4.0</v>
      </c>
      <c r="D107" s="158"/>
      <c r="E107" s="165">
        <v>3.0</v>
      </c>
      <c r="F107" s="160"/>
      <c r="G107" s="161"/>
      <c r="H107" s="250">
        <v>8.0</v>
      </c>
      <c r="I107" s="237"/>
      <c r="J107" s="248"/>
      <c r="K107" s="165">
        <v>3.0</v>
      </c>
      <c r="L107" s="165">
        <v>6.0</v>
      </c>
      <c r="M107" s="165">
        <v>1.0</v>
      </c>
      <c r="N107" s="159"/>
      <c r="O107" s="163"/>
      <c r="P107" s="165"/>
      <c r="Q107" s="165">
        <v>4.0</v>
      </c>
      <c r="R107" s="165">
        <v>2.0</v>
      </c>
      <c r="S107" s="165">
        <v>8.0</v>
      </c>
      <c r="T107" s="166">
        <f t="shared" si="15"/>
        <v>39</v>
      </c>
      <c r="U107" s="167">
        <v>1125.0</v>
      </c>
      <c r="V107" s="168">
        <f t="shared" si="16"/>
        <v>43875</v>
      </c>
      <c r="W107" s="17"/>
      <c r="X107" s="155"/>
      <c r="Y107" s="155"/>
    </row>
    <row r="108">
      <c r="A108" s="254" t="s">
        <v>45</v>
      </c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9"/>
      <c r="V108" s="174">
        <f>SUM(V105:V107)</f>
        <v>43875</v>
      </c>
      <c r="W108" s="17"/>
      <c r="X108" s="255"/>
      <c r="Y108" s="255"/>
    </row>
    <row r="109">
      <c r="A109" s="256" t="s">
        <v>192</v>
      </c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8"/>
      <c r="W109" s="17"/>
      <c r="X109" s="257"/>
      <c r="Y109" s="257"/>
    </row>
    <row r="110">
      <c r="A110" s="258" t="s">
        <v>193</v>
      </c>
      <c r="B110" s="34"/>
      <c r="C110" s="36">
        <v>1.0</v>
      </c>
      <c r="D110" s="36">
        <v>1.0</v>
      </c>
      <c r="E110" s="39">
        <v>1.0</v>
      </c>
      <c r="F110" s="40"/>
      <c r="G110" s="41"/>
      <c r="H110" s="43">
        <v>58.0</v>
      </c>
      <c r="I110" s="55"/>
      <c r="J110" s="86"/>
      <c r="K110" s="39">
        <v>1.0</v>
      </c>
      <c r="L110" s="39">
        <v>1.0</v>
      </c>
      <c r="M110" s="50"/>
      <c r="N110" s="39">
        <v>1.0</v>
      </c>
      <c r="O110" s="55"/>
      <c r="P110" s="39"/>
      <c r="Q110" s="39">
        <v>1.0</v>
      </c>
      <c r="R110" s="39"/>
      <c r="S110" s="39">
        <v>2.0</v>
      </c>
      <c r="T110" s="62">
        <f t="shared" ref="T110:T118" si="17">SUM(B110:S110)</f>
        <v>67</v>
      </c>
      <c r="U110" s="80">
        <v>130.0</v>
      </c>
      <c r="V110" s="68">
        <f t="shared" ref="V110:V118" si="18">T110*U110</f>
        <v>8710</v>
      </c>
      <c r="W110" s="17"/>
      <c r="X110" s="180" t="s">
        <v>195</v>
      </c>
      <c r="Y110" s="155"/>
    </row>
    <row r="111">
      <c r="A111" s="258" t="s">
        <v>196</v>
      </c>
      <c r="B111" s="34"/>
      <c r="C111" s="36">
        <v>1.0</v>
      </c>
      <c r="D111" s="38"/>
      <c r="E111" s="50"/>
      <c r="F111" s="40"/>
      <c r="G111" s="41"/>
      <c r="H111" s="43">
        <v>13.0</v>
      </c>
      <c r="I111" s="55"/>
      <c r="J111" s="86"/>
      <c r="K111" s="39">
        <v>1.0</v>
      </c>
      <c r="L111" s="39">
        <v>1.0</v>
      </c>
      <c r="M111" s="50"/>
      <c r="N111" s="50"/>
      <c r="O111" s="55"/>
      <c r="P111" s="50"/>
      <c r="Q111" s="39">
        <v>1.0</v>
      </c>
      <c r="R111" s="50"/>
      <c r="S111" s="39">
        <v>8.0</v>
      </c>
      <c r="T111" s="62">
        <f t="shared" si="17"/>
        <v>25</v>
      </c>
      <c r="U111" s="80">
        <v>130.0</v>
      </c>
      <c r="V111" s="68">
        <f t="shared" si="18"/>
        <v>3250</v>
      </c>
      <c r="W111" s="17"/>
      <c r="X111" s="155"/>
      <c r="Y111" s="155"/>
    </row>
    <row r="112">
      <c r="A112" s="258" t="s">
        <v>198</v>
      </c>
      <c r="B112" s="83"/>
      <c r="C112" s="36"/>
      <c r="D112" s="36">
        <v>5.0</v>
      </c>
      <c r="E112" s="39">
        <v>1.0</v>
      </c>
      <c r="F112" s="40"/>
      <c r="G112" s="41"/>
      <c r="H112" s="43">
        <v>48.0</v>
      </c>
      <c r="I112" s="55"/>
      <c r="J112" s="47"/>
      <c r="K112" s="39">
        <v>1.0</v>
      </c>
      <c r="L112" s="39">
        <v>1.0</v>
      </c>
      <c r="M112" s="50"/>
      <c r="N112" s="39">
        <v>3.0</v>
      </c>
      <c r="O112" s="55"/>
      <c r="P112" s="39"/>
      <c r="Q112" s="39">
        <v>2.0</v>
      </c>
      <c r="R112" s="39">
        <v>2.0</v>
      </c>
      <c r="S112" s="39">
        <v>4.0</v>
      </c>
      <c r="T112" s="62">
        <f t="shared" si="17"/>
        <v>67</v>
      </c>
      <c r="U112" s="80">
        <v>90.0</v>
      </c>
      <c r="V112" s="68">
        <f t="shared" si="18"/>
        <v>6030</v>
      </c>
      <c r="W112" s="17"/>
      <c r="X112" s="155"/>
      <c r="Y112" s="155"/>
    </row>
    <row r="113">
      <c r="A113" s="147" t="s">
        <v>199</v>
      </c>
      <c r="B113" s="34"/>
      <c r="C113" s="38"/>
      <c r="D113" s="38"/>
      <c r="E113" s="50"/>
      <c r="F113" s="40"/>
      <c r="G113" s="41"/>
      <c r="H113" s="77"/>
      <c r="I113" s="55"/>
      <c r="J113" s="47"/>
      <c r="K113" s="50"/>
      <c r="L113" s="50"/>
      <c r="M113" s="50"/>
      <c r="N113" s="50"/>
      <c r="O113" s="55"/>
      <c r="P113" s="50"/>
      <c r="Q113" s="50"/>
      <c r="R113" s="50"/>
      <c r="S113" s="50"/>
      <c r="T113" s="62">
        <f t="shared" si="17"/>
        <v>0</v>
      </c>
      <c r="U113" s="80">
        <v>90.0</v>
      </c>
      <c r="V113" s="68">
        <f t="shared" si="18"/>
        <v>0</v>
      </c>
      <c r="W113" s="17"/>
      <c r="X113" s="155"/>
      <c r="Y113" s="155"/>
    </row>
    <row r="114">
      <c r="A114" s="258" t="s">
        <v>201</v>
      </c>
      <c r="B114" s="83"/>
      <c r="C114" s="36">
        <v>2.0</v>
      </c>
      <c r="D114" s="36">
        <v>4.0</v>
      </c>
      <c r="E114" s="50"/>
      <c r="F114" s="40"/>
      <c r="G114" s="41"/>
      <c r="H114" s="43">
        <v>101.0</v>
      </c>
      <c r="I114" s="45"/>
      <c r="J114" s="86"/>
      <c r="K114" s="39">
        <v>2.0</v>
      </c>
      <c r="L114" s="39">
        <v>2.0</v>
      </c>
      <c r="M114" s="39">
        <v>3.0</v>
      </c>
      <c r="N114" s="39">
        <v>1.0</v>
      </c>
      <c r="O114" s="55"/>
      <c r="P114" s="39">
        <v>1.0</v>
      </c>
      <c r="Q114" s="39">
        <v>2.0</v>
      </c>
      <c r="R114" s="39">
        <v>4.0</v>
      </c>
      <c r="S114" s="39">
        <v>1.0</v>
      </c>
      <c r="T114" s="62">
        <f t="shared" si="17"/>
        <v>123</v>
      </c>
      <c r="U114" s="80">
        <v>200.0</v>
      </c>
      <c r="V114" s="68">
        <f t="shared" si="18"/>
        <v>24600</v>
      </c>
      <c r="W114" s="17"/>
      <c r="X114" s="155"/>
      <c r="Y114" s="155"/>
    </row>
    <row r="115">
      <c r="A115" s="258" t="s">
        <v>203</v>
      </c>
      <c r="B115" s="34"/>
      <c r="C115" s="38"/>
      <c r="D115" s="38"/>
      <c r="E115" s="50"/>
      <c r="F115" s="40"/>
      <c r="G115" s="41"/>
      <c r="H115" s="77"/>
      <c r="I115" s="55"/>
      <c r="J115" s="47"/>
      <c r="K115" s="50"/>
      <c r="L115" s="50"/>
      <c r="M115" s="50"/>
      <c r="N115" s="50"/>
      <c r="O115" s="55"/>
      <c r="P115" s="50"/>
      <c r="Q115" s="50"/>
      <c r="R115" s="50"/>
      <c r="S115" s="39"/>
      <c r="T115" s="62">
        <f t="shared" si="17"/>
        <v>0</v>
      </c>
      <c r="U115" s="80">
        <v>200.0</v>
      </c>
      <c r="V115" s="68">
        <f t="shared" si="18"/>
        <v>0</v>
      </c>
      <c r="W115" s="17"/>
      <c r="X115" s="155"/>
      <c r="Y115" s="155"/>
    </row>
    <row r="116">
      <c r="A116" s="258" t="s">
        <v>204</v>
      </c>
      <c r="B116" s="34"/>
      <c r="C116" s="38"/>
      <c r="D116" s="38"/>
      <c r="E116" s="50"/>
      <c r="F116" s="40"/>
      <c r="G116" s="41"/>
      <c r="H116" s="77"/>
      <c r="I116" s="55"/>
      <c r="J116" s="47"/>
      <c r="K116" s="50"/>
      <c r="L116" s="50"/>
      <c r="M116" s="50"/>
      <c r="N116" s="50"/>
      <c r="O116" s="55"/>
      <c r="P116" s="50"/>
      <c r="Q116" s="50"/>
      <c r="R116" s="50"/>
      <c r="S116" s="50"/>
      <c r="T116" s="62">
        <f t="shared" si="17"/>
        <v>0</v>
      </c>
      <c r="U116" s="80">
        <v>600.0</v>
      </c>
      <c r="V116" s="68">
        <f t="shared" si="18"/>
        <v>0</v>
      </c>
      <c r="W116" s="17"/>
      <c r="X116" s="155"/>
      <c r="Y116" s="155"/>
    </row>
    <row r="117">
      <c r="A117" s="258" t="s">
        <v>205</v>
      </c>
      <c r="B117" s="34"/>
      <c r="C117" s="36">
        <v>1.0</v>
      </c>
      <c r="D117" s="36"/>
      <c r="E117" s="50"/>
      <c r="F117" s="40"/>
      <c r="G117" s="41"/>
      <c r="H117" s="43">
        <v>18.0</v>
      </c>
      <c r="I117" s="55"/>
      <c r="J117" s="47"/>
      <c r="K117" s="39">
        <v>2.0</v>
      </c>
      <c r="L117" s="50"/>
      <c r="M117" s="39">
        <v>1.0</v>
      </c>
      <c r="N117" s="39">
        <v>2.0</v>
      </c>
      <c r="O117" s="55"/>
      <c r="P117" s="50"/>
      <c r="Q117" s="39">
        <v>3.0</v>
      </c>
      <c r="R117" s="39">
        <v>3.0</v>
      </c>
      <c r="S117" s="39">
        <v>6.0</v>
      </c>
      <c r="T117" s="62">
        <f t="shared" si="17"/>
        <v>36</v>
      </c>
      <c r="U117" s="80">
        <v>600.0</v>
      </c>
      <c r="V117" s="68">
        <f t="shared" si="18"/>
        <v>21600</v>
      </c>
      <c r="W117" s="17"/>
      <c r="X117" s="155"/>
      <c r="Y117" s="155"/>
    </row>
    <row r="118">
      <c r="A118" s="259" t="s">
        <v>206</v>
      </c>
      <c r="B118" s="157"/>
      <c r="C118" s="172"/>
      <c r="D118" s="172"/>
      <c r="E118" s="159"/>
      <c r="F118" s="160"/>
      <c r="G118" s="161"/>
      <c r="H118" s="250">
        <v>1.0</v>
      </c>
      <c r="I118" s="163"/>
      <c r="J118" s="164"/>
      <c r="K118" s="159"/>
      <c r="L118" s="159"/>
      <c r="M118" s="159"/>
      <c r="N118" s="159"/>
      <c r="O118" s="163"/>
      <c r="P118" s="159"/>
      <c r="Q118" s="159"/>
      <c r="R118" s="159"/>
      <c r="S118" s="159"/>
      <c r="T118" s="166">
        <f t="shared" si="17"/>
        <v>1</v>
      </c>
      <c r="U118" s="167">
        <v>1300.0</v>
      </c>
      <c r="V118" s="168">
        <f t="shared" si="18"/>
        <v>1300</v>
      </c>
      <c r="W118" s="17"/>
      <c r="X118" s="155"/>
      <c r="Y118" s="155"/>
    </row>
    <row r="119">
      <c r="A119" s="254" t="s">
        <v>45</v>
      </c>
      <c r="B119" s="128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9"/>
      <c r="V119" s="260">
        <f>SUM(V110:V118)</f>
        <v>65490</v>
      </c>
      <c r="W119" s="17"/>
      <c r="X119" s="261"/>
      <c r="Y119" s="261"/>
    </row>
    <row r="120">
      <c r="A120" s="262" t="s">
        <v>208</v>
      </c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8"/>
      <c r="W120" s="17"/>
      <c r="X120" s="257"/>
      <c r="Y120" s="257"/>
    </row>
    <row r="121">
      <c r="A121" s="142" t="s">
        <v>210</v>
      </c>
      <c r="B121" s="34"/>
      <c r="C121" s="38"/>
      <c r="D121" s="38"/>
      <c r="E121" s="50"/>
      <c r="F121" s="40"/>
      <c r="G121" s="41"/>
      <c r="H121" s="77"/>
      <c r="I121" s="55"/>
      <c r="J121" s="47"/>
      <c r="K121" s="50"/>
      <c r="L121" s="50"/>
      <c r="M121" s="50"/>
      <c r="N121" s="50"/>
      <c r="O121" s="55"/>
      <c r="P121" s="50"/>
      <c r="Q121" s="50"/>
      <c r="R121" s="50"/>
      <c r="S121" s="50"/>
      <c r="T121" s="62">
        <f t="shared" ref="T121:T126" si="19">SUM(B121:S121)</f>
        <v>0</v>
      </c>
      <c r="U121" s="80">
        <v>700.0</v>
      </c>
      <c r="V121" s="68">
        <f t="shared" ref="V121:V126" si="20">T121*U121</f>
        <v>0</v>
      </c>
      <c r="W121" s="17"/>
      <c r="X121" s="180" t="s">
        <v>212</v>
      </c>
      <c r="Y121" s="155"/>
    </row>
    <row r="122">
      <c r="A122" s="142" t="s">
        <v>213</v>
      </c>
      <c r="B122" s="34"/>
      <c r="C122" s="38"/>
      <c r="D122" s="38"/>
      <c r="E122" s="50"/>
      <c r="F122" s="40"/>
      <c r="G122" s="41"/>
      <c r="H122" s="77"/>
      <c r="I122" s="55"/>
      <c r="J122" s="47"/>
      <c r="K122" s="50"/>
      <c r="L122" s="50"/>
      <c r="M122" s="50"/>
      <c r="N122" s="50"/>
      <c r="O122" s="55"/>
      <c r="P122" s="39">
        <v>1.0</v>
      </c>
      <c r="Q122" s="50"/>
      <c r="R122" s="50"/>
      <c r="S122" s="50"/>
      <c r="T122" s="62">
        <f t="shared" si="19"/>
        <v>1</v>
      </c>
      <c r="U122" s="80">
        <v>1450.0</v>
      </c>
      <c r="V122" s="68">
        <f t="shared" si="20"/>
        <v>1450</v>
      </c>
      <c r="W122" s="17"/>
      <c r="X122" s="155"/>
      <c r="Y122" s="155"/>
    </row>
    <row r="123">
      <c r="A123" s="142" t="s">
        <v>215</v>
      </c>
      <c r="B123" s="34"/>
      <c r="C123" s="38"/>
      <c r="D123" s="38"/>
      <c r="E123" s="50"/>
      <c r="F123" s="40"/>
      <c r="G123" s="41"/>
      <c r="H123" s="77"/>
      <c r="I123" s="55"/>
      <c r="J123" s="47"/>
      <c r="K123" s="50"/>
      <c r="L123" s="39">
        <v>2.0</v>
      </c>
      <c r="M123" s="50"/>
      <c r="N123" s="39">
        <v>1.0</v>
      </c>
      <c r="O123" s="55"/>
      <c r="P123" s="50"/>
      <c r="Q123" s="50"/>
      <c r="R123" s="39">
        <v>1.0</v>
      </c>
      <c r="S123" s="39">
        <v>10.0</v>
      </c>
      <c r="T123" s="62">
        <f t="shared" si="19"/>
        <v>14</v>
      </c>
      <c r="U123" s="80">
        <v>800.0</v>
      </c>
      <c r="V123" s="68">
        <f t="shared" si="20"/>
        <v>11200</v>
      </c>
      <c r="W123" s="17"/>
      <c r="X123" s="155"/>
      <c r="Y123" s="155"/>
    </row>
    <row r="124">
      <c r="A124" s="142" t="s">
        <v>217</v>
      </c>
      <c r="B124" s="83"/>
      <c r="C124" s="38"/>
      <c r="D124" s="36">
        <v>6.0</v>
      </c>
      <c r="E124" s="39">
        <v>1.0</v>
      </c>
      <c r="F124" s="40"/>
      <c r="G124" s="41"/>
      <c r="H124" s="43">
        <v>3.0</v>
      </c>
      <c r="I124" s="55"/>
      <c r="J124" s="47"/>
      <c r="K124" s="50"/>
      <c r="L124" s="50"/>
      <c r="M124" s="50"/>
      <c r="N124" s="50"/>
      <c r="O124" s="55"/>
      <c r="P124" s="39"/>
      <c r="Q124" s="50"/>
      <c r="R124" s="50"/>
      <c r="S124" s="39"/>
      <c r="T124" s="62">
        <f t="shared" si="19"/>
        <v>10</v>
      </c>
      <c r="U124" s="80">
        <v>800.0</v>
      </c>
      <c r="V124" s="68">
        <f t="shared" si="20"/>
        <v>8000</v>
      </c>
      <c r="W124" s="17"/>
      <c r="X124" s="155"/>
      <c r="Y124" s="155"/>
    </row>
    <row r="125">
      <c r="A125" s="142" t="s">
        <v>220</v>
      </c>
      <c r="B125" s="83"/>
      <c r="C125" s="36">
        <v>1.0</v>
      </c>
      <c r="D125" s="36"/>
      <c r="E125" s="39">
        <v>1.0</v>
      </c>
      <c r="F125" s="40"/>
      <c r="G125" s="41"/>
      <c r="H125" s="43">
        <v>99.0</v>
      </c>
      <c r="I125" s="55"/>
      <c r="J125" s="86"/>
      <c r="K125" s="39">
        <v>9.0</v>
      </c>
      <c r="L125" s="39">
        <v>6.0</v>
      </c>
      <c r="M125" s="39">
        <v>4.0</v>
      </c>
      <c r="N125" s="39">
        <v>1.0</v>
      </c>
      <c r="O125" s="55"/>
      <c r="P125" s="39">
        <v>2.0</v>
      </c>
      <c r="Q125" s="39">
        <v>21.0</v>
      </c>
      <c r="R125" s="39">
        <v>22.0</v>
      </c>
      <c r="S125" s="39">
        <v>15.0</v>
      </c>
      <c r="T125" s="62">
        <f t="shared" si="19"/>
        <v>181</v>
      </c>
      <c r="U125" s="80">
        <v>260.0</v>
      </c>
      <c r="V125" s="68">
        <f t="shared" si="20"/>
        <v>47060</v>
      </c>
      <c r="W125" s="17"/>
      <c r="X125" s="155"/>
      <c r="Y125" s="155"/>
    </row>
    <row r="126">
      <c r="A126" s="263" t="s">
        <v>221</v>
      </c>
      <c r="B126" s="264"/>
      <c r="C126" s="158">
        <v>1.0</v>
      </c>
      <c r="D126" s="158">
        <v>1.0</v>
      </c>
      <c r="E126" s="165">
        <v>1.0</v>
      </c>
      <c r="F126" s="160"/>
      <c r="G126" s="161"/>
      <c r="H126" s="250">
        <v>70.0</v>
      </c>
      <c r="I126" s="163"/>
      <c r="J126" s="164"/>
      <c r="K126" s="159"/>
      <c r="L126" s="159"/>
      <c r="M126" s="159"/>
      <c r="N126" s="159"/>
      <c r="O126" s="163"/>
      <c r="P126" s="159"/>
      <c r="Q126" s="159"/>
      <c r="R126" s="159"/>
      <c r="S126" s="165">
        <v>3.0</v>
      </c>
      <c r="T126" s="166">
        <f t="shared" si="19"/>
        <v>76</v>
      </c>
      <c r="U126" s="167">
        <v>180.0</v>
      </c>
      <c r="V126" s="168">
        <f t="shared" si="20"/>
        <v>13680</v>
      </c>
      <c r="W126" s="17"/>
      <c r="X126" s="155"/>
      <c r="Y126" s="155"/>
    </row>
    <row r="127">
      <c r="A127" s="254" t="s">
        <v>45</v>
      </c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9"/>
      <c r="V127" s="260">
        <f>SUM(V121:V126)</f>
        <v>81390</v>
      </c>
      <c r="W127" s="17"/>
      <c r="X127" s="261"/>
      <c r="Y127" s="261"/>
    </row>
    <row r="128">
      <c r="A128" s="262" t="s">
        <v>223</v>
      </c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8"/>
      <c r="W128" s="17"/>
      <c r="X128" s="257"/>
      <c r="Y128" s="257"/>
    </row>
    <row r="129">
      <c r="A129" s="266" t="s">
        <v>224</v>
      </c>
      <c r="B129" s="83"/>
      <c r="C129" s="36">
        <v>2.0</v>
      </c>
      <c r="D129" s="36">
        <v>3.0</v>
      </c>
      <c r="E129" s="39">
        <v>4.0</v>
      </c>
      <c r="F129" s="40"/>
      <c r="G129" s="41"/>
      <c r="H129" s="43">
        <v>21.0</v>
      </c>
      <c r="I129" s="45"/>
      <c r="J129" s="86"/>
      <c r="K129" s="39">
        <v>1.0</v>
      </c>
      <c r="L129" s="39">
        <v>5.0</v>
      </c>
      <c r="M129" s="39">
        <v>4.0</v>
      </c>
      <c r="N129" s="39">
        <v>1.0</v>
      </c>
      <c r="O129" s="55"/>
      <c r="P129" s="39">
        <v>6.0</v>
      </c>
      <c r="Q129" s="39">
        <v>5.0</v>
      </c>
      <c r="R129" s="39">
        <v>3.0</v>
      </c>
      <c r="S129" s="39">
        <v>13.0</v>
      </c>
      <c r="T129" s="62">
        <f t="shared" ref="T129:T130" si="21">SUM(B129:S129)</f>
        <v>68</v>
      </c>
      <c r="U129" s="80">
        <v>325.0</v>
      </c>
      <c r="V129" s="68">
        <f t="shared" ref="V129:V130" si="22">T129*U129</f>
        <v>22100</v>
      </c>
      <c r="W129" s="17"/>
      <c r="X129" s="180" t="s">
        <v>14</v>
      </c>
      <c r="Y129" s="155"/>
    </row>
    <row r="130">
      <c r="A130" s="268" t="s">
        <v>226</v>
      </c>
      <c r="B130" s="83"/>
      <c r="C130" s="36"/>
      <c r="D130" s="36"/>
      <c r="E130" s="39">
        <v>3.0</v>
      </c>
      <c r="F130" s="40"/>
      <c r="G130" s="41"/>
      <c r="H130" s="43">
        <v>26.0</v>
      </c>
      <c r="I130" s="45"/>
      <c r="J130" s="47"/>
      <c r="K130" s="39">
        <v>3.0</v>
      </c>
      <c r="L130" s="39">
        <v>4.0</v>
      </c>
      <c r="M130" s="39"/>
      <c r="N130" s="39">
        <v>3.0</v>
      </c>
      <c r="O130" s="55"/>
      <c r="P130" s="39">
        <v>4.0</v>
      </c>
      <c r="Q130" s="39">
        <v>1.0</v>
      </c>
      <c r="R130" s="39">
        <v>5.0</v>
      </c>
      <c r="S130" s="39">
        <v>8.0</v>
      </c>
      <c r="T130" s="62">
        <f t="shared" si="21"/>
        <v>57</v>
      </c>
      <c r="U130" s="80">
        <v>485.0</v>
      </c>
      <c r="V130" s="68">
        <f t="shared" si="22"/>
        <v>27645</v>
      </c>
      <c r="W130" s="17"/>
      <c r="X130" s="155"/>
      <c r="Y130" s="155"/>
    </row>
    <row r="131">
      <c r="A131" s="254" t="s">
        <v>45</v>
      </c>
      <c r="B131" s="128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9"/>
      <c r="V131" s="260">
        <f>SUM(V129:V130)</f>
        <v>49745</v>
      </c>
      <c r="W131" s="17"/>
      <c r="X131" s="261"/>
      <c r="Y131" s="261"/>
    </row>
    <row r="132">
      <c r="A132" s="262" t="s">
        <v>230</v>
      </c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8"/>
      <c r="W132" s="17"/>
      <c r="X132" s="257"/>
      <c r="Y132" s="257"/>
    </row>
    <row r="133">
      <c r="A133" s="268" t="s">
        <v>231</v>
      </c>
      <c r="B133" s="34"/>
      <c r="C133" s="38"/>
      <c r="D133" s="38"/>
      <c r="E133" s="50"/>
      <c r="F133" s="40"/>
      <c r="G133" s="41"/>
      <c r="H133" s="43">
        <v>17.0</v>
      </c>
      <c r="I133" s="55"/>
      <c r="J133" s="47"/>
      <c r="K133" s="39">
        <v>3.0</v>
      </c>
      <c r="L133" s="39">
        <v>1.0</v>
      </c>
      <c r="M133" s="39">
        <v>1.0</v>
      </c>
      <c r="N133" s="39">
        <v>1.0</v>
      </c>
      <c r="O133" s="55"/>
      <c r="P133" s="39">
        <v>1.0</v>
      </c>
      <c r="Q133" s="39">
        <v>1.0</v>
      </c>
      <c r="R133" s="39">
        <v>4.0</v>
      </c>
      <c r="S133" s="39">
        <v>4.0</v>
      </c>
      <c r="T133" s="62">
        <f t="shared" ref="T133:T135" si="23">SUM(B133:S133)</f>
        <v>33</v>
      </c>
      <c r="U133" s="80">
        <v>1150.0</v>
      </c>
      <c r="V133" s="68">
        <f t="shared" ref="V133:V135" si="24">T133*U133</f>
        <v>37950</v>
      </c>
      <c r="W133" s="17"/>
      <c r="X133" s="155"/>
      <c r="Y133" s="155"/>
    </row>
    <row r="134">
      <c r="A134" s="268" t="s">
        <v>233</v>
      </c>
      <c r="B134" s="83"/>
      <c r="C134" s="36">
        <v>4.0</v>
      </c>
      <c r="D134" s="36">
        <v>3.0</v>
      </c>
      <c r="E134" s="39">
        <v>1.0</v>
      </c>
      <c r="F134" s="40"/>
      <c r="G134" s="41"/>
      <c r="H134" s="43">
        <v>30.0</v>
      </c>
      <c r="I134" s="45"/>
      <c r="J134" s="86"/>
      <c r="K134" s="39">
        <v>8.0</v>
      </c>
      <c r="L134" s="39">
        <v>5.0</v>
      </c>
      <c r="M134" s="39">
        <v>5.0</v>
      </c>
      <c r="N134" s="39">
        <v>3.0</v>
      </c>
      <c r="O134" s="55"/>
      <c r="P134" s="39">
        <v>4.0</v>
      </c>
      <c r="Q134" s="39">
        <v>3.0</v>
      </c>
      <c r="R134" s="39">
        <v>9.0</v>
      </c>
      <c r="S134" s="39">
        <v>6.0</v>
      </c>
      <c r="T134" s="62">
        <f t="shared" si="23"/>
        <v>81</v>
      </c>
      <c r="U134" s="80">
        <v>1250.0</v>
      </c>
      <c r="V134" s="68">
        <f t="shared" si="24"/>
        <v>101250</v>
      </c>
      <c r="W134" s="17"/>
      <c r="X134" s="155"/>
      <c r="Y134" s="155"/>
    </row>
    <row r="135">
      <c r="A135" s="156" t="s">
        <v>235</v>
      </c>
      <c r="B135" s="157"/>
      <c r="C135" s="172"/>
      <c r="D135" s="172"/>
      <c r="E135" s="159"/>
      <c r="F135" s="160"/>
      <c r="G135" s="161"/>
      <c r="H135" s="162"/>
      <c r="I135" s="237"/>
      <c r="J135" s="164"/>
      <c r="K135" s="159"/>
      <c r="L135" s="159"/>
      <c r="M135" s="159"/>
      <c r="N135" s="159"/>
      <c r="O135" s="163"/>
      <c r="P135" s="159"/>
      <c r="Q135" s="159"/>
      <c r="R135" s="159"/>
      <c r="S135" s="159"/>
      <c r="T135" s="166">
        <f t="shared" si="23"/>
        <v>0</v>
      </c>
      <c r="U135" s="168"/>
      <c r="V135" s="168">
        <f t="shared" si="24"/>
        <v>0</v>
      </c>
      <c r="W135" s="17"/>
      <c r="X135" s="155"/>
      <c r="Y135" s="155"/>
    </row>
    <row r="136">
      <c r="A136" s="254" t="s">
        <v>45</v>
      </c>
      <c r="B136" s="128"/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9"/>
      <c r="V136" s="270">
        <f>SUM(V133:V135)</f>
        <v>139200</v>
      </c>
      <c r="W136" s="17"/>
      <c r="X136" s="271"/>
      <c r="Y136" s="271"/>
    </row>
    <row r="137">
      <c r="A137" s="272" t="s">
        <v>238</v>
      </c>
      <c r="B137" s="134"/>
      <c r="C137" s="134"/>
      <c r="D137" s="134"/>
      <c r="E137" s="134"/>
      <c r="F137" s="134"/>
      <c r="G137" s="134"/>
      <c r="H137" s="134"/>
      <c r="I137" s="134"/>
      <c r="J137" s="134"/>
      <c r="K137" s="134"/>
      <c r="L137" s="134"/>
      <c r="M137" s="134"/>
      <c r="N137" s="134"/>
      <c r="O137" s="134"/>
      <c r="P137" s="134"/>
      <c r="Q137" s="134"/>
      <c r="R137" s="134"/>
      <c r="S137" s="134"/>
      <c r="T137" s="134"/>
      <c r="U137" s="134"/>
      <c r="V137" s="135"/>
      <c r="W137" s="17"/>
      <c r="X137" s="257"/>
      <c r="Y137" s="257"/>
    </row>
    <row r="138">
      <c r="A138" s="273" t="s">
        <v>228</v>
      </c>
      <c r="B138" s="34"/>
      <c r="C138" s="36"/>
      <c r="D138" s="36">
        <v>2.0</v>
      </c>
      <c r="E138" s="50"/>
      <c r="F138" s="40"/>
      <c r="G138" s="41"/>
      <c r="H138" s="77"/>
      <c r="I138" s="55"/>
      <c r="J138" s="47"/>
      <c r="K138" s="39"/>
      <c r="L138" s="50"/>
      <c r="M138" s="50"/>
      <c r="N138" s="50"/>
      <c r="O138" s="55"/>
      <c r="P138" s="39"/>
      <c r="Q138" s="39"/>
      <c r="R138" s="50"/>
      <c r="S138" s="39"/>
      <c r="T138" s="62">
        <f t="shared" ref="T138:T143" si="25">SUM(B138:S138)</f>
        <v>2</v>
      </c>
      <c r="U138" s="80">
        <v>320.0</v>
      </c>
      <c r="V138" s="68">
        <f t="shared" ref="V138:V143" si="26">T138*U138</f>
        <v>640</v>
      </c>
      <c r="W138" s="17"/>
      <c r="X138" s="155"/>
      <c r="Y138" s="155"/>
    </row>
    <row r="139">
      <c r="A139" s="197" t="s">
        <v>232</v>
      </c>
      <c r="B139" s="34"/>
      <c r="C139" s="38"/>
      <c r="D139" s="38"/>
      <c r="E139" s="50"/>
      <c r="F139" s="40"/>
      <c r="G139" s="41"/>
      <c r="H139" s="77"/>
      <c r="I139" s="55"/>
      <c r="J139" s="47"/>
      <c r="K139" s="50"/>
      <c r="L139" s="50"/>
      <c r="M139" s="50"/>
      <c r="N139" s="50"/>
      <c r="O139" s="55"/>
      <c r="P139" s="50"/>
      <c r="Q139" s="50"/>
      <c r="R139" s="50"/>
      <c r="S139" s="50"/>
      <c r="T139" s="62">
        <f t="shared" si="25"/>
        <v>0</v>
      </c>
      <c r="U139" s="80">
        <v>130.0</v>
      </c>
      <c r="V139" s="68">
        <f t="shared" si="26"/>
        <v>0</v>
      </c>
      <c r="W139" s="17"/>
      <c r="X139" s="155"/>
      <c r="Y139" s="155"/>
    </row>
    <row r="140">
      <c r="A140" s="197" t="s">
        <v>234</v>
      </c>
      <c r="B140" s="34"/>
      <c r="C140" s="38"/>
      <c r="D140" s="38"/>
      <c r="E140" s="50"/>
      <c r="F140" s="40"/>
      <c r="G140" s="41"/>
      <c r="H140" s="77"/>
      <c r="I140" s="55"/>
      <c r="J140" s="47"/>
      <c r="K140" s="50"/>
      <c r="L140" s="50"/>
      <c r="M140" s="50"/>
      <c r="N140" s="50"/>
      <c r="O140" s="55"/>
      <c r="P140" s="50"/>
      <c r="Q140" s="50"/>
      <c r="R140" s="50"/>
      <c r="S140" s="50"/>
      <c r="T140" s="62">
        <f t="shared" si="25"/>
        <v>0</v>
      </c>
      <c r="U140" s="80">
        <v>80.0</v>
      </c>
      <c r="V140" s="68">
        <f t="shared" si="26"/>
        <v>0</v>
      </c>
      <c r="W140" s="17"/>
      <c r="X140" s="155"/>
      <c r="Y140" s="155"/>
    </row>
    <row r="141">
      <c r="A141" s="197" t="s">
        <v>241</v>
      </c>
      <c r="B141" s="83"/>
      <c r="C141" s="36"/>
      <c r="D141" s="36">
        <v>12.0</v>
      </c>
      <c r="E141" s="39">
        <v>1.0</v>
      </c>
      <c r="F141" s="40"/>
      <c r="G141" s="41"/>
      <c r="H141" s="43">
        <v>24.0</v>
      </c>
      <c r="I141" s="55"/>
      <c r="J141" s="47"/>
      <c r="K141" s="39">
        <v>59.0</v>
      </c>
      <c r="L141" s="50"/>
      <c r="M141" s="50"/>
      <c r="N141" s="50"/>
      <c r="O141" s="55"/>
      <c r="P141" s="50"/>
      <c r="Q141" s="39">
        <v>1.0</v>
      </c>
      <c r="R141" s="39"/>
      <c r="S141" s="39">
        <v>15.0</v>
      </c>
      <c r="T141" s="62">
        <f t="shared" si="25"/>
        <v>112</v>
      </c>
      <c r="U141" s="80">
        <v>40.0</v>
      </c>
      <c r="V141" s="68">
        <f t="shared" si="26"/>
        <v>4480</v>
      </c>
      <c r="W141" s="17"/>
      <c r="X141" s="155"/>
      <c r="Y141" s="155"/>
    </row>
    <row r="142">
      <c r="A142" s="197" t="s">
        <v>243</v>
      </c>
      <c r="B142" s="34"/>
      <c r="C142" s="36">
        <v>1.0</v>
      </c>
      <c r="D142" s="36"/>
      <c r="E142" s="50"/>
      <c r="F142" s="40"/>
      <c r="G142" s="41"/>
      <c r="H142" s="77"/>
      <c r="I142" s="55"/>
      <c r="J142" s="86"/>
      <c r="K142" s="39"/>
      <c r="L142" s="50"/>
      <c r="M142" s="39">
        <v>1.0</v>
      </c>
      <c r="N142" s="50"/>
      <c r="O142" s="55"/>
      <c r="P142" s="39"/>
      <c r="Q142" s="50"/>
      <c r="R142" s="39"/>
      <c r="S142" s="39"/>
      <c r="T142" s="62">
        <f t="shared" si="25"/>
        <v>2</v>
      </c>
      <c r="U142" s="80">
        <v>120.0</v>
      </c>
      <c r="V142" s="68">
        <f t="shared" si="26"/>
        <v>240</v>
      </c>
      <c r="W142" s="17"/>
      <c r="X142" s="155"/>
      <c r="Y142" s="155"/>
    </row>
    <row r="143">
      <c r="A143" s="243" t="s">
        <v>245</v>
      </c>
      <c r="B143" s="157"/>
      <c r="C143" s="172"/>
      <c r="D143" s="172"/>
      <c r="E143" s="159"/>
      <c r="F143" s="160"/>
      <c r="G143" s="161"/>
      <c r="H143" s="162"/>
      <c r="I143" s="237"/>
      <c r="J143" s="164"/>
      <c r="K143" s="159"/>
      <c r="L143" s="159"/>
      <c r="M143" s="165">
        <v>1.0</v>
      </c>
      <c r="N143" s="159"/>
      <c r="O143" s="163"/>
      <c r="P143" s="159"/>
      <c r="Q143" s="159"/>
      <c r="R143" s="159"/>
      <c r="S143" s="165">
        <v>1.0</v>
      </c>
      <c r="T143" s="166">
        <f t="shared" si="25"/>
        <v>2</v>
      </c>
      <c r="U143" s="167">
        <v>25.0</v>
      </c>
      <c r="V143" s="168">
        <f t="shared" si="26"/>
        <v>50</v>
      </c>
      <c r="W143" s="17"/>
      <c r="X143" s="155"/>
      <c r="Y143" s="155"/>
    </row>
    <row r="144">
      <c r="A144" s="274" t="s">
        <v>45</v>
      </c>
      <c r="B144" s="275"/>
      <c r="C144" s="275"/>
      <c r="D144" s="275"/>
      <c r="E144" s="275"/>
      <c r="F144" s="275"/>
      <c r="G144" s="275"/>
      <c r="H144" s="275"/>
      <c r="I144" s="275"/>
      <c r="J144" s="275"/>
      <c r="K144" s="275"/>
      <c r="L144" s="275"/>
      <c r="M144" s="275"/>
      <c r="N144" s="275"/>
      <c r="O144" s="275"/>
      <c r="P144" s="275"/>
      <c r="Q144" s="275"/>
      <c r="R144" s="275"/>
      <c r="S144" s="275"/>
      <c r="T144" s="275"/>
      <c r="U144" s="276"/>
      <c r="V144" s="277">
        <f>SUM(V138:V143)</f>
        <v>5410</v>
      </c>
      <c r="W144" s="17"/>
      <c r="X144" s="255"/>
      <c r="Y144" s="255"/>
    </row>
    <row r="145">
      <c r="A145" s="278" t="s">
        <v>247</v>
      </c>
      <c r="B145" s="275"/>
      <c r="C145" s="275"/>
      <c r="D145" s="275"/>
      <c r="E145" s="275"/>
      <c r="F145" s="275"/>
      <c r="G145" s="275"/>
      <c r="H145" s="275"/>
      <c r="I145" s="275"/>
      <c r="J145" s="275"/>
      <c r="K145" s="275"/>
      <c r="L145" s="275"/>
      <c r="M145" s="275"/>
      <c r="N145" s="275"/>
      <c r="O145" s="275"/>
      <c r="P145" s="275"/>
      <c r="Q145" s="275"/>
      <c r="R145" s="275"/>
      <c r="S145" s="275"/>
      <c r="T145" s="275"/>
      <c r="U145" s="275"/>
      <c r="V145" s="276"/>
      <c r="W145" s="17"/>
      <c r="X145" s="257"/>
      <c r="Y145" s="257"/>
    </row>
    <row r="146">
      <c r="A146" s="279" t="s">
        <v>248</v>
      </c>
      <c r="B146" s="280"/>
      <c r="C146" s="281"/>
      <c r="D146" s="266">
        <v>2.0</v>
      </c>
      <c r="E146" s="266"/>
      <c r="F146" s="282"/>
      <c r="G146" s="283"/>
      <c r="H146" s="284"/>
      <c r="I146" s="285"/>
      <c r="J146" s="286"/>
      <c r="K146" s="266"/>
      <c r="L146" s="266"/>
      <c r="M146" s="266">
        <v>2.0</v>
      </c>
      <c r="N146" s="266"/>
      <c r="O146" s="285"/>
      <c r="P146" s="266"/>
      <c r="Q146" s="266"/>
      <c r="R146" s="266"/>
      <c r="S146" s="266"/>
      <c r="T146" s="287">
        <f t="shared" ref="T146:T158" si="27">SUM(B146:S146)</f>
        <v>4</v>
      </c>
      <c r="U146" s="288">
        <v>1940.0</v>
      </c>
      <c r="V146" s="289">
        <f t="shared" ref="V146:V158" si="28">T146*U146</f>
        <v>7760</v>
      </c>
      <c r="W146" s="17"/>
      <c r="X146" s="257" t="s">
        <v>249</v>
      </c>
      <c r="Y146" s="257"/>
    </row>
    <row r="147">
      <c r="A147" s="279" t="s">
        <v>250</v>
      </c>
      <c r="B147" s="280"/>
      <c r="C147" s="281"/>
      <c r="D147" s="266"/>
      <c r="E147" s="266"/>
      <c r="F147" s="282"/>
      <c r="G147" s="283"/>
      <c r="H147" s="284"/>
      <c r="I147" s="285"/>
      <c r="J147" s="286"/>
      <c r="K147" s="266"/>
      <c r="L147" s="266"/>
      <c r="M147" s="266"/>
      <c r="N147" s="266"/>
      <c r="O147" s="285"/>
      <c r="P147" s="266"/>
      <c r="Q147" s="266"/>
      <c r="R147" s="266"/>
      <c r="S147" s="266"/>
      <c r="T147" s="287">
        <f t="shared" si="27"/>
        <v>0</v>
      </c>
      <c r="U147" s="288">
        <v>1820.0</v>
      </c>
      <c r="V147" s="289">
        <f t="shared" si="28"/>
        <v>0</v>
      </c>
      <c r="W147" s="17"/>
      <c r="X147" s="257"/>
      <c r="Y147" s="257"/>
    </row>
    <row r="148">
      <c r="A148" s="279" t="s">
        <v>251</v>
      </c>
      <c r="B148" s="280"/>
      <c r="C148" s="281"/>
      <c r="D148" s="266"/>
      <c r="E148" s="266"/>
      <c r="F148" s="282"/>
      <c r="G148" s="283"/>
      <c r="H148" s="284"/>
      <c r="I148" s="285"/>
      <c r="J148" s="286"/>
      <c r="K148" s="266"/>
      <c r="L148" s="266"/>
      <c r="M148" s="266"/>
      <c r="N148" s="266"/>
      <c r="O148" s="285"/>
      <c r="P148" s="266"/>
      <c r="Q148" s="266"/>
      <c r="R148" s="266"/>
      <c r="S148" s="266"/>
      <c r="T148" s="287">
        <f t="shared" si="27"/>
        <v>0</v>
      </c>
      <c r="U148" s="288">
        <v>1940.0</v>
      </c>
      <c r="V148" s="289">
        <f t="shared" si="28"/>
        <v>0</v>
      </c>
      <c r="W148" s="17"/>
      <c r="X148" s="257"/>
      <c r="Y148" s="257"/>
    </row>
    <row r="149">
      <c r="A149" s="279" t="s">
        <v>253</v>
      </c>
      <c r="B149" s="280"/>
      <c r="C149" s="281"/>
      <c r="D149" s="266">
        <v>2.0</v>
      </c>
      <c r="E149" s="266"/>
      <c r="F149" s="282"/>
      <c r="G149" s="283"/>
      <c r="H149" s="284"/>
      <c r="I149" s="285"/>
      <c r="J149" s="286"/>
      <c r="K149" s="266">
        <v>2.0</v>
      </c>
      <c r="L149" s="266"/>
      <c r="M149" s="266"/>
      <c r="N149" s="266"/>
      <c r="O149" s="285"/>
      <c r="P149" s="266"/>
      <c r="Q149" s="266"/>
      <c r="R149" s="266"/>
      <c r="S149" s="266"/>
      <c r="T149" s="287">
        <f t="shared" si="27"/>
        <v>4</v>
      </c>
      <c r="U149" s="288">
        <v>2000.0</v>
      </c>
      <c r="V149" s="289">
        <f t="shared" si="28"/>
        <v>8000</v>
      </c>
      <c r="W149" s="17"/>
      <c r="X149" s="257"/>
      <c r="Y149" s="257"/>
    </row>
    <row r="150">
      <c r="A150" s="279" t="s">
        <v>255</v>
      </c>
      <c r="B150" s="280"/>
      <c r="C150" s="281"/>
      <c r="D150" s="266"/>
      <c r="E150" s="266"/>
      <c r="F150" s="282"/>
      <c r="G150" s="283"/>
      <c r="H150" s="284"/>
      <c r="I150" s="285"/>
      <c r="J150" s="286"/>
      <c r="K150" s="266"/>
      <c r="L150" s="266">
        <v>2.0</v>
      </c>
      <c r="M150" s="266"/>
      <c r="N150" s="266"/>
      <c r="O150" s="285"/>
      <c r="P150" s="266"/>
      <c r="Q150" s="266"/>
      <c r="R150" s="266"/>
      <c r="S150" s="266"/>
      <c r="T150" s="287">
        <f t="shared" si="27"/>
        <v>2</v>
      </c>
      <c r="U150" s="288">
        <v>2140.0</v>
      </c>
      <c r="V150" s="289">
        <f t="shared" si="28"/>
        <v>4280</v>
      </c>
      <c r="W150" s="17"/>
      <c r="X150" s="257"/>
      <c r="Y150" s="257"/>
    </row>
    <row r="151">
      <c r="A151" s="279" t="s">
        <v>256</v>
      </c>
      <c r="B151" s="280"/>
      <c r="C151" s="281"/>
      <c r="D151" s="266"/>
      <c r="E151" s="266"/>
      <c r="F151" s="282"/>
      <c r="G151" s="283"/>
      <c r="H151" s="284"/>
      <c r="I151" s="285"/>
      <c r="J151" s="286"/>
      <c r="K151" s="266"/>
      <c r="L151" s="266"/>
      <c r="M151" s="266"/>
      <c r="N151" s="266"/>
      <c r="O151" s="285"/>
      <c r="P151" s="266"/>
      <c r="Q151" s="266"/>
      <c r="R151" s="266"/>
      <c r="S151" s="266"/>
      <c r="T151" s="287">
        <f t="shared" si="27"/>
        <v>0</v>
      </c>
      <c r="U151" s="288">
        <v>2500.0</v>
      </c>
      <c r="V151" s="289">
        <f t="shared" si="28"/>
        <v>0</v>
      </c>
      <c r="W151" s="17"/>
      <c r="X151" s="257"/>
      <c r="Y151" s="257"/>
    </row>
    <row r="152">
      <c r="A152" s="279" t="s">
        <v>258</v>
      </c>
      <c r="B152" s="280"/>
      <c r="C152" s="281"/>
      <c r="D152" s="266"/>
      <c r="E152" s="266"/>
      <c r="F152" s="282"/>
      <c r="G152" s="283"/>
      <c r="H152" s="284"/>
      <c r="I152" s="285"/>
      <c r="J152" s="286"/>
      <c r="K152" s="266">
        <v>1.0</v>
      </c>
      <c r="L152" s="266"/>
      <c r="M152" s="266"/>
      <c r="N152" s="266"/>
      <c r="O152" s="285"/>
      <c r="P152" s="266"/>
      <c r="Q152" s="266"/>
      <c r="R152" s="266"/>
      <c r="S152" s="266"/>
      <c r="T152" s="287">
        <f t="shared" si="27"/>
        <v>1</v>
      </c>
      <c r="U152" s="288">
        <v>1300.0</v>
      </c>
      <c r="V152" s="289">
        <f t="shared" si="28"/>
        <v>1300</v>
      </c>
      <c r="W152" s="17"/>
      <c r="X152" s="257"/>
      <c r="Y152" s="257"/>
    </row>
    <row r="153">
      <c r="A153" s="279" t="s">
        <v>259</v>
      </c>
      <c r="B153" s="280"/>
      <c r="C153" s="281"/>
      <c r="D153" s="266"/>
      <c r="E153" s="266"/>
      <c r="F153" s="282"/>
      <c r="G153" s="283"/>
      <c r="H153" s="284"/>
      <c r="I153" s="285"/>
      <c r="J153" s="286"/>
      <c r="K153" s="266"/>
      <c r="L153" s="266"/>
      <c r="M153" s="266"/>
      <c r="N153" s="266"/>
      <c r="O153" s="285"/>
      <c r="P153" s="266"/>
      <c r="Q153" s="266"/>
      <c r="R153" s="266"/>
      <c r="S153" s="266"/>
      <c r="T153" s="287">
        <f t="shared" si="27"/>
        <v>0</v>
      </c>
      <c r="U153" s="288">
        <v>2500.0</v>
      </c>
      <c r="V153" s="289">
        <f t="shared" si="28"/>
        <v>0</v>
      </c>
      <c r="W153" s="17"/>
      <c r="X153" s="257"/>
      <c r="Y153" s="257"/>
    </row>
    <row r="154">
      <c r="A154" s="279" t="s">
        <v>259</v>
      </c>
      <c r="B154" s="280"/>
      <c r="C154" s="281"/>
      <c r="D154" s="266"/>
      <c r="E154" s="266"/>
      <c r="F154" s="282"/>
      <c r="G154" s="283"/>
      <c r="H154" s="284"/>
      <c r="I154" s="285"/>
      <c r="J154" s="286"/>
      <c r="K154" s="266"/>
      <c r="L154" s="266"/>
      <c r="M154" s="266"/>
      <c r="N154" s="266"/>
      <c r="O154" s="285"/>
      <c r="P154" s="266"/>
      <c r="Q154" s="266"/>
      <c r="R154" s="266"/>
      <c r="S154" s="266"/>
      <c r="T154" s="287">
        <f t="shared" si="27"/>
        <v>0</v>
      </c>
      <c r="U154" s="288">
        <v>2600.0</v>
      </c>
      <c r="V154" s="289">
        <f t="shared" si="28"/>
        <v>0</v>
      </c>
      <c r="W154" s="17"/>
      <c r="X154" s="257"/>
      <c r="Y154" s="257"/>
    </row>
    <row r="155">
      <c r="A155" s="279" t="s">
        <v>261</v>
      </c>
      <c r="B155" s="280"/>
      <c r="C155" s="281"/>
      <c r="D155" s="266"/>
      <c r="E155" s="266"/>
      <c r="F155" s="282"/>
      <c r="G155" s="283"/>
      <c r="H155" s="284"/>
      <c r="I155" s="285"/>
      <c r="J155" s="286"/>
      <c r="K155" s="266"/>
      <c r="L155" s="266"/>
      <c r="M155" s="266"/>
      <c r="N155" s="266"/>
      <c r="O155" s="285"/>
      <c r="P155" s="266"/>
      <c r="Q155" s="266"/>
      <c r="R155" s="266"/>
      <c r="S155" s="266"/>
      <c r="T155" s="287">
        <f t="shared" si="27"/>
        <v>0</v>
      </c>
      <c r="U155" s="288">
        <v>1400.0</v>
      </c>
      <c r="V155" s="289">
        <f t="shared" si="28"/>
        <v>0</v>
      </c>
      <c r="W155" s="17"/>
      <c r="X155" s="257"/>
      <c r="Y155" s="257"/>
    </row>
    <row r="156">
      <c r="A156" s="279" t="s">
        <v>261</v>
      </c>
      <c r="B156" s="280"/>
      <c r="C156" s="281"/>
      <c r="D156" s="266"/>
      <c r="E156" s="266"/>
      <c r="F156" s="282"/>
      <c r="G156" s="283"/>
      <c r="H156" s="284"/>
      <c r="I156" s="285"/>
      <c r="J156" s="286"/>
      <c r="K156" s="266"/>
      <c r="L156" s="266"/>
      <c r="M156" s="266"/>
      <c r="N156" s="266"/>
      <c r="O156" s="285"/>
      <c r="P156" s="266"/>
      <c r="Q156" s="266"/>
      <c r="R156" s="266"/>
      <c r="S156" s="266"/>
      <c r="T156" s="287">
        <f t="shared" si="27"/>
        <v>0</v>
      </c>
      <c r="U156" s="288">
        <v>1900.0</v>
      </c>
      <c r="V156" s="289">
        <f t="shared" si="28"/>
        <v>0</v>
      </c>
      <c r="W156" s="17"/>
      <c r="X156" s="257"/>
      <c r="Y156" s="257"/>
    </row>
    <row r="157">
      <c r="A157" s="279" t="s">
        <v>262</v>
      </c>
      <c r="B157" s="280"/>
      <c r="C157" s="281"/>
      <c r="D157" s="266"/>
      <c r="E157" s="266"/>
      <c r="F157" s="282"/>
      <c r="G157" s="283"/>
      <c r="H157" s="284"/>
      <c r="I157" s="285"/>
      <c r="J157" s="286"/>
      <c r="K157" s="266"/>
      <c r="L157" s="266"/>
      <c r="M157" s="266"/>
      <c r="N157" s="266"/>
      <c r="O157" s="285"/>
      <c r="P157" s="266"/>
      <c r="Q157" s="266"/>
      <c r="R157" s="266"/>
      <c r="S157" s="266"/>
      <c r="T157" s="287">
        <f t="shared" si="27"/>
        <v>0</v>
      </c>
      <c r="U157" s="288">
        <v>1300.0</v>
      </c>
      <c r="V157" s="289">
        <f t="shared" si="28"/>
        <v>0</v>
      </c>
      <c r="W157" s="17"/>
      <c r="X157" s="257"/>
      <c r="Y157" s="257"/>
    </row>
    <row r="158">
      <c r="A158" s="279" t="s">
        <v>262</v>
      </c>
      <c r="B158" s="280"/>
      <c r="C158" s="281"/>
      <c r="D158" s="266"/>
      <c r="E158" s="266"/>
      <c r="F158" s="282"/>
      <c r="G158" s="283"/>
      <c r="H158" s="284"/>
      <c r="I158" s="285"/>
      <c r="J158" s="286"/>
      <c r="K158" s="266"/>
      <c r="L158" s="266"/>
      <c r="M158" s="266"/>
      <c r="N158" s="266"/>
      <c r="O158" s="285"/>
      <c r="P158" s="266"/>
      <c r="Q158" s="266"/>
      <c r="R158" s="266"/>
      <c r="S158" s="266"/>
      <c r="T158" s="287">
        <f t="shared" si="27"/>
        <v>0</v>
      </c>
      <c r="U158" s="288">
        <v>1800.0</v>
      </c>
      <c r="V158" s="289">
        <f t="shared" si="28"/>
        <v>0</v>
      </c>
      <c r="W158" s="17"/>
      <c r="X158" s="257"/>
      <c r="Y158" s="257"/>
    </row>
    <row r="159">
      <c r="A159" s="305" t="s">
        <v>45</v>
      </c>
      <c r="B159" s="219"/>
      <c r="C159" s="219"/>
      <c r="D159" s="219"/>
      <c r="E159" s="219"/>
      <c r="F159" s="219"/>
      <c r="G159" s="219"/>
      <c r="H159" s="219"/>
      <c r="I159" s="219"/>
      <c r="J159" s="219"/>
      <c r="K159" s="219"/>
      <c r="L159" s="219"/>
      <c r="M159" s="219"/>
      <c r="N159" s="219"/>
      <c r="O159" s="219"/>
      <c r="P159" s="219"/>
      <c r="Q159" s="219"/>
      <c r="R159" s="219"/>
      <c r="S159" s="219"/>
      <c r="T159" s="219"/>
      <c r="U159" s="220"/>
      <c r="V159" s="306">
        <f>SUM(V146:V158)</f>
        <v>21340</v>
      </c>
      <c r="W159" s="17"/>
      <c r="X159" s="257"/>
      <c r="Y159" s="257"/>
    </row>
    <row r="160">
      <c r="A160" s="307" t="s">
        <v>264</v>
      </c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97"/>
      <c r="W160" s="17"/>
      <c r="X160" s="257"/>
      <c r="Y160" s="257"/>
    </row>
    <row r="161">
      <c r="A161" s="308" t="s">
        <v>265</v>
      </c>
      <c r="B161" s="34"/>
      <c r="C161" s="38"/>
      <c r="D161" s="38"/>
      <c r="E161" s="50"/>
      <c r="F161" s="40"/>
      <c r="G161" s="41"/>
      <c r="H161" s="77"/>
      <c r="I161" s="55"/>
      <c r="J161" s="47"/>
      <c r="K161" s="50"/>
      <c r="L161" s="50"/>
      <c r="M161" s="50"/>
      <c r="N161" s="50"/>
      <c r="O161" s="55"/>
      <c r="P161" s="50"/>
      <c r="Q161" s="50"/>
      <c r="R161" s="50"/>
      <c r="S161" s="50"/>
      <c r="T161" s="62">
        <f t="shared" ref="T161:T164" si="29">SUM(B161:S161)</f>
        <v>0</v>
      </c>
      <c r="U161" s="242">
        <v>2100.0</v>
      </c>
      <c r="V161" s="68">
        <f t="shared" ref="V161:V164" si="30">T161*U161</f>
        <v>0</v>
      </c>
      <c r="W161" s="17"/>
      <c r="X161" s="155"/>
      <c r="Y161" s="155"/>
    </row>
    <row r="162">
      <c r="A162" s="308" t="s">
        <v>266</v>
      </c>
      <c r="B162" s="34"/>
      <c r="C162" s="38"/>
      <c r="D162" s="36">
        <v>1.0</v>
      </c>
      <c r="E162" s="50"/>
      <c r="F162" s="40"/>
      <c r="G162" s="41"/>
      <c r="H162" s="77"/>
      <c r="I162" s="55"/>
      <c r="J162" s="47"/>
      <c r="K162" s="50"/>
      <c r="L162" s="50"/>
      <c r="M162" s="39">
        <v>1.0</v>
      </c>
      <c r="N162" s="50"/>
      <c r="O162" s="55"/>
      <c r="P162" s="50"/>
      <c r="Q162" s="50"/>
      <c r="R162" s="50"/>
      <c r="S162" s="50"/>
      <c r="T162" s="62">
        <f t="shared" si="29"/>
        <v>2</v>
      </c>
      <c r="U162" s="242">
        <v>2800.0</v>
      </c>
      <c r="V162" s="68">
        <f t="shared" si="30"/>
        <v>5600</v>
      </c>
      <c r="W162" s="17"/>
      <c r="X162" s="155"/>
      <c r="Y162" s="155"/>
    </row>
    <row r="163">
      <c r="A163" s="308" t="s">
        <v>268</v>
      </c>
      <c r="B163" s="34"/>
      <c r="C163" s="38"/>
      <c r="D163" s="38"/>
      <c r="E163" s="50"/>
      <c r="F163" s="40"/>
      <c r="G163" s="41"/>
      <c r="H163" s="77"/>
      <c r="I163" s="55"/>
      <c r="J163" s="47"/>
      <c r="K163" s="50"/>
      <c r="L163" s="50"/>
      <c r="M163" s="50"/>
      <c r="N163" s="50"/>
      <c r="O163" s="55"/>
      <c r="P163" s="50"/>
      <c r="Q163" s="50"/>
      <c r="R163" s="50"/>
      <c r="S163" s="50"/>
      <c r="T163" s="62">
        <f t="shared" si="29"/>
        <v>0</v>
      </c>
      <c r="U163" s="242">
        <v>2800.0</v>
      </c>
      <c r="V163" s="68">
        <f t="shared" si="30"/>
        <v>0</v>
      </c>
      <c r="W163" s="17"/>
      <c r="X163" s="155"/>
      <c r="Y163" s="155"/>
    </row>
    <row r="164">
      <c r="A164" s="309" t="s">
        <v>269</v>
      </c>
      <c r="B164" s="157"/>
      <c r="C164" s="172"/>
      <c r="D164" s="158">
        <v>1.0</v>
      </c>
      <c r="E164" s="159"/>
      <c r="F164" s="160"/>
      <c r="G164" s="161"/>
      <c r="H164" s="162"/>
      <c r="I164" s="163"/>
      <c r="J164" s="164"/>
      <c r="K164" s="159"/>
      <c r="L164" s="159"/>
      <c r="M164" s="159"/>
      <c r="N164" s="159"/>
      <c r="O164" s="163"/>
      <c r="P164" s="159"/>
      <c r="Q164" s="159"/>
      <c r="R164" s="159"/>
      <c r="S164" s="159"/>
      <c r="T164" s="166">
        <f t="shared" si="29"/>
        <v>1</v>
      </c>
      <c r="U164" s="249">
        <v>3200.0</v>
      </c>
      <c r="V164" s="168">
        <f t="shared" si="30"/>
        <v>3200</v>
      </c>
      <c r="W164" s="17"/>
      <c r="X164" s="155"/>
      <c r="Y164" s="155"/>
    </row>
    <row r="165">
      <c r="A165" s="254" t="s">
        <v>45</v>
      </c>
      <c r="B165" s="128"/>
      <c r="C165" s="128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9"/>
      <c r="V165" s="277">
        <f>SUM(V161:V164)</f>
        <v>8800</v>
      </c>
      <c r="W165" s="17"/>
      <c r="X165" s="255"/>
      <c r="Y165" s="255"/>
    </row>
    <row r="166">
      <c r="A166" s="311"/>
      <c r="B166" s="312"/>
      <c r="C166" s="313"/>
      <c r="D166" s="313"/>
      <c r="E166" s="314"/>
      <c r="F166" s="315"/>
      <c r="G166" s="316"/>
      <c r="H166" s="317"/>
      <c r="I166" s="318"/>
      <c r="J166" s="319"/>
      <c r="K166" s="314"/>
      <c r="L166" s="314"/>
      <c r="M166" s="314"/>
      <c r="N166" s="314"/>
      <c r="O166" s="318"/>
      <c r="P166" s="314"/>
      <c r="Q166" s="314"/>
      <c r="R166" s="314"/>
      <c r="S166" s="314"/>
      <c r="T166" s="320" t="s">
        <v>271</v>
      </c>
      <c r="U166" s="22"/>
      <c r="V166" s="321">
        <f>V44+V58+V64+V68+V85+V88+V96+V103+V108+V119+V127+V131+V136+V144+V159+V165</f>
        <v>1843251</v>
      </c>
      <c r="W166" s="322"/>
      <c r="X166" s="323"/>
      <c r="Y166" s="323"/>
    </row>
    <row r="167">
      <c r="A167" s="311"/>
      <c r="B167" s="312"/>
      <c r="C167" s="313"/>
      <c r="D167" s="313"/>
      <c r="E167" s="314"/>
      <c r="F167" s="315"/>
      <c r="G167" s="316"/>
      <c r="H167" s="317"/>
      <c r="I167" s="318"/>
      <c r="J167" s="319"/>
      <c r="K167" s="314"/>
      <c r="L167" s="314"/>
      <c r="M167" s="314"/>
      <c r="N167" s="314"/>
      <c r="O167" s="318"/>
      <c r="P167" s="314"/>
      <c r="Q167" s="314"/>
      <c r="R167" s="314"/>
      <c r="S167" s="314"/>
      <c r="T167" s="324"/>
      <c r="U167" s="155"/>
      <c r="V167" s="155"/>
      <c r="W167" s="322"/>
      <c r="X167" s="155"/>
      <c r="Y167" s="132"/>
    </row>
    <row r="168">
      <c r="A168" s="311"/>
      <c r="B168" s="312"/>
      <c r="C168" s="313"/>
      <c r="D168" s="313"/>
      <c r="E168" s="314"/>
      <c r="F168" s="315"/>
      <c r="G168" s="316"/>
      <c r="H168" s="317"/>
      <c r="I168" s="318"/>
      <c r="J168" s="319"/>
      <c r="K168" s="314"/>
      <c r="L168" s="314"/>
      <c r="M168" s="314"/>
      <c r="N168" s="314"/>
      <c r="O168" s="318"/>
      <c r="P168" s="314"/>
      <c r="Q168" s="314"/>
      <c r="R168" s="314"/>
      <c r="S168" s="314"/>
      <c r="T168" s="324"/>
      <c r="U168" s="155"/>
      <c r="V168" s="155"/>
      <c r="W168" s="322"/>
      <c r="X168" s="155"/>
      <c r="Y168" s="132"/>
    </row>
    <row r="169">
      <c r="A169" s="311"/>
      <c r="B169" s="312"/>
      <c r="C169" s="313"/>
      <c r="D169" s="313"/>
      <c r="E169" s="314"/>
      <c r="F169" s="315"/>
      <c r="G169" s="316"/>
      <c r="H169" s="317"/>
      <c r="I169" s="318"/>
      <c r="J169" s="319"/>
      <c r="K169" s="314"/>
      <c r="L169" s="314"/>
      <c r="M169" s="314"/>
      <c r="N169" s="314"/>
      <c r="O169" s="318"/>
      <c r="P169" s="314"/>
      <c r="Q169" s="314"/>
      <c r="R169" s="314"/>
      <c r="S169" s="314"/>
      <c r="T169" s="324"/>
      <c r="U169" s="155"/>
      <c r="V169" s="155"/>
      <c r="W169" s="322"/>
      <c r="X169" s="155"/>
      <c r="Y169" s="132"/>
    </row>
    <row r="170">
      <c r="A170" s="311"/>
      <c r="B170" s="312"/>
      <c r="C170" s="313"/>
      <c r="D170" s="313"/>
      <c r="E170" s="314"/>
      <c r="F170" s="315"/>
      <c r="G170" s="316"/>
      <c r="H170" s="317"/>
      <c r="I170" s="318"/>
      <c r="J170" s="319"/>
      <c r="K170" s="314"/>
      <c r="L170" s="314"/>
      <c r="M170" s="314"/>
      <c r="N170" s="314"/>
      <c r="O170" s="318"/>
      <c r="P170" s="314"/>
      <c r="Q170" s="314"/>
      <c r="R170" s="314"/>
      <c r="S170" s="314"/>
      <c r="T170" s="324"/>
      <c r="U170" s="155"/>
      <c r="V170" s="155"/>
      <c r="W170" s="322"/>
      <c r="X170" s="155"/>
      <c r="Y170" s="132"/>
    </row>
    <row r="171">
      <c r="A171" s="311"/>
      <c r="B171" s="312"/>
      <c r="C171" s="313"/>
      <c r="D171" s="313"/>
      <c r="E171" s="314"/>
      <c r="F171" s="315"/>
      <c r="G171" s="316"/>
      <c r="H171" s="317"/>
      <c r="I171" s="318"/>
      <c r="J171" s="319"/>
      <c r="K171" s="314"/>
      <c r="L171" s="314"/>
      <c r="M171" s="314"/>
      <c r="N171" s="314"/>
      <c r="O171" s="318"/>
      <c r="P171" s="314"/>
      <c r="Q171" s="314"/>
      <c r="R171" s="314"/>
      <c r="S171" s="314"/>
      <c r="T171" s="324"/>
      <c r="U171" s="155"/>
      <c r="V171" s="155"/>
      <c r="W171" s="322"/>
      <c r="X171" s="155"/>
      <c r="Y171" s="132"/>
    </row>
    <row r="172">
      <c r="A172" s="311"/>
      <c r="B172" s="312"/>
      <c r="C172" s="313"/>
      <c r="D172" s="313"/>
      <c r="E172" s="314"/>
      <c r="F172" s="315"/>
      <c r="G172" s="316"/>
      <c r="H172" s="317"/>
      <c r="I172" s="318"/>
      <c r="J172" s="319"/>
      <c r="K172" s="314"/>
      <c r="L172" s="314"/>
      <c r="M172" s="314"/>
      <c r="N172" s="314"/>
      <c r="O172" s="318"/>
      <c r="P172" s="314"/>
      <c r="Q172" s="314"/>
      <c r="R172" s="314"/>
      <c r="S172" s="314"/>
      <c r="T172" s="324"/>
      <c r="U172" s="155"/>
      <c r="V172" s="155"/>
      <c r="W172" s="322"/>
      <c r="X172" s="155"/>
      <c r="Y172" s="132"/>
    </row>
    <row r="173">
      <c r="A173" s="311"/>
      <c r="B173" s="312"/>
      <c r="C173" s="313"/>
      <c r="D173" s="313"/>
      <c r="E173" s="314"/>
      <c r="F173" s="315"/>
      <c r="G173" s="316"/>
      <c r="H173" s="317"/>
      <c r="I173" s="318"/>
      <c r="J173" s="319"/>
      <c r="K173" s="314"/>
      <c r="L173" s="314"/>
      <c r="M173" s="314"/>
      <c r="N173" s="314"/>
      <c r="O173" s="318"/>
      <c r="P173" s="314"/>
      <c r="Q173" s="314"/>
      <c r="R173" s="314"/>
      <c r="S173" s="314"/>
      <c r="T173" s="324"/>
      <c r="U173" s="155"/>
      <c r="V173" s="155"/>
      <c r="W173" s="322"/>
      <c r="X173" s="155"/>
      <c r="Y173" s="132"/>
    </row>
    <row r="174">
      <c r="A174" s="311"/>
      <c r="B174" s="312"/>
      <c r="C174" s="313"/>
      <c r="D174" s="313"/>
      <c r="E174" s="314"/>
      <c r="F174" s="315"/>
      <c r="G174" s="316"/>
      <c r="H174" s="317"/>
      <c r="I174" s="318"/>
      <c r="J174" s="319"/>
      <c r="K174" s="314"/>
      <c r="L174" s="314"/>
      <c r="M174" s="314"/>
      <c r="N174" s="314"/>
      <c r="O174" s="318"/>
      <c r="P174" s="314"/>
      <c r="Q174" s="314"/>
      <c r="R174" s="314"/>
      <c r="S174" s="314"/>
      <c r="T174" s="324"/>
      <c r="U174" s="155"/>
      <c r="V174" s="155"/>
      <c r="W174" s="322"/>
      <c r="X174" s="155"/>
      <c r="Y174" s="132"/>
    </row>
    <row r="175">
      <c r="A175" s="311"/>
      <c r="B175" s="312"/>
      <c r="C175" s="313"/>
      <c r="D175" s="313"/>
      <c r="E175" s="314"/>
      <c r="F175" s="315"/>
      <c r="G175" s="316"/>
      <c r="H175" s="317"/>
      <c r="I175" s="318"/>
      <c r="J175" s="319"/>
      <c r="K175" s="314"/>
      <c r="L175" s="314"/>
      <c r="M175" s="314"/>
      <c r="N175" s="314"/>
      <c r="O175" s="318"/>
      <c r="P175" s="314"/>
      <c r="Q175" s="314"/>
      <c r="R175" s="314"/>
      <c r="S175" s="314"/>
      <c r="T175" s="324"/>
      <c r="U175" s="155"/>
      <c r="V175" s="155"/>
      <c r="W175" s="322"/>
      <c r="X175" s="155"/>
      <c r="Y175" s="132"/>
    </row>
    <row r="176">
      <c r="A176" s="311"/>
      <c r="B176" s="312"/>
      <c r="C176" s="313"/>
      <c r="D176" s="313"/>
      <c r="E176" s="314"/>
      <c r="F176" s="315"/>
      <c r="G176" s="316"/>
      <c r="H176" s="317"/>
      <c r="I176" s="318"/>
      <c r="J176" s="319"/>
      <c r="K176" s="314"/>
      <c r="L176" s="314"/>
      <c r="M176" s="314"/>
      <c r="N176" s="314"/>
      <c r="O176" s="318"/>
      <c r="P176" s="314"/>
      <c r="Q176" s="314"/>
      <c r="R176" s="314"/>
      <c r="S176" s="314"/>
      <c r="T176" s="324"/>
      <c r="U176" s="155"/>
      <c r="V176" s="155"/>
      <c r="W176" s="322"/>
      <c r="X176" s="155"/>
      <c r="Y176" s="132"/>
    </row>
    <row r="177">
      <c r="A177" s="311"/>
      <c r="B177" s="312"/>
      <c r="C177" s="313"/>
      <c r="D177" s="313"/>
      <c r="E177" s="314"/>
      <c r="F177" s="315"/>
      <c r="G177" s="316"/>
      <c r="H177" s="317"/>
      <c r="I177" s="318"/>
      <c r="J177" s="319"/>
      <c r="K177" s="314"/>
      <c r="L177" s="314"/>
      <c r="M177" s="314"/>
      <c r="N177" s="314"/>
      <c r="O177" s="318"/>
      <c r="P177" s="314"/>
      <c r="Q177" s="314"/>
      <c r="R177" s="314"/>
      <c r="S177" s="314"/>
      <c r="T177" s="324"/>
      <c r="U177" s="155"/>
      <c r="V177" s="155"/>
      <c r="W177" s="322"/>
      <c r="X177" s="155"/>
      <c r="Y177" s="132"/>
    </row>
    <row r="178">
      <c r="A178" s="311"/>
      <c r="B178" s="312"/>
      <c r="C178" s="313"/>
      <c r="D178" s="313"/>
      <c r="E178" s="314"/>
      <c r="F178" s="315"/>
      <c r="G178" s="316"/>
      <c r="H178" s="317"/>
      <c r="I178" s="318"/>
      <c r="J178" s="319"/>
      <c r="K178" s="314"/>
      <c r="L178" s="314"/>
      <c r="M178" s="314"/>
      <c r="N178" s="314"/>
      <c r="O178" s="318"/>
      <c r="P178" s="314"/>
      <c r="Q178" s="314"/>
      <c r="R178" s="314"/>
      <c r="S178" s="314"/>
      <c r="T178" s="324"/>
      <c r="U178" s="155"/>
      <c r="V178" s="155"/>
      <c r="W178" s="322"/>
      <c r="X178" s="155"/>
      <c r="Y178" s="132"/>
    </row>
    <row r="179">
      <c r="A179" s="311"/>
      <c r="B179" s="312"/>
      <c r="C179" s="313"/>
      <c r="D179" s="313"/>
      <c r="E179" s="314"/>
      <c r="F179" s="315"/>
      <c r="G179" s="316"/>
      <c r="H179" s="317"/>
      <c r="I179" s="318"/>
      <c r="J179" s="319"/>
      <c r="K179" s="314"/>
      <c r="L179" s="314"/>
      <c r="M179" s="314"/>
      <c r="N179" s="314"/>
      <c r="O179" s="318"/>
      <c r="P179" s="314"/>
      <c r="Q179" s="314"/>
      <c r="R179" s="314"/>
      <c r="S179" s="314"/>
      <c r="T179" s="324"/>
      <c r="U179" s="155"/>
      <c r="V179" s="155"/>
      <c r="W179" s="322"/>
      <c r="X179" s="155"/>
      <c r="Y179" s="132"/>
    </row>
    <row r="180">
      <c r="A180" s="311"/>
      <c r="B180" s="312"/>
      <c r="C180" s="313"/>
      <c r="D180" s="313"/>
      <c r="E180" s="314"/>
      <c r="F180" s="315"/>
      <c r="G180" s="316"/>
      <c r="H180" s="317"/>
      <c r="I180" s="318"/>
      <c r="J180" s="319"/>
      <c r="K180" s="314"/>
      <c r="L180" s="314"/>
      <c r="M180" s="314"/>
      <c r="N180" s="314"/>
      <c r="O180" s="318"/>
      <c r="P180" s="314"/>
      <c r="Q180" s="314"/>
      <c r="R180" s="314"/>
      <c r="S180" s="314"/>
      <c r="T180" s="324"/>
      <c r="U180" s="155"/>
      <c r="V180" s="155"/>
      <c r="W180" s="322"/>
      <c r="X180" s="155"/>
      <c r="Y180" s="132"/>
    </row>
    <row r="181">
      <c r="A181" s="311"/>
      <c r="B181" s="312"/>
      <c r="C181" s="313"/>
      <c r="D181" s="313"/>
      <c r="E181" s="314"/>
      <c r="F181" s="315"/>
      <c r="G181" s="316"/>
      <c r="H181" s="317"/>
      <c r="I181" s="318"/>
      <c r="J181" s="319"/>
      <c r="K181" s="314"/>
      <c r="L181" s="314"/>
      <c r="M181" s="314"/>
      <c r="N181" s="314"/>
      <c r="O181" s="318"/>
      <c r="P181" s="314"/>
      <c r="Q181" s="314"/>
      <c r="R181" s="314"/>
      <c r="S181" s="314"/>
      <c r="T181" s="324"/>
      <c r="U181" s="155"/>
      <c r="V181" s="155"/>
      <c r="W181" s="322"/>
      <c r="X181" s="155"/>
      <c r="Y181" s="132"/>
    </row>
    <row r="182">
      <c r="A182" s="311"/>
      <c r="B182" s="312"/>
      <c r="C182" s="313"/>
      <c r="D182" s="313"/>
      <c r="E182" s="314"/>
      <c r="F182" s="315"/>
      <c r="G182" s="316"/>
      <c r="H182" s="317"/>
      <c r="I182" s="318"/>
      <c r="J182" s="319"/>
      <c r="K182" s="314"/>
      <c r="L182" s="314"/>
      <c r="M182" s="314"/>
      <c r="N182" s="314"/>
      <c r="O182" s="318"/>
      <c r="P182" s="314"/>
      <c r="Q182" s="314"/>
      <c r="R182" s="314"/>
      <c r="S182" s="314"/>
      <c r="T182" s="324"/>
      <c r="U182" s="155"/>
      <c r="V182" s="155"/>
      <c r="W182" s="322"/>
      <c r="X182" s="155"/>
      <c r="Y182" s="132"/>
    </row>
    <row r="183">
      <c r="A183" s="311"/>
      <c r="B183" s="312"/>
      <c r="C183" s="313"/>
      <c r="D183" s="313"/>
      <c r="E183" s="314"/>
      <c r="F183" s="315"/>
      <c r="G183" s="316"/>
      <c r="H183" s="317"/>
      <c r="I183" s="318"/>
      <c r="J183" s="319"/>
      <c r="K183" s="314"/>
      <c r="L183" s="314"/>
      <c r="M183" s="314"/>
      <c r="N183" s="314"/>
      <c r="O183" s="318"/>
      <c r="P183" s="314"/>
      <c r="Q183" s="314"/>
      <c r="R183" s="314"/>
      <c r="S183" s="314"/>
      <c r="T183" s="324"/>
      <c r="U183" s="155"/>
      <c r="V183" s="155"/>
      <c r="W183" s="322"/>
      <c r="X183" s="155"/>
      <c r="Y183" s="132"/>
    </row>
    <row r="184">
      <c r="A184" s="311"/>
      <c r="B184" s="312"/>
      <c r="C184" s="313"/>
      <c r="D184" s="313"/>
      <c r="E184" s="314"/>
      <c r="F184" s="315"/>
      <c r="G184" s="316"/>
      <c r="H184" s="317"/>
      <c r="I184" s="318"/>
      <c r="J184" s="319"/>
      <c r="K184" s="314"/>
      <c r="L184" s="314"/>
      <c r="M184" s="314"/>
      <c r="N184" s="314"/>
      <c r="O184" s="318"/>
      <c r="P184" s="314"/>
      <c r="Q184" s="314"/>
      <c r="R184" s="314"/>
      <c r="S184" s="314"/>
      <c r="T184" s="324"/>
      <c r="U184" s="155"/>
      <c r="V184" s="155"/>
      <c r="W184" s="322"/>
      <c r="X184" s="155"/>
      <c r="Y184" s="132"/>
    </row>
    <row r="185">
      <c r="A185" s="311"/>
      <c r="B185" s="312"/>
      <c r="C185" s="313"/>
      <c r="D185" s="313"/>
      <c r="E185" s="314"/>
      <c r="F185" s="315"/>
      <c r="G185" s="316"/>
      <c r="H185" s="317"/>
      <c r="I185" s="318"/>
      <c r="J185" s="319"/>
      <c r="K185" s="314"/>
      <c r="L185" s="314"/>
      <c r="M185" s="314"/>
      <c r="N185" s="314"/>
      <c r="O185" s="318"/>
      <c r="P185" s="314"/>
      <c r="Q185" s="314"/>
      <c r="R185" s="314"/>
      <c r="S185" s="314"/>
      <c r="T185" s="324"/>
      <c r="U185" s="155"/>
      <c r="V185" s="155"/>
      <c r="W185" s="322"/>
      <c r="X185" s="155"/>
      <c r="Y185" s="132"/>
    </row>
    <row r="186">
      <c r="A186" s="311"/>
      <c r="B186" s="312"/>
      <c r="C186" s="313"/>
      <c r="D186" s="313"/>
      <c r="E186" s="314"/>
      <c r="F186" s="315"/>
      <c r="G186" s="316"/>
      <c r="H186" s="317"/>
      <c r="I186" s="318"/>
      <c r="J186" s="319"/>
      <c r="K186" s="314"/>
      <c r="L186" s="314"/>
      <c r="M186" s="314"/>
      <c r="N186" s="314"/>
      <c r="O186" s="318"/>
      <c r="P186" s="314"/>
      <c r="Q186" s="314"/>
      <c r="R186" s="314"/>
      <c r="S186" s="314"/>
      <c r="T186" s="324"/>
      <c r="U186" s="155"/>
      <c r="V186" s="155"/>
      <c r="W186" s="322"/>
      <c r="X186" s="155"/>
      <c r="Y186" s="132"/>
    </row>
    <row r="187">
      <c r="A187" s="311"/>
      <c r="B187" s="312"/>
      <c r="C187" s="313"/>
      <c r="D187" s="313"/>
      <c r="E187" s="314"/>
      <c r="F187" s="315"/>
      <c r="G187" s="316"/>
      <c r="H187" s="317"/>
      <c r="I187" s="318"/>
      <c r="J187" s="319"/>
      <c r="K187" s="314"/>
      <c r="L187" s="314"/>
      <c r="M187" s="314"/>
      <c r="N187" s="314"/>
      <c r="O187" s="318"/>
      <c r="P187" s="314"/>
      <c r="Q187" s="314"/>
      <c r="R187" s="314"/>
      <c r="S187" s="314"/>
      <c r="T187" s="324"/>
      <c r="U187" s="155"/>
      <c r="V187" s="155"/>
      <c r="W187" s="322"/>
      <c r="X187" s="155"/>
      <c r="Y187" s="132"/>
    </row>
    <row r="188">
      <c r="A188" s="311"/>
      <c r="B188" s="312"/>
      <c r="C188" s="313"/>
      <c r="D188" s="313"/>
      <c r="E188" s="314"/>
      <c r="F188" s="315"/>
      <c r="G188" s="316"/>
      <c r="H188" s="317"/>
      <c r="I188" s="318"/>
      <c r="J188" s="319"/>
      <c r="K188" s="314"/>
      <c r="L188" s="314"/>
      <c r="M188" s="314"/>
      <c r="N188" s="314"/>
      <c r="O188" s="318"/>
      <c r="P188" s="314"/>
      <c r="Q188" s="314"/>
      <c r="R188" s="314"/>
      <c r="S188" s="314"/>
      <c r="T188" s="324"/>
      <c r="U188" s="155"/>
      <c r="V188" s="155"/>
      <c r="W188" s="322"/>
      <c r="X188" s="155"/>
      <c r="Y188" s="132"/>
    </row>
    <row r="189">
      <c r="A189" s="311"/>
      <c r="B189" s="312"/>
      <c r="C189" s="313"/>
      <c r="D189" s="313"/>
      <c r="E189" s="314"/>
      <c r="F189" s="315"/>
      <c r="G189" s="316"/>
      <c r="H189" s="317"/>
      <c r="I189" s="318"/>
      <c r="J189" s="319"/>
      <c r="K189" s="314"/>
      <c r="L189" s="314"/>
      <c r="M189" s="314"/>
      <c r="N189" s="314"/>
      <c r="O189" s="318"/>
      <c r="P189" s="314"/>
      <c r="Q189" s="314"/>
      <c r="R189" s="314"/>
      <c r="S189" s="314"/>
      <c r="T189" s="324"/>
      <c r="U189" s="155"/>
      <c r="V189" s="155"/>
      <c r="W189" s="322"/>
      <c r="X189" s="155"/>
      <c r="Y189" s="132"/>
    </row>
    <row r="190">
      <c r="A190" s="311"/>
      <c r="B190" s="312"/>
      <c r="C190" s="313"/>
      <c r="D190" s="313"/>
      <c r="E190" s="314"/>
      <c r="F190" s="315"/>
      <c r="G190" s="316"/>
      <c r="H190" s="317"/>
      <c r="I190" s="318"/>
      <c r="J190" s="319"/>
      <c r="K190" s="314"/>
      <c r="L190" s="314"/>
      <c r="M190" s="314"/>
      <c r="N190" s="314"/>
      <c r="O190" s="318"/>
      <c r="P190" s="314"/>
      <c r="Q190" s="314"/>
      <c r="R190" s="314"/>
      <c r="S190" s="314"/>
      <c r="T190" s="324"/>
      <c r="U190" s="155"/>
      <c r="V190" s="155"/>
      <c r="W190" s="322"/>
      <c r="X190" s="155"/>
      <c r="Y190" s="132"/>
    </row>
    <row r="191">
      <c r="A191" s="311"/>
      <c r="B191" s="312"/>
      <c r="C191" s="313"/>
      <c r="D191" s="313"/>
      <c r="E191" s="314"/>
      <c r="F191" s="315"/>
      <c r="G191" s="316"/>
      <c r="H191" s="317"/>
      <c r="I191" s="318"/>
      <c r="J191" s="319"/>
      <c r="K191" s="314"/>
      <c r="L191" s="314"/>
      <c r="M191" s="314"/>
      <c r="N191" s="314"/>
      <c r="O191" s="318"/>
      <c r="P191" s="314"/>
      <c r="Q191" s="314"/>
      <c r="R191" s="314"/>
      <c r="S191" s="314"/>
      <c r="T191" s="324"/>
      <c r="U191" s="155"/>
      <c r="V191" s="155"/>
      <c r="W191" s="322"/>
      <c r="X191" s="155"/>
      <c r="Y191" s="132"/>
    </row>
    <row r="192">
      <c r="A192" s="311"/>
      <c r="B192" s="312"/>
      <c r="C192" s="313"/>
      <c r="D192" s="313"/>
      <c r="E192" s="314"/>
      <c r="F192" s="315"/>
      <c r="G192" s="316"/>
      <c r="H192" s="317"/>
      <c r="I192" s="318"/>
      <c r="J192" s="319"/>
      <c r="K192" s="314"/>
      <c r="L192" s="314"/>
      <c r="M192" s="314"/>
      <c r="N192" s="314"/>
      <c r="O192" s="318"/>
      <c r="P192" s="314"/>
      <c r="Q192" s="314"/>
      <c r="R192" s="314"/>
      <c r="S192" s="314"/>
      <c r="T192" s="324"/>
      <c r="U192" s="155"/>
      <c r="V192" s="155"/>
      <c r="W192" s="322"/>
      <c r="X192" s="155"/>
      <c r="Y192" s="132"/>
    </row>
    <row r="193">
      <c r="A193" s="311"/>
      <c r="B193" s="312"/>
      <c r="C193" s="313"/>
      <c r="D193" s="313"/>
      <c r="E193" s="314"/>
      <c r="F193" s="315"/>
      <c r="G193" s="316"/>
      <c r="H193" s="317"/>
      <c r="I193" s="318"/>
      <c r="J193" s="319"/>
      <c r="K193" s="314"/>
      <c r="L193" s="314"/>
      <c r="M193" s="314"/>
      <c r="N193" s="314"/>
      <c r="O193" s="318"/>
      <c r="P193" s="314"/>
      <c r="Q193" s="314"/>
      <c r="R193" s="314"/>
      <c r="S193" s="314"/>
      <c r="T193" s="324"/>
      <c r="U193" s="155"/>
      <c r="V193" s="155"/>
      <c r="W193" s="322"/>
      <c r="X193" s="155"/>
      <c r="Y193" s="132"/>
    </row>
    <row r="194">
      <c r="A194" s="311"/>
      <c r="B194" s="312"/>
      <c r="C194" s="313"/>
      <c r="D194" s="313"/>
      <c r="E194" s="314"/>
      <c r="F194" s="315"/>
      <c r="G194" s="316"/>
      <c r="H194" s="317"/>
      <c r="I194" s="318"/>
      <c r="J194" s="319"/>
      <c r="K194" s="314"/>
      <c r="L194" s="314"/>
      <c r="M194" s="314"/>
      <c r="N194" s="314"/>
      <c r="O194" s="318"/>
      <c r="P194" s="314"/>
      <c r="Q194" s="314"/>
      <c r="R194" s="314"/>
      <c r="S194" s="314"/>
      <c r="T194" s="324"/>
      <c r="U194" s="155"/>
      <c r="V194" s="155"/>
      <c r="W194" s="322"/>
      <c r="X194" s="155"/>
      <c r="Y194" s="132"/>
    </row>
    <row r="195">
      <c r="A195" s="311"/>
      <c r="B195" s="312"/>
      <c r="C195" s="313"/>
      <c r="D195" s="313"/>
      <c r="E195" s="314"/>
      <c r="F195" s="315"/>
      <c r="G195" s="316"/>
      <c r="H195" s="317"/>
      <c r="I195" s="318"/>
      <c r="J195" s="319"/>
      <c r="K195" s="314"/>
      <c r="L195" s="314"/>
      <c r="M195" s="314"/>
      <c r="N195" s="314"/>
      <c r="O195" s="318"/>
      <c r="P195" s="314"/>
      <c r="Q195" s="314"/>
      <c r="R195" s="314"/>
      <c r="S195" s="314"/>
      <c r="T195" s="324"/>
      <c r="U195" s="155"/>
      <c r="V195" s="155"/>
      <c r="W195" s="322"/>
      <c r="X195" s="155"/>
      <c r="Y195" s="132"/>
    </row>
    <row r="196">
      <c r="A196" s="311"/>
      <c r="B196" s="312"/>
      <c r="C196" s="313"/>
      <c r="D196" s="313"/>
      <c r="E196" s="314"/>
      <c r="F196" s="315"/>
      <c r="G196" s="316"/>
      <c r="H196" s="317"/>
      <c r="I196" s="318"/>
      <c r="J196" s="319"/>
      <c r="K196" s="314"/>
      <c r="L196" s="314"/>
      <c r="M196" s="314"/>
      <c r="N196" s="314"/>
      <c r="O196" s="318"/>
      <c r="P196" s="314"/>
      <c r="Q196" s="314"/>
      <c r="R196" s="314"/>
      <c r="S196" s="314"/>
      <c r="T196" s="324"/>
      <c r="U196" s="155"/>
      <c r="V196" s="155"/>
      <c r="W196" s="322"/>
      <c r="X196" s="155"/>
      <c r="Y196" s="132"/>
    </row>
    <row r="197">
      <c r="A197" s="311"/>
      <c r="B197" s="312"/>
      <c r="C197" s="313"/>
      <c r="D197" s="313"/>
      <c r="E197" s="314"/>
      <c r="F197" s="315"/>
      <c r="G197" s="316"/>
      <c r="H197" s="317"/>
      <c r="I197" s="318"/>
      <c r="J197" s="319"/>
      <c r="K197" s="314"/>
      <c r="L197" s="314"/>
      <c r="M197" s="314"/>
      <c r="N197" s="314"/>
      <c r="O197" s="318"/>
      <c r="P197" s="314"/>
      <c r="Q197" s="314"/>
      <c r="R197" s="314"/>
      <c r="S197" s="314"/>
      <c r="T197" s="324"/>
      <c r="U197" s="155"/>
      <c r="V197" s="155"/>
      <c r="W197" s="322"/>
      <c r="X197" s="155"/>
      <c r="Y197" s="132"/>
    </row>
    <row r="198">
      <c r="A198" s="311"/>
      <c r="B198" s="312"/>
      <c r="C198" s="313"/>
      <c r="D198" s="313"/>
      <c r="E198" s="314"/>
      <c r="F198" s="315"/>
      <c r="G198" s="316"/>
      <c r="H198" s="317"/>
      <c r="I198" s="318"/>
      <c r="J198" s="319"/>
      <c r="K198" s="314"/>
      <c r="L198" s="314"/>
      <c r="M198" s="314"/>
      <c r="N198" s="314"/>
      <c r="O198" s="318"/>
      <c r="P198" s="314"/>
      <c r="Q198" s="314"/>
      <c r="R198" s="314"/>
      <c r="S198" s="314"/>
      <c r="T198" s="324"/>
      <c r="U198" s="155"/>
      <c r="V198" s="155"/>
      <c r="W198" s="322"/>
      <c r="X198" s="155"/>
      <c r="Y198" s="132"/>
    </row>
    <row r="199">
      <c r="A199" s="311"/>
      <c r="B199" s="312"/>
      <c r="C199" s="313"/>
      <c r="D199" s="313"/>
      <c r="E199" s="314"/>
      <c r="F199" s="315"/>
      <c r="G199" s="316"/>
      <c r="H199" s="317"/>
      <c r="I199" s="318"/>
      <c r="J199" s="319"/>
      <c r="K199" s="314"/>
      <c r="L199" s="314"/>
      <c r="M199" s="314"/>
      <c r="N199" s="314"/>
      <c r="O199" s="318"/>
      <c r="P199" s="314"/>
      <c r="Q199" s="314"/>
      <c r="R199" s="314"/>
      <c r="S199" s="314"/>
      <c r="T199" s="324"/>
      <c r="U199" s="155"/>
      <c r="V199" s="155"/>
      <c r="W199" s="322"/>
      <c r="X199" s="155"/>
      <c r="Y199" s="132"/>
    </row>
    <row r="200">
      <c r="A200" s="311"/>
      <c r="B200" s="312"/>
      <c r="C200" s="313"/>
      <c r="D200" s="313"/>
      <c r="E200" s="314"/>
      <c r="F200" s="315"/>
      <c r="G200" s="316"/>
      <c r="H200" s="317"/>
      <c r="I200" s="318"/>
      <c r="J200" s="319"/>
      <c r="K200" s="314"/>
      <c r="L200" s="314"/>
      <c r="M200" s="314"/>
      <c r="N200" s="314"/>
      <c r="O200" s="318"/>
      <c r="P200" s="314"/>
      <c r="Q200" s="314"/>
      <c r="R200" s="314"/>
      <c r="S200" s="314"/>
      <c r="T200" s="324"/>
      <c r="U200" s="155"/>
      <c r="V200" s="155"/>
      <c r="W200" s="322"/>
      <c r="X200" s="155"/>
      <c r="Y200" s="132"/>
    </row>
    <row r="201">
      <c r="A201" s="311"/>
      <c r="B201" s="312"/>
      <c r="C201" s="313"/>
      <c r="D201" s="313"/>
      <c r="E201" s="314"/>
      <c r="F201" s="315"/>
      <c r="G201" s="316"/>
      <c r="H201" s="317"/>
      <c r="I201" s="318"/>
      <c r="J201" s="319"/>
      <c r="K201" s="314"/>
      <c r="L201" s="314"/>
      <c r="M201" s="314"/>
      <c r="N201" s="314"/>
      <c r="O201" s="318"/>
      <c r="P201" s="314"/>
      <c r="Q201" s="314"/>
      <c r="R201" s="314"/>
      <c r="S201" s="314"/>
      <c r="T201" s="324"/>
      <c r="U201" s="155"/>
      <c r="V201" s="155"/>
      <c r="W201" s="322"/>
      <c r="X201" s="155"/>
      <c r="Y201" s="132"/>
    </row>
    <row r="202">
      <c r="A202" s="311"/>
      <c r="B202" s="312"/>
      <c r="C202" s="313"/>
      <c r="D202" s="313"/>
      <c r="E202" s="314"/>
      <c r="F202" s="315"/>
      <c r="G202" s="316"/>
      <c r="H202" s="317"/>
      <c r="I202" s="318"/>
      <c r="J202" s="319"/>
      <c r="K202" s="314"/>
      <c r="L202" s="314"/>
      <c r="M202" s="314"/>
      <c r="N202" s="314"/>
      <c r="O202" s="318"/>
      <c r="P202" s="314"/>
      <c r="Q202" s="314"/>
      <c r="R202" s="314"/>
      <c r="S202" s="314"/>
      <c r="T202" s="324"/>
      <c r="U202" s="155"/>
      <c r="V202" s="155"/>
      <c r="W202" s="322"/>
      <c r="X202" s="155"/>
      <c r="Y202" s="132"/>
    </row>
    <row r="203">
      <c r="A203" s="311"/>
      <c r="B203" s="312"/>
      <c r="C203" s="313"/>
      <c r="D203" s="313"/>
      <c r="E203" s="314"/>
      <c r="F203" s="315"/>
      <c r="G203" s="316"/>
      <c r="H203" s="317"/>
      <c r="I203" s="318"/>
      <c r="J203" s="319"/>
      <c r="K203" s="314"/>
      <c r="L203" s="314"/>
      <c r="M203" s="314"/>
      <c r="N203" s="314"/>
      <c r="O203" s="318"/>
      <c r="P203" s="314"/>
      <c r="Q203" s="314"/>
      <c r="R203" s="314"/>
      <c r="S203" s="314"/>
      <c r="T203" s="324"/>
      <c r="U203" s="155"/>
      <c r="V203" s="155"/>
      <c r="W203" s="322"/>
      <c r="X203" s="155"/>
      <c r="Y203" s="132"/>
    </row>
    <row r="204">
      <c r="A204" s="311"/>
      <c r="B204" s="312"/>
      <c r="C204" s="313"/>
      <c r="D204" s="313"/>
      <c r="E204" s="314"/>
      <c r="F204" s="315"/>
      <c r="G204" s="316"/>
      <c r="H204" s="317"/>
      <c r="I204" s="318"/>
      <c r="J204" s="319"/>
      <c r="K204" s="314"/>
      <c r="L204" s="314"/>
      <c r="M204" s="314"/>
      <c r="N204" s="314"/>
      <c r="O204" s="318"/>
      <c r="P204" s="314"/>
      <c r="Q204" s="314"/>
      <c r="R204" s="314"/>
      <c r="S204" s="314"/>
      <c r="T204" s="324"/>
      <c r="U204" s="155"/>
      <c r="V204" s="155"/>
      <c r="W204" s="322"/>
      <c r="X204" s="155"/>
      <c r="Y204" s="132"/>
    </row>
    <row r="205">
      <c r="A205" s="311"/>
      <c r="B205" s="312"/>
      <c r="C205" s="313"/>
      <c r="D205" s="313"/>
      <c r="E205" s="314"/>
      <c r="F205" s="315"/>
      <c r="G205" s="316"/>
      <c r="H205" s="317"/>
      <c r="I205" s="318"/>
      <c r="J205" s="319"/>
      <c r="K205" s="314"/>
      <c r="L205" s="314"/>
      <c r="M205" s="314"/>
      <c r="N205" s="314"/>
      <c r="O205" s="318"/>
      <c r="P205" s="314"/>
      <c r="Q205" s="314"/>
      <c r="R205" s="314"/>
      <c r="S205" s="314"/>
      <c r="T205" s="324"/>
      <c r="U205" s="155"/>
      <c r="V205" s="155"/>
      <c r="W205" s="322"/>
      <c r="X205" s="155"/>
      <c r="Y205" s="132"/>
    </row>
    <row r="206">
      <c r="A206" s="311"/>
      <c r="B206" s="312"/>
      <c r="C206" s="313"/>
      <c r="D206" s="313"/>
      <c r="E206" s="314"/>
      <c r="F206" s="315"/>
      <c r="G206" s="316"/>
      <c r="H206" s="317"/>
      <c r="I206" s="318"/>
      <c r="J206" s="319"/>
      <c r="K206" s="314"/>
      <c r="L206" s="314"/>
      <c r="M206" s="314"/>
      <c r="N206" s="314"/>
      <c r="O206" s="318"/>
      <c r="P206" s="314"/>
      <c r="Q206" s="314"/>
      <c r="R206" s="314"/>
      <c r="S206" s="314"/>
      <c r="T206" s="324"/>
      <c r="U206" s="155"/>
      <c r="V206" s="155"/>
      <c r="W206" s="322"/>
      <c r="X206" s="155"/>
      <c r="Y206" s="132"/>
    </row>
    <row r="207">
      <c r="A207" s="311"/>
      <c r="B207" s="312"/>
      <c r="C207" s="313"/>
      <c r="D207" s="313"/>
      <c r="E207" s="314"/>
      <c r="F207" s="315"/>
      <c r="G207" s="316"/>
      <c r="H207" s="317"/>
      <c r="I207" s="318"/>
      <c r="J207" s="319"/>
      <c r="K207" s="314"/>
      <c r="L207" s="314"/>
      <c r="M207" s="314"/>
      <c r="N207" s="314"/>
      <c r="O207" s="318"/>
      <c r="P207" s="314"/>
      <c r="Q207" s="314"/>
      <c r="R207" s="314"/>
      <c r="S207" s="314"/>
      <c r="T207" s="324"/>
      <c r="U207" s="155"/>
      <c r="V207" s="155"/>
      <c r="W207" s="322"/>
      <c r="X207" s="155"/>
      <c r="Y207" s="132"/>
    </row>
    <row r="208">
      <c r="A208" s="311"/>
      <c r="B208" s="312"/>
      <c r="C208" s="313"/>
      <c r="D208" s="313"/>
      <c r="E208" s="314"/>
      <c r="F208" s="315"/>
      <c r="G208" s="316"/>
      <c r="H208" s="317"/>
      <c r="I208" s="318"/>
      <c r="J208" s="319"/>
      <c r="K208" s="314"/>
      <c r="L208" s="314"/>
      <c r="M208" s="314"/>
      <c r="N208" s="314"/>
      <c r="O208" s="318"/>
      <c r="P208" s="314"/>
      <c r="Q208" s="314"/>
      <c r="R208" s="314"/>
      <c r="S208" s="314"/>
      <c r="T208" s="324"/>
      <c r="U208" s="155"/>
      <c r="V208" s="155"/>
      <c r="W208" s="322"/>
      <c r="X208" s="155"/>
      <c r="Y208" s="132"/>
    </row>
    <row r="209">
      <c r="A209" s="311"/>
      <c r="B209" s="312"/>
      <c r="C209" s="313"/>
      <c r="D209" s="313"/>
      <c r="E209" s="314"/>
      <c r="F209" s="315"/>
      <c r="G209" s="316"/>
      <c r="H209" s="317"/>
      <c r="I209" s="318"/>
      <c r="J209" s="319"/>
      <c r="K209" s="314"/>
      <c r="L209" s="314"/>
      <c r="M209" s="314"/>
      <c r="N209" s="314"/>
      <c r="O209" s="318"/>
      <c r="P209" s="314"/>
      <c r="Q209" s="314"/>
      <c r="R209" s="314"/>
      <c r="S209" s="314"/>
      <c r="T209" s="324"/>
      <c r="U209" s="155"/>
      <c r="V209" s="155"/>
      <c r="W209" s="322"/>
      <c r="X209" s="155"/>
      <c r="Y209" s="132"/>
    </row>
    <row r="210">
      <c r="A210" s="311"/>
      <c r="B210" s="312"/>
      <c r="C210" s="313"/>
      <c r="D210" s="313"/>
      <c r="E210" s="314"/>
      <c r="F210" s="315"/>
      <c r="G210" s="316"/>
      <c r="H210" s="317"/>
      <c r="I210" s="318"/>
      <c r="J210" s="319"/>
      <c r="K210" s="314"/>
      <c r="L210" s="314"/>
      <c r="M210" s="314"/>
      <c r="N210" s="314"/>
      <c r="O210" s="318"/>
      <c r="P210" s="314"/>
      <c r="Q210" s="314"/>
      <c r="R210" s="314"/>
      <c r="S210" s="314"/>
      <c r="T210" s="324"/>
      <c r="U210" s="155"/>
      <c r="V210" s="155"/>
      <c r="W210" s="322"/>
      <c r="X210" s="155"/>
      <c r="Y210" s="132"/>
    </row>
    <row r="211">
      <c r="A211" s="311"/>
      <c r="B211" s="312"/>
      <c r="C211" s="313"/>
      <c r="D211" s="313"/>
      <c r="E211" s="314"/>
      <c r="F211" s="315"/>
      <c r="G211" s="316"/>
      <c r="H211" s="317"/>
      <c r="I211" s="318"/>
      <c r="J211" s="319"/>
      <c r="K211" s="314"/>
      <c r="L211" s="314"/>
      <c r="M211" s="314"/>
      <c r="N211" s="314"/>
      <c r="O211" s="318"/>
      <c r="P211" s="314"/>
      <c r="Q211" s="314"/>
      <c r="R211" s="314"/>
      <c r="S211" s="314"/>
      <c r="T211" s="324"/>
      <c r="U211" s="155"/>
      <c r="V211" s="155"/>
      <c r="W211" s="322"/>
      <c r="X211" s="155"/>
      <c r="Y211" s="132"/>
    </row>
    <row r="212">
      <c r="A212" s="311"/>
      <c r="B212" s="312"/>
      <c r="C212" s="313"/>
      <c r="D212" s="313"/>
      <c r="E212" s="314"/>
      <c r="F212" s="315"/>
      <c r="G212" s="316"/>
      <c r="H212" s="317"/>
      <c r="I212" s="318"/>
      <c r="J212" s="319"/>
      <c r="K212" s="314"/>
      <c r="L212" s="314"/>
      <c r="M212" s="314"/>
      <c r="N212" s="314"/>
      <c r="O212" s="318"/>
      <c r="P212" s="314"/>
      <c r="Q212" s="314"/>
      <c r="R212" s="314"/>
      <c r="S212" s="314"/>
      <c r="T212" s="324"/>
      <c r="U212" s="155"/>
      <c r="V212" s="155"/>
      <c r="W212" s="322"/>
      <c r="X212" s="155"/>
      <c r="Y212" s="132"/>
    </row>
    <row r="213">
      <c r="A213" s="311"/>
      <c r="B213" s="312"/>
      <c r="C213" s="313"/>
      <c r="D213" s="313"/>
      <c r="E213" s="314"/>
      <c r="F213" s="315"/>
      <c r="G213" s="316"/>
      <c r="H213" s="317"/>
      <c r="I213" s="318"/>
      <c r="J213" s="319"/>
      <c r="K213" s="314"/>
      <c r="L213" s="314"/>
      <c r="M213" s="314"/>
      <c r="N213" s="314"/>
      <c r="O213" s="318"/>
      <c r="P213" s="314"/>
      <c r="Q213" s="314"/>
      <c r="R213" s="314"/>
      <c r="S213" s="314"/>
      <c r="T213" s="324"/>
      <c r="U213" s="155"/>
      <c r="V213" s="155"/>
      <c r="W213" s="322"/>
      <c r="X213" s="155"/>
      <c r="Y213" s="132"/>
    </row>
    <row r="214">
      <c r="A214" s="311"/>
      <c r="B214" s="312"/>
      <c r="C214" s="313"/>
      <c r="D214" s="313"/>
      <c r="E214" s="314"/>
      <c r="F214" s="315"/>
      <c r="G214" s="316"/>
      <c r="H214" s="317"/>
      <c r="I214" s="318"/>
      <c r="J214" s="319"/>
      <c r="K214" s="314"/>
      <c r="L214" s="314"/>
      <c r="M214" s="314"/>
      <c r="N214" s="314"/>
      <c r="O214" s="318"/>
      <c r="P214" s="314"/>
      <c r="Q214" s="314"/>
      <c r="R214" s="314"/>
      <c r="S214" s="314"/>
      <c r="T214" s="324"/>
      <c r="U214" s="155"/>
      <c r="V214" s="155"/>
      <c r="W214" s="322"/>
      <c r="X214" s="155"/>
      <c r="Y214" s="132"/>
    </row>
    <row r="215">
      <c r="A215" s="311"/>
      <c r="B215" s="312"/>
      <c r="C215" s="313"/>
      <c r="D215" s="313"/>
      <c r="E215" s="314"/>
      <c r="F215" s="315"/>
      <c r="G215" s="316"/>
      <c r="H215" s="317"/>
      <c r="I215" s="318"/>
      <c r="J215" s="319"/>
      <c r="K215" s="314"/>
      <c r="L215" s="314"/>
      <c r="M215" s="314"/>
      <c r="N215" s="314"/>
      <c r="O215" s="318"/>
      <c r="P215" s="314"/>
      <c r="Q215" s="314"/>
      <c r="R215" s="314"/>
      <c r="S215" s="314"/>
      <c r="T215" s="324"/>
      <c r="U215" s="155"/>
      <c r="V215" s="155"/>
      <c r="W215" s="322"/>
      <c r="X215" s="155"/>
      <c r="Y215" s="132"/>
    </row>
    <row r="216">
      <c r="A216" s="311"/>
      <c r="B216" s="312"/>
      <c r="C216" s="313"/>
      <c r="D216" s="313"/>
      <c r="E216" s="314"/>
      <c r="F216" s="315"/>
      <c r="G216" s="316"/>
      <c r="H216" s="317"/>
      <c r="I216" s="318"/>
      <c r="J216" s="319"/>
      <c r="K216" s="314"/>
      <c r="L216" s="314"/>
      <c r="M216" s="314"/>
      <c r="N216" s="314"/>
      <c r="O216" s="318"/>
      <c r="P216" s="314"/>
      <c r="Q216" s="314"/>
      <c r="R216" s="314"/>
      <c r="S216" s="314"/>
      <c r="T216" s="324"/>
      <c r="U216" s="155"/>
      <c r="V216" s="155"/>
      <c r="W216" s="322"/>
      <c r="X216" s="155"/>
      <c r="Y216" s="132"/>
    </row>
    <row r="217">
      <c r="A217" s="311"/>
      <c r="B217" s="312"/>
      <c r="C217" s="313"/>
      <c r="D217" s="313"/>
      <c r="E217" s="314"/>
      <c r="F217" s="315"/>
      <c r="G217" s="316"/>
      <c r="H217" s="317"/>
      <c r="I217" s="318"/>
      <c r="J217" s="319"/>
      <c r="K217" s="314"/>
      <c r="L217" s="314"/>
      <c r="M217" s="314"/>
      <c r="N217" s="314"/>
      <c r="O217" s="318"/>
      <c r="P217" s="314"/>
      <c r="Q217" s="314"/>
      <c r="R217" s="314"/>
      <c r="S217" s="314"/>
      <c r="T217" s="324"/>
      <c r="U217" s="155"/>
      <c r="V217" s="155"/>
      <c r="W217" s="322"/>
      <c r="X217" s="155"/>
      <c r="Y217" s="132"/>
    </row>
    <row r="218">
      <c r="A218" s="311"/>
      <c r="B218" s="312"/>
      <c r="C218" s="313"/>
      <c r="D218" s="313"/>
      <c r="E218" s="314"/>
      <c r="F218" s="315"/>
      <c r="G218" s="316"/>
      <c r="H218" s="317"/>
      <c r="I218" s="318"/>
      <c r="J218" s="319"/>
      <c r="K218" s="314"/>
      <c r="L218" s="314"/>
      <c r="M218" s="314"/>
      <c r="N218" s="314"/>
      <c r="O218" s="318"/>
      <c r="P218" s="314"/>
      <c r="Q218" s="314"/>
      <c r="R218" s="314"/>
      <c r="S218" s="314"/>
      <c r="T218" s="324"/>
      <c r="U218" s="155"/>
      <c r="V218" s="155"/>
      <c r="W218" s="322"/>
      <c r="X218" s="155"/>
      <c r="Y218" s="132"/>
    </row>
    <row r="219">
      <c r="A219" s="311"/>
      <c r="B219" s="312"/>
      <c r="C219" s="313"/>
      <c r="D219" s="313"/>
      <c r="E219" s="314"/>
      <c r="F219" s="315"/>
      <c r="G219" s="316"/>
      <c r="H219" s="317"/>
      <c r="I219" s="318"/>
      <c r="J219" s="319"/>
      <c r="K219" s="314"/>
      <c r="L219" s="314"/>
      <c r="M219" s="314"/>
      <c r="N219" s="314"/>
      <c r="O219" s="318"/>
      <c r="P219" s="314"/>
      <c r="Q219" s="314"/>
      <c r="R219" s="314"/>
      <c r="S219" s="314"/>
      <c r="T219" s="324"/>
      <c r="U219" s="155"/>
      <c r="V219" s="155"/>
      <c r="W219" s="322"/>
      <c r="X219" s="155"/>
      <c r="Y219" s="132"/>
    </row>
    <row r="220">
      <c r="A220" s="311"/>
      <c r="B220" s="312"/>
      <c r="C220" s="313"/>
      <c r="D220" s="313"/>
      <c r="E220" s="314"/>
      <c r="F220" s="315"/>
      <c r="G220" s="316"/>
      <c r="H220" s="317"/>
      <c r="I220" s="318"/>
      <c r="J220" s="319"/>
      <c r="K220" s="314"/>
      <c r="L220" s="314"/>
      <c r="M220" s="314"/>
      <c r="N220" s="314"/>
      <c r="O220" s="318"/>
      <c r="P220" s="314"/>
      <c r="Q220" s="314"/>
      <c r="R220" s="314"/>
      <c r="S220" s="314"/>
      <c r="T220" s="324"/>
      <c r="U220" s="155"/>
      <c r="V220" s="155"/>
      <c r="W220" s="322"/>
      <c r="X220" s="155"/>
      <c r="Y220" s="132"/>
    </row>
    <row r="221">
      <c r="A221" s="311"/>
      <c r="B221" s="312"/>
      <c r="C221" s="313"/>
      <c r="D221" s="313"/>
      <c r="E221" s="314"/>
      <c r="F221" s="315"/>
      <c r="G221" s="316"/>
      <c r="H221" s="317"/>
      <c r="I221" s="318"/>
      <c r="J221" s="319"/>
      <c r="K221" s="314"/>
      <c r="L221" s="314"/>
      <c r="M221" s="314"/>
      <c r="N221" s="314"/>
      <c r="O221" s="318"/>
      <c r="P221" s="314"/>
      <c r="Q221" s="314"/>
      <c r="R221" s="314"/>
      <c r="S221" s="314"/>
      <c r="T221" s="324"/>
      <c r="U221" s="155"/>
      <c r="V221" s="155"/>
      <c r="W221" s="322"/>
      <c r="X221" s="155"/>
      <c r="Y221" s="132"/>
    </row>
    <row r="222">
      <c r="A222" s="311"/>
      <c r="B222" s="312"/>
      <c r="C222" s="313"/>
      <c r="D222" s="313"/>
      <c r="E222" s="314"/>
      <c r="F222" s="315"/>
      <c r="G222" s="316"/>
      <c r="H222" s="317"/>
      <c r="I222" s="318"/>
      <c r="J222" s="319"/>
      <c r="K222" s="314"/>
      <c r="L222" s="314"/>
      <c r="M222" s="314"/>
      <c r="N222" s="314"/>
      <c r="O222" s="318"/>
      <c r="P222" s="314"/>
      <c r="Q222" s="314"/>
      <c r="R222" s="314"/>
      <c r="S222" s="314"/>
      <c r="T222" s="324"/>
      <c r="U222" s="155"/>
      <c r="V222" s="155"/>
      <c r="W222" s="322"/>
      <c r="X222" s="155"/>
      <c r="Y222" s="132"/>
    </row>
    <row r="223">
      <c r="A223" s="311"/>
      <c r="B223" s="312"/>
      <c r="C223" s="313"/>
      <c r="D223" s="313"/>
      <c r="E223" s="314"/>
      <c r="F223" s="315"/>
      <c r="G223" s="316"/>
      <c r="H223" s="317"/>
      <c r="I223" s="318"/>
      <c r="J223" s="319"/>
      <c r="K223" s="314"/>
      <c r="L223" s="314"/>
      <c r="M223" s="314"/>
      <c r="N223" s="314"/>
      <c r="O223" s="318"/>
      <c r="P223" s="314"/>
      <c r="Q223" s="314"/>
      <c r="R223" s="314"/>
      <c r="S223" s="314"/>
      <c r="T223" s="324"/>
      <c r="U223" s="155"/>
      <c r="V223" s="155"/>
      <c r="W223" s="322"/>
      <c r="X223" s="155"/>
      <c r="Y223" s="132"/>
    </row>
    <row r="224">
      <c r="A224" s="311"/>
      <c r="B224" s="312"/>
      <c r="C224" s="313"/>
      <c r="D224" s="313"/>
      <c r="E224" s="314"/>
      <c r="F224" s="315"/>
      <c r="G224" s="316"/>
      <c r="H224" s="317"/>
      <c r="I224" s="318"/>
      <c r="J224" s="319"/>
      <c r="K224" s="314"/>
      <c r="L224" s="314"/>
      <c r="M224" s="314"/>
      <c r="N224" s="314"/>
      <c r="O224" s="318"/>
      <c r="P224" s="314"/>
      <c r="Q224" s="314"/>
      <c r="R224" s="314"/>
      <c r="S224" s="314"/>
      <c r="T224" s="324"/>
      <c r="U224" s="155"/>
      <c r="V224" s="155"/>
      <c r="W224" s="322"/>
      <c r="X224" s="155"/>
      <c r="Y224" s="132"/>
    </row>
    <row r="225">
      <c r="A225" s="311"/>
      <c r="B225" s="312"/>
      <c r="C225" s="313"/>
      <c r="D225" s="313"/>
      <c r="E225" s="314"/>
      <c r="F225" s="315"/>
      <c r="G225" s="316"/>
      <c r="H225" s="317"/>
      <c r="I225" s="318"/>
      <c r="J225" s="319"/>
      <c r="K225" s="314"/>
      <c r="L225" s="314"/>
      <c r="M225" s="314"/>
      <c r="N225" s="314"/>
      <c r="O225" s="318"/>
      <c r="P225" s="314"/>
      <c r="Q225" s="314"/>
      <c r="R225" s="314"/>
      <c r="S225" s="314"/>
      <c r="T225" s="324"/>
      <c r="U225" s="155"/>
      <c r="V225" s="155"/>
      <c r="W225" s="322"/>
      <c r="X225" s="155"/>
      <c r="Y225" s="132"/>
    </row>
    <row r="226">
      <c r="A226" s="311"/>
      <c r="B226" s="312"/>
      <c r="C226" s="313"/>
      <c r="D226" s="313"/>
      <c r="E226" s="314"/>
      <c r="F226" s="315"/>
      <c r="G226" s="316"/>
      <c r="H226" s="317"/>
      <c r="I226" s="318"/>
      <c r="J226" s="319"/>
      <c r="K226" s="314"/>
      <c r="L226" s="314"/>
      <c r="M226" s="314"/>
      <c r="N226" s="314"/>
      <c r="O226" s="318"/>
      <c r="P226" s="314"/>
      <c r="Q226" s="314"/>
      <c r="R226" s="314"/>
      <c r="S226" s="314"/>
      <c r="T226" s="324"/>
      <c r="U226" s="155"/>
      <c r="V226" s="155"/>
      <c r="W226" s="322"/>
      <c r="X226" s="155"/>
      <c r="Y226" s="132"/>
    </row>
    <row r="227">
      <c r="A227" s="311"/>
      <c r="B227" s="312"/>
      <c r="C227" s="313"/>
      <c r="D227" s="313"/>
      <c r="E227" s="314"/>
      <c r="F227" s="315"/>
      <c r="G227" s="316"/>
      <c r="H227" s="317"/>
      <c r="I227" s="318"/>
      <c r="J227" s="319"/>
      <c r="K227" s="314"/>
      <c r="L227" s="314"/>
      <c r="M227" s="314"/>
      <c r="N227" s="314"/>
      <c r="O227" s="318"/>
      <c r="P227" s="314"/>
      <c r="Q227" s="314"/>
      <c r="R227" s="314"/>
      <c r="S227" s="314"/>
      <c r="T227" s="324"/>
      <c r="U227" s="155"/>
      <c r="V227" s="155"/>
      <c r="W227" s="322"/>
      <c r="X227" s="155"/>
      <c r="Y227" s="132"/>
    </row>
    <row r="228">
      <c r="A228" s="311"/>
      <c r="B228" s="312"/>
      <c r="C228" s="313"/>
      <c r="D228" s="313"/>
      <c r="E228" s="314"/>
      <c r="F228" s="315"/>
      <c r="G228" s="316"/>
      <c r="H228" s="317"/>
      <c r="I228" s="318"/>
      <c r="J228" s="319"/>
      <c r="K228" s="314"/>
      <c r="L228" s="314"/>
      <c r="M228" s="314"/>
      <c r="N228" s="314"/>
      <c r="O228" s="318"/>
      <c r="P228" s="314"/>
      <c r="Q228" s="314"/>
      <c r="R228" s="314"/>
      <c r="S228" s="314"/>
      <c r="T228" s="324"/>
      <c r="U228" s="155"/>
      <c r="V228" s="155"/>
      <c r="W228" s="322"/>
      <c r="X228" s="155"/>
      <c r="Y228" s="132"/>
    </row>
    <row r="229">
      <c r="A229" s="311"/>
      <c r="B229" s="312"/>
      <c r="C229" s="313"/>
      <c r="D229" s="313"/>
      <c r="E229" s="314"/>
      <c r="F229" s="315"/>
      <c r="G229" s="316"/>
      <c r="H229" s="317"/>
      <c r="I229" s="318"/>
      <c r="J229" s="319"/>
      <c r="K229" s="314"/>
      <c r="L229" s="314"/>
      <c r="M229" s="314"/>
      <c r="N229" s="314"/>
      <c r="O229" s="318"/>
      <c r="P229" s="314"/>
      <c r="Q229" s="314"/>
      <c r="R229" s="314"/>
      <c r="S229" s="314"/>
      <c r="T229" s="324"/>
      <c r="U229" s="155"/>
      <c r="V229" s="155"/>
      <c r="W229" s="322"/>
      <c r="X229" s="155"/>
      <c r="Y229" s="132"/>
    </row>
    <row r="230">
      <c r="A230" s="311"/>
      <c r="B230" s="312"/>
      <c r="C230" s="313"/>
      <c r="D230" s="313"/>
      <c r="E230" s="314"/>
      <c r="F230" s="315"/>
      <c r="G230" s="316"/>
      <c r="H230" s="317"/>
      <c r="I230" s="318"/>
      <c r="J230" s="319"/>
      <c r="K230" s="314"/>
      <c r="L230" s="314"/>
      <c r="M230" s="314"/>
      <c r="N230" s="314"/>
      <c r="O230" s="318"/>
      <c r="P230" s="314"/>
      <c r="Q230" s="314"/>
      <c r="R230" s="314"/>
      <c r="S230" s="314"/>
      <c r="T230" s="324"/>
      <c r="U230" s="155"/>
      <c r="V230" s="155"/>
      <c r="W230" s="322"/>
      <c r="X230" s="155"/>
      <c r="Y230" s="132"/>
    </row>
    <row r="231">
      <c r="A231" s="311"/>
      <c r="B231" s="312"/>
      <c r="C231" s="313"/>
      <c r="D231" s="313"/>
      <c r="E231" s="314"/>
      <c r="F231" s="315"/>
      <c r="G231" s="316"/>
      <c r="H231" s="317"/>
      <c r="I231" s="318"/>
      <c r="J231" s="319"/>
      <c r="K231" s="314"/>
      <c r="L231" s="314"/>
      <c r="M231" s="314"/>
      <c r="N231" s="314"/>
      <c r="O231" s="318"/>
      <c r="P231" s="314"/>
      <c r="Q231" s="314"/>
      <c r="R231" s="314"/>
      <c r="S231" s="314"/>
      <c r="T231" s="324"/>
      <c r="U231" s="155"/>
      <c r="V231" s="155"/>
      <c r="W231" s="322"/>
      <c r="X231" s="155"/>
      <c r="Y231" s="132"/>
    </row>
    <row r="232">
      <c r="A232" s="311"/>
      <c r="B232" s="312"/>
      <c r="C232" s="313"/>
      <c r="D232" s="313"/>
      <c r="E232" s="314"/>
      <c r="F232" s="315"/>
      <c r="G232" s="316"/>
      <c r="H232" s="317"/>
      <c r="I232" s="318"/>
      <c r="J232" s="319"/>
      <c r="K232" s="314"/>
      <c r="L232" s="314"/>
      <c r="M232" s="314"/>
      <c r="N232" s="314"/>
      <c r="O232" s="318"/>
      <c r="P232" s="314"/>
      <c r="Q232" s="314"/>
      <c r="R232" s="314"/>
      <c r="S232" s="314"/>
      <c r="T232" s="324"/>
      <c r="U232" s="155"/>
      <c r="V232" s="155"/>
      <c r="W232" s="322"/>
      <c r="X232" s="155"/>
      <c r="Y232" s="132"/>
    </row>
    <row r="233">
      <c r="A233" s="311"/>
      <c r="B233" s="312"/>
      <c r="C233" s="313"/>
      <c r="D233" s="313"/>
      <c r="E233" s="314"/>
      <c r="F233" s="315"/>
      <c r="G233" s="316"/>
      <c r="H233" s="317"/>
      <c r="I233" s="318"/>
      <c r="J233" s="319"/>
      <c r="K233" s="314"/>
      <c r="L233" s="314"/>
      <c r="M233" s="314"/>
      <c r="N233" s="314"/>
      <c r="O233" s="318"/>
      <c r="P233" s="314"/>
      <c r="Q233" s="314"/>
      <c r="R233" s="314"/>
      <c r="S233" s="314"/>
      <c r="T233" s="324"/>
      <c r="U233" s="155"/>
      <c r="V233" s="155"/>
      <c r="W233" s="322"/>
      <c r="X233" s="155"/>
      <c r="Y233" s="132"/>
    </row>
    <row r="234">
      <c r="A234" s="311"/>
      <c r="B234" s="312"/>
      <c r="C234" s="313"/>
      <c r="D234" s="313"/>
      <c r="E234" s="314"/>
      <c r="F234" s="315"/>
      <c r="G234" s="316"/>
      <c r="H234" s="317"/>
      <c r="I234" s="318"/>
      <c r="J234" s="319"/>
      <c r="K234" s="314"/>
      <c r="L234" s="314"/>
      <c r="M234" s="314"/>
      <c r="N234" s="314"/>
      <c r="O234" s="318"/>
      <c r="P234" s="314"/>
      <c r="Q234" s="314"/>
      <c r="R234" s="314"/>
      <c r="S234" s="314"/>
      <c r="T234" s="324"/>
      <c r="U234" s="155"/>
      <c r="V234" s="155"/>
      <c r="W234" s="322"/>
      <c r="X234" s="155"/>
      <c r="Y234" s="132"/>
    </row>
    <row r="235">
      <c r="A235" s="311"/>
      <c r="B235" s="312"/>
      <c r="C235" s="313"/>
      <c r="D235" s="313"/>
      <c r="E235" s="314"/>
      <c r="F235" s="315"/>
      <c r="G235" s="316"/>
      <c r="H235" s="317"/>
      <c r="I235" s="318"/>
      <c r="J235" s="319"/>
      <c r="K235" s="314"/>
      <c r="L235" s="314"/>
      <c r="M235" s="314"/>
      <c r="N235" s="314"/>
      <c r="O235" s="318"/>
      <c r="P235" s="314"/>
      <c r="Q235" s="314"/>
      <c r="R235" s="314"/>
      <c r="S235" s="314"/>
      <c r="T235" s="324"/>
      <c r="U235" s="155"/>
      <c r="V235" s="155"/>
      <c r="W235" s="322"/>
      <c r="X235" s="155"/>
      <c r="Y235" s="132"/>
    </row>
    <row r="236">
      <c r="A236" s="311"/>
      <c r="B236" s="312"/>
      <c r="C236" s="313"/>
      <c r="D236" s="313"/>
      <c r="E236" s="314"/>
      <c r="F236" s="315"/>
      <c r="G236" s="316"/>
      <c r="H236" s="317"/>
      <c r="I236" s="318"/>
      <c r="J236" s="319"/>
      <c r="K236" s="314"/>
      <c r="L236" s="314"/>
      <c r="M236" s="314"/>
      <c r="N236" s="314"/>
      <c r="O236" s="318"/>
      <c r="P236" s="314"/>
      <c r="Q236" s="314"/>
      <c r="R236" s="314"/>
      <c r="S236" s="314"/>
      <c r="T236" s="324"/>
      <c r="U236" s="155"/>
      <c r="V236" s="155"/>
      <c r="W236" s="322"/>
      <c r="X236" s="155"/>
      <c r="Y236" s="132"/>
    </row>
    <row r="237">
      <c r="A237" s="311"/>
      <c r="B237" s="312"/>
      <c r="C237" s="313"/>
      <c r="D237" s="313"/>
      <c r="E237" s="314"/>
      <c r="F237" s="315"/>
      <c r="G237" s="316"/>
      <c r="H237" s="317"/>
      <c r="I237" s="318"/>
      <c r="J237" s="319"/>
      <c r="K237" s="314"/>
      <c r="L237" s="314"/>
      <c r="M237" s="314"/>
      <c r="N237" s="314"/>
      <c r="O237" s="318"/>
      <c r="P237" s="314"/>
      <c r="Q237" s="314"/>
      <c r="R237" s="314"/>
      <c r="S237" s="314"/>
      <c r="T237" s="324"/>
      <c r="U237" s="155"/>
      <c r="V237" s="155"/>
      <c r="W237" s="322"/>
      <c r="X237" s="155"/>
      <c r="Y237" s="132"/>
    </row>
    <row r="238">
      <c r="A238" s="311"/>
      <c r="B238" s="312"/>
      <c r="C238" s="313"/>
      <c r="D238" s="313"/>
      <c r="E238" s="314"/>
      <c r="F238" s="315"/>
      <c r="G238" s="316"/>
      <c r="H238" s="317"/>
      <c r="I238" s="318"/>
      <c r="J238" s="319"/>
      <c r="K238" s="314"/>
      <c r="L238" s="314"/>
      <c r="M238" s="314"/>
      <c r="N238" s="314"/>
      <c r="O238" s="318"/>
      <c r="P238" s="314"/>
      <c r="Q238" s="314"/>
      <c r="R238" s="314"/>
      <c r="S238" s="314"/>
      <c r="T238" s="324"/>
      <c r="U238" s="155"/>
      <c r="V238" s="155"/>
      <c r="W238" s="322"/>
      <c r="X238" s="155"/>
      <c r="Y238" s="132"/>
    </row>
    <row r="239">
      <c r="A239" s="311"/>
      <c r="B239" s="312"/>
      <c r="C239" s="313"/>
      <c r="D239" s="313"/>
      <c r="E239" s="314"/>
      <c r="F239" s="315"/>
      <c r="G239" s="316"/>
      <c r="H239" s="317"/>
      <c r="I239" s="318"/>
      <c r="J239" s="319"/>
      <c r="K239" s="314"/>
      <c r="L239" s="314"/>
      <c r="M239" s="314"/>
      <c r="N239" s="314"/>
      <c r="O239" s="318"/>
      <c r="P239" s="314"/>
      <c r="Q239" s="314"/>
      <c r="R239" s="314"/>
      <c r="S239" s="314"/>
      <c r="T239" s="324"/>
      <c r="U239" s="155"/>
      <c r="V239" s="155"/>
      <c r="W239" s="322"/>
      <c r="X239" s="155"/>
      <c r="Y239" s="132"/>
    </row>
    <row r="240">
      <c r="A240" s="311"/>
      <c r="B240" s="312"/>
      <c r="C240" s="313"/>
      <c r="D240" s="313"/>
      <c r="E240" s="314"/>
      <c r="F240" s="315"/>
      <c r="G240" s="316"/>
      <c r="H240" s="317"/>
      <c r="I240" s="318"/>
      <c r="J240" s="319"/>
      <c r="K240" s="314"/>
      <c r="L240" s="314"/>
      <c r="M240" s="314"/>
      <c r="N240" s="314"/>
      <c r="O240" s="318"/>
      <c r="P240" s="314"/>
      <c r="Q240" s="314"/>
      <c r="R240" s="314"/>
      <c r="S240" s="314"/>
      <c r="T240" s="324"/>
      <c r="U240" s="155"/>
      <c r="V240" s="155"/>
      <c r="W240" s="322"/>
      <c r="X240" s="155"/>
      <c r="Y240" s="132"/>
    </row>
    <row r="241">
      <c r="A241" s="311"/>
      <c r="B241" s="312"/>
      <c r="C241" s="313"/>
      <c r="D241" s="313"/>
      <c r="E241" s="314"/>
      <c r="F241" s="315"/>
      <c r="G241" s="316"/>
      <c r="H241" s="317"/>
      <c r="I241" s="318"/>
      <c r="J241" s="319"/>
      <c r="K241" s="314"/>
      <c r="L241" s="314"/>
      <c r="M241" s="314"/>
      <c r="N241" s="314"/>
      <c r="O241" s="318"/>
      <c r="P241" s="314"/>
      <c r="Q241" s="314"/>
      <c r="R241" s="314"/>
      <c r="S241" s="314"/>
      <c r="T241" s="324"/>
      <c r="U241" s="155"/>
      <c r="V241" s="155"/>
      <c r="W241" s="322"/>
      <c r="X241" s="155"/>
      <c r="Y241" s="132"/>
    </row>
    <row r="242">
      <c r="A242" s="311"/>
      <c r="B242" s="312"/>
      <c r="C242" s="313"/>
      <c r="D242" s="313"/>
      <c r="E242" s="314"/>
      <c r="F242" s="315"/>
      <c r="G242" s="316"/>
      <c r="H242" s="317"/>
      <c r="I242" s="318"/>
      <c r="J242" s="319"/>
      <c r="K242" s="314"/>
      <c r="L242" s="314"/>
      <c r="M242" s="314"/>
      <c r="N242" s="314"/>
      <c r="O242" s="318"/>
      <c r="P242" s="314"/>
      <c r="Q242" s="314"/>
      <c r="R242" s="314"/>
      <c r="S242" s="314"/>
      <c r="T242" s="324"/>
      <c r="U242" s="155"/>
      <c r="V242" s="155"/>
      <c r="W242" s="322"/>
      <c r="X242" s="155"/>
      <c r="Y242" s="132"/>
    </row>
    <row r="243">
      <c r="A243" s="311"/>
      <c r="B243" s="312"/>
      <c r="C243" s="313"/>
      <c r="D243" s="313"/>
      <c r="E243" s="314"/>
      <c r="F243" s="315"/>
      <c r="G243" s="316"/>
      <c r="H243" s="317"/>
      <c r="I243" s="318"/>
      <c r="J243" s="319"/>
      <c r="K243" s="314"/>
      <c r="L243" s="314"/>
      <c r="M243" s="314"/>
      <c r="N243" s="314"/>
      <c r="O243" s="318"/>
      <c r="P243" s="314"/>
      <c r="Q243" s="314"/>
      <c r="R243" s="314"/>
      <c r="S243" s="314"/>
      <c r="T243" s="324"/>
      <c r="U243" s="155"/>
      <c r="V243" s="155"/>
      <c r="W243" s="322"/>
      <c r="X243" s="155"/>
      <c r="Y243" s="132"/>
    </row>
    <row r="244">
      <c r="A244" s="311"/>
      <c r="B244" s="312"/>
      <c r="C244" s="313"/>
      <c r="D244" s="313"/>
      <c r="E244" s="314"/>
      <c r="F244" s="315"/>
      <c r="G244" s="316"/>
      <c r="H244" s="317"/>
      <c r="I244" s="318"/>
      <c r="J244" s="319"/>
      <c r="K244" s="314"/>
      <c r="L244" s="314"/>
      <c r="M244" s="314"/>
      <c r="N244" s="314"/>
      <c r="O244" s="318"/>
      <c r="P244" s="314"/>
      <c r="Q244" s="314"/>
      <c r="R244" s="314"/>
      <c r="S244" s="314"/>
      <c r="T244" s="324"/>
      <c r="U244" s="155"/>
      <c r="V244" s="155"/>
      <c r="W244" s="322"/>
      <c r="X244" s="155"/>
      <c r="Y244" s="132"/>
    </row>
    <row r="245">
      <c r="A245" s="311"/>
      <c r="B245" s="312"/>
      <c r="C245" s="313"/>
      <c r="D245" s="313"/>
      <c r="E245" s="314"/>
      <c r="F245" s="315"/>
      <c r="G245" s="316"/>
      <c r="H245" s="317"/>
      <c r="I245" s="318"/>
      <c r="J245" s="319"/>
      <c r="K245" s="314"/>
      <c r="L245" s="314"/>
      <c r="M245" s="314"/>
      <c r="N245" s="314"/>
      <c r="O245" s="318"/>
      <c r="P245" s="314"/>
      <c r="Q245" s="314"/>
      <c r="R245" s="314"/>
      <c r="S245" s="314"/>
      <c r="T245" s="324"/>
      <c r="U245" s="155"/>
      <c r="V245" s="155"/>
      <c r="W245" s="322"/>
      <c r="X245" s="155"/>
      <c r="Y245" s="132"/>
    </row>
    <row r="246">
      <c r="A246" s="311"/>
      <c r="B246" s="312"/>
      <c r="C246" s="313"/>
      <c r="D246" s="313"/>
      <c r="E246" s="314"/>
      <c r="F246" s="315"/>
      <c r="G246" s="316"/>
      <c r="H246" s="317"/>
      <c r="I246" s="318"/>
      <c r="J246" s="319"/>
      <c r="K246" s="314"/>
      <c r="L246" s="314"/>
      <c r="M246" s="314"/>
      <c r="N246" s="314"/>
      <c r="O246" s="318"/>
      <c r="P246" s="314"/>
      <c r="Q246" s="314"/>
      <c r="R246" s="314"/>
      <c r="S246" s="314"/>
      <c r="T246" s="324"/>
      <c r="U246" s="155"/>
      <c r="V246" s="155"/>
      <c r="W246" s="322"/>
      <c r="X246" s="155"/>
      <c r="Y246" s="132"/>
    </row>
    <row r="247">
      <c r="A247" s="311"/>
      <c r="B247" s="312"/>
      <c r="C247" s="313"/>
      <c r="D247" s="313"/>
      <c r="E247" s="314"/>
      <c r="F247" s="315"/>
      <c r="G247" s="316"/>
      <c r="H247" s="317"/>
      <c r="I247" s="318"/>
      <c r="J247" s="319"/>
      <c r="K247" s="314"/>
      <c r="L247" s="314"/>
      <c r="M247" s="314"/>
      <c r="N247" s="314"/>
      <c r="O247" s="318"/>
      <c r="P247" s="314"/>
      <c r="Q247" s="314"/>
      <c r="R247" s="314"/>
      <c r="S247" s="314"/>
      <c r="T247" s="324"/>
      <c r="U247" s="155"/>
      <c r="V247" s="155"/>
      <c r="W247" s="322"/>
      <c r="X247" s="155"/>
      <c r="Y247" s="132"/>
    </row>
    <row r="248">
      <c r="A248" s="311"/>
      <c r="B248" s="312"/>
      <c r="C248" s="313"/>
      <c r="D248" s="313"/>
      <c r="E248" s="314"/>
      <c r="F248" s="315"/>
      <c r="G248" s="316"/>
      <c r="H248" s="317"/>
      <c r="I248" s="318"/>
      <c r="J248" s="319"/>
      <c r="K248" s="314"/>
      <c r="L248" s="314"/>
      <c r="M248" s="314"/>
      <c r="N248" s="314"/>
      <c r="O248" s="318"/>
      <c r="P248" s="314"/>
      <c r="Q248" s="314"/>
      <c r="R248" s="314"/>
      <c r="S248" s="314"/>
      <c r="T248" s="324"/>
      <c r="U248" s="155"/>
      <c r="V248" s="155"/>
      <c r="W248" s="322"/>
      <c r="X248" s="155"/>
      <c r="Y248" s="132"/>
    </row>
    <row r="249">
      <c r="A249" s="311"/>
      <c r="B249" s="312"/>
      <c r="C249" s="313"/>
      <c r="D249" s="313"/>
      <c r="E249" s="314"/>
      <c r="F249" s="315"/>
      <c r="G249" s="316"/>
      <c r="H249" s="317"/>
      <c r="I249" s="318"/>
      <c r="J249" s="319"/>
      <c r="K249" s="314"/>
      <c r="L249" s="314"/>
      <c r="M249" s="314"/>
      <c r="N249" s="314"/>
      <c r="O249" s="318"/>
      <c r="P249" s="314"/>
      <c r="Q249" s="314"/>
      <c r="R249" s="314"/>
      <c r="S249" s="314"/>
      <c r="T249" s="324"/>
      <c r="U249" s="155"/>
      <c r="V249" s="155"/>
      <c r="W249" s="322"/>
      <c r="X249" s="155"/>
      <c r="Y249" s="132"/>
    </row>
    <row r="250">
      <c r="A250" s="311"/>
      <c r="B250" s="312"/>
      <c r="C250" s="313"/>
      <c r="D250" s="313"/>
      <c r="E250" s="314"/>
      <c r="F250" s="315"/>
      <c r="G250" s="316"/>
      <c r="H250" s="317"/>
      <c r="I250" s="318"/>
      <c r="J250" s="319"/>
      <c r="K250" s="314"/>
      <c r="L250" s="314"/>
      <c r="M250" s="314"/>
      <c r="N250" s="314"/>
      <c r="O250" s="318"/>
      <c r="P250" s="314"/>
      <c r="Q250" s="314"/>
      <c r="R250" s="314"/>
      <c r="S250" s="314"/>
      <c r="T250" s="324"/>
      <c r="U250" s="155"/>
      <c r="V250" s="155"/>
      <c r="W250" s="322"/>
      <c r="X250" s="155"/>
      <c r="Y250" s="132"/>
    </row>
    <row r="251">
      <c r="A251" s="311"/>
      <c r="B251" s="312"/>
      <c r="C251" s="313"/>
      <c r="D251" s="313"/>
      <c r="E251" s="314"/>
      <c r="F251" s="315"/>
      <c r="G251" s="316"/>
      <c r="H251" s="317"/>
      <c r="I251" s="318"/>
      <c r="J251" s="319"/>
      <c r="K251" s="314"/>
      <c r="L251" s="314"/>
      <c r="M251" s="314"/>
      <c r="N251" s="314"/>
      <c r="O251" s="318"/>
      <c r="P251" s="314"/>
      <c r="Q251" s="314"/>
      <c r="R251" s="314"/>
      <c r="S251" s="314"/>
      <c r="T251" s="324"/>
      <c r="U251" s="155"/>
      <c r="V251" s="155"/>
      <c r="W251" s="322"/>
      <c r="X251" s="155"/>
      <c r="Y251" s="132"/>
    </row>
    <row r="252">
      <c r="A252" s="311"/>
      <c r="B252" s="312"/>
      <c r="C252" s="313"/>
      <c r="D252" s="313"/>
      <c r="E252" s="314"/>
      <c r="F252" s="315"/>
      <c r="G252" s="316"/>
      <c r="H252" s="317"/>
      <c r="I252" s="318"/>
      <c r="J252" s="319"/>
      <c r="K252" s="314"/>
      <c r="L252" s="314"/>
      <c r="M252" s="314"/>
      <c r="N252" s="314"/>
      <c r="O252" s="318"/>
      <c r="P252" s="314"/>
      <c r="Q252" s="314"/>
      <c r="R252" s="314"/>
      <c r="S252" s="314"/>
      <c r="T252" s="324"/>
      <c r="U252" s="155"/>
      <c r="V252" s="155"/>
      <c r="W252" s="322"/>
      <c r="X252" s="155"/>
      <c r="Y252" s="132"/>
    </row>
    <row r="253">
      <c r="A253" s="311"/>
      <c r="B253" s="312"/>
      <c r="C253" s="313"/>
      <c r="D253" s="313"/>
      <c r="E253" s="314"/>
      <c r="F253" s="315"/>
      <c r="G253" s="316"/>
      <c r="H253" s="317"/>
      <c r="I253" s="318"/>
      <c r="J253" s="319"/>
      <c r="K253" s="314"/>
      <c r="L253" s="314"/>
      <c r="M253" s="314"/>
      <c r="N253" s="314"/>
      <c r="O253" s="318"/>
      <c r="P253" s="314"/>
      <c r="Q253" s="314"/>
      <c r="R253" s="314"/>
      <c r="S253" s="314"/>
      <c r="T253" s="324"/>
      <c r="U253" s="155"/>
      <c r="V253" s="155"/>
      <c r="W253" s="322"/>
      <c r="X253" s="155"/>
      <c r="Y253" s="132"/>
    </row>
    <row r="254">
      <c r="A254" s="311"/>
      <c r="B254" s="312"/>
      <c r="C254" s="313"/>
      <c r="D254" s="313"/>
      <c r="E254" s="314"/>
      <c r="F254" s="315"/>
      <c r="G254" s="316"/>
      <c r="H254" s="317"/>
      <c r="I254" s="318"/>
      <c r="J254" s="319"/>
      <c r="K254" s="314"/>
      <c r="L254" s="314"/>
      <c r="M254" s="314"/>
      <c r="N254" s="314"/>
      <c r="O254" s="318"/>
      <c r="P254" s="314"/>
      <c r="Q254" s="314"/>
      <c r="R254" s="314"/>
      <c r="S254" s="314"/>
      <c r="T254" s="324"/>
      <c r="U254" s="155"/>
      <c r="V254" s="155"/>
      <c r="W254" s="322"/>
      <c r="X254" s="155"/>
      <c r="Y254" s="132"/>
    </row>
    <row r="255">
      <c r="A255" s="311"/>
      <c r="B255" s="312"/>
      <c r="C255" s="313"/>
      <c r="D255" s="313"/>
      <c r="E255" s="314"/>
      <c r="F255" s="315"/>
      <c r="G255" s="316"/>
      <c r="H255" s="317"/>
      <c r="I255" s="318"/>
      <c r="J255" s="319"/>
      <c r="K255" s="314"/>
      <c r="L255" s="314"/>
      <c r="M255" s="314"/>
      <c r="N255" s="314"/>
      <c r="O255" s="318"/>
      <c r="P255" s="314"/>
      <c r="Q255" s="314"/>
      <c r="R255" s="314"/>
      <c r="S255" s="314"/>
      <c r="T255" s="324"/>
      <c r="U255" s="155"/>
      <c r="V255" s="155"/>
      <c r="W255" s="322"/>
      <c r="X255" s="155"/>
      <c r="Y255" s="132"/>
    </row>
    <row r="256">
      <c r="A256" s="311"/>
      <c r="B256" s="312"/>
      <c r="C256" s="313"/>
      <c r="D256" s="313"/>
      <c r="E256" s="314"/>
      <c r="F256" s="315"/>
      <c r="G256" s="316"/>
      <c r="H256" s="317"/>
      <c r="I256" s="318"/>
      <c r="J256" s="319"/>
      <c r="K256" s="314"/>
      <c r="L256" s="314"/>
      <c r="M256" s="314"/>
      <c r="N256" s="314"/>
      <c r="O256" s="318"/>
      <c r="P256" s="314"/>
      <c r="Q256" s="314"/>
      <c r="R256" s="314"/>
      <c r="S256" s="314"/>
      <c r="T256" s="324"/>
      <c r="U256" s="155"/>
      <c r="V256" s="155"/>
      <c r="W256" s="322"/>
      <c r="X256" s="155"/>
      <c r="Y256" s="132"/>
    </row>
    <row r="257">
      <c r="A257" s="311"/>
      <c r="B257" s="312"/>
      <c r="C257" s="313"/>
      <c r="D257" s="313"/>
      <c r="E257" s="314"/>
      <c r="F257" s="315"/>
      <c r="G257" s="316"/>
      <c r="H257" s="317"/>
      <c r="I257" s="318"/>
      <c r="J257" s="319"/>
      <c r="K257" s="314"/>
      <c r="L257" s="314"/>
      <c r="M257" s="314"/>
      <c r="N257" s="314"/>
      <c r="O257" s="318"/>
      <c r="P257" s="314"/>
      <c r="Q257" s="314"/>
      <c r="R257" s="314"/>
      <c r="S257" s="314"/>
      <c r="T257" s="324"/>
      <c r="U257" s="155"/>
      <c r="V257" s="155"/>
      <c r="W257" s="322"/>
      <c r="X257" s="155"/>
      <c r="Y257" s="132"/>
    </row>
    <row r="258">
      <c r="A258" s="311"/>
      <c r="B258" s="312"/>
      <c r="C258" s="313"/>
      <c r="D258" s="313"/>
      <c r="E258" s="314"/>
      <c r="F258" s="315"/>
      <c r="G258" s="316"/>
      <c r="H258" s="317"/>
      <c r="I258" s="318"/>
      <c r="J258" s="319"/>
      <c r="K258" s="314"/>
      <c r="L258" s="314"/>
      <c r="M258" s="314"/>
      <c r="N258" s="314"/>
      <c r="O258" s="318"/>
      <c r="P258" s="314"/>
      <c r="Q258" s="314"/>
      <c r="R258" s="314"/>
      <c r="S258" s="314"/>
      <c r="T258" s="324"/>
      <c r="U258" s="155"/>
      <c r="V258" s="155"/>
      <c r="W258" s="322"/>
      <c r="X258" s="155"/>
      <c r="Y258" s="132"/>
    </row>
    <row r="259">
      <c r="A259" s="311"/>
      <c r="B259" s="312"/>
      <c r="C259" s="313"/>
      <c r="D259" s="313"/>
      <c r="E259" s="314"/>
      <c r="F259" s="315"/>
      <c r="G259" s="316"/>
      <c r="H259" s="317"/>
      <c r="I259" s="318"/>
      <c r="J259" s="319"/>
      <c r="K259" s="314"/>
      <c r="L259" s="314"/>
      <c r="M259" s="314"/>
      <c r="N259" s="314"/>
      <c r="O259" s="318"/>
      <c r="P259" s="314"/>
      <c r="Q259" s="314"/>
      <c r="R259" s="314"/>
      <c r="S259" s="314"/>
      <c r="T259" s="324"/>
      <c r="U259" s="155"/>
      <c r="V259" s="155"/>
      <c r="W259" s="322"/>
      <c r="X259" s="155"/>
      <c r="Y259" s="132"/>
    </row>
    <row r="260">
      <c r="A260" s="311"/>
      <c r="B260" s="312"/>
      <c r="C260" s="313"/>
      <c r="D260" s="313"/>
      <c r="E260" s="314"/>
      <c r="F260" s="315"/>
      <c r="G260" s="316"/>
      <c r="H260" s="317"/>
      <c r="I260" s="318"/>
      <c r="J260" s="319"/>
      <c r="K260" s="314"/>
      <c r="L260" s="314"/>
      <c r="M260" s="314"/>
      <c r="N260" s="314"/>
      <c r="O260" s="318"/>
      <c r="P260" s="314"/>
      <c r="Q260" s="314"/>
      <c r="R260" s="314"/>
      <c r="S260" s="314"/>
      <c r="T260" s="324"/>
      <c r="U260" s="155"/>
      <c r="V260" s="155"/>
      <c r="W260" s="322"/>
      <c r="X260" s="155"/>
      <c r="Y260" s="132"/>
    </row>
    <row r="261">
      <c r="A261" s="311"/>
      <c r="B261" s="312"/>
      <c r="C261" s="313"/>
      <c r="D261" s="313"/>
      <c r="E261" s="314"/>
      <c r="F261" s="315"/>
      <c r="G261" s="316"/>
      <c r="H261" s="317"/>
      <c r="I261" s="318"/>
      <c r="J261" s="319"/>
      <c r="K261" s="314"/>
      <c r="L261" s="314"/>
      <c r="M261" s="314"/>
      <c r="N261" s="314"/>
      <c r="O261" s="318"/>
      <c r="P261" s="314"/>
      <c r="Q261" s="314"/>
      <c r="R261" s="314"/>
      <c r="S261" s="314"/>
      <c r="T261" s="324"/>
      <c r="U261" s="155"/>
      <c r="V261" s="155"/>
      <c r="W261" s="322"/>
      <c r="X261" s="155"/>
      <c r="Y261" s="132"/>
    </row>
    <row r="262">
      <c r="A262" s="311"/>
      <c r="B262" s="312"/>
      <c r="C262" s="313"/>
      <c r="D262" s="313"/>
      <c r="E262" s="314"/>
      <c r="F262" s="315"/>
      <c r="G262" s="316"/>
      <c r="H262" s="317"/>
      <c r="I262" s="318"/>
      <c r="J262" s="319"/>
      <c r="K262" s="314"/>
      <c r="L262" s="314"/>
      <c r="M262" s="314"/>
      <c r="N262" s="314"/>
      <c r="O262" s="318"/>
      <c r="P262" s="314"/>
      <c r="Q262" s="314"/>
      <c r="R262" s="314"/>
      <c r="S262" s="314"/>
      <c r="T262" s="324"/>
      <c r="U262" s="155"/>
      <c r="V262" s="155"/>
      <c r="W262" s="322"/>
      <c r="X262" s="155"/>
      <c r="Y262" s="132"/>
    </row>
    <row r="263">
      <c r="A263" s="311"/>
      <c r="B263" s="312"/>
      <c r="C263" s="313"/>
      <c r="D263" s="313"/>
      <c r="E263" s="314"/>
      <c r="F263" s="315"/>
      <c r="G263" s="316"/>
      <c r="H263" s="317"/>
      <c r="I263" s="318"/>
      <c r="J263" s="319"/>
      <c r="K263" s="314"/>
      <c r="L263" s="314"/>
      <c r="M263" s="314"/>
      <c r="N263" s="314"/>
      <c r="O263" s="318"/>
      <c r="P263" s="314"/>
      <c r="Q263" s="314"/>
      <c r="R263" s="314"/>
      <c r="S263" s="314"/>
      <c r="T263" s="324"/>
      <c r="U263" s="155"/>
      <c r="V263" s="155"/>
      <c r="W263" s="322"/>
      <c r="X263" s="155"/>
      <c r="Y263" s="132"/>
    </row>
    <row r="264">
      <c r="A264" s="311"/>
      <c r="B264" s="312"/>
      <c r="C264" s="313"/>
      <c r="D264" s="313"/>
      <c r="E264" s="314"/>
      <c r="F264" s="315"/>
      <c r="G264" s="316"/>
      <c r="H264" s="317"/>
      <c r="I264" s="318"/>
      <c r="J264" s="319"/>
      <c r="K264" s="314"/>
      <c r="L264" s="314"/>
      <c r="M264" s="314"/>
      <c r="N264" s="314"/>
      <c r="O264" s="318"/>
      <c r="P264" s="314"/>
      <c r="Q264" s="314"/>
      <c r="R264" s="314"/>
      <c r="S264" s="314"/>
      <c r="T264" s="324"/>
      <c r="U264" s="155"/>
      <c r="V264" s="155"/>
      <c r="W264" s="322"/>
      <c r="X264" s="155"/>
      <c r="Y264" s="132"/>
    </row>
    <row r="265">
      <c r="A265" s="311"/>
      <c r="B265" s="312"/>
      <c r="C265" s="313"/>
      <c r="D265" s="313"/>
      <c r="E265" s="314"/>
      <c r="F265" s="315"/>
      <c r="G265" s="316"/>
      <c r="H265" s="317"/>
      <c r="I265" s="318"/>
      <c r="J265" s="319"/>
      <c r="K265" s="314"/>
      <c r="L265" s="314"/>
      <c r="M265" s="314"/>
      <c r="N265" s="314"/>
      <c r="O265" s="318"/>
      <c r="P265" s="314"/>
      <c r="Q265" s="314"/>
      <c r="R265" s="314"/>
      <c r="S265" s="314"/>
      <c r="T265" s="324"/>
      <c r="U265" s="155"/>
      <c r="V265" s="155"/>
      <c r="W265" s="322"/>
      <c r="X265" s="155"/>
      <c r="Y265" s="132"/>
    </row>
    <row r="266">
      <c r="A266" s="311"/>
      <c r="B266" s="312"/>
      <c r="C266" s="313"/>
      <c r="D266" s="313"/>
      <c r="E266" s="314"/>
      <c r="F266" s="315"/>
      <c r="G266" s="316"/>
      <c r="H266" s="317"/>
      <c r="I266" s="318"/>
      <c r="J266" s="319"/>
      <c r="K266" s="314"/>
      <c r="L266" s="314"/>
      <c r="M266" s="314"/>
      <c r="N266" s="314"/>
      <c r="O266" s="318"/>
      <c r="P266" s="314"/>
      <c r="Q266" s="314"/>
      <c r="R266" s="314"/>
      <c r="S266" s="314"/>
      <c r="T266" s="324"/>
      <c r="U266" s="155"/>
      <c r="V266" s="155"/>
      <c r="W266" s="322"/>
      <c r="X266" s="155"/>
      <c r="Y266" s="132"/>
    </row>
    <row r="267">
      <c r="A267" s="311"/>
      <c r="B267" s="312"/>
      <c r="C267" s="313"/>
      <c r="D267" s="313"/>
      <c r="E267" s="314"/>
      <c r="F267" s="315"/>
      <c r="G267" s="316"/>
      <c r="H267" s="317"/>
      <c r="I267" s="318"/>
      <c r="J267" s="319"/>
      <c r="K267" s="314"/>
      <c r="L267" s="314"/>
      <c r="M267" s="314"/>
      <c r="N267" s="314"/>
      <c r="O267" s="318"/>
      <c r="P267" s="314"/>
      <c r="Q267" s="314"/>
      <c r="R267" s="314"/>
      <c r="S267" s="314"/>
      <c r="T267" s="324"/>
      <c r="U267" s="155"/>
      <c r="V267" s="155"/>
      <c r="W267" s="322"/>
      <c r="X267" s="155"/>
      <c r="Y267" s="132"/>
    </row>
    <row r="268">
      <c r="A268" s="311"/>
      <c r="B268" s="312"/>
      <c r="C268" s="313"/>
      <c r="D268" s="313"/>
      <c r="E268" s="314"/>
      <c r="F268" s="315"/>
      <c r="G268" s="316"/>
      <c r="H268" s="317"/>
      <c r="I268" s="318"/>
      <c r="J268" s="319"/>
      <c r="K268" s="314"/>
      <c r="L268" s="314"/>
      <c r="M268" s="314"/>
      <c r="N268" s="314"/>
      <c r="O268" s="318"/>
      <c r="P268" s="314"/>
      <c r="Q268" s="314"/>
      <c r="R268" s="314"/>
      <c r="S268" s="314"/>
      <c r="T268" s="324"/>
      <c r="U268" s="155"/>
      <c r="V268" s="155"/>
      <c r="W268" s="322"/>
      <c r="X268" s="155"/>
      <c r="Y268" s="132"/>
    </row>
    <row r="269">
      <c r="A269" s="311"/>
      <c r="B269" s="312"/>
      <c r="C269" s="313"/>
      <c r="D269" s="313"/>
      <c r="E269" s="314"/>
      <c r="F269" s="315"/>
      <c r="G269" s="316"/>
      <c r="H269" s="317"/>
      <c r="I269" s="318"/>
      <c r="J269" s="319"/>
      <c r="K269" s="314"/>
      <c r="L269" s="314"/>
      <c r="M269" s="314"/>
      <c r="N269" s="314"/>
      <c r="O269" s="318"/>
      <c r="P269" s="314"/>
      <c r="Q269" s="314"/>
      <c r="R269" s="314"/>
      <c r="S269" s="314"/>
      <c r="T269" s="324"/>
      <c r="U269" s="155"/>
      <c r="V269" s="155"/>
      <c r="W269" s="322"/>
      <c r="X269" s="155"/>
      <c r="Y269" s="132"/>
    </row>
    <row r="270">
      <c r="A270" s="311"/>
      <c r="B270" s="312"/>
      <c r="C270" s="313"/>
      <c r="D270" s="313"/>
      <c r="E270" s="314"/>
      <c r="F270" s="315"/>
      <c r="G270" s="316"/>
      <c r="H270" s="317"/>
      <c r="I270" s="318"/>
      <c r="J270" s="319"/>
      <c r="K270" s="314"/>
      <c r="L270" s="314"/>
      <c r="M270" s="314"/>
      <c r="N270" s="314"/>
      <c r="O270" s="318"/>
      <c r="P270" s="314"/>
      <c r="Q270" s="314"/>
      <c r="R270" s="314"/>
      <c r="S270" s="314"/>
      <c r="T270" s="324"/>
      <c r="U270" s="155"/>
      <c r="V270" s="155"/>
      <c r="W270" s="322"/>
      <c r="X270" s="155"/>
      <c r="Y270" s="132"/>
    </row>
    <row r="271">
      <c r="A271" s="311"/>
      <c r="B271" s="312"/>
      <c r="C271" s="313"/>
      <c r="D271" s="313"/>
      <c r="E271" s="314"/>
      <c r="F271" s="315"/>
      <c r="G271" s="316"/>
      <c r="H271" s="317"/>
      <c r="I271" s="318"/>
      <c r="J271" s="319"/>
      <c r="K271" s="314"/>
      <c r="L271" s="314"/>
      <c r="M271" s="314"/>
      <c r="N271" s="314"/>
      <c r="O271" s="318"/>
      <c r="P271" s="314"/>
      <c r="Q271" s="314"/>
      <c r="R271" s="314"/>
      <c r="S271" s="314"/>
      <c r="T271" s="324"/>
      <c r="U271" s="155"/>
      <c r="V271" s="155"/>
      <c r="W271" s="322"/>
      <c r="X271" s="155"/>
      <c r="Y271" s="132"/>
    </row>
    <row r="272">
      <c r="A272" s="311"/>
      <c r="B272" s="312"/>
      <c r="C272" s="313"/>
      <c r="D272" s="313"/>
      <c r="E272" s="314"/>
      <c r="F272" s="315"/>
      <c r="G272" s="316"/>
      <c r="H272" s="317"/>
      <c r="I272" s="318"/>
      <c r="J272" s="319"/>
      <c r="K272" s="314"/>
      <c r="L272" s="314"/>
      <c r="M272" s="314"/>
      <c r="N272" s="314"/>
      <c r="O272" s="318"/>
      <c r="P272" s="314"/>
      <c r="Q272" s="314"/>
      <c r="R272" s="314"/>
      <c r="S272" s="314"/>
      <c r="T272" s="324"/>
      <c r="U272" s="155"/>
      <c r="V272" s="155"/>
      <c r="W272" s="322"/>
      <c r="X272" s="155"/>
      <c r="Y272" s="132"/>
    </row>
    <row r="273">
      <c r="A273" s="311"/>
      <c r="B273" s="312"/>
      <c r="C273" s="313"/>
      <c r="D273" s="313"/>
      <c r="E273" s="314"/>
      <c r="F273" s="315"/>
      <c r="G273" s="316"/>
      <c r="H273" s="317"/>
      <c r="I273" s="318"/>
      <c r="J273" s="319"/>
      <c r="K273" s="314"/>
      <c r="L273" s="314"/>
      <c r="M273" s="314"/>
      <c r="N273" s="314"/>
      <c r="O273" s="318"/>
      <c r="P273" s="314"/>
      <c r="Q273" s="314"/>
      <c r="R273" s="314"/>
      <c r="S273" s="314"/>
      <c r="T273" s="324"/>
      <c r="U273" s="155"/>
      <c r="V273" s="155"/>
      <c r="W273" s="322"/>
      <c r="X273" s="155"/>
      <c r="Y273" s="132"/>
    </row>
    <row r="274">
      <c r="A274" s="311"/>
      <c r="B274" s="312"/>
      <c r="C274" s="313"/>
      <c r="D274" s="313"/>
      <c r="E274" s="314"/>
      <c r="F274" s="315"/>
      <c r="G274" s="316"/>
      <c r="H274" s="317"/>
      <c r="I274" s="318"/>
      <c r="J274" s="319"/>
      <c r="K274" s="314"/>
      <c r="L274" s="314"/>
      <c r="M274" s="314"/>
      <c r="N274" s="314"/>
      <c r="O274" s="318"/>
      <c r="P274" s="314"/>
      <c r="Q274" s="314"/>
      <c r="R274" s="314"/>
      <c r="S274" s="314"/>
      <c r="T274" s="324"/>
      <c r="U274" s="155"/>
      <c r="V274" s="155"/>
      <c r="W274" s="322"/>
      <c r="X274" s="155"/>
      <c r="Y274" s="132"/>
    </row>
    <row r="275">
      <c r="A275" s="311"/>
      <c r="B275" s="312"/>
      <c r="C275" s="313"/>
      <c r="D275" s="313"/>
      <c r="E275" s="314"/>
      <c r="F275" s="315"/>
      <c r="G275" s="316"/>
      <c r="H275" s="317"/>
      <c r="I275" s="318"/>
      <c r="J275" s="319"/>
      <c r="K275" s="314"/>
      <c r="L275" s="314"/>
      <c r="M275" s="314"/>
      <c r="N275" s="314"/>
      <c r="O275" s="318"/>
      <c r="P275" s="314"/>
      <c r="Q275" s="314"/>
      <c r="R275" s="314"/>
      <c r="S275" s="314"/>
      <c r="T275" s="324"/>
      <c r="U275" s="155"/>
      <c r="V275" s="155"/>
      <c r="W275" s="322"/>
      <c r="X275" s="155"/>
      <c r="Y275" s="132"/>
    </row>
    <row r="276">
      <c r="A276" s="311"/>
      <c r="B276" s="312"/>
      <c r="C276" s="313"/>
      <c r="D276" s="313"/>
      <c r="E276" s="314"/>
      <c r="F276" s="315"/>
      <c r="G276" s="316"/>
      <c r="H276" s="317"/>
      <c r="I276" s="318"/>
      <c r="J276" s="319"/>
      <c r="K276" s="314"/>
      <c r="L276" s="314"/>
      <c r="M276" s="314"/>
      <c r="N276" s="314"/>
      <c r="O276" s="318"/>
      <c r="P276" s="314"/>
      <c r="Q276" s="314"/>
      <c r="R276" s="314"/>
      <c r="S276" s="314"/>
      <c r="T276" s="324"/>
      <c r="U276" s="155"/>
      <c r="V276" s="155"/>
      <c r="W276" s="322"/>
      <c r="X276" s="155"/>
      <c r="Y276" s="132"/>
    </row>
    <row r="277">
      <c r="A277" s="311"/>
      <c r="B277" s="312"/>
      <c r="C277" s="313"/>
      <c r="D277" s="313"/>
      <c r="E277" s="314"/>
      <c r="F277" s="315"/>
      <c r="G277" s="316"/>
      <c r="H277" s="317"/>
      <c r="I277" s="318"/>
      <c r="J277" s="319"/>
      <c r="K277" s="314"/>
      <c r="L277" s="314"/>
      <c r="M277" s="314"/>
      <c r="N277" s="314"/>
      <c r="O277" s="318"/>
      <c r="P277" s="314"/>
      <c r="Q277" s="314"/>
      <c r="R277" s="314"/>
      <c r="S277" s="314"/>
      <c r="T277" s="324"/>
      <c r="U277" s="155"/>
      <c r="V277" s="155"/>
      <c r="W277" s="322"/>
      <c r="X277" s="155"/>
      <c r="Y277" s="132"/>
    </row>
    <row r="278">
      <c r="A278" s="311"/>
      <c r="B278" s="312"/>
      <c r="C278" s="313"/>
      <c r="D278" s="313"/>
      <c r="E278" s="314"/>
      <c r="F278" s="315"/>
      <c r="G278" s="316"/>
      <c r="H278" s="317"/>
      <c r="I278" s="318"/>
      <c r="J278" s="319"/>
      <c r="K278" s="314"/>
      <c r="L278" s="314"/>
      <c r="M278" s="314"/>
      <c r="N278" s="314"/>
      <c r="O278" s="318"/>
      <c r="P278" s="314"/>
      <c r="Q278" s="314"/>
      <c r="R278" s="314"/>
      <c r="S278" s="314"/>
      <c r="T278" s="324"/>
      <c r="U278" s="155"/>
      <c r="V278" s="155"/>
      <c r="W278" s="322"/>
      <c r="X278" s="155"/>
      <c r="Y278" s="132"/>
    </row>
    <row r="279">
      <c r="A279" s="311"/>
      <c r="B279" s="312"/>
      <c r="C279" s="313"/>
      <c r="D279" s="313"/>
      <c r="E279" s="314"/>
      <c r="F279" s="315"/>
      <c r="G279" s="316"/>
      <c r="H279" s="317"/>
      <c r="I279" s="318"/>
      <c r="J279" s="319"/>
      <c r="K279" s="314"/>
      <c r="L279" s="314"/>
      <c r="M279" s="314"/>
      <c r="N279" s="314"/>
      <c r="O279" s="318"/>
      <c r="P279" s="314"/>
      <c r="Q279" s="314"/>
      <c r="R279" s="314"/>
      <c r="S279" s="314"/>
      <c r="T279" s="324"/>
      <c r="U279" s="155"/>
      <c r="V279" s="155"/>
      <c r="W279" s="322"/>
      <c r="X279" s="155"/>
      <c r="Y279" s="132"/>
    </row>
    <row r="280">
      <c r="A280" s="311"/>
      <c r="B280" s="312"/>
      <c r="C280" s="313"/>
      <c r="D280" s="313"/>
      <c r="E280" s="314"/>
      <c r="F280" s="315"/>
      <c r="G280" s="316"/>
      <c r="H280" s="317"/>
      <c r="I280" s="318"/>
      <c r="J280" s="319"/>
      <c r="K280" s="314"/>
      <c r="L280" s="314"/>
      <c r="M280" s="314"/>
      <c r="N280" s="314"/>
      <c r="O280" s="318"/>
      <c r="P280" s="314"/>
      <c r="Q280" s="314"/>
      <c r="R280" s="314"/>
      <c r="S280" s="314"/>
      <c r="T280" s="324"/>
      <c r="U280" s="155"/>
      <c r="V280" s="155"/>
      <c r="W280" s="322"/>
      <c r="X280" s="155"/>
      <c r="Y280" s="132"/>
    </row>
    <row r="281">
      <c r="A281" s="311"/>
      <c r="B281" s="312"/>
      <c r="C281" s="313"/>
      <c r="D281" s="313"/>
      <c r="E281" s="314"/>
      <c r="F281" s="315"/>
      <c r="G281" s="316"/>
      <c r="H281" s="317"/>
      <c r="I281" s="318"/>
      <c r="J281" s="319"/>
      <c r="K281" s="314"/>
      <c r="L281" s="314"/>
      <c r="M281" s="314"/>
      <c r="N281" s="314"/>
      <c r="O281" s="318"/>
      <c r="P281" s="314"/>
      <c r="Q281" s="314"/>
      <c r="R281" s="314"/>
      <c r="S281" s="314"/>
      <c r="T281" s="324"/>
      <c r="U281" s="155"/>
      <c r="V281" s="155"/>
      <c r="W281" s="322"/>
      <c r="X281" s="155"/>
      <c r="Y281" s="132"/>
    </row>
    <row r="282">
      <c r="A282" s="311"/>
      <c r="B282" s="312"/>
      <c r="C282" s="313"/>
      <c r="D282" s="313"/>
      <c r="E282" s="314"/>
      <c r="F282" s="315"/>
      <c r="G282" s="316"/>
      <c r="H282" s="317"/>
      <c r="I282" s="318"/>
      <c r="J282" s="319"/>
      <c r="K282" s="314"/>
      <c r="L282" s="314"/>
      <c r="M282" s="314"/>
      <c r="N282" s="314"/>
      <c r="O282" s="318"/>
      <c r="P282" s="314"/>
      <c r="Q282" s="314"/>
      <c r="R282" s="314"/>
      <c r="S282" s="314"/>
      <c r="T282" s="324"/>
      <c r="U282" s="155"/>
      <c r="V282" s="155"/>
      <c r="W282" s="322"/>
      <c r="X282" s="155"/>
      <c r="Y282" s="132"/>
    </row>
    <row r="283">
      <c r="A283" s="311"/>
      <c r="B283" s="312"/>
      <c r="C283" s="313"/>
      <c r="D283" s="313"/>
      <c r="E283" s="314"/>
      <c r="F283" s="315"/>
      <c r="G283" s="316"/>
      <c r="H283" s="317"/>
      <c r="I283" s="318"/>
      <c r="J283" s="319"/>
      <c r="K283" s="314"/>
      <c r="L283" s="314"/>
      <c r="M283" s="314"/>
      <c r="N283" s="314"/>
      <c r="O283" s="318"/>
      <c r="P283" s="314"/>
      <c r="Q283" s="314"/>
      <c r="R283" s="314"/>
      <c r="S283" s="314"/>
      <c r="T283" s="324"/>
      <c r="U283" s="155"/>
      <c r="V283" s="155"/>
      <c r="W283" s="322"/>
      <c r="X283" s="155"/>
      <c r="Y283" s="132"/>
    </row>
    <row r="284">
      <c r="A284" s="311"/>
      <c r="B284" s="312"/>
      <c r="C284" s="313"/>
      <c r="D284" s="313"/>
      <c r="E284" s="314"/>
      <c r="F284" s="315"/>
      <c r="G284" s="316"/>
      <c r="H284" s="317"/>
      <c r="I284" s="318"/>
      <c r="J284" s="319"/>
      <c r="K284" s="314"/>
      <c r="L284" s="314"/>
      <c r="M284" s="314"/>
      <c r="N284" s="314"/>
      <c r="O284" s="318"/>
      <c r="P284" s="314"/>
      <c r="Q284" s="314"/>
      <c r="R284" s="314"/>
      <c r="S284" s="314"/>
      <c r="T284" s="324"/>
      <c r="U284" s="155"/>
      <c r="V284" s="155"/>
      <c r="W284" s="322"/>
      <c r="X284" s="155"/>
      <c r="Y284" s="132"/>
    </row>
    <row r="285">
      <c r="A285" s="311"/>
      <c r="B285" s="312"/>
      <c r="C285" s="313"/>
      <c r="D285" s="313"/>
      <c r="E285" s="314"/>
      <c r="F285" s="315"/>
      <c r="G285" s="316"/>
      <c r="H285" s="317"/>
      <c r="I285" s="318"/>
      <c r="J285" s="319"/>
      <c r="K285" s="314"/>
      <c r="L285" s="314"/>
      <c r="M285" s="314"/>
      <c r="N285" s="314"/>
      <c r="O285" s="318"/>
      <c r="P285" s="314"/>
      <c r="Q285" s="314"/>
      <c r="R285" s="314"/>
      <c r="S285" s="314"/>
      <c r="T285" s="324"/>
      <c r="U285" s="155"/>
      <c r="V285" s="155"/>
      <c r="W285" s="322"/>
      <c r="X285" s="155"/>
      <c r="Y285" s="132"/>
    </row>
    <row r="286">
      <c r="A286" s="311"/>
      <c r="B286" s="312"/>
      <c r="C286" s="313"/>
      <c r="D286" s="313"/>
      <c r="E286" s="314"/>
      <c r="F286" s="315"/>
      <c r="G286" s="316"/>
      <c r="H286" s="317"/>
      <c r="I286" s="318"/>
      <c r="J286" s="319"/>
      <c r="K286" s="314"/>
      <c r="L286" s="314"/>
      <c r="M286" s="314"/>
      <c r="N286" s="314"/>
      <c r="O286" s="318"/>
      <c r="P286" s="314"/>
      <c r="Q286" s="314"/>
      <c r="R286" s="314"/>
      <c r="S286" s="314"/>
      <c r="T286" s="324"/>
      <c r="U286" s="155"/>
      <c r="V286" s="155"/>
      <c r="W286" s="322"/>
      <c r="X286" s="155"/>
      <c r="Y286" s="132"/>
    </row>
    <row r="287">
      <c r="A287" s="311"/>
      <c r="B287" s="312"/>
      <c r="C287" s="313"/>
      <c r="D287" s="313"/>
      <c r="E287" s="314"/>
      <c r="F287" s="315"/>
      <c r="G287" s="316"/>
      <c r="H287" s="317"/>
      <c r="I287" s="318"/>
      <c r="J287" s="319"/>
      <c r="K287" s="314"/>
      <c r="L287" s="314"/>
      <c r="M287" s="314"/>
      <c r="N287" s="314"/>
      <c r="O287" s="318"/>
      <c r="P287" s="314"/>
      <c r="Q287" s="314"/>
      <c r="R287" s="314"/>
      <c r="S287" s="314"/>
      <c r="T287" s="324"/>
      <c r="U287" s="155"/>
      <c r="V287" s="155"/>
      <c r="W287" s="322"/>
      <c r="X287" s="155"/>
      <c r="Y287" s="132"/>
    </row>
    <row r="288">
      <c r="A288" s="311"/>
      <c r="B288" s="312"/>
      <c r="C288" s="313"/>
      <c r="D288" s="313"/>
      <c r="E288" s="314"/>
      <c r="F288" s="315"/>
      <c r="G288" s="316"/>
      <c r="H288" s="317"/>
      <c r="I288" s="318"/>
      <c r="J288" s="319"/>
      <c r="K288" s="314"/>
      <c r="L288" s="314"/>
      <c r="M288" s="314"/>
      <c r="N288" s="314"/>
      <c r="O288" s="318"/>
      <c r="P288" s="314"/>
      <c r="Q288" s="314"/>
      <c r="R288" s="314"/>
      <c r="S288" s="314"/>
      <c r="T288" s="324"/>
      <c r="U288" s="155"/>
      <c r="V288" s="155"/>
      <c r="W288" s="322"/>
      <c r="X288" s="155"/>
      <c r="Y288" s="132"/>
    </row>
    <row r="289">
      <c r="A289" s="311"/>
      <c r="B289" s="312"/>
      <c r="C289" s="313"/>
      <c r="D289" s="313"/>
      <c r="E289" s="314"/>
      <c r="F289" s="315"/>
      <c r="G289" s="316"/>
      <c r="H289" s="317"/>
      <c r="I289" s="318"/>
      <c r="J289" s="319"/>
      <c r="K289" s="314"/>
      <c r="L289" s="314"/>
      <c r="M289" s="314"/>
      <c r="N289" s="314"/>
      <c r="O289" s="318"/>
      <c r="P289" s="314"/>
      <c r="Q289" s="314"/>
      <c r="R289" s="314"/>
      <c r="S289" s="314"/>
      <c r="T289" s="324"/>
      <c r="U289" s="155"/>
      <c r="V289" s="155"/>
      <c r="W289" s="322"/>
      <c r="X289" s="155"/>
      <c r="Y289" s="132"/>
    </row>
    <row r="290">
      <c r="A290" s="311"/>
      <c r="B290" s="312"/>
      <c r="C290" s="313"/>
      <c r="D290" s="313"/>
      <c r="E290" s="314"/>
      <c r="F290" s="315"/>
      <c r="G290" s="316"/>
      <c r="H290" s="317"/>
      <c r="I290" s="318"/>
      <c r="J290" s="319"/>
      <c r="K290" s="314"/>
      <c r="L290" s="314"/>
      <c r="M290" s="314"/>
      <c r="N290" s="314"/>
      <c r="O290" s="318"/>
      <c r="P290" s="314"/>
      <c r="Q290" s="314"/>
      <c r="R290" s="314"/>
      <c r="S290" s="314"/>
      <c r="T290" s="324"/>
      <c r="U290" s="155"/>
      <c r="V290" s="155"/>
      <c r="W290" s="322"/>
      <c r="X290" s="155"/>
      <c r="Y290" s="132"/>
    </row>
    <row r="291">
      <c r="A291" s="311"/>
      <c r="B291" s="312"/>
      <c r="C291" s="313"/>
      <c r="D291" s="313"/>
      <c r="E291" s="314"/>
      <c r="F291" s="315"/>
      <c r="G291" s="316"/>
      <c r="H291" s="317"/>
      <c r="I291" s="318"/>
      <c r="J291" s="319"/>
      <c r="K291" s="314"/>
      <c r="L291" s="314"/>
      <c r="M291" s="314"/>
      <c r="N291" s="314"/>
      <c r="O291" s="318"/>
      <c r="P291" s="314"/>
      <c r="Q291" s="314"/>
      <c r="R291" s="314"/>
      <c r="S291" s="314"/>
      <c r="T291" s="324"/>
      <c r="U291" s="155"/>
      <c r="V291" s="155"/>
      <c r="W291" s="322"/>
      <c r="X291" s="155"/>
      <c r="Y291" s="132"/>
    </row>
    <row r="292">
      <c r="A292" s="311"/>
      <c r="B292" s="312"/>
      <c r="C292" s="313"/>
      <c r="D292" s="313"/>
      <c r="E292" s="314"/>
      <c r="F292" s="315"/>
      <c r="G292" s="316"/>
      <c r="H292" s="317"/>
      <c r="I292" s="318"/>
      <c r="J292" s="319"/>
      <c r="K292" s="314"/>
      <c r="L292" s="314"/>
      <c r="M292" s="314"/>
      <c r="N292" s="314"/>
      <c r="O292" s="318"/>
      <c r="P292" s="314"/>
      <c r="Q292" s="314"/>
      <c r="R292" s="314"/>
      <c r="S292" s="314"/>
      <c r="T292" s="324"/>
      <c r="U292" s="155"/>
      <c r="V292" s="155"/>
      <c r="W292" s="322"/>
      <c r="X292" s="155"/>
      <c r="Y292" s="132"/>
    </row>
    <row r="293">
      <c r="A293" s="311"/>
      <c r="B293" s="312"/>
      <c r="C293" s="313"/>
      <c r="D293" s="313"/>
      <c r="E293" s="314"/>
      <c r="F293" s="315"/>
      <c r="G293" s="316"/>
      <c r="H293" s="317"/>
      <c r="I293" s="318"/>
      <c r="J293" s="319"/>
      <c r="K293" s="314"/>
      <c r="L293" s="314"/>
      <c r="M293" s="314"/>
      <c r="N293" s="314"/>
      <c r="O293" s="318"/>
      <c r="P293" s="314"/>
      <c r="Q293" s="314"/>
      <c r="R293" s="314"/>
      <c r="S293" s="314"/>
      <c r="T293" s="324"/>
      <c r="U293" s="155"/>
      <c r="V293" s="155"/>
      <c r="W293" s="322"/>
      <c r="X293" s="155"/>
      <c r="Y293" s="132"/>
    </row>
    <row r="294">
      <c r="A294" s="311"/>
      <c r="B294" s="312"/>
      <c r="C294" s="313"/>
      <c r="D294" s="313"/>
      <c r="E294" s="314"/>
      <c r="F294" s="315"/>
      <c r="G294" s="316"/>
      <c r="H294" s="317"/>
      <c r="I294" s="318"/>
      <c r="J294" s="319"/>
      <c r="K294" s="314"/>
      <c r="L294" s="314"/>
      <c r="M294" s="314"/>
      <c r="N294" s="314"/>
      <c r="O294" s="318"/>
      <c r="P294" s="314"/>
      <c r="Q294" s="314"/>
      <c r="R294" s="314"/>
      <c r="S294" s="314"/>
      <c r="T294" s="324"/>
      <c r="U294" s="155"/>
      <c r="V294" s="155"/>
      <c r="W294" s="322"/>
      <c r="X294" s="155"/>
      <c r="Y294" s="132"/>
    </row>
    <row r="295">
      <c r="A295" s="311"/>
      <c r="B295" s="312"/>
      <c r="C295" s="313"/>
      <c r="D295" s="313"/>
      <c r="E295" s="314"/>
      <c r="F295" s="315"/>
      <c r="G295" s="316"/>
      <c r="H295" s="317"/>
      <c r="I295" s="318"/>
      <c r="J295" s="319"/>
      <c r="K295" s="314"/>
      <c r="L295" s="314"/>
      <c r="M295" s="314"/>
      <c r="N295" s="314"/>
      <c r="O295" s="318"/>
      <c r="P295" s="314"/>
      <c r="Q295" s="314"/>
      <c r="R295" s="314"/>
      <c r="S295" s="314"/>
      <c r="T295" s="324"/>
      <c r="U295" s="155"/>
      <c r="V295" s="155"/>
      <c r="W295" s="322"/>
      <c r="X295" s="155"/>
      <c r="Y295" s="132"/>
    </row>
    <row r="296">
      <c r="A296" s="311"/>
      <c r="B296" s="312"/>
      <c r="C296" s="313"/>
      <c r="D296" s="313"/>
      <c r="E296" s="314"/>
      <c r="F296" s="315"/>
      <c r="G296" s="316"/>
      <c r="H296" s="317"/>
      <c r="I296" s="318"/>
      <c r="J296" s="319"/>
      <c r="K296" s="314"/>
      <c r="L296" s="314"/>
      <c r="M296" s="314"/>
      <c r="N296" s="314"/>
      <c r="O296" s="318"/>
      <c r="P296" s="314"/>
      <c r="Q296" s="314"/>
      <c r="R296" s="314"/>
      <c r="S296" s="314"/>
      <c r="T296" s="324"/>
      <c r="U296" s="155"/>
      <c r="V296" s="155"/>
      <c r="W296" s="322"/>
      <c r="X296" s="155"/>
      <c r="Y296" s="132"/>
    </row>
    <row r="297">
      <c r="A297" s="311"/>
      <c r="B297" s="312"/>
      <c r="C297" s="313"/>
      <c r="D297" s="313"/>
      <c r="E297" s="314"/>
      <c r="F297" s="315"/>
      <c r="G297" s="316"/>
      <c r="H297" s="317"/>
      <c r="I297" s="318"/>
      <c r="J297" s="319"/>
      <c r="K297" s="314"/>
      <c r="L297" s="314"/>
      <c r="M297" s="314"/>
      <c r="N297" s="314"/>
      <c r="O297" s="318"/>
      <c r="P297" s="314"/>
      <c r="Q297" s="314"/>
      <c r="R297" s="314"/>
      <c r="S297" s="314"/>
      <c r="T297" s="324"/>
      <c r="U297" s="155"/>
      <c r="V297" s="155"/>
      <c r="W297" s="322"/>
      <c r="X297" s="155"/>
      <c r="Y297" s="132"/>
    </row>
    <row r="298">
      <c r="A298" s="311"/>
      <c r="B298" s="312"/>
      <c r="C298" s="313"/>
      <c r="D298" s="313"/>
      <c r="E298" s="314"/>
      <c r="F298" s="315"/>
      <c r="G298" s="316"/>
      <c r="H298" s="317"/>
      <c r="I298" s="318"/>
      <c r="J298" s="319"/>
      <c r="K298" s="314"/>
      <c r="L298" s="314"/>
      <c r="M298" s="314"/>
      <c r="N298" s="314"/>
      <c r="O298" s="318"/>
      <c r="P298" s="314"/>
      <c r="Q298" s="314"/>
      <c r="R298" s="314"/>
      <c r="S298" s="314"/>
      <c r="T298" s="324"/>
      <c r="U298" s="155"/>
      <c r="V298" s="155"/>
      <c r="W298" s="322"/>
      <c r="X298" s="155"/>
      <c r="Y298" s="132"/>
    </row>
    <row r="299">
      <c r="A299" s="311"/>
      <c r="B299" s="312"/>
      <c r="C299" s="313"/>
      <c r="D299" s="313"/>
      <c r="E299" s="314"/>
      <c r="F299" s="315"/>
      <c r="G299" s="316"/>
      <c r="H299" s="317"/>
      <c r="I299" s="318"/>
      <c r="J299" s="319"/>
      <c r="K299" s="314"/>
      <c r="L299" s="314"/>
      <c r="M299" s="314"/>
      <c r="N299" s="314"/>
      <c r="O299" s="318"/>
      <c r="P299" s="314"/>
      <c r="Q299" s="314"/>
      <c r="R299" s="314"/>
      <c r="S299" s="314"/>
      <c r="T299" s="324"/>
      <c r="U299" s="155"/>
      <c r="V299" s="155"/>
      <c r="W299" s="322"/>
      <c r="X299" s="155"/>
      <c r="Y299" s="132"/>
    </row>
    <row r="300">
      <c r="A300" s="311"/>
      <c r="B300" s="312"/>
      <c r="C300" s="313"/>
      <c r="D300" s="313"/>
      <c r="E300" s="314"/>
      <c r="F300" s="315"/>
      <c r="G300" s="316"/>
      <c r="H300" s="317"/>
      <c r="I300" s="318"/>
      <c r="J300" s="319"/>
      <c r="K300" s="314"/>
      <c r="L300" s="314"/>
      <c r="M300" s="314"/>
      <c r="N300" s="314"/>
      <c r="O300" s="318"/>
      <c r="P300" s="314"/>
      <c r="Q300" s="314"/>
      <c r="R300" s="314"/>
      <c r="S300" s="314"/>
      <c r="T300" s="324"/>
      <c r="U300" s="155"/>
      <c r="V300" s="155"/>
      <c r="W300" s="322"/>
      <c r="X300" s="155"/>
      <c r="Y300" s="132"/>
    </row>
    <row r="301">
      <c r="A301" s="311"/>
      <c r="B301" s="312"/>
      <c r="C301" s="313"/>
      <c r="D301" s="313"/>
      <c r="E301" s="314"/>
      <c r="F301" s="315"/>
      <c r="G301" s="316"/>
      <c r="H301" s="317"/>
      <c r="I301" s="318"/>
      <c r="J301" s="319"/>
      <c r="K301" s="314"/>
      <c r="L301" s="314"/>
      <c r="M301" s="314"/>
      <c r="N301" s="314"/>
      <c r="O301" s="318"/>
      <c r="P301" s="314"/>
      <c r="Q301" s="314"/>
      <c r="R301" s="314"/>
      <c r="S301" s="314"/>
      <c r="T301" s="324"/>
      <c r="U301" s="155"/>
      <c r="V301" s="155"/>
      <c r="W301" s="322"/>
      <c r="X301" s="155"/>
      <c r="Y301" s="132"/>
    </row>
    <row r="302">
      <c r="A302" s="311"/>
      <c r="B302" s="312"/>
      <c r="C302" s="313"/>
      <c r="D302" s="313"/>
      <c r="E302" s="314"/>
      <c r="F302" s="315"/>
      <c r="G302" s="316"/>
      <c r="H302" s="317"/>
      <c r="I302" s="318"/>
      <c r="J302" s="319"/>
      <c r="K302" s="314"/>
      <c r="L302" s="314"/>
      <c r="M302" s="314"/>
      <c r="N302" s="314"/>
      <c r="O302" s="318"/>
      <c r="P302" s="314"/>
      <c r="Q302" s="314"/>
      <c r="R302" s="314"/>
      <c r="S302" s="314"/>
      <c r="T302" s="324"/>
      <c r="U302" s="155"/>
      <c r="V302" s="155"/>
      <c r="W302" s="322"/>
      <c r="X302" s="155"/>
      <c r="Y302" s="132"/>
    </row>
    <row r="303">
      <c r="A303" s="311"/>
      <c r="B303" s="312"/>
      <c r="C303" s="313"/>
      <c r="D303" s="313"/>
      <c r="E303" s="314"/>
      <c r="F303" s="315"/>
      <c r="G303" s="316"/>
      <c r="H303" s="317"/>
      <c r="I303" s="318"/>
      <c r="J303" s="319"/>
      <c r="K303" s="314"/>
      <c r="L303" s="314"/>
      <c r="M303" s="314"/>
      <c r="N303" s="314"/>
      <c r="O303" s="318"/>
      <c r="P303" s="314"/>
      <c r="Q303" s="314"/>
      <c r="R303" s="314"/>
      <c r="S303" s="314"/>
      <c r="T303" s="324"/>
      <c r="U303" s="155"/>
      <c r="V303" s="155"/>
      <c r="W303" s="322"/>
      <c r="X303" s="155"/>
      <c r="Y303" s="132"/>
    </row>
    <row r="304">
      <c r="A304" s="311"/>
      <c r="B304" s="312"/>
      <c r="C304" s="313"/>
      <c r="D304" s="313"/>
      <c r="E304" s="314"/>
      <c r="F304" s="315"/>
      <c r="G304" s="316"/>
      <c r="H304" s="317"/>
      <c r="I304" s="318"/>
      <c r="J304" s="319"/>
      <c r="K304" s="314"/>
      <c r="L304" s="314"/>
      <c r="M304" s="314"/>
      <c r="N304" s="314"/>
      <c r="O304" s="318"/>
      <c r="P304" s="314"/>
      <c r="Q304" s="314"/>
      <c r="R304" s="314"/>
      <c r="S304" s="314"/>
      <c r="T304" s="324"/>
      <c r="U304" s="155"/>
      <c r="V304" s="155"/>
      <c r="W304" s="322"/>
      <c r="X304" s="155"/>
      <c r="Y304" s="132"/>
    </row>
    <row r="305">
      <c r="A305" s="311"/>
      <c r="B305" s="312"/>
      <c r="C305" s="313"/>
      <c r="D305" s="313"/>
      <c r="E305" s="314"/>
      <c r="F305" s="315"/>
      <c r="G305" s="316"/>
      <c r="H305" s="317"/>
      <c r="I305" s="318"/>
      <c r="J305" s="319"/>
      <c r="K305" s="314"/>
      <c r="L305" s="314"/>
      <c r="M305" s="314"/>
      <c r="N305" s="314"/>
      <c r="O305" s="318"/>
      <c r="P305" s="314"/>
      <c r="Q305" s="314"/>
      <c r="R305" s="314"/>
      <c r="S305" s="314"/>
      <c r="T305" s="324"/>
      <c r="U305" s="155"/>
      <c r="V305" s="155"/>
      <c r="W305" s="322"/>
      <c r="X305" s="155"/>
      <c r="Y305" s="132"/>
    </row>
    <row r="306">
      <c r="A306" s="311"/>
      <c r="B306" s="312"/>
      <c r="C306" s="313"/>
      <c r="D306" s="313"/>
      <c r="E306" s="314"/>
      <c r="F306" s="315"/>
      <c r="G306" s="316"/>
      <c r="H306" s="317"/>
      <c r="I306" s="318"/>
      <c r="J306" s="319"/>
      <c r="K306" s="314"/>
      <c r="L306" s="314"/>
      <c r="M306" s="314"/>
      <c r="N306" s="314"/>
      <c r="O306" s="318"/>
      <c r="P306" s="314"/>
      <c r="Q306" s="314"/>
      <c r="R306" s="314"/>
      <c r="S306" s="314"/>
      <c r="T306" s="324"/>
      <c r="U306" s="155"/>
      <c r="V306" s="155"/>
      <c r="W306" s="322"/>
      <c r="X306" s="155"/>
      <c r="Y306" s="132"/>
    </row>
    <row r="307">
      <c r="A307" s="311"/>
      <c r="B307" s="312"/>
      <c r="C307" s="313"/>
      <c r="D307" s="313"/>
      <c r="E307" s="314"/>
      <c r="F307" s="315"/>
      <c r="G307" s="316"/>
      <c r="H307" s="317"/>
      <c r="I307" s="318"/>
      <c r="J307" s="319"/>
      <c r="K307" s="314"/>
      <c r="L307" s="314"/>
      <c r="M307" s="314"/>
      <c r="N307" s="314"/>
      <c r="O307" s="318"/>
      <c r="P307" s="314"/>
      <c r="Q307" s="314"/>
      <c r="R307" s="314"/>
      <c r="S307" s="314"/>
      <c r="T307" s="324"/>
      <c r="U307" s="155"/>
      <c r="V307" s="155"/>
      <c r="W307" s="322"/>
      <c r="X307" s="155"/>
      <c r="Y307" s="132"/>
    </row>
    <row r="308">
      <c r="A308" s="311"/>
      <c r="B308" s="312"/>
      <c r="C308" s="313"/>
      <c r="D308" s="313"/>
      <c r="E308" s="314"/>
      <c r="F308" s="315"/>
      <c r="G308" s="316"/>
      <c r="H308" s="317"/>
      <c r="I308" s="318"/>
      <c r="J308" s="319"/>
      <c r="K308" s="314"/>
      <c r="L308" s="314"/>
      <c r="M308" s="314"/>
      <c r="N308" s="314"/>
      <c r="O308" s="318"/>
      <c r="P308" s="314"/>
      <c r="Q308" s="314"/>
      <c r="R308" s="314"/>
      <c r="S308" s="314"/>
      <c r="T308" s="324"/>
      <c r="U308" s="155"/>
      <c r="V308" s="155"/>
      <c r="W308" s="322"/>
      <c r="X308" s="155"/>
      <c r="Y308" s="132"/>
    </row>
    <row r="309">
      <c r="A309" s="311"/>
      <c r="B309" s="312"/>
      <c r="C309" s="313"/>
      <c r="D309" s="313"/>
      <c r="E309" s="314"/>
      <c r="F309" s="315"/>
      <c r="G309" s="316"/>
      <c r="H309" s="317"/>
      <c r="I309" s="318"/>
      <c r="J309" s="319"/>
      <c r="K309" s="314"/>
      <c r="L309" s="314"/>
      <c r="M309" s="314"/>
      <c r="N309" s="314"/>
      <c r="O309" s="318"/>
      <c r="P309" s="314"/>
      <c r="Q309" s="314"/>
      <c r="R309" s="314"/>
      <c r="S309" s="314"/>
      <c r="T309" s="324"/>
      <c r="U309" s="155"/>
      <c r="V309" s="155"/>
      <c r="W309" s="322"/>
      <c r="X309" s="155"/>
      <c r="Y309" s="132"/>
    </row>
    <row r="310">
      <c r="A310" s="311"/>
      <c r="B310" s="312"/>
      <c r="C310" s="313"/>
      <c r="D310" s="313"/>
      <c r="E310" s="314"/>
      <c r="F310" s="315"/>
      <c r="G310" s="316"/>
      <c r="H310" s="317"/>
      <c r="I310" s="318"/>
      <c r="J310" s="319"/>
      <c r="K310" s="314"/>
      <c r="L310" s="314"/>
      <c r="M310" s="314"/>
      <c r="N310" s="314"/>
      <c r="O310" s="318"/>
      <c r="P310" s="314"/>
      <c r="Q310" s="314"/>
      <c r="R310" s="314"/>
      <c r="S310" s="314"/>
      <c r="T310" s="324"/>
      <c r="U310" s="155"/>
      <c r="V310" s="155"/>
      <c r="W310" s="322"/>
      <c r="X310" s="155"/>
      <c r="Y310" s="132"/>
    </row>
    <row r="311">
      <c r="A311" s="311"/>
      <c r="B311" s="312"/>
      <c r="C311" s="313"/>
      <c r="D311" s="313"/>
      <c r="E311" s="314"/>
      <c r="F311" s="315"/>
      <c r="G311" s="316"/>
      <c r="H311" s="317"/>
      <c r="I311" s="318"/>
      <c r="J311" s="319"/>
      <c r="K311" s="314"/>
      <c r="L311" s="314"/>
      <c r="M311" s="314"/>
      <c r="N311" s="314"/>
      <c r="O311" s="318"/>
      <c r="P311" s="314"/>
      <c r="Q311" s="314"/>
      <c r="R311" s="314"/>
      <c r="S311" s="314"/>
      <c r="T311" s="324"/>
      <c r="U311" s="155"/>
      <c r="V311" s="155"/>
      <c r="W311" s="322"/>
      <c r="X311" s="155"/>
      <c r="Y311" s="132"/>
    </row>
    <row r="312">
      <c r="A312" s="311"/>
      <c r="B312" s="312"/>
      <c r="C312" s="313"/>
      <c r="D312" s="313"/>
      <c r="E312" s="314"/>
      <c r="F312" s="315"/>
      <c r="G312" s="316"/>
      <c r="H312" s="317"/>
      <c r="I312" s="318"/>
      <c r="J312" s="319"/>
      <c r="K312" s="314"/>
      <c r="L312" s="314"/>
      <c r="M312" s="314"/>
      <c r="N312" s="314"/>
      <c r="O312" s="318"/>
      <c r="P312" s="314"/>
      <c r="Q312" s="314"/>
      <c r="R312" s="314"/>
      <c r="S312" s="314"/>
      <c r="T312" s="324"/>
      <c r="U312" s="155"/>
      <c r="V312" s="155"/>
      <c r="W312" s="322"/>
      <c r="X312" s="155"/>
      <c r="Y312" s="132"/>
    </row>
    <row r="313">
      <c r="A313" s="311"/>
      <c r="B313" s="312"/>
      <c r="C313" s="313"/>
      <c r="D313" s="313"/>
      <c r="E313" s="314"/>
      <c r="F313" s="315"/>
      <c r="G313" s="316"/>
      <c r="H313" s="317"/>
      <c r="I313" s="318"/>
      <c r="J313" s="319"/>
      <c r="K313" s="314"/>
      <c r="L313" s="314"/>
      <c r="M313" s="314"/>
      <c r="N313" s="314"/>
      <c r="O313" s="318"/>
      <c r="P313" s="314"/>
      <c r="Q313" s="314"/>
      <c r="R313" s="314"/>
      <c r="S313" s="314"/>
      <c r="T313" s="324"/>
      <c r="U313" s="155"/>
      <c r="V313" s="155"/>
      <c r="W313" s="322"/>
      <c r="X313" s="155"/>
      <c r="Y313" s="132"/>
    </row>
    <row r="314">
      <c r="A314" s="311"/>
      <c r="B314" s="312"/>
      <c r="C314" s="313"/>
      <c r="D314" s="313"/>
      <c r="E314" s="314"/>
      <c r="F314" s="315"/>
      <c r="G314" s="316"/>
      <c r="H314" s="317"/>
      <c r="I314" s="318"/>
      <c r="J314" s="319"/>
      <c r="K314" s="314"/>
      <c r="L314" s="314"/>
      <c r="M314" s="314"/>
      <c r="N314" s="314"/>
      <c r="O314" s="318"/>
      <c r="P314" s="314"/>
      <c r="Q314" s="314"/>
      <c r="R314" s="314"/>
      <c r="S314" s="314"/>
      <c r="T314" s="324"/>
      <c r="U314" s="155"/>
      <c r="V314" s="155"/>
      <c r="W314" s="322"/>
      <c r="X314" s="155"/>
      <c r="Y314" s="132"/>
    </row>
    <row r="315">
      <c r="A315" s="311"/>
      <c r="B315" s="312"/>
      <c r="C315" s="313"/>
      <c r="D315" s="313"/>
      <c r="E315" s="314"/>
      <c r="F315" s="315"/>
      <c r="G315" s="316"/>
      <c r="H315" s="317"/>
      <c r="I315" s="318"/>
      <c r="J315" s="319"/>
      <c r="K315" s="314"/>
      <c r="L315" s="314"/>
      <c r="M315" s="314"/>
      <c r="N315" s="314"/>
      <c r="O315" s="318"/>
      <c r="P315" s="314"/>
      <c r="Q315" s="314"/>
      <c r="R315" s="314"/>
      <c r="S315" s="314"/>
      <c r="T315" s="324"/>
      <c r="U315" s="155"/>
      <c r="V315" s="155"/>
      <c r="W315" s="322"/>
      <c r="X315" s="155"/>
      <c r="Y315" s="132"/>
    </row>
    <row r="316">
      <c r="A316" s="311"/>
      <c r="B316" s="312"/>
      <c r="C316" s="313"/>
      <c r="D316" s="313"/>
      <c r="E316" s="314"/>
      <c r="F316" s="315"/>
      <c r="G316" s="316"/>
      <c r="H316" s="317"/>
      <c r="I316" s="318"/>
      <c r="J316" s="319"/>
      <c r="K316" s="314"/>
      <c r="L316" s="314"/>
      <c r="M316" s="314"/>
      <c r="N316" s="314"/>
      <c r="O316" s="318"/>
      <c r="P316" s="314"/>
      <c r="Q316" s="314"/>
      <c r="R316" s="314"/>
      <c r="S316" s="314"/>
      <c r="T316" s="324"/>
      <c r="U316" s="155"/>
      <c r="V316" s="155"/>
      <c r="W316" s="322"/>
      <c r="X316" s="155"/>
      <c r="Y316" s="132"/>
    </row>
    <row r="317">
      <c r="A317" s="311"/>
      <c r="B317" s="312"/>
      <c r="C317" s="313"/>
      <c r="D317" s="313"/>
      <c r="E317" s="314"/>
      <c r="F317" s="315"/>
      <c r="G317" s="316"/>
      <c r="H317" s="317"/>
      <c r="I317" s="318"/>
      <c r="J317" s="319"/>
      <c r="K317" s="314"/>
      <c r="L317" s="314"/>
      <c r="M317" s="314"/>
      <c r="N317" s="314"/>
      <c r="O317" s="318"/>
      <c r="P317" s="314"/>
      <c r="Q317" s="314"/>
      <c r="R317" s="314"/>
      <c r="S317" s="314"/>
      <c r="T317" s="324"/>
      <c r="U317" s="155"/>
      <c r="V317" s="155"/>
      <c r="W317" s="322"/>
      <c r="X317" s="155"/>
      <c r="Y317" s="132"/>
    </row>
    <row r="318">
      <c r="A318" s="311"/>
      <c r="B318" s="312"/>
      <c r="C318" s="313"/>
      <c r="D318" s="313"/>
      <c r="E318" s="314"/>
      <c r="F318" s="315"/>
      <c r="G318" s="316"/>
      <c r="H318" s="317"/>
      <c r="I318" s="318"/>
      <c r="J318" s="319"/>
      <c r="K318" s="314"/>
      <c r="L318" s="314"/>
      <c r="M318" s="314"/>
      <c r="N318" s="314"/>
      <c r="O318" s="318"/>
      <c r="P318" s="314"/>
      <c r="Q318" s="314"/>
      <c r="R318" s="314"/>
      <c r="S318" s="314"/>
      <c r="T318" s="324"/>
      <c r="U318" s="155"/>
      <c r="V318" s="155"/>
      <c r="W318" s="322"/>
      <c r="X318" s="155"/>
      <c r="Y318" s="132"/>
    </row>
    <row r="319">
      <c r="A319" s="311"/>
      <c r="B319" s="312"/>
      <c r="C319" s="313"/>
      <c r="D319" s="313"/>
      <c r="E319" s="314"/>
      <c r="F319" s="315"/>
      <c r="G319" s="316"/>
      <c r="H319" s="317"/>
      <c r="I319" s="318"/>
      <c r="J319" s="319"/>
      <c r="K319" s="314"/>
      <c r="L319" s="314"/>
      <c r="M319" s="314"/>
      <c r="N319" s="314"/>
      <c r="O319" s="318"/>
      <c r="P319" s="314"/>
      <c r="Q319" s="314"/>
      <c r="R319" s="314"/>
      <c r="S319" s="314"/>
      <c r="T319" s="324"/>
      <c r="U319" s="155"/>
      <c r="V319" s="155"/>
      <c r="W319" s="322"/>
      <c r="X319" s="155"/>
      <c r="Y319" s="132"/>
    </row>
    <row r="320">
      <c r="A320" s="311"/>
      <c r="B320" s="312"/>
      <c r="C320" s="313"/>
      <c r="D320" s="313"/>
      <c r="E320" s="314"/>
      <c r="F320" s="315"/>
      <c r="G320" s="316"/>
      <c r="H320" s="317"/>
      <c r="I320" s="318"/>
      <c r="J320" s="319"/>
      <c r="K320" s="314"/>
      <c r="L320" s="314"/>
      <c r="M320" s="314"/>
      <c r="N320" s="314"/>
      <c r="O320" s="318"/>
      <c r="P320" s="314"/>
      <c r="Q320" s="314"/>
      <c r="R320" s="314"/>
      <c r="S320" s="314"/>
      <c r="T320" s="324"/>
      <c r="U320" s="155"/>
      <c r="V320" s="155"/>
      <c r="W320" s="322"/>
      <c r="X320" s="155"/>
      <c r="Y320" s="132"/>
    </row>
    <row r="321">
      <c r="A321" s="311"/>
      <c r="B321" s="312"/>
      <c r="C321" s="313"/>
      <c r="D321" s="313"/>
      <c r="E321" s="314"/>
      <c r="F321" s="315"/>
      <c r="G321" s="316"/>
      <c r="H321" s="317"/>
      <c r="I321" s="318"/>
      <c r="J321" s="319"/>
      <c r="K321" s="314"/>
      <c r="L321" s="314"/>
      <c r="M321" s="314"/>
      <c r="N321" s="314"/>
      <c r="O321" s="318"/>
      <c r="P321" s="314"/>
      <c r="Q321" s="314"/>
      <c r="R321" s="314"/>
      <c r="S321" s="314"/>
      <c r="T321" s="324"/>
      <c r="U321" s="155"/>
      <c r="V321" s="155"/>
      <c r="W321" s="322"/>
      <c r="X321" s="155"/>
      <c r="Y321" s="132"/>
    </row>
    <row r="322">
      <c r="A322" s="311"/>
      <c r="B322" s="312"/>
      <c r="C322" s="313"/>
      <c r="D322" s="313"/>
      <c r="E322" s="314"/>
      <c r="F322" s="315"/>
      <c r="G322" s="316"/>
      <c r="H322" s="317"/>
      <c r="I322" s="318"/>
      <c r="J322" s="319"/>
      <c r="K322" s="314"/>
      <c r="L322" s="314"/>
      <c r="M322" s="314"/>
      <c r="N322" s="314"/>
      <c r="O322" s="318"/>
      <c r="P322" s="314"/>
      <c r="Q322" s="314"/>
      <c r="R322" s="314"/>
      <c r="S322" s="314"/>
      <c r="T322" s="324"/>
      <c r="U322" s="155"/>
      <c r="V322" s="155"/>
      <c r="W322" s="322"/>
      <c r="X322" s="155"/>
      <c r="Y322" s="132"/>
    </row>
    <row r="323">
      <c r="A323" s="311"/>
      <c r="B323" s="312"/>
      <c r="C323" s="313"/>
      <c r="D323" s="313"/>
      <c r="E323" s="314"/>
      <c r="F323" s="315"/>
      <c r="G323" s="316"/>
      <c r="H323" s="317"/>
      <c r="I323" s="318"/>
      <c r="J323" s="319"/>
      <c r="K323" s="314"/>
      <c r="L323" s="314"/>
      <c r="M323" s="314"/>
      <c r="N323" s="314"/>
      <c r="O323" s="318"/>
      <c r="P323" s="314"/>
      <c r="Q323" s="314"/>
      <c r="R323" s="314"/>
      <c r="S323" s="314"/>
      <c r="T323" s="324"/>
      <c r="U323" s="155"/>
      <c r="V323" s="155"/>
      <c r="W323" s="322"/>
      <c r="X323" s="155"/>
      <c r="Y323" s="132"/>
    </row>
    <row r="324">
      <c r="A324" s="311"/>
      <c r="B324" s="312"/>
      <c r="C324" s="313"/>
      <c r="D324" s="313"/>
      <c r="E324" s="314"/>
      <c r="F324" s="315"/>
      <c r="G324" s="316"/>
      <c r="H324" s="317"/>
      <c r="I324" s="318"/>
      <c r="J324" s="319"/>
      <c r="K324" s="314"/>
      <c r="L324" s="314"/>
      <c r="M324" s="314"/>
      <c r="N324" s="314"/>
      <c r="O324" s="318"/>
      <c r="P324" s="314"/>
      <c r="Q324" s="314"/>
      <c r="R324" s="314"/>
      <c r="S324" s="314"/>
      <c r="T324" s="324"/>
      <c r="U324" s="155"/>
      <c r="V324" s="155"/>
      <c r="W324" s="322"/>
      <c r="X324" s="155"/>
      <c r="Y324" s="132"/>
    </row>
    <row r="325">
      <c r="A325" s="311"/>
      <c r="B325" s="312"/>
      <c r="C325" s="313"/>
      <c r="D325" s="313"/>
      <c r="E325" s="314"/>
      <c r="F325" s="315"/>
      <c r="G325" s="316"/>
      <c r="H325" s="317"/>
      <c r="I325" s="318"/>
      <c r="J325" s="319"/>
      <c r="K325" s="314"/>
      <c r="L325" s="314"/>
      <c r="M325" s="314"/>
      <c r="N325" s="314"/>
      <c r="O325" s="318"/>
      <c r="P325" s="314"/>
      <c r="Q325" s="314"/>
      <c r="R325" s="314"/>
      <c r="S325" s="314"/>
      <c r="T325" s="324"/>
      <c r="U325" s="155"/>
      <c r="V325" s="155"/>
      <c r="W325" s="322"/>
      <c r="X325" s="155"/>
      <c r="Y325" s="132"/>
    </row>
    <row r="326">
      <c r="A326" s="311"/>
      <c r="B326" s="312"/>
      <c r="C326" s="313"/>
      <c r="D326" s="313"/>
      <c r="E326" s="314"/>
      <c r="F326" s="315"/>
      <c r="G326" s="316"/>
      <c r="H326" s="317"/>
      <c r="I326" s="318"/>
      <c r="J326" s="319"/>
      <c r="K326" s="314"/>
      <c r="L326" s="314"/>
      <c r="M326" s="314"/>
      <c r="N326" s="314"/>
      <c r="O326" s="318"/>
      <c r="P326" s="314"/>
      <c r="Q326" s="314"/>
      <c r="R326" s="314"/>
      <c r="S326" s="314"/>
      <c r="T326" s="324"/>
      <c r="U326" s="155"/>
      <c r="V326" s="155"/>
      <c r="W326" s="322"/>
      <c r="X326" s="155"/>
      <c r="Y326" s="132"/>
    </row>
    <row r="327">
      <c r="A327" s="311"/>
      <c r="B327" s="312"/>
      <c r="C327" s="313"/>
      <c r="D327" s="313"/>
      <c r="E327" s="314"/>
      <c r="F327" s="315"/>
      <c r="G327" s="316"/>
      <c r="H327" s="317"/>
      <c r="I327" s="318"/>
      <c r="J327" s="319"/>
      <c r="K327" s="314"/>
      <c r="L327" s="314"/>
      <c r="M327" s="314"/>
      <c r="N327" s="314"/>
      <c r="O327" s="318"/>
      <c r="P327" s="314"/>
      <c r="Q327" s="314"/>
      <c r="R327" s="314"/>
      <c r="S327" s="314"/>
      <c r="T327" s="324"/>
      <c r="U327" s="155"/>
      <c r="V327" s="155"/>
      <c r="W327" s="322"/>
      <c r="X327" s="155"/>
      <c r="Y327" s="132"/>
    </row>
    <row r="328">
      <c r="A328" s="311"/>
      <c r="B328" s="312"/>
      <c r="C328" s="313"/>
      <c r="D328" s="313"/>
      <c r="E328" s="314"/>
      <c r="F328" s="315"/>
      <c r="G328" s="316"/>
      <c r="H328" s="317"/>
      <c r="I328" s="318"/>
      <c r="J328" s="319"/>
      <c r="K328" s="314"/>
      <c r="L328" s="314"/>
      <c r="M328" s="314"/>
      <c r="N328" s="314"/>
      <c r="O328" s="318"/>
      <c r="P328" s="314"/>
      <c r="Q328" s="314"/>
      <c r="R328" s="314"/>
      <c r="S328" s="314"/>
      <c r="T328" s="324"/>
      <c r="U328" s="155"/>
      <c r="V328" s="155"/>
      <c r="W328" s="322"/>
      <c r="X328" s="155"/>
      <c r="Y328" s="132"/>
    </row>
    <row r="329">
      <c r="A329" s="311"/>
      <c r="B329" s="312"/>
      <c r="C329" s="313"/>
      <c r="D329" s="313"/>
      <c r="E329" s="314"/>
      <c r="F329" s="315"/>
      <c r="G329" s="316"/>
      <c r="H329" s="317"/>
      <c r="I329" s="318"/>
      <c r="J329" s="319"/>
      <c r="K329" s="314"/>
      <c r="L329" s="314"/>
      <c r="M329" s="314"/>
      <c r="N329" s="314"/>
      <c r="O329" s="318"/>
      <c r="P329" s="314"/>
      <c r="Q329" s="314"/>
      <c r="R329" s="314"/>
      <c r="S329" s="314"/>
      <c r="T329" s="324"/>
      <c r="U329" s="155"/>
      <c r="V329" s="155"/>
      <c r="W329" s="322"/>
      <c r="X329" s="155"/>
      <c r="Y329" s="132"/>
    </row>
    <row r="330">
      <c r="A330" s="311"/>
      <c r="B330" s="312"/>
      <c r="C330" s="313"/>
      <c r="D330" s="313"/>
      <c r="E330" s="314"/>
      <c r="F330" s="315"/>
      <c r="G330" s="316"/>
      <c r="H330" s="317"/>
      <c r="I330" s="318"/>
      <c r="J330" s="319"/>
      <c r="K330" s="314"/>
      <c r="L330" s="314"/>
      <c r="M330" s="314"/>
      <c r="N330" s="314"/>
      <c r="O330" s="318"/>
      <c r="P330" s="314"/>
      <c r="Q330" s="314"/>
      <c r="R330" s="314"/>
      <c r="S330" s="314"/>
      <c r="T330" s="324"/>
      <c r="U330" s="155"/>
      <c r="V330" s="155"/>
      <c r="W330" s="322"/>
      <c r="X330" s="155"/>
      <c r="Y330" s="132"/>
    </row>
    <row r="331">
      <c r="A331" s="311"/>
      <c r="B331" s="312"/>
      <c r="C331" s="313"/>
      <c r="D331" s="313"/>
      <c r="E331" s="314"/>
      <c r="F331" s="315"/>
      <c r="G331" s="316"/>
      <c r="H331" s="317"/>
      <c r="I331" s="318"/>
      <c r="J331" s="319"/>
      <c r="K331" s="314"/>
      <c r="L331" s="314"/>
      <c r="M331" s="314"/>
      <c r="N331" s="314"/>
      <c r="O331" s="318"/>
      <c r="P331" s="314"/>
      <c r="Q331" s="314"/>
      <c r="R331" s="314"/>
      <c r="S331" s="314"/>
      <c r="T331" s="324"/>
      <c r="U331" s="155"/>
      <c r="V331" s="155"/>
      <c r="W331" s="322"/>
      <c r="X331" s="155"/>
      <c r="Y331" s="132"/>
    </row>
    <row r="332">
      <c r="A332" s="311"/>
      <c r="B332" s="312"/>
      <c r="C332" s="313"/>
      <c r="D332" s="313"/>
      <c r="E332" s="314"/>
      <c r="F332" s="315"/>
      <c r="G332" s="316"/>
      <c r="H332" s="317"/>
      <c r="I332" s="318"/>
      <c r="J332" s="319"/>
      <c r="K332" s="314"/>
      <c r="L332" s="314"/>
      <c r="M332" s="314"/>
      <c r="N332" s="314"/>
      <c r="O332" s="318"/>
      <c r="P332" s="314"/>
      <c r="Q332" s="314"/>
      <c r="R332" s="314"/>
      <c r="S332" s="314"/>
      <c r="T332" s="324"/>
      <c r="U332" s="155"/>
      <c r="V332" s="155"/>
      <c r="W332" s="322"/>
      <c r="X332" s="155"/>
      <c r="Y332" s="132"/>
    </row>
    <row r="333">
      <c r="A333" s="311"/>
      <c r="B333" s="312"/>
      <c r="C333" s="313"/>
      <c r="D333" s="313"/>
      <c r="E333" s="314"/>
      <c r="F333" s="315"/>
      <c r="G333" s="316"/>
      <c r="H333" s="317"/>
      <c r="I333" s="318"/>
      <c r="J333" s="319"/>
      <c r="K333" s="314"/>
      <c r="L333" s="314"/>
      <c r="M333" s="314"/>
      <c r="N333" s="314"/>
      <c r="O333" s="318"/>
      <c r="P333" s="314"/>
      <c r="Q333" s="314"/>
      <c r="R333" s="314"/>
      <c r="S333" s="314"/>
      <c r="T333" s="324"/>
      <c r="U333" s="155"/>
      <c r="V333" s="155"/>
      <c r="W333" s="322"/>
      <c r="X333" s="155"/>
      <c r="Y333" s="132"/>
    </row>
    <row r="334">
      <c r="A334" s="311"/>
      <c r="B334" s="312"/>
      <c r="C334" s="313"/>
      <c r="D334" s="313"/>
      <c r="E334" s="314"/>
      <c r="F334" s="315"/>
      <c r="G334" s="316"/>
      <c r="H334" s="317"/>
      <c r="I334" s="318"/>
      <c r="J334" s="319"/>
      <c r="K334" s="314"/>
      <c r="L334" s="314"/>
      <c r="M334" s="314"/>
      <c r="N334" s="314"/>
      <c r="O334" s="318"/>
      <c r="P334" s="314"/>
      <c r="Q334" s="314"/>
      <c r="R334" s="314"/>
      <c r="S334" s="314"/>
      <c r="T334" s="324"/>
      <c r="U334" s="155"/>
      <c r="V334" s="155"/>
      <c r="W334" s="322"/>
      <c r="X334" s="155"/>
      <c r="Y334" s="132"/>
    </row>
    <row r="335">
      <c r="A335" s="311"/>
      <c r="B335" s="312"/>
      <c r="C335" s="313"/>
      <c r="D335" s="313"/>
      <c r="E335" s="314"/>
      <c r="F335" s="315"/>
      <c r="G335" s="316"/>
      <c r="H335" s="317"/>
      <c r="I335" s="318"/>
      <c r="J335" s="319"/>
      <c r="K335" s="314"/>
      <c r="L335" s="314"/>
      <c r="M335" s="314"/>
      <c r="N335" s="314"/>
      <c r="O335" s="318"/>
      <c r="P335" s="314"/>
      <c r="Q335" s="314"/>
      <c r="R335" s="314"/>
      <c r="S335" s="314"/>
      <c r="T335" s="324"/>
      <c r="U335" s="155"/>
      <c r="V335" s="155"/>
      <c r="W335" s="322"/>
      <c r="X335" s="155"/>
      <c r="Y335" s="132"/>
    </row>
    <row r="336">
      <c r="A336" s="311"/>
      <c r="B336" s="312"/>
      <c r="C336" s="313"/>
      <c r="D336" s="313"/>
      <c r="E336" s="314"/>
      <c r="F336" s="315"/>
      <c r="G336" s="316"/>
      <c r="H336" s="317"/>
      <c r="I336" s="318"/>
      <c r="J336" s="319"/>
      <c r="K336" s="314"/>
      <c r="L336" s="314"/>
      <c r="M336" s="314"/>
      <c r="N336" s="314"/>
      <c r="O336" s="318"/>
      <c r="P336" s="314"/>
      <c r="Q336" s="314"/>
      <c r="R336" s="314"/>
      <c r="S336" s="314"/>
      <c r="T336" s="324"/>
      <c r="U336" s="155"/>
      <c r="V336" s="155"/>
      <c r="W336" s="322"/>
      <c r="X336" s="155"/>
      <c r="Y336" s="132"/>
    </row>
    <row r="337">
      <c r="A337" s="311"/>
      <c r="B337" s="312"/>
      <c r="C337" s="313"/>
      <c r="D337" s="313"/>
      <c r="E337" s="314"/>
      <c r="F337" s="315"/>
      <c r="G337" s="316"/>
      <c r="H337" s="317"/>
      <c r="I337" s="318"/>
      <c r="J337" s="319"/>
      <c r="K337" s="314"/>
      <c r="L337" s="314"/>
      <c r="M337" s="314"/>
      <c r="N337" s="314"/>
      <c r="O337" s="318"/>
      <c r="P337" s="314"/>
      <c r="Q337" s="314"/>
      <c r="R337" s="314"/>
      <c r="S337" s="314"/>
      <c r="T337" s="324"/>
      <c r="U337" s="155"/>
      <c r="V337" s="155"/>
      <c r="W337" s="322"/>
      <c r="X337" s="155"/>
      <c r="Y337" s="132"/>
    </row>
    <row r="338">
      <c r="A338" s="311"/>
      <c r="B338" s="312"/>
      <c r="C338" s="313"/>
      <c r="D338" s="313"/>
      <c r="E338" s="314"/>
      <c r="F338" s="315"/>
      <c r="G338" s="316"/>
      <c r="H338" s="317"/>
      <c r="I338" s="318"/>
      <c r="J338" s="319"/>
      <c r="K338" s="314"/>
      <c r="L338" s="314"/>
      <c r="M338" s="314"/>
      <c r="N338" s="314"/>
      <c r="O338" s="318"/>
      <c r="P338" s="314"/>
      <c r="Q338" s="314"/>
      <c r="R338" s="314"/>
      <c r="S338" s="314"/>
      <c r="T338" s="324"/>
      <c r="U338" s="155"/>
      <c r="V338" s="155"/>
      <c r="W338" s="322"/>
      <c r="X338" s="155"/>
      <c r="Y338" s="132"/>
    </row>
    <row r="339">
      <c r="A339" s="311"/>
      <c r="B339" s="312"/>
      <c r="C339" s="313"/>
      <c r="D339" s="313"/>
      <c r="E339" s="314"/>
      <c r="F339" s="315"/>
      <c r="G339" s="316"/>
      <c r="H339" s="317"/>
      <c r="I339" s="318"/>
      <c r="J339" s="319"/>
      <c r="K339" s="314"/>
      <c r="L339" s="314"/>
      <c r="M339" s="314"/>
      <c r="N339" s="314"/>
      <c r="O339" s="318"/>
      <c r="P339" s="314"/>
      <c r="Q339" s="314"/>
      <c r="R339" s="314"/>
      <c r="S339" s="314"/>
      <c r="T339" s="324"/>
      <c r="U339" s="155"/>
      <c r="V339" s="155"/>
      <c r="W339" s="322"/>
      <c r="X339" s="155"/>
      <c r="Y339" s="132"/>
    </row>
    <row r="340">
      <c r="A340" s="311"/>
      <c r="B340" s="312"/>
      <c r="C340" s="313"/>
      <c r="D340" s="313"/>
      <c r="E340" s="314"/>
      <c r="F340" s="315"/>
      <c r="G340" s="316"/>
      <c r="H340" s="317"/>
      <c r="I340" s="318"/>
      <c r="J340" s="319"/>
      <c r="K340" s="314"/>
      <c r="L340" s="314"/>
      <c r="M340" s="314"/>
      <c r="N340" s="314"/>
      <c r="O340" s="318"/>
      <c r="P340" s="314"/>
      <c r="Q340" s="314"/>
      <c r="R340" s="314"/>
      <c r="S340" s="314"/>
      <c r="T340" s="324"/>
      <c r="U340" s="155"/>
      <c r="V340" s="155"/>
      <c r="W340" s="322"/>
      <c r="X340" s="155"/>
      <c r="Y340" s="132"/>
    </row>
    <row r="341">
      <c r="A341" s="311"/>
      <c r="B341" s="312"/>
      <c r="C341" s="313"/>
      <c r="D341" s="313"/>
      <c r="E341" s="314"/>
      <c r="F341" s="315"/>
      <c r="G341" s="316"/>
      <c r="H341" s="317"/>
      <c r="I341" s="318"/>
      <c r="J341" s="319"/>
      <c r="K341" s="314"/>
      <c r="L341" s="314"/>
      <c r="M341" s="314"/>
      <c r="N341" s="314"/>
      <c r="O341" s="318"/>
      <c r="P341" s="314"/>
      <c r="Q341" s="314"/>
      <c r="R341" s="314"/>
      <c r="S341" s="314"/>
      <c r="T341" s="324"/>
      <c r="U341" s="155"/>
      <c r="V341" s="155"/>
      <c r="W341" s="322"/>
      <c r="X341" s="155"/>
      <c r="Y341" s="132"/>
    </row>
    <row r="342">
      <c r="A342" s="311"/>
      <c r="B342" s="312"/>
      <c r="C342" s="313"/>
      <c r="D342" s="313"/>
      <c r="E342" s="314"/>
      <c r="F342" s="315"/>
      <c r="G342" s="316"/>
      <c r="H342" s="317"/>
      <c r="I342" s="318"/>
      <c r="J342" s="319"/>
      <c r="K342" s="314"/>
      <c r="L342" s="314"/>
      <c r="M342" s="314"/>
      <c r="N342" s="314"/>
      <c r="O342" s="318"/>
      <c r="P342" s="314"/>
      <c r="Q342" s="314"/>
      <c r="R342" s="314"/>
      <c r="S342" s="314"/>
      <c r="T342" s="324"/>
      <c r="U342" s="155"/>
      <c r="V342" s="155"/>
      <c r="W342" s="322"/>
      <c r="X342" s="155"/>
      <c r="Y342" s="132"/>
    </row>
    <row r="343">
      <c r="A343" s="311"/>
      <c r="B343" s="312"/>
      <c r="C343" s="313"/>
      <c r="D343" s="313"/>
      <c r="E343" s="314"/>
      <c r="F343" s="315"/>
      <c r="G343" s="316"/>
      <c r="H343" s="317"/>
      <c r="I343" s="318"/>
      <c r="J343" s="319"/>
      <c r="K343" s="314"/>
      <c r="L343" s="314"/>
      <c r="M343" s="314"/>
      <c r="N343" s="314"/>
      <c r="O343" s="318"/>
      <c r="P343" s="314"/>
      <c r="Q343" s="314"/>
      <c r="R343" s="314"/>
      <c r="S343" s="314"/>
      <c r="T343" s="324"/>
      <c r="U343" s="155"/>
      <c r="V343" s="155"/>
      <c r="W343" s="322"/>
      <c r="X343" s="155"/>
      <c r="Y343" s="132"/>
    </row>
    <row r="344">
      <c r="A344" s="311"/>
      <c r="B344" s="312"/>
      <c r="C344" s="313"/>
      <c r="D344" s="313"/>
      <c r="E344" s="314"/>
      <c r="F344" s="315"/>
      <c r="G344" s="316"/>
      <c r="H344" s="317"/>
      <c r="I344" s="318"/>
      <c r="J344" s="319"/>
      <c r="K344" s="314"/>
      <c r="L344" s="314"/>
      <c r="M344" s="314"/>
      <c r="N344" s="314"/>
      <c r="O344" s="318"/>
      <c r="P344" s="314"/>
      <c r="Q344" s="314"/>
      <c r="R344" s="314"/>
      <c r="S344" s="314"/>
      <c r="T344" s="324"/>
      <c r="U344" s="155"/>
      <c r="V344" s="155"/>
      <c r="W344" s="322"/>
      <c r="X344" s="155"/>
      <c r="Y344" s="132"/>
    </row>
    <row r="345">
      <c r="A345" s="311"/>
      <c r="B345" s="312"/>
      <c r="C345" s="313"/>
      <c r="D345" s="313"/>
      <c r="E345" s="314"/>
      <c r="F345" s="315"/>
      <c r="G345" s="316"/>
      <c r="H345" s="317"/>
      <c r="I345" s="318"/>
      <c r="J345" s="319"/>
      <c r="K345" s="314"/>
      <c r="L345" s="314"/>
      <c r="M345" s="314"/>
      <c r="N345" s="314"/>
      <c r="O345" s="318"/>
      <c r="P345" s="314"/>
      <c r="Q345" s="314"/>
      <c r="R345" s="314"/>
      <c r="S345" s="314"/>
      <c r="T345" s="324"/>
      <c r="U345" s="155"/>
      <c r="V345" s="155"/>
      <c r="W345" s="322"/>
      <c r="X345" s="155"/>
      <c r="Y345" s="132"/>
    </row>
    <row r="346">
      <c r="A346" s="311"/>
      <c r="B346" s="312"/>
      <c r="C346" s="313"/>
      <c r="D346" s="313"/>
      <c r="E346" s="314"/>
      <c r="F346" s="315"/>
      <c r="G346" s="316"/>
      <c r="H346" s="317"/>
      <c r="I346" s="318"/>
      <c r="J346" s="319"/>
      <c r="K346" s="314"/>
      <c r="L346" s="314"/>
      <c r="M346" s="314"/>
      <c r="N346" s="314"/>
      <c r="O346" s="318"/>
      <c r="P346" s="314"/>
      <c r="Q346" s="314"/>
      <c r="R346" s="314"/>
      <c r="S346" s="314"/>
      <c r="T346" s="324"/>
      <c r="U346" s="155"/>
      <c r="V346" s="155"/>
      <c r="W346" s="322"/>
      <c r="X346" s="155"/>
      <c r="Y346" s="132"/>
    </row>
    <row r="347">
      <c r="A347" s="311"/>
      <c r="B347" s="312"/>
      <c r="C347" s="313"/>
      <c r="D347" s="313"/>
      <c r="E347" s="314"/>
      <c r="F347" s="315"/>
      <c r="G347" s="316"/>
      <c r="H347" s="317"/>
      <c r="I347" s="318"/>
      <c r="J347" s="319"/>
      <c r="K347" s="314"/>
      <c r="L347" s="314"/>
      <c r="M347" s="314"/>
      <c r="N347" s="314"/>
      <c r="O347" s="318"/>
      <c r="P347" s="314"/>
      <c r="Q347" s="314"/>
      <c r="R347" s="314"/>
      <c r="S347" s="314"/>
      <c r="T347" s="324"/>
      <c r="U347" s="155"/>
      <c r="V347" s="155"/>
      <c r="W347" s="322"/>
      <c r="X347" s="155"/>
      <c r="Y347" s="132"/>
    </row>
    <row r="348">
      <c r="A348" s="311"/>
      <c r="B348" s="312"/>
      <c r="C348" s="313"/>
      <c r="D348" s="313"/>
      <c r="E348" s="314"/>
      <c r="F348" s="315"/>
      <c r="G348" s="316"/>
      <c r="H348" s="317"/>
      <c r="I348" s="318"/>
      <c r="J348" s="319"/>
      <c r="K348" s="314"/>
      <c r="L348" s="314"/>
      <c r="M348" s="314"/>
      <c r="N348" s="314"/>
      <c r="O348" s="318"/>
      <c r="P348" s="314"/>
      <c r="Q348" s="314"/>
      <c r="R348" s="314"/>
      <c r="S348" s="314"/>
      <c r="T348" s="324"/>
      <c r="U348" s="155"/>
      <c r="V348" s="155"/>
      <c r="W348" s="322"/>
      <c r="X348" s="155"/>
      <c r="Y348" s="132"/>
    </row>
    <row r="349">
      <c r="A349" s="311"/>
      <c r="B349" s="312"/>
      <c r="C349" s="313"/>
      <c r="D349" s="313"/>
      <c r="E349" s="314"/>
      <c r="F349" s="315"/>
      <c r="G349" s="316"/>
      <c r="H349" s="317"/>
      <c r="I349" s="318"/>
      <c r="J349" s="319"/>
      <c r="K349" s="314"/>
      <c r="L349" s="314"/>
      <c r="M349" s="314"/>
      <c r="N349" s="314"/>
      <c r="O349" s="318"/>
      <c r="P349" s="314"/>
      <c r="Q349" s="314"/>
      <c r="R349" s="314"/>
      <c r="S349" s="314"/>
      <c r="T349" s="324"/>
      <c r="U349" s="155"/>
      <c r="V349" s="155"/>
      <c r="W349" s="322"/>
      <c r="X349" s="155"/>
      <c r="Y349" s="132"/>
    </row>
    <row r="350">
      <c r="A350" s="311"/>
      <c r="B350" s="312"/>
      <c r="C350" s="313"/>
      <c r="D350" s="313"/>
      <c r="E350" s="314"/>
      <c r="F350" s="315"/>
      <c r="G350" s="316"/>
      <c r="H350" s="317"/>
      <c r="I350" s="318"/>
      <c r="J350" s="319"/>
      <c r="K350" s="314"/>
      <c r="L350" s="314"/>
      <c r="M350" s="314"/>
      <c r="N350" s="314"/>
      <c r="O350" s="318"/>
      <c r="P350" s="314"/>
      <c r="Q350" s="314"/>
      <c r="R350" s="314"/>
      <c r="S350" s="314"/>
      <c r="T350" s="324"/>
      <c r="U350" s="155"/>
      <c r="V350" s="155"/>
      <c r="W350" s="322"/>
      <c r="X350" s="155"/>
      <c r="Y350" s="132"/>
    </row>
    <row r="351">
      <c r="A351" s="311"/>
      <c r="B351" s="312"/>
      <c r="C351" s="313"/>
      <c r="D351" s="313"/>
      <c r="E351" s="314"/>
      <c r="F351" s="315"/>
      <c r="G351" s="316"/>
      <c r="H351" s="317"/>
      <c r="I351" s="318"/>
      <c r="J351" s="319"/>
      <c r="K351" s="314"/>
      <c r="L351" s="314"/>
      <c r="M351" s="314"/>
      <c r="N351" s="314"/>
      <c r="O351" s="318"/>
      <c r="P351" s="314"/>
      <c r="Q351" s="314"/>
      <c r="R351" s="314"/>
      <c r="S351" s="314"/>
      <c r="T351" s="324"/>
      <c r="U351" s="155"/>
      <c r="V351" s="155"/>
      <c r="W351" s="322"/>
      <c r="X351" s="155"/>
      <c r="Y351" s="132"/>
    </row>
    <row r="352">
      <c r="A352" s="311"/>
      <c r="B352" s="312"/>
      <c r="C352" s="313"/>
      <c r="D352" s="313"/>
      <c r="E352" s="314"/>
      <c r="F352" s="315"/>
      <c r="G352" s="316"/>
      <c r="H352" s="317"/>
      <c r="I352" s="318"/>
      <c r="J352" s="319"/>
      <c r="K352" s="314"/>
      <c r="L352" s="314"/>
      <c r="M352" s="314"/>
      <c r="N352" s="314"/>
      <c r="O352" s="318"/>
      <c r="P352" s="314"/>
      <c r="Q352" s="314"/>
      <c r="R352" s="314"/>
      <c r="S352" s="314"/>
      <c r="T352" s="324"/>
      <c r="U352" s="155"/>
      <c r="V352" s="155"/>
      <c r="W352" s="322"/>
      <c r="X352" s="155"/>
      <c r="Y352" s="132"/>
    </row>
    <row r="353">
      <c r="A353" s="311"/>
      <c r="B353" s="312"/>
      <c r="C353" s="313"/>
      <c r="D353" s="313"/>
      <c r="E353" s="314"/>
      <c r="F353" s="315"/>
      <c r="G353" s="316"/>
      <c r="H353" s="317"/>
      <c r="I353" s="318"/>
      <c r="J353" s="319"/>
      <c r="K353" s="314"/>
      <c r="L353" s="314"/>
      <c r="M353" s="314"/>
      <c r="N353" s="314"/>
      <c r="O353" s="318"/>
      <c r="P353" s="314"/>
      <c r="Q353" s="314"/>
      <c r="R353" s="314"/>
      <c r="S353" s="314"/>
      <c r="T353" s="324"/>
      <c r="U353" s="155"/>
      <c r="V353" s="155"/>
      <c r="W353" s="322"/>
      <c r="X353" s="155"/>
      <c r="Y353" s="132"/>
    </row>
    <row r="354">
      <c r="A354" s="311"/>
      <c r="B354" s="312"/>
      <c r="C354" s="313"/>
      <c r="D354" s="313"/>
      <c r="E354" s="314"/>
      <c r="F354" s="315"/>
      <c r="G354" s="316"/>
      <c r="H354" s="317"/>
      <c r="I354" s="318"/>
      <c r="J354" s="319"/>
      <c r="K354" s="314"/>
      <c r="L354" s="314"/>
      <c r="M354" s="314"/>
      <c r="N354" s="314"/>
      <c r="O354" s="318"/>
      <c r="P354" s="314"/>
      <c r="Q354" s="314"/>
      <c r="R354" s="314"/>
      <c r="S354" s="314"/>
      <c r="T354" s="324"/>
      <c r="U354" s="155"/>
      <c r="V354" s="155"/>
      <c r="W354" s="322"/>
      <c r="X354" s="155"/>
      <c r="Y354" s="132"/>
    </row>
    <row r="355">
      <c r="A355" s="311"/>
      <c r="B355" s="312"/>
      <c r="C355" s="313"/>
      <c r="D355" s="313"/>
      <c r="E355" s="314"/>
      <c r="F355" s="315"/>
      <c r="G355" s="316"/>
      <c r="H355" s="317"/>
      <c r="I355" s="318"/>
      <c r="J355" s="319"/>
      <c r="K355" s="314"/>
      <c r="L355" s="314"/>
      <c r="M355" s="314"/>
      <c r="N355" s="314"/>
      <c r="O355" s="318"/>
      <c r="P355" s="314"/>
      <c r="Q355" s="314"/>
      <c r="R355" s="314"/>
      <c r="S355" s="314"/>
      <c r="T355" s="324"/>
      <c r="U355" s="155"/>
      <c r="V355" s="155"/>
      <c r="W355" s="322"/>
      <c r="X355" s="155"/>
      <c r="Y355" s="132"/>
    </row>
    <row r="356">
      <c r="A356" s="311"/>
      <c r="B356" s="312"/>
      <c r="C356" s="313"/>
      <c r="D356" s="313"/>
      <c r="E356" s="314"/>
      <c r="F356" s="315"/>
      <c r="G356" s="316"/>
      <c r="H356" s="317"/>
      <c r="I356" s="318"/>
      <c r="J356" s="319"/>
      <c r="K356" s="314"/>
      <c r="L356" s="314"/>
      <c r="M356" s="314"/>
      <c r="N356" s="314"/>
      <c r="O356" s="318"/>
      <c r="P356" s="314"/>
      <c r="Q356" s="314"/>
      <c r="R356" s="314"/>
      <c r="S356" s="314"/>
      <c r="T356" s="324"/>
      <c r="U356" s="155"/>
      <c r="V356" s="155"/>
      <c r="W356" s="322"/>
      <c r="X356" s="155"/>
      <c r="Y356" s="132"/>
    </row>
    <row r="357">
      <c r="A357" s="311"/>
      <c r="B357" s="312"/>
      <c r="C357" s="313"/>
      <c r="D357" s="313"/>
      <c r="E357" s="314"/>
      <c r="F357" s="315"/>
      <c r="G357" s="316"/>
      <c r="H357" s="317"/>
      <c r="I357" s="318"/>
      <c r="J357" s="319"/>
      <c r="K357" s="314"/>
      <c r="L357" s="314"/>
      <c r="M357" s="314"/>
      <c r="N357" s="314"/>
      <c r="O357" s="318"/>
      <c r="P357" s="314"/>
      <c r="Q357" s="314"/>
      <c r="R357" s="314"/>
      <c r="S357" s="314"/>
      <c r="T357" s="324"/>
      <c r="U357" s="155"/>
      <c r="V357" s="155"/>
      <c r="W357" s="322"/>
      <c r="X357" s="155"/>
      <c r="Y357" s="132"/>
    </row>
    <row r="358">
      <c r="A358" s="311"/>
      <c r="B358" s="312"/>
      <c r="C358" s="313"/>
      <c r="D358" s="313"/>
      <c r="E358" s="314"/>
      <c r="F358" s="315"/>
      <c r="G358" s="316"/>
      <c r="H358" s="317"/>
      <c r="I358" s="318"/>
      <c r="J358" s="319"/>
      <c r="K358" s="314"/>
      <c r="L358" s="314"/>
      <c r="M358" s="314"/>
      <c r="N358" s="314"/>
      <c r="O358" s="318"/>
      <c r="P358" s="314"/>
      <c r="Q358" s="314"/>
      <c r="R358" s="314"/>
      <c r="S358" s="314"/>
      <c r="T358" s="324"/>
      <c r="U358" s="155"/>
      <c r="V358" s="155"/>
      <c r="W358" s="322"/>
      <c r="X358" s="155"/>
      <c r="Y358" s="132"/>
    </row>
    <row r="359">
      <c r="A359" s="311"/>
      <c r="B359" s="312"/>
      <c r="C359" s="313"/>
      <c r="D359" s="313"/>
      <c r="E359" s="314"/>
      <c r="F359" s="315"/>
      <c r="G359" s="316"/>
      <c r="H359" s="317"/>
      <c r="I359" s="318"/>
      <c r="J359" s="319"/>
      <c r="K359" s="314"/>
      <c r="L359" s="314"/>
      <c r="M359" s="314"/>
      <c r="N359" s="314"/>
      <c r="O359" s="318"/>
      <c r="P359" s="314"/>
      <c r="Q359" s="314"/>
      <c r="R359" s="314"/>
      <c r="S359" s="314"/>
      <c r="T359" s="324"/>
      <c r="U359" s="155"/>
      <c r="V359" s="155"/>
      <c r="W359" s="322"/>
      <c r="X359" s="155"/>
      <c r="Y359" s="132"/>
    </row>
    <row r="360">
      <c r="A360" s="311"/>
      <c r="B360" s="312"/>
      <c r="C360" s="313"/>
      <c r="D360" s="313"/>
      <c r="E360" s="314"/>
      <c r="F360" s="315"/>
      <c r="G360" s="316"/>
      <c r="H360" s="317"/>
      <c r="I360" s="318"/>
      <c r="J360" s="319"/>
      <c r="K360" s="314"/>
      <c r="L360" s="314"/>
      <c r="M360" s="314"/>
      <c r="N360" s="314"/>
      <c r="O360" s="318"/>
      <c r="P360" s="314"/>
      <c r="Q360" s="314"/>
      <c r="R360" s="314"/>
      <c r="S360" s="314"/>
      <c r="T360" s="324"/>
      <c r="U360" s="155"/>
      <c r="V360" s="155"/>
      <c r="W360" s="322"/>
      <c r="X360" s="155"/>
      <c r="Y360" s="132"/>
    </row>
    <row r="361">
      <c r="A361" s="311"/>
      <c r="B361" s="312"/>
      <c r="C361" s="313"/>
      <c r="D361" s="313"/>
      <c r="E361" s="314"/>
      <c r="F361" s="315"/>
      <c r="G361" s="316"/>
      <c r="H361" s="317"/>
      <c r="I361" s="318"/>
      <c r="J361" s="319"/>
      <c r="K361" s="314"/>
      <c r="L361" s="314"/>
      <c r="M361" s="314"/>
      <c r="N361" s="314"/>
      <c r="O361" s="318"/>
      <c r="P361" s="314"/>
      <c r="Q361" s="314"/>
      <c r="R361" s="314"/>
      <c r="S361" s="314"/>
      <c r="T361" s="324"/>
      <c r="U361" s="155"/>
      <c r="V361" s="155"/>
      <c r="W361" s="322"/>
      <c r="X361" s="155"/>
      <c r="Y361" s="132"/>
    </row>
    <row r="362">
      <c r="A362" s="311"/>
      <c r="B362" s="312"/>
      <c r="C362" s="313"/>
      <c r="D362" s="313"/>
      <c r="E362" s="314"/>
      <c r="F362" s="315"/>
      <c r="G362" s="316"/>
      <c r="H362" s="317"/>
      <c r="I362" s="318"/>
      <c r="J362" s="319"/>
      <c r="K362" s="314"/>
      <c r="L362" s="314"/>
      <c r="M362" s="314"/>
      <c r="N362" s="314"/>
      <c r="O362" s="318"/>
      <c r="P362" s="314"/>
      <c r="Q362" s="314"/>
      <c r="R362" s="314"/>
      <c r="S362" s="314"/>
      <c r="T362" s="324"/>
      <c r="U362" s="155"/>
      <c r="V362" s="155"/>
      <c r="W362" s="322"/>
      <c r="X362" s="155"/>
      <c r="Y362" s="132"/>
    </row>
    <row r="363">
      <c r="A363" s="311"/>
      <c r="B363" s="312"/>
      <c r="C363" s="313"/>
      <c r="D363" s="313"/>
      <c r="E363" s="314"/>
      <c r="F363" s="315"/>
      <c r="G363" s="316"/>
      <c r="H363" s="317"/>
      <c r="I363" s="318"/>
      <c r="J363" s="319"/>
      <c r="K363" s="314"/>
      <c r="L363" s="314"/>
      <c r="M363" s="314"/>
      <c r="N363" s="314"/>
      <c r="O363" s="318"/>
      <c r="P363" s="314"/>
      <c r="Q363" s="314"/>
      <c r="R363" s="314"/>
      <c r="S363" s="314"/>
      <c r="T363" s="324"/>
      <c r="U363" s="155"/>
      <c r="V363" s="155"/>
      <c r="W363" s="322"/>
      <c r="X363" s="155"/>
      <c r="Y363" s="132"/>
    </row>
    <row r="364">
      <c r="A364" s="311"/>
      <c r="B364" s="312"/>
      <c r="C364" s="313"/>
      <c r="D364" s="313"/>
      <c r="E364" s="314"/>
      <c r="F364" s="315"/>
      <c r="G364" s="316"/>
      <c r="H364" s="317"/>
      <c r="I364" s="318"/>
      <c r="J364" s="319"/>
      <c r="K364" s="314"/>
      <c r="L364" s="314"/>
      <c r="M364" s="314"/>
      <c r="N364" s="314"/>
      <c r="O364" s="318"/>
      <c r="P364" s="314"/>
      <c r="Q364" s="314"/>
      <c r="R364" s="314"/>
      <c r="S364" s="314"/>
      <c r="T364" s="324"/>
      <c r="U364" s="155"/>
      <c r="V364" s="155"/>
      <c r="W364" s="322"/>
      <c r="X364" s="155"/>
      <c r="Y364" s="132"/>
    </row>
    <row r="365">
      <c r="A365" s="311"/>
      <c r="B365" s="312"/>
      <c r="C365" s="313"/>
      <c r="D365" s="313"/>
      <c r="E365" s="314"/>
      <c r="F365" s="315"/>
      <c r="G365" s="316"/>
      <c r="H365" s="317"/>
      <c r="I365" s="318"/>
      <c r="J365" s="319"/>
      <c r="K365" s="314"/>
      <c r="L365" s="314"/>
      <c r="M365" s="314"/>
      <c r="N365" s="314"/>
      <c r="O365" s="318"/>
      <c r="P365" s="314"/>
      <c r="Q365" s="314"/>
      <c r="R365" s="314"/>
      <c r="S365" s="314"/>
      <c r="T365" s="324"/>
      <c r="U365" s="155"/>
      <c r="V365" s="155"/>
      <c r="W365" s="322"/>
      <c r="X365" s="155"/>
      <c r="Y365" s="132"/>
    </row>
    <row r="366">
      <c r="A366" s="311"/>
      <c r="B366" s="312"/>
      <c r="C366" s="313"/>
      <c r="D366" s="313"/>
      <c r="E366" s="314"/>
      <c r="F366" s="315"/>
      <c r="G366" s="316"/>
      <c r="H366" s="317"/>
      <c r="I366" s="318"/>
      <c r="J366" s="319"/>
      <c r="K366" s="314"/>
      <c r="L366" s="314"/>
      <c r="M366" s="314"/>
      <c r="N366" s="314"/>
      <c r="O366" s="318"/>
      <c r="P366" s="314"/>
      <c r="Q366" s="314"/>
      <c r="R366" s="314"/>
      <c r="S366" s="314"/>
      <c r="T366" s="324"/>
      <c r="U366" s="155"/>
      <c r="V366" s="155"/>
      <c r="W366" s="322"/>
      <c r="X366" s="155"/>
      <c r="Y366" s="132"/>
    </row>
    <row r="367">
      <c r="A367" s="311"/>
      <c r="B367" s="312"/>
      <c r="C367" s="313"/>
      <c r="D367" s="313"/>
      <c r="E367" s="314"/>
      <c r="F367" s="315"/>
      <c r="G367" s="316"/>
      <c r="H367" s="317"/>
      <c r="I367" s="318"/>
      <c r="J367" s="319"/>
      <c r="K367" s="314"/>
      <c r="L367" s="314"/>
      <c r="M367" s="314"/>
      <c r="N367" s="314"/>
      <c r="O367" s="318"/>
      <c r="P367" s="314"/>
      <c r="Q367" s="314"/>
      <c r="R367" s="314"/>
      <c r="S367" s="314"/>
      <c r="T367" s="324"/>
      <c r="U367" s="155"/>
      <c r="V367" s="155"/>
      <c r="W367" s="322"/>
      <c r="X367" s="155"/>
      <c r="Y367" s="132"/>
    </row>
    <row r="368">
      <c r="A368" s="311"/>
      <c r="B368" s="312"/>
      <c r="C368" s="313"/>
      <c r="D368" s="313"/>
      <c r="E368" s="314"/>
      <c r="F368" s="315"/>
      <c r="G368" s="316"/>
      <c r="H368" s="317"/>
      <c r="I368" s="318"/>
      <c r="J368" s="319"/>
      <c r="K368" s="314"/>
      <c r="L368" s="314"/>
      <c r="M368" s="314"/>
      <c r="N368" s="314"/>
      <c r="O368" s="318"/>
      <c r="P368" s="314"/>
      <c r="Q368" s="314"/>
      <c r="R368" s="314"/>
      <c r="S368" s="314"/>
      <c r="T368" s="324"/>
      <c r="U368" s="155"/>
      <c r="V368" s="155"/>
      <c r="W368" s="322"/>
      <c r="X368" s="155"/>
      <c r="Y368" s="132"/>
    </row>
    <row r="369">
      <c r="A369" s="311"/>
      <c r="B369" s="312"/>
      <c r="C369" s="313"/>
      <c r="D369" s="313"/>
      <c r="E369" s="314"/>
      <c r="F369" s="315"/>
      <c r="G369" s="316"/>
      <c r="H369" s="317"/>
      <c r="I369" s="318"/>
      <c r="J369" s="319"/>
      <c r="K369" s="314"/>
      <c r="L369" s="314"/>
      <c r="M369" s="314"/>
      <c r="N369" s="314"/>
      <c r="O369" s="318"/>
      <c r="P369" s="314"/>
      <c r="Q369" s="314"/>
      <c r="R369" s="314"/>
      <c r="S369" s="314"/>
      <c r="T369" s="324"/>
      <c r="U369" s="155"/>
      <c r="V369" s="155"/>
      <c r="W369" s="322"/>
      <c r="X369" s="155"/>
      <c r="Y369" s="132"/>
    </row>
    <row r="370">
      <c r="A370" s="311"/>
      <c r="B370" s="312"/>
      <c r="C370" s="313"/>
      <c r="D370" s="313"/>
      <c r="E370" s="314"/>
      <c r="F370" s="315"/>
      <c r="G370" s="316"/>
      <c r="H370" s="317"/>
      <c r="I370" s="318"/>
      <c r="J370" s="319"/>
      <c r="K370" s="314"/>
      <c r="L370" s="314"/>
      <c r="M370" s="314"/>
      <c r="N370" s="314"/>
      <c r="O370" s="318"/>
      <c r="P370" s="314"/>
      <c r="Q370" s="314"/>
      <c r="R370" s="314"/>
      <c r="S370" s="314"/>
      <c r="T370" s="324"/>
      <c r="U370" s="155"/>
      <c r="V370" s="155"/>
      <c r="W370" s="322"/>
      <c r="X370" s="155"/>
      <c r="Y370" s="132"/>
    </row>
    <row r="371">
      <c r="A371" s="311"/>
      <c r="B371" s="312"/>
      <c r="C371" s="313"/>
      <c r="D371" s="313"/>
      <c r="E371" s="314"/>
      <c r="F371" s="315"/>
      <c r="G371" s="316"/>
      <c r="H371" s="317"/>
      <c r="I371" s="318"/>
      <c r="J371" s="319"/>
      <c r="K371" s="314"/>
      <c r="L371" s="314"/>
      <c r="M371" s="314"/>
      <c r="N371" s="314"/>
      <c r="O371" s="318"/>
      <c r="P371" s="314"/>
      <c r="Q371" s="314"/>
      <c r="R371" s="314"/>
      <c r="S371" s="314"/>
      <c r="T371" s="324"/>
      <c r="U371" s="155"/>
      <c r="V371" s="155"/>
      <c r="W371" s="322"/>
      <c r="X371" s="155"/>
      <c r="Y371" s="132"/>
    </row>
    <row r="372">
      <c r="A372" s="311"/>
      <c r="B372" s="312"/>
      <c r="C372" s="313"/>
      <c r="D372" s="313"/>
      <c r="E372" s="314"/>
      <c r="F372" s="315"/>
      <c r="G372" s="316"/>
      <c r="H372" s="317"/>
      <c r="I372" s="318"/>
      <c r="J372" s="319"/>
      <c r="K372" s="314"/>
      <c r="L372" s="314"/>
      <c r="M372" s="314"/>
      <c r="N372" s="314"/>
      <c r="O372" s="318"/>
      <c r="P372" s="314"/>
      <c r="Q372" s="314"/>
      <c r="R372" s="314"/>
      <c r="S372" s="314"/>
      <c r="T372" s="324"/>
      <c r="U372" s="155"/>
      <c r="V372" s="155"/>
      <c r="W372" s="322"/>
      <c r="X372" s="155"/>
      <c r="Y372" s="132"/>
    </row>
    <row r="373">
      <c r="A373" s="311"/>
      <c r="B373" s="312"/>
      <c r="C373" s="313"/>
      <c r="D373" s="313"/>
      <c r="E373" s="314"/>
      <c r="F373" s="315"/>
      <c r="G373" s="316"/>
      <c r="H373" s="317"/>
      <c r="I373" s="318"/>
      <c r="J373" s="319"/>
      <c r="K373" s="314"/>
      <c r="L373" s="314"/>
      <c r="M373" s="314"/>
      <c r="N373" s="314"/>
      <c r="O373" s="318"/>
      <c r="P373" s="314"/>
      <c r="Q373" s="314"/>
      <c r="R373" s="314"/>
      <c r="S373" s="314"/>
      <c r="T373" s="324"/>
      <c r="U373" s="155"/>
      <c r="V373" s="155"/>
      <c r="W373" s="322"/>
      <c r="X373" s="155"/>
      <c r="Y373" s="132"/>
    </row>
    <row r="374">
      <c r="A374" s="311"/>
      <c r="B374" s="312"/>
      <c r="C374" s="313"/>
      <c r="D374" s="313"/>
      <c r="E374" s="314"/>
      <c r="F374" s="315"/>
      <c r="G374" s="316"/>
      <c r="H374" s="317"/>
      <c r="I374" s="318"/>
      <c r="J374" s="319"/>
      <c r="K374" s="314"/>
      <c r="L374" s="314"/>
      <c r="M374" s="314"/>
      <c r="N374" s="314"/>
      <c r="O374" s="318"/>
      <c r="P374" s="314"/>
      <c r="Q374" s="314"/>
      <c r="R374" s="314"/>
      <c r="S374" s="314"/>
      <c r="T374" s="324"/>
      <c r="U374" s="155"/>
      <c r="V374" s="155"/>
      <c r="W374" s="322"/>
      <c r="X374" s="155"/>
      <c r="Y374" s="132"/>
    </row>
    <row r="375">
      <c r="A375" s="311"/>
      <c r="B375" s="312"/>
      <c r="C375" s="313"/>
      <c r="D375" s="313"/>
      <c r="E375" s="314"/>
      <c r="F375" s="315"/>
      <c r="G375" s="316"/>
      <c r="H375" s="317"/>
      <c r="I375" s="318"/>
      <c r="J375" s="319"/>
      <c r="K375" s="314"/>
      <c r="L375" s="314"/>
      <c r="M375" s="314"/>
      <c r="N375" s="314"/>
      <c r="O375" s="318"/>
      <c r="P375" s="314"/>
      <c r="Q375" s="314"/>
      <c r="R375" s="314"/>
      <c r="S375" s="314"/>
      <c r="T375" s="324"/>
      <c r="U375" s="155"/>
      <c r="V375" s="155"/>
      <c r="W375" s="322"/>
      <c r="X375" s="155"/>
      <c r="Y375" s="132"/>
    </row>
    <row r="376">
      <c r="A376" s="311"/>
      <c r="B376" s="312"/>
      <c r="C376" s="313"/>
      <c r="D376" s="313"/>
      <c r="E376" s="314"/>
      <c r="F376" s="315"/>
      <c r="G376" s="316"/>
      <c r="H376" s="317"/>
      <c r="I376" s="318"/>
      <c r="J376" s="319"/>
      <c r="K376" s="314"/>
      <c r="L376" s="314"/>
      <c r="M376" s="314"/>
      <c r="N376" s="314"/>
      <c r="O376" s="318"/>
      <c r="P376" s="314"/>
      <c r="Q376" s="314"/>
      <c r="R376" s="314"/>
      <c r="S376" s="314"/>
      <c r="T376" s="324"/>
      <c r="U376" s="155"/>
      <c r="V376" s="155"/>
      <c r="W376" s="322"/>
      <c r="X376" s="155"/>
      <c r="Y376" s="132"/>
    </row>
    <row r="377">
      <c r="A377" s="311"/>
      <c r="B377" s="312"/>
      <c r="C377" s="313"/>
      <c r="D377" s="313"/>
      <c r="E377" s="314"/>
      <c r="F377" s="315"/>
      <c r="G377" s="316"/>
      <c r="H377" s="317"/>
      <c r="I377" s="318"/>
      <c r="J377" s="319"/>
      <c r="K377" s="314"/>
      <c r="L377" s="314"/>
      <c r="M377" s="314"/>
      <c r="N377" s="314"/>
      <c r="O377" s="318"/>
      <c r="P377" s="314"/>
      <c r="Q377" s="314"/>
      <c r="R377" s="314"/>
      <c r="S377" s="314"/>
      <c r="T377" s="324"/>
      <c r="U377" s="155"/>
      <c r="V377" s="155"/>
      <c r="W377" s="322"/>
      <c r="X377" s="155"/>
      <c r="Y377" s="132"/>
    </row>
    <row r="378">
      <c r="A378" s="311"/>
      <c r="B378" s="312"/>
      <c r="C378" s="313"/>
      <c r="D378" s="313"/>
      <c r="E378" s="314"/>
      <c r="F378" s="315"/>
      <c r="G378" s="316"/>
      <c r="H378" s="317"/>
      <c r="I378" s="318"/>
      <c r="J378" s="319"/>
      <c r="K378" s="314"/>
      <c r="L378" s="314"/>
      <c r="M378" s="314"/>
      <c r="N378" s="314"/>
      <c r="O378" s="318"/>
      <c r="P378" s="314"/>
      <c r="Q378" s="314"/>
      <c r="R378" s="314"/>
      <c r="S378" s="314"/>
      <c r="T378" s="324"/>
      <c r="U378" s="155"/>
      <c r="V378" s="155"/>
      <c r="W378" s="322"/>
      <c r="X378" s="155"/>
      <c r="Y378" s="132"/>
    </row>
    <row r="379">
      <c r="A379" s="311"/>
      <c r="B379" s="312"/>
      <c r="C379" s="313"/>
      <c r="D379" s="313"/>
      <c r="E379" s="314"/>
      <c r="F379" s="315"/>
      <c r="G379" s="316"/>
      <c r="H379" s="317"/>
      <c r="I379" s="318"/>
      <c r="J379" s="319"/>
      <c r="K379" s="314"/>
      <c r="L379" s="314"/>
      <c r="M379" s="314"/>
      <c r="N379" s="314"/>
      <c r="O379" s="318"/>
      <c r="P379" s="314"/>
      <c r="Q379" s="314"/>
      <c r="R379" s="314"/>
      <c r="S379" s="314"/>
      <c r="T379" s="324"/>
      <c r="U379" s="155"/>
      <c r="V379" s="155"/>
      <c r="W379" s="322"/>
      <c r="X379" s="155"/>
      <c r="Y379" s="132"/>
    </row>
    <row r="380">
      <c r="A380" s="311"/>
      <c r="B380" s="312"/>
      <c r="C380" s="313"/>
      <c r="D380" s="313"/>
      <c r="E380" s="314"/>
      <c r="F380" s="315"/>
      <c r="G380" s="316"/>
      <c r="H380" s="317"/>
      <c r="I380" s="318"/>
      <c r="J380" s="319"/>
      <c r="K380" s="314"/>
      <c r="L380" s="314"/>
      <c r="M380" s="314"/>
      <c r="N380" s="314"/>
      <c r="O380" s="318"/>
      <c r="P380" s="314"/>
      <c r="Q380" s="314"/>
      <c r="R380" s="314"/>
      <c r="S380" s="314"/>
      <c r="T380" s="324"/>
      <c r="U380" s="155"/>
      <c r="V380" s="155"/>
      <c r="W380" s="322"/>
      <c r="X380" s="155"/>
      <c r="Y380" s="132"/>
    </row>
    <row r="381">
      <c r="A381" s="311"/>
      <c r="B381" s="312"/>
      <c r="C381" s="313"/>
      <c r="D381" s="313"/>
      <c r="E381" s="314"/>
      <c r="F381" s="315"/>
      <c r="G381" s="316"/>
      <c r="H381" s="317"/>
      <c r="I381" s="318"/>
      <c r="J381" s="319"/>
      <c r="K381" s="314"/>
      <c r="L381" s="314"/>
      <c r="M381" s="314"/>
      <c r="N381" s="314"/>
      <c r="O381" s="318"/>
      <c r="P381" s="314"/>
      <c r="Q381" s="314"/>
      <c r="R381" s="314"/>
      <c r="S381" s="314"/>
      <c r="T381" s="324"/>
      <c r="U381" s="155"/>
      <c r="V381" s="155"/>
      <c r="W381" s="322"/>
      <c r="X381" s="155"/>
      <c r="Y381" s="132"/>
    </row>
    <row r="382">
      <c r="A382" s="311"/>
      <c r="B382" s="312"/>
      <c r="C382" s="313"/>
      <c r="D382" s="313"/>
      <c r="E382" s="314"/>
      <c r="F382" s="315"/>
      <c r="G382" s="316"/>
      <c r="H382" s="317"/>
      <c r="I382" s="318"/>
      <c r="J382" s="319"/>
      <c r="K382" s="314"/>
      <c r="L382" s="314"/>
      <c r="M382" s="314"/>
      <c r="N382" s="314"/>
      <c r="O382" s="318"/>
      <c r="P382" s="314"/>
      <c r="Q382" s="314"/>
      <c r="R382" s="314"/>
      <c r="S382" s="314"/>
      <c r="T382" s="324"/>
      <c r="U382" s="155"/>
      <c r="V382" s="155"/>
      <c r="W382" s="322"/>
      <c r="X382" s="155"/>
      <c r="Y382" s="132"/>
    </row>
    <row r="383">
      <c r="A383" s="311"/>
      <c r="B383" s="312"/>
      <c r="C383" s="313"/>
      <c r="D383" s="313"/>
      <c r="E383" s="314"/>
      <c r="F383" s="315"/>
      <c r="G383" s="316"/>
      <c r="H383" s="317"/>
      <c r="I383" s="318"/>
      <c r="J383" s="319"/>
      <c r="K383" s="314"/>
      <c r="L383" s="314"/>
      <c r="M383" s="314"/>
      <c r="N383" s="314"/>
      <c r="O383" s="318"/>
      <c r="P383" s="314"/>
      <c r="Q383" s="314"/>
      <c r="R383" s="314"/>
      <c r="S383" s="314"/>
      <c r="T383" s="324"/>
      <c r="U383" s="155"/>
      <c r="V383" s="155"/>
      <c r="W383" s="322"/>
      <c r="X383" s="155"/>
      <c r="Y383" s="132"/>
    </row>
    <row r="384">
      <c r="A384" s="311"/>
      <c r="B384" s="312"/>
      <c r="C384" s="313"/>
      <c r="D384" s="313"/>
      <c r="E384" s="314"/>
      <c r="F384" s="315"/>
      <c r="G384" s="316"/>
      <c r="H384" s="317"/>
      <c r="I384" s="318"/>
      <c r="J384" s="319"/>
      <c r="K384" s="314"/>
      <c r="L384" s="314"/>
      <c r="M384" s="314"/>
      <c r="N384" s="314"/>
      <c r="O384" s="318"/>
      <c r="P384" s="314"/>
      <c r="Q384" s="314"/>
      <c r="R384" s="314"/>
      <c r="S384" s="314"/>
      <c r="T384" s="324"/>
      <c r="U384" s="155"/>
      <c r="V384" s="155"/>
      <c r="W384" s="322"/>
      <c r="X384" s="155"/>
      <c r="Y384" s="132"/>
    </row>
    <row r="385">
      <c r="A385" s="311"/>
      <c r="B385" s="312"/>
      <c r="C385" s="313"/>
      <c r="D385" s="313"/>
      <c r="E385" s="314"/>
      <c r="F385" s="315"/>
      <c r="G385" s="316"/>
      <c r="H385" s="317"/>
      <c r="I385" s="318"/>
      <c r="J385" s="319"/>
      <c r="K385" s="314"/>
      <c r="L385" s="314"/>
      <c r="M385" s="314"/>
      <c r="N385" s="314"/>
      <c r="O385" s="318"/>
      <c r="P385" s="314"/>
      <c r="Q385" s="314"/>
      <c r="R385" s="314"/>
      <c r="S385" s="314"/>
      <c r="T385" s="324"/>
      <c r="U385" s="155"/>
      <c r="V385" s="155"/>
      <c r="W385" s="322"/>
      <c r="X385" s="155"/>
      <c r="Y385" s="132"/>
    </row>
    <row r="386">
      <c r="A386" s="311"/>
      <c r="B386" s="312"/>
      <c r="C386" s="313"/>
      <c r="D386" s="313"/>
      <c r="E386" s="314"/>
      <c r="F386" s="315"/>
      <c r="G386" s="316"/>
      <c r="H386" s="317"/>
      <c r="I386" s="318"/>
      <c r="J386" s="319"/>
      <c r="K386" s="314"/>
      <c r="L386" s="314"/>
      <c r="M386" s="314"/>
      <c r="N386" s="314"/>
      <c r="O386" s="318"/>
      <c r="P386" s="314"/>
      <c r="Q386" s="314"/>
      <c r="R386" s="314"/>
      <c r="S386" s="314"/>
      <c r="T386" s="324"/>
      <c r="U386" s="155"/>
      <c r="V386" s="155"/>
      <c r="W386" s="322"/>
      <c r="X386" s="155"/>
      <c r="Y386" s="132"/>
    </row>
    <row r="387">
      <c r="A387" s="311"/>
      <c r="B387" s="312"/>
      <c r="C387" s="313"/>
      <c r="D387" s="313"/>
      <c r="E387" s="314"/>
      <c r="F387" s="315"/>
      <c r="G387" s="316"/>
      <c r="H387" s="317"/>
      <c r="I387" s="318"/>
      <c r="J387" s="319"/>
      <c r="K387" s="314"/>
      <c r="L387" s="314"/>
      <c r="M387" s="314"/>
      <c r="N387" s="314"/>
      <c r="O387" s="318"/>
      <c r="P387" s="314"/>
      <c r="Q387" s="314"/>
      <c r="R387" s="314"/>
      <c r="S387" s="314"/>
      <c r="T387" s="324"/>
      <c r="U387" s="155"/>
      <c r="V387" s="155"/>
      <c r="W387" s="322"/>
      <c r="X387" s="155"/>
      <c r="Y387" s="132"/>
    </row>
    <row r="388">
      <c r="A388" s="311"/>
      <c r="B388" s="312"/>
      <c r="C388" s="313"/>
      <c r="D388" s="313"/>
      <c r="E388" s="314"/>
      <c r="F388" s="315"/>
      <c r="G388" s="316"/>
      <c r="H388" s="317"/>
      <c r="I388" s="318"/>
      <c r="J388" s="319"/>
      <c r="K388" s="314"/>
      <c r="L388" s="314"/>
      <c r="M388" s="314"/>
      <c r="N388" s="314"/>
      <c r="O388" s="318"/>
      <c r="P388" s="314"/>
      <c r="Q388" s="314"/>
      <c r="R388" s="314"/>
      <c r="S388" s="314"/>
      <c r="T388" s="324"/>
      <c r="U388" s="155"/>
      <c r="V388" s="155"/>
      <c r="W388" s="322"/>
      <c r="X388" s="155"/>
      <c r="Y388" s="132"/>
    </row>
    <row r="389">
      <c r="A389" s="311"/>
      <c r="B389" s="312"/>
      <c r="C389" s="313"/>
      <c r="D389" s="313"/>
      <c r="E389" s="314"/>
      <c r="F389" s="315"/>
      <c r="G389" s="316"/>
      <c r="H389" s="317"/>
      <c r="I389" s="318"/>
      <c r="J389" s="319"/>
      <c r="K389" s="314"/>
      <c r="L389" s="314"/>
      <c r="M389" s="314"/>
      <c r="N389" s="314"/>
      <c r="O389" s="318"/>
      <c r="P389" s="314"/>
      <c r="Q389" s="314"/>
      <c r="R389" s="314"/>
      <c r="S389" s="314"/>
      <c r="T389" s="324"/>
      <c r="U389" s="155"/>
      <c r="V389" s="155"/>
      <c r="W389" s="322"/>
      <c r="X389" s="155"/>
      <c r="Y389" s="132"/>
    </row>
    <row r="390">
      <c r="A390" s="311"/>
      <c r="B390" s="312"/>
      <c r="C390" s="313"/>
      <c r="D390" s="313"/>
      <c r="E390" s="314"/>
      <c r="F390" s="315"/>
      <c r="G390" s="316"/>
      <c r="H390" s="317"/>
      <c r="I390" s="318"/>
      <c r="J390" s="319"/>
      <c r="K390" s="314"/>
      <c r="L390" s="314"/>
      <c r="M390" s="314"/>
      <c r="N390" s="314"/>
      <c r="O390" s="318"/>
      <c r="P390" s="314"/>
      <c r="Q390" s="314"/>
      <c r="R390" s="314"/>
      <c r="S390" s="314"/>
      <c r="T390" s="324"/>
      <c r="U390" s="155"/>
      <c r="V390" s="155"/>
      <c r="W390" s="322"/>
      <c r="X390" s="155"/>
      <c r="Y390" s="132"/>
    </row>
    <row r="391">
      <c r="A391" s="311"/>
      <c r="B391" s="312"/>
      <c r="C391" s="313"/>
      <c r="D391" s="313"/>
      <c r="E391" s="314"/>
      <c r="F391" s="315"/>
      <c r="G391" s="316"/>
      <c r="H391" s="317"/>
      <c r="I391" s="318"/>
      <c r="J391" s="319"/>
      <c r="K391" s="314"/>
      <c r="L391" s="314"/>
      <c r="M391" s="314"/>
      <c r="N391" s="314"/>
      <c r="O391" s="318"/>
      <c r="P391" s="314"/>
      <c r="Q391" s="314"/>
      <c r="R391" s="314"/>
      <c r="S391" s="314"/>
      <c r="T391" s="324"/>
      <c r="U391" s="155"/>
      <c r="V391" s="155"/>
      <c r="W391" s="322"/>
      <c r="X391" s="155"/>
      <c r="Y391" s="132"/>
    </row>
    <row r="392">
      <c r="A392" s="311"/>
      <c r="B392" s="312"/>
      <c r="C392" s="313"/>
      <c r="D392" s="313"/>
      <c r="E392" s="314"/>
      <c r="F392" s="315"/>
      <c r="G392" s="316"/>
      <c r="H392" s="317"/>
      <c r="I392" s="318"/>
      <c r="J392" s="319"/>
      <c r="K392" s="314"/>
      <c r="L392" s="314"/>
      <c r="M392" s="314"/>
      <c r="N392" s="314"/>
      <c r="O392" s="318"/>
      <c r="P392" s="314"/>
      <c r="Q392" s="314"/>
      <c r="R392" s="314"/>
      <c r="S392" s="314"/>
      <c r="T392" s="324"/>
      <c r="U392" s="155"/>
      <c r="V392" s="155"/>
      <c r="W392" s="322"/>
      <c r="X392" s="155"/>
      <c r="Y392" s="132"/>
    </row>
    <row r="393">
      <c r="A393" s="311"/>
      <c r="B393" s="312"/>
      <c r="C393" s="313"/>
      <c r="D393" s="313"/>
      <c r="E393" s="314"/>
      <c r="F393" s="315"/>
      <c r="G393" s="316"/>
      <c r="H393" s="317"/>
      <c r="I393" s="318"/>
      <c r="J393" s="319"/>
      <c r="K393" s="314"/>
      <c r="L393" s="314"/>
      <c r="M393" s="314"/>
      <c r="N393" s="314"/>
      <c r="O393" s="318"/>
      <c r="P393" s="314"/>
      <c r="Q393" s="314"/>
      <c r="R393" s="314"/>
      <c r="S393" s="314"/>
      <c r="T393" s="324"/>
      <c r="U393" s="155"/>
      <c r="V393" s="155"/>
      <c r="W393" s="322"/>
      <c r="X393" s="155"/>
      <c r="Y393" s="132"/>
    </row>
    <row r="394">
      <c r="A394" s="311"/>
      <c r="B394" s="312"/>
      <c r="C394" s="313"/>
      <c r="D394" s="313"/>
      <c r="E394" s="314"/>
      <c r="F394" s="315"/>
      <c r="G394" s="316"/>
      <c r="H394" s="317"/>
      <c r="I394" s="318"/>
      <c r="J394" s="319"/>
      <c r="K394" s="314"/>
      <c r="L394" s="314"/>
      <c r="M394" s="314"/>
      <c r="N394" s="314"/>
      <c r="O394" s="318"/>
      <c r="P394" s="314"/>
      <c r="Q394" s="314"/>
      <c r="R394" s="314"/>
      <c r="S394" s="314"/>
      <c r="T394" s="324"/>
      <c r="U394" s="155"/>
      <c r="V394" s="155"/>
      <c r="W394" s="322"/>
      <c r="X394" s="155"/>
      <c r="Y394" s="132"/>
    </row>
    <row r="395">
      <c r="A395" s="311"/>
      <c r="B395" s="312"/>
      <c r="C395" s="313"/>
      <c r="D395" s="313"/>
      <c r="E395" s="314"/>
      <c r="F395" s="315"/>
      <c r="G395" s="316"/>
      <c r="H395" s="317"/>
      <c r="I395" s="318"/>
      <c r="J395" s="319"/>
      <c r="K395" s="314"/>
      <c r="L395" s="314"/>
      <c r="M395" s="314"/>
      <c r="N395" s="314"/>
      <c r="O395" s="318"/>
      <c r="P395" s="314"/>
      <c r="Q395" s="314"/>
      <c r="R395" s="314"/>
      <c r="S395" s="314"/>
      <c r="T395" s="324"/>
      <c r="U395" s="155"/>
      <c r="V395" s="155"/>
      <c r="W395" s="322"/>
      <c r="X395" s="155"/>
      <c r="Y395" s="132"/>
    </row>
    <row r="396">
      <c r="A396" s="311"/>
      <c r="B396" s="312"/>
      <c r="C396" s="313"/>
      <c r="D396" s="313"/>
      <c r="E396" s="314"/>
      <c r="F396" s="315"/>
      <c r="G396" s="316"/>
      <c r="H396" s="317"/>
      <c r="I396" s="318"/>
      <c r="J396" s="319"/>
      <c r="K396" s="314"/>
      <c r="L396" s="314"/>
      <c r="M396" s="314"/>
      <c r="N396" s="314"/>
      <c r="O396" s="318"/>
      <c r="P396" s="314"/>
      <c r="Q396" s="314"/>
      <c r="R396" s="314"/>
      <c r="S396" s="314"/>
      <c r="T396" s="324"/>
      <c r="U396" s="155"/>
      <c r="V396" s="155"/>
      <c r="W396" s="322"/>
      <c r="X396" s="155"/>
      <c r="Y396" s="132"/>
    </row>
    <row r="397">
      <c r="A397" s="311"/>
      <c r="B397" s="312"/>
      <c r="C397" s="313"/>
      <c r="D397" s="313"/>
      <c r="E397" s="314"/>
      <c r="F397" s="315"/>
      <c r="G397" s="316"/>
      <c r="H397" s="317"/>
      <c r="I397" s="318"/>
      <c r="J397" s="319"/>
      <c r="K397" s="314"/>
      <c r="L397" s="314"/>
      <c r="M397" s="314"/>
      <c r="N397" s="314"/>
      <c r="O397" s="318"/>
      <c r="P397" s="314"/>
      <c r="Q397" s="314"/>
      <c r="R397" s="314"/>
      <c r="S397" s="314"/>
      <c r="T397" s="324"/>
      <c r="U397" s="155"/>
      <c r="V397" s="155"/>
      <c r="W397" s="322"/>
      <c r="X397" s="155"/>
      <c r="Y397" s="132"/>
    </row>
    <row r="398">
      <c r="A398" s="311"/>
      <c r="B398" s="312"/>
      <c r="C398" s="313"/>
      <c r="D398" s="313"/>
      <c r="E398" s="314"/>
      <c r="F398" s="315"/>
      <c r="G398" s="316"/>
      <c r="H398" s="317"/>
      <c r="I398" s="318"/>
      <c r="J398" s="319"/>
      <c r="K398" s="314"/>
      <c r="L398" s="314"/>
      <c r="M398" s="314"/>
      <c r="N398" s="314"/>
      <c r="O398" s="318"/>
      <c r="P398" s="314"/>
      <c r="Q398" s="314"/>
      <c r="R398" s="314"/>
      <c r="S398" s="314"/>
      <c r="T398" s="324"/>
      <c r="U398" s="155"/>
      <c r="V398" s="155"/>
      <c r="W398" s="322"/>
      <c r="X398" s="155"/>
      <c r="Y398" s="132"/>
    </row>
    <row r="399">
      <c r="A399" s="311"/>
      <c r="B399" s="312"/>
      <c r="C399" s="313"/>
      <c r="D399" s="313"/>
      <c r="E399" s="314"/>
      <c r="F399" s="315"/>
      <c r="G399" s="316"/>
      <c r="H399" s="317"/>
      <c r="I399" s="318"/>
      <c r="J399" s="319"/>
      <c r="K399" s="314"/>
      <c r="L399" s="314"/>
      <c r="M399" s="314"/>
      <c r="N399" s="314"/>
      <c r="O399" s="318"/>
      <c r="P399" s="314"/>
      <c r="Q399" s="314"/>
      <c r="R399" s="314"/>
      <c r="S399" s="314"/>
      <c r="T399" s="324"/>
      <c r="U399" s="155"/>
      <c r="V399" s="155"/>
      <c r="W399" s="322"/>
      <c r="X399" s="155"/>
      <c r="Y399" s="132"/>
    </row>
    <row r="400">
      <c r="A400" s="311"/>
      <c r="B400" s="312"/>
      <c r="C400" s="313"/>
      <c r="D400" s="313"/>
      <c r="E400" s="314"/>
      <c r="F400" s="315"/>
      <c r="G400" s="316"/>
      <c r="H400" s="317"/>
      <c r="I400" s="318"/>
      <c r="J400" s="319"/>
      <c r="K400" s="314"/>
      <c r="L400" s="314"/>
      <c r="M400" s="314"/>
      <c r="N400" s="314"/>
      <c r="O400" s="318"/>
      <c r="P400" s="314"/>
      <c r="Q400" s="314"/>
      <c r="R400" s="314"/>
      <c r="S400" s="314"/>
      <c r="T400" s="324"/>
      <c r="U400" s="155"/>
      <c r="V400" s="155"/>
      <c r="W400" s="322"/>
      <c r="X400" s="155"/>
      <c r="Y400" s="132"/>
    </row>
    <row r="401">
      <c r="A401" s="311"/>
      <c r="B401" s="312"/>
      <c r="C401" s="313"/>
      <c r="D401" s="313"/>
      <c r="E401" s="314"/>
      <c r="F401" s="315"/>
      <c r="G401" s="316"/>
      <c r="H401" s="317"/>
      <c r="I401" s="318"/>
      <c r="J401" s="319"/>
      <c r="K401" s="314"/>
      <c r="L401" s="314"/>
      <c r="M401" s="314"/>
      <c r="N401" s="314"/>
      <c r="O401" s="318"/>
      <c r="P401" s="314"/>
      <c r="Q401" s="314"/>
      <c r="R401" s="314"/>
      <c r="S401" s="314"/>
      <c r="T401" s="324"/>
      <c r="U401" s="155"/>
      <c r="V401" s="155"/>
      <c r="W401" s="322"/>
      <c r="X401" s="155"/>
      <c r="Y401" s="132"/>
    </row>
    <row r="402">
      <c r="A402" s="311"/>
      <c r="B402" s="312"/>
      <c r="C402" s="313"/>
      <c r="D402" s="313"/>
      <c r="E402" s="314"/>
      <c r="F402" s="315"/>
      <c r="G402" s="316"/>
      <c r="H402" s="317"/>
      <c r="I402" s="318"/>
      <c r="J402" s="319"/>
      <c r="K402" s="314"/>
      <c r="L402" s="314"/>
      <c r="M402" s="314"/>
      <c r="N402" s="314"/>
      <c r="O402" s="318"/>
      <c r="P402" s="314"/>
      <c r="Q402" s="314"/>
      <c r="R402" s="314"/>
      <c r="S402" s="314"/>
      <c r="T402" s="324"/>
      <c r="U402" s="155"/>
      <c r="V402" s="155"/>
      <c r="W402" s="322"/>
      <c r="X402" s="155"/>
      <c r="Y402" s="132"/>
    </row>
    <row r="403">
      <c r="A403" s="311"/>
      <c r="B403" s="312"/>
      <c r="C403" s="313"/>
      <c r="D403" s="313"/>
      <c r="E403" s="314"/>
      <c r="F403" s="315"/>
      <c r="G403" s="316"/>
      <c r="H403" s="317"/>
      <c r="I403" s="318"/>
      <c r="J403" s="319"/>
      <c r="K403" s="314"/>
      <c r="L403" s="314"/>
      <c r="M403" s="314"/>
      <c r="N403" s="314"/>
      <c r="O403" s="318"/>
      <c r="P403" s="314"/>
      <c r="Q403" s="314"/>
      <c r="R403" s="314"/>
      <c r="S403" s="314"/>
      <c r="T403" s="324"/>
      <c r="U403" s="155"/>
      <c r="V403" s="155"/>
      <c r="W403" s="322"/>
      <c r="X403" s="155"/>
      <c r="Y403" s="132"/>
    </row>
    <row r="404">
      <c r="A404" s="311"/>
      <c r="B404" s="312"/>
      <c r="C404" s="313"/>
      <c r="D404" s="313"/>
      <c r="E404" s="314"/>
      <c r="F404" s="315"/>
      <c r="G404" s="316"/>
      <c r="H404" s="317"/>
      <c r="I404" s="318"/>
      <c r="J404" s="319"/>
      <c r="K404" s="314"/>
      <c r="L404" s="314"/>
      <c r="M404" s="314"/>
      <c r="N404" s="314"/>
      <c r="O404" s="318"/>
      <c r="P404" s="314"/>
      <c r="Q404" s="314"/>
      <c r="R404" s="314"/>
      <c r="S404" s="314"/>
      <c r="T404" s="324"/>
      <c r="U404" s="155"/>
      <c r="V404" s="155"/>
      <c r="W404" s="322"/>
      <c r="X404" s="155"/>
      <c r="Y404" s="132"/>
    </row>
    <row r="405">
      <c r="A405" s="311"/>
      <c r="B405" s="312"/>
      <c r="C405" s="313"/>
      <c r="D405" s="313"/>
      <c r="E405" s="314"/>
      <c r="F405" s="315"/>
      <c r="G405" s="316"/>
      <c r="H405" s="317"/>
      <c r="I405" s="318"/>
      <c r="J405" s="319"/>
      <c r="K405" s="314"/>
      <c r="L405" s="314"/>
      <c r="M405" s="314"/>
      <c r="N405" s="314"/>
      <c r="O405" s="318"/>
      <c r="P405" s="314"/>
      <c r="Q405" s="314"/>
      <c r="R405" s="314"/>
      <c r="S405" s="314"/>
      <c r="T405" s="324"/>
      <c r="U405" s="155"/>
      <c r="V405" s="155"/>
      <c r="W405" s="322"/>
      <c r="X405" s="155"/>
      <c r="Y405" s="132"/>
    </row>
    <row r="406">
      <c r="A406" s="311"/>
      <c r="B406" s="312"/>
      <c r="C406" s="313"/>
      <c r="D406" s="313"/>
      <c r="E406" s="314"/>
      <c r="F406" s="315"/>
      <c r="G406" s="316"/>
      <c r="H406" s="317"/>
      <c r="I406" s="318"/>
      <c r="J406" s="319"/>
      <c r="K406" s="314"/>
      <c r="L406" s="314"/>
      <c r="M406" s="314"/>
      <c r="N406" s="314"/>
      <c r="O406" s="318"/>
      <c r="P406" s="314"/>
      <c r="Q406" s="314"/>
      <c r="R406" s="314"/>
      <c r="S406" s="314"/>
      <c r="T406" s="324"/>
      <c r="U406" s="155"/>
      <c r="V406" s="155"/>
      <c r="W406" s="322"/>
      <c r="X406" s="155"/>
      <c r="Y406" s="132"/>
    </row>
    <row r="407">
      <c r="A407" s="311"/>
      <c r="B407" s="312"/>
      <c r="C407" s="313"/>
      <c r="D407" s="313"/>
      <c r="E407" s="314"/>
      <c r="F407" s="315"/>
      <c r="G407" s="316"/>
      <c r="H407" s="317"/>
      <c r="I407" s="318"/>
      <c r="J407" s="319"/>
      <c r="K407" s="314"/>
      <c r="L407" s="314"/>
      <c r="M407" s="314"/>
      <c r="N407" s="314"/>
      <c r="O407" s="318"/>
      <c r="P407" s="314"/>
      <c r="Q407" s="314"/>
      <c r="R407" s="314"/>
      <c r="S407" s="314"/>
      <c r="T407" s="324"/>
      <c r="U407" s="155"/>
      <c r="V407" s="155"/>
      <c r="W407" s="322"/>
      <c r="X407" s="155"/>
      <c r="Y407" s="132"/>
    </row>
    <row r="408">
      <c r="A408" s="311"/>
      <c r="B408" s="312"/>
      <c r="C408" s="313"/>
      <c r="D408" s="313"/>
      <c r="E408" s="314"/>
      <c r="F408" s="315"/>
      <c r="G408" s="316"/>
      <c r="H408" s="317"/>
      <c r="I408" s="318"/>
      <c r="J408" s="319"/>
      <c r="K408" s="314"/>
      <c r="L408" s="314"/>
      <c r="M408" s="314"/>
      <c r="N408" s="314"/>
      <c r="O408" s="318"/>
      <c r="P408" s="314"/>
      <c r="Q408" s="314"/>
      <c r="R408" s="314"/>
      <c r="S408" s="314"/>
      <c r="T408" s="324"/>
      <c r="U408" s="155"/>
      <c r="V408" s="155"/>
      <c r="W408" s="322"/>
      <c r="X408" s="155"/>
      <c r="Y408" s="132"/>
    </row>
    <row r="409">
      <c r="A409" s="311"/>
      <c r="B409" s="312"/>
      <c r="C409" s="313"/>
      <c r="D409" s="313"/>
      <c r="E409" s="314"/>
      <c r="F409" s="315"/>
      <c r="G409" s="316"/>
      <c r="H409" s="317"/>
      <c r="I409" s="318"/>
      <c r="J409" s="319"/>
      <c r="K409" s="314"/>
      <c r="L409" s="314"/>
      <c r="M409" s="314"/>
      <c r="N409" s="314"/>
      <c r="O409" s="318"/>
      <c r="P409" s="314"/>
      <c r="Q409" s="314"/>
      <c r="R409" s="314"/>
      <c r="S409" s="314"/>
      <c r="T409" s="324"/>
      <c r="U409" s="155"/>
      <c r="V409" s="155"/>
      <c r="W409" s="322"/>
      <c r="X409" s="155"/>
      <c r="Y409" s="132"/>
    </row>
    <row r="410">
      <c r="A410" s="311"/>
      <c r="B410" s="312"/>
      <c r="C410" s="313"/>
      <c r="D410" s="313"/>
      <c r="E410" s="314"/>
      <c r="F410" s="315"/>
      <c r="G410" s="316"/>
      <c r="H410" s="317"/>
      <c r="I410" s="318"/>
      <c r="J410" s="319"/>
      <c r="K410" s="314"/>
      <c r="L410" s="314"/>
      <c r="M410" s="314"/>
      <c r="N410" s="314"/>
      <c r="O410" s="318"/>
      <c r="P410" s="314"/>
      <c r="Q410" s="314"/>
      <c r="R410" s="314"/>
      <c r="S410" s="314"/>
      <c r="T410" s="324"/>
      <c r="U410" s="155"/>
      <c r="V410" s="155"/>
      <c r="W410" s="322"/>
      <c r="X410" s="155"/>
      <c r="Y410" s="132"/>
    </row>
    <row r="411">
      <c r="A411" s="311"/>
      <c r="B411" s="312"/>
      <c r="C411" s="313"/>
      <c r="D411" s="313"/>
      <c r="E411" s="314"/>
      <c r="F411" s="315"/>
      <c r="G411" s="316"/>
      <c r="H411" s="317"/>
      <c r="I411" s="318"/>
      <c r="J411" s="319"/>
      <c r="K411" s="314"/>
      <c r="L411" s="314"/>
      <c r="M411" s="314"/>
      <c r="N411" s="314"/>
      <c r="O411" s="318"/>
      <c r="P411" s="314"/>
      <c r="Q411" s="314"/>
      <c r="R411" s="314"/>
      <c r="S411" s="314"/>
      <c r="T411" s="324"/>
      <c r="U411" s="155"/>
      <c r="V411" s="155"/>
      <c r="W411" s="322"/>
      <c r="X411" s="155"/>
      <c r="Y411" s="132"/>
    </row>
    <row r="412">
      <c r="A412" s="311"/>
      <c r="B412" s="312"/>
      <c r="C412" s="313"/>
      <c r="D412" s="313"/>
      <c r="E412" s="314"/>
      <c r="F412" s="315"/>
      <c r="G412" s="316"/>
      <c r="H412" s="317"/>
      <c r="I412" s="318"/>
      <c r="J412" s="319"/>
      <c r="K412" s="314"/>
      <c r="L412" s="314"/>
      <c r="M412" s="314"/>
      <c r="N412" s="314"/>
      <c r="O412" s="318"/>
      <c r="P412" s="314"/>
      <c r="Q412" s="314"/>
      <c r="R412" s="314"/>
      <c r="S412" s="314"/>
      <c r="T412" s="324"/>
      <c r="U412" s="155"/>
      <c r="V412" s="155"/>
      <c r="W412" s="322"/>
      <c r="X412" s="155"/>
      <c r="Y412" s="132"/>
    </row>
    <row r="413">
      <c r="A413" s="311"/>
      <c r="B413" s="312"/>
      <c r="C413" s="313"/>
      <c r="D413" s="313"/>
      <c r="E413" s="314"/>
      <c r="F413" s="315"/>
      <c r="G413" s="316"/>
      <c r="H413" s="317"/>
      <c r="I413" s="318"/>
      <c r="J413" s="319"/>
      <c r="K413" s="314"/>
      <c r="L413" s="314"/>
      <c r="M413" s="314"/>
      <c r="N413" s="314"/>
      <c r="O413" s="318"/>
      <c r="P413" s="314"/>
      <c r="Q413" s="314"/>
      <c r="R413" s="314"/>
      <c r="S413" s="314"/>
      <c r="T413" s="324"/>
      <c r="U413" s="155"/>
      <c r="V413" s="155"/>
      <c r="W413" s="322"/>
      <c r="X413" s="155"/>
      <c r="Y413" s="132"/>
    </row>
    <row r="414">
      <c r="A414" s="311"/>
      <c r="B414" s="312"/>
      <c r="C414" s="313"/>
      <c r="D414" s="313"/>
      <c r="E414" s="314"/>
      <c r="F414" s="315"/>
      <c r="G414" s="316"/>
      <c r="H414" s="317"/>
      <c r="I414" s="318"/>
      <c r="J414" s="319"/>
      <c r="K414" s="314"/>
      <c r="L414" s="314"/>
      <c r="M414" s="314"/>
      <c r="N414" s="314"/>
      <c r="O414" s="318"/>
      <c r="P414" s="314"/>
      <c r="Q414" s="314"/>
      <c r="R414" s="314"/>
      <c r="S414" s="314"/>
      <c r="T414" s="324"/>
      <c r="U414" s="155"/>
      <c r="V414" s="155"/>
      <c r="W414" s="322"/>
      <c r="X414" s="155"/>
      <c r="Y414" s="132"/>
    </row>
    <row r="415">
      <c r="A415" s="311"/>
      <c r="B415" s="312"/>
      <c r="C415" s="313"/>
      <c r="D415" s="313"/>
      <c r="E415" s="314"/>
      <c r="F415" s="315"/>
      <c r="G415" s="316"/>
      <c r="H415" s="317"/>
      <c r="I415" s="318"/>
      <c r="J415" s="319"/>
      <c r="K415" s="314"/>
      <c r="L415" s="314"/>
      <c r="M415" s="314"/>
      <c r="N415" s="314"/>
      <c r="O415" s="318"/>
      <c r="P415" s="314"/>
      <c r="Q415" s="314"/>
      <c r="R415" s="314"/>
      <c r="S415" s="314"/>
      <c r="T415" s="324"/>
      <c r="U415" s="155"/>
      <c r="V415" s="155"/>
      <c r="W415" s="322"/>
      <c r="X415" s="155"/>
      <c r="Y415" s="132"/>
    </row>
    <row r="416">
      <c r="A416" s="311"/>
      <c r="B416" s="312"/>
      <c r="C416" s="313"/>
      <c r="D416" s="313"/>
      <c r="E416" s="314"/>
      <c r="F416" s="315"/>
      <c r="G416" s="316"/>
      <c r="H416" s="317"/>
      <c r="I416" s="318"/>
      <c r="J416" s="319"/>
      <c r="K416" s="314"/>
      <c r="L416" s="314"/>
      <c r="M416" s="314"/>
      <c r="N416" s="314"/>
      <c r="O416" s="318"/>
      <c r="P416" s="314"/>
      <c r="Q416" s="314"/>
      <c r="R416" s="314"/>
      <c r="S416" s="314"/>
      <c r="T416" s="324"/>
      <c r="U416" s="155"/>
      <c r="V416" s="155"/>
      <c r="W416" s="322"/>
      <c r="X416" s="155"/>
      <c r="Y416" s="132"/>
    </row>
    <row r="417">
      <c r="A417" s="311"/>
      <c r="B417" s="312"/>
      <c r="C417" s="313"/>
      <c r="D417" s="313"/>
      <c r="E417" s="314"/>
      <c r="F417" s="315"/>
      <c r="G417" s="316"/>
      <c r="H417" s="317"/>
      <c r="I417" s="318"/>
      <c r="J417" s="319"/>
      <c r="K417" s="314"/>
      <c r="L417" s="314"/>
      <c r="M417" s="314"/>
      <c r="N417" s="314"/>
      <c r="O417" s="318"/>
      <c r="P417" s="314"/>
      <c r="Q417" s="314"/>
      <c r="R417" s="314"/>
      <c r="S417" s="314"/>
      <c r="T417" s="324"/>
      <c r="U417" s="155"/>
      <c r="V417" s="155"/>
      <c r="W417" s="322"/>
      <c r="X417" s="155"/>
      <c r="Y417" s="132"/>
    </row>
    <row r="418">
      <c r="A418" s="311"/>
      <c r="B418" s="312"/>
      <c r="C418" s="313"/>
      <c r="D418" s="313"/>
      <c r="E418" s="314"/>
      <c r="F418" s="315"/>
      <c r="G418" s="316"/>
      <c r="H418" s="317"/>
      <c r="I418" s="318"/>
      <c r="J418" s="319"/>
      <c r="K418" s="314"/>
      <c r="L418" s="314"/>
      <c r="M418" s="314"/>
      <c r="N418" s="314"/>
      <c r="O418" s="318"/>
      <c r="P418" s="314"/>
      <c r="Q418" s="314"/>
      <c r="R418" s="314"/>
      <c r="S418" s="314"/>
      <c r="T418" s="324"/>
      <c r="U418" s="155"/>
      <c r="V418" s="155"/>
      <c r="W418" s="322"/>
      <c r="X418" s="155"/>
      <c r="Y418" s="132"/>
    </row>
    <row r="419">
      <c r="A419" s="311"/>
      <c r="B419" s="312"/>
      <c r="C419" s="313"/>
      <c r="D419" s="313"/>
      <c r="E419" s="314"/>
      <c r="F419" s="315"/>
      <c r="G419" s="316"/>
      <c r="H419" s="317"/>
      <c r="I419" s="318"/>
      <c r="J419" s="319"/>
      <c r="K419" s="314"/>
      <c r="L419" s="314"/>
      <c r="M419" s="314"/>
      <c r="N419" s="314"/>
      <c r="O419" s="318"/>
      <c r="P419" s="314"/>
      <c r="Q419" s="314"/>
      <c r="R419" s="314"/>
      <c r="S419" s="314"/>
      <c r="T419" s="324"/>
      <c r="U419" s="155"/>
      <c r="V419" s="155"/>
      <c r="W419" s="322"/>
      <c r="X419" s="155"/>
      <c r="Y419" s="132"/>
    </row>
    <row r="420">
      <c r="A420" s="311"/>
      <c r="B420" s="312"/>
      <c r="C420" s="313"/>
      <c r="D420" s="313"/>
      <c r="E420" s="314"/>
      <c r="F420" s="315"/>
      <c r="G420" s="316"/>
      <c r="H420" s="317"/>
      <c r="I420" s="318"/>
      <c r="J420" s="319"/>
      <c r="K420" s="314"/>
      <c r="L420" s="314"/>
      <c r="M420" s="314"/>
      <c r="N420" s="314"/>
      <c r="O420" s="318"/>
      <c r="P420" s="314"/>
      <c r="Q420" s="314"/>
      <c r="R420" s="314"/>
      <c r="S420" s="314"/>
      <c r="T420" s="324"/>
      <c r="U420" s="155"/>
      <c r="V420" s="155"/>
      <c r="W420" s="322"/>
      <c r="X420" s="155"/>
      <c r="Y420" s="132"/>
    </row>
    <row r="421">
      <c r="A421" s="311"/>
      <c r="B421" s="312"/>
      <c r="C421" s="313"/>
      <c r="D421" s="313"/>
      <c r="E421" s="314"/>
      <c r="F421" s="315"/>
      <c r="G421" s="316"/>
      <c r="H421" s="317"/>
      <c r="I421" s="318"/>
      <c r="J421" s="319"/>
      <c r="K421" s="314"/>
      <c r="L421" s="314"/>
      <c r="M421" s="314"/>
      <c r="N421" s="314"/>
      <c r="O421" s="318"/>
      <c r="P421" s="314"/>
      <c r="Q421" s="314"/>
      <c r="R421" s="314"/>
      <c r="S421" s="314"/>
      <c r="T421" s="324"/>
      <c r="U421" s="155"/>
      <c r="V421" s="155"/>
      <c r="W421" s="322"/>
      <c r="X421" s="155"/>
      <c r="Y421" s="132"/>
    </row>
    <row r="422">
      <c r="A422" s="311"/>
      <c r="B422" s="312"/>
      <c r="C422" s="313"/>
      <c r="D422" s="313"/>
      <c r="E422" s="314"/>
      <c r="F422" s="315"/>
      <c r="G422" s="316"/>
      <c r="H422" s="317"/>
      <c r="I422" s="318"/>
      <c r="J422" s="319"/>
      <c r="K422" s="314"/>
      <c r="L422" s="314"/>
      <c r="M422" s="314"/>
      <c r="N422" s="314"/>
      <c r="O422" s="318"/>
      <c r="P422" s="314"/>
      <c r="Q422" s="314"/>
      <c r="R422" s="314"/>
      <c r="S422" s="314"/>
      <c r="T422" s="324"/>
      <c r="U422" s="155"/>
      <c r="V422" s="155"/>
      <c r="W422" s="322"/>
      <c r="X422" s="155"/>
      <c r="Y422" s="132"/>
    </row>
    <row r="423">
      <c r="A423" s="311"/>
      <c r="B423" s="312"/>
      <c r="C423" s="313"/>
      <c r="D423" s="313"/>
      <c r="E423" s="314"/>
      <c r="F423" s="315"/>
      <c r="G423" s="316"/>
      <c r="H423" s="317"/>
      <c r="I423" s="318"/>
      <c r="J423" s="319"/>
      <c r="K423" s="314"/>
      <c r="L423" s="314"/>
      <c r="M423" s="314"/>
      <c r="N423" s="314"/>
      <c r="O423" s="318"/>
      <c r="P423" s="314"/>
      <c r="Q423" s="314"/>
      <c r="R423" s="314"/>
      <c r="S423" s="314"/>
      <c r="T423" s="324"/>
      <c r="U423" s="155"/>
      <c r="V423" s="155"/>
      <c r="W423" s="322"/>
      <c r="X423" s="155"/>
      <c r="Y423" s="132"/>
    </row>
    <row r="424">
      <c r="A424" s="311"/>
      <c r="B424" s="312"/>
      <c r="C424" s="313"/>
      <c r="D424" s="313"/>
      <c r="E424" s="314"/>
      <c r="F424" s="315"/>
      <c r="G424" s="316"/>
      <c r="H424" s="317"/>
      <c r="I424" s="318"/>
      <c r="J424" s="319"/>
      <c r="K424" s="314"/>
      <c r="L424" s="314"/>
      <c r="M424" s="314"/>
      <c r="N424" s="314"/>
      <c r="O424" s="318"/>
      <c r="P424" s="314"/>
      <c r="Q424" s="314"/>
      <c r="R424" s="314"/>
      <c r="S424" s="314"/>
      <c r="T424" s="324"/>
      <c r="U424" s="155"/>
      <c r="V424" s="155"/>
      <c r="W424" s="322"/>
      <c r="X424" s="155"/>
      <c r="Y424" s="132"/>
    </row>
    <row r="425">
      <c r="A425" s="311"/>
      <c r="B425" s="312"/>
      <c r="C425" s="313"/>
      <c r="D425" s="313"/>
      <c r="E425" s="314"/>
      <c r="F425" s="315"/>
      <c r="G425" s="316"/>
      <c r="H425" s="317"/>
      <c r="I425" s="318"/>
      <c r="J425" s="319"/>
      <c r="K425" s="314"/>
      <c r="L425" s="314"/>
      <c r="M425" s="314"/>
      <c r="N425" s="314"/>
      <c r="O425" s="318"/>
      <c r="P425" s="314"/>
      <c r="Q425" s="314"/>
      <c r="R425" s="314"/>
      <c r="S425" s="314"/>
      <c r="T425" s="324"/>
      <c r="U425" s="155"/>
      <c r="V425" s="155"/>
      <c r="W425" s="322"/>
      <c r="X425" s="155"/>
      <c r="Y425" s="132"/>
    </row>
    <row r="426">
      <c r="A426" s="311"/>
      <c r="B426" s="312"/>
      <c r="C426" s="313"/>
      <c r="D426" s="313"/>
      <c r="E426" s="314"/>
      <c r="F426" s="315"/>
      <c r="G426" s="316"/>
      <c r="H426" s="317"/>
      <c r="I426" s="318"/>
      <c r="J426" s="319"/>
      <c r="K426" s="314"/>
      <c r="L426" s="314"/>
      <c r="M426" s="314"/>
      <c r="N426" s="314"/>
      <c r="O426" s="318"/>
      <c r="P426" s="314"/>
      <c r="Q426" s="314"/>
      <c r="R426" s="314"/>
      <c r="S426" s="314"/>
      <c r="T426" s="324"/>
      <c r="U426" s="155"/>
      <c r="V426" s="155"/>
      <c r="W426" s="322"/>
      <c r="X426" s="155"/>
      <c r="Y426" s="132"/>
    </row>
    <row r="427">
      <c r="A427" s="311"/>
      <c r="B427" s="312"/>
      <c r="C427" s="313"/>
      <c r="D427" s="313"/>
      <c r="E427" s="314"/>
      <c r="F427" s="315"/>
      <c r="G427" s="316"/>
      <c r="H427" s="317"/>
      <c r="I427" s="318"/>
      <c r="J427" s="319"/>
      <c r="K427" s="314"/>
      <c r="L427" s="314"/>
      <c r="M427" s="314"/>
      <c r="N427" s="314"/>
      <c r="O427" s="318"/>
      <c r="P427" s="314"/>
      <c r="Q427" s="314"/>
      <c r="R427" s="314"/>
      <c r="S427" s="314"/>
      <c r="T427" s="324"/>
      <c r="U427" s="155"/>
      <c r="V427" s="155"/>
      <c r="W427" s="322"/>
      <c r="X427" s="155"/>
      <c r="Y427" s="132"/>
    </row>
    <row r="428">
      <c r="A428" s="311"/>
      <c r="B428" s="312"/>
      <c r="C428" s="313"/>
      <c r="D428" s="313"/>
      <c r="E428" s="314"/>
      <c r="F428" s="315"/>
      <c r="G428" s="316"/>
      <c r="H428" s="317"/>
      <c r="I428" s="318"/>
      <c r="J428" s="319"/>
      <c r="K428" s="314"/>
      <c r="L428" s="314"/>
      <c r="M428" s="314"/>
      <c r="N428" s="314"/>
      <c r="O428" s="318"/>
      <c r="P428" s="314"/>
      <c r="Q428" s="314"/>
      <c r="R428" s="314"/>
      <c r="S428" s="314"/>
      <c r="T428" s="324"/>
      <c r="U428" s="155"/>
      <c r="V428" s="155"/>
      <c r="W428" s="322"/>
      <c r="X428" s="155"/>
      <c r="Y428" s="132"/>
    </row>
    <row r="429">
      <c r="A429" s="311"/>
      <c r="B429" s="312"/>
      <c r="C429" s="313"/>
      <c r="D429" s="313"/>
      <c r="E429" s="314"/>
      <c r="F429" s="315"/>
      <c r="G429" s="316"/>
      <c r="H429" s="317"/>
      <c r="I429" s="318"/>
      <c r="J429" s="319"/>
      <c r="K429" s="314"/>
      <c r="L429" s="314"/>
      <c r="M429" s="314"/>
      <c r="N429" s="314"/>
      <c r="O429" s="318"/>
      <c r="P429" s="314"/>
      <c r="Q429" s="314"/>
      <c r="R429" s="314"/>
      <c r="S429" s="314"/>
      <c r="T429" s="324"/>
      <c r="U429" s="155"/>
      <c r="V429" s="155"/>
      <c r="W429" s="322"/>
      <c r="X429" s="132"/>
      <c r="Y429" s="132"/>
    </row>
    <row r="430">
      <c r="A430" s="311"/>
      <c r="B430" s="312"/>
      <c r="C430" s="313"/>
      <c r="D430" s="313"/>
      <c r="E430" s="314"/>
      <c r="F430" s="315"/>
      <c r="G430" s="316"/>
      <c r="H430" s="317"/>
      <c r="I430" s="318"/>
      <c r="J430" s="319"/>
      <c r="K430" s="314"/>
      <c r="L430" s="314"/>
      <c r="M430" s="314"/>
      <c r="N430" s="314"/>
      <c r="O430" s="318"/>
      <c r="P430" s="314"/>
      <c r="Q430" s="314"/>
      <c r="R430" s="314"/>
      <c r="S430" s="314"/>
      <c r="T430" s="324"/>
      <c r="U430" s="155"/>
      <c r="V430" s="155"/>
      <c r="W430" s="322"/>
      <c r="X430" s="132"/>
      <c r="Y430" s="132"/>
    </row>
    <row r="431">
      <c r="A431" s="311"/>
      <c r="B431" s="312"/>
      <c r="C431" s="313"/>
      <c r="D431" s="313"/>
      <c r="E431" s="314"/>
      <c r="F431" s="315"/>
      <c r="G431" s="316"/>
      <c r="H431" s="317"/>
      <c r="I431" s="318"/>
      <c r="J431" s="319"/>
      <c r="K431" s="314"/>
      <c r="L431" s="314"/>
      <c r="M431" s="314"/>
      <c r="N431" s="314"/>
      <c r="O431" s="318"/>
      <c r="P431" s="314"/>
      <c r="Q431" s="314"/>
      <c r="R431" s="314"/>
      <c r="S431" s="314"/>
      <c r="T431" s="324"/>
      <c r="U431" s="155"/>
      <c r="V431" s="155"/>
      <c r="W431" s="322"/>
      <c r="X431" s="132"/>
      <c r="Y431" s="132"/>
    </row>
    <row r="432">
      <c r="A432" s="311"/>
      <c r="B432" s="312"/>
      <c r="C432" s="313"/>
      <c r="D432" s="313"/>
      <c r="E432" s="314"/>
      <c r="F432" s="315"/>
      <c r="G432" s="316"/>
      <c r="H432" s="317"/>
      <c r="I432" s="318"/>
      <c r="J432" s="319"/>
      <c r="K432" s="314"/>
      <c r="L432" s="314"/>
      <c r="M432" s="314"/>
      <c r="N432" s="314"/>
      <c r="O432" s="318"/>
      <c r="P432" s="314"/>
      <c r="Q432" s="314"/>
      <c r="R432" s="314"/>
      <c r="S432" s="314"/>
      <c r="T432" s="324"/>
      <c r="U432" s="155"/>
      <c r="V432" s="155"/>
      <c r="W432" s="322"/>
      <c r="X432" s="132"/>
      <c r="Y432" s="132"/>
    </row>
    <row r="433">
      <c r="A433" s="311"/>
      <c r="B433" s="312"/>
      <c r="C433" s="313"/>
      <c r="D433" s="313"/>
      <c r="E433" s="314"/>
      <c r="F433" s="315"/>
      <c r="G433" s="316"/>
      <c r="H433" s="317"/>
      <c r="I433" s="318"/>
      <c r="J433" s="319"/>
      <c r="K433" s="314"/>
      <c r="L433" s="314"/>
      <c r="M433" s="314"/>
      <c r="N433" s="314"/>
      <c r="O433" s="318"/>
      <c r="P433" s="314"/>
      <c r="Q433" s="314"/>
      <c r="R433" s="314"/>
      <c r="S433" s="314"/>
      <c r="T433" s="324"/>
      <c r="U433" s="155"/>
      <c r="V433" s="155"/>
      <c r="W433" s="322"/>
      <c r="X433" s="132"/>
      <c r="Y433" s="132"/>
    </row>
    <row r="434">
      <c r="A434" s="311"/>
      <c r="B434" s="312"/>
      <c r="C434" s="313"/>
      <c r="D434" s="313"/>
      <c r="E434" s="314"/>
      <c r="F434" s="315"/>
      <c r="G434" s="316"/>
      <c r="H434" s="317"/>
      <c r="I434" s="318"/>
      <c r="J434" s="319"/>
      <c r="K434" s="314"/>
      <c r="L434" s="314"/>
      <c r="M434" s="314"/>
      <c r="N434" s="314"/>
      <c r="O434" s="318"/>
      <c r="P434" s="314"/>
      <c r="Q434" s="314"/>
      <c r="R434" s="314"/>
      <c r="S434" s="314"/>
      <c r="T434" s="324"/>
      <c r="U434" s="155"/>
      <c r="V434" s="155"/>
      <c r="W434" s="322"/>
      <c r="X434" s="132"/>
      <c r="Y434" s="132"/>
    </row>
    <row r="435">
      <c r="A435" s="311"/>
      <c r="B435" s="312"/>
      <c r="C435" s="313"/>
      <c r="D435" s="313"/>
      <c r="E435" s="314"/>
      <c r="F435" s="315"/>
      <c r="G435" s="316"/>
      <c r="H435" s="317"/>
      <c r="I435" s="318"/>
      <c r="J435" s="319"/>
      <c r="K435" s="314"/>
      <c r="L435" s="314"/>
      <c r="M435" s="314"/>
      <c r="N435" s="314"/>
      <c r="O435" s="318"/>
      <c r="P435" s="314"/>
      <c r="Q435" s="314"/>
      <c r="R435" s="314"/>
      <c r="S435" s="314"/>
      <c r="T435" s="324"/>
      <c r="U435" s="155"/>
      <c r="V435" s="155"/>
      <c r="W435" s="322"/>
      <c r="X435" s="132"/>
      <c r="Y435" s="132"/>
    </row>
    <row r="436">
      <c r="A436" s="311"/>
      <c r="B436" s="312"/>
      <c r="C436" s="313"/>
      <c r="D436" s="313"/>
      <c r="E436" s="314"/>
      <c r="F436" s="315"/>
      <c r="G436" s="316"/>
      <c r="H436" s="317"/>
      <c r="I436" s="318"/>
      <c r="J436" s="319"/>
      <c r="K436" s="314"/>
      <c r="L436" s="314"/>
      <c r="M436" s="314"/>
      <c r="N436" s="314"/>
      <c r="O436" s="318"/>
      <c r="P436" s="314"/>
      <c r="Q436" s="314"/>
      <c r="R436" s="314"/>
      <c r="S436" s="314"/>
      <c r="T436" s="324"/>
      <c r="U436" s="155"/>
      <c r="V436" s="155"/>
      <c r="W436" s="322"/>
      <c r="X436" s="132"/>
      <c r="Y436" s="132"/>
    </row>
    <row r="437">
      <c r="A437" s="311"/>
      <c r="B437" s="312"/>
      <c r="C437" s="313"/>
      <c r="D437" s="313"/>
      <c r="E437" s="314"/>
      <c r="F437" s="315"/>
      <c r="G437" s="316"/>
      <c r="H437" s="317"/>
      <c r="I437" s="318"/>
      <c r="J437" s="319"/>
      <c r="K437" s="314"/>
      <c r="L437" s="314"/>
      <c r="M437" s="314"/>
      <c r="N437" s="314"/>
      <c r="O437" s="318"/>
      <c r="P437" s="314"/>
      <c r="Q437" s="314"/>
      <c r="R437" s="314"/>
      <c r="S437" s="314"/>
      <c r="T437" s="324"/>
      <c r="U437" s="155"/>
      <c r="V437" s="155"/>
      <c r="W437" s="322"/>
      <c r="X437" s="132"/>
      <c r="Y437" s="132"/>
    </row>
    <row r="438">
      <c r="A438" s="311"/>
      <c r="B438" s="312"/>
      <c r="C438" s="313"/>
      <c r="D438" s="313"/>
      <c r="E438" s="314"/>
      <c r="F438" s="315"/>
      <c r="G438" s="316"/>
      <c r="H438" s="317"/>
      <c r="I438" s="318"/>
      <c r="J438" s="319"/>
      <c r="K438" s="314"/>
      <c r="L438" s="314"/>
      <c r="M438" s="314"/>
      <c r="N438" s="314"/>
      <c r="O438" s="318"/>
      <c r="P438" s="314"/>
      <c r="Q438" s="314"/>
      <c r="R438" s="314"/>
      <c r="S438" s="314"/>
      <c r="T438" s="324"/>
      <c r="U438" s="155"/>
      <c r="V438" s="155"/>
      <c r="W438" s="322"/>
      <c r="X438" s="132"/>
      <c r="Y438" s="132"/>
    </row>
    <row r="439">
      <c r="A439" s="311"/>
      <c r="B439" s="312"/>
      <c r="C439" s="313"/>
      <c r="D439" s="313"/>
      <c r="E439" s="314"/>
      <c r="F439" s="315"/>
      <c r="G439" s="316"/>
      <c r="H439" s="317"/>
      <c r="I439" s="318"/>
      <c r="J439" s="319"/>
      <c r="K439" s="314"/>
      <c r="L439" s="314"/>
      <c r="M439" s="314"/>
      <c r="N439" s="314"/>
      <c r="O439" s="318"/>
      <c r="P439" s="314"/>
      <c r="Q439" s="314"/>
      <c r="R439" s="314"/>
      <c r="S439" s="314"/>
      <c r="T439" s="324"/>
      <c r="U439" s="155"/>
      <c r="V439" s="155"/>
      <c r="W439" s="322"/>
      <c r="X439" s="132"/>
      <c r="Y439" s="132"/>
    </row>
    <row r="440">
      <c r="A440" s="311"/>
      <c r="B440" s="312"/>
      <c r="C440" s="313"/>
      <c r="D440" s="313"/>
      <c r="E440" s="314"/>
      <c r="F440" s="315"/>
      <c r="G440" s="316"/>
      <c r="H440" s="317"/>
      <c r="I440" s="318"/>
      <c r="J440" s="319"/>
      <c r="K440" s="314"/>
      <c r="L440" s="314"/>
      <c r="M440" s="314"/>
      <c r="N440" s="314"/>
      <c r="O440" s="318"/>
      <c r="P440" s="314"/>
      <c r="Q440" s="314"/>
      <c r="R440" s="314"/>
      <c r="S440" s="314"/>
      <c r="T440" s="324"/>
      <c r="U440" s="155"/>
      <c r="V440" s="155"/>
      <c r="W440" s="322"/>
      <c r="X440" s="132"/>
      <c r="Y440" s="132"/>
    </row>
    <row r="441">
      <c r="A441" s="311"/>
      <c r="B441" s="312"/>
      <c r="C441" s="313"/>
      <c r="D441" s="313"/>
      <c r="E441" s="314"/>
      <c r="F441" s="315"/>
      <c r="G441" s="316"/>
      <c r="H441" s="317"/>
      <c r="I441" s="318"/>
      <c r="J441" s="319"/>
      <c r="K441" s="314"/>
      <c r="L441" s="314"/>
      <c r="M441" s="314"/>
      <c r="N441" s="314"/>
      <c r="O441" s="318"/>
      <c r="P441" s="314"/>
      <c r="Q441" s="314"/>
      <c r="R441" s="314"/>
      <c r="S441" s="314"/>
      <c r="T441" s="324"/>
      <c r="U441" s="155"/>
      <c r="V441" s="155"/>
      <c r="W441" s="322"/>
      <c r="X441" s="132"/>
      <c r="Y441" s="132"/>
    </row>
    <row r="442">
      <c r="A442" s="311"/>
      <c r="B442" s="312"/>
      <c r="C442" s="313"/>
      <c r="D442" s="313"/>
      <c r="E442" s="314"/>
      <c r="F442" s="315"/>
      <c r="G442" s="316"/>
      <c r="H442" s="317"/>
      <c r="I442" s="318"/>
      <c r="J442" s="319"/>
      <c r="K442" s="314"/>
      <c r="L442" s="314"/>
      <c r="M442" s="314"/>
      <c r="N442" s="314"/>
      <c r="O442" s="318"/>
      <c r="P442" s="314"/>
      <c r="Q442" s="314"/>
      <c r="R442" s="314"/>
      <c r="S442" s="314"/>
      <c r="T442" s="324"/>
      <c r="U442" s="155"/>
      <c r="V442" s="155"/>
      <c r="W442" s="322"/>
      <c r="X442" s="132"/>
      <c r="Y442" s="132"/>
    </row>
    <row r="443">
      <c r="A443" s="311"/>
      <c r="B443" s="312"/>
      <c r="C443" s="313"/>
      <c r="D443" s="313"/>
      <c r="E443" s="314"/>
      <c r="F443" s="315"/>
      <c r="G443" s="316"/>
      <c r="H443" s="317"/>
      <c r="I443" s="318"/>
      <c r="J443" s="319"/>
      <c r="K443" s="314"/>
      <c r="L443" s="314"/>
      <c r="M443" s="314"/>
      <c r="N443" s="314"/>
      <c r="O443" s="318"/>
      <c r="P443" s="314"/>
      <c r="Q443" s="314"/>
      <c r="R443" s="314"/>
      <c r="S443" s="314"/>
      <c r="T443" s="324"/>
      <c r="U443" s="155"/>
      <c r="V443" s="155"/>
      <c r="W443" s="322"/>
      <c r="X443" s="132"/>
      <c r="Y443" s="132"/>
    </row>
    <row r="444">
      <c r="A444" s="311"/>
      <c r="B444" s="312"/>
      <c r="C444" s="313"/>
      <c r="D444" s="313"/>
      <c r="E444" s="314"/>
      <c r="F444" s="315"/>
      <c r="G444" s="316"/>
      <c r="H444" s="317"/>
      <c r="I444" s="318"/>
      <c r="J444" s="319"/>
      <c r="K444" s="314"/>
      <c r="L444" s="314"/>
      <c r="M444" s="314"/>
      <c r="N444" s="314"/>
      <c r="O444" s="318"/>
      <c r="P444" s="314"/>
      <c r="Q444" s="314"/>
      <c r="R444" s="314"/>
      <c r="S444" s="314"/>
      <c r="T444" s="324"/>
      <c r="U444" s="155"/>
      <c r="V444" s="155"/>
      <c r="W444" s="322"/>
      <c r="X444" s="132"/>
      <c r="Y444" s="132"/>
    </row>
    <row r="445">
      <c r="A445" s="311"/>
      <c r="B445" s="312"/>
      <c r="C445" s="313"/>
      <c r="D445" s="313"/>
      <c r="E445" s="314"/>
      <c r="F445" s="315"/>
      <c r="G445" s="316"/>
      <c r="H445" s="317"/>
      <c r="I445" s="318"/>
      <c r="J445" s="319"/>
      <c r="K445" s="314"/>
      <c r="L445" s="314"/>
      <c r="M445" s="314"/>
      <c r="N445" s="314"/>
      <c r="O445" s="318"/>
      <c r="P445" s="314"/>
      <c r="Q445" s="314"/>
      <c r="R445" s="314"/>
      <c r="S445" s="314"/>
      <c r="T445" s="324"/>
      <c r="U445" s="155"/>
      <c r="V445" s="155"/>
      <c r="W445" s="322"/>
      <c r="X445" s="132"/>
      <c r="Y445" s="132"/>
    </row>
    <row r="446">
      <c r="A446" s="311"/>
      <c r="B446" s="312"/>
      <c r="C446" s="313"/>
      <c r="D446" s="313"/>
      <c r="E446" s="314"/>
      <c r="F446" s="315"/>
      <c r="G446" s="316"/>
      <c r="H446" s="317"/>
      <c r="I446" s="318"/>
      <c r="J446" s="319"/>
      <c r="K446" s="314"/>
      <c r="L446" s="314"/>
      <c r="M446" s="314"/>
      <c r="N446" s="314"/>
      <c r="O446" s="318"/>
      <c r="P446" s="314"/>
      <c r="Q446" s="314"/>
      <c r="R446" s="314"/>
      <c r="S446" s="314"/>
      <c r="T446" s="324"/>
      <c r="U446" s="155"/>
      <c r="V446" s="155"/>
      <c r="W446" s="322"/>
      <c r="X446" s="132"/>
      <c r="Y446" s="132"/>
    </row>
    <row r="447">
      <c r="A447" s="311"/>
      <c r="B447" s="312"/>
      <c r="C447" s="313"/>
      <c r="D447" s="313"/>
      <c r="E447" s="314"/>
      <c r="F447" s="315"/>
      <c r="G447" s="316"/>
      <c r="H447" s="317"/>
      <c r="I447" s="318"/>
      <c r="J447" s="319"/>
      <c r="K447" s="314"/>
      <c r="L447" s="314"/>
      <c r="M447" s="314"/>
      <c r="N447" s="314"/>
      <c r="O447" s="318"/>
      <c r="P447" s="314"/>
      <c r="Q447" s="314"/>
      <c r="R447" s="314"/>
      <c r="S447" s="314"/>
      <c r="T447" s="324"/>
      <c r="U447" s="155"/>
      <c r="V447" s="155"/>
      <c r="W447" s="322"/>
      <c r="X447" s="132"/>
      <c r="Y447" s="132"/>
    </row>
    <row r="448">
      <c r="A448" s="311"/>
      <c r="B448" s="312"/>
      <c r="C448" s="313"/>
      <c r="D448" s="313"/>
      <c r="E448" s="314"/>
      <c r="F448" s="315"/>
      <c r="G448" s="316"/>
      <c r="H448" s="317"/>
      <c r="I448" s="318"/>
      <c r="J448" s="319"/>
      <c r="K448" s="314"/>
      <c r="L448" s="314"/>
      <c r="M448" s="314"/>
      <c r="N448" s="314"/>
      <c r="O448" s="318"/>
      <c r="P448" s="314"/>
      <c r="Q448" s="314"/>
      <c r="R448" s="314"/>
      <c r="S448" s="314"/>
      <c r="T448" s="324"/>
      <c r="U448" s="155"/>
      <c r="V448" s="155"/>
      <c r="W448" s="322"/>
      <c r="X448" s="132"/>
      <c r="Y448" s="132"/>
    </row>
    <row r="449">
      <c r="A449" s="311"/>
      <c r="B449" s="312"/>
      <c r="C449" s="313"/>
      <c r="D449" s="313"/>
      <c r="E449" s="314"/>
      <c r="F449" s="315"/>
      <c r="G449" s="316"/>
      <c r="H449" s="317"/>
      <c r="I449" s="318"/>
      <c r="J449" s="319"/>
      <c r="K449" s="314"/>
      <c r="L449" s="314"/>
      <c r="M449" s="314"/>
      <c r="N449" s="314"/>
      <c r="O449" s="318"/>
      <c r="P449" s="314"/>
      <c r="Q449" s="314"/>
      <c r="R449" s="314"/>
      <c r="S449" s="314"/>
      <c r="T449" s="324"/>
      <c r="U449" s="155"/>
      <c r="V449" s="155"/>
      <c r="W449" s="322"/>
      <c r="X449" s="132"/>
      <c r="Y449" s="132"/>
    </row>
    <row r="450">
      <c r="A450" s="311"/>
      <c r="B450" s="312"/>
      <c r="C450" s="313"/>
      <c r="D450" s="313"/>
      <c r="E450" s="314"/>
      <c r="F450" s="315"/>
      <c r="G450" s="316"/>
      <c r="H450" s="317"/>
      <c r="I450" s="318"/>
      <c r="J450" s="319"/>
      <c r="K450" s="314"/>
      <c r="L450" s="314"/>
      <c r="M450" s="314"/>
      <c r="N450" s="314"/>
      <c r="O450" s="318"/>
      <c r="P450" s="314"/>
      <c r="Q450" s="314"/>
      <c r="R450" s="314"/>
      <c r="S450" s="314"/>
      <c r="T450" s="324"/>
      <c r="U450" s="155"/>
      <c r="V450" s="155"/>
      <c r="W450" s="322"/>
      <c r="X450" s="132"/>
      <c r="Y450" s="132"/>
    </row>
    <row r="451">
      <c r="A451" s="311"/>
      <c r="B451" s="312"/>
      <c r="C451" s="313"/>
      <c r="D451" s="313"/>
      <c r="E451" s="314"/>
      <c r="F451" s="315"/>
      <c r="G451" s="316"/>
      <c r="H451" s="317"/>
      <c r="I451" s="318"/>
      <c r="J451" s="319"/>
      <c r="K451" s="314"/>
      <c r="L451" s="314"/>
      <c r="M451" s="314"/>
      <c r="N451" s="314"/>
      <c r="O451" s="318"/>
      <c r="P451" s="314"/>
      <c r="Q451" s="314"/>
      <c r="R451" s="314"/>
      <c r="S451" s="314"/>
      <c r="T451" s="324"/>
      <c r="U451" s="155"/>
      <c r="V451" s="155"/>
      <c r="W451" s="322"/>
      <c r="X451" s="132"/>
      <c r="Y451" s="132"/>
    </row>
    <row r="452">
      <c r="A452" s="311"/>
      <c r="B452" s="312"/>
      <c r="C452" s="313"/>
      <c r="D452" s="313"/>
      <c r="E452" s="314"/>
      <c r="F452" s="315"/>
      <c r="G452" s="316"/>
      <c r="H452" s="317"/>
      <c r="I452" s="318"/>
      <c r="J452" s="319"/>
      <c r="K452" s="314"/>
      <c r="L452" s="314"/>
      <c r="M452" s="314"/>
      <c r="N452" s="314"/>
      <c r="O452" s="318"/>
      <c r="P452" s="314"/>
      <c r="Q452" s="314"/>
      <c r="R452" s="314"/>
      <c r="S452" s="314"/>
      <c r="T452" s="324"/>
      <c r="U452" s="155"/>
      <c r="V452" s="155"/>
      <c r="W452" s="322"/>
      <c r="X452" s="132"/>
      <c r="Y452" s="132"/>
    </row>
    <row r="453">
      <c r="A453" s="311"/>
      <c r="B453" s="312"/>
      <c r="C453" s="313"/>
      <c r="D453" s="313"/>
      <c r="E453" s="314"/>
      <c r="F453" s="315"/>
      <c r="G453" s="316"/>
      <c r="H453" s="317"/>
      <c r="I453" s="318"/>
      <c r="J453" s="319"/>
      <c r="K453" s="314"/>
      <c r="L453" s="314"/>
      <c r="M453" s="314"/>
      <c r="N453" s="314"/>
      <c r="O453" s="318"/>
      <c r="P453" s="314"/>
      <c r="Q453" s="314"/>
      <c r="R453" s="314"/>
      <c r="S453" s="314"/>
      <c r="T453" s="324"/>
      <c r="U453" s="155"/>
      <c r="V453" s="155"/>
      <c r="W453" s="322"/>
      <c r="X453" s="132"/>
      <c r="Y453" s="132"/>
    </row>
    <row r="454">
      <c r="A454" s="311"/>
      <c r="B454" s="312"/>
      <c r="C454" s="313"/>
      <c r="D454" s="313"/>
      <c r="E454" s="314"/>
      <c r="F454" s="315"/>
      <c r="G454" s="316"/>
      <c r="H454" s="317"/>
      <c r="I454" s="318"/>
      <c r="J454" s="319"/>
      <c r="K454" s="314"/>
      <c r="L454" s="314"/>
      <c r="M454" s="314"/>
      <c r="N454" s="314"/>
      <c r="O454" s="318"/>
      <c r="P454" s="314"/>
      <c r="Q454" s="314"/>
      <c r="R454" s="314"/>
      <c r="S454" s="314"/>
      <c r="T454" s="324"/>
      <c r="U454" s="155"/>
      <c r="V454" s="155"/>
      <c r="W454" s="322"/>
      <c r="X454" s="132"/>
      <c r="Y454" s="132"/>
    </row>
    <row r="455">
      <c r="A455" s="311"/>
      <c r="B455" s="312"/>
      <c r="C455" s="313"/>
      <c r="D455" s="313"/>
      <c r="E455" s="314"/>
      <c r="F455" s="315"/>
      <c r="G455" s="316"/>
      <c r="H455" s="317"/>
      <c r="I455" s="318"/>
      <c r="J455" s="319"/>
      <c r="K455" s="314"/>
      <c r="L455" s="314"/>
      <c r="M455" s="314"/>
      <c r="N455" s="314"/>
      <c r="O455" s="318"/>
      <c r="P455" s="314"/>
      <c r="Q455" s="314"/>
      <c r="R455" s="314"/>
      <c r="S455" s="314"/>
      <c r="T455" s="324"/>
      <c r="U455" s="155"/>
      <c r="V455" s="155"/>
      <c r="W455" s="322"/>
      <c r="X455" s="132"/>
      <c r="Y455" s="132"/>
    </row>
    <row r="456">
      <c r="A456" s="311"/>
      <c r="B456" s="312"/>
      <c r="C456" s="313"/>
      <c r="D456" s="313"/>
      <c r="E456" s="314"/>
      <c r="F456" s="315"/>
      <c r="G456" s="316"/>
      <c r="H456" s="317"/>
      <c r="I456" s="318"/>
      <c r="J456" s="319"/>
      <c r="K456" s="314"/>
      <c r="L456" s="314"/>
      <c r="M456" s="314"/>
      <c r="N456" s="314"/>
      <c r="O456" s="318"/>
      <c r="P456" s="314"/>
      <c r="Q456" s="314"/>
      <c r="R456" s="314"/>
      <c r="S456" s="314"/>
      <c r="T456" s="324"/>
      <c r="U456" s="155"/>
      <c r="V456" s="155"/>
      <c r="W456" s="322"/>
      <c r="X456" s="132"/>
      <c r="Y456" s="132"/>
    </row>
    <row r="457">
      <c r="A457" s="311"/>
      <c r="B457" s="312"/>
      <c r="C457" s="313"/>
      <c r="D457" s="313"/>
      <c r="E457" s="314"/>
      <c r="F457" s="315"/>
      <c r="G457" s="316"/>
      <c r="H457" s="317"/>
      <c r="I457" s="318"/>
      <c r="J457" s="319"/>
      <c r="K457" s="314"/>
      <c r="L457" s="314"/>
      <c r="M457" s="314"/>
      <c r="N457" s="314"/>
      <c r="O457" s="318"/>
      <c r="P457" s="314"/>
      <c r="Q457" s="314"/>
      <c r="R457" s="314"/>
      <c r="S457" s="314"/>
      <c r="T457" s="324"/>
      <c r="U457" s="155"/>
      <c r="V457" s="155"/>
      <c r="W457" s="322"/>
      <c r="X457" s="132"/>
      <c r="Y457" s="132"/>
    </row>
    <row r="458">
      <c r="A458" s="311"/>
      <c r="B458" s="312"/>
      <c r="C458" s="313"/>
      <c r="D458" s="313"/>
      <c r="E458" s="314"/>
      <c r="F458" s="315"/>
      <c r="G458" s="316"/>
      <c r="H458" s="317"/>
      <c r="I458" s="318"/>
      <c r="J458" s="319"/>
      <c r="K458" s="314"/>
      <c r="L458" s="314"/>
      <c r="M458" s="314"/>
      <c r="N458" s="314"/>
      <c r="O458" s="318"/>
      <c r="P458" s="314"/>
      <c r="Q458" s="314"/>
      <c r="R458" s="314"/>
      <c r="S458" s="314"/>
      <c r="T458" s="324"/>
      <c r="U458" s="155"/>
      <c r="V458" s="155"/>
      <c r="W458" s="322"/>
      <c r="X458" s="132"/>
      <c r="Y458" s="132"/>
    </row>
    <row r="459">
      <c r="A459" s="311"/>
      <c r="B459" s="312"/>
      <c r="C459" s="313"/>
      <c r="D459" s="313"/>
      <c r="E459" s="314"/>
      <c r="F459" s="315"/>
      <c r="G459" s="316"/>
      <c r="H459" s="317"/>
      <c r="I459" s="318"/>
      <c r="J459" s="319"/>
      <c r="K459" s="314"/>
      <c r="L459" s="314"/>
      <c r="M459" s="314"/>
      <c r="N459" s="314"/>
      <c r="O459" s="318"/>
      <c r="P459" s="314"/>
      <c r="Q459" s="314"/>
      <c r="R459" s="314"/>
      <c r="S459" s="314"/>
      <c r="T459" s="324"/>
      <c r="U459" s="155"/>
      <c r="V459" s="155"/>
      <c r="W459" s="322"/>
      <c r="X459" s="132"/>
      <c r="Y459" s="132"/>
    </row>
    <row r="460">
      <c r="A460" s="311"/>
      <c r="B460" s="312"/>
      <c r="C460" s="313"/>
      <c r="D460" s="313"/>
      <c r="E460" s="314"/>
      <c r="F460" s="315"/>
      <c r="G460" s="316"/>
      <c r="H460" s="317"/>
      <c r="I460" s="318"/>
      <c r="J460" s="319"/>
      <c r="K460" s="314"/>
      <c r="L460" s="314"/>
      <c r="M460" s="314"/>
      <c r="N460" s="314"/>
      <c r="O460" s="318"/>
      <c r="P460" s="314"/>
      <c r="Q460" s="314"/>
      <c r="R460" s="314"/>
      <c r="S460" s="314"/>
      <c r="T460" s="324"/>
      <c r="U460" s="155"/>
      <c r="V460" s="155"/>
      <c r="W460" s="322"/>
      <c r="X460" s="132"/>
      <c r="Y460" s="132"/>
    </row>
    <row r="461">
      <c r="A461" s="311"/>
      <c r="B461" s="312"/>
      <c r="C461" s="313"/>
      <c r="D461" s="313"/>
      <c r="E461" s="314"/>
      <c r="F461" s="315"/>
      <c r="G461" s="316"/>
      <c r="H461" s="317"/>
      <c r="I461" s="318"/>
      <c r="J461" s="319"/>
      <c r="K461" s="314"/>
      <c r="L461" s="314"/>
      <c r="M461" s="314"/>
      <c r="N461" s="314"/>
      <c r="O461" s="318"/>
      <c r="P461" s="314"/>
      <c r="Q461" s="314"/>
      <c r="R461" s="314"/>
      <c r="S461" s="314"/>
      <c r="T461" s="324"/>
      <c r="U461" s="155"/>
      <c r="V461" s="155"/>
      <c r="W461" s="322"/>
      <c r="X461" s="132"/>
      <c r="Y461" s="132"/>
    </row>
    <row r="462">
      <c r="A462" s="311"/>
      <c r="B462" s="312"/>
      <c r="C462" s="313"/>
      <c r="D462" s="313"/>
      <c r="E462" s="314"/>
      <c r="F462" s="315"/>
      <c r="G462" s="316"/>
      <c r="H462" s="317"/>
      <c r="I462" s="318"/>
      <c r="J462" s="319"/>
      <c r="K462" s="314"/>
      <c r="L462" s="314"/>
      <c r="M462" s="314"/>
      <c r="N462" s="314"/>
      <c r="O462" s="318"/>
      <c r="P462" s="314"/>
      <c r="Q462" s="314"/>
      <c r="R462" s="314"/>
      <c r="S462" s="314"/>
      <c r="T462" s="324"/>
      <c r="U462" s="155"/>
      <c r="V462" s="155"/>
      <c r="W462" s="322"/>
      <c r="X462" s="132"/>
      <c r="Y462" s="132"/>
    </row>
    <row r="463">
      <c r="A463" s="311"/>
      <c r="B463" s="312"/>
      <c r="C463" s="313"/>
      <c r="D463" s="313"/>
      <c r="E463" s="314"/>
      <c r="F463" s="315"/>
      <c r="G463" s="316"/>
      <c r="H463" s="317"/>
      <c r="I463" s="318"/>
      <c r="J463" s="319"/>
      <c r="K463" s="314"/>
      <c r="L463" s="314"/>
      <c r="M463" s="314"/>
      <c r="N463" s="314"/>
      <c r="O463" s="318"/>
      <c r="P463" s="314"/>
      <c r="Q463" s="314"/>
      <c r="R463" s="314"/>
      <c r="S463" s="314"/>
      <c r="T463" s="324"/>
      <c r="U463" s="155"/>
      <c r="V463" s="155"/>
      <c r="W463" s="322"/>
      <c r="X463" s="132"/>
      <c r="Y463" s="132"/>
    </row>
    <row r="464">
      <c r="A464" s="311"/>
      <c r="B464" s="312"/>
      <c r="C464" s="313"/>
      <c r="D464" s="313"/>
      <c r="E464" s="314"/>
      <c r="F464" s="315"/>
      <c r="G464" s="316"/>
      <c r="H464" s="317"/>
      <c r="I464" s="318"/>
      <c r="J464" s="319"/>
      <c r="K464" s="314"/>
      <c r="L464" s="314"/>
      <c r="M464" s="314"/>
      <c r="N464" s="314"/>
      <c r="O464" s="318"/>
      <c r="P464" s="314"/>
      <c r="Q464" s="314"/>
      <c r="R464" s="314"/>
      <c r="S464" s="314"/>
      <c r="T464" s="324"/>
      <c r="U464" s="155"/>
      <c r="V464" s="155"/>
      <c r="W464" s="322"/>
      <c r="X464" s="132"/>
      <c r="Y464" s="132"/>
    </row>
    <row r="465">
      <c r="A465" s="311"/>
      <c r="B465" s="312"/>
      <c r="C465" s="313"/>
      <c r="D465" s="313"/>
      <c r="E465" s="314"/>
      <c r="F465" s="315"/>
      <c r="G465" s="316"/>
      <c r="H465" s="317"/>
      <c r="I465" s="318"/>
      <c r="J465" s="319"/>
      <c r="K465" s="314"/>
      <c r="L465" s="314"/>
      <c r="M465" s="314"/>
      <c r="N465" s="314"/>
      <c r="O465" s="318"/>
      <c r="P465" s="314"/>
      <c r="Q465" s="314"/>
      <c r="R465" s="314"/>
      <c r="S465" s="314"/>
      <c r="T465" s="324"/>
      <c r="U465" s="155"/>
      <c r="V465" s="155"/>
      <c r="W465" s="322"/>
      <c r="X465" s="132"/>
      <c r="Y465" s="132"/>
    </row>
    <row r="466">
      <c r="A466" s="311"/>
      <c r="B466" s="312"/>
      <c r="C466" s="313"/>
      <c r="D466" s="313"/>
      <c r="E466" s="314"/>
      <c r="F466" s="315"/>
      <c r="G466" s="316"/>
      <c r="H466" s="317"/>
      <c r="I466" s="318"/>
      <c r="J466" s="319"/>
      <c r="K466" s="314"/>
      <c r="L466" s="314"/>
      <c r="M466" s="314"/>
      <c r="N466" s="314"/>
      <c r="O466" s="318"/>
      <c r="P466" s="314"/>
      <c r="Q466" s="314"/>
      <c r="R466" s="314"/>
      <c r="S466" s="314"/>
      <c r="T466" s="324"/>
      <c r="U466" s="155"/>
      <c r="V466" s="155"/>
      <c r="W466" s="322"/>
      <c r="X466" s="132"/>
      <c r="Y466" s="132"/>
    </row>
    <row r="467">
      <c r="A467" s="311"/>
      <c r="B467" s="312"/>
      <c r="C467" s="313"/>
      <c r="D467" s="313"/>
      <c r="E467" s="314"/>
      <c r="F467" s="315"/>
      <c r="G467" s="316"/>
      <c r="H467" s="317"/>
      <c r="I467" s="318"/>
      <c r="J467" s="319"/>
      <c r="K467" s="314"/>
      <c r="L467" s="314"/>
      <c r="M467" s="314"/>
      <c r="N467" s="314"/>
      <c r="O467" s="318"/>
      <c r="P467" s="314"/>
      <c r="Q467" s="314"/>
      <c r="R467" s="314"/>
      <c r="S467" s="314"/>
      <c r="T467" s="324"/>
      <c r="U467" s="155"/>
      <c r="V467" s="155"/>
      <c r="W467" s="322"/>
      <c r="X467" s="132"/>
      <c r="Y467" s="132"/>
    </row>
    <row r="468">
      <c r="A468" s="311"/>
      <c r="B468" s="312"/>
      <c r="C468" s="313"/>
      <c r="D468" s="313"/>
      <c r="E468" s="314"/>
      <c r="F468" s="315"/>
      <c r="G468" s="316"/>
      <c r="H468" s="317"/>
      <c r="I468" s="318"/>
      <c r="J468" s="319"/>
      <c r="K468" s="314"/>
      <c r="L468" s="314"/>
      <c r="M468" s="314"/>
      <c r="N468" s="314"/>
      <c r="O468" s="318"/>
      <c r="P468" s="314"/>
      <c r="Q468" s="314"/>
      <c r="R468" s="314"/>
      <c r="S468" s="314"/>
      <c r="T468" s="324"/>
      <c r="U468" s="155"/>
      <c r="V468" s="155"/>
      <c r="W468" s="322"/>
      <c r="X468" s="132"/>
      <c r="Y468" s="132"/>
    </row>
    <row r="469">
      <c r="A469" s="311"/>
      <c r="B469" s="312"/>
      <c r="C469" s="313"/>
      <c r="D469" s="313"/>
      <c r="E469" s="314"/>
      <c r="F469" s="315"/>
      <c r="G469" s="316"/>
      <c r="H469" s="317"/>
      <c r="I469" s="318"/>
      <c r="J469" s="319"/>
      <c r="K469" s="314"/>
      <c r="L469" s="314"/>
      <c r="M469" s="314"/>
      <c r="N469" s="314"/>
      <c r="O469" s="318"/>
      <c r="P469" s="314"/>
      <c r="Q469" s="314"/>
      <c r="R469" s="314"/>
      <c r="S469" s="314"/>
      <c r="T469" s="324"/>
      <c r="U469" s="155"/>
      <c r="V469" s="155"/>
      <c r="W469" s="322"/>
      <c r="X469" s="132"/>
      <c r="Y469" s="132"/>
    </row>
    <row r="470">
      <c r="A470" s="311"/>
      <c r="B470" s="312"/>
      <c r="C470" s="313"/>
      <c r="D470" s="313"/>
      <c r="E470" s="314"/>
      <c r="F470" s="315"/>
      <c r="G470" s="316"/>
      <c r="H470" s="317"/>
      <c r="I470" s="318"/>
      <c r="J470" s="319"/>
      <c r="K470" s="314"/>
      <c r="L470" s="314"/>
      <c r="M470" s="314"/>
      <c r="N470" s="314"/>
      <c r="O470" s="318"/>
      <c r="P470" s="314"/>
      <c r="Q470" s="314"/>
      <c r="R470" s="314"/>
      <c r="S470" s="314"/>
      <c r="T470" s="324"/>
      <c r="U470" s="155"/>
      <c r="V470" s="155"/>
      <c r="W470" s="322"/>
      <c r="X470" s="132"/>
      <c r="Y470" s="132"/>
    </row>
    <row r="471">
      <c r="A471" s="311"/>
      <c r="B471" s="312"/>
      <c r="C471" s="313"/>
      <c r="D471" s="313"/>
      <c r="E471" s="314"/>
      <c r="F471" s="315"/>
      <c r="G471" s="316"/>
      <c r="H471" s="317"/>
      <c r="I471" s="318"/>
      <c r="J471" s="319"/>
      <c r="K471" s="314"/>
      <c r="L471" s="314"/>
      <c r="M471" s="314"/>
      <c r="N471" s="314"/>
      <c r="O471" s="318"/>
      <c r="P471" s="314"/>
      <c r="Q471" s="314"/>
      <c r="R471" s="314"/>
      <c r="S471" s="314"/>
      <c r="T471" s="324"/>
      <c r="U471" s="155"/>
      <c r="V471" s="155"/>
      <c r="W471" s="322"/>
      <c r="X471" s="132"/>
      <c r="Y471" s="132"/>
    </row>
    <row r="472">
      <c r="A472" s="311"/>
      <c r="B472" s="312"/>
      <c r="C472" s="313"/>
      <c r="D472" s="313"/>
      <c r="E472" s="314"/>
      <c r="F472" s="315"/>
      <c r="G472" s="316"/>
      <c r="H472" s="317"/>
      <c r="I472" s="318"/>
      <c r="J472" s="319"/>
      <c r="K472" s="314"/>
      <c r="L472" s="314"/>
      <c r="M472" s="314"/>
      <c r="N472" s="314"/>
      <c r="O472" s="318"/>
      <c r="P472" s="314"/>
      <c r="Q472" s="314"/>
      <c r="R472" s="314"/>
      <c r="S472" s="314"/>
      <c r="T472" s="324"/>
      <c r="U472" s="155"/>
      <c r="V472" s="155"/>
      <c r="W472" s="322"/>
      <c r="X472" s="132"/>
      <c r="Y472" s="132"/>
    </row>
    <row r="473">
      <c r="A473" s="311"/>
      <c r="B473" s="312"/>
      <c r="C473" s="313"/>
      <c r="D473" s="313"/>
      <c r="E473" s="314"/>
      <c r="F473" s="315"/>
      <c r="G473" s="316"/>
      <c r="H473" s="317"/>
      <c r="I473" s="318"/>
      <c r="J473" s="319"/>
      <c r="K473" s="314"/>
      <c r="L473" s="314"/>
      <c r="M473" s="314"/>
      <c r="N473" s="314"/>
      <c r="O473" s="318"/>
      <c r="P473" s="314"/>
      <c r="Q473" s="314"/>
      <c r="R473" s="314"/>
      <c r="S473" s="314"/>
      <c r="T473" s="324"/>
      <c r="U473" s="155"/>
      <c r="V473" s="155"/>
      <c r="W473" s="322"/>
      <c r="X473" s="132"/>
      <c r="Y473" s="132"/>
    </row>
    <row r="474">
      <c r="A474" s="311"/>
      <c r="B474" s="312"/>
      <c r="C474" s="313"/>
      <c r="D474" s="313"/>
      <c r="E474" s="314"/>
      <c r="F474" s="315"/>
      <c r="G474" s="316"/>
      <c r="H474" s="317"/>
      <c r="I474" s="318"/>
      <c r="J474" s="319"/>
      <c r="K474" s="314"/>
      <c r="L474" s="314"/>
      <c r="M474" s="314"/>
      <c r="N474" s="314"/>
      <c r="O474" s="318"/>
      <c r="P474" s="314"/>
      <c r="Q474" s="314"/>
      <c r="R474" s="314"/>
      <c r="S474" s="314"/>
      <c r="T474" s="324"/>
      <c r="U474" s="155"/>
      <c r="V474" s="155"/>
      <c r="W474" s="322"/>
      <c r="X474" s="132"/>
      <c r="Y474" s="132"/>
    </row>
    <row r="475">
      <c r="A475" s="311"/>
      <c r="B475" s="312"/>
      <c r="C475" s="313"/>
      <c r="D475" s="313"/>
      <c r="E475" s="314"/>
      <c r="F475" s="315"/>
      <c r="G475" s="316"/>
      <c r="H475" s="317"/>
      <c r="I475" s="318"/>
      <c r="J475" s="319"/>
      <c r="K475" s="314"/>
      <c r="L475" s="314"/>
      <c r="M475" s="314"/>
      <c r="N475" s="314"/>
      <c r="O475" s="318"/>
      <c r="P475" s="314"/>
      <c r="Q475" s="314"/>
      <c r="R475" s="314"/>
      <c r="S475" s="314"/>
      <c r="T475" s="324"/>
      <c r="U475" s="155"/>
      <c r="V475" s="155"/>
      <c r="W475" s="322"/>
      <c r="X475" s="132"/>
      <c r="Y475" s="132"/>
    </row>
    <row r="476">
      <c r="A476" s="311"/>
      <c r="B476" s="312"/>
      <c r="C476" s="313"/>
      <c r="D476" s="313"/>
      <c r="E476" s="314"/>
      <c r="F476" s="315"/>
      <c r="G476" s="316"/>
      <c r="H476" s="317"/>
      <c r="I476" s="318"/>
      <c r="J476" s="319"/>
      <c r="K476" s="314"/>
      <c r="L476" s="314"/>
      <c r="M476" s="314"/>
      <c r="N476" s="314"/>
      <c r="O476" s="318"/>
      <c r="P476" s="314"/>
      <c r="Q476" s="314"/>
      <c r="R476" s="314"/>
      <c r="S476" s="314"/>
      <c r="T476" s="324"/>
      <c r="U476" s="155"/>
      <c r="V476" s="155"/>
      <c r="W476" s="322"/>
      <c r="X476" s="132"/>
      <c r="Y476" s="132"/>
    </row>
    <row r="477">
      <c r="A477" s="311"/>
      <c r="B477" s="312"/>
      <c r="C477" s="313"/>
      <c r="D477" s="313"/>
      <c r="E477" s="314"/>
      <c r="F477" s="315"/>
      <c r="G477" s="316"/>
      <c r="H477" s="317"/>
      <c r="I477" s="318"/>
      <c r="J477" s="319"/>
      <c r="K477" s="314"/>
      <c r="L477" s="314"/>
      <c r="M477" s="314"/>
      <c r="N477" s="314"/>
      <c r="O477" s="318"/>
      <c r="P477" s="314"/>
      <c r="Q477" s="314"/>
      <c r="R477" s="314"/>
      <c r="S477" s="314"/>
      <c r="T477" s="324"/>
      <c r="U477" s="155"/>
      <c r="V477" s="155"/>
      <c r="W477" s="322"/>
      <c r="X477" s="132"/>
      <c r="Y477" s="132"/>
    </row>
    <row r="478">
      <c r="A478" s="311"/>
      <c r="B478" s="312"/>
      <c r="C478" s="313"/>
      <c r="D478" s="313"/>
      <c r="E478" s="314"/>
      <c r="F478" s="315"/>
      <c r="G478" s="316"/>
      <c r="H478" s="317"/>
      <c r="I478" s="318"/>
      <c r="J478" s="319"/>
      <c r="K478" s="314"/>
      <c r="L478" s="314"/>
      <c r="M478" s="314"/>
      <c r="N478" s="314"/>
      <c r="O478" s="318"/>
      <c r="P478" s="314"/>
      <c r="Q478" s="314"/>
      <c r="R478" s="314"/>
      <c r="S478" s="314"/>
      <c r="T478" s="324"/>
      <c r="U478" s="155"/>
      <c r="V478" s="155"/>
      <c r="W478" s="322"/>
      <c r="X478" s="132"/>
      <c r="Y478" s="132"/>
    </row>
    <row r="479">
      <c r="A479" s="311"/>
      <c r="B479" s="312"/>
      <c r="C479" s="313"/>
      <c r="D479" s="313"/>
      <c r="E479" s="314"/>
      <c r="F479" s="315"/>
      <c r="G479" s="316"/>
      <c r="H479" s="317"/>
      <c r="I479" s="318"/>
      <c r="J479" s="319"/>
      <c r="K479" s="314"/>
      <c r="L479" s="314"/>
      <c r="M479" s="314"/>
      <c r="N479" s="314"/>
      <c r="O479" s="318"/>
      <c r="P479" s="314"/>
      <c r="Q479" s="314"/>
      <c r="R479" s="314"/>
      <c r="S479" s="314"/>
      <c r="T479" s="324"/>
      <c r="U479" s="155"/>
      <c r="V479" s="155"/>
      <c r="W479" s="322"/>
      <c r="X479" s="132"/>
      <c r="Y479" s="132"/>
    </row>
    <row r="480">
      <c r="A480" s="311"/>
      <c r="B480" s="312"/>
      <c r="C480" s="313"/>
      <c r="D480" s="313"/>
      <c r="E480" s="314"/>
      <c r="F480" s="315"/>
      <c r="G480" s="316"/>
      <c r="H480" s="317"/>
      <c r="I480" s="318"/>
      <c r="J480" s="319"/>
      <c r="K480" s="314"/>
      <c r="L480" s="314"/>
      <c r="M480" s="314"/>
      <c r="N480" s="314"/>
      <c r="O480" s="318"/>
      <c r="P480" s="314"/>
      <c r="Q480" s="314"/>
      <c r="R480" s="314"/>
      <c r="S480" s="314"/>
      <c r="T480" s="324"/>
      <c r="U480" s="155"/>
      <c r="V480" s="155"/>
      <c r="W480" s="322"/>
      <c r="X480" s="132"/>
      <c r="Y480" s="132"/>
    </row>
    <row r="481">
      <c r="A481" s="311"/>
      <c r="B481" s="312"/>
      <c r="C481" s="313"/>
      <c r="D481" s="313"/>
      <c r="E481" s="314"/>
      <c r="F481" s="315"/>
      <c r="G481" s="316"/>
      <c r="H481" s="317"/>
      <c r="I481" s="318"/>
      <c r="J481" s="319"/>
      <c r="K481" s="314"/>
      <c r="L481" s="314"/>
      <c r="M481" s="314"/>
      <c r="N481" s="314"/>
      <c r="O481" s="318"/>
      <c r="P481" s="314"/>
      <c r="Q481" s="314"/>
      <c r="R481" s="314"/>
      <c r="S481" s="314"/>
      <c r="T481" s="324"/>
      <c r="U481" s="155"/>
      <c r="V481" s="155"/>
      <c r="W481" s="322"/>
      <c r="X481" s="132"/>
      <c r="Y481" s="132"/>
    </row>
    <row r="482">
      <c r="A482" s="311"/>
      <c r="B482" s="312"/>
      <c r="C482" s="313"/>
      <c r="D482" s="313"/>
      <c r="E482" s="314"/>
      <c r="F482" s="315"/>
      <c r="G482" s="316"/>
      <c r="H482" s="317"/>
      <c r="I482" s="318"/>
      <c r="J482" s="319"/>
      <c r="K482" s="314"/>
      <c r="L482" s="314"/>
      <c r="M482" s="314"/>
      <c r="N482" s="314"/>
      <c r="O482" s="318"/>
      <c r="P482" s="314"/>
      <c r="Q482" s="314"/>
      <c r="R482" s="314"/>
      <c r="S482" s="314"/>
      <c r="T482" s="324"/>
      <c r="U482" s="155"/>
      <c r="V482" s="155"/>
      <c r="W482" s="322"/>
      <c r="X482" s="132"/>
      <c r="Y482" s="132"/>
    </row>
    <row r="483">
      <c r="A483" s="311"/>
      <c r="B483" s="312"/>
      <c r="C483" s="313"/>
      <c r="D483" s="313"/>
      <c r="E483" s="314"/>
      <c r="F483" s="315"/>
      <c r="G483" s="316"/>
      <c r="H483" s="317"/>
      <c r="I483" s="318"/>
      <c r="J483" s="319"/>
      <c r="K483" s="314"/>
      <c r="L483" s="314"/>
      <c r="M483" s="314"/>
      <c r="N483" s="314"/>
      <c r="O483" s="318"/>
      <c r="P483" s="314"/>
      <c r="Q483" s="314"/>
      <c r="R483" s="314"/>
      <c r="S483" s="314"/>
      <c r="T483" s="324"/>
      <c r="U483" s="155"/>
      <c r="V483" s="155"/>
      <c r="W483" s="322"/>
      <c r="X483" s="132"/>
      <c r="Y483" s="132"/>
    </row>
    <row r="484">
      <c r="A484" s="311"/>
      <c r="B484" s="312"/>
      <c r="C484" s="313"/>
      <c r="D484" s="313"/>
      <c r="E484" s="314"/>
      <c r="F484" s="315"/>
      <c r="G484" s="316"/>
      <c r="H484" s="317"/>
      <c r="I484" s="318"/>
      <c r="J484" s="319"/>
      <c r="K484" s="314"/>
      <c r="L484" s="314"/>
      <c r="M484" s="314"/>
      <c r="N484" s="314"/>
      <c r="O484" s="318"/>
      <c r="P484" s="314"/>
      <c r="Q484" s="314"/>
      <c r="R484" s="314"/>
      <c r="S484" s="314"/>
      <c r="T484" s="324"/>
      <c r="U484" s="155"/>
      <c r="V484" s="155"/>
      <c r="W484" s="322"/>
      <c r="X484" s="132"/>
      <c r="Y484" s="132"/>
    </row>
    <row r="485">
      <c r="A485" s="311"/>
      <c r="B485" s="312"/>
      <c r="C485" s="313"/>
      <c r="D485" s="313"/>
      <c r="E485" s="314"/>
      <c r="F485" s="315"/>
      <c r="G485" s="316"/>
      <c r="H485" s="317"/>
      <c r="I485" s="318"/>
      <c r="J485" s="319"/>
      <c r="K485" s="314"/>
      <c r="L485" s="314"/>
      <c r="M485" s="314"/>
      <c r="N485" s="314"/>
      <c r="O485" s="318"/>
      <c r="P485" s="314"/>
      <c r="Q485" s="314"/>
      <c r="R485" s="314"/>
      <c r="S485" s="314"/>
      <c r="T485" s="324"/>
      <c r="U485" s="155"/>
      <c r="V485" s="155"/>
      <c r="W485" s="322"/>
      <c r="X485" s="132"/>
      <c r="Y485" s="132"/>
    </row>
    <row r="486">
      <c r="A486" s="311"/>
      <c r="B486" s="312"/>
      <c r="C486" s="313"/>
      <c r="D486" s="313"/>
      <c r="E486" s="314"/>
      <c r="F486" s="315"/>
      <c r="G486" s="316"/>
      <c r="H486" s="317"/>
      <c r="I486" s="318"/>
      <c r="J486" s="319"/>
      <c r="K486" s="314"/>
      <c r="L486" s="314"/>
      <c r="M486" s="314"/>
      <c r="N486" s="314"/>
      <c r="O486" s="318"/>
      <c r="P486" s="314"/>
      <c r="Q486" s="314"/>
      <c r="R486" s="314"/>
      <c r="S486" s="314"/>
      <c r="T486" s="324"/>
      <c r="U486" s="155"/>
      <c r="V486" s="155"/>
      <c r="W486" s="322"/>
      <c r="X486" s="132"/>
      <c r="Y486" s="132"/>
    </row>
    <row r="487">
      <c r="A487" s="311"/>
      <c r="B487" s="312"/>
      <c r="C487" s="313"/>
      <c r="D487" s="313"/>
      <c r="E487" s="314"/>
      <c r="F487" s="315"/>
      <c r="G487" s="316"/>
      <c r="H487" s="317"/>
      <c r="I487" s="318"/>
      <c r="J487" s="319"/>
      <c r="K487" s="314"/>
      <c r="L487" s="314"/>
      <c r="M487" s="314"/>
      <c r="N487" s="314"/>
      <c r="O487" s="318"/>
      <c r="P487" s="314"/>
      <c r="Q487" s="314"/>
      <c r="R487" s="314"/>
      <c r="S487" s="314"/>
      <c r="T487" s="324"/>
      <c r="U487" s="155"/>
      <c r="V487" s="155"/>
      <c r="W487" s="322"/>
      <c r="X487" s="132"/>
      <c r="Y487" s="132"/>
    </row>
    <row r="488">
      <c r="A488" s="311"/>
      <c r="B488" s="312"/>
      <c r="C488" s="313"/>
      <c r="D488" s="313"/>
      <c r="E488" s="314"/>
      <c r="F488" s="315"/>
      <c r="G488" s="316"/>
      <c r="H488" s="317"/>
      <c r="I488" s="318"/>
      <c r="J488" s="319"/>
      <c r="K488" s="314"/>
      <c r="L488" s="314"/>
      <c r="M488" s="314"/>
      <c r="N488" s="314"/>
      <c r="O488" s="318"/>
      <c r="P488" s="314"/>
      <c r="Q488" s="314"/>
      <c r="R488" s="314"/>
      <c r="S488" s="314"/>
      <c r="T488" s="324"/>
      <c r="U488" s="155"/>
      <c r="V488" s="155"/>
      <c r="W488" s="322"/>
      <c r="X488" s="132"/>
      <c r="Y488" s="132"/>
    </row>
    <row r="489">
      <c r="A489" s="311"/>
      <c r="B489" s="312"/>
      <c r="C489" s="313"/>
      <c r="D489" s="313"/>
      <c r="E489" s="314"/>
      <c r="F489" s="315"/>
      <c r="G489" s="316"/>
      <c r="H489" s="317"/>
      <c r="I489" s="318"/>
      <c r="J489" s="319"/>
      <c r="K489" s="314"/>
      <c r="L489" s="314"/>
      <c r="M489" s="314"/>
      <c r="N489" s="314"/>
      <c r="O489" s="318"/>
      <c r="P489" s="314"/>
      <c r="Q489" s="314"/>
      <c r="R489" s="314"/>
      <c r="S489" s="314"/>
      <c r="T489" s="324"/>
      <c r="U489" s="155"/>
      <c r="V489" s="155"/>
      <c r="W489" s="322"/>
      <c r="X489" s="132"/>
      <c r="Y489" s="132"/>
    </row>
    <row r="490">
      <c r="A490" s="311"/>
      <c r="B490" s="312"/>
      <c r="C490" s="313"/>
      <c r="D490" s="313"/>
      <c r="E490" s="314"/>
      <c r="F490" s="315"/>
      <c r="G490" s="316"/>
      <c r="H490" s="317"/>
      <c r="I490" s="318"/>
      <c r="J490" s="319"/>
      <c r="K490" s="314"/>
      <c r="L490" s="314"/>
      <c r="M490" s="314"/>
      <c r="N490" s="314"/>
      <c r="O490" s="318"/>
      <c r="P490" s="314"/>
      <c r="Q490" s="314"/>
      <c r="R490" s="314"/>
      <c r="S490" s="314"/>
      <c r="T490" s="324"/>
      <c r="U490" s="155"/>
      <c r="V490" s="155"/>
      <c r="W490" s="322"/>
      <c r="X490" s="132"/>
      <c r="Y490" s="132"/>
    </row>
    <row r="491">
      <c r="A491" s="311"/>
      <c r="B491" s="312"/>
      <c r="C491" s="313"/>
      <c r="D491" s="313"/>
      <c r="E491" s="314"/>
      <c r="F491" s="315"/>
      <c r="G491" s="316"/>
      <c r="H491" s="317"/>
      <c r="I491" s="318"/>
      <c r="J491" s="319"/>
      <c r="K491" s="314"/>
      <c r="L491" s="314"/>
      <c r="M491" s="314"/>
      <c r="N491" s="314"/>
      <c r="O491" s="318"/>
      <c r="P491" s="314"/>
      <c r="Q491" s="314"/>
      <c r="R491" s="314"/>
      <c r="S491" s="314"/>
      <c r="T491" s="324"/>
      <c r="U491" s="155"/>
      <c r="V491" s="155"/>
      <c r="W491" s="322"/>
      <c r="X491" s="132"/>
      <c r="Y491" s="132"/>
    </row>
    <row r="492">
      <c r="A492" s="311"/>
      <c r="B492" s="312"/>
      <c r="C492" s="313"/>
      <c r="D492" s="313"/>
      <c r="E492" s="314"/>
      <c r="F492" s="315"/>
      <c r="G492" s="316"/>
      <c r="H492" s="317"/>
      <c r="I492" s="318"/>
      <c r="J492" s="319"/>
      <c r="K492" s="314"/>
      <c r="L492" s="314"/>
      <c r="M492" s="314"/>
      <c r="N492" s="314"/>
      <c r="O492" s="318"/>
      <c r="P492" s="314"/>
      <c r="Q492" s="314"/>
      <c r="R492" s="314"/>
      <c r="S492" s="314"/>
      <c r="T492" s="324"/>
      <c r="U492" s="155"/>
      <c r="V492" s="155"/>
      <c r="W492" s="322"/>
      <c r="X492" s="132"/>
      <c r="Y492" s="132"/>
    </row>
    <row r="493">
      <c r="A493" s="311"/>
      <c r="B493" s="312"/>
      <c r="C493" s="313"/>
      <c r="D493" s="313"/>
      <c r="E493" s="314"/>
      <c r="F493" s="315"/>
      <c r="G493" s="316"/>
      <c r="H493" s="317"/>
      <c r="I493" s="318"/>
      <c r="J493" s="319"/>
      <c r="K493" s="314"/>
      <c r="L493" s="314"/>
      <c r="M493" s="314"/>
      <c r="N493" s="314"/>
      <c r="O493" s="318"/>
      <c r="P493" s="314"/>
      <c r="Q493" s="314"/>
      <c r="R493" s="314"/>
      <c r="S493" s="314"/>
      <c r="T493" s="324"/>
      <c r="U493" s="155"/>
      <c r="V493" s="155"/>
      <c r="W493" s="322"/>
      <c r="X493" s="132"/>
      <c r="Y493" s="132"/>
    </row>
    <row r="494">
      <c r="A494" s="311"/>
      <c r="B494" s="312"/>
      <c r="C494" s="313"/>
      <c r="D494" s="313"/>
      <c r="E494" s="314"/>
      <c r="F494" s="315"/>
      <c r="G494" s="316"/>
      <c r="H494" s="317"/>
      <c r="I494" s="318"/>
      <c r="J494" s="319"/>
      <c r="K494" s="314"/>
      <c r="L494" s="314"/>
      <c r="M494" s="314"/>
      <c r="N494" s="314"/>
      <c r="O494" s="318"/>
      <c r="P494" s="314"/>
      <c r="Q494" s="314"/>
      <c r="R494" s="314"/>
      <c r="S494" s="314"/>
      <c r="T494" s="324"/>
      <c r="U494" s="155"/>
      <c r="V494" s="155"/>
      <c r="W494" s="322"/>
      <c r="X494" s="132"/>
      <c r="Y494" s="132"/>
    </row>
    <row r="495">
      <c r="A495" s="311"/>
      <c r="B495" s="312"/>
      <c r="C495" s="313"/>
      <c r="D495" s="313"/>
      <c r="E495" s="314"/>
      <c r="F495" s="315"/>
      <c r="G495" s="316"/>
      <c r="H495" s="317"/>
      <c r="I495" s="318"/>
      <c r="J495" s="319"/>
      <c r="K495" s="314"/>
      <c r="L495" s="314"/>
      <c r="M495" s="314"/>
      <c r="N495" s="314"/>
      <c r="O495" s="318"/>
      <c r="P495" s="314"/>
      <c r="Q495" s="314"/>
      <c r="R495" s="314"/>
      <c r="S495" s="314"/>
      <c r="T495" s="324"/>
      <c r="U495" s="155"/>
      <c r="V495" s="155"/>
      <c r="W495" s="322"/>
      <c r="X495" s="132"/>
      <c r="Y495" s="132"/>
    </row>
    <row r="496">
      <c r="A496" s="311"/>
      <c r="B496" s="312"/>
      <c r="C496" s="313"/>
      <c r="D496" s="313"/>
      <c r="E496" s="314"/>
      <c r="F496" s="315"/>
      <c r="G496" s="316"/>
      <c r="H496" s="317"/>
      <c r="I496" s="318"/>
      <c r="J496" s="319"/>
      <c r="K496" s="314"/>
      <c r="L496" s="314"/>
      <c r="M496" s="314"/>
      <c r="N496" s="314"/>
      <c r="O496" s="318"/>
      <c r="P496" s="314"/>
      <c r="Q496" s="314"/>
      <c r="R496" s="314"/>
      <c r="S496" s="314"/>
      <c r="T496" s="324"/>
      <c r="U496" s="155"/>
      <c r="V496" s="155"/>
      <c r="W496" s="322"/>
      <c r="X496" s="132"/>
      <c r="Y496" s="132"/>
    </row>
    <row r="497">
      <c r="A497" s="311"/>
      <c r="B497" s="312"/>
      <c r="C497" s="313"/>
      <c r="D497" s="313"/>
      <c r="E497" s="314"/>
      <c r="F497" s="315"/>
      <c r="G497" s="316"/>
      <c r="H497" s="317"/>
      <c r="I497" s="318"/>
      <c r="J497" s="319"/>
      <c r="K497" s="314"/>
      <c r="L497" s="314"/>
      <c r="M497" s="314"/>
      <c r="N497" s="314"/>
      <c r="O497" s="318"/>
      <c r="P497" s="314"/>
      <c r="Q497" s="314"/>
      <c r="R497" s="314"/>
      <c r="S497" s="314"/>
      <c r="T497" s="324"/>
      <c r="U497" s="155"/>
      <c r="V497" s="155"/>
      <c r="W497" s="322"/>
      <c r="X497" s="132"/>
      <c r="Y497" s="132"/>
    </row>
    <row r="498">
      <c r="A498" s="311"/>
      <c r="B498" s="312"/>
      <c r="C498" s="313"/>
      <c r="D498" s="313"/>
      <c r="E498" s="314"/>
      <c r="F498" s="315"/>
      <c r="G498" s="316"/>
      <c r="H498" s="317"/>
      <c r="I498" s="318"/>
      <c r="J498" s="319"/>
      <c r="K498" s="314"/>
      <c r="L498" s="314"/>
      <c r="M498" s="314"/>
      <c r="N498" s="314"/>
      <c r="O498" s="318"/>
      <c r="P498" s="314"/>
      <c r="Q498" s="314"/>
      <c r="R498" s="314"/>
      <c r="S498" s="314"/>
      <c r="T498" s="324"/>
      <c r="U498" s="155"/>
      <c r="V498" s="155"/>
      <c r="W498" s="322"/>
      <c r="X498" s="132"/>
      <c r="Y498" s="132"/>
    </row>
    <row r="499">
      <c r="A499" s="311"/>
      <c r="B499" s="312"/>
      <c r="C499" s="313"/>
      <c r="D499" s="313"/>
      <c r="E499" s="314"/>
      <c r="F499" s="315"/>
      <c r="G499" s="316"/>
      <c r="H499" s="317"/>
      <c r="I499" s="318"/>
      <c r="J499" s="319"/>
      <c r="K499" s="314"/>
      <c r="L499" s="314"/>
      <c r="M499" s="314"/>
      <c r="N499" s="314"/>
      <c r="O499" s="318"/>
      <c r="P499" s="314"/>
      <c r="Q499" s="314"/>
      <c r="R499" s="314"/>
      <c r="S499" s="314"/>
      <c r="T499" s="324"/>
      <c r="U499" s="155"/>
      <c r="V499" s="155"/>
      <c r="W499" s="322"/>
      <c r="X499" s="132"/>
      <c r="Y499" s="132"/>
    </row>
    <row r="500">
      <c r="A500" s="311"/>
      <c r="B500" s="312"/>
      <c r="C500" s="313"/>
      <c r="D500" s="313"/>
      <c r="E500" s="314"/>
      <c r="F500" s="315"/>
      <c r="G500" s="316"/>
      <c r="H500" s="317"/>
      <c r="I500" s="318"/>
      <c r="J500" s="319"/>
      <c r="K500" s="314"/>
      <c r="L500" s="314"/>
      <c r="M500" s="314"/>
      <c r="N500" s="314"/>
      <c r="O500" s="318"/>
      <c r="P500" s="314"/>
      <c r="Q500" s="314"/>
      <c r="R500" s="314"/>
      <c r="S500" s="314"/>
      <c r="T500" s="324"/>
      <c r="U500" s="155"/>
      <c r="V500" s="155"/>
      <c r="W500" s="322"/>
      <c r="X500" s="132"/>
      <c r="Y500" s="132"/>
    </row>
    <row r="501">
      <c r="A501" s="311"/>
      <c r="B501" s="312"/>
      <c r="C501" s="313"/>
      <c r="D501" s="313"/>
      <c r="E501" s="314"/>
      <c r="F501" s="315"/>
      <c r="G501" s="316"/>
      <c r="H501" s="317"/>
      <c r="I501" s="318"/>
      <c r="J501" s="319"/>
      <c r="K501" s="314"/>
      <c r="L501" s="314"/>
      <c r="M501" s="314"/>
      <c r="N501" s="314"/>
      <c r="O501" s="318"/>
      <c r="P501" s="314"/>
      <c r="Q501" s="314"/>
      <c r="R501" s="314"/>
      <c r="S501" s="314"/>
      <c r="T501" s="324"/>
      <c r="U501" s="155"/>
      <c r="V501" s="155"/>
      <c r="W501" s="322"/>
      <c r="X501" s="132"/>
      <c r="Y501" s="132"/>
    </row>
    <row r="502">
      <c r="A502" s="311"/>
      <c r="B502" s="312"/>
      <c r="C502" s="313"/>
      <c r="D502" s="313"/>
      <c r="E502" s="314"/>
      <c r="F502" s="315"/>
      <c r="G502" s="316"/>
      <c r="H502" s="317"/>
      <c r="I502" s="318"/>
      <c r="J502" s="319"/>
      <c r="K502" s="314"/>
      <c r="L502" s="314"/>
      <c r="M502" s="314"/>
      <c r="N502" s="314"/>
      <c r="O502" s="318"/>
      <c r="P502" s="314"/>
      <c r="Q502" s="314"/>
      <c r="R502" s="314"/>
      <c r="S502" s="314"/>
      <c r="T502" s="324"/>
      <c r="U502" s="155"/>
      <c r="V502" s="155"/>
      <c r="W502" s="322"/>
      <c r="X502" s="132"/>
      <c r="Y502" s="132"/>
    </row>
    <row r="503">
      <c r="A503" s="311"/>
      <c r="B503" s="312"/>
      <c r="C503" s="313"/>
      <c r="D503" s="313"/>
      <c r="E503" s="314"/>
      <c r="F503" s="315"/>
      <c r="G503" s="316"/>
      <c r="H503" s="317"/>
      <c r="I503" s="318"/>
      <c r="J503" s="319"/>
      <c r="K503" s="314"/>
      <c r="L503" s="314"/>
      <c r="M503" s="314"/>
      <c r="N503" s="314"/>
      <c r="O503" s="318"/>
      <c r="P503" s="314"/>
      <c r="Q503" s="314"/>
      <c r="R503" s="314"/>
      <c r="S503" s="314"/>
      <c r="T503" s="324"/>
      <c r="U503" s="155"/>
      <c r="V503" s="155"/>
      <c r="W503" s="322"/>
      <c r="X503" s="132"/>
      <c r="Y503" s="132"/>
    </row>
    <row r="504">
      <c r="A504" s="311"/>
      <c r="B504" s="312"/>
      <c r="C504" s="313"/>
      <c r="D504" s="313"/>
      <c r="E504" s="314"/>
      <c r="F504" s="315"/>
      <c r="G504" s="316"/>
      <c r="H504" s="317"/>
      <c r="I504" s="318"/>
      <c r="J504" s="319"/>
      <c r="K504" s="314"/>
      <c r="L504" s="314"/>
      <c r="M504" s="314"/>
      <c r="N504" s="314"/>
      <c r="O504" s="318"/>
      <c r="P504" s="314"/>
      <c r="Q504" s="314"/>
      <c r="R504" s="314"/>
      <c r="S504" s="314"/>
      <c r="T504" s="324"/>
      <c r="U504" s="155"/>
      <c r="V504" s="155"/>
      <c r="W504" s="322"/>
      <c r="X504" s="132"/>
      <c r="Y504" s="132"/>
    </row>
    <row r="505">
      <c r="A505" s="311"/>
      <c r="B505" s="312"/>
      <c r="C505" s="313"/>
      <c r="D505" s="313"/>
      <c r="E505" s="314"/>
      <c r="F505" s="315"/>
      <c r="G505" s="316"/>
      <c r="H505" s="317"/>
      <c r="I505" s="318"/>
      <c r="J505" s="319"/>
      <c r="K505" s="314"/>
      <c r="L505" s="314"/>
      <c r="M505" s="314"/>
      <c r="N505" s="314"/>
      <c r="O505" s="318"/>
      <c r="P505" s="314"/>
      <c r="Q505" s="314"/>
      <c r="R505" s="314"/>
      <c r="S505" s="314"/>
      <c r="T505" s="324"/>
      <c r="U505" s="155"/>
      <c r="V505" s="155"/>
      <c r="W505" s="322"/>
      <c r="X505" s="132"/>
      <c r="Y505" s="132"/>
    </row>
    <row r="506">
      <c r="A506" s="311"/>
      <c r="B506" s="312"/>
      <c r="C506" s="313"/>
      <c r="D506" s="313"/>
      <c r="E506" s="314"/>
      <c r="F506" s="315"/>
      <c r="G506" s="316"/>
      <c r="H506" s="317"/>
      <c r="I506" s="318"/>
      <c r="J506" s="319"/>
      <c r="K506" s="314"/>
      <c r="L506" s="314"/>
      <c r="M506" s="314"/>
      <c r="N506" s="314"/>
      <c r="O506" s="318"/>
      <c r="P506" s="314"/>
      <c r="Q506" s="314"/>
      <c r="R506" s="314"/>
      <c r="S506" s="314"/>
      <c r="T506" s="324"/>
      <c r="U506" s="155"/>
      <c r="V506" s="155"/>
      <c r="W506" s="322"/>
      <c r="X506" s="132"/>
      <c r="Y506" s="132"/>
    </row>
    <row r="507">
      <c r="A507" s="311"/>
      <c r="B507" s="312"/>
      <c r="C507" s="313"/>
      <c r="D507" s="313"/>
      <c r="E507" s="314"/>
      <c r="F507" s="315"/>
      <c r="G507" s="316"/>
      <c r="H507" s="317"/>
      <c r="I507" s="318"/>
      <c r="J507" s="319"/>
      <c r="K507" s="314"/>
      <c r="L507" s="314"/>
      <c r="M507" s="314"/>
      <c r="N507" s="314"/>
      <c r="O507" s="318"/>
      <c r="P507" s="314"/>
      <c r="Q507" s="314"/>
      <c r="R507" s="314"/>
      <c r="S507" s="314"/>
      <c r="T507" s="324"/>
      <c r="U507" s="155"/>
      <c r="V507" s="155"/>
      <c r="W507" s="322"/>
      <c r="X507" s="132"/>
      <c r="Y507" s="132"/>
    </row>
    <row r="508">
      <c r="A508" s="311"/>
      <c r="B508" s="312"/>
      <c r="C508" s="313"/>
      <c r="D508" s="313"/>
      <c r="E508" s="314"/>
      <c r="F508" s="315"/>
      <c r="G508" s="316"/>
      <c r="H508" s="317"/>
      <c r="I508" s="318"/>
      <c r="J508" s="319"/>
      <c r="K508" s="314"/>
      <c r="L508" s="314"/>
      <c r="M508" s="314"/>
      <c r="N508" s="314"/>
      <c r="O508" s="318"/>
      <c r="P508" s="314"/>
      <c r="Q508" s="314"/>
      <c r="R508" s="314"/>
      <c r="S508" s="314"/>
      <c r="T508" s="324"/>
      <c r="U508" s="155"/>
      <c r="V508" s="155"/>
      <c r="W508" s="322"/>
      <c r="X508" s="132"/>
      <c r="Y508" s="132"/>
    </row>
    <row r="509">
      <c r="A509" s="311"/>
      <c r="B509" s="312"/>
      <c r="C509" s="313"/>
      <c r="D509" s="313"/>
      <c r="E509" s="314"/>
      <c r="F509" s="315"/>
      <c r="G509" s="316"/>
      <c r="H509" s="317"/>
      <c r="I509" s="318"/>
      <c r="J509" s="319"/>
      <c r="K509" s="314"/>
      <c r="L509" s="314"/>
      <c r="M509" s="314"/>
      <c r="N509" s="314"/>
      <c r="O509" s="318"/>
      <c r="P509" s="314"/>
      <c r="Q509" s="314"/>
      <c r="R509" s="314"/>
      <c r="S509" s="314"/>
      <c r="T509" s="324"/>
      <c r="U509" s="155"/>
      <c r="V509" s="155"/>
      <c r="W509" s="322"/>
      <c r="X509" s="132"/>
      <c r="Y509" s="132"/>
    </row>
    <row r="510">
      <c r="A510" s="311"/>
      <c r="B510" s="312"/>
      <c r="C510" s="313"/>
      <c r="D510" s="313"/>
      <c r="E510" s="314"/>
      <c r="F510" s="315"/>
      <c r="G510" s="316"/>
      <c r="H510" s="317"/>
      <c r="I510" s="318"/>
      <c r="J510" s="319"/>
      <c r="K510" s="314"/>
      <c r="L510" s="314"/>
      <c r="M510" s="314"/>
      <c r="N510" s="314"/>
      <c r="O510" s="318"/>
      <c r="P510" s="314"/>
      <c r="Q510" s="314"/>
      <c r="R510" s="314"/>
      <c r="S510" s="314"/>
      <c r="T510" s="324"/>
      <c r="U510" s="155"/>
      <c r="V510" s="155"/>
      <c r="W510" s="322"/>
      <c r="X510" s="132"/>
      <c r="Y510" s="132"/>
    </row>
    <row r="511">
      <c r="A511" s="311"/>
      <c r="B511" s="312"/>
      <c r="C511" s="313"/>
      <c r="D511" s="313"/>
      <c r="E511" s="314"/>
      <c r="F511" s="315"/>
      <c r="G511" s="316"/>
      <c r="H511" s="317"/>
      <c r="I511" s="318"/>
      <c r="J511" s="319"/>
      <c r="K511" s="314"/>
      <c r="L511" s="314"/>
      <c r="M511" s="314"/>
      <c r="N511" s="314"/>
      <c r="O511" s="318"/>
      <c r="P511" s="314"/>
      <c r="Q511" s="314"/>
      <c r="R511" s="314"/>
      <c r="S511" s="314"/>
      <c r="T511" s="324"/>
      <c r="U511" s="155"/>
      <c r="V511" s="155"/>
      <c r="W511" s="322"/>
      <c r="X511" s="132"/>
      <c r="Y511" s="132"/>
    </row>
    <row r="512">
      <c r="A512" s="311"/>
      <c r="B512" s="312"/>
      <c r="C512" s="313"/>
      <c r="D512" s="313"/>
      <c r="E512" s="314"/>
      <c r="F512" s="315"/>
      <c r="G512" s="316"/>
      <c r="H512" s="317"/>
      <c r="I512" s="318"/>
      <c r="J512" s="319"/>
      <c r="K512" s="314"/>
      <c r="L512" s="314"/>
      <c r="M512" s="314"/>
      <c r="N512" s="314"/>
      <c r="O512" s="318"/>
      <c r="P512" s="314"/>
      <c r="Q512" s="314"/>
      <c r="R512" s="314"/>
      <c r="S512" s="314"/>
      <c r="T512" s="324"/>
      <c r="U512" s="155"/>
      <c r="V512" s="155"/>
      <c r="W512" s="322"/>
      <c r="X512" s="132"/>
      <c r="Y512" s="132"/>
    </row>
    <row r="513">
      <c r="A513" s="311"/>
      <c r="B513" s="312"/>
      <c r="C513" s="313"/>
      <c r="D513" s="313"/>
      <c r="E513" s="314"/>
      <c r="F513" s="315"/>
      <c r="G513" s="316"/>
      <c r="H513" s="317"/>
      <c r="I513" s="318"/>
      <c r="J513" s="319"/>
      <c r="K513" s="314"/>
      <c r="L513" s="314"/>
      <c r="M513" s="314"/>
      <c r="N513" s="314"/>
      <c r="O513" s="318"/>
      <c r="P513" s="314"/>
      <c r="Q513" s="314"/>
      <c r="R513" s="314"/>
      <c r="S513" s="314"/>
      <c r="T513" s="324"/>
      <c r="U513" s="155"/>
      <c r="V513" s="155"/>
      <c r="W513" s="322"/>
      <c r="X513" s="132"/>
      <c r="Y513" s="132"/>
    </row>
    <row r="514">
      <c r="A514" s="311"/>
      <c r="B514" s="312"/>
      <c r="C514" s="313"/>
      <c r="D514" s="313"/>
      <c r="E514" s="314"/>
      <c r="F514" s="315"/>
      <c r="G514" s="316"/>
      <c r="H514" s="317"/>
      <c r="I514" s="318"/>
      <c r="J514" s="319"/>
      <c r="K514" s="314"/>
      <c r="L514" s="314"/>
      <c r="M514" s="314"/>
      <c r="N514" s="314"/>
      <c r="O514" s="318"/>
      <c r="P514" s="314"/>
      <c r="Q514" s="314"/>
      <c r="R514" s="314"/>
      <c r="S514" s="314"/>
      <c r="T514" s="324"/>
      <c r="U514" s="155"/>
      <c r="V514" s="155"/>
      <c r="W514" s="322"/>
      <c r="X514" s="132"/>
      <c r="Y514" s="132"/>
    </row>
    <row r="515">
      <c r="A515" s="311"/>
      <c r="B515" s="312"/>
      <c r="C515" s="313"/>
      <c r="D515" s="313"/>
      <c r="E515" s="314"/>
      <c r="F515" s="315"/>
      <c r="G515" s="316"/>
      <c r="H515" s="317"/>
      <c r="I515" s="318"/>
      <c r="J515" s="319"/>
      <c r="K515" s="314"/>
      <c r="L515" s="314"/>
      <c r="M515" s="314"/>
      <c r="N515" s="314"/>
      <c r="O515" s="318"/>
      <c r="P515" s="314"/>
      <c r="Q515" s="314"/>
      <c r="R515" s="314"/>
      <c r="S515" s="314"/>
      <c r="T515" s="324"/>
      <c r="U515" s="155"/>
      <c r="V515" s="155"/>
      <c r="W515" s="322"/>
      <c r="X515" s="132"/>
      <c r="Y515" s="132"/>
    </row>
    <row r="516">
      <c r="A516" s="311"/>
      <c r="B516" s="312"/>
      <c r="C516" s="313"/>
      <c r="D516" s="313"/>
      <c r="E516" s="314"/>
      <c r="F516" s="315"/>
      <c r="G516" s="316"/>
      <c r="H516" s="317"/>
      <c r="I516" s="318"/>
      <c r="J516" s="319"/>
      <c r="K516" s="314"/>
      <c r="L516" s="314"/>
      <c r="M516" s="314"/>
      <c r="N516" s="314"/>
      <c r="O516" s="318"/>
      <c r="P516" s="314"/>
      <c r="Q516" s="314"/>
      <c r="R516" s="314"/>
      <c r="S516" s="314"/>
      <c r="T516" s="324"/>
      <c r="U516" s="155"/>
      <c r="V516" s="155"/>
      <c r="W516" s="322"/>
      <c r="X516" s="132"/>
      <c r="Y516" s="132"/>
    </row>
    <row r="517">
      <c r="A517" s="311"/>
      <c r="B517" s="312"/>
      <c r="C517" s="313"/>
      <c r="D517" s="313"/>
      <c r="E517" s="314"/>
      <c r="F517" s="315"/>
      <c r="G517" s="316"/>
      <c r="H517" s="317"/>
      <c r="I517" s="318"/>
      <c r="J517" s="319"/>
      <c r="K517" s="314"/>
      <c r="L517" s="314"/>
      <c r="M517" s="314"/>
      <c r="N517" s="314"/>
      <c r="O517" s="318"/>
      <c r="P517" s="314"/>
      <c r="Q517" s="314"/>
      <c r="R517" s="314"/>
      <c r="S517" s="314"/>
      <c r="T517" s="324"/>
      <c r="U517" s="155"/>
      <c r="V517" s="155"/>
      <c r="W517" s="322"/>
      <c r="X517" s="132"/>
      <c r="Y517" s="132"/>
    </row>
    <row r="518">
      <c r="A518" s="311"/>
      <c r="B518" s="312"/>
      <c r="C518" s="313"/>
      <c r="D518" s="313"/>
      <c r="E518" s="314"/>
      <c r="F518" s="315"/>
      <c r="G518" s="316"/>
      <c r="H518" s="317"/>
      <c r="I518" s="318"/>
      <c r="J518" s="319"/>
      <c r="K518" s="314"/>
      <c r="L518" s="314"/>
      <c r="M518" s="314"/>
      <c r="N518" s="314"/>
      <c r="O518" s="318"/>
      <c r="P518" s="314"/>
      <c r="Q518" s="314"/>
      <c r="R518" s="314"/>
      <c r="S518" s="314"/>
      <c r="T518" s="324"/>
      <c r="U518" s="155"/>
      <c r="V518" s="155"/>
      <c r="W518" s="322"/>
      <c r="X518" s="132"/>
      <c r="Y518" s="132"/>
    </row>
    <row r="519">
      <c r="A519" s="311"/>
      <c r="B519" s="312"/>
      <c r="C519" s="313"/>
      <c r="D519" s="313"/>
      <c r="E519" s="314"/>
      <c r="F519" s="315"/>
      <c r="G519" s="316"/>
      <c r="H519" s="317"/>
      <c r="I519" s="318"/>
      <c r="J519" s="319"/>
      <c r="K519" s="314"/>
      <c r="L519" s="314"/>
      <c r="M519" s="314"/>
      <c r="N519" s="314"/>
      <c r="O519" s="318"/>
      <c r="P519" s="314"/>
      <c r="Q519" s="314"/>
      <c r="R519" s="314"/>
      <c r="S519" s="314"/>
      <c r="T519" s="324"/>
      <c r="U519" s="155"/>
      <c r="V519" s="155"/>
      <c r="W519" s="322"/>
      <c r="X519" s="132"/>
      <c r="Y519" s="132"/>
    </row>
    <row r="520">
      <c r="A520" s="311"/>
      <c r="B520" s="312"/>
      <c r="C520" s="313"/>
      <c r="D520" s="313"/>
      <c r="E520" s="314"/>
      <c r="F520" s="315"/>
      <c r="G520" s="316"/>
      <c r="H520" s="317"/>
      <c r="I520" s="318"/>
      <c r="J520" s="319"/>
      <c r="K520" s="314"/>
      <c r="L520" s="314"/>
      <c r="M520" s="314"/>
      <c r="N520" s="314"/>
      <c r="O520" s="318"/>
      <c r="P520" s="314"/>
      <c r="Q520" s="314"/>
      <c r="R520" s="314"/>
      <c r="S520" s="314"/>
      <c r="T520" s="324"/>
      <c r="U520" s="155"/>
      <c r="V520" s="155"/>
      <c r="W520" s="322"/>
      <c r="X520" s="132"/>
      <c r="Y520" s="132"/>
    </row>
    <row r="521">
      <c r="A521" s="311"/>
      <c r="B521" s="312"/>
      <c r="C521" s="313"/>
      <c r="D521" s="313"/>
      <c r="E521" s="314"/>
      <c r="F521" s="315"/>
      <c r="G521" s="316"/>
      <c r="H521" s="317"/>
      <c r="I521" s="318"/>
      <c r="J521" s="319"/>
      <c r="K521" s="314"/>
      <c r="L521" s="314"/>
      <c r="M521" s="314"/>
      <c r="N521" s="314"/>
      <c r="O521" s="318"/>
      <c r="P521" s="314"/>
      <c r="Q521" s="314"/>
      <c r="R521" s="314"/>
      <c r="S521" s="314"/>
      <c r="T521" s="324"/>
      <c r="U521" s="155"/>
      <c r="V521" s="155"/>
      <c r="W521" s="322"/>
      <c r="X521" s="132"/>
      <c r="Y521" s="132"/>
    </row>
    <row r="522">
      <c r="A522" s="311"/>
      <c r="B522" s="312"/>
      <c r="C522" s="313"/>
      <c r="D522" s="313"/>
      <c r="E522" s="314"/>
      <c r="F522" s="315"/>
      <c r="G522" s="316"/>
      <c r="H522" s="317"/>
      <c r="I522" s="318"/>
      <c r="J522" s="319"/>
      <c r="K522" s="314"/>
      <c r="L522" s="314"/>
      <c r="M522" s="314"/>
      <c r="N522" s="314"/>
      <c r="O522" s="318"/>
      <c r="P522" s="314"/>
      <c r="Q522" s="314"/>
      <c r="R522" s="314"/>
      <c r="S522" s="314"/>
      <c r="T522" s="324"/>
      <c r="U522" s="155"/>
      <c r="V522" s="155"/>
      <c r="W522" s="322"/>
      <c r="X522" s="132"/>
      <c r="Y522" s="132"/>
    </row>
    <row r="523">
      <c r="A523" s="311"/>
      <c r="B523" s="312"/>
      <c r="C523" s="313"/>
      <c r="D523" s="313"/>
      <c r="E523" s="314"/>
      <c r="F523" s="315"/>
      <c r="G523" s="316"/>
      <c r="H523" s="317"/>
      <c r="I523" s="318"/>
      <c r="J523" s="319"/>
      <c r="K523" s="314"/>
      <c r="L523" s="314"/>
      <c r="M523" s="314"/>
      <c r="N523" s="314"/>
      <c r="O523" s="318"/>
      <c r="P523" s="314"/>
      <c r="Q523" s="314"/>
      <c r="R523" s="314"/>
      <c r="S523" s="314"/>
      <c r="T523" s="324"/>
      <c r="U523" s="155"/>
      <c r="V523" s="155"/>
      <c r="W523" s="322"/>
      <c r="X523" s="132"/>
      <c r="Y523" s="132"/>
    </row>
    <row r="524">
      <c r="A524" s="311"/>
      <c r="B524" s="312"/>
      <c r="C524" s="313"/>
      <c r="D524" s="313"/>
      <c r="E524" s="314"/>
      <c r="F524" s="315"/>
      <c r="G524" s="316"/>
      <c r="H524" s="317"/>
      <c r="I524" s="318"/>
      <c r="J524" s="319"/>
      <c r="K524" s="314"/>
      <c r="L524" s="314"/>
      <c r="M524" s="314"/>
      <c r="N524" s="314"/>
      <c r="O524" s="318"/>
      <c r="P524" s="314"/>
      <c r="Q524" s="314"/>
      <c r="R524" s="314"/>
      <c r="S524" s="314"/>
      <c r="T524" s="324"/>
      <c r="U524" s="155"/>
      <c r="V524" s="155"/>
      <c r="W524" s="322"/>
      <c r="X524" s="132"/>
      <c r="Y524" s="132"/>
    </row>
    <row r="525">
      <c r="A525" s="311"/>
      <c r="B525" s="312"/>
      <c r="C525" s="313"/>
      <c r="D525" s="313"/>
      <c r="E525" s="314"/>
      <c r="F525" s="315"/>
      <c r="G525" s="316"/>
      <c r="H525" s="317"/>
      <c r="I525" s="318"/>
      <c r="J525" s="319"/>
      <c r="K525" s="314"/>
      <c r="L525" s="314"/>
      <c r="M525" s="314"/>
      <c r="N525" s="314"/>
      <c r="O525" s="318"/>
      <c r="P525" s="314"/>
      <c r="Q525" s="314"/>
      <c r="R525" s="314"/>
      <c r="S525" s="314"/>
      <c r="T525" s="324"/>
      <c r="U525" s="155"/>
      <c r="V525" s="155"/>
      <c r="W525" s="322"/>
      <c r="X525" s="132"/>
      <c r="Y525" s="132"/>
    </row>
    <row r="526">
      <c r="A526" s="311"/>
      <c r="B526" s="312"/>
      <c r="C526" s="313"/>
      <c r="D526" s="313"/>
      <c r="E526" s="314"/>
      <c r="F526" s="315"/>
      <c r="G526" s="316"/>
      <c r="H526" s="317"/>
      <c r="I526" s="318"/>
      <c r="J526" s="319"/>
      <c r="K526" s="314"/>
      <c r="L526" s="314"/>
      <c r="M526" s="314"/>
      <c r="N526" s="314"/>
      <c r="O526" s="318"/>
      <c r="P526" s="314"/>
      <c r="Q526" s="314"/>
      <c r="R526" s="314"/>
      <c r="S526" s="314"/>
      <c r="T526" s="324"/>
      <c r="U526" s="155"/>
      <c r="V526" s="155"/>
      <c r="W526" s="322"/>
      <c r="X526" s="132"/>
      <c r="Y526" s="132"/>
    </row>
    <row r="527">
      <c r="A527" s="311"/>
      <c r="B527" s="312"/>
      <c r="C527" s="313"/>
      <c r="D527" s="313"/>
      <c r="E527" s="314"/>
      <c r="F527" s="315"/>
      <c r="G527" s="316"/>
      <c r="H527" s="317"/>
      <c r="I527" s="318"/>
      <c r="J527" s="319"/>
      <c r="K527" s="314"/>
      <c r="L527" s="314"/>
      <c r="M527" s="314"/>
      <c r="N527" s="314"/>
      <c r="O527" s="318"/>
      <c r="P527" s="314"/>
      <c r="Q527" s="314"/>
      <c r="R527" s="314"/>
      <c r="S527" s="314"/>
      <c r="T527" s="324"/>
      <c r="U527" s="155"/>
      <c r="V527" s="155"/>
      <c r="W527" s="322"/>
      <c r="X527" s="132"/>
      <c r="Y527" s="132"/>
    </row>
    <row r="528">
      <c r="A528" s="311"/>
      <c r="B528" s="312"/>
      <c r="C528" s="313"/>
      <c r="D528" s="313"/>
      <c r="E528" s="314"/>
      <c r="F528" s="315"/>
      <c r="G528" s="316"/>
      <c r="H528" s="317"/>
      <c r="I528" s="318"/>
      <c r="J528" s="319"/>
      <c r="K528" s="314"/>
      <c r="L528" s="314"/>
      <c r="M528" s="314"/>
      <c r="N528" s="314"/>
      <c r="O528" s="318"/>
      <c r="P528" s="314"/>
      <c r="Q528" s="314"/>
      <c r="R528" s="314"/>
      <c r="S528" s="314"/>
      <c r="T528" s="324"/>
      <c r="U528" s="155"/>
      <c r="V528" s="155"/>
      <c r="W528" s="322"/>
      <c r="X528" s="132"/>
      <c r="Y528" s="132"/>
    </row>
    <row r="529">
      <c r="A529" s="311"/>
      <c r="B529" s="312"/>
      <c r="C529" s="313"/>
      <c r="D529" s="313"/>
      <c r="E529" s="314"/>
      <c r="F529" s="315"/>
      <c r="G529" s="316"/>
      <c r="H529" s="317"/>
      <c r="I529" s="318"/>
      <c r="J529" s="319"/>
      <c r="K529" s="314"/>
      <c r="L529" s="314"/>
      <c r="M529" s="314"/>
      <c r="N529" s="314"/>
      <c r="O529" s="318"/>
      <c r="P529" s="314"/>
      <c r="Q529" s="314"/>
      <c r="R529" s="314"/>
      <c r="S529" s="314"/>
      <c r="T529" s="324"/>
      <c r="U529" s="155"/>
      <c r="V529" s="155"/>
      <c r="W529" s="322"/>
      <c r="X529" s="132"/>
      <c r="Y529" s="132"/>
    </row>
    <row r="530">
      <c r="A530" s="311"/>
      <c r="B530" s="312"/>
      <c r="C530" s="313"/>
      <c r="D530" s="313"/>
      <c r="E530" s="314"/>
      <c r="F530" s="315"/>
      <c r="G530" s="316"/>
      <c r="H530" s="317"/>
      <c r="I530" s="318"/>
      <c r="J530" s="319"/>
      <c r="K530" s="314"/>
      <c r="L530" s="314"/>
      <c r="M530" s="314"/>
      <c r="N530" s="314"/>
      <c r="O530" s="318"/>
      <c r="P530" s="314"/>
      <c r="Q530" s="314"/>
      <c r="R530" s="314"/>
      <c r="S530" s="314"/>
      <c r="T530" s="324"/>
      <c r="U530" s="155"/>
      <c r="V530" s="155"/>
      <c r="W530" s="322"/>
      <c r="X530" s="132"/>
      <c r="Y530" s="132"/>
    </row>
    <row r="531">
      <c r="A531" s="311"/>
      <c r="B531" s="312"/>
      <c r="C531" s="313"/>
      <c r="D531" s="313"/>
      <c r="E531" s="314"/>
      <c r="F531" s="315"/>
      <c r="G531" s="316"/>
      <c r="H531" s="317"/>
      <c r="I531" s="318"/>
      <c r="J531" s="319"/>
      <c r="K531" s="314"/>
      <c r="L531" s="314"/>
      <c r="M531" s="314"/>
      <c r="N531" s="314"/>
      <c r="O531" s="318"/>
      <c r="P531" s="314"/>
      <c r="Q531" s="314"/>
      <c r="R531" s="314"/>
      <c r="S531" s="314"/>
      <c r="T531" s="324"/>
      <c r="U531" s="155"/>
      <c r="V531" s="155"/>
      <c r="W531" s="322"/>
      <c r="X531" s="132"/>
      <c r="Y531" s="132"/>
    </row>
    <row r="532">
      <c r="A532" s="311"/>
      <c r="B532" s="312"/>
      <c r="C532" s="313"/>
      <c r="D532" s="313"/>
      <c r="E532" s="314"/>
      <c r="F532" s="315"/>
      <c r="G532" s="316"/>
      <c r="H532" s="317"/>
      <c r="I532" s="318"/>
      <c r="J532" s="319"/>
      <c r="K532" s="314"/>
      <c r="L532" s="314"/>
      <c r="M532" s="314"/>
      <c r="N532" s="314"/>
      <c r="O532" s="318"/>
      <c r="P532" s="314"/>
      <c r="Q532" s="314"/>
      <c r="R532" s="314"/>
      <c r="S532" s="314"/>
      <c r="T532" s="324"/>
      <c r="U532" s="155"/>
      <c r="V532" s="155"/>
      <c r="W532" s="322"/>
      <c r="X532" s="132"/>
      <c r="Y532" s="132"/>
    </row>
    <row r="533">
      <c r="A533" s="311"/>
      <c r="B533" s="312"/>
      <c r="C533" s="313"/>
      <c r="D533" s="313"/>
      <c r="E533" s="314"/>
      <c r="F533" s="315"/>
      <c r="G533" s="316"/>
      <c r="H533" s="317"/>
      <c r="I533" s="318"/>
      <c r="J533" s="319"/>
      <c r="K533" s="314"/>
      <c r="L533" s="314"/>
      <c r="M533" s="314"/>
      <c r="N533" s="314"/>
      <c r="O533" s="318"/>
      <c r="P533" s="314"/>
      <c r="Q533" s="314"/>
      <c r="R533" s="314"/>
      <c r="S533" s="314"/>
      <c r="T533" s="324"/>
      <c r="U533" s="155"/>
      <c r="V533" s="155"/>
      <c r="W533" s="322"/>
      <c r="X533" s="132"/>
      <c r="Y533" s="132"/>
    </row>
    <row r="534">
      <c r="A534" s="311"/>
      <c r="B534" s="312"/>
      <c r="C534" s="313"/>
      <c r="D534" s="313"/>
      <c r="E534" s="314"/>
      <c r="F534" s="315"/>
      <c r="G534" s="316"/>
      <c r="H534" s="317"/>
      <c r="I534" s="318"/>
      <c r="J534" s="319"/>
      <c r="K534" s="314"/>
      <c r="L534" s="314"/>
      <c r="M534" s="314"/>
      <c r="N534" s="314"/>
      <c r="O534" s="318"/>
      <c r="P534" s="314"/>
      <c r="Q534" s="314"/>
      <c r="R534" s="314"/>
      <c r="S534" s="314"/>
      <c r="T534" s="324"/>
      <c r="U534" s="155"/>
      <c r="V534" s="155"/>
      <c r="W534" s="322"/>
      <c r="X534" s="132"/>
      <c r="Y534" s="132"/>
    </row>
    <row r="535">
      <c r="A535" s="311"/>
      <c r="B535" s="312"/>
      <c r="C535" s="313"/>
      <c r="D535" s="313"/>
      <c r="E535" s="314"/>
      <c r="F535" s="315"/>
      <c r="G535" s="316"/>
      <c r="H535" s="317"/>
      <c r="I535" s="318"/>
      <c r="J535" s="319"/>
      <c r="K535" s="314"/>
      <c r="L535" s="314"/>
      <c r="M535" s="314"/>
      <c r="N535" s="314"/>
      <c r="O535" s="318"/>
      <c r="P535" s="314"/>
      <c r="Q535" s="314"/>
      <c r="R535" s="314"/>
      <c r="S535" s="314"/>
      <c r="T535" s="324"/>
      <c r="U535" s="155"/>
      <c r="V535" s="155"/>
      <c r="W535" s="322"/>
      <c r="X535" s="132"/>
      <c r="Y535" s="132"/>
    </row>
    <row r="536">
      <c r="A536" s="311"/>
      <c r="B536" s="312"/>
      <c r="C536" s="313"/>
      <c r="D536" s="313"/>
      <c r="E536" s="314"/>
      <c r="F536" s="315"/>
      <c r="G536" s="316"/>
      <c r="H536" s="317"/>
      <c r="I536" s="318"/>
      <c r="J536" s="319"/>
      <c r="K536" s="314"/>
      <c r="L536" s="314"/>
      <c r="M536" s="314"/>
      <c r="N536" s="314"/>
      <c r="O536" s="318"/>
      <c r="P536" s="314"/>
      <c r="Q536" s="314"/>
      <c r="R536" s="314"/>
      <c r="S536" s="314"/>
      <c r="T536" s="324"/>
      <c r="U536" s="155"/>
      <c r="V536" s="155"/>
      <c r="W536" s="322"/>
      <c r="X536" s="132"/>
      <c r="Y536" s="132"/>
    </row>
    <row r="537">
      <c r="A537" s="311"/>
      <c r="B537" s="312"/>
      <c r="C537" s="313"/>
      <c r="D537" s="313"/>
      <c r="E537" s="314"/>
      <c r="F537" s="315"/>
      <c r="G537" s="316"/>
      <c r="H537" s="317"/>
      <c r="I537" s="318"/>
      <c r="J537" s="319"/>
      <c r="K537" s="314"/>
      <c r="L537" s="314"/>
      <c r="M537" s="314"/>
      <c r="N537" s="314"/>
      <c r="O537" s="318"/>
      <c r="P537" s="314"/>
      <c r="Q537" s="314"/>
      <c r="R537" s="314"/>
      <c r="S537" s="314"/>
      <c r="T537" s="324"/>
      <c r="U537" s="155"/>
      <c r="V537" s="155"/>
      <c r="W537" s="322"/>
      <c r="X537" s="132"/>
      <c r="Y537" s="132"/>
    </row>
    <row r="538">
      <c r="A538" s="311"/>
      <c r="B538" s="312"/>
      <c r="C538" s="313"/>
      <c r="D538" s="313"/>
      <c r="E538" s="314"/>
      <c r="F538" s="315"/>
      <c r="G538" s="316"/>
      <c r="H538" s="317"/>
      <c r="I538" s="318"/>
      <c r="J538" s="319"/>
      <c r="K538" s="314"/>
      <c r="L538" s="314"/>
      <c r="M538" s="314"/>
      <c r="N538" s="314"/>
      <c r="O538" s="318"/>
      <c r="P538" s="314"/>
      <c r="Q538" s="314"/>
      <c r="R538" s="314"/>
      <c r="S538" s="314"/>
      <c r="T538" s="324"/>
      <c r="U538" s="155"/>
      <c r="V538" s="155"/>
      <c r="W538" s="322"/>
      <c r="X538" s="132"/>
      <c r="Y538" s="132"/>
    </row>
    <row r="539">
      <c r="A539" s="311"/>
      <c r="B539" s="312"/>
      <c r="C539" s="313"/>
      <c r="D539" s="313"/>
      <c r="E539" s="314"/>
      <c r="F539" s="315"/>
      <c r="G539" s="316"/>
      <c r="H539" s="317"/>
      <c r="I539" s="318"/>
      <c r="J539" s="319"/>
      <c r="K539" s="314"/>
      <c r="L539" s="314"/>
      <c r="M539" s="314"/>
      <c r="N539" s="314"/>
      <c r="O539" s="318"/>
      <c r="P539" s="314"/>
      <c r="Q539" s="314"/>
      <c r="R539" s="314"/>
      <c r="S539" s="314"/>
      <c r="T539" s="324"/>
      <c r="U539" s="155"/>
      <c r="V539" s="155"/>
      <c r="W539" s="322"/>
      <c r="X539" s="132"/>
      <c r="Y539" s="132"/>
    </row>
    <row r="540">
      <c r="A540" s="311"/>
      <c r="B540" s="312"/>
      <c r="C540" s="313"/>
      <c r="D540" s="313"/>
      <c r="E540" s="314"/>
      <c r="F540" s="315"/>
      <c r="G540" s="316"/>
      <c r="H540" s="317"/>
      <c r="I540" s="318"/>
      <c r="J540" s="319"/>
      <c r="K540" s="314"/>
      <c r="L540" s="314"/>
      <c r="M540" s="314"/>
      <c r="N540" s="314"/>
      <c r="O540" s="318"/>
      <c r="P540" s="314"/>
      <c r="Q540" s="314"/>
      <c r="R540" s="314"/>
      <c r="S540" s="314"/>
      <c r="T540" s="324"/>
      <c r="U540" s="155"/>
      <c r="V540" s="155"/>
      <c r="W540" s="322"/>
      <c r="X540" s="132"/>
      <c r="Y540" s="132"/>
    </row>
    <row r="541">
      <c r="A541" s="311"/>
      <c r="B541" s="312"/>
      <c r="C541" s="313"/>
      <c r="D541" s="313"/>
      <c r="E541" s="314"/>
      <c r="F541" s="315"/>
      <c r="G541" s="316"/>
      <c r="H541" s="317"/>
      <c r="I541" s="318"/>
      <c r="J541" s="319"/>
      <c r="K541" s="314"/>
      <c r="L541" s="314"/>
      <c r="M541" s="314"/>
      <c r="N541" s="314"/>
      <c r="O541" s="318"/>
      <c r="P541" s="314"/>
      <c r="Q541" s="314"/>
      <c r="R541" s="314"/>
      <c r="S541" s="314"/>
      <c r="T541" s="324"/>
      <c r="U541" s="155"/>
      <c r="V541" s="155"/>
      <c r="W541" s="322"/>
      <c r="X541" s="132"/>
      <c r="Y541" s="132"/>
    </row>
    <row r="542">
      <c r="A542" s="311"/>
      <c r="B542" s="312"/>
      <c r="C542" s="313"/>
      <c r="D542" s="313"/>
      <c r="E542" s="314"/>
      <c r="F542" s="315"/>
      <c r="G542" s="316"/>
      <c r="H542" s="317"/>
      <c r="I542" s="318"/>
      <c r="J542" s="319"/>
      <c r="K542" s="314"/>
      <c r="L542" s="314"/>
      <c r="M542" s="314"/>
      <c r="N542" s="314"/>
      <c r="O542" s="318"/>
      <c r="P542" s="314"/>
      <c r="Q542" s="314"/>
      <c r="R542" s="314"/>
      <c r="S542" s="314"/>
      <c r="T542" s="324"/>
      <c r="U542" s="155"/>
      <c r="V542" s="155"/>
      <c r="W542" s="322"/>
      <c r="X542" s="132"/>
      <c r="Y542" s="132"/>
    </row>
    <row r="543">
      <c r="A543" s="311"/>
      <c r="B543" s="312"/>
      <c r="C543" s="313"/>
      <c r="D543" s="313"/>
      <c r="E543" s="314"/>
      <c r="F543" s="315"/>
      <c r="G543" s="316"/>
      <c r="H543" s="317"/>
      <c r="I543" s="318"/>
      <c r="J543" s="319"/>
      <c r="K543" s="314"/>
      <c r="L543" s="314"/>
      <c r="M543" s="314"/>
      <c r="N543" s="314"/>
      <c r="O543" s="318"/>
      <c r="P543" s="314"/>
      <c r="Q543" s="314"/>
      <c r="R543" s="314"/>
      <c r="S543" s="314"/>
      <c r="T543" s="324"/>
      <c r="U543" s="155"/>
      <c r="V543" s="155"/>
      <c r="W543" s="322"/>
      <c r="X543" s="132"/>
      <c r="Y543" s="132"/>
    </row>
    <row r="544">
      <c r="A544" s="311"/>
      <c r="B544" s="312"/>
      <c r="C544" s="313"/>
      <c r="D544" s="313"/>
      <c r="E544" s="314"/>
      <c r="F544" s="315"/>
      <c r="G544" s="316"/>
      <c r="H544" s="317"/>
      <c r="I544" s="318"/>
      <c r="J544" s="319"/>
      <c r="K544" s="314"/>
      <c r="L544" s="314"/>
      <c r="M544" s="314"/>
      <c r="N544" s="314"/>
      <c r="O544" s="318"/>
      <c r="P544" s="314"/>
      <c r="Q544" s="314"/>
      <c r="R544" s="314"/>
      <c r="S544" s="314"/>
      <c r="T544" s="324"/>
      <c r="U544" s="155"/>
      <c r="V544" s="155"/>
      <c r="W544" s="322"/>
      <c r="X544" s="132"/>
      <c r="Y544" s="132"/>
    </row>
    <row r="545">
      <c r="A545" s="311"/>
      <c r="B545" s="312"/>
      <c r="C545" s="313"/>
      <c r="D545" s="313"/>
      <c r="E545" s="314"/>
      <c r="F545" s="315"/>
      <c r="G545" s="316"/>
      <c r="H545" s="317"/>
      <c r="I545" s="318"/>
      <c r="J545" s="319"/>
      <c r="K545" s="314"/>
      <c r="L545" s="314"/>
      <c r="M545" s="314"/>
      <c r="N545" s="314"/>
      <c r="O545" s="318"/>
      <c r="P545" s="314"/>
      <c r="Q545" s="314"/>
      <c r="R545" s="314"/>
      <c r="S545" s="314"/>
      <c r="T545" s="324"/>
      <c r="U545" s="155"/>
      <c r="V545" s="155"/>
      <c r="W545" s="322"/>
      <c r="X545" s="132"/>
      <c r="Y545" s="132"/>
    </row>
    <row r="546">
      <c r="A546" s="311"/>
      <c r="B546" s="312"/>
      <c r="C546" s="313"/>
      <c r="D546" s="313"/>
      <c r="E546" s="314"/>
      <c r="F546" s="315"/>
      <c r="G546" s="316"/>
      <c r="H546" s="317"/>
      <c r="I546" s="318"/>
      <c r="J546" s="319"/>
      <c r="K546" s="314"/>
      <c r="L546" s="314"/>
      <c r="M546" s="314"/>
      <c r="N546" s="314"/>
      <c r="O546" s="318"/>
      <c r="P546" s="314"/>
      <c r="Q546" s="314"/>
      <c r="R546" s="314"/>
      <c r="S546" s="314"/>
      <c r="T546" s="324"/>
      <c r="U546" s="155"/>
      <c r="V546" s="155"/>
      <c r="W546" s="322"/>
      <c r="X546" s="132"/>
      <c r="Y546" s="132"/>
    </row>
    <row r="547">
      <c r="A547" s="311"/>
      <c r="B547" s="312"/>
      <c r="C547" s="313"/>
      <c r="D547" s="313"/>
      <c r="E547" s="314"/>
      <c r="F547" s="315"/>
      <c r="G547" s="316"/>
      <c r="H547" s="317"/>
      <c r="I547" s="318"/>
      <c r="J547" s="319"/>
      <c r="K547" s="314"/>
      <c r="L547" s="314"/>
      <c r="M547" s="314"/>
      <c r="N547" s="314"/>
      <c r="O547" s="318"/>
      <c r="P547" s="314"/>
      <c r="Q547" s="314"/>
      <c r="R547" s="314"/>
      <c r="S547" s="314"/>
      <c r="T547" s="324"/>
      <c r="U547" s="155"/>
      <c r="V547" s="155"/>
      <c r="W547" s="322"/>
      <c r="X547" s="132"/>
      <c r="Y547" s="132"/>
    </row>
    <row r="548">
      <c r="A548" s="311"/>
      <c r="B548" s="312"/>
      <c r="C548" s="313"/>
      <c r="D548" s="313"/>
      <c r="E548" s="314"/>
      <c r="F548" s="315"/>
      <c r="G548" s="316"/>
      <c r="H548" s="317"/>
      <c r="I548" s="318"/>
      <c r="J548" s="319"/>
      <c r="K548" s="314"/>
      <c r="L548" s="314"/>
      <c r="M548" s="314"/>
      <c r="N548" s="314"/>
      <c r="O548" s="318"/>
      <c r="P548" s="314"/>
      <c r="Q548" s="314"/>
      <c r="R548" s="314"/>
      <c r="S548" s="314"/>
      <c r="T548" s="324"/>
      <c r="U548" s="155"/>
      <c r="V548" s="155"/>
      <c r="W548" s="322"/>
      <c r="X548" s="132"/>
      <c r="Y548" s="132"/>
    </row>
    <row r="549">
      <c r="A549" s="311"/>
      <c r="B549" s="312"/>
      <c r="C549" s="313"/>
      <c r="D549" s="313"/>
      <c r="E549" s="314"/>
      <c r="F549" s="315"/>
      <c r="G549" s="316"/>
      <c r="H549" s="317"/>
      <c r="I549" s="318"/>
      <c r="J549" s="319"/>
      <c r="K549" s="314"/>
      <c r="L549" s="314"/>
      <c r="M549" s="314"/>
      <c r="N549" s="314"/>
      <c r="O549" s="318"/>
      <c r="P549" s="314"/>
      <c r="Q549" s="314"/>
      <c r="R549" s="314"/>
      <c r="S549" s="314"/>
      <c r="T549" s="324"/>
      <c r="U549" s="155"/>
      <c r="V549" s="155"/>
      <c r="W549" s="322"/>
      <c r="X549" s="132"/>
      <c r="Y549" s="132"/>
    </row>
    <row r="550">
      <c r="A550" s="311"/>
      <c r="B550" s="312"/>
      <c r="C550" s="313"/>
      <c r="D550" s="313"/>
      <c r="E550" s="314"/>
      <c r="F550" s="315"/>
      <c r="G550" s="316"/>
      <c r="H550" s="317"/>
      <c r="I550" s="318"/>
      <c r="J550" s="319"/>
      <c r="K550" s="314"/>
      <c r="L550" s="314"/>
      <c r="M550" s="314"/>
      <c r="N550" s="314"/>
      <c r="O550" s="318"/>
      <c r="P550" s="314"/>
      <c r="Q550" s="314"/>
      <c r="R550" s="314"/>
      <c r="S550" s="314"/>
      <c r="T550" s="324"/>
      <c r="U550" s="155"/>
      <c r="V550" s="155"/>
      <c r="W550" s="322"/>
      <c r="X550" s="132"/>
      <c r="Y550" s="132"/>
    </row>
    <row r="551">
      <c r="A551" s="311"/>
      <c r="B551" s="312"/>
      <c r="C551" s="313"/>
      <c r="D551" s="313"/>
      <c r="E551" s="314"/>
      <c r="F551" s="315"/>
      <c r="G551" s="316"/>
      <c r="H551" s="317"/>
      <c r="I551" s="318"/>
      <c r="J551" s="319"/>
      <c r="K551" s="314"/>
      <c r="L551" s="314"/>
      <c r="M551" s="314"/>
      <c r="N551" s="314"/>
      <c r="O551" s="318"/>
      <c r="P551" s="314"/>
      <c r="Q551" s="314"/>
      <c r="R551" s="314"/>
      <c r="S551" s="314"/>
      <c r="T551" s="324"/>
      <c r="U551" s="155"/>
      <c r="V551" s="155"/>
      <c r="W551" s="322"/>
      <c r="X551" s="132"/>
      <c r="Y551" s="132"/>
    </row>
    <row r="552">
      <c r="A552" s="311"/>
      <c r="B552" s="312"/>
      <c r="C552" s="313"/>
      <c r="D552" s="313"/>
      <c r="E552" s="314"/>
      <c r="F552" s="315"/>
      <c r="G552" s="316"/>
      <c r="H552" s="317"/>
      <c r="I552" s="318"/>
      <c r="J552" s="319"/>
      <c r="K552" s="314"/>
      <c r="L552" s="314"/>
      <c r="M552" s="314"/>
      <c r="N552" s="314"/>
      <c r="O552" s="318"/>
      <c r="P552" s="314"/>
      <c r="Q552" s="314"/>
      <c r="R552" s="314"/>
      <c r="S552" s="314"/>
      <c r="T552" s="324"/>
      <c r="U552" s="155"/>
      <c r="V552" s="155"/>
      <c r="W552" s="322"/>
      <c r="X552" s="132"/>
      <c r="Y552" s="132"/>
    </row>
    <row r="553">
      <c r="A553" s="311"/>
      <c r="B553" s="312"/>
      <c r="C553" s="313"/>
      <c r="D553" s="313"/>
      <c r="E553" s="314"/>
      <c r="F553" s="315"/>
      <c r="G553" s="316"/>
      <c r="H553" s="317"/>
      <c r="I553" s="318"/>
      <c r="J553" s="319"/>
      <c r="K553" s="314"/>
      <c r="L553" s="314"/>
      <c r="M553" s="314"/>
      <c r="N553" s="314"/>
      <c r="O553" s="318"/>
      <c r="P553" s="314"/>
      <c r="Q553" s="314"/>
      <c r="R553" s="314"/>
      <c r="S553" s="314"/>
      <c r="T553" s="324"/>
      <c r="U553" s="155"/>
      <c r="V553" s="155"/>
      <c r="W553" s="322"/>
      <c r="X553" s="132"/>
      <c r="Y553" s="132"/>
    </row>
    <row r="554">
      <c r="A554" s="311"/>
      <c r="B554" s="312"/>
      <c r="C554" s="313"/>
      <c r="D554" s="313"/>
      <c r="E554" s="314"/>
      <c r="F554" s="315"/>
      <c r="G554" s="316"/>
      <c r="H554" s="317"/>
      <c r="I554" s="318"/>
      <c r="J554" s="319"/>
      <c r="K554" s="314"/>
      <c r="L554" s="314"/>
      <c r="M554" s="314"/>
      <c r="N554" s="314"/>
      <c r="O554" s="318"/>
      <c r="P554" s="314"/>
      <c r="Q554" s="314"/>
      <c r="R554" s="314"/>
      <c r="S554" s="314"/>
      <c r="T554" s="324"/>
      <c r="U554" s="155"/>
      <c r="V554" s="155"/>
      <c r="W554" s="322"/>
      <c r="X554" s="132"/>
      <c r="Y554" s="132"/>
    </row>
    <row r="555">
      <c r="A555" s="311"/>
      <c r="B555" s="312"/>
      <c r="C555" s="313"/>
      <c r="D555" s="313"/>
      <c r="E555" s="314"/>
      <c r="F555" s="315"/>
      <c r="G555" s="316"/>
      <c r="H555" s="317"/>
      <c r="I555" s="318"/>
      <c r="J555" s="319"/>
      <c r="K555" s="314"/>
      <c r="L555" s="314"/>
      <c r="M555" s="314"/>
      <c r="N555" s="314"/>
      <c r="O555" s="318"/>
      <c r="P555" s="314"/>
      <c r="Q555" s="314"/>
      <c r="R555" s="314"/>
      <c r="S555" s="314"/>
      <c r="T555" s="324"/>
      <c r="U555" s="155"/>
      <c r="V555" s="155"/>
      <c r="W555" s="322"/>
      <c r="X555" s="132"/>
      <c r="Y555" s="132"/>
    </row>
    <row r="556">
      <c r="A556" s="311"/>
      <c r="B556" s="312"/>
      <c r="C556" s="313"/>
      <c r="D556" s="313"/>
      <c r="E556" s="314"/>
      <c r="F556" s="315"/>
      <c r="G556" s="316"/>
      <c r="H556" s="317"/>
      <c r="I556" s="318"/>
      <c r="J556" s="319"/>
      <c r="K556" s="314"/>
      <c r="L556" s="314"/>
      <c r="M556" s="314"/>
      <c r="N556" s="314"/>
      <c r="O556" s="318"/>
      <c r="P556" s="314"/>
      <c r="Q556" s="314"/>
      <c r="R556" s="314"/>
      <c r="S556" s="314"/>
      <c r="T556" s="324"/>
      <c r="U556" s="155"/>
      <c r="V556" s="155"/>
      <c r="W556" s="322"/>
      <c r="X556" s="132"/>
      <c r="Y556" s="132"/>
    </row>
    <row r="557">
      <c r="A557" s="311"/>
      <c r="B557" s="312"/>
      <c r="C557" s="313"/>
      <c r="D557" s="313"/>
      <c r="E557" s="314"/>
      <c r="F557" s="315"/>
      <c r="G557" s="316"/>
      <c r="H557" s="317"/>
      <c r="I557" s="318"/>
      <c r="J557" s="319"/>
      <c r="K557" s="314"/>
      <c r="L557" s="314"/>
      <c r="M557" s="314"/>
      <c r="N557" s="314"/>
      <c r="O557" s="318"/>
      <c r="P557" s="314"/>
      <c r="Q557" s="314"/>
      <c r="R557" s="314"/>
      <c r="S557" s="314"/>
      <c r="T557" s="324"/>
      <c r="U557" s="155"/>
      <c r="V557" s="155"/>
      <c r="W557" s="322"/>
      <c r="X557" s="132"/>
      <c r="Y557" s="132"/>
    </row>
    <row r="558">
      <c r="A558" s="311"/>
      <c r="B558" s="312"/>
      <c r="C558" s="313"/>
      <c r="D558" s="313"/>
      <c r="E558" s="314"/>
      <c r="F558" s="315"/>
      <c r="G558" s="316"/>
      <c r="H558" s="317"/>
      <c r="I558" s="318"/>
      <c r="J558" s="319"/>
      <c r="K558" s="314"/>
      <c r="L558" s="314"/>
      <c r="M558" s="314"/>
      <c r="N558" s="314"/>
      <c r="O558" s="318"/>
      <c r="P558" s="314"/>
      <c r="Q558" s="314"/>
      <c r="R558" s="314"/>
      <c r="S558" s="314"/>
      <c r="T558" s="324"/>
      <c r="U558" s="155"/>
      <c r="V558" s="155"/>
      <c r="W558" s="322"/>
      <c r="X558" s="132"/>
      <c r="Y558" s="132"/>
    </row>
    <row r="559">
      <c r="A559" s="311"/>
      <c r="B559" s="312"/>
      <c r="C559" s="313"/>
      <c r="D559" s="313"/>
      <c r="E559" s="314"/>
      <c r="F559" s="315"/>
      <c r="G559" s="316"/>
      <c r="H559" s="317"/>
      <c r="I559" s="318"/>
      <c r="J559" s="319"/>
      <c r="K559" s="314"/>
      <c r="L559" s="314"/>
      <c r="M559" s="314"/>
      <c r="N559" s="314"/>
      <c r="O559" s="318"/>
      <c r="P559" s="314"/>
      <c r="Q559" s="314"/>
      <c r="R559" s="314"/>
      <c r="S559" s="314"/>
      <c r="T559" s="324"/>
      <c r="U559" s="155"/>
      <c r="V559" s="155"/>
      <c r="W559" s="322"/>
      <c r="X559" s="132"/>
      <c r="Y559" s="132"/>
    </row>
    <row r="560">
      <c r="A560" s="311"/>
      <c r="B560" s="312"/>
      <c r="C560" s="313"/>
      <c r="D560" s="313"/>
      <c r="E560" s="314"/>
      <c r="F560" s="315"/>
      <c r="G560" s="316"/>
      <c r="H560" s="317"/>
      <c r="I560" s="318"/>
      <c r="J560" s="319"/>
      <c r="K560" s="314"/>
      <c r="L560" s="314"/>
      <c r="M560" s="314"/>
      <c r="N560" s="314"/>
      <c r="O560" s="318"/>
      <c r="P560" s="314"/>
      <c r="Q560" s="314"/>
      <c r="R560" s="314"/>
      <c r="S560" s="314"/>
      <c r="T560" s="324"/>
      <c r="U560" s="155"/>
      <c r="V560" s="155"/>
      <c r="W560" s="322"/>
      <c r="X560" s="132"/>
      <c r="Y560" s="132"/>
    </row>
    <row r="561">
      <c r="A561" s="311"/>
      <c r="B561" s="312"/>
      <c r="C561" s="313"/>
      <c r="D561" s="313"/>
      <c r="E561" s="314"/>
      <c r="F561" s="315"/>
      <c r="G561" s="316"/>
      <c r="H561" s="317"/>
      <c r="I561" s="318"/>
      <c r="J561" s="319"/>
      <c r="K561" s="314"/>
      <c r="L561" s="314"/>
      <c r="M561" s="314"/>
      <c r="N561" s="314"/>
      <c r="O561" s="318"/>
      <c r="P561" s="314"/>
      <c r="Q561" s="314"/>
      <c r="R561" s="314"/>
      <c r="S561" s="314"/>
      <c r="T561" s="324"/>
      <c r="U561" s="155"/>
      <c r="V561" s="155"/>
      <c r="W561" s="322"/>
      <c r="X561" s="132"/>
      <c r="Y561" s="132"/>
    </row>
    <row r="562">
      <c r="A562" s="311"/>
      <c r="B562" s="312"/>
      <c r="C562" s="313"/>
      <c r="D562" s="313"/>
      <c r="E562" s="314"/>
      <c r="F562" s="315"/>
      <c r="G562" s="316"/>
      <c r="H562" s="317"/>
      <c r="I562" s="318"/>
      <c r="J562" s="319"/>
      <c r="K562" s="314"/>
      <c r="L562" s="314"/>
      <c r="M562" s="314"/>
      <c r="N562" s="314"/>
      <c r="O562" s="318"/>
      <c r="P562" s="314"/>
      <c r="Q562" s="314"/>
      <c r="R562" s="314"/>
      <c r="S562" s="314"/>
      <c r="T562" s="324"/>
      <c r="U562" s="155"/>
      <c r="V562" s="155"/>
      <c r="W562" s="322"/>
      <c r="X562" s="132"/>
      <c r="Y562" s="132"/>
    </row>
    <row r="563">
      <c r="A563" s="311"/>
      <c r="B563" s="312"/>
      <c r="C563" s="313"/>
      <c r="D563" s="313"/>
      <c r="E563" s="314"/>
      <c r="F563" s="315"/>
      <c r="G563" s="316"/>
      <c r="H563" s="317"/>
      <c r="I563" s="318"/>
      <c r="J563" s="319"/>
      <c r="K563" s="314"/>
      <c r="L563" s="314"/>
      <c r="M563" s="314"/>
      <c r="N563" s="314"/>
      <c r="O563" s="318"/>
      <c r="P563" s="314"/>
      <c r="Q563" s="314"/>
      <c r="R563" s="314"/>
      <c r="S563" s="314"/>
      <c r="T563" s="324"/>
      <c r="U563" s="155"/>
      <c r="V563" s="155"/>
      <c r="W563" s="322"/>
      <c r="X563" s="132"/>
      <c r="Y563" s="132"/>
    </row>
    <row r="564">
      <c r="A564" s="311"/>
      <c r="B564" s="312"/>
      <c r="C564" s="313"/>
      <c r="D564" s="313"/>
      <c r="E564" s="314"/>
      <c r="F564" s="315"/>
      <c r="G564" s="316"/>
      <c r="H564" s="317"/>
      <c r="I564" s="318"/>
      <c r="J564" s="319"/>
      <c r="K564" s="314"/>
      <c r="L564" s="314"/>
      <c r="M564" s="314"/>
      <c r="N564" s="314"/>
      <c r="O564" s="318"/>
      <c r="P564" s="314"/>
      <c r="Q564" s="314"/>
      <c r="R564" s="314"/>
      <c r="S564" s="314"/>
      <c r="T564" s="324"/>
      <c r="U564" s="155"/>
      <c r="V564" s="155"/>
      <c r="W564" s="322"/>
      <c r="X564" s="132"/>
      <c r="Y564" s="132"/>
    </row>
    <row r="565">
      <c r="A565" s="311"/>
      <c r="B565" s="312"/>
      <c r="C565" s="313"/>
      <c r="D565" s="313"/>
      <c r="E565" s="314"/>
      <c r="F565" s="315"/>
      <c r="G565" s="316"/>
      <c r="H565" s="317"/>
      <c r="I565" s="318"/>
      <c r="J565" s="319"/>
      <c r="K565" s="314"/>
      <c r="L565" s="314"/>
      <c r="M565" s="314"/>
      <c r="N565" s="314"/>
      <c r="O565" s="318"/>
      <c r="P565" s="314"/>
      <c r="Q565" s="314"/>
      <c r="R565" s="314"/>
      <c r="S565" s="314"/>
      <c r="T565" s="324"/>
      <c r="U565" s="155"/>
      <c r="V565" s="155"/>
      <c r="W565" s="322"/>
      <c r="X565" s="132"/>
      <c r="Y565" s="132"/>
    </row>
    <row r="566">
      <c r="A566" s="311"/>
      <c r="B566" s="312"/>
      <c r="C566" s="313"/>
      <c r="D566" s="313"/>
      <c r="E566" s="314"/>
      <c r="F566" s="315"/>
      <c r="G566" s="316"/>
      <c r="H566" s="317"/>
      <c r="I566" s="318"/>
      <c r="J566" s="319"/>
      <c r="K566" s="314"/>
      <c r="L566" s="314"/>
      <c r="M566" s="314"/>
      <c r="N566" s="314"/>
      <c r="O566" s="318"/>
      <c r="P566" s="314"/>
      <c r="Q566" s="314"/>
      <c r="R566" s="314"/>
      <c r="S566" s="314"/>
      <c r="T566" s="324"/>
      <c r="U566" s="155"/>
      <c r="V566" s="155"/>
      <c r="W566" s="322"/>
      <c r="X566" s="132"/>
      <c r="Y566" s="132"/>
    </row>
    <row r="567">
      <c r="A567" s="311"/>
      <c r="B567" s="312"/>
      <c r="C567" s="313"/>
      <c r="D567" s="313"/>
      <c r="E567" s="314"/>
      <c r="F567" s="315"/>
      <c r="G567" s="316"/>
      <c r="H567" s="317"/>
      <c r="I567" s="318"/>
      <c r="J567" s="319"/>
      <c r="K567" s="314"/>
      <c r="L567" s="314"/>
      <c r="M567" s="314"/>
      <c r="N567" s="314"/>
      <c r="O567" s="318"/>
      <c r="P567" s="314"/>
      <c r="Q567" s="314"/>
      <c r="R567" s="314"/>
      <c r="S567" s="314"/>
      <c r="T567" s="324"/>
      <c r="U567" s="155"/>
      <c r="V567" s="155"/>
      <c r="W567" s="322"/>
      <c r="X567" s="132"/>
      <c r="Y567" s="132"/>
    </row>
    <row r="568">
      <c r="A568" s="311"/>
      <c r="B568" s="312"/>
      <c r="C568" s="313"/>
      <c r="D568" s="313"/>
      <c r="E568" s="314"/>
      <c r="F568" s="315"/>
      <c r="G568" s="316"/>
      <c r="H568" s="317"/>
      <c r="I568" s="318"/>
      <c r="J568" s="319"/>
      <c r="K568" s="314"/>
      <c r="L568" s="314"/>
      <c r="M568" s="314"/>
      <c r="N568" s="314"/>
      <c r="O568" s="318"/>
      <c r="P568" s="314"/>
      <c r="Q568" s="314"/>
      <c r="R568" s="314"/>
      <c r="S568" s="314"/>
      <c r="T568" s="324"/>
      <c r="U568" s="155"/>
      <c r="V568" s="155"/>
      <c r="W568" s="322"/>
      <c r="X568" s="132"/>
      <c r="Y568" s="132"/>
    </row>
    <row r="569">
      <c r="A569" s="311"/>
      <c r="B569" s="312"/>
      <c r="C569" s="313"/>
      <c r="D569" s="313"/>
      <c r="E569" s="314"/>
      <c r="F569" s="315"/>
      <c r="G569" s="316"/>
      <c r="H569" s="317"/>
      <c r="I569" s="318"/>
      <c r="J569" s="319"/>
      <c r="K569" s="314"/>
      <c r="L569" s="314"/>
      <c r="M569" s="314"/>
      <c r="N569" s="314"/>
      <c r="O569" s="318"/>
      <c r="P569" s="314"/>
      <c r="Q569" s="314"/>
      <c r="R569" s="314"/>
      <c r="S569" s="314"/>
      <c r="T569" s="324"/>
      <c r="U569" s="155"/>
      <c r="V569" s="155"/>
      <c r="W569" s="322"/>
      <c r="X569" s="132"/>
      <c r="Y569" s="132"/>
    </row>
    <row r="570">
      <c r="A570" s="311"/>
      <c r="B570" s="312"/>
      <c r="C570" s="313"/>
      <c r="D570" s="313"/>
      <c r="E570" s="314"/>
      <c r="F570" s="315"/>
      <c r="G570" s="316"/>
      <c r="H570" s="317"/>
      <c r="I570" s="318"/>
      <c r="J570" s="319"/>
      <c r="K570" s="314"/>
      <c r="L570" s="314"/>
      <c r="M570" s="314"/>
      <c r="N570" s="314"/>
      <c r="O570" s="318"/>
      <c r="P570" s="314"/>
      <c r="Q570" s="314"/>
      <c r="R570" s="314"/>
      <c r="S570" s="314"/>
      <c r="T570" s="324"/>
      <c r="U570" s="155"/>
      <c r="V570" s="155"/>
      <c r="W570" s="322"/>
      <c r="X570" s="132"/>
      <c r="Y570" s="132"/>
    </row>
    <row r="571">
      <c r="A571" s="311"/>
      <c r="B571" s="312"/>
      <c r="C571" s="313"/>
      <c r="D571" s="313"/>
      <c r="E571" s="314"/>
      <c r="F571" s="315"/>
      <c r="G571" s="316"/>
      <c r="H571" s="317"/>
      <c r="I571" s="318"/>
      <c r="J571" s="319"/>
      <c r="K571" s="314"/>
      <c r="L571" s="314"/>
      <c r="M571" s="314"/>
      <c r="N571" s="314"/>
      <c r="O571" s="318"/>
      <c r="P571" s="314"/>
      <c r="Q571" s="314"/>
      <c r="R571" s="314"/>
      <c r="S571" s="314"/>
      <c r="T571" s="324"/>
      <c r="U571" s="155"/>
      <c r="V571" s="155"/>
      <c r="W571" s="322"/>
      <c r="X571" s="132"/>
      <c r="Y571" s="132"/>
    </row>
    <row r="572">
      <c r="A572" s="311"/>
      <c r="B572" s="312"/>
      <c r="C572" s="313"/>
      <c r="D572" s="313"/>
      <c r="E572" s="314"/>
      <c r="F572" s="315"/>
      <c r="G572" s="316"/>
      <c r="H572" s="317"/>
      <c r="I572" s="318"/>
      <c r="J572" s="319"/>
      <c r="K572" s="314"/>
      <c r="L572" s="314"/>
      <c r="M572" s="314"/>
      <c r="N572" s="314"/>
      <c r="O572" s="318"/>
      <c r="P572" s="314"/>
      <c r="Q572" s="314"/>
      <c r="R572" s="314"/>
      <c r="S572" s="314"/>
      <c r="T572" s="324"/>
      <c r="U572" s="155"/>
      <c r="V572" s="155"/>
      <c r="W572" s="322"/>
      <c r="X572" s="132"/>
      <c r="Y572" s="132"/>
    </row>
    <row r="573">
      <c r="A573" s="311"/>
      <c r="B573" s="312"/>
      <c r="C573" s="313"/>
      <c r="D573" s="313"/>
      <c r="E573" s="314"/>
      <c r="F573" s="315"/>
      <c r="G573" s="316"/>
      <c r="H573" s="317"/>
      <c r="I573" s="318"/>
      <c r="J573" s="319"/>
      <c r="K573" s="314"/>
      <c r="L573" s="314"/>
      <c r="M573" s="314"/>
      <c r="N573" s="314"/>
      <c r="O573" s="318"/>
      <c r="P573" s="314"/>
      <c r="Q573" s="314"/>
      <c r="R573" s="314"/>
      <c r="S573" s="314"/>
      <c r="T573" s="324"/>
      <c r="U573" s="155"/>
      <c r="V573" s="155"/>
      <c r="W573" s="322"/>
      <c r="X573" s="132"/>
      <c r="Y573" s="132"/>
    </row>
    <row r="574">
      <c r="A574" s="311"/>
      <c r="B574" s="312"/>
      <c r="C574" s="313"/>
      <c r="D574" s="313"/>
      <c r="E574" s="314"/>
      <c r="F574" s="315"/>
      <c r="G574" s="316"/>
      <c r="H574" s="317"/>
      <c r="I574" s="318"/>
      <c r="J574" s="319"/>
      <c r="K574" s="314"/>
      <c r="L574" s="314"/>
      <c r="M574" s="314"/>
      <c r="N574" s="314"/>
      <c r="O574" s="318"/>
      <c r="P574" s="314"/>
      <c r="Q574" s="314"/>
      <c r="R574" s="314"/>
      <c r="S574" s="314"/>
      <c r="T574" s="324"/>
      <c r="U574" s="155"/>
      <c r="V574" s="155"/>
      <c r="W574" s="322"/>
      <c r="X574" s="132"/>
      <c r="Y574" s="132"/>
    </row>
    <row r="575">
      <c r="A575" s="311"/>
      <c r="B575" s="312"/>
      <c r="C575" s="313"/>
      <c r="D575" s="313"/>
      <c r="E575" s="314"/>
      <c r="F575" s="315"/>
      <c r="G575" s="316"/>
      <c r="H575" s="317"/>
      <c r="I575" s="318"/>
      <c r="J575" s="319"/>
      <c r="K575" s="314"/>
      <c r="L575" s="314"/>
      <c r="M575" s="314"/>
      <c r="N575" s="314"/>
      <c r="O575" s="318"/>
      <c r="P575" s="314"/>
      <c r="Q575" s="314"/>
      <c r="R575" s="314"/>
      <c r="S575" s="314"/>
      <c r="T575" s="324"/>
      <c r="U575" s="155"/>
      <c r="V575" s="155"/>
      <c r="W575" s="322"/>
      <c r="X575" s="132"/>
      <c r="Y575" s="132"/>
    </row>
    <row r="576">
      <c r="A576" s="311"/>
      <c r="B576" s="312"/>
      <c r="C576" s="313"/>
      <c r="D576" s="313"/>
      <c r="E576" s="314"/>
      <c r="F576" s="315"/>
      <c r="G576" s="316"/>
      <c r="H576" s="317"/>
      <c r="I576" s="318"/>
      <c r="J576" s="319"/>
      <c r="K576" s="314"/>
      <c r="L576" s="314"/>
      <c r="M576" s="314"/>
      <c r="N576" s="314"/>
      <c r="O576" s="318"/>
      <c r="P576" s="314"/>
      <c r="Q576" s="314"/>
      <c r="R576" s="314"/>
      <c r="S576" s="314"/>
      <c r="T576" s="324"/>
      <c r="U576" s="155"/>
      <c r="V576" s="155"/>
      <c r="W576" s="322"/>
      <c r="X576" s="132"/>
      <c r="Y576" s="132"/>
    </row>
    <row r="577">
      <c r="A577" s="311"/>
      <c r="B577" s="312"/>
      <c r="C577" s="313"/>
      <c r="D577" s="313"/>
      <c r="E577" s="314"/>
      <c r="F577" s="315"/>
      <c r="G577" s="316"/>
      <c r="H577" s="317"/>
      <c r="I577" s="318"/>
      <c r="J577" s="319"/>
      <c r="K577" s="314"/>
      <c r="L577" s="314"/>
      <c r="M577" s="314"/>
      <c r="N577" s="314"/>
      <c r="O577" s="318"/>
      <c r="P577" s="314"/>
      <c r="Q577" s="314"/>
      <c r="R577" s="314"/>
      <c r="S577" s="314"/>
      <c r="T577" s="324"/>
      <c r="U577" s="155"/>
      <c r="V577" s="155"/>
      <c r="W577" s="322"/>
      <c r="X577" s="132"/>
      <c r="Y577" s="132"/>
    </row>
    <row r="578">
      <c r="A578" s="311"/>
      <c r="B578" s="312"/>
      <c r="C578" s="313"/>
      <c r="D578" s="313"/>
      <c r="E578" s="314"/>
      <c r="F578" s="315"/>
      <c r="G578" s="316"/>
      <c r="H578" s="317"/>
      <c r="I578" s="318"/>
      <c r="J578" s="319"/>
      <c r="K578" s="314"/>
      <c r="L578" s="314"/>
      <c r="M578" s="314"/>
      <c r="N578" s="314"/>
      <c r="O578" s="318"/>
      <c r="P578" s="314"/>
      <c r="Q578" s="314"/>
      <c r="R578" s="314"/>
      <c r="S578" s="314"/>
      <c r="T578" s="324"/>
      <c r="U578" s="155"/>
      <c r="V578" s="155"/>
      <c r="W578" s="322"/>
      <c r="X578" s="132"/>
      <c r="Y578" s="132"/>
    </row>
    <row r="579">
      <c r="A579" s="311"/>
      <c r="B579" s="312"/>
      <c r="C579" s="313"/>
      <c r="D579" s="313"/>
      <c r="E579" s="314"/>
      <c r="F579" s="315"/>
      <c r="G579" s="316"/>
      <c r="H579" s="317"/>
      <c r="I579" s="318"/>
      <c r="J579" s="319"/>
      <c r="K579" s="314"/>
      <c r="L579" s="314"/>
      <c r="M579" s="314"/>
      <c r="N579" s="314"/>
      <c r="O579" s="318"/>
      <c r="P579" s="314"/>
      <c r="Q579" s="314"/>
      <c r="R579" s="314"/>
      <c r="S579" s="314"/>
      <c r="T579" s="324"/>
      <c r="U579" s="155"/>
      <c r="V579" s="155"/>
      <c r="W579" s="322"/>
      <c r="X579" s="132"/>
      <c r="Y579" s="132"/>
    </row>
    <row r="580">
      <c r="A580" s="311"/>
      <c r="B580" s="312"/>
      <c r="C580" s="313"/>
      <c r="D580" s="313"/>
      <c r="E580" s="314"/>
      <c r="F580" s="315"/>
      <c r="G580" s="316"/>
      <c r="H580" s="317"/>
      <c r="I580" s="318"/>
      <c r="J580" s="319"/>
      <c r="K580" s="314"/>
      <c r="L580" s="314"/>
      <c r="M580" s="314"/>
      <c r="N580" s="314"/>
      <c r="O580" s="318"/>
      <c r="P580" s="314"/>
      <c r="Q580" s="314"/>
      <c r="R580" s="314"/>
      <c r="S580" s="314"/>
      <c r="T580" s="324"/>
      <c r="U580" s="155"/>
      <c r="V580" s="155"/>
      <c r="W580" s="322"/>
      <c r="X580" s="132"/>
      <c r="Y580" s="132"/>
    </row>
    <row r="581">
      <c r="A581" s="311"/>
      <c r="B581" s="312"/>
      <c r="C581" s="313"/>
      <c r="D581" s="313"/>
      <c r="E581" s="314"/>
      <c r="F581" s="315"/>
      <c r="G581" s="316"/>
      <c r="H581" s="317"/>
      <c r="I581" s="318"/>
      <c r="J581" s="319"/>
      <c r="K581" s="314"/>
      <c r="L581" s="314"/>
      <c r="M581" s="314"/>
      <c r="N581" s="314"/>
      <c r="O581" s="318"/>
      <c r="P581" s="314"/>
      <c r="Q581" s="314"/>
      <c r="R581" s="314"/>
      <c r="S581" s="314"/>
      <c r="T581" s="324"/>
      <c r="U581" s="155"/>
      <c r="V581" s="155"/>
      <c r="W581" s="322"/>
      <c r="X581" s="132"/>
      <c r="Y581" s="132"/>
    </row>
    <row r="582">
      <c r="A582" s="311"/>
      <c r="B582" s="312"/>
      <c r="C582" s="313"/>
      <c r="D582" s="313"/>
      <c r="E582" s="314"/>
      <c r="F582" s="315"/>
      <c r="G582" s="316"/>
      <c r="H582" s="317"/>
      <c r="I582" s="318"/>
      <c r="J582" s="319"/>
      <c r="K582" s="314"/>
      <c r="L582" s="314"/>
      <c r="M582" s="314"/>
      <c r="N582" s="314"/>
      <c r="O582" s="318"/>
      <c r="P582" s="314"/>
      <c r="Q582" s="314"/>
      <c r="R582" s="314"/>
      <c r="S582" s="314"/>
      <c r="T582" s="324"/>
      <c r="U582" s="155"/>
      <c r="V582" s="155"/>
      <c r="W582" s="322"/>
      <c r="X582" s="132"/>
      <c r="Y582" s="132"/>
    </row>
    <row r="583">
      <c r="A583" s="311"/>
      <c r="B583" s="312"/>
      <c r="C583" s="313"/>
      <c r="D583" s="313"/>
      <c r="E583" s="314"/>
      <c r="F583" s="315"/>
      <c r="G583" s="316"/>
      <c r="H583" s="317"/>
      <c r="I583" s="318"/>
      <c r="J583" s="319"/>
      <c r="K583" s="314"/>
      <c r="L583" s="314"/>
      <c r="M583" s="314"/>
      <c r="N583" s="314"/>
      <c r="O583" s="318"/>
      <c r="P583" s="314"/>
      <c r="Q583" s="314"/>
      <c r="R583" s="314"/>
      <c r="S583" s="314"/>
      <c r="T583" s="324"/>
      <c r="U583" s="155"/>
      <c r="V583" s="155"/>
      <c r="W583" s="322"/>
      <c r="X583" s="132"/>
      <c r="Y583" s="132"/>
    </row>
    <row r="584">
      <c r="A584" s="311"/>
      <c r="B584" s="312"/>
      <c r="C584" s="313"/>
      <c r="D584" s="313"/>
      <c r="E584" s="314"/>
      <c r="F584" s="315"/>
      <c r="G584" s="316"/>
      <c r="H584" s="317"/>
      <c r="I584" s="318"/>
      <c r="J584" s="319"/>
      <c r="K584" s="314"/>
      <c r="L584" s="314"/>
      <c r="M584" s="314"/>
      <c r="N584" s="314"/>
      <c r="O584" s="318"/>
      <c r="P584" s="314"/>
      <c r="Q584" s="314"/>
      <c r="R584" s="314"/>
      <c r="S584" s="314"/>
      <c r="T584" s="324"/>
      <c r="U584" s="155"/>
      <c r="V584" s="155"/>
      <c r="W584" s="322"/>
      <c r="X584" s="132"/>
      <c r="Y584" s="132"/>
    </row>
    <row r="585">
      <c r="A585" s="311"/>
      <c r="B585" s="312"/>
      <c r="C585" s="313"/>
      <c r="D585" s="313"/>
      <c r="E585" s="314"/>
      <c r="F585" s="315"/>
      <c r="G585" s="316"/>
      <c r="H585" s="317"/>
      <c r="I585" s="318"/>
      <c r="J585" s="319"/>
      <c r="K585" s="314"/>
      <c r="L585" s="314"/>
      <c r="M585" s="314"/>
      <c r="N585" s="314"/>
      <c r="O585" s="318"/>
      <c r="P585" s="314"/>
      <c r="Q585" s="314"/>
      <c r="R585" s="314"/>
      <c r="S585" s="314"/>
      <c r="T585" s="324"/>
      <c r="U585" s="155"/>
      <c r="V585" s="155"/>
      <c r="W585" s="322"/>
      <c r="X585" s="132"/>
      <c r="Y585" s="132"/>
    </row>
    <row r="586">
      <c r="A586" s="311"/>
      <c r="B586" s="312"/>
      <c r="C586" s="313"/>
      <c r="D586" s="313"/>
      <c r="E586" s="314"/>
      <c r="F586" s="315"/>
      <c r="G586" s="316"/>
      <c r="H586" s="317"/>
      <c r="I586" s="318"/>
      <c r="J586" s="319"/>
      <c r="K586" s="314"/>
      <c r="L586" s="314"/>
      <c r="M586" s="314"/>
      <c r="N586" s="314"/>
      <c r="O586" s="318"/>
      <c r="P586" s="314"/>
      <c r="Q586" s="314"/>
      <c r="R586" s="314"/>
      <c r="S586" s="314"/>
      <c r="T586" s="324"/>
      <c r="U586" s="155"/>
      <c r="V586" s="155"/>
      <c r="W586" s="322"/>
      <c r="X586" s="132"/>
      <c r="Y586" s="132"/>
    </row>
    <row r="587">
      <c r="A587" s="311"/>
      <c r="B587" s="312"/>
      <c r="C587" s="313"/>
      <c r="D587" s="313"/>
      <c r="E587" s="314"/>
      <c r="F587" s="315"/>
      <c r="G587" s="316"/>
      <c r="H587" s="317"/>
      <c r="I587" s="318"/>
      <c r="J587" s="319"/>
      <c r="K587" s="314"/>
      <c r="L587" s="314"/>
      <c r="M587" s="314"/>
      <c r="N587" s="314"/>
      <c r="O587" s="318"/>
      <c r="P587" s="314"/>
      <c r="Q587" s="314"/>
      <c r="R587" s="314"/>
      <c r="S587" s="314"/>
      <c r="T587" s="324"/>
      <c r="U587" s="155"/>
      <c r="V587" s="155"/>
      <c r="W587" s="322"/>
      <c r="X587" s="132"/>
      <c r="Y587" s="132"/>
    </row>
    <row r="588">
      <c r="A588" s="311"/>
      <c r="B588" s="312"/>
      <c r="C588" s="313"/>
      <c r="D588" s="313"/>
      <c r="E588" s="314"/>
      <c r="F588" s="315"/>
      <c r="G588" s="316"/>
      <c r="H588" s="317"/>
      <c r="I588" s="318"/>
      <c r="J588" s="319"/>
      <c r="K588" s="314"/>
      <c r="L588" s="314"/>
      <c r="M588" s="314"/>
      <c r="N588" s="314"/>
      <c r="O588" s="318"/>
      <c r="P588" s="314"/>
      <c r="Q588" s="314"/>
      <c r="R588" s="314"/>
      <c r="S588" s="314"/>
      <c r="T588" s="324"/>
      <c r="U588" s="155"/>
      <c r="V588" s="155"/>
      <c r="W588" s="322"/>
      <c r="X588" s="132"/>
      <c r="Y588" s="132"/>
    </row>
    <row r="589">
      <c r="A589" s="311"/>
      <c r="B589" s="312"/>
      <c r="C589" s="313"/>
      <c r="D589" s="313"/>
      <c r="E589" s="314"/>
      <c r="F589" s="315"/>
      <c r="G589" s="316"/>
      <c r="H589" s="317"/>
      <c r="I589" s="318"/>
      <c r="J589" s="319"/>
      <c r="K589" s="314"/>
      <c r="L589" s="314"/>
      <c r="M589" s="314"/>
      <c r="N589" s="314"/>
      <c r="O589" s="318"/>
      <c r="P589" s="314"/>
      <c r="Q589" s="314"/>
      <c r="R589" s="314"/>
      <c r="S589" s="314"/>
      <c r="T589" s="324"/>
      <c r="U589" s="155"/>
      <c r="V589" s="155"/>
      <c r="W589" s="322"/>
      <c r="X589" s="132"/>
      <c r="Y589" s="132"/>
    </row>
    <row r="590">
      <c r="A590" s="311"/>
      <c r="B590" s="312"/>
      <c r="C590" s="313"/>
      <c r="D590" s="313"/>
      <c r="E590" s="314"/>
      <c r="F590" s="315"/>
      <c r="G590" s="316"/>
      <c r="H590" s="317"/>
      <c r="I590" s="318"/>
      <c r="J590" s="319"/>
      <c r="K590" s="314"/>
      <c r="L590" s="314"/>
      <c r="M590" s="314"/>
      <c r="N590" s="314"/>
      <c r="O590" s="318"/>
      <c r="P590" s="314"/>
      <c r="Q590" s="314"/>
      <c r="R590" s="314"/>
      <c r="S590" s="314"/>
      <c r="T590" s="324"/>
      <c r="U590" s="155"/>
      <c r="V590" s="155"/>
      <c r="W590" s="322"/>
      <c r="X590" s="132"/>
      <c r="Y590" s="132"/>
    </row>
    <row r="591">
      <c r="A591" s="311"/>
      <c r="B591" s="312"/>
      <c r="C591" s="313"/>
      <c r="D591" s="313"/>
      <c r="E591" s="314"/>
      <c r="F591" s="315"/>
      <c r="G591" s="316"/>
      <c r="H591" s="317"/>
      <c r="I591" s="318"/>
      <c r="J591" s="319"/>
      <c r="K591" s="314"/>
      <c r="L591" s="314"/>
      <c r="M591" s="314"/>
      <c r="N591" s="314"/>
      <c r="O591" s="318"/>
      <c r="P591" s="314"/>
      <c r="Q591" s="314"/>
      <c r="R591" s="314"/>
      <c r="S591" s="314"/>
      <c r="T591" s="324"/>
      <c r="U591" s="155"/>
      <c r="V591" s="155"/>
      <c r="W591" s="322"/>
      <c r="X591" s="132"/>
      <c r="Y591" s="132"/>
    </row>
    <row r="592">
      <c r="A592" s="311"/>
      <c r="B592" s="312"/>
      <c r="C592" s="313"/>
      <c r="D592" s="313"/>
      <c r="E592" s="314"/>
      <c r="F592" s="315"/>
      <c r="G592" s="316"/>
      <c r="H592" s="317"/>
      <c r="I592" s="318"/>
      <c r="J592" s="319"/>
      <c r="K592" s="314"/>
      <c r="L592" s="314"/>
      <c r="M592" s="314"/>
      <c r="N592" s="314"/>
      <c r="O592" s="318"/>
      <c r="P592" s="314"/>
      <c r="Q592" s="314"/>
      <c r="R592" s="314"/>
      <c r="S592" s="314"/>
      <c r="T592" s="324"/>
      <c r="U592" s="155"/>
      <c r="V592" s="155"/>
      <c r="W592" s="322"/>
      <c r="X592" s="132"/>
      <c r="Y592" s="132"/>
    </row>
    <row r="593">
      <c r="A593" s="311"/>
      <c r="B593" s="312"/>
      <c r="C593" s="313"/>
      <c r="D593" s="313"/>
      <c r="E593" s="314"/>
      <c r="F593" s="315"/>
      <c r="G593" s="316"/>
      <c r="H593" s="317"/>
      <c r="I593" s="318"/>
      <c r="J593" s="319"/>
      <c r="K593" s="314"/>
      <c r="L593" s="314"/>
      <c r="M593" s="314"/>
      <c r="N593" s="314"/>
      <c r="O593" s="318"/>
      <c r="P593" s="314"/>
      <c r="Q593" s="314"/>
      <c r="R593" s="314"/>
      <c r="S593" s="314"/>
      <c r="T593" s="324"/>
      <c r="U593" s="155"/>
      <c r="V593" s="155"/>
      <c r="W593" s="322"/>
      <c r="X593" s="132"/>
      <c r="Y593" s="132"/>
    </row>
    <row r="594">
      <c r="A594" s="311"/>
      <c r="B594" s="312"/>
      <c r="C594" s="313"/>
      <c r="D594" s="313"/>
      <c r="E594" s="314"/>
      <c r="F594" s="315"/>
      <c r="G594" s="316"/>
      <c r="H594" s="317"/>
      <c r="I594" s="318"/>
      <c r="J594" s="319"/>
      <c r="K594" s="314"/>
      <c r="L594" s="314"/>
      <c r="M594" s="314"/>
      <c r="N594" s="314"/>
      <c r="O594" s="318"/>
      <c r="P594" s="314"/>
      <c r="Q594" s="314"/>
      <c r="R594" s="314"/>
      <c r="S594" s="314"/>
      <c r="T594" s="324"/>
      <c r="U594" s="155"/>
      <c r="V594" s="155"/>
      <c r="W594" s="322"/>
      <c r="X594" s="132"/>
      <c r="Y594" s="132"/>
    </row>
    <row r="595">
      <c r="A595" s="311"/>
      <c r="B595" s="312"/>
      <c r="C595" s="313"/>
      <c r="D595" s="313"/>
      <c r="E595" s="314"/>
      <c r="F595" s="315"/>
      <c r="G595" s="316"/>
      <c r="H595" s="317"/>
      <c r="I595" s="318"/>
      <c r="J595" s="319"/>
      <c r="K595" s="314"/>
      <c r="L595" s="314"/>
      <c r="M595" s="314"/>
      <c r="N595" s="314"/>
      <c r="O595" s="318"/>
      <c r="P595" s="314"/>
      <c r="Q595" s="314"/>
      <c r="R595" s="314"/>
      <c r="S595" s="314"/>
      <c r="T595" s="324"/>
      <c r="U595" s="155"/>
      <c r="V595" s="155"/>
      <c r="W595" s="322"/>
      <c r="X595" s="132"/>
      <c r="Y595" s="132"/>
    </row>
    <row r="596">
      <c r="A596" s="311"/>
      <c r="B596" s="312"/>
      <c r="C596" s="313"/>
      <c r="D596" s="313"/>
      <c r="E596" s="314"/>
      <c r="F596" s="315"/>
      <c r="G596" s="316"/>
      <c r="H596" s="317"/>
      <c r="I596" s="318"/>
      <c r="J596" s="319"/>
      <c r="K596" s="314"/>
      <c r="L596" s="314"/>
      <c r="M596" s="314"/>
      <c r="N596" s="314"/>
      <c r="O596" s="318"/>
      <c r="P596" s="314"/>
      <c r="Q596" s="314"/>
      <c r="R596" s="314"/>
      <c r="S596" s="314"/>
      <c r="T596" s="324"/>
      <c r="U596" s="155"/>
      <c r="V596" s="155"/>
      <c r="W596" s="322"/>
      <c r="X596" s="132"/>
      <c r="Y596" s="132"/>
    </row>
    <row r="597">
      <c r="A597" s="311"/>
      <c r="B597" s="312"/>
      <c r="C597" s="313"/>
      <c r="D597" s="313"/>
      <c r="E597" s="314"/>
      <c r="F597" s="315"/>
      <c r="G597" s="316"/>
      <c r="H597" s="317"/>
      <c r="I597" s="318"/>
      <c r="J597" s="319"/>
      <c r="K597" s="314"/>
      <c r="L597" s="314"/>
      <c r="M597" s="314"/>
      <c r="N597" s="314"/>
      <c r="O597" s="318"/>
      <c r="P597" s="314"/>
      <c r="Q597" s="314"/>
      <c r="R597" s="314"/>
      <c r="S597" s="314"/>
      <c r="T597" s="324"/>
      <c r="U597" s="155"/>
      <c r="V597" s="155"/>
      <c r="W597" s="322"/>
      <c r="X597" s="132"/>
      <c r="Y597" s="132"/>
    </row>
    <row r="598">
      <c r="A598" s="311"/>
      <c r="B598" s="312"/>
      <c r="C598" s="313"/>
      <c r="D598" s="313"/>
      <c r="E598" s="314"/>
      <c r="F598" s="315"/>
      <c r="G598" s="316"/>
      <c r="H598" s="317"/>
      <c r="I598" s="318"/>
      <c r="J598" s="319"/>
      <c r="K598" s="314"/>
      <c r="L598" s="314"/>
      <c r="M598" s="314"/>
      <c r="N598" s="314"/>
      <c r="O598" s="318"/>
      <c r="P598" s="314"/>
      <c r="Q598" s="314"/>
      <c r="R598" s="314"/>
      <c r="S598" s="314"/>
      <c r="T598" s="324"/>
      <c r="U598" s="155"/>
      <c r="V598" s="155"/>
      <c r="W598" s="322"/>
      <c r="X598" s="132"/>
      <c r="Y598" s="132"/>
    </row>
    <row r="599">
      <c r="A599" s="311"/>
      <c r="B599" s="312"/>
      <c r="C599" s="313"/>
      <c r="D599" s="313"/>
      <c r="E599" s="314"/>
      <c r="F599" s="315"/>
      <c r="G599" s="316"/>
      <c r="H599" s="317"/>
      <c r="I599" s="318"/>
      <c r="J599" s="319"/>
      <c r="K599" s="314"/>
      <c r="L599" s="314"/>
      <c r="M599" s="314"/>
      <c r="N599" s="314"/>
      <c r="O599" s="318"/>
      <c r="P599" s="314"/>
      <c r="Q599" s="314"/>
      <c r="R599" s="314"/>
      <c r="S599" s="314"/>
      <c r="T599" s="324"/>
      <c r="U599" s="155"/>
      <c r="V599" s="155"/>
      <c r="W599" s="322"/>
      <c r="X599" s="132"/>
      <c r="Y599" s="132"/>
    </row>
    <row r="600">
      <c r="A600" s="311"/>
      <c r="B600" s="312"/>
      <c r="C600" s="313"/>
      <c r="D600" s="313"/>
      <c r="E600" s="314"/>
      <c r="F600" s="315"/>
      <c r="G600" s="316"/>
      <c r="H600" s="317"/>
      <c r="I600" s="318"/>
      <c r="J600" s="319"/>
      <c r="K600" s="314"/>
      <c r="L600" s="314"/>
      <c r="M600" s="314"/>
      <c r="N600" s="314"/>
      <c r="O600" s="318"/>
      <c r="P600" s="314"/>
      <c r="Q600" s="314"/>
      <c r="R600" s="314"/>
      <c r="S600" s="314"/>
      <c r="T600" s="324"/>
      <c r="U600" s="155"/>
      <c r="V600" s="155"/>
      <c r="W600" s="322"/>
      <c r="X600" s="132"/>
      <c r="Y600" s="132"/>
    </row>
    <row r="601">
      <c r="A601" s="311"/>
      <c r="B601" s="312"/>
      <c r="C601" s="313"/>
      <c r="D601" s="313"/>
      <c r="E601" s="314"/>
      <c r="F601" s="315"/>
      <c r="G601" s="316"/>
      <c r="H601" s="317"/>
      <c r="I601" s="318"/>
      <c r="J601" s="319"/>
      <c r="K601" s="314"/>
      <c r="L601" s="314"/>
      <c r="M601" s="314"/>
      <c r="N601" s="314"/>
      <c r="O601" s="318"/>
      <c r="P601" s="314"/>
      <c r="Q601" s="314"/>
      <c r="R601" s="314"/>
      <c r="S601" s="314"/>
      <c r="T601" s="324"/>
      <c r="U601" s="155"/>
      <c r="V601" s="155"/>
      <c r="W601" s="322"/>
      <c r="X601" s="132"/>
      <c r="Y601" s="132"/>
    </row>
    <row r="602">
      <c r="A602" s="311"/>
      <c r="B602" s="312"/>
      <c r="C602" s="313"/>
      <c r="D602" s="313"/>
      <c r="E602" s="314"/>
      <c r="F602" s="315"/>
      <c r="G602" s="316"/>
      <c r="H602" s="317"/>
      <c r="I602" s="318"/>
      <c r="J602" s="319"/>
      <c r="K602" s="314"/>
      <c r="L602" s="314"/>
      <c r="M602" s="314"/>
      <c r="N602" s="314"/>
      <c r="O602" s="318"/>
      <c r="P602" s="314"/>
      <c r="Q602" s="314"/>
      <c r="R602" s="314"/>
      <c r="S602" s="314"/>
      <c r="T602" s="324"/>
      <c r="U602" s="155"/>
      <c r="V602" s="155"/>
      <c r="W602" s="322"/>
      <c r="X602" s="132"/>
      <c r="Y602" s="132"/>
    </row>
    <row r="603">
      <c r="A603" s="311"/>
      <c r="B603" s="312"/>
      <c r="C603" s="313"/>
      <c r="D603" s="313"/>
      <c r="E603" s="314"/>
      <c r="F603" s="315"/>
      <c r="G603" s="316"/>
      <c r="H603" s="317"/>
      <c r="I603" s="318"/>
      <c r="J603" s="319"/>
      <c r="K603" s="314"/>
      <c r="L603" s="314"/>
      <c r="M603" s="314"/>
      <c r="N603" s="314"/>
      <c r="O603" s="318"/>
      <c r="P603" s="314"/>
      <c r="Q603" s="314"/>
      <c r="R603" s="314"/>
      <c r="S603" s="314"/>
      <c r="T603" s="324"/>
      <c r="U603" s="155"/>
      <c r="V603" s="155"/>
      <c r="W603" s="322"/>
      <c r="X603" s="132"/>
      <c r="Y603" s="132"/>
    </row>
    <row r="604">
      <c r="A604" s="311"/>
      <c r="B604" s="312"/>
      <c r="C604" s="313"/>
      <c r="D604" s="313"/>
      <c r="E604" s="314"/>
      <c r="F604" s="315"/>
      <c r="G604" s="316"/>
      <c r="H604" s="317"/>
      <c r="I604" s="318"/>
      <c r="J604" s="319"/>
      <c r="K604" s="314"/>
      <c r="L604" s="314"/>
      <c r="M604" s="314"/>
      <c r="N604" s="314"/>
      <c r="O604" s="318"/>
      <c r="P604" s="314"/>
      <c r="Q604" s="314"/>
      <c r="R604" s="314"/>
      <c r="S604" s="314"/>
      <c r="T604" s="324"/>
      <c r="U604" s="155"/>
      <c r="V604" s="155"/>
      <c r="W604" s="322"/>
      <c r="X604" s="132"/>
      <c r="Y604" s="132"/>
    </row>
    <row r="605">
      <c r="A605" s="311"/>
      <c r="B605" s="312"/>
      <c r="C605" s="313"/>
      <c r="D605" s="313"/>
      <c r="E605" s="314"/>
      <c r="F605" s="315"/>
      <c r="G605" s="316"/>
      <c r="H605" s="317"/>
      <c r="I605" s="318"/>
      <c r="J605" s="319"/>
      <c r="K605" s="314"/>
      <c r="L605" s="314"/>
      <c r="M605" s="314"/>
      <c r="N605" s="314"/>
      <c r="O605" s="318"/>
      <c r="P605" s="314"/>
      <c r="Q605" s="314"/>
      <c r="R605" s="314"/>
      <c r="S605" s="314"/>
      <c r="T605" s="324"/>
      <c r="U605" s="155"/>
      <c r="V605" s="155"/>
      <c r="W605" s="322"/>
      <c r="X605" s="132"/>
      <c r="Y605" s="132"/>
    </row>
    <row r="606">
      <c r="A606" s="311"/>
      <c r="B606" s="312"/>
      <c r="C606" s="313"/>
      <c r="D606" s="313"/>
      <c r="E606" s="314"/>
      <c r="F606" s="315"/>
      <c r="G606" s="316"/>
      <c r="H606" s="317"/>
      <c r="I606" s="318"/>
      <c r="J606" s="319"/>
      <c r="K606" s="314"/>
      <c r="L606" s="314"/>
      <c r="M606" s="314"/>
      <c r="N606" s="314"/>
      <c r="O606" s="318"/>
      <c r="P606" s="314"/>
      <c r="Q606" s="314"/>
      <c r="R606" s="314"/>
      <c r="S606" s="314"/>
      <c r="T606" s="324"/>
      <c r="U606" s="155"/>
      <c r="V606" s="155"/>
      <c r="W606" s="322"/>
      <c r="X606" s="132"/>
      <c r="Y606" s="132"/>
    </row>
    <row r="607">
      <c r="A607" s="311"/>
      <c r="B607" s="312"/>
      <c r="C607" s="313"/>
      <c r="D607" s="313"/>
      <c r="E607" s="314"/>
      <c r="F607" s="315"/>
      <c r="G607" s="316"/>
      <c r="H607" s="317"/>
      <c r="I607" s="318"/>
      <c r="J607" s="319"/>
      <c r="K607" s="314"/>
      <c r="L607" s="314"/>
      <c r="M607" s="314"/>
      <c r="N607" s="314"/>
      <c r="O607" s="318"/>
      <c r="P607" s="314"/>
      <c r="Q607" s="314"/>
      <c r="R607" s="314"/>
      <c r="S607" s="314"/>
      <c r="T607" s="324"/>
      <c r="U607" s="155"/>
      <c r="V607" s="155"/>
      <c r="W607" s="322"/>
      <c r="X607" s="132"/>
      <c r="Y607" s="132"/>
    </row>
    <row r="608">
      <c r="A608" s="311"/>
      <c r="B608" s="312"/>
      <c r="C608" s="313"/>
      <c r="D608" s="313"/>
      <c r="E608" s="314"/>
      <c r="F608" s="315"/>
      <c r="G608" s="316"/>
      <c r="H608" s="317"/>
      <c r="I608" s="318"/>
      <c r="J608" s="319"/>
      <c r="K608" s="314"/>
      <c r="L608" s="314"/>
      <c r="M608" s="314"/>
      <c r="N608" s="314"/>
      <c r="O608" s="318"/>
      <c r="P608" s="314"/>
      <c r="Q608" s="314"/>
      <c r="R608" s="314"/>
      <c r="S608" s="314"/>
      <c r="T608" s="324"/>
      <c r="U608" s="155"/>
      <c r="V608" s="155"/>
      <c r="W608" s="322"/>
      <c r="X608" s="132"/>
      <c r="Y608" s="132"/>
    </row>
    <row r="609">
      <c r="A609" s="311"/>
      <c r="B609" s="312"/>
      <c r="C609" s="313"/>
      <c r="D609" s="313"/>
      <c r="E609" s="314"/>
      <c r="F609" s="315"/>
      <c r="G609" s="316"/>
      <c r="H609" s="317"/>
      <c r="I609" s="318"/>
      <c r="J609" s="319"/>
      <c r="K609" s="314"/>
      <c r="L609" s="314"/>
      <c r="M609" s="314"/>
      <c r="N609" s="314"/>
      <c r="O609" s="318"/>
      <c r="P609" s="314"/>
      <c r="Q609" s="314"/>
      <c r="R609" s="314"/>
      <c r="S609" s="314"/>
      <c r="T609" s="324"/>
      <c r="U609" s="155"/>
      <c r="V609" s="155"/>
      <c r="W609" s="322"/>
      <c r="X609" s="132"/>
      <c r="Y609" s="132"/>
    </row>
    <row r="610">
      <c r="A610" s="311"/>
      <c r="B610" s="312"/>
      <c r="C610" s="313"/>
      <c r="D610" s="313"/>
      <c r="E610" s="314"/>
      <c r="F610" s="315"/>
      <c r="G610" s="316"/>
      <c r="H610" s="317"/>
      <c r="I610" s="318"/>
      <c r="J610" s="319"/>
      <c r="K610" s="314"/>
      <c r="L610" s="314"/>
      <c r="M610" s="314"/>
      <c r="N610" s="314"/>
      <c r="O610" s="318"/>
      <c r="P610" s="314"/>
      <c r="Q610" s="314"/>
      <c r="R610" s="314"/>
      <c r="S610" s="314"/>
      <c r="T610" s="324"/>
      <c r="U610" s="155"/>
      <c r="V610" s="155"/>
      <c r="W610" s="322"/>
      <c r="X610" s="132"/>
      <c r="Y610" s="132"/>
    </row>
    <row r="611">
      <c r="A611" s="311"/>
      <c r="B611" s="312"/>
      <c r="C611" s="313"/>
      <c r="D611" s="313"/>
      <c r="E611" s="314"/>
      <c r="F611" s="315"/>
      <c r="G611" s="316"/>
      <c r="H611" s="317"/>
      <c r="I611" s="318"/>
      <c r="J611" s="319"/>
      <c r="K611" s="314"/>
      <c r="L611" s="314"/>
      <c r="M611" s="314"/>
      <c r="N611" s="314"/>
      <c r="O611" s="318"/>
      <c r="P611" s="314"/>
      <c r="Q611" s="314"/>
      <c r="R611" s="314"/>
      <c r="S611" s="314"/>
      <c r="T611" s="324"/>
      <c r="U611" s="155"/>
      <c r="V611" s="155"/>
      <c r="W611" s="322"/>
      <c r="X611" s="132"/>
      <c r="Y611" s="132"/>
    </row>
    <row r="612">
      <c r="A612" s="311"/>
      <c r="B612" s="312"/>
      <c r="C612" s="313"/>
      <c r="D612" s="313"/>
      <c r="E612" s="314"/>
      <c r="F612" s="315"/>
      <c r="G612" s="316"/>
      <c r="H612" s="317"/>
      <c r="I612" s="318"/>
      <c r="J612" s="319"/>
      <c r="K612" s="314"/>
      <c r="L612" s="314"/>
      <c r="M612" s="314"/>
      <c r="N612" s="314"/>
      <c r="O612" s="318"/>
      <c r="P612" s="314"/>
      <c r="Q612" s="314"/>
      <c r="R612" s="314"/>
      <c r="S612" s="314"/>
      <c r="T612" s="324"/>
      <c r="U612" s="155"/>
      <c r="V612" s="155"/>
      <c r="W612" s="322"/>
      <c r="X612" s="132"/>
      <c r="Y612" s="132"/>
    </row>
    <row r="613">
      <c r="A613" s="311"/>
      <c r="B613" s="312"/>
      <c r="C613" s="313"/>
      <c r="D613" s="313"/>
      <c r="E613" s="314"/>
      <c r="F613" s="315"/>
      <c r="G613" s="316"/>
      <c r="H613" s="317"/>
      <c r="I613" s="318"/>
      <c r="J613" s="319"/>
      <c r="K613" s="314"/>
      <c r="L613" s="314"/>
      <c r="M613" s="314"/>
      <c r="N613" s="314"/>
      <c r="O613" s="318"/>
      <c r="P613" s="314"/>
      <c r="Q613" s="314"/>
      <c r="R613" s="314"/>
      <c r="S613" s="314"/>
      <c r="T613" s="324"/>
      <c r="U613" s="155"/>
      <c r="V613" s="155"/>
      <c r="W613" s="322"/>
      <c r="X613" s="132"/>
      <c r="Y613" s="132"/>
    </row>
    <row r="614">
      <c r="A614" s="311"/>
      <c r="B614" s="312"/>
      <c r="C614" s="313"/>
      <c r="D614" s="313"/>
      <c r="E614" s="314"/>
      <c r="F614" s="315"/>
      <c r="G614" s="316"/>
      <c r="H614" s="317"/>
      <c r="I614" s="318"/>
      <c r="J614" s="319"/>
      <c r="K614" s="314"/>
      <c r="L614" s="314"/>
      <c r="M614" s="314"/>
      <c r="N614" s="314"/>
      <c r="O614" s="318"/>
      <c r="P614" s="314"/>
      <c r="Q614" s="314"/>
      <c r="R614" s="314"/>
      <c r="S614" s="314"/>
      <c r="T614" s="324"/>
      <c r="U614" s="155"/>
      <c r="V614" s="155"/>
      <c r="W614" s="322"/>
      <c r="X614" s="132"/>
      <c r="Y614" s="132"/>
    </row>
    <row r="615">
      <c r="A615" s="311"/>
      <c r="B615" s="312"/>
      <c r="C615" s="313"/>
      <c r="D615" s="313"/>
      <c r="E615" s="314"/>
      <c r="F615" s="315"/>
      <c r="G615" s="316"/>
      <c r="H615" s="317"/>
      <c r="I615" s="318"/>
      <c r="J615" s="319"/>
      <c r="K615" s="314"/>
      <c r="L615" s="314"/>
      <c r="M615" s="314"/>
      <c r="N615" s="314"/>
      <c r="O615" s="318"/>
      <c r="P615" s="314"/>
      <c r="Q615" s="314"/>
      <c r="R615" s="314"/>
      <c r="S615" s="314"/>
      <c r="T615" s="324"/>
      <c r="U615" s="155"/>
      <c r="V615" s="155"/>
      <c r="W615" s="322"/>
      <c r="X615" s="132"/>
      <c r="Y615" s="132"/>
    </row>
    <row r="616">
      <c r="A616" s="311"/>
      <c r="B616" s="312"/>
      <c r="C616" s="313"/>
      <c r="D616" s="313"/>
      <c r="E616" s="314"/>
      <c r="F616" s="315"/>
      <c r="G616" s="316"/>
      <c r="H616" s="317"/>
      <c r="I616" s="318"/>
      <c r="J616" s="319"/>
      <c r="K616" s="314"/>
      <c r="L616" s="314"/>
      <c r="M616" s="314"/>
      <c r="N616" s="314"/>
      <c r="O616" s="318"/>
      <c r="P616" s="314"/>
      <c r="Q616" s="314"/>
      <c r="R616" s="314"/>
      <c r="S616" s="314"/>
      <c r="T616" s="324"/>
      <c r="U616" s="155"/>
      <c r="V616" s="155"/>
      <c r="W616" s="322"/>
      <c r="X616" s="132"/>
      <c r="Y616" s="132"/>
    </row>
    <row r="617">
      <c r="A617" s="311"/>
      <c r="B617" s="312"/>
      <c r="C617" s="313"/>
      <c r="D617" s="313"/>
      <c r="E617" s="314"/>
      <c r="F617" s="315"/>
      <c r="G617" s="316"/>
      <c r="H617" s="317"/>
      <c r="I617" s="318"/>
      <c r="J617" s="319"/>
      <c r="K617" s="314"/>
      <c r="L617" s="314"/>
      <c r="M617" s="314"/>
      <c r="N617" s="314"/>
      <c r="O617" s="318"/>
      <c r="P617" s="314"/>
      <c r="Q617" s="314"/>
      <c r="R617" s="314"/>
      <c r="S617" s="314"/>
      <c r="T617" s="324"/>
      <c r="U617" s="155"/>
      <c r="V617" s="155"/>
      <c r="W617" s="322"/>
      <c r="X617" s="132"/>
      <c r="Y617" s="132"/>
    </row>
    <row r="618">
      <c r="A618" s="311"/>
      <c r="B618" s="312"/>
      <c r="C618" s="313"/>
      <c r="D618" s="313"/>
      <c r="E618" s="314"/>
      <c r="F618" s="315"/>
      <c r="G618" s="316"/>
      <c r="H618" s="317"/>
      <c r="I618" s="318"/>
      <c r="J618" s="319"/>
      <c r="K618" s="314"/>
      <c r="L618" s="314"/>
      <c r="M618" s="314"/>
      <c r="N618" s="314"/>
      <c r="O618" s="318"/>
      <c r="P618" s="314"/>
      <c r="Q618" s="314"/>
      <c r="R618" s="314"/>
      <c r="S618" s="314"/>
      <c r="T618" s="324"/>
      <c r="U618" s="155"/>
      <c r="V618" s="155"/>
      <c r="W618" s="322"/>
      <c r="X618" s="132"/>
      <c r="Y618" s="132"/>
    </row>
    <row r="619">
      <c r="A619" s="311"/>
      <c r="B619" s="312"/>
      <c r="C619" s="313"/>
      <c r="D619" s="313"/>
      <c r="E619" s="314"/>
      <c r="F619" s="315"/>
      <c r="G619" s="316"/>
      <c r="H619" s="317"/>
      <c r="I619" s="318"/>
      <c r="J619" s="319"/>
      <c r="K619" s="314"/>
      <c r="L619" s="314"/>
      <c r="M619" s="314"/>
      <c r="N619" s="314"/>
      <c r="O619" s="318"/>
      <c r="P619" s="314"/>
      <c r="Q619" s="314"/>
      <c r="R619" s="314"/>
      <c r="S619" s="314"/>
      <c r="T619" s="324"/>
      <c r="U619" s="155"/>
      <c r="V619" s="155"/>
      <c r="W619" s="322"/>
      <c r="X619" s="132"/>
      <c r="Y619" s="132"/>
    </row>
    <row r="620">
      <c r="A620" s="311"/>
      <c r="B620" s="312"/>
      <c r="C620" s="313"/>
      <c r="D620" s="313"/>
      <c r="E620" s="314"/>
      <c r="F620" s="315"/>
      <c r="G620" s="316"/>
      <c r="H620" s="317"/>
      <c r="I620" s="318"/>
      <c r="J620" s="319"/>
      <c r="K620" s="314"/>
      <c r="L620" s="314"/>
      <c r="M620" s="314"/>
      <c r="N620" s="314"/>
      <c r="O620" s="318"/>
      <c r="P620" s="314"/>
      <c r="Q620" s="314"/>
      <c r="R620" s="314"/>
      <c r="S620" s="314"/>
      <c r="T620" s="324"/>
      <c r="U620" s="155"/>
      <c r="V620" s="155"/>
      <c r="W620" s="322"/>
      <c r="X620" s="132"/>
      <c r="Y620" s="132"/>
    </row>
    <row r="621">
      <c r="A621" s="311"/>
      <c r="B621" s="312"/>
      <c r="C621" s="313"/>
      <c r="D621" s="313"/>
      <c r="E621" s="314"/>
      <c r="F621" s="315"/>
      <c r="G621" s="316"/>
      <c r="H621" s="317"/>
      <c r="I621" s="318"/>
      <c r="J621" s="319"/>
      <c r="K621" s="314"/>
      <c r="L621" s="314"/>
      <c r="M621" s="314"/>
      <c r="N621" s="314"/>
      <c r="O621" s="318"/>
      <c r="P621" s="314"/>
      <c r="Q621" s="314"/>
      <c r="R621" s="314"/>
      <c r="S621" s="314"/>
      <c r="T621" s="324"/>
      <c r="U621" s="155"/>
      <c r="V621" s="155"/>
      <c r="W621" s="322"/>
      <c r="X621" s="132"/>
      <c r="Y621" s="132"/>
    </row>
    <row r="622">
      <c r="A622" s="311"/>
      <c r="B622" s="312"/>
      <c r="C622" s="313"/>
      <c r="D622" s="313"/>
      <c r="E622" s="314"/>
      <c r="F622" s="315"/>
      <c r="G622" s="316"/>
      <c r="H622" s="317"/>
      <c r="I622" s="318"/>
      <c r="J622" s="319"/>
      <c r="K622" s="314"/>
      <c r="L622" s="314"/>
      <c r="M622" s="314"/>
      <c r="N622" s="314"/>
      <c r="O622" s="318"/>
      <c r="P622" s="314"/>
      <c r="Q622" s="314"/>
      <c r="R622" s="314"/>
      <c r="S622" s="314"/>
      <c r="T622" s="324"/>
      <c r="U622" s="155"/>
      <c r="V622" s="155"/>
      <c r="W622" s="322"/>
      <c r="X622" s="132"/>
      <c r="Y622" s="132"/>
    </row>
    <row r="623">
      <c r="A623" s="311"/>
      <c r="B623" s="312"/>
      <c r="C623" s="313"/>
      <c r="D623" s="313"/>
      <c r="E623" s="314"/>
      <c r="F623" s="315"/>
      <c r="G623" s="316"/>
      <c r="H623" s="317"/>
      <c r="I623" s="318"/>
      <c r="J623" s="319"/>
      <c r="K623" s="314"/>
      <c r="L623" s="314"/>
      <c r="M623" s="314"/>
      <c r="N623" s="314"/>
      <c r="O623" s="318"/>
      <c r="P623" s="314"/>
      <c r="Q623" s="314"/>
      <c r="R623" s="314"/>
      <c r="S623" s="314"/>
      <c r="T623" s="324"/>
      <c r="U623" s="155"/>
      <c r="V623" s="155"/>
      <c r="W623" s="322"/>
      <c r="X623" s="132"/>
      <c r="Y623" s="132"/>
    </row>
    <row r="624">
      <c r="A624" s="311"/>
      <c r="B624" s="312"/>
      <c r="C624" s="313"/>
      <c r="D624" s="313"/>
      <c r="E624" s="314"/>
      <c r="F624" s="315"/>
      <c r="G624" s="316"/>
      <c r="H624" s="317"/>
      <c r="I624" s="318"/>
      <c r="J624" s="319"/>
      <c r="K624" s="314"/>
      <c r="L624" s="314"/>
      <c r="M624" s="314"/>
      <c r="N624" s="314"/>
      <c r="O624" s="318"/>
      <c r="P624" s="314"/>
      <c r="Q624" s="314"/>
      <c r="R624" s="314"/>
      <c r="S624" s="314"/>
      <c r="T624" s="324"/>
      <c r="U624" s="155"/>
      <c r="V624" s="155"/>
      <c r="W624" s="322"/>
      <c r="X624" s="132"/>
      <c r="Y624" s="132"/>
    </row>
    <row r="625">
      <c r="A625" s="311"/>
      <c r="B625" s="312"/>
      <c r="C625" s="313"/>
      <c r="D625" s="313"/>
      <c r="E625" s="314"/>
      <c r="F625" s="315"/>
      <c r="G625" s="316"/>
      <c r="H625" s="317"/>
      <c r="I625" s="318"/>
      <c r="J625" s="319"/>
      <c r="K625" s="314"/>
      <c r="L625" s="314"/>
      <c r="M625" s="314"/>
      <c r="N625" s="314"/>
      <c r="O625" s="318"/>
      <c r="P625" s="314"/>
      <c r="Q625" s="314"/>
      <c r="R625" s="314"/>
      <c r="S625" s="314"/>
      <c r="T625" s="324"/>
      <c r="U625" s="155"/>
      <c r="V625" s="155"/>
      <c r="W625" s="322"/>
      <c r="X625" s="132"/>
      <c r="Y625" s="132"/>
    </row>
    <row r="626">
      <c r="A626" s="311"/>
      <c r="B626" s="312"/>
      <c r="C626" s="313"/>
      <c r="D626" s="313"/>
      <c r="E626" s="314"/>
      <c r="F626" s="315"/>
      <c r="G626" s="316"/>
      <c r="H626" s="317"/>
      <c r="I626" s="318"/>
      <c r="J626" s="319"/>
      <c r="K626" s="314"/>
      <c r="L626" s="314"/>
      <c r="M626" s="314"/>
      <c r="N626" s="314"/>
      <c r="O626" s="318"/>
      <c r="P626" s="314"/>
      <c r="Q626" s="314"/>
      <c r="R626" s="314"/>
      <c r="S626" s="314"/>
      <c r="T626" s="324"/>
      <c r="U626" s="155"/>
      <c r="V626" s="155"/>
      <c r="W626" s="322"/>
      <c r="X626" s="132"/>
      <c r="Y626" s="132"/>
    </row>
    <row r="627">
      <c r="A627" s="311"/>
      <c r="B627" s="312"/>
      <c r="C627" s="313"/>
      <c r="D627" s="313"/>
      <c r="E627" s="314"/>
      <c r="F627" s="315"/>
      <c r="G627" s="316"/>
      <c r="H627" s="317"/>
      <c r="I627" s="318"/>
      <c r="J627" s="319"/>
      <c r="K627" s="314"/>
      <c r="L627" s="314"/>
      <c r="M627" s="314"/>
      <c r="N627" s="314"/>
      <c r="O627" s="318"/>
      <c r="P627" s="314"/>
      <c r="Q627" s="314"/>
      <c r="R627" s="314"/>
      <c r="S627" s="314"/>
      <c r="T627" s="324"/>
      <c r="U627" s="155"/>
      <c r="V627" s="155"/>
      <c r="W627" s="322"/>
      <c r="X627" s="132"/>
      <c r="Y627" s="132"/>
    </row>
    <row r="628">
      <c r="A628" s="311"/>
      <c r="B628" s="312"/>
      <c r="C628" s="313"/>
      <c r="D628" s="313"/>
      <c r="E628" s="314"/>
      <c r="F628" s="315"/>
      <c r="G628" s="316"/>
      <c r="H628" s="317"/>
      <c r="I628" s="318"/>
      <c r="J628" s="319"/>
      <c r="K628" s="314"/>
      <c r="L628" s="314"/>
      <c r="M628" s="314"/>
      <c r="N628" s="314"/>
      <c r="O628" s="318"/>
      <c r="P628" s="314"/>
      <c r="Q628" s="314"/>
      <c r="R628" s="314"/>
      <c r="S628" s="314"/>
      <c r="T628" s="324"/>
      <c r="U628" s="155"/>
      <c r="V628" s="155"/>
      <c r="W628" s="322"/>
      <c r="X628" s="132"/>
      <c r="Y628" s="132"/>
    </row>
    <row r="629">
      <c r="A629" s="311"/>
      <c r="B629" s="312"/>
      <c r="C629" s="313"/>
      <c r="D629" s="313"/>
      <c r="E629" s="314"/>
      <c r="F629" s="315"/>
      <c r="G629" s="316"/>
      <c r="H629" s="317"/>
      <c r="I629" s="318"/>
      <c r="J629" s="319"/>
      <c r="K629" s="314"/>
      <c r="L629" s="314"/>
      <c r="M629" s="314"/>
      <c r="N629" s="314"/>
      <c r="O629" s="318"/>
      <c r="P629" s="314"/>
      <c r="Q629" s="314"/>
      <c r="R629" s="314"/>
      <c r="S629" s="314"/>
      <c r="T629" s="324"/>
      <c r="U629" s="155"/>
      <c r="V629" s="155"/>
      <c r="W629" s="322"/>
      <c r="X629" s="132"/>
      <c r="Y629" s="132"/>
    </row>
    <row r="630">
      <c r="A630" s="311"/>
      <c r="B630" s="312"/>
      <c r="C630" s="313"/>
      <c r="D630" s="313"/>
      <c r="E630" s="314"/>
      <c r="F630" s="315"/>
      <c r="G630" s="316"/>
      <c r="H630" s="317"/>
      <c r="I630" s="318"/>
      <c r="J630" s="319"/>
      <c r="K630" s="314"/>
      <c r="L630" s="314"/>
      <c r="M630" s="314"/>
      <c r="N630" s="314"/>
      <c r="O630" s="318"/>
      <c r="P630" s="314"/>
      <c r="Q630" s="314"/>
      <c r="R630" s="314"/>
      <c r="S630" s="314"/>
      <c r="T630" s="324"/>
      <c r="U630" s="155"/>
      <c r="V630" s="155"/>
      <c r="W630" s="322"/>
      <c r="X630" s="132"/>
      <c r="Y630" s="132"/>
    </row>
    <row r="631">
      <c r="A631" s="311"/>
      <c r="B631" s="312"/>
      <c r="C631" s="313"/>
      <c r="D631" s="313"/>
      <c r="E631" s="314"/>
      <c r="F631" s="315"/>
      <c r="G631" s="316"/>
      <c r="H631" s="317"/>
      <c r="I631" s="318"/>
      <c r="J631" s="319"/>
      <c r="K631" s="314"/>
      <c r="L631" s="314"/>
      <c r="M631" s="314"/>
      <c r="N631" s="314"/>
      <c r="O631" s="318"/>
      <c r="P631" s="314"/>
      <c r="Q631" s="314"/>
      <c r="R631" s="314"/>
      <c r="S631" s="314"/>
      <c r="T631" s="324"/>
      <c r="U631" s="155"/>
      <c r="V631" s="155"/>
      <c r="W631" s="322"/>
      <c r="X631" s="132"/>
      <c r="Y631" s="132"/>
    </row>
    <row r="632">
      <c r="A632" s="311"/>
      <c r="B632" s="312"/>
      <c r="C632" s="313"/>
      <c r="D632" s="313"/>
      <c r="E632" s="314"/>
      <c r="F632" s="315"/>
      <c r="G632" s="316"/>
      <c r="H632" s="317"/>
      <c r="I632" s="318"/>
      <c r="J632" s="319"/>
      <c r="K632" s="314"/>
      <c r="L632" s="314"/>
      <c r="M632" s="314"/>
      <c r="N632" s="314"/>
      <c r="O632" s="318"/>
      <c r="P632" s="314"/>
      <c r="Q632" s="314"/>
      <c r="R632" s="314"/>
      <c r="S632" s="314"/>
      <c r="T632" s="324"/>
      <c r="U632" s="155"/>
      <c r="V632" s="155"/>
      <c r="W632" s="322"/>
      <c r="X632" s="132"/>
      <c r="Y632" s="132"/>
    </row>
    <row r="633">
      <c r="A633" s="311"/>
      <c r="B633" s="312"/>
      <c r="C633" s="313"/>
      <c r="D633" s="313"/>
      <c r="E633" s="314"/>
      <c r="F633" s="315"/>
      <c r="G633" s="316"/>
      <c r="H633" s="317"/>
      <c r="I633" s="318"/>
      <c r="J633" s="319"/>
      <c r="K633" s="314"/>
      <c r="L633" s="314"/>
      <c r="M633" s="314"/>
      <c r="N633" s="314"/>
      <c r="O633" s="318"/>
      <c r="P633" s="314"/>
      <c r="Q633" s="314"/>
      <c r="R633" s="314"/>
      <c r="S633" s="314"/>
      <c r="T633" s="324"/>
      <c r="U633" s="155"/>
      <c r="V633" s="155"/>
      <c r="W633" s="322"/>
      <c r="X633" s="132"/>
      <c r="Y633" s="132"/>
    </row>
    <row r="634">
      <c r="A634" s="311"/>
      <c r="B634" s="312"/>
      <c r="C634" s="313"/>
      <c r="D634" s="313"/>
      <c r="E634" s="314"/>
      <c r="F634" s="315"/>
      <c r="G634" s="316"/>
      <c r="H634" s="317"/>
      <c r="I634" s="318"/>
      <c r="J634" s="319"/>
      <c r="K634" s="314"/>
      <c r="L634" s="314"/>
      <c r="M634" s="314"/>
      <c r="N634" s="314"/>
      <c r="O634" s="318"/>
      <c r="P634" s="314"/>
      <c r="Q634" s="314"/>
      <c r="R634" s="314"/>
      <c r="S634" s="314"/>
      <c r="T634" s="324"/>
      <c r="U634" s="155"/>
      <c r="V634" s="155"/>
      <c r="W634" s="322"/>
      <c r="X634" s="132"/>
      <c r="Y634" s="132"/>
    </row>
    <row r="635">
      <c r="A635" s="311"/>
      <c r="B635" s="312"/>
      <c r="C635" s="313"/>
      <c r="D635" s="313"/>
      <c r="E635" s="314"/>
      <c r="F635" s="315"/>
      <c r="G635" s="316"/>
      <c r="H635" s="317"/>
      <c r="I635" s="318"/>
      <c r="J635" s="319"/>
      <c r="K635" s="314"/>
      <c r="L635" s="314"/>
      <c r="M635" s="314"/>
      <c r="N635" s="314"/>
      <c r="O635" s="318"/>
      <c r="P635" s="314"/>
      <c r="Q635" s="314"/>
      <c r="R635" s="314"/>
      <c r="S635" s="314"/>
      <c r="T635" s="324"/>
      <c r="U635" s="155"/>
      <c r="V635" s="155"/>
      <c r="W635" s="322"/>
      <c r="X635" s="132"/>
      <c r="Y635" s="132"/>
    </row>
    <row r="636">
      <c r="A636" s="311"/>
      <c r="B636" s="312"/>
      <c r="C636" s="313"/>
      <c r="D636" s="313"/>
      <c r="E636" s="314"/>
      <c r="F636" s="315"/>
      <c r="G636" s="316"/>
      <c r="H636" s="317"/>
      <c r="I636" s="318"/>
      <c r="J636" s="319"/>
      <c r="K636" s="314"/>
      <c r="L636" s="314"/>
      <c r="M636" s="314"/>
      <c r="N636" s="314"/>
      <c r="O636" s="318"/>
      <c r="P636" s="314"/>
      <c r="Q636" s="314"/>
      <c r="R636" s="314"/>
      <c r="S636" s="314"/>
      <c r="T636" s="324"/>
      <c r="U636" s="155"/>
      <c r="V636" s="155"/>
      <c r="W636" s="322"/>
      <c r="X636" s="132"/>
      <c r="Y636" s="132"/>
    </row>
    <row r="637">
      <c r="A637" s="311"/>
      <c r="B637" s="312"/>
      <c r="C637" s="313"/>
      <c r="D637" s="313"/>
      <c r="E637" s="314"/>
      <c r="F637" s="315"/>
      <c r="G637" s="316"/>
      <c r="H637" s="317"/>
      <c r="I637" s="318"/>
      <c r="J637" s="319"/>
      <c r="K637" s="314"/>
      <c r="L637" s="314"/>
      <c r="M637" s="314"/>
      <c r="N637" s="314"/>
      <c r="O637" s="318"/>
      <c r="P637" s="314"/>
      <c r="Q637" s="314"/>
      <c r="R637" s="314"/>
      <c r="S637" s="314"/>
      <c r="T637" s="324"/>
      <c r="U637" s="155"/>
      <c r="V637" s="155"/>
      <c r="W637" s="322"/>
      <c r="X637" s="132"/>
      <c r="Y637" s="132"/>
    </row>
    <row r="638">
      <c r="A638" s="311"/>
      <c r="B638" s="312"/>
      <c r="C638" s="313"/>
      <c r="D638" s="313"/>
      <c r="E638" s="314"/>
      <c r="F638" s="315"/>
      <c r="G638" s="316"/>
      <c r="H638" s="317"/>
      <c r="I638" s="318"/>
      <c r="J638" s="319"/>
      <c r="K638" s="314"/>
      <c r="L638" s="314"/>
      <c r="M638" s="314"/>
      <c r="N638" s="314"/>
      <c r="O638" s="318"/>
      <c r="P638" s="314"/>
      <c r="Q638" s="314"/>
      <c r="R638" s="314"/>
      <c r="S638" s="314"/>
      <c r="T638" s="324"/>
      <c r="U638" s="155"/>
      <c r="V638" s="155"/>
      <c r="W638" s="322"/>
      <c r="X638" s="132"/>
      <c r="Y638" s="132"/>
    </row>
    <row r="639">
      <c r="A639" s="311"/>
      <c r="B639" s="312"/>
      <c r="C639" s="313"/>
      <c r="D639" s="313"/>
      <c r="E639" s="314"/>
      <c r="F639" s="315"/>
      <c r="G639" s="316"/>
      <c r="H639" s="317"/>
      <c r="I639" s="318"/>
      <c r="J639" s="319"/>
      <c r="K639" s="314"/>
      <c r="L639" s="314"/>
      <c r="M639" s="314"/>
      <c r="N639" s="314"/>
      <c r="O639" s="318"/>
      <c r="P639" s="314"/>
      <c r="Q639" s="314"/>
      <c r="R639" s="314"/>
      <c r="S639" s="314"/>
      <c r="T639" s="324"/>
      <c r="U639" s="155"/>
      <c r="V639" s="155"/>
      <c r="W639" s="322"/>
      <c r="X639" s="132"/>
      <c r="Y639" s="132"/>
    </row>
    <row r="640">
      <c r="A640" s="311"/>
      <c r="B640" s="312"/>
      <c r="C640" s="313"/>
      <c r="D640" s="313"/>
      <c r="E640" s="314"/>
      <c r="F640" s="315"/>
      <c r="G640" s="316"/>
      <c r="H640" s="317"/>
      <c r="I640" s="318"/>
      <c r="J640" s="319"/>
      <c r="K640" s="314"/>
      <c r="L640" s="314"/>
      <c r="M640" s="314"/>
      <c r="N640" s="314"/>
      <c r="O640" s="318"/>
      <c r="P640" s="314"/>
      <c r="Q640" s="314"/>
      <c r="R640" s="314"/>
      <c r="S640" s="314"/>
      <c r="T640" s="324"/>
      <c r="U640" s="155"/>
      <c r="V640" s="155"/>
      <c r="W640" s="322"/>
      <c r="X640" s="132"/>
      <c r="Y640" s="132"/>
    </row>
    <row r="641">
      <c r="A641" s="311"/>
      <c r="B641" s="312"/>
      <c r="C641" s="313"/>
      <c r="D641" s="313"/>
      <c r="E641" s="314"/>
      <c r="F641" s="315"/>
      <c r="G641" s="316"/>
      <c r="H641" s="317"/>
      <c r="I641" s="318"/>
      <c r="J641" s="319"/>
      <c r="K641" s="314"/>
      <c r="L641" s="314"/>
      <c r="M641" s="314"/>
      <c r="N641" s="314"/>
      <c r="O641" s="318"/>
      <c r="P641" s="314"/>
      <c r="Q641" s="314"/>
      <c r="R641" s="314"/>
      <c r="S641" s="314"/>
      <c r="T641" s="324"/>
      <c r="U641" s="155"/>
      <c r="V641" s="155"/>
      <c r="W641" s="322"/>
      <c r="X641" s="132"/>
      <c r="Y641" s="132"/>
    </row>
    <row r="642">
      <c r="A642" s="311"/>
      <c r="B642" s="312"/>
      <c r="C642" s="313"/>
      <c r="D642" s="313"/>
      <c r="E642" s="314"/>
      <c r="F642" s="315"/>
      <c r="G642" s="316"/>
      <c r="H642" s="317"/>
      <c r="I642" s="318"/>
      <c r="J642" s="319"/>
      <c r="K642" s="314"/>
      <c r="L642" s="314"/>
      <c r="M642" s="314"/>
      <c r="N642" s="314"/>
      <c r="O642" s="318"/>
      <c r="P642" s="314"/>
      <c r="Q642" s="314"/>
      <c r="R642" s="314"/>
      <c r="S642" s="314"/>
      <c r="T642" s="324"/>
      <c r="U642" s="155"/>
      <c r="V642" s="155"/>
      <c r="W642" s="322"/>
      <c r="X642" s="132"/>
      <c r="Y642" s="132"/>
    </row>
    <row r="643">
      <c r="A643" s="311"/>
      <c r="B643" s="312"/>
      <c r="C643" s="313"/>
      <c r="D643" s="313"/>
      <c r="E643" s="314"/>
      <c r="F643" s="315"/>
      <c r="G643" s="316"/>
      <c r="H643" s="317"/>
      <c r="I643" s="318"/>
      <c r="J643" s="319"/>
      <c r="K643" s="314"/>
      <c r="L643" s="314"/>
      <c r="M643" s="314"/>
      <c r="N643" s="314"/>
      <c r="O643" s="318"/>
      <c r="P643" s="314"/>
      <c r="Q643" s="314"/>
      <c r="R643" s="314"/>
      <c r="S643" s="314"/>
      <c r="T643" s="324"/>
      <c r="U643" s="155"/>
      <c r="V643" s="155"/>
      <c r="W643" s="322"/>
      <c r="X643" s="132"/>
      <c r="Y643" s="132"/>
    </row>
    <row r="644">
      <c r="A644" s="311"/>
      <c r="B644" s="312"/>
      <c r="C644" s="313"/>
      <c r="D644" s="313"/>
      <c r="E644" s="314"/>
      <c r="F644" s="315"/>
      <c r="G644" s="316"/>
      <c r="H644" s="317"/>
      <c r="I644" s="318"/>
      <c r="J644" s="319"/>
      <c r="K644" s="314"/>
      <c r="L644" s="314"/>
      <c r="M644" s="314"/>
      <c r="N644" s="314"/>
      <c r="O644" s="318"/>
      <c r="P644" s="314"/>
      <c r="Q644" s="314"/>
      <c r="R644" s="314"/>
      <c r="S644" s="314"/>
      <c r="T644" s="324"/>
      <c r="U644" s="155"/>
      <c r="V644" s="155"/>
      <c r="W644" s="322"/>
      <c r="X644" s="132"/>
      <c r="Y644" s="132"/>
    </row>
    <row r="645">
      <c r="A645" s="311"/>
      <c r="B645" s="312"/>
      <c r="C645" s="313"/>
      <c r="D645" s="313"/>
      <c r="E645" s="314"/>
      <c r="F645" s="315"/>
      <c r="G645" s="316"/>
      <c r="H645" s="317"/>
      <c r="I645" s="318"/>
      <c r="J645" s="319"/>
      <c r="K645" s="314"/>
      <c r="L645" s="314"/>
      <c r="M645" s="314"/>
      <c r="N645" s="314"/>
      <c r="O645" s="318"/>
      <c r="P645" s="314"/>
      <c r="Q645" s="314"/>
      <c r="R645" s="314"/>
      <c r="S645" s="314"/>
      <c r="T645" s="324"/>
      <c r="U645" s="155"/>
      <c r="V645" s="155"/>
      <c r="W645" s="322"/>
      <c r="X645" s="132"/>
      <c r="Y645" s="132"/>
    </row>
    <row r="646">
      <c r="A646" s="311"/>
      <c r="B646" s="312"/>
      <c r="C646" s="313"/>
      <c r="D646" s="313"/>
      <c r="E646" s="314"/>
      <c r="F646" s="315"/>
      <c r="G646" s="316"/>
      <c r="H646" s="317"/>
      <c r="I646" s="318"/>
      <c r="J646" s="319"/>
      <c r="K646" s="314"/>
      <c r="L646" s="314"/>
      <c r="M646" s="314"/>
      <c r="N646" s="314"/>
      <c r="O646" s="318"/>
      <c r="P646" s="314"/>
      <c r="Q646" s="314"/>
      <c r="R646" s="314"/>
      <c r="S646" s="314"/>
      <c r="T646" s="324"/>
      <c r="U646" s="155"/>
      <c r="V646" s="155"/>
      <c r="W646" s="322"/>
      <c r="X646" s="132"/>
      <c r="Y646" s="132"/>
    </row>
    <row r="647">
      <c r="A647" s="311"/>
      <c r="B647" s="312"/>
      <c r="C647" s="313"/>
      <c r="D647" s="313"/>
      <c r="E647" s="314"/>
      <c r="F647" s="315"/>
      <c r="G647" s="316"/>
      <c r="H647" s="317"/>
      <c r="I647" s="318"/>
      <c r="J647" s="319"/>
      <c r="K647" s="314"/>
      <c r="L647" s="314"/>
      <c r="M647" s="314"/>
      <c r="N647" s="314"/>
      <c r="O647" s="318"/>
      <c r="P647" s="314"/>
      <c r="Q647" s="314"/>
      <c r="R647" s="314"/>
      <c r="S647" s="314"/>
      <c r="T647" s="324"/>
      <c r="U647" s="155"/>
      <c r="V647" s="155"/>
      <c r="W647" s="322"/>
      <c r="X647" s="132"/>
      <c r="Y647" s="132"/>
    </row>
    <row r="648">
      <c r="A648" s="311"/>
      <c r="B648" s="312"/>
      <c r="C648" s="313"/>
      <c r="D648" s="313"/>
      <c r="E648" s="314"/>
      <c r="F648" s="315"/>
      <c r="G648" s="316"/>
      <c r="H648" s="317"/>
      <c r="I648" s="318"/>
      <c r="J648" s="319"/>
      <c r="K648" s="314"/>
      <c r="L648" s="314"/>
      <c r="M648" s="314"/>
      <c r="N648" s="314"/>
      <c r="O648" s="318"/>
      <c r="P648" s="314"/>
      <c r="Q648" s="314"/>
      <c r="R648" s="314"/>
      <c r="S648" s="314"/>
      <c r="T648" s="324"/>
      <c r="U648" s="155"/>
      <c r="V648" s="155"/>
      <c r="W648" s="322"/>
      <c r="X648" s="132"/>
      <c r="Y648" s="132"/>
    </row>
    <row r="649">
      <c r="A649" s="311"/>
      <c r="B649" s="312"/>
      <c r="C649" s="313"/>
      <c r="D649" s="313"/>
      <c r="E649" s="314"/>
      <c r="F649" s="315"/>
      <c r="G649" s="316"/>
      <c r="H649" s="317"/>
      <c r="I649" s="318"/>
      <c r="J649" s="319"/>
      <c r="K649" s="314"/>
      <c r="L649" s="314"/>
      <c r="M649" s="314"/>
      <c r="N649" s="314"/>
      <c r="O649" s="318"/>
      <c r="P649" s="314"/>
      <c r="Q649" s="314"/>
      <c r="R649" s="314"/>
      <c r="S649" s="314"/>
      <c r="T649" s="324"/>
      <c r="U649" s="155"/>
      <c r="V649" s="155"/>
      <c r="W649" s="322"/>
      <c r="X649" s="132"/>
      <c r="Y649" s="132"/>
    </row>
    <row r="650">
      <c r="A650" s="311"/>
      <c r="B650" s="312"/>
      <c r="C650" s="313"/>
      <c r="D650" s="313"/>
      <c r="E650" s="314"/>
      <c r="F650" s="315"/>
      <c r="G650" s="316"/>
      <c r="H650" s="317"/>
      <c r="I650" s="318"/>
      <c r="J650" s="319"/>
      <c r="K650" s="314"/>
      <c r="L650" s="314"/>
      <c r="M650" s="314"/>
      <c r="N650" s="314"/>
      <c r="O650" s="318"/>
      <c r="P650" s="314"/>
      <c r="Q650" s="314"/>
      <c r="R650" s="314"/>
      <c r="S650" s="314"/>
      <c r="T650" s="324"/>
      <c r="U650" s="155"/>
      <c r="V650" s="155"/>
      <c r="W650" s="322"/>
      <c r="X650" s="132"/>
      <c r="Y650" s="132"/>
    </row>
    <row r="651">
      <c r="A651" s="311"/>
      <c r="B651" s="312"/>
      <c r="C651" s="313"/>
      <c r="D651" s="313"/>
      <c r="E651" s="314"/>
      <c r="F651" s="315"/>
      <c r="G651" s="316"/>
      <c r="H651" s="317"/>
      <c r="I651" s="318"/>
      <c r="J651" s="319"/>
      <c r="K651" s="314"/>
      <c r="L651" s="314"/>
      <c r="M651" s="314"/>
      <c r="N651" s="314"/>
      <c r="O651" s="318"/>
      <c r="P651" s="314"/>
      <c r="Q651" s="314"/>
      <c r="R651" s="314"/>
      <c r="S651" s="314"/>
      <c r="T651" s="324"/>
      <c r="U651" s="155"/>
      <c r="V651" s="155"/>
      <c r="W651" s="322"/>
      <c r="X651" s="132"/>
      <c r="Y651" s="132"/>
    </row>
    <row r="652">
      <c r="A652" s="311"/>
      <c r="B652" s="312"/>
      <c r="C652" s="313"/>
      <c r="D652" s="313"/>
      <c r="E652" s="314"/>
      <c r="F652" s="315"/>
      <c r="G652" s="316"/>
      <c r="H652" s="317"/>
      <c r="I652" s="318"/>
      <c r="J652" s="319"/>
      <c r="K652" s="314"/>
      <c r="L652" s="314"/>
      <c r="M652" s="314"/>
      <c r="N652" s="314"/>
      <c r="O652" s="318"/>
      <c r="P652" s="314"/>
      <c r="Q652" s="314"/>
      <c r="R652" s="314"/>
      <c r="S652" s="314"/>
      <c r="T652" s="324"/>
      <c r="U652" s="155"/>
      <c r="V652" s="155"/>
      <c r="W652" s="322"/>
      <c r="X652" s="132"/>
      <c r="Y652" s="132"/>
    </row>
    <row r="653">
      <c r="A653" s="311"/>
      <c r="B653" s="312"/>
      <c r="C653" s="313"/>
      <c r="D653" s="313"/>
      <c r="E653" s="314"/>
      <c r="F653" s="315"/>
      <c r="G653" s="316"/>
      <c r="H653" s="317"/>
      <c r="I653" s="318"/>
      <c r="J653" s="319"/>
      <c r="K653" s="314"/>
      <c r="L653" s="314"/>
      <c r="M653" s="314"/>
      <c r="N653" s="314"/>
      <c r="O653" s="318"/>
      <c r="P653" s="314"/>
      <c r="Q653" s="314"/>
      <c r="R653" s="314"/>
      <c r="S653" s="314"/>
      <c r="T653" s="324"/>
      <c r="U653" s="155"/>
      <c r="V653" s="155"/>
      <c r="W653" s="322"/>
      <c r="X653" s="132"/>
      <c r="Y653" s="132"/>
    </row>
    <row r="654">
      <c r="A654" s="311"/>
      <c r="B654" s="312"/>
      <c r="C654" s="313"/>
      <c r="D654" s="313"/>
      <c r="E654" s="314"/>
      <c r="F654" s="315"/>
      <c r="G654" s="316"/>
      <c r="H654" s="317"/>
      <c r="I654" s="318"/>
      <c r="J654" s="319"/>
      <c r="K654" s="314"/>
      <c r="L654" s="314"/>
      <c r="M654" s="314"/>
      <c r="N654" s="314"/>
      <c r="O654" s="318"/>
      <c r="P654" s="314"/>
      <c r="Q654" s="314"/>
      <c r="R654" s="314"/>
      <c r="S654" s="314"/>
      <c r="T654" s="324"/>
      <c r="U654" s="155"/>
      <c r="V654" s="155"/>
      <c r="W654" s="322"/>
      <c r="X654" s="132"/>
      <c r="Y654" s="132"/>
    </row>
    <row r="655">
      <c r="A655" s="311"/>
      <c r="B655" s="312"/>
      <c r="C655" s="313"/>
      <c r="D655" s="313"/>
      <c r="E655" s="314"/>
      <c r="F655" s="315"/>
      <c r="G655" s="316"/>
      <c r="H655" s="317"/>
      <c r="I655" s="318"/>
      <c r="J655" s="319"/>
      <c r="K655" s="314"/>
      <c r="L655" s="314"/>
      <c r="M655" s="314"/>
      <c r="N655" s="314"/>
      <c r="O655" s="318"/>
      <c r="P655" s="314"/>
      <c r="Q655" s="314"/>
      <c r="R655" s="314"/>
      <c r="S655" s="314"/>
      <c r="T655" s="324"/>
      <c r="U655" s="155"/>
      <c r="V655" s="155"/>
      <c r="W655" s="322"/>
      <c r="X655" s="132"/>
      <c r="Y655" s="132"/>
    </row>
    <row r="656">
      <c r="A656" s="311"/>
      <c r="B656" s="312"/>
      <c r="C656" s="313"/>
      <c r="D656" s="313"/>
      <c r="E656" s="314"/>
      <c r="F656" s="315"/>
      <c r="G656" s="316"/>
      <c r="H656" s="317"/>
      <c r="I656" s="318"/>
      <c r="J656" s="319"/>
      <c r="K656" s="314"/>
      <c r="L656" s="314"/>
      <c r="M656" s="314"/>
      <c r="N656" s="314"/>
      <c r="O656" s="318"/>
      <c r="P656" s="314"/>
      <c r="Q656" s="314"/>
      <c r="R656" s="314"/>
      <c r="S656" s="314"/>
      <c r="T656" s="324"/>
      <c r="U656" s="155"/>
      <c r="V656" s="155"/>
      <c r="W656" s="322"/>
      <c r="X656" s="132"/>
      <c r="Y656" s="132"/>
    </row>
    <row r="657">
      <c r="A657" s="311"/>
      <c r="B657" s="312"/>
      <c r="C657" s="313"/>
      <c r="D657" s="313"/>
      <c r="E657" s="314"/>
      <c r="F657" s="315"/>
      <c r="G657" s="316"/>
      <c r="H657" s="317"/>
      <c r="I657" s="318"/>
      <c r="J657" s="319"/>
      <c r="K657" s="314"/>
      <c r="L657" s="314"/>
      <c r="M657" s="314"/>
      <c r="N657" s="314"/>
      <c r="O657" s="318"/>
      <c r="P657" s="314"/>
      <c r="Q657" s="314"/>
      <c r="R657" s="314"/>
      <c r="S657" s="314"/>
      <c r="T657" s="324"/>
      <c r="U657" s="155"/>
      <c r="V657" s="155"/>
      <c r="W657" s="322"/>
      <c r="X657" s="132"/>
      <c r="Y657" s="132"/>
    </row>
    <row r="658">
      <c r="A658" s="311"/>
      <c r="B658" s="312"/>
      <c r="C658" s="313"/>
      <c r="D658" s="313"/>
      <c r="E658" s="314"/>
      <c r="F658" s="315"/>
      <c r="G658" s="316"/>
      <c r="H658" s="317"/>
      <c r="I658" s="318"/>
      <c r="J658" s="319"/>
      <c r="K658" s="314"/>
      <c r="L658" s="314"/>
      <c r="M658" s="314"/>
      <c r="N658" s="314"/>
      <c r="O658" s="318"/>
      <c r="P658" s="314"/>
      <c r="Q658" s="314"/>
      <c r="R658" s="314"/>
      <c r="S658" s="314"/>
      <c r="T658" s="324"/>
      <c r="U658" s="155"/>
      <c r="V658" s="155"/>
      <c r="W658" s="322"/>
      <c r="X658" s="132"/>
      <c r="Y658" s="132"/>
    </row>
    <row r="659">
      <c r="A659" s="311"/>
      <c r="B659" s="312"/>
      <c r="C659" s="313"/>
      <c r="D659" s="313"/>
      <c r="E659" s="314"/>
      <c r="F659" s="315"/>
      <c r="G659" s="316"/>
      <c r="H659" s="317"/>
      <c r="I659" s="318"/>
      <c r="J659" s="319"/>
      <c r="K659" s="314"/>
      <c r="L659" s="314"/>
      <c r="M659" s="314"/>
      <c r="N659" s="314"/>
      <c r="O659" s="318"/>
      <c r="P659" s="314"/>
      <c r="Q659" s="314"/>
      <c r="R659" s="314"/>
      <c r="S659" s="314"/>
      <c r="T659" s="324"/>
      <c r="U659" s="155"/>
      <c r="V659" s="155"/>
      <c r="W659" s="322"/>
      <c r="X659" s="132"/>
      <c r="Y659" s="132"/>
    </row>
    <row r="660">
      <c r="A660" s="311"/>
      <c r="B660" s="312"/>
      <c r="C660" s="313"/>
      <c r="D660" s="313"/>
      <c r="E660" s="314"/>
      <c r="F660" s="315"/>
      <c r="G660" s="316"/>
      <c r="H660" s="317"/>
      <c r="I660" s="318"/>
      <c r="J660" s="319"/>
      <c r="K660" s="314"/>
      <c r="L660" s="314"/>
      <c r="M660" s="314"/>
      <c r="N660" s="314"/>
      <c r="O660" s="318"/>
      <c r="P660" s="314"/>
      <c r="Q660" s="314"/>
      <c r="R660" s="314"/>
      <c r="S660" s="314"/>
      <c r="T660" s="324"/>
      <c r="U660" s="155"/>
      <c r="V660" s="155"/>
      <c r="W660" s="322"/>
      <c r="X660" s="132"/>
      <c r="Y660" s="132"/>
    </row>
    <row r="661">
      <c r="A661" s="311"/>
      <c r="B661" s="312"/>
      <c r="C661" s="313"/>
      <c r="D661" s="313"/>
      <c r="E661" s="314"/>
      <c r="F661" s="315"/>
      <c r="G661" s="316"/>
      <c r="H661" s="317"/>
      <c r="I661" s="318"/>
      <c r="J661" s="319"/>
      <c r="K661" s="314"/>
      <c r="L661" s="314"/>
      <c r="M661" s="314"/>
      <c r="N661" s="314"/>
      <c r="O661" s="318"/>
      <c r="P661" s="314"/>
      <c r="Q661" s="314"/>
      <c r="R661" s="314"/>
      <c r="S661" s="314"/>
      <c r="T661" s="324"/>
      <c r="U661" s="155"/>
      <c r="V661" s="155"/>
      <c r="W661" s="322"/>
      <c r="X661" s="132"/>
      <c r="Y661" s="132"/>
    </row>
    <row r="662">
      <c r="A662" s="311"/>
      <c r="B662" s="312"/>
      <c r="C662" s="313"/>
      <c r="D662" s="313"/>
      <c r="E662" s="314"/>
      <c r="F662" s="315"/>
      <c r="G662" s="316"/>
      <c r="H662" s="317"/>
      <c r="I662" s="318"/>
      <c r="J662" s="319"/>
      <c r="K662" s="314"/>
      <c r="L662" s="314"/>
      <c r="M662" s="314"/>
      <c r="N662" s="314"/>
      <c r="O662" s="318"/>
      <c r="P662" s="314"/>
      <c r="Q662" s="314"/>
      <c r="R662" s="314"/>
      <c r="S662" s="314"/>
      <c r="T662" s="324"/>
      <c r="U662" s="155"/>
      <c r="V662" s="155"/>
      <c r="W662" s="322"/>
      <c r="X662" s="132"/>
      <c r="Y662" s="132"/>
    </row>
    <row r="663">
      <c r="A663" s="311"/>
      <c r="B663" s="312"/>
      <c r="C663" s="313"/>
      <c r="D663" s="313"/>
      <c r="E663" s="314"/>
      <c r="F663" s="315"/>
      <c r="G663" s="316"/>
      <c r="H663" s="317"/>
      <c r="I663" s="318"/>
      <c r="J663" s="319"/>
      <c r="K663" s="314"/>
      <c r="L663" s="314"/>
      <c r="M663" s="314"/>
      <c r="N663" s="314"/>
      <c r="O663" s="318"/>
      <c r="P663" s="314"/>
      <c r="Q663" s="314"/>
      <c r="R663" s="314"/>
      <c r="S663" s="314"/>
      <c r="T663" s="324"/>
      <c r="U663" s="155"/>
      <c r="V663" s="155"/>
      <c r="W663" s="322"/>
      <c r="X663" s="132"/>
      <c r="Y663" s="132"/>
    </row>
    <row r="664">
      <c r="A664" s="311"/>
      <c r="B664" s="312"/>
      <c r="C664" s="313"/>
      <c r="D664" s="313"/>
      <c r="E664" s="314"/>
      <c r="F664" s="315"/>
      <c r="G664" s="316"/>
      <c r="H664" s="317"/>
      <c r="I664" s="318"/>
      <c r="J664" s="319"/>
      <c r="K664" s="314"/>
      <c r="L664" s="314"/>
      <c r="M664" s="314"/>
      <c r="N664" s="314"/>
      <c r="O664" s="318"/>
      <c r="P664" s="314"/>
      <c r="Q664" s="314"/>
      <c r="R664" s="314"/>
      <c r="S664" s="314"/>
      <c r="T664" s="324"/>
      <c r="U664" s="155"/>
      <c r="V664" s="155"/>
      <c r="W664" s="322"/>
      <c r="X664" s="132"/>
      <c r="Y664" s="132"/>
    </row>
    <row r="665">
      <c r="A665" s="311"/>
      <c r="B665" s="312"/>
      <c r="C665" s="313"/>
      <c r="D665" s="313"/>
      <c r="E665" s="314"/>
      <c r="F665" s="315"/>
      <c r="G665" s="316"/>
      <c r="H665" s="317"/>
      <c r="I665" s="318"/>
      <c r="J665" s="319"/>
      <c r="K665" s="314"/>
      <c r="L665" s="314"/>
      <c r="M665" s="314"/>
      <c r="N665" s="314"/>
      <c r="O665" s="318"/>
      <c r="P665" s="314"/>
      <c r="Q665" s="314"/>
      <c r="R665" s="314"/>
      <c r="S665" s="314"/>
      <c r="T665" s="324"/>
      <c r="U665" s="155"/>
      <c r="V665" s="155"/>
      <c r="W665" s="322"/>
      <c r="X665" s="132"/>
      <c r="Y665" s="132"/>
    </row>
    <row r="666">
      <c r="A666" s="311"/>
      <c r="B666" s="312"/>
      <c r="C666" s="313"/>
      <c r="D666" s="313"/>
      <c r="E666" s="314"/>
      <c r="F666" s="315"/>
      <c r="G666" s="316"/>
      <c r="H666" s="317"/>
      <c r="I666" s="318"/>
      <c r="J666" s="319"/>
      <c r="K666" s="314"/>
      <c r="L666" s="314"/>
      <c r="M666" s="314"/>
      <c r="N666" s="314"/>
      <c r="O666" s="318"/>
      <c r="P666" s="314"/>
      <c r="Q666" s="314"/>
      <c r="R666" s="314"/>
      <c r="S666" s="314"/>
      <c r="T666" s="324"/>
      <c r="U666" s="155"/>
      <c r="V666" s="155"/>
      <c r="W666" s="322"/>
      <c r="X666" s="132"/>
      <c r="Y666" s="132"/>
    </row>
    <row r="667">
      <c r="A667" s="311"/>
      <c r="B667" s="312"/>
      <c r="C667" s="313"/>
      <c r="D667" s="313"/>
      <c r="E667" s="314"/>
      <c r="F667" s="315"/>
      <c r="G667" s="316"/>
      <c r="H667" s="317"/>
      <c r="I667" s="318"/>
      <c r="J667" s="319"/>
      <c r="K667" s="314"/>
      <c r="L667" s="314"/>
      <c r="M667" s="314"/>
      <c r="N667" s="314"/>
      <c r="O667" s="318"/>
      <c r="P667" s="314"/>
      <c r="Q667" s="314"/>
      <c r="R667" s="314"/>
      <c r="S667" s="314"/>
      <c r="T667" s="324"/>
      <c r="U667" s="155"/>
      <c r="V667" s="155"/>
      <c r="W667" s="322"/>
      <c r="X667" s="132"/>
      <c r="Y667" s="132"/>
    </row>
    <row r="668">
      <c r="A668" s="311"/>
      <c r="B668" s="312"/>
      <c r="C668" s="313"/>
      <c r="D668" s="313"/>
      <c r="E668" s="314"/>
      <c r="F668" s="315"/>
      <c r="G668" s="316"/>
      <c r="H668" s="317"/>
      <c r="I668" s="318"/>
      <c r="J668" s="319"/>
      <c r="K668" s="314"/>
      <c r="L668" s="314"/>
      <c r="M668" s="314"/>
      <c r="N668" s="314"/>
      <c r="O668" s="318"/>
      <c r="P668" s="314"/>
      <c r="Q668" s="314"/>
      <c r="R668" s="314"/>
      <c r="S668" s="314"/>
      <c r="T668" s="324"/>
      <c r="U668" s="155"/>
      <c r="V668" s="155"/>
      <c r="W668" s="322"/>
      <c r="X668" s="132"/>
      <c r="Y668" s="132"/>
    </row>
    <row r="669">
      <c r="A669" s="311"/>
      <c r="B669" s="312"/>
      <c r="C669" s="313"/>
      <c r="D669" s="313"/>
      <c r="E669" s="314"/>
      <c r="F669" s="315"/>
      <c r="G669" s="316"/>
      <c r="H669" s="317"/>
      <c r="I669" s="318"/>
      <c r="J669" s="319"/>
      <c r="K669" s="314"/>
      <c r="L669" s="314"/>
      <c r="M669" s="314"/>
      <c r="N669" s="314"/>
      <c r="O669" s="318"/>
      <c r="P669" s="314"/>
      <c r="Q669" s="314"/>
      <c r="R669" s="314"/>
      <c r="S669" s="314"/>
      <c r="T669" s="324"/>
      <c r="U669" s="155"/>
      <c r="V669" s="155"/>
      <c r="W669" s="322"/>
      <c r="X669" s="132"/>
      <c r="Y669" s="132"/>
    </row>
    <row r="670">
      <c r="A670" s="311"/>
      <c r="B670" s="312"/>
      <c r="C670" s="313"/>
      <c r="D670" s="313"/>
      <c r="E670" s="314"/>
      <c r="F670" s="315"/>
      <c r="G670" s="316"/>
      <c r="H670" s="317"/>
      <c r="I670" s="318"/>
      <c r="J670" s="319"/>
      <c r="K670" s="314"/>
      <c r="L670" s="314"/>
      <c r="M670" s="314"/>
      <c r="N670" s="314"/>
      <c r="O670" s="318"/>
      <c r="P670" s="314"/>
      <c r="Q670" s="314"/>
      <c r="R670" s="314"/>
      <c r="S670" s="314"/>
      <c r="T670" s="324"/>
      <c r="U670" s="155"/>
      <c r="V670" s="155"/>
      <c r="W670" s="322"/>
      <c r="X670" s="132"/>
      <c r="Y670" s="132"/>
    </row>
    <row r="671">
      <c r="A671" s="311"/>
      <c r="B671" s="312"/>
      <c r="C671" s="313"/>
      <c r="D671" s="313"/>
      <c r="E671" s="314"/>
      <c r="F671" s="315"/>
      <c r="G671" s="316"/>
      <c r="H671" s="317"/>
      <c r="I671" s="318"/>
      <c r="J671" s="319"/>
      <c r="K671" s="314"/>
      <c r="L671" s="314"/>
      <c r="M671" s="314"/>
      <c r="N671" s="314"/>
      <c r="O671" s="318"/>
      <c r="P671" s="314"/>
      <c r="Q671" s="314"/>
      <c r="R671" s="314"/>
      <c r="S671" s="314"/>
      <c r="T671" s="324"/>
      <c r="U671" s="155"/>
      <c r="V671" s="155"/>
      <c r="W671" s="322"/>
      <c r="X671" s="132"/>
      <c r="Y671" s="132"/>
    </row>
    <row r="672">
      <c r="A672" s="311"/>
      <c r="B672" s="312"/>
      <c r="C672" s="313"/>
      <c r="D672" s="313"/>
      <c r="E672" s="314"/>
      <c r="F672" s="315"/>
      <c r="G672" s="316"/>
      <c r="H672" s="317"/>
      <c r="I672" s="318"/>
      <c r="J672" s="319"/>
      <c r="K672" s="314"/>
      <c r="L672" s="314"/>
      <c r="M672" s="314"/>
      <c r="N672" s="314"/>
      <c r="O672" s="318"/>
      <c r="P672" s="314"/>
      <c r="Q672" s="314"/>
      <c r="R672" s="314"/>
      <c r="S672" s="314"/>
      <c r="T672" s="324"/>
      <c r="U672" s="155"/>
      <c r="V672" s="155"/>
      <c r="W672" s="322"/>
      <c r="X672" s="132"/>
      <c r="Y672" s="132"/>
    </row>
    <row r="673">
      <c r="A673" s="311"/>
      <c r="B673" s="312"/>
      <c r="C673" s="313"/>
      <c r="D673" s="313"/>
      <c r="E673" s="314"/>
      <c r="F673" s="315"/>
      <c r="G673" s="316"/>
      <c r="H673" s="317"/>
      <c r="I673" s="318"/>
      <c r="J673" s="319"/>
      <c r="K673" s="314"/>
      <c r="L673" s="314"/>
      <c r="M673" s="314"/>
      <c r="N673" s="314"/>
      <c r="O673" s="318"/>
      <c r="P673" s="314"/>
      <c r="Q673" s="314"/>
      <c r="R673" s="314"/>
      <c r="S673" s="314"/>
      <c r="T673" s="324"/>
      <c r="U673" s="155"/>
      <c r="V673" s="155"/>
      <c r="W673" s="322"/>
      <c r="X673" s="132"/>
      <c r="Y673" s="132"/>
    </row>
    <row r="674">
      <c r="A674" s="311"/>
      <c r="B674" s="312"/>
      <c r="C674" s="313"/>
      <c r="D674" s="313"/>
      <c r="E674" s="314"/>
      <c r="F674" s="315"/>
      <c r="G674" s="316"/>
      <c r="H674" s="317"/>
      <c r="I674" s="318"/>
      <c r="J674" s="319"/>
      <c r="K674" s="314"/>
      <c r="L674" s="314"/>
      <c r="M674" s="314"/>
      <c r="N674" s="314"/>
      <c r="O674" s="318"/>
      <c r="P674" s="314"/>
      <c r="Q674" s="314"/>
      <c r="R674" s="314"/>
      <c r="S674" s="314"/>
      <c r="T674" s="324"/>
      <c r="U674" s="155"/>
      <c r="V674" s="155"/>
      <c r="W674" s="322"/>
      <c r="X674" s="132"/>
      <c r="Y674" s="132"/>
    </row>
    <row r="675">
      <c r="A675" s="311"/>
      <c r="B675" s="312"/>
      <c r="C675" s="313"/>
      <c r="D675" s="313"/>
      <c r="E675" s="314"/>
      <c r="F675" s="315"/>
      <c r="G675" s="316"/>
      <c r="H675" s="317"/>
      <c r="I675" s="318"/>
      <c r="J675" s="319"/>
      <c r="K675" s="314"/>
      <c r="L675" s="314"/>
      <c r="M675" s="314"/>
      <c r="N675" s="314"/>
      <c r="O675" s="318"/>
      <c r="P675" s="314"/>
      <c r="Q675" s="314"/>
      <c r="R675" s="314"/>
      <c r="S675" s="314"/>
      <c r="T675" s="324"/>
      <c r="U675" s="155"/>
      <c r="V675" s="155"/>
      <c r="W675" s="322"/>
      <c r="X675" s="132"/>
      <c r="Y675" s="132"/>
    </row>
    <row r="676">
      <c r="A676" s="311"/>
      <c r="B676" s="312"/>
      <c r="C676" s="313"/>
      <c r="D676" s="313"/>
      <c r="E676" s="314"/>
      <c r="F676" s="315"/>
      <c r="G676" s="316"/>
      <c r="H676" s="317"/>
      <c r="I676" s="318"/>
      <c r="J676" s="319"/>
      <c r="K676" s="314"/>
      <c r="L676" s="314"/>
      <c r="M676" s="314"/>
      <c r="N676" s="314"/>
      <c r="O676" s="318"/>
      <c r="P676" s="314"/>
      <c r="Q676" s="314"/>
      <c r="R676" s="314"/>
      <c r="S676" s="314"/>
      <c r="T676" s="324"/>
      <c r="U676" s="155"/>
      <c r="V676" s="155"/>
      <c r="W676" s="322"/>
      <c r="X676" s="132"/>
      <c r="Y676" s="132"/>
    </row>
    <row r="677">
      <c r="A677" s="311"/>
      <c r="B677" s="312"/>
      <c r="C677" s="313"/>
      <c r="D677" s="313"/>
      <c r="E677" s="314"/>
      <c r="F677" s="315"/>
      <c r="G677" s="316"/>
      <c r="H677" s="317"/>
      <c r="I677" s="318"/>
      <c r="J677" s="319"/>
      <c r="K677" s="314"/>
      <c r="L677" s="314"/>
      <c r="M677" s="314"/>
      <c r="N677" s="314"/>
      <c r="O677" s="318"/>
      <c r="P677" s="314"/>
      <c r="Q677" s="314"/>
      <c r="R677" s="314"/>
      <c r="S677" s="314"/>
      <c r="T677" s="324"/>
      <c r="U677" s="155"/>
      <c r="V677" s="155"/>
      <c r="W677" s="322"/>
      <c r="X677" s="132"/>
      <c r="Y677" s="132"/>
    </row>
    <row r="678">
      <c r="A678" s="311"/>
      <c r="B678" s="312"/>
      <c r="C678" s="313"/>
      <c r="D678" s="313"/>
      <c r="E678" s="314"/>
      <c r="F678" s="315"/>
      <c r="G678" s="316"/>
      <c r="H678" s="317"/>
      <c r="I678" s="318"/>
      <c r="J678" s="319"/>
      <c r="K678" s="314"/>
      <c r="L678" s="314"/>
      <c r="M678" s="314"/>
      <c r="N678" s="314"/>
      <c r="O678" s="318"/>
      <c r="P678" s="314"/>
      <c r="Q678" s="314"/>
      <c r="R678" s="314"/>
      <c r="S678" s="314"/>
      <c r="T678" s="324"/>
      <c r="U678" s="155"/>
      <c r="V678" s="155"/>
      <c r="W678" s="322"/>
      <c r="X678" s="132"/>
      <c r="Y678" s="132"/>
    </row>
    <row r="679">
      <c r="A679" s="311"/>
      <c r="B679" s="312"/>
      <c r="C679" s="313"/>
      <c r="D679" s="313"/>
      <c r="E679" s="314"/>
      <c r="F679" s="315"/>
      <c r="G679" s="316"/>
      <c r="H679" s="317"/>
      <c r="I679" s="318"/>
      <c r="J679" s="319"/>
      <c r="K679" s="314"/>
      <c r="L679" s="314"/>
      <c r="M679" s="314"/>
      <c r="N679" s="314"/>
      <c r="O679" s="318"/>
      <c r="P679" s="314"/>
      <c r="Q679" s="314"/>
      <c r="R679" s="314"/>
      <c r="S679" s="314"/>
      <c r="T679" s="324"/>
      <c r="U679" s="155"/>
      <c r="V679" s="155"/>
      <c r="W679" s="322"/>
      <c r="X679" s="132"/>
      <c r="Y679" s="132"/>
    </row>
    <row r="680">
      <c r="A680" s="311"/>
      <c r="B680" s="312"/>
      <c r="C680" s="313"/>
      <c r="D680" s="313"/>
      <c r="E680" s="314"/>
      <c r="F680" s="315"/>
      <c r="G680" s="316"/>
      <c r="H680" s="317"/>
      <c r="I680" s="318"/>
      <c r="J680" s="319"/>
      <c r="K680" s="314"/>
      <c r="L680" s="314"/>
      <c r="M680" s="314"/>
      <c r="N680" s="314"/>
      <c r="O680" s="318"/>
      <c r="P680" s="314"/>
      <c r="Q680" s="314"/>
      <c r="R680" s="314"/>
      <c r="S680" s="314"/>
      <c r="T680" s="324"/>
      <c r="U680" s="155"/>
      <c r="V680" s="155"/>
      <c r="W680" s="322"/>
      <c r="X680" s="132"/>
      <c r="Y680" s="132"/>
    </row>
    <row r="681">
      <c r="A681" s="311"/>
      <c r="B681" s="312"/>
      <c r="C681" s="313"/>
      <c r="D681" s="313"/>
      <c r="E681" s="314"/>
      <c r="F681" s="315"/>
      <c r="G681" s="316"/>
      <c r="H681" s="317"/>
      <c r="I681" s="318"/>
      <c r="J681" s="319"/>
      <c r="K681" s="314"/>
      <c r="L681" s="314"/>
      <c r="M681" s="314"/>
      <c r="N681" s="314"/>
      <c r="O681" s="318"/>
      <c r="P681" s="314"/>
      <c r="Q681" s="314"/>
      <c r="R681" s="314"/>
      <c r="S681" s="314"/>
      <c r="T681" s="324"/>
      <c r="U681" s="155"/>
      <c r="V681" s="155"/>
      <c r="W681" s="322"/>
      <c r="X681" s="132"/>
      <c r="Y681" s="132"/>
    </row>
    <row r="682">
      <c r="A682" s="311"/>
      <c r="B682" s="312"/>
      <c r="C682" s="313"/>
      <c r="D682" s="313"/>
      <c r="E682" s="314"/>
      <c r="F682" s="315"/>
      <c r="G682" s="316"/>
      <c r="H682" s="317"/>
      <c r="I682" s="318"/>
      <c r="J682" s="319"/>
      <c r="K682" s="314"/>
      <c r="L682" s="314"/>
      <c r="M682" s="314"/>
      <c r="N682" s="314"/>
      <c r="O682" s="318"/>
      <c r="P682" s="314"/>
      <c r="Q682" s="314"/>
      <c r="R682" s="314"/>
      <c r="S682" s="314"/>
      <c r="T682" s="324"/>
      <c r="U682" s="155"/>
      <c r="V682" s="155"/>
      <c r="W682" s="322"/>
      <c r="X682" s="132"/>
      <c r="Y682" s="132"/>
    </row>
    <row r="683">
      <c r="A683" s="311"/>
      <c r="B683" s="312"/>
      <c r="C683" s="313"/>
      <c r="D683" s="313"/>
      <c r="E683" s="314"/>
      <c r="F683" s="315"/>
      <c r="G683" s="316"/>
      <c r="H683" s="317"/>
      <c r="I683" s="318"/>
      <c r="J683" s="319"/>
      <c r="K683" s="314"/>
      <c r="L683" s="314"/>
      <c r="M683" s="314"/>
      <c r="N683" s="314"/>
      <c r="O683" s="318"/>
      <c r="P683" s="314"/>
      <c r="Q683" s="314"/>
      <c r="R683" s="314"/>
      <c r="S683" s="314"/>
      <c r="T683" s="324"/>
      <c r="U683" s="155"/>
      <c r="V683" s="155"/>
      <c r="W683" s="322"/>
      <c r="X683" s="132"/>
      <c r="Y683" s="132"/>
    </row>
    <row r="684">
      <c r="A684" s="311"/>
      <c r="B684" s="312"/>
      <c r="C684" s="313"/>
      <c r="D684" s="313"/>
      <c r="E684" s="314"/>
      <c r="F684" s="315"/>
      <c r="G684" s="316"/>
      <c r="H684" s="317"/>
      <c r="I684" s="318"/>
      <c r="J684" s="319"/>
      <c r="K684" s="314"/>
      <c r="L684" s="314"/>
      <c r="M684" s="314"/>
      <c r="N684" s="314"/>
      <c r="O684" s="318"/>
      <c r="P684" s="314"/>
      <c r="Q684" s="314"/>
      <c r="R684" s="314"/>
      <c r="S684" s="314"/>
      <c r="T684" s="324"/>
      <c r="U684" s="155"/>
      <c r="V684" s="155"/>
      <c r="W684" s="322"/>
      <c r="X684" s="132"/>
      <c r="Y684" s="132"/>
    </row>
    <row r="685">
      <c r="A685" s="311"/>
      <c r="B685" s="312"/>
      <c r="C685" s="313"/>
      <c r="D685" s="313"/>
      <c r="E685" s="314"/>
      <c r="F685" s="315"/>
      <c r="G685" s="316"/>
      <c r="H685" s="317"/>
      <c r="I685" s="318"/>
      <c r="J685" s="319"/>
      <c r="K685" s="314"/>
      <c r="L685" s="314"/>
      <c r="M685" s="314"/>
      <c r="N685" s="314"/>
      <c r="O685" s="318"/>
      <c r="P685" s="314"/>
      <c r="Q685" s="314"/>
      <c r="R685" s="314"/>
      <c r="S685" s="314"/>
      <c r="T685" s="324"/>
      <c r="U685" s="155"/>
      <c r="V685" s="155"/>
      <c r="W685" s="322"/>
      <c r="X685" s="132"/>
      <c r="Y685" s="132"/>
    </row>
    <row r="686">
      <c r="A686" s="311"/>
      <c r="B686" s="312"/>
      <c r="C686" s="313"/>
      <c r="D686" s="313"/>
      <c r="E686" s="314"/>
      <c r="F686" s="315"/>
      <c r="G686" s="316"/>
      <c r="H686" s="317"/>
      <c r="I686" s="318"/>
      <c r="J686" s="319"/>
      <c r="K686" s="314"/>
      <c r="L686" s="314"/>
      <c r="M686" s="314"/>
      <c r="N686" s="314"/>
      <c r="O686" s="318"/>
      <c r="P686" s="314"/>
      <c r="Q686" s="314"/>
      <c r="R686" s="314"/>
      <c r="S686" s="314"/>
      <c r="T686" s="324"/>
      <c r="U686" s="155"/>
      <c r="V686" s="155"/>
      <c r="W686" s="322"/>
      <c r="X686" s="132"/>
      <c r="Y686" s="132"/>
    </row>
    <row r="687">
      <c r="A687" s="311"/>
      <c r="B687" s="312"/>
      <c r="C687" s="313"/>
      <c r="D687" s="313"/>
      <c r="E687" s="314"/>
      <c r="F687" s="315"/>
      <c r="G687" s="316"/>
      <c r="H687" s="317"/>
      <c r="I687" s="318"/>
      <c r="J687" s="319"/>
      <c r="K687" s="314"/>
      <c r="L687" s="314"/>
      <c r="M687" s="314"/>
      <c r="N687" s="314"/>
      <c r="O687" s="318"/>
      <c r="P687" s="314"/>
      <c r="Q687" s="314"/>
      <c r="R687" s="314"/>
      <c r="S687" s="314"/>
      <c r="T687" s="324"/>
      <c r="U687" s="155"/>
      <c r="V687" s="155"/>
      <c r="W687" s="322"/>
      <c r="X687" s="132"/>
      <c r="Y687" s="132"/>
    </row>
    <row r="688">
      <c r="A688" s="311"/>
      <c r="B688" s="312"/>
      <c r="C688" s="313"/>
      <c r="D688" s="313"/>
      <c r="E688" s="314"/>
      <c r="F688" s="315"/>
      <c r="G688" s="316"/>
      <c r="H688" s="317"/>
      <c r="I688" s="318"/>
      <c r="J688" s="319"/>
      <c r="K688" s="314"/>
      <c r="L688" s="314"/>
      <c r="M688" s="314"/>
      <c r="N688" s="314"/>
      <c r="O688" s="318"/>
      <c r="P688" s="314"/>
      <c r="Q688" s="314"/>
      <c r="R688" s="314"/>
      <c r="S688" s="314"/>
      <c r="T688" s="324"/>
      <c r="U688" s="155"/>
      <c r="V688" s="155"/>
      <c r="W688" s="322"/>
      <c r="X688" s="132"/>
      <c r="Y688" s="132"/>
    </row>
    <row r="689">
      <c r="A689" s="311"/>
      <c r="B689" s="312"/>
      <c r="C689" s="313"/>
      <c r="D689" s="313"/>
      <c r="E689" s="314"/>
      <c r="F689" s="315"/>
      <c r="G689" s="316"/>
      <c r="H689" s="317"/>
      <c r="I689" s="318"/>
      <c r="J689" s="319"/>
      <c r="K689" s="314"/>
      <c r="L689" s="314"/>
      <c r="M689" s="314"/>
      <c r="N689" s="314"/>
      <c r="O689" s="318"/>
      <c r="P689" s="314"/>
      <c r="Q689" s="314"/>
      <c r="R689" s="314"/>
      <c r="S689" s="314"/>
      <c r="T689" s="324"/>
      <c r="U689" s="155"/>
      <c r="V689" s="155"/>
      <c r="W689" s="322"/>
      <c r="X689" s="132"/>
      <c r="Y689" s="132"/>
    </row>
    <row r="690">
      <c r="A690" s="311"/>
      <c r="B690" s="312"/>
      <c r="C690" s="313"/>
      <c r="D690" s="313"/>
      <c r="E690" s="314"/>
      <c r="F690" s="315"/>
      <c r="G690" s="316"/>
      <c r="H690" s="317"/>
      <c r="I690" s="318"/>
      <c r="J690" s="319"/>
      <c r="K690" s="314"/>
      <c r="L690" s="314"/>
      <c r="M690" s="314"/>
      <c r="N690" s="314"/>
      <c r="O690" s="318"/>
      <c r="P690" s="314"/>
      <c r="Q690" s="314"/>
      <c r="R690" s="314"/>
      <c r="S690" s="314"/>
      <c r="T690" s="324"/>
      <c r="U690" s="155"/>
      <c r="V690" s="155"/>
      <c r="W690" s="322"/>
      <c r="X690" s="132"/>
      <c r="Y690" s="132"/>
    </row>
    <row r="691">
      <c r="A691" s="311"/>
      <c r="B691" s="312"/>
      <c r="C691" s="313"/>
      <c r="D691" s="313"/>
      <c r="E691" s="314"/>
      <c r="F691" s="315"/>
      <c r="G691" s="316"/>
      <c r="H691" s="317"/>
      <c r="I691" s="318"/>
      <c r="J691" s="319"/>
      <c r="K691" s="314"/>
      <c r="L691" s="314"/>
      <c r="M691" s="314"/>
      <c r="N691" s="314"/>
      <c r="O691" s="318"/>
      <c r="P691" s="314"/>
      <c r="Q691" s="314"/>
      <c r="R691" s="314"/>
      <c r="S691" s="314"/>
      <c r="T691" s="324"/>
      <c r="U691" s="155"/>
      <c r="V691" s="155"/>
      <c r="W691" s="322"/>
      <c r="X691" s="132"/>
      <c r="Y691" s="132"/>
    </row>
    <row r="692">
      <c r="A692" s="311"/>
      <c r="B692" s="312"/>
      <c r="C692" s="313"/>
      <c r="D692" s="313"/>
      <c r="E692" s="314"/>
      <c r="F692" s="315"/>
      <c r="G692" s="316"/>
      <c r="H692" s="317"/>
      <c r="I692" s="318"/>
      <c r="J692" s="319"/>
      <c r="K692" s="314"/>
      <c r="L692" s="314"/>
      <c r="M692" s="314"/>
      <c r="N692" s="314"/>
      <c r="O692" s="318"/>
      <c r="P692" s="314"/>
      <c r="Q692" s="314"/>
      <c r="R692" s="314"/>
      <c r="S692" s="314"/>
      <c r="T692" s="324"/>
      <c r="U692" s="155"/>
      <c r="V692" s="155"/>
      <c r="W692" s="322"/>
      <c r="X692" s="132"/>
      <c r="Y692" s="132"/>
    </row>
    <row r="693">
      <c r="A693" s="311"/>
      <c r="B693" s="312"/>
      <c r="C693" s="313"/>
      <c r="D693" s="313"/>
      <c r="E693" s="314"/>
      <c r="F693" s="315"/>
      <c r="G693" s="316"/>
      <c r="H693" s="317"/>
      <c r="I693" s="318"/>
      <c r="J693" s="319"/>
      <c r="K693" s="314"/>
      <c r="L693" s="314"/>
      <c r="M693" s="314"/>
      <c r="N693" s="314"/>
      <c r="O693" s="318"/>
      <c r="P693" s="314"/>
      <c r="Q693" s="314"/>
      <c r="R693" s="314"/>
      <c r="S693" s="314"/>
      <c r="T693" s="324"/>
      <c r="U693" s="155"/>
      <c r="V693" s="155"/>
      <c r="W693" s="322"/>
      <c r="X693" s="132"/>
      <c r="Y693" s="132"/>
    </row>
    <row r="694">
      <c r="A694" s="311"/>
      <c r="B694" s="312"/>
      <c r="C694" s="313"/>
      <c r="D694" s="313"/>
      <c r="E694" s="314"/>
      <c r="F694" s="315"/>
      <c r="G694" s="316"/>
      <c r="H694" s="317"/>
      <c r="I694" s="318"/>
      <c r="J694" s="319"/>
      <c r="K694" s="314"/>
      <c r="L694" s="314"/>
      <c r="M694" s="314"/>
      <c r="N694" s="314"/>
      <c r="O694" s="318"/>
      <c r="P694" s="314"/>
      <c r="Q694" s="314"/>
      <c r="R694" s="314"/>
      <c r="S694" s="314"/>
      <c r="T694" s="324"/>
      <c r="U694" s="155"/>
      <c r="V694" s="155"/>
      <c r="W694" s="322"/>
      <c r="X694" s="132"/>
      <c r="Y694" s="132"/>
    </row>
    <row r="695">
      <c r="A695" s="311"/>
      <c r="B695" s="312"/>
      <c r="C695" s="313"/>
      <c r="D695" s="313"/>
      <c r="E695" s="314"/>
      <c r="F695" s="315"/>
      <c r="G695" s="316"/>
      <c r="H695" s="317"/>
      <c r="I695" s="318"/>
      <c r="J695" s="319"/>
      <c r="K695" s="314"/>
      <c r="L695" s="314"/>
      <c r="M695" s="314"/>
      <c r="N695" s="314"/>
      <c r="O695" s="318"/>
      <c r="P695" s="314"/>
      <c r="Q695" s="314"/>
      <c r="R695" s="314"/>
      <c r="S695" s="314"/>
      <c r="T695" s="324"/>
      <c r="U695" s="155"/>
      <c r="V695" s="155"/>
      <c r="W695" s="322"/>
      <c r="X695" s="132"/>
      <c r="Y695" s="132"/>
    </row>
    <row r="696">
      <c r="A696" s="311"/>
      <c r="B696" s="312"/>
      <c r="C696" s="313"/>
      <c r="D696" s="313"/>
      <c r="E696" s="314"/>
      <c r="F696" s="315"/>
      <c r="G696" s="316"/>
      <c r="H696" s="317"/>
      <c r="I696" s="318"/>
      <c r="J696" s="319"/>
      <c r="K696" s="314"/>
      <c r="L696" s="314"/>
      <c r="M696" s="314"/>
      <c r="N696" s="314"/>
      <c r="O696" s="318"/>
      <c r="P696" s="314"/>
      <c r="Q696" s="314"/>
      <c r="R696" s="314"/>
      <c r="S696" s="314"/>
      <c r="T696" s="324"/>
      <c r="U696" s="155"/>
      <c r="V696" s="155"/>
      <c r="W696" s="322"/>
      <c r="X696" s="132"/>
      <c r="Y696" s="132"/>
    </row>
    <row r="697">
      <c r="A697" s="311"/>
      <c r="B697" s="312"/>
      <c r="C697" s="313"/>
      <c r="D697" s="313"/>
      <c r="E697" s="314"/>
      <c r="F697" s="315"/>
      <c r="G697" s="316"/>
      <c r="H697" s="317"/>
      <c r="I697" s="318"/>
      <c r="J697" s="319"/>
      <c r="K697" s="314"/>
      <c r="L697" s="314"/>
      <c r="M697" s="314"/>
      <c r="N697" s="314"/>
      <c r="O697" s="318"/>
      <c r="P697" s="314"/>
      <c r="Q697" s="314"/>
      <c r="R697" s="314"/>
      <c r="S697" s="314"/>
      <c r="T697" s="324"/>
      <c r="U697" s="155"/>
      <c r="V697" s="155"/>
      <c r="W697" s="322"/>
      <c r="X697" s="132"/>
      <c r="Y697" s="132"/>
    </row>
    <row r="698">
      <c r="A698" s="311"/>
      <c r="B698" s="312"/>
      <c r="C698" s="313"/>
      <c r="D698" s="313"/>
      <c r="E698" s="314"/>
      <c r="F698" s="315"/>
      <c r="G698" s="316"/>
      <c r="H698" s="317"/>
      <c r="I698" s="318"/>
      <c r="J698" s="319"/>
      <c r="K698" s="314"/>
      <c r="L698" s="314"/>
      <c r="M698" s="314"/>
      <c r="N698" s="314"/>
      <c r="O698" s="318"/>
      <c r="P698" s="314"/>
      <c r="Q698" s="314"/>
      <c r="R698" s="314"/>
      <c r="S698" s="314"/>
      <c r="T698" s="324"/>
      <c r="U698" s="155"/>
      <c r="V698" s="155"/>
      <c r="W698" s="322"/>
      <c r="X698" s="132"/>
      <c r="Y698" s="132"/>
    </row>
    <row r="699">
      <c r="A699" s="311"/>
      <c r="B699" s="312"/>
      <c r="C699" s="313"/>
      <c r="D699" s="313"/>
      <c r="E699" s="314"/>
      <c r="F699" s="315"/>
      <c r="G699" s="316"/>
      <c r="H699" s="317"/>
      <c r="I699" s="318"/>
      <c r="J699" s="319"/>
      <c r="K699" s="314"/>
      <c r="L699" s="314"/>
      <c r="M699" s="314"/>
      <c r="N699" s="314"/>
      <c r="O699" s="318"/>
      <c r="P699" s="314"/>
      <c r="Q699" s="314"/>
      <c r="R699" s="314"/>
      <c r="S699" s="314"/>
      <c r="T699" s="324"/>
      <c r="U699" s="155"/>
      <c r="V699" s="155"/>
      <c r="W699" s="322"/>
      <c r="X699" s="132"/>
      <c r="Y699" s="132"/>
    </row>
    <row r="700">
      <c r="A700" s="311"/>
      <c r="B700" s="312"/>
      <c r="C700" s="313"/>
      <c r="D700" s="313"/>
      <c r="E700" s="314"/>
      <c r="F700" s="315"/>
      <c r="G700" s="316"/>
      <c r="H700" s="317"/>
      <c r="I700" s="318"/>
      <c r="J700" s="319"/>
      <c r="K700" s="314"/>
      <c r="L700" s="314"/>
      <c r="M700" s="314"/>
      <c r="N700" s="314"/>
      <c r="O700" s="318"/>
      <c r="P700" s="314"/>
      <c r="Q700" s="314"/>
      <c r="R700" s="314"/>
      <c r="S700" s="314"/>
      <c r="T700" s="324"/>
      <c r="U700" s="155"/>
      <c r="V700" s="155"/>
      <c r="W700" s="322"/>
      <c r="X700" s="132"/>
      <c r="Y700" s="132"/>
    </row>
    <row r="701">
      <c r="A701" s="311"/>
      <c r="B701" s="312"/>
      <c r="C701" s="313"/>
      <c r="D701" s="313"/>
      <c r="E701" s="314"/>
      <c r="F701" s="315"/>
      <c r="G701" s="316"/>
      <c r="H701" s="317"/>
      <c r="I701" s="318"/>
      <c r="J701" s="319"/>
      <c r="K701" s="314"/>
      <c r="L701" s="314"/>
      <c r="M701" s="314"/>
      <c r="N701" s="314"/>
      <c r="O701" s="318"/>
      <c r="P701" s="314"/>
      <c r="Q701" s="314"/>
      <c r="R701" s="314"/>
      <c r="S701" s="314"/>
      <c r="T701" s="324"/>
      <c r="U701" s="155"/>
      <c r="V701" s="155"/>
      <c r="W701" s="322"/>
      <c r="X701" s="132"/>
      <c r="Y701" s="132"/>
    </row>
    <row r="702">
      <c r="A702" s="311"/>
      <c r="B702" s="312"/>
      <c r="C702" s="313"/>
      <c r="D702" s="313"/>
      <c r="E702" s="314"/>
      <c r="F702" s="315"/>
      <c r="G702" s="316"/>
      <c r="H702" s="317"/>
      <c r="I702" s="318"/>
      <c r="J702" s="319"/>
      <c r="K702" s="314"/>
      <c r="L702" s="314"/>
      <c r="M702" s="314"/>
      <c r="N702" s="314"/>
      <c r="O702" s="318"/>
      <c r="P702" s="314"/>
      <c r="Q702" s="314"/>
      <c r="R702" s="314"/>
      <c r="S702" s="314"/>
      <c r="T702" s="324"/>
      <c r="U702" s="155"/>
      <c r="V702" s="155"/>
      <c r="W702" s="322"/>
      <c r="X702" s="132"/>
      <c r="Y702" s="132"/>
    </row>
    <row r="703">
      <c r="A703" s="311"/>
      <c r="B703" s="312"/>
      <c r="C703" s="313"/>
      <c r="D703" s="313"/>
      <c r="E703" s="314"/>
      <c r="F703" s="315"/>
      <c r="G703" s="316"/>
      <c r="H703" s="317"/>
      <c r="I703" s="318"/>
      <c r="J703" s="319"/>
      <c r="K703" s="314"/>
      <c r="L703" s="314"/>
      <c r="M703" s="314"/>
      <c r="N703" s="314"/>
      <c r="O703" s="318"/>
      <c r="P703" s="314"/>
      <c r="Q703" s="314"/>
      <c r="R703" s="314"/>
      <c r="S703" s="314"/>
      <c r="T703" s="324"/>
      <c r="U703" s="155"/>
      <c r="V703" s="155"/>
      <c r="W703" s="322"/>
      <c r="X703" s="132"/>
      <c r="Y703" s="132"/>
    </row>
    <row r="704">
      <c r="A704" s="311"/>
      <c r="B704" s="312"/>
      <c r="C704" s="313"/>
      <c r="D704" s="313"/>
      <c r="E704" s="314"/>
      <c r="F704" s="315"/>
      <c r="G704" s="316"/>
      <c r="H704" s="317"/>
      <c r="I704" s="318"/>
      <c r="J704" s="319"/>
      <c r="K704" s="314"/>
      <c r="L704" s="314"/>
      <c r="M704" s="314"/>
      <c r="N704" s="314"/>
      <c r="O704" s="318"/>
      <c r="P704" s="314"/>
      <c r="Q704" s="314"/>
      <c r="R704" s="314"/>
      <c r="S704" s="314"/>
      <c r="T704" s="324"/>
      <c r="U704" s="155"/>
      <c r="V704" s="155"/>
      <c r="W704" s="322"/>
      <c r="X704" s="132"/>
      <c r="Y704" s="132"/>
    </row>
    <row r="705">
      <c r="A705" s="311"/>
      <c r="B705" s="312"/>
      <c r="C705" s="313"/>
      <c r="D705" s="313"/>
      <c r="E705" s="314"/>
      <c r="F705" s="315"/>
      <c r="G705" s="316"/>
      <c r="H705" s="317"/>
      <c r="I705" s="318"/>
      <c r="J705" s="319"/>
      <c r="K705" s="314"/>
      <c r="L705" s="314"/>
      <c r="M705" s="314"/>
      <c r="N705" s="314"/>
      <c r="O705" s="318"/>
      <c r="P705" s="314"/>
      <c r="Q705" s="314"/>
      <c r="R705" s="314"/>
      <c r="S705" s="314"/>
      <c r="T705" s="324"/>
      <c r="U705" s="155"/>
      <c r="V705" s="155"/>
      <c r="W705" s="322"/>
      <c r="X705" s="132"/>
      <c r="Y705" s="132"/>
    </row>
    <row r="706">
      <c r="A706" s="311"/>
      <c r="B706" s="312"/>
      <c r="C706" s="313"/>
      <c r="D706" s="313"/>
      <c r="E706" s="314"/>
      <c r="F706" s="315"/>
      <c r="G706" s="316"/>
      <c r="H706" s="317"/>
      <c r="I706" s="318"/>
      <c r="J706" s="319"/>
      <c r="K706" s="314"/>
      <c r="L706" s="314"/>
      <c r="M706" s="314"/>
      <c r="N706" s="314"/>
      <c r="O706" s="318"/>
      <c r="P706" s="314"/>
      <c r="Q706" s="314"/>
      <c r="R706" s="314"/>
      <c r="S706" s="314"/>
      <c r="T706" s="324"/>
      <c r="U706" s="155"/>
      <c r="V706" s="155"/>
      <c r="W706" s="322"/>
      <c r="X706" s="132"/>
      <c r="Y706" s="132"/>
    </row>
    <row r="707">
      <c r="A707" s="311"/>
      <c r="B707" s="312"/>
      <c r="C707" s="313"/>
      <c r="D707" s="313"/>
      <c r="E707" s="314"/>
      <c r="F707" s="315"/>
      <c r="G707" s="316"/>
      <c r="H707" s="317"/>
      <c r="I707" s="318"/>
      <c r="J707" s="319"/>
      <c r="K707" s="314"/>
      <c r="L707" s="314"/>
      <c r="M707" s="314"/>
      <c r="N707" s="314"/>
      <c r="O707" s="318"/>
      <c r="P707" s="314"/>
      <c r="Q707" s="314"/>
      <c r="R707" s="314"/>
      <c r="S707" s="314"/>
      <c r="T707" s="324"/>
      <c r="U707" s="155"/>
      <c r="V707" s="155"/>
      <c r="W707" s="322"/>
      <c r="X707" s="132"/>
      <c r="Y707" s="132"/>
    </row>
    <row r="708">
      <c r="A708" s="311"/>
      <c r="B708" s="312"/>
      <c r="C708" s="313"/>
      <c r="D708" s="313"/>
      <c r="E708" s="314"/>
      <c r="F708" s="315"/>
      <c r="G708" s="316"/>
      <c r="H708" s="317"/>
      <c r="I708" s="318"/>
      <c r="J708" s="319"/>
      <c r="K708" s="314"/>
      <c r="L708" s="314"/>
      <c r="M708" s="314"/>
      <c r="N708" s="314"/>
      <c r="O708" s="318"/>
      <c r="P708" s="314"/>
      <c r="Q708" s="314"/>
      <c r="R708" s="314"/>
      <c r="S708" s="314"/>
      <c r="T708" s="324"/>
      <c r="U708" s="155"/>
      <c r="V708" s="155"/>
      <c r="W708" s="322"/>
      <c r="X708" s="132"/>
      <c r="Y708" s="132"/>
    </row>
    <row r="709">
      <c r="A709" s="311"/>
      <c r="B709" s="312"/>
      <c r="C709" s="313"/>
      <c r="D709" s="313"/>
      <c r="E709" s="314"/>
      <c r="F709" s="315"/>
      <c r="G709" s="316"/>
      <c r="H709" s="317"/>
      <c r="I709" s="318"/>
      <c r="J709" s="319"/>
      <c r="K709" s="314"/>
      <c r="L709" s="314"/>
      <c r="M709" s="314"/>
      <c r="N709" s="314"/>
      <c r="O709" s="318"/>
      <c r="P709" s="314"/>
      <c r="Q709" s="314"/>
      <c r="R709" s="314"/>
      <c r="S709" s="314"/>
      <c r="T709" s="324"/>
      <c r="U709" s="155"/>
      <c r="V709" s="155"/>
      <c r="W709" s="322"/>
      <c r="X709" s="132"/>
      <c r="Y709" s="132"/>
    </row>
    <row r="710">
      <c r="A710" s="311"/>
      <c r="B710" s="312"/>
      <c r="C710" s="313"/>
      <c r="D710" s="313"/>
      <c r="E710" s="314"/>
      <c r="F710" s="315"/>
      <c r="G710" s="316"/>
      <c r="H710" s="317"/>
      <c r="I710" s="318"/>
      <c r="J710" s="319"/>
      <c r="K710" s="314"/>
      <c r="L710" s="314"/>
      <c r="M710" s="314"/>
      <c r="N710" s="314"/>
      <c r="O710" s="318"/>
      <c r="P710" s="314"/>
      <c r="Q710" s="314"/>
      <c r="R710" s="314"/>
      <c r="S710" s="314"/>
      <c r="T710" s="324"/>
      <c r="U710" s="155"/>
      <c r="V710" s="155"/>
      <c r="W710" s="322"/>
      <c r="X710" s="132"/>
      <c r="Y710" s="132"/>
    </row>
    <row r="711">
      <c r="A711" s="311"/>
      <c r="B711" s="312"/>
      <c r="C711" s="313"/>
      <c r="D711" s="313"/>
      <c r="E711" s="314"/>
      <c r="F711" s="315"/>
      <c r="G711" s="316"/>
      <c r="H711" s="317"/>
      <c r="I711" s="318"/>
      <c r="J711" s="319"/>
      <c r="K711" s="314"/>
      <c r="L711" s="314"/>
      <c r="M711" s="314"/>
      <c r="N711" s="314"/>
      <c r="O711" s="318"/>
      <c r="P711" s="314"/>
      <c r="Q711" s="314"/>
      <c r="R711" s="314"/>
      <c r="S711" s="314"/>
      <c r="T711" s="324"/>
      <c r="U711" s="155"/>
      <c r="V711" s="155"/>
      <c r="W711" s="322"/>
      <c r="X711" s="132"/>
      <c r="Y711" s="132"/>
    </row>
    <row r="712">
      <c r="A712" s="311"/>
      <c r="B712" s="312"/>
      <c r="C712" s="313"/>
      <c r="D712" s="313"/>
      <c r="E712" s="314"/>
      <c r="F712" s="315"/>
      <c r="G712" s="316"/>
      <c r="H712" s="317"/>
      <c r="I712" s="318"/>
      <c r="J712" s="319"/>
      <c r="K712" s="314"/>
      <c r="L712" s="314"/>
      <c r="M712" s="314"/>
      <c r="N712" s="314"/>
      <c r="O712" s="318"/>
      <c r="P712" s="314"/>
      <c r="Q712" s="314"/>
      <c r="R712" s="314"/>
      <c r="S712" s="314"/>
      <c r="T712" s="324"/>
      <c r="U712" s="155"/>
      <c r="V712" s="155"/>
      <c r="W712" s="322"/>
      <c r="X712" s="132"/>
      <c r="Y712" s="132"/>
    </row>
    <row r="713">
      <c r="A713" s="311"/>
      <c r="B713" s="312"/>
      <c r="C713" s="313"/>
      <c r="D713" s="313"/>
      <c r="E713" s="314"/>
      <c r="F713" s="315"/>
      <c r="G713" s="316"/>
      <c r="H713" s="317"/>
      <c r="I713" s="318"/>
      <c r="J713" s="319"/>
      <c r="K713" s="314"/>
      <c r="L713" s="314"/>
      <c r="M713" s="314"/>
      <c r="N713" s="314"/>
      <c r="O713" s="318"/>
      <c r="P713" s="314"/>
      <c r="Q713" s="314"/>
      <c r="R713" s="314"/>
      <c r="S713" s="314"/>
      <c r="T713" s="324"/>
      <c r="U713" s="155"/>
      <c r="V713" s="155"/>
      <c r="W713" s="322"/>
      <c r="X713" s="132"/>
      <c r="Y713" s="132"/>
    </row>
    <row r="714">
      <c r="A714" s="311"/>
      <c r="B714" s="312"/>
      <c r="C714" s="313"/>
      <c r="D714" s="313"/>
      <c r="E714" s="314"/>
      <c r="F714" s="315"/>
      <c r="G714" s="316"/>
      <c r="H714" s="317"/>
      <c r="I714" s="318"/>
      <c r="J714" s="319"/>
      <c r="K714" s="314"/>
      <c r="L714" s="314"/>
      <c r="M714" s="314"/>
      <c r="N714" s="314"/>
      <c r="O714" s="318"/>
      <c r="P714" s="314"/>
      <c r="Q714" s="314"/>
      <c r="R714" s="314"/>
      <c r="S714" s="314"/>
      <c r="T714" s="324"/>
      <c r="U714" s="155"/>
      <c r="V714" s="155"/>
      <c r="W714" s="322"/>
      <c r="X714" s="132"/>
      <c r="Y714" s="132"/>
    </row>
    <row r="715">
      <c r="A715" s="311"/>
      <c r="B715" s="312"/>
      <c r="C715" s="313"/>
      <c r="D715" s="313"/>
      <c r="E715" s="314"/>
      <c r="F715" s="315"/>
      <c r="G715" s="316"/>
      <c r="H715" s="317"/>
      <c r="I715" s="318"/>
      <c r="J715" s="319"/>
      <c r="K715" s="314"/>
      <c r="L715" s="314"/>
      <c r="M715" s="314"/>
      <c r="N715" s="314"/>
      <c r="O715" s="318"/>
      <c r="P715" s="314"/>
      <c r="Q715" s="314"/>
      <c r="R715" s="314"/>
      <c r="S715" s="314"/>
      <c r="T715" s="324"/>
      <c r="U715" s="155"/>
      <c r="V715" s="155"/>
      <c r="W715" s="322"/>
      <c r="X715" s="132"/>
      <c r="Y715" s="132"/>
    </row>
    <row r="716">
      <c r="A716" s="311"/>
      <c r="B716" s="312"/>
      <c r="C716" s="313"/>
      <c r="D716" s="313"/>
      <c r="E716" s="314"/>
      <c r="F716" s="315"/>
      <c r="G716" s="316"/>
      <c r="H716" s="317"/>
      <c r="I716" s="318"/>
      <c r="J716" s="319"/>
      <c r="K716" s="314"/>
      <c r="L716" s="314"/>
      <c r="M716" s="314"/>
      <c r="N716" s="314"/>
      <c r="O716" s="318"/>
      <c r="P716" s="314"/>
      <c r="Q716" s="314"/>
      <c r="R716" s="314"/>
      <c r="S716" s="314"/>
      <c r="T716" s="324"/>
      <c r="U716" s="155"/>
      <c r="V716" s="155"/>
      <c r="W716" s="322"/>
      <c r="X716" s="132"/>
      <c r="Y716" s="132"/>
    </row>
    <row r="717">
      <c r="A717" s="311"/>
      <c r="B717" s="312"/>
      <c r="C717" s="313"/>
      <c r="D717" s="313"/>
      <c r="E717" s="314"/>
      <c r="F717" s="315"/>
      <c r="G717" s="316"/>
      <c r="H717" s="317"/>
      <c r="I717" s="318"/>
      <c r="J717" s="319"/>
      <c r="K717" s="314"/>
      <c r="L717" s="314"/>
      <c r="M717" s="314"/>
      <c r="N717" s="314"/>
      <c r="O717" s="318"/>
      <c r="P717" s="314"/>
      <c r="Q717" s="314"/>
      <c r="R717" s="314"/>
      <c r="S717" s="314"/>
      <c r="T717" s="324"/>
      <c r="U717" s="155"/>
      <c r="V717" s="155"/>
      <c r="W717" s="322"/>
      <c r="X717" s="132"/>
      <c r="Y717" s="132"/>
    </row>
    <row r="718">
      <c r="A718" s="311"/>
      <c r="B718" s="312"/>
      <c r="C718" s="313"/>
      <c r="D718" s="313"/>
      <c r="E718" s="314"/>
      <c r="F718" s="315"/>
      <c r="G718" s="316"/>
      <c r="H718" s="317"/>
      <c r="I718" s="318"/>
      <c r="J718" s="319"/>
      <c r="K718" s="314"/>
      <c r="L718" s="314"/>
      <c r="M718" s="314"/>
      <c r="N718" s="314"/>
      <c r="O718" s="318"/>
      <c r="P718" s="314"/>
      <c r="Q718" s="314"/>
      <c r="R718" s="314"/>
      <c r="S718" s="314"/>
      <c r="T718" s="324"/>
      <c r="U718" s="155"/>
      <c r="V718" s="155"/>
      <c r="W718" s="322"/>
      <c r="X718" s="132"/>
      <c r="Y718" s="132"/>
    </row>
    <row r="719">
      <c r="A719" s="311"/>
      <c r="B719" s="312"/>
      <c r="C719" s="313"/>
      <c r="D719" s="313"/>
      <c r="E719" s="314"/>
      <c r="F719" s="315"/>
      <c r="G719" s="316"/>
      <c r="H719" s="317"/>
      <c r="I719" s="318"/>
      <c r="J719" s="319"/>
      <c r="K719" s="314"/>
      <c r="L719" s="314"/>
      <c r="M719" s="314"/>
      <c r="N719" s="314"/>
      <c r="O719" s="318"/>
      <c r="P719" s="314"/>
      <c r="Q719" s="314"/>
      <c r="R719" s="314"/>
      <c r="S719" s="314"/>
      <c r="T719" s="324"/>
      <c r="U719" s="155"/>
      <c r="V719" s="155"/>
      <c r="W719" s="322"/>
      <c r="X719" s="132"/>
      <c r="Y719" s="132"/>
    </row>
    <row r="720">
      <c r="A720" s="311"/>
      <c r="B720" s="312"/>
      <c r="C720" s="313"/>
      <c r="D720" s="313"/>
      <c r="E720" s="314"/>
      <c r="F720" s="315"/>
      <c r="G720" s="316"/>
      <c r="H720" s="317"/>
      <c r="I720" s="318"/>
      <c r="J720" s="319"/>
      <c r="K720" s="314"/>
      <c r="L720" s="314"/>
      <c r="M720" s="314"/>
      <c r="N720" s="314"/>
      <c r="O720" s="318"/>
      <c r="P720" s="314"/>
      <c r="Q720" s="314"/>
      <c r="R720" s="314"/>
      <c r="S720" s="314"/>
      <c r="T720" s="324"/>
      <c r="U720" s="155"/>
      <c r="V720" s="155"/>
      <c r="W720" s="322"/>
      <c r="X720" s="132"/>
      <c r="Y720" s="132"/>
    </row>
    <row r="721">
      <c r="A721" s="311"/>
      <c r="B721" s="312"/>
      <c r="C721" s="313"/>
      <c r="D721" s="313"/>
      <c r="E721" s="314"/>
      <c r="F721" s="315"/>
      <c r="G721" s="316"/>
      <c r="H721" s="317"/>
      <c r="I721" s="318"/>
      <c r="J721" s="319"/>
      <c r="K721" s="314"/>
      <c r="L721" s="314"/>
      <c r="M721" s="314"/>
      <c r="N721" s="314"/>
      <c r="O721" s="318"/>
      <c r="P721" s="314"/>
      <c r="Q721" s="314"/>
      <c r="R721" s="314"/>
      <c r="S721" s="314"/>
      <c r="T721" s="324"/>
      <c r="U721" s="155"/>
      <c r="V721" s="155"/>
      <c r="W721" s="322"/>
      <c r="X721" s="132"/>
      <c r="Y721" s="132"/>
    </row>
    <row r="722">
      <c r="A722" s="311"/>
      <c r="B722" s="312"/>
      <c r="C722" s="313"/>
      <c r="D722" s="313"/>
      <c r="E722" s="314"/>
      <c r="F722" s="315"/>
      <c r="G722" s="316"/>
      <c r="H722" s="317"/>
      <c r="I722" s="318"/>
      <c r="J722" s="319"/>
      <c r="K722" s="314"/>
      <c r="L722" s="314"/>
      <c r="M722" s="314"/>
      <c r="N722" s="314"/>
      <c r="O722" s="318"/>
      <c r="P722" s="314"/>
      <c r="Q722" s="314"/>
      <c r="R722" s="314"/>
      <c r="S722" s="314"/>
      <c r="T722" s="324"/>
      <c r="U722" s="155"/>
      <c r="V722" s="155"/>
      <c r="W722" s="322"/>
      <c r="X722" s="132"/>
      <c r="Y722" s="132"/>
    </row>
    <row r="723">
      <c r="A723" s="311"/>
      <c r="B723" s="312"/>
      <c r="C723" s="313"/>
      <c r="D723" s="313"/>
      <c r="E723" s="314"/>
      <c r="F723" s="315"/>
      <c r="G723" s="316"/>
      <c r="H723" s="317"/>
      <c r="I723" s="318"/>
      <c r="J723" s="319"/>
      <c r="K723" s="314"/>
      <c r="L723" s="314"/>
      <c r="M723" s="314"/>
      <c r="N723" s="314"/>
      <c r="O723" s="318"/>
      <c r="P723" s="314"/>
      <c r="Q723" s="314"/>
      <c r="R723" s="314"/>
      <c r="S723" s="314"/>
      <c r="T723" s="324"/>
      <c r="U723" s="155"/>
      <c r="V723" s="155"/>
      <c r="W723" s="322"/>
      <c r="X723" s="132"/>
      <c r="Y723" s="132"/>
    </row>
    <row r="724">
      <c r="A724" s="311"/>
      <c r="B724" s="312"/>
      <c r="C724" s="313"/>
      <c r="D724" s="313"/>
      <c r="E724" s="314"/>
      <c r="F724" s="315"/>
      <c r="G724" s="316"/>
      <c r="H724" s="317"/>
      <c r="I724" s="318"/>
      <c r="J724" s="319"/>
      <c r="K724" s="314"/>
      <c r="L724" s="314"/>
      <c r="M724" s="314"/>
      <c r="N724" s="314"/>
      <c r="O724" s="318"/>
      <c r="P724" s="314"/>
      <c r="Q724" s="314"/>
      <c r="R724" s="314"/>
      <c r="S724" s="314"/>
      <c r="T724" s="324"/>
      <c r="U724" s="155"/>
      <c r="V724" s="155"/>
      <c r="W724" s="322"/>
      <c r="X724" s="132"/>
      <c r="Y724" s="132"/>
    </row>
    <row r="725">
      <c r="A725" s="311"/>
      <c r="B725" s="312"/>
      <c r="C725" s="313"/>
      <c r="D725" s="313"/>
      <c r="E725" s="314"/>
      <c r="F725" s="315"/>
      <c r="G725" s="316"/>
      <c r="H725" s="317"/>
      <c r="I725" s="318"/>
      <c r="J725" s="319"/>
      <c r="K725" s="314"/>
      <c r="L725" s="314"/>
      <c r="M725" s="314"/>
      <c r="N725" s="314"/>
      <c r="O725" s="318"/>
      <c r="P725" s="314"/>
      <c r="Q725" s="314"/>
      <c r="R725" s="314"/>
      <c r="S725" s="314"/>
      <c r="T725" s="324"/>
      <c r="U725" s="155"/>
      <c r="V725" s="155"/>
      <c r="W725" s="322"/>
      <c r="X725" s="132"/>
      <c r="Y725" s="132"/>
    </row>
    <row r="726">
      <c r="A726" s="311"/>
      <c r="B726" s="312"/>
      <c r="C726" s="313"/>
      <c r="D726" s="313"/>
      <c r="E726" s="314"/>
      <c r="F726" s="315"/>
      <c r="G726" s="316"/>
      <c r="H726" s="317"/>
      <c r="I726" s="318"/>
      <c r="J726" s="319"/>
      <c r="K726" s="314"/>
      <c r="L726" s="314"/>
      <c r="M726" s="314"/>
      <c r="N726" s="314"/>
      <c r="O726" s="318"/>
      <c r="P726" s="314"/>
      <c r="Q726" s="314"/>
      <c r="R726" s="314"/>
      <c r="S726" s="314"/>
      <c r="T726" s="324"/>
      <c r="U726" s="155"/>
      <c r="V726" s="155"/>
      <c r="W726" s="322"/>
      <c r="X726" s="132"/>
      <c r="Y726" s="132"/>
    </row>
    <row r="727">
      <c r="A727" s="311"/>
      <c r="B727" s="312"/>
      <c r="C727" s="313"/>
      <c r="D727" s="313"/>
      <c r="E727" s="314"/>
      <c r="F727" s="315"/>
      <c r="G727" s="316"/>
      <c r="H727" s="317"/>
      <c r="I727" s="318"/>
      <c r="J727" s="319"/>
      <c r="K727" s="314"/>
      <c r="L727" s="314"/>
      <c r="M727" s="314"/>
      <c r="N727" s="314"/>
      <c r="O727" s="318"/>
      <c r="P727" s="314"/>
      <c r="Q727" s="314"/>
      <c r="R727" s="314"/>
      <c r="S727" s="314"/>
      <c r="T727" s="324"/>
      <c r="U727" s="155"/>
      <c r="V727" s="155"/>
      <c r="W727" s="322"/>
      <c r="X727" s="132"/>
      <c r="Y727" s="132"/>
    </row>
    <row r="728">
      <c r="A728" s="311"/>
      <c r="B728" s="312"/>
      <c r="C728" s="313"/>
      <c r="D728" s="313"/>
      <c r="E728" s="314"/>
      <c r="F728" s="315"/>
      <c r="G728" s="316"/>
      <c r="H728" s="317"/>
      <c r="I728" s="318"/>
      <c r="J728" s="319"/>
      <c r="K728" s="314"/>
      <c r="L728" s="314"/>
      <c r="M728" s="314"/>
      <c r="N728" s="314"/>
      <c r="O728" s="318"/>
      <c r="P728" s="314"/>
      <c r="Q728" s="314"/>
      <c r="R728" s="314"/>
      <c r="S728" s="314"/>
      <c r="T728" s="324"/>
      <c r="U728" s="155"/>
      <c r="V728" s="155"/>
      <c r="W728" s="322"/>
      <c r="X728" s="132"/>
      <c r="Y728" s="132"/>
    </row>
    <row r="729">
      <c r="A729" s="311"/>
      <c r="B729" s="312"/>
      <c r="C729" s="313"/>
      <c r="D729" s="313"/>
      <c r="E729" s="314"/>
      <c r="F729" s="315"/>
      <c r="G729" s="316"/>
      <c r="H729" s="317"/>
      <c r="I729" s="318"/>
      <c r="J729" s="319"/>
      <c r="K729" s="314"/>
      <c r="L729" s="314"/>
      <c r="M729" s="314"/>
      <c r="N729" s="314"/>
      <c r="O729" s="318"/>
      <c r="P729" s="314"/>
      <c r="Q729" s="314"/>
      <c r="R729" s="314"/>
      <c r="S729" s="314"/>
      <c r="T729" s="324"/>
      <c r="U729" s="155"/>
      <c r="V729" s="155"/>
      <c r="W729" s="322"/>
      <c r="X729" s="132"/>
      <c r="Y729" s="132"/>
    </row>
    <row r="730">
      <c r="A730" s="311"/>
      <c r="B730" s="312"/>
      <c r="C730" s="313"/>
      <c r="D730" s="313"/>
      <c r="E730" s="314"/>
      <c r="F730" s="315"/>
      <c r="G730" s="316"/>
      <c r="H730" s="317"/>
      <c r="I730" s="318"/>
      <c r="J730" s="319"/>
      <c r="K730" s="314"/>
      <c r="L730" s="314"/>
      <c r="M730" s="314"/>
      <c r="N730" s="314"/>
      <c r="O730" s="318"/>
      <c r="P730" s="314"/>
      <c r="Q730" s="314"/>
      <c r="R730" s="314"/>
      <c r="S730" s="314"/>
      <c r="T730" s="324"/>
      <c r="U730" s="155"/>
      <c r="V730" s="155"/>
      <c r="W730" s="322"/>
      <c r="X730" s="132"/>
      <c r="Y730" s="132"/>
    </row>
    <row r="731">
      <c r="A731" s="311"/>
      <c r="B731" s="312"/>
      <c r="C731" s="313"/>
      <c r="D731" s="313"/>
      <c r="E731" s="314"/>
      <c r="F731" s="315"/>
      <c r="G731" s="316"/>
      <c r="H731" s="317"/>
      <c r="I731" s="318"/>
      <c r="J731" s="319"/>
      <c r="K731" s="314"/>
      <c r="L731" s="314"/>
      <c r="M731" s="314"/>
      <c r="N731" s="314"/>
      <c r="O731" s="318"/>
      <c r="P731" s="314"/>
      <c r="Q731" s="314"/>
      <c r="R731" s="314"/>
      <c r="S731" s="314"/>
      <c r="T731" s="324"/>
      <c r="U731" s="155"/>
      <c r="V731" s="155"/>
      <c r="W731" s="322"/>
      <c r="X731" s="132"/>
      <c r="Y731" s="132"/>
    </row>
    <row r="732">
      <c r="A732" s="311"/>
      <c r="B732" s="312"/>
      <c r="C732" s="313"/>
      <c r="D732" s="313"/>
      <c r="E732" s="314"/>
      <c r="F732" s="315"/>
      <c r="G732" s="316"/>
      <c r="H732" s="317"/>
      <c r="I732" s="318"/>
      <c r="J732" s="319"/>
      <c r="K732" s="314"/>
      <c r="L732" s="314"/>
      <c r="M732" s="314"/>
      <c r="N732" s="314"/>
      <c r="O732" s="318"/>
      <c r="P732" s="314"/>
      <c r="Q732" s="314"/>
      <c r="R732" s="314"/>
      <c r="S732" s="314"/>
      <c r="T732" s="324"/>
      <c r="U732" s="155"/>
      <c r="V732" s="155"/>
      <c r="W732" s="322"/>
      <c r="X732" s="132"/>
      <c r="Y732" s="132"/>
    </row>
    <row r="733">
      <c r="A733" s="311"/>
      <c r="B733" s="312"/>
      <c r="C733" s="313"/>
      <c r="D733" s="313"/>
      <c r="E733" s="314"/>
      <c r="F733" s="315"/>
      <c r="G733" s="316"/>
      <c r="H733" s="317"/>
      <c r="I733" s="318"/>
      <c r="J733" s="319"/>
      <c r="K733" s="314"/>
      <c r="L733" s="314"/>
      <c r="M733" s="314"/>
      <c r="N733" s="314"/>
      <c r="O733" s="318"/>
      <c r="P733" s="314"/>
      <c r="Q733" s="314"/>
      <c r="R733" s="314"/>
      <c r="S733" s="314"/>
      <c r="T733" s="324"/>
      <c r="U733" s="155"/>
      <c r="V733" s="155"/>
      <c r="W733" s="322"/>
      <c r="X733" s="132"/>
      <c r="Y733" s="132"/>
    </row>
    <row r="734">
      <c r="A734" s="311"/>
      <c r="B734" s="312"/>
      <c r="C734" s="313"/>
      <c r="D734" s="313"/>
      <c r="E734" s="314"/>
      <c r="F734" s="315"/>
      <c r="G734" s="316"/>
      <c r="H734" s="317"/>
      <c r="I734" s="318"/>
      <c r="J734" s="319"/>
      <c r="K734" s="314"/>
      <c r="L734" s="314"/>
      <c r="M734" s="314"/>
      <c r="N734" s="314"/>
      <c r="O734" s="318"/>
      <c r="P734" s="314"/>
      <c r="Q734" s="314"/>
      <c r="R734" s="314"/>
      <c r="S734" s="314"/>
      <c r="T734" s="324"/>
      <c r="U734" s="155"/>
      <c r="V734" s="155"/>
      <c r="W734" s="322"/>
      <c r="X734" s="132"/>
      <c r="Y734" s="132"/>
    </row>
    <row r="735">
      <c r="A735" s="311"/>
      <c r="B735" s="312"/>
      <c r="C735" s="313"/>
      <c r="D735" s="313"/>
      <c r="E735" s="314"/>
      <c r="F735" s="315"/>
      <c r="G735" s="316"/>
      <c r="H735" s="317"/>
      <c r="I735" s="318"/>
      <c r="J735" s="319"/>
      <c r="K735" s="314"/>
      <c r="L735" s="314"/>
      <c r="M735" s="314"/>
      <c r="N735" s="314"/>
      <c r="O735" s="318"/>
      <c r="P735" s="314"/>
      <c r="Q735" s="314"/>
      <c r="R735" s="314"/>
      <c r="S735" s="314"/>
      <c r="T735" s="324"/>
      <c r="U735" s="155"/>
      <c r="V735" s="155"/>
      <c r="W735" s="322"/>
      <c r="X735" s="132"/>
      <c r="Y735" s="132"/>
    </row>
    <row r="736">
      <c r="A736" s="311"/>
      <c r="B736" s="312"/>
      <c r="C736" s="313"/>
      <c r="D736" s="313"/>
      <c r="E736" s="314"/>
      <c r="F736" s="315"/>
      <c r="G736" s="316"/>
      <c r="H736" s="317"/>
      <c r="I736" s="318"/>
      <c r="J736" s="319"/>
      <c r="K736" s="314"/>
      <c r="L736" s="314"/>
      <c r="M736" s="314"/>
      <c r="N736" s="314"/>
      <c r="O736" s="318"/>
      <c r="P736" s="314"/>
      <c r="Q736" s="314"/>
      <c r="R736" s="314"/>
      <c r="S736" s="314"/>
      <c r="T736" s="324"/>
      <c r="U736" s="155"/>
      <c r="V736" s="155"/>
      <c r="W736" s="322"/>
      <c r="X736" s="132"/>
      <c r="Y736" s="132"/>
    </row>
    <row r="737">
      <c r="A737" s="311"/>
      <c r="B737" s="312"/>
      <c r="C737" s="313"/>
      <c r="D737" s="313"/>
      <c r="E737" s="314"/>
      <c r="F737" s="315"/>
      <c r="G737" s="316"/>
      <c r="H737" s="317"/>
      <c r="I737" s="318"/>
      <c r="J737" s="319"/>
      <c r="K737" s="314"/>
      <c r="L737" s="314"/>
      <c r="M737" s="314"/>
      <c r="N737" s="314"/>
      <c r="O737" s="318"/>
      <c r="P737" s="314"/>
      <c r="Q737" s="314"/>
      <c r="R737" s="314"/>
      <c r="S737" s="314"/>
      <c r="T737" s="324"/>
      <c r="U737" s="155"/>
      <c r="V737" s="155"/>
      <c r="W737" s="322"/>
      <c r="X737" s="132"/>
      <c r="Y737" s="132"/>
    </row>
    <row r="738">
      <c r="A738" s="311"/>
      <c r="B738" s="312"/>
      <c r="C738" s="313"/>
      <c r="D738" s="313"/>
      <c r="E738" s="314"/>
      <c r="F738" s="315"/>
      <c r="G738" s="316"/>
      <c r="H738" s="317"/>
      <c r="I738" s="318"/>
      <c r="J738" s="319"/>
      <c r="K738" s="314"/>
      <c r="L738" s="314"/>
      <c r="M738" s="314"/>
      <c r="N738" s="314"/>
      <c r="O738" s="318"/>
      <c r="P738" s="314"/>
      <c r="Q738" s="314"/>
      <c r="R738" s="314"/>
      <c r="S738" s="314"/>
      <c r="T738" s="324"/>
      <c r="U738" s="155"/>
      <c r="V738" s="155"/>
      <c r="W738" s="322"/>
      <c r="X738" s="132"/>
      <c r="Y738" s="132"/>
    </row>
    <row r="739">
      <c r="A739" s="311"/>
      <c r="B739" s="312"/>
      <c r="C739" s="313"/>
      <c r="D739" s="313"/>
      <c r="E739" s="314"/>
      <c r="F739" s="315"/>
      <c r="G739" s="316"/>
      <c r="H739" s="317"/>
      <c r="I739" s="318"/>
      <c r="J739" s="319"/>
      <c r="K739" s="314"/>
      <c r="L739" s="314"/>
      <c r="M739" s="314"/>
      <c r="N739" s="314"/>
      <c r="O739" s="318"/>
      <c r="P739" s="314"/>
      <c r="Q739" s="314"/>
      <c r="R739" s="314"/>
      <c r="S739" s="314"/>
      <c r="T739" s="324"/>
      <c r="U739" s="155"/>
      <c r="V739" s="155"/>
      <c r="W739" s="322"/>
      <c r="X739" s="132"/>
      <c r="Y739" s="132"/>
    </row>
    <row r="740">
      <c r="A740" s="311"/>
      <c r="B740" s="312"/>
      <c r="C740" s="313"/>
      <c r="D740" s="313"/>
      <c r="E740" s="314"/>
      <c r="F740" s="315"/>
      <c r="G740" s="316"/>
      <c r="H740" s="317"/>
      <c r="I740" s="318"/>
      <c r="J740" s="319"/>
      <c r="K740" s="314"/>
      <c r="L740" s="314"/>
      <c r="M740" s="314"/>
      <c r="N740" s="314"/>
      <c r="O740" s="318"/>
      <c r="P740" s="314"/>
      <c r="Q740" s="314"/>
      <c r="R740" s="314"/>
      <c r="S740" s="314"/>
      <c r="T740" s="324"/>
      <c r="U740" s="155"/>
      <c r="V740" s="155"/>
      <c r="W740" s="322"/>
      <c r="X740" s="132"/>
      <c r="Y740" s="132"/>
    </row>
    <row r="741">
      <c r="A741" s="311"/>
      <c r="B741" s="312"/>
      <c r="C741" s="313"/>
      <c r="D741" s="313"/>
      <c r="E741" s="314"/>
      <c r="F741" s="315"/>
      <c r="G741" s="316"/>
      <c r="H741" s="317"/>
      <c r="I741" s="318"/>
      <c r="J741" s="319"/>
      <c r="K741" s="314"/>
      <c r="L741" s="314"/>
      <c r="M741" s="314"/>
      <c r="N741" s="314"/>
      <c r="O741" s="318"/>
      <c r="P741" s="314"/>
      <c r="Q741" s="314"/>
      <c r="R741" s="314"/>
      <c r="S741" s="314"/>
      <c r="T741" s="324"/>
      <c r="U741" s="155"/>
      <c r="V741" s="155"/>
      <c r="W741" s="322"/>
      <c r="X741" s="132"/>
      <c r="Y741" s="132"/>
    </row>
    <row r="742">
      <c r="A742" s="311"/>
      <c r="B742" s="312"/>
      <c r="C742" s="313"/>
      <c r="D742" s="313"/>
      <c r="E742" s="314"/>
      <c r="F742" s="315"/>
      <c r="G742" s="316"/>
      <c r="H742" s="317"/>
      <c r="I742" s="318"/>
      <c r="J742" s="319"/>
      <c r="K742" s="314"/>
      <c r="L742" s="314"/>
      <c r="M742" s="314"/>
      <c r="N742" s="314"/>
      <c r="O742" s="318"/>
      <c r="P742" s="314"/>
      <c r="Q742" s="314"/>
      <c r="R742" s="314"/>
      <c r="S742" s="314"/>
      <c r="T742" s="324"/>
      <c r="U742" s="155"/>
      <c r="V742" s="155"/>
      <c r="W742" s="322"/>
      <c r="X742" s="132"/>
      <c r="Y742" s="132"/>
    </row>
    <row r="743">
      <c r="A743" s="311"/>
      <c r="B743" s="312"/>
      <c r="C743" s="313"/>
      <c r="D743" s="313"/>
      <c r="E743" s="314"/>
      <c r="F743" s="315"/>
      <c r="G743" s="316"/>
      <c r="H743" s="317"/>
      <c r="I743" s="318"/>
      <c r="J743" s="319"/>
      <c r="K743" s="314"/>
      <c r="L743" s="314"/>
      <c r="M743" s="314"/>
      <c r="N743" s="314"/>
      <c r="O743" s="318"/>
      <c r="P743" s="314"/>
      <c r="Q743" s="314"/>
      <c r="R743" s="314"/>
      <c r="S743" s="314"/>
      <c r="T743" s="324"/>
      <c r="U743" s="155"/>
      <c r="V743" s="155"/>
      <c r="W743" s="322"/>
      <c r="X743" s="132"/>
      <c r="Y743" s="132"/>
    </row>
    <row r="744">
      <c r="A744" s="311"/>
      <c r="B744" s="312"/>
      <c r="C744" s="313"/>
      <c r="D744" s="313"/>
      <c r="E744" s="314"/>
      <c r="F744" s="315"/>
      <c r="G744" s="316"/>
      <c r="H744" s="317"/>
      <c r="I744" s="318"/>
      <c r="J744" s="319"/>
      <c r="K744" s="314"/>
      <c r="L744" s="314"/>
      <c r="M744" s="314"/>
      <c r="N744" s="314"/>
      <c r="O744" s="318"/>
      <c r="P744" s="314"/>
      <c r="Q744" s="314"/>
      <c r="R744" s="314"/>
      <c r="S744" s="314"/>
      <c r="T744" s="324"/>
      <c r="U744" s="155"/>
      <c r="V744" s="155"/>
      <c r="W744" s="322"/>
      <c r="X744" s="132"/>
      <c r="Y744" s="132"/>
    </row>
    <row r="745">
      <c r="A745" s="311"/>
      <c r="B745" s="312"/>
      <c r="C745" s="313"/>
      <c r="D745" s="313"/>
      <c r="E745" s="314"/>
      <c r="F745" s="315"/>
      <c r="G745" s="316"/>
      <c r="H745" s="317"/>
      <c r="I745" s="318"/>
      <c r="J745" s="319"/>
      <c r="K745" s="314"/>
      <c r="L745" s="314"/>
      <c r="M745" s="314"/>
      <c r="N745" s="314"/>
      <c r="O745" s="318"/>
      <c r="P745" s="314"/>
      <c r="Q745" s="314"/>
      <c r="R745" s="314"/>
      <c r="S745" s="314"/>
      <c r="T745" s="324"/>
      <c r="U745" s="155"/>
      <c r="V745" s="155"/>
      <c r="W745" s="322"/>
      <c r="X745" s="132"/>
      <c r="Y745" s="132"/>
    </row>
    <row r="746">
      <c r="A746" s="311"/>
      <c r="B746" s="312"/>
      <c r="C746" s="313"/>
      <c r="D746" s="313"/>
      <c r="E746" s="314"/>
      <c r="F746" s="315"/>
      <c r="G746" s="316"/>
      <c r="H746" s="317"/>
      <c r="I746" s="318"/>
      <c r="J746" s="319"/>
      <c r="K746" s="314"/>
      <c r="L746" s="314"/>
      <c r="M746" s="314"/>
      <c r="N746" s="314"/>
      <c r="O746" s="318"/>
      <c r="P746" s="314"/>
      <c r="Q746" s="314"/>
      <c r="R746" s="314"/>
      <c r="S746" s="314"/>
      <c r="T746" s="324"/>
      <c r="U746" s="155"/>
      <c r="V746" s="155"/>
      <c r="W746" s="322"/>
      <c r="X746" s="132"/>
      <c r="Y746" s="132"/>
    </row>
    <row r="747">
      <c r="A747" s="311"/>
      <c r="B747" s="312"/>
      <c r="C747" s="313"/>
      <c r="D747" s="313"/>
      <c r="E747" s="314"/>
      <c r="F747" s="315"/>
      <c r="G747" s="316"/>
      <c r="H747" s="317"/>
      <c r="I747" s="318"/>
      <c r="J747" s="319"/>
      <c r="K747" s="314"/>
      <c r="L747" s="314"/>
      <c r="M747" s="314"/>
      <c r="N747" s="314"/>
      <c r="O747" s="318"/>
      <c r="P747" s="314"/>
      <c r="Q747" s="314"/>
      <c r="R747" s="314"/>
      <c r="S747" s="314"/>
      <c r="T747" s="324"/>
      <c r="U747" s="155"/>
      <c r="V747" s="155"/>
      <c r="W747" s="322"/>
      <c r="X747" s="132"/>
      <c r="Y747" s="132"/>
    </row>
    <row r="748">
      <c r="A748" s="311"/>
      <c r="B748" s="312"/>
      <c r="C748" s="313"/>
      <c r="D748" s="313"/>
      <c r="E748" s="314"/>
      <c r="F748" s="315"/>
      <c r="G748" s="316"/>
      <c r="H748" s="317"/>
      <c r="I748" s="318"/>
      <c r="J748" s="319"/>
      <c r="K748" s="314"/>
      <c r="L748" s="314"/>
      <c r="M748" s="314"/>
      <c r="N748" s="314"/>
      <c r="O748" s="318"/>
      <c r="P748" s="314"/>
      <c r="Q748" s="314"/>
      <c r="R748" s="314"/>
      <c r="S748" s="314"/>
      <c r="T748" s="324"/>
      <c r="U748" s="155"/>
      <c r="V748" s="155"/>
      <c r="W748" s="322"/>
      <c r="X748" s="132"/>
      <c r="Y748" s="132"/>
    </row>
    <row r="749">
      <c r="A749" s="311"/>
      <c r="B749" s="312"/>
      <c r="C749" s="313"/>
      <c r="D749" s="313"/>
      <c r="E749" s="314"/>
      <c r="F749" s="315"/>
      <c r="G749" s="316"/>
      <c r="H749" s="317"/>
      <c r="I749" s="318"/>
      <c r="J749" s="319"/>
      <c r="K749" s="314"/>
      <c r="L749" s="314"/>
      <c r="M749" s="314"/>
      <c r="N749" s="314"/>
      <c r="O749" s="318"/>
      <c r="P749" s="314"/>
      <c r="Q749" s="314"/>
      <c r="R749" s="314"/>
      <c r="S749" s="314"/>
      <c r="T749" s="324"/>
      <c r="U749" s="155"/>
      <c r="V749" s="155"/>
      <c r="W749" s="322"/>
      <c r="X749" s="132"/>
      <c r="Y749" s="132"/>
    </row>
    <row r="750">
      <c r="A750" s="311"/>
      <c r="B750" s="312"/>
      <c r="C750" s="313"/>
      <c r="D750" s="313"/>
      <c r="E750" s="314"/>
      <c r="F750" s="315"/>
      <c r="G750" s="316"/>
      <c r="H750" s="317"/>
      <c r="I750" s="318"/>
      <c r="J750" s="319"/>
      <c r="K750" s="314"/>
      <c r="L750" s="314"/>
      <c r="M750" s="314"/>
      <c r="N750" s="314"/>
      <c r="O750" s="318"/>
      <c r="P750" s="314"/>
      <c r="Q750" s="314"/>
      <c r="R750" s="314"/>
      <c r="S750" s="314"/>
      <c r="T750" s="324"/>
      <c r="U750" s="155"/>
      <c r="V750" s="155"/>
      <c r="W750" s="322"/>
      <c r="X750" s="132"/>
      <c r="Y750" s="132"/>
    </row>
    <row r="751">
      <c r="A751" s="311"/>
      <c r="B751" s="312"/>
      <c r="C751" s="313"/>
      <c r="D751" s="313"/>
      <c r="E751" s="314"/>
      <c r="F751" s="315"/>
      <c r="G751" s="316"/>
      <c r="H751" s="317"/>
      <c r="I751" s="318"/>
      <c r="J751" s="319"/>
      <c r="K751" s="314"/>
      <c r="L751" s="314"/>
      <c r="M751" s="314"/>
      <c r="N751" s="314"/>
      <c r="O751" s="318"/>
      <c r="P751" s="314"/>
      <c r="Q751" s="314"/>
      <c r="R751" s="314"/>
      <c r="S751" s="314"/>
      <c r="T751" s="324"/>
      <c r="U751" s="155"/>
      <c r="V751" s="155"/>
      <c r="W751" s="322"/>
      <c r="X751" s="132"/>
      <c r="Y751" s="132"/>
    </row>
    <row r="752">
      <c r="A752" s="311"/>
      <c r="B752" s="312"/>
      <c r="C752" s="313"/>
      <c r="D752" s="313"/>
      <c r="E752" s="314"/>
      <c r="F752" s="315"/>
      <c r="G752" s="316"/>
      <c r="H752" s="317"/>
      <c r="I752" s="318"/>
      <c r="J752" s="319"/>
      <c r="K752" s="314"/>
      <c r="L752" s="314"/>
      <c r="M752" s="314"/>
      <c r="N752" s="314"/>
      <c r="O752" s="318"/>
      <c r="P752" s="314"/>
      <c r="Q752" s="314"/>
      <c r="R752" s="314"/>
      <c r="S752" s="314"/>
      <c r="T752" s="324"/>
      <c r="U752" s="155"/>
      <c r="V752" s="155"/>
      <c r="W752" s="322"/>
      <c r="X752" s="132"/>
      <c r="Y752" s="132"/>
    </row>
    <row r="753">
      <c r="A753" s="311"/>
      <c r="B753" s="312"/>
      <c r="C753" s="313"/>
      <c r="D753" s="313"/>
      <c r="E753" s="314"/>
      <c r="F753" s="315"/>
      <c r="G753" s="316"/>
      <c r="H753" s="317"/>
      <c r="I753" s="318"/>
      <c r="J753" s="319"/>
      <c r="K753" s="314"/>
      <c r="L753" s="314"/>
      <c r="M753" s="314"/>
      <c r="N753" s="314"/>
      <c r="O753" s="318"/>
      <c r="P753" s="314"/>
      <c r="Q753" s="314"/>
      <c r="R753" s="314"/>
      <c r="S753" s="314"/>
      <c r="T753" s="324"/>
      <c r="U753" s="155"/>
      <c r="V753" s="155"/>
      <c r="W753" s="322"/>
      <c r="X753" s="132"/>
      <c r="Y753" s="132"/>
    </row>
    <row r="754">
      <c r="A754" s="311"/>
      <c r="B754" s="312"/>
      <c r="C754" s="313"/>
      <c r="D754" s="313"/>
      <c r="E754" s="314"/>
      <c r="F754" s="315"/>
      <c r="G754" s="316"/>
      <c r="H754" s="317"/>
      <c r="I754" s="318"/>
      <c r="J754" s="319"/>
      <c r="K754" s="314"/>
      <c r="L754" s="314"/>
      <c r="M754" s="314"/>
      <c r="N754" s="314"/>
      <c r="O754" s="318"/>
      <c r="P754" s="314"/>
      <c r="Q754" s="314"/>
      <c r="R754" s="314"/>
      <c r="S754" s="314"/>
      <c r="T754" s="324"/>
      <c r="U754" s="155"/>
      <c r="V754" s="155"/>
      <c r="W754" s="322"/>
      <c r="X754" s="132"/>
      <c r="Y754" s="132"/>
    </row>
    <row r="755">
      <c r="A755" s="311"/>
      <c r="B755" s="312"/>
      <c r="C755" s="313"/>
      <c r="D755" s="313"/>
      <c r="E755" s="314"/>
      <c r="F755" s="315"/>
      <c r="G755" s="316"/>
      <c r="H755" s="317"/>
      <c r="I755" s="318"/>
      <c r="J755" s="319"/>
      <c r="K755" s="314"/>
      <c r="L755" s="314"/>
      <c r="M755" s="314"/>
      <c r="N755" s="314"/>
      <c r="O755" s="318"/>
      <c r="P755" s="314"/>
      <c r="Q755" s="314"/>
      <c r="R755" s="314"/>
      <c r="S755" s="314"/>
      <c r="T755" s="324"/>
      <c r="U755" s="155"/>
      <c r="V755" s="155"/>
      <c r="W755" s="322"/>
      <c r="X755" s="132"/>
      <c r="Y755" s="132"/>
    </row>
    <row r="756">
      <c r="A756" s="311"/>
      <c r="B756" s="312"/>
      <c r="C756" s="313"/>
      <c r="D756" s="313"/>
      <c r="E756" s="314"/>
      <c r="F756" s="315"/>
      <c r="G756" s="316"/>
      <c r="H756" s="317"/>
      <c r="I756" s="318"/>
      <c r="J756" s="319"/>
      <c r="K756" s="314"/>
      <c r="L756" s="314"/>
      <c r="M756" s="314"/>
      <c r="N756" s="314"/>
      <c r="O756" s="318"/>
      <c r="P756" s="314"/>
      <c r="Q756" s="314"/>
      <c r="R756" s="314"/>
      <c r="S756" s="314"/>
      <c r="T756" s="324"/>
      <c r="U756" s="155"/>
      <c r="V756" s="155"/>
      <c r="W756" s="322"/>
      <c r="X756" s="132"/>
      <c r="Y756" s="132"/>
    </row>
    <row r="757">
      <c r="A757" s="311"/>
      <c r="B757" s="312"/>
      <c r="C757" s="313"/>
      <c r="D757" s="313"/>
      <c r="E757" s="314"/>
      <c r="F757" s="315"/>
      <c r="G757" s="316"/>
      <c r="H757" s="317"/>
      <c r="I757" s="318"/>
      <c r="J757" s="319"/>
      <c r="K757" s="314"/>
      <c r="L757" s="314"/>
      <c r="M757" s="314"/>
      <c r="N757" s="314"/>
      <c r="O757" s="318"/>
      <c r="P757" s="314"/>
      <c r="Q757" s="314"/>
      <c r="R757" s="314"/>
      <c r="S757" s="314"/>
      <c r="T757" s="324"/>
      <c r="U757" s="155"/>
      <c r="V757" s="155"/>
      <c r="W757" s="322"/>
      <c r="X757" s="132"/>
      <c r="Y757" s="132"/>
    </row>
    <row r="758">
      <c r="A758" s="311"/>
      <c r="B758" s="312"/>
      <c r="C758" s="313"/>
      <c r="D758" s="313"/>
      <c r="E758" s="314"/>
      <c r="F758" s="315"/>
      <c r="G758" s="316"/>
      <c r="H758" s="317"/>
      <c r="I758" s="318"/>
      <c r="J758" s="319"/>
      <c r="K758" s="314"/>
      <c r="L758" s="314"/>
      <c r="M758" s="314"/>
      <c r="N758" s="314"/>
      <c r="O758" s="318"/>
      <c r="P758" s="314"/>
      <c r="Q758" s="314"/>
      <c r="R758" s="314"/>
      <c r="S758" s="314"/>
      <c r="T758" s="324"/>
      <c r="U758" s="155"/>
      <c r="V758" s="155"/>
      <c r="W758" s="322"/>
      <c r="X758" s="132"/>
      <c r="Y758" s="132"/>
    </row>
    <row r="759">
      <c r="A759" s="311"/>
      <c r="B759" s="312"/>
      <c r="C759" s="313"/>
      <c r="D759" s="313"/>
      <c r="E759" s="314"/>
      <c r="F759" s="315"/>
      <c r="G759" s="316"/>
      <c r="H759" s="317"/>
      <c r="I759" s="318"/>
      <c r="J759" s="319"/>
      <c r="K759" s="314"/>
      <c r="L759" s="314"/>
      <c r="M759" s="314"/>
      <c r="N759" s="314"/>
      <c r="O759" s="318"/>
      <c r="P759" s="314"/>
      <c r="Q759" s="314"/>
      <c r="R759" s="314"/>
      <c r="S759" s="314"/>
      <c r="T759" s="324"/>
      <c r="U759" s="155"/>
      <c r="V759" s="155"/>
      <c r="W759" s="322"/>
      <c r="X759" s="132"/>
      <c r="Y759" s="132"/>
    </row>
    <row r="760">
      <c r="A760" s="311"/>
      <c r="B760" s="312"/>
      <c r="C760" s="313"/>
      <c r="D760" s="313"/>
      <c r="E760" s="314"/>
      <c r="F760" s="315"/>
      <c r="G760" s="316"/>
      <c r="H760" s="317"/>
      <c r="I760" s="318"/>
      <c r="J760" s="319"/>
      <c r="K760" s="314"/>
      <c r="L760" s="314"/>
      <c r="M760" s="314"/>
      <c r="N760" s="314"/>
      <c r="O760" s="318"/>
      <c r="P760" s="314"/>
      <c r="Q760" s="314"/>
      <c r="R760" s="314"/>
      <c r="S760" s="314"/>
      <c r="T760" s="324"/>
      <c r="U760" s="155"/>
      <c r="V760" s="155"/>
      <c r="W760" s="322"/>
      <c r="X760" s="132"/>
      <c r="Y760" s="132"/>
    </row>
    <row r="761">
      <c r="A761" s="311"/>
      <c r="B761" s="312"/>
      <c r="C761" s="313"/>
      <c r="D761" s="313"/>
      <c r="E761" s="314"/>
      <c r="F761" s="315"/>
      <c r="G761" s="316"/>
      <c r="H761" s="317"/>
      <c r="I761" s="318"/>
      <c r="J761" s="319"/>
      <c r="K761" s="314"/>
      <c r="L761" s="314"/>
      <c r="M761" s="314"/>
      <c r="N761" s="314"/>
      <c r="O761" s="318"/>
      <c r="P761" s="314"/>
      <c r="Q761" s="314"/>
      <c r="R761" s="314"/>
      <c r="S761" s="314"/>
      <c r="T761" s="324"/>
      <c r="U761" s="155"/>
      <c r="V761" s="155"/>
      <c r="W761" s="322"/>
      <c r="X761" s="132"/>
      <c r="Y761" s="132"/>
    </row>
    <row r="762">
      <c r="A762" s="311"/>
      <c r="B762" s="312"/>
      <c r="C762" s="313"/>
      <c r="D762" s="313"/>
      <c r="E762" s="314"/>
      <c r="F762" s="315"/>
      <c r="G762" s="316"/>
      <c r="H762" s="317"/>
      <c r="I762" s="318"/>
      <c r="J762" s="319"/>
      <c r="K762" s="314"/>
      <c r="L762" s="314"/>
      <c r="M762" s="314"/>
      <c r="N762" s="314"/>
      <c r="O762" s="318"/>
      <c r="P762" s="314"/>
      <c r="Q762" s="314"/>
      <c r="R762" s="314"/>
      <c r="S762" s="314"/>
      <c r="T762" s="324"/>
      <c r="U762" s="155"/>
      <c r="V762" s="155"/>
      <c r="W762" s="322"/>
      <c r="X762" s="132"/>
      <c r="Y762" s="132"/>
    </row>
    <row r="763">
      <c r="A763" s="311"/>
      <c r="B763" s="312"/>
      <c r="C763" s="313"/>
      <c r="D763" s="313"/>
      <c r="E763" s="314"/>
      <c r="F763" s="315"/>
      <c r="G763" s="316"/>
      <c r="H763" s="317"/>
      <c r="I763" s="318"/>
      <c r="J763" s="319"/>
      <c r="K763" s="314"/>
      <c r="L763" s="314"/>
      <c r="M763" s="314"/>
      <c r="N763" s="314"/>
      <c r="O763" s="318"/>
      <c r="P763" s="314"/>
      <c r="Q763" s="314"/>
      <c r="R763" s="314"/>
      <c r="S763" s="314"/>
      <c r="T763" s="324"/>
      <c r="U763" s="155"/>
      <c r="V763" s="155"/>
      <c r="W763" s="322"/>
      <c r="X763" s="132"/>
      <c r="Y763" s="132"/>
    </row>
    <row r="764">
      <c r="A764" s="311"/>
      <c r="B764" s="312"/>
      <c r="C764" s="313"/>
      <c r="D764" s="313"/>
      <c r="E764" s="314"/>
      <c r="F764" s="315"/>
      <c r="G764" s="316"/>
      <c r="H764" s="317"/>
      <c r="I764" s="318"/>
      <c r="J764" s="319"/>
      <c r="K764" s="314"/>
      <c r="L764" s="314"/>
      <c r="M764" s="314"/>
      <c r="N764" s="314"/>
      <c r="O764" s="318"/>
      <c r="P764" s="314"/>
      <c r="Q764" s="314"/>
      <c r="R764" s="314"/>
      <c r="S764" s="314"/>
      <c r="T764" s="324"/>
      <c r="U764" s="155"/>
      <c r="V764" s="155"/>
      <c r="W764" s="322"/>
      <c r="X764" s="132"/>
      <c r="Y764" s="132"/>
    </row>
    <row r="765">
      <c r="A765" s="311"/>
      <c r="B765" s="312"/>
      <c r="C765" s="313"/>
      <c r="D765" s="313"/>
      <c r="E765" s="314"/>
      <c r="F765" s="315"/>
      <c r="G765" s="316"/>
      <c r="H765" s="317"/>
      <c r="I765" s="318"/>
      <c r="J765" s="319"/>
      <c r="K765" s="314"/>
      <c r="L765" s="314"/>
      <c r="M765" s="314"/>
      <c r="N765" s="314"/>
      <c r="O765" s="318"/>
      <c r="P765" s="314"/>
      <c r="Q765" s="314"/>
      <c r="R765" s="314"/>
      <c r="S765" s="314"/>
      <c r="T765" s="324"/>
      <c r="U765" s="155"/>
      <c r="V765" s="155"/>
      <c r="W765" s="322"/>
      <c r="X765" s="132"/>
      <c r="Y765" s="132"/>
    </row>
    <row r="766">
      <c r="A766" s="311"/>
      <c r="B766" s="312"/>
      <c r="C766" s="313"/>
      <c r="D766" s="313"/>
      <c r="E766" s="314"/>
      <c r="F766" s="315"/>
      <c r="G766" s="316"/>
      <c r="H766" s="317"/>
      <c r="I766" s="318"/>
      <c r="J766" s="319"/>
      <c r="K766" s="314"/>
      <c r="L766" s="314"/>
      <c r="M766" s="314"/>
      <c r="N766" s="314"/>
      <c r="O766" s="318"/>
      <c r="P766" s="314"/>
      <c r="Q766" s="314"/>
      <c r="R766" s="314"/>
      <c r="S766" s="314"/>
      <c r="T766" s="324"/>
      <c r="U766" s="155"/>
      <c r="V766" s="155"/>
      <c r="W766" s="322"/>
      <c r="X766" s="132"/>
      <c r="Y766" s="132"/>
    </row>
    <row r="767">
      <c r="A767" s="311"/>
      <c r="B767" s="312"/>
      <c r="C767" s="313"/>
      <c r="D767" s="313"/>
      <c r="E767" s="314"/>
      <c r="F767" s="315"/>
      <c r="G767" s="316"/>
      <c r="H767" s="317"/>
      <c r="I767" s="318"/>
      <c r="J767" s="319"/>
      <c r="K767" s="314"/>
      <c r="L767" s="314"/>
      <c r="M767" s="314"/>
      <c r="N767" s="314"/>
      <c r="O767" s="318"/>
      <c r="P767" s="314"/>
      <c r="Q767" s="314"/>
      <c r="R767" s="314"/>
      <c r="S767" s="314"/>
      <c r="T767" s="324"/>
      <c r="U767" s="155"/>
      <c r="V767" s="155"/>
      <c r="W767" s="322"/>
      <c r="X767" s="132"/>
      <c r="Y767" s="132"/>
    </row>
    <row r="768">
      <c r="A768" s="311"/>
      <c r="B768" s="312"/>
      <c r="C768" s="313"/>
      <c r="D768" s="313"/>
      <c r="E768" s="314"/>
      <c r="F768" s="315"/>
      <c r="G768" s="316"/>
      <c r="H768" s="317"/>
      <c r="I768" s="318"/>
      <c r="J768" s="319"/>
      <c r="K768" s="314"/>
      <c r="L768" s="314"/>
      <c r="M768" s="314"/>
      <c r="N768" s="314"/>
      <c r="O768" s="318"/>
      <c r="P768" s="314"/>
      <c r="Q768" s="314"/>
      <c r="R768" s="314"/>
      <c r="S768" s="314"/>
      <c r="T768" s="324"/>
      <c r="U768" s="155"/>
      <c r="V768" s="155"/>
      <c r="W768" s="322"/>
      <c r="X768" s="132"/>
      <c r="Y768" s="132"/>
    </row>
    <row r="769">
      <c r="A769" s="311"/>
      <c r="B769" s="312"/>
      <c r="C769" s="313"/>
      <c r="D769" s="313"/>
      <c r="E769" s="314"/>
      <c r="F769" s="315"/>
      <c r="G769" s="316"/>
      <c r="H769" s="317"/>
      <c r="I769" s="318"/>
      <c r="J769" s="319"/>
      <c r="K769" s="314"/>
      <c r="L769" s="314"/>
      <c r="M769" s="314"/>
      <c r="N769" s="314"/>
      <c r="O769" s="318"/>
      <c r="P769" s="314"/>
      <c r="Q769" s="314"/>
      <c r="R769" s="314"/>
      <c r="S769" s="314"/>
      <c r="T769" s="324"/>
      <c r="U769" s="155"/>
      <c r="V769" s="155"/>
      <c r="W769" s="322"/>
      <c r="X769" s="132"/>
      <c r="Y769" s="132"/>
    </row>
    <row r="770">
      <c r="A770" s="311"/>
      <c r="B770" s="312"/>
      <c r="C770" s="313"/>
      <c r="D770" s="313"/>
      <c r="E770" s="314"/>
      <c r="F770" s="315"/>
      <c r="G770" s="316"/>
      <c r="H770" s="317"/>
      <c r="I770" s="318"/>
      <c r="J770" s="319"/>
      <c r="K770" s="314"/>
      <c r="L770" s="314"/>
      <c r="M770" s="314"/>
      <c r="N770" s="314"/>
      <c r="O770" s="318"/>
      <c r="P770" s="314"/>
      <c r="Q770" s="314"/>
      <c r="R770" s="314"/>
      <c r="S770" s="314"/>
      <c r="T770" s="324"/>
      <c r="U770" s="155"/>
      <c r="V770" s="155"/>
      <c r="W770" s="322"/>
      <c r="X770" s="132"/>
      <c r="Y770" s="132"/>
    </row>
    <row r="771">
      <c r="A771" s="311"/>
      <c r="B771" s="312"/>
      <c r="C771" s="313"/>
      <c r="D771" s="313"/>
      <c r="E771" s="314"/>
      <c r="F771" s="315"/>
      <c r="G771" s="316"/>
      <c r="H771" s="317"/>
      <c r="I771" s="318"/>
      <c r="J771" s="319"/>
      <c r="K771" s="314"/>
      <c r="L771" s="314"/>
      <c r="M771" s="314"/>
      <c r="N771" s="314"/>
      <c r="O771" s="318"/>
      <c r="P771" s="314"/>
      <c r="Q771" s="314"/>
      <c r="R771" s="314"/>
      <c r="S771" s="314"/>
      <c r="T771" s="324"/>
      <c r="U771" s="155"/>
      <c r="V771" s="155"/>
      <c r="W771" s="322"/>
      <c r="X771" s="132"/>
      <c r="Y771" s="132"/>
    </row>
    <row r="772">
      <c r="A772" s="311"/>
      <c r="B772" s="312"/>
      <c r="C772" s="313"/>
      <c r="D772" s="313"/>
      <c r="E772" s="314"/>
      <c r="F772" s="315"/>
      <c r="G772" s="316"/>
      <c r="H772" s="317"/>
      <c r="I772" s="318"/>
      <c r="J772" s="319"/>
      <c r="K772" s="314"/>
      <c r="L772" s="314"/>
      <c r="M772" s="314"/>
      <c r="N772" s="314"/>
      <c r="O772" s="318"/>
      <c r="P772" s="314"/>
      <c r="Q772" s="314"/>
      <c r="R772" s="314"/>
      <c r="S772" s="314"/>
      <c r="T772" s="324"/>
      <c r="U772" s="155"/>
      <c r="V772" s="155"/>
      <c r="W772" s="322"/>
      <c r="X772" s="132"/>
      <c r="Y772" s="132"/>
    </row>
    <row r="773">
      <c r="A773" s="311"/>
      <c r="B773" s="312"/>
      <c r="C773" s="313"/>
      <c r="D773" s="313"/>
      <c r="E773" s="314"/>
      <c r="F773" s="315"/>
      <c r="G773" s="316"/>
      <c r="H773" s="317"/>
      <c r="I773" s="318"/>
      <c r="J773" s="319"/>
      <c r="K773" s="314"/>
      <c r="L773" s="314"/>
      <c r="M773" s="314"/>
      <c r="N773" s="314"/>
      <c r="O773" s="318"/>
      <c r="P773" s="314"/>
      <c r="Q773" s="314"/>
      <c r="R773" s="314"/>
      <c r="S773" s="314"/>
      <c r="T773" s="324"/>
      <c r="U773" s="155"/>
      <c r="V773" s="155"/>
      <c r="W773" s="322"/>
      <c r="X773" s="132"/>
      <c r="Y773" s="132"/>
    </row>
    <row r="774">
      <c r="A774" s="311"/>
      <c r="B774" s="312"/>
      <c r="C774" s="313"/>
      <c r="D774" s="313"/>
      <c r="E774" s="314"/>
      <c r="F774" s="315"/>
      <c r="G774" s="316"/>
      <c r="H774" s="317"/>
      <c r="I774" s="318"/>
      <c r="J774" s="319"/>
      <c r="K774" s="314"/>
      <c r="L774" s="314"/>
      <c r="M774" s="314"/>
      <c r="N774" s="314"/>
      <c r="O774" s="318"/>
      <c r="P774" s="314"/>
      <c r="Q774" s="314"/>
      <c r="R774" s="314"/>
      <c r="S774" s="314"/>
      <c r="T774" s="324"/>
      <c r="U774" s="155"/>
      <c r="V774" s="155"/>
      <c r="W774" s="322"/>
      <c r="X774" s="132"/>
      <c r="Y774" s="132"/>
    </row>
    <row r="775">
      <c r="A775" s="311"/>
      <c r="B775" s="312"/>
      <c r="C775" s="313"/>
      <c r="D775" s="313"/>
      <c r="E775" s="314"/>
      <c r="F775" s="315"/>
      <c r="G775" s="316"/>
      <c r="H775" s="317"/>
      <c r="I775" s="318"/>
      <c r="J775" s="319"/>
      <c r="K775" s="314"/>
      <c r="L775" s="314"/>
      <c r="M775" s="314"/>
      <c r="N775" s="314"/>
      <c r="O775" s="318"/>
      <c r="P775" s="314"/>
      <c r="Q775" s="314"/>
      <c r="R775" s="314"/>
      <c r="S775" s="314"/>
      <c r="T775" s="324"/>
      <c r="U775" s="155"/>
      <c r="V775" s="155"/>
      <c r="W775" s="322"/>
      <c r="X775" s="132"/>
      <c r="Y775" s="132"/>
    </row>
    <row r="776">
      <c r="A776" s="311"/>
      <c r="B776" s="312"/>
      <c r="C776" s="313"/>
      <c r="D776" s="313"/>
      <c r="E776" s="314"/>
      <c r="F776" s="315"/>
      <c r="G776" s="316"/>
      <c r="H776" s="317"/>
      <c r="I776" s="318"/>
      <c r="J776" s="319"/>
      <c r="K776" s="314"/>
      <c r="L776" s="314"/>
      <c r="M776" s="314"/>
      <c r="N776" s="314"/>
      <c r="O776" s="318"/>
      <c r="P776" s="314"/>
      <c r="Q776" s="314"/>
      <c r="R776" s="314"/>
      <c r="S776" s="314"/>
      <c r="T776" s="324"/>
      <c r="U776" s="155"/>
      <c r="V776" s="155"/>
      <c r="W776" s="322"/>
      <c r="X776" s="132"/>
      <c r="Y776" s="132"/>
    </row>
    <row r="777">
      <c r="A777" s="311"/>
      <c r="B777" s="312"/>
      <c r="C777" s="313"/>
      <c r="D777" s="313"/>
      <c r="E777" s="314"/>
      <c r="F777" s="315"/>
      <c r="G777" s="316"/>
      <c r="H777" s="317"/>
      <c r="I777" s="318"/>
      <c r="J777" s="319"/>
      <c r="K777" s="314"/>
      <c r="L777" s="314"/>
      <c r="M777" s="314"/>
      <c r="N777" s="314"/>
      <c r="O777" s="318"/>
      <c r="P777" s="314"/>
      <c r="Q777" s="314"/>
      <c r="R777" s="314"/>
      <c r="S777" s="314"/>
      <c r="T777" s="324"/>
      <c r="U777" s="155"/>
      <c r="V777" s="155"/>
      <c r="W777" s="322"/>
      <c r="X777" s="132"/>
      <c r="Y777" s="132"/>
    </row>
    <row r="778">
      <c r="A778" s="311"/>
      <c r="B778" s="312"/>
      <c r="C778" s="313"/>
      <c r="D778" s="313"/>
      <c r="E778" s="314"/>
      <c r="F778" s="315"/>
      <c r="G778" s="316"/>
      <c r="H778" s="317"/>
      <c r="I778" s="318"/>
      <c r="J778" s="319"/>
      <c r="K778" s="314"/>
      <c r="L778" s="314"/>
      <c r="M778" s="314"/>
      <c r="N778" s="314"/>
      <c r="O778" s="318"/>
      <c r="P778" s="314"/>
      <c r="Q778" s="314"/>
      <c r="R778" s="314"/>
      <c r="S778" s="314"/>
      <c r="T778" s="324"/>
      <c r="U778" s="155"/>
      <c r="V778" s="155"/>
      <c r="W778" s="322"/>
      <c r="X778" s="132"/>
      <c r="Y778" s="132"/>
    </row>
    <row r="779">
      <c r="A779" s="311"/>
      <c r="B779" s="312"/>
      <c r="C779" s="313"/>
      <c r="D779" s="313"/>
      <c r="E779" s="314"/>
      <c r="F779" s="315"/>
      <c r="G779" s="316"/>
      <c r="H779" s="317"/>
      <c r="I779" s="318"/>
      <c r="J779" s="319"/>
      <c r="K779" s="314"/>
      <c r="L779" s="314"/>
      <c r="M779" s="314"/>
      <c r="N779" s="314"/>
      <c r="O779" s="318"/>
      <c r="P779" s="314"/>
      <c r="Q779" s="314"/>
      <c r="R779" s="314"/>
      <c r="S779" s="314"/>
      <c r="T779" s="324"/>
      <c r="U779" s="155"/>
      <c r="V779" s="155"/>
      <c r="W779" s="322"/>
      <c r="X779" s="132"/>
      <c r="Y779" s="132"/>
    </row>
    <row r="780">
      <c r="A780" s="311"/>
      <c r="B780" s="312"/>
      <c r="C780" s="313"/>
      <c r="D780" s="313"/>
      <c r="E780" s="314"/>
      <c r="F780" s="315"/>
      <c r="G780" s="316"/>
      <c r="H780" s="317"/>
      <c r="I780" s="318"/>
      <c r="J780" s="319"/>
      <c r="K780" s="314"/>
      <c r="L780" s="314"/>
      <c r="M780" s="314"/>
      <c r="N780" s="314"/>
      <c r="O780" s="318"/>
      <c r="P780" s="314"/>
      <c r="Q780" s="314"/>
      <c r="R780" s="314"/>
      <c r="S780" s="314"/>
      <c r="T780" s="324"/>
      <c r="U780" s="155"/>
      <c r="V780" s="155"/>
      <c r="W780" s="322"/>
      <c r="X780" s="132"/>
      <c r="Y780" s="132"/>
    </row>
    <row r="781">
      <c r="A781" s="311"/>
      <c r="B781" s="312"/>
      <c r="C781" s="313"/>
      <c r="D781" s="313"/>
      <c r="E781" s="314"/>
      <c r="F781" s="315"/>
      <c r="G781" s="316"/>
      <c r="H781" s="317"/>
      <c r="I781" s="318"/>
      <c r="J781" s="319"/>
      <c r="K781" s="314"/>
      <c r="L781" s="314"/>
      <c r="M781" s="314"/>
      <c r="N781" s="314"/>
      <c r="O781" s="318"/>
      <c r="P781" s="314"/>
      <c r="Q781" s="314"/>
      <c r="R781" s="314"/>
      <c r="S781" s="314"/>
      <c r="T781" s="324"/>
      <c r="U781" s="155"/>
      <c r="V781" s="155"/>
      <c r="W781" s="322"/>
      <c r="X781" s="132"/>
      <c r="Y781" s="132"/>
    </row>
    <row r="782">
      <c r="A782" s="311"/>
      <c r="B782" s="312"/>
      <c r="C782" s="313"/>
      <c r="D782" s="313"/>
      <c r="E782" s="314"/>
      <c r="F782" s="315"/>
      <c r="G782" s="316"/>
      <c r="H782" s="317"/>
      <c r="I782" s="318"/>
      <c r="J782" s="319"/>
      <c r="K782" s="314"/>
      <c r="L782" s="314"/>
      <c r="M782" s="314"/>
      <c r="N782" s="314"/>
      <c r="O782" s="318"/>
      <c r="P782" s="314"/>
      <c r="Q782" s="314"/>
      <c r="R782" s="314"/>
      <c r="S782" s="314"/>
      <c r="T782" s="324"/>
      <c r="U782" s="155"/>
      <c r="V782" s="155"/>
      <c r="W782" s="322"/>
      <c r="X782" s="132"/>
      <c r="Y782" s="132"/>
    </row>
    <row r="783">
      <c r="A783" s="311"/>
      <c r="B783" s="312"/>
      <c r="C783" s="313"/>
      <c r="D783" s="313"/>
      <c r="E783" s="314"/>
      <c r="F783" s="315"/>
      <c r="G783" s="316"/>
      <c r="H783" s="317"/>
      <c r="I783" s="318"/>
      <c r="J783" s="319"/>
      <c r="K783" s="314"/>
      <c r="L783" s="314"/>
      <c r="M783" s="314"/>
      <c r="N783" s="314"/>
      <c r="O783" s="318"/>
      <c r="P783" s="314"/>
      <c r="Q783" s="314"/>
      <c r="R783" s="314"/>
      <c r="S783" s="314"/>
      <c r="T783" s="324"/>
      <c r="U783" s="155"/>
      <c r="V783" s="155"/>
      <c r="W783" s="322"/>
      <c r="X783" s="132"/>
      <c r="Y783" s="132"/>
    </row>
    <row r="784">
      <c r="A784" s="311"/>
      <c r="B784" s="312"/>
      <c r="C784" s="313"/>
      <c r="D784" s="313"/>
      <c r="E784" s="314"/>
      <c r="F784" s="315"/>
      <c r="G784" s="316"/>
      <c r="H784" s="317"/>
      <c r="I784" s="318"/>
      <c r="J784" s="319"/>
      <c r="K784" s="314"/>
      <c r="L784" s="314"/>
      <c r="M784" s="314"/>
      <c r="N784" s="314"/>
      <c r="O784" s="318"/>
      <c r="P784" s="314"/>
      <c r="Q784" s="314"/>
      <c r="R784" s="314"/>
      <c r="S784" s="314"/>
      <c r="T784" s="324"/>
      <c r="U784" s="155"/>
      <c r="V784" s="155"/>
      <c r="W784" s="322"/>
      <c r="X784" s="132"/>
      <c r="Y784" s="132"/>
    </row>
    <row r="785">
      <c r="A785" s="311"/>
      <c r="B785" s="312"/>
      <c r="C785" s="313"/>
      <c r="D785" s="313"/>
      <c r="E785" s="314"/>
      <c r="F785" s="315"/>
      <c r="G785" s="316"/>
      <c r="H785" s="317"/>
      <c r="I785" s="318"/>
      <c r="J785" s="319"/>
      <c r="K785" s="314"/>
      <c r="L785" s="314"/>
      <c r="M785" s="314"/>
      <c r="N785" s="314"/>
      <c r="O785" s="318"/>
      <c r="P785" s="314"/>
      <c r="Q785" s="314"/>
      <c r="R785" s="314"/>
      <c r="S785" s="314"/>
      <c r="T785" s="324"/>
      <c r="U785" s="155"/>
      <c r="V785" s="155"/>
      <c r="W785" s="322"/>
      <c r="X785" s="132"/>
      <c r="Y785" s="132"/>
    </row>
    <row r="786">
      <c r="A786" s="311"/>
      <c r="B786" s="312"/>
      <c r="C786" s="313"/>
      <c r="D786" s="313"/>
      <c r="E786" s="314"/>
      <c r="F786" s="315"/>
      <c r="G786" s="316"/>
      <c r="H786" s="317"/>
      <c r="I786" s="318"/>
      <c r="J786" s="319"/>
      <c r="K786" s="314"/>
      <c r="L786" s="314"/>
      <c r="M786" s="314"/>
      <c r="N786" s="314"/>
      <c r="O786" s="318"/>
      <c r="P786" s="314"/>
      <c r="Q786" s="314"/>
      <c r="R786" s="314"/>
      <c r="S786" s="314"/>
      <c r="T786" s="324"/>
      <c r="U786" s="155"/>
      <c r="V786" s="155"/>
      <c r="W786" s="322"/>
      <c r="X786" s="132"/>
      <c r="Y786" s="132"/>
    </row>
    <row r="787">
      <c r="A787" s="311"/>
      <c r="B787" s="312"/>
      <c r="C787" s="313"/>
      <c r="D787" s="313"/>
      <c r="E787" s="314"/>
      <c r="F787" s="315"/>
      <c r="G787" s="316"/>
      <c r="H787" s="317"/>
      <c r="I787" s="318"/>
      <c r="J787" s="319"/>
      <c r="K787" s="314"/>
      <c r="L787" s="314"/>
      <c r="M787" s="314"/>
      <c r="N787" s="314"/>
      <c r="O787" s="318"/>
      <c r="P787" s="314"/>
      <c r="Q787" s="314"/>
      <c r="R787" s="314"/>
      <c r="S787" s="314"/>
      <c r="T787" s="324"/>
      <c r="U787" s="155"/>
      <c r="V787" s="155"/>
      <c r="W787" s="322"/>
      <c r="X787" s="132"/>
      <c r="Y787" s="132"/>
    </row>
    <row r="788">
      <c r="A788" s="311"/>
      <c r="B788" s="312"/>
      <c r="C788" s="313"/>
      <c r="D788" s="313"/>
      <c r="E788" s="314"/>
      <c r="F788" s="315"/>
      <c r="G788" s="316"/>
      <c r="H788" s="317"/>
      <c r="I788" s="318"/>
      <c r="J788" s="319"/>
      <c r="K788" s="314"/>
      <c r="L788" s="314"/>
      <c r="M788" s="314"/>
      <c r="N788" s="314"/>
      <c r="O788" s="318"/>
      <c r="P788" s="314"/>
      <c r="Q788" s="314"/>
      <c r="R788" s="314"/>
      <c r="S788" s="314"/>
      <c r="T788" s="324"/>
      <c r="U788" s="155"/>
      <c r="V788" s="155"/>
      <c r="W788" s="322"/>
      <c r="X788" s="132"/>
      <c r="Y788" s="132"/>
    </row>
    <row r="789">
      <c r="A789" s="311"/>
      <c r="B789" s="312"/>
      <c r="C789" s="313"/>
      <c r="D789" s="313"/>
      <c r="E789" s="314"/>
      <c r="F789" s="315"/>
      <c r="G789" s="316"/>
      <c r="H789" s="317"/>
      <c r="I789" s="318"/>
      <c r="J789" s="319"/>
      <c r="K789" s="314"/>
      <c r="L789" s="314"/>
      <c r="M789" s="314"/>
      <c r="N789" s="314"/>
      <c r="O789" s="318"/>
      <c r="P789" s="314"/>
      <c r="Q789" s="314"/>
      <c r="R789" s="314"/>
      <c r="S789" s="314"/>
      <c r="T789" s="324"/>
      <c r="U789" s="155"/>
      <c r="V789" s="155"/>
      <c r="W789" s="322"/>
      <c r="X789" s="132"/>
      <c r="Y789" s="132"/>
    </row>
    <row r="790">
      <c r="A790" s="311"/>
      <c r="B790" s="312"/>
      <c r="C790" s="313"/>
      <c r="D790" s="313"/>
      <c r="E790" s="314"/>
      <c r="F790" s="315"/>
      <c r="G790" s="316"/>
      <c r="H790" s="317"/>
      <c r="I790" s="318"/>
      <c r="J790" s="319"/>
      <c r="K790" s="314"/>
      <c r="L790" s="314"/>
      <c r="M790" s="314"/>
      <c r="N790" s="314"/>
      <c r="O790" s="318"/>
      <c r="P790" s="314"/>
      <c r="Q790" s="314"/>
      <c r="R790" s="314"/>
      <c r="S790" s="314"/>
      <c r="T790" s="324"/>
      <c r="U790" s="155"/>
      <c r="V790" s="155"/>
      <c r="W790" s="322"/>
      <c r="X790" s="132"/>
      <c r="Y790" s="132"/>
    </row>
    <row r="791">
      <c r="A791" s="311"/>
      <c r="B791" s="312"/>
      <c r="C791" s="313"/>
      <c r="D791" s="313"/>
      <c r="E791" s="314"/>
      <c r="F791" s="315"/>
      <c r="G791" s="316"/>
      <c r="H791" s="317"/>
      <c r="I791" s="318"/>
      <c r="J791" s="319"/>
      <c r="K791" s="314"/>
      <c r="L791" s="314"/>
      <c r="M791" s="314"/>
      <c r="N791" s="314"/>
      <c r="O791" s="318"/>
      <c r="P791" s="314"/>
      <c r="Q791" s="314"/>
      <c r="R791" s="314"/>
      <c r="S791" s="314"/>
      <c r="T791" s="324"/>
      <c r="U791" s="155"/>
      <c r="V791" s="155"/>
      <c r="W791" s="322"/>
      <c r="X791" s="132"/>
      <c r="Y791" s="132"/>
    </row>
    <row r="792">
      <c r="A792" s="311"/>
      <c r="B792" s="312"/>
      <c r="C792" s="313"/>
      <c r="D792" s="313"/>
      <c r="E792" s="314"/>
      <c r="F792" s="315"/>
      <c r="G792" s="316"/>
      <c r="H792" s="317"/>
      <c r="I792" s="318"/>
      <c r="J792" s="319"/>
      <c r="K792" s="314"/>
      <c r="L792" s="314"/>
      <c r="M792" s="314"/>
      <c r="N792" s="314"/>
      <c r="O792" s="318"/>
      <c r="P792" s="314"/>
      <c r="Q792" s="314"/>
      <c r="R792" s="314"/>
      <c r="S792" s="314"/>
      <c r="T792" s="324"/>
      <c r="U792" s="155"/>
      <c r="V792" s="155"/>
      <c r="W792" s="322"/>
      <c r="X792" s="132"/>
      <c r="Y792" s="132"/>
    </row>
    <row r="793">
      <c r="A793" s="311"/>
      <c r="B793" s="312"/>
      <c r="C793" s="313"/>
      <c r="D793" s="313"/>
      <c r="E793" s="314"/>
      <c r="F793" s="315"/>
      <c r="G793" s="316"/>
      <c r="H793" s="317"/>
      <c r="I793" s="318"/>
      <c r="J793" s="319"/>
      <c r="K793" s="314"/>
      <c r="L793" s="314"/>
      <c r="M793" s="314"/>
      <c r="N793" s="314"/>
      <c r="O793" s="318"/>
      <c r="P793" s="314"/>
      <c r="Q793" s="314"/>
      <c r="R793" s="314"/>
      <c r="S793" s="314"/>
      <c r="T793" s="324"/>
      <c r="U793" s="155"/>
      <c r="V793" s="155"/>
      <c r="W793" s="322"/>
      <c r="X793" s="132"/>
      <c r="Y793" s="132"/>
    </row>
    <row r="794">
      <c r="A794" s="311"/>
      <c r="B794" s="312"/>
      <c r="C794" s="313"/>
      <c r="D794" s="313"/>
      <c r="E794" s="314"/>
      <c r="F794" s="315"/>
      <c r="G794" s="316"/>
      <c r="H794" s="317"/>
      <c r="I794" s="318"/>
      <c r="J794" s="319"/>
      <c r="K794" s="314"/>
      <c r="L794" s="314"/>
      <c r="M794" s="314"/>
      <c r="N794" s="314"/>
      <c r="O794" s="318"/>
      <c r="P794" s="314"/>
      <c r="Q794" s="314"/>
      <c r="R794" s="314"/>
      <c r="S794" s="314"/>
      <c r="T794" s="324"/>
      <c r="U794" s="155"/>
      <c r="V794" s="155"/>
      <c r="W794" s="322"/>
      <c r="X794" s="132"/>
      <c r="Y794" s="132"/>
    </row>
    <row r="795">
      <c r="A795" s="311"/>
      <c r="B795" s="312"/>
      <c r="C795" s="313"/>
      <c r="D795" s="313"/>
      <c r="E795" s="314"/>
      <c r="F795" s="315"/>
      <c r="G795" s="316"/>
      <c r="H795" s="317"/>
      <c r="I795" s="318"/>
      <c r="J795" s="319"/>
      <c r="K795" s="314"/>
      <c r="L795" s="314"/>
      <c r="M795" s="314"/>
      <c r="N795" s="314"/>
      <c r="O795" s="318"/>
      <c r="P795" s="314"/>
      <c r="Q795" s="314"/>
      <c r="R795" s="314"/>
      <c r="S795" s="314"/>
      <c r="T795" s="324"/>
      <c r="U795" s="155"/>
      <c r="V795" s="155"/>
      <c r="W795" s="322"/>
      <c r="X795" s="132"/>
      <c r="Y795" s="132"/>
    </row>
    <row r="796">
      <c r="A796" s="311"/>
      <c r="B796" s="312"/>
      <c r="C796" s="313"/>
      <c r="D796" s="313"/>
      <c r="E796" s="314"/>
      <c r="F796" s="315"/>
      <c r="G796" s="316"/>
      <c r="H796" s="317"/>
      <c r="I796" s="318"/>
      <c r="J796" s="319"/>
      <c r="K796" s="314"/>
      <c r="L796" s="314"/>
      <c r="M796" s="314"/>
      <c r="N796" s="314"/>
      <c r="O796" s="318"/>
      <c r="P796" s="314"/>
      <c r="Q796" s="314"/>
      <c r="R796" s="314"/>
      <c r="S796" s="314"/>
      <c r="T796" s="324"/>
      <c r="U796" s="155"/>
      <c r="V796" s="155"/>
      <c r="W796" s="322"/>
      <c r="X796" s="132"/>
      <c r="Y796" s="132"/>
    </row>
    <row r="797">
      <c r="A797" s="311"/>
      <c r="B797" s="312"/>
      <c r="C797" s="313"/>
      <c r="D797" s="313"/>
      <c r="E797" s="314"/>
      <c r="F797" s="315"/>
      <c r="G797" s="316"/>
      <c r="H797" s="317"/>
      <c r="I797" s="318"/>
      <c r="J797" s="319"/>
      <c r="K797" s="314"/>
      <c r="L797" s="314"/>
      <c r="M797" s="314"/>
      <c r="N797" s="314"/>
      <c r="O797" s="318"/>
      <c r="P797" s="314"/>
      <c r="Q797" s="314"/>
      <c r="R797" s="314"/>
      <c r="S797" s="314"/>
      <c r="T797" s="324"/>
      <c r="U797" s="155"/>
      <c r="V797" s="155"/>
      <c r="W797" s="322"/>
      <c r="X797" s="132"/>
      <c r="Y797" s="132"/>
    </row>
    <row r="798">
      <c r="A798" s="311"/>
      <c r="B798" s="312"/>
      <c r="C798" s="313"/>
      <c r="D798" s="313"/>
      <c r="E798" s="314"/>
      <c r="F798" s="315"/>
      <c r="G798" s="316"/>
      <c r="H798" s="317"/>
      <c r="I798" s="318"/>
      <c r="J798" s="319"/>
      <c r="K798" s="314"/>
      <c r="L798" s="314"/>
      <c r="M798" s="314"/>
      <c r="N798" s="314"/>
      <c r="O798" s="318"/>
      <c r="P798" s="314"/>
      <c r="Q798" s="314"/>
      <c r="R798" s="314"/>
      <c r="S798" s="314"/>
      <c r="T798" s="324"/>
      <c r="U798" s="155"/>
      <c r="V798" s="155"/>
      <c r="W798" s="322"/>
      <c r="X798" s="132"/>
      <c r="Y798" s="132"/>
    </row>
    <row r="799">
      <c r="A799" s="311"/>
      <c r="B799" s="312"/>
      <c r="C799" s="313"/>
      <c r="D799" s="313"/>
      <c r="E799" s="314"/>
      <c r="F799" s="315"/>
      <c r="G799" s="316"/>
      <c r="H799" s="317"/>
      <c r="I799" s="318"/>
      <c r="J799" s="319"/>
      <c r="K799" s="314"/>
      <c r="L799" s="314"/>
      <c r="M799" s="314"/>
      <c r="N799" s="314"/>
      <c r="O799" s="318"/>
      <c r="P799" s="314"/>
      <c r="Q799" s="314"/>
      <c r="R799" s="314"/>
      <c r="S799" s="314"/>
      <c r="T799" s="324"/>
      <c r="U799" s="155"/>
      <c r="V799" s="155"/>
      <c r="W799" s="322"/>
      <c r="X799" s="132"/>
      <c r="Y799" s="132"/>
    </row>
    <row r="800">
      <c r="A800" s="311"/>
      <c r="B800" s="312"/>
      <c r="C800" s="313"/>
      <c r="D800" s="313"/>
      <c r="E800" s="314"/>
      <c r="F800" s="315"/>
      <c r="G800" s="316"/>
      <c r="H800" s="317"/>
      <c r="I800" s="318"/>
      <c r="J800" s="319"/>
      <c r="K800" s="314"/>
      <c r="L800" s="314"/>
      <c r="M800" s="314"/>
      <c r="N800" s="314"/>
      <c r="O800" s="318"/>
      <c r="P800" s="314"/>
      <c r="Q800" s="314"/>
      <c r="R800" s="314"/>
      <c r="S800" s="314"/>
      <c r="T800" s="324"/>
      <c r="U800" s="155"/>
      <c r="V800" s="155"/>
      <c r="W800" s="322"/>
      <c r="X800" s="132"/>
      <c r="Y800" s="132"/>
    </row>
    <row r="801">
      <c r="A801" s="311"/>
      <c r="B801" s="312"/>
      <c r="C801" s="313"/>
      <c r="D801" s="313"/>
      <c r="E801" s="314"/>
      <c r="F801" s="315"/>
      <c r="G801" s="316"/>
      <c r="H801" s="317"/>
      <c r="I801" s="318"/>
      <c r="J801" s="319"/>
      <c r="K801" s="314"/>
      <c r="L801" s="314"/>
      <c r="M801" s="314"/>
      <c r="N801" s="314"/>
      <c r="O801" s="318"/>
      <c r="P801" s="314"/>
      <c r="Q801" s="314"/>
      <c r="R801" s="314"/>
      <c r="S801" s="314"/>
      <c r="T801" s="324"/>
      <c r="U801" s="155"/>
      <c r="V801" s="155"/>
      <c r="W801" s="322"/>
      <c r="X801" s="132"/>
      <c r="Y801" s="132"/>
    </row>
    <row r="802">
      <c r="A802" s="311"/>
      <c r="B802" s="312"/>
      <c r="C802" s="313"/>
      <c r="D802" s="313"/>
      <c r="E802" s="314"/>
      <c r="F802" s="315"/>
      <c r="G802" s="316"/>
      <c r="H802" s="317"/>
      <c r="I802" s="318"/>
      <c r="J802" s="319"/>
      <c r="K802" s="314"/>
      <c r="L802" s="314"/>
      <c r="M802" s="314"/>
      <c r="N802" s="314"/>
      <c r="O802" s="318"/>
      <c r="P802" s="314"/>
      <c r="Q802" s="314"/>
      <c r="R802" s="314"/>
      <c r="S802" s="314"/>
      <c r="T802" s="324"/>
      <c r="U802" s="155"/>
      <c r="V802" s="155"/>
      <c r="W802" s="322"/>
      <c r="X802" s="132"/>
      <c r="Y802" s="132"/>
    </row>
    <row r="803">
      <c r="A803" s="311"/>
      <c r="B803" s="312"/>
      <c r="C803" s="313"/>
      <c r="D803" s="313"/>
      <c r="E803" s="314"/>
      <c r="F803" s="315"/>
      <c r="G803" s="316"/>
      <c r="H803" s="317"/>
      <c r="I803" s="318"/>
      <c r="J803" s="319"/>
      <c r="K803" s="314"/>
      <c r="L803" s="314"/>
      <c r="M803" s="314"/>
      <c r="N803" s="314"/>
      <c r="O803" s="318"/>
      <c r="P803" s="314"/>
      <c r="Q803" s="314"/>
      <c r="R803" s="314"/>
      <c r="S803" s="314"/>
      <c r="T803" s="324"/>
      <c r="U803" s="155"/>
      <c r="V803" s="155"/>
      <c r="W803" s="322"/>
      <c r="X803" s="132"/>
      <c r="Y803" s="132"/>
    </row>
    <row r="804">
      <c r="A804" s="311"/>
      <c r="B804" s="312"/>
      <c r="C804" s="313"/>
      <c r="D804" s="313"/>
      <c r="E804" s="314"/>
      <c r="F804" s="315"/>
      <c r="G804" s="316"/>
      <c r="H804" s="317"/>
      <c r="I804" s="318"/>
      <c r="J804" s="319"/>
      <c r="K804" s="314"/>
      <c r="L804" s="314"/>
      <c r="M804" s="314"/>
      <c r="N804" s="314"/>
      <c r="O804" s="318"/>
      <c r="P804" s="314"/>
      <c r="Q804" s="314"/>
      <c r="R804" s="314"/>
      <c r="S804" s="314"/>
      <c r="T804" s="324"/>
      <c r="U804" s="155"/>
      <c r="V804" s="155"/>
      <c r="W804" s="322"/>
      <c r="X804" s="132"/>
      <c r="Y804" s="132"/>
    </row>
    <row r="805">
      <c r="A805" s="311"/>
      <c r="B805" s="312"/>
      <c r="C805" s="313"/>
      <c r="D805" s="313"/>
      <c r="E805" s="314"/>
      <c r="F805" s="315"/>
      <c r="G805" s="316"/>
      <c r="H805" s="317"/>
      <c r="I805" s="318"/>
      <c r="J805" s="319"/>
      <c r="K805" s="314"/>
      <c r="L805" s="314"/>
      <c r="M805" s="314"/>
      <c r="N805" s="314"/>
      <c r="O805" s="318"/>
      <c r="P805" s="314"/>
      <c r="Q805" s="314"/>
      <c r="R805" s="314"/>
      <c r="S805" s="314"/>
      <c r="T805" s="324"/>
      <c r="U805" s="155"/>
      <c r="V805" s="155"/>
      <c r="W805" s="322"/>
      <c r="X805" s="132"/>
      <c r="Y805" s="132"/>
    </row>
    <row r="806">
      <c r="A806" s="311"/>
      <c r="B806" s="312"/>
      <c r="C806" s="313"/>
      <c r="D806" s="313"/>
      <c r="E806" s="314"/>
      <c r="F806" s="315"/>
      <c r="G806" s="316"/>
      <c r="H806" s="317"/>
      <c r="I806" s="318"/>
      <c r="J806" s="319"/>
      <c r="K806" s="314"/>
      <c r="L806" s="314"/>
      <c r="M806" s="314"/>
      <c r="N806" s="314"/>
      <c r="O806" s="318"/>
      <c r="P806" s="314"/>
      <c r="Q806" s="314"/>
      <c r="R806" s="314"/>
      <c r="S806" s="314"/>
      <c r="T806" s="324"/>
      <c r="U806" s="155"/>
      <c r="V806" s="155"/>
      <c r="W806" s="322"/>
      <c r="X806" s="132"/>
      <c r="Y806" s="132"/>
    </row>
    <row r="807">
      <c r="A807" s="311"/>
      <c r="B807" s="312"/>
      <c r="C807" s="313"/>
      <c r="D807" s="313"/>
      <c r="E807" s="314"/>
      <c r="F807" s="315"/>
      <c r="G807" s="316"/>
      <c r="H807" s="317"/>
      <c r="I807" s="318"/>
      <c r="J807" s="319"/>
      <c r="K807" s="314"/>
      <c r="L807" s="314"/>
      <c r="M807" s="314"/>
      <c r="N807" s="314"/>
      <c r="O807" s="318"/>
      <c r="P807" s="314"/>
      <c r="Q807" s="314"/>
      <c r="R807" s="314"/>
      <c r="S807" s="314"/>
      <c r="T807" s="324"/>
      <c r="U807" s="155"/>
      <c r="V807" s="155"/>
      <c r="W807" s="322"/>
      <c r="X807" s="132"/>
      <c r="Y807" s="132"/>
    </row>
    <row r="808">
      <c r="A808" s="311"/>
      <c r="B808" s="312"/>
      <c r="C808" s="313"/>
      <c r="D808" s="313"/>
      <c r="E808" s="314"/>
      <c r="F808" s="315"/>
      <c r="G808" s="316"/>
      <c r="H808" s="317"/>
      <c r="I808" s="318"/>
      <c r="J808" s="319"/>
      <c r="K808" s="314"/>
      <c r="L808" s="314"/>
      <c r="M808" s="314"/>
      <c r="N808" s="314"/>
      <c r="O808" s="318"/>
      <c r="P808" s="314"/>
      <c r="Q808" s="314"/>
      <c r="R808" s="314"/>
      <c r="S808" s="314"/>
      <c r="T808" s="324"/>
      <c r="U808" s="155"/>
      <c r="V808" s="155"/>
      <c r="W808" s="322"/>
      <c r="X808" s="132"/>
      <c r="Y808" s="132"/>
    </row>
    <row r="809">
      <c r="A809" s="311"/>
      <c r="B809" s="312"/>
      <c r="C809" s="313"/>
      <c r="D809" s="313"/>
      <c r="E809" s="314"/>
      <c r="F809" s="315"/>
      <c r="G809" s="316"/>
      <c r="H809" s="317"/>
      <c r="I809" s="318"/>
      <c r="J809" s="319"/>
      <c r="K809" s="314"/>
      <c r="L809" s="314"/>
      <c r="M809" s="314"/>
      <c r="N809" s="314"/>
      <c r="O809" s="318"/>
      <c r="P809" s="314"/>
      <c r="Q809" s="314"/>
      <c r="R809" s="314"/>
      <c r="S809" s="314"/>
      <c r="T809" s="324"/>
      <c r="U809" s="155"/>
      <c r="V809" s="155"/>
      <c r="W809" s="322"/>
      <c r="X809" s="132"/>
      <c r="Y809" s="132"/>
    </row>
    <row r="810">
      <c r="A810" s="311"/>
      <c r="B810" s="312"/>
      <c r="C810" s="313"/>
      <c r="D810" s="313"/>
      <c r="E810" s="314"/>
      <c r="F810" s="315"/>
      <c r="G810" s="316"/>
      <c r="H810" s="317"/>
      <c r="I810" s="318"/>
      <c r="J810" s="319"/>
      <c r="K810" s="314"/>
      <c r="L810" s="314"/>
      <c r="M810" s="314"/>
      <c r="N810" s="314"/>
      <c r="O810" s="318"/>
      <c r="P810" s="314"/>
      <c r="Q810" s="314"/>
      <c r="R810" s="314"/>
      <c r="S810" s="314"/>
      <c r="T810" s="324"/>
      <c r="U810" s="155"/>
      <c r="V810" s="155"/>
      <c r="W810" s="322"/>
      <c r="X810" s="132"/>
      <c r="Y810" s="132"/>
    </row>
    <row r="811">
      <c r="A811" s="311"/>
      <c r="B811" s="312"/>
      <c r="C811" s="313"/>
      <c r="D811" s="313"/>
      <c r="E811" s="314"/>
      <c r="F811" s="315"/>
      <c r="G811" s="316"/>
      <c r="H811" s="317"/>
      <c r="I811" s="318"/>
      <c r="J811" s="319"/>
      <c r="K811" s="314"/>
      <c r="L811" s="314"/>
      <c r="M811" s="314"/>
      <c r="N811" s="314"/>
      <c r="O811" s="318"/>
      <c r="P811" s="314"/>
      <c r="Q811" s="314"/>
      <c r="R811" s="314"/>
      <c r="S811" s="314"/>
      <c r="T811" s="324"/>
      <c r="U811" s="155"/>
      <c r="V811" s="155"/>
      <c r="W811" s="322"/>
      <c r="X811" s="132"/>
      <c r="Y811" s="132"/>
    </row>
    <row r="812">
      <c r="A812" s="311"/>
      <c r="B812" s="312"/>
      <c r="C812" s="313"/>
      <c r="D812" s="313"/>
      <c r="E812" s="314"/>
      <c r="F812" s="315"/>
      <c r="G812" s="316"/>
      <c r="H812" s="317"/>
      <c r="I812" s="318"/>
      <c r="J812" s="319"/>
      <c r="K812" s="314"/>
      <c r="L812" s="314"/>
      <c r="M812" s="314"/>
      <c r="N812" s="314"/>
      <c r="O812" s="318"/>
      <c r="P812" s="314"/>
      <c r="Q812" s="314"/>
      <c r="R812" s="314"/>
      <c r="S812" s="314"/>
      <c r="T812" s="324"/>
      <c r="U812" s="155"/>
      <c r="V812" s="155"/>
      <c r="W812" s="322"/>
      <c r="X812" s="132"/>
      <c r="Y812" s="132"/>
    </row>
    <row r="813">
      <c r="A813" s="311"/>
      <c r="B813" s="312"/>
      <c r="C813" s="313"/>
      <c r="D813" s="313"/>
      <c r="E813" s="314"/>
      <c r="F813" s="315"/>
      <c r="G813" s="316"/>
      <c r="H813" s="317"/>
      <c r="I813" s="318"/>
      <c r="J813" s="319"/>
      <c r="K813" s="314"/>
      <c r="L813" s="314"/>
      <c r="M813" s="314"/>
      <c r="N813" s="314"/>
      <c r="O813" s="318"/>
      <c r="P813" s="314"/>
      <c r="Q813" s="314"/>
      <c r="R813" s="314"/>
      <c r="S813" s="314"/>
      <c r="T813" s="324"/>
      <c r="U813" s="155"/>
      <c r="V813" s="155"/>
      <c r="W813" s="322"/>
      <c r="X813" s="132"/>
      <c r="Y813" s="132"/>
    </row>
    <row r="814">
      <c r="A814" s="311"/>
      <c r="B814" s="312"/>
      <c r="C814" s="313"/>
      <c r="D814" s="313"/>
      <c r="E814" s="314"/>
      <c r="F814" s="315"/>
      <c r="G814" s="316"/>
      <c r="H814" s="317"/>
      <c r="I814" s="318"/>
      <c r="J814" s="319"/>
      <c r="K814" s="314"/>
      <c r="L814" s="314"/>
      <c r="M814" s="314"/>
      <c r="N814" s="314"/>
      <c r="O814" s="318"/>
      <c r="P814" s="314"/>
      <c r="Q814" s="314"/>
      <c r="R814" s="314"/>
      <c r="S814" s="314"/>
      <c r="T814" s="324"/>
      <c r="U814" s="155"/>
      <c r="V814" s="155"/>
      <c r="W814" s="322"/>
      <c r="X814" s="132"/>
      <c r="Y814" s="132"/>
    </row>
    <row r="815">
      <c r="A815" s="311"/>
      <c r="B815" s="312"/>
      <c r="C815" s="313"/>
      <c r="D815" s="313"/>
      <c r="E815" s="314"/>
      <c r="F815" s="315"/>
      <c r="G815" s="316"/>
      <c r="H815" s="317"/>
      <c r="I815" s="318"/>
      <c r="J815" s="319"/>
      <c r="K815" s="314"/>
      <c r="L815" s="314"/>
      <c r="M815" s="314"/>
      <c r="N815" s="314"/>
      <c r="O815" s="318"/>
      <c r="P815" s="314"/>
      <c r="Q815" s="314"/>
      <c r="R815" s="314"/>
      <c r="S815" s="314"/>
      <c r="T815" s="324"/>
      <c r="U815" s="155"/>
      <c r="V815" s="155"/>
      <c r="W815" s="322"/>
      <c r="X815" s="132"/>
      <c r="Y815" s="132"/>
    </row>
    <row r="816">
      <c r="A816" s="311"/>
      <c r="B816" s="312"/>
      <c r="C816" s="313"/>
      <c r="D816" s="313"/>
      <c r="E816" s="314"/>
      <c r="F816" s="315"/>
      <c r="G816" s="316"/>
      <c r="H816" s="317"/>
      <c r="I816" s="318"/>
      <c r="J816" s="319"/>
      <c r="K816" s="314"/>
      <c r="L816" s="314"/>
      <c r="M816" s="314"/>
      <c r="N816" s="314"/>
      <c r="O816" s="318"/>
      <c r="P816" s="314"/>
      <c r="Q816" s="314"/>
      <c r="R816" s="314"/>
      <c r="S816" s="314"/>
      <c r="T816" s="324"/>
      <c r="U816" s="155"/>
      <c r="V816" s="155"/>
      <c r="W816" s="322"/>
      <c r="X816" s="132"/>
      <c r="Y816" s="132"/>
    </row>
    <row r="817">
      <c r="A817" s="311"/>
      <c r="B817" s="312"/>
      <c r="C817" s="313"/>
      <c r="D817" s="313"/>
      <c r="E817" s="314"/>
      <c r="F817" s="315"/>
      <c r="G817" s="316"/>
      <c r="H817" s="317"/>
      <c r="I817" s="318"/>
      <c r="J817" s="319"/>
      <c r="K817" s="314"/>
      <c r="L817" s="314"/>
      <c r="M817" s="314"/>
      <c r="N817" s="314"/>
      <c r="O817" s="318"/>
      <c r="P817" s="314"/>
      <c r="Q817" s="314"/>
      <c r="R817" s="314"/>
      <c r="S817" s="314"/>
      <c r="T817" s="324"/>
      <c r="U817" s="155"/>
      <c r="V817" s="155"/>
      <c r="W817" s="322"/>
      <c r="X817" s="132"/>
      <c r="Y817" s="132"/>
    </row>
    <row r="818">
      <c r="A818" s="311"/>
      <c r="B818" s="312"/>
      <c r="C818" s="313"/>
      <c r="D818" s="313"/>
      <c r="E818" s="314"/>
      <c r="F818" s="315"/>
      <c r="G818" s="316"/>
      <c r="H818" s="317"/>
      <c r="I818" s="318"/>
      <c r="J818" s="319"/>
      <c r="K818" s="314"/>
      <c r="L818" s="314"/>
      <c r="M818" s="314"/>
      <c r="N818" s="314"/>
      <c r="O818" s="318"/>
      <c r="P818" s="314"/>
      <c r="Q818" s="314"/>
      <c r="R818" s="314"/>
      <c r="S818" s="314"/>
      <c r="T818" s="324"/>
      <c r="U818" s="155"/>
      <c r="V818" s="155"/>
      <c r="W818" s="322"/>
      <c r="X818" s="132"/>
      <c r="Y818" s="132"/>
    </row>
    <row r="819">
      <c r="A819" s="311"/>
      <c r="B819" s="312"/>
      <c r="C819" s="313"/>
      <c r="D819" s="313"/>
      <c r="E819" s="314"/>
      <c r="F819" s="315"/>
      <c r="G819" s="316"/>
      <c r="H819" s="317"/>
      <c r="I819" s="318"/>
      <c r="J819" s="319"/>
      <c r="K819" s="314"/>
      <c r="L819" s="314"/>
      <c r="M819" s="314"/>
      <c r="N819" s="314"/>
      <c r="O819" s="318"/>
      <c r="P819" s="314"/>
      <c r="Q819" s="314"/>
      <c r="R819" s="314"/>
      <c r="S819" s="314"/>
      <c r="T819" s="324"/>
      <c r="U819" s="155"/>
      <c r="V819" s="155"/>
      <c r="W819" s="322"/>
      <c r="X819" s="132"/>
      <c r="Y819" s="132"/>
    </row>
    <row r="820">
      <c r="A820" s="311"/>
      <c r="B820" s="312"/>
      <c r="C820" s="313"/>
      <c r="D820" s="313"/>
      <c r="E820" s="314"/>
      <c r="F820" s="315"/>
      <c r="G820" s="316"/>
      <c r="H820" s="317"/>
      <c r="I820" s="318"/>
      <c r="J820" s="319"/>
      <c r="K820" s="314"/>
      <c r="L820" s="314"/>
      <c r="M820" s="314"/>
      <c r="N820" s="314"/>
      <c r="O820" s="318"/>
      <c r="P820" s="314"/>
      <c r="Q820" s="314"/>
      <c r="R820" s="314"/>
      <c r="S820" s="314"/>
      <c r="T820" s="324"/>
      <c r="U820" s="155"/>
      <c r="V820" s="155"/>
      <c r="W820" s="322"/>
      <c r="X820" s="132"/>
      <c r="Y820" s="132"/>
    </row>
    <row r="821">
      <c r="A821" s="311"/>
      <c r="B821" s="312"/>
      <c r="C821" s="313"/>
      <c r="D821" s="313"/>
      <c r="E821" s="314"/>
      <c r="F821" s="315"/>
      <c r="G821" s="316"/>
      <c r="H821" s="317"/>
      <c r="I821" s="318"/>
      <c r="J821" s="319"/>
      <c r="K821" s="314"/>
      <c r="L821" s="314"/>
      <c r="M821" s="314"/>
      <c r="N821" s="314"/>
      <c r="O821" s="318"/>
      <c r="P821" s="314"/>
      <c r="Q821" s="314"/>
      <c r="R821" s="314"/>
      <c r="S821" s="314"/>
      <c r="T821" s="324"/>
      <c r="U821" s="155"/>
      <c r="V821" s="155"/>
      <c r="W821" s="322"/>
      <c r="X821" s="132"/>
      <c r="Y821" s="132"/>
    </row>
    <row r="822">
      <c r="A822" s="311"/>
      <c r="B822" s="312"/>
      <c r="C822" s="313"/>
      <c r="D822" s="313"/>
      <c r="E822" s="314"/>
      <c r="F822" s="315"/>
      <c r="G822" s="316"/>
      <c r="H822" s="317"/>
      <c r="I822" s="318"/>
      <c r="J822" s="319"/>
      <c r="K822" s="314"/>
      <c r="L822" s="314"/>
      <c r="M822" s="314"/>
      <c r="N822" s="314"/>
      <c r="O822" s="318"/>
      <c r="P822" s="314"/>
      <c r="Q822" s="314"/>
      <c r="R822" s="314"/>
      <c r="S822" s="314"/>
      <c r="T822" s="324"/>
      <c r="U822" s="155"/>
      <c r="V822" s="155"/>
      <c r="W822" s="322"/>
      <c r="X822" s="132"/>
      <c r="Y822" s="132"/>
    </row>
    <row r="823">
      <c r="A823" s="311"/>
      <c r="B823" s="312"/>
      <c r="C823" s="313"/>
      <c r="D823" s="313"/>
      <c r="E823" s="314"/>
      <c r="F823" s="315"/>
      <c r="G823" s="316"/>
      <c r="H823" s="317"/>
      <c r="I823" s="318"/>
      <c r="J823" s="319"/>
      <c r="K823" s="314"/>
      <c r="L823" s="314"/>
      <c r="M823" s="314"/>
      <c r="N823" s="314"/>
      <c r="O823" s="318"/>
      <c r="P823" s="314"/>
      <c r="Q823" s="314"/>
      <c r="R823" s="314"/>
      <c r="S823" s="314"/>
      <c r="T823" s="324"/>
      <c r="U823" s="155"/>
      <c r="V823" s="155"/>
      <c r="W823" s="322"/>
      <c r="X823" s="132"/>
      <c r="Y823" s="132"/>
    </row>
    <row r="824">
      <c r="A824" s="311"/>
      <c r="B824" s="312"/>
      <c r="C824" s="313"/>
      <c r="D824" s="313"/>
      <c r="E824" s="314"/>
      <c r="F824" s="315"/>
      <c r="G824" s="316"/>
      <c r="H824" s="317"/>
      <c r="I824" s="318"/>
      <c r="J824" s="319"/>
      <c r="K824" s="314"/>
      <c r="L824" s="314"/>
      <c r="M824" s="314"/>
      <c r="N824" s="314"/>
      <c r="O824" s="318"/>
      <c r="P824" s="314"/>
      <c r="Q824" s="314"/>
      <c r="R824" s="314"/>
      <c r="S824" s="314"/>
      <c r="T824" s="324"/>
      <c r="U824" s="155"/>
      <c r="V824" s="155"/>
      <c r="W824" s="322"/>
      <c r="X824" s="132"/>
      <c r="Y824" s="132"/>
    </row>
    <row r="825">
      <c r="A825" s="311"/>
      <c r="B825" s="312"/>
      <c r="C825" s="313"/>
      <c r="D825" s="313"/>
      <c r="E825" s="314"/>
      <c r="F825" s="315"/>
      <c r="G825" s="316"/>
      <c r="H825" s="317"/>
      <c r="I825" s="318"/>
      <c r="J825" s="319"/>
      <c r="K825" s="314"/>
      <c r="L825" s="314"/>
      <c r="M825" s="314"/>
      <c r="N825" s="314"/>
      <c r="O825" s="318"/>
      <c r="P825" s="314"/>
      <c r="Q825" s="314"/>
      <c r="R825" s="314"/>
      <c r="S825" s="314"/>
      <c r="T825" s="324"/>
      <c r="U825" s="155"/>
      <c r="V825" s="155"/>
      <c r="W825" s="322"/>
      <c r="X825" s="132"/>
      <c r="Y825" s="132"/>
    </row>
    <row r="826">
      <c r="A826" s="311"/>
      <c r="B826" s="312"/>
      <c r="C826" s="313"/>
      <c r="D826" s="313"/>
      <c r="E826" s="314"/>
      <c r="F826" s="315"/>
      <c r="G826" s="316"/>
      <c r="H826" s="317"/>
      <c r="I826" s="318"/>
      <c r="J826" s="319"/>
      <c r="K826" s="314"/>
      <c r="L826" s="314"/>
      <c r="M826" s="314"/>
      <c r="N826" s="314"/>
      <c r="O826" s="318"/>
      <c r="P826" s="314"/>
      <c r="Q826" s="314"/>
      <c r="R826" s="314"/>
      <c r="S826" s="314"/>
      <c r="T826" s="324"/>
      <c r="U826" s="155"/>
      <c r="V826" s="155"/>
      <c r="W826" s="322"/>
      <c r="X826" s="132"/>
      <c r="Y826" s="132"/>
    </row>
    <row r="827">
      <c r="A827" s="311"/>
      <c r="B827" s="312"/>
      <c r="C827" s="313"/>
      <c r="D827" s="313"/>
      <c r="E827" s="314"/>
      <c r="F827" s="315"/>
      <c r="G827" s="316"/>
      <c r="H827" s="317"/>
      <c r="I827" s="318"/>
      <c r="J827" s="319"/>
      <c r="K827" s="314"/>
      <c r="L827" s="314"/>
      <c r="M827" s="314"/>
      <c r="N827" s="314"/>
      <c r="O827" s="318"/>
      <c r="P827" s="314"/>
      <c r="Q827" s="314"/>
      <c r="R827" s="314"/>
      <c r="S827" s="314"/>
      <c r="T827" s="324"/>
      <c r="U827" s="155"/>
      <c r="V827" s="155"/>
      <c r="W827" s="322"/>
      <c r="X827" s="132"/>
      <c r="Y827" s="132"/>
    </row>
    <row r="828">
      <c r="A828" s="311"/>
      <c r="B828" s="312"/>
      <c r="C828" s="313"/>
      <c r="D828" s="313"/>
      <c r="E828" s="314"/>
      <c r="F828" s="315"/>
      <c r="G828" s="316"/>
      <c r="H828" s="317"/>
      <c r="I828" s="318"/>
      <c r="J828" s="319"/>
      <c r="K828" s="314"/>
      <c r="L828" s="314"/>
      <c r="M828" s="314"/>
      <c r="N828" s="314"/>
      <c r="O828" s="318"/>
      <c r="P828" s="314"/>
      <c r="Q828" s="314"/>
      <c r="R828" s="314"/>
      <c r="S828" s="314"/>
      <c r="T828" s="324"/>
      <c r="U828" s="155"/>
      <c r="V828" s="155"/>
      <c r="W828" s="322"/>
      <c r="X828" s="132"/>
      <c r="Y828" s="132"/>
    </row>
    <row r="829">
      <c r="A829" s="311"/>
      <c r="B829" s="312"/>
      <c r="C829" s="313"/>
      <c r="D829" s="313"/>
      <c r="E829" s="314"/>
      <c r="F829" s="315"/>
      <c r="G829" s="316"/>
      <c r="H829" s="317"/>
      <c r="I829" s="318"/>
      <c r="J829" s="319"/>
      <c r="K829" s="314"/>
      <c r="L829" s="314"/>
      <c r="M829" s="314"/>
      <c r="N829" s="314"/>
      <c r="O829" s="318"/>
      <c r="P829" s="314"/>
      <c r="Q829" s="314"/>
      <c r="R829" s="314"/>
      <c r="S829" s="314"/>
      <c r="T829" s="324"/>
      <c r="U829" s="155"/>
      <c r="V829" s="155"/>
      <c r="W829" s="322"/>
      <c r="X829" s="132"/>
      <c r="Y829" s="132"/>
    </row>
    <row r="830">
      <c r="A830" s="311"/>
      <c r="B830" s="312"/>
      <c r="C830" s="313"/>
      <c r="D830" s="313"/>
      <c r="E830" s="314"/>
      <c r="F830" s="315"/>
      <c r="G830" s="316"/>
      <c r="H830" s="317"/>
      <c r="I830" s="318"/>
      <c r="J830" s="319"/>
      <c r="K830" s="314"/>
      <c r="L830" s="314"/>
      <c r="M830" s="314"/>
      <c r="N830" s="314"/>
      <c r="O830" s="318"/>
      <c r="P830" s="314"/>
      <c r="Q830" s="314"/>
      <c r="R830" s="314"/>
      <c r="S830" s="314"/>
      <c r="T830" s="324"/>
      <c r="U830" s="155"/>
      <c r="V830" s="155"/>
      <c r="W830" s="322"/>
      <c r="X830" s="132"/>
      <c r="Y830" s="132"/>
    </row>
    <row r="831">
      <c r="A831" s="311"/>
      <c r="B831" s="312"/>
      <c r="C831" s="313"/>
      <c r="D831" s="313"/>
      <c r="E831" s="314"/>
      <c r="F831" s="315"/>
      <c r="G831" s="316"/>
      <c r="H831" s="317"/>
      <c r="I831" s="318"/>
      <c r="J831" s="319"/>
      <c r="K831" s="314"/>
      <c r="L831" s="314"/>
      <c r="M831" s="314"/>
      <c r="N831" s="314"/>
      <c r="O831" s="318"/>
      <c r="P831" s="314"/>
      <c r="Q831" s="314"/>
      <c r="R831" s="314"/>
      <c r="S831" s="314"/>
      <c r="T831" s="324"/>
      <c r="U831" s="155"/>
      <c r="V831" s="155"/>
      <c r="W831" s="322"/>
      <c r="X831" s="132"/>
      <c r="Y831" s="132"/>
    </row>
    <row r="832">
      <c r="A832" s="311"/>
      <c r="B832" s="312"/>
      <c r="C832" s="313"/>
      <c r="D832" s="313"/>
      <c r="E832" s="314"/>
      <c r="F832" s="315"/>
      <c r="G832" s="316"/>
      <c r="H832" s="317"/>
      <c r="I832" s="318"/>
      <c r="J832" s="319"/>
      <c r="K832" s="314"/>
      <c r="L832" s="314"/>
      <c r="M832" s="314"/>
      <c r="N832" s="314"/>
      <c r="O832" s="318"/>
      <c r="P832" s="314"/>
      <c r="Q832" s="314"/>
      <c r="R832" s="314"/>
      <c r="S832" s="314"/>
      <c r="T832" s="324"/>
      <c r="U832" s="155"/>
      <c r="V832" s="155"/>
      <c r="W832" s="322"/>
      <c r="X832" s="132"/>
      <c r="Y832" s="132"/>
    </row>
    <row r="833">
      <c r="A833" s="311"/>
      <c r="B833" s="312"/>
      <c r="C833" s="313"/>
      <c r="D833" s="313"/>
      <c r="E833" s="314"/>
      <c r="F833" s="315"/>
      <c r="G833" s="316"/>
      <c r="H833" s="317"/>
      <c r="I833" s="318"/>
      <c r="J833" s="319"/>
      <c r="K833" s="314"/>
      <c r="L833" s="314"/>
      <c r="M833" s="314"/>
      <c r="N833" s="314"/>
      <c r="O833" s="318"/>
      <c r="P833" s="314"/>
      <c r="Q833" s="314"/>
      <c r="R833" s="314"/>
      <c r="S833" s="314"/>
      <c r="T833" s="324"/>
      <c r="U833" s="155"/>
      <c r="V833" s="155"/>
      <c r="W833" s="322"/>
      <c r="X833" s="132"/>
      <c r="Y833" s="132"/>
    </row>
    <row r="834">
      <c r="A834" s="311"/>
      <c r="B834" s="312"/>
      <c r="C834" s="313"/>
      <c r="D834" s="313"/>
      <c r="E834" s="314"/>
      <c r="F834" s="315"/>
      <c r="G834" s="316"/>
      <c r="H834" s="317"/>
      <c r="I834" s="318"/>
      <c r="J834" s="319"/>
      <c r="K834" s="314"/>
      <c r="L834" s="314"/>
      <c r="M834" s="314"/>
      <c r="N834" s="314"/>
      <c r="O834" s="318"/>
      <c r="P834" s="314"/>
      <c r="Q834" s="314"/>
      <c r="R834" s="314"/>
      <c r="S834" s="314"/>
      <c r="T834" s="324"/>
      <c r="U834" s="155"/>
      <c r="V834" s="155"/>
      <c r="W834" s="322"/>
      <c r="X834" s="132"/>
      <c r="Y834" s="132"/>
    </row>
    <row r="835">
      <c r="A835" s="311"/>
      <c r="B835" s="312"/>
      <c r="C835" s="313"/>
      <c r="D835" s="313"/>
      <c r="E835" s="314"/>
      <c r="F835" s="315"/>
      <c r="G835" s="316"/>
      <c r="H835" s="317"/>
      <c r="I835" s="318"/>
      <c r="J835" s="319"/>
      <c r="K835" s="314"/>
      <c r="L835" s="314"/>
      <c r="M835" s="314"/>
      <c r="N835" s="314"/>
      <c r="O835" s="318"/>
      <c r="P835" s="314"/>
      <c r="Q835" s="314"/>
      <c r="R835" s="314"/>
      <c r="S835" s="314"/>
      <c r="T835" s="324"/>
      <c r="U835" s="155"/>
      <c r="V835" s="155"/>
      <c r="W835" s="322"/>
      <c r="X835" s="132"/>
      <c r="Y835" s="132"/>
    </row>
    <row r="836">
      <c r="A836" s="311"/>
      <c r="B836" s="312"/>
      <c r="C836" s="313"/>
      <c r="D836" s="313"/>
      <c r="E836" s="314"/>
      <c r="F836" s="315"/>
      <c r="G836" s="316"/>
      <c r="H836" s="317"/>
      <c r="I836" s="318"/>
      <c r="J836" s="319"/>
      <c r="K836" s="314"/>
      <c r="L836" s="314"/>
      <c r="M836" s="314"/>
      <c r="N836" s="314"/>
      <c r="O836" s="318"/>
      <c r="P836" s="314"/>
      <c r="Q836" s="314"/>
      <c r="R836" s="314"/>
      <c r="S836" s="314"/>
      <c r="T836" s="324"/>
      <c r="U836" s="155"/>
      <c r="V836" s="155"/>
      <c r="W836" s="322"/>
      <c r="X836" s="132"/>
      <c r="Y836" s="132"/>
    </row>
    <row r="837">
      <c r="A837" s="311"/>
      <c r="B837" s="312"/>
      <c r="C837" s="313"/>
      <c r="D837" s="313"/>
      <c r="E837" s="314"/>
      <c r="F837" s="315"/>
      <c r="G837" s="316"/>
      <c r="H837" s="317"/>
      <c r="I837" s="318"/>
      <c r="J837" s="319"/>
      <c r="K837" s="314"/>
      <c r="L837" s="314"/>
      <c r="M837" s="314"/>
      <c r="N837" s="314"/>
      <c r="O837" s="318"/>
      <c r="P837" s="314"/>
      <c r="Q837" s="314"/>
      <c r="R837" s="314"/>
      <c r="S837" s="314"/>
      <c r="T837" s="324"/>
      <c r="U837" s="155"/>
      <c r="V837" s="155"/>
      <c r="W837" s="322"/>
      <c r="X837" s="132"/>
      <c r="Y837" s="132"/>
    </row>
    <row r="838">
      <c r="A838" s="311"/>
      <c r="B838" s="312"/>
      <c r="C838" s="313"/>
      <c r="D838" s="313"/>
      <c r="E838" s="314"/>
      <c r="F838" s="315"/>
      <c r="G838" s="316"/>
      <c r="H838" s="317"/>
      <c r="I838" s="318"/>
      <c r="J838" s="319"/>
      <c r="K838" s="314"/>
      <c r="L838" s="314"/>
      <c r="M838" s="314"/>
      <c r="N838" s="314"/>
      <c r="O838" s="318"/>
      <c r="P838" s="314"/>
      <c r="Q838" s="314"/>
      <c r="R838" s="314"/>
      <c r="S838" s="314"/>
      <c r="T838" s="324"/>
      <c r="U838" s="155"/>
      <c r="V838" s="155"/>
      <c r="W838" s="322"/>
      <c r="X838" s="132"/>
      <c r="Y838" s="132"/>
    </row>
    <row r="839">
      <c r="A839" s="311"/>
      <c r="B839" s="312"/>
      <c r="C839" s="313"/>
      <c r="D839" s="313"/>
      <c r="E839" s="314"/>
      <c r="F839" s="315"/>
      <c r="G839" s="316"/>
      <c r="H839" s="317"/>
      <c r="I839" s="318"/>
      <c r="J839" s="319"/>
      <c r="K839" s="314"/>
      <c r="L839" s="314"/>
      <c r="M839" s="314"/>
      <c r="N839" s="314"/>
      <c r="O839" s="318"/>
      <c r="P839" s="314"/>
      <c r="Q839" s="314"/>
      <c r="R839" s="314"/>
      <c r="S839" s="314"/>
      <c r="T839" s="324"/>
      <c r="U839" s="155"/>
      <c r="V839" s="155"/>
      <c r="W839" s="322"/>
      <c r="X839" s="132"/>
      <c r="Y839" s="132"/>
    </row>
    <row r="840">
      <c r="A840" s="311"/>
      <c r="B840" s="312"/>
      <c r="C840" s="313"/>
      <c r="D840" s="313"/>
      <c r="E840" s="314"/>
      <c r="F840" s="315"/>
      <c r="G840" s="316"/>
      <c r="H840" s="317"/>
      <c r="I840" s="318"/>
      <c r="J840" s="319"/>
      <c r="K840" s="314"/>
      <c r="L840" s="314"/>
      <c r="M840" s="314"/>
      <c r="N840" s="314"/>
      <c r="O840" s="318"/>
      <c r="P840" s="314"/>
      <c r="Q840" s="314"/>
      <c r="R840" s="314"/>
      <c r="S840" s="314"/>
      <c r="T840" s="324"/>
      <c r="U840" s="155"/>
      <c r="V840" s="155"/>
      <c r="W840" s="322"/>
      <c r="X840" s="132"/>
      <c r="Y840" s="132"/>
    </row>
    <row r="841">
      <c r="A841" s="311"/>
      <c r="B841" s="312"/>
      <c r="C841" s="313"/>
      <c r="D841" s="313"/>
      <c r="E841" s="314"/>
      <c r="F841" s="315"/>
      <c r="G841" s="316"/>
      <c r="H841" s="317"/>
      <c r="I841" s="318"/>
      <c r="J841" s="319"/>
      <c r="K841" s="314"/>
      <c r="L841" s="314"/>
      <c r="M841" s="314"/>
      <c r="N841" s="314"/>
      <c r="O841" s="318"/>
      <c r="P841" s="314"/>
      <c r="Q841" s="314"/>
      <c r="R841" s="314"/>
      <c r="S841" s="314"/>
      <c r="T841" s="324"/>
      <c r="U841" s="155"/>
      <c r="V841" s="155"/>
      <c r="W841" s="322"/>
      <c r="X841" s="132"/>
      <c r="Y841" s="132"/>
    </row>
    <row r="842">
      <c r="A842" s="311"/>
      <c r="B842" s="312"/>
      <c r="C842" s="313"/>
      <c r="D842" s="313"/>
      <c r="E842" s="314"/>
      <c r="F842" s="315"/>
      <c r="G842" s="316"/>
      <c r="H842" s="317"/>
      <c r="I842" s="318"/>
      <c r="J842" s="319"/>
      <c r="K842" s="314"/>
      <c r="L842" s="314"/>
      <c r="M842" s="314"/>
      <c r="N842" s="314"/>
      <c r="O842" s="318"/>
      <c r="P842" s="314"/>
      <c r="Q842" s="314"/>
      <c r="R842" s="314"/>
      <c r="S842" s="314"/>
      <c r="T842" s="324"/>
      <c r="U842" s="155"/>
      <c r="V842" s="155"/>
      <c r="W842" s="322"/>
      <c r="X842" s="132"/>
      <c r="Y842" s="132"/>
    </row>
    <row r="843">
      <c r="A843" s="311"/>
      <c r="B843" s="312"/>
      <c r="C843" s="313"/>
      <c r="D843" s="313"/>
      <c r="E843" s="314"/>
      <c r="F843" s="315"/>
      <c r="G843" s="316"/>
      <c r="H843" s="317"/>
      <c r="I843" s="318"/>
      <c r="J843" s="319"/>
      <c r="K843" s="314"/>
      <c r="L843" s="314"/>
      <c r="M843" s="314"/>
      <c r="N843" s="314"/>
      <c r="O843" s="318"/>
      <c r="P843" s="314"/>
      <c r="Q843" s="314"/>
      <c r="R843" s="314"/>
      <c r="S843" s="314"/>
      <c r="T843" s="324"/>
      <c r="U843" s="155"/>
      <c r="V843" s="155"/>
      <c r="W843" s="322"/>
      <c r="X843" s="132"/>
      <c r="Y843" s="132"/>
    </row>
    <row r="844">
      <c r="A844" s="311"/>
      <c r="B844" s="312"/>
      <c r="C844" s="313"/>
      <c r="D844" s="313"/>
      <c r="E844" s="314"/>
      <c r="F844" s="315"/>
      <c r="G844" s="316"/>
      <c r="H844" s="317"/>
      <c r="I844" s="318"/>
      <c r="J844" s="319"/>
      <c r="K844" s="314"/>
      <c r="L844" s="314"/>
      <c r="M844" s="314"/>
      <c r="N844" s="314"/>
      <c r="O844" s="318"/>
      <c r="P844" s="314"/>
      <c r="Q844" s="314"/>
      <c r="R844" s="314"/>
      <c r="S844" s="314"/>
      <c r="T844" s="324"/>
      <c r="U844" s="155"/>
      <c r="V844" s="155"/>
      <c r="W844" s="322"/>
      <c r="X844" s="132"/>
      <c r="Y844" s="132"/>
    </row>
    <row r="845">
      <c r="A845" s="311"/>
      <c r="B845" s="312"/>
      <c r="C845" s="313"/>
      <c r="D845" s="313"/>
      <c r="E845" s="314"/>
      <c r="F845" s="315"/>
      <c r="G845" s="316"/>
      <c r="H845" s="317"/>
      <c r="I845" s="318"/>
      <c r="J845" s="319"/>
      <c r="K845" s="314"/>
      <c r="L845" s="314"/>
      <c r="M845" s="314"/>
      <c r="N845" s="314"/>
      <c r="O845" s="318"/>
      <c r="P845" s="314"/>
      <c r="Q845" s="314"/>
      <c r="R845" s="314"/>
      <c r="S845" s="314"/>
      <c r="T845" s="324"/>
      <c r="U845" s="155"/>
      <c r="V845" s="155"/>
      <c r="W845" s="322"/>
      <c r="X845" s="132"/>
      <c r="Y845" s="132"/>
    </row>
    <row r="846">
      <c r="A846" s="311"/>
      <c r="B846" s="312"/>
      <c r="C846" s="313"/>
      <c r="D846" s="313"/>
      <c r="E846" s="314"/>
      <c r="F846" s="315"/>
      <c r="G846" s="316"/>
      <c r="H846" s="317"/>
      <c r="I846" s="318"/>
      <c r="J846" s="319"/>
      <c r="K846" s="314"/>
      <c r="L846" s="314"/>
      <c r="M846" s="314"/>
      <c r="N846" s="314"/>
      <c r="O846" s="318"/>
      <c r="P846" s="314"/>
      <c r="Q846" s="314"/>
      <c r="R846" s="314"/>
      <c r="S846" s="314"/>
      <c r="T846" s="324"/>
      <c r="U846" s="155"/>
      <c r="V846" s="155"/>
      <c r="W846" s="322"/>
      <c r="X846" s="132"/>
      <c r="Y846" s="132"/>
    </row>
    <row r="847">
      <c r="A847" s="311"/>
      <c r="B847" s="312"/>
      <c r="C847" s="313"/>
      <c r="D847" s="313"/>
      <c r="E847" s="314"/>
      <c r="F847" s="315"/>
      <c r="G847" s="316"/>
      <c r="H847" s="317"/>
      <c r="I847" s="318"/>
      <c r="J847" s="319"/>
      <c r="K847" s="314"/>
      <c r="L847" s="314"/>
      <c r="M847" s="314"/>
      <c r="N847" s="314"/>
      <c r="O847" s="318"/>
      <c r="P847" s="314"/>
      <c r="Q847" s="314"/>
      <c r="R847" s="314"/>
      <c r="S847" s="314"/>
      <c r="T847" s="324"/>
      <c r="U847" s="155"/>
      <c r="V847" s="155"/>
      <c r="W847" s="322"/>
      <c r="X847" s="132"/>
      <c r="Y847" s="132"/>
    </row>
    <row r="848">
      <c r="A848" s="311"/>
      <c r="B848" s="312"/>
      <c r="C848" s="313"/>
      <c r="D848" s="313"/>
      <c r="E848" s="314"/>
      <c r="F848" s="315"/>
      <c r="G848" s="316"/>
      <c r="H848" s="317"/>
      <c r="I848" s="318"/>
      <c r="J848" s="319"/>
      <c r="K848" s="314"/>
      <c r="L848" s="314"/>
      <c r="M848" s="314"/>
      <c r="N848" s="314"/>
      <c r="O848" s="318"/>
      <c r="P848" s="314"/>
      <c r="Q848" s="314"/>
      <c r="R848" s="314"/>
      <c r="S848" s="314"/>
      <c r="T848" s="324"/>
      <c r="U848" s="155"/>
      <c r="V848" s="155"/>
      <c r="W848" s="322"/>
      <c r="X848" s="132"/>
      <c r="Y848" s="132"/>
    </row>
    <row r="849">
      <c r="A849" s="311"/>
      <c r="B849" s="312"/>
      <c r="C849" s="313"/>
      <c r="D849" s="313"/>
      <c r="E849" s="314"/>
      <c r="F849" s="315"/>
      <c r="G849" s="316"/>
      <c r="H849" s="317"/>
      <c r="I849" s="318"/>
      <c r="J849" s="319"/>
      <c r="K849" s="314"/>
      <c r="L849" s="314"/>
      <c r="M849" s="314"/>
      <c r="N849" s="314"/>
      <c r="O849" s="318"/>
      <c r="P849" s="314"/>
      <c r="Q849" s="314"/>
      <c r="R849" s="314"/>
      <c r="S849" s="314"/>
      <c r="T849" s="324"/>
      <c r="U849" s="155"/>
      <c r="V849" s="155"/>
      <c r="W849" s="322"/>
      <c r="X849" s="132"/>
      <c r="Y849" s="132"/>
    </row>
    <row r="850">
      <c r="A850" s="311"/>
      <c r="B850" s="312"/>
      <c r="C850" s="313"/>
      <c r="D850" s="313"/>
      <c r="E850" s="314"/>
      <c r="F850" s="315"/>
      <c r="G850" s="316"/>
      <c r="H850" s="317"/>
      <c r="I850" s="318"/>
      <c r="J850" s="319"/>
      <c r="K850" s="314"/>
      <c r="L850" s="314"/>
      <c r="M850" s="314"/>
      <c r="N850" s="314"/>
      <c r="O850" s="318"/>
      <c r="P850" s="314"/>
      <c r="Q850" s="314"/>
      <c r="R850" s="314"/>
      <c r="S850" s="314"/>
      <c r="T850" s="324"/>
      <c r="U850" s="155"/>
      <c r="V850" s="155"/>
      <c r="W850" s="322"/>
      <c r="X850" s="132"/>
      <c r="Y850" s="132"/>
    </row>
    <row r="851">
      <c r="A851" s="311"/>
      <c r="B851" s="312"/>
      <c r="C851" s="313"/>
      <c r="D851" s="313"/>
      <c r="E851" s="314"/>
      <c r="F851" s="315"/>
      <c r="G851" s="316"/>
      <c r="H851" s="317"/>
      <c r="I851" s="318"/>
      <c r="J851" s="319"/>
      <c r="K851" s="314"/>
      <c r="L851" s="314"/>
      <c r="M851" s="314"/>
      <c r="N851" s="314"/>
      <c r="O851" s="318"/>
      <c r="P851" s="314"/>
      <c r="Q851" s="314"/>
      <c r="R851" s="314"/>
      <c r="S851" s="314"/>
      <c r="T851" s="324"/>
      <c r="U851" s="155"/>
      <c r="V851" s="155"/>
      <c r="W851" s="322"/>
      <c r="X851" s="132"/>
      <c r="Y851" s="132"/>
    </row>
    <row r="852">
      <c r="A852" s="311"/>
      <c r="B852" s="312"/>
      <c r="C852" s="313"/>
      <c r="D852" s="313"/>
      <c r="E852" s="314"/>
      <c r="F852" s="315"/>
      <c r="G852" s="316"/>
      <c r="H852" s="317"/>
      <c r="I852" s="318"/>
      <c r="J852" s="319"/>
      <c r="K852" s="314"/>
      <c r="L852" s="314"/>
      <c r="M852" s="314"/>
      <c r="N852" s="314"/>
      <c r="O852" s="318"/>
      <c r="P852" s="314"/>
      <c r="Q852" s="314"/>
      <c r="R852" s="314"/>
      <c r="S852" s="314"/>
      <c r="T852" s="324"/>
      <c r="U852" s="155"/>
      <c r="V852" s="155"/>
      <c r="W852" s="322"/>
      <c r="X852" s="132"/>
      <c r="Y852" s="132"/>
    </row>
    <row r="853">
      <c r="A853" s="311"/>
      <c r="B853" s="312"/>
      <c r="C853" s="313"/>
      <c r="D853" s="313"/>
      <c r="E853" s="314"/>
      <c r="F853" s="315"/>
      <c r="G853" s="316"/>
      <c r="H853" s="317"/>
      <c r="I853" s="318"/>
      <c r="J853" s="319"/>
      <c r="K853" s="314"/>
      <c r="L853" s="314"/>
      <c r="M853" s="314"/>
      <c r="N853" s="314"/>
      <c r="O853" s="318"/>
      <c r="P853" s="314"/>
      <c r="Q853" s="314"/>
      <c r="R853" s="314"/>
      <c r="S853" s="314"/>
      <c r="T853" s="324"/>
      <c r="U853" s="155"/>
      <c r="V853" s="155"/>
      <c r="W853" s="322"/>
      <c r="X853" s="132"/>
      <c r="Y853" s="132"/>
    </row>
    <row r="854">
      <c r="A854" s="311"/>
      <c r="B854" s="312"/>
      <c r="C854" s="313"/>
      <c r="D854" s="313"/>
      <c r="E854" s="314"/>
      <c r="F854" s="315"/>
      <c r="G854" s="316"/>
      <c r="H854" s="317"/>
      <c r="I854" s="318"/>
      <c r="J854" s="319"/>
      <c r="K854" s="314"/>
      <c r="L854" s="314"/>
      <c r="M854" s="314"/>
      <c r="N854" s="314"/>
      <c r="O854" s="318"/>
      <c r="P854" s="314"/>
      <c r="Q854" s="314"/>
      <c r="R854" s="314"/>
      <c r="S854" s="314"/>
      <c r="T854" s="324"/>
      <c r="U854" s="155"/>
      <c r="V854" s="155"/>
      <c r="W854" s="322"/>
      <c r="X854" s="132"/>
      <c r="Y854" s="132"/>
    </row>
    <row r="855">
      <c r="A855" s="311"/>
      <c r="B855" s="312"/>
      <c r="C855" s="313"/>
      <c r="D855" s="313"/>
      <c r="E855" s="314"/>
      <c r="F855" s="315"/>
      <c r="G855" s="316"/>
      <c r="H855" s="317"/>
      <c r="I855" s="318"/>
      <c r="J855" s="319"/>
      <c r="K855" s="314"/>
      <c r="L855" s="314"/>
      <c r="M855" s="314"/>
      <c r="N855" s="314"/>
      <c r="O855" s="318"/>
      <c r="P855" s="314"/>
      <c r="Q855" s="314"/>
      <c r="R855" s="314"/>
      <c r="S855" s="314"/>
      <c r="T855" s="324"/>
      <c r="U855" s="155"/>
      <c r="V855" s="155"/>
      <c r="W855" s="322"/>
      <c r="X855" s="132"/>
      <c r="Y855" s="132"/>
    </row>
    <row r="856">
      <c r="A856" s="311"/>
      <c r="B856" s="312"/>
      <c r="C856" s="313"/>
      <c r="D856" s="313"/>
      <c r="E856" s="314"/>
      <c r="F856" s="315"/>
      <c r="G856" s="316"/>
      <c r="H856" s="317"/>
      <c r="I856" s="318"/>
      <c r="J856" s="319"/>
      <c r="K856" s="314"/>
      <c r="L856" s="314"/>
      <c r="M856" s="314"/>
      <c r="N856" s="314"/>
      <c r="O856" s="318"/>
      <c r="P856" s="314"/>
      <c r="Q856" s="314"/>
      <c r="R856" s="314"/>
      <c r="S856" s="314"/>
      <c r="T856" s="324"/>
      <c r="U856" s="155"/>
      <c r="V856" s="155"/>
      <c r="W856" s="322"/>
      <c r="X856" s="132"/>
      <c r="Y856" s="132"/>
    </row>
    <row r="857">
      <c r="A857" s="311"/>
      <c r="B857" s="312"/>
      <c r="C857" s="313"/>
      <c r="D857" s="313"/>
      <c r="E857" s="314"/>
      <c r="F857" s="315"/>
      <c r="G857" s="316"/>
      <c r="H857" s="317"/>
      <c r="I857" s="318"/>
      <c r="J857" s="319"/>
      <c r="K857" s="314"/>
      <c r="L857" s="314"/>
      <c r="M857" s="314"/>
      <c r="N857" s="314"/>
      <c r="O857" s="318"/>
      <c r="P857" s="314"/>
      <c r="Q857" s="314"/>
      <c r="R857" s="314"/>
      <c r="S857" s="314"/>
      <c r="T857" s="324"/>
      <c r="U857" s="155"/>
      <c r="V857" s="155"/>
      <c r="W857" s="322"/>
      <c r="X857" s="132"/>
      <c r="Y857" s="132"/>
    </row>
    <row r="858">
      <c r="A858" s="311"/>
      <c r="B858" s="312"/>
      <c r="C858" s="313"/>
      <c r="D858" s="313"/>
      <c r="E858" s="314"/>
      <c r="F858" s="315"/>
      <c r="G858" s="316"/>
      <c r="H858" s="317"/>
      <c r="I858" s="318"/>
      <c r="J858" s="319"/>
      <c r="K858" s="314"/>
      <c r="L858" s="314"/>
      <c r="M858" s="314"/>
      <c r="N858" s="314"/>
      <c r="O858" s="318"/>
      <c r="P858" s="314"/>
      <c r="Q858" s="314"/>
      <c r="R858" s="314"/>
      <c r="S858" s="314"/>
      <c r="T858" s="324"/>
      <c r="U858" s="155"/>
      <c r="V858" s="155"/>
      <c r="W858" s="322"/>
      <c r="X858" s="132"/>
      <c r="Y858" s="132"/>
    </row>
    <row r="859">
      <c r="A859" s="311"/>
      <c r="B859" s="312"/>
      <c r="C859" s="313"/>
      <c r="D859" s="313"/>
      <c r="E859" s="314"/>
      <c r="F859" s="315"/>
      <c r="G859" s="316"/>
      <c r="H859" s="317"/>
      <c r="I859" s="318"/>
      <c r="J859" s="319"/>
      <c r="K859" s="314"/>
      <c r="L859" s="314"/>
      <c r="M859" s="314"/>
      <c r="N859" s="314"/>
      <c r="O859" s="318"/>
      <c r="P859" s="314"/>
      <c r="Q859" s="314"/>
      <c r="R859" s="314"/>
      <c r="S859" s="314"/>
      <c r="T859" s="324"/>
      <c r="U859" s="155"/>
      <c r="V859" s="155"/>
      <c r="W859" s="322"/>
      <c r="X859" s="132"/>
      <c r="Y859" s="132"/>
    </row>
    <row r="860">
      <c r="A860" s="311"/>
      <c r="B860" s="312"/>
      <c r="C860" s="313"/>
      <c r="D860" s="313"/>
      <c r="E860" s="314"/>
      <c r="F860" s="315"/>
      <c r="G860" s="316"/>
      <c r="H860" s="317"/>
      <c r="I860" s="318"/>
      <c r="J860" s="319"/>
      <c r="K860" s="314"/>
      <c r="L860" s="314"/>
      <c r="M860" s="314"/>
      <c r="N860" s="314"/>
      <c r="O860" s="318"/>
      <c r="P860" s="314"/>
      <c r="Q860" s="314"/>
      <c r="R860" s="314"/>
      <c r="S860" s="314"/>
      <c r="T860" s="324"/>
      <c r="U860" s="155"/>
      <c r="V860" s="155"/>
      <c r="W860" s="322"/>
      <c r="X860" s="132"/>
      <c r="Y860" s="132"/>
    </row>
    <row r="861">
      <c r="A861" s="311"/>
      <c r="B861" s="312"/>
      <c r="C861" s="313"/>
      <c r="D861" s="313"/>
      <c r="E861" s="314"/>
      <c r="F861" s="315"/>
      <c r="G861" s="316"/>
      <c r="H861" s="317"/>
      <c r="I861" s="318"/>
      <c r="J861" s="319"/>
      <c r="K861" s="314"/>
      <c r="L861" s="314"/>
      <c r="M861" s="314"/>
      <c r="N861" s="314"/>
      <c r="O861" s="318"/>
      <c r="P861" s="314"/>
      <c r="Q861" s="314"/>
      <c r="R861" s="314"/>
      <c r="S861" s="314"/>
      <c r="T861" s="324"/>
      <c r="U861" s="155"/>
      <c r="V861" s="155"/>
      <c r="W861" s="322"/>
      <c r="X861" s="132"/>
      <c r="Y861" s="132"/>
    </row>
    <row r="862">
      <c r="A862" s="311"/>
      <c r="B862" s="312"/>
      <c r="C862" s="313"/>
      <c r="D862" s="313"/>
      <c r="E862" s="314"/>
      <c r="F862" s="315"/>
      <c r="G862" s="316"/>
      <c r="H862" s="317"/>
      <c r="I862" s="318"/>
      <c r="J862" s="319"/>
      <c r="K862" s="314"/>
      <c r="L862" s="314"/>
      <c r="M862" s="314"/>
      <c r="N862" s="314"/>
      <c r="O862" s="318"/>
      <c r="P862" s="314"/>
      <c r="Q862" s="314"/>
      <c r="R862" s="314"/>
      <c r="S862" s="314"/>
      <c r="T862" s="324"/>
      <c r="U862" s="155"/>
      <c r="V862" s="155"/>
      <c r="W862" s="322"/>
      <c r="X862" s="132"/>
      <c r="Y862" s="132"/>
    </row>
    <row r="863">
      <c r="A863" s="311"/>
      <c r="B863" s="312"/>
      <c r="C863" s="313"/>
      <c r="D863" s="313"/>
      <c r="E863" s="314"/>
      <c r="F863" s="315"/>
      <c r="G863" s="316"/>
      <c r="H863" s="317"/>
      <c r="I863" s="318"/>
      <c r="J863" s="319"/>
      <c r="K863" s="314"/>
      <c r="L863" s="314"/>
      <c r="M863" s="314"/>
      <c r="N863" s="314"/>
      <c r="O863" s="318"/>
      <c r="P863" s="314"/>
      <c r="Q863" s="314"/>
      <c r="R863" s="314"/>
      <c r="S863" s="314"/>
      <c r="T863" s="324"/>
      <c r="U863" s="155"/>
      <c r="V863" s="155"/>
      <c r="W863" s="322"/>
      <c r="X863" s="132"/>
      <c r="Y863" s="132"/>
    </row>
    <row r="864">
      <c r="A864" s="311"/>
      <c r="B864" s="312"/>
      <c r="C864" s="313"/>
      <c r="D864" s="313"/>
      <c r="E864" s="314"/>
      <c r="F864" s="315"/>
      <c r="G864" s="316"/>
      <c r="H864" s="317"/>
      <c r="I864" s="318"/>
      <c r="J864" s="319"/>
      <c r="K864" s="314"/>
      <c r="L864" s="314"/>
      <c r="M864" s="314"/>
      <c r="N864" s="314"/>
      <c r="O864" s="318"/>
      <c r="P864" s="314"/>
      <c r="Q864" s="314"/>
      <c r="R864" s="314"/>
      <c r="S864" s="314"/>
      <c r="T864" s="324"/>
      <c r="U864" s="155"/>
      <c r="V864" s="155"/>
      <c r="W864" s="322"/>
      <c r="X864" s="132"/>
      <c r="Y864" s="132"/>
    </row>
    <row r="865">
      <c r="A865" s="311"/>
      <c r="B865" s="312"/>
      <c r="C865" s="313"/>
      <c r="D865" s="313"/>
      <c r="E865" s="314"/>
      <c r="F865" s="315"/>
      <c r="G865" s="316"/>
      <c r="H865" s="317"/>
      <c r="I865" s="318"/>
      <c r="J865" s="319"/>
      <c r="K865" s="314"/>
      <c r="L865" s="314"/>
      <c r="M865" s="314"/>
      <c r="N865" s="314"/>
      <c r="O865" s="318"/>
      <c r="P865" s="314"/>
      <c r="Q865" s="314"/>
      <c r="R865" s="314"/>
      <c r="S865" s="314"/>
      <c r="T865" s="324"/>
      <c r="U865" s="155"/>
      <c r="V865" s="155"/>
      <c r="W865" s="322"/>
      <c r="X865" s="132"/>
      <c r="Y865" s="132"/>
    </row>
    <row r="866">
      <c r="A866" s="311"/>
      <c r="B866" s="312"/>
      <c r="C866" s="313"/>
      <c r="D866" s="313"/>
      <c r="E866" s="314"/>
      <c r="F866" s="315"/>
      <c r="G866" s="316"/>
      <c r="H866" s="317"/>
      <c r="I866" s="318"/>
      <c r="J866" s="319"/>
      <c r="K866" s="314"/>
      <c r="L866" s="314"/>
      <c r="M866" s="314"/>
      <c r="N866" s="314"/>
      <c r="O866" s="318"/>
      <c r="P866" s="314"/>
      <c r="Q866" s="314"/>
      <c r="R866" s="314"/>
      <c r="S866" s="314"/>
      <c r="T866" s="324"/>
      <c r="U866" s="155"/>
      <c r="V866" s="155"/>
      <c r="W866" s="322"/>
      <c r="X866" s="132"/>
      <c r="Y866" s="132"/>
    </row>
    <row r="867">
      <c r="A867" s="311"/>
      <c r="B867" s="312"/>
      <c r="C867" s="313"/>
      <c r="D867" s="313"/>
      <c r="E867" s="314"/>
      <c r="F867" s="315"/>
      <c r="G867" s="316"/>
      <c r="H867" s="317"/>
      <c r="I867" s="318"/>
      <c r="J867" s="319"/>
      <c r="K867" s="314"/>
      <c r="L867" s="314"/>
      <c r="M867" s="314"/>
      <c r="N867" s="314"/>
      <c r="O867" s="318"/>
      <c r="P867" s="314"/>
      <c r="Q867" s="314"/>
      <c r="R867" s="314"/>
      <c r="S867" s="314"/>
      <c r="T867" s="324"/>
      <c r="U867" s="155"/>
      <c r="V867" s="155"/>
      <c r="W867" s="322"/>
      <c r="X867" s="132"/>
      <c r="Y867" s="132"/>
    </row>
    <row r="868">
      <c r="A868" s="311"/>
      <c r="B868" s="312"/>
      <c r="C868" s="313"/>
      <c r="D868" s="313"/>
      <c r="E868" s="314"/>
      <c r="F868" s="315"/>
      <c r="G868" s="316"/>
      <c r="H868" s="317"/>
      <c r="I868" s="318"/>
      <c r="J868" s="319"/>
      <c r="K868" s="314"/>
      <c r="L868" s="314"/>
      <c r="M868" s="314"/>
      <c r="N868" s="314"/>
      <c r="O868" s="318"/>
      <c r="P868" s="314"/>
      <c r="Q868" s="314"/>
      <c r="R868" s="314"/>
      <c r="S868" s="314"/>
      <c r="T868" s="324"/>
      <c r="U868" s="155"/>
      <c r="V868" s="155"/>
      <c r="W868" s="322"/>
      <c r="X868" s="132"/>
      <c r="Y868" s="132"/>
    </row>
    <row r="869">
      <c r="A869" s="311"/>
      <c r="B869" s="312"/>
      <c r="C869" s="313"/>
      <c r="D869" s="313"/>
      <c r="E869" s="314"/>
      <c r="F869" s="315"/>
      <c r="G869" s="316"/>
      <c r="H869" s="317"/>
      <c r="I869" s="318"/>
      <c r="J869" s="319"/>
      <c r="K869" s="314"/>
      <c r="L869" s="314"/>
      <c r="M869" s="314"/>
      <c r="N869" s="314"/>
      <c r="O869" s="318"/>
      <c r="P869" s="314"/>
      <c r="Q869" s="314"/>
      <c r="R869" s="314"/>
      <c r="S869" s="314"/>
      <c r="T869" s="324"/>
      <c r="U869" s="155"/>
      <c r="V869" s="155"/>
      <c r="W869" s="322"/>
      <c r="X869" s="132"/>
      <c r="Y869" s="132"/>
    </row>
    <row r="870">
      <c r="A870" s="311"/>
      <c r="B870" s="312"/>
      <c r="C870" s="313"/>
      <c r="D870" s="313"/>
      <c r="E870" s="314"/>
      <c r="F870" s="315"/>
      <c r="G870" s="316"/>
      <c r="H870" s="317"/>
      <c r="I870" s="318"/>
      <c r="J870" s="319"/>
      <c r="K870" s="314"/>
      <c r="L870" s="314"/>
      <c r="M870" s="314"/>
      <c r="N870" s="314"/>
      <c r="O870" s="318"/>
      <c r="P870" s="314"/>
      <c r="Q870" s="314"/>
      <c r="R870" s="314"/>
      <c r="S870" s="314"/>
      <c r="T870" s="324"/>
      <c r="U870" s="155"/>
      <c r="V870" s="155"/>
      <c r="W870" s="322"/>
      <c r="X870" s="132"/>
      <c r="Y870" s="132"/>
    </row>
    <row r="871">
      <c r="A871" s="311"/>
      <c r="B871" s="312"/>
      <c r="C871" s="313"/>
      <c r="D871" s="313"/>
      <c r="E871" s="314"/>
      <c r="F871" s="315"/>
      <c r="G871" s="316"/>
      <c r="H871" s="317"/>
      <c r="I871" s="318"/>
      <c r="J871" s="319"/>
      <c r="K871" s="314"/>
      <c r="L871" s="314"/>
      <c r="M871" s="314"/>
      <c r="N871" s="314"/>
      <c r="O871" s="318"/>
      <c r="P871" s="314"/>
      <c r="Q871" s="314"/>
      <c r="R871" s="314"/>
      <c r="S871" s="314"/>
      <c r="T871" s="324"/>
      <c r="U871" s="155"/>
      <c r="V871" s="155"/>
      <c r="W871" s="322"/>
      <c r="X871" s="132"/>
      <c r="Y871" s="132"/>
    </row>
    <row r="872">
      <c r="A872" s="311"/>
      <c r="B872" s="312"/>
      <c r="C872" s="313"/>
      <c r="D872" s="313"/>
      <c r="E872" s="314"/>
      <c r="F872" s="315"/>
      <c r="G872" s="316"/>
      <c r="H872" s="317"/>
      <c r="I872" s="318"/>
      <c r="J872" s="319"/>
      <c r="K872" s="314"/>
      <c r="L872" s="314"/>
      <c r="M872" s="314"/>
      <c r="N872" s="314"/>
      <c r="O872" s="318"/>
      <c r="P872" s="314"/>
      <c r="Q872" s="314"/>
      <c r="R872" s="314"/>
      <c r="S872" s="314"/>
      <c r="T872" s="324"/>
      <c r="U872" s="155"/>
      <c r="V872" s="155"/>
      <c r="W872" s="322"/>
      <c r="X872" s="132"/>
      <c r="Y872" s="132"/>
    </row>
    <row r="873">
      <c r="A873" s="311"/>
      <c r="B873" s="312"/>
      <c r="C873" s="313"/>
      <c r="D873" s="313"/>
      <c r="E873" s="314"/>
      <c r="F873" s="315"/>
      <c r="G873" s="316"/>
      <c r="H873" s="317"/>
      <c r="I873" s="318"/>
      <c r="J873" s="319"/>
      <c r="K873" s="314"/>
      <c r="L873" s="314"/>
      <c r="M873" s="314"/>
      <c r="N873" s="314"/>
      <c r="O873" s="318"/>
      <c r="P873" s="314"/>
      <c r="Q873" s="314"/>
      <c r="R873" s="314"/>
      <c r="S873" s="314"/>
      <c r="T873" s="324"/>
      <c r="U873" s="155"/>
      <c r="V873" s="155"/>
      <c r="W873" s="322"/>
      <c r="X873" s="132"/>
      <c r="Y873" s="132"/>
    </row>
    <row r="874">
      <c r="A874" s="311"/>
      <c r="B874" s="312"/>
      <c r="C874" s="313"/>
      <c r="D874" s="313"/>
      <c r="E874" s="314"/>
      <c r="F874" s="315"/>
      <c r="G874" s="316"/>
      <c r="H874" s="317"/>
      <c r="I874" s="318"/>
      <c r="J874" s="319"/>
      <c r="K874" s="314"/>
      <c r="L874" s="314"/>
      <c r="M874" s="314"/>
      <c r="N874" s="314"/>
      <c r="O874" s="318"/>
      <c r="P874" s="314"/>
      <c r="Q874" s="314"/>
      <c r="R874" s="314"/>
      <c r="S874" s="314"/>
      <c r="T874" s="324"/>
      <c r="U874" s="155"/>
      <c r="V874" s="155"/>
      <c r="W874" s="322"/>
      <c r="X874" s="132"/>
      <c r="Y874" s="132"/>
    </row>
    <row r="875">
      <c r="A875" s="311"/>
      <c r="B875" s="312"/>
      <c r="C875" s="313"/>
      <c r="D875" s="313"/>
      <c r="E875" s="314"/>
      <c r="F875" s="315"/>
      <c r="G875" s="316"/>
      <c r="H875" s="317"/>
      <c r="I875" s="318"/>
      <c r="J875" s="319"/>
      <c r="K875" s="314"/>
      <c r="L875" s="314"/>
      <c r="M875" s="314"/>
      <c r="N875" s="314"/>
      <c r="O875" s="318"/>
      <c r="P875" s="314"/>
      <c r="Q875" s="314"/>
      <c r="R875" s="314"/>
      <c r="S875" s="314"/>
      <c r="T875" s="324"/>
      <c r="U875" s="155"/>
      <c r="V875" s="155"/>
      <c r="W875" s="322"/>
      <c r="X875" s="132"/>
      <c r="Y875" s="132"/>
    </row>
    <row r="876">
      <c r="A876" s="311"/>
      <c r="B876" s="312"/>
      <c r="C876" s="313"/>
      <c r="D876" s="313"/>
      <c r="E876" s="314"/>
      <c r="F876" s="315"/>
      <c r="G876" s="316"/>
      <c r="H876" s="317"/>
      <c r="I876" s="318"/>
      <c r="J876" s="319"/>
      <c r="K876" s="314"/>
      <c r="L876" s="314"/>
      <c r="M876" s="314"/>
      <c r="N876" s="314"/>
      <c r="O876" s="318"/>
      <c r="P876" s="314"/>
      <c r="Q876" s="314"/>
      <c r="R876" s="314"/>
      <c r="S876" s="314"/>
      <c r="T876" s="324"/>
      <c r="U876" s="155"/>
      <c r="V876" s="155"/>
      <c r="W876" s="322"/>
      <c r="X876" s="132"/>
      <c r="Y876" s="132"/>
    </row>
    <row r="877">
      <c r="A877" s="311"/>
      <c r="B877" s="312"/>
      <c r="C877" s="313"/>
      <c r="D877" s="313"/>
      <c r="E877" s="314"/>
      <c r="F877" s="315"/>
      <c r="G877" s="316"/>
      <c r="H877" s="317"/>
      <c r="I877" s="318"/>
      <c r="J877" s="319"/>
      <c r="K877" s="314"/>
      <c r="L877" s="314"/>
      <c r="M877" s="314"/>
      <c r="N877" s="314"/>
      <c r="O877" s="318"/>
      <c r="P877" s="314"/>
      <c r="Q877" s="314"/>
      <c r="R877" s="314"/>
      <c r="S877" s="314"/>
      <c r="T877" s="324"/>
      <c r="U877" s="155"/>
      <c r="V877" s="155"/>
      <c r="W877" s="322"/>
      <c r="X877" s="132"/>
      <c r="Y877" s="132"/>
    </row>
    <row r="878">
      <c r="A878" s="311"/>
      <c r="B878" s="312"/>
      <c r="C878" s="313"/>
      <c r="D878" s="313"/>
      <c r="E878" s="314"/>
      <c r="F878" s="315"/>
      <c r="G878" s="316"/>
      <c r="H878" s="317"/>
      <c r="I878" s="318"/>
      <c r="J878" s="319"/>
      <c r="K878" s="314"/>
      <c r="L878" s="314"/>
      <c r="M878" s="314"/>
      <c r="N878" s="314"/>
      <c r="O878" s="318"/>
      <c r="P878" s="314"/>
      <c r="Q878" s="314"/>
      <c r="R878" s="314"/>
      <c r="S878" s="314"/>
      <c r="T878" s="324"/>
      <c r="U878" s="155"/>
      <c r="V878" s="155"/>
      <c r="W878" s="322"/>
      <c r="X878" s="132"/>
      <c r="Y878" s="132"/>
    </row>
    <row r="879">
      <c r="A879" s="311"/>
      <c r="B879" s="312"/>
      <c r="C879" s="313"/>
      <c r="D879" s="313"/>
      <c r="E879" s="314"/>
      <c r="F879" s="315"/>
      <c r="G879" s="316"/>
      <c r="H879" s="317"/>
      <c r="I879" s="318"/>
      <c r="J879" s="319"/>
      <c r="K879" s="314"/>
      <c r="L879" s="314"/>
      <c r="M879" s="314"/>
      <c r="N879" s="314"/>
      <c r="O879" s="318"/>
      <c r="P879" s="314"/>
      <c r="Q879" s="314"/>
      <c r="R879" s="314"/>
      <c r="S879" s="314"/>
      <c r="T879" s="324"/>
      <c r="U879" s="155"/>
      <c r="V879" s="155"/>
      <c r="W879" s="322"/>
      <c r="X879" s="132"/>
      <c r="Y879" s="132"/>
    </row>
    <row r="880">
      <c r="A880" s="311"/>
      <c r="B880" s="312"/>
      <c r="C880" s="313"/>
      <c r="D880" s="313"/>
      <c r="E880" s="314"/>
      <c r="F880" s="315"/>
      <c r="G880" s="316"/>
      <c r="H880" s="317"/>
      <c r="I880" s="318"/>
      <c r="J880" s="319"/>
      <c r="K880" s="314"/>
      <c r="L880" s="314"/>
      <c r="M880" s="314"/>
      <c r="N880" s="314"/>
      <c r="O880" s="318"/>
      <c r="P880" s="314"/>
      <c r="Q880" s="314"/>
      <c r="R880" s="314"/>
      <c r="S880" s="314"/>
      <c r="T880" s="324"/>
      <c r="U880" s="155"/>
      <c r="V880" s="155"/>
      <c r="W880" s="322"/>
      <c r="X880" s="132"/>
      <c r="Y880" s="132"/>
    </row>
    <row r="881">
      <c r="A881" s="311"/>
      <c r="B881" s="312"/>
      <c r="C881" s="313"/>
      <c r="D881" s="313"/>
      <c r="E881" s="314"/>
      <c r="F881" s="315"/>
      <c r="G881" s="316"/>
      <c r="H881" s="317"/>
      <c r="I881" s="318"/>
      <c r="J881" s="319"/>
      <c r="K881" s="314"/>
      <c r="L881" s="314"/>
      <c r="M881" s="314"/>
      <c r="N881" s="314"/>
      <c r="O881" s="318"/>
      <c r="P881" s="314"/>
      <c r="Q881" s="314"/>
      <c r="R881" s="314"/>
      <c r="S881" s="314"/>
      <c r="T881" s="324"/>
      <c r="U881" s="155"/>
      <c r="V881" s="155"/>
      <c r="W881" s="322"/>
      <c r="X881" s="132"/>
      <c r="Y881" s="132"/>
    </row>
    <row r="882">
      <c r="A882" s="311"/>
      <c r="B882" s="312"/>
      <c r="C882" s="313"/>
      <c r="D882" s="313"/>
      <c r="E882" s="314"/>
      <c r="F882" s="315"/>
      <c r="G882" s="316"/>
      <c r="H882" s="317"/>
      <c r="I882" s="318"/>
      <c r="J882" s="319"/>
      <c r="K882" s="314"/>
      <c r="L882" s="314"/>
      <c r="M882" s="314"/>
      <c r="N882" s="314"/>
      <c r="O882" s="318"/>
      <c r="P882" s="314"/>
      <c r="Q882" s="314"/>
      <c r="R882" s="314"/>
      <c r="S882" s="314"/>
      <c r="T882" s="324"/>
      <c r="U882" s="155"/>
      <c r="V882" s="155"/>
      <c r="W882" s="322"/>
      <c r="X882" s="132"/>
      <c r="Y882" s="132"/>
    </row>
    <row r="883">
      <c r="A883" s="311"/>
      <c r="B883" s="312"/>
      <c r="C883" s="313"/>
      <c r="D883" s="313"/>
      <c r="E883" s="314"/>
      <c r="F883" s="315"/>
      <c r="G883" s="316"/>
      <c r="H883" s="317"/>
      <c r="I883" s="318"/>
      <c r="J883" s="319"/>
      <c r="K883" s="314"/>
      <c r="L883" s="314"/>
      <c r="M883" s="314"/>
      <c r="N883" s="314"/>
      <c r="O883" s="318"/>
      <c r="P883" s="314"/>
      <c r="Q883" s="314"/>
      <c r="R883" s="314"/>
      <c r="S883" s="314"/>
      <c r="T883" s="324"/>
      <c r="U883" s="155"/>
      <c r="V883" s="155"/>
      <c r="W883" s="322"/>
      <c r="X883" s="132"/>
      <c r="Y883" s="132"/>
    </row>
    <row r="884">
      <c r="A884" s="311"/>
      <c r="B884" s="312"/>
      <c r="C884" s="313"/>
      <c r="D884" s="313"/>
      <c r="E884" s="314"/>
      <c r="F884" s="315"/>
      <c r="G884" s="316"/>
      <c r="H884" s="317"/>
      <c r="I884" s="318"/>
      <c r="J884" s="319"/>
      <c r="K884" s="314"/>
      <c r="L884" s="314"/>
      <c r="M884" s="314"/>
      <c r="N884" s="314"/>
      <c r="O884" s="318"/>
      <c r="P884" s="314"/>
      <c r="Q884" s="314"/>
      <c r="R884" s="314"/>
      <c r="S884" s="314"/>
      <c r="T884" s="324"/>
      <c r="U884" s="155"/>
      <c r="V884" s="155"/>
      <c r="W884" s="322"/>
      <c r="X884" s="132"/>
      <c r="Y884" s="132"/>
    </row>
    <row r="885">
      <c r="A885" s="311"/>
      <c r="B885" s="312"/>
      <c r="C885" s="313"/>
      <c r="D885" s="313"/>
      <c r="E885" s="314"/>
      <c r="F885" s="315"/>
      <c r="G885" s="316"/>
      <c r="H885" s="317"/>
      <c r="I885" s="318"/>
      <c r="J885" s="319"/>
      <c r="K885" s="314"/>
      <c r="L885" s="314"/>
      <c r="M885" s="314"/>
      <c r="N885" s="314"/>
      <c r="O885" s="318"/>
      <c r="P885" s="314"/>
      <c r="Q885" s="314"/>
      <c r="R885" s="314"/>
      <c r="S885" s="314"/>
      <c r="T885" s="324"/>
      <c r="U885" s="155"/>
      <c r="V885" s="155"/>
      <c r="W885" s="322"/>
      <c r="X885" s="132"/>
      <c r="Y885" s="132"/>
    </row>
    <row r="886">
      <c r="A886" s="311"/>
      <c r="B886" s="312"/>
      <c r="C886" s="313"/>
      <c r="D886" s="313"/>
      <c r="E886" s="314"/>
      <c r="F886" s="315"/>
      <c r="G886" s="316"/>
      <c r="H886" s="317"/>
      <c r="I886" s="318"/>
      <c r="J886" s="319"/>
      <c r="K886" s="314"/>
      <c r="L886" s="314"/>
      <c r="M886" s="314"/>
      <c r="N886" s="314"/>
      <c r="O886" s="318"/>
      <c r="P886" s="314"/>
      <c r="Q886" s="314"/>
      <c r="R886" s="314"/>
      <c r="S886" s="314"/>
      <c r="T886" s="324"/>
      <c r="U886" s="155"/>
      <c r="V886" s="155"/>
      <c r="W886" s="322"/>
      <c r="X886" s="132"/>
      <c r="Y886" s="132"/>
    </row>
    <row r="887">
      <c r="A887" s="311"/>
      <c r="B887" s="312"/>
      <c r="C887" s="313"/>
      <c r="D887" s="313"/>
      <c r="E887" s="314"/>
      <c r="F887" s="315"/>
      <c r="G887" s="316"/>
      <c r="H887" s="317"/>
      <c r="I887" s="318"/>
      <c r="J887" s="319"/>
      <c r="K887" s="314"/>
      <c r="L887" s="314"/>
      <c r="M887" s="314"/>
      <c r="N887" s="314"/>
      <c r="O887" s="318"/>
      <c r="P887" s="314"/>
      <c r="Q887" s="314"/>
      <c r="R887" s="314"/>
      <c r="S887" s="314"/>
      <c r="T887" s="324"/>
      <c r="U887" s="155"/>
      <c r="V887" s="155"/>
      <c r="W887" s="322"/>
      <c r="X887" s="132"/>
      <c r="Y887" s="132"/>
    </row>
    <row r="888">
      <c r="A888" s="311"/>
      <c r="B888" s="312"/>
      <c r="C888" s="313"/>
      <c r="D888" s="313"/>
      <c r="E888" s="314"/>
      <c r="F888" s="315"/>
      <c r="G888" s="316"/>
      <c r="H888" s="317"/>
      <c r="I888" s="318"/>
      <c r="J888" s="319"/>
      <c r="K888" s="314"/>
      <c r="L888" s="314"/>
      <c r="M888" s="314"/>
      <c r="N888" s="314"/>
      <c r="O888" s="318"/>
      <c r="P888" s="314"/>
      <c r="Q888" s="314"/>
      <c r="R888" s="314"/>
      <c r="S888" s="314"/>
      <c r="T888" s="324"/>
      <c r="U888" s="155"/>
      <c r="V888" s="155"/>
      <c r="W888" s="322"/>
      <c r="X888" s="132"/>
      <c r="Y888" s="132"/>
    </row>
    <row r="889">
      <c r="A889" s="311"/>
      <c r="B889" s="312"/>
      <c r="C889" s="313"/>
      <c r="D889" s="313"/>
      <c r="E889" s="314"/>
      <c r="F889" s="315"/>
      <c r="G889" s="316"/>
      <c r="H889" s="317"/>
      <c r="I889" s="318"/>
      <c r="J889" s="319"/>
      <c r="K889" s="314"/>
      <c r="L889" s="314"/>
      <c r="M889" s="314"/>
      <c r="N889" s="314"/>
      <c r="O889" s="318"/>
      <c r="P889" s="314"/>
      <c r="Q889" s="314"/>
      <c r="R889" s="314"/>
      <c r="S889" s="314"/>
      <c r="T889" s="324"/>
      <c r="U889" s="155"/>
      <c r="V889" s="155"/>
      <c r="W889" s="322"/>
      <c r="X889" s="132"/>
      <c r="Y889" s="132"/>
    </row>
    <row r="890">
      <c r="A890" s="311"/>
      <c r="B890" s="312"/>
      <c r="C890" s="313"/>
      <c r="D890" s="313"/>
      <c r="E890" s="314"/>
      <c r="F890" s="315"/>
      <c r="G890" s="316"/>
      <c r="H890" s="317"/>
      <c r="I890" s="318"/>
      <c r="J890" s="319"/>
      <c r="K890" s="314"/>
      <c r="L890" s="314"/>
      <c r="M890" s="314"/>
      <c r="N890" s="314"/>
      <c r="O890" s="318"/>
      <c r="P890" s="314"/>
      <c r="Q890" s="314"/>
      <c r="R890" s="314"/>
      <c r="S890" s="314"/>
      <c r="T890" s="324"/>
      <c r="U890" s="155"/>
      <c r="V890" s="155"/>
      <c r="W890" s="322"/>
      <c r="X890" s="132"/>
      <c r="Y890" s="132"/>
    </row>
    <row r="891">
      <c r="A891" s="311"/>
      <c r="B891" s="312"/>
      <c r="C891" s="313"/>
      <c r="D891" s="313"/>
      <c r="E891" s="314"/>
      <c r="F891" s="315"/>
      <c r="G891" s="316"/>
      <c r="H891" s="317"/>
      <c r="I891" s="318"/>
      <c r="J891" s="319"/>
      <c r="K891" s="314"/>
      <c r="L891" s="314"/>
      <c r="M891" s="314"/>
      <c r="N891" s="314"/>
      <c r="O891" s="318"/>
      <c r="P891" s="314"/>
      <c r="Q891" s="314"/>
      <c r="R891" s="314"/>
      <c r="S891" s="314"/>
      <c r="T891" s="324"/>
      <c r="U891" s="155"/>
      <c r="V891" s="155"/>
      <c r="W891" s="322"/>
      <c r="X891" s="132"/>
      <c r="Y891" s="132"/>
    </row>
    <row r="892">
      <c r="A892" s="311"/>
      <c r="B892" s="312"/>
      <c r="C892" s="313"/>
      <c r="D892" s="313"/>
      <c r="E892" s="314"/>
      <c r="F892" s="315"/>
      <c r="G892" s="316"/>
      <c r="H892" s="317"/>
      <c r="I892" s="318"/>
      <c r="J892" s="319"/>
      <c r="K892" s="314"/>
      <c r="L892" s="314"/>
      <c r="M892" s="314"/>
      <c r="N892" s="314"/>
      <c r="O892" s="318"/>
      <c r="P892" s="314"/>
      <c r="Q892" s="314"/>
      <c r="R892" s="314"/>
      <c r="S892" s="314"/>
      <c r="T892" s="324"/>
      <c r="U892" s="155"/>
      <c r="V892" s="155"/>
      <c r="W892" s="322"/>
      <c r="X892" s="132"/>
      <c r="Y892" s="132"/>
    </row>
    <row r="893">
      <c r="A893" s="311"/>
      <c r="B893" s="312"/>
      <c r="C893" s="313"/>
      <c r="D893" s="313"/>
      <c r="E893" s="314"/>
      <c r="F893" s="315"/>
      <c r="G893" s="316"/>
      <c r="H893" s="317"/>
      <c r="I893" s="318"/>
      <c r="J893" s="319"/>
      <c r="K893" s="314"/>
      <c r="L893" s="314"/>
      <c r="M893" s="314"/>
      <c r="N893" s="314"/>
      <c r="O893" s="318"/>
      <c r="P893" s="314"/>
      <c r="Q893" s="314"/>
      <c r="R893" s="314"/>
      <c r="S893" s="314"/>
      <c r="T893" s="324"/>
      <c r="U893" s="155"/>
      <c r="V893" s="155"/>
      <c r="W893" s="322"/>
      <c r="X893" s="132"/>
      <c r="Y893" s="132"/>
    </row>
    <row r="894">
      <c r="A894" s="311"/>
      <c r="B894" s="312"/>
      <c r="C894" s="313"/>
      <c r="D894" s="313"/>
      <c r="E894" s="314"/>
      <c r="F894" s="315"/>
      <c r="G894" s="316"/>
      <c r="H894" s="317"/>
      <c r="I894" s="318"/>
      <c r="J894" s="319"/>
      <c r="K894" s="314"/>
      <c r="L894" s="314"/>
      <c r="M894" s="314"/>
      <c r="N894" s="314"/>
      <c r="O894" s="318"/>
      <c r="P894" s="314"/>
      <c r="Q894" s="314"/>
      <c r="R894" s="314"/>
      <c r="S894" s="314"/>
      <c r="T894" s="324"/>
      <c r="U894" s="155"/>
      <c r="V894" s="155"/>
      <c r="W894" s="322"/>
      <c r="X894" s="132"/>
      <c r="Y894" s="132"/>
    </row>
    <row r="895">
      <c r="A895" s="311"/>
      <c r="B895" s="312"/>
      <c r="C895" s="313"/>
      <c r="D895" s="313"/>
      <c r="E895" s="314"/>
      <c r="F895" s="315"/>
      <c r="G895" s="316"/>
      <c r="H895" s="317"/>
      <c r="I895" s="318"/>
      <c r="J895" s="319"/>
      <c r="K895" s="314"/>
      <c r="L895" s="314"/>
      <c r="M895" s="314"/>
      <c r="N895" s="314"/>
      <c r="O895" s="318"/>
      <c r="P895" s="314"/>
      <c r="Q895" s="314"/>
      <c r="R895" s="314"/>
      <c r="S895" s="314"/>
      <c r="T895" s="324"/>
      <c r="U895" s="155"/>
      <c r="V895" s="155"/>
      <c r="W895" s="322"/>
      <c r="X895" s="132"/>
      <c r="Y895" s="132"/>
    </row>
    <row r="896">
      <c r="A896" s="311"/>
      <c r="B896" s="312"/>
      <c r="C896" s="313"/>
      <c r="D896" s="313"/>
      <c r="E896" s="314"/>
      <c r="F896" s="315"/>
      <c r="G896" s="316"/>
      <c r="H896" s="317"/>
      <c r="I896" s="318"/>
      <c r="J896" s="319"/>
      <c r="K896" s="314"/>
      <c r="L896" s="314"/>
      <c r="M896" s="314"/>
      <c r="N896" s="314"/>
      <c r="O896" s="318"/>
      <c r="P896" s="314"/>
      <c r="Q896" s="314"/>
      <c r="R896" s="314"/>
      <c r="S896" s="314"/>
      <c r="T896" s="324"/>
      <c r="U896" s="155"/>
      <c r="V896" s="155"/>
      <c r="W896" s="322"/>
      <c r="X896" s="132"/>
      <c r="Y896" s="132"/>
    </row>
    <row r="897">
      <c r="A897" s="311"/>
      <c r="B897" s="312"/>
      <c r="C897" s="313"/>
      <c r="D897" s="313"/>
      <c r="E897" s="314"/>
      <c r="F897" s="315"/>
      <c r="G897" s="316"/>
      <c r="H897" s="317"/>
      <c r="I897" s="318"/>
      <c r="J897" s="319"/>
      <c r="K897" s="314"/>
      <c r="L897" s="314"/>
      <c r="M897" s="314"/>
      <c r="N897" s="314"/>
      <c r="O897" s="318"/>
      <c r="P897" s="314"/>
      <c r="Q897" s="314"/>
      <c r="R897" s="314"/>
      <c r="S897" s="314"/>
      <c r="T897" s="324"/>
      <c r="U897" s="155"/>
      <c r="V897" s="155"/>
      <c r="W897" s="322"/>
      <c r="X897" s="132"/>
      <c r="Y897" s="132"/>
    </row>
    <row r="898">
      <c r="A898" s="311"/>
      <c r="B898" s="312"/>
      <c r="C898" s="313"/>
      <c r="D898" s="313"/>
      <c r="E898" s="314"/>
      <c r="F898" s="315"/>
      <c r="G898" s="316"/>
      <c r="H898" s="317"/>
      <c r="I898" s="318"/>
      <c r="J898" s="319"/>
      <c r="K898" s="314"/>
      <c r="L898" s="314"/>
      <c r="M898" s="314"/>
      <c r="N898" s="314"/>
      <c r="O898" s="318"/>
      <c r="P898" s="314"/>
      <c r="Q898" s="314"/>
      <c r="R898" s="314"/>
      <c r="S898" s="314"/>
      <c r="T898" s="324"/>
      <c r="U898" s="155"/>
      <c r="V898" s="155"/>
      <c r="W898" s="322"/>
      <c r="X898" s="132"/>
      <c r="Y898" s="132"/>
    </row>
    <row r="899">
      <c r="A899" s="311"/>
      <c r="B899" s="312"/>
      <c r="C899" s="313"/>
      <c r="D899" s="313"/>
      <c r="E899" s="314"/>
      <c r="F899" s="315"/>
      <c r="G899" s="316"/>
      <c r="H899" s="317"/>
      <c r="I899" s="318"/>
      <c r="J899" s="319"/>
      <c r="K899" s="314"/>
      <c r="L899" s="314"/>
      <c r="M899" s="314"/>
      <c r="N899" s="314"/>
      <c r="O899" s="318"/>
      <c r="P899" s="314"/>
      <c r="Q899" s="314"/>
      <c r="R899" s="314"/>
      <c r="S899" s="314"/>
      <c r="T899" s="324"/>
      <c r="U899" s="155"/>
      <c r="V899" s="155"/>
      <c r="W899" s="322"/>
      <c r="X899" s="132"/>
      <c r="Y899" s="132"/>
    </row>
    <row r="900">
      <c r="A900" s="311"/>
      <c r="B900" s="312"/>
      <c r="C900" s="313"/>
      <c r="D900" s="313"/>
      <c r="E900" s="314"/>
      <c r="F900" s="315"/>
      <c r="G900" s="316"/>
      <c r="H900" s="317"/>
      <c r="I900" s="318"/>
      <c r="J900" s="319"/>
      <c r="K900" s="314"/>
      <c r="L900" s="314"/>
      <c r="M900" s="314"/>
      <c r="N900" s="314"/>
      <c r="O900" s="318"/>
      <c r="P900" s="314"/>
      <c r="Q900" s="314"/>
      <c r="R900" s="314"/>
      <c r="S900" s="314"/>
      <c r="T900" s="324"/>
      <c r="U900" s="155"/>
      <c r="V900" s="155"/>
      <c r="W900" s="322"/>
      <c r="X900" s="132"/>
      <c r="Y900" s="132"/>
    </row>
    <row r="901">
      <c r="A901" s="311"/>
      <c r="B901" s="312"/>
      <c r="C901" s="313"/>
      <c r="D901" s="313"/>
      <c r="E901" s="314"/>
      <c r="F901" s="315"/>
      <c r="G901" s="316"/>
      <c r="H901" s="317"/>
      <c r="I901" s="318"/>
      <c r="J901" s="319"/>
      <c r="K901" s="314"/>
      <c r="L901" s="314"/>
      <c r="M901" s="314"/>
      <c r="N901" s="314"/>
      <c r="O901" s="318"/>
      <c r="P901" s="314"/>
      <c r="Q901" s="314"/>
      <c r="R901" s="314"/>
      <c r="S901" s="314"/>
      <c r="T901" s="324"/>
      <c r="U901" s="155"/>
      <c r="V901" s="155"/>
      <c r="W901" s="322"/>
      <c r="X901" s="132"/>
      <c r="Y901" s="132"/>
    </row>
    <row r="902">
      <c r="A902" s="311"/>
      <c r="B902" s="312"/>
      <c r="C902" s="313"/>
      <c r="D902" s="313"/>
      <c r="E902" s="314"/>
      <c r="F902" s="315"/>
      <c r="G902" s="316"/>
      <c r="H902" s="317"/>
      <c r="I902" s="318"/>
      <c r="J902" s="319"/>
      <c r="K902" s="314"/>
      <c r="L902" s="314"/>
      <c r="M902" s="314"/>
      <c r="N902" s="314"/>
      <c r="O902" s="318"/>
      <c r="P902" s="314"/>
      <c r="Q902" s="314"/>
      <c r="R902" s="314"/>
      <c r="S902" s="314"/>
      <c r="T902" s="324"/>
      <c r="U902" s="155"/>
      <c r="V902" s="155"/>
      <c r="W902" s="322"/>
      <c r="X902" s="132"/>
      <c r="Y902" s="132"/>
    </row>
    <row r="903">
      <c r="A903" s="311"/>
      <c r="B903" s="312"/>
      <c r="C903" s="313"/>
      <c r="D903" s="313"/>
      <c r="E903" s="314"/>
      <c r="F903" s="315"/>
      <c r="G903" s="316"/>
      <c r="H903" s="317"/>
      <c r="I903" s="318"/>
      <c r="J903" s="319"/>
      <c r="K903" s="314"/>
      <c r="L903" s="314"/>
      <c r="M903" s="314"/>
      <c r="N903" s="314"/>
      <c r="O903" s="318"/>
      <c r="P903" s="314"/>
      <c r="Q903" s="314"/>
      <c r="R903" s="314"/>
      <c r="S903" s="314"/>
      <c r="T903" s="324"/>
      <c r="U903" s="155"/>
      <c r="V903" s="155"/>
      <c r="W903" s="322"/>
      <c r="X903" s="132"/>
      <c r="Y903" s="132"/>
    </row>
    <row r="904">
      <c r="A904" s="311"/>
      <c r="B904" s="312"/>
      <c r="C904" s="313"/>
      <c r="D904" s="313"/>
      <c r="E904" s="314"/>
      <c r="F904" s="315"/>
      <c r="G904" s="316"/>
      <c r="H904" s="317"/>
      <c r="I904" s="318"/>
      <c r="J904" s="319"/>
      <c r="K904" s="314"/>
      <c r="L904" s="314"/>
      <c r="M904" s="314"/>
      <c r="N904" s="314"/>
      <c r="O904" s="318"/>
      <c r="P904" s="314"/>
      <c r="Q904" s="314"/>
      <c r="R904" s="314"/>
      <c r="S904" s="314"/>
      <c r="T904" s="324"/>
      <c r="U904" s="155"/>
      <c r="V904" s="155"/>
      <c r="W904" s="322"/>
      <c r="X904" s="132"/>
      <c r="Y904" s="132"/>
    </row>
    <row r="905">
      <c r="A905" s="311"/>
      <c r="B905" s="312"/>
      <c r="C905" s="313"/>
      <c r="D905" s="313"/>
      <c r="E905" s="314"/>
      <c r="F905" s="315"/>
      <c r="G905" s="316"/>
      <c r="H905" s="317"/>
      <c r="I905" s="318"/>
      <c r="J905" s="319"/>
      <c r="K905" s="314"/>
      <c r="L905" s="314"/>
      <c r="M905" s="314"/>
      <c r="N905" s="314"/>
      <c r="O905" s="318"/>
      <c r="P905" s="314"/>
      <c r="Q905" s="314"/>
      <c r="R905" s="314"/>
      <c r="S905" s="314"/>
      <c r="T905" s="324"/>
      <c r="U905" s="155"/>
      <c r="V905" s="155"/>
      <c r="W905" s="322"/>
      <c r="X905" s="132"/>
      <c r="Y905" s="132"/>
    </row>
    <row r="906">
      <c r="A906" s="311"/>
      <c r="B906" s="312"/>
      <c r="C906" s="313"/>
      <c r="D906" s="313"/>
      <c r="E906" s="314"/>
      <c r="F906" s="315"/>
      <c r="G906" s="316"/>
      <c r="H906" s="317"/>
      <c r="I906" s="318"/>
      <c r="J906" s="319"/>
      <c r="K906" s="314"/>
      <c r="L906" s="314"/>
      <c r="M906" s="314"/>
      <c r="N906" s="314"/>
      <c r="O906" s="318"/>
      <c r="P906" s="314"/>
      <c r="Q906" s="314"/>
      <c r="R906" s="314"/>
      <c r="S906" s="314"/>
      <c r="T906" s="324"/>
      <c r="U906" s="155"/>
      <c r="V906" s="155"/>
      <c r="W906" s="322"/>
      <c r="X906" s="132"/>
      <c r="Y906" s="132"/>
    </row>
    <row r="907">
      <c r="A907" s="311"/>
      <c r="B907" s="312"/>
      <c r="C907" s="313"/>
      <c r="D907" s="313"/>
      <c r="E907" s="314"/>
      <c r="F907" s="315"/>
      <c r="G907" s="316"/>
      <c r="H907" s="317"/>
      <c r="I907" s="318"/>
      <c r="J907" s="319"/>
      <c r="K907" s="314"/>
      <c r="L907" s="314"/>
      <c r="M907" s="314"/>
      <c r="N907" s="314"/>
      <c r="O907" s="318"/>
      <c r="P907" s="314"/>
      <c r="Q907" s="314"/>
      <c r="R907" s="314"/>
      <c r="S907" s="314"/>
      <c r="T907" s="324"/>
      <c r="U907" s="155"/>
      <c r="V907" s="155"/>
      <c r="W907" s="322"/>
      <c r="X907" s="132"/>
      <c r="Y907" s="132"/>
    </row>
    <row r="908">
      <c r="A908" s="311"/>
      <c r="B908" s="312"/>
      <c r="C908" s="313"/>
      <c r="D908" s="313"/>
      <c r="E908" s="314"/>
      <c r="F908" s="315"/>
      <c r="G908" s="316"/>
      <c r="H908" s="317"/>
      <c r="I908" s="318"/>
      <c r="J908" s="319"/>
      <c r="K908" s="314"/>
      <c r="L908" s="314"/>
      <c r="M908" s="314"/>
      <c r="N908" s="314"/>
      <c r="O908" s="318"/>
      <c r="P908" s="314"/>
      <c r="Q908" s="314"/>
      <c r="R908" s="314"/>
      <c r="S908" s="314"/>
      <c r="T908" s="324"/>
      <c r="U908" s="155"/>
      <c r="V908" s="155"/>
      <c r="W908" s="322"/>
      <c r="X908" s="132"/>
      <c r="Y908" s="132"/>
    </row>
    <row r="909">
      <c r="A909" s="311"/>
      <c r="B909" s="312"/>
      <c r="C909" s="313"/>
      <c r="D909" s="313"/>
      <c r="E909" s="314"/>
      <c r="F909" s="315"/>
      <c r="G909" s="316"/>
      <c r="H909" s="317"/>
      <c r="I909" s="318"/>
      <c r="J909" s="319"/>
      <c r="K909" s="314"/>
      <c r="L909" s="314"/>
      <c r="M909" s="314"/>
      <c r="N909" s="314"/>
      <c r="O909" s="318"/>
      <c r="P909" s="314"/>
      <c r="Q909" s="314"/>
      <c r="R909" s="314"/>
      <c r="S909" s="314"/>
      <c r="T909" s="324"/>
      <c r="U909" s="155"/>
      <c r="V909" s="155"/>
      <c r="W909" s="322"/>
      <c r="X909" s="132"/>
      <c r="Y909" s="132"/>
    </row>
    <row r="910">
      <c r="A910" s="311"/>
      <c r="B910" s="312"/>
      <c r="C910" s="313"/>
      <c r="D910" s="313"/>
      <c r="E910" s="314"/>
      <c r="F910" s="315"/>
      <c r="G910" s="316"/>
      <c r="H910" s="317"/>
      <c r="I910" s="318"/>
      <c r="J910" s="319"/>
      <c r="K910" s="314"/>
      <c r="L910" s="314"/>
      <c r="M910" s="314"/>
      <c r="N910" s="314"/>
      <c r="O910" s="318"/>
      <c r="P910" s="314"/>
      <c r="Q910" s="314"/>
      <c r="R910" s="314"/>
      <c r="S910" s="314"/>
      <c r="T910" s="324"/>
      <c r="U910" s="155"/>
      <c r="V910" s="155"/>
      <c r="W910" s="322"/>
      <c r="X910" s="132"/>
      <c r="Y910" s="132"/>
    </row>
    <row r="911">
      <c r="A911" s="311"/>
      <c r="B911" s="312"/>
      <c r="C911" s="313"/>
      <c r="D911" s="313"/>
      <c r="E911" s="314"/>
      <c r="F911" s="315"/>
      <c r="G911" s="316"/>
      <c r="H911" s="317"/>
      <c r="I911" s="318"/>
      <c r="J911" s="319"/>
      <c r="K911" s="314"/>
      <c r="L911" s="314"/>
      <c r="M911" s="314"/>
      <c r="N911" s="314"/>
      <c r="O911" s="318"/>
      <c r="P911" s="314"/>
      <c r="Q911" s="314"/>
      <c r="R911" s="314"/>
      <c r="S911" s="314"/>
      <c r="T911" s="324"/>
      <c r="U911" s="155"/>
      <c r="V911" s="155"/>
      <c r="W911" s="322"/>
      <c r="X911" s="132"/>
      <c r="Y911" s="132"/>
    </row>
    <row r="912">
      <c r="A912" s="311"/>
      <c r="B912" s="312"/>
      <c r="C912" s="313"/>
      <c r="D912" s="313"/>
      <c r="E912" s="314"/>
      <c r="F912" s="315"/>
      <c r="G912" s="316"/>
      <c r="H912" s="317"/>
      <c r="I912" s="318"/>
      <c r="J912" s="319"/>
      <c r="K912" s="314"/>
      <c r="L912" s="314"/>
      <c r="M912" s="314"/>
      <c r="N912" s="314"/>
      <c r="O912" s="318"/>
      <c r="P912" s="314"/>
      <c r="Q912" s="314"/>
      <c r="R912" s="314"/>
      <c r="S912" s="314"/>
      <c r="T912" s="324"/>
      <c r="U912" s="155"/>
      <c r="V912" s="155"/>
      <c r="W912" s="322"/>
      <c r="X912" s="132"/>
      <c r="Y912" s="132"/>
    </row>
    <row r="913">
      <c r="A913" s="311"/>
      <c r="B913" s="312"/>
      <c r="C913" s="313"/>
      <c r="D913" s="313"/>
      <c r="E913" s="314"/>
      <c r="F913" s="315"/>
      <c r="G913" s="316"/>
      <c r="H913" s="317"/>
      <c r="I913" s="318"/>
      <c r="J913" s="319"/>
      <c r="K913" s="314"/>
      <c r="L913" s="314"/>
      <c r="M913" s="314"/>
      <c r="N913" s="314"/>
      <c r="O913" s="318"/>
      <c r="P913" s="314"/>
      <c r="Q913" s="314"/>
      <c r="R913" s="314"/>
      <c r="S913" s="314"/>
      <c r="T913" s="324"/>
      <c r="U913" s="155"/>
      <c r="V913" s="155"/>
      <c r="W913" s="322"/>
      <c r="X913" s="132"/>
      <c r="Y913" s="132"/>
    </row>
    <row r="914">
      <c r="A914" s="311"/>
      <c r="B914" s="312"/>
      <c r="C914" s="313"/>
      <c r="D914" s="313"/>
      <c r="E914" s="314"/>
      <c r="F914" s="315"/>
      <c r="G914" s="316"/>
      <c r="H914" s="317"/>
      <c r="I914" s="318"/>
      <c r="J914" s="319"/>
      <c r="K914" s="314"/>
      <c r="L914" s="314"/>
      <c r="M914" s="314"/>
      <c r="N914" s="314"/>
      <c r="O914" s="318"/>
      <c r="P914" s="314"/>
      <c r="Q914" s="314"/>
      <c r="R914" s="314"/>
      <c r="S914" s="314"/>
      <c r="T914" s="324"/>
      <c r="U914" s="155"/>
      <c r="V914" s="155"/>
      <c r="W914" s="322"/>
      <c r="X914" s="132"/>
      <c r="Y914" s="132"/>
    </row>
    <row r="915">
      <c r="A915" s="311"/>
      <c r="B915" s="312"/>
      <c r="C915" s="313"/>
      <c r="D915" s="313"/>
      <c r="E915" s="314"/>
      <c r="F915" s="315"/>
      <c r="G915" s="316"/>
      <c r="H915" s="317"/>
      <c r="I915" s="318"/>
      <c r="J915" s="319"/>
      <c r="K915" s="314"/>
      <c r="L915" s="314"/>
      <c r="M915" s="314"/>
      <c r="N915" s="314"/>
      <c r="O915" s="318"/>
      <c r="P915" s="314"/>
      <c r="Q915" s="314"/>
      <c r="R915" s="314"/>
      <c r="S915" s="314"/>
      <c r="T915" s="324"/>
      <c r="U915" s="155"/>
      <c r="V915" s="155"/>
      <c r="W915" s="322"/>
      <c r="X915" s="132"/>
      <c r="Y915" s="132"/>
    </row>
    <row r="916">
      <c r="A916" s="311"/>
      <c r="B916" s="312"/>
      <c r="C916" s="313"/>
      <c r="D916" s="313"/>
      <c r="E916" s="314"/>
      <c r="F916" s="315"/>
      <c r="G916" s="316"/>
      <c r="H916" s="317"/>
      <c r="I916" s="318"/>
      <c r="J916" s="319"/>
      <c r="K916" s="314"/>
      <c r="L916" s="314"/>
      <c r="M916" s="314"/>
      <c r="N916" s="314"/>
      <c r="O916" s="318"/>
      <c r="P916" s="314"/>
      <c r="Q916" s="314"/>
      <c r="R916" s="314"/>
      <c r="S916" s="314"/>
      <c r="T916" s="324"/>
      <c r="U916" s="155"/>
      <c r="V916" s="155"/>
      <c r="W916" s="322"/>
      <c r="X916" s="132"/>
      <c r="Y916" s="132"/>
    </row>
    <row r="917">
      <c r="A917" s="311"/>
      <c r="B917" s="312"/>
      <c r="C917" s="313"/>
      <c r="D917" s="313"/>
      <c r="E917" s="314"/>
      <c r="F917" s="315"/>
      <c r="G917" s="316"/>
      <c r="H917" s="317"/>
      <c r="I917" s="318"/>
      <c r="J917" s="319"/>
      <c r="K917" s="314"/>
      <c r="L917" s="314"/>
      <c r="M917" s="314"/>
      <c r="N917" s="314"/>
      <c r="O917" s="318"/>
      <c r="P917" s="314"/>
      <c r="Q917" s="314"/>
      <c r="R917" s="314"/>
      <c r="S917" s="314"/>
      <c r="T917" s="324"/>
      <c r="U917" s="155"/>
      <c r="V917" s="155"/>
      <c r="W917" s="322"/>
      <c r="X917" s="132"/>
      <c r="Y917" s="132"/>
    </row>
    <row r="918">
      <c r="A918" s="311"/>
      <c r="B918" s="312"/>
      <c r="C918" s="313"/>
      <c r="D918" s="313"/>
      <c r="E918" s="314"/>
      <c r="F918" s="315"/>
      <c r="G918" s="316"/>
      <c r="H918" s="317"/>
      <c r="I918" s="318"/>
      <c r="J918" s="319"/>
      <c r="K918" s="314"/>
      <c r="L918" s="314"/>
      <c r="M918" s="314"/>
      <c r="N918" s="314"/>
      <c r="O918" s="318"/>
      <c r="P918" s="314"/>
      <c r="Q918" s="314"/>
      <c r="R918" s="314"/>
      <c r="S918" s="314"/>
      <c r="T918" s="324"/>
      <c r="U918" s="155"/>
      <c r="V918" s="155"/>
      <c r="W918" s="322"/>
      <c r="X918" s="132"/>
      <c r="Y918" s="132"/>
    </row>
    <row r="919">
      <c r="A919" s="311"/>
      <c r="B919" s="312"/>
      <c r="C919" s="313"/>
      <c r="D919" s="313"/>
      <c r="E919" s="314"/>
      <c r="F919" s="315"/>
      <c r="G919" s="316"/>
      <c r="H919" s="317"/>
      <c r="I919" s="318"/>
      <c r="J919" s="319"/>
      <c r="K919" s="314"/>
      <c r="L919" s="314"/>
      <c r="M919" s="314"/>
      <c r="N919" s="314"/>
      <c r="O919" s="318"/>
      <c r="P919" s="314"/>
      <c r="Q919" s="314"/>
      <c r="R919" s="314"/>
      <c r="S919" s="314"/>
      <c r="T919" s="324"/>
      <c r="U919" s="155"/>
      <c r="V919" s="155"/>
      <c r="W919" s="322"/>
      <c r="X919" s="132"/>
      <c r="Y919" s="132"/>
    </row>
    <row r="920">
      <c r="A920" s="311"/>
      <c r="B920" s="312"/>
      <c r="C920" s="313"/>
      <c r="D920" s="313"/>
      <c r="E920" s="314"/>
      <c r="F920" s="315"/>
      <c r="G920" s="316"/>
      <c r="H920" s="317"/>
      <c r="I920" s="318"/>
      <c r="J920" s="319"/>
      <c r="K920" s="314"/>
      <c r="L920" s="314"/>
      <c r="M920" s="314"/>
      <c r="N920" s="314"/>
      <c r="O920" s="318"/>
      <c r="P920" s="314"/>
      <c r="Q920" s="314"/>
      <c r="R920" s="314"/>
      <c r="S920" s="314"/>
      <c r="T920" s="324"/>
      <c r="U920" s="155"/>
      <c r="V920" s="155"/>
      <c r="W920" s="322"/>
      <c r="X920" s="132"/>
      <c r="Y920" s="132"/>
    </row>
    <row r="921">
      <c r="A921" s="311"/>
      <c r="B921" s="312"/>
      <c r="C921" s="313"/>
      <c r="D921" s="313"/>
      <c r="E921" s="314"/>
      <c r="F921" s="315"/>
      <c r="G921" s="316"/>
      <c r="H921" s="317"/>
      <c r="I921" s="318"/>
      <c r="J921" s="319"/>
      <c r="K921" s="314"/>
      <c r="L921" s="314"/>
      <c r="M921" s="314"/>
      <c r="N921" s="314"/>
      <c r="O921" s="318"/>
      <c r="P921" s="314"/>
      <c r="Q921" s="314"/>
      <c r="R921" s="314"/>
      <c r="S921" s="314"/>
      <c r="T921" s="324"/>
      <c r="U921" s="155"/>
      <c r="V921" s="155"/>
      <c r="W921" s="322"/>
      <c r="X921" s="132"/>
      <c r="Y921" s="132"/>
    </row>
    <row r="922">
      <c r="A922" s="311"/>
      <c r="B922" s="312"/>
      <c r="C922" s="313"/>
      <c r="D922" s="313"/>
      <c r="E922" s="314"/>
      <c r="F922" s="315"/>
      <c r="G922" s="316"/>
      <c r="H922" s="317"/>
      <c r="I922" s="318"/>
      <c r="J922" s="319"/>
      <c r="K922" s="314"/>
      <c r="L922" s="314"/>
      <c r="M922" s="314"/>
      <c r="N922" s="314"/>
      <c r="O922" s="318"/>
      <c r="P922" s="314"/>
      <c r="Q922" s="314"/>
      <c r="R922" s="314"/>
      <c r="S922" s="314"/>
      <c r="T922" s="324"/>
      <c r="U922" s="155"/>
      <c r="V922" s="155"/>
      <c r="W922" s="322"/>
      <c r="X922" s="132"/>
      <c r="Y922" s="132"/>
    </row>
    <row r="923">
      <c r="A923" s="311"/>
      <c r="B923" s="312"/>
      <c r="C923" s="313"/>
      <c r="D923" s="313"/>
      <c r="E923" s="314"/>
      <c r="F923" s="315"/>
      <c r="G923" s="316"/>
      <c r="H923" s="317"/>
      <c r="I923" s="318"/>
      <c r="J923" s="319"/>
      <c r="K923" s="314"/>
      <c r="L923" s="314"/>
      <c r="M923" s="314"/>
      <c r="N923" s="314"/>
      <c r="O923" s="318"/>
      <c r="P923" s="314"/>
      <c r="Q923" s="314"/>
      <c r="R923" s="314"/>
      <c r="S923" s="314"/>
      <c r="T923" s="324"/>
      <c r="U923" s="155"/>
      <c r="V923" s="155"/>
      <c r="W923" s="322"/>
      <c r="X923" s="132"/>
      <c r="Y923" s="132"/>
    </row>
    <row r="924">
      <c r="A924" s="311"/>
      <c r="B924" s="312"/>
      <c r="C924" s="313"/>
      <c r="D924" s="313"/>
      <c r="E924" s="314"/>
      <c r="F924" s="315"/>
      <c r="G924" s="316"/>
      <c r="H924" s="317"/>
      <c r="I924" s="318"/>
      <c r="J924" s="319"/>
      <c r="K924" s="314"/>
      <c r="L924" s="314"/>
      <c r="M924" s="314"/>
      <c r="N924" s="314"/>
      <c r="O924" s="318"/>
      <c r="P924" s="314"/>
      <c r="Q924" s="314"/>
      <c r="R924" s="314"/>
      <c r="S924" s="314"/>
      <c r="T924" s="324"/>
      <c r="U924" s="155"/>
      <c r="V924" s="155"/>
      <c r="W924" s="322"/>
      <c r="X924" s="132"/>
      <c r="Y924" s="132"/>
    </row>
    <row r="925">
      <c r="A925" s="311"/>
      <c r="B925" s="312"/>
      <c r="C925" s="313"/>
      <c r="D925" s="313"/>
      <c r="E925" s="314"/>
      <c r="F925" s="315"/>
      <c r="G925" s="316"/>
      <c r="H925" s="317"/>
      <c r="I925" s="318"/>
      <c r="J925" s="319"/>
      <c r="K925" s="314"/>
      <c r="L925" s="314"/>
      <c r="M925" s="314"/>
      <c r="N925" s="314"/>
      <c r="O925" s="318"/>
      <c r="P925" s="314"/>
      <c r="Q925" s="314"/>
      <c r="R925" s="314"/>
      <c r="S925" s="314"/>
      <c r="T925" s="324"/>
      <c r="U925" s="155"/>
      <c r="V925" s="155"/>
      <c r="W925" s="322"/>
      <c r="X925" s="132"/>
      <c r="Y925" s="132"/>
    </row>
    <row r="926">
      <c r="A926" s="311"/>
      <c r="B926" s="312"/>
      <c r="C926" s="313"/>
      <c r="D926" s="313"/>
      <c r="E926" s="314"/>
      <c r="F926" s="315"/>
      <c r="G926" s="316"/>
      <c r="H926" s="317"/>
      <c r="I926" s="318"/>
      <c r="J926" s="319"/>
      <c r="K926" s="314"/>
      <c r="L926" s="314"/>
      <c r="M926" s="314"/>
      <c r="N926" s="314"/>
      <c r="O926" s="318"/>
      <c r="P926" s="314"/>
      <c r="Q926" s="314"/>
      <c r="R926" s="314"/>
      <c r="S926" s="314"/>
      <c r="T926" s="324"/>
      <c r="U926" s="155"/>
      <c r="V926" s="155"/>
      <c r="W926" s="322"/>
      <c r="X926" s="132"/>
      <c r="Y926" s="132"/>
    </row>
    <row r="927">
      <c r="A927" s="311"/>
      <c r="B927" s="312"/>
      <c r="C927" s="313"/>
      <c r="D927" s="313"/>
      <c r="E927" s="314"/>
      <c r="F927" s="315"/>
      <c r="G927" s="316"/>
      <c r="H927" s="317"/>
      <c r="I927" s="318"/>
      <c r="J927" s="319"/>
      <c r="K927" s="314"/>
      <c r="L927" s="314"/>
      <c r="M927" s="314"/>
      <c r="N927" s="314"/>
      <c r="O927" s="318"/>
      <c r="P927" s="314"/>
      <c r="Q927" s="314"/>
      <c r="R927" s="314"/>
      <c r="S927" s="314"/>
      <c r="T927" s="324"/>
      <c r="U927" s="155"/>
      <c r="V927" s="155"/>
      <c r="W927" s="322"/>
      <c r="X927" s="132"/>
      <c r="Y927" s="132"/>
    </row>
    <row r="928">
      <c r="A928" s="311"/>
      <c r="B928" s="312"/>
      <c r="C928" s="313"/>
      <c r="D928" s="313"/>
      <c r="E928" s="314"/>
      <c r="F928" s="315"/>
      <c r="G928" s="316"/>
      <c r="H928" s="317"/>
      <c r="I928" s="318"/>
      <c r="J928" s="319"/>
      <c r="K928" s="314"/>
      <c r="L928" s="314"/>
      <c r="M928" s="314"/>
      <c r="N928" s="314"/>
      <c r="O928" s="318"/>
      <c r="P928" s="314"/>
      <c r="Q928" s="314"/>
      <c r="R928" s="314"/>
      <c r="S928" s="314"/>
      <c r="T928" s="324"/>
      <c r="U928" s="155"/>
      <c r="V928" s="155"/>
      <c r="W928" s="322"/>
      <c r="X928" s="132"/>
      <c r="Y928" s="132"/>
    </row>
    <row r="929">
      <c r="A929" s="311"/>
      <c r="B929" s="312"/>
      <c r="C929" s="313"/>
      <c r="D929" s="313"/>
      <c r="E929" s="314"/>
      <c r="F929" s="315"/>
      <c r="G929" s="316"/>
      <c r="H929" s="317"/>
      <c r="I929" s="318"/>
      <c r="J929" s="319"/>
      <c r="K929" s="314"/>
      <c r="L929" s="314"/>
      <c r="M929" s="314"/>
      <c r="N929" s="314"/>
      <c r="O929" s="318"/>
      <c r="P929" s="314"/>
      <c r="Q929" s="314"/>
      <c r="R929" s="314"/>
      <c r="S929" s="314"/>
      <c r="T929" s="324"/>
      <c r="U929" s="155"/>
      <c r="V929" s="155"/>
      <c r="W929" s="322"/>
      <c r="X929" s="132"/>
      <c r="Y929" s="132"/>
    </row>
    <row r="930">
      <c r="A930" s="311"/>
      <c r="B930" s="312"/>
      <c r="C930" s="313"/>
      <c r="D930" s="313"/>
      <c r="E930" s="314"/>
      <c r="F930" s="315"/>
      <c r="G930" s="316"/>
      <c r="H930" s="317"/>
      <c r="I930" s="318"/>
      <c r="J930" s="319"/>
      <c r="K930" s="314"/>
      <c r="L930" s="314"/>
      <c r="M930" s="314"/>
      <c r="N930" s="314"/>
      <c r="O930" s="318"/>
      <c r="P930" s="314"/>
      <c r="Q930" s="314"/>
      <c r="R930" s="314"/>
      <c r="S930" s="314"/>
      <c r="T930" s="324"/>
      <c r="U930" s="155"/>
      <c r="V930" s="155"/>
      <c r="W930" s="322"/>
      <c r="X930" s="132"/>
      <c r="Y930" s="132"/>
    </row>
    <row r="931">
      <c r="A931" s="311"/>
      <c r="B931" s="312"/>
      <c r="C931" s="313"/>
      <c r="D931" s="313"/>
      <c r="E931" s="314"/>
      <c r="F931" s="315"/>
      <c r="G931" s="316"/>
      <c r="H931" s="317"/>
      <c r="I931" s="318"/>
      <c r="J931" s="319"/>
      <c r="K931" s="314"/>
      <c r="L931" s="314"/>
      <c r="M931" s="314"/>
      <c r="N931" s="314"/>
      <c r="O931" s="318"/>
      <c r="P931" s="314"/>
      <c r="Q931" s="314"/>
      <c r="R931" s="314"/>
      <c r="S931" s="314"/>
      <c r="T931" s="324"/>
      <c r="U931" s="155"/>
      <c r="V931" s="155"/>
      <c r="W931" s="322"/>
      <c r="X931" s="132"/>
      <c r="Y931" s="132"/>
    </row>
    <row r="932">
      <c r="A932" s="311"/>
      <c r="B932" s="312"/>
      <c r="C932" s="313"/>
      <c r="D932" s="313"/>
      <c r="E932" s="314"/>
      <c r="F932" s="315"/>
      <c r="G932" s="316"/>
      <c r="H932" s="317"/>
      <c r="I932" s="318"/>
      <c r="J932" s="319"/>
      <c r="K932" s="314"/>
      <c r="L932" s="314"/>
      <c r="M932" s="314"/>
      <c r="N932" s="314"/>
      <c r="O932" s="318"/>
      <c r="P932" s="314"/>
      <c r="Q932" s="314"/>
      <c r="R932" s="314"/>
      <c r="S932" s="314"/>
      <c r="T932" s="324"/>
      <c r="U932" s="155"/>
      <c r="V932" s="155"/>
      <c r="W932" s="322"/>
      <c r="X932" s="132"/>
      <c r="Y932" s="132"/>
    </row>
    <row r="933">
      <c r="A933" s="311"/>
      <c r="B933" s="312"/>
      <c r="C933" s="313"/>
      <c r="D933" s="313"/>
      <c r="E933" s="314"/>
      <c r="F933" s="315"/>
      <c r="G933" s="316"/>
      <c r="H933" s="317"/>
      <c r="I933" s="318"/>
      <c r="J933" s="319"/>
      <c r="K933" s="314"/>
      <c r="L933" s="314"/>
      <c r="M933" s="314"/>
      <c r="N933" s="314"/>
      <c r="O933" s="318"/>
      <c r="P933" s="314"/>
      <c r="Q933" s="314"/>
      <c r="R933" s="314"/>
      <c r="S933" s="314"/>
      <c r="T933" s="324"/>
      <c r="U933" s="155"/>
      <c r="V933" s="155"/>
      <c r="W933" s="322"/>
      <c r="X933" s="132"/>
      <c r="Y933" s="132"/>
    </row>
    <row r="934">
      <c r="A934" s="311"/>
      <c r="B934" s="312"/>
      <c r="C934" s="313"/>
      <c r="D934" s="313"/>
      <c r="E934" s="314"/>
      <c r="F934" s="315"/>
      <c r="G934" s="316"/>
      <c r="H934" s="317"/>
      <c r="I934" s="318"/>
      <c r="J934" s="319"/>
      <c r="K934" s="314"/>
      <c r="L934" s="314"/>
      <c r="M934" s="314"/>
      <c r="N934" s="314"/>
      <c r="O934" s="318"/>
      <c r="P934" s="314"/>
      <c r="Q934" s="314"/>
      <c r="R934" s="314"/>
      <c r="S934" s="314"/>
      <c r="T934" s="324"/>
      <c r="U934" s="155"/>
      <c r="V934" s="155"/>
      <c r="W934" s="322"/>
      <c r="X934" s="132"/>
      <c r="Y934" s="132"/>
    </row>
    <row r="935">
      <c r="A935" s="311"/>
      <c r="B935" s="312"/>
      <c r="C935" s="313"/>
      <c r="D935" s="313"/>
      <c r="E935" s="314"/>
      <c r="F935" s="315"/>
      <c r="G935" s="316"/>
      <c r="H935" s="317"/>
      <c r="I935" s="318"/>
      <c r="J935" s="319"/>
      <c r="K935" s="314"/>
      <c r="L935" s="314"/>
      <c r="M935" s="314"/>
      <c r="N935" s="314"/>
      <c r="O935" s="318"/>
      <c r="P935" s="314"/>
      <c r="Q935" s="314"/>
      <c r="R935" s="314"/>
      <c r="S935" s="314"/>
      <c r="T935" s="324"/>
      <c r="U935" s="155"/>
      <c r="V935" s="155"/>
      <c r="W935" s="322"/>
      <c r="X935" s="132"/>
      <c r="Y935" s="132"/>
    </row>
    <row r="936">
      <c r="A936" s="311"/>
      <c r="B936" s="312"/>
      <c r="C936" s="313"/>
      <c r="D936" s="313"/>
      <c r="E936" s="314"/>
      <c r="F936" s="315"/>
      <c r="G936" s="316"/>
      <c r="H936" s="317"/>
      <c r="I936" s="318"/>
      <c r="J936" s="319"/>
      <c r="K936" s="314"/>
      <c r="L936" s="314"/>
      <c r="M936" s="314"/>
      <c r="N936" s="314"/>
      <c r="O936" s="318"/>
      <c r="P936" s="314"/>
      <c r="Q936" s="314"/>
      <c r="R936" s="314"/>
      <c r="S936" s="314"/>
      <c r="T936" s="324"/>
      <c r="U936" s="155"/>
      <c r="V936" s="155"/>
      <c r="W936" s="322"/>
      <c r="X936" s="132"/>
      <c r="Y936" s="132"/>
    </row>
    <row r="937">
      <c r="A937" s="311"/>
      <c r="B937" s="312"/>
      <c r="C937" s="313"/>
      <c r="D937" s="313"/>
      <c r="E937" s="314"/>
      <c r="F937" s="315"/>
      <c r="G937" s="316"/>
      <c r="H937" s="317"/>
      <c r="I937" s="318"/>
      <c r="J937" s="319"/>
      <c r="K937" s="314"/>
      <c r="L937" s="314"/>
      <c r="M937" s="314"/>
      <c r="N937" s="314"/>
      <c r="O937" s="318"/>
      <c r="P937" s="314"/>
      <c r="Q937" s="314"/>
      <c r="R937" s="314"/>
      <c r="S937" s="314"/>
      <c r="T937" s="324"/>
      <c r="U937" s="155"/>
      <c r="V937" s="155"/>
      <c r="W937" s="322"/>
      <c r="X937" s="132"/>
      <c r="Y937" s="132"/>
    </row>
    <row r="938">
      <c r="A938" s="311"/>
      <c r="B938" s="312"/>
      <c r="C938" s="313"/>
      <c r="D938" s="313"/>
      <c r="E938" s="314"/>
      <c r="F938" s="315"/>
      <c r="G938" s="316"/>
      <c r="H938" s="317"/>
      <c r="I938" s="318"/>
      <c r="J938" s="319"/>
      <c r="K938" s="314"/>
      <c r="L938" s="314"/>
      <c r="M938" s="314"/>
      <c r="N938" s="314"/>
      <c r="O938" s="318"/>
      <c r="P938" s="314"/>
      <c r="Q938" s="314"/>
      <c r="R938" s="314"/>
      <c r="S938" s="314"/>
      <c r="T938" s="324"/>
      <c r="U938" s="155"/>
      <c r="V938" s="155"/>
      <c r="W938" s="322"/>
      <c r="X938" s="132"/>
      <c r="Y938" s="132"/>
    </row>
    <row r="939">
      <c r="A939" s="311"/>
      <c r="B939" s="312"/>
      <c r="C939" s="313"/>
      <c r="D939" s="313"/>
      <c r="E939" s="314"/>
      <c r="F939" s="315"/>
      <c r="G939" s="316"/>
      <c r="H939" s="317"/>
      <c r="I939" s="318"/>
      <c r="J939" s="319"/>
      <c r="K939" s="314"/>
      <c r="L939" s="314"/>
      <c r="M939" s="314"/>
      <c r="N939" s="314"/>
      <c r="O939" s="318"/>
      <c r="P939" s="314"/>
      <c r="Q939" s="314"/>
      <c r="R939" s="314"/>
      <c r="S939" s="314"/>
      <c r="T939" s="324"/>
      <c r="U939" s="155"/>
      <c r="V939" s="155"/>
      <c r="W939" s="322"/>
      <c r="X939" s="132"/>
      <c r="Y939" s="132"/>
    </row>
    <row r="940">
      <c r="A940" s="311"/>
      <c r="B940" s="312"/>
      <c r="C940" s="313"/>
      <c r="D940" s="313"/>
      <c r="E940" s="314"/>
      <c r="F940" s="315"/>
      <c r="G940" s="316"/>
      <c r="H940" s="317"/>
      <c r="I940" s="318"/>
      <c r="J940" s="319"/>
      <c r="K940" s="314"/>
      <c r="L940" s="314"/>
      <c r="M940" s="314"/>
      <c r="N940" s="314"/>
      <c r="O940" s="318"/>
      <c r="P940" s="314"/>
      <c r="Q940" s="314"/>
      <c r="R940" s="314"/>
      <c r="S940" s="314"/>
      <c r="T940" s="324"/>
      <c r="U940" s="155"/>
      <c r="V940" s="155"/>
      <c r="W940" s="322"/>
      <c r="X940" s="132"/>
      <c r="Y940" s="132"/>
    </row>
    <row r="941">
      <c r="A941" s="311"/>
      <c r="B941" s="312"/>
      <c r="C941" s="313"/>
      <c r="D941" s="313"/>
      <c r="E941" s="314"/>
      <c r="F941" s="315"/>
      <c r="G941" s="316"/>
      <c r="H941" s="317"/>
      <c r="I941" s="318"/>
      <c r="J941" s="319"/>
      <c r="K941" s="314"/>
      <c r="L941" s="314"/>
      <c r="M941" s="314"/>
      <c r="N941" s="314"/>
      <c r="O941" s="318"/>
      <c r="P941" s="314"/>
      <c r="Q941" s="314"/>
      <c r="R941" s="314"/>
      <c r="S941" s="314"/>
      <c r="T941" s="324"/>
      <c r="U941" s="155"/>
      <c r="V941" s="155"/>
      <c r="W941" s="322"/>
      <c r="X941" s="132"/>
      <c r="Y941" s="132"/>
    </row>
    <row r="942">
      <c r="A942" s="311"/>
      <c r="B942" s="312"/>
      <c r="C942" s="313"/>
      <c r="D942" s="313"/>
      <c r="E942" s="314"/>
      <c r="F942" s="315"/>
      <c r="G942" s="316"/>
      <c r="H942" s="317"/>
      <c r="I942" s="318"/>
      <c r="J942" s="319"/>
      <c r="K942" s="314"/>
      <c r="L942" s="314"/>
      <c r="M942" s="314"/>
      <c r="N942" s="314"/>
      <c r="O942" s="318"/>
      <c r="P942" s="314"/>
      <c r="Q942" s="314"/>
      <c r="R942" s="314"/>
      <c r="S942" s="314"/>
      <c r="T942" s="324"/>
      <c r="U942" s="155"/>
      <c r="V942" s="155"/>
      <c r="W942" s="322"/>
      <c r="X942" s="132"/>
      <c r="Y942" s="132"/>
    </row>
    <row r="943">
      <c r="A943" s="311"/>
      <c r="B943" s="312"/>
      <c r="C943" s="313"/>
      <c r="D943" s="313"/>
      <c r="E943" s="314"/>
      <c r="F943" s="315"/>
      <c r="G943" s="316"/>
      <c r="H943" s="317"/>
      <c r="I943" s="318"/>
      <c r="J943" s="319"/>
      <c r="K943" s="314"/>
      <c r="L943" s="314"/>
      <c r="M943" s="314"/>
      <c r="N943" s="314"/>
      <c r="O943" s="318"/>
      <c r="P943" s="314"/>
      <c r="Q943" s="314"/>
      <c r="R943" s="314"/>
      <c r="S943" s="314"/>
      <c r="T943" s="324"/>
      <c r="U943" s="155"/>
      <c r="V943" s="155"/>
      <c r="W943" s="322"/>
      <c r="X943" s="132"/>
      <c r="Y943" s="132"/>
    </row>
    <row r="944">
      <c r="A944" s="311"/>
      <c r="B944" s="312"/>
      <c r="C944" s="313"/>
      <c r="D944" s="313"/>
      <c r="E944" s="314"/>
      <c r="F944" s="315"/>
      <c r="G944" s="316"/>
      <c r="H944" s="317"/>
      <c r="I944" s="318"/>
      <c r="J944" s="319"/>
      <c r="K944" s="314"/>
      <c r="L944" s="314"/>
      <c r="M944" s="314"/>
      <c r="N944" s="314"/>
      <c r="O944" s="318"/>
      <c r="P944" s="314"/>
      <c r="Q944" s="314"/>
      <c r="R944" s="314"/>
      <c r="S944" s="314"/>
      <c r="T944" s="324"/>
      <c r="U944" s="155"/>
      <c r="V944" s="155"/>
      <c r="W944" s="322"/>
      <c r="X944" s="132"/>
      <c r="Y944" s="132"/>
    </row>
    <row r="945">
      <c r="A945" s="311"/>
      <c r="B945" s="312"/>
      <c r="C945" s="313"/>
      <c r="D945" s="313"/>
      <c r="E945" s="314"/>
      <c r="F945" s="315"/>
      <c r="G945" s="316"/>
      <c r="H945" s="317"/>
      <c r="I945" s="318"/>
      <c r="J945" s="319"/>
      <c r="K945" s="314"/>
      <c r="L945" s="314"/>
      <c r="M945" s="314"/>
      <c r="N945" s="314"/>
      <c r="O945" s="318"/>
      <c r="P945" s="314"/>
      <c r="Q945" s="314"/>
      <c r="R945" s="314"/>
      <c r="S945" s="314"/>
      <c r="T945" s="324"/>
      <c r="U945" s="155"/>
      <c r="V945" s="155"/>
      <c r="W945" s="322"/>
      <c r="X945" s="132"/>
      <c r="Y945" s="132"/>
    </row>
    <row r="946">
      <c r="A946" s="311"/>
      <c r="B946" s="312"/>
      <c r="C946" s="313"/>
      <c r="D946" s="313"/>
      <c r="E946" s="314"/>
      <c r="F946" s="315"/>
      <c r="G946" s="316"/>
      <c r="H946" s="317"/>
      <c r="I946" s="318"/>
      <c r="J946" s="319"/>
      <c r="K946" s="314"/>
      <c r="L946" s="314"/>
      <c r="M946" s="314"/>
      <c r="N946" s="314"/>
      <c r="O946" s="318"/>
      <c r="P946" s="314"/>
      <c r="Q946" s="314"/>
      <c r="R946" s="314"/>
      <c r="S946" s="314"/>
      <c r="T946" s="324"/>
      <c r="U946" s="155"/>
      <c r="V946" s="155"/>
      <c r="W946" s="322"/>
      <c r="X946" s="132"/>
      <c r="Y946" s="132"/>
    </row>
    <row r="947">
      <c r="A947" s="311"/>
      <c r="B947" s="312"/>
      <c r="C947" s="313"/>
      <c r="D947" s="313"/>
      <c r="E947" s="314"/>
      <c r="F947" s="315"/>
      <c r="G947" s="316"/>
      <c r="H947" s="317"/>
      <c r="I947" s="318"/>
      <c r="J947" s="319"/>
      <c r="K947" s="314"/>
      <c r="L947" s="314"/>
      <c r="M947" s="314"/>
      <c r="N947" s="314"/>
      <c r="O947" s="318"/>
      <c r="P947" s="314"/>
      <c r="Q947" s="314"/>
      <c r="R947" s="314"/>
      <c r="S947" s="314"/>
      <c r="T947" s="324"/>
      <c r="U947" s="155"/>
      <c r="V947" s="155"/>
      <c r="W947" s="322"/>
      <c r="X947" s="132"/>
      <c r="Y947" s="132"/>
    </row>
    <row r="948">
      <c r="A948" s="311"/>
      <c r="B948" s="312"/>
      <c r="C948" s="313"/>
      <c r="D948" s="313"/>
      <c r="E948" s="314"/>
      <c r="F948" s="315"/>
      <c r="G948" s="316"/>
      <c r="H948" s="317"/>
      <c r="I948" s="318"/>
      <c r="J948" s="319"/>
      <c r="K948" s="314"/>
      <c r="L948" s="314"/>
      <c r="M948" s="314"/>
      <c r="N948" s="314"/>
      <c r="O948" s="318"/>
      <c r="P948" s="314"/>
      <c r="Q948" s="314"/>
      <c r="R948" s="314"/>
      <c r="S948" s="314"/>
      <c r="T948" s="324"/>
      <c r="U948" s="155"/>
      <c r="V948" s="155"/>
      <c r="W948" s="322"/>
      <c r="X948" s="132"/>
      <c r="Y948" s="132"/>
    </row>
    <row r="949">
      <c r="A949" s="311"/>
      <c r="B949" s="312"/>
      <c r="C949" s="313"/>
      <c r="D949" s="313"/>
      <c r="E949" s="314"/>
      <c r="F949" s="315"/>
      <c r="G949" s="316"/>
      <c r="H949" s="317"/>
      <c r="I949" s="318"/>
      <c r="J949" s="319"/>
      <c r="K949" s="314"/>
      <c r="L949" s="314"/>
      <c r="M949" s="314"/>
      <c r="N949" s="314"/>
      <c r="O949" s="318"/>
      <c r="P949" s="314"/>
      <c r="Q949" s="314"/>
      <c r="R949" s="314"/>
      <c r="S949" s="314"/>
      <c r="T949" s="324"/>
      <c r="U949" s="155"/>
      <c r="V949" s="155"/>
      <c r="W949" s="322"/>
      <c r="X949" s="132"/>
      <c r="Y949" s="132"/>
    </row>
    <row r="950">
      <c r="A950" s="311"/>
      <c r="B950" s="312"/>
      <c r="C950" s="313"/>
      <c r="D950" s="313"/>
      <c r="E950" s="314"/>
      <c r="F950" s="315"/>
      <c r="G950" s="316"/>
      <c r="H950" s="317"/>
      <c r="I950" s="318"/>
      <c r="J950" s="319"/>
      <c r="K950" s="314"/>
      <c r="L950" s="314"/>
      <c r="M950" s="314"/>
      <c r="N950" s="314"/>
      <c r="O950" s="318"/>
      <c r="P950" s="314"/>
      <c r="Q950" s="314"/>
      <c r="R950" s="314"/>
      <c r="S950" s="314"/>
      <c r="T950" s="324"/>
      <c r="U950" s="155"/>
      <c r="V950" s="155"/>
      <c r="W950" s="322"/>
      <c r="X950" s="132"/>
      <c r="Y950" s="132"/>
    </row>
    <row r="951">
      <c r="A951" s="311"/>
      <c r="B951" s="312"/>
      <c r="C951" s="313"/>
      <c r="D951" s="313"/>
      <c r="E951" s="314"/>
      <c r="F951" s="315"/>
      <c r="G951" s="316"/>
      <c r="H951" s="317"/>
      <c r="I951" s="318"/>
      <c r="J951" s="319"/>
      <c r="K951" s="314"/>
      <c r="L951" s="314"/>
      <c r="M951" s="314"/>
      <c r="N951" s="314"/>
      <c r="O951" s="318"/>
      <c r="P951" s="314"/>
      <c r="Q951" s="314"/>
      <c r="R951" s="314"/>
      <c r="S951" s="314"/>
      <c r="T951" s="324"/>
      <c r="U951" s="155"/>
      <c r="V951" s="155"/>
      <c r="W951" s="322"/>
      <c r="X951" s="132"/>
      <c r="Y951" s="132"/>
    </row>
    <row r="952">
      <c r="A952" s="311"/>
      <c r="B952" s="312"/>
      <c r="C952" s="313"/>
      <c r="D952" s="313"/>
      <c r="E952" s="314"/>
      <c r="F952" s="315"/>
      <c r="G952" s="316"/>
      <c r="H952" s="317"/>
      <c r="I952" s="318"/>
      <c r="J952" s="319"/>
      <c r="K952" s="314"/>
      <c r="L952" s="314"/>
      <c r="M952" s="314"/>
      <c r="N952" s="314"/>
      <c r="O952" s="318"/>
      <c r="P952" s="314"/>
      <c r="Q952" s="314"/>
      <c r="R952" s="314"/>
      <c r="S952" s="314"/>
      <c r="T952" s="324"/>
      <c r="U952" s="155"/>
      <c r="V952" s="155"/>
      <c r="W952" s="322"/>
      <c r="X952" s="132"/>
      <c r="Y952" s="132"/>
    </row>
    <row r="953">
      <c r="A953" s="311"/>
      <c r="B953" s="312"/>
      <c r="C953" s="313"/>
      <c r="D953" s="313"/>
      <c r="E953" s="314"/>
      <c r="F953" s="315"/>
      <c r="G953" s="316"/>
      <c r="H953" s="317"/>
      <c r="I953" s="318"/>
      <c r="J953" s="319"/>
      <c r="K953" s="314"/>
      <c r="L953" s="314"/>
      <c r="M953" s="314"/>
      <c r="N953" s="314"/>
      <c r="O953" s="318"/>
      <c r="P953" s="314"/>
      <c r="Q953" s="314"/>
      <c r="R953" s="314"/>
      <c r="S953" s="314"/>
      <c r="T953" s="324"/>
      <c r="U953" s="155"/>
      <c r="V953" s="155"/>
      <c r="W953" s="322"/>
      <c r="X953" s="132"/>
      <c r="Y953" s="132"/>
    </row>
    <row r="954">
      <c r="A954" s="311"/>
      <c r="B954" s="312"/>
      <c r="C954" s="313"/>
      <c r="D954" s="313"/>
      <c r="E954" s="314"/>
      <c r="F954" s="315"/>
      <c r="G954" s="316"/>
      <c r="H954" s="317"/>
      <c r="I954" s="318"/>
      <c r="J954" s="319"/>
      <c r="K954" s="314"/>
      <c r="L954" s="314"/>
      <c r="M954" s="314"/>
      <c r="N954" s="314"/>
      <c r="O954" s="318"/>
      <c r="P954" s="314"/>
      <c r="Q954" s="314"/>
      <c r="R954" s="314"/>
      <c r="S954" s="314"/>
      <c r="T954" s="324"/>
      <c r="U954" s="155"/>
      <c r="V954" s="155"/>
      <c r="W954" s="322"/>
      <c r="X954" s="132"/>
      <c r="Y954" s="132"/>
    </row>
    <row r="955">
      <c r="A955" s="311"/>
      <c r="B955" s="312"/>
      <c r="C955" s="313"/>
      <c r="D955" s="313"/>
      <c r="E955" s="314"/>
      <c r="F955" s="315"/>
      <c r="G955" s="316"/>
      <c r="H955" s="317"/>
      <c r="I955" s="318"/>
      <c r="J955" s="319"/>
      <c r="K955" s="314"/>
      <c r="L955" s="314"/>
      <c r="M955" s="314"/>
      <c r="N955" s="314"/>
      <c r="O955" s="318"/>
      <c r="P955" s="314"/>
      <c r="Q955" s="314"/>
      <c r="R955" s="314"/>
      <c r="S955" s="314"/>
      <c r="T955" s="324"/>
      <c r="U955" s="155"/>
      <c r="V955" s="155"/>
      <c r="W955" s="322"/>
      <c r="X955" s="132"/>
      <c r="Y955" s="132"/>
    </row>
    <row r="956">
      <c r="A956" s="311"/>
      <c r="B956" s="312"/>
      <c r="C956" s="313"/>
      <c r="D956" s="313"/>
      <c r="E956" s="314"/>
      <c r="F956" s="315"/>
      <c r="G956" s="316"/>
      <c r="H956" s="317"/>
      <c r="I956" s="318"/>
      <c r="J956" s="319"/>
      <c r="K956" s="314"/>
      <c r="L956" s="314"/>
      <c r="M956" s="314"/>
      <c r="N956" s="314"/>
      <c r="O956" s="318"/>
      <c r="P956" s="314"/>
      <c r="Q956" s="314"/>
      <c r="R956" s="314"/>
      <c r="S956" s="314"/>
      <c r="T956" s="324"/>
      <c r="U956" s="155"/>
      <c r="V956" s="155"/>
      <c r="W956" s="322"/>
      <c r="X956" s="132"/>
      <c r="Y956" s="132"/>
    </row>
    <row r="957">
      <c r="A957" s="311"/>
      <c r="B957" s="312"/>
      <c r="C957" s="313"/>
      <c r="D957" s="313"/>
      <c r="E957" s="314"/>
      <c r="F957" s="315"/>
      <c r="G957" s="316"/>
      <c r="H957" s="317"/>
      <c r="I957" s="318"/>
      <c r="J957" s="319"/>
      <c r="K957" s="314"/>
      <c r="L957" s="314"/>
      <c r="M957" s="314"/>
      <c r="N957" s="314"/>
      <c r="O957" s="318"/>
      <c r="P957" s="314"/>
      <c r="Q957" s="314"/>
      <c r="R957" s="314"/>
      <c r="S957" s="314"/>
      <c r="T957" s="324"/>
      <c r="U957" s="155"/>
      <c r="V957" s="155"/>
      <c r="W957" s="322"/>
      <c r="X957" s="132"/>
      <c r="Y957" s="132"/>
    </row>
    <row r="958">
      <c r="A958" s="311"/>
      <c r="B958" s="312"/>
      <c r="C958" s="313"/>
      <c r="D958" s="313"/>
      <c r="E958" s="314"/>
      <c r="F958" s="315"/>
      <c r="G958" s="316"/>
      <c r="H958" s="317"/>
      <c r="I958" s="318"/>
      <c r="J958" s="319"/>
      <c r="K958" s="314"/>
      <c r="L958" s="314"/>
      <c r="M958" s="314"/>
      <c r="N958" s="314"/>
      <c r="O958" s="318"/>
      <c r="P958" s="314"/>
      <c r="Q958" s="314"/>
      <c r="R958" s="314"/>
      <c r="S958" s="314"/>
      <c r="T958" s="324"/>
      <c r="U958" s="155"/>
      <c r="V958" s="155"/>
      <c r="W958" s="322"/>
      <c r="X958" s="132"/>
      <c r="Y958" s="132"/>
    </row>
    <row r="959">
      <c r="A959" s="311"/>
      <c r="B959" s="312"/>
      <c r="C959" s="313"/>
      <c r="D959" s="313"/>
      <c r="E959" s="314"/>
      <c r="F959" s="315"/>
      <c r="G959" s="316"/>
      <c r="H959" s="317"/>
      <c r="I959" s="318"/>
      <c r="J959" s="319"/>
      <c r="K959" s="314"/>
      <c r="L959" s="314"/>
      <c r="M959" s="314"/>
      <c r="N959" s="314"/>
      <c r="O959" s="318"/>
      <c r="P959" s="314"/>
      <c r="Q959" s="314"/>
      <c r="R959" s="314"/>
      <c r="S959" s="314"/>
      <c r="T959" s="324"/>
      <c r="U959" s="155"/>
      <c r="V959" s="155"/>
      <c r="W959" s="322"/>
      <c r="X959" s="132"/>
      <c r="Y959" s="132"/>
    </row>
    <row r="960">
      <c r="A960" s="311"/>
      <c r="B960" s="312"/>
      <c r="C960" s="313"/>
      <c r="D960" s="313"/>
      <c r="E960" s="314"/>
      <c r="F960" s="315"/>
      <c r="G960" s="316"/>
      <c r="H960" s="317"/>
      <c r="I960" s="318"/>
      <c r="J960" s="319"/>
      <c r="K960" s="314"/>
      <c r="L960" s="314"/>
      <c r="M960" s="314"/>
      <c r="N960" s="314"/>
      <c r="O960" s="318"/>
      <c r="P960" s="314"/>
      <c r="Q960" s="314"/>
      <c r="R960" s="314"/>
      <c r="S960" s="314"/>
      <c r="T960" s="324"/>
      <c r="U960" s="155"/>
      <c r="V960" s="155"/>
      <c r="W960" s="322"/>
      <c r="X960" s="132"/>
      <c r="Y960" s="132"/>
    </row>
    <row r="961">
      <c r="A961" s="311"/>
      <c r="B961" s="312"/>
      <c r="C961" s="313"/>
      <c r="D961" s="313"/>
      <c r="E961" s="314"/>
      <c r="F961" s="315"/>
      <c r="G961" s="316"/>
      <c r="H961" s="317"/>
      <c r="I961" s="318"/>
      <c r="J961" s="319"/>
      <c r="K961" s="314"/>
      <c r="L961" s="314"/>
      <c r="M961" s="314"/>
      <c r="N961" s="314"/>
      <c r="O961" s="318"/>
      <c r="P961" s="314"/>
      <c r="Q961" s="314"/>
      <c r="R961" s="314"/>
      <c r="S961" s="314"/>
      <c r="T961" s="324"/>
      <c r="U961" s="155"/>
      <c r="V961" s="155"/>
      <c r="W961" s="322"/>
      <c r="X961" s="132"/>
      <c r="Y961" s="132"/>
    </row>
    <row r="962">
      <c r="A962" s="311"/>
      <c r="B962" s="312"/>
      <c r="C962" s="313"/>
      <c r="D962" s="313"/>
      <c r="E962" s="314"/>
      <c r="F962" s="315"/>
      <c r="G962" s="316"/>
      <c r="H962" s="317"/>
      <c r="I962" s="318"/>
      <c r="J962" s="319"/>
      <c r="K962" s="314"/>
      <c r="L962" s="314"/>
      <c r="M962" s="314"/>
      <c r="N962" s="314"/>
      <c r="O962" s="318"/>
      <c r="P962" s="314"/>
      <c r="Q962" s="314"/>
      <c r="R962" s="314"/>
      <c r="S962" s="314"/>
      <c r="T962" s="324"/>
      <c r="U962" s="155"/>
      <c r="V962" s="155"/>
      <c r="W962" s="322"/>
      <c r="X962" s="132"/>
      <c r="Y962" s="132"/>
    </row>
    <row r="963">
      <c r="A963" s="311"/>
      <c r="B963" s="312"/>
      <c r="C963" s="313"/>
      <c r="D963" s="313"/>
      <c r="E963" s="314"/>
      <c r="F963" s="315"/>
      <c r="G963" s="316"/>
      <c r="H963" s="317"/>
      <c r="I963" s="318"/>
      <c r="J963" s="319"/>
      <c r="K963" s="314"/>
      <c r="L963" s="314"/>
      <c r="M963" s="314"/>
      <c r="N963" s="314"/>
      <c r="O963" s="318"/>
      <c r="P963" s="314"/>
      <c r="Q963" s="314"/>
      <c r="R963" s="314"/>
      <c r="S963" s="314"/>
      <c r="T963" s="324"/>
      <c r="U963" s="155"/>
      <c r="V963" s="155"/>
      <c r="W963" s="322"/>
      <c r="X963" s="132"/>
      <c r="Y963" s="132"/>
    </row>
    <row r="964">
      <c r="A964" s="311"/>
      <c r="B964" s="312"/>
      <c r="C964" s="313"/>
      <c r="D964" s="313"/>
      <c r="E964" s="314"/>
      <c r="F964" s="315"/>
      <c r="G964" s="316"/>
      <c r="H964" s="317"/>
      <c r="I964" s="318"/>
      <c r="J964" s="319"/>
      <c r="K964" s="314"/>
      <c r="L964" s="314"/>
      <c r="M964" s="314"/>
      <c r="N964" s="314"/>
      <c r="O964" s="318"/>
      <c r="P964" s="314"/>
      <c r="Q964" s="314"/>
      <c r="R964" s="314"/>
      <c r="S964" s="314"/>
      <c r="T964" s="324"/>
      <c r="U964" s="155"/>
      <c r="V964" s="155"/>
      <c r="W964" s="322"/>
      <c r="X964" s="132"/>
      <c r="Y964" s="132"/>
    </row>
    <row r="965">
      <c r="A965" s="311"/>
      <c r="B965" s="312"/>
      <c r="C965" s="313"/>
      <c r="D965" s="313"/>
      <c r="E965" s="314"/>
      <c r="F965" s="315"/>
      <c r="G965" s="316"/>
      <c r="H965" s="317"/>
      <c r="I965" s="318"/>
      <c r="J965" s="319"/>
      <c r="K965" s="314"/>
      <c r="L965" s="314"/>
      <c r="M965" s="314"/>
      <c r="N965" s="314"/>
      <c r="O965" s="318"/>
      <c r="P965" s="314"/>
      <c r="Q965" s="314"/>
      <c r="R965" s="314"/>
      <c r="S965" s="314"/>
      <c r="T965" s="324"/>
      <c r="U965" s="155"/>
      <c r="V965" s="155"/>
      <c r="W965" s="322"/>
      <c r="X965" s="132"/>
      <c r="Y965" s="132"/>
    </row>
    <row r="966">
      <c r="A966" s="311"/>
      <c r="B966" s="312"/>
      <c r="C966" s="313"/>
      <c r="D966" s="313"/>
      <c r="E966" s="314"/>
      <c r="F966" s="315"/>
      <c r="G966" s="316"/>
      <c r="H966" s="317"/>
      <c r="I966" s="318"/>
      <c r="J966" s="319"/>
      <c r="K966" s="314"/>
      <c r="L966" s="314"/>
      <c r="M966" s="314"/>
      <c r="N966" s="314"/>
      <c r="O966" s="318"/>
      <c r="P966" s="314"/>
      <c r="Q966" s="314"/>
      <c r="R966" s="314"/>
      <c r="S966" s="314"/>
      <c r="T966" s="324"/>
      <c r="U966" s="155"/>
      <c r="V966" s="155"/>
      <c r="W966" s="322"/>
      <c r="X966" s="132"/>
      <c r="Y966" s="132"/>
    </row>
    <row r="967">
      <c r="A967" s="311"/>
      <c r="B967" s="312"/>
      <c r="C967" s="313"/>
      <c r="D967" s="313"/>
      <c r="E967" s="314"/>
      <c r="F967" s="315"/>
      <c r="G967" s="316"/>
      <c r="H967" s="317"/>
      <c r="I967" s="318"/>
      <c r="J967" s="319"/>
      <c r="K967" s="314"/>
      <c r="L967" s="314"/>
      <c r="M967" s="314"/>
      <c r="N967" s="314"/>
      <c r="O967" s="318"/>
      <c r="P967" s="314"/>
      <c r="Q967" s="314"/>
      <c r="R967" s="314"/>
      <c r="S967" s="314"/>
      <c r="T967" s="324"/>
      <c r="U967" s="155"/>
      <c r="V967" s="155"/>
      <c r="W967" s="322"/>
      <c r="X967" s="132"/>
      <c r="Y967" s="132"/>
    </row>
    <row r="968">
      <c r="A968" s="311"/>
      <c r="B968" s="312"/>
      <c r="C968" s="313"/>
      <c r="D968" s="313"/>
      <c r="E968" s="314"/>
      <c r="F968" s="315"/>
      <c r="G968" s="316"/>
      <c r="H968" s="317"/>
      <c r="I968" s="318"/>
      <c r="J968" s="319"/>
      <c r="K968" s="314"/>
      <c r="L968" s="314"/>
      <c r="M968" s="314"/>
      <c r="N968" s="314"/>
      <c r="O968" s="318"/>
      <c r="P968" s="314"/>
      <c r="Q968" s="314"/>
      <c r="R968" s="314"/>
      <c r="S968" s="314"/>
      <c r="T968" s="324"/>
      <c r="U968" s="155"/>
      <c r="V968" s="155"/>
      <c r="W968" s="322"/>
      <c r="X968" s="132"/>
      <c r="Y968" s="132"/>
    </row>
    <row r="969">
      <c r="A969" s="311"/>
      <c r="B969" s="312"/>
      <c r="C969" s="313"/>
      <c r="D969" s="313"/>
      <c r="E969" s="314"/>
      <c r="F969" s="315"/>
      <c r="G969" s="316"/>
      <c r="H969" s="317"/>
      <c r="I969" s="318"/>
      <c r="J969" s="319"/>
      <c r="K969" s="314"/>
      <c r="L969" s="314"/>
      <c r="M969" s="314"/>
      <c r="N969" s="314"/>
      <c r="O969" s="318"/>
      <c r="P969" s="314"/>
      <c r="Q969" s="314"/>
      <c r="R969" s="314"/>
      <c r="S969" s="314"/>
      <c r="T969" s="324"/>
      <c r="U969" s="155"/>
      <c r="V969" s="155"/>
      <c r="W969" s="322"/>
      <c r="X969" s="132"/>
      <c r="Y969" s="132"/>
    </row>
    <row r="970">
      <c r="A970" s="311"/>
      <c r="B970" s="312"/>
      <c r="C970" s="313"/>
      <c r="D970" s="313"/>
      <c r="E970" s="314"/>
      <c r="F970" s="315"/>
      <c r="G970" s="316"/>
      <c r="H970" s="317"/>
      <c r="I970" s="318"/>
      <c r="J970" s="319"/>
      <c r="K970" s="314"/>
      <c r="L970" s="314"/>
      <c r="M970" s="314"/>
      <c r="N970" s="314"/>
      <c r="O970" s="318"/>
      <c r="P970" s="314"/>
      <c r="Q970" s="314"/>
      <c r="R970" s="314"/>
      <c r="S970" s="314"/>
      <c r="T970" s="324"/>
      <c r="U970" s="155"/>
      <c r="V970" s="155"/>
      <c r="W970" s="322"/>
      <c r="X970" s="132"/>
      <c r="Y970" s="132"/>
    </row>
    <row r="971">
      <c r="A971" s="311"/>
      <c r="B971" s="312"/>
      <c r="C971" s="313"/>
      <c r="D971" s="313"/>
      <c r="E971" s="314"/>
      <c r="F971" s="315"/>
      <c r="G971" s="316"/>
      <c r="H971" s="317"/>
      <c r="I971" s="318"/>
      <c r="J971" s="319"/>
      <c r="K971" s="314"/>
      <c r="L971" s="314"/>
      <c r="M971" s="314"/>
      <c r="N971" s="314"/>
      <c r="O971" s="318"/>
      <c r="P971" s="314"/>
      <c r="Q971" s="314"/>
      <c r="R971" s="314"/>
      <c r="S971" s="314"/>
      <c r="T971" s="324"/>
      <c r="U971" s="155"/>
      <c r="V971" s="155"/>
      <c r="W971" s="322"/>
      <c r="X971" s="132"/>
      <c r="Y971" s="132"/>
    </row>
    <row r="972">
      <c r="A972" s="311"/>
      <c r="B972" s="312"/>
      <c r="C972" s="313"/>
      <c r="D972" s="313"/>
      <c r="E972" s="314"/>
      <c r="F972" s="315"/>
      <c r="G972" s="316"/>
      <c r="H972" s="317"/>
      <c r="I972" s="318"/>
      <c r="J972" s="319"/>
      <c r="K972" s="314"/>
      <c r="L972" s="314"/>
      <c r="M972" s="314"/>
      <c r="N972" s="314"/>
      <c r="O972" s="318"/>
      <c r="P972" s="314"/>
      <c r="Q972" s="314"/>
      <c r="R972" s="314"/>
      <c r="S972" s="314"/>
      <c r="T972" s="324"/>
      <c r="U972" s="155"/>
      <c r="V972" s="155"/>
      <c r="W972" s="322"/>
      <c r="X972" s="132"/>
      <c r="Y972" s="132"/>
    </row>
    <row r="973">
      <c r="A973" s="311"/>
      <c r="B973" s="312"/>
      <c r="C973" s="313"/>
      <c r="D973" s="313"/>
      <c r="E973" s="314"/>
      <c r="F973" s="315"/>
      <c r="G973" s="316"/>
      <c r="H973" s="317"/>
      <c r="I973" s="318"/>
      <c r="J973" s="319"/>
      <c r="K973" s="314"/>
      <c r="L973" s="314"/>
      <c r="M973" s="314"/>
      <c r="N973" s="314"/>
      <c r="O973" s="318"/>
      <c r="P973" s="314"/>
      <c r="Q973" s="314"/>
      <c r="R973" s="314"/>
      <c r="S973" s="314"/>
      <c r="T973" s="324"/>
      <c r="U973" s="155"/>
      <c r="V973" s="155"/>
      <c r="W973" s="322"/>
      <c r="X973" s="132"/>
      <c r="Y973" s="132"/>
    </row>
    <row r="974">
      <c r="A974" s="311"/>
      <c r="B974" s="312"/>
      <c r="C974" s="313"/>
      <c r="D974" s="313"/>
      <c r="E974" s="314"/>
      <c r="F974" s="315"/>
      <c r="G974" s="316"/>
      <c r="H974" s="317"/>
      <c r="I974" s="318"/>
      <c r="J974" s="319"/>
      <c r="K974" s="314"/>
      <c r="L974" s="314"/>
      <c r="M974" s="314"/>
      <c r="N974" s="314"/>
      <c r="O974" s="318"/>
      <c r="P974" s="314"/>
      <c r="Q974" s="314"/>
      <c r="R974" s="314"/>
      <c r="S974" s="314"/>
      <c r="T974" s="324"/>
      <c r="U974" s="155"/>
      <c r="V974" s="155"/>
      <c r="W974" s="322"/>
      <c r="X974" s="132"/>
      <c r="Y974" s="132"/>
    </row>
    <row r="975">
      <c r="A975" s="311"/>
      <c r="B975" s="312"/>
      <c r="C975" s="313"/>
      <c r="D975" s="313"/>
      <c r="E975" s="314"/>
      <c r="F975" s="315"/>
      <c r="G975" s="316"/>
      <c r="H975" s="317"/>
      <c r="I975" s="318"/>
      <c r="J975" s="319"/>
      <c r="K975" s="314"/>
      <c r="L975" s="314"/>
      <c r="M975" s="314"/>
      <c r="N975" s="314"/>
      <c r="O975" s="318"/>
      <c r="P975" s="314"/>
      <c r="Q975" s="314"/>
      <c r="R975" s="314"/>
      <c r="S975" s="314"/>
      <c r="T975" s="324"/>
      <c r="U975" s="155"/>
      <c r="V975" s="155"/>
      <c r="W975" s="322"/>
      <c r="X975" s="132"/>
      <c r="Y975" s="132"/>
    </row>
    <row r="976">
      <c r="A976" s="311"/>
      <c r="B976" s="312"/>
      <c r="C976" s="313"/>
      <c r="D976" s="313"/>
      <c r="E976" s="314"/>
      <c r="F976" s="315"/>
      <c r="G976" s="316"/>
      <c r="H976" s="317"/>
      <c r="I976" s="318"/>
      <c r="J976" s="319"/>
      <c r="K976" s="314"/>
      <c r="L976" s="314"/>
      <c r="M976" s="314"/>
      <c r="N976" s="314"/>
      <c r="O976" s="318"/>
      <c r="P976" s="314"/>
      <c r="Q976" s="314"/>
      <c r="R976" s="314"/>
      <c r="S976" s="314"/>
      <c r="T976" s="324"/>
      <c r="U976" s="155"/>
      <c r="V976" s="155"/>
      <c r="W976" s="322"/>
      <c r="X976" s="132"/>
      <c r="Y976" s="132"/>
    </row>
    <row r="977">
      <c r="A977" s="311"/>
      <c r="B977" s="312"/>
      <c r="C977" s="313"/>
      <c r="D977" s="313"/>
      <c r="E977" s="314"/>
      <c r="F977" s="315"/>
      <c r="G977" s="316"/>
      <c r="H977" s="317"/>
      <c r="I977" s="318"/>
      <c r="J977" s="319"/>
      <c r="K977" s="314"/>
      <c r="L977" s="314"/>
      <c r="M977" s="314"/>
      <c r="N977" s="314"/>
      <c r="O977" s="318"/>
      <c r="P977" s="314"/>
      <c r="Q977" s="314"/>
      <c r="R977" s="314"/>
      <c r="S977" s="314"/>
      <c r="T977" s="324"/>
      <c r="U977" s="155"/>
      <c r="V977" s="155"/>
      <c r="W977" s="322"/>
      <c r="X977" s="132"/>
      <c r="Y977" s="132"/>
    </row>
    <row r="978">
      <c r="A978" s="311"/>
      <c r="B978" s="312"/>
      <c r="C978" s="313"/>
      <c r="D978" s="313"/>
      <c r="E978" s="314"/>
      <c r="F978" s="315"/>
      <c r="G978" s="316"/>
      <c r="H978" s="317"/>
      <c r="I978" s="318"/>
      <c r="J978" s="319"/>
      <c r="K978" s="314"/>
      <c r="L978" s="314"/>
      <c r="M978" s="314"/>
      <c r="N978" s="314"/>
      <c r="O978" s="318"/>
      <c r="P978" s="314"/>
      <c r="Q978" s="314"/>
      <c r="R978" s="314"/>
      <c r="S978" s="314"/>
      <c r="T978" s="324"/>
      <c r="U978" s="155"/>
      <c r="V978" s="155"/>
      <c r="W978" s="322"/>
      <c r="X978" s="132"/>
      <c r="Y978" s="132"/>
    </row>
    <row r="979">
      <c r="A979" s="311"/>
      <c r="B979" s="312"/>
      <c r="C979" s="313"/>
      <c r="D979" s="313"/>
      <c r="E979" s="314"/>
      <c r="F979" s="315"/>
      <c r="G979" s="316"/>
      <c r="H979" s="317"/>
      <c r="I979" s="318"/>
      <c r="J979" s="319"/>
      <c r="K979" s="314"/>
      <c r="L979" s="314"/>
      <c r="M979" s="314"/>
      <c r="N979" s="314"/>
      <c r="O979" s="318"/>
      <c r="P979" s="314"/>
      <c r="Q979" s="314"/>
      <c r="R979" s="314"/>
      <c r="S979" s="314"/>
      <c r="T979" s="324"/>
      <c r="U979" s="155"/>
      <c r="V979" s="155"/>
      <c r="W979" s="322"/>
      <c r="X979" s="132"/>
      <c r="Y979" s="132"/>
    </row>
    <row r="980">
      <c r="A980" s="311"/>
      <c r="B980" s="312"/>
      <c r="C980" s="313"/>
      <c r="D980" s="313"/>
      <c r="E980" s="314"/>
      <c r="F980" s="315"/>
      <c r="G980" s="316"/>
      <c r="H980" s="317"/>
      <c r="I980" s="318"/>
      <c r="J980" s="319"/>
      <c r="K980" s="314"/>
      <c r="L980" s="314"/>
      <c r="M980" s="314"/>
      <c r="N980" s="314"/>
      <c r="O980" s="318"/>
      <c r="P980" s="314"/>
      <c r="Q980" s="314"/>
      <c r="R980" s="314"/>
      <c r="S980" s="314"/>
      <c r="T980" s="324"/>
      <c r="U980" s="155"/>
      <c r="V980" s="155"/>
      <c r="W980" s="322"/>
      <c r="X980" s="132"/>
      <c r="Y980" s="132"/>
    </row>
    <row r="981">
      <c r="A981" s="311"/>
      <c r="B981" s="312"/>
      <c r="C981" s="313"/>
      <c r="D981" s="313"/>
      <c r="E981" s="314"/>
      <c r="F981" s="315"/>
      <c r="G981" s="316"/>
      <c r="H981" s="317"/>
      <c r="I981" s="318"/>
      <c r="J981" s="319"/>
      <c r="K981" s="314"/>
      <c r="L981" s="314"/>
      <c r="M981" s="314"/>
      <c r="N981" s="314"/>
      <c r="O981" s="318"/>
      <c r="P981" s="314"/>
      <c r="Q981" s="314"/>
      <c r="R981" s="314"/>
      <c r="S981" s="314"/>
      <c r="T981" s="324"/>
      <c r="U981" s="155"/>
      <c r="V981" s="155"/>
      <c r="W981" s="322"/>
      <c r="X981" s="132"/>
      <c r="Y981" s="132"/>
    </row>
    <row r="982">
      <c r="A982" s="311"/>
      <c r="B982" s="312"/>
      <c r="C982" s="313"/>
      <c r="D982" s="313"/>
      <c r="E982" s="314"/>
      <c r="F982" s="315"/>
      <c r="G982" s="316"/>
      <c r="H982" s="317"/>
      <c r="I982" s="318"/>
      <c r="J982" s="319"/>
      <c r="K982" s="314"/>
      <c r="L982" s="314"/>
      <c r="M982" s="314"/>
      <c r="N982" s="314"/>
      <c r="O982" s="318"/>
      <c r="P982" s="314"/>
      <c r="Q982" s="314"/>
      <c r="R982" s="314"/>
      <c r="S982" s="314"/>
      <c r="T982" s="324"/>
      <c r="U982" s="155"/>
      <c r="V982" s="155"/>
      <c r="W982" s="322"/>
      <c r="X982" s="132"/>
      <c r="Y982" s="132"/>
    </row>
    <row r="983">
      <c r="A983" s="311"/>
      <c r="B983" s="312"/>
      <c r="C983" s="313"/>
      <c r="D983" s="313"/>
      <c r="E983" s="314"/>
      <c r="F983" s="315"/>
      <c r="G983" s="316"/>
      <c r="H983" s="317"/>
      <c r="I983" s="318"/>
      <c r="J983" s="319"/>
      <c r="K983" s="314"/>
      <c r="L983" s="314"/>
      <c r="M983" s="314"/>
      <c r="N983" s="314"/>
      <c r="O983" s="318"/>
      <c r="P983" s="314"/>
      <c r="Q983" s="314"/>
      <c r="R983" s="314"/>
      <c r="S983" s="314"/>
      <c r="T983" s="324"/>
      <c r="U983" s="155"/>
      <c r="V983" s="155"/>
      <c r="W983" s="322"/>
      <c r="X983" s="132"/>
      <c r="Y983" s="132"/>
    </row>
    <row r="984">
      <c r="A984" s="311"/>
      <c r="B984" s="312"/>
      <c r="C984" s="313"/>
      <c r="D984" s="313"/>
      <c r="E984" s="314"/>
      <c r="F984" s="315"/>
      <c r="G984" s="316"/>
      <c r="H984" s="317"/>
      <c r="I984" s="318"/>
      <c r="J984" s="319"/>
      <c r="K984" s="314"/>
      <c r="L984" s="314"/>
      <c r="M984" s="314"/>
      <c r="N984" s="314"/>
      <c r="O984" s="318"/>
      <c r="P984" s="314"/>
      <c r="Q984" s="314"/>
      <c r="R984" s="314"/>
      <c r="S984" s="314"/>
      <c r="T984" s="324"/>
      <c r="U984" s="155"/>
      <c r="V984" s="155"/>
      <c r="W984" s="322"/>
      <c r="X984" s="132"/>
      <c r="Y984" s="132"/>
    </row>
    <row r="985">
      <c r="A985" s="311"/>
      <c r="B985" s="312"/>
      <c r="C985" s="313"/>
      <c r="D985" s="313"/>
      <c r="E985" s="314"/>
      <c r="F985" s="315"/>
      <c r="G985" s="316"/>
      <c r="H985" s="317"/>
      <c r="I985" s="318"/>
      <c r="J985" s="319"/>
      <c r="K985" s="314"/>
      <c r="L985" s="314"/>
      <c r="M985" s="314"/>
      <c r="N985" s="314"/>
      <c r="O985" s="318"/>
      <c r="P985" s="314"/>
      <c r="Q985" s="314"/>
      <c r="R985" s="314"/>
      <c r="S985" s="314"/>
      <c r="T985" s="324"/>
      <c r="U985" s="155"/>
      <c r="V985" s="155"/>
      <c r="W985" s="322"/>
      <c r="X985" s="132"/>
      <c r="Y985" s="132"/>
    </row>
    <row r="986">
      <c r="A986" s="311"/>
      <c r="B986" s="312"/>
      <c r="C986" s="313"/>
      <c r="D986" s="313"/>
      <c r="E986" s="314"/>
      <c r="F986" s="315"/>
      <c r="G986" s="316"/>
      <c r="H986" s="317"/>
      <c r="I986" s="318"/>
      <c r="J986" s="319"/>
      <c r="K986" s="314"/>
      <c r="L986" s="314"/>
      <c r="M986" s="314"/>
      <c r="N986" s="314"/>
      <c r="O986" s="318"/>
      <c r="P986" s="314"/>
      <c r="Q986" s="314"/>
      <c r="R986" s="314"/>
      <c r="S986" s="314"/>
      <c r="T986" s="324"/>
      <c r="U986" s="155"/>
      <c r="V986" s="155"/>
      <c r="W986" s="322"/>
      <c r="X986" s="132"/>
      <c r="Y986" s="132"/>
    </row>
    <row r="987">
      <c r="A987" s="311"/>
      <c r="B987" s="312"/>
      <c r="C987" s="313"/>
      <c r="D987" s="313"/>
      <c r="E987" s="314"/>
      <c r="F987" s="315"/>
      <c r="G987" s="316"/>
      <c r="H987" s="317"/>
      <c r="I987" s="318"/>
      <c r="J987" s="319"/>
      <c r="K987" s="314"/>
      <c r="L987" s="314"/>
      <c r="M987" s="314"/>
      <c r="N987" s="314"/>
      <c r="O987" s="318"/>
      <c r="P987" s="314"/>
      <c r="Q987" s="314"/>
      <c r="R987" s="314"/>
      <c r="S987" s="314"/>
      <c r="T987" s="324"/>
      <c r="U987" s="155"/>
      <c r="V987" s="155"/>
      <c r="W987" s="322"/>
      <c r="X987" s="132"/>
      <c r="Y987" s="132"/>
    </row>
    <row r="988">
      <c r="A988" s="311"/>
      <c r="B988" s="312"/>
      <c r="C988" s="313"/>
      <c r="D988" s="313"/>
      <c r="E988" s="314"/>
      <c r="F988" s="315"/>
      <c r="G988" s="316"/>
      <c r="H988" s="317"/>
      <c r="I988" s="318"/>
      <c r="J988" s="319"/>
      <c r="K988" s="314"/>
      <c r="L988" s="314"/>
      <c r="M988" s="314"/>
      <c r="N988" s="314"/>
      <c r="O988" s="318"/>
      <c r="P988" s="314"/>
      <c r="Q988" s="314"/>
      <c r="R988" s="314"/>
      <c r="S988" s="314"/>
      <c r="T988" s="324"/>
      <c r="U988" s="155"/>
      <c r="V988" s="155"/>
      <c r="W988" s="322"/>
      <c r="X988" s="132"/>
      <c r="Y988" s="132"/>
    </row>
    <row r="989">
      <c r="A989" s="311"/>
      <c r="B989" s="312"/>
      <c r="C989" s="313"/>
      <c r="D989" s="313"/>
      <c r="E989" s="314"/>
      <c r="F989" s="315"/>
      <c r="G989" s="316"/>
      <c r="H989" s="317"/>
      <c r="I989" s="318"/>
      <c r="J989" s="319"/>
      <c r="K989" s="314"/>
      <c r="L989" s="314"/>
      <c r="M989" s="314"/>
      <c r="N989" s="314"/>
      <c r="O989" s="318"/>
      <c r="P989" s="314"/>
      <c r="Q989" s="314"/>
      <c r="R989" s="314"/>
      <c r="S989" s="314"/>
      <c r="T989" s="324"/>
      <c r="U989" s="155"/>
      <c r="V989" s="155"/>
      <c r="W989" s="322"/>
      <c r="X989" s="132"/>
      <c r="Y989" s="132"/>
    </row>
    <row r="990">
      <c r="A990" s="311"/>
      <c r="B990" s="312"/>
      <c r="C990" s="313"/>
      <c r="D990" s="313"/>
      <c r="E990" s="314"/>
      <c r="F990" s="315"/>
      <c r="G990" s="316"/>
      <c r="H990" s="317"/>
      <c r="I990" s="318"/>
      <c r="J990" s="319"/>
      <c r="K990" s="314"/>
      <c r="L990" s="314"/>
      <c r="M990" s="314"/>
      <c r="N990" s="314"/>
      <c r="O990" s="318"/>
      <c r="P990" s="314"/>
      <c r="Q990" s="314"/>
      <c r="R990" s="314"/>
      <c r="S990" s="314"/>
      <c r="T990" s="324"/>
      <c r="U990" s="155"/>
      <c r="V990" s="155"/>
      <c r="W990" s="322"/>
      <c r="X990" s="132"/>
      <c r="Y990" s="132"/>
    </row>
    <row r="991">
      <c r="A991" s="311"/>
      <c r="B991" s="312"/>
      <c r="C991" s="313"/>
      <c r="D991" s="313"/>
      <c r="E991" s="314"/>
      <c r="F991" s="315"/>
      <c r="G991" s="316"/>
      <c r="H991" s="317"/>
      <c r="I991" s="318"/>
      <c r="J991" s="319"/>
      <c r="K991" s="314"/>
      <c r="L991" s="314"/>
      <c r="M991" s="314"/>
      <c r="N991" s="314"/>
      <c r="O991" s="318"/>
      <c r="P991" s="314"/>
      <c r="Q991" s="314"/>
      <c r="R991" s="314"/>
      <c r="S991" s="314"/>
      <c r="T991" s="324"/>
      <c r="U991" s="155"/>
      <c r="V991" s="155"/>
      <c r="W991" s="322"/>
      <c r="X991" s="132"/>
      <c r="Y991" s="132"/>
    </row>
    <row r="992">
      <c r="A992" s="311"/>
      <c r="B992" s="312"/>
      <c r="C992" s="313"/>
      <c r="D992" s="313"/>
      <c r="E992" s="314"/>
      <c r="F992" s="315"/>
      <c r="G992" s="316"/>
      <c r="H992" s="317"/>
      <c r="I992" s="318"/>
      <c r="J992" s="319"/>
      <c r="K992" s="314"/>
      <c r="L992" s="314"/>
      <c r="M992" s="314"/>
      <c r="N992" s="314"/>
      <c r="O992" s="318"/>
      <c r="P992" s="314"/>
      <c r="Q992" s="314"/>
      <c r="R992" s="314"/>
      <c r="S992" s="314"/>
      <c r="T992" s="324"/>
      <c r="U992" s="155"/>
      <c r="V992" s="155"/>
      <c r="W992" s="322"/>
      <c r="X992" s="132"/>
      <c r="Y992" s="132"/>
    </row>
    <row r="993">
      <c r="A993" s="311"/>
      <c r="B993" s="312"/>
      <c r="C993" s="313"/>
      <c r="D993" s="313"/>
      <c r="E993" s="314"/>
      <c r="F993" s="315"/>
      <c r="G993" s="316"/>
      <c r="H993" s="317"/>
      <c r="I993" s="318"/>
      <c r="J993" s="319"/>
      <c r="K993" s="314"/>
      <c r="L993" s="314"/>
      <c r="M993" s="314"/>
      <c r="N993" s="314"/>
      <c r="O993" s="318"/>
      <c r="P993" s="314"/>
      <c r="Q993" s="314"/>
      <c r="R993" s="314"/>
      <c r="S993" s="314"/>
      <c r="T993" s="324"/>
      <c r="U993" s="155"/>
      <c r="V993" s="155"/>
      <c r="W993" s="322"/>
      <c r="X993" s="132"/>
      <c r="Y993" s="132"/>
    </row>
    <row r="994">
      <c r="A994" s="311"/>
      <c r="B994" s="312"/>
      <c r="C994" s="313"/>
      <c r="D994" s="313"/>
      <c r="E994" s="314"/>
      <c r="F994" s="315"/>
      <c r="G994" s="316"/>
      <c r="H994" s="317"/>
      <c r="I994" s="318"/>
      <c r="J994" s="319"/>
      <c r="K994" s="314"/>
      <c r="L994" s="314"/>
      <c r="M994" s="314"/>
      <c r="N994" s="314"/>
      <c r="O994" s="318"/>
      <c r="P994" s="314"/>
      <c r="Q994" s="314"/>
      <c r="R994" s="314"/>
      <c r="S994" s="314"/>
      <c r="T994" s="324"/>
      <c r="U994" s="155"/>
      <c r="V994" s="155"/>
      <c r="W994" s="322"/>
      <c r="X994" s="132"/>
      <c r="Y994" s="132"/>
    </row>
    <row r="995">
      <c r="A995" s="311"/>
      <c r="B995" s="312"/>
      <c r="C995" s="313"/>
      <c r="D995" s="313"/>
      <c r="E995" s="314"/>
      <c r="F995" s="315"/>
      <c r="G995" s="316"/>
      <c r="H995" s="317"/>
      <c r="I995" s="318"/>
      <c r="J995" s="319"/>
      <c r="K995" s="314"/>
      <c r="L995" s="314"/>
      <c r="M995" s="314"/>
      <c r="N995" s="314"/>
      <c r="O995" s="318"/>
      <c r="P995" s="314"/>
      <c r="Q995" s="314"/>
      <c r="R995" s="314"/>
      <c r="S995" s="314"/>
      <c r="T995" s="324"/>
      <c r="U995" s="155"/>
      <c r="V995" s="155"/>
      <c r="W995" s="322"/>
      <c r="X995" s="132"/>
      <c r="Y995" s="132"/>
    </row>
    <row r="996">
      <c r="A996" s="311"/>
      <c r="B996" s="312"/>
      <c r="C996" s="313"/>
      <c r="D996" s="313"/>
      <c r="E996" s="314"/>
      <c r="F996" s="315"/>
      <c r="G996" s="316"/>
      <c r="H996" s="317"/>
      <c r="I996" s="318"/>
      <c r="J996" s="319"/>
      <c r="K996" s="314"/>
      <c r="L996" s="314"/>
      <c r="M996" s="314"/>
      <c r="N996" s="314"/>
      <c r="O996" s="318"/>
      <c r="P996" s="314"/>
      <c r="Q996" s="314"/>
      <c r="R996" s="314"/>
      <c r="S996" s="314"/>
      <c r="T996" s="324"/>
      <c r="U996" s="155"/>
      <c r="V996" s="155"/>
      <c r="W996" s="322"/>
      <c r="X996" s="132"/>
      <c r="Y996" s="132"/>
    </row>
    <row r="997">
      <c r="A997" s="311"/>
      <c r="B997" s="312"/>
      <c r="C997" s="313"/>
      <c r="D997" s="313"/>
      <c r="E997" s="314"/>
      <c r="F997" s="315"/>
      <c r="G997" s="316"/>
      <c r="H997" s="317"/>
      <c r="I997" s="318"/>
      <c r="J997" s="319"/>
      <c r="K997" s="314"/>
      <c r="L997" s="314"/>
      <c r="M997" s="314"/>
      <c r="N997" s="314"/>
      <c r="O997" s="318"/>
      <c r="P997" s="314"/>
      <c r="Q997" s="314"/>
      <c r="R997" s="314"/>
      <c r="S997" s="314"/>
      <c r="T997" s="324"/>
      <c r="U997" s="155"/>
      <c r="V997" s="155"/>
      <c r="W997" s="322"/>
      <c r="X997" s="132"/>
      <c r="Y997" s="132"/>
    </row>
    <row r="998">
      <c r="A998" s="311"/>
      <c r="B998" s="312"/>
      <c r="C998" s="313"/>
      <c r="D998" s="313"/>
      <c r="E998" s="314"/>
      <c r="F998" s="315"/>
      <c r="G998" s="316"/>
      <c r="H998" s="317"/>
      <c r="I998" s="318"/>
      <c r="J998" s="319"/>
      <c r="K998" s="314"/>
      <c r="L998" s="314"/>
      <c r="M998" s="314"/>
      <c r="N998" s="314"/>
      <c r="O998" s="318"/>
      <c r="P998" s="314"/>
      <c r="Q998" s="314"/>
      <c r="R998" s="314"/>
      <c r="S998" s="314"/>
      <c r="T998" s="324"/>
      <c r="U998" s="155"/>
      <c r="V998" s="155"/>
      <c r="W998" s="322"/>
      <c r="X998" s="132"/>
      <c r="Y998" s="132"/>
    </row>
    <row r="999">
      <c r="A999" s="311"/>
      <c r="B999" s="312"/>
      <c r="C999" s="313"/>
      <c r="D999" s="313"/>
      <c r="E999" s="314"/>
      <c r="F999" s="315"/>
      <c r="G999" s="316"/>
      <c r="H999" s="317"/>
      <c r="I999" s="318"/>
      <c r="J999" s="319"/>
      <c r="K999" s="314"/>
      <c r="L999" s="314"/>
      <c r="M999" s="314"/>
      <c r="N999" s="314"/>
      <c r="O999" s="318"/>
      <c r="P999" s="314"/>
      <c r="Q999" s="314"/>
      <c r="R999" s="314"/>
      <c r="S999" s="314"/>
      <c r="T999" s="324"/>
      <c r="U999" s="155"/>
      <c r="V999" s="155"/>
      <c r="W999" s="322"/>
      <c r="X999" s="132"/>
      <c r="Y999" s="132"/>
    </row>
    <row r="1000">
      <c r="A1000" s="311"/>
      <c r="B1000" s="312"/>
      <c r="C1000" s="313"/>
      <c r="D1000" s="313"/>
      <c r="E1000" s="314"/>
      <c r="F1000" s="315"/>
      <c r="G1000" s="316"/>
      <c r="H1000" s="317"/>
      <c r="I1000" s="318"/>
      <c r="J1000" s="319"/>
      <c r="K1000" s="314"/>
      <c r="L1000" s="314"/>
      <c r="M1000" s="314"/>
      <c r="N1000" s="314"/>
      <c r="O1000" s="318"/>
      <c r="P1000" s="314"/>
      <c r="Q1000" s="314"/>
      <c r="R1000" s="314"/>
      <c r="S1000" s="314"/>
      <c r="T1000" s="324"/>
      <c r="U1000" s="155"/>
      <c r="V1000" s="155"/>
      <c r="W1000" s="322"/>
      <c r="X1000" s="132"/>
      <c r="Y1000" s="132"/>
    </row>
    <row r="1001">
      <c r="A1001" s="311"/>
      <c r="B1001" s="312"/>
      <c r="C1001" s="313"/>
      <c r="D1001" s="313"/>
      <c r="E1001" s="314"/>
      <c r="F1001" s="315"/>
      <c r="G1001" s="316"/>
      <c r="H1001" s="317"/>
      <c r="I1001" s="318"/>
      <c r="J1001" s="319"/>
      <c r="K1001" s="314"/>
      <c r="L1001" s="314"/>
      <c r="M1001" s="314"/>
      <c r="N1001" s="314"/>
      <c r="O1001" s="318"/>
      <c r="P1001" s="314"/>
      <c r="Q1001" s="314"/>
      <c r="R1001" s="314"/>
      <c r="S1001" s="314"/>
      <c r="T1001" s="324"/>
      <c r="U1001" s="155"/>
      <c r="V1001" s="155"/>
      <c r="W1001" s="322"/>
      <c r="X1001" s="132"/>
      <c r="Y1001" s="132"/>
    </row>
    <row r="1002">
      <c r="A1002" s="311"/>
      <c r="B1002" s="312"/>
      <c r="C1002" s="313"/>
      <c r="D1002" s="313"/>
      <c r="E1002" s="314"/>
      <c r="F1002" s="315"/>
      <c r="G1002" s="316"/>
      <c r="H1002" s="317"/>
      <c r="I1002" s="318"/>
      <c r="J1002" s="319"/>
      <c r="K1002" s="314"/>
      <c r="L1002" s="314"/>
      <c r="M1002" s="314"/>
      <c r="N1002" s="314"/>
      <c r="O1002" s="318"/>
      <c r="P1002" s="314"/>
      <c r="Q1002" s="314"/>
      <c r="R1002" s="314"/>
      <c r="S1002" s="314"/>
      <c r="T1002" s="324"/>
      <c r="U1002" s="155"/>
      <c r="V1002" s="155"/>
      <c r="W1002" s="322"/>
      <c r="X1002" s="132"/>
      <c r="Y1002" s="132"/>
    </row>
    <row r="1003">
      <c r="A1003" s="311"/>
      <c r="B1003" s="312"/>
      <c r="C1003" s="313"/>
      <c r="D1003" s="313"/>
      <c r="E1003" s="314"/>
      <c r="F1003" s="315"/>
      <c r="G1003" s="316"/>
      <c r="H1003" s="317"/>
      <c r="I1003" s="318"/>
      <c r="J1003" s="319"/>
      <c r="K1003" s="314"/>
      <c r="L1003" s="314"/>
      <c r="M1003" s="314"/>
      <c r="N1003" s="314"/>
      <c r="O1003" s="318"/>
      <c r="P1003" s="314"/>
      <c r="Q1003" s="314"/>
      <c r="R1003" s="314"/>
      <c r="S1003" s="314"/>
      <c r="T1003" s="324"/>
      <c r="U1003" s="155"/>
      <c r="V1003" s="155"/>
      <c r="W1003" s="322"/>
      <c r="X1003" s="132"/>
      <c r="Y1003" s="132"/>
    </row>
    <row r="1004">
      <c r="A1004" s="311"/>
      <c r="B1004" s="312"/>
      <c r="C1004" s="313"/>
      <c r="D1004" s="313"/>
      <c r="E1004" s="314"/>
      <c r="F1004" s="315"/>
      <c r="G1004" s="316"/>
      <c r="H1004" s="317"/>
      <c r="I1004" s="318"/>
      <c r="J1004" s="319"/>
      <c r="K1004" s="314"/>
      <c r="L1004" s="314"/>
      <c r="M1004" s="314"/>
      <c r="N1004" s="314"/>
      <c r="O1004" s="318"/>
      <c r="P1004" s="314"/>
      <c r="Q1004" s="314"/>
      <c r="R1004" s="314"/>
      <c r="S1004" s="314"/>
      <c r="T1004" s="324"/>
      <c r="U1004" s="155"/>
      <c r="V1004" s="155"/>
      <c r="W1004" s="322"/>
      <c r="X1004" s="132"/>
      <c r="Y1004" s="132"/>
    </row>
    <row r="1005">
      <c r="A1005" s="311"/>
      <c r="B1005" s="312"/>
      <c r="C1005" s="313"/>
      <c r="D1005" s="313"/>
      <c r="E1005" s="314"/>
      <c r="F1005" s="315"/>
      <c r="G1005" s="316"/>
      <c r="H1005" s="317"/>
      <c r="I1005" s="318"/>
      <c r="J1005" s="319"/>
      <c r="K1005" s="314"/>
      <c r="L1005" s="314"/>
      <c r="M1005" s="314"/>
      <c r="N1005" s="314"/>
      <c r="O1005" s="318"/>
      <c r="P1005" s="314"/>
      <c r="Q1005" s="314"/>
      <c r="R1005" s="314"/>
      <c r="S1005" s="314"/>
      <c r="T1005" s="324"/>
      <c r="U1005" s="155"/>
      <c r="V1005" s="155"/>
      <c r="W1005" s="322"/>
      <c r="X1005" s="132"/>
      <c r="Y1005" s="132"/>
    </row>
    <row r="1006">
      <c r="A1006" s="311"/>
      <c r="B1006" s="312"/>
      <c r="C1006" s="313"/>
      <c r="D1006" s="313"/>
      <c r="E1006" s="314"/>
      <c r="F1006" s="315"/>
      <c r="G1006" s="316"/>
      <c r="H1006" s="317"/>
      <c r="I1006" s="318"/>
      <c r="J1006" s="319"/>
      <c r="K1006" s="314"/>
      <c r="L1006" s="314"/>
      <c r="M1006" s="314"/>
      <c r="N1006" s="314"/>
      <c r="O1006" s="318"/>
      <c r="P1006" s="314"/>
      <c r="Q1006" s="314"/>
      <c r="R1006" s="314"/>
      <c r="S1006" s="314"/>
      <c r="T1006" s="324"/>
      <c r="U1006" s="155"/>
      <c r="V1006" s="155"/>
      <c r="W1006" s="322"/>
      <c r="X1006" s="132"/>
      <c r="Y1006" s="132"/>
    </row>
    <row r="1007">
      <c r="A1007" s="311"/>
      <c r="B1007" s="312"/>
      <c r="C1007" s="313"/>
      <c r="D1007" s="313"/>
      <c r="E1007" s="314"/>
      <c r="F1007" s="315"/>
      <c r="G1007" s="316"/>
      <c r="H1007" s="317"/>
      <c r="I1007" s="318"/>
      <c r="J1007" s="319"/>
      <c r="K1007" s="314"/>
      <c r="L1007" s="314"/>
      <c r="M1007" s="314"/>
      <c r="N1007" s="314"/>
      <c r="O1007" s="318"/>
      <c r="P1007" s="314"/>
      <c r="Q1007" s="314"/>
      <c r="R1007" s="314"/>
      <c r="S1007" s="314"/>
      <c r="T1007" s="324"/>
      <c r="U1007" s="155"/>
      <c r="V1007" s="155"/>
      <c r="W1007" s="322"/>
      <c r="X1007" s="132"/>
      <c r="Y1007" s="132"/>
    </row>
    <row r="1008">
      <c r="A1008" s="311"/>
      <c r="B1008" s="312"/>
      <c r="C1008" s="313"/>
      <c r="D1008" s="313"/>
      <c r="E1008" s="314"/>
      <c r="F1008" s="315"/>
      <c r="G1008" s="316"/>
      <c r="H1008" s="317"/>
      <c r="I1008" s="318"/>
      <c r="J1008" s="319"/>
      <c r="K1008" s="314"/>
      <c r="L1008" s="314"/>
      <c r="M1008" s="314"/>
      <c r="N1008" s="314"/>
      <c r="O1008" s="318"/>
      <c r="P1008" s="314"/>
      <c r="Q1008" s="314"/>
      <c r="R1008" s="314"/>
      <c r="S1008" s="314"/>
      <c r="T1008" s="324"/>
      <c r="U1008" s="155"/>
      <c r="V1008" s="155"/>
      <c r="W1008" s="322"/>
      <c r="X1008" s="132"/>
      <c r="Y1008" s="132"/>
    </row>
    <row r="1009">
      <c r="A1009" s="311"/>
      <c r="B1009" s="312"/>
      <c r="C1009" s="313"/>
      <c r="D1009" s="313"/>
      <c r="E1009" s="314"/>
      <c r="F1009" s="315"/>
      <c r="G1009" s="316"/>
      <c r="H1009" s="317"/>
      <c r="I1009" s="318"/>
      <c r="J1009" s="319"/>
      <c r="K1009" s="314"/>
      <c r="L1009" s="314"/>
      <c r="M1009" s="314"/>
      <c r="N1009" s="314"/>
      <c r="O1009" s="318"/>
      <c r="P1009" s="314"/>
      <c r="Q1009" s="314"/>
      <c r="R1009" s="314"/>
      <c r="S1009" s="314"/>
      <c r="T1009" s="324"/>
      <c r="U1009" s="155"/>
      <c r="V1009" s="155"/>
      <c r="W1009" s="322"/>
      <c r="X1009" s="132"/>
      <c r="Y1009" s="132"/>
    </row>
    <row r="1010">
      <c r="A1010" s="311"/>
      <c r="B1010" s="312"/>
      <c r="C1010" s="313"/>
      <c r="D1010" s="313"/>
      <c r="E1010" s="314"/>
      <c r="F1010" s="315"/>
      <c r="G1010" s="316"/>
      <c r="H1010" s="317"/>
      <c r="I1010" s="318"/>
      <c r="J1010" s="319"/>
      <c r="K1010" s="314"/>
      <c r="L1010" s="314"/>
      <c r="M1010" s="314"/>
      <c r="N1010" s="314"/>
      <c r="O1010" s="318"/>
      <c r="P1010" s="314"/>
      <c r="Q1010" s="314"/>
      <c r="R1010" s="314"/>
      <c r="S1010" s="314"/>
      <c r="T1010" s="324"/>
      <c r="U1010" s="155"/>
      <c r="V1010" s="155"/>
      <c r="W1010" s="322"/>
      <c r="X1010" s="132"/>
      <c r="Y1010" s="132"/>
    </row>
    <row r="1011">
      <c r="A1011" s="311"/>
      <c r="B1011" s="312"/>
      <c r="C1011" s="313"/>
      <c r="D1011" s="313"/>
      <c r="E1011" s="314"/>
      <c r="F1011" s="315"/>
      <c r="G1011" s="316"/>
      <c r="H1011" s="317"/>
      <c r="I1011" s="318"/>
      <c r="J1011" s="319"/>
      <c r="K1011" s="314"/>
      <c r="L1011" s="314"/>
      <c r="M1011" s="314"/>
      <c r="N1011" s="314"/>
      <c r="O1011" s="318"/>
      <c r="P1011" s="314"/>
      <c r="Q1011" s="314"/>
      <c r="R1011" s="314"/>
      <c r="S1011" s="314"/>
      <c r="T1011" s="324"/>
      <c r="U1011" s="155"/>
      <c r="V1011" s="155"/>
      <c r="W1011" s="322"/>
      <c r="X1011" s="132"/>
      <c r="Y1011" s="132"/>
    </row>
    <row r="1012">
      <c r="A1012" s="311"/>
      <c r="B1012" s="312"/>
      <c r="C1012" s="313"/>
      <c r="D1012" s="313"/>
      <c r="E1012" s="314"/>
      <c r="F1012" s="315"/>
      <c r="G1012" s="316"/>
      <c r="H1012" s="317"/>
      <c r="I1012" s="318"/>
      <c r="J1012" s="319"/>
      <c r="K1012" s="314"/>
      <c r="L1012" s="314"/>
      <c r="M1012" s="314"/>
      <c r="N1012" s="314"/>
      <c r="O1012" s="318"/>
      <c r="P1012" s="314"/>
      <c r="Q1012" s="314"/>
      <c r="R1012" s="314"/>
      <c r="S1012" s="314"/>
      <c r="T1012" s="324"/>
      <c r="U1012" s="155"/>
      <c r="V1012" s="155"/>
      <c r="W1012" s="322"/>
      <c r="X1012" s="132"/>
      <c r="Y1012" s="132"/>
    </row>
    <row r="1013">
      <c r="A1013" s="311"/>
      <c r="B1013" s="312"/>
      <c r="C1013" s="313"/>
      <c r="D1013" s="313"/>
      <c r="E1013" s="314"/>
      <c r="F1013" s="315"/>
      <c r="G1013" s="316"/>
      <c r="H1013" s="317"/>
      <c r="I1013" s="318"/>
      <c r="J1013" s="319"/>
      <c r="K1013" s="314"/>
      <c r="L1013" s="314"/>
      <c r="M1013" s="314"/>
      <c r="N1013" s="314"/>
      <c r="O1013" s="318"/>
      <c r="P1013" s="314"/>
      <c r="Q1013" s="314"/>
      <c r="R1013" s="314"/>
      <c r="S1013" s="314"/>
      <c r="T1013" s="324"/>
      <c r="U1013" s="155"/>
      <c r="V1013" s="155"/>
      <c r="W1013" s="322"/>
      <c r="X1013" s="132"/>
      <c r="Y1013" s="132"/>
    </row>
    <row r="1014">
      <c r="A1014" s="311"/>
      <c r="B1014" s="312"/>
      <c r="C1014" s="313"/>
      <c r="D1014" s="313"/>
      <c r="E1014" s="314"/>
      <c r="F1014" s="315"/>
      <c r="G1014" s="316"/>
      <c r="H1014" s="317"/>
      <c r="I1014" s="318"/>
      <c r="J1014" s="319"/>
      <c r="K1014" s="314"/>
      <c r="L1014" s="314"/>
      <c r="M1014" s="314"/>
      <c r="N1014" s="314"/>
      <c r="O1014" s="318"/>
      <c r="P1014" s="314"/>
      <c r="Q1014" s="314"/>
      <c r="R1014" s="314"/>
      <c r="S1014" s="314"/>
      <c r="T1014" s="324"/>
      <c r="U1014" s="155"/>
      <c r="V1014" s="155"/>
      <c r="W1014" s="322"/>
      <c r="X1014" s="132"/>
      <c r="Y1014" s="132"/>
    </row>
    <row r="1015">
      <c r="A1015" s="311"/>
      <c r="B1015" s="312"/>
      <c r="C1015" s="313"/>
      <c r="D1015" s="313"/>
      <c r="E1015" s="314"/>
      <c r="F1015" s="315"/>
      <c r="G1015" s="316"/>
      <c r="H1015" s="317"/>
      <c r="I1015" s="318"/>
      <c r="J1015" s="319"/>
      <c r="K1015" s="314"/>
      <c r="L1015" s="314"/>
      <c r="M1015" s="314"/>
      <c r="N1015" s="314"/>
      <c r="O1015" s="318"/>
      <c r="P1015" s="314"/>
      <c r="Q1015" s="314"/>
      <c r="R1015" s="314"/>
      <c r="S1015" s="314"/>
      <c r="T1015" s="324"/>
      <c r="U1015" s="155"/>
      <c r="V1015" s="155"/>
      <c r="W1015" s="322"/>
      <c r="X1015" s="132"/>
      <c r="Y1015" s="132"/>
    </row>
    <row r="1016">
      <c r="A1016" s="311"/>
      <c r="B1016" s="312"/>
      <c r="C1016" s="313"/>
      <c r="D1016" s="313"/>
      <c r="E1016" s="314"/>
      <c r="F1016" s="315"/>
      <c r="G1016" s="316"/>
      <c r="H1016" s="317"/>
      <c r="I1016" s="318"/>
      <c r="J1016" s="319"/>
      <c r="K1016" s="314"/>
      <c r="L1016" s="314"/>
      <c r="M1016" s="314"/>
      <c r="N1016" s="314"/>
      <c r="O1016" s="318"/>
      <c r="P1016" s="314"/>
      <c r="Q1016" s="314"/>
      <c r="R1016" s="314"/>
      <c r="S1016" s="314"/>
      <c r="T1016" s="324"/>
      <c r="U1016" s="155"/>
      <c r="V1016" s="155"/>
      <c r="W1016" s="322"/>
      <c r="X1016" s="132"/>
      <c r="Y1016" s="132"/>
    </row>
    <row r="1017">
      <c r="A1017" s="311"/>
      <c r="B1017" s="312"/>
      <c r="C1017" s="313"/>
      <c r="D1017" s="313"/>
      <c r="E1017" s="314"/>
      <c r="F1017" s="315"/>
      <c r="G1017" s="316"/>
      <c r="H1017" s="317"/>
      <c r="I1017" s="318"/>
      <c r="J1017" s="319"/>
      <c r="K1017" s="314"/>
      <c r="L1017" s="314"/>
      <c r="M1017" s="314"/>
      <c r="N1017" s="314"/>
      <c r="O1017" s="318"/>
      <c r="P1017" s="314"/>
      <c r="Q1017" s="314"/>
      <c r="R1017" s="314"/>
      <c r="S1017" s="314"/>
      <c r="T1017" s="324"/>
      <c r="U1017" s="155"/>
      <c r="V1017" s="155"/>
      <c r="W1017" s="322"/>
      <c r="X1017" s="132"/>
      <c r="Y1017" s="132"/>
    </row>
    <row r="1018">
      <c r="A1018" s="311"/>
      <c r="B1018" s="312"/>
      <c r="C1018" s="313"/>
      <c r="D1018" s="313"/>
      <c r="E1018" s="314"/>
      <c r="F1018" s="315"/>
      <c r="G1018" s="316"/>
      <c r="H1018" s="317"/>
      <c r="I1018" s="318"/>
      <c r="J1018" s="319"/>
      <c r="K1018" s="314"/>
      <c r="L1018" s="314"/>
      <c r="M1018" s="314"/>
      <c r="N1018" s="314"/>
      <c r="O1018" s="318"/>
      <c r="P1018" s="314"/>
      <c r="Q1018" s="314"/>
      <c r="R1018" s="314"/>
      <c r="S1018" s="314"/>
      <c r="T1018" s="324"/>
      <c r="U1018" s="155"/>
      <c r="V1018" s="155"/>
      <c r="W1018" s="322"/>
      <c r="X1018" s="132"/>
      <c r="Y1018" s="132"/>
    </row>
    <row r="1019">
      <c r="A1019" s="311"/>
      <c r="B1019" s="312"/>
      <c r="C1019" s="313"/>
      <c r="D1019" s="313"/>
      <c r="E1019" s="314"/>
      <c r="F1019" s="315"/>
      <c r="G1019" s="316"/>
      <c r="H1019" s="317"/>
      <c r="I1019" s="318"/>
      <c r="J1019" s="319"/>
      <c r="K1019" s="314"/>
      <c r="L1019" s="314"/>
      <c r="M1019" s="314"/>
      <c r="N1019" s="314"/>
      <c r="O1019" s="318"/>
      <c r="P1019" s="314"/>
      <c r="Q1019" s="314"/>
      <c r="R1019" s="314"/>
      <c r="S1019" s="314"/>
      <c r="T1019" s="324"/>
      <c r="U1019" s="155"/>
      <c r="V1019" s="155"/>
      <c r="W1019" s="322"/>
      <c r="X1019" s="132"/>
      <c r="Y1019" s="132"/>
    </row>
    <row r="1020">
      <c r="A1020" s="311"/>
      <c r="B1020" s="312"/>
      <c r="C1020" s="313"/>
      <c r="D1020" s="313"/>
      <c r="E1020" s="314"/>
      <c r="F1020" s="315"/>
      <c r="G1020" s="316"/>
      <c r="H1020" s="317"/>
      <c r="I1020" s="318"/>
      <c r="J1020" s="319"/>
      <c r="K1020" s="314"/>
      <c r="L1020" s="314"/>
      <c r="M1020" s="314"/>
      <c r="N1020" s="314"/>
      <c r="O1020" s="318"/>
      <c r="P1020" s="314"/>
      <c r="Q1020" s="314"/>
      <c r="R1020" s="314"/>
      <c r="S1020" s="314"/>
      <c r="T1020" s="324"/>
      <c r="U1020" s="155"/>
      <c r="V1020" s="155"/>
      <c r="W1020" s="322"/>
      <c r="X1020" s="132"/>
      <c r="Y1020" s="132"/>
    </row>
    <row r="1021">
      <c r="A1021" s="311"/>
      <c r="B1021" s="312"/>
      <c r="C1021" s="313"/>
      <c r="D1021" s="313"/>
      <c r="E1021" s="314"/>
      <c r="F1021" s="315"/>
      <c r="G1021" s="316"/>
      <c r="H1021" s="317"/>
      <c r="I1021" s="318"/>
      <c r="J1021" s="319"/>
      <c r="K1021" s="314"/>
      <c r="L1021" s="314"/>
      <c r="M1021" s="314"/>
      <c r="N1021" s="314"/>
      <c r="O1021" s="318"/>
      <c r="P1021" s="314"/>
      <c r="Q1021" s="314"/>
      <c r="R1021" s="314"/>
      <c r="S1021" s="314"/>
      <c r="T1021" s="324"/>
      <c r="U1021" s="155"/>
      <c r="V1021" s="155"/>
      <c r="W1021" s="322"/>
      <c r="X1021" s="132"/>
      <c r="Y1021" s="132"/>
    </row>
    <row r="1022">
      <c r="A1022" s="311"/>
      <c r="B1022" s="312"/>
      <c r="C1022" s="313"/>
      <c r="D1022" s="313"/>
      <c r="E1022" s="314"/>
      <c r="F1022" s="315"/>
      <c r="G1022" s="316"/>
      <c r="H1022" s="317"/>
      <c r="I1022" s="318"/>
      <c r="J1022" s="319"/>
      <c r="K1022" s="314"/>
      <c r="L1022" s="314"/>
      <c r="M1022" s="314"/>
      <c r="N1022" s="314"/>
      <c r="O1022" s="318"/>
      <c r="P1022" s="314"/>
      <c r="Q1022" s="314"/>
      <c r="R1022" s="314"/>
      <c r="S1022" s="314"/>
      <c r="T1022" s="324"/>
      <c r="U1022" s="155"/>
      <c r="V1022" s="155"/>
      <c r="W1022" s="322"/>
      <c r="X1022" s="132"/>
      <c r="Y1022" s="132"/>
    </row>
    <row r="1023">
      <c r="A1023" s="311"/>
      <c r="B1023" s="312"/>
      <c r="C1023" s="313"/>
      <c r="D1023" s="313"/>
      <c r="E1023" s="314"/>
      <c r="F1023" s="315"/>
      <c r="G1023" s="316"/>
      <c r="H1023" s="317"/>
      <c r="I1023" s="318"/>
      <c r="J1023" s="319"/>
      <c r="K1023" s="314"/>
      <c r="L1023" s="314"/>
      <c r="M1023" s="314"/>
      <c r="N1023" s="314"/>
      <c r="O1023" s="318"/>
      <c r="P1023" s="314"/>
      <c r="Q1023" s="314"/>
      <c r="R1023" s="314"/>
      <c r="S1023" s="314"/>
      <c r="T1023" s="324"/>
      <c r="U1023" s="155"/>
      <c r="V1023" s="155"/>
      <c r="W1023" s="322"/>
      <c r="X1023" s="132"/>
      <c r="Y1023" s="132"/>
    </row>
    <row r="1024">
      <c r="A1024" s="311"/>
      <c r="B1024" s="312"/>
      <c r="C1024" s="313"/>
      <c r="D1024" s="313"/>
      <c r="E1024" s="314"/>
      <c r="F1024" s="315"/>
      <c r="G1024" s="316"/>
      <c r="H1024" s="317"/>
      <c r="I1024" s="318"/>
      <c r="J1024" s="319"/>
      <c r="K1024" s="314"/>
      <c r="L1024" s="314"/>
      <c r="M1024" s="314"/>
      <c r="N1024" s="314"/>
      <c r="O1024" s="318"/>
      <c r="P1024" s="314"/>
      <c r="Q1024" s="314"/>
      <c r="R1024" s="314"/>
      <c r="S1024" s="314"/>
      <c r="T1024" s="324"/>
      <c r="U1024" s="155"/>
      <c r="V1024" s="155"/>
      <c r="W1024" s="322"/>
      <c r="X1024" s="132"/>
      <c r="Y1024" s="132"/>
    </row>
  </sheetData>
  <mergeCells count="38">
    <mergeCell ref="X1:Y1"/>
    <mergeCell ref="A2:V2"/>
    <mergeCell ref="X3:X5"/>
    <mergeCell ref="Y3:Y5"/>
    <mergeCell ref="X12:Y12"/>
    <mergeCell ref="X13:Y13"/>
    <mergeCell ref="A44:U44"/>
    <mergeCell ref="A45:V45"/>
    <mergeCell ref="A58:U58"/>
    <mergeCell ref="A59:V59"/>
    <mergeCell ref="A64:U64"/>
    <mergeCell ref="A65:V65"/>
    <mergeCell ref="A68:U68"/>
    <mergeCell ref="A69:V69"/>
    <mergeCell ref="A85:U85"/>
    <mergeCell ref="A86:V86"/>
    <mergeCell ref="A88:U88"/>
    <mergeCell ref="A89:V89"/>
    <mergeCell ref="A96:U96"/>
    <mergeCell ref="A97:V97"/>
    <mergeCell ref="A103:U103"/>
    <mergeCell ref="A104:V104"/>
    <mergeCell ref="A108:U108"/>
    <mergeCell ref="A109:V109"/>
    <mergeCell ref="A119:U119"/>
    <mergeCell ref="A120:V120"/>
    <mergeCell ref="A127:U127"/>
    <mergeCell ref="A128:V128"/>
    <mergeCell ref="A160:V160"/>
    <mergeCell ref="A165:U165"/>
    <mergeCell ref="T166:U166"/>
    <mergeCell ref="A131:U131"/>
    <mergeCell ref="A132:V132"/>
    <mergeCell ref="A136:U136"/>
    <mergeCell ref="A137:V137"/>
    <mergeCell ref="A144:U144"/>
    <mergeCell ref="A145:V145"/>
    <mergeCell ref="A159:U15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75"/>
    <col customWidth="1" min="2" max="2" width="3.63"/>
    <col customWidth="1" min="3" max="3" width="3.38"/>
    <col customWidth="1" min="4" max="26" width="3.63"/>
    <col customWidth="1" min="27" max="27" width="10.63"/>
    <col customWidth="1" min="28" max="28" width="9.88"/>
    <col customWidth="1" min="29" max="29" width="18.63"/>
    <col customWidth="1" min="30" max="30" width="3.88"/>
    <col customWidth="1" min="31" max="31" width="11.5"/>
    <col customWidth="1" min="32" max="32" width="23.5"/>
  </cols>
  <sheetData>
    <row r="1" ht="50.25" customHeight="1">
      <c r="A1" s="1">
        <v>46023.0</v>
      </c>
      <c r="B1" s="2">
        <v>46029.0</v>
      </c>
      <c r="C1" s="2">
        <v>46030.0</v>
      </c>
      <c r="D1" s="4">
        <v>46031.0</v>
      </c>
      <c r="E1" s="2">
        <v>46032.0</v>
      </c>
      <c r="F1" s="6">
        <v>46033.0</v>
      </c>
      <c r="G1" s="2">
        <v>46034.0</v>
      </c>
      <c r="H1" s="2">
        <v>46035.0</v>
      </c>
      <c r="I1" s="2">
        <v>46036.0</v>
      </c>
      <c r="J1" s="2">
        <v>46037.0</v>
      </c>
      <c r="K1" s="2">
        <v>46038.0</v>
      </c>
      <c r="L1" s="2">
        <v>46039.0</v>
      </c>
      <c r="M1" s="6">
        <v>46040.0</v>
      </c>
      <c r="N1" s="10">
        <v>46041.0</v>
      </c>
      <c r="O1" s="10">
        <v>46042.0</v>
      </c>
      <c r="P1" s="10">
        <v>46043.0</v>
      </c>
      <c r="Q1" s="10">
        <v>46044.0</v>
      </c>
      <c r="R1" s="10">
        <v>46045.0</v>
      </c>
      <c r="S1" s="8">
        <v>46046.0</v>
      </c>
      <c r="T1" s="9">
        <v>46047.0</v>
      </c>
      <c r="U1" s="12">
        <v>46048.0</v>
      </c>
      <c r="V1" s="2">
        <v>46049.0</v>
      </c>
      <c r="W1" s="19">
        <v>46050.0</v>
      </c>
      <c r="X1" s="10">
        <v>46051.0</v>
      </c>
      <c r="Y1" s="10">
        <v>46052.0</v>
      </c>
      <c r="Z1" s="8">
        <v>46053.0</v>
      </c>
      <c r="AA1" s="14" t="s">
        <v>0</v>
      </c>
      <c r="AB1" s="15" t="s">
        <v>1</v>
      </c>
      <c r="AC1" s="15" t="s">
        <v>2</v>
      </c>
      <c r="AD1" s="17"/>
      <c r="AE1" s="20" t="s">
        <v>3</v>
      </c>
      <c r="AF1" s="22"/>
    </row>
    <row r="2">
      <c r="A2" s="24" t="s">
        <v>4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8"/>
      <c r="AD2" s="17"/>
      <c r="AE2" s="29"/>
      <c r="AF2" s="31" t="s">
        <v>5</v>
      </c>
    </row>
    <row r="3">
      <c r="A3" s="33" t="s">
        <v>6</v>
      </c>
      <c r="B3" s="42">
        <v>4.0</v>
      </c>
      <c r="C3" s="46"/>
      <c r="D3" s="48"/>
      <c r="E3" s="49">
        <v>1.0</v>
      </c>
      <c r="F3" s="51"/>
      <c r="G3" s="54"/>
      <c r="H3" s="49">
        <v>1.0</v>
      </c>
      <c r="I3" s="49">
        <v>122.0</v>
      </c>
      <c r="J3" s="54"/>
      <c r="K3" s="49">
        <v>9.0</v>
      </c>
      <c r="L3" s="49">
        <v>1.0</v>
      </c>
      <c r="M3" s="51"/>
      <c r="N3" s="54"/>
      <c r="O3" s="49">
        <v>1.0</v>
      </c>
      <c r="P3" s="46"/>
      <c r="Q3" s="46"/>
      <c r="R3" s="59">
        <v>1.0</v>
      </c>
      <c r="S3" s="60"/>
      <c r="T3" s="63">
        <v>74.0</v>
      </c>
      <c r="U3" s="66"/>
      <c r="V3" s="49">
        <v>1.0</v>
      </c>
      <c r="W3" s="69"/>
      <c r="X3" s="46"/>
      <c r="Y3" s="59">
        <v>6.0</v>
      </c>
      <c r="Z3" s="60"/>
      <c r="AA3" s="62">
        <f t="shared" ref="AA3:AA43" si="1">SUM(B3:Z3)</f>
        <v>221</v>
      </c>
      <c r="AB3" s="65">
        <v>50.0</v>
      </c>
      <c r="AC3" s="68">
        <f t="shared" ref="AC3:AC43" si="2">AA3*AB3</f>
        <v>11050</v>
      </c>
      <c r="AD3" s="17"/>
      <c r="AE3" s="71"/>
      <c r="AF3" s="73" t="s">
        <v>12</v>
      </c>
    </row>
    <row r="4">
      <c r="A4" s="33" t="s">
        <v>10</v>
      </c>
      <c r="B4" s="46"/>
      <c r="C4" s="46"/>
      <c r="D4" s="48"/>
      <c r="E4" s="46"/>
      <c r="F4" s="51"/>
      <c r="G4" s="54"/>
      <c r="H4" s="46"/>
      <c r="I4" s="46"/>
      <c r="J4" s="54"/>
      <c r="K4" s="46"/>
      <c r="L4" s="46"/>
      <c r="M4" s="51"/>
      <c r="N4" s="54"/>
      <c r="O4" s="46"/>
      <c r="P4" s="46"/>
      <c r="Q4" s="46"/>
      <c r="R4" s="46"/>
      <c r="S4" s="60"/>
      <c r="T4" s="88"/>
      <c r="U4" s="66"/>
      <c r="V4" s="46"/>
      <c r="W4" s="69"/>
      <c r="X4" s="46"/>
      <c r="Y4" s="46"/>
      <c r="Z4" s="60"/>
      <c r="AA4" s="62">
        <f t="shared" si="1"/>
        <v>0</v>
      </c>
      <c r="AB4" s="80">
        <v>18.0</v>
      </c>
      <c r="AC4" s="68">
        <f t="shared" si="2"/>
        <v>0</v>
      </c>
      <c r="AD4" s="17"/>
      <c r="AE4" s="81"/>
      <c r="AF4" s="81"/>
    </row>
    <row r="5">
      <c r="A5" s="33" t="s">
        <v>13</v>
      </c>
      <c r="B5" s="42">
        <v>2.0</v>
      </c>
      <c r="C5" s="42">
        <v>3.0</v>
      </c>
      <c r="D5" s="48"/>
      <c r="E5" s="46"/>
      <c r="F5" s="51"/>
      <c r="G5" s="54"/>
      <c r="H5" s="46"/>
      <c r="I5" s="49">
        <v>3.0</v>
      </c>
      <c r="J5" s="92">
        <v>9.0</v>
      </c>
      <c r="K5" s="49">
        <v>7.0</v>
      </c>
      <c r="L5" s="49">
        <v>2.0</v>
      </c>
      <c r="M5" s="51"/>
      <c r="N5" s="92">
        <v>1.0</v>
      </c>
      <c r="O5" s="49">
        <v>1.0</v>
      </c>
      <c r="P5" s="46"/>
      <c r="Q5" s="49">
        <v>2.0</v>
      </c>
      <c r="R5" s="59">
        <v>3.0</v>
      </c>
      <c r="S5" s="60"/>
      <c r="T5" s="88"/>
      <c r="U5" s="66"/>
      <c r="V5" s="49">
        <v>2.0</v>
      </c>
      <c r="W5" s="69"/>
      <c r="X5" s="59">
        <v>2.0</v>
      </c>
      <c r="Y5" s="59">
        <v>5.0</v>
      </c>
      <c r="Z5" s="60"/>
      <c r="AA5" s="62">
        <f t="shared" si="1"/>
        <v>42</v>
      </c>
      <c r="AB5" s="80">
        <v>200.0</v>
      </c>
      <c r="AC5" s="68">
        <f t="shared" si="2"/>
        <v>8400</v>
      </c>
      <c r="AD5" s="17"/>
      <c r="AE5" s="91"/>
      <c r="AF5" s="91"/>
    </row>
    <row r="6" ht="18.75" customHeight="1">
      <c r="A6" s="33" t="s">
        <v>16</v>
      </c>
      <c r="B6" s="42">
        <v>1.0</v>
      </c>
      <c r="C6" s="46"/>
      <c r="D6" s="48"/>
      <c r="E6" s="46"/>
      <c r="F6" s="51"/>
      <c r="G6" s="54"/>
      <c r="H6" s="46"/>
      <c r="I6" s="46"/>
      <c r="J6" s="54"/>
      <c r="K6" s="46"/>
      <c r="L6" s="46"/>
      <c r="M6" s="51"/>
      <c r="N6" s="54"/>
      <c r="O6" s="49">
        <v>1.0</v>
      </c>
      <c r="P6" s="49">
        <v>1.0</v>
      </c>
      <c r="Q6" s="46"/>
      <c r="R6" s="46"/>
      <c r="S6" s="60"/>
      <c r="T6" s="88"/>
      <c r="U6" s="66"/>
      <c r="V6" s="46"/>
      <c r="W6" s="69"/>
      <c r="X6" s="46"/>
      <c r="Y6" s="46"/>
      <c r="Z6" s="60"/>
      <c r="AA6" s="62">
        <f t="shared" si="1"/>
        <v>3</v>
      </c>
      <c r="AB6" s="80">
        <v>850.0</v>
      </c>
      <c r="AC6" s="68">
        <f t="shared" si="2"/>
        <v>2550</v>
      </c>
      <c r="AD6" s="17"/>
      <c r="AE6" s="97"/>
      <c r="AF6" s="98" t="s">
        <v>18</v>
      </c>
    </row>
    <row r="7">
      <c r="A7" s="33" t="s">
        <v>19</v>
      </c>
      <c r="B7" s="42">
        <v>4.0</v>
      </c>
      <c r="C7" s="42">
        <v>4.0</v>
      </c>
      <c r="D7" s="48"/>
      <c r="E7" s="49">
        <v>3.0</v>
      </c>
      <c r="F7" s="51"/>
      <c r="G7" s="92">
        <v>10.0</v>
      </c>
      <c r="H7" s="49">
        <v>2.0</v>
      </c>
      <c r="I7" s="49">
        <v>22.0</v>
      </c>
      <c r="J7" s="92">
        <v>14.0</v>
      </c>
      <c r="K7" s="49">
        <v>9.0</v>
      </c>
      <c r="L7" s="46"/>
      <c r="M7" s="51"/>
      <c r="N7" s="54"/>
      <c r="O7" s="46"/>
      <c r="P7" s="46"/>
      <c r="Q7" s="46"/>
      <c r="R7" s="46"/>
      <c r="S7" s="60"/>
      <c r="T7" s="63">
        <v>361.0</v>
      </c>
      <c r="U7" s="66"/>
      <c r="V7" s="49">
        <v>15.0</v>
      </c>
      <c r="W7" s="69"/>
      <c r="X7" s="59">
        <v>16.0</v>
      </c>
      <c r="Y7" s="59">
        <v>20.0</v>
      </c>
      <c r="Z7" s="105">
        <v>34.0</v>
      </c>
      <c r="AA7" s="62">
        <f t="shared" si="1"/>
        <v>514</v>
      </c>
      <c r="AB7" s="80">
        <v>180.0</v>
      </c>
      <c r="AC7" s="68">
        <f t="shared" si="2"/>
        <v>92520</v>
      </c>
      <c r="AD7" s="17"/>
      <c r="AE7" s="109"/>
      <c r="AF7" s="112" t="s">
        <v>26</v>
      </c>
    </row>
    <row r="8">
      <c r="A8" s="33" t="s">
        <v>23</v>
      </c>
      <c r="B8" s="42">
        <v>1.0</v>
      </c>
      <c r="C8" s="46"/>
      <c r="D8" s="48"/>
      <c r="E8" s="49">
        <v>1.0</v>
      </c>
      <c r="F8" s="51"/>
      <c r="G8" s="92">
        <v>1.0</v>
      </c>
      <c r="H8" s="46"/>
      <c r="I8" s="46"/>
      <c r="J8" s="54"/>
      <c r="K8" s="49">
        <v>2.0</v>
      </c>
      <c r="L8" s="46"/>
      <c r="M8" s="51"/>
      <c r="N8" s="92">
        <v>1.0</v>
      </c>
      <c r="O8" s="46"/>
      <c r="P8" s="49">
        <v>2.0</v>
      </c>
      <c r="Q8" s="49">
        <v>2.0</v>
      </c>
      <c r="R8" s="46"/>
      <c r="S8" s="60"/>
      <c r="T8" s="88"/>
      <c r="U8" s="66"/>
      <c r="V8" s="46"/>
      <c r="W8" s="69"/>
      <c r="X8" s="46"/>
      <c r="Y8" s="46"/>
      <c r="Z8" s="60"/>
      <c r="AA8" s="62">
        <f t="shared" si="1"/>
        <v>10</v>
      </c>
      <c r="AB8" s="80">
        <v>120.0</v>
      </c>
      <c r="AC8" s="68">
        <f t="shared" si="2"/>
        <v>1200</v>
      </c>
      <c r="AD8" s="17"/>
      <c r="AE8" s="91"/>
      <c r="AF8" s="91"/>
    </row>
    <row r="9">
      <c r="A9" s="33" t="s">
        <v>27</v>
      </c>
      <c r="B9" s="42">
        <v>1.0</v>
      </c>
      <c r="C9" s="46"/>
      <c r="D9" s="48"/>
      <c r="E9" s="46"/>
      <c r="F9" s="51"/>
      <c r="G9" s="92">
        <v>201.0</v>
      </c>
      <c r="H9" s="49">
        <v>1.0</v>
      </c>
      <c r="I9" s="49">
        <v>2.0</v>
      </c>
      <c r="J9" s="54"/>
      <c r="K9" s="49">
        <v>1.0</v>
      </c>
      <c r="L9" s="46"/>
      <c r="M9" s="51"/>
      <c r="N9" s="92">
        <v>2.0</v>
      </c>
      <c r="O9" s="46"/>
      <c r="P9" s="46"/>
      <c r="Q9" s="46"/>
      <c r="R9" s="46"/>
      <c r="S9" s="60"/>
      <c r="T9" s="63">
        <v>63.0</v>
      </c>
      <c r="U9" s="66"/>
      <c r="V9" s="49">
        <v>2.0</v>
      </c>
      <c r="W9" s="69"/>
      <c r="X9" s="46"/>
      <c r="Y9" s="59">
        <v>1.0</v>
      </c>
      <c r="Z9" s="60"/>
      <c r="AA9" s="62">
        <f t="shared" si="1"/>
        <v>274</v>
      </c>
      <c r="AB9" s="80">
        <v>160.0</v>
      </c>
      <c r="AC9" s="68">
        <f t="shared" si="2"/>
        <v>43840</v>
      </c>
      <c r="AD9" s="17"/>
      <c r="AE9" s="110"/>
      <c r="AF9" s="111" t="s">
        <v>31</v>
      </c>
    </row>
    <row r="10">
      <c r="A10" s="33" t="s">
        <v>32</v>
      </c>
      <c r="B10" s="42">
        <v>5.0</v>
      </c>
      <c r="C10" s="42">
        <v>1.0</v>
      </c>
      <c r="D10" s="48"/>
      <c r="E10" s="46"/>
      <c r="F10" s="51"/>
      <c r="G10" s="54"/>
      <c r="H10" s="46"/>
      <c r="I10" s="49">
        <v>8.0</v>
      </c>
      <c r="J10" s="92">
        <v>6.0</v>
      </c>
      <c r="K10" s="49">
        <v>5.0</v>
      </c>
      <c r="L10" s="49">
        <v>3.0</v>
      </c>
      <c r="M10" s="51"/>
      <c r="N10" s="92">
        <v>1.0</v>
      </c>
      <c r="O10" s="49">
        <v>1.0</v>
      </c>
      <c r="P10" s="49">
        <v>3.0</v>
      </c>
      <c r="Q10" s="49">
        <v>1.0</v>
      </c>
      <c r="R10" s="59">
        <v>2.0</v>
      </c>
      <c r="S10" s="60"/>
      <c r="T10" s="63">
        <v>33.0</v>
      </c>
      <c r="U10" s="66"/>
      <c r="V10" s="49">
        <v>1.0</v>
      </c>
      <c r="W10" s="69"/>
      <c r="X10" s="59">
        <v>1.0</v>
      </c>
      <c r="Y10" s="59">
        <v>1.0</v>
      </c>
      <c r="Z10" s="60"/>
      <c r="AA10" s="62">
        <f t="shared" si="1"/>
        <v>72</v>
      </c>
      <c r="AB10" s="80">
        <v>350.0</v>
      </c>
      <c r="AC10" s="68">
        <f t="shared" si="2"/>
        <v>25200</v>
      </c>
      <c r="AD10" s="17"/>
      <c r="AE10" s="123"/>
      <c r="AF10" s="111" t="s">
        <v>42</v>
      </c>
    </row>
    <row r="11">
      <c r="A11" s="33" t="s">
        <v>34</v>
      </c>
      <c r="B11" s="46"/>
      <c r="C11" s="46"/>
      <c r="D11" s="48"/>
      <c r="E11" s="46"/>
      <c r="F11" s="51"/>
      <c r="G11" s="54"/>
      <c r="H11" s="46"/>
      <c r="I11" s="46"/>
      <c r="J11" s="54"/>
      <c r="K11" s="49">
        <v>1.0</v>
      </c>
      <c r="L11" s="49">
        <v>1.0</v>
      </c>
      <c r="M11" s="51"/>
      <c r="N11" s="54"/>
      <c r="O11" s="46"/>
      <c r="P11" s="46"/>
      <c r="Q11" s="46"/>
      <c r="R11" s="46"/>
      <c r="S11" s="60"/>
      <c r="T11" s="88"/>
      <c r="U11" s="66"/>
      <c r="V11" s="46"/>
      <c r="W11" s="69"/>
      <c r="X11" s="46"/>
      <c r="Y11" s="46"/>
      <c r="Z11" s="60"/>
      <c r="AA11" s="62">
        <f t="shared" si="1"/>
        <v>2</v>
      </c>
      <c r="AB11" s="80">
        <v>350.0</v>
      </c>
      <c r="AC11" s="68">
        <f t="shared" si="2"/>
        <v>700</v>
      </c>
      <c r="AD11" s="17"/>
      <c r="AE11" s="113"/>
      <c r="AF11" s="113"/>
    </row>
    <row r="12">
      <c r="A12" s="33" t="s">
        <v>36</v>
      </c>
      <c r="B12" s="46"/>
      <c r="C12" s="46"/>
      <c r="D12" s="48"/>
      <c r="E12" s="46"/>
      <c r="F12" s="51"/>
      <c r="G12" s="54"/>
      <c r="H12" s="46"/>
      <c r="I12" s="46"/>
      <c r="J12" s="54"/>
      <c r="K12" s="46"/>
      <c r="L12" s="49">
        <v>2.0</v>
      </c>
      <c r="M12" s="51"/>
      <c r="N12" s="54"/>
      <c r="O12" s="46"/>
      <c r="P12" s="49">
        <v>1.0</v>
      </c>
      <c r="Q12" s="46"/>
      <c r="R12" s="59">
        <v>5.0</v>
      </c>
      <c r="S12" s="60"/>
      <c r="T12" s="88"/>
      <c r="U12" s="66"/>
      <c r="V12" s="46"/>
      <c r="W12" s="69"/>
      <c r="X12" s="46"/>
      <c r="Y12" s="59">
        <v>2.0</v>
      </c>
      <c r="Z12" s="60"/>
      <c r="AA12" s="62">
        <f t="shared" si="1"/>
        <v>10</v>
      </c>
      <c r="AB12" s="80">
        <v>1200.0</v>
      </c>
      <c r="AC12" s="68">
        <f t="shared" si="2"/>
        <v>12000</v>
      </c>
      <c r="AD12" s="17"/>
      <c r="AE12" s="117" t="s">
        <v>35</v>
      </c>
      <c r="AF12" s="22"/>
    </row>
    <row r="13">
      <c r="A13" s="33" t="s">
        <v>39</v>
      </c>
      <c r="B13" s="46"/>
      <c r="C13" s="46"/>
      <c r="D13" s="48"/>
      <c r="E13" s="46"/>
      <c r="F13" s="51"/>
      <c r="G13" s="54"/>
      <c r="H13" s="46"/>
      <c r="I13" s="46"/>
      <c r="J13" s="54"/>
      <c r="K13" s="49">
        <v>2.0</v>
      </c>
      <c r="L13" s="46"/>
      <c r="M13" s="51"/>
      <c r="N13" s="54"/>
      <c r="O13" s="46"/>
      <c r="P13" s="46"/>
      <c r="Q13" s="46"/>
      <c r="R13" s="46"/>
      <c r="S13" s="60"/>
      <c r="T13" s="88"/>
      <c r="U13" s="66"/>
      <c r="V13" s="46"/>
      <c r="W13" s="69"/>
      <c r="X13" s="46"/>
      <c r="Y13" s="59">
        <v>1.0</v>
      </c>
      <c r="Z13" s="105">
        <v>2.0</v>
      </c>
      <c r="AA13" s="62">
        <f t="shared" si="1"/>
        <v>5</v>
      </c>
      <c r="AB13" s="80">
        <v>490.0</v>
      </c>
      <c r="AC13" s="68">
        <f t="shared" si="2"/>
        <v>2450</v>
      </c>
      <c r="AD13" s="17"/>
      <c r="AE13" s="120" t="s">
        <v>51</v>
      </c>
      <c r="AF13" s="22"/>
    </row>
    <row r="14">
      <c r="A14" s="33" t="s">
        <v>44</v>
      </c>
      <c r="B14" s="46"/>
      <c r="C14" s="46"/>
      <c r="D14" s="48"/>
      <c r="E14" s="46"/>
      <c r="F14" s="51"/>
      <c r="G14" s="92">
        <v>4.0</v>
      </c>
      <c r="H14" s="49">
        <v>1.0</v>
      </c>
      <c r="I14" s="49">
        <v>6.0</v>
      </c>
      <c r="J14" s="54"/>
      <c r="K14" s="46"/>
      <c r="L14" s="46"/>
      <c r="M14" s="51"/>
      <c r="N14" s="54"/>
      <c r="O14" s="49">
        <v>1.0</v>
      </c>
      <c r="P14" s="49">
        <v>1.0</v>
      </c>
      <c r="Q14" s="46"/>
      <c r="R14" s="46"/>
      <c r="S14" s="60"/>
      <c r="T14" s="63">
        <v>39.0</v>
      </c>
      <c r="U14" s="66"/>
      <c r="V14" s="49">
        <v>1.0</v>
      </c>
      <c r="W14" s="69"/>
      <c r="X14" s="46"/>
      <c r="Y14" s="59">
        <v>2.0</v>
      </c>
      <c r="Z14" s="105">
        <v>16.0</v>
      </c>
      <c r="AA14" s="62">
        <f t="shared" si="1"/>
        <v>71</v>
      </c>
      <c r="AB14" s="80">
        <v>130.0</v>
      </c>
      <c r="AC14" s="68">
        <f t="shared" si="2"/>
        <v>9230</v>
      </c>
      <c r="AD14" s="17"/>
      <c r="AE14" s="132"/>
      <c r="AF14" s="132"/>
    </row>
    <row r="15">
      <c r="A15" s="33" t="s">
        <v>47</v>
      </c>
      <c r="B15" s="46"/>
      <c r="C15" s="46"/>
      <c r="D15" s="48"/>
      <c r="E15" s="46"/>
      <c r="F15" s="51"/>
      <c r="G15" s="54"/>
      <c r="H15" s="49">
        <v>1.0</v>
      </c>
      <c r="I15" s="49">
        <v>32.0</v>
      </c>
      <c r="J15" s="54"/>
      <c r="K15" s="49">
        <v>2.0</v>
      </c>
      <c r="L15" s="49">
        <v>1.0</v>
      </c>
      <c r="M15" s="51"/>
      <c r="N15" s="54"/>
      <c r="O15" s="46"/>
      <c r="P15" s="46"/>
      <c r="Q15" s="46"/>
      <c r="R15" s="46"/>
      <c r="S15" s="60"/>
      <c r="T15" s="63">
        <v>53.0</v>
      </c>
      <c r="U15" s="66"/>
      <c r="V15" s="46"/>
      <c r="W15" s="69"/>
      <c r="X15" s="46"/>
      <c r="Y15" s="46"/>
      <c r="Z15" s="105">
        <v>2.0</v>
      </c>
      <c r="AA15" s="62">
        <f t="shared" si="1"/>
        <v>91</v>
      </c>
      <c r="AB15" s="80">
        <v>60.0</v>
      </c>
      <c r="AC15" s="68">
        <f t="shared" si="2"/>
        <v>5460</v>
      </c>
      <c r="AD15" s="17"/>
      <c r="AE15" s="132"/>
      <c r="AF15" s="132"/>
    </row>
    <row r="16">
      <c r="A16" s="33" t="s">
        <v>50</v>
      </c>
      <c r="B16" s="46"/>
      <c r="C16" s="46"/>
      <c r="D16" s="48"/>
      <c r="E16" s="46"/>
      <c r="F16" s="51"/>
      <c r="G16" s="54"/>
      <c r="H16" s="46"/>
      <c r="I16" s="46"/>
      <c r="J16" s="54"/>
      <c r="K16" s="46"/>
      <c r="L16" s="49">
        <v>1.0</v>
      </c>
      <c r="M16" s="51"/>
      <c r="N16" s="54"/>
      <c r="O16" s="46"/>
      <c r="P16" s="46"/>
      <c r="Q16" s="46"/>
      <c r="R16" s="59">
        <v>1.0</v>
      </c>
      <c r="S16" s="60"/>
      <c r="T16" s="63">
        <v>51.0</v>
      </c>
      <c r="U16" s="66"/>
      <c r="V16" s="46"/>
      <c r="W16" s="69"/>
      <c r="X16" s="46"/>
      <c r="Y16" s="59">
        <v>1.0</v>
      </c>
      <c r="Z16" s="105">
        <v>16.0</v>
      </c>
      <c r="AA16" s="62">
        <f t="shared" si="1"/>
        <v>70</v>
      </c>
      <c r="AB16" s="80">
        <v>75.0</v>
      </c>
      <c r="AC16" s="68">
        <f t="shared" si="2"/>
        <v>5250</v>
      </c>
      <c r="AD16" s="17"/>
      <c r="AE16" s="132"/>
      <c r="AF16" s="132"/>
    </row>
    <row r="17">
      <c r="A17" s="33" t="s">
        <v>61</v>
      </c>
      <c r="B17" s="46"/>
      <c r="C17" s="46"/>
      <c r="D17" s="48"/>
      <c r="E17" s="46"/>
      <c r="F17" s="51"/>
      <c r="G17" s="92">
        <v>2.0</v>
      </c>
      <c r="H17" s="46"/>
      <c r="I17" s="49">
        <v>11.0</v>
      </c>
      <c r="J17" s="92">
        <v>3.0</v>
      </c>
      <c r="K17" s="49">
        <v>1.0</v>
      </c>
      <c r="L17" s="49">
        <v>6.0</v>
      </c>
      <c r="M17" s="51"/>
      <c r="N17" s="92">
        <v>2.0</v>
      </c>
      <c r="O17" s="49">
        <v>2.0</v>
      </c>
      <c r="P17" s="49">
        <v>5.0</v>
      </c>
      <c r="Q17" s="49">
        <v>2.0</v>
      </c>
      <c r="R17" s="59">
        <v>1.0</v>
      </c>
      <c r="S17" s="60"/>
      <c r="T17" s="63">
        <v>29.0</v>
      </c>
      <c r="U17" s="66"/>
      <c r="V17" s="49">
        <v>5.0</v>
      </c>
      <c r="W17" s="69"/>
      <c r="X17" s="46"/>
      <c r="Y17" s="46"/>
      <c r="Z17" s="60"/>
      <c r="AA17" s="62">
        <f t="shared" si="1"/>
        <v>69</v>
      </c>
      <c r="AB17" s="80">
        <v>350.0</v>
      </c>
      <c r="AC17" s="68">
        <f t="shared" si="2"/>
        <v>24150</v>
      </c>
      <c r="AD17" s="17"/>
      <c r="AE17" s="132"/>
      <c r="AF17" s="132"/>
    </row>
    <row r="18">
      <c r="A18" s="33" t="s">
        <v>55</v>
      </c>
      <c r="B18" s="46"/>
      <c r="C18" s="46"/>
      <c r="D18" s="48"/>
      <c r="E18" s="46"/>
      <c r="F18" s="51"/>
      <c r="G18" s="54"/>
      <c r="H18" s="46"/>
      <c r="I18" s="46"/>
      <c r="J18" s="54"/>
      <c r="K18" s="46"/>
      <c r="L18" s="46"/>
      <c r="M18" s="51"/>
      <c r="N18" s="54"/>
      <c r="O18" s="46"/>
      <c r="P18" s="46"/>
      <c r="Q18" s="49">
        <v>1.0</v>
      </c>
      <c r="R18" s="59">
        <v>2.0</v>
      </c>
      <c r="S18" s="60"/>
      <c r="T18" s="88"/>
      <c r="U18" s="66"/>
      <c r="V18" s="49">
        <v>18.0</v>
      </c>
      <c r="W18" s="69"/>
      <c r="X18" s="46"/>
      <c r="Y18" s="46"/>
      <c r="Z18" s="60"/>
      <c r="AA18" s="62">
        <f t="shared" si="1"/>
        <v>21</v>
      </c>
      <c r="AB18" s="80">
        <v>250.0</v>
      </c>
      <c r="AC18" s="68">
        <f t="shared" si="2"/>
        <v>5250</v>
      </c>
      <c r="AD18" s="17"/>
      <c r="AE18" s="132"/>
      <c r="AF18" s="132"/>
    </row>
    <row r="19">
      <c r="A19" s="33" t="s">
        <v>57</v>
      </c>
      <c r="B19" s="46"/>
      <c r="C19" s="42">
        <v>1.0</v>
      </c>
      <c r="D19" s="48"/>
      <c r="E19" s="46"/>
      <c r="F19" s="51"/>
      <c r="G19" s="92">
        <v>2.0</v>
      </c>
      <c r="H19" s="49">
        <v>4.0</v>
      </c>
      <c r="I19" s="46"/>
      <c r="J19" s="92">
        <v>1.0</v>
      </c>
      <c r="K19" s="49">
        <v>1.0</v>
      </c>
      <c r="L19" s="46"/>
      <c r="M19" s="51"/>
      <c r="N19" s="92">
        <v>1.0</v>
      </c>
      <c r="O19" s="46"/>
      <c r="P19" s="49">
        <v>1.0</v>
      </c>
      <c r="Q19" s="46"/>
      <c r="R19" s="59">
        <v>2.0</v>
      </c>
      <c r="S19" s="60"/>
      <c r="T19" s="63">
        <v>12.0</v>
      </c>
      <c r="U19" s="66"/>
      <c r="V19" s="46"/>
      <c r="W19" s="69"/>
      <c r="X19" s="59">
        <v>4.0</v>
      </c>
      <c r="Y19" s="46"/>
      <c r="Z19" s="60"/>
      <c r="AA19" s="62">
        <f t="shared" si="1"/>
        <v>29</v>
      </c>
      <c r="AB19" s="80">
        <v>750.0</v>
      </c>
      <c r="AC19" s="68">
        <f t="shared" si="2"/>
        <v>21750</v>
      </c>
      <c r="AD19" s="17"/>
      <c r="AE19" s="132"/>
      <c r="AF19" s="132"/>
    </row>
    <row r="20">
      <c r="A20" s="33" t="s">
        <v>60</v>
      </c>
      <c r="B20" s="42">
        <v>5.0</v>
      </c>
      <c r="C20" s="46"/>
      <c r="D20" s="48"/>
      <c r="E20" s="46"/>
      <c r="F20" s="51"/>
      <c r="G20" s="92">
        <v>2.0</v>
      </c>
      <c r="H20" s="46"/>
      <c r="I20" s="49">
        <v>2.0</v>
      </c>
      <c r="J20" s="54"/>
      <c r="K20" s="46"/>
      <c r="L20" s="46"/>
      <c r="M20" s="51"/>
      <c r="N20" s="54"/>
      <c r="O20" s="46"/>
      <c r="P20" s="46"/>
      <c r="Q20" s="46"/>
      <c r="R20" s="46"/>
      <c r="S20" s="60"/>
      <c r="T20" s="88"/>
      <c r="U20" s="66"/>
      <c r="V20" s="46"/>
      <c r="W20" s="69"/>
      <c r="X20" s="46"/>
      <c r="Y20" s="46"/>
      <c r="Z20" s="60"/>
      <c r="AA20" s="62">
        <f t="shared" si="1"/>
        <v>9</v>
      </c>
      <c r="AB20" s="80">
        <v>850.0</v>
      </c>
      <c r="AC20" s="68">
        <f t="shared" si="2"/>
        <v>7650</v>
      </c>
      <c r="AD20" s="17"/>
      <c r="AE20" s="132"/>
      <c r="AF20" s="132"/>
    </row>
    <row r="21">
      <c r="A21" s="142" t="s">
        <v>63</v>
      </c>
      <c r="B21" s="42">
        <v>3.0</v>
      </c>
      <c r="C21" s="46"/>
      <c r="D21" s="48"/>
      <c r="E21" s="49">
        <v>1.0</v>
      </c>
      <c r="F21" s="51"/>
      <c r="G21" s="92">
        <v>12.0</v>
      </c>
      <c r="H21" s="49">
        <v>4.0</v>
      </c>
      <c r="I21" s="49">
        <v>33.0</v>
      </c>
      <c r="J21" s="92">
        <v>1.0</v>
      </c>
      <c r="K21" s="49">
        <v>1.0</v>
      </c>
      <c r="L21" s="49">
        <v>3.0</v>
      </c>
      <c r="M21" s="51"/>
      <c r="N21" s="92">
        <v>2.0</v>
      </c>
      <c r="O21" s="49">
        <v>1.0</v>
      </c>
      <c r="P21" s="49">
        <v>2.0</v>
      </c>
      <c r="Q21" s="49">
        <v>5.0</v>
      </c>
      <c r="R21" s="59">
        <v>3.0</v>
      </c>
      <c r="S21" s="60"/>
      <c r="T21" s="88"/>
      <c r="U21" s="66"/>
      <c r="V21" s="49">
        <v>2.0</v>
      </c>
      <c r="W21" s="69"/>
      <c r="X21" s="59">
        <v>8.0</v>
      </c>
      <c r="Y21" s="59">
        <v>1.0</v>
      </c>
      <c r="Z21" s="60"/>
      <c r="AA21" s="62">
        <f t="shared" si="1"/>
        <v>82</v>
      </c>
      <c r="AB21" s="80">
        <v>25.0</v>
      </c>
      <c r="AC21" s="68">
        <f t="shared" si="2"/>
        <v>2050</v>
      </c>
      <c r="AD21" s="17"/>
      <c r="AE21" s="132"/>
      <c r="AF21" s="132"/>
    </row>
    <row r="22">
      <c r="A22" s="142" t="s">
        <v>66</v>
      </c>
      <c r="B22" s="46"/>
      <c r="C22" s="42">
        <v>7.0</v>
      </c>
      <c r="D22" s="48"/>
      <c r="E22" s="49">
        <v>2.0</v>
      </c>
      <c r="F22" s="51"/>
      <c r="G22" s="92">
        <v>9.0</v>
      </c>
      <c r="H22" s="49">
        <v>2.0</v>
      </c>
      <c r="I22" s="49">
        <v>45.0</v>
      </c>
      <c r="J22" s="92">
        <v>2.0</v>
      </c>
      <c r="K22" s="49">
        <v>3.0</v>
      </c>
      <c r="L22" s="49">
        <v>4.0</v>
      </c>
      <c r="M22" s="51"/>
      <c r="N22" s="92">
        <v>1.0</v>
      </c>
      <c r="O22" s="49">
        <v>6.0</v>
      </c>
      <c r="P22" s="49">
        <v>4.0</v>
      </c>
      <c r="Q22" s="49">
        <v>3.0</v>
      </c>
      <c r="R22" s="59">
        <v>9.0</v>
      </c>
      <c r="S22" s="60"/>
      <c r="T22" s="88"/>
      <c r="U22" s="66"/>
      <c r="V22" s="49">
        <v>1.0</v>
      </c>
      <c r="W22" s="69"/>
      <c r="X22" s="59">
        <v>7.0</v>
      </c>
      <c r="Y22" s="59">
        <v>3.0</v>
      </c>
      <c r="Z22" s="60"/>
      <c r="AA22" s="62">
        <f t="shared" si="1"/>
        <v>108</v>
      </c>
      <c r="AB22" s="80">
        <v>30.0</v>
      </c>
      <c r="AC22" s="68">
        <f t="shared" si="2"/>
        <v>3240</v>
      </c>
      <c r="AD22" s="17"/>
      <c r="AE22" s="132"/>
      <c r="AF22" s="132"/>
    </row>
    <row r="23">
      <c r="A23" s="142" t="s">
        <v>68</v>
      </c>
      <c r="B23" s="42">
        <v>1.0</v>
      </c>
      <c r="C23" s="42">
        <v>5.0</v>
      </c>
      <c r="D23" s="48"/>
      <c r="E23" s="46"/>
      <c r="F23" s="51"/>
      <c r="G23" s="92">
        <v>8.0</v>
      </c>
      <c r="H23" s="49">
        <v>4.0</v>
      </c>
      <c r="I23" s="49">
        <v>14.0</v>
      </c>
      <c r="J23" s="92">
        <v>1.0</v>
      </c>
      <c r="K23" s="49">
        <v>2.0</v>
      </c>
      <c r="L23" s="46"/>
      <c r="M23" s="51"/>
      <c r="N23" s="54"/>
      <c r="O23" s="49">
        <v>11.0</v>
      </c>
      <c r="P23" s="49">
        <v>1.0</v>
      </c>
      <c r="Q23" s="49">
        <v>3.0</v>
      </c>
      <c r="R23" s="59">
        <v>3.0</v>
      </c>
      <c r="S23" s="60"/>
      <c r="T23" s="88"/>
      <c r="U23" s="66"/>
      <c r="V23" s="46"/>
      <c r="W23" s="69"/>
      <c r="X23" s="46"/>
      <c r="Y23" s="59">
        <v>4.0</v>
      </c>
      <c r="Z23" s="60"/>
      <c r="AA23" s="62">
        <f t="shared" si="1"/>
        <v>57</v>
      </c>
      <c r="AB23" s="80">
        <v>35.0</v>
      </c>
      <c r="AC23" s="68">
        <f t="shared" si="2"/>
        <v>1995</v>
      </c>
      <c r="AD23" s="17"/>
      <c r="AE23" s="132"/>
      <c r="AF23" s="132"/>
    </row>
    <row r="24">
      <c r="A24" s="142" t="s">
        <v>70</v>
      </c>
      <c r="B24" s="46"/>
      <c r="C24" s="46"/>
      <c r="D24" s="48"/>
      <c r="E24" s="46"/>
      <c r="F24" s="51"/>
      <c r="G24" s="54"/>
      <c r="H24" s="46"/>
      <c r="I24" s="46"/>
      <c r="J24" s="54"/>
      <c r="K24" s="46"/>
      <c r="L24" s="46"/>
      <c r="M24" s="51"/>
      <c r="N24" s="54"/>
      <c r="O24" s="46"/>
      <c r="P24" s="46"/>
      <c r="Q24" s="46"/>
      <c r="R24" s="46"/>
      <c r="S24" s="60"/>
      <c r="T24" s="88"/>
      <c r="U24" s="66"/>
      <c r="V24" s="46"/>
      <c r="W24" s="69"/>
      <c r="X24" s="46"/>
      <c r="Y24" s="46"/>
      <c r="Z24" s="60"/>
      <c r="AA24" s="62">
        <f t="shared" si="1"/>
        <v>0</v>
      </c>
      <c r="AB24" s="80">
        <v>130.0</v>
      </c>
      <c r="AC24" s="68">
        <f t="shared" si="2"/>
        <v>0</v>
      </c>
      <c r="AD24" s="17"/>
      <c r="AE24" s="132"/>
      <c r="AF24" s="132"/>
    </row>
    <row r="25">
      <c r="A25" s="142" t="s">
        <v>72</v>
      </c>
      <c r="B25" s="46"/>
      <c r="C25" s="42">
        <v>4.0</v>
      </c>
      <c r="D25" s="48"/>
      <c r="E25" s="46"/>
      <c r="F25" s="51"/>
      <c r="G25" s="92">
        <v>2.0</v>
      </c>
      <c r="H25" s="49">
        <v>1.0</v>
      </c>
      <c r="I25" s="49">
        <v>22.0</v>
      </c>
      <c r="J25" s="54"/>
      <c r="K25" s="46"/>
      <c r="L25" s="49">
        <v>3.0</v>
      </c>
      <c r="M25" s="51"/>
      <c r="N25" s="92">
        <v>1.0</v>
      </c>
      <c r="O25" s="46"/>
      <c r="P25" s="46"/>
      <c r="Q25" s="46"/>
      <c r="R25" s="46"/>
      <c r="S25" s="60"/>
      <c r="T25" s="88"/>
      <c r="U25" s="66"/>
      <c r="V25" s="49">
        <v>2.0</v>
      </c>
      <c r="W25" s="69"/>
      <c r="X25" s="46"/>
      <c r="Y25" s="46"/>
      <c r="Z25" s="105">
        <v>31.0</v>
      </c>
      <c r="AA25" s="62">
        <f t="shared" si="1"/>
        <v>66</v>
      </c>
      <c r="AB25" s="80">
        <v>50.0</v>
      </c>
      <c r="AC25" s="68">
        <f t="shared" si="2"/>
        <v>3300</v>
      </c>
      <c r="AD25" s="17"/>
      <c r="AE25" s="132"/>
      <c r="AF25" s="132"/>
    </row>
    <row r="26">
      <c r="A26" s="142" t="s">
        <v>74</v>
      </c>
      <c r="B26" s="46"/>
      <c r="C26" s="46"/>
      <c r="D26" s="48"/>
      <c r="E26" s="46"/>
      <c r="F26" s="51"/>
      <c r="G26" s="54"/>
      <c r="H26" s="46"/>
      <c r="I26" s="46"/>
      <c r="J26" s="54"/>
      <c r="K26" s="46"/>
      <c r="L26" s="46"/>
      <c r="M26" s="51"/>
      <c r="N26" s="54"/>
      <c r="O26" s="46"/>
      <c r="P26" s="46"/>
      <c r="Q26" s="46"/>
      <c r="R26" s="46"/>
      <c r="S26" s="60"/>
      <c r="T26" s="88"/>
      <c r="U26" s="66"/>
      <c r="V26" s="46"/>
      <c r="W26" s="69"/>
      <c r="X26" s="46"/>
      <c r="Y26" s="46"/>
      <c r="Z26" s="60"/>
      <c r="AA26" s="62">
        <f t="shared" si="1"/>
        <v>0</v>
      </c>
      <c r="AB26" s="80">
        <v>50.0</v>
      </c>
      <c r="AC26" s="68">
        <f t="shared" si="2"/>
        <v>0</v>
      </c>
      <c r="AD26" s="17"/>
      <c r="AE26" s="132"/>
      <c r="AF26" s="132"/>
    </row>
    <row r="27">
      <c r="A27" s="142" t="s">
        <v>75</v>
      </c>
      <c r="B27" s="46"/>
      <c r="C27" s="46"/>
      <c r="D27" s="48"/>
      <c r="E27" s="46"/>
      <c r="F27" s="51"/>
      <c r="G27" s="54"/>
      <c r="H27" s="46"/>
      <c r="I27" s="49">
        <v>2.0</v>
      </c>
      <c r="J27" s="54"/>
      <c r="K27" s="46"/>
      <c r="L27" s="46"/>
      <c r="M27" s="51"/>
      <c r="N27" s="54"/>
      <c r="O27" s="46"/>
      <c r="P27" s="46"/>
      <c r="Q27" s="46"/>
      <c r="R27" s="46"/>
      <c r="S27" s="60"/>
      <c r="T27" s="63">
        <v>4.0</v>
      </c>
      <c r="U27" s="66"/>
      <c r="V27" s="46"/>
      <c r="W27" s="69"/>
      <c r="X27" s="46"/>
      <c r="Y27" s="59">
        <v>1.0</v>
      </c>
      <c r="Z27" s="60"/>
      <c r="AA27" s="62">
        <f t="shared" si="1"/>
        <v>7</v>
      </c>
      <c r="AB27" s="80">
        <v>35.0</v>
      </c>
      <c r="AC27" s="68">
        <f t="shared" si="2"/>
        <v>245</v>
      </c>
      <c r="AD27" s="17"/>
      <c r="AE27" s="132"/>
      <c r="AF27" s="132"/>
    </row>
    <row r="28">
      <c r="A28" s="142" t="s">
        <v>77</v>
      </c>
      <c r="B28" s="46"/>
      <c r="C28" s="46"/>
      <c r="D28" s="48"/>
      <c r="E28" s="49">
        <v>2.0</v>
      </c>
      <c r="F28" s="51"/>
      <c r="G28" s="54"/>
      <c r="H28" s="46"/>
      <c r="I28" s="49">
        <v>6.0</v>
      </c>
      <c r="J28" s="54"/>
      <c r="K28" s="49">
        <v>2.0</v>
      </c>
      <c r="L28" s="49">
        <v>3.0</v>
      </c>
      <c r="M28" s="51"/>
      <c r="N28" s="54"/>
      <c r="O28" s="49">
        <v>1.0</v>
      </c>
      <c r="P28" s="46"/>
      <c r="Q28" s="46"/>
      <c r="R28" s="59">
        <v>1.0</v>
      </c>
      <c r="S28" s="60"/>
      <c r="T28" s="63">
        <v>36.0</v>
      </c>
      <c r="U28" s="66"/>
      <c r="V28" s="46"/>
      <c r="W28" s="69"/>
      <c r="X28" s="46"/>
      <c r="Y28" s="46"/>
      <c r="Z28" s="105">
        <v>8.0</v>
      </c>
      <c r="AA28" s="62">
        <f t="shared" si="1"/>
        <v>59</v>
      </c>
      <c r="AB28" s="80">
        <v>100.0</v>
      </c>
      <c r="AC28" s="68">
        <f t="shared" si="2"/>
        <v>5900</v>
      </c>
      <c r="AD28" s="17"/>
      <c r="AE28" s="132"/>
      <c r="AF28" s="132"/>
    </row>
    <row r="29">
      <c r="A29" s="142" t="s">
        <v>79</v>
      </c>
      <c r="B29" s="46"/>
      <c r="C29" s="46"/>
      <c r="D29" s="48"/>
      <c r="E29" s="46"/>
      <c r="F29" s="51"/>
      <c r="G29" s="54"/>
      <c r="H29" s="46"/>
      <c r="I29" s="46"/>
      <c r="J29" s="54"/>
      <c r="K29" s="46"/>
      <c r="L29" s="46"/>
      <c r="M29" s="51"/>
      <c r="N29" s="54"/>
      <c r="O29" s="46"/>
      <c r="P29" s="46"/>
      <c r="Q29" s="46"/>
      <c r="R29" s="46"/>
      <c r="S29" s="60"/>
      <c r="T29" s="88"/>
      <c r="U29" s="66"/>
      <c r="V29" s="46"/>
      <c r="W29" s="69"/>
      <c r="X29" s="46"/>
      <c r="Y29" s="46"/>
      <c r="Z29" s="60"/>
      <c r="AA29" s="62">
        <f t="shared" si="1"/>
        <v>0</v>
      </c>
      <c r="AB29" s="80">
        <v>20.0</v>
      </c>
      <c r="AC29" s="68">
        <f t="shared" si="2"/>
        <v>0</v>
      </c>
      <c r="AD29" s="17"/>
      <c r="AE29" s="132"/>
      <c r="AF29" s="132"/>
    </row>
    <row r="30">
      <c r="A30" s="142" t="s">
        <v>82</v>
      </c>
      <c r="B30" s="42">
        <v>2.0</v>
      </c>
      <c r="C30" s="42">
        <v>5.0</v>
      </c>
      <c r="D30" s="48"/>
      <c r="E30" s="49">
        <v>3.0</v>
      </c>
      <c r="F30" s="51"/>
      <c r="G30" s="92">
        <v>7.0</v>
      </c>
      <c r="H30" s="49">
        <v>2.0</v>
      </c>
      <c r="I30" s="46"/>
      <c r="J30" s="92">
        <v>1.0</v>
      </c>
      <c r="K30" s="49">
        <v>2.0</v>
      </c>
      <c r="L30" s="49">
        <v>1.0</v>
      </c>
      <c r="M30" s="51"/>
      <c r="N30" s="92">
        <v>6.0</v>
      </c>
      <c r="O30" s="49">
        <v>3.0</v>
      </c>
      <c r="P30" s="49">
        <v>4.0</v>
      </c>
      <c r="Q30" s="49">
        <v>6.0</v>
      </c>
      <c r="R30" s="46"/>
      <c r="S30" s="60"/>
      <c r="T30" s="63">
        <v>11.0</v>
      </c>
      <c r="U30" s="66"/>
      <c r="V30" s="49">
        <v>2.0</v>
      </c>
      <c r="W30" s="69"/>
      <c r="X30" s="59">
        <v>1.0</v>
      </c>
      <c r="Y30" s="59">
        <v>5.0</v>
      </c>
      <c r="Z30" s="60"/>
      <c r="AA30" s="62">
        <f t="shared" si="1"/>
        <v>61</v>
      </c>
      <c r="AB30" s="80">
        <v>40.0</v>
      </c>
      <c r="AC30" s="68">
        <f t="shared" si="2"/>
        <v>2440</v>
      </c>
      <c r="AD30" s="17"/>
      <c r="AE30" s="132"/>
      <c r="AF30" s="132"/>
    </row>
    <row r="31">
      <c r="A31" s="33" t="s">
        <v>85</v>
      </c>
      <c r="B31" s="46"/>
      <c r="C31" s="42">
        <v>1.0</v>
      </c>
      <c r="D31" s="48"/>
      <c r="E31" s="49">
        <v>1.0</v>
      </c>
      <c r="F31" s="51"/>
      <c r="G31" s="92">
        <v>5.0</v>
      </c>
      <c r="H31" s="49">
        <v>1.0</v>
      </c>
      <c r="I31" s="49">
        <v>14.0</v>
      </c>
      <c r="J31" s="54"/>
      <c r="K31" s="46"/>
      <c r="L31" s="49">
        <v>6.0</v>
      </c>
      <c r="M31" s="51"/>
      <c r="N31" s="92">
        <v>1.0</v>
      </c>
      <c r="O31" s="49">
        <v>7.0</v>
      </c>
      <c r="P31" s="49">
        <v>4.0</v>
      </c>
      <c r="Q31" s="49">
        <v>8.0</v>
      </c>
      <c r="R31" s="59">
        <v>4.0</v>
      </c>
      <c r="S31" s="60"/>
      <c r="T31" s="63">
        <v>100.0</v>
      </c>
      <c r="U31" s="66"/>
      <c r="V31" s="46"/>
      <c r="W31" s="69"/>
      <c r="X31" s="46"/>
      <c r="Y31" s="46"/>
      <c r="Z31" s="60"/>
      <c r="AA31" s="62">
        <f t="shared" si="1"/>
        <v>152</v>
      </c>
      <c r="AB31" s="80">
        <v>80.0</v>
      </c>
      <c r="AC31" s="68">
        <f t="shared" si="2"/>
        <v>12160</v>
      </c>
      <c r="AD31" s="17"/>
      <c r="AE31" s="132"/>
      <c r="AF31" s="132"/>
    </row>
    <row r="32">
      <c r="A32" s="147" t="s">
        <v>87</v>
      </c>
      <c r="B32" s="42">
        <v>1.0</v>
      </c>
      <c r="C32" s="42">
        <v>4.0</v>
      </c>
      <c r="D32" s="48"/>
      <c r="E32" s="49">
        <v>4.0</v>
      </c>
      <c r="F32" s="51"/>
      <c r="G32" s="92">
        <v>7.0</v>
      </c>
      <c r="H32" s="49">
        <v>2.0</v>
      </c>
      <c r="I32" s="49">
        <v>40.0</v>
      </c>
      <c r="J32" s="92">
        <v>7.0</v>
      </c>
      <c r="K32" s="49">
        <v>5.0</v>
      </c>
      <c r="L32" s="49">
        <v>5.0</v>
      </c>
      <c r="M32" s="51"/>
      <c r="N32" s="92">
        <v>4.0</v>
      </c>
      <c r="O32" s="49">
        <v>2.0</v>
      </c>
      <c r="P32" s="49">
        <v>1.0</v>
      </c>
      <c r="Q32" s="49">
        <v>1.0</v>
      </c>
      <c r="R32" s="59">
        <v>3.0</v>
      </c>
      <c r="S32" s="60"/>
      <c r="T32" s="63">
        <v>163.0</v>
      </c>
      <c r="U32" s="66"/>
      <c r="V32" s="49">
        <v>3.0</v>
      </c>
      <c r="W32" s="69"/>
      <c r="X32" s="59">
        <v>4.0</v>
      </c>
      <c r="Y32" s="59">
        <v>7.0</v>
      </c>
      <c r="Z32" s="105">
        <v>115.0</v>
      </c>
      <c r="AA32" s="62">
        <f t="shared" si="1"/>
        <v>378</v>
      </c>
      <c r="AB32" s="80">
        <v>170.0</v>
      </c>
      <c r="AC32" s="68">
        <f t="shared" si="2"/>
        <v>64260</v>
      </c>
      <c r="AD32" s="17"/>
      <c r="AE32" s="132"/>
      <c r="AF32" s="132"/>
    </row>
    <row r="33">
      <c r="A33" s="147" t="s">
        <v>89</v>
      </c>
      <c r="B33" s="46"/>
      <c r="C33" s="46"/>
      <c r="D33" s="48"/>
      <c r="E33" s="46"/>
      <c r="F33" s="51"/>
      <c r="G33" s="54"/>
      <c r="H33" s="46"/>
      <c r="I33" s="49">
        <v>1.0</v>
      </c>
      <c r="J33" s="54"/>
      <c r="K33" s="46"/>
      <c r="L33" s="46"/>
      <c r="M33" s="51"/>
      <c r="N33" s="54"/>
      <c r="O33" s="46"/>
      <c r="P33" s="46"/>
      <c r="Q33" s="46"/>
      <c r="R33" s="46"/>
      <c r="S33" s="60"/>
      <c r="T33" s="88"/>
      <c r="U33" s="66"/>
      <c r="V33" s="46"/>
      <c r="W33" s="69"/>
      <c r="X33" s="46"/>
      <c r="Y33" s="46"/>
      <c r="Z33" s="60"/>
      <c r="AA33" s="62">
        <f t="shared" si="1"/>
        <v>1</v>
      </c>
      <c r="AB33" s="80">
        <v>130.0</v>
      </c>
      <c r="AC33" s="68">
        <f t="shared" si="2"/>
        <v>130</v>
      </c>
      <c r="AD33" s="17"/>
      <c r="AE33" s="132"/>
      <c r="AF33" s="132"/>
    </row>
    <row r="34">
      <c r="A34" s="147" t="s">
        <v>90</v>
      </c>
      <c r="B34" s="46"/>
      <c r="C34" s="46"/>
      <c r="D34" s="48"/>
      <c r="E34" s="49">
        <v>1.0</v>
      </c>
      <c r="F34" s="51"/>
      <c r="G34" s="92">
        <v>1.0</v>
      </c>
      <c r="H34" s="46"/>
      <c r="I34" s="49">
        <v>7.0</v>
      </c>
      <c r="J34" s="54"/>
      <c r="K34" s="49">
        <v>1.0</v>
      </c>
      <c r="L34" s="46"/>
      <c r="M34" s="51"/>
      <c r="N34" s="54"/>
      <c r="O34" s="46"/>
      <c r="P34" s="46"/>
      <c r="Q34" s="49">
        <v>1.0</v>
      </c>
      <c r="R34" s="46"/>
      <c r="S34" s="60"/>
      <c r="T34" s="63">
        <v>4.0</v>
      </c>
      <c r="U34" s="66"/>
      <c r="V34" s="49">
        <v>1.0</v>
      </c>
      <c r="W34" s="69"/>
      <c r="X34" s="46"/>
      <c r="Y34" s="46"/>
      <c r="Z34" s="60"/>
      <c r="AA34" s="62">
        <f t="shared" si="1"/>
        <v>16</v>
      </c>
      <c r="AB34" s="80">
        <v>150.0</v>
      </c>
      <c r="AC34" s="68">
        <f t="shared" si="2"/>
        <v>2400</v>
      </c>
      <c r="AD34" s="17"/>
      <c r="AE34" s="132"/>
      <c r="AF34" s="132"/>
    </row>
    <row r="35">
      <c r="A35" s="147" t="s">
        <v>93</v>
      </c>
      <c r="B35" s="46"/>
      <c r="C35" s="42">
        <v>4.0</v>
      </c>
      <c r="D35" s="48"/>
      <c r="E35" s="49">
        <v>1.0</v>
      </c>
      <c r="F35" s="51"/>
      <c r="G35" s="92">
        <v>2.0</v>
      </c>
      <c r="H35" s="46"/>
      <c r="I35" s="49">
        <v>2.0</v>
      </c>
      <c r="J35" s="54"/>
      <c r="K35" s="46"/>
      <c r="L35" s="46"/>
      <c r="M35" s="51"/>
      <c r="N35" s="54"/>
      <c r="O35" s="46"/>
      <c r="P35" s="46"/>
      <c r="Q35" s="46"/>
      <c r="R35" s="46"/>
      <c r="S35" s="60"/>
      <c r="T35" s="88"/>
      <c r="U35" s="66"/>
      <c r="V35" s="46"/>
      <c r="W35" s="69"/>
      <c r="X35" s="46"/>
      <c r="Y35" s="59">
        <v>1.0</v>
      </c>
      <c r="Z35" s="60"/>
      <c r="AA35" s="62">
        <f t="shared" si="1"/>
        <v>10</v>
      </c>
      <c r="AB35" s="80">
        <v>180.0</v>
      </c>
      <c r="AC35" s="68">
        <f t="shared" si="2"/>
        <v>1800</v>
      </c>
      <c r="AD35" s="17"/>
      <c r="AE35" s="132"/>
      <c r="AF35" s="132"/>
    </row>
    <row r="36">
      <c r="A36" s="147" t="s">
        <v>94</v>
      </c>
      <c r="B36" s="46"/>
      <c r="C36" s="46"/>
      <c r="D36" s="48"/>
      <c r="E36" s="46"/>
      <c r="F36" s="51"/>
      <c r="G36" s="92">
        <v>3.0</v>
      </c>
      <c r="H36" s="46"/>
      <c r="I36" s="49">
        <v>2.0</v>
      </c>
      <c r="J36" s="54"/>
      <c r="K36" s="46"/>
      <c r="L36" s="46"/>
      <c r="M36" s="51"/>
      <c r="N36" s="54"/>
      <c r="O36" s="46"/>
      <c r="P36" s="46"/>
      <c r="Q36" s="46"/>
      <c r="R36" s="46"/>
      <c r="S36" s="60"/>
      <c r="T36" s="88"/>
      <c r="U36" s="66"/>
      <c r="V36" s="46"/>
      <c r="W36" s="69"/>
      <c r="X36" s="46"/>
      <c r="Y36" s="59">
        <v>6.0</v>
      </c>
      <c r="Z36" s="60"/>
      <c r="AA36" s="62">
        <f t="shared" si="1"/>
        <v>11</v>
      </c>
      <c r="AB36" s="80">
        <v>245.0</v>
      </c>
      <c r="AC36" s="68">
        <f t="shared" si="2"/>
        <v>2695</v>
      </c>
      <c r="AD36" s="17"/>
      <c r="AE36" s="132"/>
      <c r="AF36" s="132"/>
    </row>
    <row r="37">
      <c r="A37" s="142" t="s">
        <v>97</v>
      </c>
      <c r="B37" s="46"/>
      <c r="C37" s="46"/>
      <c r="D37" s="48"/>
      <c r="E37" s="46"/>
      <c r="F37" s="51"/>
      <c r="G37" s="54"/>
      <c r="H37" s="46"/>
      <c r="I37" s="46"/>
      <c r="J37" s="54"/>
      <c r="K37" s="46"/>
      <c r="L37" s="46"/>
      <c r="M37" s="51"/>
      <c r="N37" s="54"/>
      <c r="O37" s="46"/>
      <c r="P37" s="46"/>
      <c r="Q37" s="46"/>
      <c r="R37" s="46"/>
      <c r="S37" s="60"/>
      <c r="T37" s="88"/>
      <c r="U37" s="66"/>
      <c r="V37" s="46"/>
      <c r="W37" s="69"/>
      <c r="X37" s="46"/>
      <c r="Y37" s="46"/>
      <c r="Z37" s="60"/>
      <c r="AA37" s="62">
        <f t="shared" si="1"/>
        <v>0</v>
      </c>
      <c r="AB37" s="80">
        <v>500.0</v>
      </c>
      <c r="AC37" s="68">
        <f t="shared" si="2"/>
        <v>0</v>
      </c>
      <c r="AD37" s="17"/>
      <c r="AE37" s="132"/>
      <c r="AF37" s="132"/>
    </row>
    <row r="38">
      <c r="A38" s="33" t="s">
        <v>99</v>
      </c>
      <c r="B38" s="46"/>
      <c r="C38" s="46"/>
      <c r="D38" s="48"/>
      <c r="E38" s="46"/>
      <c r="F38" s="51"/>
      <c r="G38" s="54"/>
      <c r="H38" s="46"/>
      <c r="I38" s="46"/>
      <c r="J38" s="92">
        <v>1.0</v>
      </c>
      <c r="K38" s="46"/>
      <c r="L38" s="49">
        <v>1.0</v>
      </c>
      <c r="M38" s="51"/>
      <c r="N38" s="54"/>
      <c r="O38" s="46"/>
      <c r="P38" s="46"/>
      <c r="Q38" s="46"/>
      <c r="R38" s="46"/>
      <c r="S38" s="60"/>
      <c r="T38" s="63">
        <v>1.0</v>
      </c>
      <c r="U38" s="66"/>
      <c r="V38" s="46"/>
      <c r="W38" s="69"/>
      <c r="X38" s="46"/>
      <c r="Y38" s="46"/>
      <c r="Z38" s="60"/>
      <c r="AA38" s="62">
        <f t="shared" si="1"/>
        <v>3</v>
      </c>
      <c r="AB38" s="80">
        <v>900.0</v>
      </c>
      <c r="AC38" s="68">
        <f t="shared" si="2"/>
        <v>2700</v>
      </c>
      <c r="AD38" s="17"/>
      <c r="AE38" s="132"/>
      <c r="AF38" s="132"/>
    </row>
    <row r="39">
      <c r="A39" s="33" t="s">
        <v>100</v>
      </c>
      <c r="B39" s="46"/>
      <c r="C39" s="46"/>
      <c r="D39" s="48"/>
      <c r="E39" s="46"/>
      <c r="F39" s="51"/>
      <c r="G39" s="54"/>
      <c r="H39" s="46"/>
      <c r="I39" s="46"/>
      <c r="J39" s="54"/>
      <c r="K39" s="46"/>
      <c r="L39" s="46"/>
      <c r="M39" s="51"/>
      <c r="N39" s="54"/>
      <c r="O39" s="46"/>
      <c r="P39" s="46"/>
      <c r="Q39" s="49">
        <v>3.0</v>
      </c>
      <c r="R39" s="46"/>
      <c r="S39" s="60"/>
      <c r="T39" s="88"/>
      <c r="U39" s="66"/>
      <c r="V39" s="46"/>
      <c r="W39" s="69"/>
      <c r="X39" s="46"/>
      <c r="Y39" s="46"/>
      <c r="Z39" s="60"/>
      <c r="AA39" s="62">
        <f t="shared" si="1"/>
        <v>3</v>
      </c>
      <c r="AB39" s="80">
        <v>1100.0</v>
      </c>
      <c r="AC39" s="68">
        <f t="shared" si="2"/>
        <v>3300</v>
      </c>
      <c r="AD39" s="17"/>
      <c r="AE39" s="132"/>
      <c r="AF39" s="132"/>
    </row>
    <row r="40">
      <c r="A40" s="33" t="s">
        <v>102</v>
      </c>
      <c r="B40" s="46"/>
      <c r="C40" s="46"/>
      <c r="D40" s="48"/>
      <c r="E40" s="46"/>
      <c r="F40" s="51"/>
      <c r="G40" s="92">
        <v>1.0</v>
      </c>
      <c r="H40" s="46"/>
      <c r="I40" s="46"/>
      <c r="J40" s="54"/>
      <c r="K40" s="46"/>
      <c r="L40" s="46"/>
      <c r="M40" s="51"/>
      <c r="N40" s="54"/>
      <c r="O40" s="46"/>
      <c r="P40" s="46"/>
      <c r="Q40" s="46"/>
      <c r="R40" s="46"/>
      <c r="S40" s="60"/>
      <c r="T40" s="88"/>
      <c r="U40" s="66"/>
      <c r="V40" s="59">
        <v>1.0</v>
      </c>
      <c r="W40" s="69"/>
      <c r="X40" s="46"/>
      <c r="Y40" s="46"/>
      <c r="Z40" s="60"/>
      <c r="AA40" s="62">
        <f t="shared" si="1"/>
        <v>2</v>
      </c>
      <c r="AB40" s="80">
        <v>1200.0</v>
      </c>
      <c r="AC40" s="68">
        <f t="shared" si="2"/>
        <v>2400</v>
      </c>
      <c r="AD40" s="17"/>
      <c r="AE40" s="132"/>
      <c r="AF40" s="132"/>
    </row>
    <row r="41">
      <c r="A41" s="33" t="s">
        <v>104</v>
      </c>
      <c r="B41" s="46"/>
      <c r="C41" s="46"/>
      <c r="D41" s="48"/>
      <c r="E41" s="46"/>
      <c r="F41" s="51"/>
      <c r="G41" s="54"/>
      <c r="H41" s="46"/>
      <c r="I41" s="46"/>
      <c r="J41" s="54"/>
      <c r="K41" s="46"/>
      <c r="L41" s="46"/>
      <c r="M41" s="51"/>
      <c r="N41" s="54"/>
      <c r="O41" s="46"/>
      <c r="P41" s="46"/>
      <c r="Q41" s="46"/>
      <c r="R41" s="46"/>
      <c r="S41" s="60"/>
      <c r="T41" s="88"/>
      <c r="U41" s="66"/>
      <c r="V41" s="46"/>
      <c r="W41" s="69"/>
      <c r="X41" s="46"/>
      <c r="Y41" s="46"/>
      <c r="Z41" s="60"/>
      <c r="AA41" s="62">
        <f t="shared" si="1"/>
        <v>0</v>
      </c>
      <c r="AB41" s="80">
        <v>200.0</v>
      </c>
      <c r="AC41" s="68">
        <f t="shared" si="2"/>
        <v>0</v>
      </c>
      <c r="AD41" s="17"/>
      <c r="AE41" s="132"/>
      <c r="AF41" s="132"/>
    </row>
    <row r="42">
      <c r="A42" s="33" t="s">
        <v>105</v>
      </c>
      <c r="B42" s="46"/>
      <c r="C42" s="46"/>
      <c r="D42" s="48"/>
      <c r="E42" s="46"/>
      <c r="F42" s="51"/>
      <c r="G42" s="54"/>
      <c r="H42" s="46"/>
      <c r="I42" s="46"/>
      <c r="J42" s="54"/>
      <c r="K42" s="46"/>
      <c r="L42" s="46"/>
      <c r="M42" s="51"/>
      <c r="N42" s="54"/>
      <c r="O42" s="46"/>
      <c r="P42" s="46"/>
      <c r="Q42" s="46"/>
      <c r="R42" s="46"/>
      <c r="S42" s="60"/>
      <c r="T42" s="88"/>
      <c r="U42" s="66"/>
      <c r="V42" s="46"/>
      <c r="W42" s="69"/>
      <c r="X42" s="46"/>
      <c r="Y42" s="46"/>
      <c r="Z42" s="60"/>
      <c r="AA42" s="62">
        <f t="shared" si="1"/>
        <v>0</v>
      </c>
      <c r="AB42" s="80">
        <v>500.0</v>
      </c>
      <c r="AC42" s="68">
        <f t="shared" si="2"/>
        <v>0</v>
      </c>
      <c r="AD42" s="17"/>
      <c r="AE42" s="155"/>
      <c r="AF42" s="155"/>
    </row>
    <row r="43">
      <c r="A43" s="156" t="s">
        <v>107</v>
      </c>
      <c r="B43" s="181"/>
      <c r="C43" s="181"/>
      <c r="D43" s="182"/>
      <c r="E43" s="181"/>
      <c r="F43" s="183"/>
      <c r="G43" s="184"/>
      <c r="H43" s="181"/>
      <c r="I43" s="181"/>
      <c r="J43" s="184"/>
      <c r="K43" s="181"/>
      <c r="L43" s="181"/>
      <c r="M43" s="183"/>
      <c r="N43" s="184"/>
      <c r="O43" s="181"/>
      <c r="P43" s="181"/>
      <c r="Q43" s="181"/>
      <c r="R43" s="181"/>
      <c r="S43" s="185"/>
      <c r="T43" s="186"/>
      <c r="U43" s="187"/>
      <c r="V43" s="181"/>
      <c r="W43" s="188"/>
      <c r="X43" s="181"/>
      <c r="Y43" s="181"/>
      <c r="Z43" s="185"/>
      <c r="AA43" s="62">
        <f t="shared" si="1"/>
        <v>0</v>
      </c>
      <c r="AB43" s="167">
        <v>1000.0</v>
      </c>
      <c r="AC43" s="168">
        <f t="shared" si="2"/>
        <v>0</v>
      </c>
      <c r="AD43" s="17"/>
      <c r="AE43" s="155"/>
      <c r="AF43" s="155"/>
    </row>
    <row r="44">
      <c r="A44" s="169" t="s">
        <v>45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9"/>
      <c r="AC44" s="174">
        <f>SUM(AC3:AC43)</f>
        <v>389665</v>
      </c>
      <c r="AD44" s="17"/>
      <c r="AE44" s="176"/>
      <c r="AF44" s="176"/>
    </row>
    <row r="45">
      <c r="A45" s="24" t="s">
        <v>110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8"/>
      <c r="AD45" s="17"/>
      <c r="AE45" s="178"/>
      <c r="AF45" s="178"/>
    </row>
    <row r="46">
      <c r="A46" s="147" t="s">
        <v>92</v>
      </c>
      <c r="B46" s="42">
        <v>1.0</v>
      </c>
      <c r="C46" s="46"/>
      <c r="D46" s="191"/>
      <c r="E46" s="49">
        <v>2.0</v>
      </c>
      <c r="F46" s="51"/>
      <c r="G46" s="49">
        <v>4.0</v>
      </c>
      <c r="H46" s="49">
        <v>5.0</v>
      </c>
      <c r="I46" s="49">
        <v>140.0</v>
      </c>
      <c r="J46" s="49">
        <v>3.0</v>
      </c>
      <c r="K46" s="49">
        <v>9.0</v>
      </c>
      <c r="L46" s="49">
        <v>7.0</v>
      </c>
      <c r="M46" s="192"/>
      <c r="N46" s="49">
        <v>12.0</v>
      </c>
      <c r="O46" s="49">
        <v>9.0</v>
      </c>
      <c r="P46" s="49">
        <v>10.0</v>
      </c>
      <c r="Q46" s="49">
        <v>6.0</v>
      </c>
      <c r="R46" s="59">
        <v>2.0</v>
      </c>
      <c r="S46" s="60"/>
      <c r="T46" s="63">
        <v>97.0</v>
      </c>
      <c r="U46" s="66"/>
      <c r="V46" s="59">
        <v>7.0</v>
      </c>
      <c r="W46" s="69"/>
      <c r="X46" s="59">
        <v>14.0</v>
      </c>
      <c r="Y46" s="59">
        <v>25.0</v>
      </c>
      <c r="Z46" s="105">
        <v>12.0</v>
      </c>
      <c r="AA46" s="62">
        <f t="shared" ref="AA46:AA57" si="3">SUM(B46:Z46)</f>
        <v>365</v>
      </c>
      <c r="AB46" s="80">
        <v>100.0</v>
      </c>
      <c r="AC46" s="68">
        <f t="shared" ref="AC46:AC57" si="4">AA46*AB46</f>
        <v>36500</v>
      </c>
      <c r="AD46" s="17"/>
      <c r="AE46" s="195" t="s">
        <v>118</v>
      </c>
      <c r="AF46" s="155"/>
    </row>
    <row r="47">
      <c r="A47" s="147" t="s">
        <v>98</v>
      </c>
      <c r="B47" s="42">
        <v>3.0</v>
      </c>
      <c r="C47" s="42">
        <v>2.0</v>
      </c>
      <c r="D47" s="191"/>
      <c r="E47" s="46"/>
      <c r="F47" s="51"/>
      <c r="G47" s="54"/>
      <c r="H47" s="49">
        <v>2.0</v>
      </c>
      <c r="I47" s="49">
        <v>1.0</v>
      </c>
      <c r="J47" s="46"/>
      <c r="K47" s="49">
        <v>3.0</v>
      </c>
      <c r="L47" s="49">
        <v>2.0</v>
      </c>
      <c r="M47" s="51"/>
      <c r="N47" s="49">
        <v>1.0</v>
      </c>
      <c r="O47" s="49">
        <v>1.0</v>
      </c>
      <c r="P47" s="49">
        <v>4.0</v>
      </c>
      <c r="Q47" s="49">
        <v>1.0</v>
      </c>
      <c r="R47" s="59">
        <v>2.0</v>
      </c>
      <c r="S47" s="60"/>
      <c r="T47" s="63">
        <v>20.0</v>
      </c>
      <c r="U47" s="66"/>
      <c r="V47" s="59">
        <v>1.0</v>
      </c>
      <c r="W47" s="69"/>
      <c r="X47" s="59">
        <v>1.0</v>
      </c>
      <c r="Y47" s="59">
        <v>1.0</v>
      </c>
      <c r="Z47" s="105">
        <v>3.0</v>
      </c>
      <c r="AA47" s="62">
        <f t="shared" si="3"/>
        <v>48</v>
      </c>
      <c r="AB47" s="80">
        <v>1000.0</v>
      </c>
      <c r="AC47" s="68">
        <f t="shared" si="4"/>
        <v>48000</v>
      </c>
      <c r="AD47" s="17"/>
      <c r="AE47" s="155"/>
      <c r="AF47" s="155"/>
    </row>
    <row r="48">
      <c r="A48" s="197" t="s">
        <v>120</v>
      </c>
      <c r="B48" s="42">
        <v>34.0</v>
      </c>
      <c r="C48" s="46"/>
      <c r="D48" s="191"/>
      <c r="E48" s="54"/>
      <c r="F48" s="51"/>
      <c r="G48" s="49">
        <v>3.0</v>
      </c>
      <c r="H48" s="46"/>
      <c r="I48" s="49">
        <v>4.0</v>
      </c>
      <c r="J48" s="49">
        <v>1.0</v>
      </c>
      <c r="K48" s="49">
        <v>1.0</v>
      </c>
      <c r="L48" s="49">
        <v>3.0</v>
      </c>
      <c r="M48" s="192"/>
      <c r="N48" s="46"/>
      <c r="O48" s="49">
        <v>1.0</v>
      </c>
      <c r="P48" s="46"/>
      <c r="Q48" s="49">
        <v>2.0</v>
      </c>
      <c r="R48" s="59">
        <v>1.0</v>
      </c>
      <c r="S48" s="60"/>
      <c r="T48" s="63">
        <v>18.0</v>
      </c>
      <c r="U48" s="66"/>
      <c r="V48" s="59">
        <v>2.0</v>
      </c>
      <c r="W48" s="69"/>
      <c r="X48" s="46"/>
      <c r="Y48" s="46"/>
      <c r="Z48" s="60"/>
      <c r="AA48" s="62">
        <f t="shared" si="3"/>
        <v>70</v>
      </c>
      <c r="AB48" s="80">
        <v>120.0</v>
      </c>
      <c r="AC48" s="68">
        <f t="shared" si="4"/>
        <v>8400</v>
      </c>
      <c r="AD48" s="17"/>
      <c r="AE48" s="155"/>
      <c r="AF48" s="155"/>
    </row>
    <row r="49">
      <c r="A49" s="197" t="s">
        <v>122</v>
      </c>
      <c r="B49" s="42">
        <v>34.0</v>
      </c>
      <c r="C49" s="42">
        <v>2.0</v>
      </c>
      <c r="D49" s="191"/>
      <c r="E49" s="54"/>
      <c r="F49" s="51"/>
      <c r="G49" s="54"/>
      <c r="H49" s="46"/>
      <c r="I49" s="49">
        <v>4.0</v>
      </c>
      <c r="J49" s="54"/>
      <c r="K49" s="46"/>
      <c r="L49" s="49">
        <v>1.0</v>
      </c>
      <c r="M49" s="192"/>
      <c r="N49" s="54"/>
      <c r="O49" s="54"/>
      <c r="P49" s="46"/>
      <c r="Q49" s="49">
        <v>1.0</v>
      </c>
      <c r="R49" s="59">
        <v>2.0</v>
      </c>
      <c r="S49" s="60"/>
      <c r="T49" s="63">
        <v>5.0</v>
      </c>
      <c r="U49" s="66"/>
      <c r="V49" s="46"/>
      <c r="W49" s="69"/>
      <c r="X49" s="46"/>
      <c r="Y49" s="46"/>
      <c r="Z49" s="60"/>
      <c r="AA49" s="62">
        <f t="shared" si="3"/>
        <v>49</v>
      </c>
      <c r="AB49" s="80">
        <v>150.0</v>
      </c>
      <c r="AC49" s="68">
        <f t="shared" si="4"/>
        <v>7350</v>
      </c>
      <c r="AD49" s="17"/>
      <c r="AE49" s="155"/>
      <c r="AF49" s="155"/>
    </row>
    <row r="50">
      <c r="A50" s="189" t="s">
        <v>106</v>
      </c>
      <c r="B50" s="42">
        <v>6.0</v>
      </c>
      <c r="C50" s="42">
        <v>6.0</v>
      </c>
      <c r="D50" s="191"/>
      <c r="E50" s="49">
        <v>6.0</v>
      </c>
      <c r="F50" s="51"/>
      <c r="G50" s="49">
        <v>4.0</v>
      </c>
      <c r="H50" s="49">
        <v>6.0</v>
      </c>
      <c r="I50" s="49">
        <v>15.0</v>
      </c>
      <c r="J50" s="49">
        <v>4.0</v>
      </c>
      <c r="K50" s="49">
        <v>7.0</v>
      </c>
      <c r="L50" s="49">
        <v>4.0</v>
      </c>
      <c r="M50" s="192"/>
      <c r="N50" s="49">
        <v>11.0</v>
      </c>
      <c r="O50" s="49">
        <v>17.0</v>
      </c>
      <c r="P50" s="49">
        <v>15.0</v>
      </c>
      <c r="Q50" s="49">
        <v>7.0</v>
      </c>
      <c r="R50" s="59">
        <v>8.0</v>
      </c>
      <c r="S50" s="60"/>
      <c r="T50" s="63">
        <v>70.0</v>
      </c>
      <c r="U50" s="66"/>
      <c r="V50" s="59">
        <v>8.0</v>
      </c>
      <c r="W50" s="69"/>
      <c r="X50" s="59">
        <v>12.0</v>
      </c>
      <c r="Y50" s="59">
        <v>5.0</v>
      </c>
      <c r="Z50" s="105">
        <v>7.0</v>
      </c>
      <c r="AA50" s="62">
        <f t="shared" si="3"/>
        <v>218</v>
      </c>
      <c r="AB50" s="80">
        <v>280.0</v>
      </c>
      <c r="AC50" s="68">
        <f t="shared" si="4"/>
        <v>61040</v>
      </c>
      <c r="AD50" s="17"/>
      <c r="AE50" s="155"/>
      <c r="AF50" s="155"/>
    </row>
    <row r="51">
      <c r="A51" s="147" t="s">
        <v>108</v>
      </c>
      <c r="B51" s="42">
        <v>1.0</v>
      </c>
      <c r="C51" s="46"/>
      <c r="D51" s="48"/>
      <c r="E51" s="46"/>
      <c r="F51" s="51"/>
      <c r="G51" s="54"/>
      <c r="H51" s="46"/>
      <c r="I51" s="49">
        <v>1.0</v>
      </c>
      <c r="J51" s="49">
        <v>1.0</v>
      </c>
      <c r="K51" s="49">
        <v>1.0</v>
      </c>
      <c r="L51" s="54"/>
      <c r="M51" s="192"/>
      <c r="N51" s="54"/>
      <c r="O51" s="49">
        <v>1.0</v>
      </c>
      <c r="P51" s="49">
        <v>1.0</v>
      </c>
      <c r="Q51" s="46"/>
      <c r="R51" s="59">
        <v>3.0</v>
      </c>
      <c r="S51" s="60"/>
      <c r="T51" s="63">
        <v>8.0</v>
      </c>
      <c r="U51" s="66"/>
      <c r="V51" s="59">
        <v>2.0</v>
      </c>
      <c r="W51" s="69"/>
      <c r="X51" s="59">
        <v>1.0</v>
      </c>
      <c r="Y51" s="59">
        <v>1.0</v>
      </c>
      <c r="Z51" s="60"/>
      <c r="AA51" s="62">
        <f t="shared" si="3"/>
        <v>21</v>
      </c>
      <c r="AB51" s="80">
        <v>900.0</v>
      </c>
      <c r="AC51" s="68">
        <f t="shared" si="4"/>
        <v>18900</v>
      </c>
      <c r="AD51" s="17"/>
      <c r="AE51" s="155"/>
      <c r="AF51" s="155"/>
    </row>
    <row r="52">
      <c r="A52" s="198" t="s">
        <v>109</v>
      </c>
      <c r="B52" s="42">
        <v>11.0</v>
      </c>
      <c r="C52" s="42">
        <v>6.0</v>
      </c>
      <c r="D52" s="191"/>
      <c r="E52" s="49">
        <v>16.0</v>
      </c>
      <c r="F52" s="51"/>
      <c r="G52" s="49">
        <v>3.0</v>
      </c>
      <c r="H52" s="49">
        <v>9.0</v>
      </c>
      <c r="I52" s="49">
        <v>26.0</v>
      </c>
      <c r="J52" s="49">
        <v>5.0</v>
      </c>
      <c r="K52" s="49">
        <v>15.0</v>
      </c>
      <c r="L52" s="49">
        <v>11.0</v>
      </c>
      <c r="M52" s="192"/>
      <c r="N52" s="49">
        <v>7.0</v>
      </c>
      <c r="O52" s="49">
        <v>8.0</v>
      </c>
      <c r="P52" s="49">
        <v>10.0</v>
      </c>
      <c r="Q52" s="49">
        <v>11.0</v>
      </c>
      <c r="R52" s="59">
        <v>23.0</v>
      </c>
      <c r="S52" s="60"/>
      <c r="T52" s="63">
        <v>171.0</v>
      </c>
      <c r="U52" s="66"/>
      <c r="V52" s="59">
        <v>10.0</v>
      </c>
      <c r="W52" s="69"/>
      <c r="X52" s="59">
        <v>8.0</v>
      </c>
      <c r="Y52" s="59">
        <v>13.0</v>
      </c>
      <c r="Z52" s="105">
        <v>59.0</v>
      </c>
      <c r="AA52" s="62">
        <f t="shared" si="3"/>
        <v>422</v>
      </c>
      <c r="AB52" s="80">
        <v>330.0</v>
      </c>
      <c r="AC52" s="68">
        <f t="shared" si="4"/>
        <v>139260</v>
      </c>
      <c r="AD52" s="17"/>
      <c r="AE52" s="155"/>
      <c r="AF52" s="155"/>
    </row>
    <row r="53">
      <c r="A53" s="198" t="s">
        <v>111</v>
      </c>
      <c r="B53" s="46"/>
      <c r="C53" s="42">
        <v>2.0</v>
      </c>
      <c r="D53" s="191"/>
      <c r="E53" s="46"/>
      <c r="F53" s="51"/>
      <c r="G53" s="49">
        <v>1.0</v>
      </c>
      <c r="H53" s="49">
        <v>1.0</v>
      </c>
      <c r="I53" s="49">
        <v>1.0</v>
      </c>
      <c r="J53" s="49">
        <v>1.0</v>
      </c>
      <c r="K53" s="49">
        <v>2.0</v>
      </c>
      <c r="L53" s="46"/>
      <c r="M53" s="192"/>
      <c r="N53" s="49">
        <v>1.0</v>
      </c>
      <c r="O53" s="54"/>
      <c r="P53" s="46"/>
      <c r="Q53" s="46"/>
      <c r="R53" s="59">
        <v>1.0</v>
      </c>
      <c r="S53" s="60"/>
      <c r="T53" s="63">
        <v>5.0</v>
      </c>
      <c r="U53" s="66"/>
      <c r="V53" s="46"/>
      <c r="W53" s="69"/>
      <c r="X53" s="46"/>
      <c r="Y53" s="59">
        <v>2.0</v>
      </c>
      <c r="Z53" s="105">
        <v>4.0</v>
      </c>
      <c r="AA53" s="62">
        <f t="shared" si="3"/>
        <v>21</v>
      </c>
      <c r="AB53" s="80">
        <v>360.0</v>
      </c>
      <c r="AC53" s="68">
        <f t="shared" si="4"/>
        <v>7560</v>
      </c>
      <c r="AD53" s="17"/>
      <c r="AE53" s="155"/>
      <c r="AF53" s="155"/>
    </row>
    <row r="54">
      <c r="A54" s="198" t="s">
        <v>113</v>
      </c>
      <c r="B54" s="46"/>
      <c r="C54" s="42">
        <v>2.0</v>
      </c>
      <c r="D54" s="48"/>
      <c r="E54" s="54"/>
      <c r="F54" s="51"/>
      <c r="G54" s="54"/>
      <c r="H54" s="49">
        <v>1.0</v>
      </c>
      <c r="I54" s="46"/>
      <c r="J54" s="54"/>
      <c r="K54" s="49">
        <v>2.0</v>
      </c>
      <c r="L54" s="54"/>
      <c r="M54" s="192"/>
      <c r="N54" s="49">
        <v>1.0</v>
      </c>
      <c r="O54" s="49">
        <v>1.0</v>
      </c>
      <c r="P54" s="54"/>
      <c r="Q54" s="54"/>
      <c r="R54" s="54"/>
      <c r="S54" s="60"/>
      <c r="T54" s="88"/>
      <c r="U54" s="66"/>
      <c r="V54" s="46"/>
      <c r="W54" s="69"/>
      <c r="X54" s="46"/>
      <c r="Y54" s="46"/>
      <c r="Z54" s="105">
        <v>1.0</v>
      </c>
      <c r="AA54" s="62">
        <f t="shared" si="3"/>
        <v>8</v>
      </c>
      <c r="AB54" s="80">
        <v>380.0</v>
      </c>
      <c r="AC54" s="68">
        <f t="shared" si="4"/>
        <v>3040</v>
      </c>
      <c r="AD54" s="17"/>
      <c r="AE54" s="155"/>
      <c r="AF54" s="155"/>
    </row>
    <row r="55">
      <c r="A55" s="189" t="s">
        <v>114</v>
      </c>
      <c r="B55" s="54"/>
      <c r="C55" s="46"/>
      <c r="D55" s="191"/>
      <c r="E55" s="46"/>
      <c r="F55" s="51"/>
      <c r="G55" s="49">
        <v>5.0</v>
      </c>
      <c r="H55" s="46"/>
      <c r="I55" s="49">
        <v>13.0</v>
      </c>
      <c r="J55" s="49">
        <v>1.0</v>
      </c>
      <c r="K55" s="49">
        <v>2.0</v>
      </c>
      <c r="L55" s="46"/>
      <c r="M55" s="192"/>
      <c r="N55" s="49">
        <v>7.0</v>
      </c>
      <c r="O55" s="49">
        <v>5.0</v>
      </c>
      <c r="P55" s="49">
        <v>2.0</v>
      </c>
      <c r="Q55" s="49">
        <v>3.0</v>
      </c>
      <c r="R55" s="59">
        <v>7.0</v>
      </c>
      <c r="S55" s="60"/>
      <c r="T55" s="88"/>
      <c r="U55" s="66"/>
      <c r="V55" s="59">
        <v>3.0</v>
      </c>
      <c r="W55" s="69"/>
      <c r="X55" s="59">
        <v>6.0</v>
      </c>
      <c r="Y55" s="59">
        <v>1.0</v>
      </c>
      <c r="Z55" s="105">
        <v>33.0</v>
      </c>
      <c r="AA55" s="62">
        <f t="shared" si="3"/>
        <v>88</v>
      </c>
      <c r="AB55" s="80">
        <v>280.0</v>
      </c>
      <c r="AC55" s="68">
        <f t="shared" si="4"/>
        <v>24640</v>
      </c>
      <c r="AD55" s="17"/>
      <c r="AE55" s="155"/>
      <c r="AF55" s="155"/>
    </row>
    <row r="56">
      <c r="A56" s="189" t="s">
        <v>115</v>
      </c>
      <c r="B56" s="54"/>
      <c r="C56" s="54"/>
      <c r="D56" s="48"/>
      <c r="E56" s="54"/>
      <c r="F56" s="51"/>
      <c r="G56" s="54"/>
      <c r="H56" s="46"/>
      <c r="I56" s="54"/>
      <c r="J56" s="54"/>
      <c r="K56" s="54"/>
      <c r="L56" s="54"/>
      <c r="M56" s="51"/>
      <c r="N56" s="46"/>
      <c r="O56" s="54"/>
      <c r="P56" s="54"/>
      <c r="Q56" s="46"/>
      <c r="R56" s="54"/>
      <c r="S56" s="208"/>
      <c r="T56" s="209"/>
      <c r="U56" s="210"/>
      <c r="V56" s="54"/>
      <c r="W56" s="211"/>
      <c r="X56" s="54"/>
      <c r="Y56" s="54"/>
      <c r="Z56" s="208"/>
      <c r="AA56" s="62">
        <f t="shared" si="3"/>
        <v>0</v>
      </c>
      <c r="AB56" s="80">
        <v>330.0</v>
      </c>
      <c r="AC56" s="68">
        <f t="shared" si="4"/>
        <v>0</v>
      </c>
      <c r="AD56" s="17"/>
      <c r="AE56" s="155"/>
      <c r="AF56" s="155"/>
    </row>
    <row r="57">
      <c r="A57" s="205" t="s">
        <v>119</v>
      </c>
      <c r="B57" s="184"/>
      <c r="C57" s="184"/>
      <c r="D57" s="182"/>
      <c r="E57" s="184"/>
      <c r="F57" s="183"/>
      <c r="G57" s="184"/>
      <c r="H57" s="184"/>
      <c r="I57" s="184"/>
      <c r="J57" s="184"/>
      <c r="K57" s="184"/>
      <c r="L57" s="184"/>
      <c r="M57" s="183"/>
      <c r="N57" s="184"/>
      <c r="O57" s="184"/>
      <c r="P57" s="184"/>
      <c r="Q57" s="184"/>
      <c r="R57" s="184"/>
      <c r="S57" s="212"/>
      <c r="T57" s="213"/>
      <c r="U57" s="214"/>
      <c r="V57" s="184"/>
      <c r="W57" s="215"/>
      <c r="X57" s="184"/>
      <c r="Y57" s="184"/>
      <c r="Z57" s="212"/>
      <c r="AA57" s="62">
        <f t="shared" si="3"/>
        <v>0</v>
      </c>
      <c r="AB57" s="167">
        <v>1250.0</v>
      </c>
      <c r="AC57" s="168">
        <f t="shared" si="4"/>
        <v>0</v>
      </c>
      <c r="AD57" s="17"/>
      <c r="AE57" s="155"/>
      <c r="AF57" s="155"/>
    </row>
    <row r="58">
      <c r="A58" s="169" t="s">
        <v>45</v>
      </c>
      <c r="B58" s="128"/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9"/>
      <c r="AC58" s="174">
        <f>SUM(AC46:AC57)</f>
        <v>354690</v>
      </c>
      <c r="AD58" s="17"/>
      <c r="AE58" s="176"/>
      <c r="AF58" s="176"/>
    </row>
    <row r="59">
      <c r="A59" s="24" t="s">
        <v>127</v>
      </c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8"/>
      <c r="AD59" s="17"/>
      <c r="AE59" s="178"/>
      <c r="AF59" s="178"/>
    </row>
    <row r="60">
      <c r="A60" s="206" t="s">
        <v>128</v>
      </c>
      <c r="B60" s="42">
        <v>2.0</v>
      </c>
      <c r="C60" s="42">
        <v>1.0</v>
      </c>
      <c r="D60" s="191"/>
      <c r="E60" s="54"/>
      <c r="F60" s="51"/>
      <c r="G60" s="54"/>
      <c r="H60" s="49">
        <v>1.0</v>
      </c>
      <c r="I60" s="49">
        <v>1.0</v>
      </c>
      <c r="J60" s="49">
        <v>1.0</v>
      </c>
      <c r="K60" s="49">
        <v>1.0</v>
      </c>
      <c r="L60" s="49">
        <v>2.0</v>
      </c>
      <c r="M60" s="51"/>
      <c r="N60" s="54"/>
      <c r="O60" s="54"/>
      <c r="P60" s="54"/>
      <c r="Q60" s="49">
        <v>1.0</v>
      </c>
      <c r="R60" s="46"/>
      <c r="S60" s="60"/>
      <c r="T60" s="88"/>
      <c r="U60" s="66"/>
      <c r="V60" s="59">
        <v>1.0</v>
      </c>
      <c r="W60" s="69"/>
      <c r="X60" s="59">
        <v>2.0</v>
      </c>
      <c r="Y60" s="46"/>
      <c r="Z60" s="105">
        <v>1.0</v>
      </c>
      <c r="AA60" s="62">
        <f t="shared" ref="AA60:AA63" si="5">SUM(B60:Z60)</f>
        <v>14</v>
      </c>
      <c r="AB60" s="80">
        <v>550.0</v>
      </c>
      <c r="AC60" s="68">
        <f t="shared" ref="AC60:AC63" si="6">AA60*AB60</f>
        <v>7700</v>
      </c>
      <c r="AD60" s="17"/>
      <c r="AE60" s="195" t="s">
        <v>144</v>
      </c>
      <c r="AF60" s="155"/>
    </row>
    <row r="61">
      <c r="A61" s="189" t="s">
        <v>131</v>
      </c>
      <c r="B61" s="42">
        <v>1.0</v>
      </c>
      <c r="C61" s="46"/>
      <c r="D61" s="191"/>
      <c r="E61" s="49">
        <v>1.0</v>
      </c>
      <c r="F61" s="51"/>
      <c r="G61" s="49">
        <v>2.0</v>
      </c>
      <c r="H61" s="54"/>
      <c r="I61" s="46"/>
      <c r="J61" s="46"/>
      <c r="K61" s="49">
        <v>2.0</v>
      </c>
      <c r="L61" s="54"/>
      <c r="M61" s="192"/>
      <c r="N61" s="54"/>
      <c r="O61" s="54"/>
      <c r="P61" s="54"/>
      <c r="Q61" s="46"/>
      <c r="R61" s="46"/>
      <c r="S61" s="60"/>
      <c r="T61" s="88"/>
      <c r="U61" s="66"/>
      <c r="V61" s="46"/>
      <c r="W61" s="69"/>
      <c r="X61" s="46"/>
      <c r="Y61" s="46"/>
      <c r="Z61" s="105">
        <v>1.0</v>
      </c>
      <c r="AA61" s="62">
        <f t="shared" si="5"/>
        <v>7</v>
      </c>
      <c r="AB61" s="80">
        <v>350.0</v>
      </c>
      <c r="AC61" s="68">
        <f t="shared" si="6"/>
        <v>2450</v>
      </c>
      <c r="AD61" s="17"/>
      <c r="AE61" s="155"/>
      <c r="AF61" s="155"/>
    </row>
    <row r="62">
      <c r="A62" s="189" t="s">
        <v>132</v>
      </c>
      <c r="B62" s="54"/>
      <c r="C62" s="42">
        <v>1.0</v>
      </c>
      <c r="D62" s="191"/>
      <c r="E62" s="49">
        <v>1.0</v>
      </c>
      <c r="F62" s="51"/>
      <c r="G62" s="54"/>
      <c r="H62" s="46"/>
      <c r="I62" s="49">
        <v>4.0</v>
      </c>
      <c r="J62" s="54"/>
      <c r="K62" s="46"/>
      <c r="L62" s="54"/>
      <c r="M62" s="192"/>
      <c r="N62" s="46"/>
      <c r="O62" s="54"/>
      <c r="P62" s="46"/>
      <c r="Q62" s="46"/>
      <c r="R62" s="46"/>
      <c r="S62" s="60"/>
      <c r="T62" s="63">
        <v>3.0</v>
      </c>
      <c r="U62" s="66"/>
      <c r="V62" s="46"/>
      <c r="W62" s="69"/>
      <c r="X62" s="46"/>
      <c r="Y62" s="46"/>
      <c r="Z62" s="105">
        <v>1.0</v>
      </c>
      <c r="AA62" s="62">
        <f t="shared" si="5"/>
        <v>10</v>
      </c>
      <c r="AB62" s="80">
        <v>350.0</v>
      </c>
      <c r="AC62" s="68">
        <f t="shared" si="6"/>
        <v>3500</v>
      </c>
      <c r="AD62" s="17"/>
      <c r="AE62" s="155"/>
      <c r="AF62" s="155"/>
    </row>
    <row r="63">
      <c r="A63" s="207" t="s">
        <v>134</v>
      </c>
      <c r="B63" s="184"/>
      <c r="C63" s="184"/>
      <c r="D63" s="182"/>
      <c r="E63" s="184"/>
      <c r="F63" s="183"/>
      <c r="G63" s="184"/>
      <c r="H63" s="184"/>
      <c r="I63" s="184"/>
      <c r="J63" s="184"/>
      <c r="K63" s="184"/>
      <c r="L63" s="184"/>
      <c r="M63" s="183"/>
      <c r="N63" s="184"/>
      <c r="O63" s="184"/>
      <c r="P63" s="184"/>
      <c r="Q63" s="181"/>
      <c r="R63" s="184"/>
      <c r="S63" s="212"/>
      <c r="T63" s="213"/>
      <c r="U63" s="214"/>
      <c r="V63" s="184"/>
      <c r="W63" s="215"/>
      <c r="X63" s="184"/>
      <c r="Y63" s="184"/>
      <c r="Z63" s="212"/>
      <c r="AA63" s="62">
        <f t="shared" si="5"/>
        <v>0</v>
      </c>
      <c r="AB63" s="167">
        <v>350.0</v>
      </c>
      <c r="AC63" s="168">
        <f t="shared" si="6"/>
        <v>0</v>
      </c>
      <c r="AD63" s="17"/>
      <c r="AE63" s="155"/>
      <c r="AF63" s="155"/>
    </row>
    <row r="64">
      <c r="A64" s="169" t="s">
        <v>45</v>
      </c>
      <c r="B64" s="128"/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  <c r="AA64" s="128"/>
      <c r="AB64" s="129"/>
      <c r="AC64" s="174">
        <f>SUM(AC60:AC63)</f>
        <v>13650</v>
      </c>
      <c r="AD64" s="17"/>
      <c r="AE64" s="176"/>
      <c r="AF64" s="176"/>
    </row>
    <row r="65">
      <c r="A65" s="24" t="s">
        <v>137</v>
      </c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8"/>
      <c r="AD65" s="17"/>
      <c r="AE65" s="178"/>
      <c r="AF65" s="178"/>
    </row>
    <row r="66">
      <c r="A66" s="216" t="s">
        <v>138</v>
      </c>
      <c r="B66" s="54"/>
      <c r="C66" s="46"/>
      <c r="D66" s="48"/>
      <c r="E66" s="54"/>
      <c r="F66" s="51"/>
      <c r="G66" s="54"/>
      <c r="H66" s="54"/>
      <c r="I66" s="54"/>
      <c r="J66" s="46"/>
      <c r="K66" s="46"/>
      <c r="L66" s="54"/>
      <c r="M66" s="51"/>
      <c r="N66" s="54"/>
      <c r="O66" s="54"/>
      <c r="P66" s="54"/>
      <c r="Q66" s="46"/>
      <c r="R66" s="54"/>
      <c r="S66" s="208"/>
      <c r="T66" s="209"/>
      <c r="U66" s="210"/>
      <c r="V66" s="54"/>
      <c r="W66" s="211"/>
      <c r="X66" s="54"/>
      <c r="Y66" s="54"/>
      <c r="Z66" s="208"/>
      <c r="AA66" s="62">
        <f t="shared" ref="AA66:AA67" si="7">SUM(B66:Z66)</f>
        <v>0</v>
      </c>
      <c r="AB66" s="80">
        <v>220.0</v>
      </c>
      <c r="AC66" s="80">
        <f t="shared" ref="AC66:AC67" si="8">AA66*AB66</f>
        <v>0</v>
      </c>
      <c r="AD66" s="17"/>
      <c r="AE66" s="195" t="s">
        <v>154</v>
      </c>
      <c r="AF66" s="155"/>
    </row>
    <row r="67">
      <c r="A67" s="225" t="s">
        <v>143</v>
      </c>
      <c r="B67" s="228">
        <v>1.0</v>
      </c>
      <c r="C67" s="181"/>
      <c r="D67" s="182"/>
      <c r="E67" s="184"/>
      <c r="F67" s="183"/>
      <c r="G67" s="184"/>
      <c r="H67" s="181"/>
      <c r="I67" s="184"/>
      <c r="J67" s="181"/>
      <c r="K67" s="181"/>
      <c r="L67" s="184"/>
      <c r="M67" s="229"/>
      <c r="N67" s="181"/>
      <c r="O67" s="184"/>
      <c r="P67" s="181"/>
      <c r="Q67" s="181"/>
      <c r="R67" s="184"/>
      <c r="S67" s="185"/>
      <c r="T67" s="230">
        <v>14.0</v>
      </c>
      <c r="U67" s="187"/>
      <c r="V67" s="181"/>
      <c r="W67" s="188"/>
      <c r="X67" s="181"/>
      <c r="Y67" s="181"/>
      <c r="Z67" s="231">
        <v>3.0</v>
      </c>
      <c r="AA67" s="166">
        <f t="shared" si="7"/>
        <v>18</v>
      </c>
      <c r="AB67" s="167">
        <v>380.0</v>
      </c>
      <c r="AC67" s="167">
        <f t="shared" si="8"/>
        <v>6840</v>
      </c>
      <c r="AD67" s="17"/>
      <c r="AE67" s="155"/>
      <c r="AF67" s="155"/>
    </row>
    <row r="68">
      <c r="A68" s="169" t="s">
        <v>45</v>
      </c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8"/>
      <c r="AB68" s="129"/>
      <c r="AC68" s="174">
        <f>SUM(AC66:AC67)</f>
        <v>6840</v>
      </c>
      <c r="AD68" s="17"/>
      <c r="AE68" s="176"/>
      <c r="AF68" s="176"/>
    </row>
    <row r="69">
      <c r="A69" s="24" t="s">
        <v>146</v>
      </c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8"/>
      <c r="AD69" s="17"/>
      <c r="AE69" s="178"/>
      <c r="AF69" s="178"/>
    </row>
    <row r="70">
      <c r="A70" s="223" t="s">
        <v>52</v>
      </c>
      <c r="B70" s="54"/>
      <c r="C70" s="46"/>
      <c r="D70" s="191"/>
      <c r="E70" s="46"/>
      <c r="F70" s="51"/>
      <c r="G70" s="46"/>
      <c r="H70" s="46"/>
      <c r="I70" s="49">
        <v>1.0</v>
      </c>
      <c r="J70" s="54"/>
      <c r="K70" s="46"/>
      <c r="L70" s="46"/>
      <c r="M70" s="192"/>
      <c r="N70" s="54"/>
      <c r="O70" s="54"/>
      <c r="P70" s="46"/>
      <c r="Q70" s="46"/>
      <c r="R70" s="46"/>
      <c r="S70" s="60"/>
      <c r="T70" s="63">
        <v>4.0</v>
      </c>
      <c r="U70" s="66"/>
      <c r="V70" s="59">
        <v>1.0</v>
      </c>
      <c r="W70" s="69"/>
      <c r="X70" s="46"/>
      <c r="Y70" s="46"/>
      <c r="Z70" s="105">
        <v>2.0</v>
      </c>
      <c r="AA70" s="62">
        <f t="shared" ref="AA70:AA84" si="9">SUM(B70:Z70)</f>
        <v>8</v>
      </c>
      <c r="AB70" s="80">
        <v>1200.0</v>
      </c>
      <c r="AC70" s="68">
        <f t="shared" ref="AC70:AC84" si="10">AA70*AB70</f>
        <v>9600</v>
      </c>
      <c r="AD70" s="17"/>
      <c r="AE70" s="195" t="s">
        <v>158</v>
      </c>
      <c r="AF70" s="155"/>
    </row>
    <row r="71">
      <c r="A71" s="33" t="s">
        <v>151</v>
      </c>
      <c r="B71" s="42">
        <v>1.0</v>
      </c>
      <c r="C71" s="42">
        <v>1.0</v>
      </c>
      <c r="D71" s="191"/>
      <c r="E71" s="54"/>
      <c r="F71" s="51"/>
      <c r="G71" s="54"/>
      <c r="H71" s="46"/>
      <c r="I71" s="54"/>
      <c r="J71" s="46"/>
      <c r="K71" s="46"/>
      <c r="L71" s="54"/>
      <c r="M71" s="51"/>
      <c r="N71" s="54"/>
      <c r="O71" s="54"/>
      <c r="P71" s="46"/>
      <c r="Q71" s="46"/>
      <c r="R71" s="46"/>
      <c r="S71" s="60"/>
      <c r="T71" s="88"/>
      <c r="U71" s="66"/>
      <c r="V71" s="59">
        <v>1.0</v>
      </c>
      <c r="W71" s="69"/>
      <c r="X71" s="46"/>
      <c r="Y71" s="46"/>
      <c r="Z71" s="105">
        <v>7.0</v>
      </c>
      <c r="AA71" s="62">
        <f t="shared" si="9"/>
        <v>10</v>
      </c>
      <c r="AB71" s="80">
        <v>1500.0</v>
      </c>
      <c r="AC71" s="68">
        <f t="shared" si="10"/>
        <v>15000</v>
      </c>
      <c r="AD71" s="17"/>
      <c r="AE71" s="155"/>
      <c r="AF71" s="155"/>
    </row>
    <row r="72">
      <c r="A72" s="226" t="s">
        <v>56</v>
      </c>
      <c r="B72" s="54"/>
      <c r="C72" s="54"/>
      <c r="D72" s="191"/>
      <c r="E72" s="54"/>
      <c r="F72" s="51"/>
      <c r="G72" s="54"/>
      <c r="H72" s="54"/>
      <c r="I72" s="54"/>
      <c r="J72" s="54"/>
      <c r="K72" s="46"/>
      <c r="L72" s="54"/>
      <c r="M72" s="51"/>
      <c r="N72" s="54"/>
      <c r="O72" s="49">
        <v>1.0</v>
      </c>
      <c r="P72" s="54"/>
      <c r="Q72" s="54"/>
      <c r="R72" s="46"/>
      <c r="S72" s="208"/>
      <c r="T72" s="209"/>
      <c r="U72" s="210"/>
      <c r="V72" s="54"/>
      <c r="W72" s="211"/>
      <c r="X72" s="54"/>
      <c r="Y72" s="54"/>
      <c r="Z72" s="208"/>
      <c r="AA72" s="62">
        <f t="shared" si="9"/>
        <v>1</v>
      </c>
      <c r="AB72" s="80">
        <v>1500.0</v>
      </c>
      <c r="AC72" s="68">
        <f t="shared" si="10"/>
        <v>1500</v>
      </c>
      <c r="AD72" s="17"/>
      <c r="AE72" s="155"/>
      <c r="AF72" s="155"/>
    </row>
    <row r="73">
      <c r="A73" s="226" t="s">
        <v>59</v>
      </c>
      <c r="B73" s="54"/>
      <c r="C73" s="46"/>
      <c r="D73" s="191"/>
      <c r="E73" s="46"/>
      <c r="F73" s="51"/>
      <c r="G73" s="54"/>
      <c r="H73" s="46"/>
      <c r="I73" s="46"/>
      <c r="J73" s="46"/>
      <c r="K73" s="49">
        <v>2.0</v>
      </c>
      <c r="L73" s="46"/>
      <c r="M73" s="192"/>
      <c r="N73" s="46"/>
      <c r="O73" s="49">
        <v>1.0</v>
      </c>
      <c r="P73" s="46"/>
      <c r="Q73" s="46"/>
      <c r="R73" s="59">
        <v>1.0</v>
      </c>
      <c r="S73" s="60"/>
      <c r="T73" s="88"/>
      <c r="U73" s="66"/>
      <c r="V73" s="46"/>
      <c r="W73" s="69"/>
      <c r="X73" s="59">
        <v>1.0</v>
      </c>
      <c r="Y73" s="46"/>
      <c r="Z73" s="60"/>
      <c r="AA73" s="62">
        <f t="shared" si="9"/>
        <v>5</v>
      </c>
      <c r="AB73" s="80">
        <v>1500.0</v>
      </c>
      <c r="AC73" s="68">
        <f t="shared" si="10"/>
        <v>7500</v>
      </c>
      <c r="AD73" s="17"/>
      <c r="AE73" s="155"/>
      <c r="AF73" s="155"/>
    </row>
    <row r="74">
      <c r="A74" s="226" t="s">
        <v>62</v>
      </c>
      <c r="B74" s="54"/>
      <c r="C74" s="46"/>
      <c r="D74" s="191"/>
      <c r="E74" s="46"/>
      <c r="F74" s="51"/>
      <c r="G74" s="54"/>
      <c r="H74" s="46"/>
      <c r="I74" s="46"/>
      <c r="J74" s="54"/>
      <c r="K74" s="49">
        <v>2.0</v>
      </c>
      <c r="L74" s="46"/>
      <c r="M74" s="51"/>
      <c r="N74" s="46"/>
      <c r="O74" s="54"/>
      <c r="P74" s="46"/>
      <c r="Q74" s="46"/>
      <c r="R74" s="46"/>
      <c r="S74" s="60"/>
      <c r="T74" s="88"/>
      <c r="U74" s="66"/>
      <c r="V74" s="59">
        <v>1.0</v>
      </c>
      <c r="W74" s="69"/>
      <c r="X74" s="46"/>
      <c r="Y74" s="46"/>
      <c r="Z74" s="60"/>
      <c r="AA74" s="62">
        <f t="shared" si="9"/>
        <v>3</v>
      </c>
      <c r="AB74" s="80">
        <v>1500.0</v>
      </c>
      <c r="AC74" s="68">
        <f t="shared" si="10"/>
        <v>4500</v>
      </c>
      <c r="AD74" s="17"/>
      <c r="AE74" s="155"/>
      <c r="AF74" s="155"/>
    </row>
    <row r="75">
      <c r="A75" s="226" t="s">
        <v>64</v>
      </c>
      <c r="B75" s="54"/>
      <c r="C75" s="54"/>
      <c r="D75" s="48"/>
      <c r="E75" s="49">
        <v>1.0</v>
      </c>
      <c r="F75" s="51"/>
      <c r="G75" s="54"/>
      <c r="H75" s="46"/>
      <c r="I75" s="46"/>
      <c r="J75" s="54"/>
      <c r="K75" s="46"/>
      <c r="L75" s="54"/>
      <c r="M75" s="51"/>
      <c r="N75" s="54"/>
      <c r="O75" s="54"/>
      <c r="P75" s="46"/>
      <c r="Q75" s="49">
        <v>1.0</v>
      </c>
      <c r="R75" s="54"/>
      <c r="S75" s="60"/>
      <c r="T75" s="63">
        <v>3.0</v>
      </c>
      <c r="U75" s="66"/>
      <c r="V75" s="46"/>
      <c r="W75" s="69"/>
      <c r="X75" s="59">
        <v>1.0</v>
      </c>
      <c r="Y75" s="46"/>
      <c r="Z75" s="60"/>
      <c r="AA75" s="62">
        <f t="shared" si="9"/>
        <v>6</v>
      </c>
      <c r="AB75" s="80">
        <v>1500.0</v>
      </c>
      <c r="AC75" s="68">
        <f t="shared" si="10"/>
        <v>9000</v>
      </c>
      <c r="AD75" s="17"/>
      <c r="AE75" s="155"/>
      <c r="AF75" s="155"/>
    </row>
    <row r="76">
      <c r="A76" s="223" t="s">
        <v>54</v>
      </c>
      <c r="B76" s="46"/>
      <c r="C76" s="46"/>
      <c r="D76" s="191"/>
      <c r="E76" s="54"/>
      <c r="F76" s="51"/>
      <c r="G76" s="54"/>
      <c r="H76" s="49">
        <v>1.0</v>
      </c>
      <c r="I76" s="49">
        <v>1.0</v>
      </c>
      <c r="J76" s="49">
        <v>1.0</v>
      </c>
      <c r="K76" s="46"/>
      <c r="L76" s="46"/>
      <c r="M76" s="51"/>
      <c r="N76" s="54"/>
      <c r="O76" s="54"/>
      <c r="P76" s="46"/>
      <c r="Q76" s="49">
        <v>1.0</v>
      </c>
      <c r="R76" s="59">
        <v>1.0</v>
      </c>
      <c r="S76" s="60"/>
      <c r="T76" s="88"/>
      <c r="U76" s="66"/>
      <c r="V76" s="46"/>
      <c r="W76" s="69"/>
      <c r="X76" s="46"/>
      <c r="Y76" s="59">
        <v>1.0</v>
      </c>
      <c r="Z76" s="60"/>
      <c r="AA76" s="62">
        <f t="shared" si="9"/>
        <v>6</v>
      </c>
      <c r="AB76" s="80">
        <v>1500.0</v>
      </c>
      <c r="AC76" s="68">
        <f t="shared" si="10"/>
        <v>9000</v>
      </c>
      <c r="AD76" s="17"/>
      <c r="AE76" s="155"/>
      <c r="AF76" s="155"/>
    </row>
    <row r="77">
      <c r="A77" s="226" t="s">
        <v>159</v>
      </c>
      <c r="B77" s="42">
        <v>2.0</v>
      </c>
      <c r="C77" s="42">
        <v>5.0</v>
      </c>
      <c r="D77" s="191"/>
      <c r="E77" s="54"/>
      <c r="F77" s="51"/>
      <c r="G77" s="54"/>
      <c r="H77" s="46"/>
      <c r="I77" s="49">
        <v>5.0</v>
      </c>
      <c r="J77" s="49">
        <v>1.0</v>
      </c>
      <c r="K77" s="46"/>
      <c r="L77" s="49">
        <v>4.0</v>
      </c>
      <c r="M77" s="192"/>
      <c r="N77" s="46"/>
      <c r="O77" s="49">
        <v>1.0</v>
      </c>
      <c r="P77" s="49">
        <v>1.0</v>
      </c>
      <c r="Q77" s="46"/>
      <c r="R77" s="46"/>
      <c r="S77" s="60"/>
      <c r="T77" s="63">
        <v>14.0</v>
      </c>
      <c r="U77" s="66"/>
      <c r="V77" s="59">
        <v>4.0</v>
      </c>
      <c r="W77" s="69"/>
      <c r="X77" s="59">
        <v>1.0</v>
      </c>
      <c r="Y77" s="59">
        <v>3.0</v>
      </c>
      <c r="Z77" s="60"/>
      <c r="AA77" s="62">
        <f t="shared" si="9"/>
        <v>41</v>
      </c>
      <c r="AB77" s="80">
        <v>1500.0</v>
      </c>
      <c r="AC77" s="68">
        <f t="shared" si="10"/>
        <v>61500</v>
      </c>
      <c r="AD77" s="17"/>
      <c r="AE77" s="155"/>
      <c r="AF77" s="155"/>
    </row>
    <row r="78">
      <c r="A78" s="226" t="s">
        <v>67</v>
      </c>
      <c r="B78" s="46"/>
      <c r="C78" s="54"/>
      <c r="D78" s="48"/>
      <c r="E78" s="54"/>
      <c r="F78" s="51"/>
      <c r="G78" s="54"/>
      <c r="H78" s="54"/>
      <c r="I78" s="54"/>
      <c r="J78" s="49">
        <v>1.0</v>
      </c>
      <c r="K78" s="54"/>
      <c r="L78" s="54"/>
      <c r="M78" s="51"/>
      <c r="N78" s="54"/>
      <c r="O78" s="54"/>
      <c r="P78" s="54"/>
      <c r="Q78" s="54"/>
      <c r="R78" s="46"/>
      <c r="S78" s="208"/>
      <c r="T78" s="209"/>
      <c r="U78" s="210"/>
      <c r="V78" s="54"/>
      <c r="W78" s="211"/>
      <c r="X78" s="54"/>
      <c r="Y78" s="54"/>
      <c r="Z78" s="208"/>
      <c r="AA78" s="62">
        <f t="shared" si="9"/>
        <v>1</v>
      </c>
      <c r="AB78" s="80">
        <v>1500.0</v>
      </c>
      <c r="AC78" s="68">
        <f t="shared" si="10"/>
        <v>1500</v>
      </c>
      <c r="AD78" s="17"/>
      <c r="AE78" s="155"/>
      <c r="AF78" s="155"/>
    </row>
    <row r="79">
      <c r="A79" s="223" t="s">
        <v>69</v>
      </c>
      <c r="B79" s="54"/>
      <c r="C79" s="42">
        <v>2.0</v>
      </c>
      <c r="D79" s="48"/>
      <c r="E79" s="54"/>
      <c r="F79" s="51"/>
      <c r="G79" s="54"/>
      <c r="H79" s="54"/>
      <c r="I79" s="54"/>
      <c r="J79" s="54"/>
      <c r="K79" s="46"/>
      <c r="L79" s="54"/>
      <c r="M79" s="51"/>
      <c r="N79" s="54"/>
      <c r="O79" s="49">
        <v>1.0</v>
      </c>
      <c r="P79" s="49">
        <v>3.0</v>
      </c>
      <c r="Q79" s="46"/>
      <c r="R79" s="59">
        <v>1.0</v>
      </c>
      <c r="S79" s="60"/>
      <c r="T79" s="88"/>
      <c r="U79" s="66"/>
      <c r="V79" s="59">
        <v>1.0</v>
      </c>
      <c r="W79" s="69"/>
      <c r="X79" s="59">
        <v>2.0</v>
      </c>
      <c r="Y79" s="46"/>
      <c r="Z79" s="60"/>
      <c r="AA79" s="62">
        <f t="shared" si="9"/>
        <v>10</v>
      </c>
      <c r="AB79" s="80">
        <v>600.0</v>
      </c>
      <c r="AC79" s="68">
        <f t="shared" si="10"/>
        <v>6000</v>
      </c>
      <c r="AD79" s="17"/>
      <c r="AE79" s="155"/>
      <c r="AF79" s="155"/>
    </row>
    <row r="80">
      <c r="A80" s="223" t="s">
        <v>71</v>
      </c>
      <c r="B80" s="42">
        <v>2.0</v>
      </c>
      <c r="C80" s="46"/>
      <c r="D80" s="191"/>
      <c r="E80" s="49">
        <v>1.0</v>
      </c>
      <c r="F80" s="51"/>
      <c r="G80" s="54"/>
      <c r="H80" s="49">
        <v>1.0</v>
      </c>
      <c r="I80" s="49">
        <v>1.0</v>
      </c>
      <c r="J80" s="49">
        <v>3.0</v>
      </c>
      <c r="K80" s="49">
        <v>2.0</v>
      </c>
      <c r="L80" s="49">
        <v>14.0</v>
      </c>
      <c r="M80" s="192"/>
      <c r="N80" s="49">
        <v>1.0</v>
      </c>
      <c r="O80" s="49">
        <v>1.0</v>
      </c>
      <c r="P80" s="46"/>
      <c r="Q80" s="46"/>
      <c r="R80" s="59">
        <v>2.0</v>
      </c>
      <c r="S80" s="60"/>
      <c r="T80" s="88"/>
      <c r="U80" s="66"/>
      <c r="V80" s="59">
        <v>2.0</v>
      </c>
      <c r="W80" s="69"/>
      <c r="X80" s="59">
        <v>1.0</v>
      </c>
      <c r="Y80" s="46"/>
      <c r="Z80" s="60"/>
      <c r="AA80" s="62">
        <f t="shared" si="9"/>
        <v>31</v>
      </c>
      <c r="AB80" s="80">
        <v>500.0</v>
      </c>
      <c r="AC80" s="68">
        <f t="shared" si="10"/>
        <v>15500</v>
      </c>
      <c r="AD80" s="17"/>
      <c r="AE80" s="155"/>
      <c r="AF80" s="155"/>
    </row>
    <row r="81">
      <c r="A81" s="226" t="s">
        <v>171</v>
      </c>
      <c r="B81" s="42">
        <v>2.0</v>
      </c>
      <c r="C81" s="46"/>
      <c r="D81" s="191"/>
      <c r="E81" s="46"/>
      <c r="F81" s="51"/>
      <c r="G81" s="49">
        <v>5.0</v>
      </c>
      <c r="H81" s="46"/>
      <c r="I81" s="49">
        <v>4.0</v>
      </c>
      <c r="J81" s="49">
        <v>1.0</v>
      </c>
      <c r="K81" s="49">
        <v>2.0</v>
      </c>
      <c r="L81" s="49">
        <v>7.0</v>
      </c>
      <c r="M81" s="192"/>
      <c r="N81" s="46"/>
      <c r="O81" s="54"/>
      <c r="P81" s="49">
        <v>1.0</v>
      </c>
      <c r="Q81" s="49">
        <v>4.0</v>
      </c>
      <c r="R81" s="59">
        <v>9.0</v>
      </c>
      <c r="S81" s="60"/>
      <c r="T81" s="63">
        <v>73.0</v>
      </c>
      <c r="U81" s="66"/>
      <c r="V81" s="59">
        <v>4.0</v>
      </c>
      <c r="W81" s="69"/>
      <c r="X81" s="59">
        <v>3.0</v>
      </c>
      <c r="Y81" s="59">
        <v>2.0</v>
      </c>
      <c r="Z81" s="105">
        <v>48.0</v>
      </c>
      <c r="AA81" s="62">
        <f t="shared" si="9"/>
        <v>165</v>
      </c>
      <c r="AB81" s="80">
        <v>500.0</v>
      </c>
      <c r="AC81" s="68">
        <f t="shared" si="10"/>
        <v>82500</v>
      </c>
      <c r="AD81" s="17"/>
      <c r="AE81" s="155"/>
      <c r="AF81" s="155"/>
    </row>
    <row r="82">
      <c r="A82" s="226" t="s">
        <v>86</v>
      </c>
      <c r="B82" s="42">
        <v>2.0</v>
      </c>
      <c r="C82" s="46"/>
      <c r="D82" s="191"/>
      <c r="E82" s="46"/>
      <c r="F82" s="51"/>
      <c r="G82" s="54"/>
      <c r="H82" s="54"/>
      <c r="I82" s="49">
        <v>1.0</v>
      </c>
      <c r="J82" s="49">
        <v>1.0</v>
      </c>
      <c r="K82" s="46"/>
      <c r="L82" s="49">
        <v>2.0</v>
      </c>
      <c r="M82" s="192"/>
      <c r="N82" s="54"/>
      <c r="O82" s="54"/>
      <c r="P82" s="46"/>
      <c r="Q82" s="49">
        <v>4.0</v>
      </c>
      <c r="R82" s="59">
        <v>2.0</v>
      </c>
      <c r="S82" s="60"/>
      <c r="T82" s="88"/>
      <c r="U82" s="66"/>
      <c r="V82" s="46"/>
      <c r="W82" s="69"/>
      <c r="X82" s="59">
        <v>1.0</v>
      </c>
      <c r="Y82" s="46"/>
      <c r="Z82" s="105">
        <v>3.0</v>
      </c>
      <c r="AA82" s="62">
        <f t="shared" si="9"/>
        <v>16</v>
      </c>
      <c r="AB82" s="80">
        <v>500.0</v>
      </c>
      <c r="AC82" s="68">
        <f t="shared" si="10"/>
        <v>8000</v>
      </c>
      <c r="AD82" s="17"/>
      <c r="AE82" s="155"/>
      <c r="AF82" s="155"/>
    </row>
    <row r="83">
      <c r="A83" s="223" t="s">
        <v>80</v>
      </c>
      <c r="B83" s="54"/>
      <c r="C83" s="46"/>
      <c r="D83" s="48"/>
      <c r="E83" s="54"/>
      <c r="F83" s="51"/>
      <c r="G83" s="54"/>
      <c r="H83" s="46"/>
      <c r="I83" s="54"/>
      <c r="J83" s="46"/>
      <c r="K83" s="54"/>
      <c r="L83" s="54"/>
      <c r="M83" s="192"/>
      <c r="N83" s="54"/>
      <c r="O83" s="54"/>
      <c r="P83" s="54"/>
      <c r="Q83" s="54"/>
      <c r="R83" s="54"/>
      <c r="S83" s="208"/>
      <c r="T83" s="209"/>
      <c r="U83" s="210"/>
      <c r="V83" s="54"/>
      <c r="W83" s="211"/>
      <c r="X83" s="54"/>
      <c r="Y83" s="54"/>
      <c r="Z83" s="208"/>
      <c r="AA83" s="62">
        <f t="shared" si="9"/>
        <v>0</v>
      </c>
      <c r="AB83" s="80">
        <v>1500.0</v>
      </c>
      <c r="AC83" s="68">
        <f t="shared" si="10"/>
        <v>0</v>
      </c>
      <c r="AD83" s="17"/>
      <c r="AE83" s="155"/>
      <c r="AF83" s="155"/>
    </row>
    <row r="84">
      <c r="A84" s="156" t="s">
        <v>164</v>
      </c>
      <c r="B84" s="184"/>
      <c r="C84" s="228">
        <v>1.0</v>
      </c>
      <c r="D84" s="245"/>
      <c r="E84" s="184"/>
      <c r="F84" s="183"/>
      <c r="G84" s="184"/>
      <c r="H84" s="184"/>
      <c r="I84" s="246">
        <v>1.0</v>
      </c>
      <c r="J84" s="184"/>
      <c r="K84" s="246">
        <v>1.0</v>
      </c>
      <c r="L84" s="181"/>
      <c r="M84" s="229"/>
      <c r="N84" s="184"/>
      <c r="O84" s="246">
        <v>1.0</v>
      </c>
      <c r="P84" s="181"/>
      <c r="Q84" s="246">
        <v>1.0</v>
      </c>
      <c r="R84" s="181"/>
      <c r="S84" s="185"/>
      <c r="T84" s="186"/>
      <c r="U84" s="187"/>
      <c r="V84" s="247">
        <v>1.0</v>
      </c>
      <c r="W84" s="188"/>
      <c r="X84" s="181"/>
      <c r="Y84" s="247">
        <v>2.0</v>
      </c>
      <c r="Z84" s="185"/>
      <c r="AA84" s="62">
        <f t="shared" si="9"/>
        <v>8</v>
      </c>
      <c r="AB84" s="167">
        <v>500.0</v>
      </c>
      <c r="AC84" s="168">
        <f t="shared" si="10"/>
        <v>4000</v>
      </c>
      <c r="AD84" s="17"/>
      <c r="AE84" s="155"/>
      <c r="AF84" s="155"/>
    </row>
    <row r="85">
      <c r="A85" s="169" t="s">
        <v>45</v>
      </c>
      <c r="B85" s="128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  <c r="AA85" s="128"/>
      <c r="AB85" s="129"/>
      <c r="AC85" s="238">
        <f>SUM(AC70:AC84)</f>
        <v>235100</v>
      </c>
      <c r="AD85" s="17"/>
      <c r="AE85" s="239"/>
      <c r="AF85" s="239"/>
    </row>
    <row r="86">
      <c r="A86" s="24" t="s">
        <v>166</v>
      </c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8"/>
      <c r="AD86" s="17"/>
      <c r="AE86" s="178"/>
      <c r="AF86" s="178"/>
    </row>
    <row r="87">
      <c r="A87" s="156" t="s">
        <v>167</v>
      </c>
      <c r="B87" s="184"/>
      <c r="C87" s="181"/>
      <c r="D87" s="245"/>
      <c r="E87" s="184"/>
      <c r="F87" s="183"/>
      <c r="G87" s="184"/>
      <c r="H87" s="184"/>
      <c r="I87" s="246">
        <v>1.0</v>
      </c>
      <c r="J87" s="184"/>
      <c r="K87" s="184"/>
      <c r="L87" s="184"/>
      <c r="M87" s="183"/>
      <c r="N87" s="184"/>
      <c r="O87" s="184"/>
      <c r="P87" s="184"/>
      <c r="Q87" s="184"/>
      <c r="R87" s="184"/>
      <c r="S87" s="185"/>
      <c r="T87" s="186"/>
      <c r="U87" s="187"/>
      <c r="V87" s="181"/>
      <c r="W87" s="188"/>
      <c r="X87" s="181"/>
      <c r="Y87" s="181"/>
      <c r="Z87" s="185"/>
      <c r="AA87" s="166">
        <f>SUM(B87:Z87)</f>
        <v>1</v>
      </c>
      <c r="AB87" s="167">
        <v>350.0</v>
      </c>
      <c r="AC87" s="168">
        <f>AA87*AB87</f>
        <v>350</v>
      </c>
      <c r="AD87" s="17"/>
      <c r="AE87" s="155"/>
      <c r="AF87" s="155"/>
    </row>
    <row r="88">
      <c r="A88" s="240" t="s">
        <v>45</v>
      </c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9"/>
      <c r="AC88" s="238">
        <f>SUM(AC87)</f>
        <v>350</v>
      </c>
      <c r="AD88" s="17"/>
      <c r="AE88" s="239"/>
      <c r="AF88" s="239"/>
    </row>
    <row r="89">
      <c r="A89" s="24" t="s">
        <v>169</v>
      </c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8"/>
      <c r="AD89" s="17"/>
      <c r="AE89" s="178"/>
      <c r="AF89" s="178"/>
    </row>
    <row r="90">
      <c r="A90" s="197" t="s">
        <v>170</v>
      </c>
      <c r="B90" s="54"/>
      <c r="C90" s="54"/>
      <c r="D90" s="48"/>
      <c r="E90" s="54"/>
      <c r="F90" s="51"/>
      <c r="G90" s="54"/>
      <c r="H90" s="54"/>
      <c r="I90" s="46"/>
      <c r="J90" s="54"/>
      <c r="K90" s="54"/>
      <c r="L90" s="54"/>
      <c r="M90" s="51"/>
      <c r="N90" s="54"/>
      <c r="O90" s="54"/>
      <c r="P90" s="46"/>
      <c r="Q90" s="54"/>
      <c r="R90" s="54"/>
      <c r="S90" s="208"/>
      <c r="T90" s="209"/>
      <c r="U90" s="210"/>
      <c r="V90" s="54"/>
      <c r="W90" s="211"/>
      <c r="X90" s="54"/>
      <c r="Y90" s="54"/>
      <c r="Z90" s="208"/>
      <c r="AA90" s="62">
        <f t="shared" ref="AA90:AA95" si="11">SUM(B90:Z90)</f>
        <v>0</v>
      </c>
      <c r="AB90" s="242">
        <v>280.0</v>
      </c>
      <c r="AC90" s="68">
        <f t="shared" ref="AC90:AC95" si="12">AA90*AB90</f>
        <v>0</v>
      </c>
      <c r="AD90" s="17"/>
      <c r="AE90" s="195" t="s">
        <v>184</v>
      </c>
      <c r="AF90" s="155"/>
    </row>
    <row r="91">
      <c r="A91" s="197" t="s">
        <v>173</v>
      </c>
      <c r="B91" s="54"/>
      <c r="C91" s="54"/>
      <c r="D91" s="48"/>
      <c r="E91" s="54"/>
      <c r="F91" s="51"/>
      <c r="G91" s="54"/>
      <c r="H91" s="54"/>
      <c r="I91" s="54"/>
      <c r="J91" s="54"/>
      <c r="K91" s="54"/>
      <c r="L91" s="54"/>
      <c r="M91" s="51"/>
      <c r="N91" s="54"/>
      <c r="O91" s="54"/>
      <c r="P91" s="46"/>
      <c r="Q91" s="54"/>
      <c r="R91" s="54"/>
      <c r="S91" s="208"/>
      <c r="T91" s="209"/>
      <c r="U91" s="210"/>
      <c r="V91" s="54"/>
      <c r="W91" s="211"/>
      <c r="X91" s="54"/>
      <c r="Y91" s="54"/>
      <c r="Z91" s="208"/>
      <c r="AA91" s="62">
        <f t="shared" si="11"/>
        <v>0</v>
      </c>
      <c r="AB91" s="242">
        <v>260.0</v>
      </c>
      <c r="AC91" s="68">
        <f t="shared" si="12"/>
        <v>0</v>
      </c>
      <c r="AD91" s="17"/>
      <c r="AE91" s="155"/>
      <c r="AF91" s="155"/>
    </row>
    <row r="92">
      <c r="A92" s="243" t="s">
        <v>174</v>
      </c>
      <c r="B92" s="54"/>
      <c r="C92" s="46"/>
      <c r="D92" s="48"/>
      <c r="E92" s="54"/>
      <c r="F92" s="51"/>
      <c r="G92" s="54"/>
      <c r="H92" s="54"/>
      <c r="I92" s="54"/>
      <c r="J92" s="54"/>
      <c r="K92" s="54"/>
      <c r="L92" s="54"/>
      <c r="M92" s="51"/>
      <c r="N92" s="54"/>
      <c r="O92" s="54"/>
      <c r="P92" s="46"/>
      <c r="Q92" s="54"/>
      <c r="R92" s="54"/>
      <c r="S92" s="60"/>
      <c r="T92" s="88"/>
      <c r="U92" s="66"/>
      <c r="V92" s="46"/>
      <c r="W92" s="69"/>
      <c r="X92" s="46"/>
      <c r="Y92" s="46"/>
      <c r="Z92" s="60"/>
      <c r="AA92" s="62">
        <f t="shared" si="11"/>
        <v>0</v>
      </c>
      <c r="AB92" s="242">
        <v>380.0</v>
      </c>
      <c r="AC92" s="68">
        <f t="shared" si="12"/>
        <v>0</v>
      </c>
      <c r="AD92" s="17"/>
      <c r="AE92" s="155"/>
      <c r="AF92" s="155"/>
    </row>
    <row r="93">
      <c r="A93" s="243" t="s">
        <v>176</v>
      </c>
      <c r="B93" s="42">
        <v>18.0</v>
      </c>
      <c r="C93" s="54"/>
      <c r="D93" s="48"/>
      <c r="E93" s="54"/>
      <c r="F93" s="51"/>
      <c r="G93" s="49">
        <v>2.0</v>
      </c>
      <c r="H93" s="54"/>
      <c r="I93" s="54"/>
      <c r="J93" s="54"/>
      <c r="K93" s="54"/>
      <c r="L93" s="54"/>
      <c r="M93" s="51"/>
      <c r="N93" s="54"/>
      <c r="O93" s="54"/>
      <c r="P93" s="49">
        <v>1.0</v>
      </c>
      <c r="Q93" s="54"/>
      <c r="R93" s="54"/>
      <c r="S93" s="60"/>
      <c r="T93" s="88"/>
      <c r="U93" s="66"/>
      <c r="V93" s="59">
        <v>1.0</v>
      </c>
      <c r="W93" s="69"/>
      <c r="X93" s="46"/>
      <c r="Y93" s="46"/>
      <c r="Z93" s="60"/>
      <c r="AA93" s="62">
        <f t="shared" si="11"/>
        <v>22</v>
      </c>
      <c r="AB93" s="242">
        <v>420.0</v>
      </c>
      <c r="AC93" s="68">
        <f t="shared" si="12"/>
        <v>9240</v>
      </c>
      <c r="AD93" s="17"/>
      <c r="AE93" s="155"/>
      <c r="AF93" s="155"/>
    </row>
    <row r="94">
      <c r="A94" s="197" t="s">
        <v>177</v>
      </c>
      <c r="B94" s="46"/>
      <c r="C94" s="54"/>
      <c r="D94" s="191"/>
      <c r="E94" s="54"/>
      <c r="F94" s="51"/>
      <c r="G94" s="49">
        <v>1.0</v>
      </c>
      <c r="H94" s="54"/>
      <c r="I94" s="54"/>
      <c r="J94" s="54"/>
      <c r="K94" s="54"/>
      <c r="L94" s="54"/>
      <c r="M94" s="51"/>
      <c r="N94" s="49">
        <v>1.0</v>
      </c>
      <c r="O94" s="54"/>
      <c r="P94" s="49">
        <v>2.0</v>
      </c>
      <c r="Q94" s="54"/>
      <c r="R94" s="54"/>
      <c r="S94" s="60"/>
      <c r="T94" s="63">
        <v>2.0</v>
      </c>
      <c r="U94" s="66"/>
      <c r="V94" s="46"/>
      <c r="W94" s="69"/>
      <c r="X94" s="46"/>
      <c r="Y94" s="46"/>
      <c r="Z94" s="60"/>
      <c r="AA94" s="62">
        <f t="shared" si="11"/>
        <v>6</v>
      </c>
      <c r="AB94" s="242">
        <v>750.0</v>
      </c>
      <c r="AC94" s="68">
        <f t="shared" si="12"/>
        <v>4500</v>
      </c>
      <c r="AD94" s="17"/>
      <c r="AE94" s="155"/>
      <c r="AF94" s="155"/>
    </row>
    <row r="95">
      <c r="A95" s="243" t="s">
        <v>179</v>
      </c>
      <c r="B95" s="184"/>
      <c r="C95" s="184"/>
      <c r="D95" s="182"/>
      <c r="E95" s="184"/>
      <c r="F95" s="183"/>
      <c r="G95" s="184"/>
      <c r="H95" s="184"/>
      <c r="I95" s="184"/>
      <c r="J95" s="181"/>
      <c r="K95" s="246">
        <v>3.0</v>
      </c>
      <c r="L95" s="184"/>
      <c r="M95" s="229"/>
      <c r="N95" s="184"/>
      <c r="O95" s="184"/>
      <c r="P95" s="181"/>
      <c r="Q95" s="184"/>
      <c r="R95" s="181"/>
      <c r="S95" s="212"/>
      <c r="T95" s="213"/>
      <c r="U95" s="214"/>
      <c r="V95" s="184"/>
      <c r="W95" s="215"/>
      <c r="X95" s="184"/>
      <c r="Y95" s="247">
        <v>8.0</v>
      </c>
      <c r="Z95" s="231">
        <v>9.0</v>
      </c>
      <c r="AA95" s="62">
        <f t="shared" si="11"/>
        <v>20</v>
      </c>
      <c r="AB95" s="249">
        <v>550.0</v>
      </c>
      <c r="AC95" s="168">
        <f t="shared" si="12"/>
        <v>11000</v>
      </c>
      <c r="AD95" s="17"/>
      <c r="AE95" s="155"/>
      <c r="AF95" s="155"/>
    </row>
    <row r="96">
      <c r="A96" s="169" t="s">
        <v>45</v>
      </c>
      <c r="B96" s="128"/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9"/>
      <c r="AC96" s="174">
        <f>SUM(AC90:AC95)</f>
        <v>24740</v>
      </c>
      <c r="AD96" s="17"/>
      <c r="AE96" s="176"/>
      <c r="AF96" s="176"/>
    </row>
    <row r="97">
      <c r="A97" s="24" t="s">
        <v>181</v>
      </c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8"/>
      <c r="AD97" s="17"/>
      <c r="AE97" s="178"/>
      <c r="AF97" s="178"/>
    </row>
    <row r="98">
      <c r="A98" s="197" t="s">
        <v>191</v>
      </c>
      <c r="B98" s="42">
        <v>1.0</v>
      </c>
      <c r="C98" s="42">
        <v>4.0</v>
      </c>
      <c r="D98" s="191"/>
      <c r="E98" s="49">
        <v>2.0</v>
      </c>
      <c r="F98" s="51"/>
      <c r="G98" s="49">
        <v>13.0</v>
      </c>
      <c r="H98" s="49">
        <v>7.0</v>
      </c>
      <c r="I98" s="49">
        <v>82.0</v>
      </c>
      <c r="J98" s="49">
        <v>5.0</v>
      </c>
      <c r="K98" s="49">
        <v>8.0</v>
      </c>
      <c r="L98" s="49">
        <v>6.0</v>
      </c>
      <c r="M98" s="192"/>
      <c r="N98" s="49">
        <v>4.0</v>
      </c>
      <c r="O98" s="49">
        <v>3.0</v>
      </c>
      <c r="P98" s="46"/>
      <c r="Q98" s="49">
        <v>9.0</v>
      </c>
      <c r="R98" s="59">
        <v>11.0</v>
      </c>
      <c r="S98" s="60"/>
      <c r="T98" s="63">
        <v>190.0</v>
      </c>
      <c r="U98" s="66"/>
      <c r="V98" s="59">
        <v>5.0</v>
      </c>
      <c r="W98" s="69"/>
      <c r="X98" s="59">
        <v>2.0</v>
      </c>
      <c r="Y98" s="59">
        <v>9.0</v>
      </c>
      <c r="Z98" s="105">
        <v>65.0</v>
      </c>
      <c r="AA98" s="62">
        <f t="shared" ref="AA98:AA102" si="13">SUM(B98:Z98)</f>
        <v>426</v>
      </c>
      <c r="AB98" s="80">
        <v>50.0</v>
      </c>
      <c r="AC98" s="68">
        <f t="shared" ref="AC98:AC102" si="14">AA98*AB98</f>
        <v>21300</v>
      </c>
      <c r="AD98" s="17"/>
      <c r="AE98" s="155"/>
      <c r="AF98" s="155"/>
    </row>
    <row r="99">
      <c r="A99" s="197" t="s">
        <v>183</v>
      </c>
      <c r="B99" s="54"/>
      <c r="C99" s="54"/>
      <c r="D99" s="191"/>
      <c r="E99" s="54"/>
      <c r="F99" s="51"/>
      <c r="G99" s="54"/>
      <c r="H99" s="46"/>
      <c r="I99" s="54"/>
      <c r="J99" s="54"/>
      <c r="K99" s="49">
        <v>1.0</v>
      </c>
      <c r="L99" s="49">
        <v>1.0</v>
      </c>
      <c r="M99" s="192"/>
      <c r="N99" s="49">
        <v>1.0</v>
      </c>
      <c r="O99" s="54"/>
      <c r="P99" s="46"/>
      <c r="Q99" s="49">
        <v>1.0</v>
      </c>
      <c r="R99" s="59">
        <v>7.0</v>
      </c>
      <c r="S99" s="60"/>
      <c r="T99" s="63">
        <v>35.0</v>
      </c>
      <c r="U99" s="66"/>
      <c r="V99" s="46"/>
      <c r="W99" s="69"/>
      <c r="X99" s="46"/>
      <c r="Y99" s="59">
        <v>1.0</v>
      </c>
      <c r="Z99" s="60"/>
      <c r="AA99" s="62">
        <f t="shared" si="13"/>
        <v>47</v>
      </c>
      <c r="AB99" s="80">
        <v>60.0</v>
      </c>
      <c r="AC99" s="68">
        <f t="shared" si="14"/>
        <v>2820</v>
      </c>
      <c r="AD99" s="17"/>
      <c r="AE99" s="155"/>
      <c r="AF99" s="155"/>
    </row>
    <row r="100">
      <c r="A100" s="197" t="s">
        <v>185</v>
      </c>
      <c r="B100" s="54"/>
      <c r="C100" s="42">
        <v>4.0</v>
      </c>
      <c r="D100" s="48"/>
      <c r="E100" s="54"/>
      <c r="F100" s="51"/>
      <c r="G100" s="49">
        <v>2.0</v>
      </c>
      <c r="H100" s="46"/>
      <c r="I100" s="49">
        <v>5.0</v>
      </c>
      <c r="J100" s="54"/>
      <c r="K100" s="49">
        <v>3.0</v>
      </c>
      <c r="L100" s="49">
        <v>1.0</v>
      </c>
      <c r="M100" s="51"/>
      <c r="N100" s="54"/>
      <c r="O100" s="54"/>
      <c r="P100" s="49">
        <v>1.0</v>
      </c>
      <c r="Q100" s="46"/>
      <c r="R100" s="59">
        <v>1.0</v>
      </c>
      <c r="S100" s="208"/>
      <c r="T100" s="63">
        <v>7.0</v>
      </c>
      <c r="U100" s="210"/>
      <c r="V100" s="59">
        <v>1.0</v>
      </c>
      <c r="W100" s="211"/>
      <c r="X100" s="59">
        <v>1.0</v>
      </c>
      <c r="Y100" s="59">
        <v>2.0</v>
      </c>
      <c r="Z100" s="208"/>
      <c r="AA100" s="62">
        <f t="shared" si="13"/>
        <v>28</v>
      </c>
      <c r="AB100" s="80">
        <v>150.0</v>
      </c>
      <c r="AC100" s="68">
        <f t="shared" si="14"/>
        <v>4200</v>
      </c>
      <c r="AD100" s="17"/>
      <c r="AE100" s="155"/>
      <c r="AF100" s="155"/>
    </row>
    <row r="101">
      <c r="A101" s="197" t="s">
        <v>186</v>
      </c>
      <c r="B101" s="46"/>
      <c r="C101" s="46"/>
      <c r="D101" s="191"/>
      <c r="E101" s="54"/>
      <c r="F101" s="51"/>
      <c r="G101" s="54"/>
      <c r="H101" s="54"/>
      <c r="I101" s="54"/>
      <c r="J101" s="54"/>
      <c r="K101" s="46"/>
      <c r="L101" s="46"/>
      <c r="M101" s="192"/>
      <c r="N101" s="54"/>
      <c r="O101" s="54"/>
      <c r="P101" s="46"/>
      <c r="Q101" s="49">
        <v>1.0</v>
      </c>
      <c r="R101" s="59">
        <v>2.0</v>
      </c>
      <c r="S101" s="60"/>
      <c r="T101" s="88"/>
      <c r="U101" s="66"/>
      <c r="V101" s="46"/>
      <c r="W101" s="69"/>
      <c r="X101" s="46"/>
      <c r="Y101" s="46"/>
      <c r="Z101" s="60"/>
      <c r="AA101" s="62">
        <f t="shared" si="13"/>
        <v>3</v>
      </c>
      <c r="AB101" s="80">
        <v>130.0</v>
      </c>
      <c r="AC101" s="68">
        <f t="shared" si="14"/>
        <v>390</v>
      </c>
      <c r="AD101" s="17"/>
      <c r="AE101" s="155"/>
      <c r="AF101" s="155"/>
    </row>
    <row r="102">
      <c r="A102" s="243" t="s">
        <v>187</v>
      </c>
      <c r="B102" s="228">
        <v>4.0</v>
      </c>
      <c r="C102" s="228">
        <v>1.0</v>
      </c>
      <c r="D102" s="245"/>
      <c r="E102" s="246">
        <v>1.0</v>
      </c>
      <c r="F102" s="183"/>
      <c r="G102" s="246">
        <v>1.0</v>
      </c>
      <c r="H102" s="246">
        <v>2.0</v>
      </c>
      <c r="I102" s="181"/>
      <c r="J102" s="246">
        <v>2.0</v>
      </c>
      <c r="K102" s="246">
        <v>1.0</v>
      </c>
      <c r="L102" s="181"/>
      <c r="M102" s="229"/>
      <c r="N102" s="181"/>
      <c r="O102" s="184"/>
      <c r="P102" s="181"/>
      <c r="Q102" s="246">
        <v>3.0</v>
      </c>
      <c r="R102" s="247">
        <v>4.0</v>
      </c>
      <c r="S102" s="185"/>
      <c r="T102" s="186"/>
      <c r="U102" s="187"/>
      <c r="V102" s="247">
        <v>1.0</v>
      </c>
      <c r="W102" s="188"/>
      <c r="X102" s="247">
        <v>1.0</v>
      </c>
      <c r="Y102" s="181"/>
      <c r="Z102" s="231">
        <v>3.0</v>
      </c>
      <c r="AA102" s="62">
        <f t="shared" si="13"/>
        <v>24</v>
      </c>
      <c r="AB102" s="167">
        <v>1650.0</v>
      </c>
      <c r="AC102" s="168">
        <f t="shared" si="14"/>
        <v>39600</v>
      </c>
      <c r="AD102" s="17"/>
      <c r="AE102" s="155"/>
      <c r="AF102" s="155"/>
    </row>
    <row r="103">
      <c r="A103" s="251" t="s">
        <v>45</v>
      </c>
      <c r="B103" s="128"/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8"/>
      <c r="AB103" s="129"/>
      <c r="AC103" s="238">
        <f>SUM(AC98:AC102)</f>
        <v>68310</v>
      </c>
      <c r="AD103" s="17"/>
      <c r="AE103" s="195"/>
      <c r="AF103" s="195"/>
    </row>
    <row r="104">
      <c r="A104" s="24" t="s">
        <v>188</v>
      </c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8"/>
      <c r="AD104" s="17"/>
      <c r="AE104" s="178"/>
      <c r="AF104" s="178"/>
    </row>
    <row r="105">
      <c r="A105" s="252" t="s">
        <v>189</v>
      </c>
      <c r="B105" s="54"/>
      <c r="C105" s="54"/>
      <c r="D105" s="48"/>
      <c r="E105" s="54"/>
      <c r="F105" s="51"/>
      <c r="G105" s="49">
        <v>1.0</v>
      </c>
      <c r="H105" s="54"/>
      <c r="I105" s="54"/>
      <c r="J105" s="54"/>
      <c r="K105" s="49">
        <v>1.0</v>
      </c>
      <c r="L105" s="54"/>
      <c r="M105" s="51"/>
      <c r="N105" s="54"/>
      <c r="O105" s="54"/>
      <c r="P105" s="54"/>
      <c r="Q105" s="54"/>
      <c r="R105" s="54"/>
      <c r="S105" s="208"/>
      <c r="T105" s="209"/>
      <c r="U105" s="210"/>
      <c r="V105" s="59">
        <v>1.0</v>
      </c>
      <c r="W105" s="211"/>
      <c r="X105" s="59">
        <v>1.0</v>
      </c>
      <c r="Y105" s="54"/>
      <c r="Z105" s="208"/>
      <c r="AA105" s="62">
        <f t="shared" ref="AA105:AA107" si="15">SUM(B105:Z105)</f>
        <v>4</v>
      </c>
      <c r="AB105" s="80">
        <v>1036.0</v>
      </c>
      <c r="AC105" s="68">
        <f t="shared" ref="AC105:AC107" si="16">AA105*AB105</f>
        <v>4144</v>
      </c>
      <c r="AD105" s="17"/>
      <c r="AE105" s="195" t="s">
        <v>200</v>
      </c>
      <c r="AF105" s="155"/>
    </row>
    <row r="106">
      <c r="A106" s="33" t="s">
        <v>25</v>
      </c>
      <c r="B106" s="54"/>
      <c r="C106" s="54"/>
      <c r="D106" s="191"/>
      <c r="E106" s="54"/>
      <c r="F106" s="51"/>
      <c r="G106" s="54"/>
      <c r="H106" s="54"/>
      <c r="I106" s="54"/>
      <c r="J106" s="54"/>
      <c r="K106" s="54"/>
      <c r="L106" s="54"/>
      <c r="M106" s="51"/>
      <c r="N106" s="54"/>
      <c r="O106" s="54"/>
      <c r="P106" s="54"/>
      <c r="Q106" s="54"/>
      <c r="R106" s="54"/>
      <c r="S106" s="208"/>
      <c r="T106" s="209"/>
      <c r="U106" s="210"/>
      <c r="V106" s="59">
        <v>1.0</v>
      </c>
      <c r="W106" s="211"/>
      <c r="X106" s="54"/>
      <c r="Y106" s="54"/>
      <c r="Z106" s="208"/>
      <c r="AA106" s="62">
        <f t="shared" si="15"/>
        <v>1</v>
      </c>
      <c r="AB106" s="80">
        <v>840.0</v>
      </c>
      <c r="AC106" s="68">
        <f t="shared" si="16"/>
        <v>840</v>
      </c>
      <c r="AD106" s="17"/>
      <c r="AE106" s="155"/>
      <c r="AF106" s="155"/>
    </row>
    <row r="107">
      <c r="A107" s="253" t="s">
        <v>17</v>
      </c>
      <c r="B107" s="228">
        <v>3.0</v>
      </c>
      <c r="C107" s="228">
        <v>1.0</v>
      </c>
      <c r="D107" s="245"/>
      <c r="E107" s="246">
        <v>1.0</v>
      </c>
      <c r="F107" s="183"/>
      <c r="G107" s="184"/>
      <c r="H107" s="246">
        <v>1.0</v>
      </c>
      <c r="I107" s="246">
        <v>1.0</v>
      </c>
      <c r="J107" s="181"/>
      <c r="K107" s="246">
        <v>3.0</v>
      </c>
      <c r="L107" s="181"/>
      <c r="M107" s="229"/>
      <c r="N107" s="184"/>
      <c r="O107" s="184"/>
      <c r="P107" s="246">
        <v>1.0</v>
      </c>
      <c r="Q107" s="181"/>
      <c r="R107" s="181"/>
      <c r="S107" s="185"/>
      <c r="T107" s="186"/>
      <c r="U107" s="187"/>
      <c r="V107" s="247">
        <v>5.0</v>
      </c>
      <c r="W107" s="188"/>
      <c r="X107" s="181"/>
      <c r="Y107" s="181"/>
      <c r="Z107" s="231">
        <v>17.0</v>
      </c>
      <c r="AA107" s="62">
        <f t="shared" si="15"/>
        <v>33</v>
      </c>
      <c r="AB107" s="167">
        <v>1125.0</v>
      </c>
      <c r="AC107" s="168">
        <f t="shared" si="16"/>
        <v>37125</v>
      </c>
      <c r="AD107" s="17"/>
      <c r="AE107" s="155"/>
      <c r="AF107" s="155"/>
    </row>
    <row r="108">
      <c r="A108" s="254" t="s">
        <v>45</v>
      </c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  <c r="AB108" s="129"/>
      <c r="AC108" s="174">
        <f>SUM(AC105:AC107)</f>
        <v>42109</v>
      </c>
      <c r="AD108" s="17"/>
      <c r="AE108" s="255"/>
      <c r="AF108" s="255"/>
    </row>
    <row r="109">
      <c r="A109" s="256" t="s">
        <v>192</v>
      </c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8"/>
      <c r="AD109" s="17"/>
      <c r="AE109" s="257"/>
      <c r="AF109" s="257"/>
    </row>
    <row r="110">
      <c r="A110" s="258" t="s">
        <v>193</v>
      </c>
      <c r="B110" s="54"/>
      <c r="C110" s="46"/>
      <c r="D110" s="191"/>
      <c r="E110" s="46"/>
      <c r="F110" s="51"/>
      <c r="G110" s="49">
        <v>1.0</v>
      </c>
      <c r="H110" s="46"/>
      <c r="I110" s="54"/>
      <c r="J110" s="46"/>
      <c r="K110" s="46"/>
      <c r="L110" s="46"/>
      <c r="M110" s="51"/>
      <c r="N110" s="49">
        <v>2.0</v>
      </c>
      <c r="O110" s="54"/>
      <c r="P110" s="49">
        <v>1.0</v>
      </c>
      <c r="Q110" s="49">
        <v>3.0</v>
      </c>
      <c r="R110" s="46"/>
      <c r="S110" s="60"/>
      <c r="T110" s="63">
        <v>28.0</v>
      </c>
      <c r="U110" s="66"/>
      <c r="V110" s="59">
        <v>1.0</v>
      </c>
      <c r="W110" s="69"/>
      <c r="X110" s="46"/>
      <c r="Y110" s="46"/>
      <c r="Z110" s="105">
        <v>19.0</v>
      </c>
      <c r="AA110" s="62">
        <f t="shared" ref="AA110:AA120" si="17">SUM(B110:Z110)</f>
        <v>55</v>
      </c>
      <c r="AB110" s="80">
        <v>130.0</v>
      </c>
      <c r="AC110" s="68">
        <f t="shared" ref="AC110:AC120" si="18">AA110*AB110</f>
        <v>7150</v>
      </c>
      <c r="AD110" s="17"/>
      <c r="AE110" s="195" t="s">
        <v>207</v>
      </c>
      <c r="AF110" s="155"/>
    </row>
    <row r="111">
      <c r="A111" s="258" t="s">
        <v>196</v>
      </c>
      <c r="B111" s="54"/>
      <c r="C111" s="46"/>
      <c r="D111" s="48"/>
      <c r="E111" s="54"/>
      <c r="F111" s="51"/>
      <c r="G111" s="54"/>
      <c r="H111" s="49">
        <v>1.0</v>
      </c>
      <c r="I111" s="49">
        <v>1.0</v>
      </c>
      <c r="J111" s="46"/>
      <c r="K111" s="49">
        <v>2.0</v>
      </c>
      <c r="L111" s="49">
        <v>1.0</v>
      </c>
      <c r="M111" s="51"/>
      <c r="N111" s="54"/>
      <c r="O111" s="49">
        <v>1.0</v>
      </c>
      <c r="P111" s="54"/>
      <c r="Q111" s="46"/>
      <c r="R111" s="54"/>
      <c r="S111" s="60"/>
      <c r="T111" s="63">
        <v>3.0</v>
      </c>
      <c r="U111" s="66"/>
      <c r="V111" s="46"/>
      <c r="W111" s="69"/>
      <c r="X111" s="46"/>
      <c r="Y111" s="46"/>
      <c r="Z111" s="105">
        <v>3.0</v>
      </c>
      <c r="AA111" s="62">
        <f t="shared" si="17"/>
        <v>12</v>
      </c>
      <c r="AB111" s="80">
        <v>130.0</v>
      </c>
      <c r="AC111" s="68">
        <f t="shared" si="18"/>
        <v>1560</v>
      </c>
      <c r="AD111" s="17"/>
      <c r="AE111" s="155"/>
      <c r="AF111" s="155"/>
    </row>
    <row r="112">
      <c r="A112" s="258" t="s">
        <v>198</v>
      </c>
      <c r="B112" s="42">
        <v>9.0</v>
      </c>
      <c r="C112" s="42">
        <v>1.0</v>
      </c>
      <c r="D112" s="191"/>
      <c r="E112" s="46"/>
      <c r="F112" s="51"/>
      <c r="G112" s="49">
        <v>1.0</v>
      </c>
      <c r="H112" s="46"/>
      <c r="I112" s="49">
        <v>10.0</v>
      </c>
      <c r="J112" s="54"/>
      <c r="K112" s="49">
        <v>2.0</v>
      </c>
      <c r="L112" s="49">
        <v>1.0</v>
      </c>
      <c r="M112" s="51"/>
      <c r="N112" s="46"/>
      <c r="O112" s="54"/>
      <c r="P112" s="46"/>
      <c r="Q112" s="49">
        <v>1.0</v>
      </c>
      <c r="R112" s="59">
        <v>2.0</v>
      </c>
      <c r="S112" s="60"/>
      <c r="T112" s="63">
        <v>44.0</v>
      </c>
      <c r="U112" s="66"/>
      <c r="V112" s="46"/>
      <c r="W112" s="69"/>
      <c r="X112" s="59">
        <v>2.0</v>
      </c>
      <c r="Y112" s="59">
        <v>3.0</v>
      </c>
      <c r="Z112" s="105">
        <v>9.0</v>
      </c>
      <c r="AA112" s="62">
        <f t="shared" si="17"/>
        <v>85</v>
      </c>
      <c r="AB112" s="80">
        <v>90.0</v>
      </c>
      <c r="AC112" s="68">
        <f t="shared" si="18"/>
        <v>7650</v>
      </c>
      <c r="AD112" s="17"/>
      <c r="AE112" s="155"/>
      <c r="AF112" s="155"/>
    </row>
    <row r="113">
      <c r="A113" s="147" t="s">
        <v>199</v>
      </c>
      <c r="B113" s="54"/>
      <c r="C113" s="54"/>
      <c r="D113" s="48"/>
      <c r="E113" s="54"/>
      <c r="F113" s="51"/>
      <c r="G113" s="54"/>
      <c r="H113" s="54"/>
      <c r="I113" s="54"/>
      <c r="J113" s="54"/>
      <c r="K113" s="54"/>
      <c r="L113" s="54"/>
      <c r="M113" s="51"/>
      <c r="N113" s="54"/>
      <c r="O113" s="54"/>
      <c r="P113" s="54"/>
      <c r="Q113" s="54"/>
      <c r="R113" s="54"/>
      <c r="S113" s="208"/>
      <c r="T113" s="63"/>
      <c r="U113" s="210"/>
      <c r="V113" s="54"/>
      <c r="W113" s="211"/>
      <c r="X113" s="54"/>
      <c r="Y113" s="54"/>
      <c r="Z113" s="208"/>
      <c r="AA113" s="62">
        <f t="shared" si="17"/>
        <v>0</v>
      </c>
      <c r="AB113" s="80">
        <v>90.0</v>
      </c>
      <c r="AC113" s="68">
        <f t="shared" si="18"/>
        <v>0</v>
      </c>
      <c r="AD113" s="17"/>
      <c r="AE113" s="155"/>
      <c r="AF113" s="155"/>
    </row>
    <row r="114">
      <c r="A114" s="258" t="s">
        <v>201</v>
      </c>
      <c r="B114" s="46"/>
      <c r="C114" s="46"/>
      <c r="D114" s="191"/>
      <c r="E114" s="54"/>
      <c r="F114" s="51"/>
      <c r="G114" s="49">
        <v>1.0</v>
      </c>
      <c r="H114" s="46"/>
      <c r="I114" s="49">
        <v>1.0</v>
      </c>
      <c r="J114" s="49">
        <v>2.0</v>
      </c>
      <c r="K114" s="49">
        <v>2.0</v>
      </c>
      <c r="L114" s="49">
        <v>1.0</v>
      </c>
      <c r="M114" s="192"/>
      <c r="N114" s="49">
        <v>1.0</v>
      </c>
      <c r="O114" s="49">
        <v>2.0</v>
      </c>
      <c r="P114" s="46"/>
      <c r="Q114" s="49">
        <v>3.0</v>
      </c>
      <c r="R114" s="59">
        <v>2.0</v>
      </c>
      <c r="S114" s="60"/>
      <c r="T114" s="63">
        <v>74.0</v>
      </c>
      <c r="U114" s="66"/>
      <c r="V114" s="59">
        <v>1.0</v>
      </c>
      <c r="W114" s="69"/>
      <c r="X114" s="46"/>
      <c r="Y114" s="59">
        <v>2.0</v>
      </c>
      <c r="Z114" s="60"/>
      <c r="AA114" s="62">
        <f t="shared" si="17"/>
        <v>92</v>
      </c>
      <c r="AB114" s="80">
        <v>200.0</v>
      </c>
      <c r="AC114" s="68">
        <f t="shared" si="18"/>
        <v>18400</v>
      </c>
      <c r="AD114" s="17"/>
      <c r="AE114" s="155"/>
      <c r="AF114" s="155"/>
    </row>
    <row r="115">
      <c r="A115" s="258" t="s">
        <v>203</v>
      </c>
      <c r="B115" s="54"/>
      <c r="C115" s="54"/>
      <c r="D115" s="48"/>
      <c r="E115" s="54"/>
      <c r="F115" s="51"/>
      <c r="G115" s="54"/>
      <c r="H115" s="54"/>
      <c r="I115" s="54"/>
      <c r="J115" s="54"/>
      <c r="K115" s="54"/>
      <c r="L115" s="54"/>
      <c r="M115" s="51"/>
      <c r="N115" s="54"/>
      <c r="O115" s="54"/>
      <c r="P115" s="54"/>
      <c r="Q115" s="54"/>
      <c r="R115" s="54"/>
      <c r="S115" s="60"/>
      <c r="T115" s="63">
        <v>22.0</v>
      </c>
      <c r="U115" s="66"/>
      <c r="V115" s="46"/>
      <c r="W115" s="69"/>
      <c r="X115" s="46"/>
      <c r="Y115" s="46"/>
      <c r="Z115" s="60"/>
      <c r="AA115" s="62">
        <f t="shared" si="17"/>
        <v>22</v>
      </c>
      <c r="AB115" s="80">
        <v>200.0</v>
      </c>
      <c r="AC115" s="68">
        <f t="shared" si="18"/>
        <v>4400</v>
      </c>
      <c r="AD115" s="17"/>
      <c r="AE115" s="155"/>
      <c r="AF115" s="155"/>
    </row>
    <row r="116">
      <c r="A116" s="258" t="s">
        <v>204</v>
      </c>
      <c r="B116" s="54"/>
      <c r="C116" s="54"/>
      <c r="D116" s="48"/>
      <c r="E116" s="54"/>
      <c r="F116" s="51"/>
      <c r="G116" s="54"/>
      <c r="H116" s="54"/>
      <c r="I116" s="54"/>
      <c r="J116" s="54"/>
      <c r="K116" s="54"/>
      <c r="L116" s="54"/>
      <c r="M116" s="51"/>
      <c r="N116" s="54"/>
      <c r="O116" s="54"/>
      <c r="P116" s="54"/>
      <c r="Q116" s="54"/>
      <c r="R116" s="54"/>
      <c r="S116" s="208"/>
      <c r="T116" s="209"/>
      <c r="U116" s="210"/>
      <c r="V116" s="54"/>
      <c r="W116" s="211"/>
      <c r="X116" s="54"/>
      <c r="Y116" s="54"/>
      <c r="Z116" s="208"/>
      <c r="AA116" s="62">
        <f t="shared" si="17"/>
        <v>0</v>
      </c>
      <c r="AB116" s="80">
        <v>600.0</v>
      </c>
      <c r="AC116" s="68">
        <f t="shared" si="18"/>
        <v>0</v>
      </c>
      <c r="AD116" s="17"/>
      <c r="AE116" s="155"/>
      <c r="AF116" s="155"/>
    </row>
    <row r="117">
      <c r="A117" s="258" t="s">
        <v>205</v>
      </c>
      <c r="B117" s="42">
        <v>1.0</v>
      </c>
      <c r="C117" s="42">
        <v>1.0</v>
      </c>
      <c r="D117" s="191"/>
      <c r="E117" s="54"/>
      <c r="F117" s="51"/>
      <c r="G117" s="49">
        <v>1.0</v>
      </c>
      <c r="H117" s="46"/>
      <c r="I117" s="54"/>
      <c r="J117" s="54"/>
      <c r="K117" s="49">
        <v>1.0</v>
      </c>
      <c r="L117" s="49">
        <v>1.0</v>
      </c>
      <c r="M117" s="192"/>
      <c r="N117" s="49">
        <v>1.0</v>
      </c>
      <c r="O117" s="54"/>
      <c r="P117" s="49">
        <v>1.0</v>
      </c>
      <c r="Q117" s="46"/>
      <c r="R117" s="59">
        <v>1.0</v>
      </c>
      <c r="S117" s="60"/>
      <c r="T117" s="88"/>
      <c r="U117" s="66"/>
      <c r="V117" s="46"/>
      <c r="W117" s="69"/>
      <c r="X117" s="46"/>
      <c r="Y117" s="46"/>
      <c r="Z117" s="105">
        <v>9.0</v>
      </c>
      <c r="AA117" s="62">
        <f t="shared" si="17"/>
        <v>17</v>
      </c>
      <c r="AB117" s="80">
        <v>600.0</v>
      </c>
      <c r="AC117" s="68">
        <f t="shared" si="18"/>
        <v>10200</v>
      </c>
      <c r="AD117" s="17"/>
      <c r="AE117" s="155"/>
      <c r="AF117" s="155"/>
    </row>
    <row r="118">
      <c r="A118" s="267" t="s">
        <v>225</v>
      </c>
      <c r="B118" s="46"/>
      <c r="C118" s="46"/>
      <c r="D118" s="191"/>
      <c r="E118" s="54"/>
      <c r="F118" s="51"/>
      <c r="G118" s="46"/>
      <c r="H118" s="46"/>
      <c r="I118" s="54"/>
      <c r="J118" s="54"/>
      <c r="K118" s="46"/>
      <c r="L118" s="46"/>
      <c r="M118" s="192"/>
      <c r="N118" s="49">
        <v>4.0</v>
      </c>
      <c r="O118" s="49">
        <v>1.0</v>
      </c>
      <c r="P118" s="49">
        <v>2.0</v>
      </c>
      <c r="Q118" s="49">
        <v>1.0</v>
      </c>
      <c r="R118" s="59">
        <v>22.0</v>
      </c>
      <c r="S118" s="60"/>
      <c r="T118" s="63">
        <v>51.0</v>
      </c>
      <c r="U118" s="66"/>
      <c r="V118" s="59">
        <v>8.0</v>
      </c>
      <c r="W118" s="69"/>
      <c r="X118" s="59">
        <v>3.0</v>
      </c>
      <c r="Y118" s="59">
        <v>3.0</v>
      </c>
      <c r="Z118" s="105">
        <v>5.0</v>
      </c>
      <c r="AA118" s="62">
        <f t="shared" si="17"/>
        <v>100</v>
      </c>
      <c r="AB118" s="80">
        <v>500.0</v>
      </c>
      <c r="AC118" s="68">
        <f t="shared" si="18"/>
        <v>50000</v>
      </c>
      <c r="AD118" s="17"/>
      <c r="AE118" s="155"/>
      <c r="AF118" s="155"/>
    </row>
    <row r="119">
      <c r="A119" s="267" t="s">
        <v>206</v>
      </c>
      <c r="B119" s="54"/>
      <c r="C119" s="54"/>
      <c r="D119" s="48"/>
      <c r="E119" s="54"/>
      <c r="F119" s="51"/>
      <c r="G119" s="54"/>
      <c r="H119" s="46"/>
      <c r="I119" s="54"/>
      <c r="J119" s="54"/>
      <c r="K119" s="54"/>
      <c r="L119" s="54"/>
      <c r="M119" s="51"/>
      <c r="N119" s="54"/>
      <c r="O119" s="54"/>
      <c r="P119" s="54"/>
      <c r="Q119" s="54"/>
      <c r="R119" s="54"/>
      <c r="S119" s="208"/>
      <c r="T119" s="209"/>
      <c r="U119" s="210"/>
      <c r="V119" s="54"/>
      <c r="W119" s="211"/>
      <c r="X119" s="54"/>
      <c r="Y119" s="54"/>
      <c r="Z119" s="105">
        <v>3.0</v>
      </c>
      <c r="AA119" s="62">
        <f t="shared" si="17"/>
        <v>3</v>
      </c>
      <c r="AB119" s="80">
        <v>1300.0</v>
      </c>
      <c r="AC119" s="68">
        <f t="shared" si="18"/>
        <v>3900</v>
      </c>
      <c r="AD119" s="17"/>
      <c r="AE119" s="155"/>
      <c r="AF119" s="155"/>
    </row>
    <row r="120">
      <c r="A120" s="259" t="s">
        <v>229</v>
      </c>
      <c r="B120" s="228">
        <v>1.0</v>
      </c>
      <c r="C120" s="184"/>
      <c r="D120" s="182"/>
      <c r="E120" s="184"/>
      <c r="F120" s="183"/>
      <c r="G120" s="184"/>
      <c r="H120" s="181"/>
      <c r="I120" s="184"/>
      <c r="J120" s="184"/>
      <c r="K120" s="184"/>
      <c r="L120" s="246">
        <v>2.0</v>
      </c>
      <c r="M120" s="183"/>
      <c r="N120" s="184"/>
      <c r="O120" s="184"/>
      <c r="P120" s="184"/>
      <c r="Q120" s="184"/>
      <c r="R120" s="184"/>
      <c r="S120" s="212"/>
      <c r="T120" s="213"/>
      <c r="U120" s="214"/>
      <c r="V120" s="184"/>
      <c r="W120" s="215"/>
      <c r="X120" s="184"/>
      <c r="Y120" s="184"/>
      <c r="Z120" s="231">
        <v>2.0</v>
      </c>
      <c r="AA120" s="166">
        <f t="shared" si="17"/>
        <v>5</v>
      </c>
      <c r="AB120" s="167">
        <v>650.0</v>
      </c>
      <c r="AC120" s="168">
        <f t="shared" si="18"/>
        <v>3250</v>
      </c>
      <c r="AD120" s="17"/>
      <c r="AE120" s="155"/>
      <c r="AF120" s="155"/>
    </row>
    <row r="121">
      <c r="A121" s="254" t="s">
        <v>45</v>
      </c>
      <c r="B121" s="128"/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  <c r="AB121" s="129"/>
      <c r="AC121" s="260">
        <f>SUM(AC110:AC120)</f>
        <v>106510</v>
      </c>
      <c r="AD121" s="17"/>
      <c r="AE121" s="261"/>
      <c r="AF121" s="261"/>
    </row>
    <row r="122">
      <c r="A122" s="262" t="s">
        <v>208</v>
      </c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8"/>
      <c r="AD122" s="17"/>
      <c r="AE122" s="257"/>
      <c r="AF122" s="257"/>
    </row>
    <row r="123">
      <c r="A123" s="142" t="s">
        <v>210</v>
      </c>
      <c r="B123" s="54"/>
      <c r="C123" s="54"/>
      <c r="D123" s="48"/>
      <c r="E123" s="54"/>
      <c r="F123" s="51"/>
      <c r="G123" s="54"/>
      <c r="H123" s="54"/>
      <c r="I123" s="49">
        <v>1.0</v>
      </c>
      <c r="J123" s="54"/>
      <c r="K123" s="54"/>
      <c r="L123" s="49">
        <v>2.0</v>
      </c>
      <c r="M123" s="51"/>
      <c r="N123" s="54"/>
      <c r="O123" s="54"/>
      <c r="P123" s="54"/>
      <c r="Q123" s="54"/>
      <c r="R123" s="54"/>
      <c r="S123" s="208"/>
      <c r="T123" s="209"/>
      <c r="U123" s="210"/>
      <c r="V123" s="54"/>
      <c r="W123" s="211"/>
      <c r="X123" s="54"/>
      <c r="Y123" s="59">
        <v>2.0</v>
      </c>
      <c r="Z123" s="208"/>
      <c r="AA123" s="62">
        <f t="shared" ref="AA123:AA128" si="19">SUM(B123:Z123)</f>
        <v>5</v>
      </c>
      <c r="AB123" s="80">
        <v>700.0</v>
      </c>
      <c r="AC123" s="68">
        <f t="shared" ref="AC123:AC128" si="20">AA123*AB123</f>
        <v>3500</v>
      </c>
      <c r="AD123" s="17"/>
      <c r="AE123" s="195" t="s">
        <v>236</v>
      </c>
      <c r="AF123" s="155"/>
    </row>
    <row r="124">
      <c r="A124" s="142" t="s">
        <v>213</v>
      </c>
      <c r="B124" s="54"/>
      <c r="C124" s="42">
        <v>1.0</v>
      </c>
      <c r="D124" s="48"/>
      <c r="E124" s="54"/>
      <c r="F124" s="51"/>
      <c r="G124" s="54"/>
      <c r="H124" s="54"/>
      <c r="I124" s="54"/>
      <c r="J124" s="54"/>
      <c r="K124" s="54"/>
      <c r="L124" s="54"/>
      <c r="M124" s="51"/>
      <c r="N124" s="54"/>
      <c r="O124" s="54"/>
      <c r="P124" s="46"/>
      <c r="Q124" s="54"/>
      <c r="R124" s="54"/>
      <c r="S124" s="208"/>
      <c r="T124" s="209"/>
      <c r="U124" s="210"/>
      <c r="V124" s="54"/>
      <c r="W124" s="211"/>
      <c r="X124" s="54"/>
      <c r="Y124" s="54"/>
      <c r="Z124" s="208"/>
      <c r="AA124" s="62">
        <f t="shared" si="19"/>
        <v>1</v>
      </c>
      <c r="AB124" s="80">
        <v>1450.0</v>
      </c>
      <c r="AC124" s="68">
        <f t="shared" si="20"/>
        <v>1450</v>
      </c>
      <c r="AD124" s="17"/>
      <c r="AE124" s="155"/>
      <c r="AF124" s="155"/>
    </row>
    <row r="125">
      <c r="A125" s="142" t="s">
        <v>215</v>
      </c>
      <c r="B125" s="54"/>
      <c r="C125" s="54"/>
      <c r="D125" s="48"/>
      <c r="E125" s="54"/>
      <c r="F125" s="51"/>
      <c r="G125" s="49">
        <v>1.0</v>
      </c>
      <c r="H125" s="54"/>
      <c r="I125" s="54"/>
      <c r="J125" s="54"/>
      <c r="K125" s="54"/>
      <c r="L125" s="46"/>
      <c r="M125" s="51"/>
      <c r="N125" s="46"/>
      <c r="O125" s="54"/>
      <c r="P125" s="54"/>
      <c r="Q125" s="54"/>
      <c r="R125" s="46"/>
      <c r="S125" s="60"/>
      <c r="T125" s="88"/>
      <c r="U125" s="66"/>
      <c r="V125" s="46"/>
      <c r="W125" s="69"/>
      <c r="X125" s="46"/>
      <c r="Y125" s="46"/>
      <c r="Z125" s="60"/>
      <c r="AA125" s="62">
        <f t="shared" si="19"/>
        <v>1</v>
      </c>
      <c r="AB125" s="80">
        <v>800.0</v>
      </c>
      <c r="AC125" s="68">
        <f t="shared" si="20"/>
        <v>800</v>
      </c>
      <c r="AD125" s="17"/>
      <c r="AE125" s="155"/>
      <c r="AF125" s="155"/>
    </row>
    <row r="126">
      <c r="A126" s="142" t="s">
        <v>217</v>
      </c>
      <c r="B126" s="46"/>
      <c r="C126" s="54"/>
      <c r="D126" s="191"/>
      <c r="E126" s="46"/>
      <c r="F126" s="51"/>
      <c r="G126" s="54"/>
      <c r="H126" s="46"/>
      <c r="I126" s="54"/>
      <c r="J126" s="54"/>
      <c r="K126" s="54"/>
      <c r="L126" s="54"/>
      <c r="M126" s="51"/>
      <c r="N126" s="54"/>
      <c r="O126" s="54"/>
      <c r="P126" s="46"/>
      <c r="Q126" s="54"/>
      <c r="R126" s="54"/>
      <c r="S126" s="60"/>
      <c r="T126" s="88"/>
      <c r="U126" s="66"/>
      <c r="V126" s="46"/>
      <c r="W126" s="69"/>
      <c r="X126" s="46"/>
      <c r="Y126" s="46"/>
      <c r="Z126" s="60"/>
      <c r="AA126" s="62">
        <f t="shared" si="19"/>
        <v>0</v>
      </c>
      <c r="AB126" s="80">
        <v>800.0</v>
      </c>
      <c r="AC126" s="68">
        <f t="shared" si="20"/>
        <v>0</v>
      </c>
      <c r="AD126" s="17"/>
      <c r="AE126" s="155"/>
      <c r="AF126" s="155"/>
    </row>
    <row r="127">
      <c r="A127" s="142" t="s">
        <v>220</v>
      </c>
      <c r="B127" s="42">
        <v>1.0</v>
      </c>
      <c r="C127" s="42">
        <v>3.0</v>
      </c>
      <c r="D127" s="191"/>
      <c r="E127" s="49">
        <v>3.0</v>
      </c>
      <c r="F127" s="51"/>
      <c r="G127" s="49">
        <v>4.0</v>
      </c>
      <c r="H127" s="49">
        <v>2.0</v>
      </c>
      <c r="I127" s="49">
        <v>12.0</v>
      </c>
      <c r="J127" s="46"/>
      <c r="K127" s="49">
        <v>7.0</v>
      </c>
      <c r="L127" s="49">
        <v>6.0</v>
      </c>
      <c r="M127" s="192"/>
      <c r="N127" s="46"/>
      <c r="O127" s="49">
        <v>5.0</v>
      </c>
      <c r="P127" s="49">
        <v>3.0</v>
      </c>
      <c r="Q127" s="46"/>
      <c r="R127" s="59">
        <v>5.0</v>
      </c>
      <c r="S127" s="60"/>
      <c r="T127" s="63">
        <v>182.0</v>
      </c>
      <c r="U127" s="66"/>
      <c r="V127" s="59">
        <v>1.0</v>
      </c>
      <c r="W127" s="69"/>
      <c r="X127" s="59">
        <v>1.0</v>
      </c>
      <c r="Y127" s="59">
        <v>2.0</v>
      </c>
      <c r="Z127" s="60"/>
      <c r="AA127" s="62">
        <f t="shared" si="19"/>
        <v>237</v>
      </c>
      <c r="AB127" s="80">
        <v>260.0</v>
      </c>
      <c r="AC127" s="68">
        <f t="shared" si="20"/>
        <v>61620</v>
      </c>
      <c r="AD127" s="17"/>
      <c r="AE127" s="155"/>
      <c r="AF127" s="155"/>
    </row>
    <row r="128">
      <c r="A128" s="263" t="s">
        <v>221</v>
      </c>
      <c r="B128" s="181"/>
      <c r="C128" s="181"/>
      <c r="D128" s="245"/>
      <c r="E128" s="181"/>
      <c r="F128" s="183"/>
      <c r="G128" s="184"/>
      <c r="H128" s="181"/>
      <c r="I128" s="246">
        <v>2.0</v>
      </c>
      <c r="J128" s="184"/>
      <c r="K128" s="246">
        <v>2.0</v>
      </c>
      <c r="L128" s="184"/>
      <c r="M128" s="183"/>
      <c r="N128" s="184"/>
      <c r="O128" s="184"/>
      <c r="P128" s="246">
        <v>1.0</v>
      </c>
      <c r="Q128" s="184"/>
      <c r="R128" s="184"/>
      <c r="S128" s="185"/>
      <c r="T128" s="230">
        <v>86.0</v>
      </c>
      <c r="U128" s="187"/>
      <c r="V128" s="181"/>
      <c r="W128" s="188"/>
      <c r="X128" s="181"/>
      <c r="Y128" s="181"/>
      <c r="Z128" s="185"/>
      <c r="AA128" s="62">
        <f t="shared" si="19"/>
        <v>91</v>
      </c>
      <c r="AB128" s="167">
        <v>180.0</v>
      </c>
      <c r="AC128" s="168">
        <f t="shared" si="20"/>
        <v>16380</v>
      </c>
      <c r="AD128" s="17"/>
      <c r="AE128" s="155"/>
      <c r="AF128" s="155"/>
    </row>
    <row r="129">
      <c r="A129" s="254" t="s">
        <v>45</v>
      </c>
      <c r="B129" s="128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  <c r="AA129" s="128"/>
      <c r="AB129" s="129"/>
      <c r="AC129" s="260">
        <f>SUM(AC123:AC128)</f>
        <v>83750</v>
      </c>
      <c r="AD129" s="17"/>
      <c r="AE129" s="261"/>
      <c r="AF129" s="261"/>
    </row>
    <row r="130">
      <c r="A130" s="262" t="s">
        <v>223</v>
      </c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8"/>
      <c r="AD130" s="17"/>
      <c r="AE130" s="257"/>
      <c r="AF130" s="257"/>
    </row>
    <row r="131">
      <c r="A131" s="266" t="s">
        <v>224</v>
      </c>
      <c r="B131" s="42">
        <v>1.0</v>
      </c>
      <c r="C131" s="42">
        <v>1.0</v>
      </c>
      <c r="D131" s="191"/>
      <c r="E131" s="46"/>
      <c r="F131" s="51"/>
      <c r="G131" s="54"/>
      <c r="H131" s="49">
        <v>3.0</v>
      </c>
      <c r="I131" s="49">
        <v>3.0</v>
      </c>
      <c r="J131" s="49">
        <v>5.0</v>
      </c>
      <c r="K131" s="49">
        <v>4.0</v>
      </c>
      <c r="L131" s="46"/>
      <c r="M131" s="192"/>
      <c r="N131" s="49">
        <v>2.0</v>
      </c>
      <c r="O131" s="54"/>
      <c r="P131" s="49">
        <v>1.0</v>
      </c>
      <c r="Q131" s="49">
        <v>1.0</v>
      </c>
      <c r="R131" s="46"/>
      <c r="S131" s="60"/>
      <c r="T131" s="63">
        <v>33.0</v>
      </c>
      <c r="U131" s="66"/>
      <c r="V131" s="59">
        <v>1.0</v>
      </c>
      <c r="W131" s="69"/>
      <c r="X131" s="59">
        <v>1.0</v>
      </c>
      <c r="Y131" s="59">
        <v>3.0</v>
      </c>
      <c r="Z131" s="105">
        <v>41.0</v>
      </c>
      <c r="AA131" s="62">
        <f t="shared" ref="AA131:AA132" si="21">SUM(B131:Z131)</f>
        <v>100</v>
      </c>
      <c r="AB131" s="80">
        <v>325.0</v>
      </c>
      <c r="AC131" s="68">
        <f t="shared" ref="AC131:AC132" si="22">AA131*AB131</f>
        <v>32500</v>
      </c>
      <c r="AD131" s="17"/>
      <c r="AE131" s="195" t="s">
        <v>246</v>
      </c>
      <c r="AF131" s="155"/>
    </row>
    <row r="132">
      <c r="A132" s="268" t="s">
        <v>226</v>
      </c>
      <c r="B132" s="42">
        <v>3.0</v>
      </c>
      <c r="C132" s="42">
        <v>1.0</v>
      </c>
      <c r="D132" s="191"/>
      <c r="E132" s="46"/>
      <c r="F132" s="51"/>
      <c r="G132" s="49">
        <v>2.0</v>
      </c>
      <c r="H132" s="49">
        <v>1.0</v>
      </c>
      <c r="I132" s="49">
        <v>3.0</v>
      </c>
      <c r="J132" s="49">
        <v>4.0</v>
      </c>
      <c r="K132" s="49">
        <v>1.0</v>
      </c>
      <c r="L132" s="49">
        <v>2.0</v>
      </c>
      <c r="M132" s="192"/>
      <c r="N132" s="49">
        <v>3.0</v>
      </c>
      <c r="O132" s="54"/>
      <c r="P132" s="49">
        <v>2.0</v>
      </c>
      <c r="Q132" s="49">
        <v>1.0</v>
      </c>
      <c r="R132" s="59">
        <v>3.0</v>
      </c>
      <c r="S132" s="60"/>
      <c r="T132" s="63">
        <v>29.0</v>
      </c>
      <c r="U132" s="66"/>
      <c r="V132" s="59">
        <v>1.0</v>
      </c>
      <c r="W132" s="69"/>
      <c r="X132" s="59">
        <v>3.0</v>
      </c>
      <c r="Y132" s="59">
        <v>2.0</v>
      </c>
      <c r="Z132" s="105">
        <v>34.0</v>
      </c>
      <c r="AA132" s="62">
        <f t="shared" si="21"/>
        <v>95</v>
      </c>
      <c r="AB132" s="80">
        <v>485.0</v>
      </c>
      <c r="AC132" s="68">
        <f t="shared" si="22"/>
        <v>46075</v>
      </c>
      <c r="AD132" s="17"/>
      <c r="AE132" s="155"/>
      <c r="AF132" s="155"/>
    </row>
    <row r="133">
      <c r="A133" s="254" t="s">
        <v>45</v>
      </c>
      <c r="B133" s="128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9"/>
      <c r="AC133" s="260">
        <f>SUM(AC131:AC132)</f>
        <v>78575</v>
      </c>
      <c r="AD133" s="17"/>
      <c r="AE133" s="261"/>
      <c r="AF133" s="261"/>
    </row>
    <row r="134">
      <c r="A134" s="262" t="s">
        <v>230</v>
      </c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8"/>
      <c r="AD134" s="17"/>
      <c r="AE134" s="257"/>
      <c r="AF134" s="257"/>
    </row>
    <row r="135">
      <c r="A135" s="268" t="s">
        <v>231</v>
      </c>
      <c r="B135" s="42">
        <v>3.0</v>
      </c>
      <c r="C135" s="54"/>
      <c r="D135" s="48"/>
      <c r="E135" s="54"/>
      <c r="F135" s="51"/>
      <c r="G135" s="54"/>
      <c r="H135" s="49">
        <v>1.0</v>
      </c>
      <c r="I135" s="49">
        <v>1.0</v>
      </c>
      <c r="J135" s="49">
        <v>1.0</v>
      </c>
      <c r="K135" s="49">
        <v>1.0</v>
      </c>
      <c r="L135" s="46"/>
      <c r="M135" s="192"/>
      <c r="N135" s="46"/>
      <c r="O135" s="54"/>
      <c r="P135" s="49">
        <v>4.0</v>
      </c>
      <c r="Q135" s="49">
        <v>1.0</v>
      </c>
      <c r="R135" s="46"/>
      <c r="S135" s="60"/>
      <c r="T135" s="63">
        <v>18.0</v>
      </c>
      <c r="U135" s="66"/>
      <c r="V135" s="59">
        <v>1.0</v>
      </c>
      <c r="W135" s="69"/>
      <c r="X135" s="59">
        <v>2.0</v>
      </c>
      <c r="Y135" s="59">
        <v>1.0</v>
      </c>
      <c r="Z135" s="60"/>
      <c r="AA135" s="62">
        <f t="shared" ref="AA135:AA137" si="23">SUM(B135:Z135)</f>
        <v>34</v>
      </c>
      <c r="AB135" s="80">
        <v>1150.0</v>
      </c>
      <c r="AC135" s="68">
        <f t="shared" ref="AC135:AC137" si="24">AA135*AB135</f>
        <v>39100</v>
      </c>
      <c r="AD135" s="17"/>
      <c r="AE135" s="155"/>
      <c r="AF135" s="155"/>
    </row>
    <row r="136">
      <c r="A136" s="268" t="s">
        <v>233</v>
      </c>
      <c r="B136" s="42">
        <v>3.0</v>
      </c>
      <c r="C136" s="42">
        <v>3.0</v>
      </c>
      <c r="D136" s="191"/>
      <c r="E136" s="49">
        <v>3.0</v>
      </c>
      <c r="F136" s="51"/>
      <c r="G136" s="49">
        <v>3.0</v>
      </c>
      <c r="H136" s="49">
        <v>3.0</v>
      </c>
      <c r="I136" s="49">
        <v>4.0</v>
      </c>
      <c r="J136" s="46"/>
      <c r="K136" s="49">
        <v>1.0</v>
      </c>
      <c r="L136" s="46"/>
      <c r="M136" s="192"/>
      <c r="N136" s="49">
        <v>7.0</v>
      </c>
      <c r="O136" s="49">
        <v>5.0</v>
      </c>
      <c r="P136" s="49">
        <v>1.0</v>
      </c>
      <c r="Q136" s="49">
        <v>1.0</v>
      </c>
      <c r="R136" s="59">
        <v>3.0</v>
      </c>
      <c r="S136" s="60"/>
      <c r="T136" s="63">
        <v>29.0</v>
      </c>
      <c r="U136" s="66"/>
      <c r="V136" s="59">
        <v>4.0</v>
      </c>
      <c r="W136" s="69"/>
      <c r="X136" s="59">
        <v>7.0</v>
      </c>
      <c r="Y136" s="59">
        <v>1.0</v>
      </c>
      <c r="Z136" s="105">
        <v>4.0</v>
      </c>
      <c r="AA136" s="62">
        <f t="shared" si="23"/>
        <v>82</v>
      </c>
      <c r="AB136" s="80">
        <v>1250.0</v>
      </c>
      <c r="AC136" s="68">
        <f t="shared" si="24"/>
        <v>102500</v>
      </c>
      <c r="AD136" s="17"/>
      <c r="AE136" s="155"/>
      <c r="AF136" s="155"/>
    </row>
    <row r="137">
      <c r="A137" s="156" t="s">
        <v>235</v>
      </c>
      <c r="B137" s="184"/>
      <c r="C137" s="184"/>
      <c r="D137" s="182"/>
      <c r="E137" s="184"/>
      <c r="F137" s="183"/>
      <c r="G137" s="184"/>
      <c r="H137" s="184"/>
      <c r="I137" s="181"/>
      <c r="J137" s="184"/>
      <c r="K137" s="184"/>
      <c r="L137" s="184"/>
      <c r="M137" s="183"/>
      <c r="N137" s="184"/>
      <c r="O137" s="184"/>
      <c r="P137" s="184"/>
      <c r="Q137" s="184"/>
      <c r="R137" s="184"/>
      <c r="S137" s="212"/>
      <c r="T137" s="213"/>
      <c r="U137" s="214"/>
      <c r="V137" s="184"/>
      <c r="W137" s="215"/>
      <c r="X137" s="184"/>
      <c r="Y137" s="184"/>
      <c r="Z137" s="212"/>
      <c r="AA137" s="62">
        <f t="shared" si="23"/>
        <v>0</v>
      </c>
      <c r="AB137" s="168"/>
      <c r="AC137" s="168">
        <f t="shared" si="24"/>
        <v>0</v>
      </c>
      <c r="AD137" s="17"/>
      <c r="AE137" s="155"/>
      <c r="AF137" s="155"/>
    </row>
    <row r="138">
      <c r="A138" s="254" t="s">
        <v>45</v>
      </c>
      <c r="B138" s="128"/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9"/>
      <c r="AC138" s="270">
        <f>SUM(AC135:AC137)</f>
        <v>141600</v>
      </c>
      <c r="AD138" s="17"/>
      <c r="AE138" s="271"/>
      <c r="AF138" s="271"/>
    </row>
    <row r="139">
      <c r="A139" s="272" t="s">
        <v>238</v>
      </c>
      <c r="B139" s="134"/>
      <c r="C139" s="134"/>
      <c r="D139" s="134"/>
      <c r="E139" s="134"/>
      <c r="F139" s="134"/>
      <c r="G139" s="134"/>
      <c r="H139" s="134"/>
      <c r="I139" s="134"/>
      <c r="J139" s="134"/>
      <c r="K139" s="134"/>
      <c r="L139" s="134"/>
      <c r="M139" s="134"/>
      <c r="N139" s="134"/>
      <c r="O139" s="134"/>
      <c r="P139" s="134"/>
      <c r="Q139" s="134"/>
      <c r="R139" s="134"/>
      <c r="S139" s="134"/>
      <c r="T139" s="134"/>
      <c r="U139" s="134"/>
      <c r="V139" s="134"/>
      <c r="W139" s="134"/>
      <c r="X139" s="134"/>
      <c r="Y139" s="134"/>
      <c r="Z139" s="134"/>
      <c r="AA139" s="134"/>
      <c r="AB139" s="134"/>
      <c r="AC139" s="135"/>
      <c r="AD139" s="17"/>
      <c r="AE139" s="257"/>
      <c r="AF139" s="257"/>
    </row>
    <row r="140">
      <c r="A140" s="197" t="s">
        <v>260</v>
      </c>
      <c r="B140" s="54"/>
      <c r="C140" s="46"/>
      <c r="D140" s="191"/>
      <c r="E140" s="54"/>
      <c r="F140" s="51"/>
      <c r="G140" s="54"/>
      <c r="H140" s="54"/>
      <c r="I140" s="54"/>
      <c r="J140" s="54"/>
      <c r="K140" s="46"/>
      <c r="L140" s="54"/>
      <c r="M140" s="51"/>
      <c r="N140" s="54"/>
      <c r="O140" s="54"/>
      <c r="P140" s="49">
        <v>27.0</v>
      </c>
      <c r="Q140" s="46"/>
      <c r="R140" s="54"/>
      <c r="S140" s="60"/>
      <c r="T140" s="88"/>
      <c r="U140" s="66"/>
      <c r="V140" s="46"/>
      <c r="W140" s="69"/>
      <c r="X140" s="59">
        <v>1.0</v>
      </c>
      <c r="Y140" s="46"/>
      <c r="Z140" s="60"/>
      <c r="AA140" s="62">
        <f t="shared" ref="AA140:AA146" si="25">SUM(B140:Z140)</f>
        <v>28</v>
      </c>
      <c r="AB140" s="80">
        <v>350.0</v>
      </c>
      <c r="AC140" s="68">
        <f t="shared" ref="AC140:AC146" si="26">AA140*AB140</f>
        <v>9800</v>
      </c>
      <c r="AD140" s="17"/>
      <c r="AE140" s="155"/>
      <c r="AF140" s="155"/>
    </row>
    <row r="141">
      <c r="A141" s="197" t="s">
        <v>232</v>
      </c>
      <c r="B141" s="54"/>
      <c r="C141" s="54"/>
      <c r="D141" s="48"/>
      <c r="E141" s="54"/>
      <c r="F141" s="51"/>
      <c r="G141" s="54"/>
      <c r="H141" s="54"/>
      <c r="I141" s="54"/>
      <c r="J141" s="54"/>
      <c r="K141" s="54"/>
      <c r="L141" s="54"/>
      <c r="M141" s="51"/>
      <c r="N141" s="54"/>
      <c r="O141" s="54"/>
      <c r="P141" s="54"/>
      <c r="Q141" s="54"/>
      <c r="R141" s="54"/>
      <c r="S141" s="208"/>
      <c r="T141" s="209"/>
      <c r="U141" s="210"/>
      <c r="V141" s="54"/>
      <c r="W141" s="211"/>
      <c r="X141" s="54"/>
      <c r="Y141" s="54"/>
      <c r="Z141" s="208"/>
      <c r="AA141" s="62">
        <f t="shared" si="25"/>
        <v>0</v>
      </c>
      <c r="AB141" s="80">
        <v>130.0</v>
      </c>
      <c r="AC141" s="68">
        <f t="shared" si="26"/>
        <v>0</v>
      </c>
      <c r="AD141" s="17"/>
      <c r="AE141" s="155"/>
      <c r="AF141" s="155"/>
    </row>
    <row r="142">
      <c r="A142" s="197" t="s">
        <v>234</v>
      </c>
      <c r="B142" s="54"/>
      <c r="C142" s="54"/>
      <c r="D142" s="48"/>
      <c r="E142" s="54"/>
      <c r="F142" s="51"/>
      <c r="G142" s="54"/>
      <c r="H142" s="54"/>
      <c r="I142" s="54"/>
      <c r="J142" s="54"/>
      <c r="K142" s="54"/>
      <c r="L142" s="54"/>
      <c r="M142" s="51"/>
      <c r="N142" s="54"/>
      <c r="O142" s="54"/>
      <c r="P142" s="54"/>
      <c r="Q142" s="54"/>
      <c r="R142" s="54"/>
      <c r="S142" s="208"/>
      <c r="T142" s="209"/>
      <c r="U142" s="210"/>
      <c r="V142" s="54"/>
      <c r="W142" s="211"/>
      <c r="X142" s="54"/>
      <c r="Y142" s="54"/>
      <c r="Z142" s="208"/>
      <c r="AA142" s="62">
        <f t="shared" si="25"/>
        <v>0</v>
      </c>
      <c r="AB142" s="80">
        <v>80.0</v>
      </c>
      <c r="AC142" s="68">
        <f t="shared" si="26"/>
        <v>0</v>
      </c>
      <c r="AD142" s="17"/>
      <c r="AE142" s="155"/>
      <c r="AF142" s="155"/>
    </row>
    <row r="143">
      <c r="A143" s="197" t="s">
        <v>241</v>
      </c>
      <c r="B143" s="46"/>
      <c r="C143" s="46"/>
      <c r="D143" s="191"/>
      <c r="E143" s="46"/>
      <c r="F143" s="51"/>
      <c r="G143" s="49">
        <v>1.0</v>
      </c>
      <c r="H143" s="46"/>
      <c r="I143" s="49">
        <v>9.0</v>
      </c>
      <c r="J143" s="49">
        <v>1.0</v>
      </c>
      <c r="K143" s="46"/>
      <c r="L143" s="54"/>
      <c r="M143" s="51"/>
      <c r="N143" s="54"/>
      <c r="O143" s="49">
        <v>1.0</v>
      </c>
      <c r="P143" s="49">
        <v>1.0</v>
      </c>
      <c r="Q143" s="46"/>
      <c r="R143" s="46"/>
      <c r="S143" s="60"/>
      <c r="T143" s="63">
        <v>58.0</v>
      </c>
      <c r="U143" s="66"/>
      <c r="V143" s="46"/>
      <c r="W143" s="69"/>
      <c r="X143" s="59">
        <v>3.0</v>
      </c>
      <c r="Y143" s="59">
        <v>1.0</v>
      </c>
      <c r="Z143" s="60"/>
      <c r="AA143" s="62">
        <f t="shared" si="25"/>
        <v>75</v>
      </c>
      <c r="AB143" s="80">
        <v>40.0</v>
      </c>
      <c r="AC143" s="68">
        <f t="shared" si="26"/>
        <v>3000</v>
      </c>
      <c r="AD143" s="17"/>
      <c r="AE143" s="155"/>
      <c r="AF143" s="155"/>
    </row>
    <row r="144">
      <c r="A144" s="197" t="s">
        <v>243</v>
      </c>
      <c r="B144" s="42">
        <v>1.0</v>
      </c>
      <c r="C144" s="46"/>
      <c r="D144" s="191"/>
      <c r="E144" s="54"/>
      <c r="F144" s="51"/>
      <c r="G144" s="54"/>
      <c r="H144" s="54"/>
      <c r="I144" s="54"/>
      <c r="J144" s="46"/>
      <c r="K144" s="46"/>
      <c r="L144" s="54"/>
      <c r="M144" s="192"/>
      <c r="N144" s="54"/>
      <c r="O144" s="54"/>
      <c r="P144" s="46"/>
      <c r="Q144" s="54"/>
      <c r="R144" s="46"/>
      <c r="S144" s="60"/>
      <c r="T144" s="63">
        <v>20.0</v>
      </c>
      <c r="U144" s="66"/>
      <c r="V144" s="46"/>
      <c r="W144" s="69"/>
      <c r="X144" s="46"/>
      <c r="Y144" s="59">
        <v>1.0</v>
      </c>
      <c r="Z144" s="60"/>
      <c r="AA144" s="62">
        <f t="shared" si="25"/>
        <v>22</v>
      </c>
      <c r="AB144" s="80">
        <v>120.0</v>
      </c>
      <c r="AC144" s="68">
        <f t="shared" si="26"/>
        <v>2640</v>
      </c>
      <c r="AD144" s="17"/>
      <c r="AE144" s="155"/>
      <c r="AF144" s="155"/>
    </row>
    <row r="145">
      <c r="A145" s="197" t="s">
        <v>267</v>
      </c>
      <c r="B145" s="54"/>
      <c r="C145" s="54"/>
      <c r="D145" s="48"/>
      <c r="E145" s="54"/>
      <c r="F145" s="51"/>
      <c r="G145" s="54"/>
      <c r="H145" s="54"/>
      <c r="I145" s="46"/>
      <c r="J145" s="54"/>
      <c r="K145" s="54"/>
      <c r="L145" s="54"/>
      <c r="M145" s="192"/>
      <c r="N145" s="54"/>
      <c r="O145" s="54"/>
      <c r="P145" s="54"/>
      <c r="Q145" s="54"/>
      <c r="R145" s="59">
        <v>3.0</v>
      </c>
      <c r="S145" s="60"/>
      <c r="T145" s="63">
        <v>6.0</v>
      </c>
      <c r="U145" s="66"/>
      <c r="V145" s="46"/>
      <c r="W145" s="69"/>
      <c r="X145" s="46"/>
      <c r="Y145" s="59">
        <v>1.0</v>
      </c>
      <c r="Z145" s="105">
        <v>4.0</v>
      </c>
      <c r="AA145" s="62">
        <f t="shared" si="25"/>
        <v>14</v>
      </c>
      <c r="AB145" s="80">
        <v>30.0</v>
      </c>
      <c r="AC145" s="168">
        <f t="shared" si="26"/>
        <v>420</v>
      </c>
      <c r="AD145" s="17"/>
      <c r="AE145" s="155"/>
      <c r="AF145" s="155"/>
    </row>
    <row r="146">
      <c r="A146" s="243" t="s">
        <v>270</v>
      </c>
      <c r="B146" s="184"/>
      <c r="C146" s="184"/>
      <c r="D146" s="182"/>
      <c r="E146" s="184"/>
      <c r="F146" s="183"/>
      <c r="G146" s="184"/>
      <c r="H146" s="184"/>
      <c r="I146" s="181"/>
      <c r="J146" s="184"/>
      <c r="K146" s="184"/>
      <c r="L146" s="184"/>
      <c r="M146" s="229"/>
      <c r="N146" s="184"/>
      <c r="O146" s="246">
        <v>1.0</v>
      </c>
      <c r="P146" s="246">
        <v>1.0</v>
      </c>
      <c r="Q146" s="246">
        <v>3.0</v>
      </c>
      <c r="R146" s="247">
        <v>2.0</v>
      </c>
      <c r="S146" s="185"/>
      <c r="T146" s="230">
        <v>90.0</v>
      </c>
      <c r="U146" s="187"/>
      <c r="V146" s="181"/>
      <c r="W146" s="188"/>
      <c r="X146" s="181"/>
      <c r="Y146" s="181"/>
      <c r="Z146" s="231">
        <v>2.0</v>
      </c>
      <c r="AA146" s="166">
        <f t="shared" si="25"/>
        <v>99</v>
      </c>
      <c r="AB146" s="167">
        <v>200.0</v>
      </c>
      <c r="AC146" s="168">
        <f t="shared" si="26"/>
        <v>19800</v>
      </c>
      <c r="AD146" s="17"/>
      <c r="AE146" s="155"/>
      <c r="AF146" s="155"/>
    </row>
    <row r="147">
      <c r="A147" s="254" t="s">
        <v>45</v>
      </c>
      <c r="B147" s="128"/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9"/>
      <c r="AC147" s="277">
        <f>SUM(AC140:AC146)</f>
        <v>35660</v>
      </c>
      <c r="AD147" s="17"/>
      <c r="AE147" s="255"/>
      <c r="AF147" s="255"/>
    </row>
    <row r="148">
      <c r="A148" s="278" t="s">
        <v>247</v>
      </c>
      <c r="B148" s="275"/>
      <c r="C148" s="275"/>
      <c r="D148" s="275"/>
      <c r="E148" s="275"/>
      <c r="F148" s="275"/>
      <c r="G148" s="275"/>
      <c r="H148" s="275"/>
      <c r="I148" s="275"/>
      <c r="J148" s="275"/>
      <c r="K148" s="275"/>
      <c r="L148" s="275"/>
      <c r="M148" s="275"/>
      <c r="N148" s="275"/>
      <c r="O148" s="275"/>
      <c r="P148" s="275"/>
      <c r="Q148" s="275"/>
      <c r="R148" s="275"/>
      <c r="S148" s="275"/>
      <c r="T148" s="275"/>
      <c r="U148" s="275"/>
      <c r="V148" s="275"/>
      <c r="W148" s="275"/>
      <c r="X148" s="275"/>
      <c r="Y148" s="275"/>
      <c r="Z148" s="275"/>
      <c r="AA148" s="275"/>
      <c r="AB148" s="275"/>
      <c r="AC148" s="276"/>
      <c r="AD148" s="17"/>
      <c r="AE148" s="257"/>
      <c r="AF148" s="257"/>
    </row>
    <row r="149">
      <c r="A149" s="279" t="s">
        <v>248</v>
      </c>
      <c r="B149" s="326"/>
      <c r="C149" s="326"/>
      <c r="D149" s="327"/>
      <c r="E149" s="326"/>
      <c r="F149" s="328"/>
      <c r="G149" s="326"/>
      <c r="H149" s="326"/>
      <c r="I149" s="326"/>
      <c r="J149" s="326"/>
      <c r="K149" s="326"/>
      <c r="L149" s="326"/>
      <c r="M149" s="328"/>
      <c r="N149" s="326"/>
      <c r="O149" s="326"/>
      <c r="P149" s="326"/>
      <c r="Q149" s="326"/>
      <c r="R149" s="326"/>
      <c r="S149" s="329"/>
      <c r="T149" s="330"/>
      <c r="U149" s="331"/>
      <c r="V149" s="326"/>
      <c r="W149" s="332"/>
      <c r="X149" s="326"/>
      <c r="Y149" s="326"/>
      <c r="Z149" s="329"/>
      <c r="AA149" s="287">
        <f t="shared" ref="AA149:AA161" si="27">SUM(B149:Z149)</f>
        <v>0</v>
      </c>
      <c r="AB149" s="288">
        <v>1940.0</v>
      </c>
      <c r="AC149" s="289">
        <f t="shared" ref="AC149:AC161" si="28">AA149*AB149</f>
        <v>0</v>
      </c>
      <c r="AD149" s="17"/>
      <c r="AE149" s="257" t="s">
        <v>275</v>
      </c>
      <c r="AF149" s="257"/>
    </row>
    <row r="150">
      <c r="A150" s="279" t="s">
        <v>250</v>
      </c>
      <c r="B150" s="326"/>
      <c r="C150" s="326"/>
      <c r="D150" s="327"/>
      <c r="E150" s="326"/>
      <c r="F150" s="328"/>
      <c r="G150" s="326"/>
      <c r="H150" s="326"/>
      <c r="I150" s="326"/>
      <c r="J150" s="326"/>
      <c r="K150" s="326"/>
      <c r="L150" s="326"/>
      <c r="M150" s="328"/>
      <c r="N150" s="326"/>
      <c r="O150" s="326"/>
      <c r="P150" s="326"/>
      <c r="Q150" s="326"/>
      <c r="R150" s="326"/>
      <c r="S150" s="329"/>
      <c r="T150" s="330"/>
      <c r="U150" s="331"/>
      <c r="V150" s="326"/>
      <c r="W150" s="332"/>
      <c r="X150" s="326"/>
      <c r="Y150" s="336">
        <v>1.0</v>
      </c>
      <c r="Z150" s="329"/>
      <c r="AA150" s="287">
        <f t="shared" si="27"/>
        <v>1</v>
      </c>
      <c r="AB150" s="288">
        <v>1820.0</v>
      </c>
      <c r="AC150" s="289">
        <f t="shared" si="28"/>
        <v>1820</v>
      </c>
      <c r="AD150" s="17"/>
      <c r="AE150" s="257"/>
      <c r="AF150" s="257"/>
    </row>
    <row r="151">
      <c r="A151" s="279" t="s">
        <v>251</v>
      </c>
      <c r="B151" s="326"/>
      <c r="C151" s="326"/>
      <c r="D151" s="327"/>
      <c r="E151" s="326"/>
      <c r="F151" s="328"/>
      <c r="G151" s="326"/>
      <c r="H151" s="326"/>
      <c r="I151" s="326"/>
      <c r="J151" s="326"/>
      <c r="K151" s="326"/>
      <c r="L151" s="326"/>
      <c r="M151" s="328"/>
      <c r="N151" s="326"/>
      <c r="O151" s="326"/>
      <c r="P151" s="326"/>
      <c r="Q151" s="326"/>
      <c r="R151" s="326"/>
      <c r="S151" s="329"/>
      <c r="T151" s="330"/>
      <c r="U151" s="331"/>
      <c r="V151" s="326"/>
      <c r="W151" s="332"/>
      <c r="X151" s="326"/>
      <c r="Y151" s="326"/>
      <c r="Z151" s="329"/>
      <c r="AA151" s="287">
        <f t="shared" si="27"/>
        <v>0</v>
      </c>
      <c r="AB151" s="288">
        <v>1940.0</v>
      </c>
      <c r="AC151" s="289">
        <f t="shared" si="28"/>
        <v>0</v>
      </c>
      <c r="AD151" s="17"/>
      <c r="AE151" s="257"/>
      <c r="AF151" s="257"/>
    </row>
    <row r="152">
      <c r="A152" s="279" t="s">
        <v>253</v>
      </c>
      <c r="B152" s="326"/>
      <c r="C152" s="326"/>
      <c r="D152" s="327"/>
      <c r="E152" s="326"/>
      <c r="F152" s="328"/>
      <c r="G152" s="326"/>
      <c r="H152" s="326"/>
      <c r="I152" s="326"/>
      <c r="J152" s="326"/>
      <c r="K152" s="326"/>
      <c r="L152" s="326"/>
      <c r="M152" s="328"/>
      <c r="N152" s="326"/>
      <c r="O152" s="326"/>
      <c r="P152" s="326"/>
      <c r="Q152" s="326"/>
      <c r="R152" s="326"/>
      <c r="S152" s="329"/>
      <c r="T152" s="330"/>
      <c r="U152" s="331"/>
      <c r="V152" s="326"/>
      <c r="W152" s="332"/>
      <c r="X152" s="326"/>
      <c r="Y152" s="326"/>
      <c r="Z152" s="329"/>
      <c r="AA152" s="287">
        <f t="shared" si="27"/>
        <v>0</v>
      </c>
      <c r="AB152" s="288">
        <v>2000.0</v>
      </c>
      <c r="AC152" s="289">
        <f t="shared" si="28"/>
        <v>0</v>
      </c>
      <c r="AD152" s="17"/>
      <c r="AE152" s="257"/>
      <c r="AF152" s="257"/>
    </row>
    <row r="153">
      <c r="A153" s="279" t="s">
        <v>255</v>
      </c>
      <c r="B153" s="326"/>
      <c r="C153" s="326"/>
      <c r="D153" s="327"/>
      <c r="E153" s="326"/>
      <c r="F153" s="328"/>
      <c r="G153" s="326"/>
      <c r="H153" s="326"/>
      <c r="I153" s="326"/>
      <c r="J153" s="326"/>
      <c r="K153" s="326"/>
      <c r="L153" s="326"/>
      <c r="M153" s="328"/>
      <c r="N153" s="326"/>
      <c r="O153" s="326"/>
      <c r="P153" s="326"/>
      <c r="Q153" s="326"/>
      <c r="R153" s="326"/>
      <c r="S153" s="329"/>
      <c r="T153" s="330"/>
      <c r="U153" s="331"/>
      <c r="V153" s="326"/>
      <c r="W153" s="332"/>
      <c r="X153" s="326"/>
      <c r="Y153" s="326"/>
      <c r="Z153" s="329"/>
      <c r="AA153" s="287">
        <f t="shared" si="27"/>
        <v>0</v>
      </c>
      <c r="AB153" s="288">
        <v>2140.0</v>
      </c>
      <c r="AC153" s="289">
        <f t="shared" si="28"/>
        <v>0</v>
      </c>
      <c r="AD153" s="17"/>
      <c r="AE153" s="257"/>
      <c r="AF153" s="257"/>
    </row>
    <row r="154">
      <c r="A154" s="279" t="s">
        <v>256</v>
      </c>
      <c r="B154" s="326"/>
      <c r="C154" s="326"/>
      <c r="D154" s="327"/>
      <c r="E154" s="326"/>
      <c r="F154" s="328"/>
      <c r="G154" s="326"/>
      <c r="H154" s="326"/>
      <c r="I154" s="326"/>
      <c r="J154" s="326"/>
      <c r="K154" s="326"/>
      <c r="L154" s="326"/>
      <c r="M154" s="328"/>
      <c r="N154" s="326"/>
      <c r="O154" s="326"/>
      <c r="P154" s="326"/>
      <c r="Q154" s="326"/>
      <c r="R154" s="326"/>
      <c r="S154" s="329"/>
      <c r="T154" s="330"/>
      <c r="U154" s="331"/>
      <c r="V154" s="326"/>
      <c r="W154" s="332"/>
      <c r="X154" s="326"/>
      <c r="Y154" s="326"/>
      <c r="Z154" s="329"/>
      <c r="AA154" s="287">
        <f t="shared" si="27"/>
        <v>0</v>
      </c>
      <c r="AB154" s="288">
        <v>2500.0</v>
      </c>
      <c r="AC154" s="289">
        <f t="shared" si="28"/>
        <v>0</v>
      </c>
      <c r="AD154" s="17"/>
      <c r="AE154" s="257"/>
      <c r="AF154" s="257"/>
    </row>
    <row r="155">
      <c r="A155" s="279" t="s">
        <v>279</v>
      </c>
      <c r="B155" s="326"/>
      <c r="C155" s="326"/>
      <c r="D155" s="327"/>
      <c r="E155" s="340">
        <v>1.0</v>
      </c>
      <c r="F155" s="328"/>
      <c r="G155" s="326"/>
      <c r="H155" s="326"/>
      <c r="I155" s="326"/>
      <c r="J155" s="326"/>
      <c r="K155" s="326"/>
      <c r="L155" s="326"/>
      <c r="M155" s="328"/>
      <c r="N155" s="326"/>
      <c r="O155" s="326"/>
      <c r="P155" s="326"/>
      <c r="Q155" s="326"/>
      <c r="R155" s="326"/>
      <c r="S155" s="329"/>
      <c r="T155" s="330"/>
      <c r="U155" s="331"/>
      <c r="V155" s="326"/>
      <c r="W155" s="332"/>
      <c r="X155" s="326"/>
      <c r="Y155" s="336">
        <v>1.0</v>
      </c>
      <c r="Z155" s="329"/>
      <c r="AA155" s="287">
        <f t="shared" si="27"/>
        <v>2</v>
      </c>
      <c r="AB155" s="288">
        <v>1300.0</v>
      </c>
      <c r="AC155" s="289">
        <f t="shared" si="28"/>
        <v>2600</v>
      </c>
      <c r="AD155" s="17"/>
      <c r="AE155" s="257"/>
      <c r="AF155" s="257"/>
    </row>
    <row r="156">
      <c r="A156" s="279" t="s">
        <v>259</v>
      </c>
      <c r="B156" s="326"/>
      <c r="C156" s="326"/>
      <c r="D156" s="327"/>
      <c r="E156" s="326"/>
      <c r="F156" s="328"/>
      <c r="G156" s="326"/>
      <c r="H156" s="326"/>
      <c r="I156" s="326"/>
      <c r="J156" s="326"/>
      <c r="K156" s="326"/>
      <c r="L156" s="326"/>
      <c r="M156" s="328"/>
      <c r="N156" s="326"/>
      <c r="O156" s="326"/>
      <c r="P156" s="326"/>
      <c r="Q156" s="326"/>
      <c r="R156" s="326"/>
      <c r="S156" s="329"/>
      <c r="T156" s="330"/>
      <c r="U156" s="331"/>
      <c r="V156" s="326"/>
      <c r="W156" s="332"/>
      <c r="X156" s="326"/>
      <c r="Y156" s="326"/>
      <c r="Z156" s="329"/>
      <c r="AA156" s="287">
        <f t="shared" si="27"/>
        <v>0</v>
      </c>
      <c r="AB156" s="288">
        <v>2500.0</v>
      </c>
      <c r="AC156" s="289">
        <f t="shared" si="28"/>
        <v>0</v>
      </c>
      <c r="AD156" s="17"/>
      <c r="AE156" s="257"/>
      <c r="AF156" s="257"/>
    </row>
    <row r="157">
      <c r="A157" s="279" t="s">
        <v>259</v>
      </c>
      <c r="B157" s="326"/>
      <c r="C157" s="326"/>
      <c r="D157" s="327"/>
      <c r="E157" s="326"/>
      <c r="F157" s="328"/>
      <c r="G157" s="326"/>
      <c r="H157" s="326"/>
      <c r="I157" s="326"/>
      <c r="J157" s="326"/>
      <c r="K157" s="326"/>
      <c r="L157" s="326"/>
      <c r="M157" s="328"/>
      <c r="N157" s="326"/>
      <c r="O157" s="326"/>
      <c r="P157" s="326"/>
      <c r="Q157" s="326"/>
      <c r="R157" s="326"/>
      <c r="S157" s="329"/>
      <c r="T157" s="330"/>
      <c r="U157" s="331"/>
      <c r="V157" s="326"/>
      <c r="W157" s="332"/>
      <c r="X157" s="326"/>
      <c r="Y157" s="326"/>
      <c r="Z157" s="329"/>
      <c r="AA157" s="287">
        <f t="shared" si="27"/>
        <v>0</v>
      </c>
      <c r="AB157" s="288">
        <v>2600.0</v>
      </c>
      <c r="AC157" s="289">
        <f t="shared" si="28"/>
        <v>0</v>
      </c>
      <c r="AD157" s="17"/>
      <c r="AE157" s="257"/>
      <c r="AF157" s="257"/>
    </row>
    <row r="158">
      <c r="A158" s="279" t="s">
        <v>261</v>
      </c>
      <c r="B158" s="326"/>
      <c r="C158" s="326"/>
      <c r="D158" s="327"/>
      <c r="E158" s="326"/>
      <c r="F158" s="328"/>
      <c r="G158" s="326"/>
      <c r="H158" s="326"/>
      <c r="I158" s="326"/>
      <c r="J158" s="326"/>
      <c r="K158" s="326"/>
      <c r="L158" s="326"/>
      <c r="M158" s="328"/>
      <c r="N158" s="326"/>
      <c r="O158" s="326"/>
      <c r="P158" s="326"/>
      <c r="Q158" s="326"/>
      <c r="R158" s="326"/>
      <c r="S158" s="329"/>
      <c r="T158" s="330"/>
      <c r="U158" s="331"/>
      <c r="V158" s="326"/>
      <c r="W158" s="332"/>
      <c r="X158" s="326"/>
      <c r="Y158" s="326"/>
      <c r="Z158" s="329"/>
      <c r="AA158" s="287">
        <f t="shared" si="27"/>
        <v>0</v>
      </c>
      <c r="AB158" s="288">
        <v>1400.0</v>
      </c>
      <c r="AC158" s="289">
        <f t="shared" si="28"/>
        <v>0</v>
      </c>
      <c r="AD158" s="17"/>
      <c r="AE158" s="257"/>
      <c r="AF158" s="257"/>
    </row>
    <row r="159">
      <c r="A159" s="279" t="s">
        <v>261</v>
      </c>
      <c r="B159" s="326"/>
      <c r="C159" s="326"/>
      <c r="D159" s="327"/>
      <c r="E159" s="326"/>
      <c r="F159" s="328"/>
      <c r="G159" s="326"/>
      <c r="H159" s="326"/>
      <c r="I159" s="326"/>
      <c r="J159" s="326"/>
      <c r="K159" s="326"/>
      <c r="L159" s="326"/>
      <c r="M159" s="328"/>
      <c r="N159" s="326"/>
      <c r="O159" s="326"/>
      <c r="P159" s="326"/>
      <c r="Q159" s="326"/>
      <c r="R159" s="326"/>
      <c r="S159" s="329"/>
      <c r="T159" s="330"/>
      <c r="U159" s="331"/>
      <c r="V159" s="326"/>
      <c r="W159" s="332"/>
      <c r="X159" s="326"/>
      <c r="Y159" s="326"/>
      <c r="Z159" s="329"/>
      <c r="AA159" s="287">
        <f t="shared" si="27"/>
        <v>0</v>
      </c>
      <c r="AB159" s="288">
        <v>1900.0</v>
      </c>
      <c r="AC159" s="289">
        <f t="shared" si="28"/>
        <v>0</v>
      </c>
      <c r="AD159" s="17"/>
      <c r="AE159" s="257"/>
      <c r="AF159" s="257"/>
    </row>
    <row r="160">
      <c r="A160" s="279" t="s">
        <v>262</v>
      </c>
      <c r="B160" s="326"/>
      <c r="C160" s="326"/>
      <c r="D160" s="327"/>
      <c r="E160" s="326"/>
      <c r="F160" s="328"/>
      <c r="G160" s="326"/>
      <c r="H160" s="326"/>
      <c r="I160" s="326"/>
      <c r="J160" s="326"/>
      <c r="K160" s="326"/>
      <c r="L160" s="326"/>
      <c r="M160" s="328"/>
      <c r="N160" s="326"/>
      <c r="O160" s="326"/>
      <c r="P160" s="326"/>
      <c r="Q160" s="326"/>
      <c r="R160" s="326"/>
      <c r="S160" s="329"/>
      <c r="T160" s="330"/>
      <c r="U160" s="331"/>
      <c r="V160" s="326"/>
      <c r="W160" s="332"/>
      <c r="X160" s="326"/>
      <c r="Y160" s="326"/>
      <c r="Z160" s="329"/>
      <c r="AA160" s="287">
        <f t="shared" si="27"/>
        <v>0</v>
      </c>
      <c r="AB160" s="288">
        <v>1300.0</v>
      </c>
      <c r="AC160" s="289">
        <f t="shared" si="28"/>
        <v>0</v>
      </c>
      <c r="AD160" s="17"/>
      <c r="AE160" s="257"/>
      <c r="AF160" s="257"/>
    </row>
    <row r="161">
      <c r="A161" s="346" t="s">
        <v>262</v>
      </c>
      <c r="B161" s="347"/>
      <c r="C161" s="347"/>
      <c r="D161" s="348"/>
      <c r="E161" s="347"/>
      <c r="F161" s="349"/>
      <c r="G161" s="347"/>
      <c r="H161" s="347"/>
      <c r="I161" s="347"/>
      <c r="J161" s="347"/>
      <c r="K161" s="347"/>
      <c r="L161" s="347"/>
      <c r="M161" s="349"/>
      <c r="N161" s="347"/>
      <c r="O161" s="347"/>
      <c r="P161" s="347"/>
      <c r="Q161" s="347"/>
      <c r="R161" s="347"/>
      <c r="S161" s="352"/>
      <c r="T161" s="353"/>
      <c r="U161" s="354"/>
      <c r="V161" s="347"/>
      <c r="W161" s="355"/>
      <c r="X161" s="347"/>
      <c r="Y161" s="347"/>
      <c r="Z161" s="352"/>
      <c r="AA161" s="356">
        <f t="shared" si="27"/>
        <v>0</v>
      </c>
      <c r="AB161" s="357">
        <v>1800.0</v>
      </c>
      <c r="AC161" s="358">
        <f t="shared" si="28"/>
        <v>0</v>
      </c>
      <c r="AD161" s="17"/>
      <c r="AE161" s="257"/>
      <c r="AF161" s="257"/>
    </row>
    <row r="162">
      <c r="A162" s="254" t="s">
        <v>45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9"/>
      <c r="AC162" s="362">
        <f>SUM(AC149:AC161)</f>
        <v>4420</v>
      </c>
      <c r="AD162" s="17"/>
      <c r="AE162" s="257"/>
      <c r="AF162" s="257"/>
    </row>
    <row r="163">
      <c r="A163" s="307" t="s">
        <v>264</v>
      </c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97"/>
      <c r="AD163" s="17"/>
      <c r="AE163" s="257"/>
      <c r="AF163" s="257"/>
    </row>
    <row r="164">
      <c r="A164" s="308" t="s">
        <v>265</v>
      </c>
      <c r="B164" s="38"/>
      <c r="C164" s="38"/>
      <c r="D164" s="363"/>
      <c r="E164" s="50"/>
      <c r="F164" s="55"/>
      <c r="G164" s="50"/>
      <c r="H164" s="50"/>
      <c r="I164" s="50"/>
      <c r="J164" s="50"/>
      <c r="K164" s="50"/>
      <c r="L164" s="50"/>
      <c r="M164" s="55"/>
      <c r="N164" s="50"/>
      <c r="O164" s="50"/>
      <c r="P164" s="50"/>
      <c r="Q164" s="50"/>
      <c r="R164" s="50"/>
      <c r="S164" s="41"/>
      <c r="T164" s="77"/>
      <c r="U164" s="47"/>
      <c r="V164" s="50"/>
      <c r="W164" s="364"/>
      <c r="X164" s="50"/>
      <c r="Y164" s="50"/>
      <c r="Z164" s="41"/>
      <c r="AA164" s="62">
        <f t="shared" ref="AA164:AA167" si="29">SUM(B164:Z164)</f>
        <v>0</v>
      </c>
      <c r="AB164" s="242">
        <v>2100.0</v>
      </c>
      <c r="AC164" s="68">
        <f t="shared" ref="AC164:AC167" si="30">AA164*AB164</f>
        <v>0</v>
      </c>
      <c r="AD164" s="17"/>
      <c r="AE164" s="155"/>
      <c r="AF164" s="155"/>
    </row>
    <row r="165">
      <c r="A165" s="308" t="s">
        <v>266</v>
      </c>
      <c r="B165" s="38"/>
      <c r="C165" s="38"/>
      <c r="D165" s="367"/>
      <c r="E165" s="50"/>
      <c r="F165" s="55"/>
      <c r="G165" s="50"/>
      <c r="H165" s="50"/>
      <c r="I165" s="50"/>
      <c r="J165" s="50"/>
      <c r="K165" s="50"/>
      <c r="L165" s="50"/>
      <c r="M165" s="45"/>
      <c r="N165" s="50"/>
      <c r="O165" s="50"/>
      <c r="P165" s="50"/>
      <c r="Q165" s="50"/>
      <c r="R165" s="50"/>
      <c r="S165" s="41"/>
      <c r="T165" s="77"/>
      <c r="U165" s="47"/>
      <c r="V165" s="50"/>
      <c r="W165" s="364"/>
      <c r="X165" s="50"/>
      <c r="Y165" s="50"/>
      <c r="Z165" s="41"/>
      <c r="AA165" s="62">
        <f t="shared" si="29"/>
        <v>0</v>
      </c>
      <c r="AB165" s="242">
        <v>2800.0</v>
      </c>
      <c r="AC165" s="68">
        <f t="shared" si="30"/>
        <v>0</v>
      </c>
      <c r="AD165" s="17"/>
      <c r="AE165" s="155"/>
      <c r="AF165" s="155"/>
    </row>
    <row r="166">
      <c r="A166" s="308" t="s">
        <v>268</v>
      </c>
      <c r="B166" s="38"/>
      <c r="C166" s="38"/>
      <c r="D166" s="363"/>
      <c r="E166" s="50"/>
      <c r="F166" s="55"/>
      <c r="G166" s="50"/>
      <c r="H166" s="50"/>
      <c r="I166" s="50"/>
      <c r="J166" s="50"/>
      <c r="K166" s="50"/>
      <c r="L166" s="50"/>
      <c r="M166" s="55"/>
      <c r="N166" s="50"/>
      <c r="O166" s="50"/>
      <c r="P166" s="50"/>
      <c r="Q166" s="50"/>
      <c r="R166" s="50"/>
      <c r="S166" s="41"/>
      <c r="T166" s="77"/>
      <c r="U166" s="47"/>
      <c r="V166" s="50"/>
      <c r="W166" s="364"/>
      <c r="X166" s="50"/>
      <c r="Y166" s="50"/>
      <c r="Z166" s="41"/>
      <c r="AA166" s="62">
        <f t="shared" si="29"/>
        <v>0</v>
      </c>
      <c r="AB166" s="242">
        <v>2800.0</v>
      </c>
      <c r="AC166" s="68">
        <f t="shared" si="30"/>
        <v>0</v>
      </c>
      <c r="AD166" s="17"/>
      <c r="AE166" s="155"/>
      <c r="AF166" s="155"/>
    </row>
    <row r="167">
      <c r="A167" s="309" t="s">
        <v>269</v>
      </c>
      <c r="B167" s="172"/>
      <c r="C167" s="172"/>
      <c r="D167" s="381"/>
      <c r="E167" s="159"/>
      <c r="F167" s="163"/>
      <c r="G167" s="159"/>
      <c r="H167" s="159"/>
      <c r="I167" s="159"/>
      <c r="J167" s="159"/>
      <c r="K167" s="159"/>
      <c r="L167" s="159"/>
      <c r="M167" s="163"/>
      <c r="N167" s="159"/>
      <c r="O167" s="159"/>
      <c r="P167" s="159"/>
      <c r="Q167" s="159"/>
      <c r="R167" s="159"/>
      <c r="S167" s="161"/>
      <c r="T167" s="162"/>
      <c r="U167" s="164"/>
      <c r="V167" s="159"/>
      <c r="W167" s="382"/>
      <c r="X167" s="159"/>
      <c r="Y167" s="159"/>
      <c r="Z167" s="161"/>
      <c r="AA167" s="62">
        <f t="shared" si="29"/>
        <v>0</v>
      </c>
      <c r="AB167" s="249">
        <v>3200.0</v>
      </c>
      <c r="AC167" s="168">
        <f t="shared" si="30"/>
        <v>0</v>
      </c>
      <c r="AD167" s="17"/>
      <c r="AE167" s="155"/>
      <c r="AF167" s="155"/>
    </row>
    <row r="168">
      <c r="A168" s="254" t="s">
        <v>45</v>
      </c>
      <c r="B168" s="128"/>
      <c r="C168" s="128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9"/>
      <c r="AC168" s="174">
        <f>SUM(AC164:AC167)</f>
        <v>0</v>
      </c>
      <c r="AD168" s="17"/>
      <c r="AE168" s="255"/>
      <c r="AF168" s="255"/>
    </row>
    <row r="169">
      <c r="A169" s="314"/>
      <c r="B169" s="313"/>
      <c r="C169" s="313"/>
      <c r="D169" s="313"/>
      <c r="E169" s="314"/>
      <c r="F169" s="314"/>
      <c r="G169" s="314"/>
      <c r="H169" s="314"/>
      <c r="I169" s="314"/>
      <c r="J169" s="314"/>
      <c r="K169" s="314"/>
      <c r="L169" s="314"/>
      <c r="M169" s="314"/>
      <c r="N169" s="314"/>
      <c r="O169" s="314"/>
      <c r="P169" s="314"/>
      <c r="Q169" s="314"/>
      <c r="R169" s="314"/>
      <c r="S169" s="314"/>
      <c r="T169" s="314"/>
      <c r="U169" s="314"/>
      <c r="V169" s="314"/>
      <c r="W169" s="314"/>
      <c r="X169" s="314"/>
      <c r="Y169" s="314"/>
      <c r="Z169" s="314"/>
      <c r="AA169" s="386" t="s">
        <v>271</v>
      </c>
      <c r="AB169" s="22"/>
      <c r="AC169" s="387">
        <f>AC44+AC58+AC64+AC68+AC85+AC88+AC96+AC103+AC108+AC121+AC129+AC133+AC138+AC147+AC162+AC168</f>
        <v>1585969</v>
      </c>
      <c r="AD169" s="322"/>
      <c r="AE169" s="323"/>
      <c r="AF169" s="323"/>
    </row>
    <row r="170">
      <c r="A170" s="314"/>
      <c r="B170" s="313"/>
      <c r="C170" s="313"/>
      <c r="D170" s="313"/>
      <c r="E170" s="314"/>
      <c r="F170" s="314"/>
      <c r="G170" s="314"/>
      <c r="H170" s="314"/>
      <c r="I170" s="314"/>
      <c r="J170" s="314"/>
      <c r="K170" s="314"/>
      <c r="L170" s="314"/>
      <c r="M170" s="314"/>
      <c r="N170" s="314"/>
      <c r="O170" s="314"/>
      <c r="P170" s="314"/>
      <c r="Q170" s="314"/>
      <c r="R170" s="314"/>
      <c r="S170" s="314"/>
      <c r="T170" s="314"/>
      <c r="U170" s="314"/>
      <c r="V170" s="314"/>
      <c r="W170" s="314"/>
      <c r="X170" s="314"/>
      <c r="Y170" s="314"/>
      <c r="Z170" s="314"/>
      <c r="AA170" s="324"/>
      <c r="AB170" s="155"/>
      <c r="AC170" s="155"/>
      <c r="AD170" s="322"/>
      <c r="AE170" s="155"/>
      <c r="AF170" s="132"/>
    </row>
    <row r="171">
      <c r="A171" s="314"/>
      <c r="B171" s="313"/>
      <c r="C171" s="313"/>
      <c r="D171" s="313"/>
      <c r="E171" s="314"/>
      <c r="F171" s="314"/>
      <c r="G171" s="314"/>
      <c r="H171" s="314"/>
      <c r="I171" s="314"/>
      <c r="J171" s="314"/>
      <c r="K171" s="314"/>
      <c r="L171" s="314"/>
      <c r="M171" s="314"/>
      <c r="N171" s="314"/>
      <c r="O171" s="314"/>
      <c r="P171" s="314"/>
      <c r="Q171" s="314"/>
      <c r="R171" s="314"/>
      <c r="S171" s="314"/>
      <c r="T171" s="314"/>
      <c r="U171" s="314"/>
      <c r="V171" s="314"/>
      <c r="W171" s="314"/>
      <c r="X171" s="314"/>
      <c r="Y171" s="314"/>
      <c r="Z171" s="314"/>
      <c r="AA171" s="324"/>
      <c r="AB171" s="155"/>
      <c r="AC171" s="155"/>
      <c r="AD171" s="322"/>
      <c r="AE171" s="155"/>
      <c r="AF171" s="132"/>
    </row>
    <row r="172">
      <c r="A172" s="314"/>
      <c r="B172" s="313"/>
      <c r="C172" s="313"/>
      <c r="D172" s="313"/>
      <c r="E172" s="314"/>
      <c r="F172" s="314"/>
      <c r="G172" s="314"/>
      <c r="H172" s="314"/>
      <c r="I172" s="314"/>
      <c r="J172" s="314"/>
      <c r="K172" s="314"/>
      <c r="L172" s="314"/>
      <c r="M172" s="314"/>
      <c r="N172" s="314"/>
      <c r="O172" s="314"/>
      <c r="P172" s="314"/>
      <c r="Q172" s="314"/>
      <c r="R172" s="314"/>
      <c r="S172" s="314"/>
      <c r="T172" s="314"/>
      <c r="U172" s="314"/>
      <c r="V172" s="314"/>
      <c r="W172" s="314"/>
      <c r="X172" s="314"/>
      <c r="Y172" s="314"/>
      <c r="Z172" s="314"/>
      <c r="AA172" s="324"/>
      <c r="AB172" s="155"/>
      <c r="AC172" s="155"/>
      <c r="AD172" s="322"/>
      <c r="AE172" s="155"/>
      <c r="AF172" s="132"/>
    </row>
    <row r="173">
      <c r="A173" s="314"/>
      <c r="B173" s="313"/>
      <c r="C173" s="313"/>
      <c r="D173" s="313"/>
      <c r="E173" s="314"/>
      <c r="F173" s="314"/>
      <c r="G173" s="314"/>
      <c r="H173" s="314"/>
      <c r="I173" s="314"/>
      <c r="J173" s="314"/>
      <c r="K173" s="314"/>
      <c r="L173" s="314"/>
      <c r="M173" s="314"/>
      <c r="N173" s="314"/>
      <c r="O173" s="314"/>
      <c r="P173" s="314"/>
      <c r="Q173" s="314"/>
      <c r="R173" s="314"/>
      <c r="S173" s="314"/>
      <c r="T173" s="314"/>
      <c r="U173" s="314"/>
      <c r="V173" s="314"/>
      <c r="W173" s="314"/>
      <c r="X173" s="314"/>
      <c r="Y173" s="314"/>
      <c r="Z173" s="314"/>
      <c r="AA173" s="324"/>
      <c r="AB173" s="155"/>
      <c r="AC173" s="155"/>
      <c r="AD173" s="322"/>
      <c r="AE173" s="155"/>
      <c r="AF173" s="132"/>
    </row>
    <row r="174">
      <c r="A174" s="314"/>
      <c r="B174" s="313"/>
      <c r="C174" s="313"/>
      <c r="D174" s="313"/>
      <c r="E174" s="314"/>
      <c r="F174" s="314"/>
      <c r="G174" s="314"/>
      <c r="H174" s="314"/>
      <c r="I174" s="314"/>
      <c r="J174" s="314"/>
      <c r="K174" s="314"/>
      <c r="L174" s="314"/>
      <c r="M174" s="314"/>
      <c r="N174" s="314"/>
      <c r="O174" s="314"/>
      <c r="P174" s="314"/>
      <c r="Q174" s="314"/>
      <c r="R174" s="314"/>
      <c r="S174" s="314"/>
      <c r="T174" s="314"/>
      <c r="U174" s="314"/>
      <c r="V174" s="314"/>
      <c r="W174" s="314"/>
      <c r="X174" s="314"/>
      <c r="Y174" s="314"/>
      <c r="Z174" s="314"/>
      <c r="AA174" s="324"/>
      <c r="AB174" s="155"/>
      <c r="AC174" s="155"/>
      <c r="AD174" s="322"/>
      <c r="AE174" s="155"/>
      <c r="AF174" s="132"/>
    </row>
    <row r="175">
      <c r="A175" s="314"/>
      <c r="B175" s="313"/>
      <c r="C175" s="313"/>
      <c r="D175" s="313"/>
      <c r="E175" s="314"/>
      <c r="F175" s="314"/>
      <c r="G175" s="314"/>
      <c r="H175" s="314"/>
      <c r="I175" s="314"/>
      <c r="J175" s="314"/>
      <c r="K175" s="314"/>
      <c r="L175" s="314"/>
      <c r="M175" s="314"/>
      <c r="N175" s="314"/>
      <c r="O175" s="314"/>
      <c r="P175" s="314"/>
      <c r="Q175" s="314"/>
      <c r="R175" s="314"/>
      <c r="S175" s="314"/>
      <c r="T175" s="314"/>
      <c r="U175" s="314"/>
      <c r="V175" s="314"/>
      <c r="W175" s="314"/>
      <c r="X175" s="314"/>
      <c r="Y175" s="314"/>
      <c r="Z175" s="314"/>
      <c r="AA175" s="324"/>
      <c r="AB175" s="155"/>
      <c r="AC175" s="155"/>
      <c r="AD175" s="322"/>
      <c r="AE175" s="155"/>
      <c r="AF175" s="132"/>
    </row>
    <row r="176">
      <c r="A176" s="314"/>
      <c r="B176" s="313"/>
      <c r="C176" s="313"/>
      <c r="D176" s="313"/>
      <c r="E176" s="314"/>
      <c r="F176" s="314"/>
      <c r="G176" s="314"/>
      <c r="H176" s="314"/>
      <c r="I176" s="314"/>
      <c r="J176" s="314"/>
      <c r="K176" s="314"/>
      <c r="L176" s="314"/>
      <c r="M176" s="314"/>
      <c r="N176" s="314"/>
      <c r="O176" s="314"/>
      <c r="P176" s="314"/>
      <c r="Q176" s="314"/>
      <c r="R176" s="314"/>
      <c r="S176" s="314"/>
      <c r="T176" s="314"/>
      <c r="U176" s="314"/>
      <c r="V176" s="314"/>
      <c r="W176" s="314"/>
      <c r="X176" s="314"/>
      <c r="Y176" s="314"/>
      <c r="Z176" s="314"/>
      <c r="AA176" s="324"/>
      <c r="AB176" s="155"/>
      <c r="AC176" s="155"/>
      <c r="AD176" s="322"/>
      <c r="AE176" s="155"/>
      <c r="AF176" s="132"/>
    </row>
    <row r="177">
      <c r="A177" s="314"/>
      <c r="B177" s="313"/>
      <c r="C177" s="313"/>
      <c r="D177" s="313"/>
      <c r="E177" s="314"/>
      <c r="F177" s="314"/>
      <c r="G177" s="314"/>
      <c r="H177" s="314"/>
      <c r="I177" s="314"/>
      <c r="J177" s="314"/>
      <c r="K177" s="314"/>
      <c r="L177" s="314"/>
      <c r="M177" s="314"/>
      <c r="N177" s="314"/>
      <c r="O177" s="314"/>
      <c r="P177" s="314"/>
      <c r="Q177" s="314"/>
      <c r="R177" s="314"/>
      <c r="S177" s="314"/>
      <c r="T177" s="314"/>
      <c r="U177" s="314"/>
      <c r="V177" s="314"/>
      <c r="W177" s="314"/>
      <c r="X177" s="314"/>
      <c r="Y177" s="314"/>
      <c r="Z177" s="314"/>
      <c r="AA177" s="324"/>
      <c r="AB177" s="155"/>
      <c r="AC177" s="155"/>
      <c r="AD177" s="322"/>
      <c r="AE177" s="155"/>
      <c r="AF177" s="132"/>
    </row>
    <row r="178">
      <c r="A178" s="314"/>
      <c r="B178" s="313"/>
      <c r="C178" s="313"/>
      <c r="D178" s="313"/>
      <c r="E178" s="314"/>
      <c r="F178" s="314"/>
      <c r="G178" s="314"/>
      <c r="H178" s="314"/>
      <c r="I178" s="314"/>
      <c r="J178" s="314"/>
      <c r="K178" s="314"/>
      <c r="L178" s="314"/>
      <c r="M178" s="314"/>
      <c r="N178" s="314"/>
      <c r="O178" s="314"/>
      <c r="P178" s="314"/>
      <c r="Q178" s="314"/>
      <c r="R178" s="314"/>
      <c r="S178" s="314"/>
      <c r="T178" s="314"/>
      <c r="U178" s="314"/>
      <c r="V178" s="314"/>
      <c r="W178" s="314"/>
      <c r="X178" s="314"/>
      <c r="Y178" s="314"/>
      <c r="Z178" s="314"/>
      <c r="AA178" s="324"/>
      <c r="AB178" s="155"/>
      <c r="AC178" s="155"/>
      <c r="AD178" s="322"/>
      <c r="AE178" s="155"/>
      <c r="AF178" s="132"/>
    </row>
    <row r="179">
      <c r="A179" s="314"/>
      <c r="B179" s="313"/>
      <c r="C179" s="313"/>
      <c r="D179" s="313"/>
      <c r="E179" s="314"/>
      <c r="F179" s="314"/>
      <c r="G179" s="314"/>
      <c r="H179" s="314"/>
      <c r="I179" s="314"/>
      <c r="J179" s="314"/>
      <c r="K179" s="314"/>
      <c r="L179" s="314"/>
      <c r="M179" s="314"/>
      <c r="N179" s="314"/>
      <c r="O179" s="314"/>
      <c r="P179" s="314"/>
      <c r="Q179" s="314"/>
      <c r="R179" s="314"/>
      <c r="S179" s="314"/>
      <c r="T179" s="314"/>
      <c r="U179" s="314"/>
      <c r="V179" s="314"/>
      <c r="W179" s="314"/>
      <c r="X179" s="314"/>
      <c r="Y179" s="314"/>
      <c r="Z179" s="314"/>
      <c r="AA179" s="324"/>
      <c r="AB179" s="155"/>
      <c r="AC179" s="155"/>
      <c r="AD179" s="322"/>
      <c r="AE179" s="155"/>
      <c r="AF179" s="132"/>
    </row>
    <row r="180">
      <c r="A180" s="314"/>
      <c r="B180" s="313"/>
      <c r="C180" s="313"/>
      <c r="D180" s="313"/>
      <c r="E180" s="314"/>
      <c r="F180" s="314"/>
      <c r="G180" s="314"/>
      <c r="H180" s="314"/>
      <c r="I180" s="314"/>
      <c r="J180" s="314"/>
      <c r="K180" s="314"/>
      <c r="L180" s="314"/>
      <c r="M180" s="314"/>
      <c r="N180" s="314"/>
      <c r="O180" s="314"/>
      <c r="P180" s="314"/>
      <c r="Q180" s="314"/>
      <c r="R180" s="314"/>
      <c r="S180" s="314"/>
      <c r="T180" s="314"/>
      <c r="U180" s="314"/>
      <c r="V180" s="314"/>
      <c r="W180" s="314"/>
      <c r="X180" s="314"/>
      <c r="Y180" s="314"/>
      <c r="Z180" s="314"/>
      <c r="AA180" s="324"/>
      <c r="AB180" s="155"/>
      <c r="AC180" s="155"/>
      <c r="AD180" s="322"/>
      <c r="AE180" s="155"/>
      <c r="AF180" s="132"/>
    </row>
    <row r="181">
      <c r="A181" s="314"/>
      <c r="B181" s="313"/>
      <c r="C181" s="313"/>
      <c r="D181" s="313"/>
      <c r="E181" s="314"/>
      <c r="F181" s="314"/>
      <c r="G181" s="314"/>
      <c r="H181" s="314"/>
      <c r="I181" s="314"/>
      <c r="J181" s="314"/>
      <c r="K181" s="314"/>
      <c r="L181" s="314"/>
      <c r="M181" s="314"/>
      <c r="N181" s="314"/>
      <c r="O181" s="314"/>
      <c r="P181" s="314"/>
      <c r="Q181" s="314"/>
      <c r="R181" s="314"/>
      <c r="S181" s="314"/>
      <c r="T181" s="314"/>
      <c r="U181" s="314"/>
      <c r="V181" s="314"/>
      <c r="W181" s="314"/>
      <c r="X181" s="314"/>
      <c r="Y181" s="314"/>
      <c r="Z181" s="314"/>
      <c r="AA181" s="324"/>
      <c r="AB181" s="155"/>
      <c r="AC181" s="155"/>
      <c r="AD181" s="322"/>
      <c r="AE181" s="155"/>
      <c r="AF181" s="132"/>
    </row>
    <row r="182">
      <c r="A182" s="314"/>
      <c r="B182" s="313"/>
      <c r="C182" s="313"/>
      <c r="D182" s="313"/>
      <c r="E182" s="314"/>
      <c r="F182" s="314"/>
      <c r="G182" s="314"/>
      <c r="H182" s="314"/>
      <c r="I182" s="314"/>
      <c r="J182" s="314"/>
      <c r="K182" s="314"/>
      <c r="L182" s="314"/>
      <c r="M182" s="314"/>
      <c r="N182" s="314"/>
      <c r="O182" s="314"/>
      <c r="P182" s="314"/>
      <c r="Q182" s="314"/>
      <c r="R182" s="314"/>
      <c r="S182" s="314"/>
      <c r="T182" s="314"/>
      <c r="U182" s="314"/>
      <c r="V182" s="314"/>
      <c r="W182" s="314"/>
      <c r="X182" s="314"/>
      <c r="Y182" s="314"/>
      <c r="Z182" s="314"/>
      <c r="AA182" s="324"/>
      <c r="AB182" s="155"/>
      <c r="AC182" s="155"/>
      <c r="AD182" s="322"/>
      <c r="AE182" s="155"/>
      <c r="AF182" s="132"/>
    </row>
    <row r="183">
      <c r="A183" s="314"/>
      <c r="B183" s="313"/>
      <c r="C183" s="313"/>
      <c r="D183" s="313"/>
      <c r="E183" s="314"/>
      <c r="F183" s="314"/>
      <c r="G183" s="314"/>
      <c r="H183" s="314"/>
      <c r="I183" s="314"/>
      <c r="J183" s="314"/>
      <c r="K183" s="314"/>
      <c r="L183" s="314"/>
      <c r="M183" s="314"/>
      <c r="N183" s="314"/>
      <c r="O183" s="314"/>
      <c r="P183" s="314"/>
      <c r="Q183" s="314"/>
      <c r="R183" s="314"/>
      <c r="S183" s="314"/>
      <c r="T183" s="314"/>
      <c r="U183" s="314"/>
      <c r="V183" s="314"/>
      <c r="W183" s="314"/>
      <c r="X183" s="314"/>
      <c r="Y183" s="314"/>
      <c r="Z183" s="314"/>
      <c r="AA183" s="324"/>
      <c r="AB183" s="155"/>
      <c r="AC183" s="155"/>
      <c r="AD183" s="322"/>
      <c r="AE183" s="155"/>
      <c r="AF183" s="132"/>
    </row>
    <row r="184">
      <c r="A184" s="314"/>
      <c r="B184" s="313"/>
      <c r="C184" s="313"/>
      <c r="D184" s="313"/>
      <c r="E184" s="314"/>
      <c r="F184" s="314"/>
      <c r="G184" s="314"/>
      <c r="H184" s="314"/>
      <c r="I184" s="314"/>
      <c r="J184" s="314"/>
      <c r="K184" s="314"/>
      <c r="L184" s="314"/>
      <c r="M184" s="314"/>
      <c r="N184" s="314"/>
      <c r="O184" s="314"/>
      <c r="P184" s="314"/>
      <c r="Q184" s="314"/>
      <c r="R184" s="314"/>
      <c r="S184" s="314"/>
      <c r="T184" s="314"/>
      <c r="U184" s="314"/>
      <c r="V184" s="314"/>
      <c r="W184" s="314"/>
      <c r="X184" s="314"/>
      <c r="Y184" s="314"/>
      <c r="Z184" s="314"/>
      <c r="AA184" s="324"/>
      <c r="AB184" s="155"/>
      <c r="AC184" s="155"/>
      <c r="AD184" s="322"/>
      <c r="AE184" s="155"/>
      <c r="AF184" s="132"/>
    </row>
    <row r="185">
      <c r="A185" s="314"/>
      <c r="B185" s="313"/>
      <c r="C185" s="313"/>
      <c r="D185" s="313"/>
      <c r="E185" s="314"/>
      <c r="F185" s="314"/>
      <c r="G185" s="314"/>
      <c r="H185" s="314"/>
      <c r="I185" s="314"/>
      <c r="J185" s="314"/>
      <c r="K185" s="314"/>
      <c r="L185" s="314"/>
      <c r="M185" s="314"/>
      <c r="N185" s="314"/>
      <c r="O185" s="314"/>
      <c r="P185" s="314"/>
      <c r="Q185" s="314"/>
      <c r="R185" s="314"/>
      <c r="S185" s="314"/>
      <c r="T185" s="314"/>
      <c r="U185" s="314"/>
      <c r="V185" s="314"/>
      <c r="W185" s="314"/>
      <c r="X185" s="314"/>
      <c r="Y185" s="314"/>
      <c r="Z185" s="314"/>
      <c r="AA185" s="324"/>
      <c r="AB185" s="155"/>
      <c r="AC185" s="155"/>
      <c r="AD185" s="322"/>
      <c r="AE185" s="155"/>
      <c r="AF185" s="132"/>
    </row>
    <row r="186">
      <c r="A186" s="314"/>
      <c r="B186" s="313"/>
      <c r="C186" s="313"/>
      <c r="D186" s="313"/>
      <c r="E186" s="314"/>
      <c r="F186" s="314"/>
      <c r="G186" s="314"/>
      <c r="H186" s="314"/>
      <c r="I186" s="314"/>
      <c r="J186" s="314"/>
      <c r="K186" s="314"/>
      <c r="L186" s="314"/>
      <c r="M186" s="314"/>
      <c r="N186" s="314"/>
      <c r="O186" s="314"/>
      <c r="P186" s="314"/>
      <c r="Q186" s="314"/>
      <c r="R186" s="314"/>
      <c r="S186" s="314"/>
      <c r="T186" s="314"/>
      <c r="U186" s="314"/>
      <c r="V186" s="314"/>
      <c r="W186" s="314"/>
      <c r="X186" s="314"/>
      <c r="Y186" s="314"/>
      <c r="Z186" s="314"/>
      <c r="AA186" s="324"/>
      <c r="AB186" s="155"/>
      <c r="AC186" s="155"/>
      <c r="AD186" s="322"/>
      <c r="AE186" s="155"/>
      <c r="AF186" s="132"/>
    </row>
    <row r="187">
      <c r="A187" s="314"/>
      <c r="B187" s="313"/>
      <c r="C187" s="313"/>
      <c r="D187" s="313"/>
      <c r="E187" s="314"/>
      <c r="F187" s="314"/>
      <c r="G187" s="314"/>
      <c r="H187" s="314"/>
      <c r="I187" s="314"/>
      <c r="J187" s="314"/>
      <c r="K187" s="314"/>
      <c r="L187" s="314"/>
      <c r="M187" s="314"/>
      <c r="N187" s="314"/>
      <c r="O187" s="314"/>
      <c r="P187" s="314"/>
      <c r="Q187" s="314"/>
      <c r="R187" s="314"/>
      <c r="S187" s="314"/>
      <c r="T187" s="314"/>
      <c r="U187" s="314"/>
      <c r="V187" s="314"/>
      <c r="W187" s="314"/>
      <c r="X187" s="314"/>
      <c r="Y187" s="314"/>
      <c r="Z187" s="314"/>
      <c r="AA187" s="324"/>
      <c r="AB187" s="155"/>
      <c r="AC187" s="155"/>
      <c r="AD187" s="322"/>
      <c r="AE187" s="155"/>
      <c r="AF187" s="132"/>
    </row>
    <row r="188">
      <c r="A188" s="314"/>
      <c r="B188" s="313"/>
      <c r="C188" s="313"/>
      <c r="D188" s="313"/>
      <c r="E188" s="314"/>
      <c r="F188" s="314"/>
      <c r="G188" s="314"/>
      <c r="H188" s="314"/>
      <c r="I188" s="314"/>
      <c r="J188" s="314"/>
      <c r="K188" s="314"/>
      <c r="L188" s="314"/>
      <c r="M188" s="314"/>
      <c r="N188" s="314"/>
      <c r="O188" s="314"/>
      <c r="P188" s="314"/>
      <c r="Q188" s="314"/>
      <c r="R188" s="314"/>
      <c r="S188" s="314"/>
      <c r="T188" s="314"/>
      <c r="U188" s="314"/>
      <c r="V188" s="314"/>
      <c r="W188" s="314"/>
      <c r="X188" s="314"/>
      <c r="Y188" s="314"/>
      <c r="Z188" s="314"/>
      <c r="AA188" s="324"/>
      <c r="AB188" s="155"/>
      <c r="AC188" s="155"/>
      <c r="AD188" s="322"/>
      <c r="AE188" s="155"/>
      <c r="AF188" s="132"/>
    </row>
    <row r="189">
      <c r="A189" s="314"/>
      <c r="B189" s="313"/>
      <c r="C189" s="313"/>
      <c r="D189" s="313"/>
      <c r="E189" s="314"/>
      <c r="F189" s="314"/>
      <c r="G189" s="314"/>
      <c r="H189" s="314"/>
      <c r="I189" s="314"/>
      <c r="J189" s="314"/>
      <c r="K189" s="314"/>
      <c r="L189" s="314"/>
      <c r="M189" s="314"/>
      <c r="N189" s="314"/>
      <c r="O189" s="314"/>
      <c r="P189" s="314"/>
      <c r="Q189" s="314"/>
      <c r="R189" s="314"/>
      <c r="S189" s="314"/>
      <c r="T189" s="314"/>
      <c r="U189" s="314"/>
      <c r="V189" s="314"/>
      <c r="W189" s="314"/>
      <c r="X189" s="314"/>
      <c r="Y189" s="314"/>
      <c r="Z189" s="314"/>
      <c r="AA189" s="324"/>
      <c r="AB189" s="155"/>
      <c r="AC189" s="155"/>
      <c r="AD189" s="322"/>
      <c r="AE189" s="155"/>
      <c r="AF189" s="132"/>
    </row>
    <row r="190">
      <c r="A190" s="314"/>
      <c r="B190" s="313"/>
      <c r="C190" s="313"/>
      <c r="D190" s="313"/>
      <c r="E190" s="314"/>
      <c r="F190" s="314"/>
      <c r="G190" s="314"/>
      <c r="H190" s="314"/>
      <c r="I190" s="314"/>
      <c r="J190" s="314"/>
      <c r="K190" s="314"/>
      <c r="L190" s="314"/>
      <c r="M190" s="314"/>
      <c r="N190" s="314"/>
      <c r="O190" s="314"/>
      <c r="P190" s="314"/>
      <c r="Q190" s="314"/>
      <c r="R190" s="314"/>
      <c r="S190" s="314"/>
      <c r="T190" s="314"/>
      <c r="U190" s="314"/>
      <c r="V190" s="314"/>
      <c r="W190" s="314"/>
      <c r="X190" s="314"/>
      <c r="Y190" s="314"/>
      <c r="Z190" s="314"/>
      <c r="AA190" s="324"/>
      <c r="AB190" s="155"/>
      <c r="AC190" s="155"/>
      <c r="AD190" s="322"/>
      <c r="AE190" s="155"/>
      <c r="AF190" s="132"/>
    </row>
    <row r="191">
      <c r="A191" s="314"/>
      <c r="B191" s="313"/>
      <c r="C191" s="313"/>
      <c r="D191" s="313"/>
      <c r="E191" s="314"/>
      <c r="F191" s="314"/>
      <c r="G191" s="314"/>
      <c r="H191" s="314"/>
      <c r="I191" s="314"/>
      <c r="J191" s="314"/>
      <c r="K191" s="314"/>
      <c r="L191" s="314"/>
      <c r="M191" s="314"/>
      <c r="N191" s="314"/>
      <c r="O191" s="314"/>
      <c r="P191" s="314"/>
      <c r="Q191" s="314"/>
      <c r="R191" s="314"/>
      <c r="S191" s="314"/>
      <c r="T191" s="314"/>
      <c r="U191" s="314"/>
      <c r="V191" s="314"/>
      <c r="W191" s="314"/>
      <c r="X191" s="314"/>
      <c r="Y191" s="314"/>
      <c r="Z191" s="314"/>
      <c r="AA191" s="324"/>
      <c r="AB191" s="155"/>
      <c r="AC191" s="155"/>
      <c r="AD191" s="322"/>
      <c r="AE191" s="155"/>
      <c r="AF191" s="132"/>
    </row>
    <row r="192">
      <c r="A192" s="314"/>
      <c r="B192" s="313"/>
      <c r="C192" s="313"/>
      <c r="D192" s="313"/>
      <c r="E192" s="314"/>
      <c r="F192" s="314"/>
      <c r="G192" s="314"/>
      <c r="H192" s="314"/>
      <c r="I192" s="314"/>
      <c r="J192" s="314"/>
      <c r="K192" s="314"/>
      <c r="L192" s="314"/>
      <c r="M192" s="314"/>
      <c r="N192" s="314"/>
      <c r="O192" s="314"/>
      <c r="P192" s="314"/>
      <c r="Q192" s="314"/>
      <c r="R192" s="314"/>
      <c r="S192" s="314"/>
      <c r="T192" s="314"/>
      <c r="U192" s="314"/>
      <c r="V192" s="314"/>
      <c r="W192" s="314"/>
      <c r="X192" s="314"/>
      <c r="Y192" s="314"/>
      <c r="Z192" s="314"/>
      <c r="AA192" s="324"/>
      <c r="AB192" s="155"/>
      <c r="AC192" s="155"/>
      <c r="AD192" s="322"/>
      <c r="AE192" s="155"/>
      <c r="AF192" s="132"/>
    </row>
    <row r="193">
      <c r="A193" s="314"/>
      <c r="B193" s="313"/>
      <c r="C193" s="313"/>
      <c r="D193" s="313"/>
      <c r="E193" s="314"/>
      <c r="F193" s="314"/>
      <c r="G193" s="314"/>
      <c r="H193" s="314"/>
      <c r="I193" s="314"/>
      <c r="J193" s="314"/>
      <c r="K193" s="314"/>
      <c r="L193" s="314"/>
      <c r="M193" s="314"/>
      <c r="N193" s="314"/>
      <c r="O193" s="314"/>
      <c r="P193" s="314"/>
      <c r="Q193" s="314"/>
      <c r="R193" s="314"/>
      <c r="S193" s="314"/>
      <c r="T193" s="314"/>
      <c r="U193" s="314"/>
      <c r="V193" s="314"/>
      <c r="W193" s="314"/>
      <c r="X193" s="314"/>
      <c r="Y193" s="314"/>
      <c r="Z193" s="314"/>
      <c r="AA193" s="324"/>
      <c r="AB193" s="155"/>
      <c r="AC193" s="155"/>
      <c r="AD193" s="322"/>
      <c r="AE193" s="155"/>
      <c r="AF193" s="132"/>
    </row>
    <row r="194">
      <c r="A194" s="314"/>
      <c r="B194" s="313"/>
      <c r="C194" s="313"/>
      <c r="D194" s="313"/>
      <c r="E194" s="314"/>
      <c r="F194" s="314"/>
      <c r="G194" s="314"/>
      <c r="H194" s="314"/>
      <c r="I194" s="314"/>
      <c r="J194" s="314"/>
      <c r="K194" s="314"/>
      <c r="L194" s="314"/>
      <c r="M194" s="314"/>
      <c r="N194" s="314"/>
      <c r="O194" s="314"/>
      <c r="P194" s="314"/>
      <c r="Q194" s="314"/>
      <c r="R194" s="314"/>
      <c r="S194" s="314"/>
      <c r="T194" s="314"/>
      <c r="U194" s="314"/>
      <c r="V194" s="314"/>
      <c r="W194" s="314"/>
      <c r="X194" s="314"/>
      <c r="Y194" s="314"/>
      <c r="Z194" s="314"/>
      <c r="AA194" s="324"/>
      <c r="AB194" s="155"/>
      <c r="AC194" s="155"/>
      <c r="AD194" s="322"/>
      <c r="AE194" s="155"/>
      <c r="AF194" s="132"/>
    </row>
    <row r="195">
      <c r="A195" s="314"/>
      <c r="B195" s="313"/>
      <c r="C195" s="313"/>
      <c r="D195" s="313"/>
      <c r="E195" s="314"/>
      <c r="F195" s="314"/>
      <c r="G195" s="314"/>
      <c r="H195" s="314"/>
      <c r="I195" s="314"/>
      <c r="J195" s="314"/>
      <c r="K195" s="314"/>
      <c r="L195" s="314"/>
      <c r="M195" s="314"/>
      <c r="N195" s="314"/>
      <c r="O195" s="314"/>
      <c r="P195" s="314"/>
      <c r="Q195" s="314"/>
      <c r="R195" s="314"/>
      <c r="S195" s="314"/>
      <c r="T195" s="314"/>
      <c r="U195" s="314"/>
      <c r="V195" s="314"/>
      <c r="W195" s="314"/>
      <c r="X195" s="314"/>
      <c r="Y195" s="314"/>
      <c r="Z195" s="314"/>
      <c r="AA195" s="324"/>
      <c r="AB195" s="155"/>
      <c r="AC195" s="155"/>
      <c r="AD195" s="322"/>
      <c r="AE195" s="155"/>
      <c r="AF195" s="132"/>
    </row>
    <row r="196">
      <c r="A196" s="314"/>
      <c r="B196" s="313"/>
      <c r="C196" s="313"/>
      <c r="D196" s="313"/>
      <c r="E196" s="314"/>
      <c r="F196" s="314"/>
      <c r="G196" s="314"/>
      <c r="H196" s="314"/>
      <c r="I196" s="314"/>
      <c r="J196" s="314"/>
      <c r="K196" s="314"/>
      <c r="L196" s="314"/>
      <c r="M196" s="314"/>
      <c r="N196" s="314"/>
      <c r="O196" s="314"/>
      <c r="P196" s="314"/>
      <c r="Q196" s="314"/>
      <c r="R196" s="314"/>
      <c r="S196" s="314"/>
      <c r="T196" s="314"/>
      <c r="U196" s="314"/>
      <c r="V196" s="314"/>
      <c r="W196" s="314"/>
      <c r="X196" s="314"/>
      <c r="Y196" s="314"/>
      <c r="Z196" s="314"/>
      <c r="AA196" s="324"/>
      <c r="AB196" s="155"/>
      <c r="AC196" s="155"/>
      <c r="AD196" s="322"/>
      <c r="AE196" s="155"/>
      <c r="AF196" s="132"/>
    </row>
    <row r="197">
      <c r="A197" s="314"/>
      <c r="B197" s="313"/>
      <c r="C197" s="313"/>
      <c r="D197" s="313"/>
      <c r="E197" s="314"/>
      <c r="F197" s="314"/>
      <c r="G197" s="314"/>
      <c r="H197" s="314"/>
      <c r="I197" s="314"/>
      <c r="J197" s="314"/>
      <c r="K197" s="314"/>
      <c r="L197" s="314"/>
      <c r="M197" s="314"/>
      <c r="N197" s="314"/>
      <c r="O197" s="314"/>
      <c r="P197" s="314"/>
      <c r="Q197" s="314"/>
      <c r="R197" s="314"/>
      <c r="S197" s="314"/>
      <c r="T197" s="314"/>
      <c r="U197" s="314"/>
      <c r="V197" s="314"/>
      <c r="W197" s="314"/>
      <c r="X197" s="314"/>
      <c r="Y197" s="314"/>
      <c r="Z197" s="314"/>
      <c r="AA197" s="324"/>
      <c r="AB197" s="155"/>
      <c r="AC197" s="155"/>
      <c r="AD197" s="322"/>
      <c r="AE197" s="155"/>
      <c r="AF197" s="132"/>
    </row>
    <row r="198">
      <c r="A198" s="314"/>
      <c r="B198" s="313"/>
      <c r="C198" s="313"/>
      <c r="D198" s="313"/>
      <c r="E198" s="314"/>
      <c r="F198" s="314"/>
      <c r="G198" s="314"/>
      <c r="H198" s="314"/>
      <c r="I198" s="314"/>
      <c r="J198" s="314"/>
      <c r="K198" s="314"/>
      <c r="L198" s="314"/>
      <c r="M198" s="314"/>
      <c r="N198" s="314"/>
      <c r="O198" s="314"/>
      <c r="P198" s="314"/>
      <c r="Q198" s="314"/>
      <c r="R198" s="314"/>
      <c r="S198" s="314"/>
      <c r="T198" s="314"/>
      <c r="U198" s="314"/>
      <c r="V198" s="314"/>
      <c r="W198" s="314"/>
      <c r="X198" s="314"/>
      <c r="Y198" s="314"/>
      <c r="Z198" s="314"/>
      <c r="AA198" s="324"/>
      <c r="AB198" s="155"/>
      <c r="AC198" s="155"/>
      <c r="AD198" s="322"/>
      <c r="AE198" s="155"/>
      <c r="AF198" s="132"/>
    </row>
    <row r="199">
      <c r="A199" s="314"/>
      <c r="B199" s="313"/>
      <c r="C199" s="313"/>
      <c r="D199" s="313"/>
      <c r="E199" s="314"/>
      <c r="F199" s="314"/>
      <c r="G199" s="314"/>
      <c r="H199" s="314"/>
      <c r="I199" s="314"/>
      <c r="J199" s="314"/>
      <c r="K199" s="314"/>
      <c r="L199" s="314"/>
      <c r="M199" s="314"/>
      <c r="N199" s="314"/>
      <c r="O199" s="314"/>
      <c r="P199" s="314"/>
      <c r="Q199" s="314"/>
      <c r="R199" s="314"/>
      <c r="S199" s="314"/>
      <c r="T199" s="314"/>
      <c r="U199" s="314"/>
      <c r="V199" s="314"/>
      <c r="W199" s="314"/>
      <c r="X199" s="314"/>
      <c r="Y199" s="314"/>
      <c r="Z199" s="314"/>
      <c r="AA199" s="324"/>
      <c r="AB199" s="155"/>
      <c r="AC199" s="155"/>
      <c r="AD199" s="322"/>
      <c r="AE199" s="155"/>
      <c r="AF199" s="132"/>
    </row>
    <row r="200">
      <c r="A200" s="314"/>
      <c r="B200" s="313"/>
      <c r="C200" s="313"/>
      <c r="D200" s="313"/>
      <c r="E200" s="314"/>
      <c r="F200" s="314"/>
      <c r="G200" s="314"/>
      <c r="H200" s="314"/>
      <c r="I200" s="314"/>
      <c r="J200" s="314"/>
      <c r="K200" s="314"/>
      <c r="L200" s="314"/>
      <c r="M200" s="314"/>
      <c r="N200" s="314"/>
      <c r="O200" s="314"/>
      <c r="P200" s="314"/>
      <c r="Q200" s="314"/>
      <c r="R200" s="314"/>
      <c r="S200" s="314"/>
      <c r="T200" s="314"/>
      <c r="U200" s="314"/>
      <c r="V200" s="314"/>
      <c r="W200" s="314"/>
      <c r="X200" s="314"/>
      <c r="Y200" s="314"/>
      <c r="Z200" s="314"/>
      <c r="AA200" s="324"/>
      <c r="AB200" s="155"/>
      <c r="AC200" s="155"/>
      <c r="AD200" s="322"/>
      <c r="AE200" s="155"/>
      <c r="AF200" s="132"/>
    </row>
    <row r="201">
      <c r="A201" s="314"/>
      <c r="B201" s="313"/>
      <c r="C201" s="313"/>
      <c r="D201" s="313"/>
      <c r="E201" s="314"/>
      <c r="F201" s="314"/>
      <c r="G201" s="314"/>
      <c r="H201" s="314"/>
      <c r="I201" s="314"/>
      <c r="J201" s="314"/>
      <c r="K201" s="314"/>
      <c r="L201" s="314"/>
      <c r="M201" s="314"/>
      <c r="N201" s="314"/>
      <c r="O201" s="314"/>
      <c r="P201" s="314"/>
      <c r="Q201" s="314"/>
      <c r="R201" s="314"/>
      <c r="S201" s="314"/>
      <c r="T201" s="314"/>
      <c r="U201" s="314"/>
      <c r="V201" s="314"/>
      <c r="W201" s="314"/>
      <c r="X201" s="314"/>
      <c r="Y201" s="314"/>
      <c r="Z201" s="314"/>
      <c r="AA201" s="324"/>
      <c r="AB201" s="155"/>
      <c r="AC201" s="155"/>
      <c r="AD201" s="322"/>
      <c r="AE201" s="155"/>
      <c r="AF201" s="132"/>
    </row>
    <row r="202">
      <c r="A202" s="314"/>
      <c r="B202" s="313"/>
      <c r="C202" s="313"/>
      <c r="D202" s="313"/>
      <c r="E202" s="314"/>
      <c r="F202" s="314"/>
      <c r="G202" s="314"/>
      <c r="H202" s="314"/>
      <c r="I202" s="314"/>
      <c r="J202" s="314"/>
      <c r="K202" s="314"/>
      <c r="L202" s="314"/>
      <c r="M202" s="314"/>
      <c r="N202" s="314"/>
      <c r="O202" s="314"/>
      <c r="P202" s="314"/>
      <c r="Q202" s="314"/>
      <c r="R202" s="314"/>
      <c r="S202" s="314"/>
      <c r="T202" s="314"/>
      <c r="U202" s="314"/>
      <c r="V202" s="314"/>
      <c r="W202" s="314"/>
      <c r="X202" s="314"/>
      <c r="Y202" s="314"/>
      <c r="Z202" s="314"/>
      <c r="AA202" s="324"/>
      <c r="AB202" s="155"/>
      <c r="AC202" s="155"/>
      <c r="AD202" s="322"/>
      <c r="AE202" s="155"/>
      <c r="AF202" s="132"/>
    </row>
    <row r="203">
      <c r="A203" s="314"/>
      <c r="B203" s="313"/>
      <c r="C203" s="313"/>
      <c r="D203" s="313"/>
      <c r="E203" s="314"/>
      <c r="F203" s="314"/>
      <c r="G203" s="314"/>
      <c r="H203" s="314"/>
      <c r="I203" s="314"/>
      <c r="J203" s="314"/>
      <c r="K203" s="314"/>
      <c r="L203" s="314"/>
      <c r="M203" s="314"/>
      <c r="N203" s="314"/>
      <c r="O203" s="314"/>
      <c r="P203" s="314"/>
      <c r="Q203" s="314"/>
      <c r="R203" s="314"/>
      <c r="S203" s="314"/>
      <c r="T203" s="314"/>
      <c r="U203" s="314"/>
      <c r="V203" s="314"/>
      <c r="W203" s="314"/>
      <c r="X203" s="314"/>
      <c r="Y203" s="314"/>
      <c r="Z203" s="314"/>
      <c r="AA203" s="324"/>
      <c r="AB203" s="155"/>
      <c r="AC203" s="155"/>
      <c r="AD203" s="322"/>
      <c r="AE203" s="155"/>
      <c r="AF203" s="132"/>
    </row>
    <row r="204">
      <c r="A204" s="314"/>
      <c r="B204" s="313"/>
      <c r="C204" s="313"/>
      <c r="D204" s="313"/>
      <c r="E204" s="314"/>
      <c r="F204" s="314"/>
      <c r="G204" s="314"/>
      <c r="H204" s="314"/>
      <c r="I204" s="314"/>
      <c r="J204" s="314"/>
      <c r="K204" s="314"/>
      <c r="L204" s="314"/>
      <c r="M204" s="314"/>
      <c r="N204" s="314"/>
      <c r="O204" s="314"/>
      <c r="P204" s="314"/>
      <c r="Q204" s="314"/>
      <c r="R204" s="314"/>
      <c r="S204" s="314"/>
      <c r="T204" s="314"/>
      <c r="U204" s="314"/>
      <c r="V204" s="314"/>
      <c r="W204" s="314"/>
      <c r="X204" s="314"/>
      <c r="Y204" s="314"/>
      <c r="Z204" s="314"/>
      <c r="AA204" s="324"/>
      <c r="AB204" s="155"/>
      <c r="AC204" s="155"/>
      <c r="AD204" s="322"/>
      <c r="AE204" s="155"/>
      <c r="AF204" s="132"/>
    </row>
    <row r="205">
      <c r="A205" s="314"/>
      <c r="B205" s="313"/>
      <c r="C205" s="313"/>
      <c r="D205" s="313"/>
      <c r="E205" s="314"/>
      <c r="F205" s="314"/>
      <c r="G205" s="314"/>
      <c r="H205" s="314"/>
      <c r="I205" s="314"/>
      <c r="J205" s="314"/>
      <c r="K205" s="314"/>
      <c r="L205" s="314"/>
      <c r="M205" s="314"/>
      <c r="N205" s="314"/>
      <c r="O205" s="314"/>
      <c r="P205" s="314"/>
      <c r="Q205" s="314"/>
      <c r="R205" s="314"/>
      <c r="S205" s="314"/>
      <c r="T205" s="314"/>
      <c r="U205" s="314"/>
      <c r="V205" s="314"/>
      <c r="W205" s="314"/>
      <c r="X205" s="314"/>
      <c r="Y205" s="314"/>
      <c r="Z205" s="314"/>
      <c r="AA205" s="324"/>
      <c r="AB205" s="155"/>
      <c r="AC205" s="155"/>
      <c r="AD205" s="322"/>
      <c r="AE205" s="155"/>
      <c r="AF205" s="132"/>
    </row>
    <row r="206">
      <c r="A206" s="314"/>
      <c r="B206" s="313"/>
      <c r="C206" s="313"/>
      <c r="D206" s="313"/>
      <c r="E206" s="314"/>
      <c r="F206" s="314"/>
      <c r="G206" s="314"/>
      <c r="H206" s="314"/>
      <c r="I206" s="314"/>
      <c r="J206" s="314"/>
      <c r="K206" s="314"/>
      <c r="L206" s="314"/>
      <c r="M206" s="314"/>
      <c r="N206" s="314"/>
      <c r="O206" s="314"/>
      <c r="P206" s="314"/>
      <c r="Q206" s="314"/>
      <c r="R206" s="314"/>
      <c r="S206" s="314"/>
      <c r="T206" s="314"/>
      <c r="U206" s="314"/>
      <c r="V206" s="314"/>
      <c r="W206" s="314"/>
      <c r="X206" s="314"/>
      <c r="Y206" s="314"/>
      <c r="Z206" s="314"/>
      <c r="AA206" s="324"/>
      <c r="AB206" s="155"/>
      <c r="AC206" s="155"/>
      <c r="AD206" s="322"/>
      <c r="AE206" s="155"/>
      <c r="AF206" s="132"/>
    </row>
    <row r="207">
      <c r="A207" s="314"/>
      <c r="B207" s="313"/>
      <c r="C207" s="313"/>
      <c r="D207" s="313"/>
      <c r="E207" s="314"/>
      <c r="F207" s="314"/>
      <c r="G207" s="314"/>
      <c r="H207" s="314"/>
      <c r="I207" s="314"/>
      <c r="J207" s="314"/>
      <c r="K207" s="314"/>
      <c r="L207" s="314"/>
      <c r="M207" s="314"/>
      <c r="N207" s="314"/>
      <c r="O207" s="314"/>
      <c r="P207" s="314"/>
      <c r="Q207" s="314"/>
      <c r="R207" s="314"/>
      <c r="S207" s="314"/>
      <c r="T207" s="314"/>
      <c r="U207" s="314"/>
      <c r="V207" s="314"/>
      <c r="W207" s="314"/>
      <c r="X207" s="314"/>
      <c r="Y207" s="314"/>
      <c r="Z207" s="314"/>
      <c r="AA207" s="324"/>
      <c r="AB207" s="155"/>
      <c r="AC207" s="155"/>
      <c r="AD207" s="322"/>
      <c r="AE207" s="155"/>
      <c r="AF207" s="132"/>
    </row>
    <row r="208">
      <c r="A208" s="314"/>
      <c r="B208" s="313"/>
      <c r="C208" s="313"/>
      <c r="D208" s="313"/>
      <c r="E208" s="314"/>
      <c r="F208" s="314"/>
      <c r="G208" s="314"/>
      <c r="H208" s="314"/>
      <c r="I208" s="314"/>
      <c r="J208" s="314"/>
      <c r="K208" s="314"/>
      <c r="L208" s="314"/>
      <c r="M208" s="314"/>
      <c r="N208" s="314"/>
      <c r="O208" s="314"/>
      <c r="P208" s="314"/>
      <c r="Q208" s="314"/>
      <c r="R208" s="314"/>
      <c r="S208" s="314"/>
      <c r="T208" s="314"/>
      <c r="U208" s="314"/>
      <c r="V208" s="314"/>
      <c r="W208" s="314"/>
      <c r="X208" s="314"/>
      <c r="Y208" s="314"/>
      <c r="Z208" s="314"/>
      <c r="AA208" s="324"/>
      <c r="AB208" s="155"/>
      <c r="AC208" s="155"/>
      <c r="AD208" s="322"/>
      <c r="AE208" s="155"/>
      <c r="AF208" s="132"/>
    </row>
    <row r="209">
      <c r="A209" s="314"/>
      <c r="B209" s="313"/>
      <c r="C209" s="313"/>
      <c r="D209" s="313"/>
      <c r="E209" s="314"/>
      <c r="F209" s="314"/>
      <c r="G209" s="314"/>
      <c r="H209" s="314"/>
      <c r="I209" s="314"/>
      <c r="J209" s="314"/>
      <c r="K209" s="314"/>
      <c r="L209" s="314"/>
      <c r="M209" s="314"/>
      <c r="N209" s="314"/>
      <c r="O209" s="314"/>
      <c r="P209" s="314"/>
      <c r="Q209" s="314"/>
      <c r="R209" s="314"/>
      <c r="S209" s="314"/>
      <c r="T209" s="314"/>
      <c r="U209" s="314"/>
      <c r="V209" s="314"/>
      <c r="W209" s="314"/>
      <c r="X209" s="314"/>
      <c r="Y209" s="314"/>
      <c r="Z209" s="314"/>
      <c r="AA209" s="324"/>
      <c r="AB209" s="155"/>
      <c r="AC209" s="155"/>
      <c r="AD209" s="322"/>
      <c r="AE209" s="155"/>
      <c r="AF209" s="132"/>
    </row>
    <row r="210">
      <c r="A210" s="314"/>
      <c r="B210" s="313"/>
      <c r="C210" s="313"/>
      <c r="D210" s="313"/>
      <c r="E210" s="314"/>
      <c r="F210" s="314"/>
      <c r="G210" s="314"/>
      <c r="H210" s="314"/>
      <c r="I210" s="314"/>
      <c r="J210" s="314"/>
      <c r="K210" s="314"/>
      <c r="L210" s="314"/>
      <c r="M210" s="314"/>
      <c r="N210" s="314"/>
      <c r="O210" s="314"/>
      <c r="P210" s="314"/>
      <c r="Q210" s="314"/>
      <c r="R210" s="314"/>
      <c r="S210" s="314"/>
      <c r="T210" s="314"/>
      <c r="U210" s="314"/>
      <c r="V210" s="314"/>
      <c r="W210" s="314"/>
      <c r="X210" s="314"/>
      <c r="Y210" s="314"/>
      <c r="Z210" s="314"/>
      <c r="AA210" s="324"/>
      <c r="AB210" s="155"/>
      <c r="AC210" s="155"/>
      <c r="AD210" s="322"/>
      <c r="AE210" s="155"/>
      <c r="AF210" s="132"/>
    </row>
    <row r="211">
      <c r="A211" s="314"/>
      <c r="B211" s="313"/>
      <c r="C211" s="313"/>
      <c r="D211" s="313"/>
      <c r="E211" s="314"/>
      <c r="F211" s="314"/>
      <c r="G211" s="314"/>
      <c r="H211" s="314"/>
      <c r="I211" s="314"/>
      <c r="J211" s="314"/>
      <c r="K211" s="314"/>
      <c r="L211" s="314"/>
      <c r="M211" s="314"/>
      <c r="N211" s="314"/>
      <c r="O211" s="314"/>
      <c r="P211" s="314"/>
      <c r="Q211" s="314"/>
      <c r="R211" s="314"/>
      <c r="S211" s="314"/>
      <c r="T211" s="314"/>
      <c r="U211" s="314"/>
      <c r="V211" s="314"/>
      <c r="W211" s="314"/>
      <c r="X211" s="314"/>
      <c r="Y211" s="314"/>
      <c r="Z211" s="314"/>
      <c r="AA211" s="324"/>
      <c r="AB211" s="155"/>
      <c r="AC211" s="155"/>
      <c r="AD211" s="322"/>
      <c r="AE211" s="155"/>
      <c r="AF211" s="132"/>
    </row>
    <row r="212">
      <c r="A212" s="314"/>
      <c r="B212" s="313"/>
      <c r="C212" s="313"/>
      <c r="D212" s="313"/>
      <c r="E212" s="314"/>
      <c r="F212" s="314"/>
      <c r="G212" s="314"/>
      <c r="H212" s="314"/>
      <c r="I212" s="314"/>
      <c r="J212" s="314"/>
      <c r="K212" s="314"/>
      <c r="L212" s="314"/>
      <c r="M212" s="314"/>
      <c r="N212" s="314"/>
      <c r="O212" s="314"/>
      <c r="P212" s="314"/>
      <c r="Q212" s="314"/>
      <c r="R212" s="314"/>
      <c r="S212" s="314"/>
      <c r="T212" s="314"/>
      <c r="U212" s="314"/>
      <c r="V212" s="314"/>
      <c r="W212" s="314"/>
      <c r="X212" s="314"/>
      <c r="Y212" s="314"/>
      <c r="Z212" s="314"/>
      <c r="AA212" s="324"/>
      <c r="AB212" s="155"/>
      <c r="AC212" s="155"/>
      <c r="AD212" s="322"/>
      <c r="AE212" s="155"/>
      <c r="AF212" s="132"/>
    </row>
    <row r="213">
      <c r="A213" s="314"/>
      <c r="B213" s="313"/>
      <c r="C213" s="313"/>
      <c r="D213" s="313"/>
      <c r="E213" s="314"/>
      <c r="F213" s="314"/>
      <c r="G213" s="314"/>
      <c r="H213" s="314"/>
      <c r="I213" s="314"/>
      <c r="J213" s="314"/>
      <c r="K213" s="314"/>
      <c r="L213" s="314"/>
      <c r="M213" s="314"/>
      <c r="N213" s="314"/>
      <c r="O213" s="314"/>
      <c r="P213" s="314"/>
      <c r="Q213" s="314"/>
      <c r="R213" s="314"/>
      <c r="S213" s="314"/>
      <c r="T213" s="314"/>
      <c r="U213" s="314"/>
      <c r="V213" s="314"/>
      <c r="W213" s="314"/>
      <c r="X213" s="314"/>
      <c r="Y213" s="314"/>
      <c r="Z213" s="314"/>
      <c r="AA213" s="324"/>
      <c r="AB213" s="155"/>
      <c r="AC213" s="155"/>
      <c r="AD213" s="322"/>
      <c r="AE213" s="155"/>
      <c r="AF213" s="132"/>
    </row>
    <row r="214">
      <c r="A214" s="314"/>
      <c r="B214" s="313"/>
      <c r="C214" s="313"/>
      <c r="D214" s="313"/>
      <c r="E214" s="314"/>
      <c r="F214" s="314"/>
      <c r="G214" s="314"/>
      <c r="H214" s="314"/>
      <c r="I214" s="314"/>
      <c r="J214" s="314"/>
      <c r="K214" s="314"/>
      <c r="L214" s="314"/>
      <c r="M214" s="314"/>
      <c r="N214" s="314"/>
      <c r="O214" s="314"/>
      <c r="P214" s="314"/>
      <c r="Q214" s="314"/>
      <c r="R214" s="314"/>
      <c r="S214" s="314"/>
      <c r="T214" s="314"/>
      <c r="U214" s="314"/>
      <c r="V214" s="314"/>
      <c r="W214" s="314"/>
      <c r="X214" s="314"/>
      <c r="Y214" s="314"/>
      <c r="Z214" s="314"/>
      <c r="AA214" s="324"/>
      <c r="AB214" s="155"/>
      <c r="AC214" s="155"/>
      <c r="AD214" s="322"/>
      <c r="AE214" s="155"/>
      <c r="AF214" s="132"/>
    </row>
    <row r="215">
      <c r="A215" s="314"/>
      <c r="B215" s="313"/>
      <c r="C215" s="313"/>
      <c r="D215" s="313"/>
      <c r="E215" s="314"/>
      <c r="F215" s="314"/>
      <c r="G215" s="314"/>
      <c r="H215" s="314"/>
      <c r="I215" s="314"/>
      <c r="J215" s="314"/>
      <c r="K215" s="314"/>
      <c r="L215" s="314"/>
      <c r="M215" s="314"/>
      <c r="N215" s="314"/>
      <c r="O215" s="314"/>
      <c r="P215" s="314"/>
      <c r="Q215" s="314"/>
      <c r="R215" s="314"/>
      <c r="S215" s="314"/>
      <c r="T215" s="314"/>
      <c r="U215" s="314"/>
      <c r="V215" s="314"/>
      <c r="W215" s="314"/>
      <c r="X215" s="314"/>
      <c r="Y215" s="314"/>
      <c r="Z215" s="314"/>
      <c r="AA215" s="324"/>
      <c r="AB215" s="155"/>
      <c r="AC215" s="155"/>
      <c r="AD215" s="322"/>
      <c r="AE215" s="155"/>
      <c r="AF215" s="132"/>
    </row>
    <row r="216">
      <c r="A216" s="314"/>
      <c r="B216" s="313"/>
      <c r="C216" s="313"/>
      <c r="D216" s="313"/>
      <c r="E216" s="314"/>
      <c r="F216" s="314"/>
      <c r="G216" s="314"/>
      <c r="H216" s="314"/>
      <c r="I216" s="314"/>
      <c r="J216" s="314"/>
      <c r="K216" s="314"/>
      <c r="L216" s="314"/>
      <c r="M216" s="314"/>
      <c r="N216" s="314"/>
      <c r="O216" s="314"/>
      <c r="P216" s="314"/>
      <c r="Q216" s="314"/>
      <c r="R216" s="314"/>
      <c r="S216" s="314"/>
      <c r="T216" s="314"/>
      <c r="U216" s="314"/>
      <c r="V216" s="314"/>
      <c r="W216" s="314"/>
      <c r="X216" s="314"/>
      <c r="Y216" s="314"/>
      <c r="Z216" s="314"/>
      <c r="AA216" s="324"/>
      <c r="AB216" s="155"/>
      <c r="AC216" s="155"/>
      <c r="AD216" s="322"/>
      <c r="AE216" s="155"/>
      <c r="AF216" s="132"/>
    </row>
    <row r="217">
      <c r="A217" s="314"/>
      <c r="B217" s="313"/>
      <c r="C217" s="313"/>
      <c r="D217" s="313"/>
      <c r="E217" s="314"/>
      <c r="F217" s="314"/>
      <c r="G217" s="314"/>
      <c r="H217" s="314"/>
      <c r="I217" s="314"/>
      <c r="J217" s="314"/>
      <c r="K217" s="314"/>
      <c r="L217" s="314"/>
      <c r="M217" s="314"/>
      <c r="N217" s="314"/>
      <c r="O217" s="314"/>
      <c r="P217" s="314"/>
      <c r="Q217" s="314"/>
      <c r="R217" s="314"/>
      <c r="S217" s="314"/>
      <c r="T217" s="314"/>
      <c r="U217" s="314"/>
      <c r="V217" s="314"/>
      <c r="W217" s="314"/>
      <c r="X217" s="314"/>
      <c r="Y217" s="314"/>
      <c r="Z217" s="314"/>
      <c r="AA217" s="324"/>
      <c r="AB217" s="155"/>
      <c r="AC217" s="155"/>
      <c r="AD217" s="322"/>
      <c r="AE217" s="155"/>
      <c r="AF217" s="132"/>
    </row>
    <row r="218">
      <c r="A218" s="314"/>
      <c r="B218" s="313"/>
      <c r="C218" s="313"/>
      <c r="D218" s="313"/>
      <c r="E218" s="314"/>
      <c r="F218" s="314"/>
      <c r="G218" s="314"/>
      <c r="H218" s="314"/>
      <c r="I218" s="314"/>
      <c r="J218" s="314"/>
      <c r="K218" s="314"/>
      <c r="L218" s="314"/>
      <c r="M218" s="314"/>
      <c r="N218" s="314"/>
      <c r="O218" s="314"/>
      <c r="P218" s="314"/>
      <c r="Q218" s="314"/>
      <c r="R218" s="314"/>
      <c r="S218" s="314"/>
      <c r="T218" s="314"/>
      <c r="U218" s="314"/>
      <c r="V218" s="314"/>
      <c r="W218" s="314"/>
      <c r="X218" s="314"/>
      <c r="Y218" s="314"/>
      <c r="Z218" s="314"/>
      <c r="AA218" s="324"/>
      <c r="AB218" s="155"/>
      <c r="AC218" s="155"/>
      <c r="AD218" s="322"/>
      <c r="AE218" s="155"/>
      <c r="AF218" s="132"/>
    </row>
    <row r="219">
      <c r="A219" s="314"/>
      <c r="B219" s="313"/>
      <c r="C219" s="313"/>
      <c r="D219" s="313"/>
      <c r="E219" s="314"/>
      <c r="F219" s="314"/>
      <c r="G219" s="314"/>
      <c r="H219" s="314"/>
      <c r="I219" s="314"/>
      <c r="J219" s="314"/>
      <c r="K219" s="314"/>
      <c r="L219" s="314"/>
      <c r="M219" s="314"/>
      <c r="N219" s="314"/>
      <c r="O219" s="314"/>
      <c r="P219" s="314"/>
      <c r="Q219" s="314"/>
      <c r="R219" s="314"/>
      <c r="S219" s="314"/>
      <c r="T219" s="314"/>
      <c r="U219" s="314"/>
      <c r="V219" s="314"/>
      <c r="W219" s="314"/>
      <c r="X219" s="314"/>
      <c r="Y219" s="314"/>
      <c r="Z219" s="314"/>
      <c r="AA219" s="324"/>
      <c r="AB219" s="155"/>
      <c r="AC219" s="155"/>
      <c r="AD219" s="322"/>
      <c r="AE219" s="155"/>
      <c r="AF219" s="132"/>
    </row>
    <row r="220">
      <c r="A220" s="314"/>
      <c r="B220" s="313"/>
      <c r="C220" s="313"/>
      <c r="D220" s="313"/>
      <c r="E220" s="314"/>
      <c r="F220" s="314"/>
      <c r="G220" s="314"/>
      <c r="H220" s="314"/>
      <c r="I220" s="314"/>
      <c r="J220" s="314"/>
      <c r="K220" s="314"/>
      <c r="L220" s="314"/>
      <c r="M220" s="314"/>
      <c r="N220" s="314"/>
      <c r="O220" s="314"/>
      <c r="P220" s="314"/>
      <c r="Q220" s="314"/>
      <c r="R220" s="314"/>
      <c r="S220" s="314"/>
      <c r="T220" s="314"/>
      <c r="U220" s="314"/>
      <c r="V220" s="314"/>
      <c r="W220" s="314"/>
      <c r="X220" s="314"/>
      <c r="Y220" s="314"/>
      <c r="Z220" s="314"/>
      <c r="AA220" s="324"/>
      <c r="AB220" s="155"/>
      <c r="AC220" s="155"/>
      <c r="AD220" s="322"/>
      <c r="AE220" s="155"/>
      <c r="AF220" s="132"/>
    </row>
    <row r="221">
      <c r="A221" s="314"/>
      <c r="B221" s="313"/>
      <c r="C221" s="313"/>
      <c r="D221" s="313"/>
      <c r="E221" s="314"/>
      <c r="F221" s="314"/>
      <c r="G221" s="314"/>
      <c r="H221" s="314"/>
      <c r="I221" s="314"/>
      <c r="J221" s="314"/>
      <c r="K221" s="314"/>
      <c r="L221" s="314"/>
      <c r="M221" s="314"/>
      <c r="N221" s="314"/>
      <c r="O221" s="314"/>
      <c r="P221" s="314"/>
      <c r="Q221" s="314"/>
      <c r="R221" s="314"/>
      <c r="S221" s="314"/>
      <c r="T221" s="314"/>
      <c r="U221" s="314"/>
      <c r="V221" s="314"/>
      <c r="W221" s="314"/>
      <c r="X221" s="314"/>
      <c r="Y221" s="314"/>
      <c r="Z221" s="314"/>
      <c r="AA221" s="324"/>
      <c r="AB221" s="155"/>
      <c r="AC221" s="155"/>
      <c r="AD221" s="322"/>
      <c r="AE221" s="155"/>
      <c r="AF221" s="132"/>
    </row>
    <row r="222">
      <c r="A222" s="314"/>
      <c r="B222" s="313"/>
      <c r="C222" s="313"/>
      <c r="D222" s="313"/>
      <c r="E222" s="314"/>
      <c r="F222" s="314"/>
      <c r="G222" s="314"/>
      <c r="H222" s="314"/>
      <c r="I222" s="314"/>
      <c r="J222" s="314"/>
      <c r="K222" s="314"/>
      <c r="L222" s="314"/>
      <c r="M222" s="314"/>
      <c r="N222" s="314"/>
      <c r="O222" s="314"/>
      <c r="P222" s="314"/>
      <c r="Q222" s="314"/>
      <c r="R222" s="314"/>
      <c r="S222" s="314"/>
      <c r="T222" s="314"/>
      <c r="U222" s="314"/>
      <c r="V222" s="314"/>
      <c r="W222" s="314"/>
      <c r="X222" s="314"/>
      <c r="Y222" s="314"/>
      <c r="Z222" s="314"/>
      <c r="AA222" s="324"/>
      <c r="AB222" s="155"/>
      <c r="AC222" s="155"/>
      <c r="AD222" s="322"/>
      <c r="AE222" s="155"/>
      <c r="AF222" s="132"/>
    </row>
    <row r="223">
      <c r="A223" s="314"/>
      <c r="B223" s="313"/>
      <c r="C223" s="313"/>
      <c r="D223" s="313"/>
      <c r="E223" s="314"/>
      <c r="F223" s="314"/>
      <c r="G223" s="314"/>
      <c r="H223" s="314"/>
      <c r="I223" s="314"/>
      <c r="J223" s="314"/>
      <c r="K223" s="314"/>
      <c r="L223" s="314"/>
      <c r="M223" s="314"/>
      <c r="N223" s="314"/>
      <c r="O223" s="314"/>
      <c r="P223" s="314"/>
      <c r="Q223" s="314"/>
      <c r="R223" s="314"/>
      <c r="S223" s="314"/>
      <c r="T223" s="314"/>
      <c r="U223" s="314"/>
      <c r="V223" s="314"/>
      <c r="W223" s="314"/>
      <c r="X223" s="314"/>
      <c r="Y223" s="314"/>
      <c r="Z223" s="314"/>
      <c r="AA223" s="324"/>
      <c r="AB223" s="155"/>
      <c r="AC223" s="155"/>
      <c r="AD223" s="322"/>
      <c r="AE223" s="155"/>
      <c r="AF223" s="132"/>
    </row>
    <row r="224">
      <c r="A224" s="314"/>
      <c r="B224" s="313"/>
      <c r="C224" s="313"/>
      <c r="D224" s="313"/>
      <c r="E224" s="314"/>
      <c r="F224" s="314"/>
      <c r="G224" s="314"/>
      <c r="H224" s="314"/>
      <c r="I224" s="314"/>
      <c r="J224" s="314"/>
      <c r="K224" s="314"/>
      <c r="L224" s="314"/>
      <c r="M224" s="314"/>
      <c r="N224" s="314"/>
      <c r="O224" s="314"/>
      <c r="P224" s="314"/>
      <c r="Q224" s="314"/>
      <c r="R224" s="314"/>
      <c r="S224" s="314"/>
      <c r="T224" s="314"/>
      <c r="U224" s="314"/>
      <c r="V224" s="314"/>
      <c r="W224" s="314"/>
      <c r="X224" s="314"/>
      <c r="Y224" s="314"/>
      <c r="Z224" s="314"/>
      <c r="AA224" s="324"/>
      <c r="AB224" s="155"/>
      <c r="AC224" s="155"/>
      <c r="AD224" s="322"/>
      <c r="AE224" s="155"/>
      <c r="AF224" s="132"/>
    </row>
    <row r="225">
      <c r="A225" s="314"/>
      <c r="B225" s="313"/>
      <c r="C225" s="313"/>
      <c r="D225" s="313"/>
      <c r="E225" s="314"/>
      <c r="F225" s="314"/>
      <c r="G225" s="314"/>
      <c r="H225" s="314"/>
      <c r="I225" s="314"/>
      <c r="J225" s="314"/>
      <c r="K225" s="314"/>
      <c r="L225" s="314"/>
      <c r="M225" s="314"/>
      <c r="N225" s="314"/>
      <c r="O225" s="314"/>
      <c r="P225" s="314"/>
      <c r="Q225" s="314"/>
      <c r="R225" s="314"/>
      <c r="S225" s="314"/>
      <c r="T225" s="314"/>
      <c r="U225" s="314"/>
      <c r="V225" s="314"/>
      <c r="W225" s="314"/>
      <c r="X225" s="314"/>
      <c r="Y225" s="314"/>
      <c r="Z225" s="314"/>
      <c r="AA225" s="324"/>
      <c r="AB225" s="155"/>
      <c r="AC225" s="155"/>
      <c r="AD225" s="322"/>
      <c r="AE225" s="155"/>
      <c r="AF225" s="132"/>
    </row>
    <row r="226">
      <c r="A226" s="314"/>
      <c r="B226" s="313"/>
      <c r="C226" s="313"/>
      <c r="D226" s="313"/>
      <c r="E226" s="314"/>
      <c r="F226" s="314"/>
      <c r="G226" s="314"/>
      <c r="H226" s="314"/>
      <c r="I226" s="314"/>
      <c r="J226" s="314"/>
      <c r="K226" s="314"/>
      <c r="L226" s="314"/>
      <c r="M226" s="314"/>
      <c r="N226" s="314"/>
      <c r="O226" s="314"/>
      <c r="P226" s="314"/>
      <c r="Q226" s="314"/>
      <c r="R226" s="314"/>
      <c r="S226" s="314"/>
      <c r="T226" s="314"/>
      <c r="U226" s="314"/>
      <c r="V226" s="314"/>
      <c r="W226" s="314"/>
      <c r="X226" s="314"/>
      <c r="Y226" s="314"/>
      <c r="Z226" s="314"/>
      <c r="AA226" s="324"/>
      <c r="AB226" s="155"/>
      <c r="AC226" s="155"/>
      <c r="AD226" s="322"/>
      <c r="AE226" s="155"/>
      <c r="AF226" s="132"/>
    </row>
    <row r="227">
      <c r="A227" s="314"/>
      <c r="B227" s="313"/>
      <c r="C227" s="313"/>
      <c r="D227" s="313"/>
      <c r="E227" s="314"/>
      <c r="F227" s="314"/>
      <c r="G227" s="314"/>
      <c r="H227" s="314"/>
      <c r="I227" s="314"/>
      <c r="J227" s="314"/>
      <c r="K227" s="314"/>
      <c r="L227" s="314"/>
      <c r="M227" s="314"/>
      <c r="N227" s="314"/>
      <c r="O227" s="314"/>
      <c r="P227" s="314"/>
      <c r="Q227" s="314"/>
      <c r="R227" s="314"/>
      <c r="S227" s="314"/>
      <c r="T227" s="314"/>
      <c r="U227" s="314"/>
      <c r="V227" s="314"/>
      <c r="W227" s="314"/>
      <c r="X227" s="314"/>
      <c r="Y227" s="314"/>
      <c r="Z227" s="314"/>
      <c r="AA227" s="324"/>
      <c r="AB227" s="155"/>
      <c r="AC227" s="155"/>
      <c r="AD227" s="322"/>
      <c r="AE227" s="155"/>
      <c r="AF227" s="132"/>
    </row>
    <row r="228">
      <c r="A228" s="314"/>
      <c r="B228" s="313"/>
      <c r="C228" s="313"/>
      <c r="D228" s="313"/>
      <c r="E228" s="314"/>
      <c r="F228" s="314"/>
      <c r="G228" s="314"/>
      <c r="H228" s="314"/>
      <c r="I228" s="314"/>
      <c r="J228" s="314"/>
      <c r="K228" s="314"/>
      <c r="L228" s="314"/>
      <c r="M228" s="314"/>
      <c r="N228" s="314"/>
      <c r="O228" s="314"/>
      <c r="P228" s="314"/>
      <c r="Q228" s="314"/>
      <c r="R228" s="314"/>
      <c r="S228" s="314"/>
      <c r="T228" s="314"/>
      <c r="U228" s="314"/>
      <c r="V228" s="314"/>
      <c r="W228" s="314"/>
      <c r="X228" s="314"/>
      <c r="Y228" s="314"/>
      <c r="Z228" s="314"/>
      <c r="AA228" s="324"/>
      <c r="AB228" s="155"/>
      <c r="AC228" s="155"/>
      <c r="AD228" s="322"/>
      <c r="AE228" s="155"/>
      <c r="AF228" s="132"/>
    </row>
    <row r="229">
      <c r="A229" s="314"/>
      <c r="B229" s="313"/>
      <c r="C229" s="313"/>
      <c r="D229" s="313"/>
      <c r="E229" s="314"/>
      <c r="F229" s="314"/>
      <c r="G229" s="314"/>
      <c r="H229" s="314"/>
      <c r="I229" s="314"/>
      <c r="J229" s="314"/>
      <c r="K229" s="314"/>
      <c r="L229" s="314"/>
      <c r="M229" s="314"/>
      <c r="N229" s="314"/>
      <c r="O229" s="314"/>
      <c r="P229" s="314"/>
      <c r="Q229" s="314"/>
      <c r="R229" s="314"/>
      <c r="S229" s="314"/>
      <c r="T229" s="314"/>
      <c r="U229" s="314"/>
      <c r="V229" s="314"/>
      <c r="W229" s="314"/>
      <c r="X229" s="314"/>
      <c r="Y229" s="314"/>
      <c r="Z229" s="314"/>
      <c r="AA229" s="324"/>
      <c r="AB229" s="155"/>
      <c r="AC229" s="155"/>
      <c r="AD229" s="322"/>
      <c r="AE229" s="155"/>
      <c r="AF229" s="132"/>
    </row>
    <row r="230">
      <c r="A230" s="314"/>
      <c r="B230" s="313"/>
      <c r="C230" s="313"/>
      <c r="D230" s="313"/>
      <c r="E230" s="314"/>
      <c r="F230" s="314"/>
      <c r="G230" s="314"/>
      <c r="H230" s="314"/>
      <c r="I230" s="314"/>
      <c r="J230" s="314"/>
      <c r="K230" s="314"/>
      <c r="L230" s="314"/>
      <c r="M230" s="314"/>
      <c r="N230" s="314"/>
      <c r="O230" s="314"/>
      <c r="P230" s="314"/>
      <c r="Q230" s="314"/>
      <c r="R230" s="314"/>
      <c r="S230" s="314"/>
      <c r="T230" s="314"/>
      <c r="U230" s="314"/>
      <c r="V230" s="314"/>
      <c r="W230" s="314"/>
      <c r="X230" s="314"/>
      <c r="Y230" s="314"/>
      <c r="Z230" s="314"/>
      <c r="AA230" s="324"/>
      <c r="AB230" s="155"/>
      <c r="AC230" s="155"/>
      <c r="AD230" s="322"/>
      <c r="AE230" s="155"/>
      <c r="AF230" s="132"/>
    </row>
    <row r="231">
      <c r="A231" s="314"/>
      <c r="B231" s="313"/>
      <c r="C231" s="313"/>
      <c r="D231" s="313"/>
      <c r="E231" s="314"/>
      <c r="F231" s="314"/>
      <c r="G231" s="314"/>
      <c r="H231" s="314"/>
      <c r="I231" s="314"/>
      <c r="J231" s="314"/>
      <c r="K231" s="314"/>
      <c r="L231" s="314"/>
      <c r="M231" s="314"/>
      <c r="N231" s="314"/>
      <c r="O231" s="314"/>
      <c r="P231" s="314"/>
      <c r="Q231" s="314"/>
      <c r="R231" s="314"/>
      <c r="S231" s="314"/>
      <c r="T231" s="314"/>
      <c r="U231" s="314"/>
      <c r="V231" s="314"/>
      <c r="W231" s="314"/>
      <c r="X231" s="314"/>
      <c r="Y231" s="314"/>
      <c r="Z231" s="314"/>
      <c r="AA231" s="324"/>
      <c r="AB231" s="155"/>
      <c r="AC231" s="155"/>
      <c r="AD231" s="322"/>
      <c r="AE231" s="155"/>
      <c r="AF231" s="132"/>
    </row>
    <row r="232">
      <c r="A232" s="314"/>
      <c r="B232" s="313"/>
      <c r="C232" s="313"/>
      <c r="D232" s="313"/>
      <c r="E232" s="314"/>
      <c r="F232" s="314"/>
      <c r="G232" s="314"/>
      <c r="H232" s="314"/>
      <c r="I232" s="314"/>
      <c r="J232" s="314"/>
      <c r="K232" s="314"/>
      <c r="L232" s="314"/>
      <c r="M232" s="314"/>
      <c r="N232" s="314"/>
      <c r="O232" s="314"/>
      <c r="P232" s="314"/>
      <c r="Q232" s="314"/>
      <c r="R232" s="314"/>
      <c r="S232" s="314"/>
      <c r="T232" s="314"/>
      <c r="U232" s="314"/>
      <c r="V232" s="314"/>
      <c r="W232" s="314"/>
      <c r="X232" s="314"/>
      <c r="Y232" s="314"/>
      <c r="Z232" s="314"/>
      <c r="AA232" s="324"/>
      <c r="AB232" s="155"/>
      <c r="AC232" s="155"/>
      <c r="AD232" s="322"/>
      <c r="AE232" s="155"/>
      <c r="AF232" s="132"/>
    </row>
    <row r="233">
      <c r="A233" s="435"/>
      <c r="B233" s="313"/>
      <c r="C233" s="437"/>
      <c r="D233" s="313"/>
      <c r="E233" s="435"/>
      <c r="F233" s="314"/>
      <c r="G233" s="314"/>
      <c r="H233" s="435"/>
      <c r="I233" s="435"/>
      <c r="J233" s="314"/>
      <c r="K233" s="435"/>
      <c r="L233" s="435"/>
      <c r="M233" s="314"/>
      <c r="N233" s="314"/>
      <c r="O233" s="314"/>
      <c r="P233" s="435"/>
      <c r="Q233" s="435"/>
      <c r="R233" s="435"/>
      <c r="S233" s="435"/>
      <c r="T233" s="435"/>
      <c r="U233" s="435"/>
      <c r="V233" s="435"/>
      <c r="W233" s="435"/>
      <c r="X233" s="435"/>
      <c r="Y233" s="435"/>
      <c r="Z233" s="435"/>
      <c r="AA233" s="324"/>
      <c r="AB233" s="180"/>
      <c r="AC233" s="155"/>
      <c r="AD233" s="322"/>
      <c r="AE233" s="155"/>
      <c r="AF233" s="132"/>
    </row>
    <row r="234">
      <c r="A234" s="435"/>
      <c r="B234" s="313"/>
      <c r="C234" s="313"/>
      <c r="D234" s="437"/>
      <c r="E234" s="314"/>
      <c r="F234" s="314"/>
      <c r="G234" s="314"/>
      <c r="H234" s="314"/>
      <c r="I234" s="314"/>
      <c r="J234" s="314"/>
      <c r="K234" s="314"/>
      <c r="L234" s="314"/>
      <c r="M234" s="435"/>
      <c r="N234" s="435"/>
      <c r="O234" s="314"/>
      <c r="P234" s="314"/>
      <c r="Q234" s="314"/>
      <c r="R234" s="314"/>
      <c r="S234" s="314"/>
      <c r="T234" s="314"/>
      <c r="U234" s="314"/>
      <c r="V234" s="314"/>
      <c r="W234" s="314"/>
      <c r="X234" s="314"/>
      <c r="Y234" s="314"/>
      <c r="Z234" s="314"/>
      <c r="AA234" s="324"/>
      <c r="AB234" s="180"/>
      <c r="AC234" s="155"/>
      <c r="AD234" s="322"/>
      <c r="AE234" s="155"/>
      <c r="AF234" s="132"/>
    </row>
    <row r="235">
      <c r="A235" s="435"/>
      <c r="B235" s="437"/>
      <c r="C235" s="437"/>
      <c r="D235" s="437"/>
      <c r="E235" s="435"/>
      <c r="F235" s="314"/>
      <c r="G235" s="314"/>
      <c r="H235" s="314"/>
      <c r="I235" s="435"/>
      <c r="J235" s="435"/>
      <c r="K235" s="435"/>
      <c r="L235" s="435"/>
      <c r="M235" s="435"/>
      <c r="N235" s="435"/>
      <c r="O235" s="314"/>
      <c r="P235" s="435"/>
      <c r="Q235" s="314"/>
      <c r="R235" s="435"/>
      <c r="S235" s="435"/>
      <c r="T235" s="435"/>
      <c r="U235" s="435"/>
      <c r="V235" s="435"/>
      <c r="W235" s="435"/>
      <c r="X235" s="435"/>
      <c r="Y235" s="435"/>
      <c r="Z235" s="435"/>
      <c r="AA235" s="324"/>
      <c r="AB235" s="180"/>
      <c r="AC235" s="155"/>
      <c r="AD235" s="322"/>
      <c r="AE235" s="155"/>
      <c r="AF235" s="132"/>
    </row>
    <row r="236">
      <c r="A236" s="435"/>
      <c r="B236" s="313"/>
      <c r="C236" s="313"/>
      <c r="D236" s="437"/>
      <c r="E236" s="314"/>
      <c r="F236" s="314"/>
      <c r="G236" s="314"/>
      <c r="H236" s="314"/>
      <c r="I236" s="435"/>
      <c r="J236" s="314"/>
      <c r="K236" s="435"/>
      <c r="L236" s="314"/>
      <c r="M236" s="314"/>
      <c r="N236" s="314"/>
      <c r="O236" s="314"/>
      <c r="P236" s="314"/>
      <c r="Q236" s="435"/>
      <c r="R236" s="435"/>
      <c r="S236" s="314"/>
      <c r="T236" s="314"/>
      <c r="U236" s="314"/>
      <c r="V236" s="314"/>
      <c r="W236" s="314"/>
      <c r="X236" s="314"/>
      <c r="Y236" s="314"/>
      <c r="Z236" s="314"/>
      <c r="AA236" s="324"/>
      <c r="AB236" s="180"/>
      <c r="AC236" s="155"/>
      <c r="AD236" s="322"/>
      <c r="AE236" s="155"/>
      <c r="AF236" s="132"/>
    </row>
    <row r="237">
      <c r="A237" s="435"/>
      <c r="B237" s="437"/>
      <c r="C237" s="437"/>
      <c r="D237" s="437"/>
      <c r="E237" s="435"/>
      <c r="F237" s="314"/>
      <c r="G237" s="314"/>
      <c r="H237" s="435"/>
      <c r="I237" s="435"/>
      <c r="J237" s="435"/>
      <c r="K237" s="435"/>
      <c r="L237" s="435"/>
      <c r="M237" s="435"/>
      <c r="N237" s="435"/>
      <c r="O237" s="314"/>
      <c r="P237" s="435"/>
      <c r="Q237" s="435"/>
      <c r="R237" s="435"/>
      <c r="S237" s="435"/>
      <c r="T237" s="435"/>
      <c r="U237" s="435"/>
      <c r="V237" s="435"/>
      <c r="W237" s="435"/>
      <c r="X237" s="435"/>
      <c r="Y237" s="435"/>
      <c r="Z237" s="435"/>
      <c r="AA237" s="324"/>
      <c r="AB237" s="180"/>
      <c r="AC237" s="155"/>
      <c r="AD237" s="322"/>
      <c r="AE237" s="155"/>
      <c r="AF237" s="132"/>
    </row>
    <row r="238">
      <c r="A238" s="435"/>
      <c r="B238" s="437"/>
      <c r="C238" s="313"/>
      <c r="D238" s="437"/>
      <c r="E238" s="314"/>
      <c r="F238" s="314"/>
      <c r="G238" s="314"/>
      <c r="H238" s="314"/>
      <c r="I238" s="314"/>
      <c r="J238" s="314"/>
      <c r="K238" s="435"/>
      <c r="L238" s="314"/>
      <c r="M238" s="314"/>
      <c r="N238" s="314"/>
      <c r="O238" s="314"/>
      <c r="P238" s="314"/>
      <c r="Q238" s="314"/>
      <c r="R238" s="314"/>
      <c r="S238" s="435"/>
      <c r="T238" s="435"/>
      <c r="U238" s="435"/>
      <c r="V238" s="435"/>
      <c r="W238" s="435"/>
      <c r="X238" s="435"/>
      <c r="Y238" s="435"/>
      <c r="Z238" s="435"/>
      <c r="AA238" s="324"/>
      <c r="AB238" s="180"/>
      <c r="AC238" s="155"/>
      <c r="AD238" s="322"/>
      <c r="AE238" s="155"/>
      <c r="AF238" s="132"/>
    </row>
    <row r="239">
      <c r="A239" s="435"/>
      <c r="B239" s="437"/>
      <c r="C239" s="437"/>
      <c r="D239" s="437"/>
      <c r="E239" s="435"/>
      <c r="F239" s="314"/>
      <c r="G239" s="314"/>
      <c r="H239" s="435"/>
      <c r="I239" s="314"/>
      <c r="J239" s="314"/>
      <c r="K239" s="435"/>
      <c r="L239" s="314"/>
      <c r="M239" s="314"/>
      <c r="N239" s="314"/>
      <c r="O239" s="314"/>
      <c r="P239" s="435"/>
      <c r="Q239" s="435"/>
      <c r="R239" s="435"/>
      <c r="S239" s="435"/>
      <c r="T239" s="435"/>
      <c r="U239" s="435"/>
      <c r="V239" s="435"/>
      <c r="W239" s="435"/>
      <c r="X239" s="435"/>
      <c r="Y239" s="435"/>
      <c r="Z239" s="435"/>
      <c r="AA239" s="324"/>
      <c r="AB239" s="180"/>
      <c r="AC239" s="155"/>
      <c r="AD239" s="322"/>
      <c r="AE239" s="155"/>
      <c r="AF239" s="132"/>
    </row>
    <row r="240">
      <c r="A240" s="435"/>
      <c r="B240" s="437"/>
      <c r="C240" s="437"/>
      <c r="D240" s="437"/>
      <c r="E240" s="435"/>
      <c r="F240" s="314"/>
      <c r="G240" s="314"/>
      <c r="H240" s="435"/>
      <c r="I240" s="435"/>
      <c r="J240" s="435"/>
      <c r="K240" s="435"/>
      <c r="L240" s="435"/>
      <c r="M240" s="435"/>
      <c r="N240" s="435"/>
      <c r="O240" s="314"/>
      <c r="P240" s="435"/>
      <c r="Q240" s="435"/>
      <c r="R240" s="435"/>
      <c r="S240" s="435"/>
      <c r="T240" s="435"/>
      <c r="U240" s="435"/>
      <c r="V240" s="435"/>
      <c r="W240" s="435"/>
      <c r="X240" s="435"/>
      <c r="Y240" s="435"/>
      <c r="Z240" s="435"/>
      <c r="AA240" s="324"/>
      <c r="AB240" s="180"/>
      <c r="AC240" s="155"/>
      <c r="AD240" s="322"/>
      <c r="AE240" s="155"/>
      <c r="AF240" s="132"/>
    </row>
    <row r="241">
      <c r="A241" s="435"/>
      <c r="B241" s="313"/>
      <c r="C241" s="313"/>
      <c r="D241" s="313"/>
      <c r="E241" s="435"/>
      <c r="F241" s="314"/>
      <c r="G241" s="314"/>
      <c r="H241" s="435"/>
      <c r="I241" s="314"/>
      <c r="J241" s="314"/>
      <c r="K241" s="314"/>
      <c r="L241" s="314"/>
      <c r="M241" s="314"/>
      <c r="N241" s="314"/>
      <c r="O241" s="314"/>
      <c r="P241" s="314"/>
      <c r="Q241" s="314"/>
      <c r="R241" s="314"/>
      <c r="S241" s="314"/>
      <c r="T241" s="314"/>
      <c r="U241" s="314"/>
      <c r="V241" s="314"/>
      <c r="W241" s="314"/>
      <c r="X241" s="314"/>
      <c r="Y241" s="314"/>
      <c r="Z241" s="314"/>
      <c r="AA241" s="324"/>
      <c r="AB241" s="180"/>
      <c r="AC241" s="155"/>
      <c r="AD241" s="322"/>
      <c r="AE241" s="155"/>
      <c r="AF241" s="132"/>
    </row>
    <row r="242">
      <c r="A242" s="435"/>
      <c r="B242" s="313"/>
      <c r="C242" s="313"/>
      <c r="D242" s="437"/>
      <c r="E242" s="314"/>
      <c r="F242" s="314"/>
      <c r="G242" s="314"/>
      <c r="H242" s="435"/>
      <c r="I242" s="314"/>
      <c r="J242" s="435"/>
      <c r="K242" s="435"/>
      <c r="L242" s="314"/>
      <c r="M242" s="435"/>
      <c r="N242" s="314"/>
      <c r="O242" s="314"/>
      <c r="P242" s="314"/>
      <c r="Q242" s="314"/>
      <c r="R242" s="435"/>
      <c r="S242" s="435"/>
      <c r="T242" s="435"/>
      <c r="U242" s="435"/>
      <c r="V242" s="435"/>
      <c r="W242" s="435"/>
      <c r="X242" s="435"/>
      <c r="Y242" s="435"/>
      <c r="Z242" s="435"/>
      <c r="AA242" s="324"/>
      <c r="AB242" s="180"/>
      <c r="AC242" s="155"/>
      <c r="AD242" s="322"/>
      <c r="AE242" s="155"/>
      <c r="AF242" s="132"/>
    </row>
    <row r="243">
      <c r="A243" s="435"/>
      <c r="B243" s="313"/>
      <c r="C243" s="313"/>
      <c r="D243" s="313"/>
      <c r="E243" s="314"/>
      <c r="F243" s="314"/>
      <c r="G243" s="314"/>
      <c r="H243" s="314"/>
      <c r="I243" s="314"/>
      <c r="J243" s="314"/>
      <c r="K243" s="314"/>
      <c r="L243" s="314"/>
      <c r="M243" s="314"/>
      <c r="N243" s="314"/>
      <c r="O243" s="314"/>
      <c r="P243" s="314"/>
      <c r="Q243" s="435"/>
      <c r="R243" s="314"/>
      <c r="S243" s="435"/>
      <c r="T243" s="435"/>
      <c r="U243" s="435"/>
      <c r="V243" s="435"/>
      <c r="W243" s="435"/>
      <c r="X243" s="435"/>
      <c r="Y243" s="435"/>
      <c r="Z243" s="435"/>
      <c r="AA243" s="324"/>
      <c r="AB243" s="180"/>
      <c r="AC243" s="155"/>
      <c r="AD243" s="322"/>
      <c r="AE243" s="155"/>
      <c r="AF243" s="132"/>
    </row>
    <row r="244">
      <c r="A244" s="435"/>
      <c r="B244" s="437"/>
      <c r="C244" s="313"/>
      <c r="D244" s="313"/>
      <c r="E244" s="314"/>
      <c r="F244" s="314"/>
      <c r="G244" s="314"/>
      <c r="H244" s="435"/>
      <c r="I244" s="314"/>
      <c r="J244" s="435"/>
      <c r="K244" s="435"/>
      <c r="L244" s="314"/>
      <c r="M244" s="314"/>
      <c r="N244" s="435"/>
      <c r="O244" s="314"/>
      <c r="P244" s="314"/>
      <c r="Q244" s="314"/>
      <c r="R244" s="435"/>
      <c r="S244" s="435"/>
      <c r="T244" s="435"/>
      <c r="U244" s="435"/>
      <c r="V244" s="435"/>
      <c r="W244" s="435"/>
      <c r="X244" s="435"/>
      <c r="Y244" s="435"/>
      <c r="Z244" s="435"/>
      <c r="AA244" s="324"/>
      <c r="AB244" s="180"/>
      <c r="AC244" s="155"/>
      <c r="AD244" s="322"/>
      <c r="AE244" s="155"/>
      <c r="AF244" s="132"/>
    </row>
    <row r="245">
      <c r="A245" s="435"/>
      <c r="B245" s="313"/>
      <c r="C245" s="437"/>
      <c r="D245" s="437"/>
      <c r="E245" s="435"/>
      <c r="F245" s="314"/>
      <c r="G245" s="314"/>
      <c r="H245" s="435"/>
      <c r="I245" s="314"/>
      <c r="J245" s="314"/>
      <c r="K245" s="435"/>
      <c r="L245" s="314"/>
      <c r="M245" s="314"/>
      <c r="N245" s="314"/>
      <c r="O245" s="314"/>
      <c r="P245" s="314"/>
      <c r="Q245" s="314"/>
      <c r="R245" s="314"/>
      <c r="S245" s="435"/>
      <c r="T245" s="435"/>
      <c r="U245" s="435"/>
      <c r="V245" s="435"/>
      <c r="W245" s="435"/>
      <c r="X245" s="435"/>
      <c r="Y245" s="435"/>
      <c r="Z245" s="435"/>
      <c r="AA245" s="324"/>
      <c r="AB245" s="180"/>
      <c r="AC245" s="155"/>
      <c r="AD245" s="322"/>
      <c r="AE245" s="155"/>
      <c r="AF245" s="132"/>
    </row>
    <row r="246">
      <c r="A246" s="435"/>
      <c r="B246" s="313"/>
      <c r="C246" s="313"/>
      <c r="D246" s="313"/>
      <c r="E246" s="314"/>
      <c r="F246" s="314"/>
      <c r="G246" s="314"/>
      <c r="H246" s="435"/>
      <c r="I246" s="314"/>
      <c r="J246" s="314"/>
      <c r="K246" s="314"/>
      <c r="L246" s="314"/>
      <c r="M246" s="314"/>
      <c r="N246" s="314"/>
      <c r="O246" s="314"/>
      <c r="P246" s="314"/>
      <c r="Q246" s="314"/>
      <c r="R246" s="435"/>
      <c r="S246" s="314"/>
      <c r="T246" s="314"/>
      <c r="U246" s="314"/>
      <c r="V246" s="314"/>
      <c r="W246" s="314"/>
      <c r="X246" s="314"/>
      <c r="Y246" s="314"/>
      <c r="Z246" s="314"/>
      <c r="AA246" s="324"/>
      <c r="AB246" s="180"/>
      <c r="AC246" s="155"/>
      <c r="AD246" s="322"/>
      <c r="AE246" s="155"/>
      <c r="AF246" s="132"/>
    </row>
    <row r="247">
      <c r="A247" s="435"/>
      <c r="B247" s="437"/>
      <c r="C247" s="437"/>
      <c r="D247" s="437"/>
      <c r="E247" s="435"/>
      <c r="F247" s="314"/>
      <c r="G247" s="314"/>
      <c r="H247" s="435"/>
      <c r="I247" s="435"/>
      <c r="J247" s="435"/>
      <c r="K247" s="435"/>
      <c r="L247" s="435"/>
      <c r="M247" s="435"/>
      <c r="N247" s="435"/>
      <c r="O247" s="314"/>
      <c r="P247" s="435"/>
      <c r="Q247" s="435"/>
      <c r="R247" s="435"/>
      <c r="S247" s="435"/>
      <c r="T247" s="435"/>
      <c r="U247" s="435"/>
      <c r="V247" s="435"/>
      <c r="W247" s="435"/>
      <c r="X247" s="435"/>
      <c r="Y247" s="435"/>
      <c r="Z247" s="435"/>
      <c r="AA247" s="324"/>
      <c r="AB247" s="180"/>
      <c r="AC247" s="155"/>
      <c r="AD247" s="322"/>
      <c r="AE247" s="155"/>
      <c r="AF247" s="132"/>
    </row>
    <row r="248">
      <c r="A248" s="435"/>
      <c r="B248" s="313"/>
      <c r="C248" s="313"/>
      <c r="D248" s="313"/>
      <c r="E248" s="314"/>
      <c r="F248" s="314"/>
      <c r="G248" s="314"/>
      <c r="H248" s="314"/>
      <c r="I248" s="314"/>
      <c r="J248" s="314"/>
      <c r="K248" s="314"/>
      <c r="L248" s="314"/>
      <c r="M248" s="435"/>
      <c r="N248" s="314"/>
      <c r="O248" s="314"/>
      <c r="P248" s="314"/>
      <c r="Q248" s="314"/>
      <c r="R248" s="314"/>
      <c r="S248" s="314"/>
      <c r="T248" s="314"/>
      <c r="U248" s="314"/>
      <c r="V248" s="314"/>
      <c r="W248" s="314"/>
      <c r="X248" s="314"/>
      <c r="Y248" s="314"/>
      <c r="Z248" s="314"/>
      <c r="AA248" s="324"/>
      <c r="AB248" s="180"/>
      <c r="AC248" s="155"/>
      <c r="AD248" s="322"/>
      <c r="AE248" s="155"/>
      <c r="AF248" s="132"/>
    </row>
    <row r="249">
      <c r="A249" s="435"/>
      <c r="B249" s="313"/>
      <c r="C249" s="437"/>
      <c r="D249" s="437"/>
      <c r="E249" s="435"/>
      <c r="F249" s="314"/>
      <c r="G249" s="314"/>
      <c r="H249" s="435"/>
      <c r="I249" s="435"/>
      <c r="J249" s="435"/>
      <c r="K249" s="435"/>
      <c r="L249" s="314"/>
      <c r="M249" s="435"/>
      <c r="N249" s="435"/>
      <c r="O249" s="314"/>
      <c r="P249" s="435"/>
      <c r="Q249" s="435"/>
      <c r="R249" s="435"/>
      <c r="S249" s="435"/>
      <c r="T249" s="435"/>
      <c r="U249" s="435"/>
      <c r="V249" s="435"/>
      <c r="W249" s="435"/>
      <c r="X249" s="435"/>
      <c r="Y249" s="435"/>
      <c r="Z249" s="435"/>
      <c r="AA249" s="324"/>
      <c r="AB249" s="180"/>
      <c r="AC249" s="155"/>
      <c r="AD249" s="322"/>
      <c r="AE249" s="155"/>
      <c r="AF249" s="132"/>
    </row>
    <row r="250">
      <c r="A250" s="435"/>
      <c r="B250" s="437"/>
      <c r="C250" s="437"/>
      <c r="D250" s="313"/>
      <c r="E250" s="435"/>
      <c r="F250" s="314"/>
      <c r="G250" s="314"/>
      <c r="H250" s="435"/>
      <c r="I250" s="435"/>
      <c r="J250" s="314"/>
      <c r="K250" s="435"/>
      <c r="L250" s="435"/>
      <c r="M250" s="314"/>
      <c r="N250" s="435"/>
      <c r="O250" s="314"/>
      <c r="P250" s="435"/>
      <c r="Q250" s="314"/>
      <c r="R250" s="435"/>
      <c r="S250" s="435"/>
      <c r="T250" s="435"/>
      <c r="U250" s="435"/>
      <c r="V250" s="435"/>
      <c r="W250" s="435"/>
      <c r="X250" s="435"/>
      <c r="Y250" s="435"/>
      <c r="Z250" s="435"/>
      <c r="AA250" s="324"/>
      <c r="AB250" s="180"/>
      <c r="AC250" s="155"/>
      <c r="AD250" s="322"/>
      <c r="AE250" s="155"/>
      <c r="AF250" s="132"/>
    </row>
    <row r="251">
      <c r="A251" s="458"/>
      <c r="B251" s="437"/>
      <c r="C251" s="437"/>
      <c r="D251" s="437"/>
      <c r="E251" s="435"/>
      <c r="F251" s="314"/>
      <c r="G251" s="314"/>
      <c r="H251" s="314"/>
      <c r="I251" s="435"/>
      <c r="J251" s="435"/>
      <c r="K251" s="435"/>
      <c r="L251" s="435"/>
      <c r="M251" s="435"/>
      <c r="N251" s="435"/>
      <c r="O251" s="314"/>
      <c r="P251" s="435"/>
      <c r="Q251" s="435"/>
      <c r="R251" s="435"/>
      <c r="S251" s="435"/>
      <c r="T251" s="435"/>
      <c r="U251" s="435"/>
      <c r="V251" s="435"/>
      <c r="W251" s="435"/>
      <c r="X251" s="435"/>
      <c r="Y251" s="435"/>
      <c r="Z251" s="435"/>
      <c r="AA251" s="324"/>
      <c r="AB251" s="180"/>
      <c r="AC251" s="155"/>
      <c r="AD251" s="322"/>
      <c r="AE251" s="155"/>
      <c r="AF251" s="132"/>
    </row>
    <row r="252">
      <c r="A252" s="458"/>
      <c r="B252" s="437"/>
      <c r="C252" s="437"/>
      <c r="D252" s="437"/>
      <c r="E252" s="435"/>
      <c r="F252" s="314"/>
      <c r="G252" s="314"/>
      <c r="H252" s="314"/>
      <c r="I252" s="314"/>
      <c r="J252" s="435"/>
      <c r="K252" s="435"/>
      <c r="L252" s="435"/>
      <c r="M252" s="435"/>
      <c r="N252" s="435"/>
      <c r="O252" s="314"/>
      <c r="P252" s="435"/>
      <c r="Q252" s="435"/>
      <c r="R252" s="435"/>
      <c r="S252" s="435"/>
      <c r="T252" s="435"/>
      <c r="U252" s="435"/>
      <c r="V252" s="435"/>
      <c r="W252" s="435"/>
      <c r="X252" s="435"/>
      <c r="Y252" s="435"/>
      <c r="Z252" s="435"/>
      <c r="AA252" s="324"/>
      <c r="AB252" s="180"/>
      <c r="AC252" s="155"/>
      <c r="AD252" s="322"/>
      <c r="AE252" s="155"/>
      <c r="AF252" s="132"/>
    </row>
    <row r="253">
      <c r="A253" s="458"/>
      <c r="B253" s="437"/>
      <c r="C253" s="437"/>
      <c r="D253" s="437"/>
      <c r="E253" s="314"/>
      <c r="F253" s="314"/>
      <c r="G253" s="314"/>
      <c r="H253" s="314"/>
      <c r="I253" s="435"/>
      <c r="J253" s="435"/>
      <c r="K253" s="435"/>
      <c r="L253" s="435"/>
      <c r="M253" s="435"/>
      <c r="N253" s="435"/>
      <c r="O253" s="314"/>
      <c r="P253" s="435"/>
      <c r="Q253" s="314"/>
      <c r="R253" s="435"/>
      <c r="S253" s="435"/>
      <c r="T253" s="435"/>
      <c r="U253" s="435"/>
      <c r="V253" s="435"/>
      <c r="W253" s="435"/>
      <c r="X253" s="435"/>
      <c r="Y253" s="435"/>
      <c r="Z253" s="435"/>
      <c r="AA253" s="324"/>
      <c r="AB253" s="180"/>
      <c r="AC253" s="155"/>
      <c r="AD253" s="322"/>
      <c r="AE253" s="155"/>
      <c r="AF253" s="132"/>
    </row>
    <row r="254">
      <c r="A254" s="458"/>
      <c r="B254" s="313"/>
      <c r="C254" s="313"/>
      <c r="D254" s="313"/>
      <c r="E254" s="314"/>
      <c r="F254" s="314"/>
      <c r="G254" s="314"/>
      <c r="H254" s="314"/>
      <c r="I254" s="314"/>
      <c r="J254" s="314"/>
      <c r="K254" s="314"/>
      <c r="L254" s="314"/>
      <c r="M254" s="314"/>
      <c r="N254" s="314"/>
      <c r="O254" s="314"/>
      <c r="P254" s="314"/>
      <c r="Q254" s="314"/>
      <c r="R254" s="314"/>
      <c r="S254" s="314"/>
      <c r="T254" s="314"/>
      <c r="U254" s="314"/>
      <c r="V254" s="314"/>
      <c r="W254" s="314"/>
      <c r="X254" s="314"/>
      <c r="Y254" s="314"/>
      <c r="Z254" s="314"/>
      <c r="AA254" s="324"/>
      <c r="AB254" s="180"/>
      <c r="AC254" s="155"/>
      <c r="AD254" s="322"/>
      <c r="AE254" s="155"/>
      <c r="AF254" s="132"/>
    </row>
    <row r="255">
      <c r="A255" s="458"/>
      <c r="B255" s="437"/>
      <c r="C255" s="437"/>
      <c r="D255" s="437"/>
      <c r="E255" s="314"/>
      <c r="F255" s="314"/>
      <c r="G255" s="314"/>
      <c r="H255" s="314"/>
      <c r="I255" s="314"/>
      <c r="J255" s="314"/>
      <c r="K255" s="435"/>
      <c r="L255" s="435"/>
      <c r="M255" s="435"/>
      <c r="N255" s="314"/>
      <c r="O255" s="314"/>
      <c r="P255" s="435"/>
      <c r="Q255" s="435"/>
      <c r="R255" s="435"/>
      <c r="S255" s="435"/>
      <c r="T255" s="435"/>
      <c r="U255" s="435"/>
      <c r="V255" s="435"/>
      <c r="W255" s="435"/>
      <c r="X255" s="435"/>
      <c r="Y255" s="435"/>
      <c r="Z255" s="435"/>
      <c r="AA255" s="324"/>
      <c r="AB255" s="180"/>
      <c r="AC255" s="155"/>
      <c r="AD255" s="322"/>
      <c r="AE255" s="155"/>
      <c r="AF255" s="132"/>
    </row>
    <row r="256">
      <c r="A256" s="458"/>
      <c r="B256" s="313"/>
      <c r="C256" s="313"/>
      <c r="D256" s="437"/>
      <c r="E256" s="314"/>
      <c r="F256" s="314"/>
      <c r="G256" s="314"/>
      <c r="H256" s="314"/>
      <c r="I256" s="314"/>
      <c r="J256" s="314"/>
      <c r="K256" s="314"/>
      <c r="L256" s="314"/>
      <c r="M256" s="314"/>
      <c r="N256" s="314"/>
      <c r="O256" s="314"/>
      <c r="P256" s="314"/>
      <c r="Q256" s="314"/>
      <c r="R256" s="314"/>
      <c r="S256" s="314"/>
      <c r="T256" s="314"/>
      <c r="U256" s="314"/>
      <c r="V256" s="314"/>
      <c r="W256" s="314"/>
      <c r="X256" s="314"/>
      <c r="Y256" s="314"/>
      <c r="Z256" s="314"/>
      <c r="AA256" s="324"/>
      <c r="AB256" s="180"/>
      <c r="AC256" s="155"/>
      <c r="AD256" s="322"/>
      <c r="AE256" s="155"/>
      <c r="AF256" s="132"/>
    </row>
    <row r="257">
      <c r="A257" s="458"/>
      <c r="B257" s="313"/>
      <c r="C257" s="437"/>
      <c r="D257" s="313"/>
      <c r="E257" s="314"/>
      <c r="F257" s="314"/>
      <c r="G257" s="314"/>
      <c r="H257" s="314"/>
      <c r="I257" s="435"/>
      <c r="J257" s="314"/>
      <c r="K257" s="314"/>
      <c r="L257" s="435"/>
      <c r="M257" s="314"/>
      <c r="N257" s="314"/>
      <c r="O257" s="314"/>
      <c r="P257" s="314"/>
      <c r="Q257" s="435"/>
      <c r="R257" s="435"/>
      <c r="S257" s="435"/>
      <c r="T257" s="435"/>
      <c r="U257" s="435"/>
      <c r="V257" s="435"/>
      <c r="W257" s="435"/>
      <c r="X257" s="435"/>
      <c r="Y257" s="435"/>
      <c r="Z257" s="435"/>
      <c r="AA257" s="324"/>
      <c r="AB257" s="180"/>
      <c r="AC257" s="155"/>
      <c r="AD257" s="322"/>
      <c r="AE257" s="155"/>
      <c r="AF257" s="132"/>
    </row>
    <row r="258">
      <c r="A258" s="458"/>
      <c r="B258" s="313"/>
      <c r="C258" s="437"/>
      <c r="D258" s="437"/>
      <c r="E258" s="435"/>
      <c r="F258" s="314"/>
      <c r="G258" s="314"/>
      <c r="H258" s="435"/>
      <c r="I258" s="435"/>
      <c r="J258" s="314"/>
      <c r="K258" s="435"/>
      <c r="L258" s="435"/>
      <c r="M258" s="314"/>
      <c r="N258" s="314"/>
      <c r="O258" s="314"/>
      <c r="P258" s="435"/>
      <c r="Q258" s="435"/>
      <c r="R258" s="435"/>
      <c r="S258" s="435"/>
      <c r="T258" s="435"/>
      <c r="U258" s="435"/>
      <c r="V258" s="435"/>
      <c r="W258" s="435"/>
      <c r="X258" s="435"/>
      <c r="Y258" s="435"/>
      <c r="Z258" s="435"/>
      <c r="AA258" s="324"/>
      <c r="AB258" s="180"/>
      <c r="AC258" s="155"/>
      <c r="AD258" s="322"/>
      <c r="AE258" s="155"/>
      <c r="AF258" s="132"/>
    </row>
    <row r="259">
      <c r="A259" s="458"/>
      <c r="B259" s="313"/>
      <c r="C259" s="437"/>
      <c r="D259" s="437"/>
      <c r="E259" s="314"/>
      <c r="F259" s="314"/>
      <c r="G259" s="314"/>
      <c r="H259" s="314"/>
      <c r="I259" s="314"/>
      <c r="J259" s="314"/>
      <c r="K259" s="435"/>
      <c r="L259" s="314"/>
      <c r="M259" s="314"/>
      <c r="N259" s="314"/>
      <c r="O259" s="314"/>
      <c r="P259" s="314"/>
      <c r="Q259" s="314"/>
      <c r="R259" s="435"/>
      <c r="S259" s="435"/>
      <c r="T259" s="435"/>
      <c r="U259" s="435"/>
      <c r="V259" s="435"/>
      <c r="W259" s="435"/>
      <c r="X259" s="435"/>
      <c r="Y259" s="435"/>
      <c r="Z259" s="435"/>
      <c r="AA259" s="324"/>
      <c r="AB259" s="180"/>
      <c r="AC259" s="155"/>
      <c r="AD259" s="322"/>
      <c r="AE259" s="155"/>
      <c r="AF259" s="132"/>
    </row>
    <row r="260">
      <c r="A260" s="458"/>
      <c r="B260" s="437"/>
      <c r="C260" s="437"/>
      <c r="D260" s="437"/>
      <c r="E260" s="435"/>
      <c r="F260" s="314"/>
      <c r="G260" s="314"/>
      <c r="H260" s="435"/>
      <c r="I260" s="435"/>
      <c r="J260" s="435"/>
      <c r="K260" s="435"/>
      <c r="L260" s="435"/>
      <c r="M260" s="435"/>
      <c r="N260" s="435"/>
      <c r="O260" s="314"/>
      <c r="P260" s="435"/>
      <c r="Q260" s="435"/>
      <c r="R260" s="435"/>
      <c r="S260" s="435"/>
      <c r="T260" s="435"/>
      <c r="U260" s="435"/>
      <c r="V260" s="435"/>
      <c r="W260" s="435"/>
      <c r="X260" s="435"/>
      <c r="Y260" s="435"/>
      <c r="Z260" s="435"/>
      <c r="AA260" s="324"/>
      <c r="AB260" s="180"/>
      <c r="AC260" s="155"/>
      <c r="AD260" s="322"/>
      <c r="AE260" s="155"/>
      <c r="AF260" s="132"/>
    </row>
    <row r="261">
      <c r="A261" s="435"/>
      <c r="B261" s="437"/>
      <c r="C261" s="437"/>
      <c r="D261" s="437"/>
      <c r="E261" s="435"/>
      <c r="F261" s="314"/>
      <c r="G261" s="314"/>
      <c r="H261" s="435"/>
      <c r="I261" s="435"/>
      <c r="J261" s="435"/>
      <c r="K261" s="435"/>
      <c r="L261" s="435"/>
      <c r="M261" s="435"/>
      <c r="N261" s="435"/>
      <c r="O261" s="314"/>
      <c r="P261" s="435"/>
      <c r="Q261" s="435"/>
      <c r="R261" s="435"/>
      <c r="S261" s="435"/>
      <c r="T261" s="435"/>
      <c r="U261" s="435"/>
      <c r="V261" s="435"/>
      <c r="W261" s="435"/>
      <c r="X261" s="435"/>
      <c r="Y261" s="435"/>
      <c r="Z261" s="435"/>
      <c r="AA261" s="324"/>
      <c r="AB261" s="180"/>
      <c r="AC261" s="155"/>
      <c r="AD261" s="322"/>
      <c r="AE261" s="155"/>
      <c r="AF261" s="132"/>
    </row>
    <row r="262">
      <c r="A262" s="474"/>
      <c r="B262" s="437"/>
      <c r="C262" s="437"/>
      <c r="D262" s="437"/>
      <c r="E262" s="435"/>
      <c r="F262" s="314"/>
      <c r="G262" s="314"/>
      <c r="H262" s="435"/>
      <c r="I262" s="435"/>
      <c r="J262" s="435"/>
      <c r="K262" s="435"/>
      <c r="L262" s="435"/>
      <c r="M262" s="435"/>
      <c r="N262" s="435"/>
      <c r="O262" s="314"/>
      <c r="P262" s="435"/>
      <c r="Q262" s="435"/>
      <c r="R262" s="435"/>
      <c r="S262" s="435"/>
      <c r="T262" s="435"/>
      <c r="U262" s="435"/>
      <c r="V262" s="435"/>
      <c r="W262" s="435"/>
      <c r="X262" s="435"/>
      <c r="Y262" s="435"/>
      <c r="Z262" s="435"/>
      <c r="AA262" s="324"/>
      <c r="AB262" s="180"/>
      <c r="AC262" s="155"/>
      <c r="AD262" s="322"/>
      <c r="AE262" s="155"/>
      <c r="AF262" s="132"/>
    </row>
    <row r="263">
      <c r="A263" s="474"/>
      <c r="B263" s="437"/>
      <c r="C263" s="313"/>
      <c r="D263" s="437"/>
      <c r="E263" s="435"/>
      <c r="F263" s="314"/>
      <c r="G263" s="314"/>
      <c r="H263" s="435"/>
      <c r="I263" s="435"/>
      <c r="J263" s="435"/>
      <c r="K263" s="314"/>
      <c r="L263" s="314"/>
      <c r="M263" s="314"/>
      <c r="N263" s="435"/>
      <c r="O263" s="314"/>
      <c r="P263" s="314"/>
      <c r="Q263" s="435"/>
      <c r="R263" s="314"/>
      <c r="S263" s="435"/>
      <c r="T263" s="435"/>
      <c r="U263" s="435"/>
      <c r="V263" s="435"/>
      <c r="W263" s="435"/>
      <c r="X263" s="435"/>
      <c r="Y263" s="435"/>
      <c r="Z263" s="435"/>
      <c r="AA263" s="324"/>
      <c r="AB263" s="180"/>
      <c r="AC263" s="155"/>
      <c r="AD263" s="322"/>
      <c r="AE263" s="155"/>
      <c r="AF263" s="132"/>
    </row>
    <row r="264">
      <c r="A264" s="474"/>
      <c r="B264" s="313"/>
      <c r="C264" s="313"/>
      <c r="D264" s="313"/>
      <c r="E264" s="314"/>
      <c r="F264" s="314"/>
      <c r="G264" s="314"/>
      <c r="H264" s="314"/>
      <c r="I264" s="314"/>
      <c r="J264" s="314"/>
      <c r="K264" s="435"/>
      <c r="L264" s="314"/>
      <c r="M264" s="314"/>
      <c r="N264" s="314"/>
      <c r="O264" s="314"/>
      <c r="P264" s="435"/>
      <c r="Q264" s="314"/>
      <c r="R264" s="314"/>
      <c r="S264" s="314"/>
      <c r="T264" s="314"/>
      <c r="U264" s="314"/>
      <c r="V264" s="314"/>
      <c r="W264" s="314"/>
      <c r="X264" s="314"/>
      <c r="Y264" s="314"/>
      <c r="Z264" s="314"/>
      <c r="AA264" s="324"/>
      <c r="AB264" s="180"/>
      <c r="AC264" s="155"/>
      <c r="AD264" s="322"/>
      <c r="AE264" s="155"/>
      <c r="AF264" s="132"/>
    </row>
    <row r="265">
      <c r="A265" s="474"/>
      <c r="B265" s="313"/>
      <c r="C265" s="437"/>
      <c r="D265" s="437"/>
      <c r="E265" s="314"/>
      <c r="F265" s="314"/>
      <c r="G265" s="314"/>
      <c r="H265" s="314"/>
      <c r="I265" s="435"/>
      <c r="J265" s="314"/>
      <c r="K265" s="314"/>
      <c r="L265" s="314"/>
      <c r="M265" s="314"/>
      <c r="N265" s="314"/>
      <c r="O265" s="314"/>
      <c r="P265" s="314"/>
      <c r="Q265" s="314"/>
      <c r="R265" s="314"/>
      <c r="S265" s="314"/>
      <c r="T265" s="314"/>
      <c r="U265" s="314"/>
      <c r="V265" s="314"/>
      <c r="W265" s="314"/>
      <c r="X265" s="314"/>
      <c r="Y265" s="314"/>
      <c r="Z265" s="314"/>
      <c r="AA265" s="324"/>
      <c r="AB265" s="180"/>
      <c r="AC265" s="155"/>
      <c r="AD265" s="322"/>
      <c r="AE265" s="155"/>
      <c r="AF265" s="132"/>
    </row>
    <row r="266">
      <c r="A266" s="474"/>
      <c r="B266" s="313"/>
      <c r="C266" s="313"/>
      <c r="D266" s="313"/>
      <c r="E266" s="314"/>
      <c r="F266" s="314"/>
      <c r="G266" s="314"/>
      <c r="H266" s="314"/>
      <c r="I266" s="314"/>
      <c r="J266" s="314"/>
      <c r="K266" s="435"/>
      <c r="L266" s="314"/>
      <c r="M266" s="314"/>
      <c r="N266" s="314"/>
      <c r="O266" s="314"/>
      <c r="P266" s="314"/>
      <c r="Q266" s="314"/>
      <c r="R266" s="314"/>
      <c r="S266" s="314"/>
      <c r="T266" s="314"/>
      <c r="U266" s="314"/>
      <c r="V266" s="314"/>
      <c r="W266" s="314"/>
      <c r="X266" s="314"/>
      <c r="Y266" s="314"/>
      <c r="Z266" s="314"/>
      <c r="AA266" s="324"/>
      <c r="AB266" s="180"/>
      <c r="AC266" s="155"/>
      <c r="AD266" s="322"/>
      <c r="AE266" s="155"/>
      <c r="AF266" s="132"/>
    </row>
    <row r="267">
      <c r="A267" s="458"/>
      <c r="B267" s="313"/>
      <c r="C267" s="437"/>
      <c r="D267" s="313"/>
      <c r="E267" s="314"/>
      <c r="F267" s="314"/>
      <c r="G267" s="314"/>
      <c r="H267" s="314"/>
      <c r="I267" s="314"/>
      <c r="J267" s="435"/>
      <c r="K267" s="435"/>
      <c r="L267" s="314"/>
      <c r="M267" s="314"/>
      <c r="N267" s="314"/>
      <c r="O267" s="314"/>
      <c r="P267" s="314"/>
      <c r="Q267" s="314"/>
      <c r="R267" s="314"/>
      <c r="S267" s="314"/>
      <c r="T267" s="314"/>
      <c r="U267" s="314"/>
      <c r="V267" s="314"/>
      <c r="W267" s="314"/>
      <c r="X267" s="314"/>
      <c r="Y267" s="314"/>
      <c r="Z267" s="314"/>
      <c r="AA267" s="324"/>
      <c r="AB267" s="180"/>
      <c r="AC267" s="155"/>
      <c r="AD267" s="322"/>
      <c r="AE267" s="155"/>
      <c r="AF267" s="132"/>
    </row>
    <row r="268">
      <c r="A268" s="435"/>
      <c r="B268" s="313"/>
      <c r="C268" s="437"/>
      <c r="D268" s="437"/>
      <c r="E268" s="435"/>
      <c r="F268" s="314"/>
      <c r="G268" s="314"/>
      <c r="H268" s="435"/>
      <c r="I268" s="314"/>
      <c r="J268" s="314"/>
      <c r="K268" s="435"/>
      <c r="L268" s="314"/>
      <c r="M268" s="435"/>
      <c r="N268" s="435"/>
      <c r="O268" s="314"/>
      <c r="P268" s="314"/>
      <c r="Q268" s="314"/>
      <c r="R268" s="435"/>
      <c r="S268" s="314"/>
      <c r="T268" s="314"/>
      <c r="U268" s="314"/>
      <c r="V268" s="314"/>
      <c r="W268" s="314"/>
      <c r="X268" s="314"/>
      <c r="Y268" s="314"/>
      <c r="Z268" s="314"/>
      <c r="AA268" s="324"/>
      <c r="AB268" s="180"/>
      <c r="AC268" s="155"/>
      <c r="AD268" s="322"/>
      <c r="AE268" s="155"/>
      <c r="AF268" s="132"/>
    </row>
    <row r="269">
      <c r="A269" s="435"/>
      <c r="B269" s="437"/>
      <c r="C269" s="313"/>
      <c r="D269" s="313"/>
      <c r="E269" s="314"/>
      <c r="F269" s="314"/>
      <c r="G269" s="314"/>
      <c r="H269" s="314"/>
      <c r="I269" s="314"/>
      <c r="J269" s="314"/>
      <c r="K269" s="314"/>
      <c r="L269" s="314"/>
      <c r="M269" s="314"/>
      <c r="N269" s="314"/>
      <c r="O269" s="314"/>
      <c r="P269" s="435"/>
      <c r="Q269" s="314"/>
      <c r="R269" s="314"/>
      <c r="S269" s="314"/>
      <c r="T269" s="314"/>
      <c r="U269" s="314"/>
      <c r="V269" s="314"/>
      <c r="W269" s="314"/>
      <c r="X269" s="314"/>
      <c r="Y269" s="314"/>
      <c r="Z269" s="314"/>
      <c r="AA269" s="324"/>
      <c r="AB269" s="180"/>
      <c r="AC269" s="155"/>
      <c r="AD269" s="322"/>
      <c r="AE269" s="155"/>
      <c r="AF269" s="132"/>
    </row>
    <row r="270">
      <c r="A270" s="435"/>
      <c r="B270" s="437"/>
      <c r="C270" s="313"/>
      <c r="D270" s="313"/>
      <c r="E270" s="314"/>
      <c r="F270" s="314"/>
      <c r="G270" s="314"/>
      <c r="H270" s="314"/>
      <c r="I270" s="314"/>
      <c r="J270" s="314"/>
      <c r="K270" s="314"/>
      <c r="L270" s="314"/>
      <c r="M270" s="314"/>
      <c r="N270" s="314"/>
      <c r="O270" s="314"/>
      <c r="P270" s="314"/>
      <c r="Q270" s="435"/>
      <c r="R270" s="314"/>
      <c r="S270" s="435"/>
      <c r="T270" s="435"/>
      <c r="U270" s="435"/>
      <c r="V270" s="435"/>
      <c r="W270" s="435"/>
      <c r="X270" s="435"/>
      <c r="Y270" s="435"/>
      <c r="Z270" s="435"/>
      <c r="AA270" s="324"/>
      <c r="AB270" s="180"/>
      <c r="AC270" s="155"/>
      <c r="AD270" s="322"/>
      <c r="AE270" s="155"/>
      <c r="AF270" s="132"/>
    </row>
    <row r="271">
      <c r="A271" s="435"/>
      <c r="B271" s="313"/>
      <c r="C271" s="437"/>
      <c r="D271" s="313"/>
      <c r="E271" s="314"/>
      <c r="F271" s="314"/>
      <c r="G271" s="314"/>
      <c r="H271" s="314"/>
      <c r="I271" s="314"/>
      <c r="J271" s="314"/>
      <c r="K271" s="314"/>
      <c r="L271" s="314"/>
      <c r="M271" s="314"/>
      <c r="N271" s="314"/>
      <c r="O271" s="314"/>
      <c r="P271" s="314"/>
      <c r="Q271" s="314"/>
      <c r="R271" s="435"/>
      <c r="S271" s="314"/>
      <c r="T271" s="314"/>
      <c r="U271" s="314"/>
      <c r="V271" s="314"/>
      <c r="W271" s="314"/>
      <c r="X271" s="314"/>
      <c r="Y271" s="314"/>
      <c r="Z271" s="314"/>
      <c r="AA271" s="324"/>
      <c r="AB271" s="180"/>
      <c r="AC271" s="155"/>
      <c r="AD271" s="322"/>
      <c r="AE271" s="155"/>
      <c r="AF271" s="132"/>
    </row>
    <row r="272">
      <c r="A272" s="435"/>
      <c r="B272" s="313"/>
      <c r="C272" s="313"/>
      <c r="D272" s="313"/>
      <c r="E272" s="314"/>
      <c r="F272" s="314"/>
      <c r="G272" s="314"/>
      <c r="H272" s="314"/>
      <c r="I272" s="314"/>
      <c r="J272" s="314"/>
      <c r="K272" s="435"/>
      <c r="L272" s="314"/>
      <c r="M272" s="435"/>
      <c r="N272" s="314"/>
      <c r="O272" s="314"/>
      <c r="P272" s="314"/>
      <c r="Q272" s="435"/>
      <c r="R272" s="314"/>
      <c r="S272" s="314"/>
      <c r="T272" s="314"/>
      <c r="U272" s="314"/>
      <c r="V272" s="314"/>
      <c r="W272" s="314"/>
      <c r="X272" s="314"/>
      <c r="Y272" s="314"/>
      <c r="Z272" s="314"/>
      <c r="AA272" s="324"/>
      <c r="AB272" s="180"/>
      <c r="AC272" s="155"/>
      <c r="AD272" s="322"/>
      <c r="AE272" s="155"/>
      <c r="AF272" s="132"/>
    </row>
    <row r="273">
      <c r="A273" s="435"/>
      <c r="B273" s="313"/>
      <c r="C273" s="437"/>
      <c r="D273" s="437"/>
      <c r="E273" s="314"/>
      <c r="F273" s="314"/>
      <c r="G273" s="314"/>
      <c r="H273" s="314"/>
      <c r="I273" s="314"/>
      <c r="J273" s="314"/>
      <c r="K273" s="435"/>
      <c r="L273" s="314"/>
      <c r="M273" s="435"/>
      <c r="N273" s="314"/>
      <c r="O273" s="314"/>
      <c r="P273" s="314"/>
      <c r="Q273" s="435"/>
      <c r="R273" s="314"/>
      <c r="S273" s="314"/>
      <c r="T273" s="314"/>
      <c r="U273" s="314"/>
      <c r="V273" s="314"/>
      <c r="W273" s="314"/>
      <c r="X273" s="314"/>
      <c r="Y273" s="314"/>
      <c r="Z273" s="314"/>
      <c r="AA273" s="324"/>
      <c r="AB273" s="180"/>
      <c r="AC273" s="155"/>
      <c r="AD273" s="322"/>
      <c r="AE273" s="155"/>
      <c r="AF273" s="132"/>
    </row>
    <row r="274">
      <c r="A274" s="476"/>
      <c r="AC274" s="176"/>
      <c r="AD274" s="322"/>
      <c r="AE274" s="155"/>
      <c r="AF274" s="132"/>
    </row>
    <row r="275">
      <c r="A275" s="178"/>
      <c r="AD275" s="322"/>
      <c r="AE275" s="155"/>
      <c r="AF275" s="132"/>
    </row>
    <row r="276">
      <c r="A276" s="474"/>
      <c r="B276" s="437"/>
      <c r="C276" s="437"/>
      <c r="D276" s="437"/>
      <c r="E276" s="435"/>
      <c r="F276" s="314"/>
      <c r="G276" s="314"/>
      <c r="H276" s="314"/>
      <c r="I276" s="435"/>
      <c r="J276" s="435"/>
      <c r="K276" s="435"/>
      <c r="L276" s="435"/>
      <c r="M276" s="435"/>
      <c r="N276" s="435"/>
      <c r="O276" s="314"/>
      <c r="P276" s="435"/>
      <c r="Q276" s="435"/>
      <c r="R276" s="435"/>
      <c r="S276" s="435"/>
      <c r="T276" s="435"/>
      <c r="U276" s="435"/>
      <c r="V276" s="435"/>
      <c r="W276" s="435"/>
      <c r="X276" s="435"/>
      <c r="Y276" s="435"/>
      <c r="Z276" s="435"/>
      <c r="AA276" s="324"/>
      <c r="AB276" s="180"/>
      <c r="AC276" s="155"/>
      <c r="AD276" s="322"/>
      <c r="AE276" s="155"/>
      <c r="AF276" s="132"/>
    </row>
    <row r="277">
      <c r="A277" s="474"/>
      <c r="B277" s="313"/>
      <c r="C277" s="437"/>
      <c r="D277" s="437"/>
      <c r="E277" s="435"/>
      <c r="F277" s="314"/>
      <c r="G277" s="314"/>
      <c r="H277" s="435"/>
      <c r="I277" s="314"/>
      <c r="J277" s="435"/>
      <c r="K277" s="435"/>
      <c r="L277" s="435"/>
      <c r="M277" s="314"/>
      <c r="N277" s="314"/>
      <c r="O277" s="314"/>
      <c r="P277" s="435"/>
      <c r="Q277" s="435"/>
      <c r="R277" s="435"/>
      <c r="S277" s="435"/>
      <c r="T277" s="435"/>
      <c r="U277" s="435"/>
      <c r="V277" s="435"/>
      <c r="W277" s="435"/>
      <c r="X277" s="435"/>
      <c r="Y277" s="435"/>
      <c r="Z277" s="435"/>
      <c r="AA277" s="324"/>
      <c r="AB277" s="180"/>
      <c r="AC277" s="155"/>
      <c r="AD277" s="322"/>
      <c r="AE277" s="155"/>
      <c r="AF277" s="132"/>
    </row>
    <row r="278">
      <c r="A278" s="477"/>
      <c r="B278" s="437"/>
      <c r="C278" s="437"/>
      <c r="D278" s="437"/>
      <c r="E278" s="314"/>
      <c r="F278" s="314"/>
      <c r="G278" s="314"/>
      <c r="H278" s="435"/>
      <c r="I278" s="435"/>
      <c r="J278" s="435"/>
      <c r="K278" s="435"/>
      <c r="L278" s="435"/>
      <c r="M278" s="435"/>
      <c r="N278" s="435"/>
      <c r="O278" s="314"/>
      <c r="P278" s="435"/>
      <c r="Q278" s="435"/>
      <c r="R278" s="435"/>
      <c r="S278" s="435"/>
      <c r="T278" s="435"/>
      <c r="U278" s="435"/>
      <c r="V278" s="435"/>
      <c r="W278" s="435"/>
      <c r="X278" s="435"/>
      <c r="Y278" s="435"/>
      <c r="Z278" s="435"/>
      <c r="AA278" s="324"/>
      <c r="AB278" s="180"/>
      <c r="AC278" s="155"/>
      <c r="AD278" s="322"/>
      <c r="AE278" s="155"/>
      <c r="AF278" s="132"/>
    </row>
    <row r="279">
      <c r="A279" s="477"/>
      <c r="B279" s="437"/>
      <c r="C279" s="437"/>
      <c r="D279" s="437"/>
      <c r="E279" s="314"/>
      <c r="F279" s="314"/>
      <c r="G279" s="314"/>
      <c r="H279" s="435"/>
      <c r="I279" s="314"/>
      <c r="J279" s="314"/>
      <c r="K279" s="435"/>
      <c r="L279" s="435"/>
      <c r="M279" s="435"/>
      <c r="N279" s="314"/>
      <c r="O279" s="314"/>
      <c r="P279" s="435"/>
      <c r="Q279" s="435"/>
      <c r="R279" s="435"/>
      <c r="S279" s="435"/>
      <c r="T279" s="435"/>
      <c r="U279" s="435"/>
      <c r="V279" s="435"/>
      <c r="W279" s="435"/>
      <c r="X279" s="435"/>
      <c r="Y279" s="435"/>
      <c r="Z279" s="435"/>
      <c r="AA279" s="324"/>
      <c r="AB279" s="180"/>
      <c r="AC279" s="155"/>
      <c r="AD279" s="322"/>
      <c r="AE279" s="155"/>
      <c r="AF279" s="132"/>
    </row>
    <row r="280">
      <c r="A280" s="477"/>
      <c r="B280" s="437"/>
      <c r="C280" s="437"/>
      <c r="D280" s="437"/>
      <c r="E280" s="435"/>
      <c r="F280" s="314"/>
      <c r="G280" s="314"/>
      <c r="H280" s="435"/>
      <c r="I280" s="435"/>
      <c r="J280" s="435"/>
      <c r="K280" s="435"/>
      <c r="L280" s="435"/>
      <c r="M280" s="435"/>
      <c r="N280" s="435"/>
      <c r="O280" s="314"/>
      <c r="P280" s="435"/>
      <c r="Q280" s="435"/>
      <c r="R280" s="435"/>
      <c r="S280" s="435"/>
      <c r="T280" s="435"/>
      <c r="U280" s="435"/>
      <c r="V280" s="435"/>
      <c r="W280" s="435"/>
      <c r="X280" s="435"/>
      <c r="Y280" s="435"/>
      <c r="Z280" s="435"/>
      <c r="AA280" s="324"/>
      <c r="AB280" s="180"/>
      <c r="AC280" s="155"/>
      <c r="AD280" s="322"/>
      <c r="AE280" s="155"/>
      <c r="AF280" s="132"/>
    </row>
    <row r="281">
      <c r="A281" s="474"/>
      <c r="B281" s="313"/>
      <c r="C281" s="437"/>
      <c r="D281" s="313"/>
      <c r="E281" s="435"/>
      <c r="F281" s="314"/>
      <c r="G281" s="314"/>
      <c r="H281" s="435"/>
      <c r="I281" s="314"/>
      <c r="J281" s="435"/>
      <c r="K281" s="435"/>
      <c r="L281" s="314"/>
      <c r="M281" s="435"/>
      <c r="N281" s="314"/>
      <c r="O281" s="314"/>
      <c r="P281" s="435"/>
      <c r="Q281" s="435"/>
      <c r="R281" s="435"/>
      <c r="S281" s="435"/>
      <c r="T281" s="435"/>
      <c r="U281" s="435"/>
      <c r="V281" s="435"/>
      <c r="W281" s="435"/>
      <c r="X281" s="435"/>
      <c r="Y281" s="435"/>
      <c r="Z281" s="435"/>
      <c r="AA281" s="324"/>
      <c r="AB281" s="180"/>
      <c r="AC281" s="155"/>
      <c r="AD281" s="322"/>
      <c r="AE281" s="155"/>
      <c r="AF281" s="132"/>
    </row>
    <row r="282">
      <c r="A282" s="478"/>
      <c r="B282" s="437"/>
      <c r="C282" s="437"/>
      <c r="D282" s="437"/>
      <c r="E282" s="435"/>
      <c r="F282" s="314"/>
      <c r="G282" s="314"/>
      <c r="H282" s="435"/>
      <c r="I282" s="435"/>
      <c r="J282" s="435"/>
      <c r="K282" s="435"/>
      <c r="L282" s="435"/>
      <c r="M282" s="435"/>
      <c r="N282" s="435"/>
      <c r="O282" s="314"/>
      <c r="P282" s="435"/>
      <c r="Q282" s="435"/>
      <c r="R282" s="435"/>
      <c r="S282" s="435"/>
      <c r="T282" s="435"/>
      <c r="U282" s="435"/>
      <c r="V282" s="435"/>
      <c r="W282" s="435"/>
      <c r="X282" s="435"/>
      <c r="Y282" s="435"/>
      <c r="Z282" s="435"/>
      <c r="AA282" s="324"/>
      <c r="AB282" s="180"/>
      <c r="AC282" s="155"/>
      <c r="AD282" s="322"/>
      <c r="AE282" s="155"/>
      <c r="AF282" s="132"/>
    </row>
    <row r="283">
      <c r="A283" s="478"/>
      <c r="B283" s="437"/>
      <c r="C283" s="437"/>
      <c r="D283" s="437"/>
      <c r="E283" s="435"/>
      <c r="F283" s="314"/>
      <c r="G283" s="314"/>
      <c r="H283" s="435"/>
      <c r="I283" s="435"/>
      <c r="J283" s="435"/>
      <c r="K283" s="435"/>
      <c r="L283" s="435"/>
      <c r="M283" s="435"/>
      <c r="N283" s="435"/>
      <c r="O283" s="314"/>
      <c r="P283" s="435"/>
      <c r="Q283" s="435"/>
      <c r="R283" s="435"/>
      <c r="S283" s="435"/>
      <c r="T283" s="435"/>
      <c r="U283" s="435"/>
      <c r="V283" s="435"/>
      <c r="W283" s="435"/>
      <c r="X283" s="435"/>
      <c r="Y283" s="435"/>
      <c r="Z283" s="435"/>
      <c r="AA283" s="324"/>
      <c r="AB283" s="180"/>
      <c r="AC283" s="155"/>
      <c r="AD283" s="322"/>
      <c r="AE283" s="155"/>
      <c r="AF283" s="132"/>
    </row>
    <row r="284">
      <c r="A284" s="478"/>
      <c r="B284" s="437"/>
      <c r="C284" s="437"/>
      <c r="D284" s="313"/>
      <c r="E284" s="314"/>
      <c r="F284" s="314"/>
      <c r="G284" s="314"/>
      <c r="H284" s="435"/>
      <c r="I284" s="435"/>
      <c r="J284" s="314"/>
      <c r="K284" s="435"/>
      <c r="L284" s="314"/>
      <c r="M284" s="435"/>
      <c r="N284" s="314"/>
      <c r="O284" s="314"/>
      <c r="P284" s="314"/>
      <c r="Q284" s="314"/>
      <c r="R284" s="314"/>
      <c r="S284" s="435"/>
      <c r="T284" s="435"/>
      <c r="U284" s="435"/>
      <c r="V284" s="435"/>
      <c r="W284" s="435"/>
      <c r="X284" s="435"/>
      <c r="Y284" s="435"/>
      <c r="Z284" s="435"/>
      <c r="AA284" s="324"/>
      <c r="AB284" s="180"/>
      <c r="AC284" s="155"/>
      <c r="AD284" s="322"/>
      <c r="AE284" s="155"/>
      <c r="AF284" s="132"/>
    </row>
    <row r="285">
      <c r="A285" s="477"/>
      <c r="B285" s="313"/>
      <c r="C285" s="437"/>
      <c r="D285" s="437"/>
      <c r="E285" s="435"/>
      <c r="F285" s="314"/>
      <c r="G285" s="314"/>
      <c r="H285" s="435"/>
      <c r="I285" s="435"/>
      <c r="J285" s="435"/>
      <c r="K285" s="435"/>
      <c r="L285" s="435"/>
      <c r="M285" s="435"/>
      <c r="N285" s="435"/>
      <c r="O285" s="314"/>
      <c r="P285" s="435"/>
      <c r="Q285" s="435"/>
      <c r="R285" s="435"/>
      <c r="S285" s="435"/>
      <c r="T285" s="435"/>
      <c r="U285" s="435"/>
      <c r="V285" s="435"/>
      <c r="W285" s="435"/>
      <c r="X285" s="435"/>
      <c r="Y285" s="435"/>
      <c r="Z285" s="435"/>
      <c r="AA285" s="324"/>
      <c r="AB285" s="180"/>
      <c r="AC285" s="155"/>
      <c r="AD285" s="322"/>
      <c r="AE285" s="155"/>
      <c r="AF285" s="132"/>
    </row>
    <row r="286">
      <c r="A286" s="477"/>
      <c r="B286" s="313"/>
      <c r="C286" s="313"/>
      <c r="D286" s="313"/>
      <c r="E286" s="314"/>
      <c r="F286" s="314"/>
      <c r="G286" s="314"/>
      <c r="H286" s="435"/>
      <c r="I286" s="314"/>
      <c r="J286" s="314"/>
      <c r="K286" s="314"/>
      <c r="L286" s="314"/>
      <c r="M286" s="314"/>
      <c r="N286" s="435"/>
      <c r="O286" s="314"/>
      <c r="P286" s="314"/>
      <c r="Q286" s="435"/>
      <c r="R286" s="314"/>
      <c r="S286" s="314"/>
      <c r="T286" s="314"/>
      <c r="U286" s="314"/>
      <c r="V286" s="314"/>
      <c r="W286" s="314"/>
      <c r="X286" s="314"/>
      <c r="Y286" s="314"/>
      <c r="Z286" s="314"/>
      <c r="AA286" s="324"/>
      <c r="AB286" s="180"/>
      <c r="AC286" s="155"/>
      <c r="AD286" s="322"/>
      <c r="AE286" s="155"/>
      <c r="AF286" s="132"/>
    </row>
    <row r="287">
      <c r="A287" s="477"/>
      <c r="B287" s="313"/>
      <c r="C287" s="313"/>
      <c r="D287" s="313"/>
      <c r="E287" s="314"/>
      <c r="F287" s="314"/>
      <c r="G287" s="314"/>
      <c r="H287" s="314"/>
      <c r="I287" s="314"/>
      <c r="J287" s="314"/>
      <c r="K287" s="314"/>
      <c r="L287" s="314"/>
      <c r="M287" s="314"/>
      <c r="N287" s="314"/>
      <c r="O287" s="314"/>
      <c r="P287" s="314"/>
      <c r="Q287" s="314"/>
      <c r="R287" s="314"/>
      <c r="S287" s="314"/>
      <c r="T287" s="314"/>
      <c r="U287" s="314"/>
      <c r="V287" s="314"/>
      <c r="W287" s="314"/>
      <c r="X287" s="314"/>
      <c r="Y287" s="314"/>
      <c r="Z287" s="314"/>
      <c r="AA287" s="324"/>
      <c r="AB287" s="180"/>
      <c r="AC287" s="155"/>
      <c r="AD287" s="322"/>
      <c r="AE287" s="155"/>
      <c r="AF287" s="132"/>
    </row>
    <row r="288">
      <c r="A288" s="476"/>
      <c r="AC288" s="176"/>
      <c r="AD288" s="322"/>
      <c r="AE288" s="155"/>
      <c r="AF288" s="132"/>
    </row>
    <row r="289">
      <c r="A289" s="178"/>
      <c r="AD289" s="322"/>
      <c r="AE289" s="155"/>
      <c r="AF289" s="132"/>
    </row>
    <row r="290">
      <c r="A290" s="477"/>
      <c r="B290" s="437"/>
      <c r="C290" s="437"/>
      <c r="D290" s="437"/>
      <c r="E290" s="314"/>
      <c r="F290" s="314"/>
      <c r="G290" s="314"/>
      <c r="H290" s="314"/>
      <c r="I290" s="314"/>
      <c r="J290" s="314"/>
      <c r="K290" s="435"/>
      <c r="L290" s="435"/>
      <c r="M290" s="314"/>
      <c r="N290" s="314"/>
      <c r="O290" s="314"/>
      <c r="P290" s="314"/>
      <c r="Q290" s="435"/>
      <c r="R290" s="435"/>
      <c r="S290" s="435"/>
      <c r="T290" s="435"/>
      <c r="U290" s="435"/>
      <c r="V290" s="435"/>
      <c r="W290" s="435"/>
      <c r="X290" s="435"/>
      <c r="Y290" s="435"/>
      <c r="Z290" s="435"/>
      <c r="AA290" s="324"/>
      <c r="AB290" s="180"/>
      <c r="AC290" s="155"/>
      <c r="AD290" s="322"/>
      <c r="AE290" s="155"/>
      <c r="AF290" s="132"/>
    </row>
    <row r="291">
      <c r="A291" s="477"/>
      <c r="B291" s="313"/>
      <c r="C291" s="437"/>
      <c r="D291" s="437"/>
      <c r="E291" s="314"/>
      <c r="F291" s="314"/>
      <c r="G291" s="314"/>
      <c r="H291" s="314"/>
      <c r="I291" s="435"/>
      <c r="J291" s="435"/>
      <c r="K291" s="435"/>
      <c r="L291" s="314"/>
      <c r="M291" s="435"/>
      <c r="N291" s="314"/>
      <c r="O291" s="314"/>
      <c r="P291" s="314"/>
      <c r="Q291" s="435"/>
      <c r="R291" s="435"/>
      <c r="S291" s="435"/>
      <c r="T291" s="435"/>
      <c r="U291" s="435"/>
      <c r="V291" s="435"/>
      <c r="W291" s="435"/>
      <c r="X291" s="435"/>
      <c r="Y291" s="435"/>
      <c r="Z291" s="435"/>
      <c r="AA291" s="324"/>
      <c r="AB291" s="180"/>
      <c r="AC291" s="155"/>
      <c r="AD291" s="322"/>
      <c r="AE291" s="155"/>
      <c r="AF291" s="132"/>
    </row>
    <row r="292">
      <c r="A292" s="477"/>
      <c r="B292" s="313"/>
      <c r="C292" s="437"/>
      <c r="D292" s="437"/>
      <c r="E292" s="435"/>
      <c r="F292" s="314"/>
      <c r="G292" s="314"/>
      <c r="H292" s="435"/>
      <c r="I292" s="314"/>
      <c r="J292" s="314"/>
      <c r="K292" s="435"/>
      <c r="L292" s="314"/>
      <c r="M292" s="435"/>
      <c r="N292" s="435"/>
      <c r="O292" s="314"/>
      <c r="P292" s="435"/>
      <c r="Q292" s="435"/>
      <c r="R292" s="435"/>
      <c r="S292" s="435"/>
      <c r="T292" s="435"/>
      <c r="U292" s="435"/>
      <c r="V292" s="435"/>
      <c r="W292" s="435"/>
      <c r="X292" s="435"/>
      <c r="Y292" s="435"/>
      <c r="Z292" s="435"/>
      <c r="AA292" s="324"/>
      <c r="AB292" s="180"/>
      <c r="AC292" s="155"/>
      <c r="AD292" s="322"/>
      <c r="AE292" s="155"/>
      <c r="AF292" s="132"/>
    </row>
    <row r="293">
      <c r="A293" s="479"/>
      <c r="B293" s="313"/>
      <c r="C293" s="313"/>
      <c r="D293" s="313"/>
      <c r="E293" s="314"/>
      <c r="F293" s="314"/>
      <c r="G293" s="314"/>
      <c r="H293" s="314"/>
      <c r="I293" s="314"/>
      <c r="J293" s="314"/>
      <c r="K293" s="314"/>
      <c r="L293" s="314"/>
      <c r="M293" s="314"/>
      <c r="N293" s="314"/>
      <c r="O293" s="314"/>
      <c r="P293" s="314"/>
      <c r="Q293" s="435"/>
      <c r="R293" s="314"/>
      <c r="S293" s="314"/>
      <c r="T293" s="314"/>
      <c r="U293" s="314"/>
      <c r="V293" s="314"/>
      <c r="W293" s="314"/>
      <c r="X293" s="314"/>
      <c r="Y293" s="314"/>
      <c r="Z293" s="314"/>
      <c r="AA293" s="324"/>
      <c r="AB293" s="180"/>
      <c r="AC293" s="155"/>
      <c r="AD293" s="322"/>
      <c r="AE293" s="155"/>
      <c r="AF293" s="132"/>
    </row>
    <row r="294">
      <c r="A294" s="476"/>
      <c r="AC294" s="176"/>
      <c r="AD294" s="322"/>
      <c r="AE294" s="155"/>
      <c r="AF294" s="132"/>
    </row>
    <row r="295">
      <c r="A295" s="178"/>
      <c r="AD295" s="322"/>
      <c r="AE295" s="155"/>
      <c r="AF295" s="132"/>
    </row>
    <row r="296">
      <c r="A296" s="480"/>
      <c r="B296" s="313"/>
      <c r="C296" s="437"/>
      <c r="D296" s="313"/>
      <c r="E296" s="314"/>
      <c r="F296" s="314"/>
      <c r="G296" s="314"/>
      <c r="H296" s="314"/>
      <c r="I296" s="314"/>
      <c r="J296" s="435"/>
      <c r="K296" s="435"/>
      <c r="L296" s="314"/>
      <c r="M296" s="314"/>
      <c r="N296" s="314"/>
      <c r="O296" s="314"/>
      <c r="P296" s="314"/>
      <c r="Q296" s="435"/>
      <c r="R296" s="314"/>
      <c r="S296" s="314"/>
      <c r="T296" s="314"/>
      <c r="U296" s="314"/>
      <c r="V296" s="314"/>
      <c r="W296" s="314"/>
      <c r="X296" s="314"/>
      <c r="Y296" s="314"/>
      <c r="Z296" s="314"/>
      <c r="AA296" s="324"/>
      <c r="AB296" s="180"/>
      <c r="AC296" s="180"/>
      <c r="AD296" s="322"/>
      <c r="AE296" s="155"/>
      <c r="AF296" s="132"/>
    </row>
    <row r="297">
      <c r="A297" s="480"/>
      <c r="B297" s="313"/>
      <c r="C297" s="437"/>
      <c r="D297" s="313"/>
      <c r="E297" s="314"/>
      <c r="F297" s="314"/>
      <c r="G297" s="314"/>
      <c r="H297" s="435"/>
      <c r="I297" s="314"/>
      <c r="J297" s="435"/>
      <c r="K297" s="435"/>
      <c r="L297" s="314"/>
      <c r="M297" s="435"/>
      <c r="N297" s="435"/>
      <c r="O297" s="314"/>
      <c r="P297" s="435"/>
      <c r="Q297" s="435"/>
      <c r="R297" s="314"/>
      <c r="S297" s="435"/>
      <c r="T297" s="435"/>
      <c r="U297" s="435"/>
      <c r="V297" s="435"/>
      <c r="W297" s="435"/>
      <c r="X297" s="435"/>
      <c r="Y297" s="435"/>
      <c r="Z297" s="435"/>
      <c r="AA297" s="324"/>
      <c r="AB297" s="180"/>
      <c r="AC297" s="180"/>
      <c r="AD297" s="322"/>
      <c r="AE297" s="155"/>
      <c r="AF297" s="132"/>
    </row>
    <row r="298">
      <c r="A298" s="476"/>
      <c r="AC298" s="176"/>
      <c r="AD298" s="322"/>
      <c r="AE298" s="155"/>
      <c r="AF298" s="132"/>
    </row>
    <row r="299">
      <c r="A299" s="178"/>
      <c r="AD299" s="322"/>
      <c r="AE299" s="155"/>
      <c r="AF299" s="132"/>
    </row>
    <row r="300">
      <c r="A300" s="481"/>
      <c r="B300" s="313"/>
      <c r="C300" s="437"/>
      <c r="D300" s="437"/>
      <c r="E300" s="435"/>
      <c r="F300" s="314"/>
      <c r="G300" s="435"/>
      <c r="H300" s="435"/>
      <c r="I300" s="435"/>
      <c r="J300" s="314"/>
      <c r="K300" s="435"/>
      <c r="L300" s="435"/>
      <c r="M300" s="435"/>
      <c r="N300" s="314"/>
      <c r="O300" s="314"/>
      <c r="P300" s="435"/>
      <c r="Q300" s="435"/>
      <c r="R300" s="435"/>
      <c r="S300" s="435"/>
      <c r="T300" s="435"/>
      <c r="U300" s="435"/>
      <c r="V300" s="435"/>
      <c r="W300" s="435"/>
      <c r="X300" s="435"/>
      <c r="Y300" s="435"/>
      <c r="Z300" s="435"/>
      <c r="AA300" s="324"/>
      <c r="AB300" s="180"/>
      <c r="AC300" s="155"/>
      <c r="AD300" s="322"/>
      <c r="AE300" s="155"/>
      <c r="AF300" s="132"/>
    </row>
    <row r="301">
      <c r="A301" s="435"/>
      <c r="B301" s="313"/>
      <c r="C301" s="437"/>
      <c r="D301" s="437"/>
      <c r="E301" s="314"/>
      <c r="F301" s="314"/>
      <c r="G301" s="314"/>
      <c r="H301" s="435"/>
      <c r="I301" s="314"/>
      <c r="J301" s="435"/>
      <c r="K301" s="435"/>
      <c r="L301" s="314"/>
      <c r="M301" s="314"/>
      <c r="N301" s="314"/>
      <c r="O301" s="314"/>
      <c r="P301" s="435"/>
      <c r="Q301" s="435"/>
      <c r="R301" s="435"/>
      <c r="S301" s="435"/>
      <c r="T301" s="435"/>
      <c r="U301" s="435"/>
      <c r="V301" s="435"/>
      <c r="W301" s="435"/>
      <c r="X301" s="435"/>
      <c r="Y301" s="435"/>
      <c r="Z301" s="435"/>
      <c r="AA301" s="324"/>
      <c r="AB301" s="180"/>
      <c r="AC301" s="155"/>
      <c r="AD301" s="322"/>
      <c r="AE301" s="155"/>
      <c r="AF301" s="132"/>
    </row>
    <row r="302">
      <c r="A302" s="482"/>
      <c r="B302" s="313"/>
      <c r="C302" s="313"/>
      <c r="D302" s="437"/>
      <c r="E302" s="314"/>
      <c r="F302" s="314"/>
      <c r="G302" s="314"/>
      <c r="H302" s="314"/>
      <c r="I302" s="314"/>
      <c r="J302" s="314"/>
      <c r="K302" s="435"/>
      <c r="L302" s="314"/>
      <c r="M302" s="314"/>
      <c r="N302" s="314"/>
      <c r="O302" s="314"/>
      <c r="P302" s="314"/>
      <c r="Q302" s="314"/>
      <c r="R302" s="435"/>
      <c r="S302" s="314"/>
      <c r="T302" s="314"/>
      <c r="U302" s="314"/>
      <c r="V302" s="314"/>
      <c r="W302" s="314"/>
      <c r="X302" s="314"/>
      <c r="Y302" s="314"/>
      <c r="Z302" s="314"/>
      <c r="AA302" s="324"/>
      <c r="AB302" s="180"/>
      <c r="AC302" s="155"/>
      <c r="AD302" s="322"/>
      <c r="AE302" s="155"/>
      <c r="AF302" s="132"/>
    </row>
    <row r="303">
      <c r="A303" s="482"/>
      <c r="B303" s="313"/>
      <c r="C303" s="437"/>
      <c r="D303" s="437"/>
      <c r="E303" s="435"/>
      <c r="F303" s="314"/>
      <c r="G303" s="314"/>
      <c r="H303" s="435"/>
      <c r="I303" s="435"/>
      <c r="J303" s="435"/>
      <c r="K303" s="435"/>
      <c r="L303" s="435"/>
      <c r="M303" s="435"/>
      <c r="N303" s="435"/>
      <c r="O303" s="314"/>
      <c r="P303" s="435"/>
      <c r="Q303" s="435"/>
      <c r="R303" s="435"/>
      <c r="S303" s="435"/>
      <c r="T303" s="435"/>
      <c r="U303" s="435"/>
      <c r="V303" s="435"/>
      <c r="W303" s="435"/>
      <c r="X303" s="435"/>
      <c r="Y303" s="435"/>
      <c r="Z303" s="435"/>
      <c r="AA303" s="324"/>
      <c r="AB303" s="180"/>
      <c r="AC303" s="155"/>
      <c r="AD303" s="322"/>
      <c r="AE303" s="155"/>
      <c r="AF303" s="132"/>
    </row>
    <row r="304">
      <c r="A304" s="314"/>
      <c r="B304" s="313"/>
      <c r="C304" s="313"/>
      <c r="D304" s="313"/>
      <c r="E304" s="314"/>
      <c r="F304" s="314"/>
      <c r="G304" s="314"/>
      <c r="H304" s="314"/>
      <c r="I304" s="314"/>
      <c r="J304" s="314"/>
      <c r="K304" s="314"/>
      <c r="L304" s="314"/>
      <c r="M304" s="314"/>
      <c r="N304" s="314"/>
      <c r="O304" s="314"/>
      <c r="P304" s="314"/>
      <c r="Q304" s="314"/>
      <c r="R304" s="314"/>
      <c r="S304" s="314"/>
      <c r="T304" s="314"/>
      <c r="U304" s="314"/>
      <c r="V304" s="314"/>
      <c r="W304" s="314"/>
      <c r="X304" s="314"/>
      <c r="Y304" s="314"/>
      <c r="Z304" s="314"/>
      <c r="AA304" s="483"/>
      <c r="AC304" s="484"/>
      <c r="AD304" s="322"/>
      <c r="AE304" s="155"/>
      <c r="AF304" s="132"/>
    </row>
    <row r="305">
      <c r="A305" s="314"/>
      <c r="B305" s="313"/>
      <c r="C305" s="313"/>
      <c r="D305" s="313"/>
      <c r="E305" s="314"/>
      <c r="F305" s="314"/>
      <c r="G305" s="314"/>
      <c r="H305" s="314"/>
      <c r="I305" s="314"/>
      <c r="J305" s="314"/>
      <c r="K305" s="314"/>
      <c r="L305" s="314"/>
      <c r="M305" s="314"/>
      <c r="N305" s="314"/>
      <c r="O305" s="314"/>
      <c r="P305" s="314"/>
      <c r="Q305" s="314"/>
      <c r="R305" s="314"/>
      <c r="S305" s="314"/>
      <c r="T305" s="314"/>
      <c r="U305" s="314"/>
      <c r="V305" s="314"/>
      <c r="W305" s="314"/>
      <c r="X305" s="314"/>
      <c r="Y305" s="314"/>
      <c r="Z305" s="314"/>
      <c r="AA305" s="324"/>
      <c r="AB305" s="155"/>
      <c r="AC305" s="155"/>
      <c r="AD305" s="322"/>
      <c r="AE305" s="155"/>
      <c r="AF305" s="132"/>
    </row>
    <row r="306">
      <c r="A306" s="314"/>
      <c r="B306" s="313"/>
      <c r="C306" s="313"/>
      <c r="D306" s="313"/>
      <c r="E306" s="314"/>
      <c r="F306" s="314"/>
      <c r="G306" s="314"/>
      <c r="H306" s="314"/>
      <c r="I306" s="314"/>
      <c r="J306" s="314"/>
      <c r="K306" s="314"/>
      <c r="L306" s="314"/>
      <c r="M306" s="314"/>
      <c r="N306" s="314"/>
      <c r="O306" s="314"/>
      <c r="P306" s="314"/>
      <c r="Q306" s="314"/>
      <c r="R306" s="314"/>
      <c r="S306" s="314"/>
      <c r="T306" s="314"/>
      <c r="U306" s="314"/>
      <c r="V306" s="314"/>
      <c r="W306" s="314"/>
      <c r="X306" s="314"/>
      <c r="Y306" s="314"/>
      <c r="Z306" s="314"/>
      <c r="AA306" s="324"/>
      <c r="AB306" s="155"/>
      <c r="AC306" s="155"/>
      <c r="AD306" s="322"/>
      <c r="AE306" s="155"/>
      <c r="AF306" s="132"/>
    </row>
    <row r="307">
      <c r="A307" s="314"/>
      <c r="B307" s="313"/>
      <c r="C307" s="313"/>
      <c r="D307" s="313"/>
      <c r="E307" s="314"/>
      <c r="F307" s="314"/>
      <c r="G307" s="314"/>
      <c r="H307" s="314"/>
      <c r="I307" s="314"/>
      <c r="J307" s="314"/>
      <c r="K307" s="314"/>
      <c r="L307" s="314"/>
      <c r="M307" s="314"/>
      <c r="N307" s="314"/>
      <c r="O307" s="314"/>
      <c r="P307" s="314"/>
      <c r="Q307" s="314"/>
      <c r="R307" s="314"/>
      <c r="S307" s="314"/>
      <c r="T307" s="314"/>
      <c r="U307" s="314"/>
      <c r="V307" s="314"/>
      <c r="W307" s="314"/>
      <c r="X307" s="314"/>
      <c r="Y307" s="314"/>
      <c r="Z307" s="314"/>
      <c r="AA307" s="324"/>
      <c r="AB307" s="155"/>
      <c r="AC307" s="155"/>
      <c r="AD307" s="322"/>
      <c r="AE307" s="155"/>
      <c r="AF307" s="132"/>
    </row>
    <row r="308">
      <c r="A308" s="314"/>
      <c r="B308" s="313"/>
      <c r="C308" s="313"/>
      <c r="D308" s="313"/>
      <c r="E308" s="314"/>
      <c r="F308" s="314"/>
      <c r="G308" s="314"/>
      <c r="H308" s="314"/>
      <c r="I308" s="314"/>
      <c r="J308" s="314"/>
      <c r="K308" s="314"/>
      <c r="L308" s="314"/>
      <c r="M308" s="314"/>
      <c r="N308" s="314"/>
      <c r="O308" s="314"/>
      <c r="P308" s="314"/>
      <c r="Q308" s="314"/>
      <c r="R308" s="314"/>
      <c r="S308" s="314"/>
      <c r="T308" s="314"/>
      <c r="U308" s="314"/>
      <c r="V308" s="314"/>
      <c r="W308" s="314"/>
      <c r="X308" s="314"/>
      <c r="Y308" s="314"/>
      <c r="Z308" s="314"/>
      <c r="AA308" s="324"/>
      <c r="AB308" s="155"/>
      <c r="AC308" s="155"/>
      <c r="AD308" s="322"/>
      <c r="AE308" s="155"/>
      <c r="AF308" s="132"/>
    </row>
    <row r="309">
      <c r="A309" s="314"/>
      <c r="B309" s="313"/>
      <c r="C309" s="313"/>
      <c r="D309" s="313"/>
      <c r="E309" s="314"/>
      <c r="F309" s="314"/>
      <c r="G309" s="314"/>
      <c r="H309" s="314"/>
      <c r="I309" s="314"/>
      <c r="J309" s="314"/>
      <c r="K309" s="314"/>
      <c r="L309" s="314"/>
      <c r="M309" s="314"/>
      <c r="N309" s="314"/>
      <c r="O309" s="314"/>
      <c r="P309" s="314"/>
      <c r="Q309" s="314"/>
      <c r="R309" s="314"/>
      <c r="S309" s="314"/>
      <c r="T309" s="314"/>
      <c r="U309" s="314"/>
      <c r="V309" s="314"/>
      <c r="W309" s="314"/>
      <c r="X309" s="314"/>
      <c r="Y309" s="314"/>
      <c r="Z309" s="314"/>
      <c r="AA309" s="324"/>
      <c r="AB309" s="155"/>
      <c r="AC309" s="155"/>
      <c r="AD309" s="322"/>
      <c r="AE309" s="155"/>
      <c r="AF309" s="132"/>
    </row>
    <row r="310">
      <c r="A310" s="314"/>
      <c r="B310" s="313"/>
      <c r="C310" s="313"/>
      <c r="D310" s="313"/>
      <c r="E310" s="314"/>
      <c r="F310" s="314"/>
      <c r="G310" s="314"/>
      <c r="H310" s="314"/>
      <c r="I310" s="314"/>
      <c r="J310" s="314"/>
      <c r="K310" s="314"/>
      <c r="L310" s="314"/>
      <c r="M310" s="314"/>
      <c r="N310" s="314"/>
      <c r="O310" s="314"/>
      <c r="P310" s="314"/>
      <c r="Q310" s="314"/>
      <c r="R310" s="314"/>
      <c r="S310" s="314"/>
      <c r="T310" s="314"/>
      <c r="U310" s="314"/>
      <c r="V310" s="314"/>
      <c r="W310" s="314"/>
      <c r="X310" s="314"/>
      <c r="Y310" s="314"/>
      <c r="Z310" s="314"/>
      <c r="AA310" s="324"/>
      <c r="AB310" s="155"/>
      <c r="AC310" s="155"/>
      <c r="AD310" s="322"/>
      <c r="AE310" s="155"/>
      <c r="AF310" s="132"/>
    </row>
    <row r="311">
      <c r="A311" s="314"/>
      <c r="B311" s="313"/>
      <c r="C311" s="313"/>
      <c r="D311" s="313"/>
      <c r="E311" s="314"/>
      <c r="F311" s="314"/>
      <c r="G311" s="314"/>
      <c r="H311" s="314"/>
      <c r="I311" s="314"/>
      <c r="J311" s="314"/>
      <c r="K311" s="314"/>
      <c r="L311" s="314"/>
      <c r="M311" s="314"/>
      <c r="N311" s="314"/>
      <c r="O311" s="314"/>
      <c r="P311" s="314"/>
      <c r="Q311" s="314"/>
      <c r="R311" s="314"/>
      <c r="S311" s="314"/>
      <c r="T311" s="314"/>
      <c r="U311" s="314"/>
      <c r="V311" s="314"/>
      <c r="W311" s="314"/>
      <c r="X311" s="314"/>
      <c r="Y311" s="314"/>
      <c r="Z311" s="314"/>
      <c r="AA311" s="324"/>
      <c r="AB311" s="155"/>
      <c r="AC311" s="155"/>
      <c r="AD311" s="322"/>
      <c r="AE311" s="155"/>
      <c r="AF311" s="132"/>
    </row>
    <row r="312">
      <c r="A312" s="314"/>
      <c r="B312" s="313"/>
      <c r="C312" s="313"/>
      <c r="D312" s="313"/>
      <c r="E312" s="314"/>
      <c r="F312" s="314"/>
      <c r="G312" s="314"/>
      <c r="H312" s="314"/>
      <c r="I312" s="314"/>
      <c r="J312" s="314"/>
      <c r="K312" s="314"/>
      <c r="L312" s="314"/>
      <c r="M312" s="314"/>
      <c r="N312" s="314"/>
      <c r="O312" s="314"/>
      <c r="P312" s="314"/>
      <c r="Q312" s="314"/>
      <c r="R312" s="314"/>
      <c r="S312" s="314"/>
      <c r="T312" s="314"/>
      <c r="U312" s="314"/>
      <c r="V312" s="314"/>
      <c r="W312" s="314"/>
      <c r="X312" s="314"/>
      <c r="Y312" s="314"/>
      <c r="Z312" s="314"/>
      <c r="AA312" s="324"/>
      <c r="AB312" s="155"/>
      <c r="AC312" s="155"/>
      <c r="AD312" s="322"/>
      <c r="AE312" s="155"/>
      <c r="AF312" s="132"/>
    </row>
    <row r="313">
      <c r="A313" s="314"/>
      <c r="B313" s="313"/>
      <c r="C313" s="313"/>
      <c r="D313" s="313"/>
      <c r="E313" s="314"/>
      <c r="F313" s="314"/>
      <c r="G313" s="314"/>
      <c r="H313" s="314"/>
      <c r="I313" s="314"/>
      <c r="J313" s="314"/>
      <c r="K313" s="314"/>
      <c r="L313" s="314"/>
      <c r="M313" s="314"/>
      <c r="N313" s="314"/>
      <c r="O313" s="314"/>
      <c r="P313" s="314"/>
      <c r="Q313" s="314"/>
      <c r="R313" s="314"/>
      <c r="S313" s="314"/>
      <c r="T313" s="314"/>
      <c r="U313" s="314"/>
      <c r="V313" s="314"/>
      <c r="W313" s="314"/>
      <c r="X313" s="314"/>
      <c r="Y313" s="314"/>
      <c r="Z313" s="314"/>
      <c r="AA313" s="324"/>
      <c r="AB313" s="155"/>
      <c r="AC313" s="155"/>
      <c r="AD313" s="322"/>
      <c r="AE313" s="155"/>
      <c r="AF313" s="132"/>
    </row>
    <row r="314">
      <c r="A314" s="314"/>
      <c r="B314" s="313"/>
      <c r="C314" s="313"/>
      <c r="D314" s="313"/>
      <c r="E314" s="314"/>
      <c r="F314" s="314"/>
      <c r="G314" s="314"/>
      <c r="H314" s="314"/>
      <c r="I314" s="314"/>
      <c r="J314" s="314"/>
      <c r="K314" s="314"/>
      <c r="L314" s="314"/>
      <c r="M314" s="314"/>
      <c r="N314" s="314"/>
      <c r="O314" s="314"/>
      <c r="P314" s="314"/>
      <c r="Q314" s="314"/>
      <c r="R314" s="314"/>
      <c r="S314" s="314"/>
      <c r="T314" s="314"/>
      <c r="U314" s="314"/>
      <c r="V314" s="314"/>
      <c r="W314" s="314"/>
      <c r="X314" s="314"/>
      <c r="Y314" s="314"/>
      <c r="Z314" s="314"/>
      <c r="AA314" s="324"/>
      <c r="AB314" s="155"/>
      <c r="AC314" s="155"/>
      <c r="AD314" s="322"/>
      <c r="AE314" s="155"/>
      <c r="AF314" s="132"/>
    </row>
    <row r="315">
      <c r="A315" s="314"/>
      <c r="B315" s="313"/>
      <c r="C315" s="313"/>
      <c r="D315" s="313"/>
      <c r="E315" s="314"/>
      <c r="F315" s="314"/>
      <c r="G315" s="314"/>
      <c r="H315" s="314"/>
      <c r="I315" s="314"/>
      <c r="J315" s="314"/>
      <c r="K315" s="314"/>
      <c r="L315" s="314"/>
      <c r="M315" s="314"/>
      <c r="N315" s="314"/>
      <c r="O315" s="314"/>
      <c r="P315" s="314"/>
      <c r="Q315" s="314"/>
      <c r="R315" s="314"/>
      <c r="S315" s="314"/>
      <c r="T315" s="314"/>
      <c r="U315" s="314"/>
      <c r="V315" s="314"/>
      <c r="W315" s="314"/>
      <c r="X315" s="314"/>
      <c r="Y315" s="314"/>
      <c r="Z315" s="314"/>
      <c r="AA315" s="324"/>
      <c r="AB315" s="155"/>
      <c r="AC315" s="155"/>
      <c r="AD315" s="322"/>
      <c r="AE315" s="155"/>
      <c r="AF315" s="132"/>
    </row>
    <row r="316">
      <c r="A316" s="314"/>
      <c r="B316" s="313"/>
      <c r="C316" s="313"/>
      <c r="D316" s="313"/>
      <c r="E316" s="314"/>
      <c r="F316" s="314"/>
      <c r="G316" s="314"/>
      <c r="H316" s="314"/>
      <c r="I316" s="314"/>
      <c r="J316" s="314"/>
      <c r="K316" s="314"/>
      <c r="L316" s="314"/>
      <c r="M316" s="314"/>
      <c r="N316" s="314"/>
      <c r="O316" s="314"/>
      <c r="P316" s="314"/>
      <c r="Q316" s="314"/>
      <c r="R316" s="314"/>
      <c r="S316" s="314"/>
      <c r="T316" s="314"/>
      <c r="U316" s="314"/>
      <c r="V316" s="314"/>
      <c r="W316" s="314"/>
      <c r="X316" s="314"/>
      <c r="Y316" s="314"/>
      <c r="Z316" s="314"/>
      <c r="AA316" s="324"/>
      <c r="AB316" s="155"/>
      <c r="AC316" s="155"/>
      <c r="AD316" s="322"/>
      <c r="AE316" s="155"/>
      <c r="AF316" s="132"/>
    </row>
    <row r="317">
      <c r="A317" s="314"/>
      <c r="B317" s="313"/>
      <c r="C317" s="313"/>
      <c r="D317" s="313"/>
      <c r="E317" s="314"/>
      <c r="F317" s="314"/>
      <c r="G317" s="314"/>
      <c r="H317" s="314"/>
      <c r="I317" s="314"/>
      <c r="J317" s="314"/>
      <c r="K317" s="314"/>
      <c r="L317" s="314"/>
      <c r="M317" s="314"/>
      <c r="N317" s="314"/>
      <c r="O317" s="314"/>
      <c r="P317" s="314"/>
      <c r="Q317" s="314"/>
      <c r="R317" s="314"/>
      <c r="S317" s="314"/>
      <c r="T317" s="314"/>
      <c r="U317" s="314"/>
      <c r="V317" s="314"/>
      <c r="W317" s="314"/>
      <c r="X317" s="314"/>
      <c r="Y317" s="314"/>
      <c r="Z317" s="314"/>
      <c r="AA317" s="324"/>
      <c r="AB317" s="155"/>
      <c r="AC317" s="155"/>
      <c r="AD317" s="322"/>
      <c r="AE317" s="155"/>
      <c r="AF317" s="132"/>
    </row>
    <row r="318">
      <c r="A318" s="314"/>
      <c r="B318" s="313"/>
      <c r="C318" s="313"/>
      <c r="D318" s="313"/>
      <c r="E318" s="314"/>
      <c r="F318" s="314"/>
      <c r="G318" s="314"/>
      <c r="H318" s="314"/>
      <c r="I318" s="314"/>
      <c r="J318" s="314"/>
      <c r="K318" s="314"/>
      <c r="L318" s="314"/>
      <c r="M318" s="314"/>
      <c r="N318" s="314"/>
      <c r="O318" s="314"/>
      <c r="P318" s="314"/>
      <c r="Q318" s="314"/>
      <c r="R318" s="314"/>
      <c r="S318" s="314"/>
      <c r="T318" s="314"/>
      <c r="U318" s="314"/>
      <c r="V318" s="314"/>
      <c r="W318" s="314"/>
      <c r="X318" s="314"/>
      <c r="Y318" s="314"/>
      <c r="Z318" s="314"/>
      <c r="AA318" s="324"/>
      <c r="AB318" s="155"/>
      <c r="AC318" s="155"/>
      <c r="AD318" s="322"/>
      <c r="AE318" s="155"/>
      <c r="AF318" s="132"/>
    </row>
    <row r="319">
      <c r="A319" s="314"/>
      <c r="B319" s="313"/>
      <c r="C319" s="313"/>
      <c r="D319" s="313"/>
      <c r="E319" s="314"/>
      <c r="F319" s="314"/>
      <c r="G319" s="314"/>
      <c r="H319" s="314"/>
      <c r="I319" s="314"/>
      <c r="J319" s="314"/>
      <c r="K319" s="314"/>
      <c r="L319" s="314"/>
      <c r="M319" s="314"/>
      <c r="N319" s="314"/>
      <c r="O319" s="314"/>
      <c r="P319" s="314"/>
      <c r="Q319" s="314"/>
      <c r="R319" s="314"/>
      <c r="S319" s="314"/>
      <c r="T319" s="314"/>
      <c r="U319" s="314"/>
      <c r="V319" s="314"/>
      <c r="W319" s="314"/>
      <c r="X319" s="314"/>
      <c r="Y319" s="314"/>
      <c r="Z319" s="314"/>
      <c r="AA319" s="324"/>
      <c r="AB319" s="155"/>
      <c r="AC319" s="155"/>
      <c r="AD319" s="322"/>
      <c r="AE319" s="155"/>
      <c r="AF319" s="132"/>
    </row>
    <row r="320">
      <c r="A320" s="314"/>
      <c r="B320" s="313"/>
      <c r="C320" s="313"/>
      <c r="D320" s="313"/>
      <c r="E320" s="314"/>
      <c r="F320" s="314"/>
      <c r="G320" s="314"/>
      <c r="H320" s="314"/>
      <c r="I320" s="314"/>
      <c r="J320" s="314"/>
      <c r="K320" s="314"/>
      <c r="L320" s="314"/>
      <c r="M320" s="314"/>
      <c r="N320" s="314"/>
      <c r="O320" s="314"/>
      <c r="P320" s="314"/>
      <c r="Q320" s="314"/>
      <c r="R320" s="314"/>
      <c r="S320" s="314"/>
      <c r="T320" s="314"/>
      <c r="U320" s="314"/>
      <c r="V320" s="314"/>
      <c r="W320" s="314"/>
      <c r="X320" s="314"/>
      <c r="Y320" s="314"/>
      <c r="Z320" s="314"/>
      <c r="AA320" s="324"/>
      <c r="AB320" s="155"/>
      <c r="AC320" s="155"/>
      <c r="AD320" s="322"/>
      <c r="AE320" s="155"/>
      <c r="AF320" s="132"/>
    </row>
    <row r="321">
      <c r="A321" s="314"/>
      <c r="B321" s="313"/>
      <c r="C321" s="313"/>
      <c r="D321" s="313"/>
      <c r="E321" s="314"/>
      <c r="F321" s="314"/>
      <c r="G321" s="314"/>
      <c r="H321" s="314"/>
      <c r="I321" s="314"/>
      <c r="J321" s="314"/>
      <c r="K321" s="314"/>
      <c r="L321" s="314"/>
      <c r="M321" s="314"/>
      <c r="N321" s="314"/>
      <c r="O321" s="314"/>
      <c r="P321" s="314"/>
      <c r="Q321" s="314"/>
      <c r="R321" s="314"/>
      <c r="S321" s="314"/>
      <c r="T321" s="314"/>
      <c r="U321" s="314"/>
      <c r="V321" s="314"/>
      <c r="W321" s="314"/>
      <c r="X321" s="314"/>
      <c r="Y321" s="314"/>
      <c r="Z321" s="314"/>
      <c r="AA321" s="324"/>
      <c r="AB321" s="155"/>
      <c r="AC321" s="155"/>
      <c r="AD321" s="322"/>
      <c r="AE321" s="155"/>
      <c r="AF321" s="132"/>
    </row>
    <row r="322">
      <c r="A322" s="314"/>
      <c r="B322" s="313"/>
      <c r="C322" s="313"/>
      <c r="D322" s="313"/>
      <c r="E322" s="314"/>
      <c r="F322" s="314"/>
      <c r="G322" s="314"/>
      <c r="H322" s="314"/>
      <c r="I322" s="314"/>
      <c r="J322" s="314"/>
      <c r="K322" s="314"/>
      <c r="L322" s="314"/>
      <c r="M322" s="314"/>
      <c r="N322" s="314"/>
      <c r="O322" s="314"/>
      <c r="P322" s="314"/>
      <c r="Q322" s="314"/>
      <c r="R322" s="314"/>
      <c r="S322" s="314"/>
      <c r="T322" s="314"/>
      <c r="U322" s="314"/>
      <c r="V322" s="314"/>
      <c r="W322" s="314"/>
      <c r="X322" s="314"/>
      <c r="Y322" s="314"/>
      <c r="Z322" s="314"/>
      <c r="AA322" s="324"/>
      <c r="AB322" s="155"/>
      <c r="AC322" s="155"/>
      <c r="AD322" s="322"/>
      <c r="AE322" s="155"/>
      <c r="AF322" s="132"/>
    </row>
    <row r="323">
      <c r="A323" s="314"/>
      <c r="B323" s="313"/>
      <c r="C323" s="313"/>
      <c r="D323" s="313"/>
      <c r="E323" s="314"/>
      <c r="F323" s="314"/>
      <c r="G323" s="314"/>
      <c r="H323" s="314"/>
      <c r="I323" s="314"/>
      <c r="J323" s="314"/>
      <c r="K323" s="314"/>
      <c r="L323" s="314"/>
      <c r="M323" s="314"/>
      <c r="N323" s="314"/>
      <c r="O323" s="314"/>
      <c r="P323" s="314"/>
      <c r="Q323" s="314"/>
      <c r="R323" s="314"/>
      <c r="S323" s="314"/>
      <c r="T323" s="314"/>
      <c r="U323" s="314"/>
      <c r="V323" s="314"/>
      <c r="W323" s="314"/>
      <c r="X323" s="314"/>
      <c r="Y323" s="314"/>
      <c r="Z323" s="314"/>
      <c r="AA323" s="324"/>
      <c r="AB323" s="155"/>
      <c r="AC323" s="155"/>
      <c r="AD323" s="322"/>
      <c r="AE323" s="155"/>
      <c r="AF323" s="132"/>
    </row>
    <row r="324">
      <c r="A324" s="314"/>
      <c r="B324" s="313"/>
      <c r="C324" s="313"/>
      <c r="D324" s="313"/>
      <c r="E324" s="314"/>
      <c r="F324" s="314"/>
      <c r="G324" s="314"/>
      <c r="H324" s="314"/>
      <c r="I324" s="314"/>
      <c r="J324" s="314"/>
      <c r="K324" s="314"/>
      <c r="L324" s="314"/>
      <c r="M324" s="314"/>
      <c r="N324" s="314"/>
      <c r="O324" s="314"/>
      <c r="P324" s="314"/>
      <c r="Q324" s="314"/>
      <c r="R324" s="314"/>
      <c r="S324" s="314"/>
      <c r="T324" s="314"/>
      <c r="U324" s="314"/>
      <c r="V324" s="314"/>
      <c r="W324" s="314"/>
      <c r="X324" s="314"/>
      <c r="Y324" s="314"/>
      <c r="Z324" s="314"/>
      <c r="AA324" s="324"/>
      <c r="AB324" s="155"/>
      <c r="AC324" s="155"/>
      <c r="AD324" s="322"/>
      <c r="AE324" s="155"/>
      <c r="AF324" s="132"/>
    </row>
    <row r="325">
      <c r="A325" s="314"/>
      <c r="B325" s="313"/>
      <c r="C325" s="313"/>
      <c r="D325" s="313"/>
      <c r="E325" s="314"/>
      <c r="F325" s="314"/>
      <c r="G325" s="314"/>
      <c r="H325" s="314"/>
      <c r="I325" s="314"/>
      <c r="J325" s="314"/>
      <c r="K325" s="314"/>
      <c r="L325" s="314"/>
      <c r="M325" s="314"/>
      <c r="N325" s="314"/>
      <c r="O325" s="314"/>
      <c r="P325" s="314"/>
      <c r="Q325" s="314"/>
      <c r="R325" s="314"/>
      <c r="S325" s="314"/>
      <c r="T325" s="314"/>
      <c r="U325" s="314"/>
      <c r="V325" s="314"/>
      <c r="W325" s="314"/>
      <c r="X325" s="314"/>
      <c r="Y325" s="314"/>
      <c r="Z325" s="314"/>
      <c r="AA325" s="324"/>
      <c r="AB325" s="155"/>
      <c r="AC325" s="155"/>
      <c r="AD325" s="322"/>
      <c r="AE325" s="155"/>
      <c r="AF325" s="132"/>
    </row>
    <row r="326">
      <c r="A326" s="314"/>
      <c r="B326" s="313"/>
      <c r="C326" s="313"/>
      <c r="D326" s="313"/>
      <c r="E326" s="314"/>
      <c r="F326" s="314"/>
      <c r="G326" s="314"/>
      <c r="H326" s="314"/>
      <c r="I326" s="314"/>
      <c r="J326" s="314"/>
      <c r="K326" s="314"/>
      <c r="L326" s="314"/>
      <c r="M326" s="314"/>
      <c r="N326" s="314"/>
      <c r="O326" s="314"/>
      <c r="P326" s="314"/>
      <c r="Q326" s="314"/>
      <c r="R326" s="314"/>
      <c r="S326" s="314"/>
      <c r="T326" s="314"/>
      <c r="U326" s="314"/>
      <c r="V326" s="314"/>
      <c r="W326" s="314"/>
      <c r="X326" s="314"/>
      <c r="Y326" s="314"/>
      <c r="Z326" s="314"/>
      <c r="AA326" s="324"/>
      <c r="AB326" s="155"/>
      <c r="AC326" s="155"/>
      <c r="AD326" s="322"/>
      <c r="AE326" s="155"/>
      <c r="AF326" s="132"/>
    </row>
    <row r="327">
      <c r="A327" s="314"/>
      <c r="B327" s="313"/>
      <c r="C327" s="313"/>
      <c r="D327" s="313"/>
      <c r="E327" s="314"/>
      <c r="F327" s="314"/>
      <c r="G327" s="314"/>
      <c r="H327" s="314"/>
      <c r="I327" s="314"/>
      <c r="J327" s="314"/>
      <c r="K327" s="314"/>
      <c r="L327" s="314"/>
      <c r="M327" s="314"/>
      <c r="N327" s="314"/>
      <c r="O327" s="314"/>
      <c r="P327" s="314"/>
      <c r="Q327" s="314"/>
      <c r="R327" s="314"/>
      <c r="S327" s="314"/>
      <c r="T327" s="314"/>
      <c r="U327" s="314"/>
      <c r="V327" s="314"/>
      <c r="W327" s="314"/>
      <c r="X327" s="314"/>
      <c r="Y327" s="314"/>
      <c r="Z327" s="314"/>
      <c r="AA327" s="324"/>
      <c r="AB327" s="155"/>
      <c r="AC327" s="155"/>
      <c r="AD327" s="322"/>
      <c r="AE327" s="155"/>
      <c r="AF327" s="132"/>
    </row>
    <row r="328">
      <c r="A328" s="314"/>
      <c r="B328" s="313"/>
      <c r="C328" s="313"/>
      <c r="D328" s="313"/>
      <c r="E328" s="314"/>
      <c r="F328" s="314"/>
      <c r="G328" s="314"/>
      <c r="H328" s="314"/>
      <c r="I328" s="314"/>
      <c r="J328" s="314"/>
      <c r="K328" s="314"/>
      <c r="L328" s="314"/>
      <c r="M328" s="314"/>
      <c r="N328" s="314"/>
      <c r="O328" s="314"/>
      <c r="P328" s="314"/>
      <c r="Q328" s="314"/>
      <c r="R328" s="314"/>
      <c r="S328" s="314"/>
      <c r="T328" s="314"/>
      <c r="U328" s="314"/>
      <c r="V328" s="314"/>
      <c r="W328" s="314"/>
      <c r="X328" s="314"/>
      <c r="Y328" s="314"/>
      <c r="Z328" s="314"/>
      <c r="AA328" s="324"/>
      <c r="AB328" s="155"/>
      <c r="AC328" s="155"/>
      <c r="AD328" s="322"/>
      <c r="AE328" s="155"/>
      <c r="AF328" s="132"/>
    </row>
    <row r="329">
      <c r="A329" s="314"/>
      <c r="B329" s="313"/>
      <c r="C329" s="313"/>
      <c r="D329" s="313"/>
      <c r="E329" s="314"/>
      <c r="F329" s="314"/>
      <c r="G329" s="314"/>
      <c r="H329" s="314"/>
      <c r="I329" s="314"/>
      <c r="J329" s="314"/>
      <c r="K329" s="314"/>
      <c r="L329" s="314"/>
      <c r="M329" s="314"/>
      <c r="N329" s="314"/>
      <c r="O329" s="314"/>
      <c r="P329" s="314"/>
      <c r="Q329" s="314"/>
      <c r="R329" s="314"/>
      <c r="S329" s="314"/>
      <c r="T329" s="314"/>
      <c r="U329" s="314"/>
      <c r="V329" s="314"/>
      <c r="W329" s="314"/>
      <c r="X329" s="314"/>
      <c r="Y329" s="314"/>
      <c r="Z329" s="314"/>
      <c r="AA329" s="324"/>
      <c r="AB329" s="155"/>
      <c r="AC329" s="155"/>
      <c r="AD329" s="322"/>
      <c r="AE329" s="155"/>
      <c r="AF329" s="132"/>
    </row>
    <row r="330">
      <c r="A330" s="314"/>
      <c r="B330" s="313"/>
      <c r="C330" s="313"/>
      <c r="D330" s="313"/>
      <c r="E330" s="314"/>
      <c r="F330" s="314"/>
      <c r="G330" s="314"/>
      <c r="H330" s="314"/>
      <c r="I330" s="314"/>
      <c r="J330" s="314"/>
      <c r="K330" s="314"/>
      <c r="L330" s="314"/>
      <c r="M330" s="314"/>
      <c r="N330" s="314"/>
      <c r="O330" s="314"/>
      <c r="P330" s="314"/>
      <c r="Q330" s="314"/>
      <c r="R330" s="314"/>
      <c r="S330" s="314"/>
      <c r="T330" s="314"/>
      <c r="U330" s="314"/>
      <c r="V330" s="314"/>
      <c r="W330" s="314"/>
      <c r="X330" s="314"/>
      <c r="Y330" s="314"/>
      <c r="Z330" s="314"/>
      <c r="AA330" s="324"/>
      <c r="AB330" s="155"/>
      <c r="AC330" s="155"/>
      <c r="AD330" s="322"/>
      <c r="AE330" s="155"/>
      <c r="AF330" s="132"/>
    </row>
    <row r="331">
      <c r="A331" s="314"/>
      <c r="B331" s="313"/>
      <c r="C331" s="313"/>
      <c r="D331" s="313"/>
      <c r="E331" s="314"/>
      <c r="F331" s="314"/>
      <c r="G331" s="314"/>
      <c r="H331" s="314"/>
      <c r="I331" s="314"/>
      <c r="J331" s="314"/>
      <c r="K331" s="314"/>
      <c r="L331" s="314"/>
      <c r="M331" s="314"/>
      <c r="N331" s="314"/>
      <c r="O331" s="314"/>
      <c r="P331" s="314"/>
      <c r="Q331" s="314"/>
      <c r="R331" s="314"/>
      <c r="S331" s="314"/>
      <c r="T331" s="314"/>
      <c r="U331" s="314"/>
      <c r="V331" s="314"/>
      <c r="W331" s="314"/>
      <c r="X331" s="314"/>
      <c r="Y331" s="314"/>
      <c r="Z331" s="314"/>
      <c r="AA331" s="324"/>
      <c r="AB331" s="155"/>
      <c r="AC331" s="155"/>
      <c r="AD331" s="322"/>
      <c r="AE331" s="155"/>
      <c r="AF331" s="132"/>
    </row>
    <row r="332">
      <c r="A332" s="314"/>
      <c r="B332" s="313"/>
      <c r="C332" s="313"/>
      <c r="D332" s="313"/>
      <c r="E332" s="314"/>
      <c r="F332" s="314"/>
      <c r="G332" s="314"/>
      <c r="H332" s="314"/>
      <c r="I332" s="314"/>
      <c r="J332" s="314"/>
      <c r="K332" s="314"/>
      <c r="L332" s="314"/>
      <c r="M332" s="314"/>
      <c r="N332" s="314"/>
      <c r="O332" s="314"/>
      <c r="P332" s="314"/>
      <c r="Q332" s="314"/>
      <c r="R332" s="314"/>
      <c r="S332" s="314"/>
      <c r="T332" s="314"/>
      <c r="U332" s="314"/>
      <c r="V332" s="314"/>
      <c r="W332" s="314"/>
      <c r="X332" s="314"/>
      <c r="Y332" s="314"/>
      <c r="Z332" s="314"/>
      <c r="AA332" s="324"/>
      <c r="AB332" s="155"/>
      <c r="AC332" s="155"/>
      <c r="AD332" s="322"/>
      <c r="AE332" s="155"/>
      <c r="AF332" s="132"/>
    </row>
    <row r="333">
      <c r="A333" s="314"/>
      <c r="B333" s="313"/>
      <c r="C333" s="313"/>
      <c r="D333" s="313"/>
      <c r="E333" s="314"/>
      <c r="F333" s="314"/>
      <c r="G333" s="314"/>
      <c r="H333" s="314"/>
      <c r="I333" s="314"/>
      <c r="J333" s="314"/>
      <c r="K333" s="314"/>
      <c r="L333" s="314"/>
      <c r="M333" s="314"/>
      <c r="N333" s="314"/>
      <c r="O333" s="314"/>
      <c r="P333" s="314"/>
      <c r="Q333" s="314"/>
      <c r="R333" s="314"/>
      <c r="S333" s="314"/>
      <c r="T333" s="314"/>
      <c r="U333" s="314"/>
      <c r="V333" s="314"/>
      <c r="W333" s="314"/>
      <c r="X333" s="314"/>
      <c r="Y333" s="314"/>
      <c r="Z333" s="314"/>
      <c r="AA333" s="324"/>
      <c r="AB333" s="155"/>
      <c r="AC333" s="155"/>
      <c r="AD333" s="322"/>
      <c r="AE333" s="155"/>
      <c r="AF333" s="132"/>
    </row>
    <row r="334">
      <c r="A334" s="314"/>
      <c r="B334" s="313"/>
      <c r="C334" s="313"/>
      <c r="D334" s="313"/>
      <c r="E334" s="314"/>
      <c r="F334" s="314"/>
      <c r="G334" s="314"/>
      <c r="H334" s="314"/>
      <c r="I334" s="314"/>
      <c r="J334" s="314"/>
      <c r="K334" s="314"/>
      <c r="L334" s="314"/>
      <c r="M334" s="314"/>
      <c r="N334" s="314"/>
      <c r="O334" s="314"/>
      <c r="P334" s="314"/>
      <c r="Q334" s="314"/>
      <c r="R334" s="314"/>
      <c r="S334" s="314"/>
      <c r="T334" s="314"/>
      <c r="U334" s="314"/>
      <c r="V334" s="314"/>
      <c r="W334" s="314"/>
      <c r="X334" s="314"/>
      <c r="Y334" s="314"/>
      <c r="Z334" s="314"/>
      <c r="AA334" s="324"/>
      <c r="AB334" s="155"/>
      <c r="AC334" s="155"/>
      <c r="AD334" s="322"/>
      <c r="AE334" s="155"/>
      <c r="AF334" s="132"/>
    </row>
    <row r="335">
      <c r="A335" s="314"/>
      <c r="B335" s="313"/>
      <c r="C335" s="313"/>
      <c r="D335" s="313"/>
      <c r="E335" s="314"/>
      <c r="F335" s="314"/>
      <c r="G335" s="314"/>
      <c r="H335" s="314"/>
      <c r="I335" s="314"/>
      <c r="J335" s="314"/>
      <c r="K335" s="314"/>
      <c r="L335" s="314"/>
      <c r="M335" s="314"/>
      <c r="N335" s="314"/>
      <c r="O335" s="314"/>
      <c r="P335" s="314"/>
      <c r="Q335" s="314"/>
      <c r="R335" s="314"/>
      <c r="S335" s="314"/>
      <c r="T335" s="314"/>
      <c r="U335" s="314"/>
      <c r="V335" s="314"/>
      <c r="W335" s="314"/>
      <c r="X335" s="314"/>
      <c r="Y335" s="314"/>
      <c r="Z335" s="314"/>
      <c r="AA335" s="324"/>
      <c r="AB335" s="155"/>
      <c r="AC335" s="155"/>
      <c r="AD335" s="322"/>
      <c r="AE335" s="155"/>
      <c r="AF335" s="132"/>
    </row>
    <row r="336">
      <c r="A336" s="314"/>
      <c r="B336" s="313"/>
      <c r="C336" s="313"/>
      <c r="D336" s="313"/>
      <c r="E336" s="314"/>
      <c r="F336" s="314"/>
      <c r="G336" s="314"/>
      <c r="H336" s="314"/>
      <c r="I336" s="314"/>
      <c r="J336" s="314"/>
      <c r="K336" s="314"/>
      <c r="L336" s="314"/>
      <c r="M336" s="314"/>
      <c r="N336" s="314"/>
      <c r="O336" s="314"/>
      <c r="P336" s="314"/>
      <c r="Q336" s="314"/>
      <c r="R336" s="314"/>
      <c r="S336" s="314"/>
      <c r="T336" s="314"/>
      <c r="U336" s="314"/>
      <c r="V336" s="314"/>
      <c r="W336" s="314"/>
      <c r="X336" s="314"/>
      <c r="Y336" s="314"/>
      <c r="Z336" s="314"/>
      <c r="AA336" s="324"/>
      <c r="AB336" s="155"/>
      <c r="AC336" s="155"/>
      <c r="AD336" s="322"/>
      <c r="AE336" s="155"/>
      <c r="AF336" s="132"/>
    </row>
    <row r="337">
      <c r="A337" s="314"/>
      <c r="B337" s="313"/>
      <c r="C337" s="313"/>
      <c r="D337" s="313"/>
      <c r="E337" s="314"/>
      <c r="F337" s="314"/>
      <c r="G337" s="314"/>
      <c r="H337" s="314"/>
      <c r="I337" s="314"/>
      <c r="J337" s="314"/>
      <c r="K337" s="314"/>
      <c r="L337" s="314"/>
      <c r="M337" s="314"/>
      <c r="N337" s="314"/>
      <c r="O337" s="314"/>
      <c r="P337" s="314"/>
      <c r="Q337" s="314"/>
      <c r="R337" s="314"/>
      <c r="S337" s="314"/>
      <c r="T337" s="314"/>
      <c r="U337" s="314"/>
      <c r="V337" s="314"/>
      <c r="W337" s="314"/>
      <c r="X337" s="314"/>
      <c r="Y337" s="314"/>
      <c r="Z337" s="314"/>
      <c r="AA337" s="324"/>
      <c r="AB337" s="155"/>
      <c r="AC337" s="155"/>
      <c r="AD337" s="322"/>
      <c r="AE337" s="155"/>
      <c r="AF337" s="132"/>
    </row>
    <row r="338">
      <c r="A338" s="314"/>
      <c r="B338" s="313"/>
      <c r="C338" s="313"/>
      <c r="D338" s="313"/>
      <c r="E338" s="314"/>
      <c r="F338" s="314"/>
      <c r="G338" s="314"/>
      <c r="H338" s="314"/>
      <c r="I338" s="314"/>
      <c r="J338" s="314"/>
      <c r="K338" s="314"/>
      <c r="L338" s="314"/>
      <c r="M338" s="314"/>
      <c r="N338" s="314"/>
      <c r="O338" s="314"/>
      <c r="P338" s="314"/>
      <c r="Q338" s="314"/>
      <c r="R338" s="314"/>
      <c r="S338" s="314"/>
      <c r="T338" s="314"/>
      <c r="U338" s="314"/>
      <c r="V338" s="314"/>
      <c r="W338" s="314"/>
      <c r="X338" s="314"/>
      <c r="Y338" s="314"/>
      <c r="Z338" s="314"/>
      <c r="AA338" s="324"/>
      <c r="AB338" s="155"/>
      <c r="AC338" s="155"/>
      <c r="AD338" s="322"/>
      <c r="AE338" s="155"/>
      <c r="AF338" s="132"/>
    </row>
    <row r="339">
      <c r="A339" s="314"/>
      <c r="B339" s="313"/>
      <c r="C339" s="313"/>
      <c r="D339" s="313"/>
      <c r="E339" s="314"/>
      <c r="F339" s="314"/>
      <c r="G339" s="314"/>
      <c r="H339" s="314"/>
      <c r="I339" s="314"/>
      <c r="J339" s="314"/>
      <c r="K339" s="314"/>
      <c r="L339" s="314"/>
      <c r="M339" s="314"/>
      <c r="N339" s="314"/>
      <c r="O339" s="314"/>
      <c r="P339" s="314"/>
      <c r="Q339" s="314"/>
      <c r="R339" s="314"/>
      <c r="S339" s="314"/>
      <c r="T339" s="314"/>
      <c r="U339" s="314"/>
      <c r="V339" s="314"/>
      <c r="W339" s="314"/>
      <c r="X339" s="314"/>
      <c r="Y339" s="314"/>
      <c r="Z339" s="314"/>
      <c r="AA339" s="324"/>
      <c r="AB339" s="155"/>
      <c r="AC339" s="155"/>
      <c r="AD339" s="322"/>
      <c r="AE339" s="155"/>
      <c r="AF339" s="132"/>
    </row>
    <row r="340">
      <c r="A340" s="314"/>
      <c r="B340" s="313"/>
      <c r="C340" s="313"/>
      <c r="D340" s="313"/>
      <c r="E340" s="314"/>
      <c r="F340" s="314"/>
      <c r="G340" s="314"/>
      <c r="H340" s="314"/>
      <c r="I340" s="314"/>
      <c r="J340" s="314"/>
      <c r="K340" s="314"/>
      <c r="L340" s="314"/>
      <c r="M340" s="314"/>
      <c r="N340" s="314"/>
      <c r="O340" s="314"/>
      <c r="P340" s="314"/>
      <c r="Q340" s="314"/>
      <c r="R340" s="314"/>
      <c r="S340" s="314"/>
      <c r="T340" s="314"/>
      <c r="U340" s="314"/>
      <c r="V340" s="314"/>
      <c r="W340" s="314"/>
      <c r="X340" s="314"/>
      <c r="Y340" s="314"/>
      <c r="Z340" s="314"/>
      <c r="AA340" s="324"/>
      <c r="AB340" s="155"/>
      <c r="AC340" s="155"/>
      <c r="AD340" s="322"/>
      <c r="AE340" s="155"/>
      <c r="AF340" s="132"/>
    </row>
    <row r="341">
      <c r="A341" s="314"/>
      <c r="B341" s="313"/>
      <c r="C341" s="313"/>
      <c r="D341" s="313"/>
      <c r="E341" s="314"/>
      <c r="F341" s="314"/>
      <c r="G341" s="314"/>
      <c r="H341" s="314"/>
      <c r="I341" s="314"/>
      <c r="J341" s="314"/>
      <c r="K341" s="314"/>
      <c r="L341" s="314"/>
      <c r="M341" s="314"/>
      <c r="N341" s="314"/>
      <c r="O341" s="314"/>
      <c r="P341" s="314"/>
      <c r="Q341" s="314"/>
      <c r="R341" s="314"/>
      <c r="S341" s="314"/>
      <c r="T341" s="314"/>
      <c r="U341" s="314"/>
      <c r="V341" s="314"/>
      <c r="W341" s="314"/>
      <c r="X341" s="314"/>
      <c r="Y341" s="314"/>
      <c r="Z341" s="314"/>
      <c r="AA341" s="324"/>
      <c r="AB341" s="155"/>
      <c r="AC341" s="155"/>
      <c r="AD341" s="322"/>
      <c r="AE341" s="155"/>
      <c r="AF341" s="132"/>
    </row>
    <row r="342">
      <c r="A342" s="314"/>
      <c r="B342" s="313"/>
      <c r="C342" s="313"/>
      <c r="D342" s="313"/>
      <c r="E342" s="314"/>
      <c r="F342" s="314"/>
      <c r="G342" s="314"/>
      <c r="H342" s="314"/>
      <c r="I342" s="314"/>
      <c r="J342" s="314"/>
      <c r="K342" s="314"/>
      <c r="L342" s="314"/>
      <c r="M342" s="314"/>
      <c r="N342" s="314"/>
      <c r="O342" s="314"/>
      <c r="P342" s="314"/>
      <c r="Q342" s="314"/>
      <c r="R342" s="314"/>
      <c r="S342" s="314"/>
      <c r="T342" s="314"/>
      <c r="U342" s="314"/>
      <c r="V342" s="314"/>
      <c r="W342" s="314"/>
      <c r="X342" s="314"/>
      <c r="Y342" s="314"/>
      <c r="Z342" s="314"/>
      <c r="AA342" s="324"/>
      <c r="AB342" s="155"/>
      <c r="AC342" s="155"/>
      <c r="AD342" s="322"/>
      <c r="AE342" s="155"/>
      <c r="AF342" s="132"/>
    </row>
    <row r="343">
      <c r="A343" s="314"/>
      <c r="B343" s="313"/>
      <c r="C343" s="313"/>
      <c r="D343" s="313"/>
      <c r="E343" s="314"/>
      <c r="F343" s="314"/>
      <c r="G343" s="314"/>
      <c r="H343" s="314"/>
      <c r="I343" s="314"/>
      <c r="J343" s="314"/>
      <c r="K343" s="314"/>
      <c r="L343" s="314"/>
      <c r="M343" s="314"/>
      <c r="N343" s="314"/>
      <c r="O343" s="314"/>
      <c r="P343" s="314"/>
      <c r="Q343" s="314"/>
      <c r="R343" s="314"/>
      <c r="S343" s="314"/>
      <c r="T343" s="314"/>
      <c r="U343" s="314"/>
      <c r="V343" s="314"/>
      <c r="W343" s="314"/>
      <c r="X343" s="314"/>
      <c r="Y343" s="314"/>
      <c r="Z343" s="314"/>
      <c r="AA343" s="324"/>
      <c r="AB343" s="155"/>
      <c r="AC343" s="155"/>
      <c r="AD343" s="322"/>
      <c r="AE343" s="155"/>
      <c r="AF343" s="132"/>
    </row>
    <row r="344">
      <c r="A344" s="314"/>
      <c r="B344" s="313"/>
      <c r="C344" s="313"/>
      <c r="D344" s="313"/>
      <c r="E344" s="314"/>
      <c r="F344" s="314"/>
      <c r="G344" s="314"/>
      <c r="H344" s="314"/>
      <c r="I344" s="314"/>
      <c r="J344" s="314"/>
      <c r="K344" s="314"/>
      <c r="L344" s="314"/>
      <c r="M344" s="314"/>
      <c r="N344" s="314"/>
      <c r="O344" s="314"/>
      <c r="P344" s="314"/>
      <c r="Q344" s="314"/>
      <c r="R344" s="314"/>
      <c r="S344" s="314"/>
      <c r="T344" s="314"/>
      <c r="U344" s="314"/>
      <c r="V344" s="314"/>
      <c r="W344" s="314"/>
      <c r="X344" s="314"/>
      <c r="Y344" s="314"/>
      <c r="Z344" s="314"/>
      <c r="AA344" s="324"/>
      <c r="AB344" s="155"/>
      <c r="AC344" s="155"/>
      <c r="AD344" s="322"/>
      <c r="AE344" s="155"/>
      <c r="AF344" s="132"/>
    </row>
    <row r="345">
      <c r="A345" s="314"/>
      <c r="B345" s="313"/>
      <c r="C345" s="313"/>
      <c r="D345" s="313"/>
      <c r="E345" s="314"/>
      <c r="F345" s="314"/>
      <c r="G345" s="314"/>
      <c r="H345" s="314"/>
      <c r="I345" s="314"/>
      <c r="J345" s="314"/>
      <c r="K345" s="314"/>
      <c r="L345" s="314"/>
      <c r="M345" s="314"/>
      <c r="N345" s="314"/>
      <c r="O345" s="314"/>
      <c r="P345" s="314"/>
      <c r="Q345" s="314"/>
      <c r="R345" s="314"/>
      <c r="S345" s="314"/>
      <c r="T345" s="314"/>
      <c r="U345" s="314"/>
      <c r="V345" s="314"/>
      <c r="W345" s="314"/>
      <c r="X345" s="314"/>
      <c r="Y345" s="314"/>
      <c r="Z345" s="314"/>
      <c r="AA345" s="324"/>
      <c r="AB345" s="155"/>
      <c r="AC345" s="155"/>
      <c r="AD345" s="322"/>
      <c r="AE345" s="155"/>
      <c r="AF345" s="132"/>
    </row>
    <row r="346">
      <c r="A346" s="314"/>
      <c r="B346" s="313"/>
      <c r="C346" s="313"/>
      <c r="D346" s="313"/>
      <c r="E346" s="314"/>
      <c r="F346" s="314"/>
      <c r="G346" s="314"/>
      <c r="H346" s="314"/>
      <c r="I346" s="314"/>
      <c r="J346" s="314"/>
      <c r="K346" s="314"/>
      <c r="L346" s="314"/>
      <c r="M346" s="314"/>
      <c r="N346" s="314"/>
      <c r="O346" s="314"/>
      <c r="P346" s="314"/>
      <c r="Q346" s="314"/>
      <c r="R346" s="314"/>
      <c r="S346" s="314"/>
      <c r="T346" s="314"/>
      <c r="U346" s="314"/>
      <c r="V346" s="314"/>
      <c r="W346" s="314"/>
      <c r="X346" s="314"/>
      <c r="Y346" s="314"/>
      <c r="Z346" s="314"/>
      <c r="AA346" s="324"/>
      <c r="AB346" s="155"/>
      <c r="AC346" s="155"/>
      <c r="AD346" s="322"/>
      <c r="AE346" s="155"/>
      <c r="AF346" s="132"/>
    </row>
    <row r="347">
      <c r="A347" s="314"/>
      <c r="B347" s="313"/>
      <c r="C347" s="313"/>
      <c r="D347" s="313"/>
      <c r="E347" s="314"/>
      <c r="F347" s="314"/>
      <c r="G347" s="314"/>
      <c r="H347" s="314"/>
      <c r="I347" s="314"/>
      <c r="J347" s="314"/>
      <c r="K347" s="314"/>
      <c r="L347" s="314"/>
      <c r="M347" s="314"/>
      <c r="N347" s="314"/>
      <c r="O347" s="314"/>
      <c r="P347" s="314"/>
      <c r="Q347" s="314"/>
      <c r="R347" s="314"/>
      <c r="S347" s="314"/>
      <c r="T347" s="314"/>
      <c r="U347" s="314"/>
      <c r="V347" s="314"/>
      <c r="W347" s="314"/>
      <c r="X347" s="314"/>
      <c r="Y347" s="314"/>
      <c r="Z347" s="314"/>
      <c r="AA347" s="324"/>
      <c r="AB347" s="155"/>
      <c r="AC347" s="155"/>
      <c r="AD347" s="322"/>
      <c r="AE347" s="155"/>
      <c r="AF347" s="132"/>
    </row>
    <row r="348">
      <c r="A348" s="314"/>
      <c r="B348" s="313"/>
      <c r="C348" s="313"/>
      <c r="D348" s="313"/>
      <c r="E348" s="314"/>
      <c r="F348" s="314"/>
      <c r="G348" s="314"/>
      <c r="H348" s="314"/>
      <c r="I348" s="314"/>
      <c r="J348" s="314"/>
      <c r="K348" s="314"/>
      <c r="L348" s="314"/>
      <c r="M348" s="314"/>
      <c r="N348" s="314"/>
      <c r="O348" s="314"/>
      <c r="P348" s="314"/>
      <c r="Q348" s="314"/>
      <c r="R348" s="314"/>
      <c r="S348" s="314"/>
      <c r="T348" s="314"/>
      <c r="U348" s="314"/>
      <c r="V348" s="314"/>
      <c r="W348" s="314"/>
      <c r="X348" s="314"/>
      <c r="Y348" s="314"/>
      <c r="Z348" s="314"/>
      <c r="AA348" s="324"/>
      <c r="AB348" s="155"/>
      <c r="AC348" s="155"/>
      <c r="AD348" s="322"/>
      <c r="AE348" s="155"/>
      <c r="AF348" s="132"/>
    </row>
    <row r="349">
      <c r="A349" s="314"/>
      <c r="B349" s="313"/>
      <c r="C349" s="313"/>
      <c r="D349" s="313"/>
      <c r="E349" s="314"/>
      <c r="F349" s="314"/>
      <c r="G349" s="314"/>
      <c r="H349" s="314"/>
      <c r="I349" s="314"/>
      <c r="J349" s="314"/>
      <c r="K349" s="314"/>
      <c r="L349" s="314"/>
      <c r="M349" s="314"/>
      <c r="N349" s="314"/>
      <c r="O349" s="314"/>
      <c r="P349" s="314"/>
      <c r="Q349" s="314"/>
      <c r="R349" s="314"/>
      <c r="S349" s="314"/>
      <c r="T349" s="314"/>
      <c r="U349" s="314"/>
      <c r="V349" s="314"/>
      <c r="W349" s="314"/>
      <c r="X349" s="314"/>
      <c r="Y349" s="314"/>
      <c r="Z349" s="314"/>
      <c r="AA349" s="324"/>
      <c r="AB349" s="155"/>
      <c r="AC349" s="155"/>
      <c r="AD349" s="322"/>
      <c r="AE349" s="155"/>
      <c r="AF349" s="132"/>
    </row>
    <row r="350">
      <c r="A350" s="314"/>
      <c r="B350" s="313"/>
      <c r="C350" s="313"/>
      <c r="D350" s="313"/>
      <c r="E350" s="314"/>
      <c r="F350" s="314"/>
      <c r="G350" s="314"/>
      <c r="H350" s="314"/>
      <c r="I350" s="314"/>
      <c r="J350" s="314"/>
      <c r="K350" s="314"/>
      <c r="L350" s="314"/>
      <c r="M350" s="314"/>
      <c r="N350" s="314"/>
      <c r="O350" s="314"/>
      <c r="P350" s="314"/>
      <c r="Q350" s="314"/>
      <c r="R350" s="314"/>
      <c r="S350" s="314"/>
      <c r="T350" s="314"/>
      <c r="U350" s="314"/>
      <c r="V350" s="314"/>
      <c r="W350" s="314"/>
      <c r="X350" s="314"/>
      <c r="Y350" s="314"/>
      <c r="Z350" s="314"/>
      <c r="AA350" s="324"/>
      <c r="AB350" s="155"/>
      <c r="AC350" s="155"/>
      <c r="AD350" s="322"/>
      <c r="AE350" s="155"/>
      <c r="AF350" s="132"/>
    </row>
    <row r="351">
      <c r="A351" s="314"/>
      <c r="B351" s="313"/>
      <c r="C351" s="313"/>
      <c r="D351" s="313"/>
      <c r="E351" s="314"/>
      <c r="F351" s="314"/>
      <c r="G351" s="314"/>
      <c r="H351" s="314"/>
      <c r="I351" s="314"/>
      <c r="J351" s="314"/>
      <c r="K351" s="314"/>
      <c r="L351" s="314"/>
      <c r="M351" s="314"/>
      <c r="N351" s="314"/>
      <c r="O351" s="314"/>
      <c r="P351" s="314"/>
      <c r="Q351" s="314"/>
      <c r="R351" s="314"/>
      <c r="S351" s="314"/>
      <c r="T351" s="314"/>
      <c r="U351" s="314"/>
      <c r="V351" s="314"/>
      <c r="W351" s="314"/>
      <c r="X351" s="314"/>
      <c r="Y351" s="314"/>
      <c r="Z351" s="314"/>
      <c r="AA351" s="324"/>
      <c r="AB351" s="155"/>
      <c r="AC351" s="155"/>
      <c r="AD351" s="322"/>
      <c r="AE351" s="155"/>
      <c r="AF351" s="132"/>
    </row>
    <row r="352">
      <c r="A352" s="314"/>
      <c r="B352" s="313"/>
      <c r="C352" s="313"/>
      <c r="D352" s="313"/>
      <c r="E352" s="314"/>
      <c r="F352" s="314"/>
      <c r="G352" s="314"/>
      <c r="H352" s="314"/>
      <c r="I352" s="314"/>
      <c r="J352" s="314"/>
      <c r="K352" s="314"/>
      <c r="L352" s="314"/>
      <c r="M352" s="314"/>
      <c r="N352" s="314"/>
      <c r="O352" s="314"/>
      <c r="P352" s="314"/>
      <c r="Q352" s="314"/>
      <c r="R352" s="314"/>
      <c r="S352" s="314"/>
      <c r="T352" s="314"/>
      <c r="U352" s="314"/>
      <c r="V352" s="314"/>
      <c r="W352" s="314"/>
      <c r="X352" s="314"/>
      <c r="Y352" s="314"/>
      <c r="Z352" s="314"/>
      <c r="AA352" s="324"/>
      <c r="AB352" s="155"/>
      <c r="AC352" s="155"/>
      <c r="AD352" s="322"/>
      <c r="AE352" s="155"/>
      <c r="AF352" s="132"/>
    </row>
    <row r="353">
      <c r="A353" s="314"/>
      <c r="B353" s="313"/>
      <c r="C353" s="313"/>
      <c r="D353" s="313"/>
      <c r="E353" s="314"/>
      <c r="F353" s="314"/>
      <c r="G353" s="314"/>
      <c r="H353" s="314"/>
      <c r="I353" s="314"/>
      <c r="J353" s="314"/>
      <c r="K353" s="314"/>
      <c r="L353" s="314"/>
      <c r="M353" s="314"/>
      <c r="N353" s="314"/>
      <c r="O353" s="314"/>
      <c r="P353" s="314"/>
      <c r="Q353" s="314"/>
      <c r="R353" s="314"/>
      <c r="S353" s="314"/>
      <c r="T353" s="314"/>
      <c r="U353" s="314"/>
      <c r="V353" s="314"/>
      <c r="W353" s="314"/>
      <c r="X353" s="314"/>
      <c r="Y353" s="314"/>
      <c r="Z353" s="314"/>
      <c r="AA353" s="324"/>
      <c r="AB353" s="155"/>
      <c r="AC353" s="155"/>
      <c r="AD353" s="322"/>
      <c r="AE353" s="155"/>
      <c r="AF353" s="132"/>
    </row>
    <row r="354">
      <c r="A354" s="314"/>
      <c r="B354" s="313"/>
      <c r="C354" s="313"/>
      <c r="D354" s="313"/>
      <c r="E354" s="314"/>
      <c r="F354" s="314"/>
      <c r="G354" s="314"/>
      <c r="H354" s="314"/>
      <c r="I354" s="314"/>
      <c r="J354" s="314"/>
      <c r="K354" s="314"/>
      <c r="L354" s="314"/>
      <c r="M354" s="314"/>
      <c r="N354" s="314"/>
      <c r="O354" s="314"/>
      <c r="P354" s="314"/>
      <c r="Q354" s="314"/>
      <c r="R354" s="314"/>
      <c r="S354" s="314"/>
      <c r="T354" s="314"/>
      <c r="U354" s="314"/>
      <c r="V354" s="314"/>
      <c r="W354" s="314"/>
      <c r="X354" s="314"/>
      <c r="Y354" s="314"/>
      <c r="Z354" s="314"/>
      <c r="AA354" s="324"/>
      <c r="AB354" s="155"/>
      <c r="AC354" s="155"/>
      <c r="AD354" s="322"/>
      <c r="AE354" s="155"/>
      <c r="AF354" s="132"/>
    </row>
    <row r="355">
      <c r="A355" s="314"/>
      <c r="B355" s="313"/>
      <c r="C355" s="313"/>
      <c r="D355" s="313"/>
      <c r="E355" s="314"/>
      <c r="F355" s="314"/>
      <c r="G355" s="314"/>
      <c r="H355" s="314"/>
      <c r="I355" s="314"/>
      <c r="J355" s="314"/>
      <c r="K355" s="314"/>
      <c r="L355" s="314"/>
      <c r="M355" s="314"/>
      <c r="N355" s="314"/>
      <c r="O355" s="314"/>
      <c r="P355" s="314"/>
      <c r="Q355" s="314"/>
      <c r="R355" s="314"/>
      <c r="S355" s="314"/>
      <c r="T355" s="314"/>
      <c r="U355" s="314"/>
      <c r="V355" s="314"/>
      <c r="W355" s="314"/>
      <c r="X355" s="314"/>
      <c r="Y355" s="314"/>
      <c r="Z355" s="314"/>
      <c r="AA355" s="324"/>
      <c r="AB355" s="155"/>
      <c r="AC355" s="155"/>
      <c r="AD355" s="322"/>
      <c r="AE355" s="155"/>
      <c r="AF355" s="132"/>
    </row>
    <row r="356">
      <c r="A356" s="314"/>
      <c r="B356" s="313"/>
      <c r="C356" s="313"/>
      <c r="D356" s="313"/>
      <c r="E356" s="314"/>
      <c r="F356" s="314"/>
      <c r="G356" s="314"/>
      <c r="H356" s="314"/>
      <c r="I356" s="314"/>
      <c r="J356" s="314"/>
      <c r="K356" s="314"/>
      <c r="L356" s="314"/>
      <c r="M356" s="314"/>
      <c r="N356" s="314"/>
      <c r="O356" s="314"/>
      <c r="P356" s="314"/>
      <c r="Q356" s="314"/>
      <c r="R356" s="314"/>
      <c r="S356" s="314"/>
      <c r="T356" s="314"/>
      <c r="U356" s="314"/>
      <c r="V356" s="314"/>
      <c r="W356" s="314"/>
      <c r="X356" s="314"/>
      <c r="Y356" s="314"/>
      <c r="Z356" s="314"/>
      <c r="AA356" s="324"/>
      <c r="AB356" s="155"/>
      <c r="AC356" s="155"/>
      <c r="AD356" s="322"/>
      <c r="AE356" s="155"/>
      <c r="AF356" s="132"/>
    </row>
    <row r="357">
      <c r="A357" s="314"/>
      <c r="B357" s="313"/>
      <c r="C357" s="313"/>
      <c r="D357" s="313"/>
      <c r="E357" s="314"/>
      <c r="F357" s="314"/>
      <c r="G357" s="314"/>
      <c r="H357" s="314"/>
      <c r="I357" s="314"/>
      <c r="J357" s="314"/>
      <c r="K357" s="314"/>
      <c r="L357" s="314"/>
      <c r="M357" s="314"/>
      <c r="N357" s="314"/>
      <c r="O357" s="314"/>
      <c r="P357" s="314"/>
      <c r="Q357" s="314"/>
      <c r="R357" s="314"/>
      <c r="S357" s="314"/>
      <c r="T357" s="314"/>
      <c r="U357" s="314"/>
      <c r="V357" s="314"/>
      <c r="W357" s="314"/>
      <c r="X357" s="314"/>
      <c r="Y357" s="314"/>
      <c r="Z357" s="314"/>
      <c r="AA357" s="324"/>
      <c r="AB357" s="155"/>
      <c r="AC357" s="155"/>
      <c r="AD357" s="322"/>
      <c r="AE357" s="155"/>
      <c r="AF357" s="132"/>
    </row>
    <row r="358">
      <c r="A358" s="314"/>
      <c r="B358" s="313"/>
      <c r="C358" s="313"/>
      <c r="D358" s="313"/>
      <c r="E358" s="314"/>
      <c r="F358" s="314"/>
      <c r="G358" s="314"/>
      <c r="H358" s="314"/>
      <c r="I358" s="314"/>
      <c r="J358" s="314"/>
      <c r="K358" s="314"/>
      <c r="L358" s="314"/>
      <c r="M358" s="314"/>
      <c r="N358" s="314"/>
      <c r="O358" s="314"/>
      <c r="P358" s="314"/>
      <c r="Q358" s="314"/>
      <c r="R358" s="314"/>
      <c r="S358" s="314"/>
      <c r="T358" s="314"/>
      <c r="U358" s="314"/>
      <c r="V358" s="314"/>
      <c r="W358" s="314"/>
      <c r="X358" s="314"/>
      <c r="Y358" s="314"/>
      <c r="Z358" s="314"/>
      <c r="AA358" s="324"/>
      <c r="AB358" s="155"/>
      <c r="AC358" s="155"/>
      <c r="AD358" s="322"/>
      <c r="AE358" s="155"/>
      <c r="AF358" s="132"/>
    </row>
    <row r="359">
      <c r="A359" s="314"/>
      <c r="B359" s="313"/>
      <c r="C359" s="313"/>
      <c r="D359" s="313"/>
      <c r="E359" s="314"/>
      <c r="F359" s="314"/>
      <c r="G359" s="314"/>
      <c r="H359" s="314"/>
      <c r="I359" s="314"/>
      <c r="J359" s="314"/>
      <c r="K359" s="314"/>
      <c r="L359" s="314"/>
      <c r="M359" s="314"/>
      <c r="N359" s="314"/>
      <c r="O359" s="314"/>
      <c r="P359" s="314"/>
      <c r="Q359" s="314"/>
      <c r="R359" s="314"/>
      <c r="S359" s="314"/>
      <c r="T359" s="314"/>
      <c r="U359" s="314"/>
      <c r="V359" s="314"/>
      <c r="W359" s="314"/>
      <c r="X359" s="314"/>
      <c r="Y359" s="314"/>
      <c r="Z359" s="314"/>
      <c r="AA359" s="324"/>
      <c r="AB359" s="155"/>
      <c r="AC359" s="155"/>
      <c r="AD359" s="322"/>
      <c r="AE359" s="155"/>
      <c r="AF359" s="132"/>
    </row>
    <row r="360">
      <c r="A360" s="314"/>
      <c r="B360" s="313"/>
      <c r="C360" s="313"/>
      <c r="D360" s="313"/>
      <c r="E360" s="314"/>
      <c r="F360" s="314"/>
      <c r="G360" s="314"/>
      <c r="H360" s="314"/>
      <c r="I360" s="314"/>
      <c r="J360" s="314"/>
      <c r="K360" s="314"/>
      <c r="L360" s="314"/>
      <c r="M360" s="314"/>
      <c r="N360" s="314"/>
      <c r="O360" s="314"/>
      <c r="P360" s="314"/>
      <c r="Q360" s="314"/>
      <c r="R360" s="314"/>
      <c r="S360" s="314"/>
      <c r="T360" s="314"/>
      <c r="U360" s="314"/>
      <c r="V360" s="314"/>
      <c r="W360" s="314"/>
      <c r="X360" s="314"/>
      <c r="Y360" s="314"/>
      <c r="Z360" s="314"/>
      <c r="AA360" s="324"/>
      <c r="AB360" s="155"/>
      <c r="AC360" s="155"/>
      <c r="AD360" s="322"/>
      <c r="AE360" s="155"/>
      <c r="AF360" s="132"/>
    </row>
    <row r="361">
      <c r="A361" s="314"/>
      <c r="B361" s="313"/>
      <c r="C361" s="313"/>
      <c r="D361" s="313"/>
      <c r="E361" s="314"/>
      <c r="F361" s="314"/>
      <c r="G361" s="314"/>
      <c r="H361" s="314"/>
      <c r="I361" s="314"/>
      <c r="J361" s="314"/>
      <c r="K361" s="314"/>
      <c r="L361" s="314"/>
      <c r="M361" s="314"/>
      <c r="N361" s="314"/>
      <c r="O361" s="314"/>
      <c r="P361" s="314"/>
      <c r="Q361" s="314"/>
      <c r="R361" s="314"/>
      <c r="S361" s="314"/>
      <c r="T361" s="314"/>
      <c r="U361" s="314"/>
      <c r="V361" s="314"/>
      <c r="W361" s="314"/>
      <c r="X361" s="314"/>
      <c r="Y361" s="314"/>
      <c r="Z361" s="314"/>
      <c r="AA361" s="324"/>
      <c r="AB361" s="155"/>
      <c r="AC361" s="155"/>
      <c r="AD361" s="322"/>
      <c r="AE361" s="155"/>
      <c r="AF361" s="132"/>
    </row>
    <row r="362">
      <c r="A362" s="314"/>
      <c r="B362" s="313"/>
      <c r="C362" s="313"/>
      <c r="D362" s="313"/>
      <c r="E362" s="314"/>
      <c r="F362" s="314"/>
      <c r="G362" s="314"/>
      <c r="H362" s="314"/>
      <c r="I362" s="314"/>
      <c r="J362" s="314"/>
      <c r="K362" s="314"/>
      <c r="L362" s="314"/>
      <c r="M362" s="314"/>
      <c r="N362" s="314"/>
      <c r="O362" s="314"/>
      <c r="P362" s="314"/>
      <c r="Q362" s="314"/>
      <c r="R362" s="314"/>
      <c r="S362" s="314"/>
      <c r="T362" s="314"/>
      <c r="U362" s="314"/>
      <c r="V362" s="314"/>
      <c r="W362" s="314"/>
      <c r="X362" s="314"/>
      <c r="Y362" s="314"/>
      <c r="Z362" s="314"/>
      <c r="AA362" s="324"/>
      <c r="AB362" s="155"/>
      <c r="AC362" s="155"/>
      <c r="AD362" s="322"/>
      <c r="AE362" s="155"/>
      <c r="AF362" s="132"/>
    </row>
    <row r="363">
      <c r="A363" s="314"/>
      <c r="B363" s="313"/>
      <c r="C363" s="313"/>
      <c r="D363" s="313"/>
      <c r="E363" s="314"/>
      <c r="F363" s="314"/>
      <c r="G363" s="314"/>
      <c r="H363" s="314"/>
      <c r="I363" s="314"/>
      <c r="J363" s="314"/>
      <c r="K363" s="314"/>
      <c r="L363" s="314"/>
      <c r="M363" s="314"/>
      <c r="N363" s="314"/>
      <c r="O363" s="314"/>
      <c r="P363" s="314"/>
      <c r="Q363" s="314"/>
      <c r="R363" s="314"/>
      <c r="S363" s="314"/>
      <c r="T363" s="314"/>
      <c r="U363" s="314"/>
      <c r="V363" s="314"/>
      <c r="W363" s="314"/>
      <c r="X363" s="314"/>
      <c r="Y363" s="314"/>
      <c r="Z363" s="314"/>
      <c r="AA363" s="324"/>
      <c r="AB363" s="155"/>
      <c r="AC363" s="155"/>
      <c r="AD363" s="322"/>
      <c r="AE363" s="155"/>
      <c r="AF363" s="132"/>
    </row>
    <row r="364">
      <c r="A364" s="314"/>
      <c r="B364" s="313"/>
      <c r="C364" s="313"/>
      <c r="D364" s="313"/>
      <c r="E364" s="314"/>
      <c r="F364" s="314"/>
      <c r="G364" s="314"/>
      <c r="H364" s="314"/>
      <c r="I364" s="314"/>
      <c r="J364" s="314"/>
      <c r="K364" s="314"/>
      <c r="L364" s="314"/>
      <c r="M364" s="314"/>
      <c r="N364" s="314"/>
      <c r="O364" s="314"/>
      <c r="P364" s="314"/>
      <c r="Q364" s="314"/>
      <c r="R364" s="314"/>
      <c r="S364" s="314"/>
      <c r="T364" s="314"/>
      <c r="U364" s="314"/>
      <c r="V364" s="314"/>
      <c r="W364" s="314"/>
      <c r="X364" s="314"/>
      <c r="Y364" s="314"/>
      <c r="Z364" s="314"/>
      <c r="AA364" s="324"/>
      <c r="AB364" s="155"/>
      <c r="AC364" s="155"/>
      <c r="AD364" s="322"/>
      <c r="AE364" s="155"/>
      <c r="AF364" s="132"/>
    </row>
    <row r="365">
      <c r="A365" s="314"/>
      <c r="B365" s="313"/>
      <c r="C365" s="313"/>
      <c r="D365" s="313"/>
      <c r="E365" s="314"/>
      <c r="F365" s="314"/>
      <c r="G365" s="314"/>
      <c r="H365" s="314"/>
      <c r="I365" s="314"/>
      <c r="J365" s="314"/>
      <c r="K365" s="314"/>
      <c r="L365" s="314"/>
      <c r="M365" s="314"/>
      <c r="N365" s="314"/>
      <c r="O365" s="314"/>
      <c r="P365" s="314"/>
      <c r="Q365" s="314"/>
      <c r="R365" s="314"/>
      <c r="S365" s="314"/>
      <c r="T365" s="314"/>
      <c r="U365" s="314"/>
      <c r="V365" s="314"/>
      <c r="W365" s="314"/>
      <c r="X365" s="314"/>
      <c r="Y365" s="314"/>
      <c r="Z365" s="314"/>
      <c r="AA365" s="324"/>
      <c r="AB365" s="155"/>
      <c r="AC365" s="155"/>
      <c r="AD365" s="322"/>
      <c r="AE365" s="155"/>
      <c r="AF365" s="132"/>
    </row>
    <row r="366">
      <c r="A366" s="314"/>
      <c r="B366" s="313"/>
      <c r="C366" s="313"/>
      <c r="D366" s="313"/>
      <c r="E366" s="314"/>
      <c r="F366" s="314"/>
      <c r="G366" s="314"/>
      <c r="H366" s="314"/>
      <c r="I366" s="314"/>
      <c r="J366" s="314"/>
      <c r="K366" s="314"/>
      <c r="L366" s="314"/>
      <c r="M366" s="314"/>
      <c r="N366" s="314"/>
      <c r="O366" s="314"/>
      <c r="P366" s="314"/>
      <c r="Q366" s="314"/>
      <c r="R366" s="314"/>
      <c r="S366" s="314"/>
      <c r="T366" s="314"/>
      <c r="U366" s="314"/>
      <c r="V366" s="314"/>
      <c r="W366" s="314"/>
      <c r="X366" s="314"/>
      <c r="Y366" s="314"/>
      <c r="Z366" s="314"/>
      <c r="AA366" s="324"/>
      <c r="AB366" s="155"/>
      <c r="AC366" s="155"/>
      <c r="AD366" s="322"/>
      <c r="AE366" s="155"/>
      <c r="AF366" s="132"/>
    </row>
    <row r="367">
      <c r="A367" s="314"/>
      <c r="B367" s="313"/>
      <c r="C367" s="313"/>
      <c r="D367" s="313"/>
      <c r="E367" s="314"/>
      <c r="F367" s="314"/>
      <c r="G367" s="314"/>
      <c r="H367" s="314"/>
      <c r="I367" s="314"/>
      <c r="J367" s="314"/>
      <c r="K367" s="314"/>
      <c r="L367" s="314"/>
      <c r="M367" s="314"/>
      <c r="N367" s="314"/>
      <c r="O367" s="314"/>
      <c r="P367" s="314"/>
      <c r="Q367" s="314"/>
      <c r="R367" s="314"/>
      <c r="S367" s="314"/>
      <c r="T367" s="314"/>
      <c r="U367" s="314"/>
      <c r="V367" s="314"/>
      <c r="W367" s="314"/>
      <c r="X367" s="314"/>
      <c r="Y367" s="314"/>
      <c r="Z367" s="314"/>
      <c r="AA367" s="324"/>
      <c r="AB367" s="155"/>
      <c r="AC367" s="155"/>
      <c r="AD367" s="322"/>
      <c r="AE367" s="155"/>
      <c r="AF367" s="132"/>
    </row>
    <row r="368">
      <c r="A368" s="435"/>
      <c r="B368" s="313"/>
      <c r="C368" s="437"/>
      <c r="D368" s="313"/>
      <c r="E368" s="435"/>
      <c r="F368" s="314"/>
      <c r="G368" s="314"/>
      <c r="H368" s="435"/>
      <c r="I368" s="435"/>
      <c r="J368" s="314"/>
      <c r="K368" s="435"/>
      <c r="L368" s="435"/>
      <c r="M368" s="314"/>
      <c r="N368" s="314"/>
      <c r="O368" s="314"/>
      <c r="P368" s="435"/>
      <c r="Q368" s="435"/>
      <c r="R368" s="435"/>
      <c r="S368" s="435"/>
      <c r="T368" s="435"/>
      <c r="U368" s="435"/>
      <c r="V368" s="435"/>
      <c r="W368" s="435"/>
      <c r="X368" s="435"/>
      <c r="Y368" s="435"/>
      <c r="Z368" s="435"/>
      <c r="AA368" s="324"/>
      <c r="AB368" s="180"/>
      <c r="AC368" s="155"/>
      <c r="AD368" s="322"/>
      <c r="AE368" s="155"/>
      <c r="AF368" s="132"/>
    </row>
    <row r="369">
      <c r="A369" s="435"/>
      <c r="B369" s="313"/>
      <c r="C369" s="313"/>
      <c r="D369" s="437"/>
      <c r="E369" s="314"/>
      <c r="F369" s="314"/>
      <c r="G369" s="314"/>
      <c r="H369" s="314"/>
      <c r="I369" s="314"/>
      <c r="J369" s="314"/>
      <c r="K369" s="314"/>
      <c r="L369" s="314"/>
      <c r="M369" s="435"/>
      <c r="N369" s="435"/>
      <c r="O369" s="314"/>
      <c r="P369" s="314"/>
      <c r="Q369" s="314"/>
      <c r="R369" s="314"/>
      <c r="S369" s="314"/>
      <c r="T369" s="314"/>
      <c r="U369" s="314"/>
      <c r="V369" s="314"/>
      <c r="W369" s="314"/>
      <c r="X369" s="314"/>
      <c r="Y369" s="314"/>
      <c r="Z369" s="314"/>
      <c r="AA369" s="324"/>
      <c r="AB369" s="180"/>
      <c r="AC369" s="155"/>
      <c r="AD369" s="322"/>
      <c r="AE369" s="155"/>
      <c r="AF369" s="132"/>
    </row>
    <row r="370">
      <c r="A370" s="435"/>
      <c r="B370" s="437"/>
      <c r="C370" s="437"/>
      <c r="D370" s="437"/>
      <c r="E370" s="435"/>
      <c r="F370" s="314"/>
      <c r="G370" s="314"/>
      <c r="H370" s="314"/>
      <c r="I370" s="435"/>
      <c r="J370" s="435"/>
      <c r="K370" s="435"/>
      <c r="L370" s="435"/>
      <c r="M370" s="435"/>
      <c r="N370" s="435"/>
      <c r="O370" s="314"/>
      <c r="P370" s="435"/>
      <c r="Q370" s="314"/>
      <c r="R370" s="435"/>
      <c r="S370" s="435"/>
      <c r="T370" s="435"/>
      <c r="U370" s="435"/>
      <c r="V370" s="435"/>
      <c r="W370" s="435"/>
      <c r="X370" s="435"/>
      <c r="Y370" s="435"/>
      <c r="Z370" s="435"/>
      <c r="AA370" s="324"/>
      <c r="AB370" s="180"/>
      <c r="AC370" s="155"/>
      <c r="AD370" s="322"/>
      <c r="AE370" s="155"/>
      <c r="AF370" s="132"/>
    </row>
    <row r="371">
      <c r="A371" s="435"/>
      <c r="B371" s="313"/>
      <c r="C371" s="313"/>
      <c r="D371" s="437"/>
      <c r="E371" s="314"/>
      <c r="F371" s="314"/>
      <c r="G371" s="314"/>
      <c r="H371" s="314"/>
      <c r="I371" s="435"/>
      <c r="J371" s="314"/>
      <c r="K371" s="435"/>
      <c r="L371" s="314"/>
      <c r="M371" s="314"/>
      <c r="N371" s="314"/>
      <c r="O371" s="314"/>
      <c r="P371" s="314"/>
      <c r="Q371" s="435"/>
      <c r="R371" s="435"/>
      <c r="S371" s="314"/>
      <c r="T371" s="314"/>
      <c r="U371" s="314"/>
      <c r="V371" s="314"/>
      <c r="W371" s="314"/>
      <c r="X371" s="314"/>
      <c r="Y371" s="314"/>
      <c r="Z371" s="314"/>
      <c r="AA371" s="324"/>
      <c r="AB371" s="180"/>
      <c r="AC371" s="155"/>
      <c r="AD371" s="322"/>
      <c r="AE371" s="155"/>
      <c r="AF371" s="132"/>
    </row>
    <row r="372">
      <c r="A372" s="435"/>
      <c r="B372" s="437"/>
      <c r="C372" s="437"/>
      <c r="D372" s="437"/>
      <c r="E372" s="435"/>
      <c r="F372" s="314"/>
      <c r="G372" s="314"/>
      <c r="H372" s="435"/>
      <c r="I372" s="435"/>
      <c r="J372" s="435"/>
      <c r="K372" s="435"/>
      <c r="L372" s="435"/>
      <c r="M372" s="435"/>
      <c r="N372" s="435"/>
      <c r="O372" s="314"/>
      <c r="P372" s="435"/>
      <c r="Q372" s="435"/>
      <c r="R372" s="435"/>
      <c r="S372" s="435"/>
      <c r="T372" s="435"/>
      <c r="U372" s="435"/>
      <c r="V372" s="435"/>
      <c r="W372" s="435"/>
      <c r="X372" s="435"/>
      <c r="Y372" s="435"/>
      <c r="Z372" s="435"/>
      <c r="AA372" s="324"/>
      <c r="AB372" s="180"/>
      <c r="AC372" s="155"/>
      <c r="AD372" s="322"/>
      <c r="AE372" s="155"/>
      <c r="AF372" s="132"/>
    </row>
    <row r="373">
      <c r="A373" s="435"/>
      <c r="B373" s="437"/>
      <c r="C373" s="313"/>
      <c r="D373" s="437"/>
      <c r="E373" s="314"/>
      <c r="F373" s="314"/>
      <c r="G373" s="314"/>
      <c r="H373" s="314"/>
      <c r="I373" s="314"/>
      <c r="J373" s="314"/>
      <c r="K373" s="435"/>
      <c r="L373" s="314"/>
      <c r="M373" s="314"/>
      <c r="N373" s="314"/>
      <c r="O373" s="314"/>
      <c r="P373" s="314"/>
      <c r="Q373" s="314"/>
      <c r="R373" s="314"/>
      <c r="S373" s="435"/>
      <c r="T373" s="435"/>
      <c r="U373" s="435"/>
      <c r="V373" s="435"/>
      <c r="W373" s="435"/>
      <c r="X373" s="435"/>
      <c r="Y373" s="435"/>
      <c r="Z373" s="435"/>
      <c r="AA373" s="324"/>
      <c r="AB373" s="180"/>
      <c r="AC373" s="155"/>
      <c r="AD373" s="322"/>
      <c r="AE373" s="155"/>
      <c r="AF373" s="132"/>
    </row>
    <row r="374">
      <c r="A374" s="435"/>
      <c r="B374" s="437"/>
      <c r="C374" s="437"/>
      <c r="D374" s="437"/>
      <c r="E374" s="435"/>
      <c r="F374" s="314"/>
      <c r="G374" s="314"/>
      <c r="H374" s="435"/>
      <c r="I374" s="314"/>
      <c r="J374" s="314"/>
      <c r="K374" s="435"/>
      <c r="L374" s="314"/>
      <c r="M374" s="314"/>
      <c r="N374" s="314"/>
      <c r="O374" s="314"/>
      <c r="P374" s="435"/>
      <c r="Q374" s="435"/>
      <c r="R374" s="435"/>
      <c r="S374" s="435"/>
      <c r="T374" s="435"/>
      <c r="U374" s="435"/>
      <c r="V374" s="435"/>
      <c r="W374" s="435"/>
      <c r="X374" s="435"/>
      <c r="Y374" s="435"/>
      <c r="Z374" s="435"/>
      <c r="AA374" s="324"/>
      <c r="AB374" s="180"/>
      <c r="AC374" s="155"/>
      <c r="AD374" s="322"/>
      <c r="AE374" s="155"/>
      <c r="AF374" s="132"/>
    </row>
    <row r="375">
      <c r="A375" s="435"/>
      <c r="B375" s="437"/>
      <c r="C375" s="437"/>
      <c r="D375" s="437"/>
      <c r="E375" s="435"/>
      <c r="F375" s="314"/>
      <c r="G375" s="314"/>
      <c r="H375" s="435"/>
      <c r="I375" s="435"/>
      <c r="J375" s="435"/>
      <c r="K375" s="435"/>
      <c r="L375" s="435"/>
      <c r="M375" s="435"/>
      <c r="N375" s="435"/>
      <c r="O375" s="314"/>
      <c r="P375" s="435"/>
      <c r="Q375" s="435"/>
      <c r="R375" s="435"/>
      <c r="S375" s="435"/>
      <c r="T375" s="435"/>
      <c r="U375" s="435"/>
      <c r="V375" s="435"/>
      <c r="W375" s="435"/>
      <c r="X375" s="435"/>
      <c r="Y375" s="435"/>
      <c r="Z375" s="435"/>
      <c r="AA375" s="324"/>
      <c r="AB375" s="180"/>
      <c r="AC375" s="155"/>
      <c r="AD375" s="322"/>
      <c r="AE375" s="155"/>
      <c r="AF375" s="132"/>
    </row>
    <row r="376">
      <c r="A376" s="435"/>
      <c r="B376" s="313"/>
      <c r="C376" s="313"/>
      <c r="D376" s="313"/>
      <c r="E376" s="435"/>
      <c r="F376" s="314"/>
      <c r="G376" s="314"/>
      <c r="H376" s="435"/>
      <c r="I376" s="314"/>
      <c r="J376" s="314"/>
      <c r="K376" s="314"/>
      <c r="L376" s="314"/>
      <c r="M376" s="314"/>
      <c r="N376" s="314"/>
      <c r="O376" s="314"/>
      <c r="P376" s="314"/>
      <c r="Q376" s="314"/>
      <c r="R376" s="314"/>
      <c r="S376" s="314"/>
      <c r="T376" s="314"/>
      <c r="U376" s="314"/>
      <c r="V376" s="314"/>
      <c r="W376" s="314"/>
      <c r="X376" s="314"/>
      <c r="Y376" s="314"/>
      <c r="Z376" s="314"/>
      <c r="AA376" s="324"/>
      <c r="AB376" s="180"/>
      <c r="AC376" s="155"/>
      <c r="AD376" s="322"/>
      <c r="AE376" s="155"/>
      <c r="AF376" s="132"/>
    </row>
    <row r="377">
      <c r="A377" s="435"/>
      <c r="B377" s="313"/>
      <c r="C377" s="313"/>
      <c r="D377" s="437"/>
      <c r="E377" s="314"/>
      <c r="F377" s="314"/>
      <c r="G377" s="314"/>
      <c r="H377" s="435"/>
      <c r="I377" s="314"/>
      <c r="J377" s="435"/>
      <c r="K377" s="435"/>
      <c r="L377" s="314"/>
      <c r="M377" s="435"/>
      <c r="N377" s="314"/>
      <c r="O377" s="314"/>
      <c r="P377" s="314"/>
      <c r="Q377" s="314"/>
      <c r="R377" s="435"/>
      <c r="S377" s="435"/>
      <c r="T377" s="435"/>
      <c r="U377" s="435"/>
      <c r="V377" s="435"/>
      <c r="W377" s="435"/>
      <c r="X377" s="435"/>
      <c r="Y377" s="435"/>
      <c r="Z377" s="435"/>
      <c r="AA377" s="324"/>
      <c r="AB377" s="180"/>
      <c r="AC377" s="155"/>
      <c r="AD377" s="322"/>
      <c r="AE377" s="155"/>
      <c r="AF377" s="132"/>
    </row>
    <row r="378">
      <c r="A378" s="435"/>
      <c r="B378" s="313"/>
      <c r="C378" s="313"/>
      <c r="D378" s="313"/>
      <c r="E378" s="314"/>
      <c r="F378" s="314"/>
      <c r="G378" s="314"/>
      <c r="H378" s="314"/>
      <c r="I378" s="314"/>
      <c r="J378" s="314"/>
      <c r="K378" s="314"/>
      <c r="L378" s="314"/>
      <c r="M378" s="314"/>
      <c r="N378" s="314"/>
      <c r="O378" s="314"/>
      <c r="P378" s="314"/>
      <c r="Q378" s="435"/>
      <c r="R378" s="314"/>
      <c r="S378" s="435"/>
      <c r="T378" s="435"/>
      <c r="U378" s="435"/>
      <c r="V378" s="435"/>
      <c r="W378" s="435"/>
      <c r="X378" s="435"/>
      <c r="Y378" s="435"/>
      <c r="Z378" s="435"/>
      <c r="AA378" s="324"/>
      <c r="AB378" s="180"/>
      <c r="AC378" s="155"/>
      <c r="AD378" s="322"/>
      <c r="AE378" s="155"/>
      <c r="AF378" s="132"/>
    </row>
    <row r="379">
      <c r="A379" s="435"/>
      <c r="B379" s="437"/>
      <c r="C379" s="313"/>
      <c r="D379" s="313"/>
      <c r="E379" s="314"/>
      <c r="F379" s="314"/>
      <c r="G379" s="314"/>
      <c r="H379" s="435"/>
      <c r="I379" s="314"/>
      <c r="J379" s="435"/>
      <c r="K379" s="435"/>
      <c r="L379" s="314"/>
      <c r="M379" s="314"/>
      <c r="N379" s="435"/>
      <c r="O379" s="314"/>
      <c r="P379" s="314"/>
      <c r="Q379" s="314"/>
      <c r="R379" s="435"/>
      <c r="S379" s="435"/>
      <c r="T379" s="435"/>
      <c r="U379" s="435"/>
      <c r="V379" s="435"/>
      <c r="W379" s="435"/>
      <c r="X379" s="435"/>
      <c r="Y379" s="435"/>
      <c r="Z379" s="435"/>
      <c r="AA379" s="324"/>
      <c r="AB379" s="180"/>
      <c r="AC379" s="155"/>
      <c r="AD379" s="322"/>
      <c r="AE379" s="155"/>
      <c r="AF379" s="132"/>
    </row>
    <row r="380">
      <c r="A380" s="435"/>
      <c r="B380" s="313"/>
      <c r="C380" s="437"/>
      <c r="D380" s="437"/>
      <c r="E380" s="435"/>
      <c r="F380" s="314"/>
      <c r="G380" s="314"/>
      <c r="H380" s="435"/>
      <c r="I380" s="314"/>
      <c r="J380" s="314"/>
      <c r="K380" s="435"/>
      <c r="L380" s="314"/>
      <c r="M380" s="314"/>
      <c r="N380" s="314"/>
      <c r="O380" s="314"/>
      <c r="P380" s="314"/>
      <c r="Q380" s="314"/>
      <c r="R380" s="314"/>
      <c r="S380" s="435"/>
      <c r="T380" s="435"/>
      <c r="U380" s="435"/>
      <c r="V380" s="435"/>
      <c r="W380" s="435"/>
      <c r="X380" s="435"/>
      <c r="Y380" s="435"/>
      <c r="Z380" s="435"/>
      <c r="AA380" s="324"/>
      <c r="AB380" s="180"/>
      <c r="AC380" s="155"/>
      <c r="AD380" s="322"/>
      <c r="AE380" s="155"/>
      <c r="AF380" s="132"/>
    </row>
    <row r="381">
      <c r="A381" s="435"/>
      <c r="B381" s="313"/>
      <c r="C381" s="313"/>
      <c r="D381" s="313"/>
      <c r="E381" s="314"/>
      <c r="F381" s="314"/>
      <c r="G381" s="314"/>
      <c r="H381" s="435"/>
      <c r="I381" s="314"/>
      <c r="J381" s="314"/>
      <c r="K381" s="314"/>
      <c r="L381" s="314"/>
      <c r="M381" s="314"/>
      <c r="N381" s="314"/>
      <c r="O381" s="314"/>
      <c r="P381" s="314"/>
      <c r="Q381" s="314"/>
      <c r="R381" s="435"/>
      <c r="S381" s="314"/>
      <c r="T381" s="314"/>
      <c r="U381" s="314"/>
      <c r="V381" s="314"/>
      <c r="W381" s="314"/>
      <c r="X381" s="314"/>
      <c r="Y381" s="314"/>
      <c r="Z381" s="314"/>
      <c r="AA381" s="324"/>
      <c r="AB381" s="180"/>
      <c r="AC381" s="155"/>
      <c r="AD381" s="322"/>
      <c r="AE381" s="155"/>
      <c r="AF381" s="132"/>
    </row>
    <row r="382">
      <c r="A382" s="435"/>
      <c r="B382" s="437"/>
      <c r="C382" s="437"/>
      <c r="D382" s="437"/>
      <c r="E382" s="435"/>
      <c r="F382" s="314"/>
      <c r="G382" s="314"/>
      <c r="H382" s="435"/>
      <c r="I382" s="435"/>
      <c r="J382" s="435"/>
      <c r="K382" s="435"/>
      <c r="L382" s="435"/>
      <c r="M382" s="435"/>
      <c r="N382" s="435"/>
      <c r="O382" s="314"/>
      <c r="P382" s="435"/>
      <c r="Q382" s="435"/>
      <c r="R382" s="435"/>
      <c r="S382" s="435"/>
      <c r="T382" s="435"/>
      <c r="U382" s="435"/>
      <c r="V382" s="435"/>
      <c r="W382" s="435"/>
      <c r="X382" s="435"/>
      <c r="Y382" s="435"/>
      <c r="Z382" s="435"/>
      <c r="AA382" s="324"/>
      <c r="AB382" s="180"/>
      <c r="AC382" s="155"/>
      <c r="AD382" s="322"/>
      <c r="AE382" s="155"/>
      <c r="AF382" s="132"/>
    </row>
    <row r="383">
      <c r="A383" s="435"/>
      <c r="B383" s="313"/>
      <c r="C383" s="313"/>
      <c r="D383" s="313"/>
      <c r="E383" s="314"/>
      <c r="F383" s="314"/>
      <c r="G383" s="314"/>
      <c r="H383" s="314"/>
      <c r="I383" s="314"/>
      <c r="J383" s="314"/>
      <c r="K383" s="314"/>
      <c r="L383" s="314"/>
      <c r="M383" s="435"/>
      <c r="N383" s="314"/>
      <c r="O383" s="314"/>
      <c r="P383" s="314"/>
      <c r="Q383" s="314"/>
      <c r="R383" s="314"/>
      <c r="S383" s="314"/>
      <c r="T383" s="314"/>
      <c r="U383" s="314"/>
      <c r="V383" s="314"/>
      <c r="W383" s="314"/>
      <c r="X383" s="314"/>
      <c r="Y383" s="314"/>
      <c r="Z383" s="314"/>
      <c r="AA383" s="324"/>
      <c r="AB383" s="180"/>
      <c r="AC383" s="155"/>
      <c r="AD383" s="322"/>
      <c r="AE383" s="155"/>
      <c r="AF383" s="132"/>
    </row>
    <row r="384">
      <c r="A384" s="435"/>
      <c r="B384" s="313"/>
      <c r="C384" s="437"/>
      <c r="D384" s="437"/>
      <c r="E384" s="435"/>
      <c r="F384" s="314"/>
      <c r="G384" s="314"/>
      <c r="H384" s="435"/>
      <c r="I384" s="435"/>
      <c r="J384" s="435"/>
      <c r="K384" s="435"/>
      <c r="L384" s="314"/>
      <c r="M384" s="435"/>
      <c r="N384" s="435"/>
      <c r="O384" s="314"/>
      <c r="P384" s="435"/>
      <c r="Q384" s="435"/>
      <c r="R384" s="435"/>
      <c r="S384" s="435"/>
      <c r="T384" s="435"/>
      <c r="U384" s="435"/>
      <c r="V384" s="435"/>
      <c r="W384" s="435"/>
      <c r="X384" s="435"/>
      <c r="Y384" s="435"/>
      <c r="Z384" s="435"/>
      <c r="AA384" s="324"/>
      <c r="AB384" s="180"/>
      <c r="AC384" s="155"/>
      <c r="AD384" s="322"/>
      <c r="AE384" s="155"/>
      <c r="AF384" s="132"/>
    </row>
    <row r="385">
      <c r="A385" s="435"/>
      <c r="B385" s="437"/>
      <c r="C385" s="437"/>
      <c r="D385" s="313"/>
      <c r="E385" s="435"/>
      <c r="F385" s="314"/>
      <c r="G385" s="314"/>
      <c r="H385" s="435"/>
      <c r="I385" s="435"/>
      <c r="J385" s="314"/>
      <c r="K385" s="435"/>
      <c r="L385" s="435"/>
      <c r="M385" s="314"/>
      <c r="N385" s="435"/>
      <c r="O385" s="314"/>
      <c r="P385" s="435"/>
      <c r="Q385" s="314"/>
      <c r="R385" s="435"/>
      <c r="S385" s="435"/>
      <c r="T385" s="435"/>
      <c r="U385" s="435"/>
      <c r="V385" s="435"/>
      <c r="W385" s="435"/>
      <c r="X385" s="435"/>
      <c r="Y385" s="435"/>
      <c r="Z385" s="435"/>
      <c r="AA385" s="324"/>
      <c r="AB385" s="180"/>
      <c r="AC385" s="155"/>
      <c r="AD385" s="322"/>
      <c r="AE385" s="155"/>
      <c r="AF385" s="132"/>
    </row>
    <row r="386">
      <c r="A386" s="458"/>
      <c r="B386" s="437"/>
      <c r="C386" s="437"/>
      <c r="D386" s="437"/>
      <c r="E386" s="435"/>
      <c r="F386" s="314"/>
      <c r="G386" s="314"/>
      <c r="H386" s="314"/>
      <c r="I386" s="435"/>
      <c r="J386" s="435"/>
      <c r="K386" s="435"/>
      <c r="L386" s="435"/>
      <c r="M386" s="435"/>
      <c r="N386" s="435"/>
      <c r="O386" s="314"/>
      <c r="P386" s="435"/>
      <c r="Q386" s="435"/>
      <c r="R386" s="435"/>
      <c r="S386" s="435"/>
      <c r="T386" s="435"/>
      <c r="U386" s="435"/>
      <c r="V386" s="435"/>
      <c r="W386" s="435"/>
      <c r="X386" s="435"/>
      <c r="Y386" s="435"/>
      <c r="Z386" s="435"/>
      <c r="AA386" s="324"/>
      <c r="AB386" s="180"/>
      <c r="AC386" s="155"/>
      <c r="AD386" s="322"/>
      <c r="AE386" s="155"/>
      <c r="AF386" s="132"/>
    </row>
    <row r="387">
      <c r="A387" s="458"/>
      <c r="B387" s="437"/>
      <c r="C387" s="437"/>
      <c r="D387" s="437"/>
      <c r="E387" s="435"/>
      <c r="F387" s="314"/>
      <c r="G387" s="314"/>
      <c r="H387" s="314"/>
      <c r="I387" s="314"/>
      <c r="J387" s="435"/>
      <c r="K387" s="435"/>
      <c r="L387" s="435"/>
      <c r="M387" s="435"/>
      <c r="N387" s="435"/>
      <c r="O387" s="314"/>
      <c r="P387" s="435"/>
      <c r="Q387" s="435"/>
      <c r="R387" s="435"/>
      <c r="S387" s="435"/>
      <c r="T387" s="435"/>
      <c r="U387" s="435"/>
      <c r="V387" s="435"/>
      <c r="W387" s="435"/>
      <c r="X387" s="435"/>
      <c r="Y387" s="435"/>
      <c r="Z387" s="435"/>
      <c r="AA387" s="324"/>
      <c r="AB387" s="180"/>
      <c r="AC387" s="155"/>
      <c r="AD387" s="322"/>
      <c r="AE387" s="155"/>
      <c r="AF387" s="132"/>
    </row>
    <row r="388">
      <c r="A388" s="458"/>
      <c r="B388" s="437"/>
      <c r="C388" s="437"/>
      <c r="D388" s="437"/>
      <c r="E388" s="314"/>
      <c r="F388" s="314"/>
      <c r="G388" s="314"/>
      <c r="H388" s="314"/>
      <c r="I388" s="435"/>
      <c r="J388" s="435"/>
      <c r="K388" s="435"/>
      <c r="L388" s="435"/>
      <c r="M388" s="435"/>
      <c r="N388" s="435"/>
      <c r="O388" s="314"/>
      <c r="P388" s="435"/>
      <c r="Q388" s="314"/>
      <c r="R388" s="435"/>
      <c r="S388" s="435"/>
      <c r="T388" s="435"/>
      <c r="U388" s="435"/>
      <c r="V388" s="435"/>
      <c r="W388" s="435"/>
      <c r="X388" s="435"/>
      <c r="Y388" s="435"/>
      <c r="Z388" s="435"/>
      <c r="AA388" s="324"/>
      <c r="AB388" s="180"/>
      <c r="AC388" s="155"/>
      <c r="AD388" s="322"/>
      <c r="AE388" s="155"/>
      <c r="AF388" s="132"/>
    </row>
    <row r="389">
      <c r="A389" s="458"/>
      <c r="B389" s="313"/>
      <c r="C389" s="313"/>
      <c r="D389" s="313"/>
      <c r="E389" s="314"/>
      <c r="F389" s="314"/>
      <c r="G389" s="314"/>
      <c r="H389" s="314"/>
      <c r="I389" s="314"/>
      <c r="J389" s="314"/>
      <c r="K389" s="314"/>
      <c r="L389" s="314"/>
      <c r="M389" s="314"/>
      <c r="N389" s="314"/>
      <c r="O389" s="314"/>
      <c r="P389" s="314"/>
      <c r="Q389" s="314"/>
      <c r="R389" s="314"/>
      <c r="S389" s="314"/>
      <c r="T389" s="314"/>
      <c r="U389" s="314"/>
      <c r="V389" s="314"/>
      <c r="W389" s="314"/>
      <c r="X389" s="314"/>
      <c r="Y389" s="314"/>
      <c r="Z389" s="314"/>
      <c r="AA389" s="324"/>
      <c r="AB389" s="180"/>
      <c r="AC389" s="155"/>
      <c r="AD389" s="322"/>
      <c r="AE389" s="155"/>
      <c r="AF389" s="132"/>
    </row>
    <row r="390">
      <c r="A390" s="458"/>
      <c r="B390" s="437"/>
      <c r="C390" s="437"/>
      <c r="D390" s="437"/>
      <c r="E390" s="314"/>
      <c r="F390" s="314"/>
      <c r="G390" s="314"/>
      <c r="H390" s="314"/>
      <c r="I390" s="314"/>
      <c r="J390" s="314"/>
      <c r="K390" s="435"/>
      <c r="L390" s="435"/>
      <c r="M390" s="435"/>
      <c r="N390" s="314"/>
      <c r="O390" s="314"/>
      <c r="P390" s="435"/>
      <c r="Q390" s="435"/>
      <c r="R390" s="435"/>
      <c r="S390" s="435"/>
      <c r="T390" s="435"/>
      <c r="U390" s="435"/>
      <c r="V390" s="435"/>
      <c r="W390" s="435"/>
      <c r="X390" s="435"/>
      <c r="Y390" s="435"/>
      <c r="Z390" s="435"/>
      <c r="AA390" s="324"/>
      <c r="AB390" s="180"/>
      <c r="AC390" s="155"/>
      <c r="AD390" s="322"/>
      <c r="AE390" s="155"/>
      <c r="AF390" s="132"/>
    </row>
    <row r="391">
      <c r="A391" s="458"/>
      <c r="B391" s="313"/>
      <c r="C391" s="313"/>
      <c r="D391" s="437"/>
      <c r="E391" s="314"/>
      <c r="F391" s="314"/>
      <c r="G391" s="314"/>
      <c r="H391" s="314"/>
      <c r="I391" s="314"/>
      <c r="J391" s="314"/>
      <c r="K391" s="314"/>
      <c r="L391" s="314"/>
      <c r="M391" s="314"/>
      <c r="N391" s="314"/>
      <c r="O391" s="314"/>
      <c r="P391" s="314"/>
      <c r="Q391" s="314"/>
      <c r="R391" s="314"/>
      <c r="S391" s="314"/>
      <c r="T391" s="314"/>
      <c r="U391" s="314"/>
      <c r="V391" s="314"/>
      <c r="W391" s="314"/>
      <c r="X391" s="314"/>
      <c r="Y391" s="314"/>
      <c r="Z391" s="314"/>
      <c r="AA391" s="324"/>
      <c r="AB391" s="180"/>
      <c r="AC391" s="155"/>
      <c r="AD391" s="322"/>
      <c r="AE391" s="155"/>
      <c r="AF391" s="132"/>
    </row>
    <row r="392">
      <c r="A392" s="458"/>
      <c r="B392" s="313"/>
      <c r="C392" s="437"/>
      <c r="D392" s="313"/>
      <c r="E392" s="314"/>
      <c r="F392" s="314"/>
      <c r="G392" s="314"/>
      <c r="H392" s="314"/>
      <c r="I392" s="435"/>
      <c r="J392" s="314"/>
      <c r="K392" s="314"/>
      <c r="L392" s="435"/>
      <c r="M392" s="314"/>
      <c r="N392" s="314"/>
      <c r="O392" s="314"/>
      <c r="P392" s="314"/>
      <c r="Q392" s="435"/>
      <c r="R392" s="435"/>
      <c r="S392" s="435"/>
      <c r="T392" s="435"/>
      <c r="U392" s="435"/>
      <c r="V392" s="435"/>
      <c r="W392" s="435"/>
      <c r="X392" s="435"/>
      <c r="Y392" s="435"/>
      <c r="Z392" s="435"/>
      <c r="AA392" s="324"/>
      <c r="AB392" s="180"/>
      <c r="AC392" s="155"/>
      <c r="AD392" s="322"/>
      <c r="AE392" s="155"/>
      <c r="AF392" s="132"/>
    </row>
    <row r="393">
      <c r="A393" s="458"/>
      <c r="B393" s="313"/>
      <c r="C393" s="437"/>
      <c r="D393" s="437"/>
      <c r="E393" s="435"/>
      <c r="F393" s="314"/>
      <c r="G393" s="314"/>
      <c r="H393" s="435"/>
      <c r="I393" s="435"/>
      <c r="J393" s="314"/>
      <c r="K393" s="435"/>
      <c r="L393" s="435"/>
      <c r="M393" s="314"/>
      <c r="N393" s="314"/>
      <c r="O393" s="314"/>
      <c r="P393" s="435"/>
      <c r="Q393" s="435"/>
      <c r="R393" s="435"/>
      <c r="S393" s="435"/>
      <c r="T393" s="435"/>
      <c r="U393" s="435"/>
      <c r="V393" s="435"/>
      <c r="W393" s="435"/>
      <c r="X393" s="435"/>
      <c r="Y393" s="435"/>
      <c r="Z393" s="435"/>
      <c r="AA393" s="324"/>
      <c r="AB393" s="180"/>
      <c r="AC393" s="155"/>
      <c r="AD393" s="322"/>
      <c r="AE393" s="155"/>
      <c r="AF393" s="132"/>
    </row>
    <row r="394">
      <c r="A394" s="458"/>
      <c r="B394" s="313"/>
      <c r="C394" s="437"/>
      <c r="D394" s="437"/>
      <c r="E394" s="314"/>
      <c r="F394" s="314"/>
      <c r="G394" s="314"/>
      <c r="H394" s="314"/>
      <c r="I394" s="314"/>
      <c r="J394" s="314"/>
      <c r="K394" s="435"/>
      <c r="L394" s="314"/>
      <c r="M394" s="314"/>
      <c r="N394" s="314"/>
      <c r="O394" s="314"/>
      <c r="P394" s="314"/>
      <c r="Q394" s="314"/>
      <c r="R394" s="435"/>
      <c r="S394" s="435"/>
      <c r="T394" s="435"/>
      <c r="U394" s="435"/>
      <c r="V394" s="435"/>
      <c r="W394" s="435"/>
      <c r="X394" s="435"/>
      <c r="Y394" s="435"/>
      <c r="Z394" s="435"/>
      <c r="AA394" s="324"/>
      <c r="AB394" s="180"/>
      <c r="AC394" s="155"/>
      <c r="AD394" s="322"/>
      <c r="AE394" s="155"/>
      <c r="AF394" s="132"/>
    </row>
    <row r="395">
      <c r="A395" s="458"/>
      <c r="B395" s="437"/>
      <c r="C395" s="437"/>
      <c r="D395" s="437"/>
      <c r="E395" s="435"/>
      <c r="F395" s="314"/>
      <c r="G395" s="314"/>
      <c r="H395" s="435"/>
      <c r="I395" s="435"/>
      <c r="J395" s="435"/>
      <c r="K395" s="435"/>
      <c r="L395" s="435"/>
      <c r="M395" s="435"/>
      <c r="N395" s="435"/>
      <c r="O395" s="314"/>
      <c r="P395" s="435"/>
      <c r="Q395" s="435"/>
      <c r="R395" s="435"/>
      <c r="S395" s="435"/>
      <c r="T395" s="435"/>
      <c r="U395" s="435"/>
      <c r="V395" s="435"/>
      <c r="W395" s="435"/>
      <c r="X395" s="435"/>
      <c r="Y395" s="435"/>
      <c r="Z395" s="435"/>
      <c r="AA395" s="324"/>
      <c r="AB395" s="180"/>
      <c r="AC395" s="155"/>
      <c r="AD395" s="322"/>
      <c r="AE395" s="155"/>
      <c r="AF395" s="132"/>
    </row>
    <row r="396">
      <c r="A396" s="435"/>
      <c r="B396" s="437"/>
      <c r="C396" s="437"/>
      <c r="D396" s="437"/>
      <c r="E396" s="435"/>
      <c r="F396" s="314"/>
      <c r="G396" s="314"/>
      <c r="H396" s="435"/>
      <c r="I396" s="435"/>
      <c r="J396" s="435"/>
      <c r="K396" s="435"/>
      <c r="L396" s="435"/>
      <c r="M396" s="435"/>
      <c r="N396" s="435"/>
      <c r="O396" s="314"/>
      <c r="P396" s="435"/>
      <c r="Q396" s="435"/>
      <c r="R396" s="435"/>
      <c r="S396" s="435"/>
      <c r="T396" s="435"/>
      <c r="U396" s="435"/>
      <c r="V396" s="435"/>
      <c r="W396" s="435"/>
      <c r="X396" s="435"/>
      <c r="Y396" s="435"/>
      <c r="Z396" s="435"/>
      <c r="AA396" s="324"/>
      <c r="AB396" s="180"/>
      <c r="AC396" s="155"/>
      <c r="AD396" s="322"/>
      <c r="AE396" s="155"/>
      <c r="AF396" s="132"/>
    </row>
    <row r="397">
      <c r="A397" s="474"/>
      <c r="B397" s="437"/>
      <c r="C397" s="437"/>
      <c r="D397" s="437"/>
      <c r="E397" s="435"/>
      <c r="F397" s="314"/>
      <c r="G397" s="314"/>
      <c r="H397" s="435"/>
      <c r="I397" s="435"/>
      <c r="J397" s="435"/>
      <c r="K397" s="435"/>
      <c r="L397" s="435"/>
      <c r="M397" s="435"/>
      <c r="N397" s="435"/>
      <c r="O397" s="314"/>
      <c r="P397" s="435"/>
      <c r="Q397" s="435"/>
      <c r="R397" s="435"/>
      <c r="S397" s="435"/>
      <c r="T397" s="435"/>
      <c r="U397" s="435"/>
      <c r="V397" s="435"/>
      <c r="W397" s="435"/>
      <c r="X397" s="435"/>
      <c r="Y397" s="435"/>
      <c r="Z397" s="435"/>
      <c r="AA397" s="324"/>
      <c r="AB397" s="180"/>
      <c r="AC397" s="155"/>
      <c r="AD397" s="322"/>
      <c r="AE397" s="155"/>
      <c r="AF397" s="132"/>
    </row>
    <row r="398">
      <c r="A398" s="474"/>
      <c r="B398" s="437"/>
      <c r="C398" s="313"/>
      <c r="D398" s="437"/>
      <c r="E398" s="435"/>
      <c r="F398" s="314"/>
      <c r="G398" s="314"/>
      <c r="H398" s="435"/>
      <c r="I398" s="435"/>
      <c r="J398" s="435"/>
      <c r="K398" s="314"/>
      <c r="L398" s="314"/>
      <c r="M398" s="314"/>
      <c r="N398" s="435"/>
      <c r="O398" s="314"/>
      <c r="P398" s="314"/>
      <c r="Q398" s="435"/>
      <c r="R398" s="314"/>
      <c r="S398" s="435"/>
      <c r="T398" s="435"/>
      <c r="U398" s="435"/>
      <c r="V398" s="435"/>
      <c r="W398" s="435"/>
      <c r="X398" s="435"/>
      <c r="Y398" s="435"/>
      <c r="Z398" s="435"/>
      <c r="AA398" s="324"/>
      <c r="AB398" s="180"/>
      <c r="AC398" s="155"/>
      <c r="AD398" s="322"/>
      <c r="AE398" s="155"/>
      <c r="AF398" s="132"/>
    </row>
    <row r="399">
      <c r="A399" s="474"/>
      <c r="B399" s="313"/>
      <c r="C399" s="313"/>
      <c r="D399" s="313"/>
      <c r="E399" s="314"/>
      <c r="F399" s="314"/>
      <c r="G399" s="314"/>
      <c r="H399" s="314"/>
      <c r="I399" s="314"/>
      <c r="J399" s="314"/>
      <c r="K399" s="435"/>
      <c r="L399" s="314"/>
      <c r="M399" s="314"/>
      <c r="N399" s="314"/>
      <c r="O399" s="314"/>
      <c r="P399" s="435"/>
      <c r="Q399" s="314"/>
      <c r="R399" s="314"/>
      <c r="S399" s="314"/>
      <c r="T399" s="314"/>
      <c r="U399" s="314"/>
      <c r="V399" s="314"/>
      <c r="W399" s="314"/>
      <c r="X399" s="314"/>
      <c r="Y399" s="314"/>
      <c r="Z399" s="314"/>
      <c r="AA399" s="324"/>
      <c r="AB399" s="180"/>
      <c r="AC399" s="155"/>
      <c r="AD399" s="322"/>
      <c r="AE399" s="155"/>
      <c r="AF399" s="132"/>
    </row>
    <row r="400">
      <c r="A400" s="474"/>
      <c r="B400" s="313"/>
      <c r="C400" s="437"/>
      <c r="D400" s="437"/>
      <c r="E400" s="314"/>
      <c r="F400" s="314"/>
      <c r="G400" s="314"/>
      <c r="H400" s="314"/>
      <c r="I400" s="435"/>
      <c r="J400" s="314"/>
      <c r="K400" s="314"/>
      <c r="L400" s="314"/>
      <c r="M400" s="314"/>
      <c r="N400" s="314"/>
      <c r="O400" s="314"/>
      <c r="P400" s="314"/>
      <c r="Q400" s="314"/>
      <c r="R400" s="314"/>
      <c r="S400" s="314"/>
      <c r="T400" s="314"/>
      <c r="U400" s="314"/>
      <c r="V400" s="314"/>
      <c r="W400" s="314"/>
      <c r="X400" s="314"/>
      <c r="Y400" s="314"/>
      <c r="Z400" s="314"/>
      <c r="AA400" s="324"/>
      <c r="AB400" s="180"/>
      <c r="AC400" s="155"/>
      <c r="AD400" s="322"/>
      <c r="AE400" s="155"/>
      <c r="AF400" s="132"/>
    </row>
    <row r="401">
      <c r="A401" s="474"/>
      <c r="B401" s="313"/>
      <c r="C401" s="313"/>
      <c r="D401" s="313"/>
      <c r="E401" s="314"/>
      <c r="F401" s="314"/>
      <c r="G401" s="314"/>
      <c r="H401" s="314"/>
      <c r="I401" s="314"/>
      <c r="J401" s="314"/>
      <c r="K401" s="435"/>
      <c r="L401" s="314"/>
      <c r="M401" s="314"/>
      <c r="N401" s="314"/>
      <c r="O401" s="314"/>
      <c r="P401" s="314"/>
      <c r="Q401" s="314"/>
      <c r="R401" s="314"/>
      <c r="S401" s="314"/>
      <c r="T401" s="314"/>
      <c r="U401" s="314"/>
      <c r="V401" s="314"/>
      <c r="W401" s="314"/>
      <c r="X401" s="314"/>
      <c r="Y401" s="314"/>
      <c r="Z401" s="314"/>
      <c r="AA401" s="324"/>
      <c r="AB401" s="180"/>
      <c r="AC401" s="155"/>
      <c r="AD401" s="322"/>
      <c r="AE401" s="155"/>
      <c r="AF401" s="132"/>
    </row>
    <row r="402">
      <c r="A402" s="458"/>
      <c r="B402" s="313"/>
      <c r="C402" s="437"/>
      <c r="D402" s="313"/>
      <c r="E402" s="314"/>
      <c r="F402" s="314"/>
      <c r="G402" s="314"/>
      <c r="H402" s="314"/>
      <c r="I402" s="314"/>
      <c r="J402" s="435"/>
      <c r="K402" s="435"/>
      <c r="L402" s="314"/>
      <c r="M402" s="314"/>
      <c r="N402" s="314"/>
      <c r="O402" s="314"/>
      <c r="P402" s="314"/>
      <c r="Q402" s="314"/>
      <c r="R402" s="314"/>
      <c r="S402" s="314"/>
      <c r="T402" s="314"/>
      <c r="U402" s="314"/>
      <c r="V402" s="314"/>
      <c r="W402" s="314"/>
      <c r="X402" s="314"/>
      <c r="Y402" s="314"/>
      <c r="Z402" s="314"/>
      <c r="AA402" s="324"/>
      <c r="AB402" s="180"/>
      <c r="AC402" s="155"/>
      <c r="AD402" s="322"/>
      <c r="AE402" s="155"/>
      <c r="AF402" s="132"/>
    </row>
    <row r="403">
      <c r="A403" s="435"/>
      <c r="B403" s="313"/>
      <c r="C403" s="437"/>
      <c r="D403" s="437"/>
      <c r="E403" s="435"/>
      <c r="F403" s="314"/>
      <c r="G403" s="314"/>
      <c r="H403" s="435"/>
      <c r="I403" s="314"/>
      <c r="J403" s="314"/>
      <c r="K403" s="435"/>
      <c r="L403" s="314"/>
      <c r="M403" s="435"/>
      <c r="N403" s="435"/>
      <c r="O403" s="314"/>
      <c r="P403" s="314"/>
      <c r="Q403" s="314"/>
      <c r="R403" s="435"/>
      <c r="S403" s="314"/>
      <c r="T403" s="314"/>
      <c r="U403" s="314"/>
      <c r="V403" s="314"/>
      <c r="W403" s="314"/>
      <c r="X403" s="314"/>
      <c r="Y403" s="314"/>
      <c r="Z403" s="314"/>
      <c r="AA403" s="324"/>
      <c r="AB403" s="180"/>
      <c r="AC403" s="155"/>
      <c r="AD403" s="322"/>
      <c r="AE403" s="155"/>
      <c r="AF403" s="132"/>
    </row>
    <row r="404">
      <c r="A404" s="435"/>
      <c r="B404" s="437"/>
      <c r="C404" s="313"/>
      <c r="D404" s="313"/>
      <c r="E404" s="314"/>
      <c r="F404" s="314"/>
      <c r="G404" s="314"/>
      <c r="H404" s="314"/>
      <c r="I404" s="314"/>
      <c r="J404" s="314"/>
      <c r="K404" s="314"/>
      <c r="L404" s="314"/>
      <c r="M404" s="314"/>
      <c r="N404" s="314"/>
      <c r="O404" s="314"/>
      <c r="P404" s="435"/>
      <c r="Q404" s="314"/>
      <c r="R404" s="314"/>
      <c r="S404" s="314"/>
      <c r="T404" s="314"/>
      <c r="U404" s="314"/>
      <c r="V404" s="314"/>
      <c r="W404" s="314"/>
      <c r="X404" s="314"/>
      <c r="Y404" s="314"/>
      <c r="Z404" s="314"/>
      <c r="AA404" s="324"/>
      <c r="AB404" s="180"/>
      <c r="AC404" s="155"/>
      <c r="AD404" s="322"/>
      <c r="AE404" s="155"/>
      <c r="AF404" s="132"/>
    </row>
    <row r="405">
      <c r="A405" s="435"/>
      <c r="B405" s="437"/>
      <c r="C405" s="313"/>
      <c r="D405" s="313"/>
      <c r="E405" s="314"/>
      <c r="F405" s="314"/>
      <c r="G405" s="314"/>
      <c r="H405" s="314"/>
      <c r="I405" s="314"/>
      <c r="J405" s="314"/>
      <c r="K405" s="314"/>
      <c r="L405" s="314"/>
      <c r="M405" s="314"/>
      <c r="N405" s="314"/>
      <c r="O405" s="314"/>
      <c r="P405" s="314"/>
      <c r="Q405" s="435"/>
      <c r="R405" s="314"/>
      <c r="S405" s="435"/>
      <c r="T405" s="435"/>
      <c r="U405" s="435"/>
      <c r="V405" s="435"/>
      <c r="W405" s="435"/>
      <c r="X405" s="435"/>
      <c r="Y405" s="435"/>
      <c r="Z405" s="435"/>
      <c r="AA405" s="324"/>
      <c r="AB405" s="180"/>
      <c r="AC405" s="155"/>
      <c r="AD405" s="322"/>
      <c r="AE405" s="155"/>
      <c r="AF405" s="132"/>
    </row>
    <row r="406">
      <c r="A406" s="435"/>
      <c r="B406" s="313"/>
      <c r="C406" s="437"/>
      <c r="D406" s="313"/>
      <c r="E406" s="314"/>
      <c r="F406" s="314"/>
      <c r="G406" s="314"/>
      <c r="H406" s="314"/>
      <c r="I406" s="314"/>
      <c r="J406" s="314"/>
      <c r="K406" s="314"/>
      <c r="L406" s="314"/>
      <c r="M406" s="314"/>
      <c r="N406" s="314"/>
      <c r="O406" s="314"/>
      <c r="P406" s="314"/>
      <c r="Q406" s="314"/>
      <c r="R406" s="435"/>
      <c r="S406" s="314"/>
      <c r="T406" s="314"/>
      <c r="U406" s="314"/>
      <c r="V406" s="314"/>
      <c r="W406" s="314"/>
      <c r="X406" s="314"/>
      <c r="Y406" s="314"/>
      <c r="Z406" s="314"/>
      <c r="AA406" s="324"/>
      <c r="AB406" s="180"/>
      <c r="AC406" s="155"/>
      <c r="AD406" s="322"/>
      <c r="AE406" s="155"/>
      <c r="AF406" s="132"/>
    </row>
    <row r="407">
      <c r="A407" s="435"/>
      <c r="B407" s="313"/>
      <c r="C407" s="313"/>
      <c r="D407" s="313"/>
      <c r="E407" s="314"/>
      <c r="F407" s="314"/>
      <c r="G407" s="314"/>
      <c r="H407" s="314"/>
      <c r="I407" s="314"/>
      <c r="J407" s="314"/>
      <c r="K407" s="435"/>
      <c r="L407" s="314"/>
      <c r="M407" s="435"/>
      <c r="N407" s="314"/>
      <c r="O407" s="314"/>
      <c r="P407" s="314"/>
      <c r="Q407" s="435"/>
      <c r="R407" s="314"/>
      <c r="S407" s="314"/>
      <c r="T407" s="314"/>
      <c r="U407" s="314"/>
      <c r="V407" s="314"/>
      <c r="W407" s="314"/>
      <c r="X407" s="314"/>
      <c r="Y407" s="314"/>
      <c r="Z407" s="314"/>
      <c r="AA407" s="324"/>
      <c r="AB407" s="180"/>
      <c r="AC407" s="155"/>
      <c r="AD407" s="322"/>
      <c r="AE407" s="155"/>
      <c r="AF407" s="132"/>
    </row>
    <row r="408">
      <c r="A408" s="435"/>
      <c r="B408" s="313"/>
      <c r="C408" s="437"/>
      <c r="D408" s="437"/>
      <c r="E408" s="314"/>
      <c r="F408" s="314"/>
      <c r="G408" s="314"/>
      <c r="H408" s="314"/>
      <c r="I408" s="314"/>
      <c r="J408" s="314"/>
      <c r="K408" s="435"/>
      <c r="L408" s="314"/>
      <c r="M408" s="435"/>
      <c r="N408" s="314"/>
      <c r="O408" s="314"/>
      <c r="P408" s="314"/>
      <c r="Q408" s="435"/>
      <c r="R408" s="314"/>
      <c r="S408" s="314"/>
      <c r="T408" s="314"/>
      <c r="U408" s="314"/>
      <c r="V408" s="314"/>
      <c r="W408" s="314"/>
      <c r="X408" s="314"/>
      <c r="Y408" s="314"/>
      <c r="Z408" s="314"/>
      <c r="AA408" s="324"/>
      <c r="AB408" s="180"/>
      <c r="AC408" s="155"/>
      <c r="AD408" s="322"/>
      <c r="AE408" s="155"/>
      <c r="AF408" s="132"/>
    </row>
    <row r="409">
      <c r="A409" s="476"/>
      <c r="AC409" s="176"/>
      <c r="AD409" s="322"/>
      <c r="AE409" s="155"/>
      <c r="AF409" s="132"/>
    </row>
    <row r="410">
      <c r="A410" s="178"/>
      <c r="AD410" s="322"/>
      <c r="AE410" s="155"/>
      <c r="AF410" s="132"/>
    </row>
    <row r="411">
      <c r="A411" s="474"/>
      <c r="B411" s="437"/>
      <c r="C411" s="437"/>
      <c r="D411" s="437"/>
      <c r="E411" s="435"/>
      <c r="F411" s="314"/>
      <c r="G411" s="314"/>
      <c r="H411" s="314"/>
      <c r="I411" s="435"/>
      <c r="J411" s="435"/>
      <c r="K411" s="435"/>
      <c r="L411" s="435"/>
      <c r="M411" s="435"/>
      <c r="N411" s="435"/>
      <c r="O411" s="314"/>
      <c r="P411" s="435"/>
      <c r="Q411" s="435"/>
      <c r="R411" s="435"/>
      <c r="S411" s="435"/>
      <c r="T411" s="435"/>
      <c r="U411" s="435"/>
      <c r="V411" s="435"/>
      <c r="W411" s="435"/>
      <c r="X411" s="435"/>
      <c r="Y411" s="435"/>
      <c r="Z411" s="435"/>
      <c r="AA411" s="324"/>
      <c r="AB411" s="180"/>
      <c r="AC411" s="155"/>
      <c r="AD411" s="322"/>
      <c r="AE411" s="155"/>
      <c r="AF411" s="132"/>
    </row>
    <row r="412">
      <c r="A412" s="474"/>
      <c r="B412" s="313"/>
      <c r="C412" s="437"/>
      <c r="D412" s="437"/>
      <c r="E412" s="435"/>
      <c r="F412" s="314"/>
      <c r="G412" s="314"/>
      <c r="H412" s="435"/>
      <c r="I412" s="314"/>
      <c r="J412" s="435"/>
      <c r="K412" s="435"/>
      <c r="L412" s="435"/>
      <c r="M412" s="314"/>
      <c r="N412" s="314"/>
      <c r="O412" s="314"/>
      <c r="P412" s="435"/>
      <c r="Q412" s="435"/>
      <c r="R412" s="435"/>
      <c r="S412" s="435"/>
      <c r="T412" s="435"/>
      <c r="U412" s="435"/>
      <c r="V412" s="435"/>
      <c r="W412" s="435"/>
      <c r="X412" s="435"/>
      <c r="Y412" s="435"/>
      <c r="Z412" s="435"/>
      <c r="AA412" s="324"/>
      <c r="AB412" s="180"/>
      <c r="AC412" s="155"/>
      <c r="AD412" s="322"/>
      <c r="AE412" s="155"/>
      <c r="AF412" s="132"/>
    </row>
    <row r="413">
      <c r="A413" s="477"/>
      <c r="B413" s="437"/>
      <c r="C413" s="437"/>
      <c r="D413" s="437"/>
      <c r="E413" s="314"/>
      <c r="F413" s="314"/>
      <c r="G413" s="314"/>
      <c r="H413" s="435"/>
      <c r="I413" s="435"/>
      <c r="J413" s="435"/>
      <c r="K413" s="435"/>
      <c r="L413" s="435"/>
      <c r="M413" s="435"/>
      <c r="N413" s="435"/>
      <c r="O413" s="314"/>
      <c r="P413" s="435"/>
      <c r="Q413" s="435"/>
      <c r="R413" s="435"/>
      <c r="S413" s="435"/>
      <c r="T413" s="435"/>
      <c r="U413" s="435"/>
      <c r="V413" s="435"/>
      <c r="W413" s="435"/>
      <c r="X413" s="435"/>
      <c r="Y413" s="435"/>
      <c r="Z413" s="435"/>
      <c r="AA413" s="324"/>
      <c r="AB413" s="180"/>
      <c r="AC413" s="155"/>
      <c r="AD413" s="322"/>
      <c r="AE413" s="155"/>
      <c r="AF413" s="132"/>
    </row>
    <row r="414">
      <c r="A414" s="477"/>
      <c r="B414" s="437"/>
      <c r="C414" s="437"/>
      <c r="D414" s="437"/>
      <c r="E414" s="314"/>
      <c r="F414" s="314"/>
      <c r="G414" s="314"/>
      <c r="H414" s="435"/>
      <c r="I414" s="314"/>
      <c r="J414" s="314"/>
      <c r="K414" s="435"/>
      <c r="L414" s="435"/>
      <c r="M414" s="435"/>
      <c r="N414" s="314"/>
      <c r="O414" s="314"/>
      <c r="P414" s="435"/>
      <c r="Q414" s="435"/>
      <c r="R414" s="435"/>
      <c r="S414" s="435"/>
      <c r="T414" s="435"/>
      <c r="U414" s="435"/>
      <c r="V414" s="435"/>
      <c r="W414" s="435"/>
      <c r="X414" s="435"/>
      <c r="Y414" s="435"/>
      <c r="Z414" s="435"/>
      <c r="AA414" s="324"/>
      <c r="AB414" s="180"/>
      <c r="AC414" s="155"/>
      <c r="AD414" s="322"/>
      <c r="AE414" s="155"/>
      <c r="AF414" s="132"/>
    </row>
    <row r="415">
      <c r="A415" s="477"/>
      <c r="B415" s="437"/>
      <c r="C415" s="437"/>
      <c r="D415" s="437"/>
      <c r="E415" s="435"/>
      <c r="F415" s="314"/>
      <c r="G415" s="314"/>
      <c r="H415" s="435"/>
      <c r="I415" s="435"/>
      <c r="J415" s="435"/>
      <c r="K415" s="435"/>
      <c r="L415" s="435"/>
      <c r="M415" s="435"/>
      <c r="N415" s="435"/>
      <c r="O415" s="314"/>
      <c r="P415" s="435"/>
      <c r="Q415" s="435"/>
      <c r="R415" s="435"/>
      <c r="S415" s="435"/>
      <c r="T415" s="435"/>
      <c r="U415" s="435"/>
      <c r="V415" s="435"/>
      <c r="W415" s="435"/>
      <c r="X415" s="435"/>
      <c r="Y415" s="435"/>
      <c r="Z415" s="435"/>
      <c r="AA415" s="324"/>
      <c r="AB415" s="180"/>
      <c r="AC415" s="155"/>
      <c r="AD415" s="322"/>
      <c r="AE415" s="155"/>
      <c r="AF415" s="132"/>
    </row>
    <row r="416">
      <c r="A416" s="474"/>
      <c r="B416" s="313"/>
      <c r="C416" s="437"/>
      <c r="D416" s="313"/>
      <c r="E416" s="435"/>
      <c r="F416" s="314"/>
      <c r="G416" s="314"/>
      <c r="H416" s="435"/>
      <c r="I416" s="314"/>
      <c r="J416" s="435"/>
      <c r="K416" s="435"/>
      <c r="L416" s="314"/>
      <c r="M416" s="435"/>
      <c r="N416" s="314"/>
      <c r="O416" s="314"/>
      <c r="P416" s="435"/>
      <c r="Q416" s="435"/>
      <c r="R416" s="435"/>
      <c r="S416" s="435"/>
      <c r="T416" s="435"/>
      <c r="U416" s="435"/>
      <c r="V416" s="435"/>
      <c r="W416" s="435"/>
      <c r="X416" s="435"/>
      <c r="Y416" s="435"/>
      <c r="Z416" s="435"/>
      <c r="AA416" s="324"/>
      <c r="AB416" s="180"/>
      <c r="AC416" s="155"/>
      <c r="AD416" s="322"/>
      <c r="AE416" s="155"/>
      <c r="AF416" s="132"/>
    </row>
    <row r="417">
      <c r="A417" s="478"/>
      <c r="B417" s="437"/>
      <c r="C417" s="437"/>
      <c r="D417" s="437"/>
      <c r="E417" s="435"/>
      <c r="F417" s="314"/>
      <c r="G417" s="314"/>
      <c r="H417" s="435"/>
      <c r="I417" s="435"/>
      <c r="J417" s="435"/>
      <c r="K417" s="435"/>
      <c r="L417" s="435"/>
      <c r="M417" s="435"/>
      <c r="N417" s="435"/>
      <c r="O417" s="314"/>
      <c r="P417" s="435"/>
      <c r="Q417" s="435"/>
      <c r="R417" s="435"/>
      <c r="S417" s="435"/>
      <c r="T417" s="435"/>
      <c r="U417" s="435"/>
      <c r="V417" s="435"/>
      <c r="W417" s="435"/>
      <c r="X417" s="435"/>
      <c r="Y417" s="435"/>
      <c r="Z417" s="435"/>
      <c r="AA417" s="324"/>
      <c r="AB417" s="180"/>
      <c r="AC417" s="155"/>
      <c r="AD417" s="322"/>
      <c r="AE417" s="155"/>
      <c r="AF417" s="132"/>
    </row>
    <row r="418">
      <c r="A418" s="478"/>
      <c r="B418" s="437"/>
      <c r="C418" s="437"/>
      <c r="D418" s="437"/>
      <c r="E418" s="435"/>
      <c r="F418" s="314"/>
      <c r="G418" s="314"/>
      <c r="H418" s="435"/>
      <c r="I418" s="435"/>
      <c r="J418" s="435"/>
      <c r="K418" s="435"/>
      <c r="L418" s="435"/>
      <c r="M418" s="435"/>
      <c r="N418" s="435"/>
      <c r="O418" s="314"/>
      <c r="P418" s="435"/>
      <c r="Q418" s="435"/>
      <c r="R418" s="435"/>
      <c r="S418" s="435"/>
      <c r="T418" s="435"/>
      <c r="U418" s="435"/>
      <c r="V418" s="435"/>
      <c r="W418" s="435"/>
      <c r="X418" s="435"/>
      <c r="Y418" s="435"/>
      <c r="Z418" s="435"/>
      <c r="AA418" s="324"/>
      <c r="AB418" s="180"/>
      <c r="AC418" s="155"/>
      <c r="AD418" s="322"/>
      <c r="AE418" s="155"/>
      <c r="AF418" s="132"/>
    </row>
    <row r="419">
      <c r="A419" s="478"/>
      <c r="B419" s="437"/>
      <c r="C419" s="437"/>
      <c r="D419" s="313"/>
      <c r="E419" s="314"/>
      <c r="F419" s="314"/>
      <c r="G419" s="314"/>
      <c r="H419" s="435"/>
      <c r="I419" s="435"/>
      <c r="J419" s="314"/>
      <c r="K419" s="435"/>
      <c r="L419" s="314"/>
      <c r="M419" s="435"/>
      <c r="N419" s="314"/>
      <c r="O419" s="314"/>
      <c r="P419" s="314"/>
      <c r="Q419" s="314"/>
      <c r="R419" s="314"/>
      <c r="S419" s="435"/>
      <c r="T419" s="435"/>
      <c r="U419" s="435"/>
      <c r="V419" s="435"/>
      <c r="W419" s="435"/>
      <c r="X419" s="435"/>
      <c r="Y419" s="435"/>
      <c r="Z419" s="435"/>
      <c r="AA419" s="324"/>
      <c r="AB419" s="180"/>
      <c r="AC419" s="155"/>
      <c r="AD419" s="322"/>
      <c r="AE419" s="155"/>
      <c r="AF419" s="132"/>
    </row>
    <row r="420">
      <c r="A420" s="477"/>
      <c r="B420" s="313"/>
      <c r="C420" s="437"/>
      <c r="D420" s="437"/>
      <c r="E420" s="435"/>
      <c r="F420" s="314"/>
      <c r="G420" s="314"/>
      <c r="H420" s="435"/>
      <c r="I420" s="435"/>
      <c r="J420" s="435"/>
      <c r="K420" s="435"/>
      <c r="L420" s="435"/>
      <c r="M420" s="435"/>
      <c r="N420" s="435"/>
      <c r="O420" s="314"/>
      <c r="P420" s="435"/>
      <c r="Q420" s="435"/>
      <c r="R420" s="435"/>
      <c r="S420" s="435"/>
      <c r="T420" s="435"/>
      <c r="U420" s="435"/>
      <c r="V420" s="435"/>
      <c r="W420" s="435"/>
      <c r="X420" s="435"/>
      <c r="Y420" s="435"/>
      <c r="Z420" s="435"/>
      <c r="AA420" s="324"/>
      <c r="AB420" s="180"/>
      <c r="AC420" s="155"/>
      <c r="AD420" s="322"/>
      <c r="AE420" s="155"/>
      <c r="AF420" s="132"/>
    </row>
    <row r="421">
      <c r="A421" s="477"/>
      <c r="B421" s="313"/>
      <c r="C421" s="313"/>
      <c r="D421" s="313"/>
      <c r="E421" s="314"/>
      <c r="F421" s="314"/>
      <c r="G421" s="314"/>
      <c r="H421" s="435"/>
      <c r="I421" s="314"/>
      <c r="J421" s="314"/>
      <c r="K421" s="314"/>
      <c r="L421" s="314"/>
      <c r="M421" s="314"/>
      <c r="N421" s="435"/>
      <c r="O421" s="314"/>
      <c r="P421" s="314"/>
      <c r="Q421" s="435"/>
      <c r="R421" s="314"/>
      <c r="S421" s="314"/>
      <c r="T421" s="314"/>
      <c r="U421" s="314"/>
      <c r="V421" s="314"/>
      <c r="W421" s="314"/>
      <c r="X421" s="314"/>
      <c r="Y421" s="314"/>
      <c r="Z421" s="314"/>
      <c r="AA421" s="324"/>
      <c r="AB421" s="180"/>
      <c r="AC421" s="155"/>
      <c r="AD421" s="322"/>
      <c r="AE421" s="155"/>
      <c r="AF421" s="132"/>
    </row>
    <row r="422">
      <c r="A422" s="477"/>
      <c r="B422" s="313"/>
      <c r="C422" s="313"/>
      <c r="D422" s="313"/>
      <c r="E422" s="314"/>
      <c r="F422" s="314"/>
      <c r="G422" s="314"/>
      <c r="H422" s="314"/>
      <c r="I422" s="314"/>
      <c r="J422" s="314"/>
      <c r="K422" s="314"/>
      <c r="L422" s="314"/>
      <c r="M422" s="314"/>
      <c r="N422" s="314"/>
      <c r="O422" s="314"/>
      <c r="P422" s="314"/>
      <c r="Q422" s="314"/>
      <c r="R422" s="314"/>
      <c r="S422" s="314"/>
      <c r="T422" s="314"/>
      <c r="U422" s="314"/>
      <c r="V422" s="314"/>
      <c r="W422" s="314"/>
      <c r="X422" s="314"/>
      <c r="Y422" s="314"/>
      <c r="Z422" s="314"/>
      <c r="AA422" s="324"/>
      <c r="AB422" s="180"/>
      <c r="AC422" s="155"/>
      <c r="AD422" s="322"/>
      <c r="AE422" s="155"/>
      <c r="AF422" s="132"/>
    </row>
    <row r="423">
      <c r="A423" s="476"/>
      <c r="AC423" s="176"/>
      <c r="AD423" s="322"/>
      <c r="AE423" s="155"/>
      <c r="AF423" s="132"/>
    </row>
    <row r="424">
      <c r="A424" s="178"/>
      <c r="AD424" s="322"/>
      <c r="AE424" s="155"/>
      <c r="AF424" s="132"/>
    </row>
    <row r="425">
      <c r="A425" s="477"/>
      <c r="B425" s="437"/>
      <c r="C425" s="437"/>
      <c r="D425" s="437"/>
      <c r="E425" s="314"/>
      <c r="F425" s="314"/>
      <c r="G425" s="314"/>
      <c r="H425" s="314"/>
      <c r="I425" s="314"/>
      <c r="J425" s="314"/>
      <c r="K425" s="435"/>
      <c r="L425" s="435"/>
      <c r="M425" s="314"/>
      <c r="N425" s="314"/>
      <c r="O425" s="314"/>
      <c r="P425" s="314"/>
      <c r="Q425" s="435"/>
      <c r="R425" s="435"/>
      <c r="S425" s="435"/>
      <c r="T425" s="435"/>
      <c r="U425" s="435"/>
      <c r="V425" s="435"/>
      <c r="W425" s="435"/>
      <c r="X425" s="435"/>
      <c r="Y425" s="435"/>
      <c r="Z425" s="435"/>
      <c r="AA425" s="324"/>
      <c r="AB425" s="180"/>
      <c r="AC425" s="155"/>
      <c r="AD425" s="322"/>
      <c r="AE425" s="155"/>
      <c r="AF425" s="132"/>
    </row>
    <row r="426">
      <c r="A426" s="477"/>
      <c r="B426" s="313"/>
      <c r="C426" s="437"/>
      <c r="D426" s="437"/>
      <c r="E426" s="314"/>
      <c r="F426" s="314"/>
      <c r="G426" s="314"/>
      <c r="H426" s="314"/>
      <c r="I426" s="435"/>
      <c r="J426" s="435"/>
      <c r="K426" s="435"/>
      <c r="L426" s="314"/>
      <c r="M426" s="435"/>
      <c r="N426" s="314"/>
      <c r="O426" s="314"/>
      <c r="P426" s="314"/>
      <c r="Q426" s="435"/>
      <c r="R426" s="435"/>
      <c r="S426" s="435"/>
      <c r="T426" s="435"/>
      <c r="U426" s="435"/>
      <c r="V426" s="435"/>
      <c r="W426" s="435"/>
      <c r="X426" s="435"/>
      <c r="Y426" s="435"/>
      <c r="Z426" s="435"/>
      <c r="AA426" s="324"/>
      <c r="AB426" s="180"/>
      <c r="AC426" s="155"/>
      <c r="AD426" s="322"/>
      <c r="AE426" s="155"/>
      <c r="AF426" s="132"/>
    </row>
    <row r="427">
      <c r="A427" s="477"/>
      <c r="B427" s="313"/>
      <c r="C427" s="437"/>
      <c r="D427" s="437"/>
      <c r="E427" s="435"/>
      <c r="F427" s="314"/>
      <c r="G427" s="314"/>
      <c r="H427" s="435"/>
      <c r="I427" s="314"/>
      <c r="J427" s="314"/>
      <c r="K427" s="435"/>
      <c r="L427" s="314"/>
      <c r="M427" s="435"/>
      <c r="N427" s="435"/>
      <c r="O427" s="314"/>
      <c r="P427" s="435"/>
      <c r="Q427" s="435"/>
      <c r="R427" s="435"/>
      <c r="S427" s="435"/>
      <c r="T427" s="435"/>
      <c r="U427" s="435"/>
      <c r="V427" s="435"/>
      <c r="W427" s="435"/>
      <c r="X427" s="435"/>
      <c r="Y427" s="435"/>
      <c r="Z427" s="435"/>
      <c r="AA427" s="324"/>
      <c r="AB427" s="180"/>
      <c r="AC427" s="155"/>
      <c r="AD427" s="322"/>
      <c r="AE427" s="155"/>
      <c r="AF427" s="132"/>
    </row>
    <row r="428">
      <c r="A428" s="479"/>
      <c r="B428" s="313"/>
      <c r="C428" s="313"/>
      <c r="D428" s="313"/>
      <c r="E428" s="314"/>
      <c r="F428" s="314"/>
      <c r="G428" s="314"/>
      <c r="H428" s="314"/>
      <c r="I428" s="314"/>
      <c r="J428" s="314"/>
      <c r="K428" s="314"/>
      <c r="L428" s="314"/>
      <c r="M428" s="314"/>
      <c r="N428" s="314"/>
      <c r="O428" s="314"/>
      <c r="P428" s="314"/>
      <c r="Q428" s="435"/>
      <c r="R428" s="314"/>
      <c r="S428" s="314"/>
      <c r="T428" s="314"/>
      <c r="U428" s="314"/>
      <c r="V428" s="314"/>
      <c r="W428" s="314"/>
      <c r="X428" s="314"/>
      <c r="Y428" s="314"/>
      <c r="Z428" s="314"/>
      <c r="AA428" s="324"/>
      <c r="AB428" s="180"/>
      <c r="AC428" s="155"/>
      <c r="AD428" s="322"/>
      <c r="AE428" s="155"/>
      <c r="AF428" s="132"/>
    </row>
    <row r="429">
      <c r="A429" s="476"/>
      <c r="AC429" s="176"/>
      <c r="AD429" s="322"/>
      <c r="AE429" s="155"/>
      <c r="AF429" s="132"/>
    </row>
    <row r="430">
      <c r="A430" s="178"/>
      <c r="AD430" s="322"/>
      <c r="AE430" s="155"/>
      <c r="AF430" s="132"/>
    </row>
    <row r="431">
      <c r="A431" s="480"/>
      <c r="B431" s="313"/>
      <c r="C431" s="437"/>
      <c r="D431" s="313"/>
      <c r="E431" s="314"/>
      <c r="F431" s="314"/>
      <c r="G431" s="314"/>
      <c r="H431" s="314"/>
      <c r="I431" s="314"/>
      <c r="J431" s="435"/>
      <c r="K431" s="435"/>
      <c r="L431" s="314"/>
      <c r="M431" s="314"/>
      <c r="N431" s="314"/>
      <c r="O431" s="314"/>
      <c r="P431" s="314"/>
      <c r="Q431" s="435"/>
      <c r="R431" s="314"/>
      <c r="S431" s="314"/>
      <c r="T431" s="314"/>
      <c r="U431" s="314"/>
      <c r="V431" s="314"/>
      <c r="W431" s="314"/>
      <c r="X431" s="314"/>
      <c r="Y431" s="314"/>
      <c r="Z431" s="314"/>
      <c r="AA431" s="324"/>
      <c r="AB431" s="180"/>
      <c r="AC431" s="180"/>
      <c r="AD431" s="322"/>
      <c r="AE431" s="155"/>
      <c r="AF431" s="132"/>
    </row>
    <row r="432">
      <c r="A432" s="480"/>
      <c r="B432" s="313"/>
      <c r="C432" s="437"/>
      <c r="D432" s="313"/>
      <c r="E432" s="314"/>
      <c r="F432" s="314"/>
      <c r="G432" s="314"/>
      <c r="H432" s="435"/>
      <c r="I432" s="314"/>
      <c r="J432" s="435"/>
      <c r="K432" s="435"/>
      <c r="L432" s="314"/>
      <c r="M432" s="435"/>
      <c r="N432" s="435"/>
      <c r="O432" s="314"/>
      <c r="P432" s="435"/>
      <c r="Q432" s="435"/>
      <c r="R432" s="314"/>
      <c r="S432" s="435"/>
      <c r="T432" s="435"/>
      <c r="U432" s="435"/>
      <c r="V432" s="435"/>
      <c r="W432" s="435"/>
      <c r="X432" s="435"/>
      <c r="Y432" s="435"/>
      <c r="Z432" s="435"/>
      <c r="AA432" s="324"/>
      <c r="AB432" s="180"/>
      <c r="AC432" s="180"/>
      <c r="AD432" s="322"/>
      <c r="AE432" s="132"/>
      <c r="AF432" s="132"/>
    </row>
    <row r="433">
      <c r="A433" s="476"/>
      <c r="AC433" s="176"/>
      <c r="AD433" s="322"/>
      <c r="AE433" s="132"/>
      <c r="AF433" s="132"/>
    </row>
    <row r="434">
      <c r="A434" s="178"/>
      <c r="AD434" s="322"/>
      <c r="AE434" s="132"/>
      <c r="AF434" s="132"/>
    </row>
    <row r="435">
      <c r="A435" s="481"/>
      <c r="B435" s="313"/>
      <c r="C435" s="437"/>
      <c r="D435" s="437"/>
      <c r="E435" s="435"/>
      <c r="F435" s="314"/>
      <c r="G435" s="435"/>
      <c r="H435" s="435"/>
      <c r="I435" s="435"/>
      <c r="J435" s="314"/>
      <c r="K435" s="435"/>
      <c r="L435" s="435"/>
      <c r="M435" s="435"/>
      <c r="N435" s="314"/>
      <c r="O435" s="314"/>
      <c r="P435" s="435"/>
      <c r="Q435" s="435"/>
      <c r="R435" s="435"/>
      <c r="S435" s="435"/>
      <c r="T435" s="435"/>
      <c r="U435" s="435"/>
      <c r="V435" s="435"/>
      <c r="W435" s="435"/>
      <c r="X435" s="435"/>
      <c r="Y435" s="435"/>
      <c r="Z435" s="435"/>
      <c r="AA435" s="324"/>
      <c r="AB435" s="180"/>
      <c r="AC435" s="155"/>
      <c r="AD435" s="322"/>
      <c r="AE435" s="132"/>
      <c r="AF435" s="132"/>
    </row>
    <row r="436">
      <c r="A436" s="435"/>
      <c r="B436" s="313"/>
      <c r="C436" s="437"/>
      <c r="D436" s="437"/>
      <c r="E436" s="314"/>
      <c r="F436" s="314"/>
      <c r="G436" s="314"/>
      <c r="H436" s="435"/>
      <c r="I436" s="314"/>
      <c r="J436" s="435"/>
      <c r="K436" s="435"/>
      <c r="L436" s="314"/>
      <c r="M436" s="314"/>
      <c r="N436" s="314"/>
      <c r="O436" s="314"/>
      <c r="P436" s="435"/>
      <c r="Q436" s="435"/>
      <c r="R436" s="435"/>
      <c r="S436" s="435"/>
      <c r="T436" s="435"/>
      <c r="U436" s="435"/>
      <c r="V436" s="435"/>
      <c r="W436" s="435"/>
      <c r="X436" s="435"/>
      <c r="Y436" s="435"/>
      <c r="Z436" s="435"/>
      <c r="AA436" s="324"/>
      <c r="AB436" s="180"/>
      <c r="AC436" s="155"/>
      <c r="AD436" s="322"/>
      <c r="AE436" s="132"/>
      <c r="AF436" s="132"/>
    </row>
    <row r="437">
      <c r="A437" s="482"/>
      <c r="B437" s="313"/>
      <c r="C437" s="313"/>
      <c r="D437" s="437"/>
      <c r="E437" s="314"/>
      <c r="F437" s="314"/>
      <c r="G437" s="314"/>
      <c r="H437" s="314"/>
      <c r="I437" s="314"/>
      <c r="J437" s="314"/>
      <c r="K437" s="435"/>
      <c r="L437" s="314"/>
      <c r="M437" s="314"/>
      <c r="N437" s="314"/>
      <c r="O437" s="314"/>
      <c r="P437" s="314"/>
      <c r="Q437" s="314"/>
      <c r="R437" s="435"/>
      <c r="S437" s="314"/>
      <c r="T437" s="314"/>
      <c r="U437" s="314"/>
      <c r="V437" s="314"/>
      <c r="W437" s="314"/>
      <c r="X437" s="314"/>
      <c r="Y437" s="314"/>
      <c r="Z437" s="314"/>
      <c r="AA437" s="324"/>
      <c r="AB437" s="180"/>
      <c r="AC437" s="155"/>
      <c r="AD437" s="322"/>
      <c r="AE437" s="132"/>
      <c r="AF437" s="132"/>
    </row>
    <row r="438">
      <c r="A438" s="482"/>
      <c r="B438" s="313"/>
      <c r="C438" s="437"/>
      <c r="D438" s="437"/>
      <c r="E438" s="435"/>
      <c r="F438" s="314"/>
      <c r="G438" s="314"/>
      <c r="H438" s="435"/>
      <c r="I438" s="435"/>
      <c r="J438" s="435"/>
      <c r="K438" s="435"/>
      <c r="L438" s="435"/>
      <c r="M438" s="435"/>
      <c r="N438" s="435"/>
      <c r="O438" s="314"/>
      <c r="P438" s="435"/>
      <c r="Q438" s="435"/>
      <c r="R438" s="435"/>
      <c r="S438" s="435"/>
      <c r="T438" s="435"/>
      <c r="U438" s="435"/>
      <c r="V438" s="435"/>
      <c r="W438" s="435"/>
      <c r="X438" s="435"/>
      <c r="Y438" s="435"/>
      <c r="Z438" s="435"/>
      <c r="AA438" s="324"/>
      <c r="AB438" s="180"/>
      <c r="AC438" s="155"/>
      <c r="AD438" s="322"/>
      <c r="AE438" s="132"/>
      <c r="AF438" s="132"/>
    </row>
    <row r="439">
      <c r="A439" s="314"/>
      <c r="B439" s="313"/>
      <c r="C439" s="313"/>
      <c r="D439" s="313"/>
      <c r="E439" s="314"/>
      <c r="F439" s="314"/>
      <c r="G439" s="314"/>
      <c r="H439" s="314"/>
      <c r="I439" s="314"/>
      <c r="J439" s="314"/>
      <c r="K439" s="314"/>
      <c r="L439" s="314"/>
      <c r="M439" s="314"/>
      <c r="N439" s="314"/>
      <c r="O439" s="314"/>
      <c r="P439" s="314"/>
      <c r="Q439" s="314"/>
      <c r="R439" s="314"/>
      <c r="S439" s="314"/>
      <c r="T439" s="314"/>
      <c r="U439" s="314"/>
      <c r="V439" s="314"/>
      <c r="W439" s="314"/>
      <c r="X439" s="314"/>
      <c r="Y439" s="314"/>
      <c r="Z439" s="314"/>
      <c r="AA439" s="483"/>
      <c r="AC439" s="484"/>
      <c r="AD439" s="322"/>
      <c r="AE439" s="132"/>
      <c r="AF439" s="132"/>
    </row>
    <row r="440">
      <c r="A440" s="314"/>
      <c r="B440" s="313"/>
      <c r="C440" s="313"/>
      <c r="D440" s="313"/>
      <c r="E440" s="314"/>
      <c r="F440" s="314"/>
      <c r="G440" s="314"/>
      <c r="H440" s="314"/>
      <c r="I440" s="314"/>
      <c r="J440" s="314"/>
      <c r="K440" s="314"/>
      <c r="L440" s="314"/>
      <c r="M440" s="314"/>
      <c r="N440" s="314"/>
      <c r="O440" s="314"/>
      <c r="P440" s="314"/>
      <c r="Q440" s="314"/>
      <c r="R440" s="314"/>
      <c r="S440" s="314"/>
      <c r="T440" s="314"/>
      <c r="U440" s="314"/>
      <c r="V440" s="314"/>
      <c r="W440" s="314"/>
      <c r="X440" s="314"/>
      <c r="Y440" s="314"/>
      <c r="Z440" s="314"/>
      <c r="AA440" s="324"/>
      <c r="AB440" s="155"/>
      <c r="AC440" s="155"/>
      <c r="AD440" s="322"/>
      <c r="AE440" s="132"/>
      <c r="AF440" s="132"/>
    </row>
    <row r="441">
      <c r="A441" s="314"/>
      <c r="B441" s="313"/>
      <c r="C441" s="313"/>
      <c r="D441" s="313"/>
      <c r="E441" s="314"/>
      <c r="F441" s="314"/>
      <c r="G441" s="314"/>
      <c r="H441" s="314"/>
      <c r="I441" s="314"/>
      <c r="J441" s="314"/>
      <c r="K441" s="314"/>
      <c r="L441" s="314"/>
      <c r="M441" s="314"/>
      <c r="N441" s="314"/>
      <c r="O441" s="314"/>
      <c r="P441" s="314"/>
      <c r="Q441" s="314"/>
      <c r="R441" s="314"/>
      <c r="S441" s="314"/>
      <c r="T441" s="314"/>
      <c r="U441" s="314"/>
      <c r="V441" s="314"/>
      <c r="W441" s="314"/>
      <c r="X441" s="314"/>
      <c r="Y441" s="314"/>
      <c r="Z441" s="314"/>
      <c r="AA441" s="324"/>
      <c r="AB441" s="155"/>
      <c r="AC441" s="155"/>
      <c r="AD441" s="322"/>
      <c r="AE441" s="132"/>
      <c r="AF441" s="132"/>
    </row>
    <row r="442">
      <c r="A442" s="314"/>
      <c r="B442" s="313"/>
      <c r="C442" s="313"/>
      <c r="D442" s="313"/>
      <c r="E442" s="314"/>
      <c r="F442" s="314"/>
      <c r="G442" s="314"/>
      <c r="H442" s="314"/>
      <c r="I442" s="314"/>
      <c r="J442" s="314"/>
      <c r="K442" s="314"/>
      <c r="L442" s="314"/>
      <c r="M442" s="314"/>
      <c r="N442" s="314"/>
      <c r="O442" s="314"/>
      <c r="P442" s="314"/>
      <c r="Q442" s="314"/>
      <c r="R442" s="314"/>
      <c r="S442" s="314"/>
      <c r="T442" s="314"/>
      <c r="U442" s="314"/>
      <c r="V442" s="314"/>
      <c r="W442" s="314"/>
      <c r="X442" s="314"/>
      <c r="Y442" s="314"/>
      <c r="Z442" s="314"/>
      <c r="AA442" s="324"/>
      <c r="AB442" s="155"/>
      <c r="AC442" s="155"/>
      <c r="AD442" s="322"/>
      <c r="AE442" s="132"/>
      <c r="AF442" s="132"/>
    </row>
    <row r="443">
      <c r="A443" s="314"/>
      <c r="B443" s="313"/>
      <c r="C443" s="313"/>
      <c r="D443" s="313"/>
      <c r="E443" s="314"/>
      <c r="F443" s="314"/>
      <c r="G443" s="314"/>
      <c r="H443" s="314"/>
      <c r="I443" s="314"/>
      <c r="J443" s="314"/>
      <c r="K443" s="314"/>
      <c r="L443" s="314"/>
      <c r="M443" s="314"/>
      <c r="N443" s="314"/>
      <c r="O443" s="314"/>
      <c r="P443" s="314"/>
      <c r="Q443" s="314"/>
      <c r="R443" s="314"/>
      <c r="S443" s="314"/>
      <c r="T443" s="314"/>
      <c r="U443" s="314"/>
      <c r="V443" s="314"/>
      <c r="W443" s="314"/>
      <c r="X443" s="314"/>
      <c r="Y443" s="314"/>
      <c r="Z443" s="314"/>
      <c r="AA443" s="324"/>
      <c r="AB443" s="155"/>
      <c r="AC443" s="155"/>
      <c r="AD443" s="322"/>
      <c r="AE443" s="132"/>
      <c r="AF443" s="132"/>
    </row>
    <row r="444">
      <c r="A444" s="314"/>
      <c r="B444" s="313"/>
      <c r="C444" s="313"/>
      <c r="D444" s="313"/>
      <c r="E444" s="314"/>
      <c r="F444" s="314"/>
      <c r="G444" s="314"/>
      <c r="H444" s="314"/>
      <c r="I444" s="314"/>
      <c r="J444" s="314"/>
      <c r="K444" s="314"/>
      <c r="L444" s="314"/>
      <c r="M444" s="314"/>
      <c r="N444" s="314"/>
      <c r="O444" s="314"/>
      <c r="P444" s="314"/>
      <c r="Q444" s="314"/>
      <c r="R444" s="314"/>
      <c r="S444" s="314"/>
      <c r="T444" s="314"/>
      <c r="U444" s="314"/>
      <c r="V444" s="314"/>
      <c r="W444" s="314"/>
      <c r="X444" s="314"/>
      <c r="Y444" s="314"/>
      <c r="Z444" s="314"/>
      <c r="AA444" s="324"/>
      <c r="AB444" s="155"/>
      <c r="AC444" s="155"/>
      <c r="AD444" s="322"/>
      <c r="AE444" s="132"/>
      <c r="AF444" s="132"/>
    </row>
    <row r="445">
      <c r="A445" s="314"/>
      <c r="B445" s="313"/>
      <c r="C445" s="313"/>
      <c r="D445" s="313"/>
      <c r="E445" s="314"/>
      <c r="F445" s="314"/>
      <c r="G445" s="314"/>
      <c r="H445" s="314"/>
      <c r="I445" s="314"/>
      <c r="J445" s="314"/>
      <c r="K445" s="314"/>
      <c r="L445" s="314"/>
      <c r="M445" s="314"/>
      <c r="N445" s="314"/>
      <c r="O445" s="314"/>
      <c r="P445" s="314"/>
      <c r="Q445" s="314"/>
      <c r="R445" s="314"/>
      <c r="S445" s="314"/>
      <c r="T445" s="314"/>
      <c r="U445" s="314"/>
      <c r="V445" s="314"/>
      <c r="W445" s="314"/>
      <c r="X445" s="314"/>
      <c r="Y445" s="314"/>
      <c r="Z445" s="314"/>
      <c r="AA445" s="324"/>
      <c r="AB445" s="155"/>
      <c r="AC445" s="155"/>
      <c r="AD445" s="322"/>
      <c r="AE445" s="132"/>
      <c r="AF445" s="132"/>
    </row>
    <row r="446">
      <c r="A446" s="314"/>
      <c r="B446" s="313"/>
      <c r="C446" s="313"/>
      <c r="D446" s="313"/>
      <c r="E446" s="314"/>
      <c r="F446" s="314"/>
      <c r="G446" s="314"/>
      <c r="H446" s="314"/>
      <c r="I446" s="314"/>
      <c r="J446" s="314"/>
      <c r="K446" s="314"/>
      <c r="L446" s="314"/>
      <c r="M446" s="314"/>
      <c r="N446" s="314"/>
      <c r="O446" s="314"/>
      <c r="P446" s="314"/>
      <c r="Q446" s="314"/>
      <c r="R446" s="314"/>
      <c r="S446" s="314"/>
      <c r="T446" s="314"/>
      <c r="U446" s="314"/>
      <c r="V446" s="314"/>
      <c r="W446" s="314"/>
      <c r="X446" s="314"/>
      <c r="Y446" s="314"/>
      <c r="Z446" s="314"/>
      <c r="AA446" s="324"/>
      <c r="AB446" s="155"/>
      <c r="AC446" s="155"/>
      <c r="AD446" s="322"/>
      <c r="AE446" s="132"/>
      <c r="AF446" s="132"/>
    </row>
    <row r="447">
      <c r="A447" s="314"/>
      <c r="B447" s="313"/>
      <c r="C447" s="313"/>
      <c r="D447" s="313"/>
      <c r="E447" s="314"/>
      <c r="F447" s="314"/>
      <c r="G447" s="314"/>
      <c r="H447" s="314"/>
      <c r="I447" s="314"/>
      <c r="J447" s="314"/>
      <c r="K447" s="314"/>
      <c r="L447" s="314"/>
      <c r="M447" s="314"/>
      <c r="N447" s="314"/>
      <c r="O447" s="314"/>
      <c r="P447" s="314"/>
      <c r="Q447" s="314"/>
      <c r="R447" s="314"/>
      <c r="S447" s="314"/>
      <c r="T447" s="314"/>
      <c r="U447" s="314"/>
      <c r="V447" s="314"/>
      <c r="W447" s="314"/>
      <c r="X447" s="314"/>
      <c r="Y447" s="314"/>
      <c r="Z447" s="314"/>
      <c r="AA447" s="324"/>
      <c r="AB447" s="155"/>
      <c r="AC447" s="155"/>
      <c r="AD447" s="322"/>
      <c r="AE447" s="132"/>
      <c r="AF447" s="132"/>
    </row>
    <row r="448">
      <c r="A448" s="314"/>
      <c r="B448" s="313"/>
      <c r="C448" s="313"/>
      <c r="D448" s="313"/>
      <c r="E448" s="314"/>
      <c r="F448" s="314"/>
      <c r="G448" s="314"/>
      <c r="H448" s="314"/>
      <c r="I448" s="314"/>
      <c r="J448" s="314"/>
      <c r="K448" s="314"/>
      <c r="L448" s="314"/>
      <c r="M448" s="314"/>
      <c r="N448" s="314"/>
      <c r="O448" s="314"/>
      <c r="P448" s="314"/>
      <c r="Q448" s="314"/>
      <c r="R448" s="314"/>
      <c r="S448" s="314"/>
      <c r="T448" s="314"/>
      <c r="U448" s="314"/>
      <c r="V448" s="314"/>
      <c r="W448" s="314"/>
      <c r="X448" s="314"/>
      <c r="Y448" s="314"/>
      <c r="Z448" s="314"/>
      <c r="AA448" s="324"/>
      <c r="AB448" s="155"/>
      <c r="AC448" s="155"/>
      <c r="AD448" s="322"/>
      <c r="AE448" s="132"/>
      <c r="AF448" s="132"/>
    </row>
    <row r="449">
      <c r="A449" s="314"/>
      <c r="B449" s="313"/>
      <c r="C449" s="313"/>
      <c r="D449" s="313"/>
      <c r="E449" s="314"/>
      <c r="F449" s="314"/>
      <c r="G449" s="314"/>
      <c r="H449" s="314"/>
      <c r="I449" s="314"/>
      <c r="J449" s="314"/>
      <c r="K449" s="314"/>
      <c r="L449" s="314"/>
      <c r="M449" s="314"/>
      <c r="N449" s="314"/>
      <c r="O449" s="314"/>
      <c r="P449" s="314"/>
      <c r="Q449" s="314"/>
      <c r="R449" s="314"/>
      <c r="S449" s="314"/>
      <c r="T449" s="314"/>
      <c r="U449" s="314"/>
      <c r="V449" s="314"/>
      <c r="W449" s="314"/>
      <c r="X449" s="314"/>
      <c r="Y449" s="314"/>
      <c r="Z449" s="314"/>
      <c r="AA449" s="324"/>
      <c r="AB449" s="155"/>
      <c r="AC449" s="155"/>
      <c r="AD449" s="322"/>
      <c r="AE449" s="132"/>
      <c r="AF449" s="132"/>
    </row>
    <row r="450">
      <c r="A450" s="314"/>
      <c r="B450" s="313"/>
      <c r="C450" s="313"/>
      <c r="D450" s="313"/>
      <c r="E450" s="314"/>
      <c r="F450" s="314"/>
      <c r="G450" s="314"/>
      <c r="H450" s="314"/>
      <c r="I450" s="314"/>
      <c r="J450" s="314"/>
      <c r="K450" s="314"/>
      <c r="L450" s="314"/>
      <c r="M450" s="314"/>
      <c r="N450" s="314"/>
      <c r="O450" s="314"/>
      <c r="P450" s="314"/>
      <c r="Q450" s="314"/>
      <c r="R450" s="314"/>
      <c r="S450" s="314"/>
      <c r="T450" s="314"/>
      <c r="U450" s="314"/>
      <c r="V450" s="314"/>
      <c r="W450" s="314"/>
      <c r="X450" s="314"/>
      <c r="Y450" s="314"/>
      <c r="Z450" s="314"/>
      <c r="AA450" s="324"/>
      <c r="AB450" s="155"/>
      <c r="AC450" s="155"/>
      <c r="AD450" s="322"/>
      <c r="AE450" s="132"/>
      <c r="AF450" s="132"/>
    </row>
    <row r="451">
      <c r="A451" s="314"/>
      <c r="B451" s="313"/>
      <c r="C451" s="313"/>
      <c r="D451" s="313"/>
      <c r="E451" s="314"/>
      <c r="F451" s="314"/>
      <c r="G451" s="314"/>
      <c r="H451" s="314"/>
      <c r="I451" s="314"/>
      <c r="J451" s="314"/>
      <c r="K451" s="314"/>
      <c r="L451" s="314"/>
      <c r="M451" s="314"/>
      <c r="N451" s="314"/>
      <c r="O451" s="314"/>
      <c r="P451" s="314"/>
      <c r="Q451" s="314"/>
      <c r="R451" s="314"/>
      <c r="S451" s="314"/>
      <c r="T451" s="314"/>
      <c r="U451" s="314"/>
      <c r="V451" s="314"/>
      <c r="W451" s="314"/>
      <c r="X451" s="314"/>
      <c r="Y451" s="314"/>
      <c r="Z451" s="314"/>
      <c r="AA451" s="324"/>
      <c r="AB451" s="155"/>
      <c r="AC451" s="155"/>
      <c r="AD451" s="322"/>
      <c r="AE451" s="132"/>
      <c r="AF451" s="132"/>
    </row>
    <row r="452">
      <c r="A452" s="314"/>
      <c r="B452" s="313"/>
      <c r="C452" s="313"/>
      <c r="D452" s="313"/>
      <c r="E452" s="314"/>
      <c r="F452" s="314"/>
      <c r="G452" s="314"/>
      <c r="H452" s="314"/>
      <c r="I452" s="314"/>
      <c r="J452" s="314"/>
      <c r="K452" s="314"/>
      <c r="L452" s="314"/>
      <c r="M452" s="314"/>
      <c r="N452" s="314"/>
      <c r="O452" s="314"/>
      <c r="P452" s="314"/>
      <c r="Q452" s="314"/>
      <c r="R452" s="314"/>
      <c r="S452" s="314"/>
      <c r="T452" s="314"/>
      <c r="U452" s="314"/>
      <c r="V452" s="314"/>
      <c r="W452" s="314"/>
      <c r="X452" s="314"/>
      <c r="Y452" s="314"/>
      <c r="Z452" s="314"/>
      <c r="AA452" s="324"/>
      <c r="AB452" s="155"/>
      <c r="AC452" s="155"/>
      <c r="AD452" s="322"/>
      <c r="AE452" s="132"/>
      <c r="AF452" s="132"/>
    </row>
    <row r="453">
      <c r="A453" s="314"/>
      <c r="B453" s="313"/>
      <c r="C453" s="313"/>
      <c r="D453" s="313"/>
      <c r="E453" s="314"/>
      <c r="F453" s="314"/>
      <c r="G453" s="314"/>
      <c r="H453" s="314"/>
      <c r="I453" s="314"/>
      <c r="J453" s="314"/>
      <c r="K453" s="314"/>
      <c r="L453" s="314"/>
      <c r="M453" s="314"/>
      <c r="N453" s="314"/>
      <c r="O453" s="314"/>
      <c r="P453" s="314"/>
      <c r="Q453" s="314"/>
      <c r="R453" s="314"/>
      <c r="S453" s="314"/>
      <c r="T453" s="314"/>
      <c r="U453" s="314"/>
      <c r="V453" s="314"/>
      <c r="W453" s="314"/>
      <c r="X453" s="314"/>
      <c r="Y453" s="314"/>
      <c r="Z453" s="314"/>
      <c r="AA453" s="324"/>
      <c r="AB453" s="155"/>
      <c r="AC453" s="155"/>
      <c r="AD453" s="322"/>
      <c r="AE453" s="132"/>
      <c r="AF453" s="132"/>
    </row>
    <row r="454">
      <c r="A454" s="314"/>
      <c r="B454" s="313"/>
      <c r="C454" s="313"/>
      <c r="D454" s="313"/>
      <c r="E454" s="314"/>
      <c r="F454" s="314"/>
      <c r="G454" s="314"/>
      <c r="H454" s="314"/>
      <c r="I454" s="314"/>
      <c r="J454" s="314"/>
      <c r="K454" s="314"/>
      <c r="L454" s="314"/>
      <c r="M454" s="314"/>
      <c r="N454" s="314"/>
      <c r="O454" s="314"/>
      <c r="P454" s="314"/>
      <c r="Q454" s="314"/>
      <c r="R454" s="314"/>
      <c r="S454" s="314"/>
      <c r="T454" s="314"/>
      <c r="U454" s="314"/>
      <c r="V454" s="314"/>
      <c r="W454" s="314"/>
      <c r="X454" s="314"/>
      <c r="Y454" s="314"/>
      <c r="Z454" s="314"/>
      <c r="AA454" s="324"/>
      <c r="AB454" s="155"/>
      <c r="AC454" s="155"/>
      <c r="AD454" s="322"/>
      <c r="AE454" s="132"/>
      <c r="AF454" s="132"/>
    </row>
    <row r="455">
      <c r="A455" s="314"/>
      <c r="B455" s="313"/>
      <c r="C455" s="313"/>
      <c r="D455" s="313"/>
      <c r="E455" s="314"/>
      <c r="F455" s="314"/>
      <c r="G455" s="314"/>
      <c r="H455" s="314"/>
      <c r="I455" s="314"/>
      <c r="J455" s="314"/>
      <c r="K455" s="314"/>
      <c r="L455" s="314"/>
      <c r="M455" s="314"/>
      <c r="N455" s="314"/>
      <c r="O455" s="314"/>
      <c r="P455" s="314"/>
      <c r="Q455" s="314"/>
      <c r="R455" s="314"/>
      <c r="S455" s="314"/>
      <c r="T455" s="314"/>
      <c r="U455" s="314"/>
      <c r="V455" s="314"/>
      <c r="W455" s="314"/>
      <c r="X455" s="314"/>
      <c r="Y455" s="314"/>
      <c r="Z455" s="314"/>
      <c r="AA455" s="324"/>
      <c r="AB455" s="155"/>
      <c r="AC455" s="155"/>
      <c r="AD455" s="322"/>
      <c r="AE455" s="132"/>
      <c r="AF455" s="132"/>
    </row>
    <row r="456">
      <c r="A456" s="314"/>
      <c r="B456" s="313"/>
      <c r="C456" s="313"/>
      <c r="D456" s="313"/>
      <c r="E456" s="314"/>
      <c r="F456" s="314"/>
      <c r="G456" s="314"/>
      <c r="H456" s="314"/>
      <c r="I456" s="314"/>
      <c r="J456" s="314"/>
      <c r="K456" s="314"/>
      <c r="L456" s="314"/>
      <c r="M456" s="314"/>
      <c r="N456" s="314"/>
      <c r="O456" s="314"/>
      <c r="P456" s="314"/>
      <c r="Q456" s="314"/>
      <c r="R456" s="314"/>
      <c r="S456" s="314"/>
      <c r="T456" s="314"/>
      <c r="U456" s="314"/>
      <c r="V456" s="314"/>
      <c r="W456" s="314"/>
      <c r="X456" s="314"/>
      <c r="Y456" s="314"/>
      <c r="Z456" s="314"/>
      <c r="AA456" s="324"/>
      <c r="AB456" s="155"/>
      <c r="AC456" s="155"/>
      <c r="AD456" s="322"/>
      <c r="AE456" s="132"/>
      <c r="AF456" s="132"/>
    </row>
    <row r="457">
      <c r="A457" s="314"/>
      <c r="B457" s="313"/>
      <c r="C457" s="313"/>
      <c r="D457" s="313"/>
      <c r="E457" s="314"/>
      <c r="F457" s="314"/>
      <c r="G457" s="314"/>
      <c r="H457" s="314"/>
      <c r="I457" s="314"/>
      <c r="J457" s="314"/>
      <c r="K457" s="314"/>
      <c r="L457" s="314"/>
      <c r="M457" s="314"/>
      <c r="N457" s="314"/>
      <c r="O457" s="314"/>
      <c r="P457" s="314"/>
      <c r="Q457" s="314"/>
      <c r="R457" s="314"/>
      <c r="S457" s="314"/>
      <c r="T457" s="314"/>
      <c r="U457" s="314"/>
      <c r="V457" s="314"/>
      <c r="W457" s="314"/>
      <c r="X457" s="314"/>
      <c r="Y457" s="314"/>
      <c r="Z457" s="314"/>
      <c r="AA457" s="324"/>
      <c r="AB457" s="155"/>
      <c r="AC457" s="155"/>
      <c r="AD457" s="322"/>
      <c r="AE457" s="132"/>
      <c r="AF457" s="132"/>
    </row>
    <row r="458">
      <c r="A458" s="314"/>
      <c r="B458" s="313"/>
      <c r="C458" s="313"/>
      <c r="D458" s="313"/>
      <c r="E458" s="314"/>
      <c r="F458" s="314"/>
      <c r="G458" s="314"/>
      <c r="H458" s="314"/>
      <c r="I458" s="314"/>
      <c r="J458" s="314"/>
      <c r="K458" s="314"/>
      <c r="L458" s="314"/>
      <c r="M458" s="314"/>
      <c r="N458" s="314"/>
      <c r="O458" s="314"/>
      <c r="P458" s="314"/>
      <c r="Q458" s="314"/>
      <c r="R458" s="314"/>
      <c r="S458" s="314"/>
      <c r="T458" s="314"/>
      <c r="U458" s="314"/>
      <c r="V458" s="314"/>
      <c r="W458" s="314"/>
      <c r="X458" s="314"/>
      <c r="Y458" s="314"/>
      <c r="Z458" s="314"/>
      <c r="AA458" s="324"/>
      <c r="AB458" s="155"/>
      <c r="AC458" s="155"/>
      <c r="AD458" s="322"/>
      <c r="AE458" s="132"/>
      <c r="AF458" s="132"/>
    </row>
    <row r="459">
      <c r="A459" s="314"/>
      <c r="B459" s="313"/>
      <c r="C459" s="313"/>
      <c r="D459" s="313"/>
      <c r="E459" s="314"/>
      <c r="F459" s="314"/>
      <c r="G459" s="314"/>
      <c r="H459" s="314"/>
      <c r="I459" s="314"/>
      <c r="J459" s="314"/>
      <c r="K459" s="314"/>
      <c r="L459" s="314"/>
      <c r="M459" s="314"/>
      <c r="N459" s="314"/>
      <c r="O459" s="314"/>
      <c r="P459" s="314"/>
      <c r="Q459" s="314"/>
      <c r="R459" s="314"/>
      <c r="S459" s="314"/>
      <c r="T459" s="314"/>
      <c r="U459" s="314"/>
      <c r="V459" s="314"/>
      <c r="W459" s="314"/>
      <c r="X459" s="314"/>
      <c r="Y459" s="314"/>
      <c r="Z459" s="314"/>
      <c r="AA459" s="324"/>
      <c r="AB459" s="155"/>
      <c r="AC459" s="155"/>
      <c r="AD459" s="322"/>
      <c r="AE459" s="132"/>
      <c r="AF459" s="132"/>
    </row>
    <row r="460">
      <c r="A460" s="314"/>
      <c r="B460" s="313"/>
      <c r="C460" s="313"/>
      <c r="D460" s="313"/>
      <c r="E460" s="314"/>
      <c r="F460" s="314"/>
      <c r="G460" s="314"/>
      <c r="H460" s="314"/>
      <c r="I460" s="314"/>
      <c r="J460" s="314"/>
      <c r="K460" s="314"/>
      <c r="L460" s="314"/>
      <c r="M460" s="314"/>
      <c r="N460" s="314"/>
      <c r="O460" s="314"/>
      <c r="P460" s="314"/>
      <c r="Q460" s="314"/>
      <c r="R460" s="314"/>
      <c r="S460" s="314"/>
      <c r="T460" s="314"/>
      <c r="U460" s="314"/>
      <c r="V460" s="314"/>
      <c r="W460" s="314"/>
      <c r="X460" s="314"/>
      <c r="Y460" s="314"/>
      <c r="Z460" s="314"/>
      <c r="AA460" s="324"/>
      <c r="AB460" s="155"/>
      <c r="AC460" s="155"/>
      <c r="AD460" s="322"/>
      <c r="AE460" s="132"/>
      <c r="AF460" s="132"/>
    </row>
    <row r="461">
      <c r="A461" s="314"/>
      <c r="B461" s="313"/>
      <c r="C461" s="313"/>
      <c r="D461" s="313"/>
      <c r="E461" s="314"/>
      <c r="F461" s="314"/>
      <c r="G461" s="314"/>
      <c r="H461" s="314"/>
      <c r="I461" s="314"/>
      <c r="J461" s="314"/>
      <c r="K461" s="314"/>
      <c r="L461" s="314"/>
      <c r="M461" s="314"/>
      <c r="N461" s="314"/>
      <c r="O461" s="314"/>
      <c r="P461" s="314"/>
      <c r="Q461" s="314"/>
      <c r="R461" s="314"/>
      <c r="S461" s="314"/>
      <c r="T461" s="314"/>
      <c r="U461" s="314"/>
      <c r="V461" s="314"/>
      <c r="W461" s="314"/>
      <c r="X461" s="314"/>
      <c r="Y461" s="314"/>
      <c r="Z461" s="314"/>
      <c r="AA461" s="324"/>
      <c r="AB461" s="155"/>
      <c r="AC461" s="155"/>
      <c r="AD461" s="322"/>
      <c r="AE461" s="132"/>
      <c r="AF461" s="132"/>
    </row>
    <row r="462">
      <c r="A462" s="314"/>
      <c r="B462" s="313"/>
      <c r="C462" s="313"/>
      <c r="D462" s="313"/>
      <c r="E462" s="314"/>
      <c r="F462" s="314"/>
      <c r="G462" s="314"/>
      <c r="H462" s="314"/>
      <c r="I462" s="314"/>
      <c r="J462" s="314"/>
      <c r="K462" s="314"/>
      <c r="L462" s="314"/>
      <c r="M462" s="314"/>
      <c r="N462" s="314"/>
      <c r="O462" s="314"/>
      <c r="P462" s="314"/>
      <c r="Q462" s="314"/>
      <c r="R462" s="314"/>
      <c r="S462" s="314"/>
      <c r="T462" s="314"/>
      <c r="U462" s="314"/>
      <c r="V462" s="314"/>
      <c r="W462" s="314"/>
      <c r="X462" s="314"/>
      <c r="Y462" s="314"/>
      <c r="Z462" s="314"/>
      <c r="AA462" s="324"/>
      <c r="AB462" s="155"/>
      <c r="AC462" s="155"/>
      <c r="AD462" s="322"/>
      <c r="AE462" s="132"/>
      <c r="AF462" s="132"/>
    </row>
    <row r="463">
      <c r="A463" s="314"/>
      <c r="B463" s="313"/>
      <c r="C463" s="313"/>
      <c r="D463" s="313"/>
      <c r="E463" s="314"/>
      <c r="F463" s="314"/>
      <c r="G463" s="314"/>
      <c r="H463" s="314"/>
      <c r="I463" s="314"/>
      <c r="J463" s="314"/>
      <c r="K463" s="314"/>
      <c r="L463" s="314"/>
      <c r="M463" s="314"/>
      <c r="N463" s="314"/>
      <c r="O463" s="314"/>
      <c r="P463" s="314"/>
      <c r="Q463" s="314"/>
      <c r="R463" s="314"/>
      <c r="S463" s="314"/>
      <c r="T463" s="314"/>
      <c r="U463" s="314"/>
      <c r="V463" s="314"/>
      <c r="W463" s="314"/>
      <c r="X463" s="314"/>
      <c r="Y463" s="314"/>
      <c r="Z463" s="314"/>
      <c r="AA463" s="324"/>
      <c r="AB463" s="155"/>
      <c r="AC463" s="155"/>
      <c r="AD463" s="322"/>
      <c r="AE463" s="132"/>
      <c r="AF463" s="132"/>
    </row>
    <row r="464">
      <c r="A464" s="314"/>
      <c r="B464" s="313"/>
      <c r="C464" s="313"/>
      <c r="D464" s="313"/>
      <c r="E464" s="314"/>
      <c r="F464" s="314"/>
      <c r="G464" s="314"/>
      <c r="H464" s="314"/>
      <c r="I464" s="314"/>
      <c r="J464" s="314"/>
      <c r="K464" s="314"/>
      <c r="L464" s="314"/>
      <c r="M464" s="314"/>
      <c r="N464" s="314"/>
      <c r="O464" s="314"/>
      <c r="P464" s="314"/>
      <c r="Q464" s="314"/>
      <c r="R464" s="314"/>
      <c r="S464" s="314"/>
      <c r="T464" s="314"/>
      <c r="U464" s="314"/>
      <c r="V464" s="314"/>
      <c r="W464" s="314"/>
      <c r="X464" s="314"/>
      <c r="Y464" s="314"/>
      <c r="Z464" s="314"/>
      <c r="AA464" s="324"/>
      <c r="AB464" s="155"/>
      <c r="AC464" s="155"/>
      <c r="AD464" s="322"/>
      <c r="AE464" s="132"/>
      <c r="AF464" s="132"/>
    </row>
    <row r="465">
      <c r="A465" s="314"/>
      <c r="B465" s="313"/>
      <c r="C465" s="313"/>
      <c r="D465" s="313"/>
      <c r="E465" s="314"/>
      <c r="F465" s="314"/>
      <c r="G465" s="314"/>
      <c r="H465" s="314"/>
      <c r="I465" s="314"/>
      <c r="J465" s="314"/>
      <c r="K465" s="314"/>
      <c r="L465" s="314"/>
      <c r="M465" s="314"/>
      <c r="N465" s="314"/>
      <c r="O465" s="314"/>
      <c r="P465" s="314"/>
      <c r="Q465" s="314"/>
      <c r="R465" s="314"/>
      <c r="S465" s="314"/>
      <c r="T465" s="314"/>
      <c r="U465" s="314"/>
      <c r="V465" s="314"/>
      <c r="W465" s="314"/>
      <c r="X465" s="314"/>
      <c r="Y465" s="314"/>
      <c r="Z465" s="314"/>
      <c r="AA465" s="324"/>
      <c r="AB465" s="155"/>
      <c r="AC465" s="155"/>
      <c r="AD465" s="322"/>
      <c r="AE465" s="132"/>
      <c r="AF465" s="132"/>
    </row>
    <row r="466">
      <c r="A466" s="314"/>
      <c r="B466" s="313"/>
      <c r="C466" s="313"/>
      <c r="D466" s="313"/>
      <c r="E466" s="314"/>
      <c r="F466" s="314"/>
      <c r="G466" s="314"/>
      <c r="H466" s="314"/>
      <c r="I466" s="314"/>
      <c r="J466" s="314"/>
      <c r="K466" s="314"/>
      <c r="L466" s="314"/>
      <c r="M466" s="314"/>
      <c r="N466" s="314"/>
      <c r="O466" s="314"/>
      <c r="P466" s="314"/>
      <c r="Q466" s="314"/>
      <c r="R466" s="314"/>
      <c r="S466" s="314"/>
      <c r="T466" s="314"/>
      <c r="U466" s="314"/>
      <c r="V466" s="314"/>
      <c r="W466" s="314"/>
      <c r="X466" s="314"/>
      <c r="Y466" s="314"/>
      <c r="Z466" s="314"/>
      <c r="AA466" s="324"/>
      <c r="AB466" s="155"/>
      <c r="AC466" s="155"/>
      <c r="AD466" s="322"/>
      <c r="AE466" s="132"/>
      <c r="AF466" s="132"/>
    </row>
    <row r="467">
      <c r="A467" s="314"/>
      <c r="B467" s="313"/>
      <c r="C467" s="313"/>
      <c r="D467" s="313"/>
      <c r="E467" s="314"/>
      <c r="F467" s="314"/>
      <c r="G467" s="314"/>
      <c r="H467" s="314"/>
      <c r="I467" s="314"/>
      <c r="J467" s="314"/>
      <c r="K467" s="314"/>
      <c r="L467" s="314"/>
      <c r="M467" s="314"/>
      <c r="N467" s="314"/>
      <c r="O467" s="314"/>
      <c r="P467" s="314"/>
      <c r="Q467" s="314"/>
      <c r="R467" s="314"/>
      <c r="S467" s="314"/>
      <c r="T467" s="314"/>
      <c r="U467" s="314"/>
      <c r="V467" s="314"/>
      <c r="W467" s="314"/>
      <c r="X467" s="314"/>
      <c r="Y467" s="314"/>
      <c r="Z467" s="314"/>
      <c r="AA467" s="324"/>
      <c r="AB467" s="155"/>
      <c r="AC467" s="155"/>
      <c r="AD467" s="322"/>
      <c r="AE467" s="132"/>
      <c r="AF467" s="132"/>
    </row>
    <row r="468">
      <c r="A468" s="314"/>
      <c r="B468" s="313"/>
      <c r="C468" s="313"/>
      <c r="D468" s="313"/>
      <c r="E468" s="314"/>
      <c r="F468" s="314"/>
      <c r="G468" s="314"/>
      <c r="H468" s="314"/>
      <c r="I468" s="314"/>
      <c r="J468" s="314"/>
      <c r="K468" s="314"/>
      <c r="L468" s="314"/>
      <c r="M468" s="314"/>
      <c r="N468" s="314"/>
      <c r="O468" s="314"/>
      <c r="P468" s="314"/>
      <c r="Q468" s="314"/>
      <c r="R468" s="314"/>
      <c r="S468" s="314"/>
      <c r="T468" s="314"/>
      <c r="U468" s="314"/>
      <c r="V468" s="314"/>
      <c r="W468" s="314"/>
      <c r="X468" s="314"/>
      <c r="Y468" s="314"/>
      <c r="Z468" s="314"/>
      <c r="AA468" s="324"/>
      <c r="AB468" s="155"/>
      <c r="AC468" s="155"/>
      <c r="AD468" s="322"/>
      <c r="AE468" s="132"/>
      <c r="AF468" s="132"/>
    </row>
    <row r="469">
      <c r="A469" s="314"/>
      <c r="B469" s="313"/>
      <c r="C469" s="313"/>
      <c r="D469" s="313"/>
      <c r="E469" s="314"/>
      <c r="F469" s="314"/>
      <c r="G469" s="314"/>
      <c r="H469" s="314"/>
      <c r="I469" s="314"/>
      <c r="J469" s="314"/>
      <c r="K469" s="314"/>
      <c r="L469" s="314"/>
      <c r="M469" s="314"/>
      <c r="N469" s="314"/>
      <c r="O469" s="314"/>
      <c r="P469" s="314"/>
      <c r="Q469" s="314"/>
      <c r="R469" s="314"/>
      <c r="S469" s="314"/>
      <c r="T469" s="314"/>
      <c r="U469" s="314"/>
      <c r="V469" s="314"/>
      <c r="W469" s="314"/>
      <c r="X469" s="314"/>
      <c r="Y469" s="314"/>
      <c r="Z469" s="314"/>
      <c r="AA469" s="324"/>
      <c r="AB469" s="155"/>
      <c r="AC469" s="155"/>
      <c r="AD469" s="322"/>
      <c r="AE469" s="132"/>
      <c r="AF469" s="132"/>
    </row>
    <row r="470">
      <c r="A470" s="314"/>
      <c r="B470" s="313"/>
      <c r="C470" s="313"/>
      <c r="D470" s="313"/>
      <c r="E470" s="314"/>
      <c r="F470" s="314"/>
      <c r="G470" s="314"/>
      <c r="H470" s="314"/>
      <c r="I470" s="314"/>
      <c r="J470" s="314"/>
      <c r="K470" s="314"/>
      <c r="L470" s="314"/>
      <c r="M470" s="314"/>
      <c r="N470" s="314"/>
      <c r="O470" s="314"/>
      <c r="P470" s="314"/>
      <c r="Q470" s="314"/>
      <c r="R470" s="314"/>
      <c r="S470" s="314"/>
      <c r="T470" s="314"/>
      <c r="U470" s="314"/>
      <c r="V470" s="314"/>
      <c r="W470" s="314"/>
      <c r="X470" s="314"/>
      <c r="Y470" s="314"/>
      <c r="Z470" s="314"/>
      <c r="AA470" s="324"/>
      <c r="AB470" s="155"/>
      <c r="AC470" s="155"/>
      <c r="AD470" s="322"/>
      <c r="AE470" s="132"/>
      <c r="AF470" s="132"/>
    </row>
    <row r="471">
      <c r="A471" s="314"/>
      <c r="B471" s="313"/>
      <c r="C471" s="313"/>
      <c r="D471" s="313"/>
      <c r="E471" s="314"/>
      <c r="F471" s="314"/>
      <c r="G471" s="314"/>
      <c r="H471" s="314"/>
      <c r="I471" s="314"/>
      <c r="J471" s="314"/>
      <c r="K471" s="314"/>
      <c r="L471" s="314"/>
      <c r="M471" s="314"/>
      <c r="N471" s="314"/>
      <c r="O471" s="314"/>
      <c r="P471" s="314"/>
      <c r="Q471" s="314"/>
      <c r="R471" s="314"/>
      <c r="S471" s="314"/>
      <c r="T471" s="314"/>
      <c r="U471" s="314"/>
      <c r="V471" s="314"/>
      <c r="W471" s="314"/>
      <c r="X471" s="314"/>
      <c r="Y471" s="314"/>
      <c r="Z471" s="314"/>
      <c r="AA471" s="324"/>
      <c r="AB471" s="155"/>
      <c r="AC471" s="155"/>
      <c r="AD471" s="322"/>
      <c r="AE471" s="132"/>
      <c r="AF471" s="132"/>
    </row>
    <row r="472">
      <c r="A472" s="314"/>
      <c r="B472" s="313"/>
      <c r="C472" s="313"/>
      <c r="D472" s="313"/>
      <c r="E472" s="314"/>
      <c r="F472" s="314"/>
      <c r="G472" s="314"/>
      <c r="H472" s="314"/>
      <c r="I472" s="314"/>
      <c r="J472" s="314"/>
      <c r="K472" s="314"/>
      <c r="L472" s="314"/>
      <c r="M472" s="314"/>
      <c r="N472" s="314"/>
      <c r="O472" s="314"/>
      <c r="P472" s="314"/>
      <c r="Q472" s="314"/>
      <c r="R472" s="314"/>
      <c r="S472" s="314"/>
      <c r="T472" s="314"/>
      <c r="U472" s="314"/>
      <c r="V472" s="314"/>
      <c r="W472" s="314"/>
      <c r="X472" s="314"/>
      <c r="Y472" s="314"/>
      <c r="Z472" s="314"/>
      <c r="AA472" s="324"/>
      <c r="AB472" s="155"/>
      <c r="AC472" s="155"/>
      <c r="AD472" s="322"/>
      <c r="AE472" s="132"/>
      <c r="AF472" s="132"/>
    </row>
    <row r="473">
      <c r="A473" s="314"/>
      <c r="B473" s="313"/>
      <c r="C473" s="313"/>
      <c r="D473" s="313"/>
      <c r="E473" s="314"/>
      <c r="F473" s="314"/>
      <c r="G473" s="314"/>
      <c r="H473" s="314"/>
      <c r="I473" s="314"/>
      <c r="J473" s="314"/>
      <c r="K473" s="314"/>
      <c r="L473" s="314"/>
      <c r="M473" s="314"/>
      <c r="N473" s="314"/>
      <c r="O473" s="314"/>
      <c r="P473" s="314"/>
      <c r="Q473" s="314"/>
      <c r="R473" s="314"/>
      <c r="S473" s="314"/>
      <c r="T473" s="314"/>
      <c r="U473" s="314"/>
      <c r="V473" s="314"/>
      <c r="W473" s="314"/>
      <c r="X473" s="314"/>
      <c r="Y473" s="314"/>
      <c r="Z473" s="314"/>
      <c r="AA473" s="324"/>
      <c r="AB473" s="155"/>
      <c r="AC473" s="155"/>
      <c r="AD473" s="322"/>
      <c r="AE473" s="132"/>
      <c r="AF473" s="132"/>
    </row>
    <row r="474">
      <c r="A474" s="314"/>
      <c r="B474" s="313"/>
      <c r="C474" s="313"/>
      <c r="D474" s="313"/>
      <c r="E474" s="314"/>
      <c r="F474" s="314"/>
      <c r="G474" s="314"/>
      <c r="H474" s="314"/>
      <c r="I474" s="314"/>
      <c r="J474" s="314"/>
      <c r="K474" s="314"/>
      <c r="L474" s="314"/>
      <c r="M474" s="314"/>
      <c r="N474" s="314"/>
      <c r="O474" s="314"/>
      <c r="P474" s="314"/>
      <c r="Q474" s="314"/>
      <c r="R474" s="314"/>
      <c r="S474" s="314"/>
      <c r="T474" s="314"/>
      <c r="U474" s="314"/>
      <c r="V474" s="314"/>
      <c r="W474" s="314"/>
      <c r="X474" s="314"/>
      <c r="Y474" s="314"/>
      <c r="Z474" s="314"/>
      <c r="AA474" s="324"/>
      <c r="AB474" s="155"/>
      <c r="AC474" s="155"/>
      <c r="AD474" s="322"/>
      <c r="AE474" s="132"/>
      <c r="AF474" s="132"/>
    </row>
    <row r="475">
      <c r="A475" s="314"/>
      <c r="B475" s="313"/>
      <c r="C475" s="313"/>
      <c r="D475" s="313"/>
      <c r="E475" s="314"/>
      <c r="F475" s="314"/>
      <c r="G475" s="314"/>
      <c r="H475" s="314"/>
      <c r="I475" s="314"/>
      <c r="J475" s="314"/>
      <c r="K475" s="314"/>
      <c r="L475" s="314"/>
      <c r="M475" s="314"/>
      <c r="N475" s="314"/>
      <c r="O475" s="314"/>
      <c r="P475" s="314"/>
      <c r="Q475" s="314"/>
      <c r="R475" s="314"/>
      <c r="S475" s="314"/>
      <c r="T475" s="314"/>
      <c r="U475" s="314"/>
      <c r="V475" s="314"/>
      <c r="W475" s="314"/>
      <c r="X475" s="314"/>
      <c r="Y475" s="314"/>
      <c r="Z475" s="314"/>
      <c r="AA475" s="324"/>
      <c r="AB475" s="155"/>
      <c r="AC475" s="155"/>
      <c r="AD475" s="322"/>
      <c r="AE475" s="132"/>
      <c r="AF475" s="132"/>
    </row>
    <row r="476">
      <c r="A476" s="314"/>
      <c r="B476" s="313"/>
      <c r="C476" s="313"/>
      <c r="D476" s="313"/>
      <c r="E476" s="314"/>
      <c r="F476" s="314"/>
      <c r="G476" s="314"/>
      <c r="H476" s="314"/>
      <c r="I476" s="314"/>
      <c r="J476" s="314"/>
      <c r="K476" s="314"/>
      <c r="L476" s="314"/>
      <c r="M476" s="314"/>
      <c r="N476" s="314"/>
      <c r="O476" s="314"/>
      <c r="P476" s="314"/>
      <c r="Q476" s="314"/>
      <c r="R476" s="314"/>
      <c r="S476" s="314"/>
      <c r="T476" s="314"/>
      <c r="U476" s="314"/>
      <c r="V476" s="314"/>
      <c r="W476" s="314"/>
      <c r="X476" s="314"/>
      <c r="Y476" s="314"/>
      <c r="Z476" s="314"/>
      <c r="AA476" s="324"/>
      <c r="AB476" s="155"/>
      <c r="AC476" s="155"/>
      <c r="AD476" s="322"/>
      <c r="AE476" s="132"/>
      <c r="AF476" s="132"/>
    </row>
    <row r="477">
      <c r="A477" s="314"/>
      <c r="B477" s="313"/>
      <c r="C477" s="313"/>
      <c r="D477" s="313"/>
      <c r="E477" s="314"/>
      <c r="F477" s="314"/>
      <c r="G477" s="314"/>
      <c r="H477" s="314"/>
      <c r="I477" s="314"/>
      <c r="J477" s="314"/>
      <c r="K477" s="314"/>
      <c r="L477" s="314"/>
      <c r="M477" s="314"/>
      <c r="N477" s="314"/>
      <c r="O477" s="314"/>
      <c r="P477" s="314"/>
      <c r="Q477" s="314"/>
      <c r="R477" s="314"/>
      <c r="S477" s="314"/>
      <c r="T477" s="314"/>
      <c r="U477" s="314"/>
      <c r="V477" s="314"/>
      <c r="W477" s="314"/>
      <c r="X477" s="314"/>
      <c r="Y477" s="314"/>
      <c r="Z477" s="314"/>
      <c r="AA477" s="324"/>
      <c r="AB477" s="155"/>
      <c r="AC477" s="155"/>
      <c r="AD477" s="322"/>
      <c r="AE477" s="132"/>
      <c r="AF477" s="132"/>
    </row>
    <row r="478">
      <c r="A478" s="314"/>
      <c r="B478" s="313"/>
      <c r="C478" s="313"/>
      <c r="D478" s="313"/>
      <c r="E478" s="314"/>
      <c r="F478" s="314"/>
      <c r="G478" s="314"/>
      <c r="H478" s="314"/>
      <c r="I478" s="314"/>
      <c r="J478" s="314"/>
      <c r="K478" s="314"/>
      <c r="L478" s="314"/>
      <c r="M478" s="314"/>
      <c r="N478" s="314"/>
      <c r="O478" s="314"/>
      <c r="P478" s="314"/>
      <c r="Q478" s="314"/>
      <c r="R478" s="314"/>
      <c r="S478" s="314"/>
      <c r="T478" s="314"/>
      <c r="U478" s="314"/>
      <c r="V478" s="314"/>
      <c r="W478" s="314"/>
      <c r="X478" s="314"/>
      <c r="Y478" s="314"/>
      <c r="Z478" s="314"/>
      <c r="AA478" s="324"/>
      <c r="AB478" s="155"/>
      <c r="AC478" s="155"/>
      <c r="AD478" s="322"/>
      <c r="AE478" s="132"/>
      <c r="AF478" s="132"/>
    </row>
    <row r="479">
      <c r="A479" s="314"/>
      <c r="B479" s="313"/>
      <c r="C479" s="313"/>
      <c r="D479" s="313"/>
      <c r="E479" s="314"/>
      <c r="F479" s="314"/>
      <c r="G479" s="314"/>
      <c r="H479" s="314"/>
      <c r="I479" s="314"/>
      <c r="J479" s="314"/>
      <c r="K479" s="314"/>
      <c r="L479" s="314"/>
      <c r="M479" s="314"/>
      <c r="N479" s="314"/>
      <c r="O479" s="314"/>
      <c r="P479" s="314"/>
      <c r="Q479" s="314"/>
      <c r="R479" s="314"/>
      <c r="S479" s="314"/>
      <c r="T479" s="314"/>
      <c r="U479" s="314"/>
      <c r="V479" s="314"/>
      <c r="W479" s="314"/>
      <c r="X479" s="314"/>
      <c r="Y479" s="314"/>
      <c r="Z479" s="314"/>
      <c r="AA479" s="324"/>
      <c r="AB479" s="155"/>
      <c r="AC479" s="155"/>
      <c r="AD479" s="322"/>
      <c r="AE479" s="132"/>
      <c r="AF479" s="132"/>
    </row>
    <row r="480">
      <c r="A480" s="314"/>
      <c r="B480" s="313"/>
      <c r="C480" s="313"/>
      <c r="D480" s="313"/>
      <c r="E480" s="314"/>
      <c r="F480" s="314"/>
      <c r="G480" s="314"/>
      <c r="H480" s="314"/>
      <c r="I480" s="314"/>
      <c r="J480" s="314"/>
      <c r="K480" s="314"/>
      <c r="L480" s="314"/>
      <c r="M480" s="314"/>
      <c r="N480" s="314"/>
      <c r="O480" s="314"/>
      <c r="P480" s="314"/>
      <c r="Q480" s="314"/>
      <c r="R480" s="314"/>
      <c r="S480" s="314"/>
      <c r="T480" s="314"/>
      <c r="U480" s="314"/>
      <c r="V480" s="314"/>
      <c r="W480" s="314"/>
      <c r="X480" s="314"/>
      <c r="Y480" s="314"/>
      <c r="Z480" s="314"/>
      <c r="AA480" s="324"/>
      <c r="AB480" s="155"/>
      <c r="AC480" s="155"/>
      <c r="AD480" s="322"/>
      <c r="AE480" s="132"/>
      <c r="AF480" s="132"/>
    </row>
    <row r="481">
      <c r="A481" s="314"/>
      <c r="B481" s="313"/>
      <c r="C481" s="313"/>
      <c r="D481" s="313"/>
      <c r="E481" s="314"/>
      <c r="F481" s="314"/>
      <c r="G481" s="314"/>
      <c r="H481" s="314"/>
      <c r="I481" s="314"/>
      <c r="J481" s="314"/>
      <c r="K481" s="314"/>
      <c r="L481" s="314"/>
      <c r="M481" s="314"/>
      <c r="N481" s="314"/>
      <c r="O481" s="314"/>
      <c r="P481" s="314"/>
      <c r="Q481" s="314"/>
      <c r="R481" s="314"/>
      <c r="S481" s="314"/>
      <c r="T481" s="314"/>
      <c r="U481" s="314"/>
      <c r="V481" s="314"/>
      <c r="W481" s="314"/>
      <c r="X481" s="314"/>
      <c r="Y481" s="314"/>
      <c r="Z481" s="314"/>
      <c r="AA481" s="324"/>
      <c r="AB481" s="155"/>
      <c r="AC481" s="155"/>
      <c r="AD481" s="322"/>
      <c r="AE481" s="132"/>
      <c r="AF481" s="132"/>
    </row>
    <row r="482">
      <c r="A482" s="314"/>
      <c r="B482" s="313"/>
      <c r="C482" s="313"/>
      <c r="D482" s="313"/>
      <c r="E482" s="314"/>
      <c r="F482" s="314"/>
      <c r="G482" s="314"/>
      <c r="H482" s="314"/>
      <c r="I482" s="314"/>
      <c r="J482" s="314"/>
      <c r="K482" s="314"/>
      <c r="L482" s="314"/>
      <c r="M482" s="314"/>
      <c r="N482" s="314"/>
      <c r="O482" s="314"/>
      <c r="P482" s="314"/>
      <c r="Q482" s="314"/>
      <c r="R482" s="314"/>
      <c r="S482" s="314"/>
      <c r="T482" s="314"/>
      <c r="U482" s="314"/>
      <c r="V482" s="314"/>
      <c r="W482" s="314"/>
      <c r="X482" s="314"/>
      <c r="Y482" s="314"/>
      <c r="Z482" s="314"/>
      <c r="AA482" s="324"/>
      <c r="AB482" s="155"/>
      <c r="AC482" s="155"/>
      <c r="AD482" s="322"/>
      <c r="AE482" s="132"/>
      <c r="AF482" s="132"/>
    </row>
    <row r="483">
      <c r="A483" s="314"/>
      <c r="B483" s="313"/>
      <c r="C483" s="313"/>
      <c r="D483" s="313"/>
      <c r="E483" s="314"/>
      <c r="F483" s="314"/>
      <c r="G483" s="314"/>
      <c r="H483" s="314"/>
      <c r="I483" s="314"/>
      <c r="J483" s="314"/>
      <c r="K483" s="314"/>
      <c r="L483" s="314"/>
      <c r="M483" s="314"/>
      <c r="N483" s="314"/>
      <c r="O483" s="314"/>
      <c r="P483" s="314"/>
      <c r="Q483" s="314"/>
      <c r="R483" s="314"/>
      <c r="S483" s="314"/>
      <c r="T483" s="314"/>
      <c r="U483" s="314"/>
      <c r="V483" s="314"/>
      <c r="W483" s="314"/>
      <c r="X483" s="314"/>
      <c r="Y483" s="314"/>
      <c r="Z483" s="314"/>
      <c r="AA483" s="324"/>
      <c r="AB483" s="155"/>
      <c r="AC483" s="155"/>
      <c r="AD483" s="322"/>
      <c r="AE483" s="132"/>
      <c r="AF483" s="132"/>
    </row>
    <row r="484">
      <c r="A484" s="314"/>
      <c r="B484" s="313"/>
      <c r="C484" s="313"/>
      <c r="D484" s="313"/>
      <c r="E484" s="314"/>
      <c r="F484" s="314"/>
      <c r="G484" s="314"/>
      <c r="H484" s="314"/>
      <c r="I484" s="314"/>
      <c r="J484" s="314"/>
      <c r="K484" s="314"/>
      <c r="L484" s="314"/>
      <c r="M484" s="314"/>
      <c r="N484" s="314"/>
      <c r="O484" s="314"/>
      <c r="P484" s="314"/>
      <c r="Q484" s="314"/>
      <c r="R484" s="314"/>
      <c r="S484" s="314"/>
      <c r="T484" s="314"/>
      <c r="U484" s="314"/>
      <c r="V484" s="314"/>
      <c r="W484" s="314"/>
      <c r="X484" s="314"/>
      <c r="Y484" s="314"/>
      <c r="Z484" s="314"/>
      <c r="AA484" s="324"/>
      <c r="AB484" s="155"/>
      <c r="AC484" s="155"/>
      <c r="AD484" s="322"/>
      <c r="AE484" s="132"/>
      <c r="AF484" s="132"/>
    </row>
    <row r="485">
      <c r="A485" s="314"/>
      <c r="B485" s="313"/>
      <c r="C485" s="313"/>
      <c r="D485" s="313"/>
      <c r="E485" s="314"/>
      <c r="F485" s="314"/>
      <c r="G485" s="314"/>
      <c r="H485" s="314"/>
      <c r="I485" s="314"/>
      <c r="J485" s="314"/>
      <c r="K485" s="314"/>
      <c r="L485" s="314"/>
      <c r="M485" s="314"/>
      <c r="N485" s="314"/>
      <c r="O485" s="314"/>
      <c r="P485" s="314"/>
      <c r="Q485" s="314"/>
      <c r="R485" s="314"/>
      <c r="S485" s="314"/>
      <c r="T485" s="314"/>
      <c r="U485" s="314"/>
      <c r="V485" s="314"/>
      <c r="W485" s="314"/>
      <c r="X485" s="314"/>
      <c r="Y485" s="314"/>
      <c r="Z485" s="314"/>
      <c r="AA485" s="324"/>
      <c r="AB485" s="155"/>
      <c r="AC485" s="155"/>
      <c r="AD485" s="322"/>
      <c r="AE485" s="132"/>
      <c r="AF485" s="132"/>
    </row>
    <row r="486">
      <c r="A486" s="314"/>
      <c r="B486" s="313"/>
      <c r="C486" s="313"/>
      <c r="D486" s="313"/>
      <c r="E486" s="314"/>
      <c r="F486" s="314"/>
      <c r="G486" s="314"/>
      <c r="H486" s="314"/>
      <c r="I486" s="314"/>
      <c r="J486" s="314"/>
      <c r="K486" s="314"/>
      <c r="L486" s="314"/>
      <c r="M486" s="314"/>
      <c r="N486" s="314"/>
      <c r="O486" s="314"/>
      <c r="P486" s="314"/>
      <c r="Q486" s="314"/>
      <c r="R486" s="314"/>
      <c r="S486" s="314"/>
      <c r="T486" s="314"/>
      <c r="U486" s="314"/>
      <c r="V486" s="314"/>
      <c r="W486" s="314"/>
      <c r="X486" s="314"/>
      <c r="Y486" s="314"/>
      <c r="Z486" s="314"/>
      <c r="AA486" s="324"/>
      <c r="AB486" s="155"/>
      <c r="AC486" s="155"/>
      <c r="AD486" s="322"/>
      <c r="AE486" s="132"/>
      <c r="AF486" s="132"/>
    </row>
    <row r="487">
      <c r="A487" s="314"/>
      <c r="B487" s="313"/>
      <c r="C487" s="313"/>
      <c r="D487" s="313"/>
      <c r="E487" s="314"/>
      <c r="F487" s="314"/>
      <c r="G487" s="314"/>
      <c r="H487" s="314"/>
      <c r="I487" s="314"/>
      <c r="J487" s="314"/>
      <c r="K487" s="314"/>
      <c r="L487" s="314"/>
      <c r="M487" s="314"/>
      <c r="N487" s="314"/>
      <c r="O487" s="314"/>
      <c r="P487" s="314"/>
      <c r="Q487" s="314"/>
      <c r="R487" s="314"/>
      <c r="S487" s="314"/>
      <c r="T487" s="314"/>
      <c r="U487" s="314"/>
      <c r="V487" s="314"/>
      <c r="W487" s="314"/>
      <c r="X487" s="314"/>
      <c r="Y487" s="314"/>
      <c r="Z487" s="314"/>
      <c r="AA487" s="324"/>
      <c r="AB487" s="155"/>
      <c r="AC487" s="155"/>
      <c r="AD487" s="322"/>
      <c r="AE487" s="132"/>
      <c r="AF487" s="132"/>
    </row>
    <row r="488">
      <c r="A488" s="314"/>
      <c r="B488" s="313"/>
      <c r="C488" s="313"/>
      <c r="D488" s="313"/>
      <c r="E488" s="314"/>
      <c r="F488" s="314"/>
      <c r="G488" s="314"/>
      <c r="H488" s="314"/>
      <c r="I488" s="314"/>
      <c r="J488" s="314"/>
      <c r="K488" s="314"/>
      <c r="L488" s="314"/>
      <c r="M488" s="314"/>
      <c r="N488" s="314"/>
      <c r="O488" s="314"/>
      <c r="P488" s="314"/>
      <c r="Q488" s="314"/>
      <c r="R488" s="314"/>
      <c r="S488" s="314"/>
      <c r="T488" s="314"/>
      <c r="U488" s="314"/>
      <c r="V488" s="314"/>
      <c r="W488" s="314"/>
      <c r="X488" s="314"/>
      <c r="Y488" s="314"/>
      <c r="Z488" s="314"/>
      <c r="AA488" s="324"/>
      <c r="AB488" s="155"/>
      <c r="AC488" s="155"/>
      <c r="AD488" s="322"/>
      <c r="AE488" s="132"/>
      <c r="AF488" s="132"/>
    </row>
    <row r="489">
      <c r="A489" s="314"/>
      <c r="B489" s="313"/>
      <c r="C489" s="313"/>
      <c r="D489" s="313"/>
      <c r="E489" s="314"/>
      <c r="F489" s="314"/>
      <c r="G489" s="314"/>
      <c r="H489" s="314"/>
      <c r="I489" s="314"/>
      <c r="J489" s="314"/>
      <c r="K489" s="314"/>
      <c r="L489" s="314"/>
      <c r="M489" s="314"/>
      <c r="N489" s="314"/>
      <c r="O489" s="314"/>
      <c r="P489" s="314"/>
      <c r="Q489" s="314"/>
      <c r="R489" s="314"/>
      <c r="S489" s="314"/>
      <c r="T489" s="314"/>
      <c r="U489" s="314"/>
      <c r="V489" s="314"/>
      <c r="W489" s="314"/>
      <c r="X489" s="314"/>
      <c r="Y489" s="314"/>
      <c r="Z489" s="314"/>
      <c r="AA489" s="324"/>
      <c r="AB489" s="155"/>
      <c r="AC489" s="155"/>
      <c r="AD489" s="322"/>
      <c r="AE489" s="132"/>
      <c r="AF489" s="132"/>
    </row>
    <row r="490">
      <c r="A490" s="314"/>
      <c r="B490" s="313"/>
      <c r="C490" s="313"/>
      <c r="D490" s="313"/>
      <c r="E490" s="314"/>
      <c r="F490" s="314"/>
      <c r="G490" s="314"/>
      <c r="H490" s="314"/>
      <c r="I490" s="314"/>
      <c r="J490" s="314"/>
      <c r="K490" s="314"/>
      <c r="L490" s="314"/>
      <c r="M490" s="314"/>
      <c r="N490" s="314"/>
      <c r="O490" s="314"/>
      <c r="P490" s="314"/>
      <c r="Q490" s="314"/>
      <c r="R490" s="314"/>
      <c r="S490" s="314"/>
      <c r="T490" s="314"/>
      <c r="U490" s="314"/>
      <c r="V490" s="314"/>
      <c r="W490" s="314"/>
      <c r="X490" s="314"/>
      <c r="Y490" s="314"/>
      <c r="Z490" s="314"/>
      <c r="AA490" s="324"/>
      <c r="AB490" s="155"/>
      <c r="AC490" s="155"/>
      <c r="AD490" s="322"/>
      <c r="AE490" s="132"/>
      <c r="AF490" s="132"/>
    </row>
    <row r="491">
      <c r="A491" s="314"/>
      <c r="B491" s="313"/>
      <c r="C491" s="313"/>
      <c r="D491" s="313"/>
      <c r="E491" s="314"/>
      <c r="F491" s="314"/>
      <c r="G491" s="314"/>
      <c r="H491" s="314"/>
      <c r="I491" s="314"/>
      <c r="J491" s="314"/>
      <c r="K491" s="314"/>
      <c r="L491" s="314"/>
      <c r="M491" s="314"/>
      <c r="N491" s="314"/>
      <c r="O491" s="314"/>
      <c r="P491" s="314"/>
      <c r="Q491" s="314"/>
      <c r="R491" s="314"/>
      <c r="S491" s="314"/>
      <c r="T491" s="314"/>
      <c r="U491" s="314"/>
      <c r="V491" s="314"/>
      <c r="W491" s="314"/>
      <c r="X491" s="314"/>
      <c r="Y491" s="314"/>
      <c r="Z491" s="314"/>
      <c r="AA491" s="324"/>
      <c r="AB491" s="155"/>
      <c r="AC491" s="155"/>
      <c r="AD491" s="322"/>
      <c r="AE491" s="132"/>
      <c r="AF491" s="132"/>
    </row>
    <row r="492">
      <c r="A492" s="314"/>
      <c r="B492" s="313"/>
      <c r="C492" s="313"/>
      <c r="D492" s="313"/>
      <c r="E492" s="314"/>
      <c r="F492" s="314"/>
      <c r="G492" s="314"/>
      <c r="H492" s="314"/>
      <c r="I492" s="314"/>
      <c r="J492" s="314"/>
      <c r="K492" s="314"/>
      <c r="L492" s="314"/>
      <c r="M492" s="314"/>
      <c r="N492" s="314"/>
      <c r="O492" s="314"/>
      <c r="P492" s="314"/>
      <c r="Q492" s="314"/>
      <c r="R492" s="314"/>
      <c r="S492" s="314"/>
      <c r="T492" s="314"/>
      <c r="U492" s="314"/>
      <c r="V492" s="314"/>
      <c r="W492" s="314"/>
      <c r="X492" s="314"/>
      <c r="Y492" s="314"/>
      <c r="Z492" s="314"/>
      <c r="AA492" s="324"/>
      <c r="AB492" s="155"/>
      <c r="AC492" s="155"/>
      <c r="AD492" s="322"/>
      <c r="AE492" s="132"/>
      <c r="AF492" s="132"/>
    </row>
    <row r="493">
      <c r="A493" s="314"/>
      <c r="B493" s="313"/>
      <c r="C493" s="313"/>
      <c r="D493" s="313"/>
      <c r="E493" s="314"/>
      <c r="F493" s="314"/>
      <c r="G493" s="314"/>
      <c r="H493" s="314"/>
      <c r="I493" s="314"/>
      <c r="J493" s="314"/>
      <c r="K493" s="314"/>
      <c r="L493" s="314"/>
      <c r="M493" s="314"/>
      <c r="N493" s="314"/>
      <c r="O493" s="314"/>
      <c r="P493" s="314"/>
      <c r="Q493" s="314"/>
      <c r="R493" s="314"/>
      <c r="S493" s="314"/>
      <c r="T493" s="314"/>
      <c r="U493" s="314"/>
      <c r="V493" s="314"/>
      <c r="W493" s="314"/>
      <c r="X493" s="314"/>
      <c r="Y493" s="314"/>
      <c r="Z493" s="314"/>
      <c r="AA493" s="324"/>
      <c r="AB493" s="155"/>
      <c r="AC493" s="155"/>
      <c r="AD493" s="322"/>
      <c r="AE493" s="132"/>
      <c r="AF493" s="132"/>
    </row>
    <row r="494">
      <c r="A494" s="314"/>
      <c r="B494" s="313"/>
      <c r="C494" s="313"/>
      <c r="D494" s="313"/>
      <c r="E494" s="314"/>
      <c r="F494" s="314"/>
      <c r="G494" s="314"/>
      <c r="H494" s="314"/>
      <c r="I494" s="314"/>
      <c r="J494" s="314"/>
      <c r="K494" s="314"/>
      <c r="L494" s="314"/>
      <c r="M494" s="314"/>
      <c r="N494" s="314"/>
      <c r="O494" s="314"/>
      <c r="P494" s="314"/>
      <c r="Q494" s="314"/>
      <c r="R494" s="314"/>
      <c r="S494" s="314"/>
      <c r="T494" s="314"/>
      <c r="U494" s="314"/>
      <c r="V494" s="314"/>
      <c r="W494" s="314"/>
      <c r="X494" s="314"/>
      <c r="Y494" s="314"/>
      <c r="Z494" s="314"/>
      <c r="AA494" s="324"/>
      <c r="AB494" s="155"/>
      <c r="AC494" s="155"/>
      <c r="AD494" s="322"/>
      <c r="AE494" s="132"/>
      <c r="AF494" s="132"/>
    </row>
    <row r="495">
      <c r="A495" s="314"/>
      <c r="B495" s="313"/>
      <c r="C495" s="313"/>
      <c r="D495" s="313"/>
      <c r="E495" s="314"/>
      <c r="F495" s="314"/>
      <c r="G495" s="314"/>
      <c r="H495" s="314"/>
      <c r="I495" s="314"/>
      <c r="J495" s="314"/>
      <c r="K495" s="314"/>
      <c r="L495" s="314"/>
      <c r="M495" s="314"/>
      <c r="N495" s="314"/>
      <c r="O495" s="314"/>
      <c r="P495" s="314"/>
      <c r="Q495" s="314"/>
      <c r="R495" s="314"/>
      <c r="S495" s="314"/>
      <c r="T495" s="314"/>
      <c r="U495" s="314"/>
      <c r="V495" s="314"/>
      <c r="W495" s="314"/>
      <c r="X495" s="314"/>
      <c r="Y495" s="314"/>
      <c r="Z495" s="314"/>
      <c r="AA495" s="324"/>
      <c r="AB495" s="155"/>
      <c r="AC495" s="155"/>
      <c r="AD495" s="322"/>
      <c r="AE495" s="132"/>
      <c r="AF495" s="132"/>
    </row>
    <row r="496">
      <c r="A496" s="314"/>
      <c r="B496" s="313"/>
      <c r="C496" s="313"/>
      <c r="D496" s="313"/>
      <c r="E496" s="314"/>
      <c r="F496" s="314"/>
      <c r="G496" s="314"/>
      <c r="H496" s="314"/>
      <c r="I496" s="314"/>
      <c r="J496" s="314"/>
      <c r="K496" s="314"/>
      <c r="L496" s="314"/>
      <c r="M496" s="314"/>
      <c r="N496" s="314"/>
      <c r="O496" s="314"/>
      <c r="P496" s="314"/>
      <c r="Q496" s="314"/>
      <c r="R496" s="314"/>
      <c r="S496" s="314"/>
      <c r="T496" s="314"/>
      <c r="U496" s="314"/>
      <c r="V496" s="314"/>
      <c r="W496" s="314"/>
      <c r="X496" s="314"/>
      <c r="Y496" s="314"/>
      <c r="Z496" s="314"/>
      <c r="AA496" s="324"/>
      <c r="AB496" s="155"/>
      <c r="AC496" s="155"/>
      <c r="AD496" s="322"/>
      <c r="AE496" s="132"/>
      <c r="AF496" s="132"/>
    </row>
    <row r="497">
      <c r="A497" s="314"/>
      <c r="B497" s="313"/>
      <c r="C497" s="313"/>
      <c r="D497" s="313"/>
      <c r="E497" s="314"/>
      <c r="F497" s="314"/>
      <c r="G497" s="314"/>
      <c r="H497" s="314"/>
      <c r="I497" s="314"/>
      <c r="J497" s="314"/>
      <c r="K497" s="314"/>
      <c r="L497" s="314"/>
      <c r="M497" s="314"/>
      <c r="N497" s="314"/>
      <c r="O497" s="314"/>
      <c r="P497" s="314"/>
      <c r="Q497" s="314"/>
      <c r="R497" s="314"/>
      <c r="S497" s="314"/>
      <c r="T497" s="314"/>
      <c r="U497" s="314"/>
      <c r="V497" s="314"/>
      <c r="W497" s="314"/>
      <c r="X497" s="314"/>
      <c r="Y497" s="314"/>
      <c r="Z497" s="314"/>
      <c r="AA497" s="324"/>
      <c r="AB497" s="155"/>
      <c r="AC497" s="155"/>
      <c r="AD497" s="322"/>
      <c r="AE497" s="132"/>
      <c r="AF497" s="132"/>
    </row>
    <row r="498">
      <c r="A498" s="314"/>
      <c r="B498" s="313"/>
      <c r="C498" s="313"/>
      <c r="D498" s="313"/>
      <c r="E498" s="314"/>
      <c r="F498" s="314"/>
      <c r="G498" s="314"/>
      <c r="H498" s="314"/>
      <c r="I498" s="314"/>
      <c r="J498" s="314"/>
      <c r="K498" s="314"/>
      <c r="L498" s="314"/>
      <c r="M498" s="314"/>
      <c r="N498" s="314"/>
      <c r="O498" s="314"/>
      <c r="P498" s="314"/>
      <c r="Q498" s="314"/>
      <c r="R498" s="314"/>
      <c r="S498" s="314"/>
      <c r="T498" s="314"/>
      <c r="U498" s="314"/>
      <c r="V498" s="314"/>
      <c r="W498" s="314"/>
      <c r="X498" s="314"/>
      <c r="Y498" s="314"/>
      <c r="Z498" s="314"/>
      <c r="AA498" s="324"/>
      <c r="AB498" s="155"/>
      <c r="AC498" s="155"/>
      <c r="AD498" s="322"/>
      <c r="AE498" s="132"/>
      <c r="AF498" s="132"/>
    </row>
    <row r="499">
      <c r="A499" s="314"/>
      <c r="B499" s="313"/>
      <c r="C499" s="313"/>
      <c r="D499" s="313"/>
      <c r="E499" s="314"/>
      <c r="F499" s="314"/>
      <c r="G499" s="314"/>
      <c r="H499" s="314"/>
      <c r="I499" s="314"/>
      <c r="J499" s="314"/>
      <c r="K499" s="314"/>
      <c r="L499" s="314"/>
      <c r="M499" s="314"/>
      <c r="N499" s="314"/>
      <c r="O499" s="314"/>
      <c r="P499" s="314"/>
      <c r="Q499" s="314"/>
      <c r="R499" s="314"/>
      <c r="S499" s="314"/>
      <c r="T499" s="314"/>
      <c r="U499" s="314"/>
      <c r="V499" s="314"/>
      <c r="W499" s="314"/>
      <c r="X499" s="314"/>
      <c r="Y499" s="314"/>
      <c r="Z499" s="314"/>
      <c r="AA499" s="324"/>
      <c r="AB499" s="155"/>
      <c r="AC499" s="155"/>
      <c r="AD499" s="322"/>
      <c r="AE499" s="132"/>
      <c r="AF499" s="132"/>
    </row>
    <row r="500">
      <c r="A500" s="314"/>
      <c r="B500" s="313"/>
      <c r="C500" s="313"/>
      <c r="D500" s="313"/>
      <c r="E500" s="314"/>
      <c r="F500" s="314"/>
      <c r="G500" s="314"/>
      <c r="H500" s="314"/>
      <c r="I500" s="314"/>
      <c r="J500" s="314"/>
      <c r="K500" s="314"/>
      <c r="L500" s="314"/>
      <c r="M500" s="314"/>
      <c r="N500" s="314"/>
      <c r="O500" s="314"/>
      <c r="P500" s="314"/>
      <c r="Q500" s="314"/>
      <c r="R500" s="314"/>
      <c r="S500" s="314"/>
      <c r="T500" s="314"/>
      <c r="U500" s="314"/>
      <c r="V500" s="314"/>
      <c r="W500" s="314"/>
      <c r="X500" s="314"/>
      <c r="Y500" s="314"/>
      <c r="Z500" s="314"/>
      <c r="AA500" s="324"/>
      <c r="AB500" s="155"/>
      <c r="AC500" s="155"/>
      <c r="AD500" s="322"/>
      <c r="AE500" s="132"/>
      <c r="AF500" s="132"/>
    </row>
    <row r="501">
      <c r="A501" s="314"/>
      <c r="B501" s="313"/>
      <c r="C501" s="313"/>
      <c r="D501" s="313"/>
      <c r="E501" s="314"/>
      <c r="F501" s="314"/>
      <c r="G501" s="314"/>
      <c r="H501" s="314"/>
      <c r="I501" s="314"/>
      <c r="J501" s="314"/>
      <c r="K501" s="314"/>
      <c r="L501" s="314"/>
      <c r="M501" s="314"/>
      <c r="N501" s="314"/>
      <c r="O501" s="314"/>
      <c r="P501" s="314"/>
      <c r="Q501" s="314"/>
      <c r="R501" s="314"/>
      <c r="S501" s="314"/>
      <c r="T501" s="314"/>
      <c r="U501" s="314"/>
      <c r="V501" s="314"/>
      <c r="W501" s="314"/>
      <c r="X501" s="314"/>
      <c r="Y501" s="314"/>
      <c r="Z501" s="314"/>
      <c r="AA501" s="324"/>
      <c r="AB501" s="155"/>
      <c r="AC501" s="155"/>
      <c r="AD501" s="322"/>
      <c r="AE501" s="132"/>
      <c r="AF501" s="132"/>
    </row>
    <row r="502">
      <c r="A502" s="314"/>
      <c r="B502" s="313"/>
      <c r="C502" s="313"/>
      <c r="D502" s="313"/>
      <c r="E502" s="314"/>
      <c r="F502" s="314"/>
      <c r="G502" s="314"/>
      <c r="H502" s="314"/>
      <c r="I502" s="314"/>
      <c r="J502" s="314"/>
      <c r="K502" s="314"/>
      <c r="L502" s="314"/>
      <c r="M502" s="314"/>
      <c r="N502" s="314"/>
      <c r="O502" s="314"/>
      <c r="P502" s="314"/>
      <c r="Q502" s="314"/>
      <c r="R502" s="314"/>
      <c r="S502" s="314"/>
      <c r="T502" s="314"/>
      <c r="U502" s="314"/>
      <c r="V502" s="314"/>
      <c r="W502" s="314"/>
      <c r="X502" s="314"/>
      <c r="Y502" s="314"/>
      <c r="Z502" s="314"/>
      <c r="AA502" s="324"/>
      <c r="AB502" s="155"/>
      <c r="AC502" s="155"/>
      <c r="AD502" s="322"/>
      <c r="AE502" s="132"/>
      <c r="AF502" s="132"/>
    </row>
    <row r="503">
      <c r="A503" s="435"/>
      <c r="B503" s="313"/>
      <c r="C503" s="437"/>
      <c r="D503" s="313"/>
      <c r="E503" s="435"/>
      <c r="F503" s="314"/>
      <c r="G503" s="314"/>
      <c r="H503" s="435"/>
      <c r="I503" s="435"/>
      <c r="J503" s="314"/>
      <c r="K503" s="435"/>
      <c r="L503" s="435"/>
      <c r="M503" s="314"/>
      <c r="N503" s="314"/>
      <c r="O503" s="314"/>
      <c r="P503" s="435"/>
      <c r="Q503" s="435"/>
      <c r="R503" s="435"/>
      <c r="S503" s="435"/>
      <c r="T503" s="435"/>
      <c r="U503" s="435"/>
      <c r="V503" s="435"/>
      <c r="W503" s="435"/>
      <c r="X503" s="435"/>
      <c r="Y503" s="435"/>
      <c r="Z503" s="435"/>
      <c r="AA503" s="324"/>
      <c r="AB503" s="180"/>
      <c r="AC503" s="155"/>
      <c r="AD503" s="322"/>
      <c r="AE503" s="132"/>
      <c r="AF503" s="132"/>
    </row>
    <row r="504">
      <c r="A504" s="435"/>
      <c r="B504" s="313"/>
      <c r="C504" s="313"/>
      <c r="D504" s="437"/>
      <c r="E504" s="314"/>
      <c r="F504" s="314"/>
      <c r="G504" s="314"/>
      <c r="H504" s="314"/>
      <c r="I504" s="314"/>
      <c r="J504" s="314"/>
      <c r="K504" s="314"/>
      <c r="L504" s="314"/>
      <c r="M504" s="435"/>
      <c r="N504" s="435"/>
      <c r="O504" s="314"/>
      <c r="P504" s="314"/>
      <c r="Q504" s="314"/>
      <c r="R504" s="314"/>
      <c r="S504" s="314"/>
      <c r="T504" s="314"/>
      <c r="U504" s="314"/>
      <c r="V504" s="314"/>
      <c r="W504" s="314"/>
      <c r="X504" s="314"/>
      <c r="Y504" s="314"/>
      <c r="Z504" s="314"/>
      <c r="AA504" s="324"/>
      <c r="AB504" s="180"/>
      <c r="AC504" s="155"/>
      <c r="AD504" s="322"/>
      <c r="AE504" s="132"/>
      <c r="AF504" s="132"/>
    </row>
    <row r="505">
      <c r="A505" s="435"/>
      <c r="B505" s="437"/>
      <c r="C505" s="437"/>
      <c r="D505" s="437"/>
      <c r="E505" s="435"/>
      <c r="F505" s="314"/>
      <c r="G505" s="314"/>
      <c r="H505" s="314"/>
      <c r="I505" s="435"/>
      <c r="J505" s="435"/>
      <c r="K505" s="435"/>
      <c r="L505" s="435"/>
      <c r="M505" s="435"/>
      <c r="N505" s="435"/>
      <c r="O505" s="314"/>
      <c r="P505" s="435"/>
      <c r="Q505" s="314"/>
      <c r="R505" s="435"/>
      <c r="S505" s="435"/>
      <c r="T505" s="435"/>
      <c r="U505" s="435"/>
      <c r="V505" s="435"/>
      <c r="W505" s="435"/>
      <c r="X505" s="435"/>
      <c r="Y505" s="435"/>
      <c r="Z505" s="435"/>
      <c r="AA505" s="324"/>
      <c r="AB505" s="180"/>
      <c r="AC505" s="155"/>
      <c r="AD505" s="322"/>
      <c r="AE505" s="132"/>
      <c r="AF505" s="132"/>
    </row>
    <row r="506">
      <c r="A506" s="435"/>
      <c r="B506" s="313"/>
      <c r="C506" s="313"/>
      <c r="D506" s="437"/>
      <c r="E506" s="314"/>
      <c r="F506" s="314"/>
      <c r="G506" s="314"/>
      <c r="H506" s="314"/>
      <c r="I506" s="435"/>
      <c r="J506" s="314"/>
      <c r="K506" s="435"/>
      <c r="L506" s="314"/>
      <c r="M506" s="314"/>
      <c r="N506" s="314"/>
      <c r="O506" s="314"/>
      <c r="P506" s="314"/>
      <c r="Q506" s="435"/>
      <c r="R506" s="435"/>
      <c r="S506" s="314"/>
      <c r="T506" s="314"/>
      <c r="U506" s="314"/>
      <c r="V506" s="314"/>
      <c r="W506" s="314"/>
      <c r="X506" s="314"/>
      <c r="Y506" s="314"/>
      <c r="Z506" s="314"/>
      <c r="AA506" s="324"/>
      <c r="AB506" s="180"/>
      <c r="AC506" s="155"/>
      <c r="AD506" s="322"/>
      <c r="AE506" s="132"/>
      <c r="AF506" s="132"/>
    </row>
    <row r="507">
      <c r="A507" s="435"/>
      <c r="B507" s="437"/>
      <c r="C507" s="437"/>
      <c r="D507" s="437"/>
      <c r="E507" s="435"/>
      <c r="F507" s="314"/>
      <c r="G507" s="314"/>
      <c r="H507" s="435"/>
      <c r="I507" s="435"/>
      <c r="J507" s="435"/>
      <c r="K507" s="435"/>
      <c r="L507" s="435"/>
      <c r="M507" s="435"/>
      <c r="N507" s="435"/>
      <c r="O507" s="314"/>
      <c r="P507" s="435"/>
      <c r="Q507" s="435"/>
      <c r="R507" s="435"/>
      <c r="S507" s="435"/>
      <c r="T507" s="435"/>
      <c r="U507" s="435"/>
      <c r="V507" s="435"/>
      <c r="W507" s="435"/>
      <c r="X507" s="435"/>
      <c r="Y507" s="435"/>
      <c r="Z507" s="435"/>
      <c r="AA507" s="324"/>
      <c r="AB507" s="180"/>
      <c r="AC507" s="155"/>
      <c r="AD507" s="322"/>
      <c r="AE507" s="132"/>
      <c r="AF507" s="132"/>
    </row>
    <row r="508">
      <c r="A508" s="435"/>
      <c r="B508" s="437"/>
      <c r="C508" s="313"/>
      <c r="D508" s="437"/>
      <c r="E508" s="314"/>
      <c r="F508" s="314"/>
      <c r="G508" s="314"/>
      <c r="H508" s="314"/>
      <c r="I508" s="314"/>
      <c r="J508" s="314"/>
      <c r="K508" s="435"/>
      <c r="L508" s="314"/>
      <c r="M508" s="314"/>
      <c r="N508" s="314"/>
      <c r="O508" s="314"/>
      <c r="P508" s="314"/>
      <c r="Q508" s="314"/>
      <c r="R508" s="314"/>
      <c r="S508" s="435"/>
      <c r="T508" s="435"/>
      <c r="U508" s="435"/>
      <c r="V508" s="435"/>
      <c r="W508" s="435"/>
      <c r="X508" s="435"/>
      <c r="Y508" s="435"/>
      <c r="Z508" s="435"/>
      <c r="AA508" s="324"/>
      <c r="AB508" s="180"/>
      <c r="AC508" s="155"/>
      <c r="AD508" s="322"/>
      <c r="AE508" s="132"/>
      <c r="AF508" s="132"/>
    </row>
    <row r="509">
      <c r="A509" s="435"/>
      <c r="B509" s="437"/>
      <c r="C509" s="437"/>
      <c r="D509" s="437"/>
      <c r="E509" s="435"/>
      <c r="F509" s="314"/>
      <c r="G509" s="314"/>
      <c r="H509" s="435"/>
      <c r="I509" s="314"/>
      <c r="J509" s="314"/>
      <c r="K509" s="435"/>
      <c r="L509" s="314"/>
      <c r="M509" s="314"/>
      <c r="N509" s="314"/>
      <c r="O509" s="314"/>
      <c r="P509" s="435"/>
      <c r="Q509" s="435"/>
      <c r="R509" s="435"/>
      <c r="S509" s="435"/>
      <c r="T509" s="435"/>
      <c r="U509" s="435"/>
      <c r="V509" s="435"/>
      <c r="W509" s="435"/>
      <c r="X509" s="435"/>
      <c r="Y509" s="435"/>
      <c r="Z509" s="435"/>
      <c r="AA509" s="324"/>
      <c r="AB509" s="180"/>
      <c r="AC509" s="155"/>
      <c r="AD509" s="322"/>
      <c r="AE509" s="132"/>
      <c r="AF509" s="132"/>
    </row>
    <row r="510">
      <c r="A510" s="435"/>
      <c r="B510" s="437"/>
      <c r="C510" s="437"/>
      <c r="D510" s="437"/>
      <c r="E510" s="435"/>
      <c r="F510" s="314"/>
      <c r="G510" s="314"/>
      <c r="H510" s="435"/>
      <c r="I510" s="435"/>
      <c r="J510" s="435"/>
      <c r="K510" s="435"/>
      <c r="L510" s="435"/>
      <c r="M510" s="435"/>
      <c r="N510" s="435"/>
      <c r="O510" s="314"/>
      <c r="P510" s="435"/>
      <c r="Q510" s="435"/>
      <c r="R510" s="435"/>
      <c r="S510" s="435"/>
      <c r="T510" s="435"/>
      <c r="U510" s="435"/>
      <c r="V510" s="435"/>
      <c r="W510" s="435"/>
      <c r="X510" s="435"/>
      <c r="Y510" s="435"/>
      <c r="Z510" s="435"/>
      <c r="AA510" s="324"/>
      <c r="AB510" s="180"/>
      <c r="AC510" s="155"/>
      <c r="AD510" s="322"/>
      <c r="AE510" s="132"/>
      <c r="AF510" s="132"/>
    </row>
    <row r="511">
      <c r="A511" s="435"/>
      <c r="B511" s="313"/>
      <c r="C511" s="313"/>
      <c r="D511" s="313"/>
      <c r="E511" s="435"/>
      <c r="F511" s="314"/>
      <c r="G511" s="314"/>
      <c r="H511" s="435"/>
      <c r="I511" s="314"/>
      <c r="J511" s="314"/>
      <c r="K511" s="314"/>
      <c r="L511" s="314"/>
      <c r="M511" s="314"/>
      <c r="N511" s="314"/>
      <c r="O511" s="314"/>
      <c r="P511" s="314"/>
      <c r="Q511" s="314"/>
      <c r="R511" s="314"/>
      <c r="S511" s="314"/>
      <c r="T511" s="314"/>
      <c r="U511" s="314"/>
      <c r="V511" s="314"/>
      <c r="W511" s="314"/>
      <c r="X511" s="314"/>
      <c r="Y511" s="314"/>
      <c r="Z511" s="314"/>
      <c r="AA511" s="324"/>
      <c r="AB511" s="180"/>
      <c r="AC511" s="155"/>
      <c r="AD511" s="322"/>
      <c r="AE511" s="132"/>
      <c r="AF511" s="132"/>
    </row>
    <row r="512">
      <c r="A512" s="435"/>
      <c r="B512" s="313"/>
      <c r="C512" s="313"/>
      <c r="D512" s="437"/>
      <c r="E512" s="314"/>
      <c r="F512" s="314"/>
      <c r="G512" s="314"/>
      <c r="H512" s="435"/>
      <c r="I512" s="314"/>
      <c r="J512" s="435"/>
      <c r="K512" s="435"/>
      <c r="L512" s="314"/>
      <c r="M512" s="435"/>
      <c r="N512" s="314"/>
      <c r="O512" s="314"/>
      <c r="P512" s="314"/>
      <c r="Q512" s="314"/>
      <c r="R512" s="435"/>
      <c r="S512" s="435"/>
      <c r="T512" s="435"/>
      <c r="U512" s="435"/>
      <c r="V512" s="435"/>
      <c r="W512" s="435"/>
      <c r="X512" s="435"/>
      <c r="Y512" s="435"/>
      <c r="Z512" s="435"/>
      <c r="AA512" s="324"/>
      <c r="AB512" s="180"/>
      <c r="AC512" s="155"/>
      <c r="AD512" s="322"/>
      <c r="AE512" s="132"/>
      <c r="AF512" s="132"/>
    </row>
    <row r="513">
      <c r="A513" s="435"/>
      <c r="B513" s="313"/>
      <c r="C513" s="313"/>
      <c r="D513" s="313"/>
      <c r="E513" s="314"/>
      <c r="F513" s="314"/>
      <c r="G513" s="314"/>
      <c r="H513" s="314"/>
      <c r="I513" s="314"/>
      <c r="J513" s="314"/>
      <c r="K513" s="314"/>
      <c r="L513" s="314"/>
      <c r="M513" s="314"/>
      <c r="N513" s="314"/>
      <c r="O513" s="314"/>
      <c r="P513" s="314"/>
      <c r="Q513" s="435"/>
      <c r="R513" s="314"/>
      <c r="S513" s="435"/>
      <c r="T513" s="435"/>
      <c r="U513" s="435"/>
      <c r="V513" s="435"/>
      <c r="W513" s="435"/>
      <c r="X513" s="435"/>
      <c r="Y513" s="435"/>
      <c r="Z513" s="435"/>
      <c r="AA513" s="324"/>
      <c r="AB513" s="180"/>
      <c r="AC513" s="155"/>
      <c r="AD513" s="322"/>
      <c r="AE513" s="132"/>
      <c r="AF513" s="132"/>
    </row>
    <row r="514">
      <c r="A514" s="435"/>
      <c r="B514" s="437"/>
      <c r="C514" s="313"/>
      <c r="D514" s="313"/>
      <c r="E514" s="314"/>
      <c r="F514" s="314"/>
      <c r="G514" s="314"/>
      <c r="H514" s="435"/>
      <c r="I514" s="314"/>
      <c r="J514" s="435"/>
      <c r="K514" s="435"/>
      <c r="L514" s="314"/>
      <c r="M514" s="314"/>
      <c r="N514" s="435"/>
      <c r="O514" s="314"/>
      <c r="P514" s="314"/>
      <c r="Q514" s="314"/>
      <c r="R514" s="435"/>
      <c r="S514" s="435"/>
      <c r="T514" s="435"/>
      <c r="U514" s="435"/>
      <c r="V514" s="435"/>
      <c r="W514" s="435"/>
      <c r="X514" s="435"/>
      <c r="Y514" s="435"/>
      <c r="Z514" s="435"/>
      <c r="AA514" s="324"/>
      <c r="AB514" s="180"/>
      <c r="AC514" s="155"/>
      <c r="AD514" s="322"/>
      <c r="AE514" s="132"/>
      <c r="AF514" s="132"/>
    </row>
    <row r="515">
      <c r="A515" s="435"/>
      <c r="B515" s="313"/>
      <c r="C515" s="437"/>
      <c r="D515" s="437"/>
      <c r="E515" s="435"/>
      <c r="F515" s="314"/>
      <c r="G515" s="314"/>
      <c r="H515" s="435"/>
      <c r="I515" s="314"/>
      <c r="J515" s="314"/>
      <c r="K515" s="435"/>
      <c r="L515" s="314"/>
      <c r="M515" s="314"/>
      <c r="N515" s="314"/>
      <c r="O515" s="314"/>
      <c r="P515" s="314"/>
      <c r="Q515" s="314"/>
      <c r="R515" s="314"/>
      <c r="S515" s="435"/>
      <c r="T515" s="435"/>
      <c r="U515" s="435"/>
      <c r="V515" s="435"/>
      <c r="W515" s="435"/>
      <c r="X515" s="435"/>
      <c r="Y515" s="435"/>
      <c r="Z515" s="435"/>
      <c r="AA515" s="324"/>
      <c r="AB515" s="180"/>
      <c r="AC515" s="155"/>
      <c r="AD515" s="322"/>
      <c r="AE515" s="132"/>
      <c r="AF515" s="132"/>
    </row>
    <row r="516">
      <c r="A516" s="435"/>
      <c r="B516" s="313"/>
      <c r="C516" s="313"/>
      <c r="D516" s="313"/>
      <c r="E516" s="314"/>
      <c r="F516" s="314"/>
      <c r="G516" s="314"/>
      <c r="H516" s="435"/>
      <c r="I516" s="314"/>
      <c r="J516" s="314"/>
      <c r="K516" s="314"/>
      <c r="L516" s="314"/>
      <c r="M516" s="314"/>
      <c r="N516" s="314"/>
      <c r="O516" s="314"/>
      <c r="P516" s="314"/>
      <c r="Q516" s="314"/>
      <c r="R516" s="435"/>
      <c r="S516" s="314"/>
      <c r="T516" s="314"/>
      <c r="U516" s="314"/>
      <c r="V516" s="314"/>
      <c r="W516" s="314"/>
      <c r="X516" s="314"/>
      <c r="Y516" s="314"/>
      <c r="Z516" s="314"/>
      <c r="AA516" s="324"/>
      <c r="AB516" s="180"/>
      <c r="AC516" s="155"/>
      <c r="AD516" s="322"/>
      <c r="AE516" s="132"/>
      <c r="AF516" s="132"/>
    </row>
    <row r="517">
      <c r="A517" s="435"/>
      <c r="B517" s="437"/>
      <c r="C517" s="437"/>
      <c r="D517" s="437"/>
      <c r="E517" s="435"/>
      <c r="F517" s="314"/>
      <c r="G517" s="314"/>
      <c r="H517" s="435"/>
      <c r="I517" s="435"/>
      <c r="J517" s="435"/>
      <c r="K517" s="435"/>
      <c r="L517" s="435"/>
      <c r="M517" s="435"/>
      <c r="N517" s="435"/>
      <c r="O517" s="314"/>
      <c r="P517" s="435"/>
      <c r="Q517" s="435"/>
      <c r="R517" s="435"/>
      <c r="S517" s="435"/>
      <c r="T517" s="435"/>
      <c r="U517" s="435"/>
      <c r="V517" s="435"/>
      <c r="W517" s="435"/>
      <c r="X517" s="435"/>
      <c r="Y517" s="435"/>
      <c r="Z517" s="435"/>
      <c r="AA517" s="324"/>
      <c r="AB517" s="180"/>
      <c r="AC517" s="155"/>
      <c r="AD517" s="322"/>
      <c r="AE517" s="132"/>
      <c r="AF517" s="132"/>
    </row>
    <row r="518">
      <c r="A518" s="435"/>
      <c r="B518" s="313"/>
      <c r="C518" s="313"/>
      <c r="D518" s="313"/>
      <c r="E518" s="314"/>
      <c r="F518" s="314"/>
      <c r="G518" s="314"/>
      <c r="H518" s="314"/>
      <c r="I518" s="314"/>
      <c r="J518" s="314"/>
      <c r="K518" s="314"/>
      <c r="L518" s="314"/>
      <c r="M518" s="435"/>
      <c r="N518" s="314"/>
      <c r="O518" s="314"/>
      <c r="P518" s="314"/>
      <c r="Q518" s="314"/>
      <c r="R518" s="314"/>
      <c r="S518" s="314"/>
      <c r="T518" s="314"/>
      <c r="U518" s="314"/>
      <c r="V518" s="314"/>
      <c r="W518" s="314"/>
      <c r="X518" s="314"/>
      <c r="Y518" s="314"/>
      <c r="Z518" s="314"/>
      <c r="AA518" s="324"/>
      <c r="AB518" s="180"/>
      <c r="AC518" s="155"/>
      <c r="AD518" s="322"/>
      <c r="AE518" s="132"/>
      <c r="AF518" s="132"/>
    </row>
    <row r="519">
      <c r="A519" s="435"/>
      <c r="B519" s="313"/>
      <c r="C519" s="437"/>
      <c r="D519" s="437"/>
      <c r="E519" s="435"/>
      <c r="F519" s="314"/>
      <c r="G519" s="314"/>
      <c r="H519" s="435"/>
      <c r="I519" s="435"/>
      <c r="J519" s="435"/>
      <c r="K519" s="435"/>
      <c r="L519" s="314"/>
      <c r="M519" s="435"/>
      <c r="N519" s="435"/>
      <c r="O519" s="314"/>
      <c r="P519" s="435"/>
      <c r="Q519" s="435"/>
      <c r="R519" s="435"/>
      <c r="S519" s="435"/>
      <c r="T519" s="435"/>
      <c r="U519" s="435"/>
      <c r="V519" s="435"/>
      <c r="W519" s="435"/>
      <c r="X519" s="435"/>
      <c r="Y519" s="435"/>
      <c r="Z519" s="435"/>
      <c r="AA519" s="324"/>
      <c r="AB519" s="180"/>
      <c r="AC519" s="155"/>
      <c r="AD519" s="322"/>
      <c r="AE519" s="132"/>
      <c r="AF519" s="132"/>
    </row>
    <row r="520">
      <c r="A520" s="435"/>
      <c r="B520" s="437"/>
      <c r="C520" s="437"/>
      <c r="D520" s="313"/>
      <c r="E520" s="435"/>
      <c r="F520" s="314"/>
      <c r="G520" s="314"/>
      <c r="H520" s="435"/>
      <c r="I520" s="435"/>
      <c r="J520" s="314"/>
      <c r="K520" s="435"/>
      <c r="L520" s="435"/>
      <c r="M520" s="314"/>
      <c r="N520" s="435"/>
      <c r="O520" s="314"/>
      <c r="P520" s="435"/>
      <c r="Q520" s="314"/>
      <c r="R520" s="435"/>
      <c r="S520" s="435"/>
      <c r="T520" s="435"/>
      <c r="U520" s="435"/>
      <c r="V520" s="435"/>
      <c r="W520" s="435"/>
      <c r="X520" s="435"/>
      <c r="Y520" s="435"/>
      <c r="Z520" s="435"/>
      <c r="AA520" s="324"/>
      <c r="AB520" s="180"/>
      <c r="AC520" s="155"/>
      <c r="AD520" s="322"/>
      <c r="AE520" s="132"/>
      <c r="AF520" s="132"/>
    </row>
    <row r="521">
      <c r="A521" s="458"/>
      <c r="B521" s="437"/>
      <c r="C521" s="437"/>
      <c r="D521" s="437"/>
      <c r="E521" s="435"/>
      <c r="F521" s="314"/>
      <c r="G521" s="314"/>
      <c r="H521" s="314"/>
      <c r="I521" s="435"/>
      <c r="J521" s="435"/>
      <c r="K521" s="435"/>
      <c r="L521" s="435"/>
      <c r="M521" s="435"/>
      <c r="N521" s="435"/>
      <c r="O521" s="314"/>
      <c r="P521" s="435"/>
      <c r="Q521" s="435"/>
      <c r="R521" s="435"/>
      <c r="S521" s="435"/>
      <c r="T521" s="435"/>
      <c r="U521" s="435"/>
      <c r="V521" s="435"/>
      <c r="W521" s="435"/>
      <c r="X521" s="435"/>
      <c r="Y521" s="435"/>
      <c r="Z521" s="435"/>
      <c r="AA521" s="324"/>
      <c r="AB521" s="180"/>
      <c r="AC521" s="155"/>
      <c r="AD521" s="322"/>
      <c r="AE521" s="132"/>
      <c r="AF521" s="132"/>
    </row>
    <row r="522">
      <c r="A522" s="458"/>
      <c r="B522" s="437"/>
      <c r="C522" s="437"/>
      <c r="D522" s="437"/>
      <c r="E522" s="435"/>
      <c r="F522" s="314"/>
      <c r="G522" s="314"/>
      <c r="H522" s="314"/>
      <c r="I522" s="314"/>
      <c r="J522" s="435"/>
      <c r="K522" s="435"/>
      <c r="L522" s="435"/>
      <c r="M522" s="435"/>
      <c r="N522" s="435"/>
      <c r="O522" s="314"/>
      <c r="P522" s="435"/>
      <c r="Q522" s="435"/>
      <c r="R522" s="435"/>
      <c r="S522" s="435"/>
      <c r="T522" s="435"/>
      <c r="U522" s="435"/>
      <c r="V522" s="435"/>
      <c r="W522" s="435"/>
      <c r="X522" s="435"/>
      <c r="Y522" s="435"/>
      <c r="Z522" s="435"/>
      <c r="AA522" s="324"/>
      <c r="AB522" s="180"/>
      <c r="AC522" s="155"/>
      <c r="AD522" s="322"/>
      <c r="AE522" s="132"/>
      <c r="AF522" s="132"/>
    </row>
    <row r="523">
      <c r="A523" s="458"/>
      <c r="B523" s="437"/>
      <c r="C523" s="437"/>
      <c r="D523" s="437"/>
      <c r="E523" s="314"/>
      <c r="F523" s="314"/>
      <c r="G523" s="314"/>
      <c r="H523" s="314"/>
      <c r="I523" s="435"/>
      <c r="J523" s="435"/>
      <c r="K523" s="435"/>
      <c r="L523" s="435"/>
      <c r="M523" s="435"/>
      <c r="N523" s="435"/>
      <c r="O523" s="314"/>
      <c r="P523" s="435"/>
      <c r="Q523" s="314"/>
      <c r="R523" s="435"/>
      <c r="S523" s="435"/>
      <c r="T523" s="435"/>
      <c r="U523" s="435"/>
      <c r="V523" s="435"/>
      <c r="W523" s="435"/>
      <c r="X523" s="435"/>
      <c r="Y523" s="435"/>
      <c r="Z523" s="435"/>
      <c r="AA523" s="324"/>
      <c r="AB523" s="180"/>
      <c r="AC523" s="155"/>
      <c r="AD523" s="322"/>
      <c r="AE523" s="132"/>
      <c r="AF523" s="132"/>
    </row>
    <row r="524">
      <c r="A524" s="458"/>
      <c r="B524" s="313"/>
      <c r="C524" s="313"/>
      <c r="D524" s="313"/>
      <c r="E524" s="314"/>
      <c r="F524" s="314"/>
      <c r="G524" s="314"/>
      <c r="H524" s="314"/>
      <c r="I524" s="314"/>
      <c r="J524" s="314"/>
      <c r="K524" s="314"/>
      <c r="L524" s="314"/>
      <c r="M524" s="314"/>
      <c r="N524" s="314"/>
      <c r="O524" s="314"/>
      <c r="P524" s="314"/>
      <c r="Q524" s="314"/>
      <c r="R524" s="314"/>
      <c r="S524" s="314"/>
      <c r="T524" s="314"/>
      <c r="U524" s="314"/>
      <c r="V524" s="314"/>
      <c r="W524" s="314"/>
      <c r="X524" s="314"/>
      <c r="Y524" s="314"/>
      <c r="Z524" s="314"/>
      <c r="AA524" s="324"/>
      <c r="AB524" s="180"/>
      <c r="AC524" s="155"/>
      <c r="AD524" s="322"/>
      <c r="AE524" s="132"/>
      <c r="AF524" s="132"/>
    </row>
    <row r="525">
      <c r="A525" s="458"/>
      <c r="B525" s="437"/>
      <c r="C525" s="437"/>
      <c r="D525" s="437"/>
      <c r="E525" s="314"/>
      <c r="F525" s="314"/>
      <c r="G525" s="314"/>
      <c r="H525" s="314"/>
      <c r="I525" s="314"/>
      <c r="J525" s="314"/>
      <c r="K525" s="435"/>
      <c r="L525" s="435"/>
      <c r="M525" s="435"/>
      <c r="N525" s="314"/>
      <c r="O525" s="314"/>
      <c r="P525" s="435"/>
      <c r="Q525" s="435"/>
      <c r="R525" s="435"/>
      <c r="S525" s="435"/>
      <c r="T525" s="435"/>
      <c r="U525" s="435"/>
      <c r="V525" s="435"/>
      <c r="W525" s="435"/>
      <c r="X525" s="435"/>
      <c r="Y525" s="435"/>
      <c r="Z525" s="435"/>
      <c r="AA525" s="324"/>
      <c r="AB525" s="180"/>
      <c r="AC525" s="155"/>
      <c r="AD525" s="322"/>
      <c r="AE525" s="132"/>
      <c r="AF525" s="132"/>
    </row>
    <row r="526">
      <c r="A526" s="458"/>
      <c r="B526" s="313"/>
      <c r="C526" s="313"/>
      <c r="D526" s="437"/>
      <c r="E526" s="314"/>
      <c r="F526" s="314"/>
      <c r="G526" s="314"/>
      <c r="H526" s="314"/>
      <c r="I526" s="314"/>
      <c r="J526" s="314"/>
      <c r="K526" s="314"/>
      <c r="L526" s="314"/>
      <c r="M526" s="314"/>
      <c r="N526" s="314"/>
      <c r="O526" s="314"/>
      <c r="P526" s="314"/>
      <c r="Q526" s="314"/>
      <c r="R526" s="314"/>
      <c r="S526" s="314"/>
      <c r="T526" s="314"/>
      <c r="U526" s="314"/>
      <c r="V526" s="314"/>
      <c r="W526" s="314"/>
      <c r="X526" s="314"/>
      <c r="Y526" s="314"/>
      <c r="Z526" s="314"/>
      <c r="AA526" s="324"/>
      <c r="AB526" s="180"/>
      <c r="AC526" s="155"/>
      <c r="AD526" s="322"/>
      <c r="AE526" s="132"/>
      <c r="AF526" s="132"/>
    </row>
    <row r="527">
      <c r="A527" s="458"/>
      <c r="B527" s="313"/>
      <c r="C527" s="437"/>
      <c r="D527" s="313"/>
      <c r="E527" s="314"/>
      <c r="F527" s="314"/>
      <c r="G527" s="314"/>
      <c r="H527" s="314"/>
      <c r="I527" s="435"/>
      <c r="J527" s="314"/>
      <c r="K527" s="314"/>
      <c r="L527" s="435"/>
      <c r="M527" s="314"/>
      <c r="N527" s="314"/>
      <c r="O527" s="314"/>
      <c r="P527" s="314"/>
      <c r="Q527" s="435"/>
      <c r="R527" s="435"/>
      <c r="S527" s="435"/>
      <c r="T527" s="435"/>
      <c r="U527" s="435"/>
      <c r="V527" s="435"/>
      <c r="W527" s="435"/>
      <c r="X527" s="435"/>
      <c r="Y527" s="435"/>
      <c r="Z527" s="435"/>
      <c r="AA527" s="324"/>
      <c r="AB527" s="180"/>
      <c r="AC527" s="155"/>
      <c r="AD527" s="322"/>
      <c r="AE527" s="132"/>
      <c r="AF527" s="132"/>
    </row>
    <row r="528">
      <c r="A528" s="458"/>
      <c r="B528" s="313"/>
      <c r="C528" s="437"/>
      <c r="D528" s="437"/>
      <c r="E528" s="435"/>
      <c r="F528" s="314"/>
      <c r="G528" s="314"/>
      <c r="H528" s="435"/>
      <c r="I528" s="435"/>
      <c r="J528" s="314"/>
      <c r="K528" s="435"/>
      <c r="L528" s="435"/>
      <c r="M528" s="314"/>
      <c r="N528" s="314"/>
      <c r="O528" s="314"/>
      <c r="P528" s="435"/>
      <c r="Q528" s="435"/>
      <c r="R528" s="435"/>
      <c r="S528" s="435"/>
      <c r="T528" s="435"/>
      <c r="U528" s="435"/>
      <c r="V528" s="435"/>
      <c r="W528" s="435"/>
      <c r="X528" s="435"/>
      <c r="Y528" s="435"/>
      <c r="Z528" s="435"/>
      <c r="AA528" s="324"/>
      <c r="AB528" s="180"/>
      <c r="AC528" s="155"/>
      <c r="AD528" s="322"/>
      <c r="AE528" s="132"/>
      <c r="AF528" s="132"/>
    </row>
    <row r="529">
      <c r="A529" s="458"/>
      <c r="B529" s="313"/>
      <c r="C529" s="437"/>
      <c r="D529" s="437"/>
      <c r="E529" s="314"/>
      <c r="F529" s="314"/>
      <c r="G529" s="314"/>
      <c r="H529" s="314"/>
      <c r="I529" s="314"/>
      <c r="J529" s="314"/>
      <c r="K529" s="435"/>
      <c r="L529" s="314"/>
      <c r="M529" s="314"/>
      <c r="N529" s="314"/>
      <c r="O529" s="314"/>
      <c r="P529" s="314"/>
      <c r="Q529" s="314"/>
      <c r="R529" s="435"/>
      <c r="S529" s="435"/>
      <c r="T529" s="435"/>
      <c r="U529" s="435"/>
      <c r="V529" s="435"/>
      <c r="W529" s="435"/>
      <c r="X529" s="435"/>
      <c r="Y529" s="435"/>
      <c r="Z529" s="435"/>
      <c r="AA529" s="324"/>
      <c r="AB529" s="180"/>
      <c r="AC529" s="155"/>
      <c r="AD529" s="322"/>
      <c r="AE529" s="132"/>
      <c r="AF529" s="132"/>
    </row>
    <row r="530">
      <c r="A530" s="458"/>
      <c r="B530" s="437"/>
      <c r="C530" s="437"/>
      <c r="D530" s="437"/>
      <c r="E530" s="435"/>
      <c r="F530" s="314"/>
      <c r="G530" s="314"/>
      <c r="H530" s="435"/>
      <c r="I530" s="435"/>
      <c r="J530" s="435"/>
      <c r="K530" s="435"/>
      <c r="L530" s="435"/>
      <c r="M530" s="435"/>
      <c r="N530" s="435"/>
      <c r="O530" s="314"/>
      <c r="P530" s="435"/>
      <c r="Q530" s="435"/>
      <c r="R530" s="435"/>
      <c r="S530" s="435"/>
      <c r="T530" s="435"/>
      <c r="U530" s="435"/>
      <c r="V530" s="435"/>
      <c r="W530" s="435"/>
      <c r="X530" s="435"/>
      <c r="Y530" s="435"/>
      <c r="Z530" s="435"/>
      <c r="AA530" s="324"/>
      <c r="AB530" s="180"/>
      <c r="AC530" s="155"/>
      <c r="AD530" s="322"/>
      <c r="AE530" s="132"/>
      <c r="AF530" s="132"/>
    </row>
    <row r="531">
      <c r="A531" s="435"/>
      <c r="B531" s="437"/>
      <c r="C531" s="437"/>
      <c r="D531" s="437"/>
      <c r="E531" s="435"/>
      <c r="F531" s="314"/>
      <c r="G531" s="314"/>
      <c r="H531" s="435"/>
      <c r="I531" s="435"/>
      <c r="J531" s="435"/>
      <c r="K531" s="435"/>
      <c r="L531" s="435"/>
      <c r="M531" s="435"/>
      <c r="N531" s="435"/>
      <c r="O531" s="314"/>
      <c r="P531" s="435"/>
      <c r="Q531" s="435"/>
      <c r="R531" s="435"/>
      <c r="S531" s="435"/>
      <c r="T531" s="435"/>
      <c r="U531" s="435"/>
      <c r="V531" s="435"/>
      <c r="W531" s="435"/>
      <c r="X531" s="435"/>
      <c r="Y531" s="435"/>
      <c r="Z531" s="435"/>
      <c r="AA531" s="324"/>
      <c r="AB531" s="180"/>
      <c r="AC531" s="155"/>
      <c r="AD531" s="322"/>
      <c r="AE531" s="132"/>
      <c r="AF531" s="132"/>
    </row>
    <row r="532">
      <c r="A532" s="474"/>
      <c r="B532" s="437"/>
      <c r="C532" s="437"/>
      <c r="D532" s="437"/>
      <c r="E532" s="435"/>
      <c r="F532" s="314"/>
      <c r="G532" s="314"/>
      <c r="H532" s="435"/>
      <c r="I532" s="435"/>
      <c r="J532" s="435"/>
      <c r="K532" s="435"/>
      <c r="L532" s="435"/>
      <c r="M532" s="435"/>
      <c r="N532" s="435"/>
      <c r="O532" s="314"/>
      <c r="P532" s="435"/>
      <c r="Q532" s="435"/>
      <c r="R532" s="435"/>
      <c r="S532" s="435"/>
      <c r="T532" s="435"/>
      <c r="U532" s="435"/>
      <c r="V532" s="435"/>
      <c r="W532" s="435"/>
      <c r="X532" s="435"/>
      <c r="Y532" s="435"/>
      <c r="Z532" s="435"/>
      <c r="AA532" s="324"/>
      <c r="AB532" s="180"/>
      <c r="AC532" s="155"/>
      <c r="AD532" s="322"/>
      <c r="AE532" s="132"/>
      <c r="AF532" s="132"/>
    </row>
    <row r="533">
      <c r="A533" s="474"/>
      <c r="B533" s="437"/>
      <c r="C533" s="313"/>
      <c r="D533" s="437"/>
      <c r="E533" s="435"/>
      <c r="F533" s="314"/>
      <c r="G533" s="314"/>
      <c r="H533" s="435"/>
      <c r="I533" s="435"/>
      <c r="J533" s="435"/>
      <c r="K533" s="314"/>
      <c r="L533" s="314"/>
      <c r="M533" s="314"/>
      <c r="N533" s="435"/>
      <c r="O533" s="314"/>
      <c r="P533" s="314"/>
      <c r="Q533" s="435"/>
      <c r="R533" s="314"/>
      <c r="S533" s="435"/>
      <c r="T533" s="435"/>
      <c r="U533" s="435"/>
      <c r="V533" s="435"/>
      <c r="W533" s="435"/>
      <c r="X533" s="435"/>
      <c r="Y533" s="435"/>
      <c r="Z533" s="435"/>
      <c r="AA533" s="324"/>
      <c r="AB533" s="180"/>
      <c r="AC533" s="155"/>
      <c r="AD533" s="322"/>
      <c r="AE533" s="132"/>
      <c r="AF533" s="132"/>
    </row>
    <row r="534">
      <c r="A534" s="474"/>
      <c r="B534" s="313"/>
      <c r="C534" s="313"/>
      <c r="D534" s="313"/>
      <c r="E534" s="314"/>
      <c r="F534" s="314"/>
      <c r="G534" s="314"/>
      <c r="H534" s="314"/>
      <c r="I534" s="314"/>
      <c r="J534" s="314"/>
      <c r="K534" s="435"/>
      <c r="L534" s="314"/>
      <c r="M534" s="314"/>
      <c r="N534" s="314"/>
      <c r="O534" s="314"/>
      <c r="P534" s="435"/>
      <c r="Q534" s="314"/>
      <c r="R534" s="314"/>
      <c r="S534" s="314"/>
      <c r="T534" s="314"/>
      <c r="U534" s="314"/>
      <c r="V534" s="314"/>
      <c r="W534" s="314"/>
      <c r="X534" s="314"/>
      <c r="Y534" s="314"/>
      <c r="Z534" s="314"/>
      <c r="AA534" s="324"/>
      <c r="AB534" s="180"/>
      <c r="AC534" s="155"/>
      <c r="AD534" s="322"/>
      <c r="AE534" s="132"/>
      <c r="AF534" s="132"/>
    </row>
    <row r="535">
      <c r="A535" s="474"/>
      <c r="B535" s="313"/>
      <c r="C535" s="437"/>
      <c r="D535" s="437"/>
      <c r="E535" s="314"/>
      <c r="F535" s="314"/>
      <c r="G535" s="314"/>
      <c r="H535" s="314"/>
      <c r="I535" s="435"/>
      <c r="J535" s="314"/>
      <c r="K535" s="314"/>
      <c r="L535" s="314"/>
      <c r="M535" s="314"/>
      <c r="N535" s="314"/>
      <c r="O535" s="314"/>
      <c r="P535" s="314"/>
      <c r="Q535" s="314"/>
      <c r="R535" s="314"/>
      <c r="S535" s="314"/>
      <c r="T535" s="314"/>
      <c r="U535" s="314"/>
      <c r="V535" s="314"/>
      <c r="W535" s="314"/>
      <c r="X535" s="314"/>
      <c r="Y535" s="314"/>
      <c r="Z535" s="314"/>
      <c r="AA535" s="324"/>
      <c r="AB535" s="180"/>
      <c r="AC535" s="155"/>
      <c r="AD535" s="322"/>
      <c r="AE535" s="132"/>
      <c r="AF535" s="132"/>
    </row>
    <row r="536">
      <c r="A536" s="474"/>
      <c r="B536" s="313"/>
      <c r="C536" s="313"/>
      <c r="D536" s="313"/>
      <c r="E536" s="314"/>
      <c r="F536" s="314"/>
      <c r="G536" s="314"/>
      <c r="H536" s="314"/>
      <c r="I536" s="314"/>
      <c r="J536" s="314"/>
      <c r="K536" s="435"/>
      <c r="L536" s="314"/>
      <c r="M536" s="314"/>
      <c r="N536" s="314"/>
      <c r="O536" s="314"/>
      <c r="P536" s="314"/>
      <c r="Q536" s="314"/>
      <c r="R536" s="314"/>
      <c r="S536" s="314"/>
      <c r="T536" s="314"/>
      <c r="U536" s="314"/>
      <c r="V536" s="314"/>
      <c r="W536" s="314"/>
      <c r="X536" s="314"/>
      <c r="Y536" s="314"/>
      <c r="Z536" s="314"/>
      <c r="AA536" s="324"/>
      <c r="AB536" s="180"/>
      <c r="AC536" s="155"/>
      <c r="AD536" s="322"/>
      <c r="AE536" s="132"/>
      <c r="AF536" s="132"/>
    </row>
    <row r="537">
      <c r="A537" s="458"/>
      <c r="B537" s="313"/>
      <c r="C537" s="437"/>
      <c r="D537" s="313"/>
      <c r="E537" s="314"/>
      <c r="F537" s="314"/>
      <c r="G537" s="314"/>
      <c r="H537" s="314"/>
      <c r="I537" s="314"/>
      <c r="J537" s="435"/>
      <c r="K537" s="435"/>
      <c r="L537" s="314"/>
      <c r="M537" s="314"/>
      <c r="N537" s="314"/>
      <c r="O537" s="314"/>
      <c r="P537" s="314"/>
      <c r="Q537" s="314"/>
      <c r="R537" s="314"/>
      <c r="S537" s="314"/>
      <c r="T537" s="314"/>
      <c r="U537" s="314"/>
      <c r="V537" s="314"/>
      <c r="W537" s="314"/>
      <c r="X537" s="314"/>
      <c r="Y537" s="314"/>
      <c r="Z537" s="314"/>
      <c r="AA537" s="324"/>
      <c r="AB537" s="180"/>
      <c r="AC537" s="155"/>
      <c r="AD537" s="322"/>
      <c r="AE537" s="132"/>
      <c r="AF537" s="132"/>
    </row>
    <row r="538">
      <c r="A538" s="435"/>
      <c r="B538" s="313"/>
      <c r="C538" s="437"/>
      <c r="D538" s="437"/>
      <c r="E538" s="435"/>
      <c r="F538" s="314"/>
      <c r="G538" s="314"/>
      <c r="H538" s="435"/>
      <c r="I538" s="314"/>
      <c r="J538" s="314"/>
      <c r="K538" s="435"/>
      <c r="L538" s="314"/>
      <c r="M538" s="435"/>
      <c r="N538" s="435"/>
      <c r="O538" s="314"/>
      <c r="P538" s="314"/>
      <c r="Q538" s="314"/>
      <c r="R538" s="435"/>
      <c r="S538" s="314"/>
      <c r="T538" s="314"/>
      <c r="U538" s="314"/>
      <c r="V538" s="314"/>
      <c r="W538" s="314"/>
      <c r="X538" s="314"/>
      <c r="Y538" s="314"/>
      <c r="Z538" s="314"/>
      <c r="AA538" s="324"/>
      <c r="AB538" s="180"/>
      <c r="AC538" s="155"/>
      <c r="AD538" s="322"/>
      <c r="AE538" s="132"/>
      <c r="AF538" s="132"/>
    </row>
    <row r="539">
      <c r="A539" s="435"/>
      <c r="B539" s="437"/>
      <c r="C539" s="313"/>
      <c r="D539" s="313"/>
      <c r="E539" s="314"/>
      <c r="F539" s="314"/>
      <c r="G539" s="314"/>
      <c r="H539" s="314"/>
      <c r="I539" s="314"/>
      <c r="J539" s="314"/>
      <c r="K539" s="314"/>
      <c r="L539" s="314"/>
      <c r="M539" s="314"/>
      <c r="N539" s="314"/>
      <c r="O539" s="314"/>
      <c r="P539" s="435"/>
      <c r="Q539" s="314"/>
      <c r="R539" s="314"/>
      <c r="S539" s="314"/>
      <c r="T539" s="314"/>
      <c r="U539" s="314"/>
      <c r="V539" s="314"/>
      <c r="W539" s="314"/>
      <c r="X539" s="314"/>
      <c r="Y539" s="314"/>
      <c r="Z539" s="314"/>
      <c r="AA539" s="324"/>
      <c r="AB539" s="180"/>
      <c r="AC539" s="155"/>
      <c r="AD539" s="322"/>
      <c r="AE539" s="132"/>
      <c r="AF539" s="132"/>
    </row>
    <row r="540">
      <c r="A540" s="435"/>
      <c r="B540" s="437"/>
      <c r="C540" s="313"/>
      <c r="D540" s="313"/>
      <c r="E540" s="314"/>
      <c r="F540" s="314"/>
      <c r="G540" s="314"/>
      <c r="H540" s="314"/>
      <c r="I540" s="314"/>
      <c r="J540" s="314"/>
      <c r="K540" s="314"/>
      <c r="L540" s="314"/>
      <c r="M540" s="314"/>
      <c r="N540" s="314"/>
      <c r="O540" s="314"/>
      <c r="P540" s="314"/>
      <c r="Q540" s="435"/>
      <c r="R540" s="314"/>
      <c r="S540" s="435"/>
      <c r="T540" s="435"/>
      <c r="U540" s="435"/>
      <c r="V540" s="435"/>
      <c r="W540" s="435"/>
      <c r="X540" s="435"/>
      <c r="Y540" s="435"/>
      <c r="Z540" s="435"/>
      <c r="AA540" s="324"/>
      <c r="AB540" s="180"/>
      <c r="AC540" s="155"/>
      <c r="AD540" s="322"/>
      <c r="AE540" s="132"/>
      <c r="AF540" s="132"/>
    </row>
    <row r="541">
      <c r="A541" s="435"/>
      <c r="B541" s="313"/>
      <c r="C541" s="437"/>
      <c r="D541" s="313"/>
      <c r="E541" s="314"/>
      <c r="F541" s="314"/>
      <c r="G541" s="314"/>
      <c r="H541" s="314"/>
      <c r="I541" s="314"/>
      <c r="J541" s="314"/>
      <c r="K541" s="314"/>
      <c r="L541" s="314"/>
      <c r="M541" s="314"/>
      <c r="N541" s="314"/>
      <c r="O541" s="314"/>
      <c r="P541" s="314"/>
      <c r="Q541" s="314"/>
      <c r="R541" s="435"/>
      <c r="S541" s="314"/>
      <c r="T541" s="314"/>
      <c r="U541" s="314"/>
      <c r="V541" s="314"/>
      <c r="W541" s="314"/>
      <c r="X541" s="314"/>
      <c r="Y541" s="314"/>
      <c r="Z541" s="314"/>
      <c r="AA541" s="324"/>
      <c r="AB541" s="180"/>
      <c r="AC541" s="155"/>
      <c r="AD541" s="322"/>
      <c r="AE541" s="132"/>
      <c r="AF541" s="132"/>
    </row>
    <row r="542">
      <c r="A542" s="435"/>
      <c r="B542" s="313"/>
      <c r="C542" s="313"/>
      <c r="D542" s="313"/>
      <c r="E542" s="314"/>
      <c r="F542" s="314"/>
      <c r="G542" s="314"/>
      <c r="H542" s="314"/>
      <c r="I542" s="314"/>
      <c r="J542" s="314"/>
      <c r="K542" s="435"/>
      <c r="L542" s="314"/>
      <c r="M542" s="435"/>
      <c r="N542" s="314"/>
      <c r="O542" s="314"/>
      <c r="P542" s="314"/>
      <c r="Q542" s="435"/>
      <c r="R542" s="314"/>
      <c r="S542" s="314"/>
      <c r="T542" s="314"/>
      <c r="U542" s="314"/>
      <c r="V542" s="314"/>
      <c r="W542" s="314"/>
      <c r="X542" s="314"/>
      <c r="Y542" s="314"/>
      <c r="Z542" s="314"/>
      <c r="AA542" s="324"/>
      <c r="AB542" s="180"/>
      <c r="AC542" s="155"/>
      <c r="AD542" s="322"/>
      <c r="AE542" s="132"/>
      <c r="AF542" s="132"/>
    </row>
    <row r="543">
      <c r="A543" s="435"/>
      <c r="B543" s="313"/>
      <c r="C543" s="437"/>
      <c r="D543" s="437"/>
      <c r="E543" s="314"/>
      <c r="F543" s="314"/>
      <c r="G543" s="314"/>
      <c r="H543" s="314"/>
      <c r="I543" s="314"/>
      <c r="J543" s="314"/>
      <c r="K543" s="435"/>
      <c r="L543" s="314"/>
      <c r="M543" s="435"/>
      <c r="N543" s="314"/>
      <c r="O543" s="314"/>
      <c r="P543" s="314"/>
      <c r="Q543" s="435"/>
      <c r="R543" s="314"/>
      <c r="S543" s="314"/>
      <c r="T543" s="314"/>
      <c r="U543" s="314"/>
      <c r="V543" s="314"/>
      <c r="W543" s="314"/>
      <c r="X543" s="314"/>
      <c r="Y543" s="314"/>
      <c r="Z543" s="314"/>
      <c r="AA543" s="324"/>
      <c r="AB543" s="180"/>
      <c r="AC543" s="155"/>
      <c r="AD543" s="322"/>
      <c r="AE543" s="132"/>
      <c r="AF543" s="132"/>
    </row>
    <row r="544">
      <c r="A544" s="476"/>
      <c r="AC544" s="176"/>
      <c r="AD544" s="322"/>
      <c r="AE544" s="132"/>
      <c r="AF544" s="132"/>
    </row>
    <row r="545">
      <c r="A545" s="178"/>
      <c r="AD545" s="322"/>
      <c r="AE545" s="132"/>
      <c r="AF545" s="132"/>
    </row>
    <row r="546">
      <c r="A546" s="474"/>
      <c r="B546" s="437"/>
      <c r="C546" s="437"/>
      <c r="D546" s="437"/>
      <c r="E546" s="435"/>
      <c r="F546" s="314"/>
      <c r="G546" s="314"/>
      <c r="H546" s="314"/>
      <c r="I546" s="435"/>
      <c r="J546" s="435"/>
      <c r="K546" s="435"/>
      <c r="L546" s="435"/>
      <c r="M546" s="435"/>
      <c r="N546" s="435"/>
      <c r="O546" s="314"/>
      <c r="P546" s="435"/>
      <c r="Q546" s="435"/>
      <c r="R546" s="435"/>
      <c r="S546" s="435"/>
      <c r="T546" s="435"/>
      <c r="U546" s="435"/>
      <c r="V546" s="435"/>
      <c r="W546" s="435"/>
      <c r="X546" s="435"/>
      <c r="Y546" s="435"/>
      <c r="Z546" s="435"/>
      <c r="AA546" s="324"/>
      <c r="AB546" s="180"/>
      <c r="AC546" s="155"/>
      <c r="AD546" s="322"/>
      <c r="AE546" s="132"/>
      <c r="AF546" s="132"/>
    </row>
    <row r="547">
      <c r="A547" s="474"/>
      <c r="B547" s="313"/>
      <c r="C547" s="437"/>
      <c r="D547" s="437"/>
      <c r="E547" s="435"/>
      <c r="F547" s="314"/>
      <c r="G547" s="314"/>
      <c r="H547" s="435"/>
      <c r="I547" s="314"/>
      <c r="J547" s="435"/>
      <c r="K547" s="435"/>
      <c r="L547" s="435"/>
      <c r="M547" s="314"/>
      <c r="N547" s="314"/>
      <c r="O547" s="314"/>
      <c r="P547" s="435"/>
      <c r="Q547" s="435"/>
      <c r="R547" s="435"/>
      <c r="S547" s="435"/>
      <c r="T547" s="435"/>
      <c r="U547" s="435"/>
      <c r="V547" s="435"/>
      <c r="W547" s="435"/>
      <c r="X547" s="435"/>
      <c r="Y547" s="435"/>
      <c r="Z547" s="435"/>
      <c r="AA547" s="324"/>
      <c r="AB547" s="180"/>
      <c r="AC547" s="155"/>
      <c r="AD547" s="322"/>
      <c r="AE547" s="132"/>
      <c r="AF547" s="132"/>
    </row>
    <row r="548">
      <c r="A548" s="477"/>
      <c r="B548" s="437"/>
      <c r="C548" s="437"/>
      <c r="D548" s="437"/>
      <c r="E548" s="314"/>
      <c r="F548" s="314"/>
      <c r="G548" s="314"/>
      <c r="H548" s="435"/>
      <c r="I548" s="435"/>
      <c r="J548" s="435"/>
      <c r="K548" s="435"/>
      <c r="L548" s="435"/>
      <c r="M548" s="435"/>
      <c r="N548" s="435"/>
      <c r="O548" s="314"/>
      <c r="P548" s="435"/>
      <c r="Q548" s="435"/>
      <c r="R548" s="435"/>
      <c r="S548" s="435"/>
      <c r="T548" s="435"/>
      <c r="U548" s="435"/>
      <c r="V548" s="435"/>
      <c r="W548" s="435"/>
      <c r="X548" s="435"/>
      <c r="Y548" s="435"/>
      <c r="Z548" s="435"/>
      <c r="AA548" s="324"/>
      <c r="AB548" s="180"/>
      <c r="AC548" s="155"/>
      <c r="AD548" s="322"/>
      <c r="AE548" s="132"/>
      <c r="AF548" s="132"/>
    </row>
    <row r="549">
      <c r="A549" s="477"/>
      <c r="B549" s="437"/>
      <c r="C549" s="437"/>
      <c r="D549" s="437"/>
      <c r="E549" s="314"/>
      <c r="F549" s="314"/>
      <c r="G549" s="314"/>
      <c r="H549" s="435"/>
      <c r="I549" s="314"/>
      <c r="J549" s="314"/>
      <c r="K549" s="435"/>
      <c r="L549" s="435"/>
      <c r="M549" s="435"/>
      <c r="N549" s="314"/>
      <c r="O549" s="314"/>
      <c r="P549" s="435"/>
      <c r="Q549" s="435"/>
      <c r="R549" s="435"/>
      <c r="S549" s="435"/>
      <c r="T549" s="435"/>
      <c r="U549" s="435"/>
      <c r="V549" s="435"/>
      <c r="W549" s="435"/>
      <c r="X549" s="435"/>
      <c r="Y549" s="435"/>
      <c r="Z549" s="435"/>
      <c r="AA549" s="324"/>
      <c r="AB549" s="180"/>
      <c r="AC549" s="155"/>
      <c r="AD549" s="322"/>
      <c r="AE549" s="132"/>
      <c r="AF549" s="132"/>
    </row>
    <row r="550">
      <c r="A550" s="477"/>
      <c r="B550" s="437"/>
      <c r="C550" s="437"/>
      <c r="D550" s="437"/>
      <c r="E550" s="435"/>
      <c r="F550" s="314"/>
      <c r="G550" s="314"/>
      <c r="H550" s="435"/>
      <c r="I550" s="435"/>
      <c r="J550" s="435"/>
      <c r="K550" s="435"/>
      <c r="L550" s="435"/>
      <c r="M550" s="435"/>
      <c r="N550" s="435"/>
      <c r="O550" s="314"/>
      <c r="P550" s="435"/>
      <c r="Q550" s="435"/>
      <c r="R550" s="435"/>
      <c r="S550" s="435"/>
      <c r="T550" s="435"/>
      <c r="U550" s="435"/>
      <c r="V550" s="435"/>
      <c r="W550" s="435"/>
      <c r="X550" s="435"/>
      <c r="Y550" s="435"/>
      <c r="Z550" s="435"/>
      <c r="AA550" s="324"/>
      <c r="AB550" s="180"/>
      <c r="AC550" s="155"/>
      <c r="AD550" s="322"/>
      <c r="AE550" s="132"/>
      <c r="AF550" s="132"/>
    </row>
    <row r="551">
      <c r="A551" s="474"/>
      <c r="B551" s="313"/>
      <c r="C551" s="437"/>
      <c r="D551" s="313"/>
      <c r="E551" s="435"/>
      <c r="F551" s="314"/>
      <c r="G551" s="314"/>
      <c r="H551" s="435"/>
      <c r="I551" s="314"/>
      <c r="J551" s="435"/>
      <c r="K551" s="435"/>
      <c r="L551" s="314"/>
      <c r="M551" s="435"/>
      <c r="N551" s="314"/>
      <c r="O551" s="314"/>
      <c r="P551" s="435"/>
      <c r="Q551" s="435"/>
      <c r="R551" s="435"/>
      <c r="S551" s="435"/>
      <c r="T551" s="435"/>
      <c r="U551" s="435"/>
      <c r="V551" s="435"/>
      <c r="W551" s="435"/>
      <c r="X551" s="435"/>
      <c r="Y551" s="435"/>
      <c r="Z551" s="435"/>
      <c r="AA551" s="324"/>
      <c r="AB551" s="180"/>
      <c r="AC551" s="155"/>
      <c r="AD551" s="322"/>
      <c r="AE551" s="132"/>
      <c r="AF551" s="132"/>
    </row>
    <row r="552">
      <c r="A552" s="478"/>
      <c r="B552" s="437"/>
      <c r="C552" s="437"/>
      <c r="D552" s="437"/>
      <c r="E552" s="435"/>
      <c r="F552" s="314"/>
      <c r="G552" s="314"/>
      <c r="H552" s="435"/>
      <c r="I552" s="435"/>
      <c r="J552" s="435"/>
      <c r="K552" s="435"/>
      <c r="L552" s="435"/>
      <c r="M552" s="435"/>
      <c r="N552" s="435"/>
      <c r="O552" s="314"/>
      <c r="P552" s="435"/>
      <c r="Q552" s="435"/>
      <c r="R552" s="435"/>
      <c r="S552" s="435"/>
      <c r="T552" s="435"/>
      <c r="U552" s="435"/>
      <c r="V552" s="435"/>
      <c r="W552" s="435"/>
      <c r="X552" s="435"/>
      <c r="Y552" s="435"/>
      <c r="Z552" s="435"/>
      <c r="AA552" s="324"/>
      <c r="AB552" s="180"/>
      <c r="AC552" s="155"/>
      <c r="AD552" s="322"/>
      <c r="AE552" s="132"/>
      <c r="AF552" s="132"/>
    </row>
    <row r="553">
      <c r="A553" s="478"/>
      <c r="B553" s="437"/>
      <c r="C553" s="437"/>
      <c r="D553" s="437"/>
      <c r="E553" s="435"/>
      <c r="F553" s="314"/>
      <c r="G553" s="314"/>
      <c r="H553" s="435"/>
      <c r="I553" s="435"/>
      <c r="J553" s="435"/>
      <c r="K553" s="435"/>
      <c r="L553" s="435"/>
      <c r="M553" s="435"/>
      <c r="N553" s="435"/>
      <c r="O553" s="314"/>
      <c r="P553" s="435"/>
      <c r="Q553" s="435"/>
      <c r="R553" s="435"/>
      <c r="S553" s="435"/>
      <c r="T553" s="435"/>
      <c r="U553" s="435"/>
      <c r="V553" s="435"/>
      <c r="W553" s="435"/>
      <c r="X553" s="435"/>
      <c r="Y553" s="435"/>
      <c r="Z553" s="435"/>
      <c r="AA553" s="324"/>
      <c r="AB553" s="180"/>
      <c r="AC553" s="155"/>
      <c r="AD553" s="322"/>
      <c r="AE553" s="132"/>
      <c r="AF553" s="132"/>
    </row>
    <row r="554">
      <c r="A554" s="478"/>
      <c r="B554" s="437"/>
      <c r="C554" s="437"/>
      <c r="D554" s="313"/>
      <c r="E554" s="314"/>
      <c r="F554" s="314"/>
      <c r="G554" s="314"/>
      <c r="H554" s="435"/>
      <c r="I554" s="435"/>
      <c r="J554" s="314"/>
      <c r="K554" s="435"/>
      <c r="L554" s="314"/>
      <c r="M554" s="435"/>
      <c r="N554" s="314"/>
      <c r="O554" s="314"/>
      <c r="P554" s="314"/>
      <c r="Q554" s="314"/>
      <c r="R554" s="314"/>
      <c r="S554" s="435"/>
      <c r="T554" s="435"/>
      <c r="U554" s="435"/>
      <c r="V554" s="435"/>
      <c r="W554" s="435"/>
      <c r="X554" s="435"/>
      <c r="Y554" s="435"/>
      <c r="Z554" s="435"/>
      <c r="AA554" s="324"/>
      <c r="AB554" s="180"/>
      <c r="AC554" s="155"/>
      <c r="AD554" s="322"/>
      <c r="AE554" s="132"/>
      <c r="AF554" s="132"/>
    </row>
    <row r="555">
      <c r="A555" s="477"/>
      <c r="B555" s="313"/>
      <c r="C555" s="437"/>
      <c r="D555" s="437"/>
      <c r="E555" s="435"/>
      <c r="F555" s="314"/>
      <c r="G555" s="314"/>
      <c r="H555" s="435"/>
      <c r="I555" s="435"/>
      <c r="J555" s="435"/>
      <c r="K555" s="435"/>
      <c r="L555" s="435"/>
      <c r="M555" s="435"/>
      <c r="N555" s="435"/>
      <c r="O555" s="314"/>
      <c r="P555" s="435"/>
      <c r="Q555" s="435"/>
      <c r="R555" s="435"/>
      <c r="S555" s="435"/>
      <c r="T555" s="435"/>
      <c r="U555" s="435"/>
      <c r="V555" s="435"/>
      <c r="W555" s="435"/>
      <c r="X555" s="435"/>
      <c r="Y555" s="435"/>
      <c r="Z555" s="435"/>
      <c r="AA555" s="324"/>
      <c r="AB555" s="180"/>
      <c r="AC555" s="155"/>
      <c r="AD555" s="322"/>
      <c r="AE555" s="132"/>
      <c r="AF555" s="132"/>
    </row>
    <row r="556">
      <c r="A556" s="477"/>
      <c r="B556" s="313"/>
      <c r="C556" s="313"/>
      <c r="D556" s="313"/>
      <c r="E556" s="314"/>
      <c r="F556" s="314"/>
      <c r="G556" s="314"/>
      <c r="H556" s="435"/>
      <c r="I556" s="314"/>
      <c r="J556" s="314"/>
      <c r="K556" s="314"/>
      <c r="L556" s="314"/>
      <c r="M556" s="314"/>
      <c r="N556" s="435"/>
      <c r="O556" s="314"/>
      <c r="P556" s="314"/>
      <c r="Q556" s="435"/>
      <c r="R556" s="314"/>
      <c r="S556" s="314"/>
      <c r="T556" s="314"/>
      <c r="U556" s="314"/>
      <c r="V556" s="314"/>
      <c r="W556" s="314"/>
      <c r="X556" s="314"/>
      <c r="Y556" s="314"/>
      <c r="Z556" s="314"/>
      <c r="AA556" s="324"/>
      <c r="AB556" s="180"/>
      <c r="AC556" s="155"/>
      <c r="AD556" s="322"/>
      <c r="AE556" s="132"/>
      <c r="AF556" s="132"/>
    </row>
    <row r="557">
      <c r="A557" s="477"/>
      <c r="B557" s="313"/>
      <c r="C557" s="313"/>
      <c r="D557" s="313"/>
      <c r="E557" s="314"/>
      <c r="F557" s="314"/>
      <c r="G557" s="314"/>
      <c r="H557" s="314"/>
      <c r="I557" s="314"/>
      <c r="J557" s="314"/>
      <c r="K557" s="314"/>
      <c r="L557" s="314"/>
      <c r="M557" s="314"/>
      <c r="N557" s="314"/>
      <c r="O557" s="314"/>
      <c r="P557" s="314"/>
      <c r="Q557" s="314"/>
      <c r="R557" s="314"/>
      <c r="S557" s="314"/>
      <c r="T557" s="314"/>
      <c r="U557" s="314"/>
      <c r="V557" s="314"/>
      <c r="W557" s="314"/>
      <c r="X557" s="314"/>
      <c r="Y557" s="314"/>
      <c r="Z557" s="314"/>
      <c r="AA557" s="324"/>
      <c r="AB557" s="180"/>
      <c r="AC557" s="155"/>
      <c r="AD557" s="322"/>
      <c r="AE557" s="132"/>
      <c r="AF557" s="132"/>
    </row>
    <row r="558">
      <c r="A558" s="476"/>
      <c r="AC558" s="176"/>
      <c r="AD558" s="322"/>
      <c r="AE558" s="132"/>
      <c r="AF558" s="132"/>
    </row>
    <row r="559">
      <c r="A559" s="178"/>
      <c r="AD559" s="322"/>
      <c r="AE559" s="132"/>
      <c r="AF559" s="132"/>
    </row>
    <row r="560">
      <c r="A560" s="477"/>
      <c r="B560" s="437"/>
      <c r="C560" s="437"/>
      <c r="D560" s="437"/>
      <c r="E560" s="314"/>
      <c r="F560" s="314"/>
      <c r="G560" s="314"/>
      <c r="H560" s="314"/>
      <c r="I560" s="314"/>
      <c r="J560" s="314"/>
      <c r="K560" s="435"/>
      <c r="L560" s="435"/>
      <c r="M560" s="314"/>
      <c r="N560" s="314"/>
      <c r="O560" s="314"/>
      <c r="P560" s="314"/>
      <c r="Q560" s="435"/>
      <c r="R560" s="435"/>
      <c r="S560" s="435"/>
      <c r="T560" s="435"/>
      <c r="U560" s="435"/>
      <c r="V560" s="435"/>
      <c r="W560" s="435"/>
      <c r="X560" s="435"/>
      <c r="Y560" s="435"/>
      <c r="Z560" s="435"/>
      <c r="AA560" s="324"/>
      <c r="AB560" s="180"/>
      <c r="AC560" s="155"/>
      <c r="AD560" s="322"/>
      <c r="AE560" s="132"/>
      <c r="AF560" s="132"/>
    </row>
    <row r="561">
      <c r="A561" s="477"/>
      <c r="B561" s="313"/>
      <c r="C561" s="437"/>
      <c r="D561" s="437"/>
      <c r="E561" s="314"/>
      <c r="F561" s="314"/>
      <c r="G561" s="314"/>
      <c r="H561" s="314"/>
      <c r="I561" s="435"/>
      <c r="J561" s="435"/>
      <c r="K561" s="435"/>
      <c r="L561" s="314"/>
      <c r="M561" s="435"/>
      <c r="N561" s="314"/>
      <c r="O561" s="314"/>
      <c r="P561" s="314"/>
      <c r="Q561" s="435"/>
      <c r="R561" s="435"/>
      <c r="S561" s="435"/>
      <c r="T561" s="435"/>
      <c r="U561" s="435"/>
      <c r="V561" s="435"/>
      <c r="W561" s="435"/>
      <c r="X561" s="435"/>
      <c r="Y561" s="435"/>
      <c r="Z561" s="435"/>
      <c r="AA561" s="324"/>
      <c r="AB561" s="180"/>
      <c r="AC561" s="155"/>
      <c r="AD561" s="322"/>
      <c r="AE561" s="132"/>
      <c r="AF561" s="132"/>
    </row>
    <row r="562">
      <c r="A562" s="477"/>
      <c r="B562" s="313"/>
      <c r="C562" s="437"/>
      <c r="D562" s="437"/>
      <c r="E562" s="435"/>
      <c r="F562" s="314"/>
      <c r="G562" s="314"/>
      <c r="H562" s="435"/>
      <c r="I562" s="314"/>
      <c r="J562" s="314"/>
      <c r="K562" s="435"/>
      <c r="L562" s="314"/>
      <c r="M562" s="435"/>
      <c r="N562" s="435"/>
      <c r="O562" s="314"/>
      <c r="P562" s="435"/>
      <c r="Q562" s="435"/>
      <c r="R562" s="435"/>
      <c r="S562" s="435"/>
      <c r="T562" s="435"/>
      <c r="U562" s="435"/>
      <c r="V562" s="435"/>
      <c r="W562" s="435"/>
      <c r="X562" s="435"/>
      <c r="Y562" s="435"/>
      <c r="Z562" s="435"/>
      <c r="AA562" s="324"/>
      <c r="AB562" s="180"/>
      <c r="AC562" s="155"/>
      <c r="AD562" s="322"/>
      <c r="AE562" s="132"/>
      <c r="AF562" s="132"/>
    </row>
    <row r="563">
      <c r="A563" s="479"/>
      <c r="B563" s="313"/>
      <c r="C563" s="313"/>
      <c r="D563" s="313"/>
      <c r="E563" s="314"/>
      <c r="F563" s="314"/>
      <c r="G563" s="314"/>
      <c r="H563" s="314"/>
      <c r="I563" s="314"/>
      <c r="J563" s="314"/>
      <c r="K563" s="314"/>
      <c r="L563" s="314"/>
      <c r="M563" s="314"/>
      <c r="N563" s="314"/>
      <c r="O563" s="314"/>
      <c r="P563" s="314"/>
      <c r="Q563" s="435"/>
      <c r="R563" s="314"/>
      <c r="S563" s="314"/>
      <c r="T563" s="314"/>
      <c r="U563" s="314"/>
      <c r="V563" s="314"/>
      <c r="W563" s="314"/>
      <c r="X563" s="314"/>
      <c r="Y563" s="314"/>
      <c r="Z563" s="314"/>
      <c r="AA563" s="324"/>
      <c r="AB563" s="180"/>
      <c r="AC563" s="155"/>
      <c r="AD563" s="322"/>
      <c r="AE563" s="132"/>
      <c r="AF563" s="132"/>
    </row>
    <row r="564">
      <c r="A564" s="476"/>
      <c r="AC564" s="176"/>
      <c r="AD564" s="322"/>
      <c r="AE564" s="132"/>
      <c r="AF564" s="132"/>
    </row>
    <row r="565">
      <c r="A565" s="178"/>
      <c r="AD565" s="322"/>
      <c r="AE565" s="132"/>
      <c r="AF565" s="132"/>
    </row>
    <row r="566">
      <c r="A566" s="480"/>
      <c r="B566" s="313"/>
      <c r="C566" s="437"/>
      <c r="D566" s="313"/>
      <c r="E566" s="314"/>
      <c r="F566" s="314"/>
      <c r="G566" s="314"/>
      <c r="H566" s="314"/>
      <c r="I566" s="314"/>
      <c r="J566" s="435"/>
      <c r="K566" s="435"/>
      <c r="L566" s="314"/>
      <c r="M566" s="314"/>
      <c r="N566" s="314"/>
      <c r="O566" s="314"/>
      <c r="P566" s="314"/>
      <c r="Q566" s="435"/>
      <c r="R566" s="314"/>
      <c r="S566" s="314"/>
      <c r="T566" s="314"/>
      <c r="U566" s="314"/>
      <c r="V566" s="314"/>
      <c r="W566" s="314"/>
      <c r="X566" s="314"/>
      <c r="Y566" s="314"/>
      <c r="Z566" s="314"/>
      <c r="AA566" s="324"/>
      <c r="AB566" s="180"/>
      <c r="AC566" s="180"/>
      <c r="AD566" s="322"/>
      <c r="AE566" s="132"/>
      <c r="AF566" s="132"/>
    </row>
    <row r="567">
      <c r="A567" s="480"/>
      <c r="B567" s="313"/>
      <c r="C567" s="437"/>
      <c r="D567" s="313"/>
      <c r="E567" s="314"/>
      <c r="F567" s="314"/>
      <c r="G567" s="314"/>
      <c r="H567" s="435"/>
      <c r="I567" s="314"/>
      <c r="J567" s="435"/>
      <c r="K567" s="435"/>
      <c r="L567" s="314"/>
      <c r="M567" s="435"/>
      <c r="N567" s="435"/>
      <c r="O567" s="314"/>
      <c r="P567" s="435"/>
      <c r="Q567" s="435"/>
      <c r="R567" s="314"/>
      <c r="S567" s="435"/>
      <c r="T567" s="435"/>
      <c r="U567" s="435"/>
      <c r="V567" s="435"/>
      <c r="W567" s="435"/>
      <c r="X567" s="435"/>
      <c r="Y567" s="435"/>
      <c r="Z567" s="435"/>
      <c r="AA567" s="324"/>
      <c r="AB567" s="180"/>
      <c r="AC567" s="180"/>
      <c r="AD567" s="322"/>
      <c r="AE567" s="132"/>
      <c r="AF567" s="132"/>
    </row>
    <row r="568">
      <c r="A568" s="476"/>
      <c r="AC568" s="176"/>
      <c r="AD568" s="322"/>
      <c r="AE568" s="132"/>
      <c r="AF568" s="132"/>
    </row>
    <row r="569">
      <c r="A569" s="178"/>
      <c r="AD569" s="322"/>
      <c r="AE569" s="132"/>
      <c r="AF569" s="132"/>
    </row>
    <row r="570">
      <c r="A570" s="481"/>
      <c r="B570" s="313"/>
      <c r="C570" s="437"/>
      <c r="D570" s="437"/>
      <c r="E570" s="435"/>
      <c r="F570" s="314"/>
      <c r="G570" s="435"/>
      <c r="H570" s="435"/>
      <c r="I570" s="435"/>
      <c r="J570" s="314"/>
      <c r="K570" s="435"/>
      <c r="L570" s="435"/>
      <c r="M570" s="435"/>
      <c r="N570" s="314"/>
      <c r="O570" s="314"/>
      <c r="P570" s="435"/>
      <c r="Q570" s="435"/>
      <c r="R570" s="435"/>
      <c r="S570" s="435"/>
      <c r="T570" s="435"/>
      <c r="U570" s="435"/>
      <c r="V570" s="435"/>
      <c r="W570" s="435"/>
      <c r="X570" s="435"/>
      <c r="Y570" s="435"/>
      <c r="Z570" s="435"/>
      <c r="AA570" s="324"/>
      <c r="AB570" s="180"/>
      <c r="AC570" s="155"/>
      <c r="AD570" s="322"/>
      <c r="AE570" s="132"/>
      <c r="AF570" s="132"/>
    </row>
    <row r="571">
      <c r="A571" s="435"/>
      <c r="B571" s="313"/>
      <c r="C571" s="437"/>
      <c r="D571" s="437"/>
      <c r="E571" s="314"/>
      <c r="F571" s="314"/>
      <c r="G571" s="314"/>
      <c r="H571" s="435"/>
      <c r="I571" s="314"/>
      <c r="J571" s="435"/>
      <c r="K571" s="435"/>
      <c r="L571" s="314"/>
      <c r="M571" s="314"/>
      <c r="N571" s="314"/>
      <c r="O571" s="314"/>
      <c r="P571" s="435"/>
      <c r="Q571" s="435"/>
      <c r="R571" s="435"/>
      <c r="S571" s="435"/>
      <c r="T571" s="435"/>
      <c r="U571" s="435"/>
      <c r="V571" s="435"/>
      <c r="W571" s="435"/>
      <c r="X571" s="435"/>
      <c r="Y571" s="435"/>
      <c r="Z571" s="435"/>
      <c r="AA571" s="324"/>
      <c r="AB571" s="180"/>
      <c r="AC571" s="155"/>
      <c r="AD571" s="322"/>
      <c r="AE571" s="132"/>
      <c r="AF571" s="132"/>
    </row>
    <row r="572">
      <c r="A572" s="482"/>
      <c r="B572" s="313"/>
      <c r="C572" s="313"/>
      <c r="D572" s="437"/>
      <c r="E572" s="314"/>
      <c r="F572" s="314"/>
      <c r="G572" s="314"/>
      <c r="H572" s="314"/>
      <c r="I572" s="314"/>
      <c r="J572" s="314"/>
      <c r="K572" s="435"/>
      <c r="L572" s="314"/>
      <c r="M572" s="314"/>
      <c r="N572" s="314"/>
      <c r="O572" s="314"/>
      <c r="P572" s="314"/>
      <c r="Q572" s="314"/>
      <c r="R572" s="435"/>
      <c r="S572" s="314"/>
      <c r="T572" s="314"/>
      <c r="U572" s="314"/>
      <c r="V572" s="314"/>
      <c r="W572" s="314"/>
      <c r="X572" s="314"/>
      <c r="Y572" s="314"/>
      <c r="Z572" s="314"/>
      <c r="AA572" s="324"/>
      <c r="AB572" s="180"/>
      <c r="AC572" s="155"/>
      <c r="AD572" s="322"/>
      <c r="AE572" s="132"/>
      <c r="AF572" s="132"/>
    </row>
    <row r="573">
      <c r="A573" s="482"/>
      <c r="B573" s="313"/>
      <c r="C573" s="437"/>
      <c r="D573" s="437"/>
      <c r="E573" s="435"/>
      <c r="F573" s="314"/>
      <c r="G573" s="314"/>
      <c r="H573" s="435"/>
      <c r="I573" s="435"/>
      <c r="J573" s="435"/>
      <c r="K573" s="435"/>
      <c r="L573" s="435"/>
      <c r="M573" s="435"/>
      <c r="N573" s="435"/>
      <c r="O573" s="314"/>
      <c r="P573" s="435"/>
      <c r="Q573" s="435"/>
      <c r="R573" s="435"/>
      <c r="S573" s="435"/>
      <c r="T573" s="435"/>
      <c r="U573" s="435"/>
      <c r="V573" s="435"/>
      <c r="W573" s="435"/>
      <c r="X573" s="435"/>
      <c r="Y573" s="435"/>
      <c r="Z573" s="435"/>
      <c r="AA573" s="324"/>
      <c r="AB573" s="180"/>
      <c r="AC573" s="155"/>
      <c r="AD573" s="322"/>
      <c r="AE573" s="132"/>
      <c r="AF573" s="132"/>
    </row>
    <row r="574">
      <c r="A574" s="314"/>
      <c r="B574" s="313"/>
      <c r="C574" s="313"/>
      <c r="D574" s="313"/>
      <c r="E574" s="314"/>
      <c r="F574" s="314"/>
      <c r="G574" s="314"/>
      <c r="H574" s="314"/>
      <c r="I574" s="314"/>
      <c r="J574" s="314"/>
      <c r="K574" s="314"/>
      <c r="L574" s="314"/>
      <c r="M574" s="314"/>
      <c r="N574" s="314"/>
      <c r="O574" s="314"/>
      <c r="P574" s="314"/>
      <c r="Q574" s="314"/>
      <c r="R574" s="314"/>
      <c r="S574" s="314"/>
      <c r="T574" s="314"/>
      <c r="U574" s="314"/>
      <c r="V574" s="314"/>
      <c r="W574" s="314"/>
      <c r="X574" s="314"/>
      <c r="Y574" s="314"/>
      <c r="Z574" s="314"/>
      <c r="AA574" s="483"/>
      <c r="AC574" s="484"/>
      <c r="AD574" s="322"/>
      <c r="AE574" s="132"/>
      <c r="AF574" s="132"/>
    </row>
    <row r="575">
      <c r="A575" s="314"/>
      <c r="B575" s="313"/>
      <c r="C575" s="313"/>
      <c r="D575" s="313"/>
      <c r="E575" s="314"/>
      <c r="F575" s="314"/>
      <c r="G575" s="314"/>
      <c r="H575" s="314"/>
      <c r="I575" s="314"/>
      <c r="J575" s="314"/>
      <c r="K575" s="314"/>
      <c r="L575" s="314"/>
      <c r="M575" s="314"/>
      <c r="N575" s="314"/>
      <c r="O575" s="314"/>
      <c r="P575" s="314"/>
      <c r="Q575" s="314"/>
      <c r="R575" s="314"/>
      <c r="S575" s="314"/>
      <c r="T575" s="314"/>
      <c r="U575" s="314"/>
      <c r="V575" s="314"/>
      <c r="W575" s="314"/>
      <c r="X575" s="314"/>
      <c r="Y575" s="314"/>
      <c r="Z575" s="314"/>
      <c r="AA575" s="324"/>
      <c r="AB575" s="155"/>
      <c r="AC575" s="155"/>
      <c r="AD575" s="322"/>
      <c r="AE575" s="132"/>
      <c r="AF575" s="132"/>
    </row>
    <row r="576">
      <c r="A576" s="314"/>
      <c r="B576" s="313"/>
      <c r="C576" s="313"/>
      <c r="D576" s="313"/>
      <c r="E576" s="314"/>
      <c r="F576" s="314"/>
      <c r="G576" s="314"/>
      <c r="H576" s="314"/>
      <c r="I576" s="314"/>
      <c r="J576" s="314"/>
      <c r="K576" s="314"/>
      <c r="L576" s="314"/>
      <c r="M576" s="314"/>
      <c r="N576" s="314"/>
      <c r="O576" s="314"/>
      <c r="P576" s="314"/>
      <c r="Q576" s="314"/>
      <c r="R576" s="314"/>
      <c r="S576" s="314"/>
      <c r="T576" s="314"/>
      <c r="U576" s="314"/>
      <c r="V576" s="314"/>
      <c r="W576" s="314"/>
      <c r="X576" s="314"/>
      <c r="Y576" s="314"/>
      <c r="Z576" s="314"/>
      <c r="AA576" s="324"/>
      <c r="AB576" s="155"/>
      <c r="AC576" s="155"/>
      <c r="AD576" s="322"/>
      <c r="AE576" s="132"/>
      <c r="AF576" s="132"/>
    </row>
    <row r="577">
      <c r="A577" s="314"/>
      <c r="B577" s="313"/>
      <c r="C577" s="313"/>
      <c r="D577" s="313"/>
      <c r="E577" s="314"/>
      <c r="F577" s="314"/>
      <c r="G577" s="314"/>
      <c r="H577" s="314"/>
      <c r="I577" s="314"/>
      <c r="J577" s="314"/>
      <c r="K577" s="314"/>
      <c r="L577" s="314"/>
      <c r="M577" s="314"/>
      <c r="N577" s="314"/>
      <c r="O577" s="314"/>
      <c r="P577" s="314"/>
      <c r="Q577" s="314"/>
      <c r="R577" s="314"/>
      <c r="S577" s="314"/>
      <c r="T577" s="314"/>
      <c r="U577" s="314"/>
      <c r="V577" s="314"/>
      <c r="W577" s="314"/>
      <c r="X577" s="314"/>
      <c r="Y577" s="314"/>
      <c r="Z577" s="314"/>
      <c r="AA577" s="324"/>
      <c r="AB577" s="155"/>
      <c r="AC577" s="155"/>
      <c r="AD577" s="322"/>
      <c r="AE577" s="132"/>
      <c r="AF577" s="132"/>
    </row>
    <row r="578">
      <c r="A578" s="314"/>
      <c r="B578" s="313"/>
      <c r="C578" s="313"/>
      <c r="D578" s="313"/>
      <c r="E578" s="314"/>
      <c r="F578" s="314"/>
      <c r="G578" s="314"/>
      <c r="H578" s="314"/>
      <c r="I578" s="314"/>
      <c r="J578" s="314"/>
      <c r="K578" s="314"/>
      <c r="L578" s="314"/>
      <c r="M578" s="314"/>
      <c r="N578" s="314"/>
      <c r="O578" s="314"/>
      <c r="P578" s="314"/>
      <c r="Q578" s="314"/>
      <c r="R578" s="314"/>
      <c r="S578" s="314"/>
      <c r="T578" s="314"/>
      <c r="U578" s="314"/>
      <c r="V578" s="314"/>
      <c r="W578" s="314"/>
      <c r="X578" s="314"/>
      <c r="Y578" s="314"/>
      <c r="Z578" s="314"/>
      <c r="AA578" s="324"/>
      <c r="AB578" s="155"/>
      <c r="AC578" s="155"/>
      <c r="AD578" s="322"/>
      <c r="AE578" s="132"/>
      <c r="AF578" s="132"/>
    </row>
    <row r="579">
      <c r="A579" s="314"/>
      <c r="B579" s="313"/>
      <c r="C579" s="313"/>
      <c r="D579" s="313"/>
      <c r="E579" s="314"/>
      <c r="F579" s="314"/>
      <c r="G579" s="314"/>
      <c r="H579" s="314"/>
      <c r="I579" s="314"/>
      <c r="J579" s="314"/>
      <c r="K579" s="314"/>
      <c r="L579" s="314"/>
      <c r="M579" s="314"/>
      <c r="N579" s="314"/>
      <c r="O579" s="314"/>
      <c r="P579" s="314"/>
      <c r="Q579" s="314"/>
      <c r="R579" s="314"/>
      <c r="S579" s="314"/>
      <c r="T579" s="314"/>
      <c r="U579" s="314"/>
      <c r="V579" s="314"/>
      <c r="W579" s="314"/>
      <c r="X579" s="314"/>
      <c r="Y579" s="314"/>
      <c r="Z579" s="314"/>
      <c r="AA579" s="324"/>
      <c r="AB579" s="155"/>
      <c r="AC579" s="155"/>
      <c r="AD579" s="322"/>
      <c r="AE579" s="132"/>
      <c r="AF579" s="132"/>
    </row>
    <row r="580">
      <c r="A580" s="314"/>
      <c r="B580" s="313"/>
      <c r="C580" s="313"/>
      <c r="D580" s="313"/>
      <c r="E580" s="314"/>
      <c r="F580" s="314"/>
      <c r="G580" s="314"/>
      <c r="H580" s="314"/>
      <c r="I580" s="314"/>
      <c r="J580" s="314"/>
      <c r="K580" s="314"/>
      <c r="L580" s="314"/>
      <c r="M580" s="314"/>
      <c r="N580" s="314"/>
      <c r="O580" s="314"/>
      <c r="P580" s="314"/>
      <c r="Q580" s="314"/>
      <c r="R580" s="314"/>
      <c r="S580" s="314"/>
      <c r="T580" s="314"/>
      <c r="U580" s="314"/>
      <c r="V580" s="314"/>
      <c r="W580" s="314"/>
      <c r="X580" s="314"/>
      <c r="Y580" s="314"/>
      <c r="Z580" s="314"/>
      <c r="AA580" s="324"/>
      <c r="AB580" s="155"/>
      <c r="AC580" s="155"/>
      <c r="AD580" s="322"/>
      <c r="AE580" s="132"/>
      <c r="AF580" s="132"/>
    </row>
    <row r="581">
      <c r="A581" s="314"/>
      <c r="B581" s="313"/>
      <c r="C581" s="313"/>
      <c r="D581" s="313"/>
      <c r="E581" s="314"/>
      <c r="F581" s="314"/>
      <c r="G581" s="314"/>
      <c r="H581" s="314"/>
      <c r="I581" s="314"/>
      <c r="J581" s="314"/>
      <c r="K581" s="314"/>
      <c r="L581" s="314"/>
      <c r="M581" s="314"/>
      <c r="N581" s="314"/>
      <c r="O581" s="314"/>
      <c r="P581" s="314"/>
      <c r="Q581" s="314"/>
      <c r="R581" s="314"/>
      <c r="S581" s="314"/>
      <c r="T581" s="314"/>
      <c r="U581" s="314"/>
      <c r="V581" s="314"/>
      <c r="W581" s="314"/>
      <c r="X581" s="314"/>
      <c r="Y581" s="314"/>
      <c r="Z581" s="314"/>
      <c r="AA581" s="324"/>
      <c r="AB581" s="155"/>
      <c r="AC581" s="155"/>
      <c r="AD581" s="322"/>
      <c r="AE581" s="132"/>
      <c r="AF581" s="132"/>
    </row>
    <row r="582">
      <c r="A582" s="314"/>
      <c r="B582" s="313"/>
      <c r="C582" s="313"/>
      <c r="D582" s="313"/>
      <c r="E582" s="314"/>
      <c r="F582" s="314"/>
      <c r="G582" s="314"/>
      <c r="H582" s="314"/>
      <c r="I582" s="314"/>
      <c r="J582" s="314"/>
      <c r="K582" s="314"/>
      <c r="L582" s="314"/>
      <c r="M582" s="314"/>
      <c r="N582" s="314"/>
      <c r="O582" s="314"/>
      <c r="P582" s="314"/>
      <c r="Q582" s="314"/>
      <c r="R582" s="314"/>
      <c r="S582" s="314"/>
      <c r="T582" s="314"/>
      <c r="U582" s="314"/>
      <c r="V582" s="314"/>
      <c r="W582" s="314"/>
      <c r="X582" s="314"/>
      <c r="Y582" s="314"/>
      <c r="Z582" s="314"/>
      <c r="AA582" s="324"/>
      <c r="AB582" s="155"/>
      <c r="AC582" s="155"/>
      <c r="AD582" s="322"/>
      <c r="AE582" s="132"/>
      <c r="AF582" s="132"/>
    </row>
    <row r="583">
      <c r="A583" s="314"/>
      <c r="B583" s="313"/>
      <c r="C583" s="313"/>
      <c r="D583" s="313"/>
      <c r="E583" s="314"/>
      <c r="F583" s="314"/>
      <c r="G583" s="314"/>
      <c r="H583" s="314"/>
      <c r="I583" s="314"/>
      <c r="J583" s="314"/>
      <c r="K583" s="314"/>
      <c r="L583" s="314"/>
      <c r="M583" s="314"/>
      <c r="N583" s="314"/>
      <c r="O583" s="314"/>
      <c r="P583" s="314"/>
      <c r="Q583" s="314"/>
      <c r="R583" s="314"/>
      <c r="S583" s="314"/>
      <c r="T583" s="314"/>
      <c r="U583" s="314"/>
      <c r="V583" s="314"/>
      <c r="W583" s="314"/>
      <c r="X583" s="314"/>
      <c r="Y583" s="314"/>
      <c r="Z583" s="314"/>
      <c r="AA583" s="324"/>
      <c r="AB583" s="155"/>
      <c r="AC583" s="155"/>
      <c r="AD583" s="322"/>
      <c r="AE583" s="132"/>
      <c r="AF583" s="132"/>
    </row>
    <row r="584">
      <c r="A584" s="314"/>
      <c r="B584" s="313"/>
      <c r="C584" s="313"/>
      <c r="D584" s="313"/>
      <c r="E584" s="314"/>
      <c r="F584" s="314"/>
      <c r="G584" s="314"/>
      <c r="H584" s="314"/>
      <c r="I584" s="314"/>
      <c r="J584" s="314"/>
      <c r="K584" s="314"/>
      <c r="L584" s="314"/>
      <c r="M584" s="314"/>
      <c r="N584" s="314"/>
      <c r="O584" s="314"/>
      <c r="P584" s="314"/>
      <c r="Q584" s="314"/>
      <c r="R584" s="314"/>
      <c r="S584" s="314"/>
      <c r="T584" s="314"/>
      <c r="U584" s="314"/>
      <c r="V584" s="314"/>
      <c r="W584" s="314"/>
      <c r="X584" s="314"/>
      <c r="Y584" s="314"/>
      <c r="Z584" s="314"/>
      <c r="AA584" s="324"/>
      <c r="AB584" s="155"/>
      <c r="AC584" s="155"/>
      <c r="AD584" s="322"/>
      <c r="AE584" s="132"/>
      <c r="AF584" s="132"/>
    </row>
    <row r="585">
      <c r="A585" s="314"/>
      <c r="B585" s="313"/>
      <c r="C585" s="313"/>
      <c r="D585" s="313"/>
      <c r="E585" s="314"/>
      <c r="F585" s="314"/>
      <c r="G585" s="314"/>
      <c r="H585" s="314"/>
      <c r="I585" s="314"/>
      <c r="J585" s="314"/>
      <c r="K585" s="314"/>
      <c r="L585" s="314"/>
      <c r="M585" s="314"/>
      <c r="N585" s="314"/>
      <c r="O585" s="314"/>
      <c r="P585" s="314"/>
      <c r="Q585" s="314"/>
      <c r="R585" s="314"/>
      <c r="S585" s="314"/>
      <c r="T585" s="314"/>
      <c r="U585" s="314"/>
      <c r="V585" s="314"/>
      <c r="W585" s="314"/>
      <c r="X585" s="314"/>
      <c r="Y585" s="314"/>
      <c r="Z585" s="314"/>
      <c r="AA585" s="324"/>
      <c r="AB585" s="155"/>
      <c r="AC585" s="155"/>
      <c r="AD585" s="322"/>
      <c r="AE585" s="132"/>
      <c r="AF585" s="132"/>
    </row>
    <row r="586">
      <c r="A586" s="314"/>
      <c r="B586" s="313"/>
      <c r="C586" s="313"/>
      <c r="D586" s="313"/>
      <c r="E586" s="314"/>
      <c r="F586" s="314"/>
      <c r="G586" s="314"/>
      <c r="H586" s="314"/>
      <c r="I586" s="314"/>
      <c r="J586" s="314"/>
      <c r="K586" s="314"/>
      <c r="L586" s="314"/>
      <c r="M586" s="314"/>
      <c r="N586" s="314"/>
      <c r="O586" s="314"/>
      <c r="P586" s="314"/>
      <c r="Q586" s="314"/>
      <c r="R586" s="314"/>
      <c r="S586" s="314"/>
      <c r="T586" s="314"/>
      <c r="U586" s="314"/>
      <c r="V586" s="314"/>
      <c r="W586" s="314"/>
      <c r="X586" s="314"/>
      <c r="Y586" s="314"/>
      <c r="Z586" s="314"/>
      <c r="AA586" s="324"/>
      <c r="AB586" s="155"/>
      <c r="AC586" s="155"/>
      <c r="AD586" s="322"/>
      <c r="AE586" s="132"/>
      <c r="AF586" s="132"/>
    </row>
    <row r="587">
      <c r="A587" s="314"/>
      <c r="B587" s="313"/>
      <c r="C587" s="313"/>
      <c r="D587" s="313"/>
      <c r="E587" s="314"/>
      <c r="F587" s="314"/>
      <c r="G587" s="314"/>
      <c r="H587" s="314"/>
      <c r="I587" s="314"/>
      <c r="J587" s="314"/>
      <c r="K587" s="314"/>
      <c r="L587" s="314"/>
      <c r="M587" s="314"/>
      <c r="N587" s="314"/>
      <c r="O587" s="314"/>
      <c r="P587" s="314"/>
      <c r="Q587" s="314"/>
      <c r="R587" s="314"/>
      <c r="S587" s="314"/>
      <c r="T587" s="314"/>
      <c r="U587" s="314"/>
      <c r="V587" s="314"/>
      <c r="W587" s="314"/>
      <c r="X587" s="314"/>
      <c r="Y587" s="314"/>
      <c r="Z587" s="314"/>
      <c r="AA587" s="324"/>
      <c r="AB587" s="155"/>
      <c r="AC587" s="155"/>
      <c r="AD587" s="322"/>
      <c r="AE587" s="132"/>
      <c r="AF587" s="132"/>
    </row>
    <row r="588">
      <c r="A588" s="314"/>
      <c r="B588" s="313"/>
      <c r="C588" s="313"/>
      <c r="D588" s="313"/>
      <c r="E588" s="314"/>
      <c r="F588" s="314"/>
      <c r="G588" s="314"/>
      <c r="H588" s="314"/>
      <c r="I588" s="314"/>
      <c r="J588" s="314"/>
      <c r="K588" s="314"/>
      <c r="L588" s="314"/>
      <c r="M588" s="314"/>
      <c r="N588" s="314"/>
      <c r="O588" s="314"/>
      <c r="P588" s="314"/>
      <c r="Q588" s="314"/>
      <c r="R588" s="314"/>
      <c r="S588" s="314"/>
      <c r="T588" s="314"/>
      <c r="U588" s="314"/>
      <c r="V588" s="314"/>
      <c r="W588" s="314"/>
      <c r="X588" s="314"/>
      <c r="Y588" s="314"/>
      <c r="Z588" s="314"/>
      <c r="AA588" s="324"/>
      <c r="AB588" s="155"/>
      <c r="AC588" s="155"/>
      <c r="AD588" s="322"/>
      <c r="AE588" s="132"/>
      <c r="AF588" s="132"/>
    </row>
    <row r="589">
      <c r="A589" s="314"/>
      <c r="B589" s="313"/>
      <c r="C589" s="313"/>
      <c r="D589" s="313"/>
      <c r="E589" s="314"/>
      <c r="F589" s="314"/>
      <c r="G589" s="314"/>
      <c r="H589" s="314"/>
      <c r="I589" s="314"/>
      <c r="J589" s="314"/>
      <c r="K589" s="314"/>
      <c r="L589" s="314"/>
      <c r="M589" s="314"/>
      <c r="N589" s="314"/>
      <c r="O589" s="314"/>
      <c r="P589" s="314"/>
      <c r="Q589" s="314"/>
      <c r="R589" s="314"/>
      <c r="S589" s="314"/>
      <c r="T589" s="314"/>
      <c r="U589" s="314"/>
      <c r="V589" s="314"/>
      <c r="W589" s="314"/>
      <c r="X589" s="314"/>
      <c r="Y589" s="314"/>
      <c r="Z589" s="314"/>
      <c r="AA589" s="487"/>
      <c r="AC589" s="484"/>
      <c r="AD589" s="322"/>
      <c r="AE589" s="132"/>
      <c r="AF589" s="132"/>
    </row>
    <row r="590">
      <c r="A590" s="314"/>
      <c r="B590" s="313"/>
      <c r="C590" s="313"/>
      <c r="D590" s="313"/>
      <c r="E590" s="314"/>
      <c r="F590" s="314"/>
      <c r="G590" s="314"/>
      <c r="H590" s="314"/>
      <c r="I590" s="314"/>
      <c r="J590" s="314"/>
      <c r="K590" s="314"/>
      <c r="L590" s="314"/>
      <c r="M590" s="314"/>
      <c r="N590" s="314"/>
      <c r="O590" s="314"/>
      <c r="P590" s="314"/>
      <c r="Q590" s="314"/>
      <c r="R590" s="314"/>
      <c r="S590" s="314"/>
      <c r="T590" s="314"/>
      <c r="U590" s="314"/>
      <c r="V590" s="314"/>
      <c r="W590" s="314"/>
      <c r="X590" s="314"/>
      <c r="Y590" s="314"/>
      <c r="Z590" s="314"/>
      <c r="AA590" s="324"/>
      <c r="AB590" s="155"/>
      <c r="AC590" s="155"/>
      <c r="AD590" s="322"/>
      <c r="AE590" s="132"/>
      <c r="AF590" s="132"/>
    </row>
    <row r="591">
      <c r="A591" s="314"/>
      <c r="B591" s="313"/>
      <c r="C591" s="313"/>
      <c r="D591" s="313"/>
      <c r="E591" s="314"/>
      <c r="F591" s="314"/>
      <c r="G591" s="314"/>
      <c r="H591" s="314"/>
      <c r="I591" s="314"/>
      <c r="J591" s="314"/>
      <c r="K591" s="314"/>
      <c r="L591" s="314"/>
      <c r="M591" s="314"/>
      <c r="N591" s="314"/>
      <c r="O591" s="314"/>
      <c r="P591" s="314"/>
      <c r="Q591" s="314"/>
      <c r="R591" s="314"/>
      <c r="S591" s="314"/>
      <c r="T591" s="314"/>
      <c r="U591" s="314"/>
      <c r="V591" s="314"/>
      <c r="W591" s="314"/>
      <c r="X591" s="314"/>
      <c r="Y591" s="314"/>
      <c r="Z591" s="314"/>
      <c r="AA591" s="324"/>
      <c r="AB591" s="155"/>
      <c r="AC591" s="155"/>
      <c r="AD591" s="322"/>
      <c r="AE591" s="132"/>
      <c r="AF591" s="132"/>
    </row>
    <row r="592">
      <c r="A592" s="314"/>
      <c r="B592" s="313"/>
      <c r="C592" s="313"/>
      <c r="D592" s="313"/>
      <c r="E592" s="314"/>
      <c r="F592" s="314"/>
      <c r="G592" s="314"/>
      <c r="H592" s="314"/>
      <c r="I592" s="314"/>
      <c r="J592" s="314"/>
      <c r="K592" s="314"/>
      <c r="L592" s="314"/>
      <c r="M592" s="314"/>
      <c r="N592" s="314"/>
      <c r="O592" s="314"/>
      <c r="P592" s="314"/>
      <c r="Q592" s="314"/>
      <c r="R592" s="314"/>
      <c r="S592" s="314"/>
      <c r="T592" s="314"/>
      <c r="U592" s="314"/>
      <c r="V592" s="314"/>
      <c r="W592" s="314"/>
      <c r="X592" s="314"/>
      <c r="Y592" s="314"/>
      <c r="Z592" s="314"/>
      <c r="AA592" s="324"/>
      <c r="AB592" s="155"/>
      <c r="AC592" s="155"/>
      <c r="AD592" s="322"/>
      <c r="AE592" s="132"/>
      <c r="AF592" s="132"/>
    </row>
    <row r="593">
      <c r="A593" s="314"/>
      <c r="B593" s="313"/>
      <c r="C593" s="313"/>
      <c r="D593" s="313"/>
      <c r="E593" s="314"/>
      <c r="F593" s="314"/>
      <c r="G593" s="314"/>
      <c r="H593" s="314"/>
      <c r="I593" s="314"/>
      <c r="J593" s="314"/>
      <c r="K593" s="314"/>
      <c r="L593" s="314"/>
      <c r="M593" s="314"/>
      <c r="N593" s="314"/>
      <c r="O593" s="314"/>
      <c r="P593" s="314"/>
      <c r="Q593" s="314"/>
      <c r="R593" s="314"/>
      <c r="S593" s="314"/>
      <c r="T593" s="314"/>
      <c r="U593" s="314"/>
      <c r="V593" s="314"/>
      <c r="W593" s="314"/>
      <c r="X593" s="314"/>
      <c r="Y593" s="314"/>
      <c r="Z593" s="314"/>
      <c r="AA593" s="324"/>
      <c r="AB593" s="155"/>
      <c r="AC593" s="155"/>
      <c r="AD593" s="322"/>
      <c r="AE593" s="132"/>
      <c r="AF593" s="132"/>
    </row>
    <row r="594">
      <c r="A594" s="314"/>
      <c r="B594" s="313"/>
      <c r="C594" s="313"/>
      <c r="D594" s="313"/>
      <c r="E594" s="314"/>
      <c r="F594" s="314"/>
      <c r="G594" s="314"/>
      <c r="H594" s="314"/>
      <c r="I594" s="314"/>
      <c r="J594" s="314"/>
      <c r="K594" s="314"/>
      <c r="L594" s="314"/>
      <c r="M594" s="314"/>
      <c r="N594" s="314"/>
      <c r="O594" s="314"/>
      <c r="P594" s="314"/>
      <c r="Q594" s="314"/>
      <c r="R594" s="314"/>
      <c r="S594" s="314"/>
      <c r="T594" s="314"/>
      <c r="U594" s="314"/>
      <c r="V594" s="314"/>
      <c r="W594" s="314"/>
      <c r="X594" s="314"/>
      <c r="Y594" s="314"/>
      <c r="Z594" s="314"/>
      <c r="AA594" s="324"/>
      <c r="AB594" s="155"/>
      <c r="AC594" s="155"/>
      <c r="AD594" s="322"/>
      <c r="AE594" s="132"/>
      <c r="AF594" s="132"/>
    </row>
    <row r="595">
      <c r="A595" s="314"/>
      <c r="B595" s="313"/>
      <c r="C595" s="313"/>
      <c r="D595" s="313"/>
      <c r="E595" s="314"/>
      <c r="F595" s="314"/>
      <c r="G595" s="314"/>
      <c r="H595" s="314"/>
      <c r="I595" s="314"/>
      <c r="J595" s="314"/>
      <c r="K595" s="314"/>
      <c r="L595" s="314"/>
      <c r="M595" s="314"/>
      <c r="N595" s="314"/>
      <c r="O595" s="314"/>
      <c r="P595" s="314"/>
      <c r="Q595" s="314"/>
      <c r="R595" s="314"/>
      <c r="S595" s="314"/>
      <c r="T595" s="314"/>
      <c r="U595" s="314"/>
      <c r="V595" s="314"/>
      <c r="W595" s="314"/>
      <c r="X595" s="314"/>
      <c r="Y595" s="314"/>
      <c r="Z595" s="314"/>
      <c r="AA595" s="324"/>
      <c r="AB595" s="155"/>
      <c r="AC595" s="155"/>
      <c r="AD595" s="322"/>
      <c r="AE595" s="132"/>
      <c r="AF595" s="132"/>
    </row>
    <row r="596">
      <c r="A596" s="314"/>
      <c r="B596" s="313"/>
      <c r="C596" s="313"/>
      <c r="D596" s="313"/>
      <c r="E596" s="314"/>
      <c r="F596" s="314"/>
      <c r="G596" s="314"/>
      <c r="H596" s="314"/>
      <c r="I596" s="314"/>
      <c r="J596" s="314"/>
      <c r="K596" s="314"/>
      <c r="L596" s="314"/>
      <c r="M596" s="314"/>
      <c r="N596" s="314"/>
      <c r="O596" s="314"/>
      <c r="P596" s="314"/>
      <c r="Q596" s="314"/>
      <c r="R596" s="314"/>
      <c r="S596" s="314"/>
      <c r="T596" s="314"/>
      <c r="U596" s="314"/>
      <c r="V596" s="314"/>
      <c r="W596" s="314"/>
      <c r="X596" s="314"/>
      <c r="Y596" s="314"/>
      <c r="Z596" s="314"/>
      <c r="AA596" s="324"/>
      <c r="AB596" s="155"/>
      <c r="AC596" s="155"/>
      <c r="AD596" s="322"/>
      <c r="AE596" s="132"/>
      <c r="AF596" s="132"/>
    </row>
    <row r="597">
      <c r="A597" s="314"/>
      <c r="B597" s="313"/>
      <c r="C597" s="313"/>
      <c r="D597" s="313"/>
      <c r="E597" s="314"/>
      <c r="F597" s="314"/>
      <c r="G597" s="314"/>
      <c r="H597" s="314"/>
      <c r="I597" s="314"/>
      <c r="J597" s="314"/>
      <c r="K597" s="314"/>
      <c r="L597" s="314"/>
      <c r="M597" s="314"/>
      <c r="N597" s="314"/>
      <c r="O597" s="314"/>
      <c r="P597" s="314"/>
      <c r="Q597" s="314"/>
      <c r="R597" s="314"/>
      <c r="S597" s="314"/>
      <c r="T597" s="314"/>
      <c r="U597" s="314"/>
      <c r="V597" s="314"/>
      <c r="W597" s="314"/>
      <c r="X597" s="314"/>
      <c r="Y597" s="314"/>
      <c r="Z597" s="314"/>
      <c r="AA597" s="324"/>
      <c r="AB597" s="155"/>
      <c r="AC597" s="155"/>
      <c r="AD597" s="322"/>
      <c r="AE597" s="132"/>
      <c r="AF597" s="132"/>
    </row>
    <row r="598">
      <c r="A598" s="314"/>
      <c r="B598" s="313"/>
      <c r="C598" s="313"/>
      <c r="D598" s="313"/>
      <c r="E598" s="314"/>
      <c r="F598" s="314"/>
      <c r="G598" s="314"/>
      <c r="H598" s="314"/>
      <c r="I598" s="314"/>
      <c r="J598" s="314"/>
      <c r="K598" s="314"/>
      <c r="L598" s="314"/>
      <c r="M598" s="314"/>
      <c r="N598" s="314"/>
      <c r="O598" s="314"/>
      <c r="P598" s="314"/>
      <c r="Q598" s="314"/>
      <c r="R598" s="314"/>
      <c r="S598" s="314"/>
      <c r="T598" s="314"/>
      <c r="U598" s="314"/>
      <c r="V598" s="314"/>
      <c r="W598" s="314"/>
      <c r="X598" s="314"/>
      <c r="Y598" s="314"/>
      <c r="Z598" s="314"/>
      <c r="AA598" s="324"/>
      <c r="AB598" s="155"/>
      <c r="AC598" s="155"/>
      <c r="AD598" s="322"/>
      <c r="AE598" s="132"/>
      <c r="AF598" s="132"/>
    </row>
    <row r="599">
      <c r="A599" s="314"/>
      <c r="B599" s="313"/>
      <c r="C599" s="313"/>
      <c r="D599" s="313"/>
      <c r="E599" s="314"/>
      <c r="F599" s="314"/>
      <c r="G599" s="314"/>
      <c r="H599" s="314"/>
      <c r="I599" s="314"/>
      <c r="J599" s="314"/>
      <c r="K599" s="314"/>
      <c r="L599" s="314"/>
      <c r="M599" s="314"/>
      <c r="N599" s="314"/>
      <c r="O599" s="314"/>
      <c r="P599" s="314"/>
      <c r="Q599" s="314"/>
      <c r="R599" s="314"/>
      <c r="S599" s="314"/>
      <c r="T599" s="314"/>
      <c r="U599" s="314"/>
      <c r="V599" s="314"/>
      <c r="W599" s="314"/>
      <c r="X599" s="314"/>
      <c r="Y599" s="314"/>
      <c r="Z599" s="314"/>
      <c r="AA599" s="324"/>
      <c r="AB599" s="155"/>
      <c r="AC599" s="155"/>
      <c r="AD599" s="322"/>
      <c r="AE599" s="132"/>
      <c r="AF599" s="132"/>
    </row>
    <row r="600">
      <c r="A600" s="314"/>
      <c r="B600" s="313"/>
      <c r="C600" s="313"/>
      <c r="D600" s="313"/>
      <c r="E600" s="314"/>
      <c r="F600" s="314"/>
      <c r="G600" s="314"/>
      <c r="H600" s="314"/>
      <c r="I600" s="314"/>
      <c r="J600" s="314"/>
      <c r="K600" s="314"/>
      <c r="L600" s="314"/>
      <c r="M600" s="314"/>
      <c r="N600" s="314"/>
      <c r="O600" s="314"/>
      <c r="P600" s="314"/>
      <c r="Q600" s="314"/>
      <c r="R600" s="314"/>
      <c r="S600" s="314"/>
      <c r="T600" s="314"/>
      <c r="U600" s="314"/>
      <c r="V600" s="314"/>
      <c r="W600" s="314"/>
      <c r="X600" s="314"/>
      <c r="Y600" s="314"/>
      <c r="Z600" s="314"/>
      <c r="AA600" s="324"/>
      <c r="AB600" s="155"/>
      <c r="AC600" s="155"/>
      <c r="AD600" s="322"/>
      <c r="AE600" s="132"/>
      <c r="AF600" s="132"/>
    </row>
    <row r="601">
      <c r="A601" s="314"/>
      <c r="B601" s="313"/>
      <c r="C601" s="313"/>
      <c r="D601" s="313"/>
      <c r="E601" s="314"/>
      <c r="F601" s="314"/>
      <c r="G601" s="314"/>
      <c r="H601" s="314"/>
      <c r="I601" s="314"/>
      <c r="J601" s="314"/>
      <c r="K601" s="314"/>
      <c r="L601" s="314"/>
      <c r="M601" s="314"/>
      <c r="N601" s="314"/>
      <c r="O601" s="314"/>
      <c r="P601" s="314"/>
      <c r="Q601" s="314"/>
      <c r="R601" s="314"/>
      <c r="S601" s="314"/>
      <c r="T601" s="314"/>
      <c r="U601" s="314"/>
      <c r="V601" s="314"/>
      <c r="W601" s="314"/>
      <c r="X601" s="314"/>
      <c r="Y601" s="314"/>
      <c r="Z601" s="314"/>
      <c r="AA601" s="324"/>
      <c r="AB601" s="155"/>
      <c r="AC601" s="155"/>
      <c r="AD601" s="322"/>
      <c r="AE601" s="132"/>
      <c r="AF601" s="132"/>
    </row>
    <row r="602">
      <c r="A602" s="314"/>
      <c r="B602" s="313"/>
      <c r="C602" s="313"/>
      <c r="D602" s="313"/>
      <c r="E602" s="314"/>
      <c r="F602" s="314"/>
      <c r="G602" s="314"/>
      <c r="H602" s="314"/>
      <c r="I602" s="314"/>
      <c r="J602" s="314"/>
      <c r="K602" s="314"/>
      <c r="L602" s="314"/>
      <c r="M602" s="314"/>
      <c r="N602" s="314"/>
      <c r="O602" s="314"/>
      <c r="P602" s="314"/>
      <c r="Q602" s="314"/>
      <c r="R602" s="314"/>
      <c r="S602" s="314"/>
      <c r="T602" s="314"/>
      <c r="U602" s="314"/>
      <c r="V602" s="314"/>
      <c r="W602" s="314"/>
      <c r="X602" s="314"/>
      <c r="Y602" s="314"/>
      <c r="Z602" s="314"/>
      <c r="AA602" s="324"/>
      <c r="AB602" s="155"/>
      <c r="AC602" s="155"/>
      <c r="AD602" s="322"/>
      <c r="AE602" s="132"/>
      <c r="AF602" s="132"/>
    </row>
    <row r="603">
      <c r="A603" s="314"/>
      <c r="B603" s="313"/>
      <c r="C603" s="313"/>
      <c r="D603" s="313"/>
      <c r="E603" s="314"/>
      <c r="F603" s="314"/>
      <c r="G603" s="314"/>
      <c r="H603" s="314"/>
      <c r="I603" s="314"/>
      <c r="J603" s="314"/>
      <c r="K603" s="314"/>
      <c r="L603" s="314"/>
      <c r="M603" s="314"/>
      <c r="N603" s="314"/>
      <c r="O603" s="314"/>
      <c r="P603" s="314"/>
      <c r="Q603" s="314"/>
      <c r="R603" s="314"/>
      <c r="S603" s="314"/>
      <c r="T603" s="314"/>
      <c r="U603" s="314"/>
      <c r="V603" s="314"/>
      <c r="W603" s="314"/>
      <c r="X603" s="314"/>
      <c r="Y603" s="314"/>
      <c r="Z603" s="314"/>
      <c r="AA603" s="324"/>
      <c r="AB603" s="155"/>
      <c r="AC603" s="155"/>
      <c r="AD603" s="322"/>
      <c r="AE603" s="132"/>
      <c r="AF603" s="132"/>
    </row>
    <row r="604">
      <c r="A604" s="314"/>
      <c r="B604" s="313"/>
      <c r="C604" s="313"/>
      <c r="D604" s="313"/>
      <c r="E604" s="314"/>
      <c r="F604" s="314"/>
      <c r="G604" s="314"/>
      <c r="H604" s="314"/>
      <c r="I604" s="314"/>
      <c r="J604" s="314"/>
      <c r="K604" s="314"/>
      <c r="L604" s="314"/>
      <c r="M604" s="314"/>
      <c r="N604" s="314"/>
      <c r="O604" s="314"/>
      <c r="P604" s="314"/>
      <c r="Q604" s="314"/>
      <c r="R604" s="314"/>
      <c r="S604" s="314"/>
      <c r="T604" s="314"/>
      <c r="U604" s="314"/>
      <c r="V604" s="314"/>
      <c r="W604" s="314"/>
      <c r="X604" s="314"/>
      <c r="Y604" s="314"/>
      <c r="Z604" s="314"/>
      <c r="AA604" s="324"/>
      <c r="AB604" s="155"/>
      <c r="AC604" s="155"/>
      <c r="AD604" s="322"/>
      <c r="AE604" s="132"/>
      <c r="AF604" s="132"/>
    </row>
    <row r="605">
      <c r="A605" s="314"/>
      <c r="B605" s="313"/>
      <c r="C605" s="313"/>
      <c r="D605" s="313"/>
      <c r="E605" s="314"/>
      <c r="F605" s="314"/>
      <c r="G605" s="314"/>
      <c r="H605" s="314"/>
      <c r="I605" s="314"/>
      <c r="J605" s="314"/>
      <c r="K605" s="314"/>
      <c r="L605" s="314"/>
      <c r="M605" s="314"/>
      <c r="N605" s="314"/>
      <c r="O605" s="314"/>
      <c r="P605" s="314"/>
      <c r="Q605" s="314"/>
      <c r="R605" s="314"/>
      <c r="S605" s="314"/>
      <c r="T605" s="314"/>
      <c r="U605" s="314"/>
      <c r="V605" s="314"/>
      <c r="W605" s="314"/>
      <c r="X605" s="314"/>
      <c r="Y605" s="314"/>
      <c r="Z605" s="314"/>
      <c r="AA605" s="324"/>
      <c r="AB605" s="155"/>
      <c r="AC605" s="155"/>
      <c r="AD605" s="322"/>
      <c r="AE605" s="132"/>
      <c r="AF605" s="132"/>
    </row>
    <row r="606">
      <c r="A606" s="314"/>
      <c r="B606" s="313"/>
      <c r="C606" s="313"/>
      <c r="D606" s="313"/>
      <c r="E606" s="314"/>
      <c r="F606" s="314"/>
      <c r="G606" s="314"/>
      <c r="H606" s="314"/>
      <c r="I606" s="314"/>
      <c r="J606" s="314"/>
      <c r="K606" s="314"/>
      <c r="L606" s="314"/>
      <c r="M606" s="314"/>
      <c r="N606" s="314"/>
      <c r="O606" s="314"/>
      <c r="P606" s="314"/>
      <c r="Q606" s="314"/>
      <c r="R606" s="314"/>
      <c r="S606" s="314"/>
      <c r="T606" s="314"/>
      <c r="U606" s="314"/>
      <c r="V606" s="314"/>
      <c r="W606" s="314"/>
      <c r="X606" s="314"/>
      <c r="Y606" s="314"/>
      <c r="Z606" s="314"/>
      <c r="AA606" s="324"/>
      <c r="AB606" s="155"/>
      <c r="AC606" s="155"/>
      <c r="AD606" s="322"/>
      <c r="AE606" s="132"/>
      <c r="AF606" s="132"/>
    </row>
    <row r="607">
      <c r="A607" s="314"/>
      <c r="B607" s="313"/>
      <c r="C607" s="313"/>
      <c r="D607" s="313"/>
      <c r="E607" s="314"/>
      <c r="F607" s="314"/>
      <c r="G607" s="314"/>
      <c r="H607" s="314"/>
      <c r="I607" s="314"/>
      <c r="J607" s="314"/>
      <c r="K607" s="314"/>
      <c r="L607" s="314"/>
      <c r="M607" s="314"/>
      <c r="N607" s="314"/>
      <c r="O607" s="314"/>
      <c r="P607" s="314"/>
      <c r="Q607" s="314"/>
      <c r="R607" s="314"/>
      <c r="S607" s="314"/>
      <c r="T607" s="314"/>
      <c r="U607" s="314"/>
      <c r="V607" s="314"/>
      <c r="W607" s="314"/>
      <c r="X607" s="314"/>
      <c r="Y607" s="314"/>
      <c r="Z607" s="314"/>
      <c r="AA607" s="324"/>
      <c r="AB607" s="155"/>
      <c r="AC607" s="155"/>
      <c r="AD607" s="322"/>
      <c r="AE607" s="132"/>
      <c r="AF607" s="132"/>
    </row>
    <row r="608">
      <c r="A608" s="314"/>
      <c r="B608" s="313"/>
      <c r="C608" s="313"/>
      <c r="D608" s="313"/>
      <c r="E608" s="314"/>
      <c r="F608" s="314"/>
      <c r="G608" s="314"/>
      <c r="H608" s="314"/>
      <c r="I608" s="314"/>
      <c r="J608" s="314"/>
      <c r="K608" s="314"/>
      <c r="L608" s="314"/>
      <c r="M608" s="314"/>
      <c r="N608" s="314"/>
      <c r="O608" s="314"/>
      <c r="P608" s="314"/>
      <c r="Q608" s="314"/>
      <c r="R608" s="314"/>
      <c r="S608" s="314"/>
      <c r="T608" s="314"/>
      <c r="U608" s="314"/>
      <c r="V608" s="314"/>
      <c r="W608" s="314"/>
      <c r="X608" s="314"/>
      <c r="Y608" s="314"/>
      <c r="Z608" s="314"/>
      <c r="AA608" s="324"/>
      <c r="AB608" s="155"/>
      <c r="AC608" s="155"/>
      <c r="AD608" s="322"/>
      <c r="AE608" s="132"/>
      <c r="AF608" s="132"/>
    </row>
    <row r="609">
      <c r="A609" s="314"/>
      <c r="B609" s="313"/>
      <c r="C609" s="313"/>
      <c r="D609" s="313"/>
      <c r="E609" s="314"/>
      <c r="F609" s="314"/>
      <c r="G609" s="314"/>
      <c r="H609" s="314"/>
      <c r="I609" s="314"/>
      <c r="J609" s="314"/>
      <c r="K609" s="314"/>
      <c r="L609" s="314"/>
      <c r="M609" s="314"/>
      <c r="N609" s="314"/>
      <c r="O609" s="314"/>
      <c r="P609" s="314"/>
      <c r="Q609" s="314"/>
      <c r="R609" s="314"/>
      <c r="S609" s="314"/>
      <c r="T609" s="314"/>
      <c r="U609" s="314"/>
      <c r="V609" s="314"/>
      <c r="W609" s="314"/>
      <c r="X609" s="314"/>
      <c r="Y609" s="314"/>
      <c r="Z609" s="314"/>
      <c r="AA609" s="324"/>
      <c r="AB609" s="155"/>
      <c r="AC609" s="155"/>
      <c r="AD609" s="322"/>
      <c r="AE609" s="132"/>
      <c r="AF609" s="132"/>
    </row>
    <row r="610">
      <c r="A610" s="314"/>
      <c r="B610" s="313"/>
      <c r="C610" s="313"/>
      <c r="D610" s="313"/>
      <c r="E610" s="314"/>
      <c r="F610" s="314"/>
      <c r="G610" s="314"/>
      <c r="H610" s="314"/>
      <c r="I610" s="314"/>
      <c r="J610" s="314"/>
      <c r="K610" s="314"/>
      <c r="L610" s="314"/>
      <c r="M610" s="314"/>
      <c r="N610" s="314"/>
      <c r="O610" s="314"/>
      <c r="P610" s="314"/>
      <c r="Q610" s="314"/>
      <c r="R610" s="314"/>
      <c r="S610" s="314"/>
      <c r="T610" s="314"/>
      <c r="U610" s="314"/>
      <c r="V610" s="314"/>
      <c r="W610" s="314"/>
      <c r="X610" s="314"/>
      <c r="Y610" s="314"/>
      <c r="Z610" s="314"/>
      <c r="AA610" s="324"/>
      <c r="AB610" s="155"/>
      <c r="AC610" s="155"/>
      <c r="AD610" s="322"/>
      <c r="AE610" s="132"/>
      <c r="AF610" s="132"/>
    </row>
    <row r="611">
      <c r="A611" s="314"/>
      <c r="B611" s="313"/>
      <c r="C611" s="313"/>
      <c r="D611" s="313"/>
      <c r="E611" s="314"/>
      <c r="F611" s="314"/>
      <c r="G611" s="314"/>
      <c r="H611" s="314"/>
      <c r="I611" s="314"/>
      <c r="J611" s="314"/>
      <c r="K611" s="314"/>
      <c r="L611" s="314"/>
      <c r="M611" s="314"/>
      <c r="N611" s="314"/>
      <c r="O611" s="314"/>
      <c r="P611" s="314"/>
      <c r="Q611" s="314"/>
      <c r="R611" s="314"/>
      <c r="S611" s="314"/>
      <c r="T611" s="314"/>
      <c r="U611" s="314"/>
      <c r="V611" s="314"/>
      <c r="W611" s="314"/>
      <c r="X611" s="314"/>
      <c r="Y611" s="314"/>
      <c r="Z611" s="314"/>
      <c r="AA611" s="324"/>
      <c r="AB611" s="155"/>
      <c r="AC611" s="155"/>
      <c r="AD611" s="322"/>
      <c r="AE611" s="132"/>
      <c r="AF611" s="132"/>
    </row>
    <row r="612">
      <c r="A612" s="314"/>
      <c r="B612" s="313"/>
      <c r="C612" s="313"/>
      <c r="D612" s="313"/>
      <c r="E612" s="314"/>
      <c r="F612" s="314"/>
      <c r="G612" s="314"/>
      <c r="H612" s="314"/>
      <c r="I612" s="314"/>
      <c r="J612" s="314"/>
      <c r="K612" s="314"/>
      <c r="L612" s="314"/>
      <c r="M612" s="314"/>
      <c r="N612" s="314"/>
      <c r="O612" s="314"/>
      <c r="P612" s="314"/>
      <c r="Q612" s="314"/>
      <c r="R612" s="314"/>
      <c r="S612" s="314"/>
      <c r="T612" s="314"/>
      <c r="U612" s="314"/>
      <c r="V612" s="314"/>
      <c r="W612" s="314"/>
      <c r="X612" s="314"/>
      <c r="Y612" s="314"/>
      <c r="Z612" s="314"/>
      <c r="AA612" s="324"/>
      <c r="AB612" s="155"/>
      <c r="AC612" s="155"/>
      <c r="AD612" s="322"/>
      <c r="AE612" s="132"/>
      <c r="AF612" s="132"/>
    </row>
    <row r="613">
      <c r="A613" s="314"/>
      <c r="B613" s="313"/>
      <c r="C613" s="313"/>
      <c r="D613" s="313"/>
      <c r="E613" s="314"/>
      <c r="F613" s="314"/>
      <c r="G613" s="314"/>
      <c r="H613" s="314"/>
      <c r="I613" s="314"/>
      <c r="J613" s="314"/>
      <c r="K613" s="314"/>
      <c r="L613" s="314"/>
      <c r="M613" s="314"/>
      <c r="N613" s="314"/>
      <c r="O613" s="314"/>
      <c r="P613" s="314"/>
      <c r="Q613" s="314"/>
      <c r="R613" s="314"/>
      <c r="S613" s="314"/>
      <c r="T613" s="314"/>
      <c r="U613" s="314"/>
      <c r="V613" s="314"/>
      <c r="W613" s="314"/>
      <c r="X613" s="314"/>
      <c r="Y613" s="314"/>
      <c r="Z613" s="314"/>
      <c r="AA613" s="324"/>
      <c r="AB613" s="155"/>
      <c r="AC613" s="155"/>
      <c r="AD613" s="322"/>
      <c r="AE613" s="132"/>
      <c r="AF613" s="132"/>
    </row>
    <row r="614">
      <c r="A614" s="314"/>
      <c r="B614" s="313"/>
      <c r="C614" s="313"/>
      <c r="D614" s="313"/>
      <c r="E614" s="314"/>
      <c r="F614" s="314"/>
      <c r="G614" s="314"/>
      <c r="H614" s="314"/>
      <c r="I614" s="314"/>
      <c r="J614" s="314"/>
      <c r="K614" s="314"/>
      <c r="L614" s="314"/>
      <c r="M614" s="314"/>
      <c r="N614" s="314"/>
      <c r="O614" s="314"/>
      <c r="P614" s="314"/>
      <c r="Q614" s="314"/>
      <c r="R614" s="314"/>
      <c r="S614" s="314"/>
      <c r="T614" s="314"/>
      <c r="U614" s="314"/>
      <c r="V614" s="314"/>
      <c r="W614" s="314"/>
      <c r="X614" s="314"/>
      <c r="Y614" s="314"/>
      <c r="Z614" s="314"/>
      <c r="AA614" s="324"/>
      <c r="AB614" s="155"/>
      <c r="AC614" s="155"/>
      <c r="AD614" s="322"/>
      <c r="AE614" s="132"/>
      <c r="AF614" s="132"/>
    </row>
    <row r="615">
      <c r="A615" s="314"/>
      <c r="B615" s="313"/>
      <c r="C615" s="313"/>
      <c r="D615" s="313"/>
      <c r="E615" s="314"/>
      <c r="F615" s="314"/>
      <c r="G615" s="314"/>
      <c r="H615" s="314"/>
      <c r="I615" s="314"/>
      <c r="J615" s="314"/>
      <c r="K615" s="314"/>
      <c r="L615" s="314"/>
      <c r="M615" s="314"/>
      <c r="N615" s="314"/>
      <c r="O615" s="314"/>
      <c r="P615" s="314"/>
      <c r="Q615" s="314"/>
      <c r="R615" s="314"/>
      <c r="S615" s="314"/>
      <c r="T615" s="314"/>
      <c r="U615" s="314"/>
      <c r="V615" s="314"/>
      <c r="W615" s="314"/>
      <c r="X615" s="314"/>
      <c r="Y615" s="314"/>
      <c r="Z615" s="314"/>
      <c r="AA615" s="324"/>
      <c r="AB615" s="155"/>
      <c r="AC615" s="155"/>
      <c r="AD615" s="322"/>
      <c r="AE615" s="132"/>
      <c r="AF615" s="132"/>
    </row>
    <row r="616">
      <c r="A616" s="314"/>
      <c r="B616" s="313"/>
      <c r="C616" s="313"/>
      <c r="D616" s="313"/>
      <c r="E616" s="314"/>
      <c r="F616" s="314"/>
      <c r="G616" s="314"/>
      <c r="H616" s="314"/>
      <c r="I616" s="314"/>
      <c r="J616" s="314"/>
      <c r="K616" s="314"/>
      <c r="L616" s="314"/>
      <c r="M616" s="314"/>
      <c r="N616" s="314"/>
      <c r="O616" s="314"/>
      <c r="P616" s="314"/>
      <c r="Q616" s="314"/>
      <c r="R616" s="314"/>
      <c r="S616" s="314"/>
      <c r="T616" s="314"/>
      <c r="U616" s="314"/>
      <c r="V616" s="314"/>
      <c r="W616" s="314"/>
      <c r="X616" s="314"/>
      <c r="Y616" s="314"/>
      <c r="Z616" s="314"/>
      <c r="AA616" s="324"/>
      <c r="AB616" s="155"/>
      <c r="AC616" s="155"/>
      <c r="AD616" s="322"/>
      <c r="AE616" s="132"/>
      <c r="AF616" s="132"/>
    </row>
    <row r="617">
      <c r="A617" s="314"/>
      <c r="B617" s="313"/>
      <c r="C617" s="313"/>
      <c r="D617" s="313"/>
      <c r="E617" s="314"/>
      <c r="F617" s="314"/>
      <c r="G617" s="314"/>
      <c r="H617" s="314"/>
      <c r="I617" s="314"/>
      <c r="J617" s="314"/>
      <c r="K617" s="314"/>
      <c r="L617" s="314"/>
      <c r="M617" s="314"/>
      <c r="N617" s="314"/>
      <c r="O617" s="314"/>
      <c r="P617" s="314"/>
      <c r="Q617" s="314"/>
      <c r="R617" s="314"/>
      <c r="S617" s="314"/>
      <c r="T617" s="314"/>
      <c r="U617" s="314"/>
      <c r="V617" s="314"/>
      <c r="W617" s="314"/>
      <c r="X617" s="314"/>
      <c r="Y617" s="314"/>
      <c r="Z617" s="314"/>
      <c r="AA617" s="324"/>
      <c r="AB617" s="155"/>
      <c r="AC617" s="155"/>
      <c r="AD617" s="322"/>
      <c r="AE617" s="132"/>
      <c r="AF617" s="132"/>
    </row>
    <row r="618">
      <c r="A618" s="314"/>
      <c r="B618" s="313"/>
      <c r="C618" s="313"/>
      <c r="D618" s="313"/>
      <c r="E618" s="314"/>
      <c r="F618" s="314"/>
      <c r="G618" s="314"/>
      <c r="H618" s="314"/>
      <c r="I618" s="314"/>
      <c r="J618" s="314"/>
      <c r="K618" s="314"/>
      <c r="L618" s="314"/>
      <c r="M618" s="314"/>
      <c r="N618" s="314"/>
      <c r="O618" s="314"/>
      <c r="P618" s="314"/>
      <c r="Q618" s="314"/>
      <c r="R618" s="314"/>
      <c r="S618" s="314"/>
      <c r="T618" s="314"/>
      <c r="U618" s="314"/>
      <c r="V618" s="314"/>
      <c r="W618" s="314"/>
      <c r="X618" s="314"/>
      <c r="Y618" s="314"/>
      <c r="Z618" s="314"/>
      <c r="AA618" s="324"/>
      <c r="AB618" s="155"/>
      <c r="AC618" s="155"/>
      <c r="AD618" s="322"/>
      <c r="AE618" s="132"/>
      <c r="AF618" s="132"/>
    </row>
    <row r="619">
      <c r="A619" s="314"/>
      <c r="B619" s="313"/>
      <c r="C619" s="313"/>
      <c r="D619" s="313"/>
      <c r="E619" s="314"/>
      <c r="F619" s="314"/>
      <c r="G619" s="314"/>
      <c r="H619" s="314"/>
      <c r="I619" s="314"/>
      <c r="J619" s="314"/>
      <c r="K619" s="314"/>
      <c r="L619" s="314"/>
      <c r="M619" s="314"/>
      <c r="N619" s="314"/>
      <c r="O619" s="314"/>
      <c r="P619" s="314"/>
      <c r="Q619" s="314"/>
      <c r="R619" s="314"/>
      <c r="S619" s="314"/>
      <c r="T619" s="314"/>
      <c r="U619" s="314"/>
      <c r="V619" s="314"/>
      <c r="W619" s="314"/>
      <c r="X619" s="314"/>
      <c r="Y619" s="314"/>
      <c r="Z619" s="314"/>
      <c r="AA619" s="324"/>
      <c r="AB619" s="155"/>
      <c r="AC619" s="155"/>
      <c r="AD619" s="322"/>
      <c r="AE619" s="132"/>
      <c r="AF619" s="132"/>
    </row>
    <row r="620">
      <c r="A620" s="314"/>
      <c r="B620" s="313"/>
      <c r="C620" s="313"/>
      <c r="D620" s="313"/>
      <c r="E620" s="314"/>
      <c r="F620" s="314"/>
      <c r="G620" s="314"/>
      <c r="H620" s="314"/>
      <c r="I620" s="314"/>
      <c r="J620" s="314"/>
      <c r="K620" s="314"/>
      <c r="L620" s="314"/>
      <c r="M620" s="314"/>
      <c r="N620" s="314"/>
      <c r="O620" s="314"/>
      <c r="P620" s="314"/>
      <c r="Q620" s="314"/>
      <c r="R620" s="314"/>
      <c r="S620" s="314"/>
      <c r="T620" s="314"/>
      <c r="U620" s="314"/>
      <c r="V620" s="314"/>
      <c r="W620" s="314"/>
      <c r="X620" s="314"/>
      <c r="Y620" s="314"/>
      <c r="Z620" s="314"/>
      <c r="AA620" s="324"/>
      <c r="AB620" s="155"/>
      <c r="AC620" s="155"/>
      <c r="AD620" s="322"/>
      <c r="AE620" s="132"/>
      <c r="AF620" s="132"/>
    </row>
    <row r="621">
      <c r="A621" s="314"/>
      <c r="B621" s="313"/>
      <c r="C621" s="313"/>
      <c r="D621" s="313"/>
      <c r="E621" s="314"/>
      <c r="F621" s="314"/>
      <c r="G621" s="314"/>
      <c r="H621" s="314"/>
      <c r="I621" s="314"/>
      <c r="J621" s="314"/>
      <c r="K621" s="314"/>
      <c r="L621" s="314"/>
      <c r="M621" s="314"/>
      <c r="N621" s="314"/>
      <c r="O621" s="314"/>
      <c r="P621" s="314"/>
      <c r="Q621" s="314"/>
      <c r="R621" s="314"/>
      <c r="S621" s="314"/>
      <c r="T621" s="314"/>
      <c r="U621" s="314"/>
      <c r="V621" s="314"/>
      <c r="W621" s="314"/>
      <c r="X621" s="314"/>
      <c r="Y621" s="314"/>
      <c r="Z621" s="314"/>
      <c r="AA621" s="324"/>
      <c r="AB621" s="155"/>
      <c r="AC621" s="155"/>
      <c r="AD621" s="322"/>
      <c r="AE621" s="132"/>
      <c r="AF621" s="132"/>
    </row>
    <row r="622">
      <c r="A622" s="314"/>
      <c r="B622" s="313"/>
      <c r="C622" s="313"/>
      <c r="D622" s="313"/>
      <c r="E622" s="314"/>
      <c r="F622" s="314"/>
      <c r="G622" s="314"/>
      <c r="H622" s="314"/>
      <c r="I622" s="314"/>
      <c r="J622" s="314"/>
      <c r="K622" s="314"/>
      <c r="L622" s="314"/>
      <c r="M622" s="314"/>
      <c r="N622" s="314"/>
      <c r="O622" s="314"/>
      <c r="P622" s="314"/>
      <c r="Q622" s="314"/>
      <c r="R622" s="314"/>
      <c r="S622" s="314"/>
      <c r="T622" s="314"/>
      <c r="U622" s="314"/>
      <c r="V622" s="314"/>
      <c r="W622" s="314"/>
      <c r="X622" s="314"/>
      <c r="Y622" s="314"/>
      <c r="Z622" s="314"/>
      <c r="AA622" s="324"/>
      <c r="AB622" s="155"/>
      <c r="AC622" s="155"/>
      <c r="AD622" s="322"/>
      <c r="AE622" s="132"/>
      <c r="AF622" s="132"/>
    </row>
    <row r="623">
      <c r="A623" s="314"/>
      <c r="B623" s="313"/>
      <c r="C623" s="313"/>
      <c r="D623" s="313"/>
      <c r="E623" s="314"/>
      <c r="F623" s="314"/>
      <c r="G623" s="314"/>
      <c r="H623" s="314"/>
      <c r="I623" s="314"/>
      <c r="J623" s="314"/>
      <c r="K623" s="314"/>
      <c r="L623" s="314"/>
      <c r="M623" s="314"/>
      <c r="N623" s="314"/>
      <c r="O623" s="314"/>
      <c r="P623" s="314"/>
      <c r="Q623" s="314"/>
      <c r="R623" s="314"/>
      <c r="S623" s="314"/>
      <c r="T623" s="314"/>
      <c r="U623" s="314"/>
      <c r="V623" s="314"/>
      <c r="W623" s="314"/>
      <c r="X623" s="314"/>
      <c r="Y623" s="314"/>
      <c r="Z623" s="314"/>
      <c r="AA623" s="324"/>
      <c r="AB623" s="155"/>
      <c r="AC623" s="155"/>
      <c r="AD623" s="322"/>
      <c r="AE623" s="132"/>
      <c r="AF623" s="132"/>
    </row>
    <row r="624">
      <c r="A624" s="314"/>
      <c r="B624" s="313"/>
      <c r="C624" s="313"/>
      <c r="D624" s="313"/>
      <c r="E624" s="314"/>
      <c r="F624" s="314"/>
      <c r="G624" s="314"/>
      <c r="H624" s="314"/>
      <c r="I624" s="314"/>
      <c r="J624" s="314"/>
      <c r="K624" s="314"/>
      <c r="L624" s="314"/>
      <c r="M624" s="314"/>
      <c r="N624" s="314"/>
      <c r="O624" s="314"/>
      <c r="P624" s="314"/>
      <c r="Q624" s="314"/>
      <c r="R624" s="314"/>
      <c r="S624" s="314"/>
      <c r="T624" s="314"/>
      <c r="U624" s="314"/>
      <c r="V624" s="314"/>
      <c r="W624" s="314"/>
      <c r="X624" s="314"/>
      <c r="Y624" s="314"/>
      <c r="Z624" s="314"/>
      <c r="AA624" s="324"/>
      <c r="AB624" s="155"/>
      <c r="AC624" s="155"/>
      <c r="AD624" s="322"/>
      <c r="AE624" s="132"/>
      <c r="AF624" s="132"/>
    </row>
    <row r="625">
      <c r="A625" s="314"/>
      <c r="B625" s="313"/>
      <c r="C625" s="313"/>
      <c r="D625" s="313"/>
      <c r="E625" s="314"/>
      <c r="F625" s="314"/>
      <c r="G625" s="314"/>
      <c r="H625" s="314"/>
      <c r="I625" s="314"/>
      <c r="J625" s="314"/>
      <c r="K625" s="314"/>
      <c r="L625" s="314"/>
      <c r="M625" s="314"/>
      <c r="N625" s="314"/>
      <c r="O625" s="314"/>
      <c r="P625" s="314"/>
      <c r="Q625" s="314"/>
      <c r="R625" s="314"/>
      <c r="S625" s="314"/>
      <c r="T625" s="314"/>
      <c r="U625" s="314"/>
      <c r="V625" s="314"/>
      <c r="W625" s="314"/>
      <c r="X625" s="314"/>
      <c r="Y625" s="314"/>
      <c r="Z625" s="314"/>
      <c r="AA625" s="324"/>
      <c r="AB625" s="155"/>
      <c r="AC625" s="155"/>
      <c r="AD625" s="322"/>
      <c r="AE625" s="132"/>
      <c r="AF625" s="132"/>
    </row>
    <row r="626">
      <c r="A626" s="314"/>
      <c r="B626" s="313"/>
      <c r="C626" s="313"/>
      <c r="D626" s="313"/>
      <c r="E626" s="314"/>
      <c r="F626" s="314"/>
      <c r="G626" s="314"/>
      <c r="H626" s="314"/>
      <c r="I626" s="314"/>
      <c r="J626" s="314"/>
      <c r="K626" s="314"/>
      <c r="L626" s="314"/>
      <c r="M626" s="314"/>
      <c r="N626" s="314"/>
      <c r="O626" s="314"/>
      <c r="P626" s="314"/>
      <c r="Q626" s="314"/>
      <c r="R626" s="314"/>
      <c r="S626" s="314"/>
      <c r="T626" s="314"/>
      <c r="U626" s="314"/>
      <c r="V626" s="314"/>
      <c r="W626" s="314"/>
      <c r="X626" s="314"/>
      <c r="Y626" s="314"/>
      <c r="Z626" s="314"/>
      <c r="AA626" s="324"/>
      <c r="AB626" s="155"/>
      <c r="AC626" s="155"/>
      <c r="AD626" s="322"/>
      <c r="AE626" s="132"/>
      <c r="AF626" s="132"/>
    </row>
    <row r="627">
      <c r="A627" s="314"/>
      <c r="B627" s="313"/>
      <c r="C627" s="313"/>
      <c r="D627" s="313"/>
      <c r="E627" s="314"/>
      <c r="F627" s="314"/>
      <c r="G627" s="314"/>
      <c r="H627" s="314"/>
      <c r="I627" s="314"/>
      <c r="J627" s="314"/>
      <c r="K627" s="314"/>
      <c r="L627" s="314"/>
      <c r="M627" s="314"/>
      <c r="N627" s="314"/>
      <c r="O627" s="314"/>
      <c r="P627" s="314"/>
      <c r="Q627" s="314"/>
      <c r="R627" s="314"/>
      <c r="S627" s="314"/>
      <c r="T627" s="314"/>
      <c r="U627" s="314"/>
      <c r="V627" s="314"/>
      <c r="W627" s="314"/>
      <c r="X627" s="314"/>
      <c r="Y627" s="314"/>
      <c r="Z627" s="314"/>
      <c r="AA627" s="324"/>
      <c r="AB627" s="155"/>
      <c r="AC627" s="155"/>
      <c r="AD627" s="322"/>
      <c r="AE627" s="132"/>
      <c r="AF627" s="132"/>
    </row>
    <row r="628">
      <c r="A628" s="314"/>
      <c r="B628" s="313"/>
      <c r="C628" s="313"/>
      <c r="D628" s="313"/>
      <c r="E628" s="314"/>
      <c r="F628" s="314"/>
      <c r="G628" s="314"/>
      <c r="H628" s="314"/>
      <c r="I628" s="314"/>
      <c r="J628" s="314"/>
      <c r="K628" s="314"/>
      <c r="L628" s="314"/>
      <c r="M628" s="314"/>
      <c r="N628" s="314"/>
      <c r="O628" s="314"/>
      <c r="P628" s="314"/>
      <c r="Q628" s="314"/>
      <c r="R628" s="314"/>
      <c r="S628" s="314"/>
      <c r="T628" s="314"/>
      <c r="U628" s="314"/>
      <c r="V628" s="314"/>
      <c r="W628" s="314"/>
      <c r="X628" s="314"/>
      <c r="Y628" s="314"/>
      <c r="Z628" s="314"/>
      <c r="AA628" s="324"/>
      <c r="AB628" s="155"/>
      <c r="AC628" s="155"/>
      <c r="AD628" s="322"/>
      <c r="AE628" s="132"/>
      <c r="AF628" s="132"/>
    </row>
    <row r="629">
      <c r="A629" s="314"/>
      <c r="B629" s="313"/>
      <c r="C629" s="313"/>
      <c r="D629" s="313"/>
      <c r="E629" s="314"/>
      <c r="F629" s="314"/>
      <c r="G629" s="314"/>
      <c r="H629" s="314"/>
      <c r="I629" s="314"/>
      <c r="J629" s="314"/>
      <c r="K629" s="314"/>
      <c r="L629" s="314"/>
      <c r="M629" s="314"/>
      <c r="N629" s="314"/>
      <c r="O629" s="314"/>
      <c r="P629" s="314"/>
      <c r="Q629" s="314"/>
      <c r="R629" s="314"/>
      <c r="S629" s="314"/>
      <c r="T629" s="314"/>
      <c r="U629" s="314"/>
      <c r="V629" s="314"/>
      <c r="W629" s="314"/>
      <c r="X629" s="314"/>
      <c r="Y629" s="314"/>
      <c r="Z629" s="314"/>
      <c r="AA629" s="324"/>
      <c r="AB629" s="155"/>
      <c r="AC629" s="155"/>
      <c r="AD629" s="322"/>
      <c r="AE629" s="132"/>
      <c r="AF629" s="132"/>
    </row>
    <row r="630">
      <c r="A630" s="314"/>
      <c r="B630" s="313"/>
      <c r="C630" s="313"/>
      <c r="D630" s="313"/>
      <c r="E630" s="314"/>
      <c r="F630" s="314"/>
      <c r="G630" s="314"/>
      <c r="H630" s="314"/>
      <c r="I630" s="314"/>
      <c r="J630" s="314"/>
      <c r="K630" s="314"/>
      <c r="L630" s="314"/>
      <c r="M630" s="314"/>
      <c r="N630" s="314"/>
      <c r="O630" s="314"/>
      <c r="P630" s="314"/>
      <c r="Q630" s="314"/>
      <c r="R630" s="314"/>
      <c r="S630" s="314"/>
      <c r="T630" s="314"/>
      <c r="U630" s="314"/>
      <c r="V630" s="314"/>
      <c r="W630" s="314"/>
      <c r="X630" s="314"/>
      <c r="Y630" s="314"/>
      <c r="Z630" s="314"/>
      <c r="AA630" s="324"/>
      <c r="AB630" s="155"/>
      <c r="AC630" s="155"/>
      <c r="AD630" s="322"/>
      <c r="AE630" s="132"/>
      <c r="AF630" s="132"/>
    </row>
    <row r="631">
      <c r="A631" s="314"/>
      <c r="B631" s="313"/>
      <c r="C631" s="313"/>
      <c r="D631" s="313"/>
      <c r="E631" s="314"/>
      <c r="F631" s="314"/>
      <c r="G631" s="314"/>
      <c r="H631" s="314"/>
      <c r="I631" s="314"/>
      <c r="J631" s="314"/>
      <c r="K631" s="314"/>
      <c r="L631" s="314"/>
      <c r="M631" s="314"/>
      <c r="N631" s="314"/>
      <c r="O631" s="314"/>
      <c r="P631" s="314"/>
      <c r="Q631" s="314"/>
      <c r="R631" s="314"/>
      <c r="S631" s="314"/>
      <c r="T631" s="314"/>
      <c r="U631" s="314"/>
      <c r="V631" s="314"/>
      <c r="W631" s="314"/>
      <c r="X631" s="314"/>
      <c r="Y631" s="314"/>
      <c r="Z631" s="314"/>
      <c r="AA631" s="324"/>
      <c r="AB631" s="155"/>
      <c r="AC631" s="155"/>
      <c r="AD631" s="322"/>
      <c r="AE631" s="132"/>
      <c r="AF631" s="132"/>
    </row>
    <row r="632">
      <c r="A632" s="314"/>
      <c r="B632" s="313"/>
      <c r="C632" s="313"/>
      <c r="D632" s="313"/>
      <c r="E632" s="314"/>
      <c r="F632" s="314"/>
      <c r="G632" s="314"/>
      <c r="H632" s="314"/>
      <c r="I632" s="314"/>
      <c r="J632" s="314"/>
      <c r="K632" s="314"/>
      <c r="L632" s="314"/>
      <c r="M632" s="314"/>
      <c r="N632" s="314"/>
      <c r="O632" s="314"/>
      <c r="P632" s="314"/>
      <c r="Q632" s="314"/>
      <c r="R632" s="314"/>
      <c r="S632" s="314"/>
      <c r="T632" s="314"/>
      <c r="U632" s="314"/>
      <c r="V632" s="314"/>
      <c r="W632" s="314"/>
      <c r="X632" s="314"/>
      <c r="Y632" s="314"/>
      <c r="Z632" s="314"/>
      <c r="AA632" s="324"/>
      <c r="AB632" s="155"/>
      <c r="AC632" s="155"/>
      <c r="AD632" s="322"/>
      <c r="AE632" s="132"/>
      <c r="AF632" s="132"/>
    </row>
    <row r="633">
      <c r="A633" s="314"/>
      <c r="B633" s="313"/>
      <c r="C633" s="313"/>
      <c r="D633" s="313"/>
      <c r="E633" s="314"/>
      <c r="F633" s="314"/>
      <c r="G633" s="314"/>
      <c r="H633" s="314"/>
      <c r="I633" s="314"/>
      <c r="J633" s="314"/>
      <c r="K633" s="314"/>
      <c r="L633" s="314"/>
      <c r="M633" s="314"/>
      <c r="N633" s="314"/>
      <c r="O633" s="314"/>
      <c r="P633" s="314"/>
      <c r="Q633" s="314"/>
      <c r="R633" s="314"/>
      <c r="S633" s="314"/>
      <c r="T633" s="314"/>
      <c r="U633" s="314"/>
      <c r="V633" s="314"/>
      <c r="W633" s="314"/>
      <c r="X633" s="314"/>
      <c r="Y633" s="314"/>
      <c r="Z633" s="314"/>
      <c r="AA633" s="324"/>
      <c r="AB633" s="155"/>
      <c r="AC633" s="155"/>
      <c r="AD633" s="322"/>
      <c r="AE633" s="132"/>
      <c r="AF633" s="132"/>
    </row>
    <row r="634">
      <c r="A634" s="314"/>
      <c r="B634" s="313"/>
      <c r="C634" s="313"/>
      <c r="D634" s="313"/>
      <c r="E634" s="314"/>
      <c r="F634" s="314"/>
      <c r="G634" s="314"/>
      <c r="H634" s="314"/>
      <c r="I634" s="314"/>
      <c r="J634" s="314"/>
      <c r="K634" s="314"/>
      <c r="L634" s="314"/>
      <c r="M634" s="314"/>
      <c r="N634" s="314"/>
      <c r="O634" s="314"/>
      <c r="P634" s="314"/>
      <c r="Q634" s="314"/>
      <c r="R634" s="314"/>
      <c r="S634" s="314"/>
      <c r="T634" s="314"/>
      <c r="U634" s="314"/>
      <c r="V634" s="314"/>
      <c r="W634" s="314"/>
      <c r="X634" s="314"/>
      <c r="Y634" s="314"/>
      <c r="Z634" s="314"/>
      <c r="AA634" s="324"/>
      <c r="AB634" s="155"/>
      <c r="AC634" s="155"/>
      <c r="AD634" s="322"/>
      <c r="AE634" s="132"/>
      <c r="AF634" s="132"/>
    </row>
    <row r="635">
      <c r="A635" s="314"/>
      <c r="B635" s="313"/>
      <c r="C635" s="313"/>
      <c r="D635" s="313"/>
      <c r="E635" s="314"/>
      <c r="F635" s="314"/>
      <c r="G635" s="314"/>
      <c r="H635" s="314"/>
      <c r="I635" s="314"/>
      <c r="J635" s="314"/>
      <c r="K635" s="314"/>
      <c r="L635" s="314"/>
      <c r="M635" s="314"/>
      <c r="N635" s="314"/>
      <c r="O635" s="314"/>
      <c r="P635" s="314"/>
      <c r="Q635" s="314"/>
      <c r="R635" s="314"/>
      <c r="S635" s="314"/>
      <c r="T635" s="314"/>
      <c r="U635" s="314"/>
      <c r="V635" s="314"/>
      <c r="W635" s="314"/>
      <c r="X635" s="314"/>
      <c r="Y635" s="314"/>
      <c r="Z635" s="314"/>
      <c r="AA635" s="324"/>
      <c r="AB635" s="155"/>
      <c r="AC635" s="155"/>
      <c r="AD635" s="322"/>
      <c r="AE635" s="132"/>
      <c r="AF635" s="132"/>
    </row>
    <row r="636">
      <c r="A636" s="314"/>
      <c r="B636" s="313"/>
      <c r="C636" s="313"/>
      <c r="D636" s="313"/>
      <c r="E636" s="314"/>
      <c r="F636" s="314"/>
      <c r="G636" s="314"/>
      <c r="H636" s="314"/>
      <c r="I636" s="314"/>
      <c r="J636" s="314"/>
      <c r="K636" s="314"/>
      <c r="L636" s="314"/>
      <c r="M636" s="314"/>
      <c r="N636" s="314"/>
      <c r="O636" s="314"/>
      <c r="P636" s="314"/>
      <c r="Q636" s="314"/>
      <c r="R636" s="314"/>
      <c r="S636" s="314"/>
      <c r="T636" s="314"/>
      <c r="U636" s="314"/>
      <c r="V636" s="314"/>
      <c r="W636" s="314"/>
      <c r="X636" s="314"/>
      <c r="Y636" s="314"/>
      <c r="Z636" s="314"/>
      <c r="AA636" s="324"/>
      <c r="AB636" s="155"/>
      <c r="AC636" s="155"/>
      <c r="AD636" s="322"/>
      <c r="AE636" s="132"/>
      <c r="AF636" s="132"/>
    </row>
    <row r="637">
      <c r="A637" s="314"/>
      <c r="B637" s="313"/>
      <c r="C637" s="313"/>
      <c r="D637" s="313"/>
      <c r="E637" s="314"/>
      <c r="F637" s="314"/>
      <c r="G637" s="314"/>
      <c r="H637" s="314"/>
      <c r="I637" s="314"/>
      <c r="J637" s="314"/>
      <c r="K637" s="314"/>
      <c r="L637" s="314"/>
      <c r="M637" s="314"/>
      <c r="N637" s="314"/>
      <c r="O637" s="314"/>
      <c r="P637" s="314"/>
      <c r="Q637" s="314"/>
      <c r="R637" s="314"/>
      <c r="S637" s="314"/>
      <c r="T637" s="314"/>
      <c r="U637" s="314"/>
      <c r="V637" s="314"/>
      <c r="W637" s="314"/>
      <c r="X637" s="314"/>
      <c r="Y637" s="314"/>
      <c r="Z637" s="314"/>
      <c r="AA637" s="324"/>
      <c r="AB637" s="155"/>
      <c r="AC637" s="155"/>
      <c r="AD637" s="322"/>
      <c r="AE637" s="132"/>
      <c r="AF637" s="132"/>
    </row>
    <row r="638">
      <c r="A638" s="314"/>
      <c r="B638" s="313"/>
      <c r="C638" s="313"/>
      <c r="D638" s="313"/>
      <c r="E638" s="314"/>
      <c r="F638" s="314"/>
      <c r="G638" s="314"/>
      <c r="H638" s="314"/>
      <c r="I638" s="314"/>
      <c r="J638" s="314"/>
      <c r="K638" s="314"/>
      <c r="L638" s="314"/>
      <c r="M638" s="314"/>
      <c r="N638" s="314"/>
      <c r="O638" s="314"/>
      <c r="P638" s="314"/>
      <c r="Q638" s="314"/>
      <c r="R638" s="314"/>
      <c r="S638" s="314"/>
      <c r="T638" s="314"/>
      <c r="U638" s="314"/>
      <c r="V638" s="314"/>
      <c r="W638" s="314"/>
      <c r="X638" s="314"/>
      <c r="Y638" s="314"/>
      <c r="Z638" s="314"/>
      <c r="AA638" s="324"/>
      <c r="AB638" s="155"/>
      <c r="AC638" s="155"/>
      <c r="AD638" s="322"/>
      <c r="AE638" s="132"/>
      <c r="AF638" s="132"/>
    </row>
    <row r="639">
      <c r="A639" s="314"/>
      <c r="B639" s="313"/>
      <c r="C639" s="313"/>
      <c r="D639" s="313"/>
      <c r="E639" s="314"/>
      <c r="F639" s="314"/>
      <c r="G639" s="314"/>
      <c r="H639" s="314"/>
      <c r="I639" s="314"/>
      <c r="J639" s="314"/>
      <c r="K639" s="314"/>
      <c r="L639" s="314"/>
      <c r="M639" s="314"/>
      <c r="N639" s="314"/>
      <c r="O639" s="314"/>
      <c r="P639" s="314"/>
      <c r="Q639" s="314"/>
      <c r="R639" s="314"/>
      <c r="S639" s="314"/>
      <c r="T639" s="314"/>
      <c r="U639" s="314"/>
      <c r="V639" s="314"/>
      <c r="W639" s="314"/>
      <c r="X639" s="314"/>
      <c r="Y639" s="314"/>
      <c r="Z639" s="314"/>
      <c r="AA639" s="324"/>
      <c r="AB639" s="155"/>
      <c r="AC639" s="155"/>
      <c r="AD639" s="322"/>
      <c r="AE639" s="132"/>
      <c r="AF639" s="132"/>
    </row>
    <row r="640">
      <c r="A640" s="314"/>
      <c r="B640" s="313"/>
      <c r="C640" s="313"/>
      <c r="D640" s="313"/>
      <c r="E640" s="314"/>
      <c r="F640" s="314"/>
      <c r="G640" s="314"/>
      <c r="H640" s="314"/>
      <c r="I640" s="314"/>
      <c r="J640" s="314"/>
      <c r="K640" s="314"/>
      <c r="L640" s="314"/>
      <c r="M640" s="314"/>
      <c r="N640" s="314"/>
      <c r="O640" s="314"/>
      <c r="P640" s="314"/>
      <c r="Q640" s="314"/>
      <c r="R640" s="314"/>
      <c r="S640" s="314"/>
      <c r="T640" s="314"/>
      <c r="U640" s="314"/>
      <c r="V640" s="314"/>
      <c r="W640" s="314"/>
      <c r="X640" s="314"/>
      <c r="Y640" s="314"/>
      <c r="Z640" s="314"/>
      <c r="AA640" s="324"/>
      <c r="AB640" s="155"/>
      <c r="AC640" s="155"/>
      <c r="AD640" s="322"/>
      <c r="AE640" s="132"/>
      <c r="AF640" s="132"/>
    </row>
    <row r="641">
      <c r="A641" s="314"/>
      <c r="B641" s="313"/>
      <c r="C641" s="313"/>
      <c r="D641" s="313"/>
      <c r="E641" s="314"/>
      <c r="F641" s="314"/>
      <c r="G641" s="314"/>
      <c r="H641" s="314"/>
      <c r="I641" s="314"/>
      <c r="J641" s="314"/>
      <c r="K641" s="314"/>
      <c r="L641" s="314"/>
      <c r="M641" s="314"/>
      <c r="N641" s="314"/>
      <c r="O641" s="314"/>
      <c r="P641" s="314"/>
      <c r="Q641" s="314"/>
      <c r="R641" s="314"/>
      <c r="S641" s="314"/>
      <c r="T641" s="314"/>
      <c r="U641" s="314"/>
      <c r="V641" s="314"/>
      <c r="W641" s="314"/>
      <c r="X641" s="314"/>
      <c r="Y641" s="314"/>
      <c r="Z641" s="314"/>
      <c r="AA641" s="324"/>
      <c r="AB641" s="155"/>
      <c r="AC641" s="155"/>
      <c r="AD641" s="322"/>
      <c r="AE641" s="132"/>
      <c r="AF641" s="132"/>
    </row>
    <row r="642">
      <c r="A642" s="314"/>
      <c r="B642" s="313"/>
      <c r="C642" s="313"/>
      <c r="D642" s="313"/>
      <c r="E642" s="314"/>
      <c r="F642" s="314"/>
      <c r="G642" s="314"/>
      <c r="H642" s="314"/>
      <c r="I642" s="314"/>
      <c r="J642" s="314"/>
      <c r="K642" s="314"/>
      <c r="L642" s="314"/>
      <c r="M642" s="314"/>
      <c r="N642" s="314"/>
      <c r="O642" s="314"/>
      <c r="P642" s="314"/>
      <c r="Q642" s="314"/>
      <c r="R642" s="314"/>
      <c r="S642" s="314"/>
      <c r="T642" s="314"/>
      <c r="U642" s="314"/>
      <c r="V642" s="314"/>
      <c r="W642" s="314"/>
      <c r="X642" s="314"/>
      <c r="Y642" s="314"/>
      <c r="Z642" s="314"/>
      <c r="AA642" s="324"/>
      <c r="AB642" s="155"/>
      <c r="AC642" s="155"/>
      <c r="AD642" s="322"/>
      <c r="AE642" s="132"/>
      <c r="AF642" s="132"/>
    </row>
    <row r="643">
      <c r="A643" s="314"/>
      <c r="B643" s="313"/>
      <c r="C643" s="313"/>
      <c r="D643" s="313"/>
      <c r="E643" s="314"/>
      <c r="F643" s="314"/>
      <c r="G643" s="314"/>
      <c r="H643" s="314"/>
      <c r="I643" s="314"/>
      <c r="J643" s="314"/>
      <c r="K643" s="314"/>
      <c r="L643" s="314"/>
      <c r="M643" s="314"/>
      <c r="N643" s="314"/>
      <c r="O643" s="314"/>
      <c r="P643" s="314"/>
      <c r="Q643" s="314"/>
      <c r="R643" s="314"/>
      <c r="S643" s="314"/>
      <c r="T643" s="314"/>
      <c r="U643" s="314"/>
      <c r="V643" s="314"/>
      <c r="W643" s="314"/>
      <c r="X643" s="314"/>
      <c r="Y643" s="314"/>
      <c r="Z643" s="314"/>
      <c r="AA643" s="324"/>
      <c r="AB643" s="155"/>
      <c r="AC643" s="155"/>
      <c r="AD643" s="322"/>
      <c r="AE643" s="132"/>
      <c r="AF643" s="132"/>
    </row>
    <row r="644">
      <c r="A644" s="314"/>
      <c r="B644" s="313"/>
      <c r="C644" s="313"/>
      <c r="D644" s="313"/>
      <c r="E644" s="314"/>
      <c r="F644" s="314"/>
      <c r="G644" s="314"/>
      <c r="H644" s="314"/>
      <c r="I644" s="314"/>
      <c r="J644" s="314"/>
      <c r="K644" s="314"/>
      <c r="L644" s="314"/>
      <c r="M644" s="314"/>
      <c r="N644" s="314"/>
      <c r="O644" s="314"/>
      <c r="P644" s="314"/>
      <c r="Q644" s="314"/>
      <c r="R644" s="314"/>
      <c r="S644" s="314"/>
      <c r="T644" s="314"/>
      <c r="U644" s="314"/>
      <c r="V644" s="314"/>
      <c r="W644" s="314"/>
      <c r="X644" s="314"/>
      <c r="Y644" s="314"/>
      <c r="Z644" s="314"/>
      <c r="AA644" s="324"/>
      <c r="AB644" s="155"/>
      <c r="AC644" s="155"/>
      <c r="AD644" s="322"/>
      <c r="AE644" s="132"/>
      <c r="AF644" s="132"/>
    </row>
    <row r="645">
      <c r="A645" s="314"/>
      <c r="B645" s="313"/>
      <c r="C645" s="313"/>
      <c r="D645" s="313"/>
      <c r="E645" s="314"/>
      <c r="F645" s="314"/>
      <c r="G645" s="314"/>
      <c r="H645" s="314"/>
      <c r="I645" s="314"/>
      <c r="J645" s="314"/>
      <c r="K645" s="314"/>
      <c r="L645" s="314"/>
      <c r="M645" s="314"/>
      <c r="N645" s="314"/>
      <c r="O645" s="314"/>
      <c r="P645" s="314"/>
      <c r="Q645" s="314"/>
      <c r="R645" s="314"/>
      <c r="S645" s="314"/>
      <c r="T645" s="314"/>
      <c r="U645" s="314"/>
      <c r="V645" s="314"/>
      <c r="W645" s="314"/>
      <c r="X645" s="314"/>
      <c r="Y645" s="314"/>
      <c r="Z645" s="314"/>
      <c r="AA645" s="324"/>
      <c r="AB645" s="155"/>
      <c r="AC645" s="155"/>
      <c r="AD645" s="322"/>
      <c r="AE645" s="132"/>
      <c r="AF645" s="132"/>
    </row>
    <row r="646">
      <c r="A646" s="314"/>
      <c r="B646" s="313"/>
      <c r="C646" s="313"/>
      <c r="D646" s="313"/>
      <c r="E646" s="314"/>
      <c r="F646" s="314"/>
      <c r="G646" s="314"/>
      <c r="H646" s="314"/>
      <c r="I646" s="314"/>
      <c r="J646" s="314"/>
      <c r="K646" s="314"/>
      <c r="L646" s="314"/>
      <c r="M646" s="314"/>
      <c r="N646" s="314"/>
      <c r="O646" s="314"/>
      <c r="P646" s="314"/>
      <c r="Q646" s="314"/>
      <c r="R646" s="314"/>
      <c r="S646" s="314"/>
      <c r="T646" s="314"/>
      <c r="U646" s="314"/>
      <c r="V646" s="314"/>
      <c r="W646" s="314"/>
      <c r="X646" s="314"/>
      <c r="Y646" s="314"/>
      <c r="Z646" s="314"/>
      <c r="AA646" s="324"/>
      <c r="AB646" s="155"/>
      <c r="AC646" s="155"/>
      <c r="AD646" s="322"/>
      <c r="AE646" s="132"/>
      <c r="AF646" s="132"/>
    </row>
    <row r="647">
      <c r="A647" s="314"/>
      <c r="B647" s="313"/>
      <c r="C647" s="313"/>
      <c r="D647" s="313"/>
      <c r="E647" s="314"/>
      <c r="F647" s="314"/>
      <c r="G647" s="314"/>
      <c r="H647" s="314"/>
      <c r="I647" s="314"/>
      <c r="J647" s="314"/>
      <c r="K647" s="314"/>
      <c r="L647" s="314"/>
      <c r="M647" s="314"/>
      <c r="N647" s="314"/>
      <c r="O647" s="314"/>
      <c r="P647" s="314"/>
      <c r="Q647" s="314"/>
      <c r="R647" s="314"/>
      <c r="S647" s="314"/>
      <c r="T647" s="314"/>
      <c r="U647" s="314"/>
      <c r="V647" s="314"/>
      <c r="W647" s="314"/>
      <c r="X647" s="314"/>
      <c r="Y647" s="314"/>
      <c r="Z647" s="314"/>
      <c r="AA647" s="324"/>
      <c r="AB647" s="155"/>
      <c r="AC647" s="155"/>
      <c r="AD647" s="322"/>
      <c r="AE647" s="132"/>
      <c r="AF647" s="132"/>
    </row>
    <row r="648">
      <c r="A648" s="314"/>
      <c r="B648" s="313"/>
      <c r="C648" s="313"/>
      <c r="D648" s="313"/>
      <c r="E648" s="314"/>
      <c r="F648" s="314"/>
      <c r="G648" s="314"/>
      <c r="H648" s="314"/>
      <c r="I648" s="314"/>
      <c r="J648" s="314"/>
      <c r="K648" s="314"/>
      <c r="L648" s="314"/>
      <c r="M648" s="314"/>
      <c r="N648" s="314"/>
      <c r="O648" s="314"/>
      <c r="P648" s="314"/>
      <c r="Q648" s="314"/>
      <c r="R648" s="314"/>
      <c r="S648" s="314"/>
      <c r="T648" s="314"/>
      <c r="U648" s="314"/>
      <c r="V648" s="314"/>
      <c r="W648" s="314"/>
      <c r="X648" s="314"/>
      <c r="Y648" s="314"/>
      <c r="Z648" s="314"/>
      <c r="AA648" s="324"/>
      <c r="AB648" s="155"/>
      <c r="AC648" s="155"/>
      <c r="AD648" s="322"/>
      <c r="AE648" s="132"/>
      <c r="AF648" s="132"/>
    </row>
    <row r="649">
      <c r="A649" s="314"/>
      <c r="B649" s="313"/>
      <c r="C649" s="313"/>
      <c r="D649" s="313"/>
      <c r="E649" s="314"/>
      <c r="F649" s="314"/>
      <c r="G649" s="314"/>
      <c r="H649" s="314"/>
      <c r="I649" s="314"/>
      <c r="J649" s="314"/>
      <c r="K649" s="314"/>
      <c r="L649" s="314"/>
      <c r="M649" s="314"/>
      <c r="N649" s="314"/>
      <c r="O649" s="314"/>
      <c r="P649" s="314"/>
      <c r="Q649" s="314"/>
      <c r="R649" s="314"/>
      <c r="S649" s="314"/>
      <c r="T649" s="314"/>
      <c r="U649" s="314"/>
      <c r="V649" s="314"/>
      <c r="W649" s="314"/>
      <c r="X649" s="314"/>
      <c r="Y649" s="314"/>
      <c r="Z649" s="314"/>
      <c r="AA649" s="324"/>
      <c r="AB649" s="155"/>
      <c r="AC649" s="155"/>
      <c r="AD649" s="322"/>
      <c r="AE649" s="132"/>
      <c r="AF649" s="132"/>
    </row>
    <row r="650">
      <c r="A650" s="314"/>
      <c r="B650" s="313"/>
      <c r="C650" s="313"/>
      <c r="D650" s="313"/>
      <c r="E650" s="314"/>
      <c r="F650" s="314"/>
      <c r="G650" s="314"/>
      <c r="H650" s="314"/>
      <c r="I650" s="314"/>
      <c r="J650" s="314"/>
      <c r="K650" s="314"/>
      <c r="L650" s="314"/>
      <c r="M650" s="314"/>
      <c r="N650" s="314"/>
      <c r="O650" s="314"/>
      <c r="P650" s="314"/>
      <c r="Q650" s="314"/>
      <c r="R650" s="314"/>
      <c r="S650" s="314"/>
      <c r="T650" s="314"/>
      <c r="U650" s="314"/>
      <c r="V650" s="314"/>
      <c r="W650" s="314"/>
      <c r="X650" s="314"/>
      <c r="Y650" s="314"/>
      <c r="Z650" s="314"/>
      <c r="AA650" s="324"/>
      <c r="AB650" s="155"/>
      <c r="AC650" s="155"/>
      <c r="AD650" s="322"/>
      <c r="AE650" s="132"/>
      <c r="AF650" s="132"/>
    </row>
    <row r="651">
      <c r="A651" s="314"/>
      <c r="B651" s="313"/>
      <c r="C651" s="313"/>
      <c r="D651" s="313"/>
      <c r="E651" s="314"/>
      <c r="F651" s="314"/>
      <c r="G651" s="314"/>
      <c r="H651" s="314"/>
      <c r="I651" s="314"/>
      <c r="J651" s="314"/>
      <c r="K651" s="314"/>
      <c r="L651" s="314"/>
      <c r="M651" s="314"/>
      <c r="N651" s="314"/>
      <c r="O651" s="314"/>
      <c r="P651" s="314"/>
      <c r="Q651" s="314"/>
      <c r="R651" s="314"/>
      <c r="S651" s="314"/>
      <c r="T651" s="314"/>
      <c r="U651" s="314"/>
      <c r="V651" s="314"/>
      <c r="W651" s="314"/>
      <c r="X651" s="314"/>
      <c r="Y651" s="314"/>
      <c r="Z651" s="314"/>
      <c r="AA651" s="324"/>
      <c r="AB651" s="155"/>
      <c r="AC651" s="155"/>
      <c r="AD651" s="322"/>
      <c r="AE651" s="132"/>
      <c r="AF651" s="132"/>
    </row>
    <row r="652">
      <c r="A652" s="314"/>
      <c r="B652" s="313"/>
      <c r="C652" s="313"/>
      <c r="D652" s="313"/>
      <c r="E652" s="314"/>
      <c r="F652" s="314"/>
      <c r="G652" s="314"/>
      <c r="H652" s="314"/>
      <c r="I652" s="314"/>
      <c r="J652" s="314"/>
      <c r="K652" s="314"/>
      <c r="L652" s="314"/>
      <c r="M652" s="314"/>
      <c r="N652" s="314"/>
      <c r="O652" s="314"/>
      <c r="P652" s="314"/>
      <c r="Q652" s="314"/>
      <c r="R652" s="314"/>
      <c r="S652" s="314"/>
      <c r="T652" s="314"/>
      <c r="U652" s="314"/>
      <c r="V652" s="314"/>
      <c r="W652" s="314"/>
      <c r="X652" s="314"/>
      <c r="Y652" s="314"/>
      <c r="Z652" s="314"/>
      <c r="AA652" s="324"/>
      <c r="AB652" s="155"/>
      <c r="AC652" s="155"/>
      <c r="AD652" s="322"/>
      <c r="AE652" s="132"/>
      <c r="AF652" s="132"/>
    </row>
    <row r="653">
      <c r="A653" s="435"/>
      <c r="B653" s="313"/>
      <c r="C653" s="437"/>
      <c r="D653" s="313"/>
      <c r="E653" s="435"/>
      <c r="F653" s="314"/>
      <c r="G653" s="314"/>
      <c r="H653" s="435"/>
      <c r="I653" s="435"/>
      <c r="J653" s="314"/>
      <c r="K653" s="435"/>
      <c r="L653" s="435"/>
      <c r="M653" s="314"/>
      <c r="N653" s="314"/>
      <c r="O653" s="314"/>
      <c r="P653" s="435"/>
      <c r="Q653" s="435"/>
      <c r="R653" s="435"/>
      <c r="S653" s="435"/>
      <c r="T653" s="435"/>
      <c r="U653" s="435"/>
      <c r="V653" s="435"/>
      <c r="W653" s="435"/>
      <c r="X653" s="435"/>
      <c r="Y653" s="435"/>
      <c r="Z653" s="435"/>
      <c r="AA653" s="324"/>
      <c r="AB653" s="180"/>
      <c r="AC653" s="155"/>
      <c r="AD653" s="322"/>
      <c r="AE653" s="132"/>
      <c r="AF653" s="132"/>
    </row>
    <row r="654">
      <c r="A654" s="435"/>
      <c r="B654" s="313"/>
      <c r="C654" s="313"/>
      <c r="D654" s="437"/>
      <c r="E654" s="314"/>
      <c r="F654" s="314"/>
      <c r="G654" s="314"/>
      <c r="H654" s="314"/>
      <c r="I654" s="314"/>
      <c r="J654" s="314"/>
      <c r="K654" s="314"/>
      <c r="L654" s="314"/>
      <c r="M654" s="435"/>
      <c r="N654" s="435"/>
      <c r="O654" s="314"/>
      <c r="P654" s="314"/>
      <c r="Q654" s="314"/>
      <c r="R654" s="314"/>
      <c r="S654" s="314"/>
      <c r="T654" s="314"/>
      <c r="U654" s="314"/>
      <c r="V654" s="314"/>
      <c r="W654" s="314"/>
      <c r="X654" s="314"/>
      <c r="Y654" s="314"/>
      <c r="Z654" s="314"/>
      <c r="AA654" s="324"/>
      <c r="AB654" s="180"/>
      <c r="AC654" s="155"/>
      <c r="AD654" s="322"/>
      <c r="AE654" s="132"/>
      <c r="AF654" s="132"/>
    </row>
    <row r="655">
      <c r="A655" s="435"/>
      <c r="B655" s="437"/>
      <c r="C655" s="437"/>
      <c r="D655" s="437"/>
      <c r="E655" s="435"/>
      <c r="F655" s="314"/>
      <c r="G655" s="314"/>
      <c r="H655" s="314"/>
      <c r="I655" s="435"/>
      <c r="J655" s="435"/>
      <c r="K655" s="435"/>
      <c r="L655" s="435"/>
      <c r="M655" s="435"/>
      <c r="N655" s="435"/>
      <c r="O655" s="314"/>
      <c r="P655" s="435"/>
      <c r="Q655" s="314"/>
      <c r="R655" s="435"/>
      <c r="S655" s="435"/>
      <c r="T655" s="435"/>
      <c r="U655" s="435"/>
      <c r="V655" s="435"/>
      <c r="W655" s="435"/>
      <c r="X655" s="435"/>
      <c r="Y655" s="435"/>
      <c r="Z655" s="435"/>
      <c r="AA655" s="324"/>
      <c r="AB655" s="180"/>
      <c r="AC655" s="155"/>
      <c r="AD655" s="322"/>
      <c r="AE655" s="132"/>
      <c r="AF655" s="132"/>
    </row>
    <row r="656">
      <c r="A656" s="435"/>
      <c r="B656" s="313"/>
      <c r="C656" s="313"/>
      <c r="D656" s="437"/>
      <c r="E656" s="314"/>
      <c r="F656" s="314"/>
      <c r="G656" s="314"/>
      <c r="H656" s="314"/>
      <c r="I656" s="435"/>
      <c r="J656" s="314"/>
      <c r="K656" s="435"/>
      <c r="L656" s="314"/>
      <c r="M656" s="314"/>
      <c r="N656" s="314"/>
      <c r="O656" s="314"/>
      <c r="P656" s="314"/>
      <c r="Q656" s="435"/>
      <c r="R656" s="435"/>
      <c r="S656" s="314"/>
      <c r="T656" s="314"/>
      <c r="U656" s="314"/>
      <c r="V656" s="314"/>
      <c r="W656" s="314"/>
      <c r="X656" s="314"/>
      <c r="Y656" s="314"/>
      <c r="Z656" s="314"/>
      <c r="AA656" s="324"/>
      <c r="AB656" s="180"/>
      <c r="AC656" s="155"/>
      <c r="AD656" s="322"/>
      <c r="AE656" s="132"/>
      <c r="AF656" s="132"/>
    </row>
    <row r="657">
      <c r="A657" s="435"/>
      <c r="B657" s="437"/>
      <c r="C657" s="437"/>
      <c r="D657" s="437"/>
      <c r="E657" s="435"/>
      <c r="F657" s="314"/>
      <c r="G657" s="314"/>
      <c r="H657" s="435"/>
      <c r="I657" s="435"/>
      <c r="J657" s="435"/>
      <c r="K657" s="435"/>
      <c r="L657" s="435"/>
      <c r="M657" s="435"/>
      <c r="N657" s="435"/>
      <c r="O657" s="314"/>
      <c r="P657" s="435"/>
      <c r="Q657" s="435"/>
      <c r="R657" s="435"/>
      <c r="S657" s="435"/>
      <c r="T657" s="435"/>
      <c r="U657" s="435"/>
      <c r="V657" s="435"/>
      <c r="W657" s="435"/>
      <c r="X657" s="435"/>
      <c r="Y657" s="435"/>
      <c r="Z657" s="435"/>
      <c r="AA657" s="324"/>
      <c r="AB657" s="180"/>
      <c r="AC657" s="155"/>
      <c r="AD657" s="322"/>
      <c r="AE657" s="132"/>
      <c r="AF657" s="132"/>
    </row>
    <row r="658">
      <c r="A658" s="435"/>
      <c r="B658" s="437"/>
      <c r="C658" s="313"/>
      <c r="D658" s="437"/>
      <c r="E658" s="314"/>
      <c r="F658" s="314"/>
      <c r="G658" s="314"/>
      <c r="H658" s="314"/>
      <c r="I658" s="314"/>
      <c r="J658" s="314"/>
      <c r="K658" s="435"/>
      <c r="L658" s="314"/>
      <c r="M658" s="314"/>
      <c r="N658" s="314"/>
      <c r="O658" s="314"/>
      <c r="P658" s="314"/>
      <c r="Q658" s="314"/>
      <c r="R658" s="314"/>
      <c r="S658" s="435"/>
      <c r="T658" s="435"/>
      <c r="U658" s="435"/>
      <c r="V658" s="435"/>
      <c r="W658" s="435"/>
      <c r="X658" s="435"/>
      <c r="Y658" s="435"/>
      <c r="Z658" s="435"/>
      <c r="AA658" s="324"/>
      <c r="AB658" s="180"/>
      <c r="AC658" s="155"/>
      <c r="AD658" s="322"/>
      <c r="AE658" s="132"/>
      <c r="AF658" s="132"/>
    </row>
    <row r="659">
      <c r="A659" s="435"/>
      <c r="B659" s="437"/>
      <c r="C659" s="437"/>
      <c r="D659" s="437"/>
      <c r="E659" s="435"/>
      <c r="F659" s="314"/>
      <c r="G659" s="314"/>
      <c r="H659" s="435"/>
      <c r="I659" s="314"/>
      <c r="J659" s="314"/>
      <c r="K659" s="435"/>
      <c r="L659" s="314"/>
      <c r="M659" s="314"/>
      <c r="N659" s="314"/>
      <c r="O659" s="314"/>
      <c r="P659" s="435"/>
      <c r="Q659" s="435"/>
      <c r="R659" s="435"/>
      <c r="S659" s="435"/>
      <c r="T659" s="435"/>
      <c r="U659" s="435"/>
      <c r="V659" s="435"/>
      <c r="W659" s="435"/>
      <c r="X659" s="435"/>
      <c r="Y659" s="435"/>
      <c r="Z659" s="435"/>
      <c r="AA659" s="324"/>
      <c r="AB659" s="180"/>
      <c r="AC659" s="155"/>
      <c r="AD659" s="322"/>
      <c r="AE659" s="132"/>
      <c r="AF659" s="132"/>
    </row>
    <row r="660">
      <c r="A660" s="435"/>
      <c r="B660" s="437"/>
      <c r="C660" s="437"/>
      <c r="D660" s="437"/>
      <c r="E660" s="435"/>
      <c r="F660" s="314"/>
      <c r="G660" s="314"/>
      <c r="H660" s="435"/>
      <c r="I660" s="435"/>
      <c r="J660" s="435"/>
      <c r="K660" s="435"/>
      <c r="L660" s="435"/>
      <c r="M660" s="435"/>
      <c r="N660" s="435"/>
      <c r="O660" s="314"/>
      <c r="P660" s="435"/>
      <c r="Q660" s="435"/>
      <c r="R660" s="435"/>
      <c r="S660" s="435"/>
      <c r="T660" s="435"/>
      <c r="U660" s="435"/>
      <c r="V660" s="435"/>
      <c r="W660" s="435"/>
      <c r="X660" s="435"/>
      <c r="Y660" s="435"/>
      <c r="Z660" s="435"/>
      <c r="AA660" s="324"/>
      <c r="AB660" s="180"/>
      <c r="AC660" s="155"/>
      <c r="AD660" s="322"/>
      <c r="AE660" s="132"/>
      <c r="AF660" s="132"/>
    </row>
    <row r="661">
      <c r="A661" s="435"/>
      <c r="B661" s="313"/>
      <c r="C661" s="313"/>
      <c r="D661" s="313"/>
      <c r="E661" s="435"/>
      <c r="F661" s="314"/>
      <c r="G661" s="314"/>
      <c r="H661" s="435"/>
      <c r="I661" s="314"/>
      <c r="J661" s="314"/>
      <c r="K661" s="314"/>
      <c r="L661" s="314"/>
      <c r="M661" s="314"/>
      <c r="N661" s="314"/>
      <c r="O661" s="314"/>
      <c r="P661" s="314"/>
      <c r="Q661" s="314"/>
      <c r="R661" s="314"/>
      <c r="S661" s="314"/>
      <c r="T661" s="314"/>
      <c r="U661" s="314"/>
      <c r="V661" s="314"/>
      <c r="W661" s="314"/>
      <c r="X661" s="314"/>
      <c r="Y661" s="314"/>
      <c r="Z661" s="314"/>
      <c r="AA661" s="324"/>
      <c r="AB661" s="180"/>
      <c r="AC661" s="155"/>
      <c r="AD661" s="322"/>
      <c r="AE661" s="132"/>
      <c r="AF661" s="132"/>
    </row>
    <row r="662">
      <c r="A662" s="435"/>
      <c r="B662" s="313"/>
      <c r="C662" s="313"/>
      <c r="D662" s="437"/>
      <c r="E662" s="314"/>
      <c r="F662" s="314"/>
      <c r="G662" s="314"/>
      <c r="H662" s="435"/>
      <c r="I662" s="314"/>
      <c r="J662" s="435"/>
      <c r="K662" s="435"/>
      <c r="L662" s="314"/>
      <c r="M662" s="435"/>
      <c r="N662" s="314"/>
      <c r="O662" s="314"/>
      <c r="P662" s="314"/>
      <c r="Q662" s="314"/>
      <c r="R662" s="435"/>
      <c r="S662" s="435"/>
      <c r="T662" s="435"/>
      <c r="U662" s="435"/>
      <c r="V662" s="435"/>
      <c r="W662" s="435"/>
      <c r="X662" s="435"/>
      <c r="Y662" s="435"/>
      <c r="Z662" s="435"/>
      <c r="AA662" s="324"/>
      <c r="AB662" s="180"/>
      <c r="AC662" s="155"/>
      <c r="AD662" s="322"/>
      <c r="AE662" s="132"/>
      <c r="AF662" s="132"/>
    </row>
    <row r="663">
      <c r="A663" s="435"/>
      <c r="B663" s="313"/>
      <c r="C663" s="313"/>
      <c r="D663" s="313"/>
      <c r="E663" s="314"/>
      <c r="F663" s="314"/>
      <c r="G663" s="314"/>
      <c r="H663" s="314"/>
      <c r="I663" s="314"/>
      <c r="J663" s="314"/>
      <c r="K663" s="314"/>
      <c r="L663" s="314"/>
      <c r="M663" s="314"/>
      <c r="N663" s="314"/>
      <c r="O663" s="314"/>
      <c r="P663" s="314"/>
      <c r="Q663" s="435"/>
      <c r="R663" s="314"/>
      <c r="S663" s="435"/>
      <c r="T663" s="435"/>
      <c r="U663" s="435"/>
      <c r="V663" s="435"/>
      <c r="W663" s="435"/>
      <c r="X663" s="435"/>
      <c r="Y663" s="435"/>
      <c r="Z663" s="435"/>
      <c r="AA663" s="324"/>
      <c r="AB663" s="180"/>
      <c r="AC663" s="155"/>
      <c r="AD663" s="322"/>
      <c r="AE663" s="132"/>
      <c r="AF663" s="132"/>
    </row>
    <row r="664">
      <c r="A664" s="435"/>
      <c r="B664" s="437"/>
      <c r="C664" s="313"/>
      <c r="D664" s="313"/>
      <c r="E664" s="314"/>
      <c r="F664" s="314"/>
      <c r="G664" s="314"/>
      <c r="H664" s="435"/>
      <c r="I664" s="314"/>
      <c r="J664" s="435"/>
      <c r="K664" s="435"/>
      <c r="L664" s="314"/>
      <c r="M664" s="314"/>
      <c r="N664" s="435"/>
      <c r="O664" s="314"/>
      <c r="P664" s="314"/>
      <c r="Q664" s="314"/>
      <c r="R664" s="435"/>
      <c r="S664" s="435"/>
      <c r="T664" s="435"/>
      <c r="U664" s="435"/>
      <c r="V664" s="435"/>
      <c r="W664" s="435"/>
      <c r="X664" s="435"/>
      <c r="Y664" s="435"/>
      <c r="Z664" s="435"/>
      <c r="AA664" s="324"/>
      <c r="AB664" s="180"/>
      <c r="AC664" s="155"/>
      <c r="AD664" s="322"/>
      <c r="AE664" s="132"/>
      <c r="AF664" s="132"/>
    </row>
    <row r="665">
      <c r="A665" s="435"/>
      <c r="B665" s="313"/>
      <c r="C665" s="437"/>
      <c r="D665" s="437"/>
      <c r="E665" s="435"/>
      <c r="F665" s="314"/>
      <c r="G665" s="314"/>
      <c r="H665" s="435"/>
      <c r="I665" s="314"/>
      <c r="J665" s="314"/>
      <c r="K665" s="435"/>
      <c r="L665" s="314"/>
      <c r="M665" s="314"/>
      <c r="N665" s="314"/>
      <c r="O665" s="314"/>
      <c r="P665" s="314"/>
      <c r="Q665" s="314"/>
      <c r="R665" s="314"/>
      <c r="S665" s="435"/>
      <c r="T665" s="435"/>
      <c r="U665" s="435"/>
      <c r="V665" s="435"/>
      <c r="W665" s="435"/>
      <c r="X665" s="435"/>
      <c r="Y665" s="435"/>
      <c r="Z665" s="435"/>
      <c r="AA665" s="324"/>
      <c r="AB665" s="180"/>
      <c r="AC665" s="155"/>
      <c r="AD665" s="322"/>
      <c r="AE665" s="132"/>
      <c r="AF665" s="132"/>
    </row>
    <row r="666">
      <c r="A666" s="435"/>
      <c r="B666" s="313"/>
      <c r="C666" s="313"/>
      <c r="D666" s="313"/>
      <c r="E666" s="314"/>
      <c r="F666" s="314"/>
      <c r="G666" s="314"/>
      <c r="H666" s="435"/>
      <c r="I666" s="314"/>
      <c r="J666" s="314"/>
      <c r="K666" s="314"/>
      <c r="L666" s="314"/>
      <c r="M666" s="314"/>
      <c r="N666" s="314"/>
      <c r="O666" s="314"/>
      <c r="P666" s="314"/>
      <c r="Q666" s="314"/>
      <c r="R666" s="435"/>
      <c r="S666" s="314"/>
      <c r="T666" s="314"/>
      <c r="U666" s="314"/>
      <c r="V666" s="314"/>
      <c r="W666" s="314"/>
      <c r="X666" s="314"/>
      <c r="Y666" s="314"/>
      <c r="Z666" s="314"/>
      <c r="AA666" s="324"/>
      <c r="AB666" s="180"/>
      <c r="AC666" s="155"/>
      <c r="AD666" s="322"/>
      <c r="AE666" s="132"/>
      <c r="AF666" s="132"/>
    </row>
    <row r="667">
      <c r="A667" s="435"/>
      <c r="B667" s="437"/>
      <c r="C667" s="437"/>
      <c r="D667" s="437"/>
      <c r="E667" s="435"/>
      <c r="F667" s="314"/>
      <c r="G667" s="314"/>
      <c r="H667" s="435"/>
      <c r="I667" s="435"/>
      <c r="J667" s="435"/>
      <c r="K667" s="435"/>
      <c r="L667" s="435"/>
      <c r="M667" s="435"/>
      <c r="N667" s="435"/>
      <c r="O667" s="314"/>
      <c r="P667" s="435"/>
      <c r="Q667" s="435"/>
      <c r="R667" s="435"/>
      <c r="S667" s="435"/>
      <c r="T667" s="435"/>
      <c r="U667" s="435"/>
      <c r="V667" s="435"/>
      <c r="W667" s="435"/>
      <c r="X667" s="435"/>
      <c r="Y667" s="435"/>
      <c r="Z667" s="435"/>
      <c r="AA667" s="324"/>
      <c r="AB667" s="180"/>
      <c r="AC667" s="155"/>
      <c r="AD667" s="322"/>
      <c r="AE667" s="132"/>
      <c r="AF667" s="132"/>
    </row>
    <row r="668">
      <c r="A668" s="435"/>
      <c r="B668" s="313"/>
      <c r="C668" s="313"/>
      <c r="D668" s="313"/>
      <c r="E668" s="314"/>
      <c r="F668" s="314"/>
      <c r="G668" s="314"/>
      <c r="H668" s="314"/>
      <c r="I668" s="314"/>
      <c r="J668" s="314"/>
      <c r="K668" s="314"/>
      <c r="L668" s="314"/>
      <c r="M668" s="435"/>
      <c r="N668" s="314"/>
      <c r="O668" s="314"/>
      <c r="P668" s="314"/>
      <c r="Q668" s="314"/>
      <c r="R668" s="314"/>
      <c r="S668" s="314"/>
      <c r="T668" s="314"/>
      <c r="U668" s="314"/>
      <c r="V668" s="314"/>
      <c r="W668" s="314"/>
      <c r="X668" s="314"/>
      <c r="Y668" s="314"/>
      <c r="Z668" s="314"/>
      <c r="AA668" s="324"/>
      <c r="AB668" s="180"/>
      <c r="AC668" s="155"/>
      <c r="AD668" s="322"/>
      <c r="AE668" s="132"/>
      <c r="AF668" s="132"/>
    </row>
    <row r="669">
      <c r="A669" s="435"/>
      <c r="B669" s="313"/>
      <c r="C669" s="437"/>
      <c r="D669" s="437"/>
      <c r="E669" s="435"/>
      <c r="F669" s="314"/>
      <c r="G669" s="314"/>
      <c r="H669" s="435"/>
      <c r="I669" s="435"/>
      <c r="J669" s="435"/>
      <c r="K669" s="435"/>
      <c r="L669" s="314"/>
      <c r="M669" s="435"/>
      <c r="N669" s="435"/>
      <c r="O669" s="314"/>
      <c r="P669" s="435"/>
      <c r="Q669" s="435"/>
      <c r="R669" s="435"/>
      <c r="S669" s="435"/>
      <c r="T669" s="435"/>
      <c r="U669" s="435"/>
      <c r="V669" s="435"/>
      <c r="W669" s="435"/>
      <c r="X669" s="435"/>
      <c r="Y669" s="435"/>
      <c r="Z669" s="435"/>
      <c r="AA669" s="324"/>
      <c r="AB669" s="180"/>
      <c r="AC669" s="155"/>
      <c r="AD669" s="322"/>
      <c r="AE669" s="132"/>
      <c r="AF669" s="132"/>
    </row>
    <row r="670">
      <c r="A670" s="435"/>
      <c r="B670" s="437"/>
      <c r="C670" s="437"/>
      <c r="D670" s="313"/>
      <c r="E670" s="435"/>
      <c r="F670" s="314"/>
      <c r="G670" s="314"/>
      <c r="H670" s="435"/>
      <c r="I670" s="435"/>
      <c r="J670" s="314"/>
      <c r="K670" s="435"/>
      <c r="L670" s="435"/>
      <c r="M670" s="314"/>
      <c r="N670" s="435"/>
      <c r="O670" s="314"/>
      <c r="P670" s="435"/>
      <c r="Q670" s="314"/>
      <c r="R670" s="435"/>
      <c r="S670" s="435"/>
      <c r="T670" s="435"/>
      <c r="U670" s="435"/>
      <c r="V670" s="435"/>
      <c r="W670" s="435"/>
      <c r="X670" s="435"/>
      <c r="Y670" s="435"/>
      <c r="Z670" s="435"/>
      <c r="AA670" s="324"/>
      <c r="AB670" s="180"/>
      <c r="AC670" s="155"/>
      <c r="AD670" s="322"/>
      <c r="AE670" s="132"/>
      <c r="AF670" s="132"/>
    </row>
    <row r="671">
      <c r="A671" s="458"/>
      <c r="B671" s="437"/>
      <c r="C671" s="437"/>
      <c r="D671" s="437"/>
      <c r="E671" s="435"/>
      <c r="F671" s="314"/>
      <c r="G671" s="314"/>
      <c r="H671" s="314"/>
      <c r="I671" s="435"/>
      <c r="J671" s="435"/>
      <c r="K671" s="435"/>
      <c r="L671" s="435"/>
      <c r="M671" s="435"/>
      <c r="N671" s="435"/>
      <c r="O671" s="314"/>
      <c r="P671" s="435"/>
      <c r="Q671" s="435"/>
      <c r="R671" s="435"/>
      <c r="S671" s="435"/>
      <c r="T671" s="435"/>
      <c r="U671" s="435"/>
      <c r="V671" s="435"/>
      <c r="W671" s="435"/>
      <c r="X671" s="435"/>
      <c r="Y671" s="435"/>
      <c r="Z671" s="435"/>
      <c r="AA671" s="324"/>
      <c r="AB671" s="180"/>
      <c r="AC671" s="155"/>
      <c r="AD671" s="322"/>
      <c r="AE671" s="132"/>
      <c r="AF671" s="132"/>
    </row>
    <row r="672">
      <c r="A672" s="458"/>
      <c r="B672" s="437"/>
      <c r="C672" s="437"/>
      <c r="D672" s="437"/>
      <c r="E672" s="435"/>
      <c r="F672" s="314"/>
      <c r="G672" s="314"/>
      <c r="H672" s="314"/>
      <c r="I672" s="314"/>
      <c r="J672" s="435"/>
      <c r="K672" s="435"/>
      <c r="L672" s="435"/>
      <c r="M672" s="435"/>
      <c r="N672" s="435"/>
      <c r="O672" s="314"/>
      <c r="P672" s="435"/>
      <c r="Q672" s="435"/>
      <c r="R672" s="435"/>
      <c r="S672" s="435"/>
      <c r="T672" s="435"/>
      <c r="U672" s="435"/>
      <c r="V672" s="435"/>
      <c r="W672" s="435"/>
      <c r="X672" s="435"/>
      <c r="Y672" s="435"/>
      <c r="Z672" s="435"/>
      <c r="AA672" s="324"/>
      <c r="AB672" s="180"/>
      <c r="AC672" s="155"/>
      <c r="AD672" s="322"/>
      <c r="AE672" s="132"/>
      <c r="AF672" s="132"/>
    </row>
    <row r="673">
      <c r="A673" s="458"/>
      <c r="B673" s="437"/>
      <c r="C673" s="437"/>
      <c r="D673" s="437"/>
      <c r="E673" s="314"/>
      <c r="F673" s="314"/>
      <c r="G673" s="314"/>
      <c r="H673" s="314"/>
      <c r="I673" s="435"/>
      <c r="J673" s="435"/>
      <c r="K673" s="435"/>
      <c r="L673" s="435"/>
      <c r="M673" s="435"/>
      <c r="N673" s="435"/>
      <c r="O673" s="314"/>
      <c r="P673" s="435"/>
      <c r="Q673" s="314"/>
      <c r="R673" s="435"/>
      <c r="S673" s="435"/>
      <c r="T673" s="435"/>
      <c r="U673" s="435"/>
      <c r="V673" s="435"/>
      <c r="W673" s="435"/>
      <c r="X673" s="435"/>
      <c r="Y673" s="435"/>
      <c r="Z673" s="435"/>
      <c r="AA673" s="324"/>
      <c r="AB673" s="180"/>
      <c r="AC673" s="155"/>
      <c r="AD673" s="322"/>
      <c r="AE673" s="132"/>
      <c r="AF673" s="132"/>
    </row>
    <row r="674">
      <c r="A674" s="458"/>
      <c r="B674" s="313"/>
      <c r="C674" s="313"/>
      <c r="D674" s="313"/>
      <c r="E674" s="314"/>
      <c r="F674" s="314"/>
      <c r="G674" s="314"/>
      <c r="H674" s="314"/>
      <c r="I674" s="314"/>
      <c r="J674" s="314"/>
      <c r="K674" s="314"/>
      <c r="L674" s="314"/>
      <c r="M674" s="314"/>
      <c r="N674" s="314"/>
      <c r="O674" s="314"/>
      <c r="P674" s="314"/>
      <c r="Q674" s="314"/>
      <c r="R674" s="314"/>
      <c r="S674" s="314"/>
      <c r="T674" s="314"/>
      <c r="U674" s="314"/>
      <c r="V674" s="314"/>
      <c r="W674" s="314"/>
      <c r="X674" s="314"/>
      <c r="Y674" s="314"/>
      <c r="Z674" s="314"/>
      <c r="AA674" s="324"/>
      <c r="AB674" s="180"/>
      <c r="AC674" s="155"/>
      <c r="AD674" s="322"/>
      <c r="AE674" s="132"/>
      <c r="AF674" s="132"/>
    </row>
    <row r="675">
      <c r="A675" s="458"/>
      <c r="B675" s="437"/>
      <c r="C675" s="437"/>
      <c r="D675" s="437"/>
      <c r="E675" s="314"/>
      <c r="F675" s="314"/>
      <c r="G675" s="314"/>
      <c r="H675" s="314"/>
      <c r="I675" s="314"/>
      <c r="J675" s="314"/>
      <c r="K675" s="435"/>
      <c r="L675" s="435"/>
      <c r="M675" s="435"/>
      <c r="N675" s="314"/>
      <c r="O675" s="314"/>
      <c r="P675" s="435"/>
      <c r="Q675" s="435"/>
      <c r="R675" s="435"/>
      <c r="S675" s="435"/>
      <c r="T675" s="435"/>
      <c r="U675" s="435"/>
      <c r="V675" s="435"/>
      <c r="W675" s="435"/>
      <c r="X675" s="435"/>
      <c r="Y675" s="435"/>
      <c r="Z675" s="435"/>
      <c r="AA675" s="324"/>
      <c r="AB675" s="180"/>
      <c r="AC675" s="155"/>
      <c r="AD675" s="322"/>
      <c r="AE675" s="132"/>
      <c r="AF675" s="132"/>
    </row>
    <row r="676">
      <c r="A676" s="458"/>
      <c r="B676" s="313"/>
      <c r="C676" s="313"/>
      <c r="D676" s="437"/>
      <c r="E676" s="314"/>
      <c r="F676" s="314"/>
      <c r="G676" s="314"/>
      <c r="H676" s="314"/>
      <c r="I676" s="314"/>
      <c r="J676" s="314"/>
      <c r="K676" s="314"/>
      <c r="L676" s="314"/>
      <c r="M676" s="314"/>
      <c r="N676" s="314"/>
      <c r="O676" s="314"/>
      <c r="P676" s="314"/>
      <c r="Q676" s="314"/>
      <c r="R676" s="314"/>
      <c r="S676" s="314"/>
      <c r="T676" s="314"/>
      <c r="U676" s="314"/>
      <c r="V676" s="314"/>
      <c r="W676" s="314"/>
      <c r="X676" s="314"/>
      <c r="Y676" s="314"/>
      <c r="Z676" s="314"/>
      <c r="AA676" s="324"/>
      <c r="AB676" s="180"/>
      <c r="AC676" s="155"/>
      <c r="AD676" s="322"/>
      <c r="AE676" s="132"/>
      <c r="AF676" s="132"/>
    </row>
    <row r="677">
      <c r="A677" s="458"/>
      <c r="B677" s="313"/>
      <c r="C677" s="437"/>
      <c r="D677" s="313"/>
      <c r="E677" s="314"/>
      <c r="F677" s="314"/>
      <c r="G677" s="314"/>
      <c r="H677" s="314"/>
      <c r="I677" s="435"/>
      <c r="J677" s="314"/>
      <c r="K677" s="314"/>
      <c r="L677" s="435"/>
      <c r="M677" s="314"/>
      <c r="N677" s="314"/>
      <c r="O677" s="314"/>
      <c r="P677" s="314"/>
      <c r="Q677" s="435"/>
      <c r="R677" s="435"/>
      <c r="S677" s="435"/>
      <c r="T677" s="435"/>
      <c r="U677" s="435"/>
      <c r="V677" s="435"/>
      <c r="W677" s="435"/>
      <c r="X677" s="435"/>
      <c r="Y677" s="435"/>
      <c r="Z677" s="435"/>
      <c r="AA677" s="324"/>
      <c r="AB677" s="180"/>
      <c r="AC677" s="155"/>
      <c r="AD677" s="322"/>
      <c r="AE677" s="132"/>
      <c r="AF677" s="132"/>
    </row>
    <row r="678">
      <c r="A678" s="458"/>
      <c r="B678" s="313"/>
      <c r="C678" s="437"/>
      <c r="D678" s="437"/>
      <c r="E678" s="435"/>
      <c r="F678" s="314"/>
      <c r="G678" s="314"/>
      <c r="H678" s="435"/>
      <c r="I678" s="435"/>
      <c r="J678" s="314"/>
      <c r="K678" s="435"/>
      <c r="L678" s="435"/>
      <c r="M678" s="314"/>
      <c r="N678" s="314"/>
      <c r="O678" s="314"/>
      <c r="P678" s="435"/>
      <c r="Q678" s="435"/>
      <c r="R678" s="435"/>
      <c r="S678" s="435"/>
      <c r="T678" s="435"/>
      <c r="U678" s="435"/>
      <c r="V678" s="435"/>
      <c r="W678" s="435"/>
      <c r="X678" s="435"/>
      <c r="Y678" s="435"/>
      <c r="Z678" s="435"/>
      <c r="AA678" s="324"/>
      <c r="AB678" s="180"/>
      <c r="AC678" s="155"/>
      <c r="AD678" s="322"/>
      <c r="AE678" s="132"/>
      <c r="AF678" s="132"/>
    </row>
    <row r="679">
      <c r="A679" s="458"/>
      <c r="B679" s="313"/>
      <c r="C679" s="437"/>
      <c r="D679" s="437"/>
      <c r="E679" s="314"/>
      <c r="F679" s="314"/>
      <c r="G679" s="314"/>
      <c r="H679" s="314"/>
      <c r="I679" s="314"/>
      <c r="J679" s="314"/>
      <c r="K679" s="435"/>
      <c r="L679" s="314"/>
      <c r="M679" s="314"/>
      <c r="N679" s="314"/>
      <c r="O679" s="314"/>
      <c r="P679" s="314"/>
      <c r="Q679" s="314"/>
      <c r="R679" s="435"/>
      <c r="S679" s="435"/>
      <c r="T679" s="435"/>
      <c r="U679" s="435"/>
      <c r="V679" s="435"/>
      <c r="W679" s="435"/>
      <c r="X679" s="435"/>
      <c r="Y679" s="435"/>
      <c r="Z679" s="435"/>
      <c r="AA679" s="324"/>
      <c r="AB679" s="180"/>
      <c r="AC679" s="155"/>
      <c r="AD679" s="322"/>
      <c r="AE679" s="132"/>
      <c r="AF679" s="132"/>
    </row>
    <row r="680">
      <c r="A680" s="458"/>
      <c r="B680" s="437"/>
      <c r="C680" s="437"/>
      <c r="D680" s="437"/>
      <c r="E680" s="435"/>
      <c r="F680" s="314"/>
      <c r="G680" s="314"/>
      <c r="H680" s="435"/>
      <c r="I680" s="435"/>
      <c r="J680" s="435"/>
      <c r="K680" s="435"/>
      <c r="L680" s="435"/>
      <c r="M680" s="435"/>
      <c r="N680" s="435"/>
      <c r="O680" s="314"/>
      <c r="P680" s="435"/>
      <c r="Q680" s="435"/>
      <c r="R680" s="435"/>
      <c r="S680" s="435"/>
      <c r="T680" s="435"/>
      <c r="U680" s="435"/>
      <c r="V680" s="435"/>
      <c r="W680" s="435"/>
      <c r="X680" s="435"/>
      <c r="Y680" s="435"/>
      <c r="Z680" s="435"/>
      <c r="AA680" s="324"/>
      <c r="AB680" s="180"/>
      <c r="AC680" s="155"/>
      <c r="AD680" s="322"/>
      <c r="AE680" s="132"/>
      <c r="AF680" s="132"/>
    </row>
    <row r="681">
      <c r="A681" s="435"/>
      <c r="B681" s="437"/>
      <c r="C681" s="437"/>
      <c r="D681" s="437"/>
      <c r="E681" s="435"/>
      <c r="F681" s="314"/>
      <c r="G681" s="314"/>
      <c r="H681" s="435"/>
      <c r="I681" s="435"/>
      <c r="J681" s="435"/>
      <c r="K681" s="435"/>
      <c r="L681" s="435"/>
      <c r="M681" s="435"/>
      <c r="N681" s="435"/>
      <c r="O681" s="314"/>
      <c r="P681" s="435"/>
      <c r="Q681" s="435"/>
      <c r="R681" s="435"/>
      <c r="S681" s="435"/>
      <c r="T681" s="435"/>
      <c r="U681" s="435"/>
      <c r="V681" s="435"/>
      <c r="W681" s="435"/>
      <c r="X681" s="435"/>
      <c r="Y681" s="435"/>
      <c r="Z681" s="435"/>
      <c r="AA681" s="324"/>
      <c r="AB681" s="180"/>
      <c r="AC681" s="155"/>
      <c r="AD681" s="322"/>
      <c r="AE681" s="132"/>
      <c r="AF681" s="132"/>
    </row>
    <row r="682">
      <c r="A682" s="474"/>
      <c r="B682" s="437"/>
      <c r="C682" s="437"/>
      <c r="D682" s="437"/>
      <c r="E682" s="435"/>
      <c r="F682" s="314"/>
      <c r="G682" s="314"/>
      <c r="H682" s="435"/>
      <c r="I682" s="435"/>
      <c r="J682" s="435"/>
      <c r="K682" s="435"/>
      <c r="L682" s="435"/>
      <c r="M682" s="435"/>
      <c r="N682" s="435"/>
      <c r="O682" s="314"/>
      <c r="P682" s="435"/>
      <c r="Q682" s="435"/>
      <c r="R682" s="435"/>
      <c r="S682" s="435"/>
      <c r="T682" s="435"/>
      <c r="U682" s="435"/>
      <c r="V682" s="435"/>
      <c r="W682" s="435"/>
      <c r="X682" s="435"/>
      <c r="Y682" s="435"/>
      <c r="Z682" s="435"/>
      <c r="AA682" s="324"/>
      <c r="AB682" s="180"/>
      <c r="AC682" s="155"/>
      <c r="AD682" s="322"/>
      <c r="AE682" s="132"/>
      <c r="AF682" s="132"/>
    </row>
    <row r="683">
      <c r="A683" s="474"/>
      <c r="B683" s="437"/>
      <c r="C683" s="313"/>
      <c r="D683" s="437"/>
      <c r="E683" s="435"/>
      <c r="F683" s="314"/>
      <c r="G683" s="314"/>
      <c r="H683" s="435"/>
      <c r="I683" s="435"/>
      <c r="J683" s="435"/>
      <c r="K683" s="314"/>
      <c r="L683" s="314"/>
      <c r="M683" s="314"/>
      <c r="N683" s="435"/>
      <c r="O683" s="314"/>
      <c r="P683" s="314"/>
      <c r="Q683" s="435"/>
      <c r="R683" s="314"/>
      <c r="S683" s="435"/>
      <c r="T683" s="435"/>
      <c r="U683" s="435"/>
      <c r="V683" s="435"/>
      <c r="W683" s="435"/>
      <c r="X683" s="435"/>
      <c r="Y683" s="435"/>
      <c r="Z683" s="435"/>
      <c r="AA683" s="324"/>
      <c r="AB683" s="180"/>
      <c r="AC683" s="155"/>
      <c r="AD683" s="322"/>
      <c r="AE683" s="132"/>
      <c r="AF683" s="132"/>
    </row>
    <row r="684">
      <c r="A684" s="474"/>
      <c r="B684" s="313"/>
      <c r="C684" s="313"/>
      <c r="D684" s="313"/>
      <c r="E684" s="314"/>
      <c r="F684" s="314"/>
      <c r="G684" s="314"/>
      <c r="H684" s="314"/>
      <c r="I684" s="314"/>
      <c r="J684" s="314"/>
      <c r="K684" s="435"/>
      <c r="L684" s="314"/>
      <c r="M684" s="314"/>
      <c r="N684" s="314"/>
      <c r="O684" s="314"/>
      <c r="P684" s="435"/>
      <c r="Q684" s="314"/>
      <c r="R684" s="314"/>
      <c r="S684" s="314"/>
      <c r="T684" s="314"/>
      <c r="U684" s="314"/>
      <c r="V684" s="314"/>
      <c r="W684" s="314"/>
      <c r="X684" s="314"/>
      <c r="Y684" s="314"/>
      <c r="Z684" s="314"/>
      <c r="AA684" s="324"/>
      <c r="AB684" s="180"/>
      <c r="AC684" s="155"/>
      <c r="AD684" s="322"/>
      <c r="AE684" s="132"/>
      <c r="AF684" s="132"/>
    </row>
    <row r="685">
      <c r="A685" s="474"/>
      <c r="B685" s="313"/>
      <c r="C685" s="437"/>
      <c r="D685" s="437"/>
      <c r="E685" s="314"/>
      <c r="F685" s="314"/>
      <c r="G685" s="314"/>
      <c r="H685" s="314"/>
      <c r="I685" s="435"/>
      <c r="J685" s="314"/>
      <c r="K685" s="314"/>
      <c r="L685" s="314"/>
      <c r="M685" s="314"/>
      <c r="N685" s="314"/>
      <c r="O685" s="314"/>
      <c r="P685" s="314"/>
      <c r="Q685" s="314"/>
      <c r="R685" s="314"/>
      <c r="S685" s="314"/>
      <c r="T685" s="314"/>
      <c r="U685" s="314"/>
      <c r="V685" s="314"/>
      <c r="W685" s="314"/>
      <c r="X685" s="314"/>
      <c r="Y685" s="314"/>
      <c r="Z685" s="314"/>
      <c r="AA685" s="324"/>
      <c r="AB685" s="180"/>
      <c r="AC685" s="155"/>
      <c r="AD685" s="322"/>
      <c r="AE685" s="132"/>
      <c r="AF685" s="132"/>
    </row>
    <row r="686">
      <c r="A686" s="474"/>
      <c r="B686" s="313"/>
      <c r="C686" s="313"/>
      <c r="D686" s="313"/>
      <c r="E686" s="314"/>
      <c r="F686" s="314"/>
      <c r="G686" s="314"/>
      <c r="H686" s="314"/>
      <c r="I686" s="314"/>
      <c r="J686" s="314"/>
      <c r="K686" s="435"/>
      <c r="L686" s="314"/>
      <c r="M686" s="314"/>
      <c r="N686" s="314"/>
      <c r="O686" s="314"/>
      <c r="P686" s="314"/>
      <c r="Q686" s="314"/>
      <c r="R686" s="314"/>
      <c r="S686" s="314"/>
      <c r="T686" s="314"/>
      <c r="U686" s="314"/>
      <c r="V686" s="314"/>
      <c r="W686" s="314"/>
      <c r="X686" s="314"/>
      <c r="Y686" s="314"/>
      <c r="Z686" s="314"/>
      <c r="AA686" s="324"/>
      <c r="AB686" s="180"/>
      <c r="AC686" s="155"/>
      <c r="AD686" s="322"/>
      <c r="AE686" s="132"/>
      <c r="AF686" s="132"/>
    </row>
    <row r="687">
      <c r="A687" s="458"/>
      <c r="B687" s="313"/>
      <c r="C687" s="437"/>
      <c r="D687" s="313"/>
      <c r="E687" s="314"/>
      <c r="F687" s="314"/>
      <c r="G687" s="314"/>
      <c r="H687" s="314"/>
      <c r="I687" s="314"/>
      <c r="J687" s="435"/>
      <c r="K687" s="435"/>
      <c r="L687" s="314"/>
      <c r="M687" s="314"/>
      <c r="N687" s="314"/>
      <c r="O687" s="314"/>
      <c r="P687" s="314"/>
      <c r="Q687" s="314"/>
      <c r="R687" s="314"/>
      <c r="S687" s="314"/>
      <c r="T687" s="314"/>
      <c r="U687" s="314"/>
      <c r="V687" s="314"/>
      <c r="W687" s="314"/>
      <c r="X687" s="314"/>
      <c r="Y687" s="314"/>
      <c r="Z687" s="314"/>
      <c r="AA687" s="324"/>
      <c r="AB687" s="180"/>
      <c r="AC687" s="155"/>
      <c r="AD687" s="322"/>
      <c r="AE687" s="132"/>
      <c r="AF687" s="132"/>
    </row>
    <row r="688">
      <c r="A688" s="435"/>
      <c r="B688" s="313"/>
      <c r="C688" s="437"/>
      <c r="D688" s="437"/>
      <c r="E688" s="435"/>
      <c r="F688" s="314"/>
      <c r="G688" s="314"/>
      <c r="H688" s="435"/>
      <c r="I688" s="314"/>
      <c r="J688" s="314"/>
      <c r="K688" s="435"/>
      <c r="L688" s="314"/>
      <c r="M688" s="435"/>
      <c r="N688" s="435"/>
      <c r="O688" s="314"/>
      <c r="P688" s="314"/>
      <c r="Q688" s="314"/>
      <c r="R688" s="435"/>
      <c r="S688" s="314"/>
      <c r="T688" s="314"/>
      <c r="U688" s="314"/>
      <c r="V688" s="314"/>
      <c r="W688" s="314"/>
      <c r="X688" s="314"/>
      <c r="Y688" s="314"/>
      <c r="Z688" s="314"/>
      <c r="AA688" s="324"/>
      <c r="AB688" s="180"/>
      <c r="AC688" s="155"/>
      <c r="AD688" s="322"/>
      <c r="AE688" s="132"/>
      <c r="AF688" s="132"/>
    </row>
    <row r="689">
      <c r="A689" s="435"/>
      <c r="B689" s="437"/>
      <c r="C689" s="313"/>
      <c r="D689" s="313"/>
      <c r="E689" s="314"/>
      <c r="F689" s="314"/>
      <c r="G689" s="314"/>
      <c r="H689" s="314"/>
      <c r="I689" s="314"/>
      <c r="J689" s="314"/>
      <c r="K689" s="314"/>
      <c r="L689" s="314"/>
      <c r="M689" s="314"/>
      <c r="N689" s="314"/>
      <c r="O689" s="314"/>
      <c r="P689" s="435"/>
      <c r="Q689" s="314"/>
      <c r="R689" s="314"/>
      <c r="S689" s="314"/>
      <c r="T689" s="314"/>
      <c r="U689" s="314"/>
      <c r="V689" s="314"/>
      <c r="W689" s="314"/>
      <c r="X689" s="314"/>
      <c r="Y689" s="314"/>
      <c r="Z689" s="314"/>
      <c r="AA689" s="324"/>
      <c r="AB689" s="180"/>
      <c r="AC689" s="155"/>
      <c r="AD689" s="322"/>
      <c r="AE689" s="132"/>
      <c r="AF689" s="132"/>
    </row>
    <row r="690">
      <c r="A690" s="435"/>
      <c r="B690" s="437"/>
      <c r="C690" s="313"/>
      <c r="D690" s="313"/>
      <c r="E690" s="314"/>
      <c r="F690" s="314"/>
      <c r="G690" s="314"/>
      <c r="H690" s="314"/>
      <c r="I690" s="314"/>
      <c r="J690" s="314"/>
      <c r="K690" s="314"/>
      <c r="L690" s="314"/>
      <c r="M690" s="314"/>
      <c r="N690" s="314"/>
      <c r="O690" s="314"/>
      <c r="P690" s="314"/>
      <c r="Q690" s="435"/>
      <c r="R690" s="314"/>
      <c r="S690" s="435"/>
      <c r="T690" s="435"/>
      <c r="U690" s="435"/>
      <c r="V690" s="435"/>
      <c r="W690" s="435"/>
      <c r="X690" s="435"/>
      <c r="Y690" s="435"/>
      <c r="Z690" s="435"/>
      <c r="AA690" s="324"/>
      <c r="AB690" s="180"/>
      <c r="AC690" s="155"/>
      <c r="AD690" s="322"/>
      <c r="AE690" s="132"/>
      <c r="AF690" s="132"/>
    </row>
    <row r="691">
      <c r="A691" s="435"/>
      <c r="B691" s="313"/>
      <c r="C691" s="437"/>
      <c r="D691" s="313"/>
      <c r="E691" s="314"/>
      <c r="F691" s="314"/>
      <c r="G691" s="314"/>
      <c r="H691" s="314"/>
      <c r="I691" s="314"/>
      <c r="J691" s="314"/>
      <c r="K691" s="314"/>
      <c r="L691" s="314"/>
      <c r="M691" s="314"/>
      <c r="N691" s="314"/>
      <c r="O691" s="314"/>
      <c r="P691" s="314"/>
      <c r="Q691" s="314"/>
      <c r="R691" s="435"/>
      <c r="S691" s="314"/>
      <c r="T691" s="314"/>
      <c r="U691" s="314"/>
      <c r="V691" s="314"/>
      <c r="W691" s="314"/>
      <c r="X691" s="314"/>
      <c r="Y691" s="314"/>
      <c r="Z691" s="314"/>
      <c r="AA691" s="324"/>
      <c r="AB691" s="180"/>
      <c r="AC691" s="155"/>
      <c r="AD691" s="322"/>
      <c r="AE691" s="132"/>
      <c r="AF691" s="132"/>
    </row>
    <row r="692">
      <c r="A692" s="435"/>
      <c r="B692" s="313"/>
      <c r="C692" s="313"/>
      <c r="D692" s="313"/>
      <c r="E692" s="314"/>
      <c r="F692" s="314"/>
      <c r="G692" s="314"/>
      <c r="H692" s="314"/>
      <c r="I692" s="314"/>
      <c r="J692" s="314"/>
      <c r="K692" s="435"/>
      <c r="L692" s="314"/>
      <c r="M692" s="435"/>
      <c r="N692" s="314"/>
      <c r="O692" s="314"/>
      <c r="P692" s="314"/>
      <c r="Q692" s="435"/>
      <c r="R692" s="314"/>
      <c r="S692" s="314"/>
      <c r="T692" s="314"/>
      <c r="U692" s="314"/>
      <c r="V692" s="314"/>
      <c r="W692" s="314"/>
      <c r="X692" s="314"/>
      <c r="Y692" s="314"/>
      <c r="Z692" s="314"/>
      <c r="AA692" s="324"/>
      <c r="AB692" s="180"/>
      <c r="AC692" s="155"/>
      <c r="AD692" s="322"/>
      <c r="AE692" s="132"/>
      <c r="AF692" s="132"/>
    </row>
    <row r="693">
      <c r="A693" s="435"/>
      <c r="B693" s="313"/>
      <c r="C693" s="437"/>
      <c r="D693" s="437"/>
      <c r="E693" s="314"/>
      <c r="F693" s="314"/>
      <c r="G693" s="314"/>
      <c r="H693" s="314"/>
      <c r="I693" s="314"/>
      <c r="J693" s="314"/>
      <c r="K693" s="435"/>
      <c r="L693" s="314"/>
      <c r="M693" s="435"/>
      <c r="N693" s="314"/>
      <c r="O693" s="314"/>
      <c r="P693" s="314"/>
      <c r="Q693" s="435"/>
      <c r="R693" s="314"/>
      <c r="S693" s="314"/>
      <c r="T693" s="314"/>
      <c r="U693" s="314"/>
      <c r="V693" s="314"/>
      <c r="W693" s="314"/>
      <c r="X693" s="314"/>
      <c r="Y693" s="314"/>
      <c r="Z693" s="314"/>
      <c r="AA693" s="324"/>
      <c r="AB693" s="180"/>
      <c r="AC693" s="155"/>
      <c r="AD693" s="322"/>
      <c r="AE693" s="132"/>
      <c r="AF693" s="132"/>
    </row>
    <row r="694">
      <c r="A694" s="476"/>
      <c r="AC694" s="176"/>
      <c r="AD694" s="322"/>
      <c r="AE694" s="132"/>
      <c r="AF694" s="132"/>
    </row>
    <row r="695">
      <c r="A695" s="178"/>
      <c r="AD695" s="322"/>
      <c r="AE695" s="132"/>
      <c r="AF695" s="132"/>
    </row>
    <row r="696">
      <c r="A696" s="474"/>
      <c r="B696" s="437"/>
      <c r="C696" s="437"/>
      <c r="D696" s="437"/>
      <c r="E696" s="435"/>
      <c r="F696" s="314"/>
      <c r="G696" s="314"/>
      <c r="H696" s="314"/>
      <c r="I696" s="435"/>
      <c r="J696" s="435"/>
      <c r="K696" s="435"/>
      <c r="L696" s="435"/>
      <c r="M696" s="435"/>
      <c r="N696" s="435"/>
      <c r="O696" s="314"/>
      <c r="P696" s="435"/>
      <c r="Q696" s="435"/>
      <c r="R696" s="435"/>
      <c r="S696" s="435"/>
      <c r="T696" s="435"/>
      <c r="U696" s="435"/>
      <c r="V696" s="435"/>
      <c r="W696" s="435"/>
      <c r="X696" s="435"/>
      <c r="Y696" s="435"/>
      <c r="Z696" s="435"/>
      <c r="AA696" s="324"/>
      <c r="AB696" s="180"/>
      <c r="AC696" s="155"/>
      <c r="AD696" s="322"/>
      <c r="AE696" s="132"/>
      <c r="AF696" s="132"/>
    </row>
    <row r="697">
      <c r="A697" s="474"/>
      <c r="B697" s="313"/>
      <c r="C697" s="437"/>
      <c r="D697" s="437"/>
      <c r="E697" s="435"/>
      <c r="F697" s="314"/>
      <c r="G697" s="314"/>
      <c r="H697" s="435"/>
      <c r="I697" s="314"/>
      <c r="J697" s="435"/>
      <c r="K697" s="435"/>
      <c r="L697" s="435"/>
      <c r="M697" s="314"/>
      <c r="N697" s="314"/>
      <c r="O697" s="314"/>
      <c r="P697" s="435"/>
      <c r="Q697" s="435"/>
      <c r="R697" s="435"/>
      <c r="S697" s="435"/>
      <c r="T697" s="435"/>
      <c r="U697" s="435"/>
      <c r="V697" s="435"/>
      <c r="W697" s="435"/>
      <c r="X697" s="435"/>
      <c r="Y697" s="435"/>
      <c r="Z697" s="435"/>
      <c r="AA697" s="324"/>
      <c r="AB697" s="180"/>
      <c r="AC697" s="155"/>
      <c r="AD697" s="322"/>
      <c r="AE697" s="132"/>
      <c r="AF697" s="132"/>
    </row>
    <row r="698">
      <c r="A698" s="477"/>
      <c r="B698" s="437"/>
      <c r="C698" s="437"/>
      <c r="D698" s="437"/>
      <c r="E698" s="314"/>
      <c r="F698" s="314"/>
      <c r="G698" s="314"/>
      <c r="H698" s="435"/>
      <c r="I698" s="435"/>
      <c r="J698" s="435"/>
      <c r="K698" s="435"/>
      <c r="L698" s="435"/>
      <c r="M698" s="435"/>
      <c r="N698" s="435"/>
      <c r="O698" s="314"/>
      <c r="P698" s="435"/>
      <c r="Q698" s="435"/>
      <c r="R698" s="435"/>
      <c r="S698" s="435"/>
      <c r="T698" s="435"/>
      <c r="U698" s="435"/>
      <c r="V698" s="435"/>
      <c r="W698" s="435"/>
      <c r="X698" s="435"/>
      <c r="Y698" s="435"/>
      <c r="Z698" s="435"/>
      <c r="AA698" s="324"/>
      <c r="AB698" s="180"/>
      <c r="AC698" s="155"/>
      <c r="AD698" s="322"/>
      <c r="AE698" s="132"/>
      <c r="AF698" s="132"/>
    </row>
    <row r="699">
      <c r="A699" s="477"/>
      <c r="B699" s="437"/>
      <c r="C699" s="437"/>
      <c r="D699" s="437"/>
      <c r="E699" s="314"/>
      <c r="F699" s="314"/>
      <c r="G699" s="314"/>
      <c r="H699" s="435"/>
      <c r="I699" s="314"/>
      <c r="J699" s="314"/>
      <c r="K699" s="435"/>
      <c r="L699" s="435"/>
      <c r="M699" s="435"/>
      <c r="N699" s="314"/>
      <c r="O699" s="314"/>
      <c r="P699" s="435"/>
      <c r="Q699" s="435"/>
      <c r="R699" s="435"/>
      <c r="S699" s="435"/>
      <c r="T699" s="435"/>
      <c r="U699" s="435"/>
      <c r="V699" s="435"/>
      <c r="W699" s="435"/>
      <c r="X699" s="435"/>
      <c r="Y699" s="435"/>
      <c r="Z699" s="435"/>
      <c r="AA699" s="324"/>
      <c r="AB699" s="180"/>
      <c r="AC699" s="155"/>
      <c r="AD699" s="322"/>
      <c r="AE699" s="132"/>
      <c r="AF699" s="132"/>
    </row>
    <row r="700">
      <c r="A700" s="477"/>
      <c r="B700" s="437"/>
      <c r="C700" s="437"/>
      <c r="D700" s="437"/>
      <c r="E700" s="435"/>
      <c r="F700" s="314"/>
      <c r="G700" s="314"/>
      <c r="H700" s="435"/>
      <c r="I700" s="435"/>
      <c r="J700" s="435"/>
      <c r="K700" s="435"/>
      <c r="L700" s="435"/>
      <c r="M700" s="435"/>
      <c r="N700" s="435"/>
      <c r="O700" s="314"/>
      <c r="P700" s="435"/>
      <c r="Q700" s="435"/>
      <c r="R700" s="435"/>
      <c r="S700" s="435"/>
      <c r="T700" s="435"/>
      <c r="U700" s="435"/>
      <c r="V700" s="435"/>
      <c r="W700" s="435"/>
      <c r="X700" s="435"/>
      <c r="Y700" s="435"/>
      <c r="Z700" s="435"/>
      <c r="AA700" s="324"/>
      <c r="AB700" s="180"/>
      <c r="AC700" s="155"/>
      <c r="AD700" s="322"/>
      <c r="AE700" s="132"/>
      <c r="AF700" s="132"/>
    </row>
    <row r="701">
      <c r="A701" s="474"/>
      <c r="B701" s="313"/>
      <c r="C701" s="437"/>
      <c r="D701" s="313"/>
      <c r="E701" s="435"/>
      <c r="F701" s="314"/>
      <c r="G701" s="314"/>
      <c r="H701" s="435"/>
      <c r="I701" s="314"/>
      <c r="J701" s="435"/>
      <c r="K701" s="435"/>
      <c r="L701" s="314"/>
      <c r="M701" s="435"/>
      <c r="N701" s="314"/>
      <c r="O701" s="314"/>
      <c r="P701" s="435"/>
      <c r="Q701" s="435"/>
      <c r="R701" s="435"/>
      <c r="S701" s="435"/>
      <c r="T701" s="435"/>
      <c r="U701" s="435"/>
      <c r="V701" s="435"/>
      <c r="W701" s="435"/>
      <c r="X701" s="435"/>
      <c r="Y701" s="435"/>
      <c r="Z701" s="435"/>
      <c r="AA701" s="324"/>
      <c r="AB701" s="180"/>
      <c r="AC701" s="155"/>
      <c r="AD701" s="322"/>
      <c r="AE701" s="132"/>
      <c r="AF701" s="132"/>
    </row>
    <row r="702">
      <c r="A702" s="478"/>
      <c r="B702" s="437"/>
      <c r="C702" s="437"/>
      <c r="D702" s="437"/>
      <c r="E702" s="435"/>
      <c r="F702" s="314"/>
      <c r="G702" s="314"/>
      <c r="H702" s="435"/>
      <c r="I702" s="435"/>
      <c r="J702" s="435"/>
      <c r="K702" s="435"/>
      <c r="L702" s="435"/>
      <c r="M702" s="435"/>
      <c r="N702" s="435"/>
      <c r="O702" s="314"/>
      <c r="P702" s="435"/>
      <c r="Q702" s="435"/>
      <c r="R702" s="435"/>
      <c r="S702" s="435"/>
      <c r="T702" s="435"/>
      <c r="U702" s="435"/>
      <c r="V702" s="435"/>
      <c r="W702" s="435"/>
      <c r="X702" s="435"/>
      <c r="Y702" s="435"/>
      <c r="Z702" s="435"/>
      <c r="AA702" s="324"/>
      <c r="AB702" s="180"/>
      <c r="AC702" s="155"/>
      <c r="AD702" s="322"/>
      <c r="AE702" s="132"/>
      <c r="AF702" s="132"/>
    </row>
    <row r="703">
      <c r="A703" s="478"/>
      <c r="B703" s="437"/>
      <c r="C703" s="437"/>
      <c r="D703" s="437"/>
      <c r="E703" s="435"/>
      <c r="F703" s="314"/>
      <c r="G703" s="314"/>
      <c r="H703" s="435"/>
      <c r="I703" s="435"/>
      <c r="J703" s="435"/>
      <c r="K703" s="435"/>
      <c r="L703" s="435"/>
      <c r="M703" s="435"/>
      <c r="N703" s="435"/>
      <c r="O703" s="314"/>
      <c r="P703" s="435"/>
      <c r="Q703" s="435"/>
      <c r="R703" s="435"/>
      <c r="S703" s="435"/>
      <c r="T703" s="435"/>
      <c r="U703" s="435"/>
      <c r="V703" s="435"/>
      <c r="W703" s="435"/>
      <c r="X703" s="435"/>
      <c r="Y703" s="435"/>
      <c r="Z703" s="435"/>
      <c r="AA703" s="324"/>
      <c r="AB703" s="180"/>
      <c r="AC703" s="155"/>
      <c r="AD703" s="322"/>
      <c r="AE703" s="132"/>
      <c r="AF703" s="132"/>
    </row>
    <row r="704">
      <c r="A704" s="478"/>
      <c r="B704" s="437"/>
      <c r="C704" s="437"/>
      <c r="D704" s="313"/>
      <c r="E704" s="314"/>
      <c r="F704" s="314"/>
      <c r="G704" s="314"/>
      <c r="H704" s="435"/>
      <c r="I704" s="435"/>
      <c r="J704" s="314"/>
      <c r="K704" s="435"/>
      <c r="L704" s="314"/>
      <c r="M704" s="435"/>
      <c r="N704" s="314"/>
      <c r="O704" s="314"/>
      <c r="P704" s="314"/>
      <c r="Q704" s="314"/>
      <c r="R704" s="314"/>
      <c r="S704" s="435"/>
      <c r="T704" s="435"/>
      <c r="U704" s="435"/>
      <c r="V704" s="435"/>
      <c r="W704" s="435"/>
      <c r="X704" s="435"/>
      <c r="Y704" s="435"/>
      <c r="Z704" s="435"/>
      <c r="AA704" s="324"/>
      <c r="AB704" s="180"/>
      <c r="AC704" s="155"/>
      <c r="AD704" s="322"/>
      <c r="AE704" s="132"/>
      <c r="AF704" s="132"/>
    </row>
    <row r="705">
      <c r="A705" s="477"/>
      <c r="B705" s="313"/>
      <c r="C705" s="437"/>
      <c r="D705" s="437"/>
      <c r="E705" s="435"/>
      <c r="F705" s="314"/>
      <c r="G705" s="314"/>
      <c r="H705" s="435"/>
      <c r="I705" s="435"/>
      <c r="J705" s="435"/>
      <c r="K705" s="435"/>
      <c r="L705" s="435"/>
      <c r="M705" s="435"/>
      <c r="N705" s="435"/>
      <c r="O705" s="314"/>
      <c r="P705" s="435"/>
      <c r="Q705" s="435"/>
      <c r="R705" s="435"/>
      <c r="S705" s="435"/>
      <c r="T705" s="435"/>
      <c r="U705" s="435"/>
      <c r="V705" s="435"/>
      <c r="W705" s="435"/>
      <c r="X705" s="435"/>
      <c r="Y705" s="435"/>
      <c r="Z705" s="435"/>
      <c r="AA705" s="324"/>
      <c r="AB705" s="180"/>
      <c r="AC705" s="155"/>
      <c r="AD705" s="322"/>
      <c r="AE705" s="132"/>
      <c r="AF705" s="132"/>
    </row>
    <row r="706">
      <c r="A706" s="477"/>
      <c r="B706" s="313"/>
      <c r="C706" s="313"/>
      <c r="D706" s="313"/>
      <c r="E706" s="314"/>
      <c r="F706" s="314"/>
      <c r="G706" s="314"/>
      <c r="H706" s="435"/>
      <c r="I706" s="314"/>
      <c r="J706" s="314"/>
      <c r="K706" s="314"/>
      <c r="L706" s="314"/>
      <c r="M706" s="314"/>
      <c r="N706" s="435"/>
      <c r="O706" s="314"/>
      <c r="P706" s="314"/>
      <c r="Q706" s="435"/>
      <c r="R706" s="314"/>
      <c r="S706" s="314"/>
      <c r="T706" s="314"/>
      <c r="U706" s="314"/>
      <c r="V706" s="314"/>
      <c r="W706" s="314"/>
      <c r="X706" s="314"/>
      <c r="Y706" s="314"/>
      <c r="Z706" s="314"/>
      <c r="AA706" s="324"/>
      <c r="AB706" s="180"/>
      <c r="AC706" s="155"/>
      <c r="AD706" s="322"/>
      <c r="AE706" s="132"/>
      <c r="AF706" s="132"/>
    </row>
    <row r="707">
      <c r="A707" s="477"/>
      <c r="B707" s="313"/>
      <c r="C707" s="313"/>
      <c r="D707" s="313"/>
      <c r="E707" s="314"/>
      <c r="F707" s="314"/>
      <c r="G707" s="314"/>
      <c r="H707" s="314"/>
      <c r="I707" s="314"/>
      <c r="J707" s="314"/>
      <c r="K707" s="314"/>
      <c r="L707" s="314"/>
      <c r="M707" s="314"/>
      <c r="N707" s="314"/>
      <c r="O707" s="314"/>
      <c r="P707" s="314"/>
      <c r="Q707" s="314"/>
      <c r="R707" s="314"/>
      <c r="S707" s="314"/>
      <c r="T707" s="314"/>
      <c r="U707" s="314"/>
      <c r="V707" s="314"/>
      <c r="W707" s="314"/>
      <c r="X707" s="314"/>
      <c r="Y707" s="314"/>
      <c r="Z707" s="314"/>
      <c r="AA707" s="324"/>
      <c r="AB707" s="180"/>
      <c r="AC707" s="155"/>
      <c r="AD707" s="322"/>
      <c r="AE707" s="132"/>
      <c r="AF707" s="132"/>
    </row>
    <row r="708">
      <c r="A708" s="476"/>
      <c r="AC708" s="176"/>
      <c r="AD708" s="322"/>
      <c r="AE708" s="132"/>
      <c r="AF708" s="132"/>
    </row>
    <row r="709">
      <c r="A709" s="178"/>
      <c r="AD709" s="322"/>
      <c r="AE709" s="132"/>
      <c r="AF709" s="132"/>
    </row>
    <row r="710">
      <c r="A710" s="477"/>
      <c r="B710" s="437"/>
      <c r="C710" s="437"/>
      <c r="D710" s="437"/>
      <c r="E710" s="314"/>
      <c r="F710" s="314"/>
      <c r="G710" s="314"/>
      <c r="H710" s="314"/>
      <c r="I710" s="314"/>
      <c r="J710" s="314"/>
      <c r="K710" s="435"/>
      <c r="L710" s="435"/>
      <c r="M710" s="314"/>
      <c r="N710" s="314"/>
      <c r="O710" s="314"/>
      <c r="P710" s="314"/>
      <c r="Q710" s="435"/>
      <c r="R710" s="435"/>
      <c r="S710" s="435"/>
      <c r="T710" s="435"/>
      <c r="U710" s="435"/>
      <c r="V710" s="435"/>
      <c r="W710" s="435"/>
      <c r="X710" s="435"/>
      <c r="Y710" s="435"/>
      <c r="Z710" s="435"/>
      <c r="AA710" s="324"/>
      <c r="AB710" s="180"/>
      <c r="AC710" s="155"/>
      <c r="AD710" s="322"/>
      <c r="AE710" s="132"/>
      <c r="AF710" s="132"/>
    </row>
    <row r="711">
      <c r="A711" s="477"/>
      <c r="B711" s="313"/>
      <c r="C711" s="437"/>
      <c r="D711" s="437"/>
      <c r="E711" s="314"/>
      <c r="F711" s="314"/>
      <c r="G711" s="314"/>
      <c r="H711" s="314"/>
      <c r="I711" s="435"/>
      <c r="J711" s="435"/>
      <c r="K711" s="435"/>
      <c r="L711" s="314"/>
      <c r="M711" s="435"/>
      <c r="N711" s="314"/>
      <c r="O711" s="314"/>
      <c r="P711" s="314"/>
      <c r="Q711" s="435"/>
      <c r="R711" s="435"/>
      <c r="S711" s="435"/>
      <c r="T711" s="435"/>
      <c r="U711" s="435"/>
      <c r="V711" s="435"/>
      <c r="W711" s="435"/>
      <c r="X711" s="435"/>
      <c r="Y711" s="435"/>
      <c r="Z711" s="435"/>
      <c r="AA711" s="324"/>
      <c r="AB711" s="180"/>
      <c r="AC711" s="155"/>
      <c r="AD711" s="322"/>
      <c r="AE711" s="132"/>
      <c r="AF711" s="132"/>
    </row>
    <row r="712">
      <c r="A712" s="477"/>
      <c r="B712" s="313"/>
      <c r="C712" s="437"/>
      <c r="D712" s="437"/>
      <c r="E712" s="435"/>
      <c r="F712" s="314"/>
      <c r="G712" s="314"/>
      <c r="H712" s="435"/>
      <c r="I712" s="314"/>
      <c r="J712" s="314"/>
      <c r="K712" s="435"/>
      <c r="L712" s="314"/>
      <c r="M712" s="435"/>
      <c r="N712" s="435"/>
      <c r="O712" s="314"/>
      <c r="P712" s="435"/>
      <c r="Q712" s="435"/>
      <c r="R712" s="435"/>
      <c r="S712" s="435"/>
      <c r="T712" s="435"/>
      <c r="U712" s="435"/>
      <c r="V712" s="435"/>
      <c r="W712" s="435"/>
      <c r="X712" s="435"/>
      <c r="Y712" s="435"/>
      <c r="Z712" s="435"/>
      <c r="AA712" s="324"/>
      <c r="AB712" s="180"/>
      <c r="AC712" s="155"/>
      <c r="AD712" s="322"/>
      <c r="AE712" s="132"/>
      <c r="AF712" s="132"/>
    </row>
    <row r="713">
      <c r="A713" s="479"/>
      <c r="B713" s="313"/>
      <c r="C713" s="313"/>
      <c r="D713" s="313"/>
      <c r="E713" s="314"/>
      <c r="F713" s="314"/>
      <c r="G713" s="314"/>
      <c r="H713" s="314"/>
      <c r="I713" s="314"/>
      <c r="J713" s="314"/>
      <c r="K713" s="314"/>
      <c r="L713" s="314"/>
      <c r="M713" s="314"/>
      <c r="N713" s="314"/>
      <c r="O713" s="314"/>
      <c r="P713" s="314"/>
      <c r="Q713" s="435"/>
      <c r="R713" s="314"/>
      <c r="S713" s="314"/>
      <c r="T713" s="314"/>
      <c r="U713" s="314"/>
      <c r="V713" s="314"/>
      <c r="W713" s="314"/>
      <c r="X713" s="314"/>
      <c r="Y713" s="314"/>
      <c r="Z713" s="314"/>
      <c r="AA713" s="324"/>
      <c r="AB713" s="180"/>
      <c r="AC713" s="155"/>
      <c r="AD713" s="322"/>
      <c r="AE713" s="132"/>
      <c r="AF713" s="132"/>
    </row>
    <row r="714">
      <c r="A714" s="476"/>
      <c r="AC714" s="176"/>
      <c r="AD714" s="322"/>
      <c r="AE714" s="132"/>
      <c r="AF714" s="132"/>
    </row>
    <row r="715">
      <c r="A715" s="178"/>
      <c r="AD715" s="322"/>
      <c r="AE715" s="132"/>
      <c r="AF715" s="132"/>
    </row>
    <row r="716">
      <c r="A716" s="480"/>
      <c r="B716" s="313"/>
      <c r="C716" s="437"/>
      <c r="D716" s="313"/>
      <c r="E716" s="314"/>
      <c r="F716" s="314"/>
      <c r="G716" s="314"/>
      <c r="H716" s="314"/>
      <c r="I716" s="314"/>
      <c r="J716" s="435"/>
      <c r="K716" s="435"/>
      <c r="L716" s="314"/>
      <c r="M716" s="314"/>
      <c r="N716" s="314"/>
      <c r="O716" s="314"/>
      <c r="P716" s="314"/>
      <c r="Q716" s="435"/>
      <c r="R716" s="314"/>
      <c r="S716" s="314"/>
      <c r="T716" s="314"/>
      <c r="U716" s="314"/>
      <c r="V716" s="314"/>
      <c r="W716" s="314"/>
      <c r="X716" s="314"/>
      <c r="Y716" s="314"/>
      <c r="Z716" s="314"/>
      <c r="AA716" s="324"/>
      <c r="AB716" s="180"/>
      <c r="AC716" s="180"/>
      <c r="AD716" s="322"/>
      <c r="AE716" s="132"/>
      <c r="AF716" s="132"/>
    </row>
    <row r="717">
      <c r="A717" s="480"/>
      <c r="B717" s="313"/>
      <c r="C717" s="437"/>
      <c r="D717" s="313"/>
      <c r="E717" s="314"/>
      <c r="F717" s="314"/>
      <c r="G717" s="314"/>
      <c r="H717" s="435"/>
      <c r="I717" s="314"/>
      <c r="J717" s="435"/>
      <c r="K717" s="435"/>
      <c r="L717" s="314"/>
      <c r="M717" s="435"/>
      <c r="N717" s="435"/>
      <c r="O717" s="314"/>
      <c r="P717" s="435"/>
      <c r="Q717" s="435"/>
      <c r="R717" s="314"/>
      <c r="S717" s="435"/>
      <c r="T717" s="435"/>
      <c r="U717" s="435"/>
      <c r="V717" s="435"/>
      <c r="W717" s="435"/>
      <c r="X717" s="435"/>
      <c r="Y717" s="435"/>
      <c r="Z717" s="435"/>
      <c r="AA717" s="324"/>
      <c r="AB717" s="180"/>
      <c r="AC717" s="180"/>
      <c r="AD717" s="322"/>
      <c r="AE717" s="132"/>
      <c r="AF717" s="132"/>
    </row>
    <row r="718">
      <c r="A718" s="476"/>
      <c r="AC718" s="176"/>
      <c r="AD718" s="322"/>
      <c r="AE718" s="132"/>
      <c r="AF718" s="132"/>
    </row>
    <row r="719">
      <c r="A719" s="178"/>
      <c r="AD719" s="322"/>
      <c r="AE719" s="132"/>
      <c r="AF719" s="132"/>
    </row>
    <row r="720">
      <c r="A720" s="481"/>
      <c r="B720" s="313"/>
      <c r="C720" s="437"/>
      <c r="D720" s="437"/>
      <c r="E720" s="435"/>
      <c r="F720" s="314"/>
      <c r="G720" s="435"/>
      <c r="H720" s="435"/>
      <c r="I720" s="435"/>
      <c r="J720" s="314"/>
      <c r="K720" s="435"/>
      <c r="L720" s="435"/>
      <c r="M720" s="435"/>
      <c r="N720" s="314"/>
      <c r="O720" s="314"/>
      <c r="P720" s="435"/>
      <c r="Q720" s="435"/>
      <c r="R720" s="435"/>
      <c r="S720" s="435"/>
      <c r="T720" s="435"/>
      <c r="U720" s="435"/>
      <c r="V720" s="435"/>
      <c r="W720" s="435"/>
      <c r="X720" s="435"/>
      <c r="Y720" s="435"/>
      <c r="Z720" s="435"/>
      <c r="AA720" s="324"/>
      <c r="AB720" s="180"/>
      <c r="AC720" s="155"/>
      <c r="AD720" s="322"/>
      <c r="AE720" s="132"/>
      <c r="AF720" s="132"/>
    </row>
    <row r="721">
      <c r="A721" s="435"/>
      <c r="B721" s="313"/>
      <c r="C721" s="437"/>
      <c r="D721" s="437"/>
      <c r="E721" s="314"/>
      <c r="F721" s="314"/>
      <c r="G721" s="314"/>
      <c r="H721" s="435"/>
      <c r="I721" s="314"/>
      <c r="J721" s="435"/>
      <c r="K721" s="435"/>
      <c r="L721" s="314"/>
      <c r="M721" s="314"/>
      <c r="N721" s="314"/>
      <c r="O721" s="314"/>
      <c r="P721" s="435"/>
      <c r="Q721" s="435"/>
      <c r="R721" s="435"/>
      <c r="S721" s="435"/>
      <c r="T721" s="435"/>
      <c r="U721" s="435"/>
      <c r="V721" s="435"/>
      <c r="W721" s="435"/>
      <c r="X721" s="435"/>
      <c r="Y721" s="435"/>
      <c r="Z721" s="435"/>
      <c r="AA721" s="324"/>
      <c r="AB721" s="180"/>
      <c r="AC721" s="155"/>
      <c r="AD721" s="322"/>
      <c r="AE721" s="132"/>
      <c r="AF721" s="132"/>
    </row>
    <row r="722">
      <c r="A722" s="482"/>
      <c r="B722" s="313"/>
      <c r="C722" s="313"/>
      <c r="D722" s="437"/>
      <c r="E722" s="314"/>
      <c r="F722" s="314"/>
      <c r="G722" s="314"/>
      <c r="H722" s="314"/>
      <c r="I722" s="314"/>
      <c r="J722" s="314"/>
      <c r="K722" s="435"/>
      <c r="L722" s="314"/>
      <c r="M722" s="314"/>
      <c r="N722" s="314"/>
      <c r="O722" s="314"/>
      <c r="P722" s="314"/>
      <c r="Q722" s="314"/>
      <c r="R722" s="435"/>
      <c r="S722" s="314"/>
      <c r="T722" s="314"/>
      <c r="U722" s="314"/>
      <c r="V722" s="314"/>
      <c r="W722" s="314"/>
      <c r="X722" s="314"/>
      <c r="Y722" s="314"/>
      <c r="Z722" s="314"/>
      <c r="AA722" s="324"/>
      <c r="AB722" s="180"/>
      <c r="AC722" s="155"/>
      <c r="AD722" s="322"/>
      <c r="AE722" s="132"/>
      <c r="AF722" s="132"/>
    </row>
    <row r="723">
      <c r="A723" s="482"/>
      <c r="B723" s="313"/>
      <c r="C723" s="437"/>
      <c r="D723" s="437"/>
      <c r="E723" s="435"/>
      <c r="F723" s="314"/>
      <c r="G723" s="314"/>
      <c r="H723" s="435"/>
      <c r="I723" s="435"/>
      <c r="J723" s="435"/>
      <c r="K723" s="435"/>
      <c r="L723" s="435"/>
      <c r="M723" s="435"/>
      <c r="N723" s="435"/>
      <c r="O723" s="314"/>
      <c r="P723" s="435"/>
      <c r="Q723" s="435"/>
      <c r="R723" s="435"/>
      <c r="S723" s="435"/>
      <c r="T723" s="435"/>
      <c r="U723" s="435"/>
      <c r="V723" s="435"/>
      <c r="W723" s="435"/>
      <c r="X723" s="435"/>
      <c r="Y723" s="435"/>
      <c r="Z723" s="435"/>
      <c r="AA723" s="324"/>
      <c r="AB723" s="180"/>
      <c r="AC723" s="155"/>
      <c r="AD723" s="322"/>
      <c r="AE723" s="132"/>
      <c r="AF723" s="132"/>
    </row>
    <row r="724">
      <c r="A724" s="314"/>
      <c r="B724" s="313"/>
      <c r="C724" s="313"/>
      <c r="D724" s="313"/>
      <c r="E724" s="314"/>
      <c r="F724" s="314"/>
      <c r="G724" s="314"/>
      <c r="H724" s="314"/>
      <c r="I724" s="314"/>
      <c r="J724" s="314"/>
      <c r="K724" s="314"/>
      <c r="L724" s="314"/>
      <c r="M724" s="314"/>
      <c r="N724" s="314"/>
      <c r="O724" s="314"/>
      <c r="P724" s="314"/>
      <c r="Q724" s="314"/>
      <c r="R724" s="314"/>
      <c r="S724" s="314"/>
      <c r="T724" s="314"/>
      <c r="U724" s="314"/>
      <c r="V724" s="314"/>
      <c r="W724" s="314"/>
      <c r="X724" s="314"/>
      <c r="Y724" s="314"/>
      <c r="Z724" s="314"/>
      <c r="AA724" s="483"/>
      <c r="AC724" s="484"/>
      <c r="AD724" s="322"/>
      <c r="AE724" s="132"/>
      <c r="AF724" s="132"/>
    </row>
    <row r="725">
      <c r="A725" s="314"/>
      <c r="B725" s="313"/>
      <c r="C725" s="313"/>
      <c r="D725" s="313"/>
      <c r="E725" s="314"/>
      <c r="F725" s="314"/>
      <c r="G725" s="314"/>
      <c r="H725" s="314"/>
      <c r="I725" s="314"/>
      <c r="J725" s="314"/>
      <c r="K725" s="314"/>
      <c r="L725" s="314"/>
      <c r="M725" s="314"/>
      <c r="N725" s="314"/>
      <c r="O725" s="314"/>
      <c r="P725" s="314"/>
      <c r="Q725" s="314"/>
      <c r="R725" s="314"/>
      <c r="S725" s="314"/>
      <c r="T725" s="314"/>
      <c r="U725" s="314"/>
      <c r="V725" s="314"/>
      <c r="W725" s="314"/>
      <c r="X725" s="314"/>
      <c r="Y725" s="314"/>
      <c r="Z725" s="314"/>
      <c r="AA725" s="324"/>
      <c r="AB725" s="155"/>
      <c r="AC725" s="155"/>
      <c r="AD725" s="322"/>
      <c r="AE725" s="132"/>
      <c r="AF725" s="132"/>
    </row>
    <row r="726">
      <c r="A726" s="314"/>
      <c r="B726" s="313"/>
      <c r="C726" s="313"/>
      <c r="D726" s="313"/>
      <c r="E726" s="314"/>
      <c r="F726" s="314"/>
      <c r="G726" s="314"/>
      <c r="H726" s="314"/>
      <c r="I726" s="314"/>
      <c r="J726" s="314"/>
      <c r="K726" s="314"/>
      <c r="L726" s="314"/>
      <c r="M726" s="314"/>
      <c r="N726" s="314"/>
      <c r="O726" s="314"/>
      <c r="P726" s="314"/>
      <c r="Q726" s="314"/>
      <c r="R726" s="314"/>
      <c r="S726" s="314"/>
      <c r="T726" s="314"/>
      <c r="U726" s="314"/>
      <c r="V726" s="314"/>
      <c r="W726" s="314"/>
      <c r="X726" s="314"/>
      <c r="Y726" s="314"/>
      <c r="Z726" s="314"/>
      <c r="AA726" s="324"/>
      <c r="AB726" s="155"/>
      <c r="AC726" s="155"/>
      <c r="AD726" s="322"/>
      <c r="AE726" s="132"/>
      <c r="AF726" s="132"/>
    </row>
    <row r="727">
      <c r="A727" s="314"/>
      <c r="B727" s="313"/>
      <c r="C727" s="313"/>
      <c r="D727" s="313"/>
      <c r="E727" s="314"/>
      <c r="F727" s="314"/>
      <c r="G727" s="314"/>
      <c r="H727" s="314"/>
      <c r="I727" s="314"/>
      <c r="J727" s="314"/>
      <c r="K727" s="314"/>
      <c r="L727" s="314"/>
      <c r="M727" s="314"/>
      <c r="N727" s="314"/>
      <c r="O727" s="314"/>
      <c r="P727" s="314"/>
      <c r="Q727" s="314"/>
      <c r="R727" s="314"/>
      <c r="S727" s="314"/>
      <c r="T727" s="314"/>
      <c r="U727" s="314"/>
      <c r="V727" s="314"/>
      <c r="W727" s="314"/>
      <c r="X727" s="314"/>
      <c r="Y727" s="314"/>
      <c r="Z727" s="314"/>
      <c r="AA727" s="324"/>
      <c r="AB727" s="155"/>
      <c r="AC727" s="155"/>
      <c r="AD727" s="322"/>
      <c r="AE727" s="132"/>
      <c r="AF727" s="132"/>
    </row>
    <row r="728">
      <c r="A728" s="314"/>
      <c r="B728" s="313"/>
      <c r="C728" s="313"/>
      <c r="D728" s="313"/>
      <c r="E728" s="314"/>
      <c r="F728" s="314"/>
      <c r="G728" s="314"/>
      <c r="H728" s="314"/>
      <c r="I728" s="314"/>
      <c r="J728" s="314"/>
      <c r="K728" s="314"/>
      <c r="L728" s="314"/>
      <c r="M728" s="314"/>
      <c r="N728" s="314"/>
      <c r="O728" s="314"/>
      <c r="P728" s="314"/>
      <c r="Q728" s="314"/>
      <c r="R728" s="314"/>
      <c r="S728" s="314"/>
      <c r="T728" s="314"/>
      <c r="U728" s="314"/>
      <c r="V728" s="314"/>
      <c r="W728" s="314"/>
      <c r="X728" s="314"/>
      <c r="Y728" s="314"/>
      <c r="Z728" s="314"/>
      <c r="AA728" s="324"/>
      <c r="AB728" s="155"/>
      <c r="AC728" s="155"/>
      <c r="AD728" s="322"/>
      <c r="AE728" s="132"/>
      <c r="AF728" s="132"/>
    </row>
    <row r="729">
      <c r="A729" s="314"/>
      <c r="B729" s="313"/>
      <c r="C729" s="313"/>
      <c r="D729" s="313"/>
      <c r="E729" s="314"/>
      <c r="F729" s="314"/>
      <c r="G729" s="314"/>
      <c r="H729" s="314"/>
      <c r="I729" s="314"/>
      <c r="J729" s="314"/>
      <c r="K729" s="314"/>
      <c r="L729" s="314"/>
      <c r="M729" s="314"/>
      <c r="N729" s="314"/>
      <c r="O729" s="314"/>
      <c r="P729" s="314"/>
      <c r="Q729" s="314"/>
      <c r="R729" s="314"/>
      <c r="S729" s="314"/>
      <c r="T729" s="314"/>
      <c r="U729" s="314"/>
      <c r="V729" s="314"/>
      <c r="W729" s="314"/>
      <c r="X729" s="314"/>
      <c r="Y729" s="314"/>
      <c r="Z729" s="314"/>
      <c r="AA729" s="324"/>
      <c r="AB729" s="155"/>
      <c r="AC729" s="155"/>
      <c r="AD729" s="322"/>
      <c r="AE729" s="132"/>
      <c r="AF729" s="132"/>
    </row>
    <row r="730">
      <c r="A730" s="314"/>
      <c r="B730" s="313"/>
      <c r="C730" s="313"/>
      <c r="D730" s="313"/>
      <c r="E730" s="314"/>
      <c r="F730" s="314"/>
      <c r="G730" s="314"/>
      <c r="H730" s="314"/>
      <c r="I730" s="314"/>
      <c r="J730" s="314"/>
      <c r="K730" s="314"/>
      <c r="L730" s="314"/>
      <c r="M730" s="314"/>
      <c r="N730" s="314"/>
      <c r="O730" s="314"/>
      <c r="P730" s="314"/>
      <c r="Q730" s="314"/>
      <c r="R730" s="314"/>
      <c r="S730" s="314"/>
      <c r="T730" s="314"/>
      <c r="U730" s="314"/>
      <c r="V730" s="314"/>
      <c r="W730" s="314"/>
      <c r="X730" s="314"/>
      <c r="Y730" s="314"/>
      <c r="Z730" s="314"/>
      <c r="AA730" s="324"/>
      <c r="AB730" s="155"/>
      <c r="AC730" s="155"/>
      <c r="AD730" s="322"/>
      <c r="AE730" s="132"/>
      <c r="AF730" s="132"/>
    </row>
    <row r="731">
      <c r="A731" s="314"/>
      <c r="B731" s="313"/>
      <c r="C731" s="313"/>
      <c r="D731" s="313"/>
      <c r="E731" s="314"/>
      <c r="F731" s="314"/>
      <c r="G731" s="314"/>
      <c r="H731" s="314"/>
      <c r="I731" s="314"/>
      <c r="J731" s="314"/>
      <c r="K731" s="314"/>
      <c r="L731" s="314"/>
      <c r="M731" s="314"/>
      <c r="N731" s="314"/>
      <c r="O731" s="314"/>
      <c r="P731" s="314"/>
      <c r="Q731" s="314"/>
      <c r="R731" s="314"/>
      <c r="S731" s="314"/>
      <c r="T731" s="314"/>
      <c r="U731" s="314"/>
      <c r="V731" s="314"/>
      <c r="W731" s="314"/>
      <c r="X731" s="314"/>
      <c r="Y731" s="314"/>
      <c r="Z731" s="314"/>
      <c r="AA731" s="324"/>
      <c r="AB731" s="155"/>
      <c r="AC731" s="155"/>
      <c r="AD731" s="322"/>
      <c r="AE731" s="132"/>
      <c r="AF731" s="132"/>
    </row>
    <row r="732">
      <c r="A732" s="314"/>
      <c r="B732" s="313"/>
      <c r="C732" s="313"/>
      <c r="D732" s="313"/>
      <c r="E732" s="314"/>
      <c r="F732" s="314"/>
      <c r="G732" s="314"/>
      <c r="H732" s="314"/>
      <c r="I732" s="314"/>
      <c r="J732" s="314"/>
      <c r="K732" s="314"/>
      <c r="L732" s="314"/>
      <c r="M732" s="314"/>
      <c r="N732" s="314"/>
      <c r="O732" s="314"/>
      <c r="P732" s="314"/>
      <c r="Q732" s="314"/>
      <c r="R732" s="314"/>
      <c r="S732" s="314"/>
      <c r="T732" s="314"/>
      <c r="U732" s="314"/>
      <c r="V732" s="314"/>
      <c r="W732" s="314"/>
      <c r="X732" s="314"/>
      <c r="Y732" s="314"/>
      <c r="Z732" s="314"/>
      <c r="AA732" s="324"/>
      <c r="AB732" s="155"/>
      <c r="AC732" s="155"/>
      <c r="AD732" s="322"/>
      <c r="AE732" s="132"/>
      <c r="AF732" s="132"/>
    </row>
    <row r="733">
      <c r="A733" s="314"/>
      <c r="B733" s="313"/>
      <c r="C733" s="313"/>
      <c r="D733" s="313"/>
      <c r="E733" s="314"/>
      <c r="F733" s="314"/>
      <c r="G733" s="314"/>
      <c r="H733" s="314"/>
      <c r="I733" s="314"/>
      <c r="J733" s="314"/>
      <c r="K733" s="314"/>
      <c r="L733" s="314"/>
      <c r="M733" s="314"/>
      <c r="N733" s="314"/>
      <c r="O733" s="314"/>
      <c r="P733" s="314"/>
      <c r="Q733" s="314"/>
      <c r="R733" s="314"/>
      <c r="S733" s="314"/>
      <c r="T733" s="314"/>
      <c r="U733" s="314"/>
      <c r="V733" s="314"/>
      <c r="W733" s="314"/>
      <c r="X733" s="314"/>
      <c r="Y733" s="314"/>
      <c r="Z733" s="314"/>
      <c r="AA733" s="324"/>
      <c r="AB733" s="155"/>
      <c r="AC733" s="155"/>
      <c r="AD733" s="322"/>
      <c r="AE733" s="132"/>
      <c r="AF733" s="132"/>
    </row>
    <row r="734">
      <c r="A734" s="314"/>
      <c r="B734" s="313"/>
      <c r="C734" s="313"/>
      <c r="D734" s="313"/>
      <c r="E734" s="314"/>
      <c r="F734" s="314"/>
      <c r="G734" s="314"/>
      <c r="H734" s="314"/>
      <c r="I734" s="314"/>
      <c r="J734" s="314"/>
      <c r="K734" s="314"/>
      <c r="L734" s="314"/>
      <c r="M734" s="314"/>
      <c r="N734" s="314"/>
      <c r="O734" s="314"/>
      <c r="P734" s="314"/>
      <c r="Q734" s="314"/>
      <c r="R734" s="314"/>
      <c r="S734" s="314"/>
      <c r="T734" s="314"/>
      <c r="U734" s="314"/>
      <c r="V734" s="314"/>
      <c r="W734" s="314"/>
      <c r="X734" s="314"/>
      <c r="Y734" s="314"/>
      <c r="Z734" s="314"/>
      <c r="AA734" s="324"/>
      <c r="AB734" s="155"/>
      <c r="AC734" s="155"/>
      <c r="AD734" s="322"/>
      <c r="AE734" s="132"/>
      <c r="AF734" s="132"/>
    </row>
    <row r="735">
      <c r="A735" s="314"/>
      <c r="B735" s="313"/>
      <c r="C735" s="313"/>
      <c r="D735" s="313"/>
      <c r="E735" s="314"/>
      <c r="F735" s="314"/>
      <c r="G735" s="314"/>
      <c r="H735" s="314"/>
      <c r="I735" s="314"/>
      <c r="J735" s="314"/>
      <c r="K735" s="314"/>
      <c r="L735" s="314"/>
      <c r="M735" s="314"/>
      <c r="N735" s="314"/>
      <c r="O735" s="314"/>
      <c r="P735" s="314"/>
      <c r="Q735" s="314"/>
      <c r="R735" s="314"/>
      <c r="S735" s="314"/>
      <c r="T735" s="314"/>
      <c r="U735" s="314"/>
      <c r="V735" s="314"/>
      <c r="W735" s="314"/>
      <c r="X735" s="314"/>
      <c r="Y735" s="314"/>
      <c r="Z735" s="314"/>
      <c r="AA735" s="324"/>
      <c r="AB735" s="155"/>
      <c r="AC735" s="155"/>
      <c r="AD735" s="322"/>
      <c r="AE735" s="132"/>
      <c r="AF735" s="132"/>
    </row>
    <row r="736">
      <c r="A736" s="314"/>
      <c r="B736" s="313"/>
      <c r="C736" s="313"/>
      <c r="D736" s="313"/>
      <c r="E736" s="314"/>
      <c r="F736" s="314"/>
      <c r="G736" s="314"/>
      <c r="H736" s="314"/>
      <c r="I736" s="314"/>
      <c r="J736" s="314"/>
      <c r="K736" s="314"/>
      <c r="L736" s="314"/>
      <c r="M736" s="314"/>
      <c r="N736" s="314"/>
      <c r="O736" s="314"/>
      <c r="P736" s="314"/>
      <c r="Q736" s="314"/>
      <c r="R736" s="314"/>
      <c r="S736" s="314"/>
      <c r="T736" s="314"/>
      <c r="U736" s="314"/>
      <c r="V736" s="314"/>
      <c r="W736" s="314"/>
      <c r="X736" s="314"/>
      <c r="Y736" s="314"/>
      <c r="Z736" s="314"/>
      <c r="AA736" s="324"/>
      <c r="AB736" s="155"/>
      <c r="AC736" s="155"/>
      <c r="AD736" s="322"/>
      <c r="AE736" s="132"/>
      <c r="AF736" s="132"/>
    </row>
    <row r="737">
      <c r="A737" s="314"/>
      <c r="B737" s="313"/>
      <c r="C737" s="313"/>
      <c r="D737" s="313"/>
      <c r="E737" s="314"/>
      <c r="F737" s="314"/>
      <c r="G737" s="314"/>
      <c r="H737" s="314"/>
      <c r="I737" s="314"/>
      <c r="J737" s="314"/>
      <c r="K737" s="314"/>
      <c r="L737" s="314"/>
      <c r="M737" s="314"/>
      <c r="N737" s="314"/>
      <c r="O737" s="314"/>
      <c r="P737" s="314"/>
      <c r="Q737" s="314"/>
      <c r="R737" s="314"/>
      <c r="S737" s="314"/>
      <c r="T737" s="314"/>
      <c r="U737" s="314"/>
      <c r="V737" s="314"/>
      <c r="W737" s="314"/>
      <c r="X737" s="314"/>
      <c r="Y737" s="314"/>
      <c r="Z737" s="314"/>
      <c r="AA737" s="324"/>
      <c r="AB737" s="155"/>
      <c r="AC737" s="155"/>
      <c r="AD737" s="322"/>
      <c r="AE737" s="132"/>
      <c r="AF737" s="132"/>
    </row>
    <row r="738">
      <c r="A738" s="314"/>
      <c r="B738" s="313"/>
      <c r="C738" s="313"/>
      <c r="D738" s="313"/>
      <c r="E738" s="314"/>
      <c r="F738" s="314"/>
      <c r="G738" s="314"/>
      <c r="H738" s="314"/>
      <c r="I738" s="314"/>
      <c r="J738" s="314"/>
      <c r="K738" s="314"/>
      <c r="L738" s="314"/>
      <c r="M738" s="314"/>
      <c r="N738" s="314"/>
      <c r="O738" s="314"/>
      <c r="P738" s="314"/>
      <c r="Q738" s="314"/>
      <c r="R738" s="314"/>
      <c r="S738" s="314"/>
      <c r="T738" s="314"/>
      <c r="U738" s="314"/>
      <c r="V738" s="314"/>
      <c r="W738" s="314"/>
      <c r="X738" s="314"/>
      <c r="Y738" s="314"/>
      <c r="Z738" s="314"/>
      <c r="AA738" s="324"/>
      <c r="AB738" s="155"/>
      <c r="AC738" s="155"/>
      <c r="AD738" s="322"/>
      <c r="AE738" s="132"/>
      <c r="AF738" s="132"/>
    </row>
    <row r="739">
      <c r="A739" s="314"/>
      <c r="B739" s="313"/>
      <c r="C739" s="313"/>
      <c r="D739" s="313"/>
      <c r="E739" s="314"/>
      <c r="F739" s="314"/>
      <c r="G739" s="314"/>
      <c r="H739" s="314"/>
      <c r="I739" s="314"/>
      <c r="J739" s="314"/>
      <c r="K739" s="314"/>
      <c r="L739" s="314"/>
      <c r="M739" s="314"/>
      <c r="N739" s="314"/>
      <c r="O739" s="314"/>
      <c r="P739" s="314"/>
      <c r="Q739" s="314"/>
      <c r="R739" s="314"/>
      <c r="S739" s="314"/>
      <c r="T739" s="314"/>
      <c r="U739" s="314"/>
      <c r="V739" s="314"/>
      <c r="W739" s="314"/>
      <c r="X739" s="314"/>
      <c r="Y739" s="314"/>
      <c r="Z739" s="314"/>
      <c r="AA739" s="324"/>
      <c r="AB739" s="155"/>
      <c r="AC739" s="155"/>
      <c r="AD739" s="322"/>
      <c r="AE739" s="132"/>
      <c r="AF739" s="132"/>
    </row>
    <row r="740">
      <c r="A740" s="314"/>
      <c r="B740" s="313"/>
      <c r="C740" s="313"/>
      <c r="D740" s="313"/>
      <c r="E740" s="314"/>
      <c r="F740" s="314"/>
      <c r="G740" s="314"/>
      <c r="H740" s="314"/>
      <c r="I740" s="314"/>
      <c r="J740" s="314"/>
      <c r="K740" s="314"/>
      <c r="L740" s="314"/>
      <c r="M740" s="314"/>
      <c r="N740" s="314"/>
      <c r="O740" s="314"/>
      <c r="P740" s="314"/>
      <c r="Q740" s="314"/>
      <c r="R740" s="314"/>
      <c r="S740" s="314"/>
      <c r="T740" s="314"/>
      <c r="U740" s="314"/>
      <c r="V740" s="314"/>
      <c r="W740" s="314"/>
      <c r="X740" s="314"/>
      <c r="Y740" s="314"/>
      <c r="Z740" s="314"/>
      <c r="AA740" s="324"/>
      <c r="AB740" s="155"/>
      <c r="AC740" s="155"/>
      <c r="AD740" s="322"/>
      <c r="AE740" s="132"/>
      <c r="AF740" s="132"/>
    </row>
    <row r="741">
      <c r="A741" s="314"/>
      <c r="B741" s="313"/>
      <c r="C741" s="313"/>
      <c r="D741" s="313"/>
      <c r="E741" s="314"/>
      <c r="F741" s="314"/>
      <c r="G741" s="314"/>
      <c r="H741" s="314"/>
      <c r="I741" s="314"/>
      <c r="J741" s="314"/>
      <c r="K741" s="314"/>
      <c r="L741" s="314"/>
      <c r="M741" s="314"/>
      <c r="N741" s="314"/>
      <c r="O741" s="314"/>
      <c r="P741" s="314"/>
      <c r="Q741" s="314"/>
      <c r="R741" s="314"/>
      <c r="S741" s="314"/>
      <c r="T741" s="314"/>
      <c r="U741" s="314"/>
      <c r="V741" s="314"/>
      <c r="W741" s="314"/>
      <c r="X741" s="314"/>
      <c r="Y741" s="314"/>
      <c r="Z741" s="314"/>
      <c r="AA741" s="324"/>
      <c r="AB741" s="155"/>
      <c r="AC741" s="155"/>
      <c r="AD741" s="322"/>
      <c r="AE741" s="132"/>
      <c r="AF741" s="132"/>
    </row>
    <row r="742">
      <c r="A742" s="314"/>
      <c r="B742" s="313"/>
      <c r="C742" s="313"/>
      <c r="D742" s="313"/>
      <c r="E742" s="314"/>
      <c r="F742" s="314"/>
      <c r="G742" s="314"/>
      <c r="H742" s="314"/>
      <c r="I742" s="314"/>
      <c r="J742" s="314"/>
      <c r="K742" s="314"/>
      <c r="L742" s="314"/>
      <c r="M742" s="314"/>
      <c r="N742" s="314"/>
      <c r="O742" s="314"/>
      <c r="P742" s="314"/>
      <c r="Q742" s="314"/>
      <c r="R742" s="314"/>
      <c r="S742" s="314"/>
      <c r="T742" s="314"/>
      <c r="U742" s="314"/>
      <c r="V742" s="314"/>
      <c r="W742" s="314"/>
      <c r="X742" s="314"/>
      <c r="Y742" s="314"/>
      <c r="Z742" s="314"/>
      <c r="AA742" s="324"/>
      <c r="AB742" s="155"/>
      <c r="AC742" s="155"/>
      <c r="AD742" s="322"/>
      <c r="AE742" s="132"/>
      <c r="AF742" s="132"/>
    </row>
    <row r="743">
      <c r="A743" s="314"/>
      <c r="B743" s="313"/>
      <c r="C743" s="313"/>
      <c r="D743" s="313"/>
      <c r="E743" s="314"/>
      <c r="F743" s="314"/>
      <c r="G743" s="314"/>
      <c r="H743" s="314"/>
      <c r="I743" s="314"/>
      <c r="J743" s="314"/>
      <c r="K743" s="314"/>
      <c r="L743" s="314"/>
      <c r="M743" s="314"/>
      <c r="N743" s="314"/>
      <c r="O743" s="314"/>
      <c r="P743" s="314"/>
      <c r="Q743" s="314"/>
      <c r="R743" s="314"/>
      <c r="S743" s="314"/>
      <c r="T743" s="314"/>
      <c r="U743" s="314"/>
      <c r="V743" s="314"/>
      <c r="W743" s="314"/>
      <c r="X743" s="314"/>
      <c r="Y743" s="314"/>
      <c r="Z743" s="314"/>
      <c r="AA743" s="324"/>
      <c r="AB743" s="155"/>
      <c r="AC743" s="155"/>
      <c r="AD743" s="322"/>
      <c r="AE743" s="132"/>
      <c r="AF743" s="132"/>
    </row>
    <row r="744">
      <c r="A744" s="314"/>
      <c r="B744" s="313"/>
      <c r="C744" s="313"/>
      <c r="D744" s="313"/>
      <c r="E744" s="314"/>
      <c r="F744" s="314"/>
      <c r="G744" s="314"/>
      <c r="H744" s="314"/>
      <c r="I744" s="314"/>
      <c r="J744" s="314"/>
      <c r="K744" s="314"/>
      <c r="L744" s="314"/>
      <c r="M744" s="314"/>
      <c r="N744" s="314"/>
      <c r="O744" s="314"/>
      <c r="P744" s="314"/>
      <c r="Q744" s="314"/>
      <c r="R744" s="314"/>
      <c r="S744" s="314"/>
      <c r="T744" s="314"/>
      <c r="U744" s="314"/>
      <c r="V744" s="314"/>
      <c r="W744" s="314"/>
      <c r="X744" s="314"/>
      <c r="Y744" s="314"/>
      <c r="Z744" s="314"/>
      <c r="AA744" s="324"/>
      <c r="AB744" s="155"/>
      <c r="AC744" s="155"/>
      <c r="AD744" s="322"/>
      <c r="AE744" s="132"/>
      <c r="AF744" s="132"/>
    </row>
    <row r="745">
      <c r="A745" s="314"/>
      <c r="B745" s="313"/>
      <c r="C745" s="313"/>
      <c r="D745" s="313"/>
      <c r="E745" s="314"/>
      <c r="F745" s="314"/>
      <c r="G745" s="314"/>
      <c r="H745" s="314"/>
      <c r="I745" s="314"/>
      <c r="J745" s="314"/>
      <c r="K745" s="314"/>
      <c r="L745" s="314"/>
      <c r="M745" s="314"/>
      <c r="N745" s="314"/>
      <c r="O745" s="314"/>
      <c r="P745" s="314"/>
      <c r="Q745" s="314"/>
      <c r="R745" s="314"/>
      <c r="S745" s="314"/>
      <c r="T745" s="314"/>
      <c r="U745" s="314"/>
      <c r="V745" s="314"/>
      <c r="W745" s="314"/>
      <c r="X745" s="314"/>
      <c r="Y745" s="314"/>
      <c r="Z745" s="314"/>
      <c r="AA745" s="324"/>
      <c r="AB745" s="155"/>
      <c r="AC745" s="155"/>
      <c r="AD745" s="322"/>
      <c r="AE745" s="132"/>
      <c r="AF745" s="132"/>
    </row>
    <row r="746">
      <c r="A746" s="314"/>
      <c r="B746" s="313"/>
      <c r="C746" s="313"/>
      <c r="D746" s="313"/>
      <c r="E746" s="314"/>
      <c r="F746" s="314"/>
      <c r="G746" s="314"/>
      <c r="H746" s="314"/>
      <c r="I746" s="314"/>
      <c r="J746" s="314"/>
      <c r="K746" s="314"/>
      <c r="L746" s="314"/>
      <c r="M746" s="314"/>
      <c r="N746" s="314"/>
      <c r="O746" s="314"/>
      <c r="P746" s="314"/>
      <c r="Q746" s="314"/>
      <c r="R746" s="314"/>
      <c r="S746" s="314"/>
      <c r="T746" s="314"/>
      <c r="U746" s="314"/>
      <c r="V746" s="314"/>
      <c r="W746" s="314"/>
      <c r="X746" s="314"/>
      <c r="Y746" s="314"/>
      <c r="Z746" s="314"/>
      <c r="AA746" s="324"/>
      <c r="AB746" s="155"/>
      <c r="AC746" s="155"/>
      <c r="AD746" s="322"/>
      <c r="AE746" s="132"/>
      <c r="AF746" s="132"/>
    </row>
    <row r="747">
      <c r="A747" s="314"/>
      <c r="B747" s="313"/>
      <c r="C747" s="313"/>
      <c r="D747" s="313"/>
      <c r="E747" s="314"/>
      <c r="F747" s="314"/>
      <c r="G747" s="314"/>
      <c r="H747" s="314"/>
      <c r="I747" s="314"/>
      <c r="J747" s="314"/>
      <c r="K747" s="314"/>
      <c r="L747" s="314"/>
      <c r="M747" s="314"/>
      <c r="N747" s="314"/>
      <c r="O747" s="314"/>
      <c r="P747" s="314"/>
      <c r="Q747" s="314"/>
      <c r="R747" s="314"/>
      <c r="S747" s="314"/>
      <c r="T747" s="314"/>
      <c r="U747" s="314"/>
      <c r="V747" s="314"/>
      <c r="W747" s="314"/>
      <c r="X747" s="314"/>
      <c r="Y747" s="314"/>
      <c r="Z747" s="314"/>
      <c r="AA747" s="324"/>
      <c r="AB747" s="155"/>
      <c r="AC747" s="155"/>
      <c r="AD747" s="322"/>
      <c r="AE747" s="132"/>
      <c r="AF747" s="132"/>
    </row>
    <row r="748">
      <c r="A748" s="314"/>
      <c r="B748" s="313"/>
      <c r="C748" s="313"/>
      <c r="D748" s="313"/>
      <c r="E748" s="314"/>
      <c r="F748" s="314"/>
      <c r="G748" s="314"/>
      <c r="H748" s="314"/>
      <c r="I748" s="314"/>
      <c r="J748" s="314"/>
      <c r="K748" s="314"/>
      <c r="L748" s="314"/>
      <c r="M748" s="314"/>
      <c r="N748" s="314"/>
      <c r="O748" s="314"/>
      <c r="P748" s="314"/>
      <c r="Q748" s="314"/>
      <c r="R748" s="314"/>
      <c r="S748" s="314"/>
      <c r="T748" s="314"/>
      <c r="U748" s="314"/>
      <c r="V748" s="314"/>
      <c r="W748" s="314"/>
      <c r="X748" s="314"/>
      <c r="Y748" s="314"/>
      <c r="Z748" s="314"/>
      <c r="AA748" s="324"/>
      <c r="AB748" s="155"/>
      <c r="AC748" s="155"/>
      <c r="AD748" s="322"/>
      <c r="AE748" s="132"/>
      <c r="AF748" s="132"/>
    </row>
    <row r="749">
      <c r="A749" s="314"/>
      <c r="B749" s="313"/>
      <c r="C749" s="313"/>
      <c r="D749" s="313"/>
      <c r="E749" s="314"/>
      <c r="F749" s="314"/>
      <c r="G749" s="314"/>
      <c r="H749" s="314"/>
      <c r="I749" s="314"/>
      <c r="J749" s="314"/>
      <c r="K749" s="314"/>
      <c r="L749" s="314"/>
      <c r="M749" s="314"/>
      <c r="N749" s="314"/>
      <c r="O749" s="314"/>
      <c r="P749" s="314"/>
      <c r="Q749" s="314"/>
      <c r="R749" s="314"/>
      <c r="S749" s="314"/>
      <c r="T749" s="314"/>
      <c r="U749" s="314"/>
      <c r="V749" s="314"/>
      <c r="W749" s="314"/>
      <c r="X749" s="314"/>
      <c r="Y749" s="314"/>
      <c r="Z749" s="314"/>
      <c r="AA749" s="324"/>
      <c r="AB749" s="155"/>
      <c r="AC749" s="155"/>
      <c r="AD749" s="322"/>
      <c r="AE749" s="132"/>
      <c r="AF749" s="132"/>
    </row>
    <row r="750">
      <c r="A750" s="314"/>
      <c r="B750" s="313"/>
      <c r="C750" s="313"/>
      <c r="D750" s="313"/>
      <c r="E750" s="314"/>
      <c r="F750" s="314"/>
      <c r="G750" s="314"/>
      <c r="H750" s="314"/>
      <c r="I750" s="314"/>
      <c r="J750" s="314"/>
      <c r="K750" s="314"/>
      <c r="L750" s="314"/>
      <c r="M750" s="314"/>
      <c r="N750" s="314"/>
      <c r="O750" s="314"/>
      <c r="P750" s="314"/>
      <c r="Q750" s="314"/>
      <c r="R750" s="314"/>
      <c r="S750" s="314"/>
      <c r="T750" s="314"/>
      <c r="U750" s="314"/>
      <c r="V750" s="314"/>
      <c r="W750" s="314"/>
      <c r="X750" s="314"/>
      <c r="Y750" s="314"/>
      <c r="Z750" s="314"/>
      <c r="AA750" s="324"/>
      <c r="AB750" s="155"/>
      <c r="AC750" s="155"/>
      <c r="AD750" s="322"/>
      <c r="AE750" s="132"/>
      <c r="AF750" s="132"/>
    </row>
    <row r="751">
      <c r="A751" s="314"/>
      <c r="B751" s="313"/>
      <c r="C751" s="313"/>
      <c r="D751" s="313"/>
      <c r="E751" s="314"/>
      <c r="F751" s="314"/>
      <c r="G751" s="314"/>
      <c r="H751" s="314"/>
      <c r="I751" s="314"/>
      <c r="J751" s="314"/>
      <c r="K751" s="314"/>
      <c r="L751" s="314"/>
      <c r="M751" s="314"/>
      <c r="N751" s="314"/>
      <c r="O751" s="314"/>
      <c r="P751" s="314"/>
      <c r="Q751" s="314"/>
      <c r="R751" s="314"/>
      <c r="S751" s="314"/>
      <c r="T751" s="314"/>
      <c r="U751" s="314"/>
      <c r="V751" s="314"/>
      <c r="W751" s="314"/>
      <c r="X751" s="314"/>
      <c r="Y751" s="314"/>
      <c r="Z751" s="314"/>
      <c r="AA751" s="324"/>
      <c r="AB751" s="155"/>
      <c r="AC751" s="155"/>
      <c r="AD751" s="322"/>
      <c r="AE751" s="132"/>
      <c r="AF751" s="132"/>
    </row>
    <row r="752">
      <c r="A752" s="314"/>
      <c r="B752" s="313"/>
      <c r="C752" s="313"/>
      <c r="D752" s="313"/>
      <c r="E752" s="314"/>
      <c r="F752" s="314"/>
      <c r="G752" s="314"/>
      <c r="H752" s="314"/>
      <c r="I752" s="314"/>
      <c r="J752" s="314"/>
      <c r="K752" s="314"/>
      <c r="L752" s="314"/>
      <c r="M752" s="314"/>
      <c r="N752" s="314"/>
      <c r="O752" s="314"/>
      <c r="P752" s="314"/>
      <c r="Q752" s="314"/>
      <c r="R752" s="314"/>
      <c r="S752" s="314"/>
      <c r="T752" s="314"/>
      <c r="U752" s="314"/>
      <c r="V752" s="314"/>
      <c r="W752" s="314"/>
      <c r="X752" s="314"/>
      <c r="Y752" s="314"/>
      <c r="Z752" s="314"/>
      <c r="AA752" s="324"/>
      <c r="AB752" s="155"/>
      <c r="AC752" s="155"/>
      <c r="AD752" s="322"/>
      <c r="AE752" s="132"/>
      <c r="AF752" s="132"/>
    </row>
    <row r="753">
      <c r="A753" s="314"/>
      <c r="B753" s="313"/>
      <c r="C753" s="313"/>
      <c r="D753" s="313"/>
      <c r="E753" s="314"/>
      <c r="F753" s="314"/>
      <c r="G753" s="314"/>
      <c r="H753" s="314"/>
      <c r="I753" s="314"/>
      <c r="J753" s="314"/>
      <c r="K753" s="314"/>
      <c r="L753" s="314"/>
      <c r="M753" s="314"/>
      <c r="N753" s="314"/>
      <c r="O753" s="314"/>
      <c r="P753" s="314"/>
      <c r="Q753" s="314"/>
      <c r="R753" s="314"/>
      <c r="S753" s="314"/>
      <c r="T753" s="314"/>
      <c r="U753" s="314"/>
      <c r="V753" s="314"/>
      <c r="W753" s="314"/>
      <c r="X753" s="314"/>
      <c r="Y753" s="314"/>
      <c r="Z753" s="314"/>
      <c r="AA753" s="324"/>
      <c r="AB753" s="155"/>
      <c r="AC753" s="155"/>
      <c r="AD753" s="322"/>
      <c r="AE753" s="132"/>
      <c r="AF753" s="132"/>
    </row>
    <row r="754">
      <c r="A754" s="314"/>
      <c r="B754" s="313"/>
      <c r="C754" s="313"/>
      <c r="D754" s="313"/>
      <c r="E754" s="314"/>
      <c r="F754" s="314"/>
      <c r="G754" s="314"/>
      <c r="H754" s="314"/>
      <c r="I754" s="314"/>
      <c r="J754" s="314"/>
      <c r="K754" s="314"/>
      <c r="L754" s="314"/>
      <c r="M754" s="314"/>
      <c r="N754" s="314"/>
      <c r="O754" s="314"/>
      <c r="P754" s="314"/>
      <c r="Q754" s="314"/>
      <c r="R754" s="314"/>
      <c r="S754" s="314"/>
      <c r="T754" s="314"/>
      <c r="U754" s="314"/>
      <c r="V754" s="314"/>
      <c r="W754" s="314"/>
      <c r="X754" s="314"/>
      <c r="Y754" s="314"/>
      <c r="Z754" s="314"/>
      <c r="AA754" s="324"/>
      <c r="AB754" s="155"/>
      <c r="AC754" s="155"/>
      <c r="AD754" s="322"/>
      <c r="AE754" s="132"/>
      <c r="AF754" s="132"/>
    </row>
    <row r="755">
      <c r="A755" s="314"/>
      <c r="B755" s="313"/>
      <c r="C755" s="313"/>
      <c r="D755" s="313"/>
      <c r="E755" s="314"/>
      <c r="F755" s="314"/>
      <c r="G755" s="314"/>
      <c r="H755" s="314"/>
      <c r="I755" s="314"/>
      <c r="J755" s="314"/>
      <c r="K755" s="314"/>
      <c r="L755" s="314"/>
      <c r="M755" s="314"/>
      <c r="N755" s="314"/>
      <c r="O755" s="314"/>
      <c r="P755" s="314"/>
      <c r="Q755" s="314"/>
      <c r="R755" s="314"/>
      <c r="S755" s="314"/>
      <c r="T755" s="314"/>
      <c r="U755" s="314"/>
      <c r="V755" s="314"/>
      <c r="W755" s="314"/>
      <c r="X755" s="314"/>
      <c r="Y755" s="314"/>
      <c r="Z755" s="314"/>
      <c r="AA755" s="324"/>
      <c r="AB755" s="155"/>
      <c r="AC755" s="155"/>
      <c r="AD755" s="322"/>
      <c r="AE755" s="132"/>
      <c r="AF755" s="132"/>
    </row>
    <row r="756">
      <c r="A756" s="314"/>
      <c r="B756" s="313"/>
      <c r="C756" s="313"/>
      <c r="D756" s="313"/>
      <c r="E756" s="314"/>
      <c r="F756" s="314"/>
      <c r="G756" s="314"/>
      <c r="H756" s="314"/>
      <c r="I756" s="314"/>
      <c r="J756" s="314"/>
      <c r="K756" s="314"/>
      <c r="L756" s="314"/>
      <c r="M756" s="314"/>
      <c r="N756" s="314"/>
      <c r="O756" s="314"/>
      <c r="P756" s="314"/>
      <c r="Q756" s="314"/>
      <c r="R756" s="314"/>
      <c r="S756" s="314"/>
      <c r="T756" s="314"/>
      <c r="U756" s="314"/>
      <c r="V756" s="314"/>
      <c r="W756" s="314"/>
      <c r="X756" s="314"/>
      <c r="Y756" s="314"/>
      <c r="Z756" s="314"/>
      <c r="AA756" s="324"/>
      <c r="AB756" s="155"/>
      <c r="AC756" s="155"/>
      <c r="AD756" s="322"/>
      <c r="AE756" s="132"/>
      <c r="AF756" s="132"/>
    </row>
    <row r="757">
      <c r="A757" s="314"/>
      <c r="B757" s="313"/>
      <c r="C757" s="313"/>
      <c r="D757" s="313"/>
      <c r="E757" s="314"/>
      <c r="F757" s="314"/>
      <c r="G757" s="314"/>
      <c r="H757" s="314"/>
      <c r="I757" s="314"/>
      <c r="J757" s="314"/>
      <c r="K757" s="314"/>
      <c r="L757" s="314"/>
      <c r="M757" s="314"/>
      <c r="N757" s="314"/>
      <c r="O757" s="314"/>
      <c r="P757" s="314"/>
      <c r="Q757" s="314"/>
      <c r="R757" s="314"/>
      <c r="S757" s="314"/>
      <c r="T757" s="314"/>
      <c r="U757" s="314"/>
      <c r="V757" s="314"/>
      <c r="W757" s="314"/>
      <c r="X757" s="314"/>
      <c r="Y757" s="314"/>
      <c r="Z757" s="314"/>
      <c r="AA757" s="324"/>
      <c r="AB757" s="155"/>
      <c r="AC757" s="155"/>
      <c r="AD757" s="322"/>
      <c r="AE757" s="132"/>
      <c r="AF757" s="132"/>
    </row>
    <row r="758">
      <c r="A758" s="314"/>
      <c r="B758" s="313"/>
      <c r="C758" s="313"/>
      <c r="D758" s="313"/>
      <c r="E758" s="314"/>
      <c r="F758" s="314"/>
      <c r="G758" s="314"/>
      <c r="H758" s="314"/>
      <c r="I758" s="314"/>
      <c r="J758" s="314"/>
      <c r="K758" s="314"/>
      <c r="L758" s="314"/>
      <c r="M758" s="314"/>
      <c r="N758" s="314"/>
      <c r="O758" s="314"/>
      <c r="P758" s="314"/>
      <c r="Q758" s="314"/>
      <c r="R758" s="314"/>
      <c r="S758" s="314"/>
      <c r="T758" s="314"/>
      <c r="U758" s="314"/>
      <c r="V758" s="314"/>
      <c r="W758" s="314"/>
      <c r="X758" s="314"/>
      <c r="Y758" s="314"/>
      <c r="Z758" s="314"/>
      <c r="AA758" s="324"/>
      <c r="AB758" s="155"/>
      <c r="AC758" s="155"/>
      <c r="AD758" s="322"/>
      <c r="AE758" s="132"/>
      <c r="AF758" s="132"/>
    </row>
    <row r="759">
      <c r="A759" s="314"/>
      <c r="B759" s="313"/>
      <c r="C759" s="313"/>
      <c r="D759" s="313"/>
      <c r="E759" s="314"/>
      <c r="F759" s="314"/>
      <c r="G759" s="314"/>
      <c r="H759" s="314"/>
      <c r="I759" s="314"/>
      <c r="J759" s="314"/>
      <c r="K759" s="314"/>
      <c r="L759" s="314"/>
      <c r="M759" s="314"/>
      <c r="N759" s="314"/>
      <c r="O759" s="314"/>
      <c r="P759" s="314"/>
      <c r="Q759" s="314"/>
      <c r="R759" s="314"/>
      <c r="S759" s="314"/>
      <c r="T759" s="314"/>
      <c r="U759" s="314"/>
      <c r="V759" s="314"/>
      <c r="W759" s="314"/>
      <c r="X759" s="314"/>
      <c r="Y759" s="314"/>
      <c r="Z759" s="314"/>
      <c r="AA759" s="324"/>
      <c r="AB759" s="155"/>
      <c r="AC759" s="155"/>
      <c r="AD759" s="322"/>
      <c r="AE759" s="132"/>
      <c r="AF759" s="132"/>
    </row>
    <row r="760">
      <c r="A760" s="314"/>
      <c r="B760" s="313"/>
      <c r="C760" s="313"/>
      <c r="D760" s="313"/>
      <c r="E760" s="314"/>
      <c r="F760" s="314"/>
      <c r="G760" s="314"/>
      <c r="H760" s="314"/>
      <c r="I760" s="314"/>
      <c r="J760" s="314"/>
      <c r="K760" s="314"/>
      <c r="L760" s="314"/>
      <c r="M760" s="314"/>
      <c r="N760" s="314"/>
      <c r="O760" s="314"/>
      <c r="P760" s="314"/>
      <c r="Q760" s="314"/>
      <c r="R760" s="314"/>
      <c r="S760" s="314"/>
      <c r="T760" s="314"/>
      <c r="U760" s="314"/>
      <c r="V760" s="314"/>
      <c r="W760" s="314"/>
      <c r="X760" s="314"/>
      <c r="Y760" s="314"/>
      <c r="Z760" s="314"/>
      <c r="AA760" s="324"/>
      <c r="AB760" s="155"/>
      <c r="AC760" s="155"/>
      <c r="AD760" s="322"/>
      <c r="AE760" s="132"/>
      <c r="AF760" s="132"/>
    </row>
    <row r="761">
      <c r="A761" s="314"/>
      <c r="B761" s="313"/>
      <c r="C761" s="313"/>
      <c r="D761" s="313"/>
      <c r="E761" s="314"/>
      <c r="F761" s="314"/>
      <c r="G761" s="314"/>
      <c r="H761" s="314"/>
      <c r="I761" s="314"/>
      <c r="J761" s="314"/>
      <c r="K761" s="314"/>
      <c r="L761" s="314"/>
      <c r="M761" s="314"/>
      <c r="N761" s="314"/>
      <c r="O761" s="314"/>
      <c r="P761" s="314"/>
      <c r="Q761" s="314"/>
      <c r="R761" s="314"/>
      <c r="S761" s="314"/>
      <c r="T761" s="314"/>
      <c r="U761" s="314"/>
      <c r="V761" s="314"/>
      <c r="W761" s="314"/>
      <c r="X761" s="314"/>
      <c r="Y761" s="314"/>
      <c r="Z761" s="314"/>
      <c r="AA761" s="324"/>
      <c r="AB761" s="155"/>
      <c r="AC761" s="155"/>
      <c r="AD761" s="322"/>
      <c r="AE761" s="132"/>
      <c r="AF761" s="132"/>
    </row>
    <row r="762">
      <c r="A762" s="314"/>
      <c r="B762" s="313"/>
      <c r="C762" s="313"/>
      <c r="D762" s="313"/>
      <c r="E762" s="314"/>
      <c r="F762" s="314"/>
      <c r="G762" s="314"/>
      <c r="H762" s="314"/>
      <c r="I762" s="314"/>
      <c r="J762" s="314"/>
      <c r="K762" s="314"/>
      <c r="L762" s="314"/>
      <c r="M762" s="314"/>
      <c r="N762" s="314"/>
      <c r="O762" s="314"/>
      <c r="P762" s="314"/>
      <c r="Q762" s="314"/>
      <c r="R762" s="314"/>
      <c r="S762" s="314"/>
      <c r="T762" s="314"/>
      <c r="U762" s="314"/>
      <c r="V762" s="314"/>
      <c r="W762" s="314"/>
      <c r="X762" s="314"/>
      <c r="Y762" s="314"/>
      <c r="Z762" s="314"/>
      <c r="AA762" s="324"/>
      <c r="AB762" s="155"/>
      <c r="AC762" s="155"/>
      <c r="AD762" s="322"/>
      <c r="AE762" s="132"/>
      <c r="AF762" s="132"/>
    </row>
    <row r="763">
      <c r="A763" s="314"/>
      <c r="B763" s="313"/>
      <c r="C763" s="313"/>
      <c r="D763" s="313"/>
      <c r="E763" s="314"/>
      <c r="F763" s="314"/>
      <c r="G763" s="314"/>
      <c r="H763" s="314"/>
      <c r="I763" s="314"/>
      <c r="J763" s="314"/>
      <c r="K763" s="314"/>
      <c r="L763" s="314"/>
      <c r="M763" s="314"/>
      <c r="N763" s="314"/>
      <c r="O763" s="314"/>
      <c r="P763" s="314"/>
      <c r="Q763" s="314"/>
      <c r="R763" s="314"/>
      <c r="S763" s="314"/>
      <c r="T763" s="314"/>
      <c r="U763" s="314"/>
      <c r="V763" s="314"/>
      <c r="W763" s="314"/>
      <c r="X763" s="314"/>
      <c r="Y763" s="314"/>
      <c r="Z763" s="314"/>
      <c r="AA763" s="324"/>
      <c r="AB763" s="155"/>
      <c r="AC763" s="155"/>
      <c r="AD763" s="322"/>
      <c r="AE763" s="132"/>
      <c r="AF763" s="132"/>
    </row>
    <row r="764">
      <c r="A764" s="314"/>
      <c r="B764" s="313"/>
      <c r="C764" s="313"/>
      <c r="D764" s="313"/>
      <c r="E764" s="314"/>
      <c r="F764" s="314"/>
      <c r="G764" s="314"/>
      <c r="H764" s="314"/>
      <c r="I764" s="314"/>
      <c r="J764" s="314"/>
      <c r="K764" s="314"/>
      <c r="L764" s="314"/>
      <c r="M764" s="314"/>
      <c r="N764" s="314"/>
      <c r="O764" s="314"/>
      <c r="P764" s="314"/>
      <c r="Q764" s="314"/>
      <c r="R764" s="314"/>
      <c r="S764" s="314"/>
      <c r="T764" s="314"/>
      <c r="U764" s="314"/>
      <c r="V764" s="314"/>
      <c r="W764" s="314"/>
      <c r="X764" s="314"/>
      <c r="Y764" s="314"/>
      <c r="Z764" s="314"/>
      <c r="AA764" s="324"/>
      <c r="AB764" s="155"/>
      <c r="AC764" s="155"/>
      <c r="AD764" s="322"/>
      <c r="AE764" s="132"/>
      <c r="AF764" s="132"/>
    </row>
    <row r="765">
      <c r="A765" s="314"/>
      <c r="B765" s="313"/>
      <c r="C765" s="313"/>
      <c r="D765" s="313"/>
      <c r="E765" s="314"/>
      <c r="F765" s="314"/>
      <c r="G765" s="314"/>
      <c r="H765" s="314"/>
      <c r="I765" s="314"/>
      <c r="J765" s="314"/>
      <c r="K765" s="314"/>
      <c r="L765" s="314"/>
      <c r="M765" s="314"/>
      <c r="N765" s="314"/>
      <c r="O765" s="314"/>
      <c r="P765" s="314"/>
      <c r="Q765" s="314"/>
      <c r="R765" s="314"/>
      <c r="S765" s="314"/>
      <c r="T765" s="314"/>
      <c r="U765" s="314"/>
      <c r="V765" s="314"/>
      <c r="W765" s="314"/>
      <c r="X765" s="314"/>
      <c r="Y765" s="314"/>
      <c r="Z765" s="314"/>
      <c r="AA765" s="324"/>
      <c r="AB765" s="155"/>
      <c r="AC765" s="155"/>
      <c r="AD765" s="322"/>
      <c r="AE765" s="132"/>
      <c r="AF765" s="132"/>
    </row>
    <row r="766">
      <c r="A766" s="314"/>
      <c r="B766" s="313"/>
      <c r="C766" s="313"/>
      <c r="D766" s="313"/>
      <c r="E766" s="314"/>
      <c r="F766" s="314"/>
      <c r="G766" s="314"/>
      <c r="H766" s="314"/>
      <c r="I766" s="314"/>
      <c r="J766" s="314"/>
      <c r="K766" s="314"/>
      <c r="L766" s="314"/>
      <c r="M766" s="314"/>
      <c r="N766" s="314"/>
      <c r="O766" s="314"/>
      <c r="P766" s="314"/>
      <c r="Q766" s="314"/>
      <c r="R766" s="314"/>
      <c r="S766" s="314"/>
      <c r="T766" s="314"/>
      <c r="U766" s="314"/>
      <c r="V766" s="314"/>
      <c r="W766" s="314"/>
      <c r="X766" s="314"/>
      <c r="Y766" s="314"/>
      <c r="Z766" s="314"/>
      <c r="AA766" s="324"/>
      <c r="AB766" s="155"/>
      <c r="AC766" s="155"/>
      <c r="AD766" s="322"/>
      <c r="AE766" s="132"/>
      <c r="AF766" s="132"/>
    </row>
    <row r="767">
      <c r="A767" s="314"/>
      <c r="B767" s="313"/>
      <c r="C767" s="313"/>
      <c r="D767" s="313"/>
      <c r="E767" s="314"/>
      <c r="F767" s="314"/>
      <c r="G767" s="314"/>
      <c r="H767" s="314"/>
      <c r="I767" s="314"/>
      <c r="J767" s="314"/>
      <c r="K767" s="314"/>
      <c r="L767" s="314"/>
      <c r="M767" s="314"/>
      <c r="N767" s="314"/>
      <c r="O767" s="314"/>
      <c r="P767" s="314"/>
      <c r="Q767" s="314"/>
      <c r="R767" s="314"/>
      <c r="S767" s="314"/>
      <c r="T767" s="314"/>
      <c r="U767" s="314"/>
      <c r="V767" s="314"/>
      <c r="W767" s="314"/>
      <c r="X767" s="314"/>
      <c r="Y767" s="314"/>
      <c r="Z767" s="314"/>
      <c r="AA767" s="324"/>
      <c r="AB767" s="155"/>
      <c r="AC767" s="155"/>
      <c r="AD767" s="322"/>
      <c r="AE767" s="132"/>
      <c r="AF767" s="132"/>
    </row>
    <row r="768">
      <c r="A768" s="314"/>
      <c r="B768" s="313"/>
      <c r="C768" s="313"/>
      <c r="D768" s="313"/>
      <c r="E768" s="314"/>
      <c r="F768" s="314"/>
      <c r="G768" s="314"/>
      <c r="H768" s="314"/>
      <c r="I768" s="314"/>
      <c r="J768" s="314"/>
      <c r="K768" s="314"/>
      <c r="L768" s="314"/>
      <c r="M768" s="314"/>
      <c r="N768" s="314"/>
      <c r="O768" s="314"/>
      <c r="P768" s="314"/>
      <c r="Q768" s="314"/>
      <c r="R768" s="314"/>
      <c r="S768" s="314"/>
      <c r="T768" s="314"/>
      <c r="U768" s="314"/>
      <c r="V768" s="314"/>
      <c r="W768" s="314"/>
      <c r="X768" s="314"/>
      <c r="Y768" s="314"/>
      <c r="Z768" s="314"/>
      <c r="AA768" s="324"/>
      <c r="AB768" s="155"/>
      <c r="AC768" s="155"/>
      <c r="AD768" s="322"/>
      <c r="AE768" s="132"/>
      <c r="AF768" s="132"/>
    </row>
    <row r="769">
      <c r="A769" s="314"/>
      <c r="B769" s="313"/>
      <c r="C769" s="313"/>
      <c r="D769" s="313"/>
      <c r="E769" s="314"/>
      <c r="F769" s="314"/>
      <c r="G769" s="314"/>
      <c r="H769" s="314"/>
      <c r="I769" s="314"/>
      <c r="J769" s="314"/>
      <c r="K769" s="314"/>
      <c r="L769" s="314"/>
      <c r="M769" s="314"/>
      <c r="N769" s="314"/>
      <c r="O769" s="314"/>
      <c r="P769" s="314"/>
      <c r="Q769" s="314"/>
      <c r="R769" s="314"/>
      <c r="S769" s="314"/>
      <c r="T769" s="314"/>
      <c r="U769" s="314"/>
      <c r="V769" s="314"/>
      <c r="W769" s="314"/>
      <c r="X769" s="314"/>
      <c r="Y769" s="314"/>
      <c r="Z769" s="314"/>
      <c r="AA769" s="324"/>
      <c r="AB769" s="155"/>
      <c r="AC769" s="155"/>
      <c r="AD769" s="322"/>
      <c r="AE769" s="132"/>
      <c r="AF769" s="132"/>
    </row>
    <row r="770">
      <c r="A770" s="314"/>
      <c r="B770" s="313"/>
      <c r="C770" s="313"/>
      <c r="D770" s="313"/>
      <c r="E770" s="314"/>
      <c r="F770" s="314"/>
      <c r="G770" s="314"/>
      <c r="H770" s="314"/>
      <c r="I770" s="314"/>
      <c r="J770" s="314"/>
      <c r="K770" s="314"/>
      <c r="L770" s="314"/>
      <c r="M770" s="314"/>
      <c r="N770" s="314"/>
      <c r="O770" s="314"/>
      <c r="P770" s="314"/>
      <c r="Q770" s="314"/>
      <c r="R770" s="314"/>
      <c r="S770" s="314"/>
      <c r="T770" s="314"/>
      <c r="U770" s="314"/>
      <c r="V770" s="314"/>
      <c r="W770" s="314"/>
      <c r="X770" s="314"/>
      <c r="Y770" s="314"/>
      <c r="Z770" s="314"/>
      <c r="AA770" s="324"/>
      <c r="AB770" s="155"/>
      <c r="AC770" s="155"/>
      <c r="AD770" s="322"/>
      <c r="AE770" s="132"/>
      <c r="AF770" s="132"/>
    </row>
    <row r="771">
      <c r="A771" s="314"/>
      <c r="B771" s="313"/>
      <c r="C771" s="313"/>
      <c r="D771" s="313"/>
      <c r="E771" s="314"/>
      <c r="F771" s="314"/>
      <c r="G771" s="314"/>
      <c r="H771" s="314"/>
      <c r="I771" s="314"/>
      <c r="J771" s="314"/>
      <c r="K771" s="314"/>
      <c r="L771" s="314"/>
      <c r="M771" s="314"/>
      <c r="N771" s="314"/>
      <c r="O771" s="314"/>
      <c r="P771" s="314"/>
      <c r="Q771" s="314"/>
      <c r="R771" s="314"/>
      <c r="S771" s="314"/>
      <c r="T771" s="314"/>
      <c r="U771" s="314"/>
      <c r="V771" s="314"/>
      <c r="W771" s="314"/>
      <c r="X771" s="314"/>
      <c r="Y771" s="314"/>
      <c r="Z771" s="314"/>
      <c r="AA771" s="324"/>
      <c r="AB771" s="155"/>
      <c r="AC771" s="155"/>
      <c r="AD771" s="322"/>
      <c r="AE771" s="132"/>
      <c r="AF771" s="132"/>
    </row>
    <row r="772">
      <c r="A772" s="314"/>
      <c r="B772" s="313"/>
      <c r="C772" s="313"/>
      <c r="D772" s="313"/>
      <c r="E772" s="314"/>
      <c r="F772" s="314"/>
      <c r="G772" s="314"/>
      <c r="H772" s="314"/>
      <c r="I772" s="314"/>
      <c r="J772" s="314"/>
      <c r="K772" s="314"/>
      <c r="L772" s="314"/>
      <c r="M772" s="314"/>
      <c r="N772" s="314"/>
      <c r="O772" s="314"/>
      <c r="P772" s="314"/>
      <c r="Q772" s="314"/>
      <c r="R772" s="314"/>
      <c r="S772" s="314"/>
      <c r="T772" s="314"/>
      <c r="U772" s="314"/>
      <c r="V772" s="314"/>
      <c r="W772" s="314"/>
      <c r="X772" s="314"/>
      <c r="Y772" s="314"/>
      <c r="Z772" s="314"/>
      <c r="AA772" s="324"/>
      <c r="AB772" s="155"/>
      <c r="AC772" s="155"/>
      <c r="AD772" s="322"/>
      <c r="AE772" s="132"/>
      <c r="AF772" s="132"/>
    </row>
    <row r="773">
      <c r="A773" s="314"/>
      <c r="B773" s="313"/>
      <c r="C773" s="313"/>
      <c r="D773" s="313"/>
      <c r="E773" s="314"/>
      <c r="F773" s="314"/>
      <c r="G773" s="314"/>
      <c r="H773" s="314"/>
      <c r="I773" s="314"/>
      <c r="J773" s="314"/>
      <c r="K773" s="314"/>
      <c r="L773" s="314"/>
      <c r="M773" s="314"/>
      <c r="N773" s="314"/>
      <c r="O773" s="314"/>
      <c r="P773" s="314"/>
      <c r="Q773" s="314"/>
      <c r="R773" s="314"/>
      <c r="S773" s="314"/>
      <c r="T773" s="314"/>
      <c r="U773" s="314"/>
      <c r="V773" s="314"/>
      <c r="W773" s="314"/>
      <c r="X773" s="314"/>
      <c r="Y773" s="314"/>
      <c r="Z773" s="314"/>
      <c r="AA773" s="324"/>
      <c r="AB773" s="155"/>
      <c r="AC773" s="155"/>
      <c r="AD773" s="322"/>
      <c r="AE773" s="132"/>
      <c r="AF773" s="132"/>
    </row>
    <row r="774">
      <c r="A774" s="314"/>
      <c r="B774" s="313"/>
      <c r="C774" s="313"/>
      <c r="D774" s="313"/>
      <c r="E774" s="314"/>
      <c r="F774" s="314"/>
      <c r="G774" s="314"/>
      <c r="H774" s="314"/>
      <c r="I774" s="314"/>
      <c r="J774" s="314"/>
      <c r="K774" s="314"/>
      <c r="L774" s="314"/>
      <c r="M774" s="314"/>
      <c r="N774" s="314"/>
      <c r="O774" s="314"/>
      <c r="P774" s="314"/>
      <c r="Q774" s="314"/>
      <c r="R774" s="314"/>
      <c r="S774" s="314"/>
      <c r="T774" s="314"/>
      <c r="U774" s="314"/>
      <c r="V774" s="314"/>
      <c r="W774" s="314"/>
      <c r="X774" s="314"/>
      <c r="Y774" s="314"/>
      <c r="Z774" s="314"/>
      <c r="AA774" s="324"/>
      <c r="AB774" s="155"/>
      <c r="AC774" s="155"/>
      <c r="AD774" s="322"/>
      <c r="AE774" s="132"/>
      <c r="AF774" s="132"/>
    </row>
    <row r="775">
      <c r="A775" s="314"/>
      <c r="B775" s="313"/>
      <c r="C775" s="313"/>
      <c r="D775" s="313"/>
      <c r="E775" s="314"/>
      <c r="F775" s="314"/>
      <c r="G775" s="314"/>
      <c r="H775" s="314"/>
      <c r="I775" s="314"/>
      <c r="J775" s="314"/>
      <c r="K775" s="314"/>
      <c r="L775" s="314"/>
      <c r="M775" s="314"/>
      <c r="N775" s="314"/>
      <c r="O775" s="314"/>
      <c r="P775" s="314"/>
      <c r="Q775" s="314"/>
      <c r="R775" s="314"/>
      <c r="S775" s="314"/>
      <c r="T775" s="314"/>
      <c r="U775" s="314"/>
      <c r="V775" s="314"/>
      <c r="W775" s="314"/>
      <c r="X775" s="314"/>
      <c r="Y775" s="314"/>
      <c r="Z775" s="314"/>
      <c r="AA775" s="324"/>
      <c r="AB775" s="155"/>
      <c r="AC775" s="155"/>
      <c r="AD775" s="322"/>
      <c r="AE775" s="132"/>
      <c r="AF775" s="132"/>
    </row>
    <row r="776">
      <c r="A776" s="314"/>
      <c r="B776" s="313"/>
      <c r="C776" s="313"/>
      <c r="D776" s="313"/>
      <c r="E776" s="314"/>
      <c r="F776" s="314"/>
      <c r="G776" s="314"/>
      <c r="H776" s="314"/>
      <c r="I776" s="314"/>
      <c r="J776" s="314"/>
      <c r="K776" s="314"/>
      <c r="L776" s="314"/>
      <c r="M776" s="314"/>
      <c r="N776" s="314"/>
      <c r="O776" s="314"/>
      <c r="P776" s="314"/>
      <c r="Q776" s="314"/>
      <c r="R776" s="314"/>
      <c r="S776" s="314"/>
      <c r="T776" s="314"/>
      <c r="U776" s="314"/>
      <c r="V776" s="314"/>
      <c r="W776" s="314"/>
      <c r="X776" s="314"/>
      <c r="Y776" s="314"/>
      <c r="Z776" s="314"/>
      <c r="AA776" s="324"/>
      <c r="AB776" s="155"/>
      <c r="AC776" s="155"/>
      <c r="AD776" s="322"/>
      <c r="AE776" s="132"/>
      <c r="AF776" s="132"/>
    </row>
    <row r="777">
      <c r="A777" s="314"/>
      <c r="B777" s="313"/>
      <c r="C777" s="313"/>
      <c r="D777" s="313"/>
      <c r="E777" s="314"/>
      <c r="F777" s="314"/>
      <c r="G777" s="314"/>
      <c r="H777" s="314"/>
      <c r="I777" s="314"/>
      <c r="J777" s="314"/>
      <c r="K777" s="314"/>
      <c r="L777" s="314"/>
      <c r="M777" s="314"/>
      <c r="N777" s="314"/>
      <c r="O777" s="314"/>
      <c r="P777" s="314"/>
      <c r="Q777" s="314"/>
      <c r="R777" s="314"/>
      <c r="S777" s="314"/>
      <c r="T777" s="314"/>
      <c r="U777" s="314"/>
      <c r="V777" s="314"/>
      <c r="W777" s="314"/>
      <c r="X777" s="314"/>
      <c r="Y777" s="314"/>
      <c r="Z777" s="314"/>
      <c r="AA777" s="324"/>
      <c r="AB777" s="155"/>
      <c r="AC777" s="155"/>
      <c r="AD777" s="322"/>
      <c r="AE777" s="132"/>
      <c r="AF777" s="132"/>
    </row>
    <row r="778">
      <c r="A778" s="314"/>
      <c r="B778" s="313"/>
      <c r="C778" s="313"/>
      <c r="D778" s="313"/>
      <c r="E778" s="314"/>
      <c r="F778" s="314"/>
      <c r="G778" s="314"/>
      <c r="H778" s="314"/>
      <c r="I778" s="314"/>
      <c r="J778" s="314"/>
      <c r="K778" s="314"/>
      <c r="L778" s="314"/>
      <c r="M778" s="314"/>
      <c r="N778" s="314"/>
      <c r="O778" s="314"/>
      <c r="P778" s="314"/>
      <c r="Q778" s="314"/>
      <c r="R778" s="314"/>
      <c r="S778" s="314"/>
      <c r="T778" s="314"/>
      <c r="U778" s="314"/>
      <c r="V778" s="314"/>
      <c r="W778" s="314"/>
      <c r="X778" s="314"/>
      <c r="Y778" s="314"/>
      <c r="Z778" s="314"/>
      <c r="AA778" s="324"/>
      <c r="AB778" s="155"/>
      <c r="AC778" s="155"/>
      <c r="AD778" s="322"/>
      <c r="AE778" s="132"/>
      <c r="AF778" s="132"/>
    </row>
    <row r="779">
      <c r="A779" s="314"/>
      <c r="B779" s="313"/>
      <c r="C779" s="313"/>
      <c r="D779" s="313"/>
      <c r="E779" s="314"/>
      <c r="F779" s="314"/>
      <c r="G779" s="314"/>
      <c r="H779" s="314"/>
      <c r="I779" s="314"/>
      <c r="J779" s="314"/>
      <c r="K779" s="314"/>
      <c r="L779" s="314"/>
      <c r="M779" s="314"/>
      <c r="N779" s="314"/>
      <c r="O779" s="314"/>
      <c r="P779" s="314"/>
      <c r="Q779" s="314"/>
      <c r="R779" s="314"/>
      <c r="S779" s="314"/>
      <c r="T779" s="314"/>
      <c r="U779" s="314"/>
      <c r="V779" s="314"/>
      <c r="W779" s="314"/>
      <c r="X779" s="314"/>
      <c r="Y779" s="314"/>
      <c r="Z779" s="314"/>
      <c r="AA779" s="324"/>
      <c r="AB779" s="155"/>
      <c r="AC779" s="155"/>
      <c r="AD779" s="322"/>
      <c r="AE779" s="132"/>
      <c r="AF779" s="132"/>
    </row>
    <row r="780">
      <c r="A780" s="314"/>
      <c r="B780" s="313"/>
      <c r="C780" s="313"/>
      <c r="D780" s="313"/>
      <c r="E780" s="314"/>
      <c r="F780" s="314"/>
      <c r="G780" s="314"/>
      <c r="H780" s="314"/>
      <c r="I780" s="314"/>
      <c r="J780" s="314"/>
      <c r="K780" s="314"/>
      <c r="L780" s="314"/>
      <c r="M780" s="314"/>
      <c r="N780" s="314"/>
      <c r="O780" s="314"/>
      <c r="P780" s="314"/>
      <c r="Q780" s="314"/>
      <c r="R780" s="314"/>
      <c r="S780" s="314"/>
      <c r="T780" s="314"/>
      <c r="U780" s="314"/>
      <c r="V780" s="314"/>
      <c r="W780" s="314"/>
      <c r="X780" s="314"/>
      <c r="Y780" s="314"/>
      <c r="Z780" s="314"/>
      <c r="AA780" s="324"/>
      <c r="AB780" s="155"/>
      <c r="AC780" s="155"/>
      <c r="AD780" s="322"/>
      <c r="AE780" s="132"/>
      <c r="AF780" s="132"/>
    </row>
    <row r="781">
      <c r="A781" s="314"/>
      <c r="B781" s="313"/>
      <c r="C781" s="313"/>
      <c r="D781" s="313"/>
      <c r="E781" s="314"/>
      <c r="F781" s="314"/>
      <c r="G781" s="314"/>
      <c r="H781" s="314"/>
      <c r="I781" s="314"/>
      <c r="J781" s="314"/>
      <c r="K781" s="314"/>
      <c r="L781" s="314"/>
      <c r="M781" s="314"/>
      <c r="N781" s="314"/>
      <c r="O781" s="314"/>
      <c r="P781" s="314"/>
      <c r="Q781" s="314"/>
      <c r="R781" s="314"/>
      <c r="S781" s="314"/>
      <c r="T781" s="314"/>
      <c r="U781" s="314"/>
      <c r="V781" s="314"/>
      <c r="W781" s="314"/>
      <c r="X781" s="314"/>
      <c r="Y781" s="314"/>
      <c r="Z781" s="314"/>
      <c r="AA781" s="324"/>
      <c r="AB781" s="155"/>
      <c r="AC781" s="155"/>
      <c r="AD781" s="322"/>
      <c r="AE781" s="132"/>
      <c r="AF781" s="132"/>
    </row>
    <row r="782">
      <c r="A782" s="314"/>
      <c r="B782" s="313"/>
      <c r="C782" s="313"/>
      <c r="D782" s="313"/>
      <c r="E782" s="314"/>
      <c r="F782" s="314"/>
      <c r="G782" s="314"/>
      <c r="H782" s="314"/>
      <c r="I782" s="314"/>
      <c r="J782" s="314"/>
      <c r="K782" s="314"/>
      <c r="L782" s="314"/>
      <c r="M782" s="314"/>
      <c r="N782" s="314"/>
      <c r="O782" s="314"/>
      <c r="P782" s="314"/>
      <c r="Q782" s="314"/>
      <c r="R782" s="314"/>
      <c r="S782" s="314"/>
      <c r="T782" s="314"/>
      <c r="U782" s="314"/>
      <c r="V782" s="314"/>
      <c r="W782" s="314"/>
      <c r="X782" s="314"/>
      <c r="Y782" s="314"/>
      <c r="Z782" s="314"/>
      <c r="AA782" s="324"/>
      <c r="AB782" s="155"/>
      <c r="AC782" s="155"/>
      <c r="AD782" s="322"/>
      <c r="AE782" s="132"/>
      <c r="AF782" s="132"/>
    </row>
    <row r="783">
      <c r="A783" s="314"/>
      <c r="B783" s="313"/>
      <c r="C783" s="313"/>
      <c r="D783" s="313"/>
      <c r="E783" s="314"/>
      <c r="F783" s="314"/>
      <c r="G783" s="314"/>
      <c r="H783" s="314"/>
      <c r="I783" s="314"/>
      <c r="J783" s="314"/>
      <c r="K783" s="314"/>
      <c r="L783" s="314"/>
      <c r="M783" s="314"/>
      <c r="N783" s="314"/>
      <c r="O783" s="314"/>
      <c r="P783" s="314"/>
      <c r="Q783" s="314"/>
      <c r="R783" s="314"/>
      <c r="S783" s="314"/>
      <c r="T783" s="314"/>
      <c r="U783" s="314"/>
      <c r="V783" s="314"/>
      <c r="W783" s="314"/>
      <c r="X783" s="314"/>
      <c r="Y783" s="314"/>
      <c r="Z783" s="314"/>
      <c r="AA783" s="324"/>
      <c r="AB783" s="155"/>
      <c r="AC783" s="155"/>
      <c r="AD783" s="322"/>
      <c r="AE783" s="132"/>
      <c r="AF783" s="132"/>
    </row>
    <row r="784">
      <c r="A784" s="314"/>
      <c r="B784" s="313"/>
      <c r="C784" s="313"/>
      <c r="D784" s="313"/>
      <c r="E784" s="314"/>
      <c r="F784" s="314"/>
      <c r="G784" s="314"/>
      <c r="H784" s="314"/>
      <c r="I784" s="314"/>
      <c r="J784" s="314"/>
      <c r="K784" s="314"/>
      <c r="L784" s="314"/>
      <c r="M784" s="314"/>
      <c r="N784" s="314"/>
      <c r="O784" s="314"/>
      <c r="P784" s="314"/>
      <c r="Q784" s="314"/>
      <c r="R784" s="314"/>
      <c r="S784" s="314"/>
      <c r="T784" s="314"/>
      <c r="U784" s="314"/>
      <c r="V784" s="314"/>
      <c r="W784" s="314"/>
      <c r="X784" s="314"/>
      <c r="Y784" s="314"/>
      <c r="Z784" s="314"/>
      <c r="AA784" s="324"/>
      <c r="AB784" s="155"/>
      <c r="AC784" s="155"/>
      <c r="AD784" s="322"/>
      <c r="AE784" s="132"/>
      <c r="AF784" s="132"/>
    </row>
    <row r="785">
      <c r="A785" s="314"/>
      <c r="B785" s="313"/>
      <c r="C785" s="313"/>
      <c r="D785" s="313"/>
      <c r="E785" s="314"/>
      <c r="F785" s="314"/>
      <c r="G785" s="314"/>
      <c r="H785" s="314"/>
      <c r="I785" s="314"/>
      <c r="J785" s="314"/>
      <c r="K785" s="314"/>
      <c r="L785" s="314"/>
      <c r="M785" s="314"/>
      <c r="N785" s="314"/>
      <c r="O785" s="314"/>
      <c r="P785" s="314"/>
      <c r="Q785" s="314"/>
      <c r="R785" s="314"/>
      <c r="S785" s="314"/>
      <c r="T785" s="314"/>
      <c r="U785" s="314"/>
      <c r="V785" s="314"/>
      <c r="W785" s="314"/>
      <c r="X785" s="314"/>
      <c r="Y785" s="314"/>
      <c r="Z785" s="314"/>
      <c r="AA785" s="324"/>
      <c r="AB785" s="155"/>
      <c r="AC785" s="155"/>
      <c r="AD785" s="322"/>
      <c r="AE785" s="132"/>
      <c r="AF785" s="132"/>
    </row>
    <row r="786">
      <c r="A786" s="314"/>
      <c r="B786" s="313"/>
      <c r="C786" s="313"/>
      <c r="D786" s="313"/>
      <c r="E786" s="314"/>
      <c r="F786" s="314"/>
      <c r="G786" s="314"/>
      <c r="H786" s="314"/>
      <c r="I786" s="314"/>
      <c r="J786" s="314"/>
      <c r="K786" s="314"/>
      <c r="L786" s="314"/>
      <c r="M786" s="314"/>
      <c r="N786" s="314"/>
      <c r="O786" s="314"/>
      <c r="P786" s="314"/>
      <c r="Q786" s="314"/>
      <c r="R786" s="314"/>
      <c r="S786" s="314"/>
      <c r="T786" s="314"/>
      <c r="U786" s="314"/>
      <c r="V786" s="314"/>
      <c r="W786" s="314"/>
      <c r="X786" s="314"/>
      <c r="Y786" s="314"/>
      <c r="Z786" s="314"/>
      <c r="AA786" s="324"/>
      <c r="AB786" s="155"/>
      <c r="AC786" s="155"/>
      <c r="AD786" s="322"/>
      <c r="AE786" s="132"/>
      <c r="AF786" s="132"/>
    </row>
    <row r="787">
      <c r="A787" s="314"/>
      <c r="B787" s="313"/>
      <c r="C787" s="313"/>
      <c r="D787" s="313"/>
      <c r="E787" s="314"/>
      <c r="F787" s="314"/>
      <c r="G787" s="314"/>
      <c r="H787" s="314"/>
      <c r="I787" s="314"/>
      <c r="J787" s="314"/>
      <c r="K787" s="314"/>
      <c r="L787" s="314"/>
      <c r="M787" s="314"/>
      <c r="N787" s="314"/>
      <c r="O787" s="314"/>
      <c r="P787" s="314"/>
      <c r="Q787" s="314"/>
      <c r="R787" s="314"/>
      <c r="S787" s="314"/>
      <c r="T787" s="314"/>
      <c r="U787" s="314"/>
      <c r="V787" s="314"/>
      <c r="W787" s="314"/>
      <c r="X787" s="314"/>
      <c r="Y787" s="314"/>
      <c r="Z787" s="314"/>
      <c r="AA787" s="324"/>
      <c r="AB787" s="155"/>
      <c r="AC787" s="155"/>
      <c r="AD787" s="322"/>
      <c r="AE787" s="132"/>
      <c r="AF787" s="132"/>
    </row>
    <row r="788">
      <c r="A788" s="435"/>
      <c r="B788" s="313"/>
      <c r="C788" s="437"/>
      <c r="D788" s="313"/>
      <c r="E788" s="435"/>
      <c r="F788" s="314"/>
      <c r="G788" s="314"/>
      <c r="H788" s="435"/>
      <c r="I788" s="435"/>
      <c r="J788" s="314"/>
      <c r="K788" s="435"/>
      <c r="L788" s="435"/>
      <c r="M788" s="314"/>
      <c r="N788" s="314"/>
      <c r="O788" s="314"/>
      <c r="P788" s="435"/>
      <c r="Q788" s="435"/>
      <c r="R788" s="435"/>
      <c r="S788" s="435"/>
      <c r="T788" s="435"/>
      <c r="U788" s="435"/>
      <c r="V788" s="435"/>
      <c r="W788" s="435"/>
      <c r="X788" s="435"/>
      <c r="Y788" s="435"/>
      <c r="Z788" s="435"/>
      <c r="AA788" s="324"/>
      <c r="AB788" s="180"/>
      <c r="AC788" s="155"/>
      <c r="AD788" s="322"/>
      <c r="AE788" s="132"/>
      <c r="AF788" s="132"/>
    </row>
    <row r="789">
      <c r="A789" s="435"/>
      <c r="B789" s="313"/>
      <c r="C789" s="313"/>
      <c r="D789" s="437"/>
      <c r="E789" s="314"/>
      <c r="F789" s="314"/>
      <c r="G789" s="314"/>
      <c r="H789" s="314"/>
      <c r="I789" s="314"/>
      <c r="J789" s="314"/>
      <c r="K789" s="314"/>
      <c r="L789" s="314"/>
      <c r="M789" s="435"/>
      <c r="N789" s="435"/>
      <c r="O789" s="314"/>
      <c r="P789" s="314"/>
      <c r="Q789" s="314"/>
      <c r="R789" s="314"/>
      <c r="S789" s="314"/>
      <c r="T789" s="314"/>
      <c r="U789" s="314"/>
      <c r="V789" s="314"/>
      <c r="W789" s="314"/>
      <c r="X789" s="314"/>
      <c r="Y789" s="314"/>
      <c r="Z789" s="314"/>
      <c r="AA789" s="324"/>
      <c r="AB789" s="180"/>
      <c r="AC789" s="155"/>
      <c r="AD789" s="322"/>
      <c r="AE789" s="132"/>
      <c r="AF789" s="132"/>
    </row>
    <row r="790">
      <c r="A790" s="435"/>
      <c r="B790" s="437"/>
      <c r="C790" s="437"/>
      <c r="D790" s="437"/>
      <c r="E790" s="435"/>
      <c r="F790" s="314"/>
      <c r="G790" s="314"/>
      <c r="H790" s="314"/>
      <c r="I790" s="435"/>
      <c r="J790" s="435"/>
      <c r="K790" s="435"/>
      <c r="L790" s="435"/>
      <c r="M790" s="435"/>
      <c r="N790" s="435"/>
      <c r="O790" s="314"/>
      <c r="P790" s="435"/>
      <c r="Q790" s="314"/>
      <c r="R790" s="435"/>
      <c r="S790" s="435"/>
      <c r="T790" s="435"/>
      <c r="U790" s="435"/>
      <c r="V790" s="435"/>
      <c r="W790" s="435"/>
      <c r="X790" s="435"/>
      <c r="Y790" s="435"/>
      <c r="Z790" s="435"/>
      <c r="AA790" s="324"/>
      <c r="AB790" s="180"/>
      <c r="AC790" s="155"/>
      <c r="AD790" s="322"/>
      <c r="AE790" s="132"/>
      <c r="AF790" s="132"/>
    </row>
    <row r="791">
      <c r="A791" s="435"/>
      <c r="B791" s="313"/>
      <c r="C791" s="313"/>
      <c r="D791" s="437"/>
      <c r="E791" s="314"/>
      <c r="F791" s="314"/>
      <c r="G791" s="314"/>
      <c r="H791" s="314"/>
      <c r="I791" s="435"/>
      <c r="J791" s="314"/>
      <c r="K791" s="435"/>
      <c r="L791" s="314"/>
      <c r="M791" s="314"/>
      <c r="N791" s="314"/>
      <c r="O791" s="314"/>
      <c r="P791" s="314"/>
      <c r="Q791" s="435"/>
      <c r="R791" s="435"/>
      <c r="S791" s="314"/>
      <c r="T791" s="314"/>
      <c r="U791" s="314"/>
      <c r="V791" s="314"/>
      <c r="W791" s="314"/>
      <c r="X791" s="314"/>
      <c r="Y791" s="314"/>
      <c r="Z791" s="314"/>
      <c r="AA791" s="324"/>
      <c r="AB791" s="180"/>
      <c r="AC791" s="155"/>
      <c r="AD791" s="322"/>
      <c r="AE791" s="132"/>
      <c r="AF791" s="132"/>
    </row>
    <row r="792">
      <c r="A792" s="435"/>
      <c r="B792" s="437"/>
      <c r="C792" s="437"/>
      <c r="D792" s="437"/>
      <c r="E792" s="435"/>
      <c r="F792" s="314"/>
      <c r="G792" s="314"/>
      <c r="H792" s="435"/>
      <c r="I792" s="435"/>
      <c r="J792" s="435"/>
      <c r="K792" s="435"/>
      <c r="L792" s="435"/>
      <c r="M792" s="435"/>
      <c r="N792" s="435"/>
      <c r="O792" s="314"/>
      <c r="P792" s="435"/>
      <c r="Q792" s="435"/>
      <c r="R792" s="435"/>
      <c r="S792" s="435"/>
      <c r="T792" s="435"/>
      <c r="U792" s="435"/>
      <c r="V792" s="435"/>
      <c r="W792" s="435"/>
      <c r="X792" s="435"/>
      <c r="Y792" s="435"/>
      <c r="Z792" s="435"/>
      <c r="AA792" s="324"/>
      <c r="AB792" s="180"/>
      <c r="AC792" s="155"/>
      <c r="AD792" s="322"/>
      <c r="AE792" s="132"/>
      <c r="AF792" s="132"/>
    </row>
    <row r="793">
      <c r="A793" s="435"/>
      <c r="B793" s="437"/>
      <c r="C793" s="313"/>
      <c r="D793" s="437"/>
      <c r="E793" s="314"/>
      <c r="F793" s="314"/>
      <c r="G793" s="314"/>
      <c r="H793" s="314"/>
      <c r="I793" s="314"/>
      <c r="J793" s="314"/>
      <c r="K793" s="435"/>
      <c r="L793" s="314"/>
      <c r="M793" s="314"/>
      <c r="N793" s="314"/>
      <c r="O793" s="314"/>
      <c r="P793" s="314"/>
      <c r="Q793" s="314"/>
      <c r="R793" s="314"/>
      <c r="S793" s="435"/>
      <c r="T793" s="435"/>
      <c r="U793" s="435"/>
      <c r="V793" s="435"/>
      <c r="W793" s="435"/>
      <c r="X793" s="435"/>
      <c r="Y793" s="435"/>
      <c r="Z793" s="435"/>
      <c r="AA793" s="324"/>
      <c r="AB793" s="180"/>
      <c r="AC793" s="155"/>
      <c r="AD793" s="322"/>
      <c r="AE793" s="132"/>
      <c r="AF793" s="132"/>
    </row>
    <row r="794">
      <c r="A794" s="435"/>
      <c r="B794" s="437"/>
      <c r="C794" s="437"/>
      <c r="D794" s="437"/>
      <c r="E794" s="435"/>
      <c r="F794" s="314"/>
      <c r="G794" s="314"/>
      <c r="H794" s="435"/>
      <c r="I794" s="314"/>
      <c r="J794" s="314"/>
      <c r="K794" s="435"/>
      <c r="L794" s="314"/>
      <c r="M794" s="314"/>
      <c r="N794" s="314"/>
      <c r="O794" s="314"/>
      <c r="P794" s="435"/>
      <c r="Q794" s="435"/>
      <c r="R794" s="435"/>
      <c r="S794" s="435"/>
      <c r="T794" s="435"/>
      <c r="U794" s="435"/>
      <c r="V794" s="435"/>
      <c r="W794" s="435"/>
      <c r="X794" s="435"/>
      <c r="Y794" s="435"/>
      <c r="Z794" s="435"/>
      <c r="AA794" s="324"/>
      <c r="AB794" s="180"/>
      <c r="AC794" s="155"/>
      <c r="AD794" s="322"/>
      <c r="AE794" s="132"/>
      <c r="AF794" s="132"/>
    </row>
    <row r="795">
      <c r="A795" s="435"/>
      <c r="B795" s="437"/>
      <c r="C795" s="437"/>
      <c r="D795" s="437"/>
      <c r="E795" s="435"/>
      <c r="F795" s="314"/>
      <c r="G795" s="314"/>
      <c r="H795" s="435"/>
      <c r="I795" s="435"/>
      <c r="J795" s="435"/>
      <c r="K795" s="435"/>
      <c r="L795" s="435"/>
      <c r="M795" s="435"/>
      <c r="N795" s="435"/>
      <c r="O795" s="314"/>
      <c r="P795" s="435"/>
      <c r="Q795" s="435"/>
      <c r="R795" s="435"/>
      <c r="S795" s="435"/>
      <c r="T795" s="435"/>
      <c r="U795" s="435"/>
      <c r="V795" s="435"/>
      <c r="W795" s="435"/>
      <c r="X795" s="435"/>
      <c r="Y795" s="435"/>
      <c r="Z795" s="435"/>
      <c r="AA795" s="324"/>
      <c r="AB795" s="180"/>
      <c r="AC795" s="155"/>
      <c r="AD795" s="322"/>
      <c r="AE795" s="132"/>
      <c r="AF795" s="132"/>
    </row>
    <row r="796">
      <c r="A796" s="435"/>
      <c r="B796" s="313"/>
      <c r="C796" s="313"/>
      <c r="D796" s="313"/>
      <c r="E796" s="435"/>
      <c r="F796" s="314"/>
      <c r="G796" s="314"/>
      <c r="H796" s="435"/>
      <c r="I796" s="314"/>
      <c r="J796" s="314"/>
      <c r="K796" s="314"/>
      <c r="L796" s="314"/>
      <c r="M796" s="314"/>
      <c r="N796" s="314"/>
      <c r="O796" s="314"/>
      <c r="P796" s="314"/>
      <c r="Q796" s="314"/>
      <c r="R796" s="314"/>
      <c r="S796" s="314"/>
      <c r="T796" s="314"/>
      <c r="U796" s="314"/>
      <c r="V796" s="314"/>
      <c r="W796" s="314"/>
      <c r="X796" s="314"/>
      <c r="Y796" s="314"/>
      <c r="Z796" s="314"/>
      <c r="AA796" s="324"/>
      <c r="AB796" s="180"/>
      <c r="AC796" s="155"/>
      <c r="AD796" s="322"/>
      <c r="AE796" s="132"/>
      <c r="AF796" s="132"/>
    </row>
    <row r="797">
      <c r="A797" s="435"/>
      <c r="B797" s="313"/>
      <c r="C797" s="313"/>
      <c r="D797" s="437"/>
      <c r="E797" s="314"/>
      <c r="F797" s="314"/>
      <c r="G797" s="314"/>
      <c r="H797" s="435"/>
      <c r="I797" s="314"/>
      <c r="J797" s="435"/>
      <c r="K797" s="435"/>
      <c r="L797" s="314"/>
      <c r="M797" s="435"/>
      <c r="N797" s="314"/>
      <c r="O797" s="314"/>
      <c r="P797" s="314"/>
      <c r="Q797" s="314"/>
      <c r="R797" s="435"/>
      <c r="S797" s="435"/>
      <c r="T797" s="435"/>
      <c r="U797" s="435"/>
      <c r="V797" s="435"/>
      <c r="W797" s="435"/>
      <c r="X797" s="435"/>
      <c r="Y797" s="435"/>
      <c r="Z797" s="435"/>
      <c r="AA797" s="324"/>
      <c r="AB797" s="180"/>
      <c r="AC797" s="155"/>
      <c r="AD797" s="322"/>
      <c r="AE797" s="132"/>
      <c r="AF797" s="132"/>
    </row>
    <row r="798">
      <c r="A798" s="435"/>
      <c r="B798" s="313"/>
      <c r="C798" s="313"/>
      <c r="D798" s="313"/>
      <c r="E798" s="314"/>
      <c r="F798" s="314"/>
      <c r="G798" s="314"/>
      <c r="H798" s="314"/>
      <c r="I798" s="314"/>
      <c r="J798" s="314"/>
      <c r="K798" s="314"/>
      <c r="L798" s="314"/>
      <c r="M798" s="314"/>
      <c r="N798" s="314"/>
      <c r="O798" s="314"/>
      <c r="P798" s="314"/>
      <c r="Q798" s="435"/>
      <c r="R798" s="314"/>
      <c r="S798" s="435"/>
      <c r="T798" s="435"/>
      <c r="U798" s="435"/>
      <c r="V798" s="435"/>
      <c r="W798" s="435"/>
      <c r="X798" s="435"/>
      <c r="Y798" s="435"/>
      <c r="Z798" s="435"/>
      <c r="AA798" s="324"/>
      <c r="AB798" s="180"/>
      <c r="AC798" s="155"/>
      <c r="AD798" s="322"/>
      <c r="AE798" s="132"/>
      <c r="AF798" s="132"/>
    </row>
    <row r="799">
      <c r="A799" s="435"/>
      <c r="B799" s="437"/>
      <c r="C799" s="313"/>
      <c r="D799" s="313"/>
      <c r="E799" s="314"/>
      <c r="F799" s="314"/>
      <c r="G799" s="314"/>
      <c r="H799" s="435"/>
      <c r="I799" s="314"/>
      <c r="J799" s="435"/>
      <c r="K799" s="435"/>
      <c r="L799" s="314"/>
      <c r="M799" s="314"/>
      <c r="N799" s="435"/>
      <c r="O799" s="314"/>
      <c r="P799" s="314"/>
      <c r="Q799" s="314"/>
      <c r="R799" s="435"/>
      <c r="S799" s="435"/>
      <c r="T799" s="435"/>
      <c r="U799" s="435"/>
      <c r="V799" s="435"/>
      <c r="W799" s="435"/>
      <c r="X799" s="435"/>
      <c r="Y799" s="435"/>
      <c r="Z799" s="435"/>
      <c r="AA799" s="324"/>
      <c r="AB799" s="180"/>
      <c r="AC799" s="155"/>
      <c r="AD799" s="322"/>
      <c r="AE799" s="132"/>
      <c r="AF799" s="132"/>
    </row>
    <row r="800">
      <c r="A800" s="435"/>
      <c r="B800" s="313"/>
      <c r="C800" s="437"/>
      <c r="D800" s="437"/>
      <c r="E800" s="435"/>
      <c r="F800" s="314"/>
      <c r="G800" s="314"/>
      <c r="H800" s="435"/>
      <c r="I800" s="314"/>
      <c r="J800" s="314"/>
      <c r="K800" s="435"/>
      <c r="L800" s="314"/>
      <c r="M800" s="314"/>
      <c r="N800" s="314"/>
      <c r="O800" s="314"/>
      <c r="P800" s="314"/>
      <c r="Q800" s="314"/>
      <c r="R800" s="314"/>
      <c r="S800" s="435"/>
      <c r="T800" s="435"/>
      <c r="U800" s="435"/>
      <c r="V800" s="435"/>
      <c r="W800" s="435"/>
      <c r="X800" s="435"/>
      <c r="Y800" s="435"/>
      <c r="Z800" s="435"/>
      <c r="AA800" s="324"/>
      <c r="AB800" s="180"/>
      <c r="AC800" s="155"/>
      <c r="AD800" s="322"/>
      <c r="AE800" s="132"/>
      <c r="AF800" s="132"/>
    </row>
    <row r="801">
      <c r="A801" s="435"/>
      <c r="B801" s="313"/>
      <c r="C801" s="313"/>
      <c r="D801" s="313"/>
      <c r="E801" s="314"/>
      <c r="F801" s="314"/>
      <c r="G801" s="314"/>
      <c r="H801" s="435"/>
      <c r="I801" s="314"/>
      <c r="J801" s="314"/>
      <c r="K801" s="314"/>
      <c r="L801" s="314"/>
      <c r="M801" s="314"/>
      <c r="N801" s="314"/>
      <c r="O801" s="314"/>
      <c r="P801" s="314"/>
      <c r="Q801" s="314"/>
      <c r="R801" s="435"/>
      <c r="S801" s="314"/>
      <c r="T801" s="314"/>
      <c r="U801" s="314"/>
      <c r="V801" s="314"/>
      <c r="W801" s="314"/>
      <c r="X801" s="314"/>
      <c r="Y801" s="314"/>
      <c r="Z801" s="314"/>
      <c r="AA801" s="324"/>
      <c r="AB801" s="180"/>
      <c r="AC801" s="155"/>
      <c r="AD801" s="322"/>
      <c r="AE801" s="132"/>
      <c r="AF801" s="132"/>
    </row>
    <row r="802">
      <c r="A802" s="435"/>
      <c r="B802" s="437"/>
      <c r="C802" s="437"/>
      <c r="D802" s="437"/>
      <c r="E802" s="435"/>
      <c r="F802" s="314"/>
      <c r="G802" s="314"/>
      <c r="H802" s="435"/>
      <c r="I802" s="435"/>
      <c r="J802" s="435"/>
      <c r="K802" s="435"/>
      <c r="L802" s="435"/>
      <c r="M802" s="435"/>
      <c r="N802" s="435"/>
      <c r="O802" s="314"/>
      <c r="P802" s="435"/>
      <c r="Q802" s="435"/>
      <c r="R802" s="435"/>
      <c r="S802" s="435"/>
      <c r="T802" s="435"/>
      <c r="U802" s="435"/>
      <c r="V802" s="435"/>
      <c r="W802" s="435"/>
      <c r="X802" s="435"/>
      <c r="Y802" s="435"/>
      <c r="Z802" s="435"/>
      <c r="AA802" s="324"/>
      <c r="AB802" s="180"/>
      <c r="AC802" s="155"/>
      <c r="AD802" s="322"/>
      <c r="AE802" s="132"/>
      <c r="AF802" s="132"/>
    </row>
    <row r="803">
      <c r="A803" s="435"/>
      <c r="B803" s="313"/>
      <c r="C803" s="313"/>
      <c r="D803" s="313"/>
      <c r="E803" s="314"/>
      <c r="F803" s="314"/>
      <c r="G803" s="314"/>
      <c r="H803" s="314"/>
      <c r="I803" s="314"/>
      <c r="J803" s="314"/>
      <c r="K803" s="314"/>
      <c r="L803" s="314"/>
      <c r="M803" s="435"/>
      <c r="N803" s="314"/>
      <c r="O803" s="314"/>
      <c r="P803" s="314"/>
      <c r="Q803" s="314"/>
      <c r="R803" s="314"/>
      <c r="S803" s="314"/>
      <c r="T803" s="314"/>
      <c r="U803" s="314"/>
      <c r="V803" s="314"/>
      <c r="W803" s="314"/>
      <c r="X803" s="314"/>
      <c r="Y803" s="314"/>
      <c r="Z803" s="314"/>
      <c r="AA803" s="324"/>
      <c r="AB803" s="180"/>
      <c r="AC803" s="155"/>
      <c r="AD803" s="322"/>
      <c r="AE803" s="132"/>
      <c r="AF803" s="132"/>
    </row>
    <row r="804">
      <c r="A804" s="435"/>
      <c r="B804" s="313"/>
      <c r="C804" s="437"/>
      <c r="D804" s="437"/>
      <c r="E804" s="435"/>
      <c r="F804" s="314"/>
      <c r="G804" s="314"/>
      <c r="H804" s="435"/>
      <c r="I804" s="435"/>
      <c r="J804" s="435"/>
      <c r="K804" s="435"/>
      <c r="L804" s="314"/>
      <c r="M804" s="435"/>
      <c r="N804" s="435"/>
      <c r="O804" s="314"/>
      <c r="P804" s="435"/>
      <c r="Q804" s="435"/>
      <c r="R804" s="435"/>
      <c r="S804" s="435"/>
      <c r="T804" s="435"/>
      <c r="U804" s="435"/>
      <c r="V804" s="435"/>
      <c r="W804" s="435"/>
      <c r="X804" s="435"/>
      <c r="Y804" s="435"/>
      <c r="Z804" s="435"/>
      <c r="AA804" s="324"/>
      <c r="AB804" s="180"/>
      <c r="AC804" s="155"/>
      <c r="AD804" s="322"/>
      <c r="AE804" s="132"/>
      <c r="AF804" s="132"/>
    </row>
    <row r="805">
      <c r="A805" s="435"/>
      <c r="B805" s="437"/>
      <c r="C805" s="437"/>
      <c r="D805" s="313"/>
      <c r="E805" s="435"/>
      <c r="F805" s="314"/>
      <c r="G805" s="314"/>
      <c r="H805" s="435"/>
      <c r="I805" s="435"/>
      <c r="J805" s="314"/>
      <c r="K805" s="435"/>
      <c r="L805" s="435"/>
      <c r="M805" s="314"/>
      <c r="N805" s="435"/>
      <c r="O805" s="314"/>
      <c r="P805" s="435"/>
      <c r="Q805" s="314"/>
      <c r="R805" s="435"/>
      <c r="S805" s="435"/>
      <c r="T805" s="435"/>
      <c r="U805" s="435"/>
      <c r="V805" s="435"/>
      <c r="W805" s="435"/>
      <c r="X805" s="435"/>
      <c r="Y805" s="435"/>
      <c r="Z805" s="435"/>
      <c r="AA805" s="324"/>
      <c r="AB805" s="180"/>
      <c r="AC805" s="155"/>
      <c r="AD805" s="322"/>
      <c r="AE805" s="132"/>
      <c r="AF805" s="132"/>
    </row>
    <row r="806">
      <c r="A806" s="458"/>
      <c r="B806" s="437"/>
      <c r="C806" s="437"/>
      <c r="D806" s="437"/>
      <c r="E806" s="435"/>
      <c r="F806" s="314"/>
      <c r="G806" s="314"/>
      <c r="H806" s="314"/>
      <c r="I806" s="435"/>
      <c r="J806" s="435"/>
      <c r="K806" s="435"/>
      <c r="L806" s="435"/>
      <c r="M806" s="435"/>
      <c r="N806" s="435"/>
      <c r="O806" s="314"/>
      <c r="P806" s="435"/>
      <c r="Q806" s="435"/>
      <c r="R806" s="435"/>
      <c r="S806" s="435"/>
      <c r="T806" s="435"/>
      <c r="U806" s="435"/>
      <c r="V806" s="435"/>
      <c r="W806" s="435"/>
      <c r="X806" s="435"/>
      <c r="Y806" s="435"/>
      <c r="Z806" s="435"/>
      <c r="AA806" s="324"/>
      <c r="AB806" s="180"/>
      <c r="AC806" s="155"/>
      <c r="AD806" s="322"/>
      <c r="AE806" s="132"/>
      <c r="AF806" s="132"/>
    </row>
    <row r="807">
      <c r="A807" s="458"/>
      <c r="B807" s="437"/>
      <c r="C807" s="437"/>
      <c r="D807" s="437"/>
      <c r="E807" s="435"/>
      <c r="F807" s="314"/>
      <c r="G807" s="314"/>
      <c r="H807" s="314"/>
      <c r="I807" s="314"/>
      <c r="J807" s="435"/>
      <c r="K807" s="435"/>
      <c r="L807" s="435"/>
      <c r="M807" s="435"/>
      <c r="N807" s="435"/>
      <c r="O807" s="314"/>
      <c r="P807" s="435"/>
      <c r="Q807" s="435"/>
      <c r="R807" s="435"/>
      <c r="S807" s="435"/>
      <c r="T807" s="435"/>
      <c r="U807" s="435"/>
      <c r="V807" s="435"/>
      <c r="W807" s="435"/>
      <c r="X807" s="435"/>
      <c r="Y807" s="435"/>
      <c r="Z807" s="435"/>
      <c r="AA807" s="324"/>
      <c r="AB807" s="180"/>
      <c r="AC807" s="155"/>
      <c r="AD807" s="322"/>
      <c r="AE807" s="132"/>
      <c r="AF807" s="132"/>
    </row>
    <row r="808">
      <c r="A808" s="458"/>
      <c r="B808" s="437"/>
      <c r="C808" s="437"/>
      <c r="D808" s="437"/>
      <c r="E808" s="314"/>
      <c r="F808" s="314"/>
      <c r="G808" s="314"/>
      <c r="H808" s="314"/>
      <c r="I808" s="435"/>
      <c r="J808" s="435"/>
      <c r="K808" s="435"/>
      <c r="L808" s="435"/>
      <c r="M808" s="435"/>
      <c r="N808" s="435"/>
      <c r="O808" s="314"/>
      <c r="P808" s="435"/>
      <c r="Q808" s="314"/>
      <c r="R808" s="435"/>
      <c r="S808" s="435"/>
      <c r="T808" s="435"/>
      <c r="U808" s="435"/>
      <c r="V808" s="435"/>
      <c r="W808" s="435"/>
      <c r="X808" s="435"/>
      <c r="Y808" s="435"/>
      <c r="Z808" s="435"/>
      <c r="AA808" s="324"/>
      <c r="AB808" s="180"/>
      <c r="AC808" s="155"/>
      <c r="AD808" s="322"/>
      <c r="AE808" s="132"/>
      <c r="AF808" s="132"/>
    </row>
    <row r="809">
      <c r="A809" s="458"/>
      <c r="B809" s="313"/>
      <c r="C809" s="313"/>
      <c r="D809" s="313"/>
      <c r="E809" s="314"/>
      <c r="F809" s="314"/>
      <c r="G809" s="314"/>
      <c r="H809" s="314"/>
      <c r="I809" s="314"/>
      <c r="J809" s="314"/>
      <c r="K809" s="314"/>
      <c r="L809" s="314"/>
      <c r="M809" s="314"/>
      <c r="N809" s="314"/>
      <c r="O809" s="314"/>
      <c r="P809" s="314"/>
      <c r="Q809" s="314"/>
      <c r="R809" s="314"/>
      <c r="S809" s="314"/>
      <c r="T809" s="314"/>
      <c r="U809" s="314"/>
      <c r="V809" s="314"/>
      <c r="W809" s="314"/>
      <c r="X809" s="314"/>
      <c r="Y809" s="314"/>
      <c r="Z809" s="314"/>
      <c r="AA809" s="324"/>
      <c r="AB809" s="180"/>
      <c r="AC809" s="155"/>
      <c r="AD809" s="322"/>
      <c r="AE809" s="132"/>
      <c r="AF809" s="132"/>
    </row>
    <row r="810">
      <c r="A810" s="458"/>
      <c r="B810" s="437"/>
      <c r="C810" s="437"/>
      <c r="D810" s="437"/>
      <c r="E810" s="314"/>
      <c r="F810" s="314"/>
      <c r="G810" s="314"/>
      <c r="H810" s="314"/>
      <c r="I810" s="314"/>
      <c r="J810" s="314"/>
      <c r="K810" s="435"/>
      <c r="L810" s="435"/>
      <c r="M810" s="435"/>
      <c r="N810" s="314"/>
      <c r="O810" s="314"/>
      <c r="P810" s="435"/>
      <c r="Q810" s="435"/>
      <c r="R810" s="435"/>
      <c r="S810" s="435"/>
      <c r="T810" s="435"/>
      <c r="U810" s="435"/>
      <c r="V810" s="435"/>
      <c r="W810" s="435"/>
      <c r="X810" s="435"/>
      <c r="Y810" s="435"/>
      <c r="Z810" s="435"/>
      <c r="AA810" s="324"/>
      <c r="AB810" s="180"/>
      <c r="AC810" s="155"/>
      <c r="AD810" s="322"/>
      <c r="AE810" s="132"/>
      <c r="AF810" s="132"/>
    </row>
    <row r="811">
      <c r="A811" s="458"/>
      <c r="B811" s="313"/>
      <c r="C811" s="313"/>
      <c r="D811" s="437"/>
      <c r="E811" s="314"/>
      <c r="F811" s="314"/>
      <c r="G811" s="314"/>
      <c r="H811" s="314"/>
      <c r="I811" s="314"/>
      <c r="J811" s="314"/>
      <c r="K811" s="314"/>
      <c r="L811" s="314"/>
      <c r="M811" s="314"/>
      <c r="N811" s="314"/>
      <c r="O811" s="314"/>
      <c r="P811" s="314"/>
      <c r="Q811" s="314"/>
      <c r="R811" s="314"/>
      <c r="S811" s="314"/>
      <c r="T811" s="314"/>
      <c r="U811" s="314"/>
      <c r="V811" s="314"/>
      <c r="W811" s="314"/>
      <c r="X811" s="314"/>
      <c r="Y811" s="314"/>
      <c r="Z811" s="314"/>
      <c r="AA811" s="324"/>
      <c r="AB811" s="180"/>
      <c r="AC811" s="155"/>
      <c r="AD811" s="322"/>
      <c r="AE811" s="132"/>
      <c r="AF811" s="132"/>
    </row>
    <row r="812">
      <c r="A812" s="458"/>
      <c r="B812" s="313"/>
      <c r="C812" s="437"/>
      <c r="D812" s="313"/>
      <c r="E812" s="314"/>
      <c r="F812" s="314"/>
      <c r="G812" s="314"/>
      <c r="H812" s="314"/>
      <c r="I812" s="435"/>
      <c r="J812" s="314"/>
      <c r="K812" s="314"/>
      <c r="L812" s="435"/>
      <c r="M812" s="314"/>
      <c r="N812" s="314"/>
      <c r="O812" s="314"/>
      <c r="P812" s="314"/>
      <c r="Q812" s="435"/>
      <c r="R812" s="435"/>
      <c r="S812" s="435"/>
      <c r="T812" s="435"/>
      <c r="U812" s="435"/>
      <c r="V812" s="435"/>
      <c r="W812" s="435"/>
      <c r="X812" s="435"/>
      <c r="Y812" s="435"/>
      <c r="Z812" s="435"/>
      <c r="AA812" s="324"/>
      <c r="AB812" s="180"/>
      <c r="AC812" s="155"/>
      <c r="AD812" s="322"/>
      <c r="AE812" s="132"/>
      <c r="AF812" s="132"/>
    </row>
    <row r="813">
      <c r="A813" s="458"/>
      <c r="B813" s="313"/>
      <c r="C813" s="437"/>
      <c r="D813" s="437"/>
      <c r="E813" s="435"/>
      <c r="F813" s="314"/>
      <c r="G813" s="314"/>
      <c r="H813" s="435"/>
      <c r="I813" s="435"/>
      <c r="J813" s="314"/>
      <c r="K813" s="435"/>
      <c r="L813" s="435"/>
      <c r="M813" s="314"/>
      <c r="N813" s="314"/>
      <c r="O813" s="314"/>
      <c r="P813" s="435"/>
      <c r="Q813" s="435"/>
      <c r="R813" s="435"/>
      <c r="S813" s="435"/>
      <c r="T813" s="435"/>
      <c r="U813" s="435"/>
      <c r="V813" s="435"/>
      <c r="W813" s="435"/>
      <c r="X813" s="435"/>
      <c r="Y813" s="435"/>
      <c r="Z813" s="435"/>
      <c r="AA813" s="324"/>
      <c r="AB813" s="180"/>
      <c r="AC813" s="155"/>
      <c r="AD813" s="322"/>
      <c r="AE813" s="132"/>
      <c r="AF813" s="132"/>
    </row>
    <row r="814">
      <c r="A814" s="458"/>
      <c r="B814" s="313"/>
      <c r="C814" s="437"/>
      <c r="D814" s="437"/>
      <c r="E814" s="314"/>
      <c r="F814" s="314"/>
      <c r="G814" s="314"/>
      <c r="H814" s="314"/>
      <c r="I814" s="314"/>
      <c r="J814" s="314"/>
      <c r="K814" s="435"/>
      <c r="L814" s="314"/>
      <c r="M814" s="314"/>
      <c r="N814" s="314"/>
      <c r="O814" s="314"/>
      <c r="P814" s="314"/>
      <c r="Q814" s="314"/>
      <c r="R814" s="435"/>
      <c r="S814" s="435"/>
      <c r="T814" s="435"/>
      <c r="U814" s="435"/>
      <c r="V814" s="435"/>
      <c r="W814" s="435"/>
      <c r="X814" s="435"/>
      <c r="Y814" s="435"/>
      <c r="Z814" s="435"/>
      <c r="AA814" s="324"/>
      <c r="AB814" s="180"/>
      <c r="AC814" s="155"/>
      <c r="AD814" s="322"/>
      <c r="AE814" s="132"/>
      <c r="AF814" s="132"/>
    </row>
    <row r="815">
      <c r="A815" s="458"/>
      <c r="B815" s="437"/>
      <c r="C815" s="437"/>
      <c r="D815" s="437"/>
      <c r="E815" s="435"/>
      <c r="F815" s="314"/>
      <c r="G815" s="314"/>
      <c r="H815" s="435"/>
      <c r="I815" s="435"/>
      <c r="J815" s="435"/>
      <c r="K815" s="435"/>
      <c r="L815" s="435"/>
      <c r="M815" s="435"/>
      <c r="N815" s="435"/>
      <c r="O815" s="314"/>
      <c r="P815" s="435"/>
      <c r="Q815" s="435"/>
      <c r="R815" s="435"/>
      <c r="S815" s="435"/>
      <c r="T815" s="435"/>
      <c r="U815" s="435"/>
      <c r="V815" s="435"/>
      <c r="W815" s="435"/>
      <c r="X815" s="435"/>
      <c r="Y815" s="435"/>
      <c r="Z815" s="435"/>
      <c r="AA815" s="324"/>
      <c r="AB815" s="180"/>
      <c r="AC815" s="155"/>
      <c r="AD815" s="322"/>
      <c r="AE815" s="132"/>
      <c r="AF815" s="132"/>
    </row>
    <row r="816">
      <c r="A816" s="435"/>
      <c r="B816" s="437"/>
      <c r="C816" s="437"/>
      <c r="D816" s="437"/>
      <c r="E816" s="435"/>
      <c r="F816" s="314"/>
      <c r="G816" s="314"/>
      <c r="H816" s="435"/>
      <c r="I816" s="435"/>
      <c r="J816" s="435"/>
      <c r="K816" s="435"/>
      <c r="L816" s="435"/>
      <c r="M816" s="435"/>
      <c r="N816" s="435"/>
      <c r="O816" s="314"/>
      <c r="P816" s="435"/>
      <c r="Q816" s="435"/>
      <c r="R816" s="435"/>
      <c r="S816" s="435"/>
      <c r="T816" s="435"/>
      <c r="U816" s="435"/>
      <c r="V816" s="435"/>
      <c r="W816" s="435"/>
      <c r="X816" s="435"/>
      <c r="Y816" s="435"/>
      <c r="Z816" s="435"/>
      <c r="AA816" s="324"/>
      <c r="AB816" s="180"/>
      <c r="AC816" s="155"/>
      <c r="AD816" s="322"/>
      <c r="AE816" s="132"/>
      <c r="AF816" s="132"/>
    </row>
    <row r="817">
      <c r="A817" s="474"/>
      <c r="B817" s="437"/>
      <c r="C817" s="437"/>
      <c r="D817" s="437"/>
      <c r="E817" s="435"/>
      <c r="F817" s="314"/>
      <c r="G817" s="314"/>
      <c r="H817" s="435"/>
      <c r="I817" s="435"/>
      <c r="J817" s="435"/>
      <c r="K817" s="435"/>
      <c r="L817" s="435"/>
      <c r="M817" s="435"/>
      <c r="N817" s="435"/>
      <c r="O817" s="314"/>
      <c r="P817" s="435"/>
      <c r="Q817" s="435"/>
      <c r="R817" s="435"/>
      <c r="S817" s="435"/>
      <c r="T817" s="435"/>
      <c r="U817" s="435"/>
      <c r="V817" s="435"/>
      <c r="W817" s="435"/>
      <c r="X817" s="435"/>
      <c r="Y817" s="435"/>
      <c r="Z817" s="435"/>
      <c r="AA817" s="324"/>
      <c r="AB817" s="180"/>
      <c r="AC817" s="155"/>
      <c r="AD817" s="322"/>
      <c r="AE817" s="132"/>
      <c r="AF817" s="132"/>
    </row>
    <row r="818">
      <c r="A818" s="474"/>
      <c r="B818" s="437"/>
      <c r="C818" s="313"/>
      <c r="D818" s="437"/>
      <c r="E818" s="435"/>
      <c r="F818" s="314"/>
      <c r="G818" s="314"/>
      <c r="H818" s="435"/>
      <c r="I818" s="435"/>
      <c r="J818" s="435"/>
      <c r="K818" s="314"/>
      <c r="L818" s="314"/>
      <c r="M818" s="314"/>
      <c r="N818" s="435"/>
      <c r="O818" s="314"/>
      <c r="P818" s="314"/>
      <c r="Q818" s="435"/>
      <c r="R818" s="314"/>
      <c r="S818" s="435"/>
      <c r="T818" s="435"/>
      <c r="U818" s="435"/>
      <c r="V818" s="435"/>
      <c r="W818" s="435"/>
      <c r="X818" s="435"/>
      <c r="Y818" s="435"/>
      <c r="Z818" s="435"/>
      <c r="AA818" s="324"/>
      <c r="AB818" s="180"/>
      <c r="AC818" s="155"/>
      <c r="AD818" s="322"/>
      <c r="AE818" s="132"/>
      <c r="AF818" s="132"/>
    </row>
    <row r="819">
      <c r="A819" s="474"/>
      <c r="B819" s="313"/>
      <c r="C819" s="313"/>
      <c r="D819" s="313"/>
      <c r="E819" s="314"/>
      <c r="F819" s="314"/>
      <c r="G819" s="314"/>
      <c r="H819" s="314"/>
      <c r="I819" s="314"/>
      <c r="J819" s="314"/>
      <c r="K819" s="435"/>
      <c r="L819" s="314"/>
      <c r="M819" s="314"/>
      <c r="N819" s="314"/>
      <c r="O819" s="314"/>
      <c r="P819" s="435"/>
      <c r="Q819" s="314"/>
      <c r="R819" s="314"/>
      <c r="S819" s="314"/>
      <c r="T819" s="314"/>
      <c r="U819" s="314"/>
      <c r="V819" s="314"/>
      <c r="W819" s="314"/>
      <c r="X819" s="314"/>
      <c r="Y819" s="314"/>
      <c r="Z819" s="314"/>
      <c r="AA819" s="324"/>
      <c r="AB819" s="180"/>
      <c r="AC819" s="155"/>
      <c r="AD819" s="322"/>
      <c r="AE819" s="132"/>
      <c r="AF819" s="132"/>
    </row>
    <row r="820">
      <c r="A820" s="474"/>
      <c r="B820" s="313"/>
      <c r="C820" s="437"/>
      <c r="D820" s="437"/>
      <c r="E820" s="314"/>
      <c r="F820" s="314"/>
      <c r="G820" s="314"/>
      <c r="H820" s="314"/>
      <c r="I820" s="435"/>
      <c r="J820" s="314"/>
      <c r="K820" s="314"/>
      <c r="L820" s="314"/>
      <c r="M820" s="314"/>
      <c r="N820" s="314"/>
      <c r="O820" s="314"/>
      <c r="P820" s="314"/>
      <c r="Q820" s="314"/>
      <c r="R820" s="314"/>
      <c r="S820" s="314"/>
      <c r="T820" s="314"/>
      <c r="U820" s="314"/>
      <c r="V820" s="314"/>
      <c r="W820" s="314"/>
      <c r="X820" s="314"/>
      <c r="Y820" s="314"/>
      <c r="Z820" s="314"/>
      <c r="AA820" s="324"/>
      <c r="AB820" s="180"/>
      <c r="AC820" s="155"/>
      <c r="AD820" s="322"/>
      <c r="AE820" s="132"/>
      <c r="AF820" s="132"/>
    </row>
    <row r="821">
      <c r="A821" s="474"/>
      <c r="B821" s="313"/>
      <c r="C821" s="313"/>
      <c r="D821" s="313"/>
      <c r="E821" s="314"/>
      <c r="F821" s="314"/>
      <c r="G821" s="314"/>
      <c r="H821" s="314"/>
      <c r="I821" s="314"/>
      <c r="J821" s="314"/>
      <c r="K821" s="435"/>
      <c r="L821" s="314"/>
      <c r="M821" s="314"/>
      <c r="N821" s="314"/>
      <c r="O821" s="314"/>
      <c r="P821" s="314"/>
      <c r="Q821" s="314"/>
      <c r="R821" s="314"/>
      <c r="S821" s="314"/>
      <c r="T821" s="314"/>
      <c r="U821" s="314"/>
      <c r="V821" s="314"/>
      <c r="W821" s="314"/>
      <c r="X821" s="314"/>
      <c r="Y821" s="314"/>
      <c r="Z821" s="314"/>
      <c r="AA821" s="324"/>
      <c r="AB821" s="180"/>
      <c r="AC821" s="155"/>
      <c r="AD821" s="322"/>
      <c r="AE821" s="132"/>
      <c r="AF821" s="132"/>
    </row>
    <row r="822">
      <c r="A822" s="458"/>
      <c r="B822" s="313"/>
      <c r="C822" s="437"/>
      <c r="D822" s="313"/>
      <c r="E822" s="314"/>
      <c r="F822" s="314"/>
      <c r="G822" s="314"/>
      <c r="H822" s="314"/>
      <c r="I822" s="314"/>
      <c r="J822" s="435"/>
      <c r="K822" s="435"/>
      <c r="L822" s="314"/>
      <c r="M822" s="314"/>
      <c r="N822" s="314"/>
      <c r="O822" s="314"/>
      <c r="P822" s="314"/>
      <c r="Q822" s="314"/>
      <c r="R822" s="314"/>
      <c r="S822" s="314"/>
      <c r="T822" s="314"/>
      <c r="U822" s="314"/>
      <c r="V822" s="314"/>
      <c r="W822" s="314"/>
      <c r="X822" s="314"/>
      <c r="Y822" s="314"/>
      <c r="Z822" s="314"/>
      <c r="AA822" s="324"/>
      <c r="AB822" s="180"/>
      <c r="AC822" s="155"/>
      <c r="AD822" s="322"/>
      <c r="AE822" s="132"/>
      <c r="AF822" s="132"/>
    </row>
    <row r="823">
      <c r="A823" s="435"/>
      <c r="B823" s="313"/>
      <c r="C823" s="437"/>
      <c r="D823" s="437"/>
      <c r="E823" s="435"/>
      <c r="F823" s="314"/>
      <c r="G823" s="314"/>
      <c r="H823" s="435"/>
      <c r="I823" s="314"/>
      <c r="J823" s="314"/>
      <c r="K823" s="435"/>
      <c r="L823" s="314"/>
      <c r="M823" s="435"/>
      <c r="N823" s="435"/>
      <c r="O823" s="314"/>
      <c r="P823" s="314"/>
      <c r="Q823" s="314"/>
      <c r="R823" s="435"/>
      <c r="S823" s="314"/>
      <c r="T823" s="314"/>
      <c r="U823" s="314"/>
      <c r="V823" s="314"/>
      <c r="W823" s="314"/>
      <c r="X823" s="314"/>
      <c r="Y823" s="314"/>
      <c r="Z823" s="314"/>
      <c r="AA823" s="324"/>
      <c r="AB823" s="180"/>
      <c r="AC823" s="155"/>
      <c r="AD823" s="322"/>
      <c r="AE823" s="132"/>
      <c r="AF823" s="132"/>
    </row>
    <row r="824">
      <c r="A824" s="435"/>
      <c r="B824" s="437"/>
      <c r="C824" s="313"/>
      <c r="D824" s="313"/>
      <c r="E824" s="314"/>
      <c r="F824" s="314"/>
      <c r="G824" s="314"/>
      <c r="H824" s="314"/>
      <c r="I824" s="314"/>
      <c r="J824" s="314"/>
      <c r="K824" s="314"/>
      <c r="L824" s="314"/>
      <c r="M824" s="314"/>
      <c r="N824" s="314"/>
      <c r="O824" s="314"/>
      <c r="P824" s="435"/>
      <c r="Q824" s="314"/>
      <c r="R824" s="314"/>
      <c r="S824" s="314"/>
      <c r="T824" s="314"/>
      <c r="U824" s="314"/>
      <c r="V824" s="314"/>
      <c r="W824" s="314"/>
      <c r="X824" s="314"/>
      <c r="Y824" s="314"/>
      <c r="Z824" s="314"/>
      <c r="AA824" s="324"/>
      <c r="AB824" s="180"/>
      <c r="AC824" s="155"/>
      <c r="AD824" s="322"/>
      <c r="AE824" s="132"/>
      <c r="AF824" s="132"/>
    </row>
    <row r="825">
      <c r="A825" s="435"/>
      <c r="B825" s="437"/>
      <c r="C825" s="313"/>
      <c r="D825" s="313"/>
      <c r="E825" s="314"/>
      <c r="F825" s="314"/>
      <c r="G825" s="314"/>
      <c r="H825" s="314"/>
      <c r="I825" s="314"/>
      <c r="J825" s="314"/>
      <c r="K825" s="314"/>
      <c r="L825" s="314"/>
      <c r="M825" s="314"/>
      <c r="N825" s="314"/>
      <c r="O825" s="314"/>
      <c r="P825" s="314"/>
      <c r="Q825" s="435"/>
      <c r="R825" s="314"/>
      <c r="S825" s="435"/>
      <c r="T825" s="435"/>
      <c r="U825" s="435"/>
      <c r="V825" s="435"/>
      <c r="W825" s="435"/>
      <c r="X825" s="435"/>
      <c r="Y825" s="435"/>
      <c r="Z825" s="435"/>
      <c r="AA825" s="324"/>
      <c r="AB825" s="180"/>
      <c r="AC825" s="155"/>
      <c r="AD825" s="322"/>
      <c r="AE825" s="132"/>
      <c r="AF825" s="132"/>
    </row>
    <row r="826">
      <c r="A826" s="435"/>
      <c r="B826" s="313"/>
      <c r="C826" s="437"/>
      <c r="D826" s="313"/>
      <c r="E826" s="314"/>
      <c r="F826" s="314"/>
      <c r="G826" s="314"/>
      <c r="H826" s="314"/>
      <c r="I826" s="314"/>
      <c r="J826" s="314"/>
      <c r="K826" s="314"/>
      <c r="L826" s="314"/>
      <c r="M826" s="314"/>
      <c r="N826" s="314"/>
      <c r="O826" s="314"/>
      <c r="P826" s="314"/>
      <c r="Q826" s="314"/>
      <c r="R826" s="435"/>
      <c r="S826" s="314"/>
      <c r="T826" s="314"/>
      <c r="U826" s="314"/>
      <c r="V826" s="314"/>
      <c r="W826" s="314"/>
      <c r="X826" s="314"/>
      <c r="Y826" s="314"/>
      <c r="Z826" s="314"/>
      <c r="AA826" s="324"/>
      <c r="AB826" s="180"/>
      <c r="AC826" s="155"/>
      <c r="AD826" s="322"/>
      <c r="AE826" s="132"/>
      <c r="AF826" s="132"/>
    </row>
    <row r="827">
      <c r="A827" s="435"/>
      <c r="B827" s="313"/>
      <c r="C827" s="313"/>
      <c r="D827" s="313"/>
      <c r="E827" s="314"/>
      <c r="F827" s="314"/>
      <c r="G827" s="314"/>
      <c r="H827" s="314"/>
      <c r="I827" s="314"/>
      <c r="J827" s="314"/>
      <c r="K827" s="435"/>
      <c r="L827" s="314"/>
      <c r="M827" s="435"/>
      <c r="N827" s="314"/>
      <c r="O827" s="314"/>
      <c r="P827" s="314"/>
      <c r="Q827" s="435"/>
      <c r="R827" s="314"/>
      <c r="S827" s="314"/>
      <c r="T827" s="314"/>
      <c r="U827" s="314"/>
      <c r="V827" s="314"/>
      <c r="W827" s="314"/>
      <c r="X827" s="314"/>
      <c r="Y827" s="314"/>
      <c r="Z827" s="314"/>
      <c r="AA827" s="324"/>
      <c r="AB827" s="180"/>
      <c r="AC827" s="155"/>
      <c r="AD827" s="322"/>
      <c r="AE827" s="132"/>
      <c r="AF827" s="132"/>
    </row>
    <row r="828">
      <c r="A828" s="435"/>
      <c r="B828" s="313"/>
      <c r="C828" s="437"/>
      <c r="D828" s="437"/>
      <c r="E828" s="314"/>
      <c r="F828" s="314"/>
      <c r="G828" s="314"/>
      <c r="H828" s="314"/>
      <c r="I828" s="314"/>
      <c r="J828" s="314"/>
      <c r="K828" s="435"/>
      <c r="L828" s="314"/>
      <c r="M828" s="435"/>
      <c r="N828" s="314"/>
      <c r="O828" s="314"/>
      <c r="P828" s="314"/>
      <c r="Q828" s="435"/>
      <c r="R828" s="314"/>
      <c r="S828" s="314"/>
      <c r="T828" s="314"/>
      <c r="U828" s="314"/>
      <c r="V828" s="314"/>
      <c r="W828" s="314"/>
      <c r="X828" s="314"/>
      <c r="Y828" s="314"/>
      <c r="Z828" s="314"/>
      <c r="AA828" s="324"/>
      <c r="AB828" s="180"/>
      <c r="AC828" s="155"/>
      <c r="AD828" s="322"/>
      <c r="AE828" s="132"/>
      <c r="AF828" s="132"/>
    </row>
    <row r="829">
      <c r="A829" s="476"/>
      <c r="AC829" s="176"/>
      <c r="AD829" s="322"/>
      <c r="AE829" s="132"/>
      <c r="AF829" s="132"/>
    </row>
    <row r="830">
      <c r="A830" s="178"/>
      <c r="AD830" s="322"/>
      <c r="AE830" s="132"/>
      <c r="AF830" s="132"/>
    </row>
    <row r="831">
      <c r="A831" s="474"/>
      <c r="B831" s="437"/>
      <c r="C831" s="437"/>
      <c r="D831" s="437"/>
      <c r="E831" s="435"/>
      <c r="F831" s="314"/>
      <c r="G831" s="314"/>
      <c r="H831" s="314"/>
      <c r="I831" s="435"/>
      <c r="J831" s="435"/>
      <c r="K831" s="435"/>
      <c r="L831" s="435"/>
      <c r="M831" s="435"/>
      <c r="N831" s="435"/>
      <c r="O831" s="314"/>
      <c r="P831" s="435"/>
      <c r="Q831" s="435"/>
      <c r="R831" s="435"/>
      <c r="S831" s="435"/>
      <c r="T831" s="435"/>
      <c r="U831" s="435"/>
      <c r="V831" s="435"/>
      <c r="W831" s="435"/>
      <c r="X831" s="435"/>
      <c r="Y831" s="435"/>
      <c r="Z831" s="435"/>
      <c r="AA831" s="324"/>
      <c r="AB831" s="180"/>
      <c r="AC831" s="155"/>
      <c r="AD831" s="322"/>
      <c r="AE831" s="132"/>
      <c r="AF831" s="132"/>
    </row>
    <row r="832">
      <c r="A832" s="474"/>
      <c r="B832" s="313"/>
      <c r="C832" s="437"/>
      <c r="D832" s="437"/>
      <c r="E832" s="435"/>
      <c r="F832" s="314"/>
      <c r="G832" s="314"/>
      <c r="H832" s="435"/>
      <c r="I832" s="314"/>
      <c r="J832" s="435"/>
      <c r="K832" s="435"/>
      <c r="L832" s="435"/>
      <c r="M832" s="314"/>
      <c r="N832" s="314"/>
      <c r="O832" s="314"/>
      <c r="P832" s="435"/>
      <c r="Q832" s="435"/>
      <c r="R832" s="435"/>
      <c r="S832" s="435"/>
      <c r="T832" s="435"/>
      <c r="U832" s="435"/>
      <c r="V832" s="435"/>
      <c r="W832" s="435"/>
      <c r="X832" s="435"/>
      <c r="Y832" s="435"/>
      <c r="Z832" s="435"/>
      <c r="AA832" s="324"/>
      <c r="AB832" s="180"/>
      <c r="AC832" s="155"/>
      <c r="AD832" s="322"/>
      <c r="AE832" s="132"/>
      <c r="AF832" s="132"/>
    </row>
    <row r="833">
      <c r="A833" s="477"/>
      <c r="B833" s="437"/>
      <c r="C833" s="437"/>
      <c r="D833" s="437"/>
      <c r="E833" s="314"/>
      <c r="F833" s="314"/>
      <c r="G833" s="314"/>
      <c r="H833" s="435"/>
      <c r="I833" s="435"/>
      <c r="J833" s="435"/>
      <c r="K833" s="435"/>
      <c r="L833" s="435"/>
      <c r="M833" s="435"/>
      <c r="N833" s="435"/>
      <c r="O833" s="314"/>
      <c r="P833" s="435"/>
      <c r="Q833" s="435"/>
      <c r="R833" s="435"/>
      <c r="S833" s="435"/>
      <c r="T833" s="435"/>
      <c r="U833" s="435"/>
      <c r="V833" s="435"/>
      <c r="W833" s="435"/>
      <c r="X833" s="435"/>
      <c r="Y833" s="435"/>
      <c r="Z833" s="435"/>
      <c r="AA833" s="324"/>
      <c r="AB833" s="180"/>
      <c r="AC833" s="155"/>
      <c r="AD833" s="322"/>
      <c r="AE833" s="132"/>
      <c r="AF833" s="132"/>
    </row>
    <row r="834">
      <c r="A834" s="477"/>
      <c r="B834" s="437"/>
      <c r="C834" s="437"/>
      <c r="D834" s="437"/>
      <c r="E834" s="314"/>
      <c r="F834" s="314"/>
      <c r="G834" s="314"/>
      <c r="H834" s="435"/>
      <c r="I834" s="314"/>
      <c r="J834" s="314"/>
      <c r="K834" s="435"/>
      <c r="L834" s="435"/>
      <c r="M834" s="435"/>
      <c r="N834" s="314"/>
      <c r="O834" s="314"/>
      <c r="P834" s="435"/>
      <c r="Q834" s="435"/>
      <c r="R834" s="435"/>
      <c r="S834" s="435"/>
      <c r="T834" s="435"/>
      <c r="U834" s="435"/>
      <c r="V834" s="435"/>
      <c r="W834" s="435"/>
      <c r="X834" s="435"/>
      <c r="Y834" s="435"/>
      <c r="Z834" s="435"/>
      <c r="AA834" s="324"/>
      <c r="AB834" s="180"/>
      <c r="AC834" s="155"/>
      <c r="AD834" s="322"/>
      <c r="AE834" s="132"/>
      <c r="AF834" s="132"/>
    </row>
    <row r="835">
      <c r="A835" s="477"/>
      <c r="B835" s="437"/>
      <c r="C835" s="437"/>
      <c r="D835" s="437"/>
      <c r="E835" s="435"/>
      <c r="F835" s="314"/>
      <c r="G835" s="314"/>
      <c r="H835" s="435"/>
      <c r="I835" s="435"/>
      <c r="J835" s="435"/>
      <c r="K835" s="435"/>
      <c r="L835" s="435"/>
      <c r="M835" s="435"/>
      <c r="N835" s="435"/>
      <c r="O835" s="314"/>
      <c r="P835" s="435"/>
      <c r="Q835" s="435"/>
      <c r="R835" s="435"/>
      <c r="S835" s="435"/>
      <c r="T835" s="435"/>
      <c r="U835" s="435"/>
      <c r="V835" s="435"/>
      <c r="W835" s="435"/>
      <c r="X835" s="435"/>
      <c r="Y835" s="435"/>
      <c r="Z835" s="435"/>
      <c r="AA835" s="324"/>
      <c r="AB835" s="180"/>
      <c r="AC835" s="155"/>
      <c r="AD835" s="322"/>
      <c r="AE835" s="132"/>
      <c r="AF835" s="132"/>
    </row>
    <row r="836">
      <c r="A836" s="474"/>
      <c r="B836" s="313"/>
      <c r="C836" s="437"/>
      <c r="D836" s="313"/>
      <c r="E836" s="435"/>
      <c r="F836" s="314"/>
      <c r="G836" s="314"/>
      <c r="H836" s="435"/>
      <c r="I836" s="314"/>
      <c r="J836" s="435"/>
      <c r="K836" s="435"/>
      <c r="L836" s="314"/>
      <c r="M836" s="435"/>
      <c r="N836" s="314"/>
      <c r="O836" s="314"/>
      <c r="P836" s="435"/>
      <c r="Q836" s="435"/>
      <c r="R836" s="435"/>
      <c r="S836" s="435"/>
      <c r="T836" s="435"/>
      <c r="U836" s="435"/>
      <c r="V836" s="435"/>
      <c r="W836" s="435"/>
      <c r="X836" s="435"/>
      <c r="Y836" s="435"/>
      <c r="Z836" s="435"/>
      <c r="AA836" s="324"/>
      <c r="AB836" s="180"/>
      <c r="AC836" s="155"/>
      <c r="AD836" s="322"/>
      <c r="AE836" s="132"/>
      <c r="AF836" s="132"/>
    </row>
    <row r="837">
      <c r="A837" s="478"/>
      <c r="B837" s="437"/>
      <c r="C837" s="437"/>
      <c r="D837" s="437"/>
      <c r="E837" s="435"/>
      <c r="F837" s="314"/>
      <c r="G837" s="314"/>
      <c r="H837" s="435"/>
      <c r="I837" s="435"/>
      <c r="J837" s="435"/>
      <c r="K837" s="435"/>
      <c r="L837" s="435"/>
      <c r="M837" s="435"/>
      <c r="N837" s="435"/>
      <c r="O837" s="314"/>
      <c r="P837" s="435"/>
      <c r="Q837" s="435"/>
      <c r="R837" s="435"/>
      <c r="S837" s="435"/>
      <c r="T837" s="435"/>
      <c r="U837" s="435"/>
      <c r="V837" s="435"/>
      <c r="W837" s="435"/>
      <c r="X837" s="435"/>
      <c r="Y837" s="435"/>
      <c r="Z837" s="435"/>
      <c r="AA837" s="324"/>
      <c r="AB837" s="180"/>
      <c r="AC837" s="155"/>
      <c r="AD837" s="322"/>
      <c r="AE837" s="132"/>
      <c r="AF837" s="132"/>
    </row>
    <row r="838">
      <c r="A838" s="478"/>
      <c r="B838" s="437"/>
      <c r="C838" s="437"/>
      <c r="D838" s="437"/>
      <c r="E838" s="435"/>
      <c r="F838" s="314"/>
      <c r="G838" s="314"/>
      <c r="H838" s="435"/>
      <c r="I838" s="435"/>
      <c r="J838" s="435"/>
      <c r="K838" s="435"/>
      <c r="L838" s="435"/>
      <c r="M838" s="435"/>
      <c r="N838" s="435"/>
      <c r="O838" s="314"/>
      <c r="P838" s="435"/>
      <c r="Q838" s="435"/>
      <c r="R838" s="435"/>
      <c r="S838" s="435"/>
      <c r="T838" s="435"/>
      <c r="U838" s="435"/>
      <c r="V838" s="435"/>
      <c r="W838" s="435"/>
      <c r="X838" s="435"/>
      <c r="Y838" s="435"/>
      <c r="Z838" s="435"/>
      <c r="AA838" s="324"/>
      <c r="AB838" s="180"/>
      <c r="AC838" s="155"/>
      <c r="AD838" s="322"/>
      <c r="AE838" s="132"/>
      <c r="AF838" s="132"/>
    </row>
    <row r="839">
      <c r="A839" s="478"/>
      <c r="B839" s="437"/>
      <c r="C839" s="437"/>
      <c r="D839" s="313"/>
      <c r="E839" s="314"/>
      <c r="F839" s="314"/>
      <c r="G839" s="314"/>
      <c r="H839" s="435"/>
      <c r="I839" s="435"/>
      <c r="J839" s="314"/>
      <c r="K839" s="435"/>
      <c r="L839" s="314"/>
      <c r="M839" s="435"/>
      <c r="N839" s="314"/>
      <c r="O839" s="314"/>
      <c r="P839" s="314"/>
      <c r="Q839" s="314"/>
      <c r="R839" s="314"/>
      <c r="S839" s="435"/>
      <c r="T839" s="435"/>
      <c r="U839" s="435"/>
      <c r="V839" s="435"/>
      <c r="W839" s="435"/>
      <c r="X839" s="435"/>
      <c r="Y839" s="435"/>
      <c r="Z839" s="435"/>
      <c r="AA839" s="324"/>
      <c r="AB839" s="180"/>
      <c r="AC839" s="155"/>
      <c r="AD839" s="322"/>
      <c r="AE839" s="132"/>
      <c r="AF839" s="132"/>
    </row>
    <row r="840">
      <c r="A840" s="477"/>
      <c r="B840" s="313"/>
      <c r="C840" s="437"/>
      <c r="D840" s="437"/>
      <c r="E840" s="435"/>
      <c r="F840" s="314"/>
      <c r="G840" s="314"/>
      <c r="H840" s="435"/>
      <c r="I840" s="435"/>
      <c r="J840" s="435"/>
      <c r="K840" s="435"/>
      <c r="L840" s="435"/>
      <c r="M840" s="435"/>
      <c r="N840" s="435"/>
      <c r="O840" s="314"/>
      <c r="P840" s="435"/>
      <c r="Q840" s="435"/>
      <c r="R840" s="435"/>
      <c r="S840" s="435"/>
      <c r="T840" s="435"/>
      <c r="U840" s="435"/>
      <c r="V840" s="435"/>
      <c r="W840" s="435"/>
      <c r="X840" s="435"/>
      <c r="Y840" s="435"/>
      <c r="Z840" s="435"/>
      <c r="AA840" s="324"/>
      <c r="AB840" s="180"/>
      <c r="AC840" s="155"/>
      <c r="AD840" s="322"/>
      <c r="AE840" s="132"/>
      <c r="AF840" s="132"/>
    </row>
    <row r="841">
      <c r="A841" s="477"/>
      <c r="B841" s="313"/>
      <c r="C841" s="313"/>
      <c r="D841" s="313"/>
      <c r="E841" s="314"/>
      <c r="F841" s="314"/>
      <c r="G841" s="314"/>
      <c r="H841" s="435"/>
      <c r="I841" s="314"/>
      <c r="J841" s="314"/>
      <c r="K841" s="314"/>
      <c r="L841" s="314"/>
      <c r="M841" s="314"/>
      <c r="N841" s="435"/>
      <c r="O841" s="314"/>
      <c r="P841" s="314"/>
      <c r="Q841" s="435"/>
      <c r="R841" s="314"/>
      <c r="S841" s="314"/>
      <c r="T841" s="314"/>
      <c r="U841" s="314"/>
      <c r="V841" s="314"/>
      <c r="W841" s="314"/>
      <c r="X841" s="314"/>
      <c r="Y841" s="314"/>
      <c r="Z841" s="314"/>
      <c r="AA841" s="324"/>
      <c r="AB841" s="180"/>
      <c r="AC841" s="155"/>
      <c r="AD841" s="322"/>
      <c r="AE841" s="132"/>
      <c r="AF841" s="132"/>
    </row>
    <row r="842">
      <c r="A842" s="477"/>
      <c r="B842" s="313"/>
      <c r="C842" s="313"/>
      <c r="D842" s="313"/>
      <c r="E842" s="314"/>
      <c r="F842" s="314"/>
      <c r="G842" s="314"/>
      <c r="H842" s="314"/>
      <c r="I842" s="314"/>
      <c r="J842" s="314"/>
      <c r="K842" s="314"/>
      <c r="L842" s="314"/>
      <c r="M842" s="314"/>
      <c r="N842" s="314"/>
      <c r="O842" s="314"/>
      <c r="P842" s="314"/>
      <c r="Q842" s="314"/>
      <c r="R842" s="314"/>
      <c r="S842" s="314"/>
      <c r="T842" s="314"/>
      <c r="U842" s="314"/>
      <c r="V842" s="314"/>
      <c r="W842" s="314"/>
      <c r="X842" s="314"/>
      <c r="Y842" s="314"/>
      <c r="Z842" s="314"/>
      <c r="AA842" s="324"/>
      <c r="AB842" s="180"/>
      <c r="AC842" s="155"/>
      <c r="AD842" s="322"/>
      <c r="AE842" s="132"/>
      <c r="AF842" s="132"/>
    </row>
    <row r="843">
      <c r="A843" s="476"/>
      <c r="AC843" s="176"/>
      <c r="AD843" s="322"/>
      <c r="AE843" s="132"/>
      <c r="AF843" s="132"/>
    </row>
    <row r="844">
      <c r="A844" s="178"/>
      <c r="AD844" s="322"/>
      <c r="AE844" s="132"/>
      <c r="AF844" s="132"/>
    </row>
    <row r="845">
      <c r="A845" s="477"/>
      <c r="B845" s="437"/>
      <c r="C845" s="437"/>
      <c r="D845" s="437"/>
      <c r="E845" s="314"/>
      <c r="F845" s="314"/>
      <c r="G845" s="314"/>
      <c r="H845" s="314"/>
      <c r="I845" s="314"/>
      <c r="J845" s="314"/>
      <c r="K845" s="435"/>
      <c r="L845" s="435"/>
      <c r="M845" s="314"/>
      <c r="N845" s="314"/>
      <c r="O845" s="314"/>
      <c r="P845" s="314"/>
      <c r="Q845" s="435"/>
      <c r="R845" s="435"/>
      <c r="S845" s="435"/>
      <c r="T845" s="435"/>
      <c r="U845" s="435"/>
      <c r="V845" s="435"/>
      <c r="W845" s="435"/>
      <c r="X845" s="435"/>
      <c r="Y845" s="435"/>
      <c r="Z845" s="435"/>
      <c r="AA845" s="324"/>
      <c r="AB845" s="180"/>
      <c r="AC845" s="155"/>
      <c r="AD845" s="322"/>
      <c r="AE845" s="132"/>
      <c r="AF845" s="132"/>
    </row>
    <row r="846">
      <c r="A846" s="477"/>
      <c r="B846" s="313"/>
      <c r="C846" s="437"/>
      <c r="D846" s="437"/>
      <c r="E846" s="314"/>
      <c r="F846" s="314"/>
      <c r="G846" s="314"/>
      <c r="H846" s="314"/>
      <c r="I846" s="435"/>
      <c r="J846" s="435"/>
      <c r="K846" s="435"/>
      <c r="L846" s="314"/>
      <c r="M846" s="435"/>
      <c r="N846" s="314"/>
      <c r="O846" s="314"/>
      <c r="P846" s="314"/>
      <c r="Q846" s="435"/>
      <c r="R846" s="435"/>
      <c r="S846" s="435"/>
      <c r="T846" s="435"/>
      <c r="U846" s="435"/>
      <c r="V846" s="435"/>
      <c r="W846" s="435"/>
      <c r="X846" s="435"/>
      <c r="Y846" s="435"/>
      <c r="Z846" s="435"/>
      <c r="AA846" s="324"/>
      <c r="AB846" s="180"/>
      <c r="AC846" s="155"/>
      <c r="AD846" s="322"/>
      <c r="AE846" s="132"/>
      <c r="AF846" s="132"/>
    </row>
    <row r="847">
      <c r="A847" s="477"/>
      <c r="B847" s="313"/>
      <c r="C847" s="437"/>
      <c r="D847" s="437"/>
      <c r="E847" s="435"/>
      <c r="F847" s="314"/>
      <c r="G847" s="314"/>
      <c r="H847" s="435"/>
      <c r="I847" s="314"/>
      <c r="J847" s="314"/>
      <c r="K847" s="435"/>
      <c r="L847" s="314"/>
      <c r="M847" s="435"/>
      <c r="N847" s="435"/>
      <c r="O847" s="314"/>
      <c r="P847" s="435"/>
      <c r="Q847" s="435"/>
      <c r="R847" s="435"/>
      <c r="S847" s="435"/>
      <c r="T847" s="435"/>
      <c r="U847" s="435"/>
      <c r="V847" s="435"/>
      <c r="W847" s="435"/>
      <c r="X847" s="435"/>
      <c r="Y847" s="435"/>
      <c r="Z847" s="435"/>
      <c r="AA847" s="324"/>
      <c r="AB847" s="180"/>
      <c r="AC847" s="155"/>
      <c r="AD847" s="322"/>
      <c r="AE847" s="132"/>
      <c r="AF847" s="132"/>
    </row>
    <row r="848">
      <c r="A848" s="479"/>
      <c r="B848" s="313"/>
      <c r="C848" s="313"/>
      <c r="D848" s="313"/>
      <c r="E848" s="314"/>
      <c r="F848" s="314"/>
      <c r="G848" s="314"/>
      <c r="H848" s="314"/>
      <c r="I848" s="314"/>
      <c r="J848" s="314"/>
      <c r="K848" s="314"/>
      <c r="L848" s="314"/>
      <c r="M848" s="314"/>
      <c r="N848" s="314"/>
      <c r="O848" s="314"/>
      <c r="P848" s="314"/>
      <c r="Q848" s="435"/>
      <c r="R848" s="314"/>
      <c r="S848" s="314"/>
      <c r="T848" s="314"/>
      <c r="U848" s="314"/>
      <c r="V848" s="314"/>
      <c r="W848" s="314"/>
      <c r="X848" s="314"/>
      <c r="Y848" s="314"/>
      <c r="Z848" s="314"/>
      <c r="AA848" s="324"/>
      <c r="AB848" s="180"/>
      <c r="AC848" s="155"/>
      <c r="AD848" s="322"/>
      <c r="AE848" s="132"/>
      <c r="AF848" s="132"/>
    </row>
    <row r="849">
      <c r="A849" s="476"/>
      <c r="AC849" s="176"/>
      <c r="AD849" s="322"/>
      <c r="AE849" s="132"/>
      <c r="AF849" s="132"/>
    </row>
    <row r="850">
      <c r="A850" s="178"/>
      <c r="AD850" s="322"/>
      <c r="AE850" s="132"/>
      <c r="AF850" s="132"/>
    </row>
    <row r="851">
      <c r="A851" s="480"/>
      <c r="B851" s="313"/>
      <c r="C851" s="437"/>
      <c r="D851" s="313"/>
      <c r="E851" s="314"/>
      <c r="F851" s="314"/>
      <c r="G851" s="314"/>
      <c r="H851" s="314"/>
      <c r="I851" s="314"/>
      <c r="J851" s="435"/>
      <c r="K851" s="435"/>
      <c r="L851" s="314"/>
      <c r="M851" s="314"/>
      <c r="N851" s="314"/>
      <c r="O851" s="314"/>
      <c r="P851" s="314"/>
      <c r="Q851" s="435"/>
      <c r="R851" s="314"/>
      <c r="S851" s="314"/>
      <c r="T851" s="314"/>
      <c r="U851" s="314"/>
      <c r="V851" s="314"/>
      <c r="W851" s="314"/>
      <c r="X851" s="314"/>
      <c r="Y851" s="314"/>
      <c r="Z851" s="314"/>
      <c r="AA851" s="324"/>
      <c r="AB851" s="180"/>
      <c r="AC851" s="180"/>
      <c r="AD851" s="322"/>
      <c r="AE851" s="132"/>
      <c r="AF851" s="132"/>
    </row>
    <row r="852">
      <c r="A852" s="480"/>
      <c r="B852" s="313"/>
      <c r="C852" s="437"/>
      <c r="D852" s="313"/>
      <c r="E852" s="314"/>
      <c r="F852" s="314"/>
      <c r="G852" s="314"/>
      <c r="H852" s="435"/>
      <c r="I852" s="314"/>
      <c r="J852" s="435"/>
      <c r="K852" s="435"/>
      <c r="L852" s="314"/>
      <c r="M852" s="435"/>
      <c r="N852" s="435"/>
      <c r="O852" s="314"/>
      <c r="P852" s="435"/>
      <c r="Q852" s="435"/>
      <c r="R852" s="314"/>
      <c r="S852" s="435"/>
      <c r="T852" s="435"/>
      <c r="U852" s="435"/>
      <c r="V852" s="435"/>
      <c r="W852" s="435"/>
      <c r="X852" s="435"/>
      <c r="Y852" s="435"/>
      <c r="Z852" s="435"/>
      <c r="AA852" s="324"/>
      <c r="AB852" s="180"/>
      <c r="AC852" s="180"/>
      <c r="AD852" s="322"/>
      <c r="AE852" s="132"/>
      <c r="AF852" s="132"/>
    </row>
    <row r="853">
      <c r="A853" s="476"/>
      <c r="AC853" s="176"/>
      <c r="AD853" s="322"/>
      <c r="AE853" s="132"/>
      <c r="AF853" s="132"/>
    </row>
    <row r="854">
      <c r="A854" s="178"/>
      <c r="AD854" s="322"/>
      <c r="AE854" s="132"/>
      <c r="AF854" s="132"/>
    </row>
    <row r="855">
      <c r="A855" s="481"/>
      <c r="B855" s="313"/>
      <c r="C855" s="437"/>
      <c r="D855" s="437"/>
      <c r="E855" s="435"/>
      <c r="F855" s="314"/>
      <c r="G855" s="435"/>
      <c r="H855" s="435"/>
      <c r="I855" s="435"/>
      <c r="J855" s="314"/>
      <c r="K855" s="435"/>
      <c r="L855" s="435"/>
      <c r="M855" s="435"/>
      <c r="N855" s="314"/>
      <c r="O855" s="314"/>
      <c r="P855" s="435"/>
      <c r="Q855" s="435"/>
      <c r="R855" s="435"/>
      <c r="S855" s="435"/>
      <c r="T855" s="435"/>
      <c r="U855" s="435"/>
      <c r="V855" s="435"/>
      <c r="W855" s="435"/>
      <c r="X855" s="435"/>
      <c r="Y855" s="435"/>
      <c r="Z855" s="435"/>
      <c r="AA855" s="324"/>
      <c r="AB855" s="180"/>
      <c r="AC855" s="155"/>
      <c r="AD855" s="322"/>
      <c r="AE855" s="132"/>
      <c r="AF855" s="132"/>
    </row>
    <row r="856">
      <c r="A856" s="435"/>
      <c r="B856" s="313"/>
      <c r="C856" s="437"/>
      <c r="D856" s="437"/>
      <c r="E856" s="314"/>
      <c r="F856" s="314"/>
      <c r="G856" s="314"/>
      <c r="H856" s="435"/>
      <c r="I856" s="314"/>
      <c r="J856" s="435"/>
      <c r="K856" s="435"/>
      <c r="L856" s="314"/>
      <c r="M856" s="314"/>
      <c r="N856" s="314"/>
      <c r="O856" s="314"/>
      <c r="P856" s="435"/>
      <c r="Q856" s="435"/>
      <c r="R856" s="435"/>
      <c r="S856" s="435"/>
      <c r="T856" s="435"/>
      <c r="U856" s="435"/>
      <c r="V856" s="435"/>
      <c r="W856" s="435"/>
      <c r="X856" s="435"/>
      <c r="Y856" s="435"/>
      <c r="Z856" s="435"/>
      <c r="AA856" s="324"/>
      <c r="AB856" s="180"/>
      <c r="AC856" s="155"/>
      <c r="AD856" s="322"/>
      <c r="AE856" s="132"/>
      <c r="AF856" s="132"/>
    </row>
    <row r="857">
      <c r="A857" s="482"/>
      <c r="B857" s="313"/>
      <c r="C857" s="313"/>
      <c r="D857" s="437"/>
      <c r="E857" s="314"/>
      <c r="F857" s="314"/>
      <c r="G857" s="314"/>
      <c r="H857" s="314"/>
      <c r="I857" s="314"/>
      <c r="J857" s="314"/>
      <c r="K857" s="435"/>
      <c r="L857" s="314"/>
      <c r="M857" s="314"/>
      <c r="N857" s="314"/>
      <c r="O857" s="314"/>
      <c r="P857" s="314"/>
      <c r="Q857" s="314"/>
      <c r="R857" s="435"/>
      <c r="S857" s="314"/>
      <c r="T857" s="314"/>
      <c r="U857" s="314"/>
      <c r="V857" s="314"/>
      <c r="W857" s="314"/>
      <c r="X857" s="314"/>
      <c r="Y857" s="314"/>
      <c r="Z857" s="314"/>
      <c r="AA857" s="324"/>
      <c r="AB857" s="180"/>
      <c r="AC857" s="155"/>
      <c r="AD857" s="322"/>
      <c r="AE857" s="132"/>
      <c r="AF857" s="132"/>
    </row>
    <row r="858">
      <c r="A858" s="482"/>
      <c r="B858" s="313"/>
      <c r="C858" s="437"/>
      <c r="D858" s="437"/>
      <c r="E858" s="435"/>
      <c r="F858" s="314"/>
      <c r="G858" s="314"/>
      <c r="H858" s="435"/>
      <c r="I858" s="435"/>
      <c r="J858" s="435"/>
      <c r="K858" s="435"/>
      <c r="L858" s="435"/>
      <c r="M858" s="435"/>
      <c r="N858" s="435"/>
      <c r="O858" s="314"/>
      <c r="P858" s="435"/>
      <c r="Q858" s="435"/>
      <c r="R858" s="435"/>
      <c r="S858" s="435"/>
      <c r="T858" s="435"/>
      <c r="U858" s="435"/>
      <c r="V858" s="435"/>
      <c r="W858" s="435"/>
      <c r="X858" s="435"/>
      <c r="Y858" s="435"/>
      <c r="Z858" s="435"/>
      <c r="AA858" s="324"/>
      <c r="AB858" s="180"/>
      <c r="AC858" s="155"/>
      <c r="AD858" s="322"/>
      <c r="AE858" s="132"/>
      <c r="AF858" s="132"/>
    </row>
    <row r="859">
      <c r="A859" s="314"/>
      <c r="B859" s="313"/>
      <c r="C859" s="313"/>
      <c r="D859" s="313"/>
      <c r="E859" s="314"/>
      <c r="F859" s="314"/>
      <c r="G859" s="314"/>
      <c r="H859" s="314"/>
      <c r="I859" s="314"/>
      <c r="J859" s="314"/>
      <c r="K859" s="314"/>
      <c r="L859" s="314"/>
      <c r="M859" s="314"/>
      <c r="N859" s="314"/>
      <c r="O859" s="314"/>
      <c r="P859" s="314"/>
      <c r="Q859" s="314"/>
      <c r="R859" s="314"/>
      <c r="S859" s="314"/>
      <c r="T859" s="314"/>
      <c r="U859" s="314"/>
      <c r="V859" s="314"/>
      <c r="W859" s="314"/>
      <c r="X859" s="314"/>
      <c r="Y859" s="314"/>
      <c r="Z859" s="314"/>
      <c r="AA859" s="483"/>
      <c r="AC859" s="484"/>
      <c r="AD859" s="322"/>
      <c r="AE859" s="132"/>
      <c r="AF859" s="132"/>
    </row>
    <row r="860">
      <c r="A860" s="314"/>
      <c r="B860" s="313"/>
      <c r="C860" s="313"/>
      <c r="D860" s="313"/>
      <c r="E860" s="314"/>
      <c r="F860" s="314"/>
      <c r="G860" s="314"/>
      <c r="H860" s="314"/>
      <c r="I860" s="314"/>
      <c r="J860" s="314"/>
      <c r="K860" s="314"/>
      <c r="L860" s="314"/>
      <c r="M860" s="314"/>
      <c r="N860" s="314"/>
      <c r="O860" s="314"/>
      <c r="P860" s="314"/>
      <c r="Q860" s="314"/>
      <c r="R860" s="314"/>
      <c r="S860" s="314"/>
      <c r="T860" s="314"/>
      <c r="U860" s="314"/>
      <c r="V860" s="314"/>
      <c r="W860" s="314"/>
      <c r="X860" s="314"/>
      <c r="Y860" s="314"/>
      <c r="Z860" s="314"/>
      <c r="AA860" s="324"/>
      <c r="AB860" s="155"/>
      <c r="AC860" s="155"/>
      <c r="AD860" s="322"/>
      <c r="AE860" s="132"/>
      <c r="AF860" s="132"/>
    </row>
    <row r="861">
      <c r="A861" s="314"/>
      <c r="B861" s="313"/>
      <c r="C861" s="313"/>
      <c r="D861" s="313"/>
      <c r="E861" s="314"/>
      <c r="F861" s="314"/>
      <c r="G861" s="314"/>
      <c r="H861" s="314"/>
      <c r="I861" s="314"/>
      <c r="J861" s="314"/>
      <c r="K861" s="314"/>
      <c r="L861" s="314"/>
      <c r="M861" s="314"/>
      <c r="N861" s="314"/>
      <c r="O861" s="314"/>
      <c r="P861" s="314"/>
      <c r="Q861" s="314"/>
      <c r="R861" s="314"/>
      <c r="S861" s="314"/>
      <c r="T861" s="314"/>
      <c r="U861" s="314"/>
      <c r="V861" s="314"/>
      <c r="W861" s="314"/>
      <c r="X861" s="314"/>
      <c r="Y861" s="314"/>
      <c r="Z861" s="314"/>
      <c r="AA861" s="324"/>
      <c r="AB861" s="155"/>
      <c r="AC861" s="155"/>
      <c r="AD861" s="322"/>
      <c r="AE861" s="132"/>
      <c r="AF861" s="132"/>
    </row>
    <row r="862">
      <c r="A862" s="314"/>
      <c r="B862" s="313"/>
      <c r="C862" s="313"/>
      <c r="D862" s="313"/>
      <c r="E862" s="314"/>
      <c r="F862" s="314"/>
      <c r="G862" s="314"/>
      <c r="H862" s="314"/>
      <c r="I862" s="314"/>
      <c r="J862" s="314"/>
      <c r="K862" s="314"/>
      <c r="L862" s="314"/>
      <c r="M862" s="314"/>
      <c r="N862" s="314"/>
      <c r="O862" s="314"/>
      <c r="P862" s="314"/>
      <c r="Q862" s="314"/>
      <c r="R862" s="314"/>
      <c r="S862" s="314"/>
      <c r="T862" s="314"/>
      <c r="U862" s="314"/>
      <c r="V862" s="314"/>
      <c r="W862" s="314"/>
      <c r="X862" s="314"/>
      <c r="Y862" s="314"/>
      <c r="Z862" s="314"/>
      <c r="AA862" s="324"/>
      <c r="AB862" s="155"/>
      <c r="AC862" s="155"/>
      <c r="AD862" s="322"/>
      <c r="AE862" s="132"/>
      <c r="AF862" s="132"/>
    </row>
    <row r="863">
      <c r="A863" s="314"/>
      <c r="B863" s="313"/>
      <c r="C863" s="313"/>
      <c r="D863" s="313"/>
      <c r="E863" s="314"/>
      <c r="F863" s="314"/>
      <c r="G863" s="314"/>
      <c r="H863" s="314"/>
      <c r="I863" s="314"/>
      <c r="J863" s="314"/>
      <c r="K863" s="314"/>
      <c r="L863" s="314"/>
      <c r="M863" s="314"/>
      <c r="N863" s="314"/>
      <c r="O863" s="314"/>
      <c r="P863" s="314"/>
      <c r="Q863" s="314"/>
      <c r="R863" s="314"/>
      <c r="S863" s="314"/>
      <c r="T863" s="314"/>
      <c r="U863" s="314"/>
      <c r="V863" s="314"/>
      <c r="W863" s="314"/>
      <c r="X863" s="314"/>
      <c r="Y863" s="314"/>
      <c r="Z863" s="314"/>
      <c r="AA863" s="324"/>
      <c r="AB863" s="155"/>
      <c r="AC863" s="155"/>
      <c r="AD863" s="322"/>
      <c r="AE863" s="132"/>
      <c r="AF863" s="132"/>
    </row>
    <row r="864">
      <c r="A864" s="314"/>
      <c r="B864" s="313"/>
      <c r="C864" s="313"/>
      <c r="D864" s="313"/>
      <c r="E864" s="314"/>
      <c r="F864" s="314"/>
      <c r="G864" s="314"/>
      <c r="H864" s="314"/>
      <c r="I864" s="314"/>
      <c r="J864" s="314"/>
      <c r="K864" s="314"/>
      <c r="L864" s="314"/>
      <c r="M864" s="314"/>
      <c r="N864" s="314"/>
      <c r="O864" s="314"/>
      <c r="P864" s="314"/>
      <c r="Q864" s="314"/>
      <c r="R864" s="314"/>
      <c r="S864" s="314"/>
      <c r="T864" s="314"/>
      <c r="U864" s="314"/>
      <c r="V864" s="314"/>
      <c r="W864" s="314"/>
      <c r="X864" s="314"/>
      <c r="Y864" s="314"/>
      <c r="Z864" s="314"/>
      <c r="AA864" s="324"/>
      <c r="AB864" s="155"/>
      <c r="AC864" s="155"/>
      <c r="AD864" s="322"/>
      <c r="AE864" s="132"/>
      <c r="AF864" s="132"/>
    </row>
    <row r="865">
      <c r="A865" s="314"/>
      <c r="B865" s="313"/>
      <c r="C865" s="313"/>
      <c r="D865" s="313"/>
      <c r="E865" s="314"/>
      <c r="F865" s="314"/>
      <c r="G865" s="314"/>
      <c r="H865" s="314"/>
      <c r="I865" s="314"/>
      <c r="J865" s="314"/>
      <c r="K865" s="314"/>
      <c r="L865" s="314"/>
      <c r="M865" s="314"/>
      <c r="N865" s="314"/>
      <c r="O865" s="314"/>
      <c r="P865" s="314"/>
      <c r="Q865" s="314"/>
      <c r="R865" s="314"/>
      <c r="S865" s="314"/>
      <c r="T865" s="314"/>
      <c r="U865" s="314"/>
      <c r="V865" s="314"/>
      <c r="W865" s="314"/>
      <c r="X865" s="314"/>
      <c r="Y865" s="314"/>
      <c r="Z865" s="314"/>
      <c r="AA865" s="324"/>
      <c r="AB865" s="155"/>
      <c r="AC865" s="155"/>
      <c r="AD865" s="322"/>
      <c r="AE865" s="132"/>
      <c r="AF865" s="132"/>
    </row>
    <row r="866">
      <c r="A866" s="314"/>
      <c r="B866" s="313"/>
      <c r="C866" s="313"/>
      <c r="D866" s="313"/>
      <c r="E866" s="314"/>
      <c r="F866" s="314"/>
      <c r="G866" s="314"/>
      <c r="H866" s="314"/>
      <c r="I866" s="314"/>
      <c r="J866" s="314"/>
      <c r="K866" s="314"/>
      <c r="L866" s="314"/>
      <c r="M866" s="314"/>
      <c r="N866" s="314"/>
      <c r="O866" s="314"/>
      <c r="P866" s="314"/>
      <c r="Q866" s="314"/>
      <c r="R866" s="314"/>
      <c r="S866" s="314"/>
      <c r="T866" s="314"/>
      <c r="U866" s="314"/>
      <c r="V866" s="314"/>
      <c r="W866" s="314"/>
      <c r="X866" s="314"/>
      <c r="Y866" s="314"/>
      <c r="Z866" s="314"/>
      <c r="AA866" s="324"/>
      <c r="AB866" s="155"/>
      <c r="AC866" s="155"/>
      <c r="AD866" s="322"/>
      <c r="AE866" s="132"/>
      <c r="AF866" s="132"/>
    </row>
    <row r="867">
      <c r="A867" s="314"/>
      <c r="B867" s="313"/>
      <c r="C867" s="313"/>
      <c r="D867" s="313"/>
      <c r="E867" s="314"/>
      <c r="F867" s="314"/>
      <c r="G867" s="314"/>
      <c r="H867" s="314"/>
      <c r="I867" s="314"/>
      <c r="J867" s="314"/>
      <c r="K867" s="314"/>
      <c r="L867" s="314"/>
      <c r="M867" s="314"/>
      <c r="N867" s="314"/>
      <c r="O867" s="314"/>
      <c r="P867" s="314"/>
      <c r="Q867" s="314"/>
      <c r="R867" s="314"/>
      <c r="S867" s="314"/>
      <c r="T867" s="314"/>
      <c r="U867" s="314"/>
      <c r="V867" s="314"/>
      <c r="W867" s="314"/>
      <c r="X867" s="314"/>
      <c r="Y867" s="314"/>
      <c r="Z867" s="314"/>
      <c r="AA867" s="324"/>
      <c r="AB867" s="155"/>
      <c r="AC867" s="155"/>
      <c r="AD867" s="322"/>
      <c r="AE867" s="132"/>
      <c r="AF867" s="132"/>
    </row>
    <row r="868">
      <c r="A868" s="314"/>
      <c r="B868" s="313"/>
      <c r="C868" s="313"/>
      <c r="D868" s="313"/>
      <c r="E868" s="314"/>
      <c r="F868" s="314"/>
      <c r="G868" s="314"/>
      <c r="H868" s="314"/>
      <c r="I868" s="314"/>
      <c r="J868" s="314"/>
      <c r="K868" s="314"/>
      <c r="L868" s="314"/>
      <c r="M868" s="314"/>
      <c r="N868" s="314"/>
      <c r="O868" s="314"/>
      <c r="P868" s="314"/>
      <c r="Q868" s="314"/>
      <c r="R868" s="314"/>
      <c r="S868" s="314"/>
      <c r="T868" s="314"/>
      <c r="U868" s="314"/>
      <c r="V868" s="314"/>
      <c r="W868" s="314"/>
      <c r="X868" s="314"/>
      <c r="Y868" s="314"/>
      <c r="Z868" s="314"/>
      <c r="AA868" s="324"/>
      <c r="AB868" s="155"/>
      <c r="AC868" s="155"/>
      <c r="AD868" s="322"/>
      <c r="AE868" s="132"/>
      <c r="AF868" s="132"/>
    </row>
    <row r="869">
      <c r="A869" s="314"/>
      <c r="B869" s="313"/>
      <c r="C869" s="313"/>
      <c r="D869" s="313"/>
      <c r="E869" s="314"/>
      <c r="F869" s="314"/>
      <c r="G869" s="314"/>
      <c r="H869" s="314"/>
      <c r="I869" s="314"/>
      <c r="J869" s="314"/>
      <c r="K869" s="314"/>
      <c r="L869" s="314"/>
      <c r="M869" s="314"/>
      <c r="N869" s="314"/>
      <c r="O869" s="314"/>
      <c r="P869" s="314"/>
      <c r="Q869" s="314"/>
      <c r="R869" s="314"/>
      <c r="S869" s="314"/>
      <c r="T869" s="314"/>
      <c r="U869" s="314"/>
      <c r="V869" s="314"/>
      <c r="W869" s="314"/>
      <c r="X869" s="314"/>
      <c r="Y869" s="314"/>
      <c r="Z869" s="314"/>
      <c r="AA869" s="324"/>
      <c r="AB869" s="155"/>
      <c r="AC869" s="155"/>
      <c r="AD869" s="322"/>
      <c r="AE869" s="132"/>
      <c r="AF869" s="132"/>
    </row>
    <row r="870">
      <c r="A870" s="314"/>
      <c r="B870" s="313"/>
      <c r="C870" s="313"/>
      <c r="D870" s="313"/>
      <c r="E870" s="314"/>
      <c r="F870" s="314"/>
      <c r="G870" s="314"/>
      <c r="H870" s="314"/>
      <c r="I870" s="314"/>
      <c r="J870" s="314"/>
      <c r="K870" s="314"/>
      <c r="L870" s="314"/>
      <c r="M870" s="314"/>
      <c r="N870" s="314"/>
      <c r="O870" s="314"/>
      <c r="P870" s="314"/>
      <c r="Q870" s="314"/>
      <c r="R870" s="314"/>
      <c r="S870" s="314"/>
      <c r="T870" s="314"/>
      <c r="U870" s="314"/>
      <c r="V870" s="314"/>
      <c r="W870" s="314"/>
      <c r="X870" s="314"/>
      <c r="Y870" s="314"/>
      <c r="Z870" s="314"/>
      <c r="AA870" s="324"/>
      <c r="AB870" s="155"/>
      <c r="AC870" s="155"/>
      <c r="AD870" s="322"/>
      <c r="AE870" s="132"/>
      <c r="AF870" s="132"/>
    </row>
    <row r="871">
      <c r="A871" s="314"/>
      <c r="B871" s="313"/>
      <c r="C871" s="313"/>
      <c r="D871" s="313"/>
      <c r="E871" s="314"/>
      <c r="F871" s="314"/>
      <c r="G871" s="314"/>
      <c r="H871" s="314"/>
      <c r="I871" s="314"/>
      <c r="J871" s="314"/>
      <c r="K871" s="314"/>
      <c r="L871" s="314"/>
      <c r="M871" s="314"/>
      <c r="N871" s="314"/>
      <c r="O871" s="314"/>
      <c r="P871" s="314"/>
      <c r="Q871" s="314"/>
      <c r="R871" s="314"/>
      <c r="S871" s="314"/>
      <c r="T871" s="314"/>
      <c r="U871" s="314"/>
      <c r="V871" s="314"/>
      <c r="W871" s="314"/>
      <c r="X871" s="314"/>
      <c r="Y871" s="314"/>
      <c r="Z871" s="314"/>
      <c r="AA871" s="324"/>
      <c r="AB871" s="155"/>
      <c r="AC871" s="155"/>
      <c r="AD871" s="322"/>
      <c r="AE871" s="132"/>
      <c r="AF871" s="132"/>
    </row>
    <row r="872">
      <c r="A872" s="314"/>
      <c r="B872" s="313"/>
      <c r="C872" s="313"/>
      <c r="D872" s="313"/>
      <c r="E872" s="314"/>
      <c r="F872" s="314"/>
      <c r="G872" s="314"/>
      <c r="H872" s="314"/>
      <c r="I872" s="314"/>
      <c r="J872" s="314"/>
      <c r="K872" s="314"/>
      <c r="L872" s="314"/>
      <c r="M872" s="314"/>
      <c r="N872" s="314"/>
      <c r="O872" s="314"/>
      <c r="P872" s="314"/>
      <c r="Q872" s="314"/>
      <c r="R872" s="314"/>
      <c r="S872" s="314"/>
      <c r="T872" s="314"/>
      <c r="U872" s="314"/>
      <c r="V872" s="314"/>
      <c r="W872" s="314"/>
      <c r="X872" s="314"/>
      <c r="Y872" s="314"/>
      <c r="Z872" s="314"/>
      <c r="AA872" s="324"/>
      <c r="AB872" s="155"/>
      <c r="AC872" s="155"/>
      <c r="AD872" s="322"/>
      <c r="AE872" s="132"/>
      <c r="AF872" s="132"/>
    </row>
    <row r="873">
      <c r="A873" s="314"/>
      <c r="B873" s="313"/>
      <c r="C873" s="313"/>
      <c r="D873" s="313"/>
      <c r="E873" s="314"/>
      <c r="F873" s="314"/>
      <c r="G873" s="314"/>
      <c r="H873" s="314"/>
      <c r="I873" s="314"/>
      <c r="J873" s="314"/>
      <c r="K873" s="314"/>
      <c r="L873" s="314"/>
      <c r="M873" s="314"/>
      <c r="N873" s="314"/>
      <c r="O873" s="314"/>
      <c r="P873" s="314"/>
      <c r="Q873" s="314"/>
      <c r="R873" s="314"/>
      <c r="S873" s="314"/>
      <c r="T873" s="314"/>
      <c r="U873" s="314"/>
      <c r="V873" s="314"/>
      <c r="W873" s="314"/>
      <c r="X873" s="314"/>
      <c r="Y873" s="314"/>
      <c r="Z873" s="314"/>
      <c r="AA873" s="324"/>
      <c r="AB873" s="155"/>
      <c r="AC873" s="155"/>
      <c r="AD873" s="322"/>
      <c r="AE873" s="132"/>
      <c r="AF873" s="132"/>
    </row>
    <row r="874">
      <c r="A874" s="314"/>
      <c r="B874" s="313"/>
      <c r="C874" s="313"/>
      <c r="D874" s="313"/>
      <c r="E874" s="314"/>
      <c r="F874" s="314"/>
      <c r="G874" s="314"/>
      <c r="H874" s="314"/>
      <c r="I874" s="314"/>
      <c r="J874" s="314"/>
      <c r="K874" s="314"/>
      <c r="L874" s="314"/>
      <c r="M874" s="314"/>
      <c r="N874" s="314"/>
      <c r="O874" s="314"/>
      <c r="P874" s="314"/>
      <c r="Q874" s="314"/>
      <c r="R874" s="314"/>
      <c r="S874" s="314"/>
      <c r="T874" s="314"/>
      <c r="U874" s="314"/>
      <c r="V874" s="314"/>
      <c r="W874" s="314"/>
      <c r="X874" s="314"/>
      <c r="Y874" s="314"/>
      <c r="Z874" s="314"/>
      <c r="AA874" s="324"/>
      <c r="AB874" s="155"/>
      <c r="AC874" s="155"/>
      <c r="AD874" s="322"/>
      <c r="AE874" s="132"/>
      <c r="AF874" s="132"/>
    </row>
    <row r="875">
      <c r="A875" s="314"/>
      <c r="B875" s="313"/>
      <c r="C875" s="313"/>
      <c r="D875" s="313"/>
      <c r="E875" s="314"/>
      <c r="F875" s="314"/>
      <c r="G875" s="314"/>
      <c r="H875" s="314"/>
      <c r="I875" s="314"/>
      <c r="J875" s="314"/>
      <c r="K875" s="314"/>
      <c r="L875" s="314"/>
      <c r="M875" s="314"/>
      <c r="N875" s="314"/>
      <c r="O875" s="314"/>
      <c r="P875" s="314"/>
      <c r="Q875" s="314"/>
      <c r="R875" s="314"/>
      <c r="S875" s="314"/>
      <c r="T875" s="314"/>
      <c r="U875" s="314"/>
      <c r="V875" s="314"/>
      <c r="W875" s="314"/>
      <c r="X875" s="314"/>
      <c r="Y875" s="314"/>
      <c r="Z875" s="314"/>
      <c r="AA875" s="324"/>
      <c r="AB875" s="155"/>
      <c r="AC875" s="155"/>
      <c r="AD875" s="322"/>
      <c r="AE875" s="132"/>
      <c r="AF875" s="132"/>
    </row>
    <row r="876">
      <c r="A876" s="314"/>
      <c r="B876" s="313"/>
      <c r="C876" s="313"/>
      <c r="D876" s="313"/>
      <c r="E876" s="314"/>
      <c r="F876" s="314"/>
      <c r="G876" s="314"/>
      <c r="H876" s="314"/>
      <c r="I876" s="314"/>
      <c r="J876" s="314"/>
      <c r="K876" s="314"/>
      <c r="L876" s="314"/>
      <c r="M876" s="314"/>
      <c r="N876" s="314"/>
      <c r="O876" s="314"/>
      <c r="P876" s="314"/>
      <c r="Q876" s="314"/>
      <c r="R876" s="314"/>
      <c r="S876" s="314"/>
      <c r="T876" s="314"/>
      <c r="U876" s="314"/>
      <c r="V876" s="314"/>
      <c r="W876" s="314"/>
      <c r="X876" s="314"/>
      <c r="Y876" s="314"/>
      <c r="Z876" s="314"/>
      <c r="AA876" s="324"/>
      <c r="AB876" s="155"/>
      <c r="AC876" s="155"/>
      <c r="AD876" s="322"/>
      <c r="AE876" s="132"/>
      <c r="AF876" s="132"/>
    </row>
    <row r="877">
      <c r="A877" s="314"/>
      <c r="B877" s="313"/>
      <c r="C877" s="313"/>
      <c r="D877" s="313"/>
      <c r="E877" s="314"/>
      <c r="F877" s="314"/>
      <c r="G877" s="314"/>
      <c r="H877" s="314"/>
      <c r="I877" s="314"/>
      <c r="J877" s="314"/>
      <c r="K877" s="314"/>
      <c r="L877" s="314"/>
      <c r="M877" s="314"/>
      <c r="N877" s="314"/>
      <c r="O877" s="314"/>
      <c r="P877" s="314"/>
      <c r="Q877" s="314"/>
      <c r="R877" s="314"/>
      <c r="S877" s="314"/>
      <c r="T877" s="314"/>
      <c r="U877" s="314"/>
      <c r="V877" s="314"/>
      <c r="W877" s="314"/>
      <c r="X877" s="314"/>
      <c r="Y877" s="314"/>
      <c r="Z877" s="314"/>
      <c r="AA877" s="324"/>
      <c r="AB877" s="155"/>
      <c r="AC877" s="155"/>
      <c r="AD877" s="322"/>
      <c r="AE877" s="132"/>
      <c r="AF877" s="132"/>
    </row>
    <row r="878">
      <c r="A878" s="314"/>
      <c r="B878" s="313"/>
      <c r="C878" s="313"/>
      <c r="D878" s="313"/>
      <c r="E878" s="314"/>
      <c r="F878" s="314"/>
      <c r="G878" s="314"/>
      <c r="H878" s="314"/>
      <c r="I878" s="314"/>
      <c r="J878" s="314"/>
      <c r="K878" s="314"/>
      <c r="L878" s="314"/>
      <c r="M878" s="314"/>
      <c r="N878" s="314"/>
      <c r="O878" s="314"/>
      <c r="P878" s="314"/>
      <c r="Q878" s="314"/>
      <c r="R878" s="314"/>
      <c r="S878" s="314"/>
      <c r="T878" s="314"/>
      <c r="U878" s="314"/>
      <c r="V878" s="314"/>
      <c r="W878" s="314"/>
      <c r="X878" s="314"/>
      <c r="Y878" s="314"/>
      <c r="Z878" s="314"/>
      <c r="AA878" s="324"/>
      <c r="AB878" s="155"/>
      <c r="AC878" s="155"/>
      <c r="AD878" s="322"/>
      <c r="AE878" s="132"/>
      <c r="AF878" s="132"/>
    </row>
    <row r="879">
      <c r="A879" s="314"/>
      <c r="B879" s="313"/>
      <c r="C879" s="313"/>
      <c r="D879" s="313"/>
      <c r="E879" s="314"/>
      <c r="F879" s="314"/>
      <c r="G879" s="314"/>
      <c r="H879" s="314"/>
      <c r="I879" s="314"/>
      <c r="J879" s="314"/>
      <c r="K879" s="314"/>
      <c r="L879" s="314"/>
      <c r="M879" s="314"/>
      <c r="N879" s="314"/>
      <c r="O879" s="314"/>
      <c r="P879" s="314"/>
      <c r="Q879" s="314"/>
      <c r="R879" s="314"/>
      <c r="S879" s="314"/>
      <c r="T879" s="314"/>
      <c r="U879" s="314"/>
      <c r="V879" s="314"/>
      <c r="W879" s="314"/>
      <c r="X879" s="314"/>
      <c r="Y879" s="314"/>
      <c r="Z879" s="314"/>
      <c r="AA879" s="324"/>
      <c r="AB879" s="155"/>
      <c r="AC879" s="155"/>
      <c r="AD879" s="322"/>
      <c r="AE879" s="132"/>
      <c r="AF879" s="132"/>
    </row>
    <row r="880">
      <c r="A880" s="314"/>
      <c r="B880" s="313"/>
      <c r="C880" s="313"/>
      <c r="D880" s="313"/>
      <c r="E880" s="314"/>
      <c r="F880" s="314"/>
      <c r="G880" s="314"/>
      <c r="H880" s="314"/>
      <c r="I880" s="314"/>
      <c r="J880" s="314"/>
      <c r="K880" s="314"/>
      <c r="L880" s="314"/>
      <c r="M880" s="314"/>
      <c r="N880" s="314"/>
      <c r="O880" s="314"/>
      <c r="P880" s="314"/>
      <c r="Q880" s="314"/>
      <c r="R880" s="314"/>
      <c r="S880" s="314"/>
      <c r="T880" s="314"/>
      <c r="U880" s="314"/>
      <c r="V880" s="314"/>
      <c r="W880" s="314"/>
      <c r="X880" s="314"/>
      <c r="Y880" s="314"/>
      <c r="Z880" s="314"/>
      <c r="AA880" s="324"/>
      <c r="AB880" s="155"/>
      <c r="AC880" s="155"/>
      <c r="AD880" s="322"/>
      <c r="AE880" s="132"/>
      <c r="AF880" s="132"/>
    </row>
    <row r="881">
      <c r="A881" s="314"/>
      <c r="B881" s="313"/>
      <c r="C881" s="313"/>
      <c r="D881" s="313"/>
      <c r="E881" s="314"/>
      <c r="F881" s="314"/>
      <c r="G881" s="314"/>
      <c r="H881" s="314"/>
      <c r="I881" s="314"/>
      <c r="J881" s="314"/>
      <c r="K881" s="314"/>
      <c r="L881" s="314"/>
      <c r="M881" s="314"/>
      <c r="N881" s="314"/>
      <c r="O881" s="314"/>
      <c r="P881" s="314"/>
      <c r="Q881" s="314"/>
      <c r="R881" s="314"/>
      <c r="S881" s="314"/>
      <c r="T881" s="314"/>
      <c r="U881" s="314"/>
      <c r="V881" s="314"/>
      <c r="W881" s="314"/>
      <c r="X881" s="314"/>
      <c r="Y881" s="314"/>
      <c r="Z881" s="314"/>
      <c r="AA881" s="324"/>
      <c r="AB881" s="155"/>
      <c r="AC881" s="155"/>
      <c r="AD881" s="322"/>
      <c r="AE881" s="132"/>
      <c r="AF881" s="132"/>
    </row>
    <row r="882">
      <c r="A882" s="314"/>
      <c r="B882" s="313"/>
      <c r="C882" s="313"/>
      <c r="D882" s="313"/>
      <c r="E882" s="314"/>
      <c r="F882" s="314"/>
      <c r="G882" s="314"/>
      <c r="H882" s="314"/>
      <c r="I882" s="314"/>
      <c r="J882" s="314"/>
      <c r="K882" s="314"/>
      <c r="L882" s="314"/>
      <c r="M882" s="314"/>
      <c r="N882" s="314"/>
      <c r="O882" s="314"/>
      <c r="P882" s="314"/>
      <c r="Q882" s="314"/>
      <c r="R882" s="314"/>
      <c r="S882" s="314"/>
      <c r="T882" s="314"/>
      <c r="U882" s="314"/>
      <c r="V882" s="314"/>
      <c r="W882" s="314"/>
      <c r="X882" s="314"/>
      <c r="Y882" s="314"/>
      <c r="Z882" s="314"/>
      <c r="AA882" s="324"/>
      <c r="AB882" s="155"/>
      <c r="AC882" s="155"/>
      <c r="AD882" s="322"/>
      <c r="AE882" s="132"/>
      <c r="AF882" s="132"/>
    </row>
    <row r="883">
      <c r="A883" s="314"/>
      <c r="B883" s="313"/>
      <c r="C883" s="313"/>
      <c r="D883" s="313"/>
      <c r="E883" s="314"/>
      <c r="F883" s="314"/>
      <c r="G883" s="314"/>
      <c r="H883" s="314"/>
      <c r="I883" s="314"/>
      <c r="J883" s="314"/>
      <c r="K883" s="314"/>
      <c r="L883" s="314"/>
      <c r="M883" s="314"/>
      <c r="N883" s="314"/>
      <c r="O883" s="314"/>
      <c r="P883" s="314"/>
      <c r="Q883" s="314"/>
      <c r="R883" s="314"/>
      <c r="S883" s="314"/>
      <c r="T883" s="314"/>
      <c r="U883" s="314"/>
      <c r="V883" s="314"/>
      <c r="W883" s="314"/>
      <c r="X883" s="314"/>
      <c r="Y883" s="314"/>
      <c r="Z883" s="314"/>
      <c r="AA883" s="324"/>
      <c r="AB883" s="155"/>
      <c r="AC883" s="155"/>
      <c r="AD883" s="322"/>
      <c r="AE883" s="132"/>
      <c r="AF883" s="132"/>
    </row>
    <row r="884">
      <c r="A884" s="314"/>
      <c r="B884" s="313"/>
      <c r="C884" s="313"/>
      <c r="D884" s="313"/>
      <c r="E884" s="314"/>
      <c r="F884" s="314"/>
      <c r="G884" s="314"/>
      <c r="H884" s="314"/>
      <c r="I884" s="314"/>
      <c r="J884" s="314"/>
      <c r="K884" s="314"/>
      <c r="L884" s="314"/>
      <c r="M884" s="314"/>
      <c r="N884" s="314"/>
      <c r="O884" s="314"/>
      <c r="P884" s="314"/>
      <c r="Q884" s="314"/>
      <c r="R884" s="314"/>
      <c r="S884" s="314"/>
      <c r="T884" s="314"/>
      <c r="U884" s="314"/>
      <c r="V884" s="314"/>
      <c r="W884" s="314"/>
      <c r="X884" s="314"/>
      <c r="Y884" s="314"/>
      <c r="Z884" s="314"/>
      <c r="AA884" s="324"/>
      <c r="AB884" s="155"/>
      <c r="AC884" s="155"/>
      <c r="AD884" s="322"/>
      <c r="AE884" s="132"/>
      <c r="AF884" s="132"/>
    </row>
    <row r="885">
      <c r="A885" s="314"/>
      <c r="B885" s="313"/>
      <c r="C885" s="313"/>
      <c r="D885" s="313"/>
      <c r="E885" s="314"/>
      <c r="F885" s="314"/>
      <c r="G885" s="314"/>
      <c r="H885" s="314"/>
      <c r="I885" s="314"/>
      <c r="J885" s="314"/>
      <c r="K885" s="314"/>
      <c r="L885" s="314"/>
      <c r="M885" s="314"/>
      <c r="N885" s="314"/>
      <c r="O885" s="314"/>
      <c r="P885" s="314"/>
      <c r="Q885" s="314"/>
      <c r="R885" s="314"/>
      <c r="S885" s="314"/>
      <c r="T885" s="314"/>
      <c r="U885" s="314"/>
      <c r="V885" s="314"/>
      <c r="W885" s="314"/>
      <c r="X885" s="314"/>
      <c r="Y885" s="314"/>
      <c r="Z885" s="314"/>
      <c r="AA885" s="324"/>
      <c r="AB885" s="155"/>
      <c r="AC885" s="155"/>
      <c r="AD885" s="322"/>
      <c r="AE885" s="132"/>
      <c r="AF885" s="132"/>
    </row>
    <row r="886">
      <c r="A886" s="314"/>
      <c r="B886" s="313"/>
      <c r="C886" s="313"/>
      <c r="D886" s="313"/>
      <c r="E886" s="314"/>
      <c r="F886" s="314"/>
      <c r="G886" s="314"/>
      <c r="H886" s="314"/>
      <c r="I886" s="314"/>
      <c r="J886" s="314"/>
      <c r="K886" s="314"/>
      <c r="L886" s="314"/>
      <c r="M886" s="314"/>
      <c r="N886" s="314"/>
      <c r="O886" s="314"/>
      <c r="P886" s="314"/>
      <c r="Q886" s="314"/>
      <c r="R886" s="314"/>
      <c r="S886" s="314"/>
      <c r="T886" s="314"/>
      <c r="U886" s="314"/>
      <c r="V886" s="314"/>
      <c r="W886" s="314"/>
      <c r="X886" s="314"/>
      <c r="Y886" s="314"/>
      <c r="Z886" s="314"/>
      <c r="AA886" s="324"/>
      <c r="AB886" s="155"/>
      <c r="AC886" s="155"/>
      <c r="AD886" s="322"/>
      <c r="AE886" s="132"/>
      <c r="AF886" s="132"/>
    </row>
    <row r="887">
      <c r="A887" s="314"/>
      <c r="B887" s="313"/>
      <c r="C887" s="313"/>
      <c r="D887" s="313"/>
      <c r="E887" s="314"/>
      <c r="F887" s="314"/>
      <c r="G887" s="314"/>
      <c r="H887" s="314"/>
      <c r="I887" s="314"/>
      <c r="J887" s="314"/>
      <c r="K887" s="314"/>
      <c r="L887" s="314"/>
      <c r="M887" s="314"/>
      <c r="N887" s="314"/>
      <c r="O887" s="314"/>
      <c r="P887" s="314"/>
      <c r="Q887" s="314"/>
      <c r="R887" s="314"/>
      <c r="S887" s="314"/>
      <c r="T887" s="314"/>
      <c r="U887" s="314"/>
      <c r="V887" s="314"/>
      <c r="W887" s="314"/>
      <c r="X887" s="314"/>
      <c r="Y887" s="314"/>
      <c r="Z887" s="314"/>
      <c r="AA887" s="324"/>
      <c r="AB887" s="155"/>
      <c r="AC887" s="155"/>
      <c r="AD887" s="322"/>
      <c r="AE887" s="132"/>
      <c r="AF887" s="132"/>
    </row>
    <row r="888">
      <c r="A888" s="314"/>
      <c r="B888" s="313"/>
      <c r="C888" s="313"/>
      <c r="D888" s="313"/>
      <c r="E888" s="314"/>
      <c r="F888" s="314"/>
      <c r="G888" s="314"/>
      <c r="H888" s="314"/>
      <c r="I888" s="314"/>
      <c r="J888" s="314"/>
      <c r="K888" s="314"/>
      <c r="L888" s="314"/>
      <c r="M888" s="314"/>
      <c r="N888" s="314"/>
      <c r="O888" s="314"/>
      <c r="P888" s="314"/>
      <c r="Q888" s="314"/>
      <c r="R888" s="314"/>
      <c r="S888" s="314"/>
      <c r="T888" s="314"/>
      <c r="U888" s="314"/>
      <c r="V888" s="314"/>
      <c r="W888" s="314"/>
      <c r="X888" s="314"/>
      <c r="Y888" s="314"/>
      <c r="Z888" s="314"/>
      <c r="AA888" s="324"/>
      <c r="AB888" s="155"/>
      <c r="AC888" s="155"/>
      <c r="AD888" s="322"/>
      <c r="AE888" s="132"/>
      <c r="AF888" s="132"/>
    </row>
    <row r="889">
      <c r="A889" s="314"/>
      <c r="B889" s="313"/>
      <c r="C889" s="313"/>
      <c r="D889" s="313"/>
      <c r="E889" s="314"/>
      <c r="F889" s="314"/>
      <c r="G889" s="314"/>
      <c r="H889" s="314"/>
      <c r="I889" s="314"/>
      <c r="J889" s="314"/>
      <c r="K889" s="314"/>
      <c r="L889" s="314"/>
      <c r="M889" s="314"/>
      <c r="N889" s="314"/>
      <c r="O889" s="314"/>
      <c r="P889" s="314"/>
      <c r="Q889" s="314"/>
      <c r="R889" s="314"/>
      <c r="S889" s="314"/>
      <c r="T889" s="314"/>
      <c r="U889" s="314"/>
      <c r="V889" s="314"/>
      <c r="W889" s="314"/>
      <c r="X889" s="314"/>
      <c r="Y889" s="314"/>
      <c r="Z889" s="314"/>
      <c r="AA889" s="324"/>
      <c r="AB889" s="155"/>
      <c r="AC889" s="155"/>
      <c r="AD889" s="322"/>
      <c r="AE889" s="132"/>
      <c r="AF889" s="132"/>
    </row>
    <row r="890">
      <c r="A890" s="314"/>
      <c r="B890" s="313"/>
      <c r="C890" s="313"/>
      <c r="D890" s="313"/>
      <c r="E890" s="314"/>
      <c r="F890" s="314"/>
      <c r="G890" s="314"/>
      <c r="H890" s="314"/>
      <c r="I890" s="314"/>
      <c r="J890" s="314"/>
      <c r="K890" s="314"/>
      <c r="L890" s="314"/>
      <c r="M890" s="314"/>
      <c r="N890" s="314"/>
      <c r="O890" s="314"/>
      <c r="P890" s="314"/>
      <c r="Q890" s="314"/>
      <c r="R890" s="314"/>
      <c r="S890" s="314"/>
      <c r="T890" s="314"/>
      <c r="U890" s="314"/>
      <c r="V890" s="314"/>
      <c r="W890" s="314"/>
      <c r="X890" s="314"/>
      <c r="Y890" s="314"/>
      <c r="Z890" s="314"/>
      <c r="AA890" s="324"/>
      <c r="AB890" s="155"/>
      <c r="AC890" s="155"/>
      <c r="AD890" s="322"/>
      <c r="AE890" s="132"/>
      <c r="AF890" s="132"/>
    </row>
    <row r="891">
      <c r="A891" s="314"/>
      <c r="B891" s="313"/>
      <c r="C891" s="313"/>
      <c r="D891" s="313"/>
      <c r="E891" s="314"/>
      <c r="F891" s="314"/>
      <c r="G891" s="314"/>
      <c r="H891" s="314"/>
      <c r="I891" s="314"/>
      <c r="J891" s="314"/>
      <c r="K891" s="314"/>
      <c r="L891" s="314"/>
      <c r="M891" s="314"/>
      <c r="N891" s="314"/>
      <c r="O891" s="314"/>
      <c r="P891" s="314"/>
      <c r="Q891" s="314"/>
      <c r="R891" s="314"/>
      <c r="S891" s="314"/>
      <c r="T891" s="314"/>
      <c r="U891" s="314"/>
      <c r="V891" s="314"/>
      <c r="W891" s="314"/>
      <c r="X891" s="314"/>
      <c r="Y891" s="314"/>
      <c r="Z891" s="314"/>
      <c r="AA891" s="324"/>
      <c r="AB891" s="155"/>
      <c r="AC891" s="155"/>
      <c r="AD891" s="322"/>
      <c r="AE891" s="132"/>
      <c r="AF891" s="132"/>
    </row>
    <row r="892">
      <c r="A892" s="314"/>
      <c r="B892" s="313"/>
      <c r="C892" s="313"/>
      <c r="D892" s="313"/>
      <c r="E892" s="314"/>
      <c r="F892" s="314"/>
      <c r="G892" s="314"/>
      <c r="H892" s="314"/>
      <c r="I892" s="314"/>
      <c r="J892" s="314"/>
      <c r="K892" s="314"/>
      <c r="L892" s="314"/>
      <c r="M892" s="314"/>
      <c r="N892" s="314"/>
      <c r="O892" s="314"/>
      <c r="P892" s="314"/>
      <c r="Q892" s="314"/>
      <c r="R892" s="314"/>
      <c r="S892" s="314"/>
      <c r="T892" s="314"/>
      <c r="U892" s="314"/>
      <c r="V892" s="314"/>
      <c r="W892" s="314"/>
      <c r="X892" s="314"/>
      <c r="Y892" s="314"/>
      <c r="Z892" s="314"/>
      <c r="AA892" s="324"/>
      <c r="AB892" s="155"/>
      <c r="AC892" s="155"/>
      <c r="AD892" s="322"/>
      <c r="AE892" s="132"/>
      <c r="AF892" s="132"/>
    </row>
    <row r="893">
      <c r="A893" s="314"/>
      <c r="B893" s="313"/>
      <c r="C893" s="313"/>
      <c r="D893" s="313"/>
      <c r="E893" s="314"/>
      <c r="F893" s="314"/>
      <c r="G893" s="314"/>
      <c r="H893" s="314"/>
      <c r="I893" s="314"/>
      <c r="J893" s="314"/>
      <c r="K893" s="314"/>
      <c r="L893" s="314"/>
      <c r="M893" s="314"/>
      <c r="N893" s="314"/>
      <c r="O893" s="314"/>
      <c r="P893" s="314"/>
      <c r="Q893" s="314"/>
      <c r="R893" s="314"/>
      <c r="S893" s="314"/>
      <c r="T893" s="314"/>
      <c r="U893" s="314"/>
      <c r="V893" s="314"/>
      <c r="W893" s="314"/>
      <c r="X893" s="314"/>
      <c r="Y893" s="314"/>
      <c r="Z893" s="314"/>
      <c r="AA893" s="324"/>
      <c r="AB893" s="155"/>
      <c r="AC893" s="155"/>
      <c r="AD893" s="322"/>
      <c r="AE893" s="132"/>
      <c r="AF893" s="132"/>
    </row>
    <row r="894">
      <c r="A894" s="314"/>
      <c r="B894" s="313"/>
      <c r="C894" s="313"/>
      <c r="D894" s="313"/>
      <c r="E894" s="314"/>
      <c r="F894" s="314"/>
      <c r="G894" s="314"/>
      <c r="H894" s="314"/>
      <c r="I894" s="314"/>
      <c r="J894" s="314"/>
      <c r="K894" s="314"/>
      <c r="L894" s="314"/>
      <c r="M894" s="314"/>
      <c r="N894" s="314"/>
      <c r="O894" s="314"/>
      <c r="P894" s="314"/>
      <c r="Q894" s="314"/>
      <c r="R894" s="314"/>
      <c r="S894" s="314"/>
      <c r="T894" s="314"/>
      <c r="U894" s="314"/>
      <c r="V894" s="314"/>
      <c r="W894" s="314"/>
      <c r="X894" s="314"/>
      <c r="Y894" s="314"/>
      <c r="Z894" s="314"/>
      <c r="AA894" s="324"/>
      <c r="AB894" s="155"/>
      <c r="AC894" s="155"/>
      <c r="AD894" s="322"/>
      <c r="AE894" s="132"/>
      <c r="AF894" s="132"/>
    </row>
    <row r="895">
      <c r="A895" s="314"/>
      <c r="B895" s="313"/>
      <c r="C895" s="313"/>
      <c r="D895" s="313"/>
      <c r="E895" s="314"/>
      <c r="F895" s="314"/>
      <c r="G895" s="314"/>
      <c r="H895" s="314"/>
      <c r="I895" s="314"/>
      <c r="J895" s="314"/>
      <c r="K895" s="314"/>
      <c r="L895" s="314"/>
      <c r="M895" s="314"/>
      <c r="N895" s="314"/>
      <c r="O895" s="314"/>
      <c r="P895" s="314"/>
      <c r="Q895" s="314"/>
      <c r="R895" s="314"/>
      <c r="S895" s="314"/>
      <c r="T895" s="314"/>
      <c r="U895" s="314"/>
      <c r="V895" s="314"/>
      <c r="W895" s="314"/>
      <c r="X895" s="314"/>
      <c r="Y895" s="314"/>
      <c r="Z895" s="314"/>
      <c r="AA895" s="324"/>
      <c r="AB895" s="155"/>
      <c r="AC895" s="155"/>
      <c r="AD895" s="322"/>
      <c r="AE895" s="132"/>
      <c r="AF895" s="132"/>
    </row>
    <row r="896">
      <c r="A896" s="314"/>
      <c r="B896" s="313"/>
      <c r="C896" s="313"/>
      <c r="D896" s="313"/>
      <c r="E896" s="314"/>
      <c r="F896" s="314"/>
      <c r="G896" s="314"/>
      <c r="H896" s="314"/>
      <c r="I896" s="314"/>
      <c r="J896" s="314"/>
      <c r="K896" s="314"/>
      <c r="L896" s="314"/>
      <c r="M896" s="314"/>
      <c r="N896" s="314"/>
      <c r="O896" s="314"/>
      <c r="P896" s="314"/>
      <c r="Q896" s="314"/>
      <c r="R896" s="314"/>
      <c r="S896" s="314"/>
      <c r="T896" s="314"/>
      <c r="U896" s="314"/>
      <c r="V896" s="314"/>
      <c r="W896" s="314"/>
      <c r="X896" s="314"/>
      <c r="Y896" s="314"/>
      <c r="Z896" s="314"/>
      <c r="AA896" s="324"/>
      <c r="AB896" s="155"/>
      <c r="AC896" s="155"/>
      <c r="AD896" s="322"/>
      <c r="AE896" s="132"/>
      <c r="AF896" s="132"/>
    </row>
    <row r="897">
      <c r="A897" s="314"/>
      <c r="B897" s="313"/>
      <c r="C897" s="313"/>
      <c r="D897" s="313"/>
      <c r="E897" s="314"/>
      <c r="F897" s="314"/>
      <c r="G897" s="314"/>
      <c r="H897" s="314"/>
      <c r="I897" s="314"/>
      <c r="J897" s="314"/>
      <c r="K897" s="314"/>
      <c r="L897" s="314"/>
      <c r="M897" s="314"/>
      <c r="N897" s="314"/>
      <c r="O897" s="314"/>
      <c r="P897" s="314"/>
      <c r="Q897" s="314"/>
      <c r="R897" s="314"/>
      <c r="S897" s="314"/>
      <c r="T897" s="314"/>
      <c r="U897" s="314"/>
      <c r="V897" s="314"/>
      <c r="W897" s="314"/>
      <c r="X897" s="314"/>
      <c r="Y897" s="314"/>
      <c r="Z897" s="314"/>
      <c r="AA897" s="324"/>
      <c r="AB897" s="155"/>
      <c r="AC897" s="155"/>
      <c r="AD897" s="322"/>
      <c r="AE897" s="132"/>
      <c r="AF897" s="132"/>
    </row>
    <row r="898">
      <c r="A898" s="314"/>
      <c r="B898" s="313"/>
      <c r="C898" s="313"/>
      <c r="D898" s="313"/>
      <c r="E898" s="314"/>
      <c r="F898" s="314"/>
      <c r="G898" s="314"/>
      <c r="H898" s="314"/>
      <c r="I898" s="314"/>
      <c r="J898" s="314"/>
      <c r="K898" s="314"/>
      <c r="L898" s="314"/>
      <c r="M898" s="314"/>
      <c r="N898" s="314"/>
      <c r="O898" s="314"/>
      <c r="P898" s="314"/>
      <c r="Q898" s="314"/>
      <c r="R898" s="314"/>
      <c r="S898" s="314"/>
      <c r="T898" s="314"/>
      <c r="U898" s="314"/>
      <c r="V898" s="314"/>
      <c r="W898" s="314"/>
      <c r="X898" s="314"/>
      <c r="Y898" s="314"/>
      <c r="Z898" s="314"/>
      <c r="AA898" s="324"/>
      <c r="AB898" s="155"/>
      <c r="AC898" s="155"/>
      <c r="AD898" s="322"/>
      <c r="AE898" s="132"/>
      <c r="AF898" s="132"/>
    </row>
    <row r="899">
      <c r="A899" s="314"/>
      <c r="B899" s="313"/>
      <c r="C899" s="313"/>
      <c r="D899" s="313"/>
      <c r="E899" s="314"/>
      <c r="F899" s="314"/>
      <c r="G899" s="314"/>
      <c r="H899" s="314"/>
      <c r="I899" s="314"/>
      <c r="J899" s="314"/>
      <c r="K899" s="314"/>
      <c r="L899" s="314"/>
      <c r="M899" s="314"/>
      <c r="N899" s="314"/>
      <c r="O899" s="314"/>
      <c r="P899" s="314"/>
      <c r="Q899" s="314"/>
      <c r="R899" s="314"/>
      <c r="S899" s="314"/>
      <c r="T899" s="314"/>
      <c r="U899" s="314"/>
      <c r="V899" s="314"/>
      <c r="W899" s="314"/>
      <c r="X899" s="314"/>
      <c r="Y899" s="314"/>
      <c r="Z899" s="314"/>
      <c r="AA899" s="324"/>
      <c r="AB899" s="155"/>
      <c r="AC899" s="155"/>
      <c r="AD899" s="322"/>
      <c r="AE899" s="132"/>
      <c r="AF899" s="132"/>
    </row>
    <row r="900">
      <c r="A900" s="314"/>
      <c r="B900" s="313"/>
      <c r="C900" s="313"/>
      <c r="D900" s="313"/>
      <c r="E900" s="314"/>
      <c r="F900" s="314"/>
      <c r="G900" s="314"/>
      <c r="H900" s="314"/>
      <c r="I900" s="314"/>
      <c r="J900" s="314"/>
      <c r="K900" s="314"/>
      <c r="L900" s="314"/>
      <c r="M900" s="314"/>
      <c r="N900" s="314"/>
      <c r="O900" s="314"/>
      <c r="P900" s="314"/>
      <c r="Q900" s="314"/>
      <c r="R900" s="314"/>
      <c r="S900" s="314"/>
      <c r="T900" s="314"/>
      <c r="U900" s="314"/>
      <c r="V900" s="314"/>
      <c r="W900" s="314"/>
      <c r="X900" s="314"/>
      <c r="Y900" s="314"/>
      <c r="Z900" s="314"/>
      <c r="AA900" s="324"/>
      <c r="AB900" s="155"/>
      <c r="AC900" s="155"/>
      <c r="AD900" s="322"/>
      <c r="AE900" s="132"/>
      <c r="AF900" s="132"/>
    </row>
    <row r="901">
      <c r="A901" s="314"/>
      <c r="B901" s="313"/>
      <c r="C901" s="313"/>
      <c r="D901" s="313"/>
      <c r="E901" s="314"/>
      <c r="F901" s="314"/>
      <c r="G901" s="314"/>
      <c r="H901" s="314"/>
      <c r="I901" s="314"/>
      <c r="J901" s="314"/>
      <c r="K901" s="314"/>
      <c r="L901" s="314"/>
      <c r="M901" s="314"/>
      <c r="N901" s="314"/>
      <c r="O901" s="314"/>
      <c r="P901" s="314"/>
      <c r="Q901" s="314"/>
      <c r="R901" s="314"/>
      <c r="S901" s="314"/>
      <c r="T901" s="314"/>
      <c r="U901" s="314"/>
      <c r="V901" s="314"/>
      <c r="W901" s="314"/>
      <c r="X901" s="314"/>
      <c r="Y901" s="314"/>
      <c r="Z901" s="314"/>
      <c r="AA901" s="324"/>
      <c r="AB901" s="155"/>
      <c r="AC901" s="155"/>
      <c r="AD901" s="322"/>
      <c r="AE901" s="132"/>
      <c r="AF901" s="132"/>
    </row>
    <row r="902">
      <c r="A902" s="314"/>
      <c r="B902" s="313"/>
      <c r="C902" s="313"/>
      <c r="D902" s="313"/>
      <c r="E902" s="314"/>
      <c r="F902" s="314"/>
      <c r="G902" s="314"/>
      <c r="H902" s="314"/>
      <c r="I902" s="314"/>
      <c r="J902" s="314"/>
      <c r="K902" s="314"/>
      <c r="L902" s="314"/>
      <c r="M902" s="314"/>
      <c r="N902" s="314"/>
      <c r="O902" s="314"/>
      <c r="P902" s="314"/>
      <c r="Q902" s="314"/>
      <c r="R902" s="314"/>
      <c r="S902" s="314"/>
      <c r="T902" s="314"/>
      <c r="U902" s="314"/>
      <c r="V902" s="314"/>
      <c r="W902" s="314"/>
      <c r="X902" s="314"/>
      <c r="Y902" s="314"/>
      <c r="Z902" s="314"/>
      <c r="AA902" s="324"/>
      <c r="AB902" s="155"/>
      <c r="AC902" s="155"/>
      <c r="AD902" s="322"/>
      <c r="AE902" s="132"/>
      <c r="AF902" s="132"/>
    </row>
    <row r="903">
      <c r="A903" s="314"/>
      <c r="B903" s="313"/>
      <c r="C903" s="313"/>
      <c r="D903" s="313"/>
      <c r="E903" s="314"/>
      <c r="F903" s="314"/>
      <c r="G903" s="314"/>
      <c r="H903" s="314"/>
      <c r="I903" s="314"/>
      <c r="J903" s="314"/>
      <c r="K903" s="314"/>
      <c r="L903" s="314"/>
      <c r="M903" s="314"/>
      <c r="N903" s="314"/>
      <c r="O903" s="314"/>
      <c r="P903" s="314"/>
      <c r="Q903" s="314"/>
      <c r="R903" s="314"/>
      <c r="S903" s="314"/>
      <c r="T903" s="314"/>
      <c r="U903" s="314"/>
      <c r="V903" s="314"/>
      <c r="W903" s="314"/>
      <c r="X903" s="314"/>
      <c r="Y903" s="314"/>
      <c r="Z903" s="314"/>
      <c r="AA903" s="324"/>
      <c r="AB903" s="155"/>
      <c r="AC903" s="155"/>
      <c r="AD903" s="322"/>
      <c r="AE903" s="132"/>
      <c r="AF903" s="132"/>
    </row>
    <row r="904">
      <c r="A904" s="314"/>
      <c r="B904" s="313"/>
      <c r="C904" s="313"/>
      <c r="D904" s="313"/>
      <c r="E904" s="314"/>
      <c r="F904" s="314"/>
      <c r="G904" s="314"/>
      <c r="H904" s="314"/>
      <c r="I904" s="314"/>
      <c r="J904" s="314"/>
      <c r="K904" s="314"/>
      <c r="L904" s="314"/>
      <c r="M904" s="314"/>
      <c r="N904" s="314"/>
      <c r="O904" s="314"/>
      <c r="P904" s="314"/>
      <c r="Q904" s="314"/>
      <c r="R904" s="314"/>
      <c r="S904" s="314"/>
      <c r="T904" s="314"/>
      <c r="U904" s="314"/>
      <c r="V904" s="314"/>
      <c r="W904" s="314"/>
      <c r="X904" s="314"/>
      <c r="Y904" s="314"/>
      <c r="Z904" s="314"/>
      <c r="AA904" s="324"/>
      <c r="AB904" s="155"/>
      <c r="AC904" s="155"/>
      <c r="AD904" s="322"/>
      <c r="AE904" s="132"/>
      <c r="AF904" s="132"/>
    </row>
    <row r="905">
      <c r="A905" s="314"/>
      <c r="B905" s="313"/>
      <c r="C905" s="313"/>
      <c r="D905" s="313"/>
      <c r="E905" s="314"/>
      <c r="F905" s="314"/>
      <c r="G905" s="314"/>
      <c r="H905" s="314"/>
      <c r="I905" s="314"/>
      <c r="J905" s="314"/>
      <c r="K905" s="314"/>
      <c r="L905" s="314"/>
      <c r="M905" s="314"/>
      <c r="N905" s="314"/>
      <c r="O905" s="314"/>
      <c r="P905" s="314"/>
      <c r="Q905" s="314"/>
      <c r="R905" s="314"/>
      <c r="S905" s="314"/>
      <c r="T905" s="314"/>
      <c r="U905" s="314"/>
      <c r="V905" s="314"/>
      <c r="W905" s="314"/>
      <c r="X905" s="314"/>
      <c r="Y905" s="314"/>
      <c r="Z905" s="314"/>
      <c r="AA905" s="324"/>
      <c r="AB905" s="155"/>
      <c r="AC905" s="155"/>
      <c r="AD905" s="322"/>
      <c r="AE905" s="132"/>
      <c r="AF905" s="132"/>
    </row>
    <row r="906">
      <c r="A906" s="314"/>
      <c r="B906" s="313"/>
      <c r="C906" s="313"/>
      <c r="D906" s="313"/>
      <c r="E906" s="314"/>
      <c r="F906" s="314"/>
      <c r="G906" s="314"/>
      <c r="H906" s="314"/>
      <c r="I906" s="314"/>
      <c r="J906" s="314"/>
      <c r="K906" s="314"/>
      <c r="L906" s="314"/>
      <c r="M906" s="314"/>
      <c r="N906" s="314"/>
      <c r="O906" s="314"/>
      <c r="P906" s="314"/>
      <c r="Q906" s="314"/>
      <c r="R906" s="314"/>
      <c r="S906" s="314"/>
      <c r="T906" s="314"/>
      <c r="U906" s="314"/>
      <c r="V906" s="314"/>
      <c r="W906" s="314"/>
      <c r="X906" s="314"/>
      <c r="Y906" s="314"/>
      <c r="Z906" s="314"/>
      <c r="AA906" s="324"/>
      <c r="AB906" s="155"/>
      <c r="AC906" s="155"/>
      <c r="AD906" s="322"/>
      <c r="AE906" s="132"/>
      <c r="AF906" s="132"/>
    </row>
    <row r="907">
      <c r="A907" s="314"/>
      <c r="B907" s="313"/>
      <c r="C907" s="313"/>
      <c r="D907" s="313"/>
      <c r="E907" s="314"/>
      <c r="F907" s="314"/>
      <c r="G907" s="314"/>
      <c r="H907" s="314"/>
      <c r="I907" s="314"/>
      <c r="J907" s="314"/>
      <c r="K907" s="314"/>
      <c r="L907" s="314"/>
      <c r="M907" s="314"/>
      <c r="N907" s="314"/>
      <c r="O907" s="314"/>
      <c r="P907" s="314"/>
      <c r="Q907" s="314"/>
      <c r="R907" s="314"/>
      <c r="S907" s="314"/>
      <c r="T907" s="314"/>
      <c r="U907" s="314"/>
      <c r="V907" s="314"/>
      <c r="W907" s="314"/>
      <c r="X907" s="314"/>
      <c r="Y907" s="314"/>
      <c r="Z907" s="314"/>
      <c r="AA907" s="324"/>
      <c r="AB907" s="155"/>
      <c r="AC907" s="155"/>
      <c r="AD907" s="322"/>
      <c r="AE907" s="132"/>
      <c r="AF907" s="132"/>
    </row>
    <row r="908">
      <c r="A908" s="314"/>
      <c r="B908" s="313"/>
      <c r="C908" s="313"/>
      <c r="D908" s="313"/>
      <c r="E908" s="314"/>
      <c r="F908" s="314"/>
      <c r="G908" s="314"/>
      <c r="H908" s="314"/>
      <c r="I908" s="314"/>
      <c r="J908" s="314"/>
      <c r="K908" s="314"/>
      <c r="L908" s="314"/>
      <c r="M908" s="314"/>
      <c r="N908" s="314"/>
      <c r="O908" s="314"/>
      <c r="P908" s="314"/>
      <c r="Q908" s="314"/>
      <c r="R908" s="314"/>
      <c r="S908" s="314"/>
      <c r="T908" s="314"/>
      <c r="U908" s="314"/>
      <c r="V908" s="314"/>
      <c r="W908" s="314"/>
      <c r="X908" s="314"/>
      <c r="Y908" s="314"/>
      <c r="Z908" s="314"/>
      <c r="AA908" s="324"/>
      <c r="AB908" s="155"/>
      <c r="AC908" s="155"/>
      <c r="AD908" s="322"/>
      <c r="AE908" s="132"/>
      <c r="AF908" s="132"/>
    </row>
    <row r="909">
      <c r="A909" s="314"/>
      <c r="B909" s="313"/>
      <c r="C909" s="313"/>
      <c r="D909" s="313"/>
      <c r="E909" s="314"/>
      <c r="F909" s="314"/>
      <c r="G909" s="314"/>
      <c r="H909" s="314"/>
      <c r="I909" s="314"/>
      <c r="J909" s="314"/>
      <c r="K909" s="314"/>
      <c r="L909" s="314"/>
      <c r="M909" s="314"/>
      <c r="N909" s="314"/>
      <c r="O909" s="314"/>
      <c r="P909" s="314"/>
      <c r="Q909" s="314"/>
      <c r="R909" s="314"/>
      <c r="S909" s="314"/>
      <c r="T909" s="314"/>
      <c r="U909" s="314"/>
      <c r="V909" s="314"/>
      <c r="W909" s="314"/>
      <c r="X909" s="314"/>
      <c r="Y909" s="314"/>
      <c r="Z909" s="314"/>
      <c r="AA909" s="324"/>
      <c r="AB909" s="155"/>
      <c r="AC909" s="155"/>
      <c r="AD909" s="322"/>
      <c r="AE909" s="132"/>
      <c r="AF909" s="132"/>
    </row>
    <row r="910">
      <c r="A910" s="314"/>
      <c r="B910" s="313"/>
      <c r="C910" s="313"/>
      <c r="D910" s="313"/>
      <c r="E910" s="314"/>
      <c r="F910" s="314"/>
      <c r="G910" s="314"/>
      <c r="H910" s="314"/>
      <c r="I910" s="314"/>
      <c r="J910" s="314"/>
      <c r="K910" s="314"/>
      <c r="L910" s="314"/>
      <c r="M910" s="314"/>
      <c r="N910" s="314"/>
      <c r="O910" s="314"/>
      <c r="P910" s="314"/>
      <c r="Q910" s="314"/>
      <c r="R910" s="314"/>
      <c r="S910" s="314"/>
      <c r="T910" s="314"/>
      <c r="U910" s="314"/>
      <c r="V910" s="314"/>
      <c r="W910" s="314"/>
      <c r="X910" s="314"/>
      <c r="Y910" s="314"/>
      <c r="Z910" s="314"/>
      <c r="AA910" s="324"/>
      <c r="AB910" s="155"/>
      <c r="AC910" s="155"/>
      <c r="AD910" s="322"/>
      <c r="AE910" s="132"/>
      <c r="AF910" s="132"/>
    </row>
    <row r="911">
      <c r="A911" s="314"/>
      <c r="B911" s="313"/>
      <c r="C911" s="313"/>
      <c r="D911" s="313"/>
      <c r="E911" s="314"/>
      <c r="F911" s="314"/>
      <c r="G911" s="314"/>
      <c r="H911" s="314"/>
      <c r="I911" s="314"/>
      <c r="J911" s="314"/>
      <c r="K911" s="314"/>
      <c r="L911" s="314"/>
      <c r="M911" s="314"/>
      <c r="N911" s="314"/>
      <c r="O911" s="314"/>
      <c r="P911" s="314"/>
      <c r="Q911" s="314"/>
      <c r="R911" s="314"/>
      <c r="S911" s="314"/>
      <c r="T911" s="314"/>
      <c r="U911" s="314"/>
      <c r="V911" s="314"/>
      <c r="W911" s="314"/>
      <c r="X911" s="314"/>
      <c r="Y911" s="314"/>
      <c r="Z911" s="314"/>
      <c r="AA911" s="324"/>
      <c r="AB911" s="155"/>
      <c r="AC911" s="155"/>
      <c r="AD911" s="322"/>
      <c r="AE911" s="132"/>
      <c r="AF911" s="132"/>
    </row>
    <row r="912">
      <c r="A912" s="314"/>
      <c r="B912" s="313"/>
      <c r="C912" s="313"/>
      <c r="D912" s="313"/>
      <c r="E912" s="314"/>
      <c r="F912" s="314"/>
      <c r="G912" s="314"/>
      <c r="H912" s="314"/>
      <c r="I912" s="314"/>
      <c r="J912" s="314"/>
      <c r="K912" s="314"/>
      <c r="L912" s="314"/>
      <c r="M912" s="314"/>
      <c r="N912" s="314"/>
      <c r="O912" s="314"/>
      <c r="P912" s="314"/>
      <c r="Q912" s="314"/>
      <c r="R912" s="314"/>
      <c r="S912" s="314"/>
      <c r="T912" s="314"/>
      <c r="U912" s="314"/>
      <c r="V912" s="314"/>
      <c r="W912" s="314"/>
      <c r="X912" s="314"/>
      <c r="Y912" s="314"/>
      <c r="Z912" s="314"/>
      <c r="AA912" s="324"/>
      <c r="AB912" s="155"/>
      <c r="AC912" s="155"/>
      <c r="AD912" s="322"/>
      <c r="AE912" s="132"/>
      <c r="AF912" s="132"/>
    </row>
    <row r="913">
      <c r="A913" s="314"/>
      <c r="B913" s="313"/>
      <c r="C913" s="313"/>
      <c r="D913" s="313"/>
      <c r="E913" s="314"/>
      <c r="F913" s="314"/>
      <c r="G913" s="314"/>
      <c r="H913" s="314"/>
      <c r="I913" s="314"/>
      <c r="J913" s="314"/>
      <c r="K913" s="314"/>
      <c r="L913" s="314"/>
      <c r="M913" s="314"/>
      <c r="N913" s="314"/>
      <c r="O913" s="314"/>
      <c r="P913" s="314"/>
      <c r="Q913" s="314"/>
      <c r="R913" s="314"/>
      <c r="S913" s="314"/>
      <c r="T913" s="314"/>
      <c r="U913" s="314"/>
      <c r="V913" s="314"/>
      <c r="W913" s="314"/>
      <c r="X913" s="314"/>
      <c r="Y913" s="314"/>
      <c r="Z913" s="314"/>
      <c r="AA913" s="324"/>
      <c r="AB913" s="155"/>
      <c r="AC913" s="155"/>
      <c r="AD913" s="322"/>
      <c r="AE913" s="132"/>
      <c r="AF913" s="132"/>
    </row>
    <row r="914">
      <c r="A914" s="314"/>
      <c r="B914" s="313"/>
      <c r="C914" s="313"/>
      <c r="D914" s="313"/>
      <c r="E914" s="314"/>
      <c r="F914" s="314"/>
      <c r="G914" s="314"/>
      <c r="H914" s="314"/>
      <c r="I914" s="314"/>
      <c r="J914" s="314"/>
      <c r="K914" s="314"/>
      <c r="L914" s="314"/>
      <c r="M914" s="314"/>
      <c r="N914" s="314"/>
      <c r="O914" s="314"/>
      <c r="P914" s="314"/>
      <c r="Q914" s="314"/>
      <c r="R914" s="314"/>
      <c r="S914" s="314"/>
      <c r="T914" s="314"/>
      <c r="U914" s="314"/>
      <c r="V914" s="314"/>
      <c r="W914" s="314"/>
      <c r="X914" s="314"/>
      <c r="Y914" s="314"/>
      <c r="Z914" s="314"/>
      <c r="AA914" s="324"/>
      <c r="AB914" s="155"/>
      <c r="AC914" s="155"/>
      <c r="AD914" s="322"/>
      <c r="AE914" s="132"/>
      <c r="AF914" s="132"/>
    </row>
    <row r="915">
      <c r="A915" s="314"/>
      <c r="B915" s="313"/>
      <c r="C915" s="313"/>
      <c r="D915" s="313"/>
      <c r="E915" s="314"/>
      <c r="F915" s="314"/>
      <c r="G915" s="314"/>
      <c r="H915" s="314"/>
      <c r="I915" s="314"/>
      <c r="J915" s="314"/>
      <c r="K915" s="314"/>
      <c r="L915" s="314"/>
      <c r="M915" s="314"/>
      <c r="N915" s="314"/>
      <c r="O915" s="314"/>
      <c r="P915" s="314"/>
      <c r="Q915" s="314"/>
      <c r="R915" s="314"/>
      <c r="S915" s="314"/>
      <c r="T915" s="314"/>
      <c r="U915" s="314"/>
      <c r="V915" s="314"/>
      <c r="W915" s="314"/>
      <c r="X915" s="314"/>
      <c r="Y915" s="314"/>
      <c r="Z915" s="314"/>
      <c r="AA915" s="324"/>
      <c r="AB915" s="155"/>
      <c r="AC915" s="155"/>
      <c r="AD915" s="322"/>
      <c r="AE915" s="132"/>
      <c r="AF915" s="132"/>
    </row>
    <row r="916">
      <c r="A916" s="314"/>
      <c r="B916" s="313"/>
      <c r="C916" s="313"/>
      <c r="D916" s="313"/>
      <c r="E916" s="314"/>
      <c r="F916" s="314"/>
      <c r="G916" s="314"/>
      <c r="H916" s="314"/>
      <c r="I916" s="314"/>
      <c r="J916" s="314"/>
      <c r="K916" s="314"/>
      <c r="L916" s="314"/>
      <c r="M916" s="314"/>
      <c r="N916" s="314"/>
      <c r="O916" s="314"/>
      <c r="P916" s="314"/>
      <c r="Q916" s="314"/>
      <c r="R916" s="314"/>
      <c r="S916" s="314"/>
      <c r="T916" s="314"/>
      <c r="U916" s="314"/>
      <c r="V916" s="314"/>
      <c r="W916" s="314"/>
      <c r="X916" s="314"/>
      <c r="Y916" s="314"/>
      <c r="Z916" s="314"/>
      <c r="AA916" s="324"/>
      <c r="AB916" s="155"/>
      <c r="AC916" s="155"/>
      <c r="AD916" s="322"/>
      <c r="AE916" s="132"/>
      <c r="AF916" s="132"/>
    </row>
    <row r="917">
      <c r="A917" s="314"/>
      <c r="B917" s="313"/>
      <c r="C917" s="313"/>
      <c r="D917" s="313"/>
      <c r="E917" s="314"/>
      <c r="F917" s="314"/>
      <c r="G917" s="314"/>
      <c r="H917" s="314"/>
      <c r="I917" s="314"/>
      <c r="J917" s="314"/>
      <c r="K917" s="314"/>
      <c r="L917" s="314"/>
      <c r="M917" s="314"/>
      <c r="N917" s="314"/>
      <c r="O917" s="314"/>
      <c r="P917" s="314"/>
      <c r="Q917" s="314"/>
      <c r="R917" s="314"/>
      <c r="S917" s="314"/>
      <c r="T917" s="314"/>
      <c r="U917" s="314"/>
      <c r="V917" s="314"/>
      <c r="W917" s="314"/>
      <c r="X917" s="314"/>
      <c r="Y917" s="314"/>
      <c r="Z917" s="314"/>
      <c r="AA917" s="324"/>
      <c r="AB917" s="155"/>
      <c r="AC917" s="155"/>
      <c r="AD917" s="322"/>
      <c r="AE917" s="132"/>
      <c r="AF917" s="132"/>
    </row>
    <row r="918">
      <c r="A918" s="314"/>
      <c r="B918" s="313"/>
      <c r="C918" s="313"/>
      <c r="D918" s="313"/>
      <c r="E918" s="314"/>
      <c r="F918" s="314"/>
      <c r="G918" s="314"/>
      <c r="H918" s="314"/>
      <c r="I918" s="314"/>
      <c r="J918" s="314"/>
      <c r="K918" s="314"/>
      <c r="L918" s="314"/>
      <c r="M918" s="314"/>
      <c r="N918" s="314"/>
      <c r="O918" s="314"/>
      <c r="P918" s="314"/>
      <c r="Q918" s="314"/>
      <c r="R918" s="314"/>
      <c r="S918" s="314"/>
      <c r="T918" s="314"/>
      <c r="U918" s="314"/>
      <c r="V918" s="314"/>
      <c r="W918" s="314"/>
      <c r="X918" s="314"/>
      <c r="Y918" s="314"/>
      <c r="Z918" s="314"/>
      <c r="AA918" s="324"/>
      <c r="AB918" s="155"/>
      <c r="AC918" s="155"/>
      <c r="AD918" s="322"/>
      <c r="AE918" s="132"/>
      <c r="AF918" s="132"/>
    </row>
    <row r="919">
      <c r="A919" s="314"/>
      <c r="B919" s="313"/>
      <c r="C919" s="313"/>
      <c r="D919" s="313"/>
      <c r="E919" s="314"/>
      <c r="F919" s="314"/>
      <c r="G919" s="314"/>
      <c r="H919" s="314"/>
      <c r="I919" s="314"/>
      <c r="J919" s="314"/>
      <c r="K919" s="314"/>
      <c r="L919" s="314"/>
      <c r="M919" s="314"/>
      <c r="N919" s="314"/>
      <c r="O919" s="314"/>
      <c r="P919" s="314"/>
      <c r="Q919" s="314"/>
      <c r="R919" s="314"/>
      <c r="S919" s="314"/>
      <c r="T919" s="314"/>
      <c r="U919" s="314"/>
      <c r="V919" s="314"/>
      <c r="W919" s="314"/>
      <c r="X919" s="314"/>
      <c r="Y919" s="314"/>
      <c r="Z919" s="314"/>
      <c r="AA919" s="324"/>
      <c r="AB919" s="155"/>
      <c r="AC919" s="155"/>
      <c r="AD919" s="322"/>
      <c r="AE919" s="132"/>
      <c r="AF919" s="132"/>
    </row>
    <row r="920">
      <c r="A920" s="314"/>
      <c r="B920" s="313"/>
      <c r="C920" s="313"/>
      <c r="D920" s="313"/>
      <c r="E920" s="314"/>
      <c r="F920" s="314"/>
      <c r="G920" s="314"/>
      <c r="H920" s="314"/>
      <c r="I920" s="314"/>
      <c r="J920" s="314"/>
      <c r="K920" s="314"/>
      <c r="L920" s="314"/>
      <c r="M920" s="314"/>
      <c r="N920" s="314"/>
      <c r="O920" s="314"/>
      <c r="P920" s="314"/>
      <c r="Q920" s="314"/>
      <c r="R920" s="314"/>
      <c r="S920" s="314"/>
      <c r="T920" s="314"/>
      <c r="U920" s="314"/>
      <c r="V920" s="314"/>
      <c r="W920" s="314"/>
      <c r="X920" s="314"/>
      <c r="Y920" s="314"/>
      <c r="Z920" s="314"/>
      <c r="AA920" s="324"/>
      <c r="AB920" s="155"/>
      <c r="AC920" s="155"/>
      <c r="AD920" s="322"/>
      <c r="AE920" s="132"/>
      <c r="AF920" s="132"/>
    </row>
    <row r="921">
      <c r="A921" s="314"/>
      <c r="B921" s="313"/>
      <c r="C921" s="313"/>
      <c r="D921" s="313"/>
      <c r="E921" s="314"/>
      <c r="F921" s="314"/>
      <c r="G921" s="314"/>
      <c r="H921" s="314"/>
      <c r="I921" s="314"/>
      <c r="J921" s="314"/>
      <c r="K921" s="314"/>
      <c r="L921" s="314"/>
      <c r="M921" s="314"/>
      <c r="N921" s="314"/>
      <c r="O921" s="314"/>
      <c r="P921" s="314"/>
      <c r="Q921" s="314"/>
      <c r="R921" s="314"/>
      <c r="S921" s="314"/>
      <c r="T921" s="314"/>
      <c r="U921" s="314"/>
      <c r="V921" s="314"/>
      <c r="W921" s="314"/>
      <c r="X921" s="314"/>
      <c r="Y921" s="314"/>
      <c r="Z921" s="314"/>
      <c r="AA921" s="324"/>
      <c r="AB921" s="155"/>
      <c r="AC921" s="155"/>
      <c r="AD921" s="322"/>
      <c r="AE921" s="132"/>
      <c r="AF921" s="132"/>
    </row>
    <row r="922">
      <c r="A922" s="314"/>
      <c r="B922" s="313"/>
      <c r="C922" s="313"/>
      <c r="D922" s="313"/>
      <c r="E922" s="314"/>
      <c r="F922" s="314"/>
      <c r="G922" s="314"/>
      <c r="H922" s="314"/>
      <c r="I922" s="314"/>
      <c r="J922" s="314"/>
      <c r="K922" s="314"/>
      <c r="L922" s="314"/>
      <c r="M922" s="314"/>
      <c r="N922" s="314"/>
      <c r="O922" s="314"/>
      <c r="P922" s="314"/>
      <c r="Q922" s="314"/>
      <c r="R922" s="314"/>
      <c r="S922" s="314"/>
      <c r="T922" s="314"/>
      <c r="U922" s="314"/>
      <c r="V922" s="314"/>
      <c r="W922" s="314"/>
      <c r="X922" s="314"/>
      <c r="Y922" s="314"/>
      <c r="Z922" s="314"/>
      <c r="AA922" s="324"/>
      <c r="AB922" s="155"/>
      <c r="AC922" s="155"/>
      <c r="AD922" s="322"/>
      <c r="AE922" s="132"/>
      <c r="AF922" s="132"/>
    </row>
    <row r="923">
      <c r="A923" s="435"/>
      <c r="B923" s="313"/>
      <c r="C923" s="437"/>
      <c r="D923" s="313"/>
      <c r="E923" s="435"/>
      <c r="F923" s="314"/>
      <c r="G923" s="314"/>
      <c r="H923" s="435"/>
      <c r="I923" s="435"/>
      <c r="J923" s="314"/>
      <c r="K923" s="435"/>
      <c r="L923" s="435"/>
      <c r="M923" s="314"/>
      <c r="N923" s="314"/>
      <c r="O923" s="314"/>
      <c r="P923" s="435"/>
      <c r="Q923" s="435"/>
      <c r="R923" s="435"/>
      <c r="S923" s="435"/>
      <c r="T923" s="435"/>
      <c r="U923" s="435"/>
      <c r="V923" s="435"/>
      <c r="W923" s="435"/>
      <c r="X923" s="435"/>
      <c r="Y923" s="435"/>
      <c r="Z923" s="435"/>
      <c r="AA923" s="324"/>
      <c r="AB923" s="180"/>
      <c r="AC923" s="155"/>
      <c r="AD923" s="322"/>
      <c r="AE923" s="132"/>
      <c r="AF923" s="132"/>
    </row>
    <row r="924">
      <c r="A924" s="435"/>
      <c r="B924" s="313"/>
      <c r="C924" s="313"/>
      <c r="D924" s="437"/>
      <c r="E924" s="314"/>
      <c r="F924" s="314"/>
      <c r="G924" s="314"/>
      <c r="H924" s="314"/>
      <c r="I924" s="314"/>
      <c r="J924" s="314"/>
      <c r="K924" s="314"/>
      <c r="L924" s="314"/>
      <c r="M924" s="435"/>
      <c r="N924" s="435"/>
      <c r="O924" s="314"/>
      <c r="P924" s="314"/>
      <c r="Q924" s="314"/>
      <c r="R924" s="314"/>
      <c r="S924" s="314"/>
      <c r="T924" s="314"/>
      <c r="U924" s="314"/>
      <c r="V924" s="314"/>
      <c r="W924" s="314"/>
      <c r="X924" s="314"/>
      <c r="Y924" s="314"/>
      <c r="Z924" s="314"/>
      <c r="AA924" s="324"/>
      <c r="AB924" s="180"/>
      <c r="AC924" s="155"/>
      <c r="AD924" s="322"/>
      <c r="AE924" s="132"/>
      <c r="AF924" s="132"/>
    </row>
    <row r="925">
      <c r="A925" s="435"/>
      <c r="B925" s="437"/>
      <c r="C925" s="437"/>
      <c r="D925" s="437"/>
      <c r="E925" s="435"/>
      <c r="F925" s="314"/>
      <c r="G925" s="314"/>
      <c r="H925" s="314"/>
      <c r="I925" s="435"/>
      <c r="J925" s="435"/>
      <c r="K925" s="435"/>
      <c r="L925" s="435"/>
      <c r="M925" s="435"/>
      <c r="N925" s="435"/>
      <c r="O925" s="314"/>
      <c r="P925" s="435"/>
      <c r="Q925" s="314"/>
      <c r="R925" s="435"/>
      <c r="S925" s="435"/>
      <c r="T925" s="435"/>
      <c r="U925" s="435"/>
      <c r="V925" s="435"/>
      <c r="W925" s="435"/>
      <c r="X925" s="435"/>
      <c r="Y925" s="435"/>
      <c r="Z925" s="435"/>
      <c r="AA925" s="324"/>
      <c r="AB925" s="180"/>
      <c r="AC925" s="155"/>
      <c r="AD925" s="322"/>
      <c r="AE925" s="132"/>
      <c r="AF925" s="132"/>
    </row>
    <row r="926">
      <c r="A926" s="435"/>
      <c r="B926" s="313"/>
      <c r="C926" s="313"/>
      <c r="D926" s="437"/>
      <c r="E926" s="314"/>
      <c r="F926" s="314"/>
      <c r="G926" s="314"/>
      <c r="H926" s="314"/>
      <c r="I926" s="435"/>
      <c r="J926" s="314"/>
      <c r="K926" s="435"/>
      <c r="L926" s="314"/>
      <c r="M926" s="314"/>
      <c r="N926" s="314"/>
      <c r="O926" s="314"/>
      <c r="P926" s="314"/>
      <c r="Q926" s="435"/>
      <c r="R926" s="435"/>
      <c r="S926" s="314"/>
      <c r="T926" s="314"/>
      <c r="U926" s="314"/>
      <c r="V926" s="314"/>
      <c r="W926" s="314"/>
      <c r="X926" s="314"/>
      <c r="Y926" s="314"/>
      <c r="Z926" s="314"/>
      <c r="AA926" s="324"/>
      <c r="AB926" s="180"/>
      <c r="AC926" s="155"/>
      <c r="AD926" s="322"/>
      <c r="AE926" s="132"/>
      <c r="AF926" s="132"/>
    </row>
    <row r="927">
      <c r="A927" s="435"/>
      <c r="B927" s="437"/>
      <c r="C927" s="437"/>
      <c r="D927" s="437"/>
      <c r="E927" s="435"/>
      <c r="F927" s="314"/>
      <c r="G927" s="314"/>
      <c r="H927" s="435"/>
      <c r="I927" s="435"/>
      <c r="J927" s="435"/>
      <c r="K927" s="435"/>
      <c r="L927" s="435"/>
      <c r="M927" s="435"/>
      <c r="N927" s="435"/>
      <c r="O927" s="314"/>
      <c r="P927" s="435"/>
      <c r="Q927" s="435"/>
      <c r="R927" s="435"/>
      <c r="S927" s="435"/>
      <c r="T927" s="435"/>
      <c r="U927" s="435"/>
      <c r="V927" s="435"/>
      <c r="W927" s="435"/>
      <c r="X927" s="435"/>
      <c r="Y927" s="435"/>
      <c r="Z927" s="435"/>
      <c r="AA927" s="324"/>
      <c r="AB927" s="180"/>
      <c r="AC927" s="155"/>
      <c r="AD927" s="322"/>
      <c r="AE927" s="132"/>
      <c r="AF927" s="132"/>
    </row>
    <row r="928">
      <c r="A928" s="435"/>
      <c r="B928" s="437"/>
      <c r="C928" s="313"/>
      <c r="D928" s="437"/>
      <c r="E928" s="314"/>
      <c r="F928" s="314"/>
      <c r="G928" s="314"/>
      <c r="H928" s="314"/>
      <c r="I928" s="314"/>
      <c r="J928" s="314"/>
      <c r="K928" s="435"/>
      <c r="L928" s="314"/>
      <c r="M928" s="314"/>
      <c r="N928" s="314"/>
      <c r="O928" s="314"/>
      <c r="P928" s="314"/>
      <c r="Q928" s="314"/>
      <c r="R928" s="314"/>
      <c r="S928" s="435"/>
      <c r="T928" s="435"/>
      <c r="U928" s="435"/>
      <c r="V928" s="435"/>
      <c r="W928" s="435"/>
      <c r="X928" s="435"/>
      <c r="Y928" s="435"/>
      <c r="Z928" s="435"/>
      <c r="AA928" s="324"/>
      <c r="AB928" s="180"/>
      <c r="AC928" s="155"/>
      <c r="AD928" s="322"/>
      <c r="AE928" s="132"/>
      <c r="AF928" s="132"/>
    </row>
    <row r="929">
      <c r="A929" s="435"/>
      <c r="B929" s="437"/>
      <c r="C929" s="437"/>
      <c r="D929" s="437"/>
      <c r="E929" s="435"/>
      <c r="F929" s="314"/>
      <c r="G929" s="314"/>
      <c r="H929" s="435"/>
      <c r="I929" s="314"/>
      <c r="J929" s="314"/>
      <c r="K929" s="435"/>
      <c r="L929" s="314"/>
      <c r="M929" s="314"/>
      <c r="N929" s="314"/>
      <c r="O929" s="314"/>
      <c r="P929" s="435"/>
      <c r="Q929" s="435"/>
      <c r="R929" s="435"/>
      <c r="S929" s="435"/>
      <c r="T929" s="435"/>
      <c r="U929" s="435"/>
      <c r="V929" s="435"/>
      <c r="W929" s="435"/>
      <c r="X929" s="435"/>
      <c r="Y929" s="435"/>
      <c r="Z929" s="435"/>
      <c r="AA929" s="324"/>
      <c r="AB929" s="180"/>
      <c r="AC929" s="155"/>
      <c r="AD929" s="322"/>
      <c r="AE929" s="132"/>
      <c r="AF929" s="132"/>
    </row>
    <row r="930">
      <c r="A930" s="435"/>
      <c r="B930" s="437"/>
      <c r="C930" s="437"/>
      <c r="D930" s="437"/>
      <c r="E930" s="435"/>
      <c r="F930" s="314"/>
      <c r="G930" s="314"/>
      <c r="H930" s="435"/>
      <c r="I930" s="435"/>
      <c r="J930" s="435"/>
      <c r="K930" s="435"/>
      <c r="L930" s="435"/>
      <c r="M930" s="435"/>
      <c r="N930" s="435"/>
      <c r="O930" s="314"/>
      <c r="P930" s="435"/>
      <c r="Q930" s="435"/>
      <c r="R930" s="435"/>
      <c r="S930" s="435"/>
      <c r="T930" s="435"/>
      <c r="U930" s="435"/>
      <c r="V930" s="435"/>
      <c r="W930" s="435"/>
      <c r="X930" s="435"/>
      <c r="Y930" s="435"/>
      <c r="Z930" s="435"/>
      <c r="AA930" s="324"/>
      <c r="AB930" s="180"/>
      <c r="AC930" s="155"/>
      <c r="AD930" s="322"/>
      <c r="AE930" s="132"/>
      <c r="AF930" s="132"/>
    </row>
    <row r="931">
      <c r="A931" s="435"/>
      <c r="B931" s="313"/>
      <c r="C931" s="313"/>
      <c r="D931" s="313"/>
      <c r="E931" s="435"/>
      <c r="F931" s="314"/>
      <c r="G931" s="314"/>
      <c r="H931" s="435"/>
      <c r="I931" s="314"/>
      <c r="J931" s="314"/>
      <c r="K931" s="314"/>
      <c r="L931" s="314"/>
      <c r="M931" s="314"/>
      <c r="N931" s="314"/>
      <c r="O931" s="314"/>
      <c r="P931" s="314"/>
      <c r="Q931" s="314"/>
      <c r="R931" s="314"/>
      <c r="S931" s="314"/>
      <c r="T931" s="314"/>
      <c r="U931" s="314"/>
      <c r="V931" s="314"/>
      <c r="W931" s="314"/>
      <c r="X931" s="314"/>
      <c r="Y931" s="314"/>
      <c r="Z931" s="314"/>
      <c r="AA931" s="324"/>
      <c r="AB931" s="180"/>
      <c r="AC931" s="155"/>
      <c r="AD931" s="322"/>
      <c r="AE931" s="132"/>
      <c r="AF931" s="132"/>
    </row>
    <row r="932">
      <c r="A932" s="435"/>
      <c r="B932" s="313"/>
      <c r="C932" s="313"/>
      <c r="D932" s="437"/>
      <c r="E932" s="314"/>
      <c r="F932" s="314"/>
      <c r="G932" s="314"/>
      <c r="H932" s="435"/>
      <c r="I932" s="314"/>
      <c r="J932" s="435"/>
      <c r="K932" s="435"/>
      <c r="L932" s="314"/>
      <c r="M932" s="435"/>
      <c r="N932" s="314"/>
      <c r="O932" s="314"/>
      <c r="P932" s="314"/>
      <c r="Q932" s="314"/>
      <c r="R932" s="435"/>
      <c r="S932" s="435"/>
      <c r="T932" s="435"/>
      <c r="U932" s="435"/>
      <c r="V932" s="435"/>
      <c r="W932" s="435"/>
      <c r="X932" s="435"/>
      <c r="Y932" s="435"/>
      <c r="Z932" s="435"/>
      <c r="AA932" s="324"/>
      <c r="AB932" s="180"/>
      <c r="AC932" s="155"/>
      <c r="AD932" s="322"/>
      <c r="AE932" s="132"/>
      <c r="AF932" s="132"/>
    </row>
    <row r="933">
      <c r="A933" s="435"/>
      <c r="B933" s="313"/>
      <c r="C933" s="313"/>
      <c r="D933" s="313"/>
      <c r="E933" s="314"/>
      <c r="F933" s="314"/>
      <c r="G933" s="314"/>
      <c r="H933" s="314"/>
      <c r="I933" s="314"/>
      <c r="J933" s="314"/>
      <c r="K933" s="314"/>
      <c r="L933" s="314"/>
      <c r="M933" s="314"/>
      <c r="N933" s="314"/>
      <c r="O933" s="314"/>
      <c r="P933" s="314"/>
      <c r="Q933" s="435"/>
      <c r="R933" s="314"/>
      <c r="S933" s="435"/>
      <c r="T933" s="435"/>
      <c r="U933" s="435"/>
      <c r="V933" s="435"/>
      <c r="W933" s="435"/>
      <c r="X933" s="435"/>
      <c r="Y933" s="435"/>
      <c r="Z933" s="435"/>
      <c r="AA933" s="324"/>
      <c r="AB933" s="180"/>
      <c r="AC933" s="155"/>
      <c r="AD933" s="322"/>
      <c r="AE933" s="132"/>
      <c r="AF933" s="132"/>
    </row>
    <row r="934">
      <c r="A934" s="435"/>
      <c r="B934" s="437"/>
      <c r="C934" s="313"/>
      <c r="D934" s="313"/>
      <c r="E934" s="314"/>
      <c r="F934" s="314"/>
      <c r="G934" s="314"/>
      <c r="H934" s="435"/>
      <c r="I934" s="314"/>
      <c r="J934" s="435"/>
      <c r="K934" s="435"/>
      <c r="L934" s="314"/>
      <c r="M934" s="314"/>
      <c r="N934" s="435"/>
      <c r="O934" s="314"/>
      <c r="P934" s="314"/>
      <c r="Q934" s="314"/>
      <c r="R934" s="435"/>
      <c r="S934" s="435"/>
      <c r="T934" s="435"/>
      <c r="U934" s="435"/>
      <c r="V934" s="435"/>
      <c r="W934" s="435"/>
      <c r="X934" s="435"/>
      <c r="Y934" s="435"/>
      <c r="Z934" s="435"/>
      <c r="AA934" s="324"/>
      <c r="AB934" s="180"/>
      <c r="AC934" s="155"/>
      <c r="AD934" s="322"/>
      <c r="AE934" s="132"/>
      <c r="AF934" s="132"/>
    </row>
    <row r="935">
      <c r="A935" s="435"/>
      <c r="B935" s="313"/>
      <c r="C935" s="437"/>
      <c r="D935" s="437"/>
      <c r="E935" s="435"/>
      <c r="F935" s="314"/>
      <c r="G935" s="314"/>
      <c r="H935" s="435"/>
      <c r="I935" s="314"/>
      <c r="J935" s="314"/>
      <c r="K935" s="435"/>
      <c r="L935" s="314"/>
      <c r="M935" s="314"/>
      <c r="N935" s="314"/>
      <c r="O935" s="314"/>
      <c r="P935" s="314"/>
      <c r="Q935" s="314"/>
      <c r="R935" s="314"/>
      <c r="S935" s="435"/>
      <c r="T935" s="435"/>
      <c r="U935" s="435"/>
      <c r="V935" s="435"/>
      <c r="W935" s="435"/>
      <c r="X935" s="435"/>
      <c r="Y935" s="435"/>
      <c r="Z935" s="435"/>
      <c r="AA935" s="324"/>
      <c r="AB935" s="180"/>
      <c r="AC935" s="155"/>
      <c r="AD935" s="322"/>
      <c r="AE935" s="132"/>
      <c r="AF935" s="132"/>
    </row>
    <row r="936">
      <c r="A936" s="435"/>
      <c r="B936" s="313"/>
      <c r="C936" s="313"/>
      <c r="D936" s="313"/>
      <c r="E936" s="314"/>
      <c r="F936" s="314"/>
      <c r="G936" s="314"/>
      <c r="H936" s="435"/>
      <c r="I936" s="314"/>
      <c r="J936" s="314"/>
      <c r="K936" s="314"/>
      <c r="L936" s="314"/>
      <c r="M936" s="314"/>
      <c r="N936" s="314"/>
      <c r="O936" s="314"/>
      <c r="P936" s="314"/>
      <c r="Q936" s="314"/>
      <c r="R936" s="435"/>
      <c r="S936" s="314"/>
      <c r="T936" s="314"/>
      <c r="U936" s="314"/>
      <c r="V936" s="314"/>
      <c r="W936" s="314"/>
      <c r="X936" s="314"/>
      <c r="Y936" s="314"/>
      <c r="Z936" s="314"/>
      <c r="AA936" s="324"/>
      <c r="AB936" s="180"/>
      <c r="AC936" s="155"/>
      <c r="AD936" s="322"/>
      <c r="AE936" s="132"/>
      <c r="AF936" s="132"/>
    </row>
    <row r="937">
      <c r="A937" s="435"/>
      <c r="B937" s="437"/>
      <c r="C937" s="437"/>
      <c r="D937" s="437"/>
      <c r="E937" s="435"/>
      <c r="F937" s="314"/>
      <c r="G937" s="314"/>
      <c r="H937" s="435"/>
      <c r="I937" s="435"/>
      <c r="J937" s="435"/>
      <c r="K937" s="435"/>
      <c r="L937" s="435"/>
      <c r="M937" s="435"/>
      <c r="N937" s="435"/>
      <c r="O937" s="314"/>
      <c r="P937" s="435"/>
      <c r="Q937" s="435"/>
      <c r="R937" s="435"/>
      <c r="S937" s="435"/>
      <c r="T937" s="435"/>
      <c r="U937" s="435"/>
      <c r="V937" s="435"/>
      <c r="W937" s="435"/>
      <c r="X937" s="435"/>
      <c r="Y937" s="435"/>
      <c r="Z937" s="435"/>
      <c r="AA937" s="324"/>
      <c r="AB937" s="180"/>
      <c r="AC937" s="155"/>
      <c r="AD937" s="322"/>
      <c r="AE937" s="132"/>
      <c r="AF937" s="132"/>
    </row>
    <row r="938">
      <c r="A938" s="435"/>
      <c r="B938" s="313"/>
      <c r="C938" s="313"/>
      <c r="D938" s="313"/>
      <c r="E938" s="314"/>
      <c r="F938" s="314"/>
      <c r="G938" s="314"/>
      <c r="H938" s="314"/>
      <c r="I938" s="314"/>
      <c r="J938" s="314"/>
      <c r="K938" s="314"/>
      <c r="L938" s="314"/>
      <c r="M938" s="435"/>
      <c r="N938" s="314"/>
      <c r="O938" s="314"/>
      <c r="P938" s="314"/>
      <c r="Q938" s="314"/>
      <c r="R938" s="314"/>
      <c r="S938" s="314"/>
      <c r="T938" s="314"/>
      <c r="U938" s="314"/>
      <c r="V938" s="314"/>
      <c r="W938" s="314"/>
      <c r="X938" s="314"/>
      <c r="Y938" s="314"/>
      <c r="Z938" s="314"/>
      <c r="AA938" s="324"/>
      <c r="AB938" s="180"/>
      <c r="AC938" s="155"/>
      <c r="AD938" s="322"/>
      <c r="AE938" s="132"/>
      <c r="AF938" s="132"/>
    </row>
    <row r="939">
      <c r="A939" s="435"/>
      <c r="B939" s="313"/>
      <c r="C939" s="437"/>
      <c r="D939" s="437"/>
      <c r="E939" s="435"/>
      <c r="F939" s="314"/>
      <c r="G939" s="314"/>
      <c r="H939" s="435"/>
      <c r="I939" s="435"/>
      <c r="J939" s="435"/>
      <c r="K939" s="435"/>
      <c r="L939" s="314"/>
      <c r="M939" s="435"/>
      <c r="N939" s="435"/>
      <c r="O939" s="314"/>
      <c r="P939" s="435"/>
      <c r="Q939" s="435"/>
      <c r="R939" s="435"/>
      <c r="S939" s="435"/>
      <c r="T939" s="435"/>
      <c r="U939" s="435"/>
      <c r="V939" s="435"/>
      <c r="W939" s="435"/>
      <c r="X939" s="435"/>
      <c r="Y939" s="435"/>
      <c r="Z939" s="435"/>
      <c r="AA939" s="324"/>
      <c r="AB939" s="180"/>
      <c r="AC939" s="155"/>
      <c r="AD939" s="322"/>
      <c r="AE939" s="132"/>
      <c r="AF939" s="132"/>
    </row>
    <row r="940">
      <c r="A940" s="435"/>
      <c r="B940" s="437"/>
      <c r="C940" s="437"/>
      <c r="D940" s="313"/>
      <c r="E940" s="435"/>
      <c r="F940" s="314"/>
      <c r="G940" s="314"/>
      <c r="H940" s="435"/>
      <c r="I940" s="435"/>
      <c r="J940" s="314"/>
      <c r="K940" s="435"/>
      <c r="L940" s="435"/>
      <c r="M940" s="314"/>
      <c r="N940" s="435"/>
      <c r="O940" s="314"/>
      <c r="P940" s="435"/>
      <c r="Q940" s="314"/>
      <c r="R940" s="435"/>
      <c r="S940" s="435"/>
      <c r="T940" s="435"/>
      <c r="U940" s="435"/>
      <c r="V940" s="435"/>
      <c r="W940" s="435"/>
      <c r="X940" s="435"/>
      <c r="Y940" s="435"/>
      <c r="Z940" s="435"/>
      <c r="AA940" s="324"/>
      <c r="AB940" s="180"/>
      <c r="AC940" s="155"/>
      <c r="AD940" s="322"/>
      <c r="AE940" s="132"/>
      <c r="AF940" s="132"/>
    </row>
    <row r="941">
      <c r="A941" s="458"/>
      <c r="B941" s="437"/>
      <c r="C941" s="437"/>
      <c r="D941" s="437"/>
      <c r="E941" s="435"/>
      <c r="F941" s="314"/>
      <c r="G941" s="314"/>
      <c r="H941" s="314"/>
      <c r="I941" s="435"/>
      <c r="J941" s="435"/>
      <c r="K941" s="435"/>
      <c r="L941" s="435"/>
      <c r="M941" s="435"/>
      <c r="N941" s="435"/>
      <c r="O941" s="314"/>
      <c r="P941" s="435"/>
      <c r="Q941" s="435"/>
      <c r="R941" s="435"/>
      <c r="S941" s="435"/>
      <c r="T941" s="435"/>
      <c r="U941" s="435"/>
      <c r="V941" s="435"/>
      <c r="W941" s="435"/>
      <c r="X941" s="435"/>
      <c r="Y941" s="435"/>
      <c r="Z941" s="435"/>
      <c r="AA941" s="324"/>
      <c r="AB941" s="180"/>
      <c r="AC941" s="155"/>
      <c r="AD941" s="322"/>
      <c r="AE941" s="132"/>
      <c r="AF941" s="132"/>
    </row>
    <row r="942">
      <c r="A942" s="458"/>
      <c r="B942" s="437"/>
      <c r="C942" s="437"/>
      <c r="D942" s="437"/>
      <c r="E942" s="435"/>
      <c r="F942" s="314"/>
      <c r="G942" s="314"/>
      <c r="H942" s="314"/>
      <c r="I942" s="314"/>
      <c r="J942" s="435"/>
      <c r="K942" s="435"/>
      <c r="L942" s="435"/>
      <c r="M942" s="435"/>
      <c r="N942" s="435"/>
      <c r="O942" s="314"/>
      <c r="P942" s="435"/>
      <c r="Q942" s="435"/>
      <c r="R942" s="435"/>
      <c r="S942" s="435"/>
      <c r="T942" s="435"/>
      <c r="U942" s="435"/>
      <c r="V942" s="435"/>
      <c r="W942" s="435"/>
      <c r="X942" s="435"/>
      <c r="Y942" s="435"/>
      <c r="Z942" s="435"/>
      <c r="AA942" s="324"/>
      <c r="AB942" s="180"/>
      <c r="AC942" s="155"/>
      <c r="AD942" s="322"/>
      <c r="AE942" s="132"/>
      <c r="AF942" s="132"/>
    </row>
    <row r="943">
      <c r="A943" s="458"/>
      <c r="B943" s="437"/>
      <c r="C943" s="437"/>
      <c r="D943" s="437"/>
      <c r="E943" s="314"/>
      <c r="F943" s="314"/>
      <c r="G943" s="314"/>
      <c r="H943" s="314"/>
      <c r="I943" s="435"/>
      <c r="J943" s="435"/>
      <c r="K943" s="435"/>
      <c r="L943" s="435"/>
      <c r="M943" s="435"/>
      <c r="N943" s="435"/>
      <c r="O943" s="314"/>
      <c r="P943" s="435"/>
      <c r="Q943" s="314"/>
      <c r="R943" s="435"/>
      <c r="S943" s="435"/>
      <c r="T943" s="435"/>
      <c r="U943" s="435"/>
      <c r="V943" s="435"/>
      <c r="W943" s="435"/>
      <c r="X943" s="435"/>
      <c r="Y943" s="435"/>
      <c r="Z943" s="435"/>
      <c r="AA943" s="324"/>
      <c r="AB943" s="180"/>
      <c r="AC943" s="155"/>
      <c r="AD943" s="322"/>
      <c r="AE943" s="132"/>
      <c r="AF943" s="132"/>
    </row>
    <row r="944">
      <c r="A944" s="458"/>
      <c r="B944" s="313"/>
      <c r="C944" s="313"/>
      <c r="D944" s="313"/>
      <c r="E944" s="314"/>
      <c r="F944" s="314"/>
      <c r="G944" s="314"/>
      <c r="H944" s="314"/>
      <c r="I944" s="314"/>
      <c r="J944" s="314"/>
      <c r="K944" s="314"/>
      <c r="L944" s="314"/>
      <c r="M944" s="314"/>
      <c r="N944" s="314"/>
      <c r="O944" s="314"/>
      <c r="P944" s="314"/>
      <c r="Q944" s="314"/>
      <c r="R944" s="314"/>
      <c r="S944" s="314"/>
      <c r="T944" s="314"/>
      <c r="U944" s="314"/>
      <c r="V944" s="314"/>
      <c r="W944" s="314"/>
      <c r="X944" s="314"/>
      <c r="Y944" s="314"/>
      <c r="Z944" s="314"/>
      <c r="AA944" s="324"/>
      <c r="AB944" s="180"/>
      <c r="AC944" s="155"/>
      <c r="AD944" s="322"/>
      <c r="AE944" s="132"/>
      <c r="AF944" s="132"/>
    </row>
    <row r="945">
      <c r="A945" s="458"/>
      <c r="B945" s="437"/>
      <c r="C945" s="437"/>
      <c r="D945" s="437"/>
      <c r="E945" s="314"/>
      <c r="F945" s="314"/>
      <c r="G945" s="314"/>
      <c r="H945" s="314"/>
      <c r="I945" s="314"/>
      <c r="J945" s="314"/>
      <c r="K945" s="435"/>
      <c r="L945" s="435"/>
      <c r="M945" s="435"/>
      <c r="N945" s="314"/>
      <c r="O945" s="314"/>
      <c r="P945" s="435"/>
      <c r="Q945" s="435"/>
      <c r="R945" s="435"/>
      <c r="S945" s="435"/>
      <c r="T945" s="435"/>
      <c r="U945" s="435"/>
      <c r="V945" s="435"/>
      <c r="W945" s="435"/>
      <c r="X945" s="435"/>
      <c r="Y945" s="435"/>
      <c r="Z945" s="435"/>
      <c r="AA945" s="324"/>
      <c r="AB945" s="180"/>
      <c r="AC945" s="155"/>
      <c r="AD945" s="322"/>
      <c r="AE945" s="132"/>
      <c r="AF945" s="132"/>
    </row>
    <row r="946">
      <c r="A946" s="458"/>
      <c r="B946" s="313"/>
      <c r="C946" s="313"/>
      <c r="D946" s="437"/>
      <c r="E946" s="314"/>
      <c r="F946" s="314"/>
      <c r="G946" s="314"/>
      <c r="H946" s="314"/>
      <c r="I946" s="314"/>
      <c r="J946" s="314"/>
      <c r="K946" s="314"/>
      <c r="L946" s="314"/>
      <c r="M946" s="314"/>
      <c r="N946" s="314"/>
      <c r="O946" s="314"/>
      <c r="P946" s="314"/>
      <c r="Q946" s="314"/>
      <c r="R946" s="314"/>
      <c r="S946" s="314"/>
      <c r="T946" s="314"/>
      <c r="U946" s="314"/>
      <c r="V946" s="314"/>
      <c r="W946" s="314"/>
      <c r="X946" s="314"/>
      <c r="Y946" s="314"/>
      <c r="Z946" s="314"/>
      <c r="AA946" s="324"/>
      <c r="AB946" s="180"/>
      <c r="AC946" s="155"/>
      <c r="AD946" s="322"/>
      <c r="AE946" s="132"/>
      <c r="AF946" s="132"/>
    </row>
    <row r="947">
      <c r="A947" s="458"/>
      <c r="B947" s="313"/>
      <c r="C947" s="437"/>
      <c r="D947" s="313"/>
      <c r="E947" s="314"/>
      <c r="F947" s="314"/>
      <c r="G947" s="314"/>
      <c r="H947" s="314"/>
      <c r="I947" s="435"/>
      <c r="J947" s="314"/>
      <c r="K947" s="314"/>
      <c r="L947" s="435"/>
      <c r="M947" s="314"/>
      <c r="N947" s="314"/>
      <c r="O947" s="314"/>
      <c r="P947" s="314"/>
      <c r="Q947" s="435"/>
      <c r="R947" s="435"/>
      <c r="S947" s="435"/>
      <c r="T947" s="435"/>
      <c r="U947" s="435"/>
      <c r="V947" s="435"/>
      <c r="W947" s="435"/>
      <c r="X947" s="435"/>
      <c r="Y947" s="435"/>
      <c r="Z947" s="435"/>
      <c r="AA947" s="324"/>
      <c r="AB947" s="180"/>
      <c r="AC947" s="155"/>
      <c r="AD947" s="322"/>
      <c r="AE947" s="132"/>
      <c r="AF947" s="132"/>
    </row>
    <row r="948">
      <c r="A948" s="458"/>
      <c r="B948" s="313"/>
      <c r="C948" s="437"/>
      <c r="D948" s="437"/>
      <c r="E948" s="435"/>
      <c r="F948" s="314"/>
      <c r="G948" s="314"/>
      <c r="H948" s="435"/>
      <c r="I948" s="435"/>
      <c r="J948" s="314"/>
      <c r="K948" s="435"/>
      <c r="L948" s="435"/>
      <c r="M948" s="314"/>
      <c r="N948" s="314"/>
      <c r="O948" s="314"/>
      <c r="P948" s="435"/>
      <c r="Q948" s="435"/>
      <c r="R948" s="435"/>
      <c r="S948" s="435"/>
      <c r="T948" s="435"/>
      <c r="U948" s="435"/>
      <c r="V948" s="435"/>
      <c r="W948" s="435"/>
      <c r="X948" s="435"/>
      <c r="Y948" s="435"/>
      <c r="Z948" s="435"/>
      <c r="AA948" s="324"/>
      <c r="AB948" s="180"/>
      <c r="AC948" s="155"/>
      <c r="AD948" s="322"/>
      <c r="AE948" s="132"/>
      <c r="AF948" s="132"/>
    </row>
    <row r="949">
      <c r="A949" s="458"/>
      <c r="B949" s="313"/>
      <c r="C949" s="437"/>
      <c r="D949" s="437"/>
      <c r="E949" s="314"/>
      <c r="F949" s="314"/>
      <c r="G949" s="314"/>
      <c r="H949" s="314"/>
      <c r="I949" s="314"/>
      <c r="J949" s="314"/>
      <c r="K949" s="435"/>
      <c r="L949" s="314"/>
      <c r="M949" s="314"/>
      <c r="N949" s="314"/>
      <c r="O949" s="314"/>
      <c r="P949" s="314"/>
      <c r="Q949" s="314"/>
      <c r="R949" s="435"/>
      <c r="S949" s="435"/>
      <c r="T949" s="435"/>
      <c r="U949" s="435"/>
      <c r="V949" s="435"/>
      <c r="W949" s="435"/>
      <c r="X949" s="435"/>
      <c r="Y949" s="435"/>
      <c r="Z949" s="435"/>
      <c r="AA949" s="324"/>
      <c r="AB949" s="180"/>
      <c r="AC949" s="155"/>
      <c r="AD949" s="322"/>
      <c r="AE949" s="132"/>
      <c r="AF949" s="132"/>
    </row>
    <row r="950">
      <c r="A950" s="458"/>
      <c r="B950" s="437"/>
      <c r="C950" s="437"/>
      <c r="D950" s="437"/>
      <c r="E950" s="435"/>
      <c r="F950" s="314"/>
      <c r="G950" s="314"/>
      <c r="H950" s="435"/>
      <c r="I950" s="435"/>
      <c r="J950" s="435"/>
      <c r="K950" s="435"/>
      <c r="L950" s="435"/>
      <c r="M950" s="435"/>
      <c r="N950" s="435"/>
      <c r="O950" s="314"/>
      <c r="P950" s="435"/>
      <c r="Q950" s="435"/>
      <c r="R950" s="435"/>
      <c r="S950" s="435"/>
      <c r="T950" s="435"/>
      <c r="U950" s="435"/>
      <c r="V950" s="435"/>
      <c r="W950" s="435"/>
      <c r="X950" s="435"/>
      <c r="Y950" s="435"/>
      <c r="Z950" s="435"/>
      <c r="AA950" s="324"/>
      <c r="AB950" s="180"/>
      <c r="AC950" s="155"/>
      <c r="AD950" s="322"/>
      <c r="AE950" s="132"/>
      <c r="AF950" s="132"/>
    </row>
    <row r="951">
      <c r="A951" s="435"/>
      <c r="B951" s="437"/>
      <c r="C951" s="437"/>
      <c r="D951" s="437"/>
      <c r="E951" s="435"/>
      <c r="F951" s="314"/>
      <c r="G951" s="314"/>
      <c r="H951" s="435"/>
      <c r="I951" s="435"/>
      <c r="J951" s="435"/>
      <c r="K951" s="435"/>
      <c r="L951" s="435"/>
      <c r="M951" s="435"/>
      <c r="N951" s="435"/>
      <c r="O951" s="314"/>
      <c r="P951" s="435"/>
      <c r="Q951" s="435"/>
      <c r="R951" s="435"/>
      <c r="S951" s="435"/>
      <c r="T951" s="435"/>
      <c r="U951" s="435"/>
      <c r="V951" s="435"/>
      <c r="W951" s="435"/>
      <c r="X951" s="435"/>
      <c r="Y951" s="435"/>
      <c r="Z951" s="435"/>
      <c r="AA951" s="324"/>
      <c r="AB951" s="180"/>
      <c r="AC951" s="155"/>
      <c r="AD951" s="322"/>
      <c r="AE951" s="132"/>
      <c r="AF951" s="132"/>
    </row>
    <row r="952">
      <c r="A952" s="474"/>
      <c r="B952" s="437"/>
      <c r="C952" s="437"/>
      <c r="D952" s="437"/>
      <c r="E952" s="435"/>
      <c r="F952" s="314"/>
      <c r="G952" s="314"/>
      <c r="H952" s="435"/>
      <c r="I952" s="435"/>
      <c r="J952" s="435"/>
      <c r="K952" s="435"/>
      <c r="L952" s="435"/>
      <c r="M952" s="435"/>
      <c r="N952" s="435"/>
      <c r="O952" s="314"/>
      <c r="P952" s="435"/>
      <c r="Q952" s="435"/>
      <c r="R952" s="435"/>
      <c r="S952" s="435"/>
      <c r="T952" s="435"/>
      <c r="U952" s="435"/>
      <c r="V952" s="435"/>
      <c r="W952" s="435"/>
      <c r="X952" s="435"/>
      <c r="Y952" s="435"/>
      <c r="Z952" s="435"/>
      <c r="AA952" s="324"/>
      <c r="AB952" s="180"/>
      <c r="AC952" s="155"/>
      <c r="AD952" s="322"/>
      <c r="AE952" s="132"/>
      <c r="AF952" s="132"/>
    </row>
    <row r="953">
      <c r="A953" s="474"/>
      <c r="B953" s="437"/>
      <c r="C953" s="313"/>
      <c r="D953" s="437"/>
      <c r="E953" s="435"/>
      <c r="F953" s="314"/>
      <c r="G953" s="314"/>
      <c r="H953" s="435"/>
      <c r="I953" s="435"/>
      <c r="J953" s="435"/>
      <c r="K953" s="314"/>
      <c r="L953" s="314"/>
      <c r="M953" s="314"/>
      <c r="N953" s="435"/>
      <c r="O953" s="314"/>
      <c r="P953" s="314"/>
      <c r="Q953" s="435"/>
      <c r="R953" s="314"/>
      <c r="S953" s="435"/>
      <c r="T953" s="435"/>
      <c r="U953" s="435"/>
      <c r="V953" s="435"/>
      <c r="W953" s="435"/>
      <c r="X953" s="435"/>
      <c r="Y953" s="435"/>
      <c r="Z953" s="435"/>
      <c r="AA953" s="324"/>
      <c r="AB953" s="180"/>
      <c r="AC953" s="155"/>
      <c r="AD953" s="322"/>
      <c r="AE953" s="132"/>
      <c r="AF953" s="132"/>
    </row>
    <row r="954">
      <c r="A954" s="474"/>
      <c r="B954" s="313"/>
      <c r="C954" s="313"/>
      <c r="D954" s="313"/>
      <c r="E954" s="314"/>
      <c r="F954" s="314"/>
      <c r="G954" s="314"/>
      <c r="H954" s="314"/>
      <c r="I954" s="314"/>
      <c r="J954" s="314"/>
      <c r="K954" s="435"/>
      <c r="L954" s="314"/>
      <c r="M954" s="314"/>
      <c r="N954" s="314"/>
      <c r="O954" s="314"/>
      <c r="P954" s="435"/>
      <c r="Q954" s="314"/>
      <c r="R954" s="314"/>
      <c r="S954" s="314"/>
      <c r="T954" s="314"/>
      <c r="U954" s="314"/>
      <c r="V954" s="314"/>
      <c r="W954" s="314"/>
      <c r="X954" s="314"/>
      <c r="Y954" s="314"/>
      <c r="Z954" s="314"/>
      <c r="AA954" s="324"/>
      <c r="AB954" s="180"/>
      <c r="AC954" s="155"/>
      <c r="AD954" s="322"/>
      <c r="AE954" s="132"/>
      <c r="AF954" s="132"/>
    </row>
    <row r="955">
      <c r="A955" s="474"/>
      <c r="B955" s="313"/>
      <c r="C955" s="437"/>
      <c r="D955" s="437"/>
      <c r="E955" s="314"/>
      <c r="F955" s="314"/>
      <c r="G955" s="314"/>
      <c r="H955" s="314"/>
      <c r="I955" s="435"/>
      <c r="J955" s="314"/>
      <c r="K955" s="314"/>
      <c r="L955" s="314"/>
      <c r="M955" s="314"/>
      <c r="N955" s="314"/>
      <c r="O955" s="314"/>
      <c r="P955" s="314"/>
      <c r="Q955" s="314"/>
      <c r="R955" s="314"/>
      <c r="S955" s="314"/>
      <c r="T955" s="314"/>
      <c r="U955" s="314"/>
      <c r="V955" s="314"/>
      <c r="W955" s="314"/>
      <c r="X955" s="314"/>
      <c r="Y955" s="314"/>
      <c r="Z955" s="314"/>
      <c r="AA955" s="324"/>
      <c r="AB955" s="180"/>
      <c r="AC955" s="155"/>
      <c r="AD955" s="322"/>
      <c r="AE955" s="132"/>
      <c r="AF955" s="132"/>
    </row>
    <row r="956">
      <c r="A956" s="474"/>
      <c r="B956" s="313"/>
      <c r="C956" s="313"/>
      <c r="D956" s="313"/>
      <c r="E956" s="314"/>
      <c r="F956" s="314"/>
      <c r="G956" s="314"/>
      <c r="H956" s="314"/>
      <c r="I956" s="314"/>
      <c r="J956" s="314"/>
      <c r="K956" s="435"/>
      <c r="L956" s="314"/>
      <c r="M956" s="314"/>
      <c r="N956" s="314"/>
      <c r="O956" s="314"/>
      <c r="P956" s="314"/>
      <c r="Q956" s="314"/>
      <c r="R956" s="314"/>
      <c r="S956" s="314"/>
      <c r="T956" s="314"/>
      <c r="U956" s="314"/>
      <c r="V956" s="314"/>
      <c r="W956" s="314"/>
      <c r="X956" s="314"/>
      <c r="Y956" s="314"/>
      <c r="Z956" s="314"/>
      <c r="AA956" s="324"/>
      <c r="AB956" s="180"/>
      <c r="AC956" s="155"/>
      <c r="AD956" s="322"/>
      <c r="AE956" s="132"/>
      <c r="AF956" s="132"/>
    </row>
    <row r="957">
      <c r="A957" s="458"/>
      <c r="B957" s="313"/>
      <c r="C957" s="437"/>
      <c r="D957" s="313"/>
      <c r="E957" s="314"/>
      <c r="F957" s="314"/>
      <c r="G957" s="314"/>
      <c r="H957" s="314"/>
      <c r="I957" s="314"/>
      <c r="J957" s="435"/>
      <c r="K957" s="435"/>
      <c r="L957" s="314"/>
      <c r="M957" s="314"/>
      <c r="N957" s="314"/>
      <c r="O957" s="314"/>
      <c r="P957" s="314"/>
      <c r="Q957" s="314"/>
      <c r="R957" s="314"/>
      <c r="S957" s="314"/>
      <c r="T957" s="314"/>
      <c r="U957" s="314"/>
      <c r="V957" s="314"/>
      <c r="W957" s="314"/>
      <c r="X957" s="314"/>
      <c r="Y957" s="314"/>
      <c r="Z957" s="314"/>
      <c r="AA957" s="324"/>
      <c r="AB957" s="180"/>
      <c r="AC957" s="155"/>
      <c r="AD957" s="322"/>
      <c r="AE957" s="132"/>
      <c r="AF957" s="132"/>
    </row>
    <row r="958">
      <c r="A958" s="435"/>
      <c r="B958" s="313"/>
      <c r="C958" s="437"/>
      <c r="D958" s="437"/>
      <c r="E958" s="435"/>
      <c r="F958" s="314"/>
      <c r="G958" s="314"/>
      <c r="H958" s="435"/>
      <c r="I958" s="314"/>
      <c r="J958" s="314"/>
      <c r="K958" s="435"/>
      <c r="L958" s="314"/>
      <c r="M958" s="435"/>
      <c r="N958" s="435"/>
      <c r="O958" s="314"/>
      <c r="P958" s="314"/>
      <c r="Q958" s="314"/>
      <c r="R958" s="435"/>
      <c r="S958" s="314"/>
      <c r="T958" s="314"/>
      <c r="U958" s="314"/>
      <c r="V958" s="314"/>
      <c r="W958" s="314"/>
      <c r="X958" s="314"/>
      <c r="Y958" s="314"/>
      <c r="Z958" s="314"/>
      <c r="AA958" s="324"/>
      <c r="AB958" s="180"/>
      <c r="AC958" s="155"/>
      <c r="AD958" s="322"/>
      <c r="AE958" s="132"/>
      <c r="AF958" s="132"/>
    </row>
    <row r="959">
      <c r="A959" s="435"/>
      <c r="B959" s="437"/>
      <c r="C959" s="313"/>
      <c r="D959" s="313"/>
      <c r="E959" s="314"/>
      <c r="F959" s="314"/>
      <c r="G959" s="314"/>
      <c r="H959" s="314"/>
      <c r="I959" s="314"/>
      <c r="J959" s="314"/>
      <c r="K959" s="314"/>
      <c r="L959" s="314"/>
      <c r="M959" s="314"/>
      <c r="N959" s="314"/>
      <c r="O959" s="314"/>
      <c r="P959" s="435"/>
      <c r="Q959" s="314"/>
      <c r="R959" s="314"/>
      <c r="S959" s="314"/>
      <c r="T959" s="314"/>
      <c r="U959" s="314"/>
      <c r="V959" s="314"/>
      <c r="W959" s="314"/>
      <c r="X959" s="314"/>
      <c r="Y959" s="314"/>
      <c r="Z959" s="314"/>
      <c r="AA959" s="324"/>
      <c r="AB959" s="180"/>
      <c r="AC959" s="155"/>
      <c r="AD959" s="322"/>
      <c r="AE959" s="132"/>
      <c r="AF959" s="132"/>
    </row>
    <row r="960">
      <c r="A960" s="435"/>
      <c r="B960" s="437"/>
      <c r="C960" s="313"/>
      <c r="D960" s="313"/>
      <c r="E960" s="314"/>
      <c r="F960" s="314"/>
      <c r="G960" s="314"/>
      <c r="H960" s="314"/>
      <c r="I960" s="314"/>
      <c r="J960" s="314"/>
      <c r="K960" s="314"/>
      <c r="L960" s="314"/>
      <c r="M960" s="314"/>
      <c r="N960" s="314"/>
      <c r="O960" s="314"/>
      <c r="P960" s="314"/>
      <c r="Q960" s="435"/>
      <c r="R960" s="314"/>
      <c r="S960" s="435"/>
      <c r="T960" s="435"/>
      <c r="U960" s="435"/>
      <c r="V960" s="435"/>
      <c r="W960" s="435"/>
      <c r="X960" s="435"/>
      <c r="Y960" s="435"/>
      <c r="Z960" s="435"/>
      <c r="AA960" s="324"/>
      <c r="AB960" s="180"/>
      <c r="AC960" s="155"/>
      <c r="AD960" s="322"/>
      <c r="AE960" s="132"/>
      <c r="AF960" s="132"/>
    </row>
    <row r="961">
      <c r="A961" s="435"/>
      <c r="B961" s="313"/>
      <c r="C961" s="437"/>
      <c r="D961" s="313"/>
      <c r="E961" s="314"/>
      <c r="F961" s="314"/>
      <c r="G961" s="314"/>
      <c r="H961" s="314"/>
      <c r="I961" s="314"/>
      <c r="J961" s="314"/>
      <c r="K961" s="314"/>
      <c r="L961" s="314"/>
      <c r="M961" s="314"/>
      <c r="N961" s="314"/>
      <c r="O961" s="314"/>
      <c r="P961" s="314"/>
      <c r="Q961" s="314"/>
      <c r="R961" s="435"/>
      <c r="S961" s="314"/>
      <c r="T961" s="314"/>
      <c r="U961" s="314"/>
      <c r="V961" s="314"/>
      <c r="W961" s="314"/>
      <c r="X961" s="314"/>
      <c r="Y961" s="314"/>
      <c r="Z961" s="314"/>
      <c r="AA961" s="324"/>
      <c r="AB961" s="180"/>
      <c r="AC961" s="155"/>
      <c r="AD961" s="322"/>
      <c r="AE961" s="132"/>
      <c r="AF961" s="132"/>
    </row>
    <row r="962">
      <c r="A962" s="435"/>
      <c r="B962" s="313"/>
      <c r="C962" s="313"/>
      <c r="D962" s="313"/>
      <c r="E962" s="314"/>
      <c r="F962" s="314"/>
      <c r="G962" s="314"/>
      <c r="H962" s="314"/>
      <c r="I962" s="314"/>
      <c r="J962" s="314"/>
      <c r="K962" s="435"/>
      <c r="L962" s="314"/>
      <c r="M962" s="435"/>
      <c r="N962" s="314"/>
      <c r="O962" s="314"/>
      <c r="P962" s="314"/>
      <c r="Q962" s="435"/>
      <c r="R962" s="314"/>
      <c r="S962" s="314"/>
      <c r="T962" s="314"/>
      <c r="U962" s="314"/>
      <c r="V962" s="314"/>
      <c r="W962" s="314"/>
      <c r="X962" s="314"/>
      <c r="Y962" s="314"/>
      <c r="Z962" s="314"/>
      <c r="AA962" s="324"/>
      <c r="AB962" s="180"/>
      <c r="AC962" s="155"/>
      <c r="AD962" s="322"/>
      <c r="AE962" s="132"/>
      <c r="AF962" s="132"/>
    </row>
    <row r="963">
      <c r="A963" s="435"/>
      <c r="B963" s="313"/>
      <c r="C963" s="437"/>
      <c r="D963" s="437"/>
      <c r="E963" s="314"/>
      <c r="F963" s="314"/>
      <c r="G963" s="314"/>
      <c r="H963" s="314"/>
      <c r="I963" s="314"/>
      <c r="J963" s="314"/>
      <c r="K963" s="435"/>
      <c r="L963" s="314"/>
      <c r="M963" s="435"/>
      <c r="N963" s="314"/>
      <c r="O963" s="314"/>
      <c r="P963" s="314"/>
      <c r="Q963" s="435"/>
      <c r="R963" s="314"/>
      <c r="S963" s="314"/>
      <c r="T963" s="314"/>
      <c r="U963" s="314"/>
      <c r="V963" s="314"/>
      <c r="W963" s="314"/>
      <c r="X963" s="314"/>
      <c r="Y963" s="314"/>
      <c r="Z963" s="314"/>
      <c r="AA963" s="324"/>
      <c r="AB963" s="180"/>
      <c r="AC963" s="155"/>
      <c r="AD963" s="322"/>
      <c r="AE963" s="132"/>
      <c r="AF963" s="132"/>
    </row>
    <row r="964">
      <c r="A964" s="476"/>
      <c r="AC964" s="176"/>
      <c r="AD964" s="322"/>
      <c r="AE964" s="132"/>
      <c r="AF964" s="132"/>
    </row>
    <row r="965">
      <c r="A965" s="178"/>
      <c r="AD965" s="322"/>
      <c r="AE965" s="132"/>
      <c r="AF965" s="132"/>
    </row>
    <row r="966">
      <c r="A966" s="474"/>
      <c r="B966" s="437"/>
      <c r="C966" s="437"/>
      <c r="D966" s="437"/>
      <c r="E966" s="435"/>
      <c r="F966" s="314"/>
      <c r="G966" s="314"/>
      <c r="H966" s="314"/>
      <c r="I966" s="435"/>
      <c r="J966" s="435"/>
      <c r="K966" s="435"/>
      <c r="L966" s="435"/>
      <c r="M966" s="435"/>
      <c r="N966" s="435"/>
      <c r="O966" s="314"/>
      <c r="P966" s="435"/>
      <c r="Q966" s="435"/>
      <c r="R966" s="435"/>
      <c r="S966" s="435"/>
      <c r="T966" s="435"/>
      <c r="U966" s="435"/>
      <c r="V966" s="435"/>
      <c r="W966" s="435"/>
      <c r="X966" s="435"/>
      <c r="Y966" s="435"/>
      <c r="Z966" s="435"/>
      <c r="AA966" s="324"/>
      <c r="AB966" s="180"/>
      <c r="AC966" s="155"/>
      <c r="AD966" s="322"/>
      <c r="AE966" s="132"/>
      <c r="AF966" s="132"/>
    </row>
    <row r="967">
      <c r="A967" s="474"/>
      <c r="B967" s="313"/>
      <c r="C967" s="437"/>
      <c r="D967" s="437"/>
      <c r="E967" s="435"/>
      <c r="F967" s="314"/>
      <c r="G967" s="314"/>
      <c r="H967" s="435"/>
      <c r="I967" s="314"/>
      <c r="J967" s="435"/>
      <c r="K967" s="435"/>
      <c r="L967" s="435"/>
      <c r="M967" s="314"/>
      <c r="N967" s="314"/>
      <c r="O967" s="314"/>
      <c r="P967" s="435"/>
      <c r="Q967" s="435"/>
      <c r="R967" s="435"/>
      <c r="S967" s="435"/>
      <c r="T967" s="435"/>
      <c r="U967" s="435"/>
      <c r="V967" s="435"/>
      <c r="W967" s="435"/>
      <c r="X967" s="435"/>
      <c r="Y967" s="435"/>
      <c r="Z967" s="435"/>
      <c r="AA967" s="324"/>
      <c r="AB967" s="180"/>
      <c r="AC967" s="155"/>
      <c r="AD967" s="322"/>
      <c r="AE967" s="132"/>
      <c r="AF967" s="132"/>
    </row>
    <row r="968">
      <c r="A968" s="477"/>
      <c r="B968" s="437"/>
      <c r="C968" s="437"/>
      <c r="D968" s="437"/>
      <c r="E968" s="314"/>
      <c r="F968" s="314"/>
      <c r="G968" s="314"/>
      <c r="H968" s="435"/>
      <c r="I968" s="435"/>
      <c r="J968" s="435"/>
      <c r="K968" s="435"/>
      <c r="L968" s="435"/>
      <c r="M968" s="435"/>
      <c r="N968" s="435"/>
      <c r="O968" s="314"/>
      <c r="P968" s="435"/>
      <c r="Q968" s="435"/>
      <c r="R968" s="435"/>
      <c r="S968" s="435"/>
      <c r="T968" s="435"/>
      <c r="U968" s="435"/>
      <c r="V968" s="435"/>
      <c r="W968" s="435"/>
      <c r="X968" s="435"/>
      <c r="Y968" s="435"/>
      <c r="Z968" s="435"/>
      <c r="AA968" s="324"/>
      <c r="AB968" s="180"/>
      <c r="AC968" s="155"/>
      <c r="AD968" s="322"/>
      <c r="AE968" s="132"/>
      <c r="AF968" s="132"/>
    </row>
    <row r="969">
      <c r="A969" s="477"/>
      <c r="B969" s="437"/>
      <c r="C969" s="437"/>
      <c r="D969" s="437"/>
      <c r="E969" s="314"/>
      <c r="F969" s="314"/>
      <c r="G969" s="314"/>
      <c r="H969" s="435"/>
      <c r="I969" s="314"/>
      <c r="J969" s="314"/>
      <c r="K969" s="435"/>
      <c r="L969" s="435"/>
      <c r="M969" s="435"/>
      <c r="N969" s="314"/>
      <c r="O969" s="314"/>
      <c r="P969" s="435"/>
      <c r="Q969" s="435"/>
      <c r="R969" s="435"/>
      <c r="S969" s="435"/>
      <c r="T969" s="435"/>
      <c r="U969" s="435"/>
      <c r="V969" s="435"/>
      <c r="W969" s="435"/>
      <c r="X969" s="435"/>
      <c r="Y969" s="435"/>
      <c r="Z969" s="435"/>
      <c r="AA969" s="324"/>
      <c r="AB969" s="180"/>
      <c r="AC969" s="155"/>
      <c r="AD969" s="322"/>
      <c r="AE969" s="132"/>
      <c r="AF969" s="132"/>
    </row>
    <row r="970">
      <c r="A970" s="477"/>
      <c r="B970" s="437"/>
      <c r="C970" s="437"/>
      <c r="D970" s="437"/>
      <c r="E970" s="435"/>
      <c r="F970" s="314"/>
      <c r="G970" s="314"/>
      <c r="H970" s="435"/>
      <c r="I970" s="435"/>
      <c r="J970" s="435"/>
      <c r="K970" s="435"/>
      <c r="L970" s="435"/>
      <c r="M970" s="435"/>
      <c r="N970" s="435"/>
      <c r="O970" s="314"/>
      <c r="P970" s="435"/>
      <c r="Q970" s="435"/>
      <c r="R970" s="435"/>
      <c r="S970" s="435"/>
      <c r="T970" s="435"/>
      <c r="U970" s="435"/>
      <c r="V970" s="435"/>
      <c r="W970" s="435"/>
      <c r="X970" s="435"/>
      <c r="Y970" s="435"/>
      <c r="Z970" s="435"/>
      <c r="AA970" s="324"/>
      <c r="AB970" s="180"/>
      <c r="AC970" s="155"/>
      <c r="AD970" s="322"/>
      <c r="AE970" s="132"/>
      <c r="AF970" s="132"/>
    </row>
    <row r="971">
      <c r="A971" s="474"/>
      <c r="B971" s="313"/>
      <c r="C971" s="437"/>
      <c r="D971" s="313"/>
      <c r="E971" s="435"/>
      <c r="F971" s="314"/>
      <c r="G971" s="314"/>
      <c r="H971" s="435"/>
      <c r="I971" s="314"/>
      <c r="J971" s="435"/>
      <c r="K971" s="435"/>
      <c r="L971" s="314"/>
      <c r="M971" s="435"/>
      <c r="N971" s="314"/>
      <c r="O971" s="314"/>
      <c r="P971" s="435"/>
      <c r="Q971" s="435"/>
      <c r="R971" s="435"/>
      <c r="S971" s="435"/>
      <c r="T971" s="435"/>
      <c r="U971" s="435"/>
      <c r="V971" s="435"/>
      <c r="W971" s="435"/>
      <c r="X971" s="435"/>
      <c r="Y971" s="435"/>
      <c r="Z971" s="435"/>
      <c r="AA971" s="324"/>
      <c r="AB971" s="180"/>
      <c r="AC971" s="155"/>
      <c r="AD971" s="322"/>
      <c r="AE971" s="132"/>
      <c r="AF971" s="132"/>
    </row>
    <row r="972">
      <c r="A972" s="478"/>
      <c r="B972" s="437"/>
      <c r="C972" s="437"/>
      <c r="D972" s="437"/>
      <c r="E972" s="435"/>
      <c r="F972" s="314"/>
      <c r="G972" s="314"/>
      <c r="H972" s="435"/>
      <c r="I972" s="435"/>
      <c r="J972" s="435"/>
      <c r="K972" s="435"/>
      <c r="L972" s="435"/>
      <c r="M972" s="435"/>
      <c r="N972" s="435"/>
      <c r="O972" s="314"/>
      <c r="P972" s="435"/>
      <c r="Q972" s="435"/>
      <c r="R972" s="435"/>
      <c r="S972" s="435"/>
      <c r="T972" s="435"/>
      <c r="U972" s="435"/>
      <c r="V972" s="435"/>
      <c r="W972" s="435"/>
      <c r="X972" s="435"/>
      <c r="Y972" s="435"/>
      <c r="Z972" s="435"/>
      <c r="AA972" s="324"/>
      <c r="AB972" s="180"/>
      <c r="AC972" s="155"/>
      <c r="AD972" s="322"/>
      <c r="AE972" s="132"/>
      <c r="AF972" s="132"/>
    </row>
    <row r="973">
      <c r="A973" s="478"/>
      <c r="B973" s="437"/>
      <c r="C973" s="437"/>
      <c r="D973" s="437"/>
      <c r="E973" s="435"/>
      <c r="F973" s="314"/>
      <c r="G973" s="314"/>
      <c r="H973" s="435"/>
      <c r="I973" s="435"/>
      <c r="J973" s="435"/>
      <c r="K973" s="435"/>
      <c r="L973" s="435"/>
      <c r="M973" s="435"/>
      <c r="N973" s="435"/>
      <c r="O973" s="314"/>
      <c r="P973" s="435"/>
      <c r="Q973" s="435"/>
      <c r="R973" s="435"/>
      <c r="S973" s="435"/>
      <c r="T973" s="435"/>
      <c r="U973" s="435"/>
      <c r="V973" s="435"/>
      <c r="W973" s="435"/>
      <c r="X973" s="435"/>
      <c r="Y973" s="435"/>
      <c r="Z973" s="435"/>
      <c r="AA973" s="324"/>
      <c r="AB973" s="180"/>
      <c r="AC973" s="155"/>
      <c r="AD973" s="322"/>
      <c r="AE973" s="132"/>
      <c r="AF973" s="132"/>
    </row>
    <row r="974">
      <c r="A974" s="478"/>
      <c r="B974" s="437"/>
      <c r="C974" s="437"/>
      <c r="D974" s="313"/>
      <c r="E974" s="314"/>
      <c r="F974" s="314"/>
      <c r="G974" s="314"/>
      <c r="H974" s="435"/>
      <c r="I974" s="435"/>
      <c r="J974" s="314"/>
      <c r="K974" s="435"/>
      <c r="L974" s="314"/>
      <c r="M974" s="435"/>
      <c r="N974" s="314"/>
      <c r="O974" s="314"/>
      <c r="P974" s="314"/>
      <c r="Q974" s="314"/>
      <c r="R974" s="314"/>
      <c r="S974" s="435"/>
      <c r="T974" s="435"/>
      <c r="U974" s="435"/>
      <c r="V974" s="435"/>
      <c r="W974" s="435"/>
      <c r="X974" s="435"/>
      <c r="Y974" s="435"/>
      <c r="Z974" s="435"/>
      <c r="AA974" s="324"/>
      <c r="AB974" s="180"/>
      <c r="AC974" s="155"/>
      <c r="AD974" s="322"/>
      <c r="AE974" s="132"/>
      <c r="AF974" s="132"/>
    </row>
    <row r="975">
      <c r="A975" s="477"/>
      <c r="B975" s="313"/>
      <c r="C975" s="437"/>
      <c r="D975" s="437"/>
      <c r="E975" s="435"/>
      <c r="F975" s="314"/>
      <c r="G975" s="314"/>
      <c r="H975" s="435"/>
      <c r="I975" s="435"/>
      <c r="J975" s="435"/>
      <c r="K975" s="435"/>
      <c r="L975" s="435"/>
      <c r="M975" s="435"/>
      <c r="N975" s="435"/>
      <c r="O975" s="314"/>
      <c r="P975" s="435"/>
      <c r="Q975" s="435"/>
      <c r="R975" s="435"/>
      <c r="S975" s="435"/>
      <c r="T975" s="435"/>
      <c r="U975" s="435"/>
      <c r="V975" s="435"/>
      <c r="W975" s="435"/>
      <c r="X975" s="435"/>
      <c r="Y975" s="435"/>
      <c r="Z975" s="435"/>
      <c r="AA975" s="324"/>
      <c r="AB975" s="180"/>
      <c r="AC975" s="155"/>
      <c r="AD975" s="322"/>
      <c r="AE975" s="132"/>
      <c r="AF975" s="132"/>
    </row>
    <row r="976">
      <c r="A976" s="477"/>
      <c r="B976" s="313"/>
      <c r="C976" s="313"/>
      <c r="D976" s="313"/>
      <c r="E976" s="314"/>
      <c r="F976" s="314"/>
      <c r="G976" s="314"/>
      <c r="H976" s="435"/>
      <c r="I976" s="314"/>
      <c r="J976" s="314"/>
      <c r="K976" s="314"/>
      <c r="L976" s="314"/>
      <c r="M976" s="314"/>
      <c r="N976" s="435"/>
      <c r="O976" s="314"/>
      <c r="P976" s="314"/>
      <c r="Q976" s="435"/>
      <c r="R976" s="314"/>
      <c r="S976" s="314"/>
      <c r="T976" s="314"/>
      <c r="U976" s="314"/>
      <c r="V976" s="314"/>
      <c r="W976" s="314"/>
      <c r="X976" s="314"/>
      <c r="Y976" s="314"/>
      <c r="Z976" s="314"/>
      <c r="AA976" s="324"/>
      <c r="AB976" s="180"/>
      <c r="AC976" s="155"/>
      <c r="AD976" s="322"/>
      <c r="AE976" s="132"/>
      <c r="AF976" s="132"/>
    </row>
    <row r="977">
      <c r="A977" s="477"/>
      <c r="B977" s="313"/>
      <c r="C977" s="313"/>
      <c r="D977" s="313"/>
      <c r="E977" s="314"/>
      <c r="F977" s="314"/>
      <c r="G977" s="314"/>
      <c r="H977" s="314"/>
      <c r="I977" s="314"/>
      <c r="J977" s="314"/>
      <c r="K977" s="314"/>
      <c r="L977" s="314"/>
      <c r="M977" s="314"/>
      <c r="N977" s="314"/>
      <c r="O977" s="314"/>
      <c r="P977" s="314"/>
      <c r="Q977" s="314"/>
      <c r="R977" s="314"/>
      <c r="S977" s="314"/>
      <c r="T977" s="314"/>
      <c r="U977" s="314"/>
      <c r="V977" s="314"/>
      <c r="W977" s="314"/>
      <c r="X977" s="314"/>
      <c r="Y977" s="314"/>
      <c r="Z977" s="314"/>
      <c r="AA977" s="324"/>
      <c r="AB977" s="180"/>
      <c r="AC977" s="155"/>
      <c r="AD977" s="322"/>
      <c r="AE977" s="132"/>
      <c r="AF977" s="132"/>
    </row>
    <row r="978">
      <c r="A978" s="476"/>
      <c r="AC978" s="176"/>
      <c r="AD978" s="322"/>
      <c r="AE978" s="132"/>
      <c r="AF978" s="132"/>
    </row>
    <row r="979">
      <c r="A979" s="178"/>
      <c r="AD979" s="322"/>
      <c r="AE979" s="132"/>
      <c r="AF979" s="132"/>
    </row>
    <row r="980">
      <c r="A980" s="477"/>
      <c r="B980" s="437"/>
      <c r="C980" s="437"/>
      <c r="D980" s="437"/>
      <c r="E980" s="314"/>
      <c r="F980" s="314"/>
      <c r="G980" s="314"/>
      <c r="H980" s="314"/>
      <c r="I980" s="314"/>
      <c r="J980" s="314"/>
      <c r="K980" s="435"/>
      <c r="L980" s="435"/>
      <c r="M980" s="314"/>
      <c r="N980" s="314"/>
      <c r="O980" s="314"/>
      <c r="P980" s="314"/>
      <c r="Q980" s="435"/>
      <c r="R980" s="435"/>
      <c r="S980" s="435"/>
      <c r="T980" s="435"/>
      <c r="U980" s="435"/>
      <c r="V980" s="435"/>
      <c r="W980" s="435"/>
      <c r="X980" s="435"/>
      <c r="Y980" s="435"/>
      <c r="Z980" s="435"/>
      <c r="AA980" s="324"/>
      <c r="AB980" s="180"/>
      <c r="AC980" s="155"/>
      <c r="AD980" s="322"/>
      <c r="AE980" s="132"/>
      <c r="AF980" s="132"/>
    </row>
    <row r="981">
      <c r="A981" s="477"/>
      <c r="B981" s="313"/>
      <c r="C981" s="437"/>
      <c r="D981" s="437"/>
      <c r="E981" s="314"/>
      <c r="F981" s="314"/>
      <c r="G981" s="314"/>
      <c r="H981" s="314"/>
      <c r="I981" s="435"/>
      <c r="J981" s="435"/>
      <c r="K981" s="435"/>
      <c r="L981" s="314"/>
      <c r="M981" s="435"/>
      <c r="N981" s="314"/>
      <c r="O981" s="314"/>
      <c r="P981" s="314"/>
      <c r="Q981" s="435"/>
      <c r="R981" s="435"/>
      <c r="S981" s="435"/>
      <c r="T981" s="435"/>
      <c r="U981" s="435"/>
      <c r="V981" s="435"/>
      <c r="W981" s="435"/>
      <c r="X981" s="435"/>
      <c r="Y981" s="435"/>
      <c r="Z981" s="435"/>
      <c r="AA981" s="324"/>
      <c r="AB981" s="180"/>
      <c r="AC981" s="155"/>
      <c r="AD981" s="322"/>
      <c r="AE981" s="132"/>
      <c r="AF981" s="132"/>
    </row>
    <row r="982">
      <c r="A982" s="477"/>
      <c r="B982" s="313"/>
      <c r="C982" s="437"/>
      <c r="D982" s="437"/>
      <c r="E982" s="435"/>
      <c r="F982" s="314"/>
      <c r="G982" s="314"/>
      <c r="H982" s="435"/>
      <c r="I982" s="314"/>
      <c r="J982" s="314"/>
      <c r="K982" s="435"/>
      <c r="L982" s="314"/>
      <c r="M982" s="435"/>
      <c r="N982" s="435"/>
      <c r="O982" s="314"/>
      <c r="P982" s="435"/>
      <c r="Q982" s="435"/>
      <c r="R982" s="435"/>
      <c r="S982" s="435"/>
      <c r="T982" s="435"/>
      <c r="U982" s="435"/>
      <c r="V982" s="435"/>
      <c r="W982" s="435"/>
      <c r="X982" s="435"/>
      <c r="Y982" s="435"/>
      <c r="Z982" s="435"/>
      <c r="AA982" s="324"/>
      <c r="AB982" s="180"/>
      <c r="AC982" s="155"/>
      <c r="AD982" s="322"/>
      <c r="AE982" s="132"/>
      <c r="AF982" s="132"/>
    </row>
    <row r="983">
      <c r="A983" s="479"/>
      <c r="B983" s="313"/>
      <c r="C983" s="313"/>
      <c r="D983" s="313"/>
      <c r="E983" s="314"/>
      <c r="F983" s="314"/>
      <c r="G983" s="314"/>
      <c r="H983" s="314"/>
      <c r="I983" s="314"/>
      <c r="J983" s="314"/>
      <c r="K983" s="314"/>
      <c r="L983" s="314"/>
      <c r="M983" s="314"/>
      <c r="N983" s="314"/>
      <c r="O983" s="314"/>
      <c r="P983" s="314"/>
      <c r="Q983" s="435"/>
      <c r="R983" s="314"/>
      <c r="S983" s="314"/>
      <c r="T983" s="314"/>
      <c r="U983" s="314"/>
      <c r="V983" s="314"/>
      <c r="W983" s="314"/>
      <c r="X983" s="314"/>
      <c r="Y983" s="314"/>
      <c r="Z983" s="314"/>
      <c r="AA983" s="324"/>
      <c r="AB983" s="180"/>
      <c r="AC983" s="155"/>
      <c r="AD983" s="322"/>
      <c r="AE983" s="132"/>
      <c r="AF983" s="132"/>
    </row>
    <row r="984">
      <c r="A984" s="476"/>
      <c r="AC984" s="176"/>
      <c r="AD984" s="322"/>
      <c r="AE984" s="132"/>
      <c r="AF984" s="132"/>
    </row>
    <row r="985">
      <c r="A985" s="178"/>
      <c r="AD985" s="322"/>
      <c r="AE985" s="132"/>
      <c r="AF985" s="132"/>
    </row>
    <row r="986">
      <c r="A986" s="480"/>
      <c r="B986" s="313"/>
      <c r="C986" s="437"/>
      <c r="D986" s="313"/>
      <c r="E986" s="314"/>
      <c r="F986" s="314"/>
      <c r="G986" s="314"/>
      <c r="H986" s="314"/>
      <c r="I986" s="314"/>
      <c r="J986" s="435"/>
      <c r="K986" s="435"/>
      <c r="L986" s="314"/>
      <c r="M986" s="314"/>
      <c r="N986" s="314"/>
      <c r="O986" s="314"/>
      <c r="P986" s="314"/>
      <c r="Q986" s="435"/>
      <c r="R986" s="314"/>
      <c r="S986" s="314"/>
      <c r="T986" s="314"/>
      <c r="U986" s="314"/>
      <c r="V986" s="314"/>
      <c r="W986" s="314"/>
      <c r="X986" s="314"/>
      <c r="Y986" s="314"/>
      <c r="Z986" s="314"/>
      <c r="AA986" s="324"/>
      <c r="AB986" s="180"/>
      <c r="AC986" s="180"/>
      <c r="AD986" s="322"/>
      <c r="AE986" s="132"/>
      <c r="AF986" s="132"/>
    </row>
    <row r="987">
      <c r="A987" s="480"/>
      <c r="B987" s="313"/>
      <c r="C987" s="437"/>
      <c r="D987" s="313"/>
      <c r="E987" s="314"/>
      <c r="F987" s="314"/>
      <c r="G987" s="314"/>
      <c r="H987" s="435"/>
      <c r="I987" s="314"/>
      <c r="J987" s="435"/>
      <c r="K987" s="435"/>
      <c r="L987" s="314"/>
      <c r="M987" s="435"/>
      <c r="N987" s="435"/>
      <c r="O987" s="314"/>
      <c r="P987" s="435"/>
      <c r="Q987" s="435"/>
      <c r="R987" s="314"/>
      <c r="S987" s="435"/>
      <c r="T987" s="435"/>
      <c r="U987" s="435"/>
      <c r="V987" s="435"/>
      <c r="W987" s="435"/>
      <c r="X987" s="435"/>
      <c r="Y987" s="435"/>
      <c r="Z987" s="435"/>
      <c r="AA987" s="324"/>
      <c r="AB987" s="180"/>
      <c r="AC987" s="180"/>
      <c r="AD987" s="322"/>
      <c r="AE987" s="132"/>
      <c r="AF987" s="132"/>
    </row>
    <row r="988">
      <c r="A988" s="476"/>
      <c r="AC988" s="176"/>
      <c r="AD988" s="322"/>
      <c r="AE988" s="132"/>
      <c r="AF988" s="132"/>
    </row>
    <row r="989">
      <c r="A989" s="178"/>
      <c r="AD989" s="322"/>
      <c r="AE989" s="132"/>
      <c r="AF989" s="132"/>
    </row>
    <row r="990">
      <c r="A990" s="481"/>
      <c r="B990" s="313"/>
      <c r="C990" s="437"/>
      <c r="D990" s="437"/>
      <c r="E990" s="435"/>
      <c r="F990" s="314"/>
      <c r="G990" s="435"/>
      <c r="H990" s="435"/>
      <c r="I990" s="435"/>
      <c r="J990" s="314"/>
      <c r="K990" s="435"/>
      <c r="L990" s="435"/>
      <c r="M990" s="435"/>
      <c r="N990" s="314"/>
      <c r="O990" s="314"/>
      <c r="P990" s="435"/>
      <c r="Q990" s="435"/>
      <c r="R990" s="435"/>
      <c r="S990" s="435"/>
      <c r="T990" s="435"/>
      <c r="U990" s="435"/>
      <c r="V990" s="435"/>
      <c r="W990" s="435"/>
      <c r="X990" s="435"/>
      <c r="Y990" s="435"/>
      <c r="Z990" s="435"/>
      <c r="AA990" s="324"/>
      <c r="AB990" s="180"/>
      <c r="AC990" s="155"/>
      <c r="AD990" s="322"/>
      <c r="AE990" s="132"/>
      <c r="AF990" s="132"/>
    </row>
    <row r="991">
      <c r="A991" s="435"/>
      <c r="B991" s="313"/>
      <c r="C991" s="437"/>
      <c r="D991" s="437"/>
      <c r="E991" s="314"/>
      <c r="F991" s="314"/>
      <c r="G991" s="314"/>
      <c r="H991" s="435"/>
      <c r="I991" s="314"/>
      <c r="J991" s="435"/>
      <c r="K991" s="435"/>
      <c r="L991" s="314"/>
      <c r="M991" s="314"/>
      <c r="N991" s="314"/>
      <c r="O991" s="314"/>
      <c r="P991" s="435"/>
      <c r="Q991" s="435"/>
      <c r="R991" s="435"/>
      <c r="S991" s="435"/>
      <c r="T991" s="435"/>
      <c r="U991" s="435"/>
      <c r="V991" s="435"/>
      <c r="W991" s="435"/>
      <c r="X991" s="435"/>
      <c r="Y991" s="435"/>
      <c r="Z991" s="435"/>
      <c r="AA991" s="324"/>
      <c r="AB991" s="180"/>
      <c r="AC991" s="155"/>
      <c r="AD991" s="322"/>
      <c r="AE991" s="132"/>
      <c r="AF991" s="132"/>
    </row>
    <row r="992">
      <c r="A992" s="482"/>
      <c r="B992" s="313"/>
      <c r="C992" s="313"/>
      <c r="D992" s="437"/>
      <c r="E992" s="314"/>
      <c r="F992" s="314"/>
      <c r="G992" s="314"/>
      <c r="H992" s="314"/>
      <c r="I992" s="314"/>
      <c r="J992" s="314"/>
      <c r="K992" s="435"/>
      <c r="L992" s="314"/>
      <c r="M992" s="314"/>
      <c r="N992" s="314"/>
      <c r="O992" s="314"/>
      <c r="P992" s="314"/>
      <c r="Q992" s="314"/>
      <c r="R992" s="435"/>
      <c r="S992" s="314"/>
      <c r="T992" s="314"/>
      <c r="U992" s="314"/>
      <c r="V992" s="314"/>
      <c r="W992" s="314"/>
      <c r="X992" s="314"/>
      <c r="Y992" s="314"/>
      <c r="Z992" s="314"/>
      <c r="AA992" s="324"/>
      <c r="AB992" s="180"/>
      <c r="AC992" s="155"/>
      <c r="AD992" s="322"/>
      <c r="AE992" s="132"/>
      <c r="AF992" s="132"/>
    </row>
    <row r="993">
      <c r="A993" s="482"/>
      <c r="B993" s="313"/>
      <c r="C993" s="437"/>
      <c r="D993" s="437"/>
      <c r="E993" s="435"/>
      <c r="F993" s="314"/>
      <c r="G993" s="314"/>
      <c r="H993" s="435"/>
      <c r="I993" s="435"/>
      <c r="J993" s="435"/>
      <c r="K993" s="435"/>
      <c r="L993" s="435"/>
      <c r="M993" s="435"/>
      <c r="N993" s="435"/>
      <c r="O993" s="314"/>
      <c r="P993" s="435"/>
      <c r="Q993" s="435"/>
      <c r="R993" s="435"/>
      <c r="S993" s="435"/>
      <c r="T993" s="435"/>
      <c r="U993" s="435"/>
      <c r="V993" s="435"/>
      <c r="W993" s="435"/>
      <c r="X993" s="435"/>
      <c r="Y993" s="435"/>
      <c r="Z993" s="435"/>
      <c r="AA993" s="324"/>
      <c r="AB993" s="180"/>
      <c r="AC993" s="155"/>
      <c r="AD993" s="322"/>
      <c r="AE993" s="132"/>
      <c r="AF993" s="132"/>
    </row>
    <row r="994">
      <c r="A994" s="314"/>
      <c r="B994" s="313"/>
      <c r="C994" s="313"/>
      <c r="D994" s="313"/>
      <c r="E994" s="314"/>
      <c r="F994" s="314"/>
      <c r="G994" s="314"/>
      <c r="H994" s="314"/>
      <c r="I994" s="314"/>
      <c r="J994" s="314"/>
      <c r="K994" s="314"/>
      <c r="L994" s="314"/>
      <c r="M994" s="314"/>
      <c r="N994" s="314"/>
      <c r="O994" s="314"/>
      <c r="P994" s="314"/>
      <c r="Q994" s="314"/>
      <c r="R994" s="314"/>
      <c r="S994" s="314"/>
      <c r="T994" s="314"/>
      <c r="U994" s="314"/>
      <c r="V994" s="314"/>
      <c r="W994" s="314"/>
      <c r="X994" s="314"/>
      <c r="Y994" s="314"/>
      <c r="Z994" s="314"/>
      <c r="AA994" s="483"/>
      <c r="AC994" s="484"/>
      <c r="AD994" s="322"/>
      <c r="AE994" s="132"/>
      <c r="AF994" s="132"/>
    </row>
    <row r="995">
      <c r="A995" s="314"/>
      <c r="B995" s="313"/>
      <c r="C995" s="313"/>
      <c r="D995" s="313"/>
      <c r="E995" s="314"/>
      <c r="F995" s="314"/>
      <c r="G995" s="314"/>
      <c r="H995" s="314"/>
      <c r="I995" s="314"/>
      <c r="J995" s="314"/>
      <c r="K995" s="314"/>
      <c r="L995" s="314"/>
      <c r="M995" s="314"/>
      <c r="N995" s="314"/>
      <c r="O995" s="314"/>
      <c r="P995" s="314"/>
      <c r="Q995" s="314"/>
      <c r="R995" s="314"/>
      <c r="S995" s="314"/>
      <c r="T995" s="314"/>
      <c r="U995" s="314"/>
      <c r="V995" s="314"/>
      <c r="W995" s="314"/>
      <c r="X995" s="314"/>
      <c r="Y995" s="314"/>
      <c r="Z995" s="314"/>
      <c r="AA995" s="324"/>
      <c r="AB995" s="155"/>
      <c r="AC995" s="155"/>
      <c r="AD995" s="322"/>
      <c r="AE995" s="132"/>
      <c r="AF995" s="132"/>
    </row>
    <row r="996">
      <c r="A996" s="314"/>
      <c r="B996" s="313"/>
      <c r="C996" s="313"/>
      <c r="D996" s="313"/>
      <c r="E996" s="314"/>
      <c r="F996" s="314"/>
      <c r="G996" s="314"/>
      <c r="H996" s="314"/>
      <c r="I996" s="314"/>
      <c r="J996" s="314"/>
      <c r="K996" s="314"/>
      <c r="L996" s="314"/>
      <c r="M996" s="314"/>
      <c r="N996" s="314"/>
      <c r="O996" s="314"/>
      <c r="P996" s="314"/>
      <c r="Q996" s="314"/>
      <c r="R996" s="314"/>
      <c r="S996" s="314"/>
      <c r="T996" s="314"/>
      <c r="U996" s="314"/>
      <c r="V996" s="314"/>
      <c r="W996" s="314"/>
      <c r="X996" s="314"/>
      <c r="Y996" s="314"/>
      <c r="Z996" s="314"/>
      <c r="AA996" s="324"/>
      <c r="AB996" s="155"/>
      <c r="AC996" s="155"/>
      <c r="AD996" s="322"/>
      <c r="AE996" s="132"/>
      <c r="AF996" s="132"/>
    </row>
    <row r="997">
      <c r="A997" s="314"/>
      <c r="B997" s="313"/>
      <c r="C997" s="313"/>
      <c r="D997" s="313"/>
      <c r="E997" s="314"/>
      <c r="F997" s="314"/>
      <c r="G997" s="314"/>
      <c r="H997" s="314"/>
      <c r="I997" s="314"/>
      <c r="J997" s="314"/>
      <c r="K997" s="314"/>
      <c r="L997" s="314"/>
      <c r="M997" s="314"/>
      <c r="N997" s="314"/>
      <c r="O997" s="314"/>
      <c r="P997" s="314"/>
      <c r="Q997" s="314"/>
      <c r="R997" s="314"/>
      <c r="S997" s="314"/>
      <c r="T997" s="314"/>
      <c r="U997" s="314"/>
      <c r="V997" s="314"/>
      <c r="W997" s="314"/>
      <c r="X997" s="314"/>
      <c r="Y997" s="314"/>
      <c r="Z997" s="314"/>
      <c r="AA997" s="324"/>
      <c r="AB997" s="155"/>
      <c r="AC997" s="155"/>
      <c r="AD997" s="322"/>
      <c r="AE997" s="132"/>
      <c r="AF997" s="132"/>
    </row>
    <row r="998">
      <c r="A998" s="314"/>
      <c r="B998" s="313"/>
      <c r="C998" s="313"/>
      <c r="D998" s="313"/>
      <c r="E998" s="314"/>
      <c r="F998" s="314"/>
      <c r="G998" s="314"/>
      <c r="H998" s="314"/>
      <c r="I998" s="314"/>
      <c r="J998" s="314"/>
      <c r="K998" s="314"/>
      <c r="L998" s="314"/>
      <c r="M998" s="314"/>
      <c r="N998" s="314"/>
      <c r="O998" s="314"/>
      <c r="P998" s="314"/>
      <c r="Q998" s="314"/>
      <c r="R998" s="314"/>
      <c r="S998" s="314"/>
      <c r="T998" s="314"/>
      <c r="U998" s="314"/>
      <c r="V998" s="314"/>
      <c r="W998" s="314"/>
      <c r="X998" s="314"/>
      <c r="Y998" s="314"/>
      <c r="Z998" s="314"/>
      <c r="AA998" s="324"/>
      <c r="AB998" s="155"/>
      <c r="AC998" s="155"/>
      <c r="AD998" s="322"/>
      <c r="AE998" s="132"/>
      <c r="AF998" s="132"/>
    </row>
    <row r="999">
      <c r="A999" s="314"/>
      <c r="B999" s="313"/>
      <c r="C999" s="313"/>
      <c r="D999" s="313"/>
      <c r="E999" s="314"/>
      <c r="F999" s="314"/>
      <c r="G999" s="314"/>
      <c r="H999" s="314"/>
      <c r="I999" s="314"/>
      <c r="J999" s="314"/>
      <c r="K999" s="314"/>
      <c r="L999" s="314"/>
      <c r="M999" s="314"/>
      <c r="N999" s="314"/>
      <c r="O999" s="314"/>
      <c r="P999" s="314"/>
      <c r="Q999" s="314"/>
      <c r="R999" s="314"/>
      <c r="S999" s="314"/>
      <c r="T999" s="314"/>
      <c r="U999" s="314"/>
      <c r="V999" s="314"/>
      <c r="W999" s="314"/>
      <c r="X999" s="314"/>
      <c r="Y999" s="314"/>
      <c r="Z999" s="314"/>
      <c r="AA999" s="324"/>
      <c r="AB999" s="155"/>
      <c r="AC999" s="155"/>
      <c r="AD999" s="322"/>
      <c r="AE999" s="132"/>
      <c r="AF999" s="132"/>
    </row>
    <row r="1000">
      <c r="A1000" s="314"/>
      <c r="B1000" s="313"/>
      <c r="C1000" s="313"/>
      <c r="D1000" s="313"/>
      <c r="E1000" s="314"/>
      <c r="F1000" s="314"/>
      <c r="G1000" s="314"/>
      <c r="H1000" s="314"/>
      <c r="I1000" s="314"/>
      <c r="J1000" s="314"/>
      <c r="K1000" s="314"/>
      <c r="L1000" s="314"/>
      <c r="M1000" s="314"/>
      <c r="N1000" s="314"/>
      <c r="O1000" s="314"/>
      <c r="P1000" s="314"/>
      <c r="Q1000" s="314"/>
      <c r="R1000" s="314"/>
      <c r="S1000" s="314"/>
      <c r="T1000" s="314"/>
      <c r="U1000" s="314"/>
      <c r="V1000" s="314"/>
      <c r="W1000" s="314"/>
      <c r="X1000" s="314"/>
      <c r="Y1000" s="314"/>
      <c r="Z1000" s="314"/>
      <c r="AA1000" s="324"/>
      <c r="AB1000" s="155"/>
      <c r="AC1000" s="155"/>
      <c r="AD1000" s="322"/>
      <c r="AE1000" s="132"/>
      <c r="AF1000" s="132"/>
    </row>
    <row r="1001">
      <c r="A1001" s="314"/>
      <c r="B1001" s="313"/>
      <c r="C1001" s="313"/>
      <c r="D1001" s="313"/>
      <c r="E1001" s="314"/>
      <c r="F1001" s="314"/>
      <c r="G1001" s="314"/>
      <c r="H1001" s="314"/>
      <c r="I1001" s="314"/>
      <c r="J1001" s="314"/>
      <c r="K1001" s="314"/>
      <c r="L1001" s="314"/>
      <c r="M1001" s="314"/>
      <c r="N1001" s="314"/>
      <c r="O1001" s="314"/>
      <c r="P1001" s="314"/>
      <c r="Q1001" s="314"/>
      <c r="R1001" s="314"/>
      <c r="S1001" s="314"/>
      <c r="T1001" s="314"/>
      <c r="U1001" s="314"/>
      <c r="V1001" s="314"/>
      <c r="W1001" s="314"/>
      <c r="X1001" s="314"/>
      <c r="Y1001" s="314"/>
      <c r="Z1001" s="314"/>
      <c r="AA1001" s="324"/>
      <c r="AB1001" s="155"/>
      <c r="AC1001" s="155"/>
      <c r="AD1001" s="322"/>
      <c r="AE1001" s="132"/>
      <c r="AF1001" s="132"/>
    </row>
    <row r="1002">
      <c r="A1002" s="314"/>
      <c r="B1002" s="313"/>
      <c r="C1002" s="313"/>
      <c r="D1002" s="313"/>
      <c r="E1002" s="314"/>
      <c r="F1002" s="314"/>
      <c r="G1002" s="314"/>
      <c r="H1002" s="314"/>
      <c r="I1002" s="314"/>
      <c r="J1002" s="314"/>
      <c r="K1002" s="314"/>
      <c r="L1002" s="314"/>
      <c r="M1002" s="314"/>
      <c r="N1002" s="314"/>
      <c r="O1002" s="314"/>
      <c r="P1002" s="314"/>
      <c r="Q1002" s="314"/>
      <c r="R1002" s="314"/>
      <c r="S1002" s="314"/>
      <c r="T1002" s="314"/>
      <c r="U1002" s="314"/>
      <c r="V1002" s="314"/>
      <c r="W1002" s="314"/>
      <c r="X1002" s="314"/>
      <c r="Y1002" s="314"/>
      <c r="Z1002" s="314"/>
      <c r="AA1002" s="324"/>
      <c r="AB1002" s="155"/>
      <c r="AC1002" s="155"/>
      <c r="AD1002" s="322"/>
      <c r="AE1002" s="132"/>
      <c r="AF1002" s="132"/>
    </row>
    <row r="1003">
      <c r="A1003" s="314"/>
      <c r="B1003" s="313"/>
      <c r="C1003" s="313"/>
      <c r="D1003" s="313"/>
      <c r="E1003" s="314"/>
      <c r="F1003" s="314"/>
      <c r="G1003" s="314"/>
      <c r="H1003" s="314"/>
      <c r="I1003" s="314"/>
      <c r="J1003" s="314"/>
      <c r="K1003" s="314"/>
      <c r="L1003" s="314"/>
      <c r="M1003" s="314"/>
      <c r="N1003" s="314"/>
      <c r="O1003" s="314"/>
      <c r="P1003" s="314"/>
      <c r="Q1003" s="314"/>
      <c r="R1003" s="314"/>
      <c r="S1003" s="314"/>
      <c r="T1003" s="314"/>
      <c r="U1003" s="314"/>
      <c r="V1003" s="314"/>
      <c r="W1003" s="314"/>
      <c r="X1003" s="314"/>
      <c r="Y1003" s="314"/>
      <c r="Z1003" s="314"/>
      <c r="AA1003" s="324"/>
      <c r="AB1003" s="155"/>
      <c r="AC1003" s="155"/>
      <c r="AD1003" s="322"/>
      <c r="AE1003" s="132"/>
      <c r="AF1003" s="132"/>
    </row>
    <row r="1004">
      <c r="A1004" s="314"/>
      <c r="B1004" s="313"/>
      <c r="C1004" s="313"/>
      <c r="D1004" s="313"/>
      <c r="E1004" s="314"/>
      <c r="F1004" s="314"/>
      <c r="G1004" s="314"/>
      <c r="H1004" s="314"/>
      <c r="I1004" s="314"/>
      <c r="J1004" s="314"/>
      <c r="K1004" s="314"/>
      <c r="L1004" s="314"/>
      <c r="M1004" s="314"/>
      <c r="N1004" s="314"/>
      <c r="O1004" s="314"/>
      <c r="P1004" s="314"/>
      <c r="Q1004" s="314"/>
      <c r="R1004" s="314"/>
      <c r="S1004" s="314"/>
      <c r="T1004" s="314"/>
      <c r="U1004" s="314"/>
      <c r="V1004" s="314"/>
      <c r="W1004" s="314"/>
      <c r="X1004" s="314"/>
      <c r="Y1004" s="314"/>
      <c r="Z1004" s="314"/>
      <c r="AA1004" s="324"/>
      <c r="AB1004" s="155"/>
      <c r="AC1004" s="155"/>
      <c r="AD1004" s="322"/>
      <c r="AE1004" s="132"/>
      <c r="AF1004" s="132"/>
    </row>
    <row r="1005">
      <c r="A1005" s="314"/>
      <c r="B1005" s="313"/>
      <c r="C1005" s="313"/>
      <c r="D1005" s="313"/>
      <c r="E1005" s="314"/>
      <c r="F1005" s="314"/>
      <c r="G1005" s="314"/>
      <c r="H1005" s="314"/>
      <c r="I1005" s="314"/>
      <c r="J1005" s="314"/>
      <c r="K1005" s="314"/>
      <c r="L1005" s="314"/>
      <c r="M1005" s="314"/>
      <c r="N1005" s="314"/>
      <c r="O1005" s="314"/>
      <c r="P1005" s="314"/>
      <c r="Q1005" s="314"/>
      <c r="R1005" s="314"/>
      <c r="S1005" s="314"/>
      <c r="T1005" s="314"/>
      <c r="U1005" s="314"/>
      <c r="V1005" s="314"/>
      <c r="W1005" s="314"/>
      <c r="X1005" s="314"/>
      <c r="Y1005" s="314"/>
      <c r="Z1005" s="314"/>
      <c r="AA1005" s="324"/>
      <c r="AB1005" s="155"/>
      <c r="AC1005" s="155"/>
      <c r="AD1005" s="322"/>
      <c r="AE1005" s="132"/>
      <c r="AF1005" s="132"/>
    </row>
    <row r="1006">
      <c r="A1006" s="314"/>
      <c r="B1006" s="313"/>
      <c r="C1006" s="313"/>
      <c r="D1006" s="313"/>
      <c r="E1006" s="314"/>
      <c r="F1006" s="314"/>
      <c r="G1006" s="314"/>
      <c r="H1006" s="314"/>
      <c r="I1006" s="314"/>
      <c r="J1006" s="314"/>
      <c r="K1006" s="314"/>
      <c r="L1006" s="314"/>
      <c r="M1006" s="314"/>
      <c r="N1006" s="314"/>
      <c r="O1006" s="314"/>
      <c r="P1006" s="314"/>
      <c r="Q1006" s="314"/>
      <c r="R1006" s="314"/>
      <c r="S1006" s="314"/>
      <c r="T1006" s="314"/>
      <c r="U1006" s="314"/>
      <c r="V1006" s="314"/>
      <c r="W1006" s="314"/>
      <c r="X1006" s="314"/>
      <c r="Y1006" s="314"/>
      <c r="Z1006" s="314"/>
      <c r="AA1006" s="324"/>
      <c r="AB1006" s="155"/>
      <c r="AC1006" s="155"/>
      <c r="AD1006" s="322"/>
      <c r="AE1006" s="132"/>
      <c r="AF1006" s="132"/>
    </row>
    <row r="1007">
      <c r="A1007" s="314"/>
      <c r="B1007" s="313"/>
      <c r="C1007" s="313"/>
      <c r="D1007" s="313"/>
      <c r="E1007" s="314"/>
      <c r="F1007" s="314"/>
      <c r="G1007" s="314"/>
      <c r="H1007" s="314"/>
      <c r="I1007" s="314"/>
      <c r="J1007" s="314"/>
      <c r="K1007" s="314"/>
      <c r="L1007" s="314"/>
      <c r="M1007" s="314"/>
      <c r="N1007" s="314"/>
      <c r="O1007" s="314"/>
      <c r="P1007" s="314"/>
      <c r="Q1007" s="314"/>
      <c r="R1007" s="314"/>
      <c r="S1007" s="314"/>
      <c r="T1007" s="314"/>
      <c r="U1007" s="314"/>
      <c r="V1007" s="314"/>
      <c r="W1007" s="314"/>
      <c r="X1007" s="314"/>
      <c r="Y1007" s="314"/>
      <c r="Z1007" s="314"/>
      <c r="AA1007" s="324"/>
      <c r="AB1007" s="155"/>
      <c r="AC1007" s="155"/>
      <c r="AD1007" s="322"/>
      <c r="AE1007" s="132"/>
      <c r="AF1007" s="132"/>
    </row>
    <row r="1008">
      <c r="A1008" s="314"/>
      <c r="B1008" s="313"/>
      <c r="C1008" s="313"/>
      <c r="D1008" s="313"/>
      <c r="E1008" s="314"/>
      <c r="F1008" s="314"/>
      <c r="G1008" s="314"/>
      <c r="H1008" s="314"/>
      <c r="I1008" s="314"/>
      <c r="J1008" s="314"/>
      <c r="K1008" s="314"/>
      <c r="L1008" s="314"/>
      <c r="M1008" s="314"/>
      <c r="N1008" s="314"/>
      <c r="O1008" s="314"/>
      <c r="P1008" s="314"/>
      <c r="Q1008" s="314"/>
      <c r="R1008" s="314"/>
      <c r="S1008" s="314"/>
      <c r="T1008" s="314"/>
      <c r="U1008" s="314"/>
      <c r="V1008" s="314"/>
      <c r="W1008" s="314"/>
      <c r="X1008" s="314"/>
      <c r="Y1008" s="314"/>
      <c r="Z1008" s="314"/>
      <c r="AA1008" s="324"/>
      <c r="AB1008" s="155"/>
      <c r="AC1008" s="155"/>
      <c r="AD1008" s="322"/>
      <c r="AE1008" s="132"/>
      <c r="AF1008" s="132"/>
    </row>
    <row r="1009">
      <c r="A1009" s="314"/>
      <c r="B1009" s="313"/>
      <c r="C1009" s="313"/>
      <c r="D1009" s="313"/>
      <c r="E1009" s="314"/>
      <c r="F1009" s="314"/>
      <c r="G1009" s="314"/>
      <c r="H1009" s="314"/>
      <c r="I1009" s="314"/>
      <c r="J1009" s="314"/>
      <c r="K1009" s="314"/>
      <c r="L1009" s="314"/>
      <c r="M1009" s="314"/>
      <c r="N1009" s="314"/>
      <c r="O1009" s="314"/>
      <c r="P1009" s="314"/>
      <c r="Q1009" s="314"/>
      <c r="R1009" s="314"/>
      <c r="S1009" s="314"/>
      <c r="T1009" s="314"/>
      <c r="U1009" s="314"/>
      <c r="V1009" s="314"/>
      <c r="W1009" s="314"/>
      <c r="X1009" s="314"/>
      <c r="Y1009" s="314"/>
      <c r="Z1009" s="314"/>
      <c r="AA1009" s="487"/>
      <c r="AC1009" s="484"/>
      <c r="AD1009" s="322"/>
      <c r="AE1009" s="132"/>
      <c r="AF1009" s="132"/>
    </row>
    <row r="1010">
      <c r="A1010" s="314"/>
      <c r="B1010" s="313"/>
      <c r="C1010" s="313"/>
      <c r="D1010" s="313"/>
      <c r="E1010" s="314"/>
      <c r="F1010" s="314"/>
      <c r="G1010" s="314"/>
      <c r="H1010" s="314"/>
      <c r="I1010" s="314"/>
      <c r="J1010" s="314"/>
      <c r="K1010" s="314"/>
      <c r="L1010" s="314"/>
      <c r="M1010" s="314"/>
      <c r="N1010" s="314"/>
      <c r="O1010" s="314"/>
      <c r="P1010" s="314"/>
      <c r="Q1010" s="314"/>
      <c r="R1010" s="314"/>
      <c r="S1010" s="314"/>
      <c r="T1010" s="314"/>
      <c r="U1010" s="314"/>
      <c r="V1010" s="314"/>
      <c r="W1010" s="314"/>
      <c r="X1010" s="314"/>
      <c r="Y1010" s="314"/>
      <c r="Z1010" s="314"/>
      <c r="AA1010" s="324"/>
      <c r="AB1010" s="155"/>
      <c r="AC1010" s="155"/>
      <c r="AD1010" s="322"/>
      <c r="AE1010" s="132"/>
      <c r="AF1010" s="132"/>
    </row>
    <row r="1011">
      <c r="A1011" s="314"/>
      <c r="B1011" s="313"/>
      <c r="C1011" s="313"/>
      <c r="D1011" s="313"/>
      <c r="E1011" s="314"/>
      <c r="F1011" s="314"/>
      <c r="G1011" s="314"/>
      <c r="H1011" s="314"/>
      <c r="I1011" s="314"/>
      <c r="J1011" s="314"/>
      <c r="K1011" s="314"/>
      <c r="L1011" s="314"/>
      <c r="M1011" s="314"/>
      <c r="N1011" s="314"/>
      <c r="O1011" s="314"/>
      <c r="P1011" s="314"/>
      <c r="Q1011" s="314"/>
      <c r="R1011" s="314"/>
      <c r="S1011" s="314"/>
      <c r="T1011" s="314"/>
      <c r="U1011" s="314"/>
      <c r="V1011" s="314"/>
      <c r="W1011" s="314"/>
      <c r="X1011" s="314"/>
      <c r="Y1011" s="314"/>
      <c r="Z1011" s="314"/>
      <c r="AA1011" s="324"/>
      <c r="AB1011" s="155"/>
      <c r="AC1011" s="155"/>
      <c r="AD1011" s="322"/>
      <c r="AE1011" s="132"/>
      <c r="AF1011" s="132"/>
    </row>
    <row r="1012">
      <c r="A1012" s="314"/>
      <c r="B1012" s="313"/>
      <c r="C1012" s="313"/>
      <c r="D1012" s="313"/>
      <c r="E1012" s="314"/>
      <c r="F1012" s="314"/>
      <c r="G1012" s="314"/>
      <c r="H1012" s="314"/>
      <c r="I1012" s="314"/>
      <c r="J1012" s="314"/>
      <c r="K1012" s="314"/>
      <c r="L1012" s="314"/>
      <c r="M1012" s="314"/>
      <c r="N1012" s="314"/>
      <c r="O1012" s="314"/>
      <c r="P1012" s="314"/>
      <c r="Q1012" s="314"/>
      <c r="R1012" s="314"/>
      <c r="S1012" s="314"/>
      <c r="T1012" s="314"/>
      <c r="U1012" s="314"/>
      <c r="V1012" s="314"/>
      <c r="W1012" s="314"/>
      <c r="X1012" s="314"/>
      <c r="Y1012" s="314"/>
      <c r="Z1012" s="314"/>
      <c r="AA1012" s="324"/>
      <c r="AB1012" s="155"/>
      <c r="AC1012" s="155"/>
      <c r="AD1012" s="322"/>
      <c r="AE1012" s="132"/>
      <c r="AF1012" s="132"/>
    </row>
    <row r="1013">
      <c r="A1013" s="314"/>
      <c r="B1013" s="313"/>
      <c r="C1013" s="313"/>
      <c r="D1013" s="313"/>
      <c r="E1013" s="314"/>
      <c r="F1013" s="314"/>
      <c r="G1013" s="314"/>
      <c r="H1013" s="314"/>
      <c r="I1013" s="314"/>
      <c r="J1013" s="314"/>
      <c r="K1013" s="314"/>
      <c r="L1013" s="314"/>
      <c r="M1013" s="314"/>
      <c r="N1013" s="314"/>
      <c r="O1013" s="314"/>
      <c r="P1013" s="314"/>
      <c r="Q1013" s="314"/>
      <c r="R1013" s="314"/>
      <c r="S1013" s="314"/>
      <c r="T1013" s="314"/>
      <c r="U1013" s="314"/>
      <c r="V1013" s="314"/>
      <c r="W1013" s="314"/>
      <c r="X1013" s="314"/>
      <c r="Y1013" s="314"/>
      <c r="Z1013" s="314"/>
      <c r="AA1013" s="324"/>
      <c r="AB1013" s="155"/>
      <c r="AC1013" s="155"/>
      <c r="AD1013" s="322"/>
      <c r="AE1013" s="132"/>
      <c r="AF1013" s="132"/>
    </row>
    <row r="1014">
      <c r="A1014" s="314"/>
      <c r="B1014" s="313"/>
      <c r="C1014" s="313"/>
      <c r="D1014" s="313"/>
      <c r="E1014" s="314"/>
      <c r="F1014" s="314"/>
      <c r="G1014" s="314"/>
      <c r="H1014" s="314"/>
      <c r="I1014" s="314"/>
      <c r="J1014" s="314"/>
      <c r="K1014" s="314"/>
      <c r="L1014" s="314"/>
      <c r="M1014" s="314"/>
      <c r="N1014" s="314"/>
      <c r="O1014" s="314"/>
      <c r="P1014" s="314"/>
      <c r="Q1014" s="314"/>
      <c r="R1014" s="314"/>
      <c r="S1014" s="314"/>
      <c r="T1014" s="314"/>
      <c r="U1014" s="314"/>
      <c r="V1014" s="314"/>
      <c r="W1014" s="314"/>
      <c r="X1014" s="314"/>
      <c r="Y1014" s="314"/>
      <c r="Z1014" s="314"/>
      <c r="AA1014" s="324"/>
      <c r="AB1014" s="155"/>
      <c r="AC1014" s="155"/>
      <c r="AD1014" s="322"/>
      <c r="AE1014" s="132"/>
      <c r="AF1014" s="132"/>
    </row>
    <row r="1015">
      <c r="A1015" s="314"/>
      <c r="B1015" s="313"/>
      <c r="C1015" s="313"/>
      <c r="D1015" s="313"/>
      <c r="E1015" s="314"/>
      <c r="F1015" s="314"/>
      <c r="G1015" s="314"/>
      <c r="H1015" s="314"/>
      <c r="I1015" s="314"/>
      <c r="J1015" s="314"/>
      <c r="K1015" s="314"/>
      <c r="L1015" s="314"/>
      <c r="M1015" s="314"/>
      <c r="N1015" s="314"/>
      <c r="O1015" s="314"/>
      <c r="P1015" s="314"/>
      <c r="Q1015" s="314"/>
      <c r="R1015" s="314"/>
      <c r="S1015" s="314"/>
      <c r="T1015" s="314"/>
      <c r="U1015" s="314"/>
      <c r="V1015" s="314"/>
      <c r="W1015" s="314"/>
      <c r="X1015" s="314"/>
      <c r="Y1015" s="314"/>
      <c r="Z1015" s="314"/>
      <c r="AA1015" s="324"/>
      <c r="AB1015" s="155"/>
      <c r="AC1015" s="155"/>
      <c r="AD1015" s="322"/>
      <c r="AE1015" s="132"/>
      <c r="AF1015" s="132"/>
    </row>
    <row r="1016">
      <c r="A1016" s="314"/>
      <c r="B1016" s="313"/>
      <c r="C1016" s="313"/>
      <c r="D1016" s="313"/>
      <c r="E1016" s="314"/>
      <c r="F1016" s="314"/>
      <c r="G1016" s="314"/>
      <c r="H1016" s="314"/>
      <c r="I1016" s="314"/>
      <c r="J1016" s="314"/>
      <c r="K1016" s="314"/>
      <c r="L1016" s="314"/>
      <c r="M1016" s="314"/>
      <c r="N1016" s="314"/>
      <c r="O1016" s="314"/>
      <c r="P1016" s="314"/>
      <c r="Q1016" s="314"/>
      <c r="R1016" s="314"/>
      <c r="S1016" s="314"/>
      <c r="T1016" s="314"/>
      <c r="U1016" s="314"/>
      <c r="V1016" s="314"/>
      <c r="W1016" s="314"/>
      <c r="X1016" s="314"/>
      <c r="Y1016" s="314"/>
      <c r="Z1016" s="314"/>
      <c r="AA1016" s="324"/>
      <c r="AB1016" s="155"/>
      <c r="AC1016" s="155"/>
      <c r="AD1016" s="322"/>
      <c r="AE1016" s="132"/>
      <c r="AF1016" s="132"/>
    </row>
    <row r="1017">
      <c r="A1017" s="314"/>
      <c r="B1017" s="313"/>
      <c r="C1017" s="313"/>
      <c r="D1017" s="313"/>
      <c r="E1017" s="314"/>
      <c r="F1017" s="314"/>
      <c r="G1017" s="314"/>
      <c r="H1017" s="314"/>
      <c r="I1017" s="314"/>
      <c r="J1017" s="314"/>
      <c r="K1017" s="314"/>
      <c r="L1017" s="314"/>
      <c r="M1017" s="314"/>
      <c r="N1017" s="314"/>
      <c r="O1017" s="314"/>
      <c r="P1017" s="314"/>
      <c r="Q1017" s="314"/>
      <c r="R1017" s="314"/>
      <c r="S1017" s="314"/>
      <c r="T1017" s="314"/>
      <c r="U1017" s="314"/>
      <c r="V1017" s="314"/>
      <c r="W1017" s="314"/>
      <c r="X1017" s="314"/>
      <c r="Y1017" s="314"/>
      <c r="Z1017" s="314"/>
      <c r="AA1017" s="324"/>
      <c r="AB1017" s="155"/>
      <c r="AC1017" s="155"/>
      <c r="AD1017" s="322"/>
      <c r="AE1017" s="132"/>
      <c r="AF1017" s="132"/>
    </row>
    <row r="1018">
      <c r="A1018" s="314"/>
      <c r="B1018" s="313"/>
      <c r="C1018" s="313"/>
      <c r="D1018" s="313"/>
      <c r="E1018" s="314"/>
      <c r="F1018" s="314"/>
      <c r="G1018" s="314"/>
      <c r="H1018" s="314"/>
      <c r="I1018" s="314"/>
      <c r="J1018" s="314"/>
      <c r="K1018" s="314"/>
      <c r="L1018" s="314"/>
      <c r="M1018" s="314"/>
      <c r="N1018" s="314"/>
      <c r="O1018" s="314"/>
      <c r="P1018" s="314"/>
      <c r="Q1018" s="314"/>
      <c r="R1018" s="314"/>
      <c r="S1018" s="314"/>
      <c r="T1018" s="314"/>
      <c r="U1018" s="314"/>
      <c r="V1018" s="314"/>
      <c r="W1018" s="314"/>
      <c r="X1018" s="314"/>
      <c r="Y1018" s="314"/>
      <c r="Z1018" s="314"/>
      <c r="AA1018" s="324"/>
      <c r="AB1018" s="155"/>
      <c r="AC1018" s="155"/>
      <c r="AD1018" s="322"/>
      <c r="AE1018" s="132"/>
      <c r="AF1018" s="132"/>
    </row>
    <row r="1019">
      <c r="A1019" s="314"/>
      <c r="B1019" s="313"/>
      <c r="C1019" s="313"/>
      <c r="D1019" s="313"/>
      <c r="E1019" s="314"/>
      <c r="F1019" s="314"/>
      <c r="G1019" s="314"/>
      <c r="H1019" s="314"/>
      <c r="I1019" s="314"/>
      <c r="J1019" s="314"/>
      <c r="K1019" s="314"/>
      <c r="L1019" s="314"/>
      <c r="M1019" s="314"/>
      <c r="N1019" s="314"/>
      <c r="O1019" s="314"/>
      <c r="P1019" s="314"/>
      <c r="Q1019" s="314"/>
      <c r="R1019" s="314"/>
      <c r="S1019" s="314"/>
      <c r="T1019" s="314"/>
      <c r="U1019" s="314"/>
      <c r="V1019" s="314"/>
      <c r="W1019" s="314"/>
      <c r="X1019" s="314"/>
      <c r="Y1019" s="314"/>
      <c r="Z1019" s="314"/>
      <c r="AA1019" s="324"/>
      <c r="AB1019" s="155"/>
      <c r="AC1019" s="155"/>
      <c r="AD1019" s="322"/>
      <c r="AE1019" s="132"/>
      <c r="AF1019" s="132"/>
    </row>
    <row r="1020">
      <c r="A1020" s="314"/>
      <c r="B1020" s="313"/>
      <c r="C1020" s="313"/>
      <c r="D1020" s="313"/>
      <c r="E1020" s="314"/>
      <c r="F1020" s="314"/>
      <c r="G1020" s="314"/>
      <c r="H1020" s="314"/>
      <c r="I1020" s="314"/>
      <c r="J1020" s="314"/>
      <c r="K1020" s="314"/>
      <c r="L1020" s="314"/>
      <c r="M1020" s="314"/>
      <c r="N1020" s="314"/>
      <c r="O1020" s="314"/>
      <c r="P1020" s="314"/>
      <c r="Q1020" s="314"/>
      <c r="R1020" s="314"/>
      <c r="S1020" s="314"/>
      <c r="T1020" s="314"/>
      <c r="U1020" s="314"/>
      <c r="V1020" s="314"/>
      <c r="W1020" s="314"/>
      <c r="X1020" s="314"/>
      <c r="Y1020" s="314"/>
      <c r="Z1020" s="314"/>
      <c r="AA1020" s="324"/>
      <c r="AB1020" s="155"/>
      <c r="AC1020" s="155"/>
      <c r="AD1020" s="322"/>
      <c r="AE1020" s="132"/>
      <c r="AF1020" s="132"/>
    </row>
    <row r="1021">
      <c r="A1021" s="314"/>
      <c r="B1021" s="313"/>
      <c r="C1021" s="313"/>
      <c r="D1021" s="313"/>
      <c r="E1021" s="314"/>
      <c r="F1021" s="314"/>
      <c r="G1021" s="314"/>
      <c r="H1021" s="314"/>
      <c r="I1021" s="314"/>
      <c r="J1021" s="314"/>
      <c r="K1021" s="314"/>
      <c r="L1021" s="314"/>
      <c r="M1021" s="314"/>
      <c r="N1021" s="314"/>
      <c r="O1021" s="314"/>
      <c r="P1021" s="314"/>
      <c r="Q1021" s="314"/>
      <c r="R1021" s="314"/>
      <c r="S1021" s="314"/>
      <c r="T1021" s="314"/>
      <c r="U1021" s="314"/>
      <c r="V1021" s="314"/>
      <c r="W1021" s="314"/>
      <c r="X1021" s="314"/>
      <c r="Y1021" s="314"/>
      <c r="Z1021" s="314"/>
      <c r="AA1021" s="324"/>
      <c r="AB1021" s="155"/>
      <c r="AC1021" s="155"/>
      <c r="AD1021" s="322"/>
      <c r="AE1021" s="132"/>
      <c r="AF1021" s="132"/>
    </row>
    <row r="1022">
      <c r="A1022" s="314"/>
      <c r="B1022" s="313"/>
      <c r="C1022" s="313"/>
      <c r="D1022" s="313"/>
      <c r="E1022" s="314"/>
      <c r="F1022" s="314"/>
      <c r="G1022" s="314"/>
      <c r="H1022" s="314"/>
      <c r="I1022" s="314"/>
      <c r="J1022" s="314"/>
      <c r="K1022" s="314"/>
      <c r="L1022" s="314"/>
      <c r="M1022" s="314"/>
      <c r="N1022" s="314"/>
      <c r="O1022" s="314"/>
      <c r="P1022" s="314"/>
      <c r="Q1022" s="314"/>
      <c r="R1022" s="314"/>
      <c r="S1022" s="314"/>
      <c r="T1022" s="314"/>
      <c r="U1022" s="314"/>
      <c r="V1022" s="314"/>
      <c r="W1022" s="314"/>
      <c r="X1022" s="314"/>
      <c r="Y1022" s="314"/>
      <c r="Z1022" s="314"/>
      <c r="AA1022" s="324"/>
      <c r="AB1022" s="155"/>
      <c r="AC1022" s="155"/>
      <c r="AD1022" s="322"/>
      <c r="AE1022" s="132"/>
      <c r="AF1022" s="132"/>
    </row>
    <row r="1023">
      <c r="A1023" s="314"/>
      <c r="B1023" s="313"/>
      <c r="C1023" s="313"/>
      <c r="D1023" s="313"/>
      <c r="E1023" s="314"/>
      <c r="F1023" s="314"/>
      <c r="G1023" s="314"/>
      <c r="H1023" s="314"/>
      <c r="I1023" s="314"/>
      <c r="J1023" s="314"/>
      <c r="K1023" s="314"/>
      <c r="L1023" s="314"/>
      <c r="M1023" s="314"/>
      <c r="N1023" s="314"/>
      <c r="O1023" s="314"/>
      <c r="P1023" s="314"/>
      <c r="Q1023" s="314"/>
      <c r="R1023" s="314"/>
      <c r="S1023" s="314"/>
      <c r="T1023" s="314"/>
      <c r="U1023" s="314"/>
      <c r="V1023" s="314"/>
      <c r="W1023" s="314"/>
      <c r="X1023" s="314"/>
      <c r="Y1023" s="314"/>
      <c r="Z1023" s="314"/>
      <c r="AA1023" s="324"/>
      <c r="AB1023" s="155"/>
      <c r="AC1023" s="155"/>
      <c r="AD1023" s="322"/>
      <c r="AE1023" s="132"/>
      <c r="AF1023" s="132"/>
    </row>
    <row r="1024">
      <c r="A1024" s="314"/>
      <c r="B1024" s="313"/>
      <c r="C1024" s="313"/>
      <c r="D1024" s="313"/>
      <c r="E1024" s="314"/>
      <c r="F1024" s="314"/>
      <c r="G1024" s="314"/>
      <c r="H1024" s="314"/>
      <c r="I1024" s="314"/>
      <c r="J1024" s="314"/>
      <c r="K1024" s="314"/>
      <c r="L1024" s="314"/>
      <c r="M1024" s="314"/>
      <c r="N1024" s="314"/>
      <c r="O1024" s="314"/>
      <c r="P1024" s="314"/>
      <c r="Q1024" s="314"/>
      <c r="R1024" s="314"/>
      <c r="S1024" s="314"/>
      <c r="T1024" s="314"/>
      <c r="U1024" s="314"/>
      <c r="V1024" s="314"/>
      <c r="W1024" s="314"/>
      <c r="X1024" s="314"/>
      <c r="Y1024" s="314"/>
      <c r="Z1024" s="314"/>
      <c r="AA1024" s="324"/>
      <c r="AB1024" s="155"/>
      <c r="AC1024" s="155"/>
      <c r="AD1024" s="322"/>
      <c r="AE1024" s="132"/>
      <c r="AF1024" s="132"/>
    </row>
    <row r="1025">
      <c r="A1025" s="314"/>
      <c r="B1025" s="313"/>
      <c r="C1025" s="313"/>
      <c r="D1025" s="313"/>
      <c r="E1025" s="314"/>
      <c r="F1025" s="314"/>
      <c r="G1025" s="314"/>
      <c r="H1025" s="314"/>
      <c r="I1025" s="314"/>
      <c r="J1025" s="314"/>
      <c r="K1025" s="314"/>
      <c r="L1025" s="314"/>
      <c r="M1025" s="314"/>
      <c r="N1025" s="314"/>
      <c r="O1025" s="314"/>
      <c r="P1025" s="314"/>
      <c r="Q1025" s="314"/>
      <c r="R1025" s="314"/>
      <c r="S1025" s="314"/>
      <c r="T1025" s="314"/>
      <c r="U1025" s="314"/>
      <c r="V1025" s="314"/>
      <c r="W1025" s="314"/>
      <c r="X1025" s="314"/>
      <c r="Y1025" s="314"/>
      <c r="Z1025" s="314"/>
      <c r="AA1025" s="324"/>
      <c r="AB1025" s="155"/>
      <c r="AC1025" s="155"/>
      <c r="AD1025" s="322"/>
      <c r="AE1025" s="132"/>
      <c r="AF1025" s="132"/>
    </row>
    <row r="1026">
      <c r="A1026" s="314"/>
      <c r="B1026" s="313"/>
      <c r="C1026" s="313"/>
      <c r="D1026" s="313"/>
      <c r="E1026" s="314"/>
      <c r="F1026" s="314"/>
      <c r="G1026" s="314"/>
      <c r="H1026" s="314"/>
      <c r="I1026" s="314"/>
      <c r="J1026" s="314"/>
      <c r="K1026" s="314"/>
      <c r="L1026" s="314"/>
      <c r="M1026" s="314"/>
      <c r="N1026" s="314"/>
      <c r="O1026" s="314"/>
      <c r="P1026" s="314"/>
      <c r="Q1026" s="314"/>
      <c r="R1026" s="314"/>
      <c r="S1026" s="314"/>
      <c r="T1026" s="314"/>
      <c r="U1026" s="314"/>
      <c r="V1026" s="314"/>
      <c r="W1026" s="314"/>
      <c r="X1026" s="314"/>
      <c r="Y1026" s="314"/>
      <c r="Z1026" s="314"/>
      <c r="AA1026" s="324"/>
      <c r="AB1026" s="155"/>
      <c r="AC1026" s="155"/>
      <c r="AD1026" s="322"/>
      <c r="AE1026" s="132"/>
      <c r="AF1026" s="132"/>
    </row>
    <row r="1027">
      <c r="A1027" s="314"/>
      <c r="B1027" s="313"/>
      <c r="C1027" s="313"/>
      <c r="D1027" s="313"/>
      <c r="E1027" s="314"/>
      <c r="F1027" s="314"/>
      <c r="G1027" s="314"/>
      <c r="H1027" s="314"/>
      <c r="I1027" s="314"/>
      <c r="J1027" s="314"/>
      <c r="K1027" s="314"/>
      <c r="L1027" s="314"/>
      <c r="M1027" s="314"/>
      <c r="N1027" s="314"/>
      <c r="O1027" s="314"/>
      <c r="P1027" s="314"/>
      <c r="Q1027" s="314"/>
      <c r="R1027" s="314"/>
      <c r="S1027" s="314"/>
      <c r="T1027" s="314"/>
      <c r="U1027" s="314"/>
      <c r="V1027" s="314"/>
      <c r="W1027" s="314"/>
      <c r="X1027" s="314"/>
      <c r="Y1027" s="314"/>
      <c r="Z1027" s="314"/>
      <c r="AA1027" s="324"/>
      <c r="AB1027" s="155"/>
      <c r="AC1027" s="155"/>
      <c r="AD1027" s="322"/>
      <c r="AE1027" s="132"/>
      <c r="AF1027" s="132"/>
    </row>
  </sheetData>
  <mergeCells count="96">
    <mergeCell ref="A409:AB409"/>
    <mergeCell ref="A410:AC410"/>
    <mergeCell ref="A423:AB423"/>
    <mergeCell ref="A424:AC424"/>
    <mergeCell ref="A429:AB429"/>
    <mergeCell ref="A430:AC430"/>
    <mergeCell ref="A433:AB433"/>
    <mergeCell ref="A434:AC434"/>
    <mergeCell ref="AA439:AB439"/>
    <mergeCell ref="A544:AB544"/>
    <mergeCell ref="A545:AC545"/>
    <mergeCell ref="A558:AB558"/>
    <mergeCell ref="A559:AC559"/>
    <mergeCell ref="A564:AB564"/>
    <mergeCell ref="A565:AC565"/>
    <mergeCell ref="A568:AB568"/>
    <mergeCell ref="A569:AC569"/>
    <mergeCell ref="AA574:AB574"/>
    <mergeCell ref="AA589:AB589"/>
    <mergeCell ref="A694:AB694"/>
    <mergeCell ref="A695:AC695"/>
    <mergeCell ref="A708:AB708"/>
    <mergeCell ref="A709:AC709"/>
    <mergeCell ref="A714:AB714"/>
    <mergeCell ref="A715:AC715"/>
    <mergeCell ref="A718:AB718"/>
    <mergeCell ref="A719:AC719"/>
    <mergeCell ref="AA724:AB724"/>
    <mergeCell ref="A829:AB829"/>
    <mergeCell ref="A830:AC830"/>
    <mergeCell ref="A843:AB843"/>
    <mergeCell ref="A844:AC844"/>
    <mergeCell ref="A849:AB849"/>
    <mergeCell ref="A850:AC850"/>
    <mergeCell ref="A853:AB853"/>
    <mergeCell ref="A985:AC985"/>
    <mergeCell ref="A988:AB988"/>
    <mergeCell ref="A989:AC989"/>
    <mergeCell ref="AA994:AB994"/>
    <mergeCell ref="AA1009:AB1009"/>
    <mergeCell ref="A854:AC854"/>
    <mergeCell ref="AA859:AB859"/>
    <mergeCell ref="A964:AB964"/>
    <mergeCell ref="A965:AC965"/>
    <mergeCell ref="A978:AB978"/>
    <mergeCell ref="A979:AC979"/>
    <mergeCell ref="A984:AB984"/>
    <mergeCell ref="AE1:AF1"/>
    <mergeCell ref="A2:AC2"/>
    <mergeCell ref="AE3:AE5"/>
    <mergeCell ref="AF3:AF5"/>
    <mergeCell ref="AE7:AE8"/>
    <mergeCell ref="AF7:AF8"/>
    <mergeCell ref="AE12:AF12"/>
    <mergeCell ref="AE13:AF13"/>
    <mergeCell ref="A44:AB44"/>
    <mergeCell ref="A45:AC45"/>
    <mergeCell ref="A58:AB58"/>
    <mergeCell ref="A59:AC59"/>
    <mergeCell ref="A64:AB64"/>
    <mergeCell ref="A65:AC65"/>
    <mergeCell ref="A68:AB68"/>
    <mergeCell ref="A69:AC69"/>
    <mergeCell ref="A85:AB85"/>
    <mergeCell ref="A86:AC86"/>
    <mergeCell ref="A88:AB88"/>
    <mergeCell ref="A89:AC89"/>
    <mergeCell ref="A96:AB96"/>
    <mergeCell ref="A97:AC97"/>
    <mergeCell ref="A103:AB103"/>
    <mergeCell ref="A104:AC104"/>
    <mergeCell ref="A108:AB108"/>
    <mergeCell ref="A109:AC109"/>
    <mergeCell ref="A121:AB121"/>
    <mergeCell ref="A122:AC122"/>
    <mergeCell ref="A129:AB129"/>
    <mergeCell ref="A130:AC130"/>
    <mergeCell ref="A133:AB133"/>
    <mergeCell ref="A134:AC134"/>
    <mergeCell ref="A138:AB138"/>
    <mergeCell ref="A139:AC139"/>
    <mergeCell ref="A147:AB147"/>
    <mergeCell ref="A148:AC148"/>
    <mergeCell ref="A162:AB162"/>
    <mergeCell ref="A163:AC163"/>
    <mergeCell ref="A168:AB168"/>
    <mergeCell ref="AA169:AB169"/>
    <mergeCell ref="A274:AB274"/>
    <mergeCell ref="A275:AC275"/>
    <mergeCell ref="A288:AB288"/>
    <mergeCell ref="A289:AC289"/>
    <mergeCell ref="A294:AB294"/>
    <mergeCell ref="A295:AC295"/>
    <mergeCell ref="A298:AB298"/>
    <mergeCell ref="A299:AC299"/>
    <mergeCell ref="AA304:AB30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75"/>
    <col customWidth="1" min="2" max="2" width="4.13"/>
    <col customWidth="1" min="3" max="3" width="3.38"/>
    <col customWidth="1" min="4" max="29" width="3.63"/>
    <col customWidth="1" min="30" max="30" width="10.63"/>
    <col customWidth="1" min="31" max="31" width="9.88"/>
    <col customWidth="1" min="32" max="32" width="18.63"/>
    <col customWidth="1" min="33" max="33" width="3.88"/>
    <col customWidth="1" min="34" max="34" width="11.5"/>
    <col customWidth="1" min="35" max="35" width="24.88"/>
  </cols>
  <sheetData>
    <row r="1" ht="50.25" customHeight="1">
      <c r="A1" s="1">
        <v>46054.0</v>
      </c>
      <c r="B1" s="9">
        <v>46054.0</v>
      </c>
      <c r="C1" s="488">
        <v>46055.0</v>
      </c>
      <c r="D1" s="3">
        <v>46056.0</v>
      </c>
      <c r="E1" s="2">
        <v>46057.0</v>
      </c>
      <c r="F1" s="2">
        <v>46058.0</v>
      </c>
      <c r="G1" s="2">
        <v>46059.0</v>
      </c>
      <c r="H1" s="2">
        <v>46060.0</v>
      </c>
      <c r="I1" s="6">
        <v>46061.0</v>
      </c>
      <c r="J1" s="2">
        <v>46062.0</v>
      </c>
      <c r="K1" s="2">
        <v>46063.0</v>
      </c>
      <c r="L1" s="2">
        <v>46064.0</v>
      </c>
      <c r="M1" s="2">
        <v>46065.0</v>
      </c>
      <c r="N1" s="2">
        <v>46066.0</v>
      </c>
      <c r="O1" s="2">
        <v>46067.0</v>
      </c>
      <c r="P1" s="6">
        <v>46068.0</v>
      </c>
      <c r="Q1" s="2">
        <v>46069.0</v>
      </c>
      <c r="R1" s="8">
        <v>46070.0</v>
      </c>
      <c r="S1" s="2">
        <v>46071.0</v>
      </c>
      <c r="T1" s="2">
        <v>46072.0</v>
      </c>
      <c r="U1" s="2">
        <v>46073.0</v>
      </c>
      <c r="V1" s="2">
        <v>46074.0</v>
      </c>
      <c r="W1" s="6">
        <v>46075.0</v>
      </c>
      <c r="X1" s="2">
        <v>46076.0</v>
      </c>
      <c r="Y1" s="2">
        <v>46077.0</v>
      </c>
      <c r="Z1" s="19">
        <v>46078.0</v>
      </c>
      <c r="AA1" s="4">
        <v>46079.0</v>
      </c>
      <c r="AB1" s="2">
        <v>46080.0</v>
      </c>
      <c r="AC1" s="2">
        <v>46081.0</v>
      </c>
      <c r="AD1" s="14" t="s">
        <v>0</v>
      </c>
      <c r="AE1" s="15" t="s">
        <v>1</v>
      </c>
      <c r="AF1" s="15" t="s">
        <v>2</v>
      </c>
      <c r="AG1" s="17"/>
      <c r="AH1" s="20" t="s">
        <v>3</v>
      </c>
      <c r="AI1" s="22"/>
    </row>
    <row r="2">
      <c r="A2" s="24" t="s">
        <v>4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8"/>
      <c r="AG2" s="17"/>
      <c r="AH2" s="29"/>
      <c r="AI2" s="31" t="s">
        <v>5</v>
      </c>
    </row>
    <row r="3">
      <c r="A3" s="33" t="s">
        <v>6</v>
      </c>
      <c r="B3" s="489">
        <v>44.0</v>
      </c>
      <c r="C3" s="490"/>
      <c r="D3" s="491"/>
      <c r="E3" s="49"/>
      <c r="F3" s="59">
        <v>1.0</v>
      </c>
      <c r="G3" s="54"/>
      <c r="H3" s="49"/>
      <c r="I3" s="492"/>
      <c r="J3" s="54"/>
      <c r="K3" s="49"/>
      <c r="L3" s="493">
        <v>15.0</v>
      </c>
      <c r="M3" s="59">
        <v>3.0</v>
      </c>
      <c r="N3" s="59">
        <v>2.0</v>
      </c>
      <c r="O3" s="493">
        <v>2.0</v>
      </c>
      <c r="P3" s="192"/>
      <c r="Q3" s="46"/>
      <c r="R3" s="105"/>
      <c r="S3" s="59">
        <v>4.0</v>
      </c>
      <c r="T3" s="46"/>
      <c r="U3" s="46"/>
      <c r="V3" s="493">
        <v>11.0</v>
      </c>
      <c r="W3" s="192"/>
      <c r="X3" s="46"/>
      <c r="Y3" s="59"/>
      <c r="Z3" s="69"/>
      <c r="AA3" s="191"/>
      <c r="AB3" s="46"/>
      <c r="AC3" s="46"/>
      <c r="AD3" s="62">
        <f t="shared" ref="AD3:AD43" si="1">SUM(B3:AC3)</f>
        <v>82</v>
      </c>
      <c r="AE3" s="65">
        <v>50.0</v>
      </c>
      <c r="AF3" s="68">
        <f t="shared" ref="AF3:AF43" si="2">AD3*AE3</f>
        <v>4100</v>
      </c>
      <c r="AG3" s="17"/>
      <c r="AH3" s="494"/>
      <c r="AI3" s="73" t="s">
        <v>299</v>
      </c>
    </row>
    <row r="4">
      <c r="A4" s="33" t="s">
        <v>10</v>
      </c>
      <c r="B4" s="88"/>
      <c r="C4" s="490"/>
      <c r="D4" s="491"/>
      <c r="E4" s="46"/>
      <c r="F4" s="54"/>
      <c r="G4" s="54"/>
      <c r="H4" s="46"/>
      <c r="I4" s="192"/>
      <c r="J4" s="54"/>
      <c r="K4" s="46"/>
      <c r="L4" s="46"/>
      <c r="M4" s="54"/>
      <c r="N4" s="59">
        <v>2.0</v>
      </c>
      <c r="O4" s="46"/>
      <c r="P4" s="192"/>
      <c r="Q4" s="46"/>
      <c r="R4" s="60"/>
      <c r="S4" s="59">
        <v>1.0</v>
      </c>
      <c r="T4" s="46"/>
      <c r="U4" s="46"/>
      <c r="V4" s="59">
        <v>20.0</v>
      </c>
      <c r="W4" s="192"/>
      <c r="X4" s="46"/>
      <c r="Y4" s="46"/>
      <c r="Z4" s="69"/>
      <c r="AA4" s="191"/>
      <c r="AB4" s="46"/>
      <c r="AC4" s="46"/>
      <c r="AD4" s="62">
        <f t="shared" si="1"/>
        <v>23</v>
      </c>
      <c r="AE4" s="80">
        <v>18.0</v>
      </c>
      <c r="AF4" s="68">
        <f t="shared" si="2"/>
        <v>414</v>
      </c>
      <c r="AG4" s="17"/>
      <c r="AH4" s="81"/>
      <c r="AI4" s="81"/>
    </row>
    <row r="5">
      <c r="A5" s="33" t="s">
        <v>13</v>
      </c>
      <c r="B5" s="495"/>
      <c r="C5" s="496"/>
      <c r="D5" s="491"/>
      <c r="E5" s="46"/>
      <c r="F5" s="59">
        <v>3.0</v>
      </c>
      <c r="G5" s="54"/>
      <c r="H5" s="46"/>
      <c r="I5" s="492"/>
      <c r="J5" s="92"/>
      <c r="K5" s="493">
        <v>3.0</v>
      </c>
      <c r="L5" s="493">
        <v>3.0</v>
      </c>
      <c r="M5" s="59">
        <v>5.0</v>
      </c>
      <c r="N5" s="493">
        <v>1.0</v>
      </c>
      <c r="O5" s="493">
        <v>3.0</v>
      </c>
      <c r="P5" s="192"/>
      <c r="Q5" s="493">
        <v>1.0</v>
      </c>
      <c r="R5" s="105"/>
      <c r="S5" s="59">
        <v>2.0</v>
      </c>
      <c r="T5" s="59">
        <v>1.0</v>
      </c>
      <c r="U5" s="59">
        <v>1.0</v>
      </c>
      <c r="V5" s="493">
        <v>1.0</v>
      </c>
      <c r="W5" s="192"/>
      <c r="X5" s="59">
        <v>1.0</v>
      </c>
      <c r="Y5" s="59">
        <v>3.0</v>
      </c>
      <c r="Z5" s="69"/>
      <c r="AA5" s="191"/>
      <c r="AB5" s="59">
        <v>1.0</v>
      </c>
      <c r="AC5" s="59">
        <v>1.0</v>
      </c>
      <c r="AD5" s="62">
        <f t="shared" si="1"/>
        <v>30</v>
      </c>
      <c r="AE5" s="80">
        <v>200.0</v>
      </c>
      <c r="AF5" s="68">
        <f t="shared" si="2"/>
        <v>6000</v>
      </c>
      <c r="AG5" s="17"/>
      <c r="AH5" s="91"/>
      <c r="AI5" s="91"/>
    </row>
    <row r="6" ht="18.75" customHeight="1">
      <c r="A6" s="33" t="s">
        <v>16</v>
      </c>
      <c r="B6" s="495"/>
      <c r="C6" s="490"/>
      <c r="D6" s="491"/>
      <c r="E6" s="46"/>
      <c r="F6" s="54"/>
      <c r="G6" s="54"/>
      <c r="H6" s="46"/>
      <c r="I6" s="192"/>
      <c r="J6" s="54"/>
      <c r="K6" s="46"/>
      <c r="L6" s="46"/>
      <c r="M6" s="54"/>
      <c r="N6" s="54"/>
      <c r="O6" s="49"/>
      <c r="P6" s="492"/>
      <c r="Q6" s="46"/>
      <c r="R6" s="60"/>
      <c r="S6" s="46"/>
      <c r="T6" s="46"/>
      <c r="U6" s="59">
        <v>1.0</v>
      </c>
      <c r="V6" s="46"/>
      <c r="W6" s="192"/>
      <c r="X6" s="46"/>
      <c r="Y6" s="59">
        <v>1.0</v>
      </c>
      <c r="Z6" s="69"/>
      <c r="AA6" s="191"/>
      <c r="AB6" s="46"/>
      <c r="AC6" s="46"/>
      <c r="AD6" s="62">
        <f t="shared" si="1"/>
        <v>2</v>
      </c>
      <c r="AE6" s="80">
        <v>850.0</v>
      </c>
      <c r="AF6" s="68">
        <f t="shared" si="2"/>
        <v>1700</v>
      </c>
      <c r="AG6" s="17"/>
      <c r="AH6" s="97"/>
      <c r="AI6" s="98" t="s">
        <v>300</v>
      </c>
    </row>
    <row r="7">
      <c r="A7" s="33" t="s">
        <v>19</v>
      </c>
      <c r="B7" s="489">
        <v>237.0</v>
      </c>
      <c r="C7" s="496"/>
      <c r="D7" s="491"/>
      <c r="E7" s="49"/>
      <c r="F7" s="59">
        <v>26.0</v>
      </c>
      <c r="G7" s="493">
        <v>20.0</v>
      </c>
      <c r="H7" s="493">
        <v>8.0</v>
      </c>
      <c r="I7" s="492"/>
      <c r="J7" s="493">
        <v>17.0</v>
      </c>
      <c r="K7" s="493">
        <v>23.0</v>
      </c>
      <c r="L7" s="59">
        <v>25.0</v>
      </c>
      <c r="M7" s="59">
        <v>10.0</v>
      </c>
      <c r="N7" s="59">
        <v>19.0</v>
      </c>
      <c r="O7" s="59">
        <v>14.0</v>
      </c>
      <c r="P7" s="192"/>
      <c r="Q7" s="59">
        <v>19.0</v>
      </c>
      <c r="R7" s="60"/>
      <c r="S7" s="59">
        <v>14.0</v>
      </c>
      <c r="T7" s="59">
        <v>14.0</v>
      </c>
      <c r="U7" s="59">
        <v>16.0</v>
      </c>
      <c r="V7" s="493">
        <v>17.0</v>
      </c>
      <c r="W7" s="192"/>
      <c r="X7" s="59">
        <v>11.0</v>
      </c>
      <c r="Y7" s="59">
        <v>22.0</v>
      </c>
      <c r="Z7" s="69"/>
      <c r="AA7" s="191"/>
      <c r="AB7" s="59">
        <v>13.0</v>
      </c>
      <c r="AC7" s="59">
        <v>26.0</v>
      </c>
      <c r="AD7" s="62">
        <f t="shared" si="1"/>
        <v>551</v>
      </c>
      <c r="AE7" s="80">
        <v>180.0</v>
      </c>
      <c r="AF7" s="68">
        <f t="shared" si="2"/>
        <v>99180</v>
      </c>
      <c r="AG7" s="17"/>
      <c r="AH7" s="497"/>
      <c r="AI7" s="498" t="s">
        <v>31</v>
      </c>
    </row>
    <row r="8">
      <c r="A8" s="33" t="s">
        <v>23</v>
      </c>
      <c r="B8" s="495"/>
      <c r="C8" s="490"/>
      <c r="D8" s="491"/>
      <c r="E8" s="49"/>
      <c r="F8" s="59">
        <v>3.0</v>
      </c>
      <c r="G8" s="92"/>
      <c r="H8" s="46"/>
      <c r="I8" s="192"/>
      <c r="J8" s="54"/>
      <c r="K8" s="493">
        <v>2.0</v>
      </c>
      <c r="L8" s="46"/>
      <c r="M8" s="54"/>
      <c r="N8" s="493">
        <v>1.0</v>
      </c>
      <c r="O8" s="46"/>
      <c r="P8" s="492"/>
      <c r="Q8" s="49"/>
      <c r="R8" s="60"/>
      <c r="S8" s="46"/>
      <c r="T8" s="59">
        <v>2.0</v>
      </c>
      <c r="U8" s="46"/>
      <c r="V8" s="46"/>
      <c r="W8" s="192"/>
      <c r="X8" s="46"/>
      <c r="Y8" s="46"/>
      <c r="Z8" s="69"/>
      <c r="AA8" s="191"/>
      <c r="AB8" s="46"/>
      <c r="AC8" s="46"/>
      <c r="AD8" s="62">
        <f t="shared" si="1"/>
        <v>8</v>
      </c>
      <c r="AE8" s="80">
        <v>120.0</v>
      </c>
      <c r="AF8" s="68">
        <f t="shared" si="2"/>
        <v>960</v>
      </c>
      <c r="AG8" s="17"/>
      <c r="AH8" s="499"/>
      <c r="AI8" s="500" t="s">
        <v>301</v>
      </c>
    </row>
    <row r="9">
      <c r="A9" s="33" t="s">
        <v>27</v>
      </c>
      <c r="B9" s="489">
        <v>20.0</v>
      </c>
      <c r="C9" s="490"/>
      <c r="D9" s="491"/>
      <c r="E9" s="46"/>
      <c r="F9" s="59">
        <v>3.0</v>
      </c>
      <c r="G9" s="92"/>
      <c r="H9" s="493">
        <v>1.0</v>
      </c>
      <c r="I9" s="492"/>
      <c r="J9" s="54"/>
      <c r="K9" s="49"/>
      <c r="L9" s="46"/>
      <c r="M9" s="54"/>
      <c r="N9" s="92"/>
      <c r="O9" s="46"/>
      <c r="P9" s="192"/>
      <c r="Q9" s="46"/>
      <c r="R9" s="60"/>
      <c r="S9" s="46"/>
      <c r="T9" s="46"/>
      <c r="U9" s="59">
        <v>2.0</v>
      </c>
      <c r="V9" s="49"/>
      <c r="W9" s="192"/>
      <c r="X9" s="46"/>
      <c r="Y9" s="59">
        <v>1.0</v>
      </c>
      <c r="Z9" s="69"/>
      <c r="AA9" s="191"/>
      <c r="AB9" s="59">
        <v>2.0</v>
      </c>
      <c r="AC9" s="46"/>
      <c r="AD9" s="62">
        <f t="shared" si="1"/>
        <v>29</v>
      </c>
      <c r="AE9" s="80">
        <v>160.0</v>
      </c>
      <c r="AF9" s="68">
        <f t="shared" si="2"/>
        <v>4640</v>
      </c>
      <c r="AG9" s="17"/>
      <c r="AH9" s="501"/>
      <c r="AI9" s="498" t="s">
        <v>302</v>
      </c>
    </row>
    <row r="10">
      <c r="A10" s="33" t="s">
        <v>32</v>
      </c>
      <c r="B10" s="489">
        <v>21.0</v>
      </c>
      <c r="C10" s="496"/>
      <c r="D10" s="491"/>
      <c r="E10" s="46"/>
      <c r="F10" s="59">
        <v>2.0</v>
      </c>
      <c r="G10" s="59">
        <v>7.0</v>
      </c>
      <c r="H10" s="59">
        <v>1.0</v>
      </c>
      <c r="I10" s="492"/>
      <c r="J10" s="493">
        <v>4.0</v>
      </c>
      <c r="K10" s="493">
        <v>5.0</v>
      </c>
      <c r="L10" s="49"/>
      <c r="M10" s="59">
        <v>1.0</v>
      </c>
      <c r="N10" s="493">
        <v>7.0</v>
      </c>
      <c r="O10" s="493">
        <v>1.0</v>
      </c>
      <c r="P10" s="492"/>
      <c r="Q10" s="493">
        <v>1.0</v>
      </c>
      <c r="R10" s="105"/>
      <c r="S10" s="59">
        <v>4.0</v>
      </c>
      <c r="T10" s="59">
        <v>2.0</v>
      </c>
      <c r="U10" s="46"/>
      <c r="V10" s="49"/>
      <c r="W10" s="192"/>
      <c r="X10" s="59">
        <v>2.0</v>
      </c>
      <c r="Y10" s="59"/>
      <c r="Z10" s="69"/>
      <c r="AA10" s="191"/>
      <c r="AB10" s="59">
        <v>2.0</v>
      </c>
      <c r="AC10" s="59">
        <v>2.0</v>
      </c>
      <c r="AD10" s="62">
        <f t="shared" si="1"/>
        <v>62</v>
      </c>
      <c r="AE10" s="80">
        <v>350.0</v>
      </c>
      <c r="AF10" s="68">
        <f t="shared" si="2"/>
        <v>21700</v>
      </c>
      <c r="AG10" s="17"/>
      <c r="AH10" s="103"/>
      <c r="AI10" s="502" t="s">
        <v>26</v>
      </c>
    </row>
    <row r="11">
      <c r="A11" s="33" t="s">
        <v>34</v>
      </c>
      <c r="B11" s="88"/>
      <c r="C11" s="490"/>
      <c r="D11" s="491"/>
      <c r="E11" s="46"/>
      <c r="F11" s="54"/>
      <c r="G11" s="54"/>
      <c r="H11" s="46"/>
      <c r="I11" s="192"/>
      <c r="J11" s="54"/>
      <c r="K11" s="49"/>
      <c r="L11" s="49"/>
      <c r="M11" s="54"/>
      <c r="N11" s="54"/>
      <c r="O11" s="46"/>
      <c r="P11" s="192"/>
      <c r="Q11" s="46"/>
      <c r="R11" s="60"/>
      <c r="S11" s="46"/>
      <c r="T11" s="46"/>
      <c r="U11" s="46"/>
      <c r="V11" s="46"/>
      <c r="W11" s="192"/>
      <c r="X11" s="46"/>
      <c r="Y11" s="46"/>
      <c r="Z11" s="69"/>
      <c r="AA11" s="191"/>
      <c r="AB11" s="46"/>
      <c r="AC11" s="46"/>
      <c r="AD11" s="62">
        <f t="shared" si="1"/>
        <v>0</v>
      </c>
      <c r="AE11" s="80">
        <v>350.0</v>
      </c>
      <c r="AF11" s="68">
        <f t="shared" si="2"/>
        <v>0</v>
      </c>
      <c r="AG11" s="17"/>
      <c r="AH11" s="113"/>
      <c r="AI11" s="113"/>
    </row>
    <row r="12">
      <c r="A12" s="33" t="s">
        <v>36</v>
      </c>
      <c r="B12" s="63">
        <v>2.0</v>
      </c>
      <c r="C12" s="490"/>
      <c r="D12" s="491"/>
      <c r="E12" s="46"/>
      <c r="F12" s="59">
        <v>1.0</v>
      </c>
      <c r="G12" s="54"/>
      <c r="H12" s="46"/>
      <c r="I12" s="192"/>
      <c r="J12" s="54"/>
      <c r="K12" s="59">
        <v>1.0</v>
      </c>
      <c r="L12" s="493">
        <v>2.0</v>
      </c>
      <c r="M12" s="59">
        <v>2.0</v>
      </c>
      <c r="N12" s="54"/>
      <c r="O12" s="59">
        <v>1.0</v>
      </c>
      <c r="P12" s="492"/>
      <c r="Q12" s="46"/>
      <c r="R12" s="105"/>
      <c r="S12" s="46"/>
      <c r="T12" s="46"/>
      <c r="U12" s="59">
        <v>1.0</v>
      </c>
      <c r="V12" s="46"/>
      <c r="W12" s="192"/>
      <c r="X12" s="46"/>
      <c r="Y12" s="59"/>
      <c r="Z12" s="69"/>
      <c r="AA12" s="191"/>
      <c r="AB12" s="46"/>
      <c r="AC12" s="46"/>
      <c r="AD12" s="62">
        <f t="shared" si="1"/>
        <v>10</v>
      </c>
      <c r="AE12" s="80">
        <v>1200.0</v>
      </c>
      <c r="AF12" s="68">
        <f t="shared" si="2"/>
        <v>12000</v>
      </c>
      <c r="AG12" s="17"/>
      <c r="AH12" s="117" t="s">
        <v>35</v>
      </c>
      <c r="AI12" s="22"/>
    </row>
    <row r="13">
      <c r="A13" s="33" t="s">
        <v>39</v>
      </c>
      <c r="B13" s="88"/>
      <c r="C13" s="490"/>
      <c r="D13" s="491"/>
      <c r="E13" s="46"/>
      <c r="F13" s="54"/>
      <c r="G13" s="54"/>
      <c r="H13" s="46"/>
      <c r="I13" s="192"/>
      <c r="J13" s="54"/>
      <c r="K13" s="49"/>
      <c r="L13" s="59">
        <v>3.0</v>
      </c>
      <c r="M13" s="54"/>
      <c r="N13" s="54"/>
      <c r="O13" s="46"/>
      <c r="P13" s="192"/>
      <c r="Q13" s="46"/>
      <c r="R13" s="60"/>
      <c r="S13" s="59">
        <v>2.0</v>
      </c>
      <c r="T13" s="46"/>
      <c r="U13" s="46"/>
      <c r="V13" s="46"/>
      <c r="W13" s="192"/>
      <c r="X13" s="46"/>
      <c r="Y13" s="59"/>
      <c r="Z13" s="69"/>
      <c r="AA13" s="191"/>
      <c r="AB13" s="46"/>
      <c r="AC13" s="46"/>
      <c r="AD13" s="62">
        <f t="shared" si="1"/>
        <v>5</v>
      </c>
      <c r="AE13" s="80">
        <v>490.0</v>
      </c>
      <c r="AF13" s="68">
        <f t="shared" si="2"/>
        <v>2450</v>
      </c>
      <c r="AG13" s="17"/>
      <c r="AH13" s="120" t="s">
        <v>51</v>
      </c>
      <c r="AI13" s="22"/>
    </row>
    <row r="14">
      <c r="A14" s="33" t="s">
        <v>44</v>
      </c>
      <c r="B14" s="63">
        <v>26.0</v>
      </c>
      <c r="C14" s="490"/>
      <c r="D14" s="491"/>
      <c r="E14" s="46"/>
      <c r="F14" s="54"/>
      <c r="G14" s="92"/>
      <c r="H14" s="493">
        <v>1.0</v>
      </c>
      <c r="I14" s="492"/>
      <c r="J14" s="59">
        <v>2.0</v>
      </c>
      <c r="K14" s="46"/>
      <c r="L14" s="59">
        <v>1.0</v>
      </c>
      <c r="M14" s="59">
        <v>1.0</v>
      </c>
      <c r="N14" s="54"/>
      <c r="O14" s="49"/>
      <c r="P14" s="492"/>
      <c r="Q14" s="46"/>
      <c r="R14" s="60"/>
      <c r="S14" s="59">
        <v>2.0</v>
      </c>
      <c r="T14" s="46"/>
      <c r="U14" s="46"/>
      <c r="V14" s="49"/>
      <c r="W14" s="192"/>
      <c r="X14" s="46"/>
      <c r="Y14" s="59"/>
      <c r="Z14" s="69"/>
      <c r="AA14" s="191"/>
      <c r="AB14" s="59">
        <v>2.0</v>
      </c>
      <c r="AC14" s="59">
        <v>4.0</v>
      </c>
      <c r="AD14" s="62">
        <f t="shared" si="1"/>
        <v>39</v>
      </c>
      <c r="AE14" s="80">
        <v>130.0</v>
      </c>
      <c r="AF14" s="68">
        <f t="shared" si="2"/>
        <v>5070</v>
      </c>
      <c r="AG14" s="17"/>
      <c r="AH14" s="132"/>
      <c r="AI14" s="132"/>
    </row>
    <row r="15">
      <c r="A15" s="33" t="s">
        <v>47</v>
      </c>
      <c r="B15" s="88"/>
      <c r="C15" s="490"/>
      <c r="D15" s="491"/>
      <c r="E15" s="46"/>
      <c r="F15" s="54"/>
      <c r="G15" s="54"/>
      <c r="H15" s="49"/>
      <c r="I15" s="492"/>
      <c r="J15" s="59">
        <v>1.0</v>
      </c>
      <c r="K15" s="49"/>
      <c r="L15" s="49"/>
      <c r="M15" s="54"/>
      <c r="N15" s="54"/>
      <c r="O15" s="46"/>
      <c r="P15" s="192"/>
      <c r="Q15" s="46"/>
      <c r="R15" s="60"/>
      <c r="S15" s="46"/>
      <c r="T15" s="46"/>
      <c r="U15" s="46"/>
      <c r="V15" s="46"/>
      <c r="W15" s="192"/>
      <c r="X15" s="46"/>
      <c r="Y15" s="46"/>
      <c r="Z15" s="69"/>
      <c r="AA15" s="191"/>
      <c r="AB15" s="59">
        <v>10.0</v>
      </c>
      <c r="AC15" s="46"/>
      <c r="AD15" s="62">
        <f t="shared" si="1"/>
        <v>11</v>
      </c>
      <c r="AE15" s="80">
        <v>60.0</v>
      </c>
      <c r="AF15" s="68">
        <f t="shared" si="2"/>
        <v>660</v>
      </c>
      <c r="AG15" s="17"/>
      <c r="AH15" s="132"/>
      <c r="AI15" s="132"/>
    </row>
    <row r="16">
      <c r="A16" s="33" t="s">
        <v>50</v>
      </c>
      <c r="B16" s="63">
        <v>96.0</v>
      </c>
      <c r="C16" s="490"/>
      <c r="D16" s="491"/>
      <c r="E16" s="46"/>
      <c r="F16" s="54"/>
      <c r="G16" s="54"/>
      <c r="H16" s="59">
        <v>1.0</v>
      </c>
      <c r="I16" s="192"/>
      <c r="J16" s="59">
        <v>1.0</v>
      </c>
      <c r="K16" s="46"/>
      <c r="L16" s="49"/>
      <c r="M16" s="54"/>
      <c r="N16" s="59">
        <v>2.0</v>
      </c>
      <c r="O16" s="46"/>
      <c r="P16" s="192"/>
      <c r="Q16" s="46"/>
      <c r="R16" s="105"/>
      <c r="S16" s="46"/>
      <c r="T16" s="46"/>
      <c r="U16" s="46"/>
      <c r="V16" s="46"/>
      <c r="W16" s="192"/>
      <c r="X16" s="46"/>
      <c r="Y16" s="59">
        <v>1.0</v>
      </c>
      <c r="Z16" s="69"/>
      <c r="AA16" s="191"/>
      <c r="AB16" s="59">
        <v>1.0</v>
      </c>
      <c r="AC16" s="59">
        <v>2.0</v>
      </c>
      <c r="AD16" s="62">
        <f t="shared" si="1"/>
        <v>104</v>
      </c>
      <c r="AE16" s="80">
        <v>75.0</v>
      </c>
      <c r="AF16" s="68">
        <f t="shared" si="2"/>
        <v>7800</v>
      </c>
      <c r="AG16" s="17"/>
      <c r="AH16" s="132"/>
      <c r="AI16" s="132"/>
    </row>
    <row r="17">
      <c r="A17" s="33" t="s">
        <v>61</v>
      </c>
      <c r="B17" s="63">
        <v>22.0</v>
      </c>
      <c r="C17" s="490"/>
      <c r="D17" s="491"/>
      <c r="E17" s="46"/>
      <c r="F17" s="59">
        <v>1.0</v>
      </c>
      <c r="G17" s="493">
        <v>2.0</v>
      </c>
      <c r="H17" s="59">
        <v>2.0</v>
      </c>
      <c r="I17" s="492"/>
      <c r="J17" s="493">
        <v>2.0</v>
      </c>
      <c r="K17" s="49"/>
      <c r="L17" s="493">
        <v>3.0</v>
      </c>
      <c r="M17" s="59">
        <v>1.0</v>
      </c>
      <c r="N17" s="493">
        <v>2.0</v>
      </c>
      <c r="O17" s="493">
        <v>5.0</v>
      </c>
      <c r="P17" s="492"/>
      <c r="Q17" s="49"/>
      <c r="R17" s="105"/>
      <c r="S17" s="59">
        <v>1.0</v>
      </c>
      <c r="T17" s="59">
        <v>1.0</v>
      </c>
      <c r="U17" s="59">
        <v>1.0</v>
      </c>
      <c r="V17" s="49"/>
      <c r="W17" s="192"/>
      <c r="X17" s="46"/>
      <c r="Y17" s="59">
        <v>4.0</v>
      </c>
      <c r="Z17" s="69"/>
      <c r="AA17" s="191"/>
      <c r="AB17" s="59">
        <v>7.0</v>
      </c>
      <c r="AC17" s="59">
        <v>3.0</v>
      </c>
      <c r="AD17" s="62">
        <f t="shared" si="1"/>
        <v>57</v>
      </c>
      <c r="AE17" s="80">
        <v>350.0</v>
      </c>
      <c r="AF17" s="68">
        <f t="shared" si="2"/>
        <v>19950</v>
      </c>
      <c r="AG17" s="17"/>
      <c r="AH17" s="132"/>
      <c r="AI17" s="132"/>
    </row>
    <row r="18">
      <c r="A18" s="33" t="s">
        <v>55</v>
      </c>
      <c r="B18" s="63">
        <v>1.0</v>
      </c>
      <c r="C18" s="490"/>
      <c r="D18" s="491"/>
      <c r="E18" s="46"/>
      <c r="F18" s="54"/>
      <c r="G18" s="59">
        <v>1.0</v>
      </c>
      <c r="H18" s="46"/>
      <c r="I18" s="192"/>
      <c r="J18" s="54"/>
      <c r="K18" s="46"/>
      <c r="L18" s="46"/>
      <c r="M18" s="54"/>
      <c r="N18" s="54"/>
      <c r="O18" s="59">
        <v>1.0</v>
      </c>
      <c r="P18" s="192"/>
      <c r="Q18" s="493">
        <v>2.0</v>
      </c>
      <c r="R18" s="105"/>
      <c r="S18" s="46"/>
      <c r="T18" s="46"/>
      <c r="U18" s="46"/>
      <c r="V18" s="49"/>
      <c r="W18" s="192"/>
      <c r="X18" s="46"/>
      <c r="Y18" s="46"/>
      <c r="Z18" s="69"/>
      <c r="AA18" s="191"/>
      <c r="AB18" s="46"/>
      <c r="AC18" s="46"/>
      <c r="AD18" s="62">
        <f t="shared" si="1"/>
        <v>5</v>
      </c>
      <c r="AE18" s="80">
        <v>250.0</v>
      </c>
      <c r="AF18" s="68">
        <f t="shared" si="2"/>
        <v>1250</v>
      </c>
      <c r="AG18" s="17"/>
      <c r="AH18" s="132"/>
      <c r="AI18" s="132"/>
    </row>
    <row r="19">
      <c r="A19" s="33" t="s">
        <v>57</v>
      </c>
      <c r="B19" s="63">
        <v>10.0</v>
      </c>
      <c r="C19" s="496"/>
      <c r="D19" s="491"/>
      <c r="E19" s="46"/>
      <c r="F19" s="59">
        <v>3.0</v>
      </c>
      <c r="G19" s="493">
        <v>1.0</v>
      </c>
      <c r="H19" s="49"/>
      <c r="I19" s="192"/>
      <c r="J19" s="92"/>
      <c r="K19" s="493">
        <v>1.0</v>
      </c>
      <c r="L19" s="59">
        <v>10.0</v>
      </c>
      <c r="M19" s="59">
        <v>2.0</v>
      </c>
      <c r="N19" s="493">
        <v>5.0</v>
      </c>
      <c r="O19" s="46"/>
      <c r="P19" s="492"/>
      <c r="Q19" s="59">
        <v>5.0</v>
      </c>
      <c r="R19" s="105"/>
      <c r="S19" s="59">
        <v>23.0</v>
      </c>
      <c r="T19" s="59">
        <v>1.0</v>
      </c>
      <c r="U19" s="59">
        <v>10.0</v>
      </c>
      <c r="V19" s="59">
        <v>16.0</v>
      </c>
      <c r="W19" s="192"/>
      <c r="X19" s="59"/>
      <c r="Y19" s="46"/>
      <c r="Z19" s="69"/>
      <c r="AA19" s="191"/>
      <c r="AB19" s="46"/>
      <c r="AC19" s="59">
        <v>2.0</v>
      </c>
      <c r="AD19" s="62">
        <f t="shared" si="1"/>
        <v>89</v>
      </c>
      <c r="AE19" s="80">
        <v>750.0</v>
      </c>
      <c r="AF19" s="68">
        <f t="shared" si="2"/>
        <v>66750</v>
      </c>
      <c r="AG19" s="17"/>
      <c r="AH19" s="132"/>
      <c r="AI19" s="132"/>
    </row>
    <row r="20">
      <c r="A20" s="33" t="s">
        <v>60</v>
      </c>
      <c r="B20" s="495"/>
      <c r="C20" s="490"/>
      <c r="D20" s="491"/>
      <c r="E20" s="46"/>
      <c r="F20" s="54"/>
      <c r="G20" s="92"/>
      <c r="H20" s="46"/>
      <c r="I20" s="492"/>
      <c r="J20" s="54"/>
      <c r="K20" s="46"/>
      <c r="L20" s="46"/>
      <c r="M20" s="54"/>
      <c r="N20" s="54"/>
      <c r="O20" s="46"/>
      <c r="P20" s="192"/>
      <c r="Q20" s="46"/>
      <c r="R20" s="60"/>
      <c r="S20" s="46"/>
      <c r="T20" s="46"/>
      <c r="U20" s="46"/>
      <c r="V20" s="46"/>
      <c r="W20" s="192"/>
      <c r="X20" s="46"/>
      <c r="Y20" s="46"/>
      <c r="Z20" s="69"/>
      <c r="AA20" s="191"/>
      <c r="AB20" s="46"/>
      <c r="AC20" s="46"/>
      <c r="AD20" s="62">
        <f t="shared" si="1"/>
        <v>0</v>
      </c>
      <c r="AE20" s="80">
        <v>850.0</v>
      </c>
      <c r="AF20" s="68">
        <f t="shared" si="2"/>
        <v>0</v>
      </c>
      <c r="AG20" s="17"/>
      <c r="AH20" s="132"/>
      <c r="AI20" s="132"/>
    </row>
    <row r="21">
      <c r="A21" s="142" t="s">
        <v>63</v>
      </c>
      <c r="B21" s="495"/>
      <c r="C21" s="490"/>
      <c r="D21" s="491"/>
      <c r="E21" s="49"/>
      <c r="F21" s="59">
        <v>1.0</v>
      </c>
      <c r="G21" s="493">
        <v>5.0</v>
      </c>
      <c r="H21" s="493">
        <v>5.0</v>
      </c>
      <c r="I21" s="492"/>
      <c r="J21" s="493">
        <v>1.0</v>
      </c>
      <c r="K21" s="493">
        <v>2.0</v>
      </c>
      <c r="L21" s="493">
        <v>4.0</v>
      </c>
      <c r="M21" s="59">
        <v>3.0</v>
      </c>
      <c r="N21" s="493">
        <v>1.0</v>
      </c>
      <c r="O21" s="493">
        <v>2.0</v>
      </c>
      <c r="P21" s="492"/>
      <c r="Q21" s="493">
        <v>3.0</v>
      </c>
      <c r="R21" s="105"/>
      <c r="S21" s="59">
        <v>3.0</v>
      </c>
      <c r="T21" s="46"/>
      <c r="U21" s="59">
        <v>9.0</v>
      </c>
      <c r="V21" s="493">
        <v>9.0</v>
      </c>
      <c r="W21" s="192"/>
      <c r="X21" s="59">
        <v>3.0</v>
      </c>
      <c r="Y21" s="59">
        <v>1.0</v>
      </c>
      <c r="Z21" s="69"/>
      <c r="AA21" s="191"/>
      <c r="AB21" s="46"/>
      <c r="AC21" s="59">
        <v>19.0</v>
      </c>
      <c r="AD21" s="62">
        <f t="shared" si="1"/>
        <v>71</v>
      </c>
      <c r="AE21" s="80">
        <v>25.0</v>
      </c>
      <c r="AF21" s="68">
        <f t="shared" si="2"/>
        <v>1775</v>
      </c>
      <c r="AG21" s="17"/>
      <c r="AH21" s="132"/>
      <c r="AI21" s="132"/>
    </row>
    <row r="22">
      <c r="A22" s="142" t="s">
        <v>66</v>
      </c>
      <c r="B22" s="88"/>
      <c r="C22" s="496"/>
      <c r="D22" s="491"/>
      <c r="E22" s="49"/>
      <c r="F22" s="59">
        <v>2.0</v>
      </c>
      <c r="G22" s="493">
        <v>8.0</v>
      </c>
      <c r="H22" s="493">
        <v>2.0</v>
      </c>
      <c r="I22" s="492"/>
      <c r="J22" s="92"/>
      <c r="K22" s="49"/>
      <c r="L22" s="493">
        <v>6.0</v>
      </c>
      <c r="M22" s="59">
        <v>5.0</v>
      </c>
      <c r="N22" s="493">
        <v>8.0</v>
      </c>
      <c r="O22" s="493">
        <v>2.0</v>
      </c>
      <c r="P22" s="492"/>
      <c r="Q22" s="49"/>
      <c r="R22" s="105"/>
      <c r="S22" s="46"/>
      <c r="T22" s="46"/>
      <c r="U22" s="59">
        <v>3.0</v>
      </c>
      <c r="V22" s="493">
        <v>1.0</v>
      </c>
      <c r="W22" s="192"/>
      <c r="X22" s="59"/>
      <c r="Y22" s="59">
        <v>3.0</v>
      </c>
      <c r="Z22" s="69"/>
      <c r="AA22" s="191"/>
      <c r="AB22" s="46"/>
      <c r="AC22" s="59">
        <v>15.0</v>
      </c>
      <c r="AD22" s="62">
        <f t="shared" si="1"/>
        <v>55</v>
      </c>
      <c r="AE22" s="80">
        <v>30.0</v>
      </c>
      <c r="AF22" s="68">
        <f t="shared" si="2"/>
        <v>1650</v>
      </c>
      <c r="AG22" s="17"/>
      <c r="AH22" s="132"/>
      <c r="AI22" s="132"/>
    </row>
    <row r="23">
      <c r="A23" s="142" t="s">
        <v>68</v>
      </c>
      <c r="B23" s="495"/>
      <c r="C23" s="496"/>
      <c r="D23" s="491"/>
      <c r="E23" s="46"/>
      <c r="F23" s="59">
        <v>2.0</v>
      </c>
      <c r="G23" s="92"/>
      <c r="H23" s="493">
        <v>3.0</v>
      </c>
      <c r="I23" s="492"/>
      <c r="J23" s="92"/>
      <c r="K23" s="493">
        <v>3.0</v>
      </c>
      <c r="L23" s="59">
        <v>3.0</v>
      </c>
      <c r="M23" s="59">
        <v>2.0</v>
      </c>
      <c r="N23" s="59">
        <v>4.0</v>
      </c>
      <c r="O23" s="493">
        <v>2.0</v>
      </c>
      <c r="P23" s="492"/>
      <c r="Q23" s="49"/>
      <c r="R23" s="105"/>
      <c r="S23" s="46"/>
      <c r="T23" s="46"/>
      <c r="U23" s="59">
        <v>5.0</v>
      </c>
      <c r="V23" s="59">
        <v>9.0</v>
      </c>
      <c r="W23" s="192"/>
      <c r="X23" s="59">
        <v>1.0</v>
      </c>
      <c r="Y23" s="59">
        <v>1.0</v>
      </c>
      <c r="Z23" s="69"/>
      <c r="AA23" s="191"/>
      <c r="AB23" s="59">
        <v>1.0</v>
      </c>
      <c r="AC23" s="59">
        <v>8.0</v>
      </c>
      <c r="AD23" s="62">
        <f t="shared" si="1"/>
        <v>44</v>
      </c>
      <c r="AE23" s="80">
        <v>35.0</v>
      </c>
      <c r="AF23" s="68">
        <f t="shared" si="2"/>
        <v>1540</v>
      </c>
      <c r="AG23" s="17"/>
      <c r="AH23" s="132"/>
      <c r="AI23" s="132"/>
    </row>
    <row r="24">
      <c r="A24" s="142" t="s">
        <v>70</v>
      </c>
      <c r="B24" s="88"/>
      <c r="C24" s="490"/>
      <c r="D24" s="491"/>
      <c r="E24" s="46"/>
      <c r="F24" s="54"/>
      <c r="G24" s="54"/>
      <c r="H24" s="46"/>
      <c r="I24" s="192"/>
      <c r="J24" s="54"/>
      <c r="K24" s="46"/>
      <c r="L24" s="46"/>
      <c r="M24" s="54"/>
      <c r="N24" s="54"/>
      <c r="O24" s="46"/>
      <c r="P24" s="192"/>
      <c r="Q24" s="46"/>
      <c r="R24" s="60"/>
      <c r="S24" s="46"/>
      <c r="T24" s="46"/>
      <c r="U24" s="46"/>
      <c r="V24" s="46"/>
      <c r="W24" s="192"/>
      <c r="X24" s="46"/>
      <c r="Y24" s="46"/>
      <c r="Z24" s="69"/>
      <c r="AA24" s="191"/>
      <c r="AB24" s="46"/>
      <c r="AC24" s="46"/>
      <c r="AD24" s="62">
        <f t="shared" si="1"/>
        <v>0</v>
      </c>
      <c r="AE24" s="80">
        <v>130.0</v>
      </c>
      <c r="AF24" s="68">
        <f t="shared" si="2"/>
        <v>0</v>
      </c>
      <c r="AG24" s="17"/>
      <c r="AH24" s="132"/>
      <c r="AI24" s="132"/>
    </row>
    <row r="25">
      <c r="A25" s="142" t="s">
        <v>72</v>
      </c>
      <c r="B25" s="88"/>
      <c r="C25" s="496"/>
      <c r="D25" s="491"/>
      <c r="E25" s="46"/>
      <c r="F25" s="54"/>
      <c r="G25" s="493">
        <v>1.0</v>
      </c>
      <c r="H25" s="493">
        <v>10.0</v>
      </c>
      <c r="I25" s="492"/>
      <c r="J25" s="54"/>
      <c r="K25" s="46"/>
      <c r="L25" s="493">
        <v>3.0</v>
      </c>
      <c r="M25" s="59">
        <v>1.0</v>
      </c>
      <c r="N25" s="493">
        <v>2.0</v>
      </c>
      <c r="O25" s="59">
        <v>4.0</v>
      </c>
      <c r="P25" s="192"/>
      <c r="Q25" s="59">
        <v>1.0</v>
      </c>
      <c r="R25" s="60"/>
      <c r="S25" s="46"/>
      <c r="T25" s="46"/>
      <c r="U25" s="46"/>
      <c r="V25" s="493">
        <v>1.0</v>
      </c>
      <c r="W25" s="192"/>
      <c r="X25" s="46"/>
      <c r="Y25" s="59">
        <v>4.0</v>
      </c>
      <c r="Z25" s="69"/>
      <c r="AA25" s="191"/>
      <c r="AB25" s="59">
        <v>16.0</v>
      </c>
      <c r="AC25" s="59">
        <v>1.0</v>
      </c>
      <c r="AD25" s="62">
        <f t="shared" si="1"/>
        <v>44</v>
      </c>
      <c r="AE25" s="80">
        <v>50.0</v>
      </c>
      <c r="AF25" s="68">
        <f t="shared" si="2"/>
        <v>2200</v>
      </c>
      <c r="AG25" s="17"/>
      <c r="AH25" s="132"/>
      <c r="AI25" s="132"/>
    </row>
    <row r="26">
      <c r="A26" s="142" t="s">
        <v>74</v>
      </c>
      <c r="B26" s="88"/>
      <c r="C26" s="490"/>
      <c r="D26" s="491"/>
      <c r="E26" s="46"/>
      <c r="F26" s="54"/>
      <c r="G26" s="54"/>
      <c r="H26" s="46"/>
      <c r="I26" s="192"/>
      <c r="J26" s="54"/>
      <c r="K26" s="46"/>
      <c r="L26" s="46"/>
      <c r="M26" s="54"/>
      <c r="N26" s="54"/>
      <c r="O26" s="46"/>
      <c r="P26" s="192"/>
      <c r="Q26" s="46"/>
      <c r="R26" s="60"/>
      <c r="S26" s="46"/>
      <c r="T26" s="46"/>
      <c r="U26" s="46"/>
      <c r="V26" s="46"/>
      <c r="W26" s="192"/>
      <c r="X26" s="46"/>
      <c r="Y26" s="46"/>
      <c r="Z26" s="69"/>
      <c r="AA26" s="191"/>
      <c r="AB26" s="46"/>
      <c r="AC26" s="46"/>
      <c r="AD26" s="62">
        <f t="shared" si="1"/>
        <v>0</v>
      </c>
      <c r="AE26" s="80">
        <v>50.0</v>
      </c>
      <c r="AF26" s="68">
        <f t="shared" si="2"/>
        <v>0</v>
      </c>
      <c r="AG26" s="17"/>
      <c r="AH26" s="132"/>
      <c r="AI26" s="132"/>
    </row>
    <row r="27">
      <c r="A27" s="142" t="s">
        <v>75</v>
      </c>
      <c r="B27" s="63">
        <v>2.0</v>
      </c>
      <c r="C27" s="490"/>
      <c r="D27" s="491"/>
      <c r="E27" s="46"/>
      <c r="F27" s="54"/>
      <c r="G27" s="54"/>
      <c r="H27" s="46"/>
      <c r="I27" s="492"/>
      <c r="J27" s="54"/>
      <c r="K27" s="46"/>
      <c r="L27" s="46"/>
      <c r="M27" s="54"/>
      <c r="N27" s="54"/>
      <c r="O27" s="46"/>
      <c r="P27" s="192"/>
      <c r="Q27" s="46"/>
      <c r="R27" s="60"/>
      <c r="S27" s="46"/>
      <c r="T27" s="46"/>
      <c r="U27" s="46"/>
      <c r="V27" s="46"/>
      <c r="W27" s="192"/>
      <c r="X27" s="46"/>
      <c r="Y27" s="59"/>
      <c r="Z27" s="69"/>
      <c r="AA27" s="191"/>
      <c r="AB27" s="46"/>
      <c r="AC27" s="46"/>
      <c r="AD27" s="62">
        <f t="shared" si="1"/>
        <v>2</v>
      </c>
      <c r="AE27" s="80">
        <v>35.0</v>
      </c>
      <c r="AF27" s="68">
        <f t="shared" si="2"/>
        <v>70</v>
      </c>
      <c r="AG27" s="17"/>
      <c r="AH27" s="132"/>
      <c r="AI27" s="132"/>
    </row>
    <row r="28">
      <c r="A28" s="142" t="s">
        <v>77</v>
      </c>
      <c r="B28" s="63">
        <v>22.0</v>
      </c>
      <c r="C28" s="490"/>
      <c r="D28" s="491"/>
      <c r="E28" s="49"/>
      <c r="F28" s="59">
        <v>2.0</v>
      </c>
      <c r="G28" s="59">
        <v>1.0</v>
      </c>
      <c r="H28" s="46"/>
      <c r="I28" s="492"/>
      <c r="J28" s="54"/>
      <c r="K28" s="49"/>
      <c r="L28" s="49"/>
      <c r="M28" s="59">
        <v>1.0</v>
      </c>
      <c r="N28" s="59">
        <v>2.0</v>
      </c>
      <c r="O28" s="49"/>
      <c r="P28" s="192"/>
      <c r="Q28" s="46"/>
      <c r="R28" s="105"/>
      <c r="S28" s="46"/>
      <c r="T28" s="46"/>
      <c r="U28" s="46"/>
      <c r="V28" s="59">
        <v>1.0</v>
      </c>
      <c r="W28" s="192"/>
      <c r="X28" s="46"/>
      <c r="Y28" s="46"/>
      <c r="Z28" s="69"/>
      <c r="AA28" s="191"/>
      <c r="AB28" s="59">
        <v>3.0</v>
      </c>
      <c r="AC28" s="59">
        <v>3.0</v>
      </c>
      <c r="AD28" s="62">
        <f t="shared" si="1"/>
        <v>35</v>
      </c>
      <c r="AE28" s="80">
        <v>100.0</v>
      </c>
      <c r="AF28" s="68">
        <f t="shared" si="2"/>
        <v>3500</v>
      </c>
      <c r="AG28" s="17"/>
      <c r="AH28" s="132"/>
      <c r="AI28" s="132"/>
    </row>
    <row r="29">
      <c r="A29" s="142" t="s">
        <v>79</v>
      </c>
      <c r="B29" s="63"/>
      <c r="C29" s="490"/>
      <c r="D29" s="491"/>
      <c r="E29" s="46"/>
      <c r="F29" s="54"/>
      <c r="G29" s="54"/>
      <c r="H29" s="46"/>
      <c r="I29" s="192"/>
      <c r="J29" s="54"/>
      <c r="K29" s="46"/>
      <c r="L29" s="46"/>
      <c r="M29" s="54"/>
      <c r="N29" s="54"/>
      <c r="O29" s="46"/>
      <c r="P29" s="192"/>
      <c r="Q29" s="46"/>
      <c r="R29" s="60"/>
      <c r="S29" s="46"/>
      <c r="T29" s="46"/>
      <c r="U29" s="46"/>
      <c r="V29" s="46"/>
      <c r="W29" s="192"/>
      <c r="X29" s="46"/>
      <c r="Y29" s="46"/>
      <c r="Z29" s="69"/>
      <c r="AA29" s="191"/>
      <c r="AB29" s="46"/>
      <c r="AC29" s="46"/>
      <c r="AD29" s="62">
        <f t="shared" si="1"/>
        <v>0</v>
      </c>
      <c r="AE29" s="80">
        <v>20.0</v>
      </c>
      <c r="AF29" s="68">
        <f t="shared" si="2"/>
        <v>0</v>
      </c>
      <c r="AG29" s="17"/>
      <c r="AH29" s="132"/>
      <c r="AI29" s="132"/>
    </row>
    <row r="30">
      <c r="A30" s="142" t="s">
        <v>82</v>
      </c>
      <c r="B30" s="489">
        <v>4.0</v>
      </c>
      <c r="C30" s="496"/>
      <c r="D30" s="491"/>
      <c r="E30" s="49"/>
      <c r="F30" s="59">
        <v>4.0</v>
      </c>
      <c r="G30" s="493">
        <v>5.0</v>
      </c>
      <c r="H30" s="493">
        <v>1.0</v>
      </c>
      <c r="I30" s="192"/>
      <c r="J30" s="493">
        <v>2.0</v>
      </c>
      <c r="K30" s="493">
        <v>4.0</v>
      </c>
      <c r="L30" s="493">
        <v>1.0</v>
      </c>
      <c r="M30" s="59">
        <v>2.0</v>
      </c>
      <c r="N30" s="493">
        <v>2.0</v>
      </c>
      <c r="O30" s="493">
        <v>3.0</v>
      </c>
      <c r="P30" s="492"/>
      <c r="Q30" s="493">
        <v>1.0</v>
      </c>
      <c r="R30" s="60"/>
      <c r="S30" s="59">
        <v>1.0</v>
      </c>
      <c r="T30" s="59">
        <v>1.0</v>
      </c>
      <c r="U30" s="59">
        <v>2.0</v>
      </c>
      <c r="V30" s="493">
        <v>2.0</v>
      </c>
      <c r="W30" s="192"/>
      <c r="X30" s="59">
        <v>3.0</v>
      </c>
      <c r="Y30" s="59">
        <v>4.0</v>
      </c>
      <c r="Z30" s="69"/>
      <c r="AA30" s="191"/>
      <c r="AB30" s="59">
        <v>3.0</v>
      </c>
      <c r="AC30" s="59">
        <v>20.0</v>
      </c>
      <c r="AD30" s="62">
        <f t="shared" si="1"/>
        <v>65</v>
      </c>
      <c r="AE30" s="80">
        <v>40.0</v>
      </c>
      <c r="AF30" s="68">
        <f t="shared" si="2"/>
        <v>2600</v>
      </c>
      <c r="AG30" s="17"/>
      <c r="AH30" s="132"/>
      <c r="AI30" s="132"/>
    </row>
    <row r="31">
      <c r="A31" s="33" t="s">
        <v>85</v>
      </c>
      <c r="B31" s="88"/>
      <c r="C31" s="496"/>
      <c r="D31" s="491"/>
      <c r="E31" s="49"/>
      <c r="F31" s="54"/>
      <c r="G31" s="92"/>
      <c r="H31" s="49"/>
      <c r="I31" s="492"/>
      <c r="J31" s="54"/>
      <c r="K31" s="46"/>
      <c r="L31" s="49"/>
      <c r="M31" s="54"/>
      <c r="N31" s="92"/>
      <c r="O31" s="49"/>
      <c r="P31" s="492"/>
      <c r="Q31" s="49"/>
      <c r="R31" s="105"/>
      <c r="S31" s="59">
        <v>2.0</v>
      </c>
      <c r="T31" s="59">
        <v>3.0</v>
      </c>
      <c r="U31" s="59">
        <v>2.0</v>
      </c>
      <c r="V31" s="59">
        <v>1.0</v>
      </c>
      <c r="W31" s="192"/>
      <c r="X31" s="59">
        <v>2.0</v>
      </c>
      <c r="Y31" s="59">
        <v>4.0</v>
      </c>
      <c r="Z31" s="69"/>
      <c r="AA31" s="191"/>
      <c r="AB31" s="59">
        <v>17.0</v>
      </c>
      <c r="AC31" s="59">
        <v>1.0</v>
      </c>
      <c r="AD31" s="62">
        <f t="shared" si="1"/>
        <v>32</v>
      </c>
      <c r="AE31" s="80">
        <v>80.0</v>
      </c>
      <c r="AF31" s="68">
        <f t="shared" si="2"/>
        <v>2560</v>
      </c>
      <c r="AG31" s="17"/>
      <c r="AH31" s="132"/>
      <c r="AI31" s="132"/>
    </row>
    <row r="32">
      <c r="A32" s="147" t="s">
        <v>87</v>
      </c>
      <c r="B32" s="489">
        <v>71.0</v>
      </c>
      <c r="C32" s="496"/>
      <c r="D32" s="491"/>
      <c r="E32" s="49"/>
      <c r="F32" s="54"/>
      <c r="G32" s="92"/>
      <c r="H32" s="49"/>
      <c r="I32" s="492"/>
      <c r="J32" s="92"/>
      <c r="K32" s="49"/>
      <c r="L32" s="49"/>
      <c r="M32" s="54"/>
      <c r="N32" s="92"/>
      <c r="O32" s="49"/>
      <c r="P32" s="492"/>
      <c r="Q32" s="493">
        <v>1.0</v>
      </c>
      <c r="R32" s="105"/>
      <c r="S32" s="46"/>
      <c r="T32" s="46"/>
      <c r="U32" s="46"/>
      <c r="V32" s="49"/>
      <c r="W32" s="192"/>
      <c r="X32" s="59"/>
      <c r="Y32" s="59"/>
      <c r="Z32" s="69"/>
      <c r="AA32" s="191"/>
      <c r="AB32" s="46"/>
      <c r="AC32" s="59">
        <v>1.0</v>
      </c>
      <c r="AD32" s="62">
        <f t="shared" si="1"/>
        <v>73</v>
      </c>
      <c r="AE32" s="80">
        <v>170.0</v>
      </c>
      <c r="AF32" s="68">
        <f t="shared" si="2"/>
        <v>12410</v>
      </c>
      <c r="AG32" s="17"/>
      <c r="AH32" s="132"/>
      <c r="AI32" s="132"/>
    </row>
    <row r="33">
      <c r="A33" s="147" t="s">
        <v>89</v>
      </c>
      <c r="B33" s="88"/>
      <c r="C33" s="490"/>
      <c r="D33" s="491"/>
      <c r="E33" s="46"/>
      <c r="F33" s="54"/>
      <c r="G33" s="54"/>
      <c r="H33" s="46"/>
      <c r="I33" s="492"/>
      <c r="J33" s="54"/>
      <c r="K33" s="46"/>
      <c r="L33" s="46"/>
      <c r="M33" s="54"/>
      <c r="N33" s="54"/>
      <c r="O33" s="46"/>
      <c r="P33" s="192"/>
      <c r="Q33" s="46"/>
      <c r="R33" s="60"/>
      <c r="S33" s="46"/>
      <c r="T33" s="46"/>
      <c r="U33" s="46"/>
      <c r="V33" s="46"/>
      <c r="W33" s="192"/>
      <c r="X33" s="46"/>
      <c r="Y33" s="46"/>
      <c r="Z33" s="69"/>
      <c r="AA33" s="191"/>
      <c r="AB33" s="46"/>
      <c r="AC33" s="46"/>
      <c r="AD33" s="62">
        <f t="shared" si="1"/>
        <v>0</v>
      </c>
      <c r="AE33" s="80">
        <v>130.0</v>
      </c>
      <c r="AF33" s="68">
        <f t="shared" si="2"/>
        <v>0</v>
      </c>
      <c r="AG33" s="17"/>
      <c r="AH33" s="132"/>
      <c r="AI33" s="132"/>
    </row>
    <row r="34">
      <c r="A34" s="147" t="s">
        <v>90</v>
      </c>
      <c r="B34" s="88"/>
      <c r="C34" s="490"/>
      <c r="D34" s="491"/>
      <c r="E34" s="49"/>
      <c r="F34" s="59">
        <v>1.0</v>
      </c>
      <c r="G34" s="493">
        <v>3.0</v>
      </c>
      <c r="H34" s="59">
        <v>1.0</v>
      </c>
      <c r="I34" s="492"/>
      <c r="J34" s="54"/>
      <c r="K34" s="49"/>
      <c r="L34" s="46"/>
      <c r="M34" s="59">
        <v>1.0</v>
      </c>
      <c r="N34" s="59">
        <v>2.0</v>
      </c>
      <c r="O34" s="59">
        <v>2.0</v>
      </c>
      <c r="P34" s="192"/>
      <c r="Q34" s="49"/>
      <c r="R34" s="60"/>
      <c r="S34" s="46"/>
      <c r="T34" s="46"/>
      <c r="U34" s="46"/>
      <c r="V34" s="49"/>
      <c r="W34" s="192"/>
      <c r="X34" s="46"/>
      <c r="Y34" s="59">
        <v>2.0</v>
      </c>
      <c r="Z34" s="69"/>
      <c r="AA34" s="191"/>
      <c r="AB34" s="59">
        <v>6.0</v>
      </c>
      <c r="AC34" s="46"/>
      <c r="AD34" s="62">
        <f t="shared" si="1"/>
        <v>18</v>
      </c>
      <c r="AE34" s="80">
        <v>150.0</v>
      </c>
      <c r="AF34" s="68">
        <f t="shared" si="2"/>
        <v>2700</v>
      </c>
      <c r="AG34" s="17"/>
      <c r="AH34" s="132"/>
      <c r="AI34" s="132"/>
    </row>
    <row r="35">
      <c r="A35" s="147" t="s">
        <v>93</v>
      </c>
      <c r="B35" s="88"/>
      <c r="C35" s="496"/>
      <c r="D35" s="491"/>
      <c r="E35" s="49"/>
      <c r="F35" s="59">
        <v>3.0</v>
      </c>
      <c r="G35" s="92"/>
      <c r="H35" s="46"/>
      <c r="I35" s="492"/>
      <c r="J35" s="54"/>
      <c r="K35" s="46"/>
      <c r="L35" s="46"/>
      <c r="M35" s="54"/>
      <c r="N35" s="59">
        <v>1.0</v>
      </c>
      <c r="O35" s="46"/>
      <c r="P35" s="192"/>
      <c r="Q35" s="46"/>
      <c r="R35" s="60"/>
      <c r="S35" s="46"/>
      <c r="T35" s="46"/>
      <c r="U35" s="46"/>
      <c r="V35" s="46"/>
      <c r="W35" s="192"/>
      <c r="X35" s="46"/>
      <c r="Y35" s="59"/>
      <c r="Z35" s="69"/>
      <c r="AA35" s="191"/>
      <c r="AB35" s="46"/>
      <c r="AC35" s="46"/>
      <c r="AD35" s="62">
        <f t="shared" si="1"/>
        <v>4</v>
      </c>
      <c r="AE35" s="80">
        <v>180.0</v>
      </c>
      <c r="AF35" s="68">
        <f t="shared" si="2"/>
        <v>720</v>
      </c>
      <c r="AG35" s="17"/>
      <c r="AH35" s="132"/>
      <c r="AI35" s="132"/>
    </row>
    <row r="36">
      <c r="A36" s="147" t="s">
        <v>94</v>
      </c>
      <c r="B36" s="88"/>
      <c r="C36" s="490"/>
      <c r="D36" s="491"/>
      <c r="E36" s="46"/>
      <c r="F36" s="54"/>
      <c r="G36" s="493">
        <v>1.0</v>
      </c>
      <c r="H36" s="59">
        <v>1.0</v>
      </c>
      <c r="I36" s="492"/>
      <c r="J36" s="54"/>
      <c r="K36" s="46"/>
      <c r="L36" s="46"/>
      <c r="M36" s="54"/>
      <c r="N36" s="54"/>
      <c r="O36" s="46"/>
      <c r="P36" s="192"/>
      <c r="Q36" s="46"/>
      <c r="R36" s="60"/>
      <c r="S36" s="59">
        <v>1.0</v>
      </c>
      <c r="T36" s="46"/>
      <c r="U36" s="46"/>
      <c r="V36" s="46"/>
      <c r="W36" s="192"/>
      <c r="X36" s="46"/>
      <c r="Y36" s="59">
        <v>3.0</v>
      </c>
      <c r="Z36" s="69"/>
      <c r="AA36" s="191"/>
      <c r="AB36" s="46"/>
      <c r="AC36" s="46"/>
      <c r="AD36" s="62">
        <f t="shared" si="1"/>
        <v>6</v>
      </c>
      <c r="AE36" s="80">
        <v>245.0</v>
      </c>
      <c r="AF36" s="68">
        <f t="shared" si="2"/>
        <v>1470</v>
      </c>
      <c r="AG36" s="17"/>
      <c r="AH36" s="132"/>
      <c r="AI36" s="132"/>
    </row>
    <row r="37">
      <c r="A37" s="142" t="s">
        <v>97</v>
      </c>
      <c r="B37" s="88"/>
      <c r="C37" s="490"/>
      <c r="D37" s="491"/>
      <c r="E37" s="46"/>
      <c r="F37" s="54"/>
      <c r="G37" s="54"/>
      <c r="H37" s="46"/>
      <c r="I37" s="192"/>
      <c r="J37" s="54"/>
      <c r="K37" s="46"/>
      <c r="L37" s="46"/>
      <c r="M37" s="54"/>
      <c r="N37" s="54"/>
      <c r="O37" s="46"/>
      <c r="P37" s="192"/>
      <c r="Q37" s="46"/>
      <c r="R37" s="60"/>
      <c r="S37" s="46"/>
      <c r="T37" s="46"/>
      <c r="U37" s="46"/>
      <c r="V37" s="46"/>
      <c r="W37" s="192"/>
      <c r="X37" s="46"/>
      <c r="Y37" s="46"/>
      <c r="Z37" s="69"/>
      <c r="AA37" s="191"/>
      <c r="AB37" s="46"/>
      <c r="AC37" s="46"/>
      <c r="AD37" s="62">
        <f t="shared" si="1"/>
        <v>0</v>
      </c>
      <c r="AE37" s="80">
        <v>500.0</v>
      </c>
      <c r="AF37" s="68">
        <f t="shared" si="2"/>
        <v>0</v>
      </c>
      <c r="AG37" s="17"/>
      <c r="AH37" s="132"/>
      <c r="AI37" s="132"/>
    </row>
    <row r="38">
      <c r="A38" s="33" t="s">
        <v>99</v>
      </c>
      <c r="B38" s="88"/>
      <c r="C38" s="490"/>
      <c r="D38" s="491"/>
      <c r="E38" s="46"/>
      <c r="F38" s="54"/>
      <c r="G38" s="54"/>
      <c r="H38" s="46"/>
      <c r="I38" s="192"/>
      <c r="J38" s="92"/>
      <c r="K38" s="46"/>
      <c r="L38" s="49"/>
      <c r="M38" s="54"/>
      <c r="N38" s="54"/>
      <c r="O38" s="46"/>
      <c r="P38" s="192"/>
      <c r="Q38" s="46"/>
      <c r="R38" s="60"/>
      <c r="S38" s="46"/>
      <c r="T38" s="46"/>
      <c r="U38" s="46"/>
      <c r="V38" s="59">
        <v>16.0</v>
      </c>
      <c r="W38" s="192"/>
      <c r="X38" s="46"/>
      <c r="Y38" s="46"/>
      <c r="Z38" s="69"/>
      <c r="AA38" s="191"/>
      <c r="AB38" s="46"/>
      <c r="AC38" s="59">
        <v>1.0</v>
      </c>
      <c r="AD38" s="62">
        <f t="shared" si="1"/>
        <v>17</v>
      </c>
      <c r="AE38" s="80">
        <v>900.0</v>
      </c>
      <c r="AF38" s="68">
        <f t="shared" si="2"/>
        <v>15300</v>
      </c>
      <c r="AG38" s="17"/>
      <c r="AH38" s="132"/>
      <c r="AI38" s="132"/>
    </row>
    <row r="39">
      <c r="A39" s="33" t="s">
        <v>100</v>
      </c>
      <c r="B39" s="88"/>
      <c r="C39" s="490"/>
      <c r="D39" s="491"/>
      <c r="E39" s="46"/>
      <c r="F39" s="54"/>
      <c r="G39" s="54"/>
      <c r="H39" s="46"/>
      <c r="I39" s="192"/>
      <c r="J39" s="54"/>
      <c r="K39" s="46"/>
      <c r="L39" s="59">
        <v>1.0</v>
      </c>
      <c r="M39" s="54"/>
      <c r="N39" s="54"/>
      <c r="O39" s="46"/>
      <c r="P39" s="192"/>
      <c r="Q39" s="49"/>
      <c r="R39" s="60"/>
      <c r="S39" s="46"/>
      <c r="T39" s="46"/>
      <c r="U39" s="46"/>
      <c r="V39" s="46"/>
      <c r="W39" s="192"/>
      <c r="X39" s="46"/>
      <c r="Y39" s="46"/>
      <c r="Z39" s="69"/>
      <c r="AA39" s="191"/>
      <c r="AB39" s="46"/>
      <c r="AC39" s="46"/>
      <c r="AD39" s="62">
        <f t="shared" si="1"/>
        <v>1</v>
      </c>
      <c r="AE39" s="80">
        <v>1100.0</v>
      </c>
      <c r="AF39" s="68">
        <f t="shared" si="2"/>
        <v>1100</v>
      </c>
      <c r="AG39" s="17"/>
      <c r="AH39" s="132"/>
      <c r="AI39" s="132"/>
    </row>
    <row r="40">
      <c r="A40" s="33" t="s">
        <v>102</v>
      </c>
      <c r="B40" s="88"/>
      <c r="C40" s="490"/>
      <c r="D40" s="491"/>
      <c r="E40" s="46"/>
      <c r="F40" s="54"/>
      <c r="G40" s="92"/>
      <c r="H40" s="46"/>
      <c r="I40" s="192"/>
      <c r="J40" s="54"/>
      <c r="K40" s="46"/>
      <c r="L40" s="46"/>
      <c r="M40" s="54"/>
      <c r="N40" s="54"/>
      <c r="O40" s="46"/>
      <c r="P40" s="192"/>
      <c r="Q40" s="46"/>
      <c r="R40" s="60"/>
      <c r="S40" s="46"/>
      <c r="T40" s="46"/>
      <c r="U40" s="46"/>
      <c r="V40" s="59"/>
      <c r="W40" s="192"/>
      <c r="X40" s="46"/>
      <c r="Y40" s="46"/>
      <c r="Z40" s="69"/>
      <c r="AA40" s="191"/>
      <c r="AB40" s="46"/>
      <c r="AC40" s="46"/>
      <c r="AD40" s="62">
        <f t="shared" si="1"/>
        <v>0</v>
      </c>
      <c r="AE40" s="80">
        <v>1200.0</v>
      </c>
      <c r="AF40" s="68">
        <f t="shared" si="2"/>
        <v>0</v>
      </c>
      <c r="AG40" s="17"/>
      <c r="AH40" s="132"/>
      <c r="AI40" s="132"/>
    </row>
    <row r="41">
      <c r="A41" s="33" t="s">
        <v>104</v>
      </c>
      <c r="B41" s="88"/>
      <c r="C41" s="490"/>
      <c r="D41" s="491"/>
      <c r="E41" s="46"/>
      <c r="F41" s="54"/>
      <c r="G41" s="54"/>
      <c r="H41" s="46"/>
      <c r="I41" s="192"/>
      <c r="J41" s="54"/>
      <c r="K41" s="46"/>
      <c r="L41" s="46"/>
      <c r="M41" s="54"/>
      <c r="N41" s="54"/>
      <c r="O41" s="46"/>
      <c r="P41" s="192"/>
      <c r="Q41" s="46"/>
      <c r="R41" s="60"/>
      <c r="S41" s="46"/>
      <c r="T41" s="46"/>
      <c r="U41" s="46"/>
      <c r="V41" s="46"/>
      <c r="W41" s="192"/>
      <c r="X41" s="46"/>
      <c r="Y41" s="46"/>
      <c r="Z41" s="69"/>
      <c r="AA41" s="191"/>
      <c r="AB41" s="46"/>
      <c r="AC41" s="46"/>
      <c r="AD41" s="62">
        <f t="shared" si="1"/>
        <v>0</v>
      </c>
      <c r="AE41" s="80">
        <v>200.0</v>
      </c>
      <c r="AF41" s="68">
        <f t="shared" si="2"/>
        <v>0</v>
      </c>
      <c r="AG41" s="17"/>
      <c r="AH41" s="132"/>
      <c r="AI41" s="132"/>
    </row>
    <row r="42">
      <c r="A42" s="33" t="s">
        <v>105</v>
      </c>
      <c r="B42" s="88"/>
      <c r="C42" s="490"/>
      <c r="D42" s="491"/>
      <c r="E42" s="46"/>
      <c r="F42" s="54"/>
      <c r="G42" s="54"/>
      <c r="H42" s="46"/>
      <c r="I42" s="192"/>
      <c r="J42" s="54"/>
      <c r="K42" s="46"/>
      <c r="L42" s="46"/>
      <c r="M42" s="54"/>
      <c r="N42" s="54"/>
      <c r="O42" s="46"/>
      <c r="P42" s="192"/>
      <c r="Q42" s="46"/>
      <c r="R42" s="60"/>
      <c r="S42" s="46"/>
      <c r="T42" s="46"/>
      <c r="U42" s="46"/>
      <c r="V42" s="46"/>
      <c r="W42" s="192"/>
      <c r="X42" s="46"/>
      <c r="Y42" s="46"/>
      <c r="Z42" s="69"/>
      <c r="AA42" s="191"/>
      <c r="AB42" s="46"/>
      <c r="AC42" s="46"/>
      <c r="AD42" s="62">
        <f t="shared" si="1"/>
        <v>0</v>
      </c>
      <c r="AE42" s="80">
        <v>500.0</v>
      </c>
      <c r="AF42" s="68">
        <f t="shared" si="2"/>
        <v>0</v>
      </c>
      <c r="AG42" s="17"/>
      <c r="AH42" s="155"/>
      <c r="AI42" s="155"/>
    </row>
    <row r="43">
      <c r="A43" s="156" t="s">
        <v>107</v>
      </c>
      <c r="B43" s="186"/>
      <c r="C43" s="542"/>
      <c r="D43" s="543"/>
      <c r="E43" s="181"/>
      <c r="F43" s="184"/>
      <c r="G43" s="184"/>
      <c r="H43" s="181"/>
      <c r="I43" s="229"/>
      <c r="J43" s="184"/>
      <c r="K43" s="181"/>
      <c r="L43" s="181"/>
      <c r="M43" s="184"/>
      <c r="N43" s="184"/>
      <c r="O43" s="181"/>
      <c r="P43" s="229"/>
      <c r="Q43" s="181"/>
      <c r="R43" s="185"/>
      <c r="S43" s="181"/>
      <c r="T43" s="181"/>
      <c r="U43" s="181"/>
      <c r="V43" s="181"/>
      <c r="W43" s="229"/>
      <c r="X43" s="181"/>
      <c r="Y43" s="181"/>
      <c r="Z43" s="188"/>
      <c r="AA43" s="245"/>
      <c r="AB43" s="181"/>
      <c r="AC43" s="181"/>
      <c r="AD43" s="62">
        <f t="shared" si="1"/>
        <v>0</v>
      </c>
      <c r="AE43" s="167">
        <v>1000.0</v>
      </c>
      <c r="AF43" s="168">
        <f t="shared" si="2"/>
        <v>0</v>
      </c>
      <c r="AG43" s="17"/>
      <c r="AH43" s="155"/>
      <c r="AI43" s="155"/>
    </row>
    <row r="44">
      <c r="A44" s="169" t="s">
        <v>45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  <c r="AD44" s="128"/>
      <c r="AE44" s="129"/>
      <c r="AF44" s="174">
        <f>SUM(AF3:AF43)</f>
        <v>304219</v>
      </c>
      <c r="AG44" s="17"/>
      <c r="AH44" s="176"/>
      <c r="AI44" s="176"/>
    </row>
    <row r="45">
      <c r="A45" s="24" t="s">
        <v>110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8"/>
      <c r="AG45" s="17"/>
      <c r="AH45" s="178"/>
      <c r="AI45" s="178"/>
    </row>
    <row r="46">
      <c r="A46" s="147" t="s">
        <v>92</v>
      </c>
      <c r="B46" s="495"/>
      <c r="C46" s="490"/>
      <c r="D46" s="508"/>
      <c r="E46" s="49"/>
      <c r="F46" s="59">
        <v>6.0</v>
      </c>
      <c r="G46" s="493">
        <v>11.0</v>
      </c>
      <c r="H46" s="493">
        <v>7.0</v>
      </c>
      <c r="I46" s="492"/>
      <c r="J46" s="493">
        <v>7.0</v>
      </c>
      <c r="K46" s="493">
        <v>5.0</v>
      </c>
      <c r="L46" s="493">
        <v>9.0</v>
      </c>
      <c r="M46" s="59">
        <v>11.0</v>
      </c>
      <c r="N46" s="493">
        <v>7.0</v>
      </c>
      <c r="O46" s="493">
        <v>4.0</v>
      </c>
      <c r="P46" s="492"/>
      <c r="Q46" s="493">
        <v>15.0</v>
      </c>
      <c r="R46" s="105"/>
      <c r="S46" s="59">
        <v>6.0</v>
      </c>
      <c r="T46" s="59">
        <v>8.0</v>
      </c>
      <c r="U46" s="59">
        <v>9.0</v>
      </c>
      <c r="V46" s="59">
        <v>3.0</v>
      </c>
      <c r="W46" s="192"/>
      <c r="X46" s="59">
        <v>4.0</v>
      </c>
      <c r="Y46" s="59">
        <v>3.0</v>
      </c>
      <c r="Z46" s="69"/>
      <c r="AA46" s="191"/>
      <c r="AB46" s="59">
        <v>5.0</v>
      </c>
      <c r="AC46" s="59">
        <v>30.0</v>
      </c>
      <c r="AD46" s="62">
        <f t="shared" ref="AD46:AD57" si="3">SUM(B46:AC46)</f>
        <v>150</v>
      </c>
      <c r="AE46" s="80">
        <v>100.0</v>
      </c>
      <c r="AF46" s="68">
        <f t="shared" ref="AF46:AF57" si="4">AD46*AE46</f>
        <v>15000</v>
      </c>
      <c r="AG46" s="17"/>
      <c r="AH46" s="155"/>
      <c r="AI46" s="155"/>
    </row>
    <row r="47">
      <c r="A47" s="147" t="s">
        <v>98</v>
      </c>
      <c r="B47" s="489">
        <v>16.0</v>
      </c>
      <c r="C47" s="496"/>
      <c r="D47" s="508"/>
      <c r="E47" s="46"/>
      <c r="F47" s="59">
        <v>2.0</v>
      </c>
      <c r="G47" s="59">
        <v>2.0</v>
      </c>
      <c r="H47" s="49"/>
      <c r="I47" s="492"/>
      <c r="J47" s="59">
        <v>2.0</v>
      </c>
      <c r="K47" s="493">
        <v>9.0</v>
      </c>
      <c r="L47" s="493">
        <v>1.0</v>
      </c>
      <c r="M47" s="59">
        <v>1.0</v>
      </c>
      <c r="N47" s="493">
        <v>3.0</v>
      </c>
      <c r="O47" s="49"/>
      <c r="P47" s="492"/>
      <c r="Q47" s="493">
        <v>1.0</v>
      </c>
      <c r="R47" s="105"/>
      <c r="S47" s="59">
        <v>1.0</v>
      </c>
      <c r="T47" s="59">
        <v>1.0</v>
      </c>
      <c r="U47" s="59">
        <v>1.0</v>
      </c>
      <c r="V47" s="59"/>
      <c r="W47" s="192"/>
      <c r="X47" s="59"/>
      <c r="Y47" s="59">
        <v>1.0</v>
      </c>
      <c r="Z47" s="69"/>
      <c r="AA47" s="191"/>
      <c r="AB47" s="46"/>
      <c r="AC47" s="59">
        <v>9.0</v>
      </c>
      <c r="AD47" s="62">
        <f t="shared" si="3"/>
        <v>50</v>
      </c>
      <c r="AE47" s="80">
        <v>1000.0</v>
      </c>
      <c r="AF47" s="68">
        <f t="shared" si="4"/>
        <v>50000</v>
      </c>
      <c r="AG47" s="17"/>
      <c r="AH47" s="155"/>
      <c r="AI47" s="155"/>
    </row>
    <row r="48">
      <c r="A48" s="197" t="s">
        <v>120</v>
      </c>
      <c r="B48" s="489">
        <v>7.0</v>
      </c>
      <c r="C48" s="490"/>
      <c r="D48" s="508"/>
      <c r="E48" s="54"/>
      <c r="F48" s="59">
        <v>3.0</v>
      </c>
      <c r="G48" s="493">
        <v>2.0</v>
      </c>
      <c r="H48" s="59">
        <v>2.0</v>
      </c>
      <c r="I48" s="492"/>
      <c r="J48" s="493">
        <v>1.0</v>
      </c>
      <c r="K48" s="49"/>
      <c r="L48" s="493">
        <v>3.0</v>
      </c>
      <c r="M48" s="59">
        <v>1.0</v>
      </c>
      <c r="N48" s="59">
        <v>5.0</v>
      </c>
      <c r="O48" s="493">
        <v>4.0</v>
      </c>
      <c r="P48" s="192"/>
      <c r="Q48" s="49"/>
      <c r="R48" s="105"/>
      <c r="S48" s="59">
        <v>5.0</v>
      </c>
      <c r="T48" s="46"/>
      <c r="U48" s="59">
        <v>3.0</v>
      </c>
      <c r="V48" s="59">
        <v>1.0</v>
      </c>
      <c r="W48" s="192"/>
      <c r="X48" s="59">
        <v>3.0</v>
      </c>
      <c r="Y48" s="59">
        <v>4.0</v>
      </c>
      <c r="Z48" s="69"/>
      <c r="AA48" s="191"/>
      <c r="AB48" s="59">
        <v>27.0</v>
      </c>
      <c r="AC48" s="59">
        <v>5.0</v>
      </c>
      <c r="AD48" s="62">
        <f t="shared" si="3"/>
        <v>76</v>
      </c>
      <c r="AE48" s="80">
        <v>120.0</v>
      </c>
      <c r="AF48" s="68">
        <f t="shared" si="4"/>
        <v>9120</v>
      </c>
      <c r="AG48" s="17"/>
      <c r="AH48" s="155"/>
      <c r="AI48" s="155"/>
    </row>
    <row r="49">
      <c r="A49" s="197" t="s">
        <v>122</v>
      </c>
      <c r="B49" s="495"/>
      <c r="C49" s="496"/>
      <c r="D49" s="508"/>
      <c r="E49" s="54"/>
      <c r="F49" s="59">
        <v>1.0</v>
      </c>
      <c r="G49" s="59">
        <v>1.0</v>
      </c>
      <c r="H49" s="46"/>
      <c r="I49" s="492"/>
      <c r="J49" s="59">
        <v>1.0</v>
      </c>
      <c r="K49" s="46"/>
      <c r="L49" s="49"/>
      <c r="M49" s="46"/>
      <c r="N49" s="54"/>
      <c r="O49" s="54"/>
      <c r="P49" s="192"/>
      <c r="Q49" s="49"/>
      <c r="R49" s="105"/>
      <c r="S49" s="46"/>
      <c r="T49" s="46"/>
      <c r="U49" s="46"/>
      <c r="V49" s="46"/>
      <c r="W49" s="192"/>
      <c r="X49" s="46"/>
      <c r="Y49" s="46"/>
      <c r="Z49" s="69"/>
      <c r="AA49" s="191"/>
      <c r="AB49" s="46"/>
      <c r="AC49" s="46"/>
      <c r="AD49" s="62">
        <f t="shared" si="3"/>
        <v>3</v>
      </c>
      <c r="AE49" s="80">
        <v>150.0</v>
      </c>
      <c r="AF49" s="68">
        <f t="shared" si="4"/>
        <v>450</v>
      </c>
      <c r="AG49" s="17"/>
      <c r="AH49" s="155"/>
      <c r="AI49" s="155"/>
    </row>
    <row r="50">
      <c r="A50" s="189" t="s">
        <v>106</v>
      </c>
      <c r="B50" s="489">
        <v>60.0</v>
      </c>
      <c r="C50" s="496"/>
      <c r="D50" s="508"/>
      <c r="E50" s="49"/>
      <c r="F50" s="59">
        <v>4.0</v>
      </c>
      <c r="G50" s="493">
        <v>21.0</v>
      </c>
      <c r="H50" s="493">
        <v>4.0</v>
      </c>
      <c r="I50" s="492"/>
      <c r="J50" s="493">
        <v>4.0</v>
      </c>
      <c r="K50" s="493">
        <v>6.0</v>
      </c>
      <c r="L50" s="493">
        <v>8.0</v>
      </c>
      <c r="M50" s="59">
        <v>6.0</v>
      </c>
      <c r="N50" s="493">
        <v>10.0</v>
      </c>
      <c r="O50" s="493">
        <v>4.0</v>
      </c>
      <c r="P50" s="492"/>
      <c r="Q50" s="493">
        <v>16.0</v>
      </c>
      <c r="R50" s="105"/>
      <c r="S50" s="59">
        <v>1.0</v>
      </c>
      <c r="T50" s="59">
        <v>5.0</v>
      </c>
      <c r="U50" s="59">
        <v>14.0</v>
      </c>
      <c r="V50" s="59">
        <v>7.0</v>
      </c>
      <c r="W50" s="192"/>
      <c r="X50" s="59">
        <v>5.0</v>
      </c>
      <c r="Y50" s="59">
        <v>3.0</v>
      </c>
      <c r="Z50" s="69"/>
      <c r="AA50" s="191"/>
      <c r="AB50" s="59">
        <v>11.0</v>
      </c>
      <c r="AC50" s="59">
        <v>23.0</v>
      </c>
      <c r="AD50" s="62">
        <f t="shared" si="3"/>
        <v>212</v>
      </c>
      <c r="AE50" s="80">
        <v>280.0</v>
      </c>
      <c r="AF50" s="68">
        <f t="shared" si="4"/>
        <v>59360</v>
      </c>
      <c r="AG50" s="17"/>
      <c r="AH50" s="155"/>
      <c r="AI50" s="155"/>
    </row>
    <row r="51">
      <c r="A51" s="147" t="s">
        <v>108</v>
      </c>
      <c r="B51" s="489">
        <v>6.0</v>
      </c>
      <c r="C51" s="490"/>
      <c r="D51" s="491"/>
      <c r="E51" s="46"/>
      <c r="F51" s="59">
        <v>1.0</v>
      </c>
      <c r="G51" s="54"/>
      <c r="H51" s="59">
        <v>1.0</v>
      </c>
      <c r="I51" s="492"/>
      <c r="J51" s="49"/>
      <c r="K51" s="493">
        <v>1.0</v>
      </c>
      <c r="L51" s="59">
        <v>2.0</v>
      </c>
      <c r="M51" s="46"/>
      <c r="N51" s="59">
        <v>1.0</v>
      </c>
      <c r="O51" s="49"/>
      <c r="P51" s="492"/>
      <c r="Q51" s="59">
        <v>1.0</v>
      </c>
      <c r="R51" s="105"/>
      <c r="S51" s="46"/>
      <c r="T51" s="46"/>
      <c r="U51" s="59">
        <v>1.0</v>
      </c>
      <c r="V51" s="59"/>
      <c r="W51" s="192"/>
      <c r="X51" s="59"/>
      <c r="Y51" s="59"/>
      <c r="Z51" s="69"/>
      <c r="AA51" s="191"/>
      <c r="AB51" s="59">
        <v>1.0</v>
      </c>
      <c r="AC51" s="59">
        <v>5.0</v>
      </c>
      <c r="AD51" s="62">
        <f t="shared" si="3"/>
        <v>20</v>
      </c>
      <c r="AE51" s="80">
        <v>900.0</v>
      </c>
      <c r="AF51" s="68">
        <f t="shared" si="4"/>
        <v>18000</v>
      </c>
      <c r="AG51" s="17"/>
      <c r="AH51" s="155"/>
      <c r="AI51" s="155"/>
    </row>
    <row r="52">
      <c r="A52" s="198" t="s">
        <v>109</v>
      </c>
      <c r="B52" s="489">
        <v>106.0</v>
      </c>
      <c r="C52" s="496"/>
      <c r="D52" s="508"/>
      <c r="E52" s="49"/>
      <c r="F52" s="59">
        <v>3.0</v>
      </c>
      <c r="G52" s="493">
        <v>11.0</v>
      </c>
      <c r="H52" s="493">
        <v>8.0</v>
      </c>
      <c r="I52" s="492"/>
      <c r="J52" s="493">
        <v>9.0</v>
      </c>
      <c r="K52" s="493">
        <v>9.0</v>
      </c>
      <c r="L52" s="493">
        <v>16.0</v>
      </c>
      <c r="M52" s="59">
        <v>13.0</v>
      </c>
      <c r="N52" s="493">
        <v>18.0</v>
      </c>
      <c r="O52" s="493">
        <v>7.0</v>
      </c>
      <c r="P52" s="492"/>
      <c r="Q52" s="493">
        <v>12.0</v>
      </c>
      <c r="R52" s="105"/>
      <c r="S52" s="59">
        <v>14.0</v>
      </c>
      <c r="T52" s="59">
        <v>7.0</v>
      </c>
      <c r="U52" s="59">
        <v>19.0</v>
      </c>
      <c r="V52" s="59">
        <v>8.0</v>
      </c>
      <c r="W52" s="192"/>
      <c r="X52" s="59">
        <v>9.0</v>
      </c>
      <c r="Y52" s="59">
        <v>5.0</v>
      </c>
      <c r="Z52" s="69"/>
      <c r="AA52" s="191"/>
      <c r="AB52" s="59">
        <v>16.0</v>
      </c>
      <c r="AC52" s="59">
        <v>43.0</v>
      </c>
      <c r="AD52" s="62">
        <f t="shared" si="3"/>
        <v>333</v>
      </c>
      <c r="AE52" s="80">
        <v>330.0</v>
      </c>
      <c r="AF52" s="68">
        <f t="shared" si="4"/>
        <v>109890</v>
      </c>
      <c r="AG52" s="17"/>
      <c r="AH52" s="155"/>
      <c r="AI52" s="155"/>
    </row>
    <row r="53">
      <c r="A53" s="198" t="s">
        <v>111</v>
      </c>
      <c r="B53" s="63">
        <v>1.0</v>
      </c>
      <c r="C53" s="496"/>
      <c r="D53" s="508"/>
      <c r="E53" s="46"/>
      <c r="F53" s="59">
        <v>1.0</v>
      </c>
      <c r="G53" s="49"/>
      <c r="H53" s="49"/>
      <c r="I53" s="492"/>
      <c r="J53" s="493">
        <v>1.0</v>
      </c>
      <c r="K53" s="493">
        <v>3.0</v>
      </c>
      <c r="L53" s="59">
        <v>1.0</v>
      </c>
      <c r="M53" s="59">
        <v>3.0</v>
      </c>
      <c r="N53" s="49"/>
      <c r="O53" s="54"/>
      <c r="P53" s="192"/>
      <c r="Q53" s="59">
        <v>1.0</v>
      </c>
      <c r="R53" s="105"/>
      <c r="S53" s="59">
        <v>1.0</v>
      </c>
      <c r="T53" s="46"/>
      <c r="U53" s="59">
        <v>1.0</v>
      </c>
      <c r="V53" s="46"/>
      <c r="W53" s="192"/>
      <c r="X53" s="46"/>
      <c r="Y53" s="59"/>
      <c r="Z53" s="69"/>
      <c r="AA53" s="191"/>
      <c r="AB53" s="59">
        <v>3.0</v>
      </c>
      <c r="AC53" s="59">
        <v>4.0</v>
      </c>
      <c r="AD53" s="62">
        <f t="shared" si="3"/>
        <v>20</v>
      </c>
      <c r="AE53" s="80">
        <v>360.0</v>
      </c>
      <c r="AF53" s="68">
        <f t="shared" si="4"/>
        <v>7200</v>
      </c>
      <c r="AG53" s="17"/>
      <c r="AH53" s="155"/>
      <c r="AI53" s="155"/>
    </row>
    <row r="54">
      <c r="A54" s="198" t="s">
        <v>113</v>
      </c>
      <c r="B54" s="88"/>
      <c r="C54" s="496"/>
      <c r="D54" s="491"/>
      <c r="E54" s="54"/>
      <c r="F54" s="54"/>
      <c r="G54" s="54"/>
      <c r="H54" s="49"/>
      <c r="I54" s="192"/>
      <c r="J54" s="54"/>
      <c r="K54" s="49"/>
      <c r="L54" s="54"/>
      <c r="M54" s="46"/>
      <c r="N54" s="49"/>
      <c r="O54" s="49"/>
      <c r="P54" s="51"/>
      <c r="Q54" s="54"/>
      <c r="R54" s="208"/>
      <c r="S54" s="46"/>
      <c r="T54" s="46"/>
      <c r="U54" s="46"/>
      <c r="V54" s="46"/>
      <c r="W54" s="192"/>
      <c r="X54" s="46"/>
      <c r="Y54" s="46"/>
      <c r="Z54" s="69"/>
      <c r="AA54" s="191"/>
      <c r="AB54" s="46"/>
      <c r="AC54" s="59">
        <v>4.0</v>
      </c>
      <c r="AD54" s="62">
        <f t="shared" si="3"/>
        <v>4</v>
      </c>
      <c r="AE54" s="80">
        <v>380.0</v>
      </c>
      <c r="AF54" s="68">
        <f t="shared" si="4"/>
        <v>1520</v>
      </c>
      <c r="AG54" s="17"/>
      <c r="AH54" s="155"/>
      <c r="AI54" s="155"/>
    </row>
    <row r="55">
      <c r="A55" s="189" t="s">
        <v>114</v>
      </c>
      <c r="B55" s="63">
        <v>25.0</v>
      </c>
      <c r="C55" s="490"/>
      <c r="D55" s="508"/>
      <c r="E55" s="46"/>
      <c r="F55" s="59">
        <v>1.0</v>
      </c>
      <c r="G55" s="493">
        <v>7.0</v>
      </c>
      <c r="H55" s="59">
        <v>2.0</v>
      </c>
      <c r="I55" s="492"/>
      <c r="J55" s="493">
        <v>1.0</v>
      </c>
      <c r="K55" s="493">
        <v>4.0</v>
      </c>
      <c r="L55" s="59">
        <v>3.0</v>
      </c>
      <c r="M55" s="46"/>
      <c r="N55" s="493">
        <v>4.0</v>
      </c>
      <c r="O55" s="493">
        <v>1.0</v>
      </c>
      <c r="P55" s="492"/>
      <c r="Q55" s="493">
        <v>2.0</v>
      </c>
      <c r="R55" s="105"/>
      <c r="S55" s="59">
        <v>3.0</v>
      </c>
      <c r="T55" s="59">
        <v>1.0</v>
      </c>
      <c r="U55" s="59">
        <v>2.0</v>
      </c>
      <c r="V55" s="59">
        <v>2.0</v>
      </c>
      <c r="W55" s="192"/>
      <c r="X55" s="59">
        <v>2.0</v>
      </c>
      <c r="Y55" s="59"/>
      <c r="Z55" s="69"/>
      <c r="AA55" s="191"/>
      <c r="AB55" s="59">
        <v>1.0</v>
      </c>
      <c r="AC55" s="59">
        <v>6.0</v>
      </c>
      <c r="AD55" s="62">
        <f t="shared" si="3"/>
        <v>67</v>
      </c>
      <c r="AE55" s="80">
        <v>280.0</v>
      </c>
      <c r="AF55" s="68">
        <f t="shared" si="4"/>
        <v>18760</v>
      </c>
      <c r="AG55" s="17"/>
      <c r="AH55" s="155"/>
      <c r="AI55" s="155"/>
    </row>
    <row r="56">
      <c r="A56" s="189" t="s">
        <v>115</v>
      </c>
      <c r="B56" s="209"/>
      <c r="C56" s="545"/>
      <c r="D56" s="491"/>
      <c r="E56" s="54"/>
      <c r="F56" s="54"/>
      <c r="G56" s="54"/>
      <c r="H56" s="46"/>
      <c r="I56" s="51"/>
      <c r="J56" s="54"/>
      <c r="K56" s="54"/>
      <c r="L56" s="54"/>
      <c r="M56" s="54"/>
      <c r="N56" s="46"/>
      <c r="O56" s="54"/>
      <c r="P56" s="51"/>
      <c r="Q56" s="46"/>
      <c r="R56" s="208"/>
      <c r="S56" s="54"/>
      <c r="T56" s="54"/>
      <c r="U56" s="54"/>
      <c r="V56" s="54"/>
      <c r="W56" s="51"/>
      <c r="X56" s="54"/>
      <c r="Y56" s="54"/>
      <c r="Z56" s="211"/>
      <c r="AA56" s="48"/>
      <c r="AB56" s="54"/>
      <c r="AC56" s="54"/>
      <c r="AD56" s="62">
        <f t="shared" si="3"/>
        <v>0</v>
      </c>
      <c r="AE56" s="80">
        <v>330.0</v>
      </c>
      <c r="AF56" s="68">
        <f t="shared" si="4"/>
        <v>0</v>
      </c>
      <c r="AG56" s="17"/>
      <c r="AH56" s="155"/>
      <c r="AI56" s="155"/>
    </row>
    <row r="57">
      <c r="A57" s="205" t="s">
        <v>119</v>
      </c>
      <c r="B57" s="213"/>
      <c r="C57" s="546"/>
      <c r="D57" s="543"/>
      <c r="E57" s="184"/>
      <c r="F57" s="184"/>
      <c r="G57" s="184"/>
      <c r="H57" s="184"/>
      <c r="I57" s="183"/>
      <c r="J57" s="184"/>
      <c r="K57" s="184"/>
      <c r="L57" s="184"/>
      <c r="M57" s="184"/>
      <c r="N57" s="184"/>
      <c r="O57" s="184"/>
      <c r="P57" s="183"/>
      <c r="Q57" s="184"/>
      <c r="R57" s="212"/>
      <c r="S57" s="184"/>
      <c r="T57" s="184"/>
      <c r="U57" s="184"/>
      <c r="V57" s="184"/>
      <c r="W57" s="183"/>
      <c r="X57" s="184"/>
      <c r="Y57" s="184"/>
      <c r="Z57" s="215"/>
      <c r="AA57" s="182"/>
      <c r="AB57" s="184"/>
      <c r="AC57" s="184"/>
      <c r="AD57" s="62">
        <f t="shared" si="3"/>
        <v>0</v>
      </c>
      <c r="AE57" s="167">
        <v>1250.0</v>
      </c>
      <c r="AF57" s="168">
        <f t="shared" si="4"/>
        <v>0</v>
      </c>
      <c r="AG57" s="17"/>
      <c r="AH57" s="155"/>
      <c r="AI57" s="155"/>
    </row>
    <row r="58">
      <c r="A58" s="169" t="s">
        <v>45</v>
      </c>
      <c r="B58" s="128"/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  <c r="AD58" s="128"/>
      <c r="AE58" s="129"/>
      <c r="AF58" s="174">
        <f>SUM(AF46:AF57)</f>
        <v>289300</v>
      </c>
      <c r="AG58" s="17"/>
      <c r="AH58" s="239" t="s">
        <v>314</v>
      </c>
      <c r="AI58" s="176"/>
    </row>
    <row r="59">
      <c r="A59" s="24" t="s">
        <v>127</v>
      </c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8"/>
      <c r="AG59" s="17"/>
      <c r="AH59" s="178"/>
      <c r="AI59" s="178"/>
    </row>
    <row r="60">
      <c r="A60" s="206" t="s">
        <v>128</v>
      </c>
      <c r="B60" s="495"/>
      <c r="C60" s="496"/>
      <c r="D60" s="508"/>
      <c r="E60" s="54"/>
      <c r="F60" s="54"/>
      <c r="G60" s="54"/>
      <c r="H60" s="49"/>
      <c r="I60" s="492"/>
      <c r="J60" s="49"/>
      <c r="K60" s="49"/>
      <c r="L60" s="49"/>
      <c r="M60" s="59">
        <v>1.0</v>
      </c>
      <c r="N60" s="59">
        <v>1.0</v>
      </c>
      <c r="O60" s="54"/>
      <c r="P60" s="51"/>
      <c r="Q60" s="49"/>
      <c r="R60" s="60"/>
      <c r="S60" s="46"/>
      <c r="T60" s="59">
        <v>3.0</v>
      </c>
      <c r="U60" s="59">
        <v>2.0</v>
      </c>
      <c r="V60" s="59"/>
      <c r="W60" s="192"/>
      <c r="X60" s="59"/>
      <c r="Y60" s="59">
        <v>1.0</v>
      </c>
      <c r="Z60" s="69"/>
      <c r="AA60" s="191"/>
      <c r="AB60" s="46"/>
      <c r="AC60" s="59">
        <v>2.0</v>
      </c>
      <c r="AD60" s="62">
        <f t="shared" ref="AD60:AD63" si="5">SUM(B60:AC60)</f>
        <v>10</v>
      </c>
      <c r="AE60" s="80">
        <v>550.0</v>
      </c>
      <c r="AF60" s="68">
        <f t="shared" ref="AF60:AF63" si="6">AD60*AE60</f>
        <v>5500</v>
      </c>
      <c r="AG60" s="17"/>
      <c r="AH60" s="155"/>
      <c r="AI60" s="155"/>
    </row>
    <row r="61">
      <c r="A61" s="189" t="s">
        <v>131</v>
      </c>
      <c r="B61" s="495"/>
      <c r="C61" s="490"/>
      <c r="D61" s="508"/>
      <c r="E61" s="49"/>
      <c r="F61" s="54"/>
      <c r="G61" s="49"/>
      <c r="H61" s="54"/>
      <c r="I61" s="192"/>
      <c r="J61" s="46"/>
      <c r="K61" s="49"/>
      <c r="L61" s="54"/>
      <c r="M61" s="59">
        <v>1.0</v>
      </c>
      <c r="N61" s="54"/>
      <c r="O61" s="54"/>
      <c r="P61" s="51"/>
      <c r="Q61" s="59">
        <v>1.0</v>
      </c>
      <c r="R61" s="60"/>
      <c r="S61" s="46"/>
      <c r="T61" s="46"/>
      <c r="U61" s="46"/>
      <c r="V61" s="46"/>
      <c r="W61" s="192"/>
      <c r="X61" s="46"/>
      <c r="Y61" s="46"/>
      <c r="Z61" s="69"/>
      <c r="AA61" s="191"/>
      <c r="AB61" s="46"/>
      <c r="AC61" s="59">
        <v>2.0</v>
      </c>
      <c r="AD61" s="62">
        <f t="shared" si="5"/>
        <v>4</v>
      </c>
      <c r="AE61" s="80">
        <v>350.0</v>
      </c>
      <c r="AF61" s="68">
        <f t="shared" si="6"/>
        <v>1400</v>
      </c>
      <c r="AG61" s="17"/>
      <c r="AH61" s="155"/>
      <c r="AI61" s="155"/>
    </row>
    <row r="62">
      <c r="A62" s="189" t="s">
        <v>132</v>
      </c>
      <c r="B62" s="209"/>
      <c r="C62" s="496"/>
      <c r="D62" s="508"/>
      <c r="E62" s="49"/>
      <c r="F62" s="59">
        <v>2.0</v>
      </c>
      <c r="G62" s="54"/>
      <c r="H62" s="59">
        <v>1.0</v>
      </c>
      <c r="I62" s="492"/>
      <c r="J62" s="54"/>
      <c r="K62" s="46"/>
      <c r="L62" s="54"/>
      <c r="M62" s="46"/>
      <c r="N62" s="59">
        <v>2.0</v>
      </c>
      <c r="O62" s="59">
        <v>1.0</v>
      </c>
      <c r="P62" s="192"/>
      <c r="Q62" s="46"/>
      <c r="R62" s="60"/>
      <c r="S62" s="46"/>
      <c r="T62" s="46"/>
      <c r="U62" s="46"/>
      <c r="V62" s="46"/>
      <c r="W62" s="192"/>
      <c r="X62" s="46"/>
      <c r="Y62" s="46"/>
      <c r="Z62" s="69"/>
      <c r="AA62" s="191"/>
      <c r="AB62" s="46"/>
      <c r="AC62" s="59">
        <v>10.0</v>
      </c>
      <c r="AD62" s="62">
        <f t="shared" si="5"/>
        <v>16</v>
      </c>
      <c r="AE62" s="80">
        <v>350.0</v>
      </c>
      <c r="AF62" s="68">
        <f t="shared" si="6"/>
        <v>5600</v>
      </c>
      <c r="AG62" s="17"/>
      <c r="AH62" s="155"/>
      <c r="AI62" s="155"/>
    </row>
    <row r="63">
      <c r="A63" s="207" t="s">
        <v>134</v>
      </c>
      <c r="B63" s="213"/>
      <c r="C63" s="546"/>
      <c r="D63" s="543"/>
      <c r="E63" s="184"/>
      <c r="F63" s="184"/>
      <c r="G63" s="247">
        <v>2.0</v>
      </c>
      <c r="H63" s="184"/>
      <c r="I63" s="183"/>
      <c r="J63" s="184"/>
      <c r="K63" s="247">
        <v>2.0</v>
      </c>
      <c r="L63" s="247">
        <v>1.0</v>
      </c>
      <c r="M63" s="184"/>
      <c r="N63" s="247">
        <v>1.0</v>
      </c>
      <c r="O63" s="184"/>
      <c r="P63" s="183"/>
      <c r="Q63" s="247">
        <v>1.0</v>
      </c>
      <c r="R63" s="212"/>
      <c r="S63" s="184"/>
      <c r="T63" s="184"/>
      <c r="U63" s="247">
        <v>2.0</v>
      </c>
      <c r="V63" s="247">
        <v>1.0</v>
      </c>
      <c r="W63" s="183"/>
      <c r="X63" s="247">
        <v>4.0</v>
      </c>
      <c r="Y63" s="184"/>
      <c r="Z63" s="215"/>
      <c r="AA63" s="182"/>
      <c r="AB63" s="247">
        <v>3.0</v>
      </c>
      <c r="AC63" s="247">
        <v>11.0</v>
      </c>
      <c r="AD63" s="62">
        <f t="shared" si="5"/>
        <v>28</v>
      </c>
      <c r="AE63" s="167">
        <v>350.0</v>
      </c>
      <c r="AF63" s="168">
        <f t="shared" si="6"/>
        <v>9800</v>
      </c>
      <c r="AG63" s="17"/>
      <c r="AH63" s="155"/>
      <c r="AI63" s="155"/>
    </row>
    <row r="64">
      <c r="A64" s="169" t="s">
        <v>45</v>
      </c>
      <c r="B64" s="128"/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  <c r="AA64" s="128"/>
      <c r="AB64" s="128"/>
      <c r="AC64" s="128"/>
      <c r="AD64" s="128"/>
      <c r="AE64" s="129"/>
      <c r="AF64" s="174">
        <f>SUM(AF60:AF63)</f>
        <v>22300</v>
      </c>
      <c r="AG64" s="17"/>
      <c r="AH64" s="239" t="s">
        <v>315</v>
      </c>
      <c r="AI64" s="176"/>
    </row>
    <row r="65">
      <c r="A65" s="24" t="s">
        <v>137</v>
      </c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8"/>
      <c r="AG65" s="17"/>
      <c r="AH65" s="178"/>
      <c r="AI65" s="178"/>
    </row>
    <row r="66">
      <c r="A66" s="216" t="s">
        <v>138</v>
      </c>
      <c r="B66" s="209"/>
      <c r="C66" s="490"/>
      <c r="D66" s="491"/>
      <c r="E66" s="54"/>
      <c r="F66" s="54"/>
      <c r="G66" s="54"/>
      <c r="H66" s="54"/>
      <c r="I66" s="51"/>
      <c r="J66" s="46"/>
      <c r="K66" s="46"/>
      <c r="L66" s="54"/>
      <c r="M66" s="54"/>
      <c r="N66" s="54"/>
      <c r="O66" s="54"/>
      <c r="P66" s="51"/>
      <c r="Q66" s="46"/>
      <c r="R66" s="208"/>
      <c r="S66" s="54"/>
      <c r="T66" s="54"/>
      <c r="U66" s="54"/>
      <c r="V66" s="54"/>
      <c r="W66" s="51"/>
      <c r="X66" s="54"/>
      <c r="Y66" s="54"/>
      <c r="Z66" s="211"/>
      <c r="AA66" s="48"/>
      <c r="AB66" s="54"/>
      <c r="AC66" s="54"/>
      <c r="AD66" s="62">
        <f t="shared" ref="AD66:AD67" si="7">SUM(B66:AC66)</f>
        <v>0</v>
      </c>
      <c r="AE66" s="80">
        <v>220.0</v>
      </c>
      <c r="AF66" s="80">
        <f t="shared" ref="AF66:AF67" si="8">AD66*AE66</f>
        <v>0</v>
      </c>
      <c r="AG66" s="17"/>
      <c r="AH66" s="180" t="s">
        <v>316</v>
      </c>
      <c r="AI66" s="155"/>
    </row>
    <row r="67">
      <c r="A67" s="225" t="s">
        <v>143</v>
      </c>
      <c r="B67" s="553">
        <v>5.0</v>
      </c>
      <c r="C67" s="542"/>
      <c r="D67" s="543"/>
      <c r="E67" s="184"/>
      <c r="F67" s="247">
        <v>1.0</v>
      </c>
      <c r="G67" s="184"/>
      <c r="H67" s="247">
        <v>1.0</v>
      </c>
      <c r="I67" s="183"/>
      <c r="J67" s="181"/>
      <c r="K67" s="247">
        <v>1.0</v>
      </c>
      <c r="L67" s="184"/>
      <c r="M67" s="181"/>
      <c r="N67" s="181"/>
      <c r="O67" s="184"/>
      <c r="P67" s="229"/>
      <c r="Q67" s="181"/>
      <c r="R67" s="212"/>
      <c r="S67" s="247">
        <v>1.0</v>
      </c>
      <c r="T67" s="247">
        <v>1.0</v>
      </c>
      <c r="U67" s="181"/>
      <c r="V67" s="181"/>
      <c r="W67" s="229"/>
      <c r="X67" s="181"/>
      <c r="Y67" s="181"/>
      <c r="Z67" s="188"/>
      <c r="AA67" s="245"/>
      <c r="AB67" s="181"/>
      <c r="AC67" s="181"/>
      <c r="AD67" s="62">
        <f t="shared" si="7"/>
        <v>10</v>
      </c>
      <c r="AE67" s="167">
        <v>380.0</v>
      </c>
      <c r="AF67" s="167">
        <f t="shared" si="8"/>
        <v>3800</v>
      </c>
      <c r="AG67" s="17"/>
      <c r="AH67" s="155"/>
      <c r="AI67" s="155"/>
    </row>
    <row r="68">
      <c r="A68" s="169" t="s">
        <v>45</v>
      </c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8"/>
      <c r="AB68" s="128"/>
      <c r="AC68" s="128"/>
      <c r="AD68" s="128"/>
      <c r="AE68" s="129"/>
      <c r="AF68" s="174">
        <f>SUM(AF66:AF67)</f>
        <v>3800</v>
      </c>
      <c r="AG68" s="17"/>
      <c r="AH68" s="239" t="s">
        <v>319</v>
      </c>
      <c r="AI68" s="176"/>
    </row>
    <row r="69">
      <c r="A69" s="24" t="s">
        <v>146</v>
      </c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8"/>
      <c r="AG69" s="17"/>
      <c r="AH69" s="178"/>
      <c r="AI69" s="178"/>
    </row>
    <row r="70">
      <c r="A70" s="223" t="s">
        <v>52</v>
      </c>
      <c r="B70" s="209"/>
      <c r="C70" s="490"/>
      <c r="D70" s="508"/>
      <c r="E70" s="46"/>
      <c r="F70" s="59">
        <v>1.0</v>
      </c>
      <c r="G70" s="59">
        <v>2.0</v>
      </c>
      <c r="H70" s="46"/>
      <c r="I70" s="492"/>
      <c r="J70" s="54"/>
      <c r="K70" s="59">
        <v>2.0</v>
      </c>
      <c r="L70" s="59">
        <v>2.0</v>
      </c>
      <c r="M70" s="46"/>
      <c r="N70" s="59">
        <v>1.0</v>
      </c>
      <c r="O70" s="59">
        <v>4.0</v>
      </c>
      <c r="P70" s="192"/>
      <c r="Q70" s="46"/>
      <c r="R70" s="60"/>
      <c r="S70" s="59">
        <v>1.0</v>
      </c>
      <c r="T70" s="46"/>
      <c r="U70" s="46"/>
      <c r="V70" s="59"/>
      <c r="W70" s="192"/>
      <c r="X70" s="46"/>
      <c r="Y70" s="46"/>
      <c r="Z70" s="69"/>
      <c r="AA70" s="191"/>
      <c r="AB70" s="46"/>
      <c r="AC70" s="59">
        <v>7.0</v>
      </c>
      <c r="AD70" s="62">
        <f t="shared" ref="AD70:AD86" si="9">SUM(B70:AC70)</f>
        <v>20</v>
      </c>
      <c r="AE70" s="80">
        <v>1200.0</v>
      </c>
      <c r="AF70" s="68">
        <f t="shared" ref="AF70:AF86" si="10">AD70*AE70</f>
        <v>24000</v>
      </c>
      <c r="AG70" s="17"/>
      <c r="AH70" s="155"/>
      <c r="AI70" s="155"/>
    </row>
    <row r="71">
      <c r="A71" s="33" t="s">
        <v>151</v>
      </c>
      <c r="B71" s="495"/>
      <c r="C71" s="496"/>
      <c r="D71" s="508"/>
      <c r="E71" s="54"/>
      <c r="F71" s="59">
        <v>1.0</v>
      </c>
      <c r="G71" s="59">
        <v>1.0</v>
      </c>
      <c r="H71" s="46"/>
      <c r="I71" s="51"/>
      <c r="J71" s="46"/>
      <c r="K71" s="46"/>
      <c r="L71" s="59">
        <v>1.0</v>
      </c>
      <c r="M71" s="54"/>
      <c r="N71" s="59">
        <v>3.0</v>
      </c>
      <c r="O71" s="54"/>
      <c r="P71" s="192"/>
      <c r="Q71" s="59">
        <v>1.0</v>
      </c>
      <c r="R71" s="60"/>
      <c r="S71" s="59">
        <v>2.0</v>
      </c>
      <c r="T71" s="46"/>
      <c r="U71" s="46"/>
      <c r="V71" s="59">
        <v>1.0</v>
      </c>
      <c r="W71" s="192"/>
      <c r="X71" s="46"/>
      <c r="Y71" s="46"/>
      <c r="Z71" s="69"/>
      <c r="AA71" s="191"/>
      <c r="AB71" s="46"/>
      <c r="AC71" s="46"/>
      <c r="AD71" s="62">
        <f t="shared" si="9"/>
        <v>10</v>
      </c>
      <c r="AE71" s="80">
        <v>1500.0</v>
      </c>
      <c r="AF71" s="68">
        <f t="shared" si="10"/>
        <v>15000</v>
      </c>
      <c r="AG71" s="17"/>
      <c r="AH71" s="155"/>
      <c r="AI71" s="155"/>
    </row>
    <row r="72">
      <c r="A72" s="226" t="s">
        <v>56</v>
      </c>
      <c r="B72" s="209"/>
      <c r="C72" s="545"/>
      <c r="D72" s="508"/>
      <c r="E72" s="54"/>
      <c r="F72" s="54"/>
      <c r="G72" s="54"/>
      <c r="H72" s="54"/>
      <c r="I72" s="51"/>
      <c r="J72" s="54"/>
      <c r="K72" s="46"/>
      <c r="L72" s="54"/>
      <c r="M72" s="54"/>
      <c r="N72" s="54"/>
      <c r="O72" s="49"/>
      <c r="P72" s="51"/>
      <c r="Q72" s="54"/>
      <c r="R72" s="60"/>
      <c r="S72" s="54"/>
      <c r="T72" s="54"/>
      <c r="U72" s="54"/>
      <c r="V72" s="54"/>
      <c r="W72" s="51"/>
      <c r="X72" s="54"/>
      <c r="Y72" s="54"/>
      <c r="Z72" s="211"/>
      <c r="AA72" s="48"/>
      <c r="AB72" s="54"/>
      <c r="AC72" s="59">
        <v>1.0</v>
      </c>
      <c r="AD72" s="62">
        <f t="shared" si="9"/>
        <v>1</v>
      </c>
      <c r="AE72" s="80">
        <v>1500.0</v>
      </c>
      <c r="AF72" s="68">
        <f t="shared" si="10"/>
        <v>1500</v>
      </c>
      <c r="AG72" s="17"/>
      <c r="AH72" s="155"/>
      <c r="AI72" s="155"/>
    </row>
    <row r="73">
      <c r="A73" s="226" t="s">
        <v>59</v>
      </c>
      <c r="B73" s="209"/>
      <c r="C73" s="490"/>
      <c r="D73" s="508"/>
      <c r="E73" s="46"/>
      <c r="F73" s="59">
        <v>2.0</v>
      </c>
      <c r="G73" s="54"/>
      <c r="H73" s="46"/>
      <c r="I73" s="192"/>
      <c r="J73" s="59">
        <v>1.0</v>
      </c>
      <c r="K73" s="49"/>
      <c r="L73" s="46"/>
      <c r="M73" s="46"/>
      <c r="N73" s="46"/>
      <c r="O73" s="49"/>
      <c r="P73" s="192"/>
      <c r="Q73" s="46"/>
      <c r="R73" s="105"/>
      <c r="S73" s="46"/>
      <c r="T73" s="46"/>
      <c r="U73" s="59">
        <v>3.0</v>
      </c>
      <c r="V73" s="59">
        <v>2.0</v>
      </c>
      <c r="W73" s="192"/>
      <c r="X73" s="59"/>
      <c r="Y73" s="46"/>
      <c r="Z73" s="69"/>
      <c r="AA73" s="191"/>
      <c r="AB73" s="59">
        <v>2.0</v>
      </c>
      <c r="AC73" s="46"/>
      <c r="AD73" s="62">
        <f t="shared" si="9"/>
        <v>10</v>
      </c>
      <c r="AE73" s="80">
        <v>1500.0</v>
      </c>
      <c r="AF73" s="68">
        <f t="shared" si="10"/>
        <v>15000</v>
      </c>
      <c r="AG73" s="17"/>
      <c r="AH73" s="155"/>
      <c r="AI73" s="155"/>
    </row>
    <row r="74">
      <c r="A74" s="226" t="s">
        <v>62</v>
      </c>
      <c r="B74" s="209"/>
      <c r="C74" s="490"/>
      <c r="D74" s="508"/>
      <c r="E74" s="46"/>
      <c r="F74" s="54"/>
      <c r="G74" s="54"/>
      <c r="H74" s="46"/>
      <c r="I74" s="192"/>
      <c r="J74" s="54"/>
      <c r="K74" s="49"/>
      <c r="L74" s="46"/>
      <c r="M74" s="59">
        <v>1.0</v>
      </c>
      <c r="N74" s="46"/>
      <c r="O74" s="54"/>
      <c r="P74" s="192"/>
      <c r="Q74" s="46"/>
      <c r="R74" s="60"/>
      <c r="S74" s="46"/>
      <c r="T74" s="46"/>
      <c r="U74" s="46"/>
      <c r="V74" s="59"/>
      <c r="W74" s="192"/>
      <c r="X74" s="46"/>
      <c r="Y74" s="46"/>
      <c r="Z74" s="69"/>
      <c r="AA74" s="191"/>
      <c r="AB74" s="46"/>
      <c r="AC74" s="59">
        <v>1.0</v>
      </c>
      <c r="AD74" s="62">
        <f t="shared" si="9"/>
        <v>2</v>
      </c>
      <c r="AE74" s="80">
        <v>1500.0</v>
      </c>
      <c r="AF74" s="68">
        <f t="shared" si="10"/>
        <v>3000</v>
      </c>
      <c r="AG74" s="17"/>
      <c r="AH74" s="155"/>
      <c r="AI74" s="155"/>
    </row>
    <row r="75">
      <c r="A75" s="226" t="s">
        <v>64</v>
      </c>
      <c r="B75" s="209"/>
      <c r="C75" s="545"/>
      <c r="D75" s="491"/>
      <c r="E75" s="49"/>
      <c r="F75" s="54"/>
      <c r="G75" s="59">
        <v>2.0</v>
      </c>
      <c r="H75" s="46"/>
      <c r="I75" s="192"/>
      <c r="J75" s="59">
        <v>1.0</v>
      </c>
      <c r="K75" s="59">
        <v>3.0</v>
      </c>
      <c r="L75" s="59">
        <v>1.0</v>
      </c>
      <c r="M75" s="59">
        <v>1.0</v>
      </c>
      <c r="N75" s="59">
        <v>3.0</v>
      </c>
      <c r="O75" s="59">
        <v>2.0</v>
      </c>
      <c r="P75" s="192"/>
      <c r="Q75" s="493">
        <v>1.0</v>
      </c>
      <c r="R75" s="208"/>
      <c r="S75" s="46"/>
      <c r="T75" s="59">
        <v>1.0</v>
      </c>
      <c r="U75" s="46"/>
      <c r="V75" s="46"/>
      <c r="W75" s="192"/>
      <c r="X75" s="59"/>
      <c r="Y75" s="59">
        <v>1.0</v>
      </c>
      <c r="Z75" s="69"/>
      <c r="AA75" s="191"/>
      <c r="AB75" s="59">
        <v>1.0</v>
      </c>
      <c r="AC75" s="59">
        <v>4.0</v>
      </c>
      <c r="AD75" s="62">
        <f t="shared" si="9"/>
        <v>21</v>
      </c>
      <c r="AE75" s="80">
        <v>1500.0</v>
      </c>
      <c r="AF75" s="68">
        <f t="shared" si="10"/>
        <v>31500</v>
      </c>
      <c r="AG75" s="17"/>
      <c r="AH75" s="155"/>
      <c r="AI75" s="155"/>
    </row>
    <row r="76">
      <c r="A76" s="223" t="s">
        <v>54</v>
      </c>
      <c r="B76" s="88"/>
      <c r="C76" s="490"/>
      <c r="D76" s="508"/>
      <c r="E76" s="54"/>
      <c r="F76" s="54"/>
      <c r="G76" s="59">
        <v>2.0</v>
      </c>
      <c r="H76" s="49"/>
      <c r="I76" s="492"/>
      <c r="J76" s="49"/>
      <c r="K76" s="46"/>
      <c r="L76" s="59">
        <v>1.0</v>
      </c>
      <c r="M76" s="54"/>
      <c r="N76" s="54"/>
      <c r="O76" s="54"/>
      <c r="P76" s="192"/>
      <c r="Q76" s="493"/>
      <c r="R76" s="105"/>
      <c r="S76" s="46"/>
      <c r="T76" s="59">
        <v>1.0</v>
      </c>
      <c r="U76" s="46"/>
      <c r="V76" s="59">
        <v>1.0</v>
      </c>
      <c r="W76" s="192"/>
      <c r="X76" s="46"/>
      <c r="Y76" s="59"/>
      <c r="Z76" s="69"/>
      <c r="AA76" s="191"/>
      <c r="AB76" s="46"/>
      <c r="AC76" s="59">
        <v>1.0</v>
      </c>
      <c r="AD76" s="62">
        <f t="shared" si="9"/>
        <v>6</v>
      </c>
      <c r="AE76" s="80">
        <v>1500.0</v>
      </c>
      <c r="AF76" s="68">
        <f t="shared" si="10"/>
        <v>9000</v>
      </c>
      <c r="AG76" s="17"/>
      <c r="AH76" s="155"/>
      <c r="AI76" s="155"/>
    </row>
    <row r="77">
      <c r="A77" s="226" t="s">
        <v>159</v>
      </c>
      <c r="B77" s="489">
        <v>13.0</v>
      </c>
      <c r="C77" s="496"/>
      <c r="D77" s="508"/>
      <c r="E77" s="54"/>
      <c r="F77" s="59">
        <v>1.0</v>
      </c>
      <c r="G77" s="59">
        <v>1.0</v>
      </c>
      <c r="H77" s="59">
        <v>1.0</v>
      </c>
      <c r="I77" s="492"/>
      <c r="J77" s="493">
        <v>2.0</v>
      </c>
      <c r="K77" s="59">
        <v>4.0</v>
      </c>
      <c r="L77" s="493">
        <v>1.0</v>
      </c>
      <c r="M77" s="59">
        <v>3.0</v>
      </c>
      <c r="N77" s="59">
        <v>3.0</v>
      </c>
      <c r="O77" s="493">
        <v>1.0</v>
      </c>
      <c r="P77" s="492"/>
      <c r="Q77" s="59">
        <v>1.0</v>
      </c>
      <c r="R77" s="60"/>
      <c r="S77" s="59">
        <v>1.0</v>
      </c>
      <c r="T77" s="59">
        <v>1.0</v>
      </c>
      <c r="U77" s="59">
        <v>2.0</v>
      </c>
      <c r="V77" s="59">
        <v>1.0</v>
      </c>
      <c r="W77" s="192"/>
      <c r="X77" s="59">
        <v>1.0</v>
      </c>
      <c r="Y77" s="59">
        <v>1.0</v>
      </c>
      <c r="Z77" s="69"/>
      <c r="AA77" s="191"/>
      <c r="AB77" s="59">
        <v>5.0</v>
      </c>
      <c r="AC77" s="59">
        <v>6.0</v>
      </c>
      <c r="AD77" s="62">
        <f t="shared" si="9"/>
        <v>49</v>
      </c>
      <c r="AE77" s="80">
        <v>1500.0</v>
      </c>
      <c r="AF77" s="68">
        <f t="shared" si="10"/>
        <v>73500</v>
      </c>
      <c r="AG77" s="17"/>
      <c r="AH77" s="155"/>
      <c r="AI77" s="155"/>
    </row>
    <row r="78">
      <c r="A78" s="226" t="s">
        <v>67</v>
      </c>
      <c r="B78" s="88"/>
      <c r="C78" s="545"/>
      <c r="D78" s="491"/>
      <c r="E78" s="54"/>
      <c r="F78" s="54"/>
      <c r="G78" s="54"/>
      <c r="H78" s="54"/>
      <c r="I78" s="51"/>
      <c r="J78" s="49"/>
      <c r="K78" s="54"/>
      <c r="L78" s="54"/>
      <c r="M78" s="54"/>
      <c r="N78" s="54"/>
      <c r="O78" s="54"/>
      <c r="P78" s="51"/>
      <c r="Q78" s="54"/>
      <c r="R78" s="60"/>
      <c r="S78" s="54"/>
      <c r="T78" s="54"/>
      <c r="U78" s="59"/>
      <c r="V78" s="54"/>
      <c r="W78" s="51"/>
      <c r="X78" s="54"/>
      <c r="Y78" s="54"/>
      <c r="Z78" s="211"/>
      <c r="AA78" s="48"/>
      <c r="AB78" s="54"/>
      <c r="AC78" s="54"/>
      <c r="AD78" s="62">
        <f t="shared" si="9"/>
        <v>0</v>
      </c>
      <c r="AE78" s="80">
        <v>1500.0</v>
      </c>
      <c r="AF78" s="68">
        <f t="shared" si="10"/>
        <v>0</v>
      </c>
      <c r="AG78" s="17"/>
      <c r="AH78" s="155"/>
      <c r="AI78" s="155"/>
    </row>
    <row r="79">
      <c r="A79" s="223" t="s">
        <v>69</v>
      </c>
      <c r="B79" s="209"/>
      <c r="C79" s="496"/>
      <c r="D79" s="491"/>
      <c r="E79" s="54"/>
      <c r="F79" s="59">
        <v>1.0</v>
      </c>
      <c r="G79" s="59">
        <v>2.0</v>
      </c>
      <c r="H79" s="59">
        <v>1.0</v>
      </c>
      <c r="I79" s="51"/>
      <c r="J79" s="54"/>
      <c r="K79" s="46"/>
      <c r="L79" s="59">
        <v>1.0</v>
      </c>
      <c r="M79" s="54"/>
      <c r="N79" s="54"/>
      <c r="O79" s="493">
        <v>2.0</v>
      </c>
      <c r="P79" s="492"/>
      <c r="Q79" s="46"/>
      <c r="R79" s="105"/>
      <c r="S79" s="59">
        <v>1.0</v>
      </c>
      <c r="T79" s="59">
        <v>2.0</v>
      </c>
      <c r="U79" s="46"/>
      <c r="V79" s="59">
        <v>1.0</v>
      </c>
      <c r="W79" s="192"/>
      <c r="X79" s="59">
        <v>1.0</v>
      </c>
      <c r="Y79" s="46"/>
      <c r="Z79" s="69"/>
      <c r="AA79" s="191"/>
      <c r="AB79" s="59">
        <v>1.0</v>
      </c>
      <c r="AC79" s="59">
        <v>2.0</v>
      </c>
      <c r="AD79" s="62">
        <f t="shared" si="9"/>
        <v>15</v>
      </c>
      <c r="AE79" s="80">
        <v>600.0</v>
      </c>
      <c r="AF79" s="68">
        <f t="shared" si="10"/>
        <v>9000</v>
      </c>
      <c r="AG79" s="17"/>
      <c r="AH79" s="155"/>
      <c r="AI79" s="155"/>
    </row>
    <row r="80">
      <c r="A80" s="223" t="s">
        <v>71</v>
      </c>
      <c r="B80" s="495"/>
      <c r="C80" s="490"/>
      <c r="D80" s="508"/>
      <c r="E80" s="49"/>
      <c r="F80" s="59">
        <v>1.0</v>
      </c>
      <c r="G80" s="59">
        <v>2.0</v>
      </c>
      <c r="H80" s="49"/>
      <c r="I80" s="492"/>
      <c r="J80" s="493">
        <v>1.0</v>
      </c>
      <c r="K80" s="493">
        <v>2.0</v>
      </c>
      <c r="L80" s="493">
        <v>1.0</v>
      </c>
      <c r="M80" s="46"/>
      <c r="N80" s="493">
        <v>1.0</v>
      </c>
      <c r="O80" s="493">
        <v>2.0</v>
      </c>
      <c r="P80" s="192"/>
      <c r="Q80" s="46"/>
      <c r="R80" s="105"/>
      <c r="S80" s="59">
        <v>1.0</v>
      </c>
      <c r="T80" s="59">
        <v>2.0</v>
      </c>
      <c r="U80" s="59">
        <v>1.0</v>
      </c>
      <c r="V80" s="59">
        <v>1.0</v>
      </c>
      <c r="W80" s="192"/>
      <c r="X80" s="59">
        <v>1.0</v>
      </c>
      <c r="Y80" s="59">
        <v>2.0</v>
      </c>
      <c r="Z80" s="69"/>
      <c r="AA80" s="191"/>
      <c r="AB80" s="59">
        <v>1.0</v>
      </c>
      <c r="AC80" s="59">
        <v>5.0</v>
      </c>
      <c r="AD80" s="62">
        <f t="shared" si="9"/>
        <v>24</v>
      </c>
      <c r="AE80" s="80">
        <v>500.0</v>
      </c>
      <c r="AF80" s="68">
        <f t="shared" si="10"/>
        <v>12000</v>
      </c>
      <c r="AG80" s="17"/>
      <c r="AH80" s="155"/>
      <c r="AI80" s="155"/>
    </row>
    <row r="81">
      <c r="A81" s="226" t="s">
        <v>171</v>
      </c>
      <c r="B81" s="489">
        <v>45.0</v>
      </c>
      <c r="C81" s="490"/>
      <c r="D81" s="508"/>
      <c r="E81" s="46"/>
      <c r="F81" s="59">
        <v>1.0</v>
      </c>
      <c r="G81" s="493">
        <v>1.0</v>
      </c>
      <c r="H81" s="46"/>
      <c r="I81" s="492"/>
      <c r="J81" s="493">
        <v>2.0</v>
      </c>
      <c r="K81" s="493">
        <v>2.0</v>
      </c>
      <c r="L81" s="493">
        <v>3.0</v>
      </c>
      <c r="M81" s="59">
        <v>8.0</v>
      </c>
      <c r="N81" s="59">
        <v>6.0</v>
      </c>
      <c r="O81" s="59">
        <v>1.0</v>
      </c>
      <c r="P81" s="492"/>
      <c r="Q81" s="493">
        <v>1.0</v>
      </c>
      <c r="R81" s="105"/>
      <c r="S81" s="59">
        <v>1.0</v>
      </c>
      <c r="T81" s="59">
        <v>4.0</v>
      </c>
      <c r="U81" s="59">
        <v>6.0</v>
      </c>
      <c r="V81" s="59">
        <v>1.0</v>
      </c>
      <c r="W81" s="192"/>
      <c r="X81" s="59">
        <v>3.0</v>
      </c>
      <c r="Y81" s="59">
        <v>1.0</v>
      </c>
      <c r="Z81" s="69"/>
      <c r="AA81" s="191"/>
      <c r="AB81" s="59">
        <v>8.0</v>
      </c>
      <c r="AC81" s="59">
        <v>16.0</v>
      </c>
      <c r="AD81" s="62">
        <f t="shared" si="9"/>
        <v>110</v>
      </c>
      <c r="AE81" s="80">
        <v>500.0</v>
      </c>
      <c r="AF81" s="68">
        <f t="shared" si="10"/>
        <v>55000</v>
      </c>
      <c r="AG81" s="17"/>
      <c r="AH81" s="155"/>
      <c r="AI81" s="155"/>
    </row>
    <row r="82">
      <c r="A82" s="226" t="s">
        <v>86</v>
      </c>
      <c r="B82" s="489">
        <v>1.0</v>
      </c>
      <c r="C82" s="490"/>
      <c r="D82" s="508"/>
      <c r="E82" s="46"/>
      <c r="F82" s="54"/>
      <c r="G82" s="54"/>
      <c r="H82" s="54"/>
      <c r="I82" s="492"/>
      <c r="J82" s="49"/>
      <c r="K82" s="46"/>
      <c r="L82" s="493">
        <v>1.0</v>
      </c>
      <c r="M82" s="46"/>
      <c r="N82" s="54"/>
      <c r="O82" s="54"/>
      <c r="P82" s="192"/>
      <c r="Q82" s="493">
        <v>1.0</v>
      </c>
      <c r="R82" s="105"/>
      <c r="S82" s="46"/>
      <c r="T82" s="46"/>
      <c r="U82" s="46"/>
      <c r="V82" s="59">
        <v>1.0</v>
      </c>
      <c r="W82" s="192"/>
      <c r="X82" s="59"/>
      <c r="Y82" s="46"/>
      <c r="Z82" s="69"/>
      <c r="AA82" s="191"/>
      <c r="AB82" s="59">
        <v>2.0</v>
      </c>
      <c r="AC82" s="59">
        <v>4.0</v>
      </c>
      <c r="AD82" s="62">
        <f t="shared" si="9"/>
        <v>10</v>
      </c>
      <c r="AE82" s="80">
        <v>500.0</v>
      </c>
      <c r="AF82" s="68">
        <f t="shared" si="10"/>
        <v>5000</v>
      </c>
      <c r="AG82" s="17"/>
      <c r="AH82" s="155"/>
      <c r="AI82" s="155"/>
    </row>
    <row r="83">
      <c r="A83" s="223" t="s">
        <v>80</v>
      </c>
      <c r="B83" s="209"/>
      <c r="C83" s="490"/>
      <c r="D83" s="491"/>
      <c r="E83" s="54"/>
      <c r="F83" s="54"/>
      <c r="G83" s="54"/>
      <c r="H83" s="46"/>
      <c r="I83" s="51"/>
      <c r="J83" s="46"/>
      <c r="K83" s="54"/>
      <c r="L83" s="54"/>
      <c r="M83" s="46"/>
      <c r="N83" s="54"/>
      <c r="O83" s="54"/>
      <c r="P83" s="51"/>
      <c r="Q83" s="54"/>
      <c r="R83" s="208"/>
      <c r="S83" s="54"/>
      <c r="T83" s="54"/>
      <c r="U83" s="54"/>
      <c r="V83" s="54"/>
      <c r="W83" s="51"/>
      <c r="X83" s="54"/>
      <c r="Y83" s="54"/>
      <c r="Z83" s="211"/>
      <c r="AA83" s="48"/>
      <c r="AB83" s="54"/>
      <c r="AC83" s="54"/>
      <c r="AD83" s="62">
        <f t="shared" si="9"/>
        <v>0</v>
      </c>
      <c r="AE83" s="80">
        <v>1500.0</v>
      </c>
      <c r="AF83" s="68">
        <f t="shared" si="10"/>
        <v>0</v>
      </c>
      <c r="AG83" s="17"/>
      <c r="AH83" s="155"/>
      <c r="AI83" s="155"/>
    </row>
    <row r="84">
      <c r="A84" s="156" t="s">
        <v>164</v>
      </c>
      <c r="B84" s="213"/>
      <c r="C84" s="572"/>
      <c r="D84" s="549"/>
      <c r="E84" s="184"/>
      <c r="F84" s="184"/>
      <c r="G84" s="184"/>
      <c r="H84" s="184"/>
      <c r="I84" s="575"/>
      <c r="J84" s="247">
        <v>1.0</v>
      </c>
      <c r="K84" s="246"/>
      <c r="L84" s="181"/>
      <c r="M84" s="181"/>
      <c r="N84" s="247">
        <v>1.0</v>
      </c>
      <c r="O84" s="246"/>
      <c r="P84" s="229"/>
      <c r="Q84" s="577">
        <v>1.0</v>
      </c>
      <c r="R84" s="185"/>
      <c r="S84" s="181"/>
      <c r="T84" s="181"/>
      <c r="U84" s="181"/>
      <c r="V84" s="247">
        <v>1.0</v>
      </c>
      <c r="W84" s="229"/>
      <c r="X84" s="181"/>
      <c r="Y84" s="247"/>
      <c r="Z84" s="188"/>
      <c r="AA84" s="245"/>
      <c r="AB84" s="247">
        <v>2.0</v>
      </c>
      <c r="AC84" s="247">
        <v>4.0</v>
      </c>
      <c r="AD84" s="62">
        <f t="shared" si="9"/>
        <v>10</v>
      </c>
      <c r="AE84" s="167">
        <v>500.0</v>
      </c>
      <c r="AF84" s="168">
        <f t="shared" si="10"/>
        <v>5000</v>
      </c>
      <c r="AG84" s="17"/>
      <c r="AH84" s="155"/>
      <c r="AI84" s="155"/>
    </row>
    <row r="85">
      <c r="A85" s="33" t="s">
        <v>326</v>
      </c>
      <c r="B85" s="209"/>
      <c r="C85" s="496"/>
      <c r="D85" s="508"/>
      <c r="E85" s="54"/>
      <c r="F85" s="54"/>
      <c r="G85" s="54"/>
      <c r="H85" s="54"/>
      <c r="I85" s="492"/>
      <c r="J85" s="59"/>
      <c r="K85" s="49"/>
      <c r="L85" s="46"/>
      <c r="M85" s="46"/>
      <c r="N85" s="54"/>
      <c r="O85" s="49"/>
      <c r="P85" s="192"/>
      <c r="Q85" s="49"/>
      <c r="R85" s="60"/>
      <c r="S85" s="46"/>
      <c r="T85" s="46"/>
      <c r="U85" s="59">
        <v>4.0</v>
      </c>
      <c r="V85" s="59"/>
      <c r="W85" s="192"/>
      <c r="X85" s="46"/>
      <c r="Y85" s="59">
        <v>1.0</v>
      </c>
      <c r="Z85" s="69"/>
      <c r="AA85" s="191"/>
      <c r="AB85" s="59">
        <v>3.0</v>
      </c>
      <c r="AC85" s="59">
        <v>9.0</v>
      </c>
      <c r="AD85" s="62">
        <f t="shared" si="9"/>
        <v>17</v>
      </c>
      <c r="AE85" s="80">
        <v>350.0</v>
      </c>
      <c r="AF85" s="168">
        <f t="shared" si="10"/>
        <v>5950</v>
      </c>
      <c r="AG85" s="17"/>
      <c r="AH85" s="155"/>
      <c r="AI85" s="155"/>
    </row>
    <row r="86">
      <c r="A86" s="156" t="s">
        <v>328</v>
      </c>
      <c r="B86" s="213"/>
      <c r="C86" s="572"/>
      <c r="D86" s="549"/>
      <c r="E86" s="184"/>
      <c r="F86" s="184"/>
      <c r="G86" s="184"/>
      <c r="H86" s="184"/>
      <c r="I86" s="575"/>
      <c r="J86" s="247"/>
      <c r="K86" s="246"/>
      <c r="L86" s="181"/>
      <c r="M86" s="181"/>
      <c r="N86" s="184"/>
      <c r="O86" s="246"/>
      <c r="P86" s="229"/>
      <c r="Q86" s="246"/>
      <c r="R86" s="185"/>
      <c r="S86" s="181"/>
      <c r="T86" s="181"/>
      <c r="U86" s="247">
        <v>1.0</v>
      </c>
      <c r="V86" s="247"/>
      <c r="W86" s="229"/>
      <c r="X86" s="181"/>
      <c r="Y86" s="247">
        <v>1.0</v>
      </c>
      <c r="Z86" s="188"/>
      <c r="AA86" s="245"/>
      <c r="AB86" s="181"/>
      <c r="AC86" s="247">
        <v>1.0</v>
      </c>
      <c r="AD86" s="62">
        <f t="shared" si="9"/>
        <v>3</v>
      </c>
      <c r="AE86" s="167">
        <v>450.0</v>
      </c>
      <c r="AF86" s="168">
        <f t="shared" si="10"/>
        <v>1350</v>
      </c>
      <c r="AG86" s="17"/>
      <c r="AH86" s="155"/>
      <c r="AI86" s="155"/>
    </row>
    <row r="87">
      <c r="A87" s="169" t="s">
        <v>45</v>
      </c>
      <c r="B87" s="128"/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  <c r="AB87" s="128"/>
      <c r="AC87" s="128"/>
      <c r="AD87" s="128"/>
      <c r="AE87" s="129"/>
      <c r="AF87" s="238">
        <f>SUM(AF70:AF86)</f>
        <v>265800</v>
      </c>
      <c r="AG87" s="17"/>
      <c r="AH87" s="239" t="s">
        <v>330</v>
      </c>
      <c r="AI87" s="239"/>
    </row>
    <row r="88">
      <c r="A88" s="24" t="s">
        <v>166</v>
      </c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8"/>
      <c r="AG88" s="17"/>
      <c r="AH88" s="178"/>
      <c r="AI88" s="178"/>
    </row>
    <row r="89">
      <c r="A89" s="156" t="s">
        <v>167</v>
      </c>
      <c r="B89" s="213"/>
      <c r="C89" s="542"/>
      <c r="D89" s="549"/>
      <c r="E89" s="184"/>
      <c r="F89" s="184"/>
      <c r="G89" s="184"/>
      <c r="H89" s="184"/>
      <c r="I89" s="575"/>
      <c r="J89" s="184"/>
      <c r="K89" s="184"/>
      <c r="L89" s="184"/>
      <c r="M89" s="184"/>
      <c r="N89" s="184"/>
      <c r="O89" s="184"/>
      <c r="P89" s="183"/>
      <c r="Q89" s="184"/>
      <c r="R89" s="212"/>
      <c r="S89" s="181"/>
      <c r="T89" s="181"/>
      <c r="U89" s="181"/>
      <c r="V89" s="181"/>
      <c r="W89" s="229"/>
      <c r="X89" s="181"/>
      <c r="Y89" s="181"/>
      <c r="Z89" s="188"/>
      <c r="AA89" s="245"/>
      <c r="AB89" s="181"/>
      <c r="AC89" s="181"/>
      <c r="AD89" s="166">
        <f>SUM(B89:AC89)</f>
        <v>0</v>
      </c>
      <c r="AE89" s="167">
        <v>350.0</v>
      </c>
      <c r="AF89" s="168">
        <f>AD89*AE89</f>
        <v>0</v>
      </c>
      <c r="AG89" s="17"/>
      <c r="AH89" s="155"/>
      <c r="AI89" s="155"/>
    </row>
    <row r="90">
      <c r="A90" s="240" t="s">
        <v>45</v>
      </c>
      <c r="B90" s="128"/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  <c r="AA90" s="128"/>
      <c r="AB90" s="128"/>
      <c r="AC90" s="128"/>
      <c r="AD90" s="128"/>
      <c r="AE90" s="129"/>
      <c r="AF90" s="238">
        <f>SUM(AF89)</f>
        <v>0</v>
      </c>
      <c r="AG90" s="17"/>
      <c r="AH90" s="239"/>
      <c r="AI90" s="239"/>
    </row>
    <row r="91">
      <c r="A91" s="24" t="s">
        <v>169</v>
      </c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8"/>
      <c r="AG91" s="17"/>
      <c r="AH91" s="178"/>
      <c r="AI91" s="178"/>
    </row>
    <row r="92">
      <c r="A92" s="197" t="s">
        <v>170</v>
      </c>
      <c r="B92" s="209"/>
      <c r="C92" s="545"/>
      <c r="D92" s="491"/>
      <c r="E92" s="54"/>
      <c r="F92" s="54"/>
      <c r="G92" s="54"/>
      <c r="H92" s="54"/>
      <c r="I92" s="192"/>
      <c r="J92" s="54"/>
      <c r="K92" s="54"/>
      <c r="L92" s="54"/>
      <c r="M92" s="54"/>
      <c r="N92" s="54"/>
      <c r="O92" s="54"/>
      <c r="P92" s="192"/>
      <c r="Q92" s="54"/>
      <c r="R92" s="208"/>
      <c r="S92" s="54"/>
      <c r="T92" s="54"/>
      <c r="U92" s="54"/>
      <c r="V92" s="54"/>
      <c r="W92" s="51"/>
      <c r="X92" s="54"/>
      <c r="Y92" s="59">
        <v>1.0</v>
      </c>
      <c r="Z92" s="211"/>
      <c r="AA92" s="48"/>
      <c r="AB92" s="59">
        <v>1.0</v>
      </c>
      <c r="AC92" s="59">
        <v>5.0</v>
      </c>
      <c r="AD92" s="62">
        <f t="shared" ref="AD92:AD97" si="11">SUM(B92:AC92)</f>
        <v>7</v>
      </c>
      <c r="AE92" s="242">
        <v>280.0</v>
      </c>
      <c r="AF92" s="68">
        <f t="shared" ref="AF92:AF97" si="12">AD92*AE92</f>
        <v>1960</v>
      </c>
      <c r="AG92" s="17"/>
      <c r="AH92" s="155"/>
      <c r="AI92" s="155"/>
    </row>
    <row r="93">
      <c r="A93" s="197" t="s">
        <v>173</v>
      </c>
      <c r="B93" s="209"/>
      <c r="C93" s="545"/>
      <c r="D93" s="491"/>
      <c r="E93" s="54"/>
      <c r="F93" s="54"/>
      <c r="G93" s="54"/>
      <c r="H93" s="54"/>
      <c r="I93" s="51"/>
      <c r="J93" s="54"/>
      <c r="K93" s="54"/>
      <c r="L93" s="54"/>
      <c r="M93" s="54"/>
      <c r="N93" s="54"/>
      <c r="O93" s="54"/>
      <c r="P93" s="192"/>
      <c r="Q93" s="54"/>
      <c r="R93" s="208"/>
      <c r="S93" s="54"/>
      <c r="T93" s="54"/>
      <c r="U93" s="54"/>
      <c r="V93" s="54"/>
      <c r="W93" s="51"/>
      <c r="X93" s="54"/>
      <c r="Y93" s="54"/>
      <c r="Z93" s="211"/>
      <c r="AA93" s="48"/>
      <c r="AB93" s="54"/>
      <c r="AC93" s="54"/>
      <c r="AD93" s="62">
        <f t="shared" si="11"/>
        <v>0</v>
      </c>
      <c r="AE93" s="242">
        <v>260.0</v>
      </c>
      <c r="AF93" s="68">
        <f t="shared" si="12"/>
        <v>0</v>
      </c>
      <c r="AG93" s="17"/>
      <c r="AH93" s="155"/>
      <c r="AI93" s="155"/>
    </row>
    <row r="94">
      <c r="A94" s="243" t="s">
        <v>174</v>
      </c>
      <c r="B94" s="209"/>
      <c r="C94" s="490"/>
      <c r="D94" s="491"/>
      <c r="E94" s="54"/>
      <c r="F94" s="54"/>
      <c r="G94" s="54"/>
      <c r="H94" s="54"/>
      <c r="I94" s="51"/>
      <c r="J94" s="54"/>
      <c r="K94" s="54"/>
      <c r="L94" s="54"/>
      <c r="M94" s="54"/>
      <c r="N94" s="54"/>
      <c r="O94" s="54"/>
      <c r="P94" s="192"/>
      <c r="Q94" s="59">
        <v>2.0</v>
      </c>
      <c r="R94" s="208"/>
      <c r="S94" s="46"/>
      <c r="T94" s="46"/>
      <c r="U94" s="46"/>
      <c r="V94" s="46"/>
      <c r="W94" s="192"/>
      <c r="X94" s="46"/>
      <c r="Y94" s="46"/>
      <c r="Z94" s="69"/>
      <c r="AA94" s="191"/>
      <c r="AB94" s="46"/>
      <c r="AC94" s="46"/>
      <c r="AD94" s="62">
        <f t="shared" si="11"/>
        <v>2</v>
      </c>
      <c r="AE94" s="242">
        <v>380.0</v>
      </c>
      <c r="AF94" s="68">
        <f t="shared" si="12"/>
        <v>760</v>
      </c>
      <c r="AG94" s="17"/>
      <c r="AH94" s="155"/>
      <c r="AI94" s="155"/>
    </row>
    <row r="95">
      <c r="A95" s="243" t="s">
        <v>176</v>
      </c>
      <c r="B95" s="495"/>
      <c r="C95" s="545"/>
      <c r="D95" s="491"/>
      <c r="E95" s="54"/>
      <c r="F95" s="54"/>
      <c r="G95" s="49"/>
      <c r="H95" s="54"/>
      <c r="I95" s="51"/>
      <c r="J95" s="54"/>
      <c r="K95" s="54"/>
      <c r="L95" s="54"/>
      <c r="M95" s="54"/>
      <c r="N95" s="54"/>
      <c r="O95" s="54"/>
      <c r="P95" s="492"/>
      <c r="Q95" s="54"/>
      <c r="R95" s="208"/>
      <c r="S95" s="46"/>
      <c r="T95" s="46"/>
      <c r="U95" s="46"/>
      <c r="V95" s="59"/>
      <c r="W95" s="192"/>
      <c r="X95" s="46"/>
      <c r="Y95" s="46"/>
      <c r="Z95" s="69"/>
      <c r="AA95" s="191"/>
      <c r="AB95" s="46"/>
      <c r="AC95" s="46"/>
      <c r="AD95" s="62">
        <f t="shared" si="11"/>
        <v>0</v>
      </c>
      <c r="AE95" s="242">
        <v>420.0</v>
      </c>
      <c r="AF95" s="68">
        <f t="shared" si="12"/>
        <v>0</v>
      </c>
      <c r="AG95" s="17"/>
      <c r="AH95" s="155"/>
      <c r="AI95" s="155"/>
    </row>
    <row r="96">
      <c r="A96" s="197" t="s">
        <v>177</v>
      </c>
      <c r="B96" s="88"/>
      <c r="C96" s="545"/>
      <c r="D96" s="508"/>
      <c r="E96" s="54"/>
      <c r="F96" s="54"/>
      <c r="G96" s="493">
        <v>1.0</v>
      </c>
      <c r="H96" s="54"/>
      <c r="I96" s="51"/>
      <c r="J96" s="54"/>
      <c r="K96" s="54"/>
      <c r="L96" s="54"/>
      <c r="M96" s="54"/>
      <c r="N96" s="49"/>
      <c r="O96" s="59">
        <v>1.0</v>
      </c>
      <c r="P96" s="492"/>
      <c r="Q96" s="54"/>
      <c r="R96" s="208"/>
      <c r="S96" s="46"/>
      <c r="T96" s="46"/>
      <c r="U96" s="46"/>
      <c r="V96" s="46"/>
      <c r="W96" s="192"/>
      <c r="X96" s="46"/>
      <c r="Y96" s="46"/>
      <c r="Z96" s="69"/>
      <c r="AA96" s="191"/>
      <c r="AB96" s="46"/>
      <c r="AC96" s="59">
        <v>1.0</v>
      </c>
      <c r="AD96" s="62">
        <f t="shared" si="11"/>
        <v>3</v>
      </c>
      <c r="AE96" s="242">
        <v>750.0</v>
      </c>
      <c r="AF96" s="68">
        <f t="shared" si="12"/>
        <v>2250</v>
      </c>
      <c r="AG96" s="17"/>
      <c r="AH96" s="155"/>
      <c r="AI96" s="155"/>
    </row>
    <row r="97">
      <c r="A97" s="243" t="s">
        <v>179</v>
      </c>
      <c r="B97" s="230">
        <v>16.0</v>
      </c>
      <c r="C97" s="546"/>
      <c r="D97" s="543"/>
      <c r="E97" s="184"/>
      <c r="F97" s="247">
        <v>6.0</v>
      </c>
      <c r="G97" s="247">
        <v>6.0</v>
      </c>
      <c r="H97" s="184"/>
      <c r="I97" s="183"/>
      <c r="J97" s="181"/>
      <c r="K97" s="246"/>
      <c r="L97" s="184"/>
      <c r="M97" s="181"/>
      <c r="N97" s="184"/>
      <c r="O97" s="184"/>
      <c r="P97" s="229"/>
      <c r="Q97" s="184"/>
      <c r="R97" s="185"/>
      <c r="S97" s="184"/>
      <c r="T97" s="184"/>
      <c r="U97" s="184"/>
      <c r="V97" s="184"/>
      <c r="W97" s="183"/>
      <c r="X97" s="184"/>
      <c r="Y97" s="247"/>
      <c r="Z97" s="215"/>
      <c r="AA97" s="182"/>
      <c r="AB97" s="247">
        <v>2.0</v>
      </c>
      <c r="AC97" s="247">
        <v>1.0</v>
      </c>
      <c r="AD97" s="62">
        <f t="shared" si="11"/>
        <v>31</v>
      </c>
      <c r="AE97" s="249">
        <v>550.0</v>
      </c>
      <c r="AF97" s="168">
        <f t="shared" si="12"/>
        <v>17050</v>
      </c>
      <c r="AG97" s="17"/>
      <c r="AH97" s="155"/>
      <c r="AI97" s="155"/>
    </row>
    <row r="98">
      <c r="A98" s="169" t="s">
        <v>45</v>
      </c>
      <c r="B98" s="128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  <c r="AB98" s="128"/>
      <c r="AC98" s="128"/>
      <c r="AD98" s="128"/>
      <c r="AE98" s="129"/>
      <c r="AF98" s="174">
        <f>SUM(AF92:AF97)</f>
        <v>22020</v>
      </c>
      <c r="AG98" s="17"/>
      <c r="AH98" s="239" t="s">
        <v>336</v>
      </c>
      <c r="AI98" s="176"/>
    </row>
    <row r="99">
      <c r="A99" s="24" t="s">
        <v>181</v>
      </c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8"/>
      <c r="AG99" s="17"/>
      <c r="AH99" s="178"/>
      <c r="AI99" s="178"/>
    </row>
    <row r="100">
      <c r="A100" s="197" t="s">
        <v>191</v>
      </c>
      <c r="B100" s="489">
        <v>89.0</v>
      </c>
      <c r="C100" s="496"/>
      <c r="D100" s="508"/>
      <c r="E100" s="49"/>
      <c r="F100" s="59">
        <v>1.0</v>
      </c>
      <c r="G100" s="493">
        <v>12.0</v>
      </c>
      <c r="H100" s="493">
        <v>8.0</v>
      </c>
      <c r="I100" s="492"/>
      <c r="J100" s="493">
        <v>3.0</v>
      </c>
      <c r="K100" s="493">
        <v>4.0</v>
      </c>
      <c r="L100" s="493">
        <v>9.0</v>
      </c>
      <c r="M100" s="59">
        <v>2.0</v>
      </c>
      <c r="N100" s="493">
        <v>3.0</v>
      </c>
      <c r="O100" s="493">
        <v>4.0</v>
      </c>
      <c r="P100" s="192"/>
      <c r="Q100" s="49"/>
      <c r="R100" s="105"/>
      <c r="S100" s="46"/>
      <c r="T100" s="46"/>
      <c r="U100" s="59">
        <v>2.0</v>
      </c>
      <c r="V100" s="59">
        <v>1.0</v>
      </c>
      <c r="W100" s="192"/>
      <c r="X100" s="59"/>
      <c r="Y100" s="59">
        <v>1.0</v>
      </c>
      <c r="Z100" s="69"/>
      <c r="AA100" s="191"/>
      <c r="AB100" s="59">
        <v>16.0</v>
      </c>
      <c r="AC100" s="59">
        <v>6.0</v>
      </c>
      <c r="AD100" s="62">
        <f t="shared" ref="AD100:AD104" si="13">SUM(B100:AC100)</f>
        <v>161</v>
      </c>
      <c r="AE100" s="80">
        <v>50.0</v>
      </c>
      <c r="AF100" s="68">
        <f t="shared" ref="AF100:AF104" si="14">AD100*AE100</f>
        <v>8050</v>
      </c>
      <c r="AG100" s="17"/>
      <c r="AH100" s="155"/>
      <c r="AI100" s="155"/>
    </row>
    <row r="101">
      <c r="A101" s="197" t="s">
        <v>183</v>
      </c>
      <c r="B101" s="63">
        <v>8.0</v>
      </c>
      <c r="C101" s="545"/>
      <c r="D101" s="508"/>
      <c r="E101" s="54"/>
      <c r="F101" s="54"/>
      <c r="G101" s="59">
        <v>2.0</v>
      </c>
      <c r="H101" s="59">
        <v>1.0</v>
      </c>
      <c r="I101" s="51"/>
      <c r="J101" s="54"/>
      <c r="K101" s="49"/>
      <c r="L101" s="493">
        <v>1.0</v>
      </c>
      <c r="M101" s="46"/>
      <c r="N101" s="49"/>
      <c r="O101" s="54"/>
      <c r="P101" s="192"/>
      <c r="Q101" s="49"/>
      <c r="R101" s="105"/>
      <c r="S101" s="46"/>
      <c r="T101" s="59">
        <v>1.0</v>
      </c>
      <c r="U101" s="59">
        <v>1.0</v>
      </c>
      <c r="V101" s="46"/>
      <c r="W101" s="192"/>
      <c r="X101" s="46"/>
      <c r="Y101" s="59"/>
      <c r="Z101" s="69"/>
      <c r="AA101" s="191"/>
      <c r="AB101" s="59">
        <v>7.0</v>
      </c>
      <c r="AC101" s="46"/>
      <c r="AD101" s="62">
        <f t="shared" si="13"/>
        <v>21</v>
      </c>
      <c r="AE101" s="80">
        <v>60.0</v>
      </c>
      <c r="AF101" s="68">
        <f t="shared" si="14"/>
        <v>1260</v>
      </c>
      <c r="AG101" s="17"/>
      <c r="AH101" s="155"/>
      <c r="AI101" s="155"/>
    </row>
    <row r="102">
      <c r="A102" s="197" t="s">
        <v>185</v>
      </c>
      <c r="B102" s="63">
        <v>7.0</v>
      </c>
      <c r="C102" s="496"/>
      <c r="D102" s="491"/>
      <c r="E102" s="54"/>
      <c r="F102" s="59">
        <v>3.0</v>
      </c>
      <c r="G102" s="493">
        <v>13.0</v>
      </c>
      <c r="H102" s="46"/>
      <c r="I102" s="492"/>
      <c r="J102" s="54"/>
      <c r="K102" s="49"/>
      <c r="L102" s="493">
        <v>2.0</v>
      </c>
      <c r="M102" s="54"/>
      <c r="N102" s="59">
        <v>1.0</v>
      </c>
      <c r="O102" s="54"/>
      <c r="P102" s="492"/>
      <c r="Q102" s="46"/>
      <c r="R102" s="105"/>
      <c r="S102" s="54"/>
      <c r="T102" s="59">
        <v>2.0</v>
      </c>
      <c r="U102" s="59">
        <v>2.0</v>
      </c>
      <c r="V102" s="59"/>
      <c r="W102" s="51"/>
      <c r="X102" s="59">
        <v>1.0</v>
      </c>
      <c r="Y102" s="59"/>
      <c r="Z102" s="211"/>
      <c r="AA102" s="48"/>
      <c r="AB102" s="59">
        <v>10.0</v>
      </c>
      <c r="AC102" s="59">
        <v>2.0</v>
      </c>
      <c r="AD102" s="62">
        <f t="shared" si="13"/>
        <v>43</v>
      </c>
      <c r="AE102" s="80">
        <v>150.0</v>
      </c>
      <c r="AF102" s="68">
        <f t="shared" si="14"/>
        <v>6450</v>
      </c>
      <c r="AG102" s="17"/>
      <c r="AH102" s="155"/>
      <c r="AI102" s="155"/>
    </row>
    <row r="103">
      <c r="A103" s="197" t="s">
        <v>186</v>
      </c>
      <c r="B103" s="88"/>
      <c r="C103" s="490"/>
      <c r="D103" s="508"/>
      <c r="E103" s="54"/>
      <c r="F103" s="54"/>
      <c r="G103" s="54"/>
      <c r="H103" s="54"/>
      <c r="I103" s="51"/>
      <c r="J103" s="54"/>
      <c r="K103" s="46"/>
      <c r="L103" s="46"/>
      <c r="M103" s="46"/>
      <c r="N103" s="54"/>
      <c r="O103" s="54"/>
      <c r="P103" s="192"/>
      <c r="Q103" s="49"/>
      <c r="R103" s="105"/>
      <c r="S103" s="46"/>
      <c r="T103" s="46"/>
      <c r="U103" s="59">
        <v>1.0</v>
      </c>
      <c r="V103" s="46"/>
      <c r="W103" s="192"/>
      <c r="X103" s="46"/>
      <c r="Y103" s="46"/>
      <c r="Z103" s="69"/>
      <c r="AA103" s="191"/>
      <c r="AB103" s="46"/>
      <c r="AC103" s="46"/>
      <c r="AD103" s="62">
        <f t="shared" si="13"/>
        <v>1</v>
      </c>
      <c r="AE103" s="80">
        <v>130.0</v>
      </c>
      <c r="AF103" s="68">
        <f t="shared" si="14"/>
        <v>130</v>
      </c>
      <c r="AG103" s="17"/>
      <c r="AH103" s="155"/>
      <c r="AI103" s="155"/>
    </row>
    <row r="104">
      <c r="A104" s="243" t="s">
        <v>187</v>
      </c>
      <c r="B104" s="589"/>
      <c r="C104" s="572"/>
      <c r="D104" s="549"/>
      <c r="E104" s="246"/>
      <c r="F104" s="184"/>
      <c r="G104" s="577">
        <v>1.0</v>
      </c>
      <c r="H104" s="577">
        <v>1.0</v>
      </c>
      <c r="I104" s="229"/>
      <c r="J104" s="577">
        <v>2.0</v>
      </c>
      <c r="K104" s="246"/>
      <c r="L104" s="181"/>
      <c r="M104" s="181"/>
      <c r="N104" s="181"/>
      <c r="O104" s="184"/>
      <c r="P104" s="229"/>
      <c r="Q104" s="246"/>
      <c r="R104" s="231"/>
      <c r="S104" s="181"/>
      <c r="T104" s="181"/>
      <c r="U104" s="181"/>
      <c r="V104" s="247"/>
      <c r="W104" s="229"/>
      <c r="X104" s="247"/>
      <c r="Y104" s="181"/>
      <c r="Z104" s="188"/>
      <c r="AA104" s="245"/>
      <c r="AB104" s="181"/>
      <c r="AC104" s="181"/>
      <c r="AD104" s="62">
        <f t="shared" si="13"/>
        <v>4</v>
      </c>
      <c r="AE104" s="167">
        <v>1650.0</v>
      </c>
      <c r="AF104" s="168">
        <f t="shared" si="14"/>
        <v>6600</v>
      </c>
      <c r="AG104" s="17"/>
      <c r="AH104" s="155"/>
      <c r="AI104" s="155"/>
    </row>
    <row r="105">
      <c r="A105" s="251" t="s">
        <v>45</v>
      </c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  <c r="AB105" s="128"/>
      <c r="AC105" s="128"/>
      <c r="AD105" s="128"/>
      <c r="AE105" s="129"/>
      <c r="AF105" s="238">
        <f>SUM(AF100:AF104)</f>
        <v>22490</v>
      </c>
      <c r="AG105" s="17"/>
      <c r="AH105" s="195"/>
      <c r="AI105" s="195"/>
    </row>
    <row r="106">
      <c r="A106" s="24" t="s">
        <v>188</v>
      </c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8"/>
      <c r="AG106" s="17"/>
      <c r="AH106" s="178"/>
      <c r="AI106" s="178"/>
    </row>
    <row r="107">
      <c r="A107" s="252" t="s">
        <v>189</v>
      </c>
      <c r="B107" s="209"/>
      <c r="C107" s="545"/>
      <c r="D107" s="491"/>
      <c r="E107" s="54"/>
      <c r="F107" s="54"/>
      <c r="G107" s="49"/>
      <c r="H107" s="54"/>
      <c r="I107" s="51"/>
      <c r="J107" s="54"/>
      <c r="K107" s="49"/>
      <c r="L107" s="54"/>
      <c r="M107" s="54"/>
      <c r="N107" s="54"/>
      <c r="O107" s="54"/>
      <c r="P107" s="51"/>
      <c r="Q107" s="54"/>
      <c r="R107" s="208"/>
      <c r="S107" s="54"/>
      <c r="T107" s="54"/>
      <c r="U107" s="54"/>
      <c r="V107" s="59"/>
      <c r="W107" s="51"/>
      <c r="X107" s="59"/>
      <c r="Y107" s="54"/>
      <c r="Z107" s="211"/>
      <c r="AA107" s="48"/>
      <c r="AB107" s="54"/>
      <c r="AC107" s="54"/>
      <c r="AD107" s="62">
        <f t="shared" ref="AD107:AD109" si="15">SUM(B107:AC107)</f>
        <v>0</v>
      </c>
      <c r="AE107" s="80">
        <v>1036.0</v>
      </c>
      <c r="AF107" s="68">
        <f t="shared" ref="AF107:AF109" si="16">AD107*AE107</f>
        <v>0</v>
      </c>
      <c r="AG107" s="17"/>
      <c r="AH107" s="155"/>
      <c r="AI107" s="155"/>
    </row>
    <row r="108">
      <c r="A108" s="33" t="s">
        <v>25</v>
      </c>
      <c r="B108" s="209"/>
      <c r="C108" s="545"/>
      <c r="D108" s="508"/>
      <c r="E108" s="54"/>
      <c r="F108" s="54"/>
      <c r="G108" s="54"/>
      <c r="H108" s="54"/>
      <c r="I108" s="51"/>
      <c r="J108" s="54"/>
      <c r="K108" s="54"/>
      <c r="L108" s="54"/>
      <c r="M108" s="54"/>
      <c r="N108" s="54"/>
      <c r="O108" s="54"/>
      <c r="P108" s="51"/>
      <c r="Q108" s="54"/>
      <c r="R108" s="208"/>
      <c r="S108" s="54"/>
      <c r="T108" s="54"/>
      <c r="U108" s="54"/>
      <c r="V108" s="59"/>
      <c r="W108" s="51"/>
      <c r="X108" s="54"/>
      <c r="Y108" s="54"/>
      <c r="Z108" s="211"/>
      <c r="AA108" s="48"/>
      <c r="AB108" s="54"/>
      <c r="AC108" s="54"/>
      <c r="AD108" s="62">
        <f t="shared" si="15"/>
        <v>0</v>
      </c>
      <c r="AE108" s="80">
        <v>840.0</v>
      </c>
      <c r="AF108" s="68">
        <f t="shared" si="16"/>
        <v>0</v>
      </c>
      <c r="AG108" s="17"/>
      <c r="AH108" s="155"/>
      <c r="AI108" s="155"/>
    </row>
    <row r="109">
      <c r="A109" s="253" t="s">
        <v>17</v>
      </c>
      <c r="B109" s="553">
        <v>4.0</v>
      </c>
      <c r="C109" s="572"/>
      <c r="D109" s="549"/>
      <c r="E109" s="246"/>
      <c r="F109" s="247">
        <v>1.0</v>
      </c>
      <c r="G109" s="247">
        <v>1.0</v>
      </c>
      <c r="H109" s="577">
        <v>1.0</v>
      </c>
      <c r="I109" s="575"/>
      <c r="J109" s="247">
        <v>2.0</v>
      </c>
      <c r="K109" s="577">
        <v>1.0</v>
      </c>
      <c r="L109" s="181"/>
      <c r="M109" s="247">
        <v>1.0</v>
      </c>
      <c r="N109" s="184"/>
      <c r="O109" s="247">
        <v>1.0</v>
      </c>
      <c r="P109" s="575"/>
      <c r="Q109" s="247">
        <v>4.0</v>
      </c>
      <c r="R109" s="185"/>
      <c r="S109" s="247">
        <v>1.0</v>
      </c>
      <c r="T109" s="247">
        <v>2.0</v>
      </c>
      <c r="U109" s="181"/>
      <c r="V109" s="247"/>
      <c r="W109" s="229"/>
      <c r="X109" s="181"/>
      <c r="Y109" s="181"/>
      <c r="Z109" s="188"/>
      <c r="AA109" s="245"/>
      <c r="AB109" s="247">
        <v>2.0</v>
      </c>
      <c r="AC109" s="181"/>
      <c r="AD109" s="62">
        <f t="shared" si="15"/>
        <v>21</v>
      </c>
      <c r="AE109" s="167">
        <v>1125.0</v>
      </c>
      <c r="AF109" s="168">
        <f t="shared" si="16"/>
        <v>23625</v>
      </c>
      <c r="AG109" s="17"/>
      <c r="AH109" s="155"/>
      <c r="AI109" s="155"/>
    </row>
    <row r="110">
      <c r="A110" s="254" t="s">
        <v>45</v>
      </c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28"/>
      <c r="AE110" s="129"/>
      <c r="AF110" s="174">
        <f>SUM(AF107:AF109)</f>
        <v>23625</v>
      </c>
      <c r="AG110" s="17"/>
      <c r="AH110" s="195" t="s">
        <v>340</v>
      </c>
      <c r="AI110" s="255"/>
    </row>
    <row r="111">
      <c r="A111" s="256" t="s">
        <v>192</v>
      </c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8"/>
      <c r="AG111" s="17"/>
      <c r="AH111" s="257"/>
      <c r="AI111" s="257"/>
    </row>
    <row r="112">
      <c r="A112" s="258" t="s">
        <v>193</v>
      </c>
      <c r="B112" s="63">
        <v>18.0</v>
      </c>
      <c r="C112" s="490"/>
      <c r="D112" s="508"/>
      <c r="E112" s="46"/>
      <c r="F112" s="59">
        <v>1.0</v>
      </c>
      <c r="G112" s="49"/>
      <c r="H112" s="59">
        <v>1.0</v>
      </c>
      <c r="I112" s="51"/>
      <c r="J112" s="46"/>
      <c r="K112" s="46"/>
      <c r="L112" s="46"/>
      <c r="M112" s="54"/>
      <c r="N112" s="49"/>
      <c r="O112" s="54"/>
      <c r="P112" s="492"/>
      <c r="Q112" s="49"/>
      <c r="R112" s="60"/>
      <c r="S112" s="46"/>
      <c r="T112" s="46"/>
      <c r="U112" s="59">
        <v>2.0</v>
      </c>
      <c r="V112" s="59"/>
      <c r="W112" s="192"/>
      <c r="X112" s="46"/>
      <c r="Y112" s="59">
        <v>1.0</v>
      </c>
      <c r="Z112" s="69"/>
      <c r="AA112" s="191"/>
      <c r="AB112" s="46"/>
      <c r="AC112" s="59">
        <v>2.0</v>
      </c>
      <c r="AD112" s="62">
        <f t="shared" ref="AD112:AD122" si="17">SUM(B112:AC112)</f>
        <v>25</v>
      </c>
      <c r="AE112" s="80">
        <v>130.0</v>
      </c>
      <c r="AF112" s="68">
        <f t="shared" ref="AF112:AF122" si="18">AD112*AE112</f>
        <v>3250</v>
      </c>
      <c r="AG112" s="17"/>
      <c r="AH112" s="155"/>
      <c r="AI112" s="155"/>
    </row>
    <row r="113">
      <c r="A113" s="258" t="s">
        <v>196</v>
      </c>
      <c r="B113" s="209"/>
      <c r="C113" s="490"/>
      <c r="D113" s="491"/>
      <c r="E113" s="54"/>
      <c r="F113" s="54"/>
      <c r="G113" s="59">
        <v>12.0</v>
      </c>
      <c r="H113" s="49"/>
      <c r="I113" s="492"/>
      <c r="J113" s="46"/>
      <c r="K113" s="49"/>
      <c r="L113" s="49"/>
      <c r="M113" s="54"/>
      <c r="N113" s="54"/>
      <c r="O113" s="49"/>
      <c r="P113" s="51"/>
      <c r="Q113" s="59">
        <v>1.0</v>
      </c>
      <c r="R113" s="208"/>
      <c r="S113" s="46"/>
      <c r="T113" s="59">
        <v>2.0</v>
      </c>
      <c r="U113" s="46"/>
      <c r="V113" s="46"/>
      <c r="W113" s="192"/>
      <c r="X113" s="46"/>
      <c r="Y113" s="46"/>
      <c r="Z113" s="69"/>
      <c r="AA113" s="191"/>
      <c r="AB113" s="59">
        <v>2.0</v>
      </c>
      <c r="AC113" s="46"/>
      <c r="AD113" s="62">
        <f t="shared" si="17"/>
        <v>17</v>
      </c>
      <c r="AE113" s="80">
        <v>130.0</v>
      </c>
      <c r="AF113" s="68">
        <f t="shared" si="18"/>
        <v>2210</v>
      </c>
      <c r="AG113" s="17"/>
      <c r="AH113" s="155"/>
      <c r="AI113" s="155"/>
    </row>
    <row r="114">
      <c r="A114" s="258" t="s">
        <v>198</v>
      </c>
      <c r="B114" s="489">
        <v>58.0</v>
      </c>
      <c r="C114" s="496"/>
      <c r="D114" s="508"/>
      <c r="E114" s="46"/>
      <c r="F114" s="54"/>
      <c r="G114" s="493">
        <v>2.0</v>
      </c>
      <c r="H114" s="46"/>
      <c r="I114" s="492"/>
      <c r="J114" s="54"/>
      <c r="K114" s="49"/>
      <c r="L114" s="49"/>
      <c r="M114" s="59">
        <v>2.0</v>
      </c>
      <c r="N114" s="59">
        <v>2.0</v>
      </c>
      <c r="O114" s="54"/>
      <c r="P114" s="192"/>
      <c r="Q114" s="493">
        <v>2.0</v>
      </c>
      <c r="R114" s="105"/>
      <c r="S114" s="46"/>
      <c r="T114" s="59">
        <v>1.0</v>
      </c>
      <c r="U114" s="59">
        <v>2.0</v>
      </c>
      <c r="V114" s="59">
        <v>1.0</v>
      </c>
      <c r="W114" s="192"/>
      <c r="X114" s="59"/>
      <c r="Y114" s="59"/>
      <c r="Z114" s="69"/>
      <c r="AA114" s="191"/>
      <c r="AB114" s="59">
        <v>2.0</v>
      </c>
      <c r="AC114" s="59">
        <v>5.0</v>
      </c>
      <c r="AD114" s="62">
        <f t="shared" si="17"/>
        <v>77</v>
      </c>
      <c r="AE114" s="80">
        <v>90.0</v>
      </c>
      <c r="AF114" s="68">
        <f t="shared" si="18"/>
        <v>6930</v>
      </c>
      <c r="AG114" s="17"/>
      <c r="AH114" s="155"/>
      <c r="AI114" s="155"/>
    </row>
    <row r="115">
      <c r="A115" s="147" t="s">
        <v>199</v>
      </c>
      <c r="B115" s="209"/>
      <c r="C115" s="545"/>
      <c r="D115" s="491"/>
      <c r="E115" s="54"/>
      <c r="F115" s="54"/>
      <c r="G115" s="54"/>
      <c r="H115" s="54"/>
      <c r="I115" s="51"/>
      <c r="J115" s="54"/>
      <c r="K115" s="54"/>
      <c r="L115" s="54"/>
      <c r="M115" s="54"/>
      <c r="N115" s="54"/>
      <c r="O115" s="54"/>
      <c r="P115" s="51"/>
      <c r="Q115" s="54"/>
      <c r="R115" s="208"/>
      <c r="S115" s="54"/>
      <c r="T115" s="54"/>
      <c r="U115" s="54"/>
      <c r="V115" s="54"/>
      <c r="W115" s="51"/>
      <c r="X115" s="54"/>
      <c r="Y115" s="54"/>
      <c r="Z115" s="211"/>
      <c r="AA115" s="48"/>
      <c r="AB115" s="54"/>
      <c r="AC115" s="54"/>
      <c r="AD115" s="62">
        <f t="shared" si="17"/>
        <v>0</v>
      </c>
      <c r="AE115" s="80">
        <v>90.0</v>
      </c>
      <c r="AF115" s="68">
        <f t="shared" si="18"/>
        <v>0</v>
      </c>
      <c r="AG115" s="17"/>
      <c r="AH115" s="155"/>
      <c r="AI115" s="155"/>
    </row>
    <row r="116">
      <c r="A116" s="258" t="s">
        <v>201</v>
      </c>
      <c r="B116" s="63">
        <v>82.0</v>
      </c>
      <c r="C116" s="490"/>
      <c r="D116" s="508"/>
      <c r="E116" s="54"/>
      <c r="F116" s="59">
        <v>2.0</v>
      </c>
      <c r="G116" s="493">
        <v>1.0</v>
      </c>
      <c r="H116" s="59">
        <v>3.0</v>
      </c>
      <c r="I116" s="492"/>
      <c r="J116" s="493">
        <v>2.0</v>
      </c>
      <c r="K116" s="493">
        <v>1.0</v>
      </c>
      <c r="L116" s="493">
        <v>1.0</v>
      </c>
      <c r="M116" s="59">
        <v>9.0</v>
      </c>
      <c r="N116" s="49"/>
      <c r="O116" s="493">
        <v>2.0</v>
      </c>
      <c r="P116" s="192"/>
      <c r="Q116" s="493">
        <v>3.0</v>
      </c>
      <c r="R116" s="105"/>
      <c r="S116" s="46"/>
      <c r="T116" s="59">
        <v>6.0</v>
      </c>
      <c r="U116" s="46"/>
      <c r="V116" s="59"/>
      <c r="W116" s="192"/>
      <c r="X116" s="46"/>
      <c r="Y116" s="59">
        <v>1.0</v>
      </c>
      <c r="Z116" s="69"/>
      <c r="AA116" s="191"/>
      <c r="AB116" s="46"/>
      <c r="AC116" s="59">
        <v>13.0</v>
      </c>
      <c r="AD116" s="62">
        <f t="shared" si="17"/>
        <v>126</v>
      </c>
      <c r="AE116" s="80">
        <v>200.0</v>
      </c>
      <c r="AF116" s="68">
        <f t="shared" si="18"/>
        <v>25200</v>
      </c>
      <c r="AG116" s="17"/>
      <c r="AH116" s="155"/>
      <c r="AI116" s="155"/>
    </row>
    <row r="117">
      <c r="A117" s="258" t="s">
        <v>203</v>
      </c>
      <c r="B117" s="209"/>
      <c r="C117" s="545"/>
      <c r="D117" s="491"/>
      <c r="E117" s="54"/>
      <c r="F117" s="54"/>
      <c r="G117" s="54"/>
      <c r="H117" s="54"/>
      <c r="I117" s="51"/>
      <c r="J117" s="54"/>
      <c r="K117" s="54"/>
      <c r="L117" s="54"/>
      <c r="M117" s="54"/>
      <c r="N117" s="54"/>
      <c r="O117" s="54"/>
      <c r="P117" s="51"/>
      <c r="Q117" s="54"/>
      <c r="R117" s="208"/>
      <c r="S117" s="46"/>
      <c r="T117" s="46"/>
      <c r="U117" s="46"/>
      <c r="V117" s="46"/>
      <c r="W117" s="192"/>
      <c r="X117" s="46"/>
      <c r="Y117" s="46"/>
      <c r="Z117" s="69"/>
      <c r="AA117" s="191"/>
      <c r="AB117" s="46"/>
      <c r="AC117" s="46"/>
      <c r="AD117" s="62">
        <f t="shared" si="17"/>
        <v>0</v>
      </c>
      <c r="AE117" s="80">
        <v>200.0</v>
      </c>
      <c r="AF117" s="68">
        <f t="shared" si="18"/>
        <v>0</v>
      </c>
      <c r="AG117" s="17"/>
      <c r="AH117" s="155"/>
      <c r="AI117" s="155"/>
    </row>
    <row r="118">
      <c r="A118" s="258" t="s">
        <v>204</v>
      </c>
      <c r="B118" s="209"/>
      <c r="C118" s="545"/>
      <c r="D118" s="491"/>
      <c r="E118" s="54"/>
      <c r="F118" s="54"/>
      <c r="G118" s="54"/>
      <c r="H118" s="54"/>
      <c r="I118" s="51"/>
      <c r="J118" s="54"/>
      <c r="K118" s="54"/>
      <c r="L118" s="54"/>
      <c r="M118" s="54"/>
      <c r="N118" s="54"/>
      <c r="O118" s="54"/>
      <c r="P118" s="51"/>
      <c r="Q118" s="54"/>
      <c r="R118" s="208"/>
      <c r="S118" s="54"/>
      <c r="T118" s="54"/>
      <c r="U118" s="54"/>
      <c r="V118" s="54"/>
      <c r="W118" s="51"/>
      <c r="X118" s="54"/>
      <c r="Y118" s="54"/>
      <c r="Z118" s="211"/>
      <c r="AA118" s="48"/>
      <c r="AB118" s="54"/>
      <c r="AC118" s="54"/>
      <c r="AD118" s="62">
        <f t="shared" si="17"/>
        <v>0</v>
      </c>
      <c r="AE118" s="80">
        <v>600.0</v>
      </c>
      <c r="AF118" s="68">
        <f t="shared" si="18"/>
        <v>0</v>
      </c>
      <c r="AG118" s="17"/>
      <c r="AH118" s="155"/>
      <c r="AI118" s="155"/>
    </row>
    <row r="119">
      <c r="A119" s="258" t="s">
        <v>205</v>
      </c>
      <c r="B119" s="495"/>
      <c r="C119" s="496"/>
      <c r="D119" s="508"/>
      <c r="E119" s="54"/>
      <c r="F119" s="59">
        <v>2.0</v>
      </c>
      <c r="G119" s="49"/>
      <c r="H119" s="46"/>
      <c r="I119" s="51"/>
      <c r="J119" s="59">
        <v>1.0</v>
      </c>
      <c r="K119" s="49"/>
      <c r="L119" s="493">
        <v>5.0</v>
      </c>
      <c r="M119" s="59">
        <v>1.0</v>
      </c>
      <c r="N119" s="493">
        <v>1.0</v>
      </c>
      <c r="O119" s="54"/>
      <c r="P119" s="492"/>
      <c r="Q119" s="46"/>
      <c r="R119" s="105"/>
      <c r="S119" s="46"/>
      <c r="T119" s="59">
        <v>1.0</v>
      </c>
      <c r="U119" s="59">
        <v>2.0</v>
      </c>
      <c r="V119" s="46"/>
      <c r="W119" s="192"/>
      <c r="X119" s="46"/>
      <c r="Y119" s="46"/>
      <c r="Z119" s="69"/>
      <c r="AA119" s="191"/>
      <c r="AB119" s="59">
        <v>1.0</v>
      </c>
      <c r="AC119" s="59">
        <v>1.0</v>
      </c>
      <c r="AD119" s="62">
        <f t="shared" si="17"/>
        <v>15</v>
      </c>
      <c r="AE119" s="80">
        <v>600.0</v>
      </c>
      <c r="AF119" s="68">
        <f t="shared" si="18"/>
        <v>9000</v>
      </c>
      <c r="AG119" s="17"/>
      <c r="AH119" s="155"/>
      <c r="AI119" s="155"/>
    </row>
    <row r="120">
      <c r="A120" s="267" t="s">
        <v>225</v>
      </c>
      <c r="B120" s="63">
        <v>19.0</v>
      </c>
      <c r="C120" s="490"/>
      <c r="D120" s="508"/>
      <c r="E120" s="54"/>
      <c r="F120" s="59">
        <v>2.0</v>
      </c>
      <c r="G120" s="59">
        <v>4.0</v>
      </c>
      <c r="H120" s="59">
        <v>1.0</v>
      </c>
      <c r="I120" s="51"/>
      <c r="J120" s="59">
        <v>1.0</v>
      </c>
      <c r="K120" s="59">
        <v>2.0</v>
      </c>
      <c r="L120" s="59">
        <v>1.0</v>
      </c>
      <c r="M120" s="59">
        <v>3.0</v>
      </c>
      <c r="N120" s="493">
        <v>2.0</v>
      </c>
      <c r="O120" s="493">
        <v>2.0</v>
      </c>
      <c r="P120" s="492"/>
      <c r="Q120" s="493">
        <v>2.0</v>
      </c>
      <c r="R120" s="105"/>
      <c r="S120" s="59">
        <v>3.0</v>
      </c>
      <c r="T120" s="59">
        <v>2.0</v>
      </c>
      <c r="U120" s="59">
        <v>2.0</v>
      </c>
      <c r="V120" s="59">
        <v>3.0</v>
      </c>
      <c r="W120" s="192"/>
      <c r="X120" s="59"/>
      <c r="Y120" s="59"/>
      <c r="Z120" s="69"/>
      <c r="AA120" s="191"/>
      <c r="AB120" s="46"/>
      <c r="AC120" s="59">
        <v>7.0</v>
      </c>
      <c r="AD120" s="62">
        <f t="shared" si="17"/>
        <v>56</v>
      </c>
      <c r="AE120" s="80">
        <v>500.0</v>
      </c>
      <c r="AF120" s="68">
        <f t="shared" si="18"/>
        <v>28000</v>
      </c>
      <c r="AG120" s="17"/>
      <c r="AH120" s="155"/>
      <c r="AI120" s="155"/>
    </row>
    <row r="121">
      <c r="A121" s="267" t="s">
        <v>206</v>
      </c>
      <c r="B121" s="63">
        <v>2.0</v>
      </c>
      <c r="C121" s="545"/>
      <c r="D121" s="491"/>
      <c r="E121" s="54"/>
      <c r="F121" s="54"/>
      <c r="G121" s="54"/>
      <c r="H121" s="59">
        <v>1.0</v>
      </c>
      <c r="I121" s="51"/>
      <c r="J121" s="54"/>
      <c r="K121" s="54"/>
      <c r="L121" s="54"/>
      <c r="M121" s="54"/>
      <c r="N121" s="54"/>
      <c r="O121" s="54"/>
      <c r="P121" s="51"/>
      <c r="Q121" s="54"/>
      <c r="R121" s="208"/>
      <c r="S121" s="54"/>
      <c r="T121" s="54"/>
      <c r="U121" s="54"/>
      <c r="V121" s="54"/>
      <c r="W121" s="51"/>
      <c r="X121" s="54"/>
      <c r="Y121" s="54"/>
      <c r="Z121" s="211"/>
      <c r="AA121" s="48"/>
      <c r="AB121" s="54"/>
      <c r="AC121" s="54"/>
      <c r="AD121" s="62">
        <f t="shared" si="17"/>
        <v>3</v>
      </c>
      <c r="AE121" s="80">
        <v>1300.0</v>
      </c>
      <c r="AF121" s="68">
        <f t="shared" si="18"/>
        <v>3900</v>
      </c>
      <c r="AG121" s="17"/>
      <c r="AH121" s="155"/>
      <c r="AI121" s="155"/>
    </row>
    <row r="122">
      <c r="A122" s="267" t="s">
        <v>229</v>
      </c>
      <c r="B122" s="495"/>
      <c r="C122" s="545"/>
      <c r="D122" s="491"/>
      <c r="E122" s="54"/>
      <c r="F122" s="54"/>
      <c r="G122" s="54"/>
      <c r="H122" s="46"/>
      <c r="I122" s="51"/>
      <c r="J122" s="59">
        <v>1.0</v>
      </c>
      <c r="K122" s="54"/>
      <c r="L122" s="49"/>
      <c r="M122" s="54"/>
      <c r="N122" s="54"/>
      <c r="O122" s="54"/>
      <c r="P122" s="51"/>
      <c r="Q122" s="54"/>
      <c r="R122" s="208"/>
      <c r="S122" s="54"/>
      <c r="T122" s="54"/>
      <c r="U122" s="59">
        <v>1.0</v>
      </c>
      <c r="V122" s="59">
        <v>1.0</v>
      </c>
      <c r="W122" s="51"/>
      <c r="X122" s="54"/>
      <c r="Y122" s="54"/>
      <c r="Z122" s="211"/>
      <c r="AA122" s="48"/>
      <c r="AB122" s="54"/>
      <c r="AC122" s="59">
        <v>2.0</v>
      </c>
      <c r="AD122" s="62">
        <f t="shared" si="17"/>
        <v>5</v>
      </c>
      <c r="AE122" s="80">
        <v>650.0</v>
      </c>
      <c r="AF122" s="68">
        <f t="shared" si="18"/>
        <v>3250</v>
      </c>
      <c r="AG122" s="17"/>
      <c r="AH122" s="155"/>
      <c r="AI122" s="155"/>
    </row>
    <row r="123">
      <c r="A123" s="305" t="s">
        <v>45</v>
      </c>
      <c r="B123" s="219"/>
      <c r="C123" s="219"/>
      <c r="D123" s="219"/>
      <c r="E123" s="219"/>
      <c r="F123" s="219"/>
      <c r="G123" s="219"/>
      <c r="H123" s="219"/>
      <c r="I123" s="219"/>
      <c r="J123" s="219"/>
      <c r="K123" s="219"/>
      <c r="L123" s="219"/>
      <c r="M123" s="219"/>
      <c r="N123" s="219"/>
      <c r="O123" s="219"/>
      <c r="P123" s="219"/>
      <c r="Q123" s="219"/>
      <c r="R123" s="219"/>
      <c r="S123" s="219"/>
      <c r="T123" s="219"/>
      <c r="U123" s="219"/>
      <c r="V123" s="219"/>
      <c r="W123" s="219"/>
      <c r="X123" s="219"/>
      <c r="Y123" s="219"/>
      <c r="Z123" s="219"/>
      <c r="AA123" s="219"/>
      <c r="AB123" s="219"/>
      <c r="AC123" s="219"/>
      <c r="AD123" s="219"/>
      <c r="AE123" s="220"/>
      <c r="AF123" s="638">
        <f>SUM(AF112:AF122)</f>
        <v>81740</v>
      </c>
      <c r="AG123" s="17"/>
      <c r="AH123" s="261" t="s">
        <v>356</v>
      </c>
      <c r="AI123" s="261"/>
    </row>
    <row r="124">
      <c r="A124" s="262" t="s">
        <v>208</v>
      </c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8"/>
      <c r="AG124" s="17"/>
      <c r="AH124" s="257"/>
      <c r="AI124" s="257"/>
    </row>
    <row r="125">
      <c r="A125" s="142" t="s">
        <v>210</v>
      </c>
      <c r="B125" s="209"/>
      <c r="C125" s="545"/>
      <c r="D125" s="491"/>
      <c r="E125" s="54"/>
      <c r="F125" s="54"/>
      <c r="G125" s="54"/>
      <c r="H125" s="59">
        <v>1.0</v>
      </c>
      <c r="I125" s="492"/>
      <c r="J125" s="54"/>
      <c r="K125" s="54"/>
      <c r="L125" s="49"/>
      <c r="M125" s="59">
        <v>3.0</v>
      </c>
      <c r="N125" s="54"/>
      <c r="O125" s="54"/>
      <c r="P125" s="51"/>
      <c r="Q125" s="54"/>
      <c r="R125" s="208"/>
      <c r="S125" s="54"/>
      <c r="T125" s="54"/>
      <c r="U125" s="54"/>
      <c r="V125" s="54"/>
      <c r="W125" s="51"/>
      <c r="X125" s="54"/>
      <c r="Y125" s="59"/>
      <c r="Z125" s="211"/>
      <c r="AA125" s="48"/>
      <c r="AB125" s="54"/>
      <c r="AC125" s="59">
        <v>3.0</v>
      </c>
      <c r="AD125" s="62">
        <f t="shared" ref="AD125:AD130" si="19">SUM(B125:AC125)</f>
        <v>7</v>
      </c>
      <c r="AE125" s="80">
        <v>700.0</v>
      </c>
      <c r="AF125" s="68">
        <f t="shared" ref="AF125:AF130" si="20">AD125*AE125</f>
        <v>4900</v>
      </c>
      <c r="AG125" s="17"/>
      <c r="AH125" s="155"/>
      <c r="AI125" s="155"/>
    </row>
    <row r="126">
      <c r="A126" s="142" t="s">
        <v>213</v>
      </c>
      <c r="B126" s="209"/>
      <c r="C126" s="496"/>
      <c r="D126" s="491"/>
      <c r="E126" s="54"/>
      <c r="F126" s="54"/>
      <c r="G126" s="54"/>
      <c r="H126" s="54"/>
      <c r="I126" s="51"/>
      <c r="J126" s="59">
        <v>1.0</v>
      </c>
      <c r="K126" s="54"/>
      <c r="L126" s="54"/>
      <c r="M126" s="59">
        <v>3.0</v>
      </c>
      <c r="N126" s="54"/>
      <c r="O126" s="54"/>
      <c r="P126" s="192"/>
      <c r="Q126" s="54"/>
      <c r="R126" s="208"/>
      <c r="S126" s="54"/>
      <c r="T126" s="54"/>
      <c r="U126" s="54"/>
      <c r="V126" s="54"/>
      <c r="W126" s="51"/>
      <c r="X126" s="54"/>
      <c r="Y126" s="54"/>
      <c r="Z126" s="211"/>
      <c r="AA126" s="48"/>
      <c r="AB126" s="54"/>
      <c r="AC126" s="54"/>
      <c r="AD126" s="62">
        <f t="shared" si="19"/>
        <v>4</v>
      </c>
      <c r="AE126" s="80">
        <v>1450.0</v>
      </c>
      <c r="AF126" s="68">
        <f t="shared" si="20"/>
        <v>5800</v>
      </c>
      <c r="AG126" s="17"/>
      <c r="AH126" s="155"/>
      <c r="AI126" s="155"/>
    </row>
    <row r="127">
      <c r="A127" s="142" t="s">
        <v>215</v>
      </c>
      <c r="B127" s="209"/>
      <c r="C127" s="545"/>
      <c r="D127" s="491"/>
      <c r="E127" s="54"/>
      <c r="F127" s="54"/>
      <c r="G127" s="49"/>
      <c r="H127" s="54"/>
      <c r="I127" s="51"/>
      <c r="J127" s="54"/>
      <c r="K127" s="54"/>
      <c r="L127" s="46"/>
      <c r="M127" s="54"/>
      <c r="N127" s="46"/>
      <c r="O127" s="54"/>
      <c r="P127" s="51"/>
      <c r="Q127" s="54"/>
      <c r="R127" s="60"/>
      <c r="S127" s="46"/>
      <c r="T127" s="46"/>
      <c r="U127" s="46"/>
      <c r="V127" s="46"/>
      <c r="W127" s="192"/>
      <c r="X127" s="46"/>
      <c r="Y127" s="46"/>
      <c r="Z127" s="69"/>
      <c r="AA127" s="191"/>
      <c r="AB127" s="59">
        <v>1.0</v>
      </c>
      <c r="AC127" s="46"/>
      <c r="AD127" s="62">
        <f t="shared" si="19"/>
        <v>1</v>
      </c>
      <c r="AE127" s="80">
        <v>800.0</v>
      </c>
      <c r="AF127" s="68">
        <f t="shared" si="20"/>
        <v>800</v>
      </c>
      <c r="AG127" s="17"/>
      <c r="AH127" s="155"/>
      <c r="AI127" s="155"/>
    </row>
    <row r="128">
      <c r="A128" s="142" t="s">
        <v>217</v>
      </c>
      <c r="B128" s="88"/>
      <c r="C128" s="545"/>
      <c r="D128" s="508"/>
      <c r="E128" s="46"/>
      <c r="F128" s="54"/>
      <c r="G128" s="54"/>
      <c r="H128" s="46"/>
      <c r="I128" s="51"/>
      <c r="J128" s="54"/>
      <c r="K128" s="54"/>
      <c r="L128" s="54"/>
      <c r="M128" s="54"/>
      <c r="N128" s="54"/>
      <c r="O128" s="54"/>
      <c r="P128" s="192"/>
      <c r="Q128" s="54"/>
      <c r="R128" s="208"/>
      <c r="S128" s="46"/>
      <c r="T128" s="46"/>
      <c r="U128" s="46"/>
      <c r="V128" s="46"/>
      <c r="W128" s="192"/>
      <c r="X128" s="46"/>
      <c r="Y128" s="46"/>
      <c r="Z128" s="69"/>
      <c r="AA128" s="191"/>
      <c r="AB128" s="46"/>
      <c r="AC128" s="59">
        <v>3.0</v>
      </c>
      <c r="AD128" s="62">
        <f t="shared" si="19"/>
        <v>3</v>
      </c>
      <c r="AE128" s="80">
        <v>800.0</v>
      </c>
      <c r="AF128" s="68">
        <f t="shared" si="20"/>
        <v>2400</v>
      </c>
      <c r="AG128" s="17"/>
      <c r="AH128" s="155"/>
      <c r="AI128" s="155"/>
    </row>
    <row r="129">
      <c r="A129" s="142" t="s">
        <v>220</v>
      </c>
      <c r="B129" s="489">
        <v>55.0</v>
      </c>
      <c r="C129" s="496"/>
      <c r="D129" s="508"/>
      <c r="E129" s="49"/>
      <c r="F129" s="59">
        <v>1.0</v>
      </c>
      <c r="G129" s="493">
        <v>4.0</v>
      </c>
      <c r="H129" s="493">
        <v>1.0</v>
      </c>
      <c r="I129" s="492"/>
      <c r="J129" s="46"/>
      <c r="K129" s="493">
        <v>7.0</v>
      </c>
      <c r="L129" s="493">
        <v>1.0</v>
      </c>
      <c r="M129" s="59">
        <v>1.0</v>
      </c>
      <c r="N129" s="59">
        <v>17.0</v>
      </c>
      <c r="O129" s="49"/>
      <c r="P129" s="492"/>
      <c r="Q129" s="59">
        <v>4.0</v>
      </c>
      <c r="R129" s="105"/>
      <c r="S129" s="46"/>
      <c r="T129" s="59">
        <v>3.0</v>
      </c>
      <c r="U129" s="59">
        <v>1.0</v>
      </c>
      <c r="V129" s="59">
        <v>2.0</v>
      </c>
      <c r="W129" s="192"/>
      <c r="X129" s="59"/>
      <c r="Y129" s="59"/>
      <c r="Z129" s="69"/>
      <c r="AA129" s="191"/>
      <c r="AB129" s="59">
        <v>2.0</v>
      </c>
      <c r="AC129" s="59">
        <v>9.0</v>
      </c>
      <c r="AD129" s="62">
        <f t="shared" si="19"/>
        <v>108</v>
      </c>
      <c r="AE129" s="80">
        <v>260.0</v>
      </c>
      <c r="AF129" s="68">
        <f t="shared" si="20"/>
        <v>28080</v>
      </c>
      <c r="AG129" s="17"/>
      <c r="AH129" s="155"/>
      <c r="AI129" s="155"/>
    </row>
    <row r="130">
      <c r="A130" s="263" t="s">
        <v>221</v>
      </c>
      <c r="B130" s="230">
        <v>55.0</v>
      </c>
      <c r="C130" s="542"/>
      <c r="D130" s="549"/>
      <c r="E130" s="181"/>
      <c r="F130" s="184"/>
      <c r="G130" s="184"/>
      <c r="H130" s="181"/>
      <c r="I130" s="575"/>
      <c r="J130" s="184"/>
      <c r="K130" s="246"/>
      <c r="L130" s="247">
        <v>3.0</v>
      </c>
      <c r="M130" s="184"/>
      <c r="N130" s="247">
        <v>2.0</v>
      </c>
      <c r="O130" s="184"/>
      <c r="P130" s="575"/>
      <c r="Q130" s="184"/>
      <c r="R130" s="212"/>
      <c r="S130" s="247">
        <v>1.0</v>
      </c>
      <c r="T130" s="181"/>
      <c r="U130" s="181"/>
      <c r="V130" s="181"/>
      <c r="W130" s="229"/>
      <c r="X130" s="181"/>
      <c r="Y130" s="181"/>
      <c r="Z130" s="188"/>
      <c r="AA130" s="245"/>
      <c r="AB130" s="181"/>
      <c r="AC130" s="247">
        <v>1.0</v>
      </c>
      <c r="AD130" s="62">
        <f t="shared" si="19"/>
        <v>62</v>
      </c>
      <c r="AE130" s="167">
        <v>180.0</v>
      </c>
      <c r="AF130" s="168">
        <f t="shared" si="20"/>
        <v>11160</v>
      </c>
      <c r="AG130" s="17"/>
      <c r="AH130" s="155"/>
      <c r="AI130" s="155"/>
    </row>
    <row r="131">
      <c r="A131" s="254" t="s">
        <v>45</v>
      </c>
      <c r="B131" s="128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9"/>
      <c r="AF131" s="260">
        <f>SUM(AF125:AF130)</f>
        <v>53140</v>
      </c>
      <c r="AG131" s="17"/>
      <c r="AH131" s="261" t="s">
        <v>361</v>
      </c>
      <c r="AI131" s="261"/>
    </row>
    <row r="132">
      <c r="A132" s="262" t="s">
        <v>223</v>
      </c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8"/>
      <c r="AG132" s="17"/>
      <c r="AH132" s="257"/>
      <c r="AI132" s="257"/>
    </row>
    <row r="133">
      <c r="A133" s="266" t="s">
        <v>224</v>
      </c>
      <c r="B133" s="489">
        <v>10.0</v>
      </c>
      <c r="C133" s="496"/>
      <c r="D133" s="508"/>
      <c r="E133" s="46"/>
      <c r="F133" s="54"/>
      <c r="G133" s="226">
        <v>3.0</v>
      </c>
      <c r="H133" s="493">
        <v>1.0</v>
      </c>
      <c r="I133" s="492"/>
      <c r="J133" s="493">
        <v>1.0</v>
      </c>
      <c r="K133" s="493">
        <v>2.0</v>
      </c>
      <c r="L133" s="59">
        <v>2.0</v>
      </c>
      <c r="M133" s="59">
        <v>1.0</v>
      </c>
      <c r="N133" s="493">
        <v>2.0</v>
      </c>
      <c r="O133" s="59">
        <v>2.0</v>
      </c>
      <c r="P133" s="492"/>
      <c r="Q133" s="49"/>
      <c r="R133" s="60"/>
      <c r="S133" s="46"/>
      <c r="T133" s="46"/>
      <c r="U133" s="59">
        <v>1.0</v>
      </c>
      <c r="V133" s="59">
        <v>1.0</v>
      </c>
      <c r="W133" s="192"/>
      <c r="X133" s="59">
        <v>1.0</v>
      </c>
      <c r="Y133" s="59"/>
      <c r="Z133" s="69"/>
      <c r="AA133" s="191"/>
      <c r="AB133" s="59">
        <v>1.0</v>
      </c>
      <c r="AC133" s="59">
        <v>2.0</v>
      </c>
      <c r="AD133" s="62">
        <f t="shared" ref="AD133:AD136" si="21">SUM(B133:AC133)</f>
        <v>30</v>
      </c>
      <c r="AE133" s="80">
        <v>325.0</v>
      </c>
      <c r="AF133" s="68">
        <f t="shared" ref="AF133:AF136" si="22">AD133*AE133</f>
        <v>9750</v>
      </c>
      <c r="AG133" s="17"/>
      <c r="AH133" s="155"/>
      <c r="AI133" s="155"/>
    </row>
    <row r="134">
      <c r="A134" s="268" t="s">
        <v>226</v>
      </c>
      <c r="B134" s="489">
        <v>9.0</v>
      </c>
      <c r="C134" s="496"/>
      <c r="D134" s="508"/>
      <c r="E134" s="46"/>
      <c r="F134" s="59">
        <v>1.0</v>
      </c>
      <c r="G134" s="493">
        <v>2.0</v>
      </c>
      <c r="H134" s="49"/>
      <c r="I134" s="492"/>
      <c r="J134" s="493">
        <v>1.0</v>
      </c>
      <c r="K134" s="49"/>
      <c r="L134" s="493">
        <v>1.0</v>
      </c>
      <c r="M134" s="46"/>
      <c r="N134" s="49"/>
      <c r="O134" s="54"/>
      <c r="P134" s="492"/>
      <c r="Q134" s="493">
        <v>1.0</v>
      </c>
      <c r="R134" s="105"/>
      <c r="S134" s="46"/>
      <c r="T134" s="46"/>
      <c r="U134" s="59">
        <v>1.0</v>
      </c>
      <c r="V134" s="59">
        <v>1.0</v>
      </c>
      <c r="W134" s="192"/>
      <c r="X134" s="59"/>
      <c r="Y134" s="59">
        <v>1.0</v>
      </c>
      <c r="Z134" s="69"/>
      <c r="AA134" s="191"/>
      <c r="AB134" s="59">
        <v>2.0</v>
      </c>
      <c r="AC134" s="59">
        <v>6.0</v>
      </c>
      <c r="AD134" s="62">
        <f t="shared" si="21"/>
        <v>26</v>
      </c>
      <c r="AE134" s="80">
        <v>485.0</v>
      </c>
      <c r="AF134" s="68">
        <f t="shared" si="22"/>
        <v>12610</v>
      </c>
      <c r="AG134" s="17"/>
      <c r="AH134" s="155"/>
      <c r="AI134" s="155"/>
    </row>
    <row r="135">
      <c r="A135" s="268" t="s">
        <v>362</v>
      </c>
      <c r="B135" s="489">
        <v>18.0</v>
      </c>
      <c r="C135" s="496"/>
      <c r="D135" s="508"/>
      <c r="E135" s="46"/>
      <c r="F135" s="59">
        <v>5.0</v>
      </c>
      <c r="G135" s="493">
        <v>2.0</v>
      </c>
      <c r="H135" s="493">
        <v>1.0</v>
      </c>
      <c r="I135" s="492"/>
      <c r="J135" s="49"/>
      <c r="K135" s="493">
        <v>1.0</v>
      </c>
      <c r="L135" s="49"/>
      <c r="M135" s="59">
        <v>3.0</v>
      </c>
      <c r="N135" s="493">
        <v>2.0</v>
      </c>
      <c r="O135" s="59">
        <v>2.0</v>
      </c>
      <c r="P135" s="492"/>
      <c r="Q135" s="493">
        <v>3.0</v>
      </c>
      <c r="R135" s="105"/>
      <c r="S135" s="59">
        <v>3.0</v>
      </c>
      <c r="T135" s="59">
        <v>3.0</v>
      </c>
      <c r="U135" s="59">
        <v>3.0</v>
      </c>
      <c r="V135" s="59">
        <v>1.0</v>
      </c>
      <c r="W135" s="192"/>
      <c r="X135" s="59"/>
      <c r="Y135" s="59">
        <v>2.0</v>
      </c>
      <c r="Z135" s="69"/>
      <c r="AA135" s="191"/>
      <c r="AB135" s="46"/>
      <c r="AC135" s="59">
        <v>4.0</v>
      </c>
      <c r="AD135" s="62">
        <f t="shared" si="21"/>
        <v>53</v>
      </c>
      <c r="AE135" s="80">
        <v>445.0</v>
      </c>
      <c r="AF135" s="68">
        <f t="shared" si="22"/>
        <v>23585</v>
      </c>
      <c r="AG135" s="17"/>
      <c r="AH135" s="155"/>
      <c r="AI135" s="155"/>
    </row>
    <row r="136">
      <c r="A136" s="268" t="s">
        <v>363</v>
      </c>
      <c r="B136" s="489">
        <v>41.0</v>
      </c>
      <c r="C136" s="496"/>
      <c r="D136" s="508"/>
      <c r="E136" s="46"/>
      <c r="F136" s="54"/>
      <c r="G136" s="493">
        <v>2.0</v>
      </c>
      <c r="H136" s="493">
        <v>4.0</v>
      </c>
      <c r="I136" s="492"/>
      <c r="J136" s="49"/>
      <c r="K136" s="493">
        <v>5.0</v>
      </c>
      <c r="L136" s="493">
        <v>1.0</v>
      </c>
      <c r="M136" s="59">
        <v>3.0</v>
      </c>
      <c r="N136" s="493">
        <v>3.0</v>
      </c>
      <c r="O136" s="54"/>
      <c r="P136" s="492"/>
      <c r="Q136" s="493">
        <v>1.0</v>
      </c>
      <c r="R136" s="105"/>
      <c r="S136" s="59">
        <v>3.0</v>
      </c>
      <c r="T136" s="59">
        <v>1.0</v>
      </c>
      <c r="U136" s="59">
        <v>4.0</v>
      </c>
      <c r="V136" s="59">
        <v>5.0</v>
      </c>
      <c r="W136" s="192"/>
      <c r="X136" s="59"/>
      <c r="Y136" s="59"/>
      <c r="Z136" s="69"/>
      <c r="AA136" s="191"/>
      <c r="AB136" s="46"/>
      <c r="AC136" s="59">
        <v>5.0</v>
      </c>
      <c r="AD136" s="62">
        <f t="shared" si="21"/>
        <v>78</v>
      </c>
      <c r="AE136" s="80">
        <v>485.0</v>
      </c>
      <c r="AF136" s="68">
        <f t="shared" si="22"/>
        <v>37830</v>
      </c>
      <c r="AG136" s="17"/>
      <c r="AH136" s="155"/>
      <c r="AI136" s="155"/>
    </row>
    <row r="137">
      <c r="A137" s="305" t="s">
        <v>45</v>
      </c>
      <c r="B137" s="219"/>
      <c r="C137" s="219"/>
      <c r="D137" s="219"/>
      <c r="E137" s="219"/>
      <c r="F137" s="219"/>
      <c r="G137" s="219"/>
      <c r="H137" s="219"/>
      <c r="I137" s="219"/>
      <c r="J137" s="219"/>
      <c r="K137" s="219"/>
      <c r="L137" s="219"/>
      <c r="M137" s="219"/>
      <c r="N137" s="219"/>
      <c r="O137" s="219"/>
      <c r="P137" s="219"/>
      <c r="Q137" s="219"/>
      <c r="R137" s="219"/>
      <c r="S137" s="219"/>
      <c r="T137" s="219"/>
      <c r="U137" s="219"/>
      <c r="V137" s="219"/>
      <c r="W137" s="219"/>
      <c r="X137" s="219"/>
      <c r="Y137" s="219"/>
      <c r="Z137" s="219"/>
      <c r="AA137" s="219"/>
      <c r="AB137" s="219"/>
      <c r="AC137" s="219"/>
      <c r="AD137" s="219"/>
      <c r="AE137" s="220"/>
      <c r="AF137" s="638">
        <f>SUM(AF133:AF134)</f>
        <v>22360</v>
      </c>
      <c r="AG137" s="17"/>
      <c r="AH137" s="261"/>
      <c r="AI137" s="261"/>
    </row>
    <row r="138">
      <c r="A138" s="262" t="s">
        <v>230</v>
      </c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8"/>
      <c r="AG138" s="17"/>
      <c r="AH138" s="257"/>
      <c r="AI138" s="257"/>
    </row>
    <row r="139">
      <c r="A139" s="268" t="s">
        <v>231</v>
      </c>
      <c r="B139" s="489">
        <v>7.0</v>
      </c>
      <c r="C139" s="545"/>
      <c r="D139" s="491"/>
      <c r="E139" s="54"/>
      <c r="F139" s="59">
        <v>1.0</v>
      </c>
      <c r="G139" s="54"/>
      <c r="H139" s="49"/>
      <c r="I139" s="492"/>
      <c r="J139" s="493">
        <v>1.0</v>
      </c>
      <c r="K139" s="493">
        <v>3.0</v>
      </c>
      <c r="L139" s="59">
        <v>3.0</v>
      </c>
      <c r="M139" s="46"/>
      <c r="N139" s="46"/>
      <c r="O139" s="54"/>
      <c r="P139" s="492"/>
      <c r="Q139" s="493">
        <v>1.0</v>
      </c>
      <c r="R139" s="60"/>
      <c r="S139" s="46"/>
      <c r="T139" s="59">
        <v>4.0</v>
      </c>
      <c r="U139" s="59">
        <v>2.0</v>
      </c>
      <c r="V139" s="59">
        <v>1.0</v>
      </c>
      <c r="W139" s="192"/>
      <c r="X139" s="59"/>
      <c r="Y139" s="59"/>
      <c r="Z139" s="69"/>
      <c r="AA139" s="191"/>
      <c r="AB139" s="59">
        <v>2.0</v>
      </c>
      <c r="AC139" s="59">
        <v>24.0</v>
      </c>
      <c r="AD139" s="62">
        <f t="shared" ref="AD139:AD141" si="23">SUM(B139:AC139)</f>
        <v>49</v>
      </c>
      <c r="AE139" s="80">
        <v>1150.0</v>
      </c>
      <c r="AF139" s="68">
        <f t="shared" ref="AF139:AF141" si="24">AD139*AE139</f>
        <v>56350</v>
      </c>
      <c r="AG139" s="17"/>
      <c r="AH139" s="155"/>
      <c r="AI139" s="155"/>
    </row>
    <row r="140">
      <c r="A140" s="268" t="s">
        <v>233</v>
      </c>
      <c r="B140" s="489">
        <v>22.0</v>
      </c>
      <c r="C140" s="496"/>
      <c r="D140" s="508"/>
      <c r="E140" s="49"/>
      <c r="F140" s="59">
        <v>1.0</v>
      </c>
      <c r="G140" s="493">
        <v>2.0</v>
      </c>
      <c r="H140" s="493">
        <v>2.0</v>
      </c>
      <c r="I140" s="492"/>
      <c r="J140" s="59">
        <v>1.0</v>
      </c>
      <c r="K140" s="493">
        <v>2.0</v>
      </c>
      <c r="L140" s="59">
        <v>4.0</v>
      </c>
      <c r="M140" s="59">
        <v>2.0</v>
      </c>
      <c r="N140" s="493">
        <v>4.0</v>
      </c>
      <c r="O140" s="493">
        <v>1.0</v>
      </c>
      <c r="P140" s="492"/>
      <c r="Q140" s="493">
        <v>2.0</v>
      </c>
      <c r="R140" s="105"/>
      <c r="S140" s="46"/>
      <c r="T140" s="59">
        <v>2.0</v>
      </c>
      <c r="U140" s="59">
        <v>2.0</v>
      </c>
      <c r="V140" s="59"/>
      <c r="W140" s="192"/>
      <c r="X140" s="59">
        <v>2.0</v>
      </c>
      <c r="Y140" s="59">
        <v>2.0</v>
      </c>
      <c r="Z140" s="69"/>
      <c r="AA140" s="191"/>
      <c r="AB140" s="59">
        <v>8.0</v>
      </c>
      <c r="AC140" s="59">
        <v>13.0</v>
      </c>
      <c r="AD140" s="62">
        <f t="shared" si="23"/>
        <v>72</v>
      </c>
      <c r="AE140" s="80">
        <v>1250.0</v>
      </c>
      <c r="AF140" s="68">
        <f t="shared" si="24"/>
        <v>90000</v>
      </c>
      <c r="AG140" s="17"/>
      <c r="AH140" s="155"/>
      <c r="AI140" s="155"/>
    </row>
    <row r="141">
      <c r="A141" s="156" t="s">
        <v>235</v>
      </c>
      <c r="B141" s="213"/>
      <c r="C141" s="546"/>
      <c r="D141" s="543"/>
      <c r="E141" s="184"/>
      <c r="F141" s="184"/>
      <c r="G141" s="184"/>
      <c r="H141" s="184"/>
      <c r="I141" s="229"/>
      <c r="J141" s="184"/>
      <c r="K141" s="184"/>
      <c r="L141" s="184"/>
      <c r="M141" s="184"/>
      <c r="N141" s="184"/>
      <c r="O141" s="184"/>
      <c r="P141" s="183"/>
      <c r="Q141" s="184"/>
      <c r="R141" s="212"/>
      <c r="S141" s="184"/>
      <c r="T141" s="184"/>
      <c r="U141" s="184"/>
      <c r="V141" s="184"/>
      <c r="W141" s="183"/>
      <c r="X141" s="184"/>
      <c r="Y141" s="184"/>
      <c r="Z141" s="215"/>
      <c r="AA141" s="182"/>
      <c r="AB141" s="184"/>
      <c r="AC141" s="184"/>
      <c r="AD141" s="62">
        <f t="shared" si="23"/>
        <v>0</v>
      </c>
      <c r="AE141" s="168"/>
      <c r="AF141" s="168">
        <f t="shared" si="24"/>
        <v>0</v>
      </c>
      <c r="AG141" s="17"/>
      <c r="AH141" s="155"/>
      <c r="AI141" s="155"/>
    </row>
    <row r="142">
      <c r="A142" s="254" t="s">
        <v>45</v>
      </c>
      <c r="B142" s="128"/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9"/>
      <c r="AF142" s="270">
        <f>SUM(AF139:AF141)</f>
        <v>146350</v>
      </c>
      <c r="AG142" s="17"/>
      <c r="AH142" s="271"/>
      <c r="AI142" s="271"/>
    </row>
    <row r="143">
      <c r="A143" s="272" t="s">
        <v>238</v>
      </c>
      <c r="B143" s="134"/>
      <c r="C143" s="134"/>
      <c r="D143" s="134"/>
      <c r="E143" s="134"/>
      <c r="F143" s="134"/>
      <c r="G143" s="134"/>
      <c r="H143" s="134"/>
      <c r="I143" s="134"/>
      <c r="J143" s="134"/>
      <c r="K143" s="134"/>
      <c r="L143" s="134"/>
      <c r="M143" s="134"/>
      <c r="N143" s="134"/>
      <c r="O143" s="134"/>
      <c r="P143" s="134"/>
      <c r="Q143" s="134"/>
      <c r="R143" s="134"/>
      <c r="S143" s="134"/>
      <c r="T143" s="134"/>
      <c r="U143" s="134"/>
      <c r="V143" s="134"/>
      <c r="W143" s="134"/>
      <c r="X143" s="134"/>
      <c r="Y143" s="134"/>
      <c r="Z143" s="134"/>
      <c r="AA143" s="134"/>
      <c r="AB143" s="134"/>
      <c r="AC143" s="134"/>
      <c r="AD143" s="134"/>
      <c r="AE143" s="134"/>
      <c r="AF143" s="135"/>
      <c r="AG143" s="17"/>
      <c r="AH143" s="257"/>
      <c r="AI143" s="257"/>
    </row>
    <row r="144">
      <c r="A144" s="197" t="s">
        <v>260</v>
      </c>
      <c r="B144" s="209"/>
      <c r="C144" s="490"/>
      <c r="D144" s="508"/>
      <c r="E144" s="54"/>
      <c r="F144" s="59">
        <v>1.0</v>
      </c>
      <c r="G144" s="59">
        <v>2.0</v>
      </c>
      <c r="H144" s="54"/>
      <c r="I144" s="51"/>
      <c r="J144" s="54"/>
      <c r="K144" s="46"/>
      <c r="L144" s="59">
        <v>3.0</v>
      </c>
      <c r="M144" s="59">
        <v>10.0</v>
      </c>
      <c r="N144" s="54"/>
      <c r="O144" s="59">
        <v>4.0</v>
      </c>
      <c r="P144" s="492"/>
      <c r="Q144" s="46"/>
      <c r="R144" s="208"/>
      <c r="S144" s="59">
        <v>2.0</v>
      </c>
      <c r="T144" s="46"/>
      <c r="U144" s="59">
        <v>3.0</v>
      </c>
      <c r="V144" s="59">
        <v>12.0</v>
      </c>
      <c r="W144" s="192"/>
      <c r="X144" s="59"/>
      <c r="Y144" s="59">
        <v>5.0</v>
      </c>
      <c r="Z144" s="69"/>
      <c r="AA144" s="191"/>
      <c r="AB144" s="59">
        <v>3.0</v>
      </c>
      <c r="AC144" s="46"/>
      <c r="AD144" s="62">
        <f t="shared" ref="AD144:AD150" si="25">SUM(B144:AC144)</f>
        <v>45</v>
      </c>
      <c r="AE144" s="80">
        <v>350.0</v>
      </c>
      <c r="AF144" s="68">
        <f t="shared" ref="AF144:AF150" si="26">AD144*AE144</f>
        <v>15750</v>
      </c>
      <c r="AG144" s="17"/>
      <c r="AH144" s="155"/>
      <c r="AI144" s="155"/>
    </row>
    <row r="145">
      <c r="A145" s="197" t="s">
        <v>232</v>
      </c>
      <c r="B145" s="209"/>
      <c r="C145" s="545"/>
      <c r="D145" s="491"/>
      <c r="E145" s="54"/>
      <c r="F145" s="54"/>
      <c r="G145" s="54"/>
      <c r="H145" s="54"/>
      <c r="I145" s="51"/>
      <c r="J145" s="54"/>
      <c r="K145" s="54"/>
      <c r="L145" s="54"/>
      <c r="M145" s="54"/>
      <c r="N145" s="54"/>
      <c r="O145" s="54"/>
      <c r="P145" s="51"/>
      <c r="Q145" s="54"/>
      <c r="R145" s="208"/>
      <c r="S145" s="54"/>
      <c r="T145" s="54"/>
      <c r="U145" s="54"/>
      <c r="V145" s="54"/>
      <c r="W145" s="51"/>
      <c r="X145" s="54"/>
      <c r="Y145" s="54"/>
      <c r="Z145" s="211"/>
      <c r="AA145" s="48"/>
      <c r="AB145" s="54"/>
      <c r="AC145" s="54"/>
      <c r="AD145" s="62">
        <f t="shared" si="25"/>
        <v>0</v>
      </c>
      <c r="AE145" s="80">
        <v>130.0</v>
      </c>
      <c r="AF145" s="68">
        <f t="shared" si="26"/>
        <v>0</v>
      </c>
      <c r="AG145" s="17"/>
      <c r="AH145" s="155"/>
      <c r="AI145" s="155"/>
    </row>
    <row r="146">
      <c r="A146" s="197" t="s">
        <v>234</v>
      </c>
      <c r="B146" s="209"/>
      <c r="C146" s="545"/>
      <c r="D146" s="491"/>
      <c r="E146" s="54"/>
      <c r="F146" s="54"/>
      <c r="G146" s="54"/>
      <c r="H146" s="54"/>
      <c r="I146" s="51"/>
      <c r="J146" s="54"/>
      <c r="K146" s="54"/>
      <c r="L146" s="54"/>
      <c r="M146" s="54"/>
      <c r="N146" s="54"/>
      <c r="O146" s="54"/>
      <c r="P146" s="51"/>
      <c r="Q146" s="54"/>
      <c r="R146" s="208"/>
      <c r="S146" s="54"/>
      <c r="T146" s="54"/>
      <c r="U146" s="54"/>
      <c r="V146" s="54"/>
      <c r="W146" s="51"/>
      <c r="X146" s="54"/>
      <c r="Y146" s="54"/>
      <c r="Z146" s="211"/>
      <c r="AA146" s="48"/>
      <c r="AB146" s="54"/>
      <c r="AC146" s="54"/>
      <c r="AD146" s="62">
        <f t="shared" si="25"/>
        <v>0</v>
      </c>
      <c r="AE146" s="80">
        <v>80.0</v>
      </c>
      <c r="AF146" s="68">
        <f t="shared" si="26"/>
        <v>0</v>
      </c>
      <c r="AG146" s="17"/>
      <c r="AH146" s="155"/>
      <c r="AI146" s="155"/>
    </row>
    <row r="147">
      <c r="A147" s="197" t="s">
        <v>241</v>
      </c>
      <c r="B147" s="63">
        <v>34.0</v>
      </c>
      <c r="C147" s="490"/>
      <c r="D147" s="508"/>
      <c r="E147" s="46"/>
      <c r="F147" s="59">
        <v>1.0</v>
      </c>
      <c r="G147" s="493">
        <v>1.0</v>
      </c>
      <c r="H147" s="46"/>
      <c r="I147" s="492"/>
      <c r="J147" s="49"/>
      <c r="K147" s="46"/>
      <c r="L147" s="59">
        <v>5.0</v>
      </c>
      <c r="M147" s="59">
        <v>1.0</v>
      </c>
      <c r="N147" s="54"/>
      <c r="O147" s="493">
        <v>23.0</v>
      </c>
      <c r="P147" s="492"/>
      <c r="Q147" s="46"/>
      <c r="R147" s="60"/>
      <c r="S147" s="46"/>
      <c r="T147" s="46"/>
      <c r="U147" s="46"/>
      <c r="V147" s="59">
        <v>2.0</v>
      </c>
      <c r="W147" s="192"/>
      <c r="X147" s="59"/>
      <c r="Y147" s="59"/>
      <c r="Z147" s="69"/>
      <c r="AA147" s="191"/>
      <c r="AB147" s="46"/>
      <c r="AC147" s="59">
        <v>17.0</v>
      </c>
      <c r="AD147" s="62">
        <f t="shared" si="25"/>
        <v>84</v>
      </c>
      <c r="AE147" s="80">
        <v>40.0</v>
      </c>
      <c r="AF147" s="68">
        <f t="shared" si="26"/>
        <v>3360</v>
      </c>
      <c r="AG147" s="17"/>
      <c r="AH147" s="155"/>
      <c r="AI147" s="155"/>
    </row>
    <row r="148">
      <c r="A148" s="197" t="s">
        <v>243</v>
      </c>
      <c r="B148" s="489">
        <v>13.0</v>
      </c>
      <c r="C148" s="490"/>
      <c r="D148" s="508"/>
      <c r="E148" s="54"/>
      <c r="F148" s="59">
        <v>1.0</v>
      </c>
      <c r="G148" s="59">
        <v>1.0</v>
      </c>
      <c r="H148" s="59">
        <v>2.0</v>
      </c>
      <c r="I148" s="51"/>
      <c r="J148" s="46"/>
      <c r="K148" s="59">
        <v>4.0</v>
      </c>
      <c r="L148" s="59">
        <v>1.0</v>
      </c>
      <c r="M148" s="46"/>
      <c r="N148" s="59">
        <v>1.0</v>
      </c>
      <c r="O148" s="59">
        <v>1.0</v>
      </c>
      <c r="P148" s="192"/>
      <c r="Q148" s="54"/>
      <c r="R148" s="60"/>
      <c r="S148" s="46"/>
      <c r="T148" s="46"/>
      <c r="U148" s="59">
        <v>4.0</v>
      </c>
      <c r="V148" s="46"/>
      <c r="W148" s="192"/>
      <c r="X148" s="46"/>
      <c r="Y148" s="59">
        <v>3.0</v>
      </c>
      <c r="Z148" s="69"/>
      <c r="AA148" s="191"/>
      <c r="AB148" s="59">
        <v>1.0</v>
      </c>
      <c r="AC148" s="59">
        <v>1.0</v>
      </c>
      <c r="AD148" s="62">
        <f t="shared" si="25"/>
        <v>33</v>
      </c>
      <c r="AE148" s="80">
        <v>120.0</v>
      </c>
      <c r="AF148" s="68">
        <f t="shared" si="26"/>
        <v>3960</v>
      </c>
      <c r="AG148" s="17"/>
      <c r="AH148" s="155"/>
      <c r="AI148" s="155"/>
    </row>
    <row r="149">
      <c r="A149" s="197" t="s">
        <v>267</v>
      </c>
      <c r="B149" s="63">
        <v>11.0</v>
      </c>
      <c r="C149" s="545"/>
      <c r="D149" s="491"/>
      <c r="E149" s="54"/>
      <c r="F149" s="59">
        <v>1.0</v>
      </c>
      <c r="G149" s="59">
        <v>1.0</v>
      </c>
      <c r="H149" s="59">
        <v>3.0</v>
      </c>
      <c r="I149" s="192"/>
      <c r="J149" s="54"/>
      <c r="K149" s="59">
        <v>2.0</v>
      </c>
      <c r="L149" s="54"/>
      <c r="M149" s="59">
        <v>1.0</v>
      </c>
      <c r="N149" s="59">
        <v>1.0</v>
      </c>
      <c r="O149" s="59">
        <v>2.0</v>
      </c>
      <c r="P149" s="51"/>
      <c r="Q149" s="54"/>
      <c r="R149" s="105"/>
      <c r="S149" s="46"/>
      <c r="T149" s="46"/>
      <c r="U149" s="59">
        <v>5.0</v>
      </c>
      <c r="V149" s="46"/>
      <c r="W149" s="192"/>
      <c r="X149" s="59">
        <v>2.0</v>
      </c>
      <c r="Y149" s="59">
        <v>4.0</v>
      </c>
      <c r="Z149" s="69"/>
      <c r="AA149" s="191"/>
      <c r="AB149" s="46"/>
      <c r="AC149" s="46"/>
      <c r="AD149" s="62">
        <f t="shared" si="25"/>
        <v>33</v>
      </c>
      <c r="AE149" s="80">
        <v>30.0</v>
      </c>
      <c r="AF149" s="168">
        <f t="shared" si="26"/>
        <v>990</v>
      </c>
      <c r="AG149" s="17"/>
      <c r="AH149" s="155"/>
      <c r="AI149" s="155"/>
    </row>
    <row r="150">
      <c r="A150" s="197" t="s">
        <v>270</v>
      </c>
      <c r="B150" s="209"/>
      <c r="C150" s="545"/>
      <c r="D150" s="491"/>
      <c r="E150" s="54"/>
      <c r="F150" s="54"/>
      <c r="G150" s="54"/>
      <c r="H150" s="54"/>
      <c r="I150" s="192"/>
      <c r="J150" s="54"/>
      <c r="K150" s="54"/>
      <c r="L150" s="54"/>
      <c r="M150" s="59">
        <v>4.0</v>
      </c>
      <c r="N150" s="59">
        <v>4.0</v>
      </c>
      <c r="O150" s="493">
        <v>2.0</v>
      </c>
      <c r="P150" s="492"/>
      <c r="Q150" s="493">
        <v>1.0</v>
      </c>
      <c r="R150" s="105"/>
      <c r="S150" s="46"/>
      <c r="T150" s="59">
        <v>1.0</v>
      </c>
      <c r="U150" s="59">
        <v>5.0</v>
      </c>
      <c r="V150" s="46"/>
      <c r="W150" s="192"/>
      <c r="X150" s="59">
        <v>1.0</v>
      </c>
      <c r="Y150" s="59">
        <v>1.0</v>
      </c>
      <c r="Z150" s="69"/>
      <c r="AA150" s="191"/>
      <c r="AB150" s="46"/>
      <c r="AC150" s="59">
        <v>18.0</v>
      </c>
      <c r="AD150" s="62">
        <f t="shared" si="25"/>
        <v>37</v>
      </c>
      <c r="AE150" s="80">
        <v>200.0</v>
      </c>
      <c r="AF150" s="168">
        <f t="shared" si="26"/>
        <v>7400</v>
      </c>
      <c r="AG150" s="17"/>
      <c r="AH150" s="155"/>
      <c r="AI150" s="155"/>
    </row>
    <row r="151">
      <c r="A151" s="657" t="s">
        <v>45</v>
      </c>
      <c r="AE151" s="658"/>
      <c r="AF151" s="277">
        <f>SUM(AF144:AF150)</f>
        <v>31460</v>
      </c>
      <c r="AG151" s="17"/>
      <c r="AH151" s="255"/>
      <c r="AI151" s="255"/>
    </row>
    <row r="152">
      <c r="A152" s="278" t="s">
        <v>247</v>
      </c>
      <c r="B152" s="275"/>
      <c r="C152" s="275"/>
      <c r="D152" s="275"/>
      <c r="E152" s="275"/>
      <c r="F152" s="275"/>
      <c r="G152" s="275"/>
      <c r="H152" s="275"/>
      <c r="I152" s="275"/>
      <c r="J152" s="275"/>
      <c r="K152" s="275"/>
      <c r="L152" s="275"/>
      <c r="M152" s="275"/>
      <c r="N152" s="275"/>
      <c r="O152" s="275"/>
      <c r="P152" s="275"/>
      <c r="Q152" s="275"/>
      <c r="R152" s="275"/>
      <c r="S152" s="275"/>
      <c r="T152" s="275"/>
      <c r="U152" s="275"/>
      <c r="V152" s="275"/>
      <c r="W152" s="275"/>
      <c r="X152" s="275"/>
      <c r="Y152" s="275"/>
      <c r="Z152" s="275"/>
      <c r="AA152" s="275"/>
      <c r="AB152" s="275"/>
      <c r="AC152" s="275"/>
      <c r="AD152" s="275"/>
      <c r="AE152" s="275"/>
      <c r="AF152" s="276"/>
      <c r="AG152" s="17"/>
      <c r="AH152" s="257"/>
      <c r="AI152" s="257"/>
    </row>
    <row r="153">
      <c r="A153" s="279" t="s">
        <v>248</v>
      </c>
      <c r="B153" s="330"/>
      <c r="C153" s="659"/>
      <c r="D153" s="660"/>
      <c r="E153" s="326"/>
      <c r="F153" s="326"/>
      <c r="G153" s="326"/>
      <c r="H153" s="326"/>
      <c r="I153" s="328"/>
      <c r="J153" s="326"/>
      <c r="K153" s="326"/>
      <c r="L153" s="326"/>
      <c r="M153" s="326"/>
      <c r="N153" s="326"/>
      <c r="O153" s="326"/>
      <c r="P153" s="328"/>
      <c r="Q153" s="326"/>
      <c r="R153" s="329"/>
      <c r="S153" s="326"/>
      <c r="T153" s="326"/>
      <c r="U153" s="326"/>
      <c r="V153" s="326"/>
      <c r="W153" s="328"/>
      <c r="X153" s="326"/>
      <c r="Y153" s="326"/>
      <c r="Z153" s="332"/>
      <c r="AA153" s="327"/>
      <c r="AB153" s="326"/>
      <c r="AC153" s="326"/>
      <c r="AD153" s="287">
        <f t="shared" ref="AD153:AD165" si="27">SUM(B153:Z153)</f>
        <v>0</v>
      </c>
      <c r="AE153" s="288">
        <v>1940.0</v>
      </c>
      <c r="AF153" s="289">
        <f t="shared" ref="AF153:AF165" si="28">AD153*AE153</f>
        <v>0</v>
      </c>
      <c r="AG153" s="17"/>
      <c r="AH153" s="257"/>
      <c r="AI153" s="257"/>
    </row>
    <row r="154">
      <c r="A154" s="279" t="s">
        <v>250</v>
      </c>
      <c r="B154" s="330"/>
      <c r="C154" s="659"/>
      <c r="D154" s="660"/>
      <c r="E154" s="326"/>
      <c r="F154" s="326"/>
      <c r="G154" s="326"/>
      <c r="H154" s="326"/>
      <c r="I154" s="328"/>
      <c r="J154" s="326"/>
      <c r="K154" s="326"/>
      <c r="L154" s="326"/>
      <c r="M154" s="326"/>
      <c r="N154" s="326"/>
      <c r="O154" s="326"/>
      <c r="P154" s="328"/>
      <c r="Q154" s="326"/>
      <c r="R154" s="329"/>
      <c r="S154" s="326"/>
      <c r="T154" s="326"/>
      <c r="U154" s="326"/>
      <c r="V154" s="326"/>
      <c r="W154" s="328"/>
      <c r="X154" s="326"/>
      <c r="Y154" s="336"/>
      <c r="Z154" s="332"/>
      <c r="AA154" s="327"/>
      <c r="AB154" s="326"/>
      <c r="AC154" s="326"/>
      <c r="AD154" s="287">
        <f t="shared" si="27"/>
        <v>0</v>
      </c>
      <c r="AE154" s="288">
        <v>1820.0</v>
      </c>
      <c r="AF154" s="289">
        <f t="shared" si="28"/>
        <v>0</v>
      </c>
      <c r="AG154" s="17"/>
      <c r="AH154" s="257"/>
      <c r="AI154" s="257"/>
    </row>
    <row r="155">
      <c r="A155" s="279" t="s">
        <v>251</v>
      </c>
      <c r="B155" s="330"/>
      <c r="C155" s="659"/>
      <c r="D155" s="660"/>
      <c r="E155" s="326"/>
      <c r="F155" s="326"/>
      <c r="G155" s="326"/>
      <c r="H155" s="326"/>
      <c r="I155" s="328"/>
      <c r="J155" s="326"/>
      <c r="K155" s="326"/>
      <c r="L155" s="326"/>
      <c r="M155" s="326"/>
      <c r="N155" s="326"/>
      <c r="O155" s="326"/>
      <c r="P155" s="328"/>
      <c r="Q155" s="326"/>
      <c r="R155" s="329"/>
      <c r="S155" s="326"/>
      <c r="T155" s="326"/>
      <c r="U155" s="326"/>
      <c r="V155" s="326"/>
      <c r="W155" s="328"/>
      <c r="X155" s="326"/>
      <c r="Y155" s="326"/>
      <c r="Z155" s="332"/>
      <c r="AA155" s="327"/>
      <c r="AB155" s="326"/>
      <c r="AC155" s="326"/>
      <c r="AD155" s="287">
        <f t="shared" si="27"/>
        <v>0</v>
      </c>
      <c r="AE155" s="288">
        <v>1940.0</v>
      </c>
      <c r="AF155" s="289">
        <f t="shared" si="28"/>
        <v>0</v>
      </c>
      <c r="AG155" s="17"/>
      <c r="AH155" s="257"/>
      <c r="AI155" s="257"/>
    </row>
    <row r="156">
      <c r="A156" s="279" t="s">
        <v>253</v>
      </c>
      <c r="B156" s="330"/>
      <c r="C156" s="659"/>
      <c r="D156" s="660"/>
      <c r="E156" s="326"/>
      <c r="F156" s="326"/>
      <c r="G156" s="326"/>
      <c r="H156" s="326"/>
      <c r="I156" s="328"/>
      <c r="J156" s="326"/>
      <c r="K156" s="326"/>
      <c r="L156" s="326"/>
      <c r="M156" s="326"/>
      <c r="N156" s="326"/>
      <c r="O156" s="326"/>
      <c r="P156" s="328"/>
      <c r="Q156" s="326"/>
      <c r="R156" s="329"/>
      <c r="S156" s="326"/>
      <c r="T156" s="326"/>
      <c r="U156" s="326"/>
      <c r="V156" s="326"/>
      <c r="W156" s="328"/>
      <c r="X156" s="326"/>
      <c r="Y156" s="326"/>
      <c r="Z156" s="332"/>
      <c r="AA156" s="327"/>
      <c r="AB156" s="326"/>
      <c r="AC156" s="326"/>
      <c r="AD156" s="287">
        <f t="shared" si="27"/>
        <v>0</v>
      </c>
      <c r="AE156" s="288">
        <v>2000.0</v>
      </c>
      <c r="AF156" s="289">
        <f t="shared" si="28"/>
        <v>0</v>
      </c>
      <c r="AG156" s="17"/>
      <c r="AH156" s="257"/>
      <c r="AI156" s="257"/>
    </row>
    <row r="157">
      <c r="A157" s="279" t="s">
        <v>255</v>
      </c>
      <c r="B157" s="330"/>
      <c r="C157" s="659"/>
      <c r="D157" s="660"/>
      <c r="E157" s="326"/>
      <c r="F157" s="326"/>
      <c r="G157" s="326"/>
      <c r="H157" s="326"/>
      <c r="I157" s="328"/>
      <c r="J157" s="326"/>
      <c r="K157" s="326"/>
      <c r="L157" s="326"/>
      <c r="M157" s="326"/>
      <c r="N157" s="326"/>
      <c r="O157" s="326"/>
      <c r="P157" s="328"/>
      <c r="Q157" s="326"/>
      <c r="R157" s="329"/>
      <c r="S157" s="326"/>
      <c r="T157" s="326"/>
      <c r="U157" s="326"/>
      <c r="V157" s="326"/>
      <c r="W157" s="328"/>
      <c r="X157" s="326"/>
      <c r="Y157" s="326"/>
      <c r="Z157" s="332"/>
      <c r="AA157" s="327"/>
      <c r="AB157" s="326"/>
      <c r="AC157" s="326"/>
      <c r="AD157" s="287">
        <f t="shared" si="27"/>
        <v>0</v>
      </c>
      <c r="AE157" s="288">
        <v>2140.0</v>
      </c>
      <c r="AF157" s="289">
        <f t="shared" si="28"/>
        <v>0</v>
      </c>
      <c r="AG157" s="17"/>
      <c r="AH157" s="257"/>
      <c r="AI157" s="257"/>
    </row>
    <row r="158">
      <c r="A158" s="279" t="s">
        <v>256</v>
      </c>
      <c r="B158" s="330"/>
      <c r="C158" s="659"/>
      <c r="D158" s="660"/>
      <c r="E158" s="326"/>
      <c r="F158" s="326"/>
      <c r="G158" s="326"/>
      <c r="H158" s="326"/>
      <c r="I158" s="328"/>
      <c r="J158" s="326"/>
      <c r="K158" s="326"/>
      <c r="L158" s="326"/>
      <c r="M158" s="326"/>
      <c r="N158" s="326"/>
      <c r="O158" s="326"/>
      <c r="P158" s="328"/>
      <c r="Q158" s="326"/>
      <c r="R158" s="329"/>
      <c r="S158" s="326"/>
      <c r="T158" s="326"/>
      <c r="U158" s="326"/>
      <c r="V158" s="326"/>
      <c r="W158" s="328"/>
      <c r="X158" s="326"/>
      <c r="Y158" s="326"/>
      <c r="Z158" s="332"/>
      <c r="AA158" s="327"/>
      <c r="AB158" s="326"/>
      <c r="AC158" s="326"/>
      <c r="AD158" s="287">
        <f t="shared" si="27"/>
        <v>0</v>
      </c>
      <c r="AE158" s="288">
        <v>2500.0</v>
      </c>
      <c r="AF158" s="289">
        <f t="shared" si="28"/>
        <v>0</v>
      </c>
      <c r="AG158" s="17"/>
      <c r="AH158" s="257"/>
      <c r="AI158" s="257"/>
    </row>
    <row r="159">
      <c r="A159" s="279" t="s">
        <v>279</v>
      </c>
      <c r="B159" s="330"/>
      <c r="C159" s="659"/>
      <c r="D159" s="660"/>
      <c r="E159" s="340"/>
      <c r="F159" s="326"/>
      <c r="G159" s="326"/>
      <c r="H159" s="326"/>
      <c r="I159" s="328"/>
      <c r="J159" s="326"/>
      <c r="K159" s="326"/>
      <c r="L159" s="326"/>
      <c r="M159" s="326"/>
      <c r="N159" s="326"/>
      <c r="O159" s="326"/>
      <c r="P159" s="328"/>
      <c r="Q159" s="326"/>
      <c r="R159" s="329"/>
      <c r="S159" s="326"/>
      <c r="T159" s="326"/>
      <c r="U159" s="326"/>
      <c r="V159" s="326"/>
      <c r="W159" s="328"/>
      <c r="X159" s="326"/>
      <c r="Y159" s="336"/>
      <c r="Z159" s="332"/>
      <c r="AA159" s="327"/>
      <c r="AB159" s="326"/>
      <c r="AC159" s="326"/>
      <c r="AD159" s="287">
        <f t="shared" si="27"/>
        <v>0</v>
      </c>
      <c r="AE159" s="288">
        <v>1300.0</v>
      </c>
      <c r="AF159" s="289">
        <f t="shared" si="28"/>
        <v>0</v>
      </c>
      <c r="AG159" s="17"/>
      <c r="AH159" s="257"/>
      <c r="AI159" s="257"/>
    </row>
    <row r="160">
      <c r="A160" s="279" t="s">
        <v>259</v>
      </c>
      <c r="B160" s="330"/>
      <c r="C160" s="659"/>
      <c r="D160" s="660"/>
      <c r="E160" s="326"/>
      <c r="F160" s="326"/>
      <c r="G160" s="326"/>
      <c r="H160" s="326"/>
      <c r="I160" s="328"/>
      <c r="J160" s="326"/>
      <c r="K160" s="326"/>
      <c r="L160" s="326"/>
      <c r="M160" s="326"/>
      <c r="N160" s="326"/>
      <c r="O160" s="326"/>
      <c r="P160" s="328"/>
      <c r="Q160" s="326"/>
      <c r="R160" s="329"/>
      <c r="S160" s="326"/>
      <c r="T160" s="326"/>
      <c r="U160" s="326"/>
      <c r="V160" s="326"/>
      <c r="W160" s="328"/>
      <c r="X160" s="326"/>
      <c r="Y160" s="326"/>
      <c r="Z160" s="332"/>
      <c r="AA160" s="327"/>
      <c r="AB160" s="326"/>
      <c r="AC160" s="326"/>
      <c r="AD160" s="287">
        <f t="shared" si="27"/>
        <v>0</v>
      </c>
      <c r="AE160" s="288">
        <v>2500.0</v>
      </c>
      <c r="AF160" s="289">
        <f t="shared" si="28"/>
        <v>0</v>
      </c>
      <c r="AG160" s="17"/>
      <c r="AH160" s="257"/>
      <c r="AI160" s="257"/>
    </row>
    <row r="161">
      <c r="A161" s="279" t="s">
        <v>259</v>
      </c>
      <c r="B161" s="330"/>
      <c r="C161" s="659"/>
      <c r="D161" s="660"/>
      <c r="E161" s="326"/>
      <c r="F161" s="326"/>
      <c r="G161" s="326"/>
      <c r="H161" s="326"/>
      <c r="I161" s="328"/>
      <c r="J161" s="326"/>
      <c r="K161" s="326"/>
      <c r="L161" s="326"/>
      <c r="M161" s="326"/>
      <c r="N161" s="326"/>
      <c r="O161" s="326"/>
      <c r="P161" s="328"/>
      <c r="Q161" s="326"/>
      <c r="R161" s="329"/>
      <c r="S161" s="326"/>
      <c r="T161" s="326"/>
      <c r="U161" s="326"/>
      <c r="V161" s="326"/>
      <c r="W161" s="328"/>
      <c r="X161" s="326"/>
      <c r="Y161" s="326"/>
      <c r="Z161" s="332"/>
      <c r="AA161" s="327"/>
      <c r="AB161" s="326"/>
      <c r="AC161" s="326"/>
      <c r="AD161" s="287">
        <f t="shared" si="27"/>
        <v>0</v>
      </c>
      <c r="AE161" s="288">
        <v>2600.0</v>
      </c>
      <c r="AF161" s="289">
        <f t="shared" si="28"/>
        <v>0</v>
      </c>
      <c r="AG161" s="17"/>
      <c r="AH161" s="257"/>
      <c r="AI161" s="257"/>
    </row>
    <row r="162">
      <c r="A162" s="279" t="s">
        <v>261</v>
      </c>
      <c r="B162" s="330"/>
      <c r="C162" s="659"/>
      <c r="D162" s="660"/>
      <c r="E162" s="326"/>
      <c r="F162" s="326"/>
      <c r="G162" s="326"/>
      <c r="H162" s="326"/>
      <c r="I162" s="328"/>
      <c r="J162" s="326"/>
      <c r="K162" s="326"/>
      <c r="L162" s="326"/>
      <c r="M162" s="326"/>
      <c r="N162" s="326"/>
      <c r="O162" s="326"/>
      <c r="P162" s="328"/>
      <c r="Q162" s="326"/>
      <c r="R162" s="329"/>
      <c r="S162" s="326"/>
      <c r="T162" s="326"/>
      <c r="U162" s="326"/>
      <c r="V162" s="326"/>
      <c r="W162" s="328"/>
      <c r="X162" s="326"/>
      <c r="Y162" s="326"/>
      <c r="Z162" s="332"/>
      <c r="AA162" s="327"/>
      <c r="AB162" s="326"/>
      <c r="AC162" s="326"/>
      <c r="AD162" s="287">
        <f t="shared" si="27"/>
        <v>0</v>
      </c>
      <c r="AE162" s="288">
        <v>1400.0</v>
      </c>
      <c r="AF162" s="289">
        <f t="shared" si="28"/>
        <v>0</v>
      </c>
      <c r="AG162" s="17"/>
      <c r="AH162" s="257"/>
      <c r="AI162" s="257"/>
    </row>
    <row r="163">
      <c r="A163" s="279" t="s">
        <v>261</v>
      </c>
      <c r="B163" s="330"/>
      <c r="C163" s="659"/>
      <c r="D163" s="660"/>
      <c r="E163" s="326"/>
      <c r="F163" s="326"/>
      <c r="G163" s="326"/>
      <c r="H163" s="326"/>
      <c r="I163" s="328"/>
      <c r="J163" s="326"/>
      <c r="K163" s="326"/>
      <c r="L163" s="326"/>
      <c r="M163" s="326"/>
      <c r="N163" s="326"/>
      <c r="O163" s="326"/>
      <c r="P163" s="328"/>
      <c r="Q163" s="326"/>
      <c r="R163" s="329"/>
      <c r="S163" s="326"/>
      <c r="T163" s="326"/>
      <c r="U163" s="326"/>
      <c r="V163" s="326"/>
      <c r="W163" s="328"/>
      <c r="X163" s="326"/>
      <c r="Y163" s="326"/>
      <c r="Z163" s="332"/>
      <c r="AA163" s="327"/>
      <c r="AB163" s="326"/>
      <c r="AC163" s="326"/>
      <c r="AD163" s="287">
        <f t="shared" si="27"/>
        <v>0</v>
      </c>
      <c r="AE163" s="288">
        <v>1900.0</v>
      </c>
      <c r="AF163" s="289">
        <f t="shared" si="28"/>
        <v>0</v>
      </c>
      <c r="AG163" s="17"/>
      <c r="AH163" s="257"/>
      <c r="AI163" s="257"/>
    </row>
    <row r="164">
      <c r="A164" s="279" t="s">
        <v>262</v>
      </c>
      <c r="B164" s="330"/>
      <c r="C164" s="659"/>
      <c r="D164" s="660"/>
      <c r="E164" s="326"/>
      <c r="F164" s="326"/>
      <c r="G164" s="326"/>
      <c r="H164" s="326"/>
      <c r="I164" s="328"/>
      <c r="J164" s="326"/>
      <c r="K164" s="326"/>
      <c r="L164" s="326"/>
      <c r="M164" s="326"/>
      <c r="N164" s="326"/>
      <c r="O164" s="326"/>
      <c r="P164" s="328"/>
      <c r="Q164" s="326"/>
      <c r="R164" s="329"/>
      <c r="S164" s="326"/>
      <c r="T164" s="326"/>
      <c r="U164" s="326"/>
      <c r="V164" s="326"/>
      <c r="W164" s="328"/>
      <c r="X164" s="326"/>
      <c r="Y164" s="326"/>
      <c r="Z164" s="332"/>
      <c r="AA164" s="327"/>
      <c r="AB164" s="326"/>
      <c r="AC164" s="326"/>
      <c r="AD164" s="287">
        <f t="shared" si="27"/>
        <v>0</v>
      </c>
      <c r="AE164" s="288">
        <v>1300.0</v>
      </c>
      <c r="AF164" s="289">
        <f t="shared" si="28"/>
        <v>0</v>
      </c>
      <c r="AG164" s="17"/>
      <c r="AH164" s="257"/>
      <c r="AI164" s="257"/>
    </row>
    <row r="165">
      <c r="A165" s="279" t="s">
        <v>262</v>
      </c>
      <c r="B165" s="330"/>
      <c r="C165" s="659"/>
      <c r="D165" s="660"/>
      <c r="E165" s="326"/>
      <c r="F165" s="326"/>
      <c r="G165" s="326"/>
      <c r="H165" s="326"/>
      <c r="I165" s="328"/>
      <c r="J165" s="326"/>
      <c r="K165" s="326"/>
      <c r="L165" s="326"/>
      <c r="M165" s="326"/>
      <c r="N165" s="326"/>
      <c r="O165" s="326"/>
      <c r="P165" s="328"/>
      <c r="Q165" s="326"/>
      <c r="R165" s="329"/>
      <c r="S165" s="326"/>
      <c r="T165" s="326"/>
      <c r="U165" s="326"/>
      <c r="V165" s="326"/>
      <c r="W165" s="328"/>
      <c r="X165" s="326"/>
      <c r="Y165" s="326"/>
      <c r="Z165" s="332"/>
      <c r="AA165" s="327"/>
      <c r="AB165" s="326"/>
      <c r="AC165" s="326"/>
      <c r="AD165" s="287">
        <f t="shared" si="27"/>
        <v>0</v>
      </c>
      <c r="AE165" s="288">
        <v>1800.0</v>
      </c>
      <c r="AF165" s="289">
        <f t="shared" si="28"/>
        <v>0</v>
      </c>
      <c r="AG165" s="17"/>
      <c r="AH165" s="257"/>
      <c r="AI165" s="257"/>
    </row>
    <row r="166">
      <c r="A166" s="305" t="s">
        <v>45</v>
      </c>
      <c r="B166" s="219"/>
      <c r="C166" s="219"/>
      <c r="D166" s="219"/>
      <c r="E166" s="219"/>
      <c r="F166" s="219"/>
      <c r="G166" s="219"/>
      <c r="H166" s="219"/>
      <c r="I166" s="219"/>
      <c r="J166" s="219"/>
      <c r="K166" s="219"/>
      <c r="L166" s="219"/>
      <c r="M166" s="219"/>
      <c r="N166" s="219"/>
      <c r="O166" s="219"/>
      <c r="P166" s="219"/>
      <c r="Q166" s="219"/>
      <c r="R166" s="219"/>
      <c r="S166" s="219"/>
      <c r="T166" s="219"/>
      <c r="U166" s="219"/>
      <c r="V166" s="219"/>
      <c r="W166" s="219"/>
      <c r="X166" s="219"/>
      <c r="Y166" s="219"/>
      <c r="Z166" s="219"/>
      <c r="AA166" s="219"/>
      <c r="AB166" s="219"/>
      <c r="AC166" s="219"/>
      <c r="AD166" s="219"/>
      <c r="AE166" s="220"/>
      <c r="AF166" s="306">
        <f>SUM(AF153:AF165)</f>
        <v>0</v>
      </c>
      <c r="AG166" s="17"/>
      <c r="AH166" s="257"/>
      <c r="AI166" s="257"/>
    </row>
    <row r="167">
      <c r="A167" s="307" t="s">
        <v>264</v>
      </c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97"/>
      <c r="AG167" s="17"/>
      <c r="AH167" s="257"/>
      <c r="AI167" s="257"/>
    </row>
    <row r="168">
      <c r="A168" s="308" t="s">
        <v>265</v>
      </c>
      <c r="B168" s="688"/>
      <c r="C168" s="689"/>
      <c r="D168" s="34"/>
      <c r="E168" s="50"/>
      <c r="F168" s="50"/>
      <c r="G168" s="50"/>
      <c r="H168" s="50"/>
      <c r="I168" s="55"/>
      <c r="J168" s="39">
        <v>1.0</v>
      </c>
      <c r="K168" s="39">
        <v>1.0</v>
      </c>
      <c r="L168" s="50"/>
      <c r="M168" s="50"/>
      <c r="N168" s="50"/>
      <c r="O168" s="50"/>
      <c r="P168" s="55"/>
      <c r="Q168" s="50"/>
      <c r="R168" s="41"/>
      <c r="S168" s="50"/>
      <c r="T168" s="50"/>
      <c r="U168" s="50"/>
      <c r="V168" s="50"/>
      <c r="W168" s="55"/>
      <c r="X168" s="50"/>
      <c r="Y168" s="50"/>
      <c r="Z168" s="364"/>
      <c r="AA168" s="40"/>
      <c r="AB168" s="50"/>
      <c r="AC168" s="50"/>
      <c r="AD168" s="62">
        <f t="shared" ref="AD168:AD171" si="29">SUM(B168:Z168)</f>
        <v>2</v>
      </c>
      <c r="AE168" s="242">
        <v>2100.0</v>
      </c>
      <c r="AF168" s="68">
        <f t="shared" ref="AF168:AF171" si="30">AD168*AE168</f>
        <v>4200</v>
      </c>
      <c r="AG168" s="17"/>
      <c r="AH168" s="155"/>
      <c r="AI168" s="155"/>
    </row>
    <row r="169">
      <c r="A169" s="308" t="s">
        <v>266</v>
      </c>
      <c r="B169" s="688"/>
      <c r="C169" s="689"/>
      <c r="D169" s="83"/>
      <c r="E169" s="50"/>
      <c r="F169" s="50"/>
      <c r="G169" s="50"/>
      <c r="H169" s="50"/>
      <c r="I169" s="55"/>
      <c r="J169" s="50"/>
      <c r="K169" s="50"/>
      <c r="L169" s="50"/>
      <c r="M169" s="39"/>
      <c r="N169" s="50"/>
      <c r="O169" s="50"/>
      <c r="P169" s="55"/>
      <c r="Q169" s="50"/>
      <c r="R169" s="41"/>
      <c r="S169" s="50"/>
      <c r="T169" s="50"/>
      <c r="U169" s="50"/>
      <c r="V169" s="50"/>
      <c r="W169" s="55"/>
      <c r="X169" s="50"/>
      <c r="Y169" s="50"/>
      <c r="Z169" s="364"/>
      <c r="AA169" s="40"/>
      <c r="AB169" s="50"/>
      <c r="AC169" s="50"/>
      <c r="AD169" s="62">
        <f t="shared" si="29"/>
        <v>0</v>
      </c>
      <c r="AE169" s="242">
        <v>2800.0</v>
      </c>
      <c r="AF169" s="68">
        <f t="shared" si="30"/>
        <v>0</v>
      </c>
      <c r="AG169" s="17"/>
      <c r="AH169" s="155"/>
      <c r="AI169" s="155"/>
    </row>
    <row r="170">
      <c r="A170" s="308" t="s">
        <v>268</v>
      </c>
      <c r="B170" s="688"/>
      <c r="C170" s="689"/>
      <c r="D170" s="34"/>
      <c r="E170" s="50"/>
      <c r="F170" s="50"/>
      <c r="G170" s="50"/>
      <c r="H170" s="50"/>
      <c r="I170" s="55"/>
      <c r="J170" s="50"/>
      <c r="K170" s="50"/>
      <c r="L170" s="50"/>
      <c r="M170" s="50"/>
      <c r="N170" s="50"/>
      <c r="O170" s="39">
        <v>1.0</v>
      </c>
      <c r="P170" s="55"/>
      <c r="Q170" s="50"/>
      <c r="R170" s="41"/>
      <c r="S170" s="50"/>
      <c r="T170" s="50"/>
      <c r="U170" s="50"/>
      <c r="V170" s="50"/>
      <c r="W170" s="55"/>
      <c r="X170" s="50"/>
      <c r="Y170" s="50"/>
      <c r="Z170" s="364"/>
      <c r="AA170" s="40"/>
      <c r="AB170" s="50"/>
      <c r="AC170" s="50"/>
      <c r="AD170" s="62">
        <f t="shared" si="29"/>
        <v>1</v>
      </c>
      <c r="AE170" s="242">
        <v>2800.0</v>
      </c>
      <c r="AF170" s="68">
        <f t="shared" si="30"/>
        <v>2800</v>
      </c>
      <c r="AG170" s="17"/>
      <c r="AH170" s="155"/>
      <c r="AI170" s="155"/>
    </row>
    <row r="171">
      <c r="A171" s="309" t="s">
        <v>269</v>
      </c>
      <c r="B171" s="692"/>
      <c r="C171" s="693"/>
      <c r="D171" s="264"/>
      <c r="E171" s="159"/>
      <c r="F171" s="159"/>
      <c r="G171" s="159"/>
      <c r="H171" s="159"/>
      <c r="I171" s="163"/>
      <c r="J171" s="159"/>
      <c r="K171" s="159"/>
      <c r="L171" s="159"/>
      <c r="M171" s="159"/>
      <c r="N171" s="159"/>
      <c r="O171" s="159"/>
      <c r="P171" s="163"/>
      <c r="Q171" s="159"/>
      <c r="R171" s="161"/>
      <c r="S171" s="159"/>
      <c r="T171" s="159"/>
      <c r="U171" s="159"/>
      <c r="V171" s="159"/>
      <c r="W171" s="163"/>
      <c r="X171" s="159"/>
      <c r="Y171" s="159"/>
      <c r="Z171" s="382"/>
      <c r="AA171" s="160"/>
      <c r="AB171" s="159"/>
      <c r="AC171" s="159"/>
      <c r="AD171" s="62">
        <f t="shared" si="29"/>
        <v>0</v>
      </c>
      <c r="AE171" s="249">
        <v>3200.0</v>
      </c>
      <c r="AF171" s="168">
        <f t="shared" si="30"/>
        <v>0</v>
      </c>
      <c r="AG171" s="17"/>
      <c r="AH171" s="155"/>
      <c r="AI171" s="155"/>
    </row>
    <row r="172">
      <c r="A172" s="254" t="s">
        <v>45</v>
      </c>
      <c r="B172" s="128"/>
      <c r="C172" s="128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9"/>
      <c r="AF172" s="277">
        <f>SUM(AF168:AF171)</f>
        <v>7000</v>
      </c>
      <c r="AG172" s="17"/>
      <c r="AH172" s="255"/>
      <c r="AI172" s="255"/>
    </row>
    <row r="173">
      <c r="A173" s="314"/>
      <c r="B173" s="695"/>
      <c r="C173" s="696"/>
      <c r="D173" s="312"/>
      <c r="E173" s="314"/>
      <c r="F173" s="314"/>
      <c r="G173" s="314"/>
      <c r="H173" s="314"/>
      <c r="I173" s="318"/>
      <c r="J173" s="314"/>
      <c r="K173" s="314"/>
      <c r="L173" s="314"/>
      <c r="M173" s="314"/>
      <c r="N173" s="314"/>
      <c r="O173" s="314"/>
      <c r="P173" s="318"/>
      <c r="Q173" s="314"/>
      <c r="R173" s="316"/>
      <c r="S173" s="314"/>
      <c r="T173" s="314"/>
      <c r="U173" s="314"/>
      <c r="V173" s="314"/>
      <c r="W173" s="318"/>
      <c r="X173" s="314"/>
      <c r="Y173" s="314"/>
      <c r="Z173" s="697"/>
      <c r="AA173" s="315"/>
      <c r="AB173" s="314"/>
      <c r="AC173" s="314"/>
      <c r="AD173" s="386" t="s">
        <v>271</v>
      </c>
      <c r="AE173" s="22"/>
      <c r="AF173" s="698">
        <f>AF44+AF58+AF64+AF68+AF87+AF90+AF98+AF105+AF110+AF123+AF131+AF137+AF142+AF151+AF166+AF172</f>
        <v>1295604</v>
      </c>
      <c r="AG173" s="322"/>
      <c r="AH173" s="323"/>
      <c r="AI173" s="323"/>
    </row>
    <row r="174">
      <c r="A174" s="314"/>
      <c r="B174" s="695"/>
      <c r="C174" s="696"/>
      <c r="D174" s="312"/>
      <c r="E174" s="314"/>
      <c r="F174" s="314"/>
      <c r="G174" s="314"/>
      <c r="H174" s="314"/>
      <c r="I174" s="318"/>
      <c r="J174" s="314"/>
      <c r="K174" s="314"/>
      <c r="L174" s="314"/>
      <c r="M174" s="314"/>
      <c r="N174" s="314"/>
      <c r="O174" s="314"/>
      <c r="P174" s="318"/>
      <c r="Q174" s="314"/>
      <c r="R174" s="316"/>
      <c r="S174" s="314"/>
      <c r="T174" s="314"/>
      <c r="U174" s="314"/>
      <c r="V174" s="314"/>
      <c r="W174" s="318"/>
      <c r="X174" s="314"/>
      <c r="Y174" s="314"/>
      <c r="Z174" s="697"/>
      <c r="AA174" s="315"/>
      <c r="AB174" s="314"/>
      <c r="AC174" s="314"/>
      <c r="AD174" s="324"/>
      <c r="AE174" s="155"/>
      <c r="AF174" s="155"/>
      <c r="AG174" s="322"/>
      <c r="AH174" s="155"/>
      <c r="AI174" s="132"/>
    </row>
    <row r="175">
      <c r="A175" s="314"/>
      <c r="B175" s="695"/>
      <c r="C175" s="696"/>
      <c r="D175" s="312"/>
      <c r="E175" s="314"/>
      <c r="F175" s="314"/>
      <c r="G175" s="314"/>
      <c r="H175" s="314"/>
      <c r="I175" s="318"/>
      <c r="J175" s="314"/>
      <c r="K175" s="314"/>
      <c r="L175" s="314"/>
      <c r="M175" s="314"/>
      <c r="N175" s="314"/>
      <c r="O175" s="314"/>
      <c r="P175" s="318"/>
      <c r="Q175" s="314"/>
      <c r="R175" s="316"/>
      <c r="S175" s="314"/>
      <c r="T175" s="314"/>
      <c r="U175" s="314"/>
      <c r="V175" s="314"/>
      <c r="W175" s="318"/>
      <c r="X175" s="314"/>
      <c r="Y175" s="314"/>
      <c r="Z175" s="697"/>
      <c r="AA175" s="315"/>
      <c r="AB175" s="314"/>
      <c r="AC175" s="314"/>
      <c r="AD175" s="324"/>
      <c r="AE175" s="155"/>
      <c r="AF175" s="155"/>
      <c r="AG175" s="322"/>
      <c r="AH175" s="155"/>
      <c r="AI175" s="132"/>
    </row>
    <row r="176">
      <c r="A176" s="314"/>
      <c r="B176" s="695"/>
      <c r="C176" s="696"/>
      <c r="D176" s="312"/>
      <c r="E176" s="314"/>
      <c r="F176" s="314"/>
      <c r="G176" s="314"/>
      <c r="H176" s="314"/>
      <c r="I176" s="318"/>
      <c r="J176" s="314"/>
      <c r="K176" s="314"/>
      <c r="L176" s="314"/>
      <c r="M176" s="314"/>
      <c r="N176" s="314"/>
      <c r="O176" s="314"/>
      <c r="P176" s="318"/>
      <c r="Q176" s="314"/>
      <c r="R176" s="316"/>
      <c r="S176" s="314"/>
      <c r="T176" s="314"/>
      <c r="U176" s="314"/>
      <c r="V176" s="314"/>
      <c r="W176" s="318"/>
      <c r="X176" s="314"/>
      <c r="Y176" s="314"/>
      <c r="Z176" s="697"/>
      <c r="AA176" s="315"/>
      <c r="AB176" s="314"/>
      <c r="AC176" s="314"/>
      <c r="AD176" s="324"/>
      <c r="AE176" s="155"/>
      <c r="AF176" s="155"/>
      <c r="AG176" s="322"/>
      <c r="AH176" s="155"/>
      <c r="AI176" s="132"/>
    </row>
    <row r="177">
      <c r="A177" s="314"/>
      <c r="B177" s="695"/>
      <c r="C177" s="696"/>
      <c r="D177" s="312"/>
      <c r="E177" s="314"/>
      <c r="F177" s="314"/>
      <c r="G177" s="314"/>
      <c r="H177" s="314"/>
      <c r="I177" s="318"/>
      <c r="J177" s="314"/>
      <c r="K177" s="314"/>
      <c r="L177" s="314"/>
      <c r="M177" s="314"/>
      <c r="N177" s="314"/>
      <c r="O177" s="314"/>
      <c r="P177" s="318"/>
      <c r="Q177" s="314"/>
      <c r="R177" s="316"/>
      <c r="S177" s="314"/>
      <c r="T177" s="314"/>
      <c r="U177" s="314"/>
      <c r="V177" s="314"/>
      <c r="W177" s="318"/>
      <c r="X177" s="314"/>
      <c r="Y177" s="314"/>
      <c r="Z177" s="697"/>
      <c r="AA177" s="315"/>
      <c r="AB177" s="314"/>
      <c r="AC177" s="314"/>
      <c r="AD177" s="324"/>
      <c r="AE177" s="155"/>
      <c r="AF177" s="155"/>
      <c r="AG177" s="322"/>
      <c r="AH177" s="155"/>
      <c r="AI177" s="132"/>
    </row>
    <row r="178">
      <c r="A178" s="314"/>
      <c r="B178" s="695"/>
      <c r="C178" s="696"/>
      <c r="D178" s="312"/>
      <c r="E178" s="314"/>
      <c r="F178" s="314"/>
      <c r="G178" s="314"/>
      <c r="H178" s="314"/>
      <c r="I178" s="318"/>
      <c r="J178" s="314"/>
      <c r="K178" s="314"/>
      <c r="L178" s="314"/>
      <c r="M178" s="314"/>
      <c r="N178" s="314"/>
      <c r="O178" s="314"/>
      <c r="P178" s="318"/>
      <c r="Q178" s="314"/>
      <c r="R178" s="316"/>
      <c r="S178" s="314"/>
      <c r="T178" s="314"/>
      <c r="U178" s="314"/>
      <c r="V178" s="314"/>
      <c r="W178" s="318"/>
      <c r="X178" s="314"/>
      <c r="Y178" s="314"/>
      <c r="Z178" s="697"/>
      <c r="AA178" s="315"/>
      <c r="AB178" s="314"/>
      <c r="AC178" s="314"/>
      <c r="AD178" s="324"/>
      <c r="AE178" s="155"/>
      <c r="AF178" s="155"/>
      <c r="AG178" s="322"/>
      <c r="AH178" s="155"/>
      <c r="AI178" s="132"/>
    </row>
    <row r="179">
      <c r="A179" s="314"/>
      <c r="B179" s="695"/>
      <c r="C179" s="696"/>
      <c r="D179" s="312"/>
      <c r="E179" s="314"/>
      <c r="F179" s="314"/>
      <c r="G179" s="314"/>
      <c r="H179" s="314"/>
      <c r="I179" s="318"/>
      <c r="J179" s="314"/>
      <c r="K179" s="314"/>
      <c r="L179" s="314"/>
      <c r="M179" s="314"/>
      <c r="N179" s="314"/>
      <c r="O179" s="314"/>
      <c r="P179" s="318"/>
      <c r="Q179" s="314"/>
      <c r="R179" s="316"/>
      <c r="S179" s="314"/>
      <c r="T179" s="314"/>
      <c r="U179" s="314"/>
      <c r="V179" s="314"/>
      <c r="W179" s="318"/>
      <c r="X179" s="314"/>
      <c r="Y179" s="314"/>
      <c r="Z179" s="697"/>
      <c r="AA179" s="315"/>
      <c r="AB179" s="314"/>
      <c r="AC179" s="314"/>
      <c r="AD179" s="324"/>
      <c r="AE179" s="155"/>
      <c r="AF179" s="155"/>
      <c r="AG179" s="322"/>
      <c r="AH179" s="155"/>
      <c r="AI179" s="132"/>
    </row>
    <row r="180">
      <c r="A180" s="314"/>
      <c r="B180" s="695"/>
      <c r="C180" s="696"/>
      <c r="D180" s="312"/>
      <c r="E180" s="314"/>
      <c r="F180" s="314"/>
      <c r="G180" s="314"/>
      <c r="H180" s="314"/>
      <c r="I180" s="318"/>
      <c r="J180" s="314"/>
      <c r="K180" s="314"/>
      <c r="L180" s="314"/>
      <c r="M180" s="314"/>
      <c r="N180" s="314"/>
      <c r="O180" s="314"/>
      <c r="P180" s="318"/>
      <c r="Q180" s="314"/>
      <c r="R180" s="316"/>
      <c r="S180" s="314"/>
      <c r="T180" s="314"/>
      <c r="U180" s="314"/>
      <c r="V180" s="314"/>
      <c r="W180" s="318"/>
      <c r="X180" s="314"/>
      <c r="Y180" s="314"/>
      <c r="Z180" s="697"/>
      <c r="AA180" s="315"/>
      <c r="AB180" s="314"/>
      <c r="AC180" s="314"/>
      <c r="AD180" s="324"/>
      <c r="AE180" s="155"/>
      <c r="AF180" s="155"/>
      <c r="AG180" s="322"/>
      <c r="AH180" s="155"/>
      <c r="AI180" s="132"/>
    </row>
    <row r="181">
      <c r="A181" s="314"/>
      <c r="B181" s="695"/>
      <c r="C181" s="696"/>
      <c r="D181" s="312"/>
      <c r="E181" s="314"/>
      <c r="F181" s="314"/>
      <c r="G181" s="314"/>
      <c r="H181" s="314"/>
      <c r="I181" s="318"/>
      <c r="J181" s="314"/>
      <c r="K181" s="314"/>
      <c r="L181" s="314"/>
      <c r="M181" s="314"/>
      <c r="N181" s="314"/>
      <c r="O181" s="314"/>
      <c r="P181" s="318"/>
      <c r="Q181" s="314"/>
      <c r="R181" s="316"/>
      <c r="S181" s="314"/>
      <c r="T181" s="314"/>
      <c r="U181" s="314"/>
      <c r="V181" s="314"/>
      <c r="W181" s="318"/>
      <c r="X181" s="314"/>
      <c r="Y181" s="314"/>
      <c r="Z181" s="697"/>
      <c r="AA181" s="315"/>
      <c r="AB181" s="314"/>
      <c r="AC181" s="314"/>
      <c r="AD181" s="324"/>
      <c r="AE181" s="155"/>
      <c r="AF181" s="155"/>
      <c r="AG181" s="322"/>
      <c r="AH181" s="155"/>
      <c r="AI181" s="132"/>
    </row>
    <row r="182">
      <c r="A182" s="314"/>
      <c r="B182" s="695"/>
      <c r="C182" s="696"/>
      <c r="D182" s="312"/>
      <c r="E182" s="314"/>
      <c r="F182" s="314"/>
      <c r="G182" s="314"/>
      <c r="H182" s="314"/>
      <c r="I182" s="318"/>
      <c r="J182" s="314"/>
      <c r="K182" s="314"/>
      <c r="L182" s="314"/>
      <c r="M182" s="314"/>
      <c r="N182" s="314"/>
      <c r="O182" s="314"/>
      <c r="P182" s="318"/>
      <c r="Q182" s="314"/>
      <c r="R182" s="316"/>
      <c r="S182" s="314"/>
      <c r="T182" s="314"/>
      <c r="U182" s="314"/>
      <c r="V182" s="314"/>
      <c r="W182" s="318"/>
      <c r="X182" s="314"/>
      <c r="Y182" s="314"/>
      <c r="Z182" s="697"/>
      <c r="AA182" s="315"/>
      <c r="AB182" s="314"/>
      <c r="AC182" s="314"/>
      <c r="AD182" s="324"/>
      <c r="AE182" s="155"/>
      <c r="AF182" s="155"/>
      <c r="AG182" s="322"/>
      <c r="AH182" s="155"/>
      <c r="AI182" s="132"/>
    </row>
    <row r="183">
      <c r="A183" s="314"/>
      <c r="B183" s="695"/>
      <c r="C183" s="696"/>
      <c r="D183" s="312"/>
      <c r="E183" s="314"/>
      <c r="F183" s="314"/>
      <c r="G183" s="314"/>
      <c r="H183" s="314"/>
      <c r="I183" s="318"/>
      <c r="J183" s="314"/>
      <c r="K183" s="314"/>
      <c r="L183" s="314"/>
      <c r="M183" s="314"/>
      <c r="N183" s="314"/>
      <c r="O183" s="314"/>
      <c r="P183" s="318"/>
      <c r="Q183" s="314"/>
      <c r="R183" s="316"/>
      <c r="S183" s="314"/>
      <c r="T183" s="314"/>
      <c r="U183" s="314"/>
      <c r="V183" s="314"/>
      <c r="W183" s="318"/>
      <c r="X183" s="314"/>
      <c r="Y183" s="314"/>
      <c r="Z183" s="697"/>
      <c r="AA183" s="315"/>
      <c r="AB183" s="314"/>
      <c r="AC183" s="314"/>
      <c r="AD183" s="324"/>
      <c r="AE183" s="155"/>
      <c r="AF183" s="155"/>
      <c r="AG183" s="322"/>
      <c r="AH183" s="155"/>
      <c r="AI183" s="132"/>
    </row>
    <row r="184">
      <c r="A184" s="314"/>
      <c r="B184" s="695"/>
      <c r="C184" s="696"/>
      <c r="D184" s="312"/>
      <c r="E184" s="314"/>
      <c r="F184" s="314"/>
      <c r="G184" s="314"/>
      <c r="H184" s="314"/>
      <c r="I184" s="318"/>
      <c r="J184" s="314"/>
      <c r="K184" s="314"/>
      <c r="L184" s="314"/>
      <c r="M184" s="314"/>
      <c r="N184" s="314"/>
      <c r="O184" s="314"/>
      <c r="P184" s="318"/>
      <c r="Q184" s="314"/>
      <c r="R184" s="316"/>
      <c r="S184" s="314"/>
      <c r="T184" s="314"/>
      <c r="U184" s="314"/>
      <c r="V184" s="314"/>
      <c r="W184" s="318"/>
      <c r="X184" s="314"/>
      <c r="Y184" s="314"/>
      <c r="Z184" s="697"/>
      <c r="AA184" s="315"/>
      <c r="AB184" s="314"/>
      <c r="AC184" s="314"/>
      <c r="AD184" s="324"/>
      <c r="AE184" s="155"/>
      <c r="AF184" s="155"/>
      <c r="AG184" s="322"/>
      <c r="AH184" s="155"/>
      <c r="AI184" s="132"/>
    </row>
    <row r="185">
      <c r="A185" s="314"/>
      <c r="B185" s="695"/>
      <c r="C185" s="696"/>
      <c r="D185" s="312"/>
      <c r="E185" s="314"/>
      <c r="F185" s="314"/>
      <c r="G185" s="314"/>
      <c r="H185" s="314"/>
      <c r="I185" s="318"/>
      <c r="J185" s="314"/>
      <c r="K185" s="314"/>
      <c r="L185" s="314"/>
      <c r="M185" s="314"/>
      <c r="N185" s="314"/>
      <c r="O185" s="314"/>
      <c r="P185" s="318"/>
      <c r="Q185" s="314"/>
      <c r="R185" s="316"/>
      <c r="S185" s="314"/>
      <c r="T185" s="314"/>
      <c r="U185" s="314"/>
      <c r="V185" s="314"/>
      <c r="W185" s="318"/>
      <c r="X185" s="314"/>
      <c r="Y185" s="314"/>
      <c r="Z185" s="697"/>
      <c r="AA185" s="315"/>
      <c r="AB185" s="314"/>
      <c r="AC185" s="314"/>
      <c r="AD185" s="324"/>
      <c r="AE185" s="155"/>
      <c r="AF185" s="155"/>
      <c r="AG185" s="322"/>
      <c r="AH185" s="155"/>
      <c r="AI185" s="132"/>
    </row>
    <row r="186">
      <c r="A186" s="314"/>
      <c r="B186" s="695"/>
      <c r="C186" s="696"/>
      <c r="D186" s="312"/>
      <c r="E186" s="314"/>
      <c r="F186" s="314"/>
      <c r="G186" s="314"/>
      <c r="H186" s="314"/>
      <c r="I186" s="318"/>
      <c r="J186" s="314"/>
      <c r="K186" s="314"/>
      <c r="L186" s="314"/>
      <c r="M186" s="314"/>
      <c r="N186" s="314"/>
      <c r="O186" s="314"/>
      <c r="P186" s="318"/>
      <c r="Q186" s="314"/>
      <c r="R186" s="316"/>
      <c r="S186" s="314"/>
      <c r="T186" s="314"/>
      <c r="U186" s="314"/>
      <c r="V186" s="314"/>
      <c r="W186" s="318"/>
      <c r="X186" s="314"/>
      <c r="Y186" s="314"/>
      <c r="Z186" s="697"/>
      <c r="AA186" s="315"/>
      <c r="AB186" s="314"/>
      <c r="AC186" s="314"/>
      <c r="AD186" s="324"/>
      <c r="AE186" s="155"/>
      <c r="AF186" s="155"/>
      <c r="AG186" s="322"/>
      <c r="AH186" s="155"/>
      <c r="AI186" s="132"/>
    </row>
    <row r="187">
      <c r="A187" s="314"/>
      <c r="B187" s="695"/>
      <c r="C187" s="696"/>
      <c r="D187" s="312"/>
      <c r="E187" s="314"/>
      <c r="F187" s="314"/>
      <c r="G187" s="314"/>
      <c r="H187" s="314"/>
      <c r="I187" s="318"/>
      <c r="J187" s="314"/>
      <c r="K187" s="314"/>
      <c r="L187" s="314"/>
      <c r="M187" s="314"/>
      <c r="N187" s="314"/>
      <c r="O187" s="314"/>
      <c r="P187" s="318"/>
      <c r="Q187" s="314"/>
      <c r="R187" s="316"/>
      <c r="S187" s="314"/>
      <c r="T187" s="314"/>
      <c r="U187" s="314"/>
      <c r="V187" s="314"/>
      <c r="W187" s="318"/>
      <c r="X187" s="314"/>
      <c r="Y187" s="314"/>
      <c r="Z187" s="697"/>
      <c r="AA187" s="315"/>
      <c r="AB187" s="314"/>
      <c r="AC187" s="314"/>
      <c r="AD187" s="324"/>
      <c r="AE187" s="155"/>
      <c r="AF187" s="155"/>
      <c r="AG187" s="322"/>
      <c r="AH187" s="155"/>
      <c r="AI187" s="132"/>
    </row>
    <row r="188">
      <c r="A188" s="314"/>
      <c r="B188" s="695"/>
      <c r="C188" s="696"/>
      <c r="D188" s="312"/>
      <c r="E188" s="314"/>
      <c r="F188" s="314"/>
      <c r="G188" s="314"/>
      <c r="H188" s="314"/>
      <c r="I188" s="318"/>
      <c r="J188" s="314"/>
      <c r="K188" s="314"/>
      <c r="L188" s="314"/>
      <c r="M188" s="314"/>
      <c r="N188" s="314"/>
      <c r="O188" s="314"/>
      <c r="P188" s="318"/>
      <c r="Q188" s="314"/>
      <c r="R188" s="316"/>
      <c r="S188" s="314"/>
      <c r="T188" s="314"/>
      <c r="U188" s="314"/>
      <c r="V188" s="314"/>
      <c r="W188" s="318"/>
      <c r="X188" s="314"/>
      <c r="Y188" s="314"/>
      <c r="Z188" s="697"/>
      <c r="AA188" s="315"/>
      <c r="AB188" s="314"/>
      <c r="AC188" s="314"/>
      <c r="AD188" s="324"/>
      <c r="AE188" s="155"/>
      <c r="AF188" s="155"/>
      <c r="AG188" s="322"/>
      <c r="AH188" s="155"/>
      <c r="AI188" s="132"/>
    </row>
    <row r="189">
      <c r="A189" s="314"/>
      <c r="B189" s="695"/>
      <c r="C189" s="696"/>
      <c r="D189" s="312"/>
      <c r="E189" s="314"/>
      <c r="F189" s="314"/>
      <c r="G189" s="314"/>
      <c r="H189" s="314"/>
      <c r="I189" s="318"/>
      <c r="J189" s="314"/>
      <c r="K189" s="314"/>
      <c r="L189" s="314"/>
      <c r="M189" s="314"/>
      <c r="N189" s="314"/>
      <c r="O189" s="314"/>
      <c r="P189" s="318"/>
      <c r="Q189" s="314"/>
      <c r="R189" s="316"/>
      <c r="S189" s="314"/>
      <c r="T189" s="314"/>
      <c r="U189" s="314"/>
      <c r="V189" s="314"/>
      <c r="W189" s="318"/>
      <c r="X189" s="314"/>
      <c r="Y189" s="314"/>
      <c r="Z189" s="697"/>
      <c r="AA189" s="315"/>
      <c r="AB189" s="314"/>
      <c r="AC189" s="314"/>
      <c r="AD189" s="324"/>
      <c r="AE189" s="155"/>
      <c r="AF189" s="155"/>
      <c r="AG189" s="322"/>
      <c r="AH189" s="155"/>
      <c r="AI189" s="132"/>
    </row>
    <row r="190">
      <c r="A190" s="314"/>
      <c r="B190" s="695"/>
      <c r="C190" s="696"/>
      <c r="D190" s="312"/>
      <c r="E190" s="314"/>
      <c r="F190" s="314"/>
      <c r="G190" s="314"/>
      <c r="H190" s="314"/>
      <c r="I190" s="318"/>
      <c r="J190" s="314"/>
      <c r="K190" s="314"/>
      <c r="L190" s="314"/>
      <c r="M190" s="314"/>
      <c r="N190" s="314"/>
      <c r="O190" s="314"/>
      <c r="P190" s="318"/>
      <c r="Q190" s="314"/>
      <c r="R190" s="316"/>
      <c r="S190" s="314"/>
      <c r="T190" s="314"/>
      <c r="U190" s="314"/>
      <c r="V190" s="314"/>
      <c r="W190" s="318"/>
      <c r="X190" s="314"/>
      <c r="Y190" s="314"/>
      <c r="Z190" s="697"/>
      <c r="AA190" s="315"/>
      <c r="AB190" s="314"/>
      <c r="AC190" s="314"/>
      <c r="AD190" s="324"/>
      <c r="AE190" s="155"/>
      <c r="AF190" s="155"/>
      <c r="AG190" s="322"/>
      <c r="AH190" s="155"/>
      <c r="AI190" s="132"/>
    </row>
    <row r="191">
      <c r="A191" s="314"/>
      <c r="B191" s="695"/>
      <c r="C191" s="696"/>
      <c r="D191" s="312"/>
      <c r="E191" s="314"/>
      <c r="F191" s="314"/>
      <c r="G191" s="314"/>
      <c r="H191" s="314"/>
      <c r="I191" s="318"/>
      <c r="J191" s="314"/>
      <c r="K191" s="314"/>
      <c r="L191" s="314"/>
      <c r="M191" s="314"/>
      <c r="N191" s="314"/>
      <c r="O191" s="314"/>
      <c r="P191" s="318"/>
      <c r="Q191" s="314"/>
      <c r="R191" s="316"/>
      <c r="S191" s="314"/>
      <c r="T191" s="314"/>
      <c r="U191" s="314"/>
      <c r="V191" s="314"/>
      <c r="W191" s="318"/>
      <c r="X191" s="314"/>
      <c r="Y191" s="314"/>
      <c r="Z191" s="697"/>
      <c r="AA191" s="315"/>
      <c r="AB191" s="314"/>
      <c r="AC191" s="314"/>
      <c r="AD191" s="324"/>
      <c r="AE191" s="155"/>
      <c r="AF191" s="155"/>
      <c r="AG191" s="322"/>
      <c r="AH191" s="155"/>
      <c r="AI191" s="132"/>
    </row>
    <row r="192">
      <c r="A192" s="314"/>
      <c r="B192" s="695"/>
      <c r="C192" s="696"/>
      <c r="D192" s="312"/>
      <c r="E192" s="314"/>
      <c r="F192" s="314"/>
      <c r="G192" s="314"/>
      <c r="H192" s="314"/>
      <c r="I192" s="318"/>
      <c r="J192" s="314"/>
      <c r="K192" s="314"/>
      <c r="L192" s="314"/>
      <c r="M192" s="314"/>
      <c r="N192" s="314"/>
      <c r="O192" s="314"/>
      <c r="P192" s="318"/>
      <c r="Q192" s="314"/>
      <c r="R192" s="316"/>
      <c r="S192" s="314"/>
      <c r="T192" s="314"/>
      <c r="U192" s="314"/>
      <c r="V192" s="314"/>
      <c r="W192" s="318"/>
      <c r="X192" s="314"/>
      <c r="Y192" s="314"/>
      <c r="Z192" s="697"/>
      <c r="AA192" s="315"/>
      <c r="AB192" s="314"/>
      <c r="AC192" s="314"/>
      <c r="AD192" s="324"/>
      <c r="AE192" s="155"/>
      <c r="AF192" s="155"/>
      <c r="AG192" s="322"/>
      <c r="AH192" s="155"/>
      <c r="AI192" s="132"/>
    </row>
    <row r="193">
      <c r="A193" s="314"/>
      <c r="B193" s="695"/>
      <c r="C193" s="696"/>
      <c r="D193" s="312"/>
      <c r="E193" s="314"/>
      <c r="F193" s="314"/>
      <c r="G193" s="314"/>
      <c r="H193" s="314"/>
      <c r="I193" s="318"/>
      <c r="J193" s="314"/>
      <c r="K193" s="314"/>
      <c r="L193" s="314"/>
      <c r="M193" s="314"/>
      <c r="N193" s="314"/>
      <c r="O193" s="314"/>
      <c r="P193" s="318"/>
      <c r="Q193" s="314"/>
      <c r="R193" s="316"/>
      <c r="S193" s="314"/>
      <c r="T193" s="314"/>
      <c r="U193" s="314"/>
      <c r="V193" s="314"/>
      <c r="W193" s="318"/>
      <c r="X193" s="314"/>
      <c r="Y193" s="314"/>
      <c r="Z193" s="697"/>
      <c r="AA193" s="315"/>
      <c r="AB193" s="314"/>
      <c r="AC193" s="314"/>
      <c r="AD193" s="324"/>
      <c r="AE193" s="155"/>
      <c r="AF193" s="155"/>
      <c r="AG193" s="322"/>
      <c r="AH193" s="155"/>
      <c r="AI193" s="132"/>
    </row>
    <row r="194">
      <c r="A194" s="314"/>
      <c r="B194" s="695"/>
      <c r="C194" s="696"/>
      <c r="D194" s="312"/>
      <c r="E194" s="314"/>
      <c r="F194" s="314"/>
      <c r="G194" s="314"/>
      <c r="H194" s="314"/>
      <c r="I194" s="318"/>
      <c r="J194" s="314"/>
      <c r="K194" s="314"/>
      <c r="L194" s="314"/>
      <c r="M194" s="314"/>
      <c r="N194" s="314"/>
      <c r="O194" s="314"/>
      <c r="P194" s="318"/>
      <c r="Q194" s="314"/>
      <c r="R194" s="316"/>
      <c r="S194" s="314"/>
      <c r="T194" s="314"/>
      <c r="U194" s="314"/>
      <c r="V194" s="314"/>
      <c r="W194" s="318"/>
      <c r="X194" s="314"/>
      <c r="Y194" s="314"/>
      <c r="Z194" s="697"/>
      <c r="AA194" s="315"/>
      <c r="AB194" s="314"/>
      <c r="AC194" s="314"/>
      <c r="AD194" s="324"/>
      <c r="AE194" s="155"/>
      <c r="AF194" s="155"/>
      <c r="AG194" s="322"/>
      <c r="AH194" s="155"/>
      <c r="AI194" s="132"/>
    </row>
    <row r="195">
      <c r="A195" s="314"/>
      <c r="B195" s="695"/>
      <c r="C195" s="696"/>
      <c r="D195" s="312"/>
      <c r="E195" s="314"/>
      <c r="F195" s="314"/>
      <c r="G195" s="314"/>
      <c r="H195" s="314"/>
      <c r="I195" s="318"/>
      <c r="J195" s="314"/>
      <c r="K195" s="314"/>
      <c r="L195" s="314"/>
      <c r="M195" s="314"/>
      <c r="N195" s="314"/>
      <c r="O195" s="314"/>
      <c r="P195" s="318"/>
      <c r="Q195" s="314"/>
      <c r="R195" s="316"/>
      <c r="S195" s="314"/>
      <c r="T195" s="314"/>
      <c r="U195" s="314"/>
      <c r="V195" s="314"/>
      <c r="W195" s="318"/>
      <c r="X195" s="314"/>
      <c r="Y195" s="314"/>
      <c r="Z195" s="697"/>
      <c r="AA195" s="315"/>
      <c r="AB195" s="314"/>
      <c r="AC195" s="314"/>
      <c r="AD195" s="324"/>
      <c r="AE195" s="155"/>
      <c r="AF195" s="155"/>
      <c r="AG195" s="322"/>
      <c r="AH195" s="155"/>
      <c r="AI195" s="132"/>
    </row>
    <row r="196">
      <c r="A196" s="314"/>
      <c r="B196" s="695"/>
      <c r="C196" s="696"/>
      <c r="D196" s="312"/>
      <c r="E196" s="314"/>
      <c r="F196" s="314"/>
      <c r="G196" s="314"/>
      <c r="H196" s="314"/>
      <c r="I196" s="318"/>
      <c r="J196" s="314"/>
      <c r="K196" s="314"/>
      <c r="L196" s="314"/>
      <c r="M196" s="314"/>
      <c r="N196" s="314"/>
      <c r="O196" s="314"/>
      <c r="P196" s="318"/>
      <c r="Q196" s="314"/>
      <c r="R196" s="316"/>
      <c r="S196" s="314"/>
      <c r="T196" s="314"/>
      <c r="U196" s="314"/>
      <c r="V196" s="314"/>
      <c r="W196" s="318"/>
      <c r="X196" s="314"/>
      <c r="Y196" s="314"/>
      <c r="Z196" s="697"/>
      <c r="AA196" s="315"/>
      <c r="AB196" s="314"/>
      <c r="AC196" s="314"/>
      <c r="AD196" s="324"/>
      <c r="AE196" s="155"/>
      <c r="AF196" s="155"/>
      <c r="AG196" s="322"/>
      <c r="AH196" s="155"/>
      <c r="AI196" s="132"/>
    </row>
    <row r="197">
      <c r="A197" s="314"/>
      <c r="B197" s="695"/>
      <c r="C197" s="696"/>
      <c r="D197" s="312"/>
      <c r="E197" s="314"/>
      <c r="F197" s="314"/>
      <c r="G197" s="314"/>
      <c r="H197" s="314"/>
      <c r="I197" s="318"/>
      <c r="J197" s="314"/>
      <c r="K197" s="314"/>
      <c r="L197" s="314"/>
      <c r="M197" s="314"/>
      <c r="N197" s="314"/>
      <c r="O197" s="314"/>
      <c r="P197" s="318"/>
      <c r="Q197" s="314"/>
      <c r="R197" s="316"/>
      <c r="S197" s="314"/>
      <c r="T197" s="314"/>
      <c r="U197" s="314"/>
      <c r="V197" s="314"/>
      <c r="W197" s="318"/>
      <c r="X197" s="314"/>
      <c r="Y197" s="314"/>
      <c r="Z197" s="697"/>
      <c r="AA197" s="315"/>
      <c r="AB197" s="314"/>
      <c r="AC197" s="314"/>
      <c r="AD197" s="324"/>
      <c r="AE197" s="155"/>
      <c r="AF197" s="155"/>
      <c r="AG197" s="322"/>
      <c r="AH197" s="155"/>
      <c r="AI197" s="132"/>
    </row>
    <row r="198">
      <c r="A198" s="314"/>
      <c r="B198" s="695"/>
      <c r="C198" s="696"/>
      <c r="D198" s="312"/>
      <c r="E198" s="314"/>
      <c r="F198" s="314"/>
      <c r="G198" s="314"/>
      <c r="H198" s="314"/>
      <c r="I198" s="318"/>
      <c r="J198" s="314"/>
      <c r="K198" s="314"/>
      <c r="L198" s="314"/>
      <c r="M198" s="314"/>
      <c r="N198" s="314"/>
      <c r="O198" s="314"/>
      <c r="P198" s="318"/>
      <c r="Q198" s="314"/>
      <c r="R198" s="316"/>
      <c r="S198" s="314"/>
      <c r="T198" s="314"/>
      <c r="U198" s="314"/>
      <c r="V198" s="314"/>
      <c r="W198" s="318"/>
      <c r="X198" s="314"/>
      <c r="Y198" s="314"/>
      <c r="Z198" s="697"/>
      <c r="AA198" s="315"/>
      <c r="AB198" s="314"/>
      <c r="AC198" s="314"/>
      <c r="AD198" s="324"/>
      <c r="AE198" s="155"/>
      <c r="AF198" s="155"/>
      <c r="AG198" s="322"/>
      <c r="AH198" s="155"/>
      <c r="AI198" s="132"/>
    </row>
    <row r="199">
      <c r="A199" s="314"/>
      <c r="B199" s="695"/>
      <c r="C199" s="696"/>
      <c r="D199" s="312"/>
      <c r="E199" s="314"/>
      <c r="F199" s="314"/>
      <c r="G199" s="314"/>
      <c r="H199" s="314"/>
      <c r="I199" s="318"/>
      <c r="J199" s="314"/>
      <c r="K199" s="314"/>
      <c r="L199" s="314"/>
      <c r="M199" s="314"/>
      <c r="N199" s="314"/>
      <c r="O199" s="314"/>
      <c r="P199" s="318"/>
      <c r="Q199" s="314"/>
      <c r="R199" s="316"/>
      <c r="S199" s="314"/>
      <c r="T199" s="314"/>
      <c r="U199" s="314"/>
      <c r="V199" s="314"/>
      <c r="W199" s="318"/>
      <c r="X199" s="314"/>
      <c r="Y199" s="314"/>
      <c r="Z199" s="697"/>
      <c r="AA199" s="315"/>
      <c r="AB199" s="314"/>
      <c r="AC199" s="314"/>
      <c r="AD199" s="324"/>
      <c r="AE199" s="155"/>
      <c r="AF199" s="155"/>
      <c r="AG199" s="322"/>
      <c r="AH199" s="155"/>
      <c r="AI199" s="132"/>
    </row>
    <row r="200">
      <c r="A200" s="314"/>
      <c r="B200" s="695"/>
      <c r="C200" s="696"/>
      <c r="D200" s="312"/>
      <c r="E200" s="314"/>
      <c r="F200" s="314"/>
      <c r="G200" s="314"/>
      <c r="H200" s="314"/>
      <c r="I200" s="318"/>
      <c r="J200" s="314"/>
      <c r="K200" s="314"/>
      <c r="L200" s="314"/>
      <c r="M200" s="314"/>
      <c r="N200" s="314"/>
      <c r="O200" s="314"/>
      <c r="P200" s="318"/>
      <c r="Q200" s="314"/>
      <c r="R200" s="316"/>
      <c r="S200" s="314"/>
      <c r="T200" s="314"/>
      <c r="U200" s="314"/>
      <c r="V200" s="314"/>
      <c r="W200" s="318"/>
      <c r="X200" s="314"/>
      <c r="Y200" s="314"/>
      <c r="Z200" s="697"/>
      <c r="AA200" s="315"/>
      <c r="AB200" s="314"/>
      <c r="AC200" s="314"/>
      <c r="AD200" s="324"/>
      <c r="AE200" s="155"/>
      <c r="AF200" s="155"/>
      <c r="AG200" s="322"/>
      <c r="AH200" s="155"/>
      <c r="AI200" s="132"/>
    </row>
    <row r="201">
      <c r="A201" s="314"/>
      <c r="B201" s="695"/>
      <c r="C201" s="696"/>
      <c r="D201" s="312"/>
      <c r="E201" s="314"/>
      <c r="F201" s="314"/>
      <c r="G201" s="314"/>
      <c r="H201" s="314"/>
      <c r="I201" s="318"/>
      <c r="J201" s="314"/>
      <c r="K201" s="314"/>
      <c r="L201" s="314"/>
      <c r="M201" s="314"/>
      <c r="N201" s="314"/>
      <c r="O201" s="314"/>
      <c r="P201" s="318"/>
      <c r="Q201" s="314"/>
      <c r="R201" s="316"/>
      <c r="S201" s="314"/>
      <c r="T201" s="314"/>
      <c r="U201" s="314"/>
      <c r="V201" s="314"/>
      <c r="W201" s="318"/>
      <c r="X201" s="314"/>
      <c r="Y201" s="314"/>
      <c r="Z201" s="697"/>
      <c r="AA201" s="315"/>
      <c r="AB201" s="314"/>
      <c r="AC201" s="314"/>
      <c r="AD201" s="324"/>
      <c r="AE201" s="155"/>
      <c r="AF201" s="155"/>
      <c r="AG201" s="322"/>
      <c r="AH201" s="155"/>
      <c r="AI201" s="132"/>
    </row>
    <row r="202">
      <c r="A202" s="314"/>
      <c r="B202" s="695"/>
      <c r="C202" s="696"/>
      <c r="D202" s="312"/>
      <c r="E202" s="314"/>
      <c r="F202" s="314"/>
      <c r="G202" s="314"/>
      <c r="H202" s="314"/>
      <c r="I202" s="318"/>
      <c r="J202" s="314"/>
      <c r="K202" s="314"/>
      <c r="L202" s="314"/>
      <c r="M202" s="314"/>
      <c r="N202" s="314"/>
      <c r="O202" s="314"/>
      <c r="P202" s="318"/>
      <c r="Q202" s="314"/>
      <c r="R202" s="316"/>
      <c r="S202" s="314"/>
      <c r="T202" s="314"/>
      <c r="U202" s="314"/>
      <c r="V202" s="314"/>
      <c r="W202" s="318"/>
      <c r="X202" s="314"/>
      <c r="Y202" s="314"/>
      <c r="Z202" s="697"/>
      <c r="AA202" s="315"/>
      <c r="AB202" s="314"/>
      <c r="AC202" s="314"/>
      <c r="AD202" s="324"/>
      <c r="AE202" s="155"/>
      <c r="AF202" s="155"/>
      <c r="AG202" s="322"/>
      <c r="AH202" s="155"/>
      <c r="AI202" s="132"/>
    </row>
    <row r="203">
      <c r="A203" s="314"/>
      <c r="B203" s="695"/>
      <c r="C203" s="696"/>
      <c r="D203" s="312"/>
      <c r="E203" s="314"/>
      <c r="F203" s="314"/>
      <c r="G203" s="314"/>
      <c r="H203" s="314"/>
      <c r="I203" s="318"/>
      <c r="J203" s="314"/>
      <c r="K203" s="314"/>
      <c r="L203" s="314"/>
      <c r="M203" s="314"/>
      <c r="N203" s="314"/>
      <c r="O203" s="314"/>
      <c r="P203" s="318"/>
      <c r="Q203" s="314"/>
      <c r="R203" s="316"/>
      <c r="S203" s="314"/>
      <c r="T203" s="314"/>
      <c r="U203" s="314"/>
      <c r="V203" s="314"/>
      <c r="W203" s="318"/>
      <c r="X203" s="314"/>
      <c r="Y203" s="314"/>
      <c r="Z203" s="697"/>
      <c r="AA203" s="315"/>
      <c r="AB203" s="314"/>
      <c r="AC203" s="314"/>
      <c r="AD203" s="324"/>
      <c r="AE203" s="155"/>
      <c r="AF203" s="155"/>
      <c r="AG203" s="322"/>
      <c r="AH203" s="155"/>
      <c r="AI203" s="132"/>
    </row>
    <row r="204">
      <c r="A204" s="314"/>
      <c r="B204" s="695"/>
      <c r="C204" s="696"/>
      <c r="D204" s="312"/>
      <c r="E204" s="314"/>
      <c r="F204" s="314"/>
      <c r="G204" s="314"/>
      <c r="H204" s="314"/>
      <c r="I204" s="318"/>
      <c r="J204" s="314"/>
      <c r="K204" s="314"/>
      <c r="L204" s="314"/>
      <c r="M204" s="314"/>
      <c r="N204" s="314"/>
      <c r="O204" s="314"/>
      <c r="P204" s="318"/>
      <c r="Q204" s="314"/>
      <c r="R204" s="316"/>
      <c r="S204" s="314"/>
      <c r="T204" s="314"/>
      <c r="U204" s="314"/>
      <c r="V204" s="314"/>
      <c r="W204" s="318"/>
      <c r="X204" s="314"/>
      <c r="Y204" s="314"/>
      <c r="Z204" s="697"/>
      <c r="AA204" s="315"/>
      <c r="AB204" s="314"/>
      <c r="AC204" s="314"/>
      <c r="AD204" s="324"/>
      <c r="AE204" s="155"/>
      <c r="AF204" s="155"/>
      <c r="AG204" s="322"/>
      <c r="AH204" s="155"/>
      <c r="AI204" s="132"/>
    </row>
    <row r="205">
      <c r="A205" s="314"/>
      <c r="B205" s="695"/>
      <c r="C205" s="696"/>
      <c r="D205" s="312"/>
      <c r="E205" s="314"/>
      <c r="F205" s="314"/>
      <c r="G205" s="314"/>
      <c r="H205" s="314"/>
      <c r="I205" s="318"/>
      <c r="J205" s="314"/>
      <c r="K205" s="314"/>
      <c r="L205" s="314"/>
      <c r="M205" s="314"/>
      <c r="N205" s="314"/>
      <c r="O205" s="314"/>
      <c r="P205" s="318"/>
      <c r="Q205" s="314"/>
      <c r="R205" s="316"/>
      <c r="S205" s="314"/>
      <c r="T205" s="314"/>
      <c r="U205" s="314"/>
      <c r="V205" s="314"/>
      <c r="W205" s="318"/>
      <c r="X205" s="314"/>
      <c r="Y205" s="314"/>
      <c r="Z205" s="697"/>
      <c r="AA205" s="315"/>
      <c r="AB205" s="314"/>
      <c r="AC205" s="314"/>
      <c r="AD205" s="324"/>
      <c r="AE205" s="155"/>
      <c r="AF205" s="155"/>
      <c r="AG205" s="322"/>
      <c r="AH205" s="155"/>
      <c r="AI205" s="132"/>
    </row>
    <row r="206">
      <c r="A206" s="314"/>
      <c r="B206" s="695"/>
      <c r="C206" s="696"/>
      <c r="D206" s="312"/>
      <c r="E206" s="314"/>
      <c r="F206" s="314"/>
      <c r="G206" s="314"/>
      <c r="H206" s="314"/>
      <c r="I206" s="318"/>
      <c r="J206" s="314"/>
      <c r="K206" s="314"/>
      <c r="L206" s="314"/>
      <c r="M206" s="314"/>
      <c r="N206" s="314"/>
      <c r="O206" s="314"/>
      <c r="P206" s="318"/>
      <c r="Q206" s="314"/>
      <c r="R206" s="316"/>
      <c r="S206" s="314"/>
      <c r="T206" s="314"/>
      <c r="U206" s="314"/>
      <c r="V206" s="314"/>
      <c r="W206" s="318"/>
      <c r="X206" s="314"/>
      <c r="Y206" s="314"/>
      <c r="Z206" s="697"/>
      <c r="AA206" s="315"/>
      <c r="AB206" s="314"/>
      <c r="AC206" s="314"/>
      <c r="AD206" s="324"/>
      <c r="AE206" s="155"/>
      <c r="AF206" s="155"/>
      <c r="AG206" s="322"/>
      <c r="AH206" s="155"/>
      <c r="AI206" s="132"/>
    </row>
    <row r="207">
      <c r="A207" s="314"/>
      <c r="B207" s="695"/>
      <c r="C207" s="696"/>
      <c r="D207" s="312"/>
      <c r="E207" s="314"/>
      <c r="F207" s="314"/>
      <c r="G207" s="314"/>
      <c r="H207" s="314"/>
      <c r="I207" s="318"/>
      <c r="J207" s="314"/>
      <c r="K207" s="314"/>
      <c r="L207" s="314"/>
      <c r="M207" s="314"/>
      <c r="N207" s="314"/>
      <c r="O207" s="314"/>
      <c r="P207" s="318"/>
      <c r="Q207" s="314"/>
      <c r="R207" s="316"/>
      <c r="S207" s="314"/>
      <c r="T207" s="314"/>
      <c r="U207" s="314"/>
      <c r="V207" s="314"/>
      <c r="W207" s="318"/>
      <c r="X207" s="314"/>
      <c r="Y207" s="314"/>
      <c r="Z207" s="697"/>
      <c r="AA207" s="315"/>
      <c r="AB207" s="314"/>
      <c r="AC207" s="314"/>
      <c r="AD207" s="324"/>
      <c r="AE207" s="155"/>
      <c r="AF207" s="155"/>
      <c r="AG207" s="322"/>
      <c r="AH207" s="155"/>
      <c r="AI207" s="132"/>
    </row>
    <row r="208">
      <c r="A208" s="314"/>
      <c r="B208" s="695"/>
      <c r="C208" s="696"/>
      <c r="D208" s="312"/>
      <c r="E208" s="314"/>
      <c r="F208" s="314"/>
      <c r="G208" s="314"/>
      <c r="H208" s="314"/>
      <c r="I208" s="318"/>
      <c r="J208" s="314"/>
      <c r="K208" s="314"/>
      <c r="L208" s="314"/>
      <c r="M208" s="314"/>
      <c r="N208" s="314"/>
      <c r="O208" s="314"/>
      <c r="P208" s="318"/>
      <c r="Q208" s="314"/>
      <c r="R208" s="316"/>
      <c r="S208" s="314"/>
      <c r="T208" s="314"/>
      <c r="U208" s="314"/>
      <c r="V208" s="314"/>
      <c r="W208" s="318"/>
      <c r="X208" s="314"/>
      <c r="Y208" s="314"/>
      <c r="Z208" s="697"/>
      <c r="AA208" s="315"/>
      <c r="AB208" s="314"/>
      <c r="AC208" s="314"/>
      <c r="AD208" s="324"/>
      <c r="AE208" s="155"/>
      <c r="AF208" s="155"/>
      <c r="AG208" s="322"/>
      <c r="AH208" s="155"/>
      <c r="AI208" s="132"/>
    </row>
    <row r="209">
      <c r="A209" s="314"/>
      <c r="B209" s="695"/>
      <c r="C209" s="696"/>
      <c r="D209" s="312"/>
      <c r="E209" s="314"/>
      <c r="F209" s="314"/>
      <c r="G209" s="314"/>
      <c r="H209" s="314"/>
      <c r="I209" s="318"/>
      <c r="J209" s="314"/>
      <c r="K209" s="314"/>
      <c r="L209" s="314"/>
      <c r="M209" s="314"/>
      <c r="N209" s="314"/>
      <c r="O209" s="314"/>
      <c r="P209" s="318"/>
      <c r="Q209" s="314"/>
      <c r="R209" s="316"/>
      <c r="S209" s="314"/>
      <c r="T209" s="314"/>
      <c r="U209" s="314"/>
      <c r="V209" s="314"/>
      <c r="W209" s="318"/>
      <c r="X209" s="314"/>
      <c r="Y209" s="314"/>
      <c r="Z209" s="697"/>
      <c r="AA209" s="315"/>
      <c r="AB209" s="314"/>
      <c r="AC209" s="314"/>
      <c r="AD209" s="324"/>
      <c r="AE209" s="155"/>
      <c r="AF209" s="155"/>
      <c r="AG209" s="322"/>
      <c r="AH209" s="155"/>
      <c r="AI209" s="132"/>
    </row>
    <row r="210">
      <c r="A210" s="314"/>
      <c r="B210" s="695"/>
      <c r="C210" s="696"/>
      <c r="D210" s="312"/>
      <c r="E210" s="314"/>
      <c r="F210" s="314"/>
      <c r="G210" s="314"/>
      <c r="H210" s="314"/>
      <c r="I210" s="318"/>
      <c r="J210" s="314"/>
      <c r="K210" s="314"/>
      <c r="L210" s="314"/>
      <c r="M210" s="314"/>
      <c r="N210" s="314"/>
      <c r="O210" s="314"/>
      <c r="P210" s="318"/>
      <c r="Q210" s="314"/>
      <c r="R210" s="316"/>
      <c r="S210" s="314"/>
      <c r="T210" s="314"/>
      <c r="U210" s="314"/>
      <c r="V210" s="314"/>
      <c r="W210" s="318"/>
      <c r="X210" s="314"/>
      <c r="Y210" s="314"/>
      <c r="Z210" s="697"/>
      <c r="AA210" s="315"/>
      <c r="AB210" s="314"/>
      <c r="AC210" s="314"/>
      <c r="AD210" s="324"/>
      <c r="AE210" s="155"/>
      <c r="AF210" s="155"/>
      <c r="AG210" s="322"/>
      <c r="AH210" s="155"/>
      <c r="AI210" s="132"/>
    </row>
    <row r="211">
      <c r="A211" s="314"/>
      <c r="B211" s="695"/>
      <c r="C211" s="696"/>
      <c r="D211" s="312"/>
      <c r="E211" s="314"/>
      <c r="F211" s="314"/>
      <c r="G211" s="314"/>
      <c r="H211" s="314"/>
      <c r="I211" s="318"/>
      <c r="J211" s="314"/>
      <c r="K211" s="314"/>
      <c r="L211" s="314"/>
      <c r="M211" s="314"/>
      <c r="N211" s="314"/>
      <c r="O211" s="314"/>
      <c r="P211" s="318"/>
      <c r="Q211" s="314"/>
      <c r="R211" s="316"/>
      <c r="S211" s="314"/>
      <c r="T211" s="314"/>
      <c r="U211" s="314"/>
      <c r="V211" s="314"/>
      <c r="W211" s="318"/>
      <c r="X211" s="314"/>
      <c r="Y211" s="314"/>
      <c r="Z211" s="697"/>
      <c r="AA211" s="315"/>
      <c r="AB211" s="314"/>
      <c r="AC211" s="314"/>
      <c r="AD211" s="324"/>
      <c r="AE211" s="155"/>
      <c r="AF211" s="155"/>
      <c r="AG211" s="322"/>
      <c r="AH211" s="155"/>
      <c r="AI211" s="132"/>
    </row>
    <row r="212">
      <c r="A212" s="314"/>
      <c r="B212" s="695"/>
      <c r="C212" s="696"/>
      <c r="D212" s="312"/>
      <c r="E212" s="314"/>
      <c r="F212" s="314"/>
      <c r="G212" s="314"/>
      <c r="H212" s="314"/>
      <c r="I212" s="318"/>
      <c r="J212" s="314"/>
      <c r="K212" s="314"/>
      <c r="L212" s="314"/>
      <c r="M212" s="314"/>
      <c r="N212" s="314"/>
      <c r="O212" s="314"/>
      <c r="P212" s="318"/>
      <c r="Q212" s="314"/>
      <c r="R212" s="316"/>
      <c r="S212" s="314"/>
      <c r="T212" s="314"/>
      <c r="U212" s="314"/>
      <c r="V212" s="314"/>
      <c r="W212" s="318"/>
      <c r="X212" s="314"/>
      <c r="Y212" s="314"/>
      <c r="Z212" s="697"/>
      <c r="AA212" s="315"/>
      <c r="AB212" s="314"/>
      <c r="AC212" s="314"/>
      <c r="AD212" s="324"/>
      <c r="AE212" s="155"/>
      <c r="AF212" s="155"/>
      <c r="AG212" s="322"/>
      <c r="AH212" s="155"/>
      <c r="AI212" s="132"/>
    </row>
    <row r="213">
      <c r="A213" s="314"/>
      <c r="B213" s="695"/>
      <c r="C213" s="696"/>
      <c r="D213" s="312"/>
      <c r="E213" s="314"/>
      <c r="F213" s="314"/>
      <c r="G213" s="314"/>
      <c r="H213" s="314"/>
      <c r="I213" s="318"/>
      <c r="J213" s="314"/>
      <c r="K213" s="314"/>
      <c r="L213" s="314"/>
      <c r="M213" s="314"/>
      <c r="N213" s="314"/>
      <c r="O213" s="314"/>
      <c r="P213" s="318"/>
      <c r="Q213" s="314"/>
      <c r="R213" s="316"/>
      <c r="S213" s="314"/>
      <c r="T213" s="314"/>
      <c r="U213" s="314"/>
      <c r="V213" s="314"/>
      <c r="W213" s="318"/>
      <c r="X213" s="314"/>
      <c r="Y213" s="314"/>
      <c r="Z213" s="697"/>
      <c r="AA213" s="315"/>
      <c r="AB213" s="314"/>
      <c r="AC213" s="314"/>
      <c r="AD213" s="324"/>
      <c r="AE213" s="155"/>
      <c r="AF213" s="155"/>
      <c r="AG213" s="322"/>
      <c r="AH213" s="155"/>
      <c r="AI213" s="132"/>
    </row>
    <row r="214">
      <c r="A214" s="314"/>
      <c r="B214" s="695"/>
      <c r="C214" s="696"/>
      <c r="D214" s="312"/>
      <c r="E214" s="314"/>
      <c r="F214" s="314"/>
      <c r="G214" s="314"/>
      <c r="H214" s="314"/>
      <c r="I214" s="318"/>
      <c r="J214" s="314"/>
      <c r="K214" s="314"/>
      <c r="L214" s="314"/>
      <c r="M214" s="314"/>
      <c r="N214" s="314"/>
      <c r="O214" s="314"/>
      <c r="P214" s="318"/>
      <c r="Q214" s="314"/>
      <c r="R214" s="316"/>
      <c r="S214" s="314"/>
      <c r="T214" s="314"/>
      <c r="U214" s="314"/>
      <c r="V214" s="314"/>
      <c r="W214" s="318"/>
      <c r="X214" s="314"/>
      <c r="Y214" s="314"/>
      <c r="Z214" s="697"/>
      <c r="AA214" s="315"/>
      <c r="AB214" s="314"/>
      <c r="AC214" s="314"/>
      <c r="AD214" s="324"/>
      <c r="AE214" s="155"/>
      <c r="AF214" s="155"/>
      <c r="AG214" s="322"/>
      <c r="AH214" s="155"/>
      <c r="AI214" s="132"/>
    </row>
    <row r="215">
      <c r="A215" s="314"/>
      <c r="B215" s="695"/>
      <c r="C215" s="696"/>
      <c r="D215" s="312"/>
      <c r="E215" s="314"/>
      <c r="F215" s="314"/>
      <c r="G215" s="314"/>
      <c r="H215" s="314"/>
      <c r="I215" s="318"/>
      <c r="J215" s="314"/>
      <c r="K215" s="314"/>
      <c r="L215" s="314"/>
      <c r="M215" s="314"/>
      <c r="N215" s="314"/>
      <c r="O215" s="314"/>
      <c r="P215" s="318"/>
      <c r="Q215" s="314"/>
      <c r="R215" s="316"/>
      <c r="S215" s="314"/>
      <c r="T215" s="314"/>
      <c r="U215" s="314"/>
      <c r="V215" s="314"/>
      <c r="W215" s="318"/>
      <c r="X215" s="314"/>
      <c r="Y215" s="314"/>
      <c r="Z215" s="697"/>
      <c r="AA215" s="315"/>
      <c r="AB215" s="314"/>
      <c r="AC215" s="314"/>
      <c r="AD215" s="324"/>
      <c r="AE215" s="155"/>
      <c r="AF215" s="155"/>
      <c r="AG215" s="322"/>
      <c r="AH215" s="155"/>
      <c r="AI215" s="132"/>
    </row>
    <row r="216">
      <c r="A216" s="314"/>
      <c r="B216" s="695"/>
      <c r="C216" s="696"/>
      <c r="D216" s="312"/>
      <c r="E216" s="314"/>
      <c r="F216" s="314"/>
      <c r="G216" s="314"/>
      <c r="H216" s="314"/>
      <c r="I216" s="318"/>
      <c r="J216" s="314"/>
      <c r="K216" s="314"/>
      <c r="L216" s="314"/>
      <c r="M216" s="314"/>
      <c r="N216" s="314"/>
      <c r="O216" s="314"/>
      <c r="P216" s="318"/>
      <c r="Q216" s="314"/>
      <c r="R216" s="316"/>
      <c r="S216" s="314"/>
      <c r="T216" s="314"/>
      <c r="U216" s="314"/>
      <c r="V216" s="314"/>
      <c r="W216" s="318"/>
      <c r="X216" s="314"/>
      <c r="Y216" s="314"/>
      <c r="Z216" s="697"/>
      <c r="AA216" s="315"/>
      <c r="AB216" s="314"/>
      <c r="AC216" s="314"/>
      <c r="AD216" s="324"/>
      <c r="AE216" s="155"/>
      <c r="AF216" s="155"/>
      <c r="AG216" s="322"/>
      <c r="AH216" s="155"/>
      <c r="AI216" s="132"/>
    </row>
    <row r="217">
      <c r="A217" s="314"/>
      <c r="B217" s="695"/>
      <c r="C217" s="696"/>
      <c r="D217" s="312"/>
      <c r="E217" s="314"/>
      <c r="F217" s="314"/>
      <c r="G217" s="314"/>
      <c r="H217" s="314"/>
      <c r="I217" s="318"/>
      <c r="J217" s="314"/>
      <c r="K217" s="314"/>
      <c r="L217" s="314"/>
      <c r="M217" s="314"/>
      <c r="N217" s="314"/>
      <c r="O217" s="314"/>
      <c r="P217" s="318"/>
      <c r="Q217" s="314"/>
      <c r="R217" s="316"/>
      <c r="S217" s="314"/>
      <c r="T217" s="314"/>
      <c r="U217" s="314"/>
      <c r="V217" s="314"/>
      <c r="W217" s="318"/>
      <c r="X217" s="314"/>
      <c r="Y217" s="314"/>
      <c r="Z217" s="697"/>
      <c r="AA217" s="315"/>
      <c r="AB217" s="314"/>
      <c r="AC217" s="314"/>
      <c r="AD217" s="324"/>
      <c r="AE217" s="155"/>
      <c r="AF217" s="155"/>
      <c r="AG217" s="322"/>
      <c r="AH217" s="155"/>
      <c r="AI217" s="132"/>
    </row>
    <row r="218">
      <c r="A218" s="314"/>
      <c r="B218" s="695"/>
      <c r="C218" s="696"/>
      <c r="D218" s="312"/>
      <c r="E218" s="314"/>
      <c r="F218" s="314"/>
      <c r="G218" s="314"/>
      <c r="H218" s="314"/>
      <c r="I218" s="318"/>
      <c r="J218" s="314"/>
      <c r="K218" s="314"/>
      <c r="L218" s="314"/>
      <c r="M218" s="314"/>
      <c r="N218" s="314"/>
      <c r="O218" s="314"/>
      <c r="P218" s="318"/>
      <c r="Q218" s="314"/>
      <c r="R218" s="316"/>
      <c r="S218" s="314"/>
      <c r="T218" s="314"/>
      <c r="U218" s="314"/>
      <c r="V218" s="314"/>
      <c r="W218" s="318"/>
      <c r="X218" s="314"/>
      <c r="Y218" s="314"/>
      <c r="Z218" s="697"/>
      <c r="AA218" s="315"/>
      <c r="AB218" s="314"/>
      <c r="AC218" s="314"/>
      <c r="AD218" s="324"/>
      <c r="AE218" s="155"/>
      <c r="AF218" s="155"/>
      <c r="AG218" s="322"/>
      <c r="AH218" s="155"/>
      <c r="AI218" s="132"/>
    </row>
    <row r="219">
      <c r="A219" s="314"/>
      <c r="B219" s="695"/>
      <c r="C219" s="696"/>
      <c r="D219" s="312"/>
      <c r="E219" s="314"/>
      <c r="F219" s="314"/>
      <c r="G219" s="314"/>
      <c r="H219" s="314"/>
      <c r="I219" s="318"/>
      <c r="J219" s="314"/>
      <c r="K219" s="314"/>
      <c r="L219" s="314"/>
      <c r="M219" s="314"/>
      <c r="N219" s="314"/>
      <c r="O219" s="314"/>
      <c r="P219" s="318"/>
      <c r="Q219" s="314"/>
      <c r="R219" s="316"/>
      <c r="S219" s="314"/>
      <c r="T219" s="314"/>
      <c r="U219" s="314"/>
      <c r="V219" s="314"/>
      <c r="W219" s="318"/>
      <c r="X219" s="314"/>
      <c r="Y219" s="314"/>
      <c r="Z219" s="697"/>
      <c r="AA219" s="315"/>
      <c r="AB219" s="314"/>
      <c r="AC219" s="314"/>
      <c r="AD219" s="324"/>
      <c r="AE219" s="155"/>
      <c r="AF219" s="155"/>
      <c r="AG219" s="322"/>
      <c r="AH219" s="155"/>
      <c r="AI219" s="132"/>
    </row>
    <row r="220">
      <c r="A220" s="314"/>
      <c r="B220" s="695"/>
      <c r="C220" s="696"/>
      <c r="D220" s="312"/>
      <c r="E220" s="314"/>
      <c r="F220" s="314"/>
      <c r="G220" s="314"/>
      <c r="H220" s="314"/>
      <c r="I220" s="318"/>
      <c r="J220" s="314"/>
      <c r="K220" s="314"/>
      <c r="L220" s="314"/>
      <c r="M220" s="314"/>
      <c r="N220" s="314"/>
      <c r="O220" s="314"/>
      <c r="P220" s="318"/>
      <c r="Q220" s="314"/>
      <c r="R220" s="316"/>
      <c r="S220" s="314"/>
      <c r="T220" s="314"/>
      <c r="U220" s="314"/>
      <c r="V220" s="314"/>
      <c r="W220" s="318"/>
      <c r="X220" s="314"/>
      <c r="Y220" s="314"/>
      <c r="Z220" s="697"/>
      <c r="AA220" s="315"/>
      <c r="AB220" s="314"/>
      <c r="AC220" s="314"/>
      <c r="AD220" s="324"/>
      <c r="AE220" s="155"/>
      <c r="AF220" s="155"/>
      <c r="AG220" s="322"/>
      <c r="AH220" s="155"/>
      <c r="AI220" s="132"/>
    </row>
    <row r="221">
      <c r="A221" s="314"/>
      <c r="B221" s="695"/>
      <c r="C221" s="696"/>
      <c r="D221" s="312"/>
      <c r="E221" s="314"/>
      <c r="F221" s="314"/>
      <c r="G221" s="314"/>
      <c r="H221" s="314"/>
      <c r="I221" s="318"/>
      <c r="J221" s="314"/>
      <c r="K221" s="314"/>
      <c r="L221" s="314"/>
      <c r="M221" s="314"/>
      <c r="N221" s="314"/>
      <c r="O221" s="314"/>
      <c r="P221" s="318"/>
      <c r="Q221" s="314"/>
      <c r="R221" s="316"/>
      <c r="S221" s="314"/>
      <c r="T221" s="314"/>
      <c r="U221" s="314"/>
      <c r="V221" s="314"/>
      <c r="W221" s="318"/>
      <c r="X221" s="314"/>
      <c r="Y221" s="314"/>
      <c r="Z221" s="697"/>
      <c r="AA221" s="315"/>
      <c r="AB221" s="314"/>
      <c r="AC221" s="314"/>
      <c r="AD221" s="324"/>
      <c r="AE221" s="155"/>
      <c r="AF221" s="155"/>
      <c r="AG221" s="322"/>
      <c r="AH221" s="155"/>
      <c r="AI221" s="132"/>
    </row>
    <row r="222">
      <c r="A222" s="314"/>
      <c r="B222" s="695"/>
      <c r="C222" s="696"/>
      <c r="D222" s="312"/>
      <c r="E222" s="314"/>
      <c r="F222" s="314"/>
      <c r="G222" s="314"/>
      <c r="H222" s="314"/>
      <c r="I222" s="318"/>
      <c r="J222" s="314"/>
      <c r="K222" s="314"/>
      <c r="L222" s="314"/>
      <c r="M222" s="314"/>
      <c r="N222" s="314"/>
      <c r="O222" s="314"/>
      <c r="P222" s="318"/>
      <c r="Q222" s="314"/>
      <c r="R222" s="316"/>
      <c r="S222" s="314"/>
      <c r="T222" s="314"/>
      <c r="U222" s="314"/>
      <c r="V222" s="314"/>
      <c r="W222" s="318"/>
      <c r="X222" s="314"/>
      <c r="Y222" s="314"/>
      <c r="Z222" s="697"/>
      <c r="AA222" s="315"/>
      <c r="AB222" s="314"/>
      <c r="AC222" s="314"/>
      <c r="AD222" s="324"/>
      <c r="AE222" s="155"/>
      <c r="AF222" s="155"/>
      <c r="AG222" s="322"/>
      <c r="AH222" s="155"/>
      <c r="AI222" s="132"/>
    </row>
    <row r="223">
      <c r="A223" s="314"/>
      <c r="B223" s="695"/>
      <c r="C223" s="696"/>
      <c r="D223" s="312"/>
      <c r="E223" s="314"/>
      <c r="F223" s="314"/>
      <c r="G223" s="314"/>
      <c r="H223" s="314"/>
      <c r="I223" s="318"/>
      <c r="J223" s="314"/>
      <c r="K223" s="314"/>
      <c r="L223" s="314"/>
      <c r="M223" s="314"/>
      <c r="N223" s="314"/>
      <c r="O223" s="314"/>
      <c r="P223" s="318"/>
      <c r="Q223" s="314"/>
      <c r="R223" s="316"/>
      <c r="S223" s="314"/>
      <c r="T223" s="314"/>
      <c r="U223" s="314"/>
      <c r="V223" s="314"/>
      <c r="W223" s="318"/>
      <c r="X223" s="314"/>
      <c r="Y223" s="314"/>
      <c r="Z223" s="697"/>
      <c r="AA223" s="315"/>
      <c r="AB223" s="314"/>
      <c r="AC223" s="314"/>
      <c r="AD223" s="324"/>
      <c r="AE223" s="155"/>
      <c r="AF223" s="155"/>
      <c r="AG223" s="322"/>
      <c r="AH223" s="155"/>
      <c r="AI223" s="132"/>
    </row>
    <row r="224">
      <c r="A224" s="314"/>
      <c r="B224" s="695"/>
      <c r="C224" s="696"/>
      <c r="D224" s="312"/>
      <c r="E224" s="314"/>
      <c r="F224" s="314"/>
      <c r="G224" s="314"/>
      <c r="H224" s="314"/>
      <c r="I224" s="318"/>
      <c r="J224" s="314"/>
      <c r="K224" s="314"/>
      <c r="L224" s="314"/>
      <c r="M224" s="314"/>
      <c r="N224" s="314"/>
      <c r="O224" s="314"/>
      <c r="P224" s="318"/>
      <c r="Q224" s="314"/>
      <c r="R224" s="316"/>
      <c r="S224" s="314"/>
      <c r="T224" s="314"/>
      <c r="U224" s="314"/>
      <c r="V224" s="314"/>
      <c r="W224" s="318"/>
      <c r="X224" s="314"/>
      <c r="Y224" s="314"/>
      <c r="Z224" s="697"/>
      <c r="AA224" s="315"/>
      <c r="AB224" s="314"/>
      <c r="AC224" s="314"/>
      <c r="AD224" s="324"/>
      <c r="AE224" s="155"/>
      <c r="AF224" s="155"/>
      <c r="AG224" s="322"/>
      <c r="AH224" s="155"/>
      <c r="AI224" s="132"/>
    </row>
    <row r="225">
      <c r="A225" s="314"/>
      <c r="B225" s="695"/>
      <c r="C225" s="696"/>
      <c r="D225" s="312"/>
      <c r="E225" s="314"/>
      <c r="F225" s="314"/>
      <c r="G225" s="314"/>
      <c r="H225" s="314"/>
      <c r="I225" s="318"/>
      <c r="J225" s="314"/>
      <c r="K225" s="314"/>
      <c r="L225" s="314"/>
      <c r="M225" s="314"/>
      <c r="N225" s="314"/>
      <c r="O225" s="314"/>
      <c r="P225" s="318"/>
      <c r="Q225" s="314"/>
      <c r="R225" s="316"/>
      <c r="S225" s="314"/>
      <c r="T225" s="314"/>
      <c r="U225" s="314"/>
      <c r="V225" s="314"/>
      <c r="W225" s="318"/>
      <c r="X225" s="314"/>
      <c r="Y225" s="314"/>
      <c r="Z225" s="697"/>
      <c r="AA225" s="315"/>
      <c r="AB225" s="314"/>
      <c r="AC225" s="314"/>
      <c r="AD225" s="324"/>
      <c r="AE225" s="155"/>
      <c r="AF225" s="155"/>
      <c r="AG225" s="322"/>
      <c r="AH225" s="155"/>
      <c r="AI225" s="132"/>
    </row>
    <row r="226">
      <c r="A226" s="314"/>
      <c r="B226" s="695"/>
      <c r="C226" s="696"/>
      <c r="D226" s="312"/>
      <c r="E226" s="314"/>
      <c r="F226" s="314"/>
      <c r="G226" s="314"/>
      <c r="H226" s="314"/>
      <c r="I226" s="318"/>
      <c r="J226" s="314"/>
      <c r="K226" s="314"/>
      <c r="L226" s="314"/>
      <c r="M226" s="314"/>
      <c r="N226" s="314"/>
      <c r="O226" s="314"/>
      <c r="P226" s="318"/>
      <c r="Q226" s="314"/>
      <c r="R226" s="316"/>
      <c r="S226" s="314"/>
      <c r="T226" s="314"/>
      <c r="U226" s="314"/>
      <c r="V226" s="314"/>
      <c r="W226" s="318"/>
      <c r="X226" s="314"/>
      <c r="Y226" s="314"/>
      <c r="Z226" s="697"/>
      <c r="AA226" s="315"/>
      <c r="AB226" s="314"/>
      <c r="AC226" s="314"/>
      <c r="AD226" s="324"/>
      <c r="AE226" s="155"/>
      <c r="AF226" s="155"/>
      <c r="AG226" s="322"/>
      <c r="AH226" s="155"/>
      <c r="AI226" s="132"/>
    </row>
    <row r="227">
      <c r="A227" s="314"/>
      <c r="B227" s="695"/>
      <c r="C227" s="696"/>
      <c r="D227" s="312"/>
      <c r="E227" s="314"/>
      <c r="F227" s="314"/>
      <c r="G227" s="314"/>
      <c r="H227" s="314"/>
      <c r="I227" s="318"/>
      <c r="J227" s="314"/>
      <c r="K227" s="314"/>
      <c r="L227" s="314"/>
      <c r="M227" s="314"/>
      <c r="N227" s="314"/>
      <c r="O227" s="314"/>
      <c r="P227" s="318"/>
      <c r="Q227" s="314"/>
      <c r="R227" s="316"/>
      <c r="S227" s="314"/>
      <c r="T227" s="314"/>
      <c r="U227" s="314"/>
      <c r="V227" s="314"/>
      <c r="W227" s="318"/>
      <c r="X227" s="314"/>
      <c r="Y227" s="314"/>
      <c r="Z227" s="697"/>
      <c r="AA227" s="315"/>
      <c r="AB227" s="314"/>
      <c r="AC227" s="314"/>
      <c r="AD227" s="324"/>
      <c r="AE227" s="155"/>
      <c r="AF227" s="155"/>
      <c r="AG227" s="322"/>
      <c r="AH227" s="155"/>
      <c r="AI227" s="132"/>
    </row>
    <row r="228">
      <c r="A228" s="314"/>
      <c r="B228" s="695"/>
      <c r="C228" s="696"/>
      <c r="D228" s="312"/>
      <c r="E228" s="314"/>
      <c r="F228" s="314"/>
      <c r="G228" s="314"/>
      <c r="H228" s="314"/>
      <c r="I228" s="318"/>
      <c r="J228" s="314"/>
      <c r="K228" s="314"/>
      <c r="L228" s="314"/>
      <c r="M228" s="314"/>
      <c r="N228" s="314"/>
      <c r="O228" s="314"/>
      <c r="P228" s="318"/>
      <c r="Q228" s="314"/>
      <c r="R228" s="316"/>
      <c r="S228" s="314"/>
      <c r="T228" s="314"/>
      <c r="U228" s="314"/>
      <c r="V228" s="314"/>
      <c r="W228" s="318"/>
      <c r="X228" s="314"/>
      <c r="Y228" s="314"/>
      <c r="Z228" s="697"/>
      <c r="AA228" s="315"/>
      <c r="AB228" s="314"/>
      <c r="AC228" s="314"/>
      <c r="AD228" s="324"/>
      <c r="AE228" s="155"/>
      <c r="AF228" s="155"/>
      <c r="AG228" s="322"/>
      <c r="AH228" s="155"/>
      <c r="AI228" s="132"/>
    </row>
    <row r="229">
      <c r="A229" s="314"/>
      <c r="B229" s="695"/>
      <c r="C229" s="696"/>
      <c r="D229" s="312"/>
      <c r="E229" s="314"/>
      <c r="F229" s="314"/>
      <c r="G229" s="314"/>
      <c r="H229" s="314"/>
      <c r="I229" s="318"/>
      <c r="J229" s="314"/>
      <c r="K229" s="314"/>
      <c r="L229" s="314"/>
      <c r="M229" s="314"/>
      <c r="N229" s="314"/>
      <c r="O229" s="314"/>
      <c r="P229" s="318"/>
      <c r="Q229" s="314"/>
      <c r="R229" s="316"/>
      <c r="S229" s="314"/>
      <c r="T229" s="314"/>
      <c r="U229" s="314"/>
      <c r="V229" s="314"/>
      <c r="W229" s="318"/>
      <c r="X229" s="314"/>
      <c r="Y229" s="314"/>
      <c r="Z229" s="697"/>
      <c r="AA229" s="315"/>
      <c r="AB229" s="314"/>
      <c r="AC229" s="314"/>
      <c r="AD229" s="324"/>
      <c r="AE229" s="155"/>
      <c r="AF229" s="155"/>
      <c r="AG229" s="322"/>
      <c r="AH229" s="155"/>
      <c r="AI229" s="132"/>
    </row>
    <row r="230">
      <c r="A230" s="314"/>
      <c r="B230" s="695"/>
      <c r="C230" s="696"/>
      <c r="D230" s="312"/>
      <c r="E230" s="314"/>
      <c r="F230" s="314"/>
      <c r="G230" s="314"/>
      <c r="H230" s="314"/>
      <c r="I230" s="318"/>
      <c r="J230" s="314"/>
      <c r="K230" s="314"/>
      <c r="L230" s="314"/>
      <c r="M230" s="314"/>
      <c r="N230" s="314"/>
      <c r="O230" s="314"/>
      <c r="P230" s="318"/>
      <c r="Q230" s="314"/>
      <c r="R230" s="316"/>
      <c r="S230" s="314"/>
      <c r="T230" s="314"/>
      <c r="U230" s="314"/>
      <c r="V230" s="314"/>
      <c r="W230" s="318"/>
      <c r="X230" s="314"/>
      <c r="Y230" s="314"/>
      <c r="Z230" s="697"/>
      <c r="AA230" s="315"/>
      <c r="AB230" s="314"/>
      <c r="AC230" s="314"/>
      <c r="AD230" s="324"/>
      <c r="AE230" s="155"/>
      <c r="AF230" s="155"/>
      <c r="AG230" s="322"/>
      <c r="AH230" s="155"/>
      <c r="AI230" s="132"/>
    </row>
    <row r="231">
      <c r="A231" s="314"/>
      <c r="B231" s="695"/>
      <c r="C231" s="696"/>
      <c r="D231" s="312"/>
      <c r="E231" s="314"/>
      <c r="F231" s="314"/>
      <c r="G231" s="314"/>
      <c r="H231" s="314"/>
      <c r="I231" s="318"/>
      <c r="J231" s="314"/>
      <c r="K231" s="314"/>
      <c r="L231" s="314"/>
      <c r="M231" s="314"/>
      <c r="N231" s="314"/>
      <c r="O231" s="314"/>
      <c r="P231" s="318"/>
      <c r="Q231" s="314"/>
      <c r="R231" s="316"/>
      <c r="S231" s="314"/>
      <c r="T231" s="314"/>
      <c r="U231" s="314"/>
      <c r="V231" s="314"/>
      <c r="W231" s="318"/>
      <c r="X231" s="314"/>
      <c r="Y231" s="314"/>
      <c r="Z231" s="697"/>
      <c r="AA231" s="315"/>
      <c r="AB231" s="314"/>
      <c r="AC231" s="314"/>
      <c r="AD231" s="324"/>
      <c r="AE231" s="155"/>
      <c r="AF231" s="155"/>
      <c r="AG231" s="322"/>
      <c r="AH231" s="155"/>
      <c r="AI231" s="132"/>
    </row>
    <row r="232">
      <c r="A232" s="314"/>
      <c r="B232" s="695"/>
      <c r="C232" s="696"/>
      <c r="D232" s="312"/>
      <c r="E232" s="314"/>
      <c r="F232" s="314"/>
      <c r="G232" s="314"/>
      <c r="H232" s="314"/>
      <c r="I232" s="318"/>
      <c r="J232" s="314"/>
      <c r="K232" s="314"/>
      <c r="L232" s="314"/>
      <c r="M232" s="314"/>
      <c r="N232" s="314"/>
      <c r="O232" s="314"/>
      <c r="P232" s="318"/>
      <c r="Q232" s="314"/>
      <c r="R232" s="316"/>
      <c r="S232" s="314"/>
      <c r="T232" s="314"/>
      <c r="U232" s="314"/>
      <c r="V232" s="314"/>
      <c r="W232" s="318"/>
      <c r="X232" s="314"/>
      <c r="Y232" s="314"/>
      <c r="Z232" s="697"/>
      <c r="AA232" s="315"/>
      <c r="AB232" s="314"/>
      <c r="AC232" s="314"/>
      <c r="AD232" s="324"/>
      <c r="AE232" s="155"/>
      <c r="AF232" s="155"/>
      <c r="AG232" s="322"/>
      <c r="AH232" s="155"/>
      <c r="AI232" s="132"/>
    </row>
    <row r="233">
      <c r="A233" s="314"/>
      <c r="B233" s="695"/>
      <c r="C233" s="696"/>
      <c r="D233" s="312"/>
      <c r="E233" s="314"/>
      <c r="F233" s="314"/>
      <c r="G233" s="314"/>
      <c r="H233" s="314"/>
      <c r="I233" s="318"/>
      <c r="J233" s="314"/>
      <c r="K233" s="314"/>
      <c r="L233" s="314"/>
      <c r="M233" s="314"/>
      <c r="N233" s="314"/>
      <c r="O233" s="314"/>
      <c r="P233" s="318"/>
      <c r="Q233" s="314"/>
      <c r="R233" s="316"/>
      <c r="S233" s="314"/>
      <c r="T233" s="314"/>
      <c r="U233" s="314"/>
      <c r="V233" s="314"/>
      <c r="W233" s="318"/>
      <c r="X233" s="314"/>
      <c r="Y233" s="314"/>
      <c r="Z233" s="697"/>
      <c r="AA233" s="315"/>
      <c r="AB233" s="314"/>
      <c r="AC233" s="314"/>
      <c r="AD233" s="324"/>
      <c r="AE233" s="155"/>
      <c r="AF233" s="155"/>
      <c r="AG233" s="322"/>
      <c r="AH233" s="155"/>
      <c r="AI233" s="132"/>
    </row>
    <row r="234">
      <c r="A234" s="314"/>
      <c r="B234" s="695"/>
      <c r="C234" s="696"/>
      <c r="D234" s="312"/>
      <c r="E234" s="314"/>
      <c r="F234" s="314"/>
      <c r="G234" s="314"/>
      <c r="H234" s="314"/>
      <c r="I234" s="318"/>
      <c r="J234" s="314"/>
      <c r="K234" s="314"/>
      <c r="L234" s="314"/>
      <c r="M234" s="314"/>
      <c r="N234" s="314"/>
      <c r="O234" s="314"/>
      <c r="P234" s="318"/>
      <c r="Q234" s="314"/>
      <c r="R234" s="316"/>
      <c r="S234" s="314"/>
      <c r="T234" s="314"/>
      <c r="U234" s="314"/>
      <c r="V234" s="314"/>
      <c r="W234" s="318"/>
      <c r="X234" s="314"/>
      <c r="Y234" s="314"/>
      <c r="Z234" s="697"/>
      <c r="AA234" s="315"/>
      <c r="AB234" s="314"/>
      <c r="AC234" s="314"/>
      <c r="AD234" s="324"/>
      <c r="AE234" s="155"/>
      <c r="AF234" s="155"/>
      <c r="AG234" s="322"/>
      <c r="AH234" s="155"/>
      <c r="AI234" s="132"/>
    </row>
    <row r="235">
      <c r="A235" s="314"/>
      <c r="B235" s="695"/>
      <c r="C235" s="696"/>
      <c r="D235" s="312"/>
      <c r="E235" s="314"/>
      <c r="F235" s="314"/>
      <c r="G235" s="314"/>
      <c r="H235" s="314"/>
      <c r="I235" s="318"/>
      <c r="J235" s="314"/>
      <c r="K235" s="314"/>
      <c r="L235" s="314"/>
      <c r="M235" s="314"/>
      <c r="N235" s="314"/>
      <c r="O235" s="314"/>
      <c r="P235" s="318"/>
      <c r="Q235" s="314"/>
      <c r="R235" s="316"/>
      <c r="S235" s="314"/>
      <c r="T235" s="314"/>
      <c r="U235" s="314"/>
      <c r="V235" s="314"/>
      <c r="W235" s="318"/>
      <c r="X235" s="314"/>
      <c r="Y235" s="314"/>
      <c r="Z235" s="697"/>
      <c r="AA235" s="315"/>
      <c r="AB235" s="314"/>
      <c r="AC235" s="314"/>
      <c r="AD235" s="324"/>
      <c r="AE235" s="155"/>
      <c r="AF235" s="155"/>
      <c r="AG235" s="322"/>
      <c r="AH235" s="155"/>
      <c r="AI235" s="132"/>
    </row>
    <row r="236">
      <c r="A236" s="314"/>
      <c r="B236" s="695"/>
      <c r="C236" s="696"/>
      <c r="D236" s="312"/>
      <c r="E236" s="314"/>
      <c r="F236" s="314"/>
      <c r="G236" s="314"/>
      <c r="H236" s="314"/>
      <c r="I236" s="318"/>
      <c r="J236" s="314"/>
      <c r="K236" s="314"/>
      <c r="L236" s="314"/>
      <c r="M236" s="314"/>
      <c r="N236" s="314"/>
      <c r="O236" s="314"/>
      <c r="P236" s="318"/>
      <c r="Q236" s="314"/>
      <c r="R236" s="316"/>
      <c r="S236" s="314"/>
      <c r="T236" s="314"/>
      <c r="U236" s="314"/>
      <c r="V236" s="314"/>
      <c r="W236" s="318"/>
      <c r="X236" s="314"/>
      <c r="Y236" s="314"/>
      <c r="Z236" s="697"/>
      <c r="AA236" s="315"/>
      <c r="AB236" s="314"/>
      <c r="AC236" s="314"/>
      <c r="AD236" s="324"/>
      <c r="AE236" s="155"/>
      <c r="AF236" s="155"/>
      <c r="AG236" s="322"/>
      <c r="AH236" s="155"/>
      <c r="AI236" s="132"/>
    </row>
    <row r="237">
      <c r="A237" s="435"/>
      <c r="B237" s="695"/>
      <c r="C237" s="739"/>
      <c r="D237" s="312"/>
      <c r="E237" s="435"/>
      <c r="F237" s="314"/>
      <c r="G237" s="314"/>
      <c r="H237" s="435"/>
      <c r="I237" s="740"/>
      <c r="J237" s="314"/>
      <c r="K237" s="435"/>
      <c r="L237" s="435"/>
      <c r="M237" s="314"/>
      <c r="N237" s="314"/>
      <c r="O237" s="314"/>
      <c r="P237" s="740"/>
      <c r="Q237" s="435"/>
      <c r="R237" s="742"/>
      <c r="S237" s="435"/>
      <c r="T237" s="435"/>
      <c r="U237" s="435"/>
      <c r="V237" s="435"/>
      <c r="W237" s="740"/>
      <c r="X237" s="435"/>
      <c r="Y237" s="435"/>
      <c r="Z237" s="743"/>
      <c r="AA237" s="744"/>
      <c r="AB237" s="435"/>
      <c r="AC237" s="435"/>
      <c r="AD237" s="324"/>
      <c r="AE237" s="180"/>
      <c r="AF237" s="155"/>
      <c r="AG237" s="322"/>
      <c r="AH237" s="155"/>
      <c r="AI237" s="132"/>
    </row>
    <row r="238">
      <c r="A238" s="435"/>
      <c r="B238" s="695"/>
      <c r="C238" s="696"/>
      <c r="D238" s="745"/>
      <c r="E238" s="314"/>
      <c r="F238" s="314"/>
      <c r="G238" s="314"/>
      <c r="H238" s="314"/>
      <c r="I238" s="318"/>
      <c r="J238" s="314"/>
      <c r="K238" s="314"/>
      <c r="L238" s="314"/>
      <c r="M238" s="435"/>
      <c r="N238" s="435"/>
      <c r="O238" s="314"/>
      <c r="P238" s="318"/>
      <c r="Q238" s="314"/>
      <c r="R238" s="316"/>
      <c r="S238" s="314"/>
      <c r="T238" s="314"/>
      <c r="U238" s="314"/>
      <c r="V238" s="314"/>
      <c r="W238" s="318"/>
      <c r="X238" s="314"/>
      <c r="Y238" s="314"/>
      <c r="Z238" s="697"/>
      <c r="AA238" s="315"/>
      <c r="AB238" s="314"/>
      <c r="AC238" s="314"/>
      <c r="AD238" s="324"/>
      <c r="AE238" s="180"/>
      <c r="AF238" s="155"/>
      <c r="AG238" s="322"/>
      <c r="AH238" s="155"/>
      <c r="AI238" s="132"/>
    </row>
    <row r="239">
      <c r="A239" s="435"/>
      <c r="B239" s="746"/>
      <c r="C239" s="739"/>
      <c r="D239" s="745"/>
      <c r="E239" s="435"/>
      <c r="F239" s="314"/>
      <c r="G239" s="314"/>
      <c r="H239" s="314"/>
      <c r="I239" s="740"/>
      <c r="J239" s="435"/>
      <c r="K239" s="435"/>
      <c r="L239" s="435"/>
      <c r="M239" s="435"/>
      <c r="N239" s="435"/>
      <c r="O239" s="314"/>
      <c r="P239" s="740"/>
      <c r="Q239" s="314"/>
      <c r="R239" s="742"/>
      <c r="S239" s="435"/>
      <c r="T239" s="435"/>
      <c r="U239" s="435"/>
      <c r="V239" s="435"/>
      <c r="W239" s="740"/>
      <c r="X239" s="435"/>
      <c r="Y239" s="435"/>
      <c r="Z239" s="743"/>
      <c r="AA239" s="744"/>
      <c r="AB239" s="435"/>
      <c r="AC239" s="435"/>
      <c r="AD239" s="324"/>
      <c r="AE239" s="180"/>
      <c r="AF239" s="155"/>
      <c r="AG239" s="322"/>
      <c r="AH239" s="155"/>
      <c r="AI239" s="132"/>
    </row>
    <row r="240">
      <c r="A240" s="435"/>
      <c r="B240" s="695"/>
      <c r="C240" s="696"/>
      <c r="D240" s="745"/>
      <c r="E240" s="314"/>
      <c r="F240" s="314"/>
      <c r="G240" s="314"/>
      <c r="H240" s="314"/>
      <c r="I240" s="740"/>
      <c r="J240" s="314"/>
      <c r="K240" s="435"/>
      <c r="L240" s="314"/>
      <c r="M240" s="314"/>
      <c r="N240" s="314"/>
      <c r="O240" s="314"/>
      <c r="P240" s="318"/>
      <c r="Q240" s="435"/>
      <c r="R240" s="742"/>
      <c r="S240" s="314"/>
      <c r="T240" s="314"/>
      <c r="U240" s="314"/>
      <c r="V240" s="314"/>
      <c r="W240" s="318"/>
      <c r="X240" s="314"/>
      <c r="Y240" s="314"/>
      <c r="Z240" s="697"/>
      <c r="AA240" s="315"/>
      <c r="AB240" s="314"/>
      <c r="AC240" s="314"/>
      <c r="AD240" s="324"/>
      <c r="AE240" s="180"/>
      <c r="AF240" s="155"/>
      <c r="AG240" s="322"/>
      <c r="AH240" s="155"/>
      <c r="AI240" s="132"/>
    </row>
    <row r="241">
      <c r="A241" s="435"/>
      <c r="B241" s="746"/>
      <c r="C241" s="739"/>
      <c r="D241" s="745"/>
      <c r="E241" s="435"/>
      <c r="F241" s="314"/>
      <c r="G241" s="314"/>
      <c r="H241" s="435"/>
      <c r="I241" s="740"/>
      <c r="J241" s="435"/>
      <c r="K241" s="435"/>
      <c r="L241" s="435"/>
      <c r="M241" s="435"/>
      <c r="N241" s="435"/>
      <c r="O241" s="314"/>
      <c r="P241" s="740"/>
      <c r="Q241" s="435"/>
      <c r="R241" s="742"/>
      <c r="S241" s="435"/>
      <c r="T241" s="435"/>
      <c r="U241" s="435"/>
      <c r="V241" s="435"/>
      <c r="W241" s="740"/>
      <c r="X241" s="435"/>
      <c r="Y241" s="435"/>
      <c r="Z241" s="743"/>
      <c r="AA241" s="744"/>
      <c r="AB241" s="435"/>
      <c r="AC241" s="435"/>
      <c r="AD241" s="324"/>
      <c r="AE241" s="180"/>
      <c r="AF241" s="155"/>
      <c r="AG241" s="322"/>
      <c r="AH241" s="155"/>
      <c r="AI241" s="132"/>
    </row>
    <row r="242">
      <c r="A242" s="435"/>
      <c r="B242" s="746"/>
      <c r="C242" s="696"/>
      <c r="D242" s="745"/>
      <c r="E242" s="314"/>
      <c r="F242" s="314"/>
      <c r="G242" s="314"/>
      <c r="H242" s="314"/>
      <c r="I242" s="318"/>
      <c r="J242" s="314"/>
      <c r="K242" s="435"/>
      <c r="L242" s="314"/>
      <c r="M242" s="314"/>
      <c r="N242" s="314"/>
      <c r="O242" s="314"/>
      <c r="P242" s="318"/>
      <c r="Q242" s="314"/>
      <c r="R242" s="316"/>
      <c r="S242" s="435"/>
      <c r="T242" s="435"/>
      <c r="U242" s="435"/>
      <c r="V242" s="435"/>
      <c r="W242" s="740"/>
      <c r="X242" s="435"/>
      <c r="Y242" s="435"/>
      <c r="Z242" s="743"/>
      <c r="AA242" s="744"/>
      <c r="AB242" s="435"/>
      <c r="AC242" s="435"/>
      <c r="AD242" s="324"/>
      <c r="AE242" s="180"/>
      <c r="AF242" s="155"/>
      <c r="AG242" s="322"/>
      <c r="AH242" s="155"/>
      <c r="AI242" s="132"/>
    </row>
    <row r="243">
      <c r="A243" s="435"/>
      <c r="B243" s="746"/>
      <c r="C243" s="739"/>
      <c r="D243" s="745"/>
      <c r="E243" s="435"/>
      <c r="F243" s="314"/>
      <c r="G243" s="314"/>
      <c r="H243" s="435"/>
      <c r="I243" s="318"/>
      <c r="J243" s="314"/>
      <c r="K243" s="435"/>
      <c r="L243" s="314"/>
      <c r="M243" s="314"/>
      <c r="N243" s="314"/>
      <c r="O243" s="314"/>
      <c r="P243" s="740"/>
      <c r="Q243" s="435"/>
      <c r="R243" s="742"/>
      <c r="S243" s="435"/>
      <c r="T243" s="435"/>
      <c r="U243" s="435"/>
      <c r="V243" s="435"/>
      <c r="W243" s="740"/>
      <c r="X243" s="435"/>
      <c r="Y243" s="435"/>
      <c r="Z243" s="743"/>
      <c r="AA243" s="744"/>
      <c r="AB243" s="435"/>
      <c r="AC243" s="435"/>
      <c r="AD243" s="324"/>
      <c r="AE243" s="180"/>
      <c r="AF243" s="155"/>
      <c r="AG243" s="322"/>
      <c r="AH243" s="155"/>
      <c r="AI243" s="132"/>
    </row>
    <row r="244">
      <c r="A244" s="435"/>
      <c r="B244" s="746"/>
      <c r="C244" s="739"/>
      <c r="D244" s="745"/>
      <c r="E244" s="435"/>
      <c r="F244" s="314"/>
      <c r="G244" s="314"/>
      <c r="H244" s="435"/>
      <c r="I244" s="740"/>
      <c r="J244" s="435"/>
      <c r="K244" s="435"/>
      <c r="L244" s="435"/>
      <c r="M244" s="435"/>
      <c r="N244" s="435"/>
      <c r="O244" s="314"/>
      <c r="P244" s="740"/>
      <c r="Q244" s="435"/>
      <c r="R244" s="742"/>
      <c r="S244" s="435"/>
      <c r="T244" s="435"/>
      <c r="U244" s="435"/>
      <c r="V244" s="435"/>
      <c r="W244" s="740"/>
      <c r="X244" s="435"/>
      <c r="Y244" s="435"/>
      <c r="Z244" s="743"/>
      <c r="AA244" s="744"/>
      <c r="AB244" s="435"/>
      <c r="AC244" s="435"/>
      <c r="AD244" s="324"/>
      <c r="AE244" s="180"/>
      <c r="AF244" s="155"/>
      <c r="AG244" s="322"/>
      <c r="AH244" s="155"/>
      <c r="AI244" s="132"/>
    </row>
    <row r="245">
      <c r="A245" s="435"/>
      <c r="B245" s="695"/>
      <c r="C245" s="696"/>
      <c r="D245" s="312"/>
      <c r="E245" s="435"/>
      <c r="F245" s="314"/>
      <c r="G245" s="314"/>
      <c r="H245" s="435"/>
      <c r="I245" s="318"/>
      <c r="J245" s="314"/>
      <c r="K245" s="314"/>
      <c r="L245" s="314"/>
      <c r="M245" s="314"/>
      <c r="N245" s="314"/>
      <c r="O245" s="314"/>
      <c r="P245" s="318"/>
      <c r="Q245" s="314"/>
      <c r="R245" s="316"/>
      <c r="S245" s="314"/>
      <c r="T245" s="314"/>
      <c r="U245" s="314"/>
      <c r="V245" s="314"/>
      <c r="W245" s="318"/>
      <c r="X245" s="314"/>
      <c r="Y245" s="314"/>
      <c r="Z245" s="697"/>
      <c r="AA245" s="315"/>
      <c r="AB245" s="314"/>
      <c r="AC245" s="314"/>
      <c r="AD245" s="324"/>
      <c r="AE245" s="180"/>
      <c r="AF245" s="155"/>
      <c r="AG245" s="322"/>
      <c r="AH245" s="155"/>
      <c r="AI245" s="132"/>
    </row>
    <row r="246">
      <c r="A246" s="435"/>
      <c r="B246" s="695"/>
      <c r="C246" s="696"/>
      <c r="D246" s="745"/>
      <c r="E246" s="314"/>
      <c r="F246" s="314"/>
      <c r="G246" s="314"/>
      <c r="H246" s="435"/>
      <c r="I246" s="318"/>
      <c r="J246" s="435"/>
      <c r="K246" s="435"/>
      <c r="L246" s="314"/>
      <c r="M246" s="435"/>
      <c r="N246" s="314"/>
      <c r="O246" s="314"/>
      <c r="P246" s="318"/>
      <c r="Q246" s="314"/>
      <c r="R246" s="742"/>
      <c r="S246" s="435"/>
      <c r="T246" s="435"/>
      <c r="U246" s="435"/>
      <c r="V246" s="435"/>
      <c r="W246" s="740"/>
      <c r="X246" s="435"/>
      <c r="Y246" s="435"/>
      <c r="Z246" s="743"/>
      <c r="AA246" s="744"/>
      <c r="AB246" s="435"/>
      <c r="AC246" s="435"/>
      <c r="AD246" s="324"/>
      <c r="AE246" s="180"/>
      <c r="AF246" s="155"/>
      <c r="AG246" s="322"/>
      <c r="AH246" s="155"/>
      <c r="AI246" s="132"/>
    </row>
    <row r="247">
      <c r="A247" s="435"/>
      <c r="B247" s="695"/>
      <c r="C247" s="696"/>
      <c r="D247" s="312"/>
      <c r="E247" s="314"/>
      <c r="F247" s="314"/>
      <c r="G247" s="314"/>
      <c r="H247" s="314"/>
      <c r="I247" s="318"/>
      <c r="J247" s="314"/>
      <c r="K247" s="314"/>
      <c r="L247" s="314"/>
      <c r="M247" s="314"/>
      <c r="N247" s="314"/>
      <c r="O247" s="314"/>
      <c r="P247" s="318"/>
      <c r="Q247" s="435"/>
      <c r="R247" s="316"/>
      <c r="S247" s="435"/>
      <c r="T247" s="435"/>
      <c r="U247" s="435"/>
      <c r="V247" s="435"/>
      <c r="W247" s="740"/>
      <c r="X247" s="435"/>
      <c r="Y247" s="435"/>
      <c r="Z247" s="743"/>
      <c r="AA247" s="744"/>
      <c r="AB247" s="435"/>
      <c r="AC247" s="435"/>
      <c r="AD247" s="324"/>
      <c r="AE247" s="180"/>
      <c r="AF247" s="155"/>
      <c r="AG247" s="322"/>
      <c r="AH247" s="155"/>
      <c r="AI247" s="132"/>
    </row>
    <row r="248">
      <c r="A248" s="435"/>
      <c r="B248" s="746"/>
      <c r="C248" s="696"/>
      <c r="D248" s="312"/>
      <c r="E248" s="314"/>
      <c r="F248" s="314"/>
      <c r="G248" s="314"/>
      <c r="H248" s="435"/>
      <c r="I248" s="318"/>
      <c r="J248" s="435"/>
      <c r="K248" s="435"/>
      <c r="L248" s="314"/>
      <c r="M248" s="314"/>
      <c r="N248" s="435"/>
      <c r="O248" s="314"/>
      <c r="P248" s="318"/>
      <c r="Q248" s="314"/>
      <c r="R248" s="742"/>
      <c r="S248" s="435"/>
      <c r="T248" s="435"/>
      <c r="U248" s="435"/>
      <c r="V248" s="435"/>
      <c r="W248" s="740"/>
      <c r="X248" s="435"/>
      <c r="Y248" s="435"/>
      <c r="Z248" s="743"/>
      <c r="AA248" s="744"/>
      <c r="AB248" s="435"/>
      <c r="AC248" s="435"/>
      <c r="AD248" s="324"/>
      <c r="AE248" s="180"/>
      <c r="AF248" s="155"/>
      <c r="AG248" s="322"/>
      <c r="AH248" s="155"/>
      <c r="AI248" s="132"/>
    </row>
    <row r="249">
      <c r="A249" s="435"/>
      <c r="B249" s="695"/>
      <c r="C249" s="739"/>
      <c r="D249" s="745"/>
      <c r="E249" s="435"/>
      <c r="F249" s="314"/>
      <c r="G249" s="314"/>
      <c r="H249" s="435"/>
      <c r="I249" s="318"/>
      <c r="J249" s="314"/>
      <c r="K249" s="435"/>
      <c r="L249" s="314"/>
      <c r="M249" s="314"/>
      <c r="N249" s="314"/>
      <c r="O249" s="314"/>
      <c r="P249" s="318"/>
      <c r="Q249" s="314"/>
      <c r="R249" s="316"/>
      <c r="S249" s="435"/>
      <c r="T249" s="435"/>
      <c r="U249" s="435"/>
      <c r="V249" s="435"/>
      <c r="W249" s="740"/>
      <c r="X249" s="435"/>
      <c r="Y249" s="435"/>
      <c r="Z249" s="743"/>
      <c r="AA249" s="744"/>
      <c r="AB249" s="435"/>
      <c r="AC249" s="435"/>
      <c r="AD249" s="324"/>
      <c r="AE249" s="180"/>
      <c r="AF249" s="155"/>
      <c r="AG249" s="322"/>
      <c r="AH249" s="155"/>
      <c r="AI249" s="132"/>
    </row>
    <row r="250">
      <c r="A250" s="435"/>
      <c r="B250" s="695"/>
      <c r="C250" s="696"/>
      <c r="D250" s="312"/>
      <c r="E250" s="314"/>
      <c r="F250" s="314"/>
      <c r="G250" s="314"/>
      <c r="H250" s="435"/>
      <c r="I250" s="318"/>
      <c r="J250" s="314"/>
      <c r="K250" s="314"/>
      <c r="L250" s="314"/>
      <c r="M250" s="314"/>
      <c r="N250" s="314"/>
      <c r="O250" s="314"/>
      <c r="P250" s="318"/>
      <c r="Q250" s="314"/>
      <c r="R250" s="742"/>
      <c r="S250" s="314"/>
      <c r="T250" s="314"/>
      <c r="U250" s="314"/>
      <c r="V250" s="314"/>
      <c r="W250" s="318"/>
      <c r="X250" s="314"/>
      <c r="Y250" s="314"/>
      <c r="Z250" s="697"/>
      <c r="AA250" s="315"/>
      <c r="AB250" s="314"/>
      <c r="AC250" s="314"/>
      <c r="AD250" s="324"/>
      <c r="AE250" s="180"/>
      <c r="AF250" s="155"/>
      <c r="AG250" s="322"/>
      <c r="AH250" s="155"/>
      <c r="AI250" s="132"/>
    </row>
    <row r="251">
      <c r="A251" s="435"/>
      <c r="B251" s="746"/>
      <c r="C251" s="739"/>
      <c r="D251" s="745"/>
      <c r="E251" s="435"/>
      <c r="F251" s="314"/>
      <c r="G251" s="314"/>
      <c r="H251" s="435"/>
      <c r="I251" s="740"/>
      <c r="J251" s="435"/>
      <c r="K251" s="435"/>
      <c r="L251" s="435"/>
      <c r="M251" s="435"/>
      <c r="N251" s="435"/>
      <c r="O251" s="314"/>
      <c r="P251" s="740"/>
      <c r="Q251" s="435"/>
      <c r="R251" s="742"/>
      <c r="S251" s="435"/>
      <c r="T251" s="435"/>
      <c r="U251" s="435"/>
      <c r="V251" s="435"/>
      <c r="W251" s="740"/>
      <c r="X251" s="435"/>
      <c r="Y251" s="435"/>
      <c r="Z251" s="743"/>
      <c r="AA251" s="744"/>
      <c r="AB251" s="435"/>
      <c r="AC251" s="435"/>
      <c r="AD251" s="324"/>
      <c r="AE251" s="180"/>
      <c r="AF251" s="155"/>
      <c r="AG251" s="322"/>
      <c r="AH251" s="155"/>
      <c r="AI251" s="132"/>
    </row>
    <row r="252">
      <c r="A252" s="435"/>
      <c r="B252" s="695"/>
      <c r="C252" s="696"/>
      <c r="D252" s="312"/>
      <c r="E252" s="314"/>
      <c r="F252" s="314"/>
      <c r="G252" s="314"/>
      <c r="H252" s="314"/>
      <c r="I252" s="318"/>
      <c r="J252" s="314"/>
      <c r="K252" s="314"/>
      <c r="L252" s="314"/>
      <c r="M252" s="435"/>
      <c r="N252" s="314"/>
      <c r="O252" s="314"/>
      <c r="P252" s="318"/>
      <c r="Q252" s="314"/>
      <c r="R252" s="316"/>
      <c r="S252" s="314"/>
      <c r="T252" s="314"/>
      <c r="U252" s="314"/>
      <c r="V252" s="314"/>
      <c r="W252" s="318"/>
      <c r="X252" s="314"/>
      <c r="Y252" s="314"/>
      <c r="Z252" s="697"/>
      <c r="AA252" s="315"/>
      <c r="AB252" s="314"/>
      <c r="AC252" s="314"/>
      <c r="AD252" s="324"/>
      <c r="AE252" s="180"/>
      <c r="AF252" s="155"/>
      <c r="AG252" s="322"/>
      <c r="AH252" s="155"/>
      <c r="AI252" s="132"/>
    </row>
    <row r="253">
      <c r="A253" s="435"/>
      <c r="B253" s="695"/>
      <c r="C253" s="739"/>
      <c r="D253" s="745"/>
      <c r="E253" s="435"/>
      <c r="F253" s="314"/>
      <c r="G253" s="314"/>
      <c r="H253" s="435"/>
      <c r="I253" s="740"/>
      <c r="J253" s="435"/>
      <c r="K253" s="435"/>
      <c r="L253" s="314"/>
      <c r="M253" s="435"/>
      <c r="N253" s="435"/>
      <c r="O253" s="314"/>
      <c r="P253" s="740"/>
      <c r="Q253" s="435"/>
      <c r="R253" s="742"/>
      <c r="S253" s="435"/>
      <c r="T253" s="435"/>
      <c r="U253" s="435"/>
      <c r="V253" s="435"/>
      <c r="W253" s="740"/>
      <c r="X253" s="435"/>
      <c r="Y253" s="435"/>
      <c r="Z253" s="743"/>
      <c r="AA253" s="744"/>
      <c r="AB253" s="435"/>
      <c r="AC253" s="435"/>
      <c r="AD253" s="324"/>
      <c r="AE253" s="180"/>
      <c r="AF253" s="155"/>
      <c r="AG253" s="322"/>
      <c r="AH253" s="155"/>
      <c r="AI253" s="132"/>
    </row>
    <row r="254">
      <c r="A254" s="435"/>
      <c r="B254" s="746"/>
      <c r="C254" s="739"/>
      <c r="D254" s="312"/>
      <c r="E254" s="435"/>
      <c r="F254" s="314"/>
      <c r="G254" s="314"/>
      <c r="H254" s="435"/>
      <c r="I254" s="740"/>
      <c r="J254" s="314"/>
      <c r="K254" s="435"/>
      <c r="L254" s="435"/>
      <c r="M254" s="314"/>
      <c r="N254" s="435"/>
      <c r="O254" s="314"/>
      <c r="P254" s="740"/>
      <c r="Q254" s="314"/>
      <c r="R254" s="742"/>
      <c r="S254" s="435"/>
      <c r="T254" s="435"/>
      <c r="U254" s="435"/>
      <c r="V254" s="435"/>
      <c r="W254" s="740"/>
      <c r="X254" s="435"/>
      <c r="Y254" s="435"/>
      <c r="Z254" s="743"/>
      <c r="AA254" s="744"/>
      <c r="AB254" s="435"/>
      <c r="AC254" s="435"/>
      <c r="AD254" s="324"/>
      <c r="AE254" s="180"/>
      <c r="AF254" s="155"/>
      <c r="AG254" s="322"/>
      <c r="AH254" s="155"/>
      <c r="AI254" s="132"/>
    </row>
    <row r="255">
      <c r="A255" s="458"/>
      <c r="B255" s="746"/>
      <c r="C255" s="739"/>
      <c r="D255" s="745"/>
      <c r="E255" s="435"/>
      <c r="F255" s="314"/>
      <c r="G255" s="314"/>
      <c r="H255" s="314"/>
      <c r="I255" s="740"/>
      <c r="J255" s="435"/>
      <c r="K255" s="435"/>
      <c r="L255" s="435"/>
      <c r="M255" s="435"/>
      <c r="N255" s="435"/>
      <c r="O255" s="314"/>
      <c r="P255" s="740"/>
      <c r="Q255" s="435"/>
      <c r="R255" s="742"/>
      <c r="S255" s="435"/>
      <c r="T255" s="435"/>
      <c r="U255" s="435"/>
      <c r="V255" s="435"/>
      <c r="W255" s="740"/>
      <c r="X255" s="435"/>
      <c r="Y255" s="435"/>
      <c r="Z255" s="743"/>
      <c r="AA255" s="744"/>
      <c r="AB255" s="435"/>
      <c r="AC255" s="435"/>
      <c r="AD255" s="324"/>
      <c r="AE255" s="180"/>
      <c r="AF255" s="155"/>
      <c r="AG255" s="322"/>
      <c r="AH255" s="155"/>
      <c r="AI255" s="132"/>
    </row>
    <row r="256">
      <c r="A256" s="458"/>
      <c r="B256" s="746"/>
      <c r="C256" s="739"/>
      <c r="D256" s="745"/>
      <c r="E256" s="435"/>
      <c r="F256" s="314"/>
      <c r="G256" s="314"/>
      <c r="H256" s="314"/>
      <c r="I256" s="318"/>
      <c r="J256" s="435"/>
      <c r="K256" s="435"/>
      <c r="L256" s="435"/>
      <c r="M256" s="435"/>
      <c r="N256" s="435"/>
      <c r="O256" s="314"/>
      <c r="P256" s="740"/>
      <c r="Q256" s="435"/>
      <c r="R256" s="742"/>
      <c r="S256" s="435"/>
      <c r="T256" s="435"/>
      <c r="U256" s="435"/>
      <c r="V256" s="435"/>
      <c r="W256" s="740"/>
      <c r="X256" s="435"/>
      <c r="Y256" s="435"/>
      <c r="Z256" s="743"/>
      <c r="AA256" s="744"/>
      <c r="AB256" s="435"/>
      <c r="AC256" s="435"/>
      <c r="AD256" s="324"/>
      <c r="AE256" s="180"/>
      <c r="AF256" s="155"/>
      <c r="AG256" s="322"/>
      <c r="AH256" s="155"/>
      <c r="AI256" s="132"/>
    </row>
    <row r="257">
      <c r="A257" s="458"/>
      <c r="B257" s="746"/>
      <c r="C257" s="739"/>
      <c r="D257" s="745"/>
      <c r="E257" s="314"/>
      <c r="F257" s="314"/>
      <c r="G257" s="314"/>
      <c r="H257" s="314"/>
      <c r="I257" s="740"/>
      <c r="J257" s="435"/>
      <c r="K257" s="435"/>
      <c r="L257" s="435"/>
      <c r="M257" s="435"/>
      <c r="N257" s="435"/>
      <c r="O257" s="314"/>
      <c r="P257" s="740"/>
      <c r="Q257" s="314"/>
      <c r="R257" s="742"/>
      <c r="S257" s="435"/>
      <c r="T257" s="435"/>
      <c r="U257" s="435"/>
      <c r="V257" s="435"/>
      <c r="W257" s="740"/>
      <c r="X257" s="435"/>
      <c r="Y257" s="435"/>
      <c r="Z257" s="743"/>
      <c r="AA257" s="744"/>
      <c r="AB257" s="435"/>
      <c r="AC257" s="435"/>
      <c r="AD257" s="324"/>
      <c r="AE257" s="180"/>
      <c r="AF257" s="155"/>
      <c r="AG257" s="322"/>
      <c r="AH257" s="155"/>
      <c r="AI257" s="132"/>
    </row>
    <row r="258">
      <c r="A258" s="458"/>
      <c r="B258" s="695"/>
      <c r="C258" s="696"/>
      <c r="D258" s="312"/>
      <c r="E258" s="314"/>
      <c r="F258" s="314"/>
      <c r="G258" s="314"/>
      <c r="H258" s="314"/>
      <c r="I258" s="318"/>
      <c r="J258" s="314"/>
      <c r="K258" s="314"/>
      <c r="L258" s="314"/>
      <c r="M258" s="314"/>
      <c r="N258" s="314"/>
      <c r="O258" s="314"/>
      <c r="P258" s="318"/>
      <c r="Q258" s="314"/>
      <c r="R258" s="316"/>
      <c r="S258" s="314"/>
      <c r="T258" s="314"/>
      <c r="U258" s="314"/>
      <c r="V258" s="314"/>
      <c r="W258" s="318"/>
      <c r="X258" s="314"/>
      <c r="Y258" s="314"/>
      <c r="Z258" s="697"/>
      <c r="AA258" s="315"/>
      <c r="AB258" s="314"/>
      <c r="AC258" s="314"/>
      <c r="AD258" s="324"/>
      <c r="AE258" s="180"/>
      <c r="AF258" s="155"/>
      <c r="AG258" s="322"/>
      <c r="AH258" s="155"/>
      <c r="AI258" s="132"/>
    </row>
    <row r="259">
      <c r="A259" s="458"/>
      <c r="B259" s="746"/>
      <c r="C259" s="739"/>
      <c r="D259" s="745"/>
      <c r="E259" s="314"/>
      <c r="F259" s="314"/>
      <c r="G259" s="314"/>
      <c r="H259" s="314"/>
      <c r="I259" s="318"/>
      <c r="J259" s="314"/>
      <c r="K259" s="435"/>
      <c r="L259" s="435"/>
      <c r="M259" s="435"/>
      <c r="N259" s="314"/>
      <c r="O259" s="314"/>
      <c r="P259" s="740"/>
      <c r="Q259" s="435"/>
      <c r="R259" s="742"/>
      <c r="S259" s="435"/>
      <c r="T259" s="435"/>
      <c r="U259" s="435"/>
      <c r="V259" s="435"/>
      <c r="W259" s="740"/>
      <c r="X259" s="435"/>
      <c r="Y259" s="435"/>
      <c r="Z259" s="743"/>
      <c r="AA259" s="744"/>
      <c r="AB259" s="435"/>
      <c r="AC259" s="435"/>
      <c r="AD259" s="324"/>
      <c r="AE259" s="180"/>
      <c r="AF259" s="155"/>
      <c r="AG259" s="322"/>
      <c r="AH259" s="155"/>
      <c r="AI259" s="132"/>
    </row>
    <row r="260">
      <c r="A260" s="458"/>
      <c r="B260" s="695"/>
      <c r="C260" s="696"/>
      <c r="D260" s="745"/>
      <c r="E260" s="314"/>
      <c r="F260" s="314"/>
      <c r="G260" s="314"/>
      <c r="H260" s="314"/>
      <c r="I260" s="318"/>
      <c r="J260" s="314"/>
      <c r="K260" s="314"/>
      <c r="L260" s="314"/>
      <c r="M260" s="314"/>
      <c r="N260" s="314"/>
      <c r="O260" s="314"/>
      <c r="P260" s="318"/>
      <c r="Q260" s="314"/>
      <c r="R260" s="316"/>
      <c r="S260" s="314"/>
      <c r="T260" s="314"/>
      <c r="U260" s="314"/>
      <c r="V260" s="314"/>
      <c r="W260" s="318"/>
      <c r="X260" s="314"/>
      <c r="Y260" s="314"/>
      <c r="Z260" s="697"/>
      <c r="AA260" s="315"/>
      <c r="AB260" s="314"/>
      <c r="AC260" s="314"/>
      <c r="AD260" s="324"/>
      <c r="AE260" s="180"/>
      <c r="AF260" s="155"/>
      <c r="AG260" s="322"/>
      <c r="AH260" s="155"/>
      <c r="AI260" s="132"/>
    </row>
    <row r="261">
      <c r="A261" s="458"/>
      <c r="B261" s="695"/>
      <c r="C261" s="739"/>
      <c r="D261" s="312"/>
      <c r="E261" s="314"/>
      <c r="F261" s="314"/>
      <c r="G261" s="314"/>
      <c r="H261" s="314"/>
      <c r="I261" s="740"/>
      <c r="J261" s="314"/>
      <c r="K261" s="314"/>
      <c r="L261" s="435"/>
      <c r="M261" s="314"/>
      <c r="N261" s="314"/>
      <c r="O261" s="314"/>
      <c r="P261" s="318"/>
      <c r="Q261" s="435"/>
      <c r="R261" s="742"/>
      <c r="S261" s="435"/>
      <c r="T261" s="435"/>
      <c r="U261" s="435"/>
      <c r="V261" s="435"/>
      <c r="W261" s="740"/>
      <c r="X261" s="435"/>
      <c r="Y261" s="435"/>
      <c r="Z261" s="743"/>
      <c r="AA261" s="744"/>
      <c r="AB261" s="435"/>
      <c r="AC261" s="435"/>
      <c r="AD261" s="324"/>
      <c r="AE261" s="180"/>
      <c r="AF261" s="155"/>
      <c r="AG261" s="322"/>
      <c r="AH261" s="155"/>
      <c r="AI261" s="132"/>
    </row>
    <row r="262">
      <c r="A262" s="458"/>
      <c r="B262" s="695"/>
      <c r="C262" s="739"/>
      <c r="D262" s="745"/>
      <c r="E262" s="435"/>
      <c r="F262" s="314"/>
      <c r="G262" s="314"/>
      <c r="H262" s="435"/>
      <c r="I262" s="740"/>
      <c r="J262" s="314"/>
      <c r="K262" s="435"/>
      <c r="L262" s="435"/>
      <c r="M262" s="314"/>
      <c r="N262" s="314"/>
      <c r="O262" s="314"/>
      <c r="P262" s="740"/>
      <c r="Q262" s="435"/>
      <c r="R262" s="742"/>
      <c r="S262" s="435"/>
      <c r="T262" s="435"/>
      <c r="U262" s="435"/>
      <c r="V262" s="435"/>
      <c r="W262" s="740"/>
      <c r="X262" s="435"/>
      <c r="Y262" s="435"/>
      <c r="Z262" s="743"/>
      <c r="AA262" s="744"/>
      <c r="AB262" s="435"/>
      <c r="AC262" s="435"/>
      <c r="AD262" s="324"/>
      <c r="AE262" s="180"/>
      <c r="AF262" s="155"/>
      <c r="AG262" s="322"/>
      <c r="AH262" s="155"/>
      <c r="AI262" s="132"/>
    </row>
    <row r="263">
      <c r="A263" s="458"/>
      <c r="B263" s="695"/>
      <c r="C263" s="739"/>
      <c r="D263" s="745"/>
      <c r="E263" s="314"/>
      <c r="F263" s="314"/>
      <c r="G263" s="314"/>
      <c r="H263" s="314"/>
      <c r="I263" s="318"/>
      <c r="J263" s="314"/>
      <c r="K263" s="435"/>
      <c r="L263" s="314"/>
      <c r="M263" s="314"/>
      <c r="N263" s="314"/>
      <c r="O263" s="314"/>
      <c r="P263" s="318"/>
      <c r="Q263" s="314"/>
      <c r="R263" s="742"/>
      <c r="S263" s="435"/>
      <c r="T263" s="435"/>
      <c r="U263" s="435"/>
      <c r="V263" s="435"/>
      <c r="W263" s="740"/>
      <c r="X263" s="435"/>
      <c r="Y263" s="435"/>
      <c r="Z263" s="743"/>
      <c r="AA263" s="744"/>
      <c r="AB263" s="435"/>
      <c r="AC263" s="435"/>
      <c r="AD263" s="324"/>
      <c r="AE263" s="180"/>
      <c r="AF263" s="155"/>
      <c r="AG263" s="322"/>
      <c r="AH263" s="155"/>
      <c r="AI263" s="132"/>
    </row>
    <row r="264">
      <c r="A264" s="458"/>
      <c r="B264" s="746"/>
      <c r="C264" s="739"/>
      <c r="D264" s="745"/>
      <c r="E264" s="435"/>
      <c r="F264" s="314"/>
      <c r="G264" s="314"/>
      <c r="H264" s="435"/>
      <c r="I264" s="740"/>
      <c r="J264" s="435"/>
      <c r="K264" s="435"/>
      <c r="L264" s="435"/>
      <c r="M264" s="435"/>
      <c r="N264" s="435"/>
      <c r="O264" s="314"/>
      <c r="P264" s="740"/>
      <c r="Q264" s="435"/>
      <c r="R264" s="742"/>
      <c r="S264" s="435"/>
      <c r="T264" s="435"/>
      <c r="U264" s="435"/>
      <c r="V264" s="435"/>
      <c r="W264" s="740"/>
      <c r="X264" s="435"/>
      <c r="Y264" s="435"/>
      <c r="Z264" s="743"/>
      <c r="AA264" s="744"/>
      <c r="AB264" s="435"/>
      <c r="AC264" s="435"/>
      <c r="AD264" s="324"/>
      <c r="AE264" s="180"/>
      <c r="AF264" s="155"/>
      <c r="AG264" s="322"/>
      <c r="AH264" s="155"/>
      <c r="AI264" s="132"/>
    </row>
    <row r="265">
      <c r="A265" s="435"/>
      <c r="B265" s="746"/>
      <c r="C265" s="739"/>
      <c r="D265" s="745"/>
      <c r="E265" s="435"/>
      <c r="F265" s="314"/>
      <c r="G265" s="314"/>
      <c r="H265" s="435"/>
      <c r="I265" s="740"/>
      <c r="J265" s="435"/>
      <c r="K265" s="435"/>
      <c r="L265" s="435"/>
      <c r="M265" s="435"/>
      <c r="N265" s="435"/>
      <c r="O265" s="314"/>
      <c r="P265" s="740"/>
      <c r="Q265" s="435"/>
      <c r="R265" s="742"/>
      <c r="S265" s="435"/>
      <c r="T265" s="435"/>
      <c r="U265" s="435"/>
      <c r="V265" s="435"/>
      <c r="W265" s="740"/>
      <c r="X265" s="435"/>
      <c r="Y265" s="435"/>
      <c r="Z265" s="743"/>
      <c r="AA265" s="744"/>
      <c r="AB265" s="435"/>
      <c r="AC265" s="435"/>
      <c r="AD265" s="324"/>
      <c r="AE265" s="180"/>
      <c r="AF265" s="155"/>
      <c r="AG265" s="322"/>
      <c r="AH265" s="155"/>
      <c r="AI265" s="132"/>
    </row>
    <row r="266">
      <c r="A266" s="474"/>
      <c r="B266" s="746"/>
      <c r="C266" s="739"/>
      <c r="D266" s="745"/>
      <c r="E266" s="435"/>
      <c r="F266" s="314"/>
      <c r="G266" s="314"/>
      <c r="H266" s="435"/>
      <c r="I266" s="740"/>
      <c r="J266" s="435"/>
      <c r="K266" s="435"/>
      <c r="L266" s="435"/>
      <c r="M266" s="435"/>
      <c r="N266" s="435"/>
      <c r="O266" s="314"/>
      <c r="P266" s="740"/>
      <c r="Q266" s="435"/>
      <c r="R266" s="742"/>
      <c r="S266" s="435"/>
      <c r="T266" s="435"/>
      <c r="U266" s="435"/>
      <c r="V266" s="435"/>
      <c r="W266" s="740"/>
      <c r="X266" s="435"/>
      <c r="Y266" s="435"/>
      <c r="Z266" s="743"/>
      <c r="AA266" s="744"/>
      <c r="AB266" s="435"/>
      <c r="AC266" s="435"/>
      <c r="AD266" s="324"/>
      <c r="AE266" s="180"/>
      <c r="AF266" s="155"/>
      <c r="AG266" s="322"/>
      <c r="AH266" s="155"/>
      <c r="AI266" s="132"/>
    </row>
    <row r="267">
      <c r="A267" s="474"/>
      <c r="B267" s="746"/>
      <c r="C267" s="696"/>
      <c r="D267" s="745"/>
      <c r="E267" s="435"/>
      <c r="F267" s="314"/>
      <c r="G267" s="314"/>
      <c r="H267" s="435"/>
      <c r="I267" s="740"/>
      <c r="J267" s="435"/>
      <c r="K267" s="314"/>
      <c r="L267" s="314"/>
      <c r="M267" s="314"/>
      <c r="N267" s="435"/>
      <c r="O267" s="314"/>
      <c r="P267" s="318"/>
      <c r="Q267" s="435"/>
      <c r="R267" s="316"/>
      <c r="S267" s="435"/>
      <c r="T267" s="435"/>
      <c r="U267" s="435"/>
      <c r="V267" s="435"/>
      <c r="W267" s="740"/>
      <c r="X267" s="435"/>
      <c r="Y267" s="435"/>
      <c r="Z267" s="743"/>
      <c r="AA267" s="744"/>
      <c r="AB267" s="435"/>
      <c r="AC267" s="435"/>
      <c r="AD267" s="324"/>
      <c r="AE267" s="180"/>
      <c r="AF267" s="155"/>
      <c r="AG267" s="322"/>
      <c r="AH267" s="155"/>
      <c r="AI267" s="132"/>
    </row>
    <row r="268">
      <c r="A268" s="474"/>
      <c r="B268" s="695"/>
      <c r="C268" s="696"/>
      <c r="D268" s="312"/>
      <c r="E268" s="314"/>
      <c r="F268" s="314"/>
      <c r="G268" s="314"/>
      <c r="H268" s="314"/>
      <c r="I268" s="318"/>
      <c r="J268" s="314"/>
      <c r="K268" s="435"/>
      <c r="L268" s="314"/>
      <c r="M268" s="314"/>
      <c r="N268" s="314"/>
      <c r="O268" s="314"/>
      <c r="P268" s="740"/>
      <c r="Q268" s="314"/>
      <c r="R268" s="316"/>
      <c r="S268" s="314"/>
      <c r="T268" s="314"/>
      <c r="U268" s="314"/>
      <c r="V268" s="314"/>
      <c r="W268" s="318"/>
      <c r="X268" s="314"/>
      <c r="Y268" s="314"/>
      <c r="Z268" s="697"/>
      <c r="AA268" s="315"/>
      <c r="AB268" s="314"/>
      <c r="AC268" s="314"/>
      <c r="AD268" s="324"/>
      <c r="AE268" s="180"/>
      <c r="AF268" s="155"/>
      <c r="AG268" s="322"/>
      <c r="AH268" s="155"/>
      <c r="AI268" s="132"/>
    </row>
    <row r="269">
      <c r="A269" s="474"/>
      <c r="B269" s="695"/>
      <c r="C269" s="739"/>
      <c r="D269" s="745"/>
      <c r="E269" s="314"/>
      <c r="F269" s="314"/>
      <c r="G269" s="314"/>
      <c r="H269" s="314"/>
      <c r="I269" s="740"/>
      <c r="J269" s="314"/>
      <c r="K269" s="314"/>
      <c r="L269" s="314"/>
      <c r="M269" s="314"/>
      <c r="N269" s="314"/>
      <c r="O269" s="314"/>
      <c r="P269" s="318"/>
      <c r="Q269" s="314"/>
      <c r="R269" s="316"/>
      <c r="S269" s="314"/>
      <c r="T269" s="314"/>
      <c r="U269" s="314"/>
      <c r="V269" s="314"/>
      <c r="W269" s="318"/>
      <c r="X269" s="314"/>
      <c r="Y269" s="314"/>
      <c r="Z269" s="697"/>
      <c r="AA269" s="315"/>
      <c r="AB269" s="314"/>
      <c r="AC269" s="314"/>
      <c r="AD269" s="324"/>
      <c r="AE269" s="180"/>
      <c r="AF269" s="155"/>
      <c r="AG269" s="322"/>
      <c r="AH269" s="155"/>
      <c r="AI269" s="132"/>
    </row>
    <row r="270">
      <c r="A270" s="474"/>
      <c r="B270" s="695"/>
      <c r="C270" s="696"/>
      <c r="D270" s="312"/>
      <c r="E270" s="314"/>
      <c r="F270" s="314"/>
      <c r="G270" s="314"/>
      <c r="H270" s="314"/>
      <c r="I270" s="318"/>
      <c r="J270" s="314"/>
      <c r="K270" s="435"/>
      <c r="L270" s="314"/>
      <c r="M270" s="314"/>
      <c r="N270" s="314"/>
      <c r="O270" s="314"/>
      <c r="P270" s="318"/>
      <c r="Q270" s="314"/>
      <c r="R270" s="316"/>
      <c r="S270" s="314"/>
      <c r="T270" s="314"/>
      <c r="U270" s="314"/>
      <c r="V270" s="314"/>
      <c r="W270" s="318"/>
      <c r="X270" s="314"/>
      <c r="Y270" s="314"/>
      <c r="Z270" s="697"/>
      <c r="AA270" s="315"/>
      <c r="AB270" s="314"/>
      <c r="AC270" s="314"/>
      <c r="AD270" s="324"/>
      <c r="AE270" s="180"/>
      <c r="AF270" s="155"/>
      <c r="AG270" s="322"/>
      <c r="AH270" s="155"/>
      <c r="AI270" s="132"/>
    </row>
    <row r="271">
      <c r="A271" s="458"/>
      <c r="B271" s="695"/>
      <c r="C271" s="739"/>
      <c r="D271" s="312"/>
      <c r="E271" s="314"/>
      <c r="F271" s="314"/>
      <c r="G271" s="314"/>
      <c r="H271" s="314"/>
      <c r="I271" s="318"/>
      <c r="J271" s="435"/>
      <c r="K271" s="435"/>
      <c r="L271" s="314"/>
      <c r="M271" s="314"/>
      <c r="N271" s="314"/>
      <c r="O271" s="314"/>
      <c r="P271" s="318"/>
      <c r="Q271" s="314"/>
      <c r="R271" s="316"/>
      <c r="S271" s="314"/>
      <c r="T271" s="314"/>
      <c r="U271" s="314"/>
      <c r="V271" s="314"/>
      <c r="W271" s="318"/>
      <c r="X271" s="314"/>
      <c r="Y271" s="314"/>
      <c r="Z271" s="697"/>
      <c r="AA271" s="315"/>
      <c r="AB271" s="314"/>
      <c r="AC271" s="314"/>
      <c r="AD271" s="324"/>
      <c r="AE271" s="180"/>
      <c r="AF271" s="155"/>
      <c r="AG271" s="322"/>
      <c r="AH271" s="155"/>
      <c r="AI271" s="132"/>
    </row>
    <row r="272">
      <c r="A272" s="435"/>
      <c r="B272" s="695"/>
      <c r="C272" s="739"/>
      <c r="D272" s="745"/>
      <c r="E272" s="435"/>
      <c r="F272" s="314"/>
      <c r="G272" s="314"/>
      <c r="H272" s="435"/>
      <c r="I272" s="318"/>
      <c r="J272" s="314"/>
      <c r="K272" s="435"/>
      <c r="L272" s="314"/>
      <c r="M272" s="435"/>
      <c r="N272" s="435"/>
      <c r="O272" s="314"/>
      <c r="P272" s="318"/>
      <c r="Q272" s="314"/>
      <c r="R272" s="742"/>
      <c r="S272" s="314"/>
      <c r="T272" s="314"/>
      <c r="U272" s="314"/>
      <c r="V272" s="314"/>
      <c r="W272" s="318"/>
      <c r="X272" s="314"/>
      <c r="Y272" s="314"/>
      <c r="Z272" s="697"/>
      <c r="AA272" s="315"/>
      <c r="AB272" s="314"/>
      <c r="AC272" s="314"/>
      <c r="AD272" s="324"/>
      <c r="AE272" s="180"/>
      <c r="AF272" s="155"/>
      <c r="AG272" s="322"/>
      <c r="AH272" s="155"/>
      <c r="AI272" s="132"/>
    </row>
    <row r="273">
      <c r="A273" s="435"/>
      <c r="B273" s="746"/>
      <c r="C273" s="696"/>
      <c r="D273" s="312"/>
      <c r="E273" s="314"/>
      <c r="F273" s="314"/>
      <c r="G273" s="314"/>
      <c r="H273" s="314"/>
      <c r="I273" s="318"/>
      <c r="J273" s="314"/>
      <c r="K273" s="314"/>
      <c r="L273" s="314"/>
      <c r="M273" s="314"/>
      <c r="N273" s="314"/>
      <c r="O273" s="314"/>
      <c r="P273" s="740"/>
      <c r="Q273" s="314"/>
      <c r="R273" s="316"/>
      <c r="S273" s="314"/>
      <c r="T273" s="314"/>
      <c r="U273" s="314"/>
      <c r="V273" s="314"/>
      <c r="W273" s="318"/>
      <c r="X273" s="314"/>
      <c r="Y273" s="314"/>
      <c r="Z273" s="697"/>
      <c r="AA273" s="315"/>
      <c r="AB273" s="314"/>
      <c r="AC273" s="314"/>
      <c r="AD273" s="324"/>
      <c r="AE273" s="180"/>
      <c r="AF273" s="155"/>
      <c r="AG273" s="322"/>
      <c r="AH273" s="155"/>
      <c r="AI273" s="132"/>
    </row>
    <row r="274">
      <c r="A274" s="435"/>
      <c r="B274" s="746"/>
      <c r="C274" s="696"/>
      <c r="D274" s="312"/>
      <c r="E274" s="314"/>
      <c r="F274" s="314"/>
      <c r="G274" s="314"/>
      <c r="H274" s="314"/>
      <c r="I274" s="318"/>
      <c r="J274" s="314"/>
      <c r="K274" s="314"/>
      <c r="L274" s="314"/>
      <c r="M274" s="314"/>
      <c r="N274" s="314"/>
      <c r="O274" s="314"/>
      <c r="P274" s="318"/>
      <c r="Q274" s="435"/>
      <c r="R274" s="316"/>
      <c r="S274" s="435"/>
      <c r="T274" s="435"/>
      <c r="U274" s="435"/>
      <c r="V274" s="435"/>
      <c r="W274" s="740"/>
      <c r="X274" s="435"/>
      <c r="Y274" s="435"/>
      <c r="Z274" s="743"/>
      <c r="AA274" s="744"/>
      <c r="AB274" s="435"/>
      <c r="AC274" s="435"/>
      <c r="AD274" s="324"/>
      <c r="AE274" s="180"/>
      <c r="AF274" s="155"/>
      <c r="AG274" s="322"/>
      <c r="AH274" s="155"/>
      <c r="AI274" s="132"/>
    </row>
    <row r="275">
      <c r="A275" s="435"/>
      <c r="B275" s="695"/>
      <c r="C275" s="739"/>
      <c r="D275" s="312"/>
      <c r="E275" s="314"/>
      <c r="F275" s="314"/>
      <c r="G275" s="314"/>
      <c r="H275" s="314"/>
      <c r="I275" s="318"/>
      <c r="J275" s="314"/>
      <c r="K275" s="314"/>
      <c r="L275" s="314"/>
      <c r="M275" s="314"/>
      <c r="N275" s="314"/>
      <c r="O275" s="314"/>
      <c r="P275" s="318"/>
      <c r="Q275" s="314"/>
      <c r="R275" s="742"/>
      <c r="S275" s="314"/>
      <c r="T275" s="314"/>
      <c r="U275" s="314"/>
      <c r="V275" s="314"/>
      <c r="W275" s="318"/>
      <c r="X275" s="314"/>
      <c r="Y275" s="314"/>
      <c r="Z275" s="697"/>
      <c r="AA275" s="315"/>
      <c r="AB275" s="314"/>
      <c r="AC275" s="314"/>
      <c r="AD275" s="324"/>
      <c r="AE275" s="180"/>
      <c r="AF275" s="155"/>
      <c r="AG275" s="322"/>
      <c r="AH275" s="155"/>
      <c r="AI275" s="132"/>
    </row>
    <row r="276">
      <c r="A276" s="435"/>
      <c r="B276" s="695"/>
      <c r="C276" s="696"/>
      <c r="D276" s="312"/>
      <c r="E276" s="314"/>
      <c r="F276" s="314"/>
      <c r="G276" s="314"/>
      <c r="H276" s="314"/>
      <c r="I276" s="318"/>
      <c r="J276" s="314"/>
      <c r="K276" s="435"/>
      <c r="L276" s="314"/>
      <c r="M276" s="435"/>
      <c r="N276" s="314"/>
      <c r="O276" s="314"/>
      <c r="P276" s="318"/>
      <c r="Q276" s="435"/>
      <c r="R276" s="316"/>
      <c r="S276" s="314"/>
      <c r="T276" s="314"/>
      <c r="U276" s="314"/>
      <c r="V276" s="314"/>
      <c r="W276" s="318"/>
      <c r="X276" s="314"/>
      <c r="Y276" s="314"/>
      <c r="Z276" s="697"/>
      <c r="AA276" s="315"/>
      <c r="AB276" s="314"/>
      <c r="AC276" s="314"/>
      <c r="AD276" s="324"/>
      <c r="AE276" s="180"/>
      <c r="AF276" s="155"/>
      <c r="AG276" s="322"/>
      <c r="AH276" s="155"/>
      <c r="AI276" s="132"/>
    </row>
    <row r="277">
      <c r="A277" s="435"/>
      <c r="B277" s="695"/>
      <c r="C277" s="739"/>
      <c r="D277" s="745"/>
      <c r="E277" s="314"/>
      <c r="F277" s="314"/>
      <c r="G277" s="314"/>
      <c r="H277" s="314"/>
      <c r="I277" s="318"/>
      <c r="J277" s="314"/>
      <c r="K277" s="435"/>
      <c r="L277" s="314"/>
      <c r="M277" s="435"/>
      <c r="N277" s="314"/>
      <c r="O277" s="314"/>
      <c r="P277" s="318"/>
      <c r="Q277" s="435"/>
      <c r="R277" s="316"/>
      <c r="S277" s="314"/>
      <c r="T277" s="314"/>
      <c r="U277" s="314"/>
      <c r="V277" s="314"/>
      <c r="W277" s="318"/>
      <c r="X277" s="314"/>
      <c r="Y277" s="314"/>
      <c r="Z277" s="697"/>
      <c r="AA277" s="315"/>
      <c r="AB277" s="314"/>
      <c r="AC277" s="314"/>
      <c r="AD277" s="324"/>
      <c r="AE277" s="180"/>
      <c r="AF277" s="155"/>
      <c r="AG277" s="322"/>
      <c r="AH277" s="155"/>
      <c r="AI277" s="132"/>
    </row>
    <row r="278">
      <c r="A278" s="476"/>
      <c r="AF278" s="176"/>
      <c r="AG278" s="322"/>
      <c r="AH278" s="155"/>
      <c r="AI278" s="132"/>
    </row>
    <row r="279">
      <c r="A279" s="178"/>
      <c r="AG279" s="322"/>
      <c r="AH279" s="155"/>
      <c r="AI279" s="132"/>
    </row>
    <row r="280">
      <c r="A280" s="474"/>
      <c r="B280" s="746"/>
      <c r="C280" s="739"/>
      <c r="D280" s="745"/>
      <c r="E280" s="435"/>
      <c r="F280" s="314"/>
      <c r="G280" s="314"/>
      <c r="H280" s="314"/>
      <c r="I280" s="740"/>
      <c r="J280" s="435"/>
      <c r="K280" s="435"/>
      <c r="L280" s="435"/>
      <c r="M280" s="435"/>
      <c r="N280" s="435"/>
      <c r="O280" s="314"/>
      <c r="P280" s="740"/>
      <c r="Q280" s="435"/>
      <c r="R280" s="742"/>
      <c r="S280" s="435"/>
      <c r="T280" s="435"/>
      <c r="U280" s="435"/>
      <c r="V280" s="435"/>
      <c r="W280" s="740"/>
      <c r="X280" s="435"/>
      <c r="Y280" s="435"/>
      <c r="Z280" s="743"/>
      <c r="AA280" s="744"/>
      <c r="AB280" s="435"/>
      <c r="AC280" s="435"/>
      <c r="AD280" s="324"/>
      <c r="AE280" s="180"/>
      <c r="AF280" s="155"/>
      <c r="AG280" s="322"/>
      <c r="AH280" s="155"/>
      <c r="AI280" s="132"/>
    </row>
    <row r="281">
      <c r="A281" s="474"/>
      <c r="B281" s="695"/>
      <c r="C281" s="739"/>
      <c r="D281" s="745"/>
      <c r="E281" s="435"/>
      <c r="F281" s="314"/>
      <c r="G281" s="314"/>
      <c r="H281" s="435"/>
      <c r="I281" s="318"/>
      <c r="J281" s="435"/>
      <c r="K281" s="435"/>
      <c r="L281" s="435"/>
      <c r="M281" s="314"/>
      <c r="N281" s="314"/>
      <c r="O281" s="314"/>
      <c r="P281" s="740"/>
      <c r="Q281" s="435"/>
      <c r="R281" s="742"/>
      <c r="S281" s="435"/>
      <c r="T281" s="435"/>
      <c r="U281" s="435"/>
      <c r="V281" s="435"/>
      <c r="W281" s="740"/>
      <c r="X281" s="435"/>
      <c r="Y281" s="435"/>
      <c r="Z281" s="743"/>
      <c r="AA281" s="744"/>
      <c r="AB281" s="435"/>
      <c r="AC281" s="435"/>
      <c r="AD281" s="324"/>
      <c r="AE281" s="180"/>
      <c r="AF281" s="155"/>
      <c r="AG281" s="322"/>
      <c r="AH281" s="155"/>
      <c r="AI281" s="132"/>
    </row>
    <row r="282">
      <c r="A282" s="477"/>
      <c r="B282" s="746"/>
      <c r="C282" s="739"/>
      <c r="D282" s="745"/>
      <c r="E282" s="314"/>
      <c r="F282" s="314"/>
      <c r="G282" s="314"/>
      <c r="H282" s="435"/>
      <c r="I282" s="740"/>
      <c r="J282" s="435"/>
      <c r="K282" s="435"/>
      <c r="L282" s="435"/>
      <c r="M282" s="435"/>
      <c r="N282" s="435"/>
      <c r="O282" s="314"/>
      <c r="P282" s="740"/>
      <c r="Q282" s="435"/>
      <c r="R282" s="742"/>
      <c r="S282" s="435"/>
      <c r="T282" s="435"/>
      <c r="U282" s="435"/>
      <c r="V282" s="435"/>
      <c r="W282" s="740"/>
      <c r="X282" s="435"/>
      <c r="Y282" s="435"/>
      <c r="Z282" s="743"/>
      <c r="AA282" s="744"/>
      <c r="AB282" s="435"/>
      <c r="AC282" s="435"/>
      <c r="AD282" s="324"/>
      <c r="AE282" s="180"/>
      <c r="AF282" s="155"/>
      <c r="AG282" s="322"/>
      <c r="AH282" s="155"/>
      <c r="AI282" s="132"/>
    </row>
    <row r="283">
      <c r="A283" s="477"/>
      <c r="B283" s="746"/>
      <c r="C283" s="739"/>
      <c r="D283" s="745"/>
      <c r="E283" s="314"/>
      <c r="F283" s="314"/>
      <c r="G283" s="314"/>
      <c r="H283" s="435"/>
      <c r="I283" s="318"/>
      <c r="J283" s="314"/>
      <c r="K283" s="435"/>
      <c r="L283" s="435"/>
      <c r="M283" s="435"/>
      <c r="N283" s="314"/>
      <c r="O283" s="314"/>
      <c r="P283" s="740"/>
      <c r="Q283" s="435"/>
      <c r="R283" s="742"/>
      <c r="S283" s="435"/>
      <c r="T283" s="435"/>
      <c r="U283" s="435"/>
      <c r="V283" s="435"/>
      <c r="W283" s="740"/>
      <c r="X283" s="435"/>
      <c r="Y283" s="435"/>
      <c r="Z283" s="743"/>
      <c r="AA283" s="744"/>
      <c r="AB283" s="435"/>
      <c r="AC283" s="435"/>
      <c r="AD283" s="324"/>
      <c r="AE283" s="180"/>
      <c r="AF283" s="155"/>
      <c r="AG283" s="322"/>
      <c r="AH283" s="155"/>
      <c r="AI283" s="132"/>
    </row>
    <row r="284">
      <c r="A284" s="477"/>
      <c r="B284" s="746"/>
      <c r="C284" s="739"/>
      <c r="D284" s="745"/>
      <c r="E284" s="435"/>
      <c r="F284" s="314"/>
      <c r="G284" s="314"/>
      <c r="H284" s="435"/>
      <c r="I284" s="740"/>
      <c r="J284" s="435"/>
      <c r="K284" s="435"/>
      <c r="L284" s="435"/>
      <c r="M284" s="435"/>
      <c r="N284" s="435"/>
      <c r="O284" s="314"/>
      <c r="P284" s="740"/>
      <c r="Q284" s="435"/>
      <c r="R284" s="742"/>
      <c r="S284" s="435"/>
      <c r="T284" s="435"/>
      <c r="U284" s="435"/>
      <c r="V284" s="435"/>
      <c r="W284" s="740"/>
      <c r="X284" s="435"/>
      <c r="Y284" s="435"/>
      <c r="Z284" s="743"/>
      <c r="AA284" s="744"/>
      <c r="AB284" s="435"/>
      <c r="AC284" s="435"/>
      <c r="AD284" s="324"/>
      <c r="AE284" s="180"/>
      <c r="AF284" s="155"/>
      <c r="AG284" s="322"/>
      <c r="AH284" s="155"/>
      <c r="AI284" s="132"/>
    </row>
    <row r="285">
      <c r="A285" s="474"/>
      <c r="B285" s="695"/>
      <c r="C285" s="739"/>
      <c r="D285" s="312"/>
      <c r="E285" s="435"/>
      <c r="F285" s="314"/>
      <c r="G285" s="314"/>
      <c r="H285" s="435"/>
      <c r="I285" s="318"/>
      <c r="J285" s="435"/>
      <c r="K285" s="435"/>
      <c r="L285" s="314"/>
      <c r="M285" s="435"/>
      <c r="N285" s="314"/>
      <c r="O285" s="314"/>
      <c r="P285" s="740"/>
      <c r="Q285" s="435"/>
      <c r="R285" s="742"/>
      <c r="S285" s="435"/>
      <c r="T285" s="435"/>
      <c r="U285" s="435"/>
      <c r="V285" s="435"/>
      <c r="W285" s="740"/>
      <c r="X285" s="435"/>
      <c r="Y285" s="435"/>
      <c r="Z285" s="743"/>
      <c r="AA285" s="744"/>
      <c r="AB285" s="435"/>
      <c r="AC285" s="435"/>
      <c r="AD285" s="324"/>
      <c r="AE285" s="180"/>
      <c r="AF285" s="155"/>
      <c r="AG285" s="322"/>
      <c r="AH285" s="155"/>
      <c r="AI285" s="132"/>
    </row>
    <row r="286">
      <c r="A286" s="478"/>
      <c r="B286" s="746"/>
      <c r="C286" s="739"/>
      <c r="D286" s="745"/>
      <c r="E286" s="435"/>
      <c r="F286" s="314"/>
      <c r="G286" s="314"/>
      <c r="H286" s="435"/>
      <c r="I286" s="740"/>
      <c r="J286" s="435"/>
      <c r="K286" s="435"/>
      <c r="L286" s="435"/>
      <c r="M286" s="435"/>
      <c r="N286" s="435"/>
      <c r="O286" s="314"/>
      <c r="P286" s="740"/>
      <c r="Q286" s="435"/>
      <c r="R286" s="742"/>
      <c r="S286" s="435"/>
      <c r="T286" s="435"/>
      <c r="U286" s="435"/>
      <c r="V286" s="435"/>
      <c r="W286" s="740"/>
      <c r="X286" s="435"/>
      <c r="Y286" s="435"/>
      <c r="Z286" s="743"/>
      <c r="AA286" s="744"/>
      <c r="AB286" s="435"/>
      <c r="AC286" s="435"/>
      <c r="AD286" s="324"/>
      <c r="AE286" s="180"/>
      <c r="AF286" s="155"/>
      <c r="AG286" s="322"/>
      <c r="AH286" s="155"/>
      <c r="AI286" s="132"/>
    </row>
    <row r="287">
      <c r="A287" s="478"/>
      <c r="B287" s="746"/>
      <c r="C287" s="739"/>
      <c r="D287" s="745"/>
      <c r="E287" s="435"/>
      <c r="F287" s="314"/>
      <c r="G287" s="314"/>
      <c r="H287" s="435"/>
      <c r="I287" s="740"/>
      <c r="J287" s="435"/>
      <c r="K287" s="435"/>
      <c r="L287" s="435"/>
      <c r="M287" s="435"/>
      <c r="N287" s="435"/>
      <c r="O287" s="314"/>
      <c r="P287" s="740"/>
      <c r="Q287" s="435"/>
      <c r="R287" s="742"/>
      <c r="S287" s="435"/>
      <c r="T287" s="435"/>
      <c r="U287" s="435"/>
      <c r="V287" s="435"/>
      <c r="W287" s="740"/>
      <c r="X287" s="435"/>
      <c r="Y287" s="435"/>
      <c r="Z287" s="743"/>
      <c r="AA287" s="744"/>
      <c r="AB287" s="435"/>
      <c r="AC287" s="435"/>
      <c r="AD287" s="324"/>
      <c r="AE287" s="180"/>
      <c r="AF287" s="155"/>
      <c r="AG287" s="322"/>
      <c r="AH287" s="155"/>
      <c r="AI287" s="132"/>
    </row>
    <row r="288">
      <c r="A288" s="478"/>
      <c r="B288" s="746"/>
      <c r="C288" s="739"/>
      <c r="D288" s="312"/>
      <c r="E288" s="314"/>
      <c r="F288" s="314"/>
      <c r="G288" s="314"/>
      <c r="H288" s="435"/>
      <c r="I288" s="740"/>
      <c r="J288" s="314"/>
      <c r="K288" s="435"/>
      <c r="L288" s="314"/>
      <c r="M288" s="435"/>
      <c r="N288" s="314"/>
      <c r="O288" s="314"/>
      <c r="P288" s="318"/>
      <c r="Q288" s="314"/>
      <c r="R288" s="316"/>
      <c r="S288" s="435"/>
      <c r="T288" s="435"/>
      <c r="U288" s="435"/>
      <c r="V288" s="435"/>
      <c r="W288" s="740"/>
      <c r="X288" s="435"/>
      <c r="Y288" s="435"/>
      <c r="Z288" s="743"/>
      <c r="AA288" s="744"/>
      <c r="AB288" s="435"/>
      <c r="AC288" s="435"/>
      <c r="AD288" s="324"/>
      <c r="AE288" s="180"/>
      <c r="AF288" s="155"/>
      <c r="AG288" s="322"/>
      <c r="AH288" s="155"/>
      <c r="AI288" s="132"/>
    </row>
    <row r="289">
      <c r="A289" s="477"/>
      <c r="B289" s="695"/>
      <c r="C289" s="739"/>
      <c r="D289" s="745"/>
      <c r="E289" s="435"/>
      <c r="F289" s="314"/>
      <c r="G289" s="314"/>
      <c r="H289" s="435"/>
      <c r="I289" s="740"/>
      <c r="J289" s="435"/>
      <c r="K289" s="435"/>
      <c r="L289" s="435"/>
      <c r="M289" s="435"/>
      <c r="N289" s="435"/>
      <c r="O289" s="314"/>
      <c r="P289" s="740"/>
      <c r="Q289" s="435"/>
      <c r="R289" s="742"/>
      <c r="S289" s="435"/>
      <c r="T289" s="435"/>
      <c r="U289" s="435"/>
      <c r="V289" s="435"/>
      <c r="W289" s="740"/>
      <c r="X289" s="435"/>
      <c r="Y289" s="435"/>
      <c r="Z289" s="743"/>
      <c r="AA289" s="744"/>
      <c r="AB289" s="435"/>
      <c r="AC289" s="435"/>
      <c r="AD289" s="324"/>
      <c r="AE289" s="180"/>
      <c r="AF289" s="155"/>
      <c r="AG289" s="322"/>
      <c r="AH289" s="155"/>
      <c r="AI289" s="132"/>
    </row>
    <row r="290">
      <c r="A290" s="477"/>
      <c r="B290" s="695"/>
      <c r="C290" s="696"/>
      <c r="D290" s="312"/>
      <c r="E290" s="314"/>
      <c r="F290" s="314"/>
      <c r="G290" s="314"/>
      <c r="H290" s="435"/>
      <c r="I290" s="318"/>
      <c r="J290" s="314"/>
      <c r="K290" s="314"/>
      <c r="L290" s="314"/>
      <c r="M290" s="314"/>
      <c r="N290" s="435"/>
      <c r="O290" s="314"/>
      <c r="P290" s="318"/>
      <c r="Q290" s="435"/>
      <c r="R290" s="316"/>
      <c r="S290" s="314"/>
      <c r="T290" s="314"/>
      <c r="U290" s="314"/>
      <c r="V290" s="314"/>
      <c r="W290" s="318"/>
      <c r="X290" s="314"/>
      <c r="Y290" s="314"/>
      <c r="Z290" s="697"/>
      <c r="AA290" s="315"/>
      <c r="AB290" s="314"/>
      <c r="AC290" s="314"/>
      <c r="AD290" s="324"/>
      <c r="AE290" s="180"/>
      <c r="AF290" s="155"/>
      <c r="AG290" s="322"/>
      <c r="AH290" s="155"/>
      <c r="AI290" s="132"/>
    </row>
    <row r="291">
      <c r="A291" s="477"/>
      <c r="B291" s="695"/>
      <c r="C291" s="696"/>
      <c r="D291" s="312"/>
      <c r="E291" s="314"/>
      <c r="F291" s="314"/>
      <c r="G291" s="314"/>
      <c r="H291" s="314"/>
      <c r="I291" s="318"/>
      <c r="J291" s="314"/>
      <c r="K291" s="314"/>
      <c r="L291" s="314"/>
      <c r="M291" s="314"/>
      <c r="N291" s="314"/>
      <c r="O291" s="314"/>
      <c r="P291" s="318"/>
      <c r="Q291" s="314"/>
      <c r="R291" s="316"/>
      <c r="S291" s="314"/>
      <c r="T291" s="314"/>
      <c r="U291" s="314"/>
      <c r="V291" s="314"/>
      <c r="W291" s="318"/>
      <c r="X291" s="314"/>
      <c r="Y291" s="314"/>
      <c r="Z291" s="697"/>
      <c r="AA291" s="315"/>
      <c r="AB291" s="314"/>
      <c r="AC291" s="314"/>
      <c r="AD291" s="324"/>
      <c r="AE291" s="180"/>
      <c r="AF291" s="155"/>
      <c r="AG291" s="322"/>
      <c r="AH291" s="155"/>
      <c r="AI291" s="132"/>
    </row>
    <row r="292">
      <c r="A292" s="476"/>
      <c r="AF292" s="176"/>
      <c r="AG292" s="322"/>
      <c r="AH292" s="155"/>
      <c r="AI292" s="132"/>
    </row>
    <row r="293">
      <c r="A293" s="178"/>
      <c r="AG293" s="322"/>
      <c r="AH293" s="155"/>
      <c r="AI293" s="132"/>
    </row>
    <row r="294">
      <c r="A294" s="477"/>
      <c r="B294" s="746"/>
      <c r="C294" s="739"/>
      <c r="D294" s="745"/>
      <c r="E294" s="314"/>
      <c r="F294" s="314"/>
      <c r="G294" s="314"/>
      <c r="H294" s="314"/>
      <c r="I294" s="318"/>
      <c r="J294" s="314"/>
      <c r="K294" s="435"/>
      <c r="L294" s="435"/>
      <c r="M294" s="314"/>
      <c r="N294" s="314"/>
      <c r="O294" s="314"/>
      <c r="P294" s="318"/>
      <c r="Q294" s="435"/>
      <c r="R294" s="742"/>
      <c r="S294" s="435"/>
      <c r="T294" s="435"/>
      <c r="U294" s="435"/>
      <c r="V294" s="435"/>
      <c r="W294" s="740"/>
      <c r="X294" s="435"/>
      <c r="Y294" s="435"/>
      <c r="Z294" s="743"/>
      <c r="AA294" s="744"/>
      <c r="AB294" s="435"/>
      <c r="AC294" s="435"/>
      <c r="AD294" s="324"/>
      <c r="AE294" s="180"/>
      <c r="AF294" s="155"/>
      <c r="AG294" s="322"/>
      <c r="AH294" s="155"/>
      <c r="AI294" s="132"/>
    </row>
    <row r="295">
      <c r="A295" s="477"/>
      <c r="B295" s="695"/>
      <c r="C295" s="739"/>
      <c r="D295" s="745"/>
      <c r="E295" s="314"/>
      <c r="F295" s="314"/>
      <c r="G295" s="314"/>
      <c r="H295" s="314"/>
      <c r="I295" s="740"/>
      <c r="J295" s="435"/>
      <c r="K295" s="435"/>
      <c r="L295" s="314"/>
      <c r="M295" s="435"/>
      <c r="N295" s="314"/>
      <c r="O295" s="314"/>
      <c r="P295" s="318"/>
      <c r="Q295" s="435"/>
      <c r="R295" s="742"/>
      <c r="S295" s="435"/>
      <c r="T295" s="435"/>
      <c r="U295" s="435"/>
      <c r="V295" s="435"/>
      <c r="W295" s="740"/>
      <c r="X295" s="435"/>
      <c r="Y295" s="435"/>
      <c r="Z295" s="743"/>
      <c r="AA295" s="744"/>
      <c r="AB295" s="435"/>
      <c r="AC295" s="435"/>
      <c r="AD295" s="324"/>
      <c r="AE295" s="180"/>
      <c r="AF295" s="155"/>
      <c r="AG295" s="322"/>
      <c r="AH295" s="155"/>
      <c r="AI295" s="132"/>
    </row>
    <row r="296">
      <c r="A296" s="477"/>
      <c r="B296" s="695"/>
      <c r="C296" s="739"/>
      <c r="D296" s="745"/>
      <c r="E296" s="435"/>
      <c r="F296" s="314"/>
      <c r="G296" s="314"/>
      <c r="H296" s="435"/>
      <c r="I296" s="318"/>
      <c r="J296" s="314"/>
      <c r="K296" s="435"/>
      <c r="L296" s="314"/>
      <c r="M296" s="435"/>
      <c r="N296" s="435"/>
      <c r="O296" s="314"/>
      <c r="P296" s="740"/>
      <c r="Q296" s="435"/>
      <c r="R296" s="742"/>
      <c r="S296" s="435"/>
      <c r="T296" s="435"/>
      <c r="U296" s="435"/>
      <c r="V296" s="435"/>
      <c r="W296" s="740"/>
      <c r="X296" s="435"/>
      <c r="Y296" s="435"/>
      <c r="Z296" s="743"/>
      <c r="AA296" s="744"/>
      <c r="AB296" s="435"/>
      <c r="AC296" s="435"/>
      <c r="AD296" s="324"/>
      <c r="AE296" s="180"/>
      <c r="AF296" s="155"/>
      <c r="AG296" s="322"/>
      <c r="AH296" s="155"/>
      <c r="AI296" s="132"/>
    </row>
    <row r="297">
      <c r="A297" s="479"/>
      <c r="B297" s="695"/>
      <c r="C297" s="696"/>
      <c r="D297" s="312"/>
      <c r="E297" s="314"/>
      <c r="F297" s="314"/>
      <c r="G297" s="314"/>
      <c r="H297" s="314"/>
      <c r="I297" s="318"/>
      <c r="J297" s="314"/>
      <c r="K297" s="314"/>
      <c r="L297" s="314"/>
      <c r="M297" s="314"/>
      <c r="N297" s="314"/>
      <c r="O297" s="314"/>
      <c r="P297" s="318"/>
      <c r="Q297" s="435"/>
      <c r="R297" s="316"/>
      <c r="S297" s="314"/>
      <c r="T297" s="314"/>
      <c r="U297" s="314"/>
      <c r="V297" s="314"/>
      <c r="W297" s="318"/>
      <c r="X297" s="314"/>
      <c r="Y297" s="314"/>
      <c r="Z297" s="697"/>
      <c r="AA297" s="315"/>
      <c r="AB297" s="314"/>
      <c r="AC297" s="314"/>
      <c r="AD297" s="324"/>
      <c r="AE297" s="180"/>
      <c r="AF297" s="155"/>
      <c r="AG297" s="322"/>
      <c r="AH297" s="155"/>
      <c r="AI297" s="132"/>
    </row>
    <row r="298">
      <c r="A298" s="476"/>
      <c r="AF298" s="176"/>
      <c r="AG298" s="322"/>
      <c r="AH298" s="155"/>
      <c r="AI298" s="132"/>
    </row>
    <row r="299">
      <c r="A299" s="178"/>
      <c r="AG299" s="322"/>
      <c r="AH299" s="155"/>
      <c r="AI299" s="132"/>
    </row>
    <row r="300">
      <c r="A300" s="480"/>
      <c r="B300" s="695"/>
      <c r="C300" s="739"/>
      <c r="D300" s="312"/>
      <c r="E300" s="314"/>
      <c r="F300" s="314"/>
      <c r="G300" s="314"/>
      <c r="H300" s="314"/>
      <c r="I300" s="318"/>
      <c r="J300" s="435"/>
      <c r="K300" s="435"/>
      <c r="L300" s="314"/>
      <c r="M300" s="314"/>
      <c r="N300" s="314"/>
      <c r="O300" s="314"/>
      <c r="P300" s="318"/>
      <c r="Q300" s="435"/>
      <c r="R300" s="316"/>
      <c r="S300" s="314"/>
      <c r="T300" s="314"/>
      <c r="U300" s="314"/>
      <c r="V300" s="314"/>
      <c r="W300" s="318"/>
      <c r="X300" s="314"/>
      <c r="Y300" s="314"/>
      <c r="Z300" s="697"/>
      <c r="AA300" s="315"/>
      <c r="AB300" s="314"/>
      <c r="AC300" s="314"/>
      <c r="AD300" s="324"/>
      <c r="AE300" s="180"/>
      <c r="AF300" s="180"/>
      <c r="AG300" s="322"/>
      <c r="AH300" s="155"/>
      <c r="AI300" s="132"/>
    </row>
    <row r="301">
      <c r="A301" s="480"/>
      <c r="B301" s="695"/>
      <c r="C301" s="739"/>
      <c r="D301" s="312"/>
      <c r="E301" s="314"/>
      <c r="F301" s="314"/>
      <c r="G301" s="314"/>
      <c r="H301" s="435"/>
      <c r="I301" s="318"/>
      <c r="J301" s="435"/>
      <c r="K301" s="435"/>
      <c r="L301" s="314"/>
      <c r="M301" s="435"/>
      <c r="N301" s="435"/>
      <c r="O301" s="314"/>
      <c r="P301" s="740"/>
      <c r="Q301" s="435"/>
      <c r="R301" s="316"/>
      <c r="S301" s="435"/>
      <c r="T301" s="435"/>
      <c r="U301" s="435"/>
      <c r="V301" s="435"/>
      <c r="W301" s="740"/>
      <c r="X301" s="435"/>
      <c r="Y301" s="435"/>
      <c r="Z301" s="743"/>
      <c r="AA301" s="744"/>
      <c r="AB301" s="435"/>
      <c r="AC301" s="435"/>
      <c r="AD301" s="324"/>
      <c r="AE301" s="180"/>
      <c r="AF301" s="180"/>
      <c r="AG301" s="322"/>
      <c r="AH301" s="155"/>
      <c r="AI301" s="132"/>
    </row>
    <row r="302">
      <c r="A302" s="476"/>
      <c r="AF302" s="176"/>
      <c r="AG302" s="322"/>
      <c r="AH302" s="155"/>
      <c r="AI302" s="132"/>
    </row>
    <row r="303">
      <c r="A303" s="178"/>
      <c r="AG303" s="322"/>
      <c r="AH303" s="155"/>
      <c r="AI303" s="132"/>
    </row>
    <row r="304">
      <c r="A304" s="481"/>
      <c r="B304" s="695"/>
      <c r="C304" s="739"/>
      <c r="D304" s="745"/>
      <c r="E304" s="435"/>
      <c r="F304" s="314"/>
      <c r="G304" s="435"/>
      <c r="H304" s="435"/>
      <c r="I304" s="740"/>
      <c r="J304" s="314"/>
      <c r="K304" s="435"/>
      <c r="L304" s="435"/>
      <c r="M304" s="435"/>
      <c r="N304" s="314"/>
      <c r="O304" s="314"/>
      <c r="P304" s="740"/>
      <c r="Q304" s="435"/>
      <c r="R304" s="742"/>
      <c r="S304" s="435"/>
      <c r="T304" s="435"/>
      <c r="U304" s="435"/>
      <c r="V304" s="435"/>
      <c r="W304" s="740"/>
      <c r="X304" s="435"/>
      <c r="Y304" s="435"/>
      <c r="Z304" s="743"/>
      <c r="AA304" s="744"/>
      <c r="AB304" s="435"/>
      <c r="AC304" s="435"/>
      <c r="AD304" s="324"/>
      <c r="AE304" s="180"/>
      <c r="AF304" s="155"/>
      <c r="AG304" s="322"/>
      <c r="AH304" s="155"/>
      <c r="AI304" s="132"/>
    </row>
    <row r="305">
      <c r="A305" s="435"/>
      <c r="B305" s="695"/>
      <c r="C305" s="739"/>
      <c r="D305" s="745"/>
      <c r="E305" s="314"/>
      <c r="F305" s="314"/>
      <c r="G305" s="314"/>
      <c r="H305" s="435"/>
      <c r="I305" s="318"/>
      <c r="J305" s="435"/>
      <c r="K305" s="435"/>
      <c r="L305" s="314"/>
      <c r="M305" s="314"/>
      <c r="N305" s="314"/>
      <c r="O305" s="314"/>
      <c r="P305" s="740"/>
      <c r="Q305" s="435"/>
      <c r="R305" s="742"/>
      <c r="S305" s="435"/>
      <c r="T305" s="435"/>
      <c r="U305" s="435"/>
      <c r="V305" s="435"/>
      <c r="W305" s="740"/>
      <c r="X305" s="435"/>
      <c r="Y305" s="435"/>
      <c r="Z305" s="743"/>
      <c r="AA305" s="744"/>
      <c r="AB305" s="435"/>
      <c r="AC305" s="435"/>
      <c r="AD305" s="324"/>
      <c r="AE305" s="180"/>
      <c r="AF305" s="155"/>
      <c r="AG305" s="322"/>
      <c r="AH305" s="155"/>
      <c r="AI305" s="132"/>
    </row>
    <row r="306">
      <c r="A306" s="482"/>
      <c r="B306" s="695"/>
      <c r="C306" s="696"/>
      <c r="D306" s="745"/>
      <c r="E306" s="314"/>
      <c r="F306" s="314"/>
      <c r="G306" s="314"/>
      <c r="H306" s="314"/>
      <c r="I306" s="318"/>
      <c r="J306" s="314"/>
      <c r="K306" s="435"/>
      <c r="L306" s="314"/>
      <c r="M306" s="314"/>
      <c r="N306" s="314"/>
      <c r="O306" s="314"/>
      <c r="P306" s="318"/>
      <c r="Q306" s="314"/>
      <c r="R306" s="742"/>
      <c r="S306" s="314"/>
      <c r="T306" s="314"/>
      <c r="U306" s="314"/>
      <c r="V306" s="314"/>
      <c r="W306" s="318"/>
      <c r="X306" s="314"/>
      <c r="Y306" s="314"/>
      <c r="Z306" s="697"/>
      <c r="AA306" s="315"/>
      <c r="AB306" s="314"/>
      <c r="AC306" s="314"/>
      <c r="AD306" s="324"/>
      <c r="AE306" s="180"/>
      <c r="AF306" s="155"/>
      <c r="AG306" s="322"/>
      <c r="AH306" s="155"/>
      <c r="AI306" s="132"/>
    </row>
    <row r="307">
      <c r="A307" s="482"/>
      <c r="B307" s="695"/>
      <c r="C307" s="739"/>
      <c r="D307" s="745"/>
      <c r="E307" s="435"/>
      <c r="F307" s="314"/>
      <c r="G307" s="314"/>
      <c r="H307" s="435"/>
      <c r="I307" s="740"/>
      <c r="J307" s="435"/>
      <c r="K307" s="435"/>
      <c r="L307" s="435"/>
      <c r="M307" s="435"/>
      <c r="N307" s="435"/>
      <c r="O307" s="314"/>
      <c r="P307" s="740"/>
      <c r="Q307" s="435"/>
      <c r="R307" s="742"/>
      <c r="S307" s="435"/>
      <c r="T307" s="435"/>
      <c r="U307" s="435"/>
      <c r="V307" s="435"/>
      <c r="W307" s="740"/>
      <c r="X307" s="435"/>
      <c r="Y307" s="435"/>
      <c r="Z307" s="743"/>
      <c r="AA307" s="744"/>
      <c r="AB307" s="435"/>
      <c r="AC307" s="435"/>
      <c r="AD307" s="324"/>
      <c r="AE307" s="180"/>
      <c r="AF307" s="155"/>
      <c r="AG307" s="322"/>
      <c r="AH307" s="155"/>
      <c r="AI307" s="132"/>
    </row>
    <row r="308">
      <c r="A308" s="314"/>
      <c r="B308" s="695"/>
      <c r="C308" s="696"/>
      <c r="D308" s="312"/>
      <c r="E308" s="314"/>
      <c r="F308" s="314"/>
      <c r="G308" s="314"/>
      <c r="H308" s="314"/>
      <c r="I308" s="318"/>
      <c r="J308" s="314"/>
      <c r="K308" s="314"/>
      <c r="L308" s="314"/>
      <c r="M308" s="314"/>
      <c r="N308" s="314"/>
      <c r="O308" s="314"/>
      <c r="P308" s="318"/>
      <c r="Q308" s="314"/>
      <c r="R308" s="316"/>
      <c r="S308" s="314"/>
      <c r="T308" s="314"/>
      <c r="U308" s="314"/>
      <c r="V308" s="314"/>
      <c r="W308" s="318"/>
      <c r="X308" s="314"/>
      <c r="Y308" s="314"/>
      <c r="Z308" s="697"/>
      <c r="AA308" s="315"/>
      <c r="AB308" s="314"/>
      <c r="AC308" s="314"/>
      <c r="AD308" s="483"/>
      <c r="AF308" s="484"/>
      <c r="AG308" s="322"/>
      <c r="AH308" s="155"/>
      <c r="AI308" s="132"/>
    </row>
    <row r="309">
      <c r="A309" s="314"/>
      <c r="B309" s="695"/>
      <c r="C309" s="696"/>
      <c r="D309" s="312"/>
      <c r="E309" s="314"/>
      <c r="F309" s="314"/>
      <c r="G309" s="314"/>
      <c r="H309" s="314"/>
      <c r="I309" s="318"/>
      <c r="J309" s="314"/>
      <c r="K309" s="314"/>
      <c r="L309" s="314"/>
      <c r="M309" s="314"/>
      <c r="N309" s="314"/>
      <c r="O309" s="314"/>
      <c r="P309" s="318"/>
      <c r="Q309" s="314"/>
      <c r="R309" s="316"/>
      <c r="S309" s="314"/>
      <c r="T309" s="314"/>
      <c r="U309" s="314"/>
      <c r="V309" s="314"/>
      <c r="W309" s="318"/>
      <c r="X309" s="314"/>
      <c r="Y309" s="314"/>
      <c r="Z309" s="697"/>
      <c r="AA309" s="315"/>
      <c r="AB309" s="314"/>
      <c r="AC309" s="314"/>
      <c r="AD309" s="324"/>
      <c r="AE309" s="155"/>
      <c r="AF309" s="155"/>
      <c r="AG309" s="322"/>
      <c r="AH309" s="155"/>
      <c r="AI309" s="132"/>
    </row>
    <row r="310">
      <c r="A310" s="314"/>
      <c r="B310" s="695"/>
      <c r="C310" s="696"/>
      <c r="D310" s="312"/>
      <c r="E310" s="314"/>
      <c r="F310" s="314"/>
      <c r="G310" s="314"/>
      <c r="H310" s="314"/>
      <c r="I310" s="318"/>
      <c r="J310" s="314"/>
      <c r="K310" s="314"/>
      <c r="L310" s="314"/>
      <c r="M310" s="314"/>
      <c r="N310" s="314"/>
      <c r="O310" s="314"/>
      <c r="P310" s="318"/>
      <c r="Q310" s="314"/>
      <c r="R310" s="316"/>
      <c r="S310" s="314"/>
      <c r="T310" s="314"/>
      <c r="U310" s="314"/>
      <c r="V310" s="314"/>
      <c r="W310" s="318"/>
      <c r="X310" s="314"/>
      <c r="Y310" s="314"/>
      <c r="Z310" s="697"/>
      <c r="AA310" s="315"/>
      <c r="AB310" s="314"/>
      <c r="AC310" s="314"/>
      <c r="AD310" s="324"/>
      <c r="AE310" s="155"/>
      <c r="AF310" s="155"/>
      <c r="AG310" s="322"/>
      <c r="AH310" s="155"/>
      <c r="AI310" s="132"/>
    </row>
    <row r="311">
      <c r="A311" s="314"/>
      <c r="B311" s="695"/>
      <c r="C311" s="696"/>
      <c r="D311" s="312"/>
      <c r="E311" s="314"/>
      <c r="F311" s="314"/>
      <c r="G311" s="314"/>
      <c r="H311" s="314"/>
      <c r="I311" s="318"/>
      <c r="J311" s="314"/>
      <c r="K311" s="314"/>
      <c r="L311" s="314"/>
      <c r="M311" s="314"/>
      <c r="N311" s="314"/>
      <c r="O311" s="314"/>
      <c r="P311" s="318"/>
      <c r="Q311" s="314"/>
      <c r="R311" s="316"/>
      <c r="S311" s="314"/>
      <c r="T311" s="314"/>
      <c r="U311" s="314"/>
      <c r="V311" s="314"/>
      <c r="W311" s="318"/>
      <c r="X311" s="314"/>
      <c r="Y311" s="314"/>
      <c r="Z311" s="697"/>
      <c r="AA311" s="315"/>
      <c r="AB311" s="314"/>
      <c r="AC311" s="314"/>
      <c r="AD311" s="324"/>
      <c r="AE311" s="155"/>
      <c r="AF311" s="155"/>
      <c r="AG311" s="322"/>
      <c r="AH311" s="155"/>
      <c r="AI311" s="132"/>
    </row>
    <row r="312">
      <c r="A312" s="314"/>
      <c r="B312" s="695"/>
      <c r="C312" s="696"/>
      <c r="D312" s="312"/>
      <c r="E312" s="314"/>
      <c r="F312" s="314"/>
      <c r="G312" s="314"/>
      <c r="H312" s="314"/>
      <c r="I312" s="318"/>
      <c r="J312" s="314"/>
      <c r="K312" s="314"/>
      <c r="L312" s="314"/>
      <c r="M312" s="314"/>
      <c r="N312" s="314"/>
      <c r="O312" s="314"/>
      <c r="P312" s="318"/>
      <c r="Q312" s="314"/>
      <c r="R312" s="316"/>
      <c r="S312" s="314"/>
      <c r="T312" s="314"/>
      <c r="U312" s="314"/>
      <c r="V312" s="314"/>
      <c r="W312" s="318"/>
      <c r="X312" s="314"/>
      <c r="Y312" s="314"/>
      <c r="Z312" s="697"/>
      <c r="AA312" s="315"/>
      <c r="AB312" s="314"/>
      <c r="AC312" s="314"/>
      <c r="AD312" s="324"/>
      <c r="AE312" s="155"/>
      <c r="AF312" s="155"/>
      <c r="AG312" s="322"/>
      <c r="AH312" s="155"/>
      <c r="AI312" s="132"/>
    </row>
    <row r="313">
      <c r="A313" s="314"/>
      <c r="B313" s="695"/>
      <c r="C313" s="696"/>
      <c r="D313" s="312"/>
      <c r="E313" s="314"/>
      <c r="F313" s="314"/>
      <c r="G313" s="314"/>
      <c r="H313" s="314"/>
      <c r="I313" s="318"/>
      <c r="J313" s="314"/>
      <c r="K313" s="314"/>
      <c r="L313" s="314"/>
      <c r="M313" s="314"/>
      <c r="N313" s="314"/>
      <c r="O313" s="314"/>
      <c r="P313" s="318"/>
      <c r="Q313" s="314"/>
      <c r="R313" s="316"/>
      <c r="S313" s="314"/>
      <c r="T313" s="314"/>
      <c r="U313" s="314"/>
      <c r="V313" s="314"/>
      <c r="W313" s="318"/>
      <c r="X313" s="314"/>
      <c r="Y313" s="314"/>
      <c r="Z313" s="697"/>
      <c r="AA313" s="315"/>
      <c r="AB313" s="314"/>
      <c r="AC313" s="314"/>
      <c r="AD313" s="324"/>
      <c r="AE313" s="155"/>
      <c r="AF313" s="155"/>
      <c r="AG313" s="322"/>
      <c r="AH313" s="155"/>
      <c r="AI313" s="132"/>
    </row>
    <row r="314">
      <c r="A314" s="314"/>
      <c r="B314" s="695"/>
      <c r="C314" s="696"/>
      <c r="D314" s="312"/>
      <c r="E314" s="314"/>
      <c r="F314" s="314"/>
      <c r="G314" s="314"/>
      <c r="H314" s="314"/>
      <c r="I314" s="318"/>
      <c r="J314" s="314"/>
      <c r="K314" s="314"/>
      <c r="L314" s="314"/>
      <c r="M314" s="314"/>
      <c r="N314" s="314"/>
      <c r="O314" s="314"/>
      <c r="P314" s="318"/>
      <c r="Q314" s="314"/>
      <c r="R314" s="316"/>
      <c r="S314" s="314"/>
      <c r="T314" s="314"/>
      <c r="U314" s="314"/>
      <c r="V314" s="314"/>
      <c r="W314" s="318"/>
      <c r="X314" s="314"/>
      <c r="Y314" s="314"/>
      <c r="Z314" s="697"/>
      <c r="AA314" s="315"/>
      <c r="AB314" s="314"/>
      <c r="AC314" s="314"/>
      <c r="AD314" s="324"/>
      <c r="AE314" s="155"/>
      <c r="AF314" s="155"/>
      <c r="AG314" s="322"/>
      <c r="AH314" s="155"/>
      <c r="AI314" s="132"/>
    </row>
    <row r="315">
      <c r="A315" s="314"/>
      <c r="B315" s="695"/>
      <c r="C315" s="696"/>
      <c r="D315" s="312"/>
      <c r="E315" s="314"/>
      <c r="F315" s="314"/>
      <c r="G315" s="314"/>
      <c r="H315" s="314"/>
      <c r="I315" s="318"/>
      <c r="J315" s="314"/>
      <c r="K315" s="314"/>
      <c r="L315" s="314"/>
      <c r="M315" s="314"/>
      <c r="N315" s="314"/>
      <c r="O315" s="314"/>
      <c r="P315" s="318"/>
      <c r="Q315" s="314"/>
      <c r="R315" s="316"/>
      <c r="S315" s="314"/>
      <c r="T315" s="314"/>
      <c r="U315" s="314"/>
      <c r="V315" s="314"/>
      <c r="W315" s="318"/>
      <c r="X315" s="314"/>
      <c r="Y315" s="314"/>
      <c r="Z315" s="697"/>
      <c r="AA315" s="315"/>
      <c r="AB315" s="314"/>
      <c r="AC315" s="314"/>
      <c r="AD315" s="324"/>
      <c r="AE315" s="155"/>
      <c r="AF315" s="155"/>
      <c r="AG315" s="322"/>
      <c r="AH315" s="155"/>
      <c r="AI315" s="132"/>
    </row>
    <row r="316">
      <c r="A316" s="314"/>
      <c r="B316" s="695"/>
      <c r="C316" s="696"/>
      <c r="D316" s="312"/>
      <c r="E316" s="314"/>
      <c r="F316" s="314"/>
      <c r="G316" s="314"/>
      <c r="H316" s="314"/>
      <c r="I316" s="318"/>
      <c r="J316" s="314"/>
      <c r="K316" s="314"/>
      <c r="L316" s="314"/>
      <c r="M316" s="314"/>
      <c r="N316" s="314"/>
      <c r="O316" s="314"/>
      <c r="P316" s="318"/>
      <c r="Q316" s="314"/>
      <c r="R316" s="316"/>
      <c r="S316" s="314"/>
      <c r="T316" s="314"/>
      <c r="U316" s="314"/>
      <c r="V316" s="314"/>
      <c r="W316" s="318"/>
      <c r="X316" s="314"/>
      <c r="Y316" s="314"/>
      <c r="Z316" s="697"/>
      <c r="AA316" s="315"/>
      <c r="AB316" s="314"/>
      <c r="AC316" s="314"/>
      <c r="AD316" s="324"/>
      <c r="AE316" s="155"/>
      <c r="AF316" s="155"/>
      <c r="AG316" s="322"/>
      <c r="AH316" s="155"/>
      <c r="AI316" s="132"/>
    </row>
    <row r="317">
      <c r="A317" s="314"/>
      <c r="B317" s="695"/>
      <c r="C317" s="696"/>
      <c r="D317" s="312"/>
      <c r="E317" s="314"/>
      <c r="F317" s="314"/>
      <c r="G317" s="314"/>
      <c r="H317" s="314"/>
      <c r="I317" s="318"/>
      <c r="J317" s="314"/>
      <c r="K317" s="314"/>
      <c r="L317" s="314"/>
      <c r="M317" s="314"/>
      <c r="N317" s="314"/>
      <c r="O317" s="314"/>
      <c r="P317" s="318"/>
      <c r="Q317" s="314"/>
      <c r="R317" s="316"/>
      <c r="S317" s="314"/>
      <c r="T317" s="314"/>
      <c r="U317" s="314"/>
      <c r="V317" s="314"/>
      <c r="W317" s="318"/>
      <c r="X317" s="314"/>
      <c r="Y317" s="314"/>
      <c r="Z317" s="697"/>
      <c r="AA317" s="315"/>
      <c r="AB317" s="314"/>
      <c r="AC317" s="314"/>
      <c r="AD317" s="324"/>
      <c r="AE317" s="155"/>
      <c r="AF317" s="155"/>
      <c r="AG317" s="322"/>
      <c r="AH317" s="155"/>
      <c r="AI317" s="132"/>
    </row>
    <row r="318">
      <c r="A318" s="314"/>
      <c r="B318" s="695"/>
      <c r="C318" s="696"/>
      <c r="D318" s="312"/>
      <c r="E318" s="314"/>
      <c r="F318" s="314"/>
      <c r="G318" s="314"/>
      <c r="H318" s="314"/>
      <c r="I318" s="318"/>
      <c r="J318" s="314"/>
      <c r="K318" s="314"/>
      <c r="L318" s="314"/>
      <c r="M318" s="314"/>
      <c r="N318" s="314"/>
      <c r="O318" s="314"/>
      <c r="P318" s="318"/>
      <c r="Q318" s="314"/>
      <c r="R318" s="316"/>
      <c r="S318" s="314"/>
      <c r="T318" s="314"/>
      <c r="U318" s="314"/>
      <c r="V318" s="314"/>
      <c r="W318" s="318"/>
      <c r="X318" s="314"/>
      <c r="Y318" s="314"/>
      <c r="Z318" s="697"/>
      <c r="AA318" s="315"/>
      <c r="AB318" s="314"/>
      <c r="AC318" s="314"/>
      <c r="AD318" s="324"/>
      <c r="AE318" s="155"/>
      <c r="AF318" s="155"/>
      <c r="AG318" s="322"/>
      <c r="AH318" s="155"/>
      <c r="AI318" s="132"/>
    </row>
    <row r="319">
      <c r="A319" s="314"/>
      <c r="B319" s="695"/>
      <c r="C319" s="696"/>
      <c r="D319" s="312"/>
      <c r="E319" s="314"/>
      <c r="F319" s="314"/>
      <c r="G319" s="314"/>
      <c r="H319" s="314"/>
      <c r="I319" s="318"/>
      <c r="J319" s="314"/>
      <c r="K319" s="314"/>
      <c r="L319" s="314"/>
      <c r="M319" s="314"/>
      <c r="N319" s="314"/>
      <c r="O319" s="314"/>
      <c r="P319" s="318"/>
      <c r="Q319" s="314"/>
      <c r="R319" s="316"/>
      <c r="S319" s="314"/>
      <c r="T319" s="314"/>
      <c r="U319" s="314"/>
      <c r="V319" s="314"/>
      <c r="W319" s="318"/>
      <c r="X319" s="314"/>
      <c r="Y319" s="314"/>
      <c r="Z319" s="697"/>
      <c r="AA319" s="315"/>
      <c r="AB319" s="314"/>
      <c r="AC319" s="314"/>
      <c r="AD319" s="324"/>
      <c r="AE319" s="155"/>
      <c r="AF319" s="155"/>
      <c r="AG319" s="322"/>
      <c r="AH319" s="155"/>
      <c r="AI319" s="132"/>
    </row>
    <row r="320">
      <c r="A320" s="314"/>
      <c r="B320" s="695"/>
      <c r="C320" s="696"/>
      <c r="D320" s="312"/>
      <c r="E320" s="314"/>
      <c r="F320" s="314"/>
      <c r="G320" s="314"/>
      <c r="H320" s="314"/>
      <c r="I320" s="318"/>
      <c r="J320" s="314"/>
      <c r="K320" s="314"/>
      <c r="L320" s="314"/>
      <c r="M320" s="314"/>
      <c r="N320" s="314"/>
      <c r="O320" s="314"/>
      <c r="P320" s="318"/>
      <c r="Q320" s="314"/>
      <c r="R320" s="316"/>
      <c r="S320" s="314"/>
      <c r="T320" s="314"/>
      <c r="U320" s="314"/>
      <c r="V320" s="314"/>
      <c r="W320" s="318"/>
      <c r="X320" s="314"/>
      <c r="Y320" s="314"/>
      <c r="Z320" s="697"/>
      <c r="AA320" s="315"/>
      <c r="AB320" s="314"/>
      <c r="AC320" s="314"/>
      <c r="AD320" s="324"/>
      <c r="AE320" s="155"/>
      <c r="AF320" s="155"/>
      <c r="AG320" s="322"/>
      <c r="AH320" s="155"/>
      <c r="AI320" s="132"/>
    </row>
    <row r="321">
      <c r="A321" s="314"/>
      <c r="B321" s="695"/>
      <c r="C321" s="696"/>
      <c r="D321" s="312"/>
      <c r="E321" s="314"/>
      <c r="F321" s="314"/>
      <c r="G321" s="314"/>
      <c r="H321" s="314"/>
      <c r="I321" s="318"/>
      <c r="J321" s="314"/>
      <c r="K321" s="314"/>
      <c r="L321" s="314"/>
      <c r="M321" s="314"/>
      <c r="N321" s="314"/>
      <c r="O321" s="314"/>
      <c r="P321" s="318"/>
      <c r="Q321" s="314"/>
      <c r="R321" s="316"/>
      <c r="S321" s="314"/>
      <c r="T321" s="314"/>
      <c r="U321" s="314"/>
      <c r="V321" s="314"/>
      <c r="W321" s="318"/>
      <c r="X321" s="314"/>
      <c r="Y321" s="314"/>
      <c r="Z321" s="697"/>
      <c r="AA321" s="315"/>
      <c r="AB321" s="314"/>
      <c r="AC321" s="314"/>
      <c r="AD321" s="324"/>
      <c r="AE321" s="155"/>
      <c r="AF321" s="155"/>
      <c r="AG321" s="322"/>
      <c r="AH321" s="155"/>
      <c r="AI321" s="132"/>
    </row>
    <row r="322">
      <c r="A322" s="314"/>
      <c r="B322" s="695"/>
      <c r="C322" s="696"/>
      <c r="D322" s="312"/>
      <c r="E322" s="314"/>
      <c r="F322" s="314"/>
      <c r="G322" s="314"/>
      <c r="H322" s="314"/>
      <c r="I322" s="318"/>
      <c r="J322" s="314"/>
      <c r="K322" s="314"/>
      <c r="L322" s="314"/>
      <c r="M322" s="314"/>
      <c r="N322" s="314"/>
      <c r="O322" s="314"/>
      <c r="P322" s="318"/>
      <c r="Q322" s="314"/>
      <c r="R322" s="316"/>
      <c r="S322" s="314"/>
      <c r="T322" s="314"/>
      <c r="U322" s="314"/>
      <c r="V322" s="314"/>
      <c r="W322" s="318"/>
      <c r="X322" s="314"/>
      <c r="Y322" s="314"/>
      <c r="Z322" s="697"/>
      <c r="AA322" s="315"/>
      <c r="AB322" s="314"/>
      <c r="AC322" s="314"/>
      <c r="AD322" s="324"/>
      <c r="AE322" s="155"/>
      <c r="AF322" s="155"/>
      <c r="AG322" s="322"/>
      <c r="AH322" s="155"/>
      <c r="AI322" s="132"/>
    </row>
    <row r="323">
      <c r="A323" s="314"/>
      <c r="B323" s="695"/>
      <c r="C323" s="696"/>
      <c r="D323" s="312"/>
      <c r="E323" s="314"/>
      <c r="F323" s="314"/>
      <c r="G323" s="314"/>
      <c r="H323" s="314"/>
      <c r="I323" s="318"/>
      <c r="J323" s="314"/>
      <c r="K323" s="314"/>
      <c r="L323" s="314"/>
      <c r="M323" s="314"/>
      <c r="N323" s="314"/>
      <c r="O323" s="314"/>
      <c r="P323" s="318"/>
      <c r="Q323" s="314"/>
      <c r="R323" s="316"/>
      <c r="S323" s="314"/>
      <c r="T323" s="314"/>
      <c r="U323" s="314"/>
      <c r="V323" s="314"/>
      <c r="W323" s="318"/>
      <c r="X323" s="314"/>
      <c r="Y323" s="314"/>
      <c r="Z323" s="697"/>
      <c r="AA323" s="315"/>
      <c r="AB323" s="314"/>
      <c r="AC323" s="314"/>
      <c r="AD323" s="324"/>
      <c r="AE323" s="155"/>
      <c r="AF323" s="155"/>
      <c r="AG323" s="322"/>
      <c r="AH323" s="155"/>
      <c r="AI323" s="132"/>
    </row>
    <row r="324">
      <c r="A324" s="314"/>
      <c r="B324" s="695"/>
      <c r="C324" s="696"/>
      <c r="D324" s="312"/>
      <c r="E324" s="314"/>
      <c r="F324" s="314"/>
      <c r="G324" s="314"/>
      <c r="H324" s="314"/>
      <c r="I324" s="318"/>
      <c r="J324" s="314"/>
      <c r="K324" s="314"/>
      <c r="L324" s="314"/>
      <c r="M324" s="314"/>
      <c r="N324" s="314"/>
      <c r="O324" s="314"/>
      <c r="P324" s="318"/>
      <c r="Q324" s="314"/>
      <c r="R324" s="316"/>
      <c r="S324" s="314"/>
      <c r="T324" s="314"/>
      <c r="U324" s="314"/>
      <c r="V324" s="314"/>
      <c r="W324" s="318"/>
      <c r="X324" s="314"/>
      <c r="Y324" s="314"/>
      <c r="Z324" s="697"/>
      <c r="AA324" s="315"/>
      <c r="AB324" s="314"/>
      <c r="AC324" s="314"/>
      <c r="AD324" s="324"/>
      <c r="AE324" s="155"/>
      <c r="AF324" s="155"/>
      <c r="AG324" s="322"/>
      <c r="AH324" s="155"/>
      <c r="AI324" s="132"/>
    </row>
    <row r="325">
      <c r="A325" s="314"/>
      <c r="B325" s="695"/>
      <c r="C325" s="696"/>
      <c r="D325" s="312"/>
      <c r="E325" s="314"/>
      <c r="F325" s="314"/>
      <c r="G325" s="314"/>
      <c r="H325" s="314"/>
      <c r="I325" s="318"/>
      <c r="J325" s="314"/>
      <c r="K325" s="314"/>
      <c r="L325" s="314"/>
      <c r="M325" s="314"/>
      <c r="N325" s="314"/>
      <c r="O325" s="314"/>
      <c r="P325" s="318"/>
      <c r="Q325" s="314"/>
      <c r="R325" s="316"/>
      <c r="S325" s="314"/>
      <c r="T325" s="314"/>
      <c r="U325" s="314"/>
      <c r="V325" s="314"/>
      <c r="W325" s="318"/>
      <c r="X325" s="314"/>
      <c r="Y325" s="314"/>
      <c r="Z325" s="697"/>
      <c r="AA325" s="315"/>
      <c r="AB325" s="314"/>
      <c r="AC325" s="314"/>
      <c r="AD325" s="324"/>
      <c r="AE325" s="155"/>
      <c r="AF325" s="155"/>
      <c r="AG325" s="322"/>
      <c r="AH325" s="155"/>
      <c r="AI325" s="132"/>
    </row>
    <row r="326">
      <c r="A326" s="314"/>
      <c r="B326" s="695"/>
      <c r="C326" s="696"/>
      <c r="D326" s="312"/>
      <c r="E326" s="314"/>
      <c r="F326" s="314"/>
      <c r="G326" s="314"/>
      <c r="H326" s="314"/>
      <c r="I326" s="318"/>
      <c r="J326" s="314"/>
      <c r="K326" s="314"/>
      <c r="L326" s="314"/>
      <c r="M326" s="314"/>
      <c r="N326" s="314"/>
      <c r="O326" s="314"/>
      <c r="P326" s="318"/>
      <c r="Q326" s="314"/>
      <c r="R326" s="316"/>
      <c r="S326" s="314"/>
      <c r="T326" s="314"/>
      <c r="U326" s="314"/>
      <c r="V326" s="314"/>
      <c r="W326" s="318"/>
      <c r="X326" s="314"/>
      <c r="Y326" s="314"/>
      <c r="Z326" s="697"/>
      <c r="AA326" s="315"/>
      <c r="AB326" s="314"/>
      <c r="AC326" s="314"/>
      <c r="AD326" s="324"/>
      <c r="AE326" s="155"/>
      <c r="AF326" s="155"/>
      <c r="AG326" s="322"/>
      <c r="AH326" s="155"/>
      <c r="AI326" s="132"/>
    </row>
    <row r="327">
      <c r="A327" s="314"/>
      <c r="B327" s="695"/>
      <c r="C327" s="696"/>
      <c r="D327" s="312"/>
      <c r="E327" s="314"/>
      <c r="F327" s="314"/>
      <c r="G327" s="314"/>
      <c r="H327" s="314"/>
      <c r="I327" s="318"/>
      <c r="J327" s="314"/>
      <c r="K327" s="314"/>
      <c r="L327" s="314"/>
      <c r="M327" s="314"/>
      <c r="N327" s="314"/>
      <c r="O327" s="314"/>
      <c r="P327" s="318"/>
      <c r="Q327" s="314"/>
      <c r="R327" s="316"/>
      <c r="S327" s="314"/>
      <c r="T327" s="314"/>
      <c r="U327" s="314"/>
      <c r="V327" s="314"/>
      <c r="W327" s="318"/>
      <c r="X327" s="314"/>
      <c r="Y327" s="314"/>
      <c r="Z327" s="697"/>
      <c r="AA327" s="315"/>
      <c r="AB327" s="314"/>
      <c r="AC327" s="314"/>
      <c r="AD327" s="324"/>
      <c r="AE327" s="155"/>
      <c r="AF327" s="155"/>
      <c r="AG327" s="322"/>
      <c r="AH327" s="155"/>
      <c r="AI327" s="132"/>
    </row>
    <row r="328">
      <c r="A328" s="314"/>
      <c r="B328" s="695"/>
      <c r="C328" s="696"/>
      <c r="D328" s="312"/>
      <c r="E328" s="314"/>
      <c r="F328" s="314"/>
      <c r="G328" s="314"/>
      <c r="H328" s="314"/>
      <c r="I328" s="318"/>
      <c r="J328" s="314"/>
      <c r="K328" s="314"/>
      <c r="L328" s="314"/>
      <c r="M328" s="314"/>
      <c r="N328" s="314"/>
      <c r="O328" s="314"/>
      <c r="P328" s="318"/>
      <c r="Q328" s="314"/>
      <c r="R328" s="316"/>
      <c r="S328" s="314"/>
      <c r="T328" s="314"/>
      <c r="U328" s="314"/>
      <c r="V328" s="314"/>
      <c r="W328" s="318"/>
      <c r="X328" s="314"/>
      <c r="Y328" s="314"/>
      <c r="Z328" s="697"/>
      <c r="AA328" s="315"/>
      <c r="AB328" s="314"/>
      <c r="AC328" s="314"/>
      <c r="AD328" s="324"/>
      <c r="AE328" s="155"/>
      <c r="AF328" s="155"/>
      <c r="AG328" s="322"/>
      <c r="AH328" s="155"/>
      <c r="AI328" s="132"/>
    </row>
    <row r="329">
      <c r="A329" s="314"/>
      <c r="B329" s="695"/>
      <c r="C329" s="696"/>
      <c r="D329" s="312"/>
      <c r="E329" s="314"/>
      <c r="F329" s="314"/>
      <c r="G329" s="314"/>
      <c r="H329" s="314"/>
      <c r="I329" s="318"/>
      <c r="J329" s="314"/>
      <c r="K329" s="314"/>
      <c r="L329" s="314"/>
      <c r="M329" s="314"/>
      <c r="N329" s="314"/>
      <c r="O329" s="314"/>
      <c r="P329" s="318"/>
      <c r="Q329" s="314"/>
      <c r="R329" s="316"/>
      <c r="S329" s="314"/>
      <c r="T329" s="314"/>
      <c r="U329" s="314"/>
      <c r="V329" s="314"/>
      <c r="W329" s="318"/>
      <c r="X329" s="314"/>
      <c r="Y329" s="314"/>
      <c r="Z329" s="697"/>
      <c r="AA329" s="315"/>
      <c r="AB329" s="314"/>
      <c r="AC329" s="314"/>
      <c r="AD329" s="324"/>
      <c r="AE329" s="155"/>
      <c r="AF329" s="155"/>
      <c r="AG329" s="322"/>
      <c r="AH329" s="155"/>
      <c r="AI329" s="132"/>
    </row>
    <row r="330">
      <c r="A330" s="314"/>
      <c r="B330" s="695"/>
      <c r="C330" s="696"/>
      <c r="D330" s="312"/>
      <c r="E330" s="314"/>
      <c r="F330" s="314"/>
      <c r="G330" s="314"/>
      <c r="H330" s="314"/>
      <c r="I330" s="318"/>
      <c r="J330" s="314"/>
      <c r="K330" s="314"/>
      <c r="L330" s="314"/>
      <c r="M330" s="314"/>
      <c r="N330" s="314"/>
      <c r="O330" s="314"/>
      <c r="P330" s="318"/>
      <c r="Q330" s="314"/>
      <c r="R330" s="316"/>
      <c r="S330" s="314"/>
      <c r="T330" s="314"/>
      <c r="U330" s="314"/>
      <c r="V330" s="314"/>
      <c r="W330" s="318"/>
      <c r="X330" s="314"/>
      <c r="Y330" s="314"/>
      <c r="Z330" s="697"/>
      <c r="AA330" s="315"/>
      <c r="AB330" s="314"/>
      <c r="AC330" s="314"/>
      <c r="AD330" s="324"/>
      <c r="AE330" s="155"/>
      <c r="AF330" s="155"/>
      <c r="AG330" s="322"/>
      <c r="AH330" s="155"/>
      <c r="AI330" s="132"/>
    </row>
    <row r="331">
      <c r="A331" s="314"/>
      <c r="B331" s="695"/>
      <c r="C331" s="696"/>
      <c r="D331" s="312"/>
      <c r="E331" s="314"/>
      <c r="F331" s="314"/>
      <c r="G331" s="314"/>
      <c r="H331" s="314"/>
      <c r="I331" s="318"/>
      <c r="J331" s="314"/>
      <c r="K331" s="314"/>
      <c r="L331" s="314"/>
      <c r="M331" s="314"/>
      <c r="N331" s="314"/>
      <c r="O331" s="314"/>
      <c r="P331" s="318"/>
      <c r="Q331" s="314"/>
      <c r="R331" s="316"/>
      <c r="S331" s="314"/>
      <c r="T331" s="314"/>
      <c r="U331" s="314"/>
      <c r="V331" s="314"/>
      <c r="W331" s="318"/>
      <c r="X331" s="314"/>
      <c r="Y331" s="314"/>
      <c r="Z331" s="697"/>
      <c r="AA331" s="315"/>
      <c r="AB331" s="314"/>
      <c r="AC331" s="314"/>
      <c r="AD331" s="324"/>
      <c r="AE331" s="155"/>
      <c r="AF331" s="155"/>
      <c r="AG331" s="322"/>
      <c r="AH331" s="155"/>
      <c r="AI331" s="132"/>
    </row>
    <row r="332">
      <c r="A332" s="314"/>
      <c r="B332" s="695"/>
      <c r="C332" s="696"/>
      <c r="D332" s="312"/>
      <c r="E332" s="314"/>
      <c r="F332" s="314"/>
      <c r="G332" s="314"/>
      <c r="H332" s="314"/>
      <c r="I332" s="318"/>
      <c r="J332" s="314"/>
      <c r="K332" s="314"/>
      <c r="L332" s="314"/>
      <c r="M332" s="314"/>
      <c r="N332" s="314"/>
      <c r="O332" s="314"/>
      <c r="P332" s="318"/>
      <c r="Q332" s="314"/>
      <c r="R332" s="316"/>
      <c r="S332" s="314"/>
      <c r="T332" s="314"/>
      <c r="U332" s="314"/>
      <c r="V332" s="314"/>
      <c r="W332" s="318"/>
      <c r="X332" s="314"/>
      <c r="Y332" s="314"/>
      <c r="Z332" s="697"/>
      <c r="AA332" s="315"/>
      <c r="AB332" s="314"/>
      <c r="AC332" s="314"/>
      <c r="AD332" s="324"/>
      <c r="AE332" s="155"/>
      <c r="AF332" s="155"/>
      <c r="AG332" s="322"/>
      <c r="AH332" s="155"/>
      <c r="AI332" s="132"/>
    </row>
    <row r="333">
      <c r="A333" s="314"/>
      <c r="B333" s="695"/>
      <c r="C333" s="696"/>
      <c r="D333" s="312"/>
      <c r="E333" s="314"/>
      <c r="F333" s="314"/>
      <c r="G333" s="314"/>
      <c r="H333" s="314"/>
      <c r="I333" s="318"/>
      <c r="J333" s="314"/>
      <c r="K333" s="314"/>
      <c r="L333" s="314"/>
      <c r="M333" s="314"/>
      <c r="N333" s="314"/>
      <c r="O333" s="314"/>
      <c r="P333" s="318"/>
      <c r="Q333" s="314"/>
      <c r="R333" s="316"/>
      <c r="S333" s="314"/>
      <c r="T333" s="314"/>
      <c r="U333" s="314"/>
      <c r="V333" s="314"/>
      <c r="W333" s="318"/>
      <c r="X333" s="314"/>
      <c r="Y333" s="314"/>
      <c r="Z333" s="697"/>
      <c r="AA333" s="315"/>
      <c r="AB333" s="314"/>
      <c r="AC333" s="314"/>
      <c r="AD333" s="324"/>
      <c r="AE333" s="155"/>
      <c r="AF333" s="155"/>
      <c r="AG333" s="322"/>
      <c r="AH333" s="155"/>
      <c r="AI333" s="132"/>
    </row>
    <row r="334">
      <c r="A334" s="314"/>
      <c r="B334" s="695"/>
      <c r="C334" s="696"/>
      <c r="D334" s="312"/>
      <c r="E334" s="314"/>
      <c r="F334" s="314"/>
      <c r="G334" s="314"/>
      <c r="H334" s="314"/>
      <c r="I334" s="318"/>
      <c r="J334" s="314"/>
      <c r="K334" s="314"/>
      <c r="L334" s="314"/>
      <c r="M334" s="314"/>
      <c r="N334" s="314"/>
      <c r="O334" s="314"/>
      <c r="P334" s="318"/>
      <c r="Q334" s="314"/>
      <c r="R334" s="316"/>
      <c r="S334" s="314"/>
      <c r="T334" s="314"/>
      <c r="U334" s="314"/>
      <c r="V334" s="314"/>
      <c r="W334" s="318"/>
      <c r="X334" s="314"/>
      <c r="Y334" s="314"/>
      <c r="Z334" s="697"/>
      <c r="AA334" s="315"/>
      <c r="AB334" s="314"/>
      <c r="AC334" s="314"/>
      <c r="AD334" s="324"/>
      <c r="AE334" s="155"/>
      <c r="AF334" s="155"/>
      <c r="AG334" s="322"/>
      <c r="AH334" s="155"/>
      <c r="AI334" s="132"/>
    </row>
    <row r="335">
      <c r="A335" s="314"/>
      <c r="B335" s="695"/>
      <c r="C335" s="696"/>
      <c r="D335" s="312"/>
      <c r="E335" s="314"/>
      <c r="F335" s="314"/>
      <c r="G335" s="314"/>
      <c r="H335" s="314"/>
      <c r="I335" s="318"/>
      <c r="J335" s="314"/>
      <c r="K335" s="314"/>
      <c r="L335" s="314"/>
      <c r="M335" s="314"/>
      <c r="N335" s="314"/>
      <c r="O335" s="314"/>
      <c r="P335" s="318"/>
      <c r="Q335" s="314"/>
      <c r="R335" s="316"/>
      <c r="S335" s="314"/>
      <c r="T335" s="314"/>
      <c r="U335" s="314"/>
      <c r="V335" s="314"/>
      <c r="W335" s="318"/>
      <c r="X335" s="314"/>
      <c r="Y335" s="314"/>
      <c r="Z335" s="697"/>
      <c r="AA335" s="315"/>
      <c r="AB335" s="314"/>
      <c r="AC335" s="314"/>
      <c r="AD335" s="324"/>
      <c r="AE335" s="155"/>
      <c r="AF335" s="155"/>
      <c r="AG335" s="322"/>
      <c r="AH335" s="155"/>
      <c r="AI335" s="132"/>
    </row>
    <row r="336">
      <c r="A336" s="314"/>
      <c r="B336" s="695"/>
      <c r="C336" s="696"/>
      <c r="D336" s="312"/>
      <c r="E336" s="314"/>
      <c r="F336" s="314"/>
      <c r="G336" s="314"/>
      <c r="H336" s="314"/>
      <c r="I336" s="318"/>
      <c r="J336" s="314"/>
      <c r="K336" s="314"/>
      <c r="L336" s="314"/>
      <c r="M336" s="314"/>
      <c r="N336" s="314"/>
      <c r="O336" s="314"/>
      <c r="P336" s="318"/>
      <c r="Q336" s="314"/>
      <c r="R336" s="316"/>
      <c r="S336" s="314"/>
      <c r="T336" s="314"/>
      <c r="U336" s="314"/>
      <c r="V336" s="314"/>
      <c r="W336" s="318"/>
      <c r="X336" s="314"/>
      <c r="Y336" s="314"/>
      <c r="Z336" s="697"/>
      <c r="AA336" s="315"/>
      <c r="AB336" s="314"/>
      <c r="AC336" s="314"/>
      <c r="AD336" s="324"/>
      <c r="AE336" s="155"/>
      <c r="AF336" s="155"/>
      <c r="AG336" s="322"/>
      <c r="AH336" s="155"/>
      <c r="AI336" s="132"/>
    </row>
    <row r="337">
      <c r="A337" s="314"/>
      <c r="B337" s="695"/>
      <c r="C337" s="696"/>
      <c r="D337" s="312"/>
      <c r="E337" s="314"/>
      <c r="F337" s="314"/>
      <c r="G337" s="314"/>
      <c r="H337" s="314"/>
      <c r="I337" s="318"/>
      <c r="J337" s="314"/>
      <c r="K337" s="314"/>
      <c r="L337" s="314"/>
      <c r="M337" s="314"/>
      <c r="N337" s="314"/>
      <c r="O337" s="314"/>
      <c r="P337" s="318"/>
      <c r="Q337" s="314"/>
      <c r="R337" s="316"/>
      <c r="S337" s="314"/>
      <c r="T337" s="314"/>
      <c r="U337" s="314"/>
      <c r="V337" s="314"/>
      <c r="W337" s="318"/>
      <c r="X337" s="314"/>
      <c r="Y337" s="314"/>
      <c r="Z337" s="697"/>
      <c r="AA337" s="315"/>
      <c r="AB337" s="314"/>
      <c r="AC337" s="314"/>
      <c r="AD337" s="324"/>
      <c r="AE337" s="155"/>
      <c r="AF337" s="155"/>
      <c r="AG337" s="322"/>
      <c r="AH337" s="155"/>
      <c r="AI337" s="132"/>
    </row>
    <row r="338">
      <c r="A338" s="314"/>
      <c r="B338" s="695"/>
      <c r="C338" s="696"/>
      <c r="D338" s="312"/>
      <c r="E338" s="314"/>
      <c r="F338" s="314"/>
      <c r="G338" s="314"/>
      <c r="H338" s="314"/>
      <c r="I338" s="318"/>
      <c r="J338" s="314"/>
      <c r="K338" s="314"/>
      <c r="L338" s="314"/>
      <c r="M338" s="314"/>
      <c r="N338" s="314"/>
      <c r="O338" s="314"/>
      <c r="P338" s="318"/>
      <c r="Q338" s="314"/>
      <c r="R338" s="316"/>
      <c r="S338" s="314"/>
      <c r="T338" s="314"/>
      <c r="U338" s="314"/>
      <c r="V338" s="314"/>
      <c r="W338" s="318"/>
      <c r="X338" s="314"/>
      <c r="Y338" s="314"/>
      <c r="Z338" s="697"/>
      <c r="AA338" s="315"/>
      <c r="AB338" s="314"/>
      <c r="AC338" s="314"/>
      <c r="AD338" s="324"/>
      <c r="AE338" s="155"/>
      <c r="AF338" s="155"/>
      <c r="AG338" s="322"/>
      <c r="AH338" s="155"/>
      <c r="AI338" s="132"/>
    </row>
    <row r="339">
      <c r="A339" s="314"/>
      <c r="B339" s="695"/>
      <c r="C339" s="696"/>
      <c r="D339" s="312"/>
      <c r="E339" s="314"/>
      <c r="F339" s="314"/>
      <c r="G339" s="314"/>
      <c r="H339" s="314"/>
      <c r="I339" s="318"/>
      <c r="J339" s="314"/>
      <c r="K339" s="314"/>
      <c r="L339" s="314"/>
      <c r="M339" s="314"/>
      <c r="N339" s="314"/>
      <c r="O339" s="314"/>
      <c r="P339" s="318"/>
      <c r="Q339" s="314"/>
      <c r="R339" s="316"/>
      <c r="S339" s="314"/>
      <c r="T339" s="314"/>
      <c r="U339" s="314"/>
      <c r="V339" s="314"/>
      <c r="W339" s="318"/>
      <c r="X339" s="314"/>
      <c r="Y339" s="314"/>
      <c r="Z339" s="697"/>
      <c r="AA339" s="315"/>
      <c r="AB339" s="314"/>
      <c r="AC339" s="314"/>
      <c r="AD339" s="324"/>
      <c r="AE339" s="155"/>
      <c r="AF339" s="155"/>
      <c r="AG339" s="322"/>
      <c r="AH339" s="155"/>
      <c r="AI339" s="132"/>
    </row>
    <row r="340">
      <c r="A340" s="314"/>
      <c r="B340" s="695"/>
      <c r="C340" s="696"/>
      <c r="D340" s="312"/>
      <c r="E340" s="314"/>
      <c r="F340" s="314"/>
      <c r="G340" s="314"/>
      <c r="H340" s="314"/>
      <c r="I340" s="318"/>
      <c r="J340" s="314"/>
      <c r="K340" s="314"/>
      <c r="L340" s="314"/>
      <c r="M340" s="314"/>
      <c r="N340" s="314"/>
      <c r="O340" s="314"/>
      <c r="P340" s="318"/>
      <c r="Q340" s="314"/>
      <c r="R340" s="316"/>
      <c r="S340" s="314"/>
      <c r="T340" s="314"/>
      <c r="U340" s="314"/>
      <c r="V340" s="314"/>
      <c r="W340" s="318"/>
      <c r="X340" s="314"/>
      <c r="Y340" s="314"/>
      <c r="Z340" s="697"/>
      <c r="AA340" s="315"/>
      <c r="AB340" s="314"/>
      <c r="AC340" s="314"/>
      <c r="AD340" s="324"/>
      <c r="AE340" s="155"/>
      <c r="AF340" s="155"/>
      <c r="AG340" s="322"/>
      <c r="AH340" s="155"/>
      <c r="AI340" s="132"/>
    </row>
    <row r="341">
      <c r="A341" s="314"/>
      <c r="B341" s="695"/>
      <c r="C341" s="696"/>
      <c r="D341" s="312"/>
      <c r="E341" s="314"/>
      <c r="F341" s="314"/>
      <c r="G341" s="314"/>
      <c r="H341" s="314"/>
      <c r="I341" s="318"/>
      <c r="J341" s="314"/>
      <c r="K341" s="314"/>
      <c r="L341" s="314"/>
      <c r="M341" s="314"/>
      <c r="N341" s="314"/>
      <c r="O341" s="314"/>
      <c r="P341" s="318"/>
      <c r="Q341" s="314"/>
      <c r="R341" s="316"/>
      <c r="S341" s="314"/>
      <c r="T341" s="314"/>
      <c r="U341" s="314"/>
      <c r="V341" s="314"/>
      <c r="W341" s="318"/>
      <c r="X341" s="314"/>
      <c r="Y341" s="314"/>
      <c r="Z341" s="697"/>
      <c r="AA341" s="315"/>
      <c r="AB341" s="314"/>
      <c r="AC341" s="314"/>
      <c r="AD341" s="324"/>
      <c r="AE341" s="155"/>
      <c r="AF341" s="155"/>
      <c r="AG341" s="322"/>
      <c r="AH341" s="155"/>
      <c r="AI341" s="132"/>
    </row>
    <row r="342">
      <c r="A342" s="314"/>
      <c r="B342" s="695"/>
      <c r="C342" s="696"/>
      <c r="D342" s="312"/>
      <c r="E342" s="314"/>
      <c r="F342" s="314"/>
      <c r="G342" s="314"/>
      <c r="H342" s="314"/>
      <c r="I342" s="318"/>
      <c r="J342" s="314"/>
      <c r="K342" s="314"/>
      <c r="L342" s="314"/>
      <c r="M342" s="314"/>
      <c r="N342" s="314"/>
      <c r="O342" s="314"/>
      <c r="P342" s="318"/>
      <c r="Q342" s="314"/>
      <c r="R342" s="316"/>
      <c r="S342" s="314"/>
      <c r="T342" s="314"/>
      <c r="U342" s="314"/>
      <c r="V342" s="314"/>
      <c r="W342" s="318"/>
      <c r="X342" s="314"/>
      <c r="Y342" s="314"/>
      <c r="Z342" s="697"/>
      <c r="AA342" s="315"/>
      <c r="AB342" s="314"/>
      <c r="AC342" s="314"/>
      <c r="AD342" s="324"/>
      <c r="AE342" s="155"/>
      <c r="AF342" s="155"/>
      <c r="AG342" s="322"/>
      <c r="AH342" s="155"/>
      <c r="AI342" s="132"/>
    </row>
    <row r="343">
      <c r="A343" s="314"/>
      <c r="B343" s="695"/>
      <c r="C343" s="696"/>
      <c r="D343" s="312"/>
      <c r="E343" s="314"/>
      <c r="F343" s="314"/>
      <c r="G343" s="314"/>
      <c r="H343" s="314"/>
      <c r="I343" s="318"/>
      <c r="J343" s="314"/>
      <c r="K343" s="314"/>
      <c r="L343" s="314"/>
      <c r="M343" s="314"/>
      <c r="N343" s="314"/>
      <c r="O343" s="314"/>
      <c r="P343" s="318"/>
      <c r="Q343" s="314"/>
      <c r="R343" s="316"/>
      <c r="S343" s="314"/>
      <c r="T343" s="314"/>
      <c r="U343" s="314"/>
      <c r="V343" s="314"/>
      <c r="W343" s="318"/>
      <c r="X343" s="314"/>
      <c r="Y343" s="314"/>
      <c r="Z343" s="697"/>
      <c r="AA343" s="315"/>
      <c r="AB343" s="314"/>
      <c r="AC343" s="314"/>
      <c r="AD343" s="324"/>
      <c r="AE343" s="155"/>
      <c r="AF343" s="155"/>
      <c r="AG343" s="322"/>
      <c r="AH343" s="155"/>
      <c r="AI343" s="132"/>
    </row>
    <row r="344">
      <c r="A344" s="314"/>
      <c r="B344" s="695"/>
      <c r="C344" s="696"/>
      <c r="D344" s="312"/>
      <c r="E344" s="314"/>
      <c r="F344" s="314"/>
      <c r="G344" s="314"/>
      <c r="H344" s="314"/>
      <c r="I344" s="318"/>
      <c r="J344" s="314"/>
      <c r="K344" s="314"/>
      <c r="L344" s="314"/>
      <c r="M344" s="314"/>
      <c r="N344" s="314"/>
      <c r="O344" s="314"/>
      <c r="P344" s="318"/>
      <c r="Q344" s="314"/>
      <c r="R344" s="316"/>
      <c r="S344" s="314"/>
      <c r="T344" s="314"/>
      <c r="U344" s="314"/>
      <c r="V344" s="314"/>
      <c r="W344" s="318"/>
      <c r="X344" s="314"/>
      <c r="Y344" s="314"/>
      <c r="Z344" s="697"/>
      <c r="AA344" s="315"/>
      <c r="AB344" s="314"/>
      <c r="AC344" s="314"/>
      <c r="AD344" s="324"/>
      <c r="AE344" s="155"/>
      <c r="AF344" s="155"/>
      <c r="AG344" s="322"/>
      <c r="AH344" s="155"/>
      <c r="AI344" s="132"/>
    </row>
    <row r="345">
      <c r="A345" s="314"/>
      <c r="B345" s="695"/>
      <c r="C345" s="696"/>
      <c r="D345" s="312"/>
      <c r="E345" s="314"/>
      <c r="F345" s="314"/>
      <c r="G345" s="314"/>
      <c r="H345" s="314"/>
      <c r="I345" s="318"/>
      <c r="J345" s="314"/>
      <c r="K345" s="314"/>
      <c r="L345" s="314"/>
      <c r="M345" s="314"/>
      <c r="N345" s="314"/>
      <c r="O345" s="314"/>
      <c r="P345" s="318"/>
      <c r="Q345" s="314"/>
      <c r="R345" s="316"/>
      <c r="S345" s="314"/>
      <c r="T345" s="314"/>
      <c r="U345" s="314"/>
      <c r="V345" s="314"/>
      <c r="W345" s="318"/>
      <c r="X345" s="314"/>
      <c r="Y345" s="314"/>
      <c r="Z345" s="697"/>
      <c r="AA345" s="315"/>
      <c r="AB345" s="314"/>
      <c r="AC345" s="314"/>
      <c r="AD345" s="324"/>
      <c r="AE345" s="155"/>
      <c r="AF345" s="155"/>
      <c r="AG345" s="322"/>
      <c r="AH345" s="155"/>
      <c r="AI345" s="132"/>
    </row>
    <row r="346">
      <c r="A346" s="314"/>
      <c r="B346" s="695"/>
      <c r="C346" s="696"/>
      <c r="D346" s="312"/>
      <c r="E346" s="314"/>
      <c r="F346" s="314"/>
      <c r="G346" s="314"/>
      <c r="H346" s="314"/>
      <c r="I346" s="318"/>
      <c r="J346" s="314"/>
      <c r="K346" s="314"/>
      <c r="L346" s="314"/>
      <c r="M346" s="314"/>
      <c r="N346" s="314"/>
      <c r="O346" s="314"/>
      <c r="P346" s="318"/>
      <c r="Q346" s="314"/>
      <c r="R346" s="316"/>
      <c r="S346" s="314"/>
      <c r="T346" s="314"/>
      <c r="U346" s="314"/>
      <c r="V346" s="314"/>
      <c r="W346" s="318"/>
      <c r="X346" s="314"/>
      <c r="Y346" s="314"/>
      <c r="Z346" s="697"/>
      <c r="AA346" s="315"/>
      <c r="AB346" s="314"/>
      <c r="AC346" s="314"/>
      <c r="AD346" s="324"/>
      <c r="AE346" s="155"/>
      <c r="AF346" s="155"/>
      <c r="AG346" s="322"/>
      <c r="AH346" s="155"/>
      <c r="AI346" s="132"/>
    </row>
    <row r="347">
      <c r="A347" s="314"/>
      <c r="B347" s="695"/>
      <c r="C347" s="696"/>
      <c r="D347" s="312"/>
      <c r="E347" s="314"/>
      <c r="F347" s="314"/>
      <c r="G347" s="314"/>
      <c r="H347" s="314"/>
      <c r="I347" s="318"/>
      <c r="J347" s="314"/>
      <c r="K347" s="314"/>
      <c r="L347" s="314"/>
      <c r="M347" s="314"/>
      <c r="N347" s="314"/>
      <c r="O347" s="314"/>
      <c r="P347" s="318"/>
      <c r="Q347" s="314"/>
      <c r="R347" s="316"/>
      <c r="S347" s="314"/>
      <c r="T347" s="314"/>
      <c r="U347" s="314"/>
      <c r="V347" s="314"/>
      <c r="W347" s="318"/>
      <c r="X347" s="314"/>
      <c r="Y347" s="314"/>
      <c r="Z347" s="697"/>
      <c r="AA347" s="315"/>
      <c r="AB347" s="314"/>
      <c r="AC347" s="314"/>
      <c r="AD347" s="324"/>
      <c r="AE347" s="155"/>
      <c r="AF347" s="155"/>
      <c r="AG347" s="322"/>
      <c r="AH347" s="155"/>
      <c r="AI347" s="132"/>
    </row>
    <row r="348">
      <c r="A348" s="314"/>
      <c r="B348" s="695"/>
      <c r="C348" s="696"/>
      <c r="D348" s="312"/>
      <c r="E348" s="314"/>
      <c r="F348" s="314"/>
      <c r="G348" s="314"/>
      <c r="H348" s="314"/>
      <c r="I348" s="318"/>
      <c r="J348" s="314"/>
      <c r="K348" s="314"/>
      <c r="L348" s="314"/>
      <c r="M348" s="314"/>
      <c r="N348" s="314"/>
      <c r="O348" s="314"/>
      <c r="P348" s="318"/>
      <c r="Q348" s="314"/>
      <c r="R348" s="316"/>
      <c r="S348" s="314"/>
      <c r="T348" s="314"/>
      <c r="U348" s="314"/>
      <c r="V348" s="314"/>
      <c r="W348" s="318"/>
      <c r="X348" s="314"/>
      <c r="Y348" s="314"/>
      <c r="Z348" s="697"/>
      <c r="AA348" s="315"/>
      <c r="AB348" s="314"/>
      <c r="AC348" s="314"/>
      <c r="AD348" s="324"/>
      <c r="AE348" s="155"/>
      <c r="AF348" s="155"/>
      <c r="AG348" s="322"/>
      <c r="AH348" s="155"/>
      <c r="AI348" s="132"/>
    </row>
    <row r="349">
      <c r="A349" s="314"/>
      <c r="B349" s="695"/>
      <c r="C349" s="696"/>
      <c r="D349" s="312"/>
      <c r="E349" s="314"/>
      <c r="F349" s="314"/>
      <c r="G349" s="314"/>
      <c r="H349" s="314"/>
      <c r="I349" s="318"/>
      <c r="J349" s="314"/>
      <c r="K349" s="314"/>
      <c r="L349" s="314"/>
      <c r="M349" s="314"/>
      <c r="N349" s="314"/>
      <c r="O349" s="314"/>
      <c r="P349" s="318"/>
      <c r="Q349" s="314"/>
      <c r="R349" s="316"/>
      <c r="S349" s="314"/>
      <c r="T349" s="314"/>
      <c r="U349" s="314"/>
      <c r="V349" s="314"/>
      <c r="W349" s="318"/>
      <c r="X349" s="314"/>
      <c r="Y349" s="314"/>
      <c r="Z349" s="697"/>
      <c r="AA349" s="315"/>
      <c r="AB349" s="314"/>
      <c r="AC349" s="314"/>
      <c r="AD349" s="324"/>
      <c r="AE349" s="155"/>
      <c r="AF349" s="155"/>
      <c r="AG349" s="322"/>
      <c r="AH349" s="155"/>
      <c r="AI349" s="132"/>
    </row>
    <row r="350">
      <c r="A350" s="314"/>
      <c r="B350" s="695"/>
      <c r="C350" s="696"/>
      <c r="D350" s="312"/>
      <c r="E350" s="314"/>
      <c r="F350" s="314"/>
      <c r="G350" s="314"/>
      <c r="H350" s="314"/>
      <c r="I350" s="318"/>
      <c r="J350" s="314"/>
      <c r="K350" s="314"/>
      <c r="L350" s="314"/>
      <c r="M350" s="314"/>
      <c r="N350" s="314"/>
      <c r="O350" s="314"/>
      <c r="P350" s="318"/>
      <c r="Q350" s="314"/>
      <c r="R350" s="316"/>
      <c r="S350" s="314"/>
      <c r="T350" s="314"/>
      <c r="U350" s="314"/>
      <c r="V350" s="314"/>
      <c r="W350" s="318"/>
      <c r="X350" s="314"/>
      <c r="Y350" s="314"/>
      <c r="Z350" s="697"/>
      <c r="AA350" s="315"/>
      <c r="AB350" s="314"/>
      <c r="AC350" s="314"/>
      <c r="AD350" s="324"/>
      <c r="AE350" s="155"/>
      <c r="AF350" s="155"/>
      <c r="AG350" s="322"/>
      <c r="AH350" s="155"/>
      <c r="AI350" s="132"/>
    </row>
    <row r="351">
      <c r="A351" s="314"/>
      <c r="B351" s="695"/>
      <c r="C351" s="696"/>
      <c r="D351" s="312"/>
      <c r="E351" s="314"/>
      <c r="F351" s="314"/>
      <c r="G351" s="314"/>
      <c r="H351" s="314"/>
      <c r="I351" s="318"/>
      <c r="J351" s="314"/>
      <c r="K351" s="314"/>
      <c r="L351" s="314"/>
      <c r="M351" s="314"/>
      <c r="N351" s="314"/>
      <c r="O351" s="314"/>
      <c r="P351" s="318"/>
      <c r="Q351" s="314"/>
      <c r="R351" s="316"/>
      <c r="S351" s="314"/>
      <c r="T351" s="314"/>
      <c r="U351" s="314"/>
      <c r="V351" s="314"/>
      <c r="W351" s="318"/>
      <c r="X351" s="314"/>
      <c r="Y351" s="314"/>
      <c r="Z351" s="697"/>
      <c r="AA351" s="315"/>
      <c r="AB351" s="314"/>
      <c r="AC351" s="314"/>
      <c r="AD351" s="324"/>
      <c r="AE351" s="155"/>
      <c r="AF351" s="155"/>
      <c r="AG351" s="322"/>
      <c r="AH351" s="155"/>
      <c r="AI351" s="132"/>
    </row>
    <row r="352">
      <c r="A352" s="314"/>
      <c r="B352" s="695"/>
      <c r="C352" s="696"/>
      <c r="D352" s="312"/>
      <c r="E352" s="314"/>
      <c r="F352" s="314"/>
      <c r="G352" s="314"/>
      <c r="H352" s="314"/>
      <c r="I352" s="318"/>
      <c r="J352" s="314"/>
      <c r="K352" s="314"/>
      <c r="L352" s="314"/>
      <c r="M352" s="314"/>
      <c r="N352" s="314"/>
      <c r="O352" s="314"/>
      <c r="P352" s="318"/>
      <c r="Q352" s="314"/>
      <c r="R352" s="316"/>
      <c r="S352" s="314"/>
      <c r="T352" s="314"/>
      <c r="U352" s="314"/>
      <c r="V352" s="314"/>
      <c r="W352" s="318"/>
      <c r="X352" s="314"/>
      <c r="Y352" s="314"/>
      <c r="Z352" s="697"/>
      <c r="AA352" s="315"/>
      <c r="AB352" s="314"/>
      <c r="AC352" s="314"/>
      <c r="AD352" s="324"/>
      <c r="AE352" s="155"/>
      <c r="AF352" s="155"/>
      <c r="AG352" s="322"/>
      <c r="AH352" s="155"/>
      <c r="AI352" s="132"/>
    </row>
    <row r="353">
      <c r="A353" s="314"/>
      <c r="B353" s="695"/>
      <c r="C353" s="696"/>
      <c r="D353" s="312"/>
      <c r="E353" s="314"/>
      <c r="F353" s="314"/>
      <c r="G353" s="314"/>
      <c r="H353" s="314"/>
      <c r="I353" s="318"/>
      <c r="J353" s="314"/>
      <c r="K353" s="314"/>
      <c r="L353" s="314"/>
      <c r="M353" s="314"/>
      <c r="N353" s="314"/>
      <c r="O353" s="314"/>
      <c r="P353" s="318"/>
      <c r="Q353" s="314"/>
      <c r="R353" s="316"/>
      <c r="S353" s="314"/>
      <c r="T353" s="314"/>
      <c r="U353" s="314"/>
      <c r="V353" s="314"/>
      <c r="W353" s="318"/>
      <c r="X353" s="314"/>
      <c r="Y353" s="314"/>
      <c r="Z353" s="697"/>
      <c r="AA353" s="315"/>
      <c r="AB353" s="314"/>
      <c r="AC353" s="314"/>
      <c r="AD353" s="324"/>
      <c r="AE353" s="155"/>
      <c r="AF353" s="155"/>
      <c r="AG353" s="322"/>
      <c r="AH353" s="155"/>
      <c r="AI353" s="132"/>
    </row>
    <row r="354">
      <c r="A354" s="314"/>
      <c r="B354" s="695"/>
      <c r="C354" s="696"/>
      <c r="D354" s="312"/>
      <c r="E354" s="314"/>
      <c r="F354" s="314"/>
      <c r="G354" s="314"/>
      <c r="H354" s="314"/>
      <c r="I354" s="318"/>
      <c r="J354" s="314"/>
      <c r="K354" s="314"/>
      <c r="L354" s="314"/>
      <c r="M354" s="314"/>
      <c r="N354" s="314"/>
      <c r="O354" s="314"/>
      <c r="P354" s="318"/>
      <c r="Q354" s="314"/>
      <c r="R354" s="316"/>
      <c r="S354" s="314"/>
      <c r="T354" s="314"/>
      <c r="U354" s="314"/>
      <c r="V354" s="314"/>
      <c r="W354" s="318"/>
      <c r="X354" s="314"/>
      <c r="Y354" s="314"/>
      <c r="Z354" s="697"/>
      <c r="AA354" s="315"/>
      <c r="AB354" s="314"/>
      <c r="AC354" s="314"/>
      <c r="AD354" s="324"/>
      <c r="AE354" s="155"/>
      <c r="AF354" s="155"/>
      <c r="AG354" s="322"/>
      <c r="AH354" s="155"/>
      <c r="AI354" s="132"/>
    </row>
    <row r="355">
      <c r="A355" s="314"/>
      <c r="B355" s="695"/>
      <c r="C355" s="696"/>
      <c r="D355" s="312"/>
      <c r="E355" s="314"/>
      <c r="F355" s="314"/>
      <c r="G355" s="314"/>
      <c r="H355" s="314"/>
      <c r="I355" s="318"/>
      <c r="J355" s="314"/>
      <c r="K355" s="314"/>
      <c r="L355" s="314"/>
      <c r="M355" s="314"/>
      <c r="N355" s="314"/>
      <c r="O355" s="314"/>
      <c r="P355" s="318"/>
      <c r="Q355" s="314"/>
      <c r="R355" s="316"/>
      <c r="S355" s="314"/>
      <c r="T355" s="314"/>
      <c r="U355" s="314"/>
      <c r="V355" s="314"/>
      <c r="W355" s="318"/>
      <c r="X355" s="314"/>
      <c r="Y355" s="314"/>
      <c r="Z355" s="697"/>
      <c r="AA355" s="315"/>
      <c r="AB355" s="314"/>
      <c r="AC355" s="314"/>
      <c r="AD355" s="324"/>
      <c r="AE355" s="155"/>
      <c r="AF355" s="155"/>
      <c r="AG355" s="322"/>
      <c r="AH355" s="155"/>
      <c r="AI355" s="132"/>
    </row>
    <row r="356">
      <c r="A356" s="314"/>
      <c r="B356" s="695"/>
      <c r="C356" s="696"/>
      <c r="D356" s="312"/>
      <c r="E356" s="314"/>
      <c r="F356" s="314"/>
      <c r="G356" s="314"/>
      <c r="H356" s="314"/>
      <c r="I356" s="318"/>
      <c r="J356" s="314"/>
      <c r="K356" s="314"/>
      <c r="L356" s="314"/>
      <c r="M356" s="314"/>
      <c r="N356" s="314"/>
      <c r="O356" s="314"/>
      <c r="P356" s="318"/>
      <c r="Q356" s="314"/>
      <c r="R356" s="316"/>
      <c r="S356" s="314"/>
      <c r="T356" s="314"/>
      <c r="U356" s="314"/>
      <c r="V356" s="314"/>
      <c r="W356" s="318"/>
      <c r="X356" s="314"/>
      <c r="Y356" s="314"/>
      <c r="Z356" s="697"/>
      <c r="AA356" s="315"/>
      <c r="AB356" s="314"/>
      <c r="AC356" s="314"/>
      <c r="AD356" s="324"/>
      <c r="AE356" s="155"/>
      <c r="AF356" s="155"/>
      <c r="AG356" s="322"/>
      <c r="AH356" s="155"/>
      <c r="AI356" s="132"/>
    </row>
    <row r="357">
      <c r="A357" s="314"/>
      <c r="B357" s="695"/>
      <c r="C357" s="696"/>
      <c r="D357" s="312"/>
      <c r="E357" s="314"/>
      <c r="F357" s="314"/>
      <c r="G357" s="314"/>
      <c r="H357" s="314"/>
      <c r="I357" s="318"/>
      <c r="J357" s="314"/>
      <c r="K357" s="314"/>
      <c r="L357" s="314"/>
      <c r="M357" s="314"/>
      <c r="N357" s="314"/>
      <c r="O357" s="314"/>
      <c r="P357" s="318"/>
      <c r="Q357" s="314"/>
      <c r="R357" s="316"/>
      <c r="S357" s="314"/>
      <c r="T357" s="314"/>
      <c r="U357" s="314"/>
      <c r="V357" s="314"/>
      <c r="W357" s="318"/>
      <c r="X357" s="314"/>
      <c r="Y357" s="314"/>
      <c r="Z357" s="697"/>
      <c r="AA357" s="315"/>
      <c r="AB357" s="314"/>
      <c r="AC357" s="314"/>
      <c r="AD357" s="324"/>
      <c r="AE357" s="155"/>
      <c r="AF357" s="155"/>
      <c r="AG357" s="322"/>
      <c r="AH357" s="155"/>
      <c r="AI357" s="132"/>
    </row>
    <row r="358">
      <c r="A358" s="314"/>
      <c r="B358" s="695"/>
      <c r="C358" s="696"/>
      <c r="D358" s="312"/>
      <c r="E358" s="314"/>
      <c r="F358" s="314"/>
      <c r="G358" s="314"/>
      <c r="H358" s="314"/>
      <c r="I358" s="318"/>
      <c r="J358" s="314"/>
      <c r="K358" s="314"/>
      <c r="L358" s="314"/>
      <c r="M358" s="314"/>
      <c r="N358" s="314"/>
      <c r="O358" s="314"/>
      <c r="P358" s="318"/>
      <c r="Q358" s="314"/>
      <c r="R358" s="316"/>
      <c r="S358" s="314"/>
      <c r="T358" s="314"/>
      <c r="U358" s="314"/>
      <c r="V358" s="314"/>
      <c r="W358" s="318"/>
      <c r="X358" s="314"/>
      <c r="Y358" s="314"/>
      <c r="Z358" s="697"/>
      <c r="AA358" s="315"/>
      <c r="AB358" s="314"/>
      <c r="AC358" s="314"/>
      <c r="AD358" s="324"/>
      <c r="AE358" s="155"/>
      <c r="AF358" s="155"/>
      <c r="AG358" s="322"/>
      <c r="AH358" s="155"/>
      <c r="AI358" s="132"/>
    </row>
    <row r="359">
      <c r="A359" s="314"/>
      <c r="B359" s="695"/>
      <c r="C359" s="696"/>
      <c r="D359" s="312"/>
      <c r="E359" s="314"/>
      <c r="F359" s="314"/>
      <c r="G359" s="314"/>
      <c r="H359" s="314"/>
      <c r="I359" s="318"/>
      <c r="J359" s="314"/>
      <c r="K359" s="314"/>
      <c r="L359" s="314"/>
      <c r="M359" s="314"/>
      <c r="N359" s="314"/>
      <c r="O359" s="314"/>
      <c r="P359" s="318"/>
      <c r="Q359" s="314"/>
      <c r="R359" s="316"/>
      <c r="S359" s="314"/>
      <c r="T359" s="314"/>
      <c r="U359" s="314"/>
      <c r="V359" s="314"/>
      <c r="W359" s="318"/>
      <c r="X359" s="314"/>
      <c r="Y359" s="314"/>
      <c r="Z359" s="697"/>
      <c r="AA359" s="315"/>
      <c r="AB359" s="314"/>
      <c r="AC359" s="314"/>
      <c r="AD359" s="324"/>
      <c r="AE359" s="155"/>
      <c r="AF359" s="155"/>
      <c r="AG359" s="322"/>
      <c r="AH359" s="155"/>
      <c r="AI359" s="132"/>
    </row>
    <row r="360">
      <c r="A360" s="314"/>
      <c r="B360" s="695"/>
      <c r="C360" s="696"/>
      <c r="D360" s="312"/>
      <c r="E360" s="314"/>
      <c r="F360" s="314"/>
      <c r="G360" s="314"/>
      <c r="H360" s="314"/>
      <c r="I360" s="318"/>
      <c r="J360" s="314"/>
      <c r="K360" s="314"/>
      <c r="L360" s="314"/>
      <c r="M360" s="314"/>
      <c r="N360" s="314"/>
      <c r="O360" s="314"/>
      <c r="P360" s="318"/>
      <c r="Q360" s="314"/>
      <c r="R360" s="316"/>
      <c r="S360" s="314"/>
      <c r="T360" s="314"/>
      <c r="U360" s="314"/>
      <c r="V360" s="314"/>
      <c r="W360" s="318"/>
      <c r="X360" s="314"/>
      <c r="Y360" s="314"/>
      <c r="Z360" s="697"/>
      <c r="AA360" s="315"/>
      <c r="AB360" s="314"/>
      <c r="AC360" s="314"/>
      <c r="AD360" s="324"/>
      <c r="AE360" s="155"/>
      <c r="AF360" s="155"/>
      <c r="AG360" s="322"/>
      <c r="AH360" s="155"/>
      <c r="AI360" s="132"/>
    </row>
    <row r="361">
      <c r="A361" s="314"/>
      <c r="B361" s="695"/>
      <c r="C361" s="696"/>
      <c r="D361" s="312"/>
      <c r="E361" s="314"/>
      <c r="F361" s="314"/>
      <c r="G361" s="314"/>
      <c r="H361" s="314"/>
      <c r="I361" s="318"/>
      <c r="J361" s="314"/>
      <c r="K361" s="314"/>
      <c r="L361" s="314"/>
      <c r="M361" s="314"/>
      <c r="N361" s="314"/>
      <c r="O361" s="314"/>
      <c r="P361" s="318"/>
      <c r="Q361" s="314"/>
      <c r="R361" s="316"/>
      <c r="S361" s="314"/>
      <c r="T361" s="314"/>
      <c r="U361" s="314"/>
      <c r="V361" s="314"/>
      <c r="W361" s="318"/>
      <c r="X361" s="314"/>
      <c r="Y361" s="314"/>
      <c r="Z361" s="697"/>
      <c r="AA361" s="315"/>
      <c r="AB361" s="314"/>
      <c r="AC361" s="314"/>
      <c r="AD361" s="324"/>
      <c r="AE361" s="155"/>
      <c r="AF361" s="155"/>
      <c r="AG361" s="322"/>
      <c r="AH361" s="155"/>
      <c r="AI361" s="132"/>
    </row>
    <row r="362">
      <c r="A362" s="314"/>
      <c r="B362" s="695"/>
      <c r="C362" s="696"/>
      <c r="D362" s="312"/>
      <c r="E362" s="314"/>
      <c r="F362" s="314"/>
      <c r="G362" s="314"/>
      <c r="H362" s="314"/>
      <c r="I362" s="318"/>
      <c r="J362" s="314"/>
      <c r="K362" s="314"/>
      <c r="L362" s="314"/>
      <c r="M362" s="314"/>
      <c r="N362" s="314"/>
      <c r="O362" s="314"/>
      <c r="P362" s="318"/>
      <c r="Q362" s="314"/>
      <c r="R362" s="316"/>
      <c r="S362" s="314"/>
      <c r="T362" s="314"/>
      <c r="U362" s="314"/>
      <c r="V362" s="314"/>
      <c r="W362" s="318"/>
      <c r="X362" s="314"/>
      <c r="Y362" s="314"/>
      <c r="Z362" s="697"/>
      <c r="AA362" s="315"/>
      <c r="AB362" s="314"/>
      <c r="AC362" s="314"/>
      <c r="AD362" s="324"/>
      <c r="AE362" s="155"/>
      <c r="AF362" s="155"/>
      <c r="AG362" s="322"/>
      <c r="AH362" s="155"/>
      <c r="AI362" s="132"/>
    </row>
    <row r="363">
      <c r="A363" s="314"/>
      <c r="B363" s="695"/>
      <c r="C363" s="696"/>
      <c r="D363" s="312"/>
      <c r="E363" s="314"/>
      <c r="F363" s="314"/>
      <c r="G363" s="314"/>
      <c r="H363" s="314"/>
      <c r="I363" s="318"/>
      <c r="J363" s="314"/>
      <c r="K363" s="314"/>
      <c r="L363" s="314"/>
      <c r="M363" s="314"/>
      <c r="N363" s="314"/>
      <c r="O363" s="314"/>
      <c r="P363" s="318"/>
      <c r="Q363" s="314"/>
      <c r="R363" s="316"/>
      <c r="S363" s="314"/>
      <c r="T363" s="314"/>
      <c r="U363" s="314"/>
      <c r="V363" s="314"/>
      <c r="W363" s="318"/>
      <c r="X363" s="314"/>
      <c r="Y363" s="314"/>
      <c r="Z363" s="697"/>
      <c r="AA363" s="315"/>
      <c r="AB363" s="314"/>
      <c r="AC363" s="314"/>
      <c r="AD363" s="324"/>
      <c r="AE363" s="155"/>
      <c r="AF363" s="155"/>
      <c r="AG363" s="322"/>
      <c r="AH363" s="155"/>
      <c r="AI363" s="132"/>
    </row>
    <row r="364">
      <c r="A364" s="314"/>
      <c r="B364" s="695"/>
      <c r="C364" s="696"/>
      <c r="D364" s="312"/>
      <c r="E364" s="314"/>
      <c r="F364" s="314"/>
      <c r="G364" s="314"/>
      <c r="H364" s="314"/>
      <c r="I364" s="318"/>
      <c r="J364" s="314"/>
      <c r="K364" s="314"/>
      <c r="L364" s="314"/>
      <c r="M364" s="314"/>
      <c r="N364" s="314"/>
      <c r="O364" s="314"/>
      <c r="P364" s="318"/>
      <c r="Q364" s="314"/>
      <c r="R364" s="316"/>
      <c r="S364" s="314"/>
      <c r="T364" s="314"/>
      <c r="U364" s="314"/>
      <c r="V364" s="314"/>
      <c r="W364" s="318"/>
      <c r="X364" s="314"/>
      <c r="Y364" s="314"/>
      <c r="Z364" s="697"/>
      <c r="AA364" s="315"/>
      <c r="AB364" s="314"/>
      <c r="AC364" s="314"/>
      <c r="AD364" s="324"/>
      <c r="AE364" s="155"/>
      <c r="AF364" s="155"/>
      <c r="AG364" s="322"/>
      <c r="AH364" s="155"/>
      <c r="AI364" s="132"/>
    </row>
    <row r="365">
      <c r="A365" s="314"/>
      <c r="B365" s="695"/>
      <c r="C365" s="696"/>
      <c r="D365" s="312"/>
      <c r="E365" s="314"/>
      <c r="F365" s="314"/>
      <c r="G365" s="314"/>
      <c r="H365" s="314"/>
      <c r="I365" s="318"/>
      <c r="J365" s="314"/>
      <c r="K365" s="314"/>
      <c r="L365" s="314"/>
      <c r="M365" s="314"/>
      <c r="N365" s="314"/>
      <c r="O365" s="314"/>
      <c r="P365" s="318"/>
      <c r="Q365" s="314"/>
      <c r="R365" s="316"/>
      <c r="S365" s="314"/>
      <c r="T365" s="314"/>
      <c r="U365" s="314"/>
      <c r="V365" s="314"/>
      <c r="W365" s="318"/>
      <c r="X365" s="314"/>
      <c r="Y365" s="314"/>
      <c r="Z365" s="697"/>
      <c r="AA365" s="315"/>
      <c r="AB365" s="314"/>
      <c r="AC365" s="314"/>
      <c r="AD365" s="324"/>
      <c r="AE365" s="155"/>
      <c r="AF365" s="155"/>
      <c r="AG365" s="322"/>
      <c r="AH365" s="155"/>
      <c r="AI365" s="132"/>
    </row>
    <row r="366">
      <c r="A366" s="314"/>
      <c r="B366" s="695"/>
      <c r="C366" s="696"/>
      <c r="D366" s="312"/>
      <c r="E366" s="314"/>
      <c r="F366" s="314"/>
      <c r="G366" s="314"/>
      <c r="H366" s="314"/>
      <c r="I366" s="318"/>
      <c r="J366" s="314"/>
      <c r="K366" s="314"/>
      <c r="L366" s="314"/>
      <c r="M366" s="314"/>
      <c r="N366" s="314"/>
      <c r="O366" s="314"/>
      <c r="P366" s="318"/>
      <c r="Q366" s="314"/>
      <c r="R366" s="316"/>
      <c r="S366" s="314"/>
      <c r="T366" s="314"/>
      <c r="U366" s="314"/>
      <c r="V366" s="314"/>
      <c r="W366" s="318"/>
      <c r="X366" s="314"/>
      <c r="Y366" s="314"/>
      <c r="Z366" s="697"/>
      <c r="AA366" s="315"/>
      <c r="AB366" s="314"/>
      <c r="AC366" s="314"/>
      <c r="AD366" s="324"/>
      <c r="AE366" s="155"/>
      <c r="AF366" s="155"/>
      <c r="AG366" s="322"/>
      <c r="AH366" s="155"/>
      <c r="AI366" s="132"/>
    </row>
    <row r="367">
      <c r="A367" s="314"/>
      <c r="B367" s="695"/>
      <c r="C367" s="696"/>
      <c r="D367" s="312"/>
      <c r="E367" s="314"/>
      <c r="F367" s="314"/>
      <c r="G367" s="314"/>
      <c r="H367" s="314"/>
      <c r="I367" s="318"/>
      <c r="J367" s="314"/>
      <c r="K367" s="314"/>
      <c r="L367" s="314"/>
      <c r="M367" s="314"/>
      <c r="N367" s="314"/>
      <c r="O367" s="314"/>
      <c r="P367" s="318"/>
      <c r="Q367" s="314"/>
      <c r="R367" s="316"/>
      <c r="S367" s="314"/>
      <c r="T367" s="314"/>
      <c r="U367" s="314"/>
      <c r="V367" s="314"/>
      <c r="W367" s="318"/>
      <c r="X367" s="314"/>
      <c r="Y367" s="314"/>
      <c r="Z367" s="697"/>
      <c r="AA367" s="315"/>
      <c r="AB367" s="314"/>
      <c r="AC367" s="314"/>
      <c r="AD367" s="324"/>
      <c r="AE367" s="155"/>
      <c r="AF367" s="155"/>
      <c r="AG367" s="322"/>
      <c r="AH367" s="155"/>
      <c r="AI367" s="132"/>
    </row>
    <row r="368">
      <c r="A368" s="314"/>
      <c r="B368" s="695"/>
      <c r="C368" s="696"/>
      <c r="D368" s="312"/>
      <c r="E368" s="314"/>
      <c r="F368" s="314"/>
      <c r="G368" s="314"/>
      <c r="H368" s="314"/>
      <c r="I368" s="318"/>
      <c r="J368" s="314"/>
      <c r="K368" s="314"/>
      <c r="L368" s="314"/>
      <c r="M368" s="314"/>
      <c r="N368" s="314"/>
      <c r="O368" s="314"/>
      <c r="P368" s="318"/>
      <c r="Q368" s="314"/>
      <c r="R368" s="316"/>
      <c r="S368" s="314"/>
      <c r="T368" s="314"/>
      <c r="U368" s="314"/>
      <c r="V368" s="314"/>
      <c r="W368" s="318"/>
      <c r="X368" s="314"/>
      <c r="Y368" s="314"/>
      <c r="Z368" s="697"/>
      <c r="AA368" s="315"/>
      <c r="AB368" s="314"/>
      <c r="AC368" s="314"/>
      <c r="AD368" s="324"/>
      <c r="AE368" s="155"/>
      <c r="AF368" s="155"/>
      <c r="AG368" s="322"/>
      <c r="AH368" s="155"/>
      <c r="AI368" s="132"/>
    </row>
    <row r="369">
      <c r="A369" s="314"/>
      <c r="B369" s="695"/>
      <c r="C369" s="696"/>
      <c r="D369" s="312"/>
      <c r="E369" s="314"/>
      <c r="F369" s="314"/>
      <c r="G369" s="314"/>
      <c r="H369" s="314"/>
      <c r="I369" s="318"/>
      <c r="J369" s="314"/>
      <c r="K369" s="314"/>
      <c r="L369" s="314"/>
      <c r="M369" s="314"/>
      <c r="N369" s="314"/>
      <c r="O369" s="314"/>
      <c r="P369" s="318"/>
      <c r="Q369" s="314"/>
      <c r="R369" s="316"/>
      <c r="S369" s="314"/>
      <c r="T369" s="314"/>
      <c r="U369" s="314"/>
      <c r="V369" s="314"/>
      <c r="W369" s="318"/>
      <c r="X369" s="314"/>
      <c r="Y369" s="314"/>
      <c r="Z369" s="697"/>
      <c r="AA369" s="315"/>
      <c r="AB369" s="314"/>
      <c r="AC369" s="314"/>
      <c r="AD369" s="324"/>
      <c r="AE369" s="155"/>
      <c r="AF369" s="155"/>
      <c r="AG369" s="322"/>
      <c r="AH369" s="155"/>
      <c r="AI369" s="132"/>
    </row>
    <row r="370">
      <c r="A370" s="314"/>
      <c r="B370" s="695"/>
      <c r="C370" s="696"/>
      <c r="D370" s="312"/>
      <c r="E370" s="314"/>
      <c r="F370" s="314"/>
      <c r="G370" s="314"/>
      <c r="H370" s="314"/>
      <c r="I370" s="318"/>
      <c r="J370" s="314"/>
      <c r="K370" s="314"/>
      <c r="L370" s="314"/>
      <c r="M370" s="314"/>
      <c r="N370" s="314"/>
      <c r="O370" s="314"/>
      <c r="P370" s="318"/>
      <c r="Q370" s="314"/>
      <c r="R370" s="316"/>
      <c r="S370" s="314"/>
      <c r="T370" s="314"/>
      <c r="U370" s="314"/>
      <c r="V370" s="314"/>
      <c r="W370" s="318"/>
      <c r="X370" s="314"/>
      <c r="Y370" s="314"/>
      <c r="Z370" s="697"/>
      <c r="AA370" s="315"/>
      <c r="AB370" s="314"/>
      <c r="AC370" s="314"/>
      <c r="AD370" s="324"/>
      <c r="AE370" s="155"/>
      <c r="AF370" s="155"/>
      <c r="AG370" s="322"/>
      <c r="AH370" s="155"/>
      <c r="AI370" s="132"/>
    </row>
    <row r="371">
      <c r="A371" s="314"/>
      <c r="B371" s="695"/>
      <c r="C371" s="696"/>
      <c r="D371" s="312"/>
      <c r="E371" s="314"/>
      <c r="F371" s="314"/>
      <c r="G371" s="314"/>
      <c r="H371" s="314"/>
      <c r="I371" s="318"/>
      <c r="J371" s="314"/>
      <c r="K371" s="314"/>
      <c r="L371" s="314"/>
      <c r="M371" s="314"/>
      <c r="N371" s="314"/>
      <c r="O371" s="314"/>
      <c r="P371" s="318"/>
      <c r="Q371" s="314"/>
      <c r="R371" s="316"/>
      <c r="S371" s="314"/>
      <c r="T371" s="314"/>
      <c r="U371" s="314"/>
      <c r="V371" s="314"/>
      <c r="W371" s="318"/>
      <c r="X371" s="314"/>
      <c r="Y371" s="314"/>
      <c r="Z371" s="697"/>
      <c r="AA371" s="315"/>
      <c r="AB371" s="314"/>
      <c r="AC371" s="314"/>
      <c r="AD371" s="324"/>
      <c r="AE371" s="155"/>
      <c r="AF371" s="155"/>
      <c r="AG371" s="322"/>
      <c r="AH371" s="155"/>
      <c r="AI371" s="132"/>
    </row>
    <row r="372">
      <c r="A372" s="435"/>
      <c r="B372" s="695"/>
      <c r="C372" s="739"/>
      <c r="D372" s="312"/>
      <c r="E372" s="435"/>
      <c r="F372" s="314"/>
      <c r="G372" s="314"/>
      <c r="H372" s="435"/>
      <c r="I372" s="740"/>
      <c r="J372" s="314"/>
      <c r="K372" s="435"/>
      <c r="L372" s="435"/>
      <c r="M372" s="314"/>
      <c r="N372" s="314"/>
      <c r="O372" s="314"/>
      <c r="P372" s="740"/>
      <c r="Q372" s="435"/>
      <c r="R372" s="742"/>
      <c r="S372" s="435"/>
      <c r="T372" s="435"/>
      <c r="U372" s="435"/>
      <c r="V372" s="435"/>
      <c r="W372" s="740"/>
      <c r="X372" s="435"/>
      <c r="Y372" s="435"/>
      <c r="Z372" s="743"/>
      <c r="AA372" s="744"/>
      <c r="AB372" s="435"/>
      <c r="AC372" s="435"/>
      <c r="AD372" s="324"/>
      <c r="AE372" s="180"/>
      <c r="AF372" s="155"/>
      <c r="AG372" s="322"/>
      <c r="AH372" s="155"/>
      <c r="AI372" s="132"/>
    </row>
    <row r="373">
      <c r="A373" s="435"/>
      <c r="B373" s="695"/>
      <c r="C373" s="696"/>
      <c r="D373" s="745"/>
      <c r="E373" s="314"/>
      <c r="F373" s="314"/>
      <c r="G373" s="314"/>
      <c r="H373" s="314"/>
      <c r="I373" s="318"/>
      <c r="J373" s="314"/>
      <c r="K373" s="314"/>
      <c r="L373" s="314"/>
      <c r="M373" s="435"/>
      <c r="N373" s="435"/>
      <c r="O373" s="314"/>
      <c r="P373" s="318"/>
      <c r="Q373" s="314"/>
      <c r="R373" s="316"/>
      <c r="S373" s="314"/>
      <c r="T373" s="314"/>
      <c r="U373" s="314"/>
      <c r="V373" s="314"/>
      <c r="W373" s="318"/>
      <c r="X373" s="314"/>
      <c r="Y373" s="314"/>
      <c r="Z373" s="697"/>
      <c r="AA373" s="315"/>
      <c r="AB373" s="314"/>
      <c r="AC373" s="314"/>
      <c r="AD373" s="324"/>
      <c r="AE373" s="180"/>
      <c r="AF373" s="155"/>
      <c r="AG373" s="322"/>
      <c r="AH373" s="155"/>
      <c r="AI373" s="132"/>
    </row>
    <row r="374">
      <c r="A374" s="435"/>
      <c r="B374" s="746"/>
      <c r="C374" s="739"/>
      <c r="D374" s="745"/>
      <c r="E374" s="435"/>
      <c r="F374" s="314"/>
      <c r="G374" s="314"/>
      <c r="H374" s="314"/>
      <c r="I374" s="740"/>
      <c r="J374" s="435"/>
      <c r="K374" s="435"/>
      <c r="L374" s="435"/>
      <c r="M374" s="435"/>
      <c r="N374" s="435"/>
      <c r="O374" s="314"/>
      <c r="P374" s="740"/>
      <c r="Q374" s="314"/>
      <c r="R374" s="742"/>
      <c r="S374" s="435"/>
      <c r="T374" s="435"/>
      <c r="U374" s="435"/>
      <c r="V374" s="435"/>
      <c r="W374" s="740"/>
      <c r="X374" s="435"/>
      <c r="Y374" s="435"/>
      <c r="Z374" s="743"/>
      <c r="AA374" s="744"/>
      <c r="AB374" s="435"/>
      <c r="AC374" s="435"/>
      <c r="AD374" s="324"/>
      <c r="AE374" s="180"/>
      <c r="AF374" s="155"/>
      <c r="AG374" s="322"/>
      <c r="AH374" s="155"/>
      <c r="AI374" s="132"/>
    </row>
    <row r="375">
      <c r="A375" s="435"/>
      <c r="B375" s="695"/>
      <c r="C375" s="696"/>
      <c r="D375" s="745"/>
      <c r="E375" s="314"/>
      <c r="F375" s="314"/>
      <c r="G375" s="314"/>
      <c r="H375" s="314"/>
      <c r="I375" s="740"/>
      <c r="J375" s="314"/>
      <c r="K375" s="435"/>
      <c r="L375" s="314"/>
      <c r="M375" s="314"/>
      <c r="N375" s="314"/>
      <c r="O375" s="314"/>
      <c r="P375" s="318"/>
      <c r="Q375" s="435"/>
      <c r="R375" s="742"/>
      <c r="S375" s="314"/>
      <c r="T375" s="314"/>
      <c r="U375" s="314"/>
      <c r="V375" s="314"/>
      <c r="W375" s="318"/>
      <c r="X375" s="314"/>
      <c r="Y375" s="314"/>
      <c r="Z375" s="697"/>
      <c r="AA375" s="315"/>
      <c r="AB375" s="314"/>
      <c r="AC375" s="314"/>
      <c r="AD375" s="324"/>
      <c r="AE375" s="180"/>
      <c r="AF375" s="155"/>
      <c r="AG375" s="322"/>
      <c r="AH375" s="155"/>
      <c r="AI375" s="132"/>
    </row>
    <row r="376">
      <c r="A376" s="435"/>
      <c r="B376" s="746"/>
      <c r="C376" s="739"/>
      <c r="D376" s="745"/>
      <c r="E376" s="435"/>
      <c r="F376" s="314"/>
      <c r="G376" s="314"/>
      <c r="H376" s="435"/>
      <c r="I376" s="740"/>
      <c r="J376" s="435"/>
      <c r="K376" s="435"/>
      <c r="L376" s="435"/>
      <c r="M376" s="435"/>
      <c r="N376" s="435"/>
      <c r="O376" s="314"/>
      <c r="P376" s="740"/>
      <c r="Q376" s="435"/>
      <c r="R376" s="742"/>
      <c r="S376" s="435"/>
      <c r="T376" s="435"/>
      <c r="U376" s="435"/>
      <c r="V376" s="435"/>
      <c r="W376" s="740"/>
      <c r="X376" s="435"/>
      <c r="Y376" s="435"/>
      <c r="Z376" s="743"/>
      <c r="AA376" s="744"/>
      <c r="AB376" s="435"/>
      <c r="AC376" s="435"/>
      <c r="AD376" s="324"/>
      <c r="AE376" s="180"/>
      <c r="AF376" s="155"/>
      <c r="AG376" s="322"/>
      <c r="AH376" s="155"/>
      <c r="AI376" s="132"/>
    </row>
    <row r="377">
      <c r="A377" s="435"/>
      <c r="B377" s="746"/>
      <c r="C377" s="696"/>
      <c r="D377" s="745"/>
      <c r="E377" s="314"/>
      <c r="F377" s="314"/>
      <c r="G377" s="314"/>
      <c r="H377" s="314"/>
      <c r="I377" s="318"/>
      <c r="J377" s="314"/>
      <c r="K377" s="435"/>
      <c r="L377" s="314"/>
      <c r="M377" s="314"/>
      <c r="N377" s="314"/>
      <c r="O377" s="314"/>
      <c r="P377" s="318"/>
      <c r="Q377" s="314"/>
      <c r="R377" s="316"/>
      <c r="S377" s="435"/>
      <c r="T377" s="435"/>
      <c r="U377" s="435"/>
      <c r="V377" s="435"/>
      <c r="W377" s="740"/>
      <c r="X377" s="435"/>
      <c r="Y377" s="435"/>
      <c r="Z377" s="743"/>
      <c r="AA377" s="744"/>
      <c r="AB377" s="435"/>
      <c r="AC377" s="435"/>
      <c r="AD377" s="324"/>
      <c r="AE377" s="180"/>
      <c r="AF377" s="155"/>
      <c r="AG377" s="322"/>
      <c r="AH377" s="155"/>
      <c r="AI377" s="132"/>
    </row>
    <row r="378">
      <c r="A378" s="435"/>
      <c r="B378" s="746"/>
      <c r="C378" s="739"/>
      <c r="D378" s="745"/>
      <c r="E378" s="435"/>
      <c r="F378" s="314"/>
      <c r="G378" s="314"/>
      <c r="H378" s="435"/>
      <c r="I378" s="318"/>
      <c r="J378" s="314"/>
      <c r="K378" s="435"/>
      <c r="L378" s="314"/>
      <c r="M378" s="314"/>
      <c r="N378" s="314"/>
      <c r="O378" s="314"/>
      <c r="P378" s="740"/>
      <c r="Q378" s="435"/>
      <c r="R378" s="742"/>
      <c r="S378" s="435"/>
      <c r="T378" s="435"/>
      <c r="U378" s="435"/>
      <c r="V378" s="435"/>
      <c r="W378" s="740"/>
      <c r="X378" s="435"/>
      <c r="Y378" s="435"/>
      <c r="Z378" s="743"/>
      <c r="AA378" s="744"/>
      <c r="AB378" s="435"/>
      <c r="AC378" s="435"/>
      <c r="AD378" s="324"/>
      <c r="AE378" s="180"/>
      <c r="AF378" s="155"/>
      <c r="AG378" s="322"/>
      <c r="AH378" s="155"/>
      <c r="AI378" s="132"/>
    </row>
    <row r="379">
      <c r="A379" s="435"/>
      <c r="B379" s="746"/>
      <c r="C379" s="739"/>
      <c r="D379" s="745"/>
      <c r="E379" s="435"/>
      <c r="F379" s="314"/>
      <c r="G379" s="314"/>
      <c r="H379" s="435"/>
      <c r="I379" s="740"/>
      <c r="J379" s="435"/>
      <c r="K379" s="435"/>
      <c r="L379" s="435"/>
      <c r="M379" s="435"/>
      <c r="N379" s="435"/>
      <c r="O379" s="314"/>
      <c r="P379" s="740"/>
      <c r="Q379" s="435"/>
      <c r="R379" s="742"/>
      <c r="S379" s="435"/>
      <c r="T379" s="435"/>
      <c r="U379" s="435"/>
      <c r="V379" s="435"/>
      <c r="W379" s="740"/>
      <c r="X379" s="435"/>
      <c r="Y379" s="435"/>
      <c r="Z379" s="743"/>
      <c r="AA379" s="744"/>
      <c r="AB379" s="435"/>
      <c r="AC379" s="435"/>
      <c r="AD379" s="324"/>
      <c r="AE379" s="180"/>
      <c r="AF379" s="155"/>
      <c r="AG379" s="322"/>
      <c r="AH379" s="155"/>
      <c r="AI379" s="132"/>
    </row>
    <row r="380">
      <c r="A380" s="435"/>
      <c r="B380" s="695"/>
      <c r="C380" s="696"/>
      <c r="D380" s="312"/>
      <c r="E380" s="435"/>
      <c r="F380" s="314"/>
      <c r="G380" s="314"/>
      <c r="H380" s="435"/>
      <c r="I380" s="318"/>
      <c r="J380" s="314"/>
      <c r="K380" s="314"/>
      <c r="L380" s="314"/>
      <c r="M380" s="314"/>
      <c r="N380" s="314"/>
      <c r="O380" s="314"/>
      <c r="P380" s="318"/>
      <c r="Q380" s="314"/>
      <c r="R380" s="316"/>
      <c r="S380" s="314"/>
      <c r="T380" s="314"/>
      <c r="U380" s="314"/>
      <c r="V380" s="314"/>
      <c r="W380" s="318"/>
      <c r="X380" s="314"/>
      <c r="Y380" s="314"/>
      <c r="Z380" s="697"/>
      <c r="AA380" s="315"/>
      <c r="AB380" s="314"/>
      <c r="AC380" s="314"/>
      <c r="AD380" s="324"/>
      <c r="AE380" s="180"/>
      <c r="AF380" s="155"/>
      <c r="AG380" s="322"/>
      <c r="AH380" s="155"/>
      <c r="AI380" s="132"/>
    </row>
    <row r="381">
      <c r="A381" s="435"/>
      <c r="B381" s="695"/>
      <c r="C381" s="696"/>
      <c r="D381" s="745"/>
      <c r="E381" s="314"/>
      <c r="F381" s="314"/>
      <c r="G381" s="314"/>
      <c r="H381" s="435"/>
      <c r="I381" s="318"/>
      <c r="J381" s="435"/>
      <c r="K381" s="435"/>
      <c r="L381" s="314"/>
      <c r="M381" s="435"/>
      <c r="N381" s="314"/>
      <c r="O381" s="314"/>
      <c r="P381" s="318"/>
      <c r="Q381" s="314"/>
      <c r="R381" s="742"/>
      <c r="S381" s="435"/>
      <c r="T381" s="435"/>
      <c r="U381" s="435"/>
      <c r="V381" s="435"/>
      <c r="W381" s="740"/>
      <c r="X381" s="435"/>
      <c r="Y381" s="435"/>
      <c r="Z381" s="743"/>
      <c r="AA381" s="744"/>
      <c r="AB381" s="435"/>
      <c r="AC381" s="435"/>
      <c r="AD381" s="324"/>
      <c r="AE381" s="180"/>
      <c r="AF381" s="155"/>
      <c r="AG381" s="322"/>
      <c r="AH381" s="155"/>
      <c r="AI381" s="132"/>
    </row>
    <row r="382">
      <c r="A382" s="435"/>
      <c r="B382" s="695"/>
      <c r="C382" s="696"/>
      <c r="D382" s="312"/>
      <c r="E382" s="314"/>
      <c r="F382" s="314"/>
      <c r="G382" s="314"/>
      <c r="H382" s="314"/>
      <c r="I382" s="318"/>
      <c r="J382" s="314"/>
      <c r="K382" s="314"/>
      <c r="L382" s="314"/>
      <c r="M382" s="314"/>
      <c r="N382" s="314"/>
      <c r="O382" s="314"/>
      <c r="P382" s="318"/>
      <c r="Q382" s="435"/>
      <c r="R382" s="316"/>
      <c r="S382" s="435"/>
      <c r="T382" s="435"/>
      <c r="U382" s="435"/>
      <c r="V382" s="435"/>
      <c r="W382" s="740"/>
      <c r="X382" s="435"/>
      <c r="Y382" s="435"/>
      <c r="Z382" s="743"/>
      <c r="AA382" s="744"/>
      <c r="AB382" s="435"/>
      <c r="AC382" s="435"/>
      <c r="AD382" s="324"/>
      <c r="AE382" s="180"/>
      <c r="AF382" s="155"/>
      <c r="AG382" s="322"/>
      <c r="AH382" s="155"/>
      <c r="AI382" s="132"/>
    </row>
    <row r="383">
      <c r="A383" s="435"/>
      <c r="B383" s="746"/>
      <c r="C383" s="696"/>
      <c r="D383" s="312"/>
      <c r="E383" s="314"/>
      <c r="F383" s="314"/>
      <c r="G383" s="314"/>
      <c r="H383" s="435"/>
      <c r="I383" s="318"/>
      <c r="J383" s="435"/>
      <c r="K383" s="435"/>
      <c r="L383" s="314"/>
      <c r="M383" s="314"/>
      <c r="N383" s="435"/>
      <c r="O383" s="314"/>
      <c r="P383" s="318"/>
      <c r="Q383" s="314"/>
      <c r="R383" s="742"/>
      <c r="S383" s="435"/>
      <c r="T383" s="435"/>
      <c r="U383" s="435"/>
      <c r="V383" s="435"/>
      <c r="W383" s="740"/>
      <c r="X383" s="435"/>
      <c r="Y383" s="435"/>
      <c r="Z383" s="743"/>
      <c r="AA383" s="744"/>
      <c r="AB383" s="435"/>
      <c r="AC383" s="435"/>
      <c r="AD383" s="324"/>
      <c r="AE383" s="180"/>
      <c r="AF383" s="155"/>
      <c r="AG383" s="322"/>
      <c r="AH383" s="155"/>
      <c r="AI383" s="132"/>
    </row>
    <row r="384">
      <c r="A384" s="435"/>
      <c r="B384" s="695"/>
      <c r="C384" s="739"/>
      <c r="D384" s="745"/>
      <c r="E384" s="435"/>
      <c r="F384" s="314"/>
      <c r="G384" s="314"/>
      <c r="H384" s="435"/>
      <c r="I384" s="318"/>
      <c r="J384" s="314"/>
      <c r="K384" s="435"/>
      <c r="L384" s="314"/>
      <c r="M384" s="314"/>
      <c r="N384" s="314"/>
      <c r="O384" s="314"/>
      <c r="P384" s="318"/>
      <c r="Q384" s="314"/>
      <c r="R384" s="316"/>
      <c r="S384" s="435"/>
      <c r="T384" s="435"/>
      <c r="U384" s="435"/>
      <c r="V384" s="435"/>
      <c r="W384" s="740"/>
      <c r="X384" s="435"/>
      <c r="Y384" s="435"/>
      <c r="Z384" s="743"/>
      <c r="AA384" s="744"/>
      <c r="AB384" s="435"/>
      <c r="AC384" s="435"/>
      <c r="AD384" s="324"/>
      <c r="AE384" s="180"/>
      <c r="AF384" s="155"/>
      <c r="AG384" s="322"/>
      <c r="AH384" s="155"/>
      <c r="AI384" s="132"/>
    </row>
    <row r="385">
      <c r="A385" s="435"/>
      <c r="B385" s="695"/>
      <c r="C385" s="696"/>
      <c r="D385" s="312"/>
      <c r="E385" s="314"/>
      <c r="F385" s="314"/>
      <c r="G385" s="314"/>
      <c r="H385" s="435"/>
      <c r="I385" s="318"/>
      <c r="J385" s="314"/>
      <c r="K385" s="314"/>
      <c r="L385" s="314"/>
      <c r="M385" s="314"/>
      <c r="N385" s="314"/>
      <c r="O385" s="314"/>
      <c r="P385" s="318"/>
      <c r="Q385" s="314"/>
      <c r="R385" s="742"/>
      <c r="S385" s="314"/>
      <c r="T385" s="314"/>
      <c r="U385" s="314"/>
      <c r="V385" s="314"/>
      <c r="W385" s="318"/>
      <c r="X385" s="314"/>
      <c r="Y385" s="314"/>
      <c r="Z385" s="697"/>
      <c r="AA385" s="315"/>
      <c r="AB385" s="314"/>
      <c r="AC385" s="314"/>
      <c r="AD385" s="324"/>
      <c r="AE385" s="180"/>
      <c r="AF385" s="155"/>
      <c r="AG385" s="322"/>
      <c r="AH385" s="155"/>
      <c r="AI385" s="132"/>
    </row>
    <row r="386">
      <c r="A386" s="435"/>
      <c r="B386" s="746"/>
      <c r="C386" s="739"/>
      <c r="D386" s="745"/>
      <c r="E386" s="435"/>
      <c r="F386" s="314"/>
      <c r="G386" s="314"/>
      <c r="H386" s="435"/>
      <c r="I386" s="740"/>
      <c r="J386" s="435"/>
      <c r="K386" s="435"/>
      <c r="L386" s="435"/>
      <c r="M386" s="435"/>
      <c r="N386" s="435"/>
      <c r="O386" s="314"/>
      <c r="P386" s="740"/>
      <c r="Q386" s="435"/>
      <c r="R386" s="742"/>
      <c r="S386" s="435"/>
      <c r="T386" s="435"/>
      <c r="U386" s="435"/>
      <c r="V386" s="435"/>
      <c r="W386" s="740"/>
      <c r="X386" s="435"/>
      <c r="Y386" s="435"/>
      <c r="Z386" s="743"/>
      <c r="AA386" s="744"/>
      <c r="AB386" s="435"/>
      <c r="AC386" s="435"/>
      <c r="AD386" s="324"/>
      <c r="AE386" s="180"/>
      <c r="AF386" s="155"/>
      <c r="AG386" s="322"/>
      <c r="AH386" s="155"/>
      <c r="AI386" s="132"/>
    </row>
    <row r="387">
      <c r="A387" s="435"/>
      <c r="B387" s="695"/>
      <c r="C387" s="696"/>
      <c r="D387" s="312"/>
      <c r="E387" s="314"/>
      <c r="F387" s="314"/>
      <c r="G387" s="314"/>
      <c r="H387" s="314"/>
      <c r="I387" s="318"/>
      <c r="J387" s="314"/>
      <c r="K387" s="314"/>
      <c r="L387" s="314"/>
      <c r="M387" s="435"/>
      <c r="N387" s="314"/>
      <c r="O387" s="314"/>
      <c r="P387" s="318"/>
      <c r="Q387" s="314"/>
      <c r="R387" s="316"/>
      <c r="S387" s="314"/>
      <c r="T387" s="314"/>
      <c r="U387" s="314"/>
      <c r="V387" s="314"/>
      <c r="W387" s="318"/>
      <c r="X387" s="314"/>
      <c r="Y387" s="314"/>
      <c r="Z387" s="697"/>
      <c r="AA387" s="315"/>
      <c r="AB387" s="314"/>
      <c r="AC387" s="314"/>
      <c r="AD387" s="324"/>
      <c r="AE387" s="180"/>
      <c r="AF387" s="155"/>
      <c r="AG387" s="322"/>
      <c r="AH387" s="155"/>
      <c r="AI387" s="132"/>
    </row>
    <row r="388">
      <c r="A388" s="435"/>
      <c r="B388" s="695"/>
      <c r="C388" s="739"/>
      <c r="D388" s="745"/>
      <c r="E388" s="435"/>
      <c r="F388" s="314"/>
      <c r="G388" s="314"/>
      <c r="H388" s="435"/>
      <c r="I388" s="740"/>
      <c r="J388" s="435"/>
      <c r="K388" s="435"/>
      <c r="L388" s="314"/>
      <c r="M388" s="435"/>
      <c r="N388" s="435"/>
      <c r="O388" s="314"/>
      <c r="P388" s="740"/>
      <c r="Q388" s="435"/>
      <c r="R388" s="742"/>
      <c r="S388" s="435"/>
      <c r="T388" s="435"/>
      <c r="U388" s="435"/>
      <c r="V388" s="435"/>
      <c r="W388" s="740"/>
      <c r="X388" s="435"/>
      <c r="Y388" s="435"/>
      <c r="Z388" s="743"/>
      <c r="AA388" s="744"/>
      <c r="AB388" s="435"/>
      <c r="AC388" s="435"/>
      <c r="AD388" s="324"/>
      <c r="AE388" s="180"/>
      <c r="AF388" s="155"/>
      <c r="AG388" s="322"/>
      <c r="AH388" s="155"/>
      <c r="AI388" s="132"/>
    </row>
    <row r="389">
      <c r="A389" s="435"/>
      <c r="B389" s="746"/>
      <c r="C389" s="739"/>
      <c r="D389" s="312"/>
      <c r="E389" s="435"/>
      <c r="F389" s="314"/>
      <c r="G389" s="314"/>
      <c r="H389" s="435"/>
      <c r="I389" s="740"/>
      <c r="J389" s="314"/>
      <c r="K389" s="435"/>
      <c r="L389" s="435"/>
      <c r="M389" s="314"/>
      <c r="N389" s="435"/>
      <c r="O389" s="314"/>
      <c r="P389" s="740"/>
      <c r="Q389" s="314"/>
      <c r="R389" s="742"/>
      <c r="S389" s="435"/>
      <c r="T389" s="435"/>
      <c r="U389" s="435"/>
      <c r="V389" s="435"/>
      <c r="W389" s="740"/>
      <c r="X389" s="435"/>
      <c r="Y389" s="435"/>
      <c r="Z389" s="743"/>
      <c r="AA389" s="744"/>
      <c r="AB389" s="435"/>
      <c r="AC389" s="435"/>
      <c r="AD389" s="324"/>
      <c r="AE389" s="180"/>
      <c r="AF389" s="155"/>
      <c r="AG389" s="322"/>
      <c r="AH389" s="155"/>
      <c r="AI389" s="132"/>
    </row>
    <row r="390">
      <c r="A390" s="458"/>
      <c r="B390" s="746"/>
      <c r="C390" s="739"/>
      <c r="D390" s="745"/>
      <c r="E390" s="435"/>
      <c r="F390" s="314"/>
      <c r="G390" s="314"/>
      <c r="H390" s="314"/>
      <c r="I390" s="740"/>
      <c r="J390" s="435"/>
      <c r="K390" s="435"/>
      <c r="L390" s="435"/>
      <c r="M390" s="435"/>
      <c r="N390" s="435"/>
      <c r="O390" s="314"/>
      <c r="P390" s="740"/>
      <c r="Q390" s="435"/>
      <c r="R390" s="742"/>
      <c r="S390" s="435"/>
      <c r="T390" s="435"/>
      <c r="U390" s="435"/>
      <c r="V390" s="435"/>
      <c r="W390" s="740"/>
      <c r="X390" s="435"/>
      <c r="Y390" s="435"/>
      <c r="Z390" s="743"/>
      <c r="AA390" s="744"/>
      <c r="AB390" s="435"/>
      <c r="AC390" s="435"/>
      <c r="AD390" s="324"/>
      <c r="AE390" s="180"/>
      <c r="AF390" s="155"/>
      <c r="AG390" s="322"/>
      <c r="AH390" s="155"/>
      <c r="AI390" s="132"/>
    </row>
    <row r="391">
      <c r="A391" s="458"/>
      <c r="B391" s="746"/>
      <c r="C391" s="739"/>
      <c r="D391" s="745"/>
      <c r="E391" s="435"/>
      <c r="F391" s="314"/>
      <c r="G391" s="314"/>
      <c r="H391" s="314"/>
      <c r="I391" s="318"/>
      <c r="J391" s="435"/>
      <c r="K391" s="435"/>
      <c r="L391" s="435"/>
      <c r="M391" s="435"/>
      <c r="N391" s="435"/>
      <c r="O391" s="314"/>
      <c r="P391" s="740"/>
      <c r="Q391" s="435"/>
      <c r="R391" s="742"/>
      <c r="S391" s="435"/>
      <c r="T391" s="435"/>
      <c r="U391" s="435"/>
      <c r="V391" s="435"/>
      <c r="W391" s="740"/>
      <c r="X391" s="435"/>
      <c r="Y391" s="435"/>
      <c r="Z391" s="743"/>
      <c r="AA391" s="744"/>
      <c r="AB391" s="435"/>
      <c r="AC391" s="435"/>
      <c r="AD391" s="324"/>
      <c r="AE391" s="180"/>
      <c r="AF391" s="155"/>
      <c r="AG391" s="322"/>
      <c r="AH391" s="155"/>
      <c r="AI391" s="132"/>
    </row>
    <row r="392">
      <c r="A392" s="458"/>
      <c r="B392" s="746"/>
      <c r="C392" s="739"/>
      <c r="D392" s="745"/>
      <c r="E392" s="314"/>
      <c r="F392" s="314"/>
      <c r="G392" s="314"/>
      <c r="H392" s="314"/>
      <c r="I392" s="740"/>
      <c r="J392" s="435"/>
      <c r="K392" s="435"/>
      <c r="L392" s="435"/>
      <c r="M392" s="435"/>
      <c r="N392" s="435"/>
      <c r="O392" s="314"/>
      <c r="P392" s="740"/>
      <c r="Q392" s="314"/>
      <c r="R392" s="742"/>
      <c r="S392" s="435"/>
      <c r="T392" s="435"/>
      <c r="U392" s="435"/>
      <c r="V392" s="435"/>
      <c r="W392" s="740"/>
      <c r="X392" s="435"/>
      <c r="Y392" s="435"/>
      <c r="Z392" s="743"/>
      <c r="AA392" s="744"/>
      <c r="AB392" s="435"/>
      <c r="AC392" s="435"/>
      <c r="AD392" s="324"/>
      <c r="AE392" s="180"/>
      <c r="AF392" s="155"/>
      <c r="AG392" s="322"/>
      <c r="AH392" s="155"/>
      <c r="AI392" s="132"/>
    </row>
    <row r="393">
      <c r="A393" s="458"/>
      <c r="B393" s="695"/>
      <c r="C393" s="696"/>
      <c r="D393" s="312"/>
      <c r="E393" s="314"/>
      <c r="F393" s="314"/>
      <c r="G393" s="314"/>
      <c r="H393" s="314"/>
      <c r="I393" s="318"/>
      <c r="J393" s="314"/>
      <c r="K393" s="314"/>
      <c r="L393" s="314"/>
      <c r="M393" s="314"/>
      <c r="N393" s="314"/>
      <c r="O393" s="314"/>
      <c r="P393" s="318"/>
      <c r="Q393" s="314"/>
      <c r="R393" s="316"/>
      <c r="S393" s="314"/>
      <c r="T393" s="314"/>
      <c r="U393" s="314"/>
      <c r="V393" s="314"/>
      <c r="W393" s="318"/>
      <c r="X393" s="314"/>
      <c r="Y393" s="314"/>
      <c r="Z393" s="697"/>
      <c r="AA393" s="315"/>
      <c r="AB393" s="314"/>
      <c r="AC393" s="314"/>
      <c r="AD393" s="324"/>
      <c r="AE393" s="180"/>
      <c r="AF393" s="155"/>
      <c r="AG393" s="322"/>
      <c r="AH393" s="155"/>
      <c r="AI393" s="132"/>
    </row>
    <row r="394">
      <c r="A394" s="458"/>
      <c r="B394" s="746"/>
      <c r="C394" s="739"/>
      <c r="D394" s="745"/>
      <c r="E394" s="314"/>
      <c r="F394" s="314"/>
      <c r="G394" s="314"/>
      <c r="H394" s="314"/>
      <c r="I394" s="318"/>
      <c r="J394" s="314"/>
      <c r="K394" s="435"/>
      <c r="L394" s="435"/>
      <c r="M394" s="435"/>
      <c r="N394" s="314"/>
      <c r="O394" s="314"/>
      <c r="P394" s="740"/>
      <c r="Q394" s="435"/>
      <c r="R394" s="742"/>
      <c r="S394" s="435"/>
      <c r="T394" s="435"/>
      <c r="U394" s="435"/>
      <c r="V394" s="435"/>
      <c r="W394" s="740"/>
      <c r="X394" s="435"/>
      <c r="Y394" s="435"/>
      <c r="Z394" s="743"/>
      <c r="AA394" s="744"/>
      <c r="AB394" s="435"/>
      <c r="AC394" s="435"/>
      <c r="AD394" s="324"/>
      <c r="AE394" s="180"/>
      <c r="AF394" s="155"/>
      <c r="AG394" s="322"/>
      <c r="AH394" s="155"/>
      <c r="AI394" s="132"/>
    </row>
    <row r="395">
      <c r="A395" s="458"/>
      <c r="B395" s="695"/>
      <c r="C395" s="696"/>
      <c r="D395" s="745"/>
      <c r="E395" s="314"/>
      <c r="F395" s="314"/>
      <c r="G395" s="314"/>
      <c r="H395" s="314"/>
      <c r="I395" s="318"/>
      <c r="J395" s="314"/>
      <c r="K395" s="314"/>
      <c r="L395" s="314"/>
      <c r="M395" s="314"/>
      <c r="N395" s="314"/>
      <c r="O395" s="314"/>
      <c r="P395" s="318"/>
      <c r="Q395" s="314"/>
      <c r="R395" s="316"/>
      <c r="S395" s="314"/>
      <c r="T395" s="314"/>
      <c r="U395" s="314"/>
      <c r="V395" s="314"/>
      <c r="W395" s="318"/>
      <c r="X395" s="314"/>
      <c r="Y395" s="314"/>
      <c r="Z395" s="697"/>
      <c r="AA395" s="315"/>
      <c r="AB395" s="314"/>
      <c r="AC395" s="314"/>
      <c r="AD395" s="324"/>
      <c r="AE395" s="180"/>
      <c r="AF395" s="155"/>
      <c r="AG395" s="322"/>
      <c r="AH395" s="155"/>
      <c r="AI395" s="132"/>
    </row>
    <row r="396">
      <c r="A396" s="458"/>
      <c r="B396" s="695"/>
      <c r="C396" s="739"/>
      <c r="D396" s="312"/>
      <c r="E396" s="314"/>
      <c r="F396" s="314"/>
      <c r="G396" s="314"/>
      <c r="H396" s="314"/>
      <c r="I396" s="740"/>
      <c r="J396" s="314"/>
      <c r="K396" s="314"/>
      <c r="L396" s="435"/>
      <c r="M396" s="314"/>
      <c r="N396" s="314"/>
      <c r="O396" s="314"/>
      <c r="P396" s="318"/>
      <c r="Q396" s="435"/>
      <c r="R396" s="742"/>
      <c r="S396" s="435"/>
      <c r="T396" s="435"/>
      <c r="U396" s="435"/>
      <c r="V396" s="435"/>
      <c r="W396" s="740"/>
      <c r="X396" s="435"/>
      <c r="Y396" s="435"/>
      <c r="Z396" s="743"/>
      <c r="AA396" s="744"/>
      <c r="AB396" s="435"/>
      <c r="AC396" s="435"/>
      <c r="AD396" s="324"/>
      <c r="AE396" s="180"/>
      <c r="AF396" s="155"/>
      <c r="AG396" s="322"/>
      <c r="AH396" s="155"/>
      <c r="AI396" s="132"/>
    </row>
    <row r="397">
      <c r="A397" s="458"/>
      <c r="B397" s="695"/>
      <c r="C397" s="739"/>
      <c r="D397" s="745"/>
      <c r="E397" s="435"/>
      <c r="F397" s="314"/>
      <c r="G397" s="314"/>
      <c r="H397" s="435"/>
      <c r="I397" s="740"/>
      <c r="J397" s="314"/>
      <c r="K397" s="435"/>
      <c r="L397" s="435"/>
      <c r="M397" s="314"/>
      <c r="N397" s="314"/>
      <c r="O397" s="314"/>
      <c r="P397" s="740"/>
      <c r="Q397" s="435"/>
      <c r="R397" s="742"/>
      <c r="S397" s="435"/>
      <c r="T397" s="435"/>
      <c r="U397" s="435"/>
      <c r="V397" s="435"/>
      <c r="W397" s="740"/>
      <c r="X397" s="435"/>
      <c r="Y397" s="435"/>
      <c r="Z397" s="743"/>
      <c r="AA397" s="744"/>
      <c r="AB397" s="435"/>
      <c r="AC397" s="435"/>
      <c r="AD397" s="324"/>
      <c r="AE397" s="180"/>
      <c r="AF397" s="155"/>
      <c r="AG397" s="322"/>
      <c r="AH397" s="155"/>
      <c r="AI397" s="132"/>
    </row>
    <row r="398">
      <c r="A398" s="458"/>
      <c r="B398" s="695"/>
      <c r="C398" s="739"/>
      <c r="D398" s="745"/>
      <c r="E398" s="314"/>
      <c r="F398" s="314"/>
      <c r="G398" s="314"/>
      <c r="H398" s="314"/>
      <c r="I398" s="318"/>
      <c r="J398" s="314"/>
      <c r="K398" s="435"/>
      <c r="L398" s="314"/>
      <c r="M398" s="314"/>
      <c r="N398" s="314"/>
      <c r="O398" s="314"/>
      <c r="P398" s="318"/>
      <c r="Q398" s="314"/>
      <c r="R398" s="742"/>
      <c r="S398" s="435"/>
      <c r="T398" s="435"/>
      <c r="U398" s="435"/>
      <c r="V398" s="435"/>
      <c r="W398" s="740"/>
      <c r="X398" s="435"/>
      <c r="Y398" s="435"/>
      <c r="Z398" s="743"/>
      <c r="AA398" s="744"/>
      <c r="AB398" s="435"/>
      <c r="AC398" s="435"/>
      <c r="AD398" s="324"/>
      <c r="AE398" s="180"/>
      <c r="AF398" s="155"/>
      <c r="AG398" s="322"/>
      <c r="AH398" s="155"/>
      <c r="AI398" s="132"/>
    </row>
    <row r="399">
      <c r="A399" s="458"/>
      <c r="B399" s="746"/>
      <c r="C399" s="739"/>
      <c r="D399" s="745"/>
      <c r="E399" s="435"/>
      <c r="F399" s="314"/>
      <c r="G399" s="314"/>
      <c r="H399" s="435"/>
      <c r="I399" s="740"/>
      <c r="J399" s="435"/>
      <c r="K399" s="435"/>
      <c r="L399" s="435"/>
      <c r="M399" s="435"/>
      <c r="N399" s="435"/>
      <c r="O399" s="314"/>
      <c r="P399" s="740"/>
      <c r="Q399" s="435"/>
      <c r="R399" s="742"/>
      <c r="S399" s="435"/>
      <c r="T399" s="435"/>
      <c r="U399" s="435"/>
      <c r="V399" s="435"/>
      <c r="W399" s="740"/>
      <c r="X399" s="435"/>
      <c r="Y399" s="435"/>
      <c r="Z399" s="743"/>
      <c r="AA399" s="744"/>
      <c r="AB399" s="435"/>
      <c r="AC399" s="435"/>
      <c r="AD399" s="324"/>
      <c r="AE399" s="180"/>
      <c r="AF399" s="155"/>
      <c r="AG399" s="322"/>
      <c r="AH399" s="155"/>
      <c r="AI399" s="132"/>
    </row>
    <row r="400">
      <c r="A400" s="435"/>
      <c r="B400" s="746"/>
      <c r="C400" s="739"/>
      <c r="D400" s="745"/>
      <c r="E400" s="435"/>
      <c r="F400" s="314"/>
      <c r="G400" s="314"/>
      <c r="H400" s="435"/>
      <c r="I400" s="740"/>
      <c r="J400" s="435"/>
      <c r="K400" s="435"/>
      <c r="L400" s="435"/>
      <c r="M400" s="435"/>
      <c r="N400" s="435"/>
      <c r="O400" s="314"/>
      <c r="P400" s="740"/>
      <c r="Q400" s="435"/>
      <c r="R400" s="742"/>
      <c r="S400" s="435"/>
      <c r="T400" s="435"/>
      <c r="U400" s="435"/>
      <c r="V400" s="435"/>
      <c r="W400" s="740"/>
      <c r="X400" s="435"/>
      <c r="Y400" s="435"/>
      <c r="Z400" s="743"/>
      <c r="AA400" s="744"/>
      <c r="AB400" s="435"/>
      <c r="AC400" s="435"/>
      <c r="AD400" s="324"/>
      <c r="AE400" s="180"/>
      <c r="AF400" s="155"/>
      <c r="AG400" s="322"/>
      <c r="AH400" s="155"/>
      <c r="AI400" s="132"/>
    </row>
    <row r="401">
      <c r="A401" s="474"/>
      <c r="B401" s="746"/>
      <c r="C401" s="739"/>
      <c r="D401" s="745"/>
      <c r="E401" s="435"/>
      <c r="F401" s="314"/>
      <c r="G401" s="314"/>
      <c r="H401" s="435"/>
      <c r="I401" s="740"/>
      <c r="J401" s="435"/>
      <c r="K401" s="435"/>
      <c r="L401" s="435"/>
      <c r="M401" s="435"/>
      <c r="N401" s="435"/>
      <c r="O401" s="314"/>
      <c r="P401" s="740"/>
      <c r="Q401" s="435"/>
      <c r="R401" s="742"/>
      <c r="S401" s="435"/>
      <c r="T401" s="435"/>
      <c r="U401" s="435"/>
      <c r="V401" s="435"/>
      <c r="W401" s="740"/>
      <c r="X401" s="435"/>
      <c r="Y401" s="435"/>
      <c r="Z401" s="743"/>
      <c r="AA401" s="744"/>
      <c r="AB401" s="435"/>
      <c r="AC401" s="435"/>
      <c r="AD401" s="324"/>
      <c r="AE401" s="180"/>
      <c r="AF401" s="155"/>
      <c r="AG401" s="322"/>
      <c r="AH401" s="155"/>
      <c r="AI401" s="132"/>
    </row>
    <row r="402">
      <c r="A402" s="474"/>
      <c r="B402" s="746"/>
      <c r="C402" s="696"/>
      <c r="D402" s="745"/>
      <c r="E402" s="435"/>
      <c r="F402" s="314"/>
      <c r="G402" s="314"/>
      <c r="H402" s="435"/>
      <c r="I402" s="740"/>
      <c r="J402" s="435"/>
      <c r="K402" s="314"/>
      <c r="L402" s="314"/>
      <c r="M402" s="314"/>
      <c r="N402" s="435"/>
      <c r="O402" s="314"/>
      <c r="P402" s="318"/>
      <c r="Q402" s="435"/>
      <c r="R402" s="316"/>
      <c r="S402" s="435"/>
      <c r="T402" s="435"/>
      <c r="U402" s="435"/>
      <c r="V402" s="435"/>
      <c r="W402" s="740"/>
      <c r="X402" s="435"/>
      <c r="Y402" s="435"/>
      <c r="Z402" s="743"/>
      <c r="AA402" s="744"/>
      <c r="AB402" s="435"/>
      <c r="AC402" s="435"/>
      <c r="AD402" s="324"/>
      <c r="AE402" s="180"/>
      <c r="AF402" s="155"/>
      <c r="AG402" s="322"/>
      <c r="AH402" s="155"/>
      <c r="AI402" s="132"/>
    </row>
    <row r="403">
      <c r="A403" s="474"/>
      <c r="B403" s="695"/>
      <c r="C403" s="696"/>
      <c r="D403" s="312"/>
      <c r="E403" s="314"/>
      <c r="F403" s="314"/>
      <c r="G403" s="314"/>
      <c r="H403" s="314"/>
      <c r="I403" s="318"/>
      <c r="J403" s="314"/>
      <c r="K403" s="435"/>
      <c r="L403" s="314"/>
      <c r="M403" s="314"/>
      <c r="N403" s="314"/>
      <c r="O403" s="314"/>
      <c r="P403" s="740"/>
      <c r="Q403" s="314"/>
      <c r="R403" s="316"/>
      <c r="S403" s="314"/>
      <c r="T403" s="314"/>
      <c r="U403" s="314"/>
      <c r="V403" s="314"/>
      <c r="W403" s="318"/>
      <c r="X403" s="314"/>
      <c r="Y403" s="314"/>
      <c r="Z403" s="697"/>
      <c r="AA403" s="315"/>
      <c r="AB403" s="314"/>
      <c r="AC403" s="314"/>
      <c r="AD403" s="324"/>
      <c r="AE403" s="180"/>
      <c r="AF403" s="155"/>
      <c r="AG403" s="322"/>
      <c r="AH403" s="155"/>
      <c r="AI403" s="132"/>
    </row>
    <row r="404">
      <c r="A404" s="474"/>
      <c r="B404" s="695"/>
      <c r="C404" s="739"/>
      <c r="D404" s="745"/>
      <c r="E404" s="314"/>
      <c r="F404" s="314"/>
      <c r="G404" s="314"/>
      <c r="H404" s="314"/>
      <c r="I404" s="740"/>
      <c r="J404" s="314"/>
      <c r="K404" s="314"/>
      <c r="L404" s="314"/>
      <c r="M404" s="314"/>
      <c r="N404" s="314"/>
      <c r="O404" s="314"/>
      <c r="P404" s="318"/>
      <c r="Q404" s="314"/>
      <c r="R404" s="316"/>
      <c r="S404" s="314"/>
      <c r="T404" s="314"/>
      <c r="U404" s="314"/>
      <c r="V404" s="314"/>
      <c r="W404" s="318"/>
      <c r="X404" s="314"/>
      <c r="Y404" s="314"/>
      <c r="Z404" s="697"/>
      <c r="AA404" s="315"/>
      <c r="AB404" s="314"/>
      <c r="AC404" s="314"/>
      <c r="AD404" s="324"/>
      <c r="AE404" s="180"/>
      <c r="AF404" s="155"/>
      <c r="AG404" s="322"/>
      <c r="AH404" s="155"/>
      <c r="AI404" s="132"/>
    </row>
    <row r="405">
      <c r="A405" s="474"/>
      <c r="B405" s="695"/>
      <c r="C405" s="696"/>
      <c r="D405" s="312"/>
      <c r="E405" s="314"/>
      <c r="F405" s="314"/>
      <c r="G405" s="314"/>
      <c r="H405" s="314"/>
      <c r="I405" s="318"/>
      <c r="J405" s="314"/>
      <c r="K405" s="435"/>
      <c r="L405" s="314"/>
      <c r="M405" s="314"/>
      <c r="N405" s="314"/>
      <c r="O405" s="314"/>
      <c r="P405" s="318"/>
      <c r="Q405" s="314"/>
      <c r="R405" s="316"/>
      <c r="S405" s="314"/>
      <c r="T405" s="314"/>
      <c r="U405" s="314"/>
      <c r="V405" s="314"/>
      <c r="W405" s="318"/>
      <c r="X405" s="314"/>
      <c r="Y405" s="314"/>
      <c r="Z405" s="697"/>
      <c r="AA405" s="315"/>
      <c r="AB405" s="314"/>
      <c r="AC405" s="314"/>
      <c r="AD405" s="324"/>
      <c r="AE405" s="180"/>
      <c r="AF405" s="155"/>
      <c r="AG405" s="322"/>
      <c r="AH405" s="155"/>
      <c r="AI405" s="132"/>
    </row>
    <row r="406">
      <c r="A406" s="458"/>
      <c r="B406" s="695"/>
      <c r="C406" s="739"/>
      <c r="D406" s="312"/>
      <c r="E406" s="314"/>
      <c r="F406" s="314"/>
      <c r="G406" s="314"/>
      <c r="H406" s="314"/>
      <c r="I406" s="318"/>
      <c r="J406" s="435"/>
      <c r="K406" s="435"/>
      <c r="L406" s="314"/>
      <c r="M406" s="314"/>
      <c r="N406" s="314"/>
      <c r="O406" s="314"/>
      <c r="P406" s="318"/>
      <c r="Q406" s="314"/>
      <c r="R406" s="316"/>
      <c r="S406" s="314"/>
      <c r="T406" s="314"/>
      <c r="U406" s="314"/>
      <c r="V406" s="314"/>
      <c r="W406" s="318"/>
      <c r="X406" s="314"/>
      <c r="Y406" s="314"/>
      <c r="Z406" s="697"/>
      <c r="AA406" s="315"/>
      <c r="AB406" s="314"/>
      <c r="AC406" s="314"/>
      <c r="AD406" s="324"/>
      <c r="AE406" s="180"/>
      <c r="AF406" s="155"/>
      <c r="AG406" s="322"/>
      <c r="AH406" s="155"/>
      <c r="AI406" s="132"/>
    </row>
    <row r="407">
      <c r="A407" s="435"/>
      <c r="B407" s="695"/>
      <c r="C407" s="739"/>
      <c r="D407" s="745"/>
      <c r="E407" s="435"/>
      <c r="F407" s="314"/>
      <c r="G407" s="314"/>
      <c r="H407" s="435"/>
      <c r="I407" s="318"/>
      <c r="J407" s="314"/>
      <c r="K407" s="435"/>
      <c r="L407" s="314"/>
      <c r="M407" s="435"/>
      <c r="N407" s="435"/>
      <c r="O407" s="314"/>
      <c r="P407" s="318"/>
      <c r="Q407" s="314"/>
      <c r="R407" s="742"/>
      <c r="S407" s="314"/>
      <c r="T407" s="314"/>
      <c r="U407" s="314"/>
      <c r="V407" s="314"/>
      <c r="W407" s="318"/>
      <c r="X407" s="314"/>
      <c r="Y407" s="314"/>
      <c r="Z407" s="697"/>
      <c r="AA407" s="315"/>
      <c r="AB407" s="314"/>
      <c r="AC407" s="314"/>
      <c r="AD407" s="324"/>
      <c r="AE407" s="180"/>
      <c r="AF407" s="155"/>
      <c r="AG407" s="322"/>
      <c r="AH407" s="155"/>
      <c r="AI407" s="132"/>
    </row>
    <row r="408">
      <c r="A408" s="435"/>
      <c r="B408" s="746"/>
      <c r="C408" s="696"/>
      <c r="D408" s="312"/>
      <c r="E408" s="314"/>
      <c r="F408" s="314"/>
      <c r="G408" s="314"/>
      <c r="H408" s="314"/>
      <c r="I408" s="318"/>
      <c r="J408" s="314"/>
      <c r="K408" s="314"/>
      <c r="L408" s="314"/>
      <c r="M408" s="314"/>
      <c r="N408" s="314"/>
      <c r="O408" s="314"/>
      <c r="P408" s="740"/>
      <c r="Q408" s="314"/>
      <c r="R408" s="316"/>
      <c r="S408" s="314"/>
      <c r="T408" s="314"/>
      <c r="U408" s="314"/>
      <c r="V408" s="314"/>
      <c r="W408" s="318"/>
      <c r="X408" s="314"/>
      <c r="Y408" s="314"/>
      <c r="Z408" s="697"/>
      <c r="AA408" s="315"/>
      <c r="AB408" s="314"/>
      <c r="AC408" s="314"/>
      <c r="AD408" s="324"/>
      <c r="AE408" s="180"/>
      <c r="AF408" s="155"/>
      <c r="AG408" s="322"/>
      <c r="AH408" s="155"/>
      <c r="AI408" s="132"/>
    </row>
    <row r="409">
      <c r="A409" s="435"/>
      <c r="B409" s="746"/>
      <c r="C409" s="696"/>
      <c r="D409" s="312"/>
      <c r="E409" s="314"/>
      <c r="F409" s="314"/>
      <c r="G409" s="314"/>
      <c r="H409" s="314"/>
      <c r="I409" s="318"/>
      <c r="J409" s="314"/>
      <c r="K409" s="314"/>
      <c r="L409" s="314"/>
      <c r="M409" s="314"/>
      <c r="N409" s="314"/>
      <c r="O409" s="314"/>
      <c r="P409" s="318"/>
      <c r="Q409" s="435"/>
      <c r="R409" s="316"/>
      <c r="S409" s="435"/>
      <c r="T409" s="435"/>
      <c r="U409" s="435"/>
      <c r="V409" s="435"/>
      <c r="W409" s="740"/>
      <c r="X409" s="435"/>
      <c r="Y409" s="435"/>
      <c r="Z409" s="743"/>
      <c r="AA409" s="744"/>
      <c r="AB409" s="435"/>
      <c r="AC409" s="435"/>
      <c r="AD409" s="324"/>
      <c r="AE409" s="180"/>
      <c r="AF409" s="155"/>
      <c r="AG409" s="322"/>
      <c r="AH409" s="155"/>
      <c r="AI409" s="132"/>
    </row>
    <row r="410">
      <c r="A410" s="435"/>
      <c r="B410" s="695"/>
      <c r="C410" s="739"/>
      <c r="D410" s="312"/>
      <c r="E410" s="314"/>
      <c r="F410" s="314"/>
      <c r="G410" s="314"/>
      <c r="H410" s="314"/>
      <c r="I410" s="318"/>
      <c r="J410" s="314"/>
      <c r="K410" s="314"/>
      <c r="L410" s="314"/>
      <c r="M410" s="314"/>
      <c r="N410" s="314"/>
      <c r="O410" s="314"/>
      <c r="P410" s="318"/>
      <c r="Q410" s="314"/>
      <c r="R410" s="742"/>
      <c r="S410" s="314"/>
      <c r="T410" s="314"/>
      <c r="U410" s="314"/>
      <c r="V410" s="314"/>
      <c r="W410" s="318"/>
      <c r="X410" s="314"/>
      <c r="Y410" s="314"/>
      <c r="Z410" s="697"/>
      <c r="AA410" s="315"/>
      <c r="AB410" s="314"/>
      <c r="AC410" s="314"/>
      <c r="AD410" s="324"/>
      <c r="AE410" s="180"/>
      <c r="AF410" s="155"/>
      <c r="AG410" s="322"/>
      <c r="AH410" s="155"/>
      <c r="AI410" s="132"/>
    </row>
    <row r="411">
      <c r="A411" s="435"/>
      <c r="B411" s="695"/>
      <c r="C411" s="696"/>
      <c r="D411" s="312"/>
      <c r="E411" s="314"/>
      <c r="F411" s="314"/>
      <c r="G411" s="314"/>
      <c r="H411" s="314"/>
      <c r="I411" s="318"/>
      <c r="J411" s="314"/>
      <c r="K411" s="435"/>
      <c r="L411" s="314"/>
      <c r="M411" s="435"/>
      <c r="N411" s="314"/>
      <c r="O411" s="314"/>
      <c r="P411" s="318"/>
      <c r="Q411" s="435"/>
      <c r="R411" s="316"/>
      <c r="S411" s="314"/>
      <c r="T411" s="314"/>
      <c r="U411" s="314"/>
      <c r="V411" s="314"/>
      <c r="W411" s="318"/>
      <c r="X411" s="314"/>
      <c r="Y411" s="314"/>
      <c r="Z411" s="697"/>
      <c r="AA411" s="315"/>
      <c r="AB411" s="314"/>
      <c r="AC411" s="314"/>
      <c r="AD411" s="324"/>
      <c r="AE411" s="180"/>
      <c r="AF411" s="155"/>
      <c r="AG411" s="322"/>
      <c r="AH411" s="155"/>
      <c r="AI411" s="132"/>
    </row>
    <row r="412">
      <c r="A412" s="435"/>
      <c r="B412" s="695"/>
      <c r="C412" s="739"/>
      <c r="D412" s="745"/>
      <c r="E412" s="314"/>
      <c r="F412" s="314"/>
      <c r="G412" s="314"/>
      <c r="H412" s="314"/>
      <c r="I412" s="318"/>
      <c r="J412" s="314"/>
      <c r="K412" s="435"/>
      <c r="L412" s="314"/>
      <c r="M412" s="435"/>
      <c r="N412" s="314"/>
      <c r="O412" s="314"/>
      <c r="P412" s="318"/>
      <c r="Q412" s="435"/>
      <c r="R412" s="316"/>
      <c r="S412" s="314"/>
      <c r="T412" s="314"/>
      <c r="U412" s="314"/>
      <c r="V412" s="314"/>
      <c r="W412" s="318"/>
      <c r="X412" s="314"/>
      <c r="Y412" s="314"/>
      <c r="Z412" s="697"/>
      <c r="AA412" s="315"/>
      <c r="AB412" s="314"/>
      <c r="AC412" s="314"/>
      <c r="AD412" s="324"/>
      <c r="AE412" s="180"/>
      <c r="AF412" s="155"/>
      <c r="AG412" s="322"/>
      <c r="AH412" s="155"/>
      <c r="AI412" s="132"/>
    </row>
    <row r="413">
      <c r="A413" s="476"/>
      <c r="AF413" s="176"/>
      <c r="AG413" s="322"/>
      <c r="AH413" s="155"/>
      <c r="AI413" s="132"/>
    </row>
    <row r="414">
      <c r="A414" s="178"/>
      <c r="AG414" s="322"/>
      <c r="AH414" s="155"/>
      <c r="AI414" s="132"/>
    </row>
    <row r="415">
      <c r="A415" s="474"/>
      <c r="B415" s="746"/>
      <c r="C415" s="739"/>
      <c r="D415" s="745"/>
      <c r="E415" s="435"/>
      <c r="F415" s="314"/>
      <c r="G415" s="314"/>
      <c r="H415" s="314"/>
      <c r="I415" s="740"/>
      <c r="J415" s="435"/>
      <c r="K415" s="435"/>
      <c r="L415" s="435"/>
      <c r="M415" s="435"/>
      <c r="N415" s="435"/>
      <c r="O415" s="314"/>
      <c r="P415" s="740"/>
      <c r="Q415" s="435"/>
      <c r="R415" s="742"/>
      <c r="S415" s="435"/>
      <c r="T415" s="435"/>
      <c r="U415" s="435"/>
      <c r="V415" s="435"/>
      <c r="W415" s="740"/>
      <c r="X415" s="435"/>
      <c r="Y415" s="435"/>
      <c r="Z415" s="743"/>
      <c r="AA415" s="744"/>
      <c r="AB415" s="435"/>
      <c r="AC415" s="435"/>
      <c r="AD415" s="324"/>
      <c r="AE415" s="180"/>
      <c r="AF415" s="155"/>
      <c r="AG415" s="322"/>
      <c r="AH415" s="155"/>
      <c r="AI415" s="132"/>
    </row>
    <row r="416">
      <c r="A416" s="474"/>
      <c r="B416" s="695"/>
      <c r="C416" s="739"/>
      <c r="D416" s="745"/>
      <c r="E416" s="435"/>
      <c r="F416" s="314"/>
      <c r="G416" s="314"/>
      <c r="H416" s="435"/>
      <c r="I416" s="318"/>
      <c r="J416" s="435"/>
      <c r="K416" s="435"/>
      <c r="L416" s="435"/>
      <c r="M416" s="314"/>
      <c r="N416" s="314"/>
      <c r="O416" s="314"/>
      <c r="P416" s="740"/>
      <c r="Q416" s="435"/>
      <c r="R416" s="742"/>
      <c r="S416" s="435"/>
      <c r="T416" s="435"/>
      <c r="U416" s="435"/>
      <c r="V416" s="435"/>
      <c r="W416" s="740"/>
      <c r="X416" s="435"/>
      <c r="Y416" s="435"/>
      <c r="Z416" s="743"/>
      <c r="AA416" s="744"/>
      <c r="AB416" s="435"/>
      <c r="AC416" s="435"/>
      <c r="AD416" s="324"/>
      <c r="AE416" s="180"/>
      <c r="AF416" s="155"/>
      <c r="AG416" s="322"/>
      <c r="AH416" s="155"/>
      <c r="AI416" s="132"/>
    </row>
    <row r="417">
      <c r="A417" s="477"/>
      <c r="B417" s="746"/>
      <c r="C417" s="739"/>
      <c r="D417" s="745"/>
      <c r="E417" s="314"/>
      <c r="F417" s="314"/>
      <c r="G417" s="314"/>
      <c r="H417" s="435"/>
      <c r="I417" s="740"/>
      <c r="J417" s="435"/>
      <c r="K417" s="435"/>
      <c r="L417" s="435"/>
      <c r="M417" s="435"/>
      <c r="N417" s="435"/>
      <c r="O417" s="314"/>
      <c r="P417" s="740"/>
      <c r="Q417" s="435"/>
      <c r="R417" s="742"/>
      <c r="S417" s="435"/>
      <c r="T417" s="435"/>
      <c r="U417" s="435"/>
      <c r="V417" s="435"/>
      <c r="W417" s="740"/>
      <c r="X417" s="435"/>
      <c r="Y417" s="435"/>
      <c r="Z417" s="743"/>
      <c r="AA417" s="744"/>
      <c r="AB417" s="435"/>
      <c r="AC417" s="435"/>
      <c r="AD417" s="324"/>
      <c r="AE417" s="180"/>
      <c r="AF417" s="155"/>
      <c r="AG417" s="322"/>
      <c r="AH417" s="155"/>
      <c r="AI417" s="132"/>
    </row>
    <row r="418">
      <c r="A418" s="477"/>
      <c r="B418" s="746"/>
      <c r="C418" s="739"/>
      <c r="D418" s="745"/>
      <c r="E418" s="314"/>
      <c r="F418" s="314"/>
      <c r="G418" s="314"/>
      <c r="H418" s="435"/>
      <c r="I418" s="318"/>
      <c r="J418" s="314"/>
      <c r="K418" s="435"/>
      <c r="L418" s="435"/>
      <c r="M418" s="435"/>
      <c r="N418" s="314"/>
      <c r="O418" s="314"/>
      <c r="P418" s="740"/>
      <c r="Q418" s="435"/>
      <c r="R418" s="742"/>
      <c r="S418" s="435"/>
      <c r="T418" s="435"/>
      <c r="U418" s="435"/>
      <c r="V418" s="435"/>
      <c r="W418" s="740"/>
      <c r="X418" s="435"/>
      <c r="Y418" s="435"/>
      <c r="Z418" s="743"/>
      <c r="AA418" s="744"/>
      <c r="AB418" s="435"/>
      <c r="AC418" s="435"/>
      <c r="AD418" s="324"/>
      <c r="AE418" s="180"/>
      <c r="AF418" s="155"/>
      <c r="AG418" s="322"/>
      <c r="AH418" s="155"/>
      <c r="AI418" s="132"/>
    </row>
    <row r="419">
      <c r="A419" s="477"/>
      <c r="B419" s="746"/>
      <c r="C419" s="739"/>
      <c r="D419" s="745"/>
      <c r="E419" s="435"/>
      <c r="F419" s="314"/>
      <c r="G419" s="314"/>
      <c r="H419" s="435"/>
      <c r="I419" s="740"/>
      <c r="J419" s="435"/>
      <c r="K419" s="435"/>
      <c r="L419" s="435"/>
      <c r="M419" s="435"/>
      <c r="N419" s="435"/>
      <c r="O419" s="314"/>
      <c r="P419" s="740"/>
      <c r="Q419" s="435"/>
      <c r="R419" s="742"/>
      <c r="S419" s="435"/>
      <c r="T419" s="435"/>
      <c r="U419" s="435"/>
      <c r="V419" s="435"/>
      <c r="W419" s="740"/>
      <c r="X419" s="435"/>
      <c r="Y419" s="435"/>
      <c r="Z419" s="743"/>
      <c r="AA419" s="744"/>
      <c r="AB419" s="435"/>
      <c r="AC419" s="435"/>
      <c r="AD419" s="324"/>
      <c r="AE419" s="180"/>
      <c r="AF419" s="155"/>
      <c r="AG419" s="322"/>
      <c r="AH419" s="155"/>
      <c r="AI419" s="132"/>
    </row>
    <row r="420">
      <c r="A420" s="474"/>
      <c r="B420" s="695"/>
      <c r="C420" s="739"/>
      <c r="D420" s="312"/>
      <c r="E420" s="435"/>
      <c r="F420" s="314"/>
      <c r="G420" s="314"/>
      <c r="H420" s="435"/>
      <c r="I420" s="318"/>
      <c r="J420" s="435"/>
      <c r="K420" s="435"/>
      <c r="L420" s="314"/>
      <c r="M420" s="435"/>
      <c r="N420" s="314"/>
      <c r="O420" s="314"/>
      <c r="P420" s="740"/>
      <c r="Q420" s="435"/>
      <c r="R420" s="742"/>
      <c r="S420" s="435"/>
      <c r="T420" s="435"/>
      <c r="U420" s="435"/>
      <c r="V420" s="435"/>
      <c r="W420" s="740"/>
      <c r="X420" s="435"/>
      <c r="Y420" s="435"/>
      <c r="Z420" s="743"/>
      <c r="AA420" s="744"/>
      <c r="AB420" s="435"/>
      <c r="AC420" s="435"/>
      <c r="AD420" s="324"/>
      <c r="AE420" s="180"/>
      <c r="AF420" s="155"/>
      <c r="AG420" s="322"/>
      <c r="AH420" s="155"/>
      <c r="AI420" s="132"/>
    </row>
    <row r="421">
      <c r="A421" s="478"/>
      <c r="B421" s="746"/>
      <c r="C421" s="739"/>
      <c r="D421" s="745"/>
      <c r="E421" s="435"/>
      <c r="F421" s="314"/>
      <c r="G421" s="314"/>
      <c r="H421" s="435"/>
      <c r="I421" s="740"/>
      <c r="J421" s="435"/>
      <c r="K421" s="435"/>
      <c r="L421" s="435"/>
      <c r="M421" s="435"/>
      <c r="N421" s="435"/>
      <c r="O421" s="314"/>
      <c r="P421" s="740"/>
      <c r="Q421" s="435"/>
      <c r="R421" s="742"/>
      <c r="S421" s="435"/>
      <c r="T421" s="435"/>
      <c r="U421" s="435"/>
      <c r="V421" s="435"/>
      <c r="W421" s="740"/>
      <c r="X421" s="435"/>
      <c r="Y421" s="435"/>
      <c r="Z421" s="743"/>
      <c r="AA421" s="744"/>
      <c r="AB421" s="435"/>
      <c r="AC421" s="435"/>
      <c r="AD421" s="324"/>
      <c r="AE421" s="180"/>
      <c r="AF421" s="155"/>
      <c r="AG421" s="322"/>
      <c r="AH421" s="155"/>
      <c r="AI421" s="132"/>
    </row>
    <row r="422">
      <c r="A422" s="478"/>
      <c r="B422" s="746"/>
      <c r="C422" s="739"/>
      <c r="D422" s="745"/>
      <c r="E422" s="435"/>
      <c r="F422" s="314"/>
      <c r="G422" s="314"/>
      <c r="H422" s="435"/>
      <c r="I422" s="740"/>
      <c r="J422" s="435"/>
      <c r="K422" s="435"/>
      <c r="L422" s="435"/>
      <c r="M422" s="435"/>
      <c r="N422" s="435"/>
      <c r="O422" s="314"/>
      <c r="P422" s="740"/>
      <c r="Q422" s="435"/>
      <c r="R422" s="742"/>
      <c r="S422" s="435"/>
      <c r="T422" s="435"/>
      <c r="U422" s="435"/>
      <c r="V422" s="435"/>
      <c r="W422" s="740"/>
      <c r="X422" s="435"/>
      <c r="Y422" s="435"/>
      <c r="Z422" s="743"/>
      <c r="AA422" s="744"/>
      <c r="AB422" s="435"/>
      <c r="AC422" s="435"/>
      <c r="AD422" s="324"/>
      <c r="AE422" s="180"/>
      <c r="AF422" s="155"/>
      <c r="AG422" s="322"/>
      <c r="AH422" s="155"/>
      <c r="AI422" s="132"/>
    </row>
    <row r="423">
      <c r="A423" s="478"/>
      <c r="B423" s="746"/>
      <c r="C423" s="739"/>
      <c r="D423" s="312"/>
      <c r="E423" s="314"/>
      <c r="F423" s="314"/>
      <c r="G423" s="314"/>
      <c r="H423" s="435"/>
      <c r="I423" s="740"/>
      <c r="J423" s="314"/>
      <c r="K423" s="435"/>
      <c r="L423" s="314"/>
      <c r="M423" s="435"/>
      <c r="N423" s="314"/>
      <c r="O423" s="314"/>
      <c r="P423" s="318"/>
      <c r="Q423" s="314"/>
      <c r="R423" s="316"/>
      <c r="S423" s="435"/>
      <c r="T423" s="435"/>
      <c r="U423" s="435"/>
      <c r="V423" s="435"/>
      <c r="W423" s="740"/>
      <c r="X423" s="435"/>
      <c r="Y423" s="435"/>
      <c r="Z423" s="743"/>
      <c r="AA423" s="744"/>
      <c r="AB423" s="435"/>
      <c r="AC423" s="435"/>
      <c r="AD423" s="324"/>
      <c r="AE423" s="180"/>
      <c r="AF423" s="155"/>
      <c r="AG423" s="322"/>
      <c r="AH423" s="155"/>
      <c r="AI423" s="132"/>
    </row>
    <row r="424">
      <c r="A424" s="477"/>
      <c r="B424" s="695"/>
      <c r="C424" s="739"/>
      <c r="D424" s="745"/>
      <c r="E424" s="435"/>
      <c r="F424" s="314"/>
      <c r="G424" s="314"/>
      <c r="H424" s="435"/>
      <c r="I424" s="740"/>
      <c r="J424" s="435"/>
      <c r="K424" s="435"/>
      <c r="L424" s="435"/>
      <c r="M424" s="435"/>
      <c r="N424" s="435"/>
      <c r="O424" s="314"/>
      <c r="P424" s="740"/>
      <c r="Q424" s="435"/>
      <c r="R424" s="742"/>
      <c r="S424" s="435"/>
      <c r="T424" s="435"/>
      <c r="U424" s="435"/>
      <c r="V424" s="435"/>
      <c r="W424" s="740"/>
      <c r="X424" s="435"/>
      <c r="Y424" s="435"/>
      <c r="Z424" s="743"/>
      <c r="AA424" s="744"/>
      <c r="AB424" s="435"/>
      <c r="AC424" s="435"/>
      <c r="AD424" s="324"/>
      <c r="AE424" s="180"/>
      <c r="AF424" s="155"/>
      <c r="AG424" s="322"/>
      <c r="AH424" s="155"/>
      <c r="AI424" s="132"/>
    </row>
    <row r="425">
      <c r="A425" s="477"/>
      <c r="B425" s="695"/>
      <c r="C425" s="696"/>
      <c r="D425" s="312"/>
      <c r="E425" s="314"/>
      <c r="F425" s="314"/>
      <c r="G425" s="314"/>
      <c r="H425" s="435"/>
      <c r="I425" s="318"/>
      <c r="J425" s="314"/>
      <c r="K425" s="314"/>
      <c r="L425" s="314"/>
      <c r="M425" s="314"/>
      <c r="N425" s="435"/>
      <c r="O425" s="314"/>
      <c r="P425" s="318"/>
      <c r="Q425" s="435"/>
      <c r="R425" s="316"/>
      <c r="S425" s="314"/>
      <c r="T425" s="314"/>
      <c r="U425" s="314"/>
      <c r="V425" s="314"/>
      <c r="W425" s="318"/>
      <c r="X425" s="314"/>
      <c r="Y425" s="314"/>
      <c r="Z425" s="697"/>
      <c r="AA425" s="315"/>
      <c r="AB425" s="314"/>
      <c r="AC425" s="314"/>
      <c r="AD425" s="324"/>
      <c r="AE425" s="180"/>
      <c r="AF425" s="155"/>
      <c r="AG425" s="322"/>
      <c r="AH425" s="155"/>
      <c r="AI425" s="132"/>
    </row>
    <row r="426">
      <c r="A426" s="477"/>
      <c r="B426" s="695"/>
      <c r="C426" s="696"/>
      <c r="D426" s="312"/>
      <c r="E426" s="314"/>
      <c r="F426" s="314"/>
      <c r="G426" s="314"/>
      <c r="H426" s="314"/>
      <c r="I426" s="318"/>
      <c r="J426" s="314"/>
      <c r="K426" s="314"/>
      <c r="L426" s="314"/>
      <c r="M426" s="314"/>
      <c r="N426" s="314"/>
      <c r="O426" s="314"/>
      <c r="P426" s="318"/>
      <c r="Q426" s="314"/>
      <c r="R426" s="316"/>
      <c r="S426" s="314"/>
      <c r="T426" s="314"/>
      <c r="U426" s="314"/>
      <c r="V426" s="314"/>
      <c r="W426" s="318"/>
      <c r="X426" s="314"/>
      <c r="Y426" s="314"/>
      <c r="Z426" s="697"/>
      <c r="AA426" s="315"/>
      <c r="AB426" s="314"/>
      <c r="AC426" s="314"/>
      <c r="AD426" s="324"/>
      <c r="AE426" s="180"/>
      <c r="AF426" s="155"/>
      <c r="AG426" s="322"/>
      <c r="AH426" s="155"/>
      <c r="AI426" s="132"/>
    </row>
    <row r="427">
      <c r="A427" s="476"/>
      <c r="AF427" s="176"/>
      <c r="AG427" s="322"/>
      <c r="AH427" s="155"/>
      <c r="AI427" s="132"/>
    </row>
    <row r="428">
      <c r="A428" s="178"/>
      <c r="AG428" s="322"/>
      <c r="AH428" s="155"/>
      <c r="AI428" s="132"/>
    </row>
    <row r="429">
      <c r="A429" s="477"/>
      <c r="B429" s="746"/>
      <c r="C429" s="739"/>
      <c r="D429" s="745"/>
      <c r="E429" s="314"/>
      <c r="F429" s="314"/>
      <c r="G429" s="314"/>
      <c r="H429" s="314"/>
      <c r="I429" s="318"/>
      <c r="J429" s="314"/>
      <c r="K429" s="435"/>
      <c r="L429" s="435"/>
      <c r="M429" s="314"/>
      <c r="N429" s="314"/>
      <c r="O429" s="314"/>
      <c r="P429" s="318"/>
      <c r="Q429" s="435"/>
      <c r="R429" s="742"/>
      <c r="S429" s="435"/>
      <c r="T429" s="435"/>
      <c r="U429" s="435"/>
      <c r="V429" s="435"/>
      <c r="W429" s="740"/>
      <c r="X429" s="435"/>
      <c r="Y429" s="435"/>
      <c r="Z429" s="743"/>
      <c r="AA429" s="744"/>
      <c r="AB429" s="435"/>
      <c r="AC429" s="435"/>
      <c r="AD429" s="324"/>
      <c r="AE429" s="180"/>
      <c r="AF429" s="155"/>
      <c r="AG429" s="322"/>
      <c r="AH429" s="155"/>
      <c r="AI429" s="132"/>
    </row>
    <row r="430">
      <c r="A430" s="477"/>
      <c r="B430" s="695"/>
      <c r="C430" s="739"/>
      <c r="D430" s="745"/>
      <c r="E430" s="314"/>
      <c r="F430" s="314"/>
      <c r="G430" s="314"/>
      <c r="H430" s="314"/>
      <c r="I430" s="740"/>
      <c r="J430" s="435"/>
      <c r="K430" s="435"/>
      <c r="L430" s="314"/>
      <c r="M430" s="435"/>
      <c r="N430" s="314"/>
      <c r="O430" s="314"/>
      <c r="P430" s="318"/>
      <c r="Q430" s="435"/>
      <c r="R430" s="742"/>
      <c r="S430" s="435"/>
      <c r="T430" s="435"/>
      <c r="U430" s="435"/>
      <c r="V430" s="435"/>
      <c r="W430" s="740"/>
      <c r="X430" s="435"/>
      <c r="Y430" s="435"/>
      <c r="Z430" s="743"/>
      <c r="AA430" s="744"/>
      <c r="AB430" s="435"/>
      <c r="AC430" s="435"/>
      <c r="AD430" s="324"/>
      <c r="AE430" s="180"/>
      <c r="AF430" s="155"/>
      <c r="AG430" s="322"/>
      <c r="AH430" s="155"/>
      <c r="AI430" s="132"/>
    </row>
    <row r="431">
      <c r="A431" s="477"/>
      <c r="B431" s="695"/>
      <c r="C431" s="739"/>
      <c r="D431" s="745"/>
      <c r="E431" s="435"/>
      <c r="F431" s="314"/>
      <c r="G431" s="314"/>
      <c r="H431" s="435"/>
      <c r="I431" s="318"/>
      <c r="J431" s="314"/>
      <c r="K431" s="435"/>
      <c r="L431" s="314"/>
      <c r="M431" s="435"/>
      <c r="N431" s="435"/>
      <c r="O431" s="314"/>
      <c r="P431" s="740"/>
      <c r="Q431" s="435"/>
      <c r="R431" s="742"/>
      <c r="S431" s="435"/>
      <c r="T431" s="435"/>
      <c r="U431" s="435"/>
      <c r="V431" s="435"/>
      <c r="W431" s="740"/>
      <c r="X431" s="435"/>
      <c r="Y431" s="435"/>
      <c r="Z431" s="743"/>
      <c r="AA431" s="744"/>
      <c r="AB431" s="435"/>
      <c r="AC431" s="435"/>
      <c r="AD431" s="324"/>
      <c r="AE431" s="180"/>
      <c r="AF431" s="155"/>
      <c r="AG431" s="322"/>
      <c r="AH431" s="155"/>
      <c r="AI431" s="132"/>
    </row>
    <row r="432">
      <c r="A432" s="479"/>
      <c r="B432" s="695"/>
      <c r="C432" s="696"/>
      <c r="D432" s="312"/>
      <c r="E432" s="314"/>
      <c r="F432" s="314"/>
      <c r="G432" s="314"/>
      <c r="H432" s="314"/>
      <c r="I432" s="318"/>
      <c r="J432" s="314"/>
      <c r="K432" s="314"/>
      <c r="L432" s="314"/>
      <c r="M432" s="314"/>
      <c r="N432" s="314"/>
      <c r="O432" s="314"/>
      <c r="P432" s="318"/>
      <c r="Q432" s="435"/>
      <c r="R432" s="316"/>
      <c r="S432" s="314"/>
      <c r="T432" s="314"/>
      <c r="U432" s="314"/>
      <c r="V432" s="314"/>
      <c r="W432" s="318"/>
      <c r="X432" s="314"/>
      <c r="Y432" s="314"/>
      <c r="Z432" s="697"/>
      <c r="AA432" s="315"/>
      <c r="AB432" s="314"/>
      <c r="AC432" s="314"/>
      <c r="AD432" s="324"/>
      <c r="AE432" s="180"/>
      <c r="AF432" s="155"/>
      <c r="AG432" s="322"/>
      <c r="AH432" s="155"/>
      <c r="AI432" s="132"/>
    </row>
    <row r="433">
      <c r="A433" s="476"/>
      <c r="AF433" s="176"/>
      <c r="AG433" s="322"/>
      <c r="AH433" s="155"/>
      <c r="AI433" s="132"/>
    </row>
    <row r="434">
      <c r="A434" s="178"/>
      <c r="AG434" s="322"/>
      <c r="AH434" s="155"/>
      <c r="AI434" s="132"/>
    </row>
    <row r="435">
      <c r="A435" s="480"/>
      <c r="B435" s="695"/>
      <c r="C435" s="739"/>
      <c r="D435" s="312"/>
      <c r="E435" s="314"/>
      <c r="F435" s="314"/>
      <c r="G435" s="314"/>
      <c r="H435" s="314"/>
      <c r="I435" s="318"/>
      <c r="J435" s="435"/>
      <c r="K435" s="435"/>
      <c r="L435" s="314"/>
      <c r="M435" s="314"/>
      <c r="N435" s="314"/>
      <c r="O435" s="314"/>
      <c r="P435" s="318"/>
      <c r="Q435" s="435"/>
      <c r="R435" s="316"/>
      <c r="S435" s="314"/>
      <c r="T435" s="314"/>
      <c r="U435" s="314"/>
      <c r="V435" s="314"/>
      <c r="W435" s="318"/>
      <c r="X435" s="314"/>
      <c r="Y435" s="314"/>
      <c r="Z435" s="697"/>
      <c r="AA435" s="315"/>
      <c r="AB435" s="314"/>
      <c r="AC435" s="314"/>
      <c r="AD435" s="324"/>
      <c r="AE435" s="180"/>
      <c r="AF435" s="180"/>
      <c r="AG435" s="322"/>
      <c r="AH435" s="155"/>
      <c r="AI435" s="132"/>
    </row>
    <row r="436">
      <c r="A436" s="480"/>
      <c r="B436" s="695"/>
      <c r="C436" s="739"/>
      <c r="D436" s="312"/>
      <c r="E436" s="314"/>
      <c r="F436" s="314"/>
      <c r="G436" s="314"/>
      <c r="H436" s="435"/>
      <c r="I436" s="318"/>
      <c r="J436" s="435"/>
      <c r="K436" s="435"/>
      <c r="L436" s="314"/>
      <c r="M436" s="435"/>
      <c r="N436" s="435"/>
      <c r="O436" s="314"/>
      <c r="P436" s="740"/>
      <c r="Q436" s="435"/>
      <c r="R436" s="316"/>
      <c r="S436" s="435"/>
      <c r="T436" s="435"/>
      <c r="U436" s="435"/>
      <c r="V436" s="435"/>
      <c r="W436" s="740"/>
      <c r="X436" s="435"/>
      <c r="Y436" s="435"/>
      <c r="Z436" s="743"/>
      <c r="AA436" s="744"/>
      <c r="AB436" s="435"/>
      <c r="AC436" s="435"/>
      <c r="AD436" s="324"/>
      <c r="AE436" s="180"/>
      <c r="AF436" s="180"/>
      <c r="AG436" s="322"/>
      <c r="AH436" s="132"/>
      <c r="AI436" s="132"/>
    </row>
    <row r="437">
      <c r="A437" s="476"/>
      <c r="AF437" s="176"/>
      <c r="AG437" s="322"/>
      <c r="AH437" s="132"/>
      <c r="AI437" s="132"/>
    </row>
    <row r="438">
      <c r="A438" s="178"/>
      <c r="AG438" s="322"/>
      <c r="AH438" s="132"/>
      <c r="AI438" s="132"/>
    </row>
    <row r="439">
      <c r="A439" s="481"/>
      <c r="B439" s="695"/>
      <c r="C439" s="739"/>
      <c r="D439" s="745"/>
      <c r="E439" s="435"/>
      <c r="F439" s="314"/>
      <c r="G439" s="435"/>
      <c r="H439" s="435"/>
      <c r="I439" s="740"/>
      <c r="J439" s="314"/>
      <c r="K439" s="435"/>
      <c r="L439" s="435"/>
      <c r="M439" s="435"/>
      <c r="N439" s="314"/>
      <c r="O439" s="314"/>
      <c r="P439" s="740"/>
      <c r="Q439" s="435"/>
      <c r="R439" s="742"/>
      <c r="S439" s="435"/>
      <c r="T439" s="435"/>
      <c r="U439" s="435"/>
      <c r="V439" s="435"/>
      <c r="W439" s="740"/>
      <c r="X439" s="435"/>
      <c r="Y439" s="435"/>
      <c r="Z439" s="743"/>
      <c r="AA439" s="744"/>
      <c r="AB439" s="435"/>
      <c r="AC439" s="435"/>
      <c r="AD439" s="324"/>
      <c r="AE439" s="180"/>
      <c r="AF439" s="155"/>
      <c r="AG439" s="322"/>
      <c r="AH439" s="132"/>
      <c r="AI439" s="132"/>
    </row>
    <row r="440">
      <c r="A440" s="435"/>
      <c r="B440" s="695"/>
      <c r="C440" s="739"/>
      <c r="D440" s="745"/>
      <c r="E440" s="314"/>
      <c r="F440" s="314"/>
      <c r="G440" s="314"/>
      <c r="H440" s="435"/>
      <c r="I440" s="318"/>
      <c r="J440" s="435"/>
      <c r="K440" s="435"/>
      <c r="L440" s="314"/>
      <c r="M440" s="314"/>
      <c r="N440" s="314"/>
      <c r="O440" s="314"/>
      <c r="P440" s="740"/>
      <c r="Q440" s="435"/>
      <c r="R440" s="742"/>
      <c r="S440" s="435"/>
      <c r="T440" s="435"/>
      <c r="U440" s="435"/>
      <c r="V440" s="435"/>
      <c r="W440" s="740"/>
      <c r="X440" s="435"/>
      <c r="Y440" s="435"/>
      <c r="Z440" s="743"/>
      <c r="AA440" s="744"/>
      <c r="AB440" s="435"/>
      <c r="AC440" s="435"/>
      <c r="AD440" s="324"/>
      <c r="AE440" s="180"/>
      <c r="AF440" s="155"/>
      <c r="AG440" s="322"/>
      <c r="AH440" s="132"/>
      <c r="AI440" s="132"/>
    </row>
    <row r="441">
      <c r="A441" s="482"/>
      <c r="B441" s="695"/>
      <c r="C441" s="696"/>
      <c r="D441" s="745"/>
      <c r="E441" s="314"/>
      <c r="F441" s="314"/>
      <c r="G441" s="314"/>
      <c r="H441" s="314"/>
      <c r="I441" s="318"/>
      <c r="J441" s="314"/>
      <c r="K441" s="435"/>
      <c r="L441" s="314"/>
      <c r="M441" s="314"/>
      <c r="N441" s="314"/>
      <c r="O441" s="314"/>
      <c r="P441" s="318"/>
      <c r="Q441" s="314"/>
      <c r="R441" s="742"/>
      <c r="S441" s="314"/>
      <c r="T441" s="314"/>
      <c r="U441" s="314"/>
      <c r="V441" s="314"/>
      <c r="W441" s="318"/>
      <c r="X441" s="314"/>
      <c r="Y441" s="314"/>
      <c r="Z441" s="697"/>
      <c r="AA441" s="315"/>
      <c r="AB441" s="314"/>
      <c r="AC441" s="314"/>
      <c r="AD441" s="324"/>
      <c r="AE441" s="180"/>
      <c r="AF441" s="155"/>
      <c r="AG441" s="322"/>
      <c r="AH441" s="132"/>
      <c r="AI441" s="132"/>
    </row>
    <row r="442">
      <c r="A442" s="482"/>
      <c r="B442" s="695"/>
      <c r="C442" s="739"/>
      <c r="D442" s="745"/>
      <c r="E442" s="435"/>
      <c r="F442" s="314"/>
      <c r="G442" s="314"/>
      <c r="H442" s="435"/>
      <c r="I442" s="740"/>
      <c r="J442" s="435"/>
      <c r="K442" s="435"/>
      <c r="L442" s="435"/>
      <c r="M442" s="435"/>
      <c r="N442" s="435"/>
      <c r="O442" s="314"/>
      <c r="P442" s="740"/>
      <c r="Q442" s="435"/>
      <c r="R442" s="742"/>
      <c r="S442" s="435"/>
      <c r="T442" s="435"/>
      <c r="U442" s="435"/>
      <c r="V442" s="435"/>
      <c r="W442" s="740"/>
      <c r="X442" s="435"/>
      <c r="Y442" s="435"/>
      <c r="Z442" s="743"/>
      <c r="AA442" s="744"/>
      <c r="AB442" s="435"/>
      <c r="AC442" s="435"/>
      <c r="AD442" s="324"/>
      <c r="AE442" s="180"/>
      <c r="AF442" s="155"/>
      <c r="AG442" s="322"/>
      <c r="AH442" s="132"/>
      <c r="AI442" s="132"/>
    </row>
    <row r="443">
      <c r="A443" s="314"/>
      <c r="B443" s="695"/>
      <c r="C443" s="696"/>
      <c r="D443" s="312"/>
      <c r="E443" s="314"/>
      <c r="F443" s="314"/>
      <c r="G443" s="314"/>
      <c r="H443" s="314"/>
      <c r="I443" s="318"/>
      <c r="J443" s="314"/>
      <c r="K443" s="314"/>
      <c r="L443" s="314"/>
      <c r="M443" s="314"/>
      <c r="N443" s="314"/>
      <c r="O443" s="314"/>
      <c r="P443" s="318"/>
      <c r="Q443" s="314"/>
      <c r="R443" s="316"/>
      <c r="S443" s="314"/>
      <c r="T443" s="314"/>
      <c r="U443" s="314"/>
      <c r="V443" s="314"/>
      <c r="W443" s="318"/>
      <c r="X443" s="314"/>
      <c r="Y443" s="314"/>
      <c r="Z443" s="697"/>
      <c r="AA443" s="315"/>
      <c r="AB443" s="314"/>
      <c r="AC443" s="314"/>
      <c r="AD443" s="483"/>
      <c r="AF443" s="484"/>
      <c r="AG443" s="322"/>
      <c r="AH443" s="132"/>
      <c r="AI443" s="132"/>
    </row>
    <row r="444">
      <c r="A444" s="314"/>
      <c r="B444" s="695"/>
      <c r="C444" s="696"/>
      <c r="D444" s="312"/>
      <c r="E444" s="314"/>
      <c r="F444" s="314"/>
      <c r="G444" s="314"/>
      <c r="H444" s="314"/>
      <c r="I444" s="318"/>
      <c r="J444" s="314"/>
      <c r="K444" s="314"/>
      <c r="L444" s="314"/>
      <c r="M444" s="314"/>
      <c r="N444" s="314"/>
      <c r="O444" s="314"/>
      <c r="P444" s="318"/>
      <c r="Q444" s="314"/>
      <c r="R444" s="316"/>
      <c r="S444" s="314"/>
      <c r="T444" s="314"/>
      <c r="U444" s="314"/>
      <c r="V444" s="314"/>
      <c r="W444" s="318"/>
      <c r="X444" s="314"/>
      <c r="Y444" s="314"/>
      <c r="Z444" s="697"/>
      <c r="AA444" s="315"/>
      <c r="AB444" s="314"/>
      <c r="AC444" s="314"/>
      <c r="AD444" s="324"/>
      <c r="AE444" s="155"/>
      <c r="AF444" s="155"/>
      <c r="AG444" s="322"/>
      <c r="AH444" s="132"/>
      <c r="AI444" s="132"/>
    </row>
    <row r="445">
      <c r="A445" s="314"/>
      <c r="B445" s="695"/>
      <c r="C445" s="696"/>
      <c r="D445" s="312"/>
      <c r="E445" s="314"/>
      <c r="F445" s="314"/>
      <c r="G445" s="314"/>
      <c r="H445" s="314"/>
      <c r="I445" s="318"/>
      <c r="J445" s="314"/>
      <c r="K445" s="314"/>
      <c r="L445" s="314"/>
      <c r="M445" s="314"/>
      <c r="N445" s="314"/>
      <c r="O445" s="314"/>
      <c r="P445" s="318"/>
      <c r="Q445" s="314"/>
      <c r="R445" s="316"/>
      <c r="S445" s="314"/>
      <c r="T445" s="314"/>
      <c r="U445" s="314"/>
      <c r="V445" s="314"/>
      <c r="W445" s="318"/>
      <c r="X445" s="314"/>
      <c r="Y445" s="314"/>
      <c r="Z445" s="697"/>
      <c r="AA445" s="315"/>
      <c r="AB445" s="314"/>
      <c r="AC445" s="314"/>
      <c r="AD445" s="324"/>
      <c r="AE445" s="155"/>
      <c r="AF445" s="155"/>
      <c r="AG445" s="322"/>
      <c r="AH445" s="132"/>
      <c r="AI445" s="132"/>
    </row>
    <row r="446">
      <c r="A446" s="314"/>
      <c r="B446" s="695"/>
      <c r="C446" s="696"/>
      <c r="D446" s="312"/>
      <c r="E446" s="314"/>
      <c r="F446" s="314"/>
      <c r="G446" s="314"/>
      <c r="H446" s="314"/>
      <c r="I446" s="318"/>
      <c r="J446" s="314"/>
      <c r="K446" s="314"/>
      <c r="L446" s="314"/>
      <c r="M446" s="314"/>
      <c r="N446" s="314"/>
      <c r="O446" s="314"/>
      <c r="P446" s="318"/>
      <c r="Q446" s="314"/>
      <c r="R446" s="316"/>
      <c r="S446" s="314"/>
      <c r="T446" s="314"/>
      <c r="U446" s="314"/>
      <c r="V446" s="314"/>
      <c r="W446" s="318"/>
      <c r="X446" s="314"/>
      <c r="Y446" s="314"/>
      <c r="Z446" s="697"/>
      <c r="AA446" s="315"/>
      <c r="AB446" s="314"/>
      <c r="AC446" s="314"/>
      <c r="AD446" s="324"/>
      <c r="AE446" s="155"/>
      <c r="AF446" s="155"/>
      <c r="AG446" s="322"/>
      <c r="AH446" s="132"/>
      <c r="AI446" s="132"/>
    </row>
    <row r="447">
      <c r="A447" s="314"/>
      <c r="B447" s="695"/>
      <c r="C447" s="696"/>
      <c r="D447" s="312"/>
      <c r="E447" s="314"/>
      <c r="F447" s="314"/>
      <c r="G447" s="314"/>
      <c r="H447" s="314"/>
      <c r="I447" s="318"/>
      <c r="J447" s="314"/>
      <c r="K447" s="314"/>
      <c r="L447" s="314"/>
      <c r="M447" s="314"/>
      <c r="N447" s="314"/>
      <c r="O447" s="314"/>
      <c r="P447" s="318"/>
      <c r="Q447" s="314"/>
      <c r="R447" s="316"/>
      <c r="S447" s="314"/>
      <c r="T447" s="314"/>
      <c r="U447" s="314"/>
      <c r="V447" s="314"/>
      <c r="W447" s="318"/>
      <c r="X447" s="314"/>
      <c r="Y447" s="314"/>
      <c r="Z447" s="697"/>
      <c r="AA447" s="315"/>
      <c r="AB447" s="314"/>
      <c r="AC447" s="314"/>
      <c r="AD447" s="324"/>
      <c r="AE447" s="155"/>
      <c r="AF447" s="155"/>
      <c r="AG447" s="322"/>
      <c r="AH447" s="132"/>
      <c r="AI447" s="132"/>
    </row>
    <row r="448">
      <c r="A448" s="314"/>
      <c r="B448" s="695"/>
      <c r="C448" s="696"/>
      <c r="D448" s="312"/>
      <c r="E448" s="314"/>
      <c r="F448" s="314"/>
      <c r="G448" s="314"/>
      <c r="H448" s="314"/>
      <c r="I448" s="318"/>
      <c r="J448" s="314"/>
      <c r="K448" s="314"/>
      <c r="L448" s="314"/>
      <c r="M448" s="314"/>
      <c r="N448" s="314"/>
      <c r="O448" s="314"/>
      <c r="P448" s="318"/>
      <c r="Q448" s="314"/>
      <c r="R448" s="316"/>
      <c r="S448" s="314"/>
      <c r="T448" s="314"/>
      <c r="U448" s="314"/>
      <c r="V448" s="314"/>
      <c r="W448" s="318"/>
      <c r="X448" s="314"/>
      <c r="Y448" s="314"/>
      <c r="Z448" s="697"/>
      <c r="AA448" s="315"/>
      <c r="AB448" s="314"/>
      <c r="AC448" s="314"/>
      <c r="AD448" s="324"/>
      <c r="AE448" s="155"/>
      <c r="AF448" s="155"/>
      <c r="AG448" s="322"/>
      <c r="AH448" s="132"/>
      <c r="AI448" s="132"/>
    </row>
    <row r="449">
      <c r="A449" s="314"/>
      <c r="B449" s="695"/>
      <c r="C449" s="696"/>
      <c r="D449" s="312"/>
      <c r="E449" s="314"/>
      <c r="F449" s="314"/>
      <c r="G449" s="314"/>
      <c r="H449" s="314"/>
      <c r="I449" s="318"/>
      <c r="J449" s="314"/>
      <c r="K449" s="314"/>
      <c r="L449" s="314"/>
      <c r="M449" s="314"/>
      <c r="N449" s="314"/>
      <c r="O449" s="314"/>
      <c r="P449" s="318"/>
      <c r="Q449" s="314"/>
      <c r="R449" s="316"/>
      <c r="S449" s="314"/>
      <c r="T449" s="314"/>
      <c r="U449" s="314"/>
      <c r="V449" s="314"/>
      <c r="W449" s="318"/>
      <c r="X449" s="314"/>
      <c r="Y449" s="314"/>
      <c r="Z449" s="697"/>
      <c r="AA449" s="315"/>
      <c r="AB449" s="314"/>
      <c r="AC449" s="314"/>
      <c r="AD449" s="324"/>
      <c r="AE449" s="155"/>
      <c r="AF449" s="155"/>
      <c r="AG449" s="322"/>
      <c r="AH449" s="132"/>
      <c r="AI449" s="132"/>
    </row>
    <row r="450">
      <c r="A450" s="314"/>
      <c r="B450" s="695"/>
      <c r="C450" s="696"/>
      <c r="D450" s="312"/>
      <c r="E450" s="314"/>
      <c r="F450" s="314"/>
      <c r="G450" s="314"/>
      <c r="H450" s="314"/>
      <c r="I450" s="318"/>
      <c r="J450" s="314"/>
      <c r="K450" s="314"/>
      <c r="L450" s="314"/>
      <c r="M450" s="314"/>
      <c r="N450" s="314"/>
      <c r="O450" s="314"/>
      <c r="P450" s="318"/>
      <c r="Q450" s="314"/>
      <c r="R450" s="316"/>
      <c r="S450" s="314"/>
      <c r="T450" s="314"/>
      <c r="U450" s="314"/>
      <c r="V450" s="314"/>
      <c r="W450" s="318"/>
      <c r="X450" s="314"/>
      <c r="Y450" s="314"/>
      <c r="Z450" s="697"/>
      <c r="AA450" s="315"/>
      <c r="AB450" s="314"/>
      <c r="AC450" s="314"/>
      <c r="AD450" s="324"/>
      <c r="AE450" s="155"/>
      <c r="AF450" s="155"/>
      <c r="AG450" s="322"/>
      <c r="AH450" s="132"/>
      <c r="AI450" s="132"/>
    </row>
    <row r="451">
      <c r="A451" s="314"/>
      <c r="B451" s="695"/>
      <c r="C451" s="696"/>
      <c r="D451" s="312"/>
      <c r="E451" s="314"/>
      <c r="F451" s="314"/>
      <c r="G451" s="314"/>
      <c r="H451" s="314"/>
      <c r="I451" s="318"/>
      <c r="J451" s="314"/>
      <c r="K451" s="314"/>
      <c r="L451" s="314"/>
      <c r="M451" s="314"/>
      <c r="N451" s="314"/>
      <c r="O451" s="314"/>
      <c r="P451" s="318"/>
      <c r="Q451" s="314"/>
      <c r="R451" s="316"/>
      <c r="S451" s="314"/>
      <c r="T451" s="314"/>
      <c r="U451" s="314"/>
      <c r="V451" s="314"/>
      <c r="W451" s="318"/>
      <c r="X451" s="314"/>
      <c r="Y451" s="314"/>
      <c r="Z451" s="697"/>
      <c r="AA451" s="315"/>
      <c r="AB451" s="314"/>
      <c r="AC451" s="314"/>
      <c r="AD451" s="324"/>
      <c r="AE451" s="155"/>
      <c r="AF451" s="155"/>
      <c r="AG451" s="322"/>
      <c r="AH451" s="132"/>
      <c r="AI451" s="132"/>
    </row>
    <row r="452">
      <c r="A452" s="314"/>
      <c r="B452" s="695"/>
      <c r="C452" s="696"/>
      <c r="D452" s="312"/>
      <c r="E452" s="314"/>
      <c r="F452" s="314"/>
      <c r="G452" s="314"/>
      <c r="H452" s="314"/>
      <c r="I452" s="318"/>
      <c r="J452" s="314"/>
      <c r="K452" s="314"/>
      <c r="L452" s="314"/>
      <c r="M452" s="314"/>
      <c r="N452" s="314"/>
      <c r="O452" s="314"/>
      <c r="P452" s="318"/>
      <c r="Q452" s="314"/>
      <c r="R452" s="316"/>
      <c r="S452" s="314"/>
      <c r="T452" s="314"/>
      <c r="U452" s="314"/>
      <c r="V452" s="314"/>
      <c r="W452" s="318"/>
      <c r="X452" s="314"/>
      <c r="Y452" s="314"/>
      <c r="Z452" s="697"/>
      <c r="AA452" s="315"/>
      <c r="AB452" s="314"/>
      <c r="AC452" s="314"/>
      <c r="AD452" s="324"/>
      <c r="AE452" s="155"/>
      <c r="AF452" s="155"/>
      <c r="AG452" s="322"/>
      <c r="AH452" s="132"/>
      <c r="AI452" s="132"/>
    </row>
    <row r="453">
      <c r="A453" s="314"/>
      <c r="B453" s="695"/>
      <c r="C453" s="696"/>
      <c r="D453" s="312"/>
      <c r="E453" s="314"/>
      <c r="F453" s="314"/>
      <c r="G453" s="314"/>
      <c r="H453" s="314"/>
      <c r="I453" s="318"/>
      <c r="J453" s="314"/>
      <c r="K453" s="314"/>
      <c r="L453" s="314"/>
      <c r="M453" s="314"/>
      <c r="N453" s="314"/>
      <c r="O453" s="314"/>
      <c r="P453" s="318"/>
      <c r="Q453" s="314"/>
      <c r="R453" s="316"/>
      <c r="S453" s="314"/>
      <c r="T453" s="314"/>
      <c r="U453" s="314"/>
      <c r="V453" s="314"/>
      <c r="W453" s="318"/>
      <c r="X453" s="314"/>
      <c r="Y453" s="314"/>
      <c r="Z453" s="697"/>
      <c r="AA453" s="315"/>
      <c r="AB453" s="314"/>
      <c r="AC453" s="314"/>
      <c r="AD453" s="324"/>
      <c r="AE453" s="155"/>
      <c r="AF453" s="155"/>
      <c r="AG453" s="322"/>
      <c r="AH453" s="132"/>
      <c r="AI453" s="132"/>
    </row>
    <row r="454">
      <c r="A454" s="314"/>
      <c r="B454" s="695"/>
      <c r="C454" s="696"/>
      <c r="D454" s="312"/>
      <c r="E454" s="314"/>
      <c r="F454" s="314"/>
      <c r="G454" s="314"/>
      <c r="H454" s="314"/>
      <c r="I454" s="318"/>
      <c r="J454" s="314"/>
      <c r="K454" s="314"/>
      <c r="L454" s="314"/>
      <c r="M454" s="314"/>
      <c r="N454" s="314"/>
      <c r="O454" s="314"/>
      <c r="P454" s="318"/>
      <c r="Q454" s="314"/>
      <c r="R454" s="316"/>
      <c r="S454" s="314"/>
      <c r="T454" s="314"/>
      <c r="U454" s="314"/>
      <c r="V454" s="314"/>
      <c r="W454" s="318"/>
      <c r="X454" s="314"/>
      <c r="Y454" s="314"/>
      <c r="Z454" s="697"/>
      <c r="AA454" s="315"/>
      <c r="AB454" s="314"/>
      <c r="AC454" s="314"/>
      <c r="AD454" s="324"/>
      <c r="AE454" s="155"/>
      <c r="AF454" s="155"/>
      <c r="AG454" s="322"/>
      <c r="AH454" s="132"/>
      <c r="AI454" s="132"/>
    </row>
    <row r="455">
      <c r="A455" s="314"/>
      <c r="B455" s="695"/>
      <c r="C455" s="696"/>
      <c r="D455" s="312"/>
      <c r="E455" s="314"/>
      <c r="F455" s="314"/>
      <c r="G455" s="314"/>
      <c r="H455" s="314"/>
      <c r="I455" s="318"/>
      <c r="J455" s="314"/>
      <c r="K455" s="314"/>
      <c r="L455" s="314"/>
      <c r="M455" s="314"/>
      <c r="N455" s="314"/>
      <c r="O455" s="314"/>
      <c r="P455" s="318"/>
      <c r="Q455" s="314"/>
      <c r="R455" s="316"/>
      <c r="S455" s="314"/>
      <c r="T455" s="314"/>
      <c r="U455" s="314"/>
      <c r="V455" s="314"/>
      <c r="W455" s="318"/>
      <c r="X455" s="314"/>
      <c r="Y455" s="314"/>
      <c r="Z455" s="697"/>
      <c r="AA455" s="315"/>
      <c r="AB455" s="314"/>
      <c r="AC455" s="314"/>
      <c r="AD455" s="324"/>
      <c r="AE455" s="155"/>
      <c r="AF455" s="155"/>
      <c r="AG455" s="322"/>
      <c r="AH455" s="132"/>
      <c r="AI455" s="132"/>
    </row>
    <row r="456">
      <c r="A456" s="314"/>
      <c r="B456" s="695"/>
      <c r="C456" s="696"/>
      <c r="D456" s="312"/>
      <c r="E456" s="314"/>
      <c r="F456" s="314"/>
      <c r="G456" s="314"/>
      <c r="H456" s="314"/>
      <c r="I456" s="318"/>
      <c r="J456" s="314"/>
      <c r="K456" s="314"/>
      <c r="L456" s="314"/>
      <c r="M456" s="314"/>
      <c r="N456" s="314"/>
      <c r="O456" s="314"/>
      <c r="P456" s="318"/>
      <c r="Q456" s="314"/>
      <c r="R456" s="316"/>
      <c r="S456" s="314"/>
      <c r="T456" s="314"/>
      <c r="U456" s="314"/>
      <c r="V456" s="314"/>
      <c r="W456" s="318"/>
      <c r="X456" s="314"/>
      <c r="Y456" s="314"/>
      <c r="Z456" s="697"/>
      <c r="AA456" s="315"/>
      <c r="AB456" s="314"/>
      <c r="AC456" s="314"/>
      <c r="AD456" s="324"/>
      <c r="AE456" s="155"/>
      <c r="AF456" s="155"/>
      <c r="AG456" s="322"/>
      <c r="AH456" s="132"/>
      <c r="AI456" s="132"/>
    </row>
    <row r="457">
      <c r="A457" s="314"/>
      <c r="B457" s="695"/>
      <c r="C457" s="696"/>
      <c r="D457" s="312"/>
      <c r="E457" s="314"/>
      <c r="F457" s="314"/>
      <c r="G457" s="314"/>
      <c r="H457" s="314"/>
      <c r="I457" s="318"/>
      <c r="J457" s="314"/>
      <c r="K457" s="314"/>
      <c r="L457" s="314"/>
      <c r="M457" s="314"/>
      <c r="N457" s="314"/>
      <c r="O457" s="314"/>
      <c r="P457" s="318"/>
      <c r="Q457" s="314"/>
      <c r="R457" s="316"/>
      <c r="S457" s="314"/>
      <c r="T457" s="314"/>
      <c r="U457" s="314"/>
      <c r="V457" s="314"/>
      <c r="W457" s="318"/>
      <c r="X457" s="314"/>
      <c r="Y457" s="314"/>
      <c r="Z457" s="697"/>
      <c r="AA457" s="315"/>
      <c r="AB457" s="314"/>
      <c r="AC457" s="314"/>
      <c r="AD457" s="324"/>
      <c r="AE457" s="155"/>
      <c r="AF457" s="155"/>
      <c r="AG457" s="322"/>
      <c r="AH457" s="132"/>
      <c r="AI457" s="132"/>
    </row>
    <row r="458">
      <c r="A458" s="314"/>
      <c r="B458" s="695"/>
      <c r="C458" s="696"/>
      <c r="D458" s="312"/>
      <c r="E458" s="314"/>
      <c r="F458" s="314"/>
      <c r="G458" s="314"/>
      <c r="H458" s="314"/>
      <c r="I458" s="318"/>
      <c r="J458" s="314"/>
      <c r="K458" s="314"/>
      <c r="L458" s="314"/>
      <c r="M458" s="314"/>
      <c r="N458" s="314"/>
      <c r="O458" s="314"/>
      <c r="P458" s="318"/>
      <c r="Q458" s="314"/>
      <c r="R458" s="316"/>
      <c r="S458" s="314"/>
      <c r="T458" s="314"/>
      <c r="U458" s="314"/>
      <c r="V458" s="314"/>
      <c r="W458" s="318"/>
      <c r="X458" s="314"/>
      <c r="Y458" s="314"/>
      <c r="Z458" s="697"/>
      <c r="AA458" s="315"/>
      <c r="AB458" s="314"/>
      <c r="AC458" s="314"/>
      <c r="AD458" s="324"/>
      <c r="AE458" s="155"/>
      <c r="AF458" s="155"/>
      <c r="AG458" s="322"/>
      <c r="AH458" s="132"/>
      <c r="AI458" s="132"/>
    </row>
    <row r="459">
      <c r="A459" s="314"/>
      <c r="B459" s="695"/>
      <c r="C459" s="696"/>
      <c r="D459" s="312"/>
      <c r="E459" s="314"/>
      <c r="F459" s="314"/>
      <c r="G459" s="314"/>
      <c r="H459" s="314"/>
      <c r="I459" s="318"/>
      <c r="J459" s="314"/>
      <c r="K459" s="314"/>
      <c r="L459" s="314"/>
      <c r="M459" s="314"/>
      <c r="N459" s="314"/>
      <c r="O459" s="314"/>
      <c r="P459" s="318"/>
      <c r="Q459" s="314"/>
      <c r="R459" s="316"/>
      <c r="S459" s="314"/>
      <c r="T459" s="314"/>
      <c r="U459" s="314"/>
      <c r="V459" s="314"/>
      <c r="W459" s="318"/>
      <c r="X459" s="314"/>
      <c r="Y459" s="314"/>
      <c r="Z459" s="697"/>
      <c r="AA459" s="315"/>
      <c r="AB459" s="314"/>
      <c r="AC459" s="314"/>
      <c r="AD459" s="324"/>
      <c r="AE459" s="155"/>
      <c r="AF459" s="155"/>
      <c r="AG459" s="322"/>
      <c r="AH459" s="132"/>
      <c r="AI459" s="132"/>
    </row>
    <row r="460">
      <c r="A460" s="314"/>
      <c r="B460" s="695"/>
      <c r="C460" s="696"/>
      <c r="D460" s="312"/>
      <c r="E460" s="314"/>
      <c r="F460" s="314"/>
      <c r="G460" s="314"/>
      <c r="H460" s="314"/>
      <c r="I460" s="318"/>
      <c r="J460" s="314"/>
      <c r="K460" s="314"/>
      <c r="L460" s="314"/>
      <c r="M460" s="314"/>
      <c r="N460" s="314"/>
      <c r="O460" s="314"/>
      <c r="P460" s="318"/>
      <c r="Q460" s="314"/>
      <c r="R460" s="316"/>
      <c r="S460" s="314"/>
      <c r="T460" s="314"/>
      <c r="U460" s="314"/>
      <c r="V460" s="314"/>
      <c r="W460" s="318"/>
      <c r="X460" s="314"/>
      <c r="Y460" s="314"/>
      <c r="Z460" s="697"/>
      <c r="AA460" s="315"/>
      <c r="AB460" s="314"/>
      <c r="AC460" s="314"/>
      <c r="AD460" s="324"/>
      <c r="AE460" s="155"/>
      <c r="AF460" s="155"/>
      <c r="AG460" s="322"/>
      <c r="AH460" s="132"/>
      <c r="AI460" s="132"/>
    </row>
    <row r="461">
      <c r="A461" s="314"/>
      <c r="B461" s="695"/>
      <c r="C461" s="696"/>
      <c r="D461" s="312"/>
      <c r="E461" s="314"/>
      <c r="F461" s="314"/>
      <c r="G461" s="314"/>
      <c r="H461" s="314"/>
      <c r="I461" s="318"/>
      <c r="J461" s="314"/>
      <c r="K461" s="314"/>
      <c r="L461" s="314"/>
      <c r="M461" s="314"/>
      <c r="N461" s="314"/>
      <c r="O461" s="314"/>
      <c r="P461" s="318"/>
      <c r="Q461" s="314"/>
      <c r="R461" s="316"/>
      <c r="S461" s="314"/>
      <c r="T461" s="314"/>
      <c r="U461" s="314"/>
      <c r="V461" s="314"/>
      <c r="W461" s="318"/>
      <c r="X461" s="314"/>
      <c r="Y461" s="314"/>
      <c r="Z461" s="697"/>
      <c r="AA461" s="315"/>
      <c r="AB461" s="314"/>
      <c r="AC461" s="314"/>
      <c r="AD461" s="324"/>
      <c r="AE461" s="155"/>
      <c r="AF461" s="155"/>
      <c r="AG461" s="322"/>
      <c r="AH461" s="132"/>
      <c r="AI461" s="132"/>
    </row>
    <row r="462">
      <c r="A462" s="314"/>
      <c r="B462" s="695"/>
      <c r="C462" s="696"/>
      <c r="D462" s="312"/>
      <c r="E462" s="314"/>
      <c r="F462" s="314"/>
      <c r="G462" s="314"/>
      <c r="H462" s="314"/>
      <c r="I462" s="318"/>
      <c r="J462" s="314"/>
      <c r="K462" s="314"/>
      <c r="L462" s="314"/>
      <c r="M462" s="314"/>
      <c r="N462" s="314"/>
      <c r="O462" s="314"/>
      <c r="P462" s="318"/>
      <c r="Q462" s="314"/>
      <c r="R462" s="316"/>
      <c r="S462" s="314"/>
      <c r="T462" s="314"/>
      <c r="U462" s="314"/>
      <c r="V462" s="314"/>
      <c r="W462" s="318"/>
      <c r="X462" s="314"/>
      <c r="Y462" s="314"/>
      <c r="Z462" s="697"/>
      <c r="AA462" s="315"/>
      <c r="AB462" s="314"/>
      <c r="AC462" s="314"/>
      <c r="AD462" s="324"/>
      <c r="AE462" s="155"/>
      <c r="AF462" s="155"/>
      <c r="AG462" s="322"/>
      <c r="AH462" s="132"/>
      <c r="AI462" s="132"/>
    </row>
    <row r="463">
      <c r="A463" s="314"/>
      <c r="B463" s="695"/>
      <c r="C463" s="696"/>
      <c r="D463" s="312"/>
      <c r="E463" s="314"/>
      <c r="F463" s="314"/>
      <c r="G463" s="314"/>
      <c r="H463" s="314"/>
      <c r="I463" s="318"/>
      <c r="J463" s="314"/>
      <c r="K463" s="314"/>
      <c r="L463" s="314"/>
      <c r="M463" s="314"/>
      <c r="N463" s="314"/>
      <c r="O463" s="314"/>
      <c r="P463" s="318"/>
      <c r="Q463" s="314"/>
      <c r="R463" s="316"/>
      <c r="S463" s="314"/>
      <c r="T463" s="314"/>
      <c r="U463" s="314"/>
      <c r="V463" s="314"/>
      <c r="W463" s="318"/>
      <c r="X463" s="314"/>
      <c r="Y463" s="314"/>
      <c r="Z463" s="697"/>
      <c r="AA463" s="315"/>
      <c r="AB463" s="314"/>
      <c r="AC463" s="314"/>
      <c r="AD463" s="324"/>
      <c r="AE463" s="155"/>
      <c r="AF463" s="155"/>
      <c r="AG463" s="322"/>
      <c r="AH463" s="132"/>
      <c r="AI463" s="132"/>
    </row>
    <row r="464">
      <c r="A464" s="314"/>
      <c r="B464" s="695"/>
      <c r="C464" s="696"/>
      <c r="D464" s="312"/>
      <c r="E464" s="314"/>
      <c r="F464" s="314"/>
      <c r="G464" s="314"/>
      <c r="H464" s="314"/>
      <c r="I464" s="318"/>
      <c r="J464" s="314"/>
      <c r="K464" s="314"/>
      <c r="L464" s="314"/>
      <c r="M464" s="314"/>
      <c r="N464" s="314"/>
      <c r="O464" s="314"/>
      <c r="P464" s="318"/>
      <c r="Q464" s="314"/>
      <c r="R464" s="316"/>
      <c r="S464" s="314"/>
      <c r="T464" s="314"/>
      <c r="U464" s="314"/>
      <c r="V464" s="314"/>
      <c r="W464" s="318"/>
      <c r="X464" s="314"/>
      <c r="Y464" s="314"/>
      <c r="Z464" s="697"/>
      <c r="AA464" s="315"/>
      <c r="AB464" s="314"/>
      <c r="AC464" s="314"/>
      <c r="AD464" s="324"/>
      <c r="AE464" s="155"/>
      <c r="AF464" s="155"/>
      <c r="AG464" s="322"/>
      <c r="AH464" s="132"/>
      <c r="AI464" s="132"/>
    </row>
    <row r="465">
      <c r="A465" s="314"/>
      <c r="B465" s="695"/>
      <c r="C465" s="696"/>
      <c r="D465" s="312"/>
      <c r="E465" s="314"/>
      <c r="F465" s="314"/>
      <c r="G465" s="314"/>
      <c r="H465" s="314"/>
      <c r="I465" s="318"/>
      <c r="J465" s="314"/>
      <c r="K465" s="314"/>
      <c r="L465" s="314"/>
      <c r="M465" s="314"/>
      <c r="N465" s="314"/>
      <c r="O465" s="314"/>
      <c r="P465" s="318"/>
      <c r="Q465" s="314"/>
      <c r="R465" s="316"/>
      <c r="S465" s="314"/>
      <c r="T465" s="314"/>
      <c r="U465" s="314"/>
      <c r="V465" s="314"/>
      <c r="W465" s="318"/>
      <c r="X465" s="314"/>
      <c r="Y465" s="314"/>
      <c r="Z465" s="697"/>
      <c r="AA465" s="315"/>
      <c r="AB465" s="314"/>
      <c r="AC465" s="314"/>
      <c r="AD465" s="324"/>
      <c r="AE465" s="155"/>
      <c r="AF465" s="155"/>
      <c r="AG465" s="322"/>
      <c r="AH465" s="132"/>
      <c r="AI465" s="132"/>
    </row>
    <row r="466">
      <c r="A466" s="314"/>
      <c r="B466" s="695"/>
      <c r="C466" s="696"/>
      <c r="D466" s="312"/>
      <c r="E466" s="314"/>
      <c r="F466" s="314"/>
      <c r="G466" s="314"/>
      <c r="H466" s="314"/>
      <c r="I466" s="318"/>
      <c r="J466" s="314"/>
      <c r="K466" s="314"/>
      <c r="L466" s="314"/>
      <c r="M466" s="314"/>
      <c r="N466" s="314"/>
      <c r="O466" s="314"/>
      <c r="P466" s="318"/>
      <c r="Q466" s="314"/>
      <c r="R466" s="316"/>
      <c r="S466" s="314"/>
      <c r="T466" s="314"/>
      <c r="U466" s="314"/>
      <c r="V466" s="314"/>
      <c r="W466" s="318"/>
      <c r="X466" s="314"/>
      <c r="Y466" s="314"/>
      <c r="Z466" s="697"/>
      <c r="AA466" s="315"/>
      <c r="AB466" s="314"/>
      <c r="AC466" s="314"/>
      <c r="AD466" s="324"/>
      <c r="AE466" s="155"/>
      <c r="AF466" s="155"/>
      <c r="AG466" s="322"/>
      <c r="AH466" s="132"/>
      <c r="AI466" s="132"/>
    </row>
    <row r="467">
      <c r="A467" s="314"/>
      <c r="B467" s="695"/>
      <c r="C467" s="696"/>
      <c r="D467" s="312"/>
      <c r="E467" s="314"/>
      <c r="F467" s="314"/>
      <c r="G467" s="314"/>
      <c r="H467" s="314"/>
      <c r="I467" s="318"/>
      <c r="J467" s="314"/>
      <c r="K467" s="314"/>
      <c r="L467" s="314"/>
      <c r="M467" s="314"/>
      <c r="N467" s="314"/>
      <c r="O467" s="314"/>
      <c r="P467" s="318"/>
      <c r="Q467" s="314"/>
      <c r="R467" s="316"/>
      <c r="S467" s="314"/>
      <c r="T467" s="314"/>
      <c r="U467" s="314"/>
      <c r="V467" s="314"/>
      <c r="W467" s="318"/>
      <c r="X467" s="314"/>
      <c r="Y467" s="314"/>
      <c r="Z467" s="697"/>
      <c r="AA467" s="315"/>
      <c r="AB467" s="314"/>
      <c r="AC467" s="314"/>
      <c r="AD467" s="324"/>
      <c r="AE467" s="155"/>
      <c r="AF467" s="155"/>
      <c r="AG467" s="322"/>
      <c r="AH467" s="132"/>
      <c r="AI467" s="132"/>
    </row>
    <row r="468">
      <c r="A468" s="314"/>
      <c r="B468" s="695"/>
      <c r="C468" s="696"/>
      <c r="D468" s="312"/>
      <c r="E468" s="314"/>
      <c r="F468" s="314"/>
      <c r="G468" s="314"/>
      <c r="H468" s="314"/>
      <c r="I468" s="318"/>
      <c r="J468" s="314"/>
      <c r="K468" s="314"/>
      <c r="L468" s="314"/>
      <c r="M468" s="314"/>
      <c r="N468" s="314"/>
      <c r="O468" s="314"/>
      <c r="P468" s="318"/>
      <c r="Q468" s="314"/>
      <c r="R468" s="316"/>
      <c r="S468" s="314"/>
      <c r="T468" s="314"/>
      <c r="U468" s="314"/>
      <c r="V468" s="314"/>
      <c r="W468" s="318"/>
      <c r="X468" s="314"/>
      <c r="Y468" s="314"/>
      <c r="Z468" s="697"/>
      <c r="AA468" s="315"/>
      <c r="AB468" s="314"/>
      <c r="AC468" s="314"/>
      <c r="AD468" s="324"/>
      <c r="AE468" s="155"/>
      <c r="AF468" s="155"/>
      <c r="AG468" s="322"/>
      <c r="AH468" s="132"/>
      <c r="AI468" s="132"/>
    </row>
    <row r="469">
      <c r="A469" s="314"/>
      <c r="B469" s="695"/>
      <c r="C469" s="696"/>
      <c r="D469" s="312"/>
      <c r="E469" s="314"/>
      <c r="F469" s="314"/>
      <c r="G469" s="314"/>
      <c r="H469" s="314"/>
      <c r="I469" s="318"/>
      <c r="J469" s="314"/>
      <c r="K469" s="314"/>
      <c r="L469" s="314"/>
      <c r="M469" s="314"/>
      <c r="N469" s="314"/>
      <c r="O469" s="314"/>
      <c r="P469" s="318"/>
      <c r="Q469" s="314"/>
      <c r="R469" s="316"/>
      <c r="S469" s="314"/>
      <c r="T469" s="314"/>
      <c r="U469" s="314"/>
      <c r="V469" s="314"/>
      <c r="W469" s="318"/>
      <c r="X469" s="314"/>
      <c r="Y469" s="314"/>
      <c r="Z469" s="697"/>
      <c r="AA469" s="315"/>
      <c r="AB469" s="314"/>
      <c r="AC469" s="314"/>
      <c r="AD469" s="324"/>
      <c r="AE469" s="155"/>
      <c r="AF469" s="155"/>
      <c r="AG469" s="322"/>
      <c r="AH469" s="132"/>
      <c r="AI469" s="132"/>
    </row>
    <row r="470">
      <c r="A470" s="314"/>
      <c r="B470" s="695"/>
      <c r="C470" s="696"/>
      <c r="D470" s="312"/>
      <c r="E470" s="314"/>
      <c r="F470" s="314"/>
      <c r="G470" s="314"/>
      <c r="H470" s="314"/>
      <c r="I470" s="318"/>
      <c r="J470" s="314"/>
      <c r="K470" s="314"/>
      <c r="L470" s="314"/>
      <c r="M470" s="314"/>
      <c r="N470" s="314"/>
      <c r="O470" s="314"/>
      <c r="P470" s="318"/>
      <c r="Q470" s="314"/>
      <c r="R470" s="316"/>
      <c r="S470" s="314"/>
      <c r="T470" s="314"/>
      <c r="U470" s="314"/>
      <c r="V470" s="314"/>
      <c r="W470" s="318"/>
      <c r="X470" s="314"/>
      <c r="Y470" s="314"/>
      <c r="Z470" s="697"/>
      <c r="AA470" s="315"/>
      <c r="AB470" s="314"/>
      <c r="AC470" s="314"/>
      <c r="AD470" s="324"/>
      <c r="AE470" s="155"/>
      <c r="AF470" s="155"/>
      <c r="AG470" s="322"/>
      <c r="AH470" s="132"/>
      <c r="AI470" s="132"/>
    </row>
    <row r="471">
      <c r="A471" s="314"/>
      <c r="B471" s="695"/>
      <c r="C471" s="696"/>
      <c r="D471" s="312"/>
      <c r="E471" s="314"/>
      <c r="F471" s="314"/>
      <c r="G471" s="314"/>
      <c r="H471" s="314"/>
      <c r="I471" s="318"/>
      <c r="J471" s="314"/>
      <c r="K471" s="314"/>
      <c r="L471" s="314"/>
      <c r="M471" s="314"/>
      <c r="N471" s="314"/>
      <c r="O471" s="314"/>
      <c r="P471" s="318"/>
      <c r="Q471" s="314"/>
      <c r="R471" s="316"/>
      <c r="S471" s="314"/>
      <c r="T471" s="314"/>
      <c r="U471" s="314"/>
      <c r="V471" s="314"/>
      <c r="W471" s="318"/>
      <c r="X471" s="314"/>
      <c r="Y471" s="314"/>
      <c r="Z471" s="697"/>
      <c r="AA471" s="315"/>
      <c r="AB471" s="314"/>
      <c r="AC471" s="314"/>
      <c r="AD471" s="324"/>
      <c r="AE471" s="155"/>
      <c r="AF471" s="155"/>
      <c r="AG471" s="322"/>
      <c r="AH471" s="132"/>
      <c r="AI471" s="132"/>
    </row>
    <row r="472">
      <c r="A472" s="314"/>
      <c r="B472" s="695"/>
      <c r="C472" s="696"/>
      <c r="D472" s="312"/>
      <c r="E472" s="314"/>
      <c r="F472" s="314"/>
      <c r="G472" s="314"/>
      <c r="H472" s="314"/>
      <c r="I472" s="318"/>
      <c r="J472" s="314"/>
      <c r="K472" s="314"/>
      <c r="L472" s="314"/>
      <c r="M472" s="314"/>
      <c r="N472" s="314"/>
      <c r="O472" s="314"/>
      <c r="P472" s="318"/>
      <c r="Q472" s="314"/>
      <c r="R472" s="316"/>
      <c r="S472" s="314"/>
      <c r="T472" s="314"/>
      <c r="U472" s="314"/>
      <c r="V472" s="314"/>
      <c r="W472" s="318"/>
      <c r="X472" s="314"/>
      <c r="Y472" s="314"/>
      <c r="Z472" s="697"/>
      <c r="AA472" s="315"/>
      <c r="AB472" s="314"/>
      <c r="AC472" s="314"/>
      <c r="AD472" s="324"/>
      <c r="AE472" s="155"/>
      <c r="AF472" s="155"/>
      <c r="AG472" s="322"/>
      <c r="AH472" s="132"/>
      <c r="AI472" s="132"/>
    </row>
    <row r="473">
      <c r="A473" s="314"/>
      <c r="B473" s="695"/>
      <c r="C473" s="696"/>
      <c r="D473" s="312"/>
      <c r="E473" s="314"/>
      <c r="F473" s="314"/>
      <c r="G473" s="314"/>
      <c r="H473" s="314"/>
      <c r="I473" s="318"/>
      <c r="J473" s="314"/>
      <c r="K473" s="314"/>
      <c r="L473" s="314"/>
      <c r="M473" s="314"/>
      <c r="N473" s="314"/>
      <c r="O473" s="314"/>
      <c r="P473" s="318"/>
      <c r="Q473" s="314"/>
      <c r="R473" s="316"/>
      <c r="S473" s="314"/>
      <c r="T473" s="314"/>
      <c r="U473" s="314"/>
      <c r="V473" s="314"/>
      <c r="W473" s="318"/>
      <c r="X473" s="314"/>
      <c r="Y473" s="314"/>
      <c r="Z473" s="697"/>
      <c r="AA473" s="315"/>
      <c r="AB473" s="314"/>
      <c r="AC473" s="314"/>
      <c r="AD473" s="324"/>
      <c r="AE473" s="155"/>
      <c r="AF473" s="155"/>
      <c r="AG473" s="322"/>
      <c r="AH473" s="132"/>
      <c r="AI473" s="132"/>
    </row>
    <row r="474">
      <c r="A474" s="314"/>
      <c r="B474" s="695"/>
      <c r="C474" s="696"/>
      <c r="D474" s="312"/>
      <c r="E474" s="314"/>
      <c r="F474" s="314"/>
      <c r="G474" s="314"/>
      <c r="H474" s="314"/>
      <c r="I474" s="318"/>
      <c r="J474" s="314"/>
      <c r="K474" s="314"/>
      <c r="L474" s="314"/>
      <c r="M474" s="314"/>
      <c r="N474" s="314"/>
      <c r="O474" s="314"/>
      <c r="P474" s="318"/>
      <c r="Q474" s="314"/>
      <c r="R474" s="316"/>
      <c r="S474" s="314"/>
      <c r="T474" s="314"/>
      <c r="U474" s="314"/>
      <c r="V474" s="314"/>
      <c r="W474" s="318"/>
      <c r="X474" s="314"/>
      <c r="Y474" s="314"/>
      <c r="Z474" s="697"/>
      <c r="AA474" s="315"/>
      <c r="AB474" s="314"/>
      <c r="AC474" s="314"/>
      <c r="AD474" s="324"/>
      <c r="AE474" s="155"/>
      <c r="AF474" s="155"/>
      <c r="AG474" s="322"/>
      <c r="AH474" s="132"/>
      <c r="AI474" s="132"/>
    </row>
    <row r="475">
      <c r="A475" s="314"/>
      <c r="B475" s="695"/>
      <c r="C475" s="696"/>
      <c r="D475" s="312"/>
      <c r="E475" s="314"/>
      <c r="F475" s="314"/>
      <c r="G475" s="314"/>
      <c r="H475" s="314"/>
      <c r="I475" s="318"/>
      <c r="J475" s="314"/>
      <c r="K475" s="314"/>
      <c r="L475" s="314"/>
      <c r="M475" s="314"/>
      <c r="N475" s="314"/>
      <c r="O475" s="314"/>
      <c r="P475" s="318"/>
      <c r="Q475" s="314"/>
      <c r="R475" s="316"/>
      <c r="S475" s="314"/>
      <c r="T475" s="314"/>
      <c r="U475" s="314"/>
      <c r="V475" s="314"/>
      <c r="W475" s="318"/>
      <c r="X475" s="314"/>
      <c r="Y475" s="314"/>
      <c r="Z475" s="697"/>
      <c r="AA475" s="315"/>
      <c r="AB475" s="314"/>
      <c r="AC475" s="314"/>
      <c r="AD475" s="324"/>
      <c r="AE475" s="155"/>
      <c r="AF475" s="155"/>
      <c r="AG475" s="322"/>
      <c r="AH475" s="132"/>
      <c r="AI475" s="132"/>
    </row>
    <row r="476">
      <c r="A476" s="314"/>
      <c r="B476" s="695"/>
      <c r="C476" s="696"/>
      <c r="D476" s="312"/>
      <c r="E476" s="314"/>
      <c r="F476" s="314"/>
      <c r="G476" s="314"/>
      <c r="H476" s="314"/>
      <c r="I476" s="318"/>
      <c r="J476" s="314"/>
      <c r="K476" s="314"/>
      <c r="L476" s="314"/>
      <c r="M476" s="314"/>
      <c r="N476" s="314"/>
      <c r="O476" s="314"/>
      <c r="P476" s="318"/>
      <c r="Q476" s="314"/>
      <c r="R476" s="316"/>
      <c r="S476" s="314"/>
      <c r="T476" s="314"/>
      <c r="U476" s="314"/>
      <c r="V476" s="314"/>
      <c r="W476" s="318"/>
      <c r="X476" s="314"/>
      <c r="Y476" s="314"/>
      <c r="Z476" s="697"/>
      <c r="AA476" s="315"/>
      <c r="AB476" s="314"/>
      <c r="AC476" s="314"/>
      <c r="AD476" s="324"/>
      <c r="AE476" s="155"/>
      <c r="AF476" s="155"/>
      <c r="AG476" s="322"/>
      <c r="AH476" s="132"/>
      <c r="AI476" s="132"/>
    </row>
    <row r="477">
      <c r="A477" s="314"/>
      <c r="B477" s="695"/>
      <c r="C477" s="696"/>
      <c r="D477" s="312"/>
      <c r="E477" s="314"/>
      <c r="F477" s="314"/>
      <c r="G477" s="314"/>
      <c r="H477" s="314"/>
      <c r="I477" s="318"/>
      <c r="J477" s="314"/>
      <c r="K477" s="314"/>
      <c r="L477" s="314"/>
      <c r="M477" s="314"/>
      <c r="N477" s="314"/>
      <c r="O477" s="314"/>
      <c r="P477" s="318"/>
      <c r="Q477" s="314"/>
      <c r="R477" s="316"/>
      <c r="S477" s="314"/>
      <c r="T477" s="314"/>
      <c r="U477" s="314"/>
      <c r="V477" s="314"/>
      <c r="W477" s="318"/>
      <c r="X477" s="314"/>
      <c r="Y477" s="314"/>
      <c r="Z477" s="697"/>
      <c r="AA477" s="315"/>
      <c r="AB477" s="314"/>
      <c r="AC477" s="314"/>
      <c r="AD477" s="324"/>
      <c r="AE477" s="155"/>
      <c r="AF477" s="155"/>
      <c r="AG477" s="322"/>
      <c r="AH477" s="132"/>
      <c r="AI477" s="132"/>
    </row>
    <row r="478">
      <c r="A478" s="314"/>
      <c r="B478" s="695"/>
      <c r="C478" s="696"/>
      <c r="D478" s="312"/>
      <c r="E478" s="314"/>
      <c r="F478" s="314"/>
      <c r="G478" s="314"/>
      <c r="H478" s="314"/>
      <c r="I478" s="318"/>
      <c r="J478" s="314"/>
      <c r="K478" s="314"/>
      <c r="L478" s="314"/>
      <c r="M478" s="314"/>
      <c r="N478" s="314"/>
      <c r="O478" s="314"/>
      <c r="P478" s="318"/>
      <c r="Q478" s="314"/>
      <c r="R478" s="316"/>
      <c r="S478" s="314"/>
      <c r="T478" s="314"/>
      <c r="U478" s="314"/>
      <c r="V478" s="314"/>
      <c r="W478" s="318"/>
      <c r="X478" s="314"/>
      <c r="Y478" s="314"/>
      <c r="Z478" s="697"/>
      <c r="AA478" s="315"/>
      <c r="AB478" s="314"/>
      <c r="AC478" s="314"/>
      <c r="AD478" s="324"/>
      <c r="AE478" s="155"/>
      <c r="AF478" s="155"/>
      <c r="AG478" s="322"/>
      <c r="AH478" s="132"/>
      <c r="AI478" s="132"/>
    </row>
    <row r="479">
      <c r="A479" s="314"/>
      <c r="B479" s="695"/>
      <c r="C479" s="696"/>
      <c r="D479" s="312"/>
      <c r="E479" s="314"/>
      <c r="F479" s="314"/>
      <c r="G479" s="314"/>
      <c r="H479" s="314"/>
      <c r="I479" s="318"/>
      <c r="J479" s="314"/>
      <c r="K479" s="314"/>
      <c r="L479" s="314"/>
      <c r="M479" s="314"/>
      <c r="N479" s="314"/>
      <c r="O479" s="314"/>
      <c r="P479" s="318"/>
      <c r="Q479" s="314"/>
      <c r="R479" s="316"/>
      <c r="S479" s="314"/>
      <c r="T479" s="314"/>
      <c r="U479" s="314"/>
      <c r="V479" s="314"/>
      <c r="W479" s="318"/>
      <c r="X479" s="314"/>
      <c r="Y479" s="314"/>
      <c r="Z479" s="697"/>
      <c r="AA479" s="315"/>
      <c r="AB479" s="314"/>
      <c r="AC479" s="314"/>
      <c r="AD479" s="324"/>
      <c r="AE479" s="155"/>
      <c r="AF479" s="155"/>
      <c r="AG479" s="322"/>
      <c r="AH479" s="132"/>
      <c r="AI479" s="132"/>
    </row>
    <row r="480">
      <c r="A480" s="314"/>
      <c r="B480" s="695"/>
      <c r="C480" s="696"/>
      <c r="D480" s="312"/>
      <c r="E480" s="314"/>
      <c r="F480" s="314"/>
      <c r="G480" s="314"/>
      <c r="H480" s="314"/>
      <c r="I480" s="318"/>
      <c r="J480" s="314"/>
      <c r="K480" s="314"/>
      <c r="L480" s="314"/>
      <c r="M480" s="314"/>
      <c r="N480" s="314"/>
      <c r="O480" s="314"/>
      <c r="P480" s="318"/>
      <c r="Q480" s="314"/>
      <c r="R480" s="316"/>
      <c r="S480" s="314"/>
      <c r="T480" s="314"/>
      <c r="U480" s="314"/>
      <c r="V480" s="314"/>
      <c r="W480" s="318"/>
      <c r="X480" s="314"/>
      <c r="Y480" s="314"/>
      <c r="Z480" s="697"/>
      <c r="AA480" s="315"/>
      <c r="AB480" s="314"/>
      <c r="AC480" s="314"/>
      <c r="AD480" s="324"/>
      <c r="AE480" s="155"/>
      <c r="AF480" s="155"/>
      <c r="AG480" s="322"/>
      <c r="AH480" s="132"/>
      <c r="AI480" s="132"/>
    </row>
    <row r="481">
      <c r="A481" s="314"/>
      <c r="B481" s="695"/>
      <c r="C481" s="696"/>
      <c r="D481" s="312"/>
      <c r="E481" s="314"/>
      <c r="F481" s="314"/>
      <c r="G481" s="314"/>
      <c r="H481" s="314"/>
      <c r="I481" s="318"/>
      <c r="J481" s="314"/>
      <c r="K481" s="314"/>
      <c r="L481" s="314"/>
      <c r="M481" s="314"/>
      <c r="N481" s="314"/>
      <c r="O481" s="314"/>
      <c r="P481" s="318"/>
      <c r="Q481" s="314"/>
      <c r="R481" s="316"/>
      <c r="S481" s="314"/>
      <c r="T481" s="314"/>
      <c r="U481" s="314"/>
      <c r="V481" s="314"/>
      <c r="W481" s="318"/>
      <c r="X481" s="314"/>
      <c r="Y481" s="314"/>
      <c r="Z481" s="697"/>
      <c r="AA481" s="315"/>
      <c r="AB481" s="314"/>
      <c r="AC481" s="314"/>
      <c r="AD481" s="324"/>
      <c r="AE481" s="155"/>
      <c r="AF481" s="155"/>
      <c r="AG481" s="322"/>
      <c r="AH481" s="132"/>
      <c r="AI481" s="132"/>
    </row>
    <row r="482">
      <c r="A482" s="314"/>
      <c r="B482" s="695"/>
      <c r="C482" s="696"/>
      <c r="D482" s="312"/>
      <c r="E482" s="314"/>
      <c r="F482" s="314"/>
      <c r="G482" s="314"/>
      <c r="H482" s="314"/>
      <c r="I482" s="318"/>
      <c r="J482" s="314"/>
      <c r="K482" s="314"/>
      <c r="L482" s="314"/>
      <c r="M482" s="314"/>
      <c r="N482" s="314"/>
      <c r="O482" s="314"/>
      <c r="P482" s="318"/>
      <c r="Q482" s="314"/>
      <c r="R482" s="316"/>
      <c r="S482" s="314"/>
      <c r="T482" s="314"/>
      <c r="U482" s="314"/>
      <c r="V482" s="314"/>
      <c r="W482" s="318"/>
      <c r="X482" s="314"/>
      <c r="Y482" s="314"/>
      <c r="Z482" s="697"/>
      <c r="AA482" s="315"/>
      <c r="AB482" s="314"/>
      <c r="AC482" s="314"/>
      <c r="AD482" s="324"/>
      <c r="AE482" s="155"/>
      <c r="AF482" s="155"/>
      <c r="AG482" s="322"/>
      <c r="AH482" s="132"/>
      <c r="AI482" s="132"/>
    </row>
    <row r="483">
      <c r="A483" s="314"/>
      <c r="B483" s="695"/>
      <c r="C483" s="696"/>
      <c r="D483" s="312"/>
      <c r="E483" s="314"/>
      <c r="F483" s="314"/>
      <c r="G483" s="314"/>
      <c r="H483" s="314"/>
      <c r="I483" s="318"/>
      <c r="J483" s="314"/>
      <c r="K483" s="314"/>
      <c r="L483" s="314"/>
      <c r="M483" s="314"/>
      <c r="N483" s="314"/>
      <c r="O483" s="314"/>
      <c r="P483" s="318"/>
      <c r="Q483" s="314"/>
      <c r="R483" s="316"/>
      <c r="S483" s="314"/>
      <c r="T483" s="314"/>
      <c r="U483" s="314"/>
      <c r="V483" s="314"/>
      <c r="W483" s="318"/>
      <c r="X483" s="314"/>
      <c r="Y483" s="314"/>
      <c r="Z483" s="697"/>
      <c r="AA483" s="315"/>
      <c r="AB483" s="314"/>
      <c r="AC483" s="314"/>
      <c r="AD483" s="324"/>
      <c r="AE483" s="155"/>
      <c r="AF483" s="155"/>
      <c r="AG483" s="322"/>
      <c r="AH483" s="132"/>
      <c r="AI483" s="132"/>
    </row>
    <row r="484">
      <c r="A484" s="314"/>
      <c r="B484" s="695"/>
      <c r="C484" s="696"/>
      <c r="D484" s="312"/>
      <c r="E484" s="314"/>
      <c r="F484" s="314"/>
      <c r="G484" s="314"/>
      <c r="H484" s="314"/>
      <c r="I484" s="318"/>
      <c r="J484" s="314"/>
      <c r="K484" s="314"/>
      <c r="L484" s="314"/>
      <c r="M484" s="314"/>
      <c r="N484" s="314"/>
      <c r="O484" s="314"/>
      <c r="P484" s="318"/>
      <c r="Q484" s="314"/>
      <c r="R484" s="316"/>
      <c r="S484" s="314"/>
      <c r="T484" s="314"/>
      <c r="U484" s="314"/>
      <c r="V484" s="314"/>
      <c r="W484" s="318"/>
      <c r="X484" s="314"/>
      <c r="Y484" s="314"/>
      <c r="Z484" s="697"/>
      <c r="AA484" s="315"/>
      <c r="AB484" s="314"/>
      <c r="AC484" s="314"/>
      <c r="AD484" s="324"/>
      <c r="AE484" s="155"/>
      <c r="AF484" s="155"/>
      <c r="AG484" s="322"/>
      <c r="AH484" s="132"/>
      <c r="AI484" s="132"/>
    </row>
    <row r="485">
      <c r="A485" s="314"/>
      <c r="B485" s="695"/>
      <c r="C485" s="696"/>
      <c r="D485" s="312"/>
      <c r="E485" s="314"/>
      <c r="F485" s="314"/>
      <c r="G485" s="314"/>
      <c r="H485" s="314"/>
      <c r="I485" s="318"/>
      <c r="J485" s="314"/>
      <c r="K485" s="314"/>
      <c r="L485" s="314"/>
      <c r="M485" s="314"/>
      <c r="N485" s="314"/>
      <c r="O485" s="314"/>
      <c r="P485" s="318"/>
      <c r="Q485" s="314"/>
      <c r="R485" s="316"/>
      <c r="S485" s="314"/>
      <c r="T485" s="314"/>
      <c r="U485" s="314"/>
      <c r="V485" s="314"/>
      <c r="W485" s="318"/>
      <c r="X485" s="314"/>
      <c r="Y485" s="314"/>
      <c r="Z485" s="697"/>
      <c r="AA485" s="315"/>
      <c r="AB485" s="314"/>
      <c r="AC485" s="314"/>
      <c r="AD485" s="324"/>
      <c r="AE485" s="155"/>
      <c r="AF485" s="155"/>
      <c r="AG485" s="322"/>
      <c r="AH485" s="132"/>
      <c r="AI485" s="132"/>
    </row>
    <row r="486">
      <c r="A486" s="314"/>
      <c r="B486" s="695"/>
      <c r="C486" s="696"/>
      <c r="D486" s="312"/>
      <c r="E486" s="314"/>
      <c r="F486" s="314"/>
      <c r="G486" s="314"/>
      <c r="H486" s="314"/>
      <c r="I486" s="318"/>
      <c r="J486" s="314"/>
      <c r="K486" s="314"/>
      <c r="L486" s="314"/>
      <c r="M486" s="314"/>
      <c r="N486" s="314"/>
      <c r="O486" s="314"/>
      <c r="P486" s="318"/>
      <c r="Q486" s="314"/>
      <c r="R486" s="316"/>
      <c r="S486" s="314"/>
      <c r="T486" s="314"/>
      <c r="U486" s="314"/>
      <c r="V486" s="314"/>
      <c r="W486" s="318"/>
      <c r="X486" s="314"/>
      <c r="Y486" s="314"/>
      <c r="Z486" s="697"/>
      <c r="AA486" s="315"/>
      <c r="AB486" s="314"/>
      <c r="AC486" s="314"/>
      <c r="AD486" s="324"/>
      <c r="AE486" s="155"/>
      <c r="AF486" s="155"/>
      <c r="AG486" s="322"/>
      <c r="AH486" s="132"/>
      <c r="AI486" s="132"/>
    </row>
    <row r="487">
      <c r="A487" s="314"/>
      <c r="B487" s="695"/>
      <c r="C487" s="696"/>
      <c r="D487" s="312"/>
      <c r="E487" s="314"/>
      <c r="F487" s="314"/>
      <c r="G487" s="314"/>
      <c r="H487" s="314"/>
      <c r="I487" s="318"/>
      <c r="J487" s="314"/>
      <c r="K487" s="314"/>
      <c r="L487" s="314"/>
      <c r="M487" s="314"/>
      <c r="N487" s="314"/>
      <c r="O487" s="314"/>
      <c r="P487" s="318"/>
      <c r="Q487" s="314"/>
      <c r="R487" s="316"/>
      <c r="S487" s="314"/>
      <c r="T487" s="314"/>
      <c r="U487" s="314"/>
      <c r="V487" s="314"/>
      <c r="W487" s="318"/>
      <c r="X487" s="314"/>
      <c r="Y487" s="314"/>
      <c r="Z487" s="697"/>
      <c r="AA487" s="315"/>
      <c r="AB487" s="314"/>
      <c r="AC487" s="314"/>
      <c r="AD487" s="324"/>
      <c r="AE487" s="155"/>
      <c r="AF487" s="155"/>
      <c r="AG487" s="322"/>
      <c r="AH487" s="132"/>
      <c r="AI487" s="132"/>
    </row>
    <row r="488">
      <c r="A488" s="314"/>
      <c r="B488" s="695"/>
      <c r="C488" s="696"/>
      <c r="D488" s="312"/>
      <c r="E488" s="314"/>
      <c r="F488" s="314"/>
      <c r="G488" s="314"/>
      <c r="H488" s="314"/>
      <c r="I488" s="318"/>
      <c r="J488" s="314"/>
      <c r="K488" s="314"/>
      <c r="L488" s="314"/>
      <c r="M488" s="314"/>
      <c r="N488" s="314"/>
      <c r="O488" s="314"/>
      <c r="P488" s="318"/>
      <c r="Q488" s="314"/>
      <c r="R488" s="316"/>
      <c r="S488" s="314"/>
      <c r="T488" s="314"/>
      <c r="U488" s="314"/>
      <c r="V488" s="314"/>
      <c r="W488" s="318"/>
      <c r="X488" s="314"/>
      <c r="Y488" s="314"/>
      <c r="Z488" s="697"/>
      <c r="AA488" s="315"/>
      <c r="AB488" s="314"/>
      <c r="AC488" s="314"/>
      <c r="AD488" s="324"/>
      <c r="AE488" s="155"/>
      <c r="AF488" s="155"/>
      <c r="AG488" s="322"/>
      <c r="AH488" s="132"/>
      <c r="AI488" s="132"/>
    </row>
    <row r="489">
      <c r="A489" s="314"/>
      <c r="B489" s="695"/>
      <c r="C489" s="696"/>
      <c r="D489" s="312"/>
      <c r="E489" s="314"/>
      <c r="F489" s="314"/>
      <c r="G489" s="314"/>
      <c r="H489" s="314"/>
      <c r="I489" s="318"/>
      <c r="J489" s="314"/>
      <c r="K489" s="314"/>
      <c r="L489" s="314"/>
      <c r="M489" s="314"/>
      <c r="N489" s="314"/>
      <c r="O489" s="314"/>
      <c r="P489" s="318"/>
      <c r="Q489" s="314"/>
      <c r="R489" s="316"/>
      <c r="S489" s="314"/>
      <c r="T489" s="314"/>
      <c r="U489" s="314"/>
      <c r="V489" s="314"/>
      <c r="W489" s="318"/>
      <c r="X489" s="314"/>
      <c r="Y489" s="314"/>
      <c r="Z489" s="697"/>
      <c r="AA489" s="315"/>
      <c r="AB489" s="314"/>
      <c r="AC489" s="314"/>
      <c r="AD489" s="324"/>
      <c r="AE489" s="155"/>
      <c r="AF489" s="155"/>
      <c r="AG489" s="322"/>
      <c r="AH489" s="132"/>
      <c r="AI489" s="132"/>
    </row>
    <row r="490">
      <c r="A490" s="314"/>
      <c r="B490" s="695"/>
      <c r="C490" s="696"/>
      <c r="D490" s="312"/>
      <c r="E490" s="314"/>
      <c r="F490" s="314"/>
      <c r="G490" s="314"/>
      <c r="H490" s="314"/>
      <c r="I490" s="318"/>
      <c r="J490" s="314"/>
      <c r="K490" s="314"/>
      <c r="L490" s="314"/>
      <c r="M490" s="314"/>
      <c r="N490" s="314"/>
      <c r="O490" s="314"/>
      <c r="P490" s="318"/>
      <c r="Q490" s="314"/>
      <c r="R490" s="316"/>
      <c r="S490" s="314"/>
      <c r="T490" s="314"/>
      <c r="U490" s="314"/>
      <c r="V490" s="314"/>
      <c r="W490" s="318"/>
      <c r="X490" s="314"/>
      <c r="Y490" s="314"/>
      <c r="Z490" s="697"/>
      <c r="AA490" s="315"/>
      <c r="AB490" s="314"/>
      <c r="AC490" s="314"/>
      <c r="AD490" s="324"/>
      <c r="AE490" s="155"/>
      <c r="AF490" s="155"/>
      <c r="AG490" s="322"/>
      <c r="AH490" s="132"/>
      <c r="AI490" s="132"/>
    </row>
    <row r="491">
      <c r="A491" s="314"/>
      <c r="B491" s="695"/>
      <c r="C491" s="696"/>
      <c r="D491" s="312"/>
      <c r="E491" s="314"/>
      <c r="F491" s="314"/>
      <c r="G491" s="314"/>
      <c r="H491" s="314"/>
      <c r="I491" s="318"/>
      <c r="J491" s="314"/>
      <c r="K491" s="314"/>
      <c r="L491" s="314"/>
      <c r="M491" s="314"/>
      <c r="N491" s="314"/>
      <c r="O491" s="314"/>
      <c r="P491" s="318"/>
      <c r="Q491" s="314"/>
      <c r="R491" s="316"/>
      <c r="S491" s="314"/>
      <c r="T491" s="314"/>
      <c r="U491" s="314"/>
      <c r="V491" s="314"/>
      <c r="W491" s="318"/>
      <c r="X491" s="314"/>
      <c r="Y491" s="314"/>
      <c r="Z491" s="697"/>
      <c r="AA491" s="315"/>
      <c r="AB491" s="314"/>
      <c r="AC491" s="314"/>
      <c r="AD491" s="324"/>
      <c r="AE491" s="155"/>
      <c r="AF491" s="155"/>
      <c r="AG491" s="322"/>
      <c r="AH491" s="132"/>
      <c r="AI491" s="132"/>
    </row>
    <row r="492">
      <c r="A492" s="314"/>
      <c r="B492" s="695"/>
      <c r="C492" s="696"/>
      <c r="D492" s="312"/>
      <c r="E492" s="314"/>
      <c r="F492" s="314"/>
      <c r="G492" s="314"/>
      <c r="H492" s="314"/>
      <c r="I492" s="318"/>
      <c r="J492" s="314"/>
      <c r="K492" s="314"/>
      <c r="L492" s="314"/>
      <c r="M492" s="314"/>
      <c r="N492" s="314"/>
      <c r="O492" s="314"/>
      <c r="P492" s="318"/>
      <c r="Q492" s="314"/>
      <c r="R492" s="316"/>
      <c r="S492" s="314"/>
      <c r="T492" s="314"/>
      <c r="U492" s="314"/>
      <c r="V492" s="314"/>
      <c r="W492" s="318"/>
      <c r="X492" s="314"/>
      <c r="Y492" s="314"/>
      <c r="Z492" s="697"/>
      <c r="AA492" s="315"/>
      <c r="AB492" s="314"/>
      <c r="AC492" s="314"/>
      <c r="AD492" s="324"/>
      <c r="AE492" s="155"/>
      <c r="AF492" s="155"/>
      <c r="AG492" s="322"/>
      <c r="AH492" s="132"/>
      <c r="AI492" s="132"/>
    </row>
    <row r="493">
      <c r="A493" s="314"/>
      <c r="B493" s="695"/>
      <c r="C493" s="696"/>
      <c r="D493" s="312"/>
      <c r="E493" s="314"/>
      <c r="F493" s="314"/>
      <c r="G493" s="314"/>
      <c r="H493" s="314"/>
      <c r="I493" s="318"/>
      <c r="J493" s="314"/>
      <c r="K493" s="314"/>
      <c r="L493" s="314"/>
      <c r="M493" s="314"/>
      <c r="N493" s="314"/>
      <c r="O493" s="314"/>
      <c r="P493" s="318"/>
      <c r="Q493" s="314"/>
      <c r="R493" s="316"/>
      <c r="S493" s="314"/>
      <c r="T493" s="314"/>
      <c r="U493" s="314"/>
      <c r="V493" s="314"/>
      <c r="W493" s="318"/>
      <c r="X493" s="314"/>
      <c r="Y493" s="314"/>
      <c r="Z493" s="697"/>
      <c r="AA493" s="315"/>
      <c r="AB493" s="314"/>
      <c r="AC493" s="314"/>
      <c r="AD493" s="324"/>
      <c r="AE493" s="155"/>
      <c r="AF493" s="155"/>
      <c r="AG493" s="322"/>
      <c r="AH493" s="132"/>
      <c r="AI493" s="132"/>
    </row>
    <row r="494">
      <c r="A494" s="314"/>
      <c r="B494" s="695"/>
      <c r="C494" s="696"/>
      <c r="D494" s="312"/>
      <c r="E494" s="314"/>
      <c r="F494" s="314"/>
      <c r="G494" s="314"/>
      <c r="H494" s="314"/>
      <c r="I494" s="318"/>
      <c r="J494" s="314"/>
      <c r="K494" s="314"/>
      <c r="L494" s="314"/>
      <c r="M494" s="314"/>
      <c r="N494" s="314"/>
      <c r="O494" s="314"/>
      <c r="P494" s="318"/>
      <c r="Q494" s="314"/>
      <c r="R494" s="316"/>
      <c r="S494" s="314"/>
      <c r="T494" s="314"/>
      <c r="U494" s="314"/>
      <c r="V494" s="314"/>
      <c r="W494" s="318"/>
      <c r="X494" s="314"/>
      <c r="Y494" s="314"/>
      <c r="Z494" s="697"/>
      <c r="AA494" s="315"/>
      <c r="AB494" s="314"/>
      <c r="AC494" s="314"/>
      <c r="AD494" s="324"/>
      <c r="AE494" s="155"/>
      <c r="AF494" s="155"/>
      <c r="AG494" s="322"/>
      <c r="AH494" s="132"/>
      <c r="AI494" s="132"/>
    </row>
    <row r="495">
      <c r="A495" s="314"/>
      <c r="B495" s="695"/>
      <c r="C495" s="696"/>
      <c r="D495" s="312"/>
      <c r="E495" s="314"/>
      <c r="F495" s="314"/>
      <c r="G495" s="314"/>
      <c r="H495" s="314"/>
      <c r="I495" s="318"/>
      <c r="J495" s="314"/>
      <c r="K495" s="314"/>
      <c r="L495" s="314"/>
      <c r="M495" s="314"/>
      <c r="N495" s="314"/>
      <c r="O495" s="314"/>
      <c r="P495" s="318"/>
      <c r="Q495" s="314"/>
      <c r="R495" s="316"/>
      <c r="S495" s="314"/>
      <c r="T495" s="314"/>
      <c r="U495" s="314"/>
      <c r="V495" s="314"/>
      <c r="W495" s="318"/>
      <c r="X495" s="314"/>
      <c r="Y495" s="314"/>
      <c r="Z495" s="697"/>
      <c r="AA495" s="315"/>
      <c r="AB495" s="314"/>
      <c r="AC495" s="314"/>
      <c r="AD495" s="324"/>
      <c r="AE495" s="155"/>
      <c r="AF495" s="155"/>
      <c r="AG495" s="322"/>
      <c r="AH495" s="132"/>
      <c r="AI495" s="132"/>
    </row>
    <row r="496">
      <c r="A496" s="314"/>
      <c r="B496" s="695"/>
      <c r="C496" s="696"/>
      <c r="D496" s="312"/>
      <c r="E496" s="314"/>
      <c r="F496" s="314"/>
      <c r="G496" s="314"/>
      <c r="H496" s="314"/>
      <c r="I496" s="318"/>
      <c r="J496" s="314"/>
      <c r="K496" s="314"/>
      <c r="L496" s="314"/>
      <c r="M496" s="314"/>
      <c r="N496" s="314"/>
      <c r="O496" s="314"/>
      <c r="P496" s="318"/>
      <c r="Q496" s="314"/>
      <c r="R496" s="316"/>
      <c r="S496" s="314"/>
      <c r="T496" s="314"/>
      <c r="U496" s="314"/>
      <c r="V496" s="314"/>
      <c r="W496" s="318"/>
      <c r="X496" s="314"/>
      <c r="Y496" s="314"/>
      <c r="Z496" s="697"/>
      <c r="AA496" s="315"/>
      <c r="AB496" s="314"/>
      <c r="AC496" s="314"/>
      <c r="AD496" s="324"/>
      <c r="AE496" s="155"/>
      <c r="AF496" s="155"/>
      <c r="AG496" s="322"/>
      <c r="AH496" s="132"/>
      <c r="AI496" s="132"/>
    </row>
    <row r="497">
      <c r="A497" s="314"/>
      <c r="B497" s="695"/>
      <c r="C497" s="696"/>
      <c r="D497" s="312"/>
      <c r="E497" s="314"/>
      <c r="F497" s="314"/>
      <c r="G497" s="314"/>
      <c r="H497" s="314"/>
      <c r="I497" s="318"/>
      <c r="J497" s="314"/>
      <c r="K497" s="314"/>
      <c r="L497" s="314"/>
      <c r="M497" s="314"/>
      <c r="N497" s="314"/>
      <c r="O497" s="314"/>
      <c r="P497" s="318"/>
      <c r="Q497" s="314"/>
      <c r="R497" s="316"/>
      <c r="S497" s="314"/>
      <c r="T497" s="314"/>
      <c r="U497" s="314"/>
      <c r="V497" s="314"/>
      <c r="W497" s="318"/>
      <c r="X497" s="314"/>
      <c r="Y497" s="314"/>
      <c r="Z497" s="697"/>
      <c r="AA497" s="315"/>
      <c r="AB497" s="314"/>
      <c r="AC497" s="314"/>
      <c r="AD497" s="324"/>
      <c r="AE497" s="155"/>
      <c r="AF497" s="155"/>
      <c r="AG497" s="322"/>
      <c r="AH497" s="132"/>
      <c r="AI497" s="132"/>
    </row>
    <row r="498">
      <c r="A498" s="314"/>
      <c r="B498" s="695"/>
      <c r="C498" s="696"/>
      <c r="D498" s="312"/>
      <c r="E498" s="314"/>
      <c r="F498" s="314"/>
      <c r="G498" s="314"/>
      <c r="H498" s="314"/>
      <c r="I498" s="318"/>
      <c r="J498" s="314"/>
      <c r="K498" s="314"/>
      <c r="L498" s="314"/>
      <c r="M498" s="314"/>
      <c r="N498" s="314"/>
      <c r="O498" s="314"/>
      <c r="P498" s="318"/>
      <c r="Q498" s="314"/>
      <c r="R498" s="316"/>
      <c r="S498" s="314"/>
      <c r="T498" s="314"/>
      <c r="U498" s="314"/>
      <c r="V498" s="314"/>
      <c r="W498" s="318"/>
      <c r="X498" s="314"/>
      <c r="Y498" s="314"/>
      <c r="Z498" s="697"/>
      <c r="AA498" s="315"/>
      <c r="AB498" s="314"/>
      <c r="AC498" s="314"/>
      <c r="AD498" s="324"/>
      <c r="AE498" s="155"/>
      <c r="AF498" s="155"/>
      <c r="AG498" s="322"/>
      <c r="AH498" s="132"/>
      <c r="AI498" s="132"/>
    </row>
    <row r="499">
      <c r="A499" s="314"/>
      <c r="B499" s="695"/>
      <c r="C499" s="696"/>
      <c r="D499" s="312"/>
      <c r="E499" s="314"/>
      <c r="F499" s="314"/>
      <c r="G499" s="314"/>
      <c r="H499" s="314"/>
      <c r="I499" s="318"/>
      <c r="J499" s="314"/>
      <c r="K499" s="314"/>
      <c r="L499" s="314"/>
      <c r="M499" s="314"/>
      <c r="N499" s="314"/>
      <c r="O499" s="314"/>
      <c r="P499" s="318"/>
      <c r="Q499" s="314"/>
      <c r="R499" s="316"/>
      <c r="S499" s="314"/>
      <c r="T499" s="314"/>
      <c r="U499" s="314"/>
      <c r="V499" s="314"/>
      <c r="W499" s="318"/>
      <c r="X499" s="314"/>
      <c r="Y499" s="314"/>
      <c r="Z499" s="697"/>
      <c r="AA499" s="315"/>
      <c r="AB499" s="314"/>
      <c r="AC499" s="314"/>
      <c r="AD499" s="324"/>
      <c r="AE499" s="155"/>
      <c r="AF499" s="155"/>
      <c r="AG499" s="322"/>
      <c r="AH499" s="132"/>
      <c r="AI499" s="132"/>
    </row>
    <row r="500">
      <c r="A500" s="314"/>
      <c r="B500" s="695"/>
      <c r="C500" s="696"/>
      <c r="D500" s="312"/>
      <c r="E500" s="314"/>
      <c r="F500" s="314"/>
      <c r="G500" s="314"/>
      <c r="H500" s="314"/>
      <c r="I500" s="318"/>
      <c r="J500" s="314"/>
      <c r="K500" s="314"/>
      <c r="L500" s="314"/>
      <c r="M500" s="314"/>
      <c r="N500" s="314"/>
      <c r="O500" s="314"/>
      <c r="P500" s="318"/>
      <c r="Q500" s="314"/>
      <c r="R500" s="316"/>
      <c r="S500" s="314"/>
      <c r="T500" s="314"/>
      <c r="U500" s="314"/>
      <c r="V500" s="314"/>
      <c r="W500" s="318"/>
      <c r="X500" s="314"/>
      <c r="Y500" s="314"/>
      <c r="Z500" s="697"/>
      <c r="AA500" s="315"/>
      <c r="AB500" s="314"/>
      <c r="AC500" s="314"/>
      <c r="AD500" s="324"/>
      <c r="AE500" s="155"/>
      <c r="AF500" s="155"/>
      <c r="AG500" s="322"/>
      <c r="AH500" s="132"/>
      <c r="AI500" s="132"/>
    </row>
    <row r="501">
      <c r="A501" s="314"/>
      <c r="B501" s="695"/>
      <c r="C501" s="696"/>
      <c r="D501" s="312"/>
      <c r="E501" s="314"/>
      <c r="F501" s="314"/>
      <c r="G501" s="314"/>
      <c r="H501" s="314"/>
      <c r="I501" s="318"/>
      <c r="J501" s="314"/>
      <c r="K501" s="314"/>
      <c r="L501" s="314"/>
      <c r="M501" s="314"/>
      <c r="N501" s="314"/>
      <c r="O501" s="314"/>
      <c r="P501" s="318"/>
      <c r="Q501" s="314"/>
      <c r="R501" s="316"/>
      <c r="S501" s="314"/>
      <c r="T501" s="314"/>
      <c r="U501" s="314"/>
      <c r="V501" s="314"/>
      <c r="W501" s="318"/>
      <c r="X501" s="314"/>
      <c r="Y501" s="314"/>
      <c r="Z501" s="697"/>
      <c r="AA501" s="315"/>
      <c r="AB501" s="314"/>
      <c r="AC501" s="314"/>
      <c r="AD501" s="324"/>
      <c r="AE501" s="155"/>
      <c r="AF501" s="155"/>
      <c r="AG501" s="322"/>
      <c r="AH501" s="132"/>
      <c r="AI501" s="132"/>
    </row>
    <row r="502">
      <c r="A502" s="314"/>
      <c r="B502" s="695"/>
      <c r="C502" s="696"/>
      <c r="D502" s="312"/>
      <c r="E502" s="314"/>
      <c r="F502" s="314"/>
      <c r="G502" s="314"/>
      <c r="H502" s="314"/>
      <c r="I502" s="318"/>
      <c r="J502" s="314"/>
      <c r="K502" s="314"/>
      <c r="L502" s="314"/>
      <c r="M502" s="314"/>
      <c r="N502" s="314"/>
      <c r="O502" s="314"/>
      <c r="P502" s="318"/>
      <c r="Q502" s="314"/>
      <c r="R502" s="316"/>
      <c r="S502" s="314"/>
      <c r="T502" s="314"/>
      <c r="U502" s="314"/>
      <c r="V502" s="314"/>
      <c r="W502" s="318"/>
      <c r="X502" s="314"/>
      <c r="Y502" s="314"/>
      <c r="Z502" s="697"/>
      <c r="AA502" s="315"/>
      <c r="AB502" s="314"/>
      <c r="AC502" s="314"/>
      <c r="AD502" s="324"/>
      <c r="AE502" s="155"/>
      <c r="AF502" s="155"/>
      <c r="AG502" s="322"/>
      <c r="AH502" s="132"/>
      <c r="AI502" s="132"/>
    </row>
    <row r="503">
      <c r="A503" s="314"/>
      <c r="B503" s="695"/>
      <c r="C503" s="696"/>
      <c r="D503" s="312"/>
      <c r="E503" s="314"/>
      <c r="F503" s="314"/>
      <c r="G503" s="314"/>
      <c r="H503" s="314"/>
      <c r="I503" s="318"/>
      <c r="J503" s="314"/>
      <c r="K503" s="314"/>
      <c r="L503" s="314"/>
      <c r="M503" s="314"/>
      <c r="N503" s="314"/>
      <c r="O503" s="314"/>
      <c r="P503" s="318"/>
      <c r="Q503" s="314"/>
      <c r="R503" s="316"/>
      <c r="S503" s="314"/>
      <c r="T503" s="314"/>
      <c r="U503" s="314"/>
      <c r="V503" s="314"/>
      <c r="W503" s="318"/>
      <c r="X503" s="314"/>
      <c r="Y503" s="314"/>
      <c r="Z503" s="697"/>
      <c r="AA503" s="315"/>
      <c r="AB503" s="314"/>
      <c r="AC503" s="314"/>
      <c r="AD503" s="324"/>
      <c r="AE503" s="155"/>
      <c r="AF503" s="155"/>
      <c r="AG503" s="322"/>
      <c r="AH503" s="132"/>
      <c r="AI503" s="132"/>
    </row>
    <row r="504">
      <c r="A504" s="314"/>
      <c r="B504" s="695"/>
      <c r="C504" s="696"/>
      <c r="D504" s="312"/>
      <c r="E504" s="314"/>
      <c r="F504" s="314"/>
      <c r="G504" s="314"/>
      <c r="H504" s="314"/>
      <c r="I504" s="318"/>
      <c r="J504" s="314"/>
      <c r="K504" s="314"/>
      <c r="L504" s="314"/>
      <c r="M504" s="314"/>
      <c r="N504" s="314"/>
      <c r="O504" s="314"/>
      <c r="P504" s="318"/>
      <c r="Q504" s="314"/>
      <c r="R504" s="316"/>
      <c r="S504" s="314"/>
      <c r="T504" s="314"/>
      <c r="U504" s="314"/>
      <c r="V504" s="314"/>
      <c r="W504" s="318"/>
      <c r="X504" s="314"/>
      <c r="Y504" s="314"/>
      <c r="Z504" s="697"/>
      <c r="AA504" s="315"/>
      <c r="AB504" s="314"/>
      <c r="AC504" s="314"/>
      <c r="AD504" s="324"/>
      <c r="AE504" s="155"/>
      <c r="AF504" s="155"/>
      <c r="AG504" s="322"/>
      <c r="AH504" s="132"/>
      <c r="AI504" s="132"/>
    </row>
    <row r="505">
      <c r="A505" s="314"/>
      <c r="B505" s="695"/>
      <c r="C505" s="696"/>
      <c r="D505" s="312"/>
      <c r="E505" s="314"/>
      <c r="F505" s="314"/>
      <c r="G505" s="314"/>
      <c r="H505" s="314"/>
      <c r="I505" s="318"/>
      <c r="J505" s="314"/>
      <c r="K505" s="314"/>
      <c r="L505" s="314"/>
      <c r="M505" s="314"/>
      <c r="N505" s="314"/>
      <c r="O505" s="314"/>
      <c r="P505" s="318"/>
      <c r="Q505" s="314"/>
      <c r="R505" s="316"/>
      <c r="S505" s="314"/>
      <c r="T505" s="314"/>
      <c r="U505" s="314"/>
      <c r="V505" s="314"/>
      <c r="W505" s="318"/>
      <c r="X505" s="314"/>
      <c r="Y505" s="314"/>
      <c r="Z505" s="697"/>
      <c r="AA505" s="315"/>
      <c r="AB505" s="314"/>
      <c r="AC505" s="314"/>
      <c r="AD505" s="324"/>
      <c r="AE505" s="155"/>
      <c r="AF505" s="155"/>
      <c r="AG505" s="322"/>
      <c r="AH505" s="132"/>
      <c r="AI505" s="132"/>
    </row>
    <row r="506">
      <c r="A506" s="314"/>
      <c r="B506" s="695"/>
      <c r="C506" s="696"/>
      <c r="D506" s="312"/>
      <c r="E506" s="314"/>
      <c r="F506" s="314"/>
      <c r="G506" s="314"/>
      <c r="H506" s="314"/>
      <c r="I506" s="318"/>
      <c r="J506" s="314"/>
      <c r="K506" s="314"/>
      <c r="L506" s="314"/>
      <c r="M506" s="314"/>
      <c r="N506" s="314"/>
      <c r="O506" s="314"/>
      <c r="P506" s="318"/>
      <c r="Q506" s="314"/>
      <c r="R506" s="316"/>
      <c r="S506" s="314"/>
      <c r="T506" s="314"/>
      <c r="U506" s="314"/>
      <c r="V506" s="314"/>
      <c r="W506" s="318"/>
      <c r="X506" s="314"/>
      <c r="Y506" s="314"/>
      <c r="Z506" s="697"/>
      <c r="AA506" s="315"/>
      <c r="AB506" s="314"/>
      <c r="AC506" s="314"/>
      <c r="AD506" s="324"/>
      <c r="AE506" s="155"/>
      <c r="AF506" s="155"/>
      <c r="AG506" s="322"/>
      <c r="AH506" s="132"/>
      <c r="AI506" s="132"/>
    </row>
    <row r="507">
      <c r="A507" s="435"/>
      <c r="B507" s="695"/>
      <c r="C507" s="739"/>
      <c r="D507" s="312"/>
      <c r="E507" s="435"/>
      <c r="F507" s="314"/>
      <c r="G507" s="314"/>
      <c r="H507" s="435"/>
      <c r="I507" s="740"/>
      <c r="J507" s="314"/>
      <c r="K507" s="435"/>
      <c r="L507" s="435"/>
      <c r="M507" s="314"/>
      <c r="N507" s="314"/>
      <c r="O507" s="314"/>
      <c r="P507" s="740"/>
      <c r="Q507" s="435"/>
      <c r="R507" s="742"/>
      <c r="S507" s="435"/>
      <c r="T507" s="435"/>
      <c r="U507" s="435"/>
      <c r="V507" s="435"/>
      <c r="W507" s="740"/>
      <c r="X507" s="435"/>
      <c r="Y507" s="435"/>
      <c r="Z507" s="743"/>
      <c r="AA507" s="744"/>
      <c r="AB507" s="435"/>
      <c r="AC507" s="435"/>
      <c r="AD507" s="324"/>
      <c r="AE507" s="180"/>
      <c r="AF507" s="155"/>
      <c r="AG507" s="322"/>
      <c r="AH507" s="132"/>
      <c r="AI507" s="132"/>
    </row>
    <row r="508">
      <c r="A508" s="435"/>
      <c r="B508" s="695"/>
      <c r="C508" s="696"/>
      <c r="D508" s="745"/>
      <c r="E508" s="314"/>
      <c r="F508" s="314"/>
      <c r="G508" s="314"/>
      <c r="H508" s="314"/>
      <c r="I508" s="318"/>
      <c r="J508" s="314"/>
      <c r="K508" s="314"/>
      <c r="L508" s="314"/>
      <c r="M508" s="435"/>
      <c r="N508" s="435"/>
      <c r="O508" s="314"/>
      <c r="P508" s="318"/>
      <c r="Q508" s="314"/>
      <c r="R508" s="316"/>
      <c r="S508" s="314"/>
      <c r="T508" s="314"/>
      <c r="U508" s="314"/>
      <c r="V508" s="314"/>
      <c r="W508" s="318"/>
      <c r="X508" s="314"/>
      <c r="Y508" s="314"/>
      <c r="Z508" s="697"/>
      <c r="AA508" s="315"/>
      <c r="AB508" s="314"/>
      <c r="AC508" s="314"/>
      <c r="AD508" s="324"/>
      <c r="AE508" s="180"/>
      <c r="AF508" s="155"/>
      <c r="AG508" s="322"/>
      <c r="AH508" s="132"/>
      <c r="AI508" s="132"/>
    </row>
    <row r="509">
      <c r="A509" s="435"/>
      <c r="B509" s="746"/>
      <c r="C509" s="739"/>
      <c r="D509" s="745"/>
      <c r="E509" s="435"/>
      <c r="F509" s="314"/>
      <c r="G509" s="314"/>
      <c r="H509" s="314"/>
      <c r="I509" s="740"/>
      <c r="J509" s="435"/>
      <c r="K509" s="435"/>
      <c r="L509" s="435"/>
      <c r="M509" s="435"/>
      <c r="N509" s="435"/>
      <c r="O509" s="314"/>
      <c r="P509" s="740"/>
      <c r="Q509" s="314"/>
      <c r="R509" s="742"/>
      <c r="S509" s="435"/>
      <c r="T509" s="435"/>
      <c r="U509" s="435"/>
      <c r="V509" s="435"/>
      <c r="W509" s="740"/>
      <c r="X509" s="435"/>
      <c r="Y509" s="435"/>
      <c r="Z509" s="743"/>
      <c r="AA509" s="744"/>
      <c r="AB509" s="435"/>
      <c r="AC509" s="435"/>
      <c r="AD509" s="324"/>
      <c r="AE509" s="180"/>
      <c r="AF509" s="155"/>
      <c r="AG509" s="322"/>
      <c r="AH509" s="132"/>
      <c r="AI509" s="132"/>
    </row>
    <row r="510">
      <c r="A510" s="435"/>
      <c r="B510" s="695"/>
      <c r="C510" s="696"/>
      <c r="D510" s="745"/>
      <c r="E510" s="314"/>
      <c r="F510" s="314"/>
      <c r="G510" s="314"/>
      <c r="H510" s="314"/>
      <c r="I510" s="740"/>
      <c r="J510" s="314"/>
      <c r="K510" s="435"/>
      <c r="L510" s="314"/>
      <c r="M510" s="314"/>
      <c r="N510" s="314"/>
      <c r="O510" s="314"/>
      <c r="P510" s="318"/>
      <c r="Q510" s="435"/>
      <c r="R510" s="742"/>
      <c r="S510" s="314"/>
      <c r="T510" s="314"/>
      <c r="U510" s="314"/>
      <c r="V510" s="314"/>
      <c r="W510" s="318"/>
      <c r="X510" s="314"/>
      <c r="Y510" s="314"/>
      <c r="Z510" s="697"/>
      <c r="AA510" s="315"/>
      <c r="AB510" s="314"/>
      <c r="AC510" s="314"/>
      <c r="AD510" s="324"/>
      <c r="AE510" s="180"/>
      <c r="AF510" s="155"/>
      <c r="AG510" s="322"/>
      <c r="AH510" s="132"/>
      <c r="AI510" s="132"/>
    </row>
    <row r="511">
      <c r="A511" s="435"/>
      <c r="B511" s="746"/>
      <c r="C511" s="739"/>
      <c r="D511" s="745"/>
      <c r="E511" s="435"/>
      <c r="F511" s="314"/>
      <c r="G511" s="314"/>
      <c r="H511" s="435"/>
      <c r="I511" s="740"/>
      <c r="J511" s="435"/>
      <c r="K511" s="435"/>
      <c r="L511" s="435"/>
      <c r="M511" s="435"/>
      <c r="N511" s="435"/>
      <c r="O511" s="314"/>
      <c r="P511" s="740"/>
      <c r="Q511" s="435"/>
      <c r="R511" s="742"/>
      <c r="S511" s="435"/>
      <c r="T511" s="435"/>
      <c r="U511" s="435"/>
      <c r="V511" s="435"/>
      <c r="W511" s="740"/>
      <c r="X511" s="435"/>
      <c r="Y511" s="435"/>
      <c r="Z511" s="743"/>
      <c r="AA511" s="744"/>
      <c r="AB511" s="435"/>
      <c r="AC511" s="435"/>
      <c r="AD511" s="324"/>
      <c r="AE511" s="180"/>
      <c r="AF511" s="155"/>
      <c r="AG511" s="322"/>
      <c r="AH511" s="132"/>
      <c r="AI511" s="132"/>
    </row>
    <row r="512">
      <c r="A512" s="435"/>
      <c r="B512" s="746"/>
      <c r="C512" s="696"/>
      <c r="D512" s="745"/>
      <c r="E512" s="314"/>
      <c r="F512" s="314"/>
      <c r="G512" s="314"/>
      <c r="H512" s="314"/>
      <c r="I512" s="318"/>
      <c r="J512" s="314"/>
      <c r="K512" s="435"/>
      <c r="L512" s="314"/>
      <c r="M512" s="314"/>
      <c r="N512" s="314"/>
      <c r="O512" s="314"/>
      <c r="P512" s="318"/>
      <c r="Q512" s="314"/>
      <c r="R512" s="316"/>
      <c r="S512" s="435"/>
      <c r="T512" s="435"/>
      <c r="U512" s="435"/>
      <c r="V512" s="435"/>
      <c r="W512" s="740"/>
      <c r="X512" s="435"/>
      <c r="Y512" s="435"/>
      <c r="Z512" s="743"/>
      <c r="AA512" s="744"/>
      <c r="AB512" s="435"/>
      <c r="AC512" s="435"/>
      <c r="AD512" s="324"/>
      <c r="AE512" s="180"/>
      <c r="AF512" s="155"/>
      <c r="AG512" s="322"/>
      <c r="AH512" s="132"/>
      <c r="AI512" s="132"/>
    </row>
    <row r="513">
      <c r="A513" s="435"/>
      <c r="B513" s="746"/>
      <c r="C513" s="739"/>
      <c r="D513" s="745"/>
      <c r="E513" s="435"/>
      <c r="F513" s="314"/>
      <c r="G513" s="314"/>
      <c r="H513" s="435"/>
      <c r="I513" s="318"/>
      <c r="J513" s="314"/>
      <c r="K513" s="435"/>
      <c r="L513" s="314"/>
      <c r="M513" s="314"/>
      <c r="N513" s="314"/>
      <c r="O513" s="314"/>
      <c r="P513" s="740"/>
      <c r="Q513" s="435"/>
      <c r="R513" s="742"/>
      <c r="S513" s="435"/>
      <c r="T513" s="435"/>
      <c r="U513" s="435"/>
      <c r="V513" s="435"/>
      <c r="W513" s="740"/>
      <c r="X513" s="435"/>
      <c r="Y513" s="435"/>
      <c r="Z513" s="743"/>
      <c r="AA513" s="744"/>
      <c r="AB513" s="435"/>
      <c r="AC513" s="435"/>
      <c r="AD513" s="324"/>
      <c r="AE513" s="180"/>
      <c r="AF513" s="155"/>
      <c r="AG513" s="322"/>
      <c r="AH513" s="132"/>
      <c r="AI513" s="132"/>
    </row>
    <row r="514">
      <c r="A514" s="435"/>
      <c r="B514" s="746"/>
      <c r="C514" s="739"/>
      <c r="D514" s="745"/>
      <c r="E514" s="435"/>
      <c r="F514" s="314"/>
      <c r="G514" s="314"/>
      <c r="H514" s="435"/>
      <c r="I514" s="740"/>
      <c r="J514" s="435"/>
      <c r="K514" s="435"/>
      <c r="L514" s="435"/>
      <c r="M514" s="435"/>
      <c r="N514" s="435"/>
      <c r="O514" s="314"/>
      <c r="P514" s="740"/>
      <c r="Q514" s="435"/>
      <c r="R514" s="742"/>
      <c r="S514" s="435"/>
      <c r="T514" s="435"/>
      <c r="U514" s="435"/>
      <c r="V514" s="435"/>
      <c r="W514" s="740"/>
      <c r="X514" s="435"/>
      <c r="Y514" s="435"/>
      <c r="Z514" s="743"/>
      <c r="AA514" s="744"/>
      <c r="AB514" s="435"/>
      <c r="AC514" s="435"/>
      <c r="AD514" s="324"/>
      <c r="AE514" s="180"/>
      <c r="AF514" s="155"/>
      <c r="AG514" s="322"/>
      <c r="AH514" s="132"/>
      <c r="AI514" s="132"/>
    </row>
    <row r="515">
      <c r="A515" s="435"/>
      <c r="B515" s="695"/>
      <c r="C515" s="696"/>
      <c r="D515" s="312"/>
      <c r="E515" s="435"/>
      <c r="F515" s="314"/>
      <c r="G515" s="314"/>
      <c r="H515" s="435"/>
      <c r="I515" s="318"/>
      <c r="J515" s="314"/>
      <c r="K515" s="314"/>
      <c r="L515" s="314"/>
      <c r="M515" s="314"/>
      <c r="N515" s="314"/>
      <c r="O515" s="314"/>
      <c r="P515" s="318"/>
      <c r="Q515" s="314"/>
      <c r="R515" s="316"/>
      <c r="S515" s="314"/>
      <c r="T515" s="314"/>
      <c r="U515" s="314"/>
      <c r="V515" s="314"/>
      <c r="W515" s="318"/>
      <c r="X515" s="314"/>
      <c r="Y515" s="314"/>
      <c r="Z515" s="697"/>
      <c r="AA515" s="315"/>
      <c r="AB515" s="314"/>
      <c r="AC515" s="314"/>
      <c r="AD515" s="324"/>
      <c r="AE515" s="180"/>
      <c r="AF515" s="155"/>
      <c r="AG515" s="322"/>
      <c r="AH515" s="132"/>
      <c r="AI515" s="132"/>
    </row>
    <row r="516">
      <c r="A516" s="435"/>
      <c r="B516" s="695"/>
      <c r="C516" s="696"/>
      <c r="D516" s="745"/>
      <c r="E516" s="314"/>
      <c r="F516" s="314"/>
      <c r="G516" s="314"/>
      <c r="H516" s="435"/>
      <c r="I516" s="318"/>
      <c r="J516" s="435"/>
      <c r="K516" s="435"/>
      <c r="L516" s="314"/>
      <c r="M516" s="435"/>
      <c r="N516" s="314"/>
      <c r="O516" s="314"/>
      <c r="P516" s="318"/>
      <c r="Q516" s="314"/>
      <c r="R516" s="742"/>
      <c r="S516" s="435"/>
      <c r="T516" s="435"/>
      <c r="U516" s="435"/>
      <c r="V516" s="435"/>
      <c r="W516" s="740"/>
      <c r="X516" s="435"/>
      <c r="Y516" s="435"/>
      <c r="Z516" s="743"/>
      <c r="AA516" s="744"/>
      <c r="AB516" s="435"/>
      <c r="AC516" s="435"/>
      <c r="AD516" s="324"/>
      <c r="AE516" s="180"/>
      <c r="AF516" s="155"/>
      <c r="AG516" s="322"/>
      <c r="AH516" s="132"/>
      <c r="AI516" s="132"/>
    </row>
    <row r="517">
      <c r="A517" s="435"/>
      <c r="B517" s="695"/>
      <c r="C517" s="696"/>
      <c r="D517" s="312"/>
      <c r="E517" s="314"/>
      <c r="F517" s="314"/>
      <c r="G517" s="314"/>
      <c r="H517" s="314"/>
      <c r="I517" s="318"/>
      <c r="J517" s="314"/>
      <c r="K517" s="314"/>
      <c r="L517" s="314"/>
      <c r="M517" s="314"/>
      <c r="N517" s="314"/>
      <c r="O517" s="314"/>
      <c r="P517" s="318"/>
      <c r="Q517" s="435"/>
      <c r="R517" s="316"/>
      <c r="S517" s="435"/>
      <c r="T517" s="435"/>
      <c r="U517" s="435"/>
      <c r="V517" s="435"/>
      <c r="W517" s="740"/>
      <c r="X517" s="435"/>
      <c r="Y517" s="435"/>
      <c r="Z517" s="743"/>
      <c r="AA517" s="744"/>
      <c r="AB517" s="435"/>
      <c r="AC517" s="435"/>
      <c r="AD517" s="324"/>
      <c r="AE517" s="180"/>
      <c r="AF517" s="155"/>
      <c r="AG517" s="322"/>
      <c r="AH517" s="132"/>
      <c r="AI517" s="132"/>
    </row>
    <row r="518">
      <c r="A518" s="435"/>
      <c r="B518" s="746"/>
      <c r="C518" s="696"/>
      <c r="D518" s="312"/>
      <c r="E518" s="314"/>
      <c r="F518" s="314"/>
      <c r="G518" s="314"/>
      <c r="H518" s="435"/>
      <c r="I518" s="318"/>
      <c r="J518" s="435"/>
      <c r="K518" s="435"/>
      <c r="L518" s="314"/>
      <c r="M518" s="314"/>
      <c r="N518" s="435"/>
      <c r="O518" s="314"/>
      <c r="P518" s="318"/>
      <c r="Q518" s="314"/>
      <c r="R518" s="742"/>
      <c r="S518" s="435"/>
      <c r="T518" s="435"/>
      <c r="U518" s="435"/>
      <c r="V518" s="435"/>
      <c r="W518" s="740"/>
      <c r="X518" s="435"/>
      <c r="Y518" s="435"/>
      <c r="Z518" s="743"/>
      <c r="AA518" s="744"/>
      <c r="AB518" s="435"/>
      <c r="AC518" s="435"/>
      <c r="AD518" s="324"/>
      <c r="AE518" s="180"/>
      <c r="AF518" s="155"/>
      <c r="AG518" s="322"/>
      <c r="AH518" s="132"/>
      <c r="AI518" s="132"/>
    </row>
    <row r="519">
      <c r="A519" s="435"/>
      <c r="B519" s="695"/>
      <c r="C519" s="739"/>
      <c r="D519" s="745"/>
      <c r="E519" s="435"/>
      <c r="F519" s="314"/>
      <c r="G519" s="314"/>
      <c r="H519" s="435"/>
      <c r="I519" s="318"/>
      <c r="J519" s="314"/>
      <c r="K519" s="435"/>
      <c r="L519" s="314"/>
      <c r="M519" s="314"/>
      <c r="N519" s="314"/>
      <c r="O519" s="314"/>
      <c r="P519" s="318"/>
      <c r="Q519" s="314"/>
      <c r="R519" s="316"/>
      <c r="S519" s="435"/>
      <c r="T519" s="435"/>
      <c r="U519" s="435"/>
      <c r="V519" s="435"/>
      <c r="W519" s="740"/>
      <c r="X519" s="435"/>
      <c r="Y519" s="435"/>
      <c r="Z519" s="743"/>
      <c r="AA519" s="744"/>
      <c r="AB519" s="435"/>
      <c r="AC519" s="435"/>
      <c r="AD519" s="324"/>
      <c r="AE519" s="180"/>
      <c r="AF519" s="155"/>
      <c r="AG519" s="322"/>
      <c r="AH519" s="132"/>
      <c r="AI519" s="132"/>
    </row>
    <row r="520">
      <c r="A520" s="435"/>
      <c r="B520" s="695"/>
      <c r="C520" s="696"/>
      <c r="D520" s="312"/>
      <c r="E520" s="314"/>
      <c r="F520" s="314"/>
      <c r="G520" s="314"/>
      <c r="H520" s="435"/>
      <c r="I520" s="318"/>
      <c r="J520" s="314"/>
      <c r="K520" s="314"/>
      <c r="L520" s="314"/>
      <c r="M520" s="314"/>
      <c r="N520" s="314"/>
      <c r="O520" s="314"/>
      <c r="P520" s="318"/>
      <c r="Q520" s="314"/>
      <c r="R520" s="742"/>
      <c r="S520" s="314"/>
      <c r="T520" s="314"/>
      <c r="U520" s="314"/>
      <c r="V520" s="314"/>
      <c r="W520" s="318"/>
      <c r="X520" s="314"/>
      <c r="Y520" s="314"/>
      <c r="Z520" s="697"/>
      <c r="AA520" s="315"/>
      <c r="AB520" s="314"/>
      <c r="AC520" s="314"/>
      <c r="AD520" s="324"/>
      <c r="AE520" s="180"/>
      <c r="AF520" s="155"/>
      <c r="AG520" s="322"/>
      <c r="AH520" s="132"/>
      <c r="AI520" s="132"/>
    </row>
    <row r="521">
      <c r="A521" s="435"/>
      <c r="B521" s="746"/>
      <c r="C521" s="739"/>
      <c r="D521" s="745"/>
      <c r="E521" s="435"/>
      <c r="F521" s="314"/>
      <c r="G521" s="314"/>
      <c r="H521" s="435"/>
      <c r="I521" s="740"/>
      <c r="J521" s="435"/>
      <c r="K521" s="435"/>
      <c r="L521" s="435"/>
      <c r="M521" s="435"/>
      <c r="N521" s="435"/>
      <c r="O521" s="314"/>
      <c r="P521" s="740"/>
      <c r="Q521" s="435"/>
      <c r="R521" s="742"/>
      <c r="S521" s="435"/>
      <c r="T521" s="435"/>
      <c r="U521" s="435"/>
      <c r="V521" s="435"/>
      <c r="W521" s="740"/>
      <c r="X521" s="435"/>
      <c r="Y521" s="435"/>
      <c r="Z521" s="743"/>
      <c r="AA521" s="744"/>
      <c r="AB521" s="435"/>
      <c r="AC521" s="435"/>
      <c r="AD521" s="324"/>
      <c r="AE521" s="180"/>
      <c r="AF521" s="155"/>
      <c r="AG521" s="322"/>
      <c r="AH521" s="132"/>
      <c r="AI521" s="132"/>
    </row>
    <row r="522">
      <c r="A522" s="435"/>
      <c r="B522" s="695"/>
      <c r="C522" s="696"/>
      <c r="D522" s="312"/>
      <c r="E522" s="314"/>
      <c r="F522" s="314"/>
      <c r="G522" s="314"/>
      <c r="H522" s="314"/>
      <c r="I522" s="318"/>
      <c r="J522" s="314"/>
      <c r="K522" s="314"/>
      <c r="L522" s="314"/>
      <c r="M522" s="435"/>
      <c r="N522" s="314"/>
      <c r="O522" s="314"/>
      <c r="P522" s="318"/>
      <c r="Q522" s="314"/>
      <c r="R522" s="316"/>
      <c r="S522" s="314"/>
      <c r="T522" s="314"/>
      <c r="U522" s="314"/>
      <c r="V522" s="314"/>
      <c r="W522" s="318"/>
      <c r="X522" s="314"/>
      <c r="Y522" s="314"/>
      <c r="Z522" s="697"/>
      <c r="AA522" s="315"/>
      <c r="AB522" s="314"/>
      <c r="AC522" s="314"/>
      <c r="AD522" s="324"/>
      <c r="AE522" s="180"/>
      <c r="AF522" s="155"/>
      <c r="AG522" s="322"/>
      <c r="AH522" s="132"/>
      <c r="AI522" s="132"/>
    </row>
    <row r="523">
      <c r="A523" s="435"/>
      <c r="B523" s="695"/>
      <c r="C523" s="739"/>
      <c r="D523" s="745"/>
      <c r="E523" s="435"/>
      <c r="F523" s="314"/>
      <c r="G523" s="314"/>
      <c r="H523" s="435"/>
      <c r="I523" s="740"/>
      <c r="J523" s="435"/>
      <c r="K523" s="435"/>
      <c r="L523" s="314"/>
      <c r="M523" s="435"/>
      <c r="N523" s="435"/>
      <c r="O523" s="314"/>
      <c r="P523" s="740"/>
      <c r="Q523" s="435"/>
      <c r="R523" s="742"/>
      <c r="S523" s="435"/>
      <c r="T523" s="435"/>
      <c r="U523" s="435"/>
      <c r="V523" s="435"/>
      <c r="W523" s="740"/>
      <c r="X523" s="435"/>
      <c r="Y523" s="435"/>
      <c r="Z523" s="743"/>
      <c r="AA523" s="744"/>
      <c r="AB523" s="435"/>
      <c r="AC523" s="435"/>
      <c r="AD523" s="324"/>
      <c r="AE523" s="180"/>
      <c r="AF523" s="155"/>
      <c r="AG523" s="322"/>
      <c r="AH523" s="132"/>
      <c r="AI523" s="132"/>
    </row>
    <row r="524">
      <c r="A524" s="435"/>
      <c r="B524" s="746"/>
      <c r="C524" s="739"/>
      <c r="D524" s="312"/>
      <c r="E524" s="435"/>
      <c r="F524" s="314"/>
      <c r="G524" s="314"/>
      <c r="H524" s="435"/>
      <c r="I524" s="740"/>
      <c r="J524" s="314"/>
      <c r="K524" s="435"/>
      <c r="L524" s="435"/>
      <c r="M524" s="314"/>
      <c r="N524" s="435"/>
      <c r="O524" s="314"/>
      <c r="P524" s="740"/>
      <c r="Q524" s="314"/>
      <c r="R524" s="742"/>
      <c r="S524" s="435"/>
      <c r="T524" s="435"/>
      <c r="U524" s="435"/>
      <c r="V524" s="435"/>
      <c r="W524" s="740"/>
      <c r="X524" s="435"/>
      <c r="Y524" s="435"/>
      <c r="Z524" s="743"/>
      <c r="AA524" s="744"/>
      <c r="AB524" s="435"/>
      <c r="AC524" s="435"/>
      <c r="AD524" s="324"/>
      <c r="AE524" s="180"/>
      <c r="AF524" s="155"/>
      <c r="AG524" s="322"/>
      <c r="AH524" s="132"/>
      <c r="AI524" s="132"/>
    </row>
    <row r="525">
      <c r="A525" s="458"/>
      <c r="B525" s="746"/>
      <c r="C525" s="739"/>
      <c r="D525" s="745"/>
      <c r="E525" s="435"/>
      <c r="F525" s="314"/>
      <c r="G525" s="314"/>
      <c r="H525" s="314"/>
      <c r="I525" s="740"/>
      <c r="J525" s="435"/>
      <c r="K525" s="435"/>
      <c r="L525" s="435"/>
      <c r="M525" s="435"/>
      <c r="N525" s="435"/>
      <c r="O525" s="314"/>
      <c r="P525" s="740"/>
      <c r="Q525" s="435"/>
      <c r="R525" s="742"/>
      <c r="S525" s="435"/>
      <c r="T525" s="435"/>
      <c r="U525" s="435"/>
      <c r="V525" s="435"/>
      <c r="W525" s="740"/>
      <c r="X525" s="435"/>
      <c r="Y525" s="435"/>
      <c r="Z525" s="743"/>
      <c r="AA525" s="744"/>
      <c r="AB525" s="435"/>
      <c r="AC525" s="435"/>
      <c r="AD525" s="324"/>
      <c r="AE525" s="180"/>
      <c r="AF525" s="155"/>
      <c r="AG525" s="322"/>
      <c r="AH525" s="132"/>
      <c r="AI525" s="132"/>
    </row>
    <row r="526">
      <c r="A526" s="458"/>
      <c r="B526" s="746"/>
      <c r="C526" s="739"/>
      <c r="D526" s="745"/>
      <c r="E526" s="435"/>
      <c r="F526" s="314"/>
      <c r="G526" s="314"/>
      <c r="H526" s="314"/>
      <c r="I526" s="318"/>
      <c r="J526" s="435"/>
      <c r="K526" s="435"/>
      <c r="L526" s="435"/>
      <c r="M526" s="435"/>
      <c r="N526" s="435"/>
      <c r="O526" s="314"/>
      <c r="P526" s="740"/>
      <c r="Q526" s="435"/>
      <c r="R526" s="742"/>
      <c r="S526" s="435"/>
      <c r="T526" s="435"/>
      <c r="U526" s="435"/>
      <c r="V526" s="435"/>
      <c r="W526" s="740"/>
      <c r="X526" s="435"/>
      <c r="Y526" s="435"/>
      <c r="Z526" s="743"/>
      <c r="AA526" s="744"/>
      <c r="AB526" s="435"/>
      <c r="AC526" s="435"/>
      <c r="AD526" s="324"/>
      <c r="AE526" s="180"/>
      <c r="AF526" s="155"/>
      <c r="AG526" s="322"/>
      <c r="AH526" s="132"/>
      <c r="AI526" s="132"/>
    </row>
    <row r="527">
      <c r="A527" s="458"/>
      <c r="B527" s="746"/>
      <c r="C527" s="739"/>
      <c r="D527" s="745"/>
      <c r="E527" s="314"/>
      <c r="F527" s="314"/>
      <c r="G527" s="314"/>
      <c r="H527" s="314"/>
      <c r="I527" s="740"/>
      <c r="J527" s="435"/>
      <c r="K527" s="435"/>
      <c r="L527" s="435"/>
      <c r="M527" s="435"/>
      <c r="N527" s="435"/>
      <c r="O527" s="314"/>
      <c r="P527" s="740"/>
      <c r="Q527" s="314"/>
      <c r="R527" s="742"/>
      <c r="S527" s="435"/>
      <c r="T527" s="435"/>
      <c r="U527" s="435"/>
      <c r="V527" s="435"/>
      <c r="W527" s="740"/>
      <c r="X527" s="435"/>
      <c r="Y527" s="435"/>
      <c r="Z527" s="743"/>
      <c r="AA527" s="744"/>
      <c r="AB527" s="435"/>
      <c r="AC527" s="435"/>
      <c r="AD527" s="324"/>
      <c r="AE527" s="180"/>
      <c r="AF527" s="155"/>
      <c r="AG527" s="322"/>
      <c r="AH527" s="132"/>
      <c r="AI527" s="132"/>
    </row>
    <row r="528">
      <c r="A528" s="458"/>
      <c r="B528" s="695"/>
      <c r="C528" s="696"/>
      <c r="D528" s="312"/>
      <c r="E528" s="314"/>
      <c r="F528" s="314"/>
      <c r="G528" s="314"/>
      <c r="H528" s="314"/>
      <c r="I528" s="318"/>
      <c r="J528" s="314"/>
      <c r="K528" s="314"/>
      <c r="L528" s="314"/>
      <c r="M528" s="314"/>
      <c r="N528" s="314"/>
      <c r="O528" s="314"/>
      <c r="P528" s="318"/>
      <c r="Q528" s="314"/>
      <c r="R528" s="316"/>
      <c r="S528" s="314"/>
      <c r="T528" s="314"/>
      <c r="U528" s="314"/>
      <c r="V528" s="314"/>
      <c r="W528" s="318"/>
      <c r="X528" s="314"/>
      <c r="Y528" s="314"/>
      <c r="Z528" s="697"/>
      <c r="AA528" s="315"/>
      <c r="AB528" s="314"/>
      <c r="AC528" s="314"/>
      <c r="AD528" s="324"/>
      <c r="AE528" s="180"/>
      <c r="AF528" s="155"/>
      <c r="AG528" s="322"/>
      <c r="AH528" s="132"/>
      <c r="AI528" s="132"/>
    </row>
    <row r="529">
      <c r="A529" s="458"/>
      <c r="B529" s="746"/>
      <c r="C529" s="739"/>
      <c r="D529" s="745"/>
      <c r="E529" s="314"/>
      <c r="F529" s="314"/>
      <c r="G529" s="314"/>
      <c r="H529" s="314"/>
      <c r="I529" s="318"/>
      <c r="J529" s="314"/>
      <c r="K529" s="435"/>
      <c r="L529" s="435"/>
      <c r="M529" s="435"/>
      <c r="N529" s="314"/>
      <c r="O529" s="314"/>
      <c r="P529" s="740"/>
      <c r="Q529" s="435"/>
      <c r="R529" s="742"/>
      <c r="S529" s="435"/>
      <c r="T529" s="435"/>
      <c r="U529" s="435"/>
      <c r="V529" s="435"/>
      <c r="W529" s="740"/>
      <c r="X529" s="435"/>
      <c r="Y529" s="435"/>
      <c r="Z529" s="743"/>
      <c r="AA529" s="744"/>
      <c r="AB529" s="435"/>
      <c r="AC529" s="435"/>
      <c r="AD529" s="324"/>
      <c r="AE529" s="180"/>
      <c r="AF529" s="155"/>
      <c r="AG529" s="322"/>
      <c r="AH529" s="132"/>
      <c r="AI529" s="132"/>
    </row>
    <row r="530">
      <c r="A530" s="458"/>
      <c r="B530" s="695"/>
      <c r="C530" s="696"/>
      <c r="D530" s="745"/>
      <c r="E530" s="314"/>
      <c r="F530" s="314"/>
      <c r="G530" s="314"/>
      <c r="H530" s="314"/>
      <c r="I530" s="318"/>
      <c r="J530" s="314"/>
      <c r="K530" s="314"/>
      <c r="L530" s="314"/>
      <c r="M530" s="314"/>
      <c r="N530" s="314"/>
      <c r="O530" s="314"/>
      <c r="P530" s="318"/>
      <c r="Q530" s="314"/>
      <c r="R530" s="316"/>
      <c r="S530" s="314"/>
      <c r="T530" s="314"/>
      <c r="U530" s="314"/>
      <c r="V530" s="314"/>
      <c r="W530" s="318"/>
      <c r="X530" s="314"/>
      <c r="Y530" s="314"/>
      <c r="Z530" s="697"/>
      <c r="AA530" s="315"/>
      <c r="AB530" s="314"/>
      <c r="AC530" s="314"/>
      <c r="AD530" s="324"/>
      <c r="AE530" s="180"/>
      <c r="AF530" s="155"/>
      <c r="AG530" s="322"/>
      <c r="AH530" s="132"/>
      <c r="AI530" s="132"/>
    </row>
    <row r="531">
      <c r="A531" s="458"/>
      <c r="B531" s="695"/>
      <c r="C531" s="739"/>
      <c r="D531" s="312"/>
      <c r="E531" s="314"/>
      <c r="F531" s="314"/>
      <c r="G531" s="314"/>
      <c r="H531" s="314"/>
      <c r="I531" s="740"/>
      <c r="J531" s="314"/>
      <c r="K531" s="314"/>
      <c r="L531" s="435"/>
      <c r="M531" s="314"/>
      <c r="N531" s="314"/>
      <c r="O531" s="314"/>
      <c r="P531" s="318"/>
      <c r="Q531" s="435"/>
      <c r="R531" s="742"/>
      <c r="S531" s="435"/>
      <c r="T531" s="435"/>
      <c r="U531" s="435"/>
      <c r="V531" s="435"/>
      <c r="W531" s="740"/>
      <c r="X531" s="435"/>
      <c r="Y531" s="435"/>
      <c r="Z531" s="743"/>
      <c r="AA531" s="744"/>
      <c r="AB531" s="435"/>
      <c r="AC531" s="435"/>
      <c r="AD531" s="324"/>
      <c r="AE531" s="180"/>
      <c r="AF531" s="155"/>
      <c r="AG531" s="322"/>
      <c r="AH531" s="132"/>
      <c r="AI531" s="132"/>
    </row>
    <row r="532">
      <c r="A532" s="458"/>
      <c r="B532" s="695"/>
      <c r="C532" s="739"/>
      <c r="D532" s="745"/>
      <c r="E532" s="435"/>
      <c r="F532" s="314"/>
      <c r="G532" s="314"/>
      <c r="H532" s="435"/>
      <c r="I532" s="740"/>
      <c r="J532" s="314"/>
      <c r="K532" s="435"/>
      <c r="L532" s="435"/>
      <c r="M532" s="314"/>
      <c r="N532" s="314"/>
      <c r="O532" s="314"/>
      <c r="P532" s="740"/>
      <c r="Q532" s="435"/>
      <c r="R532" s="742"/>
      <c r="S532" s="435"/>
      <c r="T532" s="435"/>
      <c r="U532" s="435"/>
      <c r="V532" s="435"/>
      <c r="W532" s="740"/>
      <c r="X532" s="435"/>
      <c r="Y532" s="435"/>
      <c r="Z532" s="743"/>
      <c r="AA532" s="744"/>
      <c r="AB532" s="435"/>
      <c r="AC532" s="435"/>
      <c r="AD532" s="324"/>
      <c r="AE532" s="180"/>
      <c r="AF532" s="155"/>
      <c r="AG532" s="322"/>
      <c r="AH532" s="132"/>
      <c r="AI532" s="132"/>
    </row>
    <row r="533">
      <c r="A533" s="458"/>
      <c r="B533" s="695"/>
      <c r="C533" s="739"/>
      <c r="D533" s="745"/>
      <c r="E533" s="314"/>
      <c r="F533" s="314"/>
      <c r="G533" s="314"/>
      <c r="H533" s="314"/>
      <c r="I533" s="318"/>
      <c r="J533" s="314"/>
      <c r="K533" s="435"/>
      <c r="L533" s="314"/>
      <c r="M533" s="314"/>
      <c r="N533" s="314"/>
      <c r="O533" s="314"/>
      <c r="P533" s="318"/>
      <c r="Q533" s="314"/>
      <c r="R533" s="742"/>
      <c r="S533" s="435"/>
      <c r="T533" s="435"/>
      <c r="U533" s="435"/>
      <c r="V533" s="435"/>
      <c r="W533" s="740"/>
      <c r="X533" s="435"/>
      <c r="Y533" s="435"/>
      <c r="Z533" s="743"/>
      <c r="AA533" s="744"/>
      <c r="AB533" s="435"/>
      <c r="AC533" s="435"/>
      <c r="AD533" s="324"/>
      <c r="AE533" s="180"/>
      <c r="AF533" s="155"/>
      <c r="AG533" s="322"/>
      <c r="AH533" s="132"/>
      <c r="AI533" s="132"/>
    </row>
    <row r="534">
      <c r="A534" s="458"/>
      <c r="B534" s="746"/>
      <c r="C534" s="739"/>
      <c r="D534" s="745"/>
      <c r="E534" s="435"/>
      <c r="F534" s="314"/>
      <c r="G534" s="314"/>
      <c r="H534" s="435"/>
      <c r="I534" s="740"/>
      <c r="J534" s="435"/>
      <c r="K534" s="435"/>
      <c r="L534" s="435"/>
      <c r="M534" s="435"/>
      <c r="N534" s="435"/>
      <c r="O534" s="314"/>
      <c r="P534" s="740"/>
      <c r="Q534" s="435"/>
      <c r="R534" s="742"/>
      <c r="S534" s="435"/>
      <c r="T534" s="435"/>
      <c r="U534" s="435"/>
      <c r="V534" s="435"/>
      <c r="W534" s="740"/>
      <c r="X534" s="435"/>
      <c r="Y534" s="435"/>
      <c r="Z534" s="743"/>
      <c r="AA534" s="744"/>
      <c r="AB534" s="435"/>
      <c r="AC534" s="435"/>
      <c r="AD534" s="324"/>
      <c r="AE534" s="180"/>
      <c r="AF534" s="155"/>
      <c r="AG534" s="322"/>
      <c r="AH534" s="132"/>
      <c r="AI534" s="132"/>
    </row>
    <row r="535">
      <c r="A535" s="435"/>
      <c r="B535" s="746"/>
      <c r="C535" s="739"/>
      <c r="D535" s="745"/>
      <c r="E535" s="435"/>
      <c r="F535" s="314"/>
      <c r="G535" s="314"/>
      <c r="H535" s="435"/>
      <c r="I535" s="740"/>
      <c r="J535" s="435"/>
      <c r="K535" s="435"/>
      <c r="L535" s="435"/>
      <c r="M535" s="435"/>
      <c r="N535" s="435"/>
      <c r="O535" s="314"/>
      <c r="P535" s="740"/>
      <c r="Q535" s="435"/>
      <c r="R535" s="742"/>
      <c r="S535" s="435"/>
      <c r="T535" s="435"/>
      <c r="U535" s="435"/>
      <c r="V535" s="435"/>
      <c r="W535" s="740"/>
      <c r="X535" s="435"/>
      <c r="Y535" s="435"/>
      <c r="Z535" s="743"/>
      <c r="AA535" s="744"/>
      <c r="AB535" s="435"/>
      <c r="AC535" s="435"/>
      <c r="AD535" s="324"/>
      <c r="AE535" s="180"/>
      <c r="AF535" s="155"/>
      <c r="AG535" s="322"/>
      <c r="AH535" s="132"/>
      <c r="AI535" s="132"/>
    </row>
    <row r="536">
      <c r="A536" s="474"/>
      <c r="B536" s="746"/>
      <c r="C536" s="739"/>
      <c r="D536" s="745"/>
      <c r="E536" s="435"/>
      <c r="F536" s="314"/>
      <c r="G536" s="314"/>
      <c r="H536" s="435"/>
      <c r="I536" s="740"/>
      <c r="J536" s="435"/>
      <c r="K536" s="435"/>
      <c r="L536" s="435"/>
      <c r="M536" s="435"/>
      <c r="N536" s="435"/>
      <c r="O536" s="314"/>
      <c r="P536" s="740"/>
      <c r="Q536" s="435"/>
      <c r="R536" s="742"/>
      <c r="S536" s="435"/>
      <c r="T536" s="435"/>
      <c r="U536" s="435"/>
      <c r="V536" s="435"/>
      <c r="W536" s="740"/>
      <c r="X536" s="435"/>
      <c r="Y536" s="435"/>
      <c r="Z536" s="743"/>
      <c r="AA536" s="744"/>
      <c r="AB536" s="435"/>
      <c r="AC536" s="435"/>
      <c r="AD536" s="324"/>
      <c r="AE536" s="180"/>
      <c r="AF536" s="155"/>
      <c r="AG536" s="322"/>
      <c r="AH536" s="132"/>
      <c r="AI536" s="132"/>
    </row>
    <row r="537">
      <c r="A537" s="474"/>
      <c r="B537" s="746"/>
      <c r="C537" s="696"/>
      <c r="D537" s="745"/>
      <c r="E537" s="435"/>
      <c r="F537" s="314"/>
      <c r="G537" s="314"/>
      <c r="H537" s="435"/>
      <c r="I537" s="740"/>
      <c r="J537" s="435"/>
      <c r="K537" s="314"/>
      <c r="L537" s="314"/>
      <c r="M537" s="314"/>
      <c r="N537" s="435"/>
      <c r="O537" s="314"/>
      <c r="P537" s="318"/>
      <c r="Q537" s="435"/>
      <c r="R537" s="316"/>
      <c r="S537" s="435"/>
      <c r="T537" s="435"/>
      <c r="U537" s="435"/>
      <c r="V537" s="435"/>
      <c r="W537" s="740"/>
      <c r="X537" s="435"/>
      <c r="Y537" s="435"/>
      <c r="Z537" s="743"/>
      <c r="AA537" s="744"/>
      <c r="AB537" s="435"/>
      <c r="AC537" s="435"/>
      <c r="AD537" s="324"/>
      <c r="AE537" s="180"/>
      <c r="AF537" s="155"/>
      <c r="AG537" s="322"/>
      <c r="AH537" s="132"/>
      <c r="AI537" s="132"/>
    </row>
    <row r="538">
      <c r="A538" s="474"/>
      <c r="B538" s="695"/>
      <c r="C538" s="696"/>
      <c r="D538" s="312"/>
      <c r="E538" s="314"/>
      <c r="F538" s="314"/>
      <c r="G538" s="314"/>
      <c r="H538" s="314"/>
      <c r="I538" s="318"/>
      <c r="J538" s="314"/>
      <c r="K538" s="435"/>
      <c r="L538" s="314"/>
      <c r="M538" s="314"/>
      <c r="N538" s="314"/>
      <c r="O538" s="314"/>
      <c r="P538" s="740"/>
      <c r="Q538" s="314"/>
      <c r="R538" s="316"/>
      <c r="S538" s="314"/>
      <c r="T538" s="314"/>
      <c r="U538" s="314"/>
      <c r="V538" s="314"/>
      <c r="W538" s="318"/>
      <c r="X538" s="314"/>
      <c r="Y538" s="314"/>
      <c r="Z538" s="697"/>
      <c r="AA538" s="315"/>
      <c r="AB538" s="314"/>
      <c r="AC538" s="314"/>
      <c r="AD538" s="324"/>
      <c r="AE538" s="180"/>
      <c r="AF538" s="155"/>
      <c r="AG538" s="322"/>
      <c r="AH538" s="132"/>
      <c r="AI538" s="132"/>
    </row>
    <row r="539">
      <c r="A539" s="474"/>
      <c r="B539" s="695"/>
      <c r="C539" s="739"/>
      <c r="D539" s="745"/>
      <c r="E539" s="314"/>
      <c r="F539" s="314"/>
      <c r="G539" s="314"/>
      <c r="H539" s="314"/>
      <c r="I539" s="740"/>
      <c r="J539" s="314"/>
      <c r="K539" s="314"/>
      <c r="L539" s="314"/>
      <c r="M539" s="314"/>
      <c r="N539" s="314"/>
      <c r="O539" s="314"/>
      <c r="P539" s="318"/>
      <c r="Q539" s="314"/>
      <c r="R539" s="316"/>
      <c r="S539" s="314"/>
      <c r="T539" s="314"/>
      <c r="U539" s="314"/>
      <c r="V539" s="314"/>
      <c r="W539" s="318"/>
      <c r="X539" s="314"/>
      <c r="Y539" s="314"/>
      <c r="Z539" s="697"/>
      <c r="AA539" s="315"/>
      <c r="AB539" s="314"/>
      <c r="AC539" s="314"/>
      <c r="AD539" s="324"/>
      <c r="AE539" s="180"/>
      <c r="AF539" s="155"/>
      <c r="AG539" s="322"/>
      <c r="AH539" s="132"/>
      <c r="AI539" s="132"/>
    </row>
    <row r="540">
      <c r="A540" s="474"/>
      <c r="B540" s="695"/>
      <c r="C540" s="696"/>
      <c r="D540" s="312"/>
      <c r="E540" s="314"/>
      <c r="F540" s="314"/>
      <c r="G540" s="314"/>
      <c r="H540" s="314"/>
      <c r="I540" s="318"/>
      <c r="J540" s="314"/>
      <c r="K540" s="435"/>
      <c r="L540" s="314"/>
      <c r="M540" s="314"/>
      <c r="N540" s="314"/>
      <c r="O540" s="314"/>
      <c r="P540" s="318"/>
      <c r="Q540" s="314"/>
      <c r="R540" s="316"/>
      <c r="S540" s="314"/>
      <c r="T540" s="314"/>
      <c r="U540" s="314"/>
      <c r="V540" s="314"/>
      <c r="W540" s="318"/>
      <c r="X540" s="314"/>
      <c r="Y540" s="314"/>
      <c r="Z540" s="697"/>
      <c r="AA540" s="315"/>
      <c r="AB540" s="314"/>
      <c r="AC540" s="314"/>
      <c r="AD540" s="324"/>
      <c r="AE540" s="180"/>
      <c r="AF540" s="155"/>
      <c r="AG540" s="322"/>
      <c r="AH540" s="132"/>
      <c r="AI540" s="132"/>
    </row>
    <row r="541">
      <c r="A541" s="458"/>
      <c r="B541" s="695"/>
      <c r="C541" s="739"/>
      <c r="D541" s="312"/>
      <c r="E541" s="314"/>
      <c r="F541" s="314"/>
      <c r="G541" s="314"/>
      <c r="H541" s="314"/>
      <c r="I541" s="318"/>
      <c r="J541" s="435"/>
      <c r="K541" s="435"/>
      <c r="L541" s="314"/>
      <c r="M541" s="314"/>
      <c r="N541" s="314"/>
      <c r="O541" s="314"/>
      <c r="P541" s="318"/>
      <c r="Q541" s="314"/>
      <c r="R541" s="316"/>
      <c r="S541" s="314"/>
      <c r="T541" s="314"/>
      <c r="U541" s="314"/>
      <c r="V541" s="314"/>
      <c r="W541" s="318"/>
      <c r="X541" s="314"/>
      <c r="Y541" s="314"/>
      <c r="Z541" s="697"/>
      <c r="AA541" s="315"/>
      <c r="AB541" s="314"/>
      <c r="AC541" s="314"/>
      <c r="AD541" s="324"/>
      <c r="AE541" s="180"/>
      <c r="AF541" s="155"/>
      <c r="AG541" s="322"/>
      <c r="AH541" s="132"/>
      <c r="AI541" s="132"/>
    </row>
    <row r="542">
      <c r="A542" s="435"/>
      <c r="B542" s="695"/>
      <c r="C542" s="739"/>
      <c r="D542" s="745"/>
      <c r="E542" s="435"/>
      <c r="F542" s="314"/>
      <c r="G542" s="314"/>
      <c r="H542" s="435"/>
      <c r="I542" s="318"/>
      <c r="J542" s="314"/>
      <c r="K542" s="435"/>
      <c r="L542" s="314"/>
      <c r="M542" s="435"/>
      <c r="N542" s="435"/>
      <c r="O542" s="314"/>
      <c r="P542" s="318"/>
      <c r="Q542" s="314"/>
      <c r="R542" s="742"/>
      <c r="S542" s="314"/>
      <c r="T542" s="314"/>
      <c r="U542" s="314"/>
      <c r="V542" s="314"/>
      <c r="W542" s="318"/>
      <c r="X542" s="314"/>
      <c r="Y542" s="314"/>
      <c r="Z542" s="697"/>
      <c r="AA542" s="315"/>
      <c r="AB542" s="314"/>
      <c r="AC542" s="314"/>
      <c r="AD542" s="324"/>
      <c r="AE542" s="180"/>
      <c r="AF542" s="155"/>
      <c r="AG542" s="322"/>
      <c r="AH542" s="132"/>
      <c r="AI542" s="132"/>
    </row>
    <row r="543">
      <c r="A543" s="435"/>
      <c r="B543" s="746"/>
      <c r="C543" s="696"/>
      <c r="D543" s="312"/>
      <c r="E543" s="314"/>
      <c r="F543" s="314"/>
      <c r="G543" s="314"/>
      <c r="H543" s="314"/>
      <c r="I543" s="318"/>
      <c r="J543" s="314"/>
      <c r="K543" s="314"/>
      <c r="L543" s="314"/>
      <c r="M543" s="314"/>
      <c r="N543" s="314"/>
      <c r="O543" s="314"/>
      <c r="P543" s="740"/>
      <c r="Q543" s="314"/>
      <c r="R543" s="316"/>
      <c r="S543" s="314"/>
      <c r="T543" s="314"/>
      <c r="U543" s="314"/>
      <c r="V543" s="314"/>
      <c r="W543" s="318"/>
      <c r="X543" s="314"/>
      <c r="Y543" s="314"/>
      <c r="Z543" s="697"/>
      <c r="AA543" s="315"/>
      <c r="AB543" s="314"/>
      <c r="AC543" s="314"/>
      <c r="AD543" s="324"/>
      <c r="AE543" s="180"/>
      <c r="AF543" s="155"/>
      <c r="AG543" s="322"/>
      <c r="AH543" s="132"/>
      <c r="AI543" s="132"/>
    </row>
    <row r="544">
      <c r="A544" s="435"/>
      <c r="B544" s="746"/>
      <c r="C544" s="696"/>
      <c r="D544" s="312"/>
      <c r="E544" s="314"/>
      <c r="F544" s="314"/>
      <c r="G544" s="314"/>
      <c r="H544" s="314"/>
      <c r="I544" s="318"/>
      <c r="J544" s="314"/>
      <c r="K544" s="314"/>
      <c r="L544" s="314"/>
      <c r="M544" s="314"/>
      <c r="N544" s="314"/>
      <c r="O544" s="314"/>
      <c r="P544" s="318"/>
      <c r="Q544" s="435"/>
      <c r="R544" s="316"/>
      <c r="S544" s="435"/>
      <c r="T544" s="435"/>
      <c r="U544" s="435"/>
      <c r="V544" s="435"/>
      <c r="W544" s="740"/>
      <c r="X544" s="435"/>
      <c r="Y544" s="435"/>
      <c r="Z544" s="743"/>
      <c r="AA544" s="744"/>
      <c r="AB544" s="435"/>
      <c r="AC544" s="435"/>
      <c r="AD544" s="324"/>
      <c r="AE544" s="180"/>
      <c r="AF544" s="155"/>
      <c r="AG544" s="322"/>
      <c r="AH544" s="132"/>
      <c r="AI544" s="132"/>
    </row>
    <row r="545">
      <c r="A545" s="435"/>
      <c r="B545" s="695"/>
      <c r="C545" s="739"/>
      <c r="D545" s="312"/>
      <c r="E545" s="314"/>
      <c r="F545" s="314"/>
      <c r="G545" s="314"/>
      <c r="H545" s="314"/>
      <c r="I545" s="318"/>
      <c r="J545" s="314"/>
      <c r="K545" s="314"/>
      <c r="L545" s="314"/>
      <c r="M545" s="314"/>
      <c r="N545" s="314"/>
      <c r="O545" s="314"/>
      <c r="P545" s="318"/>
      <c r="Q545" s="314"/>
      <c r="R545" s="742"/>
      <c r="S545" s="314"/>
      <c r="T545" s="314"/>
      <c r="U545" s="314"/>
      <c r="V545" s="314"/>
      <c r="W545" s="318"/>
      <c r="X545" s="314"/>
      <c r="Y545" s="314"/>
      <c r="Z545" s="697"/>
      <c r="AA545" s="315"/>
      <c r="AB545" s="314"/>
      <c r="AC545" s="314"/>
      <c r="AD545" s="324"/>
      <c r="AE545" s="180"/>
      <c r="AF545" s="155"/>
      <c r="AG545" s="322"/>
      <c r="AH545" s="132"/>
      <c r="AI545" s="132"/>
    </row>
    <row r="546">
      <c r="A546" s="435"/>
      <c r="B546" s="695"/>
      <c r="C546" s="696"/>
      <c r="D546" s="312"/>
      <c r="E546" s="314"/>
      <c r="F546" s="314"/>
      <c r="G546" s="314"/>
      <c r="H546" s="314"/>
      <c r="I546" s="318"/>
      <c r="J546" s="314"/>
      <c r="K546" s="435"/>
      <c r="L546" s="314"/>
      <c r="M546" s="435"/>
      <c r="N546" s="314"/>
      <c r="O546" s="314"/>
      <c r="P546" s="318"/>
      <c r="Q546" s="435"/>
      <c r="R546" s="316"/>
      <c r="S546" s="314"/>
      <c r="T546" s="314"/>
      <c r="U546" s="314"/>
      <c r="V546" s="314"/>
      <c r="W546" s="318"/>
      <c r="X546" s="314"/>
      <c r="Y546" s="314"/>
      <c r="Z546" s="697"/>
      <c r="AA546" s="315"/>
      <c r="AB546" s="314"/>
      <c r="AC546" s="314"/>
      <c r="AD546" s="324"/>
      <c r="AE546" s="180"/>
      <c r="AF546" s="155"/>
      <c r="AG546" s="322"/>
      <c r="AH546" s="132"/>
      <c r="AI546" s="132"/>
    </row>
    <row r="547">
      <c r="A547" s="435"/>
      <c r="B547" s="695"/>
      <c r="C547" s="739"/>
      <c r="D547" s="745"/>
      <c r="E547" s="314"/>
      <c r="F547" s="314"/>
      <c r="G547" s="314"/>
      <c r="H547" s="314"/>
      <c r="I547" s="318"/>
      <c r="J547" s="314"/>
      <c r="K547" s="435"/>
      <c r="L547" s="314"/>
      <c r="M547" s="435"/>
      <c r="N547" s="314"/>
      <c r="O547" s="314"/>
      <c r="P547" s="318"/>
      <c r="Q547" s="435"/>
      <c r="R547" s="316"/>
      <c r="S547" s="314"/>
      <c r="T547" s="314"/>
      <c r="U547" s="314"/>
      <c r="V547" s="314"/>
      <c r="W547" s="318"/>
      <c r="X547" s="314"/>
      <c r="Y547" s="314"/>
      <c r="Z547" s="697"/>
      <c r="AA547" s="315"/>
      <c r="AB547" s="314"/>
      <c r="AC547" s="314"/>
      <c r="AD547" s="324"/>
      <c r="AE547" s="180"/>
      <c r="AF547" s="155"/>
      <c r="AG547" s="322"/>
      <c r="AH547" s="132"/>
      <c r="AI547" s="132"/>
    </row>
    <row r="548">
      <c r="A548" s="476"/>
      <c r="AF548" s="176"/>
      <c r="AG548" s="322"/>
      <c r="AH548" s="132"/>
      <c r="AI548" s="132"/>
    </row>
    <row r="549">
      <c r="A549" s="178"/>
      <c r="AG549" s="322"/>
      <c r="AH549" s="132"/>
      <c r="AI549" s="132"/>
    </row>
    <row r="550">
      <c r="A550" s="474"/>
      <c r="B550" s="746"/>
      <c r="C550" s="739"/>
      <c r="D550" s="745"/>
      <c r="E550" s="435"/>
      <c r="F550" s="314"/>
      <c r="G550" s="314"/>
      <c r="H550" s="314"/>
      <c r="I550" s="740"/>
      <c r="J550" s="435"/>
      <c r="K550" s="435"/>
      <c r="L550" s="435"/>
      <c r="M550" s="435"/>
      <c r="N550" s="435"/>
      <c r="O550" s="314"/>
      <c r="P550" s="740"/>
      <c r="Q550" s="435"/>
      <c r="R550" s="742"/>
      <c r="S550" s="435"/>
      <c r="T550" s="435"/>
      <c r="U550" s="435"/>
      <c r="V550" s="435"/>
      <c r="W550" s="740"/>
      <c r="X550" s="435"/>
      <c r="Y550" s="435"/>
      <c r="Z550" s="743"/>
      <c r="AA550" s="744"/>
      <c r="AB550" s="435"/>
      <c r="AC550" s="435"/>
      <c r="AD550" s="324"/>
      <c r="AE550" s="180"/>
      <c r="AF550" s="155"/>
      <c r="AG550" s="322"/>
      <c r="AH550" s="132"/>
      <c r="AI550" s="132"/>
    </row>
    <row r="551">
      <c r="A551" s="474"/>
      <c r="B551" s="695"/>
      <c r="C551" s="739"/>
      <c r="D551" s="745"/>
      <c r="E551" s="435"/>
      <c r="F551" s="314"/>
      <c r="G551" s="314"/>
      <c r="H551" s="435"/>
      <c r="I551" s="318"/>
      <c r="J551" s="435"/>
      <c r="K551" s="435"/>
      <c r="L551" s="435"/>
      <c r="M551" s="314"/>
      <c r="N551" s="314"/>
      <c r="O551" s="314"/>
      <c r="P551" s="740"/>
      <c r="Q551" s="435"/>
      <c r="R551" s="742"/>
      <c r="S551" s="435"/>
      <c r="T551" s="435"/>
      <c r="U551" s="435"/>
      <c r="V551" s="435"/>
      <c r="W551" s="740"/>
      <c r="X551" s="435"/>
      <c r="Y551" s="435"/>
      <c r="Z551" s="743"/>
      <c r="AA551" s="744"/>
      <c r="AB551" s="435"/>
      <c r="AC551" s="435"/>
      <c r="AD551" s="324"/>
      <c r="AE551" s="180"/>
      <c r="AF551" s="155"/>
      <c r="AG551" s="322"/>
      <c r="AH551" s="132"/>
      <c r="AI551" s="132"/>
    </row>
    <row r="552">
      <c r="A552" s="477"/>
      <c r="B552" s="746"/>
      <c r="C552" s="739"/>
      <c r="D552" s="745"/>
      <c r="E552" s="314"/>
      <c r="F552" s="314"/>
      <c r="G552" s="314"/>
      <c r="H552" s="435"/>
      <c r="I552" s="740"/>
      <c r="J552" s="435"/>
      <c r="K552" s="435"/>
      <c r="L552" s="435"/>
      <c r="M552" s="435"/>
      <c r="N552" s="435"/>
      <c r="O552" s="314"/>
      <c r="P552" s="740"/>
      <c r="Q552" s="435"/>
      <c r="R552" s="742"/>
      <c r="S552" s="435"/>
      <c r="T552" s="435"/>
      <c r="U552" s="435"/>
      <c r="V552" s="435"/>
      <c r="W552" s="740"/>
      <c r="X552" s="435"/>
      <c r="Y552" s="435"/>
      <c r="Z552" s="743"/>
      <c r="AA552" s="744"/>
      <c r="AB552" s="435"/>
      <c r="AC552" s="435"/>
      <c r="AD552" s="324"/>
      <c r="AE552" s="180"/>
      <c r="AF552" s="155"/>
      <c r="AG552" s="322"/>
      <c r="AH552" s="132"/>
      <c r="AI552" s="132"/>
    </row>
    <row r="553">
      <c r="A553" s="477"/>
      <c r="B553" s="746"/>
      <c r="C553" s="739"/>
      <c r="D553" s="745"/>
      <c r="E553" s="314"/>
      <c r="F553" s="314"/>
      <c r="G553" s="314"/>
      <c r="H553" s="435"/>
      <c r="I553" s="318"/>
      <c r="J553" s="314"/>
      <c r="K553" s="435"/>
      <c r="L553" s="435"/>
      <c r="M553" s="435"/>
      <c r="N553" s="314"/>
      <c r="O553" s="314"/>
      <c r="P553" s="740"/>
      <c r="Q553" s="435"/>
      <c r="R553" s="742"/>
      <c r="S553" s="435"/>
      <c r="T553" s="435"/>
      <c r="U553" s="435"/>
      <c r="V553" s="435"/>
      <c r="W553" s="740"/>
      <c r="X553" s="435"/>
      <c r="Y553" s="435"/>
      <c r="Z553" s="743"/>
      <c r="AA553" s="744"/>
      <c r="AB553" s="435"/>
      <c r="AC553" s="435"/>
      <c r="AD553" s="324"/>
      <c r="AE553" s="180"/>
      <c r="AF553" s="155"/>
      <c r="AG553" s="322"/>
      <c r="AH553" s="132"/>
      <c r="AI553" s="132"/>
    </row>
    <row r="554">
      <c r="A554" s="477"/>
      <c r="B554" s="746"/>
      <c r="C554" s="739"/>
      <c r="D554" s="745"/>
      <c r="E554" s="435"/>
      <c r="F554" s="314"/>
      <c r="G554" s="314"/>
      <c r="H554" s="435"/>
      <c r="I554" s="740"/>
      <c r="J554" s="435"/>
      <c r="K554" s="435"/>
      <c r="L554" s="435"/>
      <c r="M554" s="435"/>
      <c r="N554" s="435"/>
      <c r="O554" s="314"/>
      <c r="P554" s="740"/>
      <c r="Q554" s="435"/>
      <c r="R554" s="742"/>
      <c r="S554" s="435"/>
      <c r="T554" s="435"/>
      <c r="U554" s="435"/>
      <c r="V554" s="435"/>
      <c r="W554" s="740"/>
      <c r="X554" s="435"/>
      <c r="Y554" s="435"/>
      <c r="Z554" s="743"/>
      <c r="AA554" s="744"/>
      <c r="AB554" s="435"/>
      <c r="AC554" s="435"/>
      <c r="AD554" s="324"/>
      <c r="AE554" s="180"/>
      <c r="AF554" s="155"/>
      <c r="AG554" s="322"/>
      <c r="AH554" s="132"/>
      <c r="AI554" s="132"/>
    </row>
    <row r="555">
      <c r="A555" s="474"/>
      <c r="B555" s="695"/>
      <c r="C555" s="739"/>
      <c r="D555" s="312"/>
      <c r="E555" s="435"/>
      <c r="F555" s="314"/>
      <c r="G555" s="314"/>
      <c r="H555" s="435"/>
      <c r="I555" s="318"/>
      <c r="J555" s="435"/>
      <c r="K555" s="435"/>
      <c r="L555" s="314"/>
      <c r="M555" s="435"/>
      <c r="N555" s="314"/>
      <c r="O555" s="314"/>
      <c r="P555" s="740"/>
      <c r="Q555" s="435"/>
      <c r="R555" s="742"/>
      <c r="S555" s="435"/>
      <c r="T555" s="435"/>
      <c r="U555" s="435"/>
      <c r="V555" s="435"/>
      <c r="W555" s="740"/>
      <c r="X555" s="435"/>
      <c r="Y555" s="435"/>
      <c r="Z555" s="743"/>
      <c r="AA555" s="744"/>
      <c r="AB555" s="435"/>
      <c r="AC555" s="435"/>
      <c r="AD555" s="324"/>
      <c r="AE555" s="180"/>
      <c r="AF555" s="155"/>
      <c r="AG555" s="322"/>
      <c r="AH555" s="132"/>
      <c r="AI555" s="132"/>
    </row>
    <row r="556">
      <c r="A556" s="478"/>
      <c r="B556" s="746"/>
      <c r="C556" s="739"/>
      <c r="D556" s="745"/>
      <c r="E556" s="435"/>
      <c r="F556" s="314"/>
      <c r="G556" s="314"/>
      <c r="H556" s="435"/>
      <c r="I556" s="740"/>
      <c r="J556" s="435"/>
      <c r="K556" s="435"/>
      <c r="L556" s="435"/>
      <c r="M556" s="435"/>
      <c r="N556" s="435"/>
      <c r="O556" s="314"/>
      <c r="P556" s="740"/>
      <c r="Q556" s="435"/>
      <c r="R556" s="742"/>
      <c r="S556" s="435"/>
      <c r="T556" s="435"/>
      <c r="U556" s="435"/>
      <c r="V556" s="435"/>
      <c r="W556" s="740"/>
      <c r="X556" s="435"/>
      <c r="Y556" s="435"/>
      <c r="Z556" s="743"/>
      <c r="AA556" s="744"/>
      <c r="AB556" s="435"/>
      <c r="AC556" s="435"/>
      <c r="AD556" s="324"/>
      <c r="AE556" s="180"/>
      <c r="AF556" s="155"/>
      <c r="AG556" s="322"/>
      <c r="AH556" s="132"/>
      <c r="AI556" s="132"/>
    </row>
    <row r="557">
      <c r="A557" s="478"/>
      <c r="B557" s="746"/>
      <c r="C557" s="739"/>
      <c r="D557" s="745"/>
      <c r="E557" s="435"/>
      <c r="F557" s="314"/>
      <c r="G557" s="314"/>
      <c r="H557" s="435"/>
      <c r="I557" s="740"/>
      <c r="J557" s="435"/>
      <c r="K557" s="435"/>
      <c r="L557" s="435"/>
      <c r="M557" s="435"/>
      <c r="N557" s="435"/>
      <c r="O557" s="314"/>
      <c r="P557" s="740"/>
      <c r="Q557" s="435"/>
      <c r="R557" s="742"/>
      <c r="S557" s="435"/>
      <c r="T557" s="435"/>
      <c r="U557" s="435"/>
      <c r="V557" s="435"/>
      <c r="W557" s="740"/>
      <c r="X557" s="435"/>
      <c r="Y557" s="435"/>
      <c r="Z557" s="743"/>
      <c r="AA557" s="744"/>
      <c r="AB557" s="435"/>
      <c r="AC557" s="435"/>
      <c r="AD557" s="324"/>
      <c r="AE557" s="180"/>
      <c r="AF557" s="155"/>
      <c r="AG557" s="322"/>
      <c r="AH557" s="132"/>
      <c r="AI557" s="132"/>
    </row>
    <row r="558">
      <c r="A558" s="478"/>
      <c r="B558" s="746"/>
      <c r="C558" s="739"/>
      <c r="D558" s="312"/>
      <c r="E558" s="314"/>
      <c r="F558" s="314"/>
      <c r="G558" s="314"/>
      <c r="H558" s="435"/>
      <c r="I558" s="740"/>
      <c r="J558" s="314"/>
      <c r="K558" s="435"/>
      <c r="L558" s="314"/>
      <c r="M558" s="435"/>
      <c r="N558" s="314"/>
      <c r="O558" s="314"/>
      <c r="P558" s="318"/>
      <c r="Q558" s="314"/>
      <c r="R558" s="316"/>
      <c r="S558" s="435"/>
      <c r="T558" s="435"/>
      <c r="U558" s="435"/>
      <c r="V558" s="435"/>
      <c r="W558" s="740"/>
      <c r="X558" s="435"/>
      <c r="Y558" s="435"/>
      <c r="Z558" s="743"/>
      <c r="AA558" s="744"/>
      <c r="AB558" s="435"/>
      <c r="AC558" s="435"/>
      <c r="AD558" s="324"/>
      <c r="AE558" s="180"/>
      <c r="AF558" s="155"/>
      <c r="AG558" s="322"/>
      <c r="AH558" s="132"/>
      <c r="AI558" s="132"/>
    </row>
    <row r="559">
      <c r="A559" s="477"/>
      <c r="B559" s="695"/>
      <c r="C559" s="739"/>
      <c r="D559" s="745"/>
      <c r="E559" s="435"/>
      <c r="F559" s="314"/>
      <c r="G559" s="314"/>
      <c r="H559" s="435"/>
      <c r="I559" s="740"/>
      <c r="J559" s="435"/>
      <c r="K559" s="435"/>
      <c r="L559" s="435"/>
      <c r="M559" s="435"/>
      <c r="N559" s="435"/>
      <c r="O559" s="314"/>
      <c r="P559" s="740"/>
      <c r="Q559" s="435"/>
      <c r="R559" s="742"/>
      <c r="S559" s="435"/>
      <c r="T559" s="435"/>
      <c r="U559" s="435"/>
      <c r="V559" s="435"/>
      <c r="W559" s="740"/>
      <c r="X559" s="435"/>
      <c r="Y559" s="435"/>
      <c r="Z559" s="743"/>
      <c r="AA559" s="744"/>
      <c r="AB559" s="435"/>
      <c r="AC559" s="435"/>
      <c r="AD559" s="324"/>
      <c r="AE559" s="180"/>
      <c r="AF559" s="155"/>
      <c r="AG559" s="322"/>
      <c r="AH559" s="132"/>
      <c r="AI559" s="132"/>
    </row>
    <row r="560">
      <c r="A560" s="477"/>
      <c r="B560" s="695"/>
      <c r="C560" s="696"/>
      <c r="D560" s="312"/>
      <c r="E560" s="314"/>
      <c r="F560" s="314"/>
      <c r="G560" s="314"/>
      <c r="H560" s="435"/>
      <c r="I560" s="318"/>
      <c r="J560" s="314"/>
      <c r="K560" s="314"/>
      <c r="L560" s="314"/>
      <c r="M560" s="314"/>
      <c r="N560" s="435"/>
      <c r="O560" s="314"/>
      <c r="P560" s="318"/>
      <c r="Q560" s="435"/>
      <c r="R560" s="316"/>
      <c r="S560" s="314"/>
      <c r="T560" s="314"/>
      <c r="U560" s="314"/>
      <c r="V560" s="314"/>
      <c r="W560" s="318"/>
      <c r="X560" s="314"/>
      <c r="Y560" s="314"/>
      <c r="Z560" s="697"/>
      <c r="AA560" s="315"/>
      <c r="AB560" s="314"/>
      <c r="AC560" s="314"/>
      <c r="AD560" s="324"/>
      <c r="AE560" s="180"/>
      <c r="AF560" s="155"/>
      <c r="AG560" s="322"/>
      <c r="AH560" s="132"/>
      <c r="AI560" s="132"/>
    </row>
    <row r="561">
      <c r="A561" s="477"/>
      <c r="B561" s="695"/>
      <c r="C561" s="696"/>
      <c r="D561" s="312"/>
      <c r="E561" s="314"/>
      <c r="F561" s="314"/>
      <c r="G561" s="314"/>
      <c r="H561" s="314"/>
      <c r="I561" s="318"/>
      <c r="J561" s="314"/>
      <c r="K561" s="314"/>
      <c r="L561" s="314"/>
      <c r="M561" s="314"/>
      <c r="N561" s="314"/>
      <c r="O561" s="314"/>
      <c r="P561" s="318"/>
      <c r="Q561" s="314"/>
      <c r="R561" s="316"/>
      <c r="S561" s="314"/>
      <c r="T561" s="314"/>
      <c r="U561" s="314"/>
      <c r="V561" s="314"/>
      <c r="W561" s="318"/>
      <c r="X561" s="314"/>
      <c r="Y561" s="314"/>
      <c r="Z561" s="697"/>
      <c r="AA561" s="315"/>
      <c r="AB561" s="314"/>
      <c r="AC561" s="314"/>
      <c r="AD561" s="324"/>
      <c r="AE561" s="180"/>
      <c r="AF561" s="155"/>
      <c r="AG561" s="322"/>
      <c r="AH561" s="132"/>
      <c r="AI561" s="132"/>
    </row>
    <row r="562">
      <c r="A562" s="476"/>
      <c r="AF562" s="176"/>
      <c r="AG562" s="322"/>
      <c r="AH562" s="132"/>
      <c r="AI562" s="132"/>
    </row>
    <row r="563">
      <c r="A563" s="178"/>
      <c r="AG563" s="322"/>
      <c r="AH563" s="132"/>
      <c r="AI563" s="132"/>
    </row>
    <row r="564">
      <c r="A564" s="477"/>
      <c r="B564" s="746"/>
      <c r="C564" s="739"/>
      <c r="D564" s="745"/>
      <c r="E564" s="314"/>
      <c r="F564" s="314"/>
      <c r="G564" s="314"/>
      <c r="H564" s="314"/>
      <c r="I564" s="318"/>
      <c r="J564" s="314"/>
      <c r="K564" s="435"/>
      <c r="L564" s="435"/>
      <c r="M564" s="314"/>
      <c r="N564" s="314"/>
      <c r="O564" s="314"/>
      <c r="P564" s="318"/>
      <c r="Q564" s="435"/>
      <c r="R564" s="742"/>
      <c r="S564" s="435"/>
      <c r="T564" s="435"/>
      <c r="U564" s="435"/>
      <c r="V564" s="435"/>
      <c r="W564" s="740"/>
      <c r="X564" s="435"/>
      <c r="Y564" s="435"/>
      <c r="Z564" s="743"/>
      <c r="AA564" s="744"/>
      <c r="AB564" s="435"/>
      <c r="AC564" s="435"/>
      <c r="AD564" s="324"/>
      <c r="AE564" s="180"/>
      <c r="AF564" s="155"/>
      <c r="AG564" s="322"/>
      <c r="AH564" s="132"/>
      <c r="AI564" s="132"/>
    </row>
    <row r="565">
      <c r="A565" s="477"/>
      <c r="B565" s="695"/>
      <c r="C565" s="739"/>
      <c r="D565" s="745"/>
      <c r="E565" s="314"/>
      <c r="F565" s="314"/>
      <c r="G565" s="314"/>
      <c r="H565" s="314"/>
      <c r="I565" s="740"/>
      <c r="J565" s="435"/>
      <c r="K565" s="435"/>
      <c r="L565" s="314"/>
      <c r="M565" s="435"/>
      <c r="N565" s="314"/>
      <c r="O565" s="314"/>
      <c r="P565" s="318"/>
      <c r="Q565" s="435"/>
      <c r="R565" s="742"/>
      <c r="S565" s="435"/>
      <c r="T565" s="435"/>
      <c r="U565" s="435"/>
      <c r="V565" s="435"/>
      <c r="W565" s="740"/>
      <c r="X565" s="435"/>
      <c r="Y565" s="435"/>
      <c r="Z565" s="743"/>
      <c r="AA565" s="744"/>
      <c r="AB565" s="435"/>
      <c r="AC565" s="435"/>
      <c r="AD565" s="324"/>
      <c r="AE565" s="180"/>
      <c r="AF565" s="155"/>
      <c r="AG565" s="322"/>
      <c r="AH565" s="132"/>
      <c r="AI565" s="132"/>
    </row>
    <row r="566">
      <c r="A566" s="477"/>
      <c r="B566" s="695"/>
      <c r="C566" s="739"/>
      <c r="D566" s="745"/>
      <c r="E566" s="435"/>
      <c r="F566" s="314"/>
      <c r="G566" s="314"/>
      <c r="H566" s="435"/>
      <c r="I566" s="318"/>
      <c r="J566" s="314"/>
      <c r="K566" s="435"/>
      <c r="L566" s="314"/>
      <c r="M566" s="435"/>
      <c r="N566" s="435"/>
      <c r="O566" s="314"/>
      <c r="P566" s="740"/>
      <c r="Q566" s="435"/>
      <c r="R566" s="742"/>
      <c r="S566" s="435"/>
      <c r="T566" s="435"/>
      <c r="U566" s="435"/>
      <c r="V566" s="435"/>
      <c r="W566" s="740"/>
      <c r="X566" s="435"/>
      <c r="Y566" s="435"/>
      <c r="Z566" s="743"/>
      <c r="AA566" s="744"/>
      <c r="AB566" s="435"/>
      <c r="AC566" s="435"/>
      <c r="AD566" s="324"/>
      <c r="AE566" s="180"/>
      <c r="AF566" s="155"/>
      <c r="AG566" s="322"/>
      <c r="AH566" s="132"/>
      <c r="AI566" s="132"/>
    </row>
    <row r="567">
      <c r="A567" s="479"/>
      <c r="B567" s="695"/>
      <c r="C567" s="696"/>
      <c r="D567" s="312"/>
      <c r="E567" s="314"/>
      <c r="F567" s="314"/>
      <c r="G567" s="314"/>
      <c r="H567" s="314"/>
      <c r="I567" s="318"/>
      <c r="J567" s="314"/>
      <c r="K567" s="314"/>
      <c r="L567" s="314"/>
      <c r="M567" s="314"/>
      <c r="N567" s="314"/>
      <c r="O567" s="314"/>
      <c r="P567" s="318"/>
      <c r="Q567" s="435"/>
      <c r="R567" s="316"/>
      <c r="S567" s="314"/>
      <c r="T567" s="314"/>
      <c r="U567" s="314"/>
      <c r="V567" s="314"/>
      <c r="W567" s="318"/>
      <c r="X567" s="314"/>
      <c r="Y567" s="314"/>
      <c r="Z567" s="697"/>
      <c r="AA567" s="315"/>
      <c r="AB567" s="314"/>
      <c r="AC567" s="314"/>
      <c r="AD567" s="324"/>
      <c r="AE567" s="180"/>
      <c r="AF567" s="155"/>
      <c r="AG567" s="322"/>
      <c r="AH567" s="132"/>
      <c r="AI567" s="132"/>
    </row>
    <row r="568">
      <c r="A568" s="476"/>
      <c r="AF568" s="176"/>
      <c r="AG568" s="322"/>
      <c r="AH568" s="132"/>
      <c r="AI568" s="132"/>
    </row>
    <row r="569">
      <c r="A569" s="178"/>
      <c r="AG569" s="322"/>
      <c r="AH569" s="132"/>
      <c r="AI569" s="132"/>
    </row>
    <row r="570">
      <c r="A570" s="480"/>
      <c r="B570" s="695"/>
      <c r="C570" s="739"/>
      <c r="D570" s="312"/>
      <c r="E570" s="314"/>
      <c r="F570" s="314"/>
      <c r="G570" s="314"/>
      <c r="H570" s="314"/>
      <c r="I570" s="318"/>
      <c r="J570" s="435"/>
      <c r="K570" s="435"/>
      <c r="L570" s="314"/>
      <c r="M570" s="314"/>
      <c r="N570" s="314"/>
      <c r="O570" s="314"/>
      <c r="P570" s="318"/>
      <c r="Q570" s="435"/>
      <c r="R570" s="316"/>
      <c r="S570" s="314"/>
      <c r="T570" s="314"/>
      <c r="U570" s="314"/>
      <c r="V570" s="314"/>
      <c r="W570" s="318"/>
      <c r="X570" s="314"/>
      <c r="Y570" s="314"/>
      <c r="Z570" s="697"/>
      <c r="AA570" s="315"/>
      <c r="AB570" s="314"/>
      <c r="AC570" s="314"/>
      <c r="AD570" s="324"/>
      <c r="AE570" s="180"/>
      <c r="AF570" s="180"/>
      <c r="AG570" s="322"/>
      <c r="AH570" s="132"/>
      <c r="AI570" s="132"/>
    </row>
    <row r="571">
      <c r="A571" s="480"/>
      <c r="B571" s="695"/>
      <c r="C571" s="739"/>
      <c r="D571" s="312"/>
      <c r="E571" s="314"/>
      <c r="F571" s="314"/>
      <c r="G571" s="314"/>
      <c r="H571" s="435"/>
      <c r="I571" s="318"/>
      <c r="J571" s="435"/>
      <c r="K571" s="435"/>
      <c r="L571" s="314"/>
      <c r="M571" s="435"/>
      <c r="N571" s="435"/>
      <c r="O571" s="314"/>
      <c r="P571" s="740"/>
      <c r="Q571" s="435"/>
      <c r="R571" s="316"/>
      <c r="S571" s="435"/>
      <c r="T571" s="435"/>
      <c r="U571" s="435"/>
      <c r="V571" s="435"/>
      <c r="W571" s="740"/>
      <c r="X571" s="435"/>
      <c r="Y571" s="435"/>
      <c r="Z571" s="743"/>
      <c r="AA571" s="744"/>
      <c r="AB571" s="435"/>
      <c r="AC571" s="435"/>
      <c r="AD571" s="324"/>
      <c r="AE571" s="180"/>
      <c r="AF571" s="180"/>
      <c r="AG571" s="322"/>
      <c r="AH571" s="132"/>
      <c r="AI571" s="132"/>
    </row>
    <row r="572">
      <c r="A572" s="476"/>
      <c r="AF572" s="176"/>
      <c r="AG572" s="322"/>
      <c r="AH572" s="132"/>
      <c r="AI572" s="132"/>
    </row>
    <row r="573">
      <c r="A573" s="178"/>
      <c r="AG573" s="322"/>
      <c r="AH573" s="132"/>
      <c r="AI573" s="132"/>
    </row>
    <row r="574">
      <c r="A574" s="481"/>
      <c r="B574" s="695"/>
      <c r="C574" s="739"/>
      <c r="D574" s="745"/>
      <c r="E574" s="435"/>
      <c r="F574" s="314"/>
      <c r="G574" s="435"/>
      <c r="H574" s="435"/>
      <c r="I574" s="740"/>
      <c r="J574" s="314"/>
      <c r="K574" s="435"/>
      <c r="L574" s="435"/>
      <c r="M574" s="435"/>
      <c r="N574" s="314"/>
      <c r="O574" s="314"/>
      <c r="P574" s="740"/>
      <c r="Q574" s="435"/>
      <c r="R574" s="742"/>
      <c r="S574" s="435"/>
      <c r="T574" s="435"/>
      <c r="U574" s="435"/>
      <c r="V574" s="435"/>
      <c r="W574" s="740"/>
      <c r="X574" s="435"/>
      <c r="Y574" s="435"/>
      <c r="Z574" s="743"/>
      <c r="AA574" s="744"/>
      <c r="AB574" s="435"/>
      <c r="AC574" s="435"/>
      <c r="AD574" s="324"/>
      <c r="AE574" s="180"/>
      <c r="AF574" s="155"/>
      <c r="AG574" s="322"/>
      <c r="AH574" s="132"/>
      <c r="AI574" s="132"/>
    </row>
    <row r="575">
      <c r="A575" s="435"/>
      <c r="B575" s="695"/>
      <c r="C575" s="739"/>
      <c r="D575" s="745"/>
      <c r="E575" s="314"/>
      <c r="F575" s="314"/>
      <c r="G575" s="314"/>
      <c r="H575" s="435"/>
      <c r="I575" s="318"/>
      <c r="J575" s="435"/>
      <c r="K575" s="435"/>
      <c r="L575" s="314"/>
      <c r="M575" s="314"/>
      <c r="N575" s="314"/>
      <c r="O575" s="314"/>
      <c r="P575" s="740"/>
      <c r="Q575" s="435"/>
      <c r="R575" s="742"/>
      <c r="S575" s="435"/>
      <c r="T575" s="435"/>
      <c r="U575" s="435"/>
      <c r="V575" s="435"/>
      <c r="W575" s="740"/>
      <c r="X575" s="435"/>
      <c r="Y575" s="435"/>
      <c r="Z575" s="743"/>
      <c r="AA575" s="744"/>
      <c r="AB575" s="435"/>
      <c r="AC575" s="435"/>
      <c r="AD575" s="324"/>
      <c r="AE575" s="180"/>
      <c r="AF575" s="155"/>
      <c r="AG575" s="322"/>
      <c r="AH575" s="132"/>
      <c r="AI575" s="132"/>
    </row>
    <row r="576">
      <c r="A576" s="482"/>
      <c r="B576" s="695"/>
      <c r="C576" s="696"/>
      <c r="D576" s="745"/>
      <c r="E576" s="314"/>
      <c r="F576" s="314"/>
      <c r="G576" s="314"/>
      <c r="H576" s="314"/>
      <c r="I576" s="318"/>
      <c r="J576" s="314"/>
      <c r="K576" s="435"/>
      <c r="L576" s="314"/>
      <c r="M576" s="314"/>
      <c r="N576" s="314"/>
      <c r="O576" s="314"/>
      <c r="P576" s="318"/>
      <c r="Q576" s="314"/>
      <c r="R576" s="742"/>
      <c r="S576" s="314"/>
      <c r="T576" s="314"/>
      <c r="U576" s="314"/>
      <c r="V576" s="314"/>
      <c r="W576" s="318"/>
      <c r="X576" s="314"/>
      <c r="Y576" s="314"/>
      <c r="Z576" s="697"/>
      <c r="AA576" s="315"/>
      <c r="AB576" s="314"/>
      <c r="AC576" s="314"/>
      <c r="AD576" s="324"/>
      <c r="AE576" s="180"/>
      <c r="AF576" s="155"/>
      <c r="AG576" s="322"/>
      <c r="AH576" s="132"/>
      <c r="AI576" s="132"/>
    </row>
    <row r="577">
      <c r="A577" s="482"/>
      <c r="B577" s="695"/>
      <c r="C577" s="739"/>
      <c r="D577" s="745"/>
      <c r="E577" s="435"/>
      <c r="F577" s="314"/>
      <c r="G577" s="314"/>
      <c r="H577" s="435"/>
      <c r="I577" s="740"/>
      <c r="J577" s="435"/>
      <c r="K577" s="435"/>
      <c r="L577" s="435"/>
      <c r="M577" s="435"/>
      <c r="N577" s="435"/>
      <c r="O577" s="314"/>
      <c r="P577" s="740"/>
      <c r="Q577" s="435"/>
      <c r="R577" s="742"/>
      <c r="S577" s="435"/>
      <c r="T577" s="435"/>
      <c r="U577" s="435"/>
      <c r="V577" s="435"/>
      <c r="W577" s="740"/>
      <c r="X577" s="435"/>
      <c r="Y577" s="435"/>
      <c r="Z577" s="743"/>
      <c r="AA577" s="744"/>
      <c r="AB577" s="435"/>
      <c r="AC577" s="435"/>
      <c r="AD577" s="324"/>
      <c r="AE577" s="180"/>
      <c r="AF577" s="155"/>
      <c r="AG577" s="322"/>
      <c r="AH577" s="132"/>
      <c r="AI577" s="132"/>
    </row>
    <row r="578">
      <c r="A578" s="314"/>
      <c r="B578" s="695"/>
      <c r="C578" s="696"/>
      <c r="D578" s="312"/>
      <c r="E578" s="314"/>
      <c r="F578" s="314"/>
      <c r="G578" s="314"/>
      <c r="H578" s="314"/>
      <c r="I578" s="318"/>
      <c r="J578" s="314"/>
      <c r="K578" s="314"/>
      <c r="L578" s="314"/>
      <c r="M578" s="314"/>
      <c r="N578" s="314"/>
      <c r="O578" s="314"/>
      <c r="P578" s="318"/>
      <c r="Q578" s="314"/>
      <c r="R578" s="316"/>
      <c r="S578" s="314"/>
      <c r="T578" s="314"/>
      <c r="U578" s="314"/>
      <c r="V578" s="314"/>
      <c r="W578" s="318"/>
      <c r="X578" s="314"/>
      <c r="Y578" s="314"/>
      <c r="Z578" s="697"/>
      <c r="AA578" s="315"/>
      <c r="AB578" s="314"/>
      <c r="AC578" s="314"/>
      <c r="AD578" s="483"/>
      <c r="AF578" s="484"/>
      <c r="AG578" s="322"/>
      <c r="AH578" s="132"/>
      <c r="AI578" s="132"/>
    </row>
    <row r="579">
      <c r="A579" s="314"/>
      <c r="B579" s="695"/>
      <c r="C579" s="696"/>
      <c r="D579" s="312"/>
      <c r="E579" s="314"/>
      <c r="F579" s="314"/>
      <c r="G579" s="314"/>
      <c r="H579" s="314"/>
      <c r="I579" s="318"/>
      <c r="J579" s="314"/>
      <c r="K579" s="314"/>
      <c r="L579" s="314"/>
      <c r="M579" s="314"/>
      <c r="N579" s="314"/>
      <c r="O579" s="314"/>
      <c r="P579" s="318"/>
      <c r="Q579" s="314"/>
      <c r="R579" s="316"/>
      <c r="S579" s="314"/>
      <c r="T579" s="314"/>
      <c r="U579" s="314"/>
      <c r="V579" s="314"/>
      <c r="W579" s="318"/>
      <c r="X579" s="314"/>
      <c r="Y579" s="314"/>
      <c r="Z579" s="697"/>
      <c r="AA579" s="315"/>
      <c r="AB579" s="314"/>
      <c r="AC579" s="314"/>
      <c r="AD579" s="324"/>
      <c r="AE579" s="155"/>
      <c r="AF579" s="155"/>
      <c r="AG579" s="322"/>
      <c r="AH579" s="132"/>
      <c r="AI579" s="132"/>
    </row>
    <row r="580">
      <c r="A580" s="314"/>
      <c r="B580" s="695"/>
      <c r="C580" s="696"/>
      <c r="D580" s="312"/>
      <c r="E580" s="314"/>
      <c r="F580" s="314"/>
      <c r="G580" s="314"/>
      <c r="H580" s="314"/>
      <c r="I580" s="318"/>
      <c r="J580" s="314"/>
      <c r="K580" s="314"/>
      <c r="L580" s="314"/>
      <c r="M580" s="314"/>
      <c r="N580" s="314"/>
      <c r="O580" s="314"/>
      <c r="P580" s="318"/>
      <c r="Q580" s="314"/>
      <c r="R580" s="316"/>
      <c r="S580" s="314"/>
      <c r="T580" s="314"/>
      <c r="U580" s="314"/>
      <c r="V580" s="314"/>
      <c r="W580" s="318"/>
      <c r="X580" s="314"/>
      <c r="Y580" s="314"/>
      <c r="Z580" s="697"/>
      <c r="AA580" s="315"/>
      <c r="AB580" s="314"/>
      <c r="AC580" s="314"/>
      <c r="AD580" s="324"/>
      <c r="AE580" s="155"/>
      <c r="AF580" s="155"/>
      <c r="AG580" s="322"/>
      <c r="AH580" s="132"/>
      <c r="AI580" s="132"/>
    </row>
    <row r="581">
      <c r="A581" s="314"/>
      <c r="B581" s="695"/>
      <c r="C581" s="696"/>
      <c r="D581" s="312"/>
      <c r="E581" s="314"/>
      <c r="F581" s="314"/>
      <c r="G581" s="314"/>
      <c r="H581" s="314"/>
      <c r="I581" s="318"/>
      <c r="J581" s="314"/>
      <c r="K581" s="314"/>
      <c r="L581" s="314"/>
      <c r="M581" s="314"/>
      <c r="N581" s="314"/>
      <c r="O581" s="314"/>
      <c r="P581" s="318"/>
      <c r="Q581" s="314"/>
      <c r="R581" s="316"/>
      <c r="S581" s="314"/>
      <c r="T581" s="314"/>
      <c r="U581" s="314"/>
      <c r="V581" s="314"/>
      <c r="W581" s="318"/>
      <c r="X581" s="314"/>
      <c r="Y581" s="314"/>
      <c r="Z581" s="697"/>
      <c r="AA581" s="315"/>
      <c r="AB581" s="314"/>
      <c r="AC581" s="314"/>
      <c r="AD581" s="324"/>
      <c r="AE581" s="155"/>
      <c r="AF581" s="155"/>
      <c r="AG581" s="322"/>
      <c r="AH581" s="132"/>
      <c r="AI581" s="132"/>
    </row>
    <row r="582">
      <c r="A582" s="314"/>
      <c r="B582" s="695"/>
      <c r="C582" s="696"/>
      <c r="D582" s="312"/>
      <c r="E582" s="314"/>
      <c r="F582" s="314"/>
      <c r="G582" s="314"/>
      <c r="H582" s="314"/>
      <c r="I582" s="318"/>
      <c r="J582" s="314"/>
      <c r="K582" s="314"/>
      <c r="L582" s="314"/>
      <c r="M582" s="314"/>
      <c r="N582" s="314"/>
      <c r="O582" s="314"/>
      <c r="P582" s="318"/>
      <c r="Q582" s="314"/>
      <c r="R582" s="316"/>
      <c r="S582" s="314"/>
      <c r="T582" s="314"/>
      <c r="U582" s="314"/>
      <c r="V582" s="314"/>
      <c r="W582" s="318"/>
      <c r="X582" s="314"/>
      <c r="Y582" s="314"/>
      <c r="Z582" s="697"/>
      <c r="AA582" s="315"/>
      <c r="AB582" s="314"/>
      <c r="AC582" s="314"/>
      <c r="AD582" s="324"/>
      <c r="AE582" s="155"/>
      <c r="AF582" s="155"/>
      <c r="AG582" s="322"/>
      <c r="AH582" s="132"/>
      <c r="AI582" s="132"/>
    </row>
    <row r="583">
      <c r="A583" s="314"/>
      <c r="B583" s="695"/>
      <c r="C583" s="696"/>
      <c r="D583" s="312"/>
      <c r="E583" s="314"/>
      <c r="F583" s="314"/>
      <c r="G583" s="314"/>
      <c r="H583" s="314"/>
      <c r="I583" s="318"/>
      <c r="J583" s="314"/>
      <c r="K583" s="314"/>
      <c r="L583" s="314"/>
      <c r="M583" s="314"/>
      <c r="N583" s="314"/>
      <c r="O583" s="314"/>
      <c r="P583" s="318"/>
      <c r="Q583" s="314"/>
      <c r="R583" s="316"/>
      <c r="S583" s="314"/>
      <c r="T583" s="314"/>
      <c r="U583" s="314"/>
      <c r="V583" s="314"/>
      <c r="W583" s="318"/>
      <c r="X583" s="314"/>
      <c r="Y583" s="314"/>
      <c r="Z583" s="697"/>
      <c r="AA583" s="315"/>
      <c r="AB583" s="314"/>
      <c r="AC583" s="314"/>
      <c r="AD583" s="324"/>
      <c r="AE583" s="155"/>
      <c r="AF583" s="155"/>
      <c r="AG583" s="322"/>
      <c r="AH583" s="132"/>
      <c r="AI583" s="132"/>
    </row>
    <row r="584">
      <c r="A584" s="314"/>
      <c r="B584" s="695"/>
      <c r="C584" s="696"/>
      <c r="D584" s="312"/>
      <c r="E584" s="314"/>
      <c r="F584" s="314"/>
      <c r="G584" s="314"/>
      <c r="H584" s="314"/>
      <c r="I584" s="318"/>
      <c r="J584" s="314"/>
      <c r="K584" s="314"/>
      <c r="L584" s="314"/>
      <c r="M584" s="314"/>
      <c r="N584" s="314"/>
      <c r="O584" s="314"/>
      <c r="P584" s="318"/>
      <c r="Q584" s="314"/>
      <c r="R584" s="316"/>
      <c r="S584" s="314"/>
      <c r="T584" s="314"/>
      <c r="U584" s="314"/>
      <c r="V584" s="314"/>
      <c r="W584" s="318"/>
      <c r="X584" s="314"/>
      <c r="Y584" s="314"/>
      <c r="Z584" s="697"/>
      <c r="AA584" s="315"/>
      <c r="AB584" s="314"/>
      <c r="AC584" s="314"/>
      <c r="AD584" s="324"/>
      <c r="AE584" s="155"/>
      <c r="AF584" s="155"/>
      <c r="AG584" s="322"/>
      <c r="AH584" s="132"/>
      <c r="AI584" s="132"/>
    </row>
    <row r="585">
      <c r="A585" s="314"/>
      <c r="B585" s="695"/>
      <c r="C585" s="696"/>
      <c r="D585" s="312"/>
      <c r="E585" s="314"/>
      <c r="F585" s="314"/>
      <c r="G585" s="314"/>
      <c r="H585" s="314"/>
      <c r="I585" s="318"/>
      <c r="J585" s="314"/>
      <c r="K585" s="314"/>
      <c r="L585" s="314"/>
      <c r="M585" s="314"/>
      <c r="N585" s="314"/>
      <c r="O585" s="314"/>
      <c r="P585" s="318"/>
      <c r="Q585" s="314"/>
      <c r="R585" s="316"/>
      <c r="S585" s="314"/>
      <c r="T585" s="314"/>
      <c r="U585" s="314"/>
      <c r="V585" s="314"/>
      <c r="W585" s="318"/>
      <c r="X585" s="314"/>
      <c r="Y585" s="314"/>
      <c r="Z585" s="697"/>
      <c r="AA585" s="315"/>
      <c r="AB585" s="314"/>
      <c r="AC585" s="314"/>
      <c r="AD585" s="324"/>
      <c r="AE585" s="155"/>
      <c r="AF585" s="155"/>
      <c r="AG585" s="322"/>
      <c r="AH585" s="132"/>
      <c r="AI585" s="132"/>
    </row>
    <row r="586">
      <c r="A586" s="314"/>
      <c r="B586" s="695"/>
      <c r="C586" s="696"/>
      <c r="D586" s="312"/>
      <c r="E586" s="314"/>
      <c r="F586" s="314"/>
      <c r="G586" s="314"/>
      <c r="H586" s="314"/>
      <c r="I586" s="318"/>
      <c r="J586" s="314"/>
      <c r="K586" s="314"/>
      <c r="L586" s="314"/>
      <c r="M586" s="314"/>
      <c r="N586" s="314"/>
      <c r="O586" s="314"/>
      <c r="P586" s="318"/>
      <c r="Q586" s="314"/>
      <c r="R586" s="316"/>
      <c r="S586" s="314"/>
      <c r="T586" s="314"/>
      <c r="U586" s="314"/>
      <c r="V586" s="314"/>
      <c r="W586" s="318"/>
      <c r="X586" s="314"/>
      <c r="Y586" s="314"/>
      <c r="Z586" s="697"/>
      <c r="AA586" s="315"/>
      <c r="AB586" s="314"/>
      <c r="AC586" s="314"/>
      <c r="AD586" s="324"/>
      <c r="AE586" s="155"/>
      <c r="AF586" s="155"/>
      <c r="AG586" s="322"/>
      <c r="AH586" s="132"/>
      <c r="AI586" s="132"/>
    </row>
    <row r="587">
      <c r="A587" s="314"/>
      <c r="B587" s="695"/>
      <c r="C587" s="696"/>
      <c r="D587" s="312"/>
      <c r="E587" s="314"/>
      <c r="F587" s="314"/>
      <c r="G587" s="314"/>
      <c r="H587" s="314"/>
      <c r="I587" s="318"/>
      <c r="J587" s="314"/>
      <c r="K587" s="314"/>
      <c r="L587" s="314"/>
      <c r="M587" s="314"/>
      <c r="N587" s="314"/>
      <c r="O587" s="314"/>
      <c r="P587" s="318"/>
      <c r="Q587" s="314"/>
      <c r="R587" s="316"/>
      <c r="S587" s="314"/>
      <c r="T587" s="314"/>
      <c r="U587" s="314"/>
      <c r="V587" s="314"/>
      <c r="W587" s="318"/>
      <c r="X587" s="314"/>
      <c r="Y587" s="314"/>
      <c r="Z587" s="697"/>
      <c r="AA587" s="315"/>
      <c r="AB587" s="314"/>
      <c r="AC587" s="314"/>
      <c r="AD587" s="324"/>
      <c r="AE587" s="155"/>
      <c r="AF587" s="155"/>
      <c r="AG587" s="322"/>
      <c r="AH587" s="132"/>
      <c r="AI587" s="132"/>
    </row>
    <row r="588">
      <c r="A588" s="314"/>
      <c r="B588" s="695"/>
      <c r="C588" s="696"/>
      <c r="D588" s="312"/>
      <c r="E588" s="314"/>
      <c r="F588" s="314"/>
      <c r="G588" s="314"/>
      <c r="H588" s="314"/>
      <c r="I588" s="318"/>
      <c r="J588" s="314"/>
      <c r="K588" s="314"/>
      <c r="L588" s="314"/>
      <c r="M588" s="314"/>
      <c r="N588" s="314"/>
      <c r="O588" s="314"/>
      <c r="P588" s="318"/>
      <c r="Q588" s="314"/>
      <c r="R588" s="316"/>
      <c r="S588" s="314"/>
      <c r="T588" s="314"/>
      <c r="U588" s="314"/>
      <c r="V588" s="314"/>
      <c r="W588" s="318"/>
      <c r="X588" s="314"/>
      <c r="Y588" s="314"/>
      <c r="Z588" s="697"/>
      <c r="AA588" s="315"/>
      <c r="AB588" s="314"/>
      <c r="AC588" s="314"/>
      <c r="AD588" s="324"/>
      <c r="AE588" s="155"/>
      <c r="AF588" s="155"/>
      <c r="AG588" s="322"/>
      <c r="AH588" s="132"/>
      <c r="AI588" s="132"/>
    </row>
    <row r="589">
      <c r="A589" s="314"/>
      <c r="B589" s="695"/>
      <c r="C589" s="696"/>
      <c r="D589" s="312"/>
      <c r="E589" s="314"/>
      <c r="F589" s="314"/>
      <c r="G589" s="314"/>
      <c r="H589" s="314"/>
      <c r="I589" s="318"/>
      <c r="J589" s="314"/>
      <c r="K589" s="314"/>
      <c r="L589" s="314"/>
      <c r="M589" s="314"/>
      <c r="N589" s="314"/>
      <c r="O589" s="314"/>
      <c r="P589" s="318"/>
      <c r="Q589" s="314"/>
      <c r="R589" s="316"/>
      <c r="S589" s="314"/>
      <c r="T589" s="314"/>
      <c r="U589" s="314"/>
      <c r="V589" s="314"/>
      <c r="W589" s="318"/>
      <c r="X589" s="314"/>
      <c r="Y589" s="314"/>
      <c r="Z589" s="697"/>
      <c r="AA589" s="315"/>
      <c r="AB589" s="314"/>
      <c r="AC589" s="314"/>
      <c r="AD589" s="324"/>
      <c r="AE589" s="155"/>
      <c r="AF589" s="155"/>
      <c r="AG589" s="322"/>
      <c r="AH589" s="132"/>
      <c r="AI589" s="132"/>
    </row>
    <row r="590">
      <c r="A590" s="314"/>
      <c r="B590" s="695"/>
      <c r="C590" s="696"/>
      <c r="D590" s="312"/>
      <c r="E590" s="314"/>
      <c r="F590" s="314"/>
      <c r="G590" s="314"/>
      <c r="H590" s="314"/>
      <c r="I590" s="318"/>
      <c r="J590" s="314"/>
      <c r="K590" s="314"/>
      <c r="L590" s="314"/>
      <c r="M590" s="314"/>
      <c r="N590" s="314"/>
      <c r="O590" s="314"/>
      <c r="P590" s="318"/>
      <c r="Q590" s="314"/>
      <c r="R590" s="316"/>
      <c r="S590" s="314"/>
      <c r="T590" s="314"/>
      <c r="U590" s="314"/>
      <c r="V590" s="314"/>
      <c r="W590" s="318"/>
      <c r="X590" s="314"/>
      <c r="Y590" s="314"/>
      <c r="Z590" s="697"/>
      <c r="AA590" s="315"/>
      <c r="AB590" s="314"/>
      <c r="AC590" s="314"/>
      <c r="AD590" s="324"/>
      <c r="AE590" s="155"/>
      <c r="AF590" s="155"/>
      <c r="AG590" s="322"/>
      <c r="AH590" s="132"/>
      <c r="AI590" s="132"/>
    </row>
    <row r="591">
      <c r="A591" s="314"/>
      <c r="B591" s="695"/>
      <c r="C591" s="696"/>
      <c r="D591" s="312"/>
      <c r="E591" s="314"/>
      <c r="F591" s="314"/>
      <c r="G591" s="314"/>
      <c r="H591" s="314"/>
      <c r="I591" s="318"/>
      <c r="J591" s="314"/>
      <c r="K591" s="314"/>
      <c r="L591" s="314"/>
      <c r="M591" s="314"/>
      <c r="N591" s="314"/>
      <c r="O591" s="314"/>
      <c r="P591" s="318"/>
      <c r="Q591" s="314"/>
      <c r="R591" s="316"/>
      <c r="S591" s="314"/>
      <c r="T591" s="314"/>
      <c r="U591" s="314"/>
      <c r="V591" s="314"/>
      <c r="W591" s="318"/>
      <c r="X591" s="314"/>
      <c r="Y591" s="314"/>
      <c r="Z591" s="697"/>
      <c r="AA591" s="315"/>
      <c r="AB591" s="314"/>
      <c r="AC591" s="314"/>
      <c r="AD591" s="324"/>
      <c r="AE591" s="155"/>
      <c r="AF591" s="155"/>
      <c r="AG591" s="322"/>
      <c r="AH591" s="132"/>
      <c r="AI591" s="132"/>
    </row>
    <row r="592">
      <c r="A592" s="314"/>
      <c r="B592" s="695"/>
      <c r="C592" s="696"/>
      <c r="D592" s="312"/>
      <c r="E592" s="314"/>
      <c r="F592" s="314"/>
      <c r="G592" s="314"/>
      <c r="H592" s="314"/>
      <c r="I592" s="318"/>
      <c r="J592" s="314"/>
      <c r="K592" s="314"/>
      <c r="L592" s="314"/>
      <c r="M592" s="314"/>
      <c r="N592" s="314"/>
      <c r="O592" s="314"/>
      <c r="P592" s="318"/>
      <c r="Q592" s="314"/>
      <c r="R592" s="316"/>
      <c r="S592" s="314"/>
      <c r="T592" s="314"/>
      <c r="U592" s="314"/>
      <c r="V592" s="314"/>
      <c r="W592" s="318"/>
      <c r="X592" s="314"/>
      <c r="Y592" s="314"/>
      <c r="Z592" s="697"/>
      <c r="AA592" s="315"/>
      <c r="AB592" s="314"/>
      <c r="AC592" s="314"/>
      <c r="AD592" s="324"/>
      <c r="AE592" s="155"/>
      <c r="AF592" s="155"/>
      <c r="AG592" s="322"/>
      <c r="AH592" s="132"/>
      <c r="AI592" s="132"/>
    </row>
    <row r="593">
      <c r="A593" s="314"/>
      <c r="B593" s="695"/>
      <c r="C593" s="696"/>
      <c r="D593" s="312"/>
      <c r="E593" s="314"/>
      <c r="F593" s="314"/>
      <c r="G593" s="314"/>
      <c r="H593" s="314"/>
      <c r="I593" s="318"/>
      <c r="J593" s="314"/>
      <c r="K593" s="314"/>
      <c r="L593" s="314"/>
      <c r="M593" s="314"/>
      <c r="N593" s="314"/>
      <c r="O593" s="314"/>
      <c r="P593" s="318"/>
      <c r="Q593" s="314"/>
      <c r="R593" s="316"/>
      <c r="S593" s="314"/>
      <c r="T593" s="314"/>
      <c r="U593" s="314"/>
      <c r="V593" s="314"/>
      <c r="W593" s="318"/>
      <c r="X593" s="314"/>
      <c r="Y593" s="314"/>
      <c r="Z593" s="697"/>
      <c r="AA593" s="315"/>
      <c r="AB593" s="314"/>
      <c r="AC593" s="314"/>
      <c r="AD593" s="487"/>
      <c r="AF593" s="484"/>
      <c r="AG593" s="322"/>
      <c r="AH593" s="132"/>
      <c r="AI593" s="132"/>
    </row>
    <row r="594">
      <c r="A594" s="314"/>
      <c r="B594" s="695"/>
      <c r="C594" s="696"/>
      <c r="D594" s="312"/>
      <c r="E594" s="314"/>
      <c r="F594" s="314"/>
      <c r="G594" s="314"/>
      <c r="H594" s="314"/>
      <c r="I594" s="318"/>
      <c r="J594" s="314"/>
      <c r="K594" s="314"/>
      <c r="L594" s="314"/>
      <c r="M594" s="314"/>
      <c r="N594" s="314"/>
      <c r="O594" s="314"/>
      <c r="P594" s="318"/>
      <c r="Q594" s="314"/>
      <c r="R594" s="316"/>
      <c r="S594" s="314"/>
      <c r="T594" s="314"/>
      <c r="U594" s="314"/>
      <c r="V594" s="314"/>
      <c r="W594" s="318"/>
      <c r="X594" s="314"/>
      <c r="Y594" s="314"/>
      <c r="Z594" s="697"/>
      <c r="AA594" s="315"/>
      <c r="AB594" s="314"/>
      <c r="AC594" s="314"/>
      <c r="AD594" s="324"/>
      <c r="AE594" s="155"/>
      <c r="AF594" s="155"/>
      <c r="AG594" s="322"/>
      <c r="AH594" s="132"/>
      <c r="AI594" s="132"/>
    </row>
    <row r="595">
      <c r="A595" s="314"/>
      <c r="B595" s="695"/>
      <c r="C595" s="696"/>
      <c r="D595" s="312"/>
      <c r="E595" s="314"/>
      <c r="F595" s="314"/>
      <c r="G595" s="314"/>
      <c r="H595" s="314"/>
      <c r="I595" s="318"/>
      <c r="J595" s="314"/>
      <c r="K595" s="314"/>
      <c r="L595" s="314"/>
      <c r="M595" s="314"/>
      <c r="N595" s="314"/>
      <c r="O595" s="314"/>
      <c r="P595" s="318"/>
      <c r="Q595" s="314"/>
      <c r="R595" s="316"/>
      <c r="S595" s="314"/>
      <c r="T595" s="314"/>
      <c r="U595" s="314"/>
      <c r="V595" s="314"/>
      <c r="W595" s="318"/>
      <c r="X595" s="314"/>
      <c r="Y595" s="314"/>
      <c r="Z595" s="697"/>
      <c r="AA595" s="315"/>
      <c r="AB595" s="314"/>
      <c r="AC595" s="314"/>
      <c r="AD595" s="324"/>
      <c r="AE595" s="155"/>
      <c r="AF595" s="155"/>
      <c r="AG595" s="322"/>
      <c r="AH595" s="132"/>
      <c r="AI595" s="132"/>
    </row>
    <row r="596">
      <c r="A596" s="314"/>
      <c r="B596" s="695"/>
      <c r="C596" s="696"/>
      <c r="D596" s="312"/>
      <c r="E596" s="314"/>
      <c r="F596" s="314"/>
      <c r="G596" s="314"/>
      <c r="H596" s="314"/>
      <c r="I596" s="318"/>
      <c r="J596" s="314"/>
      <c r="K596" s="314"/>
      <c r="L596" s="314"/>
      <c r="M596" s="314"/>
      <c r="N596" s="314"/>
      <c r="O596" s="314"/>
      <c r="P596" s="318"/>
      <c r="Q596" s="314"/>
      <c r="R596" s="316"/>
      <c r="S596" s="314"/>
      <c r="T596" s="314"/>
      <c r="U596" s="314"/>
      <c r="V596" s="314"/>
      <c r="W596" s="318"/>
      <c r="X596" s="314"/>
      <c r="Y596" s="314"/>
      <c r="Z596" s="697"/>
      <c r="AA596" s="315"/>
      <c r="AB596" s="314"/>
      <c r="AC596" s="314"/>
      <c r="AD596" s="324"/>
      <c r="AE596" s="155"/>
      <c r="AF596" s="155"/>
      <c r="AG596" s="322"/>
      <c r="AH596" s="132"/>
      <c r="AI596" s="132"/>
    </row>
    <row r="597">
      <c r="A597" s="314"/>
      <c r="B597" s="695"/>
      <c r="C597" s="696"/>
      <c r="D597" s="312"/>
      <c r="E597" s="314"/>
      <c r="F597" s="314"/>
      <c r="G597" s="314"/>
      <c r="H597" s="314"/>
      <c r="I597" s="318"/>
      <c r="J597" s="314"/>
      <c r="K597" s="314"/>
      <c r="L597" s="314"/>
      <c r="M597" s="314"/>
      <c r="N597" s="314"/>
      <c r="O597" s="314"/>
      <c r="P597" s="318"/>
      <c r="Q597" s="314"/>
      <c r="R597" s="316"/>
      <c r="S597" s="314"/>
      <c r="T597" s="314"/>
      <c r="U597" s="314"/>
      <c r="V597" s="314"/>
      <c r="W597" s="318"/>
      <c r="X597" s="314"/>
      <c r="Y597" s="314"/>
      <c r="Z597" s="697"/>
      <c r="AA597" s="315"/>
      <c r="AB597" s="314"/>
      <c r="AC597" s="314"/>
      <c r="AD597" s="324"/>
      <c r="AE597" s="155"/>
      <c r="AF597" s="155"/>
      <c r="AG597" s="322"/>
      <c r="AH597" s="132"/>
      <c r="AI597" s="132"/>
    </row>
    <row r="598">
      <c r="A598" s="314"/>
      <c r="B598" s="695"/>
      <c r="C598" s="696"/>
      <c r="D598" s="312"/>
      <c r="E598" s="314"/>
      <c r="F598" s="314"/>
      <c r="G598" s="314"/>
      <c r="H598" s="314"/>
      <c r="I598" s="318"/>
      <c r="J598" s="314"/>
      <c r="K598" s="314"/>
      <c r="L598" s="314"/>
      <c r="M598" s="314"/>
      <c r="N598" s="314"/>
      <c r="O598" s="314"/>
      <c r="P598" s="318"/>
      <c r="Q598" s="314"/>
      <c r="R598" s="316"/>
      <c r="S598" s="314"/>
      <c r="T598" s="314"/>
      <c r="U598" s="314"/>
      <c r="V598" s="314"/>
      <c r="W598" s="318"/>
      <c r="X598" s="314"/>
      <c r="Y598" s="314"/>
      <c r="Z598" s="697"/>
      <c r="AA598" s="315"/>
      <c r="AB598" s="314"/>
      <c r="AC598" s="314"/>
      <c r="AD598" s="324"/>
      <c r="AE598" s="155"/>
      <c r="AF598" s="155"/>
      <c r="AG598" s="322"/>
      <c r="AH598" s="132"/>
      <c r="AI598" s="132"/>
    </row>
    <row r="599">
      <c r="A599" s="314"/>
      <c r="B599" s="695"/>
      <c r="C599" s="696"/>
      <c r="D599" s="312"/>
      <c r="E599" s="314"/>
      <c r="F599" s="314"/>
      <c r="G599" s="314"/>
      <c r="H599" s="314"/>
      <c r="I599" s="318"/>
      <c r="J599" s="314"/>
      <c r="K599" s="314"/>
      <c r="L599" s="314"/>
      <c r="M599" s="314"/>
      <c r="N599" s="314"/>
      <c r="O599" s="314"/>
      <c r="P599" s="318"/>
      <c r="Q599" s="314"/>
      <c r="R599" s="316"/>
      <c r="S599" s="314"/>
      <c r="T599" s="314"/>
      <c r="U599" s="314"/>
      <c r="V599" s="314"/>
      <c r="W599" s="318"/>
      <c r="X599" s="314"/>
      <c r="Y599" s="314"/>
      <c r="Z599" s="697"/>
      <c r="AA599" s="315"/>
      <c r="AB599" s="314"/>
      <c r="AC599" s="314"/>
      <c r="AD599" s="324"/>
      <c r="AE599" s="155"/>
      <c r="AF599" s="155"/>
      <c r="AG599" s="322"/>
      <c r="AH599" s="132"/>
      <c r="AI599" s="132"/>
    </row>
    <row r="600">
      <c r="A600" s="314"/>
      <c r="B600" s="695"/>
      <c r="C600" s="696"/>
      <c r="D600" s="312"/>
      <c r="E600" s="314"/>
      <c r="F600" s="314"/>
      <c r="G600" s="314"/>
      <c r="H600" s="314"/>
      <c r="I600" s="318"/>
      <c r="J600" s="314"/>
      <c r="K600" s="314"/>
      <c r="L600" s="314"/>
      <c r="M600" s="314"/>
      <c r="N600" s="314"/>
      <c r="O600" s="314"/>
      <c r="P600" s="318"/>
      <c r="Q600" s="314"/>
      <c r="R600" s="316"/>
      <c r="S600" s="314"/>
      <c r="T600" s="314"/>
      <c r="U600" s="314"/>
      <c r="V600" s="314"/>
      <c r="W600" s="318"/>
      <c r="X600" s="314"/>
      <c r="Y600" s="314"/>
      <c r="Z600" s="697"/>
      <c r="AA600" s="315"/>
      <c r="AB600" s="314"/>
      <c r="AC600" s="314"/>
      <c r="AD600" s="324"/>
      <c r="AE600" s="155"/>
      <c r="AF600" s="155"/>
      <c r="AG600" s="322"/>
      <c r="AH600" s="132"/>
      <c r="AI600" s="132"/>
    </row>
    <row r="601">
      <c r="A601" s="314"/>
      <c r="B601" s="695"/>
      <c r="C601" s="696"/>
      <c r="D601" s="312"/>
      <c r="E601" s="314"/>
      <c r="F601" s="314"/>
      <c r="G601" s="314"/>
      <c r="H601" s="314"/>
      <c r="I601" s="318"/>
      <c r="J601" s="314"/>
      <c r="K601" s="314"/>
      <c r="L601" s="314"/>
      <c r="M601" s="314"/>
      <c r="N601" s="314"/>
      <c r="O601" s="314"/>
      <c r="P601" s="318"/>
      <c r="Q601" s="314"/>
      <c r="R601" s="316"/>
      <c r="S601" s="314"/>
      <c r="T601" s="314"/>
      <c r="U601" s="314"/>
      <c r="V601" s="314"/>
      <c r="W601" s="318"/>
      <c r="X601" s="314"/>
      <c r="Y601" s="314"/>
      <c r="Z601" s="697"/>
      <c r="AA601" s="315"/>
      <c r="AB601" s="314"/>
      <c r="AC601" s="314"/>
      <c r="AD601" s="324"/>
      <c r="AE601" s="155"/>
      <c r="AF601" s="155"/>
      <c r="AG601" s="322"/>
      <c r="AH601" s="132"/>
      <c r="AI601" s="132"/>
    </row>
    <row r="602">
      <c r="A602" s="314"/>
      <c r="B602" s="695"/>
      <c r="C602" s="696"/>
      <c r="D602" s="312"/>
      <c r="E602" s="314"/>
      <c r="F602" s="314"/>
      <c r="G602" s="314"/>
      <c r="H602" s="314"/>
      <c r="I602" s="318"/>
      <c r="J602" s="314"/>
      <c r="K602" s="314"/>
      <c r="L602" s="314"/>
      <c r="M602" s="314"/>
      <c r="N602" s="314"/>
      <c r="O602" s="314"/>
      <c r="P602" s="318"/>
      <c r="Q602" s="314"/>
      <c r="R602" s="316"/>
      <c r="S602" s="314"/>
      <c r="T602" s="314"/>
      <c r="U602" s="314"/>
      <c r="V602" s="314"/>
      <c r="W602" s="318"/>
      <c r="X602" s="314"/>
      <c r="Y602" s="314"/>
      <c r="Z602" s="697"/>
      <c r="AA602" s="315"/>
      <c r="AB602" s="314"/>
      <c r="AC602" s="314"/>
      <c r="AD602" s="324"/>
      <c r="AE602" s="155"/>
      <c r="AF602" s="155"/>
      <c r="AG602" s="322"/>
      <c r="AH602" s="132"/>
      <c r="AI602" s="132"/>
    </row>
    <row r="603">
      <c r="A603" s="314"/>
      <c r="B603" s="695"/>
      <c r="C603" s="696"/>
      <c r="D603" s="312"/>
      <c r="E603" s="314"/>
      <c r="F603" s="314"/>
      <c r="G603" s="314"/>
      <c r="H603" s="314"/>
      <c r="I603" s="318"/>
      <c r="J603" s="314"/>
      <c r="K603" s="314"/>
      <c r="L603" s="314"/>
      <c r="M603" s="314"/>
      <c r="N603" s="314"/>
      <c r="O603" s="314"/>
      <c r="P603" s="318"/>
      <c r="Q603" s="314"/>
      <c r="R603" s="316"/>
      <c r="S603" s="314"/>
      <c r="T603" s="314"/>
      <c r="U603" s="314"/>
      <c r="V603" s="314"/>
      <c r="W603" s="318"/>
      <c r="X603" s="314"/>
      <c r="Y603" s="314"/>
      <c r="Z603" s="697"/>
      <c r="AA603" s="315"/>
      <c r="AB603" s="314"/>
      <c r="AC603" s="314"/>
      <c r="AD603" s="324"/>
      <c r="AE603" s="155"/>
      <c r="AF603" s="155"/>
      <c r="AG603" s="322"/>
      <c r="AH603" s="132"/>
      <c r="AI603" s="132"/>
    </row>
    <row r="604">
      <c r="A604" s="314"/>
      <c r="B604" s="695"/>
      <c r="C604" s="696"/>
      <c r="D604" s="312"/>
      <c r="E604" s="314"/>
      <c r="F604" s="314"/>
      <c r="G604" s="314"/>
      <c r="H604" s="314"/>
      <c r="I604" s="318"/>
      <c r="J604" s="314"/>
      <c r="K604" s="314"/>
      <c r="L604" s="314"/>
      <c r="M604" s="314"/>
      <c r="N604" s="314"/>
      <c r="O604" s="314"/>
      <c r="P604" s="318"/>
      <c r="Q604" s="314"/>
      <c r="R604" s="316"/>
      <c r="S604" s="314"/>
      <c r="T604" s="314"/>
      <c r="U604" s="314"/>
      <c r="V604" s="314"/>
      <c r="W604" s="318"/>
      <c r="X604" s="314"/>
      <c r="Y604" s="314"/>
      <c r="Z604" s="697"/>
      <c r="AA604" s="315"/>
      <c r="AB604" s="314"/>
      <c r="AC604" s="314"/>
      <c r="AD604" s="324"/>
      <c r="AE604" s="155"/>
      <c r="AF604" s="155"/>
      <c r="AG604" s="322"/>
      <c r="AH604" s="132"/>
      <c r="AI604" s="132"/>
    </row>
    <row r="605">
      <c r="A605" s="314"/>
      <c r="B605" s="695"/>
      <c r="C605" s="696"/>
      <c r="D605" s="312"/>
      <c r="E605" s="314"/>
      <c r="F605" s="314"/>
      <c r="G605" s="314"/>
      <c r="H605" s="314"/>
      <c r="I605" s="318"/>
      <c r="J605" s="314"/>
      <c r="K605" s="314"/>
      <c r="L605" s="314"/>
      <c r="M605" s="314"/>
      <c r="N605" s="314"/>
      <c r="O605" s="314"/>
      <c r="P605" s="318"/>
      <c r="Q605" s="314"/>
      <c r="R605" s="316"/>
      <c r="S605" s="314"/>
      <c r="T605" s="314"/>
      <c r="U605" s="314"/>
      <c r="V605" s="314"/>
      <c r="W605" s="318"/>
      <c r="X605" s="314"/>
      <c r="Y605" s="314"/>
      <c r="Z605" s="697"/>
      <c r="AA605" s="315"/>
      <c r="AB605" s="314"/>
      <c r="AC605" s="314"/>
      <c r="AD605" s="324"/>
      <c r="AE605" s="155"/>
      <c r="AF605" s="155"/>
      <c r="AG605" s="322"/>
      <c r="AH605" s="132"/>
      <c r="AI605" s="132"/>
    </row>
    <row r="606">
      <c r="A606" s="314"/>
      <c r="B606" s="695"/>
      <c r="C606" s="696"/>
      <c r="D606" s="312"/>
      <c r="E606" s="314"/>
      <c r="F606" s="314"/>
      <c r="G606" s="314"/>
      <c r="H606" s="314"/>
      <c r="I606" s="318"/>
      <c r="J606" s="314"/>
      <c r="K606" s="314"/>
      <c r="L606" s="314"/>
      <c r="M606" s="314"/>
      <c r="N606" s="314"/>
      <c r="O606" s="314"/>
      <c r="P606" s="318"/>
      <c r="Q606" s="314"/>
      <c r="R606" s="316"/>
      <c r="S606" s="314"/>
      <c r="T606" s="314"/>
      <c r="U606" s="314"/>
      <c r="V606" s="314"/>
      <c r="W606" s="318"/>
      <c r="X606" s="314"/>
      <c r="Y606" s="314"/>
      <c r="Z606" s="697"/>
      <c r="AA606" s="315"/>
      <c r="AB606" s="314"/>
      <c r="AC606" s="314"/>
      <c r="AD606" s="324"/>
      <c r="AE606" s="155"/>
      <c r="AF606" s="155"/>
      <c r="AG606" s="322"/>
      <c r="AH606" s="132"/>
      <c r="AI606" s="132"/>
    </row>
    <row r="607">
      <c r="A607" s="314"/>
      <c r="B607" s="695"/>
      <c r="C607" s="696"/>
      <c r="D607" s="312"/>
      <c r="E607" s="314"/>
      <c r="F607" s="314"/>
      <c r="G607" s="314"/>
      <c r="H607" s="314"/>
      <c r="I607" s="318"/>
      <c r="J607" s="314"/>
      <c r="K607" s="314"/>
      <c r="L607" s="314"/>
      <c r="M607" s="314"/>
      <c r="N607" s="314"/>
      <c r="O607" s="314"/>
      <c r="P607" s="318"/>
      <c r="Q607" s="314"/>
      <c r="R607" s="316"/>
      <c r="S607" s="314"/>
      <c r="T607" s="314"/>
      <c r="U607" s="314"/>
      <c r="V607" s="314"/>
      <c r="W607" s="318"/>
      <c r="X607" s="314"/>
      <c r="Y607" s="314"/>
      <c r="Z607" s="697"/>
      <c r="AA607" s="315"/>
      <c r="AB607" s="314"/>
      <c r="AC607" s="314"/>
      <c r="AD607" s="324"/>
      <c r="AE607" s="155"/>
      <c r="AF607" s="155"/>
      <c r="AG607" s="322"/>
      <c r="AH607" s="132"/>
      <c r="AI607" s="132"/>
    </row>
    <row r="608">
      <c r="A608" s="314"/>
      <c r="B608" s="695"/>
      <c r="C608" s="696"/>
      <c r="D608" s="312"/>
      <c r="E608" s="314"/>
      <c r="F608" s="314"/>
      <c r="G608" s="314"/>
      <c r="H608" s="314"/>
      <c r="I608" s="318"/>
      <c r="J608" s="314"/>
      <c r="K608" s="314"/>
      <c r="L608" s="314"/>
      <c r="M608" s="314"/>
      <c r="N608" s="314"/>
      <c r="O608" s="314"/>
      <c r="P608" s="318"/>
      <c r="Q608" s="314"/>
      <c r="R608" s="316"/>
      <c r="S608" s="314"/>
      <c r="T608" s="314"/>
      <c r="U608" s="314"/>
      <c r="V608" s="314"/>
      <c r="W608" s="318"/>
      <c r="X608" s="314"/>
      <c r="Y608" s="314"/>
      <c r="Z608" s="697"/>
      <c r="AA608" s="315"/>
      <c r="AB608" s="314"/>
      <c r="AC608" s="314"/>
      <c r="AD608" s="324"/>
      <c r="AE608" s="155"/>
      <c r="AF608" s="155"/>
      <c r="AG608" s="322"/>
      <c r="AH608" s="132"/>
      <c r="AI608" s="132"/>
    </row>
    <row r="609">
      <c r="A609" s="314"/>
      <c r="B609" s="695"/>
      <c r="C609" s="696"/>
      <c r="D609" s="312"/>
      <c r="E609" s="314"/>
      <c r="F609" s="314"/>
      <c r="G609" s="314"/>
      <c r="H609" s="314"/>
      <c r="I609" s="318"/>
      <c r="J609" s="314"/>
      <c r="K609" s="314"/>
      <c r="L609" s="314"/>
      <c r="M609" s="314"/>
      <c r="N609" s="314"/>
      <c r="O609" s="314"/>
      <c r="P609" s="318"/>
      <c r="Q609" s="314"/>
      <c r="R609" s="316"/>
      <c r="S609" s="314"/>
      <c r="T609" s="314"/>
      <c r="U609" s="314"/>
      <c r="V609" s="314"/>
      <c r="W609" s="318"/>
      <c r="X609" s="314"/>
      <c r="Y609" s="314"/>
      <c r="Z609" s="697"/>
      <c r="AA609" s="315"/>
      <c r="AB609" s="314"/>
      <c r="AC609" s="314"/>
      <c r="AD609" s="324"/>
      <c r="AE609" s="155"/>
      <c r="AF609" s="155"/>
      <c r="AG609" s="322"/>
      <c r="AH609" s="132"/>
      <c r="AI609" s="132"/>
    </row>
    <row r="610">
      <c r="A610" s="314"/>
      <c r="B610" s="695"/>
      <c r="C610" s="696"/>
      <c r="D610" s="312"/>
      <c r="E610" s="314"/>
      <c r="F610" s="314"/>
      <c r="G610" s="314"/>
      <c r="H610" s="314"/>
      <c r="I610" s="318"/>
      <c r="J610" s="314"/>
      <c r="K610" s="314"/>
      <c r="L610" s="314"/>
      <c r="M610" s="314"/>
      <c r="N610" s="314"/>
      <c r="O610" s="314"/>
      <c r="P610" s="318"/>
      <c r="Q610" s="314"/>
      <c r="R610" s="316"/>
      <c r="S610" s="314"/>
      <c r="T610" s="314"/>
      <c r="U610" s="314"/>
      <c r="V610" s="314"/>
      <c r="W610" s="318"/>
      <c r="X610" s="314"/>
      <c r="Y610" s="314"/>
      <c r="Z610" s="697"/>
      <c r="AA610" s="315"/>
      <c r="AB610" s="314"/>
      <c r="AC610" s="314"/>
      <c r="AD610" s="324"/>
      <c r="AE610" s="155"/>
      <c r="AF610" s="155"/>
      <c r="AG610" s="322"/>
      <c r="AH610" s="132"/>
      <c r="AI610" s="132"/>
    </row>
    <row r="611">
      <c r="A611" s="314"/>
      <c r="B611" s="695"/>
      <c r="C611" s="696"/>
      <c r="D611" s="312"/>
      <c r="E611" s="314"/>
      <c r="F611" s="314"/>
      <c r="G611" s="314"/>
      <c r="H611" s="314"/>
      <c r="I611" s="318"/>
      <c r="J611" s="314"/>
      <c r="K611" s="314"/>
      <c r="L611" s="314"/>
      <c r="M611" s="314"/>
      <c r="N611" s="314"/>
      <c r="O611" s="314"/>
      <c r="P611" s="318"/>
      <c r="Q611" s="314"/>
      <c r="R611" s="316"/>
      <c r="S611" s="314"/>
      <c r="T611" s="314"/>
      <c r="U611" s="314"/>
      <c r="V611" s="314"/>
      <c r="W611" s="318"/>
      <c r="X611" s="314"/>
      <c r="Y611" s="314"/>
      <c r="Z611" s="697"/>
      <c r="AA611" s="315"/>
      <c r="AB611" s="314"/>
      <c r="AC611" s="314"/>
      <c r="AD611" s="324"/>
      <c r="AE611" s="155"/>
      <c r="AF611" s="155"/>
      <c r="AG611" s="322"/>
      <c r="AH611" s="132"/>
      <c r="AI611" s="132"/>
    </row>
    <row r="612">
      <c r="A612" s="314"/>
      <c r="B612" s="695"/>
      <c r="C612" s="696"/>
      <c r="D612" s="312"/>
      <c r="E612" s="314"/>
      <c r="F612" s="314"/>
      <c r="G612" s="314"/>
      <c r="H612" s="314"/>
      <c r="I612" s="318"/>
      <c r="J612" s="314"/>
      <c r="K612" s="314"/>
      <c r="L612" s="314"/>
      <c r="M612" s="314"/>
      <c r="N612" s="314"/>
      <c r="O612" s="314"/>
      <c r="P612" s="318"/>
      <c r="Q612" s="314"/>
      <c r="R612" s="316"/>
      <c r="S612" s="314"/>
      <c r="T612" s="314"/>
      <c r="U612" s="314"/>
      <c r="V612" s="314"/>
      <c r="W612" s="318"/>
      <c r="X612" s="314"/>
      <c r="Y612" s="314"/>
      <c r="Z612" s="697"/>
      <c r="AA612" s="315"/>
      <c r="AB612" s="314"/>
      <c r="AC612" s="314"/>
      <c r="AD612" s="324"/>
      <c r="AE612" s="155"/>
      <c r="AF612" s="155"/>
      <c r="AG612" s="322"/>
      <c r="AH612" s="132"/>
      <c r="AI612" s="132"/>
    </row>
    <row r="613">
      <c r="A613" s="314"/>
      <c r="B613" s="695"/>
      <c r="C613" s="696"/>
      <c r="D613" s="312"/>
      <c r="E613" s="314"/>
      <c r="F613" s="314"/>
      <c r="G613" s="314"/>
      <c r="H613" s="314"/>
      <c r="I613" s="318"/>
      <c r="J613" s="314"/>
      <c r="K613" s="314"/>
      <c r="L613" s="314"/>
      <c r="M613" s="314"/>
      <c r="N613" s="314"/>
      <c r="O613" s="314"/>
      <c r="P613" s="318"/>
      <c r="Q613" s="314"/>
      <c r="R613" s="316"/>
      <c r="S613" s="314"/>
      <c r="T613" s="314"/>
      <c r="U613" s="314"/>
      <c r="V613" s="314"/>
      <c r="W613" s="318"/>
      <c r="X613" s="314"/>
      <c r="Y613" s="314"/>
      <c r="Z613" s="697"/>
      <c r="AA613" s="315"/>
      <c r="AB613" s="314"/>
      <c r="AC613" s="314"/>
      <c r="AD613" s="324"/>
      <c r="AE613" s="155"/>
      <c r="AF613" s="155"/>
      <c r="AG613" s="322"/>
      <c r="AH613" s="132"/>
      <c r="AI613" s="132"/>
    </row>
    <row r="614">
      <c r="A614" s="314"/>
      <c r="B614" s="695"/>
      <c r="C614" s="696"/>
      <c r="D614" s="312"/>
      <c r="E614" s="314"/>
      <c r="F614" s="314"/>
      <c r="G614" s="314"/>
      <c r="H614" s="314"/>
      <c r="I614" s="318"/>
      <c r="J614" s="314"/>
      <c r="K614" s="314"/>
      <c r="L614" s="314"/>
      <c r="M614" s="314"/>
      <c r="N614" s="314"/>
      <c r="O614" s="314"/>
      <c r="P614" s="318"/>
      <c r="Q614" s="314"/>
      <c r="R614" s="316"/>
      <c r="S614" s="314"/>
      <c r="T614" s="314"/>
      <c r="U614" s="314"/>
      <c r="V614" s="314"/>
      <c r="W614" s="318"/>
      <c r="X614" s="314"/>
      <c r="Y614" s="314"/>
      <c r="Z614" s="697"/>
      <c r="AA614" s="315"/>
      <c r="AB614" s="314"/>
      <c r="AC614" s="314"/>
      <c r="AD614" s="324"/>
      <c r="AE614" s="155"/>
      <c r="AF614" s="155"/>
      <c r="AG614" s="322"/>
      <c r="AH614" s="132"/>
      <c r="AI614" s="132"/>
    </row>
    <row r="615">
      <c r="A615" s="314"/>
      <c r="B615" s="695"/>
      <c r="C615" s="696"/>
      <c r="D615" s="312"/>
      <c r="E615" s="314"/>
      <c r="F615" s="314"/>
      <c r="G615" s="314"/>
      <c r="H615" s="314"/>
      <c r="I615" s="318"/>
      <c r="J615" s="314"/>
      <c r="K615" s="314"/>
      <c r="L615" s="314"/>
      <c r="M615" s="314"/>
      <c r="N615" s="314"/>
      <c r="O615" s="314"/>
      <c r="P615" s="318"/>
      <c r="Q615" s="314"/>
      <c r="R615" s="316"/>
      <c r="S615" s="314"/>
      <c r="T615" s="314"/>
      <c r="U615" s="314"/>
      <c r="V615" s="314"/>
      <c r="W615" s="318"/>
      <c r="X615" s="314"/>
      <c r="Y615" s="314"/>
      <c r="Z615" s="697"/>
      <c r="AA615" s="315"/>
      <c r="AB615" s="314"/>
      <c r="AC615" s="314"/>
      <c r="AD615" s="324"/>
      <c r="AE615" s="155"/>
      <c r="AF615" s="155"/>
      <c r="AG615" s="322"/>
      <c r="AH615" s="132"/>
      <c r="AI615" s="132"/>
    </row>
    <row r="616">
      <c r="A616" s="314"/>
      <c r="B616" s="695"/>
      <c r="C616" s="696"/>
      <c r="D616" s="312"/>
      <c r="E616" s="314"/>
      <c r="F616" s="314"/>
      <c r="G616" s="314"/>
      <c r="H616" s="314"/>
      <c r="I616" s="318"/>
      <c r="J616" s="314"/>
      <c r="K616" s="314"/>
      <c r="L616" s="314"/>
      <c r="M616" s="314"/>
      <c r="N616" s="314"/>
      <c r="O616" s="314"/>
      <c r="P616" s="318"/>
      <c r="Q616" s="314"/>
      <c r="R616" s="316"/>
      <c r="S616" s="314"/>
      <c r="T616" s="314"/>
      <c r="U616" s="314"/>
      <c r="V616" s="314"/>
      <c r="W616" s="318"/>
      <c r="X616" s="314"/>
      <c r="Y616" s="314"/>
      <c r="Z616" s="697"/>
      <c r="AA616" s="315"/>
      <c r="AB616" s="314"/>
      <c r="AC616" s="314"/>
      <c r="AD616" s="324"/>
      <c r="AE616" s="155"/>
      <c r="AF616" s="155"/>
      <c r="AG616" s="322"/>
      <c r="AH616" s="132"/>
      <c r="AI616" s="132"/>
    </row>
    <row r="617">
      <c r="A617" s="314"/>
      <c r="B617" s="695"/>
      <c r="C617" s="696"/>
      <c r="D617" s="312"/>
      <c r="E617" s="314"/>
      <c r="F617" s="314"/>
      <c r="G617" s="314"/>
      <c r="H617" s="314"/>
      <c r="I617" s="318"/>
      <c r="J617" s="314"/>
      <c r="K617" s="314"/>
      <c r="L617" s="314"/>
      <c r="M617" s="314"/>
      <c r="N617" s="314"/>
      <c r="O617" s="314"/>
      <c r="P617" s="318"/>
      <c r="Q617" s="314"/>
      <c r="R617" s="316"/>
      <c r="S617" s="314"/>
      <c r="T617" s="314"/>
      <c r="U617" s="314"/>
      <c r="V617" s="314"/>
      <c r="W617" s="318"/>
      <c r="X617" s="314"/>
      <c r="Y617" s="314"/>
      <c r="Z617" s="697"/>
      <c r="AA617" s="315"/>
      <c r="AB617" s="314"/>
      <c r="AC617" s="314"/>
      <c r="AD617" s="324"/>
      <c r="AE617" s="155"/>
      <c r="AF617" s="155"/>
      <c r="AG617" s="322"/>
      <c r="AH617" s="132"/>
      <c r="AI617" s="132"/>
    </row>
    <row r="618">
      <c r="A618" s="314"/>
      <c r="B618" s="695"/>
      <c r="C618" s="696"/>
      <c r="D618" s="312"/>
      <c r="E618" s="314"/>
      <c r="F618" s="314"/>
      <c r="G618" s="314"/>
      <c r="H618" s="314"/>
      <c r="I618" s="318"/>
      <c r="J618" s="314"/>
      <c r="K618" s="314"/>
      <c r="L618" s="314"/>
      <c r="M618" s="314"/>
      <c r="N618" s="314"/>
      <c r="O618" s="314"/>
      <c r="P618" s="318"/>
      <c r="Q618" s="314"/>
      <c r="R618" s="316"/>
      <c r="S618" s="314"/>
      <c r="T618" s="314"/>
      <c r="U618" s="314"/>
      <c r="V618" s="314"/>
      <c r="W618" s="318"/>
      <c r="X618" s="314"/>
      <c r="Y618" s="314"/>
      <c r="Z618" s="697"/>
      <c r="AA618" s="315"/>
      <c r="AB618" s="314"/>
      <c r="AC618" s="314"/>
      <c r="AD618" s="324"/>
      <c r="AE618" s="155"/>
      <c r="AF618" s="155"/>
      <c r="AG618" s="322"/>
      <c r="AH618" s="132"/>
      <c r="AI618" s="132"/>
    </row>
    <row r="619">
      <c r="A619" s="314"/>
      <c r="B619" s="695"/>
      <c r="C619" s="696"/>
      <c r="D619" s="312"/>
      <c r="E619" s="314"/>
      <c r="F619" s="314"/>
      <c r="G619" s="314"/>
      <c r="H619" s="314"/>
      <c r="I619" s="318"/>
      <c r="J619" s="314"/>
      <c r="K619" s="314"/>
      <c r="L619" s="314"/>
      <c r="M619" s="314"/>
      <c r="N619" s="314"/>
      <c r="O619" s="314"/>
      <c r="P619" s="318"/>
      <c r="Q619" s="314"/>
      <c r="R619" s="316"/>
      <c r="S619" s="314"/>
      <c r="T619" s="314"/>
      <c r="U619" s="314"/>
      <c r="V619" s="314"/>
      <c r="W619" s="318"/>
      <c r="X619" s="314"/>
      <c r="Y619" s="314"/>
      <c r="Z619" s="697"/>
      <c r="AA619" s="315"/>
      <c r="AB619" s="314"/>
      <c r="AC619" s="314"/>
      <c r="AD619" s="324"/>
      <c r="AE619" s="155"/>
      <c r="AF619" s="155"/>
      <c r="AG619" s="322"/>
      <c r="AH619" s="132"/>
      <c r="AI619" s="132"/>
    </row>
    <row r="620">
      <c r="A620" s="314"/>
      <c r="B620" s="695"/>
      <c r="C620" s="696"/>
      <c r="D620" s="312"/>
      <c r="E620" s="314"/>
      <c r="F620" s="314"/>
      <c r="G620" s="314"/>
      <c r="H620" s="314"/>
      <c r="I620" s="318"/>
      <c r="J620" s="314"/>
      <c r="K620" s="314"/>
      <c r="L620" s="314"/>
      <c r="M620" s="314"/>
      <c r="N620" s="314"/>
      <c r="O620" s="314"/>
      <c r="P620" s="318"/>
      <c r="Q620" s="314"/>
      <c r="R620" s="316"/>
      <c r="S620" s="314"/>
      <c r="T620" s="314"/>
      <c r="U620" s="314"/>
      <c r="V620" s="314"/>
      <c r="W620" s="318"/>
      <c r="X620" s="314"/>
      <c r="Y620" s="314"/>
      <c r="Z620" s="697"/>
      <c r="AA620" s="315"/>
      <c r="AB620" s="314"/>
      <c r="AC620" s="314"/>
      <c r="AD620" s="324"/>
      <c r="AE620" s="155"/>
      <c r="AF620" s="155"/>
      <c r="AG620" s="322"/>
      <c r="AH620" s="132"/>
      <c r="AI620" s="132"/>
    </row>
    <row r="621">
      <c r="A621" s="314"/>
      <c r="B621" s="695"/>
      <c r="C621" s="696"/>
      <c r="D621" s="312"/>
      <c r="E621" s="314"/>
      <c r="F621" s="314"/>
      <c r="G621" s="314"/>
      <c r="H621" s="314"/>
      <c r="I621" s="318"/>
      <c r="J621" s="314"/>
      <c r="K621" s="314"/>
      <c r="L621" s="314"/>
      <c r="M621" s="314"/>
      <c r="N621" s="314"/>
      <c r="O621" s="314"/>
      <c r="P621" s="318"/>
      <c r="Q621" s="314"/>
      <c r="R621" s="316"/>
      <c r="S621" s="314"/>
      <c r="T621" s="314"/>
      <c r="U621" s="314"/>
      <c r="V621" s="314"/>
      <c r="W621" s="318"/>
      <c r="X621" s="314"/>
      <c r="Y621" s="314"/>
      <c r="Z621" s="697"/>
      <c r="AA621" s="315"/>
      <c r="AB621" s="314"/>
      <c r="AC621" s="314"/>
      <c r="AD621" s="324"/>
      <c r="AE621" s="155"/>
      <c r="AF621" s="155"/>
      <c r="AG621" s="322"/>
      <c r="AH621" s="132"/>
      <c r="AI621" s="132"/>
    </row>
    <row r="622">
      <c r="A622" s="314"/>
      <c r="B622" s="695"/>
      <c r="C622" s="696"/>
      <c r="D622" s="312"/>
      <c r="E622" s="314"/>
      <c r="F622" s="314"/>
      <c r="G622" s="314"/>
      <c r="H622" s="314"/>
      <c r="I622" s="318"/>
      <c r="J622" s="314"/>
      <c r="K622" s="314"/>
      <c r="L622" s="314"/>
      <c r="M622" s="314"/>
      <c r="N622" s="314"/>
      <c r="O622" s="314"/>
      <c r="P622" s="318"/>
      <c r="Q622" s="314"/>
      <c r="R622" s="316"/>
      <c r="S622" s="314"/>
      <c r="T622" s="314"/>
      <c r="U622" s="314"/>
      <c r="V622" s="314"/>
      <c r="W622" s="318"/>
      <c r="X622" s="314"/>
      <c r="Y622" s="314"/>
      <c r="Z622" s="697"/>
      <c r="AA622" s="315"/>
      <c r="AB622" s="314"/>
      <c r="AC622" s="314"/>
      <c r="AD622" s="324"/>
      <c r="AE622" s="155"/>
      <c r="AF622" s="155"/>
      <c r="AG622" s="322"/>
      <c r="AH622" s="132"/>
      <c r="AI622" s="132"/>
    </row>
    <row r="623">
      <c r="A623" s="314"/>
      <c r="B623" s="695"/>
      <c r="C623" s="696"/>
      <c r="D623" s="312"/>
      <c r="E623" s="314"/>
      <c r="F623" s="314"/>
      <c r="G623" s="314"/>
      <c r="H623" s="314"/>
      <c r="I623" s="318"/>
      <c r="J623" s="314"/>
      <c r="K623" s="314"/>
      <c r="L623" s="314"/>
      <c r="M623" s="314"/>
      <c r="N623" s="314"/>
      <c r="O623" s="314"/>
      <c r="P623" s="318"/>
      <c r="Q623" s="314"/>
      <c r="R623" s="316"/>
      <c r="S623" s="314"/>
      <c r="T623" s="314"/>
      <c r="U623" s="314"/>
      <c r="V623" s="314"/>
      <c r="W623" s="318"/>
      <c r="X623" s="314"/>
      <c r="Y623" s="314"/>
      <c r="Z623" s="697"/>
      <c r="AA623" s="315"/>
      <c r="AB623" s="314"/>
      <c r="AC623" s="314"/>
      <c r="AD623" s="324"/>
      <c r="AE623" s="155"/>
      <c r="AF623" s="155"/>
      <c r="AG623" s="322"/>
      <c r="AH623" s="132"/>
      <c r="AI623" s="132"/>
    </row>
    <row r="624">
      <c r="A624" s="314"/>
      <c r="B624" s="695"/>
      <c r="C624" s="696"/>
      <c r="D624" s="312"/>
      <c r="E624" s="314"/>
      <c r="F624" s="314"/>
      <c r="G624" s="314"/>
      <c r="H624" s="314"/>
      <c r="I624" s="318"/>
      <c r="J624" s="314"/>
      <c r="K624" s="314"/>
      <c r="L624" s="314"/>
      <c r="M624" s="314"/>
      <c r="N624" s="314"/>
      <c r="O624" s="314"/>
      <c r="P624" s="318"/>
      <c r="Q624" s="314"/>
      <c r="R624" s="316"/>
      <c r="S624" s="314"/>
      <c r="T624" s="314"/>
      <c r="U624" s="314"/>
      <c r="V624" s="314"/>
      <c r="W624" s="318"/>
      <c r="X624" s="314"/>
      <c r="Y624" s="314"/>
      <c r="Z624" s="697"/>
      <c r="AA624" s="315"/>
      <c r="AB624" s="314"/>
      <c r="AC624" s="314"/>
      <c r="AD624" s="324"/>
      <c r="AE624" s="155"/>
      <c r="AF624" s="155"/>
      <c r="AG624" s="322"/>
      <c r="AH624" s="132"/>
      <c r="AI624" s="132"/>
    </row>
    <row r="625">
      <c r="A625" s="314"/>
      <c r="B625" s="695"/>
      <c r="C625" s="696"/>
      <c r="D625" s="312"/>
      <c r="E625" s="314"/>
      <c r="F625" s="314"/>
      <c r="G625" s="314"/>
      <c r="H625" s="314"/>
      <c r="I625" s="318"/>
      <c r="J625" s="314"/>
      <c r="K625" s="314"/>
      <c r="L625" s="314"/>
      <c r="M625" s="314"/>
      <c r="N625" s="314"/>
      <c r="O625" s="314"/>
      <c r="P625" s="318"/>
      <c r="Q625" s="314"/>
      <c r="R625" s="316"/>
      <c r="S625" s="314"/>
      <c r="T625" s="314"/>
      <c r="U625" s="314"/>
      <c r="V625" s="314"/>
      <c r="W625" s="318"/>
      <c r="X625" s="314"/>
      <c r="Y625" s="314"/>
      <c r="Z625" s="697"/>
      <c r="AA625" s="315"/>
      <c r="AB625" s="314"/>
      <c r="AC625" s="314"/>
      <c r="AD625" s="324"/>
      <c r="AE625" s="155"/>
      <c r="AF625" s="155"/>
      <c r="AG625" s="322"/>
      <c r="AH625" s="132"/>
      <c r="AI625" s="132"/>
    </row>
    <row r="626">
      <c r="A626" s="314"/>
      <c r="B626" s="695"/>
      <c r="C626" s="696"/>
      <c r="D626" s="312"/>
      <c r="E626" s="314"/>
      <c r="F626" s="314"/>
      <c r="G626" s="314"/>
      <c r="H626" s="314"/>
      <c r="I626" s="318"/>
      <c r="J626" s="314"/>
      <c r="K626" s="314"/>
      <c r="L626" s="314"/>
      <c r="M626" s="314"/>
      <c r="N626" s="314"/>
      <c r="O626" s="314"/>
      <c r="P626" s="318"/>
      <c r="Q626" s="314"/>
      <c r="R626" s="316"/>
      <c r="S626" s="314"/>
      <c r="T626" s="314"/>
      <c r="U626" s="314"/>
      <c r="V626" s="314"/>
      <c r="W626" s="318"/>
      <c r="X626" s="314"/>
      <c r="Y626" s="314"/>
      <c r="Z626" s="697"/>
      <c r="AA626" s="315"/>
      <c r="AB626" s="314"/>
      <c r="AC626" s="314"/>
      <c r="AD626" s="324"/>
      <c r="AE626" s="155"/>
      <c r="AF626" s="155"/>
      <c r="AG626" s="322"/>
      <c r="AH626" s="132"/>
      <c r="AI626" s="132"/>
    </row>
    <row r="627">
      <c r="A627" s="314"/>
      <c r="B627" s="695"/>
      <c r="C627" s="696"/>
      <c r="D627" s="312"/>
      <c r="E627" s="314"/>
      <c r="F627" s="314"/>
      <c r="G627" s="314"/>
      <c r="H627" s="314"/>
      <c r="I627" s="318"/>
      <c r="J627" s="314"/>
      <c r="K627" s="314"/>
      <c r="L627" s="314"/>
      <c r="M627" s="314"/>
      <c r="N627" s="314"/>
      <c r="O627" s="314"/>
      <c r="P627" s="318"/>
      <c r="Q627" s="314"/>
      <c r="R627" s="316"/>
      <c r="S627" s="314"/>
      <c r="T627" s="314"/>
      <c r="U627" s="314"/>
      <c r="V627" s="314"/>
      <c r="W627" s="318"/>
      <c r="X627" s="314"/>
      <c r="Y627" s="314"/>
      <c r="Z627" s="697"/>
      <c r="AA627" s="315"/>
      <c r="AB627" s="314"/>
      <c r="AC627" s="314"/>
      <c r="AD627" s="324"/>
      <c r="AE627" s="155"/>
      <c r="AF627" s="155"/>
      <c r="AG627" s="322"/>
      <c r="AH627" s="132"/>
      <c r="AI627" s="132"/>
    </row>
    <row r="628">
      <c r="A628" s="314"/>
      <c r="B628" s="695"/>
      <c r="C628" s="696"/>
      <c r="D628" s="312"/>
      <c r="E628" s="314"/>
      <c r="F628" s="314"/>
      <c r="G628" s="314"/>
      <c r="H628" s="314"/>
      <c r="I628" s="318"/>
      <c r="J628" s="314"/>
      <c r="K628" s="314"/>
      <c r="L628" s="314"/>
      <c r="M628" s="314"/>
      <c r="N628" s="314"/>
      <c r="O628" s="314"/>
      <c r="P628" s="318"/>
      <c r="Q628" s="314"/>
      <c r="R628" s="316"/>
      <c r="S628" s="314"/>
      <c r="T628" s="314"/>
      <c r="U628" s="314"/>
      <c r="V628" s="314"/>
      <c r="W628" s="318"/>
      <c r="X628" s="314"/>
      <c r="Y628" s="314"/>
      <c r="Z628" s="697"/>
      <c r="AA628" s="315"/>
      <c r="AB628" s="314"/>
      <c r="AC628" s="314"/>
      <c r="AD628" s="324"/>
      <c r="AE628" s="155"/>
      <c r="AF628" s="155"/>
      <c r="AG628" s="322"/>
      <c r="AH628" s="132"/>
      <c r="AI628" s="132"/>
    </row>
    <row r="629">
      <c r="A629" s="314"/>
      <c r="B629" s="695"/>
      <c r="C629" s="696"/>
      <c r="D629" s="312"/>
      <c r="E629" s="314"/>
      <c r="F629" s="314"/>
      <c r="G629" s="314"/>
      <c r="H629" s="314"/>
      <c r="I629" s="318"/>
      <c r="J629" s="314"/>
      <c r="K629" s="314"/>
      <c r="L629" s="314"/>
      <c r="M629" s="314"/>
      <c r="N629" s="314"/>
      <c r="O629" s="314"/>
      <c r="P629" s="318"/>
      <c r="Q629" s="314"/>
      <c r="R629" s="316"/>
      <c r="S629" s="314"/>
      <c r="T629" s="314"/>
      <c r="U629" s="314"/>
      <c r="V629" s="314"/>
      <c r="W629" s="318"/>
      <c r="X629" s="314"/>
      <c r="Y629" s="314"/>
      <c r="Z629" s="697"/>
      <c r="AA629" s="315"/>
      <c r="AB629" s="314"/>
      <c r="AC629" s="314"/>
      <c r="AD629" s="324"/>
      <c r="AE629" s="155"/>
      <c r="AF629" s="155"/>
      <c r="AG629" s="322"/>
      <c r="AH629" s="132"/>
      <c r="AI629" s="132"/>
    </row>
    <row r="630">
      <c r="A630" s="314"/>
      <c r="B630" s="695"/>
      <c r="C630" s="696"/>
      <c r="D630" s="312"/>
      <c r="E630" s="314"/>
      <c r="F630" s="314"/>
      <c r="G630" s="314"/>
      <c r="H630" s="314"/>
      <c r="I630" s="318"/>
      <c r="J630" s="314"/>
      <c r="K630" s="314"/>
      <c r="L630" s="314"/>
      <c r="M630" s="314"/>
      <c r="N630" s="314"/>
      <c r="O630" s="314"/>
      <c r="P630" s="318"/>
      <c r="Q630" s="314"/>
      <c r="R630" s="316"/>
      <c r="S630" s="314"/>
      <c r="T630" s="314"/>
      <c r="U630" s="314"/>
      <c r="V630" s="314"/>
      <c r="W630" s="318"/>
      <c r="X630" s="314"/>
      <c r="Y630" s="314"/>
      <c r="Z630" s="697"/>
      <c r="AA630" s="315"/>
      <c r="AB630" s="314"/>
      <c r="AC630" s="314"/>
      <c r="AD630" s="324"/>
      <c r="AE630" s="155"/>
      <c r="AF630" s="155"/>
      <c r="AG630" s="322"/>
      <c r="AH630" s="132"/>
      <c r="AI630" s="132"/>
    </row>
    <row r="631">
      <c r="A631" s="314"/>
      <c r="B631" s="695"/>
      <c r="C631" s="696"/>
      <c r="D631" s="312"/>
      <c r="E631" s="314"/>
      <c r="F631" s="314"/>
      <c r="G631" s="314"/>
      <c r="H631" s="314"/>
      <c r="I631" s="318"/>
      <c r="J631" s="314"/>
      <c r="K631" s="314"/>
      <c r="L631" s="314"/>
      <c r="M631" s="314"/>
      <c r="N631" s="314"/>
      <c r="O631" s="314"/>
      <c r="P631" s="318"/>
      <c r="Q631" s="314"/>
      <c r="R631" s="316"/>
      <c r="S631" s="314"/>
      <c r="T631" s="314"/>
      <c r="U631" s="314"/>
      <c r="V631" s="314"/>
      <c r="W631" s="318"/>
      <c r="X631" s="314"/>
      <c r="Y631" s="314"/>
      <c r="Z631" s="697"/>
      <c r="AA631" s="315"/>
      <c r="AB631" s="314"/>
      <c r="AC631" s="314"/>
      <c r="AD631" s="324"/>
      <c r="AE631" s="155"/>
      <c r="AF631" s="155"/>
      <c r="AG631" s="322"/>
      <c r="AH631" s="132"/>
      <c r="AI631" s="132"/>
    </row>
    <row r="632">
      <c r="A632" s="314"/>
      <c r="B632" s="695"/>
      <c r="C632" s="696"/>
      <c r="D632" s="312"/>
      <c r="E632" s="314"/>
      <c r="F632" s="314"/>
      <c r="G632" s="314"/>
      <c r="H632" s="314"/>
      <c r="I632" s="318"/>
      <c r="J632" s="314"/>
      <c r="K632" s="314"/>
      <c r="L632" s="314"/>
      <c r="M632" s="314"/>
      <c r="N632" s="314"/>
      <c r="O632" s="314"/>
      <c r="P632" s="318"/>
      <c r="Q632" s="314"/>
      <c r="R632" s="316"/>
      <c r="S632" s="314"/>
      <c r="T632" s="314"/>
      <c r="U632" s="314"/>
      <c r="V632" s="314"/>
      <c r="W632" s="318"/>
      <c r="X632" s="314"/>
      <c r="Y632" s="314"/>
      <c r="Z632" s="697"/>
      <c r="AA632" s="315"/>
      <c r="AB632" s="314"/>
      <c r="AC632" s="314"/>
      <c r="AD632" s="324"/>
      <c r="AE632" s="155"/>
      <c r="AF632" s="155"/>
      <c r="AG632" s="322"/>
      <c r="AH632" s="132"/>
      <c r="AI632" s="132"/>
    </row>
    <row r="633">
      <c r="A633" s="314"/>
      <c r="B633" s="695"/>
      <c r="C633" s="696"/>
      <c r="D633" s="312"/>
      <c r="E633" s="314"/>
      <c r="F633" s="314"/>
      <c r="G633" s="314"/>
      <c r="H633" s="314"/>
      <c r="I633" s="318"/>
      <c r="J633" s="314"/>
      <c r="K633" s="314"/>
      <c r="L633" s="314"/>
      <c r="M633" s="314"/>
      <c r="N633" s="314"/>
      <c r="O633" s="314"/>
      <c r="P633" s="318"/>
      <c r="Q633" s="314"/>
      <c r="R633" s="316"/>
      <c r="S633" s="314"/>
      <c r="T633" s="314"/>
      <c r="U633" s="314"/>
      <c r="V633" s="314"/>
      <c r="W633" s="318"/>
      <c r="X633" s="314"/>
      <c r="Y633" s="314"/>
      <c r="Z633" s="697"/>
      <c r="AA633" s="315"/>
      <c r="AB633" s="314"/>
      <c r="AC633" s="314"/>
      <c r="AD633" s="324"/>
      <c r="AE633" s="155"/>
      <c r="AF633" s="155"/>
      <c r="AG633" s="322"/>
      <c r="AH633" s="132"/>
      <c r="AI633" s="132"/>
    </row>
    <row r="634">
      <c r="A634" s="314"/>
      <c r="B634" s="695"/>
      <c r="C634" s="696"/>
      <c r="D634" s="312"/>
      <c r="E634" s="314"/>
      <c r="F634" s="314"/>
      <c r="G634" s="314"/>
      <c r="H634" s="314"/>
      <c r="I634" s="318"/>
      <c r="J634" s="314"/>
      <c r="K634" s="314"/>
      <c r="L634" s="314"/>
      <c r="M634" s="314"/>
      <c r="N634" s="314"/>
      <c r="O634" s="314"/>
      <c r="P634" s="318"/>
      <c r="Q634" s="314"/>
      <c r="R634" s="316"/>
      <c r="S634" s="314"/>
      <c r="T634" s="314"/>
      <c r="U634" s="314"/>
      <c r="V634" s="314"/>
      <c r="W634" s="318"/>
      <c r="X634" s="314"/>
      <c r="Y634" s="314"/>
      <c r="Z634" s="697"/>
      <c r="AA634" s="315"/>
      <c r="AB634" s="314"/>
      <c r="AC634" s="314"/>
      <c r="AD634" s="324"/>
      <c r="AE634" s="155"/>
      <c r="AF634" s="155"/>
      <c r="AG634" s="322"/>
      <c r="AH634" s="132"/>
      <c r="AI634" s="132"/>
    </row>
    <row r="635">
      <c r="A635" s="314"/>
      <c r="B635" s="695"/>
      <c r="C635" s="696"/>
      <c r="D635" s="312"/>
      <c r="E635" s="314"/>
      <c r="F635" s="314"/>
      <c r="G635" s="314"/>
      <c r="H635" s="314"/>
      <c r="I635" s="318"/>
      <c r="J635" s="314"/>
      <c r="K635" s="314"/>
      <c r="L635" s="314"/>
      <c r="M635" s="314"/>
      <c r="N635" s="314"/>
      <c r="O635" s="314"/>
      <c r="P635" s="318"/>
      <c r="Q635" s="314"/>
      <c r="R635" s="316"/>
      <c r="S635" s="314"/>
      <c r="T635" s="314"/>
      <c r="U635" s="314"/>
      <c r="V635" s="314"/>
      <c r="W635" s="318"/>
      <c r="X635" s="314"/>
      <c r="Y635" s="314"/>
      <c r="Z635" s="697"/>
      <c r="AA635" s="315"/>
      <c r="AB635" s="314"/>
      <c r="AC635" s="314"/>
      <c r="AD635" s="324"/>
      <c r="AE635" s="155"/>
      <c r="AF635" s="155"/>
      <c r="AG635" s="322"/>
      <c r="AH635" s="132"/>
      <c r="AI635" s="132"/>
    </row>
    <row r="636">
      <c r="A636" s="314"/>
      <c r="B636" s="695"/>
      <c r="C636" s="696"/>
      <c r="D636" s="312"/>
      <c r="E636" s="314"/>
      <c r="F636" s="314"/>
      <c r="G636" s="314"/>
      <c r="H636" s="314"/>
      <c r="I636" s="318"/>
      <c r="J636" s="314"/>
      <c r="K636" s="314"/>
      <c r="L636" s="314"/>
      <c r="M636" s="314"/>
      <c r="N636" s="314"/>
      <c r="O636" s="314"/>
      <c r="P636" s="318"/>
      <c r="Q636" s="314"/>
      <c r="R636" s="316"/>
      <c r="S636" s="314"/>
      <c r="T636" s="314"/>
      <c r="U636" s="314"/>
      <c r="V636" s="314"/>
      <c r="W636" s="318"/>
      <c r="X636" s="314"/>
      <c r="Y636" s="314"/>
      <c r="Z636" s="697"/>
      <c r="AA636" s="315"/>
      <c r="AB636" s="314"/>
      <c r="AC636" s="314"/>
      <c r="AD636" s="324"/>
      <c r="AE636" s="155"/>
      <c r="AF636" s="155"/>
      <c r="AG636" s="322"/>
      <c r="AH636" s="132"/>
      <c r="AI636" s="132"/>
    </row>
    <row r="637">
      <c r="A637" s="314"/>
      <c r="B637" s="695"/>
      <c r="C637" s="696"/>
      <c r="D637" s="312"/>
      <c r="E637" s="314"/>
      <c r="F637" s="314"/>
      <c r="G637" s="314"/>
      <c r="H637" s="314"/>
      <c r="I637" s="318"/>
      <c r="J637" s="314"/>
      <c r="K637" s="314"/>
      <c r="L637" s="314"/>
      <c r="M637" s="314"/>
      <c r="N637" s="314"/>
      <c r="O637" s="314"/>
      <c r="P637" s="318"/>
      <c r="Q637" s="314"/>
      <c r="R637" s="316"/>
      <c r="S637" s="314"/>
      <c r="T637" s="314"/>
      <c r="U637" s="314"/>
      <c r="V637" s="314"/>
      <c r="W637" s="318"/>
      <c r="X637" s="314"/>
      <c r="Y637" s="314"/>
      <c r="Z637" s="697"/>
      <c r="AA637" s="315"/>
      <c r="AB637" s="314"/>
      <c r="AC637" s="314"/>
      <c r="AD637" s="324"/>
      <c r="AE637" s="155"/>
      <c r="AF637" s="155"/>
      <c r="AG637" s="322"/>
      <c r="AH637" s="132"/>
      <c r="AI637" s="132"/>
    </row>
    <row r="638">
      <c r="A638" s="314"/>
      <c r="B638" s="695"/>
      <c r="C638" s="696"/>
      <c r="D638" s="312"/>
      <c r="E638" s="314"/>
      <c r="F638" s="314"/>
      <c r="G638" s="314"/>
      <c r="H638" s="314"/>
      <c r="I638" s="318"/>
      <c r="J638" s="314"/>
      <c r="K638" s="314"/>
      <c r="L638" s="314"/>
      <c r="M638" s="314"/>
      <c r="N638" s="314"/>
      <c r="O638" s="314"/>
      <c r="P638" s="318"/>
      <c r="Q638" s="314"/>
      <c r="R638" s="316"/>
      <c r="S638" s="314"/>
      <c r="T638" s="314"/>
      <c r="U638" s="314"/>
      <c r="V638" s="314"/>
      <c r="W638" s="318"/>
      <c r="X638" s="314"/>
      <c r="Y638" s="314"/>
      <c r="Z638" s="697"/>
      <c r="AA638" s="315"/>
      <c r="AB638" s="314"/>
      <c r="AC638" s="314"/>
      <c r="AD638" s="324"/>
      <c r="AE638" s="155"/>
      <c r="AF638" s="155"/>
      <c r="AG638" s="322"/>
      <c r="AH638" s="132"/>
      <c r="AI638" s="132"/>
    </row>
    <row r="639">
      <c r="A639" s="314"/>
      <c r="B639" s="695"/>
      <c r="C639" s="696"/>
      <c r="D639" s="312"/>
      <c r="E639" s="314"/>
      <c r="F639" s="314"/>
      <c r="G639" s="314"/>
      <c r="H639" s="314"/>
      <c r="I639" s="318"/>
      <c r="J639" s="314"/>
      <c r="K639" s="314"/>
      <c r="L639" s="314"/>
      <c r="M639" s="314"/>
      <c r="N639" s="314"/>
      <c r="O639" s="314"/>
      <c r="P639" s="318"/>
      <c r="Q639" s="314"/>
      <c r="R639" s="316"/>
      <c r="S639" s="314"/>
      <c r="T639" s="314"/>
      <c r="U639" s="314"/>
      <c r="V639" s="314"/>
      <c r="W639" s="318"/>
      <c r="X639" s="314"/>
      <c r="Y639" s="314"/>
      <c r="Z639" s="697"/>
      <c r="AA639" s="315"/>
      <c r="AB639" s="314"/>
      <c r="AC639" s="314"/>
      <c r="AD639" s="324"/>
      <c r="AE639" s="155"/>
      <c r="AF639" s="155"/>
      <c r="AG639" s="322"/>
      <c r="AH639" s="132"/>
      <c r="AI639" s="132"/>
    </row>
    <row r="640">
      <c r="A640" s="314"/>
      <c r="B640" s="695"/>
      <c r="C640" s="696"/>
      <c r="D640" s="312"/>
      <c r="E640" s="314"/>
      <c r="F640" s="314"/>
      <c r="G640" s="314"/>
      <c r="H640" s="314"/>
      <c r="I640" s="318"/>
      <c r="J640" s="314"/>
      <c r="K640" s="314"/>
      <c r="L640" s="314"/>
      <c r="M640" s="314"/>
      <c r="N640" s="314"/>
      <c r="O640" s="314"/>
      <c r="P640" s="318"/>
      <c r="Q640" s="314"/>
      <c r="R640" s="316"/>
      <c r="S640" s="314"/>
      <c r="T640" s="314"/>
      <c r="U640" s="314"/>
      <c r="V640" s="314"/>
      <c r="W640" s="318"/>
      <c r="X640" s="314"/>
      <c r="Y640" s="314"/>
      <c r="Z640" s="697"/>
      <c r="AA640" s="315"/>
      <c r="AB640" s="314"/>
      <c r="AC640" s="314"/>
      <c r="AD640" s="324"/>
      <c r="AE640" s="155"/>
      <c r="AF640" s="155"/>
      <c r="AG640" s="322"/>
      <c r="AH640" s="132"/>
      <c r="AI640" s="132"/>
    </row>
    <row r="641">
      <c r="A641" s="314"/>
      <c r="B641" s="695"/>
      <c r="C641" s="696"/>
      <c r="D641" s="312"/>
      <c r="E641" s="314"/>
      <c r="F641" s="314"/>
      <c r="G641" s="314"/>
      <c r="H641" s="314"/>
      <c r="I641" s="318"/>
      <c r="J641" s="314"/>
      <c r="K641" s="314"/>
      <c r="L641" s="314"/>
      <c r="M641" s="314"/>
      <c r="N641" s="314"/>
      <c r="O641" s="314"/>
      <c r="P641" s="318"/>
      <c r="Q641" s="314"/>
      <c r="R641" s="316"/>
      <c r="S641" s="314"/>
      <c r="T641" s="314"/>
      <c r="U641" s="314"/>
      <c r="V641" s="314"/>
      <c r="W641" s="318"/>
      <c r="X641" s="314"/>
      <c r="Y641" s="314"/>
      <c r="Z641" s="697"/>
      <c r="AA641" s="315"/>
      <c r="AB641" s="314"/>
      <c r="AC641" s="314"/>
      <c r="AD641" s="324"/>
      <c r="AE641" s="155"/>
      <c r="AF641" s="155"/>
      <c r="AG641" s="322"/>
      <c r="AH641" s="132"/>
      <c r="AI641" s="132"/>
    </row>
    <row r="642">
      <c r="A642" s="314"/>
      <c r="B642" s="695"/>
      <c r="C642" s="696"/>
      <c r="D642" s="312"/>
      <c r="E642" s="314"/>
      <c r="F642" s="314"/>
      <c r="G642" s="314"/>
      <c r="H642" s="314"/>
      <c r="I642" s="318"/>
      <c r="J642" s="314"/>
      <c r="K642" s="314"/>
      <c r="L642" s="314"/>
      <c r="M642" s="314"/>
      <c r="N642" s="314"/>
      <c r="O642" s="314"/>
      <c r="P642" s="318"/>
      <c r="Q642" s="314"/>
      <c r="R642" s="316"/>
      <c r="S642" s="314"/>
      <c r="T642" s="314"/>
      <c r="U642" s="314"/>
      <c r="V642" s="314"/>
      <c r="W642" s="318"/>
      <c r="X642" s="314"/>
      <c r="Y642" s="314"/>
      <c r="Z642" s="697"/>
      <c r="AA642" s="315"/>
      <c r="AB642" s="314"/>
      <c r="AC642" s="314"/>
      <c r="AD642" s="324"/>
      <c r="AE642" s="155"/>
      <c r="AF642" s="155"/>
      <c r="AG642" s="322"/>
      <c r="AH642" s="132"/>
      <c r="AI642" s="132"/>
    </row>
    <row r="643">
      <c r="A643" s="314"/>
      <c r="B643" s="695"/>
      <c r="C643" s="696"/>
      <c r="D643" s="312"/>
      <c r="E643" s="314"/>
      <c r="F643" s="314"/>
      <c r="G643" s="314"/>
      <c r="H643" s="314"/>
      <c r="I643" s="318"/>
      <c r="J643" s="314"/>
      <c r="K643" s="314"/>
      <c r="L643" s="314"/>
      <c r="M643" s="314"/>
      <c r="N643" s="314"/>
      <c r="O643" s="314"/>
      <c r="P643" s="318"/>
      <c r="Q643" s="314"/>
      <c r="R643" s="316"/>
      <c r="S643" s="314"/>
      <c r="T643" s="314"/>
      <c r="U643" s="314"/>
      <c r="V643" s="314"/>
      <c r="W643" s="318"/>
      <c r="X643" s="314"/>
      <c r="Y643" s="314"/>
      <c r="Z643" s="697"/>
      <c r="AA643" s="315"/>
      <c r="AB643" s="314"/>
      <c r="AC643" s="314"/>
      <c r="AD643" s="324"/>
      <c r="AE643" s="155"/>
      <c r="AF643" s="155"/>
      <c r="AG643" s="322"/>
      <c r="AH643" s="132"/>
      <c r="AI643" s="132"/>
    </row>
    <row r="644">
      <c r="A644" s="314"/>
      <c r="B644" s="695"/>
      <c r="C644" s="696"/>
      <c r="D644" s="312"/>
      <c r="E644" s="314"/>
      <c r="F644" s="314"/>
      <c r="G644" s="314"/>
      <c r="H644" s="314"/>
      <c r="I644" s="318"/>
      <c r="J644" s="314"/>
      <c r="K644" s="314"/>
      <c r="L644" s="314"/>
      <c r="M644" s="314"/>
      <c r="N644" s="314"/>
      <c r="O644" s="314"/>
      <c r="P644" s="318"/>
      <c r="Q644" s="314"/>
      <c r="R644" s="316"/>
      <c r="S644" s="314"/>
      <c r="T644" s="314"/>
      <c r="U644" s="314"/>
      <c r="V644" s="314"/>
      <c r="W644" s="318"/>
      <c r="X644" s="314"/>
      <c r="Y644" s="314"/>
      <c r="Z644" s="697"/>
      <c r="AA644" s="315"/>
      <c r="AB644" s="314"/>
      <c r="AC644" s="314"/>
      <c r="AD644" s="324"/>
      <c r="AE644" s="155"/>
      <c r="AF644" s="155"/>
      <c r="AG644" s="322"/>
      <c r="AH644" s="132"/>
      <c r="AI644" s="132"/>
    </row>
    <row r="645">
      <c r="A645" s="314"/>
      <c r="B645" s="695"/>
      <c r="C645" s="696"/>
      <c r="D645" s="312"/>
      <c r="E645" s="314"/>
      <c r="F645" s="314"/>
      <c r="G645" s="314"/>
      <c r="H645" s="314"/>
      <c r="I645" s="318"/>
      <c r="J645" s="314"/>
      <c r="K645" s="314"/>
      <c r="L645" s="314"/>
      <c r="M645" s="314"/>
      <c r="N645" s="314"/>
      <c r="O645" s="314"/>
      <c r="P645" s="318"/>
      <c r="Q645" s="314"/>
      <c r="R645" s="316"/>
      <c r="S645" s="314"/>
      <c r="T645" s="314"/>
      <c r="U645" s="314"/>
      <c r="V645" s="314"/>
      <c r="W645" s="318"/>
      <c r="X645" s="314"/>
      <c r="Y645" s="314"/>
      <c r="Z645" s="697"/>
      <c r="AA645" s="315"/>
      <c r="AB645" s="314"/>
      <c r="AC645" s="314"/>
      <c r="AD645" s="324"/>
      <c r="AE645" s="155"/>
      <c r="AF645" s="155"/>
      <c r="AG645" s="322"/>
      <c r="AH645" s="132"/>
      <c r="AI645" s="132"/>
    </row>
    <row r="646">
      <c r="A646" s="314"/>
      <c r="B646" s="695"/>
      <c r="C646" s="696"/>
      <c r="D646" s="312"/>
      <c r="E646" s="314"/>
      <c r="F646" s="314"/>
      <c r="G646" s="314"/>
      <c r="H646" s="314"/>
      <c r="I646" s="318"/>
      <c r="J646" s="314"/>
      <c r="K646" s="314"/>
      <c r="L646" s="314"/>
      <c r="M646" s="314"/>
      <c r="N646" s="314"/>
      <c r="O646" s="314"/>
      <c r="P646" s="318"/>
      <c r="Q646" s="314"/>
      <c r="R646" s="316"/>
      <c r="S646" s="314"/>
      <c r="T646" s="314"/>
      <c r="U646" s="314"/>
      <c r="V646" s="314"/>
      <c r="W646" s="318"/>
      <c r="X646" s="314"/>
      <c r="Y646" s="314"/>
      <c r="Z646" s="697"/>
      <c r="AA646" s="315"/>
      <c r="AB646" s="314"/>
      <c r="AC646" s="314"/>
      <c r="AD646" s="324"/>
      <c r="AE646" s="155"/>
      <c r="AF646" s="155"/>
      <c r="AG646" s="322"/>
      <c r="AH646" s="132"/>
      <c r="AI646" s="132"/>
    </row>
    <row r="647">
      <c r="A647" s="314"/>
      <c r="B647" s="695"/>
      <c r="C647" s="696"/>
      <c r="D647" s="312"/>
      <c r="E647" s="314"/>
      <c r="F647" s="314"/>
      <c r="G647" s="314"/>
      <c r="H647" s="314"/>
      <c r="I647" s="318"/>
      <c r="J647" s="314"/>
      <c r="K647" s="314"/>
      <c r="L647" s="314"/>
      <c r="M647" s="314"/>
      <c r="N647" s="314"/>
      <c r="O647" s="314"/>
      <c r="P647" s="318"/>
      <c r="Q647" s="314"/>
      <c r="R647" s="316"/>
      <c r="S647" s="314"/>
      <c r="T647" s="314"/>
      <c r="U647" s="314"/>
      <c r="V647" s="314"/>
      <c r="W647" s="318"/>
      <c r="X647" s="314"/>
      <c r="Y647" s="314"/>
      <c r="Z647" s="697"/>
      <c r="AA647" s="315"/>
      <c r="AB647" s="314"/>
      <c r="AC647" s="314"/>
      <c r="AD647" s="324"/>
      <c r="AE647" s="155"/>
      <c r="AF647" s="155"/>
      <c r="AG647" s="322"/>
      <c r="AH647" s="132"/>
      <c r="AI647" s="132"/>
    </row>
    <row r="648">
      <c r="A648" s="314"/>
      <c r="B648" s="695"/>
      <c r="C648" s="696"/>
      <c r="D648" s="312"/>
      <c r="E648" s="314"/>
      <c r="F648" s="314"/>
      <c r="G648" s="314"/>
      <c r="H648" s="314"/>
      <c r="I648" s="318"/>
      <c r="J648" s="314"/>
      <c r="K648" s="314"/>
      <c r="L648" s="314"/>
      <c r="M648" s="314"/>
      <c r="N648" s="314"/>
      <c r="O648" s="314"/>
      <c r="P648" s="318"/>
      <c r="Q648" s="314"/>
      <c r="R648" s="316"/>
      <c r="S648" s="314"/>
      <c r="T648" s="314"/>
      <c r="U648" s="314"/>
      <c r="V648" s="314"/>
      <c r="W648" s="318"/>
      <c r="X648" s="314"/>
      <c r="Y648" s="314"/>
      <c r="Z648" s="697"/>
      <c r="AA648" s="315"/>
      <c r="AB648" s="314"/>
      <c r="AC648" s="314"/>
      <c r="AD648" s="324"/>
      <c r="AE648" s="155"/>
      <c r="AF648" s="155"/>
      <c r="AG648" s="322"/>
      <c r="AH648" s="132"/>
      <c r="AI648" s="132"/>
    </row>
    <row r="649">
      <c r="A649" s="314"/>
      <c r="B649" s="695"/>
      <c r="C649" s="696"/>
      <c r="D649" s="312"/>
      <c r="E649" s="314"/>
      <c r="F649" s="314"/>
      <c r="G649" s="314"/>
      <c r="H649" s="314"/>
      <c r="I649" s="318"/>
      <c r="J649" s="314"/>
      <c r="K649" s="314"/>
      <c r="L649" s="314"/>
      <c r="M649" s="314"/>
      <c r="N649" s="314"/>
      <c r="O649" s="314"/>
      <c r="P649" s="318"/>
      <c r="Q649" s="314"/>
      <c r="R649" s="316"/>
      <c r="S649" s="314"/>
      <c r="T649" s="314"/>
      <c r="U649" s="314"/>
      <c r="V649" s="314"/>
      <c r="W649" s="318"/>
      <c r="X649" s="314"/>
      <c r="Y649" s="314"/>
      <c r="Z649" s="697"/>
      <c r="AA649" s="315"/>
      <c r="AB649" s="314"/>
      <c r="AC649" s="314"/>
      <c r="AD649" s="324"/>
      <c r="AE649" s="155"/>
      <c r="AF649" s="155"/>
      <c r="AG649" s="322"/>
      <c r="AH649" s="132"/>
      <c r="AI649" s="132"/>
    </row>
    <row r="650">
      <c r="A650" s="314"/>
      <c r="B650" s="695"/>
      <c r="C650" s="696"/>
      <c r="D650" s="312"/>
      <c r="E650" s="314"/>
      <c r="F650" s="314"/>
      <c r="G650" s="314"/>
      <c r="H650" s="314"/>
      <c r="I650" s="318"/>
      <c r="J650" s="314"/>
      <c r="K650" s="314"/>
      <c r="L650" s="314"/>
      <c r="M650" s="314"/>
      <c r="N650" s="314"/>
      <c r="O650" s="314"/>
      <c r="P650" s="318"/>
      <c r="Q650" s="314"/>
      <c r="R650" s="316"/>
      <c r="S650" s="314"/>
      <c r="T650" s="314"/>
      <c r="U650" s="314"/>
      <c r="V650" s="314"/>
      <c r="W650" s="318"/>
      <c r="X650" s="314"/>
      <c r="Y650" s="314"/>
      <c r="Z650" s="697"/>
      <c r="AA650" s="315"/>
      <c r="AB650" s="314"/>
      <c r="AC650" s="314"/>
      <c r="AD650" s="324"/>
      <c r="AE650" s="155"/>
      <c r="AF650" s="155"/>
      <c r="AG650" s="322"/>
      <c r="AH650" s="132"/>
      <c r="AI650" s="132"/>
    </row>
    <row r="651">
      <c r="A651" s="314"/>
      <c r="B651" s="695"/>
      <c r="C651" s="696"/>
      <c r="D651" s="312"/>
      <c r="E651" s="314"/>
      <c r="F651" s="314"/>
      <c r="G651" s="314"/>
      <c r="H651" s="314"/>
      <c r="I651" s="318"/>
      <c r="J651" s="314"/>
      <c r="K651" s="314"/>
      <c r="L651" s="314"/>
      <c r="M651" s="314"/>
      <c r="N651" s="314"/>
      <c r="O651" s="314"/>
      <c r="P651" s="318"/>
      <c r="Q651" s="314"/>
      <c r="R651" s="316"/>
      <c r="S651" s="314"/>
      <c r="T651" s="314"/>
      <c r="U651" s="314"/>
      <c r="V651" s="314"/>
      <c r="W651" s="318"/>
      <c r="X651" s="314"/>
      <c r="Y651" s="314"/>
      <c r="Z651" s="697"/>
      <c r="AA651" s="315"/>
      <c r="AB651" s="314"/>
      <c r="AC651" s="314"/>
      <c r="AD651" s="324"/>
      <c r="AE651" s="155"/>
      <c r="AF651" s="155"/>
      <c r="AG651" s="322"/>
      <c r="AH651" s="132"/>
      <c r="AI651" s="132"/>
    </row>
    <row r="652">
      <c r="A652" s="314"/>
      <c r="B652" s="695"/>
      <c r="C652" s="696"/>
      <c r="D652" s="312"/>
      <c r="E652" s="314"/>
      <c r="F652" s="314"/>
      <c r="G652" s="314"/>
      <c r="H652" s="314"/>
      <c r="I652" s="318"/>
      <c r="J652" s="314"/>
      <c r="K652" s="314"/>
      <c r="L652" s="314"/>
      <c r="M652" s="314"/>
      <c r="N652" s="314"/>
      <c r="O652" s="314"/>
      <c r="P652" s="318"/>
      <c r="Q652" s="314"/>
      <c r="R652" s="316"/>
      <c r="S652" s="314"/>
      <c r="T652" s="314"/>
      <c r="U652" s="314"/>
      <c r="V652" s="314"/>
      <c r="W652" s="318"/>
      <c r="X652" s="314"/>
      <c r="Y652" s="314"/>
      <c r="Z652" s="697"/>
      <c r="AA652" s="315"/>
      <c r="AB652" s="314"/>
      <c r="AC652" s="314"/>
      <c r="AD652" s="324"/>
      <c r="AE652" s="155"/>
      <c r="AF652" s="155"/>
      <c r="AG652" s="322"/>
      <c r="AH652" s="132"/>
      <c r="AI652" s="132"/>
    </row>
    <row r="653">
      <c r="A653" s="314"/>
      <c r="B653" s="695"/>
      <c r="C653" s="696"/>
      <c r="D653" s="312"/>
      <c r="E653" s="314"/>
      <c r="F653" s="314"/>
      <c r="G653" s="314"/>
      <c r="H653" s="314"/>
      <c r="I653" s="318"/>
      <c r="J653" s="314"/>
      <c r="K653" s="314"/>
      <c r="L653" s="314"/>
      <c r="M653" s="314"/>
      <c r="N653" s="314"/>
      <c r="O653" s="314"/>
      <c r="P653" s="318"/>
      <c r="Q653" s="314"/>
      <c r="R653" s="316"/>
      <c r="S653" s="314"/>
      <c r="T653" s="314"/>
      <c r="U653" s="314"/>
      <c r="V653" s="314"/>
      <c r="W653" s="318"/>
      <c r="X653" s="314"/>
      <c r="Y653" s="314"/>
      <c r="Z653" s="697"/>
      <c r="AA653" s="315"/>
      <c r="AB653" s="314"/>
      <c r="AC653" s="314"/>
      <c r="AD653" s="324"/>
      <c r="AE653" s="155"/>
      <c r="AF653" s="155"/>
      <c r="AG653" s="322"/>
      <c r="AH653" s="132"/>
      <c r="AI653" s="132"/>
    </row>
    <row r="654">
      <c r="A654" s="314"/>
      <c r="B654" s="695"/>
      <c r="C654" s="696"/>
      <c r="D654" s="312"/>
      <c r="E654" s="314"/>
      <c r="F654" s="314"/>
      <c r="G654" s="314"/>
      <c r="H654" s="314"/>
      <c r="I654" s="318"/>
      <c r="J654" s="314"/>
      <c r="K654" s="314"/>
      <c r="L654" s="314"/>
      <c r="M654" s="314"/>
      <c r="N654" s="314"/>
      <c r="O654" s="314"/>
      <c r="P654" s="318"/>
      <c r="Q654" s="314"/>
      <c r="R654" s="316"/>
      <c r="S654" s="314"/>
      <c r="T654" s="314"/>
      <c r="U654" s="314"/>
      <c r="V654" s="314"/>
      <c r="W654" s="318"/>
      <c r="X654" s="314"/>
      <c r="Y654" s="314"/>
      <c r="Z654" s="697"/>
      <c r="AA654" s="315"/>
      <c r="AB654" s="314"/>
      <c r="AC654" s="314"/>
      <c r="AD654" s="324"/>
      <c r="AE654" s="155"/>
      <c r="AF654" s="155"/>
      <c r="AG654" s="322"/>
      <c r="AH654" s="132"/>
      <c r="AI654" s="132"/>
    </row>
    <row r="655">
      <c r="A655" s="314"/>
      <c r="B655" s="695"/>
      <c r="C655" s="696"/>
      <c r="D655" s="312"/>
      <c r="E655" s="314"/>
      <c r="F655" s="314"/>
      <c r="G655" s="314"/>
      <c r="H655" s="314"/>
      <c r="I655" s="318"/>
      <c r="J655" s="314"/>
      <c r="K655" s="314"/>
      <c r="L655" s="314"/>
      <c r="M655" s="314"/>
      <c r="N655" s="314"/>
      <c r="O655" s="314"/>
      <c r="P655" s="318"/>
      <c r="Q655" s="314"/>
      <c r="R655" s="316"/>
      <c r="S655" s="314"/>
      <c r="T655" s="314"/>
      <c r="U655" s="314"/>
      <c r="V655" s="314"/>
      <c r="W655" s="318"/>
      <c r="X655" s="314"/>
      <c r="Y655" s="314"/>
      <c r="Z655" s="697"/>
      <c r="AA655" s="315"/>
      <c r="AB655" s="314"/>
      <c r="AC655" s="314"/>
      <c r="AD655" s="324"/>
      <c r="AE655" s="155"/>
      <c r="AF655" s="155"/>
      <c r="AG655" s="322"/>
      <c r="AH655" s="132"/>
      <c r="AI655" s="132"/>
    </row>
    <row r="656">
      <c r="A656" s="314"/>
      <c r="B656" s="695"/>
      <c r="C656" s="696"/>
      <c r="D656" s="312"/>
      <c r="E656" s="314"/>
      <c r="F656" s="314"/>
      <c r="G656" s="314"/>
      <c r="H656" s="314"/>
      <c r="I656" s="318"/>
      <c r="J656" s="314"/>
      <c r="K656" s="314"/>
      <c r="L656" s="314"/>
      <c r="M656" s="314"/>
      <c r="N656" s="314"/>
      <c r="O656" s="314"/>
      <c r="P656" s="318"/>
      <c r="Q656" s="314"/>
      <c r="R656" s="316"/>
      <c r="S656" s="314"/>
      <c r="T656" s="314"/>
      <c r="U656" s="314"/>
      <c r="V656" s="314"/>
      <c r="W656" s="318"/>
      <c r="X656" s="314"/>
      <c r="Y656" s="314"/>
      <c r="Z656" s="697"/>
      <c r="AA656" s="315"/>
      <c r="AB656" s="314"/>
      <c r="AC656" s="314"/>
      <c r="AD656" s="324"/>
      <c r="AE656" s="155"/>
      <c r="AF656" s="155"/>
      <c r="AG656" s="322"/>
      <c r="AH656" s="132"/>
      <c r="AI656" s="132"/>
    </row>
    <row r="657">
      <c r="A657" s="435"/>
      <c r="B657" s="695"/>
      <c r="C657" s="739"/>
      <c r="D657" s="312"/>
      <c r="E657" s="435"/>
      <c r="F657" s="314"/>
      <c r="G657" s="314"/>
      <c r="H657" s="435"/>
      <c r="I657" s="740"/>
      <c r="J657" s="314"/>
      <c r="K657" s="435"/>
      <c r="L657" s="435"/>
      <c r="M657" s="314"/>
      <c r="N657" s="314"/>
      <c r="O657" s="314"/>
      <c r="P657" s="740"/>
      <c r="Q657" s="435"/>
      <c r="R657" s="742"/>
      <c r="S657" s="435"/>
      <c r="T657" s="435"/>
      <c r="U657" s="435"/>
      <c r="V657" s="435"/>
      <c r="W657" s="740"/>
      <c r="X657" s="435"/>
      <c r="Y657" s="435"/>
      <c r="Z657" s="743"/>
      <c r="AA657" s="744"/>
      <c r="AB657" s="435"/>
      <c r="AC657" s="435"/>
      <c r="AD657" s="324"/>
      <c r="AE657" s="180"/>
      <c r="AF657" s="155"/>
      <c r="AG657" s="322"/>
      <c r="AH657" s="132"/>
      <c r="AI657" s="132"/>
    </row>
    <row r="658">
      <c r="A658" s="435"/>
      <c r="B658" s="695"/>
      <c r="C658" s="696"/>
      <c r="D658" s="745"/>
      <c r="E658" s="314"/>
      <c r="F658" s="314"/>
      <c r="G658" s="314"/>
      <c r="H658" s="314"/>
      <c r="I658" s="318"/>
      <c r="J658" s="314"/>
      <c r="K658" s="314"/>
      <c r="L658" s="314"/>
      <c r="M658" s="435"/>
      <c r="N658" s="435"/>
      <c r="O658" s="314"/>
      <c r="P658" s="318"/>
      <c r="Q658" s="314"/>
      <c r="R658" s="316"/>
      <c r="S658" s="314"/>
      <c r="T658" s="314"/>
      <c r="U658" s="314"/>
      <c r="V658" s="314"/>
      <c r="W658" s="318"/>
      <c r="X658" s="314"/>
      <c r="Y658" s="314"/>
      <c r="Z658" s="697"/>
      <c r="AA658" s="315"/>
      <c r="AB658" s="314"/>
      <c r="AC658" s="314"/>
      <c r="AD658" s="324"/>
      <c r="AE658" s="180"/>
      <c r="AF658" s="155"/>
      <c r="AG658" s="322"/>
      <c r="AH658" s="132"/>
      <c r="AI658" s="132"/>
    </row>
    <row r="659">
      <c r="A659" s="435"/>
      <c r="B659" s="746"/>
      <c r="C659" s="739"/>
      <c r="D659" s="745"/>
      <c r="E659" s="435"/>
      <c r="F659" s="314"/>
      <c r="G659" s="314"/>
      <c r="H659" s="314"/>
      <c r="I659" s="740"/>
      <c r="J659" s="435"/>
      <c r="K659" s="435"/>
      <c r="L659" s="435"/>
      <c r="M659" s="435"/>
      <c r="N659" s="435"/>
      <c r="O659" s="314"/>
      <c r="P659" s="740"/>
      <c r="Q659" s="314"/>
      <c r="R659" s="742"/>
      <c r="S659" s="435"/>
      <c r="T659" s="435"/>
      <c r="U659" s="435"/>
      <c r="V659" s="435"/>
      <c r="W659" s="740"/>
      <c r="X659" s="435"/>
      <c r="Y659" s="435"/>
      <c r="Z659" s="743"/>
      <c r="AA659" s="744"/>
      <c r="AB659" s="435"/>
      <c r="AC659" s="435"/>
      <c r="AD659" s="324"/>
      <c r="AE659" s="180"/>
      <c r="AF659" s="155"/>
      <c r="AG659" s="322"/>
      <c r="AH659" s="132"/>
      <c r="AI659" s="132"/>
    </row>
    <row r="660">
      <c r="A660" s="435"/>
      <c r="B660" s="695"/>
      <c r="C660" s="696"/>
      <c r="D660" s="745"/>
      <c r="E660" s="314"/>
      <c r="F660" s="314"/>
      <c r="G660" s="314"/>
      <c r="H660" s="314"/>
      <c r="I660" s="740"/>
      <c r="J660" s="314"/>
      <c r="K660" s="435"/>
      <c r="L660" s="314"/>
      <c r="M660" s="314"/>
      <c r="N660" s="314"/>
      <c r="O660" s="314"/>
      <c r="P660" s="318"/>
      <c r="Q660" s="435"/>
      <c r="R660" s="742"/>
      <c r="S660" s="314"/>
      <c r="T660" s="314"/>
      <c r="U660" s="314"/>
      <c r="V660" s="314"/>
      <c r="W660" s="318"/>
      <c r="X660" s="314"/>
      <c r="Y660" s="314"/>
      <c r="Z660" s="697"/>
      <c r="AA660" s="315"/>
      <c r="AB660" s="314"/>
      <c r="AC660" s="314"/>
      <c r="AD660" s="324"/>
      <c r="AE660" s="180"/>
      <c r="AF660" s="155"/>
      <c r="AG660" s="322"/>
      <c r="AH660" s="132"/>
      <c r="AI660" s="132"/>
    </row>
    <row r="661">
      <c r="A661" s="435"/>
      <c r="B661" s="746"/>
      <c r="C661" s="739"/>
      <c r="D661" s="745"/>
      <c r="E661" s="435"/>
      <c r="F661" s="314"/>
      <c r="G661" s="314"/>
      <c r="H661" s="435"/>
      <c r="I661" s="740"/>
      <c r="J661" s="435"/>
      <c r="K661" s="435"/>
      <c r="L661" s="435"/>
      <c r="M661" s="435"/>
      <c r="N661" s="435"/>
      <c r="O661" s="314"/>
      <c r="P661" s="740"/>
      <c r="Q661" s="435"/>
      <c r="R661" s="742"/>
      <c r="S661" s="435"/>
      <c r="T661" s="435"/>
      <c r="U661" s="435"/>
      <c r="V661" s="435"/>
      <c r="W661" s="740"/>
      <c r="X661" s="435"/>
      <c r="Y661" s="435"/>
      <c r="Z661" s="743"/>
      <c r="AA661" s="744"/>
      <c r="AB661" s="435"/>
      <c r="AC661" s="435"/>
      <c r="AD661" s="324"/>
      <c r="AE661" s="180"/>
      <c r="AF661" s="155"/>
      <c r="AG661" s="322"/>
      <c r="AH661" s="132"/>
      <c r="AI661" s="132"/>
    </row>
    <row r="662">
      <c r="A662" s="435"/>
      <c r="B662" s="746"/>
      <c r="C662" s="696"/>
      <c r="D662" s="745"/>
      <c r="E662" s="314"/>
      <c r="F662" s="314"/>
      <c r="G662" s="314"/>
      <c r="H662" s="314"/>
      <c r="I662" s="318"/>
      <c r="J662" s="314"/>
      <c r="K662" s="435"/>
      <c r="L662" s="314"/>
      <c r="M662" s="314"/>
      <c r="N662" s="314"/>
      <c r="O662" s="314"/>
      <c r="P662" s="318"/>
      <c r="Q662" s="314"/>
      <c r="R662" s="316"/>
      <c r="S662" s="435"/>
      <c r="T662" s="435"/>
      <c r="U662" s="435"/>
      <c r="V662" s="435"/>
      <c r="W662" s="740"/>
      <c r="X662" s="435"/>
      <c r="Y662" s="435"/>
      <c r="Z662" s="743"/>
      <c r="AA662" s="744"/>
      <c r="AB662" s="435"/>
      <c r="AC662" s="435"/>
      <c r="AD662" s="324"/>
      <c r="AE662" s="180"/>
      <c r="AF662" s="155"/>
      <c r="AG662" s="322"/>
      <c r="AH662" s="132"/>
      <c r="AI662" s="132"/>
    </row>
    <row r="663">
      <c r="A663" s="435"/>
      <c r="B663" s="746"/>
      <c r="C663" s="739"/>
      <c r="D663" s="745"/>
      <c r="E663" s="435"/>
      <c r="F663" s="314"/>
      <c r="G663" s="314"/>
      <c r="H663" s="435"/>
      <c r="I663" s="318"/>
      <c r="J663" s="314"/>
      <c r="K663" s="435"/>
      <c r="L663" s="314"/>
      <c r="M663" s="314"/>
      <c r="N663" s="314"/>
      <c r="O663" s="314"/>
      <c r="P663" s="740"/>
      <c r="Q663" s="435"/>
      <c r="R663" s="742"/>
      <c r="S663" s="435"/>
      <c r="T663" s="435"/>
      <c r="U663" s="435"/>
      <c r="V663" s="435"/>
      <c r="W663" s="740"/>
      <c r="X663" s="435"/>
      <c r="Y663" s="435"/>
      <c r="Z663" s="743"/>
      <c r="AA663" s="744"/>
      <c r="AB663" s="435"/>
      <c r="AC663" s="435"/>
      <c r="AD663" s="324"/>
      <c r="AE663" s="180"/>
      <c r="AF663" s="155"/>
      <c r="AG663" s="322"/>
      <c r="AH663" s="132"/>
      <c r="AI663" s="132"/>
    </row>
    <row r="664">
      <c r="A664" s="435"/>
      <c r="B664" s="746"/>
      <c r="C664" s="739"/>
      <c r="D664" s="745"/>
      <c r="E664" s="435"/>
      <c r="F664" s="314"/>
      <c r="G664" s="314"/>
      <c r="H664" s="435"/>
      <c r="I664" s="740"/>
      <c r="J664" s="435"/>
      <c r="K664" s="435"/>
      <c r="L664" s="435"/>
      <c r="M664" s="435"/>
      <c r="N664" s="435"/>
      <c r="O664" s="314"/>
      <c r="P664" s="740"/>
      <c r="Q664" s="435"/>
      <c r="R664" s="742"/>
      <c r="S664" s="435"/>
      <c r="T664" s="435"/>
      <c r="U664" s="435"/>
      <c r="V664" s="435"/>
      <c r="W664" s="740"/>
      <c r="X664" s="435"/>
      <c r="Y664" s="435"/>
      <c r="Z664" s="743"/>
      <c r="AA664" s="744"/>
      <c r="AB664" s="435"/>
      <c r="AC664" s="435"/>
      <c r="AD664" s="324"/>
      <c r="AE664" s="180"/>
      <c r="AF664" s="155"/>
      <c r="AG664" s="322"/>
      <c r="AH664" s="132"/>
      <c r="AI664" s="132"/>
    </row>
    <row r="665">
      <c r="A665" s="435"/>
      <c r="B665" s="695"/>
      <c r="C665" s="696"/>
      <c r="D665" s="312"/>
      <c r="E665" s="435"/>
      <c r="F665" s="314"/>
      <c r="G665" s="314"/>
      <c r="H665" s="435"/>
      <c r="I665" s="318"/>
      <c r="J665" s="314"/>
      <c r="K665" s="314"/>
      <c r="L665" s="314"/>
      <c r="M665" s="314"/>
      <c r="N665" s="314"/>
      <c r="O665" s="314"/>
      <c r="P665" s="318"/>
      <c r="Q665" s="314"/>
      <c r="R665" s="316"/>
      <c r="S665" s="314"/>
      <c r="T665" s="314"/>
      <c r="U665" s="314"/>
      <c r="V665" s="314"/>
      <c r="W665" s="318"/>
      <c r="X665" s="314"/>
      <c r="Y665" s="314"/>
      <c r="Z665" s="697"/>
      <c r="AA665" s="315"/>
      <c r="AB665" s="314"/>
      <c r="AC665" s="314"/>
      <c r="AD665" s="324"/>
      <c r="AE665" s="180"/>
      <c r="AF665" s="155"/>
      <c r="AG665" s="322"/>
      <c r="AH665" s="132"/>
      <c r="AI665" s="132"/>
    </row>
    <row r="666">
      <c r="A666" s="435"/>
      <c r="B666" s="695"/>
      <c r="C666" s="696"/>
      <c r="D666" s="745"/>
      <c r="E666" s="314"/>
      <c r="F666" s="314"/>
      <c r="G666" s="314"/>
      <c r="H666" s="435"/>
      <c r="I666" s="318"/>
      <c r="J666" s="435"/>
      <c r="K666" s="435"/>
      <c r="L666" s="314"/>
      <c r="M666" s="435"/>
      <c r="N666" s="314"/>
      <c r="O666" s="314"/>
      <c r="P666" s="318"/>
      <c r="Q666" s="314"/>
      <c r="R666" s="742"/>
      <c r="S666" s="435"/>
      <c r="T666" s="435"/>
      <c r="U666" s="435"/>
      <c r="V666" s="435"/>
      <c r="W666" s="740"/>
      <c r="X666" s="435"/>
      <c r="Y666" s="435"/>
      <c r="Z666" s="743"/>
      <c r="AA666" s="744"/>
      <c r="AB666" s="435"/>
      <c r="AC666" s="435"/>
      <c r="AD666" s="324"/>
      <c r="AE666" s="180"/>
      <c r="AF666" s="155"/>
      <c r="AG666" s="322"/>
      <c r="AH666" s="132"/>
      <c r="AI666" s="132"/>
    </row>
    <row r="667">
      <c r="A667" s="435"/>
      <c r="B667" s="695"/>
      <c r="C667" s="696"/>
      <c r="D667" s="312"/>
      <c r="E667" s="314"/>
      <c r="F667" s="314"/>
      <c r="G667" s="314"/>
      <c r="H667" s="314"/>
      <c r="I667" s="318"/>
      <c r="J667" s="314"/>
      <c r="K667" s="314"/>
      <c r="L667" s="314"/>
      <c r="M667" s="314"/>
      <c r="N667" s="314"/>
      <c r="O667" s="314"/>
      <c r="P667" s="318"/>
      <c r="Q667" s="435"/>
      <c r="R667" s="316"/>
      <c r="S667" s="435"/>
      <c r="T667" s="435"/>
      <c r="U667" s="435"/>
      <c r="V667" s="435"/>
      <c r="W667" s="740"/>
      <c r="X667" s="435"/>
      <c r="Y667" s="435"/>
      <c r="Z667" s="743"/>
      <c r="AA667" s="744"/>
      <c r="AB667" s="435"/>
      <c r="AC667" s="435"/>
      <c r="AD667" s="324"/>
      <c r="AE667" s="180"/>
      <c r="AF667" s="155"/>
      <c r="AG667" s="322"/>
      <c r="AH667" s="132"/>
      <c r="AI667" s="132"/>
    </row>
    <row r="668">
      <c r="A668" s="435"/>
      <c r="B668" s="746"/>
      <c r="C668" s="696"/>
      <c r="D668" s="312"/>
      <c r="E668" s="314"/>
      <c r="F668" s="314"/>
      <c r="G668" s="314"/>
      <c r="H668" s="435"/>
      <c r="I668" s="318"/>
      <c r="J668" s="435"/>
      <c r="K668" s="435"/>
      <c r="L668" s="314"/>
      <c r="M668" s="314"/>
      <c r="N668" s="435"/>
      <c r="O668" s="314"/>
      <c r="P668" s="318"/>
      <c r="Q668" s="314"/>
      <c r="R668" s="742"/>
      <c r="S668" s="435"/>
      <c r="T668" s="435"/>
      <c r="U668" s="435"/>
      <c r="V668" s="435"/>
      <c r="W668" s="740"/>
      <c r="X668" s="435"/>
      <c r="Y668" s="435"/>
      <c r="Z668" s="743"/>
      <c r="AA668" s="744"/>
      <c r="AB668" s="435"/>
      <c r="AC668" s="435"/>
      <c r="AD668" s="324"/>
      <c r="AE668" s="180"/>
      <c r="AF668" s="155"/>
      <c r="AG668" s="322"/>
      <c r="AH668" s="132"/>
      <c r="AI668" s="132"/>
    </row>
    <row r="669">
      <c r="A669" s="435"/>
      <c r="B669" s="695"/>
      <c r="C669" s="739"/>
      <c r="D669" s="745"/>
      <c r="E669" s="435"/>
      <c r="F669" s="314"/>
      <c r="G669" s="314"/>
      <c r="H669" s="435"/>
      <c r="I669" s="318"/>
      <c r="J669" s="314"/>
      <c r="K669" s="435"/>
      <c r="L669" s="314"/>
      <c r="M669" s="314"/>
      <c r="N669" s="314"/>
      <c r="O669" s="314"/>
      <c r="P669" s="318"/>
      <c r="Q669" s="314"/>
      <c r="R669" s="316"/>
      <c r="S669" s="435"/>
      <c r="T669" s="435"/>
      <c r="U669" s="435"/>
      <c r="V669" s="435"/>
      <c r="W669" s="740"/>
      <c r="X669" s="435"/>
      <c r="Y669" s="435"/>
      <c r="Z669" s="743"/>
      <c r="AA669" s="744"/>
      <c r="AB669" s="435"/>
      <c r="AC669" s="435"/>
      <c r="AD669" s="324"/>
      <c r="AE669" s="180"/>
      <c r="AF669" s="155"/>
      <c r="AG669" s="322"/>
      <c r="AH669" s="132"/>
      <c r="AI669" s="132"/>
    </row>
    <row r="670">
      <c r="A670" s="435"/>
      <c r="B670" s="695"/>
      <c r="C670" s="696"/>
      <c r="D670" s="312"/>
      <c r="E670" s="314"/>
      <c r="F670" s="314"/>
      <c r="G670" s="314"/>
      <c r="H670" s="435"/>
      <c r="I670" s="318"/>
      <c r="J670" s="314"/>
      <c r="K670" s="314"/>
      <c r="L670" s="314"/>
      <c r="M670" s="314"/>
      <c r="N670" s="314"/>
      <c r="O670" s="314"/>
      <c r="P670" s="318"/>
      <c r="Q670" s="314"/>
      <c r="R670" s="742"/>
      <c r="S670" s="314"/>
      <c r="T670" s="314"/>
      <c r="U670" s="314"/>
      <c r="V670" s="314"/>
      <c r="W670" s="318"/>
      <c r="X670" s="314"/>
      <c r="Y670" s="314"/>
      <c r="Z670" s="697"/>
      <c r="AA670" s="315"/>
      <c r="AB670" s="314"/>
      <c r="AC670" s="314"/>
      <c r="AD670" s="324"/>
      <c r="AE670" s="180"/>
      <c r="AF670" s="155"/>
      <c r="AG670" s="322"/>
      <c r="AH670" s="132"/>
      <c r="AI670" s="132"/>
    </row>
    <row r="671">
      <c r="A671" s="435"/>
      <c r="B671" s="746"/>
      <c r="C671" s="739"/>
      <c r="D671" s="745"/>
      <c r="E671" s="435"/>
      <c r="F671" s="314"/>
      <c r="G671" s="314"/>
      <c r="H671" s="435"/>
      <c r="I671" s="740"/>
      <c r="J671" s="435"/>
      <c r="K671" s="435"/>
      <c r="L671" s="435"/>
      <c r="M671" s="435"/>
      <c r="N671" s="435"/>
      <c r="O671" s="314"/>
      <c r="P671" s="740"/>
      <c r="Q671" s="435"/>
      <c r="R671" s="742"/>
      <c r="S671" s="435"/>
      <c r="T671" s="435"/>
      <c r="U671" s="435"/>
      <c r="V671" s="435"/>
      <c r="W671" s="740"/>
      <c r="X671" s="435"/>
      <c r="Y671" s="435"/>
      <c r="Z671" s="743"/>
      <c r="AA671" s="744"/>
      <c r="AB671" s="435"/>
      <c r="AC671" s="435"/>
      <c r="AD671" s="324"/>
      <c r="AE671" s="180"/>
      <c r="AF671" s="155"/>
      <c r="AG671" s="322"/>
      <c r="AH671" s="132"/>
      <c r="AI671" s="132"/>
    </row>
    <row r="672">
      <c r="A672" s="435"/>
      <c r="B672" s="695"/>
      <c r="C672" s="696"/>
      <c r="D672" s="312"/>
      <c r="E672" s="314"/>
      <c r="F672" s="314"/>
      <c r="G672" s="314"/>
      <c r="H672" s="314"/>
      <c r="I672" s="318"/>
      <c r="J672" s="314"/>
      <c r="K672" s="314"/>
      <c r="L672" s="314"/>
      <c r="M672" s="435"/>
      <c r="N672" s="314"/>
      <c r="O672" s="314"/>
      <c r="P672" s="318"/>
      <c r="Q672" s="314"/>
      <c r="R672" s="316"/>
      <c r="S672" s="314"/>
      <c r="T672" s="314"/>
      <c r="U672" s="314"/>
      <c r="V672" s="314"/>
      <c r="W672" s="318"/>
      <c r="X672" s="314"/>
      <c r="Y672" s="314"/>
      <c r="Z672" s="697"/>
      <c r="AA672" s="315"/>
      <c r="AB672" s="314"/>
      <c r="AC672" s="314"/>
      <c r="AD672" s="324"/>
      <c r="AE672" s="180"/>
      <c r="AF672" s="155"/>
      <c r="AG672" s="322"/>
      <c r="AH672" s="132"/>
      <c r="AI672" s="132"/>
    </row>
    <row r="673">
      <c r="A673" s="435"/>
      <c r="B673" s="695"/>
      <c r="C673" s="739"/>
      <c r="D673" s="745"/>
      <c r="E673" s="435"/>
      <c r="F673" s="314"/>
      <c r="G673" s="314"/>
      <c r="H673" s="435"/>
      <c r="I673" s="740"/>
      <c r="J673" s="435"/>
      <c r="K673" s="435"/>
      <c r="L673" s="314"/>
      <c r="M673" s="435"/>
      <c r="N673" s="435"/>
      <c r="O673" s="314"/>
      <c r="P673" s="740"/>
      <c r="Q673" s="435"/>
      <c r="R673" s="742"/>
      <c r="S673" s="435"/>
      <c r="T673" s="435"/>
      <c r="U673" s="435"/>
      <c r="V673" s="435"/>
      <c r="W673" s="740"/>
      <c r="X673" s="435"/>
      <c r="Y673" s="435"/>
      <c r="Z673" s="743"/>
      <c r="AA673" s="744"/>
      <c r="AB673" s="435"/>
      <c r="AC673" s="435"/>
      <c r="AD673" s="324"/>
      <c r="AE673" s="180"/>
      <c r="AF673" s="155"/>
      <c r="AG673" s="322"/>
      <c r="AH673" s="132"/>
      <c r="AI673" s="132"/>
    </row>
    <row r="674">
      <c r="A674" s="435"/>
      <c r="B674" s="746"/>
      <c r="C674" s="739"/>
      <c r="D674" s="312"/>
      <c r="E674" s="435"/>
      <c r="F674" s="314"/>
      <c r="G674" s="314"/>
      <c r="H674" s="435"/>
      <c r="I674" s="740"/>
      <c r="J674" s="314"/>
      <c r="K674" s="435"/>
      <c r="L674" s="435"/>
      <c r="M674" s="314"/>
      <c r="N674" s="435"/>
      <c r="O674" s="314"/>
      <c r="P674" s="740"/>
      <c r="Q674" s="314"/>
      <c r="R674" s="742"/>
      <c r="S674" s="435"/>
      <c r="T674" s="435"/>
      <c r="U674" s="435"/>
      <c r="V674" s="435"/>
      <c r="W674" s="740"/>
      <c r="X674" s="435"/>
      <c r="Y674" s="435"/>
      <c r="Z674" s="743"/>
      <c r="AA674" s="744"/>
      <c r="AB674" s="435"/>
      <c r="AC674" s="435"/>
      <c r="AD674" s="324"/>
      <c r="AE674" s="180"/>
      <c r="AF674" s="155"/>
      <c r="AG674" s="322"/>
      <c r="AH674" s="132"/>
      <c r="AI674" s="132"/>
    </row>
    <row r="675">
      <c r="A675" s="458"/>
      <c r="B675" s="746"/>
      <c r="C675" s="739"/>
      <c r="D675" s="745"/>
      <c r="E675" s="435"/>
      <c r="F675" s="314"/>
      <c r="G675" s="314"/>
      <c r="H675" s="314"/>
      <c r="I675" s="740"/>
      <c r="J675" s="435"/>
      <c r="K675" s="435"/>
      <c r="L675" s="435"/>
      <c r="M675" s="435"/>
      <c r="N675" s="435"/>
      <c r="O675" s="314"/>
      <c r="P675" s="740"/>
      <c r="Q675" s="435"/>
      <c r="R675" s="742"/>
      <c r="S675" s="435"/>
      <c r="T675" s="435"/>
      <c r="U675" s="435"/>
      <c r="V675" s="435"/>
      <c r="W675" s="740"/>
      <c r="X675" s="435"/>
      <c r="Y675" s="435"/>
      <c r="Z675" s="743"/>
      <c r="AA675" s="744"/>
      <c r="AB675" s="435"/>
      <c r="AC675" s="435"/>
      <c r="AD675" s="324"/>
      <c r="AE675" s="180"/>
      <c r="AF675" s="155"/>
      <c r="AG675" s="322"/>
      <c r="AH675" s="132"/>
      <c r="AI675" s="132"/>
    </row>
    <row r="676">
      <c r="A676" s="458"/>
      <c r="B676" s="746"/>
      <c r="C676" s="739"/>
      <c r="D676" s="745"/>
      <c r="E676" s="435"/>
      <c r="F676" s="314"/>
      <c r="G676" s="314"/>
      <c r="H676" s="314"/>
      <c r="I676" s="318"/>
      <c r="J676" s="435"/>
      <c r="K676" s="435"/>
      <c r="L676" s="435"/>
      <c r="M676" s="435"/>
      <c r="N676" s="435"/>
      <c r="O676" s="314"/>
      <c r="P676" s="740"/>
      <c r="Q676" s="435"/>
      <c r="R676" s="742"/>
      <c r="S676" s="435"/>
      <c r="T676" s="435"/>
      <c r="U676" s="435"/>
      <c r="V676" s="435"/>
      <c r="W676" s="740"/>
      <c r="X676" s="435"/>
      <c r="Y676" s="435"/>
      <c r="Z676" s="743"/>
      <c r="AA676" s="744"/>
      <c r="AB676" s="435"/>
      <c r="AC676" s="435"/>
      <c r="AD676" s="324"/>
      <c r="AE676" s="180"/>
      <c r="AF676" s="155"/>
      <c r="AG676" s="322"/>
      <c r="AH676" s="132"/>
      <c r="AI676" s="132"/>
    </row>
    <row r="677">
      <c r="A677" s="458"/>
      <c r="B677" s="746"/>
      <c r="C677" s="739"/>
      <c r="D677" s="745"/>
      <c r="E677" s="314"/>
      <c r="F677" s="314"/>
      <c r="G677" s="314"/>
      <c r="H677" s="314"/>
      <c r="I677" s="740"/>
      <c r="J677" s="435"/>
      <c r="K677" s="435"/>
      <c r="L677" s="435"/>
      <c r="M677" s="435"/>
      <c r="N677" s="435"/>
      <c r="O677" s="314"/>
      <c r="P677" s="740"/>
      <c r="Q677" s="314"/>
      <c r="R677" s="742"/>
      <c r="S677" s="435"/>
      <c r="T677" s="435"/>
      <c r="U677" s="435"/>
      <c r="V677" s="435"/>
      <c r="W677" s="740"/>
      <c r="X677" s="435"/>
      <c r="Y677" s="435"/>
      <c r="Z677" s="743"/>
      <c r="AA677" s="744"/>
      <c r="AB677" s="435"/>
      <c r="AC677" s="435"/>
      <c r="AD677" s="324"/>
      <c r="AE677" s="180"/>
      <c r="AF677" s="155"/>
      <c r="AG677" s="322"/>
      <c r="AH677" s="132"/>
      <c r="AI677" s="132"/>
    </row>
    <row r="678">
      <c r="A678" s="458"/>
      <c r="B678" s="695"/>
      <c r="C678" s="696"/>
      <c r="D678" s="312"/>
      <c r="E678" s="314"/>
      <c r="F678" s="314"/>
      <c r="G678" s="314"/>
      <c r="H678" s="314"/>
      <c r="I678" s="318"/>
      <c r="J678" s="314"/>
      <c r="K678" s="314"/>
      <c r="L678" s="314"/>
      <c r="M678" s="314"/>
      <c r="N678" s="314"/>
      <c r="O678" s="314"/>
      <c r="P678" s="318"/>
      <c r="Q678" s="314"/>
      <c r="R678" s="316"/>
      <c r="S678" s="314"/>
      <c r="T678" s="314"/>
      <c r="U678" s="314"/>
      <c r="V678" s="314"/>
      <c r="W678" s="318"/>
      <c r="X678" s="314"/>
      <c r="Y678" s="314"/>
      <c r="Z678" s="697"/>
      <c r="AA678" s="315"/>
      <c r="AB678" s="314"/>
      <c r="AC678" s="314"/>
      <c r="AD678" s="324"/>
      <c r="AE678" s="180"/>
      <c r="AF678" s="155"/>
      <c r="AG678" s="322"/>
      <c r="AH678" s="132"/>
      <c r="AI678" s="132"/>
    </row>
    <row r="679">
      <c r="A679" s="458"/>
      <c r="B679" s="746"/>
      <c r="C679" s="739"/>
      <c r="D679" s="745"/>
      <c r="E679" s="314"/>
      <c r="F679" s="314"/>
      <c r="G679" s="314"/>
      <c r="H679" s="314"/>
      <c r="I679" s="318"/>
      <c r="J679" s="314"/>
      <c r="K679" s="435"/>
      <c r="L679" s="435"/>
      <c r="M679" s="435"/>
      <c r="N679" s="314"/>
      <c r="O679" s="314"/>
      <c r="P679" s="740"/>
      <c r="Q679" s="435"/>
      <c r="R679" s="742"/>
      <c r="S679" s="435"/>
      <c r="T679" s="435"/>
      <c r="U679" s="435"/>
      <c r="V679" s="435"/>
      <c r="W679" s="740"/>
      <c r="X679" s="435"/>
      <c r="Y679" s="435"/>
      <c r="Z679" s="743"/>
      <c r="AA679" s="744"/>
      <c r="AB679" s="435"/>
      <c r="AC679" s="435"/>
      <c r="AD679" s="324"/>
      <c r="AE679" s="180"/>
      <c r="AF679" s="155"/>
      <c r="AG679" s="322"/>
      <c r="AH679" s="132"/>
      <c r="AI679" s="132"/>
    </row>
    <row r="680">
      <c r="A680" s="458"/>
      <c r="B680" s="695"/>
      <c r="C680" s="696"/>
      <c r="D680" s="745"/>
      <c r="E680" s="314"/>
      <c r="F680" s="314"/>
      <c r="G680" s="314"/>
      <c r="H680" s="314"/>
      <c r="I680" s="318"/>
      <c r="J680" s="314"/>
      <c r="K680" s="314"/>
      <c r="L680" s="314"/>
      <c r="M680" s="314"/>
      <c r="N680" s="314"/>
      <c r="O680" s="314"/>
      <c r="P680" s="318"/>
      <c r="Q680" s="314"/>
      <c r="R680" s="316"/>
      <c r="S680" s="314"/>
      <c r="T680" s="314"/>
      <c r="U680" s="314"/>
      <c r="V680" s="314"/>
      <c r="W680" s="318"/>
      <c r="X680" s="314"/>
      <c r="Y680" s="314"/>
      <c r="Z680" s="697"/>
      <c r="AA680" s="315"/>
      <c r="AB680" s="314"/>
      <c r="AC680" s="314"/>
      <c r="AD680" s="324"/>
      <c r="AE680" s="180"/>
      <c r="AF680" s="155"/>
      <c r="AG680" s="322"/>
      <c r="AH680" s="132"/>
      <c r="AI680" s="132"/>
    </row>
    <row r="681">
      <c r="A681" s="458"/>
      <c r="B681" s="695"/>
      <c r="C681" s="739"/>
      <c r="D681" s="312"/>
      <c r="E681" s="314"/>
      <c r="F681" s="314"/>
      <c r="G681" s="314"/>
      <c r="H681" s="314"/>
      <c r="I681" s="740"/>
      <c r="J681" s="314"/>
      <c r="K681" s="314"/>
      <c r="L681" s="435"/>
      <c r="M681" s="314"/>
      <c r="N681" s="314"/>
      <c r="O681" s="314"/>
      <c r="P681" s="318"/>
      <c r="Q681" s="435"/>
      <c r="R681" s="742"/>
      <c r="S681" s="435"/>
      <c r="T681" s="435"/>
      <c r="U681" s="435"/>
      <c r="V681" s="435"/>
      <c r="W681" s="740"/>
      <c r="X681" s="435"/>
      <c r="Y681" s="435"/>
      <c r="Z681" s="743"/>
      <c r="AA681" s="744"/>
      <c r="AB681" s="435"/>
      <c r="AC681" s="435"/>
      <c r="AD681" s="324"/>
      <c r="AE681" s="180"/>
      <c r="AF681" s="155"/>
      <c r="AG681" s="322"/>
      <c r="AH681" s="132"/>
      <c r="AI681" s="132"/>
    </row>
    <row r="682">
      <c r="A682" s="458"/>
      <c r="B682" s="695"/>
      <c r="C682" s="739"/>
      <c r="D682" s="745"/>
      <c r="E682" s="435"/>
      <c r="F682" s="314"/>
      <c r="G682" s="314"/>
      <c r="H682" s="435"/>
      <c r="I682" s="740"/>
      <c r="J682" s="314"/>
      <c r="K682" s="435"/>
      <c r="L682" s="435"/>
      <c r="M682" s="314"/>
      <c r="N682" s="314"/>
      <c r="O682" s="314"/>
      <c r="P682" s="740"/>
      <c r="Q682" s="435"/>
      <c r="R682" s="742"/>
      <c r="S682" s="435"/>
      <c r="T682" s="435"/>
      <c r="U682" s="435"/>
      <c r="V682" s="435"/>
      <c r="W682" s="740"/>
      <c r="X682" s="435"/>
      <c r="Y682" s="435"/>
      <c r="Z682" s="743"/>
      <c r="AA682" s="744"/>
      <c r="AB682" s="435"/>
      <c r="AC682" s="435"/>
      <c r="AD682" s="324"/>
      <c r="AE682" s="180"/>
      <c r="AF682" s="155"/>
      <c r="AG682" s="322"/>
      <c r="AH682" s="132"/>
      <c r="AI682" s="132"/>
    </row>
    <row r="683">
      <c r="A683" s="458"/>
      <c r="B683" s="695"/>
      <c r="C683" s="739"/>
      <c r="D683" s="745"/>
      <c r="E683" s="314"/>
      <c r="F683" s="314"/>
      <c r="G683" s="314"/>
      <c r="H683" s="314"/>
      <c r="I683" s="318"/>
      <c r="J683" s="314"/>
      <c r="K683" s="435"/>
      <c r="L683" s="314"/>
      <c r="M683" s="314"/>
      <c r="N683" s="314"/>
      <c r="O683" s="314"/>
      <c r="P683" s="318"/>
      <c r="Q683" s="314"/>
      <c r="R683" s="742"/>
      <c r="S683" s="435"/>
      <c r="T683" s="435"/>
      <c r="U683" s="435"/>
      <c r="V683" s="435"/>
      <c r="W683" s="740"/>
      <c r="X683" s="435"/>
      <c r="Y683" s="435"/>
      <c r="Z683" s="743"/>
      <c r="AA683" s="744"/>
      <c r="AB683" s="435"/>
      <c r="AC683" s="435"/>
      <c r="AD683" s="324"/>
      <c r="AE683" s="180"/>
      <c r="AF683" s="155"/>
      <c r="AG683" s="322"/>
      <c r="AH683" s="132"/>
      <c r="AI683" s="132"/>
    </row>
    <row r="684">
      <c r="A684" s="458"/>
      <c r="B684" s="746"/>
      <c r="C684" s="739"/>
      <c r="D684" s="745"/>
      <c r="E684" s="435"/>
      <c r="F684" s="314"/>
      <c r="G684" s="314"/>
      <c r="H684" s="435"/>
      <c r="I684" s="740"/>
      <c r="J684" s="435"/>
      <c r="K684" s="435"/>
      <c r="L684" s="435"/>
      <c r="M684" s="435"/>
      <c r="N684" s="435"/>
      <c r="O684" s="314"/>
      <c r="P684" s="740"/>
      <c r="Q684" s="435"/>
      <c r="R684" s="742"/>
      <c r="S684" s="435"/>
      <c r="T684" s="435"/>
      <c r="U684" s="435"/>
      <c r="V684" s="435"/>
      <c r="W684" s="740"/>
      <c r="X684" s="435"/>
      <c r="Y684" s="435"/>
      <c r="Z684" s="743"/>
      <c r="AA684" s="744"/>
      <c r="AB684" s="435"/>
      <c r="AC684" s="435"/>
      <c r="AD684" s="324"/>
      <c r="AE684" s="180"/>
      <c r="AF684" s="155"/>
      <c r="AG684" s="322"/>
      <c r="AH684" s="132"/>
      <c r="AI684" s="132"/>
    </row>
    <row r="685">
      <c r="A685" s="435"/>
      <c r="B685" s="746"/>
      <c r="C685" s="739"/>
      <c r="D685" s="745"/>
      <c r="E685" s="435"/>
      <c r="F685" s="314"/>
      <c r="G685" s="314"/>
      <c r="H685" s="435"/>
      <c r="I685" s="740"/>
      <c r="J685" s="435"/>
      <c r="K685" s="435"/>
      <c r="L685" s="435"/>
      <c r="M685" s="435"/>
      <c r="N685" s="435"/>
      <c r="O685" s="314"/>
      <c r="P685" s="740"/>
      <c r="Q685" s="435"/>
      <c r="R685" s="742"/>
      <c r="S685" s="435"/>
      <c r="T685" s="435"/>
      <c r="U685" s="435"/>
      <c r="V685" s="435"/>
      <c r="W685" s="740"/>
      <c r="X685" s="435"/>
      <c r="Y685" s="435"/>
      <c r="Z685" s="743"/>
      <c r="AA685" s="744"/>
      <c r="AB685" s="435"/>
      <c r="AC685" s="435"/>
      <c r="AD685" s="324"/>
      <c r="AE685" s="180"/>
      <c r="AF685" s="155"/>
      <c r="AG685" s="322"/>
      <c r="AH685" s="132"/>
      <c r="AI685" s="132"/>
    </row>
    <row r="686">
      <c r="A686" s="474"/>
      <c r="B686" s="746"/>
      <c r="C686" s="739"/>
      <c r="D686" s="745"/>
      <c r="E686" s="435"/>
      <c r="F686" s="314"/>
      <c r="G686" s="314"/>
      <c r="H686" s="435"/>
      <c r="I686" s="740"/>
      <c r="J686" s="435"/>
      <c r="K686" s="435"/>
      <c r="L686" s="435"/>
      <c r="M686" s="435"/>
      <c r="N686" s="435"/>
      <c r="O686" s="314"/>
      <c r="P686" s="740"/>
      <c r="Q686" s="435"/>
      <c r="R686" s="742"/>
      <c r="S686" s="435"/>
      <c r="T686" s="435"/>
      <c r="U686" s="435"/>
      <c r="V686" s="435"/>
      <c r="W686" s="740"/>
      <c r="X686" s="435"/>
      <c r="Y686" s="435"/>
      <c r="Z686" s="743"/>
      <c r="AA686" s="744"/>
      <c r="AB686" s="435"/>
      <c r="AC686" s="435"/>
      <c r="AD686" s="324"/>
      <c r="AE686" s="180"/>
      <c r="AF686" s="155"/>
      <c r="AG686" s="322"/>
      <c r="AH686" s="132"/>
      <c r="AI686" s="132"/>
    </row>
    <row r="687">
      <c r="A687" s="474"/>
      <c r="B687" s="746"/>
      <c r="C687" s="696"/>
      <c r="D687" s="745"/>
      <c r="E687" s="435"/>
      <c r="F687" s="314"/>
      <c r="G687" s="314"/>
      <c r="H687" s="435"/>
      <c r="I687" s="740"/>
      <c r="J687" s="435"/>
      <c r="K687" s="314"/>
      <c r="L687" s="314"/>
      <c r="M687" s="314"/>
      <c r="N687" s="435"/>
      <c r="O687" s="314"/>
      <c r="P687" s="318"/>
      <c r="Q687" s="435"/>
      <c r="R687" s="316"/>
      <c r="S687" s="435"/>
      <c r="T687" s="435"/>
      <c r="U687" s="435"/>
      <c r="V687" s="435"/>
      <c r="W687" s="740"/>
      <c r="X687" s="435"/>
      <c r="Y687" s="435"/>
      <c r="Z687" s="743"/>
      <c r="AA687" s="744"/>
      <c r="AB687" s="435"/>
      <c r="AC687" s="435"/>
      <c r="AD687" s="324"/>
      <c r="AE687" s="180"/>
      <c r="AF687" s="155"/>
      <c r="AG687" s="322"/>
      <c r="AH687" s="132"/>
      <c r="AI687" s="132"/>
    </row>
    <row r="688">
      <c r="A688" s="474"/>
      <c r="B688" s="695"/>
      <c r="C688" s="696"/>
      <c r="D688" s="312"/>
      <c r="E688" s="314"/>
      <c r="F688" s="314"/>
      <c r="G688" s="314"/>
      <c r="H688" s="314"/>
      <c r="I688" s="318"/>
      <c r="J688" s="314"/>
      <c r="K688" s="435"/>
      <c r="L688" s="314"/>
      <c r="M688" s="314"/>
      <c r="N688" s="314"/>
      <c r="O688" s="314"/>
      <c r="P688" s="740"/>
      <c r="Q688" s="314"/>
      <c r="R688" s="316"/>
      <c r="S688" s="314"/>
      <c r="T688" s="314"/>
      <c r="U688" s="314"/>
      <c r="V688" s="314"/>
      <c r="W688" s="318"/>
      <c r="X688" s="314"/>
      <c r="Y688" s="314"/>
      <c r="Z688" s="697"/>
      <c r="AA688" s="315"/>
      <c r="AB688" s="314"/>
      <c r="AC688" s="314"/>
      <c r="AD688" s="324"/>
      <c r="AE688" s="180"/>
      <c r="AF688" s="155"/>
      <c r="AG688" s="322"/>
      <c r="AH688" s="132"/>
      <c r="AI688" s="132"/>
    </row>
    <row r="689">
      <c r="A689" s="474"/>
      <c r="B689" s="695"/>
      <c r="C689" s="739"/>
      <c r="D689" s="745"/>
      <c r="E689" s="314"/>
      <c r="F689" s="314"/>
      <c r="G689" s="314"/>
      <c r="H689" s="314"/>
      <c r="I689" s="740"/>
      <c r="J689" s="314"/>
      <c r="K689" s="314"/>
      <c r="L689" s="314"/>
      <c r="M689" s="314"/>
      <c r="N689" s="314"/>
      <c r="O689" s="314"/>
      <c r="P689" s="318"/>
      <c r="Q689" s="314"/>
      <c r="R689" s="316"/>
      <c r="S689" s="314"/>
      <c r="T689" s="314"/>
      <c r="U689" s="314"/>
      <c r="V689" s="314"/>
      <c r="W689" s="318"/>
      <c r="X689" s="314"/>
      <c r="Y689" s="314"/>
      <c r="Z689" s="697"/>
      <c r="AA689" s="315"/>
      <c r="AB689" s="314"/>
      <c r="AC689" s="314"/>
      <c r="AD689" s="324"/>
      <c r="AE689" s="180"/>
      <c r="AF689" s="155"/>
      <c r="AG689" s="322"/>
      <c r="AH689" s="132"/>
      <c r="AI689" s="132"/>
    </row>
    <row r="690">
      <c r="A690" s="474"/>
      <c r="B690" s="695"/>
      <c r="C690" s="696"/>
      <c r="D690" s="312"/>
      <c r="E690" s="314"/>
      <c r="F690" s="314"/>
      <c r="G690" s="314"/>
      <c r="H690" s="314"/>
      <c r="I690" s="318"/>
      <c r="J690" s="314"/>
      <c r="K690" s="435"/>
      <c r="L690" s="314"/>
      <c r="M690" s="314"/>
      <c r="N690" s="314"/>
      <c r="O690" s="314"/>
      <c r="P690" s="318"/>
      <c r="Q690" s="314"/>
      <c r="R690" s="316"/>
      <c r="S690" s="314"/>
      <c r="T690" s="314"/>
      <c r="U690" s="314"/>
      <c r="V690" s="314"/>
      <c r="W690" s="318"/>
      <c r="X690" s="314"/>
      <c r="Y690" s="314"/>
      <c r="Z690" s="697"/>
      <c r="AA690" s="315"/>
      <c r="AB690" s="314"/>
      <c r="AC690" s="314"/>
      <c r="AD690" s="324"/>
      <c r="AE690" s="180"/>
      <c r="AF690" s="155"/>
      <c r="AG690" s="322"/>
      <c r="AH690" s="132"/>
      <c r="AI690" s="132"/>
    </row>
    <row r="691">
      <c r="A691" s="458"/>
      <c r="B691" s="695"/>
      <c r="C691" s="739"/>
      <c r="D691" s="312"/>
      <c r="E691" s="314"/>
      <c r="F691" s="314"/>
      <c r="G691" s="314"/>
      <c r="H691" s="314"/>
      <c r="I691" s="318"/>
      <c r="J691" s="435"/>
      <c r="K691" s="435"/>
      <c r="L691" s="314"/>
      <c r="M691" s="314"/>
      <c r="N691" s="314"/>
      <c r="O691" s="314"/>
      <c r="P691" s="318"/>
      <c r="Q691" s="314"/>
      <c r="R691" s="316"/>
      <c r="S691" s="314"/>
      <c r="T691" s="314"/>
      <c r="U691" s="314"/>
      <c r="V691" s="314"/>
      <c r="W691" s="318"/>
      <c r="X691" s="314"/>
      <c r="Y691" s="314"/>
      <c r="Z691" s="697"/>
      <c r="AA691" s="315"/>
      <c r="AB691" s="314"/>
      <c r="AC691" s="314"/>
      <c r="AD691" s="324"/>
      <c r="AE691" s="180"/>
      <c r="AF691" s="155"/>
      <c r="AG691" s="322"/>
      <c r="AH691" s="132"/>
      <c r="AI691" s="132"/>
    </row>
    <row r="692">
      <c r="A692" s="435"/>
      <c r="B692" s="695"/>
      <c r="C692" s="739"/>
      <c r="D692" s="745"/>
      <c r="E692" s="435"/>
      <c r="F692" s="314"/>
      <c r="G692" s="314"/>
      <c r="H692" s="435"/>
      <c r="I692" s="318"/>
      <c r="J692" s="314"/>
      <c r="K692" s="435"/>
      <c r="L692" s="314"/>
      <c r="M692" s="435"/>
      <c r="N692" s="435"/>
      <c r="O692" s="314"/>
      <c r="P692" s="318"/>
      <c r="Q692" s="314"/>
      <c r="R692" s="742"/>
      <c r="S692" s="314"/>
      <c r="T692" s="314"/>
      <c r="U692" s="314"/>
      <c r="V692" s="314"/>
      <c r="W692" s="318"/>
      <c r="X692" s="314"/>
      <c r="Y692" s="314"/>
      <c r="Z692" s="697"/>
      <c r="AA692" s="315"/>
      <c r="AB692" s="314"/>
      <c r="AC692" s="314"/>
      <c r="AD692" s="324"/>
      <c r="AE692" s="180"/>
      <c r="AF692" s="155"/>
      <c r="AG692" s="322"/>
      <c r="AH692" s="132"/>
      <c r="AI692" s="132"/>
    </row>
    <row r="693">
      <c r="A693" s="435"/>
      <c r="B693" s="746"/>
      <c r="C693" s="696"/>
      <c r="D693" s="312"/>
      <c r="E693" s="314"/>
      <c r="F693" s="314"/>
      <c r="G693" s="314"/>
      <c r="H693" s="314"/>
      <c r="I693" s="318"/>
      <c r="J693" s="314"/>
      <c r="K693" s="314"/>
      <c r="L693" s="314"/>
      <c r="M693" s="314"/>
      <c r="N693" s="314"/>
      <c r="O693" s="314"/>
      <c r="P693" s="740"/>
      <c r="Q693" s="314"/>
      <c r="R693" s="316"/>
      <c r="S693" s="314"/>
      <c r="T693" s="314"/>
      <c r="U693" s="314"/>
      <c r="V693" s="314"/>
      <c r="W693" s="318"/>
      <c r="X693" s="314"/>
      <c r="Y693" s="314"/>
      <c r="Z693" s="697"/>
      <c r="AA693" s="315"/>
      <c r="AB693" s="314"/>
      <c r="AC693" s="314"/>
      <c r="AD693" s="324"/>
      <c r="AE693" s="180"/>
      <c r="AF693" s="155"/>
      <c r="AG693" s="322"/>
      <c r="AH693" s="132"/>
      <c r="AI693" s="132"/>
    </row>
    <row r="694">
      <c r="A694" s="435"/>
      <c r="B694" s="746"/>
      <c r="C694" s="696"/>
      <c r="D694" s="312"/>
      <c r="E694" s="314"/>
      <c r="F694" s="314"/>
      <c r="G694" s="314"/>
      <c r="H694" s="314"/>
      <c r="I694" s="318"/>
      <c r="J694" s="314"/>
      <c r="K694" s="314"/>
      <c r="L694" s="314"/>
      <c r="M694" s="314"/>
      <c r="N694" s="314"/>
      <c r="O694" s="314"/>
      <c r="P694" s="318"/>
      <c r="Q694" s="435"/>
      <c r="R694" s="316"/>
      <c r="S694" s="435"/>
      <c r="T694" s="435"/>
      <c r="U694" s="435"/>
      <c r="V694" s="435"/>
      <c r="W694" s="740"/>
      <c r="X694" s="435"/>
      <c r="Y694" s="435"/>
      <c r="Z694" s="743"/>
      <c r="AA694" s="744"/>
      <c r="AB694" s="435"/>
      <c r="AC694" s="435"/>
      <c r="AD694" s="324"/>
      <c r="AE694" s="180"/>
      <c r="AF694" s="155"/>
      <c r="AG694" s="322"/>
      <c r="AH694" s="132"/>
      <c r="AI694" s="132"/>
    </row>
    <row r="695">
      <c r="A695" s="435"/>
      <c r="B695" s="695"/>
      <c r="C695" s="739"/>
      <c r="D695" s="312"/>
      <c r="E695" s="314"/>
      <c r="F695" s="314"/>
      <c r="G695" s="314"/>
      <c r="H695" s="314"/>
      <c r="I695" s="318"/>
      <c r="J695" s="314"/>
      <c r="K695" s="314"/>
      <c r="L695" s="314"/>
      <c r="M695" s="314"/>
      <c r="N695" s="314"/>
      <c r="O695" s="314"/>
      <c r="P695" s="318"/>
      <c r="Q695" s="314"/>
      <c r="R695" s="742"/>
      <c r="S695" s="314"/>
      <c r="T695" s="314"/>
      <c r="U695" s="314"/>
      <c r="V695" s="314"/>
      <c r="W695" s="318"/>
      <c r="X695" s="314"/>
      <c r="Y695" s="314"/>
      <c r="Z695" s="697"/>
      <c r="AA695" s="315"/>
      <c r="AB695" s="314"/>
      <c r="AC695" s="314"/>
      <c r="AD695" s="324"/>
      <c r="AE695" s="180"/>
      <c r="AF695" s="155"/>
      <c r="AG695" s="322"/>
      <c r="AH695" s="132"/>
      <c r="AI695" s="132"/>
    </row>
    <row r="696">
      <c r="A696" s="435"/>
      <c r="B696" s="695"/>
      <c r="C696" s="696"/>
      <c r="D696" s="312"/>
      <c r="E696" s="314"/>
      <c r="F696" s="314"/>
      <c r="G696" s="314"/>
      <c r="H696" s="314"/>
      <c r="I696" s="318"/>
      <c r="J696" s="314"/>
      <c r="K696" s="435"/>
      <c r="L696" s="314"/>
      <c r="M696" s="435"/>
      <c r="N696" s="314"/>
      <c r="O696" s="314"/>
      <c r="P696" s="318"/>
      <c r="Q696" s="435"/>
      <c r="R696" s="316"/>
      <c r="S696" s="314"/>
      <c r="T696" s="314"/>
      <c r="U696" s="314"/>
      <c r="V696" s="314"/>
      <c r="W696" s="318"/>
      <c r="X696" s="314"/>
      <c r="Y696" s="314"/>
      <c r="Z696" s="697"/>
      <c r="AA696" s="315"/>
      <c r="AB696" s="314"/>
      <c r="AC696" s="314"/>
      <c r="AD696" s="324"/>
      <c r="AE696" s="180"/>
      <c r="AF696" s="155"/>
      <c r="AG696" s="322"/>
      <c r="AH696" s="132"/>
      <c r="AI696" s="132"/>
    </row>
    <row r="697">
      <c r="A697" s="435"/>
      <c r="B697" s="695"/>
      <c r="C697" s="739"/>
      <c r="D697" s="745"/>
      <c r="E697" s="314"/>
      <c r="F697" s="314"/>
      <c r="G697" s="314"/>
      <c r="H697" s="314"/>
      <c r="I697" s="318"/>
      <c r="J697" s="314"/>
      <c r="K697" s="435"/>
      <c r="L697" s="314"/>
      <c r="M697" s="435"/>
      <c r="N697" s="314"/>
      <c r="O697" s="314"/>
      <c r="P697" s="318"/>
      <c r="Q697" s="435"/>
      <c r="R697" s="316"/>
      <c r="S697" s="314"/>
      <c r="T697" s="314"/>
      <c r="U697" s="314"/>
      <c r="V697" s="314"/>
      <c r="W697" s="318"/>
      <c r="X697" s="314"/>
      <c r="Y697" s="314"/>
      <c r="Z697" s="697"/>
      <c r="AA697" s="315"/>
      <c r="AB697" s="314"/>
      <c r="AC697" s="314"/>
      <c r="AD697" s="324"/>
      <c r="AE697" s="180"/>
      <c r="AF697" s="155"/>
      <c r="AG697" s="322"/>
      <c r="AH697" s="132"/>
      <c r="AI697" s="132"/>
    </row>
    <row r="698">
      <c r="A698" s="476"/>
      <c r="AF698" s="176"/>
      <c r="AG698" s="322"/>
      <c r="AH698" s="132"/>
      <c r="AI698" s="132"/>
    </row>
    <row r="699">
      <c r="A699" s="178"/>
      <c r="AG699" s="322"/>
      <c r="AH699" s="132"/>
      <c r="AI699" s="132"/>
    </row>
    <row r="700">
      <c r="A700" s="474"/>
      <c r="B700" s="746"/>
      <c r="C700" s="739"/>
      <c r="D700" s="745"/>
      <c r="E700" s="435"/>
      <c r="F700" s="314"/>
      <c r="G700" s="314"/>
      <c r="H700" s="314"/>
      <c r="I700" s="740"/>
      <c r="J700" s="435"/>
      <c r="K700" s="435"/>
      <c r="L700" s="435"/>
      <c r="M700" s="435"/>
      <c r="N700" s="435"/>
      <c r="O700" s="314"/>
      <c r="P700" s="740"/>
      <c r="Q700" s="435"/>
      <c r="R700" s="742"/>
      <c r="S700" s="435"/>
      <c r="T700" s="435"/>
      <c r="U700" s="435"/>
      <c r="V700" s="435"/>
      <c r="W700" s="740"/>
      <c r="X700" s="435"/>
      <c r="Y700" s="435"/>
      <c r="Z700" s="743"/>
      <c r="AA700" s="744"/>
      <c r="AB700" s="435"/>
      <c r="AC700" s="435"/>
      <c r="AD700" s="324"/>
      <c r="AE700" s="180"/>
      <c r="AF700" s="155"/>
      <c r="AG700" s="322"/>
      <c r="AH700" s="132"/>
      <c r="AI700" s="132"/>
    </row>
    <row r="701">
      <c r="A701" s="474"/>
      <c r="B701" s="695"/>
      <c r="C701" s="739"/>
      <c r="D701" s="745"/>
      <c r="E701" s="435"/>
      <c r="F701" s="314"/>
      <c r="G701" s="314"/>
      <c r="H701" s="435"/>
      <c r="I701" s="318"/>
      <c r="J701" s="435"/>
      <c r="K701" s="435"/>
      <c r="L701" s="435"/>
      <c r="M701" s="314"/>
      <c r="N701" s="314"/>
      <c r="O701" s="314"/>
      <c r="P701" s="740"/>
      <c r="Q701" s="435"/>
      <c r="R701" s="742"/>
      <c r="S701" s="435"/>
      <c r="T701" s="435"/>
      <c r="U701" s="435"/>
      <c r="V701" s="435"/>
      <c r="W701" s="740"/>
      <c r="X701" s="435"/>
      <c r="Y701" s="435"/>
      <c r="Z701" s="743"/>
      <c r="AA701" s="744"/>
      <c r="AB701" s="435"/>
      <c r="AC701" s="435"/>
      <c r="AD701" s="324"/>
      <c r="AE701" s="180"/>
      <c r="AF701" s="155"/>
      <c r="AG701" s="322"/>
      <c r="AH701" s="132"/>
      <c r="AI701" s="132"/>
    </row>
    <row r="702">
      <c r="A702" s="477"/>
      <c r="B702" s="746"/>
      <c r="C702" s="739"/>
      <c r="D702" s="745"/>
      <c r="E702" s="314"/>
      <c r="F702" s="314"/>
      <c r="G702" s="314"/>
      <c r="H702" s="435"/>
      <c r="I702" s="740"/>
      <c r="J702" s="435"/>
      <c r="K702" s="435"/>
      <c r="L702" s="435"/>
      <c r="M702" s="435"/>
      <c r="N702" s="435"/>
      <c r="O702" s="314"/>
      <c r="P702" s="740"/>
      <c r="Q702" s="435"/>
      <c r="R702" s="742"/>
      <c r="S702" s="435"/>
      <c r="T702" s="435"/>
      <c r="U702" s="435"/>
      <c r="V702" s="435"/>
      <c r="W702" s="740"/>
      <c r="X702" s="435"/>
      <c r="Y702" s="435"/>
      <c r="Z702" s="743"/>
      <c r="AA702" s="744"/>
      <c r="AB702" s="435"/>
      <c r="AC702" s="435"/>
      <c r="AD702" s="324"/>
      <c r="AE702" s="180"/>
      <c r="AF702" s="155"/>
      <c r="AG702" s="322"/>
      <c r="AH702" s="132"/>
      <c r="AI702" s="132"/>
    </row>
    <row r="703">
      <c r="A703" s="477"/>
      <c r="B703" s="746"/>
      <c r="C703" s="739"/>
      <c r="D703" s="745"/>
      <c r="E703" s="314"/>
      <c r="F703" s="314"/>
      <c r="G703" s="314"/>
      <c r="H703" s="435"/>
      <c r="I703" s="318"/>
      <c r="J703" s="314"/>
      <c r="K703" s="435"/>
      <c r="L703" s="435"/>
      <c r="M703" s="435"/>
      <c r="N703" s="314"/>
      <c r="O703" s="314"/>
      <c r="P703" s="740"/>
      <c r="Q703" s="435"/>
      <c r="R703" s="742"/>
      <c r="S703" s="435"/>
      <c r="T703" s="435"/>
      <c r="U703" s="435"/>
      <c r="V703" s="435"/>
      <c r="W703" s="740"/>
      <c r="X703" s="435"/>
      <c r="Y703" s="435"/>
      <c r="Z703" s="743"/>
      <c r="AA703" s="744"/>
      <c r="AB703" s="435"/>
      <c r="AC703" s="435"/>
      <c r="AD703" s="324"/>
      <c r="AE703" s="180"/>
      <c r="AF703" s="155"/>
      <c r="AG703" s="322"/>
      <c r="AH703" s="132"/>
      <c r="AI703" s="132"/>
    </row>
    <row r="704">
      <c r="A704" s="477"/>
      <c r="B704" s="746"/>
      <c r="C704" s="739"/>
      <c r="D704" s="745"/>
      <c r="E704" s="435"/>
      <c r="F704" s="314"/>
      <c r="G704" s="314"/>
      <c r="H704" s="435"/>
      <c r="I704" s="740"/>
      <c r="J704" s="435"/>
      <c r="K704" s="435"/>
      <c r="L704" s="435"/>
      <c r="M704" s="435"/>
      <c r="N704" s="435"/>
      <c r="O704" s="314"/>
      <c r="P704" s="740"/>
      <c r="Q704" s="435"/>
      <c r="R704" s="742"/>
      <c r="S704" s="435"/>
      <c r="T704" s="435"/>
      <c r="U704" s="435"/>
      <c r="V704" s="435"/>
      <c r="W704" s="740"/>
      <c r="X704" s="435"/>
      <c r="Y704" s="435"/>
      <c r="Z704" s="743"/>
      <c r="AA704" s="744"/>
      <c r="AB704" s="435"/>
      <c r="AC704" s="435"/>
      <c r="AD704" s="324"/>
      <c r="AE704" s="180"/>
      <c r="AF704" s="155"/>
      <c r="AG704" s="322"/>
      <c r="AH704" s="132"/>
      <c r="AI704" s="132"/>
    </row>
    <row r="705">
      <c r="A705" s="474"/>
      <c r="B705" s="695"/>
      <c r="C705" s="739"/>
      <c r="D705" s="312"/>
      <c r="E705" s="435"/>
      <c r="F705" s="314"/>
      <c r="G705" s="314"/>
      <c r="H705" s="435"/>
      <c r="I705" s="318"/>
      <c r="J705" s="435"/>
      <c r="K705" s="435"/>
      <c r="L705" s="314"/>
      <c r="M705" s="435"/>
      <c r="N705" s="314"/>
      <c r="O705" s="314"/>
      <c r="P705" s="740"/>
      <c r="Q705" s="435"/>
      <c r="R705" s="742"/>
      <c r="S705" s="435"/>
      <c r="T705" s="435"/>
      <c r="U705" s="435"/>
      <c r="V705" s="435"/>
      <c r="W705" s="740"/>
      <c r="X705" s="435"/>
      <c r="Y705" s="435"/>
      <c r="Z705" s="743"/>
      <c r="AA705" s="744"/>
      <c r="AB705" s="435"/>
      <c r="AC705" s="435"/>
      <c r="AD705" s="324"/>
      <c r="AE705" s="180"/>
      <c r="AF705" s="155"/>
      <c r="AG705" s="322"/>
      <c r="AH705" s="132"/>
      <c r="AI705" s="132"/>
    </row>
    <row r="706">
      <c r="A706" s="478"/>
      <c r="B706" s="746"/>
      <c r="C706" s="739"/>
      <c r="D706" s="745"/>
      <c r="E706" s="435"/>
      <c r="F706" s="314"/>
      <c r="G706" s="314"/>
      <c r="H706" s="435"/>
      <c r="I706" s="740"/>
      <c r="J706" s="435"/>
      <c r="K706" s="435"/>
      <c r="L706" s="435"/>
      <c r="M706" s="435"/>
      <c r="N706" s="435"/>
      <c r="O706" s="314"/>
      <c r="P706" s="740"/>
      <c r="Q706" s="435"/>
      <c r="R706" s="742"/>
      <c r="S706" s="435"/>
      <c r="T706" s="435"/>
      <c r="U706" s="435"/>
      <c r="V706" s="435"/>
      <c r="W706" s="740"/>
      <c r="X706" s="435"/>
      <c r="Y706" s="435"/>
      <c r="Z706" s="743"/>
      <c r="AA706" s="744"/>
      <c r="AB706" s="435"/>
      <c r="AC706" s="435"/>
      <c r="AD706" s="324"/>
      <c r="AE706" s="180"/>
      <c r="AF706" s="155"/>
      <c r="AG706" s="322"/>
      <c r="AH706" s="132"/>
      <c r="AI706" s="132"/>
    </row>
    <row r="707">
      <c r="A707" s="478"/>
      <c r="B707" s="746"/>
      <c r="C707" s="739"/>
      <c r="D707" s="745"/>
      <c r="E707" s="435"/>
      <c r="F707" s="314"/>
      <c r="G707" s="314"/>
      <c r="H707" s="435"/>
      <c r="I707" s="740"/>
      <c r="J707" s="435"/>
      <c r="K707" s="435"/>
      <c r="L707" s="435"/>
      <c r="M707" s="435"/>
      <c r="N707" s="435"/>
      <c r="O707" s="314"/>
      <c r="P707" s="740"/>
      <c r="Q707" s="435"/>
      <c r="R707" s="742"/>
      <c r="S707" s="435"/>
      <c r="T707" s="435"/>
      <c r="U707" s="435"/>
      <c r="V707" s="435"/>
      <c r="W707" s="740"/>
      <c r="X707" s="435"/>
      <c r="Y707" s="435"/>
      <c r="Z707" s="743"/>
      <c r="AA707" s="744"/>
      <c r="AB707" s="435"/>
      <c r="AC707" s="435"/>
      <c r="AD707" s="324"/>
      <c r="AE707" s="180"/>
      <c r="AF707" s="155"/>
      <c r="AG707" s="322"/>
      <c r="AH707" s="132"/>
      <c r="AI707" s="132"/>
    </row>
    <row r="708">
      <c r="A708" s="478"/>
      <c r="B708" s="746"/>
      <c r="C708" s="739"/>
      <c r="D708" s="312"/>
      <c r="E708" s="314"/>
      <c r="F708" s="314"/>
      <c r="G708" s="314"/>
      <c r="H708" s="435"/>
      <c r="I708" s="740"/>
      <c r="J708" s="314"/>
      <c r="K708" s="435"/>
      <c r="L708" s="314"/>
      <c r="M708" s="435"/>
      <c r="N708" s="314"/>
      <c r="O708" s="314"/>
      <c r="P708" s="318"/>
      <c r="Q708" s="314"/>
      <c r="R708" s="316"/>
      <c r="S708" s="435"/>
      <c r="T708" s="435"/>
      <c r="U708" s="435"/>
      <c r="V708" s="435"/>
      <c r="W708" s="740"/>
      <c r="X708" s="435"/>
      <c r="Y708" s="435"/>
      <c r="Z708" s="743"/>
      <c r="AA708" s="744"/>
      <c r="AB708" s="435"/>
      <c r="AC708" s="435"/>
      <c r="AD708" s="324"/>
      <c r="AE708" s="180"/>
      <c r="AF708" s="155"/>
      <c r="AG708" s="322"/>
      <c r="AH708" s="132"/>
      <c r="AI708" s="132"/>
    </row>
    <row r="709">
      <c r="A709" s="477"/>
      <c r="B709" s="695"/>
      <c r="C709" s="739"/>
      <c r="D709" s="745"/>
      <c r="E709" s="435"/>
      <c r="F709" s="314"/>
      <c r="G709" s="314"/>
      <c r="H709" s="435"/>
      <c r="I709" s="740"/>
      <c r="J709" s="435"/>
      <c r="K709" s="435"/>
      <c r="L709" s="435"/>
      <c r="M709" s="435"/>
      <c r="N709" s="435"/>
      <c r="O709" s="314"/>
      <c r="P709" s="740"/>
      <c r="Q709" s="435"/>
      <c r="R709" s="742"/>
      <c r="S709" s="435"/>
      <c r="T709" s="435"/>
      <c r="U709" s="435"/>
      <c r="V709" s="435"/>
      <c r="W709" s="740"/>
      <c r="X709" s="435"/>
      <c r="Y709" s="435"/>
      <c r="Z709" s="743"/>
      <c r="AA709" s="744"/>
      <c r="AB709" s="435"/>
      <c r="AC709" s="435"/>
      <c r="AD709" s="324"/>
      <c r="AE709" s="180"/>
      <c r="AF709" s="155"/>
      <c r="AG709" s="322"/>
      <c r="AH709" s="132"/>
      <c r="AI709" s="132"/>
    </row>
    <row r="710">
      <c r="A710" s="477"/>
      <c r="B710" s="695"/>
      <c r="C710" s="696"/>
      <c r="D710" s="312"/>
      <c r="E710" s="314"/>
      <c r="F710" s="314"/>
      <c r="G710" s="314"/>
      <c r="H710" s="435"/>
      <c r="I710" s="318"/>
      <c r="J710" s="314"/>
      <c r="K710" s="314"/>
      <c r="L710" s="314"/>
      <c r="M710" s="314"/>
      <c r="N710" s="435"/>
      <c r="O710" s="314"/>
      <c r="P710" s="318"/>
      <c r="Q710" s="435"/>
      <c r="R710" s="316"/>
      <c r="S710" s="314"/>
      <c r="T710" s="314"/>
      <c r="U710" s="314"/>
      <c r="V710" s="314"/>
      <c r="W710" s="318"/>
      <c r="X710" s="314"/>
      <c r="Y710" s="314"/>
      <c r="Z710" s="697"/>
      <c r="AA710" s="315"/>
      <c r="AB710" s="314"/>
      <c r="AC710" s="314"/>
      <c r="AD710" s="324"/>
      <c r="AE710" s="180"/>
      <c r="AF710" s="155"/>
      <c r="AG710" s="322"/>
      <c r="AH710" s="132"/>
      <c r="AI710" s="132"/>
    </row>
    <row r="711">
      <c r="A711" s="477"/>
      <c r="B711" s="695"/>
      <c r="C711" s="696"/>
      <c r="D711" s="312"/>
      <c r="E711" s="314"/>
      <c r="F711" s="314"/>
      <c r="G711" s="314"/>
      <c r="H711" s="314"/>
      <c r="I711" s="318"/>
      <c r="J711" s="314"/>
      <c r="K711" s="314"/>
      <c r="L711" s="314"/>
      <c r="M711" s="314"/>
      <c r="N711" s="314"/>
      <c r="O711" s="314"/>
      <c r="P711" s="318"/>
      <c r="Q711" s="314"/>
      <c r="R711" s="316"/>
      <c r="S711" s="314"/>
      <c r="T711" s="314"/>
      <c r="U711" s="314"/>
      <c r="V711" s="314"/>
      <c r="W711" s="318"/>
      <c r="X711" s="314"/>
      <c r="Y711" s="314"/>
      <c r="Z711" s="697"/>
      <c r="AA711" s="315"/>
      <c r="AB711" s="314"/>
      <c r="AC711" s="314"/>
      <c r="AD711" s="324"/>
      <c r="AE711" s="180"/>
      <c r="AF711" s="155"/>
      <c r="AG711" s="322"/>
      <c r="AH711" s="132"/>
      <c r="AI711" s="132"/>
    </row>
    <row r="712">
      <c r="A712" s="476"/>
      <c r="AF712" s="176"/>
      <c r="AG712" s="322"/>
      <c r="AH712" s="132"/>
      <c r="AI712" s="132"/>
    </row>
    <row r="713">
      <c r="A713" s="178"/>
      <c r="AG713" s="322"/>
      <c r="AH713" s="132"/>
      <c r="AI713" s="132"/>
    </row>
    <row r="714">
      <c r="A714" s="477"/>
      <c r="B714" s="746"/>
      <c r="C714" s="739"/>
      <c r="D714" s="745"/>
      <c r="E714" s="314"/>
      <c r="F714" s="314"/>
      <c r="G714" s="314"/>
      <c r="H714" s="314"/>
      <c r="I714" s="318"/>
      <c r="J714" s="314"/>
      <c r="K714" s="435"/>
      <c r="L714" s="435"/>
      <c r="M714" s="314"/>
      <c r="N714" s="314"/>
      <c r="O714" s="314"/>
      <c r="P714" s="318"/>
      <c r="Q714" s="435"/>
      <c r="R714" s="742"/>
      <c r="S714" s="435"/>
      <c r="T714" s="435"/>
      <c r="U714" s="435"/>
      <c r="V714" s="435"/>
      <c r="W714" s="740"/>
      <c r="X714" s="435"/>
      <c r="Y714" s="435"/>
      <c r="Z714" s="743"/>
      <c r="AA714" s="744"/>
      <c r="AB714" s="435"/>
      <c r="AC714" s="435"/>
      <c r="AD714" s="324"/>
      <c r="AE714" s="180"/>
      <c r="AF714" s="155"/>
      <c r="AG714" s="322"/>
      <c r="AH714" s="132"/>
      <c r="AI714" s="132"/>
    </row>
    <row r="715">
      <c r="A715" s="477"/>
      <c r="B715" s="695"/>
      <c r="C715" s="739"/>
      <c r="D715" s="745"/>
      <c r="E715" s="314"/>
      <c r="F715" s="314"/>
      <c r="G715" s="314"/>
      <c r="H715" s="314"/>
      <c r="I715" s="740"/>
      <c r="J715" s="435"/>
      <c r="K715" s="435"/>
      <c r="L715" s="314"/>
      <c r="M715" s="435"/>
      <c r="N715" s="314"/>
      <c r="O715" s="314"/>
      <c r="P715" s="318"/>
      <c r="Q715" s="435"/>
      <c r="R715" s="742"/>
      <c r="S715" s="435"/>
      <c r="T715" s="435"/>
      <c r="U715" s="435"/>
      <c r="V715" s="435"/>
      <c r="W715" s="740"/>
      <c r="X715" s="435"/>
      <c r="Y715" s="435"/>
      <c r="Z715" s="743"/>
      <c r="AA715" s="744"/>
      <c r="AB715" s="435"/>
      <c r="AC715" s="435"/>
      <c r="AD715" s="324"/>
      <c r="AE715" s="180"/>
      <c r="AF715" s="155"/>
      <c r="AG715" s="322"/>
      <c r="AH715" s="132"/>
      <c r="AI715" s="132"/>
    </row>
    <row r="716">
      <c r="A716" s="477"/>
      <c r="B716" s="695"/>
      <c r="C716" s="739"/>
      <c r="D716" s="745"/>
      <c r="E716" s="435"/>
      <c r="F716" s="314"/>
      <c r="G716" s="314"/>
      <c r="H716" s="435"/>
      <c r="I716" s="318"/>
      <c r="J716" s="314"/>
      <c r="K716" s="435"/>
      <c r="L716" s="314"/>
      <c r="M716" s="435"/>
      <c r="N716" s="435"/>
      <c r="O716" s="314"/>
      <c r="P716" s="740"/>
      <c r="Q716" s="435"/>
      <c r="R716" s="742"/>
      <c r="S716" s="435"/>
      <c r="T716" s="435"/>
      <c r="U716" s="435"/>
      <c r="V716" s="435"/>
      <c r="W716" s="740"/>
      <c r="X716" s="435"/>
      <c r="Y716" s="435"/>
      <c r="Z716" s="743"/>
      <c r="AA716" s="744"/>
      <c r="AB716" s="435"/>
      <c r="AC716" s="435"/>
      <c r="AD716" s="324"/>
      <c r="AE716" s="180"/>
      <c r="AF716" s="155"/>
      <c r="AG716" s="322"/>
      <c r="AH716" s="132"/>
      <c r="AI716" s="132"/>
    </row>
    <row r="717">
      <c r="A717" s="479"/>
      <c r="B717" s="695"/>
      <c r="C717" s="696"/>
      <c r="D717" s="312"/>
      <c r="E717" s="314"/>
      <c r="F717" s="314"/>
      <c r="G717" s="314"/>
      <c r="H717" s="314"/>
      <c r="I717" s="318"/>
      <c r="J717" s="314"/>
      <c r="K717" s="314"/>
      <c r="L717" s="314"/>
      <c r="M717" s="314"/>
      <c r="N717" s="314"/>
      <c r="O717" s="314"/>
      <c r="P717" s="318"/>
      <c r="Q717" s="435"/>
      <c r="R717" s="316"/>
      <c r="S717" s="314"/>
      <c r="T717" s="314"/>
      <c r="U717" s="314"/>
      <c r="V717" s="314"/>
      <c r="W717" s="318"/>
      <c r="X717" s="314"/>
      <c r="Y717" s="314"/>
      <c r="Z717" s="697"/>
      <c r="AA717" s="315"/>
      <c r="AB717" s="314"/>
      <c r="AC717" s="314"/>
      <c r="AD717" s="324"/>
      <c r="AE717" s="180"/>
      <c r="AF717" s="155"/>
      <c r="AG717" s="322"/>
      <c r="AH717" s="132"/>
      <c r="AI717" s="132"/>
    </row>
    <row r="718">
      <c r="A718" s="476"/>
      <c r="AF718" s="176"/>
      <c r="AG718" s="322"/>
      <c r="AH718" s="132"/>
      <c r="AI718" s="132"/>
    </row>
    <row r="719">
      <c r="A719" s="178"/>
      <c r="AG719" s="322"/>
      <c r="AH719" s="132"/>
      <c r="AI719" s="132"/>
    </row>
    <row r="720">
      <c r="A720" s="480"/>
      <c r="B720" s="695"/>
      <c r="C720" s="739"/>
      <c r="D720" s="312"/>
      <c r="E720" s="314"/>
      <c r="F720" s="314"/>
      <c r="G720" s="314"/>
      <c r="H720" s="314"/>
      <c r="I720" s="318"/>
      <c r="J720" s="435"/>
      <c r="K720" s="435"/>
      <c r="L720" s="314"/>
      <c r="M720" s="314"/>
      <c r="N720" s="314"/>
      <c r="O720" s="314"/>
      <c r="P720" s="318"/>
      <c r="Q720" s="435"/>
      <c r="R720" s="316"/>
      <c r="S720" s="314"/>
      <c r="T720" s="314"/>
      <c r="U720" s="314"/>
      <c r="V720" s="314"/>
      <c r="W720" s="318"/>
      <c r="X720" s="314"/>
      <c r="Y720" s="314"/>
      <c r="Z720" s="697"/>
      <c r="AA720" s="315"/>
      <c r="AB720" s="314"/>
      <c r="AC720" s="314"/>
      <c r="AD720" s="324"/>
      <c r="AE720" s="180"/>
      <c r="AF720" s="180"/>
      <c r="AG720" s="322"/>
      <c r="AH720" s="132"/>
      <c r="AI720" s="132"/>
    </row>
    <row r="721">
      <c r="A721" s="480"/>
      <c r="B721" s="695"/>
      <c r="C721" s="739"/>
      <c r="D721" s="312"/>
      <c r="E721" s="314"/>
      <c r="F721" s="314"/>
      <c r="G721" s="314"/>
      <c r="H721" s="435"/>
      <c r="I721" s="318"/>
      <c r="J721" s="435"/>
      <c r="K721" s="435"/>
      <c r="L721" s="314"/>
      <c r="M721" s="435"/>
      <c r="N721" s="435"/>
      <c r="O721" s="314"/>
      <c r="P721" s="740"/>
      <c r="Q721" s="435"/>
      <c r="R721" s="316"/>
      <c r="S721" s="435"/>
      <c r="T721" s="435"/>
      <c r="U721" s="435"/>
      <c r="V721" s="435"/>
      <c r="W721" s="740"/>
      <c r="X721" s="435"/>
      <c r="Y721" s="435"/>
      <c r="Z721" s="743"/>
      <c r="AA721" s="744"/>
      <c r="AB721" s="435"/>
      <c r="AC721" s="435"/>
      <c r="AD721" s="324"/>
      <c r="AE721" s="180"/>
      <c r="AF721" s="180"/>
      <c r="AG721" s="322"/>
      <c r="AH721" s="132"/>
      <c r="AI721" s="132"/>
    </row>
    <row r="722">
      <c r="A722" s="476"/>
      <c r="AF722" s="176"/>
      <c r="AG722" s="322"/>
      <c r="AH722" s="132"/>
      <c r="AI722" s="132"/>
    </row>
    <row r="723">
      <c r="A723" s="178"/>
      <c r="AG723" s="322"/>
      <c r="AH723" s="132"/>
      <c r="AI723" s="132"/>
    </row>
    <row r="724">
      <c r="A724" s="481"/>
      <c r="B724" s="695"/>
      <c r="C724" s="739"/>
      <c r="D724" s="745"/>
      <c r="E724" s="435"/>
      <c r="F724" s="314"/>
      <c r="G724" s="435"/>
      <c r="H724" s="435"/>
      <c r="I724" s="740"/>
      <c r="J724" s="314"/>
      <c r="K724" s="435"/>
      <c r="L724" s="435"/>
      <c r="M724" s="435"/>
      <c r="N724" s="314"/>
      <c r="O724" s="314"/>
      <c r="P724" s="740"/>
      <c r="Q724" s="435"/>
      <c r="R724" s="742"/>
      <c r="S724" s="435"/>
      <c r="T724" s="435"/>
      <c r="U724" s="435"/>
      <c r="V724" s="435"/>
      <c r="W724" s="740"/>
      <c r="X724" s="435"/>
      <c r="Y724" s="435"/>
      <c r="Z724" s="743"/>
      <c r="AA724" s="744"/>
      <c r="AB724" s="435"/>
      <c r="AC724" s="435"/>
      <c r="AD724" s="324"/>
      <c r="AE724" s="180"/>
      <c r="AF724" s="155"/>
      <c r="AG724" s="322"/>
      <c r="AH724" s="132"/>
      <c r="AI724" s="132"/>
    </row>
    <row r="725">
      <c r="A725" s="435"/>
      <c r="B725" s="695"/>
      <c r="C725" s="739"/>
      <c r="D725" s="745"/>
      <c r="E725" s="314"/>
      <c r="F725" s="314"/>
      <c r="G725" s="314"/>
      <c r="H725" s="435"/>
      <c r="I725" s="318"/>
      <c r="J725" s="435"/>
      <c r="K725" s="435"/>
      <c r="L725" s="314"/>
      <c r="M725" s="314"/>
      <c r="N725" s="314"/>
      <c r="O725" s="314"/>
      <c r="P725" s="740"/>
      <c r="Q725" s="435"/>
      <c r="R725" s="742"/>
      <c r="S725" s="435"/>
      <c r="T725" s="435"/>
      <c r="U725" s="435"/>
      <c r="V725" s="435"/>
      <c r="W725" s="740"/>
      <c r="X725" s="435"/>
      <c r="Y725" s="435"/>
      <c r="Z725" s="743"/>
      <c r="AA725" s="744"/>
      <c r="AB725" s="435"/>
      <c r="AC725" s="435"/>
      <c r="AD725" s="324"/>
      <c r="AE725" s="180"/>
      <c r="AF725" s="155"/>
      <c r="AG725" s="322"/>
      <c r="AH725" s="132"/>
      <c r="AI725" s="132"/>
    </row>
    <row r="726">
      <c r="A726" s="482"/>
      <c r="B726" s="695"/>
      <c r="C726" s="696"/>
      <c r="D726" s="745"/>
      <c r="E726" s="314"/>
      <c r="F726" s="314"/>
      <c r="G726" s="314"/>
      <c r="H726" s="314"/>
      <c r="I726" s="318"/>
      <c r="J726" s="314"/>
      <c r="K726" s="435"/>
      <c r="L726" s="314"/>
      <c r="M726" s="314"/>
      <c r="N726" s="314"/>
      <c r="O726" s="314"/>
      <c r="P726" s="318"/>
      <c r="Q726" s="314"/>
      <c r="R726" s="742"/>
      <c r="S726" s="314"/>
      <c r="T726" s="314"/>
      <c r="U726" s="314"/>
      <c r="V726" s="314"/>
      <c r="W726" s="318"/>
      <c r="X726" s="314"/>
      <c r="Y726" s="314"/>
      <c r="Z726" s="697"/>
      <c r="AA726" s="315"/>
      <c r="AB726" s="314"/>
      <c r="AC726" s="314"/>
      <c r="AD726" s="324"/>
      <c r="AE726" s="180"/>
      <c r="AF726" s="155"/>
      <c r="AG726" s="322"/>
      <c r="AH726" s="132"/>
      <c r="AI726" s="132"/>
    </row>
    <row r="727">
      <c r="A727" s="482"/>
      <c r="B727" s="695"/>
      <c r="C727" s="739"/>
      <c r="D727" s="745"/>
      <c r="E727" s="435"/>
      <c r="F727" s="314"/>
      <c r="G727" s="314"/>
      <c r="H727" s="435"/>
      <c r="I727" s="740"/>
      <c r="J727" s="435"/>
      <c r="K727" s="435"/>
      <c r="L727" s="435"/>
      <c r="M727" s="435"/>
      <c r="N727" s="435"/>
      <c r="O727" s="314"/>
      <c r="P727" s="740"/>
      <c r="Q727" s="435"/>
      <c r="R727" s="742"/>
      <c r="S727" s="435"/>
      <c r="T727" s="435"/>
      <c r="U727" s="435"/>
      <c r="V727" s="435"/>
      <c r="W727" s="740"/>
      <c r="X727" s="435"/>
      <c r="Y727" s="435"/>
      <c r="Z727" s="743"/>
      <c r="AA727" s="744"/>
      <c r="AB727" s="435"/>
      <c r="AC727" s="435"/>
      <c r="AD727" s="324"/>
      <c r="AE727" s="180"/>
      <c r="AF727" s="155"/>
      <c r="AG727" s="322"/>
      <c r="AH727" s="132"/>
      <c r="AI727" s="132"/>
    </row>
    <row r="728">
      <c r="A728" s="314"/>
      <c r="B728" s="695"/>
      <c r="C728" s="696"/>
      <c r="D728" s="312"/>
      <c r="E728" s="314"/>
      <c r="F728" s="314"/>
      <c r="G728" s="314"/>
      <c r="H728" s="314"/>
      <c r="I728" s="318"/>
      <c r="J728" s="314"/>
      <c r="K728" s="314"/>
      <c r="L728" s="314"/>
      <c r="M728" s="314"/>
      <c r="N728" s="314"/>
      <c r="O728" s="314"/>
      <c r="P728" s="318"/>
      <c r="Q728" s="314"/>
      <c r="R728" s="316"/>
      <c r="S728" s="314"/>
      <c r="T728" s="314"/>
      <c r="U728" s="314"/>
      <c r="V728" s="314"/>
      <c r="W728" s="318"/>
      <c r="X728" s="314"/>
      <c r="Y728" s="314"/>
      <c r="Z728" s="697"/>
      <c r="AA728" s="315"/>
      <c r="AB728" s="314"/>
      <c r="AC728" s="314"/>
      <c r="AD728" s="483"/>
      <c r="AF728" s="484"/>
      <c r="AG728" s="322"/>
      <c r="AH728" s="132"/>
      <c r="AI728" s="132"/>
    </row>
    <row r="729">
      <c r="A729" s="314"/>
      <c r="B729" s="695"/>
      <c r="C729" s="696"/>
      <c r="D729" s="312"/>
      <c r="E729" s="314"/>
      <c r="F729" s="314"/>
      <c r="G729" s="314"/>
      <c r="H729" s="314"/>
      <c r="I729" s="318"/>
      <c r="J729" s="314"/>
      <c r="K729" s="314"/>
      <c r="L729" s="314"/>
      <c r="M729" s="314"/>
      <c r="N729" s="314"/>
      <c r="O729" s="314"/>
      <c r="P729" s="318"/>
      <c r="Q729" s="314"/>
      <c r="R729" s="316"/>
      <c r="S729" s="314"/>
      <c r="T729" s="314"/>
      <c r="U729" s="314"/>
      <c r="V729" s="314"/>
      <c r="W729" s="318"/>
      <c r="X729" s="314"/>
      <c r="Y729" s="314"/>
      <c r="Z729" s="697"/>
      <c r="AA729" s="315"/>
      <c r="AB729" s="314"/>
      <c r="AC729" s="314"/>
      <c r="AD729" s="324"/>
      <c r="AE729" s="155"/>
      <c r="AF729" s="155"/>
      <c r="AG729" s="322"/>
      <c r="AH729" s="132"/>
      <c r="AI729" s="132"/>
    </row>
    <row r="730">
      <c r="A730" s="314"/>
      <c r="B730" s="695"/>
      <c r="C730" s="696"/>
      <c r="D730" s="312"/>
      <c r="E730" s="314"/>
      <c r="F730" s="314"/>
      <c r="G730" s="314"/>
      <c r="H730" s="314"/>
      <c r="I730" s="318"/>
      <c r="J730" s="314"/>
      <c r="K730" s="314"/>
      <c r="L730" s="314"/>
      <c r="M730" s="314"/>
      <c r="N730" s="314"/>
      <c r="O730" s="314"/>
      <c r="P730" s="318"/>
      <c r="Q730" s="314"/>
      <c r="R730" s="316"/>
      <c r="S730" s="314"/>
      <c r="T730" s="314"/>
      <c r="U730" s="314"/>
      <c r="V730" s="314"/>
      <c r="W730" s="318"/>
      <c r="X730" s="314"/>
      <c r="Y730" s="314"/>
      <c r="Z730" s="697"/>
      <c r="AA730" s="315"/>
      <c r="AB730" s="314"/>
      <c r="AC730" s="314"/>
      <c r="AD730" s="324"/>
      <c r="AE730" s="155"/>
      <c r="AF730" s="155"/>
      <c r="AG730" s="322"/>
      <c r="AH730" s="132"/>
      <c r="AI730" s="132"/>
    </row>
    <row r="731">
      <c r="A731" s="314"/>
      <c r="B731" s="695"/>
      <c r="C731" s="696"/>
      <c r="D731" s="312"/>
      <c r="E731" s="314"/>
      <c r="F731" s="314"/>
      <c r="G731" s="314"/>
      <c r="H731" s="314"/>
      <c r="I731" s="318"/>
      <c r="J731" s="314"/>
      <c r="K731" s="314"/>
      <c r="L731" s="314"/>
      <c r="M731" s="314"/>
      <c r="N731" s="314"/>
      <c r="O731" s="314"/>
      <c r="P731" s="318"/>
      <c r="Q731" s="314"/>
      <c r="R731" s="316"/>
      <c r="S731" s="314"/>
      <c r="T731" s="314"/>
      <c r="U731" s="314"/>
      <c r="V731" s="314"/>
      <c r="W731" s="318"/>
      <c r="X731" s="314"/>
      <c r="Y731" s="314"/>
      <c r="Z731" s="697"/>
      <c r="AA731" s="315"/>
      <c r="AB731" s="314"/>
      <c r="AC731" s="314"/>
      <c r="AD731" s="324"/>
      <c r="AE731" s="155"/>
      <c r="AF731" s="155"/>
      <c r="AG731" s="322"/>
      <c r="AH731" s="132"/>
      <c r="AI731" s="132"/>
    </row>
    <row r="732">
      <c r="A732" s="314"/>
      <c r="B732" s="695"/>
      <c r="C732" s="696"/>
      <c r="D732" s="312"/>
      <c r="E732" s="314"/>
      <c r="F732" s="314"/>
      <c r="G732" s="314"/>
      <c r="H732" s="314"/>
      <c r="I732" s="318"/>
      <c r="J732" s="314"/>
      <c r="K732" s="314"/>
      <c r="L732" s="314"/>
      <c r="M732" s="314"/>
      <c r="N732" s="314"/>
      <c r="O732" s="314"/>
      <c r="P732" s="318"/>
      <c r="Q732" s="314"/>
      <c r="R732" s="316"/>
      <c r="S732" s="314"/>
      <c r="T732" s="314"/>
      <c r="U732" s="314"/>
      <c r="V732" s="314"/>
      <c r="W732" s="318"/>
      <c r="X732" s="314"/>
      <c r="Y732" s="314"/>
      <c r="Z732" s="697"/>
      <c r="AA732" s="315"/>
      <c r="AB732" s="314"/>
      <c r="AC732" s="314"/>
      <c r="AD732" s="324"/>
      <c r="AE732" s="155"/>
      <c r="AF732" s="155"/>
      <c r="AG732" s="322"/>
      <c r="AH732" s="132"/>
      <c r="AI732" s="132"/>
    </row>
    <row r="733">
      <c r="A733" s="314"/>
      <c r="B733" s="695"/>
      <c r="C733" s="696"/>
      <c r="D733" s="312"/>
      <c r="E733" s="314"/>
      <c r="F733" s="314"/>
      <c r="G733" s="314"/>
      <c r="H733" s="314"/>
      <c r="I733" s="318"/>
      <c r="J733" s="314"/>
      <c r="K733" s="314"/>
      <c r="L733" s="314"/>
      <c r="M733" s="314"/>
      <c r="N733" s="314"/>
      <c r="O733" s="314"/>
      <c r="P733" s="318"/>
      <c r="Q733" s="314"/>
      <c r="R733" s="316"/>
      <c r="S733" s="314"/>
      <c r="T733" s="314"/>
      <c r="U733" s="314"/>
      <c r="V733" s="314"/>
      <c r="W733" s="318"/>
      <c r="X733" s="314"/>
      <c r="Y733" s="314"/>
      <c r="Z733" s="697"/>
      <c r="AA733" s="315"/>
      <c r="AB733" s="314"/>
      <c r="AC733" s="314"/>
      <c r="AD733" s="324"/>
      <c r="AE733" s="155"/>
      <c r="AF733" s="155"/>
      <c r="AG733" s="322"/>
      <c r="AH733" s="132"/>
      <c r="AI733" s="132"/>
    </row>
    <row r="734">
      <c r="A734" s="314"/>
      <c r="B734" s="695"/>
      <c r="C734" s="696"/>
      <c r="D734" s="312"/>
      <c r="E734" s="314"/>
      <c r="F734" s="314"/>
      <c r="G734" s="314"/>
      <c r="H734" s="314"/>
      <c r="I734" s="318"/>
      <c r="J734" s="314"/>
      <c r="K734" s="314"/>
      <c r="L734" s="314"/>
      <c r="M734" s="314"/>
      <c r="N734" s="314"/>
      <c r="O734" s="314"/>
      <c r="P734" s="318"/>
      <c r="Q734" s="314"/>
      <c r="R734" s="316"/>
      <c r="S734" s="314"/>
      <c r="T734" s="314"/>
      <c r="U734" s="314"/>
      <c r="V734" s="314"/>
      <c r="W734" s="318"/>
      <c r="X734" s="314"/>
      <c r="Y734" s="314"/>
      <c r="Z734" s="697"/>
      <c r="AA734" s="315"/>
      <c r="AB734" s="314"/>
      <c r="AC734" s="314"/>
      <c r="AD734" s="324"/>
      <c r="AE734" s="155"/>
      <c r="AF734" s="155"/>
      <c r="AG734" s="322"/>
      <c r="AH734" s="132"/>
      <c r="AI734" s="132"/>
    </row>
    <row r="735">
      <c r="A735" s="314"/>
      <c r="B735" s="695"/>
      <c r="C735" s="696"/>
      <c r="D735" s="312"/>
      <c r="E735" s="314"/>
      <c r="F735" s="314"/>
      <c r="G735" s="314"/>
      <c r="H735" s="314"/>
      <c r="I735" s="318"/>
      <c r="J735" s="314"/>
      <c r="K735" s="314"/>
      <c r="L735" s="314"/>
      <c r="M735" s="314"/>
      <c r="N735" s="314"/>
      <c r="O735" s="314"/>
      <c r="P735" s="318"/>
      <c r="Q735" s="314"/>
      <c r="R735" s="316"/>
      <c r="S735" s="314"/>
      <c r="T735" s="314"/>
      <c r="U735" s="314"/>
      <c r="V735" s="314"/>
      <c r="W735" s="318"/>
      <c r="X735" s="314"/>
      <c r="Y735" s="314"/>
      <c r="Z735" s="697"/>
      <c r="AA735" s="315"/>
      <c r="AB735" s="314"/>
      <c r="AC735" s="314"/>
      <c r="AD735" s="324"/>
      <c r="AE735" s="155"/>
      <c r="AF735" s="155"/>
      <c r="AG735" s="322"/>
      <c r="AH735" s="132"/>
      <c r="AI735" s="132"/>
    </row>
    <row r="736">
      <c r="A736" s="314"/>
      <c r="B736" s="695"/>
      <c r="C736" s="696"/>
      <c r="D736" s="312"/>
      <c r="E736" s="314"/>
      <c r="F736" s="314"/>
      <c r="G736" s="314"/>
      <c r="H736" s="314"/>
      <c r="I736" s="318"/>
      <c r="J736" s="314"/>
      <c r="K736" s="314"/>
      <c r="L736" s="314"/>
      <c r="M736" s="314"/>
      <c r="N736" s="314"/>
      <c r="O736" s="314"/>
      <c r="P736" s="318"/>
      <c r="Q736" s="314"/>
      <c r="R736" s="316"/>
      <c r="S736" s="314"/>
      <c r="T736" s="314"/>
      <c r="U736" s="314"/>
      <c r="V736" s="314"/>
      <c r="W736" s="318"/>
      <c r="X736" s="314"/>
      <c r="Y736" s="314"/>
      <c r="Z736" s="697"/>
      <c r="AA736" s="315"/>
      <c r="AB736" s="314"/>
      <c r="AC736" s="314"/>
      <c r="AD736" s="324"/>
      <c r="AE736" s="155"/>
      <c r="AF736" s="155"/>
      <c r="AG736" s="322"/>
      <c r="AH736" s="132"/>
      <c r="AI736" s="132"/>
    </row>
    <row r="737">
      <c r="A737" s="314"/>
      <c r="B737" s="695"/>
      <c r="C737" s="696"/>
      <c r="D737" s="312"/>
      <c r="E737" s="314"/>
      <c r="F737" s="314"/>
      <c r="G737" s="314"/>
      <c r="H737" s="314"/>
      <c r="I737" s="318"/>
      <c r="J737" s="314"/>
      <c r="K737" s="314"/>
      <c r="L737" s="314"/>
      <c r="M737" s="314"/>
      <c r="N737" s="314"/>
      <c r="O737" s="314"/>
      <c r="P737" s="318"/>
      <c r="Q737" s="314"/>
      <c r="R737" s="316"/>
      <c r="S737" s="314"/>
      <c r="T737" s="314"/>
      <c r="U737" s="314"/>
      <c r="V737" s="314"/>
      <c r="W737" s="318"/>
      <c r="X737" s="314"/>
      <c r="Y737" s="314"/>
      <c r="Z737" s="697"/>
      <c r="AA737" s="315"/>
      <c r="AB737" s="314"/>
      <c r="AC737" s="314"/>
      <c r="AD737" s="324"/>
      <c r="AE737" s="155"/>
      <c r="AF737" s="155"/>
      <c r="AG737" s="322"/>
      <c r="AH737" s="132"/>
      <c r="AI737" s="132"/>
    </row>
    <row r="738">
      <c r="A738" s="314"/>
      <c r="B738" s="695"/>
      <c r="C738" s="696"/>
      <c r="D738" s="312"/>
      <c r="E738" s="314"/>
      <c r="F738" s="314"/>
      <c r="G738" s="314"/>
      <c r="H738" s="314"/>
      <c r="I738" s="318"/>
      <c r="J738" s="314"/>
      <c r="K738" s="314"/>
      <c r="L738" s="314"/>
      <c r="M738" s="314"/>
      <c r="N738" s="314"/>
      <c r="O738" s="314"/>
      <c r="P738" s="318"/>
      <c r="Q738" s="314"/>
      <c r="R738" s="316"/>
      <c r="S738" s="314"/>
      <c r="T738" s="314"/>
      <c r="U738" s="314"/>
      <c r="V738" s="314"/>
      <c r="W738" s="318"/>
      <c r="X738" s="314"/>
      <c r="Y738" s="314"/>
      <c r="Z738" s="697"/>
      <c r="AA738" s="315"/>
      <c r="AB738" s="314"/>
      <c r="AC738" s="314"/>
      <c r="AD738" s="324"/>
      <c r="AE738" s="155"/>
      <c r="AF738" s="155"/>
      <c r="AG738" s="322"/>
      <c r="AH738" s="132"/>
      <c r="AI738" s="132"/>
    </row>
    <row r="739">
      <c r="A739" s="314"/>
      <c r="B739" s="695"/>
      <c r="C739" s="696"/>
      <c r="D739" s="312"/>
      <c r="E739" s="314"/>
      <c r="F739" s="314"/>
      <c r="G739" s="314"/>
      <c r="H739" s="314"/>
      <c r="I739" s="318"/>
      <c r="J739" s="314"/>
      <c r="K739" s="314"/>
      <c r="L739" s="314"/>
      <c r="M739" s="314"/>
      <c r="N739" s="314"/>
      <c r="O739" s="314"/>
      <c r="P739" s="318"/>
      <c r="Q739" s="314"/>
      <c r="R739" s="316"/>
      <c r="S739" s="314"/>
      <c r="T739" s="314"/>
      <c r="U739" s="314"/>
      <c r="V739" s="314"/>
      <c r="W739" s="318"/>
      <c r="X739" s="314"/>
      <c r="Y739" s="314"/>
      <c r="Z739" s="697"/>
      <c r="AA739" s="315"/>
      <c r="AB739" s="314"/>
      <c r="AC739" s="314"/>
      <c r="AD739" s="324"/>
      <c r="AE739" s="155"/>
      <c r="AF739" s="155"/>
      <c r="AG739" s="322"/>
      <c r="AH739" s="132"/>
      <c r="AI739" s="132"/>
    </row>
    <row r="740">
      <c r="A740" s="314"/>
      <c r="B740" s="695"/>
      <c r="C740" s="696"/>
      <c r="D740" s="312"/>
      <c r="E740" s="314"/>
      <c r="F740" s="314"/>
      <c r="G740" s="314"/>
      <c r="H740" s="314"/>
      <c r="I740" s="318"/>
      <c r="J740" s="314"/>
      <c r="K740" s="314"/>
      <c r="L740" s="314"/>
      <c r="M740" s="314"/>
      <c r="N740" s="314"/>
      <c r="O740" s="314"/>
      <c r="P740" s="318"/>
      <c r="Q740" s="314"/>
      <c r="R740" s="316"/>
      <c r="S740" s="314"/>
      <c r="T740" s="314"/>
      <c r="U740" s="314"/>
      <c r="V740" s="314"/>
      <c r="W740" s="318"/>
      <c r="X740" s="314"/>
      <c r="Y740" s="314"/>
      <c r="Z740" s="697"/>
      <c r="AA740" s="315"/>
      <c r="AB740" s="314"/>
      <c r="AC740" s="314"/>
      <c r="AD740" s="324"/>
      <c r="AE740" s="155"/>
      <c r="AF740" s="155"/>
      <c r="AG740" s="322"/>
      <c r="AH740" s="132"/>
      <c r="AI740" s="132"/>
    </row>
    <row r="741">
      <c r="A741" s="314"/>
      <c r="B741" s="695"/>
      <c r="C741" s="696"/>
      <c r="D741" s="312"/>
      <c r="E741" s="314"/>
      <c r="F741" s="314"/>
      <c r="G741" s="314"/>
      <c r="H741" s="314"/>
      <c r="I741" s="318"/>
      <c r="J741" s="314"/>
      <c r="K741" s="314"/>
      <c r="L741" s="314"/>
      <c r="M741" s="314"/>
      <c r="N741" s="314"/>
      <c r="O741" s="314"/>
      <c r="P741" s="318"/>
      <c r="Q741" s="314"/>
      <c r="R741" s="316"/>
      <c r="S741" s="314"/>
      <c r="T741" s="314"/>
      <c r="U741" s="314"/>
      <c r="V741" s="314"/>
      <c r="W741" s="318"/>
      <c r="X741" s="314"/>
      <c r="Y741" s="314"/>
      <c r="Z741" s="697"/>
      <c r="AA741" s="315"/>
      <c r="AB741" s="314"/>
      <c r="AC741" s="314"/>
      <c r="AD741" s="324"/>
      <c r="AE741" s="155"/>
      <c r="AF741" s="155"/>
      <c r="AG741" s="322"/>
      <c r="AH741" s="132"/>
      <c r="AI741" s="132"/>
    </row>
    <row r="742">
      <c r="A742" s="314"/>
      <c r="B742" s="695"/>
      <c r="C742" s="696"/>
      <c r="D742" s="312"/>
      <c r="E742" s="314"/>
      <c r="F742" s="314"/>
      <c r="G742" s="314"/>
      <c r="H742" s="314"/>
      <c r="I742" s="318"/>
      <c r="J742" s="314"/>
      <c r="K742" s="314"/>
      <c r="L742" s="314"/>
      <c r="M742" s="314"/>
      <c r="N742" s="314"/>
      <c r="O742" s="314"/>
      <c r="P742" s="318"/>
      <c r="Q742" s="314"/>
      <c r="R742" s="316"/>
      <c r="S742" s="314"/>
      <c r="T742" s="314"/>
      <c r="U742" s="314"/>
      <c r="V742" s="314"/>
      <c r="W742" s="318"/>
      <c r="X742" s="314"/>
      <c r="Y742" s="314"/>
      <c r="Z742" s="697"/>
      <c r="AA742" s="315"/>
      <c r="AB742" s="314"/>
      <c r="AC742" s="314"/>
      <c r="AD742" s="324"/>
      <c r="AE742" s="155"/>
      <c r="AF742" s="155"/>
      <c r="AG742" s="322"/>
      <c r="AH742" s="132"/>
      <c r="AI742" s="132"/>
    </row>
    <row r="743">
      <c r="A743" s="314"/>
      <c r="B743" s="695"/>
      <c r="C743" s="696"/>
      <c r="D743" s="312"/>
      <c r="E743" s="314"/>
      <c r="F743" s="314"/>
      <c r="G743" s="314"/>
      <c r="H743" s="314"/>
      <c r="I743" s="318"/>
      <c r="J743" s="314"/>
      <c r="K743" s="314"/>
      <c r="L743" s="314"/>
      <c r="M743" s="314"/>
      <c r="N743" s="314"/>
      <c r="O743" s="314"/>
      <c r="P743" s="318"/>
      <c r="Q743" s="314"/>
      <c r="R743" s="316"/>
      <c r="S743" s="314"/>
      <c r="T743" s="314"/>
      <c r="U743" s="314"/>
      <c r="V743" s="314"/>
      <c r="W743" s="318"/>
      <c r="X743" s="314"/>
      <c r="Y743" s="314"/>
      <c r="Z743" s="697"/>
      <c r="AA743" s="315"/>
      <c r="AB743" s="314"/>
      <c r="AC743" s="314"/>
      <c r="AD743" s="324"/>
      <c r="AE743" s="155"/>
      <c r="AF743" s="155"/>
      <c r="AG743" s="322"/>
      <c r="AH743" s="132"/>
      <c r="AI743" s="132"/>
    </row>
    <row r="744">
      <c r="A744" s="314"/>
      <c r="B744" s="695"/>
      <c r="C744" s="696"/>
      <c r="D744" s="312"/>
      <c r="E744" s="314"/>
      <c r="F744" s="314"/>
      <c r="G744" s="314"/>
      <c r="H744" s="314"/>
      <c r="I744" s="318"/>
      <c r="J744" s="314"/>
      <c r="K744" s="314"/>
      <c r="L744" s="314"/>
      <c r="M744" s="314"/>
      <c r="N744" s="314"/>
      <c r="O744" s="314"/>
      <c r="P744" s="318"/>
      <c r="Q744" s="314"/>
      <c r="R744" s="316"/>
      <c r="S744" s="314"/>
      <c r="T744" s="314"/>
      <c r="U744" s="314"/>
      <c r="V744" s="314"/>
      <c r="W744" s="318"/>
      <c r="X744" s="314"/>
      <c r="Y744" s="314"/>
      <c r="Z744" s="697"/>
      <c r="AA744" s="315"/>
      <c r="AB744" s="314"/>
      <c r="AC744" s="314"/>
      <c r="AD744" s="324"/>
      <c r="AE744" s="155"/>
      <c r="AF744" s="155"/>
      <c r="AG744" s="322"/>
      <c r="AH744" s="132"/>
      <c r="AI744" s="132"/>
    </row>
    <row r="745">
      <c r="A745" s="314"/>
      <c r="B745" s="695"/>
      <c r="C745" s="696"/>
      <c r="D745" s="312"/>
      <c r="E745" s="314"/>
      <c r="F745" s="314"/>
      <c r="G745" s="314"/>
      <c r="H745" s="314"/>
      <c r="I745" s="318"/>
      <c r="J745" s="314"/>
      <c r="K745" s="314"/>
      <c r="L745" s="314"/>
      <c r="M745" s="314"/>
      <c r="N745" s="314"/>
      <c r="O745" s="314"/>
      <c r="P745" s="318"/>
      <c r="Q745" s="314"/>
      <c r="R745" s="316"/>
      <c r="S745" s="314"/>
      <c r="T745" s="314"/>
      <c r="U745" s="314"/>
      <c r="V745" s="314"/>
      <c r="W745" s="318"/>
      <c r="X745" s="314"/>
      <c r="Y745" s="314"/>
      <c r="Z745" s="697"/>
      <c r="AA745" s="315"/>
      <c r="AB745" s="314"/>
      <c r="AC745" s="314"/>
      <c r="AD745" s="324"/>
      <c r="AE745" s="155"/>
      <c r="AF745" s="155"/>
      <c r="AG745" s="322"/>
      <c r="AH745" s="132"/>
      <c r="AI745" s="132"/>
    </row>
    <row r="746">
      <c r="A746" s="314"/>
      <c r="B746" s="695"/>
      <c r="C746" s="696"/>
      <c r="D746" s="312"/>
      <c r="E746" s="314"/>
      <c r="F746" s="314"/>
      <c r="G746" s="314"/>
      <c r="H746" s="314"/>
      <c r="I746" s="318"/>
      <c r="J746" s="314"/>
      <c r="K746" s="314"/>
      <c r="L746" s="314"/>
      <c r="M746" s="314"/>
      <c r="N746" s="314"/>
      <c r="O746" s="314"/>
      <c r="P746" s="318"/>
      <c r="Q746" s="314"/>
      <c r="R746" s="316"/>
      <c r="S746" s="314"/>
      <c r="T746" s="314"/>
      <c r="U746" s="314"/>
      <c r="V746" s="314"/>
      <c r="W746" s="318"/>
      <c r="X746" s="314"/>
      <c r="Y746" s="314"/>
      <c r="Z746" s="697"/>
      <c r="AA746" s="315"/>
      <c r="AB746" s="314"/>
      <c r="AC746" s="314"/>
      <c r="AD746" s="324"/>
      <c r="AE746" s="155"/>
      <c r="AF746" s="155"/>
      <c r="AG746" s="322"/>
      <c r="AH746" s="132"/>
      <c r="AI746" s="132"/>
    </row>
    <row r="747">
      <c r="A747" s="314"/>
      <c r="B747" s="695"/>
      <c r="C747" s="696"/>
      <c r="D747" s="312"/>
      <c r="E747" s="314"/>
      <c r="F747" s="314"/>
      <c r="G747" s="314"/>
      <c r="H747" s="314"/>
      <c r="I747" s="318"/>
      <c r="J747" s="314"/>
      <c r="K747" s="314"/>
      <c r="L747" s="314"/>
      <c r="M747" s="314"/>
      <c r="N747" s="314"/>
      <c r="O747" s="314"/>
      <c r="P747" s="318"/>
      <c r="Q747" s="314"/>
      <c r="R747" s="316"/>
      <c r="S747" s="314"/>
      <c r="T747" s="314"/>
      <c r="U747" s="314"/>
      <c r="V747" s="314"/>
      <c r="W747" s="318"/>
      <c r="X747" s="314"/>
      <c r="Y747" s="314"/>
      <c r="Z747" s="697"/>
      <c r="AA747" s="315"/>
      <c r="AB747" s="314"/>
      <c r="AC747" s="314"/>
      <c r="AD747" s="324"/>
      <c r="AE747" s="155"/>
      <c r="AF747" s="155"/>
      <c r="AG747" s="322"/>
      <c r="AH747" s="132"/>
      <c r="AI747" s="132"/>
    </row>
    <row r="748">
      <c r="A748" s="314"/>
      <c r="B748" s="695"/>
      <c r="C748" s="696"/>
      <c r="D748" s="312"/>
      <c r="E748" s="314"/>
      <c r="F748" s="314"/>
      <c r="G748" s="314"/>
      <c r="H748" s="314"/>
      <c r="I748" s="318"/>
      <c r="J748" s="314"/>
      <c r="K748" s="314"/>
      <c r="L748" s="314"/>
      <c r="M748" s="314"/>
      <c r="N748" s="314"/>
      <c r="O748" s="314"/>
      <c r="P748" s="318"/>
      <c r="Q748" s="314"/>
      <c r="R748" s="316"/>
      <c r="S748" s="314"/>
      <c r="T748" s="314"/>
      <c r="U748" s="314"/>
      <c r="V748" s="314"/>
      <c r="W748" s="318"/>
      <c r="X748" s="314"/>
      <c r="Y748" s="314"/>
      <c r="Z748" s="697"/>
      <c r="AA748" s="315"/>
      <c r="AB748" s="314"/>
      <c r="AC748" s="314"/>
      <c r="AD748" s="324"/>
      <c r="AE748" s="155"/>
      <c r="AF748" s="155"/>
      <c r="AG748" s="322"/>
      <c r="AH748" s="132"/>
      <c r="AI748" s="132"/>
    </row>
    <row r="749">
      <c r="A749" s="314"/>
      <c r="B749" s="695"/>
      <c r="C749" s="696"/>
      <c r="D749" s="312"/>
      <c r="E749" s="314"/>
      <c r="F749" s="314"/>
      <c r="G749" s="314"/>
      <c r="H749" s="314"/>
      <c r="I749" s="318"/>
      <c r="J749" s="314"/>
      <c r="K749" s="314"/>
      <c r="L749" s="314"/>
      <c r="M749" s="314"/>
      <c r="N749" s="314"/>
      <c r="O749" s="314"/>
      <c r="P749" s="318"/>
      <c r="Q749" s="314"/>
      <c r="R749" s="316"/>
      <c r="S749" s="314"/>
      <c r="T749" s="314"/>
      <c r="U749" s="314"/>
      <c r="V749" s="314"/>
      <c r="W749" s="318"/>
      <c r="X749" s="314"/>
      <c r="Y749" s="314"/>
      <c r="Z749" s="697"/>
      <c r="AA749" s="315"/>
      <c r="AB749" s="314"/>
      <c r="AC749" s="314"/>
      <c r="AD749" s="324"/>
      <c r="AE749" s="155"/>
      <c r="AF749" s="155"/>
      <c r="AG749" s="322"/>
      <c r="AH749" s="132"/>
      <c r="AI749" s="132"/>
    </row>
    <row r="750">
      <c r="A750" s="314"/>
      <c r="B750" s="695"/>
      <c r="C750" s="696"/>
      <c r="D750" s="312"/>
      <c r="E750" s="314"/>
      <c r="F750" s="314"/>
      <c r="G750" s="314"/>
      <c r="H750" s="314"/>
      <c r="I750" s="318"/>
      <c r="J750" s="314"/>
      <c r="K750" s="314"/>
      <c r="L750" s="314"/>
      <c r="M750" s="314"/>
      <c r="N750" s="314"/>
      <c r="O750" s="314"/>
      <c r="P750" s="318"/>
      <c r="Q750" s="314"/>
      <c r="R750" s="316"/>
      <c r="S750" s="314"/>
      <c r="T750" s="314"/>
      <c r="U750" s="314"/>
      <c r="V750" s="314"/>
      <c r="W750" s="318"/>
      <c r="X750" s="314"/>
      <c r="Y750" s="314"/>
      <c r="Z750" s="697"/>
      <c r="AA750" s="315"/>
      <c r="AB750" s="314"/>
      <c r="AC750" s="314"/>
      <c r="AD750" s="324"/>
      <c r="AE750" s="155"/>
      <c r="AF750" s="155"/>
      <c r="AG750" s="322"/>
      <c r="AH750" s="132"/>
      <c r="AI750" s="132"/>
    </row>
    <row r="751">
      <c r="A751" s="314"/>
      <c r="B751" s="695"/>
      <c r="C751" s="696"/>
      <c r="D751" s="312"/>
      <c r="E751" s="314"/>
      <c r="F751" s="314"/>
      <c r="G751" s="314"/>
      <c r="H751" s="314"/>
      <c r="I751" s="318"/>
      <c r="J751" s="314"/>
      <c r="K751" s="314"/>
      <c r="L751" s="314"/>
      <c r="M751" s="314"/>
      <c r="N751" s="314"/>
      <c r="O751" s="314"/>
      <c r="P751" s="318"/>
      <c r="Q751" s="314"/>
      <c r="R751" s="316"/>
      <c r="S751" s="314"/>
      <c r="T751" s="314"/>
      <c r="U751" s="314"/>
      <c r="V751" s="314"/>
      <c r="W751" s="318"/>
      <c r="X751" s="314"/>
      <c r="Y751" s="314"/>
      <c r="Z751" s="697"/>
      <c r="AA751" s="315"/>
      <c r="AB751" s="314"/>
      <c r="AC751" s="314"/>
      <c r="AD751" s="324"/>
      <c r="AE751" s="155"/>
      <c r="AF751" s="155"/>
      <c r="AG751" s="322"/>
      <c r="AH751" s="132"/>
      <c r="AI751" s="132"/>
    </row>
    <row r="752">
      <c r="A752" s="314"/>
      <c r="B752" s="695"/>
      <c r="C752" s="696"/>
      <c r="D752" s="312"/>
      <c r="E752" s="314"/>
      <c r="F752" s="314"/>
      <c r="G752" s="314"/>
      <c r="H752" s="314"/>
      <c r="I752" s="318"/>
      <c r="J752" s="314"/>
      <c r="K752" s="314"/>
      <c r="L752" s="314"/>
      <c r="M752" s="314"/>
      <c r="N752" s="314"/>
      <c r="O752" s="314"/>
      <c r="P752" s="318"/>
      <c r="Q752" s="314"/>
      <c r="R752" s="316"/>
      <c r="S752" s="314"/>
      <c r="T752" s="314"/>
      <c r="U752" s="314"/>
      <c r="V752" s="314"/>
      <c r="W752" s="318"/>
      <c r="X752" s="314"/>
      <c r="Y752" s="314"/>
      <c r="Z752" s="697"/>
      <c r="AA752" s="315"/>
      <c r="AB752" s="314"/>
      <c r="AC752" s="314"/>
      <c r="AD752" s="324"/>
      <c r="AE752" s="155"/>
      <c r="AF752" s="155"/>
      <c r="AG752" s="322"/>
      <c r="AH752" s="132"/>
      <c r="AI752" s="132"/>
    </row>
    <row r="753">
      <c r="A753" s="314"/>
      <c r="B753" s="695"/>
      <c r="C753" s="696"/>
      <c r="D753" s="312"/>
      <c r="E753" s="314"/>
      <c r="F753" s="314"/>
      <c r="G753" s="314"/>
      <c r="H753" s="314"/>
      <c r="I753" s="318"/>
      <c r="J753" s="314"/>
      <c r="K753" s="314"/>
      <c r="L753" s="314"/>
      <c r="M753" s="314"/>
      <c r="N753" s="314"/>
      <c r="O753" s="314"/>
      <c r="P753" s="318"/>
      <c r="Q753" s="314"/>
      <c r="R753" s="316"/>
      <c r="S753" s="314"/>
      <c r="T753" s="314"/>
      <c r="U753" s="314"/>
      <c r="V753" s="314"/>
      <c r="W753" s="318"/>
      <c r="X753" s="314"/>
      <c r="Y753" s="314"/>
      <c r="Z753" s="697"/>
      <c r="AA753" s="315"/>
      <c r="AB753" s="314"/>
      <c r="AC753" s="314"/>
      <c r="AD753" s="324"/>
      <c r="AE753" s="155"/>
      <c r="AF753" s="155"/>
      <c r="AG753" s="322"/>
      <c r="AH753" s="132"/>
      <c r="AI753" s="132"/>
    </row>
    <row r="754">
      <c r="A754" s="314"/>
      <c r="B754" s="695"/>
      <c r="C754" s="696"/>
      <c r="D754" s="312"/>
      <c r="E754" s="314"/>
      <c r="F754" s="314"/>
      <c r="G754" s="314"/>
      <c r="H754" s="314"/>
      <c r="I754" s="318"/>
      <c r="J754" s="314"/>
      <c r="K754" s="314"/>
      <c r="L754" s="314"/>
      <c r="M754" s="314"/>
      <c r="N754" s="314"/>
      <c r="O754" s="314"/>
      <c r="P754" s="318"/>
      <c r="Q754" s="314"/>
      <c r="R754" s="316"/>
      <c r="S754" s="314"/>
      <c r="T754" s="314"/>
      <c r="U754" s="314"/>
      <c r="V754" s="314"/>
      <c r="W754" s="318"/>
      <c r="X754" s="314"/>
      <c r="Y754" s="314"/>
      <c r="Z754" s="697"/>
      <c r="AA754" s="315"/>
      <c r="AB754" s="314"/>
      <c r="AC754" s="314"/>
      <c r="AD754" s="324"/>
      <c r="AE754" s="155"/>
      <c r="AF754" s="155"/>
      <c r="AG754" s="322"/>
      <c r="AH754" s="132"/>
      <c r="AI754" s="132"/>
    </row>
    <row r="755">
      <c r="A755" s="314"/>
      <c r="B755" s="695"/>
      <c r="C755" s="696"/>
      <c r="D755" s="312"/>
      <c r="E755" s="314"/>
      <c r="F755" s="314"/>
      <c r="G755" s="314"/>
      <c r="H755" s="314"/>
      <c r="I755" s="318"/>
      <c r="J755" s="314"/>
      <c r="K755" s="314"/>
      <c r="L755" s="314"/>
      <c r="M755" s="314"/>
      <c r="N755" s="314"/>
      <c r="O755" s="314"/>
      <c r="P755" s="318"/>
      <c r="Q755" s="314"/>
      <c r="R755" s="316"/>
      <c r="S755" s="314"/>
      <c r="T755" s="314"/>
      <c r="U755" s="314"/>
      <c r="V755" s="314"/>
      <c r="W755" s="318"/>
      <c r="X755" s="314"/>
      <c r="Y755" s="314"/>
      <c r="Z755" s="697"/>
      <c r="AA755" s="315"/>
      <c r="AB755" s="314"/>
      <c r="AC755" s="314"/>
      <c r="AD755" s="324"/>
      <c r="AE755" s="155"/>
      <c r="AF755" s="155"/>
      <c r="AG755" s="322"/>
      <c r="AH755" s="132"/>
      <c r="AI755" s="132"/>
    </row>
    <row r="756">
      <c r="A756" s="314"/>
      <c r="B756" s="695"/>
      <c r="C756" s="696"/>
      <c r="D756" s="312"/>
      <c r="E756" s="314"/>
      <c r="F756" s="314"/>
      <c r="G756" s="314"/>
      <c r="H756" s="314"/>
      <c r="I756" s="318"/>
      <c r="J756" s="314"/>
      <c r="K756" s="314"/>
      <c r="L756" s="314"/>
      <c r="M756" s="314"/>
      <c r="N756" s="314"/>
      <c r="O756" s="314"/>
      <c r="P756" s="318"/>
      <c r="Q756" s="314"/>
      <c r="R756" s="316"/>
      <c r="S756" s="314"/>
      <c r="T756" s="314"/>
      <c r="U756" s="314"/>
      <c r="V756" s="314"/>
      <c r="W756" s="318"/>
      <c r="X756" s="314"/>
      <c r="Y756" s="314"/>
      <c r="Z756" s="697"/>
      <c r="AA756" s="315"/>
      <c r="AB756" s="314"/>
      <c r="AC756" s="314"/>
      <c r="AD756" s="324"/>
      <c r="AE756" s="155"/>
      <c r="AF756" s="155"/>
      <c r="AG756" s="322"/>
      <c r="AH756" s="132"/>
      <c r="AI756" s="132"/>
    </row>
    <row r="757">
      <c r="A757" s="314"/>
      <c r="B757" s="695"/>
      <c r="C757" s="696"/>
      <c r="D757" s="312"/>
      <c r="E757" s="314"/>
      <c r="F757" s="314"/>
      <c r="G757" s="314"/>
      <c r="H757" s="314"/>
      <c r="I757" s="318"/>
      <c r="J757" s="314"/>
      <c r="K757" s="314"/>
      <c r="L757" s="314"/>
      <c r="M757" s="314"/>
      <c r="N757" s="314"/>
      <c r="O757" s="314"/>
      <c r="P757" s="318"/>
      <c r="Q757" s="314"/>
      <c r="R757" s="316"/>
      <c r="S757" s="314"/>
      <c r="T757" s="314"/>
      <c r="U757" s="314"/>
      <c r="V757" s="314"/>
      <c r="W757" s="318"/>
      <c r="X757" s="314"/>
      <c r="Y757" s="314"/>
      <c r="Z757" s="697"/>
      <c r="AA757" s="315"/>
      <c r="AB757" s="314"/>
      <c r="AC757" s="314"/>
      <c r="AD757" s="324"/>
      <c r="AE757" s="155"/>
      <c r="AF757" s="155"/>
      <c r="AG757" s="322"/>
      <c r="AH757" s="132"/>
      <c r="AI757" s="132"/>
    </row>
    <row r="758">
      <c r="A758" s="314"/>
      <c r="B758" s="695"/>
      <c r="C758" s="696"/>
      <c r="D758" s="312"/>
      <c r="E758" s="314"/>
      <c r="F758" s="314"/>
      <c r="G758" s="314"/>
      <c r="H758" s="314"/>
      <c r="I758" s="318"/>
      <c r="J758" s="314"/>
      <c r="K758" s="314"/>
      <c r="L758" s="314"/>
      <c r="M758" s="314"/>
      <c r="N758" s="314"/>
      <c r="O758" s="314"/>
      <c r="P758" s="318"/>
      <c r="Q758" s="314"/>
      <c r="R758" s="316"/>
      <c r="S758" s="314"/>
      <c r="T758" s="314"/>
      <c r="U758" s="314"/>
      <c r="V758" s="314"/>
      <c r="W758" s="318"/>
      <c r="X758" s="314"/>
      <c r="Y758" s="314"/>
      <c r="Z758" s="697"/>
      <c r="AA758" s="315"/>
      <c r="AB758" s="314"/>
      <c r="AC758" s="314"/>
      <c r="AD758" s="324"/>
      <c r="AE758" s="155"/>
      <c r="AF758" s="155"/>
      <c r="AG758" s="322"/>
      <c r="AH758" s="132"/>
      <c r="AI758" s="132"/>
    </row>
    <row r="759">
      <c r="A759" s="314"/>
      <c r="B759" s="695"/>
      <c r="C759" s="696"/>
      <c r="D759" s="312"/>
      <c r="E759" s="314"/>
      <c r="F759" s="314"/>
      <c r="G759" s="314"/>
      <c r="H759" s="314"/>
      <c r="I759" s="318"/>
      <c r="J759" s="314"/>
      <c r="K759" s="314"/>
      <c r="L759" s="314"/>
      <c r="M759" s="314"/>
      <c r="N759" s="314"/>
      <c r="O759" s="314"/>
      <c r="P759" s="318"/>
      <c r="Q759" s="314"/>
      <c r="R759" s="316"/>
      <c r="S759" s="314"/>
      <c r="T759" s="314"/>
      <c r="U759" s="314"/>
      <c r="V759" s="314"/>
      <c r="W759" s="318"/>
      <c r="X759" s="314"/>
      <c r="Y759" s="314"/>
      <c r="Z759" s="697"/>
      <c r="AA759" s="315"/>
      <c r="AB759" s="314"/>
      <c r="AC759" s="314"/>
      <c r="AD759" s="324"/>
      <c r="AE759" s="155"/>
      <c r="AF759" s="155"/>
      <c r="AG759" s="322"/>
      <c r="AH759" s="132"/>
      <c r="AI759" s="132"/>
    </row>
    <row r="760">
      <c r="A760" s="314"/>
      <c r="B760" s="695"/>
      <c r="C760" s="696"/>
      <c r="D760" s="312"/>
      <c r="E760" s="314"/>
      <c r="F760" s="314"/>
      <c r="G760" s="314"/>
      <c r="H760" s="314"/>
      <c r="I760" s="318"/>
      <c r="J760" s="314"/>
      <c r="K760" s="314"/>
      <c r="L760" s="314"/>
      <c r="M760" s="314"/>
      <c r="N760" s="314"/>
      <c r="O760" s="314"/>
      <c r="P760" s="318"/>
      <c r="Q760" s="314"/>
      <c r="R760" s="316"/>
      <c r="S760" s="314"/>
      <c r="T760" s="314"/>
      <c r="U760" s="314"/>
      <c r="V760" s="314"/>
      <c r="W760" s="318"/>
      <c r="X760" s="314"/>
      <c r="Y760" s="314"/>
      <c r="Z760" s="697"/>
      <c r="AA760" s="315"/>
      <c r="AB760" s="314"/>
      <c r="AC760" s="314"/>
      <c r="AD760" s="324"/>
      <c r="AE760" s="155"/>
      <c r="AF760" s="155"/>
      <c r="AG760" s="322"/>
      <c r="AH760" s="132"/>
      <c r="AI760" s="132"/>
    </row>
    <row r="761">
      <c r="A761" s="314"/>
      <c r="B761" s="695"/>
      <c r="C761" s="696"/>
      <c r="D761" s="312"/>
      <c r="E761" s="314"/>
      <c r="F761" s="314"/>
      <c r="G761" s="314"/>
      <c r="H761" s="314"/>
      <c r="I761" s="318"/>
      <c r="J761" s="314"/>
      <c r="K761" s="314"/>
      <c r="L761" s="314"/>
      <c r="M761" s="314"/>
      <c r="N761" s="314"/>
      <c r="O761" s="314"/>
      <c r="P761" s="318"/>
      <c r="Q761" s="314"/>
      <c r="R761" s="316"/>
      <c r="S761" s="314"/>
      <c r="T761" s="314"/>
      <c r="U761" s="314"/>
      <c r="V761" s="314"/>
      <c r="W761" s="318"/>
      <c r="X761" s="314"/>
      <c r="Y761" s="314"/>
      <c r="Z761" s="697"/>
      <c r="AA761" s="315"/>
      <c r="AB761" s="314"/>
      <c r="AC761" s="314"/>
      <c r="AD761" s="324"/>
      <c r="AE761" s="155"/>
      <c r="AF761" s="155"/>
      <c r="AG761" s="322"/>
      <c r="AH761" s="132"/>
      <c r="AI761" s="132"/>
    </row>
    <row r="762">
      <c r="A762" s="314"/>
      <c r="B762" s="695"/>
      <c r="C762" s="696"/>
      <c r="D762" s="312"/>
      <c r="E762" s="314"/>
      <c r="F762" s="314"/>
      <c r="G762" s="314"/>
      <c r="H762" s="314"/>
      <c r="I762" s="318"/>
      <c r="J762" s="314"/>
      <c r="K762" s="314"/>
      <c r="L762" s="314"/>
      <c r="M762" s="314"/>
      <c r="N762" s="314"/>
      <c r="O762" s="314"/>
      <c r="P762" s="318"/>
      <c r="Q762" s="314"/>
      <c r="R762" s="316"/>
      <c r="S762" s="314"/>
      <c r="T762" s="314"/>
      <c r="U762" s="314"/>
      <c r="V762" s="314"/>
      <c r="W762" s="318"/>
      <c r="X762" s="314"/>
      <c r="Y762" s="314"/>
      <c r="Z762" s="697"/>
      <c r="AA762" s="315"/>
      <c r="AB762" s="314"/>
      <c r="AC762" s="314"/>
      <c r="AD762" s="324"/>
      <c r="AE762" s="155"/>
      <c r="AF762" s="155"/>
      <c r="AG762" s="322"/>
      <c r="AH762" s="132"/>
      <c r="AI762" s="132"/>
    </row>
    <row r="763">
      <c r="A763" s="314"/>
      <c r="B763" s="695"/>
      <c r="C763" s="696"/>
      <c r="D763" s="312"/>
      <c r="E763" s="314"/>
      <c r="F763" s="314"/>
      <c r="G763" s="314"/>
      <c r="H763" s="314"/>
      <c r="I763" s="318"/>
      <c r="J763" s="314"/>
      <c r="K763" s="314"/>
      <c r="L763" s="314"/>
      <c r="M763" s="314"/>
      <c r="N763" s="314"/>
      <c r="O763" s="314"/>
      <c r="P763" s="318"/>
      <c r="Q763" s="314"/>
      <c r="R763" s="316"/>
      <c r="S763" s="314"/>
      <c r="T763" s="314"/>
      <c r="U763" s="314"/>
      <c r="V763" s="314"/>
      <c r="W763" s="318"/>
      <c r="X763" s="314"/>
      <c r="Y763" s="314"/>
      <c r="Z763" s="697"/>
      <c r="AA763" s="315"/>
      <c r="AB763" s="314"/>
      <c r="AC763" s="314"/>
      <c r="AD763" s="324"/>
      <c r="AE763" s="155"/>
      <c r="AF763" s="155"/>
      <c r="AG763" s="322"/>
      <c r="AH763" s="132"/>
      <c r="AI763" s="132"/>
    </row>
    <row r="764">
      <c r="A764" s="314"/>
      <c r="B764" s="695"/>
      <c r="C764" s="696"/>
      <c r="D764" s="312"/>
      <c r="E764" s="314"/>
      <c r="F764" s="314"/>
      <c r="G764" s="314"/>
      <c r="H764" s="314"/>
      <c r="I764" s="318"/>
      <c r="J764" s="314"/>
      <c r="K764" s="314"/>
      <c r="L764" s="314"/>
      <c r="M764" s="314"/>
      <c r="N764" s="314"/>
      <c r="O764" s="314"/>
      <c r="P764" s="318"/>
      <c r="Q764" s="314"/>
      <c r="R764" s="316"/>
      <c r="S764" s="314"/>
      <c r="T764" s="314"/>
      <c r="U764" s="314"/>
      <c r="V764" s="314"/>
      <c r="W764" s="318"/>
      <c r="X764" s="314"/>
      <c r="Y764" s="314"/>
      <c r="Z764" s="697"/>
      <c r="AA764" s="315"/>
      <c r="AB764" s="314"/>
      <c r="AC764" s="314"/>
      <c r="AD764" s="324"/>
      <c r="AE764" s="155"/>
      <c r="AF764" s="155"/>
      <c r="AG764" s="322"/>
      <c r="AH764" s="132"/>
      <c r="AI764" s="132"/>
    </row>
    <row r="765">
      <c r="A765" s="314"/>
      <c r="B765" s="695"/>
      <c r="C765" s="696"/>
      <c r="D765" s="312"/>
      <c r="E765" s="314"/>
      <c r="F765" s="314"/>
      <c r="G765" s="314"/>
      <c r="H765" s="314"/>
      <c r="I765" s="318"/>
      <c r="J765" s="314"/>
      <c r="K765" s="314"/>
      <c r="L765" s="314"/>
      <c r="M765" s="314"/>
      <c r="N765" s="314"/>
      <c r="O765" s="314"/>
      <c r="P765" s="318"/>
      <c r="Q765" s="314"/>
      <c r="R765" s="316"/>
      <c r="S765" s="314"/>
      <c r="T765" s="314"/>
      <c r="U765" s="314"/>
      <c r="V765" s="314"/>
      <c r="W765" s="318"/>
      <c r="X765" s="314"/>
      <c r="Y765" s="314"/>
      <c r="Z765" s="697"/>
      <c r="AA765" s="315"/>
      <c r="AB765" s="314"/>
      <c r="AC765" s="314"/>
      <c r="AD765" s="324"/>
      <c r="AE765" s="155"/>
      <c r="AF765" s="155"/>
      <c r="AG765" s="322"/>
      <c r="AH765" s="132"/>
      <c r="AI765" s="132"/>
    </row>
    <row r="766">
      <c r="A766" s="314"/>
      <c r="B766" s="695"/>
      <c r="C766" s="696"/>
      <c r="D766" s="312"/>
      <c r="E766" s="314"/>
      <c r="F766" s="314"/>
      <c r="G766" s="314"/>
      <c r="H766" s="314"/>
      <c r="I766" s="318"/>
      <c r="J766" s="314"/>
      <c r="K766" s="314"/>
      <c r="L766" s="314"/>
      <c r="M766" s="314"/>
      <c r="N766" s="314"/>
      <c r="O766" s="314"/>
      <c r="P766" s="318"/>
      <c r="Q766" s="314"/>
      <c r="R766" s="316"/>
      <c r="S766" s="314"/>
      <c r="T766" s="314"/>
      <c r="U766" s="314"/>
      <c r="V766" s="314"/>
      <c r="W766" s="318"/>
      <c r="X766" s="314"/>
      <c r="Y766" s="314"/>
      <c r="Z766" s="697"/>
      <c r="AA766" s="315"/>
      <c r="AB766" s="314"/>
      <c r="AC766" s="314"/>
      <c r="AD766" s="324"/>
      <c r="AE766" s="155"/>
      <c r="AF766" s="155"/>
      <c r="AG766" s="322"/>
      <c r="AH766" s="132"/>
      <c r="AI766" s="132"/>
    </row>
    <row r="767">
      <c r="A767" s="314"/>
      <c r="B767" s="695"/>
      <c r="C767" s="696"/>
      <c r="D767" s="312"/>
      <c r="E767" s="314"/>
      <c r="F767" s="314"/>
      <c r="G767" s="314"/>
      <c r="H767" s="314"/>
      <c r="I767" s="318"/>
      <c r="J767" s="314"/>
      <c r="K767" s="314"/>
      <c r="L767" s="314"/>
      <c r="M767" s="314"/>
      <c r="N767" s="314"/>
      <c r="O767" s="314"/>
      <c r="P767" s="318"/>
      <c r="Q767" s="314"/>
      <c r="R767" s="316"/>
      <c r="S767" s="314"/>
      <c r="T767" s="314"/>
      <c r="U767" s="314"/>
      <c r="V767" s="314"/>
      <c r="W767" s="318"/>
      <c r="X767" s="314"/>
      <c r="Y767" s="314"/>
      <c r="Z767" s="697"/>
      <c r="AA767" s="315"/>
      <c r="AB767" s="314"/>
      <c r="AC767" s="314"/>
      <c r="AD767" s="324"/>
      <c r="AE767" s="155"/>
      <c r="AF767" s="155"/>
      <c r="AG767" s="322"/>
      <c r="AH767" s="132"/>
      <c r="AI767" s="132"/>
    </row>
    <row r="768">
      <c r="A768" s="314"/>
      <c r="B768" s="695"/>
      <c r="C768" s="696"/>
      <c r="D768" s="312"/>
      <c r="E768" s="314"/>
      <c r="F768" s="314"/>
      <c r="G768" s="314"/>
      <c r="H768" s="314"/>
      <c r="I768" s="318"/>
      <c r="J768" s="314"/>
      <c r="K768" s="314"/>
      <c r="L768" s="314"/>
      <c r="M768" s="314"/>
      <c r="N768" s="314"/>
      <c r="O768" s="314"/>
      <c r="P768" s="318"/>
      <c r="Q768" s="314"/>
      <c r="R768" s="316"/>
      <c r="S768" s="314"/>
      <c r="T768" s="314"/>
      <c r="U768" s="314"/>
      <c r="V768" s="314"/>
      <c r="W768" s="318"/>
      <c r="X768" s="314"/>
      <c r="Y768" s="314"/>
      <c r="Z768" s="697"/>
      <c r="AA768" s="315"/>
      <c r="AB768" s="314"/>
      <c r="AC768" s="314"/>
      <c r="AD768" s="324"/>
      <c r="AE768" s="155"/>
      <c r="AF768" s="155"/>
      <c r="AG768" s="322"/>
      <c r="AH768" s="132"/>
      <c r="AI768" s="132"/>
    </row>
    <row r="769">
      <c r="A769" s="314"/>
      <c r="B769" s="695"/>
      <c r="C769" s="696"/>
      <c r="D769" s="312"/>
      <c r="E769" s="314"/>
      <c r="F769" s="314"/>
      <c r="G769" s="314"/>
      <c r="H769" s="314"/>
      <c r="I769" s="318"/>
      <c r="J769" s="314"/>
      <c r="K769" s="314"/>
      <c r="L769" s="314"/>
      <c r="M769" s="314"/>
      <c r="N769" s="314"/>
      <c r="O769" s="314"/>
      <c r="P769" s="318"/>
      <c r="Q769" s="314"/>
      <c r="R769" s="316"/>
      <c r="S769" s="314"/>
      <c r="T769" s="314"/>
      <c r="U769" s="314"/>
      <c r="V769" s="314"/>
      <c r="W769" s="318"/>
      <c r="X769" s="314"/>
      <c r="Y769" s="314"/>
      <c r="Z769" s="697"/>
      <c r="AA769" s="315"/>
      <c r="AB769" s="314"/>
      <c r="AC769" s="314"/>
      <c r="AD769" s="324"/>
      <c r="AE769" s="155"/>
      <c r="AF769" s="155"/>
      <c r="AG769" s="322"/>
      <c r="AH769" s="132"/>
      <c r="AI769" s="132"/>
    </row>
    <row r="770">
      <c r="A770" s="314"/>
      <c r="B770" s="695"/>
      <c r="C770" s="696"/>
      <c r="D770" s="312"/>
      <c r="E770" s="314"/>
      <c r="F770" s="314"/>
      <c r="G770" s="314"/>
      <c r="H770" s="314"/>
      <c r="I770" s="318"/>
      <c r="J770" s="314"/>
      <c r="K770" s="314"/>
      <c r="L770" s="314"/>
      <c r="M770" s="314"/>
      <c r="N770" s="314"/>
      <c r="O770" s="314"/>
      <c r="P770" s="318"/>
      <c r="Q770" s="314"/>
      <c r="R770" s="316"/>
      <c r="S770" s="314"/>
      <c r="T770" s="314"/>
      <c r="U770" s="314"/>
      <c r="V770" s="314"/>
      <c r="W770" s="318"/>
      <c r="X770" s="314"/>
      <c r="Y770" s="314"/>
      <c r="Z770" s="697"/>
      <c r="AA770" s="315"/>
      <c r="AB770" s="314"/>
      <c r="AC770" s="314"/>
      <c r="AD770" s="324"/>
      <c r="AE770" s="155"/>
      <c r="AF770" s="155"/>
      <c r="AG770" s="322"/>
      <c r="AH770" s="132"/>
      <c r="AI770" s="132"/>
    </row>
    <row r="771">
      <c r="A771" s="314"/>
      <c r="B771" s="695"/>
      <c r="C771" s="696"/>
      <c r="D771" s="312"/>
      <c r="E771" s="314"/>
      <c r="F771" s="314"/>
      <c r="G771" s="314"/>
      <c r="H771" s="314"/>
      <c r="I771" s="318"/>
      <c r="J771" s="314"/>
      <c r="K771" s="314"/>
      <c r="L771" s="314"/>
      <c r="M771" s="314"/>
      <c r="N771" s="314"/>
      <c r="O771" s="314"/>
      <c r="P771" s="318"/>
      <c r="Q771" s="314"/>
      <c r="R771" s="316"/>
      <c r="S771" s="314"/>
      <c r="T771" s="314"/>
      <c r="U771" s="314"/>
      <c r="V771" s="314"/>
      <c r="W771" s="318"/>
      <c r="X771" s="314"/>
      <c r="Y771" s="314"/>
      <c r="Z771" s="697"/>
      <c r="AA771" s="315"/>
      <c r="AB771" s="314"/>
      <c r="AC771" s="314"/>
      <c r="AD771" s="324"/>
      <c r="AE771" s="155"/>
      <c r="AF771" s="155"/>
      <c r="AG771" s="322"/>
      <c r="AH771" s="132"/>
      <c r="AI771" s="132"/>
    </row>
    <row r="772">
      <c r="A772" s="314"/>
      <c r="B772" s="695"/>
      <c r="C772" s="696"/>
      <c r="D772" s="312"/>
      <c r="E772" s="314"/>
      <c r="F772" s="314"/>
      <c r="G772" s="314"/>
      <c r="H772" s="314"/>
      <c r="I772" s="318"/>
      <c r="J772" s="314"/>
      <c r="K772" s="314"/>
      <c r="L772" s="314"/>
      <c r="M772" s="314"/>
      <c r="N772" s="314"/>
      <c r="O772" s="314"/>
      <c r="P772" s="318"/>
      <c r="Q772" s="314"/>
      <c r="R772" s="316"/>
      <c r="S772" s="314"/>
      <c r="T772" s="314"/>
      <c r="U772" s="314"/>
      <c r="V772" s="314"/>
      <c r="W772" s="318"/>
      <c r="X772" s="314"/>
      <c r="Y772" s="314"/>
      <c r="Z772" s="697"/>
      <c r="AA772" s="315"/>
      <c r="AB772" s="314"/>
      <c r="AC772" s="314"/>
      <c r="AD772" s="324"/>
      <c r="AE772" s="155"/>
      <c r="AF772" s="155"/>
      <c r="AG772" s="322"/>
      <c r="AH772" s="132"/>
      <c r="AI772" s="132"/>
    </row>
    <row r="773">
      <c r="A773" s="314"/>
      <c r="B773" s="695"/>
      <c r="C773" s="696"/>
      <c r="D773" s="312"/>
      <c r="E773" s="314"/>
      <c r="F773" s="314"/>
      <c r="G773" s="314"/>
      <c r="H773" s="314"/>
      <c r="I773" s="318"/>
      <c r="J773" s="314"/>
      <c r="K773" s="314"/>
      <c r="L773" s="314"/>
      <c r="M773" s="314"/>
      <c r="N773" s="314"/>
      <c r="O773" s="314"/>
      <c r="P773" s="318"/>
      <c r="Q773" s="314"/>
      <c r="R773" s="316"/>
      <c r="S773" s="314"/>
      <c r="T773" s="314"/>
      <c r="U773" s="314"/>
      <c r="V773" s="314"/>
      <c r="W773" s="318"/>
      <c r="X773" s="314"/>
      <c r="Y773" s="314"/>
      <c r="Z773" s="697"/>
      <c r="AA773" s="315"/>
      <c r="AB773" s="314"/>
      <c r="AC773" s="314"/>
      <c r="AD773" s="324"/>
      <c r="AE773" s="155"/>
      <c r="AF773" s="155"/>
      <c r="AG773" s="322"/>
      <c r="AH773" s="132"/>
      <c r="AI773" s="132"/>
    </row>
    <row r="774">
      <c r="A774" s="314"/>
      <c r="B774" s="695"/>
      <c r="C774" s="696"/>
      <c r="D774" s="312"/>
      <c r="E774" s="314"/>
      <c r="F774" s="314"/>
      <c r="G774" s="314"/>
      <c r="H774" s="314"/>
      <c r="I774" s="318"/>
      <c r="J774" s="314"/>
      <c r="K774" s="314"/>
      <c r="L774" s="314"/>
      <c r="M774" s="314"/>
      <c r="N774" s="314"/>
      <c r="O774" s="314"/>
      <c r="P774" s="318"/>
      <c r="Q774" s="314"/>
      <c r="R774" s="316"/>
      <c r="S774" s="314"/>
      <c r="T774" s="314"/>
      <c r="U774" s="314"/>
      <c r="V774" s="314"/>
      <c r="W774" s="318"/>
      <c r="X774" s="314"/>
      <c r="Y774" s="314"/>
      <c r="Z774" s="697"/>
      <c r="AA774" s="315"/>
      <c r="AB774" s="314"/>
      <c r="AC774" s="314"/>
      <c r="AD774" s="324"/>
      <c r="AE774" s="155"/>
      <c r="AF774" s="155"/>
      <c r="AG774" s="322"/>
      <c r="AH774" s="132"/>
      <c r="AI774" s="132"/>
    </row>
    <row r="775">
      <c r="A775" s="314"/>
      <c r="B775" s="695"/>
      <c r="C775" s="696"/>
      <c r="D775" s="312"/>
      <c r="E775" s="314"/>
      <c r="F775" s="314"/>
      <c r="G775" s="314"/>
      <c r="H775" s="314"/>
      <c r="I775" s="318"/>
      <c r="J775" s="314"/>
      <c r="K775" s="314"/>
      <c r="L775" s="314"/>
      <c r="M775" s="314"/>
      <c r="N775" s="314"/>
      <c r="O775" s="314"/>
      <c r="P775" s="318"/>
      <c r="Q775" s="314"/>
      <c r="R775" s="316"/>
      <c r="S775" s="314"/>
      <c r="T775" s="314"/>
      <c r="U775" s="314"/>
      <c r="V775" s="314"/>
      <c r="W775" s="318"/>
      <c r="X775" s="314"/>
      <c r="Y775" s="314"/>
      <c r="Z775" s="697"/>
      <c r="AA775" s="315"/>
      <c r="AB775" s="314"/>
      <c r="AC775" s="314"/>
      <c r="AD775" s="324"/>
      <c r="AE775" s="155"/>
      <c r="AF775" s="155"/>
      <c r="AG775" s="322"/>
      <c r="AH775" s="132"/>
      <c r="AI775" s="132"/>
    </row>
    <row r="776">
      <c r="A776" s="314"/>
      <c r="B776" s="695"/>
      <c r="C776" s="696"/>
      <c r="D776" s="312"/>
      <c r="E776" s="314"/>
      <c r="F776" s="314"/>
      <c r="G776" s="314"/>
      <c r="H776" s="314"/>
      <c r="I776" s="318"/>
      <c r="J776" s="314"/>
      <c r="K776" s="314"/>
      <c r="L776" s="314"/>
      <c r="M776" s="314"/>
      <c r="N776" s="314"/>
      <c r="O776" s="314"/>
      <c r="P776" s="318"/>
      <c r="Q776" s="314"/>
      <c r="R776" s="316"/>
      <c r="S776" s="314"/>
      <c r="T776" s="314"/>
      <c r="U776" s="314"/>
      <c r="V776" s="314"/>
      <c r="W776" s="318"/>
      <c r="X776" s="314"/>
      <c r="Y776" s="314"/>
      <c r="Z776" s="697"/>
      <c r="AA776" s="315"/>
      <c r="AB776" s="314"/>
      <c r="AC776" s="314"/>
      <c r="AD776" s="324"/>
      <c r="AE776" s="155"/>
      <c r="AF776" s="155"/>
      <c r="AG776" s="322"/>
      <c r="AH776" s="132"/>
      <c r="AI776" s="132"/>
    </row>
    <row r="777">
      <c r="A777" s="314"/>
      <c r="B777" s="695"/>
      <c r="C777" s="696"/>
      <c r="D777" s="312"/>
      <c r="E777" s="314"/>
      <c r="F777" s="314"/>
      <c r="G777" s="314"/>
      <c r="H777" s="314"/>
      <c r="I777" s="318"/>
      <c r="J777" s="314"/>
      <c r="K777" s="314"/>
      <c r="L777" s="314"/>
      <c r="M777" s="314"/>
      <c r="N777" s="314"/>
      <c r="O777" s="314"/>
      <c r="P777" s="318"/>
      <c r="Q777" s="314"/>
      <c r="R777" s="316"/>
      <c r="S777" s="314"/>
      <c r="T777" s="314"/>
      <c r="U777" s="314"/>
      <c r="V777" s="314"/>
      <c r="W777" s="318"/>
      <c r="X777" s="314"/>
      <c r="Y777" s="314"/>
      <c r="Z777" s="697"/>
      <c r="AA777" s="315"/>
      <c r="AB777" s="314"/>
      <c r="AC777" s="314"/>
      <c r="AD777" s="324"/>
      <c r="AE777" s="155"/>
      <c r="AF777" s="155"/>
      <c r="AG777" s="322"/>
      <c r="AH777" s="132"/>
      <c r="AI777" s="132"/>
    </row>
    <row r="778">
      <c r="A778" s="314"/>
      <c r="B778" s="695"/>
      <c r="C778" s="696"/>
      <c r="D778" s="312"/>
      <c r="E778" s="314"/>
      <c r="F778" s="314"/>
      <c r="G778" s="314"/>
      <c r="H778" s="314"/>
      <c r="I778" s="318"/>
      <c r="J778" s="314"/>
      <c r="K778" s="314"/>
      <c r="L778" s="314"/>
      <c r="M778" s="314"/>
      <c r="N778" s="314"/>
      <c r="O778" s="314"/>
      <c r="P778" s="318"/>
      <c r="Q778" s="314"/>
      <c r="R778" s="316"/>
      <c r="S778" s="314"/>
      <c r="T778" s="314"/>
      <c r="U778" s="314"/>
      <c r="V778" s="314"/>
      <c r="W778" s="318"/>
      <c r="X778" s="314"/>
      <c r="Y778" s="314"/>
      <c r="Z778" s="697"/>
      <c r="AA778" s="315"/>
      <c r="AB778" s="314"/>
      <c r="AC778" s="314"/>
      <c r="AD778" s="324"/>
      <c r="AE778" s="155"/>
      <c r="AF778" s="155"/>
      <c r="AG778" s="322"/>
      <c r="AH778" s="132"/>
      <c r="AI778" s="132"/>
    </row>
    <row r="779">
      <c r="A779" s="314"/>
      <c r="B779" s="695"/>
      <c r="C779" s="696"/>
      <c r="D779" s="312"/>
      <c r="E779" s="314"/>
      <c r="F779" s="314"/>
      <c r="G779" s="314"/>
      <c r="H779" s="314"/>
      <c r="I779" s="318"/>
      <c r="J779" s="314"/>
      <c r="K779" s="314"/>
      <c r="L779" s="314"/>
      <c r="M779" s="314"/>
      <c r="N779" s="314"/>
      <c r="O779" s="314"/>
      <c r="P779" s="318"/>
      <c r="Q779" s="314"/>
      <c r="R779" s="316"/>
      <c r="S779" s="314"/>
      <c r="T779" s="314"/>
      <c r="U779" s="314"/>
      <c r="V779" s="314"/>
      <c r="W779" s="318"/>
      <c r="X779" s="314"/>
      <c r="Y779" s="314"/>
      <c r="Z779" s="697"/>
      <c r="AA779" s="315"/>
      <c r="AB779" s="314"/>
      <c r="AC779" s="314"/>
      <c r="AD779" s="324"/>
      <c r="AE779" s="155"/>
      <c r="AF779" s="155"/>
      <c r="AG779" s="322"/>
      <c r="AH779" s="132"/>
      <c r="AI779" s="132"/>
    </row>
    <row r="780">
      <c r="A780" s="314"/>
      <c r="B780" s="695"/>
      <c r="C780" s="696"/>
      <c r="D780" s="312"/>
      <c r="E780" s="314"/>
      <c r="F780" s="314"/>
      <c r="G780" s="314"/>
      <c r="H780" s="314"/>
      <c r="I780" s="318"/>
      <c r="J780" s="314"/>
      <c r="K780" s="314"/>
      <c r="L780" s="314"/>
      <c r="M780" s="314"/>
      <c r="N780" s="314"/>
      <c r="O780" s="314"/>
      <c r="P780" s="318"/>
      <c r="Q780" s="314"/>
      <c r="R780" s="316"/>
      <c r="S780" s="314"/>
      <c r="T780" s="314"/>
      <c r="U780" s="314"/>
      <c r="V780" s="314"/>
      <c r="W780" s="318"/>
      <c r="X780" s="314"/>
      <c r="Y780" s="314"/>
      <c r="Z780" s="697"/>
      <c r="AA780" s="315"/>
      <c r="AB780" s="314"/>
      <c r="AC780" s="314"/>
      <c r="AD780" s="324"/>
      <c r="AE780" s="155"/>
      <c r="AF780" s="155"/>
      <c r="AG780" s="322"/>
      <c r="AH780" s="132"/>
      <c r="AI780" s="132"/>
    </row>
    <row r="781">
      <c r="A781" s="314"/>
      <c r="B781" s="695"/>
      <c r="C781" s="696"/>
      <c r="D781" s="312"/>
      <c r="E781" s="314"/>
      <c r="F781" s="314"/>
      <c r="G781" s="314"/>
      <c r="H781" s="314"/>
      <c r="I781" s="318"/>
      <c r="J781" s="314"/>
      <c r="K781" s="314"/>
      <c r="L781" s="314"/>
      <c r="M781" s="314"/>
      <c r="N781" s="314"/>
      <c r="O781" s="314"/>
      <c r="P781" s="318"/>
      <c r="Q781" s="314"/>
      <c r="R781" s="316"/>
      <c r="S781" s="314"/>
      <c r="T781" s="314"/>
      <c r="U781" s="314"/>
      <c r="V781" s="314"/>
      <c r="W781" s="318"/>
      <c r="X781" s="314"/>
      <c r="Y781" s="314"/>
      <c r="Z781" s="697"/>
      <c r="AA781" s="315"/>
      <c r="AB781" s="314"/>
      <c r="AC781" s="314"/>
      <c r="AD781" s="324"/>
      <c r="AE781" s="155"/>
      <c r="AF781" s="155"/>
      <c r="AG781" s="322"/>
      <c r="AH781" s="132"/>
      <c r="AI781" s="132"/>
    </row>
    <row r="782">
      <c r="A782" s="314"/>
      <c r="B782" s="695"/>
      <c r="C782" s="696"/>
      <c r="D782" s="312"/>
      <c r="E782" s="314"/>
      <c r="F782" s="314"/>
      <c r="G782" s="314"/>
      <c r="H782" s="314"/>
      <c r="I782" s="318"/>
      <c r="J782" s="314"/>
      <c r="K782" s="314"/>
      <c r="L782" s="314"/>
      <c r="M782" s="314"/>
      <c r="N782" s="314"/>
      <c r="O782" s="314"/>
      <c r="P782" s="318"/>
      <c r="Q782" s="314"/>
      <c r="R782" s="316"/>
      <c r="S782" s="314"/>
      <c r="T782" s="314"/>
      <c r="U782" s="314"/>
      <c r="V782" s="314"/>
      <c r="W782" s="318"/>
      <c r="X782" s="314"/>
      <c r="Y782" s="314"/>
      <c r="Z782" s="697"/>
      <c r="AA782" s="315"/>
      <c r="AB782" s="314"/>
      <c r="AC782" s="314"/>
      <c r="AD782" s="324"/>
      <c r="AE782" s="155"/>
      <c r="AF782" s="155"/>
      <c r="AG782" s="322"/>
      <c r="AH782" s="132"/>
      <c r="AI782" s="132"/>
    </row>
    <row r="783">
      <c r="A783" s="314"/>
      <c r="B783" s="695"/>
      <c r="C783" s="696"/>
      <c r="D783" s="312"/>
      <c r="E783" s="314"/>
      <c r="F783" s="314"/>
      <c r="G783" s="314"/>
      <c r="H783" s="314"/>
      <c r="I783" s="318"/>
      <c r="J783" s="314"/>
      <c r="K783" s="314"/>
      <c r="L783" s="314"/>
      <c r="M783" s="314"/>
      <c r="N783" s="314"/>
      <c r="O783" s="314"/>
      <c r="P783" s="318"/>
      <c r="Q783" s="314"/>
      <c r="R783" s="316"/>
      <c r="S783" s="314"/>
      <c r="T783" s="314"/>
      <c r="U783" s="314"/>
      <c r="V783" s="314"/>
      <c r="W783" s="318"/>
      <c r="X783" s="314"/>
      <c r="Y783" s="314"/>
      <c r="Z783" s="697"/>
      <c r="AA783" s="315"/>
      <c r="AB783" s="314"/>
      <c r="AC783" s="314"/>
      <c r="AD783" s="324"/>
      <c r="AE783" s="155"/>
      <c r="AF783" s="155"/>
      <c r="AG783" s="322"/>
      <c r="AH783" s="132"/>
      <c r="AI783" s="132"/>
    </row>
    <row r="784">
      <c r="A784" s="314"/>
      <c r="B784" s="695"/>
      <c r="C784" s="696"/>
      <c r="D784" s="312"/>
      <c r="E784" s="314"/>
      <c r="F784" s="314"/>
      <c r="G784" s="314"/>
      <c r="H784" s="314"/>
      <c r="I784" s="318"/>
      <c r="J784" s="314"/>
      <c r="K784" s="314"/>
      <c r="L784" s="314"/>
      <c r="M784" s="314"/>
      <c r="N784" s="314"/>
      <c r="O784" s="314"/>
      <c r="P784" s="318"/>
      <c r="Q784" s="314"/>
      <c r="R784" s="316"/>
      <c r="S784" s="314"/>
      <c r="T784" s="314"/>
      <c r="U784" s="314"/>
      <c r="V784" s="314"/>
      <c r="W784" s="318"/>
      <c r="X784" s="314"/>
      <c r="Y784" s="314"/>
      <c r="Z784" s="697"/>
      <c r="AA784" s="315"/>
      <c r="AB784" s="314"/>
      <c r="AC784" s="314"/>
      <c r="AD784" s="324"/>
      <c r="AE784" s="155"/>
      <c r="AF784" s="155"/>
      <c r="AG784" s="322"/>
      <c r="AH784" s="132"/>
      <c r="AI784" s="132"/>
    </row>
    <row r="785">
      <c r="A785" s="314"/>
      <c r="B785" s="695"/>
      <c r="C785" s="696"/>
      <c r="D785" s="312"/>
      <c r="E785" s="314"/>
      <c r="F785" s="314"/>
      <c r="G785" s="314"/>
      <c r="H785" s="314"/>
      <c r="I785" s="318"/>
      <c r="J785" s="314"/>
      <c r="K785" s="314"/>
      <c r="L785" s="314"/>
      <c r="M785" s="314"/>
      <c r="N785" s="314"/>
      <c r="O785" s="314"/>
      <c r="P785" s="318"/>
      <c r="Q785" s="314"/>
      <c r="R785" s="316"/>
      <c r="S785" s="314"/>
      <c r="T785" s="314"/>
      <c r="U785" s="314"/>
      <c r="V785" s="314"/>
      <c r="W785" s="318"/>
      <c r="X785" s="314"/>
      <c r="Y785" s="314"/>
      <c r="Z785" s="697"/>
      <c r="AA785" s="315"/>
      <c r="AB785" s="314"/>
      <c r="AC785" s="314"/>
      <c r="AD785" s="324"/>
      <c r="AE785" s="155"/>
      <c r="AF785" s="155"/>
      <c r="AG785" s="322"/>
      <c r="AH785" s="132"/>
      <c r="AI785" s="132"/>
    </row>
    <row r="786">
      <c r="A786" s="314"/>
      <c r="B786" s="695"/>
      <c r="C786" s="696"/>
      <c r="D786" s="312"/>
      <c r="E786" s="314"/>
      <c r="F786" s="314"/>
      <c r="G786" s="314"/>
      <c r="H786" s="314"/>
      <c r="I786" s="318"/>
      <c r="J786" s="314"/>
      <c r="K786" s="314"/>
      <c r="L786" s="314"/>
      <c r="M786" s="314"/>
      <c r="N786" s="314"/>
      <c r="O786" s="314"/>
      <c r="P786" s="318"/>
      <c r="Q786" s="314"/>
      <c r="R786" s="316"/>
      <c r="S786" s="314"/>
      <c r="T786" s="314"/>
      <c r="U786" s="314"/>
      <c r="V786" s="314"/>
      <c r="W786" s="318"/>
      <c r="X786" s="314"/>
      <c r="Y786" s="314"/>
      <c r="Z786" s="697"/>
      <c r="AA786" s="315"/>
      <c r="AB786" s="314"/>
      <c r="AC786" s="314"/>
      <c r="AD786" s="324"/>
      <c r="AE786" s="155"/>
      <c r="AF786" s="155"/>
      <c r="AG786" s="322"/>
      <c r="AH786" s="132"/>
      <c r="AI786" s="132"/>
    </row>
    <row r="787">
      <c r="A787" s="314"/>
      <c r="B787" s="695"/>
      <c r="C787" s="696"/>
      <c r="D787" s="312"/>
      <c r="E787" s="314"/>
      <c r="F787" s="314"/>
      <c r="G787" s="314"/>
      <c r="H787" s="314"/>
      <c r="I787" s="318"/>
      <c r="J787" s="314"/>
      <c r="K787" s="314"/>
      <c r="L787" s="314"/>
      <c r="M787" s="314"/>
      <c r="N787" s="314"/>
      <c r="O787" s="314"/>
      <c r="P787" s="318"/>
      <c r="Q787" s="314"/>
      <c r="R787" s="316"/>
      <c r="S787" s="314"/>
      <c r="T787" s="314"/>
      <c r="U787" s="314"/>
      <c r="V787" s="314"/>
      <c r="W787" s="318"/>
      <c r="X787" s="314"/>
      <c r="Y787" s="314"/>
      <c r="Z787" s="697"/>
      <c r="AA787" s="315"/>
      <c r="AB787" s="314"/>
      <c r="AC787" s="314"/>
      <c r="AD787" s="324"/>
      <c r="AE787" s="155"/>
      <c r="AF787" s="155"/>
      <c r="AG787" s="322"/>
      <c r="AH787" s="132"/>
      <c r="AI787" s="132"/>
    </row>
    <row r="788">
      <c r="A788" s="314"/>
      <c r="B788" s="695"/>
      <c r="C788" s="696"/>
      <c r="D788" s="312"/>
      <c r="E788" s="314"/>
      <c r="F788" s="314"/>
      <c r="G788" s="314"/>
      <c r="H788" s="314"/>
      <c r="I788" s="318"/>
      <c r="J788" s="314"/>
      <c r="K788" s="314"/>
      <c r="L788" s="314"/>
      <c r="M788" s="314"/>
      <c r="N788" s="314"/>
      <c r="O788" s="314"/>
      <c r="P788" s="318"/>
      <c r="Q788" s="314"/>
      <c r="R788" s="316"/>
      <c r="S788" s="314"/>
      <c r="T788" s="314"/>
      <c r="U788" s="314"/>
      <c r="V788" s="314"/>
      <c r="W788" s="318"/>
      <c r="X788" s="314"/>
      <c r="Y788" s="314"/>
      <c r="Z788" s="697"/>
      <c r="AA788" s="315"/>
      <c r="AB788" s="314"/>
      <c r="AC788" s="314"/>
      <c r="AD788" s="324"/>
      <c r="AE788" s="155"/>
      <c r="AF788" s="155"/>
      <c r="AG788" s="322"/>
      <c r="AH788" s="132"/>
      <c r="AI788" s="132"/>
    </row>
    <row r="789">
      <c r="A789" s="314"/>
      <c r="B789" s="695"/>
      <c r="C789" s="696"/>
      <c r="D789" s="312"/>
      <c r="E789" s="314"/>
      <c r="F789" s="314"/>
      <c r="G789" s="314"/>
      <c r="H789" s="314"/>
      <c r="I789" s="318"/>
      <c r="J789" s="314"/>
      <c r="K789" s="314"/>
      <c r="L789" s="314"/>
      <c r="M789" s="314"/>
      <c r="N789" s="314"/>
      <c r="O789" s="314"/>
      <c r="P789" s="318"/>
      <c r="Q789" s="314"/>
      <c r="R789" s="316"/>
      <c r="S789" s="314"/>
      <c r="T789" s="314"/>
      <c r="U789" s="314"/>
      <c r="V789" s="314"/>
      <c r="W789" s="318"/>
      <c r="X789" s="314"/>
      <c r="Y789" s="314"/>
      <c r="Z789" s="697"/>
      <c r="AA789" s="315"/>
      <c r="AB789" s="314"/>
      <c r="AC789" s="314"/>
      <c r="AD789" s="324"/>
      <c r="AE789" s="155"/>
      <c r="AF789" s="155"/>
      <c r="AG789" s="322"/>
      <c r="AH789" s="132"/>
      <c r="AI789" s="132"/>
    </row>
    <row r="790">
      <c r="A790" s="314"/>
      <c r="B790" s="695"/>
      <c r="C790" s="696"/>
      <c r="D790" s="312"/>
      <c r="E790" s="314"/>
      <c r="F790" s="314"/>
      <c r="G790" s="314"/>
      <c r="H790" s="314"/>
      <c r="I790" s="318"/>
      <c r="J790" s="314"/>
      <c r="K790" s="314"/>
      <c r="L790" s="314"/>
      <c r="M790" s="314"/>
      <c r="N790" s="314"/>
      <c r="O790" s="314"/>
      <c r="P790" s="318"/>
      <c r="Q790" s="314"/>
      <c r="R790" s="316"/>
      <c r="S790" s="314"/>
      <c r="T790" s="314"/>
      <c r="U790" s="314"/>
      <c r="V790" s="314"/>
      <c r="W790" s="318"/>
      <c r="X790" s="314"/>
      <c r="Y790" s="314"/>
      <c r="Z790" s="697"/>
      <c r="AA790" s="315"/>
      <c r="AB790" s="314"/>
      <c r="AC790" s="314"/>
      <c r="AD790" s="324"/>
      <c r="AE790" s="155"/>
      <c r="AF790" s="155"/>
      <c r="AG790" s="322"/>
      <c r="AH790" s="132"/>
      <c r="AI790" s="132"/>
    </row>
    <row r="791">
      <c r="A791" s="314"/>
      <c r="B791" s="695"/>
      <c r="C791" s="696"/>
      <c r="D791" s="312"/>
      <c r="E791" s="314"/>
      <c r="F791" s="314"/>
      <c r="G791" s="314"/>
      <c r="H791" s="314"/>
      <c r="I791" s="318"/>
      <c r="J791" s="314"/>
      <c r="K791" s="314"/>
      <c r="L791" s="314"/>
      <c r="M791" s="314"/>
      <c r="N791" s="314"/>
      <c r="O791" s="314"/>
      <c r="P791" s="318"/>
      <c r="Q791" s="314"/>
      <c r="R791" s="316"/>
      <c r="S791" s="314"/>
      <c r="T791" s="314"/>
      <c r="U791" s="314"/>
      <c r="V791" s="314"/>
      <c r="W791" s="318"/>
      <c r="X791" s="314"/>
      <c r="Y791" s="314"/>
      <c r="Z791" s="697"/>
      <c r="AA791" s="315"/>
      <c r="AB791" s="314"/>
      <c r="AC791" s="314"/>
      <c r="AD791" s="324"/>
      <c r="AE791" s="155"/>
      <c r="AF791" s="155"/>
      <c r="AG791" s="322"/>
      <c r="AH791" s="132"/>
      <c r="AI791" s="132"/>
    </row>
    <row r="792">
      <c r="A792" s="435"/>
      <c r="B792" s="695"/>
      <c r="C792" s="739"/>
      <c r="D792" s="312"/>
      <c r="E792" s="435"/>
      <c r="F792" s="314"/>
      <c r="G792" s="314"/>
      <c r="H792" s="435"/>
      <c r="I792" s="740"/>
      <c r="J792" s="314"/>
      <c r="K792" s="435"/>
      <c r="L792" s="435"/>
      <c r="M792" s="314"/>
      <c r="N792" s="314"/>
      <c r="O792" s="314"/>
      <c r="P792" s="740"/>
      <c r="Q792" s="435"/>
      <c r="R792" s="742"/>
      <c r="S792" s="435"/>
      <c r="T792" s="435"/>
      <c r="U792" s="435"/>
      <c r="V792" s="435"/>
      <c r="W792" s="740"/>
      <c r="X792" s="435"/>
      <c r="Y792" s="435"/>
      <c r="Z792" s="743"/>
      <c r="AA792" s="744"/>
      <c r="AB792" s="435"/>
      <c r="AC792" s="435"/>
      <c r="AD792" s="324"/>
      <c r="AE792" s="180"/>
      <c r="AF792" s="155"/>
      <c r="AG792" s="322"/>
      <c r="AH792" s="132"/>
      <c r="AI792" s="132"/>
    </row>
    <row r="793">
      <c r="A793" s="435"/>
      <c r="B793" s="695"/>
      <c r="C793" s="696"/>
      <c r="D793" s="745"/>
      <c r="E793" s="314"/>
      <c r="F793" s="314"/>
      <c r="G793" s="314"/>
      <c r="H793" s="314"/>
      <c r="I793" s="318"/>
      <c r="J793" s="314"/>
      <c r="K793" s="314"/>
      <c r="L793" s="314"/>
      <c r="M793" s="435"/>
      <c r="N793" s="435"/>
      <c r="O793" s="314"/>
      <c r="P793" s="318"/>
      <c r="Q793" s="314"/>
      <c r="R793" s="316"/>
      <c r="S793" s="314"/>
      <c r="T793" s="314"/>
      <c r="U793" s="314"/>
      <c r="V793" s="314"/>
      <c r="W793" s="318"/>
      <c r="X793" s="314"/>
      <c r="Y793" s="314"/>
      <c r="Z793" s="697"/>
      <c r="AA793" s="315"/>
      <c r="AB793" s="314"/>
      <c r="AC793" s="314"/>
      <c r="AD793" s="324"/>
      <c r="AE793" s="180"/>
      <c r="AF793" s="155"/>
      <c r="AG793" s="322"/>
      <c r="AH793" s="132"/>
      <c r="AI793" s="132"/>
    </row>
    <row r="794">
      <c r="A794" s="435"/>
      <c r="B794" s="746"/>
      <c r="C794" s="739"/>
      <c r="D794" s="745"/>
      <c r="E794" s="435"/>
      <c r="F794" s="314"/>
      <c r="G794" s="314"/>
      <c r="H794" s="314"/>
      <c r="I794" s="740"/>
      <c r="J794" s="435"/>
      <c r="K794" s="435"/>
      <c r="L794" s="435"/>
      <c r="M794" s="435"/>
      <c r="N794" s="435"/>
      <c r="O794" s="314"/>
      <c r="P794" s="740"/>
      <c r="Q794" s="314"/>
      <c r="R794" s="742"/>
      <c r="S794" s="435"/>
      <c r="T794" s="435"/>
      <c r="U794" s="435"/>
      <c r="V794" s="435"/>
      <c r="W794" s="740"/>
      <c r="X794" s="435"/>
      <c r="Y794" s="435"/>
      <c r="Z794" s="743"/>
      <c r="AA794" s="744"/>
      <c r="AB794" s="435"/>
      <c r="AC794" s="435"/>
      <c r="AD794" s="324"/>
      <c r="AE794" s="180"/>
      <c r="AF794" s="155"/>
      <c r="AG794" s="322"/>
      <c r="AH794" s="132"/>
      <c r="AI794" s="132"/>
    </row>
    <row r="795">
      <c r="A795" s="435"/>
      <c r="B795" s="695"/>
      <c r="C795" s="696"/>
      <c r="D795" s="745"/>
      <c r="E795" s="314"/>
      <c r="F795" s="314"/>
      <c r="G795" s="314"/>
      <c r="H795" s="314"/>
      <c r="I795" s="740"/>
      <c r="J795" s="314"/>
      <c r="K795" s="435"/>
      <c r="L795" s="314"/>
      <c r="M795" s="314"/>
      <c r="N795" s="314"/>
      <c r="O795" s="314"/>
      <c r="P795" s="318"/>
      <c r="Q795" s="435"/>
      <c r="R795" s="742"/>
      <c r="S795" s="314"/>
      <c r="T795" s="314"/>
      <c r="U795" s="314"/>
      <c r="V795" s="314"/>
      <c r="W795" s="318"/>
      <c r="X795" s="314"/>
      <c r="Y795" s="314"/>
      <c r="Z795" s="697"/>
      <c r="AA795" s="315"/>
      <c r="AB795" s="314"/>
      <c r="AC795" s="314"/>
      <c r="AD795" s="324"/>
      <c r="AE795" s="180"/>
      <c r="AF795" s="155"/>
      <c r="AG795" s="322"/>
      <c r="AH795" s="132"/>
      <c r="AI795" s="132"/>
    </row>
    <row r="796">
      <c r="A796" s="435"/>
      <c r="B796" s="746"/>
      <c r="C796" s="739"/>
      <c r="D796" s="745"/>
      <c r="E796" s="435"/>
      <c r="F796" s="314"/>
      <c r="G796" s="314"/>
      <c r="H796" s="435"/>
      <c r="I796" s="740"/>
      <c r="J796" s="435"/>
      <c r="K796" s="435"/>
      <c r="L796" s="435"/>
      <c r="M796" s="435"/>
      <c r="N796" s="435"/>
      <c r="O796" s="314"/>
      <c r="P796" s="740"/>
      <c r="Q796" s="435"/>
      <c r="R796" s="742"/>
      <c r="S796" s="435"/>
      <c r="T796" s="435"/>
      <c r="U796" s="435"/>
      <c r="V796" s="435"/>
      <c r="W796" s="740"/>
      <c r="X796" s="435"/>
      <c r="Y796" s="435"/>
      <c r="Z796" s="743"/>
      <c r="AA796" s="744"/>
      <c r="AB796" s="435"/>
      <c r="AC796" s="435"/>
      <c r="AD796" s="324"/>
      <c r="AE796" s="180"/>
      <c r="AF796" s="155"/>
      <c r="AG796" s="322"/>
      <c r="AH796" s="132"/>
      <c r="AI796" s="132"/>
    </row>
    <row r="797">
      <c r="A797" s="435"/>
      <c r="B797" s="746"/>
      <c r="C797" s="696"/>
      <c r="D797" s="745"/>
      <c r="E797" s="314"/>
      <c r="F797" s="314"/>
      <c r="G797" s="314"/>
      <c r="H797" s="314"/>
      <c r="I797" s="318"/>
      <c r="J797" s="314"/>
      <c r="K797" s="435"/>
      <c r="L797" s="314"/>
      <c r="M797" s="314"/>
      <c r="N797" s="314"/>
      <c r="O797" s="314"/>
      <c r="P797" s="318"/>
      <c r="Q797" s="314"/>
      <c r="R797" s="316"/>
      <c r="S797" s="435"/>
      <c r="T797" s="435"/>
      <c r="U797" s="435"/>
      <c r="V797" s="435"/>
      <c r="W797" s="740"/>
      <c r="X797" s="435"/>
      <c r="Y797" s="435"/>
      <c r="Z797" s="743"/>
      <c r="AA797" s="744"/>
      <c r="AB797" s="435"/>
      <c r="AC797" s="435"/>
      <c r="AD797" s="324"/>
      <c r="AE797" s="180"/>
      <c r="AF797" s="155"/>
      <c r="AG797" s="322"/>
      <c r="AH797" s="132"/>
      <c r="AI797" s="132"/>
    </row>
    <row r="798">
      <c r="A798" s="435"/>
      <c r="B798" s="746"/>
      <c r="C798" s="739"/>
      <c r="D798" s="745"/>
      <c r="E798" s="435"/>
      <c r="F798" s="314"/>
      <c r="G798" s="314"/>
      <c r="H798" s="435"/>
      <c r="I798" s="318"/>
      <c r="J798" s="314"/>
      <c r="K798" s="435"/>
      <c r="L798" s="314"/>
      <c r="M798" s="314"/>
      <c r="N798" s="314"/>
      <c r="O798" s="314"/>
      <c r="P798" s="740"/>
      <c r="Q798" s="435"/>
      <c r="R798" s="742"/>
      <c r="S798" s="435"/>
      <c r="T798" s="435"/>
      <c r="U798" s="435"/>
      <c r="V798" s="435"/>
      <c r="W798" s="740"/>
      <c r="X798" s="435"/>
      <c r="Y798" s="435"/>
      <c r="Z798" s="743"/>
      <c r="AA798" s="744"/>
      <c r="AB798" s="435"/>
      <c r="AC798" s="435"/>
      <c r="AD798" s="324"/>
      <c r="AE798" s="180"/>
      <c r="AF798" s="155"/>
      <c r="AG798" s="322"/>
      <c r="AH798" s="132"/>
      <c r="AI798" s="132"/>
    </row>
    <row r="799">
      <c r="A799" s="435"/>
      <c r="B799" s="746"/>
      <c r="C799" s="739"/>
      <c r="D799" s="745"/>
      <c r="E799" s="435"/>
      <c r="F799" s="314"/>
      <c r="G799" s="314"/>
      <c r="H799" s="435"/>
      <c r="I799" s="740"/>
      <c r="J799" s="435"/>
      <c r="K799" s="435"/>
      <c r="L799" s="435"/>
      <c r="M799" s="435"/>
      <c r="N799" s="435"/>
      <c r="O799" s="314"/>
      <c r="P799" s="740"/>
      <c r="Q799" s="435"/>
      <c r="R799" s="742"/>
      <c r="S799" s="435"/>
      <c r="T799" s="435"/>
      <c r="U799" s="435"/>
      <c r="V799" s="435"/>
      <c r="W799" s="740"/>
      <c r="X799" s="435"/>
      <c r="Y799" s="435"/>
      <c r="Z799" s="743"/>
      <c r="AA799" s="744"/>
      <c r="AB799" s="435"/>
      <c r="AC799" s="435"/>
      <c r="AD799" s="324"/>
      <c r="AE799" s="180"/>
      <c r="AF799" s="155"/>
      <c r="AG799" s="322"/>
      <c r="AH799" s="132"/>
      <c r="AI799" s="132"/>
    </row>
    <row r="800">
      <c r="A800" s="435"/>
      <c r="B800" s="695"/>
      <c r="C800" s="696"/>
      <c r="D800" s="312"/>
      <c r="E800" s="435"/>
      <c r="F800" s="314"/>
      <c r="G800" s="314"/>
      <c r="H800" s="435"/>
      <c r="I800" s="318"/>
      <c r="J800" s="314"/>
      <c r="K800" s="314"/>
      <c r="L800" s="314"/>
      <c r="M800" s="314"/>
      <c r="N800" s="314"/>
      <c r="O800" s="314"/>
      <c r="P800" s="318"/>
      <c r="Q800" s="314"/>
      <c r="R800" s="316"/>
      <c r="S800" s="314"/>
      <c r="T800" s="314"/>
      <c r="U800" s="314"/>
      <c r="V800" s="314"/>
      <c r="W800" s="318"/>
      <c r="X800" s="314"/>
      <c r="Y800" s="314"/>
      <c r="Z800" s="697"/>
      <c r="AA800" s="315"/>
      <c r="AB800" s="314"/>
      <c r="AC800" s="314"/>
      <c r="AD800" s="324"/>
      <c r="AE800" s="180"/>
      <c r="AF800" s="155"/>
      <c r="AG800" s="322"/>
      <c r="AH800" s="132"/>
      <c r="AI800" s="132"/>
    </row>
    <row r="801">
      <c r="A801" s="435"/>
      <c r="B801" s="695"/>
      <c r="C801" s="696"/>
      <c r="D801" s="745"/>
      <c r="E801" s="314"/>
      <c r="F801" s="314"/>
      <c r="G801" s="314"/>
      <c r="H801" s="435"/>
      <c r="I801" s="318"/>
      <c r="J801" s="435"/>
      <c r="K801" s="435"/>
      <c r="L801" s="314"/>
      <c r="M801" s="435"/>
      <c r="N801" s="314"/>
      <c r="O801" s="314"/>
      <c r="P801" s="318"/>
      <c r="Q801" s="314"/>
      <c r="R801" s="742"/>
      <c r="S801" s="435"/>
      <c r="T801" s="435"/>
      <c r="U801" s="435"/>
      <c r="V801" s="435"/>
      <c r="W801" s="740"/>
      <c r="X801" s="435"/>
      <c r="Y801" s="435"/>
      <c r="Z801" s="743"/>
      <c r="AA801" s="744"/>
      <c r="AB801" s="435"/>
      <c r="AC801" s="435"/>
      <c r="AD801" s="324"/>
      <c r="AE801" s="180"/>
      <c r="AF801" s="155"/>
      <c r="AG801" s="322"/>
      <c r="AH801" s="132"/>
      <c r="AI801" s="132"/>
    </row>
    <row r="802">
      <c r="A802" s="435"/>
      <c r="B802" s="695"/>
      <c r="C802" s="696"/>
      <c r="D802" s="312"/>
      <c r="E802" s="314"/>
      <c r="F802" s="314"/>
      <c r="G802" s="314"/>
      <c r="H802" s="314"/>
      <c r="I802" s="318"/>
      <c r="J802" s="314"/>
      <c r="K802" s="314"/>
      <c r="L802" s="314"/>
      <c r="M802" s="314"/>
      <c r="N802" s="314"/>
      <c r="O802" s="314"/>
      <c r="P802" s="318"/>
      <c r="Q802" s="435"/>
      <c r="R802" s="316"/>
      <c r="S802" s="435"/>
      <c r="T802" s="435"/>
      <c r="U802" s="435"/>
      <c r="V802" s="435"/>
      <c r="W802" s="740"/>
      <c r="X802" s="435"/>
      <c r="Y802" s="435"/>
      <c r="Z802" s="743"/>
      <c r="AA802" s="744"/>
      <c r="AB802" s="435"/>
      <c r="AC802" s="435"/>
      <c r="AD802" s="324"/>
      <c r="AE802" s="180"/>
      <c r="AF802" s="155"/>
      <c r="AG802" s="322"/>
      <c r="AH802" s="132"/>
      <c r="AI802" s="132"/>
    </row>
    <row r="803">
      <c r="A803" s="435"/>
      <c r="B803" s="746"/>
      <c r="C803" s="696"/>
      <c r="D803" s="312"/>
      <c r="E803" s="314"/>
      <c r="F803" s="314"/>
      <c r="G803" s="314"/>
      <c r="H803" s="435"/>
      <c r="I803" s="318"/>
      <c r="J803" s="435"/>
      <c r="K803" s="435"/>
      <c r="L803" s="314"/>
      <c r="M803" s="314"/>
      <c r="N803" s="435"/>
      <c r="O803" s="314"/>
      <c r="P803" s="318"/>
      <c r="Q803" s="314"/>
      <c r="R803" s="742"/>
      <c r="S803" s="435"/>
      <c r="T803" s="435"/>
      <c r="U803" s="435"/>
      <c r="V803" s="435"/>
      <c r="W803" s="740"/>
      <c r="X803" s="435"/>
      <c r="Y803" s="435"/>
      <c r="Z803" s="743"/>
      <c r="AA803" s="744"/>
      <c r="AB803" s="435"/>
      <c r="AC803" s="435"/>
      <c r="AD803" s="324"/>
      <c r="AE803" s="180"/>
      <c r="AF803" s="155"/>
      <c r="AG803" s="322"/>
      <c r="AH803" s="132"/>
      <c r="AI803" s="132"/>
    </row>
    <row r="804">
      <c r="A804" s="435"/>
      <c r="B804" s="695"/>
      <c r="C804" s="739"/>
      <c r="D804" s="745"/>
      <c r="E804" s="435"/>
      <c r="F804" s="314"/>
      <c r="G804" s="314"/>
      <c r="H804" s="435"/>
      <c r="I804" s="318"/>
      <c r="J804" s="314"/>
      <c r="K804" s="435"/>
      <c r="L804" s="314"/>
      <c r="M804" s="314"/>
      <c r="N804" s="314"/>
      <c r="O804" s="314"/>
      <c r="P804" s="318"/>
      <c r="Q804" s="314"/>
      <c r="R804" s="316"/>
      <c r="S804" s="435"/>
      <c r="T804" s="435"/>
      <c r="U804" s="435"/>
      <c r="V804" s="435"/>
      <c r="W804" s="740"/>
      <c r="X804" s="435"/>
      <c r="Y804" s="435"/>
      <c r="Z804" s="743"/>
      <c r="AA804" s="744"/>
      <c r="AB804" s="435"/>
      <c r="AC804" s="435"/>
      <c r="AD804" s="324"/>
      <c r="AE804" s="180"/>
      <c r="AF804" s="155"/>
      <c r="AG804" s="322"/>
      <c r="AH804" s="132"/>
      <c r="AI804" s="132"/>
    </row>
    <row r="805">
      <c r="A805" s="435"/>
      <c r="B805" s="695"/>
      <c r="C805" s="696"/>
      <c r="D805" s="312"/>
      <c r="E805" s="314"/>
      <c r="F805" s="314"/>
      <c r="G805" s="314"/>
      <c r="H805" s="435"/>
      <c r="I805" s="318"/>
      <c r="J805" s="314"/>
      <c r="K805" s="314"/>
      <c r="L805" s="314"/>
      <c r="M805" s="314"/>
      <c r="N805" s="314"/>
      <c r="O805" s="314"/>
      <c r="P805" s="318"/>
      <c r="Q805" s="314"/>
      <c r="R805" s="742"/>
      <c r="S805" s="314"/>
      <c r="T805" s="314"/>
      <c r="U805" s="314"/>
      <c r="V805" s="314"/>
      <c r="W805" s="318"/>
      <c r="X805" s="314"/>
      <c r="Y805" s="314"/>
      <c r="Z805" s="697"/>
      <c r="AA805" s="315"/>
      <c r="AB805" s="314"/>
      <c r="AC805" s="314"/>
      <c r="AD805" s="324"/>
      <c r="AE805" s="180"/>
      <c r="AF805" s="155"/>
      <c r="AG805" s="322"/>
      <c r="AH805" s="132"/>
      <c r="AI805" s="132"/>
    </row>
    <row r="806">
      <c r="A806" s="435"/>
      <c r="B806" s="746"/>
      <c r="C806" s="739"/>
      <c r="D806" s="745"/>
      <c r="E806" s="435"/>
      <c r="F806" s="314"/>
      <c r="G806" s="314"/>
      <c r="H806" s="435"/>
      <c r="I806" s="740"/>
      <c r="J806" s="435"/>
      <c r="K806" s="435"/>
      <c r="L806" s="435"/>
      <c r="M806" s="435"/>
      <c r="N806" s="435"/>
      <c r="O806" s="314"/>
      <c r="P806" s="740"/>
      <c r="Q806" s="435"/>
      <c r="R806" s="742"/>
      <c r="S806" s="435"/>
      <c r="T806" s="435"/>
      <c r="U806" s="435"/>
      <c r="V806" s="435"/>
      <c r="W806" s="740"/>
      <c r="X806" s="435"/>
      <c r="Y806" s="435"/>
      <c r="Z806" s="743"/>
      <c r="AA806" s="744"/>
      <c r="AB806" s="435"/>
      <c r="AC806" s="435"/>
      <c r="AD806" s="324"/>
      <c r="AE806" s="180"/>
      <c r="AF806" s="155"/>
      <c r="AG806" s="322"/>
      <c r="AH806" s="132"/>
      <c r="AI806" s="132"/>
    </row>
    <row r="807">
      <c r="A807" s="435"/>
      <c r="B807" s="695"/>
      <c r="C807" s="696"/>
      <c r="D807" s="312"/>
      <c r="E807" s="314"/>
      <c r="F807" s="314"/>
      <c r="G807" s="314"/>
      <c r="H807" s="314"/>
      <c r="I807" s="318"/>
      <c r="J807" s="314"/>
      <c r="K807" s="314"/>
      <c r="L807" s="314"/>
      <c r="M807" s="435"/>
      <c r="N807" s="314"/>
      <c r="O807" s="314"/>
      <c r="P807" s="318"/>
      <c r="Q807" s="314"/>
      <c r="R807" s="316"/>
      <c r="S807" s="314"/>
      <c r="T807" s="314"/>
      <c r="U807" s="314"/>
      <c r="V807" s="314"/>
      <c r="W807" s="318"/>
      <c r="X807" s="314"/>
      <c r="Y807" s="314"/>
      <c r="Z807" s="697"/>
      <c r="AA807" s="315"/>
      <c r="AB807" s="314"/>
      <c r="AC807" s="314"/>
      <c r="AD807" s="324"/>
      <c r="AE807" s="180"/>
      <c r="AF807" s="155"/>
      <c r="AG807" s="322"/>
      <c r="AH807" s="132"/>
      <c r="AI807" s="132"/>
    </row>
    <row r="808">
      <c r="A808" s="435"/>
      <c r="B808" s="695"/>
      <c r="C808" s="739"/>
      <c r="D808" s="745"/>
      <c r="E808" s="435"/>
      <c r="F808" s="314"/>
      <c r="G808" s="314"/>
      <c r="H808" s="435"/>
      <c r="I808" s="740"/>
      <c r="J808" s="435"/>
      <c r="K808" s="435"/>
      <c r="L808" s="314"/>
      <c r="M808" s="435"/>
      <c r="N808" s="435"/>
      <c r="O808" s="314"/>
      <c r="P808" s="740"/>
      <c r="Q808" s="435"/>
      <c r="R808" s="742"/>
      <c r="S808" s="435"/>
      <c r="T808" s="435"/>
      <c r="U808" s="435"/>
      <c r="V808" s="435"/>
      <c r="W808" s="740"/>
      <c r="X808" s="435"/>
      <c r="Y808" s="435"/>
      <c r="Z808" s="743"/>
      <c r="AA808" s="744"/>
      <c r="AB808" s="435"/>
      <c r="AC808" s="435"/>
      <c r="AD808" s="324"/>
      <c r="AE808" s="180"/>
      <c r="AF808" s="155"/>
      <c r="AG808" s="322"/>
      <c r="AH808" s="132"/>
      <c r="AI808" s="132"/>
    </row>
    <row r="809">
      <c r="A809" s="435"/>
      <c r="B809" s="746"/>
      <c r="C809" s="739"/>
      <c r="D809" s="312"/>
      <c r="E809" s="435"/>
      <c r="F809" s="314"/>
      <c r="G809" s="314"/>
      <c r="H809" s="435"/>
      <c r="I809" s="740"/>
      <c r="J809" s="314"/>
      <c r="K809" s="435"/>
      <c r="L809" s="435"/>
      <c r="M809" s="314"/>
      <c r="N809" s="435"/>
      <c r="O809" s="314"/>
      <c r="P809" s="740"/>
      <c r="Q809" s="314"/>
      <c r="R809" s="742"/>
      <c r="S809" s="435"/>
      <c r="T809" s="435"/>
      <c r="U809" s="435"/>
      <c r="V809" s="435"/>
      <c r="W809" s="740"/>
      <c r="X809" s="435"/>
      <c r="Y809" s="435"/>
      <c r="Z809" s="743"/>
      <c r="AA809" s="744"/>
      <c r="AB809" s="435"/>
      <c r="AC809" s="435"/>
      <c r="AD809" s="324"/>
      <c r="AE809" s="180"/>
      <c r="AF809" s="155"/>
      <c r="AG809" s="322"/>
      <c r="AH809" s="132"/>
      <c r="AI809" s="132"/>
    </row>
    <row r="810">
      <c r="A810" s="458"/>
      <c r="B810" s="746"/>
      <c r="C810" s="739"/>
      <c r="D810" s="745"/>
      <c r="E810" s="435"/>
      <c r="F810" s="314"/>
      <c r="G810" s="314"/>
      <c r="H810" s="314"/>
      <c r="I810" s="740"/>
      <c r="J810" s="435"/>
      <c r="K810" s="435"/>
      <c r="L810" s="435"/>
      <c r="M810" s="435"/>
      <c r="N810" s="435"/>
      <c r="O810" s="314"/>
      <c r="P810" s="740"/>
      <c r="Q810" s="435"/>
      <c r="R810" s="742"/>
      <c r="S810" s="435"/>
      <c r="T810" s="435"/>
      <c r="U810" s="435"/>
      <c r="V810" s="435"/>
      <c r="W810" s="740"/>
      <c r="X810" s="435"/>
      <c r="Y810" s="435"/>
      <c r="Z810" s="743"/>
      <c r="AA810" s="744"/>
      <c r="AB810" s="435"/>
      <c r="AC810" s="435"/>
      <c r="AD810" s="324"/>
      <c r="AE810" s="180"/>
      <c r="AF810" s="155"/>
      <c r="AG810" s="322"/>
      <c r="AH810" s="132"/>
      <c r="AI810" s="132"/>
    </row>
    <row r="811">
      <c r="A811" s="458"/>
      <c r="B811" s="746"/>
      <c r="C811" s="739"/>
      <c r="D811" s="745"/>
      <c r="E811" s="435"/>
      <c r="F811" s="314"/>
      <c r="G811" s="314"/>
      <c r="H811" s="314"/>
      <c r="I811" s="318"/>
      <c r="J811" s="435"/>
      <c r="K811" s="435"/>
      <c r="L811" s="435"/>
      <c r="M811" s="435"/>
      <c r="N811" s="435"/>
      <c r="O811" s="314"/>
      <c r="P811" s="740"/>
      <c r="Q811" s="435"/>
      <c r="R811" s="742"/>
      <c r="S811" s="435"/>
      <c r="T811" s="435"/>
      <c r="U811" s="435"/>
      <c r="V811" s="435"/>
      <c r="W811" s="740"/>
      <c r="X811" s="435"/>
      <c r="Y811" s="435"/>
      <c r="Z811" s="743"/>
      <c r="AA811" s="744"/>
      <c r="AB811" s="435"/>
      <c r="AC811" s="435"/>
      <c r="AD811" s="324"/>
      <c r="AE811" s="180"/>
      <c r="AF811" s="155"/>
      <c r="AG811" s="322"/>
      <c r="AH811" s="132"/>
      <c r="AI811" s="132"/>
    </row>
    <row r="812">
      <c r="A812" s="458"/>
      <c r="B812" s="746"/>
      <c r="C812" s="739"/>
      <c r="D812" s="745"/>
      <c r="E812" s="314"/>
      <c r="F812" s="314"/>
      <c r="G812" s="314"/>
      <c r="H812" s="314"/>
      <c r="I812" s="740"/>
      <c r="J812" s="435"/>
      <c r="K812" s="435"/>
      <c r="L812" s="435"/>
      <c r="M812" s="435"/>
      <c r="N812" s="435"/>
      <c r="O812" s="314"/>
      <c r="P812" s="740"/>
      <c r="Q812" s="314"/>
      <c r="R812" s="742"/>
      <c r="S812" s="435"/>
      <c r="T812" s="435"/>
      <c r="U812" s="435"/>
      <c r="V812" s="435"/>
      <c r="W812" s="740"/>
      <c r="X812" s="435"/>
      <c r="Y812" s="435"/>
      <c r="Z812" s="743"/>
      <c r="AA812" s="744"/>
      <c r="AB812" s="435"/>
      <c r="AC812" s="435"/>
      <c r="AD812" s="324"/>
      <c r="AE812" s="180"/>
      <c r="AF812" s="155"/>
      <c r="AG812" s="322"/>
      <c r="AH812" s="132"/>
      <c r="AI812" s="132"/>
    </row>
    <row r="813">
      <c r="A813" s="458"/>
      <c r="B813" s="695"/>
      <c r="C813" s="696"/>
      <c r="D813" s="312"/>
      <c r="E813" s="314"/>
      <c r="F813" s="314"/>
      <c r="G813" s="314"/>
      <c r="H813" s="314"/>
      <c r="I813" s="318"/>
      <c r="J813" s="314"/>
      <c r="K813" s="314"/>
      <c r="L813" s="314"/>
      <c r="M813" s="314"/>
      <c r="N813" s="314"/>
      <c r="O813" s="314"/>
      <c r="P813" s="318"/>
      <c r="Q813" s="314"/>
      <c r="R813" s="316"/>
      <c r="S813" s="314"/>
      <c r="T813" s="314"/>
      <c r="U813" s="314"/>
      <c r="V813" s="314"/>
      <c r="W813" s="318"/>
      <c r="X813" s="314"/>
      <c r="Y813" s="314"/>
      <c r="Z813" s="697"/>
      <c r="AA813" s="315"/>
      <c r="AB813" s="314"/>
      <c r="AC813" s="314"/>
      <c r="AD813" s="324"/>
      <c r="AE813" s="180"/>
      <c r="AF813" s="155"/>
      <c r="AG813" s="322"/>
      <c r="AH813" s="132"/>
      <c r="AI813" s="132"/>
    </row>
    <row r="814">
      <c r="A814" s="458"/>
      <c r="B814" s="746"/>
      <c r="C814" s="739"/>
      <c r="D814" s="745"/>
      <c r="E814" s="314"/>
      <c r="F814" s="314"/>
      <c r="G814" s="314"/>
      <c r="H814" s="314"/>
      <c r="I814" s="318"/>
      <c r="J814" s="314"/>
      <c r="K814" s="435"/>
      <c r="L814" s="435"/>
      <c r="M814" s="435"/>
      <c r="N814" s="314"/>
      <c r="O814" s="314"/>
      <c r="P814" s="740"/>
      <c r="Q814" s="435"/>
      <c r="R814" s="742"/>
      <c r="S814" s="435"/>
      <c r="T814" s="435"/>
      <c r="U814" s="435"/>
      <c r="V814" s="435"/>
      <c r="W814" s="740"/>
      <c r="X814" s="435"/>
      <c r="Y814" s="435"/>
      <c r="Z814" s="743"/>
      <c r="AA814" s="744"/>
      <c r="AB814" s="435"/>
      <c r="AC814" s="435"/>
      <c r="AD814" s="324"/>
      <c r="AE814" s="180"/>
      <c r="AF814" s="155"/>
      <c r="AG814" s="322"/>
      <c r="AH814" s="132"/>
      <c r="AI814" s="132"/>
    </row>
    <row r="815">
      <c r="A815" s="458"/>
      <c r="B815" s="695"/>
      <c r="C815" s="696"/>
      <c r="D815" s="745"/>
      <c r="E815" s="314"/>
      <c r="F815" s="314"/>
      <c r="G815" s="314"/>
      <c r="H815" s="314"/>
      <c r="I815" s="318"/>
      <c r="J815" s="314"/>
      <c r="K815" s="314"/>
      <c r="L815" s="314"/>
      <c r="M815" s="314"/>
      <c r="N815" s="314"/>
      <c r="O815" s="314"/>
      <c r="P815" s="318"/>
      <c r="Q815" s="314"/>
      <c r="R815" s="316"/>
      <c r="S815" s="314"/>
      <c r="T815" s="314"/>
      <c r="U815" s="314"/>
      <c r="V815" s="314"/>
      <c r="W815" s="318"/>
      <c r="X815" s="314"/>
      <c r="Y815" s="314"/>
      <c r="Z815" s="697"/>
      <c r="AA815" s="315"/>
      <c r="AB815" s="314"/>
      <c r="AC815" s="314"/>
      <c r="AD815" s="324"/>
      <c r="AE815" s="180"/>
      <c r="AF815" s="155"/>
      <c r="AG815" s="322"/>
      <c r="AH815" s="132"/>
      <c r="AI815" s="132"/>
    </row>
    <row r="816">
      <c r="A816" s="458"/>
      <c r="B816" s="695"/>
      <c r="C816" s="739"/>
      <c r="D816" s="312"/>
      <c r="E816" s="314"/>
      <c r="F816" s="314"/>
      <c r="G816" s="314"/>
      <c r="H816" s="314"/>
      <c r="I816" s="740"/>
      <c r="J816" s="314"/>
      <c r="K816" s="314"/>
      <c r="L816" s="435"/>
      <c r="M816" s="314"/>
      <c r="N816" s="314"/>
      <c r="O816" s="314"/>
      <c r="P816" s="318"/>
      <c r="Q816" s="435"/>
      <c r="R816" s="742"/>
      <c r="S816" s="435"/>
      <c r="T816" s="435"/>
      <c r="U816" s="435"/>
      <c r="V816" s="435"/>
      <c r="W816" s="740"/>
      <c r="X816" s="435"/>
      <c r="Y816" s="435"/>
      <c r="Z816" s="743"/>
      <c r="AA816" s="744"/>
      <c r="AB816" s="435"/>
      <c r="AC816" s="435"/>
      <c r="AD816" s="324"/>
      <c r="AE816" s="180"/>
      <c r="AF816" s="155"/>
      <c r="AG816" s="322"/>
      <c r="AH816" s="132"/>
      <c r="AI816" s="132"/>
    </row>
    <row r="817">
      <c r="A817" s="458"/>
      <c r="B817" s="695"/>
      <c r="C817" s="739"/>
      <c r="D817" s="745"/>
      <c r="E817" s="435"/>
      <c r="F817" s="314"/>
      <c r="G817" s="314"/>
      <c r="H817" s="435"/>
      <c r="I817" s="740"/>
      <c r="J817" s="314"/>
      <c r="K817" s="435"/>
      <c r="L817" s="435"/>
      <c r="M817" s="314"/>
      <c r="N817" s="314"/>
      <c r="O817" s="314"/>
      <c r="P817" s="740"/>
      <c r="Q817" s="435"/>
      <c r="R817" s="742"/>
      <c r="S817" s="435"/>
      <c r="T817" s="435"/>
      <c r="U817" s="435"/>
      <c r="V817" s="435"/>
      <c r="W817" s="740"/>
      <c r="X817" s="435"/>
      <c r="Y817" s="435"/>
      <c r="Z817" s="743"/>
      <c r="AA817" s="744"/>
      <c r="AB817" s="435"/>
      <c r="AC817" s="435"/>
      <c r="AD817" s="324"/>
      <c r="AE817" s="180"/>
      <c r="AF817" s="155"/>
      <c r="AG817" s="322"/>
      <c r="AH817" s="132"/>
      <c r="AI817" s="132"/>
    </row>
    <row r="818">
      <c r="A818" s="458"/>
      <c r="B818" s="695"/>
      <c r="C818" s="739"/>
      <c r="D818" s="745"/>
      <c r="E818" s="314"/>
      <c r="F818" s="314"/>
      <c r="G818" s="314"/>
      <c r="H818" s="314"/>
      <c r="I818" s="318"/>
      <c r="J818" s="314"/>
      <c r="K818" s="435"/>
      <c r="L818" s="314"/>
      <c r="M818" s="314"/>
      <c r="N818" s="314"/>
      <c r="O818" s="314"/>
      <c r="P818" s="318"/>
      <c r="Q818" s="314"/>
      <c r="R818" s="742"/>
      <c r="S818" s="435"/>
      <c r="T818" s="435"/>
      <c r="U818" s="435"/>
      <c r="V818" s="435"/>
      <c r="W818" s="740"/>
      <c r="X818" s="435"/>
      <c r="Y818" s="435"/>
      <c r="Z818" s="743"/>
      <c r="AA818" s="744"/>
      <c r="AB818" s="435"/>
      <c r="AC818" s="435"/>
      <c r="AD818" s="324"/>
      <c r="AE818" s="180"/>
      <c r="AF818" s="155"/>
      <c r="AG818" s="322"/>
      <c r="AH818" s="132"/>
      <c r="AI818" s="132"/>
    </row>
    <row r="819">
      <c r="A819" s="458"/>
      <c r="B819" s="746"/>
      <c r="C819" s="739"/>
      <c r="D819" s="745"/>
      <c r="E819" s="435"/>
      <c r="F819" s="314"/>
      <c r="G819" s="314"/>
      <c r="H819" s="435"/>
      <c r="I819" s="740"/>
      <c r="J819" s="435"/>
      <c r="K819" s="435"/>
      <c r="L819" s="435"/>
      <c r="M819" s="435"/>
      <c r="N819" s="435"/>
      <c r="O819" s="314"/>
      <c r="P819" s="740"/>
      <c r="Q819" s="435"/>
      <c r="R819" s="742"/>
      <c r="S819" s="435"/>
      <c r="T819" s="435"/>
      <c r="U819" s="435"/>
      <c r="V819" s="435"/>
      <c r="W819" s="740"/>
      <c r="X819" s="435"/>
      <c r="Y819" s="435"/>
      <c r="Z819" s="743"/>
      <c r="AA819" s="744"/>
      <c r="AB819" s="435"/>
      <c r="AC819" s="435"/>
      <c r="AD819" s="324"/>
      <c r="AE819" s="180"/>
      <c r="AF819" s="155"/>
      <c r="AG819" s="322"/>
      <c r="AH819" s="132"/>
      <c r="AI819" s="132"/>
    </row>
    <row r="820">
      <c r="A820" s="435"/>
      <c r="B820" s="746"/>
      <c r="C820" s="739"/>
      <c r="D820" s="745"/>
      <c r="E820" s="435"/>
      <c r="F820" s="314"/>
      <c r="G820" s="314"/>
      <c r="H820" s="435"/>
      <c r="I820" s="740"/>
      <c r="J820" s="435"/>
      <c r="K820" s="435"/>
      <c r="L820" s="435"/>
      <c r="M820" s="435"/>
      <c r="N820" s="435"/>
      <c r="O820" s="314"/>
      <c r="P820" s="740"/>
      <c r="Q820" s="435"/>
      <c r="R820" s="742"/>
      <c r="S820" s="435"/>
      <c r="T820" s="435"/>
      <c r="U820" s="435"/>
      <c r="V820" s="435"/>
      <c r="W820" s="740"/>
      <c r="X820" s="435"/>
      <c r="Y820" s="435"/>
      <c r="Z820" s="743"/>
      <c r="AA820" s="744"/>
      <c r="AB820" s="435"/>
      <c r="AC820" s="435"/>
      <c r="AD820" s="324"/>
      <c r="AE820" s="180"/>
      <c r="AF820" s="155"/>
      <c r="AG820" s="322"/>
      <c r="AH820" s="132"/>
      <c r="AI820" s="132"/>
    </row>
    <row r="821">
      <c r="A821" s="474"/>
      <c r="B821" s="746"/>
      <c r="C821" s="739"/>
      <c r="D821" s="745"/>
      <c r="E821" s="435"/>
      <c r="F821" s="314"/>
      <c r="G821" s="314"/>
      <c r="H821" s="435"/>
      <c r="I821" s="740"/>
      <c r="J821" s="435"/>
      <c r="K821" s="435"/>
      <c r="L821" s="435"/>
      <c r="M821" s="435"/>
      <c r="N821" s="435"/>
      <c r="O821" s="314"/>
      <c r="P821" s="740"/>
      <c r="Q821" s="435"/>
      <c r="R821" s="742"/>
      <c r="S821" s="435"/>
      <c r="T821" s="435"/>
      <c r="U821" s="435"/>
      <c r="V821" s="435"/>
      <c r="W821" s="740"/>
      <c r="X821" s="435"/>
      <c r="Y821" s="435"/>
      <c r="Z821" s="743"/>
      <c r="AA821" s="744"/>
      <c r="AB821" s="435"/>
      <c r="AC821" s="435"/>
      <c r="AD821" s="324"/>
      <c r="AE821" s="180"/>
      <c r="AF821" s="155"/>
      <c r="AG821" s="322"/>
      <c r="AH821" s="132"/>
      <c r="AI821" s="132"/>
    </row>
    <row r="822">
      <c r="A822" s="474"/>
      <c r="B822" s="746"/>
      <c r="C822" s="696"/>
      <c r="D822" s="745"/>
      <c r="E822" s="435"/>
      <c r="F822" s="314"/>
      <c r="G822" s="314"/>
      <c r="H822" s="435"/>
      <c r="I822" s="740"/>
      <c r="J822" s="435"/>
      <c r="K822" s="314"/>
      <c r="L822" s="314"/>
      <c r="M822" s="314"/>
      <c r="N822" s="435"/>
      <c r="O822" s="314"/>
      <c r="P822" s="318"/>
      <c r="Q822" s="435"/>
      <c r="R822" s="316"/>
      <c r="S822" s="435"/>
      <c r="T822" s="435"/>
      <c r="U822" s="435"/>
      <c r="V822" s="435"/>
      <c r="W822" s="740"/>
      <c r="X822" s="435"/>
      <c r="Y822" s="435"/>
      <c r="Z822" s="743"/>
      <c r="AA822" s="744"/>
      <c r="AB822" s="435"/>
      <c r="AC822" s="435"/>
      <c r="AD822" s="324"/>
      <c r="AE822" s="180"/>
      <c r="AF822" s="155"/>
      <c r="AG822" s="322"/>
      <c r="AH822" s="132"/>
      <c r="AI822" s="132"/>
    </row>
    <row r="823">
      <c r="A823" s="474"/>
      <c r="B823" s="695"/>
      <c r="C823" s="696"/>
      <c r="D823" s="312"/>
      <c r="E823" s="314"/>
      <c r="F823" s="314"/>
      <c r="G823" s="314"/>
      <c r="H823" s="314"/>
      <c r="I823" s="318"/>
      <c r="J823" s="314"/>
      <c r="K823" s="435"/>
      <c r="L823" s="314"/>
      <c r="M823" s="314"/>
      <c r="N823" s="314"/>
      <c r="O823" s="314"/>
      <c r="P823" s="740"/>
      <c r="Q823" s="314"/>
      <c r="R823" s="316"/>
      <c r="S823" s="314"/>
      <c r="T823" s="314"/>
      <c r="U823" s="314"/>
      <c r="V823" s="314"/>
      <c r="W823" s="318"/>
      <c r="X823" s="314"/>
      <c r="Y823" s="314"/>
      <c r="Z823" s="697"/>
      <c r="AA823" s="315"/>
      <c r="AB823" s="314"/>
      <c r="AC823" s="314"/>
      <c r="AD823" s="324"/>
      <c r="AE823" s="180"/>
      <c r="AF823" s="155"/>
      <c r="AG823" s="322"/>
      <c r="AH823" s="132"/>
      <c r="AI823" s="132"/>
    </row>
    <row r="824">
      <c r="A824" s="474"/>
      <c r="B824" s="695"/>
      <c r="C824" s="739"/>
      <c r="D824" s="745"/>
      <c r="E824" s="314"/>
      <c r="F824" s="314"/>
      <c r="G824" s="314"/>
      <c r="H824" s="314"/>
      <c r="I824" s="740"/>
      <c r="J824" s="314"/>
      <c r="K824" s="314"/>
      <c r="L824" s="314"/>
      <c r="M824" s="314"/>
      <c r="N824" s="314"/>
      <c r="O824" s="314"/>
      <c r="P824" s="318"/>
      <c r="Q824" s="314"/>
      <c r="R824" s="316"/>
      <c r="S824" s="314"/>
      <c r="T824" s="314"/>
      <c r="U824" s="314"/>
      <c r="V824" s="314"/>
      <c r="W824" s="318"/>
      <c r="X824" s="314"/>
      <c r="Y824" s="314"/>
      <c r="Z824" s="697"/>
      <c r="AA824" s="315"/>
      <c r="AB824" s="314"/>
      <c r="AC824" s="314"/>
      <c r="AD824" s="324"/>
      <c r="AE824" s="180"/>
      <c r="AF824" s="155"/>
      <c r="AG824" s="322"/>
      <c r="AH824" s="132"/>
      <c r="AI824" s="132"/>
    </row>
    <row r="825">
      <c r="A825" s="474"/>
      <c r="B825" s="695"/>
      <c r="C825" s="696"/>
      <c r="D825" s="312"/>
      <c r="E825" s="314"/>
      <c r="F825" s="314"/>
      <c r="G825" s="314"/>
      <c r="H825" s="314"/>
      <c r="I825" s="318"/>
      <c r="J825" s="314"/>
      <c r="K825" s="435"/>
      <c r="L825" s="314"/>
      <c r="M825" s="314"/>
      <c r="N825" s="314"/>
      <c r="O825" s="314"/>
      <c r="P825" s="318"/>
      <c r="Q825" s="314"/>
      <c r="R825" s="316"/>
      <c r="S825" s="314"/>
      <c r="T825" s="314"/>
      <c r="U825" s="314"/>
      <c r="V825" s="314"/>
      <c r="W825" s="318"/>
      <c r="X825" s="314"/>
      <c r="Y825" s="314"/>
      <c r="Z825" s="697"/>
      <c r="AA825" s="315"/>
      <c r="AB825" s="314"/>
      <c r="AC825" s="314"/>
      <c r="AD825" s="324"/>
      <c r="AE825" s="180"/>
      <c r="AF825" s="155"/>
      <c r="AG825" s="322"/>
      <c r="AH825" s="132"/>
      <c r="AI825" s="132"/>
    </row>
    <row r="826">
      <c r="A826" s="458"/>
      <c r="B826" s="695"/>
      <c r="C826" s="739"/>
      <c r="D826" s="312"/>
      <c r="E826" s="314"/>
      <c r="F826" s="314"/>
      <c r="G826" s="314"/>
      <c r="H826" s="314"/>
      <c r="I826" s="318"/>
      <c r="J826" s="435"/>
      <c r="K826" s="435"/>
      <c r="L826" s="314"/>
      <c r="M826" s="314"/>
      <c r="N826" s="314"/>
      <c r="O826" s="314"/>
      <c r="P826" s="318"/>
      <c r="Q826" s="314"/>
      <c r="R826" s="316"/>
      <c r="S826" s="314"/>
      <c r="T826" s="314"/>
      <c r="U826" s="314"/>
      <c r="V826" s="314"/>
      <c r="W826" s="318"/>
      <c r="X826" s="314"/>
      <c r="Y826" s="314"/>
      <c r="Z826" s="697"/>
      <c r="AA826" s="315"/>
      <c r="AB826" s="314"/>
      <c r="AC826" s="314"/>
      <c r="AD826" s="324"/>
      <c r="AE826" s="180"/>
      <c r="AF826" s="155"/>
      <c r="AG826" s="322"/>
      <c r="AH826" s="132"/>
      <c r="AI826" s="132"/>
    </row>
    <row r="827">
      <c r="A827" s="435"/>
      <c r="B827" s="695"/>
      <c r="C827" s="739"/>
      <c r="D827" s="745"/>
      <c r="E827" s="435"/>
      <c r="F827" s="314"/>
      <c r="G827" s="314"/>
      <c r="H827" s="435"/>
      <c r="I827" s="318"/>
      <c r="J827" s="314"/>
      <c r="K827" s="435"/>
      <c r="L827" s="314"/>
      <c r="M827" s="435"/>
      <c r="N827" s="435"/>
      <c r="O827" s="314"/>
      <c r="P827" s="318"/>
      <c r="Q827" s="314"/>
      <c r="R827" s="742"/>
      <c r="S827" s="314"/>
      <c r="T827" s="314"/>
      <c r="U827" s="314"/>
      <c r="V827" s="314"/>
      <c r="W827" s="318"/>
      <c r="X827" s="314"/>
      <c r="Y827" s="314"/>
      <c r="Z827" s="697"/>
      <c r="AA827" s="315"/>
      <c r="AB827" s="314"/>
      <c r="AC827" s="314"/>
      <c r="AD827" s="324"/>
      <c r="AE827" s="180"/>
      <c r="AF827" s="155"/>
      <c r="AG827" s="322"/>
      <c r="AH827" s="132"/>
      <c r="AI827" s="132"/>
    </row>
    <row r="828">
      <c r="A828" s="435"/>
      <c r="B828" s="746"/>
      <c r="C828" s="696"/>
      <c r="D828" s="312"/>
      <c r="E828" s="314"/>
      <c r="F828" s="314"/>
      <c r="G828" s="314"/>
      <c r="H828" s="314"/>
      <c r="I828" s="318"/>
      <c r="J828" s="314"/>
      <c r="K828" s="314"/>
      <c r="L828" s="314"/>
      <c r="M828" s="314"/>
      <c r="N828" s="314"/>
      <c r="O828" s="314"/>
      <c r="P828" s="740"/>
      <c r="Q828" s="314"/>
      <c r="R828" s="316"/>
      <c r="S828" s="314"/>
      <c r="T828" s="314"/>
      <c r="U828" s="314"/>
      <c r="V828" s="314"/>
      <c r="W828" s="318"/>
      <c r="X828" s="314"/>
      <c r="Y828" s="314"/>
      <c r="Z828" s="697"/>
      <c r="AA828" s="315"/>
      <c r="AB828" s="314"/>
      <c r="AC828" s="314"/>
      <c r="AD828" s="324"/>
      <c r="AE828" s="180"/>
      <c r="AF828" s="155"/>
      <c r="AG828" s="322"/>
      <c r="AH828" s="132"/>
      <c r="AI828" s="132"/>
    </row>
    <row r="829">
      <c r="A829" s="435"/>
      <c r="B829" s="746"/>
      <c r="C829" s="696"/>
      <c r="D829" s="312"/>
      <c r="E829" s="314"/>
      <c r="F829" s="314"/>
      <c r="G829" s="314"/>
      <c r="H829" s="314"/>
      <c r="I829" s="318"/>
      <c r="J829" s="314"/>
      <c r="K829" s="314"/>
      <c r="L829" s="314"/>
      <c r="M829" s="314"/>
      <c r="N829" s="314"/>
      <c r="O829" s="314"/>
      <c r="P829" s="318"/>
      <c r="Q829" s="435"/>
      <c r="R829" s="316"/>
      <c r="S829" s="435"/>
      <c r="T829" s="435"/>
      <c r="U829" s="435"/>
      <c r="V829" s="435"/>
      <c r="W829" s="740"/>
      <c r="X829" s="435"/>
      <c r="Y829" s="435"/>
      <c r="Z829" s="743"/>
      <c r="AA829" s="744"/>
      <c r="AB829" s="435"/>
      <c r="AC829" s="435"/>
      <c r="AD829" s="324"/>
      <c r="AE829" s="180"/>
      <c r="AF829" s="155"/>
      <c r="AG829" s="322"/>
      <c r="AH829" s="132"/>
      <c r="AI829" s="132"/>
    </row>
    <row r="830">
      <c r="A830" s="435"/>
      <c r="B830" s="695"/>
      <c r="C830" s="739"/>
      <c r="D830" s="312"/>
      <c r="E830" s="314"/>
      <c r="F830" s="314"/>
      <c r="G830" s="314"/>
      <c r="H830" s="314"/>
      <c r="I830" s="318"/>
      <c r="J830" s="314"/>
      <c r="K830" s="314"/>
      <c r="L830" s="314"/>
      <c r="M830" s="314"/>
      <c r="N830" s="314"/>
      <c r="O830" s="314"/>
      <c r="P830" s="318"/>
      <c r="Q830" s="314"/>
      <c r="R830" s="742"/>
      <c r="S830" s="314"/>
      <c r="T830" s="314"/>
      <c r="U830" s="314"/>
      <c r="V830" s="314"/>
      <c r="W830" s="318"/>
      <c r="X830" s="314"/>
      <c r="Y830" s="314"/>
      <c r="Z830" s="697"/>
      <c r="AA830" s="315"/>
      <c r="AB830" s="314"/>
      <c r="AC830" s="314"/>
      <c r="AD830" s="324"/>
      <c r="AE830" s="180"/>
      <c r="AF830" s="155"/>
      <c r="AG830" s="322"/>
      <c r="AH830" s="132"/>
      <c r="AI830" s="132"/>
    </row>
    <row r="831">
      <c r="A831" s="435"/>
      <c r="B831" s="695"/>
      <c r="C831" s="696"/>
      <c r="D831" s="312"/>
      <c r="E831" s="314"/>
      <c r="F831" s="314"/>
      <c r="G831" s="314"/>
      <c r="H831" s="314"/>
      <c r="I831" s="318"/>
      <c r="J831" s="314"/>
      <c r="K831" s="435"/>
      <c r="L831" s="314"/>
      <c r="M831" s="435"/>
      <c r="N831" s="314"/>
      <c r="O831" s="314"/>
      <c r="P831" s="318"/>
      <c r="Q831" s="435"/>
      <c r="R831" s="316"/>
      <c r="S831" s="314"/>
      <c r="T831" s="314"/>
      <c r="U831" s="314"/>
      <c r="V831" s="314"/>
      <c r="W831" s="318"/>
      <c r="X831" s="314"/>
      <c r="Y831" s="314"/>
      <c r="Z831" s="697"/>
      <c r="AA831" s="315"/>
      <c r="AB831" s="314"/>
      <c r="AC831" s="314"/>
      <c r="AD831" s="324"/>
      <c r="AE831" s="180"/>
      <c r="AF831" s="155"/>
      <c r="AG831" s="322"/>
      <c r="AH831" s="132"/>
      <c r="AI831" s="132"/>
    </row>
    <row r="832">
      <c r="A832" s="435"/>
      <c r="B832" s="695"/>
      <c r="C832" s="739"/>
      <c r="D832" s="745"/>
      <c r="E832" s="314"/>
      <c r="F832" s="314"/>
      <c r="G832" s="314"/>
      <c r="H832" s="314"/>
      <c r="I832" s="318"/>
      <c r="J832" s="314"/>
      <c r="K832" s="435"/>
      <c r="L832" s="314"/>
      <c r="M832" s="435"/>
      <c r="N832" s="314"/>
      <c r="O832" s="314"/>
      <c r="P832" s="318"/>
      <c r="Q832" s="435"/>
      <c r="R832" s="316"/>
      <c r="S832" s="314"/>
      <c r="T832" s="314"/>
      <c r="U832" s="314"/>
      <c r="V832" s="314"/>
      <c r="W832" s="318"/>
      <c r="X832" s="314"/>
      <c r="Y832" s="314"/>
      <c r="Z832" s="697"/>
      <c r="AA832" s="315"/>
      <c r="AB832" s="314"/>
      <c r="AC832" s="314"/>
      <c r="AD832" s="324"/>
      <c r="AE832" s="180"/>
      <c r="AF832" s="155"/>
      <c r="AG832" s="322"/>
      <c r="AH832" s="132"/>
      <c r="AI832" s="132"/>
    </row>
    <row r="833">
      <c r="A833" s="476"/>
      <c r="AF833" s="176"/>
      <c r="AG833" s="322"/>
      <c r="AH833" s="132"/>
      <c r="AI833" s="132"/>
    </row>
    <row r="834">
      <c r="A834" s="178"/>
      <c r="AG834" s="322"/>
      <c r="AH834" s="132"/>
      <c r="AI834" s="132"/>
    </row>
    <row r="835">
      <c r="A835" s="474"/>
      <c r="B835" s="746"/>
      <c r="C835" s="739"/>
      <c r="D835" s="745"/>
      <c r="E835" s="435"/>
      <c r="F835" s="314"/>
      <c r="G835" s="314"/>
      <c r="H835" s="314"/>
      <c r="I835" s="740"/>
      <c r="J835" s="435"/>
      <c r="K835" s="435"/>
      <c r="L835" s="435"/>
      <c r="M835" s="435"/>
      <c r="N835" s="435"/>
      <c r="O835" s="314"/>
      <c r="P835" s="740"/>
      <c r="Q835" s="435"/>
      <c r="R835" s="742"/>
      <c r="S835" s="435"/>
      <c r="T835" s="435"/>
      <c r="U835" s="435"/>
      <c r="V835" s="435"/>
      <c r="W835" s="740"/>
      <c r="X835" s="435"/>
      <c r="Y835" s="435"/>
      <c r="Z835" s="743"/>
      <c r="AA835" s="744"/>
      <c r="AB835" s="435"/>
      <c r="AC835" s="435"/>
      <c r="AD835" s="324"/>
      <c r="AE835" s="180"/>
      <c r="AF835" s="155"/>
      <c r="AG835" s="322"/>
      <c r="AH835" s="132"/>
      <c r="AI835" s="132"/>
    </row>
    <row r="836">
      <c r="A836" s="474"/>
      <c r="B836" s="695"/>
      <c r="C836" s="739"/>
      <c r="D836" s="745"/>
      <c r="E836" s="435"/>
      <c r="F836" s="314"/>
      <c r="G836" s="314"/>
      <c r="H836" s="435"/>
      <c r="I836" s="318"/>
      <c r="J836" s="435"/>
      <c r="K836" s="435"/>
      <c r="L836" s="435"/>
      <c r="M836" s="314"/>
      <c r="N836" s="314"/>
      <c r="O836" s="314"/>
      <c r="P836" s="740"/>
      <c r="Q836" s="435"/>
      <c r="R836" s="742"/>
      <c r="S836" s="435"/>
      <c r="T836" s="435"/>
      <c r="U836" s="435"/>
      <c r="V836" s="435"/>
      <c r="W836" s="740"/>
      <c r="X836" s="435"/>
      <c r="Y836" s="435"/>
      <c r="Z836" s="743"/>
      <c r="AA836" s="744"/>
      <c r="AB836" s="435"/>
      <c r="AC836" s="435"/>
      <c r="AD836" s="324"/>
      <c r="AE836" s="180"/>
      <c r="AF836" s="155"/>
      <c r="AG836" s="322"/>
      <c r="AH836" s="132"/>
      <c r="AI836" s="132"/>
    </row>
    <row r="837">
      <c r="A837" s="477"/>
      <c r="B837" s="746"/>
      <c r="C837" s="739"/>
      <c r="D837" s="745"/>
      <c r="E837" s="314"/>
      <c r="F837" s="314"/>
      <c r="G837" s="314"/>
      <c r="H837" s="435"/>
      <c r="I837" s="740"/>
      <c r="J837" s="435"/>
      <c r="K837" s="435"/>
      <c r="L837" s="435"/>
      <c r="M837" s="435"/>
      <c r="N837" s="435"/>
      <c r="O837" s="314"/>
      <c r="P837" s="740"/>
      <c r="Q837" s="435"/>
      <c r="R837" s="742"/>
      <c r="S837" s="435"/>
      <c r="T837" s="435"/>
      <c r="U837" s="435"/>
      <c r="V837" s="435"/>
      <c r="W837" s="740"/>
      <c r="X837" s="435"/>
      <c r="Y837" s="435"/>
      <c r="Z837" s="743"/>
      <c r="AA837" s="744"/>
      <c r="AB837" s="435"/>
      <c r="AC837" s="435"/>
      <c r="AD837" s="324"/>
      <c r="AE837" s="180"/>
      <c r="AF837" s="155"/>
      <c r="AG837" s="322"/>
      <c r="AH837" s="132"/>
      <c r="AI837" s="132"/>
    </row>
    <row r="838">
      <c r="A838" s="477"/>
      <c r="B838" s="746"/>
      <c r="C838" s="739"/>
      <c r="D838" s="745"/>
      <c r="E838" s="314"/>
      <c r="F838" s="314"/>
      <c r="G838" s="314"/>
      <c r="H838" s="435"/>
      <c r="I838" s="318"/>
      <c r="J838" s="314"/>
      <c r="K838" s="435"/>
      <c r="L838" s="435"/>
      <c r="M838" s="435"/>
      <c r="N838" s="314"/>
      <c r="O838" s="314"/>
      <c r="P838" s="740"/>
      <c r="Q838" s="435"/>
      <c r="R838" s="742"/>
      <c r="S838" s="435"/>
      <c r="T838" s="435"/>
      <c r="U838" s="435"/>
      <c r="V838" s="435"/>
      <c r="W838" s="740"/>
      <c r="X838" s="435"/>
      <c r="Y838" s="435"/>
      <c r="Z838" s="743"/>
      <c r="AA838" s="744"/>
      <c r="AB838" s="435"/>
      <c r="AC838" s="435"/>
      <c r="AD838" s="324"/>
      <c r="AE838" s="180"/>
      <c r="AF838" s="155"/>
      <c r="AG838" s="322"/>
      <c r="AH838" s="132"/>
      <c r="AI838" s="132"/>
    </row>
    <row r="839">
      <c r="A839" s="477"/>
      <c r="B839" s="746"/>
      <c r="C839" s="739"/>
      <c r="D839" s="745"/>
      <c r="E839" s="435"/>
      <c r="F839" s="314"/>
      <c r="G839" s="314"/>
      <c r="H839" s="435"/>
      <c r="I839" s="740"/>
      <c r="J839" s="435"/>
      <c r="K839" s="435"/>
      <c r="L839" s="435"/>
      <c r="M839" s="435"/>
      <c r="N839" s="435"/>
      <c r="O839" s="314"/>
      <c r="P839" s="740"/>
      <c r="Q839" s="435"/>
      <c r="R839" s="742"/>
      <c r="S839" s="435"/>
      <c r="T839" s="435"/>
      <c r="U839" s="435"/>
      <c r="V839" s="435"/>
      <c r="W839" s="740"/>
      <c r="X839" s="435"/>
      <c r="Y839" s="435"/>
      <c r="Z839" s="743"/>
      <c r="AA839" s="744"/>
      <c r="AB839" s="435"/>
      <c r="AC839" s="435"/>
      <c r="AD839" s="324"/>
      <c r="AE839" s="180"/>
      <c r="AF839" s="155"/>
      <c r="AG839" s="322"/>
      <c r="AH839" s="132"/>
      <c r="AI839" s="132"/>
    </row>
    <row r="840">
      <c r="A840" s="474"/>
      <c r="B840" s="695"/>
      <c r="C840" s="739"/>
      <c r="D840" s="312"/>
      <c r="E840" s="435"/>
      <c r="F840" s="314"/>
      <c r="G840" s="314"/>
      <c r="H840" s="435"/>
      <c r="I840" s="318"/>
      <c r="J840" s="435"/>
      <c r="K840" s="435"/>
      <c r="L840" s="314"/>
      <c r="M840" s="435"/>
      <c r="N840" s="314"/>
      <c r="O840" s="314"/>
      <c r="P840" s="740"/>
      <c r="Q840" s="435"/>
      <c r="R840" s="742"/>
      <c r="S840" s="435"/>
      <c r="T840" s="435"/>
      <c r="U840" s="435"/>
      <c r="V840" s="435"/>
      <c r="W840" s="740"/>
      <c r="X840" s="435"/>
      <c r="Y840" s="435"/>
      <c r="Z840" s="743"/>
      <c r="AA840" s="744"/>
      <c r="AB840" s="435"/>
      <c r="AC840" s="435"/>
      <c r="AD840" s="324"/>
      <c r="AE840" s="180"/>
      <c r="AF840" s="155"/>
      <c r="AG840" s="322"/>
      <c r="AH840" s="132"/>
      <c r="AI840" s="132"/>
    </row>
    <row r="841">
      <c r="A841" s="478"/>
      <c r="B841" s="746"/>
      <c r="C841" s="739"/>
      <c r="D841" s="745"/>
      <c r="E841" s="435"/>
      <c r="F841" s="314"/>
      <c r="G841" s="314"/>
      <c r="H841" s="435"/>
      <c r="I841" s="740"/>
      <c r="J841" s="435"/>
      <c r="K841" s="435"/>
      <c r="L841" s="435"/>
      <c r="M841" s="435"/>
      <c r="N841" s="435"/>
      <c r="O841" s="314"/>
      <c r="P841" s="740"/>
      <c r="Q841" s="435"/>
      <c r="R841" s="742"/>
      <c r="S841" s="435"/>
      <c r="T841" s="435"/>
      <c r="U841" s="435"/>
      <c r="V841" s="435"/>
      <c r="W841" s="740"/>
      <c r="X841" s="435"/>
      <c r="Y841" s="435"/>
      <c r="Z841" s="743"/>
      <c r="AA841" s="744"/>
      <c r="AB841" s="435"/>
      <c r="AC841" s="435"/>
      <c r="AD841" s="324"/>
      <c r="AE841" s="180"/>
      <c r="AF841" s="155"/>
      <c r="AG841" s="322"/>
      <c r="AH841" s="132"/>
      <c r="AI841" s="132"/>
    </row>
    <row r="842">
      <c r="A842" s="478"/>
      <c r="B842" s="746"/>
      <c r="C842" s="739"/>
      <c r="D842" s="745"/>
      <c r="E842" s="435"/>
      <c r="F842" s="314"/>
      <c r="G842" s="314"/>
      <c r="H842" s="435"/>
      <c r="I842" s="740"/>
      <c r="J842" s="435"/>
      <c r="K842" s="435"/>
      <c r="L842" s="435"/>
      <c r="M842" s="435"/>
      <c r="N842" s="435"/>
      <c r="O842" s="314"/>
      <c r="P842" s="740"/>
      <c r="Q842" s="435"/>
      <c r="R842" s="742"/>
      <c r="S842" s="435"/>
      <c r="T842" s="435"/>
      <c r="U842" s="435"/>
      <c r="V842" s="435"/>
      <c r="W842" s="740"/>
      <c r="X842" s="435"/>
      <c r="Y842" s="435"/>
      <c r="Z842" s="743"/>
      <c r="AA842" s="744"/>
      <c r="AB842" s="435"/>
      <c r="AC842" s="435"/>
      <c r="AD842" s="324"/>
      <c r="AE842" s="180"/>
      <c r="AF842" s="155"/>
      <c r="AG842" s="322"/>
      <c r="AH842" s="132"/>
      <c r="AI842" s="132"/>
    </row>
    <row r="843">
      <c r="A843" s="478"/>
      <c r="B843" s="746"/>
      <c r="C843" s="739"/>
      <c r="D843" s="312"/>
      <c r="E843" s="314"/>
      <c r="F843" s="314"/>
      <c r="G843" s="314"/>
      <c r="H843" s="435"/>
      <c r="I843" s="740"/>
      <c r="J843" s="314"/>
      <c r="K843" s="435"/>
      <c r="L843" s="314"/>
      <c r="M843" s="435"/>
      <c r="N843" s="314"/>
      <c r="O843" s="314"/>
      <c r="P843" s="318"/>
      <c r="Q843" s="314"/>
      <c r="R843" s="316"/>
      <c r="S843" s="435"/>
      <c r="T843" s="435"/>
      <c r="U843" s="435"/>
      <c r="V843" s="435"/>
      <c r="W843" s="740"/>
      <c r="X843" s="435"/>
      <c r="Y843" s="435"/>
      <c r="Z843" s="743"/>
      <c r="AA843" s="744"/>
      <c r="AB843" s="435"/>
      <c r="AC843" s="435"/>
      <c r="AD843" s="324"/>
      <c r="AE843" s="180"/>
      <c r="AF843" s="155"/>
      <c r="AG843" s="322"/>
      <c r="AH843" s="132"/>
      <c r="AI843" s="132"/>
    </row>
    <row r="844">
      <c r="A844" s="477"/>
      <c r="B844" s="695"/>
      <c r="C844" s="739"/>
      <c r="D844" s="745"/>
      <c r="E844" s="435"/>
      <c r="F844" s="314"/>
      <c r="G844" s="314"/>
      <c r="H844" s="435"/>
      <c r="I844" s="740"/>
      <c r="J844" s="435"/>
      <c r="K844" s="435"/>
      <c r="L844" s="435"/>
      <c r="M844" s="435"/>
      <c r="N844" s="435"/>
      <c r="O844" s="314"/>
      <c r="P844" s="740"/>
      <c r="Q844" s="435"/>
      <c r="R844" s="742"/>
      <c r="S844" s="435"/>
      <c r="T844" s="435"/>
      <c r="U844" s="435"/>
      <c r="V844" s="435"/>
      <c r="W844" s="740"/>
      <c r="X844" s="435"/>
      <c r="Y844" s="435"/>
      <c r="Z844" s="743"/>
      <c r="AA844" s="744"/>
      <c r="AB844" s="435"/>
      <c r="AC844" s="435"/>
      <c r="AD844" s="324"/>
      <c r="AE844" s="180"/>
      <c r="AF844" s="155"/>
      <c r="AG844" s="322"/>
      <c r="AH844" s="132"/>
      <c r="AI844" s="132"/>
    </row>
    <row r="845">
      <c r="A845" s="477"/>
      <c r="B845" s="695"/>
      <c r="C845" s="696"/>
      <c r="D845" s="312"/>
      <c r="E845" s="314"/>
      <c r="F845" s="314"/>
      <c r="G845" s="314"/>
      <c r="H845" s="435"/>
      <c r="I845" s="318"/>
      <c r="J845" s="314"/>
      <c r="K845" s="314"/>
      <c r="L845" s="314"/>
      <c r="M845" s="314"/>
      <c r="N845" s="435"/>
      <c r="O845" s="314"/>
      <c r="P845" s="318"/>
      <c r="Q845" s="435"/>
      <c r="R845" s="316"/>
      <c r="S845" s="314"/>
      <c r="T845" s="314"/>
      <c r="U845" s="314"/>
      <c r="V845" s="314"/>
      <c r="W845" s="318"/>
      <c r="X845" s="314"/>
      <c r="Y845" s="314"/>
      <c r="Z845" s="697"/>
      <c r="AA845" s="315"/>
      <c r="AB845" s="314"/>
      <c r="AC845" s="314"/>
      <c r="AD845" s="324"/>
      <c r="AE845" s="180"/>
      <c r="AF845" s="155"/>
      <c r="AG845" s="322"/>
      <c r="AH845" s="132"/>
      <c r="AI845" s="132"/>
    </row>
    <row r="846">
      <c r="A846" s="477"/>
      <c r="B846" s="695"/>
      <c r="C846" s="696"/>
      <c r="D846" s="312"/>
      <c r="E846" s="314"/>
      <c r="F846" s="314"/>
      <c r="G846" s="314"/>
      <c r="H846" s="314"/>
      <c r="I846" s="318"/>
      <c r="J846" s="314"/>
      <c r="K846" s="314"/>
      <c r="L846" s="314"/>
      <c r="M846" s="314"/>
      <c r="N846" s="314"/>
      <c r="O846" s="314"/>
      <c r="P846" s="318"/>
      <c r="Q846" s="314"/>
      <c r="R846" s="316"/>
      <c r="S846" s="314"/>
      <c r="T846" s="314"/>
      <c r="U846" s="314"/>
      <c r="V846" s="314"/>
      <c r="W846" s="318"/>
      <c r="X846" s="314"/>
      <c r="Y846" s="314"/>
      <c r="Z846" s="697"/>
      <c r="AA846" s="315"/>
      <c r="AB846" s="314"/>
      <c r="AC846" s="314"/>
      <c r="AD846" s="324"/>
      <c r="AE846" s="180"/>
      <c r="AF846" s="155"/>
      <c r="AG846" s="322"/>
      <c r="AH846" s="132"/>
      <c r="AI846" s="132"/>
    </row>
    <row r="847">
      <c r="A847" s="476"/>
      <c r="AF847" s="176"/>
      <c r="AG847" s="322"/>
      <c r="AH847" s="132"/>
      <c r="AI847" s="132"/>
    </row>
    <row r="848">
      <c r="A848" s="178"/>
      <c r="AG848" s="322"/>
      <c r="AH848" s="132"/>
      <c r="AI848" s="132"/>
    </row>
    <row r="849">
      <c r="A849" s="477"/>
      <c r="B849" s="746"/>
      <c r="C849" s="739"/>
      <c r="D849" s="745"/>
      <c r="E849" s="314"/>
      <c r="F849" s="314"/>
      <c r="G849" s="314"/>
      <c r="H849" s="314"/>
      <c r="I849" s="318"/>
      <c r="J849" s="314"/>
      <c r="K849" s="435"/>
      <c r="L849" s="435"/>
      <c r="M849" s="314"/>
      <c r="N849" s="314"/>
      <c r="O849" s="314"/>
      <c r="P849" s="318"/>
      <c r="Q849" s="435"/>
      <c r="R849" s="742"/>
      <c r="S849" s="435"/>
      <c r="T849" s="435"/>
      <c r="U849" s="435"/>
      <c r="V849" s="435"/>
      <c r="W849" s="740"/>
      <c r="X849" s="435"/>
      <c r="Y849" s="435"/>
      <c r="Z849" s="743"/>
      <c r="AA849" s="744"/>
      <c r="AB849" s="435"/>
      <c r="AC849" s="435"/>
      <c r="AD849" s="324"/>
      <c r="AE849" s="180"/>
      <c r="AF849" s="155"/>
      <c r="AG849" s="322"/>
      <c r="AH849" s="132"/>
      <c r="AI849" s="132"/>
    </row>
    <row r="850">
      <c r="A850" s="477"/>
      <c r="B850" s="695"/>
      <c r="C850" s="739"/>
      <c r="D850" s="745"/>
      <c r="E850" s="314"/>
      <c r="F850" s="314"/>
      <c r="G850" s="314"/>
      <c r="H850" s="314"/>
      <c r="I850" s="740"/>
      <c r="J850" s="435"/>
      <c r="K850" s="435"/>
      <c r="L850" s="314"/>
      <c r="M850" s="435"/>
      <c r="N850" s="314"/>
      <c r="O850" s="314"/>
      <c r="P850" s="318"/>
      <c r="Q850" s="435"/>
      <c r="R850" s="742"/>
      <c r="S850" s="435"/>
      <c r="T850" s="435"/>
      <c r="U850" s="435"/>
      <c r="V850" s="435"/>
      <c r="W850" s="740"/>
      <c r="X850" s="435"/>
      <c r="Y850" s="435"/>
      <c r="Z850" s="743"/>
      <c r="AA850" s="744"/>
      <c r="AB850" s="435"/>
      <c r="AC850" s="435"/>
      <c r="AD850" s="324"/>
      <c r="AE850" s="180"/>
      <c r="AF850" s="155"/>
      <c r="AG850" s="322"/>
      <c r="AH850" s="132"/>
      <c r="AI850" s="132"/>
    </row>
    <row r="851">
      <c r="A851" s="477"/>
      <c r="B851" s="695"/>
      <c r="C851" s="739"/>
      <c r="D851" s="745"/>
      <c r="E851" s="435"/>
      <c r="F851" s="314"/>
      <c r="G851" s="314"/>
      <c r="H851" s="435"/>
      <c r="I851" s="318"/>
      <c r="J851" s="314"/>
      <c r="K851" s="435"/>
      <c r="L851" s="314"/>
      <c r="M851" s="435"/>
      <c r="N851" s="435"/>
      <c r="O851" s="314"/>
      <c r="P851" s="740"/>
      <c r="Q851" s="435"/>
      <c r="R851" s="742"/>
      <c r="S851" s="435"/>
      <c r="T851" s="435"/>
      <c r="U851" s="435"/>
      <c r="V851" s="435"/>
      <c r="W851" s="740"/>
      <c r="X851" s="435"/>
      <c r="Y851" s="435"/>
      <c r="Z851" s="743"/>
      <c r="AA851" s="744"/>
      <c r="AB851" s="435"/>
      <c r="AC851" s="435"/>
      <c r="AD851" s="324"/>
      <c r="AE851" s="180"/>
      <c r="AF851" s="155"/>
      <c r="AG851" s="322"/>
      <c r="AH851" s="132"/>
      <c r="AI851" s="132"/>
    </row>
    <row r="852">
      <c r="A852" s="479"/>
      <c r="B852" s="695"/>
      <c r="C852" s="696"/>
      <c r="D852" s="312"/>
      <c r="E852" s="314"/>
      <c r="F852" s="314"/>
      <c r="G852" s="314"/>
      <c r="H852" s="314"/>
      <c r="I852" s="318"/>
      <c r="J852" s="314"/>
      <c r="K852" s="314"/>
      <c r="L852" s="314"/>
      <c r="M852" s="314"/>
      <c r="N852" s="314"/>
      <c r="O852" s="314"/>
      <c r="P852" s="318"/>
      <c r="Q852" s="435"/>
      <c r="R852" s="316"/>
      <c r="S852" s="314"/>
      <c r="T852" s="314"/>
      <c r="U852" s="314"/>
      <c r="V852" s="314"/>
      <c r="W852" s="318"/>
      <c r="X852" s="314"/>
      <c r="Y852" s="314"/>
      <c r="Z852" s="697"/>
      <c r="AA852" s="315"/>
      <c r="AB852" s="314"/>
      <c r="AC852" s="314"/>
      <c r="AD852" s="324"/>
      <c r="AE852" s="180"/>
      <c r="AF852" s="155"/>
      <c r="AG852" s="322"/>
      <c r="AH852" s="132"/>
      <c r="AI852" s="132"/>
    </row>
    <row r="853">
      <c r="A853" s="476"/>
      <c r="AF853" s="176"/>
      <c r="AG853" s="322"/>
      <c r="AH853" s="132"/>
      <c r="AI853" s="132"/>
    </row>
    <row r="854">
      <c r="A854" s="178"/>
      <c r="AG854" s="322"/>
      <c r="AH854" s="132"/>
      <c r="AI854" s="132"/>
    </row>
    <row r="855">
      <c r="A855" s="480"/>
      <c r="B855" s="695"/>
      <c r="C855" s="739"/>
      <c r="D855" s="312"/>
      <c r="E855" s="314"/>
      <c r="F855" s="314"/>
      <c r="G855" s="314"/>
      <c r="H855" s="314"/>
      <c r="I855" s="318"/>
      <c r="J855" s="435"/>
      <c r="K855" s="435"/>
      <c r="L855" s="314"/>
      <c r="M855" s="314"/>
      <c r="N855" s="314"/>
      <c r="O855" s="314"/>
      <c r="P855" s="318"/>
      <c r="Q855" s="435"/>
      <c r="R855" s="316"/>
      <c r="S855" s="314"/>
      <c r="T855" s="314"/>
      <c r="U855" s="314"/>
      <c r="V855" s="314"/>
      <c r="W855" s="318"/>
      <c r="X855" s="314"/>
      <c r="Y855" s="314"/>
      <c r="Z855" s="697"/>
      <c r="AA855" s="315"/>
      <c r="AB855" s="314"/>
      <c r="AC855" s="314"/>
      <c r="AD855" s="324"/>
      <c r="AE855" s="180"/>
      <c r="AF855" s="180"/>
      <c r="AG855" s="322"/>
      <c r="AH855" s="132"/>
      <c r="AI855" s="132"/>
    </row>
    <row r="856">
      <c r="A856" s="480"/>
      <c r="B856" s="695"/>
      <c r="C856" s="739"/>
      <c r="D856" s="312"/>
      <c r="E856" s="314"/>
      <c r="F856" s="314"/>
      <c r="G856" s="314"/>
      <c r="H856" s="435"/>
      <c r="I856" s="318"/>
      <c r="J856" s="435"/>
      <c r="K856" s="435"/>
      <c r="L856" s="314"/>
      <c r="M856" s="435"/>
      <c r="N856" s="435"/>
      <c r="O856" s="314"/>
      <c r="P856" s="740"/>
      <c r="Q856" s="435"/>
      <c r="R856" s="316"/>
      <c r="S856" s="435"/>
      <c r="T856" s="435"/>
      <c r="U856" s="435"/>
      <c r="V856" s="435"/>
      <c r="W856" s="740"/>
      <c r="X856" s="435"/>
      <c r="Y856" s="435"/>
      <c r="Z856" s="743"/>
      <c r="AA856" s="744"/>
      <c r="AB856" s="435"/>
      <c r="AC856" s="435"/>
      <c r="AD856" s="324"/>
      <c r="AE856" s="180"/>
      <c r="AF856" s="180"/>
      <c r="AG856" s="322"/>
      <c r="AH856" s="132"/>
      <c r="AI856" s="132"/>
    </row>
    <row r="857">
      <c r="A857" s="476"/>
      <c r="AF857" s="176"/>
      <c r="AG857" s="322"/>
      <c r="AH857" s="132"/>
      <c r="AI857" s="132"/>
    </row>
    <row r="858">
      <c r="A858" s="178"/>
      <c r="AG858" s="322"/>
      <c r="AH858" s="132"/>
      <c r="AI858" s="132"/>
    </row>
    <row r="859">
      <c r="A859" s="481"/>
      <c r="B859" s="695"/>
      <c r="C859" s="739"/>
      <c r="D859" s="745"/>
      <c r="E859" s="435"/>
      <c r="F859" s="314"/>
      <c r="G859" s="435"/>
      <c r="H859" s="435"/>
      <c r="I859" s="740"/>
      <c r="J859" s="314"/>
      <c r="K859" s="435"/>
      <c r="L859" s="435"/>
      <c r="M859" s="435"/>
      <c r="N859" s="314"/>
      <c r="O859" s="314"/>
      <c r="P859" s="740"/>
      <c r="Q859" s="435"/>
      <c r="R859" s="742"/>
      <c r="S859" s="435"/>
      <c r="T859" s="435"/>
      <c r="U859" s="435"/>
      <c r="V859" s="435"/>
      <c r="W859" s="740"/>
      <c r="X859" s="435"/>
      <c r="Y859" s="435"/>
      <c r="Z859" s="743"/>
      <c r="AA859" s="744"/>
      <c r="AB859" s="435"/>
      <c r="AC859" s="435"/>
      <c r="AD859" s="324"/>
      <c r="AE859" s="180"/>
      <c r="AF859" s="155"/>
      <c r="AG859" s="322"/>
      <c r="AH859" s="132"/>
      <c r="AI859" s="132"/>
    </row>
    <row r="860">
      <c r="A860" s="435"/>
      <c r="B860" s="695"/>
      <c r="C860" s="739"/>
      <c r="D860" s="745"/>
      <c r="E860" s="314"/>
      <c r="F860" s="314"/>
      <c r="G860" s="314"/>
      <c r="H860" s="435"/>
      <c r="I860" s="318"/>
      <c r="J860" s="435"/>
      <c r="K860" s="435"/>
      <c r="L860" s="314"/>
      <c r="M860" s="314"/>
      <c r="N860" s="314"/>
      <c r="O860" s="314"/>
      <c r="P860" s="740"/>
      <c r="Q860" s="435"/>
      <c r="R860" s="742"/>
      <c r="S860" s="435"/>
      <c r="T860" s="435"/>
      <c r="U860" s="435"/>
      <c r="V860" s="435"/>
      <c r="W860" s="740"/>
      <c r="X860" s="435"/>
      <c r="Y860" s="435"/>
      <c r="Z860" s="743"/>
      <c r="AA860" s="744"/>
      <c r="AB860" s="435"/>
      <c r="AC860" s="435"/>
      <c r="AD860" s="324"/>
      <c r="AE860" s="180"/>
      <c r="AF860" s="155"/>
      <c r="AG860" s="322"/>
      <c r="AH860" s="132"/>
      <c r="AI860" s="132"/>
    </row>
    <row r="861">
      <c r="A861" s="482"/>
      <c r="B861" s="695"/>
      <c r="C861" s="696"/>
      <c r="D861" s="745"/>
      <c r="E861" s="314"/>
      <c r="F861" s="314"/>
      <c r="G861" s="314"/>
      <c r="H861" s="314"/>
      <c r="I861" s="318"/>
      <c r="J861" s="314"/>
      <c r="K861" s="435"/>
      <c r="L861" s="314"/>
      <c r="M861" s="314"/>
      <c r="N861" s="314"/>
      <c r="O861" s="314"/>
      <c r="P861" s="318"/>
      <c r="Q861" s="314"/>
      <c r="R861" s="742"/>
      <c r="S861" s="314"/>
      <c r="T861" s="314"/>
      <c r="U861" s="314"/>
      <c r="V861" s="314"/>
      <c r="W861" s="318"/>
      <c r="X861" s="314"/>
      <c r="Y861" s="314"/>
      <c r="Z861" s="697"/>
      <c r="AA861" s="315"/>
      <c r="AB861" s="314"/>
      <c r="AC861" s="314"/>
      <c r="AD861" s="324"/>
      <c r="AE861" s="180"/>
      <c r="AF861" s="155"/>
      <c r="AG861" s="322"/>
      <c r="AH861" s="132"/>
      <c r="AI861" s="132"/>
    </row>
    <row r="862">
      <c r="A862" s="482"/>
      <c r="B862" s="695"/>
      <c r="C862" s="739"/>
      <c r="D862" s="745"/>
      <c r="E862" s="435"/>
      <c r="F862" s="314"/>
      <c r="G862" s="314"/>
      <c r="H862" s="435"/>
      <c r="I862" s="740"/>
      <c r="J862" s="435"/>
      <c r="K862" s="435"/>
      <c r="L862" s="435"/>
      <c r="M862" s="435"/>
      <c r="N862" s="435"/>
      <c r="O862" s="314"/>
      <c r="P862" s="740"/>
      <c r="Q862" s="435"/>
      <c r="R862" s="742"/>
      <c r="S862" s="435"/>
      <c r="T862" s="435"/>
      <c r="U862" s="435"/>
      <c r="V862" s="435"/>
      <c r="W862" s="740"/>
      <c r="X862" s="435"/>
      <c r="Y862" s="435"/>
      <c r="Z862" s="743"/>
      <c r="AA862" s="744"/>
      <c r="AB862" s="435"/>
      <c r="AC862" s="435"/>
      <c r="AD862" s="324"/>
      <c r="AE862" s="180"/>
      <c r="AF862" s="155"/>
      <c r="AG862" s="322"/>
      <c r="AH862" s="132"/>
      <c r="AI862" s="132"/>
    </row>
    <row r="863">
      <c r="A863" s="314"/>
      <c r="B863" s="695"/>
      <c r="C863" s="696"/>
      <c r="D863" s="312"/>
      <c r="E863" s="314"/>
      <c r="F863" s="314"/>
      <c r="G863" s="314"/>
      <c r="H863" s="314"/>
      <c r="I863" s="318"/>
      <c r="J863" s="314"/>
      <c r="K863" s="314"/>
      <c r="L863" s="314"/>
      <c r="M863" s="314"/>
      <c r="N863" s="314"/>
      <c r="O863" s="314"/>
      <c r="P863" s="318"/>
      <c r="Q863" s="314"/>
      <c r="R863" s="316"/>
      <c r="S863" s="314"/>
      <c r="T863" s="314"/>
      <c r="U863" s="314"/>
      <c r="V863" s="314"/>
      <c r="W863" s="318"/>
      <c r="X863" s="314"/>
      <c r="Y863" s="314"/>
      <c r="Z863" s="697"/>
      <c r="AA863" s="315"/>
      <c r="AB863" s="314"/>
      <c r="AC863" s="314"/>
      <c r="AD863" s="483"/>
      <c r="AF863" s="484"/>
      <c r="AG863" s="322"/>
      <c r="AH863" s="132"/>
      <c r="AI863" s="132"/>
    </row>
    <row r="864">
      <c r="A864" s="314"/>
      <c r="B864" s="695"/>
      <c r="C864" s="696"/>
      <c r="D864" s="312"/>
      <c r="E864" s="314"/>
      <c r="F864" s="314"/>
      <c r="G864" s="314"/>
      <c r="H864" s="314"/>
      <c r="I864" s="318"/>
      <c r="J864" s="314"/>
      <c r="K864" s="314"/>
      <c r="L864" s="314"/>
      <c r="M864" s="314"/>
      <c r="N864" s="314"/>
      <c r="O864" s="314"/>
      <c r="P864" s="318"/>
      <c r="Q864" s="314"/>
      <c r="R864" s="316"/>
      <c r="S864" s="314"/>
      <c r="T864" s="314"/>
      <c r="U864" s="314"/>
      <c r="V864" s="314"/>
      <c r="W864" s="318"/>
      <c r="X864" s="314"/>
      <c r="Y864" s="314"/>
      <c r="Z864" s="697"/>
      <c r="AA864" s="315"/>
      <c r="AB864" s="314"/>
      <c r="AC864" s="314"/>
      <c r="AD864" s="324"/>
      <c r="AE864" s="155"/>
      <c r="AF864" s="155"/>
      <c r="AG864" s="322"/>
      <c r="AH864" s="132"/>
      <c r="AI864" s="132"/>
    </row>
    <row r="865">
      <c r="A865" s="314"/>
      <c r="B865" s="695"/>
      <c r="C865" s="696"/>
      <c r="D865" s="312"/>
      <c r="E865" s="314"/>
      <c r="F865" s="314"/>
      <c r="G865" s="314"/>
      <c r="H865" s="314"/>
      <c r="I865" s="318"/>
      <c r="J865" s="314"/>
      <c r="K865" s="314"/>
      <c r="L865" s="314"/>
      <c r="M865" s="314"/>
      <c r="N865" s="314"/>
      <c r="O865" s="314"/>
      <c r="P865" s="318"/>
      <c r="Q865" s="314"/>
      <c r="R865" s="316"/>
      <c r="S865" s="314"/>
      <c r="T865" s="314"/>
      <c r="U865" s="314"/>
      <c r="V865" s="314"/>
      <c r="W865" s="318"/>
      <c r="X865" s="314"/>
      <c r="Y865" s="314"/>
      <c r="Z865" s="697"/>
      <c r="AA865" s="315"/>
      <c r="AB865" s="314"/>
      <c r="AC865" s="314"/>
      <c r="AD865" s="324"/>
      <c r="AE865" s="155"/>
      <c r="AF865" s="155"/>
      <c r="AG865" s="322"/>
      <c r="AH865" s="132"/>
      <c r="AI865" s="132"/>
    </row>
    <row r="866">
      <c r="A866" s="314"/>
      <c r="B866" s="695"/>
      <c r="C866" s="696"/>
      <c r="D866" s="312"/>
      <c r="E866" s="314"/>
      <c r="F866" s="314"/>
      <c r="G866" s="314"/>
      <c r="H866" s="314"/>
      <c r="I866" s="318"/>
      <c r="J866" s="314"/>
      <c r="K866" s="314"/>
      <c r="L866" s="314"/>
      <c r="M866" s="314"/>
      <c r="N866" s="314"/>
      <c r="O866" s="314"/>
      <c r="P866" s="318"/>
      <c r="Q866" s="314"/>
      <c r="R866" s="316"/>
      <c r="S866" s="314"/>
      <c r="T866" s="314"/>
      <c r="U866" s="314"/>
      <c r="V866" s="314"/>
      <c r="W866" s="318"/>
      <c r="X866" s="314"/>
      <c r="Y866" s="314"/>
      <c r="Z866" s="697"/>
      <c r="AA866" s="315"/>
      <c r="AB866" s="314"/>
      <c r="AC866" s="314"/>
      <c r="AD866" s="324"/>
      <c r="AE866" s="155"/>
      <c r="AF866" s="155"/>
      <c r="AG866" s="322"/>
      <c r="AH866" s="132"/>
      <c r="AI866" s="132"/>
    </row>
    <row r="867">
      <c r="A867" s="314"/>
      <c r="B867" s="695"/>
      <c r="C867" s="696"/>
      <c r="D867" s="312"/>
      <c r="E867" s="314"/>
      <c r="F867" s="314"/>
      <c r="G867" s="314"/>
      <c r="H867" s="314"/>
      <c r="I867" s="318"/>
      <c r="J867" s="314"/>
      <c r="K867" s="314"/>
      <c r="L867" s="314"/>
      <c r="M867" s="314"/>
      <c r="N867" s="314"/>
      <c r="O867" s="314"/>
      <c r="P867" s="318"/>
      <c r="Q867" s="314"/>
      <c r="R867" s="316"/>
      <c r="S867" s="314"/>
      <c r="T867" s="314"/>
      <c r="U867" s="314"/>
      <c r="V867" s="314"/>
      <c r="W867" s="318"/>
      <c r="X867" s="314"/>
      <c r="Y867" s="314"/>
      <c r="Z867" s="697"/>
      <c r="AA867" s="315"/>
      <c r="AB867" s="314"/>
      <c r="AC867" s="314"/>
      <c r="AD867" s="324"/>
      <c r="AE867" s="155"/>
      <c r="AF867" s="155"/>
      <c r="AG867" s="322"/>
      <c r="AH867" s="132"/>
      <c r="AI867" s="132"/>
    </row>
    <row r="868">
      <c r="A868" s="314"/>
      <c r="B868" s="695"/>
      <c r="C868" s="696"/>
      <c r="D868" s="312"/>
      <c r="E868" s="314"/>
      <c r="F868" s="314"/>
      <c r="G868" s="314"/>
      <c r="H868" s="314"/>
      <c r="I868" s="318"/>
      <c r="J868" s="314"/>
      <c r="K868" s="314"/>
      <c r="L868" s="314"/>
      <c r="M868" s="314"/>
      <c r="N868" s="314"/>
      <c r="O868" s="314"/>
      <c r="P868" s="318"/>
      <c r="Q868" s="314"/>
      <c r="R868" s="316"/>
      <c r="S868" s="314"/>
      <c r="T868" s="314"/>
      <c r="U868" s="314"/>
      <c r="V868" s="314"/>
      <c r="W868" s="318"/>
      <c r="X868" s="314"/>
      <c r="Y868" s="314"/>
      <c r="Z868" s="697"/>
      <c r="AA868" s="315"/>
      <c r="AB868" s="314"/>
      <c r="AC868" s="314"/>
      <c r="AD868" s="324"/>
      <c r="AE868" s="155"/>
      <c r="AF868" s="155"/>
      <c r="AG868" s="322"/>
      <c r="AH868" s="132"/>
      <c r="AI868" s="132"/>
    </row>
    <row r="869">
      <c r="A869" s="314"/>
      <c r="B869" s="695"/>
      <c r="C869" s="696"/>
      <c r="D869" s="312"/>
      <c r="E869" s="314"/>
      <c r="F869" s="314"/>
      <c r="G869" s="314"/>
      <c r="H869" s="314"/>
      <c r="I869" s="318"/>
      <c r="J869" s="314"/>
      <c r="K869" s="314"/>
      <c r="L869" s="314"/>
      <c r="M869" s="314"/>
      <c r="N869" s="314"/>
      <c r="O869" s="314"/>
      <c r="P869" s="318"/>
      <c r="Q869" s="314"/>
      <c r="R869" s="316"/>
      <c r="S869" s="314"/>
      <c r="T869" s="314"/>
      <c r="U869" s="314"/>
      <c r="V869" s="314"/>
      <c r="W869" s="318"/>
      <c r="X869" s="314"/>
      <c r="Y869" s="314"/>
      <c r="Z869" s="697"/>
      <c r="AA869" s="315"/>
      <c r="AB869" s="314"/>
      <c r="AC869" s="314"/>
      <c r="AD869" s="324"/>
      <c r="AE869" s="155"/>
      <c r="AF869" s="155"/>
      <c r="AG869" s="322"/>
      <c r="AH869" s="132"/>
      <c r="AI869" s="132"/>
    </row>
    <row r="870">
      <c r="A870" s="314"/>
      <c r="B870" s="695"/>
      <c r="C870" s="696"/>
      <c r="D870" s="312"/>
      <c r="E870" s="314"/>
      <c r="F870" s="314"/>
      <c r="G870" s="314"/>
      <c r="H870" s="314"/>
      <c r="I870" s="318"/>
      <c r="J870" s="314"/>
      <c r="K870" s="314"/>
      <c r="L870" s="314"/>
      <c r="M870" s="314"/>
      <c r="N870" s="314"/>
      <c r="O870" s="314"/>
      <c r="P870" s="318"/>
      <c r="Q870" s="314"/>
      <c r="R870" s="316"/>
      <c r="S870" s="314"/>
      <c r="T870" s="314"/>
      <c r="U870" s="314"/>
      <c r="V870" s="314"/>
      <c r="W870" s="318"/>
      <c r="X870" s="314"/>
      <c r="Y870" s="314"/>
      <c r="Z870" s="697"/>
      <c r="AA870" s="315"/>
      <c r="AB870" s="314"/>
      <c r="AC870" s="314"/>
      <c r="AD870" s="324"/>
      <c r="AE870" s="155"/>
      <c r="AF870" s="155"/>
      <c r="AG870" s="322"/>
      <c r="AH870" s="132"/>
      <c r="AI870" s="132"/>
    </row>
    <row r="871">
      <c r="A871" s="314"/>
      <c r="B871" s="695"/>
      <c r="C871" s="696"/>
      <c r="D871" s="312"/>
      <c r="E871" s="314"/>
      <c r="F871" s="314"/>
      <c r="G871" s="314"/>
      <c r="H871" s="314"/>
      <c r="I871" s="318"/>
      <c r="J871" s="314"/>
      <c r="K871" s="314"/>
      <c r="L871" s="314"/>
      <c r="M871" s="314"/>
      <c r="N871" s="314"/>
      <c r="O871" s="314"/>
      <c r="P871" s="318"/>
      <c r="Q871" s="314"/>
      <c r="R871" s="316"/>
      <c r="S871" s="314"/>
      <c r="T871" s="314"/>
      <c r="U871" s="314"/>
      <c r="V871" s="314"/>
      <c r="W871" s="318"/>
      <c r="X871" s="314"/>
      <c r="Y871" s="314"/>
      <c r="Z871" s="697"/>
      <c r="AA871" s="315"/>
      <c r="AB871" s="314"/>
      <c r="AC871" s="314"/>
      <c r="AD871" s="324"/>
      <c r="AE871" s="155"/>
      <c r="AF871" s="155"/>
      <c r="AG871" s="322"/>
      <c r="AH871" s="132"/>
      <c r="AI871" s="132"/>
    </row>
    <row r="872">
      <c r="A872" s="314"/>
      <c r="B872" s="695"/>
      <c r="C872" s="696"/>
      <c r="D872" s="312"/>
      <c r="E872" s="314"/>
      <c r="F872" s="314"/>
      <c r="G872" s="314"/>
      <c r="H872" s="314"/>
      <c r="I872" s="318"/>
      <c r="J872" s="314"/>
      <c r="K872" s="314"/>
      <c r="L872" s="314"/>
      <c r="M872" s="314"/>
      <c r="N872" s="314"/>
      <c r="O872" s="314"/>
      <c r="P872" s="318"/>
      <c r="Q872" s="314"/>
      <c r="R872" s="316"/>
      <c r="S872" s="314"/>
      <c r="T872" s="314"/>
      <c r="U872" s="314"/>
      <c r="V872" s="314"/>
      <c r="W872" s="318"/>
      <c r="X872" s="314"/>
      <c r="Y872" s="314"/>
      <c r="Z872" s="697"/>
      <c r="AA872" s="315"/>
      <c r="AB872" s="314"/>
      <c r="AC872" s="314"/>
      <c r="AD872" s="324"/>
      <c r="AE872" s="155"/>
      <c r="AF872" s="155"/>
      <c r="AG872" s="322"/>
      <c r="AH872" s="132"/>
      <c r="AI872" s="132"/>
    </row>
    <row r="873">
      <c r="A873" s="314"/>
      <c r="B873" s="695"/>
      <c r="C873" s="696"/>
      <c r="D873" s="312"/>
      <c r="E873" s="314"/>
      <c r="F873" s="314"/>
      <c r="G873" s="314"/>
      <c r="H873" s="314"/>
      <c r="I873" s="318"/>
      <c r="J873" s="314"/>
      <c r="K873" s="314"/>
      <c r="L873" s="314"/>
      <c r="M873" s="314"/>
      <c r="N873" s="314"/>
      <c r="O873" s="314"/>
      <c r="P873" s="318"/>
      <c r="Q873" s="314"/>
      <c r="R873" s="316"/>
      <c r="S873" s="314"/>
      <c r="T873" s="314"/>
      <c r="U873" s="314"/>
      <c r="V873" s="314"/>
      <c r="W873" s="318"/>
      <c r="X873" s="314"/>
      <c r="Y873" s="314"/>
      <c r="Z873" s="697"/>
      <c r="AA873" s="315"/>
      <c r="AB873" s="314"/>
      <c r="AC873" s="314"/>
      <c r="AD873" s="324"/>
      <c r="AE873" s="155"/>
      <c r="AF873" s="155"/>
      <c r="AG873" s="322"/>
      <c r="AH873" s="132"/>
      <c r="AI873" s="132"/>
    </row>
    <row r="874">
      <c r="A874" s="314"/>
      <c r="B874" s="695"/>
      <c r="C874" s="696"/>
      <c r="D874" s="312"/>
      <c r="E874" s="314"/>
      <c r="F874" s="314"/>
      <c r="G874" s="314"/>
      <c r="H874" s="314"/>
      <c r="I874" s="318"/>
      <c r="J874" s="314"/>
      <c r="K874" s="314"/>
      <c r="L874" s="314"/>
      <c r="M874" s="314"/>
      <c r="N874" s="314"/>
      <c r="O874" s="314"/>
      <c r="P874" s="318"/>
      <c r="Q874" s="314"/>
      <c r="R874" s="316"/>
      <c r="S874" s="314"/>
      <c r="T874" s="314"/>
      <c r="U874" s="314"/>
      <c r="V874" s="314"/>
      <c r="W874" s="318"/>
      <c r="X874" s="314"/>
      <c r="Y874" s="314"/>
      <c r="Z874" s="697"/>
      <c r="AA874" s="315"/>
      <c r="AB874" s="314"/>
      <c r="AC874" s="314"/>
      <c r="AD874" s="324"/>
      <c r="AE874" s="155"/>
      <c r="AF874" s="155"/>
      <c r="AG874" s="322"/>
      <c r="AH874" s="132"/>
      <c r="AI874" s="132"/>
    </row>
    <row r="875">
      <c r="A875" s="314"/>
      <c r="B875" s="695"/>
      <c r="C875" s="696"/>
      <c r="D875" s="312"/>
      <c r="E875" s="314"/>
      <c r="F875" s="314"/>
      <c r="G875" s="314"/>
      <c r="H875" s="314"/>
      <c r="I875" s="318"/>
      <c r="J875" s="314"/>
      <c r="K875" s="314"/>
      <c r="L875" s="314"/>
      <c r="M875" s="314"/>
      <c r="N875" s="314"/>
      <c r="O875" s="314"/>
      <c r="P875" s="318"/>
      <c r="Q875" s="314"/>
      <c r="R875" s="316"/>
      <c r="S875" s="314"/>
      <c r="T875" s="314"/>
      <c r="U875" s="314"/>
      <c r="V875" s="314"/>
      <c r="W875" s="318"/>
      <c r="X875" s="314"/>
      <c r="Y875" s="314"/>
      <c r="Z875" s="697"/>
      <c r="AA875" s="315"/>
      <c r="AB875" s="314"/>
      <c r="AC875" s="314"/>
      <c r="AD875" s="324"/>
      <c r="AE875" s="155"/>
      <c r="AF875" s="155"/>
      <c r="AG875" s="322"/>
      <c r="AH875" s="132"/>
      <c r="AI875" s="132"/>
    </row>
    <row r="876">
      <c r="A876" s="314"/>
      <c r="B876" s="695"/>
      <c r="C876" s="696"/>
      <c r="D876" s="312"/>
      <c r="E876" s="314"/>
      <c r="F876" s="314"/>
      <c r="G876" s="314"/>
      <c r="H876" s="314"/>
      <c r="I876" s="318"/>
      <c r="J876" s="314"/>
      <c r="K876" s="314"/>
      <c r="L876" s="314"/>
      <c r="M876" s="314"/>
      <c r="N876" s="314"/>
      <c r="O876" s="314"/>
      <c r="P876" s="318"/>
      <c r="Q876" s="314"/>
      <c r="R876" s="316"/>
      <c r="S876" s="314"/>
      <c r="T876" s="314"/>
      <c r="U876" s="314"/>
      <c r="V876" s="314"/>
      <c r="W876" s="318"/>
      <c r="X876" s="314"/>
      <c r="Y876" s="314"/>
      <c r="Z876" s="697"/>
      <c r="AA876" s="315"/>
      <c r="AB876" s="314"/>
      <c r="AC876" s="314"/>
      <c r="AD876" s="324"/>
      <c r="AE876" s="155"/>
      <c r="AF876" s="155"/>
      <c r="AG876" s="322"/>
      <c r="AH876" s="132"/>
      <c r="AI876" s="132"/>
    </row>
    <row r="877">
      <c r="A877" s="314"/>
      <c r="B877" s="695"/>
      <c r="C877" s="696"/>
      <c r="D877" s="312"/>
      <c r="E877" s="314"/>
      <c r="F877" s="314"/>
      <c r="G877" s="314"/>
      <c r="H877" s="314"/>
      <c r="I877" s="318"/>
      <c r="J877" s="314"/>
      <c r="K877" s="314"/>
      <c r="L877" s="314"/>
      <c r="M877" s="314"/>
      <c r="N877" s="314"/>
      <c r="O877" s="314"/>
      <c r="P877" s="318"/>
      <c r="Q877" s="314"/>
      <c r="R877" s="316"/>
      <c r="S877" s="314"/>
      <c r="T877" s="314"/>
      <c r="U877" s="314"/>
      <c r="V877" s="314"/>
      <c r="W877" s="318"/>
      <c r="X877" s="314"/>
      <c r="Y877" s="314"/>
      <c r="Z877" s="697"/>
      <c r="AA877" s="315"/>
      <c r="AB877" s="314"/>
      <c r="AC877" s="314"/>
      <c r="AD877" s="324"/>
      <c r="AE877" s="155"/>
      <c r="AF877" s="155"/>
      <c r="AG877" s="322"/>
      <c r="AH877" s="132"/>
      <c r="AI877" s="132"/>
    </row>
    <row r="878">
      <c r="A878" s="314"/>
      <c r="B878" s="695"/>
      <c r="C878" s="696"/>
      <c r="D878" s="312"/>
      <c r="E878" s="314"/>
      <c r="F878" s="314"/>
      <c r="G878" s="314"/>
      <c r="H878" s="314"/>
      <c r="I878" s="318"/>
      <c r="J878" s="314"/>
      <c r="K878" s="314"/>
      <c r="L878" s="314"/>
      <c r="M878" s="314"/>
      <c r="N878" s="314"/>
      <c r="O878" s="314"/>
      <c r="P878" s="318"/>
      <c r="Q878" s="314"/>
      <c r="R878" s="316"/>
      <c r="S878" s="314"/>
      <c r="T878" s="314"/>
      <c r="U878" s="314"/>
      <c r="V878" s="314"/>
      <c r="W878" s="318"/>
      <c r="X878" s="314"/>
      <c r="Y878" s="314"/>
      <c r="Z878" s="697"/>
      <c r="AA878" s="315"/>
      <c r="AB878" s="314"/>
      <c r="AC878" s="314"/>
      <c r="AD878" s="324"/>
      <c r="AE878" s="155"/>
      <c r="AF878" s="155"/>
      <c r="AG878" s="322"/>
      <c r="AH878" s="132"/>
      <c r="AI878" s="132"/>
    </row>
    <row r="879">
      <c r="A879" s="314"/>
      <c r="B879" s="695"/>
      <c r="C879" s="696"/>
      <c r="D879" s="312"/>
      <c r="E879" s="314"/>
      <c r="F879" s="314"/>
      <c r="G879" s="314"/>
      <c r="H879" s="314"/>
      <c r="I879" s="318"/>
      <c r="J879" s="314"/>
      <c r="K879" s="314"/>
      <c r="L879" s="314"/>
      <c r="M879" s="314"/>
      <c r="N879" s="314"/>
      <c r="O879" s="314"/>
      <c r="P879" s="318"/>
      <c r="Q879" s="314"/>
      <c r="R879" s="316"/>
      <c r="S879" s="314"/>
      <c r="T879" s="314"/>
      <c r="U879" s="314"/>
      <c r="V879" s="314"/>
      <c r="W879" s="318"/>
      <c r="X879" s="314"/>
      <c r="Y879" s="314"/>
      <c r="Z879" s="697"/>
      <c r="AA879" s="315"/>
      <c r="AB879" s="314"/>
      <c r="AC879" s="314"/>
      <c r="AD879" s="324"/>
      <c r="AE879" s="155"/>
      <c r="AF879" s="155"/>
      <c r="AG879" s="322"/>
      <c r="AH879" s="132"/>
      <c r="AI879" s="132"/>
    </row>
    <row r="880">
      <c r="A880" s="314"/>
      <c r="B880" s="695"/>
      <c r="C880" s="696"/>
      <c r="D880" s="312"/>
      <c r="E880" s="314"/>
      <c r="F880" s="314"/>
      <c r="G880" s="314"/>
      <c r="H880" s="314"/>
      <c r="I880" s="318"/>
      <c r="J880" s="314"/>
      <c r="K880" s="314"/>
      <c r="L880" s="314"/>
      <c r="M880" s="314"/>
      <c r="N880" s="314"/>
      <c r="O880" s="314"/>
      <c r="P880" s="318"/>
      <c r="Q880" s="314"/>
      <c r="R880" s="316"/>
      <c r="S880" s="314"/>
      <c r="T880" s="314"/>
      <c r="U880" s="314"/>
      <c r="V880" s="314"/>
      <c r="W880" s="318"/>
      <c r="X880" s="314"/>
      <c r="Y880" s="314"/>
      <c r="Z880" s="697"/>
      <c r="AA880" s="315"/>
      <c r="AB880" s="314"/>
      <c r="AC880" s="314"/>
      <c r="AD880" s="324"/>
      <c r="AE880" s="155"/>
      <c r="AF880" s="155"/>
      <c r="AG880" s="322"/>
      <c r="AH880" s="132"/>
      <c r="AI880" s="132"/>
    </row>
    <row r="881">
      <c r="A881" s="314"/>
      <c r="B881" s="695"/>
      <c r="C881" s="696"/>
      <c r="D881" s="312"/>
      <c r="E881" s="314"/>
      <c r="F881" s="314"/>
      <c r="G881" s="314"/>
      <c r="H881" s="314"/>
      <c r="I881" s="318"/>
      <c r="J881" s="314"/>
      <c r="K881" s="314"/>
      <c r="L881" s="314"/>
      <c r="M881" s="314"/>
      <c r="N881" s="314"/>
      <c r="O881" s="314"/>
      <c r="P881" s="318"/>
      <c r="Q881" s="314"/>
      <c r="R881" s="316"/>
      <c r="S881" s="314"/>
      <c r="T881" s="314"/>
      <c r="U881" s="314"/>
      <c r="V881" s="314"/>
      <c r="W881" s="318"/>
      <c r="X881" s="314"/>
      <c r="Y881" s="314"/>
      <c r="Z881" s="697"/>
      <c r="AA881" s="315"/>
      <c r="AB881" s="314"/>
      <c r="AC881" s="314"/>
      <c r="AD881" s="324"/>
      <c r="AE881" s="155"/>
      <c r="AF881" s="155"/>
      <c r="AG881" s="322"/>
      <c r="AH881" s="132"/>
      <c r="AI881" s="132"/>
    </row>
    <row r="882">
      <c r="A882" s="314"/>
      <c r="B882" s="695"/>
      <c r="C882" s="696"/>
      <c r="D882" s="312"/>
      <c r="E882" s="314"/>
      <c r="F882" s="314"/>
      <c r="G882" s="314"/>
      <c r="H882" s="314"/>
      <c r="I882" s="318"/>
      <c r="J882" s="314"/>
      <c r="K882" s="314"/>
      <c r="L882" s="314"/>
      <c r="M882" s="314"/>
      <c r="N882" s="314"/>
      <c r="O882" s="314"/>
      <c r="P882" s="318"/>
      <c r="Q882" s="314"/>
      <c r="R882" s="316"/>
      <c r="S882" s="314"/>
      <c r="T882" s="314"/>
      <c r="U882" s="314"/>
      <c r="V882" s="314"/>
      <c r="W882" s="318"/>
      <c r="X882" s="314"/>
      <c r="Y882" s="314"/>
      <c r="Z882" s="697"/>
      <c r="AA882" s="315"/>
      <c r="AB882" s="314"/>
      <c r="AC882" s="314"/>
      <c r="AD882" s="324"/>
      <c r="AE882" s="155"/>
      <c r="AF882" s="155"/>
      <c r="AG882" s="322"/>
      <c r="AH882" s="132"/>
      <c r="AI882" s="132"/>
    </row>
    <row r="883">
      <c r="A883" s="314"/>
      <c r="B883" s="695"/>
      <c r="C883" s="696"/>
      <c r="D883" s="312"/>
      <c r="E883" s="314"/>
      <c r="F883" s="314"/>
      <c r="G883" s="314"/>
      <c r="H883" s="314"/>
      <c r="I883" s="318"/>
      <c r="J883" s="314"/>
      <c r="K883" s="314"/>
      <c r="L883" s="314"/>
      <c r="M883" s="314"/>
      <c r="N883" s="314"/>
      <c r="O883" s="314"/>
      <c r="P883" s="318"/>
      <c r="Q883" s="314"/>
      <c r="R883" s="316"/>
      <c r="S883" s="314"/>
      <c r="T883" s="314"/>
      <c r="U883" s="314"/>
      <c r="V883" s="314"/>
      <c r="W883" s="318"/>
      <c r="X883" s="314"/>
      <c r="Y883" s="314"/>
      <c r="Z883" s="697"/>
      <c r="AA883" s="315"/>
      <c r="AB883" s="314"/>
      <c r="AC883" s="314"/>
      <c r="AD883" s="324"/>
      <c r="AE883" s="155"/>
      <c r="AF883" s="155"/>
      <c r="AG883" s="322"/>
      <c r="AH883" s="132"/>
      <c r="AI883" s="132"/>
    </row>
    <row r="884">
      <c r="A884" s="314"/>
      <c r="B884" s="695"/>
      <c r="C884" s="696"/>
      <c r="D884" s="312"/>
      <c r="E884" s="314"/>
      <c r="F884" s="314"/>
      <c r="G884" s="314"/>
      <c r="H884" s="314"/>
      <c r="I884" s="318"/>
      <c r="J884" s="314"/>
      <c r="K884" s="314"/>
      <c r="L884" s="314"/>
      <c r="M884" s="314"/>
      <c r="N884" s="314"/>
      <c r="O884" s="314"/>
      <c r="P884" s="318"/>
      <c r="Q884" s="314"/>
      <c r="R884" s="316"/>
      <c r="S884" s="314"/>
      <c r="T884" s="314"/>
      <c r="U884" s="314"/>
      <c r="V884" s="314"/>
      <c r="W884" s="318"/>
      <c r="X884" s="314"/>
      <c r="Y884" s="314"/>
      <c r="Z884" s="697"/>
      <c r="AA884" s="315"/>
      <c r="AB884" s="314"/>
      <c r="AC884" s="314"/>
      <c r="AD884" s="324"/>
      <c r="AE884" s="155"/>
      <c r="AF884" s="155"/>
      <c r="AG884" s="322"/>
      <c r="AH884" s="132"/>
      <c r="AI884" s="132"/>
    </row>
    <row r="885">
      <c r="A885" s="314"/>
      <c r="B885" s="695"/>
      <c r="C885" s="696"/>
      <c r="D885" s="312"/>
      <c r="E885" s="314"/>
      <c r="F885" s="314"/>
      <c r="G885" s="314"/>
      <c r="H885" s="314"/>
      <c r="I885" s="318"/>
      <c r="J885" s="314"/>
      <c r="K885" s="314"/>
      <c r="L885" s="314"/>
      <c r="M885" s="314"/>
      <c r="N885" s="314"/>
      <c r="O885" s="314"/>
      <c r="P885" s="318"/>
      <c r="Q885" s="314"/>
      <c r="R885" s="316"/>
      <c r="S885" s="314"/>
      <c r="T885" s="314"/>
      <c r="U885" s="314"/>
      <c r="V885" s="314"/>
      <c r="W885" s="318"/>
      <c r="X885" s="314"/>
      <c r="Y885" s="314"/>
      <c r="Z885" s="697"/>
      <c r="AA885" s="315"/>
      <c r="AB885" s="314"/>
      <c r="AC885" s="314"/>
      <c r="AD885" s="324"/>
      <c r="AE885" s="155"/>
      <c r="AF885" s="155"/>
      <c r="AG885" s="322"/>
      <c r="AH885" s="132"/>
      <c r="AI885" s="132"/>
    </row>
    <row r="886">
      <c r="A886" s="314"/>
      <c r="B886" s="695"/>
      <c r="C886" s="696"/>
      <c r="D886" s="312"/>
      <c r="E886" s="314"/>
      <c r="F886" s="314"/>
      <c r="G886" s="314"/>
      <c r="H886" s="314"/>
      <c r="I886" s="318"/>
      <c r="J886" s="314"/>
      <c r="K886" s="314"/>
      <c r="L886" s="314"/>
      <c r="M886" s="314"/>
      <c r="N886" s="314"/>
      <c r="O886" s="314"/>
      <c r="P886" s="318"/>
      <c r="Q886" s="314"/>
      <c r="R886" s="316"/>
      <c r="S886" s="314"/>
      <c r="T886" s="314"/>
      <c r="U886" s="314"/>
      <c r="V886" s="314"/>
      <c r="W886" s="318"/>
      <c r="X886" s="314"/>
      <c r="Y886" s="314"/>
      <c r="Z886" s="697"/>
      <c r="AA886" s="315"/>
      <c r="AB886" s="314"/>
      <c r="AC886" s="314"/>
      <c r="AD886" s="324"/>
      <c r="AE886" s="155"/>
      <c r="AF886" s="155"/>
      <c r="AG886" s="322"/>
      <c r="AH886" s="132"/>
      <c r="AI886" s="132"/>
    </row>
    <row r="887">
      <c r="A887" s="314"/>
      <c r="B887" s="695"/>
      <c r="C887" s="696"/>
      <c r="D887" s="312"/>
      <c r="E887" s="314"/>
      <c r="F887" s="314"/>
      <c r="G887" s="314"/>
      <c r="H887" s="314"/>
      <c r="I887" s="318"/>
      <c r="J887" s="314"/>
      <c r="K887" s="314"/>
      <c r="L887" s="314"/>
      <c r="M887" s="314"/>
      <c r="N887" s="314"/>
      <c r="O887" s="314"/>
      <c r="P887" s="318"/>
      <c r="Q887" s="314"/>
      <c r="R887" s="316"/>
      <c r="S887" s="314"/>
      <c r="T887" s="314"/>
      <c r="U887" s="314"/>
      <c r="V887" s="314"/>
      <c r="W887" s="318"/>
      <c r="X887" s="314"/>
      <c r="Y887" s="314"/>
      <c r="Z887" s="697"/>
      <c r="AA887" s="315"/>
      <c r="AB887" s="314"/>
      <c r="AC887" s="314"/>
      <c r="AD887" s="324"/>
      <c r="AE887" s="155"/>
      <c r="AF887" s="155"/>
      <c r="AG887" s="322"/>
      <c r="AH887" s="132"/>
      <c r="AI887" s="132"/>
    </row>
    <row r="888">
      <c r="A888" s="314"/>
      <c r="B888" s="695"/>
      <c r="C888" s="696"/>
      <c r="D888" s="312"/>
      <c r="E888" s="314"/>
      <c r="F888" s="314"/>
      <c r="G888" s="314"/>
      <c r="H888" s="314"/>
      <c r="I888" s="318"/>
      <c r="J888" s="314"/>
      <c r="K888" s="314"/>
      <c r="L888" s="314"/>
      <c r="M888" s="314"/>
      <c r="N888" s="314"/>
      <c r="O888" s="314"/>
      <c r="P888" s="318"/>
      <c r="Q888" s="314"/>
      <c r="R888" s="316"/>
      <c r="S888" s="314"/>
      <c r="T888" s="314"/>
      <c r="U888" s="314"/>
      <c r="V888" s="314"/>
      <c r="W888" s="318"/>
      <c r="X888" s="314"/>
      <c r="Y888" s="314"/>
      <c r="Z888" s="697"/>
      <c r="AA888" s="315"/>
      <c r="AB888" s="314"/>
      <c r="AC888" s="314"/>
      <c r="AD888" s="324"/>
      <c r="AE888" s="155"/>
      <c r="AF888" s="155"/>
      <c r="AG888" s="322"/>
      <c r="AH888" s="132"/>
      <c r="AI888" s="132"/>
    </row>
    <row r="889">
      <c r="A889" s="314"/>
      <c r="B889" s="695"/>
      <c r="C889" s="696"/>
      <c r="D889" s="312"/>
      <c r="E889" s="314"/>
      <c r="F889" s="314"/>
      <c r="G889" s="314"/>
      <c r="H889" s="314"/>
      <c r="I889" s="318"/>
      <c r="J889" s="314"/>
      <c r="K889" s="314"/>
      <c r="L889" s="314"/>
      <c r="M889" s="314"/>
      <c r="N889" s="314"/>
      <c r="O889" s="314"/>
      <c r="P889" s="318"/>
      <c r="Q889" s="314"/>
      <c r="R889" s="316"/>
      <c r="S889" s="314"/>
      <c r="T889" s="314"/>
      <c r="U889" s="314"/>
      <c r="V889" s="314"/>
      <c r="W889" s="318"/>
      <c r="X889" s="314"/>
      <c r="Y889" s="314"/>
      <c r="Z889" s="697"/>
      <c r="AA889" s="315"/>
      <c r="AB889" s="314"/>
      <c r="AC889" s="314"/>
      <c r="AD889" s="324"/>
      <c r="AE889" s="155"/>
      <c r="AF889" s="155"/>
      <c r="AG889" s="322"/>
      <c r="AH889" s="132"/>
      <c r="AI889" s="132"/>
    </row>
    <row r="890">
      <c r="A890" s="314"/>
      <c r="B890" s="695"/>
      <c r="C890" s="696"/>
      <c r="D890" s="312"/>
      <c r="E890" s="314"/>
      <c r="F890" s="314"/>
      <c r="G890" s="314"/>
      <c r="H890" s="314"/>
      <c r="I890" s="318"/>
      <c r="J890" s="314"/>
      <c r="K890" s="314"/>
      <c r="L890" s="314"/>
      <c r="M890" s="314"/>
      <c r="N890" s="314"/>
      <c r="O890" s="314"/>
      <c r="P890" s="318"/>
      <c r="Q890" s="314"/>
      <c r="R890" s="316"/>
      <c r="S890" s="314"/>
      <c r="T890" s="314"/>
      <c r="U890" s="314"/>
      <c r="V890" s="314"/>
      <c r="W890" s="318"/>
      <c r="X890" s="314"/>
      <c r="Y890" s="314"/>
      <c r="Z890" s="697"/>
      <c r="AA890" s="315"/>
      <c r="AB890" s="314"/>
      <c r="AC890" s="314"/>
      <c r="AD890" s="324"/>
      <c r="AE890" s="155"/>
      <c r="AF890" s="155"/>
      <c r="AG890" s="322"/>
      <c r="AH890" s="132"/>
      <c r="AI890" s="132"/>
    </row>
    <row r="891">
      <c r="A891" s="314"/>
      <c r="B891" s="695"/>
      <c r="C891" s="696"/>
      <c r="D891" s="312"/>
      <c r="E891" s="314"/>
      <c r="F891" s="314"/>
      <c r="G891" s="314"/>
      <c r="H891" s="314"/>
      <c r="I891" s="318"/>
      <c r="J891" s="314"/>
      <c r="K891" s="314"/>
      <c r="L891" s="314"/>
      <c r="M891" s="314"/>
      <c r="N891" s="314"/>
      <c r="O891" s="314"/>
      <c r="P891" s="318"/>
      <c r="Q891" s="314"/>
      <c r="R891" s="316"/>
      <c r="S891" s="314"/>
      <c r="T891" s="314"/>
      <c r="U891" s="314"/>
      <c r="V891" s="314"/>
      <c r="W891" s="318"/>
      <c r="X891" s="314"/>
      <c r="Y891" s="314"/>
      <c r="Z891" s="697"/>
      <c r="AA891" s="315"/>
      <c r="AB891" s="314"/>
      <c r="AC891" s="314"/>
      <c r="AD891" s="324"/>
      <c r="AE891" s="155"/>
      <c r="AF891" s="155"/>
      <c r="AG891" s="322"/>
      <c r="AH891" s="132"/>
      <c r="AI891" s="132"/>
    </row>
    <row r="892">
      <c r="A892" s="314"/>
      <c r="B892" s="695"/>
      <c r="C892" s="696"/>
      <c r="D892" s="312"/>
      <c r="E892" s="314"/>
      <c r="F892" s="314"/>
      <c r="G892" s="314"/>
      <c r="H892" s="314"/>
      <c r="I892" s="318"/>
      <c r="J892" s="314"/>
      <c r="K892" s="314"/>
      <c r="L892" s="314"/>
      <c r="M892" s="314"/>
      <c r="N892" s="314"/>
      <c r="O892" s="314"/>
      <c r="P892" s="318"/>
      <c r="Q892" s="314"/>
      <c r="R892" s="316"/>
      <c r="S892" s="314"/>
      <c r="T892" s="314"/>
      <c r="U892" s="314"/>
      <c r="V892" s="314"/>
      <c r="W892" s="318"/>
      <c r="X892" s="314"/>
      <c r="Y892" s="314"/>
      <c r="Z892" s="697"/>
      <c r="AA892" s="315"/>
      <c r="AB892" s="314"/>
      <c r="AC892" s="314"/>
      <c r="AD892" s="324"/>
      <c r="AE892" s="155"/>
      <c r="AF892" s="155"/>
      <c r="AG892" s="322"/>
      <c r="AH892" s="132"/>
      <c r="AI892" s="132"/>
    </row>
    <row r="893">
      <c r="A893" s="314"/>
      <c r="B893" s="695"/>
      <c r="C893" s="696"/>
      <c r="D893" s="312"/>
      <c r="E893" s="314"/>
      <c r="F893" s="314"/>
      <c r="G893" s="314"/>
      <c r="H893" s="314"/>
      <c r="I893" s="318"/>
      <c r="J893" s="314"/>
      <c r="K893" s="314"/>
      <c r="L893" s="314"/>
      <c r="M893" s="314"/>
      <c r="N893" s="314"/>
      <c r="O893" s="314"/>
      <c r="P893" s="318"/>
      <c r="Q893" s="314"/>
      <c r="R893" s="316"/>
      <c r="S893" s="314"/>
      <c r="T893" s="314"/>
      <c r="U893" s="314"/>
      <c r="V893" s="314"/>
      <c r="W893" s="318"/>
      <c r="X893" s="314"/>
      <c r="Y893" s="314"/>
      <c r="Z893" s="697"/>
      <c r="AA893" s="315"/>
      <c r="AB893" s="314"/>
      <c r="AC893" s="314"/>
      <c r="AD893" s="324"/>
      <c r="AE893" s="155"/>
      <c r="AF893" s="155"/>
      <c r="AG893" s="322"/>
      <c r="AH893" s="132"/>
      <c r="AI893" s="132"/>
    </row>
    <row r="894">
      <c r="A894" s="314"/>
      <c r="B894" s="695"/>
      <c r="C894" s="696"/>
      <c r="D894" s="312"/>
      <c r="E894" s="314"/>
      <c r="F894" s="314"/>
      <c r="G894" s="314"/>
      <c r="H894" s="314"/>
      <c r="I894" s="318"/>
      <c r="J894" s="314"/>
      <c r="K894" s="314"/>
      <c r="L894" s="314"/>
      <c r="M894" s="314"/>
      <c r="N894" s="314"/>
      <c r="O894" s="314"/>
      <c r="P894" s="318"/>
      <c r="Q894" s="314"/>
      <c r="R894" s="316"/>
      <c r="S894" s="314"/>
      <c r="T894" s="314"/>
      <c r="U894" s="314"/>
      <c r="V894" s="314"/>
      <c r="W894" s="318"/>
      <c r="X894" s="314"/>
      <c r="Y894" s="314"/>
      <c r="Z894" s="697"/>
      <c r="AA894" s="315"/>
      <c r="AB894" s="314"/>
      <c r="AC894" s="314"/>
      <c r="AD894" s="324"/>
      <c r="AE894" s="155"/>
      <c r="AF894" s="155"/>
      <c r="AG894" s="322"/>
      <c r="AH894" s="132"/>
      <c r="AI894" s="132"/>
    </row>
    <row r="895">
      <c r="A895" s="314"/>
      <c r="B895" s="695"/>
      <c r="C895" s="696"/>
      <c r="D895" s="312"/>
      <c r="E895" s="314"/>
      <c r="F895" s="314"/>
      <c r="G895" s="314"/>
      <c r="H895" s="314"/>
      <c r="I895" s="318"/>
      <c r="J895" s="314"/>
      <c r="K895" s="314"/>
      <c r="L895" s="314"/>
      <c r="M895" s="314"/>
      <c r="N895" s="314"/>
      <c r="O895" s="314"/>
      <c r="P895" s="318"/>
      <c r="Q895" s="314"/>
      <c r="R895" s="316"/>
      <c r="S895" s="314"/>
      <c r="T895" s="314"/>
      <c r="U895" s="314"/>
      <c r="V895" s="314"/>
      <c r="W895" s="318"/>
      <c r="X895" s="314"/>
      <c r="Y895" s="314"/>
      <c r="Z895" s="697"/>
      <c r="AA895" s="315"/>
      <c r="AB895" s="314"/>
      <c r="AC895" s="314"/>
      <c r="AD895" s="324"/>
      <c r="AE895" s="155"/>
      <c r="AF895" s="155"/>
      <c r="AG895" s="322"/>
      <c r="AH895" s="132"/>
      <c r="AI895" s="132"/>
    </row>
    <row r="896">
      <c r="A896" s="314"/>
      <c r="B896" s="695"/>
      <c r="C896" s="696"/>
      <c r="D896" s="312"/>
      <c r="E896" s="314"/>
      <c r="F896" s="314"/>
      <c r="G896" s="314"/>
      <c r="H896" s="314"/>
      <c r="I896" s="318"/>
      <c r="J896" s="314"/>
      <c r="K896" s="314"/>
      <c r="L896" s="314"/>
      <c r="M896" s="314"/>
      <c r="N896" s="314"/>
      <c r="O896" s="314"/>
      <c r="P896" s="318"/>
      <c r="Q896" s="314"/>
      <c r="R896" s="316"/>
      <c r="S896" s="314"/>
      <c r="T896" s="314"/>
      <c r="U896" s="314"/>
      <c r="V896" s="314"/>
      <c r="W896" s="318"/>
      <c r="X896" s="314"/>
      <c r="Y896" s="314"/>
      <c r="Z896" s="697"/>
      <c r="AA896" s="315"/>
      <c r="AB896" s="314"/>
      <c r="AC896" s="314"/>
      <c r="AD896" s="324"/>
      <c r="AE896" s="155"/>
      <c r="AF896" s="155"/>
      <c r="AG896" s="322"/>
      <c r="AH896" s="132"/>
      <c r="AI896" s="132"/>
    </row>
    <row r="897">
      <c r="A897" s="314"/>
      <c r="B897" s="695"/>
      <c r="C897" s="696"/>
      <c r="D897" s="312"/>
      <c r="E897" s="314"/>
      <c r="F897" s="314"/>
      <c r="G897" s="314"/>
      <c r="H897" s="314"/>
      <c r="I897" s="318"/>
      <c r="J897" s="314"/>
      <c r="K897" s="314"/>
      <c r="L897" s="314"/>
      <c r="M897" s="314"/>
      <c r="N897" s="314"/>
      <c r="O897" s="314"/>
      <c r="P897" s="318"/>
      <c r="Q897" s="314"/>
      <c r="R897" s="316"/>
      <c r="S897" s="314"/>
      <c r="T897" s="314"/>
      <c r="U897" s="314"/>
      <c r="V897" s="314"/>
      <c r="W897" s="318"/>
      <c r="X897" s="314"/>
      <c r="Y897" s="314"/>
      <c r="Z897" s="697"/>
      <c r="AA897" s="315"/>
      <c r="AB897" s="314"/>
      <c r="AC897" s="314"/>
      <c r="AD897" s="324"/>
      <c r="AE897" s="155"/>
      <c r="AF897" s="155"/>
      <c r="AG897" s="322"/>
      <c r="AH897" s="132"/>
      <c r="AI897" s="132"/>
    </row>
    <row r="898">
      <c r="A898" s="314"/>
      <c r="B898" s="695"/>
      <c r="C898" s="696"/>
      <c r="D898" s="312"/>
      <c r="E898" s="314"/>
      <c r="F898" s="314"/>
      <c r="G898" s="314"/>
      <c r="H898" s="314"/>
      <c r="I898" s="318"/>
      <c r="J898" s="314"/>
      <c r="K898" s="314"/>
      <c r="L898" s="314"/>
      <c r="M898" s="314"/>
      <c r="N898" s="314"/>
      <c r="O898" s="314"/>
      <c r="P898" s="318"/>
      <c r="Q898" s="314"/>
      <c r="R898" s="316"/>
      <c r="S898" s="314"/>
      <c r="T898" s="314"/>
      <c r="U898" s="314"/>
      <c r="V898" s="314"/>
      <c r="W898" s="318"/>
      <c r="X898" s="314"/>
      <c r="Y898" s="314"/>
      <c r="Z898" s="697"/>
      <c r="AA898" s="315"/>
      <c r="AB898" s="314"/>
      <c r="AC898" s="314"/>
      <c r="AD898" s="324"/>
      <c r="AE898" s="155"/>
      <c r="AF898" s="155"/>
      <c r="AG898" s="322"/>
      <c r="AH898" s="132"/>
      <c r="AI898" s="132"/>
    </row>
    <row r="899">
      <c r="A899" s="314"/>
      <c r="B899" s="695"/>
      <c r="C899" s="696"/>
      <c r="D899" s="312"/>
      <c r="E899" s="314"/>
      <c r="F899" s="314"/>
      <c r="G899" s="314"/>
      <c r="H899" s="314"/>
      <c r="I899" s="318"/>
      <c r="J899" s="314"/>
      <c r="K899" s="314"/>
      <c r="L899" s="314"/>
      <c r="M899" s="314"/>
      <c r="N899" s="314"/>
      <c r="O899" s="314"/>
      <c r="P899" s="318"/>
      <c r="Q899" s="314"/>
      <c r="R899" s="316"/>
      <c r="S899" s="314"/>
      <c r="T899" s="314"/>
      <c r="U899" s="314"/>
      <c r="V899" s="314"/>
      <c r="W899" s="318"/>
      <c r="X899" s="314"/>
      <c r="Y899" s="314"/>
      <c r="Z899" s="697"/>
      <c r="AA899" s="315"/>
      <c r="AB899" s="314"/>
      <c r="AC899" s="314"/>
      <c r="AD899" s="324"/>
      <c r="AE899" s="155"/>
      <c r="AF899" s="155"/>
      <c r="AG899" s="322"/>
      <c r="AH899" s="132"/>
      <c r="AI899" s="132"/>
    </row>
    <row r="900">
      <c r="A900" s="314"/>
      <c r="B900" s="695"/>
      <c r="C900" s="696"/>
      <c r="D900" s="312"/>
      <c r="E900" s="314"/>
      <c r="F900" s="314"/>
      <c r="G900" s="314"/>
      <c r="H900" s="314"/>
      <c r="I900" s="318"/>
      <c r="J900" s="314"/>
      <c r="K900" s="314"/>
      <c r="L900" s="314"/>
      <c r="M900" s="314"/>
      <c r="N900" s="314"/>
      <c r="O900" s="314"/>
      <c r="P900" s="318"/>
      <c r="Q900" s="314"/>
      <c r="R900" s="316"/>
      <c r="S900" s="314"/>
      <c r="T900" s="314"/>
      <c r="U900" s="314"/>
      <c r="V900" s="314"/>
      <c r="W900" s="318"/>
      <c r="X900" s="314"/>
      <c r="Y900" s="314"/>
      <c r="Z900" s="697"/>
      <c r="AA900" s="315"/>
      <c r="AB900" s="314"/>
      <c r="AC900" s="314"/>
      <c r="AD900" s="324"/>
      <c r="AE900" s="155"/>
      <c r="AF900" s="155"/>
      <c r="AG900" s="322"/>
      <c r="AH900" s="132"/>
      <c r="AI900" s="132"/>
    </row>
    <row r="901">
      <c r="A901" s="314"/>
      <c r="B901" s="695"/>
      <c r="C901" s="696"/>
      <c r="D901" s="312"/>
      <c r="E901" s="314"/>
      <c r="F901" s="314"/>
      <c r="G901" s="314"/>
      <c r="H901" s="314"/>
      <c r="I901" s="318"/>
      <c r="J901" s="314"/>
      <c r="K901" s="314"/>
      <c r="L901" s="314"/>
      <c r="M901" s="314"/>
      <c r="N901" s="314"/>
      <c r="O901" s="314"/>
      <c r="P901" s="318"/>
      <c r="Q901" s="314"/>
      <c r="R901" s="316"/>
      <c r="S901" s="314"/>
      <c r="T901" s="314"/>
      <c r="U901" s="314"/>
      <c r="V901" s="314"/>
      <c r="W901" s="318"/>
      <c r="X901" s="314"/>
      <c r="Y901" s="314"/>
      <c r="Z901" s="697"/>
      <c r="AA901" s="315"/>
      <c r="AB901" s="314"/>
      <c r="AC901" s="314"/>
      <c r="AD901" s="324"/>
      <c r="AE901" s="155"/>
      <c r="AF901" s="155"/>
      <c r="AG901" s="322"/>
      <c r="AH901" s="132"/>
      <c r="AI901" s="132"/>
    </row>
    <row r="902">
      <c r="A902" s="314"/>
      <c r="B902" s="695"/>
      <c r="C902" s="696"/>
      <c r="D902" s="312"/>
      <c r="E902" s="314"/>
      <c r="F902" s="314"/>
      <c r="G902" s="314"/>
      <c r="H902" s="314"/>
      <c r="I902" s="318"/>
      <c r="J902" s="314"/>
      <c r="K902" s="314"/>
      <c r="L902" s="314"/>
      <c r="M902" s="314"/>
      <c r="N902" s="314"/>
      <c r="O902" s="314"/>
      <c r="P902" s="318"/>
      <c r="Q902" s="314"/>
      <c r="R902" s="316"/>
      <c r="S902" s="314"/>
      <c r="T902" s="314"/>
      <c r="U902" s="314"/>
      <c r="V902" s="314"/>
      <c r="W902" s="318"/>
      <c r="X902" s="314"/>
      <c r="Y902" s="314"/>
      <c r="Z902" s="697"/>
      <c r="AA902" s="315"/>
      <c r="AB902" s="314"/>
      <c r="AC902" s="314"/>
      <c r="AD902" s="324"/>
      <c r="AE902" s="155"/>
      <c r="AF902" s="155"/>
      <c r="AG902" s="322"/>
      <c r="AH902" s="132"/>
      <c r="AI902" s="132"/>
    </row>
    <row r="903">
      <c r="A903" s="314"/>
      <c r="B903" s="695"/>
      <c r="C903" s="696"/>
      <c r="D903" s="312"/>
      <c r="E903" s="314"/>
      <c r="F903" s="314"/>
      <c r="G903" s="314"/>
      <c r="H903" s="314"/>
      <c r="I903" s="318"/>
      <c r="J903" s="314"/>
      <c r="K903" s="314"/>
      <c r="L903" s="314"/>
      <c r="M903" s="314"/>
      <c r="N903" s="314"/>
      <c r="O903" s="314"/>
      <c r="P903" s="318"/>
      <c r="Q903" s="314"/>
      <c r="R903" s="316"/>
      <c r="S903" s="314"/>
      <c r="T903" s="314"/>
      <c r="U903" s="314"/>
      <c r="V903" s="314"/>
      <c r="W903" s="318"/>
      <c r="X903" s="314"/>
      <c r="Y903" s="314"/>
      <c r="Z903" s="697"/>
      <c r="AA903" s="315"/>
      <c r="AB903" s="314"/>
      <c r="AC903" s="314"/>
      <c r="AD903" s="324"/>
      <c r="AE903" s="155"/>
      <c r="AF903" s="155"/>
      <c r="AG903" s="322"/>
      <c r="AH903" s="132"/>
      <c r="AI903" s="132"/>
    </row>
    <row r="904">
      <c r="A904" s="314"/>
      <c r="B904" s="695"/>
      <c r="C904" s="696"/>
      <c r="D904" s="312"/>
      <c r="E904" s="314"/>
      <c r="F904" s="314"/>
      <c r="G904" s="314"/>
      <c r="H904" s="314"/>
      <c r="I904" s="318"/>
      <c r="J904" s="314"/>
      <c r="K904" s="314"/>
      <c r="L904" s="314"/>
      <c r="M904" s="314"/>
      <c r="N904" s="314"/>
      <c r="O904" s="314"/>
      <c r="P904" s="318"/>
      <c r="Q904" s="314"/>
      <c r="R904" s="316"/>
      <c r="S904" s="314"/>
      <c r="T904" s="314"/>
      <c r="U904" s="314"/>
      <c r="V904" s="314"/>
      <c r="W904" s="318"/>
      <c r="X904" s="314"/>
      <c r="Y904" s="314"/>
      <c r="Z904" s="697"/>
      <c r="AA904" s="315"/>
      <c r="AB904" s="314"/>
      <c r="AC904" s="314"/>
      <c r="AD904" s="324"/>
      <c r="AE904" s="155"/>
      <c r="AF904" s="155"/>
      <c r="AG904" s="322"/>
      <c r="AH904" s="132"/>
      <c r="AI904" s="132"/>
    </row>
    <row r="905">
      <c r="A905" s="314"/>
      <c r="B905" s="695"/>
      <c r="C905" s="696"/>
      <c r="D905" s="312"/>
      <c r="E905" s="314"/>
      <c r="F905" s="314"/>
      <c r="G905" s="314"/>
      <c r="H905" s="314"/>
      <c r="I905" s="318"/>
      <c r="J905" s="314"/>
      <c r="K905" s="314"/>
      <c r="L905" s="314"/>
      <c r="M905" s="314"/>
      <c r="N905" s="314"/>
      <c r="O905" s="314"/>
      <c r="P905" s="318"/>
      <c r="Q905" s="314"/>
      <c r="R905" s="316"/>
      <c r="S905" s="314"/>
      <c r="T905" s="314"/>
      <c r="U905" s="314"/>
      <c r="V905" s="314"/>
      <c r="W905" s="318"/>
      <c r="X905" s="314"/>
      <c r="Y905" s="314"/>
      <c r="Z905" s="697"/>
      <c r="AA905" s="315"/>
      <c r="AB905" s="314"/>
      <c r="AC905" s="314"/>
      <c r="AD905" s="324"/>
      <c r="AE905" s="155"/>
      <c r="AF905" s="155"/>
      <c r="AG905" s="322"/>
      <c r="AH905" s="132"/>
      <c r="AI905" s="132"/>
    </row>
    <row r="906">
      <c r="A906" s="314"/>
      <c r="B906" s="695"/>
      <c r="C906" s="696"/>
      <c r="D906" s="312"/>
      <c r="E906" s="314"/>
      <c r="F906" s="314"/>
      <c r="G906" s="314"/>
      <c r="H906" s="314"/>
      <c r="I906" s="318"/>
      <c r="J906" s="314"/>
      <c r="K906" s="314"/>
      <c r="L906" s="314"/>
      <c r="M906" s="314"/>
      <c r="N906" s="314"/>
      <c r="O906" s="314"/>
      <c r="P906" s="318"/>
      <c r="Q906" s="314"/>
      <c r="R906" s="316"/>
      <c r="S906" s="314"/>
      <c r="T906" s="314"/>
      <c r="U906" s="314"/>
      <c r="V906" s="314"/>
      <c r="W906" s="318"/>
      <c r="X906" s="314"/>
      <c r="Y906" s="314"/>
      <c r="Z906" s="697"/>
      <c r="AA906" s="315"/>
      <c r="AB906" s="314"/>
      <c r="AC906" s="314"/>
      <c r="AD906" s="324"/>
      <c r="AE906" s="155"/>
      <c r="AF906" s="155"/>
      <c r="AG906" s="322"/>
      <c r="AH906" s="132"/>
      <c r="AI906" s="132"/>
    </row>
    <row r="907">
      <c r="A907" s="314"/>
      <c r="B907" s="695"/>
      <c r="C907" s="696"/>
      <c r="D907" s="312"/>
      <c r="E907" s="314"/>
      <c r="F907" s="314"/>
      <c r="G907" s="314"/>
      <c r="H907" s="314"/>
      <c r="I907" s="318"/>
      <c r="J907" s="314"/>
      <c r="K907" s="314"/>
      <c r="L907" s="314"/>
      <c r="M907" s="314"/>
      <c r="N907" s="314"/>
      <c r="O907" s="314"/>
      <c r="P907" s="318"/>
      <c r="Q907" s="314"/>
      <c r="R907" s="316"/>
      <c r="S907" s="314"/>
      <c r="T907" s="314"/>
      <c r="U907" s="314"/>
      <c r="V907" s="314"/>
      <c r="W907" s="318"/>
      <c r="X907" s="314"/>
      <c r="Y907" s="314"/>
      <c r="Z907" s="697"/>
      <c r="AA907" s="315"/>
      <c r="AB907" s="314"/>
      <c r="AC907" s="314"/>
      <c r="AD907" s="324"/>
      <c r="AE907" s="155"/>
      <c r="AF907" s="155"/>
      <c r="AG907" s="322"/>
      <c r="AH907" s="132"/>
      <c r="AI907" s="132"/>
    </row>
    <row r="908">
      <c r="A908" s="314"/>
      <c r="B908" s="695"/>
      <c r="C908" s="696"/>
      <c r="D908" s="312"/>
      <c r="E908" s="314"/>
      <c r="F908" s="314"/>
      <c r="G908" s="314"/>
      <c r="H908" s="314"/>
      <c r="I908" s="318"/>
      <c r="J908" s="314"/>
      <c r="K908" s="314"/>
      <c r="L908" s="314"/>
      <c r="M908" s="314"/>
      <c r="N908" s="314"/>
      <c r="O908" s="314"/>
      <c r="P908" s="318"/>
      <c r="Q908" s="314"/>
      <c r="R908" s="316"/>
      <c r="S908" s="314"/>
      <c r="T908" s="314"/>
      <c r="U908" s="314"/>
      <c r="V908" s="314"/>
      <c r="W908" s="318"/>
      <c r="X908" s="314"/>
      <c r="Y908" s="314"/>
      <c r="Z908" s="697"/>
      <c r="AA908" s="315"/>
      <c r="AB908" s="314"/>
      <c r="AC908" s="314"/>
      <c r="AD908" s="324"/>
      <c r="AE908" s="155"/>
      <c r="AF908" s="155"/>
      <c r="AG908" s="322"/>
      <c r="AH908" s="132"/>
      <c r="AI908" s="132"/>
    </row>
    <row r="909">
      <c r="A909" s="314"/>
      <c r="B909" s="695"/>
      <c r="C909" s="696"/>
      <c r="D909" s="312"/>
      <c r="E909" s="314"/>
      <c r="F909" s="314"/>
      <c r="G909" s="314"/>
      <c r="H909" s="314"/>
      <c r="I909" s="318"/>
      <c r="J909" s="314"/>
      <c r="K909" s="314"/>
      <c r="L909" s="314"/>
      <c r="M909" s="314"/>
      <c r="N909" s="314"/>
      <c r="O909" s="314"/>
      <c r="P909" s="318"/>
      <c r="Q909" s="314"/>
      <c r="R909" s="316"/>
      <c r="S909" s="314"/>
      <c r="T909" s="314"/>
      <c r="U909" s="314"/>
      <c r="V909" s="314"/>
      <c r="W909" s="318"/>
      <c r="X909" s="314"/>
      <c r="Y909" s="314"/>
      <c r="Z909" s="697"/>
      <c r="AA909" s="315"/>
      <c r="AB909" s="314"/>
      <c r="AC909" s="314"/>
      <c r="AD909" s="324"/>
      <c r="AE909" s="155"/>
      <c r="AF909" s="155"/>
      <c r="AG909" s="322"/>
      <c r="AH909" s="132"/>
      <c r="AI909" s="132"/>
    </row>
    <row r="910">
      <c r="A910" s="314"/>
      <c r="B910" s="695"/>
      <c r="C910" s="696"/>
      <c r="D910" s="312"/>
      <c r="E910" s="314"/>
      <c r="F910" s="314"/>
      <c r="G910" s="314"/>
      <c r="H910" s="314"/>
      <c r="I910" s="318"/>
      <c r="J910" s="314"/>
      <c r="K910" s="314"/>
      <c r="L910" s="314"/>
      <c r="M910" s="314"/>
      <c r="N910" s="314"/>
      <c r="O910" s="314"/>
      <c r="P910" s="318"/>
      <c r="Q910" s="314"/>
      <c r="R910" s="316"/>
      <c r="S910" s="314"/>
      <c r="T910" s="314"/>
      <c r="U910" s="314"/>
      <c r="V910" s="314"/>
      <c r="W910" s="318"/>
      <c r="X910" s="314"/>
      <c r="Y910" s="314"/>
      <c r="Z910" s="697"/>
      <c r="AA910" s="315"/>
      <c r="AB910" s="314"/>
      <c r="AC910" s="314"/>
      <c r="AD910" s="324"/>
      <c r="AE910" s="155"/>
      <c r="AF910" s="155"/>
      <c r="AG910" s="322"/>
      <c r="AH910" s="132"/>
      <c r="AI910" s="132"/>
    </row>
    <row r="911">
      <c r="A911" s="314"/>
      <c r="B911" s="695"/>
      <c r="C911" s="696"/>
      <c r="D911" s="312"/>
      <c r="E911" s="314"/>
      <c r="F911" s="314"/>
      <c r="G911" s="314"/>
      <c r="H911" s="314"/>
      <c r="I911" s="318"/>
      <c r="J911" s="314"/>
      <c r="K911" s="314"/>
      <c r="L911" s="314"/>
      <c r="M911" s="314"/>
      <c r="N911" s="314"/>
      <c r="O911" s="314"/>
      <c r="P911" s="318"/>
      <c r="Q911" s="314"/>
      <c r="R911" s="316"/>
      <c r="S911" s="314"/>
      <c r="T911" s="314"/>
      <c r="U911" s="314"/>
      <c r="V911" s="314"/>
      <c r="W911" s="318"/>
      <c r="X911" s="314"/>
      <c r="Y911" s="314"/>
      <c r="Z911" s="697"/>
      <c r="AA911" s="315"/>
      <c r="AB911" s="314"/>
      <c r="AC911" s="314"/>
      <c r="AD911" s="324"/>
      <c r="AE911" s="155"/>
      <c r="AF911" s="155"/>
      <c r="AG911" s="322"/>
      <c r="AH911" s="132"/>
      <c r="AI911" s="132"/>
    </row>
    <row r="912">
      <c r="A912" s="314"/>
      <c r="B912" s="695"/>
      <c r="C912" s="696"/>
      <c r="D912" s="312"/>
      <c r="E912" s="314"/>
      <c r="F912" s="314"/>
      <c r="G912" s="314"/>
      <c r="H912" s="314"/>
      <c r="I912" s="318"/>
      <c r="J912" s="314"/>
      <c r="K912" s="314"/>
      <c r="L912" s="314"/>
      <c r="M912" s="314"/>
      <c r="N912" s="314"/>
      <c r="O912" s="314"/>
      <c r="P912" s="318"/>
      <c r="Q912" s="314"/>
      <c r="R912" s="316"/>
      <c r="S912" s="314"/>
      <c r="T912" s="314"/>
      <c r="U912" s="314"/>
      <c r="V912" s="314"/>
      <c r="W912" s="318"/>
      <c r="X912" s="314"/>
      <c r="Y912" s="314"/>
      <c r="Z912" s="697"/>
      <c r="AA912" s="315"/>
      <c r="AB912" s="314"/>
      <c r="AC912" s="314"/>
      <c r="AD912" s="324"/>
      <c r="AE912" s="155"/>
      <c r="AF912" s="155"/>
      <c r="AG912" s="322"/>
      <c r="AH912" s="132"/>
      <c r="AI912" s="132"/>
    </row>
    <row r="913">
      <c r="A913" s="314"/>
      <c r="B913" s="695"/>
      <c r="C913" s="696"/>
      <c r="D913" s="312"/>
      <c r="E913" s="314"/>
      <c r="F913" s="314"/>
      <c r="G913" s="314"/>
      <c r="H913" s="314"/>
      <c r="I913" s="318"/>
      <c r="J913" s="314"/>
      <c r="K913" s="314"/>
      <c r="L913" s="314"/>
      <c r="M913" s="314"/>
      <c r="N913" s="314"/>
      <c r="O913" s="314"/>
      <c r="P913" s="318"/>
      <c r="Q913" s="314"/>
      <c r="R913" s="316"/>
      <c r="S913" s="314"/>
      <c r="T913" s="314"/>
      <c r="U913" s="314"/>
      <c r="V913" s="314"/>
      <c r="W913" s="318"/>
      <c r="X913" s="314"/>
      <c r="Y913" s="314"/>
      <c r="Z913" s="697"/>
      <c r="AA913" s="315"/>
      <c r="AB913" s="314"/>
      <c r="AC913" s="314"/>
      <c r="AD913" s="324"/>
      <c r="AE913" s="155"/>
      <c r="AF913" s="155"/>
      <c r="AG913" s="322"/>
      <c r="AH913" s="132"/>
      <c r="AI913" s="132"/>
    </row>
    <row r="914">
      <c r="A914" s="314"/>
      <c r="B914" s="695"/>
      <c r="C914" s="696"/>
      <c r="D914" s="312"/>
      <c r="E914" s="314"/>
      <c r="F914" s="314"/>
      <c r="G914" s="314"/>
      <c r="H914" s="314"/>
      <c r="I914" s="318"/>
      <c r="J914" s="314"/>
      <c r="K914" s="314"/>
      <c r="L914" s="314"/>
      <c r="M914" s="314"/>
      <c r="N914" s="314"/>
      <c r="O914" s="314"/>
      <c r="P914" s="318"/>
      <c r="Q914" s="314"/>
      <c r="R914" s="316"/>
      <c r="S914" s="314"/>
      <c r="T914" s="314"/>
      <c r="U914" s="314"/>
      <c r="V914" s="314"/>
      <c r="W914" s="318"/>
      <c r="X914" s="314"/>
      <c r="Y914" s="314"/>
      <c r="Z914" s="697"/>
      <c r="AA914" s="315"/>
      <c r="AB914" s="314"/>
      <c r="AC914" s="314"/>
      <c r="AD914" s="324"/>
      <c r="AE914" s="155"/>
      <c r="AF914" s="155"/>
      <c r="AG914" s="322"/>
      <c r="AH914" s="132"/>
      <c r="AI914" s="132"/>
    </row>
    <row r="915">
      <c r="A915" s="314"/>
      <c r="B915" s="695"/>
      <c r="C915" s="696"/>
      <c r="D915" s="312"/>
      <c r="E915" s="314"/>
      <c r="F915" s="314"/>
      <c r="G915" s="314"/>
      <c r="H915" s="314"/>
      <c r="I915" s="318"/>
      <c r="J915" s="314"/>
      <c r="K915" s="314"/>
      <c r="L915" s="314"/>
      <c r="M915" s="314"/>
      <c r="N915" s="314"/>
      <c r="O915" s="314"/>
      <c r="P915" s="318"/>
      <c r="Q915" s="314"/>
      <c r="R915" s="316"/>
      <c r="S915" s="314"/>
      <c r="T915" s="314"/>
      <c r="U915" s="314"/>
      <c r="V915" s="314"/>
      <c r="W915" s="318"/>
      <c r="X915" s="314"/>
      <c r="Y915" s="314"/>
      <c r="Z915" s="697"/>
      <c r="AA915" s="315"/>
      <c r="AB915" s="314"/>
      <c r="AC915" s="314"/>
      <c r="AD915" s="324"/>
      <c r="AE915" s="155"/>
      <c r="AF915" s="155"/>
      <c r="AG915" s="322"/>
      <c r="AH915" s="132"/>
      <c r="AI915" s="132"/>
    </row>
    <row r="916">
      <c r="A916" s="314"/>
      <c r="B916" s="695"/>
      <c r="C916" s="696"/>
      <c r="D916" s="312"/>
      <c r="E916" s="314"/>
      <c r="F916" s="314"/>
      <c r="G916" s="314"/>
      <c r="H916" s="314"/>
      <c r="I916" s="318"/>
      <c r="J916" s="314"/>
      <c r="K916" s="314"/>
      <c r="L916" s="314"/>
      <c r="M916" s="314"/>
      <c r="N916" s="314"/>
      <c r="O916" s="314"/>
      <c r="P916" s="318"/>
      <c r="Q916" s="314"/>
      <c r="R916" s="316"/>
      <c r="S916" s="314"/>
      <c r="T916" s="314"/>
      <c r="U916" s="314"/>
      <c r="V916" s="314"/>
      <c r="W916" s="318"/>
      <c r="X916" s="314"/>
      <c r="Y916" s="314"/>
      <c r="Z916" s="697"/>
      <c r="AA916" s="315"/>
      <c r="AB916" s="314"/>
      <c r="AC916" s="314"/>
      <c r="AD916" s="324"/>
      <c r="AE916" s="155"/>
      <c r="AF916" s="155"/>
      <c r="AG916" s="322"/>
      <c r="AH916" s="132"/>
      <c r="AI916" s="132"/>
    </row>
    <row r="917">
      <c r="A917" s="314"/>
      <c r="B917" s="695"/>
      <c r="C917" s="696"/>
      <c r="D917" s="312"/>
      <c r="E917" s="314"/>
      <c r="F917" s="314"/>
      <c r="G917" s="314"/>
      <c r="H917" s="314"/>
      <c r="I917" s="318"/>
      <c r="J917" s="314"/>
      <c r="K917" s="314"/>
      <c r="L917" s="314"/>
      <c r="M917" s="314"/>
      <c r="N917" s="314"/>
      <c r="O917" s="314"/>
      <c r="P917" s="318"/>
      <c r="Q917" s="314"/>
      <c r="R917" s="316"/>
      <c r="S917" s="314"/>
      <c r="T917" s="314"/>
      <c r="U917" s="314"/>
      <c r="V917" s="314"/>
      <c r="W917" s="318"/>
      <c r="X917" s="314"/>
      <c r="Y917" s="314"/>
      <c r="Z917" s="697"/>
      <c r="AA917" s="315"/>
      <c r="AB917" s="314"/>
      <c r="AC917" s="314"/>
      <c r="AD917" s="324"/>
      <c r="AE917" s="155"/>
      <c r="AF917" s="155"/>
      <c r="AG917" s="322"/>
      <c r="AH917" s="132"/>
      <c r="AI917" s="132"/>
    </row>
    <row r="918">
      <c r="A918" s="314"/>
      <c r="B918" s="695"/>
      <c r="C918" s="696"/>
      <c r="D918" s="312"/>
      <c r="E918" s="314"/>
      <c r="F918" s="314"/>
      <c r="G918" s="314"/>
      <c r="H918" s="314"/>
      <c r="I918" s="318"/>
      <c r="J918" s="314"/>
      <c r="K918" s="314"/>
      <c r="L918" s="314"/>
      <c r="M918" s="314"/>
      <c r="N918" s="314"/>
      <c r="O918" s="314"/>
      <c r="P918" s="318"/>
      <c r="Q918" s="314"/>
      <c r="R918" s="316"/>
      <c r="S918" s="314"/>
      <c r="T918" s="314"/>
      <c r="U918" s="314"/>
      <c r="V918" s="314"/>
      <c r="W918" s="318"/>
      <c r="X918" s="314"/>
      <c r="Y918" s="314"/>
      <c r="Z918" s="697"/>
      <c r="AA918" s="315"/>
      <c r="AB918" s="314"/>
      <c r="AC918" s="314"/>
      <c r="AD918" s="324"/>
      <c r="AE918" s="155"/>
      <c r="AF918" s="155"/>
      <c r="AG918" s="322"/>
      <c r="AH918" s="132"/>
      <c r="AI918" s="132"/>
    </row>
    <row r="919">
      <c r="A919" s="314"/>
      <c r="B919" s="695"/>
      <c r="C919" s="696"/>
      <c r="D919" s="312"/>
      <c r="E919" s="314"/>
      <c r="F919" s="314"/>
      <c r="G919" s="314"/>
      <c r="H919" s="314"/>
      <c r="I919" s="318"/>
      <c r="J919" s="314"/>
      <c r="K919" s="314"/>
      <c r="L919" s="314"/>
      <c r="M919" s="314"/>
      <c r="N919" s="314"/>
      <c r="O919" s="314"/>
      <c r="P919" s="318"/>
      <c r="Q919" s="314"/>
      <c r="R919" s="316"/>
      <c r="S919" s="314"/>
      <c r="T919" s="314"/>
      <c r="U919" s="314"/>
      <c r="V919" s="314"/>
      <c r="W919" s="318"/>
      <c r="X919" s="314"/>
      <c r="Y919" s="314"/>
      <c r="Z919" s="697"/>
      <c r="AA919" s="315"/>
      <c r="AB919" s="314"/>
      <c r="AC919" s="314"/>
      <c r="AD919" s="324"/>
      <c r="AE919" s="155"/>
      <c r="AF919" s="155"/>
      <c r="AG919" s="322"/>
      <c r="AH919" s="132"/>
      <c r="AI919" s="132"/>
    </row>
    <row r="920">
      <c r="A920" s="314"/>
      <c r="B920" s="695"/>
      <c r="C920" s="696"/>
      <c r="D920" s="312"/>
      <c r="E920" s="314"/>
      <c r="F920" s="314"/>
      <c r="G920" s="314"/>
      <c r="H920" s="314"/>
      <c r="I920" s="318"/>
      <c r="J920" s="314"/>
      <c r="K920" s="314"/>
      <c r="L920" s="314"/>
      <c r="M920" s="314"/>
      <c r="N920" s="314"/>
      <c r="O920" s="314"/>
      <c r="P920" s="318"/>
      <c r="Q920" s="314"/>
      <c r="R920" s="316"/>
      <c r="S920" s="314"/>
      <c r="T920" s="314"/>
      <c r="U920" s="314"/>
      <c r="V920" s="314"/>
      <c r="W920" s="318"/>
      <c r="X920" s="314"/>
      <c r="Y920" s="314"/>
      <c r="Z920" s="697"/>
      <c r="AA920" s="315"/>
      <c r="AB920" s="314"/>
      <c r="AC920" s="314"/>
      <c r="AD920" s="324"/>
      <c r="AE920" s="155"/>
      <c r="AF920" s="155"/>
      <c r="AG920" s="322"/>
      <c r="AH920" s="132"/>
      <c r="AI920" s="132"/>
    </row>
    <row r="921">
      <c r="A921" s="314"/>
      <c r="B921" s="695"/>
      <c r="C921" s="696"/>
      <c r="D921" s="312"/>
      <c r="E921" s="314"/>
      <c r="F921" s="314"/>
      <c r="G921" s="314"/>
      <c r="H921" s="314"/>
      <c r="I921" s="318"/>
      <c r="J921" s="314"/>
      <c r="K921" s="314"/>
      <c r="L921" s="314"/>
      <c r="M921" s="314"/>
      <c r="N921" s="314"/>
      <c r="O921" s="314"/>
      <c r="P921" s="318"/>
      <c r="Q921" s="314"/>
      <c r="R921" s="316"/>
      <c r="S921" s="314"/>
      <c r="T921" s="314"/>
      <c r="U921" s="314"/>
      <c r="V921" s="314"/>
      <c r="W921" s="318"/>
      <c r="X921" s="314"/>
      <c r="Y921" s="314"/>
      <c r="Z921" s="697"/>
      <c r="AA921" s="315"/>
      <c r="AB921" s="314"/>
      <c r="AC921" s="314"/>
      <c r="AD921" s="324"/>
      <c r="AE921" s="155"/>
      <c r="AF921" s="155"/>
      <c r="AG921" s="322"/>
      <c r="AH921" s="132"/>
      <c r="AI921" s="132"/>
    </row>
    <row r="922">
      <c r="A922" s="314"/>
      <c r="B922" s="695"/>
      <c r="C922" s="696"/>
      <c r="D922" s="312"/>
      <c r="E922" s="314"/>
      <c r="F922" s="314"/>
      <c r="G922" s="314"/>
      <c r="H922" s="314"/>
      <c r="I922" s="318"/>
      <c r="J922" s="314"/>
      <c r="K922" s="314"/>
      <c r="L922" s="314"/>
      <c r="M922" s="314"/>
      <c r="N922" s="314"/>
      <c r="O922" s="314"/>
      <c r="P922" s="318"/>
      <c r="Q922" s="314"/>
      <c r="R922" s="316"/>
      <c r="S922" s="314"/>
      <c r="T922" s="314"/>
      <c r="U922" s="314"/>
      <c r="V922" s="314"/>
      <c r="W922" s="318"/>
      <c r="X922" s="314"/>
      <c r="Y922" s="314"/>
      <c r="Z922" s="697"/>
      <c r="AA922" s="315"/>
      <c r="AB922" s="314"/>
      <c r="AC922" s="314"/>
      <c r="AD922" s="324"/>
      <c r="AE922" s="155"/>
      <c r="AF922" s="155"/>
      <c r="AG922" s="322"/>
      <c r="AH922" s="132"/>
      <c r="AI922" s="132"/>
    </row>
    <row r="923">
      <c r="A923" s="314"/>
      <c r="B923" s="695"/>
      <c r="C923" s="696"/>
      <c r="D923" s="312"/>
      <c r="E923" s="314"/>
      <c r="F923" s="314"/>
      <c r="G923" s="314"/>
      <c r="H923" s="314"/>
      <c r="I923" s="318"/>
      <c r="J923" s="314"/>
      <c r="K923" s="314"/>
      <c r="L923" s="314"/>
      <c r="M923" s="314"/>
      <c r="N923" s="314"/>
      <c r="O923" s="314"/>
      <c r="P923" s="318"/>
      <c r="Q923" s="314"/>
      <c r="R923" s="316"/>
      <c r="S923" s="314"/>
      <c r="T923" s="314"/>
      <c r="U923" s="314"/>
      <c r="V923" s="314"/>
      <c r="W923" s="318"/>
      <c r="X923" s="314"/>
      <c r="Y923" s="314"/>
      <c r="Z923" s="697"/>
      <c r="AA923" s="315"/>
      <c r="AB923" s="314"/>
      <c r="AC923" s="314"/>
      <c r="AD923" s="324"/>
      <c r="AE923" s="155"/>
      <c r="AF923" s="155"/>
      <c r="AG923" s="322"/>
      <c r="AH923" s="132"/>
      <c r="AI923" s="132"/>
    </row>
    <row r="924">
      <c r="A924" s="314"/>
      <c r="B924" s="695"/>
      <c r="C924" s="696"/>
      <c r="D924" s="312"/>
      <c r="E924" s="314"/>
      <c r="F924" s="314"/>
      <c r="G924" s="314"/>
      <c r="H924" s="314"/>
      <c r="I924" s="318"/>
      <c r="J924" s="314"/>
      <c r="K924" s="314"/>
      <c r="L924" s="314"/>
      <c r="M924" s="314"/>
      <c r="N924" s="314"/>
      <c r="O924" s="314"/>
      <c r="P924" s="318"/>
      <c r="Q924" s="314"/>
      <c r="R924" s="316"/>
      <c r="S924" s="314"/>
      <c r="T924" s="314"/>
      <c r="U924" s="314"/>
      <c r="V924" s="314"/>
      <c r="W924" s="318"/>
      <c r="X924" s="314"/>
      <c r="Y924" s="314"/>
      <c r="Z924" s="697"/>
      <c r="AA924" s="315"/>
      <c r="AB924" s="314"/>
      <c r="AC924" s="314"/>
      <c r="AD924" s="324"/>
      <c r="AE924" s="155"/>
      <c r="AF924" s="155"/>
      <c r="AG924" s="322"/>
      <c r="AH924" s="132"/>
      <c r="AI924" s="132"/>
    </row>
    <row r="925">
      <c r="A925" s="314"/>
      <c r="B925" s="695"/>
      <c r="C925" s="696"/>
      <c r="D925" s="312"/>
      <c r="E925" s="314"/>
      <c r="F925" s="314"/>
      <c r="G925" s="314"/>
      <c r="H925" s="314"/>
      <c r="I925" s="318"/>
      <c r="J925" s="314"/>
      <c r="K925" s="314"/>
      <c r="L925" s="314"/>
      <c r="M925" s="314"/>
      <c r="N925" s="314"/>
      <c r="O925" s="314"/>
      <c r="P925" s="318"/>
      <c r="Q925" s="314"/>
      <c r="R925" s="316"/>
      <c r="S925" s="314"/>
      <c r="T925" s="314"/>
      <c r="U925" s="314"/>
      <c r="V925" s="314"/>
      <c r="W925" s="318"/>
      <c r="X925" s="314"/>
      <c r="Y925" s="314"/>
      <c r="Z925" s="697"/>
      <c r="AA925" s="315"/>
      <c r="AB925" s="314"/>
      <c r="AC925" s="314"/>
      <c r="AD925" s="324"/>
      <c r="AE925" s="155"/>
      <c r="AF925" s="155"/>
      <c r="AG925" s="322"/>
      <c r="AH925" s="132"/>
      <c r="AI925" s="132"/>
    </row>
    <row r="926">
      <c r="A926" s="314"/>
      <c r="B926" s="695"/>
      <c r="C926" s="696"/>
      <c r="D926" s="312"/>
      <c r="E926" s="314"/>
      <c r="F926" s="314"/>
      <c r="G926" s="314"/>
      <c r="H926" s="314"/>
      <c r="I926" s="318"/>
      <c r="J926" s="314"/>
      <c r="K926" s="314"/>
      <c r="L926" s="314"/>
      <c r="M926" s="314"/>
      <c r="N926" s="314"/>
      <c r="O926" s="314"/>
      <c r="P926" s="318"/>
      <c r="Q926" s="314"/>
      <c r="R926" s="316"/>
      <c r="S926" s="314"/>
      <c r="T926" s="314"/>
      <c r="U926" s="314"/>
      <c r="V926" s="314"/>
      <c r="W926" s="318"/>
      <c r="X926" s="314"/>
      <c r="Y926" s="314"/>
      <c r="Z926" s="697"/>
      <c r="AA926" s="315"/>
      <c r="AB926" s="314"/>
      <c r="AC926" s="314"/>
      <c r="AD926" s="324"/>
      <c r="AE926" s="155"/>
      <c r="AF926" s="155"/>
      <c r="AG926" s="322"/>
      <c r="AH926" s="132"/>
      <c r="AI926" s="132"/>
    </row>
    <row r="927">
      <c r="A927" s="435"/>
      <c r="B927" s="695"/>
      <c r="C927" s="739"/>
      <c r="D927" s="312"/>
      <c r="E927" s="435"/>
      <c r="F927" s="314"/>
      <c r="G927" s="314"/>
      <c r="H927" s="435"/>
      <c r="I927" s="740"/>
      <c r="J927" s="314"/>
      <c r="K927" s="435"/>
      <c r="L927" s="435"/>
      <c r="M927" s="314"/>
      <c r="N927" s="314"/>
      <c r="O927" s="314"/>
      <c r="P927" s="740"/>
      <c r="Q927" s="435"/>
      <c r="R927" s="742"/>
      <c r="S927" s="435"/>
      <c r="T927" s="435"/>
      <c r="U927" s="435"/>
      <c r="V927" s="435"/>
      <c r="W927" s="740"/>
      <c r="X927" s="435"/>
      <c r="Y927" s="435"/>
      <c r="Z927" s="743"/>
      <c r="AA927" s="744"/>
      <c r="AB927" s="435"/>
      <c r="AC927" s="435"/>
      <c r="AD927" s="324"/>
      <c r="AE927" s="180"/>
      <c r="AF927" s="155"/>
      <c r="AG927" s="322"/>
      <c r="AH927" s="132"/>
      <c r="AI927" s="132"/>
    </row>
    <row r="928">
      <c r="A928" s="435"/>
      <c r="B928" s="695"/>
      <c r="C928" s="696"/>
      <c r="D928" s="745"/>
      <c r="E928" s="314"/>
      <c r="F928" s="314"/>
      <c r="G928" s="314"/>
      <c r="H928" s="314"/>
      <c r="I928" s="318"/>
      <c r="J928" s="314"/>
      <c r="K928" s="314"/>
      <c r="L928" s="314"/>
      <c r="M928" s="435"/>
      <c r="N928" s="435"/>
      <c r="O928" s="314"/>
      <c r="P928" s="318"/>
      <c r="Q928" s="314"/>
      <c r="R928" s="316"/>
      <c r="S928" s="314"/>
      <c r="T928" s="314"/>
      <c r="U928" s="314"/>
      <c r="V928" s="314"/>
      <c r="W928" s="318"/>
      <c r="X928" s="314"/>
      <c r="Y928" s="314"/>
      <c r="Z928" s="697"/>
      <c r="AA928" s="315"/>
      <c r="AB928" s="314"/>
      <c r="AC928" s="314"/>
      <c r="AD928" s="324"/>
      <c r="AE928" s="180"/>
      <c r="AF928" s="155"/>
      <c r="AG928" s="322"/>
      <c r="AH928" s="132"/>
      <c r="AI928" s="132"/>
    </row>
    <row r="929">
      <c r="A929" s="435"/>
      <c r="B929" s="746"/>
      <c r="C929" s="739"/>
      <c r="D929" s="745"/>
      <c r="E929" s="435"/>
      <c r="F929" s="314"/>
      <c r="G929" s="314"/>
      <c r="H929" s="314"/>
      <c r="I929" s="740"/>
      <c r="J929" s="435"/>
      <c r="K929" s="435"/>
      <c r="L929" s="435"/>
      <c r="M929" s="435"/>
      <c r="N929" s="435"/>
      <c r="O929" s="314"/>
      <c r="P929" s="740"/>
      <c r="Q929" s="314"/>
      <c r="R929" s="742"/>
      <c r="S929" s="435"/>
      <c r="T929" s="435"/>
      <c r="U929" s="435"/>
      <c r="V929" s="435"/>
      <c r="W929" s="740"/>
      <c r="X929" s="435"/>
      <c r="Y929" s="435"/>
      <c r="Z929" s="743"/>
      <c r="AA929" s="744"/>
      <c r="AB929" s="435"/>
      <c r="AC929" s="435"/>
      <c r="AD929" s="324"/>
      <c r="AE929" s="180"/>
      <c r="AF929" s="155"/>
      <c r="AG929" s="322"/>
      <c r="AH929" s="132"/>
      <c r="AI929" s="132"/>
    </row>
    <row r="930">
      <c r="A930" s="435"/>
      <c r="B930" s="695"/>
      <c r="C930" s="696"/>
      <c r="D930" s="745"/>
      <c r="E930" s="314"/>
      <c r="F930" s="314"/>
      <c r="G930" s="314"/>
      <c r="H930" s="314"/>
      <c r="I930" s="740"/>
      <c r="J930" s="314"/>
      <c r="K930" s="435"/>
      <c r="L930" s="314"/>
      <c r="M930" s="314"/>
      <c r="N930" s="314"/>
      <c r="O930" s="314"/>
      <c r="P930" s="318"/>
      <c r="Q930" s="435"/>
      <c r="R930" s="742"/>
      <c r="S930" s="314"/>
      <c r="T930" s="314"/>
      <c r="U930" s="314"/>
      <c r="V930" s="314"/>
      <c r="W930" s="318"/>
      <c r="X930" s="314"/>
      <c r="Y930" s="314"/>
      <c r="Z930" s="697"/>
      <c r="AA930" s="315"/>
      <c r="AB930" s="314"/>
      <c r="AC930" s="314"/>
      <c r="AD930" s="324"/>
      <c r="AE930" s="180"/>
      <c r="AF930" s="155"/>
      <c r="AG930" s="322"/>
      <c r="AH930" s="132"/>
      <c r="AI930" s="132"/>
    </row>
    <row r="931">
      <c r="A931" s="435"/>
      <c r="B931" s="746"/>
      <c r="C931" s="739"/>
      <c r="D931" s="745"/>
      <c r="E931" s="435"/>
      <c r="F931" s="314"/>
      <c r="G931" s="314"/>
      <c r="H931" s="435"/>
      <c r="I931" s="740"/>
      <c r="J931" s="435"/>
      <c r="K931" s="435"/>
      <c r="L931" s="435"/>
      <c r="M931" s="435"/>
      <c r="N931" s="435"/>
      <c r="O931" s="314"/>
      <c r="P931" s="740"/>
      <c r="Q931" s="435"/>
      <c r="R931" s="742"/>
      <c r="S931" s="435"/>
      <c r="T931" s="435"/>
      <c r="U931" s="435"/>
      <c r="V931" s="435"/>
      <c r="W931" s="740"/>
      <c r="X931" s="435"/>
      <c r="Y931" s="435"/>
      <c r="Z931" s="743"/>
      <c r="AA931" s="744"/>
      <c r="AB931" s="435"/>
      <c r="AC931" s="435"/>
      <c r="AD931" s="324"/>
      <c r="AE931" s="180"/>
      <c r="AF931" s="155"/>
      <c r="AG931" s="322"/>
      <c r="AH931" s="132"/>
      <c r="AI931" s="132"/>
    </row>
    <row r="932">
      <c r="A932" s="435"/>
      <c r="B932" s="746"/>
      <c r="C932" s="696"/>
      <c r="D932" s="745"/>
      <c r="E932" s="314"/>
      <c r="F932" s="314"/>
      <c r="G932" s="314"/>
      <c r="H932" s="314"/>
      <c r="I932" s="318"/>
      <c r="J932" s="314"/>
      <c r="K932" s="435"/>
      <c r="L932" s="314"/>
      <c r="M932" s="314"/>
      <c r="N932" s="314"/>
      <c r="O932" s="314"/>
      <c r="P932" s="318"/>
      <c r="Q932" s="314"/>
      <c r="R932" s="316"/>
      <c r="S932" s="435"/>
      <c r="T932" s="435"/>
      <c r="U932" s="435"/>
      <c r="V932" s="435"/>
      <c r="W932" s="740"/>
      <c r="X932" s="435"/>
      <c r="Y932" s="435"/>
      <c r="Z932" s="743"/>
      <c r="AA932" s="744"/>
      <c r="AB932" s="435"/>
      <c r="AC932" s="435"/>
      <c r="AD932" s="324"/>
      <c r="AE932" s="180"/>
      <c r="AF932" s="155"/>
      <c r="AG932" s="322"/>
      <c r="AH932" s="132"/>
      <c r="AI932" s="132"/>
    </row>
    <row r="933">
      <c r="A933" s="435"/>
      <c r="B933" s="746"/>
      <c r="C933" s="739"/>
      <c r="D933" s="745"/>
      <c r="E933" s="435"/>
      <c r="F933" s="314"/>
      <c r="G933" s="314"/>
      <c r="H933" s="435"/>
      <c r="I933" s="318"/>
      <c r="J933" s="314"/>
      <c r="K933" s="435"/>
      <c r="L933" s="314"/>
      <c r="M933" s="314"/>
      <c r="N933" s="314"/>
      <c r="O933" s="314"/>
      <c r="P933" s="740"/>
      <c r="Q933" s="435"/>
      <c r="R933" s="742"/>
      <c r="S933" s="435"/>
      <c r="T933" s="435"/>
      <c r="U933" s="435"/>
      <c r="V933" s="435"/>
      <c r="W933" s="740"/>
      <c r="X933" s="435"/>
      <c r="Y933" s="435"/>
      <c r="Z933" s="743"/>
      <c r="AA933" s="744"/>
      <c r="AB933" s="435"/>
      <c r="AC933" s="435"/>
      <c r="AD933" s="324"/>
      <c r="AE933" s="180"/>
      <c r="AF933" s="155"/>
      <c r="AG933" s="322"/>
      <c r="AH933" s="132"/>
      <c r="AI933" s="132"/>
    </row>
    <row r="934">
      <c r="A934" s="435"/>
      <c r="B934" s="746"/>
      <c r="C934" s="739"/>
      <c r="D934" s="745"/>
      <c r="E934" s="435"/>
      <c r="F934" s="314"/>
      <c r="G934" s="314"/>
      <c r="H934" s="435"/>
      <c r="I934" s="740"/>
      <c r="J934" s="435"/>
      <c r="K934" s="435"/>
      <c r="L934" s="435"/>
      <c r="M934" s="435"/>
      <c r="N934" s="435"/>
      <c r="O934" s="314"/>
      <c r="P934" s="740"/>
      <c r="Q934" s="435"/>
      <c r="R934" s="742"/>
      <c r="S934" s="435"/>
      <c r="T934" s="435"/>
      <c r="U934" s="435"/>
      <c r="V934" s="435"/>
      <c r="W934" s="740"/>
      <c r="X934" s="435"/>
      <c r="Y934" s="435"/>
      <c r="Z934" s="743"/>
      <c r="AA934" s="744"/>
      <c r="AB934" s="435"/>
      <c r="AC934" s="435"/>
      <c r="AD934" s="324"/>
      <c r="AE934" s="180"/>
      <c r="AF934" s="155"/>
      <c r="AG934" s="322"/>
      <c r="AH934" s="132"/>
      <c r="AI934" s="132"/>
    </row>
    <row r="935">
      <c r="A935" s="435"/>
      <c r="B935" s="695"/>
      <c r="C935" s="696"/>
      <c r="D935" s="312"/>
      <c r="E935" s="435"/>
      <c r="F935" s="314"/>
      <c r="G935" s="314"/>
      <c r="H935" s="435"/>
      <c r="I935" s="318"/>
      <c r="J935" s="314"/>
      <c r="K935" s="314"/>
      <c r="L935" s="314"/>
      <c r="M935" s="314"/>
      <c r="N935" s="314"/>
      <c r="O935" s="314"/>
      <c r="P935" s="318"/>
      <c r="Q935" s="314"/>
      <c r="R935" s="316"/>
      <c r="S935" s="314"/>
      <c r="T935" s="314"/>
      <c r="U935" s="314"/>
      <c r="V935" s="314"/>
      <c r="W935" s="318"/>
      <c r="X935" s="314"/>
      <c r="Y935" s="314"/>
      <c r="Z935" s="697"/>
      <c r="AA935" s="315"/>
      <c r="AB935" s="314"/>
      <c r="AC935" s="314"/>
      <c r="AD935" s="324"/>
      <c r="AE935" s="180"/>
      <c r="AF935" s="155"/>
      <c r="AG935" s="322"/>
      <c r="AH935" s="132"/>
      <c r="AI935" s="132"/>
    </row>
    <row r="936">
      <c r="A936" s="435"/>
      <c r="B936" s="695"/>
      <c r="C936" s="696"/>
      <c r="D936" s="745"/>
      <c r="E936" s="314"/>
      <c r="F936" s="314"/>
      <c r="G936" s="314"/>
      <c r="H936" s="435"/>
      <c r="I936" s="318"/>
      <c r="J936" s="435"/>
      <c r="K936" s="435"/>
      <c r="L936" s="314"/>
      <c r="M936" s="435"/>
      <c r="N936" s="314"/>
      <c r="O936" s="314"/>
      <c r="P936" s="318"/>
      <c r="Q936" s="314"/>
      <c r="R936" s="742"/>
      <c r="S936" s="435"/>
      <c r="T936" s="435"/>
      <c r="U936" s="435"/>
      <c r="V936" s="435"/>
      <c r="W936" s="740"/>
      <c r="X936" s="435"/>
      <c r="Y936" s="435"/>
      <c r="Z936" s="743"/>
      <c r="AA936" s="744"/>
      <c r="AB936" s="435"/>
      <c r="AC936" s="435"/>
      <c r="AD936" s="324"/>
      <c r="AE936" s="180"/>
      <c r="AF936" s="155"/>
      <c r="AG936" s="322"/>
      <c r="AH936" s="132"/>
      <c r="AI936" s="132"/>
    </row>
    <row r="937">
      <c r="A937" s="435"/>
      <c r="B937" s="695"/>
      <c r="C937" s="696"/>
      <c r="D937" s="312"/>
      <c r="E937" s="314"/>
      <c r="F937" s="314"/>
      <c r="G937" s="314"/>
      <c r="H937" s="314"/>
      <c r="I937" s="318"/>
      <c r="J937" s="314"/>
      <c r="K937" s="314"/>
      <c r="L937" s="314"/>
      <c r="M937" s="314"/>
      <c r="N937" s="314"/>
      <c r="O937" s="314"/>
      <c r="P937" s="318"/>
      <c r="Q937" s="435"/>
      <c r="R937" s="316"/>
      <c r="S937" s="435"/>
      <c r="T937" s="435"/>
      <c r="U937" s="435"/>
      <c r="V937" s="435"/>
      <c r="W937" s="740"/>
      <c r="X937" s="435"/>
      <c r="Y937" s="435"/>
      <c r="Z937" s="743"/>
      <c r="AA937" s="744"/>
      <c r="AB937" s="435"/>
      <c r="AC937" s="435"/>
      <c r="AD937" s="324"/>
      <c r="AE937" s="180"/>
      <c r="AF937" s="155"/>
      <c r="AG937" s="322"/>
      <c r="AH937" s="132"/>
      <c r="AI937" s="132"/>
    </row>
    <row r="938">
      <c r="A938" s="435"/>
      <c r="B938" s="746"/>
      <c r="C938" s="696"/>
      <c r="D938" s="312"/>
      <c r="E938" s="314"/>
      <c r="F938" s="314"/>
      <c r="G938" s="314"/>
      <c r="H938" s="435"/>
      <c r="I938" s="318"/>
      <c r="J938" s="435"/>
      <c r="K938" s="435"/>
      <c r="L938" s="314"/>
      <c r="M938" s="314"/>
      <c r="N938" s="435"/>
      <c r="O938" s="314"/>
      <c r="P938" s="318"/>
      <c r="Q938" s="314"/>
      <c r="R938" s="742"/>
      <c r="S938" s="435"/>
      <c r="T938" s="435"/>
      <c r="U938" s="435"/>
      <c r="V938" s="435"/>
      <c r="W938" s="740"/>
      <c r="X938" s="435"/>
      <c r="Y938" s="435"/>
      <c r="Z938" s="743"/>
      <c r="AA938" s="744"/>
      <c r="AB938" s="435"/>
      <c r="AC938" s="435"/>
      <c r="AD938" s="324"/>
      <c r="AE938" s="180"/>
      <c r="AF938" s="155"/>
      <c r="AG938" s="322"/>
      <c r="AH938" s="132"/>
      <c r="AI938" s="132"/>
    </row>
    <row r="939">
      <c r="A939" s="435"/>
      <c r="B939" s="695"/>
      <c r="C939" s="739"/>
      <c r="D939" s="745"/>
      <c r="E939" s="435"/>
      <c r="F939" s="314"/>
      <c r="G939" s="314"/>
      <c r="H939" s="435"/>
      <c r="I939" s="318"/>
      <c r="J939" s="314"/>
      <c r="K939" s="435"/>
      <c r="L939" s="314"/>
      <c r="M939" s="314"/>
      <c r="N939" s="314"/>
      <c r="O939" s="314"/>
      <c r="P939" s="318"/>
      <c r="Q939" s="314"/>
      <c r="R939" s="316"/>
      <c r="S939" s="435"/>
      <c r="T939" s="435"/>
      <c r="U939" s="435"/>
      <c r="V939" s="435"/>
      <c r="W939" s="740"/>
      <c r="X939" s="435"/>
      <c r="Y939" s="435"/>
      <c r="Z939" s="743"/>
      <c r="AA939" s="744"/>
      <c r="AB939" s="435"/>
      <c r="AC939" s="435"/>
      <c r="AD939" s="324"/>
      <c r="AE939" s="180"/>
      <c r="AF939" s="155"/>
      <c r="AG939" s="322"/>
      <c r="AH939" s="132"/>
      <c r="AI939" s="132"/>
    </row>
    <row r="940">
      <c r="A940" s="435"/>
      <c r="B940" s="695"/>
      <c r="C940" s="696"/>
      <c r="D940" s="312"/>
      <c r="E940" s="314"/>
      <c r="F940" s="314"/>
      <c r="G940" s="314"/>
      <c r="H940" s="435"/>
      <c r="I940" s="318"/>
      <c r="J940" s="314"/>
      <c r="K940" s="314"/>
      <c r="L940" s="314"/>
      <c r="M940" s="314"/>
      <c r="N940" s="314"/>
      <c r="O940" s="314"/>
      <c r="P940" s="318"/>
      <c r="Q940" s="314"/>
      <c r="R940" s="742"/>
      <c r="S940" s="314"/>
      <c r="T940" s="314"/>
      <c r="U940" s="314"/>
      <c r="V940" s="314"/>
      <c r="W940" s="318"/>
      <c r="X940" s="314"/>
      <c r="Y940" s="314"/>
      <c r="Z940" s="697"/>
      <c r="AA940" s="315"/>
      <c r="AB940" s="314"/>
      <c r="AC940" s="314"/>
      <c r="AD940" s="324"/>
      <c r="AE940" s="180"/>
      <c r="AF940" s="155"/>
      <c r="AG940" s="322"/>
      <c r="AH940" s="132"/>
      <c r="AI940" s="132"/>
    </row>
    <row r="941">
      <c r="A941" s="435"/>
      <c r="B941" s="746"/>
      <c r="C941" s="739"/>
      <c r="D941" s="745"/>
      <c r="E941" s="435"/>
      <c r="F941" s="314"/>
      <c r="G941" s="314"/>
      <c r="H941" s="435"/>
      <c r="I941" s="740"/>
      <c r="J941" s="435"/>
      <c r="K941" s="435"/>
      <c r="L941" s="435"/>
      <c r="M941" s="435"/>
      <c r="N941" s="435"/>
      <c r="O941" s="314"/>
      <c r="P941" s="740"/>
      <c r="Q941" s="435"/>
      <c r="R941" s="742"/>
      <c r="S941" s="435"/>
      <c r="T941" s="435"/>
      <c r="U941" s="435"/>
      <c r="V941" s="435"/>
      <c r="W941" s="740"/>
      <c r="X941" s="435"/>
      <c r="Y941" s="435"/>
      <c r="Z941" s="743"/>
      <c r="AA941" s="744"/>
      <c r="AB941" s="435"/>
      <c r="AC941" s="435"/>
      <c r="AD941" s="324"/>
      <c r="AE941" s="180"/>
      <c r="AF941" s="155"/>
      <c r="AG941" s="322"/>
      <c r="AH941" s="132"/>
      <c r="AI941" s="132"/>
    </row>
    <row r="942">
      <c r="A942" s="435"/>
      <c r="B942" s="695"/>
      <c r="C942" s="696"/>
      <c r="D942" s="312"/>
      <c r="E942" s="314"/>
      <c r="F942" s="314"/>
      <c r="G942" s="314"/>
      <c r="H942" s="314"/>
      <c r="I942" s="318"/>
      <c r="J942" s="314"/>
      <c r="K942" s="314"/>
      <c r="L942" s="314"/>
      <c r="M942" s="435"/>
      <c r="N942" s="314"/>
      <c r="O942" s="314"/>
      <c r="P942" s="318"/>
      <c r="Q942" s="314"/>
      <c r="R942" s="316"/>
      <c r="S942" s="314"/>
      <c r="T942" s="314"/>
      <c r="U942" s="314"/>
      <c r="V942" s="314"/>
      <c r="W942" s="318"/>
      <c r="X942" s="314"/>
      <c r="Y942" s="314"/>
      <c r="Z942" s="697"/>
      <c r="AA942" s="315"/>
      <c r="AB942" s="314"/>
      <c r="AC942" s="314"/>
      <c r="AD942" s="324"/>
      <c r="AE942" s="180"/>
      <c r="AF942" s="155"/>
      <c r="AG942" s="322"/>
      <c r="AH942" s="132"/>
      <c r="AI942" s="132"/>
    </row>
    <row r="943">
      <c r="A943" s="435"/>
      <c r="B943" s="695"/>
      <c r="C943" s="739"/>
      <c r="D943" s="745"/>
      <c r="E943" s="435"/>
      <c r="F943" s="314"/>
      <c r="G943" s="314"/>
      <c r="H943" s="435"/>
      <c r="I943" s="740"/>
      <c r="J943" s="435"/>
      <c r="K943" s="435"/>
      <c r="L943" s="314"/>
      <c r="M943" s="435"/>
      <c r="N943" s="435"/>
      <c r="O943" s="314"/>
      <c r="P943" s="740"/>
      <c r="Q943" s="435"/>
      <c r="R943" s="742"/>
      <c r="S943" s="435"/>
      <c r="T943" s="435"/>
      <c r="U943" s="435"/>
      <c r="V943" s="435"/>
      <c r="W943" s="740"/>
      <c r="X943" s="435"/>
      <c r="Y943" s="435"/>
      <c r="Z943" s="743"/>
      <c r="AA943" s="744"/>
      <c r="AB943" s="435"/>
      <c r="AC943" s="435"/>
      <c r="AD943" s="324"/>
      <c r="AE943" s="180"/>
      <c r="AF943" s="155"/>
      <c r="AG943" s="322"/>
      <c r="AH943" s="132"/>
      <c r="AI943" s="132"/>
    </row>
    <row r="944">
      <c r="A944" s="435"/>
      <c r="B944" s="746"/>
      <c r="C944" s="739"/>
      <c r="D944" s="312"/>
      <c r="E944" s="435"/>
      <c r="F944" s="314"/>
      <c r="G944" s="314"/>
      <c r="H944" s="435"/>
      <c r="I944" s="740"/>
      <c r="J944" s="314"/>
      <c r="K944" s="435"/>
      <c r="L944" s="435"/>
      <c r="M944" s="314"/>
      <c r="N944" s="435"/>
      <c r="O944" s="314"/>
      <c r="P944" s="740"/>
      <c r="Q944" s="314"/>
      <c r="R944" s="742"/>
      <c r="S944" s="435"/>
      <c r="T944" s="435"/>
      <c r="U944" s="435"/>
      <c r="V944" s="435"/>
      <c r="W944" s="740"/>
      <c r="X944" s="435"/>
      <c r="Y944" s="435"/>
      <c r="Z944" s="743"/>
      <c r="AA944" s="744"/>
      <c r="AB944" s="435"/>
      <c r="AC944" s="435"/>
      <c r="AD944" s="324"/>
      <c r="AE944" s="180"/>
      <c r="AF944" s="155"/>
      <c r="AG944" s="322"/>
      <c r="AH944" s="132"/>
      <c r="AI944" s="132"/>
    </row>
    <row r="945">
      <c r="A945" s="458"/>
      <c r="B945" s="746"/>
      <c r="C945" s="739"/>
      <c r="D945" s="745"/>
      <c r="E945" s="435"/>
      <c r="F945" s="314"/>
      <c r="G945" s="314"/>
      <c r="H945" s="314"/>
      <c r="I945" s="740"/>
      <c r="J945" s="435"/>
      <c r="K945" s="435"/>
      <c r="L945" s="435"/>
      <c r="M945" s="435"/>
      <c r="N945" s="435"/>
      <c r="O945" s="314"/>
      <c r="P945" s="740"/>
      <c r="Q945" s="435"/>
      <c r="R945" s="742"/>
      <c r="S945" s="435"/>
      <c r="T945" s="435"/>
      <c r="U945" s="435"/>
      <c r="V945" s="435"/>
      <c r="W945" s="740"/>
      <c r="X945" s="435"/>
      <c r="Y945" s="435"/>
      <c r="Z945" s="743"/>
      <c r="AA945" s="744"/>
      <c r="AB945" s="435"/>
      <c r="AC945" s="435"/>
      <c r="AD945" s="324"/>
      <c r="AE945" s="180"/>
      <c r="AF945" s="155"/>
      <c r="AG945" s="322"/>
      <c r="AH945" s="132"/>
      <c r="AI945" s="132"/>
    </row>
    <row r="946">
      <c r="A946" s="458"/>
      <c r="B946" s="746"/>
      <c r="C946" s="739"/>
      <c r="D946" s="745"/>
      <c r="E946" s="435"/>
      <c r="F946" s="314"/>
      <c r="G946" s="314"/>
      <c r="H946" s="314"/>
      <c r="I946" s="318"/>
      <c r="J946" s="435"/>
      <c r="K946" s="435"/>
      <c r="L946" s="435"/>
      <c r="M946" s="435"/>
      <c r="N946" s="435"/>
      <c r="O946" s="314"/>
      <c r="P946" s="740"/>
      <c r="Q946" s="435"/>
      <c r="R946" s="742"/>
      <c r="S946" s="435"/>
      <c r="T946" s="435"/>
      <c r="U946" s="435"/>
      <c r="V946" s="435"/>
      <c r="W946" s="740"/>
      <c r="X946" s="435"/>
      <c r="Y946" s="435"/>
      <c r="Z946" s="743"/>
      <c r="AA946" s="744"/>
      <c r="AB946" s="435"/>
      <c r="AC946" s="435"/>
      <c r="AD946" s="324"/>
      <c r="AE946" s="180"/>
      <c r="AF946" s="155"/>
      <c r="AG946" s="322"/>
      <c r="AH946" s="132"/>
      <c r="AI946" s="132"/>
    </row>
    <row r="947">
      <c r="A947" s="458"/>
      <c r="B947" s="746"/>
      <c r="C947" s="739"/>
      <c r="D947" s="745"/>
      <c r="E947" s="314"/>
      <c r="F947" s="314"/>
      <c r="G947" s="314"/>
      <c r="H947" s="314"/>
      <c r="I947" s="740"/>
      <c r="J947" s="435"/>
      <c r="K947" s="435"/>
      <c r="L947" s="435"/>
      <c r="M947" s="435"/>
      <c r="N947" s="435"/>
      <c r="O947" s="314"/>
      <c r="P947" s="740"/>
      <c r="Q947" s="314"/>
      <c r="R947" s="742"/>
      <c r="S947" s="435"/>
      <c r="T947" s="435"/>
      <c r="U947" s="435"/>
      <c r="V947" s="435"/>
      <c r="W947" s="740"/>
      <c r="X947" s="435"/>
      <c r="Y947" s="435"/>
      <c r="Z947" s="743"/>
      <c r="AA947" s="744"/>
      <c r="AB947" s="435"/>
      <c r="AC947" s="435"/>
      <c r="AD947" s="324"/>
      <c r="AE947" s="180"/>
      <c r="AF947" s="155"/>
      <c r="AG947" s="322"/>
      <c r="AH947" s="132"/>
      <c r="AI947" s="132"/>
    </row>
    <row r="948">
      <c r="A948" s="458"/>
      <c r="B948" s="695"/>
      <c r="C948" s="696"/>
      <c r="D948" s="312"/>
      <c r="E948" s="314"/>
      <c r="F948" s="314"/>
      <c r="G948" s="314"/>
      <c r="H948" s="314"/>
      <c r="I948" s="318"/>
      <c r="J948" s="314"/>
      <c r="K948" s="314"/>
      <c r="L948" s="314"/>
      <c r="M948" s="314"/>
      <c r="N948" s="314"/>
      <c r="O948" s="314"/>
      <c r="P948" s="318"/>
      <c r="Q948" s="314"/>
      <c r="R948" s="316"/>
      <c r="S948" s="314"/>
      <c r="T948" s="314"/>
      <c r="U948" s="314"/>
      <c r="V948" s="314"/>
      <c r="W948" s="318"/>
      <c r="X948" s="314"/>
      <c r="Y948" s="314"/>
      <c r="Z948" s="697"/>
      <c r="AA948" s="315"/>
      <c r="AB948" s="314"/>
      <c r="AC948" s="314"/>
      <c r="AD948" s="324"/>
      <c r="AE948" s="180"/>
      <c r="AF948" s="155"/>
      <c r="AG948" s="322"/>
      <c r="AH948" s="132"/>
      <c r="AI948" s="132"/>
    </row>
    <row r="949">
      <c r="A949" s="458"/>
      <c r="B949" s="746"/>
      <c r="C949" s="739"/>
      <c r="D949" s="745"/>
      <c r="E949" s="314"/>
      <c r="F949" s="314"/>
      <c r="G949" s="314"/>
      <c r="H949" s="314"/>
      <c r="I949" s="318"/>
      <c r="J949" s="314"/>
      <c r="K949" s="435"/>
      <c r="L949" s="435"/>
      <c r="M949" s="435"/>
      <c r="N949" s="314"/>
      <c r="O949" s="314"/>
      <c r="P949" s="740"/>
      <c r="Q949" s="435"/>
      <c r="R949" s="742"/>
      <c r="S949" s="435"/>
      <c r="T949" s="435"/>
      <c r="U949" s="435"/>
      <c r="V949" s="435"/>
      <c r="W949" s="740"/>
      <c r="X949" s="435"/>
      <c r="Y949" s="435"/>
      <c r="Z949" s="743"/>
      <c r="AA949" s="744"/>
      <c r="AB949" s="435"/>
      <c r="AC949" s="435"/>
      <c r="AD949" s="324"/>
      <c r="AE949" s="180"/>
      <c r="AF949" s="155"/>
      <c r="AG949" s="322"/>
      <c r="AH949" s="132"/>
      <c r="AI949" s="132"/>
    </row>
    <row r="950">
      <c r="A950" s="458"/>
      <c r="B950" s="695"/>
      <c r="C950" s="696"/>
      <c r="D950" s="745"/>
      <c r="E950" s="314"/>
      <c r="F950" s="314"/>
      <c r="G950" s="314"/>
      <c r="H950" s="314"/>
      <c r="I950" s="318"/>
      <c r="J950" s="314"/>
      <c r="K950" s="314"/>
      <c r="L950" s="314"/>
      <c r="M950" s="314"/>
      <c r="N950" s="314"/>
      <c r="O950" s="314"/>
      <c r="P950" s="318"/>
      <c r="Q950" s="314"/>
      <c r="R950" s="316"/>
      <c r="S950" s="314"/>
      <c r="T950" s="314"/>
      <c r="U950" s="314"/>
      <c r="V950" s="314"/>
      <c r="W950" s="318"/>
      <c r="X950" s="314"/>
      <c r="Y950" s="314"/>
      <c r="Z950" s="697"/>
      <c r="AA950" s="315"/>
      <c r="AB950" s="314"/>
      <c r="AC950" s="314"/>
      <c r="AD950" s="324"/>
      <c r="AE950" s="180"/>
      <c r="AF950" s="155"/>
      <c r="AG950" s="322"/>
      <c r="AH950" s="132"/>
      <c r="AI950" s="132"/>
    </row>
    <row r="951">
      <c r="A951" s="458"/>
      <c r="B951" s="695"/>
      <c r="C951" s="739"/>
      <c r="D951" s="312"/>
      <c r="E951" s="314"/>
      <c r="F951" s="314"/>
      <c r="G951" s="314"/>
      <c r="H951" s="314"/>
      <c r="I951" s="740"/>
      <c r="J951" s="314"/>
      <c r="K951" s="314"/>
      <c r="L951" s="435"/>
      <c r="M951" s="314"/>
      <c r="N951" s="314"/>
      <c r="O951" s="314"/>
      <c r="P951" s="318"/>
      <c r="Q951" s="435"/>
      <c r="R951" s="742"/>
      <c r="S951" s="435"/>
      <c r="T951" s="435"/>
      <c r="U951" s="435"/>
      <c r="V951" s="435"/>
      <c r="W951" s="740"/>
      <c r="X951" s="435"/>
      <c r="Y951" s="435"/>
      <c r="Z951" s="743"/>
      <c r="AA951" s="744"/>
      <c r="AB951" s="435"/>
      <c r="AC951" s="435"/>
      <c r="AD951" s="324"/>
      <c r="AE951" s="180"/>
      <c r="AF951" s="155"/>
      <c r="AG951" s="322"/>
      <c r="AH951" s="132"/>
      <c r="AI951" s="132"/>
    </row>
    <row r="952">
      <c r="A952" s="458"/>
      <c r="B952" s="695"/>
      <c r="C952" s="739"/>
      <c r="D952" s="745"/>
      <c r="E952" s="435"/>
      <c r="F952" s="314"/>
      <c r="G952" s="314"/>
      <c r="H952" s="435"/>
      <c r="I952" s="740"/>
      <c r="J952" s="314"/>
      <c r="K952" s="435"/>
      <c r="L952" s="435"/>
      <c r="M952" s="314"/>
      <c r="N952" s="314"/>
      <c r="O952" s="314"/>
      <c r="P952" s="740"/>
      <c r="Q952" s="435"/>
      <c r="R952" s="742"/>
      <c r="S952" s="435"/>
      <c r="T952" s="435"/>
      <c r="U952" s="435"/>
      <c r="V952" s="435"/>
      <c r="W952" s="740"/>
      <c r="X952" s="435"/>
      <c r="Y952" s="435"/>
      <c r="Z952" s="743"/>
      <c r="AA952" s="744"/>
      <c r="AB952" s="435"/>
      <c r="AC952" s="435"/>
      <c r="AD952" s="324"/>
      <c r="AE952" s="180"/>
      <c r="AF952" s="155"/>
      <c r="AG952" s="322"/>
      <c r="AH952" s="132"/>
      <c r="AI952" s="132"/>
    </row>
    <row r="953">
      <c r="A953" s="458"/>
      <c r="B953" s="695"/>
      <c r="C953" s="739"/>
      <c r="D953" s="745"/>
      <c r="E953" s="314"/>
      <c r="F953" s="314"/>
      <c r="G953" s="314"/>
      <c r="H953" s="314"/>
      <c r="I953" s="318"/>
      <c r="J953" s="314"/>
      <c r="K953" s="435"/>
      <c r="L953" s="314"/>
      <c r="M953" s="314"/>
      <c r="N953" s="314"/>
      <c r="O953" s="314"/>
      <c r="P953" s="318"/>
      <c r="Q953" s="314"/>
      <c r="R953" s="742"/>
      <c r="S953" s="435"/>
      <c r="T953" s="435"/>
      <c r="U953" s="435"/>
      <c r="V953" s="435"/>
      <c r="W953" s="740"/>
      <c r="X953" s="435"/>
      <c r="Y953" s="435"/>
      <c r="Z953" s="743"/>
      <c r="AA953" s="744"/>
      <c r="AB953" s="435"/>
      <c r="AC953" s="435"/>
      <c r="AD953" s="324"/>
      <c r="AE953" s="180"/>
      <c r="AF953" s="155"/>
      <c r="AG953" s="322"/>
      <c r="AH953" s="132"/>
      <c r="AI953" s="132"/>
    </row>
    <row r="954">
      <c r="A954" s="458"/>
      <c r="B954" s="746"/>
      <c r="C954" s="739"/>
      <c r="D954" s="745"/>
      <c r="E954" s="435"/>
      <c r="F954" s="314"/>
      <c r="G954" s="314"/>
      <c r="H954" s="435"/>
      <c r="I954" s="740"/>
      <c r="J954" s="435"/>
      <c r="K954" s="435"/>
      <c r="L954" s="435"/>
      <c r="M954" s="435"/>
      <c r="N954" s="435"/>
      <c r="O954" s="314"/>
      <c r="P954" s="740"/>
      <c r="Q954" s="435"/>
      <c r="R954" s="742"/>
      <c r="S954" s="435"/>
      <c r="T954" s="435"/>
      <c r="U954" s="435"/>
      <c r="V954" s="435"/>
      <c r="W954" s="740"/>
      <c r="X954" s="435"/>
      <c r="Y954" s="435"/>
      <c r="Z954" s="743"/>
      <c r="AA954" s="744"/>
      <c r="AB954" s="435"/>
      <c r="AC954" s="435"/>
      <c r="AD954" s="324"/>
      <c r="AE954" s="180"/>
      <c r="AF954" s="155"/>
      <c r="AG954" s="322"/>
      <c r="AH954" s="132"/>
      <c r="AI954" s="132"/>
    </row>
    <row r="955">
      <c r="A955" s="435"/>
      <c r="B955" s="746"/>
      <c r="C955" s="739"/>
      <c r="D955" s="745"/>
      <c r="E955" s="435"/>
      <c r="F955" s="314"/>
      <c r="G955" s="314"/>
      <c r="H955" s="435"/>
      <c r="I955" s="740"/>
      <c r="J955" s="435"/>
      <c r="K955" s="435"/>
      <c r="L955" s="435"/>
      <c r="M955" s="435"/>
      <c r="N955" s="435"/>
      <c r="O955" s="314"/>
      <c r="P955" s="740"/>
      <c r="Q955" s="435"/>
      <c r="R955" s="742"/>
      <c r="S955" s="435"/>
      <c r="T955" s="435"/>
      <c r="U955" s="435"/>
      <c r="V955" s="435"/>
      <c r="W955" s="740"/>
      <c r="X955" s="435"/>
      <c r="Y955" s="435"/>
      <c r="Z955" s="743"/>
      <c r="AA955" s="744"/>
      <c r="AB955" s="435"/>
      <c r="AC955" s="435"/>
      <c r="AD955" s="324"/>
      <c r="AE955" s="180"/>
      <c r="AF955" s="155"/>
      <c r="AG955" s="322"/>
      <c r="AH955" s="132"/>
      <c r="AI955" s="132"/>
    </row>
    <row r="956">
      <c r="A956" s="474"/>
      <c r="B956" s="746"/>
      <c r="C956" s="739"/>
      <c r="D956" s="745"/>
      <c r="E956" s="435"/>
      <c r="F956" s="314"/>
      <c r="G956" s="314"/>
      <c r="H956" s="435"/>
      <c r="I956" s="740"/>
      <c r="J956" s="435"/>
      <c r="K956" s="435"/>
      <c r="L956" s="435"/>
      <c r="M956" s="435"/>
      <c r="N956" s="435"/>
      <c r="O956" s="314"/>
      <c r="P956" s="740"/>
      <c r="Q956" s="435"/>
      <c r="R956" s="742"/>
      <c r="S956" s="435"/>
      <c r="T956" s="435"/>
      <c r="U956" s="435"/>
      <c r="V956" s="435"/>
      <c r="W956" s="740"/>
      <c r="X956" s="435"/>
      <c r="Y956" s="435"/>
      <c r="Z956" s="743"/>
      <c r="AA956" s="744"/>
      <c r="AB956" s="435"/>
      <c r="AC956" s="435"/>
      <c r="AD956" s="324"/>
      <c r="AE956" s="180"/>
      <c r="AF956" s="155"/>
      <c r="AG956" s="322"/>
      <c r="AH956" s="132"/>
      <c r="AI956" s="132"/>
    </row>
    <row r="957">
      <c r="A957" s="474"/>
      <c r="B957" s="746"/>
      <c r="C957" s="696"/>
      <c r="D957" s="745"/>
      <c r="E957" s="435"/>
      <c r="F957" s="314"/>
      <c r="G957" s="314"/>
      <c r="H957" s="435"/>
      <c r="I957" s="740"/>
      <c r="J957" s="435"/>
      <c r="K957" s="314"/>
      <c r="L957" s="314"/>
      <c r="M957" s="314"/>
      <c r="N957" s="435"/>
      <c r="O957" s="314"/>
      <c r="P957" s="318"/>
      <c r="Q957" s="435"/>
      <c r="R957" s="316"/>
      <c r="S957" s="435"/>
      <c r="T957" s="435"/>
      <c r="U957" s="435"/>
      <c r="V957" s="435"/>
      <c r="W957" s="740"/>
      <c r="X957" s="435"/>
      <c r="Y957" s="435"/>
      <c r="Z957" s="743"/>
      <c r="AA957" s="744"/>
      <c r="AB957" s="435"/>
      <c r="AC957" s="435"/>
      <c r="AD957" s="324"/>
      <c r="AE957" s="180"/>
      <c r="AF957" s="155"/>
      <c r="AG957" s="322"/>
      <c r="AH957" s="132"/>
      <c r="AI957" s="132"/>
    </row>
    <row r="958">
      <c r="A958" s="474"/>
      <c r="B958" s="695"/>
      <c r="C958" s="696"/>
      <c r="D958" s="312"/>
      <c r="E958" s="314"/>
      <c r="F958" s="314"/>
      <c r="G958" s="314"/>
      <c r="H958" s="314"/>
      <c r="I958" s="318"/>
      <c r="J958" s="314"/>
      <c r="K958" s="435"/>
      <c r="L958" s="314"/>
      <c r="M958" s="314"/>
      <c r="N958" s="314"/>
      <c r="O958" s="314"/>
      <c r="P958" s="740"/>
      <c r="Q958" s="314"/>
      <c r="R958" s="316"/>
      <c r="S958" s="314"/>
      <c r="T958" s="314"/>
      <c r="U958" s="314"/>
      <c r="V958" s="314"/>
      <c r="W958" s="318"/>
      <c r="X958" s="314"/>
      <c r="Y958" s="314"/>
      <c r="Z958" s="697"/>
      <c r="AA958" s="315"/>
      <c r="AB958" s="314"/>
      <c r="AC958" s="314"/>
      <c r="AD958" s="324"/>
      <c r="AE958" s="180"/>
      <c r="AF958" s="155"/>
      <c r="AG958" s="322"/>
      <c r="AH958" s="132"/>
      <c r="AI958" s="132"/>
    </row>
    <row r="959">
      <c r="A959" s="474"/>
      <c r="B959" s="695"/>
      <c r="C959" s="739"/>
      <c r="D959" s="745"/>
      <c r="E959" s="314"/>
      <c r="F959" s="314"/>
      <c r="G959" s="314"/>
      <c r="H959" s="314"/>
      <c r="I959" s="740"/>
      <c r="J959" s="314"/>
      <c r="K959" s="314"/>
      <c r="L959" s="314"/>
      <c r="M959" s="314"/>
      <c r="N959" s="314"/>
      <c r="O959" s="314"/>
      <c r="P959" s="318"/>
      <c r="Q959" s="314"/>
      <c r="R959" s="316"/>
      <c r="S959" s="314"/>
      <c r="T959" s="314"/>
      <c r="U959" s="314"/>
      <c r="V959" s="314"/>
      <c r="W959" s="318"/>
      <c r="X959" s="314"/>
      <c r="Y959" s="314"/>
      <c r="Z959" s="697"/>
      <c r="AA959" s="315"/>
      <c r="AB959" s="314"/>
      <c r="AC959" s="314"/>
      <c r="AD959" s="324"/>
      <c r="AE959" s="180"/>
      <c r="AF959" s="155"/>
      <c r="AG959" s="322"/>
      <c r="AH959" s="132"/>
      <c r="AI959" s="132"/>
    </row>
    <row r="960">
      <c r="A960" s="474"/>
      <c r="B960" s="695"/>
      <c r="C960" s="696"/>
      <c r="D960" s="312"/>
      <c r="E960" s="314"/>
      <c r="F960" s="314"/>
      <c r="G960" s="314"/>
      <c r="H960" s="314"/>
      <c r="I960" s="318"/>
      <c r="J960" s="314"/>
      <c r="K960" s="435"/>
      <c r="L960" s="314"/>
      <c r="M960" s="314"/>
      <c r="N960" s="314"/>
      <c r="O960" s="314"/>
      <c r="P960" s="318"/>
      <c r="Q960" s="314"/>
      <c r="R960" s="316"/>
      <c r="S960" s="314"/>
      <c r="T960" s="314"/>
      <c r="U960" s="314"/>
      <c r="V960" s="314"/>
      <c r="W960" s="318"/>
      <c r="X960" s="314"/>
      <c r="Y960" s="314"/>
      <c r="Z960" s="697"/>
      <c r="AA960" s="315"/>
      <c r="AB960" s="314"/>
      <c r="AC960" s="314"/>
      <c r="AD960" s="324"/>
      <c r="AE960" s="180"/>
      <c r="AF960" s="155"/>
      <c r="AG960" s="322"/>
      <c r="AH960" s="132"/>
      <c r="AI960" s="132"/>
    </row>
    <row r="961">
      <c r="A961" s="458"/>
      <c r="B961" s="695"/>
      <c r="C961" s="739"/>
      <c r="D961" s="312"/>
      <c r="E961" s="314"/>
      <c r="F961" s="314"/>
      <c r="G961" s="314"/>
      <c r="H961" s="314"/>
      <c r="I961" s="318"/>
      <c r="J961" s="435"/>
      <c r="K961" s="435"/>
      <c r="L961" s="314"/>
      <c r="M961" s="314"/>
      <c r="N961" s="314"/>
      <c r="O961" s="314"/>
      <c r="P961" s="318"/>
      <c r="Q961" s="314"/>
      <c r="R961" s="316"/>
      <c r="S961" s="314"/>
      <c r="T961" s="314"/>
      <c r="U961" s="314"/>
      <c r="V961" s="314"/>
      <c r="W961" s="318"/>
      <c r="X961" s="314"/>
      <c r="Y961" s="314"/>
      <c r="Z961" s="697"/>
      <c r="AA961" s="315"/>
      <c r="AB961" s="314"/>
      <c r="AC961" s="314"/>
      <c r="AD961" s="324"/>
      <c r="AE961" s="180"/>
      <c r="AF961" s="155"/>
      <c r="AG961" s="322"/>
      <c r="AH961" s="132"/>
      <c r="AI961" s="132"/>
    </row>
    <row r="962">
      <c r="A962" s="435"/>
      <c r="B962" s="695"/>
      <c r="C962" s="739"/>
      <c r="D962" s="745"/>
      <c r="E962" s="435"/>
      <c r="F962" s="314"/>
      <c r="G962" s="314"/>
      <c r="H962" s="435"/>
      <c r="I962" s="318"/>
      <c r="J962" s="314"/>
      <c r="K962" s="435"/>
      <c r="L962" s="314"/>
      <c r="M962" s="435"/>
      <c r="N962" s="435"/>
      <c r="O962" s="314"/>
      <c r="P962" s="318"/>
      <c r="Q962" s="314"/>
      <c r="R962" s="742"/>
      <c r="S962" s="314"/>
      <c r="T962" s="314"/>
      <c r="U962" s="314"/>
      <c r="V962" s="314"/>
      <c r="W962" s="318"/>
      <c r="X962" s="314"/>
      <c r="Y962" s="314"/>
      <c r="Z962" s="697"/>
      <c r="AA962" s="315"/>
      <c r="AB962" s="314"/>
      <c r="AC962" s="314"/>
      <c r="AD962" s="324"/>
      <c r="AE962" s="180"/>
      <c r="AF962" s="155"/>
      <c r="AG962" s="322"/>
      <c r="AH962" s="132"/>
      <c r="AI962" s="132"/>
    </row>
    <row r="963">
      <c r="A963" s="435"/>
      <c r="B963" s="746"/>
      <c r="C963" s="696"/>
      <c r="D963" s="312"/>
      <c r="E963" s="314"/>
      <c r="F963" s="314"/>
      <c r="G963" s="314"/>
      <c r="H963" s="314"/>
      <c r="I963" s="318"/>
      <c r="J963" s="314"/>
      <c r="K963" s="314"/>
      <c r="L963" s="314"/>
      <c r="M963" s="314"/>
      <c r="N963" s="314"/>
      <c r="O963" s="314"/>
      <c r="P963" s="740"/>
      <c r="Q963" s="314"/>
      <c r="R963" s="316"/>
      <c r="S963" s="314"/>
      <c r="T963" s="314"/>
      <c r="U963" s="314"/>
      <c r="V963" s="314"/>
      <c r="W963" s="318"/>
      <c r="X963" s="314"/>
      <c r="Y963" s="314"/>
      <c r="Z963" s="697"/>
      <c r="AA963" s="315"/>
      <c r="AB963" s="314"/>
      <c r="AC963" s="314"/>
      <c r="AD963" s="324"/>
      <c r="AE963" s="180"/>
      <c r="AF963" s="155"/>
      <c r="AG963" s="322"/>
      <c r="AH963" s="132"/>
      <c r="AI963" s="132"/>
    </row>
    <row r="964">
      <c r="A964" s="435"/>
      <c r="B964" s="746"/>
      <c r="C964" s="696"/>
      <c r="D964" s="312"/>
      <c r="E964" s="314"/>
      <c r="F964" s="314"/>
      <c r="G964" s="314"/>
      <c r="H964" s="314"/>
      <c r="I964" s="318"/>
      <c r="J964" s="314"/>
      <c r="K964" s="314"/>
      <c r="L964" s="314"/>
      <c r="M964" s="314"/>
      <c r="N964" s="314"/>
      <c r="O964" s="314"/>
      <c r="P964" s="318"/>
      <c r="Q964" s="435"/>
      <c r="R964" s="316"/>
      <c r="S964" s="435"/>
      <c r="T964" s="435"/>
      <c r="U964" s="435"/>
      <c r="V964" s="435"/>
      <c r="W964" s="740"/>
      <c r="X964" s="435"/>
      <c r="Y964" s="435"/>
      <c r="Z964" s="743"/>
      <c r="AA964" s="744"/>
      <c r="AB964" s="435"/>
      <c r="AC964" s="435"/>
      <c r="AD964" s="324"/>
      <c r="AE964" s="180"/>
      <c r="AF964" s="155"/>
      <c r="AG964" s="322"/>
      <c r="AH964" s="132"/>
      <c r="AI964" s="132"/>
    </row>
    <row r="965">
      <c r="A965" s="435"/>
      <c r="B965" s="695"/>
      <c r="C965" s="739"/>
      <c r="D965" s="312"/>
      <c r="E965" s="314"/>
      <c r="F965" s="314"/>
      <c r="G965" s="314"/>
      <c r="H965" s="314"/>
      <c r="I965" s="318"/>
      <c r="J965" s="314"/>
      <c r="K965" s="314"/>
      <c r="L965" s="314"/>
      <c r="M965" s="314"/>
      <c r="N965" s="314"/>
      <c r="O965" s="314"/>
      <c r="P965" s="318"/>
      <c r="Q965" s="314"/>
      <c r="R965" s="742"/>
      <c r="S965" s="314"/>
      <c r="T965" s="314"/>
      <c r="U965" s="314"/>
      <c r="V965" s="314"/>
      <c r="W965" s="318"/>
      <c r="X965" s="314"/>
      <c r="Y965" s="314"/>
      <c r="Z965" s="697"/>
      <c r="AA965" s="315"/>
      <c r="AB965" s="314"/>
      <c r="AC965" s="314"/>
      <c r="AD965" s="324"/>
      <c r="AE965" s="180"/>
      <c r="AF965" s="155"/>
      <c r="AG965" s="322"/>
      <c r="AH965" s="132"/>
      <c r="AI965" s="132"/>
    </row>
    <row r="966">
      <c r="A966" s="435"/>
      <c r="B966" s="695"/>
      <c r="C966" s="696"/>
      <c r="D966" s="312"/>
      <c r="E966" s="314"/>
      <c r="F966" s="314"/>
      <c r="G966" s="314"/>
      <c r="H966" s="314"/>
      <c r="I966" s="318"/>
      <c r="J966" s="314"/>
      <c r="K966" s="435"/>
      <c r="L966" s="314"/>
      <c r="M966" s="435"/>
      <c r="N966" s="314"/>
      <c r="O966" s="314"/>
      <c r="P966" s="318"/>
      <c r="Q966" s="435"/>
      <c r="R966" s="316"/>
      <c r="S966" s="314"/>
      <c r="T966" s="314"/>
      <c r="U966" s="314"/>
      <c r="V966" s="314"/>
      <c r="W966" s="318"/>
      <c r="X966" s="314"/>
      <c r="Y966" s="314"/>
      <c r="Z966" s="697"/>
      <c r="AA966" s="315"/>
      <c r="AB966" s="314"/>
      <c r="AC966" s="314"/>
      <c r="AD966" s="324"/>
      <c r="AE966" s="180"/>
      <c r="AF966" s="155"/>
      <c r="AG966" s="322"/>
      <c r="AH966" s="132"/>
      <c r="AI966" s="132"/>
    </row>
    <row r="967">
      <c r="A967" s="435"/>
      <c r="B967" s="695"/>
      <c r="C967" s="739"/>
      <c r="D967" s="745"/>
      <c r="E967" s="314"/>
      <c r="F967" s="314"/>
      <c r="G967" s="314"/>
      <c r="H967" s="314"/>
      <c r="I967" s="318"/>
      <c r="J967" s="314"/>
      <c r="K967" s="435"/>
      <c r="L967" s="314"/>
      <c r="M967" s="435"/>
      <c r="N967" s="314"/>
      <c r="O967" s="314"/>
      <c r="P967" s="318"/>
      <c r="Q967" s="435"/>
      <c r="R967" s="316"/>
      <c r="S967" s="314"/>
      <c r="T967" s="314"/>
      <c r="U967" s="314"/>
      <c r="V967" s="314"/>
      <c r="W967" s="318"/>
      <c r="X967" s="314"/>
      <c r="Y967" s="314"/>
      <c r="Z967" s="697"/>
      <c r="AA967" s="315"/>
      <c r="AB967" s="314"/>
      <c r="AC967" s="314"/>
      <c r="AD967" s="324"/>
      <c r="AE967" s="180"/>
      <c r="AF967" s="155"/>
      <c r="AG967" s="322"/>
      <c r="AH967" s="132"/>
      <c r="AI967" s="132"/>
    </row>
    <row r="968">
      <c r="A968" s="476"/>
      <c r="AF968" s="176"/>
      <c r="AG968" s="322"/>
      <c r="AH968" s="132"/>
      <c r="AI968" s="132"/>
    </row>
    <row r="969">
      <c r="A969" s="178"/>
      <c r="AG969" s="322"/>
      <c r="AH969" s="132"/>
      <c r="AI969" s="132"/>
    </row>
    <row r="970">
      <c r="A970" s="474"/>
      <c r="B970" s="746"/>
      <c r="C970" s="739"/>
      <c r="D970" s="745"/>
      <c r="E970" s="435"/>
      <c r="F970" s="314"/>
      <c r="G970" s="314"/>
      <c r="H970" s="314"/>
      <c r="I970" s="740"/>
      <c r="J970" s="435"/>
      <c r="K970" s="435"/>
      <c r="L970" s="435"/>
      <c r="M970" s="435"/>
      <c r="N970" s="435"/>
      <c r="O970" s="314"/>
      <c r="P970" s="740"/>
      <c r="Q970" s="435"/>
      <c r="R970" s="742"/>
      <c r="S970" s="435"/>
      <c r="T970" s="435"/>
      <c r="U970" s="435"/>
      <c r="V970" s="435"/>
      <c r="W970" s="740"/>
      <c r="X970" s="435"/>
      <c r="Y970" s="435"/>
      <c r="Z970" s="743"/>
      <c r="AA970" s="744"/>
      <c r="AB970" s="435"/>
      <c r="AC970" s="435"/>
      <c r="AD970" s="324"/>
      <c r="AE970" s="180"/>
      <c r="AF970" s="155"/>
      <c r="AG970" s="322"/>
      <c r="AH970" s="132"/>
      <c r="AI970" s="132"/>
    </row>
    <row r="971">
      <c r="A971" s="474"/>
      <c r="B971" s="695"/>
      <c r="C971" s="739"/>
      <c r="D971" s="745"/>
      <c r="E971" s="435"/>
      <c r="F971" s="314"/>
      <c r="G971" s="314"/>
      <c r="H971" s="435"/>
      <c r="I971" s="318"/>
      <c r="J971" s="435"/>
      <c r="K971" s="435"/>
      <c r="L971" s="435"/>
      <c r="M971" s="314"/>
      <c r="N971" s="314"/>
      <c r="O971" s="314"/>
      <c r="P971" s="740"/>
      <c r="Q971" s="435"/>
      <c r="R971" s="742"/>
      <c r="S971" s="435"/>
      <c r="T971" s="435"/>
      <c r="U971" s="435"/>
      <c r="V971" s="435"/>
      <c r="W971" s="740"/>
      <c r="X971" s="435"/>
      <c r="Y971" s="435"/>
      <c r="Z971" s="743"/>
      <c r="AA971" s="744"/>
      <c r="AB971" s="435"/>
      <c r="AC971" s="435"/>
      <c r="AD971" s="324"/>
      <c r="AE971" s="180"/>
      <c r="AF971" s="155"/>
      <c r="AG971" s="322"/>
      <c r="AH971" s="132"/>
      <c r="AI971" s="132"/>
    </row>
    <row r="972">
      <c r="A972" s="477"/>
      <c r="B972" s="746"/>
      <c r="C972" s="739"/>
      <c r="D972" s="745"/>
      <c r="E972" s="314"/>
      <c r="F972" s="314"/>
      <c r="G972" s="314"/>
      <c r="H972" s="435"/>
      <c r="I972" s="740"/>
      <c r="J972" s="435"/>
      <c r="K972" s="435"/>
      <c r="L972" s="435"/>
      <c r="M972" s="435"/>
      <c r="N972" s="435"/>
      <c r="O972" s="314"/>
      <c r="P972" s="740"/>
      <c r="Q972" s="435"/>
      <c r="R972" s="742"/>
      <c r="S972" s="435"/>
      <c r="T972" s="435"/>
      <c r="U972" s="435"/>
      <c r="V972" s="435"/>
      <c r="W972" s="740"/>
      <c r="X972" s="435"/>
      <c r="Y972" s="435"/>
      <c r="Z972" s="743"/>
      <c r="AA972" s="744"/>
      <c r="AB972" s="435"/>
      <c r="AC972" s="435"/>
      <c r="AD972" s="324"/>
      <c r="AE972" s="180"/>
      <c r="AF972" s="155"/>
      <c r="AG972" s="322"/>
      <c r="AH972" s="132"/>
      <c r="AI972" s="132"/>
    </row>
    <row r="973">
      <c r="A973" s="477"/>
      <c r="B973" s="746"/>
      <c r="C973" s="739"/>
      <c r="D973" s="745"/>
      <c r="E973" s="314"/>
      <c r="F973" s="314"/>
      <c r="G973" s="314"/>
      <c r="H973" s="435"/>
      <c r="I973" s="318"/>
      <c r="J973" s="314"/>
      <c r="K973" s="435"/>
      <c r="L973" s="435"/>
      <c r="M973" s="435"/>
      <c r="N973" s="314"/>
      <c r="O973" s="314"/>
      <c r="P973" s="740"/>
      <c r="Q973" s="435"/>
      <c r="R973" s="742"/>
      <c r="S973" s="435"/>
      <c r="T973" s="435"/>
      <c r="U973" s="435"/>
      <c r="V973" s="435"/>
      <c r="W973" s="740"/>
      <c r="X973" s="435"/>
      <c r="Y973" s="435"/>
      <c r="Z973" s="743"/>
      <c r="AA973" s="744"/>
      <c r="AB973" s="435"/>
      <c r="AC973" s="435"/>
      <c r="AD973" s="324"/>
      <c r="AE973" s="180"/>
      <c r="AF973" s="155"/>
      <c r="AG973" s="322"/>
      <c r="AH973" s="132"/>
      <c r="AI973" s="132"/>
    </row>
    <row r="974">
      <c r="A974" s="477"/>
      <c r="B974" s="746"/>
      <c r="C974" s="739"/>
      <c r="D974" s="745"/>
      <c r="E974" s="435"/>
      <c r="F974" s="314"/>
      <c r="G974" s="314"/>
      <c r="H974" s="435"/>
      <c r="I974" s="740"/>
      <c r="J974" s="435"/>
      <c r="K974" s="435"/>
      <c r="L974" s="435"/>
      <c r="M974" s="435"/>
      <c r="N974" s="435"/>
      <c r="O974" s="314"/>
      <c r="P974" s="740"/>
      <c r="Q974" s="435"/>
      <c r="R974" s="742"/>
      <c r="S974" s="435"/>
      <c r="T974" s="435"/>
      <c r="U974" s="435"/>
      <c r="V974" s="435"/>
      <c r="W974" s="740"/>
      <c r="X974" s="435"/>
      <c r="Y974" s="435"/>
      <c r="Z974" s="743"/>
      <c r="AA974" s="744"/>
      <c r="AB974" s="435"/>
      <c r="AC974" s="435"/>
      <c r="AD974" s="324"/>
      <c r="AE974" s="180"/>
      <c r="AF974" s="155"/>
      <c r="AG974" s="322"/>
      <c r="AH974" s="132"/>
      <c r="AI974" s="132"/>
    </row>
    <row r="975">
      <c r="A975" s="474"/>
      <c r="B975" s="695"/>
      <c r="C975" s="739"/>
      <c r="D975" s="312"/>
      <c r="E975" s="435"/>
      <c r="F975" s="314"/>
      <c r="G975" s="314"/>
      <c r="H975" s="435"/>
      <c r="I975" s="318"/>
      <c r="J975" s="435"/>
      <c r="K975" s="435"/>
      <c r="L975" s="314"/>
      <c r="M975" s="435"/>
      <c r="N975" s="314"/>
      <c r="O975" s="314"/>
      <c r="P975" s="740"/>
      <c r="Q975" s="435"/>
      <c r="R975" s="742"/>
      <c r="S975" s="435"/>
      <c r="T975" s="435"/>
      <c r="U975" s="435"/>
      <c r="V975" s="435"/>
      <c r="W975" s="740"/>
      <c r="X975" s="435"/>
      <c r="Y975" s="435"/>
      <c r="Z975" s="743"/>
      <c r="AA975" s="744"/>
      <c r="AB975" s="435"/>
      <c r="AC975" s="435"/>
      <c r="AD975" s="324"/>
      <c r="AE975" s="180"/>
      <c r="AF975" s="155"/>
      <c r="AG975" s="322"/>
      <c r="AH975" s="132"/>
      <c r="AI975" s="132"/>
    </row>
    <row r="976">
      <c r="A976" s="478"/>
      <c r="B976" s="746"/>
      <c r="C976" s="739"/>
      <c r="D976" s="745"/>
      <c r="E976" s="435"/>
      <c r="F976" s="314"/>
      <c r="G976" s="314"/>
      <c r="H976" s="435"/>
      <c r="I976" s="740"/>
      <c r="J976" s="435"/>
      <c r="K976" s="435"/>
      <c r="L976" s="435"/>
      <c r="M976" s="435"/>
      <c r="N976" s="435"/>
      <c r="O976" s="314"/>
      <c r="P976" s="740"/>
      <c r="Q976" s="435"/>
      <c r="R976" s="742"/>
      <c r="S976" s="435"/>
      <c r="T976" s="435"/>
      <c r="U976" s="435"/>
      <c r="V976" s="435"/>
      <c r="W976" s="740"/>
      <c r="X976" s="435"/>
      <c r="Y976" s="435"/>
      <c r="Z976" s="743"/>
      <c r="AA976" s="744"/>
      <c r="AB976" s="435"/>
      <c r="AC976" s="435"/>
      <c r="AD976" s="324"/>
      <c r="AE976" s="180"/>
      <c r="AF976" s="155"/>
      <c r="AG976" s="322"/>
      <c r="AH976" s="132"/>
      <c r="AI976" s="132"/>
    </row>
    <row r="977">
      <c r="A977" s="478"/>
      <c r="B977" s="746"/>
      <c r="C977" s="739"/>
      <c r="D977" s="745"/>
      <c r="E977" s="435"/>
      <c r="F977" s="314"/>
      <c r="G977" s="314"/>
      <c r="H977" s="435"/>
      <c r="I977" s="740"/>
      <c r="J977" s="435"/>
      <c r="K977" s="435"/>
      <c r="L977" s="435"/>
      <c r="M977" s="435"/>
      <c r="N977" s="435"/>
      <c r="O977" s="314"/>
      <c r="P977" s="740"/>
      <c r="Q977" s="435"/>
      <c r="R977" s="742"/>
      <c r="S977" s="435"/>
      <c r="T977" s="435"/>
      <c r="U977" s="435"/>
      <c r="V977" s="435"/>
      <c r="W977" s="740"/>
      <c r="X977" s="435"/>
      <c r="Y977" s="435"/>
      <c r="Z977" s="743"/>
      <c r="AA977" s="744"/>
      <c r="AB977" s="435"/>
      <c r="AC977" s="435"/>
      <c r="AD977" s="324"/>
      <c r="AE977" s="180"/>
      <c r="AF977" s="155"/>
      <c r="AG977" s="322"/>
      <c r="AH977" s="132"/>
      <c r="AI977" s="132"/>
    </row>
    <row r="978">
      <c r="A978" s="478"/>
      <c r="B978" s="746"/>
      <c r="C978" s="739"/>
      <c r="D978" s="312"/>
      <c r="E978" s="314"/>
      <c r="F978" s="314"/>
      <c r="G978" s="314"/>
      <c r="H978" s="435"/>
      <c r="I978" s="740"/>
      <c r="J978" s="314"/>
      <c r="K978" s="435"/>
      <c r="L978" s="314"/>
      <c r="M978" s="435"/>
      <c r="N978" s="314"/>
      <c r="O978" s="314"/>
      <c r="P978" s="318"/>
      <c r="Q978" s="314"/>
      <c r="R978" s="316"/>
      <c r="S978" s="435"/>
      <c r="T978" s="435"/>
      <c r="U978" s="435"/>
      <c r="V978" s="435"/>
      <c r="W978" s="740"/>
      <c r="X978" s="435"/>
      <c r="Y978" s="435"/>
      <c r="Z978" s="743"/>
      <c r="AA978" s="744"/>
      <c r="AB978" s="435"/>
      <c r="AC978" s="435"/>
      <c r="AD978" s="324"/>
      <c r="AE978" s="180"/>
      <c r="AF978" s="155"/>
      <c r="AG978" s="322"/>
      <c r="AH978" s="132"/>
      <c r="AI978" s="132"/>
    </row>
    <row r="979">
      <c r="A979" s="477"/>
      <c r="B979" s="695"/>
      <c r="C979" s="739"/>
      <c r="D979" s="745"/>
      <c r="E979" s="435"/>
      <c r="F979" s="314"/>
      <c r="G979" s="314"/>
      <c r="H979" s="435"/>
      <c r="I979" s="740"/>
      <c r="J979" s="435"/>
      <c r="K979" s="435"/>
      <c r="L979" s="435"/>
      <c r="M979" s="435"/>
      <c r="N979" s="435"/>
      <c r="O979" s="314"/>
      <c r="P979" s="740"/>
      <c r="Q979" s="435"/>
      <c r="R979" s="742"/>
      <c r="S979" s="435"/>
      <c r="T979" s="435"/>
      <c r="U979" s="435"/>
      <c r="V979" s="435"/>
      <c r="W979" s="740"/>
      <c r="X979" s="435"/>
      <c r="Y979" s="435"/>
      <c r="Z979" s="743"/>
      <c r="AA979" s="744"/>
      <c r="AB979" s="435"/>
      <c r="AC979" s="435"/>
      <c r="AD979" s="324"/>
      <c r="AE979" s="180"/>
      <c r="AF979" s="155"/>
      <c r="AG979" s="322"/>
      <c r="AH979" s="132"/>
      <c r="AI979" s="132"/>
    </row>
    <row r="980">
      <c r="A980" s="477"/>
      <c r="B980" s="695"/>
      <c r="C980" s="696"/>
      <c r="D980" s="312"/>
      <c r="E980" s="314"/>
      <c r="F980" s="314"/>
      <c r="G980" s="314"/>
      <c r="H980" s="435"/>
      <c r="I980" s="318"/>
      <c r="J980" s="314"/>
      <c r="K980" s="314"/>
      <c r="L980" s="314"/>
      <c r="M980" s="314"/>
      <c r="N980" s="435"/>
      <c r="O980" s="314"/>
      <c r="P980" s="318"/>
      <c r="Q980" s="435"/>
      <c r="R980" s="316"/>
      <c r="S980" s="314"/>
      <c r="T980" s="314"/>
      <c r="U980" s="314"/>
      <c r="V980" s="314"/>
      <c r="W980" s="318"/>
      <c r="X980" s="314"/>
      <c r="Y980" s="314"/>
      <c r="Z980" s="697"/>
      <c r="AA980" s="315"/>
      <c r="AB980" s="314"/>
      <c r="AC980" s="314"/>
      <c r="AD980" s="324"/>
      <c r="AE980" s="180"/>
      <c r="AF980" s="155"/>
      <c r="AG980" s="322"/>
      <c r="AH980" s="132"/>
      <c r="AI980" s="132"/>
    </row>
    <row r="981">
      <c r="A981" s="477"/>
      <c r="B981" s="695"/>
      <c r="C981" s="696"/>
      <c r="D981" s="312"/>
      <c r="E981" s="314"/>
      <c r="F981" s="314"/>
      <c r="G981" s="314"/>
      <c r="H981" s="314"/>
      <c r="I981" s="318"/>
      <c r="J981" s="314"/>
      <c r="K981" s="314"/>
      <c r="L981" s="314"/>
      <c r="M981" s="314"/>
      <c r="N981" s="314"/>
      <c r="O981" s="314"/>
      <c r="P981" s="318"/>
      <c r="Q981" s="314"/>
      <c r="R981" s="316"/>
      <c r="S981" s="314"/>
      <c r="T981" s="314"/>
      <c r="U981" s="314"/>
      <c r="V981" s="314"/>
      <c r="W981" s="318"/>
      <c r="X981" s="314"/>
      <c r="Y981" s="314"/>
      <c r="Z981" s="697"/>
      <c r="AA981" s="315"/>
      <c r="AB981" s="314"/>
      <c r="AC981" s="314"/>
      <c r="AD981" s="324"/>
      <c r="AE981" s="180"/>
      <c r="AF981" s="155"/>
      <c r="AG981" s="322"/>
      <c r="AH981" s="132"/>
      <c r="AI981" s="132"/>
    </row>
    <row r="982">
      <c r="A982" s="476"/>
      <c r="AF982" s="176"/>
      <c r="AG982" s="322"/>
      <c r="AH982" s="132"/>
      <c r="AI982" s="132"/>
    </row>
    <row r="983">
      <c r="A983" s="178"/>
      <c r="AG983" s="322"/>
      <c r="AH983" s="132"/>
      <c r="AI983" s="132"/>
    </row>
    <row r="984">
      <c r="A984" s="477"/>
      <c r="B984" s="746"/>
      <c r="C984" s="739"/>
      <c r="D984" s="745"/>
      <c r="E984" s="314"/>
      <c r="F984" s="314"/>
      <c r="G984" s="314"/>
      <c r="H984" s="314"/>
      <c r="I984" s="318"/>
      <c r="J984" s="314"/>
      <c r="K984" s="435"/>
      <c r="L984" s="435"/>
      <c r="M984" s="314"/>
      <c r="N984" s="314"/>
      <c r="O984" s="314"/>
      <c r="P984" s="318"/>
      <c r="Q984" s="435"/>
      <c r="R984" s="742"/>
      <c r="S984" s="435"/>
      <c r="T984" s="435"/>
      <c r="U984" s="435"/>
      <c r="V984" s="435"/>
      <c r="W984" s="740"/>
      <c r="X984" s="435"/>
      <c r="Y984" s="435"/>
      <c r="Z984" s="743"/>
      <c r="AA984" s="744"/>
      <c r="AB984" s="435"/>
      <c r="AC984" s="435"/>
      <c r="AD984" s="324"/>
      <c r="AE984" s="180"/>
      <c r="AF984" s="155"/>
      <c r="AG984" s="322"/>
      <c r="AH984" s="132"/>
      <c r="AI984" s="132"/>
    </row>
    <row r="985">
      <c r="A985" s="477"/>
      <c r="B985" s="695"/>
      <c r="C985" s="739"/>
      <c r="D985" s="745"/>
      <c r="E985" s="314"/>
      <c r="F985" s="314"/>
      <c r="G985" s="314"/>
      <c r="H985" s="314"/>
      <c r="I985" s="740"/>
      <c r="J985" s="435"/>
      <c r="K985" s="435"/>
      <c r="L985" s="314"/>
      <c r="M985" s="435"/>
      <c r="N985" s="314"/>
      <c r="O985" s="314"/>
      <c r="P985" s="318"/>
      <c r="Q985" s="435"/>
      <c r="R985" s="742"/>
      <c r="S985" s="435"/>
      <c r="T985" s="435"/>
      <c r="U985" s="435"/>
      <c r="V985" s="435"/>
      <c r="W985" s="740"/>
      <c r="X985" s="435"/>
      <c r="Y985" s="435"/>
      <c r="Z985" s="743"/>
      <c r="AA985" s="744"/>
      <c r="AB985" s="435"/>
      <c r="AC985" s="435"/>
      <c r="AD985" s="324"/>
      <c r="AE985" s="180"/>
      <c r="AF985" s="155"/>
      <c r="AG985" s="322"/>
      <c r="AH985" s="132"/>
      <c r="AI985" s="132"/>
    </row>
    <row r="986">
      <c r="A986" s="477"/>
      <c r="B986" s="695"/>
      <c r="C986" s="739"/>
      <c r="D986" s="745"/>
      <c r="E986" s="435"/>
      <c r="F986" s="314"/>
      <c r="G986" s="314"/>
      <c r="H986" s="435"/>
      <c r="I986" s="318"/>
      <c r="J986" s="314"/>
      <c r="K986" s="435"/>
      <c r="L986" s="314"/>
      <c r="M986" s="435"/>
      <c r="N986" s="435"/>
      <c r="O986" s="314"/>
      <c r="P986" s="740"/>
      <c r="Q986" s="435"/>
      <c r="R986" s="742"/>
      <c r="S986" s="435"/>
      <c r="T986" s="435"/>
      <c r="U986" s="435"/>
      <c r="V986" s="435"/>
      <c r="W986" s="740"/>
      <c r="X986" s="435"/>
      <c r="Y986" s="435"/>
      <c r="Z986" s="743"/>
      <c r="AA986" s="744"/>
      <c r="AB986" s="435"/>
      <c r="AC986" s="435"/>
      <c r="AD986" s="324"/>
      <c r="AE986" s="180"/>
      <c r="AF986" s="155"/>
      <c r="AG986" s="322"/>
      <c r="AH986" s="132"/>
      <c r="AI986" s="132"/>
    </row>
    <row r="987">
      <c r="A987" s="479"/>
      <c r="B987" s="695"/>
      <c r="C987" s="696"/>
      <c r="D987" s="312"/>
      <c r="E987" s="314"/>
      <c r="F987" s="314"/>
      <c r="G987" s="314"/>
      <c r="H987" s="314"/>
      <c r="I987" s="318"/>
      <c r="J987" s="314"/>
      <c r="K987" s="314"/>
      <c r="L987" s="314"/>
      <c r="M987" s="314"/>
      <c r="N987" s="314"/>
      <c r="O987" s="314"/>
      <c r="P987" s="318"/>
      <c r="Q987" s="435"/>
      <c r="R987" s="316"/>
      <c r="S987" s="314"/>
      <c r="T987" s="314"/>
      <c r="U987" s="314"/>
      <c r="V987" s="314"/>
      <c r="W987" s="318"/>
      <c r="X987" s="314"/>
      <c r="Y987" s="314"/>
      <c r="Z987" s="697"/>
      <c r="AA987" s="315"/>
      <c r="AB987" s="314"/>
      <c r="AC987" s="314"/>
      <c r="AD987" s="324"/>
      <c r="AE987" s="180"/>
      <c r="AF987" s="155"/>
      <c r="AG987" s="322"/>
      <c r="AH987" s="132"/>
      <c r="AI987" s="132"/>
    </row>
    <row r="988">
      <c r="A988" s="476"/>
      <c r="AF988" s="176"/>
      <c r="AG988" s="322"/>
      <c r="AH988" s="132"/>
      <c r="AI988" s="132"/>
    </row>
    <row r="989">
      <c r="A989" s="178"/>
      <c r="AG989" s="322"/>
      <c r="AH989" s="132"/>
      <c r="AI989" s="132"/>
    </row>
    <row r="990">
      <c r="A990" s="480"/>
      <c r="B990" s="695"/>
      <c r="C990" s="739"/>
      <c r="D990" s="312"/>
      <c r="E990" s="314"/>
      <c r="F990" s="314"/>
      <c r="G990" s="314"/>
      <c r="H990" s="314"/>
      <c r="I990" s="318"/>
      <c r="J990" s="435"/>
      <c r="K990" s="435"/>
      <c r="L990" s="314"/>
      <c r="M990" s="314"/>
      <c r="N990" s="314"/>
      <c r="O990" s="314"/>
      <c r="P990" s="318"/>
      <c r="Q990" s="435"/>
      <c r="R990" s="316"/>
      <c r="S990" s="314"/>
      <c r="T990" s="314"/>
      <c r="U990" s="314"/>
      <c r="V990" s="314"/>
      <c r="W990" s="318"/>
      <c r="X990" s="314"/>
      <c r="Y990" s="314"/>
      <c r="Z990" s="697"/>
      <c r="AA990" s="315"/>
      <c r="AB990" s="314"/>
      <c r="AC990" s="314"/>
      <c r="AD990" s="324"/>
      <c r="AE990" s="180"/>
      <c r="AF990" s="180"/>
      <c r="AG990" s="322"/>
      <c r="AH990" s="132"/>
      <c r="AI990" s="132"/>
    </row>
    <row r="991">
      <c r="A991" s="480"/>
      <c r="B991" s="695"/>
      <c r="C991" s="739"/>
      <c r="D991" s="312"/>
      <c r="E991" s="314"/>
      <c r="F991" s="314"/>
      <c r="G991" s="314"/>
      <c r="H991" s="435"/>
      <c r="I991" s="318"/>
      <c r="J991" s="435"/>
      <c r="K991" s="435"/>
      <c r="L991" s="314"/>
      <c r="M991" s="435"/>
      <c r="N991" s="435"/>
      <c r="O991" s="314"/>
      <c r="P991" s="740"/>
      <c r="Q991" s="435"/>
      <c r="R991" s="316"/>
      <c r="S991" s="435"/>
      <c r="T991" s="435"/>
      <c r="U991" s="435"/>
      <c r="V991" s="435"/>
      <c r="W991" s="740"/>
      <c r="X991" s="435"/>
      <c r="Y991" s="435"/>
      <c r="Z991" s="743"/>
      <c r="AA991" s="744"/>
      <c r="AB991" s="435"/>
      <c r="AC991" s="435"/>
      <c r="AD991" s="324"/>
      <c r="AE991" s="180"/>
      <c r="AF991" s="180"/>
      <c r="AG991" s="322"/>
      <c r="AH991" s="132"/>
      <c r="AI991" s="132"/>
    </row>
    <row r="992">
      <c r="A992" s="476"/>
      <c r="AF992" s="176"/>
      <c r="AG992" s="322"/>
      <c r="AH992" s="132"/>
      <c r="AI992" s="132"/>
    </row>
    <row r="993">
      <c r="A993" s="178"/>
      <c r="AG993" s="322"/>
      <c r="AH993" s="132"/>
      <c r="AI993" s="132"/>
    </row>
    <row r="994">
      <c r="A994" s="481"/>
      <c r="B994" s="695"/>
      <c r="C994" s="739"/>
      <c r="D994" s="745"/>
      <c r="E994" s="435"/>
      <c r="F994" s="314"/>
      <c r="G994" s="435"/>
      <c r="H994" s="435"/>
      <c r="I994" s="740"/>
      <c r="J994" s="314"/>
      <c r="K994" s="435"/>
      <c r="L994" s="435"/>
      <c r="M994" s="435"/>
      <c r="N994" s="314"/>
      <c r="O994" s="314"/>
      <c r="P994" s="740"/>
      <c r="Q994" s="435"/>
      <c r="R994" s="742"/>
      <c r="S994" s="435"/>
      <c r="T994" s="435"/>
      <c r="U994" s="435"/>
      <c r="V994" s="435"/>
      <c r="W994" s="740"/>
      <c r="X994" s="435"/>
      <c r="Y994" s="435"/>
      <c r="Z994" s="743"/>
      <c r="AA994" s="744"/>
      <c r="AB994" s="435"/>
      <c r="AC994" s="435"/>
      <c r="AD994" s="324"/>
      <c r="AE994" s="180"/>
      <c r="AF994" s="155"/>
      <c r="AG994" s="322"/>
      <c r="AH994" s="132"/>
      <c r="AI994" s="132"/>
    </row>
    <row r="995">
      <c r="A995" s="435"/>
      <c r="B995" s="695"/>
      <c r="C995" s="739"/>
      <c r="D995" s="745"/>
      <c r="E995" s="314"/>
      <c r="F995" s="314"/>
      <c r="G995" s="314"/>
      <c r="H995" s="435"/>
      <c r="I995" s="318"/>
      <c r="J995" s="435"/>
      <c r="K995" s="435"/>
      <c r="L995" s="314"/>
      <c r="M995" s="314"/>
      <c r="N995" s="314"/>
      <c r="O995" s="314"/>
      <c r="P995" s="740"/>
      <c r="Q995" s="435"/>
      <c r="R995" s="742"/>
      <c r="S995" s="435"/>
      <c r="T995" s="435"/>
      <c r="U995" s="435"/>
      <c r="V995" s="435"/>
      <c r="W995" s="740"/>
      <c r="X995" s="435"/>
      <c r="Y995" s="435"/>
      <c r="Z995" s="743"/>
      <c r="AA995" s="744"/>
      <c r="AB995" s="435"/>
      <c r="AC995" s="435"/>
      <c r="AD995" s="324"/>
      <c r="AE995" s="180"/>
      <c r="AF995" s="155"/>
      <c r="AG995" s="322"/>
      <c r="AH995" s="132"/>
      <c r="AI995" s="132"/>
    </row>
    <row r="996">
      <c r="A996" s="482"/>
      <c r="B996" s="695"/>
      <c r="C996" s="696"/>
      <c r="D996" s="745"/>
      <c r="E996" s="314"/>
      <c r="F996" s="314"/>
      <c r="G996" s="314"/>
      <c r="H996" s="314"/>
      <c r="I996" s="318"/>
      <c r="J996" s="314"/>
      <c r="K996" s="435"/>
      <c r="L996" s="314"/>
      <c r="M996" s="314"/>
      <c r="N996" s="314"/>
      <c r="O996" s="314"/>
      <c r="P996" s="318"/>
      <c r="Q996" s="314"/>
      <c r="R996" s="742"/>
      <c r="S996" s="314"/>
      <c r="T996" s="314"/>
      <c r="U996" s="314"/>
      <c r="V996" s="314"/>
      <c r="W996" s="318"/>
      <c r="X996" s="314"/>
      <c r="Y996" s="314"/>
      <c r="Z996" s="697"/>
      <c r="AA996" s="315"/>
      <c r="AB996" s="314"/>
      <c r="AC996" s="314"/>
      <c r="AD996" s="324"/>
      <c r="AE996" s="180"/>
      <c r="AF996" s="155"/>
      <c r="AG996" s="322"/>
      <c r="AH996" s="132"/>
      <c r="AI996" s="132"/>
    </row>
    <row r="997">
      <c r="A997" s="482"/>
      <c r="B997" s="695"/>
      <c r="C997" s="739"/>
      <c r="D997" s="745"/>
      <c r="E997" s="435"/>
      <c r="F997" s="314"/>
      <c r="G997" s="314"/>
      <c r="H997" s="435"/>
      <c r="I997" s="740"/>
      <c r="J997" s="435"/>
      <c r="K997" s="435"/>
      <c r="L997" s="435"/>
      <c r="M997" s="435"/>
      <c r="N997" s="435"/>
      <c r="O997" s="314"/>
      <c r="P997" s="740"/>
      <c r="Q997" s="435"/>
      <c r="R997" s="742"/>
      <c r="S997" s="435"/>
      <c r="T997" s="435"/>
      <c r="U997" s="435"/>
      <c r="V997" s="435"/>
      <c r="W997" s="740"/>
      <c r="X997" s="435"/>
      <c r="Y997" s="435"/>
      <c r="Z997" s="743"/>
      <c r="AA997" s="744"/>
      <c r="AB997" s="435"/>
      <c r="AC997" s="435"/>
      <c r="AD997" s="324"/>
      <c r="AE997" s="180"/>
      <c r="AF997" s="155"/>
      <c r="AG997" s="322"/>
      <c r="AH997" s="132"/>
      <c r="AI997" s="132"/>
    </row>
    <row r="998">
      <c r="A998" s="314"/>
      <c r="B998" s="695"/>
      <c r="C998" s="696"/>
      <c r="D998" s="312"/>
      <c r="E998" s="314"/>
      <c r="F998" s="314"/>
      <c r="G998" s="314"/>
      <c r="H998" s="314"/>
      <c r="I998" s="318"/>
      <c r="J998" s="314"/>
      <c r="K998" s="314"/>
      <c r="L998" s="314"/>
      <c r="M998" s="314"/>
      <c r="N998" s="314"/>
      <c r="O998" s="314"/>
      <c r="P998" s="318"/>
      <c r="Q998" s="314"/>
      <c r="R998" s="316"/>
      <c r="S998" s="314"/>
      <c r="T998" s="314"/>
      <c r="U998" s="314"/>
      <c r="V998" s="314"/>
      <c r="W998" s="318"/>
      <c r="X998" s="314"/>
      <c r="Y998" s="314"/>
      <c r="Z998" s="697"/>
      <c r="AA998" s="315"/>
      <c r="AB998" s="314"/>
      <c r="AC998" s="314"/>
      <c r="AD998" s="483"/>
      <c r="AF998" s="484"/>
      <c r="AG998" s="322"/>
      <c r="AH998" s="132"/>
      <c r="AI998" s="132"/>
    </row>
    <row r="999">
      <c r="A999" s="314"/>
      <c r="B999" s="695"/>
      <c r="C999" s="696"/>
      <c r="D999" s="312"/>
      <c r="E999" s="314"/>
      <c r="F999" s="314"/>
      <c r="G999" s="314"/>
      <c r="H999" s="314"/>
      <c r="I999" s="318"/>
      <c r="J999" s="314"/>
      <c r="K999" s="314"/>
      <c r="L999" s="314"/>
      <c r="M999" s="314"/>
      <c r="N999" s="314"/>
      <c r="O999" s="314"/>
      <c r="P999" s="318"/>
      <c r="Q999" s="314"/>
      <c r="R999" s="316"/>
      <c r="S999" s="314"/>
      <c r="T999" s="314"/>
      <c r="U999" s="314"/>
      <c r="V999" s="314"/>
      <c r="W999" s="318"/>
      <c r="X999" s="314"/>
      <c r="Y999" s="314"/>
      <c r="Z999" s="697"/>
      <c r="AA999" s="315"/>
      <c r="AB999" s="314"/>
      <c r="AC999" s="314"/>
      <c r="AD999" s="324"/>
      <c r="AE999" s="155"/>
      <c r="AF999" s="155"/>
      <c r="AG999" s="322"/>
      <c r="AH999" s="132"/>
      <c r="AI999" s="132"/>
    </row>
    <row r="1000">
      <c r="A1000" s="314"/>
      <c r="B1000" s="695"/>
      <c r="C1000" s="696"/>
      <c r="D1000" s="312"/>
      <c r="E1000" s="314"/>
      <c r="F1000" s="314"/>
      <c r="G1000" s="314"/>
      <c r="H1000" s="314"/>
      <c r="I1000" s="318"/>
      <c r="J1000" s="314"/>
      <c r="K1000" s="314"/>
      <c r="L1000" s="314"/>
      <c r="M1000" s="314"/>
      <c r="N1000" s="314"/>
      <c r="O1000" s="314"/>
      <c r="P1000" s="318"/>
      <c r="Q1000" s="314"/>
      <c r="R1000" s="316"/>
      <c r="S1000" s="314"/>
      <c r="T1000" s="314"/>
      <c r="U1000" s="314"/>
      <c r="V1000" s="314"/>
      <c r="W1000" s="318"/>
      <c r="X1000" s="314"/>
      <c r="Y1000" s="314"/>
      <c r="Z1000" s="697"/>
      <c r="AA1000" s="315"/>
      <c r="AB1000" s="314"/>
      <c r="AC1000" s="314"/>
      <c r="AD1000" s="324"/>
      <c r="AE1000" s="155"/>
      <c r="AF1000" s="155"/>
      <c r="AG1000" s="322"/>
      <c r="AH1000" s="132"/>
      <c r="AI1000" s="132"/>
    </row>
    <row r="1001">
      <c r="A1001" s="314"/>
      <c r="B1001" s="695"/>
      <c r="C1001" s="696"/>
      <c r="D1001" s="312"/>
      <c r="E1001" s="314"/>
      <c r="F1001" s="314"/>
      <c r="G1001" s="314"/>
      <c r="H1001" s="314"/>
      <c r="I1001" s="318"/>
      <c r="J1001" s="314"/>
      <c r="K1001" s="314"/>
      <c r="L1001" s="314"/>
      <c r="M1001" s="314"/>
      <c r="N1001" s="314"/>
      <c r="O1001" s="314"/>
      <c r="P1001" s="318"/>
      <c r="Q1001" s="314"/>
      <c r="R1001" s="316"/>
      <c r="S1001" s="314"/>
      <c r="T1001" s="314"/>
      <c r="U1001" s="314"/>
      <c r="V1001" s="314"/>
      <c r="W1001" s="318"/>
      <c r="X1001" s="314"/>
      <c r="Y1001" s="314"/>
      <c r="Z1001" s="697"/>
      <c r="AA1001" s="315"/>
      <c r="AB1001" s="314"/>
      <c r="AC1001" s="314"/>
      <c r="AD1001" s="324"/>
      <c r="AE1001" s="155"/>
      <c r="AF1001" s="155"/>
      <c r="AG1001" s="322"/>
      <c r="AH1001" s="132"/>
      <c r="AI1001" s="132"/>
    </row>
    <row r="1002">
      <c r="A1002" s="314"/>
      <c r="B1002" s="695"/>
      <c r="C1002" s="696"/>
      <c r="D1002" s="312"/>
      <c r="E1002" s="314"/>
      <c r="F1002" s="314"/>
      <c r="G1002" s="314"/>
      <c r="H1002" s="314"/>
      <c r="I1002" s="318"/>
      <c r="J1002" s="314"/>
      <c r="K1002" s="314"/>
      <c r="L1002" s="314"/>
      <c r="M1002" s="314"/>
      <c r="N1002" s="314"/>
      <c r="O1002" s="314"/>
      <c r="P1002" s="318"/>
      <c r="Q1002" s="314"/>
      <c r="R1002" s="316"/>
      <c r="S1002" s="314"/>
      <c r="T1002" s="314"/>
      <c r="U1002" s="314"/>
      <c r="V1002" s="314"/>
      <c r="W1002" s="318"/>
      <c r="X1002" s="314"/>
      <c r="Y1002" s="314"/>
      <c r="Z1002" s="697"/>
      <c r="AA1002" s="315"/>
      <c r="AB1002" s="314"/>
      <c r="AC1002" s="314"/>
      <c r="AD1002" s="324"/>
      <c r="AE1002" s="155"/>
      <c r="AF1002" s="155"/>
      <c r="AG1002" s="322"/>
      <c r="AH1002" s="132"/>
      <c r="AI1002" s="132"/>
    </row>
    <row r="1003">
      <c r="A1003" s="314"/>
      <c r="B1003" s="695"/>
      <c r="C1003" s="696"/>
      <c r="D1003" s="312"/>
      <c r="E1003" s="314"/>
      <c r="F1003" s="314"/>
      <c r="G1003" s="314"/>
      <c r="H1003" s="314"/>
      <c r="I1003" s="318"/>
      <c r="J1003" s="314"/>
      <c r="K1003" s="314"/>
      <c r="L1003" s="314"/>
      <c r="M1003" s="314"/>
      <c r="N1003" s="314"/>
      <c r="O1003" s="314"/>
      <c r="P1003" s="318"/>
      <c r="Q1003" s="314"/>
      <c r="R1003" s="316"/>
      <c r="S1003" s="314"/>
      <c r="T1003" s="314"/>
      <c r="U1003" s="314"/>
      <c r="V1003" s="314"/>
      <c r="W1003" s="318"/>
      <c r="X1003" s="314"/>
      <c r="Y1003" s="314"/>
      <c r="Z1003" s="697"/>
      <c r="AA1003" s="315"/>
      <c r="AB1003" s="314"/>
      <c r="AC1003" s="314"/>
      <c r="AD1003" s="324"/>
      <c r="AE1003" s="155"/>
      <c r="AF1003" s="155"/>
      <c r="AG1003" s="322"/>
      <c r="AH1003" s="132"/>
      <c r="AI1003" s="132"/>
    </row>
    <row r="1004">
      <c r="A1004" s="314"/>
      <c r="B1004" s="695"/>
      <c r="C1004" s="696"/>
      <c r="D1004" s="312"/>
      <c r="E1004" s="314"/>
      <c r="F1004" s="314"/>
      <c r="G1004" s="314"/>
      <c r="H1004" s="314"/>
      <c r="I1004" s="318"/>
      <c r="J1004" s="314"/>
      <c r="K1004" s="314"/>
      <c r="L1004" s="314"/>
      <c r="M1004" s="314"/>
      <c r="N1004" s="314"/>
      <c r="O1004" s="314"/>
      <c r="P1004" s="318"/>
      <c r="Q1004" s="314"/>
      <c r="R1004" s="316"/>
      <c r="S1004" s="314"/>
      <c r="T1004" s="314"/>
      <c r="U1004" s="314"/>
      <c r="V1004" s="314"/>
      <c r="W1004" s="318"/>
      <c r="X1004" s="314"/>
      <c r="Y1004" s="314"/>
      <c r="Z1004" s="697"/>
      <c r="AA1004" s="315"/>
      <c r="AB1004" s="314"/>
      <c r="AC1004" s="314"/>
      <c r="AD1004" s="324"/>
      <c r="AE1004" s="155"/>
      <c r="AF1004" s="155"/>
      <c r="AG1004" s="322"/>
      <c r="AH1004" s="132"/>
      <c r="AI1004" s="132"/>
    </row>
    <row r="1005">
      <c r="A1005" s="314"/>
      <c r="B1005" s="695"/>
      <c r="C1005" s="696"/>
      <c r="D1005" s="312"/>
      <c r="E1005" s="314"/>
      <c r="F1005" s="314"/>
      <c r="G1005" s="314"/>
      <c r="H1005" s="314"/>
      <c r="I1005" s="318"/>
      <c r="J1005" s="314"/>
      <c r="K1005" s="314"/>
      <c r="L1005" s="314"/>
      <c r="M1005" s="314"/>
      <c r="N1005" s="314"/>
      <c r="O1005" s="314"/>
      <c r="P1005" s="318"/>
      <c r="Q1005" s="314"/>
      <c r="R1005" s="316"/>
      <c r="S1005" s="314"/>
      <c r="T1005" s="314"/>
      <c r="U1005" s="314"/>
      <c r="V1005" s="314"/>
      <c r="W1005" s="318"/>
      <c r="X1005" s="314"/>
      <c r="Y1005" s="314"/>
      <c r="Z1005" s="697"/>
      <c r="AA1005" s="315"/>
      <c r="AB1005" s="314"/>
      <c r="AC1005" s="314"/>
      <c r="AD1005" s="324"/>
      <c r="AE1005" s="155"/>
      <c r="AF1005" s="155"/>
      <c r="AG1005" s="322"/>
      <c r="AH1005" s="132"/>
      <c r="AI1005" s="132"/>
    </row>
    <row r="1006">
      <c r="A1006" s="314"/>
      <c r="B1006" s="695"/>
      <c r="C1006" s="696"/>
      <c r="D1006" s="312"/>
      <c r="E1006" s="314"/>
      <c r="F1006" s="314"/>
      <c r="G1006" s="314"/>
      <c r="H1006" s="314"/>
      <c r="I1006" s="318"/>
      <c r="J1006" s="314"/>
      <c r="K1006" s="314"/>
      <c r="L1006" s="314"/>
      <c r="M1006" s="314"/>
      <c r="N1006" s="314"/>
      <c r="O1006" s="314"/>
      <c r="P1006" s="318"/>
      <c r="Q1006" s="314"/>
      <c r="R1006" s="316"/>
      <c r="S1006" s="314"/>
      <c r="T1006" s="314"/>
      <c r="U1006" s="314"/>
      <c r="V1006" s="314"/>
      <c r="W1006" s="318"/>
      <c r="X1006" s="314"/>
      <c r="Y1006" s="314"/>
      <c r="Z1006" s="697"/>
      <c r="AA1006" s="315"/>
      <c r="AB1006" s="314"/>
      <c r="AC1006" s="314"/>
      <c r="AD1006" s="324"/>
      <c r="AE1006" s="155"/>
      <c r="AF1006" s="155"/>
      <c r="AG1006" s="322"/>
      <c r="AH1006" s="132"/>
      <c r="AI1006" s="132"/>
    </row>
    <row r="1007">
      <c r="A1007" s="314"/>
      <c r="B1007" s="695"/>
      <c r="C1007" s="696"/>
      <c r="D1007" s="312"/>
      <c r="E1007" s="314"/>
      <c r="F1007" s="314"/>
      <c r="G1007" s="314"/>
      <c r="H1007" s="314"/>
      <c r="I1007" s="318"/>
      <c r="J1007" s="314"/>
      <c r="K1007" s="314"/>
      <c r="L1007" s="314"/>
      <c r="M1007" s="314"/>
      <c r="N1007" s="314"/>
      <c r="O1007" s="314"/>
      <c r="P1007" s="318"/>
      <c r="Q1007" s="314"/>
      <c r="R1007" s="316"/>
      <c r="S1007" s="314"/>
      <c r="T1007" s="314"/>
      <c r="U1007" s="314"/>
      <c r="V1007" s="314"/>
      <c r="W1007" s="318"/>
      <c r="X1007" s="314"/>
      <c r="Y1007" s="314"/>
      <c r="Z1007" s="697"/>
      <c r="AA1007" s="315"/>
      <c r="AB1007" s="314"/>
      <c r="AC1007" s="314"/>
      <c r="AD1007" s="324"/>
      <c r="AE1007" s="155"/>
      <c r="AF1007" s="155"/>
      <c r="AG1007" s="322"/>
      <c r="AH1007" s="132"/>
      <c r="AI1007" s="132"/>
    </row>
    <row r="1008">
      <c r="A1008" s="314"/>
      <c r="B1008" s="695"/>
      <c r="C1008" s="696"/>
      <c r="D1008" s="312"/>
      <c r="E1008" s="314"/>
      <c r="F1008" s="314"/>
      <c r="G1008" s="314"/>
      <c r="H1008" s="314"/>
      <c r="I1008" s="318"/>
      <c r="J1008" s="314"/>
      <c r="K1008" s="314"/>
      <c r="L1008" s="314"/>
      <c r="M1008" s="314"/>
      <c r="N1008" s="314"/>
      <c r="O1008" s="314"/>
      <c r="P1008" s="318"/>
      <c r="Q1008" s="314"/>
      <c r="R1008" s="316"/>
      <c r="S1008" s="314"/>
      <c r="T1008" s="314"/>
      <c r="U1008" s="314"/>
      <c r="V1008" s="314"/>
      <c r="W1008" s="318"/>
      <c r="X1008" s="314"/>
      <c r="Y1008" s="314"/>
      <c r="Z1008" s="697"/>
      <c r="AA1008" s="315"/>
      <c r="AB1008" s="314"/>
      <c r="AC1008" s="314"/>
      <c r="AD1008" s="324"/>
      <c r="AE1008" s="155"/>
      <c r="AF1008" s="155"/>
      <c r="AG1008" s="322"/>
      <c r="AH1008" s="132"/>
      <c r="AI1008" s="132"/>
    </row>
    <row r="1009">
      <c r="A1009" s="314"/>
      <c r="B1009" s="695"/>
      <c r="C1009" s="696"/>
      <c r="D1009" s="312"/>
      <c r="E1009" s="314"/>
      <c r="F1009" s="314"/>
      <c r="G1009" s="314"/>
      <c r="H1009" s="314"/>
      <c r="I1009" s="318"/>
      <c r="J1009" s="314"/>
      <c r="K1009" s="314"/>
      <c r="L1009" s="314"/>
      <c r="M1009" s="314"/>
      <c r="N1009" s="314"/>
      <c r="O1009" s="314"/>
      <c r="P1009" s="318"/>
      <c r="Q1009" s="314"/>
      <c r="R1009" s="316"/>
      <c r="S1009" s="314"/>
      <c r="T1009" s="314"/>
      <c r="U1009" s="314"/>
      <c r="V1009" s="314"/>
      <c r="W1009" s="318"/>
      <c r="X1009" s="314"/>
      <c r="Y1009" s="314"/>
      <c r="Z1009" s="697"/>
      <c r="AA1009" s="315"/>
      <c r="AB1009" s="314"/>
      <c r="AC1009" s="314"/>
      <c r="AD1009" s="324"/>
      <c r="AE1009" s="155"/>
      <c r="AF1009" s="155"/>
      <c r="AG1009" s="322"/>
      <c r="AH1009" s="132"/>
      <c r="AI1009" s="132"/>
    </row>
    <row r="1010">
      <c r="A1010" s="314"/>
      <c r="B1010" s="695"/>
      <c r="C1010" s="696"/>
      <c r="D1010" s="312"/>
      <c r="E1010" s="314"/>
      <c r="F1010" s="314"/>
      <c r="G1010" s="314"/>
      <c r="H1010" s="314"/>
      <c r="I1010" s="318"/>
      <c r="J1010" s="314"/>
      <c r="K1010" s="314"/>
      <c r="L1010" s="314"/>
      <c r="M1010" s="314"/>
      <c r="N1010" s="314"/>
      <c r="O1010" s="314"/>
      <c r="P1010" s="318"/>
      <c r="Q1010" s="314"/>
      <c r="R1010" s="316"/>
      <c r="S1010" s="314"/>
      <c r="T1010" s="314"/>
      <c r="U1010" s="314"/>
      <c r="V1010" s="314"/>
      <c r="W1010" s="318"/>
      <c r="X1010" s="314"/>
      <c r="Y1010" s="314"/>
      <c r="Z1010" s="697"/>
      <c r="AA1010" s="315"/>
      <c r="AB1010" s="314"/>
      <c r="AC1010" s="314"/>
      <c r="AD1010" s="324"/>
      <c r="AE1010" s="155"/>
      <c r="AF1010" s="155"/>
      <c r="AG1010" s="322"/>
      <c r="AH1010" s="132"/>
      <c r="AI1010" s="132"/>
    </row>
    <row r="1011">
      <c r="A1011" s="314"/>
      <c r="B1011" s="695"/>
      <c r="C1011" s="696"/>
      <c r="D1011" s="312"/>
      <c r="E1011" s="314"/>
      <c r="F1011" s="314"/>
      <c r="G1011" s="314"/>
      <c r="H1011" s="314"/>
      <c r="I1011" s="318"/>
      <c r="J1011" s="314"/>
      <c r="K1011" s="314"/>
      <c r="L1011" s="314"/>
      <c r="M1011" s="314"/>
      <c r="N1011" s="314"/>
      <c r="O1011" s="314"/>
      <c r="P1011" s="318"/>
      <c r="Q1011" s="314"/>
      <c r="R1011" s="316"/>
      <c r="S1011" s="314"/>
      <c r="T1011" s="314"/>
      <c r="U1011" s="314"/>
      <c r="V1011" s="314"/>
      <c r="W1011" s="318"/>
      <c r="X1011" s="314"/>
      <c r="Y1011" s="314"/>
      <c r="Z1011" s="697"/>
      <c r="AA1011" s="315"/>
      <c r="AB1011" s="314"/>
      <c r="AC1011" s="314"/>
      <c r="AD1011" s="324"/>
      <c r="AE1011" s="155"/>
      <c r="AF1011" s="155"/>
      <c r="AG1011" s="322"/>
      <c r="AH1011" s="132"/>
      <c r="AI1011" s="132"/>
    </row>
    <row r="1012">
      <c r="A1012" s="314"/>
      <c r="B1012" s="695"/>
      <c r="C1012" s="696"/>
      <c r="D1012" s="312"/>
      <c r="E1012" s="314"/>
      <c r="F1012" s="314"/>
      <c r="G1012" s="314"/>
      <c r="H1012" s="314"/>
      <c r="I1012" s="318"/>
      <c r="J1012" s="314"/>
      <c r="K1012" s="314"/>
      <c r="L1012" s="314"/>
      <c r="M1012" s="314"/>
      <c r="N1012" s="314"/>
      <c r="O1012" s="314"/>
      <c r="P1012" s="318"/>
      <c r="Q1012" s="314"/>
      <c r="R1012" s="316"/>
      <c r="S1012" s="314"/>
      <c r="T1012" s="314"/>
      <c r="U1012" s="314"/>
      <c r="V1012" s="314"/>
      <c r="W1012" s="318"/>
      <c r="X1012" s="314"/>
      <c r="Y1012" s="314"/>
      <c r="Z1012" s="697"/>
      <c r="AA1012" s="315"/>
      <c r="AB1012" s="314"/>
      <c r="AC1012" s="314"/>
      <c r="AD1012" s="324"/>
      <c r="AE1012" s="155"/>
      <c r="AF1012" s="155"/>
      <c r="AG1012" s="322"/>
      <c r="AH1012" s="132"/>
      <c r="AI1012" s="132"/>
    </row>
    <row r="1013">
      <c r="A1013" s="314"/>
      <c r="B1013" s="695"/>
      <c r="C1013" s="696"/>
      <c r="D1013" s="312"/>
      <c r="E1013" s="314"/>
      <c r="F1013" s="314"/>
      <c r="G1013" s="314"/>
      <c r="H1013" s="314"/>
      <c r="I1013" s="318"/>
      <c r="J1013" s="314"/>
      <c r="K1013" s="314"/>
      <c r="L1013" s="314"/>
      <c r="M1013" s="314"/>
      <c r="N1013" s="314"/>
      <c r="O1013" s="314"/>
      <c r="P1013" s="318"/>
      <c r="Q1013" s="314"/>
      <c r="R1013" s="316"/>
      <c r="S1013" s="314"/>
      <c r="T1013" s="314"/>
      <c r="U1013" s="314"/>
      <c r="V1013" s="314"/>
      <c r="W1013" s="318"/>
      <c r="X1013" s="314"/>
      <c r="Y1013" s="314"/>
      <c r="Z1013" s="697"/>
      <c r="AA1013" s="315"/>
      <c r="AB1013" s="314"/>
      <c r="AC1013" s="314"/>
      <c r="AD1013" s="487"/>
      <c r="AF1013" s="484"/>
      <c r="AG1013" s="322"/>
      <c r="AH1013" s="132"/>
      <c r="AI1013" s="132"/>
    </row>
    <row r="1014">
      <c r="A1014" s="314"/>
      <c r="B1014" s="695"/>
      <c r="C1014" s="696"/>
      <c r="D1014" s="312"/>
      <c r="E1014" s="314"/>
      <c r="F1014" s="314"/>
      <c r="G1014" s="314"/>
      <c r="H1014" s="314"/>
      <c r="I1014" s="318"/>
      <c r="J1014" s="314"/>
      <c r="K1014" s="314"/>
      <c r="L1014" s="314"/>
      <c r="M1014" s="314"/>
      <c r="N1014" s="314"/>
      <c r="O1014" s="314"/>
      <c r="P1014" s="318"/>
      <c r="Q1014" s="314"/>
      <c r="R1014" s="316"/>
      <c r="S1014" s="314"/>
      <c r="T1014" s="314"/>
      <c r="U1014" s="314"/>
      <c r="V1014" s="314"/>
      <c r="W1014" s="318"/>
      <c r="X1014" s="314"/>
      <c r="Y1014" s="314"/>
      <c r="Z1014" s="697"/>
      <c r="AA1014" s="315"/>
      <c r="AB1014" s="314"/>
      <c r="AC1014" s="314"/>
      <c r="AD1014" s="324"/>
      <c r="AE1014" s="155"/>
      <c r="AF1014" s="155"/>
      <c r="AG1014" s="322"/>
      <c r="AH1014" s="132"/>
      <c r="AI1014" s="132"/>
    </row>
    <row r="1015">
      <c r="A1015" s="314"/>
      <c r="B1015" s="695"/>
      <c r="C1015" s="696"/>
      <c r="D1015" s="312"/>
      <c r="E1015" s="314"/>
      <c r="F1015" s="314"/>
      <c r="G1015" s="314"/>
      <c r="H1015" s="314"/>
      <c r="I1015" s="318"/>
      <c r="J1015" s="314"/>
      <c r="K1015" s="314"/>
      <c r="L1015" s="314"/>
      <c r="M1015" s="314"/>
      <c r="N1015" s="314"/>
      <c r="O1015" s="314"/>
      <c r="P1015" s="318"/>
      <c r="Q1015" s="314"/>
      <c r="R1015" s="316"/>
      <c r="S1015" s="314"/>
      <c r="T1015" s="314"/>
      <c r="U1015" s="314"/>
      <c r="V1015" s="314"/>
      <c r="W1015" s="318"/>
      <c r="X1015" s="314"/>
      <c r="Y1015" s="314"/>
      <c r="Z1015" s="697"/>
      <c r="AA1015" s="315"/>
      <c r="AB1015" s="314"/>
      <c r="AC1015" s="314"/>
      <c r="AD1015" s="324"/>
      <c r="AE1015" s="155"/>
      <c r="AF1015" s="155"/>
      <c r="AG1015" s="322"/>
      <c r="AH1015" s="132"/>
      <c r="AI1015" s="132"/>
    </row>
    <row r="1016">
      <c r="A1016" s="314"/>
      <c r="B1016" s="695"/>
      <c r="C1016" s="696"/>
      <c r="D1016" s="312"/>
      <c r="E1016" s="314"/>
      <c r="F1016" s="314"/>
      <c r="G1016" s="314"/>
      <c r="H1016" s="314"/>
      <c r="I1016" s="318"/>
      <c r="J1016" s="314"/>
      <c r="K1016" s="314"/>
      <c r="L1016" s="314"/>
      <c r="M1016" s="314"/>
      <c r="N1016" s="314"/>
      <c r="O1016" s="314"/>
      <c r="P1016" s="318"/>
      <c r="Q1016" s="314"/>
      <c r="R1016" s="316"/>
      <c r="S1016" s="314"/>
      <c r="T1016" s="314"/>
      <c r="U1016" s="314"/>
      <c r="V1016" s="314"/>
      <c r="W1016" s="318"/>
      <c r="X1016" s="314"/>
      <c r="Y1016" s="314"/>
      <c r="Z1016" s="697"/>
      <c r="AA1016" s="315"/>
      <c r="AB1016" s="314"/>
      <c r="AC1016" s="314"/>
      <c r="AD1016" s="324"/>
      <c r="AE1016" s="155"/>
      <c r="AF1016" s="155"/>
      <c r="AG1016" s="322"/>
      <c r="AH1016" s="132"/>
      <c r="AI1016" s="132"/>
    </row>
    <row r="1017">
      <c r="A1017" s="314"/>
      <c r="B1017" s="695"/>
      <c r="C1017" s="696"/>
      <c r="D1017" s="312"/>
      <c r="E1017" s="314"/>
      <c r="F1017" s="314"/>
      <c r="G1017" s="314"/>
      <c r="H1017" s="314"/>
      <c r="I1017" s="318"/>
      <c r="J1017" s="314"/>
      <c r="K1017" s="314"/>
      <c r="L1017" s="314"/>
      <c r="M1017" s="314"/>
      <c r="N1017" s="314"/>
      <c r="O1017" s="314"/>
      <c r="P1017" s="318"/>
      <c r="Q1017" s="314"/>
      <c r="R1017" s="316"/>
      <c r="S1017" s="314"/>
      <c r="T1017" s="314"/>
      <c r="U1017" s="314"/>
      <c r="V1017" s="314"/>
      <c r="W1017" s="318"/>
      <c r="X1017" s="314"/>
      <c r="Y1017" s="314"/>
      <c r="Z1017" s="697"/>
      <c r="AA1017" s="315"/>
      <c r="AB1017" s="314"/>
      <c r="AC1017" s="314"/>
      <c r="AD1017" s="324"/>
      <c r="AE1017" s="155"/>
      <c r="AF1017" s="155"/>
      <c r="AG1017" s="322"/>
      <c r="AH1017" s="132"/>
      <c r="AI1017" s="132"/>
    </row>
    <row r="1018">
      <c r="A1018" s="314"/>
      <c r="B1018" s="695"/>
      <c r="C1018" s="696"/>
      <c r="D1018" s="312"/>
      <c r="E1018" s="314"/>
      <c r="F1018" s="314"/>
      <c r="G1018" s="314"/>
      <c r="H1018" s="314"/>
      <c r="I1018" s="318"/>
      <c r="J1018" s="314"/>
      <c r="K1018" s="314"/>
      <c r="L1018" s="314"/>
      <c r="M1018" s="314"/>
      <c r="N1018" s="314"/>
      <c r="O1018" s="314"/>
      <c r="P1018" s="318"/>
      <c r="Q1018" s="314"/>
      <c r="R1018" s="316"/>
      <c r="S1018" s="314"/>
      <c r="T1018" s="314"/>
      <c r="U1018" s="314"/>
      <c r="V1018" s="314"/>
      <c r="W1018" s="318"/>
      <c r="X1018" s="314"/>
      <c r="Y1018" s="314"/>
      <c r="Z1018" s="697"/>
      <c r="AA1018" s="315"/>
      <c r="AB1018" s="314"/>
      <c r="AC1018" s="314"/>
      <c r="AD1018" s="324"/>
      <c r="AE1018" s="155"/>
      <c r="AF1018" s="155"/>
      <c r="AG1018" s="322"/>
      <c r="AH1018" s="132"/>
      <c r="AI1018" s="132"/>
    </row>
    <row r="1019">
      <c r="A1019" s="314"/>
      <c r="B1019" s="695"/>
      <c r="C1019" s="696"/>
      <c r="D1019" s="312"/>
      <c r="E1019" s="314"/>
      <c r="F1019" s="314"/>
      <c r="G1019" s="314"/>
      <c r="H1019" s="314"/>
      <c r="I1019" s="318"/>
      <c r="J1019" s="314"/>
      <c r="K1019" s="314"/>
      <c r="L1019" s="314"/>
      <c r="M1019" s="314"/>
      <c r="N1019" s="314"/>
      <c r="O1019" s="314"/>
      <c r="P1019" s="318"/>
      <c r="Q1019" s="314"/>
      <c r="R1019" s="316"/>
      <c r="S1019" s="314"/>
      <c r="T1019" s="314"/>
      <c r="U1019" s="314"/>
      <c r="V1019" s="314"/>
      <c r="W1019" s="318"/>
      <c r="X1019" s="314"/>
      <c r="Y1019" s="314"/>
      <c r="Z1019" s="697"/>
      <c r="AA1019" s="315"/>
      <c r="AB1019" s="314"/>
      <c r="AC1019" s="314"/>
      <c r="AD1019" s="324"/>
      <c r="AE1019" s="155"/>
      <c r="AF1019" s="155"/>
      <c r="AG1019" s="322"/>
      <c r="AH1019" s="132"/>
      <c r="AI1019" s="132"/>
    </row>
    <row r="1020">
      <c r="A1020" s="314"/>
      <c r="B1020" s="695"/>
      <c r="C1020" s="696"/>
      <c r="D1020" s="312"/>
      <c r="E1020" s="314"/>
      <c r="F1020" s="314"/>
      <c r="G1020" s="314"/>
      <c r="H1020" s="314"/>
      <c r="I1020" s="318"/>
      <c r="J1020" s="314"/>
      <c r="K1020" s="314"/>
      <c r="L1020" s="314"/>
      <c r="M1020" s="314"/>
      <c r="N1020" s="314"/>
      <c r="O1020" s="314"/>
      <c r="P1020" s="318"/>
      <c r="Q1020" s="314"/>
      <c r="R1020" s="316"/>
      <c r="S1020" s="314"/>
      <c r="T1020" s="314"/>
      <c r="U1020" s="314"/>
      <c r="V1020" s="314"/>
      <c r="W1020" s="318"/>
      <c r="X1020" s="314"/>
      <c r="Y1020" s="314"/>
      <c r="Z1020" s="697"/>
      <c r="AA1020" s="315"/>
      <c r="AB1020" s="314"/>
      <c r="AC1020" s="314"/>
      <c r="AD1020" s="324"/>
      <c r="AE1020" s="155"/>
      <c r="AF1020" s="155"/>
      <c r="AG1020" s="322"/>
      <c r="AH1020" s="132"/>
      <c r="AI1020" s="132"/>
    </row>
    <row r="1021">
      <c r="A1021" s="314"/>
      <c r="B1021" s="695"/>
      <c r="C1021" s="696"/>
      <c r="D1021" s="312"/>
      <c r="E1021" s="314"/>
      <c r="F1021" s="314"/>
      <c r="G1021" s="314"/>
      <c r="H1021" s="314"/>
      <c r="I1021" s="318"/>
      <c r="J1021" s="314"/>
      <c r="K1021" s="314"/>
      <c r="L1021" s="314"/>
      <c r="M1021" s="314"/>
      <c r="N1021" s="314"/>
      <c r="O1021" s="314"/>
      <c r="P1021" s="318"/>
      <c r="Q1021" s="314"/>
      <c r="R1021" s="316"/>
      <c r="S1021" s="314"/>
      <c r="T1021" s="314"/>
      <c r="U1021" s="314"/>
      <c r="V1021" s="314"/>
      <c r="W1021" s="318"/>
      <c r="X1021" s="314"/>
      <c r="Y1021" s="314"/>
      <c r="Z1021" s="697"/>
      <c r="AA1021" s="315"/>
      <c r="AB1021" s="314"/>
      <c r="AC1021" s="314"/>
      <c r="AD1021" s="324"/>
      <c r="AE1021" s="155"/>
      <c r="AF1021" s="155"/>
      <c r="AG1021" s="322"/>
      <c r="AH1021" s="132"/>
      <c r="AI1021" s="132"/>
    </row>
    <row r="1022">
      <c r="A1022" s="314"/>
      <c r="B1022" s="695"/>
      <c r="C1022" s="696"/>
      <c r="D1022" s="312"/>
      <c r="E1022" s="314"/>
      <c r="F1022" s="314"/>
      <c r="G1022" s="314"/>
      <c r="H1022" s="314"/>
      <c r="I1022" s="318"/>
      <c r="J1022" s="314"/>
      <c r="K1022" s="314"/>
      <c r="L1022" s="314"/>
      <c r="M1022" s="314"/>
      <c r="N1022" s="314"/>
      <c r="O1022" s="314"/>
      <c r="P1022" s="318"/>
      <c r="Q1022" s="314"/>
      <c r="R1022" s="316"/>
      <c r="S1022" s="314"/>
      <c r="T1022" s="314"/>
      <c r="U1022" s="314"/>
      <c r="V1022" s="314"/>
      <c r="W1022" s="318"/>
      <c r="X1022" s="314"/>
      <c r="Y1022" s="314"/>
      <c r="Z1022" s="697"/>
      <c r="AA1022" s="315"/>
      <c r="AB1022" s="314"/>
      <c r="AC1022" s="314"/>
      <c r="AD1022" s="324"/>
      <c r="AE1022" s="155"/>
      <c r="AF1022" s="155"/>
      <c r="AG1022" s="322"/>
      <c r="AH1022" s="132"/>
      <c r="AI1022" s="132"/>
    </row>
    <row r="1023">
      <c r="A1023" s="314"/>
      <c r="B1023" s="695"/>
      <c r="C1023" s="696"/>
      <c r="D1023" s="312"/>
      <c r="E1023" s="314"/>
      <c r="F1023" s="314"/>
      <c r="G1023" s="314"/>
      <c r="H1023" s="314"/>
      <c r="I1023" s="318"/>
      <c r="J1023" s="314"/>
      <c r="K1023" s="314"/>
      <c r="L1023" s="314"/>
      <c r="M1023" s="314"/>
      <c r="N1023" s="314"/>
      <c r="O1023" s="314"/>
      <c r="P1023" s="318"/>
      <c r="Q1023" s="314"/>
      <c r="R1023" s="316"/>
      <c r="S1023" s="314"/>
      <c r="T1023" s="314"/>
      <c r="U1023" s="314"/>
      <c r="V1023" s="314"/>
      <c r="W1023" s="318"/>
      <c r="X1023" s="314"/>
      <c r="Y1023" s="314"/>
      <c r="Z1023" s="697"/>
      <c r="AA1023" s="315"/>
      <c r="AB1023" s="314"/>
      <c r="AC1023" s="314"/>
      <c r="AD1023" s="324"/>
      <c r="AE1023" s="155"/>
      <c r="AF1023" s="155"/>
      <c r="AG1023" s="322"/>
      <c r="AH1023" s="132"/>
      <c r="AI1023" s="132"/>
    </row>
    <row r="1024">
      <c r="A1024" s="314"/>
      <c r="B1024" s="695"/>
      <c r="C1024" s="696"/>
      <c r="D1024" s="312"/>
      <c r="E1024" s="314"/>
      <c r="F1024" s="314"/>
      <c r="G1024" s="314"/>
      <c r="H1024" s="314"/>
      <c r="I1024" s="318"/>
      <c r="J1024" s="314"/>
      <c r="K1024" s="314"/>
      <c r="L1024" s="314"/>
      <c r="M1024" s="314"/>
      <c r="N1024" s="314"/>
      <c r="O1024" s="314"/>
      <c r="P1024" s="318"/>
      <c r="Q1024" s="314"/>
      <c r="R1024" s="316"/>
      <c r="S1024" s="314"/>
      <c r="T1024" s="314"/>
      <c r="U1024" s="314"/>
      <c r="V1024" s="314"/>
      <c r="W1024" s="318"/>
      <c r="X1024" s="314"/>
      <c r="Y1024" s="314"/>
      <c r="Z1024" s="697"/>
      <c r="AA1024" s="315"/>
      <c r="AB1024" s="314"/>
      <c r="AC1024" s="314"/>
      <c r="AD1024" s="324"/>
      <c r="AE1024" s="155"/>
      <c r="AF1024" s="155"/>
      <c r="AG1024" s="322"/>
      <c r="AH1024" s="132"/>
      <c r="AI1024" s="132"/>
    </row>
    <row r="1025">
      <c r="A1025" s="314"/>
      <c r="B1025" s="695"/>
      <c r="C1025" s="696"/>
      <c r="D1025" s="312"/>
      <c r="E1025" s="314"/>
      <c r="F1025" s="314"/>
      <c r="G1025" s="314"/>
      <c r="H1025" s="314"/>
      <c r="I1025" s="318"/>
      <c r="J1025" s="314"/>
      <c r="K1025" s="314"/>
      <c r="L1025" s="314"/>
      <c r="M1025" s="314"/>
      <c r="N1025" s="314"/>
      <c r="O1025" s="314"/>
      <c r="P1025" s="318"/>
      <c r="Q1025" s="314"/>
      <c r="R1025" s="316"/>
      <c r="S1025" s="314"/>
      <c r="T1025" s="314"/>
      <c r="U1025" s="314"/>
      <c r="V1025" s="314"/>
      <c r="W1025" s="318"/>
      <c r="X1025" s="314"/>
      <c r="Y1025" s="314"/>
      <c r="Z1025" s="697"/>
      <c r="AA1025" s="315"/>
      <c r="AB1025" s="314"/>
      <c r="AC1025" s="314"/>
      <c r="AD1025" s="324"/>
      <c r="AE1025" s="155"/>
      <c r="AF1025" s="155"/>
      <c r="AG1025" s="322"/>
      <c r="AH1025" s="132"/>
      <c r="AI1025" s="132"/>
    </row>
    <row r="1026">
      <c r="A1026" s="314"/>
      <c r="B1026" s="695"/>
      <c r="C1026" s="696"/>
      <c r="D1026" s="312"/>
      <c r="E1026" s="314"/>
      <c r="F1026" s="314"/>
      <c r="G1026" s="314"/>
      <c r="H1026" s="314"/>
      <c r="I1026" s="318"/>
      <c r="J1026" s="314"/>
      <c r="K1026" s="314"/>
      <c r="L1026" s="314"/>
      <c r="M1026" s="314"/>
      <c r="N1026" s="314"/>
      <c r="O1026" s="314"/>
      <c r="P1026" s="318"/>
      <c r="Q1026" s="314"/>
      <c r="R1026" s="316"/>
      <c r="S1026" s="314"/>
      <c r="T1026" s="314"/>
      <c r="U1026" s="314"/>
      <c r="V1026" s="314"/>
      <c r="W1026" s="318"/>
      <c r="X1026" s="314"/>
      <c r="Y1026" s="314"/>
      <c r="Z1026" s="697"/>
      <c r="AA1026" s="315"/>
      <c r="AB1026" s="314"/>
      <c r="AC1026" s="314"/>
      <c r="AD1026" s="324"/>
      <c r="AE1026" s="155"/>
      <c r="AF1026" s="155"/>
      <c r="AG1026" s="322"/>
      <c r="AH1026" s="132"/>
      <c r="AI1026" s="132"/>
    </row>
    <row r="1027">
      <c r="A1027" s="314"/>
      <c r="B1027" s="695"/>
      <c r="C1027" s="696"/>
      <c r="D1027" s="312"/>
      <c r="E1027" s="314"/>
      <c r="F1027" s="314"/>
      <c r="G1027" s="314"/>
      <c r="H1027" s="314"/>
      <c r="I1027" s="318"/>
      <c r="J1027" s="314"/>
      <c r="K1027" s="314"/>
      <c r="L1027" s="314"/>
      <c r="M1027" s="314"/>
      <c r="N1027" s="314"/>
      <c r="O1027" s="314"/>
      <c r="P1027" s="318"/>
      <c r="Q1027" s="314"/>
      <c r="R1027" s="316"/>
      <c r="S1027" s="314"/>
      <c r="T1027" s="314"/>
      <c r="U1027" s="314"/>
      <c r="V1027" s="314"/>
      <c r="W1027" s="318"/>
      <c r="X1027" s="314"/>
      <c r="Y1027" s="314"/>
      <c r="Z1027" s="697"/>
      <c r="AA1027" s="315"/>
      <c r="AB1027" s="314"/>
      <c r="AC1027" s="314"/>
      <c r="AD1027" s="324"/>
      <c r="AE1027" s="155"/>
      <c r="AF1027" s="155"/>
      <c r="AG1027" s="322"/>
      <c r="AH1027" s="132"/>
      <c r="AI1027" s="132"/>
    </row>
    <row r="1028">
      <c r="A1028" s="314"/>
      <c r="B1028" s="695"/>
      <c r="C1028" s="696"/>
      <c r="D1028" s="312"/>
      <c r="E1028" s="314"/>
      <c r="F1028" s="314"/>
      <c r="G1028" s="314"/>
      <c r="H1028" s="314"/>
      <c r="I1028" s="318"/>
      <c r="J1028" s="314"/>
      <c r="K1028" s="314"/>
      <c r="L1028" s="314"/>
      <c r="M1028" s="314"/>
      <c r="N1028" s="314"/>
      <c r="O1028" s="314"/>
      <c r="P1028" s="318"/>
      <c r="Q1028" s="314"/>
      <c r="R1028" s="316"/>
      <c r="S1028" s="314"/>
      <c r="T1028" s="314"/>
      <c r="U1028" s="314"/>
      <c r="V1028" s="314"/>
      <c r="W1028" s="318"/>
      <c r="X1028" s="314"/>
      <c r="Y1028" s="314"/>
      <c r="Z1028" s="697"/>
      <c r="AA1028" s="315"/>
      <c r="AB1028" s="314"/>
      <c r="AC1028" s="314"/>
      <c r="AD1028" s="324"/>
      <c r="AE1028" s="155"/>
      <c r="AF1028" s="155"/>
      <c r="AG1028" s="322"/>
      <c r="AH1028" s="132"/>
      <c r="AI1028" s="132"/>
    </row>
    <row r="1029">
      <c r="A1029" s="314"/>
      <c r="B1029" s="695"/>
      <c r="C1029" s="696"/>
      <c r="D1029" s="312"/>
      <c r="E1029" s="314"/>
      <c r="F1029" s="314"/>
      <c r="G1029" s="314"/>
      <c r="H1029" s="314"/>
      <c r="I1029" s="318"/>
      <c r="J1029" s="314"/>
      <c r="K1029" s="314"/>
      <c r="L1029" s="314"/>
      <c r="M1029" s="314"/>
      <c r="N1029" s="314"/>
      <c r="O1029" s="314"/>
      <c r="P1029" s="318"/>
      <c r="Q1029" s="314"/>
      <c r="R1029" s="316"/>
      <c r="S1029" s="314"/>
      <c r="T1029" s="314"/>
      <c r="U1029" s="314"/>
      <c r="V1029" s="314"/>
      <c r="W1029" s="318"/>
      <c r="X1029" s="314"/>
      <c r="Y1029" s="314"/>
      <c r="Z1029" s="697"/>
      <c r="AA1029" s="315"/>
      <c r="AB1029" s="314"/>
      <c r="AC1029" s="314"/>
      <c r="AD1029" s="324"/>
      <c r="AE1029" s="155"/>
      <c r="AF1029" s="155"/>
      <c r="AG1029" s="322"/>
      <c r="AH1029" s="132"/>
      <c r="AI1029" s="132"/>
    </row>
    <row r="1030">
      <c r="A1030" s="314"/>
      <c r="B1030" s="695"/>
      <c r="C1030" s="696"/>
      <c r="D1030" s="312"/>
      <c r="E1030" s="314"/>
      <c r="F1030" s="314"/>
      <c r="G1030" s="314"/>
      <c r="H1030" s="314"/>
      <c r="I1030" s="318"/>
      <c r="J1030" s="314"/>
      <c r="K1030" s="314"/>
      <c r="L1030" s="314"/>
      <c r="M1030" s="314"/>
      <c r="N1030" s="314"/>
      <c r="O1030" s="314"/>
      <c r="P1030" s="318"/>
      <c r="Q1030" s="314"/>
      <c r="R1030" s="316"/>
      <c r="S1030" s="314"/>
      <c r="T1030" s="314"/>
      <c r="U1030" s="314"/>
      <c r="V1030" s="314"/>
      <c r="W1030" s="318"/>
      <c r="X1030" s="314"/>
      <c r="Y1030" s="314"/>
      <c r="Z1030" s="697"/>
      <c r="AA1030" s="315"/>
      <c r="AB1030" s="314"/>
      <c r="AC1030" s="314"/>
      <c r="AD1030" s="324"/>
      <c r="AE1030" s="155"/>
      <c r="AF1030" s="155"/>
      <c r="AG1030" s="322"/>
      <c r="AH1030" s="132"/>
      <c r="AI1030" s="132"/>
    </row>
    <row r="1031">
      <c r="A1031" s="314"/>
      <c r="B1031" s="695"/>
      <c r="C1031" s="696"/>
      <c r="D1031" s="312"/>
      <c r="E1031" s="314"/>
      <c r="F1031" s="314"/>
      <c r="G1031" s="314"/>
      <c r="H1031" s="314"/>
      <c r="I1031" s="318"/>
      <c r="J1031" s="314"/>
      <c r="K1031" s="314"/>
      <c r="L1031" s="314"/>
      <c r="M1031" s="314"/>
      <c r="N1031" s="314"/>
      <c r="O1031" s="314"/>
      <c r="P1031" s="318"/>
      <c r="Q1031" s="314"/>
      <c r="R1031" s="316"/>
      <c r="S1031" s="314"/>
      <c r="T1031" s="314"/>
      <c r="U1031" s="314"/>
      <c r="V1031" s="314"/>
      <c r="W1031" s="318"/>
      <c r="X1031" s="314"/>
      <c r="Y1031" s="314"/>
      <c r="Z1031" s="697"/>
      <c r="AA1031" s="315"/>
      <c r="AB1031" s="314"/>
      <c r="AC1031" s="314"/>
      <c r="AD1031" s="324"/>
      <c r="AE1031" s="155"/>
      <c r="AF1031" s="155"/>
      <c r="AG1031" s="322"/>
      <c r="AH1031" s="132"/>
      <c r="AI1031" s="132"/>
    </row>
  </sheetData>
  <mergeCells count="94">
    <mergeCell ref="A298:AE298"/>
    <mergeCell ref="A299:AF299"/>
    <mergeCell ref="A302:AE302"/>
    <mergeCell ref="A303:AF303"/>
    <mergeCell ref="AD308:AE308"/>
    <mergeCell ref="A413:AE413"/>
    <mergeCell ref="A414:AF414"/>
    <mergeCell ref="A427:AE427"/>
    <mergeCell ref="A428:AF428"/>
    <mergeCell ref="A433:AE433"/>
    <mergeCell ref="A434:AF434"/>
    <mergeCell ref="A437:AE437"/>
    <mergeCell ref="A438:AF438"/>
    <mergeCell ref="AD443:AE443"/>
    <mergeCell ref="A548:AE548"/>
    <mergeCell ref="A549:AF549"/>
    <mergeCell ref="A562:AE562"/>
    <mergeCell ref="A563:AF563"/>
    <mergeCell ref="A568:AE568"/>
    <mergeCell ref="A569:AF569"/>
    <mergeCell ref="A572:AE572"/>
    <mergeCell ref="A573:AF573"/>
    <mergeCell ref="AD578:AE578"/>
    <mergeCell ref="AD593:AE593"/>
    <mergeCell ref="A698:AE698"/>
    <mergeCell ref="A699:AF699"/>
    <mergeCell ref="A712:AE712"/>
    <mergeCell ref="A713:AF713"/>
    <mergeCell ref="A718:AE718"/>
    <mergeCell ref="A719:AF719"/>
    <mergeCell ref="A722:AE722"/>
    <mergeCell ref="A723:AF723"/>
    <mergeCell ref="AD728:AE728"/>
    <mergeCell ref="A833:AE833"/>
    <mergeCell ref="A834:AF834"/>
    <mergeCell ref="A847:AE847"/>
    <mergeCell ref="A848:AF848"/>
    <mergeCell ref="A853:AE853"/>
    <mergeCell ref="A854:AF854"/>
    <mergeCell ref="A857:AE857"/>
    <mergeCell ref="A858:AF858"/>
    <mergeCell ref="AD863:AE863"/>
    <mergeCell ref="AH1:AI1"/>
    <mergeCell ref="A2:AF2"/>
    <mergeCell ref="AH3:AH5"/>
    <mergeCell ref="AI3:AI5"/>
    <mergeCell ref="AH12:AI12"/>
    <mergeCell ref="AH13:AI13"/>
    <mergeCell ref="A44:AE44"/>
    <mergeCell ref="A45:AF45"/>
    <mergeCell ref="A58:AE58"/>
    <mergeCell ref="A59:AF59"/>
    <mergeCell ref="A64:AE64"/>
    <mergeCell ref="A65:AF65"/>
    <mergeCell ref="A68:AE68"/>
    <mergeCell ref="A69:AF69"/>
    <mergeCell ref="A87:AE87"/>
    <mergeCell ref="A88:AF88"/>
    <mergeCell ref="A90:AE90"/>
    <mergeCell ref="A91:AF91"/>
    <mergeCell ref="A98:AE98"/>
    <mergeCell ref="A99:AF99"/>
    <mergeCell ref="A105:AE105"/>
    <mergeCell ref="A106:AF106"/>
    <mergeCell ref="A110:AE110"/>
    <mergeCell ref="A111:AF111"/>
    <mergeCell ref="A123:AE123"/>
    <mergeCell ref="A124:AF124"/>
    <mergeCell ref="A131:AE131"/>
    <mergeCell ref="A132:AF132"/>
    <mergeCell ref="A137:AE137"/>
    <mergeCell ref="A138:AF138"/>
    <mergeCell ref="A142:AE142"/>
    <mergeCell ref="A143:AF143"/>
    <mergeCell ref="A151:AE151"/>
    <mergeCell ref="A152:AF152"/>
    <mergeCell ref="A166:AE166"/>
    <mergeCell ref="A167:AF167"/>
    <mergeCell ref="A172:AE172"/>
    <mergeCell ref="AD173:AE173"/>
    <mergeCell ref="A278:AE278"/>
    <mergeCell ref="A279:AF279"/>
    <mergeCell ref="A292:AE292"/>
    <mergeCell ref="A293:AF293"/>
    <mergeCell ref="A993:AF993"/>
    <mergeCell ref="AD998:AE998"/>
    <mergeCell ref="AD1013:AE1013"/>
    <mergeCell ref="A968:AE968"/>
    <mergeCell ref="A969:AF969"/>
    <mergeCell ref="A982:AE982"/>
    <mergeCell ref="A983:AF983"/>
    <mergeCell ref="A988:AE988"/>
    <mergeCell ref="A989:AF989"/>
    <mergeCell ref="A992:AE99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75"/>
    <col customWidth="1" min="2" max="2" width="4.13"/>
    <col customWidth="1" min="3" max="3" width="3.38"/>
    <col customWidth="1" min="4" max="29" width="3.63"/>
    <col customWidth="1" min="30" max="30" width="10.63"/>
    <col customWidth="1" min="31" max="31" width="9.88"/>
    <col customWidth="1" min="32" max="32" width="18.63"/>
    <col customWidth="1" min="33" max="33" width="3.88"/>
    <col customWidth="1" min="34" max="34" width="11.5"/>
    <col customWidth="1" min="35" max="35" width="24.88"/>
  </cols>
  <sheetData>
    <row r="1" ht="50.25" customHeight="1">
      <c r="A1" s="1">
        <v>46083.0</v>
      </c>
      <c r="B1" s="3">
        <v>46083.0</v>
      </c>
      <c r="C1" s="3">
        <v>46084.0</v>
      </c>
      <c r="D1" s="8">
        <v>46085.0</v>
      </c>
      <c r="E1" s="8">
        <v>46086.0</v>
      </c>
      <c r="F1" s="8">
        <v>46087.0</v>
      </c>
      <c r="G1" s="10">
        <v>46088.0</v>
      </c>
      <c r="H1" s="6">
        <v>46089.0</v>
      </c>
      <c r="I1" s="10">
        <v>46090.0</v>
      </c>
      <c r="J1" s="10">
        <v>46091.0</v>
      </c>
      <c r="K1" s="10">
        <v>46092.0</v>
      </c>
      <c r="L1" s="10">
        <v>46093.0</v>
      </c>
      <c r="M1" s="10">
        <v>46094.0</v>
      </c>
      <c r="N1" s="10">
        <v>46095.0</v>
      </c>
      <c r="O1" s="6">
        <v>46096.0</v>
      </c>
      <c r="P1" s="10">
        <v>46097.0</v>
      </c>
      <c r="Q1" s="10">
        <v>46098.0</v>
      </c>
      <c r="R1" s="10">
        <v>46099.0</v>
      </c>
      <c r="S1" s="504">
        <v>46100.0</v>
      </c>
      <c r="T1" s="505">
        <v>46101.0</v>
      </c>
      <c r="U1" s="10">
        <v>46102.0</v>
      </c>
      <c r="V1" s="6">
        <v>46103.0</v>
      </c>
      <c r="W1" s="10">
        <v>46104.0</v>
      </c>
      <c r="X1" s="10">
        <v>46105.0</v>
      </c>
      <c r="Y1" s="10">
        <v>46106.0</v>
      </c>
      <c r="Z1" s="506">
        <v>46107.0</v>
      </c>
      <c r="AA1" s="506">
        <v>46108.0</v>
      </c>
      <c r="AB1" s="10">
        <v>46109.0</v>
      </c>
      <c r="AC1" s="9">
        <v>46110.0</v>
      </c>
      <c r="AD1" s="14" t="s">
        <v>0</v>
      </c>
      <c r="AE1" s="15" t="s">
        <v>1</v>
      </c>
      <c r="AF1" s="15" t="s">
        <v>2</v>
      </c>
      <c r="AG1" s="17"/>
      <c r="AH1" s="20" t="s">
        <v>3</v>
      </c>
      <c r="AI1" s="22"/>
    </row>
    <row r="2">
      <c r="A2" s="24" t="s">
        <v>4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8"/>
      <c r="AG2" s="17"/>
      <c r="AH2" s="29"/>
      <c r="AI2" s="31" t="s">
        <v>5</v>
      </c>
    </row>
    <row r="3">
      <c r="A3" s="33" t="s">
        <v>6</v>
      </c>
      <c r="B3" s="507"/>
      <c r="C3" s="508"/>
      <c r="D3" s="208"/>
      <c r="E3" s="509"/>
      <c r="F3" s="105"/>
      <c r="G3" s="54"/>
      <c r="H3" s="492"/>
      <c r="I3" s="49"/>
      <c r="J3" s="59">
        <v>8.0</v>
      </c>
      <c r="K3" s="493">
        <v>6.0</v>
      </c>
      <c r="L3" s="493">
        <v>1.0</v>
      </c>
      <c r="M3" s="59"/>
      <c r="N3" s="59"/>
      <c r="O3" s="510"/>
      <c r="P3" s="59">
        <v>1.0</v>
      </c>
      <c r="Q3" s="46"/>
      <c r="R3" s="59">
        <v>21.0</v>
      </c>
      <c r="S3" s="511"/>
      <c r="T3" s="512"/>
      <c r="U3" s="46"/>
      <c r="V3" s="510"/>
      <c r="W3" s="59">
        <v>10.0</v>
      </c>
      <c r="X3" s="59">
        <v>10.0</v>
      </c>
      <c r="Y3" s="59">
        <v>7.0</v>
      </c>
      <c r="Z3" s="513"/>
      <c r="AA3" s="513"/>
      <c r="AB3" s="59">
        <v>1.0</v>
      </c>
      <c r="AC3" s="63">
        <v>3.0</v>
      </c>
      <c r="AD3" s="62">
        <f t="shared" ref="AD3:AD43" si="1">SUM(B3:AC3)</f>
        <v>68</v>
      </c>
      <c r="AE3" s="65">
        <v>50.0</v>
      </c>
      <c r="AF3" s="68">
        <f t="shared" ref="AF3:AF43" si="2">AD3*AE3</f>
        <v>3400</v>
      </c>
      <c r="AG3" s="17"/>
      <c r="AH3" s="494"/>
      <c r="AI3" s="73" t="s">
        <v>303</v>
      </c>
    </row>
    <row r="4">
      <c r="A4" s="33" t="s">
        <v>10</v>
      </c>
      <c r="B4" s="514"/>
      <c r="C4" s="508"/>
      <c r="D4" s="208"/>
      <c r="E4" s="60"/>
      <c r="F4" s="208"/>
      <c r="G4" s="59">
        <v>1.0</v>
      </c>
      <c r="H4" s="192"/>
      <c r="I4" s="46"/>
      <c r="J4" s="54"/>
      <c r="K4" s="46"/>
      <c r="L4" s="46"/>
      <c r="M4" s="54"/>
      <c r="N4" s="59"/>
      <c r="O4" s="192"/>
      <c r="P4" s="59">
        <v>4.0</v>
      </c>
      <c r="Q4" s="46"/>
      <c r="R4" s="46"/>
      <c r="S4" s="511"/>
      <c r="T4" s="512"/>
      <c r="U4" s="46"/>
      <c r="V4" s="515"/>
      <c r="W4" s="46"/>
      <c r="X4" s="46"/>
      <c r="Y4" s="46"/>
      <c r="Z4" s="513"/>
      <c r="AA4" s="513"/>
      <c r="AB4" s="46"/>
      <c r="AC4" s="63">
        <f>SUM(B4:AB4)</f>
        <v>5</v>
      </c>
      <c r="AD4" s="62">
        <f t="shared" si="1"/>
        <v>10</v>
      </c>
      <c r="AE4" s="80">
        <v>18.0</v>
      </c>
      <c r="AF4" s="68">
        <f t="shared" si="2"/>
        <v>180</v>
      </c>
      <c r="AG4" s="17"/>
      <c r="AH4" s="81"/>
      <c r="AI4" s="81"/>
    </row>
    <row r="5">
      <c r="A5" s="33" t="s">
        <v>13</v>
      </c>
      <c r="B5" s="516"/>
      <c r="C5" s="516"/>
      <c r="D5" s="208"/>
      <c r="E5" s="60"/>
      <c r="F5" s="105"/>
      <c r="G5" s="59">
        <v>6.0</v>
      </c>
      <c r="H5" s="192"/>
      <c r="I5" s="493">
        <v>1.0</v>
      </c>
      <c r="J5" s="92"/>
      <c r="K5" s="493">
        <v>13.0</v>
      </c>
      <c r="L5" s="493">
        <v>1.0</v>
      </c>
      <c r="M5" s="59"/>
      <c r="N5" s="493">
        <v>2.0</v>
      </c>
      <c r="O5" s="510"/>
      <c r="P5" s="59">
        <v>3.0</v>
      </c>
      <c r="Q5" s="493">
        <v>1.0</v>
      </c>
      <c r="R5" s="59">
        <v>1.0</v>
      </c>
      <c r="S5" s="511"/>
      <c r="T5" s="517"/>
      <c r="U5" s="59">
        <v>3.0</v>
      </c>
      <c r="V5" s="510"/>
      <c r="W5" s="46"/>
      <c r="X5" s="59"/>
      <c r="Y5" s="59"/>
      <c r="Z5" s="513"/>
      <c r="AA5" s="513"/>
      <c r="AB5" s="59">
        <v>34.0</v>
      </c>
      <c r="AC5" s="63">
        <v>5.0</v>
      </c>
      <c r="AD5" s="62">
        <f t="shared" si="1"/>
        <v>70</v>
      </c>
      <c r="AE5" s="80">
        <v>200.0</v>
      </c>
      <c r="AF5" s="68">
        <f t="shared" si="2"/>
        <v>14000</v>
      </c>
      <c r="AG5" s="17"/>
      <c r="AH5" s="91"/>
      <c r="AI5" s="91"/>
    </row>
    <row r="6" ht="18.75" customHeight="1">
      <c r="A6" s="33" t="s">
        <v>16</v>
      </c>
      <c r="B6" s="516"/>
      <c r="C6" s="508"/>
      <c r="D6" s="208"/>
      <c r="E6" s="60"/>
      <c r="F6" s="208"/>
      <c r="G6" s="54"/>
      <c r="H6" s="192"/>
      <c r="I6" s="46"/>
      <c r="J6" s="59">
        <v>1.0</v>
      </c>
      <c r="K6" s="46"/>
      <c r="L6" s="59">
        <v>1.0</v>
      </c>
      <c r="M6" s="54"/>
      <c r="N6" s="54"/>
      <c r="O6" s="492"/>
      <c r="P6" s="49"/>
      <c r="Q6" s="46"/>
      <c r="R6" s="46"/>
      <c r="S6" s="518"/>
      <c r="T6" s="512"/>
      <c r="U6" s="59">
        <v>3.0</v>
      </c>
      <c r="V6" s="192"/>
      <c r="W6" s="46"/>
      <c r="X6" s="59">
        <v>3.0</v>
      </c>
      <c r="Y6" s="59"/>
      <c r="Z6" s="513"/>
      <c r="AA6" s="513"/>
      <c r="AB6" s="46"/>
      <c r="AC6" s="63">
        <v>1.0</v>
      </c>
      <c r="AD6" s="62">
        <f t="shared" si="1"/>
        <v>9</v>
      </c>
      <c r="AE6" s="80">
        <v>850.0</v>
      </c>
      <c r="AF6" s="68">
        <f t="shared" si="2"/>
        <v>7650</v>
      </c>
      <c r="AG6" s="17"/>
      <c r="AH6" s="97"/>
      <c r="AI6" s="98" t="s">
        <v>304</v>
      </c>
    </row>
    <row r="7">
      <c r="A7" s="33" t="s">
        <v>19</v>
      </c>
      <c r="B7" s="507"/>
      <c r="C7" s="516"/>
      <c r="D7" s="208"/>
      <c r="E7" s="509"/>
      <c r="F7" s="105"/>
      <c r="G7" s="493">
        <v>7.0</v>
      </c>
      <c r="H7" s="510"/>
      <c r="I7" s="493">
        <v>10.0</v>
      </c>
      <c r="J7" s="493">
        <v>19.0</v>
      </c>
      <c r="K7" s="493">
        <v>14.0</v>
      </c>
      <c r="L7" s="59">
        <v>17.0</v>
      </c>
      <c r="M7" s="59">
        <v>4.0</v>
      </c>
      <c r="N7" s="59">
        <v>11.0</v>
      </c>
      <c r="O7" s="515"/>
      <c r="P7" s="59">
        <v>6.0</v>
      </c>
      <c r="Q7" s="59">
        <v>13.0</v>
      </c>
      <c r="R7" s="59">
        <v>15.0</v>
      </c>
      <c r="S7" s="511"/>
      <c r="T7" s="517"/>
      <c r="U7" s="59">
        <v>8.0</v>
      </c>
      <c r="V7" s="510"/>
      <c r="W7" s="59">
        <v>5.0</v>
      </c>
      <c r="X7" s="59">
        <v>10.0</v>
      </c>
      <c r="Y7" s="59">
        <v>10.0</v>
      </c>
      <c r="Z7" s="513"/>
      <c r="AA7" s="513"/>
      <c r="AB7" s="59">
        <v>10.0</v>
      </c>
      <c r="AC7" s="63">
        <v>12.0</v>
      </c>
      <c r="AD7" s="62">
        <f t="shared" si="1"/>
        <v>171</v>
      </c>
      <c r="AE7" s="80">
        <v>180.0</v>
      </c>
      <c r="AF7" s="68">
        <f t="shared" si="2"/>
        <v>30780</v>
      </c>
      <c r="AG7" s="17"/>
      <c r="AH7" s="497"/>
      <c r="AI7" s="498" t="s">
        <v>305</v>
      </c>
    </row>
    <row r="8" ht="18.0" customHeight="1">
      <c r="A8" s="33" t="s">
        <v>23</v>
      </c>
      <c r="B8" s="516"/>
      <c r="C8" s="508"/>
      <c r="D8" s="208"/>
      <c r="E8" s="509"/>
      <c r="F8" s="105"/>
      <c r="G8" s="92"/>
      <c r="H8" s="192"/>
      <c r="I8" s="46"/>
      <c r="J8" s="54"/>
      <c r="K8" s="493">
        <v>1.0</v>
      </c>
      <c r="L8" s="46"/>
      <c r="M8" s="54"/>
      <c r="N8" s="493"/>
      <c r="O8" s="192"/>
      <c r="P8" s="49"/>
      <c r="Q8" s="49"/>
      <c r="R8" s="59">
        <v>1.0</v>
      </c>
      <c r="S8" s="518"/>
      <c r="T8" s="517"/>
      <c r="U8" s="46"/>
      <c r="V8" s="192"/>
      <c r="W8" s="46"/>
      <c r="X8" s="46"/>
      <c r="Y8" s="46"/>
      <c r="Z8" s="513"/>
      <c r="AA8" s="513"/>
      <c r="AB8" s="46"/>
      <c r="AC8" s="88"/>
      <c r="AD8" s="62">
        <f t="shared" si="1"/>
        <v>2</v>
      </c>
      <c r="AE8" s="80">
        <v>120.0</v>
      </c>
      <c r="AF8" s="68">
        <f t="shared" si="2"/>
        <v>240</v>
      </c>
      <c r="AG8" s="17"/>
      <c r="AH8" s="519"/>
      <c r="AI8" s="520" t="s">
        <v>306</v>
      </c>
    </row>
    <row r="9">
      <c r="A9" s="33" t="s">
        <v>27</v>
      </c>
      <c r="B9" s="507"/>
      <c r="C9" s="508"/>
      <c r="D9" s="208"/>
      <c r="E9" s="60"/>
      <c r="F9" s="105"/>
      <c r="G9" s="92"/>
      <c r="H9" s="510"/>
      <c r="I9" s="493">
        <v>2.0</v>
      </c>
      <c r="J9" s="54"/>
      <c r="K9" s="493">
        <v>2.0</v>
      </c>
      <c r="L9" s="46"/>
      <c r="M9" s="54"/>
      <c r="N9" s="493">
        <v>2.0</v>
      </c>
      <c r="O9" s="192"/>
      <c r="P9" s="46"/>
      <c r="Q9" s="59">
        <v>1.0</v>
      </c>
      <c r="R9" s="46"/>
      <c r="S9" s="518"/>
      <c r="T9" s="512"/>
      <c r="U9" s="59">
        <v>2.0</v>
      </c>
      <c r="V9" s="492"/>
      <c r="W9" s="46"/>
      <c r="X9" s="59">
        <v>10.0</v>
      </c>
      <c r="Y9" s="59">
        <v>2.0</v>
      </c>
      <c r="Z9" s="513"/>
      <c r="AA9" s="513"/>
      <c r="AB9" s="59">
        <v>2.0</v>
      </c>
      <c r="AC9" s="88"/>
      <c r="AD9" s="62">
        <f t="shared" si="1"/>
        <v>23</v>
      </c>
      <c r="AE9" s="80">
        <v>160.0</v>
      </c>
      <c r="AF9" s="68">
        <f t="shared" si="2"/>
        <v>3680</v>
      </c>
      <c r="AG9" s="17"/>
      <c r="AH9" s="103"/>
      <c r="AI9" s="522" t="s">
        <v>307</v>
      </c>
    </row>
    <row r="10">
      <c r="A10" s="33" t="s">
        <v>32</v>
      </c>
      <c r="B10" s="507"/>
      <c r="C10" s="516"/>
      <c r="D10" s="208"/>
      <c r="E10" s="60"/>
      <c r="F10" s="105"/>
      <c r="G10" s="59"/>
      <c r="H10" s="515"/>
      <c r="I10" s="49"/>
      <c r="J10" s="493">
        <v>23.0</v>
      </c>
      <c r="K10" s="493"/>
      <c r="L10" s="493">
        <v>4.0</v>
      </c>
      <c r="M10" s="59">
        <v>32.0</v>
      </c>
      <c r="N10" s="493">
        <v>1.0</v>
      </c>
      <c r="O10" s="510"/>
      <c r="P10" s="49"/>
      <c r="Q10" s="493">
        <v>7.0</v>
      </c>
      <c r="R10" s="59">
        <v>32.0</v>
      </c>
      <c r="S10" s="511"/>
      <c r="T10" s="517"/>
      <c r="U10" s="46"/>
      <c r="V10" s="492"/>
      <c r="W10" s="59">
        <v>2.0</v>
      </c>
      <c r="X10" s="59"/>
      <c r="Y10" s="59">
        <v>3.0</v>
      </c>
      <c r="Z10" s="513"/>
      <c r="AA10" s="513"/>
      <c r="AB10" s="59">
        <v>5.0</v>
      </c>
      <c r="AC10" s="63"/>
      <c r="AD10" s="62">
        <f t="shared" si="1"/>
        <v>109</v>
      </c>
      <c r="AE10" s="80">
        <v>350.0</v>
      </c>
      <c r="AF10" s="68">
        <f t="shared" si="2"/>
        <v>38150</v>
      </c>
      <c r="AG10" s="17"/>
      <c r="AH10" s="524"/>
      <c r="AI10" s="525"/>
    </row>
    <row r="11">
      <c r="A11" s="33" t="s">
        <v>34</v>
      </c>
      <c r="B11" s="514"/>
      <c r="C11" s="508"/>
      <c r="D11" s="208"/>
      <c r="E11" s="60"/>
      <c r="F11" s="208"/>
      <c r="G11" s="54"/>
      <c r="H11" s="192"/>
      <c r="I11" s="46"/>
      <c r="J11" s="54"/>
      <c r="K11" s="49"/>
      <c r="L11" s="49"/>
      <c r="M11" s="54"/>
      <c r="N11" s="54"/>
      <c r="O11" s="192"/>
      <c r="P11" s="46"/>
      <c r="Q11" s="46"/>
      <c r="R11" s="46"/>
      <c r="S11" s="518"/>
      <c r="T11" s="512"/>
      <c r="U11" s="46"/>
      <c r="V11" s="192"/>
      <c r="W11" s="46"/>
      <c r="X11" s="46"/>
      <c r="Y11" s="46"/>
      <c r="Z11" s="513"/>
      <c r="AA11" s="513"/>
      <c r="AB11" s="46"/>
      <c r="AC11" s="88"/>
      <c r="AD11" s="62">
        <f t="shared" si="1"/>
        <v>0</v>
      </c>
      <c r="AE11" s="80">
        <v>350.0</v>
      </c>
      <c r="AF11" s="68">
        <f t="shared" si="2"/>
        <v>0</v>
      </c>
      <c r="AG11" s="17"/>
      <c r="AH11" s="117" t="s">
        <v>35</v>
      </c>
      <c r="AI11" s="22"/>
    </row>
    <row r="12">
      <c r="A12" s="33" t="s">
        <v>36</v>
      </c>
      <c r="B12" s="528"/>
      <c r="C12" s="508"/>
      <c r="D12" s="208"/>
      <c r="E12" s="60"/>
      <c r="F12" s="105"/>
      <c r="G12" s="54"/>
      <c r="H12" s="192"/>
      <c r="I12" s="46"/>
      <c r="J12" s="54"/>
      <c r="K12" s="59"/>
      <c r="L12" s="493"/>
      <c r="M12" s="59"/>
      <c r="N12" s="54"/>
      <c r="O12" s="515"/>
      <c r="P12" s="49"/>
      <c r="Q12" s="46"/>
      <c r="R12" s="59">
        <v>1.0</v>
      </c>
      <c r="S12" s="518"/>
      <c r="T12" s="512"/>
      <c r="U12" s="59"/>
      <c r="V12" s="192"/>
      <c r="W12" s="46"/>
      <c r="X12" s="46"/>
      <c r="Y12" s="59"/>
      <c r="Z12" s="513"/>
      <c r="AA12" s="513"/>
      <c r="AB12" s="46"/>
      <c r="AC12" s="63">
        <v>1.0</v>
      </c>
      <c r="AD12" s="62">
        <f t="shared" si="1"/>
        <v>2</v>
      </c>
      <c r="AE12" s="80">
        <v>1200.0</v>
      </c>
      <c r="AF12" s="68">
        <f t="shared" si="2"/>
        <v>2400</v>
      </c>
      <c r="AG12" s="17"/>
      <c r="AH12" s="120" t="s">
        <v>308</v>
      </c>
      <c r="AI12" s="22"/>
    </row>
    <row r="13">
      <c r="A13" s="33" t="s">
        <v>39</v>
      </c>
      <c r="B13" s="514"/>
      <c r="C13" s="508"/>
      <c r="D13" s="208"/>
      <c r="E13" s="60"/>
      <c r="F13" s="208"/>
      <c r="G13" s="54"/>
      <c r="H13" s="192"/>
      <c r="I13" s="46"/>
      <c r="J13" s="54"/>
      <c r="K13" s="49"/>
      <c r="L13" s="59">
        <v>50.0</v>
      </c>
      <c r="M13" s="54"/>
      <c r="N13" s="54"/>
      <c r="O13" s="192"/>
      <c r="P13" s="46"/>
      <c r="Q13" s="46"/>
      <c r="R13" s="46"/>
      <c r="S13" s="511"/>
      <c r="T13" s="512"/>
      <c r="U13" s="46"/>
      <c r="V13" s="192"/>
      <c r="W13" s="46"/>
      <c r="X13" s="59">
        <v>3.0</v>
      </c>
      <c r="Y13" s="59">
        <v>1.0</v>
      </c>
      <c r="Z13" s="513"/>
      <c r="AA13" s="513"/>
      <c r="AB13" s="59">
        <v>2.0</v>
      </c>
      <c r="AC13" s="63">
        <v>1.0</v>
      </c>
      <c r="AD13" s="62">
        <f t="shared" si="1"/>
        <v>57</v>
      </c>
      <c r="AE13" s="80">
        <v>490.0</v>
      </c>
      <c r="AF13" s="68">
        <f t="shared" si="2"/>
        <v>27930</v>
      </c>
      <c r="AG13" s="17"/>
      <c r="AH13" s="113"/>
      <c r="AI13" s="113"/>
    </row>
    <row r="14">
      <c r="A14" s="33" t="s">
        <v>44</v>
      </c>
      <c r="B14" s="528"/>
      <c r="C14" s="508"/>
      <c r="D14" s="208"/>
      <c r="E14" s="60"/>
      <c r="F14" s="208"/>
      <c r="G14" s="92"/>
      <c r="H14" s="510"/>
      <c r="I14" s="49"/>
      <c r="J14" s="59"/>
      <c r="K14" s="46"/>
      <c r="L14" s="59"/>
      <c r="M14" s="59">
        <v>1.0</v>
      </c>
      <c r="N14" s="54"/>
      <c r="O14" s="492"/>
      <c r="P14" s="49"/>
      <c r="Q14" s="46"/>
      <c r="R14" s="46"/>
      <c r="S14" s="511"/>
      <c r="T14" s="512"/>
      <c r="U14" s="46"/>
      <c r="V14" s="492"/>
      <c r="W14" s="59">
        <v>3.0</v>
      </c>
      <c r="X14" s="46"/>
      <c r="Y14" s="59">
        <v>3.0</v>
      </c>
      <c r="Z14" s="513"/>
      <c r="AA14" s="513"/>
      <c r="AB14" s="59">
        <v>5.0</v>
      </c>
      <c r="AC14" s="63">
        <v>1.0</v>
      </c>
      <c r="AD14" s="62">
        <f t="shared" si="1"/>
        <v>13</v>
      </c>
      <c r="AE14" s="80">
        <v>130.0</v>
      </c>
      <c r="AF14" s="68">
        <f t="shared" si="2"/>
        <v>1690</v>
      </c>
      <c r="AG14" s="17"/>
      <c r="AH14" s="132"/>
      <c r="AI14" s="132"/>
    </row>
    <row r="15">
      <c r="A15" s="33" t="s">
        <v>47</v>
      </c>
      <c r="B15" s="514"/>
      <c r="C15" s="508"/>
      <c r="D15" s="208"/>
      <c r="E15" s="60"/>
      <c r="F15" s="208"/>
      <c r="G15" s="54"/>
      <c r="H15" s="492"/>
      <c r="I15" s="49"/>
      <c r="J15" s="59"/>
      <c r="K15" s="49"/>
      <c r="L15" s="49"/>
      <c r="M15" s="54"/>
      <c r="N15" s="54"/>
      <c r="O15" s="192"/>
      <c r="P15" s="46"/>
      <c r="Q15" s="46"/>
      <c r="R15" s="46"/>
      <c r="S15" s="518"/>
      <c r="T15" s="512"/>
      <c r="U15" s="46"/>
      <c r="V15" s="192"/>
      <c r="W15" s="46"/>
      <c r="X15" s="46"/>
      <c r="Y15" s="46"/>
      <c r="Z15" s="513"/>
      <c r="AA15" s="513"/>
      <c r="AB15" s="59"/>
      <c r="AC15" s="88"/>
      <c r="AD15" s="62">
        <f t="shared" si="1"/>
        <v>0</v>
      </c>
      <c r="AE15" s="80">
        <v>60.0</v>
      </c>
      <c r="AF15" s="68">
        <f t="shared" si="2"/>
        <v>0</v>
      </c>
      <c r="AG15" s="17"/>
      <c r="AH15" s="132"/>
      <c r="AI15" s="132"/>
    </row>
    <row r="16">
      <c r="A16" s="33" t="s">
        <v>50</v>
      </c>
      <c r="B16" s="528"/>
      <c r="C16" s="508"/>
      <c r="D16" s="208"/>
      <c r="E16" s="60"/>
      <c r="F16" s="208"/>
      <c r="G16" s="54"/>
      <c r="H16" s="515"/>
      <c r="I16" s="46"/>
      <c r="J16" s="59"/>
      <c r="K16" s="46"/>
      <c r="L16" s="49"/>
      <c r="M16" s="54"/>
      <c r="N16" s="59">
        <v>2.0</v>
      </c>
      <c r="O16" s="192"/>
      <c r="P16" s="46"/>
      <c r="Q16" s="46"/>
      <c r="R16" s="59"/>
      <c r="S16" s="518"/>
      <c r="T16" s="512"/>
      <c r="U16" s="46"/>
      <c r="V16" s="192"/>
      <c r="W16" s="46"/>
      <c r="X16" s="46"/>
      <c r="Y16" s="59">
        <v>2.0</v>
      </c>
      <c r="Z16" s="513"/>
      <c r="AA16" s="513"/>
      <c r="AB16" s="59"/>
      <c r="AC16" s="63"/>
      <c r="AD16" s="62">
        <f t="shared" si="1"/>
        <v>4</v>
      </c>
      <c r="AE16" s="80">
        <v>75.0</v>
      </c>
      <c r="AF16" s="68">
        <f t="shared" si="2"/>
        <v>300</v>
      </c>
      <c r="AG16" s="17"/>
      <c r="AH16" s="132"/>
      <c r="AI16" s="132"/>
    </row>
    <row r="17">
      <c r="A17" s="33" t="s">
        <v>61</v>
      </c>
      <c r="B17" s="528"/>
      <c r="C17" s="508"/>
      <c r="D17" s="208"/>
      <c r="E17" s="60"/>
      <c r="F17" s="105"/>
      <c r="G17" s="493">
        <v>2.0</v>
      </c>
      <c r="H17" s="515"/>
      <c r="I17" s="493">
        <v>2.0</v>
      </c>
      <c r="J17" s="493">
        <v>3.0</v>
      </c>
      <c r="K17" s="493">
        <v>1.0</v>
      </c>
      <c r="L17" s="493">
        <v>3.0</v>
      </c>
      <c r="M17" s="59">
        <v>1.0</v>
      </c>
      <c r="N17" s="493"/>
      <c r="O17" s="510"/>
      <c r="P17" s="493">
        <v>1.0</v>
      </c>
      <c r="Q17" s="493">
        <v>7.0</v>
      </c>
      <c r="R17" s="59"/>
      <c r="S17" s="511"/>
      <c r="T17" s="517"/>
      <c r="U17" s="59">
        <v>1.0</v>
      </c>
      <c r="V17" s="492"/>
      <c r="W17" s="59">
        <v>3.0</v>
      </c>
      <c r="X17" s="59">
        <v>2.0</v>
      </c>
      <c r="Y17" s="59"/>
      <c r="Z17" s="513"/>
      <c r="AA17" s="513"/>
      <c r="AB17" s="59"/>
      <c r="AC17" s="63"/>
      <c r="AD17" s="62">
        <f t="shared" si="1"/>
        <v>26</v>
      </c>
      <c r="AE17" s="80">
        <v>350.0</v>
      </c>
      <c r="AF17" s="68">
        <f t="shared" si="2"/>
        <v>9100</v>
      </c>
      <c r="AG17" s="17"/>
      <c r="AH17" s="132"/>
      <c r="AI17" s="132"/>
    </row>
    <row r="18">
      <c r="A18" s="33" t="s">
        <v>55</v>
      </c>
      <c r="B18" s="528"/>
      <c r="C18" s="508"/>
      <c r="D18" s="208"/>
      <c r="E18" s="60"/>
      <c r="F18" s="208"/>
      <c r="G18" s="59"/>
      <c r="H18" s="192"/>
      <c r="I18" s="46"/>
      <c r="J18" s="54"/>
      <c r="K18" s="46"/>
      <c r="L18" s="59">
        <v>2.0</v>
      </c>
      <c r="M18" s="59">
        <v>5.0</v>
      </c>
      <c r="N18" s="59">
        <v>1.0</v>
      </c>
      <c r="O18" s="515"/>
      <c r="P18" s="46"/>
      <c r="Q18" s="493"/>
      <c r="R18" s="59"/>
      <c r="S18" s="518"/>
      <c r="T18" s="512"/>
      <c r="U18" s="46"/>
      <c r="V18" s="492"/>
      <c r="W18" s="59">
        <v>1.0</v>
      </c>
      <c r="X18" s="46"/>
      <c r="Y18" s="46"/>
      <c r="Z18" s="513"/>
      <c r="AA18" s="513"/>
      <c r="AB18" s="46"/>
      <c r="AC18" s="88"/>
      <c r="AD18" s="62">
        <f t="shared" si="1"/>
        <v>9</v>
      </c>
      <c r="AE18" s="80">
        <v>250.0</v>
      </c>
      <c r="AF18" s="68">
        <f t="shared" si="2"/>
        <v>2250</v>
      </c>
      <c r="AG18" s="17"/>
      <c r="AH18" s="132"/>
      <c r="AI18" s="132"/>
    </row>
    <row r="19">
      <c r="A19" s="33" t="s">
        <v>57</v>
      </c>
      <c r="B19" s="528"/>
      <c r="C19" s="516"/>
      <c r="D19" s="208"/>
      <c r="E19" s="60"/>
      <c r="F19" s="105"/>
      <c r="G19" s="493">
        <v>3.0</v>
      </c>
      <c r="H19" s="492"/>
      <c r="I19" s="59">
        <v>2.0</v>
      </c>
      <c r="J19" s="493">
        <v>4.0</v>
      </c>
      <c r="K19" s="493"/>
      <c r="L19" s="59"/>
      <c r="M19" s="59">
        <v>4.0</v>
      </c>
      <c r="N19" s="493"/>
      <c r="O19" s="192"/>
      <c r="P19" s="49"/>
      <c r="Q19" s="59">
        <v>1.0</v>
      </c>
      <c r="R19" s="59"/>
      <c r="S19" s="511"/>
      <c r="T19" s="517"/>
      <c r="U19" s="59">
        <v>1.0</v>
      </c>
      <c r="V19" s="515"/>
      <c r="W19" s="46"/>
      <c r="X19" s="59">
        <v>1.0</v>
      </c>
      <c r="Y19" s="59">
        <v>7.0</v>
      </c>
      <c r="Z19" s="513"/>
      <c r="AA19" s="513"/>
      <c r="AB19" s="59">
        <v>2.0</v>
      </c>
      <c r="AC19" s="63">
        <v>1.0</v>
      </c>
      <c r="AD19" s="62">
        <f t="shared" si="1"/>
        <v>26</v>
      </c>
      <c r="AE19" s="80">
        <v>750.0</v>
      </c>
      <c r="AF19" s="68">
        <f t="shared" si="2"/>
        <v>19500</v>
      </c>
      <c r="AG19" s="17"/>
      <c r="AH19" s="132"/>
      <c r="AI19" s="132"/>
    </row>
    <row r="20">
      <c r="A20" s="33" t="s">
        <v>60</v>
      </c>
      <c r="B20" s="516"/>
      <c r="C20" s="508"/>
      <c r="D20" s="208"/>
      <c r="E20" s="60"/>
      <c r="F20" s="208"/>
      <c r="G20" s="92"/>
      <c r="H20" s="192"/>
      <c r="I20" s="49"/>
      <c r="J20" s="54"/>
      <c r="K20" s="46"/>
      <c r="L20" s="46"/>
      <c r="M20" s="54"/>
      <c r="N20" s="54"/>
      <c r="O20" s="192"/>
      <c r="P20" s="46"/>
      <c r="Q20" s="46"/>
      <c r="R20" s="46"/>
      <c r="S20" s="518"/>
      <c r="T20" s="512"/>
      <c r="U20" s="46"/>
      <c r="V20" s="192"/>
      <c r="W20" s="46"/>
      <c r="X20" s="46"/>
      <c r="Y20" s="46"/>
      <c r="Z20" s="513"/>
      <c r="AA20" s="513"/>
      <c r="AB20" s="46"/>
      <c r="AC20" s="88"/>
      <c r="AD20" s="62">
        <f t="shared" si="1"/>
        <v>0</v>
      </c>
      <c r="AE20" s="80">
        <v>850.0</v>
      </c>
      <c r="AF20" s="68">
        <f t="shared" si="2"/>
        <v>0</v>
      </c>
      <c r="AG20" s="17"/>
      <c r="AH20" s="132"/>
      <c r="AI20" s="132"/>
    </row>
    <row r="21">
      <c r="A21" s="142" t="s">
        <v>63</v>
      </c>
      <c r="B21" s="516"/>
      <c r="C21" s="508"/>
      <c r="D21" s="208"/>
      <c r="E21" s="509"/>
      <c r="F21" s="105"/>
      <c r="G21" s="493">
        <v>2.0</v>
      </c>
      <c r="H21" s="510"/>
      <c r="I21" s="493">
        <v>3.0</v>
      </c>
      <c r="J21" s="493">
        <v>6.0</v>
      </c>
      <c r="K21" s="493">
        <v>7.0</v>
      </c>
      <c r="L21" s="493">
        <v>1.0</v>
      </c>
      <c r="M21" s="59">
        <v>1.0</v>
      </c>
      <c r="N21" s="493">
        <v>4.0</v>
      </c>
      <c r="O21" s="510"/>
      <c r="P21" s="49"/>
      <c r="Q21" s="493"/>
      <c r="R21" s="59">
        <v>3.0</v>
      </c>
      <c r="S21" s="511"/>
      <c r="T21" s="512"/>
      <c r="U21" s="59">
        <v>3.0</v>
      </c>
      <c r="V21" s="510"/>
      <c r="W21" s="46"/>
      <c r="X21" s="59">
        <v>3.0</v>
      </c>
      <c r="Y21" s="59">
        <v>7.0</v>
      </c>
      <c r="Z21" s="513"/>
      <c r="AA21" s="513"/>
      <c r="AB21" s="59">
        <v>2.0</v>
      </c>
      <c r="AC21" s="63">
        <v>4.0</v>
      </c>
      <c r="AD21" s="62">
        <f t="shared" si="1"/>
        <v>46</v>
      </c>
      <c r="AE21" s="80">
        <v>25.0</v>
      </c>
      <c r="AF21" s="68">
        <f t="shared" si="2"/>
        <v>1150</v>
      </c>
      <c r="AG21" s="17"/>
      <c r="AH21" s="132"/>
      <c r="AI21" s="132"/>
    </row>
    <row r="22">
      <c r="A22" s="142" t="s">
        <v>66</v>
      </c>
      <c r="B22" s="514"/>
      <c r="C22" s="516"/>
      <c r="D22" s="208"/>
      <c r="E22" s="509"/>
      <c r="F22" s="105"/>
      <c r="G22" s="493">
        <v>6.0</v>
      </c>
      <c r="H22" s="510"/>
      <c r="I22" s="493">
        <v>3.0</v>
      </c>
      <c r="J22" s="493">
        <v>3.0</v>
      </c>
      <c r="K22" s="493">
        <v>1.0</v>
      </c>
      <c r="L22" s="493">
        <v>3.0</v>
      </c>
      <c r="M22" s="59">
        <v>1.0</v>
      </c>
      <c r="N22" s="493">
        <v>9.0</v>
      </c>
      <c r="O22" s="510"/>
      <c r="P22" s="49"/>
      <c r="Q22" s="493">
        <v>1.0</v>
      </c>
      <c r="R22" s="59"/>
      <c r="S22" s="518"/>
      <c r="T22" s="512"/>
      <c r="U22" s="59">
        <v>2.0</v>
      </c>
      <c r="V22" s="510"/>
      <c r="W22" s="46"/>
      <c r="X22" s="59"/>
      <c r="Y22" s="59">
        <v>7.0</v>
      </c>
      <c r="Z22" s="513"/>
      <c r="AA22" s="513"/>
      <c r="AB22" s="59">
        <v>4.0</v>
      </c>
      <c r="AC22" s="63">
        <v>7.0</v>
      </c>
      <c r="AD22" s="62">
        <f t="shared" si="1"/>
        <v>47</v>
      </c>
      <c r="AE22" s="80">
        <v>30.0</v>
      </c>
      <c r="AF22" s="68">
        <f t="shared" si="2"/>
        <v>1410</v>
      </c>
      <c r="AG22" s="17"/>
      <c r="AH22" s="132"/>
      <c r="AI22" s="132"/>
    </row>
    <row r="23">
      <c r="A23" s="142" t="s">
        <v>68</v>
      </c>
      <c r="B23" s="516"/>
      <c r="C23" s="516"/>
      <c r="D23" s="208"/>
      <c r="E23" s="60"/>
      <c r="F23" s="105"/>
      <c r="G23" s="493">
        <v>2.0</v>
      </c>
      <c r="H23" s="510"/>
      <c r="I23" s="493">
        <v>2.0</v>
      </c>
      <c r="J23" s="493">
        <v>2.0</v>
      </c>
      <c r="K23" s="493">
        <v>1.0</v>
      </c>
      <c r="L23" s="59"/>
      <c r="M23" s="59"/>
      <c r="N23" s="59">
        <v>3.0</v>
      </c>
      <c r="O23" s="510"/>
      <c r="P23" s="49"/>
      <c r="Q23" s="493">
        <v>4.0</v>
      </c>
      <c r="R23" s="59"/>
      <c r="S23" s="518"/>
      <c r="T23" s="512"/>
      <c r="U23" s="59">
        <v>1.0</v>
      </c>
      <c r="V23" s="515"/>
      <c r="W23" s="46"/>
      <c r="X23" s="59"/>
      <c r="Y23" s="59">
        <v>6.0</v>
      </c>
      <c r="Z23" s="513"/>
      <c r="AA23" s="513"/>
      <c r="AB23" s="59">
        <v>6.0</v>
      </c>
      <c r="AC23" s="63"/>
      <c r="AD23" s="62">
        <f t="shared" si="1"/>
        <v>27</v>
      </c>
      <c r="AE23" s="80">
        <v>35.0</v>
      </c>
      <c r="AF23" s="68">
        <f t="shared" si="2"/>
        <v>945</v>
      </c>
      <c r="AG23" s="17"/>
      <c r="AH23" s="132"/>
      <c r="AI23" s="132"/>
    </row>
    <row r="24">
      <c r="A24" s="142" t="s">
        <v>70</v>
      </c>
      <c r="B24" s="514"/>
      <c r="C24" s="508"/>
      <c r="D24" s="208"/>
      <c r="E24" s="60"/>
      <c r="F24" s="208"/>
      <c r="G24" s="54"/>
      <c r="H24" s="192"/>
      <c r="I24" s="46"/>
      <c r="J24" s="54"/>
      <c r="K24" s="46"/>
      <c r="L24" s="46"/>
      <c r="M24" s="54"/>
      <c r="N24" s="54"/>
      <c r="O24" s="192"/>
      <c r="P24" s="46"/>
      <c r="Q24" s="46"/>
      <c r="R24" s="46"/>
      <c r="S24" s="518"/>
      <c r="T24" s="512"/>
      <c r="U24" s="46"/>
      <c r="V24" s="192"/>
      <c r="W24" s="46"/>
      <c r="X24" s="46"/>
      <c r="Y24" s="46"/>
      <c r="Z24" s="513"/>
      <c r="AA24" s="513"/>
      <c r="AB24" s="46"/>
      <c r="AC24" s="88"/>
      <c r="AD24" s="62">
        <f t="shared" si="1"/>
        <v>0</v>
      </c>
      <c r="AE24" s="80">
        <v>130.0</v>
      </c>
      <c r="AF24" s="68">
        <f t="shared" si="2"/>
        <v>0</v>
      </c>
      <c r="AG24" s="17"/>
      <c r="AH24" s="132"/>
      <c r="AI24" s="132"/>
    </row>
    <row r="25">
      <c r="A25" s="142" t="s">
        <v>72</v>
      </c>
      <c r="B25" s="514"/>
      <c r="C25" s="516"/>
      <c r="D25" s="208"/>
      <c r="E25" s="60"/>
      <c r="F25" s="208"/>
      <c r="G25" s="493"/>
      <c r="H25" s="510"/>
      <c r="I25" s="493">
        <v>1.0</v>
      </c>
      <c r="J25" s="54"/>
      <c r="K25" s="59">
        <v>1.0</v>
      </c>
      <c r="L25" s="493"/>
      <c r="M25" s="59"/>
      <c r="N25" s="493">
        <v>2.0</v>
      </c>
      <c r="O25" s="515"/>
      <c r="P25" s="46"/>
      <c r="Q25" s="59">
        <v>5.0</v>
      </c>
      <c r="R25" s="59">
        <v>4.0</v>
      </c>
      <c r="S25" s="518"/>
      <c r="T25" s="512"/>
      <c r="U25" s="59">
        <v>1.0</v>
      </c>
      <c r="V25" s="510"/>
      <c r="W25" s="59">
        <v>1.0</v>
      </c>
      <c r="X25" s="46"/>
      <c r="Y25" s="59">
        <v>1.0</v>
      </c>
      <c r="Z25" s="513"/>
      <c r="AA25" s="513"/>
      <c r="AB25" s="59">
        <v>117.0</v>
      </c>
      <c r="AC25" s="63"/>
      <c r="AD25" s="62">
        <f t="shared" si="1"/>
        <v>133</v>
      </c>
      <c r="AE25" s="80">
        <v>50.0</v>
      </c>
      <c r="AF25" s="68">
        <f t="shared" si="2"/>
        <v>6650</v>
      </c>
      <c r="AG25" s="17"/>
      <c r="AH25" s="132"/>
      <c r="AI25" s="132"/>
    </row>
    <row r="26">
      <c r="A26" s="142" t="s">
        <v>74</v>
      </c>
      <c r="B26" s="514"/>
      <c r="C26" s="508"/>
      <c r="D26" s="208"/>
      <c r="E26" s="60"/>
      <c r="F26" s="208"/>
      <c r="G26" s="54"/>
      <c r="H26" s="192"/>
      <c r="I26" s="46"/>
      <c r="J26" s="54"/>
      <c r="K26" s="46"/>
      <c r="L26" s="46"/>
      <c r="M26" s="54"/>
      <c r="N26" s="54"/>
      <c r="O26" s="192"/>
      <c r="P26" s="46"/>
      <c r="Q26" s="46"/>
      <c r="R26" s="46"/>
      <c r="S26" s="518"/>
      <c r="T26" s="512"/>
      <c r="U26" s="46"/>
      <c r="V26" s="192"/>
      <c r="W26" s="46"/>
      <c r="X26" s="46"/>
      <c r="Y26" s="46"/>
      <c r="Z26" s="513"/>
      <c r="AA26" s="513"/>
      <c r="AB26" s="46"/>
      <c r="AC26" s="88"/>
      <c r="AD26" s="62">
        <f t="shared" si="1"/>
        <v>0</v>
      </c>
      <c r="AE26" s="80">
        <v>50.0</v>
      </c>
      <c r="AF26" s="68">
        <f t="shared" si="2"/>
        <v>0</v>
      </c>
      <c r="AG26" s="17"/>
      <c r="AH26" s="132"/>
      <c r="AI26" s="132"/>
    </row>
    <row r="27">
      <c r="A27" s="142" t="s">
        <v>75</v>
      </c>
      <c r="B27" s="528"/>
      <c r="C27" s="508"/>
      <c r="D27" s="208"/>
      <c r="E27" s="60"/>
      <c r="F27" s="208"/>
      <c r="G27" s="54"/>
      <c r="H27" s="192"/>
      <c r="I27" s="49"/>
      <c r="J27" s="54"/>
      <c r="K27" s="46"/>
      <c r="L27" s="46"/>
      <c r="M27" s="54"/>
      <c r="N27" s="54"/>
      <c r="O27" s="192"/>
      <c r="P27" s="46"/>
      <c r="Q27" s="46"/>
      <c r="R27" s="46"/>
      <c r="S27" s="518"/>
      <c r="T27" s="512"/>
      <c r="U27" s="46"/>
      <c r="V27" s="192"/>
      <c r="W27" s="46"/>
      <c r="X27" s="46"/>
      <c r="Y27" s="59"/>
      <c r="Z27" s="513"/>
      <c r="AA27" s="513"/>
      <c r="AB27" s="46"/>
      <c r="AC27" s="88"/>
      <c r="AD27" s="62">
        <f t="shared" si="1"/>
        <v>0</v>
      </c>
      <c r="AE27" s="80">
        <v>35.0</v>
      </c>
      <c r="AF27" s="68">
        <f t="shared" si="2"/>
        <v>0</v>
      </c>
      <c r="AG27" s="17"/>
      <c r="AH27" s="132"/>
      <c r="AI27" s="132"/>
    </row>
    <row r="28">
      <c r="A28" s="142" t="s">
        <v>77</v>
      </c>
      <c r="B28" s="528">
        <v>3.0</v>
      </c>
      <c r="C28" s="508"/>
      <c r="D28" s="208"/>
      <c r="E28" s="509"/>
      <c r="F28" s="105"/>
      <c r="G28" s="59"/>
      <c r="H28" s="192"/>
      <c r="I28" s="493">
        <v>1.0</v>
      </c>
      <c r="J28" s="59">
        <v>4.0</v>
      </c>
      <c r="K28" s="493">
        <v>1.0</v>
      </c>
      <c r="L28" s="49"/>
      <c r="M28" s="59">
        <v>1.0</v>
      </c>
      <c r="N28" s="59"/>
      <c r="O28" s="492"/>
      <c r="P28" s="46"/>
      <c r="Q28" s="46"/>
      <c r="R28" s="59"/>
      <c r="S28" s="518"/>
      <c r="T28" s="512"/>
      <c r="U28" s="46"/>
      <c r="V28" s="515"/>
      <c r="W28" s="59">
        <v>9.0</v>
      </c>
      <c r="X28" s="46"/>
      <c r="Y28" s="59">
        <v>1.0</v>
      </c>
      <c r="Z28" s="513"/>
      <c r="AA28" s="513"/>
      <c r="AB28" s="59">
        <v>1.0</v>
      </c>
      <c r="AC28" s="63"/>
      <c r="AD28" s="62">
        <f t="shared" si="1"/>
        <v>21</v>
      </c>
      <c r="AE28" s="80">
        <v>100.0</v>
      </c>
      <c r="AF28" s="68">
        <f t="shared" si="2"/>
        <v>2100</v>
      </c>
      <c r="AG28" s="17"/>
      <c r="AH28" s="132"/>
      <c r="AI28" s="132"/>
    </row>
    <row r="29">
      <c r="A29" s="142" t="s">
        <v>79</v>
      </c>
      <c r="B29" s="528"/>
      <c r="C29" s="508"/>
      <c r="D29" s="208"/>
      <c r="E29" s="60"/>
      <c r="F29" s="208"/>
      <c r="G29" s="54"/>
      <c r="H29" s="192"/>
      <c r="I29" s="46"/>
      <c r="J29" s="54"/>
      <c r="K29" s="46"/>
      <c r="L29" s="46"/>
      <c r="M29" s="54"/>
      <c r="N29" s="54"/>
      <c r="O29" s="192"/>
      <c r="P29" s="46"/>
      <c r="Q29" s="46"/>
      <c r="R29" s="46"/>
      <c r="S29" s="518"/>
      <c r="T29" s="512"/>
      <c r="U29" s="46"/>
      <c r="V29" s="192"/>
      <c r="W29" s="46"/>
      <c r="X29" s="46"/>
      <c r="Y29" s="46"/>
      <c r="Z29" s="513"/>
      <c r="AA29" s="513"/>
      <c r="AB29" s="46"/>
      <c r="AC29" s="88"/>
      <c r="AD29" s="62">
        <f t="shared" si="1"/>
        <v>0</v>
      </c>
      <c r="AE29" s="80">
        <v>20.0</v>
      </c>
      <c r="AF29" s="68">
        <f t="shared" si="2"/>
        <v>0</v>
      </c>
      <c r="AG29" s="17"/>
      <c r="AH29" s="132"/>
      <c r="AI29" s="132"/>
    </row>
    <row r="30">
      <c r="A30" s="142" t="s">
        <v>82</v>
      </c>
      <c r="B30" s="507">
        <v>3.0</v>
      </c>
      <c r="C30" s="516"/>
      <c r="D30" s="208"/>
      <c r="E30" s="509"/>
      <c r="F30" s="105"/>
      <c r="G30" s="493">
        <v>2.0</v>
      </c>
      <c r="H30" s="510"/>
      <c r="I30" s="59">
        <v>3.0</v>
      </c>
      <c r="J30" s="493">
        <v>1.0</v>
      </c>
      <c r="K30" s="493"/>
      <c r="L30" s="493">
        <v>3.0</v>
      </c>
      <c r="M30" s="59"/>
      <c r="N30" s="493"/>
      <c r="O30" s="510"/>
      <c r="P30" s="493">
        <v>1.0</v>
      </c>
      <c r="Q30" s="493">
        <v>2.0</v>
      </c>
      <c r="R30" s="59">
        <v>3.0</v>
      </c>
      <c r="S30" s="511"/>
      <c r="T30" s="517"/>
      <c r="U30" s="59">
        <v>1.0</v>
      </c>
      <c r="V30" s="510"/>
      <c r="W30" s="59">
        <v>1.0</v>
      </c>
      <c r="X30" s="59"/>
      <c r="Y30" s="59">
        <v>2.0</v>
      </c>
      <c r="Z30" s="513"/>
      <c r="AA30" s="513"/>
      <c r="AB30" s="59"/>
      <c r="AC30" s="63">
        <v>1.0</v>
      </c>
      <c r="AD30" s="62">
        <f t="shared" si="1"/>
        <v>23</v>
      </c>
      <c r="AE30" s="80">
        <v>40.0</v>
      </c>
      <c r="AF30" s="68">
        <f t="shared" si="2"/>
        <v>920</v>
      </c>
      <c r="AG30" s="17"/>
      <c r="AH30" s="132"/>
      <c r="AI30" s="132"/>
    </row>
    <row r="31">
      <c r="A31" s="33" t="s">
        <v>85</v>
      </c>
      <c r="B31" s="528">
        <v>5.0</v>
      </c>
      <c r="C31" s="516"/>
      <c r="D31" s="208"/>
      <c r="E31" s="509"/>
      <c r="F31" s="208"/>
      <c r="G31" s="92"/>
      <c r="H31" s="492"/>
      <c r="I31" s="49"/>
      <c r="J31" s="54"/>
      <c r="K31" s="46"/>
      <c r="L31" s="49"/>
      <c r="M31" s="59">
        <v>22.0</v>
      </c>
      <c r="N31" s="92"/>
      <c r="O31" s="492"/>
      <c r="P31" s="493">
        <v>1.0</v>
      </c>
      <c r="Q31" s="493">
        <v>2.0</v>
      </c>
      <c r="R31" s="59">
        <v>1.0</v>
      </c>
      <c r="S31" s="511"/>
      <c r="T31" s="517"/>
      <c r="U31" s="59"/>
      <c r="V31" s="515"/>
      <c r="W31" s="59">
        <v>2.0</v>
      </c>
      <c r="X31" s="59">
        <v>1.0</v>
      </c>
      <c r="Y31" s="59">
        <v>7.0</v>
      </c>
      <c r="Z31" s="513"/>
      <c r="AA31" s="513"/>
      <c r="AB31" s="59"/>
      <c r="AC31" s="63">
        <v>2.0</v>
      </c>
      <c r="AD31" s="62">
        <f t="shared" si="1"/>
        <v>43</v>
      </c>
      <c r="AE31" s="80">
        <v>80.0</v>
      </c>
      <c r="AF31" s="68">
        <f t="shared" si="2"/>
        <v>3440</v>
      </c>
      <c r="AG31" s="17"/>
      <c r="AH31" s="132"/>
      <c r="AI31" s="132"/>
    </row>
    <row r="32">
      <c r="A32" s="147" t="s">
        <v>87</v>
      </c>
      <c r="B32" s="507"/>
      <c r="C32" s="516"/>
      <c r="D32" s="208"/>
      <c r="E32" s="509"/>
      <c r="F32" s="208"/>
      <c r="G32" s="92"/>
      <c r="H32" s="492"/>
      <c r="I32" s="49"/>
      <c r="J32" s="92"/>
      <c r="K32" s="49"/>
      <c r="L32" s="49"/>
      <c r="M32" s="54"/>
      <c r="N32" s="92"/>
      <c r="O32" s="492"/>
      <c r="P32" s="49"/>
      <c r="Q32" s="493"/>
      <c r="R32" s="59"/>
      <c r="S32" s="518"/>
      <c r="T32" s="512"/>
      <c r="U32" s="46"/>
      <c r="V32" s="492"/>
      <c r="W32" s="46"/>
      <c r="X32" s="59"/>
      <c r="Y32" s="59"/>
      <c r="Z32" s="513"/>
      <c r="AA32" s="513"/>
      <c r="AB32" s="46"/>
      <c r="AC32" s="63"/>
      <c r="AD32" s="62">
        <f t="shared" si="1"/>
        <v>0</v>
      </c>
      <c r="AE32" s="80">
        <v>170.0</v>
      </c>
      <c r="AF32" s="68">
        <f t="shared" si="2"/>
        <v>0</v>
      </c>
      <c r="AG32" s="17"/>
      <c r="AH32" s="132"/>
      <c r="AI32" s="132"/>
    </row>
    <row r="33">
      <c r="A33" s="147" t="s">
        <v>89</v>
      </c>
      <c r="B33" s="514"/>
      <c r="C33" s="508"/>
      <c r="D33" s="208"/>
      <c r="E33" s="60"/>
      <c r="F33" s="208"/>
      <c r="G33" s="54"/>
      <c r="H33" s="192"/>
      <c r="I33" s="49"/>
      <c r="J33" s="54"/>
      <c r="K33" s="46"/>
      <c r="L33" s="46"/>
      <c r="M33" s="54"/>
      <c r="N33" s="54"/>
      <c r="O33" s="192"/>
      <c r="P33" s="46"/>
      <c r="Q33" s="46"/>
      <c r="R33" s="46"/>
      <c r="S33" s="518"/>
      <c r="T33" s="512"/>
      <c r="U33" s="46"/>
      <c r="V33" s="192"/>
      <c r="W33" s="46"/>
      <c r="X33" s="46"/>
      <c r="Y33" s="46"/>
      <c r="Z33" s="513"/>
      <c r="AA33" s="513"/>
      <c r="AB33" s="46"/>
      <c r="AC33" s="88"/>
      <c r="AD33" s="62">
        <f t="shared" si="1"/>
        <v>0</v>
      </c>
      <c r="AE33" s="80">
        <v>130.0</v>
      </c>
      <c r="AF33" s="68">
        <f t="shared" si="2"/>
        <v>0</v>
      </c>
      <c r="AG33" s="17"/>
      <c r="AH33" s="132"/>
      <c r="AI33" s="132"/>
    </row>
    <row r="34">
      <c r="A34" s="147" t="s">
        <v>90</v>
      </c>
      <c r="B34" s="514"/>
      <c r="C34" s="508"/>
      <c r="D34" s="208"/>
      <c r="E34" s="509"/>
      <c r="F34" s="105"/>
      <c r="G34" s="493"/>
      <c r="H34" s="515"/>
      <c r="I34" s="493">
        <v>2.0</v>
      </c>
      <c r="J34" s="59">
        <v>1.0</v>
      </c>
      <c r="K34" s="49"/>
      <c r="L34" s="46"/>
      <c r="M34" s="59"/>
      <c r="N34" s="59">
        <v>1.0</v>
      </c>
      <c r="O34" s="515"/>
      <c r="P34" s="46"/>
      <c r="Q34" s="493">
        <v>1.0</v>
      </c>
      <c r="R34" s="59">
        <v>1.0</v>
      </c>
      <c r="S34" s="518"/>
      <c r="T34" s="512"/>
      <c r="U34" s="46"/>
      <c r="V34" s="492"/>
      <c r="W34" s="46"/>
      <c r="X34" s="46"/>
      <c r="Y34" s="59">
        <v>1.0</v>
      </c>
      <c r="Z34" s="513"/>
      <c r="AA34" s="513"/>
      <c r="AB34" s="59"/>
      <c r="AC34" s="88"/>
      <c r="AD34" s="62">
        <f t="shared" si="1"/>
        <v>7</v>
      </c>
      <c r="AE34" s="80">
        <v>150.0</v>
      </c>
      <c r="AF34" s="68">
        <f t="shared" si="2"/>
        <v>1050</v>
      </c>
      <c r="AG34" s="17"/>
      <c r="AH34" s="132"/>
      <c r="AI34" s="132"/>
    </row>
    <row r="35">
      <c r="A35" s="147" t="s">
        <v>93</v>
      </c>
      <c r="B35" s="514"/>
      <c r="C35" s="516"/>
      <c r="D35" s="208"/>
      <c r="E35" s="509"/>
      <c r="F35" s="105"/>
      <c r="G35" s="92"/>
      <c r="H35" s="192"/>
      <c r="I35" s="493">
        <v>2.0</v>
      </c>
      <c r="J35" s="59">
        <v>1.0</v>
      </c>
      <c r="K35" s="46"/>
      <c r="L35" s="46"/>
      <c r="M35" s="54"/>
      <c r="N35" s="59"/>
      <c r="O35" s="192"/>
      <c r="P35" s="46"/>
      <c r="Q35" s="59">
        <v>1.0</v>
      </c>
      <c r="R35" s="46"/>
      <c r="S35" s="518"/>
      <c r="T35" s="512"/>
      <c r="U35" s="59">
        <v>5.0</v>
      </c>
      <c r="V35" s="192"/>
      <c r="W35" s="59">
        <v>9.0</v>
      </c>
      <c r="X35" s="46"/>
      <c r="Y35" s="59">
        <v>2.0</v>
      </c>
      <c r="Z35" s="513"/>
      <c r="AA35" s="513"/>
      <c r="AB35" s="46"/>
      <c r="AC35" s="88"/>
      <c r="AD35" s="62">
        <f t="shared" si="1"/>
        <v>20</v>
      </c>
      <c r="AE35" s="80">
        <v>180.0</v>
      </c>
      <c r="AF35" s="68">
        <f t="shared" si="2"/>
        <v>3600</v>
      </c>
      <c r="AG35" s="17"/>
      <c r="AH35" s="132"/>
      <c r="AI35" s="132"/>
    </row>
    <row r="36">
      <c r="A36" s="147" t="s">
        <v>94</v>
      </c>
      <c r="B36" s="514"/>
      <c r="C36" s="508"/>
      <c r="D36" s="208"/>
      <c r="E36" s="60"/>
      <c r="F36" s="208"/>
      <c r="G36" s="493"/>
      <c r="H36" s="515"/>
      <c r="I36" s="49"/>
      <c r="J36" s="59">
        <v>1.0</v>
      </c>
      <c r="K36" s="59">
        <v>1.0</v>
      </c>
      <c r="L36" s="46"/>
      <c r="M36" s="59">
        <v>4.0</v>
      </c>
      <c r="N36" s="54"/>
      <c r="O36" s="192"/>
      <c r="P36" s="46"/>
      <c r="Q36" s="59">
        <v>1.0</v>
      </c>
      <c r="R36" s="46"/>
      <c r="S36" s="511"/>
      <c r="T36" s="512"/>
      <c r="U36" s="46"/>
      <c r="V36" s="192"/>
      <c r="W36" s="46"/>
      <c r="X36" s="46"/>
      <c r="Y36" s="59">
        <v>2.0</v>
      </c>
      <c r="Z36" s="513"/>
      <c r="AA36" s="513"/>
      <c r="AB36" s="46"/>
      <c r="AC36" s="88"/>
      <c r="AD36" s="62">
        <f t="shared" si="1"/>
        <v>9</v>
      </c>
      <c r="AE36" s="80">
        <v>245.0</v>
      </c>
      <c r="AF36" s="68">
        <f t="shared" si="2"/>
        <v>2205</v>
      </c>
      <c r="AG36" s="17"/>
      <c r="AH36" s="132"/>
      <c r="AI36" s="132"/>
    </row>
    <row r="37">
      <c r="A37" s="142" t="s">
        <v>97</v>
      </c>
      <c r="B37" s="514"/>
      <c r="C37" s="508"/>
      <c r="D37" s="208"/>
      <c r="E37" s="60"/>
      <c r="F37" s="208"/>
      <c r="G37" s="54"/>
      <c r="H37" s="192"/>
      <c r="I37" s="46"/>
      <c r="J37" s="54"/>
      <c r="K37" s="46"/>
      <c r="L37" s="46"/>
      <c r="M37" s="54"/>
      <c r="N37" s="54"/>
      <c r="O37" s="192"/>
      <c r="P37" s="46"/>
      <c r="Q37" s="46"/>
      <c r="R37" s="46"/>
      <c r="S37" s="518"/>
      <c r="T37" s="512"/>
      <c r="U37" s="46"/>
      <c r="V37" s="192"/>
      <c r="W37" s="59">
        <v>9.0</v>
      </c>
      <c r="X37" s="59">
        <v>1.0</v>
      </c>
      <c r="Y37" s="59">
        <v>6.0</v>
      </c>
      <c r="Z37" s="513"/>
      <c r="AA37" s="513"/>
      <c r="AB37" s="59">
        <v>2.0</v>
      </c>
      <c r="AC37" s="88"/>
      <c r="AD37" s="62">
        <f t="shared" si="1"/>
        <v>18</v>
      </c>
      <c r="AE37" s="80">
        <v>500.0</v>
      </c>
      <c r="AF37" s="68">
        <f t="shared" si="2"/>
        <v>9000</v>
      </c>
      <c r="AG37" s="17"/>
      <c r="AH37" s="132"/>
      <c r="AI37" s="132"/>
    </row>
    <row r="38">
      <c r="A38" s="33" t="s">
        <v>99</v>
      </c>
      <c r="B38" s="514"/>
      <c r="C38" s="508"/>
      <c r="D38" s="208"/>
      <c r="E38" s="60"/>
      <c r="F38" s="208"/>
      <c r="G38" s="54"/>
      <c r="H38" s="192"/>
      <c r="I38" s="46"/>
      <c r="J38" s="493">
        <v>1.0</v>
      </c>
      <c r="K38" s="46"/>
      <c r="L38" s="49"/>
      <c r="M38" s="54"/>
      <c r="N38" s="54"/>
      <c r="O38" s="192"/>
      <c r="P38" s="46"/>
      <c r="Q38" s="46"/>
      <c r="R38" s="59">
        <v>4.0</v>
      </c>
      <c r="S38" s="518"/>
      <c r="T38" s="512"/>
      <c r="U38" s="59">
        <v>1.0</v>
      </c>
      <c r="V38" s="515"/>
      <c r="W38" s="59">
        <v>2.0</v>
      </c>
      <c r="X38" s="46"/>
      <c r="Y38" s="46"/>
      <c r="Z38" s="513"/>
      <c r="AA38" s="513"/>
      <c r="AB38" s="46"/>
      <c r="AC38" s="63"/>
      <c r="AD38" s="62">
        <f t="shared" si="1"/>
        <v>8</v>
      </c>
      <c r="AE38" s="80">
        <v>900.0</v>
      </c>
      <c r="AF38" s="68">
        <f t="shared" si="2"/>
        <v>7200</v>
      </c>
      <c r="AG38" s="17"/>
      <c r="AH38" s="132"/>
      <c r="AI38" s="132"/>
    </row>
    <row r="39">
      <c r="A39" s="33" t="s">
        <v>100</v>
      </c>
      <c r="B39" s="514"/>
      <c r="C39" s="508"/>
      <c r="D39" s="208"/>
      <c r="E39" s="60"/>
      <c r="F39" s="208"/>
      <c r="G39" s="54"/>
      <c r="H39" s="192"/>
      <c r="I39" s="46"/>
      <c r="J39" s="59">
        <v>1.0</v>
      </c>
      <c r="K39" s="46"/>
      <c r="L39" s="59"/>
      <c r="M39" s="54"/>
      <c r="N39" s="54"/>
      <c r="O39" s="192"/>
      <c r="P39" s="46"/>
      <c r="Q39" s="49"/>
      <c r="R39" s="46"/>
      <c r="S39" s="518"/>
      <c r="T39" s="512"/>
      <c r="U39" s="46"/>
      <c r="V39" s="192"/>
      <c r="W39" s="59">
        <v>1.0</v>
      </c>
      <c r="X39" s="46"/>
      <c r="Y39" s="46"/>
      <c r="Z39" s="513"/>
      <c r="AA39" s="513"/>
      <c r="AB39" s="59">
        <v>2.0</v>
      </c>
      <c r="AC39" s="88"/>
      <c r="AD39" s="62">
        <f t="shared" si="1"/>
        <v>4</v>
      </c>
      <c r="AE39" s="80">
        <v>1100.0</v>
      </c>
      <c r="AF39" s="68">
        <f t="shared" si="2"/>
        <v>4400</v>
      </c>
      <c r="AG39" s="17"/>
      <c r="AH39" s="132"/>
      <c r="AI39" s="132"/>
    </row>
    <row r="40">
      <c r="A40" s="33" t="s">
        <v>102</v>
      </c>
      <c r="B40" s="514"/>
      <c r="C40" s="508"/>
      <c r="D40" s="208"/>
      <c r="E40" s="60"/>
      <c r="F40" s="208"/>
      <c r="G40" s="92"/>
      <c r="H40" s="192"/>
      <c r="I40" s="46"/>
      <c r="J40" s="54"/>
      <c r="K40" s="46"/>
      <c r="L40" s="46"/>
      <c r="M40" s="54"/>
      <c r="N40" s="54"/>
      <c r="O40" s="192"/>
      <c r="P40" s="46"/>
      <c r="Q40" s="46"/>
      <c r="R40" s="46"/>
      <c r="S40" s="518"/>
      <c r="T40" s="512"/>
      <c r="U40" s="46"/>
      <c r="V40" s="515"/>
      <c r="W40" s="46"/>
      <c r="X40" s="46"/>
      <c r="Y40" s="46"/>
      <c r="Z40" s="513"/>
      <c r="AA40" s="513"/>
      <c r="AB40" s="46"/>
      <c r="AC40" s="88"/>
      <c r="AD40" s="62">
        <f t="shared" si="1"/>
        <v>0</v>
      </c>
      <c r="AE40" s="80">
        <v>1200.0</v>
      </c>
      <c r="AF40" s="68">
        <f t="shared" si="2"/>
        <v>0</v>
      </c>
      <c r="AG40" s="17"/>
      <c r="AH40" s="132"/>
      <c r="AI40" s="132"/>
    </row>
    <row r="41">
      <c r="A41" s="33" t="s">
        <v>104</v>
      </c>
      <c r="B41" s="514"/>
      <c r="C41" s="508"/>
      <c r="D41" s="208"/>
      <c r="E41" s="60"/>
      <c r="F41" s="208"/>
      <c r="G41" s="54"/>
      <c r="H41" s="192"/>
      <c r="I41" s="46"/>
      <c r="J41" s="59">
        <v>5.0</v>
      </c>
      <c r="K41" s="46"/>
      <c r="L41" s="46"/>
      <c r="M41" s="54"/>
      <c r="N41" s="54"/>
      <c r="O41" s="192"/>
      <c r="P41" s="46"/>
      <c r="Q41" s="46"/>
      <c r="R41" s="46"/>
      <c r="S41" s="518"/>
      <c r="T41" s="512"/>
      <c r="U41" s="46"/>
      <c r="V41" s="192"/>
      <c r="W41" s="46"/>
      <c r="X41" s="46"/>
      <c r="Y41" s="46"/>
      <c r="Z41" s="513"/>
      <c r="AA41" s="513"/>
      <c r="AB41" s="46"/>
      <c r="AC41" s="88"/>
      <c r="AD41" s="62">
        <f t="shared" si="1"/>
        <v>5</v>
      </c>
      <c r="AE41" s="80">
        <v>200.0</v>
      </c>
      <c r="AF41" s="68">
        <f t="shared" si="2"/>
        <v>1000</v>
      </c>
      <c r="AG41" s="17"/>
      <c r="AH41" s="132"/>
      <c r="AI41" s="132"/>
    </row>
    <row r="42">
      <c r="A42" s="33" t="s">
        <v>105</v>
      </c>
      <c r="B42" s="514"/>
      <c r="C42" s="508"/>
      <c r="D42" s="208"/>
      <c r="E42" s="60"/>
      <c r="F42" s="208"/>
      <c r="G42" s="54"/>
      <c r="H42" s="192"/>
      <c r="I42" s="46"/>
      <c r="J42" s="59">
        <v>2.0</v>
      </c>
      <c r="K42" s="46"/>
      <c r="L42" s="46"/>
      <c r="M42" s="54"/>
      <c r="N42" s="54"/>
      <c r="O42" s="192"/>
      <c r="P42" s="46"/>
      <c r="Q42" s="46"/>
      <c r="R42" s="46"/>
      <c r="S42" s="518"/>
      <c r="T42" s="512"/>
      <c r="U42" s="46"/>
      <c r="V42" s="192"/>
      <c r="W42" s="46"/>
      <c r="X42" s="46"/>
      <c r="Y42" s="46"/>
      <c r="Z42" s="513"/>
      <c r="AA42" s="513"/>
      <c r="AB42" s="46"/>
      <c r="AC42" s="88"/>
      <c r="AD42" s="62">
        <f t="shared" si="1"/>
        <v>2</v>
      </c>
      <c r="AE42" s="80">
        <v>500.0</v>
      </c>
      <c r="AF42" s="68">
        <f t="shared" si="2"/>
        <v>1000</v>
      </c>
      <c r="AG42" s="17"/>
      <c r="AH42" s="155"/>
      <c r="AI42" s="155"/>
    </row>
    <row r="43">
      <c r="A43" s="156" t="s">
        <v>107</v>
      </c>
      <c r="B43" s="548"/>
      <c r="C43" s="549"/>
      <c r="D43" s="212"/>
      <c r="E43" s="185"/>
      <c r="F43" s="212"/>
      <c r="G43" s="184"/>
      <c r="H43" s="229"/>
      <c r="I43" s="181"/>
      <c r="J43" s="247">
        <v>2.0</v>
      </c>
      <c r="K43" s="181"/>
      <c r="L43" s="181"/>
      <c r="M43" s="184"/>
      <c r="N43" s="184"/>
      <c r="O43" s="229"/>
      <c r="P43" s="181"/>
      <c r="Q43" s="181"/>
      <c r="R43" s="181"/>
      <c r="S43" s="550"/>
      <c r="T43" s="551"/>
      <c r="U43" s="181"/>
      <c r="V43" s="229"/>
      <c r="W43" s="181"/>
      <c r="X43" s="181"/>
      <c r="Y43" s="181"/>
      <c r="Z43" s="552"/>
      <c r="AA43" s="552"/>
      <c r="AB43" s="181"/>
      <c r="AC43" s="186"/>
      <c r="AD43" s="62">
        <f t="shared" si="1"/>
        <v>2</v>
      </c>
      <c r="AE43" s="167">
        <v>1000.0</v>
      </c>
      <c r="AF43" s="168">
        <f t="shared" si="2"/>
        <v>2000</v>
      </c>
      <c r="AG43" s="17"/>
      <c r="AH43" s="155"/>
      <c r="AI43" s="155"/>
    </row>
    <row r="44">
      <c r="A44" s="169" t="s">
        <v>45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  <c r="AD44" s="128"/>
      <c r="AE44" s="129"/>
      <c r="AF44" s="174">
        <f>SUM(AF3:AF43)</f>
        <v>209320</v>
      </c>
      <c r="AG44" s="17"/>
      <c r="AH44" s="176"/>
      <c r="AI44" s="176"/>
    </row>
    <row r="45">
      <c r="A45" s="24" t="s">
        <v>317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97"/>
      <c r="AG45" s="17"/>
      <c r="AH45" s="178"/>
      <c r="AI45" s="178"/>
    </row>
    <row r="46">
      <c r="A46" s="554" t="s">
        <v>318</v>
      </c>
      <c r="B46" s="83"/>
      <c r="C46" s="555"/>
      <c r="D46" s="224"/>
      <c r="E46" s="224"/>
      <c r="F46" s="224"/>
      <c r="G46" s="39"/>
      <c r="H46" s="45"/>
      <c r="I46" s="39"/>
      <c r="J46" s="39"/>
      <c r="K46" s="39"/>
      <c r="L46" s="39"/>
      <c r="M46" s="39"/>
      <c r="N46" s="39"/>
      <c r="O46" s="45"/>
      <c r="P46" s="39"/>
      <c r="Q46" s="39"/>
      <c r="R46" s="39">
        <v>1.0</v>
      </c>
      <c r="S46" s="556"/>
      <c r="T46" s="557"/>
      <c r="U46" s="39"/>
      <c r="V46" s="45"/>
      <c r="W46" s="39">
        <v>1.0</v>
      </c>
      <c r="X46" s="39"/>
      <c r="Y46" s="39"/>
      <c r="Z46" s="556"/>
      <c r="AA46" s="556"/>
      <c r="AB46" s="39"/>
      <c r="AC46" s="43"/>
      <c r="AD46" s="558">
        <f t="shared" ref="AD46:AD47" si="3">SUM(B46:AC46)</f>
        <v>2</v>
      </c>
      <c r="AE46" s="65">
        <v>600.0</v>
      </c>
      <c r="AF46" s="65">
        <f t="shared" ref="AF46:AF47" si="4">AD46*AE46</f>
        <v>1200</v>
      </c>
      <c r="AG46" s="17"/>
      <c r="AH46" s="178"/>
      <c r="AI46" s="178"/>
    </row>
    <row r="47">
      <c r="A47" s="554" t="s">
        <v>320</v>
      </c>
      <c r="B47" s="83"/>
      <c r="C47" s="555"/>
      <c r="D47" s="224"/>
      <c r="E47" s="224"/>
      <c r="F47" s="224"/>
      <c r="G47" s="39"/>
      <c r="H47" s="45"/>
      <c r="I47" s="39"/>
      <c r="J47" s="39"/>
      <c r="K47" s="39"/>
      <c r="L47" s="39"/>
      <c r="M47" s="39"/>
      <c r="N47" s="39"/>
      <c r="O47" s="45"/>
      <c r="P47" s="39"/>
      <c r="Q47" s="39"/>
      <c r="R47" s="39">
        <v>2.0</v>
      </c>
      <c r="S47" s="556"/>
      <c r="T47" s="557"/>
      <c r="U47" s="39"/>
      <c r="V47" s="45"/>
      <c r="W47" s="39"/>
      <c r="X47" s="39"/>
      <c r="Y47" s="39">
        <v>4.0</v>
      </c>
      <c r="Z47" s="556"/>
      <c r="AA47" s="556"/>
      <c r="AB47" s="39">
        <v>1.0</v>
      </c>
      <c r="AC47" s="43"/>
      <c r="AD47" s="558">
        <f t="shared" si="3"/>
        <v>7</v>
      </c>
      <c r="AE47" s="65">
        <v>440.0</v>
      </c>
      <c r="AF47" s="559">
        <f t="shared" si="4"/>
        <v>3080</v>
      </c>
      <c r="AG47" s="17"/>
      <c r="AH47" s="178"/>
      <c r="AI47" s="178"/>
    </row>
    <row r="48">
      <c r="A48" s="169" t="s">
        <v>45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  <c r="AD48" s="128"/>
      <c r="AE48" s="129"/>
      <c r="AF48" s="238">
        <f>SUM(AF46:AF47)</f>
        <v>4280</v>
      </c>
      <c r="AG48" s="17"/>
      <c r="AH48" s="178"/>
      <c r="AI48" s="178"/>
    </row>
    <row r="49">
      <c r="A49" s="24" t="s">
        <v>110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8"/>
      <c r="AG49" s="17"/>
      <c r="AH49" s="178" t="s">
        <v>321</v>
      </c>
      <c r="AI49" s="178"/>
    </row>
    <row r="50">
      <c r="A50" s="147" t="s">
        <v>92</v>
      </c>
      <c r="B50" s="507">
        <v>1.0</v>
      </c>
      <c r="C50" s="508"/>
      <c r="D50" s="60"/>
      <c r="E50" s="509"/>
      <c r="F50" s="105"/>
      <c r="G50" s="493">
        <v>4.0</v>
      </c>
      <c r="H50" s="510"/>
      <c r="I50" s="493">
        <v>4.0</v>
      </c>
      <c r="J50" s="493">
        <v>5.0</v>
      </c>
      <c r="K50" s="493">
        <v>36.0</v>
      </c>
      <c r="L50" s="493">
        <v>6.0</v>
      </c>
      <c r="M50" s="59">
        <v>1.0</v>
      </c>
      <c r="N50" s="493">
        <v>6.0</v>
      </c>
      <c r="O50" s="510"/>
      <c r="P50" s="49"/>
      <c r="Q50" s="493">
        <v>3.0</v>
      </c>
      <c r="R50" s="59">
        <v>6.0</v>
      </c>
      <c r="S50" s="511"/>
      <c r="T50" s="517"/>
      <c r="U50" s="59">
        <v>1.0</v>
      </c>
      <c r="V50" s="515"/>
      <c r="W50" s="59">
        <v>3.0</v>
      </c>
      <c r="X50" s="59">
        <v>5.0</v>
      </c>
      <c r="Y50" s="59">
        <v>13.0</v>
      </c>
      <c r="Z50" s="513"/>
      <c r="AA50" s="513"/>
      <c r="AB50" s="59">
        <v>8.0</v>
      </c>
      <c r="AC50" s="63">
        <v>4.0</v>
      </c>
      <c r="AD50" s="62">
        <f t="shared" ref="AD50:AD62" si="5">SUM(B50:AC50)</f>
        <v>106</v>
      </c>
      <c r="AE50" s="80">
        <v>100.0</v>
      </c>
      <c r="AF50" s="68">
        <f t="shared" ref="AF50:AF62" si="6">AD50*AE50</f>
        <v>10600</v>
      </c>
      <c r="AG50" s="17"/>
      <c r="AH50" s="155"/>
      <c r="AI50" s="155"/>
    </row>
    <row r="51">
      <c r="A51" s="147" t="s">
        <v>98</v>
      </c>
      <c r="B51" s="507">
        <v>12.0</v>
      </c>
      <c r="C51" s="516"/>
      <c r="D51" s="60"/>
      <c r="E51" s="60"/>
      <c r="F51" s="105"/>
      <c r="G51" s="59"/>
      <c r="H51" s="492"/>
      <c r="I51" s="49"/>
      <c r="J51" s="59">
        <v>1.0</v>
      </c>
      <c r="K51" s="493"/>
      <c r="L51" s="493">
        <v>2.0</v>
      </c>
      <c r="M51" s="59"/>
      <c r="N51" s="493"/>
      <c r="O51" s="492"/>
      <c r="P51" s="493">
        <v>1.0</v>
      </c>
      <c r="Q51" s="493">
        <v>1.0</v>
      </c>
      <c r="R51" s="59">
        <v>3.0</v>
      </c>
      <c r="S51" s="511"/>
      <c r="T51" s="517"/>
      <c r="U51" s="59"/>
      <c r="V51" s="515"/>
      <c r="W51" s="59">
        <v>2.0</v>
      </c>
      <c r="X51" s="59"/>
      <c r="Y51" s="59">
        <v>2.0</v>
      </c>
      <c r="Z51" s="513"/>
      <c r="AA51" s="513"/>
      <c r="AB51" s="59">
        <v>3.0</v>
      </c>
      <c r="AC51" s="63">
        <v>5.0</v>
      </c>
      <c r="AD51" s="62">
        <f t="shared" si="5"/>
        <v>32</v>
      </c>
      <c r="AE51" s="80">
        <v>1000.0</v>
      </c>
      <c r="AF51" s="68">
        <f t="shared" si="6"/>
        <v>32000</v>
      </c>
      <c r="AG51" s="17"/>
      <c r="AH51" s="155"/>
      <c r="AI51" s="155"/>
    </row>
    <row r="52">
      <c r="A52" s="197" t="s">
        <v>120</v>
      </c>
      <c r="B52" s="507"/>
      <c r="C52" s="508"/>
      <c r="D52" s="60"/>
      <c r="E52" s="208"/>
      <c r="F52" s="105"/>
      <c r="G52" s="493">
        <v>1.0</v>
      </c>
      <c r="H52" s="515"/>
      <c r="I52" s="493">
        <v>2.0</v>
      </c>
      <c r="J52" s="493">
        <v>9.0</v>
      </c>
      <c r="K52" s="49"/>
      <c r="L52" s="493">
        <v>5.0</v>
      </c>
      <c r="M52" s="59">
        <v>10.0</v>
      </c>
      <c r="N52" s="59"/>
      <c r="O52" s="510"/>
      <c r="P52" s="59">
        <v>4.0</v>
      </c>
      <c r="Q52" s="49"/>
      <c r="R52" s="59">
        <v>21.0</v>
      </c>
      <c r="S52" s="511"/>
      <c r="T52" s="512"/>
      <c r="U52" s="59">
        <v>1.0</v>
      </c>
      <c r="V52" s="515"/>
      <c r="W52" s="46"/>
      <c r="X52" s="59"/>
      <c r="Y52" s="59">
        <v>34.0</v>
      </c>
      <c r="Z52" s="513"/>
      <c r="AA52" s="513"/>
      <c r="AB52" s="59">
        <v>6.0</v>
      </c>
      <c r="AC52" s="63">
        <v>1.0</v>
      </c>
      <c r="AD52" s="62">
        <f t="shared" si="5"/>
        <v>94</v>
      </c>
      <c r="AE52" s="80">
        <v>120.0</v>
      </c>
      <c r="AF52" s="68">
        <f t="shared" si="6"/>
        <v>11280</v>
      </c>
      <c r="AG52" s="17"/>
      <c r="AH52" s="155"/>
      <c r="AI52" s="155"/>
    </row>
    <row r="53">
      <c r="A53" s="197" t="s">
        <v>122</v>
      </c>
      <c r="B53" s="516"/>
      <c r="C53" s="516"/>
      <c r="D53" s="60"/>
      <c r="E53" s="208"/>
      <c r="F53" s="105"/>
      <c r="G53" s="59"/>
      <c r="H53" s="192"/>
      <c r="I53" s="49"/>
      <c r="J53" s="59"/>
      <c r="K53" s="46"/>
      <c r="L53" s="49"/>
      <c r="M53" s="46"/>
      <c r="N53" s="54"/>
      <c r="O53" s="51"/>
      <c r="P53" s="46"/>
      <c r="Q53" s="49"/>
      <c r="R53" s="59"/>
      <c r="S53" s="518"/>
      <c r="T53" s="512"/>
      <c r="U53" s="46"/>
      <c r="V53" s="192"/>
      <c r="W53" s="46"/>
      <c r="X53" s="59">
        <v>6.0</v>
      </c>
      <c r="Y53" s="46"/>
      <c r="Z53" s="513"/>
      <c r="AA53" s="513"/>
      <c r="AB53" s="46"/>
      <c r="AC53" s="88"/>
      <c r="AD53" s="62">
        <f t="shared" si="5"/>
        <v>6</v>
      </c>
      <c r="AE53" s="80">
        <v>150.0</v>
      </c>
      <c r="AF53" s="68">
        <f t="shared" si="6"/>
        <v>900</v>
      </c>
      <c r="AG53" s="17"/>
      <c r="AH53" s="155"/>
      <c r="AI53" s="155"/>
    </row>
    <row r="54">
      <c r="A54" s="197" t="s">
        <v>322</v>
      </c>
      <c r="B54" s="507">
        <v>33.0</v>
      </c>
      <c r="C54" s="516"/>
      <c r="D54" s="60"/>
      <c r="E54" s="509"/>
      <c r="F54" s="105"/>
      <c r="G54" s="493">
        <v>4.0</v>
      </c>
      <c r="H54" s="510"/>
      <c r="I54" s="493">
        <v>9.0</v>
      </c>
      <c r="J54" s="493">
        <v>11.0</v>
      </c>
      <c r="K54" s="493">
        <v>2.0</v>
      </c>
      <c r="L54" s="493">
        <v>10.0</v>
      </c>
      <c r="M54" s="59">
        <v>2.0</v>
      </c>
      <c r="N54" s="493">
        <v>5.0</v>
      </c>
      <c r="O54" s="510"/>
      <c r="P54" s="493">
        <v>5.0</v>
      </c>
      <c r="Q54" s="493">
        <v>1.0</v>
      </c>
      <c r="R54" s="59">
        <v>13.0</v>
      </c>
      <c r="S54" s="511"/>
      <c r="T54" s="517"/>
      <c r="U54" s="59">
        <v>13.0</v>
      </c>
      <c r="V54" s="515"/>
      <c r="W54" s="59">
        <v>7.0</v>
      </c>
      <c r="X54" s="59">
        <v>4.0</v>
      </c>
      <c r="Y54" s="59">
        <v>11.0</v>
      </c>
      <c r="Z54" s="513"/>
      <c r="AA54" s="513"/>
      <c r="AB54" s="59">
        <v>5.0</v>
      </c>
      <c r="AC54" s="63">
        <v>6.0</v>
      </c>
      <c r="AD54" s="62">
        <f t="shared" si="5"/>
        <v>141</v>
      </c>
      <c r="AE54" s="80">
        <v>280.0</v>
      </c>
      <c r="AF54" s="68">
        <f t="shared" si="6"/>
        <v>39480</v>
      </c>
      <c r="AG54" s="17"/>
      <c r="AH54" s="155"/>
      <c r="AI54" s="155"/>
    </row>
    <row r="55">
      <c r="A55" s="197" t="s">
        <v>323</v>
      </c>
      <c r="B55" s="507"/>
      <c r="C55" s="516"/>
      <c r="D55" s="60"/>
      <c r="E55" s="509"/>
      <c r="F55" s="105"/>
      <c r="G55" s="493"/>
      <c r="H55" s="510"/>
      <c r="I55" s="493"/>
      <c r="J55" s="493"/>
      <c r="K55" s="493"/>
      <c r="L55" s="493"/>
      <c r="M55" s="59"/>
      <c r="N55" s="493"/>
      <c r="O55" s="510"/>
      <c r="P55" s="493"/>
      <c r="Q55" s="493"/>
      <c r="R55" s="59"/>
      <c r="S55" s="511"/>
      <c r="T55" s="517"/>
      <c r="U55" s="59"/>
      <c r="V55" s="515"/>
      <c r="W55" s="59"/>
      <c r="X55" s="59"/>
      <c r="Y55" s="59"/>
      <c r="Z55" s="513"/>
      <c r="AA55" s="513"/>
      <c r="AB55" s="59"/>
      <c r="AC55" s="63"/>
      <c r="AD55" s="62">
        <f t="shared" si="5"/>
        <v>0</v>
      </c>
      <c r="AE55" s="80">
        <v>330.0</v>
      </c>
      <c r="AF55" s="68">
        <f t="shared" si="6"/>
        <v>0</v>
      </c>
      <c r="AG55" s="17"/>
      <c r="AH55" s="155"/>
      <c r="AI55" s="155"/>
    </row>
    <row r="56">
      <c r="A56" s="147" t="s">
        <v>108</v>
      </c>
      <c r="B56" s="507">
        <v>7.0</v>
      </c>
      <c r="C56" s="508"/>
      <c r="D56" s="208"/>
      <c r="E56" s="60"/>
      <c r="F56" s="105"/>
      <c r="G56" s="54"/>
      <c r="H56" s="515"/>
      <c r="I56" s="493">
        <v>2.0</v>
      </c>
      <c r="J56" s="49"/>
      <c r="K56" s="493"/>
      <c r="L56" s="59">
        <v>8.0</v>
      </c>
      <c r="M56" s="46"/>
      <c r="N56" s="59"/>
      <c r="O56" s="492"/>
      <c r="P56" s="49"/>
      <c r="Q56" s="59"/>
      <c r="R56" s="59"/>
      <c r="S56" s="518"/>
      <c r="T56" s="512"/>
      <c r="U56" s="59"/>
      <c r="V56" s="515"/>
      <c r="W56" s="59">
        <v>1.0</v>
      </c>
      <c r="X56" s="59"/>
      <c r="Y56" s="59"/>
      <c r="Z56" s="513"/>
      <c r="AA56" s="513"/>
      <c r="AB56" s="59"/>
      <c r="AC56" s="63"/>
      <c r="AD56" s="62">
        <f t="shared" si="5"/>
        <v>18</v>
      </c>
      <c r="AE56" s="80">
        <v>900.0</v>
      </c>
      <c r="AF56" s="68">
        <f t="shared" si="6"/>
        <v>16200</v>
      </c>
      <c r="AG56" s="17"/>
      <c r="AH56" s="155"/>
      <c r="AI56" s="155"/>
    </row>
    <row r="57">
      <c r="A57" s="198" t="s">
        <v>109</v>
      </c>
      <c r="B57" s="507">
        <v>6.0</v>
      </c>
      <c r="C57" s="516"/>
      <c r="D57" s="60"/>
      <c r="E57" s="509"/>
      <c r="F57" s="105"/>
      <c r="G57" s="493">
        <v>7.0</v>
      </c>
      <c r="H57" s="510"/>
      <c r="I57" s="493">
        <v>10.0</v>
      </c>
      <c r="J57" s="493">
        <v>12.0</v>
      </c>
      <c r="K57" s="493">
        <v>9.0</v>
      </c>
      <c r="L57" s="493"/>
      <c r="M57" s="59">
        <v>1.0</v>
      </c>
      <c r="N57" s="493">
        <v>7.0</v>
      </c>
      <c r="O57" s="510"/>
      <c r="P57" s="493">
        <v>4.0</v>
      </c>
      <c r="Q57" s="493">
        <v>110.0</v>
      </c>
      <c r="R57" s="59">
        <v>5.0</v>
      </c>
      <c r="S57" s="511"/>
      <c r="T57" s="517"/>
      <c r="U57" s="59">
        <v>12.0</v>
      </c>
      <c r="V57" s="515"/>
      <c r="W57" s="59">
        <v>6.0</v>
      </c>
      <c r="X57" s="59">
        <v>7.0</v>
      </c>
      <c r="Y57" s="59">
        <v>15.0</v>
      </c>
      <c r="Z57" s="513"/>
      <c r="AA57" s="513"/>
      <c r="AB57" s="59">
        <v>9.0</v>
      </c>
      <c r="AC57" s="63">
        <v>17.0</v>
      </c>
      <c r="AD57" s="62">
        <f t="shared" si="5"/>
        <v>237</v>
      </c>
      <c r="AE57" s="80">
        <v>330.0</v>
      </c>
      <c r="AF57" s="68">
        <f t="shared" si="6"/>
        <v>78210</v>
      </c>
      <c r="AG57" s="17"/>
      <c r="AH57" s="155"/>
      <c r="AI57" s="155"/>
    </row>
    <row r="58">
      <c r="A58" s="198" t="s">
        <v>111</v>
      </c>
      <c r="B58" s="528"/>
      <c r="C58" s="516"/>
      <c r="D58" s="60"/>
      <c r="E58" s="60"/>
      <c r="F58" s="105"/>
      <c r="G58" s="493">
        <v>1.0</v>
      </c>
      <c r="H58" s="492"/>
      <c r="I58" s="49"/>
      <c r="J58" s="493"/>
      <c r="K58" s="493"/>
      <c r="L58" s="59"/>
      <c r="M58" s="59"/>
      <c r="N58" s="493">
        <v>1.0</v>
      </c>
      <c r="O58" s="51"/>
      <c r="P58" s="46"/>
      <c r="Q58" s="59">
        <v>1.0</v>
      </c>
      <c r="R58" s="59"/>
      <c r="S58" s="511"/>
      <c r="T58" s="512"/>
      <c r="U58" s="59"/>
      <c r="V58" s="192"/>
      <c r="W58" s="46"/>
      <c r="X58" s="46"/>
      <c r="Y58" s="59"/>
      <c r="Z58" s="513"/>
      <c r="AA58" s="513"/>
      <c r="AB58" s="59">
        <v>1.0</v>
      </c>
      <c r="AC58" s="63"/>
      <c r="AD58" s="62">
        <f t="shared" si="5"/>
        <v>4</v>
      </c>
      <c r="AE58" s="80">
        <v>360.0</v>
      </c>
      <c r="AF58" s="68">
        <f t="shared" si="6"/>
        <v>1440</v>
      </c>
      <c r="AG58" s="17"/>
      <c r="AH58" s="155"/>
      <c r="AI58" s="155"/>
    </row>
    <row r="59">
      <c r="A59" s="198" t="s">
        <v>113</v>
      </c>
      <c r="B59" s="514"/>
      <c r="C59" s="516"/>
      <c r="D59" s="208"/>
      <c r="E59" s="208"/>
      <c r="F59" s="208"/>
      <c r="G59" s="54"/>
      <c r="H59" s="492"/>
      <c r="I59" s="46"/>
      <c r="J59" s="54"/>
      <c r="K59" s="49"/>
      <c r="L59" s="54"/>
      <c r="M59" s="46"/>
      <c r="N59" s="49"/>
      <c r="O59" s="492"/>
      <c r="P59" s="54"/>
      <c r="Q59" s="54"/>
      <c r="R59" s="54"/>
      <c r="S59" s="518"/>
      <c r="T59" s="512"/>
      <c r="U59" s="46"/>
      <c r="V59" s="192"/>
      <c r="W59" s="46"/>
      <c r="X59" s="46"/>
      <c r="Y59" s="46"/>
      <c r="Z59" s="513"/>
      <c r="AA59" s="513"/>
      <c r="AB59" s="59">
        <v>1.0</v>
      </c>
      <c r="AC59" s="63"/>
      <c r="AD59" s="62">
        <f t="shared" si="5"/>
        <v>1</v>
      </c>
      <c r="AE59" s="80">
        <v>380.0</v>
      </c>
      <c r="AF59" s="68">
        <f t="shared" si="6"/>
        <v>380</v>
      </c>
      <c r="AG59" s="17"/>
      <c r="AH59" s="155"/>
      <c r="AI59" s="155"/>
    </row>
    <row r="60">
      <c r="A60" s="189" t="s">
        <v>114</v>
      </c>
      <c r="B60" s="528">
        <v>3.0</v>
      </c>
      <c r="C60" s="508"/>
      <c r="D60" s="60"/>
      <c r="E60" s="60"/>
      <c r="F60" s="105"/>
      <c r="G60" s="493">
        <v>1.0</v>
      </c>
      <c r="H60" s="515"/>
      <c r="I60" s="493">
        <v>4.0</v>
      </c>
      <c r="J60" s="493">
        <v>4.0</v>
      </c>
      <c r="K60" s="493">
        <v>2.0</v>
      </c>
      <c r="L60" s="59">
        <v>2.0</v>
      </c>
      <c r="M60" s="59">
        <v>2.0</v>
      </c>
      <c r="N60" s="493">
        <v>4.0</v>
      </c>
      <c r="O60" s="510"/>
      <c r="P60" s="493">
        <v>1.0</v>
      </c>
      <c r="Q60" s="493">
        <v>1.0</v>
      </c>
      <c r="R60" s="59">
        <v>4.0</v>
      </c>
      <c r="S60" s="511"/>
      <c r="T60" s="517"/>
      <c r="U60" s="59">
        <v>1.0</v>
      </c>
      <c r="V60" s="515"/>
      <c r="W60" s="59">
        <v>4.0</v>
      </c>
      <c r="X60" s="59">
        <v>2.0</v>
      </c>
      <c r="Y60" s="59">
        <v>3.0</v>
      </c>
      <c r="Z60" s="513"/>
      <c r="AA60" s="513"/>
      <c r="AB60" s="59">
        <v>1.0</v>
      </c>
      <c r="AC60" s="63">
        <v>3.0</v>
      </c>
      <c r="AD60" s="62">
        <f t="shared" si="5"/>
        <v>42</v>
      </c>
      <c r="AE60" s="80">
        <v>280.0</v>
      </c>
      <c r="AF60" s="68">
        <f t="shared" si="6"/>
        <v>11760</v>
      </c>
      <c r="AG60" s="17"/>
      <c r="AH60" s="155"/>
      <c r="AI60" s="155"/>
    </row>
    <row r="61">
      <c r="A61" s="189" t="s">
        <v>115</v>
      </c>
      <c r="B61" s="567"/>
      <c r="C61" s="491"/>
      <c r="D61" s="208"/>
      <c r="E61" s="208"/>
      <c r="F61" s="208"/>
      <c r="G61" s="54"/>
      <c r="H61" s="192"/>
      <c r="I61" s="54"/>
      <c r="J61" s="54"/>
      <c r="K61" s="54"/>
      <c r="L61" s="54"/>
      <c r="M61" s="54"/>
      <c r="N61" s="46"/>
      <c r="O61" s="51"/>
      <c r="P61" s="54"/>
      <c r="Q61" s="46"/>
      <c r="R61" s="54"/>
      <c r="S61" s="568"/>
      <c r="T61" s="569"/>
      <c r="U61" s="54"/>
      <c r="V61" s="51"/>
      <c r="W61" s="54"/>
      <c r="X61" s="54"/>
      <c r="Y61" s="59">
        <v>1.0</v>
      </c>
      <c r="Z61" s="570"/>
      <c r="AA61" s="570"/>
      <c r="AB61" s="54"/>
      <c r="AC61" s="209"/>
      <c r="AD61" s="62">
        <f t="shared" si="5"/>
        <v>1</v>
      </c>
      <c r="AE61" s="80">
        <v>330.0</v>
      </c>
      <c r="AF61" s="68">
        <f t="shared" si="6"/>
        <v>330</v>
      </c>
      <c r="AG61" s="17"/>
      <c r="AH61" s="155"/>
      <c r="AI61" s="155"/>
    </row>
    <row r="62">
      <c r="A62" s="205" t="s">
        <v>119</v>
      </c>
      <c r="B62" s="571"/>
      <c r="C62" s="543"/>
      <c r="D62" s="212"/>
      <c r="E62" s="212"/>
      <c r="F62" s="212"/>
      <c r="G62" s="184"/>
      <c r="H62" s="183"/>
      <c r="I62" s="184"/>
      <c r="J62" s="184"/>
      <c r="K62" s="184"/>
      <c r="L62" s="184"/>
      <c r="M62" s="184"/>
      <c r="N62" s="184"/>
      <c r="O62" s="183"/>
      <c r="P62" s="184"/>
      <c r="Q62" s="184"/>
      <c r="R62" s="184"/>
      <c r="S62" s="573"/>
      <c r="T62" s="574"/>
      <c r="U62" s="184"/>
      <c r="V62" s="183"/>
      <c r="W62" s="184"/>
      <c r="X62" s="184"/>
      <c r="Y62" s="184"/>
      <c r="Z62" s="576"/>
      <c r="AA62" s="576"/>
      <c r="AB62" s="184"/>
      <c r="AC62" s="213"/>
      <c r="AD62" s="62">
        <f t="shared" si="5"/>
        <v>0</v>
      </c>
      <c r="AE62" s="167">
        <v>1250.0</v>
      </c>
      <c r="AF62" s="168">
        <f t="shared" si="6"/>
        <v>0</v>
      </c>
      <c r="AG62" s="17"/>
      <c r="AH62" s="155"/>
      <c r="AI62" s="155"/>
    </row>
    <row r="63">
      <c r="A63" s="169" t="s">
        <v>45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  <c r="AB63" s="128"/>
      <c r="AC63" s="128"/>
      <c r="AD63" s="128"/>
      <c r="AE63" s="129"/>
      <c r="AF63" s="174">
        <f>SUM(AF50:AF62)</f>
        <v>202580</v>
      </c>
      <c r="AG63" s="17"/>
      <c r="AH63" s="176"/>
      <c r="AI63" s="176"/>
    </row>
    <row r="64">
      <c r="A64" s="24" t="s">
        <v>127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8"/>
      <c r="AG64" s="17"/>
      <c r="AH64" s="178" t="s">
        <v>327</v>
      </c>
      <c r="AI64" s="178"/>
    </row>
    <row r="65">
      <c r="A65" s="206" t="s">
        <v>128</v>
      </c>
      <c r="B65" s="516"/>
      <c r="C65" s="516"/>
      <c r="D65" s="60"/>
      <c r="E65" s="208"/>
      <c r="F65" s="208"/>
      <c r="G65" s="54"/>
      <c r="H65" s="492"/>
      <c r="I65" s="493">
        <v>1.0</v>
      </c>
      <c r="J65" s="493">
        <v>1.0</v>
      </c>
      <c r="K65" s="493">
        <v>1.0</v>
      </c>
      <c r="L65" s="493">
        <v>1.0</v>
      </c>
      <c r="M65" s="59"/>
      <c r="N65" s="59"/>
      <c r="O65" s="51"/>
      <c r="P65" s="54"/>
      <c r="Q65" s="49"/>
      <c r="R65" s="46"/>
      <c r="S65" s="518"/>
      <c r="T65" s="517"/>
      <c r="U65" s="59">
        <v>1.0</v>
      </c>
      <c r="V65" s="515"/>
      <c r="W65" s="46"/>
      <c r="X65" s="59">
        <v>2.0</v>
      </c>
      <c r="Y65" s="59"/>
      <c r="Z65" s="513"/>
      <c r="AA65" s="513"/>
      <c r="AB65" s="46"/>
      <c r="AC65" s="63"/>
      <c r="AD65" s="62">
        <f t="shared" ref="AD65:AD68" si="7">SUM(B65:AC65)</f>
        <v>7</v>
      </c>
      <c r="AE65" s="80">
        <v>550.0</v>
      </c>
      <c r="AF65" s="68">
        <f t="shared" ref="AF65:AF68" si="8">AD65*AE65</f>
        <v>3850</v>
      </c>
      <c r="AG65" s="17"/>
      <c r="AH65" s="155"/>
      <c r="AI65" s="155"/>
    </row>
    <row r="66">
      <c r="A66" s="189" t="s">
        <v>131</v>
      </c>
      <c r="B66" s="507">
        <v>5.0</v>
      </c>
      <c r="C66" s="508"/>
      <c r="D66" s="60"/>
      <c r="E66" s="509"/>
      <c r="F66" s="208"/>
      <c r="G66" s="49"/>
      <c r="H66" s="51"/>
      <c r="I66" s="46"/>
      <c r="J66" s="46"/>
      <c r="K66" s="493">
        <v>1.0</v>
      </c>
      <c r="L66" s="54"/>
      <c r="M66" s="59"/>
      <c r="N66" s="54"/>
      <c r="O66" s="51"/>
      <c r="P66" s="54"/>
      <c r="Q66" s="59"/>
      <c r="R66" s="46"/>
      <c r="S66" s="518"/>
      <c r="T66" s="512"/>
      <c r="U66" s="46"/>
      <c r="V66" s="192"/>
      <c r="W66" s="46"/>
      <c r="X66" s="46"/>
      <c r="Y66" s="46"/>
      <c r="Z66" s="513"/>
      <c r="AA66" s="513"/>
      <c r="AB66" s="59">
        <v>2.0</v>
      </c>
      <c r="AC66" s="63">
        <v>1.0</v>
      </c>
      <c r="AD66" s="62">
        <f t="shared" si="7"/>
        <v>9</v>
      </c>
      <c r="AE66" s="80">
        <v>350.0</v>
      </c>
      <c r="AF66" s="68">
        <f t="shared" si="8"/>
        <v>3150</v>
      </c>
      <c r="AG66" s="17"/>
      <c r="AH66" s="155"/>
      <c r="AI66" s="155"/>
    </row>
    <row r="67">
      <c r="A67" s="197" t="s">
        <v>331</v>
      </c>
      <c r="B67" s="528">
        <v>9.0</v>
      </c>
      <c r="C67" s="516"/>
      <c r="D67" s="60"/>
      <c r="E67" s="509"/>
      <c r="F67" s="105"/>
      <c r="G67" s="54"/>
      <c r="H67" s="515"/>
      <c r="I67" s="49"/>
      <c r="J67" s="54"/>
      <c r="K67" s="59">
        <v>2.0</v>
      </c>
      <c r="L67" s="59">
        <v>1.0</v>
      </c>
      <c r="M67" s="59">
        <v>1.0</v>
      </c>
      <c r="N67" s="59">
        <v>1.0</v>
      </c>
      <c r="O67" s="515"/>
      <c r="P67" s="46"/>
      <c r="Q67" s="46"/>
      <c r="R67" s="46"/>
      <c r="S67" s="518"/>
      <c r="T67" s="512"/>
      <c r="U67" s="59">
        <v>1.0</v>
      </c>
      <c r="V67" s="192"/>
      <c r="W67" s="59">
        <v>3.0</v>
      </c>
      <c r="X67" s="46"/>
      <c r="Y67" s="46"/>
      <c r="Z67" s="513"/>
      <c r="AA67" s="513"/>
      <c r="AB67" s="46"/>
      <c r="AC67" s="63">
        <v>3.0</v>
      </c>
      <c r="AD67" s="62">
        <f t="shared" si="7"/>
        <v>21</v>
      </c>
      <c r="AE67" s="80">
        <v>350.0</v>
      </c>
      <c r="AF67" s="68">
        <f t="shared" si="8"/>
        <v>7350</v>
      </c>
      <c r="AG67" s="17"/>
      <c r="AH67" s="155"/>
      <c r="AI67" s="155"/>
    </row>
    <row r="68">
      <c r="A68" s="207" t="s">
        <v>134</v>
      </c>
      <c r="B68" s="571"/>
      <c r="C68" s="543"/>
      <c r="D68" s="212"/>
      <c r="E68" s="212"/>
      <c r="F68" s="212"/>
      <c r="G68" s="247"/>
      <c r="H68" s="183"/>
      <c r="I68" s="247">
        <v>2.0</v>
      </c>
      <c r="J68" s="247">
        <v>1.0</v>
      </c>
      <c r="K68" s="247"/>
      <c r="L68" s="247"/>
      <c r="M68" s="247">
        <v>3.0</v>
      </c>
      <c r="N68" s="247">
        <v>2.0</v>
      </c>
      <c r="O68" s="183"/>
      <c r="P68" s="184"/>
      <c r="Q68" s="247">
        <v>2.0</v>
      </c>
      <c r="R68" s="247">
        <v>2.0</v>
      </c>
      <c r="S68" s="573"/>
      <c r="T68" s="574"/>
      <c r="U68" s="247"/>
      <c r="V68" s="579"/>
      <c r="W68" s="247">
        <v>1.0</v>
      </c>
      <c r="X68" s="247"/>
      <c r="Y68" s="184"/>
      <c r="Z68" s="576"/>
      <c r="AA68" s="576"/>
      <c r="AB68" s="247"/>
      <c r="AC68" s="230">
        <v>3.0</v>
      </c>
      <c r="AD68" s="62">
        <f t="shared" si="7"/>
        <v>16</v>
      </c>
      <c r="AE68" s="167">
        <v>350.0</v>
      </c>
      <c r="AF68" s="168">
        <f t="shared" si="8"/>
        <v>5600</v>
      </c>
      <c r="AG68" s="17"/>
      <c r="AH68" s="155"/>
      <c r="AI68" s="155"/>
    </row>
    <row r="69">
      <c r="A69" s="169" t="s">
        <v>45</v>
      </c>
      <c r="B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  <c r="AB69" s="128"/>
      <c r="AC69" s="128"/>
      <c r="AD69" s="128"/>
      <c r="AE69" s="129"/>
      <c r="AF69" s="174">
        <f>SUM(AF65:AF68)</f>
        <v>19950</v>
      </c>
      <c r="AG69" s="17"/>
      <c r="AH69" s="176"/>
      <c r="AI69" s="176"/>
    </row>
    <row r="70">
      <c r="A70" s="24" t="s">
        <v>137</v>
      </c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8"/>
      <c r="AG70" s="17"/>
      <c r="AH70" s="178" t="s">
        <v>332</v>
      </c>
      <c r="AI70" s="178"/>
    </row>
    <row r="71">
      <c r="A71" s="216" t="s">
        <v>138</v>
      </c>
      <c r="B71" s="567"/>
      <c r="C71" s="508"/>
      <c r="D71" s="208"/>
      <c r="E71" s="208"/>
      <c r="F71" s="208"/>
      <c r="G71" s="54"/>
      <c r="H71" s="51"/>
      <c r="I71" s="54"/>
      <c r="J71" s="46"/>
      <c r="K71" s="46"/>
      <c r="L71" s="54"/>
      <c r="M71" s="54"/>
      <c r="N71" s="54"/>
      <c r="O71" s="51"/>
      <c r="P71" s="54"/>
      <c r="Q71" s="46"/>
      <c r="R71" s="54"/>
      <c r="S71" s="568"/>
      <c r="T71" s="569"/>
      <c r="U71" s="54"/>
      <c r="V71" s="51"/>
      <c r="W71" s="54"/>
      <c r="X71" s="54"/>
      <c r="Y71" s="54"/>
      <c r="Z71" s="570"/>
      <c r="AA71" s="570"/>
      <c r="AB71" s="54"/>
      <c r="AC71" s="209"/>
      <c r="AD71" s="62">
        <f t="shared" ref="AD71:AD73" si="9">SUM(B71:AC71)</f>
        <v>0</v>
      </c>
      <c r="AE71" s="80">
        <v>220.0</v>
      </c>
      <c r="AF71" s="80">
        <f t="shared" ref="AF71:AF73" si="10">AD71*AE71</f>
        <v>0</v>
      </c>
      <c r="AG71" s="17"/>
      <c r="AH71" s="155"/>
      <c r="AI71" s="155"/>
    </row>
    <row r="72">
      <c r="A72" s="216" t="s">
        <v>143</v>
      </c>
      <c r="B72" s="507"/>
      <c r="C72" s="508"/>
      <c r="D72" s="208"/>
      <c r="E72" s="208"/>
      <c r="F72" s="105"/>
      <c r="G72" s="54"/>
      <c r="H72" s="515"/>
      <c r="I72" s="54"/>
      <c r="J72" s="46"/>
      <c r="K72" s="59"/>
      <c r="L72" s="54"/>
      <c r="M72" s="46"/>
      <c r="N72" s="46"/>
      <c r="O72" s="51"/>
      <c r="P72" s="46"/>
      <c r="Q72" s="46"/>
      <c r="R72" s="54"/>
      <c r="S72" s="511"/>
      <c r="T72" s="517"/>
      <c r="U72" s="46"/>
      <c r="V72" s="192"/>
      <c r="W72" s="46"/>
      <c r="X72" s="46"/>
      <c r="Y72" s="46"/>
      <c r="Z72" s="513"/>
      <c r="AA72" s="513"/>
      <c r="AB72" s="59">
        <v>6.0</v>
      </c>
      <c r="AC72" s="88"/>
      <c r="AD72" s="62">
        <f t="shared" si="9"/>
        <v>6</v>
      </c>
      <c r="AE72" s="80">
        <v>380.0</v>
      </c>
      <c r="AF72" s="80">
        <f t="shared" si="10"/>
        <v>2280</v>
      </c>
      <c r="AG72" s="17"/>
      <c r="AH72" s="155"/>
      <c r="AI72" s="155"/>
    </row>
    <row r="73">
      <c r="A73" s="225" t="s">
        <v>333</v>
      </c>
      <c r="B73" s="581">
        <v>15.0</v>
      </c>
      <c r="C73" s="549"/>
      <c r="D73" s="212"/>
      <c r="E73" s="212"/>
      <c r="F73" s="231"/>
      <c r="G73" s="247">
        <v>1.0</v>
      </c>
      <c r="H73" s="579"/>
      <c r="I73" s="184"/>
      <c r="J73" s="181"/>
      <c r="K73" s="247">
        <v>1.0</v>
      </c>
      <c r="L73" s="247">
        <v>6.0</v>
      </c>
      <c r="M73" s="181"/>
      <c r="N73" s="181"/>
      <c r="O73" s="183"/>
      <c r="P73" s="247">
        <v>1.0</v>
      </c>
      <c r="Q73" s="247">
        <v>1.0</v>
      </c>
      <c r="R73" s="247">
        <v>2.0</v>
      </c>
      <c r="S73" s="582"/>
      <c r="T73" s="583"/>
      <c r="U73" s="247">
        <v>1.0</v>
      </c>
      <c r="V73" s="229"/>
      <c r="W73" s="247">
        <v>2.0</v>
      </c>
      <c r="X73" s="181"/>
      <c r="Y73" s="247">
        <v>4.0</v>
      </c>
      <c r="Z73" s="552"/>
      <c r="AA73" s="552"/>
      <c r="AB73" s="247">
        <v>2.0</v>
      </c>
      <c r="AC73" s="186"/>
      <c r="AD73" s="166">
        <f t="shared" si="9"/>
        <v>36</v>
      </c>
      <c r="AE73" s="167">
        <v>600.0</v>
      </c>
      <c r="AF73" s="167">
        <f t="shared" si="10"/>
        <v>21600</v>
      </c>
      <c r="AG73" s="17"/>
      <c r="AH73" s="155"/>
      <c r="AI73" s="155"/>
    </row>
    <row r="74">
      <c r="A74" s="169" t="s">
        <v>45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9"/>
      <c r="AF74" s="174">
        <f>SUM(AF71:AF73)</f>
        <v>23880</v>
      </c>
      <c r="AG74" s="17"/>
      <c r="AH74" s="176"/>
      <c r="AI74" s="176"/>
    </row>
    <row r="75">
      <c r="A75" s="24" t="s">
        <v>146</v>
      </c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8"/>
      <c r="AG75" s="17"/>
      <c r="AH75" s="178" t="s">
        <v>334</v>
      </c>
      <c r="AI75" s="178"/>
    </row>
    <row r="76">
      <c r="A76" s="223" t="s">
        <v>52</v>
      </c>
      <c r="B76" s="567"/>
      <c r="C76" s="508"/>
      <c r="D76" s="60"/>
      <c r="E76" s="60"/>
      <c r="F76" s="105"/>
      <c r="G76" s="59"/>
      <c r="H76" s="192"/>
      <c r="I76" s="493">
        <v>1.0</v>
      </c>
      <c r="J76" s="54"/>
      <c r="K76" s="59"/>
      <c r="L76" s="59"/>
      <c r="M76" s="46"/>
      <c r="N76" s="59"/>
      <c r="O76" s="515"/>
      <c r="P76" s="46"/>
      <c r="Q76" s="46"/>
      <c r="R76" s="46"/>
      <c r="S76" s="511"/>
      <c r="T76" s="512"/>
      <c r="U76" s="46"/>
      <c r="V76" s="515"/>
      <c r="W76" s="46"/>
      <c r="X76" s="46"/>
      <c r="Y76" s="46"/>
      <c r="Z76" s="513"/>
      <c r="AA76" s="513"/>
      <c r="AB76" s="46"/>
      <c r="AC76" s="63"/>
      <c r="AD76" s="62">
        <f t="shared" ref="AD76:AD92" si="11">SUM(B76:AC76)</f>
        <v>1</v>
      </c>
      <c r="AE76" s="80">
        <v>1200.0</v>
      </c>
      <c r="AF76" s="68">
        <f t="shared" ref="AF76:AF92" si="12">AD76*AE76</f>
        <v>1200</v>
      </c>
      <c r="AG76" s="17"/>
      <c r="AH76" s="155"/>
      <c r="AI76" s="155"/>
    </row>
    <row r="77">
      <c r="A77" s="33" t="s">
        <v>151</v>
      </c>
      <c r="B77" s="516"/>
      <c r="C77" s="516"/>
      <c r="D77" s="60"/>
      <c r="E77" s="208"/>
      <c r="F77" s="105"/>
      <c r="G77" s="59">
        <v>1.0</v>
      </c>
      <c r="H77" s="192"/>
      <c r="I77" s="59">
        <v>1.0</v>
      </c>
      <c r="J77" s="46"/>
      <c r="K77" s="59">
        <v>1.0</v>
      </c>
      <c r="L77" s="59">
        <v>1.0</v>
      </c>
      <c r="M77" s="59">
        <v>2.0</v>
      </c>
      <c r="N77" s="59"/>
      <c r="O77" s="51"/>
      <c r="P77" s="46"/>
      <c r="Q77" s="59"/>
      <c r="R77" s="46"/>
      <c r="S77" s="511"/>
      <c r="T77" s="512"/>
      <c r="U77" s="46"/>
      <c r="V77" s="515"/>
      <c r="W77" s="59">
        <v>1.0</v>
      </c>
      <c r="X77" s="46"/>
      <c r="Y77" s="59">
        <v>1.0</v>
      </c>
      <c r="Z77" s="513"/>
      <c r="AA77" s="513"/>
      <c r="AB77" s="59">
        <v>2.0</v>
      </c>
      <c r="AC77" s="63">
        <v>1.0</v>
      </c>
      <c r="AD77" s="62">
        <f t="shared" si="11"/>
        <v>11</v>
      </c>
      <c r="AE77" s="80">
        <v>1500.0</v>
      </c>
      <c r="AF77" s="68">
        <f t="shared" si="12"/>
        <v>16500</v>
      </c>
      <c r="AG77" s="17"/>
      <c r="AH77" s="155"/>
      <c r="AI77" s="155"/>
    </row>
    <row r="78">
      <c r="A78" s="226" t="s">
        <v>56</v>
      </c>
      <c r="B78" s="528">
        <v>1.0</v>
      </c>
      <c r="C78" s="491"/>
      <c r="D78" s="60"/>
      <c r="E78" s="208"/>
      <c r="F78" s="208"/>
      <c r="G78" s="54"/>
      <c r="H78" s="51"/>
      <c r="I78" s="59">
        <v>1.0</v>
      </c>
      <c r="J78" s="54"/>
      <c r="K78" s="46"/>
      <c r="L78" s="54"/>
      <c r="M78" s="54"/>
      <c r="N78" s="54"/>
      <c r="O78" s="492"/>
      <c r="P78" s="54"/>
      <c r="Q78" s="54"/>
      <c r="R78" s="59">
        <v>1.0</v>
      </c>
      <c r="S78" s="568"/>
      <c r="T78" s="569"/>
      <c r="U78" s="54"/>
      <c r="V78" s="51"/>
      <c r="W78" s="54"/>
      <c r="X78" s="54"/>
      <c r="Y78" s="54"/>
      <c r="Z78" s="570"/>
      <c r="AA78" s="570"/>
      <c r="AB78" s="54"/>
      <c r="AC78" s="63"/>
      <c r="AD78" s="62">
        <f t="shared" si="11"/>
        <v>3</v>
      </c>
      <c r="AE78" s="80">
        <v>1500.0</v>
      </c>
      <c r="AF78" s="68">
        <f t="shared" si="12"/>
        <v>4500</v>
      </c>
      <c r="AG78" s="17"/>
      <c r="AH78" s="155"/>
      <c r="AI78" s="155"/>
    </row>
    <row r="79">
      <c r="A79" s="226" t="s">
        <v>59</v>
      </c>
      <c r="B79" s="528">
        <v>1.0</v>
      </c>
      <c r="C79" s="508"/>
      <c r="D79" s="60"/>
      <c r="E79" s="60"/>
      <c r="F79" s="105"/>
      <c r="G79" s="54"/>
      <c r="H79" s="192"/>
      <c r="I79" s="46"/>
      <c r="J79" s="59"/>
      <c r="K79" s="49"/>
      <c r="L79" s="46"/>
      <c r="M79" s="46"/>
      <c r="N79" s="46"/>
      <c r="O79" s="492"/>
      <c r="P79" s="46"/>
      <c r="Q79" s="46"/>
      <c r="R79" s="59"/>
      <c r="S79" s="518"/>
      <c r="T79" s="512"/>
      <c r="U79" s="59"/>
      <c r="V79" s="515"/>
      <c r="W79" s="46"/>
      <c r="X79" s="59"/>
      <c r="Y79" s="46"/>
      <c r="Z79" s="513"/>
      <c r="AA79" s="513"/>
      <c r="AB79" s="59"/>
      <c r="AC79" s="63">
        <v>1.0</v>
      </c>
      <c r="AD79" s="62">
        <f t="shared" si="11"/>
        <v>2</v>
      </c>
      <c r="AE79" s="80">
        <v>1500.0</v>
      </c>
      <c r="AF79" s="68">
        <f t="shared" si="12"/>
        <v>3000</v>
      </c>
      <c r="AG79" s="17"/>
      <c r="AH79" s="155"/>
      <c r="AI79" s="155"/>
    </row>
    <row r="80">
      <c r="A80" s="226" t="s">
        <v>62</v>
      </c>
      <c r="B80" s="528">
        <v>6.0</v>
      </c>
      <c r="C80" s="508"/>
      <c r="D80" s="60"/>
      <c r="E80" s="60"/>
      <c r="F80" s="208"/>
      <c r="G80" s="54"/>
      <c r="H80" s="192"/>
      <c r="I80" s="46"/>
      <c r="J80" s="54"/>
      <c r="K80" s="49"/>
      <c r="L80" s="46"/>
      <c r="M80" s="59">
        <v>2.0</v>
      </c>
      <c r="N80" s="46"/>
      <c r="O80" s="51"/>
      <c r="P80" s="46"/>
      <c r="Q80" s="46"/>
      <c r="R80" s="46"/>
      <c r="S80" s="518"/>
      <c r="T80" s="512"/>
      <c r="U80" s="59">
        <v>1.0</v>
      </c>
      <c r="V80" s="515"/>
      <c r="W80" s="46"/>
      <c r="X80" s="46"/>
      <c r="Y80" s="46"/>
      <c r="Z80" s="513"/>
      <c r="AA80" s="513"/>
      <c r="AB80" s="46"/>
      <c r="AC80" s="63"/>
      <c r="AD80" s="62">
        <f t="shared" si="11"/>
        <v>9</v>
      </c>
      <c r="AE80" s="80">
        <v>1500.0</v>
      </c>
      <c r="AF80" s="68">
        <f t="shared" si="12"/>
        <v>13500</v>
      </c>
      <c r="AG80" s="17"/>
      <c r="AH80" s="155"/>
      <c r="AI80" s="155"/>
    </row>
    <row r="81">
      <c r="A81" s="226" t="s">
        <v>64</v>
      </c>
      <c r="B81" s="567"/>
      <c r="C81" s="491"/>
      <c r="D81" s="208"/>
      <c r="E81" s="509"/>
      <c r="F81" s="208"/>
      <c r="G81" s="59"/>
      <c r="H81" s="192"/>
      <c r="I81" s="46"/>
      <c r="J81" s="59">
        <v>1.0</v>
      </c>
      <c r="K81" s="59"/>
      <c r="L81" s="59">
        <v>2.0</v>
      </c>
      <c r="M81" s="59"/>
      <c r="N81" s="59">
        <v>2.0</v>
      </c>
      <c r="O81" s="515"/>
      <c r="P81" s="46"/>
      <c r="Q81" s="493">
        <v>1.0</v>
      </c>
      <c r="R81" s="54"/>
      <c r="S81" s="518"/>
      <c r="T81" s="517"/>
      <c r="U81" s="46"/>
      <c r="V81" s="192"/>
      <c r="W81" s="59">
        <v>1.0</v>
      </c>
      <c r="X81" s="59">
        <v>5.0</v>
      </c>
      <c r="Y81" s="59"/>
      <c r="Z81" s="513"/>
      <c r="AA81" s="513"/>
      <c r="AB81" s="59"/>
      <c r="AC81" s="63">
        <v>1.0</v>
      </c>
      <c r="AD81" s="62">
        <f t="shared" si="11"/>
        <v>13</v>
      </c>
      <c r="AE81" s="80">
        <v>1500.0</v>
      </c>
      <c r="AF81" s="68">
        <f t="shared" si="12"/>
        <v>19500</v>
      </c>
      <c r="AG81" s="17"/>
      <c r="AH81" s="155"/>
      <c r="AI81" s="155"/>
    </row>
    <row r="82">
      <c r="A82" s="223" t="s">
        <v>54</v>
      </c>
      <c r="B82" s="514"/>
      <c r="C82" s="508"/>
      <c r="D82" s="60"/>
      <c r="E82" s="208"/>
      <c r="F82" s="208"/>
      <c r="G82" s="59"/>
      <c r="H82" s="492"/>
      <c r="I82" s="49"/>
      <c r="J82" s="49"/>
      <c r="K82" s="46"/>
      <c r="L82" s="59"/>
      <c r="M82" s="54"/>
      <c r="N82" s="54"/>
      <c r="O82" s="51"/>
      <c r="P82" s="46"/>
      <c r="Q82" s="493">
        <v>1.0</v>
      </c>
      <c r="R82" s="59">
        <v>1.0</v>
      </c>
      <c r="S82" s="518"/>
      <c r="T82" s="517"/>
      <c r="U82" s="46"/>
      <c r="V82" s="515"/>
      <c r="W82" s="46"/>
      <c r="X82" s="46"/>
      <c r="Y82" s="59"/>
      <c r="Z82" s="513"/>
      <c r="AA82" s="513"/>
      <c r="AB82" s="46"/>
      <c r="AC82" s="63"/>
      <c r="AD82" s="62">
        <f t="shared" si="11"/>
        <v>2</v>
      </c>
      <c r="AE82" s="80">
        <v>1500.0</v>
      </c>
      <c r="AF82" s="68">
        <f t="shared" si="12"/>
        <v>3000</v>
      </c>
      <c r="AG82" s="17"/>
      <c r="AH82" s="155"/>
      <c r="AI82" s="155"/>
    </row>
    <row r="83">
      <c r="A83" s="226" t="s">
        <v>159</v>
      </c>
      <c r="B83" s="507"/>
      <c r="C83" s="516"/>
      <c r="D83" s="60"/>
      <c r="E83" s="208"/>
      <c r="F83" s="105"/>
      <c r="G83" s="59"/>
      <c r="H83" s="515"/>
      <c r="I83" s="493">
        <v>1.0</v>
      </c>
      <c r="J83" s="493">
        <v>1.0</v>
      </c>
      <c r="K83" s="59"/>
      <c r="L83" s="493"/>
      <c r="M83" s="59">
        <v>1.0</v>
      </c>
      <c r="N83" s="59">
        <v>1.0</v>
      </c>
      <c r="O83" s="510"/>
      <c r="P83" s="49"/>
      <c r="Q83" s="59">
        <v>4.0</v>
      </c>
      <c r="R83" s="46"/>
      <c r="S83" s="511"/>
      <c r="T83" s="517"/>
      <c r="U83" s="59">
        <v>1.0</v>
      </c>
      <c r="V83" s="515"/>
      <c r="W83" s="46"/>
      <c r="X83" s="59"/>
      <c r="Y83" s="59">
        <v>2.0</v>
      </c>
      <c r="Z83" s="513"/>
      <c r="AA83" s="513"/>
      <c r="AB83" s="59"/>
      <c r="AC83" s="63">
        <v>4.0</v>
      </c>
      <c r="AD83" s="62">
        <f t="shared" si="11"/>
        <v>15</v>
      </c>
      <c r="AE83" s="80">
        <v>1500.0</v>
      </c>
      <c r="AF83" s="68">
        <f t="shared" si="12"/>
        <v>22500</v>
      </c>
      <c r="AG83" s="17"/>
      <c r="AH83" s="155"/>
      <c r="AI83" s="155"/>
    </row>
    <row r="84">
      <c r="A84" s="226" t="s">
        <v>67</v>
      </c>
      <c r="B84" s="514"/>
      <c r="C84" s="491"/>
      <c r="D84" s="208"/>
      <c r="E84" s="208"/>
      <c r="F84" s="208"/>
      <c r="G84" s="54"/>
      <c r="H84" s="51"/>
      <c r="I84" s="54"/>
      <c r="J84" s="49"/>
      <c r="K84" s="54"/>
      <c r="L84" s="54"/>
      <c r="M84" s="54"/>
      <c r="N84" s="54"/>
      <c r="O84" s="51"/>
      <c r="P84" s="54"/>
      <c r="Q84" s="59">
        <v>1.0</v>
      </c>
      <c r="R84" s="46"/>
      <c r="S84" s="568"/>
      <c r="T84" s="569"/>
      <c r="U84" s="59"/>
      <c r="V84" s="51"/>
      <c r="W84" s="54"/>
      <c r="X84" s="54"/>
      <c r="Y84" s="54"/>
      <c r="Z84" s="570"/>
      <c r="AA84" s="570"/>
      <c r="AB84" s="54"/>
      <c r="AC84" s="209"/>
      <c r="AD84" s="62">
        <f t="shared" si="11"/>
        <v>1</v>
      </c>
      <c r="AE84" s="80">
        <v>1500.0</v>
      </c>
      <c r="AF84" s="68">
        <f t="shared" si="12"/>
        <v>1500</v>
      </c>
      <c r="AG84" s="17"/>
      <c r="AH84" s="155"/>
      <c r="AI84" s="155"/>
    </row>
    <row r="85">
      <c r="A85" s="223" t="s">
        <v>69</v>
      </c>
      <c r="B85" s="528">
        <v>6.0</v>
      </c>
      <c r="C85" s="516"/>
      <c r="D85" s="208"/>
      <c r="E85" s="208"/>
      <c r="F85" s="105"/>
      <c r="G85" s="59">
        <v>1.0</v>
      </c>
      <c r="H85" s="515"/>
      <c r="I85" s="54"/>
      <c r="J85" s="54"/>
      <c r="K85" s="46"/>
      <c r="L85" s="59"/>
      <c r="M85" s="54"/>
      <c r="N85" s="54"/>
      <c r="O85" s="510"/>
      <c r="P85" s="49"/>
      <c r="Q85" s="46"/>
      <c r="R85" s="59"/>
      <c r="S85" s="511"/>
      <c r="T85" s="517"/>
      <c r="U85" s="46"/>
      <c r="V85" s="515"/>
      <c r="W85" s="46"/>
      <c r="X85" s="59"/>
      <c r="Y85" s="46"/>
      <c r="Z85" s="513"/>
      <c r="AA85" s="513"/>
      <c r="AB85" s="59"/>
      <c r="AC85" s="63"/>
      <c r="AD85" s="62">
        <f t="shared" si="11"/>
        <v>7</v>
      </c>
      <c r="AE85" s="80">
        <v>600.0</v>
      </c>
      <c r="AF85" s="68">
        <f t="shared" si="12"/>
        <v>4200</v>
      </c>
      <c r="AG85" s="17"/>
      <c r="AH85" s="155"/>
      <c r="AI85" s="155"/>
    </row>
    <row r="86">
      <c r="A86" s="223" t="s">
        <v>71</v>
      </c>
      <c r="B86" s="507">
        <v>8.0</v>
      </c>
      <c r="C86" s="508"/>
      <c r="D86" s="60"/>
      <c r="E86" s="509"/>
      <c r="F86" s="105"/>
      <c r="G86" s="59"/>
      <c r="H86" s="492"/>
      <c r="I86" s="493">
        <v>1.0</v>
      </c>
      <c r="J86" s="493">
        <v>1.0</v>
      </c>
      <c r="K86" s="493">
        <v>2.0</v>
      </c>
      <c r="L86" s="493"/>
      <c r="M86" s="59">
        <v>2.0</v>
      </c>
      <c r="N86" s="493">
        <v>1.0</v>
      </c>
      <c r="O86" s="510"/>
      <c r="P86" s="46"/>
      <c r="Q86" s="59">
        <v>3.0</v>
      </c>
      <c r="R86" s="59">
        <v>4.0</v>
      </c>
      <c r="S86" s="511"/>
      <c r="T86" s="517"/>
      <c r="U86" s="59"/>
      <c r="V86" s="515"/>
      <c r="W86" s="46"/>
      <c r="X86" s="59">
        <v>1.0</v>
      </c>
      <c r="Y86" s="59">
        <v>2.0</v>
      </c>
      <c r="Z86" s="513"/>
      <c r="AA86" s="513"/>
      <c r="AB86" s="59"/>
      <c r="AC86" s="63"/>
      <c r="AD86" s="62">
        <f t="shared" si="11"/>
        <v>25</v>
      </c>
      <c r="AE86" s="80">
        <v>500.0</v>
      </c>
      <c r="AF86" s="68">
        <f t="shared" si="12"/>
        <v>12500</v>
      </c>
      <c r="AG86" s="17"/>
      <c r="AH86" s="155"/>
      <c r="AI86" s="155"/>
    </row>
    <row r="87">
      <c r="A87" s="226" t="s">
        <v>171</v>
      </c>
      <c r="B87" s="507"/>
      <c r="C87" s="508"/>
      <c r="D87" s="60"/>
      <c r="E87" s="60"/>
      <c r="F87" s="105"/>
      <c r="G87" s="493">
        <v>2.0</v>
      </c>
      <c r="H87" s="192"/>
      <c r="I87" s="493">
        <v>1.0</v>
      </c>
      <c r="J87" s="493">
        <v>2.0</v>
      </c>
      <c r="K87" s="493">
        <v>3.0</v>
      </c>
      <c r="L87" s="493">
        <v>3.0</v>
      </c>
      <c r="M87" s="59">
        <v>5.0</v>
      </c>
      <c r="N87" s="59">
        <v>3.0</v>
      </c>
      <c r="O87" s="515"/>
      <c r="P87" s="493">
        <v>1.0</v>
      </c>
      <c r="Q87" s="493">
        <v>5.0</v>
      </c>
      <c r="R87" s="59">
        <v>1.0</v>
      </c>
      <c r="S87" s="511"/>
      <c r="T87" s="517"/>
      <c r="U87" s="59">
        <v>1.0</v>
      </c>
      <c r="V87" s="515"/>
      <c r="W87" s="59">
        <v>2.0</v>
      </c>
      <c r="X87" s="59">
        <v>2.0</v>
      </c>
      <c r="Y87" s="59">
        <v>3.0</v>
      </c>
      <c r="Z87" s="513"/>
      <c r="AA87" s="513"/>
      <c r="AB87" s="59">
        <v>9.0</v>
      </c>
      <c r="AC87" s="63">
        <v>14.0</v>
      </c>
      <c r="AD87" s="62">
        <f t="shared" si="11"/>
        <v>57</v>
      </c>
      <c r="AE87" s="80">
        <v>500.0</v>
      </c>
      <c r="AF87" s="68">
        <f t="shared" si="12"/>
        <v>28500</v>
      </c>
      <c r="AG87" s="17"/>
      <c r="AH87" s="155"/>
      <c r="AI87" s="155"/>
    </row>
    <row r="88">
      <c r="A88" s="226" t="s">
        <v>86</v>
      </c>
      <c r="B88" s="507"/>
      <c r="C88" s="508"/>
      <c r="D88" s="60"/>
      <c r="E88" s="60"/>
      <c r="F88" s="208"/>
      <c r="G88" s="54"/>
      <c r="H88" s="51"/>
      <c r="I88" s="49"/>
      <c r="J88" s="49"/>
      <c r="K88" s="46"/>
      <c r="L88" s="493"/>
      <c r="M88" s="59">
        <v>1.0</v>
      </c>
      <c r="N88" s="59">
        <v>2.0</v>
      </c>
      <c r="O88" s="51"/>
      <c r="P88" s="59">
        <v>1.0</v>
      </c>
      <c r="Q88" s="493"/>
      <c r="R88" s="59"/>
      <c r="S88" s="518"/>
      <c r="T88" s="512"/>
      <c r="U88" s="46"/>
      <c r="V88" s="515"/>
      <c r="W88" s="46"/>
      <c r="X88" s="59"/>
      <c r="Y88" s="59">
        <v>1.0</v>
      </c>
      <c r="Z88" s="513"/>
      <c r="AA88" s="513"/>
      <c r="AB88" s="59"/>
      <c r="AC88" s="63">
        <v>4.0</v>
      </c>
      <c r="AD88" s="62">
        <f t="shared" si="11"/>
        <v>9</v>
      </c>
      <c r="AE88" s="80">
        <v>500.0</v>
      </c>
      <c r="AF88" s="68">
        <f t="shared" si="12"/>
        <v>4500</v>
      </c>
      <c r="AG88" s="17"/>
      <c r="AH88" s="155"/>
      <c r="AI88" s="155"/>
    </row>
    <row r="89">
      <c r="A89" s="223" t="s">
        <v>80</v>
      </c>
      <c r="B89" s="567"/>
      <c r="C89" s="508"/>
      <c r="D89" s="208"/>
      <c r="E89" s="208"/>
      <c r="F89" s="208"/>
      <c r="G89" s="54"/>
      <c r="H89" s="192"/>
      <c r="I89" s="54"/>
      <c r="J89" s="46"/>
      <c r="K89" s="54"/>
      <c r="L89" s="54"/>
      <c r="M89" s="46"/>
      <c r="N89" s="54"/>
      <c r="O89" s="51"/>
      <c r="P89" s="54"/>
      <c r="Q89" s="54"/>
      <c r="R89" s="54"/>
      <c r="S89" s="568"/>
      <c r="T89" s="569"/>
      <c r="U89" s="54"/>
      <c r="V89" s="51"/>
      <c r="W89" s="54"/>
      <c r="X89" s="54"/>
      <c r="Y89" s="54"/>
      <c r="Z89" s="570"/>
      <c r="AA89" s="570"/>
      <c r="AB89" s="54"/>
      <c r="AC89" s="209"/>
      <c r="AD89" s="62">
        <f t="shared" si="11"/>
        <v>0</v>
      </c>
      <c r="AE89" s="80">
        <v>1500.0</v>
      </c>
      <c r="AF89" s="68">
        <f t="shared" si="12"/>
        <v>0</v>
      </c>
      <c r="AG89" s="17"/>
      <c r="AH89" s="155"/>
      <c r="AI89" s="155"/>
    </row>
    <row r="90">
      <c r="A90" s="156" t="s">
        <v>164</v>
      </c>
      <c r="B90" s="571"/>
      <c r="C90" s="591"/>
      <c r="D90" s="185"/>
      <c r="E90" s="212"/>
      <c r="F90" s="212"/>
      <c r="G90" s="247">
        <v>1.0</v>
      </c>
      <c r="H90" s="183"/>
      <c r="I90" s="246"/>
      <c r="J90" s="247"/>
      <c r="K90" s="246"/>
      <c r="L90" s="181"/>
      <c r="M90" s="247">
        <v>1.0</v>
      </c>
      <c r="N90" s="247"/>
      <c r="O90" s="575"/>
      <c r="P90" s="181"/>
      <c r="Q90" s="577"/>
      <c r="R90" s="181"/>
      <c r="S90" s="550"/>
      <c r="T90" s="551"/>
      <c r="U90" s="181"/>
      <c r="V90" s="579"/>
      <c r="W90" s="181"/>
      <c r="X90" s="181"/>
      <c r="Y90" s="247"/>
      <c r="Z90" s="552"/>
      <c r="AA90" s="552"/>
      <c r="AB90" s="247">
        <v>1.0</v>
      </c>
      <c r="AC90" s="230">
        <v>3.0</v>
      </c>
      <c r="AD90" s="62">
        <f t="shared" si="11"/>
        <v>6</v>
      </c>
      <c r="AE90" s="167">
        <v>500.0</v>
      </c>
      <c r="AF90" s="168">
        <f t="shared" si="12"/>
        <v>3000</v>
      </c>
      <c r="AG90" s="17"/>
      <c r="AH90" s="155"/>
      <c r="AI90" s="155"/>
    </row>
    <row r="91">
      <c r="A91" s="33" t="s">
        <v>326</v>
      </c>
      <c r="B91" s="528">
        <v>1.0</v>
      </c>
      <c r="C91" s="516"/>
      <c r="D91" s="60"/>
      <c r="E91" s="208"/>
      <c r="F91" s="208"/>
      <c r="G91" s="59">
        <v>2.0</v>
      </c>
      <c r="H91" s="51"/>
      <c r="I91" s="49"/>
      <c r="J91" s="59">
        <v>2.0</v>
      </c>
      <c r="K91" s="49"/>
      <c r="L91" s="59">
        <v>4.0</v>
      </c>
      <c r="M91" s="59">
        <v>1.0</v>
      </c>
      <c r="N91" s="54"/>
      <c r="O91" s="492"/>
      <c r="P91" s="59">
        <v>1.0</v>
      </c>
      <c r="Q91" s="493">
        <v>1.0</v>
      </c>
      <c r="R91" s="59">
        <v>4.0</v>
      </c>
      <c r="S91" s="518"/>
      <c r="T91" s="512"/>
      <c r="U91" s="59">
        <v>2.0</v>
      </c>
      <c r="V91" s="515"/>
      <c r="W91" s="59">
        <v>4.0</v>
      </c>
      <c r="X91" s="59">
        <v>3.0</v>
      </c>
      <c r="Y91" s="59"/>
      <c r="Z91" s="513"/>
      <c r="AA91" s="513"/>
      <c r="AB91" s="59">
        <v>1.0</v>
      </c>
      <c r="AC91" s="63">
        <v>13.0</v>
      </c>
      <c r="AD91" s="62">
        <f t="shared" si="11"/>
        <v>39</v>
      </c>
      <c r="AE91" s="80">
        <v>350.0</v>
      </c>
      <c r="AF91" s="168">
        <f t="shared" si="12"/>
        <v>13650</v>
      </c>
      <c r="AG91" s="17"/>
      <c r="AH91" s="155"/>
      <c r="AI91" s="155"/>
    </row>
    <row r="92">
      <c r="A92" s="156" t="s">
        <v>328</v>
      </c>
      <c r="B92" s="571"/>
      <c r="C92" s="591"/>
      <c r="D92" s="185"/>
      <c r="E92" s="212"/>
      <c r="F92" s="212"/>
      <c r="G92" s="247">
        <v>1.0</v>
      </c>
      <c r="H92" s="183"/>
      <c r="I92" s="246"/>
      <c r="J92" s="247">
        <v>1.0</v>
      </c>
      <c r="K92" s="577">
        <v>1.0</v>
      </c>
      <c r="L92" s="247">
        <v>2.0</v>
      </c>
      <c r="M92" s="181"/>
      <c r="N92" s="184"/>
      <c r="O92" s="575"/>
      <c r="P92" s="181"/>
      <c r="Q92" s="577">
        <v>2.0</v>
      </c>
      <c r="R92" s="181"/>
      <c r="S92" s="550"/>
      <c r="T92" s="551"/>
      <c r="U92" s="247"/>
      <c r="V92" s="579"/>
      <c r="W92" s="181"/>
      <c r="X92" s="181"/>
      <c r="Y92" s="247"/>
      <c r="Z92" s="552"/>
      <c r="AA92" s="552"/>
      <c r="AB92" s="181"/>
      <c r="AC92" s="230">
        <v>4.0</v>
      </c>
      <c r="AD92" s="62">
        <f t="shared" si="11"/>
        <v>11</v>
      </c>
      <c r="AE92" s="167">
        <v>450.0</v>
      </c>
      <c r="AF92" s="168">
        <f t="shared" si="12"/>
        <v>4950</v>
      </c>
      <c r="AG92" s="17"/>
      <c r="AH92" s="155"/>
      <c r="AI92" s="155"/>
    </row>
    <row r="93">
      <c r="A93" s="169" t="s">
        <v>45</v>
      </c>
      <c r="B93" s="128"/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  <c r="AA93" s="128"/>
      <c r="AB93" s="128"/>
      <c r="AC93" s="128"/>
      <c r="AD93" s="128"/>
      <c r="AE93" s="129"/>
      <c r="AF93" s="238">
        <f>SUM(AF76:AF92)</f>
        <v>156500</v>
      </c>
      <c r="AG93" s="17"/>
      <c r="AH93" s="239"/>
      <c r="AI93" s="239"/>
    </row>
    <row r="94">
      <c r="A94" s="24" t="s">
        <v>166</v>
      </c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8"/>
      <c r="AG94" s="17"/>
      <c r="AH94" s="178"/>
      <c r="AI94" s="178"/>
    </row>
    <row r="95">
      <c r="A95" s="156" t="s">
        <v>167</v>
      </c>
      <c r="B95" s="571"/>
      <c r="C95" s="549"/>
      <c r="D95" s="185"/>
      <c r="E95" s="212"/>
      <c r="F95" s="212"/>
      <c r="G95" s="184"/>
      <c r="H95" s="183"/>
      <c r="I95" s="246"/>
      <c r="J95" s="184"/>
      <c r="K95" s="184"/>
      <c r="L95" s="184"/>
      <c r="M95" s="184"/>
      <c r="N95" s="184"/>
      <c r="O95" s="183"/>
      <c r="P95" s="184"/>
      <c r="Q95" s="184"/>
      <c r="R95" s="184"/>
      <c r="S95" s="550"/>
      <c r="T95" s="551"/>
      <c r="U95" s="181"/>
      <c r="V95" s="229"/>
      <c r="W95" s="181"/>
      <c r="X95" s="181"/>
      <c r="Y95" s="181"/>
      <c r="Z95" s="552"/>
      <c r="AA95" s="552"/>
      <c r="AB95" s="181"/>
      <c r="AC95" s="186"/>
      <c r="AD95" s="166">
        <f>SUM(B95:AC95)</f>
        <v>0</v>
      </c>
      <c r="AE95" s="167">
        <v>350.0</v>
      </c>
      <c r="AF95" s="168">
        <f>AD95*AE95</f>
        <v>0</v>
      </c>
      <c r="AG95" s="17"/>
      <c r="AH95" s="155"/>
      <c r="AI95" s="155"/>
    </row>
    <row r="96">
      <c r="A96" s="240" t="s">
        <v>45</v>
      </c>
      <c r="B96" s="128"/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8"/>
      <c r="AC96" s="128"/>
      <c r="AD96" s="128"/>
      <c r="AE96" s="129"/>
      <c r="AF96" s="238">
        <f>SUM(AF95)</f>
        <v>0</v>
      </c>
      <c r="AG96" s="17"/>
      <c r="AH96" s="239"/>
      <c r="AI96" s="239"/>
    </row>
    <row r="97">
      <c r="A97" s="24" t="s">
        <v>341</v>
      </c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8"/>
      <c r="AG97" s="17"/>
      <c r="AH97" s="178" t="s">
        <v>343</v>
      </c>
      <c r="AI97" s="178"/>
    </row>
    <row r="98">
      <c r="A98" s="197" t="s">
        <v>170</v>
      </c>
      <c r="B98" s="567"/>
      <c r="C98" s="491"/>
      <c r="D98" s="208"/>
      <c r="E98" s="208"/>
      <c r="F98" s="208"/>
      <c r="G98" s="54"/>
      <c r="H98" s="51"/>
      <c r="I98" s="46"/>
      <c r="J98" s="54"/>
      <c r="K98" s="54"/>
      <c r="L98" s="54"/>
      <c r="M98" s="54"/>
      <c r="N98" s="54"/>
      <c r="O98" s="51"/>
      <c r="P98" s="46"/>
      <c r="Q98" s="59">
        <v>2.0</v>
      </c>
      <c r="R98" s="59">
        <v>2.0</v>
      </c>
      <c r="S98" s="568"/>
      <c r="T98" s="569"/>
      <c r="U98" s="54"/>
      <c r="V98" s="51"/>
      <c r="W98" s="54"/>
      <c r="X98" s="54"/>
      <c r="Y98" s="59">
        <v>1.0</v>
      </c>
      <c r="Z98" s="570"/>
      <c r="AA98" s="570"/>
      <c r="AB98" s="59"/>
      <c r="AC98" s="63">
        <v>4.0</v>
      </c>
      <c r="AD98" s="62">
        <f t="shared" ref="AD98:AD104" si="13">SUM(B98:AC98)</f>
        <v>9</v>
      </c>
      <c r="AE98" s="242">
        <v>280.0</v>
      </c>
      <c r="AF98" s="68">
        <f t="shared" ref="AF98:AF104" si="14">AD98*AE98</f>
        <v>2520</v>
      </c>
      <c r="AG98" s="17"/>
      <c r="AH98" s="155"/>
      <c r="AI98" s="155"/>
    </row>
    <row r="99">
      <c r="A99" s="197" t="s">
        <v>173</v>
      </c>
      <c r="B99" s="567"/>
      <c r="C99" s="491"/>
      <c r="D99" s="208"/>
      <c r="E99" s="208"/>
      <c r="F99" s="208"/>
      <c r="G99" s="54"/>
      <c r="H99" s="51"/>
      <c r="I99" s="54"/>
      <c r="J99" s="54"/>
      <c r="K99" s="54"/>
      <c r="L99" s="54"/>
      <c r="M99" s="54"/>
      <c r="N99" s="54"/>
      <c r="O99" s="51"/>
      <c r="P99" s="46"/>
      <c r="Q99" s="54"/>
      <c r="R99" s="54"/>
      <c r="S99" s="568"/>
      <c r="T99" s="569"/>
      <c r="U99" s="54"/>
      <c r="V99" s="51"/>
      <c r="W99" s="54"/>
      <c r="X99" s="54"/>
      <c r="Y99" s="54"/>
      <c r="Z99" s="570"/>
      <c r="AA99" s="570"/>
      <c r="AB99" s="54"/>
      <c r="AC99" s="209"/>
      <c r="AD99" s="62">
        <f t="shared" si="13"/>
        <v>0</v>
      </c>
      <c r="AE99" s="242">
        <v>260.0</v>
      </c>
      <c r="AF99" s="68">
        <f t="shared" si="14"/>
        <v>0</v>
      </c>
      <c r="AG99" s="17"/>
      <c r="AH99" s="155"/>
      <c r="AI99" s="155"/>
    </row>
    <row r="100">
      <c r="A100" s="243" t="s">
        <v>174</v>
      </c>
      <c r="B100" s="567"/>
      <c r="C100" s="508"/>
      <c r="D100" s="208"/>
      <c r="E100" s="208"/>
      <c r="F100" s="208"/>
      <c r="G100" s="54"/>
      <c r="H100" s="51"/>
      <c r="I100" s="54"/>
      <c r="J100" s="54"/>
      <c r="K100" s="54"/>
      <c r="L100" s="54"/>
      <c r="M100" s="54"/>
      <c r="N100" s="54"/>
      <c r="O100" s="51"/>
      <c r="P100" s="46"/>
      <c r="Q100" s="59"/>
      <c r="R100" s="54"/>
      <c r="S100" s="518"/>
      <c r="T100" s="512"/>
      <c r="U100" s="46"/>
      <c r="V100" s="192"/>
      <c r="W100" s="46"/>
      <c r="X100" s="46"/>
      <c r="Y100" s="46"/>
      <c r="Z100" s="513"/>
      <c r="AA100" s="513"/>
      <c r="AB100" s="46"/>
      <c r="AC100" s="88"/>
      <c r="AD100" s="62">
        <f t="shared" si="13"/>
        <v>0</v>
      </c>
      <c r="AE100" s="242">
        <v>380.0</v>
      </c>
      <c r="AF100" s="68">
        <f t="shared" si="14"/>
        <v>0</v>
      </c>
      <c r="AG100" s="17"/>
      <c r="AH100" s="155"/>
      <c r="AI100" s="155"/>
    </row>
    <row r="101">
      <c r="A101" s="243" t="s">
        <v>176</v>
      </c>
      <c r="B101" s="516"/>
      <c r="C101" s="491"/>
      <c r="D101" s="208"/>
      <c r="E101" s="208"/>
      <c r="F101" s="208"/>
      <c r="G101" s="49"/>
      <c r="H101" s="51"/>
      <c r="I101" s="54"/>
      <c r="J101" s="54"/>
      <c r="K101" s="54"/>
      <c r="L101" s="54"/>
      <c r="M101" s="54"/>
      <c r="N101" s="54"/>
      <c r="O101" s="51"/>
      <c r="P101" s="49"/>
      <c r="Q101" s="54"/>
      <c r="R101" s="54"/>
      <c r="S101" s="518"/>
      <c r="T101" s="512"/>
      <c r="U101" s="46"/>
      <c r="V101" s="515"/>
      <c r="W101" s="46"/>
      <c r="X101" s="46"/>
      <c r="Y101" s="46"/>
      <c r="Z101" s="513"/>
      <c r="AA101" s="513"/>
      <c r="AB101" s="46"/>
      <c r="AC101" s="88"/>
      <c r="AD101" s="62">
        <f t="shared" si="13"/>
        <v>0</v>
      </c>
      <c r="AE101" s="242">
        <v>420.0</v>
      </c>
      <c r="AF101" s="68">
        <f t="shared" si="14"/>
        <v>0</v>
      </c>
      <c r="AG101" s="17"/>
      <c r="AH101" s="155"/>
      <c r="AI101" s="155"/>
    </row>
    <row r="102">
      <c r="A102" s="197" t="s">
        <v>177</v>
      </c>
      <c r="B102" s="514"/>
      <c r="C102" s="491"/>
      <c r="D102" s="60"/>
      <c r="E102" s="208"/>
      <c r="F102" s="208"/>
      <c r="G102" s="493"/>
      <c r="H102" s="51"/>
      <c r="I102" s="54"/>
      <c r="J102" s="54"/>
      <c r="K102" s="54"/>
      <c r="L102" s="54"/>
      <c r="M102" s="59">
        <v>1.0</v>
      </c>
      <c r="N102" s="49"/>
      <c r="O102" s="515"/>
      <c r="P102" s="49"/>
      <c r="Q102" s="54"/>
      <c r="R102" s="54"/>
      <c r="S102" s="518"/>
      <c r="T102" s="512"/>
      <c r="U102" s="46"/>
      <c r="V102" s="192"/>
      <c r="W102" s="59">
        <v>9.0</v>
      </c>
      <c r="X102" s="46"/>
      <c r="Y102" s="59">
        <v>1.0</v>
      </c>
      <c r="Z102" s="513"/>
      <c r="AA102" s="513"/>
      <c r="AB102" s="59">
        <v>2.0</v>
      </c>
      <c r="AC102" s="63"/>
      <c r="AD102" s="62">
        <f t="shared" si="13"/>
        <v>13</v>
      </c>
      <c r="AE102" s="242">
        <v>750.0</v>
      </c>
      <c r="AF102" s="68">
        <f t="shared" si="14"/>
        <v>9750</v>
      </c>
      <c r="AG102" s="17"/>
      <c r="AH102" s="155"/>
      <c r="AI102" s="155"/>
    </row>
    <row r="103">
      <c r="A103" s="197" t="s">
        <v>179</v>
      </c>
      <c r="B103" s="528"/>
      <c r="C103" s="491"/>
      <c r="D103" s="208"/>
      <c r="E103" s="208"/>
      <c r="F103" s="105"/>
      <c r="G103" s="59">
        <v>2.0</v>
      </c>
      <c r="H103" s="51"/>
      <c r="I103" s="54"/>
      <c r="J103" s="46"/>
      <c r="K103" s="49"/>
      <c r="L103" s="59">
        <v>1.0</v>
      </c>
      <c r="M103" s="46"/>
      <c r="N103" s="54"/>
      <c r="O103" s="51"/>
      <c r="P103" s="46"/>
      <c r="Q103" s="54"/>
      <c r="R103" s="59">
        <v>2.0</v>
      </c>
      <c r="S103" s="568"/>
      <c r="T103" s="569"/>
      <c r="U103" s="54"/>
      <c r="V103" s="51"/>
      <c r="W103" s="59">
        <v>9.0</v>
      </c>
      <c r="X103" s="59">
        <v>7.0</v>
      </c>
      <c r="Y103" s="59"/>
      <c r="Z103" s="570"/>
      <c r="AA103" s="570"/>
      <c r="AB103" s="59">
        <v>1.0</v>
      </c>
      <c r="AC103" s="63">
        <v>1.0</v>
      </c>
      <c r="AD103" s="62">
        <f t="shared" si="13"/>
        <v>23</v>
      </c>
      <c r="AE103" s="242">
        <v>550.0</v>
      </c>
      <c r="AF103" s="68">
        <f t="shared" si="14"/>
        <v>12650</v>
      </c>
      <c r="AG103" s="17"/>
      <c r="AH103" s="155"/>
      <c r="AI103" s="155"/>
    </row>
    <row r="104">
      <c r="A104" s="243" t="s">
        <v>348</v>
      </c>
      <c r="B104" s="617"/>
      <c r="C104" s="543"/>
      <c r="D104" s="212"/>
      <c r="E104" s="212"/>
      <c r="F104" s="231"/>
      <c r="G104" s="247"/>
      <c r="H104" s="183"/>
      <c r="I104" s="184"/>
      <c r="J104" s="181"/>
      <c r="K104" s="246"/>
      <c r="L104" s="247"/>
      <c r="M104" s="181"/>
      <c r="N104" s="247">
        <v>1.0</v>
      </c>
      <c r="O104" s="183"/>
      <c r="P104" s="181"/>
      <c r="Q104" s="247">
        <v>1.0</v>
      </c>
      <c r="R104" s="181"/>
      <c r="S104" s="573"/>
      <c r="T104" s="574"/>
      <c r="U104" s="184"/>
      <c r="V104" s="183"/>
      <c r="W104" s="247">
        <v>3.0</v>
      </c>
      <c r="X104" s="184"/>
      <c r="Y104" s="247"/>
      <c r="Z104" s="576"/>
      <c r="AA104" s="576"/>
      <c r="AB104" s="247"/>
      <c r="AC104" s="230">
        <v>1.0</v>
      </c>
      <c r="AD104" s="166">
        <f t="shared" si="13"/>
        <v>6</v>
      </c>
      <c r="AE104" s="249">
        <v>220.0</v>
      </c>
      <c r="AF104" s="168">
        <f t="shared" si="14"/>
        <v>1320</v>
      </c>
      <c r="AG104" s="17"/>
      <c r="AH104" s="155"/>
      <c r="AI104" s="155"/>
    </row>
    <row r="105">
      <c r="A105" s="169" t="s">
        <v>45</v>
      </c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  <c r="AB105" s="128"/>
      <c r="AC105" s="128"/>
      <c r="AD105" s="128"/>
      <c r="AE105" s="129"/>
      <c r="AF105" s="174">
        <f>SUM(AF98:AF104)</f>
        <v>26240</v>
      </c>
      <c r="AG105" s="17"/>
      <c r="AH105" s="176"/>
      <c r="AI105" s="176"/>
    </row>
    <row r="106">
      <c r="A106" s="24" t="s">
        <v>350</v>
      </c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8"/>
      <c r="AG106" s="17"/>
      <c r="AH106" s="178"/>
      <c r="AI106" s="178"/>
    </row>
    <row r="107">
      <c r="A107" s="197" t="s">
        <v>191</v>
      </c>
      <c r="B107" s="507">
        <v>16.0</v>
      </c>
      <c r="C107" s="516"/>
      <c r="D107" s="60"/>
      <c r="E107" s="509"/>
      <c r="F107" s="105"/>
      <c r="G107" s="493">
        <v>5.0</v>
      </c>
      <c r="H107" s="510"/>
      <c r="I107" s="493">
        <v>10.0</v>
      </c>
      <c r="J107" s="493"/>
      <c r="K107" s="493">
        <v>20.0</v>
      </c>
      <c r="L107" s="493">
        <v>4.0</v>
      </c>
      <c r="M107" s="59">
        <v>2.0</v>
      </c>
      <c r="N107" s="493"/>
      <c r="O107" s="510"/>
      <c r="P107" s="59">
        <v>1.0</v>
      </c>
      <c r="Q107" s="493">
        <v>4.0</v>
      </c>
      <c r="R107" s="59">
        <v>6.0</v>
      </c>
      <c r="S107" s="518"/>
      <c r="T107" s="512"/>
      <c r="U107" s="59">
        <v>3.0</v>
      </c>
      <c r="V107" s="515"/>
      <c r="W107" s="59">
        <v>1.0</v>
      </c>
      <c r="X107" s="59"/>
      <c r="Y107" s="59">
        <v>6.0</v>
      </c>
      <c r="Z107" s="513"/>
      <c r="AA107" s="513"/>
      <c r="AB107" s="59">
        <v>4.0</v>
      </c>
      <c r="AC107" s="63">
        <v>6.0</v>
      </c>
      <c r="AD107" s="62">
        <f t="shared" ref="AD107:AD111" si="15">SUM(B107:AC107)</f>
        <v>88</v>
      </c>
      <c r="AE107" s="80">
        <v>50.0</v>
      </c>
      <c r="AF107" s="68">
        <f t="shared" ref="AF107:AF111" si="16">AD107*AE107</f>
        <v>4400</v>
      </c>
      <c r="AG107" s="17"/>
      <c r="AH107" s="155"/>
      <c r="AI107" s="155"/>
    </row>
    <row r="108">
      <c r="A108" s="197" t="s">
        <v>183</v>
      </c>
      <c r="B108" s="528">
        <v>2.0</v>
      </c>
      <c r="C108" s="491"/>
      <c r="D108" s="60"/>
      <c r="E108" s="208"/>
      <c r="F108" s="208"/>
      <c r="G108" s="59"/>
      <c r="H108" s="515"/>
      <c r="I108" s="59">
        <v>1.0</v>
      </c>
      <c r="J108" s="54"/>
      <c r="K108" s="493">
        <v>4.0</v>
      </c>
      <c r="L108" s="493">
        <v>1.0</v>
      </c>
      <c r="M108" s="59">
        <v>2.0</v>
      </c>
      <c r="N108" s="49"/>
      <c r="O108" s="51"/>
      <c r="P108" s="46"/>
      <c r="Q108" s="493">
        <v>1.0</v>
      </c>
      <c r="R108" s="59"/>
      <c r="S108" s="518"/>
      <c r="T108" s="517"/>
      <c r="U108" s="59">
        <v>2.0</v>
      </c>
      <c r="V108" s="192"/>
      <c r="W108" s="46"/>
      <c r="X108" s="46"/>
      <c r="Y108" s="59"/>
      <c r="Z108" s="513"/>
      <c r="AA108" s="513"/>
      <c r="AB108" s="59"/>
      <c r="AC108" s="88"/>
      <c r="AD108" s="62">
        <f t="shared" si="15"/>
        <v>13</v>
      </c>
      <c r="AE108" s="80">
        <v>60.0</v>
      </c>
      <c r="AF108" s="68">
        <f t="shared" si="16"/>
        <v>780</v>
      </c>
      <c r="AG108" s="17"/>
      <c r="AH108" s="155"/>
      <c r="AI108" s="155"/>
    </row>
    <row r="109">
      <c r="A109" s="197" t="s">
        <v>185</v>
      </c>
      <c r="B109" s="528"/>
      <c r="C109" s="516"/>
      <c r="D109" s="208"/>
      <c r="E109" s="208"/>
      <c r="F109" s="105"/>
      <c r="G109" s="493"/>
      <c r="H109" s="192"/>
      <c r="I109" s="493">
        <v>2.0</v>
      </c>
      <c r="J109" s="54"/>
      <c r="K109" s="49"/>
      <c r="L109" s="493"/>
      <c r="M109" s="54"/>
      <c r="N109" s="59"/>
      <c r="O109" s="51"/>
      <c r="P109" s="49"/>
      <c r="Q109" s="59">
        <v>6.0</v>
      </c>
      <c r="R109" s="59">
        <v>1.0</v>
      </c>
      <c r="S109" s="568"/>
      <c r="T109" s="517"/>
      <c r="U109" s="59">
        <v>1.0</v>
      </c>
      <c r="V109" s="515"/>
      <c r="W109" s="59">
        <v>1.0</v>
      </c>
      <c r="X109" s="59">
        <v>12.0</v>
      </c>
      <c r="Y109" s="59">
        <v>5.0</v>
      </c>
      <c r="Z109" s="570"/>
      <c r="AA109" s="570"/>
      <c r="AB109" s="59">
        <v>2.0</v>
      </c>
      <c r="AC109" s="63"/>
      <c r="AD109" s="62">
        <f t="shared" si="15"/>
        <v>30</v>
      </c>
      <c r="AE109" s="80">
        <v>150.0</v>
      </c>
      <c r="AF109" s="68">
        <f t="shared" si="16"/>
        <v>4500</v>
      </c>
      <c r="AG109" s="17"/>
      <c r="AH109" s="155"/>
      <c r="AI109" s="155"/>
    </row>
    <row r="110">
      <c r="A110" s="197" t="s">
        <v>186</v>
      </c>
      <c r="B110" s="514"/>
      <c r="C110" s="508"/>
      <c r="D110" s="60"/>
      <c r="E110" s="208"/>
      <c r="F110" s="208"/>
      <c r="G110" s="54"/>
      <c r="H110" s="51"/>
      <c r="I110" s="54"/>
      <c r="J110" s="54"/>
      <c r="K110" s="46"/>
      <c r="L110" s="46"/>
      <c r="M110" s="46"/>
      <c r="N110" s="54"/>
      <c r="O110" s="51"/>
      <c r="P110" s="46"/>
      <c r="Q110" s="49"/>
      <c r="R110" s="59"/>
      <c r="S110" s="518"/>
      <c r="T110" s="512"/>
      <c r="U110" s="59"/>
      <c r="V110" s="192"/>
      <c r="W110" s="46"/>
      <c r="X110" s="46"/>
      <c r="Y110" s="46"/>
      <c r="Z110" s="513"/>
      <c r="AA110" s="513"/>
      <c r="AB110" s="46"/>
      <c r="AC110" s="88"/>
      <c r="AD110" s="62">
        <f t="shared" si="15"/>
        <v>0</v>
      </c>
      <c r="AE110" s="80">
        <v>130.0</v>
      </c>
      <c r="AF110" s="68">
        <f t="shared" si="16"/>
        <v>0</v>
      </c>
      <c r="AG110" s="17"/>
      <c r="AH110" s="155"/>
      <c r="AI110" s="155"/>
    </row>
    <row r="111">
      <c r="A111" s="243" t="s">
        <v>187</v>
      </c>
      <c r="B111" s="591"/>
      <c r="C111" s="591"/>
      <c r="D111" s="185"/>
      <c r="E111" s="631"/>
      <c r="F111" s="212"/>
      <c r="G111" s="577"/>
      <c r="H111" s="632"/>
      <c r="I111" s="181"/>
      <c r="J111" s="577"/>
      <c r="K111" s="246"/>
      <c r="L111" s="181"/>
      <c r="M111" s="181"/>
      <c r="N111" s="181"/>
      <c r="O111" s="183"/>
      <c r="P111" s="181"/>
      <c r="Q111" s="246"/>
      <c r="R111" s="247"/>
      <c r="S111" s="550"/>
      <c r="T111" s="551"/>
      <c r="U111" s="181"/>
      <c r="V111" s="579"/>
      <c r="W111" s="247">
        <v>12.0</v>
      </c>
      <c r="X111" s="247">
        <v>2.0</v>
      </c>
      <c r="Y111" s="247">
        <v>2.0</v>
      </c>
      <c r="Z111" s="552"/>
      <c r="AA111" s="552"/>
      <c r="AB111" s="181"/>
      <c r="AC111" s="230">
        <v>2.0</v>
      </c>
      <c r="AD111" s="62">
        <f t="shared" si="15"/>
        <v>18</v>
      </c>
      <c r="AE111" s="167">
        <v>1650.0</v>
      </c>
      <c r="AF111" s="168">
        <f t="shared" si="16"/>
        <v>29700</v>
      </c>
      <c r="AG111" s="17"/>
      <c r="AH111" s="155"/>
      <c r="AI111" s="155"/>
    </row>
    <row r="112">
      <c r="A112" s="251" t="s">
        <v>45</v>
      </c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  <c r="AA112" s="128"/>
      <c r="AB112" s="128"/>
      <c r="AC112" s="128"/>
      <c r="AD112" s="128"/>
      <c r="AE112" s="129"/>
      <c r="AF112" s="238">
        <f>SUM(AF107:AF111)</f>
        <v>39380</v>
      </c>
      <c r="AG112" s="17"/>
      <c r="AH112" s="195"/>
      <c r="AI112" s="195"/>
    </row>
    <row r="113">
      <c r="A113" s="24" t="s">
        <v>188</v>
      </c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8"/>
      <c r="AG113" s="17"/>
      <c r="AH113" s="178" t="s">
        <v>357</v>
      </c>
      <c r="AI113" s="178"/>
    </row>
    <row r="114">
      <c r="A114" s="252" t="s">
        <v>189</v>
      </c>
      <c r="B114" s="567"/>
      <c r="C114" s="491"/>
      <c r="D114" s="208"/>
      <c r="E114" s="208"/>
      <c r="F114" s="208"/>
      <c r="G114" s="49"/>
      <c r="H114" s="51"/>
      <c r="I114" s="54"/>
      <c r="J114" s="54"/>
      <c r="K114" s="49"/>
      <c r="L114" s="54"/>
      <c r="M114" s="54"/>
      <c r="N114" s="54"/>
      <c r="O114" s="51"/>
      <c r="P114" s="54"/>
      <c r="Q114" s="54"/>
      <c r="R114" s="54"/>
      <c r="S114" s="568"/>
      <c r="T114" s="569"/>
      <c r="U114" s="54"/>
      <c r="V114" s="515"/>
      <c r="W114" s="54"/>
      <c r="X114" s="59"/>
      <c r="Y114" s="54"/>
      <c r="Z114" s="570"/>
      <c r="AA114" s="570"/>
      <c r="AB114" s="54"/>
      <c r="AC114" s="209"/>
      <c r="AD114" s="62">
        <f t="shared" ref="AD114:AD116" si="17">SUM(B114:AC114)</f>
        <v>0</v>
      </c>
      <c r="AE114" s="80">
        <v>1036.0</v>
      </c>
      <c r="AF114" s="68">
        <f t="shared" ref="AF114:AF116" si="18">AD114*AE114</f>
        <v>0</v>
      </c>
      <c r="AG114" s="17"/>
      <c r="AH114" s="155"/>
      <c r="AI114" s="155"/>
    </row>
    <row r="115">
      <c r="A115" s="33" t="s">
        <v>25</v>
      </c>
      <c r="B115" s="567"/>
      <c r="C115" s="491"/>
      <c r="D115" s="60"/>
      <c r="E115" s="208"/>
      <c r="F115" s="208"/>
      <c r="G115" s="54"/>
      <c r="H115" s="51"/>
      <c r="I115" s="54"/>
      <c r="J115" s="54"/>
      <c r="K115" s="54"/>
      <c r="L115" s="54"/>
      <c r="M115" s="54"/>
      <c r="N115" s="54"/>
      <c r="O115" s="51"/>
      <c r="P115" s="54"/>
      <c r="Q115" s="54"/>
      <c r="R115" s="54"/>
      <c r="S115" s="568"/>
      <c r="T115" s="569"/>
      <c r="U115" s="54"/>
      <c r="V115" s="515"/>
      <c r="W115" s="54"/>
      <c r="X115" s="54"/>
      <c r="Y115" s="54"/>
      <c r="Z115" s="570"/>
      <c r="AA115" s="570"/>
      <c r="AB115" s="54"/>
      <c r="AC115" s="209"/>
      <c r="AD115" s="62">
        <f t="shared" si="17"/>
        <v>0</v>
      </c>
      <c r="AE115" s="80">
        <v>840.0</v>
      </c>
      <c r="AF115" s="68">
        <f t="shared" si="18"/>
        <v>0</v>
      </c>
      <c r="AG115" s="17"/>
      <c r="AH115" s="155"/>
      <c r="AI115" s="155"/>
    </row>
    <row r="116">
      <c r="A116" s="253" t="s">
        <v>17</v>
      </c>
      <c r="B116" s="581"/>
      <c r="C116" s="591"/>
      <c r="D116" s="185"/>
      <c r="E116" s="631"/>
      <c r="F116" s="231"/>
      <c r="G116" s="247"/>
      <c r="H116" s="632"/>
      <c r="I116" s="246"/>
      <c r="J116" s="247"/>
      <c r="K116" s="577">
        <v>2.0</v>
      </c>
      <c r="L116" s="181"/>
      <c r="M116" s="247"/>
      <c r="N116" s="184"/>
      <c r="O116" s="579"/>
      <c r="P116" s="246"/>
      <c r="Q116" s="247">
        <v>3.0</v>
      </c>
      <c r="R116" s="181"/>
      <c r="S116" s="582"/>
      <c r="T116" s="583"/>
      <c r="U116" s="181"/>
      <c r="V116" s="579"/>
      <c r="W116" s="247">
        <v>1.0</v>
      </c>
      <c r="X116" s="247">
        <v>1.0</v>
      </c>
      <c r="Y116" s="247">
        <v>1.0</v>
      </c>
      <c r="Z116" s="552"/>
      <c r="AA116" s="552"/>
      <c r="AB116" s="247"/>
      <c r="AC116" s="230">
        <v>2.0</v>
      </c>
      <c r="AD116" s="62">
        <f t="shared" si="17"/>
        <v>10</v>
      </c>
      <c r="AE116" s="167">
        <v>1125.0</v>
      </c>
      <c r="AF116" s="168">
        <f t="shared" si="18"/>
        <v>11250</v>
      </c>
      <c r="AG116" s="17"/>
      <c r="AH116" s="155"/>
      <c r="AI116" s="155"/>
    </row>
    <row r="117">
      <c r="A117" s="254" t="s">
        <v>45</v>
      </c>
      <c r="B117" s="128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  <c r="AA117" s="128"/>
      <c r="AB117" s="128"/>
      <c r="AC117" s="128"/>
      <c r="AD117" s="128"/>
      <c r="AE117" s="129"/>
      <c r="AF117" s="174">
        <f>SUM(AF114:AF116)</f>
        <v>11250</v>
      </c>
      <c r="AG117" s="17"/>
      <c r="AH117" s="255"/>
      <c r="AI117" s="255"/>
    </row>
    <row r="118">
      <c r="A118" s="256" t="s">
        <v>192</v>
      </c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8"/>
      <c r="AG118" s="17"/>
      <c r="AH118" s="257" t="s">
        <v>359</v>
      </c>
      <c r="AI118" s="257"/>
    </row>
    <row r="119">
      <c r="A119" s="258" t="s">
        <v>193</v>
      </c>
      <c r="B119" s="528">
        <v>1.0</v>
      </c>
      <c r="C119" s="508"/>
      <c r="D119" s="60"/>
      <c r="E119" s="60"/>
      <c r="F119" s="105"/>
      <c r="G119" s="493">
        <v>1.0</v>
      </c>
      <c r="H119" s="515"/>
      <c r="I119" s="54"/>
      <c r="J119" s="46"/>
      <c r="K119" s="59">
        <v>2.0</v>
      </c>
      <c r="L119" s="46"/>
      <c r="M119" s="59">
        <v>1.0</v>
      </c>
      <c r="N119" s="49"/>
      <c r="O119" s="51"/>
      <c r="P119" s="49"/>
      <c r="Q119" s="49"/>
      <c r="R119" s="46"/>
      <c r="S119" s="518"/>
      <c r="T119" s="512"/>
      <c r="U119" s="59"/>
      <c r="V119" s="515"/>
      <c r="W119" s="59">
        <v>1.0</v>
      </c>
      <c r="X119" s="59">
        <v>1.0</v>
      </c>
      <c r="Y119" s="59"/>
      <c r="Z119" s="513"/>
      <c r="AA119" s="513"/>
      <c r="AB119" s="46"/>
      <c r="AC119" s="63"/>
      <c r="AD119" s="62">
        <f t="shared" ref="AD119:AD129" si="19">SUM(B119:AC119)</f>
        <v>7</v>
      </c>
      <c r="AE119" s="80">
        <v>130.0</v>
      </c>
      <c r="AF119" s="68">
        <f t="shared" ref="AF119:AF129" si="20">AD119*AE119</f>
        <v>910</v>
      </c>
      <c r="AG119" s="17"/>
      <c r="AH119" s="155"/>
      <c r="AI119" s="155"/>
    </row>
    <row r="120">
      <c r="A120" s="258" t="s">
        <v>196</v>
      </c>
      <c r="B120" s="567"/>
      <c r="C120" s="508"/>
      <c r="D120" s="208"/>
      <c r="E120" s="208"/>
      <c r="F120" s="208"/>
      <c r="G120" s="59"/>
      <c r="H120" s="492"/>
      <c r="I120" s="493">
        <v>2.0</v>
      </c>
      <c r="J120" s="46"/>
      <c r="K120" s="49"/>
      <c r="L120" s="49"/>
      <c r="M120" s="54"/>
      <c r="N120" s="54"/>
      <c r="O120" s="492"/>
      <c r="P120" s="54"/>
      <c r="Q120" s="59"/>
      <c r="R120" s="54"/>
      <c r="S120" s="518"/>
      <c r="T120" s="517"/>
      <c r="U120" s="46"/>
      <c r="V120" s="192"/>
      <c r="W120" s="46"/>
      <c r="X120" s="46"/>
      <c r="Y120" s="59">
        <v>1.0</v>
      </c>
      <c r="Z120" s="513"/>
      <c r="AA120" s="513"/>
      <c r="AB120" s="59"/>
      <c r="AC120" s="88"/>
      <c r="AD120" s="62">
        <f t="shared" si="19"/>
        <v>3</v>
      </c>
      <c r="AE120" s="80">
        <v>130.0</v>
      </c>
      <c r="AF120" s="68">
        <f t="shared" si="20"/>
        <v>390</v>
      </c>
      <c r="AG120" s="17"/>
      <c r="AH120" s="155"/>
      <c r="AI120" s="155"/>
    </row>
    <row r="121">
      <c r="A121" s="267" t="s">
        <v>360</v>
      </c>
      <c r="B121" s="507">
        <v>2.0</v>
      </c>
      <c r="C121" s="516"/>
      <c r="D121" s="60"/>
      <c r="E121" s="60"/>
      <c r="F121" s="208"/>
      <c r="G121" s="493"/>
      <c r="H121" s="192"/>
      <c r="I121" s="493">
        <v>2.0</v>
      </c>
      <c r="J121" s="59">
        <v>3.0</v>
      </c>
      <c r="K121" s="493">
        <v>3.0</v>
      </c>
      <c r="L121" s="49"/>
      <c r="M121" s="59"/>
      <c r="N121" s="59">
        <v>1.0</v>
      </c>
      <c r="O121" s="51"/>
      <c r="P121" s="46"/>
      <c r="Q121" s="493"/>
      <c r="R121" s="59"/>
      <c r="S121" s="518"/>
      <c r="T121" s="517"/>
      <c r="U121" s="59">
        <v>1.0</v>
      </c>
      <c r="V121" s="515"/>
      <c r="W121" s="59">
        <v>10.0</v>
      </c>
      <c r="X121" s="59">
        <v>2.0</v>
      </c>
      <c r="Y121" s="59">
        <v>4.0</v>
      </c>
      <c r="Z121" s="513"/>
      <c r="AA121" s="513"/>
      <c r="AB121" s="59">
        <v>1.0</v>
      </c>
      <c r="AC121" s="63">
        <v>3.0</v>
      </c>
      <c r="AD121" s="62">
        <f t="shared" si="19"/>
        <v>32</v>
      </c>
      <c r="AE121" s="80">
        <v>90.0</v>
      </c>
      <c r="AF121" s="68">
        <f t="shared" si="20"/>
        <v>2880</v>
      </c>
      <c r="AG121" s="17"/>
      <c r="AH121" s="155"/>
      <c r="AI121" s="155"/>
    </row>
    <row r="122">
      <c r="A122" s="147" t="s">
        <v>199</v>
      </c>
      <c r="B122" s="567"/>
      <c r="C122" s="491"/>
      <c r="D122" s="208"/>
      <c r="E122" s="208"/>
      <c r="F122" s="208"/>
      <c r="G122" s="54"/>
      <c r="H122" s="51"/>
      <c r="I122" s="54"/>
      <c r="J122" s="54"/>
      <c r="K122" s="54"/>
      <c r="L122" s="54"/>
      <c r="M122" s="54"/>
      <c r="N122" s="54"/>
      <c r="O122" s="51"/>
      <c r="P122" s="54"/>
      <c r="Q122" s="54"/>
      <c r="R122" s="54"/>
      <c r="S122" s="568"/>
      <c r="T122" s="569"/>
      <c r="U122" s="54"/>
      <c r="V122" s="51"/>
      <c r="W122" s="54"/>
      <c r="X122" s="54"/>
      <c r="Y122" s="54"/>
      <c r="Z122" s="570"/>
      <c r="AA122" s="570"/>
      <c r="AB122" s="54"/>
      <c r="AC122" s="209"/>
      <c r="AD122" s="62">
        <f t="shared" si="19"/>
        <v>0</v>
      </c>
      <c r="AE122" s="80">
        <v>90.0</v>
      </c>
      <c r="AF122" s="68">
        <f t="shared" si="20"/>
        <v>0</v>
      </c>
      <c r="AG122" s="17"/>
      <c r="AH122" s="155"/>
      <c r="AI122" s="155"/>
    </row>
    <row r="123">
      <c r="A123" s="258" t="s">
        <v>201</v>
      </c>
      <c r="B123" s="528"/>
      <c r="C123" s="508"/>
      <c r="D123" s="60"/>
      <c r="E123" s="208"/>
      <c r="F123" s="105"/>
      <c r="G123" s="493"/>
      <c r="H123" s="515"/>
      <c r="I123" s="493">
        <v>4.0</v>
      </c>
      <c r="J123" s="493"/>
      <c r="K123" s="493"/>
      <c r="L123" s="493"/>
      <c r="M123" s="59">
        <v>1.0</v>
      </c>
      <c r="N123" s="493">
        <v>3.0</v>
      </c>
      <c r="O123" s="510"/>
      <c r="P123" s="59">
        <v>1.0</v>
      </c>
      <c r="Q123" s="493"/>
      <c r="R123" s="59"/>
      <c r="S123" s="518"/>
      <c r="T123" s="517"/>
      <c r="U123" s="46"/>
      <c r="V123" s="515"/>
      <c r="W123" s="59">
        <v>2.0</v>
      </c>
      <c r="X123" s="59">
        <v>1.0</v>
      </c>
      <c r="Y123" s="59">
        <v>10.0</v>
      </c>
      <c r="Z123" s="513"/>
      <c r="AA123" s="513"/>
      <c r="AB123" s="46"/>
      <c r="AC123" s="63">
        <v>2.0</v>
      </c>
      <c r="AD123" s="62">
        <f t="shared" si="19"/>
        <v>24</v>
      </c>
      <c r="AE123" s="80">
        <v>200.0</v>
      </c>
      <c r="AF123" s="68">
        <f t="shared" si="20"/>
        <v>4800</v>
      </c>
      <c r="AG123" s="17"/>
      <c r="AH123" s="155"/>
      <c r="AI123" s="155"/>
    </row>
    <row r="124">
      <c r="A124" s="258" t="s">
        <v>203</v>
      </c>
      <c r="B124" s="567"/>
      <c r="C124" s="491"/>
      <c r="D124" s="208"/>
      <c r="E124" s="208"/>
      <c r="F124" s="208"/>
      <c r="G124" s="54"/>
      <c r="H124" s="51"/>
      <c r="I124" s="54"/>
      <c r="J124" s="54"/>
      <c r="K124" s="54"/>
      <c r="L124" s="54"/>
      <c r="M124" s="54"/>
      <c r="N124" s="54"/>
      <c r="O124" s="51"/>
      <c r="P124" s="54"/>
      <c r="Q124" s="54"/>
      <c r="R124" s="54"/>
      <c r="S124" s="518"/>
      <c r="T124" s="512"/>
      <c r="U124" s="46"/>
      <c r="V124" s="192"/>
      <c r="W124" s="46"/>
      <c r="X124" s="46"/>
      <c r="Y124" s="46"/>
      <c r="Z124" s="513"/>
      <c r="AA124" s="513"/>
      <c r="AB124" s="46"/>
      <c r="AC124" s="88"/>
      <c r="AD124" s="62">
        <f t="shared" si="19"/>
        <v>0</v>
      </c>
      <c r="AE124" s="80">
        <v>200.0</v>
      </c>
      <c r="AF124" s="68">
        <f t="shared" si="20"/>
        <v>0</v>
      </c>
      <c r="AG124" s="17"/>
      <c r="AH124" s="155"/>
      <c r="AI124" s="155"/>
    </row>
    <row r="125">
      <c r="A125" s="258" t="s">
        <v>204</v>
      </c>
      <c r="B125" s="567"/>
      <c r="C125" s="491"/>
      <c r="D125" s="208"/>
      <c r="E125" s="208"/>
      <c r="F125" s="208"/>
      <c r="G125" s="54"/>
      <c r="H125" s="51"/>
      <c r="I125" s="54"/>
      <c r="J125" s="54"/>
      <c r="K125" s="54"/>
      <c r="L125" s="54"/>
      <c r="M125" s="54"/>
      <c r="N125" s="54"/>
      <c r="O125" s="51"/>
      <c r="P125" s="54"/>
      <c r="Q125" s="54"/>
      <c r="R125" s="54"/>
      <c r="S125" s="568"/>
      <c r="T125" s="569"/>
      <c r="U125" s="54"/>
      <c r="V125" s="51"/>
      <c r="W125" s="54"/>
      <c r="X125" s="54"/>
      <c r="Y125" s="54"/>
      <c r="Z125" s="570"/>
      <c r="AA125" s="570"/>
      <c r="AB125" s="54"/>
      <c r="AC125" s="209"/>
      <c r="AD125" s="62">
        <f t="shared" si="19"/>
        <v>0</v>
      </c>
      <c r="AE125" s="80">
        <v>600.0</v>
      </c>
      <c r="AF125" s="68">
        <f t="shared" si="20"/>
        <v>0</v>
      </c>
      <c r="AG125" s="17"/>
      <c r="AH125" s="155"/>
      <c r="AI125" s="155"/>
    </row>
    <row r="126">
      <c r="A126" s="258" t="s">
        <v>205</v>
      </c>
      <c r="B126" s="507">
        <v>1.0</v>
      </c>
      <c r="C126" s="516"/>
      <c r="D126" s="60"/>
      <c r="E126" s="208"/>
      <c r="F126" s="105"/>
      <c r="G126" s="49"/>
      <c r="H126" s="192"/>
      <c r="I126" s="54"/>
      <c r="J126" s="59"/>
      <c r="K126" s="493">
        <v>1.0</v>
      </c>
      <c r="L126" s="493">
        <v>1.0</v>
      </c>
      <c r="M126" s="59">
        <v>1.0</v>
      </c>
      <c r="N126" s="493"/>
      <c r="O126" s="51"/>
      <c r="P126" s="493">
        <v>1.0</v>
      </c>
      <c r="Q126" s="46"/>
      <c r="R126" s="59"/>
      <c r="S126" s="518"/>
      <c r="T126" s="517"/>
      <c r="U126" s="59"/>
      <c r="V126" s="192"/>
      <c r="W126" s="59">
        <v>1.0</v>
      </c>
      <c r="X126" s="46"/>
      <c r="Y126" s="46"/>
      <c r="Z126" s="513"/>
      <c r="AA126" s="513"/>
      <c r="AB126" s="59"/>
      <c r="AC126" s="63">
        <v>1.0</v>
      </c>
      <c r="AD126" s="62">
        <f t="shared" si="19"/>
        <v>7</v>
      </c>
      <c r="AE126" s="80">
        <v>600.0</v>
      </c>
      <c r="AF126" s="68">
        <f t="shared" si="20"/>
        <v>4200</v>
      </c>
      <c r="AG126" s="17"/>
      <c r="AH126" s="155"/>
      <c r="AI126" s="155"/>
    </row>
    <row r="127">
      <c r="A127" s="267" t="s">
        <v>225</v>
      </c>
      <c r="B127" s="528"/>
      <c r="C127" s="508"/>
      <c r="D127" s="60"/>
      <c r="E127" s="208"/>
      <c r="F127" s="105"/>
      <c r="G127" s="59">
        <v>1.0</v>
      </c>
      <c r="H127" s="515"/>
      <c r="I127" s="59">
        <v>1.0</v>
      </c>
      <c r="J127" s="59">
        <v>1.0</v>
      </c>
      <c r="K127" s="59">
        <v>1.0</v>
      </c>
      <c r="L127" s="59">
        <v>3.0</v>
      </c>
      <c r="M127" s="59">
        <v>1.0</v>
      </c>
      <c r="N127" s="493">
        <v>3.0</v>
      </c>
      <c r="O127" s="510"/>
      <c r="P127" s="493">
        <v>1.0</v>
      </c>
      <c r="Q127" s="493"/>
      <c r="R127" s="59"/>
      <c r="S127" s="511"/>
      <c r="T127" s="517"/>
      <c r="U127" s="59">
        <v>2.0</v>
      </c>
      <c r="V127" s="515"/>
      <c r="W127" s="59">
        <v>1.0</v>
      </c>
      <c r="X127" s="59">
        <v>1.0</v>
      </c>
      <c r="Y127" s="59">
        <v>1.0</v>
      </c>
      <c r="Z127" s="513"/>
      <c r="AA127" s="513"/>
      <c r="AB127" s="59">
        <v>1.0</v>
      </c>
      <c r="AC127" s="63">
        <v>5.0</v>
      </c>
      <c r="AD127" s="62">
        <f t="shared" si="19"/>
        <v>23</v>
      </c>
      <c r="AE127" s="80">
        <v>500.0</v>
      </c>
      <c r="AF127" s="68">
        <f t="shared" si="20"/>
        <v>11500</v>
      </c>
      <c r="AG127" s="17"/>
      <c r="AH127" s="155"/>
      <c r="AI127" s="155"/>
    </row>
    <row r="128">
      <c r="A128" s="267" t="s">
        <v>206</v>
      </c>
      <c r="B128" s="528"/>
      <c r="C128" s="491"/>
      <c r="D128" s="208"/>
      <c r="E128" s="208"/>
      <c r="F128" s="208"/>
      <c r="G128" s="54"/>
      <c r="H128" s="515"/>
      <c r="I128" s="54"/>
      <c r="J128" s="54"/>
      <c r="K128" s="54"/>
      <c r="L128" s="54"/>
      <c r="M128" s="54"/>
      <c r="N128" s="54"/>
      <c r="O128" s="51"/>
      <c r="P128" s="54"/>
      <c r="Q128" s="54"/>
      <c r="R128" s="54"/>
      <c r="S128" s="568"/>
      <c r="T128" s="569"/>
      <c r="U128" s="54"/>
      <c r="V128" s="51"/>
      <c r="W128" s="54"/>
      <c r="X128" s="54"/>
      <c r="Y128" s="54"/>
      <c r="Z128" s="570"/>
      <c r="AA128" s="570"/>
      <c r="AB128" s="54"/>
      <c r="AC128" s="209"/>
      <c r="AD128" s="62">
        <f t="shared" si="19"/>
        <v>0</v>
      </c>
      <c r="AE128" s="80">
        <v>1300.0</v>
      </c>
      <c r="AF128" s="68">
        <f t="shared" si="20"/>
        <v>0</v>
      </c>
      <c r="AG128" s="17"/>
      <c r="AH128" s="155"/>
      <c r="AI128" s="155"/>
    </row>
    <row r="129">
      <c r="A129" s="259" t="s">
        <v>229</v>
      </c>
      <c r="B129" s="591"/>
      <c r="C129" s="543"/>
      <c r="D129" s="212"/>
      <c r="E129" s="212"/>
      <c r="F129" s="212"/>
      <c r="G129" s="247">
        <v>1.0</v>
      </c>
      <c r="H129" s="229"/>
      <c r="I129" s="184"/>
      <c r="J129" s="247"/>
      <c r="K129" s="184"/>
      <c r="L129" s="246"/>
      <c r="M129" s="184"/>
      <c r="N129" s="184"/>
      <c r="O129" s="183"/>
      <c r="P129" s="247">
        <v>1.0</v>
      </c>
      <c r="Q129" s="184"/>
      <c r="R129" s="184"/>
      <c r="S129" s="573"/>
      <c r="T129" s="574"/>
      <c r="U129" s="247">
        <v>2.0</v>
      </c>
      <c r="V129" s="579"/>
      <c r="W129" s="184"/>
      <c r="X129" s="184"/>
      <c r="Y129" s="184"/>
      <c r="Z129" s="576"/>
      <c r="AA129" s="576"/>
      <c r="AB129" s="247">
        <v>1.0</v>
      </c>
      <c r="AC129" s="230"/>
      <c r="AD129" s="62">
        <f t="shared" si="19"/>
        <v>5</v>
      </c>
      <c r="AE129" s="167">
        <v>650.0</v>
      </c>
      <c r="AF129" s="168">
        <f t="shared" si="20"/>
        <v>3250</v>
      </c>
      <c r="AG129" s="17"/>
      <c r="AH129" s="155"/>
      <c r="AI129" s="155"/>
    </row>
    <row r="130">
      <c r="A130" s="254" t="s">
        <v>45</v>
      </c>
      <c r="B130" s="128"/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  <c r="AA130" s="128"/>
      <c r="AB130" s="128"/>
      <c r="AC130" s="128"/>
      <c r="AD130" s="128"/>
      <c r="AE130" s="129"/>
      <c r="AF130" s="260">
        <f>SUM(AF119:AF129)</f>
        <v>27930</v>
      </c>
      <c r="AG130" s="17"/>
      <c r="AH130" s="261"/>
      <c r="AI130" s="261"/>
    </row>
    <row r="131">
      <c r="A131" s="262" t="s">
        <v>208</v>
      </c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8"/>
      <c r="AG131" s="17"/>
      <c r="AH131" s="257" t="s">
        <v>364</v>
      </c>
      <c r="AI131" s="257"/>
    </row>
    <row r="132">
      <c r="A132" s="142" t="s">
        <v>210</v>
      </c>
      <c r="B132" s="567"/>
      <c r="C132" s="491"/>
      <c r="D132" s="208"/>
      <c r="E132" s="208"/>
      <c r="F132" s="208"/>
      <c r="G132" s="54"/>
      <c r="H132" s="515"/>
      <c r="I132" s="49"/>
      <c r="J132" s="54"/>
      <c r="K132" s="54"/>
      <c r="L132" s="49"/>
      <c r="M132" s="59"/>
      <c r="N132" s="54"/>
      <c r="O132" s="51"/>
      <c r="P132" s="54"/>
      <c r="Q132" s="54"/>
      <c r="R132" s="54"/>
      <c r="S132" s="568"/>
      <c r="T132" s="569"/>
      <c r="U132" s="54"/>
      <c r="V132" s="51"/>
      <c r="W132" s="54"/>
      <c r="X132" s="54"/>
      <c r="Y132" s="59"/>
      <c r="Z132" s="570"/>
      <c r="AA132" s="570"/>
      <c r="AB132" s="54"/>
      <c r="AC132" s="63"/>
      <c r="AD132" s="62">
        <f t="shared" ref="AD132:AD139" si="21">SUM(B132:AC132)</f>
        <v>0</v>
      </c>
      <c r="AE132" s="80">
        <v>700.0</v>
      </c>
      <c r="AF132" s="68">
        <f t="shared" ref="AF132:AF139" si="22">AD132*AE132</f>
        <v>0</v>
      </c>
      <c r="AG132" s="17"/>
      <c r="AH132" s="155"/>
      <c r="AI132" s="155"/>
    </row>
    <row r="133">
      <c r="A133" s="142" t="s">
        <v>213</v>
      </c>
      <c r="B133" s="567"/>
      <c r="C133" s="516"/>
      <c r="D133" s="208"/>
      <c r="E133" s="208"/>
      <c r="F133" s="208"/>
      <c r="G133" s="54"/>
      <c r="H133" s="51"/>
      <c r="I133" s="54"/>
      <c r="J133" s="59"/>
      <c r="K133" s="54"/>
      <c r="L133" s="54"/>
      <c r="M133" s="59"/>
      <c r="N133" s="54"/>
      <c r="O133" s="51"/>
      <c r="P133" s="46"/>
      <c r="Q133" s="54"/>
      <c r="R133" s="54"/>
      <c r="S133" s="568"/>
      <c r="T133" s="569"/>
      <c r="U133" s="54"/>
      <c r="V133" s="51"/>
      <c r="W133" s="54"/>
      <c r="X133" s="54"/>
      <c r="Y133" s="54"/>
      <c r="Z133" s="570"/>
      <c r="AA133" s="570"/>
      <c r="AB133" s="54"/>
      <c r="AC133" s="209"/>
      <c r="AD133" s="62">
        <f t="shared" si="21"/>
        <v>0</v>
      </c>
      <c r="AE133" s="80">
        <v>1450.0</v>
      </c>
      <c r="AF133" s="68">
        <f t="shared" si="22"/>
        <v>0</v>
      </c>
      <c r="AG133" s="17"/>
      <c r="AH133" s="155"/>
      <c r="AI133" s="155"/>
    </row>
    <row r="134">
      <c r="A134" s="142" t="s">
        <v>215</v>
      </c>
      <c r="B134" s="567"/>
      <c r="C134" s="491"/>
      <c r="D134" s="208"/>
      <c r="E134" s="208"/>
      <c r="F134" s="208"/>
      <c r="G134" s="49"/>
      <c r="H134" s="51"/>
      <c r="I134" s="54"/>
      <c r="J134" s="54"/>
      <c r="K134" s="54"/>
      <c r="L134" s="46"/>
      <c r="M134" s="54"/>
      <c r="N134" s="46"/>
      <c r="O134" s="51"/>
      <c r="P134" s="54"/>
      <c r="Q134" s="54"/>
      <c r="R134" s="46"/>
      <c r="S134" s="518"/>
      <c r="T134" s="512"/>
      <c r="U134" s="46"/>
      <c r="V134" s="192"/>
      <c r="W134" s="46"/>
      <c r="X134" s="46"/>
      <c r="Y134" s="46"/>
      <c r="Z134" s="513"/>
      <c r="AA134" s="513"/>
      <c r="AB134" s="59"/>
      <c r="AC134" s="63">
        <v>2.0</v>
      </c>
      <c r="AD134" s="62">
        <f t="shared" si="21"/>
        <v>2</v>
      </c>
      <c r="AE134" s="80">
        <v>800.0</v>
      </c>
      <c r="AF134" s="68">
        <f t="shared" si="22"/>
        <v>1600</v>
      </c>
      <c r="AG134" s="17"/>
      <c r="AH134" s="155"/>
      <c r="AI134" s="155"/>
    </row>
    <row r="135">
      <c r="A135" s="142" t="s">
        <v>217</v>
      </c>
      <c r="B135" s="514"/>
      <c r="C135" s="491"/>
      <c r="D135" s="60"/>
      <c r="E135" s="60"/>
      <c r="F135" s="208"/>
      <c r="G135" s="54"/>
      <c r="H135" s="192"/>
      <c r="I135" s="54"/>
      <c r="J135" s="54"/>
      <c r="K135" s="54"/>
      <c r="L135" s="59">
        <v>1.0</v>
      </c>
      <c r="M135" s="54"/>
      <c r="N135" s="54"/>
      <c r="O135" s="51"/>
      <c r="P135" s="46"/>
      <c r="Q135" s="54"/>
      <c r="R135" s="59">
        <v>3.0</v>
      </c>
      <c r="S135" s="518"/>
      <c r="T135" s="512"/>
      <c r="U135" s="46"/>
      <c r="V135" s="192"/>
      <c r="W135" s="46"/>
      <c r="X135" s="46"/>
      <c r="Y135" s="46"/>
      <c r="Z135" s="513"/>
      <c r="AA135" s="513"/>
      <c r="AB135" s="59">
        <v>1.0</v>
      </c>
      <c r="AC135" s="63">
        <v>5.0</v>
      </c>
      <c r="AD135" s="62">
        <f t="shared" si="21"/>
        <v>10</v>
      </c>
      <c r="AE135" s="80">
        <v>800.0</v>
      </c>
      <c r="AF135" s="68">
        <f t="shared" si="22"/>
        <v>8000</v>
      </c>
      <c r="AG135" s="17"/>
      <c r="AH135" s="155"/>
      <c r="AI135" s="155"/>
    </row>
    <row r="136">
      <c r="A136" s="142" t="s">
        <v>220</v>
      </c>
      <c r="B136" s="507"/>
      <c r="C136" s="516"/>
      <c r="D136" s="60"/>
      <c r="E136" s="509"/>
      <c r="F136" s="105"/>
      <c r="G136" s="493">
        <v>8.0</v>
      </c>
      <c r="H136" s="510"/>
      <c r="I136" s="493">
        <v>1.0</v>
      </c>
      <c r="J136" s="46"/>
      <c r="K136" s="493"/>
      <c r="L136" s="493"/>
      <c r="M136" s="59">
        <v>2.0</v>
      </c>
      <c r="N136" s="59">
        <v>1.0</v>
      </c>
      <c r="O136" s="492"/>
      <c r="P136" s="493">
        <v>1.0</v>
      </c>
      <c r="Q136" s="59"/>
      <c r="R136" s="59">
        <v>9.0</v>
      </c>
      <c r="S136" s="518"/>
      <c r="T136" s="517"/>
      <c r="U136" s="59">
        <v>1.0</v>
      </c>
      <c r="V136" s="515"/>
      <c r="W136" s="59">
        <v>3.0</v>
      </c>
      <c r="X136" s="59">
        <v>3.0</v>
      </c>
      <c r="Y136" s="59">
        <v>1.0</v>
      </c>
      <c r="Z136" s="513"/>
      <c r="AA136" s="513"/>
      <c r="AB136" s="59">
        <v>1.0</v>
      </c>
      <c r="AC136" s="63">
        <v>6.0</v>
      </c>
      <c r="AD136" s="62">
        <f t="shared" si="21"/>
        <v>37</v>
      </c>
      <c r="AE136" s="80">
        <v>260.0</v>
      </c>
      <c r="AF136" s="68">
        <f t="shared" si="22"/>
        <v>9620</v>
      </c>
      <c r="AG136" s="17"/>
      <c r="AH136" s="155"/>
      <c r="AI136" s="155"/>
    </row>
    <row r="137">
      <c r="A137" s="263" t="s">
        <v>221</v>
      </c>
      <c r="B137" s="617"/>
      <c r="C137" s="549"/>
      <c r="D137" s="185"/>
      <c r="E137" s="185"/>
      <c r="F137" s="212"/>
      <c r="G137" s="247">
        <v>1.0</v>
      </c>
      <c r="H137" s="229"/>
      <c r="I137" s="246"/>
      <c r="J137" s="184"/>
      <c r="K137" s="246"/>
      <c r="L137" s="247"/>
      <c r="M137" s="247">
        <v>1.0</v>
      </c>
      <c r="N137" s="247"/>
      <c r="O137" s="183"/>
      <c r="P137" s="246"/>
      <c r="Q137" s="184"/>
      <c r="R137" s="184"/>
      <c r="S137" s="582"/>
      <c r="T137" s="551"/>
      <c r="U137" s="181"/>
      <c r="V137" s="229"/>
      <c r="W137" s="181"/>
      <c r="X137" s="181"/>
      <c r="Y137" s="181"/>
      <c r="Z137" s="552"/>
      <c r="AA137" s="552"/>
      <c r="AB137" s="181"/>
      <c r="AC137" s="230">
        <v>6.0</v>
      </c>
      <c r="AD137" s="62">
        <f t="shared" si="21"/>
        <v>8</v>
      </c>
      <c r="AE137" s="167">
        <v>180.0</v>
      </c>
      <c r="AF137" s="168">
        <f t="shared" si="22"/>
        <v>1440</v>
      </c>
      <c r="AG137" s="17"/>
      <c r="AH137" s="155"/>
      <c r="AI137" s="155"/>
    </row>
    <row r="138">
      <c r="A138" s="142" t="s">
        <v>368</v>
      </c>
      <c r="B138" s="528"/>
      <c r="C138" s="508"/>
      <c r="D138" s="60"/>
      <c r="E138" s="60"/>
      <c r="F138" s="208"/>
      <c r="G138" s="54"/>
      <c r="H138" s="192"/>
      <c r="I138" s="49"/>
      <c r="J138" s="59">
        <v>2.0</v>
      </c>
      <c r="K138" s="493">
        <v>1.0</v>
      </c>
      <c r="L138" s="59"/>
      <c r="M138" s="59">
        <v>5.0</v>
      </c>
      <c r="N138" s="59"/>
      <c r="O138" s="51"/>
      <c r="P138" s="49"/>
      <c r="Q138" s="54"/>
      <c r="R138" s="54"/>
      <c r="S138" s="511"/>
      <c r="T138" s="512"/>
      <c r="U138" s="46"/>
      <c r="V138" s="192"/>
      <c r="W138" s="46"/>
      <c r="X138" s="46"/>
      <c r="Y138" s="46"/>
      <c r="Z138" s="513"/>
      <c r="AA138" s="513"/>
      <c r="AB138" s="46"/>
      <c r="AC138" s="63">
        <v>2.0</v>
      </c>
      <c r="AD138" s="62">
        <f t="shared" si="21"/>
        <v>10</v>
      </c>
      <c r="AE138" s="80">
        <v>160.0</v>
      </c>
      <c r="AF138" s="68">
        <f t="shared" si="22"/>
        <v>1600</v>
      </c>
      <c r="AG138" s="17"/>
      <c r="AH138" s="155"/>
      <c r="AI138" s="155"/>
    </row>
    <row r="139">
      <c r="A139" s="263" t="s">
        <v>370</v>
      </c>
      <c r="B139" s="617"/>
      <c r="C139" s="549"/>
      <c r="D139" s="185"/>
      <c r="E139" s="185"/>
      <c r="F139" s="212"/>
      <c r="G139" s="184"/>
      <c r="H139" s="229"/>
      <c r="I139" s="246"/>
      <c r="J139" s="247"/>
      <c r="K139" s="577"/>
      <c r="L139" s="247"/>
      <c r="M139" s="247"/>
      <c r="N139" s="247"/>
      <c r="O139" s="183"/>
      <c r="P139" s="246"/>
      <c r="Q139" s="184"/>
      <c r="R139" s="184"/>
      <c r="S139" s="582"/>
      <c r="T139" s="551"/>
      <c r="U139" s="181"/>
      <c r="V139" s="229"/>
      <c r="W139" s="181"/>
      <c r="X139" s="181"/>
      <c r="Y139" s="181"/>
      <c r="Z139" s="552"/>
      <c r="AA139" s="552"/>
      <c r="AB139" s="181"/>
      <c r="AC139" s="230">
        <v>1.0</v>
      </c>
      <c r="AD139" s="62">
        <f t="shared" si="21"/>
        <v>1</v>
      </c>
      <c r="AE139" s="167">
        <v>200.0</v>
      </c>
      <c r="AF139" s="168">
        <f t="shared" si="22"/>
        <v>200</v>
      </c>
      <c r="AG139" s="17"/>
      <c r="AH139" s="155"/>
      <c r="AI139" s="155"/>
    </row>
    <row r="140">
      <c r="A140" s="254" t="s">
        <v>45</v>
      </c>
      <c r="B140" s="128"/>
      <c r="C140" s="128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9"/>
      <c r="AF140" s="260">
        <f>SUM(AF132:AF139)</f>
        <v>22460</v>
      </c>
      <c r="AG140" s="17"/>
      <c r="AH140" s="261"/>
      <c r="AI140" s="261"/>
    </row>
    <row r="141">
      <c r="A141" s="262" t="s">
        <v>223</v>
      </c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8"/>
      <c r="AG141" s="17"/>
      <c r="AH141" s="257"/>
      <c r="AI141" s="257"/>
    </row>
    <row r="142">
      <c r="A142" s="266" t="s">
        <v>224</v>
      </c>
      <c r="B142" s="507">
        <v>9.0</v>
      </c>
      <c r="C142" s="516"/>
      <c r="D142" s="60"/>
      <c r="E142" s="60"/>
      <c r="F142" s="208"/>
      <c r="G142" s="226">
        <v>2.0</v>
      </c>
      <c r="H142" s="510"/>
      <c r="I142" s="493">
        <v>1.0</v>
      </c>
      <c r="J142" s="493">
        <v>1.0</v>
      </c>
      <c r="K142" s="493">
        <v>2.0</v>
      </c>
      <c r="L142" s="59">
        <v>2.0</v>
      </c>
      <c r="M142" s="59">
        <v>1.0</v>
      </c>
      <c r="N142" s="493">
        <v>1.0</v>
      </c>
      <c r="O142" s="515"/>
      <c r="P142" s="493">
        <v>2.0</v>
      </c>
      <c r="Q142" s="493">
        <v>3.0</v>
      </c>
      <c r="R142" s="46"/>
      <c r="S142" s="518"/>
      <c r="T142" s="512"/>
      <c r="U142" s="59">
        <v>1.0</v>
      </c>
      <c r="V142" s="515"/>
      <c r="W142" s="46"/>
      <c r="X142" s="59"/>
      <c r="Y142" s="59">
        <v>1.0</v>
      </c>
      <c r="Z142" s="513"/>
      <c r="AA142" s="513"/>
      <c r="AB142" s="59">
        <v>7.0</v>
      </c>
      <c r="AC142" s="63">
        <v>6.0</v>
      </c>
      <c r="AD142" s="62">
        <f t="shared" ref="AD142:AD145" si="23">SUM(B142:AC142)</f>
        <v>39</v>
      </c>
      <c r="AE142" s="80">
        <v>325.0</v>
      </c>
      <c r="AF142" s="68">
        <f t="shared" ref="AF142:AF145" si="24">AD142*AE142</f>
        <v>12675</v>
      </c>
      <c r="AG142" s="17"/>
      <c r="AH142" s="155"/>
      <c r="AI142" s="155"/>
    </row>
    <row r="143">
      <c r="A143" s="268" t="s">
        <v>372</v>
      </c>
      <c r="B143" s="507">
        <v>15.0</v>
      </c>
      <c r="C143" s="516"/>
      <c r="D143" s="60"/>
      <c r="E143" s="60"/>
      <c r="F143" s="105"/>
      <c r="G143" s="493"/>
      <c r="H143" s="492"/>
      <c r="I143" s="493">
        <v>1.0</v>
      </c>
      <c r="J143" s="493">
        <v>1.0</v>
      </c>
      <c r="K143" s="49"/>
      <c r="L143" s="493"/>
      <c r="M143" s="46"/>
      <c r="N143" s="49"/>
      <c r="O143" s="51"/>
      <c r="P143" s="49"/>
      <c r="Q143" s="493">
        <v>1.0</v>
      </c>
      <c r="R143" s="59">
        <v>3.0</v>
      </c>
      <c r="S143" s="518"/>
      <c r="T143" s="512"/>
      <c r="U143" s="59"/>
      <c r="V143" s="515"/>
      <c r="W143" s="46"/>
      <c r="X143" s="59">
        <v>2.0</v>
      </c>
      <c r="Y143" s="59">
        <v>1.0</v>
      </c>
      <c r="Z143" s="513"/>
      <c r="AA143" s="513"/>
      <c r="AB143" s="59">
        <v>1.0</v>
      </c>
      <c r="AC143" s="63">
        <v>1.0</v>
      </c>
      <c r="AD143" s="62">
        <f t="shared" si="23"/>
        <v>26</v>
      </c>
      <c r="AE143" s="80">
        <v>485.0</v>
      </c>
      <c r="AF143" s="68">
        <f t="shared" si="24"/>
        <v>12610</v>
      </c>
      <c r="AG143" s="17"/>
      <c r="AH143" s="155"/>
      <c r="AI143" s="155"/>
    </row>
    <row r="144">
      <c r="A144" s="268" t="s">
        <v>362</v>
      </c>
      <c r="B144" s="507">
        <v>1.0</v>
      </c>
      <c r="C144" s="516"/>
      <c r="D144" s="60"/>
      <c r="E144" s="60"/>
      <c r="F144" s="105"/>
      <c r="G144" s="493">
        <v>1.0</v>
      </c>
      <c r="H144" s="510"/>
      <c r="I144" s="493">
        <v>2.0</v>
      </c>
      <c r="J144" s="493">
        <v>1.0</v>
      </c>
      <c r="K144" s="493">
        <v>1.0</v>
      </c>
      <c r="L144" s="49"/>
      <c r="M144" s="59"/>
      <c r="N144" s="493"/>
      <c r="O144" s="515"/>
      <c r="P144" s="49"/>
      <c r="Q144" s="493">
        <v>5.0</v>
      </c>
      <c r="R144" s="59">
        <v>1.0</v>
      </c>
      <c r="S144" s="511"/>
      <c r="T144" s="517"/>
      <c r="U144" s="59">
        <v>1.0</v>
      </c>
      <c r="V144" s="515"/>
      <c r="W144" s="46"/>
      <c r="X144" s="59"/>
      <c r="Y144" s="59">
        <v>1.0</v>
      </c>
      <c r="Z144" s="513"/>
      <c r="AA144" s="513"/>
      <c r="AB144" s="59">
        <v>2.0</v>
      </c>
      <c r="AC144" s="63">
        <v>2.0</v>
      </c>
      <c r="AD144" s="62">
        <f t="shared" si="23"/>
        <v>18</v>
      </c>
      <c r="AE144" s="80">
        <v>445.0</v>
      </c>
      <c r="AF144" s="68">
        <f t="shared" si="24"/>
        <v>8010</v>
      </c>
      <c r="AG144" s="17"/>
      <c r="AH144" s="155"/>
      <c r="AI144" s="155"/>
    </row>
    <row r="145">
      <c r="A145" s="661" t="s">
        <v>363</v>
      </c>
      <c r="B145" s="581"/>
      <c r="C145" s="591"/>
      <c r="D145" s="185"/>
      <c r="E145" s="185"/>
      <c r="F145" s="212"/>
      <c r="G145" s="577"/>
      <c r="H145" s="632"/>
      <c r="I145" s="246"/>
      <c r="J145" s="246"/>
      <c r="K145" s="577"/>
      <c r="L145" s="577"/>
      <c r="M145" s="247">
        <v>1.0</v>
      </c>
      <c r="N145" s="577">
        <v>1.0</v>
      </c>
      <c r="O145" s="183"/>
      <c r="P145" s="246"/>
      <c r="Q145" s="577"/>
      <c r="R145" s="247">
        <v>3.0</v>
      </c>
      <c r="S145" s="582"/>
      <c r="T145" s="583"/>
      <c r="U145" s="247">
        <v>1.0</v>
      </c>
      <c r="V145" s="579"/>
      <c r="W145" s="181"/>
      <c r="X145" s="247">
        <v>1.0</v>
      </c>
      <c r="Y145" s="247">
        <v>2.0</v>
      </c>
      <c r="Z145" s="552"/>
      <c r="AA145" s="552"/>
      <c r="AB145" s="247">
        <v>12.0</v>
      </c>
      <c r="AC145" s="230">
        <v>15.0</v>
      </c>
      <c r="AD145" s="62">
        <f t="shared" si="23"/>
        <v>36</v>
      </c>
      <c r="AE145" s="167">
        <v>485.0</v>
      </c>
      <c r="AF145" s="168">
        <f t="shared" si="24"/>
        <v>17460</v>
      </c>
      <c r="AG145" s="17"/>
      <c r="AH145" s="155"/>
      <c r="AI145" s="155"/>
    </row>
    <row r="146">
      <c r="A146" s="254" t="s">
        <v>45</v>
      </c>
      <c r="B146" s="128"/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9"/>
      <c r="AF146" s="260">
        <f>SUM(AF142:AF145)</f>
        <v>50755</v>
      </c>
      <c r="AG146" s="17"/>
      <c r="AH146" s="261"/>
      <c r="AI146" s="261"/>
    </row>
    <row r="147">
      <c r="A147" s="262" t="s">
        <v>230</v>
      </c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8"/>
      <c r="AG147" s="17"/>
      <c r="AH147" s="257"/>
      <c r="AI147" s="257"/>
    </row>
    <row r="148">
      <c r="A148" s="268" t="s">
        <v>231</v>
      </c>
      <c r="B148" s="507"/>
      <c r="C148" s="491"/>
      <c r="D148" s="208"/>
      <c r="E148" s="208"/>
      <c r="F148" s="105"/>
      <c r="G148" s="59">
        <v>3.0</v>
      </c>
      <c r="H148" s="492"/>
      <c r="I148" s="49"/>
      <c r="J148" s="493">
        <v>2.0</v>
      </c>
      <c r="K148" s="493"/>
      <c r="L148" s="59"/>
      <c r="M148" s="59">
        <v>2.0</v>
      </c>
      <c r="N148" s="46"/>
      <c r="O148" s="51"/>
      <c r="P148" s="493">
        <v>1.0</v>
      </c>
      <c r="Q148" s="493"/>
      <c r="R148" s="46"/>
      <c r="S148" s="518"/>
      <c r="T148" s="517"/>
      <c r="U148" s="59"/>
      <c r="V148" s="515"/>
      <c r="W148" s="46"/>
      <c r="X148" s="59"/>
      <c r="Y148" s="59">
        <v>1.0</v>
      </c>
      <c r="Z148" s="513"/>
      <c r="AA148" s="513"/>
      <c r="AB148" s="59">
        <v>1.0</v>
      </c>
      <c r="AC148" s="63">
        <v>1.0</v>
      </c>
      <c r="AD148" s="62">
        <f t="shared" ref="AD148:AD150" si="25">SUM(B148:AC148)</f>
        <v>11</v>
      </c>
      <c r="AE148" s="80">
        <v>1150.0</v>
      </c>
      <c r="AF148" s="68">
        <f t="shared" ref="AF148:AF150" si="26">AD148*AE148</f>
        <v>12650</v>
      </c>
      <c r="AG148" s="17"/>
      <c r="AH148" s="155"/>
      <c r="AI148" s="155"/>
    </row>
    <row r="149">
      <c r="A149" s="268" t="s">
        <v>233</v>
      </c>
      <c r="B149" s="507">
        <v>17.0</v>
      </c>
      <c r="C149" s="516"/>
      <c r="D149" s="60"/>
      <c r="E149" s="509"/>
      <c r="F149" s="105"/>
      <c r="G149" s="493">
        <v>2.0</v>
      </c>
      <c r="H149" s="510"/>
      <c r="I149" s="493">
        <v>3.0</v>
      </c>
      <c r="J149" s="59"/>
      <c r="K149" s="493">
        <v>1.0</v>
      </c>
      <c r="L149" s="59"/>
      <c r="M149" s="59">
        <v>4.0</v>
      </c>
      <c r="N149" s="493">
        <v>1.0</v>
      </c>
      <c r="O149" s="510"/>
      <c r="P149" s="493">
        <v>1.0</v>
      </c>
      <c r="Q149" s="493">
        <v>3.0</v>
      </c>
      <c r="R149" s="59">
        <v>2.0</v>
      </c>
      <c r="S149" s="518"/>
      <c r="T149" s="517"/>
      <c r="U149" s="59"/>
      <c r="V149" s="515"/>
      <c r="W149" s="46"/>
      <c r="X149" s="59"/>
      <c r="Y149" s="59">
        <v>5.0</v>
      </c>
      <c r="Z149" s="513"/>
      <c r="AA149" s="513"/>
      <c r="AB149" s="59">
        <v>2.0</v>
      </c>
      <c r="AC149" s="63">
        <v>3.0</v>
      </c>
      <c r="AD149" s="62">
        <f t="shared" si="25"/>
        <v>44</v>
      </c>
      <c r="AE149" s="80">
        <v>1250.0</v>
      </c>
      <c r="AF149" s="68">
        <f t="shared" si="26"/>
        <v>55000</v>
      </c>
      <c r="AG149" s="17"/>
      <c r="AH149" s="155"/>
      <c r="AI149" s="155"/>
    </row>
    <row r="150">
      <c r="A150" s="156" t="s">
        <v>375</v>
      </c>
      <c r="B150" s="617">
        <v>2.0</v>
      </c>
      <c r="C150" s="543"/>
      <c r="D150" s="212"/>
      <c r="E150" s="212"/>
      <c r="F150" s="212"/>
      <c r="G150" s="184"/>
      <c r="H150" s="183"/>
      <c r="I150" s="181"/>
      <c r="J150" s="184"/>
      <c r="K150" s="184"/>
      <c r="L150" s="184"/>
      <c r="M150" s="184"/>
      <c r="N150" s="184"/>
      <c r="O150" s="183"/>
      <c r="P150" s="184"/>
      <c r="Q150" s="247">
        <v>2.0</v>
      </c>
      <c r="R150" s="184"/>
      <c r="S150" s="573"/>
      <c r="T150" s="574"/>
      <c r="U150" s="184"/>
      <c r="V150" s="183"/>
      <c r="W150" s="184"/>
      <c r="X150" s="247">
        <v>2.0</v>
      </c>
      <c r="Y150" s="247">
        <v>1.0</v>
      </c>
      <c r="Z150" s="576"/>
      <c r="AA150" s="576"/>
      <c r="AB150" s="247">
        <v>4.0</v>
      </c>
      <c r="AC150" s="230">
        <v>7.0</v>
      </c>
      <c r="AD150" s="62">
        <f t="shared" si="25"/>
        <v>18</v>
      </c>
      <c r="AE150" s="167">
        <v>1500.0</v>
      </c>
      <c r="AF150" s="168">
        <f t="shared" si="26"/>
        <v>27000</v>
      </c>
      <c r="AG150" s="17"/>
      <c r="AH150" s="155"/>
      <c r="AI150" s="155"/>
    </row>
    <row r="151">
      <c r="A151" s="254" t="s">
        <v>45</v>
      </c>
      <c r="B151" s="128"/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9"/>
      <c r="AF151" s="270">
        <f>SUM(AF148:AF150)</f>
        <v>94650</v>
      </c>
      <c r="AG151" s="17"/>
      <c r="AH151" s="271"/>
      <c r="AI151" s="271"/>
    </row>
    <row r="152">
      <c r="A152" s="272" t="s">
        <v>238</v>
      </c>
      <c r="B152" s="134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  <c r="AE152" s="134"/>
      <c r="AF152" s="135"/>
      <c r="AG152" s="17"/>
      <c r="AH152" s="257"/>
      <c r="AI152" s="257"/>
    </row>
    <row r="153">
      <c r="A153" s="197" t="s">
        <v>260</v>
      </c>
      <c r="B153" s="567"/>
      <c r="C153" s="508"/>
      <c r="D153" s="60"/>
      <c r="E153" s="208"/>
      <c r="F153" s="105"/>
      <c r="G153" s="59"/>
      <c r="H153" s="51"/>
      <c r="I153" s="59">
        <v>1.0</v>
      </c>
      <c r="J153" s="59">
        <v>5.0</v>
      </c>
      <c r="K153" s="46"/>
      <c r="L153" s="59"/>
      <c r="M153" s="59">
        <v>1.0</v>
      </c>
      <c r="N153" s="54"/>
      <c r="O153" s="515"/>
      <c r="P153" s="49"/>
      <c r="Q153" s="59">
        <v>2.0</v>
      </c>
      <c r="R153" s="54"/>
      <c r="S153" s="511"/>
      <c r="T153" s="512"/>
      <c r="U153" s="59">
        <v>5.0</v>
      </c>
      <c r="V153" s="515"/>
      <c r="W153" s="59">
        <v>12.0</v>
      </c>
      <c r="X153" s="59">
        <v>2.0</v>
      </c>
      <c r="Y153" s="59"/>
      <c r="Z153" s="513"/>
      <c r="AA153" s="513"/>
      <c r="AB153" s="59">
        <v>1.0</v>
      </c>
      <c r="AC153" s="88"/>
      <c r="AD153" s="62">
        <f t="shared" ref="AD153:AD159" si="27">SUM(B153:AC153)</f>
        <v>29</v>
      </c>
      <c r="AE153" s="80">
        <v>350.0</v>
      </c>
      <c r="AF153" s="68">
        <f t="shared" ref="AF153:AF159" si="28">AD153*AE153</f>
        <v>10150</v>
      </c>
      <c r="AG153" s="17"/>
      <c r="AH153" s="155"/>
      <c r="AI153" s="155"/>
    </row>
    <row r="154">
      <c r="A154" s="197" t="s">
        <v>232</v>
      </c>
      <c r="B154" s="567"/>
      <c r="C154" s="491"/>
      <c r="D154" s="208"/>
      <c r="E154" s="208"/>
      <c r="F154" s="208"/>
      <c r="G154" s="54"/>
      <c r="H154" s="51"/>
      <c r="I154" s="54"/>
      <c r="J154" s="54"/>
      <c r="K154" s="54"/>
      <c r="L154" s="54"/>
      <c r="M154" s="54"/>
      <c r="N154" s="54"/>
      <c r="O154" s="51"/>
      <c r="P154" s="54"/>
      <c r="Q154" s="54"/>
      <c r="R154" s="54"/>
      <c r="S154" s="568"/>
      <c r="T154" s="569"/>
      <c r="U154" s="54"/>
      <c r="V154" s="51"/>
      <c r="W154" s="54"/>
      <c r="X154" s="54"/>
      <c r="Y154" s="54"/>
      <c r="Z154" s="570"/>
      <c r="AA154" s="570"/>
      <c r="AB154" s="54"/>
      <c r="AC154" s="209"/>
      <c r="AD154" s="62">
        <f t="shared" si="27"/>
        <v>0</v>
      </c>
      <c r="AE154" s="80">
        <v>130.0</v>
      </c>
      <c r="AF154" s="68">
        <f t="shared" si="28"/>
        <v>0</v>
      </c>
      <c r="AG154" s="17"/>
      <c r="AH154" s="155"/>
      <c r="AI154" s="155"/>
    </row>
    <row r="155">
      <c r="A155" s="197" t="s">
        <v>234</v>
      </c>
      <c r="B155" s="567"/>
      <c r="C155" s="491"/>
      <c r="D155" s="208"/>
      <c r="E155" s="208"/>
      <c r="F155" s="208"/>
      <c r="G155" s="54"/>
      <c r="H155" s="51"/>
      <c r="I155" s="54"/>
      <c r="J155" s="54"/>
      <c r="K155" s="54"/>
      <c r="L155" s="54"/>
      <c r="M155" s="54"/>
      <c r="N155" s="54"/>
      <c r="O155" s="51"/>
      <c r="P155" s="54"/>
      <c r="Q155" s="54"/>
      <c r="R155" s="54"/>
      <c r="S155" s="568"/>
      <c r="T155" s="569"/>
      <c r="U155" s="54"/>
      <c r="V155" s="51"/>
      <c r="W155" s="54"/>
      <c r="X155" s="54"/>
      <c r="Y155" s="54"/>
      <c r="Z155" s="570"/>
      <c r="AA155" s="570"/>
      <c r="AB155" s="54"/>
      <c r="AC155" s="209"/>
      <c r="AD155" s="62">
        <f t="shared" si="27"/>
        <v>0</v>
      </c>
      <c r="AE155" s="80">
        <v>80.0</v>
      </c>
      <c r="AF155" s="68">
        <f t="shared" si="28"/>
        <v>0</v>
      </c>
      <c r="AG155" s="17"/>
      <c r="AH155" s="155"/>
      <c r="AI155" s="155"/>
    </row>
    <row r="156">
      <c r="A156" s="197" t="s">
        <v>241</v>
      </c>
      <c r="B156" s="528"/>
      <c r="C156" s="508"/>
      <c r="D156" s="60"/>
      <c r="E156" s="60"/>
      <c r="F156" s="105"/>
      <c r="G156" s="493">
        <v>4.0</v>
      </c>
      <c r="H156" s="192"/>
      <c r="I156" s="493">
        <v>11.0</v>
      </c>
      <c r="J156" s="493">
        <v>1.0</v>
      </c>
      <c r="K156" s="59">
        <v>1.0</v>
      </c>
      <c r="L156" s="59">
        <v>1.0</v>
      </c>
      <c r="M156" s="59">
        <v>2.0</v>
      </c>
      <c r="N156" s="59">
        <v>1.0</v>
      </c>
      <c r="O156" s="510"/>
      <c r="P156" s="49"/>
      <c r="Q156" s="46"/>
      <c r="R156" s="59">
        <v>5.0</v>
      </c>
      <c r="S156" s="518"/>
      <c r="T156" s="512"/>
      <c r="U156" s="59">
        <v>4.0</v>
      </c>
      <c r="V156" s="515"/>
      <c r="W156" s="59">
        <v>1.0</v>
      </c>
      <c r="X156" s="59"/>
      <c r="Y156" s="59">
        <v>2.0</v>
      </c>
      <c r="Z156" s="513"/>
      <c r="AA156" s="513"/>
      <c r="AB156" s="59">
        <v>56.0</v>
      </c>
      <c r="AC156" s="63"/>
      <c r="AD156" s="62">
        <f t="shared" si="27"/>
        <v>89</v>
      </c>
      <c r="AE156" s="80">
        <v>40.0</v>
      </c>
      <c r="AF156" s="68">
        <f t="shared" si="28"/>
        <v>3560</v>
      </c>
      <c r="AG156" s="17"/>
      <c r="AH156" s="155"/>
      <c r="AI156" s="155"/>
    </row>
    <row r="157">
      <c r="A157" s="197" t="s">
        <v>243</v>
      </c>
      <c r="B157" s="507"/>
      <c r="C157" s="508"/>
      <c r="D157" s="60"/>
      <c r="E157" s="208"/>
      <c r="F157" s="105"/>
      <c r="G157" s="59">
        <v>1.0</v>
      </c>
      <c r="H157" s="515"/>
      <c r="I157" s="54"/>
      <c r="J157" s="46"/>
      <c r="K157" s="59">
        <v>1.0</v>
      </c>
      <c r="L157" s="59"/>
      <c r="M157" s="59">
        <v>1.0</v>
      </c>
      <c r="N157" s="59"/>
      <c r="O157" s="515"/>
      <c r="P157" s="46"/>
      <c r="Q157" s="54"/>
      <c r="R157" s="59">
        <v>2.0</v>
      </c>
      <c r="S157" s="518"/>
      <c r="T157" s="512"/>
      <c r="U157" s="59"/>
      <c r="V157" s="192"/>
      <c r="W157" s="46"/>
      <c r="X157" s="46"/>
      <c r="Y157" s="59">
        <v>2.0</v>
      </c>
      <c r="Z157" s="513"/>
      <c r="AA157" s="513"/>
      <c r="AB157" s="59">
        <v>2.0</v>
      </c>
      <c r="AC157" s="63">
        <v>3.0</v>
      </c>
      <c r="AD157" s="62">
        <f t="shared" si="27"/>
        <v>12</v>
      </c>
      <c r="AE157" s="80">
        <v>120.0</v>
      </c>
      <c r="AF157" s="68">
        <f t="shared" si="28"/>
        <v>1440</v>
      </c>
      <c r="AG157" s="17"/>
      <c r="AH157" s="155"/>
      <c r="AI157" s="155"/>
    </row>
    <row r="158">
      <c r="A158" s="197" t="s">
        <v>267</v>
      </c>
      <c r="B158" s="528"/>
      <c r="C158" s="491"/>
      <c r="D158" s="208"/>
      <c r="E158" s="208"/>
      <c r="F158" s="105"/>
      <c r="G158" s="59">
        <v>3.0</v>
      </c>
      <c r="H158" s="515"/>
      <c r="I158" s="46"/>
      <c r="J158" s="59">
        <v>3.0</v>
      </c>
      <c r="K158" s="59"/>
      <c r="L158" s="54"/>
      <c r="M158" s="59"/>
      <c r="N158" s="59">
        <v>1.0</v>
      </c>
      <c r="O158" s="515"/>
      <c r="P158" s="54"/>
      <c r="Q158" s="54"/>
      <c r="R158" s="59"/>
      <c r="S158" s="518"/>
      <c r="T158" s="512"/>
      <c r="U158" s="59">
        <v>1.0</v>
      </c>
      <c r="V158" s="192"/>
      <c r="W158" s="46"/>
      <c r="X158" s="59"/>
      <c r="Y158" s="59"/>
      <c r="Z158" s="513"/>
      <c r="AA158" s="513"/>
      <c r="AB158" s="59">
        <v>2.0</v>
      </c>
      <c r="AC158" s="63">
        <v>1.0</v>
      </c>
      <c r="AD158" s="62">
        <f t="shared" si="27"/>
        <v>11</v>
      </c>
      <c r="AE158" s="80">
        <v>30.0</v>
      </c>
      <c r="AF158" s="168">
        <f t="shared" si="28"/>
        <v>330</v>
      </c>
      <c r="AG158" s="17"/>
      <c r="AH158" s="155"/>
      <c r="AI158" s="155"/>
    </row>
    <row r="159">
      <c r="A159" s="243" t="s">
        <v>270</v>
      </c>
      <c r="B159" s="571"/>
      <c r="C159" s="543"/>
      <c r="D159" s="212"/>
      <c r="E159" s="212"/>
      <c r="F159" s="212"/>
      <c r="G159" s="184"/>
      <c r="H159" s="183"/>
      <c r="I159" s="247">
        <v>4.0</v>
      </c>
      <c r="J159" s="247">
        <v>2.0</v>
      </c>
      <c r="K159" s="247">
        <v>4.0</v>
      </c>
      <c r="L159" s="247">
        <v>1.0</v>
      </c>
      <c r="M159" s="247">
        <v>2.0</v>
      </c>
      <c r="N159" s="247"/>
      <c r="O159" s="632"/>
      <c r="P159" s="577">
        <v>1.0</v>
      </c>
      <c r="Q159" s="577">
        <v>1.0</v>
      </c>
      <c r="R159" s="247">
        <v>2.0</v>
      </c>
      <c r="S159" s="550"/>
      <c r="T159" s="583"/>
      <c r="U159" s="247">
        <v>1.0</v>
      </c>
      <c r="V159" s="229"/>
      <c r="W159" s="247">
        <v>1.0</v>
      </c>
      <c r="X159" s="247">
        <v>2.0</v>
      </c>
      <c r="Y159" s="247">
        <v>4.0</v>
      </c>
      <c r="Z159" s="552"/>
      <c r="AA159" s="552"/>
      <c r="AB159" s="247">
        <v>1.0</v>
      </c>
      <c r="AC159" s="230">
        <v>1.0</v>
      </c>
      <c r="AD159" s="62">
        <f t="shared" si="27"/>
        <v>27</v>
      </c>
      <c r="AE159" s="167">
        <v>200.0</v>
      </c>
      <c r="AF159" s="168">
        <f t="shared" si="28"/>
        <v>5400</v>
      </c>
      <c r="AG159" s="17"/>
      <c r="AH159" s="155"/>
      <c r="AI159" s="155"/>
    </row>
    <row r="160">
      <c r="A160" s="254" t="s">
        <v>45</v>
      </c>
      <c r="B160" s="128"/>
      <c r="C160" s="128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9"/>
      <c r="AF160" s="277">
        <f>SUM(AF153:AF159)</f>
        <v>20880</v>
      </c>
      <c r="AG160" s="17"/>
      <c r="AH160" s="255"/>
      <c r="AI160" s="255"/>
    </row>
    <row r="161">
      <c r="A161" s="278" t="s">
        <v>247</v>
      </c>
      <c r="B161" s="275"/>
      <c r="C161" s="275"/>
      <c r="D161" s="275"/>
      <c r="E161" s="275"/>
      <c r="F161" s="275"/>
      <c r="G161" s="275"/>
      <c r="H161" s="275"/>
      <c r="I161" s="275"/>
      <c r="J161" s="275"/>
      <c r="K161" s="275"/>
      <c r="L161" s="275"/>
      <c r="M161" s="275"/>
      <c r="N161" s="275"/>
      <c r="O161" s="275"/>
      <c r="P161" s="275"/>
      <c r="Q161" s="275"/>
      <c r="R161" s="275"/>
      <c r="S161" s="275"/>
      <c r="T161" s="275"/>
      <c r="U161" s="275"/>
      <c r="V161" s="275"/>
      <c r="W161" s="275"/>
      <c r="X161" s="275"/>
      <c r="Y161" s="275"/>
      <c r="Z161" s="275"/>
      <c r="AA161" s="275"/>
      <c r="AB161" s="275"/>
      <c r="AC161" s="275"/>
      <c r="AD161" s="275"/>
      <c r="AE161" s="275"/>
      <c r="AF161" s="276"/>
      <c r="AG161" s="17"/>
      <c r="AH161" s="257" t="s">
        <v>380</v>
      </c>
      <c r="AI161" s="257"/>
    </row>
    <row r="162">
      <c r="A162" s="279" t="s">
        <v>248</v>
      </c>
      <c r="B162" s="678"/>
      <c r="C162" s="660"/>
      <c r="D162" s="329"/>
      <c r="E162" s="329"/>
      <c r="F162" s="329"/>
      <c r="G162" s="326"/>
      <c r="H162" s="328"/>
      <c r="I162" s="326"/>
      <c r="J162" s="326"/>
      <c r="K162" s="326"/>
      <c r="L162" s="326"/>
      <c r="M162" s="326"/>
      <c r="N162" s="326"/>
      <c r="O162" s="328"/>
      <c r="P162" s="326"/>
      <c r="Q162" s="326"/>
      <c r="R162" s="326"/>
      <c r="S162" s="680"/>
      <c r="T162" s="682"/>
      <c r="U162" s="326"/>
      <c r="V162" s="328"/>
      <c r="W162" s="326"/>
      <c r="X162" s="326"/>
      <c r="Y162" s="326"/>
      <c r="Z162" s="684"/>
      <c r="AA162" s="684"/>
      <c r="AB162" s="326"/>
      <c r="AC162" s="330"/>
      <c r="AD162" s="287">
        <f t="shared" ref="AD162:AD174" si="29">SUM(B162:AC162)</f>
        <v>0</v>
      </c>
      <c r="AE162" s="288">
        <v>1940.0</v>
      </c>
      <c r="AF162" s="289">
        <f t="shared" ref="AF162:AF174" si="30">AD162*AE162</f>
        <v>0</v>
      </c>
      <c r="AG162" s="17"/>
      <c r="AH162" s="257"/>
      <c r="AI162" s="257"/>
    </row>
    <row r="163">
      <c r="A163" s="279" t="s">
        <v>250</v>
      </c>
      <c r="B163" s="678"/>
      <c r="C163" s="660"/>
      <c r="D163" s="329"/>
      <c r="E163" s="329"/>
      <c r="F163" s="329"/>
      <c r="G163" s="326"/>
      <c r="H163" s="328"/>
      <c r="I163" s="326"/>
      <c r="J163" s="326"/>
      <c r="K163" s="326"/>
      <c r="L163" s="326"/>
      <c r="M163" s="326"/>
      <c r="N163" s="326"/>
      <c r="O163" s="328"/>
      <c r="P163" s="326"/>
      <c r="Q163" s="326"/>
      <c r="R163" s="326"/>
      <c r="S163" s="680"/>
      <c r="T163" s="682"/>
      <c r="U163" s="326"/>
      <c r="V163" s="328"/>
      <c r="W163" s="326"/>
      <c r="X163" s="326"/>
      <c r="Y163" s="336"/>
      <c r="Z163" s="684"/>
      <c r="AA163" s="684"/>
      <c r="AB163" s="326"/>
      <c r="AC163" s="330"/>
      <c r="AD163" s="287">
        <f t="shared" si="29"/>
        <v>0</v>
      </c>
      <c r="AE163" s="288">
        <v>1820.0</v>
      </c>
      <c r="AF163" s="289">
        <f t="shared" si="30"/>
        <v>0</v>
      </c>
      <c r="AG163" s="17"/>
      <c r="AH163" s="257"/>
      <c r="AI163" s="257"/>
    </row>
    <row r="164">
      <c r="A164" s="279" t="s">
        <v>251</v>
      </c>
      <c r="B164" s="678"/>
      <c r="C164" s="660"/>
      <c r="D164" s="329"/>
      <c r="E164" s="329"/>
      <c r="F164" s="329"/>
      <c r="G164" s="326"/>
      <c r="H164" s="328"/>
      <c r="I164" s="326"/>
      <c r="J164" s="326"/>
      <c r="K164" s="326"/>
      <c r="L164" s="326"/>
      <c r="M164" s="326"/>
      <c r="N164" s="326"/>
      <c r="O164" s="328"/>
      <c r="P164" s="326"/>
      <c r="Q164" s="326"/>
      <c r="R164" s="326"/>
      <c r="S164" s="680"/>
      <c r="T164" s="682"/>
      <c r="U164" s="326"/>
      <c r="V164" s="328"/>
      <c r="W164" s="326"/>
      <c r="X164" s="326"/>
      <c r="Y164" s="326"/>
      <c r="Z164" s="684"/>
      <c r="AA164" s="684"/>
      <c r="AB164" s="326"/>
      <c r="AC164" s="330"/>
      <c r="AD164" s="287">
        <f t="shared" si="29"/>
        <v>0</v>
      </c>
      <c r="AE164" s="288">
        <v>1940.0</v>
      </c>
      <c r="AF164" s="289">
        <f t="shared" si="30"/>
        <v>0</v>
      </c>
      <c r="AG164" s="17"/>
      <c r="AH164" s="257"/>
      <c r="AI164" s="257"/>
    </row>
    <row r="165">
      <c r="A165" s="279" t="s">
        <v>253</v>
      </c>
      <c r="B165" s="678"/>
      <c r="C165" s="660"/>
      <c r="D165" s="329"/>
      <c r="E165" s="329"/>
      <c r="F165" s="329"/>
      <c r="G165" s="326"/>
      <c r="H165" s="328"/>
      <c r="I165" s="326"/>
      <c r="J165" s="326"/>
      <c r="K165" s="326"/>
      <c r="L165" s="326"/>
      <c r="M165" s="326"/>
      <c r="N165" s="326"/>
      <c r="O165" s="328"/>
      <c r="P165" s="326"/>
      <c r="Q165" s="326"/>
      <c r="R165" s="326"/>
      <c r="S165" s="680"/>
      <c r="T165" s="682"/>
      <c r="U165" s="326"/>
      <c r="V165" s="328"/>
      <c r="W165" s="326"/>
      <c r="X165" s="336">
        <v>1.0</v>
      </c>
      <c r="Y165" s="326"/>
      <c r="Z165" s="684"/>
      <c r="AA165" s="684"/>
      <c r="AB165" s="326"/>
      <c r="AC165" s="330"/>
      <c r="AD165" s="287">
        <f t="shared" si="29"/>
        <v>1</v>
      </c>
      <c r="AE165" s="288">
        <v>2000.0</v>
      </c>
      <c r="AF165" s="289">
        <f t="shared" si="30"/>
        <v>2000</v>
      </c>
      <c r="AG165" s="17"/>
      <c r="AH165" s="257"/>
      <c r="AI165" s="257"/>
    </row>
    <row r="166">
      <c r="A166" s="279" t="s">
        <v>255</v>
      </c>
      <c r="B166" s="678"/>
      <c r="C166" s="660"/>
      <c r="D166" s="329"/>
      <c r="E166" s="329"/>
      <c r="F166" s="329"/>
      <c r="G166" s="326"/>
      <c r="H166" s="328"/>
      <c r="I166" s="326"/>
      <c r="J166" s="326"/>
      <c r="K166" s="326"/>
      <c r="L166" s="326"/>
      <c r="M166" s="326"/>
      <c r="N166" s="326"/>
      <c r="O166" s="328"/>
      <c r="P166" s="326"/>
      <c r="Q166" s="326"/>
      <c r="R166" s="326"/>
      <c r="S166" s="680"/>
      <c r="T166" s="682"/>
      <c r="U166" s="326"/>
      <c r="V166" s="328"/>
      <c r="W166" s="326"/>
      <c r="X166" s="326"/>
      <c r="Y166" s="326"/>
      <c r="Z166" s="684"/>
      <c r="AA166" s="684"/>
      <c r="AB166" s="326"/>
      <c r="AC166" s="330"/>
      <c r="AD166" s="287">
        <f t="shared" si="29"/>
        <v>0</v>
      </c>
      <c r="AE166" s="288">
        <v>2140.0</v>
      </c>
      <c r="AF166" s="289">
        <f t="shared" si="30"/>
        <v>0</v>
      </c>
      <c r="AG166" s="17"/>
      <c r="AH166" s="257"/>
      <c r="AI166" s="257"/>
    </row>
    <row r="167">
      <c r="A167" s="279" t="s">
        <v>256</v>
      </c>
      <c r="B167" s="678"/>
      <c r="C167" s="660"/>
      <c r="D167" s="329"/>
      <c r="E167" s="329"/>
      <c r="F167" s="329"/>
      <c r="G167" s="326"/>
      <c r="H167" s="328"/>
      <c r="I167" s="326"/>
      <c r="J167" s="326"/>
      <c r="K167" s="326"/>
      <c r="L167" s="326"/>
      <c r="M167" s="326"/>
      <c r="N167" s="326"/>
      <c r="O167" s="328"/>
      <c r="P167" s="326"/>
      <c r="Q167" s="326"/>
      <c r="R167" s="326"/>
      <c r="S167" s="680"/>
      <c r="T167" s="682"/>
      <c r="U167" s="326"/>
      <c r="V167" s="328"/>
      <c r="W167" s="326"/>
      <c r="X167" s="326"/>
      <c r="Y167" s="336">
        <v>1.0</v>
      </c>
      <c r="Z167" s="684"/>
      <c r="AA167" s="684"/>
      <c r="AB167" s="326"/>
      <c r="AC167" s="330"/>
      <c r="AD167" s="287">
        <f t="shared" si="29"/>
        <v>1</v>
      </c>
      <c r="AE167" s="288">
        <v>2500.0</v>
      </c>
      <c r="AF167" s="289">
        <f t="shared" si="30"/>
        <v>2500</v>
      </c>
      <c r="AG167" s="17"/>
      <c r="AH167" s="257"/>
      <c r="AI167" s="257"/>
    </row>
    <row r="168">
      <c r="A168" s="279" t="s">
        <v>279</v>
      </c>
      <c r="B168" s="678"/>
      <c r="C168" s="660"/>
      <c r="D168" s="329"/>
      <c r="E168" s="694"/>
      <c r="F168" s="329"/>
      <c r="G168" s="326"/>
      <c r="H168" s="328"/>
      <c r="I168" s="326"/>
      <c r="J168" s="326"/>
      <c r="K168" s="326"/>
      <c r="L168" s="336">
        <v>2.0</v>
      </c>
      <c r="M168" s="326"/>
      <c r="N168" s="326"/>
      <c r="O168" s="328"/>
      <c r="P168" s="326"/>
      <c r="Q168" s="326"/>
      <c r="R168" s="326"/>
      <c r="S168" s="680"/>
      <c r="T168" s="682"/>
      <c r="U168" s="326"/>
      <c r="V168" s="328"/>
      <c r="W168" s="326"/>
      <c r="X168" s="326"/>
      <c r="Y168" s="336"/>
      <c r="Z168" s="684"/>
      <c r="AA168" s="684"/>
      <c r="AB168" s="326"/>
      <c r="AC168" s="330"/>
      <c r="AD168" s="287">
        <f t="shared" si="29"/>
        <v>2</v>
      </c>
      <c r="AE168" s="288">
        <v>1300.0</v>
      </c>
      <c r="AF168" s="289">
        <f t="shared" si="30"/>
        <v>2600</v>
      </c>
      <c r="AG168" s="17"/>
      <c r="AH168" s="257"/>
      <c r="AI168" s="257"/>
    </row>
    <row r="169">
      <c r="A169" s="279" t="s">
        <v>259</v>
      </c>
      <c r="B169" s="678"/>
      <c r="C169" s="660"/>
      <c r="D169" s="329"/>
      <c r="E169" s="329"/>
      <c r="F169" s="329"/>
      <c r="G169" s="326"/>
      <c r="H169" s="328"/>
      <c r="I169" s="326"/>
      <c r="J169" s="326"/>
      <c r="K169" s="326"/>
      <c r="L169" s="326"/>
      <c r="M169" s="326"/>
      <c r="N169" s="326"/>
      <c r="O169" s="328"/>
      <c r="P169" s="326"/>
      <c r="Q169" s="326"/>
      <c r="R169" s="326"/>
      <c r="S169" s="680"/>
      <c r="T169" s="682"/>
      <c r="U169" s="326"/>
      <c r="V169" s="328"/>
      <c r="W169" s="326"/>
      <c r="X169" s="326"/>
      <c r="Y169" s="326"/>
      <c r="Z169" s="684"/>
      <c r="AA169" s="684"/>
      <c r="AB169" s="326"/>
      <c r="AC169" s="330"/>
      <c r="AD169" s="287">
        <f t="shared" si="29"/>
        <v>0</v>
      </c>
      <c r="AE169" s="288">
        <v>2500.0</v>
      </c>
      <c r="AF169" s="289">
        <f t="shared" si="30"/>
        <v>0</v>
      </c>
      <c r="AG169" s="17"/>
      <c r="AH169" s="257"/>
      <c r="AI169" s="257"/>
    </row>
    <row r="170">
      <c r="A170" s="279" t="s">
        <v>259</v>
      </c>
      <c r="B170" s="678"/>
      <c r="C170" s="660"/>
      <c r="D170" s="329"/>
      <c r="E170" s="329"/>
      <c r="F170" s="329"/>
      <c r="G170" s="326"/>
      <c r="H170" s="328"/>
      <c r="I170" s="326"/>
      <c r="J170" s="326"/>
      <c r="K170" s="326"/>
      <c r="L170" s="326"/>
      <c r="M170" s="326"/>
      <c r="N170" s="326"/>
      <c r="O170" s="328"/>
      <c r="P170" s="326"/>
      <c r="Q170" s="326"/>
      <c r="R170" s="326"/>
      <c r="S170" s="680"/>
      <c r="T170" s="682"/>
      <c r="U170" s="326"/>
      <c r="V170" s="328"/>
      <c r="W170" s="326"/>
      <c r="X170" s="326"/>
      <c r="Y170" s="326"/>
      <c r="Z170" s="684"/>
      <c r="AA170" s="684"/>
      <c r="AB170" s="326"/>
      <c r="AC170" s="330"/>
      <c r="AD170" s="287">
        <f t="shared" si="29"/>
        <v>0</v>
      </c>
      <c r="AE170" s="288">
        <v>2600.0</v>
      </c>
      <c r="AF170" s="289">
        <f t="shared" si="30"/>
        <v>0</v>
      </c>
      <c r="AG170" s="17"/>
      <c r="AH170" s="257"/>
      <c r="AI170" s="257"/>
    </row>
    <row r="171">
      <c r="A171" s="279" t="s">
        <v>261</v>
      </c>
      <c r="B171" s="678"/>
      <c r="C171" s="660"/>
      <c r="D171" s="329"/>
      <c r="E171" s="329"/>
      <c r="F171" s="329"/>
      <c r="G171" s="326"/>
      <c r="H171" s="328"/>
      <c r="I171" s="326"/>
      <c r="J171" s="326"/>
      <c r="K171" s="326"/>
      <c r="L171" s="326"/>
      <c r="M171" s="326"/>
      <c r="N171" s="326"/>
      <c r="O171" s="328"/>
      <c r="P171" s="326"/>
      <c r="Q171" s="326"/>
      <c r="R171" s="326"/>
      <c r="S171" s="680"/>
      <c r="T171" s="682"/>
      <c r="U171" s="326"/>
      <c r="V171" s="328"/>
      <c r="W171" s="326"/>
      <c r="X171" s="326"/>
      <c r="Y171" s="326"/>
      <c r="Z171" s="684"/>
      <c r="AA171" s="684"/>
      <c r="AB171" s="326"/>
      <c r="AC171" s="330"/>
      <c r="AD171" s="287">
        <f t="shared" si="29"/>
        <v>0</v>
      </c>
      <c r="AE171" s="288">
        <v>1400.0</v>
      </c>
      <c r="AF171" s="289">
        <f t="shared" si="30"/>
        <v>0</v>
      </c>
      <c r="AG171" s="17"/>
      <c r="AH171" s="257"/>
      <c r="AI171" s="257"/>
    </row>
    <row r="172">
      <c r="A172" s="279" t="s">
        <v>261</v>
      </c>
      <c r="B172" s="678"/>
      <c r="C172" s="660"/>
      <c r="D172" s="329"/>
      <c r="E172" s="329"/>
      <c r="F172" s="329"/>
      <c r="G172" s="326"/>
      <c r="H172" s="328"/>
      <c r="I172" s="326"/>
      <c r="J172" s="326"/>
      <c r="K172" s="326"/>
      <c r="L172" s="326"/>
      <c r="M172" s="326"/>
      <c r="N172" s="326"/>
      <c r="O172" s="328"/>
      <c r="P172" s="326"/>
      <c r="Q172" s="326"/>
      <c r="R172" s="336">
        <v>1.0</v>
      </c>
      <c r="S172" s="680"/>
      <c r="T172" s="682"/>
      <c r="U172" s="326"/>
      <c r="V172" s="328"/>
      <c r="W172" s="326"/>
      <c r="X172" s="326"/>
      <c r="Y172" s="326"/>
      <c r="Z172" s="684"/>
      <c r="AA172" s="684"/>
      <c r="AB172" s="326"/>
      <c r="AC172" s="330"/>
      <c r="AD172" s="287">
        <f t="shared" si="29"/>
        <v>1</v>
      </c>
      <c r="AE172" s="288">
        <v>1900.0</v>
      </c>
      <c r="AF172" s="289">
        <f t="shared" si="30"/>
        <v>1900</v>
      </c>
      <c r="AG172" s="17"/>
      <c r="AH172" s="257"/>
      <c r="AI172" s="257"/>
    </row>
    <row r="173">
      <c r="A173" s="279" t="s">
        <v>262</v>
      </c>
      <c r="B173" s="678"/>
      <c r="C173" s="660"/>
      <c r="D173" s="329"/>
      <c r="E173" s="329"/>
      <c r="F173" s="329"/>
      <c r="G173" s="326"/>
      <c r="H173" s="328"/>
      <c r="I173" s="326"/>
      <c r="J173" s="326"/>
      <c r="K173" s="326"/>
      <c r="L173" s="326"/>
      <c r="M173" s="326"/>
      <c r="N173" s="326"/>
      <c r="O173" s="328"/>
      <c r="P173" s="326"/>
      <c r="Q173" s="326"/>
      <c r="R173" s="326"/>
      <c r="S173" s="680"/>
      <c r="T173" s="682"/>
      <c r="U173" s="326"/>
      <c r="V173" s="328"/>
      <c r="W173" s="326"/>
      <c r="X173" s="326"/>
      <c r="Y173" s="326"/>
      <c r="Z173" s="684"/>
      <c r="AA173" s="684"/>
      <c r="AB173" s="326"/>
      <c r="AC173" s="330"/>
      <c r="AD173" s="287">
        <f t="shared" si="29"/>
        <v>0</v>
      </c>
      <c r="AE173" s="288">
        <v>1300.0</v>
      </c>
      <c r="AF173" s="289">
        <f t="shared" si="30"/>
        <v>0</v>
      </c>
      <c r="AG173" s="17"/>
      <c r="AH173" s="257"/>
      <c r="AI173" s="257"/>
    </row>
    <row r="174">
      <c r="A174" s="346" t="s">
        <v>262</v>
      </c>
      <c r="B174" s="699"/>
      <c r="C174" s="700"/>
      <c r="D174" s="352"/>
      <c r="E174" s="352"/>
      <c r="F174" s="352"/>
      <c r="G174" s="347"/>
      <c r="H174" s="349"/>
      <c r="I174" s="347"/>
      <c r="J174" s="347"/>
      <c r="K174" s="347"/>
      <c r="L174" s="347"/>
      <c r="M174" s="347"/>
      <c r="N174" s="347"/>
      <c r="O174" s="349"/>
      <c r="P174" s="347"/>
      <c r="Q174" s="347"/>
      <c r="R174" s="347"/>
      <c r="S174" s="701"/>
      <c r="T174" s="702"/>
      <c r="U174" s="347"/>
      <c r="V174" s="349"/>
      <c r="W174" s="347"/>
      <c r="X174" s="347"/>
      <c r="Y174" s="347"/>
      <c r="Z174" s="703"/>
      <c r="AA174" s="703"/>
      <c r="AB174" s="347"/>
      <c r="AC174" s="353"/>
      <c r="AD174" s="287">
        <f t="shared" si="29"/>
        <v>0</v>
      </c>
      <c r="AE174" s="357">
        <v>1800.0</v>
      </c>
      <c r="AF174" s="358">
        <f t="shared" si="30"/>
        <v>0</v>
      </c>
      <c r="AG174" s="17"/>
      <c r="AH174" s="257"/>
      <c r="AI174" s="257"/>
    </row>
    <row r="175">
      <c r="A175" s="254" t="s">
        <v>45</v>
      </c>
      <c r="B175" s="128"/>
      <c r="C175" s="128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9"/>
      <c r="AF175" s="362">
        <f>SUM(AF162:AF174)</f>
        <v>9000</v>
      </c>
      <c r="AG175" s="17"/>
      <c r="AH175" s="257"/>
      <c r="AI175" s="257"/>
    </row>
    <row r="176">
      <c r="A176" s="307" t="s">
        <v>264</v>
      </c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97"/>
      <c r="AG176" s="17"/>
      <c r="AH176" s="257"/>
      <c r="AI176" s="257"/>
    </row>
    <row r="177">
      <c r="A177" s="308" t="s">
        <v>265</v>
      </c>
      <c r="B177" s="34"/>
      <c r="C177" s="34"/>
      <c r="D177" s="704"/>
      <c r="E177" s="41"/>
      <c r="F177" s="41"/>
      <c r="G177" s="50"/>
      <c r="H177" s="55"/>
      <c r="I177" s="50"/>
      <c r="J177" s="39"/>
      <c r="K177" s="39"/>
      <c r="L177" s="50"/>
      <c r="M177" s="50"/>
      <c r="N177" s="50"/>
      <c r="O177" s="55"/>
      <c r="P177" s="50"/>
      <c r="Q177" s="50"/>
      <c r="R177" s="50"/>
      <c r="S177" s="707"/>
      <c r="T177" s="708"/>
      <c r="U177" s="50"/>
      <c r="V177" s="55"/>
      <c r="W177" s="50"/>
      <c r="X177" s="50"/>
      <c r="Y177" s="50"/>
      <c r="Z177" s="709"/>
      <c r="AA177" s="709"/>
      <c r="AB177" s="50"/>
      <c r="AC177" s="77"/>
      <c r="AD177" s="62">
        <f t="shared" ref="AD177:AD182" si="31">SUM(B177:AC177)</f>
        <v>0</v>
      </c>
      <c r="AE177" s="242">
        <v>2100.0</v>
      </c>
      <c r="AF177" s="68">
        <f t="shared" ref="AF177:AF182" si="32">AD177*AE177</f>
        <v>0</v>
      </c>
      <c r="AG177" s="17"/>
      <c r="AH177" s="155"/>
      <c r="AI177" s="155"/>
    </row>
    <row r="178">
      <c r="A178" s="308" t="s">
        <v>266</v>
      </c>
      <c r="B178" s="34"/>
      <c r="C178" s="34"/>
      <c r="D178" s="711"/>
      <c r="E178" s="41"/>
      <c r="F178" s="41"/>
      <c r="G178" s="50"/>
      <c r="H178" s="55"/>
      <c r="I178" s="50"/>
      <c r="J178" s="50"/>
      <c r="K178" s="50"/>
      <c r="L178" s="50"/>
      <c r="M178" s="39"/>
      <c r="N178" s="50"/>
      <c r="O178" s="55"/>
      <c r="P178" s="50"/>
      <c r="Q178" s="50"/>
      <c r="R178" s="50"/>
      <c r="S178" s="707"/>
      <c r="T178" s="708"/>
      <c r="U178" s="50"/>
      <c r="V178" s="55"/>
      <c r="W178" s="50"/>
      <c r="X178" s="50"/>
      <c r="Y178" s="50"/>
      <c r="Z178" s="709"/>
      <c r="AA178" s="709"/>
      <c r="AB178" s="50"/>
      <c r="AC178" s="77"/>
      <c r="AD178" s="62">
        <f t="shared" si="31"/>
        <v>0</v>
      </c>
      <c r="AE178" s="242">
        <v>2800.0</v>
      </c>
      <c r="AF178" s="68">
        <f t="shared" si="32"/>
        <v>0</v>
      </c>
      <c r="AG178" s="17"/>
      <c r="AH178" s="155"/>
      <c r="AI178" s="155"/>
    </row>
    <row r="179">
      <c r="A179" s="308" t="s">
        <v>268</v>
      </c>
      <c r="B179" s="34"/>
      <c r="C179" s="34"/>
      <c r="D179" s="704"/>
      <c r="E179" s="41"/>
      <c r="F179" s="41"/>
      <c r="G179" s="50"/>
      <c r="H179" s="55"/>
      <c r="I179" s="50"/>
      <c r="J179" s="50"/>
      <c r="K179" s="50"/>
      <c r="L179" s="50"/>
      <c r="M179" s="39">
        <v>2.0</v>
      </c>
      <c r="N179" s="50"/>
      <c r="O179" s="45"/>
      <c r="P179" s="50"/>
      <c r="Q179" s="50"/>
      <c r="R179" s="50"/>
      <c r="S179" s="707"/>
      <c r="T179" s="708"/>
      <c r="U179" s="50"/>
      <c r="V179" s="55"/>
      <c r="W179" s="50"/>
      <c r="X179" s="50"/>
      <c r="Y179" s="50"/>
      <c r="Z179" s="709"/>
      <c r="AA179" s="709"/>
      <c r="AB179" s="50"/>
      <c r="AC179" s="77"/>
      <c r="AD179" s="62">
        <f t="shared" si="31"/>
        <v>2</v>
      </c>
      <c r="AE179" s="242">
        <v>2800.0</v>
      </c>
      <c r="AF179" s="68">
        <f t="shared" si="32"/>
        <v>5600</v>
      </c>
      <c r="AG179" s="17"/>
      <c r="AH179" s="155"/>
      <c r="AI179" s="155"/>
    </row>
    <row r="180">
      <c r="A180" s="308" t="s">
        <v>269</v>
      </c>
      <c r="B180" s="34"/>
      <c r="C180" s="34"/>
      <c r="D180" s="711"/>
      <c r="E180" s="41"/>
      <c r="F180" s="41"/>
      <c r="G180" s="50"/>
      <c r="H180" s="55"/>
      <c r="I180" s="50"/>
      <c r="J180" s="50"/>
      <c r="K180" s="50"/>
      <c r="L180" s="50"/>
      <c r="M180" s="50"/>
      <c r="N180" s="50"/>
      <c r="O180" s="55"/>
      <c r="P180" s="50"/>
      <c r="Q180" s="50"/>
      <c r="R180" s="50"/>
      <c r="S180" s="707"/>
      <c r="T180" s="708"/>
      <c r="U180" s="50"/>
      <c r="V180" s="55"/>
      <c r="W180" s="50"/>
      <c r="X180" s="50"/>
      <c r="Y180" s="50"/>
      <c r="Z180" s="709"/>
      <c r="AA180" s="709"/>
      <c r="AB180" s="50"/>
      <c r="AC180" s="77"/>
      <c r="AD180" s="62">
        <f t="shared" si="31"/>
        <v>0</v>
      </c>
      <c r="AE180" s="242">
        <v>3200.0</v>
      </c>
      <c r="AF180" s="68">
        <f t="shared" si="32"/>
        <v>0</v>
      </c>
      <c r="AG180" s="17"/>
      <c r="AH180" s="155"/>
      <c r="AI180" s="155"/>
    </row>
    <row r="181">
      <c r="A181" s="308" t="s">
        <v>385</v>
      </c>
      <c r="B181" s="34"/>
      <c r="C181" s="34"/>
      <c r="D181" s="711"/>
      <c r="E181" s="41"/>
      <c r="F181" s="41"/>
      <c r="G181" s="50"/>
      <c r="H181" s="55"/>
      <c r="I181" s="50"/>
      <c r="J181" s="50"/>
      <c r="K181" s="50"/>
      <c r="L181" s="50"/>
      <c r="M181" s="50"/>
      <c r="N181" s="50"/>
      <c r="O181" s="55"/>
      <c r="P181" s="50"/>
      <c r="Q181" s="50"/>
      <c r="R181" s="50"/>
      <c r="S181" s="707"/>
      <c r="T181" s="708"/>
      <c r="U181" s="50"/>
      <c r="V181" s="55"/>
      <c r="W181" s="50"/>
      <c r="X181" s="50"/>
      <c r="Y181" s="50"/>
      <c r="Z181" s="709"/>
      <c r="AA181" s="709"/>
      <c r="AB181" s="50"/>
      <c r="AC181" s="77"/>
      <c r="AD181" s="62">
        <f t="shared" si="31"/>
        <v>0</v>
      </c>
      <c r="AE181" s="242">
        <v>2100.0</v>
      </c>
      <c r="AF181" s="68">
        <f t="shared" si="32"/>
        <v>0</v>
      </c>
      <c r="AG181" s="17"/>
      <c r="AH181" s="155"/>
      <c r="AI181" s="155"/>
    </row>
    <row r="182">
      <c r="A182" s="309" t="s">
        <v>386</v>
      </c>
      <c r="B182" s="157"/>
      <c r="C182" s="157"/>
      <c r="D182" s="713"/>
      <c r="E182" s="161"/>
      <c r="F182" s="161"/>
      <c r="G182" s="159"/>
      <c r="H182" s="163"/>
      <c r="I182" s="159"/>
      <c r="J182" s="159"/>
      <c r="K182" s="159"/>
      <c r="L182" s="159"/>
      <c r="M182" s="159"/>
      <c r="N182" s="159"/>
      <c r="O182" s="163"/>
      <c r="P182" s="159"/>
      <c r="Q182" s="159"/>
      <c r="R182" s="159"/>
      <c r="S182" s="714"/>
      <c r="T182" s="715"/>
      <c r="U182" s="159"/>
      <c r="V182" s="163"/>
      <c r="W182" s="159"/>
      <c r="X182" s="159"/>
      <c r="Y182" s="159"/>
      <c r="Z182" s="716"/>
      <c r="AA182" s="716"/>
      <c r="AB182" s="159"/>
      <c r="AC182" s="162"/>
      <c r="AD182" s="62">
        <f t="shared" si="31"/>
        <v>0</v>
      </c>
      <c r="AE182" s="249">
        <v>2500.0</v>
      </c>
      <c r="AF182" s="168">
        <f t="shared" si="32"/>
        <v>0</v>
      </c>
      <c r="AG182" s="17"/>
      <c r="AH182" s="155"/>
      <c r="AI182" s="155"/>
    </row>
    <row r="183">
      <c r="A183" s="254" t="s">
        <v>45</v>
      </c>
      <c r="B183" s="128"/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9"/>
      <c r="AF183" s="174">
        <f>SUM(AF177:AF182)</f>
        <v>5600</v>
      </c>
      <c r="AG183" s="17"/>
      <c r="AH183" s="255"/>
      <c r="AI183" s="255"/>
    </row>
    <row r="184">
      <c r="A184" s="314"/>
      <c r="B184" s="312"/>
      <c r="C184" s="312"/>
      <c r="D184" s="717"/>
      <c r="E184" s="316"/>
      <c r="F184" s="316"/>
      <c r="G184" s="314"/>
      <c r="H184" s="318"/>
      <c r="I184" s="314"/>
      <c r="J184" s="314"/>
      <c r="K184" s="314"/>
      <c r="L184" s="314"/>
      <c r="M184" s="314"/>
      <c r="N184" s="314"/>
      <c r="O184" s="318"/>
      <c r="P184" s="314"/>
      <c r="Q184" s="314"/>
      <c r="R184" s="314"/>
      <c r="S184" s="718"/>
      <c r="T184" s="719"/>
      <c r="U184" s="314"/>
      <c r="V184" s="318"/>
      <c r="W184" s="314"/>
      <c r="X184" s="314"/>
      <c r="Y184" s="314"/>
      <c r="Z184" s="721"/>
      <c r="AA184" s="721"/>
      <c r="AB184" s="314"/>
      <c r="AC184" s="317"/>
      <c r="AD184" s="722" t="s">
        <v>271</v>
      </c>
      <c r="AE184" s="297"/>
      <c r="AF184" s="387">
        <f>AF44+AF48+AF63+AF69+AF74+AF93+AF96+AF105+AF112+AF117+AF130+AF140+AF146+AF151+AF160+AF175+AF183</f>
        <v>924655</v>
      </c>
      <c r="AG184" s="322"/>
      <c r="AH184" s="323"/>
      <c r="AI184" s="323"/>
    </row>
    <row r="185">
      <c r="A185" s="314"/>
      <c r="B185" s="312"/>
      <c r="C185" s="312"/>
      <c r="D185" s="717"/>
      <c r="E185" s="316"/>
      <c r="F185" s="316"/>
      <c r="G185" s="314"/>
      <c r="H185" s="318"/>
      <c r="I185" s="314"/>
      <c r="J185" s="314"/>
      <c r="K185" s="314"/>
      <c r="L185" s="314"/>
      <c r="M185" s="314"/>
      <c r="N185" s="314"/>
      <c r="O185" s="318"/>
      <c r="P185" s="314"/>
      <c r="Q185" s="314"/>
      <c r="R185" s="314"/>
      <c r="S185" s="718"/>
      <c r="T185" s="719"/>
      <c r="U185" s="314"/>
      <c r="V185" s="318"/>
      <c r="W185" s="314"/>
      <c r="X185" s="314"/>
      <c r="Y185" s="314"/>
      <c r="Z185" s="721"/>
      <c r="AA185" s="721"/>
      <c r="AB185" s="314"/>
      <c r="AC185" s="317"/>
      <c r="AD185" s="324"/>
      <c r="AE185" s="155"/>
      <c r="AF185" s="155"/>
      <c r="AG185" s="322"/>
      <c r="AH185" s="155"/>
      <c r="AI185" s="132"/>
    </row>
    <row r="186">
      <c r="A186" s="314"/>
      <c r="B186" s="312"/>
      <c r="C186" s="312"/>
      <c r="D186" s="717"/>
      <c r="E186" s="316"/>
      <c r="F186" s="316"/>
      <c r="G186" s="314"/>
      <c r="H186" s="318"/>
      <c r="I186" s="314"/>
      <c r="J186" s="314"/>
      <c r="K186" s="314"/>
      <c r="L186" s="314"/>
      <c r="M186" s="314"/>
      <c r="N186" s="314"/>
      <c r="O186" s="318"/>
      <c r="P186" s="314"/>
      <c r="Q186" s="314"/>
      <c r="R186" s="314"/>
      <c r="S186" s="718"/>
      <c r="T186" s="719"/>
      <c r="U186" s="314"/>
      <c r="V186" s="318"/>
      <c r="W186" s="314"/>
      <c r="X186" s="314"/>
      <c r="Y186" s="314"/>
      <c r="Z186" s="721"/>
      <c r="AA186" s="721"/>
      <c r="AB186" s="314"/>
      <c r="AC186" s="317"/>
      <c r="AD186" s="324"/>
      <c r="AE186" s="155"/>
      <c r="AF186" s="155"/>
      <c r="AG186" s="322"/>
      <c r="AH186" s="155"/>
      <c r="AI186" s="132"/>
    </row>
    <row r="187">
      <c r="A187" s="314"/>
      <c r="B187" s="312"/>
      <c r="C187" s="312"/>
      <c r="D187" s="717"/>
      <c r="E187" s="316"/>
      <c r="F187" s="316"/>
      <c r="G187" s="314"/>
      <c r="H187" s="318"/>
      <c r="I187" s="314"/>
      <c r="J187" s="314"/>
      <c r="K187" s="314"/>
      <c r="L187" s="314"/>
      <c r="M187" s="314"/>
      <c r="N187" s="314"/>
      <c r="O187" s="318"/>
      <c r="P187" s="314"/>
      <c r="Q187" s="314"/>
      <c r="R187" s="314"/>
      <c r="S187" s="718"/>
      <c r="T187" s="719"/>
      <c r="U187" s="314"/>
      <c r="V187" s="318"/>
      <c r="W187" s="314"/>
      <c r="X187" s="314"/>
      <c r="Y187" s="314"/>
      <c r="Z187" s="721"/>
      <c r="AA187" s="721"/>
      <c r="AB187" s="314"/>
      <c r="AC187" s="317"/>
      <c r="AD187" s="324"/>
      <c r="AE187" s="155"/>
      <c r="AF187" s="155"/>
      <c r="AG187" s="322"/>
      <c r="AH187" s="155"/>
      <c r="AI187" s="132"/>
    </row>
    <row r="188">
      <c r="A188" s="314"/>
      <c r="B188" s="312"/>
      <c r="C188" s="312"/>
      <c r="D188" s="717"/>
      <c r="E188" s="316"/>
      <c r="F188" s="316"/>
      <c r="G188" s="314"/>
      <c r="H188" s="318"/>
      <c r="I188" s="314"/>
      <c r="J188" s="314"/>
      <c r="K188" s="314"/>
      <c r="L188" s="314"/>
      <c r="M188" s="314"/>
      <c r="N188" s="314"/>
      <c r="O188" s="318"/>
      <c r="P188" s="314"/>
      <c r="Q188" s="314"/>
      <c r="R188" s="314"/>
      <c r="S188" s="718"/>
      <c r="T188" s="719"/>
      <c r="U188" s="314"/>
      <c r="V188" s="318"/>
      <c r="W188" s="314"/>
      <c r="X188" s="314"/>
      <c r="Y188" s="314"/>
      <c r="Z188" s="721"/>
      <c r="AA188" s="721"/>
      <c r="AB188" s="314"/>
      <c r="AC188" s="317"/>
      <c r="AD188" s="324"/>
      <c r="AE188" s="155"/>
      <c r="AF188" s="155"/>
      <c r="AG188" s="322"/>
      <c r="AH188" s="155"/>
      <c r="AI188" s="132"/>
    </row>
    <row r="189">
      <c r="A189" s="314"/>
      <c r="B189" s="312"/>
      <c r="C189" s="312"/>
      <c r="D189" s="717"/>
      <c r="E189" s="316"/>
      <c r="F189" s="316"/>
      <c r="G189" s="314"/>
      <c r="H189" s="318"/>
      <c r="I189" s="314"/>
      <c r="J189" s="314"/>
      <c r="K189" s="314"/>
      <c r="L189" s="314"/>
      <c r="M189" s="314"/>
      <c r="N189" s="314"/>
      <c r="O189" s="318"/>
      <c r="P189" s="314"/>
      <c r="Q189" s="314"/>
      <c r="R189" s="314"/>
      <c r="S189" s="718"/>
      <c r="T189" s="719"/>
      <c r="U189" s="314"/>
      <c r="V189" s="318"/>
      <c r="W189" s="314"/>
      <c r="X189" s="314"/>
      <c r="Y189" s="314"/>
      <c r="Z189" s="721"/>
      <c r="AA189" s="721"/>
      <c r="AB189" s="314"/>
      <c r="AC189" s="317"/>
      <c r="AD189" s="324"/>
      <c r="AE189" s="155"/>
      <c r="AF189" s="155"/>
      <c r="AG189" s="322"/>
      <c r="AH189" s="155"/>
      <c r="AI189" s="132"/>
    </row>
    <row r="190">
      <c r="A190" s="314"/>
      <c r="B190" s="312"/>
      <c r="C190" s="312"/>
      <c r="D190" s="717"/>
      <c r="E190" s="316"/>
      <c r="F190" s="316"/>
      <c r="G190" s="314"/>
      <c r="H190" s="318"/>
      <c r="I190" s="314"/>
      <c r="J190" s="314"/>
      <c r="K190" s="314"/>
      <c r="L190" s="314"/>
      <c r="M190" s="314"/>
      <c r="N190" s="314"/>
      <c r="O190" s="318"/>
      <c r="P190" s="314"/>
      <c r="Q190" s="314"/>
      <c r="R190" s="314"/>
      <c r="S190" s="718"/>
      <c r="T190" s="719"/>
      <c r="U190" s="314"/>
      <c r="V190" s="318"/>
      <c r="W190" s="314"/>
      <c r="X190" s="314"/>
      <c r="Y190" s="314"/>
      <c r="Z190" s="721"/>
      <c r="AA190" s="721"/>
      <c r="AB190" s="314"/>
      <c r="AC190" s="317"/>
      <c r="AD190" s="324"/>
      <c r="AE190" s="155"/>
      <c r="AF190" s="155"/>
      <c r="AG190" s="322"/>
      <c r="AH190" s="155"/>
      <c r="AI190" s="132"/>
    </row>
    <row r="191">
      <c r="A191" s="314"/>
      <c r="B191" s="312"/>
      <c r="C191" s="312"/>
      <c r="D191" s="717"/>
      <c r="E191" s="316"/>
      <c r="F191" s="316"/>
      <c r="G191" s="314"/>
      <c r="H191" s="318"/>
      <c r="I191" s="314"/>
      <c r="J191" s="314"/>
      <c r="K191" s="314"/>
      <c r="L191" s="314"/>
      <c r="M191" s="314"/>
      <c r="N191" s="314"/>
      <c r="O191" s="318"/>
      <c r="P191" s="314"/>
      <c r="Q191" s="314"/>
      <c r="R191" s="314"/>
      <c r="S191" s="718"/>
      <c r="T191" s="719"/>
      <c r="U191" s="314"/>
      <c r="V191" s="318"/>
      <c r="W191" s="314"/>
      <c r="X191" s="314"/>
      <c r="Y191" s="314"/>
      <c r="Z191" s="721"/>
      <c r="AA191" s="721"/>
      <c r="AB191" s="314"/>
      <c r="AC191" s="317"/>
      <c r="AD191" s="324"/>
      <c r="AE191" s="155"/>
      <c r="AF191" s="155"/>
      <c r="AG191" s="322"/>
      <c r="AH191" s="155"/>
      <c r="AI191" s="132"/>
    </row>
    <row r="192">
      <c r="A192" s="314"/>
      <c r="B192" s="312"/>
      <c r="C192" s="312"/>
      <c r="D192" s="717"/>
      <c r="E192" s="316"/>
      <c r="F192" s="316"/>
      <c r="G192" s="314"/>
      <c r="H192" s="318"/>
      <c r="I192" s="314"/>
      <c r="J192" s="314"/>
      <c r="K192" s="314"/>
      <c r="L192" s="314"/>
      <c r="M192" s="314"/>
      <c r="N192" s="314"/>
      <c r="O192" s="318"/>
      <c r="P192" s="314"/>
      <c r="Q192" s="314"/>
      <c r="R192" s="314"/>
      <c r="S192" s="718"/>
      <c r="T192" s="719"/>
      <c r="U192" s="314"/>
      <c r="V192" s="318"/>
      <c r="W192" s="314"/>
      <c r="X192" s="314"/>
      <c r="Y192" s="314"/>
      <c r="Z192" s="721"/>
      <c r="AA192" s="721"/>
      <c r="AB192" s="314"/>
      <c r="AC192" s="317"/>
      <c r="AD192" s="324"/>
      <c r="AE192" s="155"/>
      <c r="AF192" s="155"/>
      <c r="AG192" s="322"/>
      <c r="AH192" s="155"/>
      <c r="AI192" s="132"/>
    </row>
    <row r="193">
      <c r="A193" s="314"/>
      <c r="B193" s="312"/>
      <c r="C193" s="312"/>
      <c r="D193" s="717"/>
      <c r="E193" s="316"/>
      <c r="F193" s="316"/>
      <c r="G193" s="314"/>
      <c r="H193" s="318"/>
      <c r="I193" s="314"/>
      <c r="J193" s="314"/>
      <c r="K193" s="314"/>
      <c r="L193" s="314"/>
      <c r="M193" s="314"/>
      <c r="N193" s="314"/>
      <c r="O193" s="318"/>
      <c r="P193" s="314"/>
      <c r="Q193" s="314"/>
      <c r="R193" s="314"/>
      <c r="S193" s="718"/>
      <c r="T193" s="719"/>
      <c r="U193" s="314"/>
      <c r="V193" s="318"/>
      <c r="W193" s="314"/>
      <c r="X193" s="314"/>
      <c r="Y193" s="314"/>
      <c r="Z193" s="721"/>
      <c r="AA193" s="721"/>
      <c r="AB193" s="314"/>
      <c r="AC193" s="317"/>
      <c r="AD193" s="324"/>
      <c r="AE193" s="155"/>
      <c r="AF193" s="155"/>
      <c r="AG193" s="322"/>
      <c r="AH193" s="155"/>
      <c r="AI193" s="132"/>
    </row>
    <row r="194">
      <c r="A194" s="314"/>
      <c r="B194" s="312"/>
      <c r="C194" s="312"/>
      <c r="D194" s="717"/>
      <c r="E194" s="316"/>
      <c r="F194" s="316"/>
      <c r="G194" s="314"/>
      <c r="H194" s="318"/>
      <c r="I194" s="314"/>
      <c r="J194" s="314"/>
      <c r="K194" s="314"/>
      <c r="L194" s="314"/>
      <c r="M194" s="314"/>
      <c r="N194" s="314"/>
      <c r="O194" s="318"/>
      <c r="P194" s="314"/>
      <c r="Q194" s="314"/>
      <c r="R194" s="314"/>
      <c r="S194" s="718"/>
      <c r="T194" s="719"/>
      <c r="U194" s="314"/>
      <c r="V194" s="318"/>
      <c r="W194" s="314"/>
      <c r="X194" s="314"/>
      <c r="Y194" s="314"/>
      <c r="Z194" s="721"/>
      <c r="AA194" s="721"/>
      <c r="AB194" s="314"/>
      <c r="AC194" s="317"/>
      <c r="AD194" s="324"/>
      <c r="AE194" s="155"/>
      <c r="AF194" s="155"/>
      <c r="AG194" s="322"/>
      <c r="AH194" s="155"/>
      <c r="AI194" s="132"/>
    </row>
    <row r="195">
      <c r="A195" s="314"/>
      <c r="B195" s="312"/>
      <c r="C195" s="312"/>
      <c r="D195" s="717"/>
      <c r="E195" s="316"/>
      <c r="F195" s="316"/>
      <c r="G195" s="314"/>
      <c r="H195" s="318"/>
      <c r="I195" s="314"/>
      <c r="J195" s="314"/>
      <c r="K195" s="314"/>
      <c r="L195" s="314"/>
      <c r="M195" s="314"/>
      <c r="N195" s="314"/>
      <c r="O195" s="318"/>
      <c r="P195" s="314"/>
      <c r="Q195" s="314"/>
      <c r="R195" s="314"/>
      <c r="S195" s="718"/>
      <c r="T195" s="719"/>
      <c r="U195" s="314"/>
      <c r="V195" s="318"/>
      <c r="W195" s="314"/>
      <c r="X195" s="314"/>
      <c r="Y195" s="314"/>
      <c r="Z195" s="721"/>
      <c r="AA195" s="721"/>
      <c r="AB195" s="314"/>
      <c r="AC195" s="317"/>
      <c r="AD195" s="324"/>
      <c r="AE195" s="155"/>
      <c r="AF195" s="155"/>
      <c r="AG195" s="322"/>
      <c r="AH195" s="155"/>
      <c r="AI195" s="132"/>
    </row>
    <row r="196">
      <c r="A196" s="314"/>
      <c r="B196" s="312"/>
      <c r="C196" s="312"/>
      <c r="D196" s="717"/>
      <c r="E196" s="316"/>
      <c r="F196" s="316"/>
      <c r="G196" s="314"/>
      <c r="H196" s="318"/>
      <c r="I196" s="314"/>
      <c r="J196" s="314"/>
      <c r="K196" s="314"/>
      <c r="L196" s="314"/>
      <c r="M196" s="314"/>
      <c r="N196" s="314"/>
      <c r="O196" s="318"/>
      <c r="P196" s="314"/>
      <c r="Q196" s="314"/>
      <c r="R196" s="314"/>
      <c r="S196" s="718"/>
      <c r="T196" s="719"/>
      <c r="U196" s="314"/>
      <c r="V196" s="318"/>
      <c r="W196" s="314"/>
      <c r="X196" s="314"/>
      <c r="Y196" s="314"/>
      <c r="Z196" s="721"/>
      <c r="AA196" s="721"/>
      <c r="AB196" s="314"/>
      <c r="AC196" s="317"/>
      <c r="AD196" s="324"/>
      <c r="AE196" s="155"/>
      <c r="AF196" s="155"/>
      <c r="AG196" s="322"/>
      <c r="AH196" s="155"/>
      <c r="AI196" s="132"/>
    </row>
    <row r="197">
      <c r="A197" s="314"/>
      <c r="B197" s="312"/>
      <c r="C197" s="312"/>
      <c r="D197" s="717"/>
      <c r="E197" s="316"/>
      <c r="F197" s="316"/>
      <c r="G197" s="314"/>
      <c r="H197" s="318"/>
      <c r="I197" s="314"/>
      <c r="J197" s="314"/>
      <c r="K197" s="314"/>
      <c r="L197" s="314"/>
      <c r="M197" s="314"/>
      <c r="N197" s="314"/>
      <c r="O197" s="318"/>
      <c r="P197" s="314"/>
      <c r="Q197" s="314"/>
      <c r="R197" s="314"/>
      <c r="S197" s="718"/>
      <c r="T197" s="719"/>
      <c r="U197" s="314"/>
      <c r="V197" s="318"/>
      <c r="W197" s="314"/>
      <c r="X197" s="314"/>
      <c r="Y197" s="314"/>
      <c r="Z197" s="721"/>
      <c r="AA197" s="721"/>
      <c r="AB197" s="314"/>
      <c r="AC197" s="317"/>
      <c r="AD197" s="324"/>
      <c r="AE197" s="155"/>
      <c r="AF197" s="155"/>
      <c r="AG197" s="322"/>
      <c r="AH197" s="155"/>
      <c r="AI197" s="132"/>
    </row>
    <row r="198">
      <c r="A198" s="314"/>
      <c r="B198" s="312"/>
      <c r="C198" s="312"/>
      <c r="D198" s="717"/>
      <c r="E198" s="316"/>
      <c r="F198" s="316"/>
      <c r="G198" s="314"/>
      <c r="H198" s="318"/>
      <c r="I198" s="314"/>
      <c r="J198" s="314"/>
      <c r="K198" s="314"/>
      <c r="L198" s="314"/>
      <c r="M198" s="314"/>
      <c r="N198" s="314"/>
      <c r="O198" s="318"/>
      <c r="P198" s="314"/>
      <c r="Q198" s="314"/>
      <c r="R198" s="314"/>
      <c r="S198" s="718"/>
      <c r="T198" s="719"/>
      <c r="U198" s="314"/>
      <c r="V198" s="318"/>
      <c r="W198" s="314"/>
      <c r="X198" s="314"/>
      <c r="Y198" s="314"/>
      <c r="Z198" s="721"/>
      <c r="AA198" s="721"/>
      <c r="AB198" s="314"/>
      <c r="AC198" s="317"/>
      <c r="AD198" s="324"/>
      <c r="AE198" s="155"/>
      <c r="AF198" s="155"/>
      <c r="AG198" s="322"/>
      <c r="AH198" s="155"/>
      <c r="AI198" s="132"/>
    </row>
    <row r="199">
      <c r="A199" s="314"/>
      <c r="B199" s="312"/>
      <c r="C199" s="312"/>
      <c r="D199" s="717"/>
      <c r="E199" s="316"/>
      <c r="F199" s="316"/>
      <c r="G199" s="314"/>
      <c r="H199" s="318"/>
      <c r="I199" s="314"/>
      <c r="J199" s="314"/>
      <c r="K199" s="314"/>
      <c r="L199" s="314"/>
      <c r="M199" s="314"/>
      <c r="N199" s="314"/>
      <c r="O199" s="318"/>
      <c r="P199" s="314"/>
      <c r="Q199" s="314"/>
      <c r="R199" s="314"/>
      <c r="S199" s="718"/>
      <c r="T199" s="719"/>
      <c r="U199" s="314"/>
      <c r="V199" s="318"/>
      <c r="W199" s="314"/>
      <c r="X199" s="314"/>
      <c r="Y199" s="314"/>
      <c r="Z199" s="721"/>
      <c r="AA199" s="721"/>
      <c r="AB199" s="314"/>
      <c r="AC199" s="317"/>
      <c r="AD199" s="324"/>
      <c r="AE199" s="155"/>
      <c r="AF199" s="155"/>
      <c r="AG199" s="322"/>
      <c r="AH199" s="155"/>
      <c r="AI199" s="132"/>
    </row>
    <row r="200">
      <c r="A200" s="314"/>
      <c r="B200" s="312"/>
      <c r="C200" s="312"/>
      <c r="D200" s="717"/>
      <c r="E200" s="316"/>
      <c r="F200" s="316"/>
      <c r="G200" s="314"/>
      <c r="H200" s="318"/>
      <c r="I200" s="314"/>
      <c r="J200" s="314"/>
      <c r="K200" s="314"/>
      <c r="L200" s="314"/>
      <c r="M200" s="314"/>
      <c r="N200" s="314"/>
      <c r="O200" s="318"/>
      <c r="P200" s="314"/>
      <c r="Q200" s="314"/>
      <c r="R200" s="314"/>
      <c r="S200" s="718"/>
      <c r="T200" s="719"/>
      <c r="U200" s="314"/>
      <c r="V200" s="318"/>
      <c r="W200" s="314"/>
      <c r="X200" s="314"/>
      <c r="Y200" s="314"/>
      <c r="Z200" s="721"/>
      <c r="AA200" s="721"/>
      <c r="AB200" s="314"/>
      <c r="AC200" s="317"/>
      <c r="AD200" s="324"/>
      <c r="AE200" s="155"/>
      <c r="AF200" s="155"/>
      <c r="AG200" s="322"/>
      <c r="AH200" s="155"/>
      <c r="AI200" s="132"/>
    </row>
    <row r="201">
      <c r="A201" s="314"/>
      <c r="B201" s="312"/>
      <c r="C201" s="312"/>
      <c r="D201" s="717"/>
      <c r="E201" s="316"/>
      <c r="F201" s="316"/>
      <c r="G201" s="314"/>
      <c r="H201" s="318"/>
      <c r="I201" s="314"/>
      <c r="J201" s="314"/>
      <c r="K201" s="314"/>
      <c r="L201" s="314"/>
      <c r="M201" s="314"/>
      <c r="N201" s="314"/>
      <c r="O201" s="318"/>
      <c r="P201" s="314"/>
      <c r="Q201" s="314"/>
      <c r="R201" s="314"/>
      <c r="S201" s="718"/>
      <c r="T201" s="719"/>
      <c r="U201" s="314"/>
      <c r="V201" s="318"/>
      <c r="W201" s="314"/>
      <c r="X201" s="314"/>
      <c r="Y201" s="314"/>
      <c r="Z201" s="721"/>
      <c r="AA201" s="721"/>
      <c r="AB201" s="314"/>
      <c r="AC201" s="317"/>
      <c r="AD201" s="324"/>
      <c r="AE201" s="155"/>
      <c r="AF201" s="155"/>
      <c r="AG201" s="322"/>
      <c r="AH201" s="155"/>
      <c r="AI201" s="132"/>
    </row>
    <row r="202">
      <c r="A202" s="314"/>
      <c r="B202" s="312"/>
      <c r="C202" s="312"/>
      <c r="D202" s="717"/>
      <c r="E202" s="316"/>
      <c r="F202" s="316"/>
      <c r="G202" s="314"/>
      <c r="H202" s="318"/>
      <c r="I202" s="314"/>
      <c r="J202" s="314"/>
      <c r="K202" s="314"/>
      <c r="L202" s="314"/>
      <c r="M202" s="314"/>
      <c r="N202" s="314"/>
      <c r="O202" s="318"/>
      <c r="P202" s="314"/>
      <c r="Q202" s="314"/>
      <c r="R202" s="314"/>
      <c r="S202" s="718"/>
      <c r="T202" s="719"/>
      <c r="U202" s="314"/>
      <c r="V202" s="318"/>
      <c r="W202" s="314"/>
      <c r="X202" s="314"/>
      <c r="Y202" s="314"/>
      <c r="Z202" s="721"/>
      <c r="AA202" s="721"/>
      <c r="AB202" s="314"/>
      <c r="AC202" s="317"/>
      <c r="AD202" s="324"/>
      <c r="AE202" s="155"/>
      <c r="AF202" s="155"/>
      <c r="AG202" s="322"/>
      <c r="AH202" s="155"/>
      <c r="AI202" s="132"/>
    </row>
    <row r="203">
      <c r="A203" s="314"/>
      <c r="B203" s="312"/>
      <c r="C203" s="312"/>
      <c r="D203" s="717"/>
      <c r="E203" s="316"/>
      <c r="F203" s="316"/>
      <c r="G203" s="314"/>
      <c r="H203" s="318"/>
      <c r="I203" s="314"/>
      <c r="J203" s="314"/>
      <c r="K203" s="314"/>
      <c r="L203" s="314"/>
      <c r="M203" s="314"/>
      <c r="N203" s="314"/>
      <c r="O203" s="318"/>
      <c r="P203" s="314"/>
      <c r="Q203" s="314"/>
      <c r="R203" s="314"/>
      <c r="S203" s="718"/>
      <c r="T203" s="719"/>
      <c r="U203" s="314"/>
      <c r="V203" s="318"/>
      <c r="W203" s="314"/>
      <c r="X203" s="314"/>
      <c r="Y203" s="314"/>
      <c r="Z203" s="721"/>
      <c r="AA203" s="721"/>
      <c r="AB203" s="314"/>
      <c r="AC203" s="317"/>
      <c r="AD203" s="324"/>
      <c r="AE203" s="155"/>
      <c r="AF203" s="155"/>
      <c r="AG203" s="322"/>
      <c r="AH203" s="155"/>
      <c r="AI203" s="132"/>
    </row>
    <row r="204">
      <c r="A204" s="314"/>
      <c r="B204" s="312"/>
      <c r="C204" s="312"/>
      <c r="D204" s="717"/>
      <c r="E204" s="316"/>
      <c r="F204" s="316"/>
      <c r="G204" s="314"/>
      <c r="H204" s="318"/>
      <c r="I204" s="314"/>
      <c r="J204" s="314"/>
      <c r="K204" s="314"/>
      <c r="L204" s="314"/>
      <c r="M204" s="314"/>
      <c r="N204" s="314"/>
      <c r="O204" s="318"/>
      <c r="P204" s="314"/>
      <c r="Q204" s="314"/>
      <c r="R204" s="314"/>
      <c r="S204" s="718"/>
      <c r="T204" s="719"/>
      <c r="U204" s="314"/>
      <c r="V204" s="318"/>
      <c r="W204" s="314"/>
      <c r="X204" s="314"/>
      <c r="Y204" s="314"/>
      <c r="Z204" s="721"/>
      <c r="AA204" s="721"/>
      <c r="AB204" s="314"/>
      <c r="AC204" s="317"/>
      <c r="AD204" s="324"/>
      <c r="AE204" s="155"/>
      <c r="AF204" s="155"/>
      <c r="AG204" s="322"/>
      <c r="AH204" s="155"/>
      <c r="AI204" s="132"/>
    </row>
    <row r="205">
      <c r="A205" s="314"/>
      <c r="B205" s="312"/>
      <c r="C205" s="312"/>
      <c r="D205" s="717"/>
      <c r="E205" s="316"/>
      <c r="F205" s="316"/>
      <c r="G205" s="314"/>
      <c r="H205" s="318"/>
      <c r="I205" s="314"/>
      <c r="J205" s="314"/>
      <c r="K205" s="314"/>
      <c r="L205" s="314"/>
      <c r="M205" s="314"/>
      <c r="N205" s="314"/>
      <c r="O205" s="318"/>
      <c r="P205" s="314"/>
      <c r="Q205" s="314"/>
      <c r="R205" s="314"/>
      <c r="S205" s="718"/>
      <c r="T205" s="719"/>
      <c r="U205" s="314"/>
      <c r="V205" s="318"/>
      <c r="W205" s="314"/>
      <c r="X205" s="314"/>
      <c r="Y205" s="314"/>
      <c r="Z205" s="721"/>
      <c r="AA205" s="721"/>
      <c r="AB205" s="314"/>
      <c r="AC205" s="317"/>
      <c r="AD205" s="324"/>
      <c r="AE205" s="155"/>
      <c r="AF205" s="155"/>
      <c r="AG205" s="322"/>
      <c r="AH205" s="155"/>
      <c r="AI205" s="132"/>
    </row>
    <row r="206">
      <c r="A206" s="314"/>
      <c r="B206" s="312"/>
      <c r="C206" s="312"/>
      <c r="D206" s="717"/>
      <c r="E206" s="316"/>
      <c r="F206" s="316"/>
      <c r="G206" s="314"/>
      <c r="H206" s="318"/>
      <c r="I206" s="314"/>
      <c r="J206" s="314"/>
      <c r="K206" s="314"/>
      <c r="L206" s="314"/>
      <c r="M206" s="314"/>
      <c r="N206" s="314"/>
      <c r="O206" s="318"/>
      <c r="P206" s="314"/>
      <c r="Q206" s="314"/>
      <c r="R206" s="314"/>
      <c r="S206" s="718"/>
      <c r="T206" s="719"/>
      <c r="U206" s="314"/>
      <c r="V206" s="318"/>
      <c r="W206" s="314"/>
      <c r="X206" s="314"/>
      <c r="Y206" s="314"/>
      <c r="Z206" s="721"/>
      <c r="AA206" s="721"/>
      <c r="AB206" s="314"/>
      <c r="AC206" s="317"/>
      <c r="AD206" s="324"/>
      <c r="AE206" s="155"/>
      <c r="AF206" s="155"/>
      <c r="AG206" s="322"/>
      <c r="AH206" s="155"/>
      <c r="AI206" s="132"/>
    </row>
    <row r="207">
      <c r="A207" s="314"/>
      <c r="B207" s="312"/>
      <c r="C207" s="312"/>
      <c r="D207" s="717"/>
      <c r="E207" s="316"/>
      <c r="F207" s="316"/>
      <c r="G207" s="314"/>
      <c r="H207" s="318"/>
      <c r="I207" s="314"/>
      <c r="J207" s="314"/>
      <c r="K207" s="314"/>
      <c r="L207" s="314"/>
      <c r="M207" s="314"/>
      <c r="N207" s="314"/>
      <c r="O207" s="318"/>
      <c r="P207" s="314"/>
      <c r="Q207" s="314"/>
      <c r="R207" s="314"/>
      <c r="S207" s="718"/>
      <c r="T207" s="719"/>
      <c r="U207" s="314"/>
      <c r="V207" s="318"/>
      <c r="W207" s="314"/>
      <c r="X207" s="314"/>
      <c r="Y207" s="314"/>
      <c r="Z207" s="721"/>
      <c r="AA207" s="721"/>
      <c r="AB207" s="314"/>
      <c r="AC207" s="317"/>
      <c r="AD207" s="324"/>
      <c r="AE207" s="155"/>
      <c r="AF207" s="155"/>
      <c r="AG207" s="322"/>
      <c r="AH207" s="155"/>
      <c r="AI207" s="132"/>
    </row>
    <row r="208">
      <c r="A208" s="314"/>
      <c r="B208" s="312"/>
      <c r="C208" s="312"/>
      <c r="D208" s="717"/>
      <c r="E208" s="316"/>
      <c r="F208" s="316"/>
      <c r="G208" s="314"/>
      <c r="H208" s="318"/>
      <c r="I208" s="314"/>
      <c r="J208" s="314"/>
      <c r="K208" s="314"/>
      <c r="L208" s="314"/>
      <c r="M208" s="314"/>
      <c r="N208" s="314"/>
      <c r="O208" s="318"/>
      <c r="P208" s="314"/>
      <c r="Q208" s="314"/>
      <c r="R208" s="314"/>
      <c r="S208" s="718"/>
      <c r="T208" s="719"/>
      <c r="U208" s="314"/>
      <c r="V208" s="318"/>
      <c r="W208" s="314"/>
      <c r="X208" s="314"/>
      <c r="Y208" s="314"/>
      <c r="Z208" s="721"/>
      <c r="AA208" s="721"/>
      <c r="AB208" s="314"/>
      <c r="AC208" s="317"/>
      <c r="AD208" s="324"/>
      <c r="AE208" s="155"/>
      <c r="AF208" s="155"/>
      <c r="AG208" s="322"/>
      <c r="AH208" s="155"/>
      <c r="AI208" s="132"/>
    </row>
    <row r="209">
      <c r="A209" s="314"/>
      <c r="B209" s="312"/>
      <c r="C209" s="312"/>
      <c r="D209" s="717"/>
      <c r="E209" s="316"/>
      <c r="F209" s="316"/>
      <c r="G209" s="314"/>
      <c r="H209" s="318"/>
      <c r="I209" s="314"/>
      <c r="J209" s="314"/>
      <c r="K209" s="314"/>
      <c r="L209" s="314"/>
      <c r="M209" s="314"/>
      <c r="N209" s="314"/>
      <c r="O209" s="318"/>
      <c r="P209" s="314"/>
      <c r="Q209" s="314"/>
      <c r="R209" s="314"/>
      <c r="S209" s="718"/>
      <c r="T209" s="719"/>
      <c r="U209" s="314"/>
      <c r="V209" s="318"/>
      <c r="W209" s="314"/>
      <c r="X209" s="314"/>
      <c r="Y209" s="314"/>
      <c r="Z209" s="721"/>
      <c r="AA209" s="721"/>
      <c r="AB209" s="314"/>
      <c r="AC209" s="317"/>
      <c r="AD209" s="324"/>
      <c r="AE209" s="155"/>
      <c r="AF209" s="155"/>
      <c r="AG209" s="322"/>
      <c r="AH209" s="155"/>
      <c r="AI209" s="132"/>
    </row>
    <row r="210">
      <c r="A210" s="314"/>
      <c r="B210" s="312"/>
      <c r="C210" s="312"/>
      <c r="D210" s="717"/>
      <c r="E210" s="316"/>
      <c r="F210" s="316"/>
      <c r="G210" s="314"/>
      <c r="H210" s="318"/>
      <c r="I210" s="314"/>
      <c r="J210" s="314"/>
      <c r="K210" s="314"/>
      <c r="L210" s="314"/>
      <c r="M210" s="314"/>
      <c r="N210" s="314"/>
      <c r="O210" s="318"/>
      <c r="P210" s="314"/>
      <c r="Q210" s="314"/>
      <c r="R210" s="314"/>
      <c r="S210" s="718"/>
      <c r="T210" s="719"/>
      <c r="U210" s="314"/>
      <c r="V210" s="318"/>
      <c r="W210" s="314"/>
      <c r="X210" s="314"/>
      <c r="Y210" s="314"/>
      <c r="Z210" s="721"/>
      <c r="AA210" s="721"/>
      <c r="AB210" s="314"/>
      <c r="AC210" s="317"/>
      <c r="AD210" s="324"/>
      <c r="AE210" s="155"/>
      <c r="AF210" s="155"/>
      <c r="AG210" s="322"/>
      <c r="AH210" s="155"/>
      <c r="AI210" s="132"/>
    </row>
    <row r="211">
      <c r="A211" s="314"/>
      <c r="B211" s="312"/>
      <c r="C211" s="312"/>
      <c r="D211" s="717"/>
      <c r="E211" s="316"/>
      <c r="F211" s="316"/>
      <c r="G211" s="314"/>
      <c r="H211" s="318"/>
      <c r="I211" s="314"/>
      <c r="J211" s="314"/>
      <c r="K211" s="314"/>
      <c r="L211" s="314"/>
      <c r="M211" s="314"/>
      <c r="N211" s="314"/>
      <c r="O211" s="318"/>
      <c r="P211" s="314"/>
      <c r="Q211" s="314"/>
      <c r="R211" s="314"/>
      <c r="S211" s="718"/>
      <c r="T211" s="719"/>
      <c r="U211" s="314"/>
      <c r="V211" s="318"/>
      <c r="W211" s="314"/>
      <c r="X211" s="314"/>
      <c r="Y211" s="314"/>
      <c r="Z211" s="721"/>
      <c r="AA211" s="721"/>
      <c r="AB211" s="314"/>
      <c r="AC211" s="317"/>
      <c r="AD211" s="324"/>
      <c r="AE211" s="155"/>
      <c r="AF211" s="155"/>
      <c r="AG211" s="322"/>
      <c r="AH211" s="155"/>
      <c r="AI211" s="132"/>
    </row>
    <row r="212">
      <c r="A212" s="314"/>
      <c r="B212" s="312"/>
      <c r="C212" s="312"/>
      <c r="D212" s="717"/>
      <c r="E212" s="316"/>
      <c r="F212" s="316"/>
      <c r="G212" s="314"/>
      <c r="H212" s="318"/>
      <c r="I212" s="314"/>
      <c r="J212" s="314"/>
      <c r="K212" s="314"/>
      <c r="L212" s="314"/>
      <c r="M212" s="314"/>
      <c r="N212" s="314"/>
      <c r="O212" s="318"/>
      <c r="P212" s="314"/>
      <c r="Q212" s="314"/>
      <c r="R212" s="314"/>
      <c r="S212" s="718"/>
      <c r="T212" s="719"/>
      <c r="U212" s="314"/>
      <c r="V212" s="318"/>
      <c r="W212" s="314"/>
      <c r="X212" s="314"/>
      <c r="Y212" s="314"/>
      <c r="Z212" s="721"/>
      <c r="AA212" s="721"/>
      <c r="AB212" s="314"/>
      <c r="AC212" s="317"/>
      <c r="AD212" s="324"/>
      <c r="AE212" s="155"/>
      <c r="AF212" s="155"/>
      <c r="AG212" s="322"/>
      <c r="AH212" s="155"/>
      <c r="AI212" s="132"/>
    </row>
    <row r="213">
      <c r="A213" s="314"/>
      <c r="B213" s="312"/>
      <c r="C213" s="312"/>
      <c r="D213" s="717"/>
      <c r="E213" s="316"/>
      <c r="F213" s="316"/>
      <c r="G213" s="314"/>
      <c r="H213" s="318"/>
      <c r="I213" s="314"/>
      <c r="J213" s="314"/>
      <c r="K213" s="314"/>
      <c r="L213" s="314"/>
      <c r="M213" s="314"/>
      <c r="N213" s="314"/>
      <c r="O213" s="318"/>
      <c r="P213" s="314"/>
      <c r="Q213" s="314"/>
      <c r="R213" s="314"/>
      <c r="S213" s="718"/>
      <c r="T213" s="719"/>
      <c r="U213" s="314"/>
      <c r="V213" s="318"/>
      <c r="W213" s="314"/>
      <c r="X213" s="314"/>
      <c r="Y213" s="314"/>
      <c r="Z213" s="721"/>
      <c r="AA213" s="721"/>
      <c r="AB213" s="314"/>
      <c r="AC213" s="317"/>
      <c r="AD213" s="324"/>
      <c r="AE213" s="155"/>
      <c r="AF213" s="155"/>
      <c r="AG213" s="322"/>
      <c r="AH213" s="155"/>
      <c r="AI213" s="132"/>
    </row>
    <row r="214">
      <c r="A214" s="314"/>
      <c r="B214" s="312"/>
      <c r="C214" s="312"/>
      <c r="D214" s="717"/>
      <c r="E214" s="316"/>
      <c r="F214" s="316"/>
      <c r="G214" s="314"/>
      <c r="H214" s="318"/>
      <c r="I214" s="314"/>
      <c r="J214" s="314"/>
      <c r="K214" s="314"/>
      <c r="L214" s="314"/>
      <c r="M214" s="314"/>
      <c r="N214" s="314"/>
      <c r="O214" s="318"/>
      <c r="P214" s="314"/>
      <c r="Q214" s="314"/>
      <c r="R214" s="314"/>
      <c r="S214" s="718"/>
      <c r="T214" s="719"/>
      <c r="U214" s="314"/>
      <c r="V214" s="318"/>
      <c r="W214" s="314"/>
      <c r="X214" s="314"/>
      <c r="Y214" s="314"/>
      <c r="Z214" s="721"/>
      <c r="AA214" s="721"/>
      <c r="AB214" s="314"/>
      <c r="AC214" s="317"/>
      <c r="AD214" s="324"/>
      <c r="AE214" s="155"/>
      <c r="AF214" s="155"/>
      <c r="AG214" s="322"/>
      <c r="AH214" s="155"/>
      <c r="AI214" s="132"/>
    </row>
    <row r="215">
      <c r="A215" s="314"/>
      <c r="B215" s="312"/>
      <c r="C215" s="312"/>
      <c r="D215" s="717"/>
      <c r="E215" s="316"/>
      <c r="F215" s="316"/>
      <c r="G215" s="314"/>
      <c r="H215" s="318"/>
      <c r="I215" s="314"/>
      <c r="J215" s="314"/>
      <c r="K215" s="314"/>
      <c r="L215" s="314"/>
      <c r="M215" s="314"/>
      <c r="N215" s="314"/>
      <c r="O215" s="318"/>
      <c r="P215" s="314"/>
      <c r="Q215" s="314"/>
      <c r="R215" s="314"/>
      <c r="S215" s="718"/>
      <c r="T215" s="719"/>
      <c r="U215" s="314"/>
      <c r="V215" s="318"/>
      <c r="W215" s="314"/>
      <c r="X215" s="314"/>
      <c r="Y215" s="314"/>
      <c r="Z215" s="721"/>
      <c r="AA215" s="721"/>
      <c r="AB215" s="314"/>
      <c r="AC215" s="317"/>
      <c r="AD215" s="324"/>
      <c r="AE215" s="155"/>
      <c r="AF215" s="155"/>
      <c r="AG215" s="322"/>
      <c r="AH215" s="155"/>
      <c r="AI215" s="132"/>
    </row>
    <row r="216">
      <c r="A216" s="314"/>
      <c r="B216" s="312"/>
      <c r="C216" s="312"/>
      <c r="D216" s="717"/>
      <c r="E216" s="316"/>
      <c r="F216" s="316"/>
      <c r="G216" s="314"/>
      <c r="H216" s="318"/>
      <c r="I216" s="314"/>
      <c r="J216" s="314"/>
      <c r="K216" s="314"/>
      <c r="L216" s="314"/>
      <c r="M216" s="314"/>
      <c r="N216" s="314"/>
      <c r="O216" s="318"/>
      <c r="P216" s="314"/>
      <c r="Q216" s="314"/>
      <c r="R216" s="314"/>
      <c r="S216" s="718"/>
      <c r="T216" s="719"/>
      <c r="U216" s="314"/>
      <c r="V216" s="318"/>
      <c r="W216" s="314"/>
      <c r="X216" s="314"/>
      <c r="Y216" s="314"/>
      <c r="Z216" s="721"/>
      <c r="AA216" s="721"/>
      <c r="AB216" s="314"/>
      <c r="AC216" s="317"/>
      <c r="AD216" s="324"/>
      <c r="AE216" s="155"/>
      <c r="AF216" s="155"/>
      <c r="AG216" s="322"/>
      <c r="AH216" s="155"/>
      <c r="AI216" s="132"/>
    </row>
    <row r="217">
      <c r="A217" s="314"/>
      <c r="B217" s="312"/>
      <c r="C217" s="312"/>
      <c r="D217" s="717"/>
      <c r="E217" s="316"/>
      <c r="F217" s="316"/>
      <c r="G217" s="314"/>
      <c r="H217" s="318"/>
      <c r="I217" s="314"/>
      <c r="J217" s="314"/>
      <c r="K217" s="314"/>
      <c r="L217" s="314"/>
      <c r="M217" s="314"/>
      <c r="N217" s="314"/>
      <c r="O217" s="318"/>
      <c r="P217" s="314"/>
      <c r="Q217" s="314"/>
      <c r="R217" s="314"/>
      <c r="S217" s="718"/>
      <c r="T217" s="719"/>
      <c r="U217" s="314"/>
      <c r="V217" s="318"/>
      <c r="W217" s="314"/>
      <c r="X217" s="314"/>
      <c r="Y217" s="314"/>
      <c r="Z217" s="721"/>
      <c r="AA217" s="721"/>
      <c r="AB217" s="314"/>
      <c r="AC217" s="317"/>
      <c r="AD217" s="324"/>
      <c r="AE217" s="155"/>
      <c r="AF217" s="155"/>
      <c r="AG217" s="322"/>
      <c r="AH217" s="155"/>
      <c r="AI217" s="132"/>
    </row>
    <row r="218">
      <c r="A218" s="314"/>
      <c r="B218" s="312"/>
      <c r="C218" s="312"/>
      <c r="D218" s="717"/>
      <c r="E218" s="316"/>
      <c r="F218" s="316"/>
      <c r="G218" s="314"/>
      <c r="H218" s="318"/>
      <c r="I218" s="314"/>
      <c r="J218" s="314"/>
      <c r="K218" s="314"/>
      <c r="L218" s="314"/>
      <c r="M218" s="314"/>
      <c r="N218" s="314"/>
      <c r="O218" s="318"/>
      <c r="P218" s="314"/>
      <c r="Q218" s="314"/>
      <c r="R218" s="314"/>
      <c r="S218" s="718"/>
      <c r="T218" s="719"/>
      <c r="U218" s="314"/>
      <c r="V218" s="318"/>
      <c r="W218" s="314"/>
      <c r="X218" s="314"/>
      <c r="Y218" s="314"/>
      <c r="Z218" s="721"/>
      <c r="AA218" s="721"/>
      <c r="AB218" s="314"/>
      <c r="AC218" s="317"/>
      <c r="AD218" s="324"/>
      <c r="AE218" s="155"/>
      <c r="AF218" s="155"/>
      <c r="AG218" s="322"/>
      <c r="AH218" s="155"/>
      <c r="AI218" s="132"/>
    </row>
    <row r="219">
      <c r="A219" s="314"/>
      <c r="B219" s="312"/>
      <c r="C219" s="312"/>
      <c r="D219" s="717"/>
      <c r="E219" s="316"/>
      <c r="F219" s="316"/>
      <c r="G219" s="314"/>
      <c r="H219" s="318"/>
      <c r="I219" s="314"/>
      <c r="J219" s="314"/>
      <c r="K219" s="314"/>
      <c r="L219" s="314"/>
      <c r="M219" s="314"/>
      <c r="N219" s="314"/>
      <c r="O219" s="318"/>
      <c r="P219" s="314"/>
      <c r="Q219" s="314"/>
      <c r="R219" s="314"/>
      <c r="S219" s="718"/>
      <c r="T219" s="719"/>
      <c r="U219" s="314"/>
      <c r="V219" s="318"/>
      <c r="W219" s="314"/>
      <c r="X219" s="314"/>
      <c r="Y219" s="314"/>
      <c r="Z219" s="721"/>
      <c r="AA219" s="721"/>
      <c r="AB219" s="314"/>
      <c r="AC219" s="317"/>
      <c r="AD219" s="324"/>
      <c r="AE219" s="155"/>
      <c r="AF219" s="155"/>
      <c r="AG219" s="322"/>
      <c r="AH219" s="155"/>
      <c r="AI219" s="132"/>
    </row>
    <row r="220">
      <c r="A220" s="314"/>
      <c r="B220" s="312"/>
      <c r="C220" s="312"/>
      <c r="D220" s="717"/>
      <c r="E220" s="316"/>
      <c r="F220" s="316"/>
      <c r="G220" s="314"/>
      <c r="H220" s="318"/>
      <c r="I220" s="314"/>
      <c r="J220" s="314"/>
      <c r="K220" s="314"/>
      <c r="L220" s="314"/>
      <c r="M220" s="314"/>
      <c r="N220" s="314"/>
      <c r="O220" s="318"/>
      <c r="P220" s="314"/>
      <c r="Q220" s="314"/>
      <c r="R220" s="314"/>
      <c r="S220" s="718"/>
      <c r="T220" s="719"/>
      <c r="U220" s="314"/>
      <c r="V220" s="318"/>
      <c r="W220" s="314"/>
      <c r="X220" s="314"/>
      <c r="Y220" s="314"/>
      <c r="Z220" s="721"/>
      <c r="AA220" s="721"/>
      <c r="AB220" s="314"/>
      <c r="AC220" s="317"/>
      <c r="AD220" s="324"/>
      <c r="AE220" s="155"/>
      <c r="AF220" s="155"/>
      <c r="AG220" s="322"/>
      <c r="AH220" s="155"/>
      <c r="AI220" s="132"/>
    </row>
    <row r="221">
      <c r="A221" s="314"/>
      <c r="B221" s="312"/>
      <c r="C221" s="312"/>
      <c r="D221" s="717"/>
      <c r="E221" s="316"/>
      <c r="F221" s="316"/>
      <c r="G221" s="314"/>
      <c r="H221" s="318"/>
      <c r="I221" s="314"/>
      <c r="J221" s="314"/>
      <c r="K221" s="314"/>
      <c r="L221" s="314"/>
      <c r="M221" s="314"/>
      <c r="N221" s="314"/>
      <c r="O221" s="318"/>
      <c r="P221" s="314"/>
      <c r="Q221" s="314"/>
      <c r="R221" s="314"/>
      <c r="S221" s="718"/>
      <c r="T221" s="719"/>
      <c r="U221" s="314"/>
      <c r="V221" s="318"/>
      <c r="W221" s="314"/>
      <c r="X221" s="314"/>
      <c r="Y221" s="314"/>
      <c r="Z221" s="721"/>
      <c r="AA221" s="721"/>
      <c r="AB221" s="314"/>
      <c r="AC221" s="317"/>
      <c r="AD221" s="324"/>
      <c r="AE221" s="155"/>
      <c r="AF221" s="155"/>
      <c r="AG221" s="322"/>
      <c r="AH221" s="155"/>
      <c r="AI221" s="132"/>
    </row>
    <row r="222">
      <c r="A222" s="314"/>
      <c r="B222" s="312"/>
      <c r="C222" s="312"/>
      <c r="D222" s="717"/>
      <c r="E222" s="316"/>
      <c r="F222" s="316"/>
      <c r="G222" s="314"/>
      <c r="H222" s="318"/>
      <c r="I222" s="314"/>
      <c r="J222" s="314"/>
      <c r="K222" s="314"/>
      <c r="L222" s="314"/>
      <c r="M222" s="314"/>
      <c r="N222" s="314"/>
      <c r="O222" s="318"/>
      <c r="P222" s="314"/>
      <c r="Q222" s="314"/>
      <c r="R222" s="314"/>
      <c r="S222" s="718"/>
      <c r="T222" s="719"/>
      <c r="U222" s="314"/>
      <c r="V222" s="318"/>
      <c r="W222" s="314"/>
      <c r="X222" s="314"/>
      <c r="Y222" s="314"/>
      <c r="Z222" s="721"/>
      <c r="AA222" s="721"/>
      <c r="AB222" s="314"/>
      <c r="AC222" s="317"/>
      <c r="AD222" s="324"/>
      <c r="AE222" s="155"/>
      <c r="AF222" s="155"/>
      <c r="AG222" s="322"/>
      <c r="AH222" s="155"/>
      <c r="AI222" s="132"/>
    </row>
    <row r="223">
      <c r="A223" s="314"/>
      <c r="B223" s="312"/>
      <c r="C223" s="312"/>
      <c r="D223" s="717"/>
      <c r="E223" s="316"/>
      <c r="F223" s="316"/>
      <c r="G223" s="314"/>
      <c r="H223" s="318"/>
      <c r="I223" s="314"/>
      <c r="J223" s="314"/>
      <c r="K223" s="314"/>
      <c r="L223" s="314"/>
      <c r="M223" s="314"/>
      <c r="N223" s="314"/>
      <c r="O223" s="318"/>
      <c r="P223" s="314"/>
      <c r="Q223" s="314"/>
      <c r="R223" s="314"/>
      <c r="S223" s="718"/>
      <c r="T223" s="719"/>
      <c r="U223" s="314"/>
      <c r="V223" s="318"/>
      <c r="W223" s="314"/>
      <c r="X223" s="314"/>
      <c r="Y223" s="314"/>
      <c r="Z223" s="721"/>
      <c r="AA223" s="721"/>
      <c r="AB223" s="314"/>
      <c r="AC223" s="317"/>
      <c r="AD223" s="324"/>
      <c r="AE223" s="155"/>
      <c r="AF223" s="155"/>
      <c r="AG223" s="322"/>
      <c r="AH223" s="155"/>
      <c r="AI223" s="132"/>
    </row>
    <row r="224">
      <c r="A224" s="314"/>
      <c r="B224" s="312"/>
      <c r="C224" s="312"/>
      <c r="D224" s="717"/>
      <c r="E224" s="316"/>
      <c r="F224" s="316"/>
      <c r="G224" s="314"/>
      <c r="H224" s="318"/>
      <c r="I224" s="314"/>
      <c r="J224" s="314"/>
      <c r="K224" s="314"/>
      <c r="L224" s="314"/>
      <c r="M224" s="314"/>
      <c r="N224" s="314"/>
      <c r="O224" s="318"/>
      <c r="P224" s="314"/>
      <c r="Q224" s="314"/>
      <c r="R224" s="314"/>
      <c r="S224" s="718"/>
      <c r="T224" s="719"/>
      <c r="U224" s="314"/>
      <c r="V224" s="318"/>
      <c r="W224" s="314"/>
      <c r="X224" s="314"/>
      <c r="Y224" s="314"/>
      <c r="Z224" s="721"/>
      <c r="AA224" s="721"/>
      <c r="AB224" s="314"/>
      <c r="AC224" s="317"/>
      <c r="AD224" s="324"/>
      <c r="AE224" s="155"/>
      <c r="AF224" s="155"/>
      <c r="AG224" s="322"/>
      <c r="AH224" s="155"/>
      <c r="AI224" s="132"/>
    </row>
    <row r="225">
      <c r="A225" s="314"/>
      <c r="B225" s="312"/>
      <c r="C225" s="312"/>
      <c r="D225" s="717"/>
      <c r="E225" s="316"/>
      <c r="F225" s="316"/>
      <c r="G225" s="314"/>
      <c r="H225" s="318"/>
      <c r="I225" s="314"/>
      <c r="J225" s="314"/>
      <c r="K225" s="314"/>
      <c r="L225" s="314"/>
      <c r="M225" s="314"/>
      <c r="N225" s="314"/>
      <c r="O225" s="318"/>
      <c r="P225" s="314"/>
      <c r="Q225" s="314"/>
      <c r="R225" s="314"/>
      <c r="S225" s="718"/>
      <c r="T225" s="719"/>
      <c r="U225" s="314"/>
      <c r="V225" s="318"/>
      <c r="W225" s="314"/>
      <c r="X225" s="314"/>
      <c r="Y225" s="314"/>
      <c r="Z225" s="721"/>
      <c r="AA225" s="721"/>
      <c r="AB225" s="314"/>
      <c r="AC225" s="317"/>
      <c r="AD225" s="324"/>
      <c r="AE225" s="155"/>
      <c r="AF225" s="155"/>
      <c r="AG225" s="322"/>
      <c r="AH225" s="155"/>
      <c r="AI225" s="132"/>
    </row>
    <row r="226">
      <c r="A226" s="314"/>
      <c r="B226" s="312"/>
      <c r="C226" s="312"/>
      <c r="D226" s="717"/>
      <c r="E226" s="316"/>
      <c r="F226" s="316"/>
      <c r="G226" s="314"/>
      <c r="H226" s="318"/>
      <c r="I226" s="314"/>
      <c r="J226" s="314"/>
      <c r="K226" s="314"/>
      <c r="L226" s="314"/>
      <c r="M226" s="314"/>
      <c r="N226" s="314"/>
      <c r="O226" s="318"/>
      <c r="P226" s="314"/>
      <c r="Q226" s="314"/>
      <c r="R226" s="314"/>
      <c r="S226" s="718"/>
      <c r="T226" s="719"/>
      <c r="U226" s="314"/>
      <c r="V226" s="318"/>
      <c r="W226" s="314"/>
      <c r="X226" s="314"/>
      <c r="Y226" s="314"/>
      <c r="Z226" s="721"/>
      <c r="AA226" s="721"/>
      <c r="AB226" s="314"/>
      <c r="AC226" s="317"/>
      <c r="AD226" s="324"/>
      <c r="AE226" s="155"/>
      <c r="AF226" s="155"/>
      <c r="AG226" s="322"/>
      <c r="AH226" s="155"/>
      <c r="AI226" s="132"/>
    </row>
    <row r="227">
      <c r="A227" s="314"/>
      <c r="B227" s="312"/>
      <c r="C227" s="312"/>
      <c r="D227" s="717"/>
      <c r="E227" s="316"/>
      <c r="F227" s="316"/>
      <c r="G227" s="314"/>
      <c r="H227" s="318"/>
      <c r="I227" s="314"/>
      <c r="J227" s="314"/>
      <c r="K227" s="314"/>
      <c r="L227" s="314"/>
      <c r="M227" s="314"/>
      <c r="N227" s="314"/>
      <c r="O227" s="318"/>
      <c r="P227" s="314"/>
      <c r="Q227" s="314"/>
      <c r="R227" s="314"/>
      <c r="S227" s="718"/>
      <c r="T227" s="719"/>
      <c r="U227" s="314"/>
      <c r="V227" s="318"/>
      <c r="W227" s="314"/>
      <c r="X227" s="314"/>
      <c r="Y227" s="314"/>
      <c r="Z227" s="721"/>
      <c r="AA227" s="721"/>
      <c r="AB227" s="314"/>
      <c r="AC227" s="317"/>
      <c r="AD227" s="324"/>
      <c r="AE227" s="155"/>
      <c r="AF227" s="155"/>
      <c r="AG227" s="322"/>
      <c r="AH227" s="155"/>
      <c r="AI227" s="132"/>
    </row>
    <row r="228">
      <c r="A228" s="314"/>
      <c r="B228" s="312"/>
      <c r="C228" s="312"/>
      <c r="D228" s="717"/>
      <c r="E228" s="316"/>
      <c r="F228" s="316"/>
      <c r="G228" s="314"/>
      <c r="H228" s="318"/>
      <c r="I228" s="314"/>
      <c r="J228" s="314"/>
      <c r="K228" s="314"/>
      <c r="L228" s="314"/>
      <c r="M228" s="314"/>
      <c r="N228" s="314"/>
      <c r="O228" s="318"/>
      <c r="P228" s="314"/>
      <c r="Q228" s="314"/>
      <c r="R228" s="314"/>
      <c r="S228" s="718"/>
      <c r="T228" s="719"/>
      <c r="U228" s="314"/>
      <c r="V228" s="318"/>
      <c r="W228" s="314"/>
      <c r="X228" s="314"/>
      <c r="Y228" s="314"/>
      <c r="Z228" s="721"/>
      <c r="AA228" s="721"/>
      <c r="AB228" s="314"/>
      <c r="AC228" s="317"/>
      <c r="AD228" s="324"/>
      <c r="AE228" s="155"/>
      <c r="AF228" s="155"/>
      <c r="AG228" s="322"/>
      <c r="AH228" s="155"/>
      <c r="AI228" s="132"/>
    </row>
    <row r="229">
      <c r="A229" s="314"/>
      <c r="B229" s="312"/>
      <c r="C229" s="312"/>
      <c r="D229" s="717"/>
      <c r="E229" s="316"/>
      <c r="F229" s="316"/>
      <c r="G229" s="314"/>
      <c r="H229" s="318"/>
      <c r="I229" s="314"/>
      <c r="J229" s="314"/>
      <c r="K229" s="314"/>
      <c r="L229" s="314"/>
      <c r="M229" s="314"/>
      <c r="N229" s="314"/>
      <c r="O229" s="318"/>
      <c r="P229" s="314"/>
      <c r="Q229" s="314"/>
      <c r="R229" s="314"/>
      <c r="S229" s="718"/>
      <c r="T229" s="719"/>
      <c r="U229" s="314"/>
      <c r="V229" s="318"/>
      <c r="W229" s="314"/>
      <c r="X229" s="314"/>
      <c r="Y229" s="314"/>
      <c r="Z229" s="721"/>
      <c r="AA229" s="721"/>
      <c r="AB229" s="314"/>
      <c r="AC229" s="317"/>
      <c r="AD229" s="324"/>
      <c r="AE229" s="155"/>
      <c r="AF229" s="155"/>
      <c r="AG229" s="322"/>
      <c r="AH229" s="155"/>
      <c r="AI229" s="132"/>
    </row>
    <row r="230">
      <c r="A230" s="314"/>
      <c r="B230" s="312"/>
      <c r="C230" s="312"/>
      <c r="D230" s="717"/>
      <c r="E230" s="316"/>
      <c r="F230" s="316"/>
      <c r="G230" s="314"/>
      <c r="H230" s="318"/>
      <c r="I230" s="314"/>
      <c r="J230" s="314"/>
      <c r="K230" s="314"/>
      <c r="L230" s="314"/>
      <c r="M230" s="314"/>
      <c r="N230" s="314"/>
      <c r="O230" s="318"/>
      <c r="P230" s="314"/>
      <c r="Q230" s="314"/>
      <c r="R230" s="314"/>
      <c r="S230" s="718"/>
      <c r="T230" s="719"/>
      <c r="U230" s="314"/>
      <c r="V230" s="318"/>
      <c r="W230" s="314"/>
      <c r="X230" s="314"/>
      <c r="Y230" s="314"/>
      <c r="Z230" s="721"/>
      <c r="AA230" s="721"/>
      <c r="AB230" s="314"/>
      <c r="AC230" s="317"/>
      <c r="AD230" s="324"/>
      <c r="AE230" s="155"/>
      <c r="AF230" s="155"/>
      <c r="AG230" s="322"/>
      <c r="AH230" s="155"/>
      <c r="AI230" s="132"/>
    </row>
    <row r="231">
      <c r="A231" s="314"/>
      <c r="B231" s="312"/>
      <c r="C231" s="312"/>
      <c r="D231" s="717"/>
      <c r="E231" s="316"/>
      <c r="F231" s="316"/>
      <c r="G231" s="314"/>
      <c r="H231" s="318"/>
      <c r="I231" s="314"/>
      <c r="J231" s="314"/>
      <c r="K231" s="314"/>
      <c r="L231" s="314"/>
      <c r="M231" s="314"/>
      <c r="N231" s="314"/>
      <c r="O231" s="318"/>
      <c r="P231" s="314"/>
      <c r="Q231" s="314"/>
      <c r="R231" s="314"/>
      <c r="S231" s="718"/>
      <c r="T231" s="719"/>
      <c r="U231" s="314"/>
      <c r="V231" s="318"/>
      <c r="W231" s="314"/>
      <c r="X231" s="314"/>
      <c r="Y231" s="314"/>
      <c r="Z231" s="721"/>
      <c r="AA231" s="721"/>
      <c r="AB231" s="314"/>
      <c r="AC231" s="317"/>
      <c r="AD231" s="324"/>
      <c r="AE231" s="155"/>
      <c r="AF231" s="155"/>
      <c r="AG231" s="322"/>
      <c r="AH231" s="155"/>
      <c r="AI231" s="132"/>
    </row>
    <row r="232">
      <c r="A232" s="314"/>
      <c r="B232" s="312"/>
      <c r="C232" s="312"/>
      <c r="D232" s="717"/>
      <c r="E232" s="316"/>
      <c r="F232" s="316"/>
      <c r="G232" s="314"/>
      <c r="H232" s="318"/>
      <c r="I232" s="314"/>
      <c r="J232" s="314"/>
      <c r="K232" s="314"/>
      <c r="L232" s="314"/>
      <c r="M232" s="314"/>
      <c r="N232" s="314"/>
      <c r="O232" s="318"/>
      <c r="P232" s="314"/>
      <c r="Q232" s="314"/>
      <c r="R232" s="314"/>
      <c r="S232" s="718"/>
      <c r="T232" s="719"/>
      <c r="U232" s="314"/>
      <c r="V232" s="318"/>
      <c r="W232" s="314"/>
      <c r="X232" s="314"/>
      <c r="Y232" s="314"/>
      <c r="Z232" s="721"/>
      <c r="AA232" s="721"/>
      <c r="AB232" s="314"/>
      <c r="AC232" s="317"/>
      <c r="AD232" s="324"/>
      <c r="AE232" s="155"/>
      <c r="AF232" s="155"/>
      <c r="AG232" s="322"/>
      <c r="AH232" s="155"/>
      <c r="AI232" s="132"/>
    </row>
    <row r="233">
      <c r="A233" s="314"/>
      <c r="B233" s="312"/>
      <c r="C233" s="312"/>
      <c r="D233" s="717"/>
      <c r="E233" s="316"/>
      <c r="F233" s="316"/>
      <c r="G233" s="314"/>
      <c r="H233" s="318"/>
      <c r="I233" s="314"/>
      <c r="J233" s="314"/>
      <c r="K233" s="314"/>
      <c r="L233" s="314"/>
      <c r="M233" s="314"/>
      <c r="N233" s="314"/>
      <c r="O233" s="318"/>
      <c r="P233" s="314"/>
      <c r="Q233" s="314"/>
      <c r="R233" s="314"/>
      <c r="S233" s="718"/>
      <c r="T233" s="719"/>
      <c r="U233" s="314"/>
      <c r="V233" s="318"/>
      <c r="W233" s="314"/>
      <c r="X233" s="314"/>
      <c r="Y233" s="314"/>
      <c r="Z233" s="721"/>
      <c r="AA233" s="721"/>
      <c r="AB233" s="314"/>
      <c r="AC233" s="317"/>
      <c r="AD233" s="324"/>
      <c r="AE233" s="155"/>
      <c r="AF233" s="155"/>
      <c r="AG233" s="322"/>
      <c r="AH233" s="155"/>
      <c r="AI233" s="132"/>
    </row>
    <row r="234">
      <c r="A234" s="314"/>
      <c r="B234" s="312"/>
      <c r="C234" s="312"/>
      <c r="D234" s="717"/>
      <c r="E234" s="316"/>
      <c r="F234" s="316"/>
      <c r="G234" s="314"/>
      <c r="H234" s="318"/>
      <c r="I234" s="314"/>
      <c r="J234" s="314"/>
      <c r="K234" s="314"/>
      <c r="L234" s="314"/>
      <c r="M234" s="314"/>
      <c r="N234" s="314"/>
      <c r="O234" s="318"/>
      <c r="P234" s="314"/>
      <c r="Q234" s="314"/>
      <c r="R234" s="314"/>
      <c r="S234" s="718"/>
      <c r="T234" s="719"/>
      <c r="U234" s="314"/>
      <c r="V234" s="318"/>
      <c r="W234" s="314"/>
      <c r="X234" s="314"/>
      <c r="Y234" s="314"/>
      <c r="Z234" s="721"/>
      <c r="AA234" s="721"/>
      <c r="AB234" s="314"/>
      <c r="AC234" s="317"/>
      <c r="AD234" s="324"/>
      <c r="AE234" s="155"/>
      <c r="AF234" s="155"/>
      <c r="AG234" s="322"/>
      <c r="AH234" s="155"/>
      <c r="AI234" s="132"/>
    </row>
    <row r="235">
      <c r="A235" s="314"/>
      <c r="B235" s="312"/>
      <c r="C235" s="312"/>
      <c r="D235" s="717"/>
      <c r="E235" s="316"/>
      <c r="F235" s="316"/>
      <c r="G235" s="314"/>
      <c r="H235" s="318"/>
      <c r="I235" s="314"/>
      <c r="J235" s="314"/>
      <c r="K235" s="314"/>
      <c r="L235" s="314"/>
      <c r="M235" s="314"/>
      <c r="N235" s="314"/>
      <c r="O235" s="318"/>
      <c r="P235" s="314"/>
      <c r="Q235" s="314"/>
      <c r="R235" s="314"/>
      <c r="S235" s="718"/>
      <c r="T235" s="719"/>
      <c r="U235" s="314"/>
      <c r="V235" s="318"/>
      <c r="W235" s="314"/>
      <c r="X235" s="314"/>
      <c r="Y235" s="314"/>
      <c r="Z235" s="721"/>
      <c r="AA235" s="721"/>
      <c r="AB235" s="314"/>
      <c r="AC235" s="317"/>
      <c r="AD235" s="324"/>
      <c r="AE235" s="155"/>
      <c r="AF235" s="155"/>
      <c r="AG235" s="322"/>
      <c r="AH235" s="155"/>
      <c r="AI235" s="132"/>
    </row>
    <row r="236">
      <c r="A236" s="314"/>
      <c r="B236" s="312"/>
      <c r="C236" s="312"/>
      <c r="D236" s="717"/>
      <c r="E236" s="316"/>
      <c r="F236" s="316"/>
      <c r="G236" s="314"/>
      <c r="H236" s="318"/>
      <c r="I236" s="314"/>
      <c r="J236" s="314"/>
      <c r="K236" s="314"/>
      <c r="L236" s="314"/>
      <c r="M236" s="314"/>
      <c r="N236" s="314"/>
      <c r="O236" s="318"/>
      <c r="P236" s="314"/>
      <c r="Q236" s="314"/>
      <c r="R236" s="314"/>
      <c r="S236" s="718"/>
      <c r="T236" s="719"/>
      <c r="U236" s="314"/>
      <c r="V236" s="318"/>
      <c r="W236" s="314"/>
      <c r="X236" s="314"/>
      <c r="Y236" s="314"/>
      <c r="Z236" s="721"/>
      <c r="AA236" s="721"/>
      <c r="AB236" s="314"/>
      <c r="AC236" s="317"/>
      <c r="AD236" s="324"/>
      <c r="AE236" s="155"/>
      <c r="AF236" s="155"/>
      <c r="AG236" s="322"/>
      <c r="AH236" s="155"/>
      <c r="AI236" s="132"/>
    </row>
    <row r="237">
      <c r="A237" s="314"/>
      <c r="B237" s="312"/>
      <c r="C237" s="312"/>
      <c r="D237" s="717"/>
      <c r="E237" s="316"/>
      <c r="F237" s="316"/>
      <c r="G237" s="314"/>
      <c r="H237" s="318"/>
      <c r="I237" s="314"/>
      <c r="J237" s="314"/>
      <c r="K237" s="314"/>
      <c r="L237" s="314"/>
      <c r="M237" s="314"/>
      <c r="N237" s="314"/>
      <c r="O237" s="318"/>
      <c r="P237" s="314"/>
      <c r="Q237" s="314"/>
      <c r="R237" s="314"/>
      <c r="S237" s="718"/>
      <c r="T237" s="719"/>
      <c r="U237" s="314"/>
      <c r="V237" s="318"/>
      <c r="W237" s="314"/>
      <c r="X237" s="314"/>
      <c r="Y237" s="314"/>
      <c r="Z237" s="721"/>
      <c r="AA237" s="721"/>
      <c r="AB237" s="314"/>
      <c r="AC237" s="317"/>
      <c r="AD237" s="324"/>
      <c r="AE237" s="155"/>
      <c r="AF237" s="155"/>
      <c r="AG237" s="322"/>
      <c r="AH237" s="155"/>
      <c r="AI237" s="132"/>
    </row>
    <row r="238">
      <c r="A238" s="314"/>
      <c r="B238" s="312"/>
      <c r="C238" s="312"/>
      <c r="D238" s="717"/>
      <c r="E238" s="316"/>
      <c r="F238" s="316"/>
      <c r="G238" s="314"/>
      <c r="H238" s="318"/>
      <c r="I238" s="314"/>
      <c r="J238" s="314"/>
      <c r="K238" s="314"/>
      <c r="L238" s="314"/>
      <c r="M238" s="314"/>
      <c r="N238" s="314"/>
      <c r="O238" s="318"/>
      <c r="P238" s="314"/>
      <c r="Q238" s="314"/>
      <c r="R238" s="314"/>
      <c r="S238" s="718"/>
      <c r="T238" s="719"/>
      <c r="U238" s="314"/>
      <c r="V238" s="318"/>
      <c r="W238" s="314"/>
      <c r="X238" s="314"/>
      <c r="Y238" s="314"/>
      <c r="Z238" s="721"/>
      <c r="AA238" s="721"/>
      <c r="AB238" s="314"/>
      <c r="AC238" s="317"/>
      <c r="AD238" s="324"/>
      <c r="AE238" s="155"/>
      <c r="AF238" s="155"/>
      <c r="AG238" s="322"/>
      <c r="AH238" s="155"/>
      <c r="AI238" s="132"/>
    </row>
    <row r="239">
      <c r="A239" s="314"/>
      <c r="B239" s="312"/>
      <c r="C239" s="312"/>
      <c r="D239" s="717"/>
      <c r="E239" s="316"/>
      <c r="F239" s="316"/>
      <c r="G239" s="314"/>
      <c r="H239" s="318"/>
      <c r="I239" s="314"/>
      <c r="J239" s="314"/>
      <c r="K239" s="314"/>
      <c r="L239" s="314"/>
      <c r="M239" s="314"/>
      <c r="N239" s="314"/>
      <c r="O239" s="318"/>
      <c r="P239" s="314"/>
      <c r="Q239" s="314"/>
      <c r="R239" s="314"/>
      <c r="S239" s="718"/>
      <c r="T239" s="719"/>
      <c r="U239" s="314"/>
      <c r="V239" s="318"/>
      <c r="W239" s="314"/>
      <c r="X239" s="314"/>
      <c r="Y239" s="314"/>
      <c r="Z239" s="721"/>
      <c r="AA239" s="721"/>
      <c r="AB239" s="314"/>
      <c r="AC239" s="317"/>
      <c r="AD239" s="324"/>
      <c r="AE239" s="155"/>
      <c r="AF239" s="155"/>
      <c r="AG239" s="322"/>
      <c r="AH239" s="155"/>
      <c r="AI239" s="132"/>
    </row>
    <row r="240">
      <c r="A240" s="314"/>
      <c r="B240" s="312"/>
      <c r="C240" s="312"/>
      <c r="D240" s="717"/>
      <c r="E240" s="316"/>
      <c r="F240" s="316"/>
      <c r="G240" s="314"/>
      <c r="H240" s="318"/>
      <c r="I240" s="314"/>
      <c r="J240" s="314"/>
      <c r="K240" s="314"/>
      <c r="L240" s="314"/>
      <c r="M240" s="314"/>
      <c r="N240" s="314"/>
      <c r="O240" s="318"/>
      <c r="P240" s="314"/>
      <c r="Q240" s="314"/>
      <c r="R240" s="314"/>
      <c r="S240" s="718"/>
      <c r="T240" s="719"/>
      <c r="U240" s="314"/>
      <c r="V240" s="318"/>
      <c r="W240" s="314"/>
      <c r="X240" s="314"/>
      <c r="Y240" s="314"/>
      <c r="Z240" s="721"/>
      <c r="AA240" s="721"/>
      <c r="AB240" s="314"/>
      <c r="AC240" s="317"/>
      <c r="AD240" s="324"/>
      <c r="AE240" s="155"/>
      <c r="AF240" s="155"/>
      <c r="AG240" s="322"/>
      <c r="AH240" s="155"/>
      <c r="AI240" s="132"/>
    </row>
    <row r="241">
      <c r="A241" s="314"/>
      <c r="B241" s="312"/>
      <c r="C241" s="312"/>
      <c r="D241" s="717"/>
      <c r="E241" s="316"/>
      <c r="F241" s="316"/>
      <c r="G241" s="314"/>
      <c r="H241" s="318"/>
      <c r="I241" s="314"/>
      <c r="J241" s="314"/>
      <c r="K241" s="314"/>
      <c r="L241" s="314"/>
      <c r="M241" s="314"/>
      <c r="N241" s="314"/>
      <c r="O241" s="318"/>
      <c r="P241" s="314"/>
      <c r="Q241" s="314"/>
      <c r="R241" s="314"/>
      <c r="S241" s="718"/>
      <c r="T241" s="719"/>
      <c r="U241" s="314"/>
      <c r="V241" s="318"/>
      <c r="W241" s="314"/>
      <c r="X241" s="314"/>
      <c r="Y241" s="314"/>
      <c r="Z241" s="721"/>
      <c r="AA241" s="721"/>
      <c r="AB241" s="314"/>
      <c r="AC241" s="317"/>
      <c r="AD241" s="324"/>
      <c r="AE241" s="155"/>
      <c r="AF241" s="155"/>
      <c r="AG241" s="322"/>
      <c r="AH241" s="155"/>
      <c r="AI241" s="132"/>
    </row>
    <row r="242">
      <c r="A242" s="314"/>
      <c r="B242" s="312"/>
      <c r="C242" s="312"/>
      <c r="D242" s="717"/>
      <c r="E242" s="316"/>
      <c r="F242" s="316"/>
      <c r="G242" s="314"/>
      <c r="H242" s="318"/>
      <c r="I242" s="314"/>
      <c r="J242" s="314"/>
      <c r="K242" s="314"/>
      <c r="L242" s="314"/>
      <c r="M242" s="314"/>
      <c r="N242" s="314"/>
      <c r="O242" s="318"/>
      <c r="P242" s="314"/>
      <c r="Q242" s="314"/>
      <c r="R242" s="314"/>
      <c r="S242" s="718"/>
      <c r="T242" s="719"/>
      <c r="U242" s="314"/>
      <c r="V242" s="318"/>
      <c r="W242" s="314"/>
      <c r="X242" s="314"/>
      <c r="Y242" s="314"/>
      <c r="Z242" s="721"/>
      <c r="AA242" s="721"/>
      <c r="AB242" s="314"/>
      <c r="AC242" s="317"/>
      <c r="AD242" s="324"/>
      <c r="AE242" s="155"/>
      <c r="AF242" s="155"/>
      <c r="AG242" s="322"/>
      <c r="AH242" s="155"/>
      <c r="AI242" s="132"/>
    </row>
    <row r="243">
      <c r="A243" s="314"/>
      <c r="B243" s="312"/>
      <c r="C243" s="312"/>
      <c r="D243" s="717"/>
      <c r="E243" s="316"/>
      <c r="F243" s="316"/>
      <c r="G243" s="314"/>
      <c r="H243" s="318"/>
      <c r="I243" s="314"/>
      <c r="J243" s="314"/>
      <c r="K243" s="314"/>
      <c r="L243" s="314"/>
      <c r="M243" s="314"/>
      <c r="N243" s="314"/>
      <c r="O243" s="318"/>
      <c r="P243" s="314"/>
      <c r="Q243" s="314"/>
      <c r="R243" s="314"/>
      <c r="S243" s="718"/>
      <c r="T243" s="719"/>
      <c r="U243" s="314"/>
      <c r="V243" s="318"/>
      <c r="W243" s="314"/>
      <c r="X243" s="314"/>
      <c r="Y243" s="314"/>
      <c r="Z243" s="721"/>
      <c r="AA243" s="721"/>
      <c r="AB243" s="314"/>
      <c r="AC243" s="317"/>
      <c r="AD243" s="324"/>
      <c r="AE243" s="155"/>
      <c r="AF243" s="155"/>
      <c r="AG243" s="322"/>
      <c r="AH243" s="155"/>
      <c r="AI243" s="132"/>
    </row>
    <row r="244">
      <c r="A244" s="314"/>
      <c r="B244" s="312"/>
      <c r="C244" s="312"/>
      <c r="D244" s="717"/>
      <c r="E244" s="316"/>
      <c r="F244" s="316"/>
      <c r="G244" s="314"/>
      <c r="H244" s="318"/>
      <c r="I244" s="314"/>
      <c r="J244" s="314"/>
      <c r="K244" s="314"/>
      <c r="L244" s="314"/>
      <c r="M244" s="314"/>
      <c r="N244" s="314"/>
      <c r="O244" s="318"/>
      <c r="P244" s="314"/>
      <c r="Q244" s="314"/>
      <c r="R244" s="314"/>
      <c r="S244" s="718"/>
      <c r="T244" s="719"/>
      <c r="U244" s="314"/>
      <c r="V244" s="318"/>
      <c r="W244" s="314"/>
      <c r="X244" s="314"/>
      <c r="Y244" s="314"/>
      <c r="Z244" s="721"/>
      <c r="AA244" s="721"/>
      <c r="AB244" s="314"/>
      <c r="AC244" s="317"/>
      <c r="AD244" s="324"/>
      <c r="AE244" s="155"/>
      <c r="AF244" s="155"/>
      <c r="AG244" s="322"/>
      <c r="AH244" s="155"/>
      <c r="AI244" s="132"/>
    </row>
    <row r="245">
      <c r="A245" s="314"/>
      <c r="B245" s="312"/>
      <c r="C245" s="312"/>
      <c r="D245" s="717"/>
      <c r="E245" s="316"/>
      <c r="F245" s="316"/>
      <c r="G245" s="314"/>
      <c r="H245" s="318"/>
      <c r="I245" s="314"/>
      <c r="J245" s="314"/>
      <c r="K245" s="314"/>
      <c r="L245" s="314"/>
      <c r="M245" s="314"/>
      <c r="N245" s="314"/>
      <c r="O245" s="318"/>
      <c r="P245" s="314"/>
      <c r="Q245" s="314"/>
      <c r="R245" s="314"/>
      <c r="S245" s="718"/>
      <c r="T245" s="719"/>
      <c r="U245" s="314"/>
      <c r="V245" s="318"/>
      <c r="W245" s="314"/>
      <c r="X245" s="314"/>
      <c r="Y245" s="314"/>
      <c r="Z245" s="721"/>
      <c r="AA245" s="721"/>
      <c r="AB245" s="314"/>
      <c r="AC245" s="317"/>
      <c r="AD245" s="324"/>
      <c r="AE245" s="155"/>
      <c r="AF245" s="155"/>
      <c r="AG245" s="322"/>
      <c r="AH245" s="155"/>
      <c r="AI245" s="132"/>
    </row>
    <row r="246">
      <c r="A246" s="314"/>
      <c r="B246" s="312"/>
      <c r="C246" s="312"/>
      <c r="D246" s="717"/>
      <c r="E246" s="316"/>
      <c r="F246" s="316"/>
      <c r="G246" s="314"/>
      <c r="H246" s="318"/>
      <c r="I246" s="314"/>
      <c r="J246" s="314"/>
      <c r="K246" s="314"/>
      <c r="L246" s="314"/>
      <c r="M246" s="314"/>
      <c r="N246" s="314"/>
      <c r="O246" s="318"/>
      <c r="P246" s="314"/>
      <c r="Q246" s="314"/>
      <c r="R246" s="314"/>
      <c r="S246" s="718"/>
      <c r="T246" s="719"/>
      <c r="U246" s="314"/>
      <c r="V246" s="318"/>
      <c r="W246" s="314"/>
      <c r="X246" s="314"/>
      <c r="Y246" s="314"/>
      <c r="Z246" s="721"/>
      <c r="AA246" s="721"/>
      <c r="AB246" s="314"/>
      <c r="AC246" s="317"/>
      <c r="AD246" s="324"/>
      <c r="AE246" s="155"/>
      <c r="AF246" s="155"/>
      <c r="AG246" s="322"/>
      <c r="AH246" s="155"/>
      <c r="AI246" s="132"/>
    </row>
    <row r="247">
      <c r="A247" s="314"/>
      <c r="B247" s="312"/>
      <c r="C247" s="312"/>
      <c r="D247" s="717"/>
      <c r="E247" s="316"/>
      <c r="F247" s="316"/>
      <c r="G247" s="314"/>
      <c r="H247" s="318"/>
      <c r="I247" s="314"/>
      <c r="J247" s="314"/>
      <c r="K247" s="314"/>
      <c r="L247" s="314"/>
      <c r="M247" s="314"/>
      <c r="N247" s="314"/>
      <c r="O247" s="318"/>
      <c r="P247" s="314"/>
      <c r="Q247" s="314"/>
      <c r="R247" s="314"/>
      <c r="S247" s="718"/>
      <c r="T247" s="719"/>
      <c r="U247" s="314"/>
      <c r="V247" s="318"/>
      <c r="W247" s="314"/>
      <c r="X247" s="314"/>
      <c r="Y247" s="314"/>
      <c r="Z247" s="721"/>
      <c r="AA247" s="721"/>
      <c r="AB247" s="314"/>
      <c r="AC247" s="317"/>
      <c r="AD247" s="324"/>
      <c r="AE247" s="155"/>
      <c r="AF247" s="155"/>
      <c r="AG247" s="322"/>
      <c r="AH247" s="155"/>
      <c r="AI247" s="132"/>
    </row>
    <row r="248">
      <c r="A248" s="435"/>
      <c r="B248" s="312"/>
      <c r="C248" s="745"/>
      <c r="D248" s="717"/>
      <c r="E248" s="742"/>
      <c r="F248" s="316"/>
      <c r="G248" s="314"/>
      <c r="H248" s="740"/>
      <c r="I248" s="435"/>
      <c r="J248" s="314"/>
      <c r="K248" s="435"/>
      <c r="L248" s="435"/>
      <c r="M248" s="314"/>
      <c r="N248" s="314"/>
      <c r="O248" s="318"/>
      <c r="P248" s="435"/>
      <c r="Q248" s="435"/>
      <c r="R248" s="435"/>
      <c r="S248" s="747"/>
      <c r="T248" s="748"/>
      <c r="U248" s="435"/>
      <c r="V248" s="740"/>
      <c r="W248" s="435"/>
      <c r="X248" s="435"/>
      <c r="Y248" s="435"/>
      <c r="Z248" s="749"/>
      <c r="AA248" s="749"/>
      <c r="AB248" s="435"/>
      <c r="AC248" s="750"/>
      <c r="AD248" s="324"/>
      <c r="AE248" s="180"/>
      <c r="AF248" s="155"/>
      <c r="AG248" s="322"/>
      <c r="AH248" s="155"/>
      <c r="AI248" s="132"/>
    </row>
    <row r="249">
      <c r="A249" s="435"/>
      <c r="B249" s="312"/>
      <c r="C249" s="312"/>
      <c r="D249" s="751"/>
      <c r="E249" s="316"/>
      <c r="F249" s="316"/>
      <c r="G249" s="314"/>
      <c r="H249" s="318"/>
      <c r="I249" s="314"/>
      <c r="J249" s="314"/>
      <c r="K249" s="314"/>
      <c r="L249" s="314"/>
      <c r="M249" s="435"/>
      <c r="N249" s="435"/>
      <c r="O249" s="318"/>
      <c r="P249" s="314"/>
      <c r="Q249" s="314"/>
      <c r="R249" s="314"/>
      <c r="S249" s="718"/>
      <c r="T249" s="719"/>
      <c r="U249" s="314"/>
      <c r="V249" s="318"/>
      <c r="W249" s="314"/>
      <c r="X249" s="314"/>
      <c r="Y249" s="314"/>
      <c r="Z249" s="721"/>
      <c r="AA249" s="721"/>
      <c r="AB249" s="314"/>
      <c r="AC249" s="317"/>
      <c r="AD249" s="324"/>
      <c r="AE249" s="180"/>
      <c r="AF249" s="155"/>
      <c r="AG249" s="322"/>
      <c r="AH249" s="155"/>
      <c r="AI249" s="132"/>
    </row>
    <row r="250">
      <c r="A250" s="435"/>
      <c r="B250" s="745"/>
      <c r="C250" s="745"/>
      <c r="D250" s="751"/>
      <c r="E250" s="742"/>
      <c r="F250" s="316"/>
      <c r="G250" s="314"/>
      <c r="H250" s="318"/>
      <c r="I250" s="435"/>
      <c r="J250" s="435"/>
      <c r="K250" s="435"/>
      <c r="L250" s="435"/>
      <c r="M250" s="435"/>
      <c r="N250" s="435"/>
      <c r="O250" s="318"/>
      <c r="P250" s="435"/>
      <c r="Q250" s="314"/>
      <c r="R250" s="435"/>
      <c r="S250" s="747"/>
      <c r="T250" s="748"/>
      <c r="U250" s="435"/>
      <c r="V250" s="740"/>
      <c r="W250" s="435"/>
      <c r="X250" s="435"/>
      <c r="Y250" s="435"/>
      <c r="Z250" s="749"/>
      <c r="AA250" s="749"/>
      <c r="AB250" s="435"/>
      <c r="AC250" s="750"/>
      <c r="AD250" s="324"/>
      <c r="AE250" s="180"/>
      <c r="AF250" s="155"/>
      <c r="AG250" s="322"/>
      <c r="AH250" s="155"/>
      <c r="AI250" s="132"/>
    </row>
    <row r="251">
      <c r="A251" s="435"/>
      <c r="B251" s="312"/>
      <c r="C251" s="312"/>
      <c r="D251" s="751"/>
      <c r="E251" s="316"/>
      <c r="F251" s="316"/>
      <c r="G251" s="314"/>
      <c r="H251" s="318"/>
      <c r="I251" s="435"/>
      <c r="J251" s="314"/>
      <c r="K251" s="435"/>
      <c r="L251" s="314"/>
      <c r="M251" s="314"/>
      <c r="N251" s="314"/>
      <c r="O251" s="318"/>
      <c r="P251" s="314"/>
      <c r="Q251" s="435"/>
      <c r="R251" s="435"/>
      <c r="S251" s="718"/>
      <c r="T251" s="719"/>
      <c r="U251" s="314"/>
      <c r="V251" s="318"/>
      <c r="W251" s="314"/>
      <c r="X251" s="314"/>
      <c r="Y251" s="314"/>
      <c r="Z251" s="721"/>
      <c r="AA251" s="721"/>
      <c r="AB251" s="314"/>
      <c r="AC251" s="317"/>
      <c r="AD251" s="324"/>
      <c r="AE251" s="180"/>
      <c r="AF251" s="155"/>
      <c r="AG251" s="322"/>
      <c r="AH251" s="155"/>
      <c r="AI251" s="132"/>
    </row>
    <row r="252">
      <c r="A252" s="435"/>
      <c r="B252" s="745"/>
      <c r="C252" s="745"/>
      <c r="D252" s="751"/>
      <c r="E252" s="742"/>
      <c r="F252" s="316"/>
      <c r="G252" s="314"/>
      <c r="H252" s="740"/>
      <c r="I252" s="435"/>
      <c r="J252" s="435"/>
      <c r="K252" s="435"/>
      <c r="L252" s="435"/>
      <c r="M252" s="435"/>
      <c r="N252" s="435"/>
      <c r="O252" s="318"/>
      <c r="P252" s="435"/>
      <c r="Q252" s="435"/>
      <c r="R252" s="435"/>
      <c r="S252" s="747"/>
      <c r="T252" s="748"/>
      <c r="U252" s="435"/>
      <c r="V252" s="740"/>
      <c r="W252" s="435"/>
      <c r="X252" s="435"/>
      <c r="Y252" s="435"/>
      <c r="Z252" s="749"/>
      <c r="AA252" s="749"/>
      <c r="AB252" s="435"/>
      <c r="AC252" s="750"/>
      <c r="AD252" s="324"/>
      <c r="AE252" s="180"/>
      <c r="AF252" s="155"/>
      <c r="AG252" s="322"/>
      <c r="AH252" s="155"/>
      <c r="AI252" s="132"/>
    </row>
    <row r="253">
      <c r="A253" s="435"/>
      <c r="B253" s="745"/>
      <c r="C253" s="312"/>
      <c r="D253" s="751"/>
      <c r="E253" s="316"/>
      <c r="F253" s="316"/>
      <c r="G253" s="314"/>
      <c r="H253" s="318"/>
      <c r="I253" s="314"/>
      <c r="J253" s="314"/>
      <c r="K253" s="435"/>
      <c r="L253" s="314"/>
      <c r="M253" s="314"/>
      <c r="N253" s="314"/>
      <c r="O253" s="318"/>
      <c r="P253" s="314"/>
      <c r="Q253" s="314"/>
      <c r="R253" s="314"/>
      <c r="S253" s="747"/>
      <c r="T253" s="748"/>
      <c r="U253" s="435"/>
      <c r="V253" s="740"/>
      <c r="W253" s="435"/>
      <c r="X253" s="435"/>
      <c r="Y253" s="435"/>
      <c r="Z253" s="749"/>
      <c r="AA253" s="749"/>
      <c r="AB253" s="435"/>
      <c r="AC253" s="750"/>
      <c r="AD253" s="324"/>
      <c r="AE253" s="180"/>
      <c r="AF253" s="155"/>
      <c r="AG253" s="322"/>
      <c r="AH253" s="155"/>
      <c r="AI253" s="132"/>
    </row>
    <row r="254">
      <c r="A254" s="435"/>
      <c r="B254" s="745"/>
      <c r="C254" s="745"/>
      <c r="D254" s="751"/>
      <c r="E254" s="742"/>
      <c r="F254" s="316"/>
      <c r="G254" s="314"/>
      <c r="H254" s="740"/>
      <c r="I254" s="314"/>
      <c r="J254" s="314"/>
      <c r="K254" s="435"/>
      <c r="L254" s="314"/>
      <c r="M254" s="314"/>
      <c r="N254" s="314"/>
      <c r="O254" s="318"/>
      <c r="P254" s="435"/>
      <c r="Q254" s="435"/>
      <c r="R254" s="435"/>
      <c r="S254" s="747"/>
      <c r="T254" s="748"/>
      <c r="U254" s="435"/>
      <c r="V254" s="740"/>
      <c r="W254" s="435"/>
      <c r="X254" s="435"/>
      <c r="Y254" s="435"/>
      <c r="Z254" s="749"/>
      <c r="AA254" s="749"/>
      <c r="AB254" s="435"/>
      <c r="AC254" s="750"/>
      <c r="AD254" s="324"/>
      <c r="AE254" s="180"/>
      <c r="AF254" s="155"/>
      <c r="AG254" s="322"/>
      <c r="AH254" s="155"/>
      <c r="AI254" s="132"/>
    </row>
    <row r="255">
      <c r="A255" s="435"/>
      <c r="B255" s="745"/>
      <c r="C255" s="745"/>
      <c r="D255" s="751"/>
      <c r="E255" s="742"/>
      <c r="F255" s="316"/>
      <c r="G255" s="314"/>
      <c r="H255" s="740"/>
      <c r="I255" s="435"/>
      <c r="J255" s="435"/>
      <c r="K255" s="435"/>
      <c r="L255" s="435"/>
      <c r="M255" s="435"/>
      <c r="N255" s="435"/>
      <c r="O255" s="318"/>
      <c r="P255" s="435"/>
      <c r="Q255" s="435"/>
      <c r="R255" s="435"/>
      <c r="S255" s="747"/>
      <c r="T255" s="748"/>
      <c r="U255" s="435"/>
      <c r="V255" s="740"/>
      <c r="W255" s="435"/>
      <c r="X255" s="435"/>
      <c r="Y255" s="435"/>
      <c r="Z255" s="749"/>
      <c r="AA255" s="749"/>
      <c r="AB255" s="435"/>
      <c r="AC255" s="750"/>
      <c r="AD255" s="324"/>
      <c r="AE255" s="180"/>
      <c r="AF255" s="155"/>
      <c r="AG255" s="322"/>
      <c r="AH255" s="155"/>
      <c r="AI255" s="132"/>
    </row>
    <row r="256">
      <c r="A256" s="435"/>
      <c r="B256" s="312"/>
      <c r="C256" s="312"/>
      <c r="D256" s="717"/>
      <c r="E256" s="742"/>
      <c r="F256" s="316"/>
      <c r="G256" s="314"/>
      <c r="H256" s="740"/>
      <c r="I256" s="314"/>
      <c r="J256" s="314"/>
      <c r="K256" s="314"/>
      <c r="L256" s="314"/>
      <c r="M256" s="314"/>
      <c r="N256" s="314"/>
      <c r="O256" s="318"/>
      <c r="P256" s="314"/>
      <c r="Q256" s="314"/>
      <c r="R256" s="314"/>
      <c r="S256" s="718"/>
      <c r="T256" s="719"/>
      <c r="U256" s="314"/>
      <c r="V256" s="318"/>
      <c r="W256" s="314"/>
      <c r="X256" s="314"/>
      <c r="Y256" s="314"/>
      <c r="Z256" s="721"/>
      <c r="AA256" s="721"/>
      <c r="AB256" s="314"/>
      <c r="AC256" s="317"/>
      <c r="AD256" s="324"/>
      <c r="AE256" s="180"/>
      <c r="AF256" s="155"/>
      <c r="AG256" s="322"/>
      <c r="AH256" s="155"/>
      <c r="AI256" s="132"/>
    </row>
    <row r="257">
      <c r="A257" s="435"/>
      <c r="B257" s="312"/>
      <c r="C257" s="312"/>
      <c r="D257" s="751"/>
      <c r="E257" s="316"/>
      <c r="F257" s="316"/>
      <c r="G257" s="314"/>
      <c r="H257" s="740"/>
      <c r="I257" s="314"/>
      <c r="J257" s="435"/>
      <c r="K257" s="435"/>
      <c r="L257" s="314"/>
      <c r="M257" s="435"/>
      <c r="N257" s="314"/>
      <c r="O257" s="318"/>
      <c r="P257" s="314"/>
      <c r="Q257" s="314"/>
      <c r="R257" s="435"/>
      <c r="S257" s="747"/>
      <c r="T257" s="748"/>
      <c r="U257" s="435"/>
      <c r="V257" s="740"/>
      <c r="W257" s="435"/>
      <c r="X257" s="435"/>
      <c r="Y257" s="435"/>
      <c r="Z257" s="749"/>
      <c r="AA257" s="749"/>
      <c r="AB257" s="435"/>
      <c r="AC257" s="750"/>
      <c r="AD257" s="324"/>
      <c r="AE257" s="180"/>
      <c r="AF257" s="155"/>
      <c r="AG257" s="322"/>
      <c r="AH257" s="155"/>
      <c r="AI257" s="132"/>
    </row>
    <row r="258">
      <c r="A258" s="435"/>
      <c r="B258" s="312"/>
      <c r="C258" s="312"/>
      <c r="D258" s="717"/>
      <c r="E258" s="316"/>
      <c r="F258" s="316"/>
      <c r="G258" s="314"/>
      <c r="H258" s="318"/>
      <c r="I258" s="314"/>
      <c r="J258" s="314"/>
      <c r="K258" s="314"/>
      <c r="L258" s="314"/>
      <c r="M258" s="314"/>
      <c r="N258" s="314"/>
      <c r="O258" s="318"/>
      <c r="P258" s="314"/>
      <c r="Q258" s="435"/>
      <c r="R258" s="314"/>
      <c r="S258" s="747"/>
      <c r="T258" s="748"/>
      <c r="U258" s="435"/>
      <c r="V258" s="740"/>
      <c r="W258" s="435"/>
      <c r="X258" s="435"/>
      <c r="Y258" s="435"/>
      <c r="Z258" s="749"/>
      <c r="AA258" s="749"/>
      <c r="AB258" s="435"/>
      <c r="AC258" s="750"/>
      <c r="AD258" s="324"/>
      <c r="AE258" s="180"/>
      <c r="AF258" s="155"/>
      <c r="AG258" s="322"/>
      <c r="AH258" s="155"/>
      <c r="AI258" s="132"/>
    </row>
    <row r="259">
      <c r="A259" s="435"/>
      <c r="B259" s="745"/>
      <c r="C259" s="312"/>
      <c r="D259" s="717"/>
      <c r="E259" s="316"/>
      <c r="F259" s="316"/>
      <c r="G259" s="314"/>
      <c r="H259" s="740"/>
      <c r="I259" s="314"/>
      <c r="J259" s="435"/>
      <c r="K259" s="435"/>
      <c r="L259" s="314"/>
      <c r="M259" s="314"/>
      <c r="N259" s="435"/>
      <c r="O259" s="318"/>
      <c r="P259" s="314"/>
      <c r="Q259" s="314"/>
      <c r="R259" s="435"/>
      <c r="S259" s="747"/>
      <c r="T259" s="748"/>
      <c r="U259" s="435"/>
      <c r="V259" s="740"/>
      <c r="W259" s="435"/>
      <c r="X259" s="435"/>
      <c r="Y259" s="435"/>
      <c r="Z259" s="749"/>
      <c r="AA259" s="749"/>
      <c r="AB259" s="435"/>
      <c r="AC259" s="750"/>
      <c r="AD259" s="324"/>
      <c r="AE259" s="180"/>
      <c r="AF259" s="155"/>
      <c r="AG259" s="322"/>
      <c r="AH259" s="155"/>
      <c r="AI259" s="132"/>
    </row>
    <row r="260">
      <c r="A260" s="435"/>
      <c r="B260" s="312"/>
      <c r="C260" s="745"/>
      <c r="D260" s="751"/>
      <c r="E260" s="742"/>
      <c r="F260" s="316"/>
      <c r="G260" s="314"/>
      <c r="H260" s="740"/>
      <c r="I260" s="314"/>
      <c r="J260" s="314"/>
      <c r="K260" s="435"/>
      <c r="L260" s="314"/>
      <c r="M260" s="314"/>
      <c r="N260" s="314"/>
      <c r="O260" s="318"/>
      <c r="P260" s="314"/>
      <c r="Q260" s="314"/>
      <c r="R260" s="314"/>
      <c r="S260" s="747"/>
      <c r="T260" s="748"/>
      <c r="U260" s="435"/>
      <c r="V260" s="740"/>
      <c r="W260" s="435"/>
      <c r="X260" s="435"/>
      <c r="Y260" s="435"/>
      <c r="Z260" s="749"/>
      <c r="AA260" s="749"/>
      <c r="AB260" s="435"/>
      <c r="AC260" s="750"/>
      <c r="AD260" s="324"/>
      <c r="AE260" s="180"/>
      <c r="AF260" s="155"/>
      <c r="AG260" s="322"/>
      <c r="AH260" s="155"/>
      <c r="AI260" s="132"/>
    </row>
    <row r="261">
      <c r="A261" s="435"/>
      <c r="B261" s="312"/>
      <c r="C261" s="312"/>
      <c r="D261" s="717"/>
      <c r="E261" s="316"/>
      <c r="F261" s="316"/>
      <c r="G261" s="314"/>
      <c r="H261" s="740"/>
      <c r="I261" s="314"/>
      <c r="J261" s="314"/>
      <c r="K261" s="314"/>
      <c r="L261" s="314"/>
      <c r="M261" s="314"/>
      <c r="N261" s="314"/>
      <c r="O261" s="318"/>
      <c r="P261" s="314"/>
      <c r="Q261" s="314"/>
      <c r="R261" s="435"/>
      <c r="S261" s="718"/>
      <c r="T261" s="719"/>
      <c r="U261" s="314"/>
      <c r="V261" s="318"/>
      <c r="W261" s="314"/>
      <c r="X261" s="314"/>
      <c r="Y261" s="314"/>
      <c r="Z261" s="721"/>
      <c r="AA261" s="721"/>
      <c r="AB261" s="314"/>
      <c r="AC261" s="317"/>
      <c r="AD261" s="324"/>
      <c r="AE261" s="180"/>
      <c r="AF261" s="155"/>
      <c r="AG261" s="322"/>
      <c r="AH261" s="155"/>
      <c r="AI261" s="132"/>
    </row>
    <row r="262">
      <c r="A262" s="435"/>
      <c r="B262" s="745"/>
      <c r="C262" s="745"/>
      <c r="D262" s="751"/>
      <c r="E262" s="742"/>
      <c r="F262" s="316"/>
      <c r="G262" s="314"/>
      <c r="H262" s="740"/>
      <c r="I262" s="435"/>
      <c r="J262" s="435"/>
      <c r="K262" s="435"/>
      <c r="L262" s="435"/>
      <c r="M262" s="435"/>
      <c r="N262" s="435"/>
      <c r="O262" s="318"/>
      <c r="P262" s="435"/>
      <c r="Q262" s="435"/>
      <c r="R262" s="435"/>
      <c r="S262" s="747"/>
      <c r="T262" s="748"/>
      <c r="U262" s="435"/>
      <c r="V262" s="740"/>
      <c r="W262" s="435"/>
      <c r="X262" s="435"/>
      <c r="Y262" s="435"/>
      <c r="Z262" s="749"/>
      <c r="AA262" s="749"/>
      <c r="AB262" s="435"/>
      <c r="AC262" s="750"/>
      <c r="AD262" s="324"/>
      <c r="AE262" s="180"/>
      <c r="AF262" s="155"/>
      <c r="AG262" s="322"/>
      <c r="AH262" s="155"/>
      <c r="AI262" s="132"/>
    </row>
    <row r="263">
      <c r="A263" s="435"/>
      <c r="B263" s="312"/>
      <c r="C263" s="312"/>
      <c r="D263" s="717"/>
      <c r="E263" s="316"/>
      <c r="F263" s="316"/>
      <c r="G263" s="314"/>
      <c r="H263" s="318"/>
      <c r="I263" s="314"/>
      <c r="J263" s="314"/>
      <c r="K263" s="314"/>
      <c r="L263" s="314"/>
      <c r="M263" s="435"/>
      <c r="N263" s="314"/>
      <c r="O263" s="318"/>
      <c r="P263" s="314"/>
      <c r="Q263" s="314"/>
      <c r="R263" s="314"/>
      <c r="S263" s="718"/>
      <c r="T263" s="719"/>
      <c r="U263" s="314"/>
      <c r="V263" s="318"/>
      <c r="W263" s="314"/>
      <c r="X263" s="314"/>
      <c r="Y263" s="314"/>
      <c r="Z263" s="721"/>
      <c r="AA263" s="721"/>
      <c r="AB263" s="314"/>
      <c r="AC263" s="317"/>
      <c r="AD263" s="324"/>
      <c r="AE263" s="180"/>
      <c r="AF263" s="155"/>
      <c r="AG263" s="322"/>
      <c r="AH263" s="155"/>
      <c r="AI263" s="132"/>
    </row>
    <row r="264">
      <c r="A264" s="435"/>
      <c r="B264" s="312"/>
      <c r="C264" s="745"/>
      <c r="D264" s="751"/>
      <c r="E264" s="742"/>
      <c r="F264" s="316"/>
      <c r="G264" s="314"/>
      <c r="H264" s="740"/>
      <c r="I264" s="435"/>
      <c r="J264" s="435"/>
      <c r="K264" s="435"/>
      <c r="L264" s="314"/>
      <c r="M264" s="435"/>
      <c r="N264" s="435"/>
      <c r="O264" s="318"/>
      <c r="P264" s="435"/>
      <c r="Q264" s="435"/>
      <c r="R264" s="435"/>
      <c r="S264" s="747"/>
      <c r="T264" s="748"/>
      <c r="U264" s="435"/>
      <c r="V264" s="740"/>
      <c r="W264" s="435"/>
      <c r="X264" s="435"/>
      <c r="Y264" s="435"/>
      <c r="Z264" s="749"/>
      <c r="AA264" s="749"/>
      <c r="AB264" s="435"/>
      <c r="AC264" s="750"/>
      <c r="AD264" s="324"/>
      <c r="AE264" s="180"/>
      <c r="AF264" s="155"/>
      <c r="AG264" s="322"/>
      <c r="AH264" s="155"/>
      <c r="AI264" s="132"/>
    </row>
    <row r="265">
      <c r="A265" s="435"/>
      <c r="B265" s="745"/>
      <c r="C265" s="745"/>
      <c r="D265" s="717"/>
      <c r="E265" s="742"/>
      <c r="F265" s="316"/>
      <c r="G265" s="314"/>
      <c r="H265" s="740"/>
      <c r="I265" s="435"/>
      <c r="J265" s="314"/>
      <c r="K265" s="435"/>
      <c r="L265" s="435"/>
      <c r="M265" s="314"/>
      <c r="N265" s="435"/>
      <c r="O265" s="318"/>
      <c r="P265" s="435"/>
      <c r="Q265" s="314"/>
      <c r="R265" s="435"/>
      <c r="S265" s="747"/>
      <c r="T265" s="748"/>
      <c r="U265" s="435"/>
      <c r="V265" s="740"/>
      <c r="W265" s="435"/>
      <c r="X265" s="435"/>
      <c r="Y265" s="435"/>
      <c r="Z265" s="749"/>
      <c r="AA265" s="749"/>
      <c r="AB265" s="435"/>
      <c r="AC265" s="750"/>
      <c r="AD265" s="324"/>
      <c r="AE265" s="180"/>
      <c r="AF265" s="155"/>
      <c r="AG265" s="322"/>
      <c r="AH265" s="155"/>
      <c r="AI265" s="132"/>
    </row>
    <row r="266">
      <c r="A266" s="458"/>
      <c r="B266" s="745"/>
      <c r="C266" s="745"/>
      <c r="D266" s="751"/>
      <c r="E266" s="742"/>
      <c r="F266" s="316"/>
      <c r="G266" s="314"/>
      <c r="H266" s="318"/>
      <c r="I266" s="435"/>
      <c r="J266" s="435"/>
      <c r="K266" s="435"/>
      <c r="L266" s="435"/>
      <c r="M266" s="435"/>
      <c r="N266" s="435"/>
      <c r="O266" s="318"/>
      <c r="P266" s="435"/>
      <c r="Q266" s="435"/>
      <c r="R266" s="435"/>
      <c r="S266" s="747"/>
      <c r="T266" s="748"/>
      <c r="U266" s="435"/>
      <c r="V266" s="740"/>
      <c r="W266" s="435"/>
      <c r="X266" s="435"/>
      <c r="Y266" s="435"/>
      <c r="Z266" s="749"/>
      <c r="AA266" s="749"/>
      <c r="AB266" s="435"/>
      <c r="AC266" s="750"/>
      <c r="AD266" s="324"/>
      <c r="AE266" s="180"/>
      <c r="AF266" s="155"/>
      <c r="AG266" s="322"/>
      <c r="AH266" s="155"/>
      <c r="AI266" s="132"/>
    </row>
    <row r="267">
      <c r="A267" s="458"/>
      <c r="B267" s="745"/>
      <c r="C267" s="745"/>
      <c r="D267" s="751"/>
      <c r="E267" s="742"/>
      <c r="F267" s="316"/>
      <c r="G267" s="314"/>
      <c r="H267" s="318"/>
      <c r="I267" s="314"/>
      <c r="J267" s="435"/>
      <c r="K267" s="435"/>
      <c r="L267" s="435"/>
      <c r="M267" s="435"/>
      <c r="N267" s="435"/>
      <c r="O267" s="318"/>
      <c r="P267" s="435"/>
      <c r="Q267" s="435"/>
      <c r="R267" s="435"/>
      <c r="S267" s="747"/>
      <c r="T267" s="748"/>
      <c r="U267" s="435"/>
      <c r="V267" s="740"/>
      <c r="W267" s="435"/>
      <c r="X267" s="435"/>
      <c r="Y267" s="435"/>
      <c r="Z267" s="749"/>
      <c r="AA267" s="749"/>
      <c r="AB267" s="435"/>
      <c r="AC267" s="750"/>
      <c r="AD267" s="324"/>
      <c r="AE267" s="180"/>
      <c r="AF267" s="155"/>
      <c r="AG267" s="322"/>
      <c r="AH267" s="155"/>
      <c r="AI267" s="132"/>
    </row>
    <row r="268">
      <c r="A268" s="458"/>
      <c r="B268" s="745"/>
      <c r="C268" s="745"/>
      <c r="D268" s="751"/>
      <c r="E268" s="316"/>
      <c r="F268" s="316"/>
      <c r="G268" s="314"/>
      <c r="H268" s="318"/>
      <c r="I268" s="435"/>
      <c r="J268" s="435"/>
      <c r="K268" s="435"/>
      <c r="L268" s="435"/>
      <c r="M268" s="435"/>
      <c r="N268" s="435"/>
      <c r="O268" s="318"/>
      <c r="P268" s="435"/>
      <c r="Q268" s="314"/>
      <c r="R268" s="435"/>
      <c r="S268" s="747"/>
      <c r="T268" s="748"/>
      <c r="U268" s="435"/>
      <c r="V268" s="740"/>
      <c r="W268" s="435"/>
      <c r="X268" s="435"/>
      <c r="Y268" s="435"/>
      <c r="Z268" s="749"/>
      <c r="AA268" s="749"/>
      <c r="AB268" s="435"/>
      <c r="AC268" s="750"/>
      <c r="AD268" s="324"/>
      <c r="AE268" s="180"/>
      <c r="AF268" s="155"/>
      <c r="AG268" s="322"/>
      <c r="AH268" s="155"/>
      <c r="AI268" s="132"/>
    </row>
    <row r="269">
      <c r="A269" s="458"/>
      <c r="B269" s="312"/>
      <c r="C269" s="312"/>
      <c r="D269" s="717"/>
      <c r="E269" s="316"/>
      <c r="F269" s="316"/>
      <c r="G269" s="314"/>
      <c r="H269" s="318"/>
      <c r="I269" s="314"/>
      <c r="J269" s="314"/>
      <c r="K269" s="314"/>
      <c r="L269" s="314"/>
      <c r="M269" s="314"/>
      <c r="N269" s="314"/>
      <c r="O269" s="318"/>
      <c r="P269" s="314"/>
      <c r="Q269" s="314"/>
      <c r="R269" s="314"/>
      <c r="S269" s="718"/>
      <c r="T269" s="719"/>
      <c r="U269" s="314"/>
      <c r="V269" s="318"/>
      <c r="W269" s="314"/>
      <c r="X269" s="314"/>
      <c r="Y269" s="314"/>
      <c r="Z269" s="721"/>
      <c r="AA269" s="721"/>
      <c r="AB269" s="314"/>
      <c r="AC269" s="317"/>
      <c r="AD269" s="324"/>
      <c r="AE269" s="180"/>
      <c r="AF269" s="155"/>
      <c r="AG269" s="322"/>
      <c r="AH269" s="155"/>
      <c r="AI269" s="132"/>
    </row>
    <row r="270">
      <c r="A270" s="458"/>
      <c r="B270" s="745"/>
      <c r="C270" s="745"/>
      <c r="D270" s="751"/>
      <c r="E270" s="316"/>
      <c r="F270" s="316"/>
      <c r="G270" s="314"/>
      <c r="H270" s="318"/>
      <c r="I270" s="314"/>
      <c r="J270" s="314"/>
      <c r="K270" s="435"/>
      <c r="L270" s="435"/>
      <c r="M270" s="435"/>
      <c r="N270" s="314"/>
      <c r="O270" s="318"/>
      <c r="P270" s="435"/>
      <c r="Q270" s="435"/>
      <c r="R270" s="435"/>
      <c r="S270" s="747"/>
      <c r="T270" s="748"/>
      <c r="U270" s="435"/>
      <c r="V270" s="740"/>
      <c r="W270" s="435"/>
      <c r="X270" s="435"/>
      <c r="Y270" s="435"/>
      <c r="Z270" s="749"/>
      <c r="AA270" s="749"/>
      <c r="AB270" s="435"/>
      <c r="AC270" s="750"/>
      <c r="AD270" s="324"/>
      <c r="AE270" s="180"/>
      <c r="AF270" s="155"/>
      <c r="AG270" s="322"/>
      <c r="AH270" s="155"/>
      <c r="AI270" s="132"/>
    </row>
    <row r="271">
      <c r="A271" s="458"/>
      <c r="B271" s="312"/>
      <c r="C271" s="312"/>
      <c r="D271" s="751"/>
      <c r="E271" s="316"/>
      <c r="F271" s="316"/>
      <c r="G271" s="314"/>
      <c r="H271" s="318"/>
      <c r="I271" s="314"/>
      <c r="J271" s="314"/>
      <c r="K271" s="314"/>
      <c r="L271" s="314"/>
      <c r="M271" s="314"/>
      <c r="N271" s="314"/>
      <c r="O271" s="318"/>
      <c r="P271" s="314"/>
      <c r="Q271" s="314"/>
      <c r="R271" s="314"/>
      <c r="S271" s="718"/>
      <c r="T271" s="719"/>
      <c r="U271" s="314"/>
      <c r="V271" s="318"/>
      <c r="W271" s="314"/>
      <c r="X271" s="314"/>
      <c r="Y271" s="314"/>
      <c r="Z271" s="721"/>
      <c r="AA271" s="721"/>
      <c r="AB271" s="314"/>
      <c r="AC271" s="317"/>
      <c r="AD271" s="324"/>
      <c r="AE271" s="180"/>
      <c r="AF271" s="155"/>
      <c r="AG271" s="322"/>
      <c r="AH271" s="155"/>
      <c r="AI271" s="132"/>
    </row>
    <row r="272">
      <c r="A272" s="458"/>
      <c r="B272" s="312"/>
      <c r="C272" s="745"/>
      <c r="D272" s="717"/>
      <c r="E272" s="316"/>
      <c r="F272" s="316"/>
      <c r="G272" s="314"/>
      <c r="H272" s="318"/>
      <c r="I272" s="435"/>
      <c r="J272" s="314"/>
      <c r="K272" s="314"/>
      <c r="L272" s="435"/>
      <c r="M272" s="314"/>
      <c r="N272" s="314"/>
      <c r="O272" s="318"/>
      <c r="P272" s="314"/>
      <c r="Q272" s="435"/>
      <c r="R272" s="435"/>
      <c r="S272" s="747"/>
      <c r="T272" s="748"/>
      <c r="U272" s="435"/>
      <c r="V272" s="740"/>
      <c r="W272" s="435"/>
      <c r="X272" s="435"/>
      <c r="Y272" s="435"/>
      <c r="Z272" s="749"/>
      <c r="AA272" s="749"/>
      <c r="AB272" s="435"/>
      <c r="AC272" s="750"/>
      <c r="AD272" s="324"/>
      <c r="AE272" s="180"/>
      <c r="AF272" s="155"/>
      <c r="AG272" s="322"/>
      <c r="AH272" s="155"/>
      <c r="AI272" s="132"/>
    </row>
    <row r="273">
      <c r="A273" s="458"/>
      <c r="B273" s="312"/>
      <c r="C273" s="745"/>
      <c r="D273" s="751"/>
      <c r="E273" s="742"/>
      <c r="F273" s="316"/>
      <c r="G273" s="314"/>
      <c r="H273" s="740"/>
      <c r="I273" s="435"/>
      <c r="J273" s="314"/>
      <c r="K273" s="435"/>
      <c r="L273" s="435"/>
      <c r="M273" s="314"/>
      <c r="N273" s="314"/>
      <c r="O273" s="318"/>
      <c r="P273" s="435"/>
      <c r="Q273" s="435"/>
      <c r="R273" s="435"/>
      <c r="S273" s="747"/>
      <c r="T273" s="748"/>
      <c r="U273" s="435"/>
      <c r="V273" s="740"/>
      <c r="W273" s="435"/>
      <c r="X273" s="435"/>
      <c r="Y273" s="435"/>
      <c r="Z273" s="749"/>
      <c r="AA273" s="749"/>
      <c r="AB273" s="435"/>
      <c r="AC273" s="750"/>
      <c r="AD273" s="324"/>
      <c r="AE273" s="180"/>
      <c r="AF273" s="155"/>
      <c r="AG273" s="322"/>
      <c r="AH273" s="155"/>
      <c r="AI273" s="132"/>
    </row>
    <row r="274">
      <c r="A274" s="458"/>
      <c r="B274" s="312"/>
      <c r="C274" s="745"/>
      <c r="D274" s="751"/>
      <c r="E274" s="316"/>
      <c r="F274" s="316"/>
      <c r="G274" s="314"/>
      <c r="H274" s="318"/>
      <c r="I274" s="314"/>
      <c r="J274" s="314"/>
      <c r="K274" s="435"/>
      <c r="L274" s="314"/>
      <c r="M274" s="314"/>
      <c r="N274" s="314"/>
      <c r="O274" s="318"/>
      <c r="P274" s="314"/>
      <c r="Q274" s="314"/>
      <c r="R274" s="435"/>
      <c r="S274" s="747"/>
      <c r="T274" s="748"/>
      <c r="U274" s="435"/>
      <c r="V274" s="740"/>
      <c r="W274" s="435"/>
      <c r="X274" s="435"/>
      <c r="Y274" s="435"/>
      <c r="Z274" s="749"/>
      <c r="AA274" s="749"/>
      <c r="AB274" s="435"/>
      <c r="AC274" s="750"/>
      <c r="AD274" s="324"/>
      <c r="AE274" s="180"/>
      <c r="AF274" s="155"/>
      <c r="AG274" s="322"/>
      <c r="AH274" s="155"/>
      <c r="AI274" s="132"/>
    </row>
    <row r="275">
      <c r="A275" s="458"/>
      <c r="B275" s="745"/>
      <c r="C275" s="745"/>
      <c r="D275" s="751"/>
      <c r="E275" s="742"/>
      <c r="F275" s="316"/>
      <c r="G275" s="314"/>
      <c r="H275" s="740"/>
      <c r="I275" s="435"/>
      <c r="J275" s="435"/>
      <c r="K275" s="435"/>
      <c r="L275" s="435"/>
      <c r="M275" s="435"/>
      <c r="N275" s="435"/>
      <c r="O275" s="318"/>
      <c r="P275" s="435"/>
      <c r="Q275" s="435"/>
      <c r="R275" s="435"/>
      <c r="S275" s="747"/>
      <c r="T275" s="748"/>
      <c r="U275" s="435"/>
      <c r="V275" s="740"/>
      <c r="W275" s="435"/>
      <c r="X275" s="435"/>
      <c r="Y275" s="435"/>
      <c r="Z275" s="749"/>
      <c r="AA275" s="749"/>
      <c r="AB275" s="435"/>
      <c r="AC275" s="750"/>
      <c r="AD275" s="324"/>
      <c r="AE275" s="180"/>
      <c r="AF275" s="155"/>
      <c r="AG275" s="322"/>
      <c r="AH275" s="155"/>
      <c r="AI275" s="132"/>
    </row>
    <row r="276">
      <c r="A276" s="435"/>
      <c r="B276" s="745"/>
      <c r="C276" s="745"/>
      <c r="D276" s="751"/>
      <c r="E276" s="742"/>
      <c r="F276" s="316"/>
      <c r="G276" s="314"/>
      <c r="H276" s="740"/>
      <c r="I276" s="435"/>
      <c r="J276" s="435"/>
      <c r="K276" s="435"/>
      <c r="L276" s="435"/>
      <c r="M276" s="435"/>
      <c r="N276" s="435"/>
      <c r="O276" s="318"/>
      <c r="P276" s="435"/>
      <c r="Q276" s="435"/>
      <c r="R276" s="435"/>
      <c r="S276" s="747"/>
      <c r="T276" s="748"/>
      <c r="U276" s="435"/>
      <c r="V276" s="740"/>
      <c r="W276" s="435"/>
      <c r="X276" s="435"/>
      <c r="Y276" s="435"/>
      <c r="Z276" s="749"/>
      <c r="AA276" s="749"/>
      <c r="AB276" s="435"/>
      <c r="AC276" s="750"/>
      <c r="AD276" s="324"/>
      <c r="AE276" s="180"/>
      <c r="AF276" s="155"/>
      <c r="AG276" s="322"/>
      <c r="AH276" s="155"/>
      <c r="AI276" s="132"/>
    </row>
    <row r="277">
      <c r="A277" s="474"/>
      <c r="B277" s="745"/>
      <c r="C277" s="745"/>
      <c r="D277" s="751"/>
      <c r="E277" s="742"/>
      <c r="F277" s="316"/>
      <c r="G277" s="314"/>
      <c r="H277" s="740"/>
      <c r="I277" s="435"/>
      <c r="J277" s="435"/>
      <c r="K277" s="435"/>
      <c r="L277" s="435"/>
      <c r="M277" s="435"/>
      <c r="N277" s="435"/>
      <c r="O277" s="318"/>
      <c r="P277" s="435"/>
      <c r="Q277" s="435"/>
      <c r="R277" s="435"/>
      <c r="S277" s="747"/>
      <c r="T277" s="748"/>
      <c r="U277" s="435"/>
      <c r="V277" s="740"/>
      <c r="W277" s="435"/>
      <c r="X277" s="435"/>
      <c r="Y277" s="435"/>
      <c r="Z277" s="749"/>
      <c r="AA277" s="749"/>
      <c r="AB277" s="435"/>
      <c r="AC277" s="750"/>
      <c r="AD277" s="324"/>
      <c r="AE277" s="180"/>
      <c r="AF277" s="155"/>
      <c r="AG277" s="322"/>
      <c r="AH277" s="155"/>
      <c r="AI277" s="132"/>
    </row>
    <row r="278">
      <c r="A278" s="474"/>
      <c r="B278" s="745"/>
      <c r="C278" s="312"/>
      <c r="D278" s="751"/>
      <c r="E278" s="742"/>
      <c r="F278" s="316"/>
      <c r="G278" s="314"/>
      <c r="H278" s="740"/>
      <c r="I278" s="435"/>
      <c r="J278" s="435"/>
      <c r="K278" s="314"/>
      <c r="L278" s="314"/>
      <c r="M278" s="314"/>
      <c r="N278" s="435"/>
      <c r="O278" s="318"/>
      <c r="P278" s="314"/>
      <c r="Q278" s="435"/>
      <c r="R278" s="314"/>
      <c r="S278" s="747"/>
      <c r="T278" s="748"/>
      <c r="U278" s="435"/>
      <c r="V278" s="740"/>
      <c r="W278" s="435"/>
      <c r="X278" s="435"/>
      <c r="Y278" s="435"/>
      <c r="Z278" s="749"/>
      <c r="AA278" s="749"/>
      <c r="AB278" s="435"/>
      <c r="AC278" s="750"/>
      <c r="AD278" s="324"/>
      <c r="AE278" s="180"/>
      <c r="AF278" s="155"/>
      <c r="AG278" s="322"/>
      <c r="AH278" s="155"/>
      <c r="AI278" s="132"/>
    </row>
    <row r="279">
      <c r="A279" s="474"/>
      <c r="B279" s="312"/>
      <c r="C279" s="312"/>
      <c r="D279" s="717"/>
      <c r="E279" s="316"/>
      <c r="F279" s="316"/>
      <c r="G279" s="314"/>
      <c r="H279" s="318"/>
      <c r="I279" s="314"/>
      <c r="J279" s="314"/>
      <c r="K279" s="435"/>
      <c r="L279" s="314"/>
      <c r="M279" s="314"/>
      <c r="N279" s="314"/>
      <c r="O279" s="318"/>
      <c r="P279" s="435"/>
      <c r="Q279" s="314"/>
      <c r="R279" s="314"/>
      <c r="S279" s="718"/>
      <c r="T279" s="719"/>
      <c r="U279" s="314"/>
      <c r="V279" s="318"/>
      <c r="W279" s="314"/>
      <c r="X279" s="314"/>
      <c r="Y279" s="314"/>
      <c r="Z279" s="721"/>
      <c r="AA279" s="721"/>
      <c r="AB279" s="314"/>
      <c r="AC279" s="317"/>
      <c r="AD279" s="324"/>
      <c r="AE279" s="180"/>
      <c r="AF279" s="155"/>
      <c r="AG279" s="322"/>
      <c r="AH279" s="155"/>
      <c r="AI279" s="132"/>
    </row>
    <row r="280">
      <c r="A280" s="474"/>
      <c r="B280" s="312"/>
      <c r="C280" s="745"/>
      <c r="D280" s="751"/>
      <c r="E280" s="316"/>
      <c r="F280" s="316"/>
      <c r="G280" s="314"/>
      <c r="H280" s="318"/>
      <c r="I280" s="435"/>
      <c r="J280" s="314"/>
      <c r="K280" s="314"/>
      <c r="L280" s="314"/>
      <c r="M280" s="314"/>
      <c r="N280" s="314"/>
      <c r="O280" s="318"/>
      <c r="P280" s="314"/>
      <c r="Q280" s="314"/>
      <c r="R280" s="314"/>
      <c r="S280" s="718"/>
      <c r="T280" s="719"/>
      <c r="U280" s="314"/>
      <c r="V280" s="318"/>
      <c r="W280" s="314"/>
      <c r="X280" s="314"/>
      <c r="Y280" s="314"/>
      <c r="Z280" s="721"/>
      <c r="AA280" s="721"/>
      <c r="AB280" s="314"/>
      <c r="AC280" s="317"/>
      <c r="AD280" s="324"/>
      <c r="AE280" s="180"/>
      <c r="AF280" s="155"/>
      <c r="AG280" s="322"/>
      <c r="AH280" s="155"/>
      <c r="AI280" s="132"/>
    </row>
    <row r="281">
      <c r="A281" s="474"/>
      <c r="B281" s="312"/>
      <c r="C281" s="312"/>
      <c r="D281" s="717"/>
      <c r="E281" s="316"/>
      <c r="F281" s="316"/>
      <c r="G281" s="314"/>
      <c r="H281" s="318"/>
      <c r="I281" s="314"/>
      <c r="J281" s="314"/>
      <c r="K281" s="435"/>
      <c r="L281" s="314"/>
      <c r="M281" s="314"/>
      <c r="N281" s="314"/>
      <c r="O281" s="318"/>
      <c r="P281" s="314"/>
      <c r="Q281" s="314"/>
      <c r="R281" s="314"/>
      <c r="S281" s="718"/>
      <c r="T281" s="719"/>
      <c r="U281" s="314"/>
      <c r="V281" s="318"/>
      <c r="W281" s="314"/>
      <c r="X281" s="314"/>
      <c r="Y281" s="314"/>
      <c r="Z281" s="721"/>
      <c r="AA281" s="721"/>
      <c r="AB281" s="314"/>
      <c r="AC281" s="317"/>
      <c r="AD281" s="324"/>
      <c r="AE281" s="180"/>
      <c r="AF281" s="155"/>
      <c r="AG281" s="322"/>
      <c r="AH281" s="155"/>
      <c r="AI281" s="132"/>
    </row>
    <row r="282">
      <c r="A282" s="458"/>
      <c r="B282" s="312"/>
      <c r="C282" s="745"/>
      <c r="D282" s="717"/>
      <c r="E282" s="316"/>
      <c r="F282" s="316"/>
      <c r="G282" s="314"/>
      <c r="H282" s="318"/>
      <c r="I282" s="314"/>
      <c r="J282" s="435"/>
      <c r="K282" s="435"/>
      <c r="L282" s="314"/>
      <c r="M282" s="314"/>
      <c r="N282" s="314"/>
      <c r="O282" s="318"/>
      <c r="P282" s="314"/>
      <c r="Q282" s="314"/>
      <c r="R282" s="314"/>
      <c r="S282" s="718"/>
      <c r="T282" s="719"/>
      <c r="U282" s="314"/>
      <c r="V282" s="318"/>
      <c r="W282" s="314"/>
      <c r="X282" s="314"/>
      <c r="Y282" s="314"/>
      <c r="Z282" s="721"/>
      <c r="AA282" s="721"/>
      <c r="AB282" s="314"/>
      <c r="AC282" s="317"/>
      <c r="AD282" s="324"/>
      <c r="AE282" s="180"/>
      <c r="AF282" s="155"/>
      <c r="AG282" s="322"/>
      <c r="AH282" s="155"/>
      <c r="AI282" s="132"/>
    </row>
    <row r="283">
      <c r="A283" s="435"/>
      <c r="B283" s="312"/>
      <c r="C283" s="745"/>
      <c r="D283" s="751"/>
      <c r="E283" s="742"/>
      <c r="F283" s="316"/>
      <c r="G283" s="314"/>
      <c r="H283" s="740"/>
      <c r="I283" s="314"/>
      <c r="J283" s="314"/>
      <c r="K283" s="435"/>
      <c r="L283" s="314"/>
      <c r="M283" s="435"/>
      <c r="N283" s="435"/>
      <c r="O283" s="318"/>
      <c r="P283" s="314"/>
      <c r="Q283" s="314"/>
      <c r="R283" s="435"/>
      <c r="S283" s="718"/>
      <c r="T283" s="719"/>
      <c r="U283" s="314"/>
      <c r="V283" s="318"/>
      <c r="W283" s="314"/>
      <c r="X283" s="314"/>
      <c r="Y283" s="314"/>
      <c r="Z283" s="721"/>
      <c r="AA283" s="721"/>
      <c r="AB283" s="314"/>
      <c r="AC283" s="317"/>
      <c r="AD283" s="324"/>
      <c r="AE283" s="180"/>
      <c r="AF283" s="155"/>
      <c r="AG283" s="322"/>
      <c r="AH283" s="155"/>
      <c r="AI283" s="132"/>
    </row>
    <row r="284">
      <c r="A284" s="435"/>
      <c r="B284" s="745"/>
      <c r="C284" s="312"/>
      <c r="D284" s="717"/>
      <c r="E284" s="316"/>
      <c r="F284" s="316"/>
      <c r="G284" s="314"/>
      <c r="H284" s="318"/>
      <c r="I284" s="314"/>
      <c r="J284" s="314"/>
      <c r="K284" s="314"/>
      <c r="L284" s="314"/>
      <c r="M284" s="314"/>
      <c r="N284" s="314"/>
      <c r="O284" s="318"/>
      <c r="P284" s="435"/>
      <c r="Q284" s="314"/>
      <c r="R284" s="314"/>
      <c r="S284" s="718"/>
      <c r="T284" s="719"/>
      <c r="U284" s="314"/>
      <c r="V284" s="318"/>
      <c r="W284" s="314"/>
      <c r="X284" s="314"/>
      <c r="Y284" s="314"/>
      <c r="Z284" s="721"/>
      <c r="AA284" s="721"/>
      <c r="AB284" s="314"/>
      <c r="AC284" s="317"/>
      <c r="AD284" s="324"/>
      <c r="AE284" s="180"/>
      <c r="AF284" s="155"/>
      <c r="AG284" s="322"/>
      <c r="AH284" s="155"/>
      <c r="AI284" s="132"/>
    </row>
    <row r="285">
      <c r="A285" s="435"/>
      <c r="B285" s="745"/>
      <c r="C285" s="312"/>
      <c r="D285" s="717"/>
      <c r="E285" s="316"/>
      <c r="F285" s="316"/>
      <c r="G285" s="314"/>
      <c r="H285" s="318"/>
      <c r="I285" s="314"/>
      <c r="J285" s="314"/>
      <c r="K285" s="314"/>
      <c r="L285" s="314"/>
      <c r="M285" s="314"/>
      <c r="N285" s="314"/>
      <c r="O285" s="318"/>
      <c r="P285" s="314"/>
      <c r="Q285" s="435"/>
      <c r="R285" s="314"/>
      <c r="S285" s="747"/>
      <c r="T285" s="748"/>
      <c r="U285" s="435"/>
      <c r="V285" s="740"/>
      <c r="W285" s="435"/>
      <c r="X285" s="435"/>
      <c r="Y285" s="435"/>
      <c r="Z285" s="749"/>
      <c r="AA285" s="749"/>
      <c r="AB285" s="435"/>
      <c r="AC285" s="750"/>
      <c r="AD285" s="324"/>
      <c r="AE285" s="180"/>
      <c r="AF285" s="155"/>
      <c r="AG285" s="322"/>
      <c r="AH285" s="155"/>
      <c r="AI285" s="132"/>
    </row>
    <row r="286">
      <c r="A286" s="435"/>
      <c r="B286" s="312"/>
      <c r="C286" s="745"/>
      <c r="D286" s="717"/>
      <c r="E286" s="316"/>
      <c r="F286" s="316"/>
      <c r="G286" s="314"/>
      <c r="H286" s="318"/>
      <c r="I286" s="314"/>
      <c r="J286" s="314"/>
      <c r="K286" s="314"/>
      <c r="L286" s="314"/>
      <c r="M286" s="314"/>
      <c r="N286" s="314"/>
      <c r="O286" s="318"/>
      <c r="P286" s="314"/>
      <c r="Q286" s="314"/>
      <c r="R286" s="435"/>
      <c r="S286" s="718"/>
      <c r="T286" s="719"/>
      <c r="U286" s="314"/>
      <c r="V286" s="318"/>
      <c r="W286" s="314"/>
      <c r="X286" s="314"/>
      <c r="Y286" s="314"/>
      <c r="Z286" s="721"/>
      <c r="AA286" s="721"/>
      <c r="AB286" s="314"/>
      <c r="AC286" s="317"/>
      <c r="AD286" s="324"/>
      <c r="AE286" s="180"/>
      <c r="AF286" s="155"/>
      <c r="AG286" s="322"/>
      <c r="AH286" s="155"/>
      <c r="AI286" s="132"/>
    </row>
    <row r="287">
      <c r="A287" s="435"/>
      <c r="B287" s="312"/>
      <c r="C287" s="312"/>
      <c r="D287" s="717"/>
      <c r="E287" s="316"/>
      <c r="F287" s="316"/>
      <c r="G287" s="314"/>
      <c r="H287" s="318"/>
      <c r="I287" s="314"/>
      <c r="J287" s="314"/>
      <c r="K287" s="435"/>
      <c r="L287" s="314"/>
      <c r="M287" s="435"/>
      <c r="N287" s="314"/>
      <c r="O287" s="318"/>
      <c r="P287" s="314"/>
      <c r="Q287" s="435"/>
      <c r="R287" s="314"/>
      <c r="S287" s="718"/>
      <c r="T287" s="719"/>
      <c r="U287" s="314"/>
      <c r="V287" s="318"/>
      <c r="W287" s="314"/>
      <c r="X287" s="314"/>
      <c r="Y287" s="314"/>
      <c r="Z287" s="721"/>
      <c r="AA287" s="721"/>
      <c r="AB287" s="314"/>
      <c r="AC287" s="317"/>
      <c r="AD287" s="324"/>
      <c r="AE287" s="180"/>
      <c r="AF287" s="155"/>
      <c r="AG287" s="322"/>
      <c r="AH287" s="155"/>
      <c r="AI287" s="132"/>
    </row>
    <row r="288">
      <c r="A288" s="435"/>
      <c r="B288" s="312"/>
      <c r="C288" s="745"/>
      <c r="D288" s="751"/>
      <c r="E288" s="316"/>
      <c r="F288" s="316"/>
      <c r="G288" s="314"/>
      <c r="H288" s="318"/>
      <c r="I288" s="314"/>
      <c r="J288" s="314"/>
      <c r="K288" s="435"/>
      <c r="L288" s="314"/>
      <c r="M288" s="435"/>
      <c r="N288" s="314"/>
      <c r="O288" s="318"/>
      <c r="P288" s="314"/>
      <c r="Q288" s="435"/>
      <c r="R288" s="314"/>
      <c r="S288" s="718"/>
      <c r="T288" s="719"/>
      <c r="U288" s="314"/>
      <c r="V288" s="318"/>
      <c r="W288" s="314"/>
      <c r="X288" s="314"/>
      <c r="Y288" s="314"/>
      <c r="Z288" s="721"/>
      <c r="AA288" s="721"/>
      <c r="AB288" s="314"/>
      <c r="AC288" s="317"/>
      <c r="AD288" s="324"/>
      <c r="AE288" s="180"/>
      <c r="AF288" s="155"/>
      <c r="AG288" s="322"/>
      <c r="AH288" s="155"/>
      <c r="AI288" s="132"/>
    </row>
    <row r="289">
      <c r="A289" s="476"/>
      <c r="AF289" s="176"/>
      <c r="AG289" s="322"/>
      <c r="AH289" s="155"/>
      <c r="AI289" s="132"/>
    </row>
    <row r="290">
      <c r="A290" s="178"/>
      <c r="AG290" s="322"/>
      <c r="AH290" s="155"/>
      <c r="AI290" s="132"/>
    </row>
    <row r="291">
      <c r="A291" s="474"/>
      <c r="B291" s="745"/>
      <c r="C291" s="745"/>
      <c r="D291" s="751"/>
      <c r="E291" s="742"/>
      <c r="F291" s="316"/>
      <c r="G291" s="314"/>
      <c r="H291" s="318"/>
      <c r="I291" s="435"/>
      <c r="J291" s="435"/>
      <c r="K291" s="435"/>
      <c r="L291" s="435"/>
      <c r="M291" s="435"/>
      <c r="N291" s="435"/>
      <c r="O291" s="318"/>
      <c r="P291" s="435"/>
      <c r="Q291" s="435"/>
      <c r="R291" s="435"/>
      <c r="S291" s="747"/>
      <c r="T291" s="748"/>
      <c r="U291" s="435"/>
      <c r="V291" s="740"/>
      <c r="W291" s="435"/>
      <c r="X291" s="435"/>
      <c r="Y291" s="435"/>
      <c r="Z291" s="749"/>
      <c r="AA291" s="749"/>
      <c r="AB291" s="435"/>
      <c r="AC291" s="750"/>
      <c r="AD291" s="324"/>
      <c r="AE291" s="180"/>
      <c r="AF291" s="155"/>
      <c r="AG291" s="322"/>
      <c r="AH291" s="155"/>
      <c r="AI291" s="132"/>
    </row>
    <row r="292">
      <c r="A292" s="474"/>
      <c r="B292" s="312"/>
      <c r="C292" s="745"/>
      <c r="D292" s="751"/>
      <c r="E292" s="742"/>
      <c r="F292" s="316"/>
      <c r="G292" s="314"/>
      <c r="H292" s="740"/>
      <c r="I292" s="314"/>
      <c r="J292" s="435"/>
      <c r="K292" s="435"/>
      <c r="L292" s="435"/>
      <c r="M292" s="314"/>
      <c r="N292" s="314"/>
      <c r="O292" s="318"/>
      <c r="P292" s="435"/>
      <c r="Q292" s="435"/>
      <c r="R292" s="435"/>
      <c r="S292" s="747"/>
      <c r="T292" s="748"/>
      <c r="U292" s="435"/>
      <c r="V292" s="740"/>
      <c r="W292" s="435"/>
      <c r="X292" s="435"/>
      <c r="Y292" s="435"/>
      <c r="Z292" s="749"/>
      <c r="AA292" s="749"/>
      <c r="AB292" s="435"/>
      <c r="AC292" s="750"/>
      <c r="AD292" s="324"/>
      <c r="AE292" s="180"/>
      <c r="AF292" s="155"/>
      <c r="AG292" s="322"/>
      <c r="AH292" s="155"/>
      <c r="AI292" s="132"/>
    </row>
    <row r="293">
      <c r="A293" s="477"/>
      <c r="B293" s="745"/>
      <c r="C293" s="745"/>
      <c r="D293" s="751"/>
      <c r="E293" s="316"/>
      <c r="F293" s="316"/>
      <c r="G293" s="314"/>
      <c r="H293" s="740"/>
      <c r="I293" s="435"/>
      <c r="J293" s="435"/>
      <c r="K293" s="435"/>
      <c r="L293" s="435"/>
      <c r="M293" s="435"/>
      <c r="N293" s="435"/>
      <c r="O293" s="318"/>
      <c r="P293" s="435"/>
      <c r="Q293" s="435"/>
      <c r="R293" s="435"/>
      <c r="S293" s="747"/>
      <c r="T293" s="748"/>
      <c r="U293" s="435"/>
      <c r="V293" s="740"/>
      <c r="W293" s="435"/>
      <c r="X293" s="435"/>
      <c r="Y293" s="435"/>
      <c r="Z293" s="749"/>
      <c r="AA293" s="749"/>
      <c r="AB293" s="435"/>
      <c r="AC293" s="750"/>
      <c r="AD293" s="324"/>
      <c r="AE293" s="180"/>
      <c r="AF293" s="155"/>
      <c r="AG293" s="322"/>
      <c r="AH293" s="155"/>
      <c r="AI293" s="132"/>
    </row>
    <row r="294">
      <c r="A294" s="477"/>
      <c r="B294" s="745"/>
      <c r="C294" s="745"/>
      <c r="D294" s="751"/>
      <c r="E294" s="316"/>
      <c r="F294" s="316"/>
      <c r="G294" s="314"/>
      <c r="H294" s="740"/>
      <c r="I294" s="314"/>
      <c r="J294" s="314"/>
      <c r="K294" s="435"/>
      <c r="L294" s="435"/>
      <c r="M294" s="435"/>
      <c r="N294" s="314"/>
      <c r="O294" s="318"/>
      <c r="P294" s="435"/>
      <c r="Q294" s="435"/>
      <c r="R294" s="435"/>
      <c r="S294" s="747"/>
      <c r="T294" s="748"/>
      <c r="U294" s="435"/>
      <c r="V294" s="740"/>
      <c r="W294" s="435"/>
      <c r="X294" s="435"/>
      <c r="Y294" s="435"/>
      <c r="Z294" s="749"/>
      <c r="AA294" s="749"/>
      <c r="AB294" s="435"/>
      <c r="AC294" s="750"/>
      <c r="AD294" s="324"/>
      <c r="AE294" s="180"/>
      <c r="AF294" s="155"/>
      <c r="AG294" s="322"/>
      <c r="AH294" s="155"/>
      <c r="AI294" s="132"/>
    </row>
    <row r="295">
      <c r="A295" s="477"/>
      <c r="B295" s="745"/>
      <c r="C295" s="745"/>
      <c r="D295" s="751"/>
      <c r="E295" s="742"/>
      <c r="F295" s="316"/>
      <c r="G295" s="314"/>
      <c r="H295" s="740"/>
      <c r="I295" s="435"/>
      <c r="J295" s="435"/>
      <c r="K295" s="435"/>
      <c r="L295" s="435"/>
      <c r="M295" s="435"/>
      <c r="N295" s="435"/>
      <c r="O295" s="318"/>
      <c r="P295" s="435"/>
      <c r="Q295" s="435"/>
      <c r="R295" s="435"/>
      <c r="S295" s="747"/>
      <c r="T295" s="748"/>
      <c r="U295" s="435"/>
      <c r="V295" s="740"/>
      <c r="W295" s="435"/>
      <c r="X295" s="435"/>
      <c r="Y295" s="435"/>
      <c r="Z295" s="749"/>
      <c r="AA295" s="749"/>
      <c r="AB295" s="435"/>
      <c r="AC295" s="750"/>
      <c r="AD295" s="324"/>
      <c r="AE295" s="180"/>
      <c r="AF295" s="155"/>
      <c r="AG295" s="322"/>
      <c r="AH295" s="155"/>
      <c r="AI295" s="132"/>
    </row>
    <row r="296">
      <c r="A296" s="474"/>
      <c r="B296" s="312"/>
      <c r="C296" s="745"/>
      <c r="D296" s="717"/>
      <c r="E296" s="742"/>
      <c r="F296" s="316"/>
      <c r="G296" s="314"/>
      <c r="H296" s="740"/>
      <c r="I296" s="314"/>
      <c r="J296" s="435"/>
      <c r="K296" s="435"/>
      <c r="L296" s="314"/>
      <c r="M296" s="435"/>
      <c r="N296" s="314"/>
      <c r="O296" s="318"/>
      <c r="P296" s="435"/>
      <c r="Q296" s="435"/>
      <c r="R296" s="435"/>
      <c r="S296" s="747"/>
      <c r="T296" s="748"/>
      <c r="U296" s="435"/>
      <c r="V296" s="740"/>
      <c r="W296" s="435"/>
      <c r="X296" s="435"/>
      <c r="Y296" s="435"/>
      <c r="Z296" s="749"/>
      <c r="AA296" s="749"/>
      <c r="AB296" s="435"/>
      <c r="AC296" s="750"/>
      <c r="AD296" s="324"/>
      <c r="AE296" s="180"/>
      <c r="AF296" s="155"/>
      <c r="AG296" s="322"/>
      <c r="AH296" s="155"/>
      <c r="AI296" s="132"/>
    </row>
    <row r="297">
      <c r="A297" s="478"/>
      <c r="B297" s="745"/>
      <c r="C297" s="745"/>
      <c r="D297" s="751"/>
      <c r="E297" s="742"/>
      <c r="F297" s="316"/>
      <c r="G297" s="314"/>
      <c r="H297" s="740"/>
      <c r="I297" s="435"/>
      <c r="J297" s="435"/>
      <c r="K297" s="435"/>
      <c r="L297" s="435"/>
      <c r="M297" s="435"/>
      <c r="N297" s="435"/>
      <c r="O297" s="318"/>
      <c r="P297" s="435"/>
      <c r="Q297" s="435"/>
      <c r="R297" s="435"/>
      <c r="S297" s="747"/>
      <c r="T297" s="748"/>
      <c r="U297" s="435"/>
      <c r="V297" s="740"/>
      <c r="W297" s="435"/>
      <c r="X297" s="435"/>
      <c r="Y297" s="435"/>
      <c r="Z297" s="749"/>
      <c r="AA297" s="749"/>
      <c r="AB297" s="435"/>
      <c r="AC297" s="750"/>
      <c r="AD297" s="324"/>
      <c r="AE297" s="180"/>
      <c r="AF297" s="155"/>
      <c r="AG297" s="322"/>
      <c r="AH297" s="155"/>
      <c r="AI297" s="132"/>
    </row>
    <row r="298">
      <c r="A298" s="478"/>
      <c r="B298" s="745"/>
      <c r="C298" s="745"/>
      <c r="D298" s="751"/>
      <c r="E298" s="742"/>
      <c r="F298" s="316"/>
      <c r="G298" s="314"/>
      <c r="H298" s="740"/>
      <c r="I298" s="435"/>
      <c r="J298" s="435"/>
      <c r="K298" s="435"/>
      <c r="L298" s="435"/>
      <c r="M298" s="435"/>
      <c r="N298" s="435"/>
      <c r="O298" s="318"/>
      <c r="P298" s="435"/>
      <c r="Q298" s="435"/>
      <c r="R298" s="435"/>
      <c r="S298" s="747"/>
      <c r="T298" s="748"/>
      <c r="U298" s="435"/>
      <c r="V298" s="740"/>
      <c r="W298" s="435"/>
      <c r="X298" s="435"/>
      <c r="Y298" s="435"/>
      <c r="Z298" s="749"/>
      <c r="AA298" s="749"/>
      <c r="AB298" s="435"/>
      <c r="AC298" s="750"/>
      <c r="AD298" s="324"/>
      <c r="AE298" s="180"/>
      <c r="AF298" s="155"/>
      <c r="AG298" s="322"/>
      <c r="AH298" s="155"/>
      <c r="AI298" s="132"/>
    </row>
    <row r="299">
      <c r="A299" s="478"/>
      <c r="B299" s="745"/>
      <c r="C299" s="745"/>
      <c r="D299" s="717"/>
      <c r="E299" s="316"/>
      <c r="F299" s="316"/>
      <c r="G299" s="314"/>
      <c r="H299" s="740"/>
      <c r="I299" s="435"/>
      <c r="J299" s="314"/>
      <c r="K299" s="435"/>
      <c r="L299" s="314"/>
      <c r="M299" s="435"/>
      <c r="N299" s="314"/>
      <c r="O299" s="318"/>
      <c r="P299" s="314"/>
      <c r="Q299" s="314"/>
      <c r="R299" s="314"/>
      <c r="S299" s="747"/>
      <c r="T299" s="748"/>
      <c r="U299" s="435"/>
      <c r="V299" s="740"/>
      <c r="W299" s="435"/>
      <c r="X299" s="435"/>
      <c r="Y299" s="435"/>
      <c r="Z299" s="749"/>
      <c r="AA299" s="749"/>
      <c r="AB299" s="435"/>
      <c r="AC299" s="750"/>
      <c r="AD299" s="324"/>
      <c r="AE299" s="180"/>
      <c r="AF299" s="155"/>
      <c r="AG299" s="322"/>
      <c r="AH299" s="155"/>
      <c r="AI299" s="132"/>
    </row>
    <row r="300">
      <c r="A300" s="477"/>
      <c r="B300" s="312"/>
      <c r="C300" s="745"/>
      <c r="D300" s="751"/>
      <c r="E300" s="742"/>
      <c r="F300" s="316"/>
      <c r="G300" s="314"/>
      <c r="H300" s="740"/>
      <c r="I300" s="435"/>
      <c r="J300" s="435"/>
      <c r="K300" s="435"/>
      <c r="L300" s="435"/>
      <c r="M300" s="435"/>
      <c r="N300" s="435"/>
      <c r="O300" s="318"/>
      <c r="P300" s="435"/>
      <c r="Q300" s="435"/>
      <c r="R300" s="435"/>
      <c r="S300" s="747"/>
      <c r="T300" s="748"/>
      <c r="U300" s="435"/>
      <c r="V300" s="740"/>
      <c r="W300" s="435"/>
      <c r="X300" s="435"/>
      <c r="Y300" s="435"/>
      <c r="Z300" s="749"/>
      <c r="AA300" s="749"/>
      <c r="AB300" s="435"/>
      <c r="AC300" s="750"/>
      <c r="AD300" s="324"/>
      <c r="AE300" s="180"/>
      <c r="AF300" s="155"/>
      <c r="AG300" s="322"/>
      <c r="AH300" s="155"/>
      <c r="AI300" s="132"/>
    </row>
    <row r="301">
      <c r="A301" s="477"/>
      <c r="B301" s="312"/>
      <c r="C301" s="312"/>
      <c r="D301" s="717"/>
      <c r="E301" s="316"/>
      <c r="F301" s="316"/>
      <c r="G301" s="314"/>
      <c r="H301" s="740"/>
      <c r="I301" s="314"/>
      <c r="J301" s="314"/>
      <c r="K301" s="314"/>
      <c r="L301" s="314"/>
      <c r="M301" s="314"/>
      <c r="N301" s="435"/>
      <c r="O301" s="318"/>
      <c r="P301" s="314"/>
      <c r="Q301" s="435"/>
      <c r="R301" s="314"/>
      <c r="S301" s="718"/>
      <c r="T301" s="719"/>
      <c r="U301" s="314"/>
      <c r="V301" s="318"/>
      <c r="W301" s="314"/>
      <c r="X301" s="314"/>
      <c r="Y301" s="314"/>
      <c r="Z301" s="721"/>
      <c r="AA301" s="721"/>
      <c r="AB301" s="314"/>
      <c r="AC301" s="317"/>
      <c r="AD301" s="324"/>
      <c r="AE301" s="180"/>
      <c r="AF301" s="155"/>
      <c r="AG301" s="322"/>
      <c r="AH301" s="155"/>
      <c r="AI301" s="132"/>
    </row>
    <row r="302">
      <c r="A302" s="477"/>
      <c r="B302" s="312"/>
      <c r="C302" s="312"/>
      <c r="D302" s="717"/>
      <c r="E302" s="316"/>
      <c r="F302" s="316"/>
      <c r="G302" s="314"/>
      <c r="H302" s="318"/>
      <c r="I302" s="314"/>
      <c r="J302" s="314"/>
      <c r="K302" s="314"/>
      <c r="L302" s="314"/>
      <c r="M302" s="314"/>
      <c r="N302" s="314"/>
      <c r="O302" s="318"/>
      <c r="P302" s="314"/>
      <c r="Q302" s="314"/>
      <c r="R302" s="314"/>
      <c r="S302" s="718"/>
      <c r="T302" s="719"/>
      <c r="U302" s="314"/>
      <c r="V302" s="318"/>
      <c r="W302" s="314"/>
      <c r="X302" s="314"/>
      <c r="Y302" s="314"/>
      <c r="Z302" s="721"/>
      <c r="AA302" s="721"/>
      <c r="AB302" s="314"/>
      <c r="AC302" s="317"/>
      <c r="AD302" s="324"/>
      <c r="AE302" s="180"/>
      <c r="AF302" s="155"/>
      <c r="AG302" s="322"/>
      <c r="AH302" s="155"/>
      <c r="AI302" s="132"/>
    </row>
    <row r="303">
      <c r="A303" s="476"/>
      <c r="AF303" s="176"/>
      <c r="AG303" s="322"/>
      <c r="AH303" s="155"/>
      <c r="AI303" s="132"/>
    </row>
    <row r="304">
      <c r="A304" s="178"/>
      <c r="AG304" s="322"/>
      <c r="AH304" s="155"/>
      <c r="AI304" s="132"/>
    </row>
    <row r="305">
      <c r="A305" s="477"/>
      <c r="B305" s="745"/>
      <c r="C305" s="745"/>
      <c r="D305" s="751"/>
      <c r="E305" s="316"/>
      <c r="F305" s="316"/>
      <c r="G305" s="314"/>
      <c r="H305" s="318"/>
      <c r="I305" s="314"/>
      <c r="J305" s="314"/>
      <c r="K305" s="435"/>
      <c r="L305" s="435"/>
      <c r="M305" s="314"/>
      <c r="N305" s="314"/>
      <c r="O305" s="318"/>
      <c r="P305" s="314"/>
      <c r="Q305" s="435"/>
      <c r="R305" s="435"/>
      <c r="S305" s="747"/>
      <c r="T305" s="748"/>
      <c r="U305" s="435"/>
      <c r="V305" s="740"/>
      <c r="W305" s="435"/>
      <c r="X305" s="435"/>
      <c r="Y305" s="435"/>
      <c r="Z305" s="749"/>
      <c r="AA305" s="749"/>
      <c r="AB305" s="435"/>
      <c r="AC305" s="750"/>
      <c r="AD305" s="324"/>
      <c r="AE305" s="180"/>
      <c r="AF305" s="155"/>
      <c r="AG305" s="322"/>
      <c r="AH305" s="155"/>
      <c r="AI305" s="132"/>
    </row>
    <row r="306">
      <c r="A306" s="477"/>
      <c r="B306" s="312"/>
      <c r="C306" s="745"/>
      <c r="D306" s="751"/>
      <c r="E306" s="316"/>
      <c r="F306" s="316"/>
      <c r="G306" s="314"/>
      <c r="H306" s="318"/>
      <c r="I306" s="435"/>
      <c r="J306" s="435"/>
      <c r="K306" s="435"/>
      <c r="L306" s="314"/>
      <c r="M306" s="435"/>
      <c r="N306" s="314"/>
      <c r="O306" s="318"/>
      <c r="P306" s="314"/>
      <c r="Q306" s="435"/>
      <c r="R306" s="435"/>
      <c r="S306" s="747"/>
      <c r="T306" s="748"/>
      <c r="U306" s="435"/>
      <c r="V306" s="740"/>
      <c r="W306" s="435"/>
      <c r="X306" s="435"/>
      <c r="Y306" s="435"/>
      <c r="Z306" s="749"/>
      <c r="AA306" s="749"/>
      <c r="AB306" s="435"/>
      <c r="AC306" s="750"/>
      <c r="AD306" s="324"/>
      <c r="AE306" s="180"/>
      <c r="AF306" s="155"/>
      <c r="AG306" s="322"/>
      <c r="AH306" s="155"/>
      <c r="AI306" s="132"/>
    </row>
    <row r="307">
      <c r="A307" s="477"/>
      <c r="B307" s="312"/>
      <c r="C307" s="745"/>
      <c r="D307" s="751"/>
      <c r="E307" s="742"/>
      <c r="F307" s="316"/>
      <c r="G307" s="314"/>
      <c r="H307" s="740"/>
      <c r="I307" s="314"/>
      <c r="J307" s="314"/>
      <c r="K307" s="435"/>
      <c r="L307" s="314"/>
      <c r="M307" s="435"/>
      <c r="N307" s="435"/>
      <c r="O307" s="318"/>
      <c r="P307" s="435"/>
      <c r="Q307" s="435"/>
      <c r="R307" s="435"/>
      <c r="S307" s="747"/>
      <c r="T307" s="748"/>
      <c r="U307" s="435"/>
      <c r="V307" s="740"/>
      <c r="W307" s="435"/>
      <c r="X307" s="435"/>
      <c r="Y307" s="435"/>
      <c r="Z307" s="749"/>
      <c r="AA307" s="749"/>
      <c r="AB307" s="435"/>
      <c r="AC307" s="750"/>
      <c r="AD307" s="324"/>
      <c r="AE307" s="180"/>
      <c r="AF307" s="155"/>
      <c r="AG307" s="322"/>
      <c r="AH307" s="155"/>
      <c r="AI307" s="132"/>
    </row>
    <row r="308">
      <c r="A308" s="479"/>
      <c r="B308" s="312"/>
      <c r="C308" s="312"/>
      <c r="D308" s="717"/>
      <c r="E308" s="316"/>
      <c r="F308" s="316"/>
      <c r="G308" s="314"/>
      <c r="H308" s="318"/>
      <c r="I308" s="314"/>
      <c r="J308" s="314"/>
      <c r="K308" s="314"/>
      <c r="L308" s="314"/>
      <c r="M308" s="314"/>
      <c r="N308" s="314"/>
      <c r="O308" s="318"/>
      <c r="P308" s="314"/>
      <c r="Q308" s="435"/>
      <c r="R308" s="314"/>
      <c r="S308" s="718"/>
      <c r="T308" s="719"/>
      <c r="U308" s="314"/>
      <c r="V308" s="318"/>
      <c r="W308" s="314"/>
      <c r="X308" s="314"/>
      <c r="Y308" s="314"/>
      <c r="Z308" s="721"/>
      <c r="AA308" s="721"/>
      <c r="AB308" s="314"/>
      <c r="AC308" s="317"/>
      <c r="AD308" s="324"/>
      <c r="AE308" s="180"/>
      <c r="AF308" s="155"/>
      <c r="AG308" s="322"/>
      <c r="AH308" s="155"/>
      <c r="AI308" s="132"/>
    </row>
    <row r="309">
      <c r="A309" s="476"/>
      <c r="AF309" s="176"/>
      <c r="AG309" s="322"/>
      <c r="AH309" s="155"/>
      <c r="AI309" s="132"/>
    </row>
    <row r="310">
      <c r="A310" s="178"/>
      <c r="AG310" s="322"/>
      <c r="AH310" s="155"/>
      <c r="AI310" s="132"/>
    </row>
    <row r="311">
      <c r="A311" s="480"/>
      <c r="B311" s="312"/>
      <c r="C311" s="745"/>
      <c r="D311" s="717"/>
      <c r="E311" s="316"/>
      <c r="F311" s="316"/>
      <c r="G311" s="314"/>
      <c r="H311" s="318"/>
      <c r="I311" s="314"/>
      <c r="J311" s="435"/>
      <c r="K311" s="435"/>
      <c r="L311" s="314"/>
      <c r="M311" s="314"/>
      <c r="N311" s="314"/>
      <c r="O311" s="318"/>
      <c r="P311" s="314"/>
      <c r="Q311" s="435"/>
      <c r="R311" s="314"/>
      <c r="S311" s="718"/>
      <c r="T311" s="719"/>
      <c r="U311" s="314"/>
      <c r="V311" s="318"/>
      <c r="W311" s="314"/>
      <c r="X311" s="314"/>
      <c r="Y311" s="314"/>
      <c r="Z311" s="721"/>
      <c r="AA311" s="721"/>
      <c r="AB311" s="314"/>
      <c r="AC311" s="317"/>
      <c r="AD311" s="324"/>
      <c r="AE311" s="180"/>
      <c r="AF311" s="180"/>
      <c r="AG311" s="322"/>
      <c r="AH311" s="155"/>
      <c r="AI311" s="132"/>
    </row>
    <row r="312">
      <c r="A312" s="480"/>
      <c r="B312" s="312"/>
      <c r="C312" s="745"/>
      <c r="D312" s="717"/>
      <c r="E312" s="316"/>
      <c r="F312" s="316"/>
      <c r="G312" s="314"/>
      <c r="H312" s="740"/>
      <c r="I312" s="314"/>
      <c r="J312" s="435"/>
      <c r="K312" s="435"/>
      <c r="L312" s="314"/>
      <c r="M312" s="435"/>
      <c r="N312" s="435"/>
      <c r="O312" s="318"/>
      <c r="P312" s="435"/>
      <c r="Q312" s="435"/>
      <c r="R312" s="314"/>
      <c r="S312" s="747"/>
      <c r="T312" s="748"/>
      <c r="U312" s="435"/>
      <c r="V312" s="740"/>
      <c r="W312" s="435"/>
      <c r="X312" s="435"/>
      <c r="Y312" s="435"/>
      <c r="Z312" s="749"/>
      <c r="AA312" s="749"/>
      <c r="AB312" s="435"/>
      <c r="AC312" s="750"/>
      <c r="AD312" s="324"/>
      <c r="AE312" s="180"/>
      <c r="AF312" s="180"/>
      <c r="AG312" s="322"/>
      <c r="AH312" s="155"/>
      <c r="AI312" s="132"/>
    </row>
    <row r="313">
      <c r="A313" s="476"/>
      <c r="AF313" s="176"/>
      <c r="AG313" s="322"/>
      <c r="AH313" s="155"/>
      <c r="AI313" s="132"/>
    </row>
    <row r="314">
      <c r="A314" s="178"/>
      <c r="AG314" s="322"/>
      <c r="AH314" s="155"/>
      <c r="AI314" s="132"/>
    </row>
    <row r="315">
      <c r="A315" s="481"/>
      <c r="B315" s="312"/>
      <c r="C315" s="745"/>
      <c r="D315" s="751"/>
      <c r="E315" s="742"/>
      <c r="F315" s="316"/>
      <c r="G315" s="435"/>
      <c r="H315" s="740"/>
      <c r="I315" s="435"/>
      <c r="J315" s="314"/>
      <c r="K315" s="435"/>
      <c r="L315" s="435"/>
      <c r="M315" s="435"/>
      <c r="N315" s="314"/>
      <c r="O315" s="318"/>
      <c r="P315" s="435"/>
      <c r="Q315" s="435"/>
      <c r="R315" s="435"/>
      <c r="S315" s="747"/>
      <c r="T315" s="748"/>
      <c r="U315" s="435"/>
      <c r="V315" s="740"/>
      <c r="W315" s="435"/>
      <c r="X315" s="435"/>
      <c r="Y315" s="435"/>
      <c r="Z315" s="749"/>
      <c r="AA315" s="749"/>
      <c r="AB315" s="435"/>
      <c r="AC315" s="750"/>
      <c r="AD315" s="324"/>
      <c r="AE315" s="180"/>
      <c r="AF315" s="155"/>
      <c r="AG315" s="322"/>
      <c r="AH315" s="155"/>
      <c r="AI315" s="132"/>
    </row>
    <row r="316">
      <c r="A316" s="435"/>
      <c r="B316" s="312"/>
      <c r="C316" s="745"/>
      <c r="D316" s="751"/>
      <c r="E316" s="316"/>
      <c r="F316" s="316"/>
      <c r="G316" s="314"/>
      <c r="H316" s="740"/>
      <c r="I316" s="314"/>
      <c r="J316" s="435"/>
      <c r="K316" s="435"/>
      <c r="L316" s="314"/>
      <c r="M316" s="314"/>
      <c r="N316" s="314"/>
      <c r="O316" s="318"/>
      <c r="P316" s="435"/>
      <c r="Q316" s="435"/>
      <c r="R316" s="435"/>
      <c r="S316" s="747"/>
      <c r="T316" s="748"/>
      <c r="U316" s="435"/>
      <c r="V316" s="740"/>
      <c r="W316" s="435"/>
      <c r="X316" s="435"/>
      <c r="Y316" s="435"/>
      <c r="Z316" s="749"/>
      <c r="AA316" s="749"/>
      <c r="AB316" s="435"/>
      <c r="AC316" s="750"/>
      <c r="AD316" s="324"/>
      <c r="AE316" s="180"/>
      <c r="AF316" s="155"/>
      <c r="AG316" s="322"/>
      <c r="AH316" s="155"/>
      <c r="AI316" s="132"/>
    </row>
    <row r="317">
      <c r="A317" s="482"/>
      <c r="B317" s="312"/>
      <c r="C317" s="312"/>
      <c r="D317" s="751"/>
      <c r="E317" s="316"/>
      <c r="F317" s="316"/>
      <c r="G317" s="314"/>
      <c r="H317" s="318"/>
      <c r="I317" s="314"/>
      <c r="J317" s="314"/>
      <c r="K317" s="435"/>
      <c r="L317" s="314"/>
      <c r="M317" s="314"/>
      <c r="N317" s="314"/>
      <c r="O317" s="318"/>
      <c r="P317" s="314"/>
      <c r="Q317" s="314"/>
      <c r="R317" s="435"/>
      <c r="S317" s="718"/>
      <c r="T317" s="719"/>
      <c r="U317" s="314"/>
      <c r="V317" s="318"/>
      <c r="W317" s="314"/>
      <c r="X317" s="314"/>
      <c r="Y317" s="314"/>
      <c r="Z317" s="721"/>
      <c r="AA317" s="721"/>
      <c r="AB317" s="314"/>
      <c r="AC317" s="317"/>
      <c r="AD317" s="324"/>
      <c r="AE317" s="180"/>
      <c r="AF317" s="155"/>
      <c r="AG317" s="322"/>
      <c r="AH317" s="155"/>
      <c r="AI317" s="132"/>
    </row>
    <row r="318">
      <c r="A318" s="482"/>
      <c r="B318" s="312"/>
      <c r="C318" s="745"/>
      <c r="D318" s="751"/>
      <c r="E318" s="742"/>
      <c r="F318" s="316"/>
      <c r="G318" s="314"/>
      <c r="H318" s="740"/>
      <c r="I318" s="435"/>
      <c r="J318" s="435"/>
      <c r="K318" s="435"/>
      <c r="L318" s="435"/>
      <c r="M318" s="435"/>
      <c r="N318" s="435"/>
      <c r="O318" s="318"/>
      <c r="P318" s="435"/>
      <c r="Q318" s="435"/>
      <c r="R318" s="435"/>
      <c r="S318" s="747"/>
      <c r="T318" s="748"/>
      <c r="U318" s="435"/>
      <c r="V318" s="740"/>
      <c r="W318" s="435"/>
      <c r="X318" s="435"/>
      <c r="Y318" s="435"/>
      <c r="Z318" s="749"/>
      <c r="AA318" s="749"/>
      <c r="AB318" s="435"/>
      <c r="AC318" s="750"/>
      <c r="AD318" s="324"/>
      <c r="AE318" s="180"/>
      <c r="AF318" s="155"/>
      <c r="AG318" s="322"/>
      <c r="AH318" s="155"/>
      <c r="AI318" s="132"/>
    </row>
    <row r="319">
      <c r="A319" s="314"/>
      <c r="B319" s="312"/>
      <c r="C319" s="312"/>
      <c r="D319" s="717"/>
      <c r="E319" s="316"/>
      <c r="F319" s="316"/>
      <c r="G319" s="314"/>
      <c r="H319" s="318"/>
      <c r="I319" s="314"/>
      <c r="J319" s="314"/>
      <c r="K319" s="314"/>
      <c r="L319" s="314"/>
      <c r="M319" s="314"/>
      <c r="N319" s="314"/>
      <c r="O319" s="318"/>
      <c r="P319" s="314"/>
      <c r="Q319" s="314"/>
      <c r="R319" s="314"/>
      <c r="S319" s="718"/>
      <c r="T319" s="719"/>
      <c r="U319" s="314"/>
      <c r="V319" s="318"/>
      <c r="W319" s="314"/>
      <c r="X319" s="314"/>
      <c r="Y319" s="314"/>
      <c r="Z319" s="721"/>
      <c r="AA319" s="721"/>
      <c r="AB319" s="314"/>
      <c r="AC319" s="317"/>
      <c r="AD319" s="483"/>
      <c r="AF319" s="484"/>
      <c r="AG319" s="322"/>
      <c r="AH319" s="155"/>
      <c r="AI319" s="132"/>
    </row>
    <row r="320">
      <c r="A320" s="314"/>
      <c r="B320" s="312"/>
      <c r="C320" s="312"/>
      <c r="D320" s="717"/>
      <c r="E320" s="316"/>
      <c r="F320" s="316"/>
      <c r="G320" s="314"/>
      <c r="H320" s="318"/>
      <c r="I320" s="314"/>
      <c r="J320" s="314"/>
      <c r="K320" s="314"/>
      <c r="L320" s="314"/>
      <c r="M320" s="314"/>
      <c r="N320" s="314"/>
      <c r="O320" s="318"/>
      <c r="P320" s="314"/>
      <c r="Q320" s="314"/>
      <c r="R320" s="314"/>
      <c r="S320" s="718"/>
      <c r="T320" s="719"/>
      <c r="U320" s="314"/>
      <c r="V320" s="318"/>
      <c r="W320" s="314"/>
      <c r="X320" s="314"/>
      <c r="Y320" s="314"/>
      <c r="Z320" s="721"/>
      <c r="AA320" s="721"/>
      <c r="AB320" s="314"/>
      <c r="AC320" s="317"/>
      <c r="AD320" s="324"/>
      <c r="AE320" s="155"/>
      <c r="AF320" s="155"/>
      <c r="AG320" s="322"/>
      <c r="AH320" s="155"/>
      <c r="AI320" s="132"/>
    </row>
    <row r="321">
      <c r="A321" s="314"/>
      <c r="B321" s="312"/>
      <c r="C321" s="312"/>
      <c r="D321" s="717"/>
      <c r="E321" s="316"/>
      <c r="F321" s="316"/>
      <c r="G321" s="314"/>
      <c r="H321" s="318"/>
      <c r="I321" s="314"/>
      <c r="J321" s="314"/>
      <c r="K321" s="314"/>
      <c r="L321" s="314"/>
      <c r="M321" s="314"/>
      <c r="N321" s="314"/>
      <c r="O321" s="318"/>
      <c r="P321" s="314"/>
      <c r="Q321" s="314"/>
      <c r="R321" s="314"/>
      <c r="S321" s="718"/>
      <c r="T321" s="719"/>
      <c r="U321" s="314"/>
      <c r="V321" s="318"/>
      <c r="W321" s="314"/>
      <c r="X321" s="314"/>
      <c r="Y321" s="314"/>
      <c r="Z321" s="721"/>
      <c r="AA321" s="721"/>
      <c r="AB321" s="314"/>
      <c r="AC321" s="317"/>
      <c r="AD321" s="324"/>
      <c r="AE321" s="155"/>
      <c r="AF321" s="155"/>
      <c r="AG321" s="322"/>
      <c r="AH321" s="155"/>
      <c r="AI321" s="132"/>
    </row>
    <row r="322">
      <c r="A322" s="314"/>
      <c r="B322" s="312"/>
      <c r="C322" s="312"/>
      <c r="D322" s="717"/>
      <c r="E322" s="316"/>
      <c r="F322" s="316"/>
      <c r="G322" s="314"/>
      <c r="H322" s="318"/>
      <c r="I322" s="314"/>
      <c r="J322" s="314"/>
      <c r="K322" s="314"/>
      <c r="L322" s="314"/>
      <c r="M322" s="314"/>
      <c r="N322" s="314"/>
      <c r="O322" s="318"/>
      <c r="P322" s="314"/>
      <c r="Q322" s="314"/>
      <c r="R322" s="314"/>
      <c r="S322" s="718"/>
      <c r="T322" s="719"/>
      <c r="U322" s="314"/>
      <c r="V322" s="318"/>
      <c r="W322" s="314"/>
      <c r="X322" s="314"/>
      <c r="Y322" s="314"/>
      <c r="Z322" s="721"/>
      <c r="AA322" s="721"/>
      <c r="AB322" s="314"/>
      <c r="AC322" s="317"/>
      <c r="AD322" s="324"/>
      <c r="AE322" s="155"/>
      <c r="AF322" s="155"/>
      <c r="AG322" s="322"/>
      <c r="AH322" s="155"/>
      <c r="AI322" s="132"/>
    </row>
    <row r="323">
      <c r="A323" s="314"/>
      <c r="B323" s="312"/>
      <c r="C323" s="312"/>
      <c r="D323" s="717"/>
      <c r="E323" s="316"/>
      <c r="F323" s="316"/>
      <c r="G323" s="314"/>
      <c r="H323" s="318"/>
      <c r="I323" s="314"/>
      <c r="J323" s="314"/>
      <c r="K323" s="314"/>
      <c r="L323" s="314"/>
      <c r="M323" s="314"/>
      <c r="N323" s="314"/>
      <c r="O323" s="318"/>
      <c r="P323" s="314"/>
      <c r="Q323" s="314"/>
      <c r="R323" s="314"/>
      <c r="S323" s="718"/>
      <c r="T323" s="719"/>
      <c r="U323" s="314"/>
      <c r="V323" s="318"/>
      <c r="W323" s="314"/>
      <c r="X323" s="314"/>
      <c r="Y323" s="314"/>
      <c r="Z323" s="721"/>
      <c r="AA323" s="721"/>
      <c r="AB323" s="314"/>
      <c r="AC323" s="317"/>
      <c r="AD323" s="324"/>
      <c r="AE323" s="155"/>
      <c r="AF323" s="155"/>
      <c r="AG323" s="322"/>
      <c r="AH323" s="155"/>
      <c r="AI323" s="132"/>
    </row>
    <row r="324">
      <c r="A324" s="314"/>
      <c r="B324" s="312"/>
      <c r="C324" s="312"/>
      <c r="D324" s="717"/>
      <c r="E324" s="316"/>
      <c r="F324" s="316"/>
      <c r="G324" s="314"/>
      <c r="H324" s="318"/>
      <c r="I324" s="314"/>
      <c r="J324" s="314"/>
      <c r="K324" s="314"/>
      <c r="L324" s="314"/>
      <c r="M324" s="314"/>
      <c r="N324" s="314"/>
      <c r="O324" s="318"/>
      <c r="P324" s="314"/>
      <c r="Q324" s="314"/>
      <c r="R324" s="314"/>
      <c r="S324" s="718"/>
      <c r="T324" s="719"/>
      <c r="U324" s="314"/>
      <c r="V324" s="318"/>
      <c r="W324" s="314"/>
      <c r="X324" s="314"/>
      <c r="Y324" s="314"/>
      <c r="Z324" s="721"/>
      <c r="AA324" s="721"/>
      <c r="AB324" s="314"/>
      <c r="AC324" s="317"/>
      <c r="AD324" s="324"/>
      <c r="AE324" s="155"/>
      <c r="AF324" s="155"/>
      <c r="AG324" s="322"/>
      <c r="AH324" s="155"/>
      <c r="AI324" s="132"/>
    </row>
    <row r="325">
      <c r="A325" s="314"/>
      <c r="B325" s="312"/>
      <c r="C325" s="312"/>
      <c r="D325" s="717"/>
      <c r="E325" s="316"/>
      <c r="F325" s="316"/>
      <c r="G325" s="314"/>
      <c r="H325" s="318"/>
      <c r="I325" s="314"/>
      <c r="J325" s="314"/>
      <c r="K325" s="314"/>
      <c r="L325" s="314"/>
      <c r="M325" s="314"/>
      <c r="N325" s="314"/>
      <c r="O325" s="318"/>
      <c r="P325" s="314"/>
      <c r="Q325" s="314"/>
      <c r="R325" s="314"/>
      <c r="S325" s="718"/>
      <c r="T325" s="719"/>
      <c r="U325" s="314"/>
      <c r="V325" s="318"/>
      <c r="W325" s="314"/>
      <c r="X325" s="314"/>
      <c r="Y325" s="314"/>
      <c r="Z325" s="721"/>
      <c r="AA325" s="721"/>
      <c r="AB325" s="314"/>
      <c r="AC325" s="317"/>
      <c r="AD325" s="324"/>
      <c r="AE325" s="155"/>
      <c r="AF325" s="155"/>
      <c r="AG325" s="322"/>
      <c r="AH325" s="155"/>
      <c r="AI325" s="132"/>
    </row>
    <row r="326">
      <c r="A326" s="314"/>
      <c r="B326" s="312"/>
      <c r="C326" s="312"/>
      <c r="D326" s="717"/>
      <c r="E326" s="316"/>
      <c r="F326" s="316"/>
      <c r="G326" s="314"/>
      <c r="H326" s="318"/>
      <c r="I326" s="314"/>
      <c r="J326" s="314"/>
      <c r="K326" s="314"/>
      <c r="L326" s="314"/>
      <c r="M326" s="314"/>
      <c r="N326" s="314"/>
      <c r="O326" s="318"/>
      <c r="P326" s="314"/>
      <c r="Q326" s="314"/>
      <c r="R326" s="314"/>
      <c r="S326" s="718"/>
      <c r="T326" s="719"/>
      <c r="U326" s="314"/>
      <c r="V326" s="318"/>
      <c r="W326" s="314"/>
      <c r="X326" s="314"/>
      <c r="Y326" s="314"/>
      <c r="Z326" s="721"/>
      <c r="AA326" s="721"/>
      <c r="AB326" s="314"/>
      <c r="AC326" s="317"/>
      <c r="AD326" s="324"/>
      <c r="AE326" s="155"/>
      <c r="AF326" s="155"/>
      <c r="AG326" s="322"/>
      <c r="AH326" s="155"/>
      <c r="AI326" s="132"/>
    </row>
    <row r="327">
      <c r="A327" s="314"/>
      <c r="B327" s="312"/>
      <c r="C327" s="312"/>
      <c r="D327" s="717"/>
      <c r="E327" s="316"/>
      <c r="F327" s="316"/>
      <c r="G327" s="314"/>
      <c r="H327" s="318"/>
      <c r="I327" s="314"/>
      <c r="J327" s="314"/>
      <c r="K327" s="314"/>
      <c r="L327" s="314"/>
      <c r="M327" s="314"/>
      <c r="N327" s="314"/>
      <c r="O327" s="318"/>
      <c r="P327" s="314"/>
      <c r="Q327" s="314"/>
      <c r="R327" s="314"/>
      <c r="S327" s="718"/>
      <c r="T327" s="719"/>
      <c r="U327" s="314"/>
      <c r="V327" s="318"/>
      <c r="W327" s="314"/>
      <c r="X327" s="314"/>
      <c r="Y327" s="314"/>
      <c r="Z327" s="721"/>
      <c r="AA327" s="721"/>
      <c r="AB327" s="314"/>
      <c r="AC327" s="317"/>
      <c r="AD327" s="324"/>
      <c r="AE327" s="155"/>
      <c r="AF327" s="155"/>
      <c r="AG327" s="322"/>
      <c r="AH327" s="155"/>
      <c r="AI327" s="132"/>
    </row>
    <row r="328">
      <c r="A328" s="314"/>
      <c r="B328" s="312"/>
      <c r="C328" s="312"/>
      <c r="D328" s="717"/>
      <c r="E328" s="316"/>
      <c r="F328" s="316"/>
      <c r="G328" s="314"/>
      <c r="H328" s="318"/>
      <c r="I328" s="314"/>
      <c r="J328" s="314"/>
      <c r="K328" s="314"/>
      <c r="L328" s="314"/>
      <c r="M328" s="314"/>
      <c r="N328" s="314"/>
      <c r="O328" s="318"/>
      <c r="P328" s="314"/>
      <c r="Q328" s="314"/>
      <c r="R328" s="314"/>
      <c r="S328" s="718"/>
      <c r="T328" s="719"/>
      <c r="U328" s="314"/>
      <c r="V328" s="318"/>
      <c r="W328" s="314"/>
      <c r="X328" s="314"/>
      <c r="Y328" s="314"/>
      <c r="Z328" s="721"/>
      <c r="AA328" s="721"/>
      <c r="AB328" s="314"/>
      <c r="AC328" s="317"/>
      <c r="AD328" s="324"/>
      <c r="AE328" s="155"/>
      <c r="AF328" s="155"/>
      <c r="AG328" s="322"/>
      <c r="AH328" s="155"/>
      <c r="AI328" s="132"/>
    </row>
    <row r="329">
      <c r="A329" s="314"/>
      <c r="B329" s="312"/>
      <c r="C329" s="312"/>
      <c r="D329" s="717"/>
      <c r="E329" s="316"/>
      <c r="F329" s="316"/>
      <c r="G329" s="314"/>
      <c r="H329" s="318"/>
      <c r="I329" s="314"/>
      <c r="J329" s="314"/>
      <c r="K329" s="314"/>
      <c r="L329" s="314"/>
      <c r="M329" s="314"/>
      <c r="N329" s="314"/>
      <c r="O329" s="318"/>
      <c r="P329" s="314"/>
      <c r="Q329" s="314"/>
      <c r="R329" s="314"/>
      <c r="S329" s="718"/>
      <c r="T329" s="719"/>
      <c r="U329" s="314"/>
      <c r="V329" s="318"/>
      <c r="W329" s="314"/>
      <c r="X329" s="314"/>
      <c r="Y329" s="314"/>
      <c r="Z329" s="721"/>
      <c r="AA329" s="721"/>
      <c r="AB329" s="314"/>
      <c r="AC329" s="317"/>
      <c r="AD329" s="324"/>
      <c r="AE329" s="155"/>
      <c r="AF329" s="155"/>
      <c r="AG329" s="322"/>
      <c r="AH329" s="155"/>
      <c r="AI329" s="132"/>
    </row>
    <row r="330">
      <c r="A330" s="314"/>
      <c r="B330" s="312"/>
      <c r="C330" s="312"/>
      <c r="D330" s="717"/>
      <c r="E330" s="316"/>
      <c r="F330" s="316"/>
      <c r="G330" s="314"/>
      <c r="H330" s="318"/>
      <c r="I330" s="314"/>
      <c r="J330" s="314"/>
      <c r="K330" s="314"/>
      <c r="L330" s="314"/>
      <c r="M330" s="314"/>
      <c r="N330" s="314"/>
      <c r="O330" s="318"/>
      <c r="P330" s="314"/>
      <c r="Q330" s="314"/>
      <c r="R330" s="314"/>
      <c r="S330" s="718"/>
      <c r="T330" s="719"/>
      <c r="U330" s="314"/>
      <c r="V330" s="318"/>
      <c r="W330" s="314"/>
      <c r="X330" s="314"/>
      <c r="Y330" s="314"/>
      <c r="Z330" s="721"/>
      <c r="AA330" s="721"/>
      <c r="AB330" s="314"/>
      <c r="AC330" s="317"/>
      <c r="AD330" s="324"/>
      <c r="AE330" s="155"/>
      <c r="AF330" s="155"/>
      <c r="AG330" s="322"/>
      <c r="AH330" s="155"/>
      <c r="AI330" s="132"/>
    </row>
    <row r="331">
      <c r="A331" s="314"/>
      <c r="B331" s="312"/>
      <c r="C331" s="312"/>
      <c r="D331" s="717"/>
      <c r="E331" s="316"/>
      <c r="F331" s="316"/>
      <c r="G331" s="314"/>
      <c r="H331" s="318"/>
      <c r="I331" s="314"/>
      <c r="J331" s="314"/>
      <c r="K331" s="314"/>
      <c r="L331" s="314"/>
      <c r="M331" s="314"/>
      <c r="N331" s="314"/>
      <c r="O331" s="318"/>
      <c r="P331" s="314"/>
      <c r="Q331" s="314"/>
      <c r="R331" s="314"/>
      <c r="S331" s="718"/>
      <c r="T331" s="719"/>
      <c r="U331" s="314"/>
      <c r="V331" s="318"/>
      <c r="W331" s="314"/>
      <c r="X331" s="314"/>
      <c r="Y331" s="314"/>
      <c r="Z331" s="721"/>
      <c r="AA331" s="721"/>
      <c r="AB331" s="314"/>
      <c r="AC331" s="317"/>
      <c r="AD331" s="324"/>
      <c r="AE331" s="155"/>
      <c r="AF331" s="155"/>
      <c r="AG331" s="322"/>
      <c r="AH331" s="155"/>
      <c r="AI331" s="132"/>
    </row>
    <row r="332">
      <c r="A332" s="314"/>
      <c r="B332" s="312"/>
      <c r="C332" s="312"/>
      <c r="D332" s="717"/>
      <c r="E332" s="316"/>
      <c r="F332" s="316"/>
      <c r="G332" s="314"/>
      <c r="H332" s="318"/>
      <c r="I332" s="314"/>
      <c r="J332" s="314"/>
      <c r="K332" s="314"/>
      <c r="L332" s="314"/>
      <c r="M332" s="314"/>
      <c r="N332" s="314"/>
      <c r="O332" s="318"/>
      <c r="P332" s="314"/>
      <c r="Q332" s="314"/>
      <c r="R332" s="314"/>
      <c r="S332" s="718"/>
      <c r="T332" s="719"/>
      <c r="U332" s="314"/>
      <c r="V332" s="318"/>
      <c r="W332" s="314"/>
      <c r="X332" s="314"/>
      <c r="Y332" s="314"/>
      <c r="Z332" s="721"/>
      <c r="AA332" s="721"/>
      <c r="AB332" s="314"/>
      <c r="AC332" s="317"/>
      <c r="AD332" s="324"/>
      <c r="AE332" s="155"/>
      <c r="AF332" s="155"/>
      <c r="AG332" s="322"/>
      <c r="AH332" s="155"/>
      <c r="AI332" s="132"/>
    </row>
    <row r="333">
      <c r="A333" s="314"/>
      <c r="B333" s="312"/>
      <c r="C333" s="312"/>
      <c r="D333" s="717"/>
      <c r="E333" s="316"/>
      <c r="F333" s="316"/>
      <c r="G333" s="314"/>
      <c r="H333" s="318"/>
      <c r="I333" s="314"/>
      <c r="J333" s="314"/>
      <c r="K333" s="314"/>
      <c r="L333" s="314"/>
      <c r="M333" s="314"/>
      <c r="N333" s="314"/>
      <c r="O333" s="318"/>
      <c r="P333" s="314"/>
      <c r="Q333" s="314"/>
      <c r="R333" s="314"/>
      <c r="S333" s="718"/>
      <c r="T333" s="719"/>
      <c r="U333" s="314"/>
      <c r="V333" s="318"/>
      <c r="W333" s="314"/>
      <c r="X333" s="314"/>
      <c r="Y333" s="314"/>
      <c r="Z333" s="721"/>
      <c r="AA333" s="721"/>
      <c r="AB333" s="314"/>
      <c r="AC333" s="317"/>
      <c r="AD333" s="324"/>
      <c r="AE333" s="155"/>
      <c r="AF333" s="155"/>
      <c r="AG333" s="322"/>
      <c r="AH333" s="155"/>
      <c r="AI333" s="132"/>
    </row>
    <row r="334">
      <c r="A334" s="314"/>
      <c r="B334" s="312"/>
      <c r="C334" s="312"/>
      <c r="D334" s="717"/>
      <c r="E334" s="316"/>
      <c r="F334" s="316"/>
      <c r="G334" s="314"/>
      <c r="H334" s="318"/>
      <c r="I334" s="314"/>
      <c r="J334" s="314"/>
      <c r="K334" s="314"/>
      <c r="L334" s="314"/>
      <c r="M334" s="314"/>
      <c r="N334" s="314"/>
      <c r="O334" s="318"/>
      <c r="P334" s="314"/>
      <c r="Q334" s="314"/>
      <c r="R334" s="314"/>
      <c r="S334" s="718"/>
      <c r="T334" s="719"/>
      <c r="U334" s="314"/>
      <c r="V334" s="318"/>
      <c r="W334" s="314"/>
      <c r="X334" s="314"/>
      <c r="Y334" s="314"/>
      <c r="Z334" s="721"/>
      <c r="AA334" s="721"/>
      <c r="AB334" s="314"/>
      <c r="AC334" s="317"/>
      <c r="AD334" s="324"/>
      <c r="AE334" s="155"/>
      <c r="AF334" s="155"/>
      <c r="AG334" s="322"/>
      <c r="AH334" s="155"/>
      <c r="AI334" s="132"/>
    </row>
    <row r="335">
      <c r="A335" s="314"/>
      <c r="B335" s="312"/>
      <c r="C335" s="312"/>
      <c r="D335" s="717"/>
      <c r="E335" s="316"/>
      <c r="F335" s="316"/>
      <c r="G335" s="314"/>
      <c r="H335" s="318"/>
      <c r="I335" s="314"/>
      <c r="J335" s="314"/>
      <c r="K335" s="314"/>
      <c r="L335" s="314"/>
      <c r="M335" s="314"/>
      <c r="N335" s="314"/>
      <c r="O335" s="318"/>
      <c r="P335" s="314"/>
      <c r="Q335" s="314"/>
      <c r="R335" s="314"/>
      <c r="S335" s="718"/>
      <c r="T335" s="719"/>
      <c r="U335" s="314"/>
      <c r="V335" s="318"/>
      <c r="W335" s="314"/>
      <c r="X335" s="314"/>
      <c r="Y335" s="314"/>
      <c r="Z335" s="721"/>
      <c r="AA335" s="721"/>
      <c r="AB335" s="314"/>
      <c r="AC335" s="317"/>
      <c r="AD335" s="324"/>
      <c r="AE335" s="155"/>
      <c r="AF335" s="155"/>
      <c r="AG335" s="322"/>
      <c r="AH335" s="155"/>
      <c r="AI335" s="132"/>
    </row>
    <row r="336">
      <c r="A336" s="314"/>
      <c r="B336" s="312"/>
      <c r="C336" s="312"/>
      <c r="D336" s="717"/>
      <c r="E336" s="316"/>
      <c r="F336" s="316"/>
      <c r="G336" s="314"/>
      <c r="H336" s="318"/>
      <c r="I336" s="314"/>
      <c r="J336" s="314"/>
      <c r="K336" s="314"/>
      <c r="L336" s="314"/>
      <c r="M336" s="314"/>
      <c r="N336" s="314"/>
      <c r="O336" s="318"/>
      <c r="P336" s="314"/>
      <c r="Q336" s="314"/>
      <c r="R336" s="314"/>
      <c r="S336" s="718"/>
      <c r="T336" s="719"/>
      <c r="U336" s="314"/>
      <c r="V336" s="318"/>
      <c r="W336" s="314"/>
      <c r="X336" s="314"/>
      <c r="Y336" s="314"/>
      <c r="Z336" s="721"/>
      <c r="AA336" s="721"/>
      <c r="AB336" s="314"/>
      <c r="AC336" s="317"/>
      <c r="AD336" s="324"/>
      <c r="AE336" s="155"/>
      <c r="AF336" s="155"/>
      <c r="AG336" s="322"/>
      <c r="AH336" s="155"/>
      <c r="AI336" s="132"/>
    </row>
    <row r="337">
      <c r="A337" s="314"/>
      <c r="B337" s="312"/>
      <c r="C337" s="312"/>
      <c r="D337" s="717"/>
      <c r="E337" s="316"/>
      <c r="F337" s="316"/>
      <c r="G337" s="314"/>
      <c r="H337" s="318"/>
      <c r="I337" s="314"/>
      <c r="J337" s="314"/>
      <c r="K337" s="314"/>
      <c r="L337" s="314"/>
      <c r="M337" s="314"/>
      <c r="N337" s="314"/>
      <c r="O337" s="318"/>
      <c r="P337" s="314"/>
      <c r="Q337" s="314"/>
      <c r="R337" s="314"/>
      <c r="S337" s="718"/>
      <c r="T337" s="719"/>
      <c r="U337" s="314"/>
      <c r="V337" s="318"/>
      <c r="W337" s="314"/>
      <c r="X337" s="314"/>
      <c r="Y337" s="314"/>
      <c r="Z337" s="721"/>
      <c r="AA337" s="721"/>
      <c r="AB337" s="314"/>
      <c r="AC337" s="317"/>
      <c r="AD337" s="324"/>
      <c r="AE337" s="155"/>
      <c r="AF337" s="155"/>
      <c r="AG337" s="322"/>
      <c r="AH337" s="155"/>
      <c r="AI337" s="132"/>
    </row>
    <row r="338">
      <c r="A338" s="314"/>
      <c r="B338" s="312"/>
      <c r="C338" s="312"/>
      <c r="D338" s="717"/>
      <c r="E338" s="316"/>
      <c r="F338" s="316"/>
      <c r="G338" s="314"/>
      <c r="H338" s="318"/>
      <c r="I338" s="314"/>
      <c r="J338" s="314"/>
      <c r="K338" s="314"/>
      <c r="L338" s="314"/>
      <c r="M338" s="314"/>
      <c r="N338" s="314"/>
      <c r="O338" s="318"/>
      <c r="P338" s="314"/>
      <c r="Q338" s="314"/>
      <c r="R338" s="314"/>
      <c r="S338" s="718"/>
      <c r="T338" s="719"/>
      <c r="U338" s="314"/>
      <c r="V338" s="318"/>
      <c r="W338" s="314"/>
      <c r="X338" s="314"/>
      <c r="Y338" s="314"/>
      <c r="Z338" s="721"/>
      <c r="AA338" s="721"/>
      <c r="AB338" s="314"/>
      <c r="AC338" s="317"/>
      <c r="AD338" s="324"/>
      <c r="AE338" s="155"/>
      <c r="AF338" s="155"/>
      <c r="AG338" s="322"/>
      <c r="AH338" s="155"/>
      <c r="AI338" s="132"/>
    </row>
    <row r="339">
      <c r="A339" s="314"/>
      <c r="B339" s="312"/>
      <c r="C339" s="312"/>
      <c r="D339" s="717"/>
      <c r="E339" s="316"/>
      <c r="F339" s="316"/>
      <c r="G339" s="314"/>
      <c r="H339" s="318"/>
      <c r="I339" s="314"/>
      <c r="J339" s="314"/>
      <c r="K339" s="314"/>
      <c r="L339" s="314"/>
      <c r="M339" s="314"/>
      <c r="N339" s="314"/>
      <c r="O339" s="318"/>
      <c r="P339" s="314"/>
      <c r="Q339" s="314"/>
      <c r="R339" s="314"/>
      <c r="S339" s="718"/>
      <c r="T339" s="719"/>
      <c r="U339" s="314"/>
      <c r="V339" s="318"/>
      <c r="W339" s="314"/>
      <c r="X339" s="314"/>
      <c r="Y339" s="314"/>
      <c r="Z339" s="721"/>
      <c r="AA339" s="721"/>
      <c r="AB339" s="314"/>
      <c r="AC339" s="317"/>
      <c r="AD339" s="324"/>
      <c r="AE339" s="155"/>
      <c r="AF339" s="155"/>
      <c r="AG339" s="322"/>
      <c r="AH339" s="155"/>
      <c r="AI339" s="132"/>
    </row>
    <row r="340">
      <c r="A340" s="314"/>
      <c r="B340" s="312"/>
      <c r="C340" s="312"/>
      <c r="D340" s="717"/>
      <c r="E340" s="316"/>
      <c r="F340" s="316"/>
      <c r="G340" s="314"/>
      <c r="H340" s="318"/>
      <c r="I340" s="314"/>
      <c r="J340" s="314"/>
      <c r="K340" s="314"/>
      <c r="L340" s="314"/>
      <c r="M340" s="314"/>
      <c r="N340" s="314"/>
      <c r="O340" s="318"/>
      <c r="P340" s="314"/>
      <c r="Q340" s="314"/>
      <c r="R340" s="314"/>
      <c r="S340" s="718"/>
      <c r="T340" s="719"/>
      <c r="U340" s="314"/>
      <c r="V340" s="318"/>
      <c r="W340" s="314"/>
      <c r="X340" s="314"/>
      <c r="Y340" s="314"/>
      <c r="Z340" s="721"/>
      <c r="AA340" s="721"/>
      <c r="AB340" s="314"/>
      <c r="AC340" s="317"/>
      <c r="AD340" s="324"/>
      <c r="AE340" s="155"/>
      <c r="AF340" s="155"/>
      <c r="AG340" s="322"/>
      <c r="AH340" s="155"/>
      <c r="AI340" s="132"/>
    </row>
    <row r="341">
      <c r="A341" s="314"/>
      <c r="B341" s="312"/>
      <c r="C341" s="312"/>
      <c r="D341" s="717"/>
      <c r="E341" s="316"/>
      <c r="F341" s="316"/>
      <c r="G341" s="314"/>
      <c r="H341" s="318"/>
      <c r="I341" s="314"/>
      <c r="J341" s="314"/>
      <c r="K341" s="314"/>
      <c r="L341" s="314"/>
      <c r="M341" s="314"/>
      <c r="N341" s="314"/>
      <c r="O341" s="318"/>
      <c r="P341" s="314"/>
      <c r="Q341" s="314"/>
      <c r="R341" s="314"/>
      <c r="S341" s="718"/>
      <c r="T341" s="719"/>
      <c r="U341" s="314"/>
      <c r="V341" s="318"/>
      <c r="W341" s="314"/>
      <c r="X341" s="314"/>
      <c r="Y341" s="314"/>
      <c r="Z341" s="721"/>
      <c r="AA341" s="721"/>
      <c r="AB341" s="314"/>
      <c r="AC341" s="317"/>
      <c r="AD341" s="324"/>
      <c r="AE341" s="155"/>
      <c r="AF341" s="155"/>
      <c r="AG341" s="322"/>
      <c r="AH341" s="155"/>
      <c r="AI341" s="132"/>
    </row>
    <row r="342">
      <c r="A342" s="314"/>
      <c r="B342" s="312"/>
      <c r="C342" s="312"/>
      <c r="D342" s="717"/>
      <c r="E342" s="316"/>
      <c r="F342" s="316"/>
      <c r="G342" s="314"/>
      <c r="H342" s="318"/>
      <c r="I342" s="314"/>
      <c r="J342" s="314"/>
      <c r="K342" s="314"/>
      <c r="L342" s="314"/>
      <c r="M342" s="314"/>
      <c r="N342" s="314"/>
      <c r="O342" s="318"/>
      <c r="P342" s="314"/>
      <c r="Q342" s="314"/>
      <c r="R342" s="314"/>
      <c r="S342" s="718"/>
      <c r="T342" s="719"/>
      <c r="U342" s="314"/>
      <c r="V342" s="318"/>
      <c r="W342" s="314"/>
      <c r="X342" s="314"/>
      <c r="Y342" s="314"/>
      <c r="Z342" s="721"/>
      <c r="AA342" s="721"/>
      <c r="AB342" s="314"/>
      <c r="AC342" s="317"/>
      <c r="AD342" s="324"/>
      <c r="AE342" s="155"/>
      <c r="AF342" s="155"/>
      <c r="AG342" s="322"/>
      <c r="AH342" s="155"/>
      <c r="AI342" s="132"/>
    </row>
    <row r="343">
      <c r="A343" s="314"/>
      <c r="B343" s="312"/>
      <c r="C343" s="312"/>
      <c r="D343" s="717"/>
      <c r="E343" s="316"/>
      <c r="F343" s="316"/>
      <c r="G343" s="314"/>
      <c r="H343" s="318"/>
      <c r="I343" s="314"/>
      <c r="J343" s="314"/>
      <c r="K343" s="314"/>
      <c r="L343" s="314"/>
      <c r="M343" s="314"/>
      <c r="N343" s="314"/>
      <c r="O343" s="318"/>
      <c r="P343" s="314"/>
      <c r="Q343" s="314"/>
      <c r="R343" s="314"/>
      <c r="S343" s="718"/>
      <c r="T343" s="719"/>
      <c r="U343" s="314"/>
      <c r="V343" s="318"/>
      <c r="W343" s="314"/>
      <c r="X343" s="314"/>
      <c r="Y343" s="314"/>
      <c r="Z343" s="721"/>
      <c r="AA343" s="721"/>
      <c r="AB343" s="314"/>
      <c r="AC343" s="317"/>
      <c r="AD343" s="324"/>
      <c r="AE343" s="155"/>
      <c r="AF343" s="155"/>
      <c r="AG343" s="322"/>
      <c r="AH343" s="155"/>
      <c r="AI343" s="132"/>
    </row>
    <row r="344">
      <c r="A344" s="314"/>
      <c r="B344" s="312"/>
      <c r="C344" s="312"/>
      <c r="D344" s="717"/>
      <c r="E344" s="316"/>
      <c r="F344" s="316"/>
      <c r="G344" s="314"/>
      <c r="H344" s="318"/>
      <c r="I344" s="314"/>
      <c r="J344" s="314"/>
      <c r="K344" s="314"/>
      <c r="L344" s="314"/>
      <c r="M344" s="314"/>
      <c r="N344" s="314"/>
      <c r="O344" s="318"/>
      <c r="P344" s="314"/>
      <c r="Q344" s="314"/>
      <c r="R344" s="314"/>
      <c r="S344" s="718"/>
      <c r="T344" s="719"/>
      <c r="U344" s="314"/>
      <c r="V344" s="318"/>
      <c r="W344" s="314"/>
      <c r="X344" s="314"/>
      <c r="Y344" s="314"/>
      <c r="Z344" s="721"/>
      <c r="AA344" s="721"/>
      <c r="AB344" s="314"/>
      <c r="AC344" s="317"/>
      <c r="AD344" s="324"/>
      <c r="AE344" s="155"/>
      <c r="AF344" s="155"/>
      <c r="AG344" s="322"/>
      <c r="AH344" s="155"/>
      <c r="AI344" s="132"/>
    </row>
    <row r="345">
      <c r="A345" s="314"/>
      <c r="B345" s="312"/>
      <c r="C345" s="312"/>
      <c r="D345" s="717"/>
      <c r="E345" s="316"/>
      <c r="F345" s="316"/>
      <c r="G345" s="314"/>
      <c r="H345" s="318"/>
      <c r="I345" s="314"/>
      <c r="J345" s="314"/>
      <c r="K345" s="314"/>
      <c r="L345" s="314"/>
      <c r="M345" s="314"/>
      <c r="N345" s="314"/>
      <c r="O345" s="318"/>
      <c r="P345" s="314"/>
      <c r="Q345" s="314"/>
      <c r="R345" s="314"/>
      <c r="S345" s="718"/>
      <c r="T345" s="719"/>
      <c r="U345" s="314"/>
      <c r="V345" s="318"/>
      <c r="W345" s="314"/>
      <c r="X345" s="314"/>
      <c r="Y345" s="314"/>
      <c r="Z345" s="721"/>
      <c r="AA345" s="721"/>
      <c r="AB345" s="314"/>
      <c r="AC345" s="317"/>
      <c r="AD345" s="324"/>
      <c r="AE345" s="155"/>
      <c r="AF345" s="155"/>
      <c r="AG345" s="322"/>
      <c r="AH345" s="155"/>
      <c r="AI345" s="132"/>
    </row>
    <row r="346">
      <c r="A346" s="314"/>
      <c r="B346" s="312"/>
      <c r="C346" s="312"/>
      <c r="D346" s="717"/>
      <c r="E346" s="316"/>
      <c r="F346" s="316"/>
      <c r="G346" s="314"/>
      <c r="H346" s="318"/>
      <c r="I346" s="314"/>
      <c r="J346" s="314"/>
      <c r="K346" s="314"/>
      <c r="L346" s="314"/>
      <c r="M346" s="314"/>
      <c r="N346" s="314"/>
      <c r="O346" s="318"/>
      <c r="P346" s="314"/>
      <c r="Q346" s="314"/>
      <c r="R346" s="314"/>
      <c r="S346" s="718"/>
      <c r="T346" s="719"/>
      <c r="U346" s="314"/>
      <c r="V346" s="318"/>
      <c r="W346" s="314"/>
      <c r="X346" s="314"/>
      <c r="Y346" s="314"/>
      <c r="Z346" s="721"/>
      <c r="AA346" s="721"/>
      <c r="AB346" s="314"/>
      <c r="AC346" s="317"/>
      <c r="AD346" s="324"/>
      <c r="AE346" s="155"/>
      <c r="AF346" s="155"/>
      <c r="AG346" s="322"/>
      <c r="AH346" s="155"/>
      <c r="AI346" s="132"/>
    </row>
    <row r="347">
      <c r="A347" s="314"/>
      <c r="B347" s="312"/>
      <c r="C347" s="312"/>
      <c r="D347" s="717"/>
      <c r="E347" s="316"/>
      <c r="F347" s="316"/>
      <c r="G347" s="314"/>
      <c r="H347" s="318"/>
      <c r="I347" s="314"/>
      <c r="J347" s="314"/>
      <c r="K347" s="314"/>
      <c r="L347" s="314"/>
      <c r="M347" s="314"/>
      <c r="N347" s="314"/>
      <c r="O347" s="318"/>
      <c r="P347" s="314"/>
      <c r="Q347" s="314"/>
      <c r="R347" s="314"/>
      <c r="S347" s="718"/>
      <c r="T347" s="719"/>
      <c r="U347" s="314"/>
      <c r="V347" s="318"/>
      <c r="W347" s="314"/>
      <c r="X347" s="314"/>
      <c r="Y347" s="314"/>
      <c r="Z347" s="721"/>
      <c r="AA347" s="721"/>
      <c r="AB347" s="314"/>
      <c r="AC347" s="317"/>
      <c r="AD347" s="324"/>
      <c r="AE347" s="155"/>
      <c r="AF347" s="155"/>
      <c r="AG347" s="322"/>
      <c r="AH347" s="155"/>
      <c r="AI347" s="132"/>
    </row>
    <row r="348">
      <c r="A348" s="314"/>
      <c r="B348" s="312"/>
      <c r="C348" s="312"/>
      <c r="D348" s="717"/>
      <c r="E348" s="316"/>
      <c r="F348" s="316"/>
      <c r="G348" s="314"/>
      <c r="H348" s="318"/>
      <c r="I348" s="314"/>
      <c r="J348" s="314"/>
      <c r="K348" s="314"/>
      <c r="L348" s="314"/>
      <c r="M348" s="314"/>
      <c r="N348" s="314"/>
      <c r="O348" s="318"/>
      <c r="P348" s="314"/>
      <c r="Q348" s="314"/>
      <c r="R348" s="314"/>
      <c r="S348" s="718"/>
      <c r="T348" s="719"/>
      <c r="U348" s="314"/>
      <c r="V348" s="318"/>
      <c r="W348" s="314"/>
      <c r="X348" s="314"/>
      <c r="Y348" s="314"/>
      <c r="Z348" s="721"/>
      <c r="AA348" s="721"/>
      <c r="AB348" s="314"/>
      <c r="AC348" s="317"/>
      <c r="AD348" s="324"/>
      <c r="AE348" s="155"/>
      <c r="AF348" s="155"/>
      <c r="AG348" s="322"/>
      <c r="AH348" s="155"/>
      <c r="AI348" s="132"/>
    </row>
    <row r="349">
      <c r="A349" s="314"/>
      <c r="B349" s="312"/>
      <c r="C349" s="312"/>
      <c r="D349" s="717"/>
      <c r="E349" s="316"/>
      <c r="F349" s="316"/>
      <c r="G349" s="314"/>
      <c r="H349" s="318"/>
      <c r="I349" s="314"/>
      <c r="J349" s="314"/>
      <c r="K349" s="314"/>
      <c r="L349" s="314"/>
      <c r="M349" s="314"/>
      <c r="N349" s="314"/>
      <c r="O349" s="318"/>
      <c r="P349" s="314"/>
      <c r="Q349" s="314"/>
      <c r="R349" s="314"/>
      <c r="S349" s="718"/>
      <c r="T349" s="719"/>
      <c r="U349" s="314"/>
      <c r="V349" s="318"/>
      <c r="W349" s="314"/>
      <c r="X349" s="314"/>
      <c r="Y349" s="314"/>
      <c r="Z349" s="721"/>
      <c r="AA349" s="721"/>
      <c r="AB349" s="314"/>
      <c r="AC349" s="317"/>
      <c r="AD349" s="324"/>
      <c r="AE349" s="155"/>
      <c r="AF349" s="155"/>
      <c r="AG349" s="322"/>
      <c r="AH349" s="155"/>
      <c r="AI349" s="132"/>
    </row>
    <row r="350">
      <c r="A350" s="314"/>
      <c r="B350" s="312"/>
      <c r="C350" s="312"/>
      <c r="D350" s="717"/>
      <c r="E350" s="316"/>
      <c r="F350" s="316"/>
      <c r="G350" s="314"/>
      <c r="H350" s="318"/>
      <c r="I350" s="314"/>
      <c r="J350" s="314"/>
      <c r="K350" s="314"/>
      <c r="L350" s="314"/>
      <c r="M350" s="314"/>
      <c r="N350" s="314"/>
      <c r="O350" s="318"/>
      <c r="P350" s="314"/>
      <c r="Q350" s="314"/>
      <c r="R350" s="314"/>
      <c r="S350" s="718"/>
      <c r="T350" s="719"/>
      <c r="U350" s="314"/>
      <c r="V350" s="318"/>
      <c r="W350" s="314"/>
      <c r="X350" s="314"/>
      <c r="Y350" s="314"/>
      <c r="Z350" s="721"/>
      <c r="AA350" s="721"/>
      <c r="AB350" s="314"/>
      <c r="AC350" s="317"/>
      <c r="AD350" s="324"/>
      <c r="AE350" s="155"/>
      <c r="AF350" s="155"/>
      <c r="AG350" s="322"/>
      <c r="AH350" s="155"/>
      <c r="AI350" s="132"/>
    </row>
    <row r="351">
      <c r="A351" s="314"/>
      <c r="B351" s="312"/>
      <c r="C351" s="312"/>
      <c r="D351" s="717"/>
      <c r="E351" s="316"/>
      <c r="F351" s="316"/>
      <c r="G351" s="314"/>
      <c r="H351" s="318"/>
      <c r="I351" s="314"/>
      <c r="J351" s="314"/>
      <c r="K351" s="314"/>
      <c r="L351" s="314"/>
      <c r="M351" s="314"/>
      <c r="N351" s="314"/>
      <c r="O351" s="318"/>
      <c r="P351" s="314"/>
      <c r="Q351" s="314"/>
      <c r="R351" s="314"/>
      <c r="S351" s="718"/>
      <c r="T351" s="719"/>
      <c r="U351" s="314"/>
      <c r="V351" s="318"/>
      <c r="W351" s="314"/>
      <c r="X351" s="314"/>
      <c r="Y351" s="314"/>
      <c r="Z351" s="721"/>
      <c r="AA351" s="721"/>
      <c r="AB351" s="314"/>
      <c r="AC351" s="317"/>
      <c r="AD351" s="324"/>
      <c r="AE351" s="155"/>
      <c r="AF351" s="155"/>
      <c r="AG351" s="322"/>
      <c r="AH351" s="155"/>
      <c r="AI351" s="132"/>
    </row>
    <row r="352">
      <c r="A352" s="314"/>
      <c r="B352" s="312"/>
      <c r="C352" s="312"/>
      <c r="D352" s="717"/>
      <c r="E352" s="316"/>
      <c r="F352" s="316"/>
      <c r="G352" s="314"/>
      <c r="H352" s="318"/>
      <c r="I352" s="314"/>
      <c r="J352" s="314"/>
      <c r="K352" s="314"/>
      <c r="L352" s="314"/>
      <c r="M352" s="314"/>
      <c r="N352" s="314"/>
      <c r="O352" s="318"/>
      <c r="P352" s="314"/>
      <c r="Q352" s="314"/>
      <c r="R352" s="314"/>
      <c r="S352" s="718"/>
      <c r="T352" s="719"/>
      <c r="U352" s="314"/>
      <c r="V352" s="318"/>
      <c r="W352" s="314"/>
      <c r="X352" s="314"/>
      <c r="Y352" s="314"/>
      <c r="Z352" s="721"/>
      <c r="AA352" s="721"/>
      <c r="AB352" s="314"/>
      <c r="AC352" s="317"/>
      <c r="AD352" s="324"/>
      <c r="AE352" s="155"/>
      <c r="AF352" s="155"/>
      <c r="AG352" s="322"/>
      <c r="AH352" s="155"/>
      <c r="AI352" s="132"/>
    </row>
    <row r="353">
      <c r="A353" s="314"/>
      <c r="B353" s="312"/>
      <c r="C353" s="312"/>
      <c r="D353" s="717"/>
      <c r="E353" s="316"/>
      <c r="F353" s="316"/>
      <c r="G353" s="314"/>
      <c r="H353" s="318"/>
      <c r="I353" s="314"/>
      <c r="J353" s="314"/>
      <c r="K353" s="314"/>
      <c r="L353" s="314"/>
      <c r="M353" s="314"/>
      <c r="N353" s="314"/>
      <c r="O353" s="318"/>
      <c r="P353" s="314"/>
      <c r="Q353" s="314"/>
      <c r="R353" s="314"/>
      <c r="S353" s="718"/>
      <c r="T353" s="719"/>
      <c r="U353" s="314"/>
      <c r="V353" s="318"/>
      <c r="W353" s="314"/>
      <c r="X353" s="314"/>
      <c r="Y353" s="314"/>
      <c r="Z353" s="721"/>
      <c r="AA353" s="721"/>
      <c r="AB353" s="314"/>
      <c r="AC353" s="317"/>
      <c r="AD353" s="324"/>
      <c r="AE353" s="155"/>
      <c r="AF353" s="155"/>
      <c r="AG353" s="322"/>
      <c r="AH353" s="155"/>
      <c r="AI353" s="132"/>
    </row>
    <row r="354">
      <c r="A354" s="314"/>
      <c r="B354" s="312"/>
      <c r="C354" s="312"/>
      <c r="D354" s="717"/>
      <c r="E354" s="316"/>
      <c r="F354" s="316"/>
      <c r="G354" s="314"/>
      <c r="H354" s="318"/>
      <c r="I354" s="314"/>
      <c r="J354" s="314"/>
      <c r="K354" s="314"/>
      <c r="L354" s="314"/>
      <c r="M354" s="314"/>
      <c r="N354" s="314"/>
      <c r="O354" s="318"/>
      <c r="P354" s="314"/>
      <c r="Q354" s="314"/>
      <c r="R354" s="314"/>
      <c r="S354" s="718"/>
      <c r="T354" s="719"/>
      <c r="U354" s="314"/>
      <c r="V354" s="318"/>
      <c r="W354" s="314"/>
      <c r="X354" s="314"/>
      <c r="Y354" s="314"/>
      <c r="Z354" s="721"/>
      <c r="AA354" s="721"/>
      <c r="AB354" s="314"/>
      <c r="AC354" s="317"/>
      <c r="AD354" s="324"/>
      <c r="AE354" s="155"/>
      <c r="AF354" s="155"/>
      <c r="AG354" s="322"/>
      <c r="AH354" s="155"/>
      <c r="AI354" s="132"/>
    </row>
    <row r="355">
      <c r="A355" s="314"/>
      <c r="B355" s="312"/>
      <c r="C355" s="312"/>
      <c r="D355" s="717"/>
      <c r="E355" s="316"/>
      <c r="F355" s="316"/>
      <c r="G355" s="314"/>
      <c r="H355" s="318"/>
      <c r="I355" s="314"/>
      <c r="J355" s="314"/>
      <c r="K355" s="314"/>
      <c r="L355" s="314"/>
      <c r="M355" s="314"/>
      <c r="N355" s="314"/>
      <c r="O355" s="318"/>
      <c r="P355" s="314"/>
      <c r="Q355" s="314"/>
      <c r="R355" s="314"/>
      <c r="S355" s="718"/>
      <c r="T355" s="719"/>
      <c r="U355" s="314"/>
      <c r="V355" s="318"/>
      <c r="W355" s="314"/>
      <c r="X355" s="314"/>
      <c r="Y355" s="314"/>
      <c r="Z355" s="721"/>
      <c r="AA355" s="721"/>
      <c r="AB355" s="314"/>
      <c r="AC355" s="317"/>
      <c r="AD355" s="324"/>
      <c r="AE355" s="155"/>
      <c r="AF355" s="155"/>
      <c r="AG355" s="322"/>
      <c r="AH355" s="155"/>
      <c r="AI355" s="132"/>
    </row>
    <row r="356">
      <c r="A356" s="314"/>
      <c r="B356" s="312"/>
      <c r="C356" s="312"/>
      <c r="D356" s="717"/>
      <c r="E356" s="316"/>
      <c r="F356" s="316"/>
      <c r="G356" s="314"/>
      <c r="H356" s="318"/>
      <c r="I356" s="314"/>
      <c r="J356" s="314"/>
      <c r="K356" s="314"/>
      <c r="L356" s="314"/>
      <c r="M356" s="314"/>
      <c r="N356" s="314"/>
      <c r="O356" s="318"/>
      <c r="P356" s="314"/>
      <c r="Q356" s="314"/>
      <c r="R356" s="314"/>
      <c r="S356" s="718"/>
      <c r="T356" s="719"/>
      <c r="U356" s="314"/>
      <c r="V356" s="318"/>
      <c r="W356" s="314"/>
      <c r="X356" s="314"/>
      <c r="Y356" s="314"/>
      <c r="Z356" s="721"/>
      <c r="AA356" s="721"/>
      <c r="AB356" s="314"/>
      <c r="AC356" s="317"/>
      <c r="AD356" s="324"/>
      <c r="AE356" s="155"/>
      <c r="AF356" s="155"/>
      <c r="AG356" s="322"/>
      <c r="AH356" s="155"/>
      <c r="AI356" s="132"/>
    </row>
    <row r="357">
      <c r="A357" s="314"/>
      <c r="B357" s="312"/>
      <c r="C357" s="312"/>
      <c r="D357" s="717"/>
      <c r="E357" s="316"/>
      <c r="F357" s="316"/>
      <c r="G357" s="314"/>
      <c r="H357" s="318"/>
      <c r="I357" s="314"/>
      <c r="J357" s="314"/>
      <c r="K357" s="314"/>
      <c r="L357" s="314"/>
      <c r="M357" s="314"/>
      <c r="N357" s="314"/>
      <c r="O357" s="318"/>
      <c r="P357" s="314"/>
      <c r="Q357" s="314"/>
      <c r="R357" s="314"/>
      <c r="S357" s="718"/>
      <c r="T357" s="719"/>
      <c r="U357" s="314"/>
      <c r="V357" s="318"/>
      <c r="W357" s="314"/>
      <c r="X357" s="314"/>
      <c r="Y357" s="314"/>
      <c r="Z357" s="721"/>
      <c r="AA357" s="721"/>
      <c r="AB357" s="314"/>
      <c r="AC357" s="317"/>
      <c r="AD357" s="324"/>
      <c r="AE357" s="155"/>
      <c r="AF357" s="155"/>
      <c r="AG357" s="322"/>
      <c r="AH357" s="155"/>
      <c r="AI357" s="132"/>
    </row>
    <row r="358">
      <c r="A358" s="314"/>
      <c r="B358" s="312"/>
      <c r="C358" s="312"/>
      <c r="D358" s="717"/>
      <c r="E358" s="316"/>
      <c r="F358" s="316"/>
      <c r="G358" s="314"/>
      <c r="H358" s="318"/>
      <c r="I358" s="314"/>
      <c r="J358" s="314"/>
      <c r="K358" s="314"/>
      <c r="L358" s="314"/>
      <c r="M358" s="314"/>
      <c r="N358" s="314"/>
      <c r="O358" s="318"/>
      <c r="P358" s="314"/>
      <c r="Q358" s="314"/>
      <c r="R358" s="314"/>
      <c r="S358" s="718"/>
      <c r="T358" s="719"/>
      <c r="U358" s="314"/>
      <c r="V358" s="318"/>
      <c r="W358" s="314"/>
      <c r="X358" s="314"/>
      <c r="Y358" s="314"/>
      <c r="Z358" s="721"/>
      <c r="AA358" s="721"/>
      <c r="AB358" s="314"/>
      <c r="AC358" s="317"/>
      <c r="AD358" s="324"/>
      <c r="AE358" s="155"/>
      <c r="AF358" s="155"/>
      <c r="AG358" s="322"/>
      <c r="AH358" s="155"/>
      <c r="AI358" s="132"/>
    </row>
    <row r="359">
      <c r="A359" s="314"/>
      <c r="B359" s="312"/>
      <c r="C359" s="312"/>
      <c r="D359" s="717"/>
      <c r="E359" s="316"/>
      <c r="F359" s="316"/>
      <c r="G359" s="314"/>
      <c r="H359" s="318"/>
      <c r="I359" s="314"/>
      <c r="J359" s="314"/>
      <c r="K359" s="314"/>
      <c r="L359" s="314"/>
      <c r="M359" s="314"/>
      <c r="N359" s="314"/>
      <c r="O359" s="318"/>
      <c r="P359" s="314"/>
      <c r="Q359" s="314"/>
      <c r="R359" s="314"/>
      <c r="S359" s="718"/>
      <c r="T359" s="719"/>
      <c r="U359" s="314"/>
      <c r="V359" s="318"/>
      <c r="W359" s="314"/>
      <c r="X359" s="314"/>
      <c r="Y359" s="314"/>
      <c r="Z359" s="721"/>
      <c r="AA359" s="721"/>
      <c r="AB359" s="314"/>
      <c r="AC359" s="317"/>
      <c r="AD359" s="324"/>
      <c r="AE359" s="155"/>
      <c r="AF359" s="155"/>
      <c r="AG359" s="322"/>
      <c r="AH359" s="155"/>
      <c r="AI359" s="132"/>
    </row>
    <row r="360">
      <c r="A360" s="314"/>
      <c r="B360" s="312"/>
      <c r="C360" s="312"/>
      <c r="D360" s="717"/>
      <c r="E360" s="316"/>
      <c r="F360" s="316"/>
      <c r="G360" s="314"/>
      <c r="H360" s="318"/>
      <c r="I360" s="314"/>
      <c r="J360" s="314"/>
      <c r="K360" s="314"/>
      <c r="L360" s="314"/>
      <c r="M360" s="314"/>
      <c r="N360" s="314"/>
      <c r="O360" s="318"/>
      <c r="P360" s="314"/>
      <c r="Q360" s="314"/>
      <c r="R360" s="314"/>
      <c r="S360" s="718"/>
      <c r="T360" s="719"/>
      <c r="U360" s="314"/>
      <c r="V360" s="318"/>
      <c r="W360" s="314"/>
      <c r="X360" s="314"/>
      <c r="Y360" s="314"/>
      <c r="Z360" s="721"/>
      <c r="AA360" s="721"/>
      <c r="AB360" s="314"/>
      <c r="AC360" s="317"/>
      <c r="AD360" s="324"/>
      <c r="AE360" s="155"/>
      <c r="AF360" s="155"/>
      <c r="AG360" s="322"/>
      <c r="AH360" s="155"/>
      <c r="AI360" s="132"/>
    </row>
    <row r="361">
      <c r="A361" s="314"/>
      <c r="B361" s="312"/>
      <c r="C361" s="312"/>
      <c r="D361" s="717"/>
      <c r="E361" s="316"/>
      <c r="F361" s="316"/>
      <c r="G361" s="314"/>
      <c r="H361" s="318"/>
      <c r="I361" s="314"/>
      <c r="J361" s="314"/>
      <c r="K361" s="314"/>
      <c r="L361" s="314"/>
      <c r="M361" s="314"/>
      <c r="N361" s="314"/>
      <c r="O361" s="318"/>
      <c r="P361" s="314"/>
      <c r="Q361" s="314"/>
      <c r="R361" s="314"/>
      <c r="S361" s="718"/>
      <c r="T361" s="719"/>
      <c r="U361" s="314"/>
      <c r="V361" s="318"/>
      <c r="W361" s="314"/>
      <c r="X361" s="314"/>
      <c r="Y361" s="314"/>
      <c r="Z361" s="721"/>
      <c r="AA361" s="721"/>
      <c r="AB361" s="314"/>
      <c r="AC361" s="317"/>
      <c r="AD361" s="324"/>
      <c r="AE361" s="155"/>
      <c r="AF361" s="155"/>
      <c r="AG361" s="322"/>
      <c r="AH361" s="155"/>
      <c r="AI361" s="132"/>
    </row>
    <row r="362">
      <c r="A362" s="314"/>
      <c r="B362" s="312"/>
      <c r="C362" s="312"/>
      <c r="D362" s="717"/>
      <c r="E362" s="316"/>
      <c r="F362" s="316"/>
      <c r="G362" s="314"/>
      <c r="H362" s="318"/>
      <c r="I362" s="314"/>
      <c r="J362" s="314"/>
      <c r="K362" s="314"/>
      <c r="L362" s="314"/>
      <c r="M362" s="314"/>
      <c r="N362" s="314"/>
      <c r="O362" s="318"/>
      <c r="P362" s="314"/>
      <c r="Q362" s="314"/>
      <c r="R362" s="314"/>
      <c r="S362" s="718"/>
      <c r="T362" s="719"/>
      <c r="U362" s="314"/>
      <c r="V362" s="318"/>
      <c r="W362" s="314"/>
      <c r="X362" s="314"/>
      <c r="Y362" s="314"/>
      <c r="Z362" s="721"/>
      <c r="AA362" s="721"/>
      <c r="AB362" s="314"/>
      <c r="AC362" s="317"/>
      <c r="AD362" s="324"/>
      <c r="AE362" s="155"/>
      <c r="AF362" s="155"/>
      <c r="AG362" s="322"/>
      <c r="AH362" s="155"/>
      <c r="AI362" s="132"/>
    </row>
    <row r="363">
      <c r="A363" s="314"/>
      <c r="B363" s="312"/>
      <c r="C363" s="312"/>
      <c r="D363" s="717"/>
      <c r="E363" s="316"/>
      <c r="F363" s="316"/>
      <c r="G363" s="314"/>
      <c r="H363" s="318"/>
      <c r="I363" s="314"/>
      <c r="J363" s="314"/>
      <c r="K363" s="314"/>
      <c r="L363" s="314"/>
      <c r="M363" s="314"/>
      <c r="N363" s="314"/>
      <c r="O363" s="318"/>
      <c r="P363" s="314"/>
      <c r="Q363" s="314"/>
      <c r="R363" s="314"/>
      <c r="S363" s="718"/>
      <c r="T363" s="719"/>
      <c r="U363" s="314"/>
      <c r="V363" s="318"/>
      <c r="W363" s="314"/>
      <c r="X363" s="314"/>
      <c r="Y363" s="314"/>
      <c r="Z363" s="721"/>
      <c r="AA363" s="721"/>
      <c r="AB363" s="314"/>
      <c r="AC363" s="317"/>
      <c r="AD363" s="324"/>
      <c r="AE363" s="155"/>
      <c r="AF363" s="155"/>
      <c r="AG363" s="322"/>
      <c r="AH363" s="155"/>
      <c r="AI363" s="132"/>
    </row>
    <row r="364">
      <c r="A364" s="314"/>
      <c r="B364" s="312"/>
      <c r="C364" s="312"/>
      <c r="D364" s="717"/>
      <c r="E364" s="316"/>
      <c r="F364" s="316"/>
      <c r="G364" s="314"/>
      <c r="H364" s="318"/>
      <c r="I364" s="314"/>
      <c r="J364" s="314"/>
      <c r="K364" s="314"/>
      <c r="L364" s="314"/>
      <c r="M364" s="314"/>
      <c r="N364" s="314"/>
      <c r="O364" s="318"/>
      <c r="P364" s="314"/>
      <c r="Q364" s="314"/>
      <c r="R364" s="314"/>
      <c r="S364" s="718"/>
      <c r="T364" s="719"/>
      <c r="U364" s="314"/>
      <c r="V364" s="318"/>
      <c r="W364" s="314"/>
      <c r="X364" s="314"/>
      <c r="Y364" s="314"/>
      <c r="Z364" s="721"/>
      <c r="AA364" s="721"/>
      <c r="AB364" s="314"/>
      <c r="AC364" s="317"/>
      <c r="AD364" s="324"/>
      <c r="AE364" s="155"/>
      <c r="AF364" s="155"/>
      <c r="AG364" s="322"/>
      <c r="AH364" s="155"/>
      <c r="AI364" s="132"/>
    </row>
    <row r="365">
      <c r="A365" s="314"/>
      <c r="B365" s="312"/>
      <c r="C365" s="312"/>
      <c r="D365" s="717"/>
      <c r="E365" s="316"/>
      <c r="F365" s="316"/>
      <c r="G365" s="314"/>
      <c r="H365" s="318"/>
      <c r="I365" s="314"/>
      <c r="J365" s="314"/>
      <c r="K365" s="314"/>
      <c r="L365" s="314"/>
      <c r="M365" s="314"/>
      <c r="N365" s="314"/>
      <c r="O365" s="318"/>
      <c r="P365" s="314"/>
      <c r="Q365" s="314"/>
      <c r="R365" s="314"/>
      <c r="S365" s="718"/>
      <c r="T365" s="719"/>
      <c r="U365" s="314"/>
      <c r="V365" s="318"/>
      <c r="W365" s="314"/>
      <c r="X365" s="314"/>
      <c r="Y365" s="314"/>
      <c r="Z365" s="721"/>
      <c r="AA365" s="721"/>
      <c r="AB365" s="314"/>
      <c r="AC365" s="317"/>
      <c r="AD365" s="324"/>
      <c r="AE365" s="155"/>
      <c r="AF365" s="155"/>
      <c r="AG365" s="322"/>
      <c r="AH365" s="155"/>
      <c r="AI365" s="132"/>
    </row>
    <row r="366">
      <c r="A366" s="314"/>
      <c r="B366" s="312"/>
      <c r="C366" s="312"/>
      <c r="D366" s="717"/>
      <c r="E366" s="316"/>
      <c r="F366" s="316"/>
      <c r="G366" s="314"/>
      <c r="H366" s="318"/>
      <c r="I366" s="314"/>
      <c r="J366" s="314"/>
      <c r="K366" s="314"/>
      <c r="L366" s="314"/>
      <c r="M366" s="314"/>
      <c r="N366" s="314"/>
      <c r="O366" s="318"/>
      <c r="P366" s="314"/>
      <c r="Q366" s="314"/>
      <c r="R366" s="314"/>
      <c r="S366" s="718"/>
      <c r="T366" s="719"/>
      <c r="U366" s="314"/>
      <c r="V366" s="318"/>
      <c r="W366" s="314"/>
      <c r="X366" s="314"/>
      <c r="Y366" s="314"/>
      <c r="Z366" s="721"/>
      <c r="AA366" s="721"/>
      <c r="AB366" s="314"/>
      <c r="AC366" s="317"/>
      <c r="AD366" s="324"/>
      <c r="AE366" s="155"/>
      <c r="AF366" s="155"/>
      <c r="AG366" s="322"/>
      <c r="AH366" s="155"/>
      <c r="AI366" s="132"/>
    </row>
    <row r="367">
      <c r="A367" s="314"/>
      <c r="B367" s="312"/>
      <c r="C367" s="312"/>
      <c r="D367" s="717"/>
      <c r="E367" s="316"/>
      <c r="F367" s="316"/>
      <c r="G367" s="314"/>
      <c r="H367" s="318"/>
      <c r="I367" s="314"/>
      <c r="J367" s="314"/>
      <c r="K367" s="314"/>
      <c r="L367" s="314"/>
      <c r="M367" s="314"/>
      <c r="N367" s="314"/>
      <c r="O367" s="318"/>
      <c r="P367" s="314"/>
      <c r="Q367" s="314"/>
      <c r="R367" s="314"/>
      <c r="S367" s="718"/>
      <c r="T367" s="719"/>
      <c r="U367" s="314"/>
      <c r="V367" s="318"/>
      <c r="W367" s="314"/>
      <c r="X367" s="314"/>
      <c r="Y367" s="314"/>
      <c r="Z367" s="721"/>
      <c r="AA367" s="721"/>
      <c r="AB367" s="314"/>
      <c r="AC367" s="317"/>
      <c r="AD367" s="324"/>
      <c r="AE367" s="155"/>
      <c r="AF367" s="155"/>
      <c r="AG367" s="322"/>
      <c r="AH367" s="155"/>
      <c r="AI367" s="132"/>
    </row>
    <row r="368">
      <c r="A368" s="314"/>
      <c r="B368" s="312"/>
      <c r="C368" s="312"/>
      <c r="D368" s="717"/>
      <c r="E368" s="316"/>
      <c r="F368" s="316"/>
      <c r="G368" s="314"/>
      <c r="H368" s="318"/>
      <c r="I368" s="314"/>
      <c r="J368" s="314"/>
      <c r="K368" s="314"/>
      <c r="L368" s="314"/>
      <c r="M368" s="314"/>
      <c r="N368" s="314"/>
      <c r="O368" s="318"/>
      <c r="P368" s="314"/>
      <c r="Q368" s="314"/>
      <c r="R368" s="314"/>
      <c r="S368" s="718"/>
      <c r="T368" s="719"/>
      <c r="U368" s="314"/>
      <c r="V368" s="318"/>
      <c r="W368" s="314"/>
      <c r="X368" s="314"/>
      <c r="Y368" s="314"/>
      <c r="Z368" s="721"/>
      <c r="AA368" s="721"/>
      <c r="AB368" s="314"/>
      <c r="AC368" s="317"/>
      <c r="AD368" s="324"/>
      <c r="AE368" s="155"/>
      <c r="AF368" s="155"/>
      <c r="AG368" s="322"/>
      <c r="AH368" s="155"/>
      <c r="AI368" s="132"/>
    </row>
    <row r="369">
      <c r="A369" s="314"/>
      <c r="B369" s="312"/>
      <c r="C369" s="312"/>
      <c r="D369" s="717"/>
      <c r="E369" s="316"/>
      <c r="F369" s="316"/>
      <c r="G369" s="314"/>
      <c r="H369" s="318"/>
      <c r="I369" s="314"/>
      <c r="J369" s="314"/>
      <c r="K369" s="314"/>
      <c r="L369" s="314"/>
      <c r="M369" s="314"/>
      <c r="N369" s="314"/>
      <c r="O369" s="318"/>
      <c r="P369" s="314"/>
      <c r="Q369" s="314"/>
      <c r="R369" s="314"/>
      <c r="S369" s="718"/>
      <c r="T369" s="719"/>
      <c r="U369" s="314"/>
      <c r="V369" s="318"/>
      <c r="W369" s="314"/>
      <c r="X369" s="314"/>
      <c r="Y369" s="314"/>
      <c r="Z369" s="721"/>
      <c r="AA369" s="721"/>
      <c r="AB369" s="314"/>
      <c r="AC369" s="317"/>
      <c r="AD369" s="324"/>
      <c r="AE369" s="155"/>
      <c r="AF369" s="155"/>
      <c r="AG369" s="322"/>
      <c r="AH369" s="155"/>
      <c r="AI369" s="132"/>
    </row>
    <row r="370">
      <c r="A370" s="314"/>
      <c r="B370" s="312"/>
      <c r="C370" s="312"/>
      <c r="D370" s="717"/>
      <c r="E370" s="316"/>
      <c r="F370" s="316"/>
      <c r="G370" s="314"/>
      <c r="H370" s="318"/>
      <c r="I370" s="314"/>
      <c r="J370" s="314"/>
      <c r="K370" s="314"/>
      <c r="L370" s="314"/>
      <c r="M370" s="314"/>
      <c r="N370" s="314"/>
      <c r="O370" s="318"/>
      <c r="P370" s="314"/>
      <c r="Q370" s="314"/>
      <c r="R370" s="314"/>
      <c r="S370" s="718"/>
      <c r="T370" s="719"/>
      <c r="U370" s="314"/>
      <c r="V370" s="318"/>
      <c r="W370" s="314"/>
      <c r="X370" s="314"/>
      <c r="Y370" s="314"/>
      <c r="Z370" s="721"/>
      <c r="AA370" s="721"/>
      <c r="AB370" s="314"/>
      <c r="AC370" s="317"/>
      <c r="AD370" s="324"/>
      <c r="AE370" s="155"/>
      <c r="AF370" s="155"/>
      <c r="AG370" s="322"/>
      <c r="AH370" s="155"/>
      <c r="AI370" s="132"/>
    </row>
    <row r="371">
      <c r="A371" s="314"/>
      <c r="B371" s="312"/>
      <c r="C371" s="312"/>
      <c r="D371" s="717"/>
      <c r="E371" s="316"/>
      <c r="F371" s="316"/>
      <c r="G371" s="314"/>
      <c r="H371" s="318"/>
      <c r="I371" s="314"/>
      <c r="J371" s="314"/>
      <c r="K371" s="314"/>
      <c r="L371" s="314"/>
      <c r="M371" s="314"/>
      <c r="N371" s="314"/>
      <c r="O371" s="318"/>
      <c r="P371" s="314"/>
      <c r="Q371" s="314"/>
      <c r="R371" s="314"/>
      <c r="S371" s="718"/>
      <c r="T371" s="719"/>
      <c r="U371" s="314"/>
      <c r="V371" s="318"/>
      <c r="W371" s="314"/>
      <c r="X371" s="314"/>
      <c r="Y371" s="314"/>
      <c r="Z371" s="721"/>
      <c r="AA371" s="721"/>
      <c r="AB371" s="314"/>
      <c r="AC371" s="317"/>
      <c r="AD371" s="324"/>
      <c r="AE371" s="155"/>
      <c r="AF371" s="155"/>
      <c r="AG371" s="322"/>
      <c r="AH371" s="155"/>
      <c r="AI371" s="132"/>
    </row>
    <row r="372">
      <c r="A372" s="314"/>
      <c r="B372" s="312"/>
      <c r="C372" s="312"/>
      <c r="D372" s="717"/>
      <c r="E372" s="316"/>
      <c r="F372" s="316"/>
      <c r="G372" s="314"/>
      <c r="H372" s="318"/>
      <c r="I372" s="314"/>
      <c r="J372" s="314"/>
      <c r="K372" s="314"/>
      <c r="L372" s="314"/>
      <c r="M372" s="314"/>
      <c r="N372" s="314"/>
      <c r="O372" s="318"/>
      <c r="P372" s="314"/>
      <c r="Q372" s="314"/>
      <c r="R372" s="314"/>
      <c r="S372" s="718"/>
      <c r="T372" s="719"/>
      <c r="U372" s="314"/>
      <c r="V372" s="318"/>
      <c r="W372" s="314"/>
      <c r="X372" s="314"/>
      <c r="Y372" s="314"/>
      <c r="Z372" s="721"/>
      <c r="AA372" s="721"/>
      <c r="AB372" s="314"/>
      <c r="AC372" s="317"/>
      <c r="AD372" s="324"/>
      <c r="AE372" s="155"/>
      <c r="AF372" s="155"/>
      <c r="AG372" s="322"/>
      <c r="AH372" s="155"/>
      <c r="AI372" s="132"/>
    </row>
    <row r="373">
      <c r="A373" s="314"/>
      <c r="B373" s="312"/>
      <c r="C373" s="312"/>
      <c r="D373" s="717"/>
      <c r="E373" s="316"/>
      <c r="F373" s="316"/>
      <c r="G373" s="314"/>
      <c r="H373" s="318"/>
      <c r="I373" s="314"/>
      <c r="J373" s="314"/>
      <c r="K373" s="314"/>
      <c r="L373" s="314"/>
      <c r="M373" s="314"/>
      <c r="N373" s="314"/>
      <c r="O373" s="318"/>
      <c r="P373" s="314"/>
      <c r="Q373" s="314"/>
      <c r="R373" s="314"/>
      <c r="S373" s="718"/>
      <c r="T373" s="719"/>
      <c r="U373" s="314"/>
      <c r="V373" s="318"/>
      <c r="W373" s="314"/>
      <c r="X373" s="314"/>
      <c r="Y373" s="314"/>
      <c r="Z373" s="721"/>
      <c r="AA373" s="721"/>
      <c r="AB373" s="314"/>
      <c r="AC373" s="317"/>
      <c r="AD373" s="324"/>
      <c r="AE373" s="155"/>
      <c r="AF373" s="155"/>
      <c r="AG373" s="322"/>
      <c r="AH373" s="155"/>
      <c r="AI373" s="132"/>
    </row>
    <row r="374">
      <c r="A374" s="314"/>
      <c r="B374" s="312"/>
      <c r="C374" s="312"/>
      <c r="D374" s="717"/>
      <c r="E374" s="316"/>
      <c r="F374" s="316"/>
      <c r="G374" s="314"/>
      <c r="H374" s="318"/>
      <c r="I374" s="314"/>
      <c r="J374" s="314"/>
      <c r="K374" s="314"/>
      <c r="L374" s="314"/>
      <c r="M374" s="314"/>
      <c r="N374" s="314"/>
      <c r="O374" s="318"/>
      <c r="P374" s="314"/>
      <c r="Q374" s="314"/>
      <c r="R374" s="314"/>
      <c r="S374" s="718"/>
      <c r="T374" s="719"/>
      <c r="U374" s="314"/>
      <c r="V374" s="318"/>
      <c r="W374" s="314"/>
      <c r="X374" s="314"/>
      <c r="Y374" s="314"/>
      <c r="Z374" s="721"/>
      <c r="AA374" s="721"/>
      <c r="AB374" s="314"/>
      <c r="AC374" s="317"/>
      <c r="AD374" s="324"/>
      <c r="AE374" s="155"/>
      <c r="AF374" s="155"/>
      <c r="AG374" s="322"/>
      <c r="AH374" s="155"/>
      <c r="AI374" s="132"/>
    </row>
    <row r="375">
      <c r="A375" s="314"/>
      <c r="B375" s="312"/>
      <c r="C375" s="312"/>
      <c r="D375" s="717"/>
      <c r="E375" s="316"/>
      <c r="F375" s="316"/>
      <c r="G375" s="314"/>
      <c r="H375" s="318"/>
      <c r="I375" s="314"/>
      <c r="J375" s="314"/>
      <c r="K375" s="314"/>
      <c r="L375" s="314"/>
      <c r="M375" s="314"/>
      <c r="N375" s="314"/>
      <c r="O375" s="318"/>
      <c r="P375" s="314"/>
      <c r="Q375" s="314"/>
      <c r="R375" s="314"/>
      <c r="S375" s="718"/>
      <c r="T375" s="719"/>
      <c r="U375" s="314"/>
      <c r="V375" s="318"/>
      <c r="W375" s="314"/>
      <c r="X375" s="314"/>
      <c r="Y375" s="314"/>
      <c r="Z375" s="721"/>
      <c r="AA375" s="721"/>
      <c r="AB375" s="314"/>
      <c r="AC375" s="317"/>
      <c r="AD375" s="324"/>
      <c r="AE375" s="155"/>
      <c r="AF375" s="155"/>
      <c r="AG375" s="322"/>
      <c r="AH375" s="155"/>
      <c r="AI375" s="132"/>
    </row>
    <row r="376">
      <c r="A376" s="314"/>
      <c r="B376" s="312"/>
      <c r="C376" s="312"/>
      <c r="D376" s="717"/>
      <c r="E376" s="316"/>
      <c r="F376" s="316"/>
      <c r="G376" s="314"/>
      <c r="H376" s="318"/>
      <c r="I376" s="314"/>
      <c r="J376" s="314"/>
      <c r="K376" s="314"/>
      <c r="L376" s="314"/>
      <c r="M376" s="314"/>
      <c r="N376" s="314"/>
      <c r="O376" s="318"/>
      <c r="P376" s="314"/>
      <c r="Q376" s="314"/>
      <c r="R376" s="314"/>
      <c r="S376" s="718"/>
      <c r="T376" s="719"/>
      <c r="U376" s="314"/>
      <c r="V376" s="318"/>
      <c r="W376" s="314"/>
      <c r="X376" s="314"/>
      <c r="Y376" s="314"/>
      <c r="Z376" s="721"/>
      <c r="AA376" s="721"/>
      <c r="AB376" s="314"/>
      <c r="AC376" s="317"/>
      <c r="AD376" s="324"/>
      <c r="AE376" s="155"/>
      <c r="AF376" s="155"/>
      <c r="AG376" s="322"/>
      <c r="AH376" s="155"/>
      <c r="AI376" s="132"/>
    </row>
    <row r="377">
      <c r="A377" s="314"/>
      <c r="B377" s="312"/>
      <c r="C377" s="312"/>
      <c r="D377" s="717"/>
      <c r="E377" s="316"/>
      <c r="F377" s="316"/>
      <c r="G377" s="314"/>
      <c r="H377" s="318"/>
      <c r="I377" s="314"/>
      <c r="J377" s="314"/>
      <c r="K377" s="314"/>
      <c r="L377" s="314"/>
      <c r="M377" s="314"/>
      <c r="N377" s="314"/>
      <c r="O377" s="318"/>
      <c r="P377" s="314"/>
      <c r="Q377" s="314"/>
      <c r="R377" s="314"/>
      <c r="S377" s="718"/>
      <c r="T377" s="719"/>
      <c r="U377" s="314"/>
      <c r="V377" s="318"/>
      <c r="W377" s="314"/>
      <c r="X377" s="314"/>
      <c r="Y377" s="314"/>
      <c r="Z377" s="721"/>
      <c r="AA377" s="721"/>
      <c r="AB377" s="314"/>
      <c r="AC377" s="317"/>
      <c r="AD377" s="324"/>
      <c r="AE377" s="155"/>
      <c r="AF377" s="155"/>
      <c r="AG377" s="322"/>
      <c r="AH377" s="155"/>
      <c r="AI377" s="132"/>
    </row>
    <row r="378">
      <c r="A378" s="314"/>
      <c r="B378" s="312"/>
      <c r="C378" s="312"/>
      <c r="D378" s="717"/>
      <c r="E378" s="316"/>
      <c r="F378" s="316"/>
      <c r="G378" s="314"/>
      <c r="H378" s="318"/>
      <c r="I378" s="314"/>
      <c r="J378" s="314"/>
      <c r="K378" s="314"/>
      <c r="L378" s="314"/>
      <c r="M378" s="314"/>
      <c r="N378" s="314"/>
      <c r="O378" s="318"/>
      <c r="P378" s="314"/>
      <c r="Q378" s="314"/>
      <c r="R378" s="314"/>
      <c r="S378" s="718"/>
      <c r="T378" s="719"/>
      <c r="U378" s="314"/>
      <c r="V378" s="318"/>
      <c r="W378" s="314"/>
      <c r="X378" s="314"/>
      <c r="Y378" s="314"/>
      <c r="Z378" s="721"/>
      <c r="AA378" s="721"/>
      <c r="AB378" s="314"/>
      <c r="AC378" s="317"/>
      <c r="AD378" s="324"/>
      <c r="AE378" s="155"/>
      <c r="AF378" s="155"/>
      <c r="AG378" s="322"/>
      <c r="AH378" s="155"/>
      <c r="AI378" s="132"/>
    </row>
    <row r="379">
      <c r="A379" s="314"/>
      <c r="B379" s="312"/>
      <c r="C379" s="312"/>
      <c r="D379" s="717"/>
      <c r="E379" s="316"/>
      <c r="F379" s="316"/>
      <c r="G379" s="314"/>
      <c r="H379" s="318"/>
      <c r="I379" s="314"/>
      <c r="J379" s="314"/>
      <c r="K379" s="314"/>
      <c r="L379" s="314"/>
      <c r="M379" s="314"/>
      <c r="N379" s="314"/>
      <c r="O379" s="318"/>
      <c r="P379" s="314"/>
      <c r="Q379" s="314"/>
      <c r="R379" s="314"/>
      <c r="S379" s="718"/>
      <c r="T379" s="719"/>
      <c r="U379" s="314"/>
      <c r="V379" s="318"/>
      <c r="W379" s="314"/>
      <c r="X379" s="314"/>
      <c r="Y379" s="314"/>
      <c r="Z379" s="721"/>
      <c r="AA379" s="721"/>
      <c r="AB379" s="314"/>
      <c r="AC379" s="317"/>
      <c r="AD379" s="324"/>
      <c r="AE379" s="155"/>
      <c r="AF379" s="155"/>
      <c r="AG379" s="322"/>
      <c r="AH379" s="155"/>
      <c r="AI379" s="132"/>
    </row>
    <row r="380">
      <c r="A380" s="314"/>
      <c r="B380" s="312"/>
      <c r="C380" s="312"/>
      <c r="D380" s="717"/>
      <c r="E380" s="316"/>
      <c r="F380" s="316"/>
      <c r="G380" s="314"/>
      <c r="H380" s="318"/>
      <c r="I380" s="314"/>
      <c r="J380" s="314"/>
      <c r="K380" s="314"/>
      <c r="L380" s="314"/>
      <c r="M380" s="314"/>
      <c r="N380" s="314"/>
      <c r="O380" s="318"/>
      <c r="P380" s="314"/>
      <c r="Q380" s="314"/>
      <c r="R380" s="314"/>
      <c r="S380" s="718"/>
      <c r="T380" s="719"/>
      <c r="U380" s="314"/>
      <c r="V380" s="318"/>
      <c r="W380" s="314"/>
      <c r="X380" s="314"/>
      <c r="Y380" s="314"/>
      <c r="Z380" s="721"/>
      <c r="AA380" s="721"/>
      <c r="AB380" s="314"/>
      <c r="AC380" s="317"/>
      <c r="AD380" s="324"/>
      <c r="AE380" s="155"/>
      <c r="AF380" s="155"/>
      <c r="AG380" s="322"/>
      <c r="AH380" s="155"/>
      <c r="AI380" s="132"/>
    </row>
    <row r="381">
      <c r="A381" s="314"/>
      <c r="B381" s="312"/>
      <c r="C381" s="312"/>
      <c r="D381" s="717"/>
      <c r="E381" s="316"/>
      <c r="F381" s="316"/>
      <c r="G381" s="314"/>
      <c r="H381" s="318"/>
      <c r="I381" s="314"/>
      <c r="J381" s="314"/>
      <c r="K381" s="314"/>
      <c r="L381" s="314"/>
      <c r="M381" s="314"/>
      <c r="N381" s="314"/>
      <c r="O381" s="318"/>
      <c r="P381" s="314"/>
      <c r="Q381" s="314"/>
      <c r="R381" s="314"/>
      <c r="S381" s="718"/>
      <c r="T381" s="719"/>
      <c r="U381" s="314"/>
      <c r="V381" s="318"/>
      <c r="W381" s="314"/>
      <c r="X381" s="314"/>
      <c r="Y381" s="314"/>
      <c r="Z381" s="721"/>
      <c r="AA381" s="721"/>
      <c r="AB381" s="314"/>
      <c r="AC381" s="317"/>
      <c r="AD381" s="324"/>
      <c r="AE381" s="155"/>
      <c r="AF381" s="155"/>
      <c r="AG381" s="322"/>
      <c r="AH381" s="155"/>
      <c r="AI381" s="132"/>
    </row>
    <row r="382">
      <c r="A382" s="314"/>
      <c r="B382" s="312"/>
      <c r="C382" s="312"/>
      <c r="D382" s="717"/>
      <c r="E382" s="316"/>
      <c r="F382" s="316"/>
      <c r="G382" s="314"/>
      <c r="H382" s="318"/>
      <c r="I382" s="314"/>
      <c r="J382" s="314"/>
      <c r="K382" s="314"/>
      <c r="L382" s="314"/>
      <c r="M382" s="314"/>
      <c r="N382" s="314"/>
      <c r="O382" s="318"/>
      <c r="P382" s="314"/>
      <c r="Q382" s="314"/>
      <c r="R382" s="314"/>
      <c r="S382" s="718"/>
      <c r="T382" s="719"/>
      <c r="U382" s="314"/>
      <c r="V382" s="318"/>
      <c r="W382" s="314"/>
      <c r="X382" s="314"/>
      <c r="Y382" s="314"/>
      <c r="Z382" s="721"/>
      <c r="AA382" s="721"/>
      <c r="AB382" s="314"/>
      <c r="AC382" s="317"/>
      <c r="AD382" s="324"/>
      <c r="AE382" s="155"/>
      <c r="AF382" s="155"/>
      <c r="AG382" s="322"/>
      <c r="AH382" s="155"/>
      <c r="AI382" s="132"/>
    </row>
    <row r="383">
      <c r="A383" s="435"/>
      <c r="B383" s="312"/>
      <c r="C383" s="745"/>
      <c r="D383" s="717"/>
      <c r="E383" s="742"/>
      <c r="F383" s="316"/>
      <c r="G383" s="314"/>
      <c r="H383" s="740"/>
      <c r="I383" s="435"/>
      <c r="J383" s="314"/>
      <c r="K383" s="435"/>
      <c r="L383" s="435"/>
      <c r="M383" s="314"/>
      <c r="N383" s="314"/>
      <c r="O383" s="318"/>
      <c r="P383" s="435"/>
      <c r="Q383" s="435"/>
      <c r="R383" s="435"/>
      <c r="S383" s="747"/>
      <c r="T383" s="748"/>
      <c r="U383" s="435"/>
      <c r="V383" s="740"/>
      <c r="W383" s="435"/>
      <c r="X383" s="435"/>
      <c r="Y383" s="435"/>
      <c r="Z383" s="749"/>
      <c r="AA383" s="749"/>
      <c r="AB383" s="435"/>
      <c r="AC383" s="750"/>
      <c r="AD383" s="324"/>
      <c r="AE383" s="180"/>
      <c r="AF383" s="155"/>
      <c r="AG383" s="322"/>
      <c r="AH383" s="155"/>
      <c r="AI383" s="132"/>
    </row>
    <row r="384">
      <c r="A384" s="435"/>
      <c r="B384" s="312"/>
      <c r="C384" s="312"/>
      <c r="D384" s="751"/>
      <c r="E384" s="316"/>
      <c r="F384" s="316"/>
      <c r="G384" s="314"/>
      <c r="H384" s="318"/>
      <c r="I384" s="314"/>
      <c r="J384" s="314"/>
      <c r="K384" s="314"/>
      <c r="L384" s="314"/>
      <c r="M384" s="435"/>
      <c r="N384" s="435"/>
      <c r="O384" s="318"/>
      <c r="P384" s="314"/>
      <c r="Q384" s="314"/>
      <c r="R384" s="314"/>
      <c r="S384" s="718"/>
      <c r="T384" s="719"/>
      <c r="U384" s="314"/>
      <c r="V384" s="318"/>
      <c r="W384" s="314"/>
      <c r="X384" s="314"/>
      <c r="Y384" s="314"/>
      <c r="Z384" s="721"/>
      <c r="AA384" s="721"/>
      <c r="AB384" s="314"/>
      <c r="AC384" s="317"/>
      <c r="AD384" s="324"/>
      <c r="AE384" s="180"/>
      <c r="AF384" s="155"/>
      <c r="AG384" s="322"/>
      <c r="AH384" s="155"/>
      <c r="AI384" s="132"/>
    </row>
    <row r="385">
      <c r="A385" s="435"/>
      <c r="B385" s="745"/>
      <c r="C385" s="745"/>
      <c r="D385" s="751"/>
      <c r="E385" s="742"/>
      <c r="F385" s="316"/>
      <c r="G385" s="314"/>
      <c r="H385" s="318"/>
      <c r="I385" s="435"/>
      <c r="J385" s="435"/>
      <c r="K385" s="435"/>
      <c r="L385" s="435"/>
      <c r="M385" s="435"/>
      <c r="N385" s="435"/>
      <c r="O385" s="318"/>
      <c r="P385" s="435"/>
      <c r="Q385" s="314"/>
      <c r="R385" s="435"/>
      <c r="S385" s="747"/>
      <c r="T385" s="748"/>
      <c r="U385" s="435"/>
      <c r="V385" s="740"/>
      <c r="W385" s="435"/>
      <c r="X385" s="435"/>
      <c r="Y385" s="435"/>
      <c r="Z385" s="749"/>
      <c r="AA385" s="749"/>
      <c r="AB385" s="435"/>
      <c r="AC385" s="750"/>
      <c r="AD385" s="324"/>
      <c r="AE385" s="180"/>
      <c r="AF385" s="155"/>
      <c r="AG385" s="322"/>
      <c r="AH385" s="155"/>
      <c r="AI385" s="132"/>
    </row>
    <row r="386">
      <c r="A386" s="435"/>
      <c r="B386" s="312"/>
      <c r="C386" s="312"/>
      <c r="D386" s="751"/>
      <c r="E386" s="316"/>
      <c r="F386" s="316"/>
      <c r="G386" s="314"/>
      <c r="H386" s="318"/>
      <c r="I386" s="435"/>
      <c r="J386" s="314"/>
      <c r="K386" s="435"/>
      <c r="L386" s="314"/>
      <c r="M386" s="314"/>
      <c r="N386" s="314"/>
      <c r="O386" s="318"/>
      <c r="P386" s="314"/>
      <c r="Q386" s="435"/>
      <c r="R386" s="435"/>
      <c r="S386" s="718"/>
      <c r="T386" s="719"/>
      <c r="U386" s="314"/>
      <c r="V386" s="318"/>
      <c r="W386" s="314"/>
      <c r="X386" s="314"/>
      <c r="Y386" s="314"/>
      <c r="Z386" s="721"/>
      <c r="AA386" s="721"/>
      <c r="AB386" s="314"/>
      <c r="AC386" s="317"/>
      <c r="AD386" s="324"/>
      <c r="AE386" s="180"/>
      <c r="AF386" s="155"/>
      <c r="AG386" s="322"/>
      <c r="AH386" s="155"/>
      <c r="AI386" s="132"/>
    </row>
    <row r="387">
      <c r="A387" s="435"/>
      <c r="B387" s="745"/>
      <c r="C387" s="745"/>
      <c r="D387" s="751"/>
      <c r="E387" s="742"/>
      <c r="F387" s="316"/>
      <c r="G387" s="314"/>
      <c r="H387" s="740"/>
      <c r="I387" s="435"/>
      <c r="J387" s="435"/>
      <c r="K387" s="435"/>
      <c r="L387" s="435"/>
      <c r="M387" s="435"/>
      <c r="N387" s="435"/>
      <c r="O387" s="318"/>
      <c r="P387" s="435"/>
      <c r="Q387" s="435"/>
      <c r="R387" s="435"/>
      <c r="S387" s="747"/>
      <c r="T387" s="748"/>
      <c r="U387" s="435"/>
      <c r="V387" s="740"/>
      <c r="W387" s="435"/>
      <c r="X387" s="435"/>
      <c r="Y387" s="435"/>
      <c r="Z387" s="749"/>
      <c r="AA387" s="749"/>
      <c r="AB387" s="435"/>
      <c r="AC387" s="750"/>
      <c r="AD387" s="324"/>
      <c r="AE387" s="180"/>
      <c r="AF387" s="155"/>
      <c r="AG387" s="322"/>
      <c r="AH387" s="155"/>
      <c r="AI387" s="132"/>
    </row>
    <row r="388">
      <c r="A388" s="435"/>
      <c r="B388" s="745"/>
      <c r="C388" s="312"/>
      <c r="D388" s="751"/>
      <c r="E388" s="316"/>
      <c r="F388" s="316"/>
      <c r="G388" s="314"/>
      <c r="H388" s="318"/>
      <c r="I388" s="314"/>
      <c r="J388" s="314"/>
      <c r="K388" s="435"/>
      <c r="L388" s="314"/>
      <c r="M388" s="314"/>
      <c r="N388" s="314"/>
      <c r="O388" s="318"/>
      <c r="P388" s="314"/>
      <c r="Q388" s="314"/>
      <c r="R388" s="314"/>
      <c r="S388" s="747"/>
      <c r="T388" s="748"/>
      <c r="U388" s="435"/>
      <c r="V388" s="740"/>
      <c r="W388" s="435"/>
      <c r="X388" s="435"/>
      <c r="Y388" s="435"/>
      <c r="Z388" s="749"/>
      <c r="AA388" s="749"/>
      <c r="AB388" s="435"/>
      <c r="AC388" s="750"/>
      <c r="AD388" s="324"/>
      <c r="AE388" s="180"/>
      <c r="AF388" s="155"/>
      <c r="AG388" s="322"/>
      <c r="AH388" s="155"/>
      <c r="AI388" s="132"/>
    </row>
    <row r="389">
      <c r="A389" s="435"/>
      <c r="B389" s="745"/>
      <c r="C389" s="745"/>
      <c r="D389" s="751"/>
      <c r="E389" s="742"/>
      <c r="F389" s="316"/>
      <c r="G389" s="314"/>
      <c r="H389" s="740"/>
      <c r="I389" s="314"/>
      <c r="J389" s="314"/>
      <c r="K389" s="435"/>
      <c r="L389" s="314"/>
      <c r="M389" s="314"/>
      <c r="N389" s="314"/>
      <c r="O389" s="318"/>
      <c r="P389" s="435"/>
      <c r="Q389" s="435"/>
      <c r="R389" s="435"/>
      <c r="S389" s="747"/>
      <c r="T389" s="748"/>
      <c r="U389" s="435"/>
      <c r="V389" s="740"/>
      <c r="W389" s="435"/>
      <c r="X389" s="435"/>
      <c r="Y389" s="435"/>
      <c r="Z389" s="749"/>
      <c r="AA389" s="749"/>
      <c r="AB389" s="435"/>
      <c r="AC389" s="750"/>
      <c r="AD389" s="324"/>
      <c r="AE389" s="180"/>
      <c r="AF389" s="155"/>
      <c r="AG389" s="322"/>
      <c r="AH389" s="155"/>
      <c r="AI389" s="132"/>
    </row>
    <row r="390">
      <c r="A390" s="435"/>
      <c r="B390" s="745"/>
      <c r="C390" s="745"/>
      <c r="D390" s="751"/>
      <c r="E390" s="742"/>
      <c r="F390" s="316"/>
      <c r="G390" s="314"/>
      <c r="H390" s="740"/>
      <c r="I390" s="435"/>
      <c r="J390" s="435"/>
      <c r="K390" s="435"/>
      <c r="L390" s="435"/>
      <c r="M390" s="435"/>
      <c r="N390" s="435"/>
      <c r="O390" s="318"/>
      <c r="P390" s="435"/>
      <c r="Q390" s="435"/>
      <c r="R390" s="435"/>
      <c r="S390" s="747"/>
      <c r="T390" s="748"/>
      <c r="U390" s="435"/>
      <c r="V390" s="740"/>
      <c r="W390" s="435"/>
      <c r="X390" s="435"/>
      <c r="Y390" s="435"/>
      <c r="Z390" s="749"/>
      <c r="AA390" s="749"/>
      <c r="AB390" s="435"/>
      <c r="AC390" s="750"/>
      <c r="AD390" s="324"/>
      <c r="AE390" s="180"/>
      <c r="AF390" s="155"/>
      <c r="AG390" s="322"/>
      <c r="AH390" s="155"/>
      <c r="AI390" s="132"/>
    </row>
    <row r="391">
      <c r="A391" s="435"/>
      <c r="B391" s="312"/>
      <c r="C391" s="312"/>
      <c r="D391" s="717"/>
      <c r="E391" s="742"/>
      <c r="F391" s="316"/>
      <c r="G391" s="314"/>
      <c r="H391" s="740"/>
      <c r="I391" s="314"/>
      <c r="J391" s="314"/>
      <c r="K391" s="314"/>
      <c r="L391" s="314"/>
      <c r="M391" s="314"/>
      <c r="N391" s="314"/>
      <c r="O391" s="318"/>
      <c r="P391" s="314"/>
      <c r="Q391" s="314"/>
      <c r="R391" s="314"/>
      <c r="S391" s="718"/>
      <c r="T391" s="719"/>
      <c r="U391" s="314"/>
      <c r="V391" s="318"/>
      <c r="W391" s="314"/>
      <c r="X391" s="314"/>
      <c r="Y391" s="314"/>
      <c r="Z391" s="721"/>
      <c r="AA391" s="721"/>
      <c r="AB391" s="314"/>
      <c r="AC391" s="317"/>
      <c r="AD391" s="324"/>
      <c r="AE391" s="180"/>
      <c r="AF391" s="155"/>
      <c r="AG391" s="322"/>
      <c r="AH391" s="155"/>
      <c r="AI391" s="132"/>
    </row>
    <row r="392">
      <c r="A392" s="435"/>
      <c r="B392" s="312"/>
      <c r="C392" s="312"/>
      <c r="D392" s="751"/>
      <c r="E392" s="316"/>
      <c r="F392" s="316"/>
      <c r="G392" s="314"/>
      <c r="H392" s="740"/>
      <c r="I392" s="314"/>
      <c r="J392" s="435"/>
      <c r="K392" s="435"/>
      <c r="L392" s="314"/>
      <c r="M392" s="435"/>
      <c r="N392" s="314"/>
      <c r="O392" s="318"/>
      <c r="P392" s="314"/>
      <c r="Q392" s="314"/>
      <c r="R392" s="435"/>
      <c r="S392" s="747"/>
      <c r="T392" s="748"/>
      <c r="U392" s="435"/>
      <c r="V392" s="740"/>
      <c r="W392" s="435"/>
      <c r="X392" s="435"/>
      <c r="Y392" s="435"/>
      <c r="Z392" s="749"/>
      <c r="AA392" s="749"/>
      <c r="AB392" s="435"/>
      <c r="AC392" s="750"/>
      <c r="AD392" s="324"/>
      <c r="AE392" s="180"/>
      <c r="AF392" s="155"/>
      <c r="AG392" s="322"/>
      <c r="AH392" s="155"/>
      <c r="AI392" s="132"/>
    </row>
    <row r="393">
      <c r="A393" s="435"/>
      <c r="B393" s="312"/>
      <c r="C393" s="312"/>
      <c r="D393" s="717"/>
      <c r="E393" s="316"/>
      <c r="F393" s="316"/>
      <c r="G393" s="314"/>
      <c r="H393" s="318"/>
      <c r="I393" s="314"/>
      <c r="J393" s="314"/>
      <c r="K393" s="314"/>
      <c r="L393" s="314"/>
      <c r="M393" s="314"/>
      <c r="N393" s="314"/>
      <c r="O393" s="318"/>
      <c r="P393" s="314"/>
      <c r="Q393" s="435"/>
      <c r="R393" s="314"/>
      <c r="S393" s="747"/>
      <c r="T393" s="748"/>
      <c r="U393" s="435"/>
      <c r="V393" s="740"/>
      <c r="W393" s="435"/>
      <c r="X393" s="435"/>
      <c r="Y393" s="435"/>
      <c r="Z393" s="749"/>
      <c r="AA393" s="749"/>
      <c r="AB393" s="435"/>
      <c r="AC393" s="750"/>
      <c r="AD393" s="324"/>
      <c r="AE393" s="180"/>
      <c r="AF393" s="155"/>
      <c r="AG393" s="322"/>
      <c r="AH393" s="155"/>
      <c r="AI393" s="132"/>
    </row>
    <row r="394">
      <c r="A394" s="435"/>
      <c r="B394" s="745"/>
      <c r="C394" s="312"/>
      <c r="D394" s="717"/>
      <c r="E394" s="316"/>
      <c r="F394" s="316"/>
      <c r="G394" s="314"/>
      <c r="H394" s="740"/>
      <c r="I394" s="314"/>
      <c r="J394" s="435"/>
      <c r="K394" s="435"/>
      <c r="L394" s="314"/>
      <c r="M394" s="314"/>
      <c r="N394" s="435"/>
      <c r="O394" s="318"/>
      <c r="P394" s="314"/>
      <c r="Q394" s="314"/>
      <c r="R394" s="435"/>
      <c r="S394" s="747"/>
      <c r="T394" s="748"/>
      <c r="U394" s="435"/>
      <c r="V394" s="740"/>
      <c r="W394" s="435"/>
      <c r="X394" s="435"/>
      <c r="Y394" s="435"/>
      <c r="Z394" s="749"/>
      <c r="AA394" s="749"/>
      <c r="AB394" s="435"/>
      <c r="AC394" s="750"/>
      <c r="AD394" s="324"/>
      <c r="AE394" s="180"/>
      <c r="AF394" s="155"/>
      <c r="AG394" s="322"/>
      <c r="AH394" s="155"/>
      <c r="AI394" s="132"/>
    </row>
    <row r="395">
      <c r="A395" s="435"/>
      <c r="B395" s="312"/>
      <c r="C395" s="745"/>
      <c r="D395" s="751"/>
      <c r="E395" s="742"/>
      <c r="F395" s="316"/>
      <c r="G395" s="314"/>
      <c r="H395" s="740"/>
      <c r="I395" s="314"/>
      <c r="J395" s="314"/>
      <c r="K395" s="435"/>
      <c r="L395" s="314"/>
      <c r="M395" s="314"/>
      <c r="N395" s="314"/>
      <c r="O395" s="318"/>
      <c r="P395" s="314"/>
      <c r="Q395" s="314"/>
      <c r="R395" s="314"/>
      <c r="S395" s="747"/>
      <c r="T395" s="748"/>
      <c r="U395" s="435"/>
      <c r="V395" s="740"/>
      <c r="W395" s="435"/>
      <c r="X395" s="435"/>
      <c r="Y395" s="435"/>
      <c r="Z395" s="749"/>
      <c r="AA395" s="749"/>
      <c r="AB395" s="435"/>
      <c r="AC395" s="750"/>
      <c r="AD395" s="324"/>
      <c r="AE395" s="180"/>
      <c r="AF395" s="155"/>
      <c r="AG395" s="322"/>
      <c r="AH395" s="155"/>
      <c r="AI395" s="132"/>
    </row>
    <row r="396">
      <c r="A396" s="435"/>
      <c r="B396" s="312"/>
      <c r="C396" s="312"/>
      <c r="D396" s="717"/>
      <c r="E396" s="316"/>
      <c r="F396" s="316"/>
      <c r="G396" s="314"/>
      <c r="H396" s="740"/>
      <c r="I396" s="314"/>
      <c r="J396" s="314"/>
      <c r="K396" s="314"/>
      <c r="L396" s="314"/>
      <c r="M396" s="314"/>
      <c r="N396" s="314"/>
      <c r="O396" s="318"/>
      <c r="P396" s="314"/>
      <c r="Q396" s="314"/>
      <c r="R396" s="435"/>
      <c r="S396" s="718"/>
      <c r="T396" s="719"/>
      <c r="U396" s="314"/>
      <c r="V396" s="318"/>
      <c r="W396" s="314"/>
      <c r="X396" s="314"/>
      <c r="Y396" s="314"/>
      <c r="Z396" s="721"/>
      <c r="AA396" s="721"/>
      <c r="AB396" s="314"/>
      <c r="AC396" s="317"/>
      <c r="AD396" s="324"/>
      <c r="AE396" s="180"/>
      <c r="AF396" s="155"/>
      <c r="AG396" s="322"/>
      <c r="AH396" s="155"/>
      <c r="AI396" s="132"/>
    </row>
    <row r="397">
      <c r="A397" s="435"/>
      <c r="B397" s="745"/>
      <c r="C397" s="745"/>
      <c r="D397" s="751"/>
      <c r="E397" s="742"/>
      <c r="F397" s="316"/>
      <c r="G397" s="314"/>
      <c r="H397" s="740"/>
      <c r="I397" s="435"/>
      <c r="J397" s="435"/>
      <c r="K397" s="435"/>
      <c r="L397" s="435"/>
      <c r="M397" s="435"/>
      <c r="N397" s="435"/>
      <c r="O397" s="318"/>
      <c r="P397" s="435"/>
      <c r="Q397" s="435"/>
      <c r="R397" s="435"/>
      <c r="S397" s="747"/>
      <c r="T397" s="748"/>
      <c r="U397" s="435"/>
      <c r="V397" s="740"/>
      <c r="W397" s="435"/>
      <c r="X397" s="435"/>
      <c r="Y397" s="435"/>
      <c r="Z397" s="749"/>
      <c r="AA397" s="749"/>
      <c r="AB397" s="435"/>
      <c r="AC397" s="750"/>
      <c r="AD397" s="324"/>
      <c r="AE397" s="180"/>
      <c r="AF397" s="155"/>
      <c r="AG397" s="322"/>
      <c r="AH397" s="155"/>
      <c r="AI397" s="132"/>
    </row>
    <row r="398">
      <c r="A398" s="435"/>
      <c r="B398" s="312"/>
      <c r="C398" s="312"/>
      <c r="D398" s="717"/>
      <c r="E398" s="316"/>
      <c r="F398" s="316"/>
      <c r="G398" s="314"/>
      <c r="H398" s="318"/>
      <c r="I398" s="314"/>
      <c r="J398" s="314"/>
      <c r="K398" s="314"/>
      <c r="L398" s="314"/>
      <c r="M398" s="435"/>
      <c r="N398" s="314"/>
      <c r="O398" s="318"/>
      <c r="P398" s="314"/>
      <c r="Q398" s="314"/>
      <c r="R398" s="314"/>
      <c r="S398" s="718"/>
      <c r="T398" s="719"/>
      <c r="U398" s="314"/>
      <c r="V398" s="318"/>
      <c r="W398" s="314"/>
      <c r="X398" s="314"/>
      <c r="Y398" s="314"/>
      <c r="Z398" s="721"/>
      <c r="AA398" s="721"/>
      <c r="AB398" s="314"/>
      <c r="AC398" s="317"/>
      <c r="AD398" s="324"/>
      <c r="AE398" s="180"/>
      <c r="AF398" s="155"/>
      <c r="AG398" s="322"/>
      <c r="AH398" s="155"/>
      <c r="AI398" s="132"/>
    </row>
    <row r="399">
      <c r="A399" s="435"/>
      <c r="B399" s="312"/>
      <c r="C399" s="745"/>
      <c r="D399" s="751"/>
      <c r="E399" s="742"/>
      <c r="F399" s="316"/>
      <c r="G399" s="314"/>
      <c r="H399" s="740"/>
      <c r="I399" s="435"/>
      <c r="J399" s="435"/>
      <c r="K399" s="435"/>
      <c r="L399" s="314"/>
      <c r="M399" s="435"/>
      <c r="N399" s="435"/>
      <c r="O399" s="318"/>
      <c r="P399" s="435"/>
      <c r="Q399" s="435"/>
      <c r="R399" s="435"/>
      <c r="S399" s="747"/>
      <c r="T399" s="748"/>
      <c r="U399" s="435"/>
      <c r="V399" s="740"/>
      <c r="W399" s="435"/>
      <c r="X399" s="435"/>
      <c r="Y399" s="435"/>
      <c r="Z399" s="749"/>
      <c r="AA399" s="749"/>
      <c r="AB399" s="435"/>
      <c r="AC399" s="750"/>
      <c r="AD399" s="324"/>
      <c r="AE399" s="180"/>
      <c r="AF399" s="155"/>
      <c r="AG399" s="322"/>
      <c r="AH399" s="155"/>
      <c r="AI399" s="132"/>
    </row>
    <row r="400">
      <c r="A400" s="435"/>
      <c r="B400" s="745"/>
      <c r="C400" s="745"/>
      <c r="D400" s="717"/>
      <c r="E400" s="742"/>
      <c r="F400" s="316"/>
      <c r="G400" s="314"/>
      <c r="H400" s="740"/>
      <c r="I400" s="435"/>
      <c r="J400" s="314"/>
      <c r="K400" s="435"/>
      <c r="L400" s="435"/>
      <c r="M400" s="314"/>
      <c r="N400" s="435"/>
      <c r="O400" s="318"/>
      <c r="P400" s="435"/>
      <c r="Q400" s="314"/>
      <c r="R400" s="435"/>
      <c r="S400" s="747"/>
      <c r="T400" s="748"/>
      <c r="U400" s="435"/>
      <c r="V400" s="740"/>
      <c r="W400" s="435"/>
      <c r="X400" s="435"/>
      <c r="Y400" s="435"/>
      <c r="Z400" s="749"/>
      <c r="AA400" s="749"/>
      <c r="AB400" s="435"/>
      <c r="AC400" s="750"/>
      <c r="AD400" s="324"/>
      <c r="AE400" s="180"/>
      <c r="AF400" s="155"/>
      <c r="AG400" s="322"/>
      <c r="AH400" s="155"/>
      <c r="AI400" s="132"/>
    </row>
    <row r="401">
      <c r="A401" s="458"/>
      <c r="B401" s="745"/>
      <c r="C401" s="745"/>
      <c r="D401" s="751"/>
      <c r="E401" s="742"/>
      <c r="F401" s="316"/>
      <c r="G401" s="314"/>
      <c r="H401" s="318"/>
      <c r="I401" s="435"/>
      <c r="J401" s="435"/>
      <c r="K401" s="435"/>
      <c r="L401" s="435"/>
      <c r="M401" s="435"/>
      <c r="N401" s="435"/>
      <c r="O401" s="318"/>
      <c r="P401" s="435"/>
      <c r="Q401" s="435"/>
      <c r="R401" s="435"/>
      <c r="S401" s="747"/>
      <c r="T401" s="748"/>
      <c r="U401" s="435"/>
      <c r="V401" s="740"/>
      <c r="W401" s="435"/>
      <c r="X401" s="435"/>
      <c r="Y401" s="435"/>
      <c r="Z401" s="749"/>
      <c r="AA401" s="749"/>
      <c r="AB401" s="435"/>
      <c r="AC401" s="750"/>
      <c r="AD401" s="324"/>
      <c r="AE401" s="180"/>
      <c r="AF401" s="155"/>
      <c r="AG401" s="322"/>
      <c r="AH401" s="155"/>
      <c r="AI401" s="132"/>
    </row>
    <row r="402">
      <c r="A402" s="458"/>
      <c r="B402" s="745"/>
      <c r="C402" s="745"/>
      <c r="D402" s="751"/>
      <c r="E402" s="742"/>
      <c r="F402" s="316"/>
      <c r="G402" s="314"/>
      <c r="H402" s="318"/>
      <c r="I402" s="314"/>
      <c r="J402" s="435"/>
      <c r="K402" s="435"/>
      <c r="L402" s="435"/>
      <c r="M402" s="435"/>
      <c r="N402" s="435"/>
      <c r="O402" s="318"/>
      <c r="P402" s="435"/>
      <c r="Q402" s="435"/>
      <c r="R402" s="435"/>
      <c r="S402" s="747"/>
      <c r="T402" s="748"/>
      <c r="U402" s="435"/>
      <c r="V402" s="740"/>
      <c r="W402" s="435"/>
      <c r="X402" s="435"/>
      <c r="Y402" s="435"/>
      <c r="Z402" s="749"/>
      <c r="AA402" s="749"/>
      <c r="AB402" s="435"/>
      <c r="AC402" s="750"/>
      <c r="AD402" s="324"/>
      <c r="AE402" s="180"/>
      <c r="AF402" s="155"/>
      <c r="AG402" s="322"/>
      <c r="AH402" s="155"/>
      <c r="AI402" s="132"/>
    </row>
    <row r="403">
      <c r="A403" s="458"/>
      <c r="B403" s="745"/>
      <c r="C403" s="745"/>
      <c r="D403" s="751"/>
      <c r="E403" s="316"/>
      <c r="F403" s="316"/>
      <c r="G403" s="314"/>
      <c r="H403" s="318"/>
      <c r="I403" s="435"/>
      <c r="J403" s="435"/>
      <c r="K403" s="435"/>
      <c r="L403" s="435"/>
      <c r="M403" s="435"/>
      <c r="N403" s="435"/>
      <c r="O403" s="318"/>
      <c r="P403" s="435"/>
      <c r="Q403" s="314"/>
      <c r="R403" s="435"/>
      <c r="S403" s="747"/>
      <c r="T403" s="748"/>
      <c r="U403" s="435"/>
      <c r="V403" s="740"/>
      <c r="W403" s="435"/>
      <c r="X403" s="435"/>
      <c r="Y403" s="435"/>
      <c r="Z403" s="749"/>
      <c r="AA403" s="749"/>
      <c r="AB403" s="435"/>
      <c r="AC403" s="750"/>
      <c r="AD403" s="324"/>
      <c r="AE403" s="180"/>
      <c r="AF403" s="155"/>
      <c r="AG403" s="322"/>
      <c r="AH403" s="155"/>
      <c r="AI403" s="132"/>
    </row>
    <row r="404">
      <c r="A404" s="458"/>
      <c r="B404" s="312"/>
      <c r="C404" s="312"/>
      <c r="D404" s="717"/>
      <c r="E404" s="316"/>
      <c r="F404" s="316"/>
      <c r="G404" s="314"/>
      <c r="H404" s="318"/>
      <c r="I404" s="314"/>
      <c r="J404" s="314"/>
      <c r="K404" s="314"/>
      <c r="L404" s="314"/>
      <c r="M404" s="314"/>
      <c r="N404" s="314"/>
      <c r="O404" s="318"/>
      <c r="P404" s="314"/>
      <c r="Q404" s="314"/>
      <c r="R404" s="314"/>
      <c r="S404" s="718"/>
      <c r="T404" s="719"/>
      <c r="U404" s="314"/>
      <c r="V404" s="318"/>
      <c r="W404" s="314"/>
      <c r="X404" s="314"/>
      <c r="Y404" s="314"/>
      <c r="Z404" s="721"/>
      <c r="AA404" s="721"/>
      <c r="AB404" s="314"/>
      <c r="AC404" s="317"/>
      <c r="AD404" s="324"/>
      <c r="AE404" s="180"/>
      <c r="AF404" s="155"/>
      <c r="AG404" s="322"/>
      <c r="AH404" s="155"/>
      <c r="AI404" s="132"/>
    </row>
    <row r="405">
      <c r="A405" s="458"/>
      <c r="B405" s="745"/>
      <c r="C405" s="745"/>
      <c r="D405" s="751"/>
      <c r="E405" s="316"/>
      <c r="F405" s="316"/>
      <c r="G405" s="314"/>
      <c r="H405" s="318"/>
      <c r="I405" s="314"/>
      <c r="J405" s="314"/>
      <c r="K405" s="435"/>
      <c r="L405" s="435"/>
      <c r="M405" s="435"/>
      <c r="N405" s="314"/>
      <c r="O405" s="318"/>
      <c r="P405" s="435"/>
      <c r="Q405" s="435"/>
      <c r="R405" s="435"/>
      <c r="S405" s="747"/>
      <c r="T405" s="748"/>
      <c r="U405" s="435"/>
      <c r="V405" s="740"/>
      <c r="W405" s="435"/>
      <c r="X405" s="435"/>
      <c r="Y405" s="435"/>
      <c r="Z405" s="749"/>
      <c r="AA405" s="749"/>
      <c r="AB405" s="435"/>
      <c r="AC405" s="750"/>
      <c r="AD405" s="324"/>
      <c r="AE405" s="180"/>
      <c r="AF405" s="155"/>
      <c r="AG405" s="322"/>
      <c r="AH405" s="155"/>
      <c r="AI405" s="132"/>
    </row>
    <row r="406">
      <c r="A406" s="458"/>
      <c r="B406" s="312"/>
      <c r="C406" s="312"/>
      <c r="D406" s="751"/>
      <c r="E406" s="316"/>
      <c r="F406" s="316"/>
      <c r="G406" s="314"/>
      <c r="H406" s="318"/>
      <c r="I406" s="314"/>
      <c r="J406" s="314"/>
      <c r="K406" s="314"/>
      <c r="L406" s="314"/>
      <c r="M406" s="314"/>
      <c r="N406" s="314"/>
      <c r="O406" s="318"/>
      <c r="P406" s="314"/>
      <c r="Q406" s="314"/>
      <c r="R406" s="314"/>
      <c r="S406" s="718"/>
      <c r="T406" s="719"/>
      <c r="U406" s="314"/>
      <c r="V406" s="318"/>
      <c r="W406" s="314"/>
      <c r="X406" s="314"/>
      <c r="Y406" s="314"/>
      <c r="Z406" s="721"/>
      <c r="AA406" s="721"/>
      <c r="AB406" s="314"/>
      <c r="AC406" s="317"/>
      <c r="AD406" s="324"/>
      <c r="AE406" s="180"/>
      <c r="AF406" s="155"/>
      <c r="AG406" s="322"/>
      <c r="AH406" s="155"/>
      <c r="AI406" s="132"/>
    </row>
    <row r="407">
      <c r="A407" s="458"/>
      <c r="B407" s="312"/>
      <c r="C407" s="745"/>
      <c r="D407" s="717"/>
      <c r="E407" s="316"/>
      <c r="F407" s="316"/>
      <c r="G407" s="314"/>
      <c r="H407" s="318"/>
      <c r="I407" s="435"/>
      <c r="J407" s="314"/>
      <c r="K407" s="314"/>
      <c r="L407" s="435"/>
      <c r="M407" s="314"/>
      <c r="N407" s="314"/>
      <c r="O407" s="318"/>
      <c r="P407" s="314"/>
      <c r="Q407" s="435"/>
      <c r="R407" s="435"/>
      <c r="S407" s="747"/>
      <c r="T407" s="748"/>
      <c r="U407" s="435"/>
      <c r="V407" s="740"/>
      <c r="W407" s="435"/>
      <c r="X407" s="435"/>
      <c r="Y407" s="435"/>
      <c r="Z407" s="749"/>
      <c r="AA407" s="749"/>
      <c r="AB407" s="435"/>
      <c r="AC407" s="750"/>
      <c r="AD407" s="324"/>
      <c r="AE407" s="180"/>
      <c r="AF407" s="155"/>
      <c r="AG407" s="322"/>
      <c r="AH407" s="155"/>
      <c r="AI407" s="132"/>
    </row>
    <row r="408">
      <c r="A408" s="458"/>
      <c r="B408" s="312"/>
      <c r="C408" s="745"/>
      <c r="D408" s="751"/>
      <c r="E408" s="742"/>
      <c r="F408" s="316"/>
      <c r="G408" s="314"/>
      <c r="H408" s="740"/>
      <c r="I408" s="435"/>
      <c r="J408" s="314"/>
      <c r="K408" s="435"/>
      <c r="L408" s="435"/>
      <c r="M408" s="314"/>
      <c r="N408" s="314"/>
      <c r="O408" s="318"/>
      <c r="P408" s="435"/>
      <c r="Q408" s="435"/>
      <c r="R408" s="435"/>
      <c r="S408" s="747"/>
      <c r="T408" s="748"/>
      <c r="U408" s="435"/>
      <c r="V408" s="740"/>
      <c r="W408" s="435"/>
      <c r="X408" s="435"/>
      <c r="Y408" s="435"/>
      <c r="Z408" s="749"/>
      <c r="AA408" s="749"/>
      <c r="AB408" s="435"/>
      <c r="AC408" s="750"/>
      <c r="AD408" s="324"/>
      <c r="AE408" s="180"/>
      <c r="AF408" s="155"/>
      <c r="AG408" s="322"/>
      <c r="AH408" s="155"/>
      <c r="AI408" s="132"/>
    </row>
    <row r="409">
      <c r="A409" s="458"/>
      <c r="B409" s="312"/>
      <c r="C409" s="745"/>
      <c r="D409" s="751"/>
      <c r="E409" s="316"/>
      <c r="F409" s="316"/>
      <c r="G409" s="314"/>
      <c r="H409" s="318"/>
      <c r="I409" s="314"/>
      <c r="J409" s="314"/>
      <c r="K409" s="435"/>
      <c r="L409" s="314"/>
      <c r="M409" s="314"/>
      <c r="N409" s="314"/>
      <c r="O409" s="318"/>
      <c r="P409" s="314"/>
      <c r="Q409" s="314"/>
      <c r="R409" s="435"/>
      <c r="S409" s="747"/>
      <c r="T409" s="748"/>
      <c r="U409" s="435"/>
      <c r="V409" s="740"/>
      <c r="W409" s="435"/>
      <c r="X409" s="435"/>
      <c r="Y409" s="435"/>
      <c r="Z409" s="749"/>
      <c r="AA409" s="749"/>
      <c r="AB409" s="435"/>
      <c r="AC409" s="750"/>
      <c r="AD409" s="324"/>
      <c r="AE409" s="180"/>
      <c r="AF409" s="155"/>
      <c r="AG409" s="322"/>
      <c r="AH409" s="155"/>
      <c r="AI409" s="132"/>
    </row>
    <row r="410">
      <c r="A410" s="458"/>
      <c r="B410" s="745"/>
      <c r="C410" s="745"/>
      <c r="D410" s="751"/>
      <c r="E410" s="742"/>
      <c r="F410" s="316"/>
      <c r="G410" s="314"/>
      <c r="H410" s="740"/>
      <c r="I410" s="435"/>
      <c r="J410" s="435"/>
      <c r="K410" s="435"/>
      <c r="L410" s="435"/>
      <c r="M410" s="435"/>
      <c r="N410" s="435"/>
      <c r="O410" s="318"/>
      <c r="P410" s="435"/>
      <c r="Q410" s="435"/>
      <c r="R410" s="435"/>
      <c r="S410" s="747"/>
      <c r="T410" s="748"/>
      <c r="U410" s="435"/>
      <c r="V410" s="740"/>
      <c r="W410" s="435"/>
      <c r="X410" s="435"/>
      <c r="Y410" s="435"/>
      <c r="Z410" s="749"/>
      <c r="AA410" s="749"/>
      <c r="AB410" s="435"/>
      <c r="AC410" s="750"/>
      <c r="AD410" s="324"/>
      <c r="AE410" s="180"/>
      <c r="AF410" s="155"/>
      <c r="AG410" s="322"/>
      <c r="AH410" s="155"/>
      <c r="AI410" s="132"/>
    </row>
    <row r="411">
      <c r="A411" s="435"/>
      <c r="B411" s="745"/>
      <c r="C411" s="745"/>
      <c r="D411" s="751"/>
      <c r="E411" s="742"/>
      <c r="F411" s="316"/>
      <c r="G411" s="314"/>
      <c r="H411" s="740"/>
      <c r="I411" s="435"/>
      <c r="J411" s="435"/>
      <c r="K411" s="435"/>
      <c r="L411" s="435"/>
      <c r="M411" s="435"/>
      <c r="N411" s="435"/>
      <c r="O411" s="318"/>
      <c r="P411" s="435"/>
      <c r="Q411" s="435"/>
      <c r="R411" s="435"/>
      <c r="S411" s="747"/>
      <c r="T411" s="748"/>
      <c r="U411" s="435"/>
      <c r="V411" s="740"/>
      <c r="W411" s="435"/>
      <c r="X411" s="435"/>
      <c r="Y411" s="435"/>
      <c r="Z411" s="749"/>
      <c r="AA411" s="749"/>
      <c r="AB411" s="435"/>
      <c r="AC411" s="750"/>
      <c r="AD411" s="324"/>
      <c r="AE411" s="180"/>
      <c r="AF411" s="155"/>
      <c r="AG411" s="322"/>
      <c r="AH411" s="155"/>
      <c r="AI411" s="132"/>
    </row>
    <row r="412">
      <c r="A412" s="474"/>
      <c r="B412" s="745"/>
      <c r="C412" s="745"/>
      <c r="D412" s="751"/>
      <c r="E412" s="742"/>
      <c r="F412" s="316"/>
      <c r="G412" s="314"/>
      <c r="H412" s="740"/>
      <c r="I412" s="435"/>
      <c r="J412" s="435"/>
      <c r="K412" s="435"/>
      <c r="L412" s="435"/>
      <c r="M412" s="435"/>
      <c r="N412" s="435"/>
      <c r="O412" s="318"/>
      <c r="P412" s="435"/>
      <c r="Q412" s="435"/>
      <c r="R412" s="435"/>
      <c r="S412" s="747"/>
      <c r="T412" s="748"/>
      <c r="U412" s="435"/>
      <c r="V412" s="740"/>
      <c r="W412" s="435"/>
      <c r="X412" s="435"/>
      <c r="Y412" s="435"/>
      <c r="Z412" s="749"/>
      <c r="AA412" s="749"/>
      <c r="AB412" s="435"/>
      <c r="AC412" s="750"/>
      <c r="AD412" s="324"/>
      <c r="AE412" s="180"/>
      <c r="AF412" s="155"/>
      <c r="AG412" s="322"/>
      <c r="AH412" s="155"/>
      <c r="AI412" s="132"/>
    </row>
    <row r="413">
      <c r="A413" s="474"/>
      <c r="B413" s="745"/>
      <c r="C413" s="312"/>
      <c r="D413" s="751"/>
      <c r="E413" s="742"/>
      <c r="F413" s="316"/>
      <c r="G413" s="314"/>
      <c r="H413" s="740"/>
      <c r="I413" s="435"/>
      <c r="J413" s="435"/>
      <c r="K413" s="314"/>
      <c r="L413" s="314"/>
      <c r="M413" s="314"/>
      <c r="N413" s="435"/>
      <c r="O413" s="318"/>
      <c r="P413" s="314"/>
      <c r="Q413" s="435"/>
      <c r="R413" s="314"/>
      <c r="S413" s="747"/>
      <c r="T413" s="748"/>
      <c r="U413" s="435"/>
      <c r="V413" s="740"/>
      <c r="W413" s="435"/>
      <c r="X413" s="435"/>
      <c r="Y413" s="435"/>
      <c r="Z413" s="749"/>
      <c r="AA413" s="749"/>
      <c r="AB413" s="435"/>
      <c r="AC413" s="750"/>
      <c r="AD413" s="324"/>
      <c r="AE413" s="180"/>
      <c r="AF413" s="155"/>
      <c r="AG413" s="322"/>
      <c r="AH413" s="155"/>
      <c r="AI413" s="132"/>
    </row>
    <row r="414">
      <c r="A414" s="474"/>
      <c r="B414" s="312"/>
      <c r="C414" s="312"/>
      <c r="D414" s="717"/>
      <c r="E414" s="316"/>
      <c r="F414" s="316"/>
      <c r="G414" s="314"/>
      <c r="H414" s="318"/>
      <c r="I414" s="314"/>
      <c r="J414" s="314"/>
      <c r="K414" s="435"/>
      <c r="L414" s="314"/>
      <c r="M414" s="314"/>
      <c r="N414" s="314"/>
      <c r="O414" s="318"/>
      <c r="P414" s="435"/>
      <c r="Q414" s="314"/>
      <c r="R414" s="314"/>
      <c r="S414" s="718"/>
      <c r="T414" s="719"/>
      <c r="U414" s="314"/>
      <c r="V414" s="318"/>
      <c r="W414" s="314"/>
      <c r="X414" s="314"/>
      <c r="Y414" s="314"/>
      <c r="Z414" s="721"/>
      <c r="AA414" s="721"/>
      <c r="AB414" s="314"/>
      <c r="AC414" s="317"/>
      <c r="AD414" s="324"/>
      <c r="AE414" s="180"/>
      <c r="AF414" s="155"/>
      <c r="AG414" s="322"/>
      <c r="AH414" s="155"/>
      <c r="AI414" s="132"/>
    </row>
    <row r="415">
      <c r="A415" s="474"/>
      <c r="B415" s="312"/>
      <c r="C415" s="745"/>
      <c r="D415" s="751"/>
      <c r="E415" s="316"/>
      <c r="F415" s="316"/>
      <c r="G415" s="314"/>
      <c r="H415" s="318"/>
      <c r="I415" s="435"/>
      <c r="J415" s="314"/>
      <c r="K415" s="314"/>
      <c r="L415" s="314"/>
      <c r="M415" s="314"/>
      <c r="N415" s="314"/>
      <c r="O415" s="318"/>
      <c r="P415" s="314"/>
      <c r="Q415" s="314"/>
      <c r="R415" s="314"/>
      <c r="S415" s="718"/>
      <c r="T415" s="719"/>
      <c r="U415" s="314"/>
      <c r="V415" s="318"/>
      <c r="W415" s="314"/>
      <c r="X415" s="314"/>
      <c r="Y415" s="314"/>
      <c r="Z415" s="721"/>
      <c r="AA415" s="721"/>
      <c r="AB415" s="314"/>
      <c r="AC415" s="317"/>
      <c r="AD415" s="324"/>
      <c r="AE415" s="180"/>
      <c r="AF415" s="155"/>
      <c r="AG415" s="322"/>
      <c r="AH415" s="155"/>
      <c r="AI415" s="132"/>
    </row>
    <row r="416">
      <c r="A416" s="474"/>
      <c r="B416" s="312"/>
      <c r="C416" s="312"/>
      <c r="D416" s="717"/>
      <c r="E416" s="316"/>
      <c r="F416" s="316"/>
      <c r="G416" s="314"/>
      <c r="H416" s="318"/>
      <c r="I416" s="314"/>
      <c r="J416" s="314"/>
      <c r="K416" s="435"/>
      <c r="L416" s="314"/>
      <c r="M416" s="314"/>
      <c r="N416" s="314"/>
      <c r="O416" s="318"/>
      <c r="P416" s="314"/>
      <c r="Q416" s="314"/>
      <c r="R416" s="314"/>
      <c r="S416" s="718"/>
      <c r="T416" s="719"/>
      <c r="U416" s="314"/>
      <c r="V416" s="318"/>
      <c r="W416" s="314"/>
      <c r="X416" s="314"/>
      <c r="Y416" s="314"/>
      <c r="Z416" s="721"/>
      <c r="AA416" s="721"/>
      <c r="AB416" s="314"/>
      <c r="AC416" s="317"/>
      <c r="AD416" s="324"/>
      <c r="AE416" s="180"/>
      <c r="AF416" s="155"/>
      <c r="AG416" s="322"/>
      <c r="AH416" s="155"/>
      <c r="AI416" s="132"/>
    </row>
    <row r="417">
      <c r="A417" s="458"/>
      <c r="B417" s="312"/>
      <c r="C417" s="745"/>
      <c r="D417" s="717"/>
      <c r="E417" s="316"/>
      <c r="F417" s="316"/>
      <c r="G417" s="314"/>
      <c r="H417" s="318"/>
      <c r="I417" s="314"/>
      <c r="J417" s="435"/>
      <c r="K417" s="435"/>
      <c r="L417" s="314"/>
      <c r="M417" s="314"/>
      <c r="N417" s="314"/>
      <c r="O417" s="318"/>
      <c r="P417" s="314"/>
      <c r="Q417" s="314"/>
      <c r="R417" s="314"/>
      <c r="S417" s="718"/>
      <c r="T417" s="719"/>
      <c r="U417" s="314"/>
      <c r="V417" s="318"/>
      <c r="W417" s="314"/>
      <c r="X417" s="314"/>
      <c r="Y417" s="314"/>
      <c r="Z417" s="721"/>
      <c r="AA417" s="721"/>
      <c r="AB417" s="314"/>
      <c r="AC417" s="317"/>
      <c r="AD417" s="324"/>
      <c r="AE417" s="180"/>
      <c r="AF417" s="155"/>
      <c r="AG417" s="322"/>
      <c r="AH417" s="155"/>
      <c r="AI417" s="132"/>
    </row>
    <row r="418">
      <c r="A418" s="435"/>
      <c r="B418" s="312"/>
      <c r="C418" s="745"/>
      <c r="D418" s="751"/>
      <c r="E418" s="742"/>
      <c r="F418" s="316"/>
      <c r="G418" s="314"/>
      <c r="H418" s="740"/>
      <c r="I418" s="314"/>
      <c r="J418" s="314"/>
      <c r="K418" s="435"/>
      <c r="L418" s="314"/>
      <c r="M418" s="435"/>
      <c r="N418" s="435"/>
      <c r="O418" s="318"/>
      <c r="P418" s="314"/>
      <c r="Q418" s="314"/>
      <c r="R418" s="435"/>
      <c r="S418" s="718"/>
      <c r="T418" s="719"/>
      <c r="U418" s="314"/>
      <c r="V418" s="318"/>
      <c r="W418" s="314"/>
      <c r="X418" s="314"/>
      <c r="Y418" s="314"/>
      <c r="Z418" s="721"/>
      <c r="AA418" s="721"/>
      <c r="AB418" s="314"/>
      <c r="AC418" s="317"/>
      <c r="AD418" s="324"/>
      <c r="AE418" s="180"/>
      <c r="AF418" s="155"/>
      <c r="AG418" s="322"/>
      <c r="AH418" s="155"/>
      <c r="AI418" s="132"/>
    </row>
    <row r="419">
      <c r="A419" s="435"/>
      <c r="B419" s="745"/>
      <c r="C419" s="312"/>
      <c r="D419" s="717"/>
      <c r="E419" s="316"/>
      <c r="F419" s="316"/>
      <c r="G419" s="314"/>
      <c r="H419" s="318"/>
      <c r="I419" s="314"/>
      <c r="J419" s="314"/>
      <c r="K419" s="314"/>
      <c r="L419" s="314"/>
      <c r="M419" s="314"/>
      <c r="N419" s="314"/>
      <c r="O419" s="318"/>
      <c r="P419" s="435"/>
      <c r="Q419" s="314"/>
      <c r="R419" s="314"/>
      <c r="S419" s="718"/>
      <c r="T419" s="719"/>
      <c r="U419" s="314"/>
      <c r="V419" s="318"/>
      <c r="W419" s="314"/>
      <c r="X419" s="314"/>
      <c r="Y419" s="314"/>
      <c r="Z419" s="721"/>
      <c r="AA419" s="721"/>
      <c r="AB419" s="314"/>
      <c r="AC419" s="317"/>
      <c r="AD419" s="324"/>
      <c r="AE419" s="180"/>
      <c r="AF419" s="155"/>
      <c r="AG419" s="322"/>
      <c r="AH419" s="155"/>
      <c r="AI419" s="132"/>
    </row>
    <row r="420">
      <c r="A420" s="435"/>
      <c r="B420" s="745"/>
      <c r="C420" s="312"/>
      <c r="D420" s="717"/>
      <c r="E420" s="316"/>
      <c r="F420" s="316"/>
      <c r="G420" s="314"/>
      <c r="H420" s="318"/>
      <c r="I420" s="314"/>
      <c r="J420" s="314"/>
      <c r="K420" s="314"/>
      <c r="L420" s="314"/>
      <c r="M420" s="314"/>
      <c r="N420" s="314"/>
      <c r="O420" s="318"/>
      <c r="P420" s="314"/>
      <c r="Q420" s="435"/>
      <c r="R420" s="314"/>
      <c r="S420" s="747"/>
      <c r="T420" s="748"/>
      <c r="U420" s="435"/>
      <c r="V420" s="740"/>
      <c r="W420" s="435"/>
      <c r="X420" s="435"/>
      <c r="Y420" s="435"/>
      <c r="Z420" s="749"/>
      <c r="AA420" s="749"/>
      <c r="AB420" s="435"/>
      <c r="AC420" s="750"/>
      <c r="AD420" s="324"/>
      <c r="AE420" s="180"/>
      <c r="AF420" s="155"/>
      <c r="AG420" s="322"/>
      <c r="AH420" s="155"/>
      <c r="AI420" s="132"/>
    </row>
    <row r="421">
      <c r="A421" s="435"/>
      <c r="B421" s="312"/>
      <c r="C421" s="745"/>
      <c r="D421" s="717"/>
      <c r="E421" s="316"/>
      <c r="F421" s="316"/>
      <c r="G421" s="314"/>
      <c r="H421" s="318"/>
      <c r="I421" s="314"/>
      <c r="J421" s="314"/>
      <c r="K421" s="314"/>
      <c r="L421" s="314"/>
      <c r="M421" s="314"/>
      <c r="N421" s="314"/>
      <c r="O421" s="318"/>
      <c r="P421" s="314"/>
      <c r="Q421" s="314"/>
      <c r="R421" s="435"/>
      <c r="S421" s="718"/>
      <c r="T421" s="719"/>
      <c r="U421" s="314"/>
      <c r="V421" s="318"/>
      <c r="W421" s="314"/>
      <c r="X421" s="314"/>
      <c r="Y421" s="314"/>
      <c r="Z421" s="721"/>
      <c r="AA421" s="721"/>
      <c r="AB421" s="314"/>
      <c r="AC421" s="317"/>
      <c r="AD421" s="324"/>
      <c r="AE421" s="180"/>
      <c r="AF421" s="155"/>
      <c r="AG421" s="322"/>
      <c r="AH421" s="155"/>
      <c r="AI421" s="132"/>
    </row>
    <row r="422">
      <c r="A422" s="435"/>
      <c r="B422" s="312"/>
      <c r="C422" s="312"/>
      <c r="D422" s="717"/>
      <c r="E422" s="316"/>
      <c r="F422" s="316"/>
      <c r="G422" s="314"/>
      <c r="H422" s="318"/>
      <c r="I422" s="314"/>
      <c r="J422" s="314"/>
      <c r="K422" s="435"/>
      <c r="L422" s="314"/>
      <c r="M422" s="435"/>
      <c r="N422" s="314"/>
      <c r="O422" s="318"/>
      <c r="P422" s="314"/>
      <c r="Q422" s="435"/>
      <c r="R422" s="314"/>
      <c r="S422" s="718"/>
      <c r="T422" s="719"/>
      <c r="U422" s="314"/>
      <c r="V422" s="318"/>
      <c r="W422" s="314"/>
      <c r="X422" s="314"/>
      <c r="Y422" s="314"/>
      <c r="Z422" s="721"/>
      <c r="AA422" s="721"/>
      <c r="AB422" s="314"/>
      <c r="AC422" s="317"/>
      <c r="AD422" s="324"/>
      <c r="AE422" s="180"/>
      <c r="AF422" s="155"/>
      <c r="AG422" s="322"/>
      <c r="AH422" s="155"/>
      <c r="AI422" s="132"/>
    </row>
    <row r="423">
      <c r="A423" s="435"/>
      <c r="B423" s="312"/>
      <c r="C423" s="745"/>
      <c r="D423" s="751"/>
      <c r="E423" s="316"/>
      <c r="F423" s="316"/>
      <c r="G423" s="314"/>
      <c r="H423" s="318"/>
      <c r="I423" s="314"/>
      <c r="J423" s="314"/>
      <c r="K423" s="435"/>
      <c r="L423" s="314"/>
      <c r="M423" s="435"/>
      <c r="N423" s="314"/>
      <c r="O423" s="318"/>
      <c r="P423" s="314"/>
      <c r="Q423" s="435"/>
      <c r="R423" s="314"/>
      <c r="S423" s="718"/>
      <c r="T423" s="719"/>
      <c r="U423" s="314"/>
      <c r="V423" s="318"/>
      <c r="W423" s="314"/>
      <c r="X423" s="314"/>
      <c r="Y423" s="314"/>
      <c r="Z423" s="721"/>
      <c r="AA423" s="721"/>
      <c r="AB423" s="314"/>
      <c r="AC423" s="317"/>
      <c r="AD423" s="324"/>
      <c r="AE423" s="180"/>
      <c r="AF423" s="155"/>
      <c r="AG423" s="322"/>
      <c r="AH423" s="155"/>
      <c r="AI423" s="132"/>
    </row>
    <row r="424">
      <c r="A424" s="476"/>
      <c r="AF424" s="176"/>
      <c r="AG424" s="322"/>
      <c r="AH424" s="155"/>
      <c r="AI424" s="132"/>
    </row>
    <row r="425">
      <c r="A425" s="178"/>
      <c r="AG425" s="322"/>
      <c r="AH425" s="155"/>
      <c r="AI425" s="132"/>
    </row>
    <row r="426">
      <c r="A426" s="474"/>
      <c r="B426" s="745"/>
      <c r="C426" s="745"/>
      <c r="D426" s="751"/>
      <c r="E426" s="742"/>
      <c r="F426" s="316"/>
      <c r="G426" s="314"/>
      <c r="H426" s="318"/>
      <c r="I426" s="435"/>
      <c r="J426" s="435"/>
      <c r="K426" s="435"/>
      <c r="L426" s="435"/>
      <c r="M426" s="435"/>
      <c r="N426" s="435"/>
      <c r="O426" s="318"/>
      <c r="P426" s="435"/>
      <c r="Q426" s="435"/>
      <c r="R426" s="435"/>
      <c r="S426" s="747"/>
      <c r="T426" s="748"/>
      <c r="U426" s="435"/>
      <c r="V426" s="740"/>
      <c r="W426" s="435"/>
      <c r="X426" s="435"/>
      <c r="Y426" s="435"/>
      <c r="Z426" s="749"/>
      <c r="AA426" s="749"/>
      <c r="AB426" s="435"/>
      <c r="AC426" s="750"/>
      <c r="AD426" s="324"/>
      <c r="AE426" s="180"/>
      <c r="AF426" s="155"/>
      <c r="AG426" s="322"/>
      <c r="AH426" s="155"/>
      <c r="AI426" s="132"/>
    </row>
    <row r="427">
      <c r="A427" s="474"/>
      <c r="B427" s="312"/>
      <c r="C427" s="745"/>
      <c r="D427" s="751"/>
      <c r="E427" s="742"/>
      <c r="F427" s="316"/>
      <c r="G427" s="314"/>
      <c r="H427" s="740"/>
      <c r="I427" s="314"/>
      <c r="J427" s="435"/>
      <c r="K427" s="435"/>
      <c r="L427" s="435"/>
      <c r="M427" s="314"/>
      <c r="N427" s="314"/>
      <c r="O427" s="318"/>
      <c r="P427" s="435"/>
      <c r="Q427" s="435"/>
      <c r="R427" s="435"/>
      <c r="S427" s="747"/>
      <c r="T427" s="748"/>
      <c r="U427" s="435"/>
      <c r="V427" s="740"/>
      <c r="W427" s="435"/>
      <c r="X427" s="435"/>
      <c r="Y427" s="435"/>
      <c r="Z427" s="749"/>
      <c r="AA427" s="749"/>
      <c r="AB427" s="435"/>
      <c r="AC427" s="750"/>
      <c r="AD427" s="324"/>
      <c r="AE427" s="180"/>
      <c r="AF427" s="155"/>
      <c r="AG427" s="322"/>
      <c r="AH427" s="155"/>
      <c r="AI427" s="132"/>
    </row>
    <row r="428">
      <c r="A428" s="477"/>
      <c r="B428" s="745"/>
      <c r="C428" s="745"/>
      <c r="D428" s="751"/>
      <c r="E428" s="316"/>
      <c r="F428" s="316"/>
      <c r="G428" s="314"/>
      <c r="H428" s="740"/>
      <c r="I428" s="435"/>
      <c r="J428" s="435"/>
      <c r="K428" s="435"/>
      <c r="L428" s="435"/>
      <c r="M428" s="435"/>
      <c r="N428" s="435"/>
      <c r="O428" s="318"/>
      <c r="P428" s="435"/>
      <c r="Q428" s="435"/>
      <c r="R428" s="435"/>
      <c r="S428" s="747"/>
      <c r="T428" s="748"/>
      <c r="U428" s="435"/>
      <c r="V428" s="740"/>
      <c r="W428" s="435"/>
      <c r="X428" s="435"/>
      <c r="Y428" s="435"/>
      <c r="Z428" s="749"/>
      <c r="AA428" s="749"/>
      <c r="AB428" s="435"/>
      <c r="AC428" s="750"/>
      <c r="AD428" s="324"/>
      <c r="AE428" s="180"/>
      <c r="AF428" s="155"/>
      <c r="AG428" s="322"/>
      <c r="AH428" s="155"/>
      <c r="AI428" s="132"/>
    </row>
    <row r="429">
      <c r="A429" s="477"/>
      <c r="B429" s="745"/>
      <c r="C429" s="745"/>
      <c r="D429" s="751"/>
      <c r="E429" s="316"/>
      <c r="F429" s="316"/>
      <c r="G429" s="314"/>
      <c r="H429" s="740"/>
      <c r="I429" s="314"/>
      <c r="J429" s="314"/>
      <c r="K429" s="435"/>
      <c r="L429" s="435"/>
      <c r="M429" s="435"/>
      <c r="N429" s="314"/>
      <c r="O429" s="318"/>
      <c r="P429" s="435"/>
      <c r="Q429" s="435"/>
      <c r="R429" s="435"/>
      <c r="S429" s="747"/>
      <c r="T429" s="748"/>
      <c r="U429" s="435"/>
      <c r="V429" s="740"/>
      <c r="W429" s="435"/>
      <c r="X429" s="435"/>
      <c r="Y429" s="435"/>
      <c r="Z429" s="749"/>
      <c r="AA429" s="749"/>
      <c r="AB429" s="435"/>
      <c r="AC429" s="750"/>
      <c r="AD429" s="324"/>
      <c r="AE429" s="180"/>
      <c r="AF429" s="155"/>
      <c r="AG429" s="322"/>
      <c r="AH429" s="155"/>
      <c r="AI429" s="132"/>
    </row>
    <row r="430">
      <c r="A430" s="477"/>
      <c r="B430" s="745"/>
      <c r="C430" s="745"/>
      <c r="D430" s="751"/>
      <c r="E430" s="742"/>
      <c r="F430" s="316"/>
      <c r="G430" s="314"/>
      <c r="H430" s="740"/>
      <c r="I430" s="435"/>
      <c r="J430" s="435"/>
      <c r="K430" s="435"/>
      <c r="L430" s="435"/>
      <c r="M430" s="435"/>
      <c r="N430" s="435"/>
      <c r="O430" s="318"/>
      <c r="P430" s="435"/>
      <c r="Q430" s="435"/>
      <c r="R430" s="435"/>
      <c r="S430" s="747"/>
      <c r="T430" s="748"/>
      <c r="U430" s="435"/>
      <c r="V430" s="740"/>
      <c r="W430" s="435"/>
      <c r="X430" s="435"/>
      <c r="Y430" s="435"/>
      <c r="Z430" s="749"/>
      <c r="AA430" s="749"/>
      <c r="AB430" s="435"/>
      <c r="AC430" s="750"/>
      <c r="AD430" s="324"/>
      <c r="AE430" s="180"/>
      <c r="AF430" s="155"/>
      <c r="AG430" s="322"/>
      <c r="AH430" s="155"/>
      <c r="AI430" s="132"/>
    </row>
    <row r="431">
      <c r="A431" s="474"/>
      <c r="B431" s="312"/>
      <c r="C431" s="745"/>
      <c r="D431" s="717"/>
      <c r="E431" s="742"/>
      <c r="F431" s="316"/>
      <c r="G431" s="314"/>
      <c r="H431" s="740"/>
      <c r="I431" s="314"/>
      <c r="J431" s="435"/>
      <c r="K431" s="435"/>
      <c r="L431" s="314"/>
      <c r="M431" s="435"/>
      <c r="N431" s="314"/>
      <c r="O431" s="318"/>
      <c r="P431" s="435"/>
      <c r="Q431" s="435"/>
      <c r="R431" s="435"/>
      <c r="S431" s="747"/>
      <c r="T431" s="748"/>
      <c r="U431" s="435"/>
      <c r="V431" s="740"/>
      <c r="W431" s="435"/>
      <c r="X431" s="435"/>
      <c r="Y431" s="435"/>
      <c r="Z431" s="749"/>
      <c r="AA431" s="749"/>
      <c r="AB431" s="435"/>
      <c r="AC431" s="750"/>
      <c r="AD431" s="324"/>
      <c r="AE431" s="180"/>
      <c r="AF431" s="155"/>
      <c r="AG431" s="322"/>
      <c r="AH431" s="155"/>
      <c r="AI431" s="132"/>
    </row>
    <row r="432">
      <c r="A432" s="478"/>
      <c r="B432" s="745"/>
      <c r="C432" s="745"/>
      <c r="D432" s="751"/>
      <c r="E432" s="742"/>
      <c r="F432" s="316"/>
      <c r="G432" s="314"/>
      <c r="H432" s="740"/>
      <c r="I432" s="435"/>
      <c r="J432" s="435"/>
      <c r="K432" s="435"/>
      <c r="L432" s="435"/>
      <c r="M432" s="435"/>
      <c r="N432" s="435"/>
      <c r="O432" s="318"/>
      <c r="P432" s="435"/>
      <c r="Q432" s="435"/>
      <c r="R432" s="435"/>
      <c r="S432" s="747"/>
      <c r="T432" s="748"/>
      <c r="U432" s="435"/>
      <c r="V432" s="740"/>
      <c r="W432" s="435"/>
      <c r="X432" s="435"/>
      <c r="Y432" s="435"/>
      <c r="Z432" s="749"/>
      <c r="AA432" s="749"/>
      <c r="AB432" s="435"/>
      <c r="AC432" s="750"/>
      <c r="AD432" s="324"/>
      <c r="AE432" s="180"/>
      <c r="AF432" s="155"/>
      <c r="AG432" s="322"/>
      <c r="AH432" s="155"/>
      <c r="AI432" s="132"/>
    </row>
    <row r="433">
      <c r="A433" s="478"/>
      <c r="B433" s="745"/>
      <c r="C433" s="745"/>
      <c r="D433" s="751"/>
      <c r="E433" s="742"/>
      <c r="F433" s="316"/>
      <c r="G433" s="314"/>
      <c r="H433" s="740"/>
      <c r="I433" s="435"/>
      <c r="J433" s="435"/>
      <c r="K433" s="435"/>
      <c r="L433" s="435"/>
      <c r="M433" s="435"/>
      <c r="N433" s="435"/>
      <c r="O433" s="318"/>
      <c r="P433" s="435"/>
      <c r="Q433" s="435"/>
      <c r="R433" s="435"/>
      <c r="S433" s="747"/>
      <c r="T433" s="748"/>
      <c r="U433" s="435"/>
      <c r="V433" s="740"/>
      <c r="W433" s="435"/>
      <c r="X433" s="435"/>
      <c r="Y433" s="435"/>
      <c r="Z433" s="749"/>
      <c r="AA433" s="749"/>
      <c r="AB433" s="435"/>
      <c r="AC433" s="750"/>
      <c r="AD433" s="324"/>
      <c r="AE433" s="180"/>
      <c r="AF433" s="155"/>
      <c r="AG433" s="322"/>
      <c r="AH433" s="155"/>
      <c r="AI433" s="132"/>
    </row>
    <row r="434">
      <c r="A434" s="478"/>
      <c r="B434" s="745"/>
      <c r="C434" s="745"/>
      <c r="D434" s="717"/>
      <c r="E434" s="316"/>
      <c r="F434" s="316"/>
      <c r="G434" s="314"/>
      <c r="H434" s="740"/>
      <c r="I434" s="435"/>
      <c r="J434" s="314"/>
      <c r="K434" s="435"/>
      <c r="L434" s="314"/>
      <c r="M434" s="435"/>
      <c r="N434" s="314"/>
      <c r="O434" s="318"/>
      <c r="P434" s="314"/>
      <c r="Q434" s="314"/>
      <c r="R434" s="314"/>
      <c r="S434" s="747"/>
      <c r="T434" s="748"/>
      <c r="U434" s="435"/>
      <c r="V434" s="740"/>
      <c r="W434" s="435"/>
      <c r="X434" s="435"/>
      <c r="Y434" s="435"/>
      <c r="Z434" s="749"/>
      <c r="AA434" s="749"/>
      <c r="AB434" s="435"/>
      <c r="AC434" s="750"/>
      <c r="AD434" s="324"/>
      <c r="AE434" s="180"/>
      <c r="AF434" s="155"/>
      <c r="AG434" s="322"/>
      <c r="AH434" s="155"/>
      <c r="AI434" s="132"/>
    </row>
    <row r="435">
      <c r="A435" s="477"/>
      <c r="B435" s="312"/>
      <c r="C435" s="745"/>
      <c r="D435" s="751"/>
      <c r="E435" s="742"/>
      <c r="F435" s="316"/>
      <c r="G435" s="314"/>
      <c r="H435" s="740"/>
      <c r="I435" s="435"/>
      <c r="J435" s="435"/>
      <c r="K435" s="435"/>
      <c r="L435" s="435"/>
      <c r="M435" s="435"/>
      <c r="N435" s="435"/>
      <c r="O435" s="318"/>
      <c r="P435" s="435"/>
      <c r="Q435" s="435"/>
      <c r="R435" s="435"/>
      <c r="S435" s="747"/>
      <c r="T435" s="748"/>
      <c r="U435" s="435"/>
      <c r="V435" s="740"/>
      <c r="W435" s="435"/>
      <c r="X435" s="435"/>
      <c r="Y435" s="435"/>
      <c r="Z435" s="749"/>
      <c r="AA435" s="749"/>
      <c r="AB435" s="435"/>
      <c r="AC435" s="750"/>
      <c r="AD435" s="324"/>
      <c r="AE435" s="180"/>
      <c r="AF435" s="155"/>
      <c r="AG435" s="322"/>
      <c r="AH435" s="155"/>
      <c r="AI435" s="132"/>
    </row>
    <row r="436">
      <c r="A436" s="477"/>
      <c r="B436" s="312"/>
      <c r="C436" s="312"/>
      <c r="D436" s="717"/>
      <c r="E436" s="316"/>
      <c r="F436" s="316"/>
      <c r="G436" s="314"/>
      <c r="H436" s="740"/>
      <c r="I436" s="314"/>
      <c r="J436" s="314"/>
      <c r="K436" s="314"/>
      <c r="L436" s="314"/>
      <c r="M436" s="314"/>
      <c r="N436" s="435"/>
      <c r="O436" s="318"/>
      <c r="P436" s="314"/>
      <c r="Q436" s="435"/>
      <c r="R436" s="314"/>
      <c r="S436" s="718"/>
      <c r="T436" s="719"/>
      <c r="U436" s="314"/>
      <c r="V436" s="318"/>
      <c r="W436" s="314"/>
      <c r="X436" s="314"/>
      <c r="Y436" s="314"/>
      <c r="Z436" s="721"/>
      <c r="AA436" s="721"/>
      <c r="AB436" s="314"/>
      <c r="AC436" s="317"/>
      <c r="AD436" s="324"/>
      <c r="AE436" s="180"/>
      <c r="AF436" s="155"/>
      <c r="AG436" s="322"/>
      <c r="AH436" s="155"/>
      <c r="AI436" s="132"/>
    </row>
    <row r="437">
      <c r="A437" s="477"/>
      <c r="B437" s="312"/>
      <c r="C437" s="312"/>
      <c r="D437" s="717"/>
      <c r="E437" s="316"/>
      <c r="F437" s="316"/>
      <c r="G437" s="314"/>
      <c r="H437" s="318"/>
      <c r="I437" s="314"/>
      <c r="J437" s="314"/>
      <c r="K437" s="314"/>
      <c r="L437" s="314"/>
      <c r="M437" s="314"/>
      <c r="N437" s="314"/>
      <c r="O437" s="318"/>
      <c r="P437" s="314"/>
      <c r="Q437" s="314"/>
      <c r="R437" s="314"/>
      <c r="S437" s="718"/>
      <c r="T437" s="719"/>
      <c r="U437" s="314"/>
      <c r="V437" s="318"/>
      <c r="W437" s="314"/>
      <c r="X437" s="314"/>
      <c r="Y437" s="314"/>
      <c r="Z437" s="721"/>
      <c r="AA437" s="721"/>
      <c r="AB437" s="314"/>
      <c r="AC437" s="317"/>
      <c r="AD437" s="324"/>
      <c r="AE437" s="180"/>
      <c r="AF437" s="155"/>
      <c r="AG437" s="322"/>
      <c r="AH437" s="155"/>
      <c r="AI437" s="132"/>
    </row>
    <row r="438">
      <c r="A438" s="476"/>
      <c r="AF438" s="176"/>
      <c r="AG438" s="322"/>
      <c r="AH438" s="155"/>
      <c r="AI438" s="132"/>
    </row>
    <row r="439">
      <c r="A439" s="178"/>
      <c r="AG439" s="322"/>
      <c r="AH439" s="155"/>
      <c r="AI439" s="132"/>
    </row>
    <row r="440">
      <c r="A440" s="477"/>
      <c r="B440" s="745"/>
      <c r="C440" s="745"/>
      <c r="D440" s="751"/>
      <c r="E440" s="316"/>
      <c r="F440" s="316"/>
      <c r="G440" s="314"/>
      <c r="H440" s="318"/>
      <c r="I440" s="314"/>
      <c r="J440" s="314"/>
      <c r="K440" s="435"/>
      <c r="L440" s="435"/>
      <c r="M440" s="314"/>
      <c r="N440" s="314"/>
      <c r="O440" s="318"/>
      <c r="P440" s="314"/>
      <c r="Q440" s="435"/>
      <c r="R440" s="435"/>
      <c r="S440" s="747"/>
      <c r="T440" s="748"/>
      <c r="U440" s="435"/>
      <c r="V440" s="740"/>
      <c r="W440" s="435"/>
      <c r="X440" s="435"/>
      <c r="Y440" s="435"/>
      <c r="Z440" s="749"/>
      <c r="AA440" s="749"/>
      <c r="AB440" s="435"/>
      <c r="AC440" s="750"/>
      <c r="AD440" s="324"/>
      <c r="AE440" s="180"/>
      <c r="AF440" s="155"/>
      <c r="AG440" s="322"/>
      <c r="AH440" s="155"/>
      <c r="AI440" s="132"/>
    </row>
    <row r="441">
      <c r="A441" s="477"/>
      <c r="B441" s="312"/>
      <c r="C441" s="745"/>
      <c r="D441" s="751"/>
      <c r="E441" s="316"/>
      <c r="F441" s="316"/>
      <c r="G441" s="314"/>
      <c r="H441" s="318"/>
      <c r="I441" s="435"/>
      <c r="J441" s="435"/>
      <c r="K441" s="435"/>
      <c r="L441" s="314"/>
      <c r="M441" s="435"/>
      <c r="N441" s="314"/>
      <c r="O441" s="318"/>
      <c r="P441" s="314"/>
      <c r="Q441" s="435"/>
      <c r="R441" s="435"/>
      <c r="S441" s="747"/>
      <c r="T441" s="748"/>
      <c r="U441" s="435"/>
      <c r="V441" s="740"/>
      <c r="W441" s="435"/>
      <c r="X441" s="435"/>
      <c r="Y441" s="435"/>
      <c r="Z441" s="749"/>
      <c r="AA441" s="749"/>
      <c r="AB441" s="435"/>
      <c r="AC441" s="750"/>
      <c r="AD441" s="324"/>
      <c r="AE441" s="180"/>
      <c r="AF441" s="155"/>
      <c r="AG441" s="322"/>
      <c r="AH441" s="155"/>
      <c r="AI441" s="132"/>
    </row>
    <row r="442">
      <c r="A442" s="477"/>
      <c r="B442" s="312"/>
      <c r="C442" s="745"/>
      <c r="D442" s="751"/>
      <c r="E442" s="742"/>
      <c r="F442" s="316"/>
      <c r="G442" s="314"/>
      <c r="H442" s="740"/>
      <c r="I442" s="314"/>
      <c r="J442" s="314"/>
      <c r="K442" s="435"/>
      <c r="L442" s="314"/>
      <c r="M442" s="435"/>
      <c r="N442" s="435"/>
      <c r="O442" s="318"/>
      <c r="P442" s="435"/>
      <c r="Q442" s="435"/>
      <c r="R442" s="435"/>
      <c r="S442" s="747"/>
      <c r="T442" s="748"/>
      <c r="U442" s="435"/>
      <c r="V442" s="740"/>
      <c r="W442" s="435"/>
      <c r="X442" s="435"/>
      <c r="Y442" s="435"/>
      <c r="Z442" s="749"/>
      <c r="AA442" s="749"/>
      <c r="AB442" s="435"/>
      <c r="AC442" s="750"/>
      <c r="AD442" s="324"/>
      <c r="AE442" s="180"/>
      <c r="AF442" s="155"/>
      <c r="AG442" s="322"/>
      <c r="AH442" s="155"/>
      <c r="AI442" s="132"/>
    </row>
    <row r="443">
      <c r="A443" s="479"/>
      <c r="B443" s="312"/>
      <c r="C443" s="312"/>
      <c r="D443" s="717"/>
      <c r="E443" s="316"/>
      <c r="F443" s="316"/>
      <c r="G443" s="314"/>
      <c r="H443" s="318"/>
      <c r="I443" s="314"/>
      <c r="J443" s="314"/>
      <c r="K443" s="314"/>
      <c r="L443" s="314"/>
      <c r="M443" s="314"/>
      <c r="N443" s="314"/>
      <c r="O443" s="318"/>
      <c r="P443" s="314"/>
      <c r="Q443" s="435"/>
      <c r="R443" s="314"/>
      <c r="S443" s="718"/>
      <c r="T443" s="719"/>
      <c r="U443" s="314"/>
      <c r="V443" s="318"/>
      <c r="W443" s="314"/>
      <c r="X443" s="314"/>
      <c r="Y443" s="314"/>
      <c r="Z443" s="721"/>
      <c r="AA443" s="721"/>
      <c r="AB443" s="314"/>
      <c r="AC443" s="317"/>
      <c r="AD443" s="324"/>
      <c r="AE443" s="180"/>
      <c r="AF443" s="155"/>
      <c r="AG443" s="322"/>
      <c r="AH443" s="155"/>
      <c r="AI443" s="132"/>
    </row>
    <row r="444">
      <c r="A444" s="476"/>
      <c r="AF444" s="176"/>
      <c r="AG444" s="322"/>
      <c r="AH444" s="155"/>
      <c r="AI444" s="132"/>
    </row>
    <row r="445">
      <c r="A445" s="178"/>
      <c r="AG445" s="322"/>
      <c r="AH445" s="155"/>
      <c r="AI445" s="132"/>
    </row>
    <row r="446">
      <c r="A446" s="480"/>
      <c r="B446" s="312"/>
      <c r="C446" s="745"/>
      <c r="D446" s="717"/>
      <c r="E446" s="316"/>
      <c r="F446" s="316"/>
      <c r="G446" s="314"/>
      <c r="H446" s="318"/>
      <c r="I446" s="314"/>
      <c r="J446" s="435"/>
      <c r="K446" s="435"/>
      <c r="L446" s="314"/>
      <c r="M446" s="314"/>
      <c r="N446" s="314"/>
      <c r="O446" s="318"/>
      <c r="P446" s="314"/>
      <c r="Q446" s="435"/>
      <c r="R446" s="314"/>
      <c r="S446" s="718"/>
      <c r="T446" s="719"/>
      <c r="U446" s="314"/>
      <c r="V446" s="318"/>
      <c r="W446" s="314"/>
      <c r="X446" s="314"/>
      <c r="Y446" s="314"/>
      <c r="Z446" s="721"/>
      <c r="AA446" s="721"/>
      <c r="AB446" s="314"/>
      <c r="AC446" s="317"/>
      <c r="AD446" s="324"/>
      <c r="AE446" s="180"/>
      <c r="AF446" s="180"/>
      <c r="AG446" s="322"/>
      <c r="AH446" s="155"/>
      <c r="AI446" s="132"/>
    </row>
    <row r="447">
      <c r="A447" s="480"/>
      <c r="B447" s="312"/>
      <c r="C447" s="745"/>
      <c r="D447" s="717"/>
      <c r="E447" s="316"/>
      <c r="F447" s="316"/>
      <c r="G447" s="314"/>
      <c r="H447" s="740"/>
      <c r="I447" s="314"/>
      <c r="J447" s="435"/>
      <c r="K447" s="435"/>
      <c r="L447" s="314"/>
      <c r="M447" s="435"/>
      <c r="N447" s="435"/>
      <c r="O447" s="318"/>
      <c r="P447" s="435"/>
      <c r="Q447" s="435"/>
      <c r="R447" s="314"/>
      <c r="S447" s="747"/>
      <c r="T447" s="748"/>
      <c r="U447" s="435"/>
      <c r="V447" s="740"/>
      <c r="W447" s="435"/>
      <c r="X447" s="435"/>
      <c r="Y447" s="435"/>
      <c r="Z447" s="749"/>
      <c r="AA447" s="749"/>
      <c r="AB447" s="435"/>
      <c r="AC447" s="750"/>
      <c r="AD447" s="324"/>
      <c r="AE447" s="180"/>
      <c r="AF447" s="180"/>
      <c r="AG447" s="322"/>
      <c r="AH447" s="132"/>
      <c r="AI447" s="132"/>
    </row>
    <row r="448">
      <c r="A448" s="476"/>
      <c r="AF448" s="176"/>
      <c r="AG448" s="322"/>
      <c r="AH448" s="132"/>
      <c r="AI448" s="132"/>
    </row>
    <row r="449">
      <c r="A449" s="178"/>
      <c r="AG449" s="322"/>
      <c r="AH449" s="132"/>
      <c r="AI449" s="132"/>
    </row>
    <row r="450">
      <c r="A450" s="481"/>
      <c r="B450" s="312"/>
      <c r="C450" s="745"/>
      <c r="D450" s="751"/>
      <c r="E450" s="742"/>
      <c r="F450" s="316"/>
      <c r="G450" s="435"/>
      <c r="H450" s="740"/>
      <c r="I450" s="435"/>
      <c r="J450" s="314"/>
      <c r="K450" s="435"/>
      <c r="L450" s="435"/>
      <c r="M450" s="435"/>
      <c r="N450" s="314"/>
      <c r="O450" s="318"/>
      <c r="P450" s="435"/>
      <c r="Q450" s="435"/>
      <c r="R450" s="435"/>
      <c r="S450" s="747"/>
      <c r="T450" s="748"/>
      <c r="U450" s="435"/>
      <c r="V450" s="740"/>
      <c r="W450" s="435"/>
      <c r="X450" s="435"/>
      <c r="Y450" s="435"/>
      <c r="Z450" s="749"/>
      <c r="AA450" s="749"/>
      <c r="AB450" s="435"/>
      <c r="AC450" s="750"/>
      <c r="AD450" s="324"/>
      <c r="AE450" s="180"/>
      <c r="AF450" s="155"/>
      <c r="AG450" s="322"/>
      <c r="AH450" s="132"/>
      <c r="AI450" s="132"/>
    </row>
    <row r="451">
      <c r="A451" s="435"/>
      <c r="B451" s="312"/>
      <c r="C451" s="745"/>
      <c r="D451" s="751"/>
      <c r="E451" s="316"/>
      <c r="F451" s="316"/>
      <c r="G451" s="314"/>
      <c r="H451" s="740"/>
      <c r="I451" s="314"/>
      <c r="J451" s="435"/>
      <c r="K451" s="435"/>
      <c r="L451" s="314"/>
      <c r="M451" s="314"/>
      <c r="N451" s="314"/>
      <c r="O451" s="318"/>
      <c r="P451" s="435"/>
      <c r="Q451" s="435"/>
      <c r="R451" s="435"/>
      <c r="S451" s="747"/>
      <c r="T451" s="748"/>
      <c r="U451" s="435"/>
      <c r="V451" s="740"/>
      <c r="W451" s="435"/>
      <c r="X451" s="435"/>
      <c r="Y451" s="435"/>
      <c r="Z451" s="749"/>
      <c r="AA451" s="749"/>
      <c r="AB451" s="435"/>
      <c r="AC451" s="750"/>
      <c r="AD451" s="324"/>
      <c r="AE451" s="180"/>
      <c r="AF451" s="155"/>
      <c r="AG451" s="322"/>
      <c r="AH451" s="132"/>
      <c r="AI451" s="132"/>
    </row>
    <row r="452">
      <c r="A452" s="482"/>
      <c r="B452" s="312"/>
      <c r="C452" s="312"/>
      <c r="D452" s="751"/>
      <c r="E452" s="316"/>
      <c r="F452" s="316"/>
      <c r="G452" s="314"/>
      <c r="H452" s="318"/>
      <c r="I452" s="314"/>
      <c r="J452" s="314"/>
      <c r="K452" s="435"/>
      <c r="L452" s="314"/>
      <c r="M452" s="314"/>
      <c r="N452" s="314"/>
      <c r="O452" s="318"/>
      <c r="P452" s="314"/>
      <c r="Q452" s="314"/>
      <c r="R452" s="435"/>
      <c r="S452" s="718"/>
      <c r="T452" s="719"/>
      <c r="U452" s="314"/>
      <c r="V452" s="318"/>
      <c r="W452" s="314"/>
      <c r="X452" s="314"/>
      <c r="Y452" s="314"/>
      <c r="Z452" s="721"/>
      <c r="AA452" s="721"/>
      <c r="AB452" s="314"/>
      <c r="AC452" s="317"/>
      <c r="AD452" s="324"/>
      <c r="AE452" s="180"/>
      <c r="AF452" s="155"/>
      <c r="AG452" s="322"/>
      <c r="AH452" s="132"/>
      <c r="AI452" s="132"/>
    </row>
    <row r="453">
      <c r="A453" s="482"/>
      <c r="B453" s="312"/>
      <c r="C453" s="745"/>
      <c r="D453" s="751"/>
      <c r="E453" s="742"/>
      <c r="F453" s="316"/>
      <c r="G453" s="314"/>
      <c r="H453" s="740"/>
      <c r="I453" s="435"/>
      <c r="J453" s="435"/>
      <c r="K453" s="435"/>
      <c r="L453" s="435"/>
      <c r="M453" s="435"/>
      <c r="N453" s="435"/>
      <c r="O453" s="318"/>
      <c r="P453" s="435"/>
      <c r="Q453" s="435"/>
      <c r="R453" s="435"/>
      <c r="S453" s="747"/>
      <c r="T453" s="748"/>
      <c r="U453" s="435"/>
      <c r="V453" s="740"/>
      <c r="W453" s="435"/>
      <c r="X453" s="435"/>
      <c r="Y453" s="435"/>
      <c r="Z453" s="749"/>
      <c r="AA453" s="749"/>
      <c r="AB453" s="435"/>
      <c r="AC453" s="750"/>
      <c r="AD453" s="324"/>
      <c r="AE453" s="180"/>
      <c r="AF453" s="155"/>
      <c r="AG453" s="322"/>
      <c r="AH453" s="132"/>
      <c r="AI453" s="132"/>
    </row>
    <row r="454">
      <c r="A454" s="314"/>
      <c r="B454" s="312"/>
      <c r="C454" s="312"/>
      <c r="D454" s="717"/>
      <c r="E454" s="316"/>
      <c r="F454" s="316"/>
      <c r="G454" s="314"/>
      <c r="H454" s="318"/>
      <c r="I454" s="314"/>
      <c r="J454" s="314"/>
      <c r="K454" s="314"/>
      <c r="L454" s="314"/>
      <c r="M454" s="314"/>
      <c r="N454" s="314"/>
      <c r="O454" s="318"/>
      <c r="P454" s="314"/>
      <c r="Q454" s="314"/>
      <c r="R454" s="314"/>
      <c r="S454" s="718"/>
      <c r="T454" s="719"/>
      <c r="U454" s="314"/>
      <c r="V454" s="318"/>
      <c r="W454" s="314"/>
      <c r="X454" s="314"/>
      <c r="Y454" s="314"/>
      <c r="Z454" s="721"/>
      <c r="AA454" s="721"/>
      <c r="AB454" s="314"/>
      <c r="AC454" s="317"/>
      <c r="AD454" s="483"/>
      <c r="AF454" s="484"/>
      <c r="AG454" s="322"/>
      <c r="AH454" s="132"/>
      <c r="AI454" s="132"/>
    </row>
    <row r="455">
      <c r="A455" s="314"/>
      <c r="B455" s="312"/>
      <c r="C455" s="312"/>
      <c r="D455" s="717"/>
      <c r="E455" s="316"/>
      <c r="F455" s="316"/>
      <c r="G455" s="314"/>
      <c r="H455" s="318"/>
      <c r="I455" s="314"/>
      <c r="J455" s="314"/>
      <c r="K455" s="314"/>
      <c r="L455" s="314"/>
      <c r="M455" s="314"/>
      <c r="N455" s="314"/>
      <c r="O455" s="318"/>
      <c r="P455" s="314"/>
      <c r="Q455" s="314"/>
      <c r="R455" s="314"/>
      <c r="S455" s="718"/>
      <c r="T455" s="719"/>
      <c r="U455" s="314"/>
      <c r="V455" s="318"/>
      <c r="W455" s="314"/>
      <c r="X455" s="314"/>
      <c r="Y455" s="314"/>
      <c r="Z455" s="721"/>
      <c r="AA455" s="721"/>
      <c r="AB455" s="314"/>
      <c r="AC455" s="317"/>
      <c r="AD455" s="324"/>
      <c r="AE455" s="155"/>
      <c r="AF455" s="155"/>
      <c r="AG455" s="322"/>
      <c r="AH455" s="132"/>
      <c r="AI455" s="132"/>
    </row>
    <row r="456">
      <c r="A456" s="314"/>
      <c r="B456" s="312"/>
      <c r="C456" s="312"/>
      <c r="D456" s="717"/>
      <c r="E456" s="316"/>
      <c r="F456" s="316"/>
      <c r="G456" s="314"/>
      <c r="H456" s="318"/>
      <c r="I456" s="314"/>
      <c r="J456" s="314"/>
      <c r="K456" s="314"/>
      <c r="L456" s="314"/>
      <c r="M456" s="314"/>
      <c r="N456" s="314"/>
      <c r="O456" s="318"/>
      <c r="P456" s="314"/>
      <c r="Q456" s="314"/>
      <c r="R456" s="314"/>
      <c r="S456" s="718"/>
      <c r="T456" s="719"/>
      <c r="U456" s="314"/>
      <c r="V456" s="318"/>
      <c r="W456" s="314"/>
      <c r="X456" s="314"/>
      <c r="Y456" s="314"/>
      <c r="Z456" s="721"/>
      <c r="AA456" s="721"/>
      <c r="AB456" s="314"/>
      <c r="AC456" s="317"/>
      <c r="AD456" s="324"/>
      <c r="AE456" s="155"/>
      <c r="AF456" s="155"/>
      <c r="AG456" s="322"/>
      <c r="AH456" s="132"/>
      <c r="AI456" s="132"/>
    </row>
    <row r="457">
      <c r="A457" s="314"/>
      <c r="B457" s="312"/>
      <c r="C457" s="312"/>
      <c r="D457" s="717"/>
      <c r="E457" s="316"/>
      <c r="F457" s="316"/>
      <c r="G457" s="314"/>
      <c r="H457" s="318"/>
      <c r="I457" s="314"/>
      <c r="J457" s="314"/>
      <c r="K457" s="314"/>
      <c r="L457" s="314"/>
      <c r="M457" s="314"/>
      <c r="N457" s="314"/>
      <c r="O457" s="318"/>
      <c r="P457" s="314"/>
      <c r="Q457" s="314"/>
      <c r="R457" s="314"/>
      <c r="S457" s="718"/>
      <c r="T457" s="719"/>
      <c r="U457" s="314"/>
      <c r="V457" s="318"/>
      <c r="W457" s="314"/>
      <c r="X457" s="314"/>
      <c r="Y457" s="314"/>
      <c r="Z457" s="721"/>
      <c r="AA457" s="721"/>
      <c r="AB457" s="314"/>
      <c r="AC457" s="317"/>
      <c r="AD457" s="324"/>
      <c r="AE457" s="155"/>
      <c r="AF457" s="155"/>
      <c r="AG457" s="322"/>
      <c r="AH457" s="132"/>
      <c r="AI457" s="132"/>
    </row>
    <row r="458">
      <c r="A458" s="314"/>
      <c r="B458" s="312"/>
      <c r="C458" s="312"/>
      <c r="D458" s="717"/>
      <c r="E458" s="316"/>
      <c r="F458" s="316"/>
      <c r="G458" s="314"/>
      <c r="H458" s="318"/>
      <c r="I458" s="314"/>
      <c r="J458" s="314"/>
      <c r="K458" s="314"/>
      <c r="L458" s="314"/>
      <c r="M458" s="314"/>
      <c r="N458" s="314"/>
      <c r="O458" s="318"/>
      <c r="P458" s="314"/>
      <c r="Q458" s="314"/>
      <c r="R458" s="314"/>
      <c r="S458" s="718"/>
      <c r="T458" s="719"/>
      <c r="U458" s="314"/>
      <c r="V458" s="318"/>
      <c r="W458" s="314"/>
      <c r="X458" s="314"/>
      <c r="Y458" s="314"/>
      <c r="Z458" s="721"/>
      <c r="AA458" s="721"/>
      <c r="AB458" s="314"/>
      <c r="AC458" s="317"/>
      <c r="AD458" s="324"/>
      <c r="AE458" s="155"/>
      <c r="AF458" s="155"/>
      <c r="AG458" s="322"/>
      <c r="AH458" s="132"/>
      <c r="AI458" s="132"/>
    </row>
    <row r="459">
      <c r="A459" s="314"/>
      <c r="B459" s="312"/>
      <c r="C459" s="312"/>
      <c r="D459" s="717"/>
      <c r="E459" s="316"/>
      <c r="F459" s="316"/>
      <c r="G459" s="314"/>
      <c r="H459" s="318"/>
      <c r="I459" s="314"/>
      <c r="J459" s="314"/>
      <c r="K459" s="314"/>
      <c r="L459" s="314"/>
      <c r="M459" s="314"/>
      <c r="N459" s="314"/>
      <c r="O459" s="318"/>
      <c r="P459" s="314"/>
      <c r="Q459" s="314"/>
      <c r="R459" s="314"/>
      <c r="S459" s="718"/>
      <c r="T459" s="719"/>
      <c r="U459" s="314"/>
      <c r="V459" s="318"/>
      <c r="W459" s="314"/>
      <c r="X459" s="314"/>
      <c r="Y459" s="314"/>
      <c r="Z459" s="721"/>
      <c r="AA459" s="721"/>
      <c r="AB459" s="314"/>
      <c r="AC459" s="317"/>
      <c r="AD459" s="324"/>
      <c r="AE459" s="155"/>
      <c r="AF459" s="155"/>
      <c r="AG459" s="322"/>
      <c r="AH459" s="132"/>
      <c r="AI459" s="132"/>
    </row>
    <row r="460">
      <c r="A460" s="314"/>
      <c r="B460" s="312"/>
      <c r="C460" s="312"/>
      <c r="D460" s="717"/>
      <c r="E460" s="316"/>
      <c r="F460" s="316"/>
      <c r="G460" s="314"/>
      <c r="H460" s="318"/>
      <c r="I460" s="314"/>
      <c r="J460" s="314"/>
      <c r="K460" s="314"/>
      <c r="L460" s="314"/>
      <c r="M460" s="314"/>
      <c r="N460" s="314"/>
      <c r="O460" s="318"/>
      <c r="P460" s="314"/>
      <c r="Q460" s="314"/>
      <c r="R460" s="314"/>
      <c r="S460" s="718"/>
      <c r="T460" s="719"/>
      <c r="U460" s="314"/>
      <c r="V460" s="318"/>
      <c r="W460" s="314"/>
      <c r="X460" s="314"/>
      <c r="Y460" s="314"/>
      <c r="Z460" s="721"/>
      <c r="AA460" s="721"/>
      <c r="AB460" s="314"/>
      <c r="AC460" s="317"/>
      <c r="AD460" s="324"/>
      <c r="AE460" s="155"/>
      <c r="AF460" s="155"/>
      <c r="AG460" s="322"/>
      <c r="AH460" s="132"/>
      <c r="AI460" s="132"/>
    </row>
    <row r="461">
      <c r="A461" s="314"/>
      <c r="B461" s="312"/>
      <c r="C461" s="312"/>
      <c r="D461" s="717"/>
      <c r="E461" s="316"/>
      <c r="F461" s="316"/>
      <c r="G461" s="314"/>
      <c r="H461" s="318"/>
      <c r="I461" s="314"/>
      <c r="J461" s="314"/>
      <c r="K461" s="314"/>
      <c r="L461" s="314"/>
      <c r="M461" s="314"/>
      <c r="N461" s="314"/>
      <c r="O461" s="318"/>
      <c r="P461" s="314"/>
      <c r="Q461" s="314"/>
      <c r="R461" s="314"/>
      <c r="S461" s="718"/>
      <c r="T461" s="719"/>
      <c r="U461" s="314"/>
      <c r="V461" s="318"/>
      <c r="W461" s="314"/>
      <c r="X461" s="314"/>
      <c r="Y461" s="314"/>
      <c r="Z461" s="721"/>
      <c r="AA461" s="721"/>
      <c r="AB461" s="314"/>
      <c r="AC461" s="317"/>
      <c r="AD461" s="324"/>
      <c r="AE461" s="155"/>
      <c r="AF461" s="155"/>
      <c r="AG461" s="322"/>
      <c r="AH461" s="132"/>
      <c r="AI461" s="132"/>
    </row>
    <row r="462">
      <c r="A462" s="314"/>
      <c r="B462" s="312"/>
      <c r="C462" s="312"/>
      <c r="D462" s="717"/>
      <c r="E462" s="316"/>
      <c r="F462" s="316"/>
      <c r="G462" s="314"/>
      <c r="H462" s="318"/>
      <c r="I462" s="314"/>
      <c r="J462" s="314"/>
      <c r="K462" s="314"/>
      <c r="L462" s="314"/>
      <c r="M462" s="314"/>
      <c r="N462" s="314"/>
      <c r="O462" s="318"/>
      <c r="P462" s="314"/>
      <c r="Q462" s="314"/>
      <c r="R462" s="314"/>
      <c r="S462" s="718"/>
      <c r="T462" s="719"/>
      <c r="U462" s="314"/>
      <c r="V462" s="318"/>
      <c r="W462" s="314"/>
      <c r="X462" s="314"/>
      <c r="Y462" s="314"/>
      <c r="Z462" s="721"/>
      <c r="AA462" s="721"/>
      <c r="AB462" s="314"/>
      <c r="AC462" s="317"/>
      <c r="AD462" s="324"/>
      <c r="AE462" s="155"/>
      <c r="AF462" s="155"/>
      <c r="AG462" s="322"/>
      <c r="AH462" s="132"/>
      <c r="AI462" s="132"/>
    </row>
    <row r="463">
      <c r="A463" s="314"/>
      <c r="B463" s="312"/>
      <c r="C463" s="312"/>
      <c r="D463" s="717"/>
      <c r="E463" s="316"/>
      <c r="F463" s="316"/>
      <c r="G463" s="314"/>
      <c r="H463" s="318"/>
      <c r="I463" s="314"/>
      <c r="J463" s="314"/>
      <c r="K463" s="314"/>
      <c r="L463" s="314"/>
      <c r="M463" s="314"/>
      <c r="N463" s="314"/>
      <c r="O463" s="318"/>
      <c r="P463" s="314"/>
      <c r="Q463" s="314"/>
      <c r="R463" s="314"/>
      <c r="S463" s="718"/>
      <c r="T463" s="719"/>
      <c r="U463" s="314"/>
      <c r="V463" s="318"/>
      <c r="W463" s="314"/>
      <c r="X463" s="314"/>
      <c r="Y463" s="314"/>
      <c r="Z463" s="721"/>
      <c r="AA463" s="721"/>
      <c r="AB463" s="314"/>
      <c r="AC463" s="317"/>
      <c r="AD463" s="324"/>
      <c r="AE463" s="155"/>
      <c r="AF463" s="155"/>
      <c r="AG463" s="322"/>
      <c r="AH463" s="132"/>
      <c r="AI463" s="132"/>
    </row>
    <row r="464">
      <c r="A464" s="314"/>
      <c r="B464" s="312"/>
      <c r="C464" s="312"/>
      <c r="D464" s="717"/>
      <c r="E464" s="316"/>
      <c r="F464" s="316"/>
      <c r="G464" s="314"/>
      <c r="H464" s="318"/>
      <c r="I464" s="314"/>
      <c r="J464" s="314"/>
      <c r="K464" s="314"/>
      <c r="L464" s="314"/>
      <c r="M464" s="314"/>
      <c r="N464" s="314"/>
      <c r="O464" s="318"/>
      <c r="P464" s="314"/>
      <c r="Q464" s="314"/>
      <c r="R464" s="314"/>
      <c r="S464" s="718"/>
      <c r="T464" s="719"/>
      <c r="U464" s="314"/>
      <c r="V464" s="318"/>
      <c r="W464" s="314"/>
      <c r="X464" s="314"/>
      <c r="Y464" s="314"/>
      <c r="Z464" s="721"/>
      <c r="AA464" s="721"/>
      <c r="AB464" s="314"/>
      <c r="AC464" s="317"/>
      <c r="AD464" s="324"/>
      <c r="AE464" s="155"/>
      <c r="AF464" s="155"/>
      <c r="AG464" s="322"/>
      <c r="AH464" s="132"/>
      <c r="AI464" s="132"/>
    </row>
    <row r="465">
      <c r="A465" s="314"/>
      <c r="B465" s="312"/>
      <c r="C465" s="312"/>
      <c r="D465" s="717"/>
      <c r="E465" s="316"/>
      <c r="F465" s="316"/>
      <c r="G465" s="314"/>
      <c r="H465" s="318"/>
      <c r="I465" s="314"/>
      <c r="J465" s="314"/>
      <c r="K465" s="314"/>
      <c r="L465" s="314"/>
      <c r="M465" s="314"/>
      <c r="N465" s="314"/>
      <c r="O465" s="318"/>
      <c r="P465" s="314"/>
      <c r="Q465" s="314"/>
      <c r="R465" s="314"/>
      <c r="S465" s="718"/>
      <c r="T465" s="719"/>
      <c r="U465" s="314"/>
      <c r="V465" s="318"/>
      <c r="W465" s="314"/>
      <c r="X465" s="314"/>
      <c r="Y465" s="314"/>
      <c r="Z465" s="721"/>
      <c r="AA465" s="721"/>
      <c r="AB465" s="314"/>
      <c r="AC465" s="317"/>
      <c r="AD465" s="324"/>
      <c r="AE465" s="155"/>
      <c r="AF465" s="155"/>
      <c r="AG465" s="322"/>
      <c r="AH465" s="132"/>
      <c r="AI465" s="132"/>
    </row>
    <row r="466">
      <c r="A466" s="314"/>
      <c r="B466" s="312"/>
      <c r="C466" s="312"/>
      <c r="D466" s="717"/>
      <c r="E466" s="316"/>
      <c r="F466" s="316"/>
      <c r="G466" s="314"/>
      <c r="H466" s="318"/>
      <c r="I466" s="314"/>
      <c r="J466" s="314"/>
      <c r="K466" s="314"/>
      <c r="L466" s="314"/>
      <c r="M466" s="314"/>
      <c r="N466" s="314"/>
      <c r="O466" s="318"/>
      <c r="P466" s="314"/>
      <c r="Q466" s="314"/>
      <c r="R466" s="314"/>
      <c r="S466" s="718"/>
      <c r="T466" s="719"/>
      <c r="U466" s="314"/>
      <c r="V466" s="318"/>
      <c r="W466" s="314"/>
      <c r="X466" s="314"/>
      <c r="Y466" s="314"/>
      <c r="Z466" s="721"/>
      <c r="AA466" s="721"/>
      <c r="AB466" s="314"/>
      <c r="AC466" s="317"/>
      <c r="AD466" s="324"/>
      <c r="AE466" s="155"/>
      <c r="AF466" s="155"/>
      <c r="AG466" s="322"/>
      <c r="AH466" s="132"/>
      <c r="AI466" s="132"/>
    </row>
    <row r="467">
      <c r="A467" s="314"/>
      <c r="B467" s="312"/>
      <c r="C467" s="312"/>
      <c r="D467" s="717"/>
      <c r="E467" s="316"/>
      <c r="F467" s="316"/>
      <c r="G467" s="314"/>
      <c r="H467" s="318"/>
      <c r="I467" s="314"/>
      <c r="J467" s="314"/>
      <c r="K467" s="314"/>
      <c r="L467" s="314"/>
      <c r="M467" s="314"/>
      <c r="N467" s="314"/>
      <c r="O467" s="318"/>
      <c r="P467" s="314"/>
      <c r="Q467" s="314"/>
      <c r="R467" s="314"/>
      <c r="S467" s="718"/>
      <c r="T467" s="719"/>
      <c r="U467" s="314"/>
      <c r="V467" s="318"/>
      <c r="W467" s="314"/>
      <c r="X467" s="314"/>
      <c r="Y467" s="314"/>
      <c r="Z467" s="721"/>
      <c r="AA467" s="721"/>
      <c r="AB467" s="314"/>
      <c r="AC467" s="317"/>
      <c r="AD467" s="324"/>
      <c r="AE467" s="155"/>
      <c r="AF467" s="155"/>
      <c r="AG467" s="322"/>
      <c r="AH467" s="132"/>
      <c r="AI467" s="132"/>
    </row>
    <row r="468">
      <c r="A468" s="314"/>
      <c r="B468" s="312"/>
      <c r="C468" s="312"/>
      <c r="D468" s="717"/>
      <c r="E468" s="316"/>
      <c r="F468" s="316"/>
      <c r="G468" s="314"/>
      <c r="H468" s="318"/>
      <c r="I468" s="314"/>
      <c r="J468" s="314"/>
      <c r="K468" s="314"/>
      <c r="L468" s="314"/>
      <c r="M468" s="314"/>
      <c r="N468" s="314"/>
      <c r="O468" s="318"/>
      <c r="P468" s="314"/>
      <c r="Q468" s="314"/>
      <c r="R468" s="314"/>
      <c r="S468" s="718"/>
      <c r="T468" s="719"/>
      <c r="U468" s="314"/>
      <c r="V468" s="318"/>
      <c r="W468" s="314"/>
      <c r="X468" s="314"/>
      <c r="Y468" s="314"/>
      <c r="Z468" s="721"/>
      <c r="AA468" s="721"/>
      <c r="AB468" s="314"/>
      <c r="AC468" s="317"/>
      <c r="AD468" s="324"/>
      <c r="AE468" s="155"/>
      <c r="AF468" s="155"/>
      <c r="AG468" s="322"/>
      <c r="AH468" s="132"/>
      <c r="AI468" s="132"/>
    </row>
    <row r="469">
      <c r="A469" s="314"/>
      <c r="B469" s="312"/>
      <c r="C469" s="312"/>
      <c r="D469" s="717"/>
      <c r="E469" s="316"/>
      <c r="F469" s="316"/>
      <c r="G469" s="314"/>
      <c r="H469" s="318"/>
      <c r="I469" s="314"/>
      <c r="J469" s="314"/>
      <c r="K469" s="314"/>
      <c r="L469" s="314"/>
      <c r="M469" s="314"/>
      <c r="N469" s="314"/>
      <c r="O469" s="318"/>
      <c r="P469" s="314"/>
      <c r="Q469" s="314"/>
      <c r="R469" s="314"/>
      <c r="S469" s="718"/>
      <c r="T469" s="719"/>
      <c r="U469" s="314"/>
      <c r="V469" s="318"/>
      <c r="W469" s="314"/>
      <c r="X469" s="314"/>
      <c r="Y469" s="314"/>
      <c r="Z469" s="721"/>
      <c r="AA469" s="721"/>
      <c r="AB469" s="314"/>
      <c r="AC469" s="317"/>
      <c r="AD469" s="324"/>
      <c r="AE469" s="155"/>
      <c r="AF469" s="155"/>
      <c r="AG469" s="322"/>
      <c r="AH469" s="132"/>
      <c r="AI469" s="132"/>
    </row>
    <row r="470">
      <c r="A470" s="314"/>
      <c r="B470" s="312"/>
      <c r="C470" s="312"/>
      <c r="D470" s="717"/>
      <c r="E470" s="316"/>
      <c r="F470" s="316"/>
      <c r="G470" s="314"/>
      <c r="H470" s="318"/>
      <c r="I470" s="314"/>
      <c r="J470" s="314"/>
      <c r="K470" s="314"/>
      <c r="L470" s="314"/>
      <c r="M470" s="314"/>
      <c r="N470" s="314"/>
      <c r="O470" s="318"/>
      <c r="P470" s="314"/>
      <c r="Q470" s="314"/>
      <c r="R470" s="314"/>
      <c r="S470" s="718"/>
      <c r="T470" s="719"/>
      <c r="U470" s="314"/>
      <c r="V470" s="318"/>
      <c r="W470" s="314"/>
      <c r="X470" s="314"/>
      <c r="Y470" s="314"/>
      <c r="Z470" s="721"/>
      <c r="AA470" s="721"/>
      <c r="AB470" s="314"/>
      <c r="AC470" s="317"/>
      <c r="AD470" s="324"/>
      <c r="AE470" s="155"/>
      <c r="AF470" s="155"/>
      <c r="AG470" s="322"/>
      <c r="AH470" s="132"/>
      <c r="AI470" s="132"/>
    </row>
    <row r="471">
      <c r="A471" s="314"/>
      <c r="B471" s="312"/>
      <c r="C471" s="312"/>
      <c r="D471" s="717"/>
      <c r="E471" s="316"/>
      <c r="F471" s="316"/>
      <c r="G471" s="314"/>
      <c r="H471" s="318"/>
      <c r="I471" s="314"/>
      <c r="J471" s="314"/>
      <c r="K471" s="314"/>
      <c r="L471" s="314"/>
      <c r="M471" s="314"/>
      <c r="N471" s="314"/>
      <c r="O471" s="318"/>
      <c r="P471" s="314"/>
      <c r="Q471" s="314"/>
      <c r="R471" s="314"/>
      <c r="S471" s="718"/>
      <c r="T471" s="719"/>
      <c r="U471" s="314"/>
      <c r="V471" s="318"/>
      <c r="W471" s="314"/>
      <c r="X471" s="314"/>
      <c r="Y471" s="314"/>
      <c r="Z471" s="721"/>
      <c r="AA471" s="721"/>
      <c r="AB471" s="314"/>
      <c r="AC471" s="317"/>
      <c r="AD471" s="324"/>
      <c r="AE471" s="155"/>
      <c r="AF471" s="155"/>
      <c r="AG471" s="322"/>
      <c r="AH471" s="132"/>
      <c r="AI471" s="132"/>
    </row>
    <row r="472">
      <c r="A472" s="314"/>
      <c r="B472" s="312"/>
      <c r="C472" s="312"/>
      <c r="D472" s="717"/>
      <c r="E472" s="316"/>
      <c r="F472" s="316"/>
      <c r="G472" s="314"/>
      <c r="H472" s="318"/>
      <c r="I472" s="314"/>
      <c r="J472" s="314"/>
      <c r="K472" s="314"/>
      <c r="L472" s="314"/>
      <c r="M472" s="314"/>
      <c r="N472" s="314"/>
      <c r="O472" s="318"/>
      <c r="P472" s="314"/>
      <c r="Q472" s="314"/>
      <c r="R472" s="314"/>
      <c r="S472" s="718"/>
      <c r="T472" s="719"/>
      <c r="U472" s="314"/>
      <c r="V472" s="318"/>
      <c r="W472" s="314"/>
      <c r="X472" s="314"/>
      <c r="Y472" s="314"/>
      <c r="Z472" s="721"/>
      <c r="AA472" s="721"/>
      <c r="AB472" s="314"/>
      <c r="AC472" s="317"/>
      <c r="AD472" s="324"/>
      <c r="AE472" s="155"/>
      <c r="AF472" s="155"/>
      <c r="AG472" s="322"/>
      <c r="AH472" s="132"/>
      <c r="AI472" s="132"/>
    </row>
    <row r="473">
      <c r="A473" s="314"/>
      <c r="B473" s="312"/>
      <c r="C473" s="312"/>
      <c r="D473" s="717"/>
      <c r="E473" s="316"/>
      <c r="F473" s="316"/>
      <c r="G473" s="314"/>
      <c r="H473" s="318"/>
      <c r="I473" s="314"/>
      <c r="J473" s="314"/>
      <c r="K473" s="314"/>
      <c r="L473" s="314"/>
      <c r="M473" s="314"/>
      <c r="N473" s="314"/>
      <c r="O473" s="318"/>
      <c r="P473" s="314"/>
      <c r="Q473" s="314"/>
      <c r="R473" s="314"/>
      <c r="S473" s="718"/>
      <c r="T473" s="719"/>
      <c r="U473" s="314"/>
      <c r="V473" s="318"/>
      <c r="W473" s="314"/>
      <c r="X473" s="314"/>
      <c r="Y473" s="314"/>
      <c r="Z473" s="721"/>
      <c r="AA473" s="721"/>
      <c r="AB473" s="314"/>
      <c r="AC473" s="317"/>
      <c r="AD473" s="324"/>
      <c r="AE473" s="155"/>
      <c r="AF473" s="155"/>
      <c r="AG473" s="322"/>
      <c r="AH473" s="132"/>
      <c r="AI473" s="132"/>
    </row>
    <row r="474">
      <c r="A474" s="314"/>
      <c r="B474" s="312"/>
      <c r="C474" s="312"/>
      <c r="D474" s="717"/>
      <c r="E474" s="316"/>
      <c r="F474" s="316"/>
      <c r="G474" s="314"/>
      <c r="H474" s="318"/>
      <c r="I474" s="314"/>
      <c r="J474" s="314"/>
      <c r="K474" s="314"/>
      <c r="L474" s="314"/>
      <c r="M474" s="314"/>
      <c r="N474" s="314"/>
      <c r="O474" s="318"/>
      <c r="P474" s="314"/>
      <c r="Q474" s="314"/>
      <c r="R474" s="314"/>
      <c r="S474" s="718"/>
      <c r="T474" s="719"/>
      <c r="U474" s="314"/>
      <c r="V474" s="318"/>
      <c r="W474" s="314"/>
      <c r="X474" s="314"/>
      <c r="Y474" s="314"/>
      <c r="Z474" s="721"/>
      <c r="AA474" s="721"/>
      <c r="AB474" s="314"/>
      <c r="AC474" s="317"/>
      <c r="AD474" s="324"/>
      <c r="AE474" s="155"/>
      <c r="AF474" s="155"/>
      <c r="AG474" s="322"/>
      <c r="AH474" s="132"/>
      <c r="AI474" s="132"/>
    </row>
    <row r="475">
      <c r="A475" s="314"/>
      <c r="B475" s="312"/>
      <c r="C475" s="312"/>
      <c r="D475" s="717"/>
      <c r="E475" s="316"/>
      <c r="F475" s="316"/>
      <c r="G475" s="314"/>
      <c r="H475" s="318"/>
      <c r="I475" s="314"/>
      <c r="J475" s="314"/>
      <c r="K475" s="314"/>
      <c r="L475" s="314"/>
      <c r="M475" s="314"/>
      <c r="N475" s="314"/>
      <c r="O475" s="318"/>
      <c r="P475" s="314"/>
      <c r="Q475" s="314"/>
      <c r="R475" s="314"/>
      <c r="S475" s="718"/>
      <c r="T475" s="719"/>
      <c r="U475" s="314"/>
      <c r="V475" s="318"/>
      <c r="W475" s="314"/>
      <c r="X475" s="314"/>
      <c r="Y475" s="314"/>
      <c r="Z475" s="721"/>
      <c r="AA475" s="721"/>
      <c r="AB475" s="314"/>
      <c r="AC475" s="317"/>
      <c r="AD475" s="324"/>
      <c r="AE475" s="155"/>
      <c r="AF475" s="155"/>
      <c r="AG475" s="322"/>
      <c r="AH475" s="132"/>
      <c r="AI475" s="132"/>
    </row>
    <row r="476">
      <c r="A476" s="314"/>
      <c r="B476" s="312"/>
      <c r="C476" s="312"/>
      <c r="D476" s="717"/>
      <c r="E476" s="316"/>
      <c r="F476" s="316"/>
      <c r="G476" s="314"/>
      <c r="H476" s="318"/>
      <c r="I476" s="314"/>
      <c r="J476" s="314"/>
      <c r="K476" s="314"/>
      <c r="L476" s="314"/>
      <c r="M476" s="314"/>
      <c r="N476" s="314"/>
      <c r="O476" s="318"/>
      <c r="P476" s="314"/>
      <c r="Q476" s="314"/>
      <c r="R476" s="314"/>
      <c r="S476" s="718"/>
      <c r="T476" s="719"/>
      <c r="U476" s="314"/>
      <c r="V476" s="318"/>
      <c r="W476" s="314"/>
      <c r="X476" s="314"/>
      <c r="Y476" s="314"/>
      <c r="Z476" s="721"/>
      <c r="AA476" s="721"/>
      <c r="AB476" s="314"/>
      <c r="AC476" s="317"/>
      <c r="AD476" s="324"/>
      <c r="AE476" s="155"/>
      <c r="AF476" s="155"/>
      <c r="AG476" s="322"/>
      <c r="AH476" s="132"/>
      <c r="AI476" s="132"/>
    </row>
    <row r="477">
      <c r="A477" s="314"/>
      <c r="B477" s="312"/>
      <c r="C477" s="312"/>
      <c r="D477" s="717"/>
      <c r="E477" s="316"/>
      <c r="F477" s="316"/>
      <c r="G477" s="314"/>
      <c r="H477" s="318"/>
      <c r="I477" s="314"/>
      <c r="J477" s="314"/>
      <c r="K477" s="314"/>
      <c r="L477" s="314"/>
      <c r="M477" s="314"/>
      <c r="N477" s="314"/>
      <c r="O477" s="318"/>
      <c r="P477" s="314"/>
      <c r="Q477" s="314"/>
      <c r="R477" s="314"/>
      <c r="S477" s="718"/>
      <c r="T477" s="719"/>
      <c r="U477" s="314"/>
      <c r="V477" s="318"/>
      <c r="W477" s="314"/>
      <c r="X477" s="314"/>
      <c r="Y477" s="314"/>
      <c r="Z477" s="721"/>
      <c r="AA477" s="721"/>
      <c r="AB477" s="314"/>
      <c r="AC477" s="317"/>
      <c r="AD477" s="324"/>
      <c r="AE477" s="155"/>
      <c r="AF477" s="155"/>
      <c r="AG477" s="322"/>
      <c r="AH477" s="132"/>
      <c r="AI477" s="132"/>
    </row>
    <row r="478">
      <c r="A478" s="314"/>
      <c r="B478" s="312"/>
      <c r="C478" s="312"/>
      <c r="D478" s="717"/>
      <c r="E478" s="316"/>
      <c r="F478" s="316"/>
      <c r="G478" s="314"/>
      <c r="H478" s="318"/>
      <c r="I478" s="314"/>
      <c r="J478" s="314"/>
      <c r="K478" s="314"/>
      <c r="L478" s="314"/>
      <c r="M478" s="314"/>
      <c r="N478" s="314"/>
      <c r="O478" s="318"/>
      <c r="P478" s="314"/>
      <c r="Q478" s="314"/>
      <c r="R478" s="314"/>
      <c r="S478" s="718"/>
      <c r="T478" s="719"/>
      <c r="U478" s="314"/>
      <c r="V478" s="318"/>
      <c r="W478" s="314"/>
      <c r="X478" s="314"/>
      <c r="Y478" s="314"/>
      <c r="Z478" s="721"/>
      <c r="AA478" s="721"/>
      <c r="AB478" s="314"/>
      <c r="AC478" s="317"/>
      <c r="AD478" s="324"/>
      <c r="AE478" s="155"/>
      <c r="AF478" s="155"/>
      <c r="AG478" s="322"/>
      <c r="AH478" s="132"/>
      <c r="AI478" s="132"/>
    </row>
    <row r="479">
      <c r="A479" s="314"/>
      <c r="B479" s="312"/>
      <c r="C479" s="312"/>
      <c r="D479" s="717"/>
      <c r="E479" s="316"/>
      <c r="F479" s="316"/>
      <c r="G479" s="314"/>
      <c r="H479" s="318"/>
      <c r="I479" s="314"/>
      <c r="J479" s="314"/>
      <c r="K479" s="314"/>
      <c r="L479" s="314"/>
      <c r="M479" s="314"/>
      <c r="N479" s="314"/>
      <c r="O479" s="318"/>
      <c r="P479" s="314"/>
      <c r="Q479" s="314"/>
      <c r="R479" s="314"/>
      <c r="S479" s="718"/>
      <c r="T479" s="719"/>
      <c r="U479" s="314"/>
      <c r="V479" s="318"/>
      <c r="W479" s="314"/>
      <c r="X479" s="314"/>
      <c r="Y479" s="314"/>
      <c r="Z479" s="721"/>
      <c r="AA479" s="721"/>
      <c r="AB479" s="314"/>
      <c r="AC479" s="317"/>
      <c r="AD479" s="324"/>
      <c r="AE479" s="155"/>
      <c r="AF479" s="155"/>
      <c r="AG479" s="322"/>
      <c r="AH479" s="132"/>
      <c r="AI479" s="132"/>
    </row>
    <row r="480">
      <c r="A480" s="314"/>
      <c r="B480" s="312"/>
      <c r="C480" s="312"/>
      <c r="D480" s="717"/>
      <c r="E480" s="316"/>
      <c r="F480" s="316"/>
      <c r="G480" s="314"/>
      <c r="H480" s="318"/>
      <c r="I480" s="314"/>
      <c r="J480" s="314"/>
      <c r="K480" s="314"/>
      <c r="L480" s="314"/>
      <c r="M480" s="314"/>
      <c r="N480" s="314"/>
      <c r="O480" s="318"/>
      <c r="P480" s="314"/>
      <c r="Q480" s="314"/>
      <c r="R480" s="314"/>
      <c r="S480" s="718"/>
      <c r="T480" s="719"/>
      <c r="U480" s="314"/>
      <c r="V480" s="318"/>
      <c r="W480" s="314"/>
      <c r="X480" s="314"/>
      <c r="Y480" s="314"/>
      <c r="Z480" s="721"/>
      <c r="AA480" s="721"/>
      <c r="AB480" s="314"/>
      <c r="AC480" s="317"/>
      <c r="AD480" s="324"/>
      <c r="AE480" s="155"/>
      <c r="AF480" s="155"/>
      <c r="AG480" s="322"/>
      <c r="AH480" s="132"/>
      <c r="AI480" s="132"/>
    </row>
    <row r="481">
      <c r="A481" s="314"/>
      <c r="B481" s="312"/>
      <c r="C481" s="312"/>
      <c r="D481" s="717"/>
      <c r="E481" s="316"/>
      <c r="F481" s="316"/>
      <c r="G481" s="314"/>
      <c r="H481" s="318"/>
      <c r="I481" s="314"/>
      <c r="J481" s="314"/>
      <c r="K481" s="314"/>
      <c r="L481" s="314"/>
      <c r="M481" s="314"/>
      <c r="N481" s="314"/>
      <c r="O481" s="318"/>
      <c r="P481" s="314"/>
      <c r="Q481" s="314"/>
      <c r="R481" s="314"/>
      <c r="S481" s="718"/>
      <c r="T481" s="719"/>
      <c r="U481" s="314"/>
      <c r="V481" s="318"/>
      <c r="W481" s="314"/>
      <c r="X481" s="314"/>
      <c r="Y481" s="314"/>
      <c r="Z481" s="721"/>
      <c r="AA481" s="721"/>
      <c r="AB481" s="314"/>
      <c r="AC481" s="317"/>
      <c r="AD481" s="324"/>
      <c r="AE481" s="155"/>
      <c r="AF481" s="155"/>
      <c r="AG481" s="322"/>
      <c r="AH481" s="132"/>
      <c r="AI481" s="132"/>
    </row>
    <row r="482">
      <c r="A482" s="314"/>
      <c r="B482" s="312"/>
      <c r="C482" s="312"/>
      <c r="D482" s="717"/>
      <c r="E482" s="316"/>
      <c r="F482" s="316"/>
      <c r="G482" s="314"/>
      <c r="H482" s="318"/>
      <c r="I482" s="314"/>
      <c r="J482" s="314"/>
      <c r="K482" s="314"/>
      <c r="L482" s="314"/>
      <c r="M482" s="314"/>
      <c r="N482" s="314"/>
      <c r="O482" s="318"/>
      <c r="P482" s="314"/>
      <c r="Q482" s="314"/>
      <c r="R482" s="314"/>
      <c r="S482" s="718"/>
      <c r="T482" s="719"/>
      <c r="U482" s="314"/>
      <c r="V482" s="318"/>
      <c r="W482" s="314"/>
      <c r="X482" s="314"/>
      <c r="Y482" s="314"/>
      <c r="Z482" s="721"/>
      <c r="AA482" s="721"/>
      <c r="AB482" s="314"/>
      <c r="AC482" s="317"/>
      <c r="AD482" s="324"/>
      <c r="AE482" s="155"/>
      <c r="AF482" s="155"/>
      <c r="AG482" s="322"/>
      <c r="AH482" s="132"/>
      <c r="AI482" s="132"/>
    </row>
    <row r="483">
      <c r="A483" s="314"/>
      <c r="B483" s="312"/>
      <c r="C483" s="312"/>
      <c r="D483" s="717"/>
      <c r="E483" s="316"/>
      <c r="F483" s="316"/>
      <c r="G483" s="314"/>
      <c r="H483" s="318"/>
      <c r="I483" s="314"/>
      <c r="J483" s="314"/>
      <c r="K483" s="314"/>
      <c r="L483" s="314"/>
      <c r="M483" s="314"/>
      <c r="N483" s="314"/>
      <c r="O483" s="318"/>
      <c r="P483" s="314"/>
      <c r="Q483" s="314"/>
      <c r="R483" s="314"/>
      <c r="S483" s="718"/>
      <c r="T483" s="719"/>
      <c r="U483" s="314"/>
      <c r="V483" s="318"/>
      <c r="W483" s="314"/>
      <c r="X483" s="314"/>
      <c r="Y483" s="314"/>
      <c r="Z483" s="721"/>
      <c r="AA483" s="721"/>
      <c r="AB483" s="314"/>
      <c r="AC483" s="317"/>
      <c r="AD483" s="324"/>
      <c r="AE483" s="155"/>
      <c r="AF483" s="155"/>
      <c r="AG483" s="322"/>
      <c r="AH483" s="132"/>
      <c r="AI483" s="132"/>
    </row>
    <row r="484">
      <c r="A484" s="314"/>
      <c r="B484" s="312"/>
      <c r="C484" s="312"/>
      <c r="D484" s="717"/>
      <c r="E484" s="316"/>
      <c r="F484" s="316"/>
      <c r="G484" s="314"/>
      <c r="H484" s="318"/>
      <c r="I484" s="314"/>
      <c r="J484" s="314"/>
      <c r="K484" s="314"/>
      <c r="L484" s="314"/>
      <c r="M484" s="314"/>
      <c r="N484" s="314"/>
      <c r="O484" s="318"/>
      <c r="P484" s="314"/>
      <c r="Q484" s="314"/>
      <c r="R484" s="314"/>
      <c r="S484" s="718"/>
      <c r="T484" s="719"/>
      <c r="U484" s="314"/>
      <c r="V484" s="318"/>
      <c r="W484" s="314"/>
      <c r="X484" s="314"/>
      <c r="Y484" s="314"/>
      <c r="Z484" s="721"/>
      <c r="AA484" s="721"/>
      <c r="AB484" s="314"/>
      <c r="AC484" s="317"/>
      <c r="AD484" s="324"/>
      <c r="AE484" s="155"/>
      <c r="AF484" s="155"/>
      <c r="AG484" s="322"/>
      <c r="AH484" s="132"/>
      <c r="AI484" s="132"/>
    </row>
    <row r="485">
      <c r="A485" s="314"/>
      <c r="B485" s="312"/>
      <c r="C485" s="312"/>
      <c r="D485" s="717"/>
      <c r="E485" s="316"/>
      <c r="F485" s="316"/>
      <c r="G485" s="314"/>
      <c r="H485" s="318"/>
      <c r="I485" s="314"/>
      <c r="J485" s="314"/>
      <c r="K485" s="314"/>
      <c r="L485" s="314"/>
      <c r="M485" s="314"/>
      <c r="N485" s="314"/>
      <c r="O485" s="318"/>
      <c r="P485" s="314"/>
      <c r="Q485" s="314"/>
      <c r="R485" s="314"/>
      <c r="S485" s="718"/>
      <c r="T485" s="719"/>
      <c r="U485" s="314"/>
      <c r="V485" s="318"/>
      <c r="W485" s="314"/>
      <c r="X485" s="314"/>
      <c r="Y485" s="314"/>
      <c r="Z485" s="721"/>
      <c r="AA485" s="721"/>
      <c r="AB485" s="314"/>
      <c r="AC485" s="317"/>
      <c r="AD485" s="324"/>
      <c r="AE485" s="155"/>
      <c r="AF485" s="155"/>
      <c r="AG485" s="322"/>
      <c r="AH485" s="132"/>
      <c r="AI485" s="132"/>
    </row>
    <row r="486">
      <c r="A486" s="314"/>
      <c r="B486" s="312"/>
      <c r="C486" s="312"/>
      <c r="D486" s="717"/>
      <c r="E486" s="316"/>
      <c r="F486" s="316"/>
      <c r="G486" s="314"/>
      <c r="H486" s="318"/>
      <c r="I486" s="314"/>
      <c r="J486" s="314"/>
      <c r="K486" s="314"/>
      <c r="L486" s="314"/>
      <c r="M486" s="314"/>
      <c r="N486" s="314"/>
      <c r="O486" s="318"/>
      <c r="P486" s="314"/>
      <c r="Q486" s="314"/>
      <c r="R486" s="314"/>
      <c r="S486" s="718"/>
      <c r="T486" s="719"/>
      <c r="U486" s="314"/>
      <c r="V486" s="318"/>
      <c r="W486" s="314"/>
      <c r="X486" s="314"/>
      <c r="Y486" s="314"/>
      <c r="Z486" s="721"/>
      <c r="AA486" s="721"/>
      <c r="AB486" s="314"/>
      <c r="AC486" s="317"/>
      <c r="AD486" s="324"/>
      <c r="AE486" s="155"/>
      <c r="AF486" s="155"/>
      <c r="AG486" s="322"/>
      <c r="AH486" s="132"/>
      <c r="AI486" s="132"/>
    </row>
    <row r="487">
      <c r="A487" s="314"/>
      <c r="B487" s="312"/>
      <c r="C487" s="312"/>
      <c r="D487" s="717"/>
      <c r="E487" s="316"/>
      <c r="F487" s="316"/>
      <c r="G487" s="314"/>
      <c r="H487" s="318"/>
      <c r="I487" s="314"/>
      <c r="J487" s="314"/>
      <c r="K487" s="314"/>
      <c r="L487" s="314"/>
      <c r="M487" s="314"/>
      <c r="N487" s="314"/>
      <c r="O487" s="318"/>
      <c r="P487" s="314"/>
      <c r="Q487" s="314"/>
      <c r="R487" s="314"/>
      <c r="S487" s="718"/>
      <c r="T487" s="719"/>
      <c r="U487" s="314"/>
      <c r="V487" s="318"/>
      <c r="W487" s="314"/>
      <c r="X487" s="314"/>
      <c r="Y487" s="314"/>
      <c r="Z487" s="721"/>
      <c r="AA487" s="721"/>
      <c r="AB487" s="314"/>
      <c r="AC487" s="317"/>
      <c r="AD487" s="324"/>
      <c r="AE487" s="155"/>
      <c r="AF487" s="155"/>
      <c r="AG487" s="322"/>
      <c r="AH487" s="132"/>
      <c r="AI487" s="132"/>
    </row>
    <row r="488">
      <c r="A488" s="314"/>
      <c r="B488" s="312"/>
      <c r="C488" s="312"/>
      <c r="D488" s="717"/>
      <c r="E488" s="316"/>
      <c r="F488" s="316"/>
      <c r="G488" s="314"/>
      <c r="H488" s="318"/>
      <c r="I488" s="314"/>
      <c r="J488" s="314"/>
      <c r="K488" s="314"/>
      <c r="L488" s="314"/>
      <c r="M488" s="314"/>
      <c r="N488" s="314"/>
      <c r="O488" s="318"/>
      <c r="P488" s="314"/>
      <c r="Q488" s="314"/>
      <c r="R488" s="314"/>
      <c r="S488" s="718"/>
      <c r="T488" s="719"/>
      <c r="U488" s="314"/>
      <c r="V488" s="318"/>
      <c r="W488" s="314"/>
      <c r="X488" s="314"/>
      <c r="Y488" s="314"/>
      <c r="Z488" s="721"/>
      <c r="AA488" s="721"/>
      <c r="AB488" s="314"/>
      <c r="AC488" s="317"/>
      <c r="AD488" s="324"/>
      <c r="AE488" s="155"/>
      <c r="AF488" s="155"/>
      <c r="AG488" s="322"/>
      <c r="AH488" s="132"/>
      <c r="AI488" s="132"/>
    </row>
    <row r="489">
      <c r="A489" s="314"/>
      <c r="B489" s="312"/>
      <c r="C489" s="312"/>
      <c r="D489" s="717"/>
      <c r="E489" s="316"/>
      <c r="F489" s="316"/>
      <c r="G489" s="314"/>
      <c r="H489" s="318"/>
      <c r="I489" s="314"/>
      <c r="J489" s="314"/>
      <c r="K489" s="314"/>
      <c r="L489" s="314"/>
      <c r="M489" s="314"/>
      <c r="N489" s="314"/>
      <c r="O489" s="318"/>
      <c r="P489" s="314"/>
      <c r="Q489" s="314"/>
      <c r="R489" s="314"/>
      <c r="S489" s="718"/>
      <c r="T489" s="719"/>
      <c r="U489" s="314"/>
      <c r="V489" s="318"/>
      <c r="W489" s="314"/>
      <c r="X489" s="314"/>
      <c r="Y489" s="314"/>
      <c r="Z489" s="721"/>
      <c r="AA489" s="721"/>
      <c r="AB489" s="314"/>
      <c r="AC489" s="317"/>
      <c r="AD489" s="324"/>
      <c r="AE489" s="155"/>
      <c r="AF489" s="155"/>
      <c r="AG489" s="322"/>
      <c r="AH489" s="132"/>
      <c r="AI489" s="132"/>
    </row>
    <row r="490">
      <c r="A490" s="314"/>
      <c r="B490" s="312"/>
      <c r="C490" s="312"/>
      <c r="D490" s="717"/>
      <c r="E490" s="316"/>
      <c r="F490" s="316"/>
      <c r="G490" s="314"/>
      <c r="H490" s="318"/>
      <c r="I490" s="314"/>
      <c r="J490" s="314"/>
      <c r="K490" s="314"/>
      <c r="L490" s="314"/>
      <c r="M490" s="314"/>
      <c r="N490" s="314"/>
      <c r="O490" s="318"/>
      <c r="P490" s="314"/>
      <c r="Q490" s="314"/>
      <c r="R490" s="314"/>
      <c r="S490" s="718"/>
      <c r="T490" s="719"/>
      <c r="U490" s="314"/>
      <c r="V490" s="318"/>
      <c r="W490" s="314"/>
      <c r="X490" s="314"/>
      <c r="Y490" s="314"/>
      <c r="Z490" s="721"/>
      <c r="AA490" s="721"/>
      <c r="AB490" s="314"/>
      <c r="AC490" s="317"/>
      <c r="AD490" s="324"/>
      <c r="AE490" s="155"/>
      <c r="AF490" s="155"/>
      <c r="AG490" s="322"/>
      <c r="AH490" s="132"/>
      <c r="AI490" s="132"/>
    </row>
    <row r="491">
      <c r="A491" s="314"/>
      <c r="B491" s="312"/>
      <c r="C491" s="312"/>
      <c r="D491" s="717"/>
      <c r="E491" s="316"/>
      <c r="F491" s="316"/>
      <c r="G491" s="314"/>
      <c r="H491" s="318"/>
      <c r="I491" s="314"/>
      <c r="J491" s="314"/>
      <c r="K491" s="314"/>
      <c r="L491" s="314"/>
      <c r="M491" s="314"/>
      <c r="N491" s="314"/>
      <c r="O491" s="318"/>
      <c r="P491" s="314"/>
      <c r="Q491" s="314"/>
      <c r="R491" s="314"/>
      <c r="S491" s="718"/>
      <c r="T491" s="719"/>
      <c r="U491" s="314"/>
      <c r="V491" s="318"/>
      <c r="W491" s="314"/>
      <c r="X491" s="314"/>
      <c r="Y491" s="314"/>
      <c r="Z491" s="721"/>
      <c r="AA491" s="721"/>
      <c r="AB491" s="314"/>
      <c r="AC491" s="317"/>
      <c r="AD491" s="324"/>
      <c r="AE491" s="155"/>
      <c r="AF491" s="155"/>
      <c r="AG491" s="322"/>
      <c r="AH491" s="132"/>
      <c r="AI491" s="132"/>
    </row>
    <row r="492">
      <c r="A492" s="314"/>
      <c r="B492" s="312"/>
      <c r="C492" s="312"/>
      <c r="D492" s="717"/>
      <c r="E492" s="316"/>
      <c r="F492" s="316"/>
      <c r="G492" s="314"/>
      <c r="H492" s="318"/>
      <c r="I492" s="314"/>
      <c r="J492" s="314"/>
      <c r="K492" s="314"/>
      <c r="L492" s="314"/>
      <c r="M492" s="314"/>
      <c r="N492" s="314"/>
      <c r="O492" s="318"/>
      <c r="P492" s="314"/>
      <c r="Q492" s="314"/>
      <c r="R492" s="314"/>
      <c r="S492" s="718"/>
      <c r="T492" s="719"/>
      <c r="U492" s="314"/>
      <c r="V492" s="318"/>
      <c r="W492" s="314"/>
      <c r="X492" s="314"/>
      <c r="Y492" s="314"/>
      <c r="Z492" s="721"/>
      <c r="AA492" s="721"/>
      <c r="AB492" s="314"/>
      <c r="AC492" s="317"/>
      <c r="AD492" s="324"/>
      <c r="AE492" s="155"/>
      <c r="AF492" s="155"/>
      <c r="AG492" s="322"/>
      <c r="AH492" s="132"/>
      <c r="AI492" s="132"/>
    </row>
    <row r="493">
      <c r="A493" s="314"/>
      <c r="B493" s="312"/>
      <c r="C493" s="312"/>
      <c r="D493" s="717"/>
      <c r="E493" s="316"/>
      <c r="F493" s="316"/>
      <c r="G493" s="314"/>
      <c r="H493" s="318"/>
      <c r="I493" s="314"/>
      <c r="J493" s="314"/>
      <c r="K493" s="314"/>
      <c r="L493" s="314"/>
      <c r="M493" s="314"/>
      <c r="N493" s="314"/>
      <c r="O493" s="318"/>
      <c r="P493" s="314"/>
      <c r="Q493" s="314"/>
      <c r="R493" s="314"/>
      <c r="S493" s="718"/>
      <c r="T493" s="719"/>
      <c r="U493" s="314"/>
      <c r="V493" s="318"/>
      <c r="W493" s="314"/>
      <c r="X493" s="314"/>
      <c r="Y493" s="314"/>
      <c r="Z493" s="721"/>
      <c r="AA493" s="721"/>
      <c r="AB493" s="314"/>
      <c r="AC493" s="317"/>
      <c r="AD493" s="324"/>
      <c r="AE493" s="155"/>
      <c r="AF493" s="155"/>
      <c r="AG493" s="322"/>
      <c r="AH493" s="132"/>
      <c r="AI493" s="132"/>
    </row>
    <row r="494">
      <c r="A494" s="314"/>
      <c r="B494" s="312"/>
      <c r="C494" s="312"/>
      <c r="D494" s="717"/>
      <c r="E494" s="316"/>
      <c r="F494" s="316"/>
      <c r="G494" s="314"/>
      <c r="H494" s="318"/>
      <c r="I494" s="314"/>
      <c r="J494" s="314"/>
      <c r="K494" s="314"/>
      <c r="L494" s="314"/>
      <c r="M494" s="314"/>
      <c r="N494" s="314"/>
      <c r="O494" s="318"/>
      <c r="P494" s="314"/>
      <c r="Q494" s="314"/>
      <c r="R494" s="314"/>
      <c r="S494" s="718"/>
      <c r="T494" s="719"/>
      <c r="U494" s="314"/>
      <c r="V494" s="318"/>
      <c r="W494" s="314"/>
      <c r="X494" s="314"/>
      <c r="Y494" s="314"/>
      <c r="Z494" s="721"/>
      <c r="AA494" s="721"/>
      <c r="AB494" s="314"/>
      <c r="AC494" s="317"/>
      <c r="AD494" s="324"/>
      <c r="AE494" s="155"/>
      <c r="AF494" s="155"/>
      <c r="AG494" s="322"/>
      <c r="AH494" s="132"/>
      <c r="AI494" s="132"/>
    </row>
    <row r="495">
      <c r="A495" s="314"/>
      <c r="B495" s="312"/>
      <c r="C495" s="312"/>
      <c r="D495" s="717"/>
      <c r="E495" s="316"/>
      <c r="F495" s="316"/>
      <c r="G495" s="314"/>
      <c r="H495" s="318"/>
      <c r="I495" s="314"/>
      <c r="J495" s="314"/>
      <c r="K495" s="314"/>
      <c r="L495" s="314"/>
      <c r="M495" s="314"/>
      <c r="N495" s="314"/>
      <c r="O495" s="318"/>
      <c r="P495" s="314"/>
      <c r="Q495" s="314"/>
      <c r="R495" s="314"/>
      <c r="S495" s="718"/>
      <c r="T495" s="719"/>
      <c r="U495" s="314"/>
      <c r="V495" s="318"/>
      <c r="W495" s="314"/>
      <c r="X495" s="314"/>
      <c r="Y495" s="314"/>
      <c r="Z495" s="721"/>
      <c r="AA495" s="721"/>
      <c r="AB495" s="314"/>
      <c r="AC495" s="317"/>
      <c r="AD495" s="324"/>
      <c r="AE495" s="155"/>
      <c r="AF495" s="155"/>
      <c r="AG495" s="322"/>
      <c r="AH495" s="132"/>
      <c r="AI495" s="132"/>
    </row>
    <row r="496">
      <c r="A496" s="314"/>
      <c r="B496" s="312"/>
      <c r="C496" s="312"/>
      <c r="D496" s="717"/>
      <c r="E496" s="316"/>
      <c r="F496" s="316"/>
      <c r="G496" s="314"/>
      <c r="H496" s="318"/>
      <c r="I496" s="314"/>
      <c r="J496" s="314"/>
      <c r="K496" s="314"/>
      <c r="L496" s="314"/>
      <c r="M496" s="314"/>
      <c r="N496" s="314"/>
      <c r="O496" s="318"/>
      <c r="P496" s="314"/>
      <c r="Q496" s="314"/>
      <c r="R496" s="314"/>
      <c r="S496" s="718"/>
      <c r="T496" s="719"/>
      <c r="U496" s="314"/>
      <c r="V496" s="318"/>
      <c r="W496" s="314"/>
      <c r="X496" s="314"/>
      <c r="Y496" s="314"/>
      <c r="Z496" s="721"/>
      <c r="AA496" s="721"/>
      <c r="AB496" s="314"/>
      <c r="AC496" s="317"/>
      <c r="AD496" s="324"/>
      <c r="AE496" s="155"/>
      <c r="AF496" s="155"/>
      <c r="AG496" s="322"/>
      <c r="AH496" s="132"/>
      <c r="AI496" s="132"/>
    </row>
    <row r="497">
      <c r="A497" s="314"/>
      <c r="B497" s="312"/>
      <c r="C497" s="312"/>
      <c r="D497" s="717"/>
      <c r="E497" s="316"/>
      <c r="F497" s="316"/>
      <c r="G497" s="314"/>
      <c r="H497" s="318"/>
      <c r="I497" s="314"/>
      <c r="J497" s="314"/>
      <c r="K497" s="314"/>
      <c r="L497" s="314"/>
      <c r="M497" s="314"/>
      <c r="N497" s="314"/>
      <c r="O497" s="318"/>
      <c r="P497" s="314"/>
      <c r="Q497" s="314"/>
      <c r="R497" s="314"/>
      <c r="S497" s="718"/>
      <c r="T497" s="719"/>
      <c r="U497" s="314"/>
      <c r="V497" s="318"/>
      <c r="W497" s="314"/>
      <c r="X497" s="314"/>
      <c r="Y497" s="314"/>
      <c r="Z497" s="721"/>
      <c r="AA497" s="721"/>
      <c r="AB497" s="314"/>
      <c r="AC497" s="317"/>
      <c r="AD497" s="324"/>
      <c r="AE497" s="155"/>
      <c r="AF497" s="155"/>
      <c r="AG497" s="322"/>
      <c r="AH497" s="132"/>
      <c r="AI497" s="132"/>
    </row>
    <row r="498">
      <c r="A498" s="314"/>
      <c r="B498" s="312"/>
      <c r="C498" s="312"/>
      <c r="D498" s="717"/>
      <c r="E498" s="316"/>
      <c r="F498" s="316"/>
      <c r="G498" s="314"/>
      <c r="H498" s="318"/>
      <c r="I498" s="314"/>
      <c r="J498" s="314"/>
      <c r="K498" s="314"/>
      <c r="L498" s="314"/>
      <c r="M498" s="314"/>
      <c r="N498" s="314"/>
      <c r="O498" s="318"/>
      <c r="P498" s="314"/>
      <c r="Q498" s="314"/>
      <c r="R498" s="314"/>
      <c r="S498" s="718"/>
      <c r="T498" s="719"/>
      <c r="U498" s="314"/>
      <c r="V498" s="318"/>
      <c r="W498" s="314"/>
      <c r="X498" s="314"/>
      <c r="Y498" s="314"/>
      <c r="Z498" s="721"/>
      <c r="AA498" s="721"/>
      <c r="AB498" s="314"/>
      <c r="AC498" s="317"/>
      <c r="AD498" s="324"/>
      <c r="AE498" s="155"/>
      <c r="AF498" s="155"/>
      <c r="AG498" s="322"/>
      <c r="AH498" s="132"/>
      <c r="AI498" s="132"/>
    </row>
    <row r="499">
      <c r="A499" s="314"/>
      <c r="B499" s="312"/>
      <c r="C499" s="312"/>
      <c r="D499" s="717"/>
      <c r="E499" s="316"/>
      <c r="F499" s="316"/>
      <c r="G499" s="314"/>
      <c r="H499" s="318"/>
      <c r="I499" s="314"/>
      <c r="J499" s="314"/>
      <c r="K499" s="314"/>
      <c r="L499" s="314"/>
      <c r="M499" s="314"/>
      <c r="N499" s="314"/>
      <c r="O499" s="318"/>
      <c r="P499" s="314"/>
      <c r="Q499" s="314"/>
      <c r="R499" s="314"/>
      <c r="S499" s="718"/>
      <c r="T499" s="719"/>
      <c r="U499" s="314"/>
      <c r="V499" s="318"/>
      <c r="W499" s="314"/>
      <c r="X499" s="314"/>
      <c r="Y499" s="314"/>
      <c r="Z499" s="721"/>
      <c r="AA499" s="721"/>
      <c r="AB499" s="314"/>
      <c r="AC499" s="317"/>
      <c r="AD499" s="324"/>
      <c r="AE499" s="155"/>
      <c r="AF499" s="155"/>
      <c r="AG499" s="322"/>
      <c r="AH499" s="132"/>
      <c r="AI499" s="132"/>
    </row>
    <row r="500">
      <c r="A500" s="314"/>
      <c r="B500" s="312"/>
      <c r="C500" s="312"/>
      <c r="D500" s="717"/>
      <c r="E500" s="316"/>
      <c r="F500" s="316"/>
      <c r="G500" s="314"/>
      <c r="H500" s="318"/>
      <c r="I500" s="314"/>
      <c r="J500" s="314"/>
      <c r="K500" s="314"/>
      <c r="L500" s="314"/>
      <c r="M500" s="314"/>
      <c r="N500" s="314"/>
      <c r="O500" s="318"/>
      <c r="P500" s="314"/>
      <c r="Q500" s="314"/>
      <c r="R500" s="314"/>
      <c r="S500" s="718"/>
      <c r="T500" s="719"/>
      <c r="U500" s="314"/>
      <c r="V500" s="318"/>
      <c r="W500" s="314"/>
      <c r="X500" s="314"/>
      <c r="Y500" s="314"/>
      <c r="Z500" s="721"/>
      <c r="AA500" s="721"/>
      <c r="AB500" s="314"/>
      <c r="AC500" s="317"/>
      <c r="AD500" s="324"/>
      <c r="AE500" s="155"/>
      <c r="AF500" s="155"/>
      <c r="AG500" s="322"/>
      <c r="AH500" s="132"/>
      <c r="AI500" s="132"/>
    </row>
    <row r="501">
      <c r="A501" s="314"/>
      <c r="B501" s="312"/>
      <c r="C501" s="312"/>
      <c r="D501" s="717"/>
      <c r="E501" s="316"/>
      <c r="F501" s="316"/>
      <c r="G501" s="314"/>
      <c r="H501" s="318"/>
      <c r="I501" s="314"/>
      <c r="J501" s="314"/>
      <c r="K501" s="314"/>
      <c r="L501" s="314"/>
      <c r="M501" s="314"/>
      <c r="N501" s="314"/>
      <c r="O501" s="318"/>
      <c r="P501" s="314"/>
      <c r="Q501" s="314"/>
      <c r="R501" s="314"/>
      <c r="S501" s="718"/>
      <c r="T501" s="719"/>
      <c r="U501" s="314"/>
      <c r="V501" s="318"/>
      <c r="W501" s="314"/>
      <c r="X501" s="314"/>
      <c r="Y501" s="314"/>
      <c r="Z501" s="721"/>
      <c r="AA501" s="721"/>
      <c r="AB501" s="314"/>
      <c r="AC501" s="317"/>
      <c r="AD501" s="324"/>
      <c r="AE501" s="155"/>
      <c r="AF501" s="155"/>
      <c r="AG501" s="322"/>
      <c r="AH501" s="132"/>
      <c r="AI501" s="132"/>
    </row>
    <row r="502">
      <c r="A502" s="314"/>
      <c r="B502" s="312"/>
      <c r="C502" s="312"/>
      <c r="D502" s="717"/>
      <c r="E502" s="316"/>
      <c r="F502" s="316"/>
      <c r="G502" s="314"/>
      <c r="H502" s="318"/>
      <c r="I502" s="314"/>
      <c r="J502" s="314"/>
      <c r="K502" s="314"/>
      <c r="L502" s="314"/>
      <c r="M502" s="314"/>
      <c r="N502" s="314"/>
      <c r="O502" s="318"/>
      <c r="P502" s="314"/>
      <c r="Q502" s="314"/>
      <c r="R502" s="314"/>
      <c r="S502" s="718"/>
      <c r="T502" s="719"/>
      <c r="U502" s="314"/>
      <c r="V502" s="318"/>
      <c r="W502" s="314"/>
      <c r="X502" s="314"/>
      <c r="Y502" s="314"/>
      <c r="Z502" s="721"/>
      <c r="AA502" s="721"/>
      <c r="AB502" s="314"/>
      <c r="AC502" s="317"/>
      <c r="AD502" s="324"/>
      <c r="AE502" s="155"/>
      <c r="AF502" s="155"/>
      <c r="AG502" s="322"/>
      <c r="AH502" s="132"/>
      <c r="AI502" s="132"/>
    </row>
    <row r="503">
      <c r="A503" s="314"/>
      <c r="B503" s="312"/>
      <c r="C503" s="312"/>
      <c r="D503" s="717"/>
      <c r="E503" s="316"/>
      <c r="F503" s="316"/>
      <c r="G503" s="314"/>
      <c r="H503" s="318"/>
      <c r="I503" s="314"/>
      <c r="J503" s="314"/>
      <c r="K503" s="314"/>
      <c r="L503" s="314"/>
      <c r="M503" s="314"/>
      <c r="N503" s="314"/>
      <c r="O503" s="318"/>
      <c r="P503" s="314"/>
      <c r="Q503" s="314"/>
      <c r="R503" s="314"/>
      <c r="S503" s="718"/>
      <c r="T503" s="719"/>
      <c r="U503" s="314"/>
      <c r="V503" s="318"/>
      <c r="W503" s="314"/>
      <c r="X503" s="314"/>
      <c r="Y503" s="314"/>
      <c r="Z503" s="721"/>
      <c r="AA503" s="721"/>
      <c r="AB503" s="314"/>
      <c r="AC503" s="317"/>
      <c r="AD503" s="324"/>
      <c r="AE503" s="155"/>
      <c r="AF503" s="155"/>
      <c r="AG503" s="322"/>
      <c r="AH503" s="132"/>
      <c r="AI503" s="132"/>
    </row>
    <row r="504">
      <c r="A504" s="314"/>
      <c r="B504" s="312"/>
      <c r="C504" s="312"/>
      <c r="D504" s="717"/>
      <c r="E504" s="316"/>
      <c r="F504" s="316"/>
      <c r="G504" s="314"/>
      <c r="H504" s="318"/>
      <c r="I504" s="314"/>
      <c r="J504" s="314"/>
      <c r="K504" s="314"/>
      <c r="L504" s="314"/>
      <c r="M504" s="314"/>
      <c r="N504" s="314"/>
      <c r="O504" s="318"/>
      <c r="P504" s="314"/>
      <c r="Q504" s="314"/>
      <c r="R504" s="314"/>
      <c r="S504" s="718"/>
      <c r="T504" s="719"/>
      <c r="U504" s="314"/>
      <c r="V504" s="318"/>
      <c r="W504" s="314"/>
      <c r="X504" s="314"/>
      <c r="Y504" s="314"/>
      <c r="Z504" s="721"/>
      <c r="AA504" s="721"/>
      <c r="AB504" s="314"/>
      <c r="AC504" s="317"/>
      <c r="AD504" s="324"/>
      <c r="AE504" s="155"/>
      <c r="AF504" s="155"/>
      <c r="AG504" s="322"/>
      <c r="AH504" s="132"/>
      <c r="AI504" s="132"/>
    </row>
    <row r="505">
      <c r="A505" s="314"/>
      <c r="B505" s="312"/>
      <c r="C505" s="312"/>
      <c r="D505" s="717"/>
      <c r="E505" s="316"/>
      <c r="F505" s="316"/>
      <c r="G505" s="314"/>
      <c r="H505" s="318"/>
      <c r="I505" s="314"/>
      <c r="J505" s="314"/>
      <c r="K505" s="314"/>
      <c r="L505" s="314"/>
      <c r="M505" s="314"/>
      <c r="N505" s="314"/>
      <c r="O505" s="318"/>
      <c r="P505" s="314"/>
      <c r="Q505" s="314"/>
      <c r="R505" s="314"/>
      <c r="S505" s="718"/>
      <c r="T505" s="719"/>
      <c r="U505" s="314"/>
      <c r="V505" s="318"/>
      <c r="W505" s="314"/>
      <c r="X505" s="314"/>
      <c r="Y505" s="314"/>
      <c r="Z505" s="721"/>
      <c r="AA505" s="721"/>
      <c r="AB505" s="314"/>
      <c r="AC505" s="317"/>
      <c r="AD505" s="324"/>
      <c r="AE505" s="155"/>
      <c r="AF505" s="155"/>
      <c r="AG505" s="322"/>
      <c r="AH505" s="132"/>
      <c r="AI505" s="132"/>
    </row>
    <row r="506">
      <c r="A506" s="314"/>
      <c r="B506" s="312"/>
      <c r="C506" s="312"/>
      <c r="D506" s="717"/>
      <c r="E506" s="316"/>
      <c r="F506" s="316"/>
      <c r="G506" s="314"/>
      <c r="H506" s="318"/>
      <c r="I506" s="314"/>
      <c r="J506" s="314"/>
      <c r="K506" s="314"/>
      <c r="L506" s="314"/>
      <c r="M506" s="314"/>
      <c r="N506" s="314"/>
      <c r="O506" s="318"/>
      <c r="P506" s="314"/>
      <c r="Q506" s="314"/>
      <c r="R506" s="314"/>
      <c r="S506" s="718"/>
      <c r="T506" s="719"/>
      <c r="U506" s="314"/>
      <c r="V506" s="318"/>
      <c r="W506" s="314"/>
      <c r="X506" s="314"/>
      <c r="Y506" s="314"/>
      <c r="Z506" s="721"/>
      <c r="AA506" s="721"/>
      <c r="AB506" s="314"/>
      <c r="AC506" s="317"/>
      <c r="AD506" s="324"/>
      <c r="AE506" s="155"/>
      <c r="AF506" s="155"/>
      <c r="AG506" s="322"/>
      <c r="AH506" s="132"/>
      <c r="AI506" s="132"/>
    </row>
    <row r="507">
      <c r="A507" s="314"/>
      <c r="B507" s="312"/>
      <c r="C507" s="312"/>
      <c r="D507" s="717"/>
      <c r="E507" s="316"/>
      <c r="F507" s="316"/>
      <c r="G507" s="314"/>
      <c r="H507" s="318"/>
      <c r="I507" s="314"/>
      <c r="J507" s="314"/>
      <c r="K507" s="314"/>
      <c r="L507" s="314"/>
      <c r="M507" s="314"/>
      <c r="N507" s="314"/>
      <c r="O507" s="318"/>
      <c r="P507" s="314"/>
      <c r="Q507" s="314"/>
      <c r="R507" s="314"/>
      <c r="S507" s="718"/>
      <c r="T507" s="719"/>
      <c r="U507" s="314"/>
      <c r="V507" s="318"/>
      <c r="W507" s="314"/>
      <c r="X507" s="314"/>
      <c r="Y507" s="314"/>
      <c r="Z507" s="721"/>
      <c r="AA507" s="721"/>
      <c r="AB507" s="314"/>
      <c r="AC507" s="317"/>
      <c r="AD507" s="324"/>
      <c r="AE507" s="155"/>
      <c r="AF507" s="155"/>
      <c r="AG507" s="322"/>
      <c r="AH507" s="132"/>
      <c r="AI507" s="132"/>
    </row>
    <row r="508">
      <c r="A508" s="314"/>
      <c r="B508" s="312"/>
      <c r="C508" s="312"/>
      <c r="D508" s="717"/>
      <c r="E508" s="316"/>
      <c r="F508" s="316"/>
      <c r="G508" s="314"/>
      <c r="H508" s="318"/>
      <c r="I508" s="314"/>
      <c r="J508" s="314"/>
      <c r="K508" s="314"/>
      <c r="L508" s="314"/>
      <c r="M508" s="314"/>
      <c r="N508" s="314"/>
      <c r="O508" s="318"/>
      <c r="P508" s="314"/>
      <c r="Q508" s="314"/>
      <c r="R508" s="314"/>
      <c r="S508" s="718"/>
      <c r="T508" s="719"/>
      <c r="U508" s="314"/>
      <c r="V508" s="318"/>
      <c r="W508" s="314"/>
      <c r="X508" s="314"/>
      <c r="Y508" s="314"/>
      <c r="Z508" s="721"/>
      <c r="AA508" s="721"/>
      <c r="AB508" s="314"/>
      <c r="AC508" s="317"/>
      <c r="AD508" s="324"/>
      <c r="AE508" s="155"/>
      <c r="AF508" s="155"/>
      <c r="AG508" s="322"/>
      <c r="AH508" s="132"/>
      <c r="AI508" s="132"/>
    </row>
    <row r="509">
      <c r="A509" s="314"/>
      <c r="B509" s="312"/>
      <c r="C509" s="312"/>
      <c r="D509" s="717"/>
      <c r="E509" s="316"/>
      <c r="F509" s="316"/>
      <c r="G509" s="314"/>
      <c r="H509" s="318"/>
      <c r="I509" s="314"/>
      <c r="J509" s="314"/>
      <c r="K509" s="314"/>
      <c r="L509" s="314"/>
      <c r="M509" s="314"/>
      <c r="N509" s="314"/>
      <c r="O509" s="318"/>
      <c r="P509" s="314"/>
      <c r="Q509" s="314"/>
      <c r="R509" s="314"/>
      <c r="S509" s="718"/>
      <c r="T509" s="719"/>
      <c r="U509" s="314"/>
      <c r="V509" s="318"/>
      <c r="W509" s="314"/>
      <c r="X509" s="314"/>
      <c r="Y509" s="314"/>
      <c r="Z509" s="721"/>
      <c r="AA509" s="721"/>
      <c r="AB509" s="314"/>
      <c r="AC509" s="317"/>
      <c r="AD509" s="324"/>
      <c r="AE509" s="155"/>
      <c r="AF509" s="155"/>
      <c r="AG509" s="322"/>
      <c r="AH509" s="132"/>
      <c r="AI509" s="132"/>
    </row>
    <row r="510">
      <c r="A510" s="314"/>
      <c r="B510" s="312"/>
      <c r="C510" s="312"/>
      <c r="D510" s="717"/>
      <c r="E510" s="316"/>
      <c r="F510" s="316"/>
      <c r="G510" s="314"/>
      <c r="H510" s="318"/>
      <c r="I510" s="314"/>
      <c r="J510" s="314"/>
      <c r="K510" s="314"/>
      <c r="L510" s="314"/>
      <c r="M510" s="314"/>
      <c r="N510" s="314"/>
      <c r="O510" s="318"/>
      <c r="P510" s="314"/>
      <c r="Q510" s="314"/>
      <c r="R510" s="314"/>
      <c r="S510" s="718"/>
      <c r="T510" s="719"/>
      <c r="U510" s="314"/>
      <c r="V510" s="318"/>
      <c r="W510" s="314"/>
      <c r="X510" s="314"/>
      <c r="Y510" s="314"/>
      <c r="Z510" s="721"/>
      <c r="AA510" s="721"/>
      <c r="AB510" s="314"/>
      <c r="AC510" s="317"/>
      <c r="AD510" s="324"/>
      <c r="AE510" s="155"/>
      <c r="AF510" s="155"/>
      <c r="AG510" s="322"/>
      <c r="AH510" s="132"/>
      <c r="AI510" s="132"/>
    </row>
    <row r="511">
      <c r="A511" s="314"/>
      <c r="B511" s="312"/>
      <c r="C511" s="312"/>
      <c r="D511" s="717"/>
      <c r="E511" s="316"/>
      <c r="F511" s="316"/>
      <c r="G511" s="314"/>
      <c r="H511" s="318"/>
      <c r="I511" s="314"/>
      <c r="J511" s="314"/>
      <c r="K511" s="314"/>
      <c r="L511" s="314"/>
      <c r="M511" s="314"/>
      <c r="N511" s="314"/>
      <c r="O511" s="318"/>
      <c r="P511" s="314"/>
      <c r="Q511" s="314"/>
      <c r="R511" s="314"/>
      <c r="S511" s="718"/>
      <c r="T511" s="719"/>
      <c r="U511" s="314"/>
      <c r="V511" s="318"/>
      <c r="W511" s="314"/>
      <c r="X511" s="314"/>
      <c r="Y511" s="314"/>
      <c r="Z511" s="721"/>
      <c r="AA511" s="721"/>
      <c r="AB511" s="314"/>
      <c r="AC511" s="317"/>
      <c r="AD511" s="324"/>
      <c r="AE511" s="155"/>
      <c r="AF511" s="155"/>
      <c r="AG511" s="322"/>
      <c r="AH511" s="132"/>
      <c r="AI511" s="132"/>
    </row>
    <row r="512">
      <c r="A512" s="314"/>
      <c r="B512" s="312"/>
      <c r="C512" s="312"/>
      <c r="D512" s="717"/>
      <c r="E512" s="316"/>
      <c r="F512" s="316"/>
      <c r="G512" s="314"/>
      <c r="H512" s="318"/>
      <c r="I512" s="314"/>
      <c r="J512" s="314"/>
      <c r="K512" s="314"/>
      <c r="L512" s="314"/>
      <c r="M512" s="314"/>
      <c r="N512" s="314"/>
      <c r="O512" s="318"/>
      <c r="P512" s="314"/>
      <c r="Q512" s="314"/>
      <c r="R512" s="314"/>
      <c r="S512" s="718"/>
      <c r="T512" s="719"/>
      <c r="U512" s="314"/>
      <c r="V512" s="318"/>
      <c r="W512" s="314"/>
      <c r="X512" s="314"/>
      <c r="Y512" s="314"/>
      <c r="Z512" s="721"/>
      <c r="AA512" s="721"/>
      <c r="AB512" s="314"/>
      <c r="AC512" s="317"/>
      <c r="AD512" s="324"/>
      <c r="AE512" s="155"/>
      <c r="AF512" s="155"/>
      <c r="AG512" s="322"/>
      <c r="AH512" s="132"/>
      <c r="AI512" s="132"/>
    </row>
    <row r="513">
      <c r="A513" s="314"/>
      <c r="B513" s="312"/>
      <c r="C513" s="312"/>
      <c r="D513" s="717"/>
      <c r="E513" s="316"/>
      <c r="F513" s="316"/>
      <c r="G513" s="314"/>
      <c r="H513" s="318"/>
      <c r="I513" s="314"/>
      <c r="J513" s="314"/>
      <c r="K513" s="314"/>
      <c r="L513" s="314"/>
      <c r="M513" s="314"/>
      <c r="N513" s="314"/>
      <c r="O513" s="318"/>
      <c r="P513" s="314"/>
      <c r="Q513" s="314"/>
      <c r="R513" s="314"/>
      <c r="S513" s="718"/>
      <c r="T513" s="719"/>
      <c r="U513" s="314"/>
      <c r="V513" s="318"/>
      <c r="W513" s="314"/>
      <c r="X513" s="314"/>
      <c r="Y513" s="314"/>
      <c r="Z513" s="721"/>
      <c r="AA513" s="721"/>
      <c r="AB513" s="314"/>
      <c r="AC513" s="317"/>
      <c r="AD513" s="324"/>
      <c r="AE513" s="155"/>
      <c r="AF513" s="155"/>
      <c r="AG513" s="322"/>
      <c r="AH513" s="132"/>
      <c r="AI513" s="132"/>
    </row>
    <row r="514">
      <c r="A514" s="314"/>
      <c r="B514" s="312"/>
      <c r="C514" s="312"/>
      <c r="D514" s="717"/>
      <c r="E514" s="316"/>
      <c r="F514" s="316"/>
      <c r="G514" s="314"/>
      <c r="H514" s="318"/>
      <c r="I514" s="314"/>
      <c r="J514" s="314"/>
      <c r="K514" s="314"/>
      <c r="L514" s="314"/>
      <c r="M514" s="314"/>
      <c r="N514" s="314"/>
      <c r="O514" s="318"/>
      <c r="P514" s="314"/>
      <c r="Q514" s="314"/>
      <c r="R514" s="314"/>
      <c r="S514" s="718"/>
      <c r="T514" s="719"/>
      <c r="U514" s="314"/>
      <c r="V514" s="318"/>
      <c r="W514" s="314"/>
      <c r="X514" s="314"/>
      <c r="Y514" s="314"/>
      <c r="Z514" s="721"/>
      <c r="AA514" s="721"/>
      <c r="AB514" s="314"/>
      <c r="AC514" s="317"/>
      <c r="AD514" s="324"/>
      <c r="AE514" s="155"/>
      <c r="AF514" s="155"/>
      <c r="AG514" s="322"/>
      <c r="AH514" s="132"/>
      <c r="AI514" s="132"/>
    </row>
    <row r="515">
      <c r="A515" s="314"/>
      <c r="B515" s="312"/>
      <c r="C515" s="312"/>
      <c r="D515" s="717"/>
      <c r="E515" s="316"/>
      <c r="F515" s="316"/>
      <c r="G515" s="314"/>
      <c r="H515" s="318"/>
      <c r="I515" s="314"/>
      <c r="J515" s="314"/>
      <c r="K515" s="314"/>
      <c r="L515" s="314"/>
      <c r="M515" s="314"/>
      <c r="N515" s="314"/>
      <c r="O515" s="318"/>
      <c r="P515" s="314"/>
      <c r="Q515" s="314"/>
      <c r="R515" s="314"/>
      <c r="S515" s="718"/>
      <c r="T515" s="719"/>
      <c r="U515" s="314"/>
      <c r="V515" s="318"/>
      <c r="W515" s="314"/>
      <c r="X515" s="314"/>
      <c r="Y515" s="314"/>
      <c r="Z515" s="721"/>
      <c r="AA515" s="721"/>
      <c r="AB515" s="314"/>
      <c r="AC515" s="317"/>
      <c r="AD515" s="324"/>
      <c r="AE515" s="155"/>
      <c r="AF515" s="155"/>
      <c r="AG515" s="322"/>
      <c r="AH515" s="132"/>
      <c r="AI515" s="132"/>
    </row>
    <row r="516">
      <c r="A516" s="314"/>
      <c r="B516" s="312"/>
      <c r="C516" s="312"/>
      <c r="D516" s="717"/>
      <c r="E516" s="316"/>
      <c r="F516" s="316"/>
      <c r="G516" s="314"/>
      <c r="H516" s="318"/>
      <c r="I516" s="314"/>
      <c r="J516" s="314"/>
      <c r="K516" s="314"/>
      <c r="L516" s="314"/>
      <c r="M516" s="314"/>
      <c r="N516" s="314"/>
      <c r="O516" s="318"/>
      <c r="P516" s="314"/>
      <c r="Q516" s="314"/>
      <c r="R516" s="314"/>
      <c r="S516" s="718"/>
      <c r="T516" s="719"/>
      <c r="U516" s="314"/>
      <c r="V516" s="318"/>
      <c r="W516" s="314"/>
      <c r="X516" s="314"/>
      <c r="Y516" s="314"/>
      <c r="Z516" s="721"/>
      <c r="AA516" s="721"/>
      <c r="AB516" s="314"/>
      <c r="AC516" s="317"/>
      <c r="AD516" s="324"/>
      <c r="AE516" s="155"/>
      <c r="AF516" s="155"/>
      <c r="AG516" s="322"/>
      <c r="AH516" s="132"/>
      <c r="AI516" s="132"/>
    </row>
    <row r="517">
      <c r="A517" s="314"/>
      <c r="B517" s="312"/>
      <c r="C517" s="312"/>
      <c r="D517" s="717"/>
      <c r="E517" s="316"/>
      <c r="F517" s="316"/>
      <c r="G517" s="314"/>
      <c r="H517" s="318"/>
      <c r="I517" s="314"/>
      <c r="J517" s="314"/>
      <c r="K517" s="314"/>
      <c r="L517" s="314"/>
      <c r="M517" s="314"/>
      <c r="N517" s="314"/>
      <c r="O517" s="318"/>
      <c r="P517" s="314"/>
      <c r="Q517" s="314"/>
      <c r="R517" s="314"/>
      <c r="S517" s="718"/>
      <c r="T517" s="719"/>
      <c r="U517" s="314"/>
      <c r="V517" s="318"/>
      <c r="W517" s="314"/>
      <c r="X517" s="314"/>
      <c r="Y517" s="314"/>
      <c r="Z517" s="721"/>
      <c r="AA517" s="721"/>
      <c r="AB517" s="314"/>
      <c r="AC517" s="317"/>
      <c r="AD517" s="324"/>
      <c r="AE517" s="155"/>
      <c r="AF517" s="155"/>
      <c r="AG517" s="322"/>
      <c r="AH517" s="132"/>
      <c r="AI517" s="132"/>
    </row>
    <row r="518">
      <c r="A518" s="435"/>
      <c r="B518" s="312"/>
      <c r="C518" s="745"/>
      <c r="D518" s="717"/>
      <c r="E518" s="742"/>
      <c r="F518" s="316"/>
      <c r="G518" s="314"/>
      <c r="H518" s="740"/>
      <c r="I518" s="435"/>
      <c r="J518" s="314"/>
      <c r="K518" s="435"/>
      <c r="L518" s="435"/>
      <c r="M518" s="314"/>
      <c r="N518" s="314"/>
      <c r="O518" s="318"/>
      <c r="P518" s="435"/>
      <c r="Q518" s="435"/>
      <c r="R518" s="435"/>
      <c r="S518" s="747"/>
      <c r="T518" s="748"/>
      <c r="U518" s="435"/>
      <c r="V518" s="740"/>
      <c r="W518" s="435"/>
      <c r="X518" s="435"/>
      <c r="Y518" s="435"/>
      <c r="Z518" s="749"/>
      <c r="AA518" s="749"/>
      <c r="AB518" s="435"/>
      <c r="AC518" s="750"/>
      <c r="AD518" s="324"/>
      <c r="AE518" s="180"/>
      <c r="AF518" s="155"/>
      <c r="AG518" s="322"/>
      <c r="AH518" s="132"/>
      <c r="AI518" s="132"/>
    </row>
    <row r="519">
      <c r="A519" s="435"/>
      <c r="B519" s="312"/>
      <c r="C519" s="312"/>
      <c r="D519" s="751"/>
      <c r="E519" s="316"/>
      <c r="F519" s="316"/>
      <c r="G519" s="314"/>
      <c r="H519" s="318"/>
      <c r="I519" s="314"/>
      <c r="J519" s="314"/>
      <c r="K519" s="314"/>
      <c r="L519" s="314"/>
      <c r="M519" s="435"/>
      <c r="N519" s="435"/>
      <c r="O519" s="318"/>
      <c r="P519" s="314"/>
      <c r="Q519" s="314"/>
      <c r="R519" s="314"/>
      <c r="S519" s="718"/>
      <c r="T519" s="719"/>
      <c r="U519" s="314"/>
      <c r="V519" s="318"/>
      <c r="W519" s="314"/>
      <c r="X519" s="314"/>
      <c r="Y519" s="314"/>
      <c r="Z519" s="721"/>
      <c r="AA519" s="721"/>
      <c r="AB519" s="314"/>
      <c r="AC519" s="317"/>
      <c r="AD519" s="324"/>
      <c r="AE519" s="180"/>
      <c r="AF519" s="155"/>
      <c r="AG519" s="322"/>
      <c r="AH519" s="132"/>
      <c r="AI519" s="132"/>
    </row>
    <row r="520">
      <c r="A520" s="435"/>
      <c r="B520" s="745"/>
      <c r="C520" s="745"/>
      <c r="D520" s="751"/>
      <c r="E520" s="742"/>
      <c r="F520" s="316"/>
      <c r="G520" s="314"/>
      <c r="H520" s="318"/>
      <c r="I520" s="435"/>
      <c r="J520" s="435"/>
      <c r="K520" s="435"/>
      <c r="L520" s="435"/>
      <c r="M520" s="435"/>
      <c r="N520" s="435"/>
      <c r="O520" s="318"/>
      <c r="P520" s="435"/>
      <c r="Q520" s="314"/>
      <c r="R520" s="435"/>
      <c r="S520" s="747"/>
      <c r="T520" s="748"/>
      <c r="U520" s="435"/>
      <c r="V520" s="740"/>
      <c r="W520" s="435"/>
      <c r="X520" s="435"/>
      <c r="Y520" s="435"/>
      <c r="Z520" s="749"/>
      <c r="AA520" s="749"/>
      <c r="AB520" s="435"/>
      <c r="AC520" s="750"/>
      <c r="AD520" s="324"/>
      <c r="AE520" s="180"/>
      <c r="AF520" s="155"/>
      <c r="AG520" s="322"/>
      <c r="AH520" s="132"/>
      <c r="AI520" s="132"/>
    </row>
    <row r="521">
      <c r="A521" s="435"/>
      <c r="B521" s="312"/>
      <c r="C521" s="312"/>
      <c r="D521" s="751"/>
      <c r="E521" s="316"/>
      <c r="F521" s="316"/>
      <c r="G521" s="314"/>
      <c r="H521" s="318"/>
      <c r="I521" s="435"/>
      <c r="J521" s="314"/>
      <c r="K521" s="435"/>
      <c r="L521" s="314"/>
      <c r="M521" s="314"/>
      <c r="N521" s="314"/>
      <c r="O521" s="318"/>
      <c r="P521" s="314"/>
      <c r="Q521" s="435"/>
      <c r="R521" s="435"/>
      <c r="S521" s="718"/>
      <c r="T521" s="719"/>
      <c r="U521" s="314"/>
      <c r="V521" s="318"/>
      <c r="W521" s="314"/>
      <c r="X521" s="314"/>
      <c r="Y521" s="314"/>
      <c r="Z521" s="721"/>
      <c r="AA521" s="721"/>
      <c r="AB521" s="314"/>
      <c r="AC521" s="317"/>
      <c r="AD521" s="324"/>
      <c r="AE521" s="180"/>
      <c r="AF521" s="155"/>
      <c r="AG521" s="322"/>
      <c r="AH521" s="132"/>
      <c r="AI521" s="132"/>
    </row>
    <row r="522">
      <c r="A522" s="435"/>
      <c r="B522" s="745"/>
      <c r="C522" s="745"/>
      <c r="D522" s="751"/>
      <c r="E522" s="742"/>
      <c r="F522" s="316"/>
      <c r="G522" s="314"/>
      <c r="H522" s="740"/>
      <c r="I522" s="435"/>
      <c r="J522" s="435"/>
      <c r="K522" s="435"/>
      <c r="L522" s="435"/>
      <c r="M522" s="435"/>
      <c r="N522" s="435"/>
      <c r="O522" s="318"/>
      <c r="P522" s="435"/>
      <c r="Q522" s="435"/>
      <c r="R522" s="435"/>
      <c r="S522" s="747"/>
      <c r="T522" s="748"/>
      <c r="U522" s="435"/>
      <c r="V522" s="740"/>
      <c r="W522" s="435"/>
      <c r="X522" s="435"/>
      <c r="Y522" s="435"/>
      <c r="Z522" s="749"/>
      <c r="AA522" s="749"/>
      <c r="AB522" s="435"/>
      <c r="AC522" s="750"/>
      <c r="AD522" s="324"/>
      <c r="AE522" s="180"/>
      <c r="AF522" s="155"/>
      <c r="AG522" s="322"/>
      <c r="AH522" s="132"/>
      <c r="AI522" s="132"/>
    </row>
    <row r="523">
      <c r="A523" s="435"/>
      <c r="B523" s="745"/>
      <c r="C523" s="312"/>
      <c r="D523" s="751"/>
      <c r="E523" s="316"/>
      <c r="F523" s="316"/>
      <c r="G523" s="314"/>
      <c r="H523" s="318"/>
      <c r="I523" s="314"/>
      <c r="J523" s="314"/>
      <c r="K523" s="435"/>
      <c r="L523" s="314"/>
      <c r="M523" s="314"/>
      <c r="N523" s="314"/>
      <c r="O523" s="318"/>
      <c r="P523" s="314"/>
      <c r="Q523" s="314"/>
      <c r="R523" s="314"/>
      <c r="S523" s="747"/>
      <c r="T523" s="748"/>
      <c r="U523" s="435"/>
      <c r="V523" s="740"/>
      <c r="W523" s="435"/>
      <c r="X523" s="435"/>
      <c r="Y523" s="435"/>
      <c r="Z523" s="749"/>
      <c r="AA523" s="749"/>
      <c r="AB523" s="435"/>
      <c r="AC523" s="750"/>
      <c r="AD523" s="324"/>
      <c r="AE523" s="180"/>
      <c r="AF523" s="155"/>
      <c r="AG523" s="322"/>
      <c r="AH523" s="132"/>
      <c r="AI523" s="132"/>
    </row>
    <row r="524">
      <c r="A524" s="435"/>
      <c r="B524" s="745"/>
      <c r="C524" s="745"/>
      <c r="D524" s="751"/>
      <c r="E524" s="742"/>
      <c r="F524" s="316"/>
      <c r="G524" s="314"/>
      <c r="H524" s="740"/>
      <c r="I524" s="314"/>
      <c r="J524" s="314"/>
      <c r="K524" s="435"/>
      <c r="L524" s="314"/>
      <c r="M524" s="314"/>
      <c r="N524" s="314"/>
      <c r="O524" s="318"/>
      <c r="P524" s="435"/>
      <c r="Q524" s="435"/>
      <c r="R524" s="435"/>
      <c r="S524" s="747"/>
      <c r="T524" s="748"/>
      <c r="U524" s="435"/>
      <c r="V524" s="740"/>
      <c r="W524" s="435"/>
      <c r="X524" s="435"/>
      <c r="Y524" s="435"/>
      <c r="Z524" s="749"/>
      <c r="AA524" s="749"/>
      <c r="AB524" s="435"/>
      <c r="AC524" s="750"/>
      <c r="AD524" s="324"/>
      <c r="AE524" s="180"/>
      <c r="AF524" s="155"/>
      <c r="AG524" s="322"/>
      <c r="AH524" s="132"/>
      <c r="AI524" s="132"/>
    </row>
    <row r="525">
      <c r="A525" s="435"/>
      <c r="B525" s="745"/>
      <c r="C525" s="745"/>
      <c r="D525" s="751"/>
      <c r="E525" s="742"/>
      <c r="F525" s="316"/>
      <c r="G525" s="314"/>
      <c r="H525" s="740"/>
      <c r="I525" s="435"/>
      <c r="J525" s="435"/>
      <c r="K525" s="435"/>
      <c r="L525" s="435"/>
      <c r="M525" s="435"/>
      <c r="N525" s="435"/>
      <c r="O525" s="318"/>
      <c r="P525" s="435"/>
      <c r="Q525" s="435"/>
      <c r="R525" s="435"/>
      <c r="S525" s="747"/>
      <c r="T525" s="748"/>
      <c r="U525" s="435"/>
      <c r="V525" s="740"/>
      <c r="W525" s="435"/>
      <c r="X525" s="435"/>
      <c r="Y525" s="435"/>
      <c r="Z525" s="749"/>
      <c r="AA525" s="749"/>
      <c r="AB525" s="435"/>
      <c r="AC525" s="750"/>
      <c r="AD525" s="324"/>
      <c r="AE525" s="180"/>
      <c r="AF525" s="155"/>
      <c r="AG525" s="322"/>
      <c r="AH525" s="132"/>
      <c r="AI525" s="132"/>
    </row>
    <row r="526">
      <c r="A526" s="435"/>
      <c r="B526" s="312"/>
      <c r="C526" s="312"/>
      <c r="D526" s="717"/>
      <c r="E526" s="742"/>
      <c r="F526" s="316"/>
      <c r="G526" s="314"/>
      <c r="H526" s="740"/>
      <c r="I526" s="314"/>
      <c r="J526" s="314"/>
      <c r="K526" s="314"/>
      <c r="L526" s="314"/>
      <c r="M526" s="314"/>
      <c r="N526" s="314"/>
      <c r="O526" s="318"/>
      <c r="P526" s="314"/>
      <c r="Q526" s="314"/>
      <c r="R526" s="314"/>
      <c r="S526" s="718"/>
      <c r="T526" s="719"/>
      <c r="U526" s="314"/>
      <c r="V526" s="318"/>
      <c r="W526" s="314"/>
      <c r="X526" s="314"/>
      <c r="Y526" s="314"/>
      <c r="Z526" s="721"/>
      <c r="AA526" s="721"/>
      <c r="AB526" s="314"/>
      <c r="AC526" s="317"/>
      <c r="AD526" s="324"/>
      <c r="AE526" s="180"/>
      <c r="AF526" s="155"/>
      <c r="AG526" s="322"/>
      <c r="AH526" s="132"/>
      <c r="AI526" s="132"/>
    </row>
    <row r="527">
      <c r="A527" s="435"/>
      <c r="B527" s="312"/>
      <c r="C527" s="312"/>
      <c r="D527" s="751"/>
      <c r="E527" s="316"/>
      <c r="F527" s="316"/>
      <c r="G527" s="314"/>
      <c r="H527" s="740"/>
      <c r="I527" s="314"/>
      <c r="J527" s="435"/>
      <c r="K527" s="435"/>
      <c r="L527" s="314"/>
      <c r="M527" s="435"/>
      <c r="N527" s="314"/>
      <c r="O527" s="318"/>
      <c r="P527" s="314"/>
      <c r="Q527" s="314"/>
      <c r="R527" s="435"/>
      <c r="S527" s="747"/>
      <c r="T527" s="748"/>
      <c r="U527" s="435"/>
      <c r="V527" s="740"/>
      <c r="W527" s="435"/>
      <c r="X527" s="435"/>
      <c r="Y527" s="435"/>
      <c r="Z527" s="749"/>
      <c r="AA527" s="749"/>
      <c r="AB527" s="435"/>
      <c r="AC527" s="750"/>
      <c r="AD527" s="324"/>
      <c r="AE527" s="180"/>
      <c r="AF527" s="155"/>
      <c r="AG527" s="322"/>
      <c r="AH527" s="132"/>
      <c r="AI527" s="132"/>
    </row>
    <row r="528">
      <c r="A528" s="435"/>
      <c r="B528" s="312"/>
      <c r="C528" s="312"/>
      <c r="D528" s="717"/>
      <c r="E528" s="316"/>
      <c r="F528" s="316"/>
      <c r="G528" s="314"/>
      <c r="H528" s="318"/>
      <c r="I528" s="314"/>
      <c r="J528" s="314"/>
      <c r="K528" s="314"/>
      <c r="L528" s="314"/>
      <c r="M528" s="314"/>
      <c r="N528" s="314"/>
      <c r="O528" s="318"/>
      <c r="P528" s="314"/>
      <c r="Q528" s="435"/>
      <c r="R528" s="314"/>
      <c r="S528" s="747"/>
      <c r="T528" s="748"/>
      <c r="U528" s="435"/>
      <c r="V528" s="740"/>
      <c r="W528" s="435"/>
      <c r="X528" s="435"/>
      <c r="Y528" s="435"/>
      <c r="Z528" s="749"/>
      <c r="AA528" s="749"/>
      <c r="AB528" s="435"/>
      <c r="AC528" s="750"/>
      <c r="AD528" s="324"/>
      <c r="AE528" s="180"/>
      <c r="AF528" s="155"/>
      <c r="AG528" s="322"/>
      <c r="AH528" s="132"/>
      <c r="AI528" s="132"/>
    </row>
    <row r="529">
      <c r="A529" s="435"/>
      <c r="B529" s="745"/>
      <c r="C529" s="312"/>
      <c r="D529" s="717"/>
      <c r="E529" s="316"/>
      <c r="F529" s="316"/>
      <c r="G529" s="314"/>
      <c r="H529" s="740"/>
      <c r="I529" s="314"/>
      <c r="J529" s="435"/>
      <c r="K529" s="435"/>
      <c r="L529" s="314"/>
      <c r="M529" s="314"/>
      <c r="N529" s="435"/>
      <c r="O529" s="318"/>
      <c r="P529" s="314"/>
      <c r="Q529" s="314"/>
      <c r="R529" s="435"/>
      <c r="S529" s="747"/>
      <c r="T529" s="748"/>
      <c r="U529" s="435"/>
      <c r="V529" s="740"/>
      <c r="W529" s="435"/>
      <c r="X529" s="435"/>
      <c r="Y529" s="435"/>
      <c r="Z529" s="749"/>
      <c r="AA529" s="749"/>
      <c r="AB529" s="435"/>
      <c r="AC529" s="750"/>
      <c r="AD529" s="324"/>
      <c r="AE529" s="180"/>
      <c r="AF529" s="155"/>
      <c r="AG529" s="322"/>
      <c r="AH529" s="132"/>
      <c r="AI529" s="132"/>
    </row>
    <row r="530">
      <c r="A530" s="435"/>
      <c r="B530" s="312"/>
      <c r="C530" s="745"/>
      <c r="D530" s="751"/>
      <c r="E530" s="742"/>
      <c r="F530" s="316"/>
      <c r="G530" s="314"/>
      <c r="H530" s="740"/>
      <c r="I530" s="314"/>
      <c r="J530" s="314"/>
      <c r="K530" s="435"/>
      <c r="L530" s="314"/>
      <c r="M530" s="314"/>
      <c r="N530" s="314"/>
      <c r="O530" s="318"/>
      <c r="P530" s="314"/>
      <c r="Q530" s="314"/>
      <c r="R530" s="314"/>
      <c r="S530" s="747"/>
      <c r="T530" s="748"/>
      <c r="U530" s="435"/>
      <c r="V530" s="740"/>
      <c r="W530" s="435"/>
      <c r="X530" s="435"/>
      <c r="Y530" s="435"/>
      <c r="Z530" s="749"/>
      <c r="AA530" s="749"/>
      <c r="AB530" s="435"/>
      <c r="AC530" s="750"/>
      <c r="AD530" s="324"/>
      <c r="AE530" s="180"/>
      <c r="AF530" s="155"/>
      <c r="AG530" s="322"/>
      <c r="AH530" s="132"/>
      <c r="AI530" s="132"/>
    </row>
    <row r="531">
      <c r="A531" s="435"/>
      <c r="B531" s="312"/>
      <c r="C531" s="312"/>
      <c r="D531" s="717"/>
      <c r="E531" s="316"/>
      <c r="F531" s="316"/>
      <c r="G531" s="314"/>
      <c r="H531" s="740"/>
      <c r="I531" s="314"/>
      <c r="J531" s="314"/>
      <c r="K531" s="314"/>
      <c r="L531" s="314"/>
      <c r="M531" s="314"/>
      <c r="N531" s="314"/>
      <c r="O531" s="318"/>
      <c r="P531" s="314"/>
      <c r="Q531" s="314"/>
      <c r="R531" s="435"/>
      <c r="S531" s="718"/>
      <c r="T531" s="719"/>
      <c r="U531" s="314"/>
      <c r="V531" s="318"/>
      <c r="W531" s="314"/>
      <c r="X531" s="314"/>
      <c r="Y531" s="314"/>
      <c r="Z531" s="721"/>
      <c r="AA531" s="721"/>
      <c r="AB531" s="314"/>
      <c r="AC531" s="317"/>
      <c r="AD531" s="324"/>
      <c r="AE531" s="180"/>
      <c r="AF531" s="155"/>
      <c r="AG531" s="322"/>
      <c r="AH531" s="132"/>
      <c r="AI531" s="132"/>
    </row>
    <row r="532">
      <c r="A532" s="435"/>
      <c r="B532" s="745"/>
      <c r="C532" s="745"/>
      <c r="D532" s="751"/>
      <c r="E532" s="742"/>
      <c r="F532" s="316"/>
      <c r="G532" s="314"/>
      <c r="H532" s="740"/>
      <c r="I532" s="435"/>
      <c r="J532" s="435"/>
      <c r="K532" s="435"/>
      <c r="L532" s="435"/>
      <c r="M532" s="435"/>
      <c r="N532" s="435"/>
      <c r="O532" s="318"/>
      <c r="P532" s="435"/>
      <c r="Q532" s="435"/>
      <c r="R532" s="435"/>
      <c r="S532" s="747"/>
      <c r="T532" s="748"/>
      <c r="U532" s="435"/>
      <c r="V532" s="740"/>
      <c r="W532" s="435"/>
      <c r="X532" s="435"/>
      <c r="Y532" s="435"/>
      <c r="Z532" s="749"/>
      <c r="AA532" s="749"/>
      <c r="AB532" s="435"/>
      <c r="AC532" s="750"/>
      <c r="AD532" s="324"/>
      <c r="AE532" s="180"/>
      <c r="AF532" s="155"/>
      <c r="AG532" s="322"/>
      <c r="AH532" s="132"/>
      <c r="AI532" s="132"/>
    </row>
    <row r="533">
      <c r="A533" s="435"/>
      <c r="B533" s="312"/>
      <c r="C533" s="312"/>
      <c r="D533" s="717"/>
      <c r="E533" s="316"/>
      <c r="F533" s="316"/>
      <c r="G533" s="314"/>
      <c r="H533" s="318"/>
      <c r="I533" s="314"/>
      <c r="J533" s="314"/>
      <c r="K533" s="314"/>
      <c r="L533" s="314"/>
      <c r="M533" s="435"/>
      <c r="N533" s="314"/>
      <c r="O533" s="318"/>
      <c r="P533" s="314"/>
      <c r="Q533" s="314"/>
      <c r="R533" s="314"/>
      <c r="S533" s="718"/>
      <c r="T533" s="719"/>
      <c r="U533" s="314"/>
      <c r="V533" s="318"/>
      <c r="W533" s="314"/>
      <c r="X533" s="314"/>
      <c r="Y533" s="314"/>
      <c r="Z533" s="721"/>
      <c r="AA533" s="721"/>
      <c r="AB533" s="314"/>
      <c r="AC533" s="317"/>
      <c r="AD533" s="324"/>
      <c r="AE533" s="180"/>
      <c r="AF533" s="155"/>
      <c r="AG533" s="322"/>
      <c r="AH533" s="132"/>
      <c r="AI533" s="132"/>
    </row>
    <row r="534">
      <c r="A534" s="435"/>
      <c r="B534" s="312"/>
      <c r="C534" s="745"/>
      <c r="D534" s="751"/>
      <c r="E534" s="742"/>
      <c r="F534" s="316"/>
      <c r="G534" s="314"/>
      <c r="H534" s="740"/>
      <c r="I534" s="435"/>
      <c r="J534" s="435"/>
      <c r="K534" s="435"/>
      <c r="L534" s="314"/>
      <c r="M534" s="435"/>
      <c r="N534" s="435"/>
      <c r="O534" s="318"/>
      <c r="P534" s="435"/>
      <c r="Q534" s="435"/>
      <c r="R534" s="435"/>
      <c r="S534" s="747"/>
      <c r="T534" s="748"/>
      <c r="U534" s="435"/>
      <c r="V534" s="740"/>
      <c r="W534" s="435"/>
      <c r="X534" s="435"/>
      <c r="Y534" s="435"/>
      <c r="Z534" s="749"/>
      <c r="AA534" s="749"/>
      <c r="AB534" s="435"/>
      <c r="AC534" s="750"/>
      <c r="AD534" s="324"/>
      <c r="AE534" s="180"/>
      <c r="AF534" s="155"/>
      <c r="AG534" s="322"/>
      <c r="AH534" s="132"/>
      <c r="AI534" s="132"/>
    </row>
    <row r="535">
      <c r="A535" s="435"/>
      <c r="B535" s="745"/>
      <c r="C535" s="745"/>
      <c r="D535" s="717"/>
      <c r="E535" s="742"/>
      <c r="F535" s="316"/>
      <c r="G535" s="314"/>
      <c r="H535" s="740"/>
      <c r="I535" s="435"/>
      <c r="J535" s="314"/>
      <c r="K535" s="435"/>
      <c r="L535" s="435"/>
      <c r="M535" s="314"/>
      <c r="N535" s="435"/>
      <c r="O535" s="318"/>
      <c r="P535" s="435"/>
      <c r="Q535" s="314"/>
      <c r="R535" s="435"/>
      <c r="S535" s="747"/>
      <c r="T535" s="748"/>
      <c r="U535" s="435"/>
      <c r="V535" s="740"/>
      <c r="W535" s="435"/>
      <c r="X535" s="435"/>
      <c r="Y535" s="435"/>
      <c r="Z535" s="749"/>
      <c r="AA535" s="749"/>
      <c r="AB535" s="435"/>
      <c r="AC535" s="750"/>
      <c r="AD535" s="324"/>
      <c r="AE535" s="180"/>
      <c r="AF535" s="155"/>
      <c r="AG535" s="322"/>
      <c r="AH535" s="132"/>
      <c r="AI535" s="132"/>
    </row>
    <row r="536">
      <c r="A536" s="458"/>
      <c r="B536" s="745"/>
      <c r="C536" s="745"/>
      <c r="D536" s="751"/>
      <c r="E536" s="742"/>
      <c r="F536" s="316"/>
      <c r="G536" s="314"/>
      <c r="H536" s="318"/>
      <c r="I536" s="435"/>
      <c r="J536" s="435"/>
      <c r="K536" s="435"/>
      <c r="L536" s="435"/>
      <c r="M536" s="435"/>
      <c r="N536" s="435"/>
      <c r="O536" s="318"/>
      <c r="P536" s="435"/>
      <c r="Q536" s="435"/>
      <c r="R536" s="435"/>
      <c r="S536" s="747"/>
      <c r="T536" s="748"/>
      <c r="U536" s="435"/>
      <c r="V536" s="740"/>
      <c r="W536" s="435"/>
      <c r="X536" s="435"/>
      <c r="Y536" s="435"/>
      <c r="Z536" s="749"/>
      <c r="AA536" s="749"/>
      <c r="AB536" s="435"/>
      <c r="AC536" s="750"/>
      <c r="AD536" s="324"/>
      <c r="AE536" s="180"/>
      <c r="AF536" s="155"/>
      <c r="AG536" s="322"/>
      <c r="AH536" s="132"/>
      <c r="AI536" s="132"/>
    </row>
    <row r="537">
      <c r="A537" s="458"/>
      <c r="B537" s="745"/>
      <c r="C537" s="745"/>
      <c r="D537" s="751"/>
      <c r="E537" s="742"/>
      <c r="F537" s="316"/>
      <c r="G537" s="314"/>
      <c r="H537" s="318"/>
      <c r="I537" s="314"/>
      <c r="J537" s="435"/>
      <c r="K537" s="435"/>
      <c r="L537" s="435"/>
      <c r="M537" s="435"/>
      <c r="N537" s="435"/>
      <c r="O537" s="318"/>
      <c r="P537" s="435"/>
      <c r="Q537" s="435"/>
      <c r="R537" s="435"/>
      <c r="S537" s="747"/>
      <c r="T537" s="748"/>
      <c r="U537" s="435"/>
      <c r="V537" s="740"/>
      <c r="W537" s="435"/>
      <c r="X537" s="435"/>
      <c r="Y537" s="435"/>
      <c r="Z537" s="749"/>
      <c r="AA537" s="749"/>
      <c r="AB537" s="435"/>
      <c r="AC537" s="750"/>
      <c r="AD537" s="324"/>
      <c r="AE537" s="180"/>
      <c r="AF537" s="155"/>
      <c r="AG537" s="322"/>
      <c r="AH537" s="132"/>
      <c r="AI537" s="132"/>
    </row>
    <row r="538">
      <c r="A538" s="458"/>
      <c r="B538" s="745"/>
      <c r="C538" s="745"/>
      <c r="D538" s="751"/>
      <c r="E538" s="316"/>
      <c r="F538" s="316"/>
      <c r="G538" s="314"/>
      <c r="H538" s="318"/>
      <c r="I538" s="435"/>
      <c r="J538" s="435"/>
      <c r="K538" s="435"/>
      <c r="L538" s="435"/>
      <c r="M538" s="435"/>
      <c r="N538" s="435"/>
      <c r="O538" s="318"/>
      <c r="P538" s="435"/>
      <c r="Q538" s="314"/>
      <c r="R538" s="435"/>
      <c r="S538" s="747"/>
      <c r="T538" s="748"/>
      <c r="U538" s="435"/>
      <c r="V538" s="740"/>
      <c r="W538" s="435"/>
      <c r="X538" s="435"/>
      <c r="Y538" s="435"/>
      <c r="Z538" s="749"/>
      <c r="AA538" s="749"/>
      <c r="AB538" s="435"/>
      <c r="AC538" s="750"/>
      <c r="AD538" s="324"/>
      <c r="AE538" s="180"/>
      <c r="AF538" s="155"/>
      <c r="AG538" s="322"/>
      <c r="AH538" s="132"/>
      <c r="AI538" s="132"/>
    </row>
    <row r="539">
      <c r="A539" s="458"/>
      <c r="B539" s="312"/>
      <c r="C539" s="312"/>
      <c r="D539" s="717"/>
      <c r="E539" s="316"/>
      <c r="F539" s="316"/>
      <c r="G539" s="314"/>
      <c r="H539" s="318"/>
      <c r="I539" s="314"/>
      <c r="J539" s="314"/>
      <c r="K539" s="314"/>
      <c r="L539" s="314"/>
      <c r="M539" s="314"/>
      <c r="N539" s="314"/>
      <c r="O539" s="318"/>
      <c r="P539" s="314"/>
      <c r="Q539" s="314"/>
      <c r="R539" s="314"/>
      <c r="S539" s="718"/>
      <c r="T539" s="719"/>
      <c r="U539" s="314"/>
      <c r="V539" s="318"/>
      <c r="W539" s="314"/>
      <c r="X539" s="314"/>
      <c r="Y539" s="314"/>
      <c r="Z539" s="721"/>
      <c r="AA539" s="721"/>
      <c r="AB539" s="314"/>
      <c r="AC539" s="317"/>
      <c r="AD539" s="324"/>
      <c r="AE539" s="180"/>
      <c r="AF539" s="155"/>
      <c r="AG539" s="322"/>
      <c r="AH539" s="132"/>
      <c r="AI539" s="132"/>
    </row>
    <row r="540">
      <c r="A540" s="458"/>
      <c r="B540" s="745"/>
      <c r="C540" s="745"/>
      <c r="D540" s="751"/>
      <c r="E540" s="316"/>
      <c r="F540" s="316"/>
      <c r="G540" s="314"/>
      <c r="H540" s="318"/>
      <c r="I540" s="314"/>
      <c r="J540" s="314"/>
      <c r="K540" s="435"/>
      <c r="L540" s="435"/>
      <c r="M540" s="435"/>
      <c r="N540" s="314"/>
      <c r="O540" s="318"/>
      <c r="P540" s="435"/>
      <c r="Q540" s="435"/>
      <c r="R540" s="435"/>
      <c r="S540" s="747"/>
      <c r="T540" s="748"/>
      <c r="U540" s="435"/>
      <c r="V540" s="740"/>
      <c r="W540" s="435"/>
      <c r="X540" s="435"/>
      <c r="Y540" s="435"/>
      <c r="Z540" s="749"/>
      <c r="AA540" s="749"/>
      <c r="AB540" s="435"/>
      <c r="AC540" s="750"/>
      <c r="AD540" s="324"/>
      <c r="AE540" s="180"/>
      <c r="AF540" s="155"/>
      <c r="AG540" s="322"/>
      <c r="AH540" s="132"/>
      <c r="AI540" s="132"/>
    </row>
    <row r="541">
      <c r="A541" s="458"/>
      <c r="B541" s="312"/>
      <c r="C541" s="312"/>
      <c r="D541" s="751"/>
      <c r="E541" s="316"/>
      <c r="F541" s="316"/>
      <c r="G541" s="314"/>
      <c r="H541" s="318"/>
      <c r="I541" s="314"/>
      <c r="J541" s="314"/>
      <c r="K541" s="314"/>
      <c r="L541" s="314"/>
      <c r="M541" s="314"/>
      <c r="N541" s="314"/>
      <c r="O541" s="318"/>
      <c r="P541" s="314"/>
      <c r="Q541" s="314"/>
      <c r="R541" s="314"/>
      <c r="S541" s="718"/>
      <c r="T541" s="719"/>
      <c r="U541" s="314"/>
      <c r="V541" s="318"/>
      <c r="W541" s="314"/>
      <c r="X541" s="314"/>
      <c r="Y541" s="314"/>
      <c r="Z541" s="721"/>
      <c r="AA541" s="721"/>
      <c r="AB541" s="314"/>
      <c r="AC541" s="317"/>
      <c r="AD541" s="324"/>
      <c r="AE541" s="180"/>
      <c r="AF541" s="155"/>
      <c r="AG541" s="322"/>
      <c r="AH541" s="132"/>
      <c r="AI541" s="132"/>
    </row>
    <row r="542">
      <c r="A542" s="458"/>
      <c r="B542" s="312"/>
      <c r="C542" s="745"/>
      <c r="D542" s="717"/>
      <c r="E542" s="316"/>
      <c r="F542" s="316"/>
      <c r="G542" s="314"/>
      <c r="H542" s="318"/>
      <c r="I542" s="435"/>
      <c r="J542" s="314"/>
      <c r="K542" s="314"/>
      <c r="L542" s="435"/>
      <c r="M542" s="314"/>
      <c r="N542" s="314"/>
      <c r="O542" s="318"/>
      <c r="P542" s="314"/>
      <c r="Q542" s="435"/>
      <c r="R542" s="435"/>
      <c r="S542" s="747"/>
      <c r="T542" s="748"/>
      <c r="U542" s="435"/>
      <c r="V542" s="740"/>
      <c r="W542" s="435"/>
      <c r="X542" s="435"/>
      <c r="Y542" s="435"/>
      <c r="Z542" s="749"/>
      <c r="AA542" s="749"/>
      <c r="AB542" s="435"/>
      <c r="AC542" s="750"/>
      <c r="AD542" s="324"/>
      <c r="AE542" s="180"/>
      <c r="AF542" s="155"/>
      <c r="AG542" s="322"/>
      <c r="AH542" s="132"/>
      <c r="AI542" s="132"/>
    </row>
    <row r="543">
      <c r="A543" s="458"/>
      <c r="B543" s="312"/>
      <c r="C543" s="745"/>
      <c r="D543" s="751"/>
      <c r="E543" s="742"/>
      <c r="F543" s="316"/>
      <c r="G543" s="314"/>
      <c r="H543" s="740"/>
      <c r="I543" s="435"/>
      <c r="J543" s="314"/>
      <c r="K543" s="435"/>
      <c r="L543" s="435"/>
      <c r="M543" s="314"/>
      <c r="N543" s="314"/>
      <c r="O543" s="318"/>
      <c r="P543" s="435"/>
      <c r="Q543" s="435"/>
      <c r="R543" s="435"/>
      <c r="S543" s="747"/>
      <c r="T543" s="748"/>
      <c r="U543" s="435"/>
      <c r="V543" s="740"/>
      <c r="W543" s="435"/>
      <c r="X543" s="435"/>
      <c r="Y543" s="435"/>
      <c r="Z543" s="749"/>
      <c r="AA543" s="749"/>
      <c r="AB543" s="435"/>
      <c r="AC543" s="750"/>
      <c r="AD543" s="324"/>
      <c r="AE543" s="180"/>
      <c r="AF543" s="155"/>
      <c r="AG543" s="322"/>
      <c r="AH543" s="132"/>
      <c r="AI543" s="132"/>
    </row>
    <row r="544">
      <c r="A544" s="458"/>
      <c r="B544" s="312"/>
      <c r="C544" s="745"/>
      <c r="D544" s="751"/>
      <c r="E544" s="316"/>
      <c r="F544" s="316"/>
      <c r="G544" s="314"/>
      <c r="H544" s="318"/>
      <c r="I544" s="314"/>
      <c r="J544" s="314"/>
      <c r="K544" s="435"/>
      <c r="L544" s="314"/>
      <c r="M544" s="314"/>
      <c r="N544" s="314"/>
      <c r="O544" s="318"/>
      <c r="P544" s="314"/>
      <c r="Q544" s="314"/>
      <c r="R544" s="435"/>
      <c r="S544" s="747"/>
      <c r="T544" s="748"/>
      <c r="U544" s="435"/>
      <c r="V544" s="740"/>
      <c r="W544" s="435"/>
      <c r="X544" s="435"/>
      <c r="Y544" s="435"/>
      <c r="Z544" s="749"/>
      <c r="AA544" s="749"/>
      <c r="AB544" s="435"/>
      <c r="AC544" s="750"/>
      <c r="AD544" s="324"/>
      <c r="AE544" s="180"/>
      <c r="AF544" s="155"/>
      <c r="AG544" s="322"/>
      <c r="AH544" s="132"/>
      <c r="AI544" s="132"/>
    </row>
    <row r="545">
      <c r="A545" s="458"/>
      <c r="B545" s="745"/>
      <c r="C545" s="745"/>
      <c r="D545" s="751"/>
      <c r="E545" s="742"/>
      <c r="F545" s="316"/>
      <c r="G545" s="314"/>
      <c r="H545" s="740"/>
      <c r="I545" s="435"/>
      <c r="J545" s="435"/>
      <c r="K545" s="435"/>
      <c r="L545" s="435"/>
      <c r="M545" s="435"/>
      <c r="N545" s="435"/>
      <c r="O545" s="318"/>
      <c r="P545" s="435"/>
      <c r="Q545" s="435"/>
      <c r="R545" s="435"/>
      <c r="S545" s="747"/>
      <c r="T545" s="748"/>
      <c r="U545" s="435"/>
      <c r="V545" s="740"/>
      <c r="W545" s="435"/>
      <c r="X545" s="435"/>
      <c r="Y545" s="435"/>
      <c r="Z545" s="749"/>
      <c r="AA545" s="749"/>
      <c r="AB545" s="435"/>
      <c r="AC545" s="750"/>
      <c r="AD545" s="324"/>
      <c r="AE545" s="180"/>
      <c r="AF545" s="155"/>
      <c r="AG545" s="322"/>
      <c r="AH545" s="132"/>
      <c r="AI545" s="132"/>
    </row>
    <row r="546">
      <c r="A546" s="435"/>
      <c r="B546" s="745"/>
      <c r="C546" s="745"/>
      <c r="D546" s="751"/>
      <c r="E546" s="742"/>
      <c r="F546" s="316"/>
      <c r="G546" s="314"/>
      <c r="H546" s="740"/>
      <c r="I546" s="435"/>
      <c r="J546" s="435"/>
      <c r="K546" s="435"/>
      <c r="L546" s="435"/>
      <c r="M546" s="435"/>
      <c r="N546" s="435"/>
      <c r="O546" s="318"/>
      <c r="P546" s="435"/>
      <c r="Q546" s="435"/>
      <c r="R546" s="435"/>
      <c r="S546" s="747"/>
      <c r="T546" s="748"/>
      <c r="U546" s="435"/>
      <c r="V546" s="740"/>
      <c r="W546" s="435"/>
      <c r="X546" s="435"/>
      <c r="Y546" s="435"/>
      <c r="Z546" s="749"/>
      <c r="AA546" s="749"/>
      <c r="AB546" s="435"/>
      <c r="AC546" s="750"/>
      <c r="AD546" s="324"/>
      <c r="AE546" s="180"/>
      <c r="AF546" s="155"/>
      <c r="AG546" s="322"/>
      <c r="AH546" s="132"/>
      <c r="AI546" s="132"/>
    </row>
    <row r="547">
      <c r="A547" s="474"/>
      <c r="B547" s="745"/>
      <c r="C547" s="745"/>
      <c r="D547" s="751"/>
      <c r="E547" s="742"/>
      <c r="F547" s="316"/>
      <c r="G547" s="314"/>
      <c r="H547" s="740"/>
      <c r="I547" s="435"/>
      <c r="J547" s="435"/>
      <c r="K547" s="435"/>
      <c r="L547" s="435"/>
      <c r="M547" s="435"/>
      <c r="N547" s="435"/>
      <c r="O547" s="318"/>
      <c r="P547" s="435"/>
      <c r="Q547" s="435"/>
      <c r="R547" s="435"/>
      <c r="S547" s="747"/>
      <c r="T547" s="748"/>
      <c r="U547" s="435"/>
      <c r="V547" s="740"/>
      <c r="W547" s="435"/>
      <c r="X547" s="435"/>
      <c r="Y547" s="435"/>
      <c r="Z547" s="749"/>
      <c r="AA547" s="749"/>
      <c r="AB547" s="435"/>
      <c r="AC547" s="750"/>
      <c r="AD547" s="324"/>
      <c r="AE547" s="180"/>
      <c r="AF547" s="155"/>
      <c r="AG547" s="322"/>
      <c r="AH547" s="132"/>
      <c r="AI547" s="132"/>
    </row>
    <row r="548">
      <c r="A548" s="474"/>
      <c r="B548" s="745"/>
      <c r="C548" s="312"/>
      <c r="D548" s="751"/>
      <c r="E548" s="742"/>
      <c r="F548" s="316"/>
      <c r="G548" s="314"/>
      <c r="H548" s="740"/>
      <c r="I548" s="435"/>
      <c r="J548" s="435"/>
      <c r="K548" s="314"/>
      <c r="L548" s="314"/>
      <c r="M548" s="314"/>
      <c r="N548" s="435"/>
      <c r="O548" s="318"/>
      <c r="P548" s="314"/>
      <c r="Q548" s="435"/>
      <c r="R548" s="314"/>
      <c r="S548" s="747"/>
      <c r="T548" s="748"/>
      <c r="U548" s="435"/>
      <c r="V548" s="740"/>
      <c r="W548" s="435"/>
      <c r="X548" s="435"/>
      <c r="Y548" s="435"/>
      <c r="Z548" s="749"/>
      <c r="AA548" s="749"/>
      <c r="AB548" s="435"/>
      <c r="AC548" s="750"/>
      <c r="AD548" s="324"/>
      <c r="AE548" s="180"/>
      <c r="AF548" s="155"/>
      <c r="AG548" s="322"/>
      <c r="AH548" s="132"/>
      <c r="AI548" s="132"/>
    </row>
    <row r="549">
      <c r="A549" s="474"/>
      <c r="B549" s="312"/>
      <c r="C549" s="312"/>
      <c r="D549" s="717"/>
      <c r="E549" s="316"/>
      <c r="F549" s="316"/>
      <c r="G549" s="314"/>
      <c r="H549" s="318"/>
      <c r="I549" s="314"/>
      <c r="J549" s="314"/>
      <c r="K549" s="435"/>
      <c r="L549" s="314"/>
      <c r="M549" s="314"/>
      <c r="N549" s="314"/>
      <c r="O549" s="318"/>
      <c r="P549" s="435"/>
      <c r="Q549" s="314"/>
      <c r="R549" s="314"/>
      <c r="S549" s="718"/>
      <c r="T549" s="719"/>
      <c r="U549" s="314"/>
      <c r="V549" s="318"/>
      <c r="W549" s="314"/>
      <c r="X549" s="314"/>
      <c r="Y549" s="314"/>
      <c r="Z549" s="721"/>
      <c r="AA549" s="721"/>
      <c r="AB549" s="314"/>
      <c r="AC549" s="317"/>
      <c r="AD549" s="324"/>
      <c r="AE549" s="180"/>
      <c r="AF549" s="155"/>
      <c r="AG549" s="322"/>
      <c r="AH549" s="132"/>
      <c r="AI549" s="132"/>
    </row>
    <row r="550">
      <c r="A550" s="474"/>
      <c r="B550" s="312"/>
      <c r="C550" s="745"/>
      <c r="D550" s="751"/>
      <c r="E550" s="316"/>
      <c r="F550" s="316"/>
      <c r="G550" s="314"/>
      <c r="H550" s="318"/>
      <c r="I550" s="435"/>
      <c r="J550" s="314"/>
      <c r="K550" s="314"/>
      <c r="L550" s="314"/>
      <c r="M550" s="314"/>
      <c r="N550" s="314"/>
      <c r="O550" s="318"/>
      <c r="P550" s="314"/>
      <c r="Q550" s="314"/>
      <c r="R550" s="314"/>
      <c r="S550" s="718"/>
      <c r="T550" s="719"/>
      <c r="U550" s="314"/>
      <c r="V550" s="318"/>
      <c r="W550" s="314"/>
      <c r="X550" s="314"/>
      <c r="Y550" s="314"/>
      <c r="Z550" s="721"/>
      <c r="AA550" s="721"/>
      <c r="AB550" s="314"/>
      <c r="AC550" s="317"/>
      <c r="AD550" s="324"/>
      <c r="AE550" s="180"/>
      <c r="AF550" s="155"/>
      <c r="AG550" s="322"/>
      <c r="AH550" s="132"/>
      <c r="AI550" s="132"/>
    </row>
    <row r="551">
      <c r="A551" s="474"/>
      <c r="B551" s="312"/>
      <c r="C551" s="312"/>
      <c r="D551" s="717"/>
      <c r="E551" s="316"/>
      <c r="F551" s="316"/>
      <c r="G551" s="314"/>
      <c r="H551" s="318"/>
      <c r="I551" s="314"/>
      <c r="J551" s="314"/>
      <c r="K551" s="435"/>
      <c r="L551" s="314"/>
      <c r="M551" s="314"/>
      <c r="N551" s="314"/>
      <c r="O551" s="318"/>
      <c r="P551" s="314"/>
      <c r="Q551" s="314"/>
      <c r="R551" s="314"/>
      <c r="S551" s="718"/>
      <c r="T551" s="719"/>
      <c r="U551" s="314"/>
      <c r="V551" s="318"/>
      <c r="W551" s="314"/>
      <c r="X551" s="314"/>
      <c r="Y551" s="314"/>
      <c r="Z551" s="721"/>
      <c r="AA551" s="721"/>
      <c r="AB551" s="314"/>
      <c r="AC551" s="317"/>
      <c r="AD551" s="324"/>
      <c r="AE551" s="180"/>
      <c r="AF551" s="155"/>
      <c r="AG551" s="322"/>
      <c r="AH551" s="132"/>
      <c r="AI551" s="132"/>
    </row>
    <row r="552">
      <c r="A552" s="458"/>
      <c r="B552" s="312"/>
      <c r="C552" s="745"/>
      <c r="D552" s="717"/>
      <c r="E552" s="316"/>
      <c r="F552" s="316"/>
      <c r="G552" s="314"/>
      <c r="H552" s="318"/>
      <c r="I552" s="314"/>
      <c r="J552" s="435"/>
      <c r="K552" s="435"/>
      <c r="L552" s="314"/>
      <c r="M552" s="314"/>
      <c r="N552" s="314"/>
      <c r="O552" s="318"/>
      <c r="P552" s="314"/>
      <c r="Q552" s="314"/>
      <c r="R552" s="314"/>
      <c r="S552" s="718"/>
      <c r="T552" s="719"/>
      <c r="U552" s="314"/>
      <c r="V552" s="318"/>
      <c r="W552" s="314"/>
      <c r="X552" s="314"/>
      <c r="Y552" s="314"/>
      <c r="Z552" s="721"/>
      <c r="AA552" s="721"/>
      <c r="AB552" s="314"/>
      <c r="AC552" s="317"/>
      <c r="AD552" s="324"/>
      <c r="AE552" s="180"/>
      <c r="AF552" s="155"/>
      <c r="AG552" s="322"/>
      <c r="AH552" s="132"/>
      <c r="AI552" s="132"/>
    </row>
    <row r="553">
      <c r="A553" s="435"/>
      <c r="B553" s="312"/>
      <c r="C553" s="745"/>
      <c r="D553" s="751"/>
      <c r="E553" s="742"/>
      <c r="F553" s="316"/>
      <c r="G553" s="314"/>
      <c r="H553" s="740"/>
      <c r="I553" s="314"/>
      <c r="J553" s="314"/>
      <c r="K553" s="435"/>
      <c r="L553" s="314"/>
      <c r="M553" s="435"/>
      <c r="N553" s="435"/>
      <c r="O553" s="318"/>
      <c r="P553" s="314"/>
      <c r="Q553" s="314"/>
      <c r="R553" s="435"/>
      <c r="S553" s="718"/>
      <c r="T553" s="719"/>
      <c r="U553" s="314"/>
      <c r="V553" s="318"/>
      <c r="W553" s="314"/>
      <c r="X553" s="314"/>
      <c r="Y553" s="314"/>
      <c r="Z553" s="721"/>
      <c r="AA553" s="721"/>
      <c r="AB553" s="314"/>
      <c r="AC553" s="317"/>
      <c r="AD553" s="324"/>
      <c r="AE553" s="180"/>
      <c r="AF553" s="155"/>
      <c r="AG553" s="322"/>
      <c r="AH553" s="132"/>
      <c r="AI553" s="132"/>
    </row>
    <row r="554">
      <c r="A554" s="435"/>
      <c r="B554" s="745"/>
      <c r="C554" s="312"/>
      <c r="D554" s="717"/>
      <c r="E554" s="316"/>
      <c r="F554" s="316"/>
      <c r="G554" s="314"/>
      <c r="H554" s="318"/>
      <c r="I554" s="314"/>
      <c r="J554" s="314"/>
      <c r="K554" s="314"/>
      <c r="L554" s="314"/>
      <c r="M554" s="314"/>
      <c r="N554" s="314"/>
      <c r="O554" s="318"/>
      <c r="P554" s="435"/>
      <c r="Q554" s="314"/>
      <c r="R554" s="314"/>
      <c r="S554" s="718"/>
      <c r="T554" s="719"/>
      <c r="U554" s="314"/>
      <c r="V554" s="318"/>
      <c r="W554" s="314"/>
      <c r="X554" s="314"/>
      <c r="Y554" s="314"/>
      <c r="Z554" s="721"/>
      <c r="AA554" s="721"/>
      <c r="AB554" s="314"/>
      <c r="AC554" s="317"/>
      <c r="AD554" s="324"/>
      <c r="AE554" s="180"/>
      <c r="AF554" s="155"/>
      <c r="AG554" s="322"/>
      <c r="AH554" s="132"/>
      <c r="AI554" s="132"/>
    </row>
    <row r="555">
      <c r="A555" s="435"/>
      <c r="B555" s="745"/>
      <c r="C555" s="312"/>
      <c r="D555" s="717"/>
      <c r="E555" s="316"/>
      <c r="F555" s="316"/>
      <c r="G555" s="314"/>
      <c r="H555" s="318"/>
      <c r="I555" s="314"/>
      <c r="J555" s="314"/>
      <c r="K555" s="314"/>
      <c r="L555" s="314"/>
      <c r="M555" s="314"/>
      <c r="N555" s="314"/>
      <c r="O555" s="318"/>
      <c r="P555" s="314"/>
      <c r="Q555" s="435"/>
      <c r="R555" s="314"/>
      <c r="S555" s="747"/>
      <c r="T555" s="748"/>
      <c r="U555" s="435"/>
      <c r="V555" s="740"/>
      <c r="W555" s="435"/>
      <c r="X555" s="435"/>
      <c r="Y555" s="435"/>
      <c r="Z555" s="749"/>
      <c r="AA555" s="749"/>
      <c r="AB555" s="435"/>
      <c r="AC555" s="750"/>
      <c r="AD555" s="324"/>
      <c r="AE555" s="180"/>
      <c r="AF555" s="155"/>
      <c r="AG555" s="322"/>
      <c r="AH555" s="132"/>
      <c r="AI555" s="132"/>
    </row>
    <row r="556">
      <c r="A556" s="435"/>
      <c r="B556" s="312"/>
      <c r="C556" s="745"/>
      <c r="D556" s="717"/>
      <c r="E556" s="316"/>
      <c r="F556" s="316"/>
      <c r="G556" s="314"/>
      <c r="H556" s="318"/>
      <c r="I556" s="314"/>
      <c r="J556" s="314"/>
      <c r="K556" s="314"/>
      <c r="L556" s="314"/>
      <c r="M556" s="314"/>
      <c r="N556" s="314"/>
      <c r="O556" s="318"/>
      <c r="P556" s="314"/>
      <c r="Q556" s="314"/>
      <c r="R556" s="435"/>
      <c r="S556" s="718"/>
      <c r="T556" s="719"/>
      <c r="U556" s="314"/>
      <c r="V556" s="318"/>
      <c r="W556" s="314"/>
      <c r="X556" s="314"/>
      <c r="Y556" s="314"/>
      <c r="Z556" s="721"/>
      <c r="AA556" s="721"/>
      <c r="AB556" s="314"/>
      <c r="AC556" s="317"/>
      <c r="AD556" s="324"/>
      <c r="AE556" s="180"/>
      <c r="AF556" s="155"/>
      <c r="AG556" s="322"/>
      <c r="AH556" s="132"/>
      <c r="AI556" s="132"/>
    </row>
    <row r="557">
      <c r="A557" s="435"/>
      <c r="B557" s="312"/>
      <c r="C557" s="312"/>
      <c r="D557" s="717"/>
      <c r="E557" s="316"/>
      <c r="F557" s="316"/>
      <c r="G557" s="314"/>
      <c r="H557" s="318"/>
      <c r="I557" s="314"/>
      <c r="J557" s="314"/>
      <c r="K557" s="435"/>
      <c r="L557" s="314"/>
      <c r="M557" s="435"/>
      <c r="N557" s="314"/>
      <c r="O557" s="318"/>
      <c r="P557" s="314"/>
      <c r="Q557" s="435"/>
      <c r="R557" s="314"/>
      <c r="S557" s="718"/>
      <c r="T557" s="719"/>
      <c r="U557" s="314"/>
      <c r="V557" s="318"/>
      <c r="W557" s="314"/>
      <c r="X557" s="314"/>
      <c r="Y557" s="314"/>
      <c r="Z557" s="721"/>
      <c r="AA557" s="721"/>
      <c r="AB557" s="314"/>
      <c r="AC557" s="317"/>
      <c r="AD557" s="324"/>
      <c r="AE557" s="180"/>
      <c r="AF557" s="155"/>
      <c r="AG557" s="322"/>
      <c r="AH557" s="132"/>
      <c r="AI557" s="132"/>
    </row>
    <row r="558">
      <c r="A558" s="435"/>
      <c r="B558" s="312"/>
      <c r="C558" s="745"/>
      <c r="D558" s="751"/>
      <c r="E558" s="316"/>
      <c r="F558" s="316"/>
      <c r="G558" s="314"/>
      <c r="H558" s="318"/>
      <c r="I558" s="314"/>
      <c r="J558" s="314"/>
      <c r="K558" s="435"/>
      <c r="L558" s="314"/>
      <c r="M558" s="435"/>
      <c r="N558" s="314"/>
      <c r="O558" s="318"/>
      <c r="P558" s="314"/>
      <c r="Q558" s="435"/>
      <c r="R558" s="314"/>
      <c r="S558" s="718"/>
      <c r="T558" s="719"/>
      <c r="U558" s="314"/>
      <c r="V558" s="318"/>
      <c r="W558" s="314"/>
      <c r="X558" s="314"/>
      <c r="Y558" s="314"/>
      <c r="Z558" s="721"/>
      <c r="AA558" s="721"/>
      <c r="AB558" s="314"/>
      <c r="AC558" s="317"/>
      <c r="AD558" s="324"/>
      <c r="AE558" s="180"/>
      <c r="AF558" s="155"/>
      <c r="AG558" s="322"/>
      <c r="AH558" s="132"/>
      <c r="AI558" s="132"/>
    </row>
    <row r="559">
      <c r="A559" s="476"/>
      <c r="AF559" s="176"/>
      <c r="AG559" s="322"/>
      <c r="AH559" s="132"/>
      <c r="AI559" s="132"/>
    </row>
    <row r="560">
      <c r="A560" s="178"/>
      <c r="AG560" s="322"/>
      <c r="AH560" s="132"/>
      <c r="AI560" s="132"/>
    </row>
    <row r="561">
      <c r="A561" s="474"/>
      <c r="B561" s="745"/>
      <c r="C561" s="745"/>
      <c r="D561" s="751"/>
      <c r="E561" s="742"/>
      <c r="F561" s="316"/>
      <c r="G561" s="314"/>
      <c r="H561" s="318"/>
      <c r="I561" s="435"/>
      <c r="J561" s="435"/>
      <c r="K561" s="435"/>
      <c r="L561" s="435"/>
      <c r="M561" s="435"/>
      <c r="N561" s="435"/>
      <c r="O561" s="318"/>
      <c r="P561" s="435"/>
      <c r="Q561" s="435"/>
      <c r="R561" s="435"/>
      <c r="S561" s="747"/>
      <c r="T561" s="748"/>
      <c r="U561" s="435"/>
      <c r="V561" s="740"/>
      <c r="W561" s="435"/>
      <c r="X561" s="435"/>
      <c r="Y561" s="435"/>
      <c r="Z561" s="749"/>
      <c r="AA561" s="749"/>
      <c r="AB561" s="435"/>
      <c r="AC561" s="750"/>
      <c r="AD561" s="324"/>
      <c r="AE561" s="180"/>
      <c r="AF561" s="155"/>
      <c r="AG561" s="322"/>
      <c r="AH561" s="132"/>
      <c r="AI561" s="132"/>
    </row>
    <row r="562">
      <c r="A562" s="474"/>
      <c r="B562" s="312"/>
      <c r="C562" s="745"/>
      <c r="D562" s="751"/>
      <c r="E562" s="742"/>
      <c r="F562" s="316"/>
      <c r="G562" s="314"/>
      <c r="H562" s="740"/>
      <c r="I562" s="314"/>
      <c r="J562" s="435"/>
      <c r="K562" s="435"/>
      <c r="L562" s="435"/>
      <c r="M562" s="314"/>
      <c r="N562" s="314"/>
      <c r="O562" s="318"/>
      <c r="P562" s="435"/>
      <c r="Q562" s="435"/>
      <c r="R562" s="435"/>
      <c r="S562" s="747"/>
      <c r="T562" s="748"/>
      <c r="U562" s="435"/>
      <c r="V562" s="740"/>
      <c r="W562" s="435"/>
      <c r="X562" s="435"/>
      <c r="Y562" s="435"/>
      <c r="Z562" s="749"/>
      <c r="AA562" s="749"/>
      <c r="AB562" s="435"/>
      <c r="AC562" s="750"/>
      <c r="AD562" s="324"/>
      <c r="AE562" s="180"/>
      <c r="AF562" s="155"/>
      <c r="AG562" s="322"/>
      <c r="AH562" s="132"/>
      <c r="AI562" s="132"/>
    </row>
    <row r="563">
      <c r="A563" s="477"/>
      <c r="B563" s="745"/>
      <c r="C563" s="745"/>
      <c r="D563" s="751"/>
      <c r="E563" s="316"/>
      <c r="F563" s="316"/>
      <c r="G563" s="314"/>
      <c r="H563" s="740"/>
      <c r="I563" s="435"/>
      <c r="J563" s="435"/>
      <c r="K563" s="435"/>
      <c r="L563" s="435"/>
      <c r="M563" s="435"/>
      <c r="N563" s="435"/>
      <c r="O563" s="318"/>
      <c r="P563" s="435"/>
      <c r="Q563" s="435"/>
      <c r="R563" s="435"/>
      <c r="S563" s="747"/>
      <c r="T563" s="748"/>
      <c r="U563" s="435"/>
      <c r="V563" s="740"/>
      <c r="W563" s="435"/>
      <c r="X563" s="435"/>
      <c r="Y563" s="435"/>
      <c r="Z563" s="749"/>
      <c r="AA563" s="749"/>
      <c r="AB563" s="435"/>
      <c r="AC563" s="750"/>
      <c r="AD563" s="324"/>
      <c r="AE563" s="180"/>
      <c r="AF563" s="155"/>
      <c r="AG563" s="322"/>
      <c r="AH563" s="132"/>
      <c r="AI563" s="132"/>
    </row>
    <row r="564">
      <c r="A564" s="477"/>
      <c r="B564" s="745"/>
      <c r="C564" s="745"/>
      <c r="D564" s="751"/>
      <c r="E564" s="316"/>
      <c r="F564" s="316"/>
      <c r="G564" s="314"/>
      <c r="H564" s="740"/>
      <c r="I564" s="314"/>
      <c r="J564" s="314"/>
      <c r="K564" s="435"/>
      <c r="L564" s="435"/>
      <c r="M564" s="435"/>
      <c r="N564" s="314"/>
      <c r="O564" s="318"/>
      <c r="P564" s="435"/>
      <c r="Q564" s="435"/>
      <c r="R564" s="435"/>
      <c r="S564" s="747"/>
      <c r="T564" s="748"/>
      <c r="U564" s="435"/>
      <c r="V564" s="740"/>
      <c r="W564" s="435"/>
      <c r="X564" s="435"/>
      <c r="Y564" s="435"/>
      <c r="Z564" s="749"/>
      <c r="AA564" s="749"/>
      <c r="AB564" s="435"/>
      <c r="AC564" s="750"/>
      <c r="AD564" s="324"/>
      <c r="AE564" s="180"/>
      <c r="AF564" s="155"/>
      <c r="AG564" s="322"/>
      <c r="AH564" s="132"/>
      <c r="AI564" s="132"/>
    </row>
    <row r="565">
      <c r="A565" s="477"/>
      <c r="B565" s="745"/>
      <c r="C565" s="745"/>
      <c r="D565" s="751"/>
      <c r="E565" s="742"/>
      <c r="F565" s="316"/>
      <c r="G565" s="314"/>
      <c r="H565" s="740"/>
      <c r="I565" s="435"/>
      <c r="J565" s="435"/>
      <c r="K565" s="435"/>
      <c r="L565" s="435"/>
      <c r="M565" s="435"/>
      <c r="N565" s="435"/>
      <c r="O565" s="318"/>
      <c r="P565" s="435"/>
      <c r="Q565" s="435"/>
      <c r="R565" s="435"/>
      <c r="S565" s="747"/>
      <c r="T565" s="748"/>
      <c r="U565" s="435"/>
      <c r="V565" s="740"/>
      <c r="W565" s="435"/>
      <c r="X565" s="435"/>
      <c r="Y565" s="435"/>
      <c r="Z565" s="749"/>
      <c r="AA565" s="749"/>
      <c r="AB565" s="435"/>
      <c r="AC565" s="750"/>
      <c r="AD565" s="324"/>
      <c r="AE565" s="180"/>
      <c r="AF565" s="155"/>
      <c r="AG565" s="322"/>
      <c r="AH565" s="132"/>
      <c r="AI565" s="132"/>
    </row>
    <row r="566">
      <c r="A566" s="474"/>
      <c r="B566" s="312"/>
      <c r="C566" s="745"/>
      <c r="D566" s="717"/>
      <c r="E566" s="742"/>
      <c r="F566" s="316"/>
      <c r="G566" s="314"/>
      <c r="H566" s="740"/>
      <c r="I566" s="314"/>
      <c r="J566" s="435"/>
      <c r="K566" s="435"/>
      <c r="L566" s="314"/>
      <c r="M566" s="435"/>
      <c r="N566" s="314"/>
      <c r="O566" s="318"/>
      <c r="P566" s="435"/>
      <c r="Q566" s="435"/>
      <c r="R566" s="435"/>
      <c r="S566" s="747"/>
      <c r="T566" s="748"/>
      <c r="U566" s="435"/>
      <c r="V566" s="740"/>
      <c r="W566" s="435"/>
      <c r="X566" s="435"/>
      <c r="Y566" s="435"/>
      <c r="Z566" s="749"/>
      <c r="AA566" s="749"/>
      <c r="AB566" s="435"/>
      <c r="AC566" s="750"/>
      <c r="AD566" s="324"/>
      <c r="AE566" s="180"/>
      <c r="AF566" s="155"/>
      <c r="AG566" s="322"/>
      <c r="AH566" s="132"/>
      <c r="AI566" s="132"/>
    </row>
    <row r="567">
      <c r="A567" s="478"/>
      <c r="B567" s="745"/>
      <c r="C567" s="745"/>
      <c r="D567" s="751"/>
      <c r="E567" s="742"/>
      <c r="F567" s="316"/>
      <c r="G567" s="314"/>
      <c r="H567" s="740"/>
      <c r="I567" s="435"/>
      <c r="J567" s="435"/>
      <c r="K567" s="435"/>
      <c r="L567" s="435"/>
      <c r="M567" s="435"/>
      <c r="N567" s="435"/>
      <c r="O567" s="318"/>
      <c r="P567" s="435"/>
      <c r="Q567" s="435"/>
      <c r="R567" s="435"/>
      <c r="S567" s="747"/>
      <c r="T567" s="748"/>
      <c r="U567" s="435"/>
      <c r="V567" s="740"/>
      <c r="W567" s="435"/>
      <c r="X567" s="435"/>
      <c r="Y567" s="435"/>
      <c r="Z567" s="749"/>
      <c r="AA567" s="749"/>
      <c r="AB567" s="435"/>
      <c r="AC567" s="750"/>
      <c r="AD567" s="324"/>
      <c r="AE567" s="180"/>
      <c r="AF567" s="155"/>
      <c r="AG567" s="322"/>
      <c r="AH567" s="132"/>
      <c r="AI567" s="132"/>
    </row>
    <row r="568">
      <c r="A568" s="478"/>
      <c r="B568" s="745"/>
      <c r="C568" s="745"/>
      <c r="D568" s="751"/>
      <c r="E568" s="742"/>
      <c r="F568" s="316"/>
      <c r="G568" s="314"/>
      <c r="H568" s="740"/>
      <c r="I568" s="435"/>
      <c r="J568" s="435"/>
      <c r="K568" s="435"/>
      <c r="L568" s="435"/>
      <c r="M568" s="435"/>
      <c r="N568" s="435"/>
      <c r="O568" s="318"/>
      <c r="P568" s="435"/>
      <c r="Q568" s="435"/>
      <c r="R568" s="435"/>
      <c r="S568" s="747"/>
      <c r="T568" s="748"/>
      <c r="U568" s="435"/>
      <c r="V568" s="740"/>
      <c r="W568" s="435"/>
      <c r="X568" s="435"/>
      <c r="Y568" s="435"/>
      <c r="Z568" s="749"/>
      <c r="AA568" s="749"/>
      <c r="AB568" s="435"/>
      <c r="AC568" s="750"/>
      <c r="AD568" s="324"/>
      <c r="AE568" s="180"/>
      <c r="AF568" s="155"/>
      <c r="AG568" s="322"/>
      <c r="AH568" s="132"/>
      <c r="AI568" s="132"/>
    </row>
    <row r="569">
      <c r="A569" s="478"/>
      <c r="B569" s="745"/>
      <c r="C569" s="745"/>
      <c r="D569" s="717"/>
      <c r="E569" s="316"/>
      <c r="F569" s="316"/>
      <c r="G569" s="314"/>
      <c r="H569" s="740"/>
      <c r="I569" s="435"/>
      <c r="J569" s="314"/>
      <c r="K569" s="435"/>
      <c r="L569" s="314"/>
      <c r="M569" s="435"/>
      <c r="N569" s="314"/>
      <c r="O569" s="318"/>
      <c r="P569" s="314"/>
      <c r="Q569" s="314"/>
      <c r="R569" s="314"/>
      <c r="S569" s="747"/>
      <c r="T569" s="748"/>
      <c r="U569" s="435"/>
      <c r="V569" s="740"/>
      <c r="W569" s="435"/>
      <c r="X569" s="435"/>
      <c r="Y569" s="435"/>
      <c r="Z569" s="749"/>
      <c r="AA569" s="749"/>
      <c r="AB569" s="435"/>
      <c r="AC569" s="750"/>
      <c r="AD569" s="324"/>
      <c r="AE569" s="180"/>
      <c r="AF569" s="155"/>
      <c r="AG569" s="322"/>
      <c r="AH569" s="132"/>
      <c r="AI569" s="132"/>
    </row>
    <row r="570">
      <c r="A570" s="477"/>
      <c r="B570" s="312"/>
      <c r="C570" s="745"/>
      <c r="D570" s="751"/>
      <c r="E570" s="742"/>
      <c r="F570" s="316"/>
      <c r="G570" s="314"/>
      <c r="H570" s="740"/>
      <c r="I570" s="435"/>
      <c r="J570" s="435"/>
      <c r="K570" s="435"/>
      <c r="L570" s="435"/>
      <c r="M570" s="435"/>
      <c r="N570" s="435"/>
      <c r="O570" s="318"/>
      <c r="P570" s="435"/>
      <c r="Q570" s="435"/>
      <c r="R570" s="435"/>
      <c r="S570" s="747"/>
      <c r="T570" s="748"/>
      <c r="U570" s="435"/>
      <c r="V570" s="740"/>
      <c r="W570" s="435"/>
      <c r="X570" s="435"/>
      <c r="Y570" s="435"/>
      <c r="Z570" s="749"/>
      <c r="AA570" s="749"/>
      <c r="AB570" s="435"/>
      <c r="AC570" s="750"/>
      <c r="AD570" s="324"/>
      <c r="AE570" s="180"/>
      <c r="AF570" s="155"/>
      <c r="AG570" s="322"/>
      <c r="AH570" s="132"/>
      <c r="AI570" s="132"/>
    </row>
    <row r="571">
      <c r="A571" s="477"/>
      <c r="B571" s="312"/>
      <c r="C571" s="312"/>
      <c r="D571" s="717"/>
      <c r="E571" s="316"/>
      <c r="F571" s="316"/>
      <c r="G571" s="314"/>
      <c r="H571" s="740"/>
      <c r="I571" s="314"/>
      <c r="J571" s="314"/>
      <c r="K571" s="314"/>
      <c r="L571" s="314"/>
      <c r="M571" s="314"/>
      <c r="N571" s="435"/>
      <c r="O571" s="318"/>
      <c r="P571" s="314"/>
      <c r="Q571" s="435"/>
      <c r="R571" s="314"/>
      <c r="S571" s="718"/>
      <c r="T571" s="719"/>
      <c r="U571" s="314"/>
      <c r="V571" s="318"/>
      <c r="W571" s="314"/>
      <c r="X571" s="314"/>
      <c r="Y571" s="314"/>
      <c r="Z571" s="721"/>
      <c r="AA571" s="721"/>
      <c r="AB571" s="314"/>
      <c r="AC571" s="317"/>
      <c r="AD571" s="324"/>
      <c r="AE571" s="180"/>
      <c r="AF571" s="155"/>
      <c r="AG571" s="322"/>
      <c r="AH571" s="132"/>
      <c r="AI571" s="132"/>
    </row>
    <row r="572">
      <c r="A572" s="477"/>
      <c r="B572" s="312"/>
      <c r="C572" s="312"/>
      <c r="D572" s="717"/>
      <c r="E572" s="316"/>
      <c r="F572" s="316"/>
      <c r="G572" s="314"/>
      <c r="H572" s="318"/>
      <c r="I572" s="314"/>
      <c r="J572" s="314"/>
      <c r="K572" s="314"/>
      <c r="L572" s="314"/>
      <c r="M572" s="314"/>
      <c r="N572" s="314"/>
      <c r="O572" s="318"/>
      <c r="P572" s="314"/>
      <c r="Q572" s="314"/>
      <c r="R572" s="314"/>
      <c r="S572" s="718"/>
      <c r="T572" s="719"/>
      <c r="U572" s="314"/>
      <c r="V572" s="318"/>
      <c r="W572" s="314"/>
      <c r="X572" s="314"/>
      <c r="Y572" s="314"/>
      <c r="Z572" s="721"/>
      <c r="AA572" s="721"/>
      <c r="AB572" s="314"/>
      <c r="AC572" s="317"/>
      <c r="AD572" s="324"/>
      <c r="AE572" s="180"/>
      <c r="AF572" s="155"/>
      <c r="AG572" s="322"/>
      <c r="AH572" s="132"/>
      <c r="AI572" s="132"/>
    </row>
    <row r="573">
      <c r="A573" s="476"/>
      <c r="AF573" s="176"/>
      <c r="AG573" s="322"/>
      <c r="AH573" s="132"/>
      <c r="AI573" s="132"/>
    </row>
    <row r="574">
      <c r="A574" s="178"/>
      <c r="AG574" s="322"/>
      <c r="AH574" s="132"/>
      <c r="AI574" s="132"/>
    </row>
    <row r="575">
      <c r="A575" s="477"/>
      <c r="B575" s="745"/>
      <c r="C575" s="745"/>
      <c r="D575" s="751"/>
      <c r="E575" s="316"/>
      <c r="F575" s="316"/>
      <c r="G575" s="314"/>
      <c r="H575" s="318"/>
      <c r="I575" s="314"/>
      <c r="J575" s="314"/>
      <c r="K575" s="435"/>
      <c r="L575" s="435"/>
      <c r="M575" s="314"/>
      <c r="N575" s="314"/>
      <c r="O575" s="318"/>
      <c r="P575" s="314"/>
      <c r="Q575" s="435"/>
      <c r="R575" s="435"/>
      <c r="S575" s="747"/>
      <c r="T575" s="748"/>
      <c r="U575" s="435"/>
      <c r="V575" s="740"/>
      <c r="W575" s="435"/>
      <c r="X575" s="435"/>
      <c r="Y575" s="435"/>
      <c r="Z575" s="749"/>
      <c r="AA575" s="749"/>
      <c r="AB575" s="435"/>
      <c r="AC575" s="750"/>
      <c r="AD575" s="324"/>
      <c r="AE575" s="180"/>
      <c r="AF575" s="155"/>
      <c r="AG575" s="322"/>
      <c r="AH575" s="132"/>
      <c r="AI575" s="132"/>
    </row>
    <row r="576">
      <c r="A576" s="477"/>
      <c r="B576" s="312"/>
      <c r="C576" s="745"/>
      <c r="D576" s="751"/>
      <c r="E576" s="316"/>
      <c r="F576" s="316"/>
      <c r="G576" s="314"/>
      <c r="H576" s="318"/>
      <c r="I576" s="435"/>
      <c r="J576" s="435"/>
      <c r="K576" s="435"/>
      <c r="L576" s="314"/>
      <c r="M576" s="435"/>
      <c r="N576" s="314"/>
      <c r="O576" s="318"/>
      <c r="P576" s="314"/>
      <c r="Q576" s="435"/>
      <c r="R576" s="435"/>
      <c r="S576" s="747"/>
      <c r="T576" s="748"/>
      <c r="U576" s="435"/>
      <c r="V576" s="740"/>
      <c r="W576" s="435"/>
      <c r="X576" s="435"/>
      <c r="Y576" s="435"/>
      <c r="Z576" s="749"/>
      <c r="AA576" s="749"/>
      <c r="AB576" s="435"/>
      <c r="AC576" s="750"/>
      <c r="AD576" s="324"/>
      <c r="AE576" s="180"/>
      <c r="AF576" s="155"/>
      <c r="AG576" s="322"/>
      <c r="AH576" s="132"/>
      <c r="AI576" s="132"/>
    </row>
    <row r="577">
      <c r="A577" s="477"/>
      <c r="B577" s="312"/>
      <c r="C577" s="745"/>
      <c r="D577" s="751"/>
      <c r="E577" s="742"/>
      <c r="F577" s="316"/>
      <c r="G577" s="314"/>
      <c r="H577" s="740"/>
      <c r="I577" s="314"/>
      <c r="J577" s="314"/>
      <c r="K577" s="435"/>
      <c r="L577" s="314"/>
      <c r="M577" s="435"/>
      <c r="N577" s="435"/>
      <c r="O577" s="318"/>
      <c r="P577" s="435"/>
      <c r="Q577" s="435"/>
      <c r="R577" s="435"/>
      <c r="S577" s="747"/>
      <c r="T577" s="748"/>
      <c r="U577" s="435"/>
      <c r="V577" s="740"/>
      <c r="W577" s="435"/>
      <c r="X577" s="435"/>
      <c r="Y577" s="435"/>
      <c r="Z577" s="749"/>
      <c r="AA577" s="749"/>
      <c r="AB577" s="435"/>
      <c r="AC577" s="750"/>
      <c r="AD577" s="324"/>
      <c r="AE577" s="180"/>
      <c r="AF577" s="155"/>
      <c r="AG577" s="322"/>
      <c r="AH577" s="132"/>
      <c r="AI577" s="132"/>
    </row>
    <row r="578">
      <c r="A578" s="479"/>
      <c r="B578" s="312"/>
      <c r="C578" s="312"/>
      <c r="D578" s="717"/>
      <c r="E578" s="316"/>
      <c r="F578" s="316"/>
      <c r="G578" s="314"/>
      <c r="H578" s="318"/>
      <c r="I578" s="314"/>
      <c r="J578" s="314"/>
      <c r="K578" s="314"/>
      <c r="L578" s="314"/>
      <c r="M578" s="314"/>
      <c r="N578" s="314"/>
      <c r="O578" s="318"/>
      <c r="P578" s="314"/>
      <c r="Q578" s="435"/>
      <c r="R578" s="314"/>
      <c r="S578" s="718"/>
      <c r="T578" s="719"/>
      <c r="U578" s="314"/>
      <c r="V578" s="318"/>
      <c r="W578" s="314"/>
      <c r="X578" s="314"/>
      <c r="Y578" s="314"/>
      <c r="Z578" s="721"/>
      <c r="AA578" s="721"/>
      <c r="AB578" s="314"/>
      <c r="AC578" s="317"/>
      <c r="AD578" s="324"/>
      <c r="AE578" s="180"/>
      <c r="AF578" s="155"/>
      <c r="AG578" s="322"/>
      <c r="AH578" s="132"/>
      <c r="AI578" s="132"/>
    </row>
    <row r="579">
      <c r="A579" s="476"/>
      <c r="AF579" s="176"/>
      <c r="AG579" s="322"/>
      <c r="AH579" s="132"/>
      <c r="AI579" s="132"/>
    </row>
    <row r="580">
      <c r="A580" s="178"/>
      <c r="AG580" s="322"/>
      <c r="AH580" s="132"/>
      <c r="AI580" s="132"/>
    </row>
    <row r="581">
      <c r="A581" s="480"/>
      <c r="B581" s="312"/>
      <c r="C581" s="745"/>
      <c r="D581" s="717"/>
      <c r="E581" s="316"/>
      <c r="F581" s="316"/>
      <c r="G581" s="314"/>
      <c r="H581" s="318"/>
      <c r="I581" s="314"/>
      <c r="J581" s="435"/>
      <c r="K581" s="435"/>
      <c r="L581" s="314"/>
      <c r="M581" s="314"/>
      <c r="N581" s="314"/>
      <c r="O581" s="318"/>
      <c r="P581" s="314"/>
      <c r="Q581" s="435"/>
      <c r="R581" s="314"/>
      <c r="S581" s="718"/>
      <c r="T581" s="719"/>
      <c r="U581" s="314"/>
      <c r="V581" s="318"/>
      <c r="W581" s="314"/>
      <c r="X581" s="314"/>
      <c r="Y581" s="314"/>
      <c r="Z581" s="721"/>
      <c r="AA581" s="721"/>
      <c r="AB581" s="314"/>
      <c r="AC581" s="317"/>
      <c r="AD581" s="324"/>
      <c r="AE581" s="180"/>
      <c r="AF581" s="180"/>
      <c r="AG581" s="322"/>
      <c r="AH581" s="132"/>
      <c r="AI581" s="132"/>
    </row>
    <row r="582">
      <c r="A582" s="480"/>
      <c r="B582" s="312"/>
      <c r="C582" s="745"/>
      <c r="D582" s="717"/>
      <c r="E582" s="316"/>
      <c r="F582" s="316"/>
      <c r="G582" s="314"/>
      <c r="H582" s="740"/>
      <c r="I582" s="314"/>
      <c r="J582" s="435"/>
      <c r="K582" s="435"/>
      <c r="L582" s="314"/>
      <c r="M582" s="435"/>
      <c r="N582" s="435"/>
      <c r="O582" s="318"/>
      <c r="P582" s="435"/>
      <c r="Q582" s="435"/>
      <c r="R582" s="314"/>
      <c r="S582" s="747"/>
      <c r="T582" s="748"/>
      <c r="U582" s="435"/>
      <c r="V582" s="740"/>
      <c r="W582" s="435"/>
      <c r="X582" s="435"/>
      <c r="Y582" s="435"/>
      <c r="Z582" s="749"/>
      <c r="AA582" s="749"/>
      <c r="AB582" s="435"/>
      <c r="AC582" s="750"/>
      <c r="AD582" s="324"/>
      <c r="AE582" s="180"/>
      <c r="AF582" s="180"/>
      <c r="AG582" s="322"/>
      <c r="AH582" s="132"/>
      <c r="AI582" s="132"/>
    </row>
    <row r="583">
      <c r="A583" s="476"/>
      <c r="AF583" s="176"/>
      <c r="AG583" s="322"/>
      <c r="AH583" s="132"/>
      <c r="AI583" s="132"/>
    </row>
    <row r="584">
      <c r="A584" s="178"/>
      <c r="AG584" s="322"/>
      <c r="AH584" s="132"/>
      <c r="AI584" s="132"/>
    </row>
    <row r="585">
      <c r="A585" s="481"/>
      <c r="B585" s="312"/>
      <c r="C585" s="745"/>
      <c r="D585" s="751"/>
      <c r="E585" s="742"/>
      <c r="F585" s="316"/>
      <c r="G585" s="435"/>
      <c r="H585" s="740"/>
      <c r="I585" s="435"/>
      <c r="J585" s="314"/>
      <c r="K585" s="435"/>
      <c r="L585" s="435"/>
      <c r="M585" s="435"/>
      <c r="N585" s="314"/>
      <c r="O585" s="318"/>
      <c r="P585" s="435"/>
      <c r="Q585" s="435"/>
      <c r="R585" s="435"/>
      <c r="S585" s="747"/>
      <c r="T585" s="748"/>
      <c r="U585" s="435"/>
      <c r="V585" s="740"/>
      <c r="W585" s="435"/>
      <c r="X585" s="435"/>
      <c r="Y585" s="435"/>
      <c r="Z585" s="749"/>
      <c r="AA585" s="749"/>
      <c r="AB585" s="435"/>
      <c r="AC585" s="750"/>
      <c r="AD585" s="324"/>
      <c r="AE585" s="180"/>
      <c r="AF585" s="155"/>
      <c r="AG585" s="322"/>
      <c r="AH585" s="132"/>
      <c r="AI585" s="132"/>
    </row>
    <row r="586">
      <c r="A586" s="435"/>
      <c r="B586" s="312"/>
      <c r="C586" s="745"/>
      <c r="D586" s="751"/>
      <c r="E586" s="316"/>
      <c r="F586" s="316"/>
      <c r="G586" s="314"/>
      <c r="H586" s="740"/>
      <c r="I586" s="314"/>
      <c r="J586" s="435"/>
      <c r="K586" s="435"/>
      <c r="L586" s="314"/>
      <c r="M586" s="314"/>
      <c r="N586" s="314"/>
      <c r="O586" s="318"/>
      <c r="P586" s="435"/>
      <c r="Q586" s="435"/>
      <c r="R586" s="435"/>
      <c r="S586" s="747"/>
      <c r="T586" s="748"/>
      <c r="U586" s="435"/>
      <c r="V586" s="740"/>
      <c r="W586" s="435"/>
      <c r="X586" s="435"/>
      <c r="Y586" s="435"/>
      <c r="Z586" s="749"/>
      <c r="AA586" s="749"/>
      <c r="AB586" s="435"/>
      <c r="AC586" s="750"/>
      <c r="AD586" s="324"/>
      <c r="AE586" s="180"/>
      <c r="AF586" s="155"/>
      <c r="AG586" s="322"/>
      <c r="AH586" s="132"/>
      <c r="AI586" s="132"/>
    </row>
    <row r="587">
      <c r="A587" s="482"/>
      <c r="B587" s="312"/>
      <c r="C587" s="312"/>
      <c r="D587" s="751"/>
      <c r="E587" s="316"/>
      <c r="F587" s="316"/>
      <c r="G587" s="314"/>
      <c r="H587" s="318"/>
      <c r="I587" s="314"/>
      <c r="J587" s="314"/>
      <c r="K587" s="435"/>
      <c r="L587" s="314"/>
      <c r="M587" s="314"/>
      <c r="N587" s="314"/>
      <c r="O587" s="318"/>
      <c r="P587" s="314"/>
      <c r="Q587" s="314"/>
      <c r="R587" s="435"/>
      <c r="S587" s="718"/>
      <c r="T587" s="719"/>
      <c r="U587" s="314"/>
      <c r="V587" s="318"/>
      <c r="W587" s="314"/>
      <c r="X587" s="314"/>
      <c r="Y587" s="314"/>
      <c r="Z587" s="721"/>
      <c r="AA587" s="721"/>
      <c r="AB587" s="314"/>
      <c r="AC587" s="317"/>
      <c r="AD587" s="324"/>
      <c r="AE587" s="180"/>
      <c r="AF587" s="155"/>
      <c r="AG587" s="322"/>
      <c r="AH587" s="132"/>
      <c r="AI587" s="132"/>
    </row>
    <row r="588">
      <c r="A588" s="482"/>
      <c r="B588" s="312"/>
      <c r="C588" s="745"/>
      <c r="D588" s="751"/>
      <c r="E588" s="742"/>
      <c r="F588" s="316"/>
      <c r="G588" s="314"/>
      <c r="H588" s="740"/>
      <c r="I588" s="435"/>
      <c r="J588" s="435"/>
      <c r="K588" s="435"/>
      <c r="L588" s="435"/>
      <c r="M588" s="435"/>
      <c r="N588" s="435"/>
      <c r="O588" s="318"/>
      <c r="P588" s="435"/>
      <c r="Q588" s="435"/>
      <c r="R588" s="435"/>
      <c r="S588" s="747"/>
      <c r="T588" s="748"/>
      <c r="U588" s="435"/>
      <c r="V588" s="740"/>
      <c r="W588" s="435"/>
      <c r="X588" s="435"/>
      <c r="Y588" s="435"/>
      <c r="Z588" s="749"/>
      <c r="AA588" s="749"/>
      <c r="AB588" s="435"/>
      <c r="AC588" s="750"/>
      <c r="AD588" s="324"/>
      <c r="AE588" s="180"/>
      <c r="AF588" s="155"/>
      <c r="AG588" s="322"/>
      <c r="AH588" s="132"/>
      <c r="AI588" s="132"/>
    </row>
    <row r="589">
      <c r="A589" s="314"/>
      <c r="B589" s="312"/>
      <c r="C589" s="312"/>
      <c r="D589" s="717"/>
      <c r="E589" s="316"/>
      <c r="F589" s="316"/>
      <c r="G589" s="314"/>
      <c r="H589" s="318"/>
      <c r="I589" s="314"/>
      <c r="J589" s="314"/>
      <c r="K589" s="314"/>
      <c r="L589" s="314"/>
      <c r="M589" s="314"/>
      <c r="N589" s="314"/>
      <c r="O589" s="318"/>
      <c r="P589" s="314"/>
      <c r="Q589" s="314"/>
      <c r="R589" s="314"/>
      <c r="S589" s="718"/>
      <c r="T589" s="719"/>
      <c r="U589" s="314"/>
      <c r="V589" s="318"/>
      <c r="W589" s="314"/>
      <c r="X589" s="314"/>
      <c r="Y589" s="314"/>
      <c r="Z589" s="721"/>
      <c r="AA589" s="721"/>
      <c r="AB589" s="314"/>
      <c r="AC589" s="317"/>
      <c r="AD589" s="483"/>
      <c r="AF589" s="484"/>
      <c r="AG589" s="322"/>
      <c r="AH589" s="132"/>
      <c r="AI589" s="132"/>
    </row>
    <row r="590">
      <c r="A590" s="314"/>
      <c r="B590" s="312"/>
      <c r="C590" s="312"/>
      <c r="D590" s="717"/>
      <c r="E590" s="316"/>
      <c r="F590" s="316"/>
      <c r="G590" s="314"/>
      <c r="H590" s="318"/>
      <c r="I590" s="314"/>
      <c r="J590" s="314"/>
      <c r="K590" s="314"/>
      <c r="L590" s="314"/>
      <c r="M590" s="314"/>
      <c r="N590" s="314"/>
      <c r="O590" s="318"/>
      <c r="P590" s="314"/>
      <c r="Q590" s="314"/>
      <c r="R590" s="314"/>
      <c r="S590" s="718"/>
      <c r="T590" s="719"/>
      <c r="U590" s="314"/>
      <c r="V590" s="318"/>
      <c r="W590" s="314"/>
      <c r="X590" s="314"/>
      <c r="Y590" s="314"/>
      <c r="Z590" s="721"/>
      <c r="AA590" s="721"/>
      <c r="AB590" s="314"/>
      <c r="AC590" s="317"/>
      <c r="AD590" s="324"/>
      <c r="AE590" s="155"/>
      <c r="AF590" s="155"/>
      <c r="AG590" s="322"/>
      <c r="AH590" s="132"/>
      <c r="AI590" s="132"/>
    </row>
    <row r="591">
      <c r="A591" s="314"/>
      <c r="B591" s="312"/>
      <c r="C591" s="312"/>
      <c r="D591" s="717"/>
      <c r="E591" s="316"/>
      <c r="F591" s="316"/>
      <c r="G591" s="314"/>
      <c r="H591" s="318"/>
      <c r="I591" s="314"/>
      <c r="J591" s="314"/>
      <c r="K591" s="314"/>
      <c r="L591" s="314"/>
      <c r="M591" s="314"/>
      <c r="N591" s="314"/>
      <c r="O591" s="318"/>
      <c r="P591" s="314"/>
      <c r="Q591" s="314"/>
      <c r="R591" s="314"/>
      <c r="S591" s="718"/>
      <c r="T591" s="719"/>
      <c r="U591" s="314"/>
      <c r="V591" s="318"/>
      <c r="W591" s="314"/>
      <c r="X591" s="314"/>
      <c r="Y591" s="314"/>
      <c r="Z591" s="721"/>
      <c r="AA591" s="721"/>
      <c r="AB591" s="314"/>
      <c r="AC591" s="317"/>
      <c r="AD591" s="324"/>
      <c r="AE591" s="155"/>
      <c r="AF591" s="155"/>
      <c r="AG591" s="322"/>
      <c r="AH591" s="132"/>
      <c r="AI591" s="132"/>
    </row>
    <row r="592">
      <c r="A592" s="314"/>
      <c r="B592" s="312"/>
      <c r="C592" s="312"/>
      <c r="D592" s="717"/>
      <c r="E592" s="316"/>
      <c r="F592" s="316"/>
      <c r="G592" s="314"/>
      <c r="H592" s="318"/>
      <c r="I592" s="314"/>
      <c r="J592" s="314"/>
      <c r="K592" s="314"/>
      <c r="L592" s="314"/>
      <c r="M592" s="314"/>
      <c r="N592" s="314"/>
      <c r="O592" s="318"/>
      <c r="P592" s="314"/>
      <c r="Q592" s="314"/>
      <c r="R592" s="314"/>
      <c r="S592" s="718"/>
      <c r="T592" s="719"/>
      <c r="U592" s="314"/>
      <c r="V592" s="318"/>
      <c r="W592" s="314"/>
      <c r="X592" s="314"/>
      <c r="Y592" s="314"/>
      <c r="Z592" s="721"/>
      <c r="AA592" s="721"/>
      <c r="AB592" s="314"/>
      <c r="AC592" s="317"/>
      <c r="AD592" s="324"/>
      <c r="AE592" s="155"/>
      <c r="AF592" s="155"/>
      <c r="AG592" s="322"/>
      <c r="AH592" s="132"/>
      <c r="AI592" s="132"/>
    </row>
    <row r="593">
      <c r="A593" s="314"/>
      <c r="B593" s="312"/>
      <c r="C593" s="312"/>
      <c r="D593" s="717"/>
      <c r="E593" s="316"/>
      <c r="F593" s="316"/>
      <c r="G593" s="314"/>
      <c r="H593" s="318"/>
      <c r="I593" s="314"/>
      <c r="J593" s="314"/>
      <c r="K593" s="314"/>
      <c r="L593" s="314"/>
      <c r="M593" s="314"/>
      <c r="N593" s="314"/>
      <c r="O593" s="318"/>
      <c r="P593" s="314"/>
      <c r="Q593" s="314"/>
      <c r="R593" s="314"/>
      <c r="S593" s="718"/>
      <c r="T593" s="719"/>
      <c r="U593" s="314"/>
      <c r="V593" s="318"/>
      <c r="W593" s="314"/>
      <c r="X593" s="314"/>
      <c r="Y593" s="314"/>
      <c r="Z593" s="721"/>
      <c r="AA593" s="721"/>
      <c r="AB593" s="314"/>
      <c r="AC593" s="317"/>
      <c r="AD593" s="324"/>
      <c r="AE593" s="155"/>
      <c r="AF593" s="155"/>
      <c r="AG593" s="322"/>
      <c r="AH593" s="132"/>
      <c r="AI593" s="132"/>
    </row>
    <row r="594">
      <c r="A594" s="314"/>
      <c r="B594" s="312"/>
      <c r="C594" s="312"/>
      <c r="D594" s="717"/>
      <c r="E594" s="316"/>
      <c r="F594" s="316"/>
      <c r="G594" s="314"/>
      <c r="H594" s="318"/>
      <c r="I594" s="314"/>
      <c r="J594" s="314"/>
      <c r="K594" s="314"/>
      <c r="L594" s="314"/>
      <c r="M594" s="314"/>
      <c r="N594" s="314"/>
      <c r="O594" s="318"/>
      <c r="P594" s="314"/>
      <c r="Q594" s="314"/>
      <c r="R594" s="314"/>
      <c r="S594" s="718"/>
      <c r="T594" s="719"/>
      <c r="U594" s="314"/>
      <c r="V594" s="318"/>
      <c r="W594" s="314"/>
      <c r="X594" s="314"/>
      <c r="Y594" s="314"/>
      <c r="Z594" s="721"/>
      <c r="AA594" s="721"/>
      <c r="AB594" s="314"/>
      <c r="AC594" s="317"/>
      <c r="AD594" s="324"/>
      <c r="AE594" s="155"/>
      <c r="AF594" s="155"/>
      <c r="AG594" s="322"/>
      <c r="AH594" s="132"/>
      <c r="AI594" s="132"/>
    </row>
    <row r="595">
      <c r="A595" s="314"/>
      <c r="B595" s="312"/>
      <c r="C595" s="312"/>
      <c r="D595" s="717"/>
      <c r="E595" s="316"/>
      <c r="F595" s="316"/>
      <c r="G595" s="314"/>
      <c r="H595" s="318"/>
      <c r="I595" s="314"/>
      <c r="J595" s="314"/>
      <c r="K595" s="314"/>
      <c r="L595" s="314"/>
      <c r="M595" s="314"/>
      <c r="N595" s="314"/>
      <c r="O595" s="318"/>
      <c r="P595" s="314"/>
      <c r="Q595" s="314"/>
      <c r="R595" s="314"/>
      <c r="S595" s="718"/>
      <c r="T595" s="719"/>
      <c r="U595" s="314"/>
      <c r="V595" s="318"/>
      <c r="W595" s="314"/>
      <c r="X595" s="314"/>
      <c r="Y595" s="314"/>
      <c r="Z595" s="721"/>
      <c r="AA595" s="721"/>
      <c r="AB595" s="314"/>
      <c r="AC595" s="317"/>
      <c r="AD595" s="324"/>
      <c r="AE595" s="155"/>
      <c r="AF595" s="155"/>
      <c r="AG595" s="322"/>
      <c r="AH595" s="132"/>
      <c r="AI595" s="132"/>
    </row>
    <row r="596">
      <c r="A596" s="314"/>
      <c r="B596" s="312"/>
      <c r="C596" s="312"/>
      <c r="D596" s="717"/>
      <c r="E596" s="316"/>
      <c r="F596" s="316"/>
      <c r="G596" s="314"/>
      <c r="H596" s="318"/>
      <c r="I596" s="314"/>
      <c r="J596" s="314"/>
      <c r="K596" s="314"/>
      <c r="L596" s="314"/>
      <c r="M596" s="314"/>
      <c r="N596" s="314"/>
      <c r="O596" s="318"/>
      <c r="P596" s="314"/>
      <c r="Q596" s="314"/>
      <c r="R596" s="314"/>
      <c r="S596" s="718"/>
      <c r="T596" s="719"/>
      <c r="U596" s="314"/>
      <c r="V596" s="318"/>
      <c r="W596" s="314"/>
      <c r="X596" s="314"/>
      <c r="Y596" s="314"/>
      <c r="Z596" s="721"/>
      <c r="AA596" s="721"/>
      <c r="AB596" s="314"/>
      <c r="AC596" s="317"/>
      <c r="AD596" s="324"/>
      <c r="AE596" s="155"/>
      <c r="AF596" s="155"/>
      <c r="AG596" s="322"/>
      <c r="AH596" s="132"/>
      <c r="AI596" s="132"/>
    </row>
    <row r="597">
      <c r="A597" s="314"/>
      <c r="B597" s="312"/>
      <c r="C597" s="312"/>
      <c r="D597" s="717"/>
      <c r="E597" s="316"/>
      <c r="F597" s="316"/>
      <c r="G597" s="314"/>
      <c r="H597" s="318"/>
      <c r="I597" s="314"/>
      <c r="J597" s="314"/>
      <c r="K597" s="314"/>
      <c r="L597" s="314"/>
      <c r="M597" s="314"/>
      <c r="N597" s="314"/>
      <c r="O597" s="318"/>
      <c r="P597" s="314"/>
      <c r="Q597" s="314"/>
      <c r="R597" s="314"/>
      <c r="S597" s="718"/>
      <c r="T597" s="719"/>
      <c r="U597" s="314"/>
      <c r="V597" s="318"/>
      <c r="W597" s="314"/>
      <c r="X597" s="314"/>
      <c r="Y597" s="314"/>
      <c r="Z597" s="721"/>
      <c r="AA597" s="721"/>
      <c r="AB597" s="314"/>
      <c r="AC597" s="317"/>
      <c r="AD597" s="324"/>
      <c r="AE597" s="155"/>
      <c r="AF597" s="155"/>
      <c r="AG597" s="322"/>
      <c r="AH597" s="132"/>
      <c r="AI597" s="132"/>
    </row>
    <row r="598">
      <c r="A598" s="314"/>
      <c r="B598" s="312"/>
      <c r="C598" s="312"/>
      <c r="D598" s="717"/>
      <c r="E598" s="316"/>
      <c r="F598" s="316"/>
      <c r="G598" s="314"/>
      <c r="H598" s="318"/>
      <c r="I598" s="314"/>
      <c r="J598" s="314"/>
      <c r="K598" s="314"/>
      <c r="L598" s="314"/>
      <c r="M598" s="314"/>
      <c r="N598" s="314"/>
      <c r="O598" s="318"/>
      <c r="P598" s="314"/>
      <c r="Q598" s="314"/>
      <c r="R598" s="314"/>
      <c r="S598" s="718"/>
      <c r="T598" s="719"/>
      <c r="U598" s="314"/>
      <c r="V598" s="318"/>
      <c r="W598" s="314"/>
      <c r="X598" s="314"/>
      <c r="Y598" s="314"/>
      <c r="Z598" s="721"/>
      <c r="AA598" s="721"/>
      <c r="AB598" s="314"/>
      <c r="AC598" s="317"/>
      <c r="AD598" s="324"/>
      <c r="AE598" s="155"/>
      <c r="AF598" s="155"/>
      <c r="AG598" s="322"/>
      <c r="AH598" s="132"/>
      <c r="AI598" s="132"/>
    </row>
    <row r="599">
      <c r="A599" s="314"/>
      <c r="B599" s="312"/>
      <c r="C599" s="312"/>
      <c r="D599" s="717"/>
      <c r="E599" s="316"/>
      <c r="F599" s="316"/>
      <c r="G599" s="314"/>
      <c r="H599" s="318"/>
      <c r="I599" s="314"/>
      <c r="J599" s="314"/>
      <c r="K599" s="314"/>
      <c r="L599" s="314"/>
      <c r="M599" s="314"/>
      <c r="N599" s="314"/>
      <c r="O599" s="318"/>
      <c r="P599" s="314"/>
      <c r="Q599" s="314"/>
      <c r="R599" s="314"/>
      <c r="S599" s="718"/>
      <c r="T599" s="719"/>
      <c r="U599" s="314"/>
      <c r="V599" s="318"/>
      <c r="W599" s="314"/>
      <c r="X599" s="314"/>
      <c r="Y599" s="314"/>
      <c r="Z599" s="721"/>
      <c r="AA599" s="721"/>
      <c r="AB599" s="314"/>
      <c r="AC599" s="317"/>
      <c r="AD599" s="324"/>
      <c r="AE599" s="155"/>
      <c r="AF599" s="155"/>
      <c r="AG599" s="322"/>
      <c r="AH599" s="132"/>
      <c r="AI599" s="132"/>
    </row>
    <row r="600">
      <c r="A600" s="314"/>
      <c r="B600" s="312"/>
      <c r="C600" s="312"/>
      <c r="D600" s="717"/>
      <c r="E600" s="316"/>
      <c r="F600" s="316"/>
      <c r="G600" s="314"/>
      <c r="H600" s="318"/>
      <c r="I600" s="314"/>
      <c r="J600" s="314"/>
      <c r="K600" s="314"/>
      <c r="L600" s="314"/>
      <c r="M600" s="314"/>
      <c r="N600" s="314"/>
      <c r="O600" s="318"/>
      <c r="P600" s="314"/>
      <c r="Q600" s="314"/>
      <c r="R600" s="314"/>
      <c r="S600" s="718"/>
      <c r="T600" s="719"/>
      <c r="U600" s="314"/>
      <c r="V600" s="318"/>
      <c r="W600" s="314"/>
      <c r="X600" s="314"/>
      <c r="Y600" s="314"/>
      <c r="Z600" s="721"/>
      <c r="AA600" s="721"/>
      <c r="AB600" s="314"/>
      <c r="AC600" s="317"/>
      <c r="AD600" s="324"/>
      <c r="AE600" s="155"/>
      <c r="AF600" s="155"/>
      <c r="AG600" s="322"/>
      <c r="AH600" s="132"/>
      <c r="AI600" s="132"/>
    </row>
    <row r="601">
      <c r="A601" s="314"/>
      <c r="B601" s="312"/>
      <c r="C601" s="312"/>
      <c r="D601" s="717"/>
      <c r="E601" s="316"/>
      <c r="F601" s="316"/>
      <c r="G601" s="314"/>
      <c r="H601" s="318"/>
      <c r="I601" s="314"/>
      <c r="J601" s="314"/>
      <c r="K601" s="314"/>
      <c r="L601" s="314"/>
      <c r="M601" s="314"/>
      <c r="N601" s="314"/>
      <c r="O601" s="318"/>
      <c r="P601" s="314"/>
      <c r="Q601" s="314"/>
      <c r="R601" s="314"/>
      <c r="S601" s="718"/>
      <c r="T601" s="719"/>
      <c r="U601" s="314"/>
      <c r="V601" s="318"/>
      <c r="W601" s="314"/>
      <c r="X601" s="314"/>
      <c r="Y601" s="314"/>
      <c r="Z601" s="721"/>
      <c r="AA601" s="721"/>
      <c r="AB601" s="314"/>
      <c r="AC601" s="317"/>
      <c r="AD601" s="324"/>
      <c r="AE601" s="155"/>
      <c r="AF601" s="155"/>
      <c r="AG601" s="322"/>
      <c r="AH601" s="132"/>
      <c r="AI601" s="132"/>
    </row>
    <row r="602">
      <c r="A602" s="314"/>
      <c r="B602" s="312"/>
      <c r="C602" s="312"/>
      <c r="D602" s="717"/>
      <c r="E602" s="316"/>
      <c r="F602" s="316"/>
      <c r="G602" s="314"/>
      <c r="H602" s="318"/>
      <c r="I602" s="314"/>
      <c r="J602" s="314"/>
      <c r="K602" s="314"/>
      <c r="L602" s="314"/>
      <c r="M602" s="314"/>
      <c r="N602" s="314"/>
      <c r="O602" s="318"/>
      <c r="P602" s="314"/>
      <c r="Q602" s="314"/>
      <c r="R602" s="314"/>
      <c r="S602" s="718"/>
      <c r="T602" s="719"/>
      <c r="U602" s="314"/>
      <c r="V602" s="318"/>
      <c r="W602" s="314"/>
      <c r="X602" s="314"/>
      <c r="Y602" s="314"/>
      <c r="Z602" s="721"/>
      <c r="AA602" s="721"/>
      <c r="AB602" s="314"/>
      <c r="AC602" s="317"/>
      <c r="AD602" s="324"/>
      <c r="AE602" s="155"/>
      <c r="AF602" s="155"/>
      <c r="AG602" s="322"/>
      <c r="AH602" s="132"/>
      <c r="AI602" s="132"/>
    </row>
    <row r="603">
      <c r="A603" s="314"/>
      <c r="B603" s="312"/>
      <c r="C603" s="312"/>
      <c r="D603" s="717"/>
      <c r="E603" s="316"/>
      <c r="F603" s="316"/>
      <c r="G603" s="314"/>
      <c r="H603" s="318"/>
      <c r="I603" s="314"/>
      <c r="J603" s="314"/>
      <c r="K603" s="314"/>
      <c r="L603" s="314"/>
      <c r="M603" s="314"/>
      <c r="N603" s="314"/>
      <c r="O603" s="318"/>
      <c r="P603" s="314"/>
      <c r="Q603" s="314"/>
      <c r="R603" s="314"/>
      <c r="S603" s="718"/>
      <c r="T603" s="719"/>
      <c r="U603" s="314"/>
      <c r="V603" s="318"/>
      <c r="W603" s="314"/>
      <c r="X603" s="314"/>
      <c r="Y603" s="314"/>
      <c r="Z603" s="721"/>
      <c r="AA603" s="721"/>
      <c r="AB603" s="314"/>
      <c r="AC603" s="317"/>
      <c r="AD603" s="324"/>
      <c r="AE603" s="155"/>
      <c r="AF603" s="155"/>
      <c r="AG603" s="322"/>
      <c r="AH603" s="132"/>
      <c r="AI603" s="132"/>
    </row>
    <row r="604">
      <c r="A604" s="314"/>
      <c r="B604" s="312"/>
      <c r="C604" s="312"/>
      <c r="D604" s="717"/>
      <c r="E604" s="316"/>
      <c r="F604" s="316"/>
      <c r="G604" s="314"/>
      <c r="H604" s="318"/>
      <c r="I604" s="314"/>
      <c r="J604" s="314"/>
      <c r="K604" s="314"/>
      <c r="L604" s="314"/>
      <c r="M604" s="314"/>
      <c r="N604" s="314"/>
      <c r="O604" s="318"/>
      <c r="P604" s="314"/>
      <c r="Q604" s="314"/>
      <c r="R604" s="314"/>
      <c r="S604" s="718"/>
      <c r="T604" s="719"/>
      <c r="U604" s="314"/>
      <c r="V604" s="318"/>
      <c r="W604" s="314"/>
      <c r="X604" s="314"/>
      <c r="Y604" s="314"/>
      <c r="Z604" s="721"/>
      <c r="AA604" s="721"/>
      <c r="AB604" s="314"/>
      <c r="AC604" s="317"/>
      <c r="AD604" s="487"/>
      <c r="AF604" s="484"/>
      <c r="AG604" s="322"/>
      <c r="AH604" s="132"/>
      <c r="AI604" s="132"/>
    </row>
    <row r="605">
      <c r="A605" s="314"/>
      <c r="B605" s="312"/>
      <c r="C605" s="312"/>
      <c r="D605" s="717"/>
      <c r="E605" s="316"/>
      <c r="F605" s="316"/>
      <c r="G605" s="314"/>
      <c r="H605" s="318"/>
      <c r="I605" s="314"/>
      <c r="J605" s="314"/>
      <c r="K605" s="314"/>
      <c r="L605" s="314"/>
      <c r="M605" s="314"/>
      <c r="N605" s="314"/>
      <c r="O605" s="318"/>
      <c r="P605" s="314"/>
      <c r="Q605" s="314"/>
      <c r="R605" s="314"/>
      <c r="S605" s="718"/>
      <c r="T605" s="719"/>
      <c r="U605" s="314"/>
      <c r="V605" s="318"/>
      <c r="W605" s="314"/>
      <c r="X605" s="314"/>
      <c r="Y605" s="314"/>
      <c r="Z605" s="721"/>
      <c r="AA605" s="721"/>
      <c r="AB605" s="314"/>
      <c r="AC605" s="317"/>
      <c r="AD605" s="324"/>
      <c r="AE605" s="155"/>
      <c r="AF605" s="155"/>
      <c r="AG605" s="322"/>
      <c r="AH605" s="132"/>
      <c r="AI605" s="132"/>
    </row>
    <row r="606">
      <c r="A606" s="314"/>
      <c r="B606" s="312"/>
      <c r="C606" s="312"/>
      <c r="D606" s="717"/>
      <c r="E606" s="316"/>
      <c r="F606" s="316"/>
      <c r="G606" s="314"/>
      <c r="H606" s="318"/>
      <c r="I606" s="314"/>
      <c r="J606" s="314"/>
      <c r="K606" s="314"/>
      <c r="L606" s="314"/>
      <c r="M606" s="314"/>
      <c r="N606" s="314"/>
      <c r="O606" s="318"/>
      <c r="P606" s="314"/>
      <c r="Q606" s="314"/>
      <c r="R606" s="314"/>
      <c r="S606" s="718"/>
      <c r="T606" s="719"/>
      <c r="U606" s="314"/>
      <c r="V606" s="318"/>
      <c r="W606" s="314"/>
      <c r="X606" s="314"/>
      <c r="Y606" s="314"/>
      <c r="Z606" s="721"/>
      <c r="AA606" s="721"/>
      <c r="AB606" s="314"/>
      <c r="AC606" s="317"/>
      <c r="AD606" s="324"/>
      <c r="AE606" s="155"/>
      <c r="AF606" s="155"/>
      <c r="AG606" s="322"/>
      <c r="AH606" s="132"/>
      <c r="AI606" s="132"/>
    </row>
    <row r="607">
      <c r="A607" s="314"/>
      <c r="B607" s="312"/>
      <c r="C607" s="312"/>
      <c r="D607" s="717"/>
      <c r="E607" s="316"/>
      <c r="F607" s="316"/>
      <c r="G607" s="314"/>
      <c r="H607" s="318"/>
      <c r="I607" s="314"/>
      <c r="J607" s="314"/>
      <c r="K607" s="314"/>
      <c r="L607" s="314"/>
      <c r="M607" s="314"/>
      <c r="N607" s="314"/>
      <c r="O607" s="318"/>
      <c r="P607" s="314"/>
      <c r="Q607" s="314"/>
      <c r="R607" s="314"/>
      <c r="S607" s="718"/>
      <c r="T607" s="719"/>
      <c r="U607" s="314"/>
      <c r="V607" s="318"/>
      <c r="W607" s="314"/>
      <c r="X607" s="314"/>
      <c r="Y607" s="314"/>
      <c r="Z607" s="721"/>
      <c r="AA607" s="721"/>
      <c r="AB607" s="314"/>
      <c r="AC607" s="317"/>
      <c r="AD607" s="324"/>
      <c r="AE607" s="155"/>
      <c r="AF607" s="155"/>
      <c r="AG607" s="322"/>
      <c r="AH607" s="132"/>
      <c r="AI607" s="132"/>
    </row>
    <row r="608">
      <c r="A608" s="314"/>
      <c r="B608" s="312"/>
      <c r="C608" s="312"/>
      <c r="D608" s="717"/>
      <c r="E608" s="316"/>
      <c r="F608" s="316"/>
      <c r="G608" s="314"/>
      <c r="H608" s="318"/>
      <c r="I608" s="314"/>
      <c r="J608" s="314"/>
      <c r="K608" s="314"/>
      <c r="L608" s="314"/>
      <c r="M608" s="314"/>
      <c r="N608" s="314"/>
      <c r="O608" s="318"/>
      <c r="P608" s="314"/>
      <c r="Q608" s="314"/>
      <c r="R608" s="314"/>
      <c r="S608" s="718"/>
      <c r="T608" s="719"/>
      <c r="U608" s="314"/>
      <c r="V608" s="318"/>
      <c r="W608" s="314"/>
      <c r="X608" s="314"/>
      <c r="Y608" s="314"/>
      <c r="Z608" s="721"/>
      <c r="AA608" s="721"/>
      <c r="AB608" s="314"/>
      <c r="AC608" s="317"/>
      <c r="AD608" s="324"/>
      <c r="AE608" s="155"/>
      <c r="AF608" s="155"/>
      <c r="AG608" s="322"/>
      <c r="AH608" s="132"/>
      <c r="AI608" s="132"/>
    </row>
    <row r="609">
      <c r="A609" s="314"/>
      <c r="B609" s="312"/>
      <c r="C609" s="312"/>
      <c r="D609" s="717"/>
      <c r="E609" s="316"/>
      <c r="F609" s="316"/>
      <c r="G609" s="314"/>
      <c r="H609" s="318"/>
      <c r="I609" s="314"/>
      <c r="J609" s="314"/>
      <c r="K609" s="314"/>
      <c r="L609" s="314"/>
      <c r="M609" s="314"/>
      <c r="N609" s="314"/>
      <c r="O609" s="318"/>
      <c r="P609" s="314"/>
      <c r="Q609" s="314"/>
      <c r="R609" s="314"/>
      <c r="S609" s="718"/>
      <c r="T609" s="719"/>
      <c r="U609" s="314"/>
      <c r="V609" s="318"/>
      <c r="W609" s="314"/>
      <c r="X609" s="314"/>
      <c r="Y609" s="314"/>
      <c r="Z609" s="721"/>
      <c r="AA609" s="721"/>
      <c r="AB609" s="314"/>
      <c r="AC609" s="317"/>
      <c r="AD609" s="324"/>
      <c r="AE609" s="155"/>
      <c r="AF609" s="155"/>
      <c r="AG609" s="322"/>
      <c r="AH609" s="132"/>
      <c r="AI609" s="132"/>
    </row>
    <row r="610">
      <c r="A610" s="314"/>
      <c r="B610" s="312"/>
      <c r="C610" s="312"/>
      <c r="D610" s="717"/>
      <c r="E610" s="316"/>
      <c r="F610" s="316"/>
      <c r="G610" s="314"/>
      <c r="H610" s="318"/>
      <c r="I610" s="314"/>
      <c r="J610" s="314"/>
      <c r="K610" s="314"/>
      <c r="L610" s="314"/>
      <c r="M610" s="314"/>
      <c r="N610" s="314"/>
      <c r="O610" s="318"/>
      <c r="P610" s="314"/>
      <c r="Q610" s="314"/>
      <c r="R610" s="314"/>
      <c r="S610" s="718"/>
      <c r="T610" s="719"/>
      <c r="U610" s="314"/>
      <c r="V610" s="318"/>
      <c r="W610" s="314"/>
      <c r="X610" s="314"/>
      <c r="Y610" s="314"/>
      <c r="Z610" s="721"/>
      <c r="AA610" s="721"/>
      <c r="AB610" s="314"/>
      <c r="AC610" s="317"/>
      <c r="AD610" s="324"/>
      <c r="AE610" s="155"/>
      <c r="AF610" s="155"/>
      <c r="AG610" s="322"/>
      <c r="AH610" s="132"/>
      <c r="AI610" s="132"/>
    </row>
    <row r="611">
      <c r="A611" s="314"/>
      <c r="B611" s="312"/>
      <c r="C611" s="312"/>
      <c r="D611" s="717"/>
      <c r="E611" s="316"/>
      <c r="F611" s="316"/>
      <c r="G611" s="314"/>
      <c r="H611" s="318"/>
      <c r="I611" s="314"/>
      <c r="J611" s="314"/>
      <c r="K611" s="314"/>
      <c r="L611" s="314"/>
      <c r="M611" s="314"/>
      <c r="N611" s="314"/>
      <c r="O611" s="318"/>
      <c r="P611" s="314"/>
      <c r="Q611" s="314"/>
      <c r="R611" s="314"/>
      <c r="S611" s="718"/>
      <c r="T611" s="719"/>
      <c r="U611" s="314"/>
      <c r="V611" s="318"/>
      <c r="W611" s="314"/>
      <c r="X611" s="314"/>
      <c r="Y611" s="314"/>
      <c r="Z611" s="721"/>
      <c r="AA611" s="721"/>
      <c r="AB611" s="314"/>
      <c r="AC611" s="317"/>
      <c r="AD611" s="324"/>
      <c r="AE611" s="155"/>
      <c r="AF611" s="155"/>
      <c r="AG611" s="322"/>
      <c r="AH611" s="132"/>
      <c r="AI611" s="132"/>
    </row>
    <row r="612">
      <c r="A612" s="314"/>
      <c r="B612" s="312"/>
      <c r="C612" s="312"/>
      <c r="D612" s="717"/>
      <c r="E612" s="316"/>
      <c r="F612" s="316"/>
      <c r="G612" s="314"/>
      <c r="H612" s="318"/>
      <c r="I612" s="314"/>
      <c r="J612" s="314"/>
      <c r="K612" s="314"/>
      <c r="L612" s="314"/>
      <c r="M612" s="314"/>
      <c r="N612" s="314"/>
      <c r="O612" s="318"/>
      <c r="P612" s="314"/>
      <c r="Q612" s="314"/>
      <c r="R612" s="314"/>
      <c r="S612" s="718"/>
      <c r="T612" s="719"/>
      <c r="U612" s="314"/>
      <c r="V612" s="318"/>
      <c r="W612" s="314"/>
      <c r="X612" s="314"/>
      <c r="Y612" s="314"/>
      <c r="Z612" s="721"/>
      <c r="AA612" s="721"/>
      <c r="AB612" s="314"/>
      <c r="AC612" s="317"/>
      <c r="AD612" s="324"/>
      <c r="AE612" s="155"/>
      <c r="AF612" s="155"/>
      <c r="AG612" s="322"/>
      <c r="AH612" s="132"/>
      <c r="AI612" s="132"/>
    </row>
    <row r="613">
      <c r="A613" s="314"/>
      <c r="B613" s="312"/>
      <c r="C613" s="312"/>
      <c r="D613" s="717"/>
      <c r="E613" s="316"/>
      <c r="F613" s="316"/>
      <c r="G613" s="314"/>
      <c r="H613" s="318"/>
      <c r="I613" s="314"/>
      <c r="J613" s="314"/>
      <c r="K613" s="314"/>
      <c r="L613" s="314"/>
      <c r="M613" s="314"/>
      <c r="N613" s="314"/>
      <c r="O613" s="318"/>
      <c r="P613" s="314"/>
      <c r="Q613" s="314"/>
      <c r="R613" s="314"/>
      <c r="S613" s="718"/>
      <c r="T613" s="719"/>
      <c r="U613" s="314"/>
      <c r="V613" s="318"/>
      <c r="W613" s="314"/>
      <c r="X613" s="314"/>
      <c r="Y613" s="314"/>
      <c r="Z613" s="721"/>
      <c r="AA613" s="721"/>
      <c r="AB613" s="314"/>
      <c r="AC613" s="317"/>
      <c r="AD613" s="324"/>
      <c r="AE613" s="155"/>
      <c r="AF613" s="155"/>
      <c r="AG613" s="322"/>
      <c r="AH613" s="132"/>
      <c r="AI613" s="132"/>
    </row>
    <row r="614">
      <c r="A614" s="314"/>
      <c r="B614" s="312"/>
      <c r="C614" s="312"/>
      <c r="D614" s="717"/>
      <c r="E614" s="316"/>
      <c r="F614" s="316"/>
      <c r="G614" s="314"/>
      <c r="H614" s="318"/>
      <c r="I614" s="314"/>
      <c r="J614" s="314"/>
      <c r="K614" s="314"/>
      <c r="L614" s="314"/>
      <c r="M614" s="314"/>
      <c r="N614" s="314"/>
      <c r="O614" s="318"/>
      <c r="P614" s="314"/>
      <c r="Q614" s="314"/>
      <c r="R614" s="314"/>
      <c r="S614" s="718"/>
      <c r="T614" s="719"/>
      <c r="U614" s="314"/>
      <c r="V614" s="318"/>
      <c r="W614" s="314"/>
      <c r="X614" s="314"/>
      <c r="Y614" s="314"/>
      <c r="Z614" s="721"/>
      <c r="AA614" s="721"/>
      <c r="AB614" s="314"/>
      <c r="AC614" s="317"/>
      <c r="AD614" s="324"/>
      <c r="AE614" s="155"/>
      <c r="AF614" s="155"/>
      <c r="AG614" s="322"/>
      <c r="AH614" s="132"/>
      <c r="AI614" s="132"/>
    </row>
    <row r="615">
      <c r="A615" s="314"/>
      <c r="B615" s="312"/>
      <c r="C615" s="312"/>
      <c r="D615" s="717"/>
      <c r="E615" s="316"/>
      <c r="F615" s="316"/>
      <c r="G615" s="314"/>
      <c r="H615" s="318"/>
      <c r="I615" s="314"/>
      <c r="J615" s="314"/>
      <c r="K615" s="314"/>
      <c r="L615" s="314"/>
      <c r="M615" s="314"/>
      <c r="N615" s="314"/>
      <c r="O615" s="318"/>
      <c r="P615" s="314"/>
      <c r="Q615" s="314"/>
      <c r="R615" s="314"/>
      <c r="S615" s="718"/>
      <c r="T615" s="719"/>
      <c r="U615" s="314"/>
      <c r="V615" s="318"/>
      <c r="W615" s="314"/>
      <c r="X615" s="314"/>
      <c r="Y615" s="314"/>
      <c r="Z615" s="721"/>
      <c r="AA615" s="721"/>
      <c r="AB615" s="314"/>
      <c r="AC615" s="317"/>
      <c r="AD615" s="324"/>
      <c r="AE615" s="155"/>
      <c r="AF615" s="155"/>
      <c r="AG615" s="322"/>
      <c r="AH615" s="132"/>
      <c r="AI615" s="132"/>
    </row>
    <row r="616">
      <c r="A616" s="314"/>
      <c r="B616" s="312"/>
      <c r="C616" s="312"/>
      <c r="D616" s="717"/>
      <c r="E616" s="316"/>
      <c r="F616" s="316"/>
      <c r="G616" s="314"/>
      <c r="H616" s="318"/>
      <c r="I616" s="314"/>
      <c r="J616" s="314"/>
      <c r="K616" s="314"/>
      <c r="L616" s="314"/>
      <c r="M616" s="314"/>
      <c r="N616" s="314"/>
      <c r="O616" s="318"/>
      <c r="P616" s="314"/>
      <c r="Q616" s="314"/>
      <c r="R616" s="314"/>
      <c r="S616" s="718"/>
      <c r="T616" s="719"/>
      <c r="U616" s="314"/>
      <c r="V616" s="318"/>
      <c r="W616" s="314"/>
      <c r="X616" s="314"/>
      <c r="Y616" s="314"/>
      <c r="Z616" s="721"/>
      <c r="AA616" s="721"/>
      <c r="AB616" s="314"/>
      <c r="AC616" s="317"/>
      <c r="AD616" s="324"/>
      <c r="AE616" s="155"/>
      <c r="AF616" s="155"/>
      <c r="AG616" s="322"/>
      <c r="AH616" s="132"/>
      <c r="AI616" s="132"/>
    </row>
    <row r="617">
      <c r="A617" s="314"/>
      <c r="B617" s="312"/>
      <c r="C617" s="312"/>
      <c r="D617" s="717"/>
      <c r="E617" s="316"/>
      <c r="F617" s="316"/>
      <c r="G617" s="314"/>
      <c r="H617" s="318"/>
      <c r="I617" s="314"/>
      <c r="J617" s="314"/>
      <c r="K617" s="314"/>
      <c r="L617" s="314"/>
      <c r="M617" s="314"/>
      <c r="N617" s="314"/>
      <c r="O617" s="318"/>
      <c r="P617" s="314"/>
      <c r="Q617" s="314"/>
      <c r="R617" s="314"/>
      <c r="S617" s="718"/>
      <c r="T617" s="719"/>
      <c r="U617" s="314"/>
      <c r="V617" s="318"/>
      <c r="W617" s="314"/>
      <c r="X617" s="314"/>
      <c r="Y617" s="314"/>
      <c r="Z617" s="721"/>
      <c r="AA617" s="721"/>
      <c r="AB617" s="314"/>
      <c r="AC617" s="317"/>
      <c r="AD617" s="324"/>
      <c r="AE617" s="155"/>
      <c r="AF617" s="155"/>
      <c r="AG617" s="322"/>
      <c r="AH617" s="132"/>
      <c r="AI617" s="132"/>
    </row>
    <row r="618">
      <c r="A618" s="314"/>
      <c r="B618" s="312"/>
      <c r="C618" s="312"/>
      <c r="D618" s="717"/>
      <c r="E618" s="316"/>
      <c r="F618" s="316"/>
      <c r="G618" s="314"/>
      <c r="H618" s="318"/>
      <c r="I618" s="314"/>
      <c r="J618" s="314"/>
      <c r="K618" s="314"/>
      <c r="L618" s="314"/>
      <c r="M618" s="314"/>
      <c r="N618" s="314"/>
      <c r="O618" s="318"/>
      <c r="P618" s="314"/>
      <c r="Q618" s="314"/>
      <c r="R618" s="314"/>
      <c r="S618" s="718"/>
      <c r="T618" s="719"/>
      <c r="U618" s="314"/>
      <c r="V618" s="318"/>
      <c r="W618" s="314"/>
      <c r="X618" s="314"/>
      <c r="Y618" s="314"/>
      <c r="Z618" s="721"/>
      <c r="AA618" s="721"/>
      <c r="AB618" s="314"/>
      <c r="AC618" s="317"/>
      <c r="AD618" s="324"/>
      <c r="AE618" s="155"/>
      <c r="AF618" s="155"/>
      <c r="AG618" s="322"/>
      <c r="AH618" s="132"/>
      <c r="AI618" s="132"/>
    </row>
    <row r="619">
      <c r="A619" s="314"/>
      <c r="B619" s="312"/>
      <c r="C619" s="312"/>
      <c r="D619" s="717"/>
      <c r="E619" s="316"/>
      <c r="F619" s="316"/>
      <c r="G619" s="314"/>
      <c r="H619" s="318"/>
      <c r="I619" s="314"/>
      <c r="J619" s="314"/>
      <c r="K619" s="314"/>
      <c r="L619" s="314"/>
      <c r="M619" s="314"/>
      <c r="N619" s="314"/>
      <c r="O619" s="318"/>
      <c r="P619" s="314"/>
      <c r="Q619" s="314"/>
      <c r="R619" s="314"/>
      <c r="S619" s="718"/>
      <c r="T619" s="719"/>
      <c r="U619" s="314"/>
      <c r="V619" s="318"/>
      <c r="W619" s="314"/>
      <c r="X619" s="314"/>
      <c r="Y619" s="314"/>
      <c r="Z619" s="721"/>
      <c r="AA619" s="721"/>
      <c r="AB619" s="314"/>
      <c r="AC619" s="317"/>
      <c r="AD619" s="324"/>
      <c r="AE619" s="155"/>
      <c r="AF619" s="155"/>
      <c r="AG619" s="322"/>
      <c r="AH619" s="132"/>
      <c r="AI619" s="132"/>
    </row>
    <row r="620">
      <c r="A620" s="314"/>
      <c r="B620" s="312"/>
      <c r="C620" s="312"/>
      <c r="D620" s="717"/>
      <c r="E620" s="316"/>
      <c r="F620" s="316"/>
      <c r="G620" s="314"/>
      <c r="H620" s="318"/>
      <c r="I620" s="314"/>
      <c r="J620" s="314"/>
      <c r="K620" s="314"/>
      <c r="L620" s="314"/>
      <c r="M620" s="314"/>
      <c r="N620" s="314"/>
      <c r="O620" s="318"/>
      <c r="P620" s="314"/>
      <c r="Q620" s="314"/>
      <c r="R620" s="314"/>
      <c r="S620" s="718"/>
      <c r="T620" s="719"/>
      <c r="U620" s="314"/>
      <c r="V620" s="318"/>
      <c r="W620" s="314"/>
      <c r="X620" s="314"/>
      <c r="Y620" s="314"/>
      <c r="Z620" s="721"/>
      <c r="AA620" s="721"/>
      <c r="AB620" s="314"/>
      <c r="AC620" s="317"/>
      <c r="AD620" s="324"/>
      <c r="AE620" s="155"/>
      <c r="AF620" s="155"/>
      <c r="AG620" s="322"/>
      <c r="AH620" s="132"/>
      <c r="AI620" s="132"/>
    </row>
    <row r="621">
      <c r="A621" s="314"/>
      <c r="B621" s="312"/>
      <c r="C621" s="312"/>
      <c r="D621" s="717"/>
      <c r="E621" s="316"/>
      <c r="F621" s="316"/>
      <c r="G621" s="314"/>
      <c r="H621" s="318"/>
      <c r="I621" s="314"/>
      <c r="J621" s="314"/>
      <c r="K621" s="314"/>
      <c r="L621" s="314"/>
      <c r="M621" s="314"/>
      <c r="N621" s="314"/>
      <c r="O621" s="318"/>
      <c r="P621" s="314"/>
      <c r="Q621" s="314"/>
      <c r="R621" s="314"/>
      <c r="S621" s="718"/>
      <c r="T621" s="719"/>
      <c r="U621" s="314"/>
      <c r="V621" s="318"/>
      <c r="W621" s="314"/>
      <c r="X621" s="314"/>
      <c r="Y621" s="314"/>
      <c r="Z621" s="721"/>
      <c r="AA621" s="721"/>
      <c r="AB621" s="314"/>
      <c r="AC621" s="317"/>
      <c r="AD621" s="324"/>
      <c r="AE621" s="155"/>
      <c r="AF621" s="155"/>
      <c r="AG621" s="322"/>
      <c r="AH621" s="132"/>
      <c r="AI621" s="132"/>
    </row>
    <row r="622">
      <c r="A622" s="314"/>
      <c r="B622" s="312"/>
      <c r="C622" s="312"/>
      <c r="D622" s="717"/>
      <c r="E622" s="316"/>
      <c r="F622" s="316"/>
      <c r="G622" s="314"/>
      <c r="H622" s="318"/>
      <c r="I622" s="314"/>
      <c r="J622" s="314"/>
      <c r="K622" s="314"/>
      <c r="L622" s="314"/>
      <c r="M622" s="314"/>
      <c r="N622" s="314"/>
      <c r="O622" s="318"/>
      <c r="P622" s="314"/>
      <c r="Q622" s="314"/>
      <c r="R622" s="314"/>
      <c r="S622" s="718"/>
      <c r="T622" s="719"/>
      <c r="U622" s="314"/>
      <c r="V622" s="318"/>
      <c r="W622" s="314"/>
      <c r="X622" s="314"/>
      <c r="Y622" s="314"/>
      <c r="Z622" s="721"/>
      <c r="AA622" s="721"/>
      <c r="AB622" s="314"/>
      <c r="AC622" s="317"/>
      <c r="AD622" s="324"/>
      <c r="AE622" s="155"/>
      <c r="AF622" s="155"/>
      <c r="AG622" s="322"/>
      <c r="AH622" s="132"/>
      <c r="AI622" s="132"/>
    </row>
    <row r="623">
      <c r="A623" s="314"/>
      <c r="B623" s="312"/>
      <c r="C623" s="312"/>
      <c r="D623" s="717"/>
      <c r="E623" s="316"/>
      <c r="F623" s="316"/>
      <c r="G623" s="314"/>
      <c r="H623" s="318"/>
      <c r="I623" s="314"/>
      <c r="J623" s="314"/>
      <c r="K623" s="314"/>
      <c r="L623" s="314"/>
      <c r="M623" s="314"/>
      <c r="N623" s="314"/>
      <c r="O623" s="318"/>
      <c r="P623" s="314"/>
      <c r="Q623" s="314"/>
      <c r="R623" s="314"/>
      <c r="S623" s="718"/>
      <c r="T623" s="719"/>
      <c r="U623" s="314"/>
      <c r="V623" s="318"/>
      <c r="W623" s="314"/>
      <c r="X623" s="314"/>
      <c r="Y623" s="314"/>
      <c r="Z623" s="721"/>
      <c r="AA623" s="721"/>
      <c r="AB623" s="314"/>
      <c r="AC623" s="317"/>
      <c r="AD623" s="324"/>
      <c r="AE623" s="155"/>
      <c r="AF623" s="155"/>
      <c r="AG623" s="322"/>
      <c r="AH623" s="132"/>
      <c r="AI623" s="132"/>
    </row>
    <row r="624">
      <c r="A624" s="314"/>
      <c r="B624" s="312"/>
      <c r="C624" s="312"/>
      <c r="D624" s="717"/>
      <c r="E624" s="316"/>
      <c r="F624" s="316"/>
      <c r="G624" s="314"/>
      <c r="H624" s="318"/>
      <c r="I624" s="314"/>
      <c r="J624" s="314"/>
      <c r="K624" s="314"/>
      <c r="L624" s="314"/>
      <c r="M624" s="314"/>
      <c r="N624" s="314"/>
      <c r="O624" s="318"/>
      <c r="P624" s="314"/>
      <c r="Q624" s="314"/>
      <c r="R624" s="314"/>
      <c r="S624" s="718"/>
      <c r="T624" s="719"/>
      <c r="U624" s="314"/>
      <c r="V624" s="318"/>
      <c r="W624" s="314"/>
      <c r="X624" s="314"/>
      <c r="Y624" s="314"/>
      <c r="Z624" s="721"/>
      <c r="AA624" s="721"/>
      <c r="AB624" s="314"/>
      <c r="AC624" s="317"/>
      <c r="AD624" s="324"/>
      <c r="AE624" s="155"/>
      <c r="AF624" s="155"/>
      <c r="AG624" s="322"/>
      <c r="AH624" s="132"/>
      <c r="AI624" s="132"/>
    </row>
    <row r="625">
      <c r="A625" s="314"/>
      <c r="B625" s="312"/>
      <c r="C625" s="312"/>
      <c r="D625" s="717"/>
      <c r="E625" s="316"/>
      <c r="F625" s="316"/>
      <c r="G625" s="314"/>
      <c r="H625" s="318"/>
      <c r="I625" s="314"/>
      <c r="J625" s="314"/>
      <c r="K625" s="314"/>
      <c r="L625" s="314"/>
      <c r="M625" s="314"/>
      <c r="N625" s="314"/>
      <c r="O625" s="318"/>
      <c r="P625" s="314"/>
      <c r="Q625" s="314"/>
      <c r="R625" s="314"/>
      <c r="S625" s="718"/>
      <c r="T625" s="719"/>
      <c r="U625" s="314"/>
      <c r="V625" s="318"/>
      <c r="W625" s="314"/>
      <c r="X625" s="314"/>
      <c r="Y625" s="314"/>
      <c r="Z625" s="721"/>
      <c r="AA625" s="721"/>
      <c r="AB625" s="314"/>
      <c r="AC625" s="317"/>
      <c r="AD625" s="324"/>
      <c r="AE625" s="155"/>
      <c r="AF625" s="155"/>
      <c r="AG625" s="322"/>
      <c r="AH625" s="132"/>
      <c r="AI625" s="132"/>
    </row>
    <row r="626">
      <c r="A626" s="314"/>
      <c r="B626" s="312"/>
      <c r="C626" s="312"/>
      <c r="D626" s="717"/>
      <c r="E626" s="316"/>
      <c r="F626" s="316"/>
      <c r="G626" s="314"/>
      <c r="H626" s="318"/>
      <c r="I626" s="314"/>
      <c r="J626" s="314"/>
      <c r="K626" s="314"/>
      <c r="L626" s="314"/>
      <c r="M626" s="314"/>
      <c r="N626" s="314"/>
      <c r="O626" s="318"/>
      <c r="P626" s="314"/>
      <c r="Q626" s="314"/>
      <c r="R626" s="314"/>
      <c r="S626" s="718"/>
      <c r="T626" s="719"/>
      <c r="U626" s="314"/>
      <c r="V626" s="318"/>
      <c r="W626" s="314"/>
      <c r="X626" s="314"/>
      <c r="Y626" s="314"/>
      <c r="Z626" s="721"/>
      <c r="AA626" s="721"/>
      <c r="AB626" s="314"/>
      <c r="AC626" s="317"/>
      <c r="AD626" s="324"/>
      <c r="AE626" s="155"/>
      <c r="AF626" s="155"/>
      <c r="AG626" s="322"/>
      <c r="AH626" s="132"/>
      <c r="AI626" s="132"/>
    </row>
    <row r="627">
      <c r="A627" s="314"/>
      <c r="B627" s="312"/>
      <c r="C627" s="312"/>
      <c r="D627" s="717"/>
      <c r="E627" s="316"/>
      <c r="F627" s="316"/>
      <c r="G627" s="314"/>
      <c r="H627" s="318"/>
      <c r="I627" s="314"/>
      <c r="J627" s="314"/>
      <c r="K627" s="314"/>
      <c r="L627" s="314"/>
      <c r="M627" s="314"/>
      <c r="N627" s="314"/>
      <c r="O627" s="318"/>
      <c r="P627" s="314"/>
      <c r="Q627" s="314"/>
      <c r="R627" s="314"/>
      <c r="S627" s="718"/>
      <c r="T627" s="719"/>
      <c r="U627" s="314"/>
      <c r="V627" s="318"/>
      <c r="W627" s="314"/>
      <c r="X627" s="314"/>
      <c r="Y627" s="314"/>
      <c r="Z627" s="721"/>
      <c r="AA627" s="721"/>
      <c r="AB627" s="314"/>
      <c r="AC627" s="317"/>
      <c r="AD627" s="324"/>
      <c r="AE627" s="155"/>
      <c r="AF627" s="155"/>
      <c r="AG627" s="322"/>
      <c r="AH627" s="132"/>
      <c r="AI627" s="132"/>
    </row>
    <row r="628">
      <c r="A628" s="314"/>
      <c r="B628" s="312"/>
      <c r="C628" s="312"/>
      <c r="D628" s="717"/>
      <c r="E628" s="316"/>
      <c r="F628" s="316"/>
      <c r="G628" s="314"/>
      <c r="H628" s="318"/>
      <c r="I628" s="314"/>
      <c r="J628" s="314"/>
      <c r="K628" s="314"/>
      <c r="L628" s="314"/>
      <c r="M628" s="314"/>
      <c r="N628" s="314"/>
      <c r="O628" s="318"/>
      <c r="P628" s="314"/>
      <c r="Q628" s="314"/>
      <c r="R628" s="314"/>
      <c r="S628" s="718"/>
      <c r="T628" s="719"/>
      <c r="U628" s="314"/>
      <c r="V628" s="318"/>
      <c r="W628" s="314"/>
      <c r="X628" s="314"/>
      <c r="Y628" s="314"/>
      <c r="Z628" s="721"/>
      <c r="AA628" s="721"/>
      <c r="AB628" s="314"/>
      <c r="AC628" s="317"/>
      <c r="AD628" s="324"/>
      <c r="AE628" s="155"/>
      <c r="AF628" s="155"/>
      <c r="AG628" s="322"/>
      <c r="AH628" s="132"/>
      <c r="AI628" s="132"/>
    </row>
    <row r="629">
      <c r="A629" s="314"/>
      <c r="B629" s="312"/>
      <c r="C629" s="312"/>
      <c r="D629" s="717"/>
      <c r="E629" s="316"/>
      <c r="F629" s="316"/>
      <c r="G629" s="314"/>
      <c r="H629" s="318"/>
      <c r="I629" s="314"/>
      <c r="J629" s="314"/>
      <c r="K629" s="314"/>
      <c r="L629" s="314"/>
      <c r="M629" s="314"/>
      <c r="N629" s="314"/>
      <c r="O629" s="318"/>
      <c r="P629" s="314"/>
      <c r="Q629" s="314"/>
      <c r="R629" s="314"/>
      <c r="S629" s="718"/>
      <c r="T629" s="719"/>
      <c r="U629" s="314"/>
      <c r="V629" s="318"/>
      <c r="W629" s="314"/>
      <c r="X629" s="314"/>
      <c r="Y629" s="314"/>
      <c r="Z629" s="721"/>
      <c r="AA629" s="721"/>
      <c r="AB629" s="314"/>
      <c r="AC629" s="317"/>
      <c r="AD629" s="324"/>
      <c r="AE629" s="155"/>
      <c r="AF629" s="155"/>
      <c r="AG629" s="322"/>
      <c r="AH629" s="132"/>
      <c r="AI629" s="132"/>
    </row>
    <row r="630">
      <c r="A630" s="314"/>
      <c r="B630" s="312"/>
      <c r="C630" s="312"/>
      <c r="D630" s="717"/>
      <c r="E630" s="316"/>
      <c r="F630" s="316"/>
      <c r="G630" s="314"/>
      <c r="H630" s="318"/>
      <c r="I630" s="314"/>
      <c r="J630" s="314"/>
      <c r="K630" s="314"/>
      <c r="L630" s="314"/>
      <c r="M630" s="314"/>
      <c r="N630" s="314"/>
      <c r="O630" s="318"/>
      <c r="P630" s="314"/>
      <c r="Q630" s="314"/>
      <c r="R630" s="314"/>
      <c r="S630" s="718"/>
      <c r="T630" s="719"/>
      <c r="U630" s="314"/>
      <c r="V630" s="318"/>
      <c r="W630" s="314"/>
      <c r="X630" s="314"/>
      <c r="Y630" s="314"/>
      <c r="Z630" s="721"/>
      <c r="AA630" s="721"/>
      <c r="AB630" s="314"/>
      <c r="AC630" s="317"/>
      <c r="AD630" s="324"/>
      <c r="AE630" s="155"/>
      <c r="AF630" s="155"/>
      <c r="AG630" s="322"/>
      <c r="AH630" s="132"/>
      <c r="AI630" s="132"/>
    </row>
    <row r="631">
      <c r="A631" s="314"/>
      <c r="B631" s="312"/>
      <c r="C631" s="312"/>
      <c r="D631" s="717"/>
      <c r="E631" s="316"/>
      <c r="F631" s="316"/>
      <c r="G631" s="314"/>
      <c r="H631" s="318"/>
      <c r="I631" s="314"/>
      <c r="J631" s="314"/>
      <c r="K631" s="314"/>
      <c r="L631" s="314"/>
      <c r="M631" s="314"/>
      <c r="N631" s="314"/>
      <c r="O631" s="318"/>
      <c r="P631" s="314"/>
      <c r="Q631" s="314"/>
      <c r="R631" s="314"/>
      <c r="S631" s="718"/>
      <c r="T631" s="719"/>
      <c r="U631" s="314"/>
      <c r="V631" s="318"/>
      <c r="W631" s="314"/>
      <c r="X631" s="314"/>
      <c r="Y631" s="314"/>
      <c r="Z631" s="721"/>
      <c r="AA631" s="721"/>
      <c r="AB631" s="314"/>
      <c r="AC631" s="317"/>
      <c r="AD631" s="324"/>
      <c r="AE631" s="155"/>
      <c r="AF631" s="155"/>
      <c r="AG631" s="322"/>
      <c r="AH631" s="132"/>
      <c r="AI631" s="132"/>
    </row>
    <row r="632">
      <c r="A632" s="314"/>
      <c r="B632" s="312"/>
      <c r="C632" s="312"/>
      <c r="D632" s="717"/>
      <c r="E632" s="316"/>
      <c r="F632" s="316"/>
      <c r="G632" s="314"/>
      <c r="H632" s="318"/>
      <c r="I632" s="314"/>
      <c r="J632" s="314"/>
      <c r="K632" s="314"/>
      <c r="L632" s="314"/>
      <c r="M632" s="314"/>
      <c r="N632" s="314"/>
      <c r="O632" s="318"/>
      <c r="P632" s="314"/>
      <c r="Q632" s="314"/>
      <c r="R632" s="314"/>
      <c r="S632" s="718"/>
      <c r="T632" s="719"/>
      <c r="U632" s="314"/>
      <c r="V632" s="318"/>
      <c r="W632" s="314"/>
      <c r="X632" s="314"/>
      <c r="Y632" s="314"/>
      <c r="Z632" s="721"/>
      <c r="AA632" s="721"/>
      <c r="AB632" s="314"/>
      <c r="AC632" s="317"/>
      <c r="AD632" s="324"/>
      <c r="AE632" s="155"/>
      <c r="AF632" s="155"/>
      <c r="AG632" s="322"/>
      <c r="AH632" s="132"/>
      <c r="AI632" s="132"/>
    </row>
    <row r="633">
      <c r="A633" s="314"/>
      <c r="B633" s="312"/>
      <c r="C633" s="312"/>
      <c r="D633" s="717"/>
      <c r="E633" s="316"/>
      <c r="F633" s="316"/>
      <c r="G633" s="314"/>
      <c r="H633" s="318"/>
      <c r="I633" s="314"/>
      <c r="J633" s="314"/>
      <c r="K633" s="314"/>
      <c r="L633" s="314"/>
      <c r="M633" s="314"/>
      <c r="N633" s="314"/>
      <c r="O633" s="318"/>
      <c r="P633" s="314"/>
      <c r="Q633" s="314"/>
      <c r="R633" s="314"/>
      <c r="S633" s="718"/>
      <c r="T633" s="719"/>
      <c r="U633" s="314"/>
      <c r="V633" s="318"/>
      <c r="W633" s="314"/>
      <c r="X633" s="314"/>
      <c r="Y633" s="314"/>
      <c r="Z633" s="721"/>
      <c r="AA633" s="721"/>
      <c r="AB633" s="314"/>
      <c r="AC633" s="317"/>
      <c r="AD633" s="324"/>
      <c r="AE633" s="155"/>
      <c r="AF633" s="155"/>
      <c r="AG633" s="322"/>
      <c r="AH633" s="132"/>
      <c r="AI633" s="132"/>
    </row>
    <row r="634">
      <c r="A634" s="314"/>
      <c r="B634" s="312"/>
      <c r="C634" s="312"/>
      <c r="D634" s="717"/>
      <c r="E634" s="316"/>
      <c r="F634" s="316"/>
      <c r="G634" s="314"/>
      <c r="H634" s="318"/>
      <c r="I634" s="314"/>
      <c r="J634" s="314"/>
      <c r="K634" s="314"/>
      <c r="L634" s="314"/>
      <c r="M634" s="314"/>
      <c r="N634" s="314"/>
      <c r="O634" s="318"/>
      <c r="P634" s="314"/>
      <c r="Q634" s="314"/>
      <c r="R634" s="314"/>
      <c r="S634" s="718"/>
      <c r="T634" s="719"/>
      <c r="U634" s="314"/>
      <c r="V634" s="318"/>
      <c r="W634" s="314"/>
      <c r="X634" s="314"/>
      <c r="Y634" s="314"/>
      <c r="Z634" s="721"/>
      <c r="AA634" s="721"/>
      <c r="AB634" s="314"/>
      <c r="AC634" s="317"/>
      <c r="AD634" s="324"/>
      <c r="AE634" s="155"/>
      <c r="AF634" s="155"/>
      <c r="AG634" s="322"/>
      <c r="AH634" s="132"/>
      <c r="AI634" s="132"/>
    </row>
    <row r="635">
      <c r="A635" s="314"/>
      <c r="B635" s="312"/>
      <c r="C635" s="312"/>
      <c r="D635" s="717"/>
      <c r="E635" s="316"/>
      <c r="F635" s="316"/>
      <c r="G635" s="314"/>
      <c r="H635" s="318"/>
      <c r="I635" s="314"/>
      <c r="J635" s="314"/>
      <c r="K635" s="314"/>
      <c r="L635" s="314"/>
      <c r="M635" s="314"/>
      <c r="N635" s="314"/>
      <c r="O635" s="318"/>
      <c r="P635" s="314"/>
      <c r="Q635" s="314"/>
      <c r="R635" s="314"/>
      <c r="S635" s="718"/>
      <c r="T635" s="719"/>
      <c r="U635" s="314"/>
      <c r="V635" s="318"/>
      <c r="W635" s="314"/>
      <c r="X635" s="314"/>
      <c r="Y635" s="314"/>
      <c r="Z635" s="721"/>
      <c r="AA635" s="721"/>
      <c r="AB635" s="314"/>
      <c r="AC635" s="317"/>
      <c r="AD635" s="324"/>
      <c r="AE635" s="155"/>
      <c r="AF635" s="155"/>
      <c r="AG635" s="322"/>
      <c r="AH635" s="132"/>
      <c r="AI635" s="132"/>
    </row>
    <row r="636">
      <c r="A636" s="314"/>
      <c r="B636" s="312"/>
      <c r="C636" s="312"/>
      <c r="D636" s="717"/>
      <c r="E636" s="316"/>
      <c r="F636" s="316"/>
      <c r="G636" s="314"/>
      <c r="H636" s="318"/>
      <c r="I636" s="314"/>
      <c r="J636" s="314"/>
      <c r="K636" s="314"/>
      <c r="L636" s="314"/>
      <c r="M636" s="314"/>
      <c r="N636" s="314"/>
      <c r="O636" s="318"/>
      <c r="P636" s="314"/>
      <c r="Q636" s="314"/>
      <c r="R636" s="314"/>
      <c r="S636" s="718"/>
      <c r="T636" s="719"/>
      <c r="U636" s="314"/>
      <c r="V636" s="318"/>
      <c r="W636" s="314"/>
      <c r="X636" s="314"/>
      <c r="Y636" s="314"/>
      <c r="Z636" s="721"/>
      <c r="AA636" s="721"/>
      <c r="AB636" s="314"/>
      <c r="AC636" s="317"/>
      <c r="AD636" s="324"/>
      <c r="AE636" s="155"/>
      <c r="AF636" s="155"/>
      <c r="AG636" s="322"/>
      <c r="AH636" s="132"/>
      <c r="AI636" s="132"/>
    </row>
    <row r="637">
      <c r="A637" s="314"/>
      <c r="B637" s="312"/>
      <c r="C637" s="312"/>
      <c r="D637" s="717"/>
      <c r="E637" s="316"/>
      <c r="F637" s="316"/>
      <c r="G637" s="314"/>
      <c r="H637" s="318"/>
      <c r="I637" s="314"/>
      <c r="J637" s="314"/>
      <c r="K637" s="314"/>
      <c r="L637" s="314"/>
      <c r="M637" s="314"/>
      <c r="N637" s="314"/>
      <c r="O637" s="318"/>
      <c r="P637" s="314"/>
      <c r="Q637" s="314"/>
      <c r="R637" s="314"/>
      <c r="S637" s="718"/>
      <c r="T637" s="719"/>
      <c r="U637" s="314"/>
      <c r="V637" s="318"/>
      <c r="W637" s="314"/>
      <c r="X637" s="314"/>
      <c r="Y637" s="314"/>
      <c r="Z637" s="721"/>
      <c r="AA637" s="721"/>
      <c r="AB637" s="314"/>
      <c r="AC637" s="317"/>
      <c r="AD637" s="324"/>
      <c r="AE637" s="155"/>
      <c r="AF637" s="155"/>
      <c r="AG637" s="322"/>
      <c r="AH637" s="132"/>
      <c r="AI637" s="132"/>
    </row>
    <row r="638">
      <c r="A638" s="314"/>
      <c r="B638" s="312"/>
      <c r="C638" s="312"/>
      <c r="D638" s="717"/>
      <c r="E638" s="316"/>
      <c r="F638" s="316"/>
      <c r="G638" s="314"/>
      <c r="H638" s="318"/>
      <c r="I638" s="314"/>
      <c r="J638" s="314"/>
      <c r="K638" s="314"/>
      <c r="L638" s="314"/>
      <c r="M638" s="314"/>
      <c r="N638" s="314"/>
      <c r="O638" s="318"/>
      <c r="P638" s="314"/>
      <c r="Q638" s="314"/>
      <c r="R638" s="314"/>
      <c r="S638" s="718"/>
      <c r="T638" s="719"/>
      <c r="U638" s="314"/>
      <c r="V638" s="318"/>
      <c r="W638" s="314"/>
      <c r="X638" s="314"/>
      <c r="Y638" s="314"/>
      <c r="Z638" s="721"/>
      <c r="AA638" s="721"/>
      <c r="AB638" s="314"/>
      <c r="AC638" s="317"/>
      <c r="AD638" s="324"/>
      <c r="AE638" s="155"/>
      <c r="AF638" s="155"/>
      <c r="AG638" s="322"/>
      <c r="AH638" s="132"/>
      <c r="AI638" s="132"/>
    </row>
    <row r="639">
      <c r="A639" s="314"/>
      <c r="B639" s="312"/>
      <c r="C639" s="312"/>
      <c r="D639" s="717"/>
      <c r="E639" s="316"/>
      <c r="F639" s="316"/>
      <c r="G639" s="314"/>
      <c r="H639" s="318"/>
      <c r="I639" s="314"/>
      <c r="J639" s="314"/>
      <c r="K639" s="314"/>
      <c r="L639" s="314"/>
      <c r="M639" s="314"/>
      <c r="N639" s="314"/>
      <c r="O639" s="318"/>
      <c r="P639" s="314"/>
      <c r="Q639" s="314"/>
      <c r="R639" s="314"/>
      <c r="S639" s="718"/>
      <c r="T639" s="719"/>
      <c r="U639" s="314"/>
      <c r="V639" s="318"/>
      <c r="W639" s="314"/>
      <c r="X639" s="314"/>
      <c r="Y639" s="314"/>
      <c r="Z639" s="721"/>
      <c r="AA639" s="721"/>
      <c r="AB639" s="314"/>
      <c r="AC639" s="317"/>
      <c r="AD639" s="324"/>
      <c r="AE639" s="155"/>
      <c r="AF639" s="155"/>
      <c r="AG639" s="322"/>
      <c r="AH639" s="132"/>
      <c r="AI639" s="132"/>
    </row>
    <row r="640">
      <c r="A640" s="314"/>
      <c r="B640" s="312"/>
      <c r="C640" s="312"/>
      <c r="D640" s="717"/>
      <c r="E640" s="316"/>
      <c r="F640" s="316"/>
      <c r="G640" s="314"/>
      <c r="H640" s="318"/>
      <c r="I640" s="314"/>
      <c r="J640" s="314"/>
      <c r="K640" s="314"/>
      <c r="L640" s="314"/>
      <c r="M640" s="314"/>
      <c r="N640" s="314"/>
      <c r="O640" s="318"/>
      <c r="P640" s="314"/>
      <c r="Q640" s="314"/>
      <c r="R640" s="314"/>
      <c r="S640" s="718"/>
      <c r="T640" s="719"/>
      <c r="U640" s="314"/>
      <c r="V640" s="318"/>
      <c r="W640" s="314"/>
      <c r="X640" s="314"/>
      <c r="Y640" s="314"/>
      <c r="Z640" s="721"/>
      <c r="AA640" s="721"/>
      <c r="AB640" s="314"/>
      <c r="AC640" s="317"/>
      <c r="AD640" s="324"/>
      <c r="AE640" s="155"/>
      <c r="AF640" s="155"/>
      <c r="AG640" s="322"/>
      <c r="AH640" s="132"/>
      <c r="AI640" s="132"/>
    </row>
    <row r="641">
      <c r="A641" s="314"/>
      <c r="B641" s="312"/>
      <c r="C641" s="312"/>
      <c r="D641" s="717"/>
      <c r="E641" s="316"/>
      <c r="F641" s="316"/>
      <c r="G641" s="314"/>
      <c r="H641" s="318"/>
      <c r="I641" s="314"/>
      <c r="J641" s="314"/>
      <c r="K641" s="314"/>
      <c r="L641" s="314"/>
      <c r="M641" s="314"/>
      <c r="N641" s="314"/>
      <c r="O641" s="318"/>
      <c r="P641" s="314"/>
      <c r="Q641" s="314"/>
      <c r="R641" s="314"/>
      <c r="S641" s="718"/>
      <c r="T641" s="719"/>
      <c r="U641" s="314"/>
      <c r="V641" s="318"/>
      <c r="W641" s="314"/>
      <c r="X641" s="314"/>
      <c r="Y641" s="314"/>
      <c r="Z641" s="721"/>
      <c r="AA641" s="721"/>
      <c r="AB641" s="314"/>
      <c r="AC641" s="317"/>
      <c r="AD641" s="324"/>
      <c r="AE641" s="155"/>
      <c r="AF641" s="155"/>
      <c r="AG641" s="322"/>
      <c r="AH641" s="132"/>
      <c r="AI641" s="132"/>
    </row>
    <row r="642">
      <c r="A642" s="314"/>
      <c r="B642" s="312"/>
      <c r="C642" s="312"/>
      <c r="D642" s="717"/>
      <c r="E642" s="316"/>
      <c r="F642" s="316"/>
      <c r="G642" s="314"/>
      <c r="H642" s="318"/>
      <c r="I642" s="314"/>
      <c r="J642" s="314"/>
      <c r="K642" s="314"/>
      <c r="L642" s="314"/>
      <c r="M642" s="314"/>
      <c r="N642" s="314"/>
      <c r="O642" s="318"/>
      <c r="P642" s="314"/>
      <c r="Q642" s="314"/>
      <c r="R642" s="314"/>
      <c r="S642" s="718"/>
      <c r="T642" s="719"/>
      <c r="U642" s="314"/>
      <c r="V642" s="318"/>
      <c r="W642" s="314"/>
      <c r="X642" s="314"/>
      <c r="Y642" s="314"/>
      <c r="Z642" s="721"/>
      <c r="AA642" s="721"/>
      <c r="AB642" s="314"/>
      <c r="AC642" s="317"/>
      <c r="AD642" s="324"/>
      <c r="AE642" s="155"/>
      <c r="AF642" s="155"/>
      <c r="AG642" s="322"/>
      <c r="AH642" s="132"/>
      <c r="AI642" s="132"/>
    </row>
    <row r="643">
      <c r="A643" s="314"/>
      <c r="B643" s="312"/>
      <c r="C643" s="312"/>
      <c r="D643" s="717"/>
      <c r="E643" s="316"/>
      <c r="F643" s="316"/>
      <c r="G643" s="314"/>
      <c r="H643" s="318"/>
      <c r="I643" s="314"/>
      <c r="J643" s="314"/>
      <c r="K643" s="314"/>
      <c r="L643" s="314"/>
      <c r="M643" s="314"/>
      <c r="N643" s="314"/>
      <c r="O643" s="318"/>
      <c r="P643" s="314"/>
      <c r="Q643" s="314"/>
      <c r="R643" s="314"/>
      <c r="S643" s="718"/>
      <c r="T643" s="719"/>
      <c r="U643" s="314"/>
      <c r="V643" s="318"/>
      <c r="W643" s="314"/>
      <c r="X643" s="314"/>
      <c r="Y643" s="314"/>
      <c r="Z643" s="721"/>
      <c r="AA643" s="721"/>
      <c r="AB643" s="314"/>
      <c r="AC643" s="317"/>
      <c r="AD643" s="324"/>
      <c r="AE643" s="155"/>
      <c r="AF643" s="155"/>
      <c r="AG643" s="322"/>
      <c r="AH643" s="132"/>
      <c r="AI643" s="132"/>
    </row>
    <row r="644">
      <c r="A644" s="314"/>
      <c r="B644" s="312"/>
      <c r="C644" s="312"/>
      <c r="D644" s="717"/>
      <c r="E644" s="316"/>
      <c r="F644" s="316"/>
      <c r="G644" s="314"/>
      <c r="H644" s="318"/>
      <c r="I644" s="314"/>
      <c r="J644" s="314"/>
      <c r="K644" s="314"/>
      <c r="L644" s="314"/>
      <c r="M644" s="314"/>
      <c r="N644" s="314"/>
      <c r="O644" s="318"/>
      <c r="P644" s="314"/>
      <c r="Q644" s="314"/>
      <c r="R644" s="314"/>
      <c r="S644" s="718"/>
      <c r="T644" s="719"/>
      <c r="U644" s="314"/>
      <c r="V644" s="318"/>
      <c r="W644" s="314"/>
      <c r="X644" s="314"/>
      <c r="Y644" s="314"/>
      <c r="Z644" s="721"/>
      <c r="AA644" s="721"/>
      <c r="AB644" s="314"/>
      <c r="AC644" s="317"/>
      <c r="AD644" s="324"/>
      <c r="AE644" s="155"/>
      <c r="AF644" s="155"/>
      <c r="AG644" s="322"/>
      <c r="AH644" s="132"/>
      <c r="AI644" s="132"/>
    </row>
    <row r="645">
      <c r="A645" s="314"/>
      <c r="B645" s="312"/>
      <c r="C645" s="312"/>
      <c r="D645" s="717"/>
      <c r="E645" s="316"/>
      <c r="F645" s="316"/>
      <c r="G645" s="314"/>
      <c r="H645" s="318"/>
      <c r="I645" s="314"/>
      <c r="J645" s="314"/>
      <c r="K645" s="314"/>
      <c r="L645" s="314"/>
      <c r="M645" s="314"/>
      <c r="N645" s="314"/>
      <c r="O645" s="318"/>
      <c r="P645" s="314"/>
      <c r="Q645" s="314"/>
      <c r="R645" s="314"/>
      <c r="S645" s="718"/>
      <c r="T645" s="719"/>
      <c r="U645" s="314"/>
      <c r="V645" s="318"/>
      <c r="W645" s="314"/>
      <c r="X645" s="314"/>
      <c r="Y645" s="314"/>
      <c r="Z645" s="721"/>
      <c r="AA645" s="721"/>
      <c r="AB645" s="314"/>
      <c r="AC645" s="317"/>
      <c r="AD645" s="324"/>
      <c r="AE645" s="155"/>
      <c r="AF645" s="155"/>
      <c r="AG645" s="322"/>
      <c r="AH645" s="132"/>
      <c r="AI645" s="132"/>
    </row>
    <row r="646">
      <c r="A646" s="314"/>
      <c r="B646" s="312"/>
      <c r="C646" s="312"/>
      <c r="D646" s="717"/>
      <c r="E646" s="316"/>
      <c r="F646" s="316"/>
      <c r="G646" s="314"/>
      <c r="H646" s="318"/>
      <c r="I646" s="314"/>
      <c r="J646" s="314"/>
      <c r="K646" s="314"/>
      <c r="L646" s="314"/>
      <c r="M646" s="314"/>
      <c r="N646" s="314"/>
      <c r="O646" s="318"/>
      <c r="P646" s="314"/>
      <c r="Q646" s="314"/>
      <c r="R646" s="314"/>
      <c r="S646" s="718"/>
      <c r="T646" s="719"/>
      <c r="U646" s="314"/>
      <c r="V646" s="318"/>
      <c r="W646" s="314"/>
      <c r="X646" s="314"/>
      <c r="Y646" s="314"/>
      <c r="Z646" s="721"/>
      <c r="AA646" s="721"/>
      <c r="AB646" s="314"/>
      <c r="AC646" s="317"/>
      <c r="AD646" s="324"/>
      <c r="AE646" s="155"/>
      <c r="AF646" s="155"/>
      <c r="AG646" s="322"/>
      <c r="AH646" s="132"/>
      <c r="AI646" s="132"/>
    </row>
    <row r="647">
      <c r="A647" s="314"/>
      <c r="B647" s="312"/>
      <c r="C647" s="312"/>
      <c r="D647" s="717"/>
      <c r="E647" s="316"/>
      <c r="F647" s="316"/>
      <c r="G647" s="314"/>
      <c r="H647" s="318"/>
      <c r="I647" s="314"/>
      <c r="J647" s="314"/>
      <c r="K647" s="314"/>
      <c r="L647" s="314"/>
      <c r="M647" s="314"/>
      <c r="N647" s="314"/>
      <c r="O647" s="318"/>
      <c r="P647" s="314"/>
      <c r="Q647" s="314"/>
      <c r="R647" s="314"/>
      <c r="S647" s="718"/>
      <c r="T647" s="719"/>
      <c r="U647" s="314"/>
      <c r="V647" s="318"/>
      <c r="W647" s="314"/>
      <c r="X647" s="314"/>
      <c r="Y647" s="314"/>
      <c r="Z647" s="721"/>
      <c r="AA647" s="721"/>
      <c r="AB647" s="314"/>
      <c r="AC647" s="317"/>
      <c r="AD647" s="324"/>
      <c r="AE647" s="155"/>
      <c r="AF647" s="155"/>
      <c r="AG647" s="322"/>
      <c r="AH647" s="132"/>
      <c r="AI647" s="132"/>
    </row>
    <row r="648">
      <c r="A648" s="314"/>
      <c r="B648" s="312"/>
      <c r="C648" s="312"/>
      <c r="D648" s="717"/>
      <c r="E648" s="316"/>
      <c r="F648" s="316"/>
      <c r="G648" s="314"/>
      <c r="H648" s="318"/>
      <c r="I648" s="314"/>
      <c r="J648" s="314"/>
      <c r="K648" s="314"/>
      <c r="L648" s="314"/>
      <c r="M648" s="314"/>
      <c r="N648" s="314"/>
      <c r="O648" s="318"/>
      <c r="P648" s="314"/>
      <c r="Q648" s="314"/>
      <c r="R648" s="314"/>
      <c r="S648" s="718"/>
      <c r="T648" s="719"/>
      <c r="U648" s="314"/>
      <c r="V648" s="318"/>
      <c r="W648" s="314"/>
      <c r="X648" s="314"/>
      <c r="Y648" s="314"/>
      <c r="Z648" s="721"/>
      <c r="AA648" s="721"/>
      <c r="AB648" s="314"/>
      <c r="AC648" s="317"/>
      <c r="AD648" s="324"/>
      <c r="AE648" s="155"/>
      <c r="AF648" s="155"/>
      <c r="AG648" s="322"/>
      <c r="AH648" s="132"/>
      <c r="AI648" s="132"/>
    </row>
    <row r="649">
      <c r="A649" s="314"/>
      <c r="B649" s="312"/>
      <c r="C649" s="312"/>
      <c r="D649" s="717"/>
      <c r="E649" s="316"/>
      <c r="F649" s="316"/>
      <c r="G649" s="314"/>
      <c r="H649" s="318"/>
      <c r="I649" s="314"/>
      <c r="J649" s="314"/>
      <c r="K649" s="314"/>
      <c r="L649" s="314"/>
      <c r="M649" s="314"/>
      <c r="N649" s="314"/>
      <c r="O649" s="318"/>
      <c r="P649" s="314"/>
      <c r="Q649" s="314"/>
      <c r="R649" s="314"/>
      <c r="S649" s="718"/>
      <c r="T649" s="719"/>
      <c r="U649" s="314"/>
      <c r="V649" s="318"/>
      <c r="W649" s="314"/>
      <c r="X649" s="314"/>
      <c r="Y649" s="314"/>
      <c r="Z649" s="721"/>
      <c r="AA649" s="721"/>
      <c r="AB649" s="314"/>
      <c r="AC649" s="317"/>
      <c r="AD649" s="324"/>
      <c r="AE649" s="155"/>
      <c r="AF649" s="155"/>
      <c r="AG649" s="322"/>
      <c r="AH649" s="132"/>
      <c r="AI649" s="132"/>
    </row>
    <row r="650">
      <c r="A650" s="314"/>
      <c r="B650" s="312"/>
      <c r="C650" s="312"/>
      <c r="D650" s="717"/>
      <c r="E650" s="316"/>
      <c r="F650" s="316"/>
      <c r="G650" s="314"/>
      <c r="H650" s="318"/>
      <c r="I650" s="314"/>
      <c r="J650" s="314"/>
      <c r="K650" s="314"/>
      <c r="L650" s="314"/>
      <c r="M650" s="314"/>
      <c r="N650" s="314"/>
      <c r="O650" s="318"/>
      <c r="P650" s="314"/>
      <c r="Q650" s="314"/>
      <c r="R650" s="314"/>
      <c r="S650" s="718"/>
      <c r="T650" s="719"/>
      <c r="U650" s="314"/>
      <c r="V650" s="318"/>
      <c r="W650" s="314"/>
      <c r="X650" s="314"/>
      <c r="Y650" s="314"/>
      <c r="Z650" s="721"/>
      <c r="AA650" s="721"/>
      <c r="AB650" s="314"/>
      <c r="AC650" s="317"/>
      <c r="AD650" s="324"/>
      <c r="AE650" s="155"/>
      <c r="AF650" s="155"/>
      <c r="AG650" s="322"/>
      <c r="AH650" s="132"/>
      <c r="AI650" s="132"/>
    </row>
    <row r="651">
      <c r="A651" s="314"/>
      <c r="B651" s="312"/>
      <c r="C651" s="312"/>
      <c r="D651" s="717"/>
      <c r="E651" s="316"/>
      <c r="F651" s="316"/>
      <c r="G651" s="314"/>
      <c r="H651" s="318"/>
      <c r="I651" s="314"/>
      <c r="J651" s="314"/>
      <c r="K651" s="314"/>
      <c r="L651" s="314"/>
      <c r="M651" s="314"/>
      <c r="N651" s="314"/>
      <c r="O651" s="318"/>
      <c r="P651" s="314"/>
      <c r="Q651" s="314"/>
      <c r="R651" s="314"/>
      <c r="S651" s="718"/>
      <c r="T651" s="719"/>
      <c r="U651" s="314"/>
      <c r="V651" s="318"/>
      <c r="W651" s="314"/>
      <c r="X651" s="314"/>
      <c r="Y651" s="314"/>
      <c r="Z651" s="721"/>
      <c r="AA651" s="721"/>
      <c r="AB651" s="314"/>
      <c r="AC651" s="317"/>
      <c r="AD651" s="324"/>
      <c r="AE651" s="155"/>
      <c r="AF651" s="155"/>
      <c r="AG651" s="322"/>
      <c r="AH651" s="132"/>
      <c r="AI651" s="132"/>
    </row>
    <row r="652">
      <c r="A652" s="314"/>
      <c r="B652" s="312"/>
      <c r="C652" s="312"/>
      <c r="D652" s="717"/>
      <c r="E652" s="316"/>
      <c r="F652" s="316"/>
      <c r="G652" s="314"/>
      <c r="H652" s="318"/>
      <c r="I652" s="314"/>
      <c r="J652" s="314"/>
      <c r="K652" s="314"/>
      <c r="L652" s="314"/>
      <c r="M652" s="314"/>
      <c r="N652" s="314"/>
      <c r="O652" s="318"/>
      <c r="P652" s="314"/>
      <c r="Q652" s="314"/>
      <c r="R652" s="314"/>
      <c r="S652" s="718"/>
      <c r="T652" s="719"/>
      <c r="U652" s="314"/>
      <c r="V652" s="318"/>
      <c r="W652" s="314"/>
      <c r="X652" s="314"/>
      <c r="Y652" s="314"/>
      <c r="Z652" s="721"/>
      <c r="AA652" s="721"/>
      <c r="AB652" s="314"/>
      <c r="AC652" s="317"/>
      <c r="AD652" s="324"/>
      <c r="AE652" s="155"/>
      <c r="AF652" s="155"/>
      <c r="AG652" s="322"/>
      <c r="AH652" s="132"/>
      <c r="AI652" s="132"/>
    </row>
    <row r="653">
      <c r="A653" s="314"/>
      <c r="B653" s="312"/>
      <c r="C653" s="312"/>
      <c r="D653" s="717"/>
      <c r="E653" s="316"/>
      <c r="F653" s="316"/>
      <c r="G653" s="314"/>
      <c r="H653" s="318"/>
      <c r="I653" s="314"/>
      <c r="J653" s="314"/>
      <c r="K653" s="314"/>
      <c r="L653" s="314"/>
      <c r="M653" s="314"/>
      <c r="N653" s="314"/>
      <c r="O653" s="318"/>
      <c r="P653" s="314"/>
      <c r="Q653" s="314"/>
      <c r="R653" s="314"/>
      <c r="S653" s="718"/>
      <c r="T653" s="719"/>
      <c r="U653" s="314"/>
      <c r="V653" s="318"/>
      <c r="W653" s="314"/>
      <c r="X653" s="314"/>
      <c r="Y653" s="314"/>
      <c r="Z653" s="721"/>
      <c r="AA653" s="721"/>
      <c r="AB653" s="314"/>
      <c r="AC653" s="317"/>
      <c r="AD653" s="324"/>
      <c r="AE653" s="155"/>
      <c r="AF653" s="155"/>
      <c r="AG653" s="322"/>
      <c r="AH653" s="132"/>
      <c r="AI653" s="132"/>
    </row>
    <row r="654">
      <c r="A654" s="314"/>
      <c r="B654" s="312"/>
      <c r="C654" s="312"/>
      <c r="D654" s="717"/>
      <c r="E654" s="316"/>
      <c r="F654" s="316"/>
      <c r="G654" s="314"/>
      <c r="H654" s="318"/>
      <c r="I654" s="314"/>
      <c r="J654" s="314"/>
      <c r="K654" s="314"/>
      <c r="L654" s="314"/>
      <c r="M654" s="314"/>
      <c r="N654" s="314"/>
      <c r="O654" s="318"/>
      <c r="P654" s="314"/>
      <c r="Q654" s="314"/>
      <c r="R654" s="314"/>
      <c r="S654" s="718"/>
      <c r="T654" s="719"/>
      <c r="U654" s="314"/>
      <c r="V654" s="318"/>
      <c r="W654" s="314"/>
      <c r="X654" s="314"/>
      <c r="Y654" s="314"/>
      <c r="Z654" s="721"/>
      <c r="AA654" s="721"/>
      <c r="AB654" s="314"/>
      <c r="AC654" s="317"/>
      <c r="AD654" s="324"/>
      <c r="AE654" s="155"/>
      <c r="AF654" s="155"/>
      <c r="AG654" s="322"/>
      <c r="AH654" s="132"/>
      <c r="AI654" s="132"/>
    </row>
    <row r="655">
      <c r="A655" s="314"/>
      <c r="B655" s="312"/>
      <c r="C655" s="312"/>
      <c r="D655" s="717"/>
      <c r="E655" s="316"/>
      <c r="F655" s="316"/>
      <c r="G655" s="314"/>
      <c r="H655" s="318"/>
      <c r="I655" s="314"/>
      <c r="J655" s="314"/>
      <c r="K655" s="314"/>
      <c r="L655" s="314"/>
      <c r="M655" s="314"/>
      <c r="N655" s="314"/>
      <c r="O655" s="318"/>
      <c r="P655" s="314"/>
      <c r="Q655" s="314"/>
      <c r="R655" s="314"/>
      <c r="S655" s="718"/>
      <c r="T655" s="719"/>
      <c r="U655" s="314"/>
      <c r="V655" s="318"/>
      <c r="W655" s="314"/>
      <c r="X655" s="314"/>
      <c r="Y655" s="314"/>
      <c r="Z655" s="721"/>
      <c r="AA655" s="721"/>
      <c r="AB655" s="314"/>
      <c r="AC655" s="317"/>
      <c r="AD655" s="324"/>
      <c r="AE655" s="155"/>
      <c r="AF655" s="155"/>
      <c r="AG655" s="322"/>
      <c r="AH655" s="132"/>
      <c r="AI655" s="132"/>
    </row>
    <row r="656">
      <c r="A656" s="314"/>
      <c r="B656" s="312"/>
      <c r="C656" s="312"/>
      <c r="D656" s="717"/>
      <c r="E656" s="316"/>
      <c r="F656" s="316"/>
      <c r="G656" s="314"/>
      <c r="H656" s="318"/>
      <c r="I656" s="314"/>
      <c r="J656" s="314"/>
      <c r="K656" s="314"/>
      <c r="L656" s="314"/>
      <c r="M656" s="314"/>
      <c r="N656" s="314"/>
      <c r="O656" s="318"/>
      <c r="P656" s="314"/>
      <c r="Q656" s="314"/>
      <c r="R656" s="314"/>
      <c r="S656" s="718"/>
      <c r="T656" s="719"/>
      <c r="U656" s="314"/>
      <c r="V656" s="318"/>
      <c r="W656" s="314"/>
      <c r="X656" s="314"/>
      <c r="Y656" s="314"/>
      <c r="Z656" s="721"/>
      <c r="AA656" s="721"/>
      <c r="AB656" s="314"/>
      <c r="AC656" s="317"/>
      <c r="AD656" s="324"/>
      <c r="AE656" s="155"/>
      <c r="AF656" s="155"/>
      <c r="AG656" s="322"/>
      <c r="AH656" s="132"/>
      <c r="AI656" s="132"/>
    </row>
    <row r="657">
      <c r="A657" s="314"/>
      <c r="B657" s="312"/>
      <c r="C657" s="312"/>
      <c r="D657" s="717"/>
      <c r="E657" s="316"/>
      <c r="F657" s="316"/>
      <c r="G657" s="314"/>
      <c r="H657" s="318"/>
      <c r="I657" s="314"/>
      <c r="J657" s="314"/>
      <c r="K657" s="314"/>
      <c r="L657" s="314"/>
      <c r="M657" s="314"/>
      <c r="N657" s="314"/>
      <c r="O657" s="318"/>
      <c r="P657" s="314"/>
      <c r="Q657" s="314"/>
      <c r="R657" s="314"/>
      <c r="S657" s="718"/>
      <c r="T657" s="719"/>
      <c r="U657" s="314"/>
      <c r="V657" s="318"/>
      <c r="W657" s="314"/>
      <c r="X657" s="314"/>
      <c r="Y657" s="314"/>
      <c r="Z657" s="721"/>
      <c r="AA657" s="721"/>
      <c r="AB657" s="314"/>
      <c r="AC657" s="317"/>
      <c r="AD657" s="324"/>
      <c r="AE657" s="155"/>
      <c r="AF657" s="155"/>
      <c r="AG657" s="322"/>
      <c r="AH657" s="132"/>
      <c r="AI657" s="132"/>
    </row>
    <row r="658">
      <c r="A658" s="314"/>
      <c r="B658" s="312"/>
      <c r="C658" s="312"/>
      <c r="D658" s="717"/>
      <c r="E658" s="316"/>
      <c r="F658" s="316"/>
      <c r="G658" s="314"/>
      <c r="H658" s="318"/>
      <c r="I658" s="314"/>
      <c r="J658" s="314"/>
      <c r="K658" s="314"/>
      <c r="L658" s="314"/>
      <c r="M658" s="314"/>
      <c r="N658" s="314"/>
      <c r="O658" s="318"/>
      <c r="P658" s="314"/>
      <c r="Q658" s="314"/>
      <c r="R658" s="314"/>
      <c r="S658" s="718"/>
      <c r="T658" s="719"/>
      <c r="U658" s="314"/>
      <c r="V658" s="318"/>
      <c r="W658" s="314"/>
      <c r="X658" s="314"/>
      <c r="Y658" s="314"/>
      <c r="Z658" s="721"/>
      <c r="AA658" s="721"/>
      <c r="AB658" s="314"/>
      <c r="AC658" s="317"/>
      <c r="AD658" s="324"/>
      <c r="AE658" s="155"/>
      <c r="AF658" s="155"/>
      <c r="AG658" s="322"/>
      <c r="AH658" s="132"/>
      <c r="AI658" s="132"/>
    </row>
    <row r="659">
      <c r="A659" s="314"/>
      <c r="B659" s="312"/>
      <c r="C659" s="312"/>
      <c r="D659" s="717"/>
      <c r="E659" s="316"/>
      <c r="F659" s="316"/>
      <c r="G659" s="314"/>
      <c r="H659" s="318"/>
      <c r="I659" s="314"/>
      <c r="J659" s="314"/>
      <c r="K659" s="314"/>
      <c r="L659" s="314"/>
      <c r="M659" s="314"/>
      <c r="N659" s="314"/>
      <c r="O659" s="318"/>
      <c r="P659" s="314"/>
      <c r="Q659" s="314"/>
      <c r="R659" s="314"/>
      <c r="S659" s="718"/>
      <c r="T659" s="719"/>
      <c r="U659" s="314"/>
      <c r="V659" s="318"/>
      <c r="W659" s="314"/>
      <c r="X659" s="314"/>
      <c r="Y659" s="314"/>
      <c r="Z659" s="721"/>
      <c r="AA659" s="721"/>
      <c r="AB659" s="314"/>
      <c r="AC659" s="317"/>
      <c r="AD659" s="324"/>
      <c r="AE659" s="155"/>
      <c r="AF659" s="155"/>
      <c r="AG659" s="322"/>
      <c r="AH659" s="132"/>
      <c r="AI659" s="132"/>
    </row>
    <row r="660">
      <c r="A660" s="314"/>
      <c r="B660" s="312"/>
      <c r="C660" s="312"/>
      <c r="D660" s="717"/>
      <c r="E660" s="316"/>
      <c r="F660" s="316"/>
      <c r="G660" s="314"/>
      <c r="H660" s="318"/>
      <c r="I660" s="314"/>
      <c r="J660" s="314"/>
      <c r="K660" s="314"/>
      <c r="L660" s="314"/>
      <c r="M660" s="314"/>
      <c r="N660" s="314"/>
      <c r="O660" s="318"/>
      <c r="P660" s="314"/>
      <c r="Q660" s="314"/>
      <c r="R660" s="314"/>
      <c r="S660" s="718"/>
      <c r="T660" s="719"/>
      <c r="U660" s="314"/>
      <c r="V660" s="318"/>
      <c r="W660" s="314"/>
      <c r="X660" s="314"/>
      <c r="Y660" s="314"/>
      <c r="Z660" s="721"/>
      <c r="AA660" s="721"/>
      <c r="AB660" s="314"/>
      <c r="AC660" s="317"/>
      <c r="AD660" s="324"/>
      <c r="AE660" s="155"/>
      <c r="AF660" s="155"/>
      <c r="AG660" s="322"/>
      <c r="AH660" s="132"/>
      <c r="AI660" s="132"/>
    </row>
    <row r="661">
      <c r="A661" s="314"/>
      <c r="B661" s="312"/>
      <c r="C661" s="312"/>
      <c r="D661" s="717"/>
      <c r="E661" s="316"/>
      <c r="F661" s="316"/>
      <c r="G661" s="314"/>
      <c r="H661" s="318"/>
      <c r="I661" s="314"/>
      <c r="J661" s="314"/>
      <c r="K661" s="314"/>
      <c r="L661" s="314"/>
      <c r="M661" s="314"/>
      <c r="N661" s="314"/>
      <c r="O661" s="318"/>
      <c r="P661" s="314"/>
      <c r="Q661" s="314"/>
      <c r="R661" s="314"/>
      <c r="S661" s="718"/>
      <c r="T661" s="719"/>
      <c r="U661" s="314"/>
      <c r="V661" s="318"/>
      <c r="W661" s="314"/>
      <c r="X661" s="314"/>
      <c r="Y661" s="314"/>
      <c r="Z661" s="721"/>
      <c r="AA661" s="721"/>
      <c r="AB661" s="314"/>
      <c r="AC661" s="317"/>
      <c r="AD661" s="324"/>
      <c r="AE661" s="155"/>
      <c r="AF661" s="155"/>
      <c r="AG661" s="322"/>
      <c r="AH661" s="132"/>
      <c r="AI661" s="132"/>
    </row>
    <row r="662">
      <c r="A662" s="314"/>
      <c r="B662" s="312"/>
      <c r="C662" s="312"/>
      <c r="D662" s="717"/>
      <c r="E662" s="316"/>
      <c r="F662" s="316"/>
      <c r="G662" s="314"/>
      <c r="H662" s="318"/>
      <c r="I662" s="314"/>
      <c r="J662" s="314"/>
      <c r="K662" s="314"/>
      <c r="L662" s="314"/>
      <c r="M662" s="314"/>
      <c r="N662" s="314"/>
      <c r="O662" s="318"/>
      <c r="P662" s="314"/>
      <c r="Q662" s="314"/>
      <c r="R662" s="314"/>
      <c r="S662" s="718"/>
      <c r="T662" s="719"/>
      <c r="U662" s="314"/>
      <c r="V662" s="318"/>
      <c r="W662" s="314"/>
      <c r="X662" s="314"/>
      <c r="Y662" s="314"/>
      <c r="Z662" s="721"/>
      <c r="AA662" s="721"/>
      <c r="AB662" s="314"/>
      <c r="AC662" s="317"/>
      <c r="AD662" s="324"/>
      <c r="AE662" s="155"/>
      <c r="AF662" s="155"/>
      <c r="AG662" s="322"/>
      <c r="AH662" s="132"/>
      <c r="AI662" s="132"/>
    </row>
    <row r="663">
      <c r="A663" s="314"/>
      <c r="B663" s="312"/>
      <c r="C663" s="312"/>
      <c r="D663" s="717"/>
      <c r="E663" s="316"/>
      <c r="F663" s="316"/>
      <c r="G663" s="314"/>
      <c r="H663" s="318"/>
      <c r="I663" s="314"/>
      <c r="J663" s="314"/>
      <c r="K663" s="314"/>
      <c r="L663" s="314"/>
      <c r="M663" s="314"/>
      <c r="N663" s="314"/>
      <c r="O663" s="318"/>
      <c r="P663" s="314"/>
      <c r="Q663" s="314"/>
      <c r="R663" s="314"/>
      <c r="S663" s="718"/>
      <c r="T663" s="719"/>
      <c r="U663" s="314"/>
      <c r="V663" s="318"/>
      <c r="W663" s="314"/>
      <c r="X663" s="314"/>
      <c r="Y663" s="314"/>
      <c r="Z663" s="721"/>
      <c r="AA663" s="721"/>
      <c r="AB663" s="314"/>
      <c r="AC663" s="317"/>
      <c r="AD663" s="324"/>
      <c r="AE663" s="155"/>
      <c r="AF663" s="155"/>
      <c r="AG663" s="322"/>
      <c r="AH663" s="132"/>
      <c r="AI663" s="132"/>
    </row>
    <row r="664">
      <c r="A664" s="314"/>
      <c r="B664" s="312"/>
      <c r="C664" s="312"/>
      <c r="D664" s="717"/>
      <c r="E664" s="316"/>
      <c r="F664" s="316"/>
      <c r="G664" s="314"/>
      <c r="H664" s="318"/>
      <c r="I664" s="314"/>
      <c r="J664" s="314"/>
      <c r="K664" s="314"/>
      <c r="L664" s="314"/>
      <c r="M664" s="314"/>
      <c r="N664" s="314"/>
      <c r="O664" s="318"/>
      <c r="P664" s="314"/>
      <c r="Q664" s="314"/>
      <c r="R664" s="314"/>
      <c r="S664" s="718"/>
      <c r="T664" s="719"/>
      <c r="U664" s="314"/>
      <c r="V664" s="318"/>
      <c r="W664" s="314"/>
      <c r="X664" s="314"/>
      <c r="Y664" s="314"/>
      <c r="Z664" s="721"/>
      <c r="AA664" s="721"/>
      <c r="AB664" s="314"/>
      <c r="AC664" s="317"/>
      <c r="AD664" s="324"/>
      <c r="AE664" s="155"/>
      <c r="AF664" s="155"/>
      <c r="AG664" s="322"/>
      <c r="AH664" s="132"/>
      <c r="AI664" s="132"/>
    </row>
    <row r="665">
      <c r="A665" s="314"/>
      <c r="B665" s="312"/>
      <c r="C665" s="312"/>
      <c r="D665" s="717"/>
      <c r="E665" s="316"/>
      <c r="F665" s="316"/>
      <c r="G665" s="314"/>
      <c r="H665" s="318"/>
      <c r="I665" s="314"/>
      <c r="J665" s="314"/>
      <c r="K665" s="314"/>
      <c r="L665" s="314"/>
      <c r="M665" s="314"/>
      <c r="N665" s="314"/>
      <c r="O665" s="318"/>
      <c r="P665" s="314"/>
      <c r="Q665" s="314"/>
      <c r="R665" s="314"/>
      <c r="S665" s="718"/>
      <c r="T665" s="719"/>
      <c r="U665" s="314"/>
      <c r="V665" s="318"/>
      <c r="W665" s="314"/>
      <c r="X665" s="314"/>
      <c r="Y665" s="314"/>
      <c r="Z665" s="721"/>
      <c r="AA665" s="721"/>
      <c r="AB665" s="314"/>
      <c r="AC665" s="317"/>
      <c r="AD665" s="324"/>
      <c r="AE665" s="155"/>
      <c r="AF665" s="155"/>
      <c r="AG665" s="322"/>
      <c r="AH665" s="132"/>
      <c r="AI665" s="132"/>
    </row>
    <row r="666">
      <c r="A666" s="314"/>
      <c r="B666" s="312"/>
      <c r="C666" s="312"/>
      <c r="D666" s="717"/>
      <c r="E666" s="316"/>
      <c r="F666" s="316"/>
      <c r="G666" s="314"/>
      <c r="H666" s="318"/>
      <c r="I666" s="314"/>
      <c r="J666" s="314"/>
      <c r="K666" s="314"/>
      <c r="L666" s="314"/>
      <c r="M666" s="314"/>
      <c r="N666" s="314"/>
      <c r="O666" s="318"/>
      <c r="P666" s="314"/>
      <c r="Q666" s="314"/>
      <c r="R666" s="314"/>
      <c r="S666" s="718"/>
      <c r="T666" s="719"/>
      <c r="U666" s="314"/>
      <c r="V666" s="318"/>
      <c r="W666" s="314"/>
      <c r="X666" s="314"/>
      <c r="Y666" s="314"/>
      <c r="Z666" s="721"/>
      <c r="AA666" s="721"/>
      <c r="AB666" s="314"/>
      <c r="AC666" s="317"/>
      <c r="AD666" s="324"/>
      <c r="AE666" s="155"/>
      <c r="AF666" s="155"/>
      <c r="AG666" s="322"/>
      <c r="AH666" s="132"/>
      <c r="AI666" s="132"/>
    </row>
    <row r="667">
      <c r="A667" s="314"/>
      <c r="B667" s="312"/>
      <c r="C667" s="312"/>
      <c r="D667" s="717"/>
      <c r="E667" s="316"/>
      <c r="F667" s="316"/>
      <c r="G667" s="314"/>
      <c r="H667" s="318"/>
      <c r="I667" s="314"/>
      <c r="J667" s="314"/>
      <c r="K667" s="314"/>
      <c r="L667" s="314"/>
      <c r="M667" s="314"/>
      <c r="N667" s="314"/>
      <c r="O667" s="318"/>
      <c r="P667" s="314"/>
      <c r="Q667" s="314"/>
      <c r="R667" s="314"/>
      <c r="S667" s="718"/>
      <c r="T667" s="719"/>
      <c r="U667" s="314"/>
      <c r="V667" s="318"/>
      <c r="W667" s="314"/>
      <c r="X667" s="314"/>
      <c r="Y667" s="314"/>
      <c r="Z667" s="721"/>
      <c r="AA667" s="721"/>
      <c r="AB667" s="314"/>
      <c r="AC667" s="317"/>
      <c r="AD667" s="324"/>
      <c r="AE667" s="155"/>
      <c r="AF667" s="155"/>
      <c r="AG667" s="322"/>
      <c r="AH667" s="132"/>
      <c r="AI667" s="132"/>
    </row>
    <row r="668">
      <c r="A668" s="435"/>
      <c r="B668" s="312"/>
      <c r="C668" s="745"/>
      <c r="D668" s="717"/>
      <c r="E668" s="742"/>
      <c r="F668" s="316"/>
      <c r="G668" s="314"/>
      <c r="H668" s="740"/>
      <c r="I668" s="435"/>
      <c r="J668" s="314"/>
      <c r="K668" s="435"/>
      <c r="L668" s="435"/>
      <c r="M668" s="314"/>
      <c r="N668" s="314"/>
      <c r="O668" s="318"/>
      <c r="P668" s="435"/>
      <c r="Q668" s="435"/>
      <c r="R668" s="435"/>
      <c r="S668" s="747"/>
      <c r="T668" s="748"/>
      <c r="U668" s="435"/>
      <c r="V668" s="740"/>
      <c r="W668" s="435"/>
      <c r="X668" s="435"/>
      <c r="Y668" s="435"/>
      <c r="Z668" s="749"/>
      <c r="AA668" s="749"/>
      <c r="AB668" s="435"/>
      <c r="AC668" s="750"/>
      <c r="AD668" s="324"/>
      <c r="AE668" s="180"/>
      <c r="AF668" s="155"/>
      <c r="AG668" s="322"/>
      <c r="AH668" s="132"/>
      <c r="AI668" s="132"/>
    </row>
    <row r="669">
      <c r="A669" s="435"/>
      <c r="B669" s="312"/>
      <c r="C669" s="312"/>
      <c r="D669" s="751"/>
      <c r="E669" s="316"/>
      <c r="F669" s="316"/>
      <c r="G669" s="314"/>
      <c r="H669" s="318"/>
      <c r="I669" s="314"/>
      <c r="J669" s="314"/>
      <c r="K669" s="314"/>
      <c r="L669" s="314"/>
      <c r="M669" s="435"/>
      <c r="N669" s="435"/>
      <c r="O669" s="318"/>
      <c r="P669" s="314"/>
      <c r="Q669" s="314"/>
      <c r="R669" s="314"/>
      <c r="S669" s="718"/>
      <c r="T669" s="719"/>
      <c r="U669" s="314"/>
      <c r="V669" s="318"/>
      <c r="W669" s="314"/>
      <c r="X669" s="314"/>
      <c r="Y669" s="314"/>
      <c r="Z669" s="721"/>
      <c r="AA669" s="721"/>
      <c r="AB669" s="314"/>
      <c r="AC669" s="317"/>
      <c r="AD669" s="324"/>
      <c r="AE669" s="180"/>
      <c r="AF669" s="155"/>
      <c r="AG669" s="322"/>
      <c r="AH669" s="132"/>
      <c r="AI669" s="132"/>
    </row>
    <row r="670">
      <c r="A670" s="435"/>
      <c r="B670" s="745"/>
      <c r="C670" s="745"/>
      <c r="D670" s="751"/>
      <c r="E670" s="742"/>
      <c r="F670" s="316"/>
      <c r="G670" s="314"/>
      <c r="H670" s="318"/>
      <c r="I670" s="435"/>
      <c r="J670" s="435"/>
      <c r="K670" s="435"/>
      <c r="L670" s="435"/>
      <c r="M670" s="435"/>
      <c r="N670" s="435"/>
      <c r="O670" s="318"/>
      <c r="P670" s="435"/>
      <c r="Q670" s="314"/>
      <c r="R670" s="435"/>
      <c r="S670" s="747"/>
      <c r="T670" s="748"/>
      <c r="U670" s="435"/>
      <c r="V670" s="740"/>
      <c r="W670" s="435"/>
      <c r="X670" s="435"/>
      <c r="Y670" s="435"/>
      <c r="Z670" s="749"/>
      <c r="AA670" s="749"/>
      <c r="AB670" s="435"/>
      <c r="AC670" s="750"/>
      <c r="AD670" s="324"/>
      <c r="AE670" s="180"/>
      <c r="AF670" s="155"/>
      <c r="AG670" s="322"/>
      <c r="AH670" s="132"/>
      <c r="AI670" s="132"/>
    </row>
    <row r="671">
      <c r="A671" s="435"/>
      <c r="B671" s="312"/>
      <c r="C671" s="312"/>
      <c r="D671" s="751"/>
      <c r="E671" s="316"/>
      <c r="F671" s="316"/>
      <c r="G671" s="314"/>
      <c r="H671" s="318"/>
      <c r="I671" s="435"/>
      <c r="J671" s="314"/>
      <c r="K671" s="435"/>
      <c r="L671" s="314"/>
      <c r="M671" s="314"/>
      <c r="N671" s="314"/>
      <c r="O671" s="318"/>
      <c r="P671" s="314"/>
      <c r="Q671" s="435"/>
      <c r="R671" s="435"/>
      <c r="S671" s="718"/>
      <c r="T671" s="719"/>
      <c r="U671" s="314"/>
      <c r="V671" s="318"/>
      <c r="W671" s="314"/>
      <c r="X671" s="314"/>
      <c r="Y671" s="314"/>
      <c r="Z671" s="721"/>
      <c r="AA671" s="721"/>
      <c r="AB671" s="314"/>
      <c r="AC671" s="317"/>
      <c r="AD671" s="324"/>
      <c r="AE671" s="180"/>
      <c r="AF671" s="155"/>
      <c r="AG671" s="322"/>
      <c r="AH671" s="132"/>
      <c r="AI671" s="132"/>
    </row>
    <row r="672">
      <c r="A672" s="435"/>
      <c r="B672" s="745"/>
      <c r="C672" s="745"/>
      <c r="D672" s="751"/>
      <c r="E672" s="742"/>
      <c r="F672" s="316"/>
      <c r="G672" s="314"/>
      <c r="H672" s="740"/>
      <c r="I672" s="435"/>
      <c r="J672" s="435"/>
      <c r="K672" s="435"/>
      <c r="L672" s="435"/>
      <c r="M672" s="435"/>
      <c r="N672" s="435"/>
      <c r="O672" s="318"/>
      <c r="P672" s="435"/>
      <c r="Q672" s="435"/>
      <c r="R672" s="435"/>
      <c r="S672" s="747"/>
      <c r="T672" s="748"/>
      <c r="U672" s="435"/>
      <c r="V672" s="740"/>
      <c r="W672" s="435"/>
      <c r="X672" s="435"/>
      <c r="Y672" s="435"/>
      <c r="Z672" s="749"/>
      <c r="AA672" s="749"/>
      <c r="AB672" s="435"/>
      <c r="AC672" s="750"/>
      <c r="AD672" s="324"/>
      <c r="AE672" s="180"/>
      <c r="AF672" s="155"/>
      <c r="AG672" s="322"/>
      <c r="AH672" s="132"/>
      <c r="AI672" s="132"/>
    </row>
    <row r="673">
      <c r="A673" s="435"/>
      <c r="B673" s="745"/>
      <c r="C673" s="312"/>
      <c r="D673" s="751"/>
      <c r="E673" s="316"/>
      <c r="F673" s="316"/>
      <c r="G673" s="314"/>
      <c r="H673" s="318"/>
      <c r="I673" s="314"/>
      <c r="J673" s="314"/>
      <c r="K673" s="435"/>
      <c r="L673" s="314"/>
      <c r="M673" s="314"/>
      <c r="N673" s="314"/>
      <c r="O673" s="318"/>
      <c r="P673" s="314"/>
      <c r="Q673" s="314"/>
      <c r="R673" s="314"/>
      <c r="S673" s="747"/>
      <c r="T673" s="748"/>
      <c r="U673" s="435"/>
      <c r="V673" s="740"/>
      <c r="W673" s="435"/>
      <c r="X673" s="435"/>
      <c r="Y673" s="435"/>
      <c r="Z673" s="749"/>
      <c r="AA673" s="749"/>
      <c r="AB673" s="435"/>
      <c r="AC673" s="750"/>
      <c r="AD673" s="324"/>
      <c r="AE673" s="180"/>
      <c r="AF673" s="155"/>
      <c r="AG673" s="322"/>
      <c r="AH673" s="132"/>
      <c r="AI673" s="132"/>
    </row>
    <row r="674">
      <c r="A674" s="435"/>
      <c r="B674" s="745"/>
      <c r="C674" s="745"/>
      <c r="D674" s="751"/>
      <c r="E674" s="742"/>
      <c r="F674" s="316"/>
      <c r="G674" s="314"/>
      <c r="H674" s="740"/>
      <c r="I674" s="314"/>
      <c r="J674" s="314"/>
      <c r="K674" s="435"/>
      <c r="L674" s="314"/>
      <c r="M674" s="314"/>
      <c r="N674" s="314"/>
      <c r="O674" s="318"/>
      <c r="P674" s="435"/>
      <c r="Q674" s="435"/>
      <c r="R674" s="435"/>
      <c r="S674" s="747"/>
      <c r="T674" s="748"/>
      <c r="U674" s="435"/>
      <c r="V674" s="740"/>
      <c r="W674" s="435"/>
      <c r="X674" s="435"/>
      <c r="Y674" s="435"/>
      <c r="Z674" s="749"/>
      <c r="AA674" s="749"/>
      <c r="AB674" s="435"/>
      <c r="AC674" s="750"/>
      <c r="AD674" s="324"/>
      <c r="AE674" s="180"/>
      <c r="AF674" s="155"/>
      <c r="AG674" s="322"/>
      <c r="AH674" s="132"/>
      <c r="AI674" s="132"/>
    </row>
    <row r="675">
      <c r="A675" s="435"/>
      <c r="B675" s="745"/>
      <c r="C675" s="745"/>
      <c r="D675" s="751"/>
      <c r="E675" s="742"/>
      <c r="F675" s="316"/>
      <c r="G675" s="314"/>
      <c r="H675" s="740"/>
      <c r="I675" s="435"/>
      <c r="J675" s="435"/>
      <c r="K675" s="435"/>
      <c r="L675" s="435"/>
      <c r="M675" s="435"/>
      <c r="N675" s="435"/>
      <c r="O675" s="318"/>
      <c r="P675" s="435"/>
      <c r="Q675" s="435"/>
      <c r="R675" s="435"/>
      <c r="S675" s="747"/>
      <c r="T675" s="748"/>
      <c r="U675" s="435"/>
      <c r="V675" s="740"/>
      <c r="W675" s="435"/>
      <c r="X675" s="435"/>
      <c r="Y675" s="435"/>
      <c r="Z675" s="749"/>
      <c r="AA675" s="749"/>
      <c r="AB675" s="435"/>
      <c r="AC675" s="750"/>
      <c r="AD675" s="324"/>
      <c r="AE675" s="180"/>
      <c r="AF675" s="155"/>
      <c r="AG675" s="322"/>
      <c r="AH675" s="132"/>
      <c r="AI675" s="132"/>
    </row>
    <row r="676">
      <c r="A676" s="435"/>
      <c r="B676" s="312"/>
      <c r="C676" s="312"/>
      <c r="D676" s="717"/>
      <c r="E676" s="742"/>
      <c r="F676" s="316"/>
      <c r="G676" s="314"/>
      <c r="H676" s="740"/>
      <c r="I676" s="314"/>
      <c r="J676" s="314"/>
      <c r="K676" s="314"/>
      <c r="L676" s="314"/>
      <c r="M676" s="314"/>
      <c r="N676" s="314"/>
      <c r="O676" s="318"/>
      <c r="P676" s="314"/>
      <c r="Q676" s="314"/>
      <c r="R676" s="314"/>
      <c r="S676" s="718"/>
      <c r="T676" s="719"/>
      <c r="U676" s="314"/>
      <c r="V676" s="318"/>
      <c r="W676" s="314"/>
      <c r="X676" s="314"/>
      <c r="Y676" s="314"/>
      <c r="Z676" s="721"/>
      <c r="AA676" s="721"/>
      <c r="AB676" s="314"/>
      <c r="AC676" s="317"/>
      <c r="AD676" s="324"/>
      <c r="AE676" s="180"/>
      <c r="AF676" s="155"/>
      <c r="AG676" s="322"/>
      <c r="AH676" s="132"/>
      <c r="AI676" s="132"/>
    </row>
    <row r="677">
      <c r="A677" s="435"/>
      <c r="B677" s="312"/>
      <c r="C677" s="312"/>
      <c r="D677" s="751"/>
      <c r="E677" s="316"/>
      <c r="F677" s="316"/>
      <c r="G677" s="314"/>
      <c r="H677" s="740"/>
      <c r="I677" s="314"/>
      <c r="J677" s="435"/>
      <c r="K677" s="435"/>
      <c r="L677" s="314"/>
      <c r="M677" s="435"/>
      <c r="N677" s="314"/>
      <c r="O677" s="318"/>
      <c r="P677" s="314"/>
      <c r="Q677" s="314"/>
      <c r="R677" s="435"/>
      <c r="S677" s="747"/>
      <c r="T677" s="748"/>
      <c r="U677" s="435"/>
      <c r="V677" s="740"/>
      <c r="W677" s="435"/>
      <c r="X677" s="435"/>
      <c r="Y677" s="435"/>
      <c r="Z677" s="749"/>
      <c r="AA677" s="749"/>
      <c r="AB677" s="435"/>
      <c r="AC677" s="750"/>
      <c r="AD677" s="324"/>
      <c r="AE677" s="180"/>
      <c r="AF677" s="155"/>
      <c r="AG677" s="322"/>
      <c r="AH677" s="132"/>
      <c r="AI677" s="132"/>
    </row>
    <row r="678">
      <c r="A678" s="435"/>
      <c r="B678" s="312"/>
      <c r="C678" s="312"/>
      <c r="D678" s="717"/>
      <c r="E678" s="316"/>
      <c r="F678" s="316"/>
      <c r="G678" s="314"/>
      <c r="H678" s="318"/>
      <c r="I678" s="314"/>
      <c r="J678" s="314"/>
      <c r="K678" s="314"/>
      <c r="L678" s="314"/>
      <c r="M678" s="314"/>
      <c r="N678" s="314"/>
      <c r="O678" s="318"/>
      <c r="P678" s="314"/>
      <c r="Q678" s="435"/>
      <c r="R678" s="314"/>
      <c r="S678" s="747"/>
      <c r="T678" s="748"/>
      <c r="U678" s="435"/>
      <c r="V678" s="740"/>
      <c r="W678" s="435"/>
      <c r="X678" s="435"/>
      <c r="Y678" s="435"/>
      <c r="Z678" s="749"/>
      <c r="AA678" s="749"/>
      <c r="AB678" s="435"/>
      <c r="AC678" s="750"/>
      <c r="AD678" s="324"/>
      <c r="AE678" s="180"/>
      <c r="AF678" s="155"/>
      <c r="AG678" s="322"/>
      <c r="AH678" s="132"/>
      <c r="AI678" s="132"/>
    </row>
    <row r="679">
      <c r="A679" s="435"/>
      <c r="B679" s="745"/>
      <c r="C679" s="312"/>
      <c r="D679" s="717"/>
      <c r="E679" s="316"/>
      <c r="F679" s="316"/>
      <c r="G679" s="314"/>
      <c r="H679" s="740"/>
      <c r="I679" s="314"/>
      <c r="J679" s="435"/>
      <c r="K679" s="435"/>
      <c r="L679" s="314"/>
      <c r="M679" s="314"/>
      <c r="N679" s="435"/>
      <c r="O679" s="318"/>
      <c r="P679" s="314"/>
      <c r="Q679" s="314"/>
      <c r="R679" s="435"/>
      <c r="S679" s="747"/>
      <c r="T679" s="748"/>
      <c r="U679" s="435"/>
      <c r="V679" s="740"/>
      <c r="W679" s="435"/>
      <c r="X679" s="435"/>
      <c r="Y679" s="435"/>
      <c r="Z679" s="749"/>
      <c r="AA679" s="749"/>
      <c r="AB679" s="435"/>
      <c r="AC679" s="750"/>
      <c r="AD679" s="324"/>
      <c r="AE679" s="180"/>
      <c r="AF679" s="155"/>
      <c r="AG679" s="322"/>
      <c r="AH679" s="132"/>
      <c r="AI679" s="132"/>
    </row>
    <row r="680">
      <c r="A680" s="435"/>
      <c r="B680" s="312"/>
      <c r="C680" s="745"/>
      <c r="D680" s="751"/>
      <c r="E680" s="742"/>
      <c r="F680" s="316"/>
      <c r="G680" s="314"/>
      <c r="H680" s="740"/>
      <c r="I680" s="314"/>
      <c r="J680" s="314"/>
      <c r="K680" s="435"/>
      <c r="L680" s="314"/>
      <c r="M680" s="314"/>
      <c r="N680" s="314"/>
      <c r="O680" s="318"/>
      <c r="P680" s="314"/>
      <c r="Q680" s="314"/>
      <c r="R680" s="314"/>
      <c r="S680" s="747"/>
      <c r="T680" s="748"/>
      <c r="U680" s="435"/>
      <c r="V680" s="740"/>
      <c r="W680" s="435"/>
      <c r="X680" s="435"/>
      <c r="Y680" s="435"/>
      <c r="Z680" s="749"/>
      <c r="AA680" s="749"/>
      <c r="AB680" s="435"/>
      <c r="AC680" s="750"/>
      <c r="AD680" s="324"/>
      <c r="AE680" s="180"/>
      <c r="AF680" s="155"/>
      <c r="AG680" s="322"/>
      <c r="AH680" s="132"/>
      <c r="AI680" s="132"/>
    </row>
    <row r="681">
      <c r="A681" s="435"/>
      <c r="B681" s="312"/>
      <c r="C681" s="312"/>
      <c r="D681" s="717"/>
      <c r="E681" s="316"/>
      <c r="F681" s="316"/>
      <c r="G681" s="314"/>
      <c r="H681" s="740"/>
      <c r="I681" s="314"/>
      <c r="J681" s="314"/>
      <c r="K681" s="314"/>
      <c r="L681" s="314"/>
      <c r="M681" s="314"/>
      <c r="N681" s="314"/>
      <c r="O681" s="318"/>
      <c r="P681" s="314"/>
      <c r="Q681" s="314"/>
      <c r="R681" s="435"/>
      <c r="S681" s="718"/>
      <c r="T681" s="719"/>
      <c r="U681" s="314"/>
      <c r="V681" s="318"/>
      <c r="W681" s="314"/>
      <c r="X681" s="314"/>
      <c r="Y681" s="314"/>
      <c r="Z681" s="721"/>
      <c r="AA681" s="721"/>
      <c r="AB681" s="314"/>
      <c r="AC681" s="317"/>
      <c r="AD681" s="324"/>
      <c r="AE681" s="180"/>
      <c r="AF681" s="155"/>
      <c r="AG681" s="322"/>
      <c r="AH681" s="132"/>
      <c r="AI681" s="132"/>
    </row>
    <row r="682">
      <c r="A682" s="435"/>
      <c r="B682" s="745"/>
      <c r="C682" s="745"/>
      <c r="D682" s="751"/>
      <c r="E682" s="742"/>
      <c r="F682" s="316"/>
      <c r="G682" s="314"/>
      <c r="H682" s="740"/>
      <c r="I682" s="435"/>
      <c r="J682" s="435"/>
      <c r="K682" s="435"/>
      <c r="L682" s="435"/>
      <c r="M682" s="435"/>
      <c r="N682" s="435"/>
      <c r="O682" s="318"/>
      <c r="P682" s="435"/>
      <c r="Q682" s="435"/>
      <c r="R682" s="435"/>
      <c r="S682" s="747"/>
      <c r="T682" s="748"/>
      <c r="U682" s="435"/>
      <c r="V682" s="740"/>
      <c r="W682" s="435"/>
      <c r="X682" s="435"/>
      <c r="Y682" s="435"/>
      <c r="Z682" s="749"/>
      <c r="AA682" s="749"/>
      <c r="AB682" s="435"/>
      <c r="AC682" s="750"/>
      <c r="AD682" s="324"/>
      <c r="AE682" s="180"/>
      <c r="AF682" s="155"/>
      <c r="AG682" s="322"/>
      <c r="AH682" s="132"/>
      <c r="AI682" s="132"/>
    </row>
    <row r="683">
      <c r="A683" s="435"/>
      <c r="B683" s="312"/>
      <c r="C683" s="312"/>
      <c r="D683" s="717"/>
      <c r="E683" s="316"/>
      <c r="F683" s="316"/>
      <c r="G683" s="314"/>
      <c r="H683" s="318"/>
      <c r="I683" s="314"/>
      <c r="J683" s="314"/>
      <c r="K683" s="314"/>
      <c r="L683" s="314"/>
      <c r="M683" s="435"/>
      <c r="N683" s="314"/>
      <c r="O683" s="318"/>
      <c r="P683" s="314"/>
      <c r="Q683" s="314"/>
      <c r="R683" s="314"/>
      <c r="S683" s="718"/>
      <c r="T683" s="719"/>
      <c r="U683" s="314"/>
      <c r="V683" s="318"/>
      <c r="W683" s="314"/>
      <c r="X683" s="314"/>
      <c r="Y683" s="314"/>
      <c r="Z683" s="721"/>
      <c r="AA683" s="721"/>
      <c r="AB683" s="314"/>
      <c r="AC683" s="317"/>
      <c r="AD683" s="324"/>
      <c r="AE683" s="180"/>
      <c r="AF683" s="155"/>
      <c r="AG683" s="322"/>
      <c r="AH683" s="132"/>
      <c r="AI683" s="132"/>
    </row>
    <row r="684">
      <c r="A684" s="435"/>
      <c r="B684" s="312"/>
      <c r="C684" s="745"/>
      <c r="D684" s="751"/>
      <c r="E684" s="742"/>
      <c r="F684" s="316"/>
      <c r="G684" s="314"/>
      <c r="H684" s="740"/>
      <c r="I684" s="435"/>
      <c r="J684" s="435"/>
      <c r="K684" s="435"/>
      <c r="L684" s="314"/>
      <c r="M684" s="435"/>
      <c r="N684" s="435"/>
      <c r="O684" s="318"/>
      <c r="P684" s="435"/>
      <c r="Q684" s="435"/>
      <c r="R684" s="435"/>
      <c r="S684" s="747"/>
      <c r="T684" s="748"/>
      <c r="U684" s="435"/>
      <c r="V684" s="740"/>
      <c r="W684" s="435"/>
      <c r="X684" s="435"/>
      <c r="Y684" s="435"/>
      <c r="Z684" s="749"/>
      <c r="AA684" s="749"/>
      <c r="AB684" s="435"/>
      <c r="AC684" s="750"/>
      <c r="AD684" s="324"/>
      <c r="AE684" s="180"/>
      <c r="AF684" s="155"/>
      <c r="AG684" s="322"/>
      <c r="AH684" s="132"/>
      <c r="AI684" s="132"/>
    </row>
    <row r="685">
      <c r="A685" s="435"/>
      <c r="B685" s="745"/>
      <c r="C685" s="745"/>
      <c r="D685" s="717"/>
      <c r="E685" s="742"/>
      <c r="F685" s="316"/>
      <c r="G685" s="314"/>
      <c r="H685" s="740"/>
      <c r="I685" s="435"/>
      <c r="J685" s="314"/>
      <c r="K685" s="435"/>
      <c r="L685" s="435"/>
      <c r="M685" s="314"/>
      <c r="N685" s="435"/>
      <c r="O685" s="318"/>
      <c r="P685" s="435"/>
      <c r="Q685" s="314"/>
      <c r="R685" s="435"/>
      <c r="S685" s="747"/>
      <c r="T685" s="748"/>
      <c r="U685" s="435"/>
      <c r="V685" s="740"/>
      <c r="W685" s="435"/>
      <c r="X685" s="435"/>
      <c r="Y685" s="435"/>
      <c r="Z685" s="749"/>
      <c r="AA685" s="749"/>
      <c r="AB685" s="435"/>
      <c r="AC685" s="750"/>
      <c r="AD685" s="324"/>
      <c r="AE685" s="180"/>
      <c r="AF685" s="155"/>
      <c r="AG685" s="322"/>
      <c r="AH685" s="132"/>
      <c r="AI685" s="132"/>
    </row>
    <row r="686">
      <c r="A686" s="458"/>
      <c r="B686" s="745"/>
      <c r="C686" s="745"/>
      <c r="D686" s="751"/>
      <c r="E686" s="742"/>
      <c r="F686" s="316"/>
      <c r="G686" s="314"/>
      <c r="H686" s="318"/>
      <c r="I686" s="435"/>
      <c r="J686" s="435"/>
      <c r="K686" s="435"/>
      <c r="L686" s="435"/>
      <c r="M686" s="435"/>
      <c r="N686" s="435"/>
      <c r="O686" s="318"/>
      <c r="P686" s="435"/>
      <c r="Q686" s="435"/>
      <c r="R686" s="435"/>
      <c r="S686" s="747"/>
      <c r="T686" s="748"/>
      <c r="U686" s="435"/>
      <c r="V686" s="740"/>
      <c r="W686" s="435"/>
      <c r="X686" s="435"/>
      <c r="Y686" s="435"/>
      <c r="Z686" s="749"/>
      <c r="AA686" s="749"/>
      <c r="AB686" s="435"/>
      <c r="AC686" s="750"/>
      <c r="AD686" s="324"/>
      <c r="AE686" s="180"/>
      <c r="AF686" s="155"/>
      <c r="AG686" s="322"/>
      <c r="AH686" s="132"/>
      <c r="AI686" s="132"/>
    </row>
    <row r="687">
      <c r="A687" s="458"/>
      <c r="B687" s="745"/>
      <c r="C687" s="745"/>
      <c r="D687" s="751"/>
      <c r="E687" s="742"/>
      <c r="F687" s="316"/>
      <c r="G687" s="314"/>
      <c r="H687" s="318"/>
      <c r="I687" s="314"/>
      <c r="J687" s="435"/>
      <c r="K687" s="435"/>
      <c r="L687" s="435"/>
      <c r="M687" s="435"/>
      <c r="N687" s="435"/>
      <c r="O687" s="318"/>
      <c r="P687" s="435"/>
      <c r="Q687" s="435"/>
      <c r="R687" s="435"/>
      <c r="S687" s="747"/>
      <c r="T687" s="748"/>
      <c r="U687" s="435"/>
      <c r="V687" s="740"/>
      <c r="W687" s="435"/>
      <c r="X687" s="435"/>
      <c r="Y687" s="435"/>
      <c r="Z687" s="749"/>
      <c r="AA687" s="749"/>
      <c r="AB687" s="435"/>
      <c r="AC687" s="750"/>
      <c r="AD687" s="324"/>
      <c r="AE687" s="180"/>
      <c r="AF687" s="155"/>
      <c r="AG687" s="322"/>
      <c r="AH687" s="132"/>
      <c r="AI687" s="132"/>
    </row>
    <row r="688">
      <c r="A688" s="458"/>
      <c r="B688" s="745"/>
      <c r="C688" s="745"/>
      <c r="D688" s="751"/>
      <c r="E688" s="316"/>
      <c r="F688" s="316"/>
      <c r="G688" s="314"/>
      <c r="H688" s="318"/>
      <c r="I688" s="435"/>
      <c r="J688" s="435"/>
      <c r="K688" s="435"/>
      <c r="L688" s="435"/>
      <c r="M688" s="435"/>
      <c r="N688" s="435"/>
      <c r="O688" s="318"/>
      <c r="P688" s="435"/>
      <c r="Q688" s="314"/>
      <c r="R688" s="435"/>
      <c r="S688" s="747"/>
      <c r="T688" s="748"/>
      <c r="U688" s="435"/>
      <c r="V688" s="740"/>
      <c r="W688" s="435"/>
      <c r="X688" s="435"/>
      <c r="Y688" s="435"/>
      <c r="Z688" s="749"/>
      <c r="AA688" s="749"/>
      <c r="AB688" s="435"/>
      <c r="AC688" s="750"/>
      <c r="AD688" s="324"/>
      <c r="AE688" s="180"/>
      <c r="AF688" s="155"/>
      <c r="AG688" s="322"/>
      <c r="AH688" s="132"/>
      <c r="AI688" s="132"/>
    </row>
    <row r="689">
      <c r="A689" s="458"/>
      <c r="B689" s="312"/>
      <c r="C689" s="312"/>
      <c r="D689" s="717"/>
      <c r="E689" s="316"/>
      <c r="F689" s="316"/>
      <c r="G689" s="314"/>
      <c r="H689" s="318"/>
      <c r="I689" s="314"/>
      <c r="J689" s="314"/>
      <c r="K689" s="314"/>
      <c r="L689" s="314"/>
      <c r="M689" s="314"/>
      <c r="N689" s="314"/>
      <c r="O689" s="318"/>
      <c r="P689" s="314"/>
      <c r="Q689" s="314"/>
      <c r="R689" s="314"/>
      <c r="S689" s="718"/>
      <c r="T689" s="719"/>
      <c r="U689" s="314"/>
      <c r="V689" s="318"/>
      <c r="W689" s="314"/>
      <c r="X689" s="314"/>
      <c r="Y689" s="314"/>
      <c r="Z689" s="721"/>
      <c r="AA689" s="721"/>
      <c r="AB689" s="314"/>
      <c r="AC689" s="317"/>
      <c r="AD689" s="324"/>
      <c r="AE689" s="180"/>
      <c r="AF689" s="155"/>
      <c r="AG689" s="322"/>
      <c r="AH689" s="132"/>
      <c r="AI689" s="132"/>
    </row>
    <row r="690">
      <c r="A690" s="458"/>
      <c r="B690" s="745"/>
      <c r="C690" s="745"/>
      <c r="D690" s="751"/>
      <c r="E690" s="316"/>
      <c r="F690" s="316"/>
      <c r="G690" s="314"/>
      <c r="H690" s="318"/>
      <c r="I690" s="314"/>
      <c r="J690" s="314"/>
      <c r="K690" s="435"/>
      <c r="L690" s="435"/>
      <c r="M690" s="435"/>
      <c r="N690" s="314"/>
      <c r="O690" s="318"/>
      <c r="P690" s="435"/>
      <c r="Q690" s="435"/>
      <c r="R690" s="435"/>
      <c r="S690" s="747"/>
      <c r="T690" s="748"/>
      <c r="U690" s="435"/>
      <c r="V690" s="740"/>
      <c r="W690" s="435"/>
      <c r="X690" s="435"/>
      <c r="Y690" s="435"/>
      <c r="Z690" s="749"/>
      <c r="AA690" s="749"/>
      <c r="AB690" s="435"/>
      <c r="AC690" s="750"/>
      <c r="AD690" s="324"/>
      <c r="AE690" s="180"/>
      <c r="AF690" s="155"/>
      <c r="AG690" s="322"/>
      <c r="AH690" s="132"/>
      <c r="AI690" s="132"/>
    </row>
    <row r="691">
      <c r="A691" s="458"/>
      <c r="B691" s="312"/>
      <c r="C691" s="312"/>
      <c r="D691" s="751"/>
      <c r="E691" s="316"/>
      <c r="F691" s="316"/>
      <c r="G691" s="314"/>
      <c r="H691" s="318"/>
      <c r="I691" s="314"/>
      <c r="J691" s="314"/>
      <c r="K691" s="314"/>
      <c r="L691" s="314"/>
      <c r="M691" s="314"/>
      <c r="N691" s="314"/>
      <c r="O691" s="318"/>
      <c r="P691" s="314"/>
      <c r="Q691" s="314"/>
      <c r="R691" s="314"/>
      <c r="S691" s="718"/>
      <c r="T691" s="719"/>
      <c r="U691" s="314"/>
      <c r="V691" s="318"/>
      <c r="W691" s="314"/>
      <c r="X691" s="314"/>
      <c r="Y691" s="314"/>
      <c r="Z691" s="721"/>
      <c r="AA691" s="721"/>
      <c r="AB691" s="314"/>
      <c r="AC691" s="317"/>
      <c r="AD691" s="324"/>
      <c r="AE691" s="180"/>
      <c r="AF691" s="155"/>
      <c r="AG691" s="322"/>
      <c r="AH691" s="132"/>
      <c r="AI691" s="132"/>
    </row>
    <row r="692">
      <c r="A692" s="458"/>
      <c r="B692" s="312"/>
      <c r="C692" s="745"/>
      <c r="D692" s="717"/>
      <c r="E692" s="316"/>
      <c r="F692" s="316"/>
      <c r="G692" s="314"/>
      <c r="H692" s="318"/>
      <c r="I692" s="435"/>
      <c r="J692" s="314"/>
      <c r="K692" s="314"/>
      <c r="L692" s="435"/>
      <c r="M692" s="314"/>
      <c r="N692" s="314"/>
      <c r="O692" s="318"/>
      <c r="P692" s="314"/>
      <c r="Q692" s="435"/>
      <c r="R692" s="435"/>
      <c r="S692" s="747"/>
      <c r="T692" s="748"/>
      <c r="U692" s="435"/>
      <c r="V692" s="740"/>
      <c r="W692" s="435"/>
      <c r="X692" s="435"/>
      <c r="Y692" s="435"/>
      <c r="Z692" s="749"/>
      <c r="AA692" s="749"/>
      <c r="AB692" s="435"/>
      <c r="AC692" s="750"/>
      <c r="AD692" s="324"/>
      <c r="AE692" s="180"/>
      <c r="AF692" s="155"/>
      <c r="AG692" s="322"/>
      <c r="AH692" s="132"/>
      <c r="AI692" s="132"/>
    </row>
    <row r="693">
      <c r="A693" s="458"/>
      <c r="B693" s="312"/>
      <c r="C693" s="745"/>
      <c r="D693" s="751"/>
      <c r="E693" s="742"/>
      <c r="F693" s="316"/>
      <c r="G693" s="314"/>
      <c r="H693" s="740"/>
      <c r="I693" s="435"/>
      <c r="J693" s="314"/>
      <c r="K693" s="435"/>
      <c r="L693" s="435"/>
      <c r="M693" s="314"/>
      <c r="N693" s="314"/>
      <c r="O693" s="318"/>
      <c r="P693" s="435"/>
      <c r="Q693" s="435"/>
      <c r="R693" s="435"/>
      <c r="S693" s="747"/>
      <c r="T693" s="748"/>
      <c r="U693" s="435"/>
      <c r="V693" s="740"/>
      <c r="W693" s="435"/>
      <c r="X693" s="435"/>
      <c r="Y693" s="435"/>
      <c r="Z693" s="749"/>
      <c r="AA693" s="749"/>
      <c r="AB693" s="435"/>
      <c r="AC693" s="750"/>
      <c r="AD693" s="324"/>
      <c r="AE693" s="180"/>
      <c r="AF693" s="155"/>
      <c r="AG693" s="322"/>
      <c r="AH693" s="132"/>
      <c r="AI693" s="132"/>
    </row>
    <row r="694">
      <c r="A694" s="458"/>
      <c r="B694" s="312"/>
      <c r="C694" s="745"/>
      <c r="D694" s="751"/>
      <c r="E694" s="316"/>
      <c r="F694" s="316"/>
      <c r="G694" s="314"/>
      <c r="H694" s="318"/>
      <c r="I694" s="314"/>
      <c r="J694" s="314"/>
      <c r="K694" s="435"/>
      <c r="L694" s="314"/>
      <c r="M694" s="314"/>
      <c r="N694" s="314"/>
      <c r="O694" s="318"/>
      <c r="P694" s="314"/>
      <c r="Q694" s="314"/>
      <c r="R694" s="435"/>
      <c r="S694" s="747"/>
      <c r="T694" s="748"/>
      <c r="U694" s="435"/>
      <c r="V694" s="740"/>
      <c r="W694" s="435"/>
      <c r="X694" s="435"/>
      <c r="Y694" s="435"/>
      <c r="Z694" s="749"/>
      <c r="AA694" s="749"/>
      <c r="AB694" s="435"/>
      <c r="AC694" s="750"/>
      <c r="AD694" s="324"/>
      <c r="AE694" s="180"/>
      <c r="AF694" s="155"/>
      <c r="AG694" s="322"/>
      <c r="AH694" s="132"/>
      <c r="AI694" s="132"/>
    </row>
    <row r="695">
      <c r="A695" s="458"/>
      <c r="B695" s="745"/>
      <c r="C695" s="745"/>
      <c r="D695" s="751"/>
      <c r="E695" s="742"/>
      <c r="F695" s="316"/>
      <c r="G695" s="314"/>
      <c r="H695" s="740"/>
      <c r="I695" s="435"/>
      <c r="J695" s="435"/>
      <c r="K695" s="435"/>
      <c r="L695" s="435"/>
      <c r="M695" s="435"/>
      <c r="N695" s="435"/>
      <c r="O695" s="318"/>
      <c r="P695" s="435"/>
      <c r="Q695" s="435"/>
      <c r="R695" s="435"/>
      <c r="S695" s="747"/>
      <c r="T695" s="748"/>
      <c r="U695" s="435"/>
      <c r="V695" s="740"/>
      <c r="W695" s="435"/>
      <c r="X695" s="435"/>
      <c r="Y695" s="435"/>
      <c r="Z695" s="749"/>
      <c r="AA695" s="749"/>
      <c r="AB695" s="435"/>
      <c r="AC695" s="750"/>
      <c r="AD695" s="324"/>
      <c r="AE695" s="180"/>
      <c r="AF695" s="155"/>
      <c r="AG695" s="322"/>
      <c r="AH695" s="132"/>
      <c r="AI695" s="132"/>
    </row>
    <row r="696">
      <c r="A696" s="435"/>
      <c r="B696" s="745"/>
      <c r="C696" s="745"/>
      <c r="D696" s="751"/>
      <c r="E696" s="742"/>
      <c r="F696" s="316"/>
      <c r="G696" s="314"/>
      <c r="H696" s="740"/>
      <c r="I696" s="435"/>
      <c r="J696" s="435"/>
      <c r="K696" s="435"/>
      <c r="L696" s="435"/>
      <c r="M696" s="435"/>
      <c r="N696" s="435"/>
      <c r="O696" s="318"/>
      <c r="P696" s="435"/>
      <c r="Q696" s="435"/>
      <c r="R696" s="435"/>
      <c r="S696" s="747"/>
      <c r="T696" s="748"/>
      <c r="U696" s="435"/>
      <c r="V696" s="740"/>
      <c r="W696" s="435"/>
      <c r="X696" s="435"/>
      <c r="Y696" s="435"/>
      <c r="Z696" s="749"/>
      <c r="AA696" s="749"/>
      <c r="AB696" s="435"/>
      <c r="AC696" s="750"/>
      <c r="AD696" s="324"/>
      <c r="AE696" s="180"/>
      <c r="AF696" s="155"/>
      <c r="AG696" s="322"/>
      <c r="AH696" s="132"/>
      <c r="AI696" s="132"/>
    </row>
    <row r="697">
      <c r="A697" s="474"/>
      <c r="B697" s="745"/>
      <c r="C697" s="745"/>
      <c r="D697" s="751"/>
      <c r="E697" s="742"/>
      <c r="F697" s="316"/>
      <c r="G697" s="314"/>
      <c r="H697" s="740"/>
      <c r="I697" s="435"/>
      <c r="J697" s="435"/>
      <c r="K697" s="435"/>
      <c r="L697" s="435"/>
      <c r="M697" s="435"/>
      <c r="N697" s="435"/>
      <c r="O697" s="318"/>
      <c r="P697" s="435"/>
      <c r="Q697" s="435"/>
      <c r="R697" s="435"/>
      <c r="S697" s="747"/>
      <c r="T697" s="748"/>
      <c r="U697" s="435"/>
      <c r="V697" s="740"/>
      <c r="W697" s="435"/>
      <c r="X697" s="435"/>
      <c r="Y697" s="435"/>
      <c r="Z697" s="749"/>
      <c r="AA697" s="749"/>
      <c r="AB697" s="435"/>
      <c r="AC697" s="750"/>
      <c r="AD697" s="324"/>
      <c r="AE697" s="180"/>
      <c r="AF697" s="155"/>
      <c r="AG697" s="322"/>
      <c r="AH697" s="132"/>
      <c r="AI697" s="132"/>
    </row>
    <row r="698">
      <c r="A698" s="474"/>
      <c r="B698" s="745"/>
      <c r="C698" s="312"/>
      <c r="D698" s="751"/>
      <c r="E698" s="742"/>
      <c r="F698" s="316"/>
      <c r="G698" s="314"/>
      <c r="H698" s="740"/>
      <c r="I698" s="435"/>
      <c r="J698" s="435"/>
      <c r="K698" s="314"/>
      <c r="L698" s="314"/>
      <c r="M698" s="314"/>
      <c r="N698" s="435"/>
      <c r="O698" s="318"/>
      <c r="P698" s="314"/>
      <c r="Q698" s="435"/>
      <c r="R698" s="314"/>
      <c r="S698" s="747"/>
      <c r="T698" s="748"/>
      <c r="U698" s="435"/>
      <c r="V698" s="740"/>
      <c r="W698" s="435"/>
      <c r="X698" s="435"/>
      <c r="Y698" s="435"/>
      <c r="Z698" s="749"/>
      <c r="AA698" s="749"/>
      <c r="AB698" s="435"/>
      <c r="AC698" s="750"/>
      <c r="AD698" s="324"/>
      <c r="AE698" s="180"/>
      <c r="AF698" s="155"/>
      <c r="AG698" s="322"/>
      <c r="AH698" s="132"/>
      <c r="AI698" s="132"/>
    </row>
    <row r="699">
      <c r="A699" s="474"/>
      <c r="B699" s="312"/>
      <c r="C699" s="312"/>
      <c r="D699" s="717"/>
      <c r="E699" s="316"/>
      <c r="F699" s="316"/>
      <c r="G699" s="314"/>
      <c r="H699" s="318"/>
      <c r="I699" s="314"/>
      <c r="J699" s="314"/>
      <c r="K699" s="435"/>
      <c r="L699" s="314"/>
      <c r="M699" s="314"/>
      <c r="N699" s="314"/>
      <c r="O699" s="318"/>
      <c r="P699" s="435"/>
      <c r="Q699" s="314"/>
      <c r="R699" s="314"/>
      <c r="S699" s="718"/>
      <c r="T699" s="719"/>
      <c r="U699" s="314"/>
      <c r="V699" s="318"/>
      <c r="W699" s="314"/>
      <c r="X699" s="314"/>
      <c r="Y699" s="314"/>
      <c r="Z699" s="721"/>
      <c r="AA699" s="721"/>
      <c r="AB699" s="314"/>
      <c r="AC699" s="317"/>
      <c r="AD699" s="324"/>
      <c r="AE699" s="180"/>
      <c r="AF699" s="155"/>
      <c r="AG699" s="322"/>
      <c r="AH699" s="132"/>
      <c r="AI699" s="132"/>
    </row>
    <row r="700">
      <c r="A700" s="474"/>
      <c r="B700" s="312"/>
      <c r="C700" s="745"/>
      <c r="D700" s="751"/>
      <c r="E700" s="316"/>
      <c r="F700" s="316"/>
      <c r="G700" s="314"/>
      <c r="H700" s="318"/>
      <c r="I700" s="435"/>
      <c r="J700" s="314"/>
      <c r="K700" s="314"/>
      <c r="L700" s="314"/>
      <c r="M700" s="314"/>
      <c r="N700" s="314"/>
      <c r="O700" s="318"/>
      <c r="P700" s="314"/>
      <c r="Q700" s="314"/>
      <c r="R700" s="314"/>
      <c r="S700" s="718"/>
      <c r="T700" s="719"/>
      <c r="U700" s="314"/>
      <c r="V700" s="318"/>
      <c r="W700" s="314"/>
      <c r="X700" s="314"/>
      <c r="Y700" s="314"/>
      <c r="Z700" s="721"/>
      <c r="AA700" s="721"/>
      <c r="AB700" s="314"/>
      <c r="AC700" s="317"/>
      <c r="AD700" s="324"/>
      <c r="AE700" s="180"/>
      <c r="AF700" s="155"/>
      <c r="AG700" s="322"/>
      <c r="AH700" s="132"/>
      <c r="AI700" s="132"/>
    </row>
    <row r="701">
      <c r="A701" s="474"/>
      <c r="B701" s="312"/>
      <c r="C701" s="312"/>
      <c r="D701" s="717"/>
      <c r="E701" s="316"/>
      <c r="F701" s="316"/>
      <c r="G701" s="314"/>
      <c r="H701" s="318"/>
      <c r="I701" s="314"/>
      <c r="J701" s="314"/>
      <c r="K701" s="435"/>
      <c r="L701" s="314"/>
      <c r="M701" s="314"/>
      <c r="N701" s="314"/>
      <c r="O701" s="318"/>
      <c r="P701" s="314"/>
      <c r="Q701" s="314"/>
      <c r="R701" s="314"/>
      <c r="S701" s="718"/>
      <c r="T701" s="719"/>
      <c r="U701" s="314"/>
      <c r="V701" s="318"/>
      <c r="W701" s="314"/>
      <c r="X701" s="314"/>
      <c r="Y701" s="314"/>
      <c r="Z701" s="721"/>
      <c r="AA701" s="721"/>
      <c r="AB701" s="314"/>
      <c r="AC701" s="317"/>
      <c r="AD701" s="324"/>
      <c r="AE701" s="180"/>
      <c r="AF701" s="155"/>
      <c r="AG701" s="322"/>
      <c r="AH701" s="132"/>
      <c r="AI701" s="132"/>
    </row>
    <row r="702">
      <c r="A702" s="458"/>
      <c r="B702" s="312"/>
      <c r="C702" s="745"/>
      <c r="D702" s="717"/>
      <c r="E702" s="316"/>
      <c r="F702" s="316"/>
      <c r="G702" s="314"/>
      <c r="H702" s="318"/>
      <c r="I702" s="314"/>
      <c r="J702" s="435"/>
      <c r="K702" s="435"/>
      <c r="L702" s="314"/>
      <c r="M702" s="314"/>
      <c r="N702" s="314"/>
      <c r="O702" s="318"/>
      <c r="P702" s="314"/>
      <c r="Q702" s="314"/>
      <c r="R702" s="314"/>
      <c r="S702" s="718"/>
      <c r="T702" s="719"/>
      <c r="U702" s="314"/>
      <c r="V702" s="318"/>
      <c r="W702" s="314"/>
      <c r="X702" s="314"/>
      <c r="Y702" s="314"/>
      <c r="Z702" s="721"/>
      <c r="AA702" s="721"/>
      <c r="AB702" s="314"/>
      <c r="AC702" s="317"/>
      <c r="AD702" s="324"/>
      <c r="AE702" s="180"/>
      <c r="AF702" s="155"/>
      <c r="AG702" s="322"/>
      <c r="AH702" s="132"/>
      <c r="AI702" s="132"/>
    </row>
    <row r="703">
      <c r="A703" s="435"/>
      <c r="B703" s="312"/>
      <c r="C703" s="745"/>
      <c r="D703" s="751"/>
      <c r="E703" s="742"/>
      <c r="F703" s="316"/>
      <c r="G703" s="314"/>
      <c r="H703" s="740"/>
      <c r="I703" s="314"/>
      <c r="J703" s="314"/>
      <c r="K703" s="435"/>
      <c r="L703" s="314"/>
      <c r="M703" s="435"/>
      <c r="N703" s="435"/>
      <c r="O703" s="318"/>
      <c r="P703" s="314"/>
      <c r="Q703" s="314"/>
      <c r="R703" s="435"/>
      <c r="S703" s="718"/>
      <c r="T703" s="719"/>
      <c r="U703" s="314"/>
      <c r="V703" s="318"/>
      <c r="W703" s="314"/>
      <c r="X703" s="314"/>
      <c r="Y703" s="314"/>
      <c r="Z703" s="721"/>
      <c r="AA703" s="721"/>
      <c r="AB703" s="314"/>
      <c r="AC703" s="317"/>
      <c r="AD703" s="324"/>
      <c r="AE703" s="180"/>
      <c r="AF703" s="155"/>
      <c r="AG703" s="322"/>
      <c r="AH703" s="132"/>
      <c r="AI703" s="132"/>
    </row>
    <row r="704">
      <c r="A704" s="435"/>
      <c r="B704" s="745"/>
      <c r="C704" s="312"/>
      <c r="D704" s="717"/>
      <c r="E704" s="316"/>
      <c r="F704" s="316"/>
      <c r="G704" s="314"/>
      <c r="H704" s="318"/>
      <c r="I704" s="314"/>
      <c r="J704" s="314"/>
      <c r="K704" s="314"/>
      <c r="L704" s="314"/>
      <c r="M704" s="314"/>
      <c r="N704" s="314"/>
      <c r="O704" s="318"/>
      <c r="P704" s="435"/>
      <c r="Q704" s="314"/>
      <c r="R704" s="314"/>
      <c r="S704" s="718"/>
      <c r="T704" s="719"/>
      <c r="U704" s="314"/>
      <c r="V704" s="318"/>
      <c r="W704" s="314"/>
      <c r="X704" s="314"/>
      <c r="Y704" s="314"/>
      <c r="Z704" s="721"/>
      <c r="AA704" s="721"/>
      <c r="AB704" s="314"/>
      <c r="AC704" s="317"/>
      <c r="AD704" s="324"/>
      <c r="AE704" s="180"/>
      <c r="AF704" s="155"/>
      <c r="AG704" s="322"/>
      <c r="AH704" s="132"/>
      <c r="AI704" s="132"/>
    </row>
    <row r="705">
      <c r="A705" s="435"/>
      <c r="B705" s="745"/>
      <c r="C705" s="312"/>
      <c r="D705" s="717"/>
      <c r="E705" s="316"/>
      <c r="F705" s="316"/>
      <c r="G705" s="314"/>
      <c r="H705" s="318"/>
      <c r="I705" s="314"/>
      <c r="J705" s="314"/>
      <c r="K705" s="314"/>
      <c r="L705" s="314"/>
      <c r="M705" s="314"/>
      <c r="N705" s="314"/>
      <c r="O705" s="318"/>
      <c r="P705" s="314"/>
      <c r="Q705" s="435"/>
      <c r="R705" s="314"/>
      <c r="S705" s="747"/>
      <c r="T705" s="748"/>
      <c r="U705" s="435"/>
      <c r="V705" s="740"/>
      <c r="W705" s="435"/>
      <c r="X705" s="435"/>
      <c r="Y705" s="435"/>
      <c r="Z705" s="749"/>
      <c r="AA705" s="749"/>
      <c r="AB705" s="435"/>
      <c r="AC705" s="750"/>
      <c r="AD705" s="324"/>
      <c r="AE705" s="180"/>
      <c r="AF705" s="155"/>
      <c r="AG705" s="322"/>
      <c r="AH705" s="132"/>
      <c r="AI705" s="132"/>
    </row>
    <row r="706">
      <c r="A706" s="435"/>
      <c r="B706" s="312"/>
      <c r="C706" s="745"/>
      <c r="D706" s="717"/>
      <c r="E706" s="316"/>
      <c r="F706" s="316"/>
      <c r="G706" s="314"/>
      <c r="H706" s="318"/>
      <c r="I706" s="314"/>
      <c r="J706" s="314"/>
      <c r="K706" s="314"/>
      <c r="L706" s="314"/>
      <c r="M706" s="314"/>
      <c r="N706" s="314"/>
      <c r="O706" s="318"/>
      <c r="P706" s="314"/>
      <c r="Q706" s="314"/>
      <c r="R706" s="435"/>
      <c r="S706" s="718"/>
      <c r="T706" s="719"/>
      <c r="U706" s="314"/>
      <c r="V706" s="318"/>
      <c r="W706" s="314"/>
      <c r="X706" s="314"/>
      <c r="Y706" s="314"/>
      <c r="Z706" s="721"/>
      <c r="AA706" s="721"/>
      <c r="AB706" s="314"/>
      <c r="AC706" s="317"/>
      <c r="AD706" s="324"/>
      <c r="AE706" s="180"/>
      <c r="AF706" s="155"/>
      <c r="AG706" s="322"/>
      <c r="AH706" s="132"/>
      <c r="AI706" s="132"/>
    </row>
    <row r="707">
      <c r="A707" s="435"/>
      <c r="B707" s="312"/>
      <c r="C707" s="312"/>
      <c r="D707" s="717"/>
      <c r="E707" s="316"/>
      <c r="F707" s="316"/>
      <c r="G707" s="314"/>
      <c r="H707" s="318"/>
      <c r="I707" s="314"/>
      <c r="J707" s="314"/>
      <c r="K707" s="435"/>
      <c r="L707" s="314"/>
      <c r="M707" s="435"/>
      <c r="N707" s="314"/>
      <c r="O707" s="318"/>
      <c r="P707" s="314"/>
      <c r="Q707" s="435"/>
      <c r="R707" s="314"/>
      <c r="S707" s="718"/>
      <c r="T707" s="719"/>
      <c r="U707" s="314"/>
      <c r="V707" s="318"/>
      <c r="W707" s="314"/>
      <c r="X707" s="314"/>
      <c r="Y707" s="314"/>
      <c r="Z707" s="721"/>
      <c r="AA707" s="721"/>
      <c r="AB707" s="314"/>
      <c r="AC707" s="317"/>
      <c r="AD707" s="324"/>
      <c r="AE707" s="180"/>
      <c r="AF707" s="155"/>
      <c r="AG707" s="322"/>
      <c r="AH707" s="132"/>
      <c r="AI707" s="132"/>
    </row>
    <row r="708">
      <c r="A708" s="435"/>
      <c r="B708" s="312"/>
      <c r="C708" s="745"/>
      <c r="D708" s="751"/>
      <c r="E708" s="316"/>
      <c r="F708" s="316"/>
      <c r="G708" s="314"/>
      <c r="H708" s="318"/>
      <c r="I708" s="314"/>
      <c r="J708" s="314"/>
      <c r="K708" s="435"/>
      <c r="L708" s="314"/>
      <c r="M708" s="435"/>
      <c r="N708" s="314"/>
      <c r="O708" s="318"/>
      <c r="P708" s="314"/>
      <c r="Q708" s="435"/>
      <c r="R708" s="314"/>
      <c r="S708" s="718"/>
      <c r="T708" s="719"/>
      <c r="U708" s="314"/>
      <c r="V708" s="318"/>
      <c r="W708" s="314"/>
      <c r="X708" s="314"/>
      <c r="Y708" s="314"/>
      <c r="Z708" s="721"/>
      <c r="AA708" s="721"/>
      <c r="AB708" s="314"/>
      <c r="AC708" s="317"/>
      <c r="AD708" s="324"/>
      <c r="AE708" s="180"/>
      <c r="AF708" s="155"/>
      <c r="AG708" s="322"/>
      <c r="AH708" s="132"/>
      <c r="AI708" s="132"/>
    </row>
    <row r="709">
      <c r="A709" s="476"/>
      <c r="AF709" s="176"/>
      <c r="AG709" s="322"/>
      <c r="AH709" s="132"/>
      <c r="AI709" s="132"/>
    </row>
    <row r="710">
      <c r="A710" s="178"/>
      <c r="AG710" s="322"/>
      <c r="AH710" s="132"/>
      <c r="AI710" s="132"/>
    </row>
    <row r="711">
      <c r="A711" s="474"/>
      <c r="B711" s="745"/>
      <c r="C711" s="745"/>
      <c r="D711" s="751"/>
      <c r="E711" s="742"/>
      <c r="F711" s="316"/>
      <c r="G711" s="314"/>
      <c r="H711" s="318"/>
      <c r="I711" s="435"/>
      <c r="J711" s="435"/>
      <c r="K711" s="435"/>
      <c r="L711" s="435"/>
      <c r="M711" s="435"/>
      <c r="N711" s="435"/>
      <c r="O711" s="318"/>
      <c r="P711" s="435"/>
      <c r="Q711" s="435"/>
      <c r="R711" s="435"/>
      <c r="S711" s="747"/>
      <c r="T711" s="748"/>
      <c r="U711" s="435"/>
      <c r="V711" s="740"/>
      <c r="W711" s="435"/>
      <c r="X711" s="435"/>
      <c r="Y711" s="435"/>
      <c r="Z711" s="749"/>
      <c r="AA711" s="749"/>
      <c r="AB711" s="435"/>
      <c r="AC711" s="750"/>
      <c r="AD711" s="324"/>
      <c r="AE711" s="180"/>
      <c r="AF711" s="155"/>
      <c r="AG711" s="322"/>
      <c r="AH711" s="132"/>
      <c r="AI711" s="132"/>
    </row>
    <row r="712">
      <c r="A712" s="474"/>
      <c r="B712" s="312"/>
      <c r="C712" s="745"/>
      <c r="D712" s="751"/>
      <c r="E712" s="742"/>
      <c r="F712" s="316"/>
      <c r="G712" s="314"/>
      <c r="H712" s="740"/>
      <c r="I712" s="314"/>
      <c r="J712" s="435"/>
      <c r="K712" s="435"/>
      <c r="L712" s="435"/>
      <c r="M712" s="314"/>
      <c r="N712" s="314"/>
      <c r="O712" s="318"/>
      <c r="P712" s="435"/>
      <c r="Q712" s="435"/>
      <c r="R712" s="435"/>
      <c r="S712" s="747"/>
      <c r="T712" s="748"/>
      <c r="U712" s="435"/>
      <c r="V712" s="740"/>
      <c r="W712" s="435"/>
      <c r="X712" s="435"/>
      <c r="Y712" s="435"/>
      <c r="Z712" s="749"/>
      <c r="AA712" s="749"/>
      <c r="AB712" s="435"/>
      <c r="AC712" s="750"/>
      <c r="AD712" s="324"/>
      <c r="AE712" s="180"/>
      <c r="AF712" s="155"/>
      <c r="AG712" s="322"/>
      <c r="AH712" s="132"/>
      <c r="AI712" s="132"/>
    </row>
    <row r="713">
      <c r="A713" s="477"/>
      <c r="B713" s="745"/>
      <c r="C713" s="745"/>
      <c r="D713" s="751"/>
      <c r="E713" s="316"/>
      <c r="F713" s="316"/>
      <c r="G713" s="314"/>
      <c r="H713" s="740"/>
      <c r="I713" s="435"/>
      <c r="J713" s="435"/>
      <c r="K713" s="435"/>
      <c r="L713" s="435"/>
      <c r="M713" s="435"/>
      <c r="N713" s="435"/>
      <c r="O713" s="318"/>
      <c r="P713" s="435"/>
      <c r="Q713" s="435"/>
      <c r="R713" s="435"/>
      <c r="S713" s="747"/>
      <c r="T713" s="748"/>
      <c r="U713" s="435"/>
      <c r="V713" s="740"/>
      <c r="W713" s="435"/>
      <c r="X713" s="435"/>
      <c r="Y713" s="435"/>
      <c r="Z713" s="749"/>
      <c r="AA713" s="749"/>
      <c r="AB713" s="435"/>
      <c r="AC713" s="750"/>
      <c r="AD713" s="324"/>
      <c r="AE713" s="180"/>
      <c r="AF713" s="155"/>
      <c r="AG713" s="322"/>
      <c r="AH713" s="132"/>
      <c r="AI713" s="132"/>
    </row>
    <row r="714">
      <c r="A714" s="477"/>
      <c r="B714" s="745"/>
      <c r="C714" s="745"/>
      <c r="D714" s="751"/>
      <c r="E714" s="316"/>
      <c r="F714" s="316"/>
      <c r="G714" s="314"/>
      <c r="H714" s="740"/>
      <c r="I714" s="314"/>
      <c r="J714" s="314"/>
      <c r="K714" s="435"/>
      <c r="L714" s="435"/>
      <c r="M714" s="435"/>
      <c r="N714" s="314"/>
      <c r="O714" s="318"/>
      <c r="P714" s="435"/>
      <c r="Q714" s="435"/>
      <c r="R714" s="435"/>
      <c r="S714" s="747"/>
      <c r="T714" s="748"/>
      <c r="U714" s="435"/>
      <c r="V714" s="740"/>
      <c r="W714" s="435"/>
      <c r="X714" s="435"/>
      <c r="Y714" s="435"/>
      <c r="Z714" s="749"/>
      <c r="AA714" s="749"/>
      <c r="AB714" s="435"/>
      <c r="AC714" s="750"/>
      <c r="AD714" s="324"/>
      <c r="AE714" s="180"/>
      <c r="AF714" s="155"/>
      <c r="AG714" s="322"/>
      <c r="AH714" s="132"/>
      <c r="AI714" s="132"/>
    </row>
    <row r="715">
      <c r="A715" s="477"/>
      <c r="B715" s="745"/>
      <c r="C715" s="745"/>
      <c r="D715" s="751"/>
      <c r="E715" s="742"/>
      <c r="F715" s="316"/>
      <c r="G715" s="314"/>
      <c r="H715" s="740"/>
      <c r="I715" s="435"/>
      <c r="J715" s="435"/>
      <c r="K715" s="435"/>
      <c r="L715" s="435"/>
      <c r="M715" s="435"/>
      <c r="N715" s="435"/>
      <c r="O715" s="318"/>
      <c r="P715" s="435"/>
      <c r="Q715" s="435"/>
      <c r="R715" s="435"/>
      <c r="S715" s="747"/>
      <c r="T715" s="748"/>
      <c r="U715" s="435"/>
      <c r="V715" s="740"/>
      <c r="W715" s="435"/>
      <c r="X715" s="435"/>
      <c r="Y715" s="435"/>
      <c r="Z715" s="749"/>
      <c r="AA715" s="749"/>
      <c r="AB715" s="435"/>
      <c r="AC715" s="750"/>
      <c r="AD715" s="324"/>
      <c r="AE715" s="180"/>
      <c r="AF715" s="155"/>
      <c r="AG715" s="322"/>
      <c r="AH715" s="132"/>
      <c r="AI715" s="132"/>
    </row>
    <row r="716">
      <c r="A716" s="474"/>
      <c r="B716" s="312"/>
      <c r="C716" s="745"/>
      <c r="D716" s="717"/>
      <c r="E716" s="742"/>
      <c r="F716" s="316"/>
      <c r="G716" s="314"/>
      <c r="H716" s="740"/>
      <c r="I716" s="314"/>
      <c r="J716" s="435"/>
      <c r="K716" s="435"/>
      <c r="L716" s="314"/>
      <c r="M716" s="435"/>
      <c r="N716" s="314"/>
      <c r="O716" s="318"/>
      <c r="P716" s="435"/>
      <c r="Q716" s="435"/>
      <c r="R716" s="435"/>
      <c r="S716" s="747"/>
      <c r="T716" s="748"/>
      <c r="U716" s="435"/>
      <c r="V716" s="740"/>
      <c r="W716" s="435"/>
      <c r="X716" s="435"/>
      <c r="Y716" s="435"/>
      <c r="Z716" s="749"/>
      <c r="AA716" s="749"/>
      <c r="AB716" s="435"/>
      <c r="AC716" s="750"/>
      <c r="AD716" s="324"/>
      <c r="AE716" s="180"/>
      <c r="AF716" s="155"/>
      <c r="AG716" s="322"/>
      <c r="AH716" s="132"/>
      <c r="AI716" s="132"/>
    </row>
    <row r="717">
      <c r="A717" s="478"/>
      <c r="B717" s="745"/>
      <c r="C717" s="745"/>
      <c r="D717" s="751"/>
      <c r="E717" s="742"/>
      <c r="F717" s="316"/>
      <c r="G717" s="314"/>
      <c r="H717" s="740"/>
      <c r="I717" s="435"/>
      <c r="J717" s="435"/>
      <c r="K717" s="435"/>
      <c r="L717" s="435"/>
      <c r="M717" s="435"/>
      <c r="N717" s="435"/>
      <c r="O717" s="318"/>
      <c r="P717" s="435"/>
      <c r="Q717" s="435"/>
      <c r="R717" s="435"/>
      <c r="S717" s="747"/>
      <c r="T717" s="748"/>
      <c r="U717" s="435"/>
      <c r="V717" s="740"/>
      <c r="W717" s="435"/>
      <c r="X717" s="435"/>
      <c r="Y717" s="435"/>
      <c r="Z717" s="749"/>
      <c r="AA717" s="749"/>
      <c r="AB717" s="435"/>
      <c r="AC717" s="750"/>
      <c r="AD717" s="324"/>
      <c r="AE717" s="180"/>
      <c r="AF717" s="155"/>
      <c r="AG717" s="322"/>
      <c r="AH717" s="132"/>
      <c r="AI717" s="132"/>
    </row>
    <row r="718">
      <c r="A718" s="478"/>
      <c r="B718" s="745"/>
      <c r="C718" s="745"/>
      <c r="D718" s="751"/>
      <c r="E718" s="742"/>
      <c r="F718" s="316"/>
      <c r="G718" s="314"/>
      <c r="H718" s="740"/>
      <c r="I718" s="435"/>
      <c r="J718" s="435"/>
      <c r="K718" s="435"/>
      <c r="L718" s="435"/>
      <c r="M718" s="435"/>
      <c r="N718" s="435"/>
      <c r="O718" s="318"/>
      <c r="P718" s="435"/>
      <c r="Q718" s="435"/>
      <c r="R718" s="435"/>
      <c r="S718" s="747"/>
      <c r="T718" s="748"/>
      <c r="U718" s="435"/>
      <c r="V718" s="740"/>
      <c r="W718" s="435"/>
      <c r="X718" s="435"/>
      <c r="Y718" s="435"/>
      <c r="Z718" s="749"/>
      <c r="AA718" s="749"/>
      <c r="AB718" s="435"/>
      <c r="AC718" s="750"/>
      <c r="AD718" s="324"/>
      <c r="AE718" s="180"/>
      <c r="AF718" s="155"/>
      <c r="AG718" s="322"/>
      <c r="AH718" s="132"/>
      <c r="AI718" s="132"/>
    </row>
    <row r="719">
      <c r="A719" s="478"/>
      <c r="B719" s="745"/>
      <c r="C719" s="745"/>
      <c r="D719" s="717"/>
      <c r="E719" s="316"/>
      <c r="F719" s="316"/>
      <c r="G719" s="314"/>
      <c r="H719" s="740"/>
      <c r="I719" s="435"/>
      <c r="J719" s="314"/>
      <c r="K719" s="435"/>
      <c r="L719" s="314"/>
      <c r="M719" s="435"/>
      <c r="N719" s="314"/>
      <c r="O719" s="318"/>
      <c r="P719" s="314"/>
      <c r="Q719" s="314"/>
      <c r="R719" s="314"/>
      <c r="S719" s="747"/>
      <c r="T719" s="748"/>
      <c r="U719" s="435"/>
      <c r="V719" s="740"/>
      <c r="W719" s="435"/>
      <c r="X719" s="435"/>
      <c r="Y719" s="435"/>
      <c r="Z719" s="749"/>
      <c r="AA719" s="749"/>
      <c r="AB719" s="435"/>
      <c r="AC719" s="750"/>
      <c r="AD719" s="324"/>
      <c r="AE719" s="180"/>
      <c r="AF719" s="155"/>
      <c r="AG719" s="322"/>
      <c r="AH719" s="132"/>
      <c r="AI719" s="132"/>
    </row>
    <row r="720">
      <c r="A720" s="477"/>
      <c r="B720" s="312"/>
      <c r="C720" s="745"/>
      <c r="D720" s="751"/>
      <c r="E720" s="742"/>
      <c r="F720" s="316"/>
      <c r="G720" s="314"/>
      <c r="H720" s="740"/>
      <c r="I720" s="435"/>
      <c r="J720" s="435"/>
      <c r="K720" s="435"/>
      <c r="L720" s="435"/>
      <c r="M720" s="435"/>
      <c r="N720" s="435"/>
      <c r="O720" s="318"/>
      <c r="P720" s="435"/>
      <c r="Q720" s="435"/>
      <c r="R720" s="435"/>
      <c r="S720" s="747"/>
      <c r="T720" s="748"/>
      <c r="U720" s="435"/>
      <c r="V720" s="740"/>
      <c r="W720" s="435"/>
      <c r="X720" s="435"/>
      <c r="Y720" s="435"/>
      <c r="Z720" s="749"/>
      <c r="AA720" s="749"/>
      <c r="AB720" s="435"/>
      <c r="AC720" s="750"/>
      <c r="AD720" s="324"/>
      <c r="AE720" s="180"/>
      <c r="AF720" s="155"/>
      <c r="AG720" s="322"/>
      <c r="AH720" s="132"/>
      <c r="AI720" s="132"/>
    </row>
    <row r="721">
      <c r="A721" s="477"/>
      <c r="B721" s="312"/>
      <c r="C721" s="312"/>
      <c r="D721" s="717"/>
      <c r="E721" s="316"/>
      <c r="F721" s="316"/>
      <c r="G721" s="314"/>
      <c r="H721" s="740"/>
      <c r="I721" s="314"/>
      <c r="J721" s="314"/>
      <c r="K721" s="314"/>
      <c r="L721" s="314"/>
      <c r="M721" s="314"/>
      <c r="N721" s="435"/>
      <c r="O721" s="318"/>
      <c r="P721" s="314"/>
      <c r="Q721" s="435"/>
      <c r="R721" s="314"/>
      <c r="S721" s="718"/>
      <c r="T721" s="719"/>
      <c r="U721" s="314"/>
      <c r="V721" s="318"/>
      <c r="W721" s="314"/>
      <c r="X721" s="314"/>
      <c r="Y721" s="314"/>
      <c r="Z721" s="721"/>
      <c r="AA721" s="721"/>
      <c r="AB721" s="314"/>
      <c r="AC721" s="317"/>
      <c r="AD721" s="324"/>
      <c r="AE721" s="180"/>
      <c r="AF721" s="155"/>
      <c r="AG721" s="322"/>
      <c r="AH721" s="132"/>
      <c r="AI721" s="132"/>
    </row>
    <row r="722">
      <c r="A722" s="477"/>
      <c r="B722" s="312"/>
      <c r="C722" s="312"/>
      <c r="D722" s="717"/>
      <c r="E722" s="316"/>
      <c r="F722" s="316"/>
      <c r="G722" s="314"/>
      <c r="H722" s="318"/>
      <c r="I722" s="314"/>
      <c r="J722" s="314"/>
      <c r="K722" s="314"/>
      <c r="L722" s="314"/>
      <c r="M722" s="314"/>
      <c r="N722" s="314"/>
      <c r="O722" s="318"/>
      <c r="P722" s="314"/>
      <c r="Q722" s="314"/>
      <c r="R722" s="314"/>
      <c r="S722" s="718"/>
      <c r="T722" s="719"/>
      <c r="U722" s="314"/>
      <c r="V722" s="318"/>
      <c r="W722" s="314"/>
      <c r="X722" s="314"/>
      <c r="Y722" s="314"/>
      <c r="Z722" s="721"/>
      <c r="AA722" s="721"/>
      <c r="AB722" s="314"/>
      <c r="AC722" s="317"/>
      <c r="AD722" s="324"/>
      <c r="AE722" s="180"/>
      <c r="AF722" s="155"/>
      <c r="AG722" s="322"/>
      <c r="AH722" s="132"/>
      <c r="AI722" s="132"/>
    </row>
    <row r="723">
      <c r="A723" s="476"/>
      <c r="AF723" s="176"/>
      <c r="AG723" s="322"/>
      <c r="AH723" s="132"/>
      <c r="AI723" s="132"/>
    </row>
    <row r="724">
      <c r="A724" s="178"/>
      <c r="AG724" s="322"/>
      <c r="AH724" s="132"/>
      <c r="AI724" s="132"/>
    </row>
    <row r="725">
      <c r="A725" s="477"/>
      <c r="B725" s="745"/>
      <c r="C725" s="745"/>
      <c r="D725" s="751"/>
      <c r="E725" s="316"/>
      <c r="F725" s="316"/>
      <c r="G725" s="314"/>
      <c r="H725" s="318"/>
      <c r="I725" s="314"/>
      <c r="J725" s="314"/>
      <c r="K725" s="435"/>
      <c r="L725" s="435"/>
      <c r="M725" s="314"/>
      <c r="N725" s="314"/>
      <c r="O725" s="318"/>
      <c r="P725" s="314"/>
      <c r="Q725" s="435"/>
      <c r="R725" s="435"/>
      <c r="S725" s="747"/>
      <c r="T725" s="748"/>
      <c r="U725" s="435"/>
      <c r="V725" s="740"/>
      <c r="W725" s="435"/>
      <c r="X725" s="435"/>
      <c r="Y725" s="435"/>
      <c r="Z725" s="749"/>
      <c r="AA725" s="749"/>
      <c r="AB725" s="435"/>
      <c r="AC725" s="750"/>
      <c r="AD725" s="324"/>
      <c r="AE725" s="180"/>
      <c r="AF725" s="155"/>
      <c r="AG725" s="322"/>
      <c r="AH725" s="132"/>
      <c r="AI725" s="132"/>
    </row>
    <row r="726">
      <c r="A726" s="477"/>
      <c r="B726" s="312"/>
      <c r="C726" s="745"/>
      <c r="D726" s="751"/>
      <c r="E726" s="316"/>
      <c r="F726" s="316"/>
      <c r="G726" s="314"/>
      <c r="H726" s="318"/>
      <c r="I726" s="435"/>
      <c r="J726" s="435"/>
      <c r="K726" s="435"/>
      <c r="L726" s="314"/>
      <c r="M726" s="435"/>
      <c r="N726" s="314"/>
      <c r="O726" s="318"/>
      <c r="P726" s="314"/>
      <c r="Q726" s="435"/>
      <c r="R726" s="435"/>
      <c r="S726" s="747"/>
      <c r="T726" s="748"/>
      <c r="U726" s="435"/>
      <c r="V726" s="740"/>
      <c r="W726" s="435"/>
      <c r="X726" s="435"/>
      <c r="Y726" s="435"/>
      <c r="Z726" s="749"/>
      <c r="AA726" s="749"/>
      <c r="AB726" s="435"/>
      <c r="AC726" s="750"/>
      <c r="AD726" s="324"/>
      <c r="AE726" s="180"/>
      <c r="AF726" s="155"/>
      <c r="AG726" s="322"/>
      <c r="AH726" s="132"/>
      <c r="AI726" s="132"/>
    </row>
    <row r="727">
      <c r="A727" s="477"/>
      <c r="B727" s="312"/>
      <c r="C727" s="745"/>
      <c r="D727" s="751"/>
      <c r="E727" s="742"/>
      <c r="F727" s="316"/>
      <c r="G727" s="314"/>
      <c r="H727" s="740"/>
      <c r="I727" s="314"/>
      <c r="J727" s="314"/>
      <c r="K727" s="435"/>
      <c r="L727" s="314"/>
      <c r="M727" s="435"/>
      <c r="N727" s="435"/>
      <c r="O727" s="318"/>
      <c r="P727" s="435"/>
      <c r="Q727" s="435"/>
      <c r="R727" s="435"/>
      <c r="S727" s="747"/>
      <c r="T727" s="748"/>
      <c r="U727" s="435"/>
      <c r="V727" s="740"/>
      <c r="W727" s="435"/>
      <c r="X727" s="435"/>
      <c r="Y727" s="435"/>
      <c r="Z727" s="749"/>
      <c r="AA727" s="749"/>
      <c r="AB727" s="435"/>
      <c r="AC727" s="750"/>
      <c r="AD727" s="324"/>
      <c r="AE727" s="180"/>
      <c r="AF727" s="155"/>
      <c r="AG727" s="322"/>
      <c r="AH727" s="132"/>
      <c r="AI727" s="132"/>
    </row>
    <row r="728">
      <c r="A728" s="479"/>
      <c r="B728" s="312"/>
      <c r="C728" s="312"/>
      <c r="D728" s="717"/>
      <c r="E728" s="316"/>
      <c r="F728" s="316"/>
      <c r="G728" s="314"/>
      <c r="H728" s="318"/>
      <c r="I728" s="314"/>
      <c r="J728" s="314"/>
      <c r="K728" s="314"/>
      <c r="L728" s="314"/>
      <c r="M728" s="314"/>
      <c r="N728" s="314"/>
      <c r="O728" s="318"/>
      <c r="P728" s="314"/>
      <c r="Q728" s="435"/>
      <c r="R728" s="314"/>
      <c r="S728" s="718"/>
      <c r="T728" s="719"/>
      <c r="U728" s="314"/>
      <c r="V728" s="318"/>
      <c r="W728" s="314"/>
      <c r="X728" s="314"/>
      <c r="Y728" s="314"/>
      <c r="Z728" s="721"/>
      <c r="AA728" s="721"/>
      <c r="AB728" s="314"/>
      <c r="AC728" s="317"/>
      <c r="AD728" s="324"/>
      <c r="AE728" s="180"/>
      <c r="AF728" s="155"/>
      <c r="AG728" s="322"/>
      <c r="AH728" s="132"/>
      <c r="AI728" s="132"/>
    </row>
    <row r="729">
      <c r="A729" s="476"/>
      <c r="AF729" s="176"/>
      <c r="AG729" s="322"/>
      <c r="AH729" s="132"/>
      <c r="AI729" s="132"/>
    </row>
    <row r="730">
      <c r="A730" s="178"/>
      <c r="AG730" s="322"/>
      <c r="AH730" s="132"/>
      <c r="AI730" s="132"/>
    </row>
    <row r="731">
      <c r="A731" s="480"/>
      <c r="B731" s="312"/>
      <c r="C731" s="745"/>
      <c r="D731" s="717"/>
      <c r="E731" s="316"/>
      <c r="F731" s="316"/>
      <c r="G731" s="314"/>
      <c r="H731" s="318"/>
      <c r="I731" s="314"/>
      <c r="J731" s="435"/>
      <c r="K731" s="435"/>
      <c r="L731" s="314"/>
      <c r="M731" s="314"/>
      <c r="N731" s="314"/>
      <c r="O731" s="318"/>
      <c r="P731" s="314"/>
      <c r="Q731" s="435"/>
      <c r="R731" s="314"/>
      <c r="S731" s="718"/>
      <c r="T731" s="719"/>
      <c r="U731" s="314"/>
      <c r="V731" s="318"/>
      <c r="W731" s="314"/>
      <c r="X731" s="314"/>
      <c r="Y731" s="314"/>
      <c r="Z731" s="721"/>
      <c r="AA731" s="721"/>
      <c r="AB731" s="314"/>
      <c r="AC731" s="317"/>
      <c r="AD731" s="324"/>
      <c r="AE731" s="180"/>
      <c r="AF731" s="180"/>
      <c r="AG731" s="322"/>
      <c r="AH731" s="132"/>
      <c r="AI731" s="132"/>
    </row>
    <row r="732">
      <c r="A732" s="480"/>
      <c r="B732" s="312"/>
      <c r="C732" s="745"/>
      <c r="D732" s="717"/>
      <c r="E732" s="316"/>
      <c r="F732" s="316"/>
      <c r="G732" s="314"/>
      <c r="H732" s="740"/>
      <c r="I732" s="314"/>
      <c r="J732" s="435"/>
      <c r="K732" s="435"/>
      <c r="L732" s="314"/>
      <c r="M732" s="435"/>
      <c r="N732" s="435"/>
      <c r="O732" s="318"/>
      <c r="P732" s="435"/>
      <c r="Q732" s="435"/>
      <c r="R732" s="314"/>
      <c r="S732" s="747"/>
      <c r="T732" s="748"/>
      <c r="U732" s="435"/>
      <c r="V732" s="740"/>
      <c r="W732" s="435"/>
      <c r="X732" s="435"/>
      <c r="Y732" s="435"/>
      <c r="Z732" s="749"/>
      <c r="AA732" s="749"/>
      <c r="AB732" s="435"/>
      <c r="AC732" s="750"/>
      <c r="AD732" s="324"/>
      <c r="AE732" s="180"/>
      <c r="AF732" s="180"/>
      <c r="AG732" s="322"/>
      <c r="AH732" s="132"/>
      <c r="AI732" s="132"/>
    </row>
    <row r="733">
      <c r="A733" s="476"/>
      <c r="AF733" s="176"/>
      <c r="AG733" s="322"/>
      <c r="AH733" s="132"/>
      <c r="AI733" s="132"/>
    </row>
    <row r="734">
      <c r="A734" s="178"/>
      <c r="AG734" s="322"/>
      <c r="AH734" s="132"/>
      <c r="AI734" s="132"/>
    </row>
    <row r="735">
      <c r="A735" s="481"/>
      <c r="B735" s="312"/>
      <c r="C735" s="745"/>
      <c r="D735" s="751"/>
      <c r="E735" s="742"/>
      <c r="F735" s="316"/>
      <c r="G735" s="435"/>
      <c r="H735" s="740"/>
      <c r="I735" s="435"/>
      <c r="J735" s="314"/>
      <c r="K735" s="435"/>
      <c r="L735" s="435"/>
      <c r="M735" s="435"/>
      <c r="N735" s="314"/>
      <c r="O735" s="318"/>
      <c r="P735" s="435"/>
      <c r="Q735" s="435"/>
      <c r="R735" s="435"/>
      <c r="S735" s="747"/>
      <c r="T735" s="748"/>
      <c r="U735" s="435"/>
      <c r="V735" s="740"/>
      <c r="W735" s="435"/>
      <c r="X735" s="435"/>
      <c r="Y735" s="435"/>
      <c r="Z735" s="749"/>
      <c r="AA735" s="749"/>
      <c r="AB735" s="435"/>
      <c r="AC735" s="750"/>
      <c r="AD735" s="324"/>
      <c r="AE735" s="180"/>
      <c r="AF735" s="155"/>
      <c r="AG735" s="322"/>
      <c r="AH735" s="132"/>
      <c r="AI735" s="132"/>
    </row>
    <row r="736">
      <c r="A736" s="435"/>
      <c r="B736" s="312"/>
      <c r="C736" s="745"/>
      <c r="D736" s="751"/>
      <c r="E736" s="316"/>
      <c r="F736" s="316"/>
      <c r="G736" s="314"/>
      <c r="H736" s="740"/>
      <c r="I736" s="314"/>
      <c r="J736" s="435"/>
      <c r="K736" s="435"/>
      <c r="L736" s="314"/>
      <c r="M736" s="314"/>
      <c r="N736" s="314"/>
      <c r="O736" s="318"/>
      <c r="P736" s="435"/>
      <c r="Q736" s="435"/>
      <c r="R736" s="435"/>
      <c r="S736" s="747"/>
      <c r="T736" s="748"/>
      <c r="U736" s="435"/>
      <c r="V736" s="740"/>
      <c r="W736" s="435"/>
      <c r="X736" s="435"/>
      <c r="Y736" s="435"/>
      <c r="Z736" s="749"/>
      <c r="AA736" s="749"/>
      <c r="AB736" s="435"/>
      <c r="AC736" s="750"/>
      <c r="AD736" s="324"/>
      <c r="AE736" s="180"/>
      <c r="AF736" s="155"/>
      <c r="AG736" s="322"/>
      <c r="AH736" s="132"/>
      <c r="AI736" s="132"/>
    </row>
    <row r="737">
      <c r="A737" s="482"/>
      <c r="B737" s="312"/>
      <c r="C737" s="312"/>
      <c r="D737" s="751"/>
      <c r="E737" s="316"/>
      <c r="F737" s="316"/>
      <c r="G737" s="314"/>
      <c r="H737" s="318"/>
      <c r="I737" s="314"/>
      <c r="J737" s="314"/>
      <c r="K737" s="435"/>
      <c r="L737" s="314"/>
      <c r="M737" s="314"/>
      <c r="N737" s="314"/>
      <c r="O737" s="318"/>
      <c r="P737" s="314"/>
      <c r="Q737" s="314"/>
      <c r="R737" s="435"/>
      <c r="S737" s="718"/>
      <c r="T737" s="719"/>
      <c r="U737" s="314"/>
      <c r="V737" s="318"/>
      <c r="W737" s="314"/>
      <c r="X737" s="314"/>
      <c r="Y737" s="314"/>
      <c r="Z737" s="721"/>
      <c r="AA737" s="721"/>
      <c r="AB737" s="314"/>
      <c r="AC737" s="317"/>
      <c r="AD737" s="324"/>
      <c r="AE737" s="180"/>
      <c r="AF737" s="155"/>
      <c r="AG737" s="322"/>
      <c r="AH737" s="132"/>
      <c r="AI737" s="132"/>
    </row>
    <row r="738">
      <c r="A738" s="482"/>
      <c r="B738" s="312"/>
      <c r="C738" s="745"/>
      <c r="D738" s="751"/>
      <c r="E738" s="742"/>
      <c r="F738" s="316"/>
      <c r="G738" s="314"/>
      <c r="H738" s="740"/>
      <c r="I738" s="435"/>
      <c r="J738" s="435"/>
      <c r="K738" s="435"/>
      <c r="L738" s="435"/>
      <c r="M738" s="435"/>
      <c r="N738" s="435"/>
      <c r="O738" s="318"/>
      <c r="P738" s="435"/>
      <c r="Q738" s="435"/>
      <c r="R738" s="435"/>
      <c r="S738" s="747"/>
      <c r="T738" s="748"/>
      <c r="U738" s="435"/>
      <c r="V738" s="740"/>
      <c r="W738" s="435"/>
      <c r="X738" s="435"/>
      <c r="Y738" s="435"/>
      <c r="Z738" s="749"/>
      <c r="AA738" s="749"/>
      <c r="AB738" s="435"/>
      <c r="AC738" s="750"/>
      <c r="AD738" s="324"/>
      <c r="AE738" s="180"/>
      <c r="AF738" s="155"/>
      <c r="AG738" s="322"/>
      <c r="AH738" s="132"/>
      <c r="AI738" s="132"/>
    </row>
    <row r="739">
      <c r="A739" s="314"/>
      <c r="B739" s="312"/>
      <c r="C739" s="312"/>
      <c r="D739" s="717"/>
      <c r="E739" s="316"/>
      <c r="F739" s="316"/>
      <c r="G739" s="314"/>
      <c r="H739" s="318"/>
      <c r="I739" s="314"/>
      <c r="J739" s="314"/>
      <c r="K739" s="314"/>
      <c r="L739" s="314"/>
      <c r="M739" s="314"/>
      <c r="N739" s="314"/>
      <c r="O739" s="318"/>
      <c r="P739" s="314"/>
      <c r="Q739" s="314"/>
      <c r="R739" s="314"/>
      <c r="S739" s="718"/>
      <c r="T739" s="719"/>
      <c r="U739" s="314"/>
      <c r="V739" s="318"/>
      <c r="W739" s="314"/>
      <c r="X739" s="314"/>
      <c r="Y739" s="314"/>
      <c r="Z739" s="721"/>
      <c r="AA739" s="721"/>
      <c r="AB739" s="314"/>
      <c r="AC739" s="317"/>
      <c r="AD739" s="483"/>
      <c r="AF739" s="484"/>
      <c r="AG739" s="322"/>
      <c r="AH739" s="132"/>
      <c r="AI739" s="132"/>
    </row>
    <row r="740">
      <c r="A740" s="314"/>
      <c r="B740" s="312"/>
      <c r="C740" s="312"/>
      <c r="D740" s="717"/>
      <c r="E740" s="316"/>
      <c r="F740" s="316"/>
      <c r="G740" s="314"/>
      <c r="H740" s="318"/>
      <c r="I740" s="314"/>
      <c r="J740" s="314"/>
      <c r="K740" s="314"/>
      <c r="L740" s="314"/>
      <c r="M740" s="314"/>
      <c r="N740" s="314"/>
      <c r="O740" s="318"/>
      <c r="P740" s="314"/>
      <c r="Q740" s="314"/>
      <c r="R740" s="314"/>
      <c r="S740" s="718"/>
      <c r="T740" s="719"/>
      <c r="U740" s="314"/>
      <c r="V740" s="318"/>
      <c r="W740" s="314"/>
      <c r="X740" s="314"/>
      <c r="Y740" s="314"/>
      <c r="Z740" s="721"/>
      <c r="AA740" s="721"/>
      <c r="AB740" s="314"/>
      <c r="AC740" s="317"/>
      <c r="AD740" s="324"/>
      <c r="AE740" s="155"/>
      <c r="AF740" s="155"/>
      <c r="AG740" s="322"/>
      <c r="AH740" s="132"/>
      <c r="AI740" s="132"/>
    </row>
    <row r="741">
      <c r="A741" s="314"/>
      <c r="B741" s="312"/>
      <c r="C741" s="312"/>
      <c r="D741" s="717"/>
      <c r="E741" s="316"/>
      <c r="F741" s="316"/>
      <c r="G741" s="314"/>
      <c r="H741" s="318"/>
      <c r="I741" s="314"/>
      <c r="J741" s="314"/>
      <c r="K741" s="314"/>
      <c r="L741" s="314"/>
      <c r="M741" s="314"/>
      <c r="N741" s="314"/>
      <c r="O741" s="318"/>
      <c r="P741" s="314"/>
      <c r="Q741" s="314"/>
      <c r="R741" s="314"/>
      <c r="S741" s="718"/>
      <c r="T741" s="719"/>
      <c r="U741" s="314"/>
      <c r="V741" s="318"/>
      <c r="W741" s="314"/>
      <c r="X741" s="314"/>
      <c r="Y741" s="314"/>
      <c r="Z741" s="721"/>
      <c r="AA741" s="721"/>
      <c r="AB741" s="314"/>
      <c r="AC741" s="317"/>
      <c r="AD741" s="324"/>
      <c r="AE741" s="155"/>
      <c r="AF741" s="155"/>
      <c r="AG741" s="322"/>
      <c r="AH741" s="132"/>
      <c r="AI741" s="132"/>
    </row>
    <row r="742">
      <c r="A742" s="314"/>
      <c r="B742" s="312"/>
      <c r="C742" s="312"/>
      <c r="D742" s="717"/>
      <c r="E742" s="316"/>
      <c r="F742" s="316"/>
      <c r="G742" s="314"/>
      <c r="H742" s="318"/>
      <c r="I742" s="314"/>
      <c r="J742" s="314"/>
      <c r="K742" s="314"/>
      <c r="L742" s="314"/>
      <c r="M742" s="314"/>
      <c r="N742" s="314"/>
      <c r="O742" s="318"/>
      <c r="P742" s="314"/>
      <c r="Q742" s="314"/>
      <c r="R742" s="314"/>
      <c r="S742" s="718"/>
      <c r="T742" s="719"/>
      <c r="U742" s="314"/>
      <c r="V742" s="318"/>
      <c r="W742" s="314"/>
      <c r="X742" s="314"/>
      <c r="Y742" s="314"/>
      <c r="Z742" s="721"/>
      <c r="AA742" s="721"/>
      <c r="AB742" s="314"/>
      <c r="AC742" s="317"/>
      <c r="AD742" s="324"/>
      <c r="AE742" s="155"/>
      <c r="AF742" s="155"/>
      <c r="AG742" s="322"/>
      <c r="AH742" s="132"/>
      <c r="AI742" s="132"/>
    </row>
    <row r="743">
      <c r="A743" s="314"/>
      <c r="B743" s="312"/>
      <c r="C743" s="312"/>
      <c r="D743" s="717"/>
      <c r="E743" s="316"/>
      <c r="F743" s="316"/>
      <c r="G743" s="314"/>
      <c r="H743" s="318"/>
      <c r="I743" s="314"/>
      <c r="J743" s="314"/>
      <c r="K743" s="314"/>
      <c r="L743" s="314"/>
      <c r="M743" s="314"/>
      <c r="N743" s="314"/>
      <c r="O743" s="318"/>
      <c r="P743" s="314"/>
      <c r="Q743" s="314"/>
      <c r="R743" s="314"/>
      <c r="S743" s="718"/>
      <c r="T743" s="719"/>
      <c r="U743" s="314"/>
      <c r="V743" s="318"/>
      <c r="W743" s="314"/>
      <c r="X743" s="314"/>
      <c r="Y743" s="314"/>
      <c r="Z743" s="721"/>
      <c r="AA743" s="721"/>
      <c r="AB743" s="314"/>
      <c r="AC743" s="317"/>
      <c r="AD743" s="324"/>
      <c r="AE743" s="155"/>
      <c r="AF743" s="155"/>
      <c r="AG743" s="322"/>
      <c r="AH743" s="132"/>
      <c r="AI743" s="132"/>
    </row>
    <row r="744">
      <c r="A744" s="314"/>
      <c r="B744" s="312"/>
      <c r="C744" s="312"/>
      <c r="D744" s="717"/>
      <c r="E744" s="316"/>
      <c r="F744" s="316"/>
      <c r="G744" s="314"/>
      <c r="H744" s="318"/>
      <c r="I744" s="314"/>
      <c r="J744" s="314"/>
      <c r="K744" s="314"/>
      <c r="L744" s="314"/>
      <c r="M744" s="314"/>
      <c r="N744" s="314"/>
      <c r="O744" s="318"/>
      <c r="P744" s="314"/>
      <c r="Q744" s="314"/>
      <c r="R744" s="314"/>
      <c r="S744" s="718"/>
      <c r="T744" s="719"/>
      <c r="U744" s="314"/>
      <c r="V744" s="318"/>
      <c r="W744" s="314"/>
      <c r="X744" s="314"/>
      <c r="Y744" s="314"/>
      <c r="Z744" s="721"/>
      <c r="AA744" s="721"/>
      <c r="AB744" s="314"/>
      <c r="AC744" s="317"/>
      <c r="AD744" s="324"/>
      <c r="AE744" s="155"/>
      <c r="AF744" s="155"/>
      <c r="AG744" s="322"/>
      <c r="AH744" s="132"/>
      <c r="AI744" s="132"/>
    </row>
    <row r="745">
      <c r="A745" s="314"/>
      <c r="B745" s="312"/>
      <c r="C745" s="312"/>
      <c r="D745" s="717"/>
      <c r="E745" s="316"/>
      <c r="F745" s="316"/>
      <c r="G745" s="314"/>
      <c r="H745" s="318"/>
      <c r="I745" s="314"/>
      <c r="J745" s="314"/>
      <c r="K745" s="314"/>
      <c r="L745" s="314"/>
      <c r="M745" s="314"/>
      <c r="N745" s="314"/>
      <c r="O745" s="318"/>
      <c r="P745" s="314"/>
      <c r="Q745" s="314"/>
      <c r="R745" s="314"/>
      <c r="S745" s="718"/>
      <c r="T745" s="719"/>
      <c r="U745" s="314"/>
      <c r="V745" s="318"/>
      <c r="W745" s="314"/>
      <c r="X745" s="314"/>
      <c r="Y745" s="314"/>
      <c r="Z745" s="721"/>
      <c r="AA745" s="721"/>
      <c r="AB745" s="314"/>
      <c r="AC745" s="317"/>
      <c r="AD745" s="324"/>
      <c r="AE745" s="155"/>
      <c r="AF745" s="155"/>
      <c r="AG745" s="322"/>
      <c r="AH745" s="132"/>
      <c r="AI745" s="132"/>
    </row>
    <row r="746">
      <c r="A746" s="314"/>
      <c r="B746" s="312"/>
      <c r="C746" s="312"/>
      <c r="D746" s="717"/>
      <c r="E746" s="316"/>
      <c r="F746" s="316"/>
      <c r="G746" s="314"/>
      <c r="H746" s="318"/>
      <c r="I746" s="314"/>
      <c r="J746" s="314"/>
      <c r="K746" s="314"/>
      <c r="L746" s="314"/>
      <c r="M746" s="314"/>
      <c r="N746" s="314"/>
      <c r="O746" s="318"/>
      <c r="P746" s="314"/>
      <c r="Q746" s="314"/>
      <c r="R746" s="314"/>
      <c r="S746" s="718"/>
      <c r="T746" s="719"/>
      <c r="U746" s="314"/>
      <c r="V746" s="318"/>
      <c r="W746" s="314"/>
      <c r="X746" s="314"/>
      <c r="Y746" s="314"/>
      <c r="Z746" s="721"/>
      <c r="AA746" s="721"/>
      <c r="AB746" s="314"/>
      <c r="AC746" s="317"/>
      <c r="AD746" s="324"/>
      <c r="AE746" s="155"/>
      <c r="AF746" s="155"/>
      <c r="AG746" s="322"/>
      <c r="AH746" s="132"/>
      <c r="AI746" s="132"/>
    </row>
    <row r="747">
      <c r="A747" s="314"/>
      <c r="B747" s="312"/>
      <c r="C747" s="312"/>
      <c r="D747" s="717"/>
      <c r="E747" s="316"/>
      <c r="F747" s="316"/>
      <c r="G747" s="314"/>
      <c r="H747" s="318"/>
      <c r="I747" s="314"/>
      <c r="J747" s="314"/>
      <c r="K747" s="314"/>
      <c r="L747" s="314"/>
      <c r="M747" s="314"/>
      <c r="N747" s="314"/>
      <c r="O747" s="318"/>
      <c r="P747" s="314"/>
      <c r="Q747" s="314"/>
      <c r="R747" s="314"/>
      <c r="S747" s="718"/>
      <c r="T747" s="719"/>
      <c r="U747" s="314"/>
      <c r="V747" s="318"/>
      <c r="W747" s="314"/>
      <c r="X747" s="314"/>
      <c r="Y747" s="314"/>
      <c r="Z747" s="721"/>
      <c r="AA747" s="721"/>
      <c r="AB747" s="314"/>
      <c r="AC747" s="317"/>
      <c r="AD747" s="324"/>
      <c r="AE747" s="155"/>
      <c r="AF747" s="155"/>
      <c r="AG747" s="322"/>
      <c r="AH747" s="132"/>
      <c r="AI747" s="132"/>
    </row>
    <row r="748">
      <c r="A748" s="314"/>
      <c r="B748" s="312"/>
      <c r="C748" s="312"/>
      <c r="D748" s="717"/>
      <c r="E748" s="316"/>
      <c r="F748" s="316"/>
      <c r="G748" s="314"/>
      <c r="H748" s="318"/>
      <c r="I748" s="314"/>
      <c r="J748" s="314"/>
      <c r="K748" s="314"/>
      <c r="L748" s="314"/>
      <c r="M748" s="314"/>
      <c r="N748" s="314"/>
      <c r="O748" s="318"/>
      <c r="P748" s="314"/>
      <c r="Q748" s="314"/>
      <c r="R748" s="314"/>
      <c r="S748" s="718"/>
      <c r="T748" s="719"/>
      <c r="U748" s="314"/>
      <c r="V748" s="318"/>
      <c r="W748" s="314"/>
      <c r="X748" s="314"/>
      <c r="Y748" s="314"/>
      <c r="Z748" s="721"/>
      <c r="AA748" s="721"/>
      <c r="AB748" s="314"/>
      <c r="AC748" s="317"/>
      <c r="AD748" s="324"/>
      <c r="AE748" s="155"/>
      <c r="AF748" s="155"/>
      <c r="AG748" s="322"/>
      <c r="AH748" s="132"/>
      <c r="AI748" s="132"/>
    </row>
    <row r="749">
      <c r="A749" s="314"/>
      <c r="B749" s="312"/>
      <c r="C749" s="312"/>
      <c r="D749" s="717"/>
      <c r="E749" s="316"/>
      <c r="F749" s="316"/>
      <c r="G749" s="314"/>
      <c r="H749" s="318"/>
      <c r="I749" s="314"/>
      <c r="J749" s="314"/>
      <c r="K749" s="314"/>
      <c r="L749" s="314"/>
      <c r="M749" s="314"/>
      <c r="N749" s="314"/>
      <c r="O749" s="318"/>
      <c r="P749" s="314"/>
      <c r="Q749" s="314"/>
      <c r="R749" s="314"/>
      <c r="S749" s="718"/>
      <c r="T749" s="719"/>
      <c r="U749" s="314"/>
      <c r="V749" s="318"/>
      <c r="W749" s="314"/>
      <c r="X749" s="314"/>
      <c r="Y749" s="314"/>
      <c r="Z749" s="721"/>
      <c r="AA749" s="721"/>
      <c r="AB749" s="314"/>
      <c r="AC749" s="317"/>
      <c r="AD749" s="324"/>
      <c r="AE749" s="155"/>
      <c r="AF749" s="155"/>
      <c r="AG749" s="322"/>
      <c r="AH749" s="132"/>
      <c r="AI749" s="132"/>
    </row>
    <row r="750">
      <c r="A750" s="314"/>
      <c r="B750" s="312"/>
      <c r="C750" s="312"/>
      <c r="D750" s="717"/>
      <c r="E750" s="316"/>
      <c r="F750" s="316"/>
      <c r="G750" s="314"/>
      <c r="H750" s="318"/>
      <c r="I750" s="314"/>
      <c r="J750" s="314"/>
      <c r="K750" s="314"/>
      <c r="L750" s="314"/>
      <c r="M750" s="314"/>
      <c r="N750" s="314"/>
      <c r="O750" s="318"/>
      <c r="P750" s="314"/>
      <c r="Q750" s="314"/>
      <c r="R750" s="314"/>
      <c r="S750" s="718"/>
      <c r="T750" s="719"/>
      <c r="U750" s="314"/>
      <c r="V750" s="318"/>
      <c r="W750" s="314"/>
      <c r="X750" s="314"/>
      <c r="Y750" s="314"/>
      <c r="Z750" s="721"/>
      <c r="AA750" s="721"/>
      <c r="AB750" s="314"/>
      <c r="AC750" s="317"/>
      <c r="AD750" s="324"/>
      <c r="AE750" s="155"/>
      <c r="AF750" s="155"/>
      <c r="AG750" s="322"/>
      <c r="AH750" s="132"/>
      <c r="AI750" s="132"/>
    </row>
    <row r="751">
      <c r="A751" s="314"/>
      <c r="B751" s="312"/>
      <c r="C751" s="312"/>
      <c r="D751" s="717"/>
      <c r="E751" s="316"/>
      <c r="F751" s="316"/>
      <c r="G751" s="314"/>
      <c r="H751" s="318"/>
      <c r="I751" s="314"/>
      <c r="J751" s="314"/>
      <c r="K751" s="314"/>
      <c r="L751" s="314"/>
      <c r="M751" s="314"/>
      <c r="N751" s="314"/>
      <c r="O751" s="318"/>
      <c r="P751" s="314"/>
      <c r="Q751" s="314"/>
      <c r="R751" s="314"/>
      <c r="S751" s="718"/>
      <c r="T751" s="719"/>
      <c r="U751" s="314"/>
      <c r="V751" s="318"/>
      <c r="W751" s="314"/>
      <c r="X751" s="314"/>
      <c r="Y751" s="314"/>
      <c r="Z751" s="721"/>
      <c r="AA751" s="721"/>
      <c r="AB751" s="314"/>
      <c r="AC751" s="317"/>
      <c r="AD751" s="324"/>
      <c r="AE751" s="155"/>
      <c r="AF751" s="155"/>
      <c r="AG751" s="322"/>
      <c r="AH751" s="132"/>
      <c r="AI751" s="132"/>
    </row>
    <row r="752">
      <c r="A752" s="314"/>
      <c r="B752" s="312"/>
      <c r="C752" s="312"/>
      <c r="D752" s="717"/>
      <c r="E752" s="316"/>
      <c r="F752" s="316"/>
      <c r="G752" s="314"/>
      <c r="H752" s="318"/>
      <c r="I752" s="314"/>
      <c r="J752" s="314"/>
      <c r="K752" s="314"/>
      <c r="L752" s="314"/>
      <c r="M752" s="314"/>
      <c r="N752" s="314"/>
      <c r="O752" s="318"/>
      <c r="P752" s="314"/>
      <c r="Q752" s="314"/>
      <c r="R752" s="314"/>
      <c r="S752" s="718"/>
      <c r="T752" s="719"/>
      <c r="U752" s="314"/>
      <c r="V752" s="318"/>
      <c r="W752" s="314"/>
      <c r="X752" s="314"/>
      <c r="Y752" s="314"/>
      <c r="Z752" s="721"/>
      <c r="AA752" s="721"/>
      <c r="AB752" s="314"/>
      <c r="AC752" s="317"/>
      <c r="AD752" s="324"/>
      <c r="AE752" s="155"/>
      <c r="AF752" s="155"/>
      <c r="AG752" s="322"/>
      <c r="AH752" s="132"/>
      <c r="AI752" s="132"/>
    </row>
    <row r="753">
      <c r="A753" s="314"/>
      <c r="B753" s="312"/>
      <c r="C753" s="312"/>
      <c r="D753" s="717"/>
      <c r="E753" s="316"/>
      <c r="F753" s="316"/>
      <c r="G753" s="314"/>
      <c r="H753" s="318"/>
      <c r="I753" s="314"/>
      <c r="J753" s="314"/>
      <c r="K753" s="314"/>
      <c r="L753" s="314"/>
      <c r="M753" s="314"/>
      <c r="N753" s="314"/>
      <c r="O753" s="318"/>
      <c r="P753" s="314"/>
      <c r="Q753" s="314"/>
      <c r="R753" s="314"/>
      <c r="S753" s="718"/>
      <c r="T753" s="719"/>
      <c r="U753" s="314"/>
      <c r="V753" s="318"/>
      <c r="W753" s="314"/>
      <c r="X753" s="314"/>
      <c r="Y753" s="314"/>
      <c r="Z753" s="721"/>
      <c r="AA753" s="721"/>
      <c r="AB753" s="314"/>
      <c r="AC753" s="317"/>
      <c r="AD753" s="324"/>
      <c r="AE753" s="155"/>
      <c r="AF753" s="155"/>
      <c r="AG753" s="322"/>
      <c r="AH753" s="132"/>
      <c r="AI753" s="132"/>
    </row>
    <row r="754">
      <c r="A754" s="314"/>
      <c r="B754" s="312"/>
      <c r="C754" s="312"/>
      <c r="D754" s="717"/>
      <c r="E754" s="316"/>
      <c r="F754" s="316"/>
      <c r="G754" s="314"/>
      <c r="H754" s="318"/>
      <c r="I754" s="314"/>
      <c r="J754" s="314"/>
      <c r="K754" s="314"/>
      <c r="L754" s="314"/>
      <c r="M754" s="314"/>
      <c r="N754" s="314"/>
      <c r="O754" s="318"/>
      <c r="P754" s="314"/>
      <c r="Q754" s="314"/>
      <c r="R754" s="314"/>
      <c r="S754" s="718"/>
      <c r="T754" s="719"/>
      <c r="U754" s="314"/>
      <c r="V754" s="318"/>
      <c r="W754" s="314"/>
      <c r="X754" s="314"/>
      <c r="Y754" s="314"/>
      <c r="Z754" s="721"/>
      <c r="AA754" s="721"/>
      <c r="AB754" s="314"/>
      <c r="AC754" s="317"/>
      <c r="AD754" s="324"/>
      <c r="AE754" s="155"/>
      <c r="AF754" s="155"/>
      <c r="AG754" s="322"/>
      <c r="AH754" s="132"/>
      <c r="AI754" s="132"/>
    </row>
    <row r="755">
      <c r="A755" s="314"/>
      <c r="B755" s="312"/>
      <c r="C755" s="312"/>
      <c r="D755" s="717"/>
      <c r="E755" s="316"/>
      <c r="F755" s="316"/>
      <c r="G755" s="314"/>
      <c r="H755" s="318"/>
      <c r="I755" s="314"/>
      <c r="J755" s="314"/>
      <c r="K755" s="314"/>
      <c r="L755" s="314"/>
      <c r="M755" s="314"/>
      <c r="N755" s="314"/>
      <c r="O755" s="318"/>
      <c r="P755" s="314"/>
      <c r="Q755" s="314"/>
      <c r="R755" s="314"/>
      <c r="S755" s="718"/>
      <c r="T755" s="719"/>
      <c r="U755" s="314"/>
      <c r="V755" s="318"/>
      <c r="W755" s="314"/>
      <c r="X755" s="314"/>
      <c r="Y755" s="314"/>
      <c r="Z755" s="721"/>
      <c r="AA755" s="721"/>
      <c r="AB755" s="314"/>
      <c r="AC755" s="317"/>
      <c r="AD755" s="324"/>
      <c r="AE755" s="155"/>
      <c r="AF755" s="155"/>
      <c r="AG755" s="322"/>
      <c r="AH755" s="132"/>
      <c r="AI755" s="132"/>
    </row>
    <row r="756">
      <c r="A756" s="314"/>
      <c r="B756" s="312"/>
      <c r="C756" s="312"/>
      <c r="D756" s="717"/>
      <c r="E756" s="316"/>
      <c r="F756" s="316"/>
      <c r="G756" s="314"/>
      <c r="H756" s="318"/>
      <c r="I756" s="314"/>
      <c r="J756" s="314"/>
      <c r="K756" s="314"/>
      <c r="L756" s="314"/>
      <c r="M756" s="314"/>
      <c r="N756" s="314"/>
      <c r="O756" s="318"/>
      <c r="P756" s="314"/>
      <c r="Q756" s="314"/>
      <c r="R756" s="314"/>
      <c r="S756" s="718"/>
      <c r="T756" s="719"/>
      <c r="U756" s="314"/>
      <c r="V756" s="318"/>
      <c r="W756" s="314"/>
      <c r="X756" s="314"/>
      <c r="Y756" s="314"/>
      <c r="Z756" s="721"/>
      <c r="AA756" s="721"/>
      <c r="AB756" s="314"/>
      <c r="AC756" s="317"/>
      <c r="AD756" s="324"/>
      <c r="AE756" s="155"/>
      <c r="AF756" s="155"/>
      <c r="AG756" s="322"/>
      <c r="AH756" s="132"/>
      <c r="AI756" s="132"/>
    </row>
    <row r="757">
      <c r="A757" s="314"/>
      <c r="B757" s="312"/>
      <c r="C757" s="312"/>
      <c r="D757" s="717"/>
      <c r="E757" s="316"/>
      <c r="F757" s="316"/>
      <c r="G757" s="314"/>
      <c r="H757" s="318"/>
      <c r="I757" s="314"/>
      <c r="J757" s="314"/>
      <c r="K757" s="314"/>
      <c r="L757" s="314"/>
      <c r="M757" s="314"/>
      <c r="N757" s="314"/>
      <c r="O757" s="318"/>
      <c r="P757" s="314"/>
      <c r="Q757" s="314"/>
      <c r="R757" s="314"/>
      <c r="S757" s="718"/>
      <c r="T757" s="719"/>
      <c r="U757" s="314"/>
      <c r="V757" s="318"/>
      <c r="W757" s="314"/>
      <c r="X757" s="314"/>
      <c r="Y757" s="314"/>
      <c r="Z757" s="721"/>
      <c r="AA757" s="721"/>
      <c r="AB757" s="314"/>
      <c r="AC757" s="317"/>
      <c r="AD757" s="324"/>
      <c r="AE757" s="155"/>
      <c r="AF757" s="155"/>
      <c r="AG757" s="322"/>
      <c r="AH757" s="132"/>
      <c r="AI757" s="132"/>
    </row>
    <row r="758">
      <c r="A758" s="314"/>
      <c r="B758" s="312"/>
      <c r="C758" s="312"/>
      <c r="D758" s="717"/>
      <c r="E758" s="316"/>
      <c r="F758" s="316"/>
      <c r="G758" s="314"/>
      <c r="H758" s="318"/>
      <c r="I758" s="314"/>
      <c r="J758" s="314"/>
      <c r="K758" s="314"/>
      <c r="L758" s="314"/>
      <c r="M758" s="314"/>
      <c r="N758" s="314"/>
      <c r="O758" s="318"/>
      <c r="P758" s="314"/>
      <c r="Q758" s="314"/>
      <c r="R758" s="314"/>
      <c r="S758" s="718"/>
      <c r="T758" s="719"/>
      <c r="U758" s="314"/>
      <c r="V758" s="318"/>
      <c r="W758" s="314"/>
      <c r="X758" s="314"/>
      <c r="Y758" s="314"/>
      <c r="Z758" s="721"/>
      <c r="AA758" s="721"/>
      <c r="AB758" s="314"/>
      <c r="AC758" s="317"/>
      <c r="AD758" s="324"/>
      <c r="AE758" s="155"/>
      <c r="AF758" s="155"/>
      <c r="AG758" s="322"/>
      <c r="AH758" s="132"/>
      <c r="AI758" s="132"/>
    </row>
    <row r="759">
      <c r="A759" s="314"/>
      <c r="B759" s="312"/>
      <c r="C759" s="312"/>
      <c r="D759" s="717"/>
      <c r="E759" s="316"/>
      <c r="F759" s="316"/>
      <c r="G759" s="314"/>
      <c r="H759" s="318"/>
      <c r="I759" s="314"/>
      <c r="J759" s="314"/>
      <c r="K759" s="314"/>
      <c r="L759" s="314"/>
      <c r="M759" s="314"/>
      <c r="N759" s="314"/>
      <c r="O759" s="318"/>
      <c r="P759" s="314"/>
      <c r="Q759" s="314"/>
      <c r="R759" s="314"/>
      <c r="S759" s="718"/>
      <c r="T759" s="719"/>
      <c r="U759" s="314"/>
      <c r="V759" s="318"/>
      <c r="W759" s="314"/>
      <c r="X759" s="314"/>
      <c r="Y759" s="314"/>
      <c r="Z759" s="721"/>
      <c r="AA759" s="721"/>
      <c r="AB759" s="314"/>
      <c r="AC759" s="317"/>
      <c r="AD759" s="324"/>
      <c r="AE759" s="155"/>
      <c r="AF759" s="155"/>
      <c r="AG759" s="322"/>
      <c r="AH759" s="132"/>
      <c r="AI759" s="132"/>
    </row>
    <row r="760">
      <c r="A760" s="314"/>
      <c r="B760" s="312"/>
      <c r="C760" s="312"/>
      <c r="D760" s="717"/>
      <c r="E760" s="316"/>
      <c r="F760" s="316"/>
      <c r="G760" s="314"/>
      <c r="H760" s="318"/>
      <c r="I760" s="314"/>
      <c r="J760" s="314"/>
      <c r="K760" s="314"/>
      <c r="L760" s="314"/>
      <c r="M760" s="314"/>
      <c r="N760" s="314"/>
      <c r="O760" s="318"/>
      <c r="P760" s="314"/>
      <c r="Q760" s="314"/>
      <c r="R760" s="314"/>
      <c r="S760" s="718"/>
      <c r="T760" s="719"/>
      <c r="U760" s="314"/>
      <c r="V760" s="318"/>
      <c r="W760" s="314"/>
      <c r="X760" s="314"/>
      <c r="Y760" s="314"/>
      <c r="Z760" s="721"/>
      <c r="AA760" s="721"/>
      <c r="AB760" s="314"/>
      <c r="AC760" s="317"/>
      <c r="AD760" s="324"/>
      <c r="AE760" s="155"/>
      <c r="AF760" s="155"/>
      <c r="AG760" s="322"/>
      <c r="AH760" s="132"/>
      <c r="AI760" s="132"/>
    </row>
    <row r="761">
      <c r="A761" s="314"/>
      <c r="B761" s="312"/>
      <c r="C761" s="312"/>
      <c r="D761" s="717"/>
      <c r="E761" s="316"/>
      <c r="F761" s="316"/>
      <c r="G761" s="314"/>
      <c r="H761" s="318"/>
      <c r="I761" s="314"/>
      <c r="J761" s="314"/>
      <c r="K761" s="314"/>
      <c r="L761" s="314"/>
      <c r="M761" s="314"/>
      <c r="N761" s="314"/>
      <c r="O761" s="318"/>
      <c r="P761" s="314"/>
      <c r="Q761" s="314"/>
      <c r="R761" s="314"/>
      <c r="S761" s="718"/>
      <c r="T761" s="719"/>
      <c r="U761" s="314"/>
      <c r="V761" s="318"/>
      <c r="W761" s="314"/>
      <c r="X761" s="314"/>
      <c r="Y761" s="314"/>
      <c r="Z761" s="721"/>
      <c r="AA761" s="721"/>
      <c r="AB761" s="314"/>
      <c r="AC761" s="317"/>
      <c r="AD761" s="324"/>
      <c r="AE761" s="155"/>
      <c r="AF761" s="155"/>
      <c r="AG761" s="322"/>
      <c r="AH761" s="132"/>
      <c r="AI761" s="132"/>
    </row>
    <row r="762">
      <c r="A762" s="314"/>
      <c r="B762" s="312"/>
      <c r="C762" s="312"/>
      <c r="D762" s="717"/>
      <c r="E762" s="316"/>
      <c r="F762" s="316"/>
      <c r="G762" s="314"/>
      <c r="H762" s="318"/>
      <c r="I762" s="314"/>
      <c r="J762" s="314"/>
      <c r="K762" s="314"/>
      <c r="L762" s="314"/>
      <c r="M762" s="314"/>
      <c r="N762" s="314"/>
      <c r="O762" s="318"/>
      <c r="P762" s="314"/>
      <c r="Q762" s="314"/>
      <c r="R762" s="314"/>
      <c r="S762" s="718"/>
      <c r="T762" s="719"/>
      <c r="U762" s="314"/>
      <c r="V762" s="318"/>
      <c r="W762" s="314"/>
      <c r="X762" s="314"/>
      <c r="Y762" s="314"/>
      <c r="Z762" s="721"/>
      <c r="AA762" s="721"/>
      <c r="AB762" s="314"/>
      <c r="AC762" s="317"/>
      <c r="AD762" s="324"/>
      <c r="AE762" s="155"/>
      <c r="AF762" s="155"/>
      <c r="AG762" s="322"/>
      <c r="AH762" s="132"/>
      <c r="AI762" s="132"/>
    </row>
    <row r="763">
      <c r="A763" s="314"/>
      <c r="B763" s="312"/>
      <c r="C763" s="312"/>
      <c r="D763" s="717"/>
      <c r="E763" s="316"/>
      <c r="F763" s="316"/>
      <c r="G763" s="314"/>
      <c r="H763" s="318"/>
      <c r="I763" s="314"/>
      <c r="J763" s="314"/>
      <c r="K763" s="314"/>
      <c r="L763" s="314"/>
      <c r="M763" s="314"/>
      <c r="N763" s="314"/>
      <c r="O763" s="318"/>
      <c r="P763" s="314"/>
      <c r="Q763" s="314"/>
      <c r="R763" s="314"/>
      <c r="S763" s="718"/>
      <c r="T763" s="719"/>
      <c r="U763" s="314"/>
      <c r="V763" s="318"/>
      <c r="W763" s="314"/>
      <c r="X763" s="314"/>
      <c r="Y763" s="314"/>
      <c r="Z763" s="721"/>
      <c r="AA763" s="721"/>
      <c r="AB763" s="314"/>
      <c r="AC763" s="317"/>
      <c r="AD763" s="324"/>
      <c r="AE763" s="155"/>
      <c r="AF763" s="155"/>
      <c r="AG763" s="322"/>
      <c r="AH763" s="132"/>
      <c r="AI763" s="132"/>
    </row>
    <row r="764">
      <c r="A764" s="314"/>
      <c r="B764" s="312"/>
      <c r="C764" s="312"/>
      <c r="D764" s="717"/>
      <c r="E764" s="316"/>
      <c r="F764" s="316"/>
      <c r="G764" s="314"/>
      <c r="H764" s="318"/>
      <c r="I764" s="314"/>
      <c r="J764" s="314"/>
      <c r="K764" s="314"/>
      <c r="L764" s="314"/>
      <c r="M764" s="314"/>
      <c r="N764" s="314"/>
      <c r="O764" s="318"/>
      <c r="P764" s="314"/>
      <c r="Q764" s="314"/>
      <c r="R764" s="314"/>
      <c r="S764" s="718"/>
      <c r="T764" s="719"/>
      <c r="U764" s="314"/>
      <c r="V764" s="318"/>
      <c r="W764" s="314"/>
      <c r="X764" s="314"/>
      <c r="Y764" s="314"/>
      <c r="Z764" s="721"/>
      <c r="AA764" s="721"/>
      <c r="AB764" s="314"/>
      <c r="AC764" s="317"/>
      <c r="AD764" s="324"/>
      <c r="AE764" s="155"/>
      <c r="AF764" s="155"/>
      <c r="AG764" s="322"/>
      <c r="AH764" s="132"/>
      <c r="AI764" s="132"/>
    </row>
    <row r="765">
      <c r="A765" s="314"/>
      <c r="B765" s="312"/>
      <c r="C765" s="312"/>
      <c r="D765" s="717"/>
      <c r="E765" s="316"/>
      <c r="F765" s="316"/>
      <c r="G765" s="314"/>
      <c r="H765" s="318"/>
      <c r="I765" s="314"/>
      <c r="J765" s="314"/>
      <c r="K765" s="314"/>
      <c r="L765" s="314"/>
      <c r="M765" s="314"/>
      <c r="N765" s="314"/>
      <c r="O765" s="318"/>
      <c r="P765" s="314"/>
      <c r="Q765" s="314"/>
      <c r="R765" s="314"/>
      <c r="S765" s="718"/>
      <c r="T765" s="719"/>
      <c r="U765" s="314"/>
      <c r="V765" s="318"/>
      <c r="W765" s="314"/>
      <c r="X765" s="314"/>
      <c r="Y765" s="314"/>
      <c r="Z765" s="721"/>
      <c r="AA765" s="721"/>
      <c r="AB765" s="314"/>
      <c r="AC765" s="317"/>
      <c r="AD765" s="324"/>
      <c r="AE765" s="155"/>
      <c r="AF765" s="155"/>
      <c r="AG765" s="322"/>
      <c r="AH765" s="132"/>
      <c r="AI765" s="132"/>
    </row>
    <row r="766">
      <c r="A766" s="314"/>
      <c r="B766" s="312"/>
      <c r="C766" s="312"/>
      <c r="D766" s="717"/>
      <c r="E766" s="316"/>
      <c r="F766" s="316"/>
      <c r="G766" s="314"/>
      <c r="H766" s="318"/>
      <c r="I766" s="314"/>
      <c r="J766" s="314"/>
      <c r="K766" s="314"/>
      <c r="L766" s="314"/>
      <c r="M766" s="314"/>
      <c r="N766" s="314"/>
      <c r="O766" s="318"/>
      <c r="P766" s="314"/>
      <c r="Q766" s="314"/>
      <c r="R766" s="314"/>
      <c r="S766" s="718"/>
      <c r="T766" s="719"/>
      <c r="U766" s="314"/>
      <c r="V766" s="318"/>
      <c r="W766" s="314"/>
      <c r="X766" s="314"/>
      <c r="Y766" s="314"/>
      <c r="Z766" s="721"/>
      <c r="AA766" s="721"/>
      <c r="AB766" s="314"/>
      <c r="AC766" s="317"/>
      <c r="AD766" s="324"/>
      <c r="AE766" s="155"/>
      <c r="AF766" s="155"/>
      <c r="AG766" s="322"/>
      <c r="AH766" s="132"/>
      <c r="AI766" s="132"/>
    </row>
    <row r="767">
      <c r="A767" s="314"/>
      <c r="B767" s="312"/>
      <c r="C767" s="312"/>
      <c r="D767" s="717"/>
      <c r="E767" s="316"/>
      <c r="F767" s="316"/>
      <c r="G767" s="314"/>
      <c r="H767" s="318"/>
      <c r="I767" s="314"/>
      <c r="J767" s="314"/>
      <c r="K767" s="314"/>
      <c r="L767" s="314"/>
      <c r="M767" s="314"/>
      <c r="N767" s="314"/>
      <c r="O767" s="318"/>
      <c r="P767" s="314"/>
      <c r="Q767" s="314"/>
      <c r="R767" s="314"/>
      <c r="S767" s="718"/>
      <c r="T767" s="719"/>
      <c r="U767" s="314"/>
      <c r="V767" s="318"/>
      <c r="W767" s="314"/>
      <c r="X767" s="314"/>
      <c r="Y767" s="314"/>
      <c r="Z767" s="721"/>
      <c r="AA767" s="721"/>
      <c r="AB767" s="314"/>
      <c r="AC767" s="317"/>
      <c r="AD767" s="324"/>
      <c r="AE767" s="155"/>
      <c r="AF767" s="155"/>
      <c r="AG767" s="322"/>
      <c r="AH767" s="132"/>
      <c r="AI767" s="132"/>
    </row>
    <row r="768">
      <c r="A768" s="314"/>
      <c r="B768" s="312"/>
      <c r="C768" s="312"/>
      <c r="D768" s="717"/>
      <c r="E768" s="316"/>
      <c r="F768" s="316"/>
      <c r="G768" s="314"/>
      <c r="H768" s="318"/>
      <c r="I768" s="314"/>
      <c r="J768" s="314"/>
      <c r="K768" s="314"/>
      <c r="L768" s="314"/>
      <c r="M768" s="314"/>
      <c r="N768" s="314"/>
      <c r="O768" s="318"/>
      <c r="P768" s="314"/>
      <c r="Q768" s="314"/>
      <c r="R768" s="314"/>
      <c r="S768" s="718"/>
      <c r="T768" s="719"/>
      <c r="U768" s="314"/>
      <c r="V768" s="318"/>
      <c r="W768" s="314"/>
      <c r="X768" s="314"/>
      <c r="Y768" s="314"/>
      <c r="Z768" s="721"/>
      <c r="AA768" s="721"/>
      <c r="AB768" s="314"/>
      <c r="AC768" s="317"/>
      <c r="AD768" s="324"/>
      <c r="AE768" s="155"/>
      <c r="AF768" s="155"/>
      <c r="AG768" s="322"/>
      <c r="AH768" s="132"/>
      <c r="AI768" s="132"/>
    </row>
    <row r="769">
      <c r="A769" s="314"/>
      <c r="B769" s="312"/>
      <c r="C769" s="312"/>
      <c r="D769" s="717"/>
      <c r="E769" s="316"/>
      <c r="F769" s="316"/>
      <c r="G769" s="314"/>
      <c r="H769" s="318"/>
      <c r="I769" s="314"/>
      <c r="J769" s="314"/>
      <c r="K769" s="314"/>
      <c r="L769" s="314"/>
      <c r="M769" s="314"/>
      <c r="N769" s="314"/>
      <c r="O769" s="318"/>
      <c r="P769" s="314"/>
      <c r="Q769" s="314"/>
      <c r="R769" s="314"/>
      <c r="S769" s="718"/>
      <c r="T769" s="719"/>
      <c r="U769" s="314"/>
      <c r="V769" s="318"/>
      <c r="W769" s="314"/>
      <c r="X769" s="314"/>
      <c r="Y769" s="314"/>
      <c r="Z769" s="721"/>
      <c r="AA769" s="721"/>
      <c r="AB769" s="314"/>
      <c r="AC769" s="317"/>
      <c r="AD769" s="324"/>
      <c r="AE769" s="155"/>
      <c r="AF769" s="155"/>
      <c r="AG769" s="322"/>
      <c r="AH769" s="132"/>
      <c r="AI769" s="132"/>
    </row>
    <row r="770">
      <c r="A770" s="314"/>
      <c r="B770" s="312"/>
      <c r="C770" s="312"/>
      <c r="D770" s="717"/>
      <c r="E770" s="316"/>
      <c r="F770" s="316"/>
      <c r="G770" s="314"/>
      <c r="H770" s="318"/>
      <c r="I770" s="314"/>
      <c r="J770" s="314"/>
      <c r="K770" s="314"/>
      <c r="L770" s="314"/>
      <c r="M770" s="314"/>
      <c r="N770" s="314"/>
      <c r="O770" s="318"/>
      <c r="P770" s="314"/>
      <c r="Q770" s="314"/>
      <c r="R770" s="314"/>
      <c r="S770" s="718"/>
      <c r="T770" s="719"/>
      <c r="U770" s="314"/>
      <c r="V770" s="318"/>
      <c r="W770" s="314"/>
      <c r="X770" s="314"/>
      <c r="Y770" s="314"/>
      <c r="Z770" s="721"/>
      <c r="AA770" s="721"/>
      <c r="AB770" s="314"/>
      <c r="AC770" s="317"/>
      <c r="AD770" s="324"/>
      <c r="AE770" s="155"/>
      <c r="AF770" s="155"/>
      <c r="AG770" s="322"/>
      <c r="AH770" s="132"/>
      <c r="AI770" s="132"/>
    </row>
    <row r="771">
      <c r="A771" s="314"/>
      <c r="B771" s="312"/>
      <c r="C771" s="312"/>
      <c r="D771" s="717"/>
      <c r="E771" s="316"/>
      <c r="F771" s="316"/>
      <c r="G771" s="314"/>
      <c r="H771" s="318"/>
      <c r="I771" s="314"/>
      <c r="J771" s="314"/>
      <c r="K771" s="314"/>
      <c r="L771" s="314"/>
      <c r="M771" s="314"/>
      <c r="N771" s="314"/>
      <c r="O771" s="318"/>
      <c r="P771" s="314"/>
      <c r="Q771" s="314"/>
      <c r="R771" s="314"/>
      <c r="S771" s="718"/>
      <c r="T771" s="719"/>
      <c r="U771" s="314"/>
      <c r="V771" s="318"/>
      <c r="W771" s="314"/>
      <c r="X771" s="314"/>
      <c r="Y771" s="314"/>
      <c r="Z771" s="721"/>
      <c r="AA771" s="721"/>
      <c r="AB771" s="314"/>
      <c r="AC771" s="317"/>
      <c r="AD771" s="324"/>
      <c r="AE771" s="155"/>
      <c r="AF771" s="155"/>
      <c r="AG771" s="322"/>
      <c r="AH771" s="132"/>
      <c r="AI771" s="132"/>
    </row>
    <row r="772">
      <c r="A772" s="314"/>
      <c r="B772" s="312"/>
      <c r="C772" s="312"/>
      <c r="D772" s="717"/>
      <c r="E772" s="316"/>
      <c r="F772" s="316"/>
      <c r="G772" s="314"/>
      <c r="H772" s="318"/>
      <c r="I772" s="314"/>
      <c r="J772" s="314"/>
      <c r="K772" s="314"/>
      <c r="L772" s="314"/>
      <c r="M772" s="314"/>
      <c r="N772" s="314"/>
      <c r="O772" s="318"/>
      <c r="P772" s="314"/>
      <c r="Q772" s="314"/>
      <c r="R772" s="314"/>
      <c r="S772" s="718"/>
      <c r="T772" s="719"/>
      <c r="U772" s="314"/>
      <c r="V772" s="318"/>
      <c r="W772" s="314"/>
      <c r="X772" s="314"/>
      <c r="Y772" s="314"/>
      <c r="Z772" s="721"/>
      <c r="AA772" s="721"/>
      <c r="AB772" s="314"/>
      <c r="AC772" s="317"/>
      <c r="AD772" s="324"/>
      <c r="AE772" s="155"/>
      <c r="AF772" s="155"/>
      <c r="AG772" s="322"/>
      <c r="AH772" s="132"/>
      <c r="AI772" s="132"/>
    </row>
    <row r="773">
      <c r="A773" s="314"/>
      <c r="B773" s="312"/>
      <c r="C773" s="312"/>
      <c r="D773" s="717"/>
      <c r="E773" s="316"/>
      <c r="F773" s="316"/>
      <c r="G773" s="314"/>
      <c r="H773" s="318"/>
      <c r="I773" s="314"/>
      <c r="J773" s="314"/>
      <c r="K773" s="314"/>
      <c r="L773" s="314"/>
      <c r="M773" s="314"/>
      <c r="N773" s="314"/>
      <c r="O773" s="318"/>
      <c r="P773" s="314"/>
      <c r="Q773" s="314"/>
      <c r="R773" s="314"/>
      <c r="S773" s="718"/>
      <c r="T773" s="719"/>
      <c r="U773" s="314"/>
      <c r="V773" s="318"/>
      <c r="W773" s="314"/>
      <c r="X773" s="314"/>
      <c r="Y773" s="314"/>
      <c r="Z773" s="721"/>
      <c r="AA773" s="721"/>
      <c r="AB773" s="314"/>
      <c r="AC773" s="317"/>
      <c r="AD773" s="324"/>
      <c r="AE773" s="155"/>
      <c r="AF773" s="155"/>
      <c r="AG773" s="322"/>
      <c r="AH773" s="132"/>
      <c r="AI773" s="132"/>
    </row>
    <row r="774">
      <c r="A774" s="314"/>
      <c r="B774" s="312"/>
      <c r="C774" s="312"/>
      <c r="D774" s="717"/>
      <c r="E774" s="316"/>
      <c r="F774" s="316"/>
      <c r="G774" s="314"/>
      <c r="H774" s="318"/>
      <c r="I774" s="314"/>
      <c r="J774" s="314"/>
      <c r="K774" s="314"/>
      <c r="L774" s="314"/>
      <c r="M774" s="314"/>
      <c r="N774" s="314"/>
      <c r="O774" s="318"/>
      <c r="P774" s="314"/>
      <c r="Q774" s="314"/>
      <c r="R774" s="314"/>
      <c r="S774" s="718"/>
      <c r="T774" s="719"/>
      <c r="U774" s="314"/>
      <c r="V774" s="318"/>
      <c r="W774" s="314"/>
      <c r="X774" s="314"/>
      <c r="Y774" s="314"/>
      <c r="Z774" s="721"/>
      <c r="AA774" s="721"/>
      <c r="AB774" s="314"/>
      <c r="AC774" s="317"/>
      <c r="AD774" s="324"/>
      <c r="AE774" s="155"/>
      <c r="AF774" s="155"/>
      <c r="AG774" s="322"/>
      <c r="AH774" s="132"/>
      <c r="AI774" s="132"/>
    </row>
    <row r="775">
      <c r="A775" s="314"/>
      <c r="B775" s="312"/>
      <c r="C775" s="312"/>
      <c r="D775" s="717"/>
      <c r="E775" s="316"/>
      <c r="F775" s="316"/>
      <c r="G775" s="314"/>
      <c r="H775" s="318"/>
      <c r="I775" s="314"/>
      <c r="J775" s="314"/>
      <c r="K775" s="314"/>
      <c r="L775" s="314"/>
      <c r="M775" s="314"/>
      <c r="N775" s="314"/>
      <c r="O775" s="318"/>
      <c r="P775" s="314"/>
      <c r="Q775" s="314"/>
      <c r="R775" s="314"/>
      <c r="S775" s="718"/>
      <c r="T775" s="719"/>
      <c r="U775" s="314"/>
      <c r="V775" s="318"/>
      <c r="W775" s="314"/>
      <c r="X775" s="314"/>
      <c r="Y775" s="314"/>
      <c r="Z775" s="721"/>
      <c r="AA775" s="721"/>
      <c r="AB775" s="314"/>
      <c r="AC775" s="317"/>
      <c r="AD775" s="324"/>
      <c r="AE775" s="155"/>
      <c r="AF775" s="155"/>
      <c r="AG775" s="322"/>
      <c r="AH775" s="132"/>
      <c r="AI775" s="132"/>
    </row>
    <row r="776">
      <c r="A776" s="314"/>
      <c r="B776" s="312"/>
      <c r="C776" s="312"/>
      <c r="D776" s="717"/>
      <c r="E776" s="316"/>
      <c r="F776" s="316"/>
      <c r="G776" s="314"/>
      <c r="H776" s="318"/>
      <c r="I776" s="314"/>
      <c r="J776" s="314"/>
      <c r="K776" s="314"/>
      <c r="L776" s="314"/>
      <c r="M776" s="314"/>
      <c r="N776" s="314"/>
      <c r="O776" s="318"/>
      <c r="P776" s="314"/>
      <c r="Q776" s="314"/>
      <c r="R776" s="314"/>
      <c r="S776" s="718"/>
      <c r="T776" s="719"/>
      <c r="U776" s="314"/>
      <c r="V776" s="318"/>
      <c r="W776" s="314"/>
      <c r="X776" s="314"/>
      <c r="Y776" s="314"/>
      <c r="Z776" s="721"/>
      <c r="AA776" s="721"/>
      <c r="AB776" s="314"/>
      <c r="AC776" s="317"/>
      <c r="AD776" s="324"/>
      <c r="AE776" s="155"/>
      <c r="AF776" s="155"/>
      <c r="AG776" s="322"/>
      <c r="AH776" s="132"/>
      <c r="AI776" s="132"/>
    </row>
    <row r="777">
      <c r="A777" s="314"/>
      <c r="B777" s="312"/>
      <c r="C777" s="312"/>
      <c r="D777" s="717"/>
      <c r="E777" s="316"/>
      <c r="F777" s="316"/>
      <c r="G777" s="314"/>
      <c r="H777" s="318"/>
      <c r="I777" s="314"/>
      <c r="J777" s="314"/>
      <c r="K777" s="314"/>
      <c r="L777" s="314"/>
      <c r="M777" s="314"/>
      <c r="N777" s="314"/>
      <c r="O777" s="318"/>
      <c r="P777" s="314"/>
      <c r="Q777" s="314"/>
      <c r="R777" s="314"/>
      <c r="S777" s="718"/>
      <c r="T777" s="719"/>
      <c r="U777" s="314"/>
      <c r="V777" s="318"/>
      <c r="W777" s="314"/>
      <c r="X777" s="314"/>
      <c r="Y777" s="314"/>
      <c r="Z777" s="721"/>
      <c r="AA777" s="721"/>
      <c r="AB777" s="314"/>
      <c r="AC777" s="317"/>
      <c r="AD777" s="324"/>
      <c r="AE777" s="155"/>
      <c r="AF777" s="155"/>
      <c r="AG777" s="322"/>
      <c r="AH777" s="132"/>
      <c r="AI777" s="132"/>
    </row>
    <row r="778">
      <c r="A778" s="314"/>
      <c r="B778" s="312"/>
      <c r="C778" s="312"/>
      <c r="D778" s="717"/>
      <c r="E778" s="316"/>
      <c r="F778" s="316"/>
      <c r="G778" s="314"/>
      <c r="H778" s="318"/>
      <c r="I778" s="314"/>
      <c r="J778" s="314"/>
      <c r="K778" s="314"/>
      <c r="L778" s="314"/>
      <c r="M778" s="314"/>
      <c r="N778" s="314"/>
      <c r="O778" s="318"/>
      <c r="P778" s="314"/>
      <c r="Q778" s="314"/>
      <c r="R778" s="314"/>
      <c r="S778" s="718"/>
      <c r="T778" s="719"/>
      <c r="U778" s="314"/>
      <c r="V778" s="318"/>
      <c r="W778" s="314"/>
      <c r="X778" s="314"/>
      <c r="Y778" s="314"/>
      <c r="Z778" s="721"/>
      <c r="AA778" s="721"/>
      <c r="AB778" s="314"/>
      <c r="AC778" s="317"/>
      <c r="AD778" s="324"/>
      <c r="AE778" s="155"/>
      <c r="AF778" s="155"/>
      <c r="AG778" s="322"/>
      <c r="AH778" s="132"/>
      <c r="AI778" s="132"/>
    </row>
    <row r="779">
      <c r="A779" s="314"/>
      <c r="B779" s="312"/>
      <c r="C779" s="312"/>
      <c r="D779" s="717"/>
      <c r="E779" s="316"/>
      <c r="F779" s="316"/>
      <c r="G779" s="314"/>
      <c r="H779" s="318"/>
      <c r="I779" s="314"/>
      <c r="J779" s="314"/>
      <c r="K779" s="314"/>
      <c r="L779" s="314"/>
      <c r="M779" s="314"/>
      <c r="N779" s="314"/>
      <c r="O779" s="318"/>
      <c r="P779" s="314"/>
      <c r="Q779" s="314"/>
      <c r="R779" s="314"/>
      <c r="S779" s="718"/>
      <c r="T779" s="719"/>
      <c r="U779" s="314"/>
      <c r="V779" s="318"/>
      <c r="W779" s="314"/>
      <c r="X779" s="314"/>
      <c r="Y779" s="314"/>
      <c r="Z779" s="721"/>
      <c r="AA779" s="721"/>
      <c r="AB779" s="314"/>
      <c r="AC779" s="317"/>
      <c r="AD779" s="324"/>
      <c r="AE779" s="155"/>
      <c r="AF779" s="155"/>
      <c r="AG779" s="322"/>
      <c r="AH779" s="132"/>
      <c r="AI779" s="132"/>
    </row>
    <row r="780">
      <c r="A780" s="314"/>
      <c r="B780" s="312"/>
      <c r="C780" s="312"/>
      <c r="D780" s="717"/>
      <c r="E780" s="316"/>
      <c r="F780" s="316"/>
      <c r="G780" s="314"/>
      <c r="H780" s="318"/>
      <c r="I780" s="314"/>
      <c r="J780" s="314"/>
      <c r="K780" s="314"/>
      <c r="L780" s="314"/>
      <c r="M780" s="314"/>
      <c r="N780" s="314"/>
      <c r="O780" s="318"/>
      <c r="P780" s="314"/>
      <c r="Q780" s="314"/>
      <c r="R780" s="314"/>
      <c r="S780" s="718"/>
      <c r="T780" s="719"/>
      <c r="U780" s="314"/>
      <c r="V780" s="318"/>
      <c r="W780" s="314"/>
      <c r="X780" s="314"/>
      <c r="Y780" s="314"/>
      <c r="Z780" s="721"/>
      <c r="AA780" s="721"/>
      <c r="AB780" s="314"/>
      <c r="AC780" s="317"/>
      <c r="AD780" s="324"/>
      <c r="AE780" s="155"/>
      <c r="AF780" s="155"/>
      <c r="AG780" s="322"/>
      <c r="AH780" s="132"/>
      <c r="AI780" s="132"/>
    </row>
    <row r="781">
      <c r="A781" s="314"/>
      <c r="B781" s="312"/>
      <c r="C781" s="312"/>
      <c r="D781" s="717"/>
      <c r="E781" s="316"/>
      <c r="F781" s="316"/>
      <c r="G781" s="314"/>
      <c r="H781" s="318"/>
      <c r="I781" s="314"/>
      <c r="J781" s="314"/>
      <c r="K781" s="314"/>
      <c r="L781" s="314"/>
      <c r="M781" s="314"/>
      <c r="N781" s="314"/>
      <c r="O781" s="318"/>
      <c r="P781" s="314"/>
      <c r="Q781" s="314"/>
      <c r="R781" s="314"/>
      <c r="S781" s="718"/>
      <c r="T781" s="719"/>
      <c r="U781" s="314"/>
      <c r="V781" s="318"/>
      <c r="W781" s="314"/>
      <c r="X781" s="314"/>
      <c r="Y781" s="314"/>
      <c r="Z781" s="721"/>
      <c r="AA781" s="721"/>
      <c r="AB781" s="314"/>
      <c r="AC781" s="317"/>
      <c r="AD781" s="324"/>
      <c r="AE781" s="155"/>
      <c r="AF781" s="155"/>
      <c r="AG781" s="322"/>
      <c r="AH781" s="132"/>
      <c r="AI781" s="132"/>
    </row>
    <row r="782">
      <c r="A782" s="314"/>
      <c r="B782" s="312"/>
      <c r="C782" s="312"/>
      <c r="D782" s="717"/>
      <c r="E782" s="316"/>
      <c r="F782" s="316"/>
      <c r="G782" s="314"/>
      <c r="H782" s="318"/>
      <c r="I782" s="314"/>
      <c r="J782" s="314"/>
      <c r="K782" s="314"/>
      <c r="L782" s="314"/>
      <c r="M782" s="314"/>
      <c r="N782" s="314"/>
      <c r="O782" s="318"/>
      <c r="P782" s="314"/>
      <c r="Q782" s="314"/>
      <c r="R782" s="314"/>
      <c r="S782" s="718"/>
      <c r="T782" s="719"/>
      <c r="U782" s="314"/>
      <c r="V782" s="318"/>
      <c r="W782" s="314"/>
      <c r="X782" s="314"/>
      <c r="Y782" s="314"/>
      <c r="Z782" s="721"/>
      <c r="AA782" s="721"/>
      <c r="AB782" s="314"/>
      <c r="AC782" s="317"/>
      <c r="AD782" s="324"/>
      <c r="AE782" s="155"/>
      <c r="AF782" s="155"/>
      <c r="AG782" s="322"/>
      <c r="AH782" s="132"/>
      <c r="AI782" s="132"/>
    </row>
    <row r="783">
      <c r="A783" s="314"/>
      <c r="B783" s="312"/>
      <c r="C783" s="312"/>
      <c r="D783" s="717"/>
      <c r="E783" s="316"/>
      <c r="F783" s="316"/>
      <c r="G783" s="314"/>
      <c r="H783" s="318"/>
      <c r="I783" s="314"/>
      <c r="J783" s="314"/>
      <c r="K783" s="314"/>
      <c r="L783" s="314"/>
      <c r="M783" s="314"/>
      <c r="N783" s="314"/>
      <c r="O783" s="318"/>
      <c r="P783" s="314"/>
      <c r="Q783" s="314"/>
      <c r="R783" s="314"/>
      <c r="S783" s="718"/>
      <c r="T783" s="719"/>
      <c r="U783" s="314"/>
      <c r="V783" s="318"/>
      <c r="W783" s="314"/>
      <c r="X783" s="314"/>
      <c r="Y783" s="314"/>
      <c r="Z783" s="721"/>
      <c r="AA783" s="721"/>
      <c r="AB783" s="314"/>
      <c r="AC783" s="317"/>
      <c r="AD783" s="324"/>
      <c r="AE783" s="155"/>
      <c r="AF783" s="155"/>
      <c r="AG783" s="322"/>
      <c r="AH783" s="132"/>
      <c r="AI783" s="132"/>
    </row>
    <row r="784">
      <c r="A784" s="314"/>
      <c r="B784" s="312"/>
      <c r="C784" s="312"/>
      <c r="D784" s="717"/>
      <c r="E784" s="316"/>
      <c r="F784" s="316"/>
      <c r="G784" s="314"/>
      <c r="H784" s="318"/>
      <c r="I784" s="314"/>
      <c r="J784" s="314"/>
      <c r="K784" s="314"/>
      <c r="L784" s="314"/>
      <c r="M784" s="314"/>
      <c r="N784" s="314"/>
      <c r="O784" s="318"/>
      <c r="P784" s="314"/>
      <c r="Q784" s="314"/>
      <c r="R784" s="314"/>
      <c r="S784" s="718"/>
      <c r="T784" s="719"/>
      <c r="U784" s="314"/>
      <c r="V784" s="318"/>
      <c r="W784" s="314"/>
      <c r="X784" s="314"/>
      <c r="Y784" s="314"/>
      <c r="Z784" s="721"/>
      <c r="AA784" s="721"/>
      <c r="AB784" s="314"/>
      <c r="AC784" s="317"/>
      <c r="AD784" s="324"/>
      <c r="AE784" s="155"/>
      <c r="AF784" s="155"/>
      <c r="AG784" s="322"/>
      <c r="AH784" s="132"/>
      <c r="AI784" s="132"/>
    </row>
    <row r="785">
      <c r="A785" s="314"/>
      <c r="B785" s="312"/>
      <c r="C785" s="312"/>
      <c r="D785" s="717"/>
      <c r="E785" s="316"/>
      <c r="F785" s="316"/>
      <c r="G785" s="314"/>
      <c r="H785" s="318"/>
      <c r="I785" s="314"/>
      <c r="J785" s="314"/>
      <c r="K785" s="314"/>
      <c r="L785" s="314"/>
      <c r="M785" s="314"/>
      <c r="N785" s="314"/>
      <c r="O785" s="318"/>
      <c r="P785" s="314"/>
      <c r="Q785" s="314"/>
      <c r="R785" s="314"/>
      <c r="S785" s="718"/>
      <c r="T785" s="719"/>
      <c r="U785" s="314"/>
      <c r="V785" s="318"/>
      <c r="W785" s="314"/>
      <c r="X785" s="314"/>
      <c r="Y785" s="314"/>
      <c r="Z785" s="721"/>
      <c r="AA785" s="721"/>
      <c r="AB785" s="314"/>
      <c r="AC785" s="317"/>
      <c r="AD785" s="324"/>
      <c r="AE785" s="155"/>
      <c r="AF785" s="155"/>
      <c r="AG785" s="322"/>
      <c r="AH785" s="132"/>
      <c r="AI785" s="132"/>
    </row>
    <row r="786">
      <c r="A786" s="314"/>
      <c r="B786" s="312"/>
      <c r="C786" s="312"/>
      <c r="D786" s="717"/>
      <c r="E786" s="316"/>
      <c r="F786" s="316"/>
      <c r="G786" s="314"/>
      <c r="H786" s="318"/>
      <c r="I786" s="314"/>
      <c r="J786" s="314"/>
      <c r="K786" s="314"/>
      <c r="L786" s="314"/>
      <c r="M786" s="314"/>
      <c r="N786" s="314"/>
      <c r="O786" s="318"/>
      <c r="P786" s="314"/>
      <c r="Q786" s="314"/>
      <c r="R786" s="314"/>
      <c r="S786" s="718"/>
      <c r="T786" s="719"/>
      <c r="U786" s="314"/>
      <c r="V786" s="318"/>
      <c r="W786" s="314"/>
      <c r="X786" s="314"/>
      <c r="Y786" s="314"/>
      <c r="Z786" s="721"/>
      <c r="AA786" s="721"/>
      <c r="AB786" s="314"/>
      <c r="AC786" s="317"/>
      <c r="AD786" s="324"/>
      <c r="AE786" s="155"/>
      <c r="AF786" s="155"/>
      <c r="AG786" s="322"/>
      <c r="AH786" s="132"/>
      <c r="AI786" s="132"/>
    </row>
    <row r="787">
      <c r="A787" s="314"/>
      <c r="B787" s="312"/>
      <c r="C787" s="312"/>
      <c r="D787" s="717"/>
      <c r="E787" s="316"/>
      <c r="F787" s="316"/>
      <c r="G787" s="314"/>
      <c r="H787" s="318"/>
      <c r="I787" s="314"/>
      <c r="J787" s="314"/>
      <c r="K787" s="314"/>
      <c r="L787" s="314"/>
      <c r="M787" s="314"/>
      <c r="N787" s="314"/>
      <c r="O787" s="318"/>
      <c r="P787" s="314"/>
      <c r="Q787" s="314"/>
      <c r="R787" s="314"/>
      <c r="S787" s="718"/>
      <c r="T787" s="719"/>
      <c r="U787" s="314"/>
      <c r="V787" s="318"/>
      <c r="W787" s="314"/>
      <c r="X787" s="314"/>
      <c r="Y787" s="314"/>
      <c r="Z787" s="721"/>
      <c r="AA787" s="721"/>
      <c r="AB787" s="314"/>
      <c r="AC787" s="317"/>
      <c r="AD787" s="324"/>
      <c r="AE787" s="155"/>
      <c r="AF787" s="155"/>
      <c r="AG787" s="322"/>
      <c r="AH787" s="132"/>
      <c r="AI787" s="132"/>
    </row>
    <row r="788">
      <c r="A788" s="314"/>
      <c r="B788" s="312"/>
      <c r="C788" s="312"/>
      <c r="D788" s="717"/>
      <c r="E788" s="316"/>
      <c r="F788" s="316"/>
      <c r="G788" s="314"/>
      <c r="H788" s="318"/>
      <c r="I788" s="314"/>
      <c r="J788" s="314"/>
      <c r="K788" s="314"/>
      <c r="L788" s="314"/>
      <c r="M788" s="314"/>
      <c r="N788" s="314"/>
      <c r="O788" s="318"/>
      <c r="P788" s="314"/>
      <c r="Q788" s="314"/>
      <c r="R788" s="314"/>
      <c r="S788" s="718"/>
      <c r="T788" s="719"/>
      <c r="U788" s="314"/>
      <c r="V788" s="318"/>
      <c r="W788" s="314"/>
      <c r="X788" s="314"/>
      <c r="Y788" s="314"/>
      <c r="Z788" s="721"/>
      <c r="AA788" s="721"/>
      <c r="AB788" s="314"/>
      <c r="AC788" s="317"/>
      <c r="AD788" s="324"/>
      <c r="AE788" s="155"/>
      <c r="AF788" s="155"/>
      <c r="AG788" s="322"/>
      <c r="AH788" s="132"/>
      <c r="AI788" s="132"/>
    </row>
    <row r="789">
      <c r="A789" s="314"/>
      <c r="B789" s="312"/>
      <c r="C789" s="312"/>
      <c r="D789" s="717"/>
      <c r="E789" s="316"/>
      <c r="F789" s="316"/>
      <c r="G789" s="314"/>
      <c r="H789" s="318"/>
      <c r="I789" s="314"/>
      <c r="J789" s="314"/>
      <c r="K789" s="314"/>
      <c r="L789" s="314"/>
      <c r="M789" s="314"/>
      <c r="N789" s="314"/>
      <c r="O789" s="318"/>
      <c r="P789" s="314"/>
      <c r="Q789" s="314"/>
      <c r="R789" s="314"/>
      <c r="S789" s="718"/>
      <c r="T789" s="719"/>
      <c r="U789" s="314"/>
      <c r="V789" s="318"/>
      <c r="W789" s="314"/>
      <c r="X789" s="314"/>
      <c r="Y789" s="314"/>
      <c r="Z789" s="721"/>
      <c r="AA789" s="721"/>
      <c r="AB789" s="314"/>
      <c r="AC789" s="317"/>
      <c r="AD789" s="324"/>
      <c r="AE789" s="155"/>
      <c r="AF789" s="155"/>
      <c r="AG789" s="322"/>
      <c r="AH789" s="132"/>
      <c r="AI789" s="132"/>
    </row>
    <row r="790">
      <c r="A790" s="314"/>
      <c r="B790" s="312"/>
      <c r="C790" s="312"/>
      <c r="D790" s="717"/>
      <c r="E790" s="316"/>
      <c r="F790" s="316"/>
      <c r="G790" s="314"/>
      <c r="H790" s="318"/>
      <c r="I790" s="314"/>
      <c r="J790" s="314"/>
      <c r="K790" s="314"/>
      <c r="L790" s="314"/>
      <c r="M790" s="314"/>
      <c r="N790" s="314"/>
      <c r="O790" s="318"/>
      <c r="P790" s="314"/>
      <c r="Q790" s="314"/>
      <c r="R790" s="314"/>
      <c r="S790" s="718"/>
      <c r="T790" s="719"/>
      <c r="U790" s="314"/>
      <c r="V790" s="318"/>
      <c r="W790" s="314"/>
      <c r="X790" s="314"/>
      <c r="Y790" s="314"/>
      <c r="Z790" s="721"/>
      <c r="AA790" s="721"/>
      <c r="AB790" s="314"/>
      <c r="AC790" s="317"/>
      <c r="AD790" s="324"/>
      <c r="AE790" s="155"/>
      <c r="AF790" s="155"/>
      <c r="AG790" s="322"/>
      <c r="AH790" s="132"/>
      <c r="AI790" s="132"/>
    </row>
    <row r="791">
      <c r="A791" s="314"/>
      <c r="B791" s="312"/>
      <c r="C791" s="312"/>
      <c r="D791" s="717"/>
      <c r="E791" s="316"/>
      <c r="F791" s="316"/>
      <c r="G791" s="314"/>
      <c r="H791" s="318"/>
      <c r="I791" s="314"/>
      <c r="J791" s="314"/>
      <c r="K791" s="314"/>
      <c r="L791" s="314"/>
      <c r="M791" s="314"/>
      <c r="N791" s="314"/>
      <c r="O791" s="318"/>
      <c r="P791" s="314"/>
      <c r="Q791" s="314"/>
      <c r="R791" s="314"/>
      <c r="S791" s="718"/>
      <c r="T791" s="719"/>
      <c r="U791" s="314"/>
      <c r="V791" s="318"/>
      <c r="W791" s="314"/>
      <c r="X791" s="314"/>
      <c r="Y791" s="314"/>
      <c r="Z791" s="721"/>
      <c r="AA791" s="721"/>
      <c r="AB791" s="314"/>
      <c r="AC791" s="317"/>
      <c r="AD791" s="324"/>
      <c r="AE791" s="155"/>
      <c r="AF791" s="155"/>
      <c r="AG791" s="322"/>
      <c r="AH791" s="132"/>
      <c r="AI791" s="132"/>
    </row>
    <row r="792">
      <c r="A792" s="314"/>
      <c r="B792" s="312"/>
      <c r="C792" s="312"/>
      <c r="D792" s="717"/>
      <c r="E792" s="316"/>
      <c r="F792" s="316"/>
      <c r="G792" s="314"/>
      <c r="H792" s="318"/>
      <c r="I792" s="314"/>
      <c r="J792" s="314"/>
      <c r="K792" s="314"/>
      <c r="L792" s="314"/>
      <c r="M792" s="314"/>
      <c r="N792" s="314"/>
      <c r="O792" s="318"/>
      <c r="P792" s="314"/>
      <c r="Q792" s="314"/>
      <c r="R792" s="314"/>
      <c r="S792" s="718"/>
      <c r="T792" s="719"/>
      <c r="U792" s="314"/>
      <c r="V792" s="318"/>
      <c r="W792" s="314"/>
      <c r="X792" s="314"/>
      <c r="Y792" s="314"/>
      <c r="Z792" s="721"/>
      <c r="AA792" s="721"/>
      <c r="AB792" s="314"/>
      <c r="AC792" s="317"/>
      <c r="AD792" s="324"/>
      <c r="AE792" s="155"/>
      <c r="AF792" s="155"/>
      <c r="AG792" s="322"/>
      <c r="AH792" s="132"/>
      <c r="AI792" s="132"/>
    </row>
    <row r="793">
      <c r="A793" s="314"/>
      <c r="B793" s="312"/>
      <c r="C793" s="312"/>
      <c r="D793" s="717"/>
      <c r="E793" s="316"/>
      <c r="F793" s="316"/>
      <c r="G793" s="314"/>
      <c r="H793" s="318"/>
      <c r="I793" s="314"/>
      <c r="J793" s="314"/>
      <c r="K793" s="314"/>
      <c r="L793" s="314"/>
      <c r="M793" s="314"/>
      <c r="N793" s="314"/>
      <c r="O793" s="318"/>
      <c r="P793" s="314"/>
      <c r="Q793" s="314"/>
      <c r="R793" s="314"/>
      <c r="S793" s="718"/>
      <c r="T793" s="719"/>
      <c r="U793" s="314"/>
      <c r="V793" s="318"/>
      <c r="W793" s="314"/>
      <c r="X793" s="314"/>
      <c r="Y793" s="314"/>
      <c r="Z793" s="721"/>
      <c r="AA793" s="721"/>
      <c r="AB793" s="314"/>
      <c r="AC793" s="317"/>
      <c r="AD793" s="324"/>
      <c r="AE793" s="155"/>
      <c r="AF793" s="155"/>
      <c r="AG793" s="322"/>
      <c r="AH793" s="132"/>
      <c r="AI793" s="132"/>
    </row>
    <row r="794">
      <c r="A794" s="314"/>
      <c r="B794" s="312"/>
      <c r="C794" s="312"/>
      <c r="D794" s="717"/>
      <c r="E794" s="316"/>
      <c r="F794" s="316"/>
      <c r="G794" s="314"/>
      <c r="H794" s="318"/>
      <c r="I794" s="314"/>
      <c r="J794" s="314"/>
      <c r="K794" s="314"/>
      <c r="L794" s="314"/>
      <c r="M794" s="314"/>
      <c r="N794" s="314"/>
      <c r="O794" s="318"/>
      <c r="P794" s="314"/>
      <c r="Q794" s="314"/>
      <c r="R794" s="314"/>
      <c r="S794" s="718"/>
      <c r="T794" s="719"/>
      <c r="U794" s="314"/>
      <c r="V794" s="318"/>
      <c r="W794" s="314"/>
      <c r="X794" s="314"/>
      <c r="Y794" s="314"/>
      <c r="Z794" s="721"/>
      <c r="AA794" s="721"/>
      <c r="AB794" s="314"/>
      <c r="AC794" s="317"/>
      <c r="AD794" s="324"/>
      <c r="AE794" s="155"/>
      <c r="AF794" s="155"/>
      <c r="AG794" s="322"/>
      <c r="AH794" s="132"/>
      <c r="AI794" s="132"/>
    </row>
    <row r="795">
      <c r="A795" s="314"/>
      <c r="B795" s="312"/>
      <c r="C795" s="312"/>
      <c r="D795" s="717"/>
      <c r="E795" s="316"/>
      <c r="F795" s="316"/>
      <c r="G795" s="314"/>
      <c r="H795" s="318"/>
      <c r="I795" s="314"/>
      <c r="J795" s="314"/>
      <c r="K795" s="314"/>
      <c r="L795" s="314"/>
      <c r="M795" s="314"/>
      <c r="N795" s="314"/>
      <c r="O795" s="318"/>
      <c r="P795" s="314"/>
      <c r="Q795" s="314"/>
      <c r="R795" s="314"/>
      <c r="S795" s="718"/>
      <c r="T795" s="719"/>
      <c r="U795" s="314"/>
      <c r="V795" s="318"/>
      <c r="W795" s="314"/>
      <c r="X795" s="314"/>
      <c r="Y795" s="314"/>
      <c r="Z795" s="721"/>
      <c r="AA795" s="721"/>
      <c r="AB795" s="314"/>
      <c r="AC795" s="317"/>
      <c r="AD795" s="324"/>
      <c r="AE795" s="155"/>
      <c r="AF795" s="155"/>
      <c r="AG795" s="322"/>
      <c r="AH795" s="132"/>
      <c r="AI795" s="132"/>
    </row>
    <row r="796">
      <c r="A796" s="314"/>
      <c r="B796" s="312"/>
      <c r="C796" s="312"/>
      <c r="D796" s="717"/>
      <c r="E796" s="316"/>
      <c r="F796" s="316"/>
      <c r="G796" s="314"/>
      <c r="H796" s="318"/>
      <c r="I796" s="314"/>
      <c r="J796" s="314"/>
      <c r="K796" s="314"/>
      <c r="L796" s="314"/>
      <c r="M796" s="314"/>
      <c r="N796" s="314"/>
      <c r="O796" s="318"/>
      <c r="P796" s="314"/>
      <c r="Q796" s="314"/>
      <c r="R796" s="314"/>
      <c r="S796" s="718"/>
      <c r="T796" s="719"/>
      <c r="U796" s="314"/>
      <c r="V796" s="318"/>
      <c r="W796" s="314"/>
      <c r="X796" s="314"/>
      <c r="Y796" s="314"/>
      <c r="Z796" s="721"/>
      <c r="AA796" s="721"/>
      <c r="AB796" s="314"/>
      <c r="AC796" s="317"/>
      <c r="AD796" s="324"/>
      <c r="AE796" s="155"/>
      <c r="AF796" s="155"/>
      <c r="AG796" s="322"/>
      <c r="AH796" s="132"/>
      <c r="AI796" s="132"/>
    </row>
    <row r="797">
      <c r="A797" s="314"/>
      <c r="B797" s="312"/>
      <c r="C797" s="312"/>
      <c r="D797" s="717"/>
      <c r="E797" s="316"/>
      <c r="F797" s="316"/>
      <c r="G797" s="314"/>
      <c r="H797" s="318"/>
      <c r="I797" s="314"/>
      <c r="J797" s="314"/>
      <c r="K797" s="314"/>
      <c r="L797" s="314"/>
      <c r="M797" s="314"/>
      <c r="N797" s="314"/>
      <c r="O797" s="318"/>
      <c r="P797" s="314"/>
      <c r="Q797" s="314"/>
      <c r="R797" s="314"/>
      <c r="S797" s="718"/>
      <c r="T797" s="719"/>
      <c r="U797" s="314"/>
      <c r="V797" s="318"/>
      <c r="W797" s="314"/>
      <c r="X797" s="314"/>
      <c r="Y797" s="314"/>
      <c r="Z797" s="721"/>
      <c r="AA797" s="721"/>
      <c r="AB797" s="314"/>
      <c r="AC797" s="317"/>
      <c r="AD797" s="324"/>
      <c r="AE797" s="155"/>
      <c r="AF797" s="155"/>
      <c r="AG797" s="322"/>
      <c r="AH797" s="132"/>
      <c r="AI797" s="132"/>
    </row>
    <row r="798">
      <c r="A798" s="314"/>
      <c r="B798" s="312"/>
      <c r="C798" s="312"/>
      <c r="D798" s="717"/>
      <c r="E798" s="316"/>
      <c r="F798" s="316"/>
      <c r="G798" s="314"/>
      <c r="H798" s="318"/>
      <c r="I798" s="314"/>
      <c r="J798" s="314"/>
      <c r="K798" s="314"/>
      <c r="L798" s="314"/>
      <c r="M798" s="314"/>
      <c r="N798" s="314"/>
      <c r="O798" s="318"/>
      <c r="P798" s="314"/>
      <c r="Q798" s="314"/>
      <c r="R798" s="314"/>
      <c r="S798" s="718"/>
      <c r="T798" s="719"/>
      <c r="U798" s="314"/>
      <c r="V798" s="318"/>
      <c r="W798" s="314"/>
      <c r="X798" s="314"/>
      <c r="Y798" s="314"/>
      <c r="Z798" s="721"/>
      <c r="AA798" s="721"/>
      <c r="AB798" s="314"/>
      <c r="AC798" s="317"/>
      <c r="AD798" s="324"/>
      <c r="AE798" s="155"/>
      <c r="AF798" s="155"/>
      <c r="AG798" s="322"/>
      <c r="AH798" s="132"/>
      <c r="AI798" s="132"/>
    </row>
    <row r="799">
      <c r="A799" s="314"/>
      <c r="B799" s="312"/>
      <c r="C799" s="312"/>
      <c r="D799" s="717"/>
      <c r="E799" s="316"/>
      <c r="F799" s="316"/>
      <c r="G799" s="314"/>
      <c r="H799" s="318"/>
      <c r="I799" s="314"/>
      <c r="J799" s="314"/>
      <c r="K799" s="314"/>
      <c r="L799" s="314"/>
      <c r="M799" s="314"/>
      <c r="N799" s="314"/>
      <c r="O799" s="318"/>
      <c r="P799" s="314"/>
      <c r="Q799" s="314"/>
      <c r="R799" s="314"/>
      <c r="S799" s="718"/>
      <c r="T799" s="719"/>
      <c r="U799" s="314"/>
      <c r="V799" s="318"/>
      <c r="W799" s="314"/>
      <c r="X799" s="314"/>
      <c r="Y799" s="314"/>
      <c r="Z799" s="721"/>
      <c r="AA799" s="721"/>
      <c r="AB799" s="314"/>
      <c r="AC799" s="317"/>
      <c r="AD799" s="324"/>
      <c r="AE799" s="155"/>
      <c r="AF799" s="155"/>
      <c r="AG799" s="322"/>
      <c r="AH799" s="132"/>
      <c r="AI799" s="132"/>
    </row>
    <row r="800">
      <c r="A800" s="314"/>
      <c r="B800" s="312"/>
      <c r="C800" s="312"/>
      <c r="D800" s="717"/>
      <c r="E800" s="316"/>
      <c r="F800" s="316"/>
      <c r="G800" s="314"/>
      <c r="H800" s="318"/>
      <c r="I800" s="314"/>
      <c r="J800" s="314"/>
      <c r="K800" s="314"/>
      <c r="L800" s="314"/>
      <c r="M800" s="314"/>
      <c r="N800" s="314"/>
      <c r="O800" s="318"/>
      <c r="P800" s="314"/>
      <c r="Q800" s="314"/>
      <c r="R800" s="314"/>
      <c r="S800" s="718"/>
      <c r="T800" s="719"/>
      <c r="U800" s="314"/>
      <c r="V800" s="318"/>
      <c r="W800" s="314"/>
      <c r="X800" s="314"/>
      <c r="Y800" s="314"/>
      <c r="Z800" s="721"/>
      <c r="AA800" s="721"/>
      <c r="AB800" s="314"/>
      <c r="AC800" s="317"/>
      <c r="AD800" s="324"/>
      <c r="AE800" s="155"/>
      <c r="AF800" s="155"/>
      <c r="AG800" s="322"/>
      <c r="AH800" s="132"/>
      <c r="AI800" s="132"/>
    </row>
    <row r="801">
      <c r="A801" s="314"/>
      <c r="B801" s="312"/>
      <c r="C801" s="312"/>
      <c r="D801" s="717"/>
      <c r="E801" s="316"/>
      <c r="F801" s="316"/>
      <c r="G801" s="314"/>
      <c r="H801" s="318"/>
      <c r="I801" s="314"/>
      <c r="J801" s="314"/>
      <c r="K801" s="314"/>
      <c r="L801" s="314"/>
      <c r="M801" s="314"/>
      <c r="N801" s="314"/>
      <c r="O801" s="318"/>
      <c r="P801" s="314"/>
      <c r="Q801" s="314"/>
      <c r="R801" s="314"/>
      <c r="S801" s="718"/>
      <c r="T801" s="719"/>
      <c r="U801" s="314"/>
      <c r="V801" s="318"/>
      <c r="W801" s="314"/>
      <c r="X801" s="314"/>
      <c r="Y801" s="314"/>
      <c r="Z801" s="721"/>
      <c r="AA801" s="721"/>
      <c r="AB801" s="314"/>
      <c r="AC801" s="317"/>
      <c r="AD801" s="324"/>
      <c r="AE801" s="155"/>
      <c r="AF801" s="155"/>
      <c r="AG801" s="322"/>
      <c r="AH801" s="132"/>
      <c r="AI801" s="132"/>
    </row>
    <row r="802">
      <c r="A802" s="314"/>
      <c r="B802" s="312"/>
      <c r="C802" s="312"/>
      <c r="D802" s="717"/>
      <c r="E802" s="316"/>
      <c r="F802" s="316"/>
      <c r="G802" s="314"/>
      <c r="H802" s="318"/>
      <c r="I802" s="314"/>
      <c r="J802" s="314"/>
      <c r="K802" s="314"/>
      <c r="L802" s="314"/>
      <c r="M802" s="314"/>
      <c r="N802" s="314"/>
      <c r="O802" s="318"/>
      <c r="P802" s="314"/>
      <c r="Q802" s="314"/>
      <c r="R802" s="314"/>
      <c r="S802" s="718"/>
      <c r="T802" s="719"/>
      <c r="U802" s="314"/>
      <c r="V802" s="318"/>
      <c r="W802" s="314"/>
      <c r="X802" s="314"/>
      <c r="Y802" s="314"/>
      <c r="Z802" s="721"/>
      <c r="AA802" s="721"/>
      <c r="AB802" s="314"/>
      <c r="AC802" s="317"/>
      <c r="AD802" s="324"/>
      <c r="AE802" s="155"/>
      <c r="AF802" s="155"/>
      <c r="AG802" s="322"/>
      <c r="AH802" s="132"/>
      <c r="AI802" s="132"/>
    </row>
    <row r="803">
      <c r="A803" s="435"/>
      <c r="B803" s="312"/>
      <c r="C803" s="745"/>
      <c r="D803" s="717"/>
      <c r="E803" s="742"/>
      <c r="F803" s="316"/>
      <c r="G803" s="314"/>
      <c r="H803" s="740"/>
      <c r="I803" s="435"/>
      <c r="J803" s="314"/>
      <c r="K803" s="435"/>
      <c r="L803" s="435"/>
      <c r="M803" s="314"/>
      <c r="N803" s="314"/>
      <c r="O803" s="318"/>
      <c r="P803" s="435"/>
      <c r="Q803" s="435"/>
      <c r="R803" s="435"/>
      <c r="S803" s="747"/>
      <c r="T803" s="748"/>
      <c r="U803" s="435"/>
      <c r="V803" s="740"/>
      <c r="W803" s="435"/>
      <c r="X803" s="435"/>
      <c r="Y803" s="435"/>
      <c r="Z803" s="749"/>
      <c r="AA803" s="749"/>
      <c r="AB803" s="435"/>
      <c r="AC803" s="750"/>
      <c r="AD803" s="324"/>
      <c r="AE803" s="180"/>
      <c r="AF803" s="155"/>
      <c r="AG803" s="322"/>
      <c r="AH803" s="132"/>
      <c r="AI803" s="132"/>
    </row>
    <row r="804">
      <c r="A804" s="435"/>
      <c r="B804" s="312"/>
      <c r="C804" s="312"/>
      <c r="D804" s="751"/>
      <c r="E804" s="316"/>
      <c r="F804" s="316"/>
      <c r="G804" s="314"/>
      <c r="H804" s="318"/>
      <c r="I804" s="314"/>
      <c r="J804" s="314"/>
      <c r="K804" s="314"/>
      <c r="L804" s="314"/>
      <c r="M804" s="435"/>
      <c r="N804" s="435"/>
      <c r="O804" s="318"/>
      <c r="P804" s="314"/>
      <c r="Q804" s="314"/>
      <c r="R804" s="314"/>
      <c r="S804" s="718"/>
      <c r="T804" s="719"/>
      <c r="U804" s="314"/>
      <c r="V804" s="318"/>
      <c r="W804" s="314"/>
      <c r="X804" s="314"/>
      <c r="Y804" s="314"/>
      <c r="Z804" s="721"/>
      <c r="AA804" s="721"/>
      <c r="AB804" s="314"/>
      <c r="AC804" s="317"/>
      <c r="AD804" s="324"/>
      <c r="AE804" s="180"/>
      <c r="AF804" s="155"/>
      <c r="AG804" s="322"/>
      <c r="AH804" s="132"/>
      <c r="AI804" s="132"/>
    </row>
    <row r="805">
      <c r="A805" s="435"/>
      <c r="B805" s="745"/>
      <c r="C805" s="745"/>
      <c r="D805" s="751"/>
      <c r="E805" s="742"/>
      <c r="F805" s="316"/>
      <c r="G805" s="314"/>
      <c r="H805" s="318"/>
      <c r="I805" s="435"/>
      <c r="J805" s="435"/>
      <c r="K805" s="435"/>
      <c r="L805" s="435"/>
      <c r="M805" s="435"/>
      <c r="N805" s="435"/>
      <c r="O805" s="318"/>
      <c r="P805" s="435"/>
      <c r="Q805" s="314"/>
      <c r="R805" s="435"/>
      <c r="S805" s="747"/>
      <c r="T805" s="748"/>
      <c r="U805" s="435"/>
      <c r="V805" s="740"/>
      <c r="W805" s="435"/>
      <c r="X805" s="435"/>
      <c r="Y805" s="435"/>
      <c r="Z805" s="749"/>
      <c r="AA805" s="749"/>
      <c r="AB805" s="435"/>
      <c r="AC805" s="750"/>
      <c r="AD805" s="324"/>
      <c r="AE805" s="180"/>
      <c r="AF805" s="155"/>
      <c r="AG805" s="322"/>
      <c r="AH805" s="132"/>
      <c r="AI805" s="132"/>
    </row>
    <row r="806">
      <c r="A806" s="435"/>
      <c r="B806" s="312"/>
      <c r="C806" s="312"/>
      <c r="D806" s="751"/>
      <c r="E806" s="316"/>
      <c r="F806" s="316"/>
      <c r="G806" s="314"/>
      <c r="H806" s="318"/>
      <c r="I806" s="435"/>
      <c r="J806" s="314"/>
      <c r="K806" s="435"/>
      <c r="L806" s="314"/>
      <c r="M806" s="314"/>
      <c r="N806" s="314"/>
      <c r="O806" s="318"/>
      <c r="P806" s="314"/>
      <c r="Q806" s="435"/>
      <c r="R806" s="435"/>
      <c r="S806" s="718"/>
      <c r="T806" s="719"/>
      <c r="U806" s="314"/>
      <c r="V806" s="318"/>
      <c r="W806" s="314"/>
      <c r="X806" s="314"/>
      <c r="Y806" s="314"/>
      <c r="Z806" s="721"/>
      <c r="AA806" s="721"/>
      <c r="AB806" s="314"/>
      <c r="AC806" s="317"/>
      <c r="AD806" s="324"/>
      <c r="AE806" s="180"/>
      <c r="AF806" s="155"/>
      <c r="AG806" s="322"/>
      <c r="AH806" s="132"/>
      <c r="AI806" s="132"/>
    </row>
    <row r="807">
      <c r="A807" s="435"/>
      <c r="B807" s="745"/>
      <c r="C807" s="745"/>
      <c r="D807" s="751"/>
      <c r="E807" s="742"/>
      <c r="F807" s="316"/>
      <c r="G807" s="314"/>
      <c r="H807" s="740"/>
      <c r="I807" s="435"/>
      <c r="J807" s="435"/>
      <c r="K807" s="435"/>
      <c r="L807" s="435"/>
      <c r="M807" s="435"/>
      <c r="N807" s="435"/>
      <c r="O807" s="318"/>
      <c r="P807" s="435"/>
      <c r="Q807" s="435"/>
      <c r="R807" s="435"/>
      <c r="S807" s="747"/>
      <c r="T807" s="748"/>
      <c r="U807" s="435"/>
      <c r="V807" s="740"/>
      <c r="W807" s="435"/>
      <c r="X807" s="435"/>
      <c r="Y807" s="435"/>
      <c r="Z807" s="749"/>
      <c r="AA807" s="749"/>
      <c r="AB807" s="435"/>
      <c r="AC807" s="750"/>
      <c r="AD807" s="324"/>
      <c r="AE807" s="180"/>
      <c r="AF807" s="155"/>
      <c r="AG807" s="322"/>
      <c r="AH807" s="132"/>
      <c r="AI807" s="132"/>
    </row>
    <row r="808">
      <c r="A808" s="435"/>
      <c r="B808" s="745"/>
      <c r="C808" s="312"/>
      <c r="D808" s="751"/>
      <c r="E808" s="316"/>
      <c r="F808" s="316"/>
      <c r="G808" s="314"/>
      <c r="H808" s="318"/>
      <c r="I808" s="314"/>
      <c r="J808" s="314"/>
      <c r="K808" s="435"/>
      <c r="L808" s="314"/>
      <c r="M808" s="314"/>
      <c r="N808" s="314"/>
      <c r="O808" s="318"/>
      <c r="P808" s="314"/>
      <c r="Q808" s="314"/>
      <c r="R808" s="314"/>
      <c r="S808" s="747"/>
      <c r="T808" s="748"/>
      <c r="U808" s="435"/>
      <c r="V808" s="740"/>
      <c r="W808" s="435"/>
      <c r="X808" s="435"/>
      <c r="Y808" s="435"/>
      <c r="Z808" s="749"/>
      <c r="AA808" s="749"/>
      <c r="AB808" s="435"/>
      <c r="AC808" s="750"/>
      <c r="AD808" s="324"/>
      <c r="AE808" s="180"/>
      <c r="AF808" s="155"/>
      <c r="AG808" s="322"/>
      <c r="AH808" s="132"/>
      <c r="AI808" s="132"/>
    </row>
    <row r="809">
      <c r="A809" s="435"/>
      <c r="B809" s="745"/>
      <c r="C809" s="745"/>
      <c r="D809" s="751"/>
      <c r="E809" s="742"/>
      <c r="F809" s="316"/>
      <c r="G809" s="314"/>
      <c r="H809" s="740"/>
      <c r="I809" s="314"/>
      <c r="J809" s="314"/>
      <c r="K809" s="435"/>
      <c r="L809" s="314"/>
      <c r="M809" s="314"/>
      <c r="N809" s="314"/>
      <c r="O809" s="318"/>
      <c r="P809" s="435"/>
      <c r="Q809" s="435"/>
      <c r="R809" s="435"/>
      <c r="S809" s="747"/>
      <c r="T809" s="748"/>
      <c r="U809" s="435"/>
      <c r="V809" s="740"/>
      <c r="W809" s="435"/>
      <c r="X809" s="435"/>
      <c r="Y809" s="435"/>
      <c r="Z809" s="749"/>
      <c r="AA809" s="749"/>
      <c r="AB809" s="435"/>
      <c r="AC809" s="750"/>
      <c r="AD809" s="324"/>
      <c r="AE809" s="180"/>
      <c r="AF809" s="155"/>
      <c r="AG809" s="322"/>
      <c r="AH809" s="132"/>
      <c r="AI809" s="132"/>
    </row>
    <row r="810">
      <c r="A810" s="435"/>
      <c r="B810" s="745"/>
      <c r="C810" s="745"/>
      <c r="D810" s="751"/>
      <c r="E810" s="742"/>
      <c r="F810" s="316"/>
      <c r="G810" s="314"/>
      <c r="H810" s="740"/>
      <c r="I810" s="435"/>
      <c r="J810" s="435"/>
      <c r="K810" s="435"/>
      <c r="L810" s="435"/>
      <c r="M810" s="435"/>
      <c r="N810" s="435"/>
      <c r="O810" s="318"/>
      <c r="P810" s="435"/>
      <c r="Q810" s="435"/>
      <c r="R810" s="435"/>
      <c r="S810" s="747"/>
      <c r="T810" s="748"/>
      <c r="U810" s="435"/>
      <c r="V810" s="740"/>
      <c r="W810" s="435"/>
      <c r="X810" s="435"/>
      <c r="Y810" s="435"/>
      <c r="Z810" s="749"/>
      <c r="AA810" s="749"/>
      <c r="AB810" s="435"/>
      <c r="AC810" s="750"/>
      <c r="AD810" s="324"/>
      <c r="AE810" s="180"/>
      <c r="AF810" s="155"/>
      <c r="AG810" s="322"/>
      <c r="AH810" s="132"/>
      <c r="AI810" s="132"/>
    </row>
    <row r="811">
      <c r="A811" s="435"/>
      <c r="B811" s="312"/>
      <c r="C811" s="312"/>
      <c r="D811" s="717"/>
      <c r="E811" s="742"/>
      <c r="F811" s="316"/>
      <c r="G811" s="314"/>
      <c r="H811" s="740"/>
      <c r="I811" s="314"/>
      <c r="J811" s="314"/>
      <c r="K811" s="314"/>
      <c r="L811" s="314"/>
      <c r="M811" s="314"/>
      <c r="N811" s="314"/>
      <c r="O811" s="318"/>
      <c r="P811" s="314"/>
      <c r="Q811" s="314"/>
      <c r="R811" s="314"/>
      <c r="S811" s="718"/>
      <c r="T811" s="719"/>
      <c r="U811" s="314"/>
      <c r="V811" s="318"/>
      <c r="W811" s="314"/>
      <c r="X811" s="314"/>
      <c r="Y811" s="314"/>
      <c r="Z811" s="721"/>
      <c r="AA811" s="721"/>
      <c r="AB811" s="314"/>
      <c r="AC811" s="317"/>
      <c r="AD811" s="324"/>
      <c r="AE811" s="180"/>
      <c r="AF811" s="155"/>
      <c r="AG811" s="322"/>
      <c r="AH811" s="132"/>
      <c r="AI811" s="132"/>
    </row>
    <row r="812">
      <c r="A812" s="435"/>
      <c r="B812" s="312"/>
      <c r="C812" s="312"/>
      <c r="D812" s="751"/>
      <c r="E812" s="316"/>
      <c r="F812" s="316"/>
      <c r="G812" s="314"/>
      <c r="H812" s="740"/>
      <c r="I812" s="314"/>
      <c r="J812" s="435"/>
      <c r="K812" s="435"/>
      <c r="L812" s="314"/>
      <c r="M812" s="435"/>
      <c r="N812" s="314"/>
      <c r="O812" s="318"/>
      <c r="P812" s="314"/>
      <c r="Q812" s="314"/>
      <c r="R812" s="435"/>
      <c r="S812" s="747"/>
      <c r="T812" s="748"/>
      <c r="U812" s="435"/>
      <c r="V812" s="740"/>
      <c r="W812" s="435"/>
      <c r="X812" s="435"/>
      <c r="Y812" s="435"/>
      <c r="Z812" s="749"/>
      <c r="AA812" s="749"/>
      <c r="AB812" s="435"/>
      <c r="AC812" s="750"/>
      <c r="AD812" s="324"/>
      <c r="AE812" s="180"/>
      <c r="AF812" s="155"/>
      <c r="AG812" s="322"/>
      <c r="AH812" s="132"/>
      <c r="AI812" s="132"/>
    </row>
    <row r="813">
      <c r="A813" s="435"/>
      <c r="B813" s="312"/>
      <c r="C813" s="312"/>
      <c r="D813" s="717"/>
      <c r="E813" s="316"/>
      <c r="F813" s="316"/>
      <c r="G813" s="314"/>
      <c r="H813" s="318"/>
      <c r="I813" s="314"/>
      <c r="J813" s="314"/>
      <c r="K813" s="314"/>
      <c r="L813" s="314"/>
      <c r="M813" s="314"/>
      <c r="N813" s="314"/>
      <c r="O813" s="318"/>
      <c r="P813" s="314"/>
      <c r="Q813" s="435"/>
      <c r="R813" s="314"/>
      <c r="S813" s="747"/>
      <c r="T813" s="748"/>
      <c r="U813" s="435"/>
      <c r="V813" s="740"/>
      <c r="W813" s="435"/>
      <c r="X813" s="435"/>
      <c r="Y813" s="435"/>
      <c r="Z813" s="749"/>
      <c r="AA813" s="749"/>
      <c r="AB813" s="435"/>
      <c r="AC813" s="750"/>
      <c r="AD813" s="324"/>
      <c r="AE813" s="180"/>
      <c r="AF813" s="155"/>
      <c r="AG813" s="322"/>
      <c r="AH813" s="132"/>
      <c r="AI813" s="132"/>
    </row>
    <row r="814">
      <c r="A814" s="435"/>
      <c r="B814" s="745"/>
      <c r="C814" s="312"/>
      <c r="D814" s="717"/>
      <c r="E814" s="316"/>
      <c r="F814" s="316"/>
      <c r="G814" s="314"/>
      <c r="H814" s="740"/>
      <c r="I814" s="314"/>
      <c r="J814" s="435"/>
      <c r="K814" s="435"/>
      <c r="L814" s="314"/>
      <c r="M814" s="314"/>
      <c r="N814" s="435"/>
      <c r="O814" s="318"/>
      <c r="P814" s="314"/>
      <c r="Q814" s="314"/>
      <c r="R814" s="435"/>
      <c r="S814" s="747"/>
      <c r="T814" s="748"/>
      <c r="U814" s="435"/>
      <c r="V814" s="740"/>
      <c r="W814" s="435"/>
      <c r="X814" s="435"/>
      <c r="Y814" s="435"/>
      <c r="Z814" s="749"/>
      <c r="AA814" s="749"/>
      <c r="AB814" s="435"/>
      <c r="AC814" s="750"/>
      <c r="AD814" s="324"/>
      <c r="AE814" s="180"/>
      <c r="AF814" s="155"/>
      <c r="AG814" s="322"/>
      <c r="AH814" s="132"/>
      <c r="AI814" s="132"/>
    </row>
    <row r="815">
      <c r="A815" s="435"/>
      <c r="B815" s="312"/>
      <c r="C815" s="745"/>
      <c r="D815" s="751"/>
      <c r="E815" s="742"/>
      <c r="F815" s="316"/>
      <c r="G815" s="314"/>
      <c r="H815" s="740"/>
      <c r="I815" s="314"/>
      <c r="J815" s="314"/>
      <c r="K815" s="435"/>
      <c r="L815" s="314"/>
      <c r="M815" s="314"/>
      <c r="N815" s="314"/>
      <c r="O815" s="318"/>
      <c r="P815" s="314"/>
      <c r="Q815" s="314"/>
      <c r="R815" s="314"/>
      <c r="S815" s="747"/>
      <c r="T815" s="748"/>
      <c r="U815" s="435"/>
      <c r="V815" s="740"/>
      <c r="W815" s="435"/>
      <c r="X815" s="435"/>
      <c r="Y815" s="435"/>
      <c r="Z815" s="749"/>
      <c r="AA815" s="749"/>
      <c r="AB815" s="435"/>
      <c r="AC815" s="750"/>
      <c r="AD815" s="324"/>
      <c r="AE815" s="180"/>
      <c r="AF815" s="155"/>
      <c r="AG815" s="322"/>
      <c r="AH815" s="132"/>
      <c r="AI815" s="132"/>
    </row>
    <row r="816">
      <c r="A816" s="435"/>
      <c r="B816" s="312"/>
      <c r="C816" s="312"/>
      <c r="D816" s="717"/>
      <c r="E816" s="316"/>
      <c r="F816" s="316"/>
      <c r="G816" s="314"/>
      <c r="H816" s="740"/>
      <c r="I816" s="314"/>
      <c r="J816" s="314"/>
      <c r="K816" s="314"/>
      <c r="L816" s="314"/>
      <c r="M816" s="314"/>
      <c r="N816" s="314"/>
      <c r="O816" s="318"/>
      <c r="P816" s="314"/>
      <c r="Q816" s="314"/>
      <c r="R816" s="435"/>
      <c r="S816" s="718"/>
      <c r="T816" s="719"/>
      <c r="U816" s="314"/>
      <c r="V816" s="318"/>
      <c r="W816" s="314"/>
      <c r="X816" s="314"/>
      <c r="Y816" s="314"/>
      <c r="Z816" s="721"/>
      <c r="AA816" s="721"/>
      <c r="AB816" s="314"/>
      <c r="AC816" s="317"/>
      <c r="AD816" s="324"/>
      <c r="AE816" s="180"/>
      <c r="AF816" s="155"/>
      <c r="AG816" s="322"/>
      <c r="AH816" s="132"/>
      <c r="AI816" s="132"/>
    </row>
    <row r="817">
      <c r="A817" s="435"/>
      <c r="B817" s="745"/>
      <c r="C817" s="745"/>
      <c r="D817" s="751"/>
      <c r="E817" s="742"/>
      <c r="F817" s="316"/>
      <c r="G817" s="314"/>
      <c r="H817" s="740"/>
      <c r="I817" s="435"/>
      <c r="J817" s="435"/>
      <c r="K817" s="435"/>
      <c r="L817" s="435"/>
      <c r="M817" s="435"/>
      <c r="N817" s="435"/>
      <c r="O817" s="318"/>
      <c r="P817" s="435"/>
      <c r="Q817" s="435"/>
      <c r="R817" s="435"/>
      <c r="S817" s="747"/>
      <c r="T817" s="748"/>
      <c r="U817" s="435"/>
      <c r="V817" s="740"/>
      <c r="W817" s="435"/>
      <c r="X817" s="435"/>
      <c r="Y817" s="435"/>
      <c r="Z817" s="749"/>
      <c r="AA817" s="749"/>
      <c r="AB817" s="435"/>
      <c r="AC817" s="750"/>
      <c r="AD817" s="324"/>
      <c r="AE817" s="180"/>
      <c r="AF817" s="155"/>
      <c r="AG817" s="322"/>
      <c r="AH817" s="132"/>
      <c r="AI817" s="132"/>
    </row>
    <row r="818">
      <c r="A818" s="435"/>
      <c r="B818" s="312"/>
      <c r="C818" s="312"/>
      <c r="D818" s="717"/>
      <c r="E818" s="316"/>
      <c r="F818" s="316"/>
      <c r="G818" s="314"/>
      <c r="H818" s="318"/>
      <c r="I818" s="314"/>
      <c r="J818" s="314"/>
      <c r="K818" s="314"/>
      <c r="L818" s="314"/>
      <c r="M818" s="435"/>
      <c r="N818" s="314"/>
      <c r="O818" s="318"/>
      <c r="P818" s="314"/>
      <c r="Q818" s="314"/>
      <c r="R818" s="314"/>
      <c r="S818" s="718"/>
      <c r="T818" s="719"/>
      <c r="U818" s="314"/>
      <c r="V818" s="318"/>
      <c r="W818" s="314"/>
      <c r="X818" s="314"/>
      <c r="Y818" s="314"/>
      <c r="Z818" s="721"/>
      <c r="AA818" s="721"/>
      <c r="AB818" s="314"/>
      <c r="AC818" s="317"/>
      <c r="AD818" s="324"/>
      <c r="AE818" s="180"/>
      <c r="AF818" s="155"/>
      <c r="AG818" s="322"/>
      <c r="AH818" s="132"/>
      <c r="AI818" s="132"/>
    </row>
    <row r="819">
      <c r="A819" s="435"/>
      <c r="B819" s="312"/>
      <c r="C819" s="745"/>
      <c r="D819" s="751"/>
      <c r="E819" s="742"/>
      <c r="F819" s="316"/>
      <c r="G819" s="314"/>
      <c r="H819" s="740"/>
      <c r="I819" s="435"/>
      <c r="J819" s="435"/>
      <c r="K819" s="435"/>
      <c r="L819" s="314"/>
      <c r="M819" s="435"/>
      <c r="N819" s="435"/>
      <c r="O819" s="318"/>
      <c r="P819" s="435"/>
      <c r="Q819" s="435"/>
      <c r="R819" s="435"/>
      <c r="S819" s="747"/>
      <c r="T819" s="748"/>
      <c r="U819" s="435"/>
      <c r="V819" s="740"/>
      <c r="W819" s="435"/>
      <c r="X819" s="435"/>
      <c r="Y819" s="435"/>
      <c r="Z819" s="749"/>
      <c r="AA819" s="749"/>
      <c r="AB819" s="435"/>
      <c r="AC819" s="750"/>
      <c r="AD819" s="324"/>
      <c r="AE819" s="180"/>
      <c r="AF819" s="155"/>
      <c r="AG819" s="322"/>
      <c r="AH819" s="132"/>
      <c r="AI819" s="132"/>
    </row>
    <row r="820">
      <c r="A820" s="435"/>
      <c r="B820" s="745"/>
      <c r="C820" s="745"/>
      <c r="D820" s="717"/>
      <c r="E820" s="742"/>
      <c r="F820" s="316"/>
      <c r="G820" s="314"/>
      <c r="H820" s="740"/>
      <c r="I820" s="435"/>
      <c r="J820" s="314"/>
      <c r="K820" s="435"/>
      <c r="L820" s="435"/>
      <c r="M820" s="314"/>
      <c r="N820" s="435"/>
      <c r="O820" s="318"/>
      <c r="P820" s="435"/>
      <c r="Q820" s="314"/>
      <c r="R820" s="435"/>
      <c r="S820" s="747"/>
      <c r="T820" s="748"/>
      <c r="U820" s="435"/>
      <c r="V820" s="740"/>
      <c r="W820" s="435"/>
      <c r="X820" s="435"/>
      <c r="Y820" s="435"/>
      <c r="Z820" s="749"/>
      <c r="AA820" s="749"/>
      <c r="AB820" s="435"/>
      <c r="AC820" s="750"/>
      <c r="AD820" s="324"/>
      <c r="AE820" s="180"/>
      <c r="AF820" s="155"/>
      <c r="AG820" s="322"/>
      <c r="AH820" s="132"/>
      <c r="AI820" s="132"/>
    </row>
    <row r="821">
      <c r="A821" s="458"/>
      <c r="B821" s="745"/>
      <c r="C821" s="745"/>
      <c r="D821" s="751"/>
      <c r="E821" s="742"/>
      <c r="F821" s="316"/>
      <c r="G821" s="314"/>
      <c r="H821" s="318"/>
      <c r="I821" s="435"/>
      <c r="J821" s="435"/>
      <c r="K821" s="435"/>
      <c r="L821" s="435"/>
      <c r="M821" s="435"/>
      <c r="N821" s="435"/>
      <c r="O821" s="318"/>
      <c r="P821" s="435"/>
      <c r="Q821" s="435"/>
      <c r="R821" s="435"/>
      <c r="S821" s="747"/>
      <c r="T821" s="748"/>
      <c r="U821" s="435"/>
      <c r="V821" s="740"/>
      <c r="W821" s="435"/>
      <c r="X821" s="435"/>
      <c r="Y821" s="435"/>
      <c r="Z821" s="749"/>
      <c r="AA821" s="749"/>
      <c r="AB821" s="435"/>
      <c r="AC821" s="750"/>
      <c r="AD821" s="324"/>
      <c r="AE821" s="180"/>
      <c r="AF821" s="155"/>
      <c r="AG821" s="322"/>
      <c r="AH821" s="132"/>
      <c r="AI821" s="132"/>
    </row>
    <row r="822">
      <c r="A822" s="458"/>
      <c r="B822" s="745"/>
      <c r="C822" s="745"/>
      <c r="D822" s="751"/>
      <c r="E822" s="742"/>
      <c r="F822" s="316"/>
      <c r="G822" s="314"/>
      <c r="H822" s="318"/>
      <c r="I822" s="314"/>
      <c r="J822" s="435"/>
      <c r="K822" s="435"/>
      <c r="L822" s="435"/>
      <c r="M822" s="435"/>
      <c r="N822" s="435"/>
      <c r="O822" s="318"/>
      <c r="P822" s="435"/>
      <c r="Q822" s="435"/>
      <c r="R822" s="435"/>
      <c r="S822" s="747"/>
      <c r="T822" s="748"/>
      <c r="U822" s="435"/>
      <c r="V822" s="740"/>
      <c r="W822" s="435"/>
      <c r="X822" s="435"/>
      <c r="Y822" s="435"/>
      <c r="Z822" s="749"/>
      <c r="AA822" s="749"/>
      <c r="AB822" s="435"/>
      <c r="AC822" s="750"/>
      <c r="AD822" s="324"/>
      <c r="AE822" s="180"/>
      <c r="AF822" s="155"/>
      <c r="AG822" s="322"/>
      <c r="AH822" s="132"/>
      <c r="AI822" s="132"/>
    </row>
    <row r="823">
      <c r="A823" s="458"/>
      <c r="B823" s="745"/>
      <c r="C823" s="745"/>
      <c r="D823" s="751"/>
      <c r="E823" s="316"/>
      <c r="F823" s="316"/>
      <c r="G823" s="314"/>
      <c r="H823" s="318"/>
      <c r="I823" s="435"/>
      <c r="J823" s="435"/>
      <c r="K823" s="435"/>
      <c r="L823" s="435"/>
      <c r="M823" s="435"/>
      <c r="N823" s="435"/>
      <c r="O823" s="318"/>
      <c r="P823" s="435"/>
      <c r="Q823" s="314"/>
      <c r="R823" s="435"/>
      <c r="S823" s="747"/>
      <c r="T823" s="748"/>
      <c r="U823" s="435"/>
      <c r="V823" s="740"/>
      <c r="W823" s="435"/>
      <c r="X823" s="435"/>
      <c r="Y823" s="435"/>
      <c r="Z823" s="749"/>
      <c r="AA823" s="749"/>
      <c r="AB823" s="435"/>
      <c r="AC823" s="750"/>
      <c r="AD823" s="324"/>
      <c r="AE823" s="180"/>
      <c r="AF823" s="155"/>
      <c r="AG823" s="322"/>
      <c r="AH823" s="132"/>
      <c r="AI823" s="132"/>
    </row>
    <row r="824">
      <c r="A824" s="458"/>
      <c r="B824" s="312"/>
      <c r="C824" s="312"/>
      <c r="D824" s="717"/>
      <c r="E824" s="316"/>
      <c r="F824" s="316"/>
      <c r="G824" s="314"/>
      <c r="H824" s="318"/>
      <c r="I824" s="314"/>
      <c r="J824" s="314"/>
      <c r="K824" s="314"/>
      <c r="L824" s="314"/>
      <c r="M824" s="314"/>
      <c r="N824" s="314"/>
      <c r="O824" s="318"/>
      <c r="P824" s="314"/>
      <c r="Q824" s="314"/>
      <c r="R824" s="314"/>
      <c r="S824" s="718"/>
      <c r="T824" s="719"/>
      <c r="U824" s="314"/>
      <c r="V824" s="318"/>
      <c r="W824" s="314"/>
      <c r="X824" s="314"/>
      <c r="Y824" s="314"/>
      <c r="Z824" s="721"/>
      <c r="AA824" s="721"/>
      <c r="AB824" s="314"/>
      <c r="AC824" s="317"/>
      <c r="AD824" s="324"/>
      <c r="AE824" s="180"/>
      <c r="AF824" s="155"/>
      <c r="AG824" s="322"/>
      <c r="AH824" s="132"/>
      <c r="AI824" s="132"/>
    </row>
    <row r="825">
      <c r="A825" s="458"/>
      <c r="B825" s="745"/>
      <c r="C825" s="745"/>
      <c r="D825" s="751"/>
      <c r="E825" s="316"/>
      <c r="F825" s="316"/>
      <c r="G825" s="314"/>
      <c r="H825" s="318"/>
      <c r="I825" s="314"/>
      <c r="J825" s="314"/>
      <c r="K825" s="435"/>
      <c r="L825" s="435"/>
      <c r="M825" s="435"/>
      <c r="N825" s="314"/>
      <c r="O825" s="318"/>
      <c r="P825" s="435"/>
      <c r="Q825" s="435"/>
      <c r="R825" s="435"/>
      <c r="S825" s="747"/>
      <c r="T825" s="748"/>
      <c r="U825" s="435"/>
      <c r="V825" s="740"/>
      <c r="W825" s="435"/>
      <c r="X825" s="435"/>
      <c r="Y825" s="435"/>
      <c r="Z825" s="749"/>
      <c r="AA825" s="749"/>
      <c r="AB825" s="435"/>
      <c r="AC825" s="750"/>
      <c r="AD825" s="324"/>
      <c r="AE825" s="180"/>
      <c r="AF825" s="155"/>
      <c r="AG825" s="322"/>
      <c r="AH825" s="132"/>
      <c r="AI825" s="132"/>
    </row>
    <row r="826">
      <c r="A826" s="458"/>
      <c r="B826" s="312"/>
      <c r="C826" s="312"/>
      <c r="D826" s="751"/>
      <c r="E826" s="316"/>
      <c r="F826" s="316"/>
      <c r="G826" s="314"/>
      <c r="H826" s="318"/>
      <c r="I826" s="314"/>
      <c r="J826" s="314"/>
      <c r="K826" s="314"/>
      <c r="L826" s="314"/>
      <c r="M826" s="314"/>
      <c r="N826" s="314"/>
      <c r="O826" s="318"/>
      <c r="P826" s="314"/>
      <c r="Q826" s="314"/>
      <c r="R826" s="314"/>
      <c r="S826" s="718"/>
      <c r="T826" s="719"/>
      <c r="U826" s="314"/>
      <c r="V826" s="318"/>
      <c r="W826" s="314"/>
      <c r="X826" s="314"/>
      <c r="Y826" s="314"/>
      <c r="Z826" s="721"/>
      <c r="AA826" s="721"/>
      <c r="AB826" s="314"/>
      <c r="AC826" s="317"/>
      <c r="AD826" s="324"/>
      <c r="AE826" s="180"/>
      <c r="AF826" s="155"/>
      <c r="AG826" s="322"/>
      <c r="AH826" s="132"/>
      <c r="AI826" s="132"/>
    </row>
    <row r="827">
      <c r="A827" s="458"/>
      <c r="B827" s="312"/>
      <c r="C827" s="745"/>
      <c r="D827" s="717"/>
      <c r="E827" s="316"/>
      <c r="F827" s="316"/>
      <c r="G827" s="314"/>
      <c r="H827" s="318"/>
      <c r="I827" s="435"/>
      <c r="J827" s="314"/>
      <c r="K827" s="314"/>
      <c r="L827" s="435"/>
      <c r="M827" s="314"/>
      <c r="N827" s="314"/>
      <c r="O827" s="318"/>
      <c r="P827" s="314"/>
      <c r="Q827" s="435"/>
      <c r="R827" s="435"/>
      <c r="S827" s="747"/>
      <c r="T827" s="748"/>
      <c r="U827" s="435"/>
      <c r="V827" s="740"/>
      <c r="W827" s="435"/>
      <c r="X827" s="435"/>
      <c r="Y827" s="435"/>
      <c r="Z827" s="749"/>
      <c r="AA827" s="749"/>
      <c r="AB827" s="435"/>
      <c r="AC827" s="750"/>
      <c r="AD827" s="324"/>
      <c r="AE827" s="180"/>
      <c r="AF827" s="155"/>
      <c r="AG827" s="322"/>
      <c r="AH827" s="132"/>
      <c r="AI827" s="132"/>
    </row>
    <row r="828">
      <c r="A828" s="458"/>
      <c r="B828" s="312"/>
      <c r="C828" s="745"/>
      <c r="D828" s="751"/>
      <c r="E828" s="742"/>
      <c r="F828" s="316"/>
      <c r="G828" s="314"/>
      <c r="H828" s="740"/>
      <c r="I828" s="435"/>
      <c r="J828" s="314"/>
      <c r="K828" s="435"/>
      <c r="L828" s="435"/>
      <c r="M828" s="314"/>
      <c r="N828" s="314"/>
      <c r="O828" s="318"/>
      <c r="P828" s="435"/>
      <c r="Q828" s="435"/>
      <c r="R828" s="435"/>
      <c r="S828" s="747"/>
      <c r="T828" s="748"/>
      <c r="U828" s="435"/>
      <c r="V828" s="740"/>
      <c r="W828" s="435"/>
      <c r="X828" s="435"/>
      <c r="Y828" s="435"/>
      <c r="Z828" s="749"/>
      <c r="AA828" s="749"/>
      <c r="AB828" s="435"/>
      <c r="AC828" s="750"/>
      <c r="AD828" s="324"/>
      <c r="AE828" s="180"/>
      <c r="AF828" s="155"/>
      <c r="AG828" s="322"/>
      <c r="AH828" s="132"/>
      <c r="AI828" s="132"/>
    </row>
    <row r="829">
      <c r="A829" s="458"/>
      <c r="B829" s="312"/>
      <c r="C829" s="745"/>
      <c r="D829" s="751"/>
      <c r="E829" s="316"/>
      <c r="F829" s="316"/>
      <c r="G829" s="314"/>
      <c r="H829" s="318"/>
      <c r="I829" s="314"/>
      <c r="J829" s="314"/>
      <c r="K829" s="435"/>
      <c r="L829" s="314"/>
      <c r="M829" s="314"/>
      <c r="N829" s="314"/>
      <c r="O829" s="318"/>
      <c r="P829" s="314"/>
      <c r="Q829" s="314"/>
      <c r="R829" s="435"/>
      <c r="S829" s="747"/>
      <c r="T829" s="748"/>
      <c r="U829" s="435"/>
      <c r="V829" s="740"/>
      <c r="W829" s="435"/>
      <c r="X829" s="435"/>
      <c r="Y829" s="435"/>
      <c r="Z829" s="749"/>
      <c r="AA829" s="749"/>
      <c r="AB829" s="435"/>
      <c r="AC829" s="750"/>
      <c r="AD829" s="324"/>
      <c r="AE829" s="180"/>
      <c r="AF829" s="155"/>
      <c r="AG829" s="322"/>
      <c r="AH829" s="132"/>
      <c r="AI829" s="132"/>
    </row>
    <row r="830">
      <c r="A830" s="458"/>
      <c r="B830" s="745"/>
      <c r="C830" s="745"/>
      <c r="D830" s="751"/>
      <c r="E830" s="742"/>
      <c r="F830" s="316"/>
      <c r="G830" s="314"/>
      <c r="H830" s="740"/>
      <c r="I830" s="435"/>
      <c r="J830" s="435"/>
      <c r="K830" s="435"/>
      <c r="L830" s="435"/>
      <c r="M830" s="435"/>
      <c r="N830" s="435"/>
      <c r="O830" s="318"/>
      <c r="P830" s="435"/>
      <c r="Q830" s="435"/>
      <c r="R830" s="435"/>
      <c r="S830" s="747"/>
      <c r="T830" s="748"/>
      <c r="U830" s="435"/>
      <c r="V830" s="740"/>
      <c r="W830" s="435"/>
      <c r="X830" s="435"/>
      <c r="Y830" s="435"/>
      <c r="Z830" s="749"/>
      <c r="AA830" s="749"/>
      <c r="AB830" s="435"/>
      <c r="AC830" s="750"/>
      <c r="AD830" s="324"/>
      <c r="AE830" s="180"/>
      <c r="AF830" s="155"/>
      <c r="AG830" s="322"/>
      <c r="AH830" s="132"/>
      <c r="AI830" s="132"/>
    </row>
    <row r="831">
      <c r="A831" s="435"/>
      <c r="B831" s="745"/>
      <c r="C831" s="745"/>
      <c r="D831" s="751"/>
      <c r="E831" s="742"/>
      <c r="F831" s="316"/>
      <c r="G831" s="314"/>
      <c r="H831" s="740"/>
      <c r="I831" s="435"/>
      <c r="J831" s="435"/>
      <c r="K831" s="435"/>
      <c r="L831" s="435"/>
      <c r="M831" s="435"/>
      <c r="N831" s="435"/>
      <c r="O831" s="318"/>
      <c r="P831" s="435"/>
      <c r="Q831" s="435"/>
      <c r="R831" s="435"/>
      <c r="S831" s="747"/>
      <c r="T831" s="748"/>
      <c r="U831" s="435"/>
      <c r="V831" s="740"/>
      <c r="W831" s="435"/>
      <c r="X831" s="435"/>
      <c r="Y831" s="435"/>
      <c r="Z831" s="749"/>
      <c r="AA831" s="749"/>
      <c r="AB831" s="435"/>
      <c r="AC831" s="750"/>
      <c r="AD831" s="324"/>
      <c r="AE831" s="180"/>
      <c r="AF831" s="155"/>
      <c r="AG831" s="322"/>
      <c r="AH831" s="132"/>
      <c r="AI831" s="132"/>
    </row>
    <row r="832">
      <c r="A832" s="474"/>
      <c r="B832" s="745"/>
      <c r="C832" s="745"/>
      <c r="D832" s="751"/>
      <c r="E832" s="742"/>
      <c r="F832" s="316"/>
      <c r="G832" s="314"/>
      <c r="H832" s="740"/>
      <c r="I832" s="435"/>
      <c r="J832" s="435"/>
      <c r="K832" s="435"/>
      <c r="L832" s="435"/>
      <c r="M832" s="435"/>
      <c r="N832" s="435"/>
      <c r="O832" s="318"/>
      <c r="P832" s="435"/>
      <c r="Q832" s="435"/>
      <c r="R832" s="435"/>
      <c r="S832" s="747"/>
      <c r="T832" s="748"/>
      <c r="U832" s="435"/>
      <c r="V832" s="740"/>
      <c r="W832" s="435"/>
      <c r="X832" s="435"/>
      <c r="Y832" s="435"/>
      <c r="Z832" s="749"/>
      <c r="AA832" s="749"/>
      <c r="AB832" s="435"/>
      <c r="AC832" s="750"/>
      <c r="AD832" s="324"/>
      <c r="AE832" s="180"/>
      <c r="AF832" s="155"/>
      <c r="AG832" s="322"/>
      <c r="AH832" s="132"/>
      <c r="AI832" s="132"/>
    </row>
    <row r="833">
      <c r="A833" s="474"/>
      <c r="B833" s="745"/>
      <c r="C833" s="312"/>
      <c r="D833" s="751"/>
      <c r="E833" s="742"/>
      <c r="F833" s="316"/>
      <c r="G833" s="314"/>
      <c r="H833" s="740"/>
      <c r="I833" s="435"/>
      <c r="J833" s="435"/>
      <c r="K833" s="314"/>
      <c r="L833" s="314"/>
      <c r="M833" s="314"/>
      <c r="N833" s="435"/>
      <c r="O833" s="318"/>
      <c r="P833" s="314"/>
      <c r="Q833" s="435"/>
      <c r="R833" s="314"/>
      <c r="S833" s="747"/>
      <c r="T833" s="748"/>
      <c r="U833" s="435"/>
      <c r="V833" s="740"/>
      <c r="W833" s="435"/>
      <c r="X833" s="435"/>
      <c r="Y833" s="435"/>
      <c r="Z833" s="749"/>
      <c r="AA833" s="749"/>
      <c r="AB833" s="435"/>
      <c r="AC833" s="750"/>
      <c r="AD833" s="324"/>
      <c r="AE833" s="180"/>
      <c r="AF833" s="155"/>
      <c r="AG833" s="322"/>
      <c r="AH833" s="132"/>
      <c r="AI833" s="132"/>
    </row>
    <row r="834">
      <c r="A834" s="474"/>
      <c r="B834" s="312"/>
      <c r="C834" s="312"/>
      <c r="D834" s="717"/>
      <c r="E834" s="316"/>
      <c r="F834" s="316"/>
      <c r="G834" s="314"/>
      <c r="H834" s="318"/>
      <c r="I834" s="314"/>
      <c r="J834" s="314"/>
      <c r="K834" s="435"/>
      <c r="L834" s="314"/>
      <c r="M834" s="314"/>
      <c r="N834" s="314"/>
      <c r="O834" s="318"/>
      <c r="P834" s="435"/>
      <c r="Q834" s="314"/>
      <c r="R834" s="314"/>
      <c r="S834" s="718"/>
      <c r="T834" s="719"/>
      <c r="U834" s="314"/>
      <c r="V834" s="318"/>
      <c r="W834" s="314"/>
      <c r="X834" s="314"/>
      <c r="Y834" s="314"/>
      <c r="Z834" s="721"/>
      <c r="AA834" s="721"/>
      <c r="AB834" s="314"/>
      <c r="AC834" s="317"/>
      <c r="AD834" s="324"/>
      <c r="AE834" s="180"/>
      <c r="AF834" s="155"/>
      <c r="AG834" s="322"/>
      <c r="AH834" s="132"/>
      <c r="AI834" s="132"/>
    </row>
    <row r="835">
      <c r="A835" s="474"/>
      <c r="B835" s="312"/>
      <c r="C835" s="745"/>
      <c r="D835" s="751"/>
      <c r="E835" s="316"/>
      <c r="F835" s="316"/>
      <c r="G835" s="314"/>
      <c r="H835" s="318"/>
      <c r="I835" s="435"/>
      <c r="J835" s="314"/>
      <c r="K835" s="314"/>
      <c r="L835" s="314"/>
      <c r="M835" s="314"/>
      <c r="N835" s="314"/>
      <c r="O835" s="318"/>
      <c r="P835" s="314"/>
      <c r="Q835" s="314"/>
      <c r="R835" s="314"/>
      <c r="S835" s="718"/>
      <c r="T835" s="719"/>
      <c r="U835" s="314"/>
      <c r="V835" s="318"/>
      <c r="W835" s="314"/>
      <c r="X835" s="314"/>
      <c r="Y835" s="314"/>
      <c r="Z835" s="721"/>
      <c r="AA835" s="721"/>
      <c r="AB835" s="314"/>
      <c r="AC835" s="317"/>
      <c r="AD835" s="324"/>
      <c r="AE835" s="180"/>
      <c r="AF835" s="155"/>
      <c r="AG835" s="322"/>
      <c r="AH835" s="132"/>
      <c r="AI835" s="132"/>
    </row>
    <row r="836">
      <c r="A836" s="474"/>
      <c r="B836" s="312"/>
      <c r="C836" s="312"/>
      <c r="D836" s="717"/>
      <c r="E836" s="316"/>
      <c r="F836" s="316"/>
      <c r="G836" s="314"/>
      <c r="H836" s="318"/>
      <c r="I836" s="314"/>
      <c r="J836" s="314"/>
      <c r="K836" s="435"/>
      <c r="L836" s="314"/>
      <c r="M836" s="314"/>
      <c r="N836" s="314"/>
      <c r="O836" s="318"/>
      <c r="P836" s="314"/>
      <c r="Q836" s="314"/>
      <c r="R836" s="314"/>
      <c r="S836" s="718"/>
      <c r="T836" s="719"/>
      <c r="U836" s="314"/>
      <c r="V836" s="318"/>
      <c r="W836" s="314"/>
      <c r="X836" s="314"/>
      <c r="Y836" s="314"/>
      <c r="Z836" s="721"/>
      <c r="AA836" s="721"/>
      <c r="AB836" s="314"/>
      <c r="AC836" s="317"/>
      <c r="AD836" s="324"/>
      <c r="AE836" s="180"/>
      <c r="AF836" s="155"/>
      <c r="AG836" s="322"/>
      <c r="AH836" s="132"/>
      <c r="AI836" s="132"/>
    </row>
    <row r="837">
      <c r="A837" s="458"/>
      <c r="B837" s="312"/>
      <c r="C837" s="745"/>
      <c r="D837" s="717"/>
      <c r="E837" s="316"/>
      <c r="F837" s="316"/>
      <c r="G837" s="314"/>
      <c r="H837" s="318"/>
      <c r="I837" s="314"/>
      <c r="J837" s="435"/>
      <c r="K837" s="435"/>
      <c r="L837" s="314"/>
      <c r="M837" s="314"/>
      <c r="N837" s="314"/>
      <c r="O837" s="318"/>
      <c r="P837" s="314"/>
      <c r="Q837" s="314"/>
      <c r="R837" s="314"/>
      <c r="S837" s="718"/>
      <c r="T837" s="719"/>
      <c r="U837" s="314"/>
      <c r="V837" s="318"/>
      <c r="W837" s="314"/>
      <c r="X837" s="314"/>
      <c r="Y837" s="314"/>
      <c r="Z837" s="721"/>
      <c r="AA837" s="721"/>
      <c r="AB837" s="314"/>
      <c r="AC837" s="317"/>
      <c r="AD837" s="324"/>
      <c r="AE837" s="180"/>
      <c r="AF837" s="155"/>
      <c r="AG837" s="322"/>
      <c r="AH837" s="132"/>
      <c r="AI837" s="132"/>
    </row>
    <row r="838">
      <c r="A838" s="435"/>
      <c r="B838" s="312"/>
      <c r="C838" s="745"/>
      <c r="D838" s="751"/>
      <c r="E838" s="742"/>
      <c r="F838" s="316"/>
      <c r="G838" s="314"/>
      <c r="H838" s="740"/>
      <c r="I838" s="314"/>
      <c r="J838" s="314"/>
      <c r="K838" s="435"/>
      <c r="L838" s="314"/>
      <c r="M838" s="435"/>
      <c r="N838" s="435"/>
      <c r="O838" s="318"/>
      <c r="P838" s="314"/>
      <c r="Q838" s="314"/>
      <c r="R838" s="435"/>
      <c r="S838" s="718"/>
      <c r="T838" s="719"/>
      <c r="U838" s="314"/>
      <c r="V838" s="318"/>
      <c r="W838" s="314"/>
      <c r="X838" s="314"/>
      <c r="Y838" s="314"/>
      <c r="Z838" s="721"/>
      <c r="AA838" s="721"/>
      <c r="AB838" s="314"/>
      <c r="AC838" s="317"/>
      <c r="AD838" s="324"/>
      <c r="AE838" s="180"/>
      <c r="AF838" s="155"/>
      <c r="AG838" s="322"/>
      <c r="AH838" s="132"/>
      <c r="AI838" s="132"/>
    </row>
    <row r="839">
      <c r="A839" s="435"/>
      <c r="B839" s="745"/>
      <c r="C839" s="312"/>
      <c r="D839" s="717"/>
      <c r="E839" s="316"/>
      <c r="F839" s="316"/>
      <c r="G839" s="314"/>
      <c r="H839" s="318"/>
      <c r="I839" s="314"/>
      <c r="J839" s="314"/>
      <c r="K839" s="314"/>
      <c r="L839" s="314"/>
      <c r="M839" s="314"/>
      <c r="N839" s="314"/>
      <c r="O839" s="318"/>
      <c r="P839" s="435"/>
      <c r="Q839" s="314"/>
      <c r="R839" s="314"/>
      <c r="S839" s="718"/>
      <c r="T839" s="719"/>
      <c r="U839" s="314"/>
      <c r="V839" s="318"/>
      <c r="W839" s="314"/>
      <c r="X839" s="314"/>
      <c r="Y839" s="314"/>
      <c r="Z839" s="721"/>
      <c r="AA839" s="721"/>
      <c r="AB839" s="314"/>
      <c r="AC839" s="317"/>
      <c r="AD839" s="324"/>
      <c r="AE839" s="180"/>
      <c r="AF839" s="155"/>
      <c r="AG839" s="322"/>
      <c r="AH839" s="132"/>
      <c r="AI839" s="132"/>
    </row>
    <row r="840">
      <c r="A840" s="435"/>
      <c r="B840" s="745"/>
      <c r="C840" s="312"/>
      <c r="D840" s="717"/>
      <c r="E840" s="316"/>
      <c r="F840" s="316"/>
      <c r="G840" s="314"/>
      <c r="H840" s="318"/>
      <c r="I840" s="314"/>
      <c r="J840" s="314"/>
      <c r="K840" s="314"/>
      <c r="L840" s="314"/>
      <c r="M840" s="314"/>
      <c r="N840" s="314"/>
      <c r="O840" s="318"/>
      <c r="P840" s="314"/>
      <c r="Q840" s="435"/>
      <c r="R840" s="314"/>
      <c r="S840" s="747"/>
      <c r="T840" s="748"/>
      <c r="U840" s="435"/>
      <c r="V840" s="740"/>
      <c r="W840" s="435"/>
      <c r="X840" s="435"/>
      <c r="Y840" s="435"/>
      <c r="Z840" s="749"/>
      <c r="AA840" s="749"/>
      <c r="AB840" s="435"/>
      <c r="AC840" s="750"/>
      <c r="AD840" s="324"/>
      <c r="AE840" s="180"/>
      <c r="AF840" s="155"/>
      <c r="AG840" s="322"/>
      <c r="AH840" s="132"/>
      <c r="AI840" s="132"/>
    </row>
    <row r="841">
      <c r="A841" s="435"/>
      <c r="B841" s="312"/>
      <c r="C841" s="745"/>
      <c r="D841" s="717"/>
      <c r="E841" s="316"/>
      <c r="F841" s="316"/>
      <c r="G841" s="314"/>
      <c r="H841" s="318"/>
      <c r="I841" s="314"/>
      <c r="J841" s="314"/>
      <c r="K841" s="314"/>
      <c r="L841" s="314"/>
      <c r="M841" s="314"/>
      <c r="N841" s="314"/>
      <c r="O841" s="318"/>
      <c r="P841" s="314"/>
      <c r="Q841" s="314"/>
      <c r="R841" s="435"/>
      <c r="S841" s="718"/>
      <c r="T841" s="719"/>
      <c r="U841" s="314"/>
      <c r="V841" s="318"/>
      <c r="W841" s="314"/>
      <c r="X841" s="314"/>
      <c r="Y841" s="314"/>
      <c r="Z841" s="721"/>
      <c r="AA841" s="721"/>
      <c r="AB841" s="314"/>
      <c r="AC841" s="317"/>
      <c r="AD841" s="324"/>
      <c r="AE841" s="180"/>
      <c r="AF841" s="155"/>
      <c r="AG841" s="322"/>
      <c r="AH841" s="132"/>
      <c r="AI841" s="132"/>
    </row>
    <row r="842">
      <c r="A842" s="435"/>
      <c r="B842" s="312"/>
      <c r="C842" s="312"/>
      <c r="D842" s="717"/>
      <c r="E842" s="316"/>
      <c r="F842" s="316"/>
      <c r="G842" s="314"/>
      <c r="H842" s="318"/>
      <c r="I842" s="314"/>
      <c r="J842" s="314"/>
      <c r="K842" s="435"/>
      <c r="L842" s="314"/>
      <c r="M842" s="435"/>
      <c r="N842" s="314"/>
      <c r="O842" s="318"/>
      <c r="P842" s="314"/>
      <c r="Q842" s="435"/>
      <c r="R842" s="314"/>
      <c r="S842" s="718"/>
      <c r="T842" s="719"/>
      <c r="U842" s="314"/>
      <c r="V842" s="318"/>
      <c r="W842" s="314"/>
      <c r="X842" s="314"/>
      <c r="Y842" s="314"/>
      <c r="Z842" s="721"/>
      <c r="AA842" s="721"/>
      <c r="AB842" s="314"/>
      <c r="AC842" s="317"/>
      <c r="AD842" s="324"/>
      <c r="AE842" s="180"/>
      <c r="AF842" s="155"/>
      <c r="AG842" s="322"/>
      <c r="AH842" s="132"/>
      <c r="AI842" s="132"/>
    </row>
    <row r="843">
      <c r="A843" s="435"/>
      <c r="B843" s="312"/>
      <c r="C843" s="745"/>
      <c r="D843" s="751"/>
      <c r="E843" s="316"/>
      <c r="F843" s="316"/>
      <c r="G843" s="314"/>
      <c r="H843" s="318"/>
      <c r="I843" s="314"/>
      <c r="J843" s="314"/>
      <c r="K843" s="435"/>
      <c r="L843" s="314"/>
      <c r="M843" s="435"/>
      <c r="N843" s="314"/>
      <c r="O843" s="318"/>
      <c r="P843" s="314"/>
      <c r="Q843" s="435"/>
      <c r="R843" s="314"/>
      <c r="S843" s="718"/>
      <c r="T843" s="719"/>
      <c r="U843" s="314"/>
      <c r="V843" s="318"/>
      <c r="W843" s="314"/>
      <c r="X843" s="314"/>
      <c r="Y843" s="314"/>
      <c r="Z843" s="721"/>
      <c r="AA843" s="721"/>
      <c r="AB843" s="314"/>
      <c r="AC843" s="317"/>
      <c r="AD843" s="324"/>
      <c r="AE843" s="180"/>
      <c r="AF843" s="155"/>
      <c r="AG843" s="322"/>
      <c r="AH843" s="132"/>
      <c r="AI843" s="132"/>
    </row>
    <row r="844">
      <c r="A844" s="476"/>
      <c r="AF844" s="176"/>
      <c r="AG844" s="322"/>
      <c r="AH844" s="132"/>
      <c r="AI844" s="132"/>
    </row>
    <row r="845">
      <c r="A845" s="178"/>
      <c r="AG845" s="322"/>
      <c r="AH845" s="132"/>
      <c r="AI845" s="132"/>
    </row>
    <row r="846">
      <c r="A846" s="474"/>
      <c r="B846" s="745"/>
      <c r="C846" s="745"/>
      <c r="D846" s="751"/>
      <c r="E846" s="742"/>
      <c r="F846" s="316"/>
      <c r="G846" s="314"/>
      <c r="H846" s="318"/>
      <c r="I846" s="435"/>
      <c r="J846" s="435"/>
      <c r="K846" s="435"/>
      <c r="L846" s="435"/>
      <c r="M846" s="435"/>
      <c r="N846" s="435"/>
      <c r="O846" s="318"/>
      <c r="P846" s="435"/>
      <c r="Q846" s="435"/>
      <c r="R846" s="435"/>
      <c r="S846" s="747"/>
      <c r="T846" s="748"/>
      <c r="U846" s="435"/>
      <c r="V846" s="740"/>
      <c r="W846" s="435"/>
      <c r="X846" s="435"/>
      <c r="Y846" s="435"/>
      <c r="Z846" s="749"/>
      <c r="AA846" s="749"/>
      <c r="AB846" s="435"/>
      <c r="AC846" s="750"/>
      <c r="AD846" s="324"/>
      <c r="AE846" s="180"/>
      <c r="AF846" s="155"/>
      <c r="AG846" s="322"/>
      <c r="AH846" s="132"/>
      <c r="AI846" s="132"/>
    </row>
    <row r="847">
      <c r="A847" s="474"/>
      <c r="B847" s="312"/>
      <c r="C847" s="745"/>
      <c r="D847" s="751"/>
      <c r="E847" s="742"/>
      <c r="F847" s="316"/>
      <c r="G847" s="314"/>
      <c r="H847" s="740"/>
      <c r="I847" s="314"/>
      <c r="J847" s="435"/>
      <c r="K847" s="435"/>
      <c r="L847" s="435"/>
      <c r="M847" s="314"/>
      <c r="N847" s="314"/>
      <c r="O847" s="318"/>
      <c r="P847" s="435"/>
      <c r="Q847" s="435"/>
      <c r="R847" s="435"/>
      <c r="S847" s="747"/>
      <c r="T847" s="748"/>
      <c r="U847" s="435"/>
      <c r="V847" s="740"/>
      <c r="W847" s="435"/>
      <c r="X847" s="435"/>
      <c r="Y847" s="435"/>
      <c r="Z847" s="749"/>
      <c r="AA847" s="749"/>
      <c r="AB847" s="435"/>
      <c r="AC847" s="750"/>
      <c r="AD847" s="324"/>
      <c r="AE847" s="180"/>
      <c r="AF847" s="155"/>
      <c r="AG847" s="322"/>
      <c r="AH847" s="132"/>
      <c r="AI847" s="132"/>
    </row>
    <row r="848">
      <c r="A848" s="477"/>
      <c r="B848" s="745"/>
      <c r="C848" s="745"/>
      <c r="D848" s="751"/>
      <c r="E848" s="316"/>
      <c r="F848" s="316"/>
      <c r="G848" s="314"/>
      <c r="H848" s="740"/>
      <c r="I848" s="435"/>
      <c r="J848" s="435"/>
      <c r="K848" s="435"/>
      <c r="L848" s="435"/>
      <c r="M848" s="435"/>
      <c r="N848" s="435"/>
      <c r="O848" s="318"/>
      <c r="P848" s="435"/>
      <c r="Q848" s="435"/>
      <c r="R848" s="435"/>
      <c r="S848" s="747"/>
      <c r="T848" s="748"/>
      <c r="U848" s="435"/>
      <c r="V848" s="740"/>
      <c r="W848" s="435"/>
      <c r="X848" s="435"/>
      <c r="Y848" s="435"/>
      <c r="Z848" s="749"/>
      <c r="AA848" s="749"/>
      <c r="AB848" s="435"/>
      <c r="AC848" s="750"/>
      <c r="AD848" s="324"/>
      <c r="AE848" s="180"/>
      <c r="AF848" s="155"/>
      <c r="AG848" s="322"/>
      <c r="AH848" s="132"/>
      <c r="AI848" s="132"/>
    </row>
    <row r="849">
      <c r="A849" s="477"/>
      <c r="B849" s="745"/>
      <c r="C849" s="745"/>
      <c r="D849" s="751"/>
      <c r="E849" s="316"/>
      <c r="F849" s="316"/>
      <c r="G849" s="314"/>
      <c r="H849" s="740"/>
      <c r="I849" s="314"/>
      <c r="J849" s="314"/>
      <c r="K849" s="435"/>
      <c r="L849" s="435"/>
      <c r="M849" s="435"/>
      <c r="N849" s="314"/>
      <c r="O849" s="318"/>
      <c r="P849" s="435"/>
      <c r="Q849" s="435"/>
      <c r="R849" s="435"/>
      <c r="S849" s="747"/>
      <c r="T849" s="748"/>
      <c r="U849" s="435"/>
      <c r="V849" s="740"/>
      <c r="W849" s="435"/>
      <c r="X849" s="435"/>
      <c r="Y849" s="435"/>
      <c r="Z849" s="749"/>
      <c r="AA849" s="749"/>
      <c r="AB849" s="435"/>
      <c r="AC849" s="750"/>
      <c r="AD849" s="324"/>
      <c r="AE849" s="180"/>
      <c r="AF849" s="155"/>
      <c r="AG849" s="322"/>
      <c r="AH849" s="132"/>
      <c r="AI849" s="132"/>
    </row>
    <row r="850">
      <c r="A850" s="477"/>
      <c r="B850" s="745"/>
      <c r="C850" s="745"/>
      <c r="D850" s="751"/>
      <c r="E850" s="742"/>
      <c r="F850" s="316"/>
      <c r="G850" s="314"/>
      <c r="H850" s="740"/>
      <c r="I850" s="435"/>
      <c r="J850" s="435"/>
      <c r="K850" s="435"/>
      <c r="L850" s="435"/>
      <c r="M850" s="435"/>
      <c r="N850" s="435"/>
      <c r="O850" s="318"/>
      <c r="P850" s="435"/>
      <c r="Q850" s="435"/>
      <c r="R850" s="435"/>
      <c r="S850" s="747"/>
      <c r="T850" s="748"/>
      <c r="U850" s="435"/>
      <c r="V850" s="740"/>
      <c r="W850" s="435"/>
      <c r="X850" s="435"/>
      <c r="Y850" s="435"/>
      <c r="Z850" s="749"/>
      <c r="AA850" s="749"/>
      <c r="AB850" s="435"/>
      <c r="AC850" s="750"/>
      <c r="AD850" s="324"/>
      <c r="AE850" s="180"/>
      <c r="AF850" s="155"/>
      <c r="AG850" s="322"/>
      <c r="AH850" s="132"/>
      <c r="AI850" s="132"/>
    </row>
    <row r="851">
      <c r="A851" s="474"/>
      <c r="B851" s="312"/>
      <c r="C851" s="745"/>
      <c r="D851" s="717"/>
      <c r="E851" s="742"/>
      <c r="F851" s="316"/>
      <c r="G851" s="314"/>
      <c r="H851" s="740"/>
      <c r="I851" s="314"/>
      <c r="J851" s="435"/>
      <c r="K851" s="435"/>
      <c r="L851" s="314"/>
      <c r="M851" s="435"/>
      <c r="N851" s="314"/>
      <c r="O851" s="318"/>
      <c r="P851" s="435"/>
      <c r="Q851" s="435"/>
      <c r="R851" s="435"/>
      <c r="S851" s="747"/>
      <c r="T851" s="748"/>
      <c r="U851" s="435"/>
      <c r="V851" s="740"/>
      <c r="W851" s="435"/>
      <c r="X851" s="435"/>
      <c r="Y851" s="435"/>
      <c r="Z851" s="749"/>
      <c r="AA851" s="749"/>
      <c r="AB851" s="435"/>
      <c r="AC851" s="750"/>
      <c r="AD851" s="324"/>
      <c r="AE851" s="180"/>
      <c r="AF851" s="155"/>
      <c r="AG851" s="322"/>
      <c r="AH851" s="132"/>
      <c r="AI851" s="132"/>
    </row>
    <row r="852">
      <c r="A852" s="478"/>
      <c r="B852" s="745"/>
      <c r="C852" s="745"/>
      <c r="D852" s="751"/>
      <c r="E852" s="742"/>
      <c r="F852" s="316"/>
      <c r="G852" s="314"/>
      <c r="H852" s="740"/>
      <c r="I852" s="435"/>
      <c r="J852" s="435"/>
      <c r="K852" s="435"/>
      <c r="L852" s="435"/>
      <c r="M852" s="435"/>
      <c r="N852" s="435"/>
      <c r="O852" s="318"/>
      <c r="P852" s="435"/>
      <c r="Q852" s="435"/>
      <c r="R852" s="435"/>
      <c r="S852" s="747"/>
      <c r="T852" s="748"/>
      <c r="U852" s="435"/>
      <c r="V852" s="740"/>
      <c r="W852" s="435"/>
      <c r="X852" s="435"/>
      <c r="Y852" s="435"/>
      <c r="Z852" s="749"/>
      <c r="AA852" s="749"/>
      <c r="AB852" s="435"/>
      <c r="AC852" s="750"/>
      <c r="AD852" s="324"/>
      <c r="AE852" s="180"/>
      <c r="AF852" s="155"/>
      <c r="AG852" s="322"/>
      <c r="AH852" s="132"/>
      <c r="AI852" s="132"/>
    </row>
    <row r="853">
      <c r="A853" s="478"/>
      <c r="B853" s="745"/>
      <c r="C853" s="745"/>
      <c r="D853" s="751"/>
      <c r="E853" s="742"/>
      <c r="F853" s="316"/>
      <c r="G853" s="314"/>
      <c r="H853" s="740"/>
      <c r="I853" s="435"/>
      <c r="J853" s="435"/>
      <c r="K853" s="435"/>
      <c r="L853" s="435"/>
      <c r="M853" s="435"/>
      <c r="N853" s="435"/>
      <c r="O853" s="318"/>
      <c r="P853" s="435"/>
      <c r="Q853" s="435"/>
      <c r="R853" s="435"/>
      <c r="S853" s="747"/>
      <c r="T853" s="748"/>
      <c r="U853" s="435"/>
      <c r="V853" s="740"/>
      <c r="W853" s="435"/>
      <c r="X853" s="435"/>
      <c r="Y853" s="435"/>
      <c r="Z853" s="749"/>
      <c r="AA853" s="749"/>
      <c r="AB853" s="435"/>
      <c r="AC853" s="750"/>
      <c r="AD853" s="324"/>
      <c r="AE853" s="180"/>
      <c r="AF853" s="155"/>
      <c r="AG853" s="322"/>
      <c r="AH853" s="132"/>
      <c r="AI853" s="132"/>
    </row>
    <row r="854">
      <c r="A854" s="478"/>
      <c r="B854" s="745"/>
      <c r="C854" s="745"/>
      <c r="D854" s="717"/>
      <c r="E854" s="316"/>
      <c r="F854" s="316"/>
      <c r="G854" s="314"/>
      <c r="H854" s="740"/>
      <c r="I854" s="435"/>
      <c r="J854" s="314"/>
      <c r="K854" s="435"/>
      <c r="L854" s="314"/>
      <c r="M854" s="435"/>
      <c r="N854" s="314"/>
      <c r="O854" s="318"/>
      <c r="P854" s="314"/>
      <c r="Q854" s="314"/>
      <c r="R854" s="314"/>
      <c r="S854" s="747"/>
      <c r="T854" s="748"/>
      <c r="U854" s="435"/>
      <c r="V854" s="740"/>
      <c r="W854" s="435"/>
      <c r="X854" s="435"/>
      <c r="Y854" s="435"/>
      <c r="Z854" s="749"/>
      <c r="AA854" s="749"/>
      <c r="AB854" s="435"/>
      <c r="AC854" s="750"/>
      <c r="AD854" s="324"/>
      <c r="AE854" s="180"/>
      <c r="AF854" s="155"/>
      <c r="AG854" s="322"/>
      <c r="AH854" s="132"/>
      <c r="AI854" s="132"/>
    </row>
    <row r="855">
      <c r="A855" s="477"/>
      <c r="B855" s="312"/>
      <c r="C855" s="745"/>
      <c r="D855" s="751"/>
      <c r="E855" s="742"/>
      <c r="F855" s="316"/>
      <c r="G855" s="314"/>
      <c r="H855" s="740"/>
      <c r="I855" s="435"/>
      <c r="J855" s="435"/>
      <c r="K855" s="435"/>
      <c r="L855" s="435"/>
      <c r="M855" s="435"/>
      <c r="N855" s="435"/>
      <c r="O855" s="318"/>
      <c r="P855" s="435"/>
      <c r="Q855" s="435"/>
      <c r="R855" s="435"/>
      <c r="S855" s="747"/>
      <c r="T855" s="748"/>
      <c r="U855" s="435"/>
      <c r="V855" s="740"/>
      <c r="W855" s="435"/>
      <c r="X855" s="435"/>
      <c r="Y855" s="435"/>
      <c r="Z855" s="749"/>
      <c r="AA855" s="749"/>
      <c r="AB855" s="435"/>
      <c r="AC855" s="750"/>
      <c r="AD855" s="324"/>
      <c r="AE855" s="180"/>
      <c r="AF855" s="155"/>
      <c r="AG855" s="322"/>
      <c r="AH855" s="132"/>
      <c r="AI855" s="132"/>
    </row>
    <row r="856">
      <c r="A856" s="477"/>
      <c r="B856" s="312"/>
      <c r="C856" s="312"/>
      <c r="D856" s="717"/>
      <c r="E856" s="316"/>
      <c r="F856" s="316"/>
      <c r="G856" s="314"/>
      <c r="H856" s="740"/>
      <c r="I856" s="314"/>
      <c r="J856" s="314"/>
      <c r="K856" s="314"/>
      <c r="L856" s="314"/>
      <c r="M856" s="314"/>
      <c r="N856" s="435"/>
      <c r="O856" s="318"/>
      <c r="P856" s="314"/>
      <c r="Q856" s="435"/>
      <c r="R856" s="314"/>
      <c r="S856" s="718"/>
      <c r="T856" s="719"/>
      <c r="U856" s="314"/>
      <c r="V856" s="318"/>
      <c r="W856" s="314"/>
      <c r="X856" s="314"/>
      <c r="Y856" s="314"/>
      <c r="Z856" s="721"/>
      <c r="AA856" s="721"/>
      <c r="AB856" s="314"/>
      <c r="AC856" s="317"/>
      <c r="AD856" s="324"/>
      <c r="AE856" s="180"/>
      <c r="AF856" s="155"/>
      <c r="AG856" s="322"/>
      <c r="AH856" s="132"/>
      <c r="AI856" s="132"/>
    </row>
    <row r="857">
      <c r="A857" s="477"/>
      <c r="B857" s="312"/>
      <c r="C857" s="312"/>
      <c r="D857" s="717"/>
      <c r="E857" s="316"/>
      <c r="F857" s="316"/>
      <c r="G857" s="314"/>
      <c r="H857" s="318"/>
      <c r="I857" s="314"/>
      <c r="J857" s="314"/>
      <c r="K857" s="314"/>
      <c r="L857" s="314"/>
      <c r="M857" s="314"/>
      <c r="N857" s="314"/>
      <c r="O857" s="318"/>
      <c r="P857" s="314"/>
      <c r="Q857" s="314"/>
      <c r="R857" s="314"/>
      <c r="S857" s="718"/>
      <c r="T857" s="719"/>
      <c r="U857" s="314"/>
      <c r="V857" s="318"/>
      <c r="W857" s="314"/>
      <c r="X857" s="314"/>
      <c r="Y857" s="314"/>
      <c r="Z857" s="721"/>
      <c r="AA857" s="721"/>
      <c r="AB857" s="314"/>
      <c r="AC857" s="317"/>
      <c r="AD857" s="324"/>
      <c r="AE857" s="180"/>
      <c r="AF857" s="155"/>
      <c r="AG857" s="322"/>
      <c r="AH857" s="132"/>
      <c r="AI857" s="132"/>
    </row>
    <row r="858">
      <c r="A858" s="476"/>
      <c r="AF858" s="176"/>
      <c r="AG858" s="322"/>
      <c r="AH858" s="132"/>
      <c r="AI858" s="132"/>
    </row>
    <row r="859">
      <c r="A859" s="178"/>
      <c r="AG859" s="322"/>
      <c r="AH859" s="132"/>
      <c r="AI859" s="132"/>
    </row>
    <row r="860">
      <c r="A860" s="477"/>
      <c r="B860" s="745"/>
      <c r="C860" s="745"/>
      <c r="D860" s="751"/>
      <c r="E860" s="316"/>
      <c r="F860" s="316"/>
      <c r="G860" s="314"/>
      <c r="H860" s="318"/>
      <c r="I860" s="314"/>
      <c r="J860" s="314"/>
      <c r="K860" s="435"/>
      <c r="L860" s="435"/>
      <c r="M860" s="314"/>
      <c r="N860" s="314"/>
      <c r="O860" s="318"/>
      <c r="P860" s="314"/>
      <c r="Q860" s="435"/>
      <c r="R860" s="435"/>
      <c r="S860" s="747"/>
      <c r="T860" s="748"/>
      <c r="U860" s="435"/>
      <c r="V860" s="740"/>
      <c r="W860" s="435"/>
      <c r="X860" s="435"/>
      <c r="Y860" s="435"/>
      <c r="Z860" s="749"/>
      <c r="AA860" s="749"/>
      <c r="AB860" s="435"/>
      <c r="AC860" s="750"/>
      <c r="AD860" s="324"/>
      <c r="AE860" s="180"/>
      <c r="AF860" s="155"/>
      <c r="AG860" s="322"/>
      <c r="AH860" s="132"/>
      <c r="AI860" s="132"/>
    </row>
    <row r="861">
      <c r="A861" s="477"/>
      <c r="B861" s="312"/>
      <c r="C861" s="745"/>
      <c r="D861" s="751"/>
      <c r="E861" s="316"/>
      <c r="F861" s="316"/>
      <c r="G861" s="314"/>
      <c r="H861" s="318"/>
      <c r="I861" s="435"/>
      <c r="J861" s="435"/>
      <c r="K861" s="435"/>
      <c r="L861" s="314"/>
      <c r="M861" s="435"/>
      <c r="N861" s="314"/>
      <c r="O861" s="318"/>
      <c r="P861" s="314"/>
      <c r="Q861" s="435"/>
      <c r="R861" s="435"/>
      <c r="S861" s="747"/>
      <c r="T861" s="748"/>
      <c r="U861" s="435"/>
      <c r="V861" s="740"/>
      <c r="W861" s="435"/>
      <c r="X861" s="435"/>
      <c r="Y861" s="435"/>
      <c r="Z861" s="749"/>
      <c r="AA861" s="749"/>
      <c r="AB861" s="435"/>
      <c r="AC861" s="750"/>
      <c r="AD861" s="324"/>
      <c r="AE861" s="180"/>
      <c r="AF861" s="155"/>
      <c r="AG861" s="322"/>
      <c r="AH861" s="132"/>
      <c r="AI861" s="132"/>
    </row>
    <row r="862">
      <c r="A862" s="477"/>
      <c r="B862" s="312"/>
      <c r="C862" s="745"/>
      <c r="D862" s="751"/>
      <c r="E862" s="742"/>
      <c r="F862" s="316"/>
      <c r="G862" s="314"/>
      <c r="H862" s="740"/>
      <c r="I862" s="314"/>
      <c r="J862" s="314"/>
      <c r="K862" s="435"/>
      <c r="L862" s="314"/>
      <c r="M862" s="435"/>
      <c r="N862" s="435"/>
      <c r="O862" s="318"/>
      <c r="P862" s="435"/>
      <c r="Q862" s="435"/>
      <c r="R862" s="435"/>
      <c r="S862" s="747"/>
      <c r="T862" s="748"/>
      <c r="U862" s="435"/>
      <c r="V862" s="740"/>
      <c r="W862" s="435"/>
      <c r="X862" s="435"/>
      <c r="Y862" s="435"/>
      <c r="Z862" s="749"/>
      <c r="AA862" s="749"/>
      <c r="AB862" s="435"/>
      <c r="AC862" s="750"/>
      <c r="AD862" s="324"/>
      <c r="AE862" s="180"/>
      <c r="AF862" s="155"/>
      <c r="AG862" s="322"/>
      <c r="AH862" s="132"/>
      <c r="AI862" s="132"/>
    </row>
    <row r="863">
      <c r="A863" s="479"/>
      <c r="B863" s="312"/>
      <c r="C863" s="312"/>
      <c r="D863" s="717"/>
      <c r="E863" s="316"/>
      <c r="F863" s="316"/>
      <c r="G863" s="314"/>
      <c r="H863" s="318"/>
      <c r="I863" s="314"/>
      <c r="J863" s="314"/>
      <c r="K863" s="314"/>
      <c r="L863" s="314"/>
      <c r="M863" s="314"/>
      <c r="N863" s="314"/>
      <c r="O863" s="318"/>
      <c r="P863" s="314"/>
      <c r="Q863" s="435"/>
      <c r="R863" s="314"/>
      <c r="S863" s="718"/>
      <c r="T863" s="719"/>
      <c r="U863" s="314"/>
      <c r="V863" s="318"/>
      <c r="W863" s="314"/>
      <c r="X863" s="314"/>
      <c r="Y863" s="314"/>
      <c r="Z863" s="721"/>
      <c r="AA863" s="721"/>
      <c r="AB863" s="314"/>
      <c r="AC863" s="317"/>
      <c r="AD863" s="324"/>
      <c r="AE863" s="180"/>
      <c r="AF863" s="155"/>
      <c r="AG863" s="322"/>
      <c r="AH863" s="132"/>
      <c r="AI863" s="132"/>
    </row>
    <row r="864">
      <c r="A864" s="476"/>
      <c r="AF864" s="176"/>
      <c r="AG864" s="322"/>
      <c r="AH864" s="132"/>
      <c r="AI864" s="132"/>
    </row>
    <row r="865">
      <c r="A865" s="178"/>
      <c r="AG865" s="322"/>
      <c r="AH865" s="132"/>
      <c r="AI865" s="132"/>
    </row>
    <row r="866">
      <c r="A866" s="480"/>
      <c r="B866" s="312"/>
      <c r="C866" s="745"/>
      <c r="D866" s="717"/>
      <c r="E866" s="316"/>
      <c r="F866" s="316"/>
      <c r="G866" s="314"/>
      <c r="H866" s="318"/>
      <c r="I866" s="314"/>
      <c r="J866" s="435"/>
      <c r="K866" s="435"/>
      <c r="L866" s="314"/>
      <c r="M866" s="314"/>
      <c r="N866" s="314"/>
      <c r="O866" s="318"/>
      <c r="P866" s="314"/>
      <c r="Q866" s="435"/>
      <c r="R866" s="314"/>
      <c r="S866" s="718"/>
      <c r="T866" s="719"/>
      <c r="U866" s="314"/>
      <c r="V866" s="318"/>
      <c r="W866" s="314"/>
      <c r="X866" s="314"/>
      <c r="Y866" s="314"/>
      <c r="Z866" s="721"/>
      <c r="AA866" s="721"/>
      <c r="AB866" s="314"/>
      <c r="AC866" s="317"/>
      <c r="AD866" s="324"/>
      <c r="AE866" s="180"/>
      <c r="AF866" s="180"/>
      <c r="AG866" s="322"/>
      <c r="AH866" s="132"/>
      <c r="AI866" s="132"/>
    </row>
    <row r="867">
      <c r="A867" s="480"/>
      <c r="B867" s="312"/>
      <c r="C867" s="745"/>
      <c r="D867" s="717"/>
      <c r="E867" s="316"/>
      <c r="F867" s="316"/>
      <c r="G867" s="314"/>
      <c r="H867" s="740"/>
      <c r="I867" s="314"/>
      <c r="J867" s="435"/>
      <c r="K867" s="435"/>
      <c r="L867" s="314"/>
      <c r="M867" s="435"/>
      <c r="N867" s="435"/>
      <c r="O867" s="318"/>
      <c r="P867" s="435"/>
      <c r="Q867" s="435"/>
      <c r="R867" s="314"/>
      <c r="S867" s="747"/>
      <c r="T867" s="748"/>
      <c r="U867" s="435"/>
      <c r="V867" s="740"/>
      <c r="W867" s="435"/>
      <c r="X867" s="435"/>
      <c r="Y867" s="435"/>
      <c r="Z867" s="749"/>
      <c r="AA867" s="749"/>
      <c r="AB867" s="435"/>
      <c r="AC867" s="750"/>
      <c r="AD867" s="324"/>
      <c r="AE867" s="180"/>
      <c r="AF867" s="180"/>
      <c r="AG867" s="322"/>
      <c r="AH867" s="132"/>
      <c r="AI867" s="132"/>
    </row>
    <row r="868">
      <c r="A868" s="476"/>
      <c r="AF868" s="176"/>
      <c r="AG868" s="322"/>
      <c r="AH868" s="132"/>
      <c r="AI868" s="132"/>
    </row>
    <row r="869">
      <c r="A869" s="178"/>
      <c r="AG869" s="322"/>
      <c r="AH869" s="132"/>
      <c r="AI869" s="132"/>
    </row>
    <row r="870">
      <c r="A870" s="481"/>
      <c r="B870" s="312"/>
      <c r="C870" s="745"/>
      <c r="D870" s="751"/>
      <c r="E870" s="742"/>
      <c r="F870" s="316"/>
      <c r="G870" s="435"/>
      <c r="H870" s="740"/>
      <c r="I870" s="435"/>
      <c r="J870" s="314"/>
      <c r="K870" s="435"/>
      <c r="L870" s="435"/>
      <c r="M870" s="435"/>
      <c r="N870" s="314"/>
      <c r="O870" s="318"/>
      <c r="P870" s="435"/>
      <c r="Q870" s="435"/>
      <c r="R870" s="435"/>
      <c r="S870" s="747"/>
      <c r="T870" s="748"/>
      <c r="U870" s="435"/>
      <c r="V870" s="740"/>
      <c r="W870" s="435"/>
      <c r="X870" s="435"/>
      <c r="Y870" s="435"/>
      <c r="Z870" s="749"/>
      <c r="AA870" s="749"/>
      <c r="AB870" s="435"/>
      <c r="AC870" s="750"/>
      <c r="AD870" s="324"/>
      <c r="AE870" s="180"/>
      <c r="AF870" s="155"/>
      <c r="AG870" s="322"/>
      <c r="AH870" s="132"/>
      <c r="AI870" s="132"/>
    </row>
    <row r="871">
      <c r="A871" s="435"/>
      <c r="B871" s="312"/>
      <c r="C871" s="745"/>
      <c r="D871" s="751"/>
      <c r="E871" s="316"/>
      <c r="F871" s="316"/>
      <c r="G871" s="314"/>
      <c r="H871" s="740"/>
      <c r="I871" s="314"/>
      <c r="J871" s="435"/>
      <c r="K871" s="435"/>
      <c r="L871" s="314"/>
      <c r="M871" s="314"/>
      <c r="N871" s="314"/>
      <c r="O871" s="318"/>
      <c r="P871" s="435"/>
      <c r="Q871" s="435"/>
      <c r="R871" s="435"/>
      <c r="S871" s="747"/>
      <c r="T871" s="748"/>
      <c r="U871" s="435"/>
      <c r="V871" s="740"/>
      <c r="W871" s="435"/>
      <c r="X871" s="435"/>
      <c r="Y871" s="435"/>
      <c r="Z871" s="749"/>
      <c r="AA871" s="749"/>
      <c r="AB871" s="435"/>
      <c r="AC871" s="750"/>
      <c r="AD871" s="324"/>
      <c r="AE871" s="180"/>
      <c r="AF871" s="155"/>
      <c r="AG871" s="322"/>
      <c r="AH871" s="132"/>
      <c r="AI871" s="132"/>
    </row>
    <row r="872">
      <c r="A872" s="482"/>
      <c r="B872" s="312"/>
      <c r="C872" s="312"/>
      <c r="D872" s="751"/>
      <c r="E872" s="316"/>
      <c r="F872" s="316"/>
      <c r="G872" s="314"/>
      <c r="H872" s="318"/>
      <c r="I872" s="314"/>
      <c r="J872" s="314"/>
      <c r="K872" s="435"/>
      <c r="L872" s="314"/>
      <c r="M872" s="314"/>
      <c r="N872" s="314"/>
      <c r="O872" s="318"/>
      <c r="P872" s="314"/>
      <c r="Q872" s="314"/>
      <c r="R872" s="435"/>
      <c r="S872" s="718"/>
      <c r="T872" s="719"/>
      <c r="U872" s="314"/>
      <c r="V872" s="318"/>
      <c r="W872" s="314"/>
      <c r="X872" s="314"/>
      <c r="Y872" s="314"/>
      <c r="Z872" s="721"/>
      <c r="AA872" s="721"/>
      <c r="AB872" s="314"/>
      <c r="AC872" s="317"/>
      <c r="AD872" s="324"/>
      <c r="AE872" s="180"/>
      <c r="AF872" s="155"/>
      <c r="AG872" s="322"/>
      <c r="AH872" s="132"/>
      <c r="AI872" s="132"/>
    </row>
    <row r="873">
      <c r="A873" s="482"/>
      <c r="B873" s="312"/>
      <c r="C873" s="745"/>
      <c r="D873" s="751"/>
      <c r="E873" s="742"/>
      <c r="F873" s="316"/>
      <c r="G873" s="314"/>
      <c r="H873" s="740"/>
      <c r="I873" s="435"/>
      <c r="J873" s="435"/>
      <c r="K873" s="435"/>
      <c r="L873" s="435"/>
      <c r="M873" s="435"/>
      <c r="N873" s="435"/>
      <c r="O873" s="318"/>
      <c r="P873" s="435"/>
      <c r="Q873" s="435"/>
      <c r="R873" s="435"/>
      <c r="S873" s="747"/>
      <c r="T873" s="748"/>
      <c r="U873" s="435"/>
      <c r="V873" s="740"/>
      <c r="W873" s="435"/>
      <c r="X873" s="435"/>
      <c r="Y873" s="435"/>
      <c r="Z873" s="749"/>
      <c r="AA873" s="749"/>
      <c r="AB873" s="435"/>
      <c r="AC873" s="750"/>
      <c r="AD873" s="324"/>
      <c r="AE873" s="180"/>
      <c r="AF873" s="155"/>
      <c r="AG873" s="322"/>
      <c r="AH873" s="132"/>
      <c r="AI873" s="132"/>
    </row>
    <row r="874">
      <c r="A874" s="314"/>
      <c r="B874" s="312"/>
      <c r="C874" s="312"/>
      <c r="D874" s="717"/>
      <c r="E874" s="316"/>
      <c r="F874" s="316"/>
      <c r="G874" s="314"/>
      <c r="H874" s="318"/>
      <c r="I874" s="314"/>
      <c r="J874" s="314"/>
      <c r="K874" s="314"/>
      <c r="L874" s="314"/>
      <c r="M874" s="314"/>
      <c r="N874" s="314"/>
      <c r="O874" s="318"/>
      <c r="P874" s="314"/>
      <c r="Q874" s="314"/>
      <c r="R874" s="314"/>
      <c r="S874" s="718"/>
      <c r="T874" s="719"/>
      <c r="U874" s="314"/>
      <c r="V874" s="318"/>
      <c r="W874" s="314"/>
      <c r="X874" s="314"/>
      <c r="Y874" s="314"/>
      <c r="Z874" s="721"/>
      <c r="AA874" s="721"/>
      <c r="AB874" s="314"/>
      <c r="AC874" s="317"/>
      <c r="AD874" s="483"/>
      <c r="AF874" s="484"/>
      <c r="AG874" s="322"/>
      <c r="AH874" s="132"/>
      <c r="AI874" s="132"/>
    </row>
    <row r="875">
      <c r="A875" s="314"/>
      <c r="B875" s="312"/>
      <c r="C875" s="312"/>
      <c r="D875" s="717"/>
      <c r="E875" s="316"/>
      <c r="F875" s="316"/>
      <c r="G875" s="314"/>
      <c r="H875" s="318"/>
      <c r="I875" s="314"/>
      <c r="J875" s="314"/>
      <c r="K875" s="314"/>
      <c r="L875" s="314"/>
      <c r="M875" s="314"/>
      <c r="N875" s="314"/>
      <c r="O875" s="318"/>
      <c r="P875" s="314"/>
      <c r="Q875" s="314"/>
      <c r="R875" s="314"/>
      <c r="S875" s="718"/>
      <c r="T875" s="719"/>
      <c r="U875" s="314"/>
      <c r="V875" s="318"/>
      <c r="W875" s="314"/>
      <c r="X875" s="314"/>
      <c r="Y875" s="314"/>
      <c r="Z875" s="721"/>
      <c r="AA875" s="721"/>
      <c r="AB875" s="314"/>
      <c r="AC875" s="317"/>
      <c r="AD875" s="324"/>
      <c r="AE875" s="155"/>
      <c r="AF875" s="155"/>
      <c r="AG875" s="322"/>
      <c r="AH875" s="132"/>
      <c r="AI875" s="132"/>
    </row>
    <row r="876">
      <c r="A876" s="314"/>
      <c r="B876" s="312"/>
      <c r="C876" s="312"/>
      <c r="D876" s="717"/>
      <c r="E876" s="316"/>
      <c r="F876" s="316"/>
      <c r="G876" s="314"/>
      <c r="H876" s="318"/>
      <c r="I876" s="314"/>
      <c r="J876" s="314"/>
      <c r="K876" s="314"/>
      <c r="L876" s="314"/>
      <c r="M876" s="314"/>
      <c r="N876" s="314"/>
      <c r="O876" s="318"/>
      <c r="P876" s="314"/>
      <c r="Q876" s="314"/>
      <c r="R876" s="314"/>
      <c r="S876" s="718"/>
      <c r="T876" s="719"/>
      <c r="U876" s="314"/>
      <c r="V876" s="318"/>
      <c r="W876" s="314"/>
      <c r="X876" s="314"/>
      <c r="Y876" s="314"/>
      <c r="Z876" s="721"/>
      <c r="AA876" s="721"/>
      <c r="AB876" s="314"/>
      <c r="AC876" s="317"/>
      <c r="AD876" s="324"/>
      <c r="AE876" s="155"/>
      <c r="AF876" s="155"/>
      <c r="AG876" s="322"/>
      <c r="AH876" s="132"/>
      <c r="AI876" s="132"/>
    </row>
    <row r="877">
      <c r="A877" s="314"/>
      <c r="B877" s="312"/>
      <c r="C877" s="312"/>
      <c r="D877" s="717"/>
      <c r="E877" s="316"/>
      <c r="F877" s="316"/>
      <c r="G877" s="314"/>
      <c r="H877" s="318"/>
      <c r="I877" s="314"/>
      <c r="J877" s="314"/>
      <c r="K877" s="314"/>
      <c r="L877" s="314"/>
      <c r="M877" s="314"/>
      <c r="N877" s="314"/>
      <c r="O877" s="318"/>
      <c r="P877" s="314"/>
      <c r="Q877" s="314"/>
      <c r="R877" s="314"/>
      <c r="S877" s="718"/>
      <c r="T877" s="719"/>
      <c r="U877" s="314"/>
      <c r="V877" s="318"/>
      <c r="W877" s="314"/>
      <c r="X877" s="314"/>
      <c r="Y877" s="314"/>
      <c r="Z877" s="721"/>
      <c r="AA877" s="721"/>
      <c r="AB877" s="314"/>
      <c r="AC877" s="317"/>
      <c r="AD877" s="324"/>
      <c r="AE877" s="155"/>
      <c r="AF877" s="155"/>
      <c r="AG877" s="322"/>
      <c r="AH877" s="132"/>
      <c r="AI877" s="132"/>
    </row>
    <row r="878">
      <c r="A878" s="314"/>
      <c r="B878" s="312"/>
      <c r="C878" s="312"/>
      <c r="D878" s="717"/>
      <c r="E878" s="316"/>
      <c r="F878" s="316"/>
      <c r="G878" s="314"/>
      <c r="H878" s="318"/>
      <c r="I878" s="314"/>
      <c r="J878" s="314"/>
      <c r="K878" s="314"/>
      <c r="L878" s="314"/>
      <c r="M878" s="314"/>
      <c r="N878" s="314"/>
      <c r="O878" s="318"/>
      <c r="P878" s="314"/>
      <c r="Q878" s="314"/>
      <c r="R878" s="314"/>
      <c r="S878" s="718"/>
      <c r="T878" s="719"/>
      <c r="U878" s="314"/>
      <c r="V878" s="318"/>
      <c r="W878" s="314"/>
      <c r="X878" s="314"/>
      <c r="Y878" s="314"/>
      <c r="Z878" s="721"/>
      <c r="AA878" s="721"/>
      <c r="AB878" s="314"/>
      <c r="AC878" s="317"/>
      <c r="AD878" s="324"/>
      <c r="AE878" s="155"/>
      <c r="AF878" s="155"/>
      <c r="AG878" s="322"/>
      <c r="AH878" s="132"/>
      <c r="AI878" s="132"/>
    </row>
    <row r="879">
      <c r="A879" s="314"/>
      <c r="B879" s="312"/>
      <c r="C879" s="312"/>
      <c r="D879" s="717"/>
      <c r="E879" s="316"/>
      <c r="F879" s="316"/>
      <c r="G879" s="314"/>
      <c r="H879" s="318"/>
      <c r="I879" s="314"/>
      <c r="J879" s="314"/>
      <c r="K879" s="314"/>
      <c r="L879" s="314"/>
      <c r="M879" s="314"/>
      <c r="N879" s="314"/>
      <c r="O879" s="318"/>
      <c r="P879" s="314"/>
      <c r="Q879" s="314"/>
      <c r="R879" s="314"/>
      <c r="S879" s="718"/>
      <c r="T879" s="719"/>
      <c r="U879" s="314"/>
      <c r="V879" s="318"/>
      <c r="W879" s="314"/>
      <c r="X879" s="314"/>
      <c r="Y879" s="314"/>
      <c r="Z879" s="721"/>
      <c r="AA879" s="721"/>
      <c r="AB879" s="314"/>
      <c r="AC879" s="317"/>
      <c r="AD879" s="324"/>
      <c r="AE879" s="155"/>
      <c r="AF879" s="155"/>
      <c r="AG879" s="322"/>
      <c r="AH879" s="132"/>
      <c r="AI879" s="132"/>
    </row>
    <row r="880">
      <c r="A880" s="314"/>
      <c r="B880" s="312"/>
      <c r="C880" s="312"/>
      <c r="D880" s="717"/>
      <c r="E880" s="316"/>
      <c r="F880" s="316"/>
      <c r="G880" s="314"/>
      <c r="H880" s="318"/>
      <c r="I880" s="314"/>
      <c r="J880" s="314"/>
      <c r="K880" s="314"/>
      <c r="L880" s="314"/>
      <c r="M880" s="314"/>
      <c r="N880" s="314"/>
      <c r="O880" s="318"/>
      <c r="P880" s="314"/>
      <c r="Q880" s="314"/>
      <c r="R880" s="314"/>
      <c r="S880" s="718"/>
      <c r="T880" s="719"/>
      <c r="U880" s="314"/>
      <c r="V880" s="318"/>
      <c r="W880" s="314"/>
      <c r="X880" s="314"/>
      <c r="Y880" s="314"/>
      <c r="Z880" s="721"/>
      <c r="AA880" s="721"/>
      <c r="AB880" s="314"/>
      <c r="AC880" s="317"/>
      <c r="AD880" s="324"/>
      <c r="AE880" s="155"/>
      <c r="AF880" s="155"/>
      <c r="AG880" s="322"/>
      <c r="AH880" s="132"/>
      <c r="AI880" s="132"/>
    </row>
    <row r="881">
      <c r="A881" s="314"/>
      <c r="B881" s="312"/>
      <c r="C881" s="312"/>
      <c r="D881" s="717"/>
      <c r="E881" s="316"/>
      <c r="F881" s="316"/>
      <c r="G881" s="314"/>
      <c r="H881" s="318"/>
      <c r="I881" s="314"/>
      <c r="J881" s="314"/>
      <c r="K881" s="314"/>
      <c r="L881" s="314"/>
      <c r="M881" s="314"/>
      <c r="N881" s="314"/>
      <c r="O881" s="318"/>
      <c r="P881" s="314"/>
      <c r="Q881" s="314"/>
      <c r="R881" s="314"/>
      <c r="S881" s="718"/>
      <c r="T881" s="719"/>
      <c r="U881" s="314"/>
      <c r="V881" s="318"/>
      <c r="W881" s="314"/>
      <c r="X881" s="314"/>
      <c r="Y881" s="314"/>
      <c r="Z881" s="721"/>
      <c r="AA881" s="721"/>
      <c r="AB881" s="314"/>
      <c r="AC881" s="317"/>
      <c r="AD881" s="324"/>
      <c r="AE881" s="155"/>
      <c r="AF881" s="155"/>
      <c r="AG881" s="322"/>
      <c r="AH881" s="132"/>
      <c r="AI881" s="132"/>
    </row>
    <row r="882">
      <c r="A882" s="314"/>
      <c r="B882" s="312"/>
      <c r="C882" s="312"/>
      <c r="D882" s="717"/>
      <c r="E882" s="316"/>
      <c r="F882" s="316"/>
      <c r="G882" s="314"/>
      <c r="H882" s="318"/>
      <c r="I882" s="314"/>
      <c r="J882" s="314"/>
      <c r="K882" s="314"/>
      <c r="L882" s="314"/>
      <c r="M882" s="314"/>
      <c r="N882" s="314"/>
      <c r="O882" s="318"/>
      <c r="P882" s="314"/>
      <c r="Q882" s="314"/>
      <c r="R882" s="314"/>
      <c r="S882" s="718"/>
      <c r="T882" s="719"/>
      <c r="U882" s="314"/>
      <c r="V882" s="318"/>
      <c r="W882" s="314"/>
      <c r="X882" s="314"/>
      <c r="Y882" s="314"/>
      <c r="Z882" s="721"/>
      <c r="AA882" s="721"/>
      <c r="AB882" s="314"/>
      <c r="AC882" s="317"/>
      <c r="AD882" s="324"/>
      <c r="AE882" s="155"/>
      <c r="AF882" s="155"/>
      <c r="AG882" s="322"/>
      <c r="AH882" s="132"/>
      <c r="AI882" s="132"/>
    </row>
    <row r="883">
      <c r="A883" s="314"/>
      <c r="B883" s="312"/>
      <c r="C883" s="312"/>
      <c r="D883" s="717"/>
      <c r="E883" s="316"/>
      <c r="F883" s="316"/>
      <c r="G883" s="314"/>
      <c r="H883" s="318"/>
      <c r="I883" s="314"/>
      <c r="J883" s="314"/>
      <c r="K883" s="314"/>
      <c r="L883" s="314"/>
      <c r="M883" s="314"/>
      <c r="N883" s="314"/>
      <c r="O883" s="318"/>
      <c r="P883" s="314"/>
      <c r="Q883" s="314"/>
      <c r="R883" s="314"/>
      <c r="S883" s="718"/>
      <c r="T883" s="719"/>
      <c r="U883" s="314"/>
      <c r="V883" s="318"/>
      <c r="W883" s="314"/>
      <c r="X883" s="314"/>
      <c r="Y883" s="314"/>
      <c r="Z883" s="721"/>
      <c r="AA883" s="721"/>
      <c r="AB883" s="314"/>
      <c r="AC883" s="317"/>
      <c r="AD883" s="324"/>
      <c r="AE883" s="155"/>
      <c r="AF883" s="155"/>
      <c r="AG883" s="322"/>
      <c r="AH883" s="132"/>
      <c r="AI883" s="132"/>
    </row>
    <row r="884">
      <c r="A884" s="314"/>
      <c r="B884" s="312"/>
      <c r="C884" s="312"/>
      <c r="D884" s="717"/>
      <c r="E884" s="316"/>
      <c r="F884" s="316"/>
      <c r="G884" s="314"/>
      <c r="H884" s="318"/>
      <c r="I884" s="314"/>
      <c r="J884" s="314"/>
      <c r="K884" s="314"/>
      <c r="L884" s="314"/>
      <c r="M884" s="314"/>
      <c r="N884" s="314"/>
      <c r="O884" s="318"/>
      <c r="P884" s="314"/>
      <c r="Q884" s="314"/>
      <c r="R884" s="314"/>
      <c r="S884" s="718"/>
      <c r="T884" s="719"/>
      <c r="U884" s="314"/>
      <c r="V884" s="318"/>
      <c r="W884" s="314"/>
      <c r="X884" s="314"/>
      <c r="Y884" s="314"/>
      <c r="Z884" s="721"/>
      <c r="AA884" s="721"/>
      <c r="AB884" s="314"/>
      <c r="AC884" s="317"/>
      <c r="AD884" s="324"/>
      <c r="AE884" s="155"/>
      <c r="AF884" s="155"/>
      <c r="AG884" s="322"/>
      <c r="AH884" s="132"/>
      <c r="AI884" s="132"/>
    </row>
    <row r="885">
      <c r="A885" s="314"/>
      <c r="B885" s="312"/>
      <c r="C885" s="312"/>
      <c r="D885" s="717"/>
      <c r="E885" s="316"/>
      <c r="F885" s="316"/>
      <c r="G885" s="314"/>
      <c r="H885" s="318"/>
      <c r="I885" s="314"/>
      <c r="J885" s="314"/>
      <c r="K885" s="314"/>
      <c r="L885" s="314"/>
      <c r="M885" s="314"/>
      <c r="N885" s="314"/>
      <c r="O885" s="318"/>
      <c r="P885" s="314"/>
      <c r="Q885" s="314"/>
      <c r="R885" s="314"/>
      <c r="S885" s="718"/>
      <c r="T885" s="719"/>
      <c r="U885" s="314"/>
      <c r="V885" s="318"/>
      <c r="W885" s="314"/>
      <c r="X885" s="314"/>
      <c r="Y885" s="314"/>
      <c r="Z885" s="721"/>
      <c r="AA885" s="721"/>
      <c r="AB885" s="314"/>
      <c r="AC885" s="317"/>
      <c r="AD885" s="324"/>
      <c r="AE885" s="155"/>
      <c r="AF885" s="155"/>
      <c r="AG885" s="322"/>
      <c r="AH885" s="132"/>
      <c r="AI885" s="132"/>
    </row>
    <row r="886">
      <c r="A886" s="314"/>
      <c r="B886" s="312"/>
      <c r="C886" s="312"/>
      <c r="D886" s="717"/>
      <c r="E886" s="316"/>
      <c r="F886" s="316"/>
      <c r="G886" s="314"/>
      <c r="H886" s="318"/>
      <c r="I886" s="314"/>
      <c r="J886" s="314"/>
      <c r="K886" s="314"/>
      <c r="L886" s="314"/>
      <c r="M886" s="314"/>
      <c r="N886" s="314"/>
      <c r="O886" s="318"/>
      <c r="P886" s="314"/>
      <c r="Q886" s="314"/>
      <c r="R886" s="314"/>
      <c r="S886" s="718"/>
      <c r="T886" s="719"/>
      <c r="U886" s="314"/>
      <c r="V886" s="318"/>
      <c r="W886" s="314"/>
      <c r="X886" s="314"/>
      <c r="Y886" s="314"/>
      <c r="Z886" s="721"/>
      <c r="AA886" s="721"/>
      <c r="AB886" s="314"/>
      <c r="AC886" s="317"/>
      <c r="AD886" s="324"/>
      <c r="AE886" s="155"/>
      <c r="AF886" s="155"/>
      <c r="AG886" s="322"/>
      <c r="AH886" s="132"/>
      <c r="AI886" s="132"/>
    </row>
    <row r="887">
      <c r="A887" s="314"/>
      <c r="B887" s="312"/>
      <c r="C887" s="312"/>
      <c r="D887" s="717"/>
      <c r="E887" s="316"/>
      <c r="F887" s="316"/>
      <c r="G887" s="314"/>
      <c r="H887" s="318"/>
      <c r="I887" s="314"/>
      <c r="J887" s="314"/>
      <c r="K887" s="314"/>
      <c r="L887" s="314"/>
      <c r="M887" s="314"/>
      <c r="N887" s="314"/>
      <c r="O887" s="318"/>
      <c r="P887" s="314"/>
      <c r="Q887" s="314"/>
      <c r="R887" s="314"/>
      <c r="S887" s="718"/>
      <c r="T887" s="719"/>
      <c r="U887" s="314"/>
      <c r="V887" s="318"/>
      <c r="W887" s="314"/>
      <c r="X887" s="314"/>
      <c r="Y887" s="314"/>
      <c r="Z887" s="721"/>
      <c r="AA887" s="721"/>
      <c r="AB887" s="314"/>
      <c r="AC887" s="317"/>
      <c r="AD887" s="324"/>
      <c r="AE887" s="155"/>
      <c r="AF887" s="155"/>
      <c r="AG887" s="322"/>
      <c r="AH887" s="132"/>
      <c r="AI887" s="132"/>
    </row>
    <row r="888">
      <c r="A888" s="314"/>
      <c r="B888" s="312"/>
      <c r="C888" s="312"/>
      <c r="D888" s="717"/>
      <c r="E888" s="316"/>
      <c r="F888" s="316"/>
      <c r="G888" s="314"/>
      <c r="H888" s="318"/>
      <c r="I888" s="314"/>
      <c r="J888" s="314"/>
      <c r="K888" s="314"/>
      <c r="L888" s="314"/>
      <c r="M888" s="314"/>
      <c r="N888" s="314"/>
      <c r="O888" s="318"/>
      <c r="P888" s="314"/>
      <c r="Q888" s="314"/>
      <c r="R888" s="314"/>
      <c r="S888" s="718"/>
      <c r="T888" s="719"/>
      <c r="U888" s="314"/>
      <c r="V888" s="318"/>
      <c r="W888" s="314"/>
      <c r="X888" s="314"/>
      <c r="Y888" s="314"/>
      <c r="Z888" s="721"/>
      <c r="AA888" s="721"/>
      <c r="AB888" s="314"/>
      <c r="AC888" s="317"/>
      <c r="AD888" s="324"/>
      <c r="AE888" s="155"/>
      <c r="AF888" s="155"/>
      <c r="AG888" s="322"/>
      <c r="AH888" s="132"/>
      <c r="AI888" s="132"/>
    </row>
    <row r="889">
      <c r="A889" s="314"/>
      <c r="B889" s="312"/>
      <c r="C889" s="312"/>
      <c r="D889" s="717"/>
      <c r="E889" s="316"/>
      <c r="F889" s="316"/>
      <c r="G889" s="314"/>
      <c r="H889" s="318"/>
      <c r="I889" s="314"/>
      <c r="J889" s="314"/>
      <c r="K889" s="314"/>
      <c r="L889" s="314"/>
      <c r="M889" s="314"/>
      <c r="N889" s="314"/>
      <c r="O889" s="318"/>
      <c r="P889" s="314"/>
      <c r="Q889" s="314"/>
      <c r="R889" s="314"/>
      <c r="S889" s="718"/>
      <c r="T889" s="719"/>
      <c r="U889" s="314"/>
      <c r="V889" s="318"/>
      <c r="W889" s="314"/>
      <c r="X889" s="314"/>
      <c r="Y889" s="314"/>
      <c r="Z889" s="721"/>
      <c r="AA889" s="721"/>
      <c r="AB889" s="314"/>
      <c r="AC889" s="317"/>
      <c r="AD889" s="324"/>
      <c r="AE889" s="155"/>
      <c r="AF889" s="155"/>
      <c r="AG889" s="322"/>
      <c r="AH889" s="132"/>
      <c r="AI889" s="132"/>
    </row>
    <row r="890">
      <c r="A890" s="314"/>
      <c r="B890" s="312"/>
      <c r="C890" s="312"/>
      <c r="D890" s="717"/>
      <c r="E890" s="316"/>
      <c r="F890" s="316"/>
      <c r="G890" s="314"/>
      <c r="H890" s="318"/>
      <c r="I890" s="314"/>
      <c r="J890" s="314"/>
      <c r="K890" s="314"/>
      <c r="L890" s="314"/>
      <c r="M890" s="314"/>
      <c r="N890" s="314"/>
      <c r="O890" s="318"/>
      <c r="P890" s="314"/>
      <c r="Q890" s="314"/>
      <c r="R890" s="314"/>
      <c r="S890" s="718"/>
      <c r="T890" s="719"/>
      <c r="U890" s="314"/>
      <c r="V890" s="318"/>
      <c r="W890" s="314"/>
      <c r="X890" s="314"/>
      <c r="Y890" s="314"/>
      <c r="Z890" s="721"/>
      <c r="AA890" s="721"/>
      <c r="AB890" s="314"/>
      <c r="AC890" s="317"/>
      <c r="AD890" s="324"/>
      <c r="AE890" s="155"/>
      <c r="AF890" s="155"/>
      <c r="AG890" s="322"/>
      <c r="AH890" s="132"/>
      <c r="AI890" s="132"/>
    </row>
    <row r="891">
      <c r="A891" s="314"/>
      <c r="B891" s="312"/>
      <c r="C891" s="312"/>
      <c r="D891" s="717"/>
      <c r="E891" s="316"/>
      <c r="F891" s="316"/>
      <c r="G891" s="314"/>
      <c r="H891" s="318"/>
      <c r="I891" s="314"/>
      <c r="J891" s="314"/>
      <c r="K891" s="314"/>
      <c r="L891" s="314"/>
      <c r="M891" s="314"/>
      <c r="N891" s="314"/>
      <c r="O891" s="318"/>
      <c r="P891" s="314"/>
      <c r="Q891" s="314"/>
      <c r="R891" s="314"/>
      <c r="S891" s="718"/>
      <c r="T891" s="719"/>
      <c r="U891" s="314"/>
      <c r="V891" s="318"/>
      <c r="W891" s="314"/>
      <c r="X891" s="314"/>
      <c r="Y891" s="314"/>
      <c r="Z891" s="721"/>
      <c r="AA891" s="721"/>
      <c r="AB891" s="314"/>
      <c r="AC891" s="317"/>
      <c r="AD891" s="324"/>
      <c r="AE891" s="155"/>
      <c r="AF891" s="155"/>
      <c r="AG891" s="322"/>
      <c r="AH891" s="132"/>
      <c r="AI891" s="132"/>
    </row>
    <row r="892">
      <c r="A892" s="314"/>
      <c r="B892" s="312"/>
      <c r="C892" s="312"/>
      <c r="D892" s="717"/>
      <c r="E892" s="316"/>
      <c r="F892" s="316"/>
      <c r="G892" s="314"/>
      <c r="H892" s="318"/>
      <c r="I892" s="314"/>
      <c r="J892" s="314"/>
      <c r="K892" s="314"/>
      <c r="L892" s="314"/>
      <c r="M892" s="314"/>
      <c r="N892" s="314"/>
      <c r="O892" s="318"/>
      <c r="P892" s="314"/>
      <c r="Q892" s="314"/>
      <c r="R892" s="314"/>
      <c r="S892" s="718"/>
      <c r="T892" s="719"/>
      <c r="U892" s="314"/>
      <c r="V892" s="318"/>
      <c r="W892" s="314"/>
      <c r="X892" s="314"/>
      <c r="Y892" s="314"/>
      <c r="Z892" s="721"/>
      <c r="AA892" s="721"/>
      <c r="AB892" s="314"/>
      <c r="AC892" s="317"/>
      <c r="AD892" s="324"/>
      <c r="AE892" s="155"/>
      <c r="AF892" s="155"/>
      <c r="AG892" s="322"/>
      <c r="AH892" s="132"/>
      <c r="AI892" s="132"/>
    </row>
    <row r="893">
      <c r="A893" s="314"/>
      <c r="B893" s="312"/>
      <c r="C893" s="312"/>
      <c r="D893" s="717"/>
      <c r="E893" s="316"/>
      <c r="F893" s="316"/>
      <c r="G893" s="314"/>
      <c r="H893" s="318"/>
      <c r="I893" s="314"/>
      <c r="J893" s="314"/>
      <c r="K893" s="314"/>
      <c r="L893" s="314"/>
      <c r="M893" s="314"/>
      <c r="N893" s="314"/>
      <c r="O893" s="318"/>
      <c r="P893" s="314"/>
      <c r="Q893" s="314"/>
      <c r="R893" s="314"/>
      <c r="S893" s="718"/>
      <c r="T893" s="719"/>
      <c r="U893" s="314"/>
      <c r="V893" s="318"/>
      <c r="W893" s="314"/>
      <c r="X893" s="314"/>
      <c r="Y893" s="314"/>
      <c r="Z893" s="721"/>
      <c r="AA893" s="721"/>
      <c r="AB893" s="314"/>
      <c r="AC893" s="317"/>
      <c r="AD893" s="324"/>
      <c r="AE893" s="155"/>
      <c r="AF893" s="155"/>
      <c r="AG893" s="322"/>
      <c r="AH893" s="132"/>
      <c r="AI893" s="132"/>
    </row>
    <row r="894">
      <c r="A894" s="314"/>
      <c r="B894" s="312"/>
      <c r="C894" s="312"/>
      <c r="D894" s="717"/>
      <c r="E894" s="316"/>
      <c r="F894" s="316"/>
      <c r="G894" s="314"/>
      <c r="H894" s="318"/>
      <c r="I894" s="314"/>
      <c r="J894" s="314"/>
      <c r="K894" s="314"/>
      <c r="L894" s="314"/>
      <c r="M894" s="314"/>
      <c r="N894" s="314"/>
      <c r="O894" s="318"/>
      <c r="P894" s="314"/>
      <c r="Q894" s="314"/>
      <c r="R894" s="314"/>
      <c r="S894" s="718"/>
      <c r="T894" s="719"/>
      <c r="U894" s="314"/>
      <c r="V894" s="318"/>
      <c r="W894" s="314"/>
      <c r="X894" s="314"/>
      <c r="Y894" s="314"/>
      <c r="Z894" s="721"/>
      <c r="AA894" s="721"/>
      <c r="AB894" s="314"/>
      <c r="AC894" s="317"/>
      <c r="AD894" s="324"/>
      <c r="AE894" s="155"/>
      <c r="AF894" s="155"/>
      <c r="AG894" s="322"/>
      <c r="AH894" s="132"/>
      <c r="AI894" s="132"/>
    </row>
    <row r="895">
      <c r="A895" s="314"/>
      <c r="B895" s="312"/>
      <c r="C895" s="312"/>
      <c r="D895" s="717"/>
      <c r="E895" s="316"/>
      <c r="F895" s="316"/>
      <c r="G895" s="314"/>
      <c r="H895" s="318"/>
      <c r="I895" s="314"/>
      <c r="J895" s="314"/>
      <c r="K895" s="314"/>
      <c r="L895" s="314"/>
      <c r="M895" s="314"/>
      <c r="N895" s="314"/>
      <c r="O895" s="318"/>
      <c r="P895" s="314"/>
      <c r="Q895" s="314"/>
      <c r="R895" s="314"/>
      <c r="S895" s="718"/>
      <c r="T895" s="719"/>
      <c r="U895" s="314"/>
      <c r="V895" s="318"/>
      <c r="W895" s="314"/>
      <c r="X895" s="314"/>
      <c r="Y895" s="314"/>
      <c r="Z895" s="721"/>
      <c r="AA895" s="721"/>
      <c r="AB895" s="314"/>
      <c r="AC895" s="317"/>
      <c r="AD895" s="324"/>
      <c r="AE895" s="155"/>
      <c r="AF895" s="155"/>
      <c r="AG895" s="322"/>
      <c r="AH895" s="132"/>
      <c r="AI895" s="132"/>
    </row>
    <row r="896">
      <c r="A896" s="314"/>
      <c r="B896" s="312"/>
      <c r="C896" s="312"/>
      <c r="D896" s="717"/>
      <c r="E896" s="316"/>
      <c r="F896" s="316"/>
      <c r="G896" s="314"/>
      <c r="H896" s="318"/>
      <c r="I896" s="314"/>
      <c r="J896" s="314"/>
      <c r="K896" s="314"/>
      <c r="L896" s="314"/>
      <c r="M896" s="314"/>
      <c r="N896" s="314"/>
      <c r="O896" s="318"/>
      <c r="P896" s="314"/>
      <c r="Q896" s="314"/>
      <c r="R896" s="314"/>
      <c r="S896" s="718"/>
      <c r="T896" s="719"/>
      <c r="U896" s="314"/>
      <c r="V896" s="318"/>
      <c r="W896" s="314"/>
      <c r="X896" s="314"/>
      <c r="Y896" s="314"/>
      <c r="Z896" s="721"/>
      <c r="AA896" s="721"/>
      <c r="AB896" s="314"/>
      <c r="AC896" s="317"/>
      <c r="AD896" s="324"/>
      <c r="AE896" s="155"/>
      <c r="AF896" s="155"/>
      <c r="AG896" s="322"/>
      <c r="AH896" s="132"/>
      <c r="AI896" s="132"/>
    </row>
    <row r="897">
      <c r="A897" s="314"/>
      <c r="B897" s="312"/>
      <c r="C897" s="312"/>
      <c r="D897" s="717"/>
      <c r="E897" s="316"/>
      <c r="F897" s="316"/>
      <c r="G897" s="314"/>
      <c r="H897" s="318"/>
      <c r="I897" s="314"/>
      <c r="J897" s="314"/>
      <c r="K897" s="314"/>
      <c r="L897" s="314"/>
      <c r="M897" s="314"/>
      <c r="N897" s="314"/>
      <c r="O897" s="318"/>
      <c r="P897" s="314"/>
      <c r="Q897" s="314"/>
      <c r="R897" s="314"/>
      <c r="S897" s="718"/>
      <c r="T897" s="719"/>
      <c r="U897" s="314"/>
      <c r="V897" s="318"/>
      <c r="W897" s="314"/>
      <c r="X897" s="314"/>
      <c r="Y897" s="314"/>
      <c r="Z897" s="721"/>
      <c r="AA897" s="721"/>
      <c r="AB897" s="314"/>
      <c r="AC897" s="317"/>
      <c r="AD897" s="324"/>
      <c r="AE897" s="155"/>
      <c r="AF897" s="155"/>
      <c r="AG897" s="322"/>
      <c r="AH897" s="132"/>
      <c r="AI897" s="132"/>
    </row>
    <row r="898">
      <c r="A898" s="314"/>
      <c r="B898" s="312"/>
      <c r="C898" s="312"/>
      <c r="D898" s="717"/>
      <c r="E898" s="316"/>
      <c r="F898" s="316"/>
      <c r="G898" s="314"/>
      <c r="H898" s="318"/>
      <c r="I898" s="314"/>
      <c r="J898" s="314"/>
      <c r="K898" s="314"/>
      <c r="L898" s="314"/>
      <c r="M898" s="314"/>
      <c r="N898" s="314"/>
      <c r="O898" s="318"/>
      <c r="P898" s="314"/>
      <c r="Q898" s="314"/>
      <c r="R898" s="314"/>
      <c r="S898" s="718"/>
      <c r="T898" s="719"/>
      <c r="U898" s="314"/>
      <c r="V898" s="318"/>
      <c r="W898" s="314"/>
      <c r="X898" s="314"/>
      <c r="Y898" s="314"/>
      <c r="Z898" s="721"/>
      <c r="AA898" s="721"/>
      <c r="AB898" s="314"/>
      <c r="AC898" s="317"/>
      <c r="AD898" s="324"/>
      <c r="AE898" s="155"/>
      <c r="AF898" s="155"/>
      <c r="AG898" s="322"/>
      <c r="AH898" s="132"/>
      <c r="AI898" s="132"/>
    </row>
    <row r="899">
      <c r="A899" s="314"/>
      <c r="B899" s="312"/>
      <c r="C899" s="312"/>
      <c r="D899" s="717"/>
      <c r="E899" s="316"/>
      <c r="F899" s="316"/>
      <c r="G899" s="314"/>
      <c r="H899" s="318"/>
      <c r="I899" s="314"/>
      <c r="J899" s="314"/>
      <c r="K899" s="314"/>
      <c r="L899" s="314"/>
      <c r="M899" s="314"/>
      <c r="N899" s="314"/>
      <c r="O899" s="318"/>
      <c r="P899" s="314"/>
      <c r="Q899" s="314"/>
      <c r="R899" s="314"/>
      <c r="S899" s="718"/>
      <c r="T899" s="719"/>
      <c r="U899" s="314"/>
      <c r="V899" s="318"/>
      <c r="W899" s="314"/>
      <c r="X899" s="314"/>
      <c r="Y899" s="314"/>
      <c r="Z899" s="721"/>
      <c r="AA899" s="721"/>
      <c r="AB899" s="314"/>
      <c r="AC899" s="317"/>
      <c r="AD899" s="324"/>
      <c r="AE899" s="155"/>
      <c r="AF899" s="155"/>
      <c r="AG899" s="322"/>
      <c r="AH899" s="132"/>
      <c r="AI899" s="132"/>
    </row>
    <row r="900">
      <c r="A900" s="314"/>
      <c r="B900" s="312"/>
      <c r="C900" s="312"/>
      <c r="D900" s="717"/>
      <c r="E900" s="316"/>
      <c r="F900" s="316"/>
      <c r="G900" s="314"/>
      <c r="H900" s="318"/>
      <c r="I900" s="314"/>
      <c r="J900" s="314"/>
      <c r="K900" s="314"/>
      <c r="L900" s="314"/>
      <c r="M900" s="314"/>
      <c r="N900" s="314"/>
      <c r="O900" s="318"/>
      <c r="P900" s="314"/>
      <c r="Q900" s="314"/>
      <c r="R900" s="314"/>
      <c r="S900" s="718"/>
      <c r="T900" s="719"/>
      <c r="U900" s="314"/>
      <c r="V900" s="318"/>
      <c r="W900" s="314"/>
      <c r="X900" s="314"/>
      <c r="Y900" s="314"/>
      <c r="Z900" s="721"/>
      <c r="AA900" s="721"/>
      <c r="AB900" s="314"/>
      <c r="AC900" s="317"/>
      <c r="AD900" s="324"/>
      <c r="AE900" s="155"/>
      <c r="AF900" s="155"/>
      <c r="AG900" s="322"/>
      <c r="AH900" s="132"/>
      <c r="AI900" s="132"/>
    </row>
    <row r="901">
      <c r="A901" s="314"/>
      <c r="B901" s="312"/>
      <c r="C901" s="312"/>
      <c r="D901" s="717"/>
      <c r="E901" s="316"/>
      <c r="F901" s="316"/>
      <c r="G901" s="314"/>
      <c r="H901" s="318"/>
      <c r="I901" s="314"/>
      <c r="J901" s="314"/>
      <c r="K901" s="314"/>
      <c r="L901" s="314"/>
      <c r="M901" s="314"/>
      <c r="N901" s="314"/>
      <c r="O901" s="318"/>
      <c r="P901" s="314"/>
      <c r="Q901" s="314"/>
      <c r="R901" s="314"/>
      <c r="S901" s="718"/>
      <c r="T901" s="719"/>
      <c r="U901" s="314"/>
      <c r="V901" s="318"/>
      <c r="W901" s="314"/>
      <c r="X901" s="314"/>
      <c r="Y901" s="314"/>
      <c r="Z901" s="721"/>
      <c r="AA901" s="721"/>
      <c r="AB901" s="314"/>
      <c r="AC901" s="317"/>
      <c r="AD901" s="324"/>
      <c r="AE901" s="155"/>
      <c r="AF901" s="155"/>
      <c r="AG901" s="322"/>
      <c r="AH901" s="132"/>
      <c r="AI901" s="132"/>
    </row>
    <row r="902">
      <c r="A902" s="314"/>
      <c r="B902" s="312"/>
      <c r="C902" s="312"/>
      <c r="D902" s="717"/>
      <c r="E902" s="316"/>
      <c r="F902" s="316"/>
      <c r="G902" s="314"/>
      <c r="H902" s="318"/>
      <c r="I902" s="314"/>
      <c r="J902" s="314"/>
      <c r="K902" s="314"/>
      <c r="L902" s="314"/>
      <c r="M902" s="314"/>
      <c r="N902" s="314"/>
      <c r="O902" s="318"/>
      <c r="P902" s="314"/>
      <c r="Q902" s="314"/>
      <c r="R902" s="314"/>
      <c r="S902" s="718"/>
      <c r="T902" s="719"/>
      <c r="U902" s="314"/>
      <c r="V902" s="318"/>
      <c r="W902" s="314"/>
      <c r="X902" s="314"/>
      <c r="Y902" s="314"/>
      <c r="Z902" s="721"/>
      <c r="AA902" s="721"/>
      <c r="AB902" s="314"/>
      <c r="AC902" s="317"/>
      <c r="AD902" s="324"/>
      <c r="AE902" s="155"/>
      <c r="AF902" s="155"/>
      <c r="AG902" s="322"/>
      <c r="AH902" s="132"/>
      <c r="AI902" s="132"/>
    </row>
    <row r="903">
      <c r="A903" s="314"/>
      <c r="B903" s="312"/>
      <c r="C903" s="312"/>
      <c r="D903" s="717"/>
      <c r="E903" s="316"/>
      <c r="F903" s="316"/>
      <c r="G903" s="314"/>
      <c r="H903" s="318"/>
      <c r="I903" s="314"/>
      <c r="J903" s="314"/>
      <c r="K903" s="314"/>
      <c r="L903" s="314"/>
      <c r="M903" s="314"/>
      <c r="N903" s="314"/>
      <c r="O903" s="318"/>
      <c r="P903" s="314"/>
      <c r="Q903" s="314"/>
      <c r="R903" s="314"/>
      <c r="S903" s="718"/>
      <c r="T903" s="719"/>
      <c r="U903" s="314"/>
      <c r="V903" s="318"/>
      <c r="W903" s="314"/>
      <c r="X903" s="314"/>
      <c r="Y903" s="314"/>
      <c r="Z903" s="721"/>
      <c r="AA903" s="721"/>
      <c r="AB903" s="314"/>
      <c r="AC903" s="317"/>
      <c r="AD903" s="324"/>
      <c r="AE903" s="155"/>
      <c r="AF903" s="155"/>
      <c r="AG903" s="322"/>
      <c r="AH903" s="132"/>
      <c r="AI903" s="132"/>
    </row>
    <row r="904">
      <c r="A904" s="314"/>
      <c r="B904" s="312"/>
      <c r="C904" s="312"/>
      <c r="D904" s="717"/>
      <c r="E904" s="316"/>
      <c r="F904" s="316"/>
      <c r="G904" s="314"/>
      <c r="H904" s="318"/>
      <c r="I904" s="314"/>
      <c r="J904" s="314"/>
      <c r="K904" s="314"/>
      <c r="L904" s="314"/>
      <c r="M904" s="314"/>
      <c r="N904" s="314"/>
      <c r="O904" s="318"/>
      <c r="P904" s="314"/>
      <c r="Q904" s="314"/>
      <c r="R904" s="314"/>
      <c r="S904" s="718"/>
      <c r="T904" s="719"/>
      <c r="U904" s="314"/>
      <c r="V904" s="318"/>
      <c r="W904" s="314"/>
      <c r="X904" s="314"/>
      <c r="Y904" s="314"/>
      <c r="Z904" s="721"/>
      <c r="AA904" s="721"/>
      <c r="AB904" s="314"/>
      <c r="AC904" s="317"/>
      <c r="AD904" s="324"/>
      <c r="AE904" s="155"/>
      <c r="AF904" s="155"/>
      <c r="AG904" s="322"/>
      <c r="AH904" s="132"/>
      <c r="AI904" s="132"/>
    </row>
    <row r="905">
      <c r="A905" s="314"/>
      <c r="B905" s="312"/>
      <c r="C905" s="312"/>
      <c r="D905" s="717"/>
      <c r="E905" s="316"/>
      <c r="F905" s="316"/>
      <c r="G905" s="314"/>
      <c r="H905" s="318"/>
      <c r="I905" s="314"/>
      <c r="J905" s="314"/>
      <c r="K905" s="314"/>
      <c r="L905" s="314"/>
      <c r="M905" s="314"/>
      <c r="N905" s="314"/>
      <c r="O905" s="318"/>
      <c r="P905" s="314"/>
      <c r="Q905" s="314"/>
      <c r="R905" s="314"/>
      <c r="S905" s="718"/>
      <c r="T905" s="719"/>
      <c r="U905" s="314"/>
      <c r="V905" s="318"/>
      <c r="W905" s="314"/>
      <c r="X905" s="314"/>
      <c r="Y905" s="314"/>
      <c r="Z905" s="721"/>
      <c r="AA905" s="721"/>
      <c r="AB905" s="314"/>
      <c r="AC905" s="317"/>
      <c r="AD905" s="324"/>
      <c r="AE905" s="155"/>
      <c r="AF905" s="155"/>
      <c r="AG905" s="322"/>
      <c r="AH905" s="132"/>
      <c r="AI905" s="132"/>
    </row>
    <row r="906">
      <c r="A906" s="314"/>
      <c r="B906" s="312"/>
      <c r="C906" s="312"/>
      <c r="D906" s="717"/>
      <c r="E906" s="316"/>
      <c r="F906" s="316"/>
      <c r="G906" s="314"/>
      <c r="H906" s="318"/>
      <c r="I906" s="314"/>
      <c r="J906" s="314"/>
      <c r="K906" s="314"/>
      <c r="L906" s="314"/>
      <c r="M906" s="314"/>
      <c r="N906" s="314"/>
      <c r="O906" s="318"/>
      <c r="P906" s="314"/>
      <c r="Q906" s="314"/>
      <c r="R906" s="314"/>
      <c r="S906" s="718"/>
      <c r="T906" s="719"/>
      <c r="U906" s="314"/>
      <c r="V906" s="318"/>
      <c r="W906" s="314"/>
      <c r="X906" s="314"/>
      <c r="Y906" s="314"/>
      <c r="Z906" s="721"/>
      <c r="AA906" s="721"/>
      <c r="AB906" s="314"/>
      <c r="AC906" s="317"/>
      <c r="AD906" s="324"/>
      <c r="AE906" s="155"/>
      <c r="AF906" s="155"/>
      <c r="AG906" s="322"/>
      <c r="AH906" s="132"/>
      <c r="AI906" s="132"/>
    </row>
    <row r="907">
      <c r="A907" s="314"/>
      <c r="B907" s="312"/>
      <c r="C907" s="312"/>
      <c r="D907" s="717"/>
      <c r="E907" s="316"/>
      <c r="F907" s="316"/>
      <c r="G907" s="314"/>
      <c r="H907" s="318"/>
      <c r="I907" s="314"/>
      <c r="J907" s="314"/>
      <c r="K907" s="314"/>
      <c r="L907" s="314"/>
      <c r="M907" s="314"/>
      <c r="N907" s="314"/>
      <c r="O907" s="318"/>
      <c r="P907" s="314"/>
      <c r="Q907" s="314"/>
      <c r="R907" s="314"/>
      <c r="S907" s="718"/>
      <c r="T907" s="719"/>
      <c r="U907" s="314"/>
      <c r="V907" s="318"/>
      <c r="W907" s="314"/>
      <c r="X907" s="314"/>
      <c r="Y907" s="314"/>
      <c r="Z907" s="721"/>
      <c r="AA907" s="721"/>
      <c r="AB907" s="314"/>
      <c r="AC907" s="317"/>
      <c r="AD907" s="324"/>
      <c r="AE907" s="155"/>
      <c r="AF907" s="155"/>
      <c r="AG907" s="322"/>
      <c r="AH907" s="132"/>
      <c r="AI907" s="132"/>
    </row>
    <row r="908">
      <c r="A908" s="314"/>
      <c r="B908" s="312"/>
      <c r="C908" s="312"/>
      <c r="D908" s="717"/>
      <c r="E908" s="316"/>
      <c r="F908" s="316"/>
      <c r="G908" s="314"/>
      <c r="H908" s="318"/>
      <c r="I908" s="314"/>
      <c r="J908" s="314"/>
      <c r="K908" s="314"/>
      <c r="L908" s="314"/>
      <c r="M908" s="314"/>
      <c r="N908" s="314"/>
      <c r="O908" s="318"/>
      <c r="P908" s="314"/>
      <c r="Q908" s="314"/>
      <c r="R908" s="314"/>
      <c r="S908" s="718"/>
      <c r="T908" s="719"/>
      <c r="U908" s="314"/>
      <c r="V908" s="318"/>
      <c r="W908" s="314"/>
      <c r="X908" s="314"/>
      <c r="Y908" s="314"/>
      <c r="Z908" s="721"/>
      <c r="AA908" s="721"/>
      <c r="AB908" s="314"/>
      <c r="AC908" s="317"/>
      <c r="AD908" s="324"/>
      <c r="AE908" s="155"/>
      <c r="AF908" s="155"/>
      <c r="AG908" s="322"/>
      <c r="AH908" s="132"/>
      <c r="AI908" s="132"/>
    </row>
    <row r="909">
      <c r="A909" s="314"/>
      <c r="B909" s="312"/>
      <c r="C909" s="312"/>
      <c r="D909" s="717"/>
      <c r="E909" s="316"/>
      <c r="F909" s="316"/>
      <c r="G909" s="314"/>
      <c r="H909" s="318"/>
      <c r="I909" s="314"/>
      <c r="J909" s="314"/>
      <c r="K909" s="314"/>
      <c r="L909" s="314"/>
      <c r="M909" s="314"/>
      <c r="N909" s="314"/>
      <c r="O909" s="318"/>
      <c r="P909" s="314"/>
      <c r="Q909" s="314"/>
      <c r="R909" s="314"/>
      <c r="S909" s="718"/>
      <c r="T909" s="719"/>
      <c r="U909" s="314"/>
      <c r="V909" s="318"/>
      <c r="W909" s="314"/>
      <c r="X909" s="314"/>
      <c r="Y909" s="314"/>
      <c r="Z909" s="721"/>
      <c r="AA909" s="721"/>
      <c r="AB909" s="314"/>
      <c r="AC909" s="317"/>
      <c r="AD909" s="324"/>
      <c r="AE909" s="155"/>
      <c r="AF909" s="155"/>
      <c r="AG909" s="322"/>
      <c r="AH909" s="132"/>
      <c r="AI909" s="132"/>
    </row>
    <row r="910">
      <c r="A910" s="314"/>
      <c r="B910" s="312"/>
      <c r="C910" s="312"/>
      <c r="D910" s="717"/>
      <c r="E910" s="316"/>
      <c r="F910" s="316"/>
      <c r="G910" s="314"/>
      <c r="H910" s="318"/>
      <c r="I910" s="314"/>
      <c r="J910" s="314"/>
      <c r="K910" s="314"/>
      <c r="L910" s="314"/>
      <c r="M910" s="314"/>
      <c r="N910" s="314"/>
      <c r="O910" s="318"/>
      <c r="P910" s="314"/>
      <c r="Q910" s="314"/>
      <c r="R910" s="314"/>
      <c r="S910" s="718"/>
      <c r="T910" s="719"/>
      <c r="U910" s="314"/>
      <c r="V910" s="318"/>
      <c r="W910" s="314"/>
      <c r="X910" s="314"/>
      <c r="Y910" s="314"/>
      <c r="Z910" s="721"/>
      <c r="AA910" s="721"/>
      <c r="AB910" s="314"/>
      <c r="AC910" s="317"/>
      <c r="AD910" s="324"/>
      <c r="AE910" s="155"/>
      <c r="AF910" s="155"/>
      <c r="AG910" s="322"/>
      <c r="AH910" s="132"/>
      <c r="AI910" s="132"/>
    </row>
    <row r="911">
      <c r="A911" s="314"/>
      <c r="B911" s="312"/>
      <c r="C911" s="312"/>
      <c r="D911" s="717"/>
      <c r="E911" s="316"/>
      <c r="F911" s="316"/>
      <c r="G911" s="314"/>
      <c r="H911" s="318"/>
      <c r="I911" s="314"/>
      <c r="J911" s="314"/>
      <c r="K911" s="314"/>
      <c r="L911" s="314"/>
      <c r="M911" s="314"/>
      <c r="N911" s="314"/>
      <c r="O911" s="318"/>
      <c r="P911" s="314"/>
      <c r="Q911" s="314"/>
      <c r="R911" s="314"/>
      <c r="S911" s="718"/>
      <c r="T911" s="719"/>
      <c r="U911" s="314"/>
      <c r="V911" s="318"/>
      <c r="W911" s="314"/>
      <c r="X911" s="314"/>
      <c r="Y911" s="314"/>
      <c r="Z911" s="721"/>
      <c r="AA911" s="721"/>
      <c r="AB911" s="314"/>
      <c r="AC911" s="317"/>
      <c r="AD911" s="324"/>
      <c r="AE911" s="155"/>
      <c r="AF911" s="155"/>
      <c r="AG911" s="322"/>
      <c r="AH911" s="132"/>
      <c r="AI911" s="132"/>
    </row>
    <row r="912">
      <c r="A912" s="314"/>
      <c r="B912" s="312"/>
      <c r="C912" s="312"/>
      <c r="D912" s="717"/>
      <c r="E912" s="316"/>
      <c r="F912" s="316"/>
      <c r="G912" s="314"/>
      <c r="H912" s="318"/>
      <c r="I912" s="314"/>
      <c r="J912" s="314"/>
      <c r="K912" s="314"/>
      <c r="L912" s="314"/>
      <c r="M912" s="314"/>
      <c r="N912" s="314"/>
      <c r="O912" s="318"/>
      <c r="P912" s="314"/>
      <c r="Q912" s="314"/>
      <c r="R912" s="314"/>
      <c r="S912" s="718"/>
      <c r="T912" s="719"/>
      <c r="U912" s="314"/>
      <c r="V912" s="318"/>
      <c r="W912" s="314"/>
      <c r="X912" s="314"/>
      <c r="Y912" s="314"/>
      <c r="Z912" s="721"/>
      <c r="AA912" s="721"/>
      <c r="AB912" s="314"/>
      <c r="AC912" s="317"/>
      <c r="AD912" s="324"/>
      <c r="AE912" s="155"/>
      <c r="AF912" s="155"/>
      <c r="AG912" s="322"/>
      <c r="AH912" s="132"/>
      <c r="AI912" s="132"/>
    </row>
    <row r="913">
      <c r="A913" s="314"/>
      <c r="B913" s="312"/>
      <c r="C913" s="312"/>
      <c r="D913" s="717"/>
      <c r="E913" s="316"/>
      <c r="F913" s="316"/>
      <c r="G913" s="314"/>
      <c r="H913" s="318"/>
      <c r="I913" s="314"/>
      <c r="J913" s="314"/>
      <c r="K913" s="314"/>
      <c r="L913" s="314"/>
      <c r="M913" s="314"/>
      <c r="N913" s="314"/>
      <c r="O913" s="318"/>
      <c r="P913" s="314"/>
      <c r="Q913" s="314"/>
      <c r="R913" s="314"/>
      <c r="S913" s="718"/>
      <c r="T913" s="719"/>
      <c r="U913" s="314"/>
      <c r="V913" s="318"/>
      <c r="W913" s="314"/>
      <c r="X913" s="314"/>
      <c r="Y913" s="314"/>
      <c r="Z913" s="721"/>
      <c r="AA913" s="721"/>
      <c r="AB913" s="314"/>
      <c r="AC913" s="317"/>
      <c r="AD913" s="324"/>
      <c r="AE913" s="155"/>
      <c r="AF913" s="155"/>
      <c r="AG913" s="322"/>
      <c r="AH913" s="132"/>
      <c r="AI913" s="132"/>
    </row>
    <row r="914">
      <c r="A914" s="314"/>
      <c r="B914" s="312"/>
      <c r="C914" s="312"/>
      <c r="D914" s="717"/>
      <c r="E914" s="316"/>
      <c r="F914" s="316"/>
      <c r="G914" s="314"/>
      <c r="H914" s="318"/>
      <c r="I914" s="314"/>
      <c r="J914" s="314"/>
      <c r="K914" s="314"/>
      <c r="L914" s="314"/>
      <c r="M914" s="314"/>
      <c r="N914" s="314"/>
      <c r="O914" s="318"/>
      <c r="P914" s="314"/>
      <c r="Q914" s="314"/>
      <c r="R914" s="314"/>
      <c r="S914" s="718"/>
      <c r="T914" s="719"/>
      <c r="U914" s="314"/>
      <c r="V914" s="318"/>
      <c r="W914" s="314"/>
      <c r="X914" s="314"/>
      <c r="Y914" s="314"/>
      <c r="Z914" s="721"/>
      <c r="AA914" s="721"/>
      <c r="AB914" s="314"/>
      <c r="AC914" s="317"/>
      <c r="AD914" s="324"/>
      <c r="AE914" s="155"/>
      <c r="AF914" s="155"/>
      <c r="AG914" s="322"/>
      <c r="AH914" s="132"/>
      <c r="AI914" s="132"/>
    </row>
    <row r="915">
      <c r="A915" s="314"/>
      <c r="B915" s="312"/>
      <c r="C915" s="312"/>
      <c r="D915" s="717"/>
      <c r="E915" s="316"/>
      <c r="F915" s="316"/>
      <c r="G915" s="314"/>
      <c r="H915" s="318"/>
      <c r="I915" s="314"/>
      <c r="J915" s="314"/>
      <c r="K915" s="314"/>
      <c r="L915" s="314"/>
      <c r="M915" s="314"/>
      <c r="N915" s="314"/>
      <c r="O915" s="318"/>
      <c r="P915" s="314"/>
      <c r="Q915" s="314"/>
      <c r="R915" s="314"/>
      <c r="S915" s="718"/>
      <c r="T915" s="719"/>
      <c r="U915" s="314"/>
      <c r="V915" s="318"/>
      <c r="W915" s="314"/>
      <c r="X915" s="314"/>
      <c r="Y915" s="314"/>
      <c r="Z915" s="721"/>
      <c r="AA915" s="721"/>
      <c r="AB915" s="314"/>
      <c r="AC915" s="317"/>
      <c r="AD915" s="324"/>
      <c r="AE915" s="155"/>
      <c r="AF915" s="155"/>
      <c r="AG915" s="322"/>
      <c r="AH915" s="132"/>
      <c r="AI915" s="132"/>
    </row>
    <row r="916">
      <c r="A916" s="314"/>
      <c r="B916" s="312"/>
      <c r="C916" s="312"/>
      <c r="D916" s="717"/>
      <c r="E916" s="316"/>
      <c r="F916" s="316"/>
      <c r="G916" s="314"/>
      <c r="H916" s="318"/>
      <c r="I916" s="314"/>
      <c r="J916" s="314"/>
      <c r="K916" s="314"/>
      <c r="L916" s="314"/>
      <c r="M916" s="314"/>
      <c r="N916" s="314"/>
      <c r="O916" s="318"/>
      <c r="P916" s="314"/>
      <c r="Q916" s="314"/>
      <c r="R916" s="314"/>
      <c r="S916" s="718"/>
      <c r="T916" s="719"/>
      <c r="U916" s="314"/>
      <c r="V916" s="318"/>
      <c r="W916" s="314"/>
      <c r="X916" s="314"/>
      <c r="Y916" s="314"/>
      <c r="Z916" s="721"/>
      <c r="AA916" s="721"/>
      <c r="AB916" s="314"/>
      <c r="AC916" s="317"/>
      <c r="AD916" s="324"/>
      <c r="AE916" s="155"/>
      <c r="AF916" s="155"/>
      <c r="AG916" s="322"/>
      <c r="AH916" s="132"/>
      <c r="AI916" s="132"/>
    </row>
    <row r="917">
      <c r="A917" s="314"/>
      <c r="B917" s="312"/>
      <c r="C917" s="312"/>
      <c r="D917" s="717"/>
      <c r="E917" s="316"/>
      <c r="F917" s="316"/>
      <c r="G917" s="314"/>
      <c r="H917" s="318"/>
      <c r="I917" s="314"/>
      <c r="J917" s="314"/>
      <c r="K917" s="314"/>
      <c r="L917" s="314"/>
      <c r="M917" s="314"/>
      <c r="N917" s="314"/>
      <c r="O917" s="318"/>
      <c r="P917" s="314"/>
      <c r="Q917" s="314"/>
      <c r="R917" s="314"/>
      <c r="S917" s="718"/>
      <c r="T917" s="719"/>
      <c r="U917" s="314"/>
      <c r="V917" s="318"/>
      <c r="W917" s="314"/>
      <c r="X917" s="314"/>
      <c r="Y917" s="314"/>
      <c r="Z917" s="721"/>
      <c r="AA917" s="721"/>
      <c r="AB917" s="314"/>
      <c r="AC917" s="317"/>
      <c r="AD917" s="324"/>
      <c r="AE917" s="155"/>
      <c r="AF917" s="155"/>
      <c r="AG917" s="322"/>
      <c r="AH917" s="132"/>
      <c r="AI917" s="132"/>
    </row>
    <row r="918">
      <c r="A918" s="314"/>
      <c r="B918" s="312"/>
      <c r="C918" s="312"/>
      <c r="D918" s="717"/>
      <c r="E918" s="316"/>
      <c r="F918" s="316"/>
      <c r="G918" s="314"/>
      <c r="H918" s="318"/>
      <c r="I918" s="314"/>
      <c r="J918" s="314"/>
      <c r="K918" s="314"/>
      <c r="L918" s="314"/>
      <c r="M918" s="314"/>
      <c r="N918" s="314"/>
      <c r="O918" s="318"/>
      <c r="P918" s="314"/>
      <c r="Q918" s="314"/>
      <c r="R918" s="314"/>
      <c r="S918" s="718"/>
      <c r="T918" s="719"/>
      <c r="U918" s="314"/>
      <c r="V918" s="318"/>
      <c r="W918" s="314"/>
      <c r="X918" s="314"/>
      <c r="Y918" s="314"/>
      <c r="Z918" s="721"/>
      <c r="AA918" s="721"/>
      <c r="AB918" s="314"/>
      <c r="AC918" s="317"/>
      <c r="AD918" s="324"/>
      <c r="AE918" s="155"/>
      <c r="AF918" s="155"/>
      <c r="AG918" s="322"/>
      <c r="AH918" s="132"/>
      <c r="AI918" s="132"/>
    </row>
    <row r="919">
      <c r="A919" s="314"/>
      <c r="B919" s="312"/>
      <c r="C919" s="312"/>
      <c r="D919" s="717"/>
      <c r="E919" s="316"/>
      <c r="F919" s="316"/>
      <c r="G919" s="314"/>
      <c r="H919" s="318"/>
      <c r="I919" s="314"/>
      <c r="J919" s="314"/>
      <c r="K919" s="314"/>
      <c r="L919" s="314"/>
      <c r="M919" s="314"/>
      <c r="N919" s="314"/>
      <c r="O919" s="318"/>
      <c r="P919" s="314"/>
      <c r="Q919" s="314"/>
      <c r="R919" s="314"/>
      <c r="S919" s="718"/>
      <c r="T919" s="719"/>
      <c r="U919" s="314"/>
      <c r="V919" s="318"/>
      <c r="W919" s="314"/>
      <c r="X919" s="314"/>
      <c r="Y919" s="314"/>
      <c r="Z919" s="721"/>
      <c r="AA919" s="721"/>
      <c r="AB919" s="314"/>
      <c r="AC919" s="317"/>
      <c r="AD919" s="324"/>
      <c r="AE919" s="155"/>
      <c r="AF919" s="155"/>
      <c r="AG919" s="322"/>
      <c r="AH919" s="132"/>
      <c r="AI919" s="132"/>
    </row>
    <row r="920">
      <c r="A920" s="314"/>
      <c r="B920" s="312"/>
      <c r="C920" s="312"/>
      <c r="D920" s="717"/>
      <c r="E920" s="316"/>
      <c r="F920" s="316"/>
      <c r="G920" s="314"/>
      <c r="H920" s="318"/>
      <c r="I920" s="314"/>
      <c r="J920" s="314"/>
      <c r="K920" s="314"/>
      <c r="L920" s="314"/>
      <c r="M920" s="314"/>
      <c r="N920" s="314"/>
      <c r="O920" s="318"/>
      <c r="P920" s="314"/>
      <c r="Q920" s="314"/>
      <c r="R920" s="314"/>
      <c r="S920" s="718"/>
      <c r="T920" s="719"/>
      <c r="U920" s="314"/>
      <c r="V920" s="318"/>
      <c r="W920" s="314"/>
      <c r="X920" s="314"/>
      <c r="Y920" s="314"/>
      <c r="Z920" s="721"/>
      <c r="AA920" s="721"/>
      <c r="AB920" s="314"/>
      <c r="AC920" s="317"/>
      <c r="AD920" s="324"/>
      <c r="AE920" s="155"/>
      <c r="AF920" s="155"/>
      <c r="AG920" s="322"/>
      <c r="AH920" s="132"/>
      <c r="AI920" s="132"/>
    </row>
    <row r="921">
      <c r="A921" s="314"/>
      <c r="B921" s="312"/>
      <c r="C921" s="312"/>
      <c r="D921" s="717"/>
      <c r="E921" s="316"/>
      <c r="F921" s="316"/>
      <c r="G921" s="314"/>
      <c r="H921" s="318"/>
      <c r="I921" s="314"/>
      <c r="J921" s="314"/>
      <c r="K921" s="314"/>
      <c r="L921" s="314"/>
      <c r="M921" s="314"/>
      <c r="N921" s="314"/>
      <c r="O921" s="318"/>
      <c r="P921" s="314"/>
      <c r="Q921" s="314"/>
      <c r="R921" s="314"/>
      <c r="S921" s="718"/>
      <c r="T921" s="719"/>
      <c r="U921" s="314"/>
      <c r="V921" s="318"/>
      <c r="W921" s="314"/>
      <c r="X921" s="314"/>
      <c r="Y921" s="314"/>
      <c r="Z921" s="721"/>
      <c r="AA921" s="721"/>
      <c r="AB921" s="314"/>
      <c r="AC921" s="317"/>
      <c r="AD921" s="324"/>
      <c r="AE921" s="155"/>
      <c r="AF921" s="155"/>
      <c r="AG921" s="322"/>
      <c r="AH921" s="132"/>
      <c r="AI921" s="132"/>
    </row>
    <row r="922">
      <c r="A922" s="314"/>
      <c r="B922" s="312"/>
      <c r="C922" s="312"/>
      <c r="D922" s="717"/>
      <c r="E922" s="316"/>
      <c r="F922" s="316"/>
      <c r="G922" s="314"/>
      <c r="H922" s="318"/>
      <c r="I922" s="314"/>
      <c r="J922" s="314"/>
      <c r="K922" s="314"/>
      <c r="L922" s="314"/>
      <c r="M922" s="314"/>
      <c r="N922" s="314"/>
      <c r="O922" s="318"/>
      <c r="P922" s="314"/>
      <c r="Q922" s="314"/>
      <c r="R922" s="314"/>
      <c r="S922" s="718"/>
      <c r="T922" s="719"/>
      <c r="U922" s="314"/>
      <c r="V922" s="318"/>
      <c r="W922" s="314"/>
      <c r="X922" s="314"/>
      <c r="Y922" s="314"/>
      <c r="Z922" s="721"/>
      <c r="AA922" s="721"/>
      <c r="AB922" s="314"/>
      <c r="AC922" s="317"/>
      <c r="AD922" s="324"/>
      <c r="AE922" s="155"/>
      <c r="AF922" s="155"/>
      <c r="AG922" s="322"/>
      <c r="AH922" s="132"/>
      <c r="AI922" s="132"/>
    </row>
    <row r="923">
      <c r="A923" s="314"/>
      <c r="B923" s="312"/>
      <c r="C923" s="312"/>
      <c r="D923" s="717"/>
      <c r="E923" s="316"/>
      <c r="F923" s="316"/>
      <c r="G923" s="314"/>
      <c r="H923" s="318"/>
      <c r="I923" s="314"/>
      <c r="J923" s="314"/>
      <c r="K923" s="314"/>
      <c r="L923" s="314"/>
      <c r="M923" s="314"/>
      <c r="N923" s="314"/>
      <c r="O923" s="318"/>
      <c r="P923" s="314"/>
      <c r="Q923" s="314"/>
      <c r="R923" s="314"/>
      <c r="S923" s="718"/>
      <c r="T923" s="719"/>
      <c r="U923" s="314"/>
      <c r="V923" s="318"/>
      <c r="W923" s="314"/>
      <c r="X923" s="314"/>
      <c r="Y923" s="314"/>
      <c r="Z923" s="721"/>
      <c r="AA923" s="721"/>
      <c r="AB923" s="314"/>
      <c r="AC923" s="317"/>
      <c r="AD923" s="324"/>
      <c r="AE923" s="155"/>
      <c r="AF923" s="155"/>
      <c r="AG923" s="322"/>
      <c r="AH923" s="132"/>
      <c r="AI923" s="132"/>
    </row>
    <row r="924">
      <c r="A924" s="314"/>
      <c r="B924" s="312"/>
      <c r="C924" s="312"/>
      <c r="D924" s="717"/>
      <c r="E924" s="316"/>
      <c r="F924" s="316"/>
      <c r="G924" s="314"/>
      <c r="H924" s="318"/>
      <c r="I924" s="314"/>
      <c r="J924" s="314"/>
      <c r="K924" s="314"/>
      <c r="L924" s="314"/>
      <c r="M924" s="314"/>
      <c r="N924" s="314"/>
      <c r="O924" s="318"/>
      <c r="P924" s="314"/>
      <c r="Q924" s="314"/>
      <c r="R924" s="314"/>
      <c r="S924" s="718"/>
      <c r="T924" s="719"/>
      <c r="U924" s="314"/>
      <c r="V924" s="318"/>
      <c r="W924" s="314"/>
      <c r="X924" s="314"/>
      <c r="Y924" s="314"/>
      <c r="Z924" s="721"/>
      <c r="AA924" s="721"/>
      <c r="AB924" s="314"/>
      <c r="AC924" s="317"/>
      <c r="AD924" s="324"/>
      <c r="AE924" s="155"/>
      <c r="AF924" s="155"/>
      <c r="AG924" s="322"/>
      <c r="AH924" s="132"/>
      <c r="AI924" s="132"/>
    </row>
    <row r="925">
      <c r="A925" s="314"/>
      <c r="B925" s="312"/>
      <c r="C925" s="312"/>
      <c r="D925" s="717"/>
      <c r="E925" s="316"/>
      <c r="F925" s="316"/>
      <c r="G925" s="314"/>
      <c r="H925" s="318"/>
      <c r="I925" s="314"/>
      <c r="J925" s="314"/>
      <c r="K925" s="314"/>
      <c r="L925" s="314"/>
      <c r="M925" s="314"/>
      <c r="N925" s="314"/>
      <c r="O925" s="318"/>
      <c r="P925" s="314"/>
      <c r="Q925" s="314"/>
      <c r="R925" s="314"/>
      <c r="S925" s="718"/>
      <c r="T925" s="719"/>
      <c r="U925" s="314"/>
      <c r="V925" s="318"/>
      <c r="W925" s="314"/>
      <c r="X925" s="314"/>
      <c r="Y925" s="314"/>
      <c r="Z925" s="721"/>
      <c r="AA925" s="721"/>
      <c r="AB925" s="314"/>
      <c r="AC925" s="317"/>
      <c r="AD925" s="324"/>
      <c r="AE925" s="155"/>
      <c r="AF925" s="155"/>
      <c r="AG925" s="322"/>
      <c r="AH925" s="132"/>
      <c r="AI925" s="132"/>
    </row>
    <row r="926">
      <c r="A926" s="314"/>
      <c r="B926" s="312"/>
      <c r="C926" s="312"/>
      <c r="D926" s="717"/>
      <c r="E926" s="316"/>
      <c r="F926" s="316"/>
      <c r="G926" s="314"/>
      <c r="H926" s="318"/>
      <c r="I926" s="314"/>
      <c r="J926" s="314"/>
      <c r="K926" s="314"/>
      <c r="L926" s="314"/>
      <c r="M926" s="314"/>
      <c r="N926" s="314"/>
      <c r="O926" s="318"/>
      <c r="P926" s="314"/>
      <c r="Q926" s="314"/>
      <c r="R926" s="314"/>
      <c r="S926" s="718"/>
      <c r="T926" s="719"/>
      <c r="U926" s="314"/>
      <c r="V926" s="318"/>
      <c r="W926" s="314"/>
      <c r="X926" s="314"/>
      <c r="Y926" s="314"/>
      <c r="Z926" s="721"/>
      <c r="AA926" s="721"/>
      <c r="AB926" s="314"/>
      <c r="AC926" s="317"/>
      <c r="AD926" s="324"/>
      <c r="AE926" s="155"/>
      <c r="AF926" s="155"/>
      <c r="AG926" s="322"/>
      <c r="AH926" s="132"/>
      <c r="AI926" s="132"/>
    </row>
    <row r="927">
      <c r="A927" s="314"/>
      <c r="B927" s="312"/>
      <c r="C927" s="312"/>
      <c r="D927" s="717"/>
      <c r="E927" s="316"/>
      <c r="F927" s="316"/>
      <c r="G927" s="314"/>
      <c r="H927" s="318"/>
      <c r="I927" s="314"/>
      <c r="J927" s="314"/>
      <c r="K927" s="314"/>
      <c r="L927" s="314"/>
      <c r="M927" s="314"/>
      <c r="N927" s="314"/>
      <c r="O927" s="318"/>
      <c r="P927" s="314"/>
      <c r="Q927" s="314"/>
      <c r="R927" s="314"/>
      <c r="S927" s="718"/>
      <c r="T927" s="719"/>
      <c r="U927" s="314"/>
      <c r="V927" s="318"/>
      <c r="W927" s="314"/>
      <c r="X927" s="314"/>
      <c r="Y927" s="314"/>
      <c r="Z927" s="721"/>
      <c r="AA927" s="721"/>
      <c r="AB927" s="314"/>
      <c r="AC927" s="317"/>
      <c r="AD927" s="324"/>
      <c r="AE927" s="155"/>
      <c r="AF927" s="155"/>
      <c r="AG927" s="322"/>
      <c r="AH927" s="132"/>
      <c r="AI927" s="132"/>
    </row>
    <row r="928">
      <c r="A928" s="314"/>
      <c r="B928" s="312"/>
      <c r="C928" s="312"/>
      <c r="D928" s="717"/>
      <c r="E928" s="316"/>
      <c r="F928" s="316"/>
      <c r="G928" s="314"/>
      <c r="H928" s="318"/>
      <c r="I928" s="314"/>
      <c r="J928" s="314"/>
      <c r="K928" s="314"/>
      <c r="L928" s="314"/>
      <c r="M928" s="314"/>
      <c r="N928" s="314"/>
      <c r="O928" s="318"/>
      <c r="P928" s="314"/>
      <c r="Q928" s="314"/>
      <c r="R928" s="314"/>
      <c r="S928" s="718"/>
      <c r="T928" s="719"/>
      <c r="U928" s="314"/>
      <c r="V928" s="318"/>
      <c r="W928" s="314"/>
      <c r="X928" s="314"/>
      <c r="Y928" s="314"/>
      <c r="Z928" s="721"/>
      <c r="AA928" s="721"/>
      <c r="AB928" s="314"/>
      <c r="AC928" s="317"/>
      <c r="AD928" s="324"/>
      <c r="AE928" s="155"/>
      <c r="AF928" s="155"/>
      <c r="AG928" s="322"/>
      <c r="AH928" s="132"/>
      <c r="AI928" s="132"/>
    </row>
    <row r="929">
      <c r="A929" s="314"/>
      <c r="B929" s="312"/>
      <c r="C929" s="312"/>
      <c r="D929" s="717"/>
      <c r="E929" s="316"/>
      <c r="F929" s="316"/>
      <c r="G929" s="314"/>
      <c r="H929" s="318"/>
      <c r="I929" s="314"/>
      <c r="J929" s="314"/>
      <c r="K929" s="314"/>
      <c r="L929" s="314"/>
      <c r="M929" s="314"/>
      <c r="N929" s="314"/>
      <c r="O929" s="318"/>
      <c r="P929" s="314"/>
      <c r="Q929" s="314"/>
      <c r="R929" s="314"/>
      <c r="S929" s="718"/>
      <c r="T929" s="719"/>
      <c r="U929" s="314"/>
      <c r="V929" s="318"/>
      <c r="W929" s="314"/>
      <c r="X929" s="314"/>
      <c r="Y929" s="314"/>
      <c r="Z929" s="721"/>
      <c r="AA929" s="721"/>
      <c r="AB929" s="314"/>
      <c r="AC929" s="317"/>
      <c r="AD929" s="324"/>
      <c r="AE929" s="155"/>
      <c r="AF929" s="155"/>
      <c r="AG929" s="322"/>
      <c r="AH929" s="132"/>
      <c r="AI929" s="132"/>
    </row>
    <row r="930">
      <c r="A930" s="314"/>
      <c r="B930" s="312"/>
      <c r="C930" s="312"/>
      <c r="D930" s="717"/>
      <c r="E930" s="316"/>
      <c r="F930" s="316"/>
      <c r="G930" s="314"/>
      <c r="H930" s="318"/>
      <c r="I930" s="314"/>
      <c r="J930" s="314"/>
      <c r="K930" s="314"/>
      <c r="L930" s="314"/>
      <c r="M930" s="314"/>
      <c r="N930" s="314"/>
      <c r="O930" s="318"/>
      <c r="P930" s="314"/>
      <c r="Q930" s="314"/>
      <c r="R930" s="314"/>
      <c r="S930" s="718"/>
      <c r="T930" s="719"/>
      <c r="U930" s="314"/>
      <c r="V930" s="318"/>
      <c r="W930" s="314"/>
      <c r="X930" s="314"/>
      <c r="Y930" s="314"/>
      <c r="Z930" s="721"/>
      <c r="AA930" s="721"/>
      <c r="AB930" s="314"/>
      <c r="AC930" s="317"/>
      <c r="AD930" s="324"/>
      <c r="AE930" s="155"/>
      <c r="AF930" s="155"/>
      <c r="AG930" s="322"/>
      <c r="AH930" s="132"/>
      <c r="AI930" s="132"/>
    </row>
    <row r="931">
      <c r="A931" s="314"/>
      <c r="B931" s="312"/>
      <c r="C931" s="312"/>
      <c r="D931" s="717"/>
      <c r="E931" s="316"/>
      <c r="F931" s="316"/>
      <c r="G931" s="314"/>
      <c r="H931" s="318"/>
      <c r="I931" s="314"/>
      <c r="J931" s="314"/>
      <c r="K931" s="314"/>
      <c r="L931" s="314"/>
      <c r="M931" s="314"/>
      <c r="N931" s="314"/>
      <c r="O931" s="318"/>
      <c r="P931" s="314"/>
      <c r="Q931" s="314"/>
      <c r="R931" s="314"/>
      <c r="S931" s="718"/>
      <c r="T931" s="719"/>
      <c r="U931" s="314"/>
      <c r="V931" s="318"/>
      <c r="W931" s="314"/>
      <c r="X931" s="314"/>
      <c r="Y931" s="314"/>
      <c r="Z931" s="721"/>
      <c r="AA931" s="721"/>
      <c r="AB931" s="314"/>
      <c r="AC931" s="317"/>
      <c r="AD931" s="324"/>
      <c r="AE931" s="155"/>
      <c r="AF931" s="155"/>
      <c r="AG931" s="322"/>
      <c r="AH931" s="132"/>
      <c r="AI931" s="132"/>
    </row>
    <row r="932">
      <c r="A932" s="314"/>
      <c r="B932" s="312"/>
      <c r="C932" s="312"/>
      <c r="D932" s="717"/>
      <c r="E932" s="316"/>
      <c r="F932" s="316"/>
      <c r="G932" s="314"/>
      <c r="H932" s="318"/>
      <c r="I932" s="314"/>
      <c r="J932" s="314"/>
      <c r="K932" s="314"/>
      <c r="L932" s="314"/>
      <c r="M932" s="314"/>
      <c r="N932" s="314"/>
      <c r="O932" s="318"/>
      <c r="P932" s="314"/>
      <c r="Q932" s="314"/>
      <c r="R932" s="314"/>
      <c r="S932" s="718"/>
      <c r="T932" s="719"/>
      <c r="U932" s="314"/>
      <c r="V932" s="318"/>
      <c r="W932" s="314"/>
      <c r="X932" s="314"/>
      <c r="Y932" s="314"/>
      <c r="Z932" s="721"/>
      <c r="AA932" s="721"/>
      <c r="AB932" s="314"/>
      <c r="AC932" s="317"/>
      <c r="AD932" s="324"/>
      <c r="AE932" s="155"/>
      <c r="AF932" s="155"/>
      <c r="AG932" s="322"/>
      <c r="AH932" s="132"/>
      <c r="AI932" s="132"/>
    </row>
    <row r="933">
      <c r="A933" s="314"/>
      <c r="B933" s="312"/>
      <c r="C933" s="312"/>
      <c r="D933" s="717"/>
      <c r="E933" s="316"/>
      <c r="F933" s="316"/>
      <c r="G933" s="314"/>
      <c r="H933" s="318"/>
      <c r="I933" s="314"/>
      <c r="J933" s="314"/>
      <c r="K933" s="314"/>
      <c r="L933" s="314"/>
      <c r="M933" s="314"/>
      <c r="N933" s="314"/>
      <c r="O933" s="318"/>
      <c r="P933" s="314"/>
      <c r="Q933" s="314"/>
      <c r="R933" s="314"/>
      <c r="S933" s="718"/>
      <c r="T933" s="719"/>
      <c r="U933" s="314"/>
      <c r="V933" s="318"/>
      <c r="W933" s="314"/>
      <c r="X933" s="314"/>
      <c r="Y933" s="314"/>
      <c r="Z933" s="721"/>
      <c r="AA933" s="721"/>
      <c r="AB933" s="314"/>
      <c r="AC933" s="317"/>
      <c r="AD933" s="324"/>
      <c r="AE933" s="155"/>
      <c r="AF933" s="155"/>
      <c r="AG933" s="322"/>
      <c r="AH933" s="132"/>
      <c r="AI933" s="132"/>
    </row>
    <row r="934">
      <c r="A934" s="314"/>
      <c r="B934" s="312"/>
      <c r="C934" s="312"/>
      <c r="D934" s="717"/>
      <c r="E934" s="316"/>
      <c r="F934" s="316"/>
      <c r="G934" s="314"/>
      <c r="H934" s="318"/>
      <c r="I934" s="314"/>
      <c r="J934" s="314"/>
      <c r="K934" s="314"/>
      <c r="L934" s="314"/>
      <c r="M934" s="314"/>
      <c r="N934" s="314"/>
      <c r="O934" s="318"/>
      <c r="P934" s="314"/>
      <c r="Q934" s="314"/>
      <c r="R934" s="314"/>
      <c r="S934" s="718"/>
      <c r="T934" s="719"/>
      <c r="U934" s="314"/>
      <c r="V934" s="318"/>
      <c r="W934" s="314"/>
      <c r="X934" s="314"/>
      <c r="Y934" s="314"/>
      <c r="Z934" s="721"/>
      <c r="AA934" s="721"/>
      <c r="AB934" s="314"/>
      <c r="AC934" s="317"/>
      <c r="AD934" s="324"/>
      <c r="AE934" s="155"/>
      <c r="AF934" s="155"/>
      <c r="AG934" s="322"/>
      <c r="AH934" s="132"/>
      <c r="AI934" s="132"/>
    </row>
    <row r="935">
      <c r="A935" s="314"/>
      <c r="B935" s="312"/>
      <c r="C935" s="312"/>
      <c r="D935" s="717"/>
      <c r="E935" s="316"/>
      <c r="F935" s="316"/>
      <c r="G935" s="314"/>
      <c r="H935" s="318"/>
      <c r="I935" s="314"/>
      <c r="J935" s="314"/>
      <c r="K935" s="314"/>
      <c r="L935" s="314"/>
      <c r="M935" s="314"/>
      <c r="N935" s="314"/>
      <c r="O935" s="318"/>
      <c r="P935" s="314"/>
      <c r="Q935" s="314"/>
      <c r="R935" s="314"/>
      <c r="S935" s="718"/>
      <c r="T935" s="719"/>
      <c r="U935" s="314"/>
      <c r="V935" s="318"/>
      <c r="W935" s="314"/>
      <c r="X935" s="314"/>
      <c r="Y935" s="314"/>
      <c r="Z935" s="721"/>
      <c r="AA935" s="721"/>
      <c r="AB935" s="314"/>
      <c r="AC935" s="317"/>
      <c r="AD935" s="324"/>
      <c r="AE935" s="155"/>
      <c r="AF935" s="155"/>
      <c r="AG935" s="322"/>
      <c r="AH935" s="132"/>
      <c r="AI935" s="132"/>
    </row>
    <row r="936">
      <c r="A936" s="314"/>
      <c r="B936" s="312"/>
      <c r="C936" s="312"/>
      <c r="D936" s="717"/>
      <c r="E936" s="316"/>
      <c r="F936" s="316"/>
      <c r="G936" s="314"/>
      <c r="H936" s="318"/>
      <c r="I936" s="314"/>
      <c r="J936" s="314"/>
      <c r="K936" s="314"/>
      <c r="L936" s="314"/>
      <c r="M936" s="314"/>
      <c r="N936" s="314"/>
      <c r="O936" s="318"/>
      <c r="P936" s="314"/>
      <c r="Q936" s="314"/>
      <c r="R936" s="314"/>
      <c r="S936" s="718"/>
      <c r="T936" s="719"/>
      <c r="U936" s="314"/>
      <c r="V936" s="318"/>
      <c r="W936" s="314"/>
      <c r="X936" s="314"/>
      <c r="Y936" s="314"/>
      <c r="Z936" s="721"/>
      <c r="AA936" s="721"/>
      <c r="AB936" s="314"/>
      <c r="AC936" s="317"/>
      <c r="AD936" s="324"/>
      <c r="AE936" s="155"/>
      <c r="AF936" s="155"/>
      <c r="AG936" s="322"/>
      <c r="AH936" s="132"/>
      <c r="AI936" s="132"/>
    </row>
    <row r="937">
      <c r="A937" s="314"/>
      <c r="B937" s="312"/>
      <c r="C937" s="312"/>
      <c r="D937" s="717"/>
      <c r="E937" s="316"/>
      <c r="F937" s="316"/>
      <c r="G937" s="314"/>
      <c r="H937" s="318"/>
      <c r="I937" s="314"/>
      <c r="J937" s="314"/>
      <c r="K937" s="314"/>
      <c r="L937" s="314"/>
      <c r="M937" s="314"/>
      <c r="N937" s="314"/>
      <c r="O937" s="318"/>
      <c r="P937" s="314"/>
      <c r="Q937" s="314"/>
      <c r="R937" s="314"/>
      <c r="S937" s="718"/>
      <c r="T937" s="719"/>
      <c r="U937" s="314"/>
      <c r="V937" s="318"/>
      <c r="W937" s="314"/>
      <c r="X937" s="314"/>
      <c r="Y937" s="314"/>
      <c r="Z937" s="721"/>
      <c r="AA937" s="721"/>
      <c r="AB937" s="314"/>
      <c r="AC937" s="317"/>
      <c r="AD937" s="324"/>
      <c r="AE937" s="155"/>
      <c r="AF937" s="155"/>
      <c r="AG937" s="322"/>
      <c r="AH937" s="132"/>
      <c r="AI937" s="132"/>
    </row>
    <row r="938">
      <c r="A938" s="435"/>
      <c r="B938" s="312"/>
      <c r="C938" s="745"/>
      <c r="D938" s="717"/>
      <c r="E938" s="742"/>
      <c r="F938" s="316"/>
      <c r="G938" s="314"/>
      <c r="H938" s="740"/>
      <c r="I938" s="435"/>
      <c r="J938" s="314"/>
      <c r="K938" s="435"/>
      <c r="L938" s="435"/>
      <c r="M938" s="314"/>
      <c r="N938" s="314"/>
      <c r="O938" s="318"/>
      <c r="P938" s="435"/>
      <c r="Q938" s="435"/>
      <c r="R938" s="435"/>
      <c r="S938" s="747"/>
      <c r="T938" s="748"/>
      <c r="U938" s="435"/>
      <c r="V938" s="740"/>
      <c r="W938" s="435"/>
      <c r="X938" s="435"/>
      <c r="Y938" s="435"/>
      <c r="Z938" s="749"/>
      <c r="AA938" s="749"/>
      <c r="AB938" s="435"/>
      <c r="AC938" s="750"/>
      <c r="AD938" s="324"/>
      <c r="AE938" s="180"/>
      <c r="AF938" s="155"/>
      <c r="AG938" s="322"/>
      <c r="AH938" s="132"/>
      <c r="AI938" s="132"/>
    </row>
    <row r="939">
      <c r="A939" s="435"/>
      <c r="B939" s="312"/>
      <c r="C939" s="312"/>
      <c r="D939" s="751"/>
      <c r="E939" s="316"/>
      <c r="F939" s="316"/>
      <c r="G939" s="314"/>
      <c r="H939" s="318"/>
      <c r="I939" s="314"/>
      <c r="J939" s="314"/>
      <c r="K939" s="314"/>
      <c r="L939" s="314"/>
      <c r="M939" s="435"/>
      <c r="N939" s="435"/>
      <c r="O939" s="318"/>
      <c r="P939" s="314"/>
      <c r="Q939" s="314"/>
      <c r="R939" s="314"/>
      <c r="S939" s="718"/>
      <c r="T939" s="719"/>
      <c r="U939" s="314"/>
      <c r="V939" s="318"/>
      <c r="W939" s="314"/>
      <c r="X939" s="314"/>
      <c r="Y939" s="314"/>
      <c r="Z939" s="721"/>
      <c r="AA939" s="721"/>
      <c r="AB939" s="314"/>
      <c r="AC939" s="317"/>
      <c r="AD939" s="324"/>
      <c r="AE939" s="180"/>
      <c r="AF939" s="155"/>
      <c r="AG939" s="322"/>
      <c r="AH939" s="132"/>
      <c r="AI939" s="132"/>
    </row>
    <row r="940">
      <c r="A940" s="435"/>
      <c r="B940" s="745"/>
      <c r="C940" s="745"/>
      <c r="D940" s="751"/>
      <c r="E940" s="742"/>
      <c r="F940" s="316"/>
      <c r="G940" s="314"/>
      <c r="H940" s="318"/>
      <c r="I940" s="435"/>
      <c r="J940" s="435"/>
      <c r="K940" s="435"/>
      <c r="L940" s="435"/>
      <c r="M940" s="435"/>
      <c r="N940" s="435"/>
      <c r="O940" s="318"/>
      <c r="P940" s="435"/>
      <c r="Q940" s="314"/>
      <c r="R940" s="435"/>
      <c r="S940" s="747"/>
      <c r="T940" s="748"/>
      <c r="U940" s="435"/>
      <c r="V940" s="740"/>
      <c r="W940" s="435"/>
      <c r="X940" s="435"/>
      <c r="Y940" s="435"/>
      <c r="Z940" s="749"/>
      <c r="AA940" s="749"/>
      <c r="AB940" s="435"/>
      <c r="AC940" s="750"/>
      <c r="AD940" s="324"/>
      <c r="AE940" s="180"/>
      <c r="AF940" s="155"/>
      <c r="AG940" s="322"/>
      <c r="AH940" s="132"/>
      <c r="AI940" s="132"/>
    </row>
    <row r="941">
      <c r="A941" s="435"/>
      <c r="B941" s="312"/>
      <c r="C941" s="312"/>
      <c r="D941" s="751"/>
      <c r="E941" s="316"/>
      <c r="F941" s="316"/>
      <c r="G941" s="314"/>
      <c r="H941" s="318"/>
      <c r="I941" s="435"/>
      <c r="J941" s="314"/>
      <c r="K941" s="435"/>
      <c r="L941" s="314"/>
      <c r="M941" s="314"/>
      <c r="N941" s="314"/>
      <c r="O941" s="318"/>
      <c r="P941" s="314"/>
      <c r="Q941" s="435"/>
      <c r="R941" s="435"/>
      <c r="S941" s="718"/>
      <c r="T941" s="719"/>
      <c r="U941" s="314"/>
      <c r="V941" s="318"/>
      <c r="W941" s="314"/>
      <c r="X941" s="314"/>
      <c r="Y941" s="314"/>
      <c r="Z941" s="721"/>
      <c r="AA941" s="721"/>
      <c r="AB941" s="314"/>
      <c r="AC941" s="317"/>
      <c r="AD941" s="324"/>
      <c r="AE941" s="180"/>
      <c r="AF941" s="155"/>
      <c r="AG941" s="322"/>
      <c r="AH941" s="132"/>
      <c r="AI941" s="132"/>
    </row>
    <row r="942">
      <c r="A942" s="435"/>
      <c r="B942" s="745"/>
      <c r="C942" s="745"/>
      <c r="D942" s="751"/>
      <c r="E942" s="742"/>
      <c r="F942" s="316"/>
      <c r="G942" s="314"/>
      <c r="H942" s="740"/>
      <c r="I942" s="435"/>
      <c r="J942" s="435"/>
      <c r="K942" s="435"/>
      <c r="L942" s="435"/>
      <c r="M942" s="435"/>
      <c r="N942" s="435"/>
      <c r="O942" s="318"/>
      <c r="P942" s="435"/>
      <c r="Q942" s="435"/>
      <c r="R942" s="435"/>
      <c r="S942" s="747"/>
      <c r="T942" s="748"/>
      <c r="U942" s="435"/>
      <c r="V942" s="740"/>
      <c r="W942" s="435"/>
      <c r="X942" s="435"/>
      <c r="Y942" s="435"/>
      <c r="Z942" s="749"/>
      <c r="AA942" s="749"/>
      <c r="AB942" s="435"/>
      <c r="AC942" s="750"/>
      <c r="AD942" s="324"/>
      <c r="AE942" s="180"/>
      <c r="AF942" s="155"/>
      <c r="AG942" s="322"/>
      <c r="AH942" s="132"/>
      <c r="AI942" s="132"/>
    </row>
    <row r="943">
      <c r="A943" s="435"/>
      <c r="B943" s="745"/>
      <c r="C943" s="312"/>
      <c r="D943" s="751"/>
      <c r="E943" s="316"/>
      <c r="F943" s="316"/>
      <c r="G943" s="314"/>
      <c r="H943" s="318"/>
      <c r="I943" s="314"/>
      <c r="J943" s="314"/>
      <c r="K943" s="435"/>
      <c r="L943" s="314"/>
      <c r="M943" s="314"/>
      <c r="N943" s="314"/>
      <c r="O943" s="318"/>
      <c r="P943" s="314"/>
      <c r="Q943" s="314"/>
      <c r="R943" s="314"/>
      <c r="S943" s="747"/>
      <c r="T943" s="748"/>
      <c r="U943" s="435"/>
      <c r="V943" s="740"/>
      <c r="W943" s="435"/>
      <c r="X943" s="435"/>
      <c r="Y943" s="435"/>
      <c r="Z943" s="749"/>
      <c r="AA943" s="749"/>
      <c r="AB943" s="435"/>
      <c r="AC943" s="750"/>
      <c r="AD943" s="324"/>
      <c r="AE943" s="180"/>
      <c r="AF943" s="155"/>
      <c r="AG943" s="322"/>
      <c r="AH943" s="132"/>
      <c r="AI943" s="132"/>
    </row>
    <row r="944">
      <c r="A944" s="435"/>
      <c r="B944" s="745"/>
      <c r="C944" s="745"/>
      <c r="D944" s="751"/>
      <c r="E944" s="742"/>
      <c r="F944" s="316"/>
      <c r="G944" s="314"/>
      <c r="H944" s="740"/>
      <c r="I944" s="314"/>
      <c r="J944" s="314"/>
      <c r="K944" s="435"/>
      <c r="L944" s="314"/>
      <c r="M944" s="314"/>
      <c r="N944" s="314"/>
      <c r="O944" s="318"/>
      <c r="P944" s="435"/>
      <c r="Q944" s="435"/>
      <c r="R944" s="435"/>
      <c r="S944" s="747"/>
      <c r="T944" s="748"/>
      <c r="U944" s="435"/>
      <c r="V944" s="740"/>
      <c r="W944" s="435"/>
      <c r="X944" s="435"/>
      <c r="Y944" s="435"/>
      <c r="Z944" s="749"/>
      <c r="AA944" s="749"/>
      <c r="AB944" s="435"/>
      <c r="AC944" s="750"/>
      <c r="AD944" s="324"/>
      <c r="AE944" s="180"/>
      <c r="AF944" s="155"/>
      <c r="AG944" s="322"/>
      <c r="AH944" s="132"/>
      <c r="AI944" s="132"/>
    </row>
    <row r="945">
      <c r="A945" s="435"/>
      <c r="B945" s="745"/>
      <c r="C945" s="745"/>
      <c r="D945" s="751"/>
      <c r="E945" s="742"/>
      <c r="F945" s="316"/>
      <c r="G945" s="314"/>
      <c r="H945" s="740"/>
      <c r="I945" s="435"/>
      <c r="J945" s="435"/>
      <c r="K945" s="435"/>
      <c r="L945" s="435"/>
      <c r="M945" s="435"/>
      <c r="N945" s="435"/>
      <c r="O945" s="318"/>
      <c r="P945" s="435"/>
      <c r="Q945" s="435"/>
      <c r="R945" s="435"/>
      <c r="S945" s="747"/>
      <c r="T945" s="748"/>
      <c r="U945" s="435"/>
      <c r="V945" s="740"/>
      <c r="W945" s="435"/>
      <c r="X945" s="435"/>
      <c r="Y945" s="435"/>
      <c r="Z945" s="749"/>
      <c r="AA945" s="749"/>
      <c r="AB945" s="435"/>
      <c r="AC945" s="750"/>
      <c r="AD945" s="324"/>
      <c r="AE945" s="180"/>
      <c r="AF945" s="155"/>
      <c r="AG945" s="322"/>
      <c r="AH945" s="132"/>
      <c r="AI945" s="132"/>
    </row>
    <row r="946">
      <c r="A946" s="435"/>
      <c r="B946" s="312"/>
      <c r="C946" s="312"/>
      <c r="D946" s="717"/>
      <c r="E946" s="742"/>
      <c r="F946" s="316"/>
      <c r="G946" s="314"/>
      <c r="H946" s="740"/>
      <c r="I946" s="314"/>
      <c r="J946" s="314"/>
      <c r="K946" s="314"/>
      <c r="L946" s="314"/>
      <c r="M946" s="314"/>
      <c r="N946" s="314"/>
      <c r="O946" s="318"/>
      <c r="P946" s="314"/>
      <c r="Q946" s="314"/>
      <c r="R946" s="314"/>
      <c r="S946" s="718"/>
      <c r="T946" s="719"/>
      <c r="U946" s="314"/>
      <c r="V946" s="318"/>
      <c r="W946" s="314"/>
      <c r="X946" s="314"/>
      <c r="Y946" s="314"/>
      <c r="Z946" s="721"/>
      <c r="AA946" s="721"/>
      <c r="AB946" s="314"/>
      <c r="AC946" s="317"/>
      <c r="AD946" s="324"/>
      <c r="AE946" s="180"/>
      <c r="AF946" s="155"/>
      <c r="AG946" s="322"/>
      <c r="AH946" s="132"/>
      <c r="AI946" s="132"/>
    </row>
    <row r="947">
      <c r="A947" s="435"/>
      <c r="B947" s="312"/>
      <c r="C947" s="312"/>
      <c r="D947" s="751"/>
      <c r="E947" s="316"/>
      <c r="F947" s="316"/>
      <c r="G947" s="314"/>
      <c r="H947" s="740"/>
      <c r="I947" s="314"/>
      <c r="J947" s="435"/>
      <c r="K947" s="435"/>
      <c r="L947" s="314"/>
      <c r="M947" s="435"/>
      <c r="N947" s="314"/>
      <c r="O947" s="318"/>
      <c r="P947" s="314"/>
      <c r="Q947" s="314"/>
      <c r="R947" s="435"/>
      <c r="S947" s="747"/>
      <c r="T947" s="748"/>
      <c r="U947" s="435"/>
      <c r="V947" s="740"/>
      <c r="W947" s="435"/>
      <c r="X947" s="435"/>
      <c r="Y947" s="435"/>
      <c r="Z947" s="749"/>
      <c r="AA947" s="749"/>
      <c r="AB947" s="435"/>
      <c r="AC947" s="750"/>
      <c r="AD947" s="324"/>
      <c r="AE947" s="180"/>
      <c r="AF947" s="155"/>
      <c r="AG947" s="322"/>
      <c r="AH947" s="132"/>
      <c r="AI947" s="132"/>
    </row>
    <row r="948">
      <c r="A948" s="435"/>
      <c r="B948" s="312"/>
      <c r="C948" s="312"/>
      <c r="D948" s="717"/>
      <c r="E948" s="316"/>
      <c r="F948" s="316"/>
      <c r="G948" s="314"/>
      <c r="H948" s="318"/>
      <c r="I948" s="314"/>
      <c r="J948" s="314"/>
      <c r="K948" s="314"/>
      <c r="L948" s="314"/>
      <c r="M948" s="314"/>
      <c r="N948" s="314"/>
      <c r="O948" s="318"/>
      <c r="P948" s="314"/>
      <c r="Q948" s="435"/>
      <c r="R948" s="314"/>
      <c r="S948" s="747"/>
      <c r="T948" s="748"/>
      <c r="U948" s="435"/>
      <c r="V948" s="740"/>
      <c r="W948" s="435"/>
      <c r="X948" s="435"/>
      <c r="Y948" s="435"/>
      <c r="Z948" s="749"/>
      <c r="AA948" s="749"/>
      <c r="AB948" s="435"/>
      <c r="AC948" s="750"/>
      <c r="AD948" s="324"/>
      <c r="AE948" s="180"/>
      <c r="AF948" s="155"/>
      <c r="AG948" s="322"/>
      <c r="AH948" s="132"/>
      <c r="AI948" s="132"/>
    </row>
    <row r="949">
      <c r="A949" s="435"/>
      <c r="B949" s="745"/>
      <c r="C949" s="312"/>
      <c r="D949" s="717"/>
      <c r="E949" s="316"/>
      <c r="F949" s="316"/>
      <c r="G949" s="314"/>
      <c r="H949" s="740"/>
      <c r="I949" s="314"/>
      <c r="J949" s="435"/>
      <c r="K949" s="435"/>
      <c r="L949" s="314"/>
      <c r="M949" s="314"/>
      <c r="N949" s="435"/>
      <c r="O949" s="318"/>
      <c r="P949" s="314"/>
      <c r="Q949" s="314"/>
      <c r="R949" s="435"/>
      <c r="S949" s="747"/>
      <c r="T949" s="748"/>
      <c r="U949" s="435"/>
      <c r="V949" s="740"/>
      <c r="W949" s="435"/>
      <c r="X949" s="435"/>
      <c r="Y949" s="435"/>
      <c r="Z949" s="749"/>
      <c r="AA949" s="749"/>
      <c r="AB949" s="435"/>
      <c r="AC949" s="750"/>
      <c r="AD949" s="324"/>
      <c r="AE949" s="180"/>
      <c r="AF949" s="155"/>
      <c r="AG949" s="322"/>
      <c r="AH949" s="132"/>
      <c r="AI949" s="132"/>
    </row>
    <row r="950">
      <c r="A950" s="435"/>
      <c r="B950" s="312"/>
      <c r="C950" s="745"/>
      <c r="D950" s="751"/>
      <c r="E950" s="742"/>
      <c r="F950" s="316"/>
      <c r="G950" s="314"/>
      <c r="H950" s="740"/>
      <c r="I950" s="314"/>
      <c r="J950" s="314"/>
      <c r="K950" s="435"/>
      <c r="L950" s="314"/>
      <c r="M950" s="314"/>
      <c r="N950" s="314"/>
      <c r="O950" s="318"/>
      <c r="P950" s="314"/>
      <c r="Q950" s="314"/>
      <c r="R950" s="314"/>
      <c r="S950" s="747"/>
      <c r="T950" s="748"/>
      <c r="U950" s="435"/>
      <c r="V950" s="740"/>
      <c r="W950" s="435"/>
      <c r="X950" s="435"/>
      <c r="Y950" s="435"/>
      <c r="Z950" s="749"/>
      <c r="AA950" s="749"/>
      <c r="AB950" s="435"/>
      <c r="AC950" s="750"/>
      <c r="AD950" s="324"/>
      <c r="AE950" s="180"/>
      <c r="AF950" s="155"/>
      <c r="AG950" s="322"/>
      <c r="AH950" s="132"/>
      <c r="AI950" s="132"/>
    </row>
    <row r="951">
      <c r="A951" s="435"/>
      <c r="B951" s="312"/>
      <c r="C951" s="312"/>
      <c r="D951" s="717"/>
      <c r="E951" s="316"/>
      <c r="F951" s="316"/>
      <c r="G951" s="314"/>
      <c r="H951" s="740"/>
      <c r="I951" s="314"/>
      <c r="J951" s="314"/>
      <c r="K951" s="314"/>
      <c r="L951" s="314"/>
      <c r="M951" s="314"/>
      <c r="N951" s="314"/>
      <c r="O951" s="318"/>
      <c r="P951" s="314"/>
      <c r="Q951" s="314"/>
      <c r="R951" s="435"/>
      <c r="S951" s="718"/>
      <c r="T951" s="719"/>
      <c r="U951" s="314"/>
      <c r="V951" s="318"/>
      <c r="W951" s="314"/>
      <c r="X951" s="314"/>
      <c r="Y951" s="314"/>
      <c r="Z951" s="721"/>
      <c r="AA951" s="721"/>
      <c r="AB951" s="314"/>
      <c r="AC951" s="317"/>
      <c r="AD951" s="324"/>
      <c r="AE951" s="180"/>
      <c r="AF951" s="155"/>
      <c r="AG951" s="322"/>
      <c r="AH951" s="132"/>
      <c r="AI951" s="132"/>
    </row>
    <row r="952">
      <c r="A952" s="435"/>
      <c r="B952" s="745"/>
      <c r="C952" s="745"/>
      <c r="D952" s="751"/>
      <c r="E952" s="742"/>
      <c r="F952" s="316"/>
      <c r="G952" s="314"/>
      <c r="H952" s="740"/>
      <c r="I952" s="435"/>
      <c r="J952" s="435"/>
      <c r="K952" s="435"/>
      <c r="L952" s="435"/>
      <c r="M952" s="435"/>
      <c r="N952" s="435"/>
      <c r="O952" s="318"/>
      <c r="P952" s="435"/>
      <c r="Q952" s="435"/>
      <c r="R952" s="435"/>
      <c r="S952" s="747"/>
      <c r="T952" s="748"/>
      <c r="U952" s="435"/>
      <c r="V952" s="740"/>
      <c r="W952" s="435"/>
      <c r="X952" s="435"/>
      <c r="Y952" s="435"/>
      <c r="Z952" s="749"/>
      <c r="AA952" s="749"/>
      <c r="AB952" s="435"/>
      <c r="AC952" s="750"/>
      <c r="AD952" s="324"/>
      <c r="AE952" s="180"/>
      <c r="AF952" s="155"/>
      <c r="AG952" s="322"/>
      <c r="AH952" s="132"/>
      <c r="AI952" s="132"/>
    </row>
    <row r="953">
      <c r="A953" s="435"/>
      <c r="B953" s="312"/>
      <c r="C953" s="312"/>
      <c r="D953" s="717"/>
      <c r="E953" s="316"/>
      <c r="F953" s="316"/>
      <c r="G953" s="314"/>
      <c r="H953" s="318"/>
      <c r="I953" s="314"/>
      <c r="J953" s="314"/>
      <c r="K953" s="314"/>
      <c r="L953" s="314"/>
      <c r="M953" s="435"/>
      <c r="N953" s="314"/>
      <c r="O953" s="318"/>
      <c r="P953" s="314"/>
      <c r="Q953" s="314"/>
      <c r="R953" s="314"/>
      <c r="S953" s="718"/>
      <c r="T953" s="719"/>
      <c r="U953" s="314"/>
      <c r="V953" s="318"/>
      <c r="W953" s="314"/>
      <c r="X953" s="314"/>
      <c r="Y953" s="314"/>
      <c r="Z953" s="721"/>
      <c r="AA953" s="721"/>
      <c r="AB953" s="314"/>
      <c r="AC953" s="317"/>
      <c r="AD953" s="324"/>
      <c r="AE953" s="180"/>
      <c r="AF953" s="155"/>
      <c r="AG953" s="322"/>
      <c r="AH953" s="132"/>
      <c r="AI953" s="132"/>
    </row>
    <row r="954">
      <c r="A954" s="435"/>
      <c r="B954" s="312"/>
      <c r="C954" s="745"/>
      <c r="D954" s="751"/>
      <c r="E954" s="742"/>
      <c r="F954" s="316"/>
      <c r="G954" s="314"/>
      <c r="H954" s="740"/>
      <c r="I954" s="435"/>
      <c r="J954" s="435"/>
      <c r="K954" s="435"/>
      <c r="L954" s="314"/>
      <c r="M954" s="435"/>
      <c r="N954" s="435"/>
      <c r="O954" s="318"/>
      <c r="P954" s="435"/>
      <c r="Q954" s="435"/>
      <c r="R954" s="435"/>
      <c r="S954" s="747"/>
      <c r="T954" s="748"/>
      <c r="U954" s="435"/>
      <c r="V954" s="740"/>
      <c r="W954" s="435"/>
      <c r="X954" s="435"/>
      <c r="Y954" s="435"/>
      <c r="Z954" s="749"/>
      <c r="AA954" s="749"/>
      <c r="AB954" s="435"/>
      <c r="AC954" s="750"/>
      <c r="AD954" s="324"/>
      <c r="AE954" s="180"/>
      <c r="AF954" s="155"/>
      <c r="AG954" s="322"/>
      <c r="AH954" s="132"/>
      <c r="AI954" s="132"/>
    </row>
    <row r="955">
      <c r="A955" s="435"/>
      <c r="B955" s="745"/>
      <c r="C955" s="745"/>
      <c r="D955" s="717"/>
      <c r="E955" s="742"/>
      <c r="F955" s="316"/>
      <c r="G955" s="314"/>
      <c r="H955" s="740"/>
      <c r="I955" s="435"/>
      <c r="J955" s="314"/>
      <c r="K955" s="435"/>
      <c r="L955" s="435"/>
      <c r="M955" s="314"/>
      <c r="N955" s="435"/>
      <c r="O955" s="318"/>
      <c r="P955" s="435"/>
      <c r="Q955" s="314"/>
      <c r="R955" s="435"/>
      <c r="S955" s="747"/>
      <c r="T955" s="748"/>
      <c r="U955" s="435"/>
      <c r="V955" s="740"/>
      <c r="W955" s="435"/>
      <c r="X955" s="435"/>
      <c r="Y955" s="435"/>
      <c r="Z955" s="749"/>
      <c r="AA955" s="749"/>
      <c r="AB955" s="435"/>
      <c r="AC955" s="750"/>
      <c r="AD955" s="324"/>
      <c r="AE955" s="180"/>
      <c r="AF955" s="155"/>
      <c r="AG955" s="322"/>
      <c r="AH955" s="132"/>
      <c r="AI955" s="132"/>
    </row>
    <row r="956">
      <c r="A956" s="458"/>
      <c r="B956" s="745"/>
      <c r="C956" s="745"/>
      <c r="D956" s="751"/>
      <c r="E956" s="742"/>
      <c r="F956" s="316"/>
      <c r="G956" s="314"/>
      <c r="H956" s="318"/>
      <c r="I956" s="435"/>
      <c r="J956" s="435"/>
      <c r="K956" s="435"/>
      <c r="L956" s="435"/>
      <c r="M956" s="435"/>
      <c r="N956" s="435"/>
      <c r="O956" s="318"/>
      <c r="P956" s="435"/>
      <c r="Q956" s="435"/>
      <c r="R956" s="435"/>
      <c r="S956" s="747"/>
      <c r="T956" s="748"/>
      <c r="U956" s="435"/>
      <c r="V956" s="740"/>
      <c r="W956" s="435"/>
      <c r="X956" s="435"/>
      <c r="Y956" s="435"/>
      <c r="Z956" s="749"/>
      <c r="AA956" s="749"/>
      <c r="AB956" s="435"/>
      <c r="AC956" s="750"/>
      <c r="AD956" s="324"/>
      <c r="AE956" s="180"/>
      <c r="AF956" s="155"/>
      <c r="AG956" s="322"/>
      <c r="AH956" s="132"/>
      <c r="AI956" s="132"/>
    </row>
    <row r="957">
      <c r="A957" s="458"/>
      <c r="B957" s="745"/>
      <c r="C957" s="745"/>
      <c r="D957" s="751"/>
      <c r="E957" s="742"/>
      <c r="F957" s="316"/>
      <c r="G957" s="314"/>
      <c r="H957" s="318"/>
      <c r="I957" s="314"/>
      <c r="J957" s="435"/>
      <c r="K957" s="435"/>
      <c r="L957" s="435"/>
      <c r="M957" s="435"/>
      <c r="N957" s="435"/>
      <c r="O957" s="318"/>
      <c r="P957" s="435"/>
      <c r="Q957" s="435"/>
      <c r="R957" s="435"/>
      <c r="S957" s="747"/>
      <c r="T957" s="748"/>
      <c r="U957" s="435"/>
      <c r="V957" s="740"/>
      <c r="W957" s="435"/>
      <c r="X957" s="435"/>
      <c r="Y957" s="435"/>
      <c r="Z957" s="749"/>
      <c r="AA957" s="749"/>
      <c r="AB957" s="435"/>
      <c r="AC957" s="750"/>
      <c r="AD957" s="324"/>
      <c r="AE957" s="180"/>
      <c r="AF957" s="155"/>
      <c r="AG957" s="322"/>
      <c r="AH957" s="132"/>
      <c r="AI957" s="132"/>
    </row>
    <row r="958">
      <c r="A958" s="458"/>
      <c r="B958" s="745"/>
      <c r="C958" s="745"/>
      <c r="D958" s="751"/>
      <c r="E958" s="316"/>
      <c r="F958" s="316"/>
      <c r="G958" s="314"/>
      <c r="H958" s="318"/>
      <c r="I958" s="435"/>
      <c r="J958" s="435"/>
      <c r="K958" s="435"/>
      <c r="L958" s="435"/>
      <c r="M958" s="435"/>
      <c r="N958" s="435"/>
      <c r="O958" s="318"/>
      <c r="P958" s="435"/>
      <c r="Q958" s="314"/>
      <c r="R958" s="435"/>
      <c r="S958" s="747"/>
      <c r="T958" s="748"/>
      <c r="U958" s="435"/>
      <c r="V958" s="740"/>
      <c r="W958" s="435"/>
      <c r="X958" s="435"/>
      <c r="Y958" s="435"/>
      <c r="Z958" s="749"/>
      <c r="AA958" s="749"/>
      <c r="AB958" s="435"/>
      <c r="AC958" s="750"/>
      <c r="AD958" s="324"/>
      <c r="AE958" s="180"/>
      <c r="AF958" s="155"/>
      <c r="AG958" s="322"/>
      <c r="AH958" s="132"/>
      <c r="AI958" s="132"/>
    </row>
    <row r="959">
      <c r="A959" s="458"/>
      <c r="B959" s="312"/>
      <c r="C959" s="312"/>
      <c r="D959" s="717"/>
      <c r="E959" s="316"/>
      <c r="F959" s="316"/>
      <c r="G959" s="314"/>
      <c r="H959" s="318"/>
      <c r="I959" s="314"/>
      <c r="J959" s="314"/>
      <c r="K959" s="314"/>
      <c r="L959" s="314"/>
      <c r="M959" s="314"/>
      <c r="N959" s="314"/>
      <c r="O959" s="318"/>
      <c r="P959" s="314"/>
      <c r="Q959" s="314"/>
      <c r="R959" s="314"/>
      <c r="S959" s="718"/>
      <c r="T959" s="719"/>
      <c r="U959" s="314"/>
      <c r="V959" s="318"/>
      <c r="W959" s="314"/>
      <c r="X959" s="314"/>
      <c r="Y959" s="314"/>
      <c r="Z959" s="721"/>
      <c r="AA959" s="721"/>
      <c r="AB959" s="314"/>
      <c r="AC959" s="317"/>
      <c r="AD959" s="324"/>
      <c r="AE959" s="180"/>
      <c r="AF959" s="155"/>
      <c r="AG959" s="322"/>
      <c r="AH959" s="132"/>
      <c r="AI959" s="132"/>
    </row>
    <row r="960">
      <c r="A960" s="458"/>
      <c r="B960" s="745"/>
      <c r="C960" s="745"/>
      <c r="D960" s="751"/>
      <c r="E960" s="316"/>
      <c r="F960" s="316"/>
      <c r="G960" s="314"/>
      <c r="H960" s="318"/>
      <c r="I960" s="314"/>
      <c r="J960" s="314"/>
      <c r="K960" s="435"/>
      <c r="L960" s="435"/>
      <c r="M960" s="435"/>
      <c r="N960" s="314"/>
      <c r="O960" s="318"/>
      <c r="P960" s="435"/>
      <c r="Q960" s="435"/>
      <c r="R960" s="435"/>
      <c r="S960" s="747"/>
      <c r="T960" s="748"/>
      <c r="U960" s="435"/>
      <c r="V960" s="740"/>
      <c r="W960" s="435"/>
      <c r="X960" s="435"/>
      <c r="Y960" s="435"/>
      <c r="Z960" s="749"/>
      <c r="AA960" s="749"/>
      <c r="AB960" s="435"/>
      <c r="AC960" s="750"/>
      <c r="AD960" s="324"/>
      <c r="AE960" s="180"/>
      <c r="AF960" s="155"/>
      <c r="AG960" s="322"/>
      <c r="AH960" s="132"/>
      <c r="AI960" s="132"/>
    </row>
    <row r="961">
      <c r="A961" s="458"/>
      <c r="B961" s="312"/>
      <c r="C961" s="312"/>
      <c r="D961" s="751"/>
      <c r="E961" s="316"/>
      <c r="F961" s="316"/>
      <c r="G961" s="314"/>
      <c r="H961" s="318"/>
      <c r="I961" s="314"/>
      <c r="J961" s="314"/>
      <c r="K961" s="314"/>
      <c r="L961" s="314"/>
      <c r="M961" s="314"/>
      <c r="N961" s="314"/>
      <c r="O961" s="318"/>
      <c r="P961" s="314"/>
      <c r="Q961" s="314"/>
      <c r="R961" s="314"/>
      <c r="S961" s="718"/>
      <c r="T961" s="719"/>
      <c r="U961" s="314"/>
      <c r="V961" s="318"/>
      <c r="W961" s="314"/>
      <c r="X961" s="314"/>
      <c r="Y961" s="314"/>
      <c r="Z961" s="721"/>
      <c r="AA961" s="721"/>
      <c r="AB961" s="314"/>
      <c r="AC961" s="317"/>
      <c r="AD961" s="324"/>
      <c r="AE961" s="180"/>
      <c r="AF961" s="155"/>
      <c r="AG961" s="322"/>
      <c r="AH961" s="132"/>
      <c r="AI961" s="132"/>
    </row>
    <row r="962">
      <c r="A962" s="458"/>
      <c r="B962" s="312"/>
      <c r="C962" s="745"/>
      <c r="D962" s="717"/>
      <c r="E962" s="316"/>
      <c r="F962" s="316"/>
      <c r="G962" s="314"/>
      <c r="H962" s="318"/>
      <c r="I962" s="435"/>
      <c r="J962" s="314"/>
      <c r="K962" s="314"/>
      <c r="L962" s="435"/>
      <c r="M962" s="314"/>
      <c r="N962" s="314"/>
      <c r="O962" s="318"/>
      <c r="P962" s="314"/>
      <c r="Q962" s="435"/>
      <c r="R962" s="435"/>
      <c r="S962" s="747"/>
      <c r="T962" s="748"/>
      <c r="U962" s="435"/>
      <c r="V962" s="740"/>
      <c r="W962" s="435"/>
      <c r="X962" s="435"/>
      <c r="Y962" s="435"/>
      <c r="Z962" s="749"/>
      <c r="AA962" s="749"/>
      <c r="AB962" s="435"/>
      <c r="AC962" s="750"/>
      <c r="AD962" s="324"/>
      <c r="AE962" s="180"/>
      <c r="AF962" s="155"/>
      <c r="AG962" s="322"/>
      <c r="AH962" s="132"/>
      <c r="AI962" s="132"/>
    </row>
    <row r="963">
      <c r="A963" s="458"/>
      <c r="B963" s="312"/>
      <c r="C963" s="745"/>
      <c r="D963" s="751"/>
      <c r="E963" s="742"/>
      <c r="F963" s="316"/>
      <c r="G963" s="314"/>
      <c r="H963" s="740"/>
      <c r="I963" s="435"/>
      <c r="J963" s="314"/>
      <c r="K963" s="435"/>
      <c r="L963" s="435"/>
      <c r="M963" s="314"/>
      <c r="N963" s="314"/>
      <c r="O963" s="318"/>
      <c r="P963" s="435"/>
      <c r="Q963" s="435"/>
      <c r="R963" s="435"/>
      <c r="S963" s="747"/>
      <c r="T963" s="748"/>
      <c r="U963" s="435"/>
      <c r="V963" s="740"/>
      <c r="W963" s="435"/>
      <c r="X963" s="435"/>
      <c r="Y963" s="435"/>
      <c r="Z963" s="749"/>
      <c r="AA963" s="749"/>
      <c r="AB963" s="435"/>
      <c r="AC963" s="750"/>
      <c r="AD963" s="324"/>
      <c r="AE963" s="180"/>
      <c r="AF963" s="155"/>
      <c r="AG963" s="322"/>
      <c r="AH963" s="132"/>
      <c r="AI963" s="132"/>
    </row>
    <row r="964">
      <c r="A964" s="458"/>
      <c r="B964" s="312"/>
      <c r="C964" s="745"/>
      <c r="D964" s="751"/>
      <c r="E964" s="316"/>
      <c r="F964" s="316"/>
      <c r="G964" s="314"/>
      <c r="H964" s="318"/>
      <c r="I964" s="314"/>
      <c r="J964" s="314"/>
      <c r="K964" s="435"/>
      <c r="L964" s="314"/>
      <c r="M964" s="314"/>
      <c r="N964" s="314"/>
      <c r="O964" s="318"/>
      <c r="P964" s="314"/>
      <c r="Q964" s="314"/>
      <c r="R964" s="435"/>
      <c r="S964" s="747"/>
      <c r="T964" s="748"/>
      <c r="U964" s="435"/>
      <c r="V964" s="740"/>
      <c r="W964" s="435"/>
      <c r="X964" s="435"/>
      <c r="Y964" s="435"/>
      <c r="Z964" s="749"/>
      <c r="AA964" s="749"/>
      <c r="AB964" s="435"/>
      <c r="AC964" s="750"/>
      <c r="AD964" s="324"/>
      <c r="AE964" s="180"/>
      <c r="AF964" s="155"/>
      <c r="AG964" s="322"/>
      <c r="AH964" s="132"/>
      <c r="AI964" s="132"/>
    </row>
    <row r="965">
      <c r="A965" s="458"/>
      <c r="B965" s="745"/>
      <c r="C965" s="745"/>
      <c r="D965" s="751"/>
      <c r="E965" s="742"/>
      <c r="F965" s="316"/>
      <c r="G965" s="314"/>
      <c r="H965" s="740"/>
      <c r="I965" s="435"/>
      <c r="J965" s="435"/>
      <c r="K965" s="435"/>
      <c r="L965" s="435"/>
      <c r="M965" s="435"/>
      <c r="N965" s="435"/>
      <c r="O965" s="318"/>
      <c r="P965" s="435"/>
      <c r="Q965" s="435"/>
      <c r="R965" s="435"/>
      <c r="S965" s="747"/>
      <c r="T965" s="748"/>
      <c r="U965" s="435"/>
      <c r="V965" s="740"/>
      <c r="W965" s="435"/>
      <c r="X965" s="435"/>
      <c r="Y965" s="435"/>
      <c r="Z965" s="749"/>
      <c r="AA965" s="749"/>
      <c r="AB965" s="435"/>
      <c r="AC965" s="750"/>
      <c r="AD965" s="324"/>
      <c r="AE965" s="180"/>
      <c r="AF965" s="155"/>
      <c r="AG965" s="322"/>
      <c r="AH965" s="132"/>
      <c r="AI965" s="132"/>
    </row>
    <row r="966">
      <c r="A966" s="435"/>
      <c r="B966" s="745"/>
      <c r="C966" s="745"/>
      <c r="D966" s="751"/>
      <c r="E966" s="742"/>
      <c r="F966" s="316"/>
      <c r="G966" s="314"/>
      <c r="H966" s="740"/>
      <c r="I966" s="435"/>
      <c r="J966" s="435"/>
      <c r="K966" s="435"/>
      <c r="L966" s="435"/>
      <c r="M966" s="435"/>
      <c r="N966" s="435"/>
      <c r="O966" s="318"/>
      <c r="P966" s="435"/>
      <c r="Q966" s="435"/>
      <c r="R966" s="435"/>
      <c r="S966" s="747"/>
      <c r="T966" s="748"/>
      <c r="U966" s="435"/>
      <c r="V966" s="740"/>
      <c r="W966" s="435"/>
      <c r="X966" s="435"/>
      <c r="Y966" s="435"/>
      <c r="Z966" s="749"/>
      <c r="AA966" s="749"/>
      <c r="AB966" s="435"/>
      <c r="AC966" s="750"/>
      <c r="AD966" s="324"/>
      <c r="AE966" s="180"/>
      <c r="AF966" s="155"/>
      <c r="AG966" s="322"/>
      <c r="AH966" s="132"/>
      <c r="AI966" s="132"/>
    </row>
    <row r="967">
      <c r="A967" s="474"/>
      <c r="B967" s="745"/>
      <c r="C967" s="745"/>
      <c r="D967" s="751"/>
      <c r="E967" s="742"/>
      <c r="F967" s="316"/>
      <c r="G967" s="314"/>
      <c r="H967" s="740"/>
      <c r="I967" s="435"/>
      <c r="J967" s="435"/>
      <c r="K967" s="435"/>
      <c r="L967" s="435"/>
      <c r="M967" s="435"/>
      <c r="N967" s="435"/>
      <c r="O967" s="318"/>
      <c r="P967" s="435"/>
      <c r="Q967" s="435"/>
      <c r="R967" s="435"/>
      <c r="S967" s="747"/>
      <c r="T967" s="748"/>
      <c r="U967" s="435"/>
      <c r="V967" s="740"/>
      <c r="W967" s="435"/>
      <c r="X967" s="435"/>
      <c r="Y967" s="435"/>
      <c r="Z967" s="749"/>
      <c r="AA967" s="749"/>
      <c r="AB967" s="435"/>
      <c r="AC967" s="750"/>
      <c r="AD967" s="324"/>
      <c r="AE967" s="180"/>
      <c r="AF967" s="155"/>
      <c r="AG967" s="322"/>
      <c r="AH967" s="132"/>
      <c r="AI967" s="132"/>
    </row>
    <row r="968">
      <c r="A968" s="474"/>
      <c r="B968" s="745"/>
      <c r="C968" s="312"/>
      <c r="D968" s="751"/>
      <c r="E968" s="742"/>
      <c r="F968" s="316"/>
      <c r="G968" s="314"/>
      <c r="H968" s="740"/>
      <c r="I968" s="435"/>
      <c r="J968" s="435"/>
      <c r="K968" s="314"/>
      <c r="L968" s="314"/>
      <c r="M968" s="314"/>
      <c r="N968" s="435"/>
      <c r="O968" s="318"/>
      <c r="P968" s="314"/>
      <c r="Q968" s="435"/>
      <c r="R968" s="314"/>
      <c r="S968" s="747"/>
      <c r="T968" s="748"/>
      <c r="U968" s="435"/>
      <c r="V968" s="740"/>
      <c r="W968" s="435"/>
      <c r="X968" s="435"/>
      <c r="Y968" s="435"/>
      <c r="Z968" s="749"/>
      <c r="AA968" s="749"/>
      <c r="AB968" s="435"/>
      <c r="AC968" s="750"/>
      <c r="AD968" s="324"/>
      <c r="AE968" s="180"/>
      <c r="AF968" s="155"/>
      <c r="AG968" s="322"/>
      <c r="AH968" s="132"/>
      <c r="AI968" s="132"/>
    </row>
    <row r="969">
      <c r="A969" s="474"/>
      <c r="B969" s="312"/>
      <c r="C969" s="312"/>
      <c r="D969" s="717"/>
      <c r="E969" s="316"/>
      <c r="F969" s="316"/>
      <c r="G969" s="314"/>
      <c r="H969" s="318"/>
      <c r="I969" s="314"/>
      <c r="J969" s="314"/>
      <c r="K969" s="435"/>
      <c r="L969" s="314"/>
      <c r="M969" s="314"/>
      <c r="N969" s="314"/>
      <c r="O969" s="318"/>
      <c r="P969" s="435"/>
      <c r="Q969" s="314"/>
      <c r="R969" s="314"/>
      <c r="S969" s="718"/>
      <c r="T969" s="719"/>
      <c r="U969" s="314"/>
      <c r="V969" s="318"/>
      <c r="W969" s="314"/>
      <c r="X969" s="314"/>
      <c r="Y969" s="314"/>
      <c r="Z969" s="721"/>
      <c r="AA969" s="721"/>
      <c r="AB969" s="314"/>
      <c r="AC969" s="317"/>
      <c r="AD969" s="324"/>
      <c r="AE969" s="180"/>
      <c r="AF969" s="155"/>
      <c r="AG969" s="322"/>
      <c r="AH969" s="132"/>
      <c r="AI969" s="132"/>
    </row>
    <row r="970">
      <c r="A970" s="474"/>
      <c r="B970" s="312"/>
      <c r="C970" s="745"/>
      <c r="D970" s="751"/>
      <c r="E970" s="316"/>
      <c r="F970" s="316"/>
      <c r="G970" s="314"/>
      <c r="H970" s="318"/>
      <c r="I970" s="435"/>
      <c r="J970" s="314"/>
      <c r="K970" s="314"/>
      <c r="L970" s="314"/>
      <c r="M970" s="314"/>
      <c r="N970" s="314"/>
      <c r="O970" s="318"/>
      <c r="P970" s="314"/>
      <c r="Q970" s="314"/>
      <c r="R970" s="314"/>
      <c r="S970" s="718"/>
      <c r="T970" s="719"/>
      <c r="U970" s="314"/>
      <c r="V970" s="318"/>
      <c r="W970" s="314"/>
      <c r="X970" s="314"/>
      <c r="Y970" s="314"/>
      <c r="Z970" s="721"/>
      <c r="AA970" s="721"/>
      <c r="AB970" s="314"/>
      <c r="AC970" s="317"/>
      <c r="AD970" s="324"/>
      <c r="AE970" s="180"/>
      <c r="AF970" s="155"/>
      <c r="AG970" s="322"/>
      <c r="AH970" s="132"/>
      <c r="AI970" s="132"/>
    </row>
    <row r="971">
      <c r="A971" s="474"/>
      <c r="B971" s="312"/>
      <c r="C971" s="312"/>
      <c r="D971" s="717"/>
      <c r="E971" s="316"/>
      <c r="F971" s="316"/>
      <c r="G971" s="314"/>
      <c r="H971" s="318"/>
      <c r="I971" s="314"/>
      <c r="J971" s="314"/>
      <c r="K971" s="435"/>
      <c r="L971" s="314"/>
      <c r="M971" s="314"/>
      <c r="N971" s="314"/>
      <c r="O971" s="318"/>
      <c r="P971" s="314"/>
      <c r="Q971" s="314"/>
      <c r="R971" s="314"/>
      <c r="S971" s="718"/>
      <c r="T971" s="719"/>
      <c r="U971" s="314"/>
      <c r="V971" s="318"/>
      <c r="W971" s="314"/>
      <c r="X971" s="314"/>
      <c r="Y971" s="314"/>
      <c r="Z971" s="721"/>
      <c r="AA971" s="721"/>
      <c r="AB971" s="314"/>
      <c r="AC971" s="317"/>
      <c r="AD971" s="324"/>
      <c r="AE971" s="180"/>
      <c r="AF971" s="155"/>
      <c r="AG971" s="322"/>
      <c r="AH971" s="132"/>
      <c r="AI971" s="132"/>
    </row>
    <row r="972">
      <c r="A972" s="458"/>
      <c r="B972" s="312"/>
      <c r="C972" s="745"/>
      <c r="D972" s="717"/>
      <c r="E972" s="316"/>
      <c r="F972" s="316"/>
      <c r="G972" s="314"/>
      <c r="H972" s="318"/>
      <c r="I972" s="314"/>
      <c r="J972" s="435"/>
      <c r="K972" s="435"/>
      <c r="L972" s="314"/>
      <c r="M972" s="314"/>
      <c r="N972" s="314"/>
      <c r="O972" s="318"/>
      <c r="P972" s="314"/>
      <c r="Q972" s="314"/>
      <c r="R972" s="314"/>
      <c r="S972" s="718"/>
      <c r="T972" s="719"/>
      <c r="U972" s="314"/>
      <c r="V972" s="318"/>
      <c r="W972" s="314"/>
      <c r="X972" s="314"/>
      <c r="Y972" s="314"/>
      <c r="Z972" s="721"/>
      <c r="AA972" s="721"/>
      <c r="AB972" s="314"/>
      <c r="AC972" s="317"/>
      <c r="AD972" s="324"/>
      <c r="AE972" s="180"/>
      <c r="AF972" s="155"/>
      <c r="AG972" s="322"/>
      <c r="AH972" s="132"/>
      <c r="AI972" s="132"/>
    </row>
    <row r="973">
      <c r="A973" s="435"/>
      <c r="B973" s="312"/>
      <c r="C973" s="745"/>
      <c r="D973" s="751"/>
      <c r="E973" s="742"/>
      <c r="F973" s="316"/>
      <c r="G973" s="314"/>
      <c r="H973" s="740"/>
      <c r="I973" s="314"/>
      <c r="J973" s="314"/>
      <c r="K973" s="435"/>
      <c r="L973" s="314"/>
      <c r="M973" s="435"/>
      <c r="N973" s="435"/>
      <c r="O973" s="318"/>
      <c r="P973" s="314"/>
      <c r="Q973" s="314"/>
      <c r="R973" s="435"/>
      <c r="S973" s="718"/>
      <c r="T973" s="719"/>
      <c r="U973" s="314"/>
      <c r="V973" s="318"/>
      <c r="W973" s="314"/>
      <c r="X973" s="314"/>
      <c r="Y973" s="314"/>
      <c r="Z973" s="721"/>
      <c r="AA973" s="721"/>
      <c r="AB973" s="314"/>
      <c r="AC973" s="317"/>
      <c r="AD973" s="324"/>
      <c r="AE973" s="180"/>
      <c r="AF973" s="155"/>
      <c r="AG973" s="322"/>
      <c r="AH973" s="132"/>
      <c r="AI973" s="132"/>
    </row>
    <row r="974">
      <c r="A974" s="435"/>
      <c r="B974" s="745"/>
      <c r="C974" s="312"/>
      <c r="D974" s="717"/>
      <c r="E974" s="316"/>
      <c r="F974" s="316"/>
      <c r="G974" s="314"/>
      <c r="H974" s="318"/>
      <c r="I974" s="314"/>
      <c r="J974" s="314"/>
      <c r="K974" s="314"/>
      <c r="L974" s="314"/>
      <c r="M974" s="314"/>
      <c r="N974" s="314"/>
      <c r="O974" s="318"/>
      <c r="P974" s="435"/>
      <c r="Q974" s="314"/>
      <c r="R974" s="314"/>
      <c r="S974" s="718"/>
      <c r="T974" s="719"/>
      <c r="U974" s="314"/>
      <c r="V974" s="318"/>
      <c r="W974" s="314"/>
      <c r="X974" s="314"/>
      <c r="Y974" s="314"/>
      <c r="Z974" s="721"/>
      <c r="AA974" s="721"/>
      <c r="AB974" s="314"/>
      <c r="AC974" s="317"/>
      <c r="AD974" s="324"/>
      <c r="AE974" s="180"/>
      <c r="AF974" s="155"/>
      <c r="AG974" s="322"/>
      <c r="AH974" s="132"/>
      <c r="AI974" s="132"/>
    </row>
    <row r="975">
      <c r="A975" s="435"/>
      <c r="B975" s="745"/>
      <c r="C975" s="312"/>
      <c r="D975" s="717"/>
      <c r="E975" s="316"/>
      <c r="F975" s="316"/>
      <c r="G975" s="314"/>
      <c r="H975" s="318"/>
      <c r="I975" s="314"/>
      <c r="J975" s="314"/>
      <c r="K975" s="314"/>
      <c r="L975" s="314"/>
      <c r="M975" s="314"/>
      <c r="N975" s="314"/>
      <c r="O975" s="318"/>
      <c r="P975" s="314"/>
      <c r="Q975" s="435"/>
      <c r="R975" s="314"/>
      <c r="S975" s="747"/>
      <c r="T975" s="748"/>
      <c r="U975" s="435"/>
      <c r="V975" s="740"/>
      <c r="W975" s="435"/>
      <c r="X975" s="435"/>
      <c r="Y975" s="435"/>
      <c r="Z975" s="749"/>
      <c r="AA975" s="749"/>
      <c r="AB975" s="435"/>
      <c r="AC975" s="750"/>
      <c r="AD975" s="324"/>
      <c r="AE975" s="180"/>
      <c r="AF975" s="155"/>
      <c r="AG975" s="322"/>
      <c r="AH975" s="132"/>
      <c r="AI975" s="132"/>
    </row>
    <row r="976">
      <c r="A976" s="435"/>
      <c r="B976" s="312"/>
      <c r="C976" s="745"/>
      <c r="D976" s="717"/>
      <c r="E976" s="316"/>
      <c r="F976" s="316"/>
      <c r="G976" s="314"/>
      <c r="H976" s="318"/>
      <c r="I976" s="314"/>
      <c r="J976" s="314"/>
      <c r="K976" s="314"/>
      <c r="L976" s="314"/>
      <c r="M976" s="314"/>
      <c r="N976" s="314"/>
      <c r="O976" s="318"/>
      <c r="P976" s="314"/>
      <c r="Q976" s="314"/>
      <c r="R976" s="435"/>
      <c r="S976" s="718"/>
      <c r="T976" s="719"/>
      <c r="U976" s="314"/>
      <c r="V976" s="318"/>
      <c r="W976" s="314"/>
      <c r="X976" s="314"/>
      <c r="Y976" s="314"/>
      <c r="Z976" s="721"/>
      <c r="AA976" s="721"/>
      <c r="AB976" s="314"/>
      <c r="AC976" s="317"/>
      <c r="AD976" s="324"/>
      <c r="AE976" s="180"/>
      <c r="AF976" s="155"/>
      <c r="AG976" s="322"/>
      <c r="AH976" s="132"/>
      <c r="AI976" s="132"/>
    </row>
    <row r="977">
      <c r="A977" s="435"/>
      <c r="B977" s="312"/>
      <c r="C977" s="312"/>
      <c r="D977" s="717"/>
      <c r="E977" s="316"/>
      <c r="F977" s="316"/>
      <c r="G977" s="314"/>
      <c r="H977" s="318"/>
      <c r="I977" s="314"/>
      <c r="J977" s="314"/>
      <c r="K977" s="435"/>
      <c r="L977" s="314"/>
      <c r="M977" s="435"/>
      <c r="N977" s="314"/>
      <c r="O977" s="318"/>
      <c r="P977" s="314"/>
      <c r="Q977" s="435"/>
      <c r="R977" s="314"/>
      <c r="S977" s="718"/>
      <c r="T977" s="719"/>
      <c r="U977" s="314"/>
      <c r="V977" s="318"/>
      <c r="W977" s="314"/>
      <c r="X977" s="314"/>
      <c r="Y977" s="314"/>
      <c r="Z977" s="721"/>
      <c r="AA977" s="721"/>
      <c r="AB977" s="314"/>
      <c r="AC977" s="317"/>
      <c r="AD977" s="324"/>
      <c r="AE977" s="180"/>
      <c r="AF977" s="155"/>
      <c r="AG977" s="322"/>
      <c r="AH977" s="132"/>
      <c r="AI977" s="132"/>
    </row>
    <row r="978">
      <c r="A978" s="435"/>
      <c r="B978" s="312"/>
      <c r="C978" s="745"/>
      <c r="D978" s="751"/>
      <c r="E978" s="316"/>
      <c r="F978" s="316"/>
      <c r="G978" s="314"/>
      <c r="H978" s="318"/>
      <c r="I978" s="314"/>
      <c r="J978" s="314"/>
      <c r="K978" s="435"/>
      <c r="L978" s="314"/>
      <c r="M978" s="435"/>
      <c r="N978" s="314"/>
      <c r="O978" s="318"/>
      <c r="P978" s="314"/>
      <c r="Q978" s="435"/>
      <c r="R978" s="314"/>
      <c r="S978" s="718"/>
      <c r="T978" s="719"/>
      <c r="U978" s="314"/>
      <c r="V978" s="318"/>
      <c r="W978" s="314"/>
      <c r="X978" s="314"/>
      <c r="Y978" s="314"/>
      <c r="Z978" s="721"/>
      <c r="AA978" s="721"/>
      <c r="AB978" s="314"/>
      <c r="AC978" s="317"/>
      <c r="AD978" s="324"/>
      <c r="AE978" s="180"/>
      <c r="AF978" s="155"/>
      <c r="AG978" s="322"/>
      <c r="AH978" s="132"/>
      <c r="AI978" s="132"/>
    </row>
    <row r="979">
      <c r="A979" s="476"/>
      <c r="AF979" s="176"/>
      <c r="AG979" s="322"/>
      <c r="AH979" s="132"/>
      <c r="AI979" s="132"/>
    </row>
    <row r="980">
      <c r="A980" s="178"/>
      <c r="AG980" s="322"/>
      <c r="AH980" s="132"/>
      <c r="AI980" s="132"/>
    </row>
    <row r="981">
      <c r="A981" s="474"/>
      <c r="B981" s="745"/>
      <c r="C981" s="745"/>
      <c r="D981" s="751"/>
      <c r="E981" s="742"/>
      <c r="F981" s="316"/>
      <c r="G981" s="314"/>
      <c r="H981" s="318"/>
      <c r="I981" s="435"/>
      <c r="J981" s="435"/>
      <c r="K981" s="435"/>
      <c r="L981" s="435"/>
      <c r="M981" s="435"/>
      <c r="N981" s="435"/>
      <c r="O981" s="318"/>
      <c r="P981" s="435"/>
      <c r="Q981" s="435"/>
      <c r="R981" s="435"/>
      <c r="S981" s="747"/>
      <c r="T981" s="748"/>
      <c r="U981" s="435"/>
      <c r="V981" s="740"/>
      <c r="W981" s="435"/>
      <c r="X981" s="435"/>
      <c r="Y981" s="435"/>
      <c r="Z981" s="749"/>
      <c r="AA981" s="749"/>
      <c r="AB981" s="435"/>
      <c r="AC981" s="750"/>
      <c r="AD981" s="324"/>
      <c r="AE981" s="180"/>
      <c r="AF981" s="155"/>
      <c r="AG981" s="322"/>
      <c r="AH981" s="132"/>
      <c r="AI981" s="132"/>
    </row>
    <row r="982">
      <c r="A982" s="474"/>
      <c r="B982" s="312"/>
      <c r="C982" s="745"/>
      <c r="D982" s="751"/>
      <c r="E982" s="742"/>
      <c r="F982" s="316"/>
      <c r="G982" s="314"/>
      <c r="H982" s="740"/>
      <c r="I982" s="314"/>
      <c r="J982" s="435"/>
      <c r="K982" s="435"/>
      <c r="L982" s="435"/>
      <c r="M982" s="314"/>
      <c r="N982" s="314"/>
      <c r="O982" s="318"/>
      <c r="P982" s="435"/>
      <c r="Q982" s="435"/>
      <c r="R982" s="435"/>
      <c r="S982" s="747"/>
      <c r="T982" s="748"/>
      <c r="U982" s="435"/>
      <c r="V982" s="740"/>
      <c r="W982" s="435"/>
      <c r="X982" s="435"/>
      <c r="Y982" s="435"/>
      <c r="Z982" s="749"/>
      <c r="AA982" s="749"/>
      <c r="AB982" s="435"/>
      <c r="AC982" s="750"/>
      <c r="AD982" s="324"/>
      <c r="AE982" s="180"/>
      <c r="AF982" s="155"/>
      <c r="AG982" s="322"/>
      <c r="AH982" s="132"/>
      <c r="AI982" s="132"/>
    </row>
    <row r="983">
      <c r="A983" s="477"/>
      <c r="B983" s="745"/>
      <c r="C983" s="745"/>
      <c r="D983" s="751"/>
      <c r="E983" s="316"/>
      <c r="F983" s="316"/>
      <c r="G983" s="314"/>
      <c r="H983" s="740"/>
      <c r="I983" s="435"/>
      <c r="J983" s="435"/>
      <c r="K983" s="435"/>
      <c r="L983" s="435"/>
      <c r="M983" s="435"/>
      <c r="N983" s="435"/>
      <c r="O983" s="318"/>
      <c r="P983" s="435"/>
      <c r="Q983" s="435"/>
      <c r="R983" s="435"/>
      <c r="S983" s="747"/>
      <c r="T983" s="748"/>
      <c r="U983" s="435"/>
      <c r="V983" s="740"/>
      <c r="W983" s="435"/>
      <c r="X983" s="435"/>
      <c r="Y983" s="435"/>
      <c r="Z983" s="749"/>
      <c r="AA983" s="749"/>
      <c r="AB983" s="435"/>
      <c r="AC983" s="750"/>
      <c r="AD983" s="324"/>
      <c r="AE983" s="180"/>
      <c r="AF983" s="155"/>
      <c r="AG983" s="322"/>
      <c r="AH983" s="132"/>
      <c r="AI983" s="132"/>
    </row>
    <row r="984">
      <c r="A984" s="477"/>
      <c r="B984" s="745"/>
      <c r="C984" s="745"/>
      <c r="D984" s="751"/>
      <c r="E984" s="316"/>
      <c r="F984" s="316"/>
      <c r="G984" s="314"/>
      <c r="H984" s="740"/>
      <c r="I984" s="314"/>
      <c r="J984" s="314"/>
      <c r="K984" s="435"/>
      <c r="L984" s="435"/>
      <c r="M984" s="435"/>
      <c r="N984" s="314"/>
      <c r="O984" s="318"/>
      <c r="P984" s="435"/>
      <c r="Q984" s="435"/>
      <c r="R984" s="435"/>
      <c r="S984" s="747"/>
      <c r="T984" s="748"/>
      <c r="U984" s="435"/>
      <c r="V984" s="740"/>
      <c r="W984" s="435"/>
      <c r="X984" s="435"/>
      <c r="Y984" s="435"/>
      <c r="Z984" s="749"/>
      <c r="AA984" s="749"/>
      <c r="AB984" s="435"/>
      <c r="AC984" s="750"/>
      <c r="AD984" s="324"/>
      <c r="AE984" s="180"/>
      <c r="AF984" s="155"/>
      <c r="AG984" s="322"/>
      <c r="AH984" s="132"/>
      <c r="AI984" s="132"/>
    </row>
    <row r="985">
      <c r="A985" s="477"/>
      <c r="B985" s="745"/>
      <c r="C985" s="745"/>
      <c r="D985" s="751"/>
      <c r="E985" s="742"/>
      <c r="F985" s="316"/>
      <c r="G985" s="314"/>
      <c r="H985" s="740"/>
      <c r="I985" s="435"/>
      <c r="J985" s="435"/>
      <c r="K985" s="435"/>
      <c r="L985" s="435"/>
      <c r="M985" s="435"/>
      <c r="N985" s="435"/>
      <c r="O985" s="318"/>
      <c r="P985" s="435"/>
      <c r="Q985" s="435"/>
      <c r="R985" s="435"/>
      <c r="S985" s="747"/>
      <c r="T985" s="748"/>
      <c r="U985" s="435"/>
      <c r="V985" s="740"/>
      <c r="W985" s="435"/>
      <c r="X985" s="435"/>
      <c r="Y985" s="435"/>
      <c r="Z985" s="749"/>
      <c r="AA985" s="749"/>
      <c r="AB985" s="435"/>
      <c r="AC985" s="750"/>
      <c r="AD985" s="324"/>
      <c r="AE985" s="180"/>
      <c r="AF985" s="155"/>
      <c r="AG985" s="322"/>
      <c r="AH985" s="132"/>
      <c r="AI985" s="132"/>
    </row>
    <row r="986">
      <c r="A986" s="474"/>
      <c r="B986" s="312"/>
      <c r="C986" s="745"/>
      <c r="D986" s="717"/>
      <c r="E986" s="742"/>
      <c r="F986" s="316"/>
      <c r="G986" s="314"/>
      <c r="H986" s="740"/>
      <c r="I986" s="314"/>
      <c r="J986" s="435"/>
      <c r="K986" s="435"/>
      <c r="L986" s="314"/>
      <c r="M986" s="435"/>
      <c r="N986" s="314"/>
      <c r="O986" s="318"/>
      <c r="P986" s="435"/>
      <c r="Q986" s="435"/>
      <c r="R986" s="435"/>
      <c r="S986" s="747"/>
      <c r="T986" s="748"/>
      <c r="U986" s="435"/>
      <c r="V986" s="740"/>
      <c r="W986" s="435"/>
      <c r="X986" s="435"/>
      <c r="Y986" s="435"/>
      <c r="Z986" s="749"/>
      <c r="AA986" s="749"/>
      <c r="AB986" s="435"/>
      <c r="AC986" s="750"/>
      <c r="AD986" s="324"/>
      <c r="AE986" s="180"/>
      <c r="AF986" s="155"/>
      <c r="AG986" s="322"/>
      <c r="AH986" s="132"/>
      <c r="AI986" s="132"/>
    </row>
    <row r="987">
      <c r="A987" s="478"/>
      <c r="B987" s="745"/>
      <c r="C987" s="745"/>
      <c r="D987" s="751"/>
      <c r="E987" s="742"/>
      <c r="F987" s="316"/>
      <c r="G987" s="314"/>
      <c r="H987" s="740"/>
      <c r="I987" s="435"/>
      <c r="J987" s="435"/>
      <c r="K987" s="435"/>
      <c r="L987" s="435"/>
      <c r="M987" s="435"/>
      <c r="N987" s="435"/>
      <c r="O987" s="318"/>
      <c r="P987" s="435"/>
      <c r="Q987" s="435"/>
      <c r="R987" s="435"/>
      <c r="S987" s="747"/>
      <c r="T987" s="748"/>
      <c r="U987" s="435"/>
      <c r="V987" s="740"/>
      <c r="W987" s="435"/>
      <c r="X987" s="435"/>
      <c r="Y987" s="435"/>
      <c r="Z987" s="749"/>
      <c r="AA987" s="749"/>
      <c r="AB987" s="435"/>
      <c r="AC987" s="750"/>
      <c r="AD987" s="324"/>
      <c r="AE987" s="180"/>
      <c r="AF987" s="155"/>
      <c r="AG987" s="322"/>
      <c r="AH987" s="132"/>
      <c r="AI987" s="132"/>
    </row>
    <row r="988">
      <c r="A988" s="478"/>
      <c r="B988" s="745"/>
      <c r="C988" s="745"/>
      <c r="D988" s="751"/>
      <c r="E988" s="742"/>
      <c r="F988" s="316"/>
      <c r="G988" s="314"/>
      <c r="H988" s="740"/>
      <c r="I988" s="435"/>
      <c r="J988" s="435"/>
      <c r="K988" s="435"/>
      <c r="L988" s="435"/>
      <c r="M988" s="435"/>
      <c r="N988" s="435"/>
      <c r="O988" s="318"/>
      <c r="P988" s="435"/>
      <c r="Q988" s="435"/>
      <c r="R988" s="435"/>
      <c r="S988" s="747"/>
      <c r="T988" s="748"/>
      <c r="U988" s="435"/>
      <c r="V988" s="740"/>
      <c r="W988" s="435"/>
      <c r="X988" s="435"/>
      <c r="Y988" s="435"/>
      <c r="Z988" s="749"/>
      <c r="AA988" s="749"/>
      <c r="AB988" s="435"/>
      <c r="AC988" s="750"/>
      <c r="AD988" s="324"/>
      <c r="AE988" s="180"/>
      <c r="AF988" s="155"/>
      <c r="AG988" s="322"/>
      <c r="AH988" s="132"/>
      <c r="AI988" s="132"/>
    </row>
    <row r="989">
      <c r="A989" s="478"/>
      <c r="B989" s="745"/>
      <c r="C989" s="745"/>
      <c r="D989" s="717"/>
      <c r="E989" s="316"/>
      <c r="F989" s="316"/>
      <c r="G989" s="314"/>
      <c r="H989" s="740"/>
      <c r="I989" s="435"/>
      <c r="J989" s="314"/>
      <c r="K989" s="435"/>
      <c r="L989" s="314"/>
      <c r="M989" s="435"/>
      <c r="N989" s="314"/>
      <c r="O989" s="318"/>
      <c r="P989" s="314"/>
      <c r="Q989" s="314"/>
      <c r="R989" s="314"/>
      <c r="S989" s="747"/>
      <c r="T989" s="748"/>
      <c r="U989" s="435"/>
      <c r="V989" s="740"/>
      <c r="W989" s="435"/>
      <c r="X989" s="435"/>
      <c r="Y989" s="435"/>
      <c r="Z989" s="749"/>
      <c r="AA989" s="749"/>
      <c r="AB989" s="435"/>
      <c r="AC989" s="750"/>
      <c r="AD989" s="324"/>
      <c r="AE989" s="180"/>
      <c r="AF989" s="155"/>
      <c r="AG989" s="322"/>
      <c r="AH989" s="132"/>
      <c r="AI989" s="132"/>
    </row>
    <row r="990">
      <c r="A990" s="477"/>
      <c r="B990" s="312"/>
      <c r="C990" s="745"/>
      <c r="D990" s="751"/>
      <c r="E990" s="742"/>
      <c r="F990" s="316"/>
      <c r="G990" s="314"/>
      <c r="H990" s="740"/>
      <c r="I990" s="435"/>
      <c r="J990" s="435"/>
      <c r="K990" s="435"/>
      <c r="L990" s="435"/>
      <c r="M990" s="435"/>
      <c r="N990" s="435"/>
      <c r="O990" s="318"/>
      <c r="P990" s="435"/>
      <c r="Q990" s="435"/>
      <c r="R990" s="435"/>
      <c r="S990" s="747"/>
      <c r="T990" s="748"/>
      <c r="U990" s="435"/>
      <c r="V990" s="740"/>
      <c r="W990" s="435"/>
      <c r="X990" s="435"/>
      <c r="Y990" s="435"/>
      <c r="Z990" s="749"/>
      <c r="AA990" s="749"/>
      <c r="AB990" s="435"/>
      <c r="AC990" s="750"/>
      <c r="AD990" s="324"/>
      <c r="AE990" s="180"/>
      <c r="AF990" s="155"/>
      <c r="AG990" s="322"/>
      <c r="AH990" s="132"/>
      <c r="AI990" s="132"/>
    </row>
    <row r="991">
      <c r="A991" s="477"/>
      <c r="B991" s="312"/>
      <c r="C991" s="312"/>
      <c r="D991" s="717"/>
      <c r="E991" s="316"/>
      <c r="F991" s="316"/>
      <c r="G991" s="314"/>
      <c r="H991" s="740"/>
      <c r="I991" s="314"/>
      <c r="J991" s="314"/>
      <c r="K991" s="314"/>
      <c r="L991" s="314"/>
      <c r="M991" s="314"/>
      <c r="N991" s="435"/>
      <c r="O991" s="318"/>
      <c r="P991" s="314"/>
      <c r="Q991" s="435"/>
      <c r="R991" s="314"/>
      <c r="S991" s="718"/>
      <c r="T991" s="719"/>
      <c r="U991" s="314"/>
      <c r="V991" s="318"/>
      <c r="W991" s="314"/>
      <c r="X991" s="314"/>
      <c r="Y991" s="314"/>
      <c r="Z991" s="721"/>
      <c r="AA991" s="721"/>
      <c r="AB991" s="314"/>
      <c r="AC991" s="317"/>
      <c r="AD991" s="324"/>
      <c r="AE991" s="180"/>
      <c r="AF991" s="155"/>
      <c r="AG991" s="322"/>
      <c r="AH991" s="132"/>
      <c r="AI991" s="132"/>
    </row>
    <row r="992">
      <c r="A992" s="477"/>
      <c r="B992" s="312"/>
      <c r="C992" s="312"/>
      <c r="D992" s="717"/>
      <c r="E992" s="316"/>
      <c r="F992" s="316"/>
      <c r="G992" s="314"/>
      <c r="H992" s="318"/>
      <c r="I992" s="314"/>
      <c r="J992" s="314"/>
      <c r="K992" s="314"/>
      <c r="L992" s="314"/>
      <c r="M992" s="314"/>
      <c r="N992" s="314"/>
      <c r="O992" s="318"/>
      <c r="P992" s="314"/>
      <c r="Q992" s="314"/>
      <c r="R992" s="314"/>
      <c r="S992" s="718"/>
      <c r="T992" s="719"/>
      <c r="U992" s="314"/>
      <c r="V992" s="318"/>
      <c r="W992" s="314"/>
      <c r="X992" s="314"/>
      <c r="Y992" s="314"/>
      <c r="Z992" s="721"/>
      <c r="AA992" s="721"/>
      <c r="AB992" s="314"/>
      <c r="AC992" s="317"/>
      <c r="AD992" s="324"/>
      <c r="AE992" s="180"/>
      <c r="AF992" s="155"/>
      <c r="AG992" s="322"/>
      <c r="AH992" s="132"/>
      <c r="AI992" s="132"/>
    </row>
    <row r="993">
      <c r="A993" s="476"/>
      <c r="AF993" s="176"/>
      <c r="AG993" s="322"/>
      <c r="AH993" s="132"/>
      <c r="AI993" s="132"/>
    </row>
    <row r="994">
      <c r="A994" s="178"/>
      <c r="AG994" s="322"/>
      <c r="AH994" s="132"/>
      <c r="AI994" s="132"/>
    </row>
    <row r="995">
      <c r="A995" s="477"/>
      <c r="B995" s="745"/>
      <c r="C995" s="745"/>
      <c r="D995" s="751"/>
      <c r="E995" s="316"/>
      <c r="F995" s="316"/>
      <c r="G995" s="314"/>
      <c r="H995" s="318"/>
      <c r="I995" s="314"/>
      <c r="J995" s="314"/>
      <c r="K995" s="435"/>
      <c r="L995" s="435"/>
      <c r="M995" s="314"/>
      <c r="N995" s="314"/>
      <c r="O995" s="318"/>
      <c r="P995" s="314"/>
      <c r="Q995" s="435"/>
      <c r="R995" s="435"/>
      <c r="S995" s="747"/>
      <c r="T995" s="748"/>
      <c r="U995" s="435"/>
      <c r="V995" s="740"/>
      <c r="W995" s="435"/>
      <c r="X995" s="435"/>
      <c r="Y995" s="435"/>
      <c r="Z995" s="749"/>
      <c r="AA995" s="749"/>
      <c r="AB995" s="435"/>
      <c r="AC995" s="750"/>
      <c r="AD995" s="324"/>
      <c r="AE995" s="180"/>
      <c r="AF995" s="155"/>
      <c r="AG995" s="322"/>
      <c r="AH995" s="132"/>
      <c r="AI995" s="132"/>
    </row>
    <row r="996">
      <c r="A996" s="477"/>
      <c r="B996" s="312"/>
      <c r="C996" s="745"/>
      <c r="D996" s="751"/>
      <c r="E996" s="316"/>
      <c r="F996" s="316"/>
      <c r="G996" s="314"/>
      <c r="H996" s="318"/>
      <c r="I996" s="435"/>
      <c r="J996" s="435"/>
      <c r="K996" s="435"/>
      <c r="L996" s="314"/>
      <c r="M996" s="435"/>
      <c r="N996" s="314"/>
      <c r="O996" s="318"/>
      <c r="P996" s="314"/>
      <c r="Q996" s="435"/>
      <c r="R996" s="435"/>
      <c r="S996" s="747"/>
      <c r="T996" s="748"/>
      <c r="U996" s="435"/>
      <c r="V996" s="740"/>
      <c r="W996" s="435"/>
      <c r="X996" s="435"/>
      <c r="Y996" s="435"/>
      <c r="Z996" s="749"/>
      <c r="AA996" s="749"/>
      <c r="AB996" s="435"/>
      <c r="AC996" s="750"/>
      <c r="AD996" s="324"/>
      <c r="AE996" s="180"/>
      <c r="AF996" s="155"/>
      <c r="AG996" s="322"/>
      <c r="AH996" s="132"/>
      <c r="AI996" s="132"/>
    </row>
    <row r="997">
      <c r="A997" s="477"/>
      <c r="B997" s="312"/>
      <c r="C997" s="745"/>
      <c r="D997" s="751"/>
      <c r="E997" s="742"/>
      <c r="F997" s="316"/>
      <c r="G997" s="314"/>
      <c r="H997" s="740"/>
      <c r="I997" s="314"/>
      <c r="J997" s="314"/>
      <c r="K997" s="435"/>
      <c r="L997" s="314"/>
      <c r="M997" s="435"/>
      <c r="N997" s="435"/>
      <c r="O997" s="318"/>
      <c r="P997" s="435"/>
      <c r="Q997" s="435"/>
      <c r="R997" s="435"/>
      <c r="S997" s="747"/>
      <c r="T997" s="748"/>
      <c r="U997" s="435"/>
      <c r="V997" s="740"/>
      <c r="W997" s="435"/>
      <c r="X997" s="435"/>
      <c r="Y997" s="435"/>
      <c r="Z997" s="749"/>
      <c r="AA997" s="749"/>
      <c r="AB997" s="435"/>
      <c r="AC997" s="750"/>
      <c r="AD997" s="324"/>
      <c r="AE997" s="180"/>
      <c r="AF997" s="155"/>
      <c r="AG997" s="322"/>
      <c r="AH997" s="132"/>
      <c r="AI997" s="132"/>
    </row>
    <row r="998">
      <c r="A998" s="479"/>
      <c r="B998" s="312"/>
      <c r="C998" s="312"/>
      <c r="D998" s="717"/>
      <c r="E998" s="316"/>
      <c r="F998" s="316"/>
      <c r="G998" s="314"/>
      <c r="H998" s="318"/>
      <c r="I998" s="314"/>
      <c r="J998" s="314"/>
      <c r="K998" s="314"/>
      <c r="L998" s="314"/>
      <c r="M998" s="314"/>
      <c r="N998" s="314"/>
      <c r="O998" s="318"/>
      <c r="P998" s="314"/>
      <c r="Q998" s="435"/>
      <c r="R998" s="314"/>
      <c r="S998" s="718"/>
      <c r="T998" s="719"/>
      <c r="U998" s="314"/>
      <c r="V998" s="318"/>
      <c r="W998" s="314"/>
      <c r="X998" s="314"/>
      <c r="Y998" s="314"/>
      <c r="Z998" s="721"/>
      <c r="AA998" s="721"/>
      <c r="AB998" s="314"/>
      <c r="AC998" s="317"/>
      <c r="AD998" s="324"/>
      <c r="AE998" s="180"/>
      <c r="AF998" s="155"/>
      <c r="AG998" s="322"/>
      <c r="AH998" s="132"/>
      <c r="AI998" s="132"/>
    </row>
    <row r="999">
      <c r="A999" s="476"/>
      <c r="AF999" s="176"/>
      <c r="AG999" s="322"/>
      <c r="AH999" s="132"/>
      <c r="AI999" s="132"/>
    </row>
    <row r="1000">
      <c r="A1000" s="178"/>
      <c r="AG1000" s="322"/>
      <c r="AH1000" s="132"/>
      <c r="AI1000" s="132"/>
    </row>
    <row r="1001">
      <c r="A1001" s="480"/>
      <c r="B1001" s="312"/>
      <c r="C1001" s="745"/>
      <c r="D1001" s="717"/>
      <c r="E1001" s="316"/>
      <c r="F1001" s="316"/>
      <c r="G1001" s="314"/>
      <c r="H1001" s="318"/>
      <c r="I1001" s="314"/>
      <c r="J1001" s="435"/>
      <c r="K1001" s="435"/>
      <c r="L1001" s="314"/>
      <c r="M1001" s="314"/>
      <c r="N1001" s="314"/>
      <c r="O1001" s="318"/>
      <c r="P1001" s="314"/>
      <c r="Q1001" s="435"/>
      <c r="R1001" s="314"/>
      <c r="S1001" s="718"/>
      <c r="T1001" s="719"/>
      <c r="U1001" s="314"/>
      <c r="V1001" s="318"/>
      <c r="W1001" s="314"/>
      <c r="X1001" s="314"/>
      <c r="Y1001" s="314"/>
      <c r="Z1001" s="721"/>
      <c r="AA1001" s="721"/>
      <c r="AB1001" s="314"/>
      <c r="AC1001" s="317"/>
      <c r="AD1001" s="324"/>
      <c r="AE1001" s="180"/>
      <c r="AF1001" s="180"/>
      <c r="AG1001" s="322"/>
      <c r="AH1001" s="132"/>
      <c r="AI1001" s="132"/>
    </row>
    <row r="1002">
      <c r="A1002" s="480"/>
      <c r="B1002" s="312"/>
      <c r="C1002" s="745"/>
      <c r="D1002" s="717"/>
      <c r="E1002" s="316"/>
      <c r="F1002" s="316"/>
      <c r="G1002" s="314"/>
      <c r="H1002" s="740"/>
      <c r="I1002" s="314"/>
      <c r="J1002" s="435"/>
      <c r="K1002" s="435"/>
      <c r="L1002" s="314"/>
      <c r="M1002" s="435"/>
      <c r="N1002" s="435"/>
      <c r="O1002" s="318"/>
      <c r="P1002" s="435"/>
      <c r="Q1002" s="435"/>
      <c r="R1002" s="314"/>
      <c r="S1002" s="747"/>
      <c r="T1002" s="748"/>
      <c r="U1002" s="435"/>
      <c r="V1002" s="740"/>
      <c r="W1002" s="435"/>
      <c r="X1002" s="435"/>
      <c r="Y1002" s="435"/>
      <c r="Z1002" s="749"/>
      <c r="AA1002" s="749"/>
      <c r="AB1002" s="435"/>
      <c r="AC1002" s="750"/>
      <c r="AD1002" s="324"/>
      <c r="AE1002" s="180"/>
      <c r="AF1002" s="180"/>
      <c r="AG1002" s="322"/>
      <c r="AH1002" s="132"/>
      <c r="AI1002" s="132"/>
    </row>
    <row r="1003">
      <c r="A1003" s="476"/>
      <c r="AF1003" s="176"/>
      <c r="AG1003" s="322"/>
      <c r="AH1003" s="132"/>
      <c r="AI1003" s="132"/>
    </row>
    <row r="1004">
      <c r="A1004" s="178"/>
      <c r="AG1004" s="322"/>
      <c r="AH1004" s="132"/>
      <c r="AI1004" s="132"/>
    </row>
    <row r="1005">
      <c r="A1005" s="481"/>
      <c r="B1005" s="312"/>
      <c r="C1005" s="745"/>
      <c r="D1005" s="751"/>
      <c r="E1005" s="742"/>
      <c r="F1005" s="316"/>
      <c r="G1005" s="435"/>
      <c r="H1005" s="740"/>
      <c r="I1005" s="435"/>
      <c r="J1005" s="314"/>
      <c r="K1005" s="435"/>
      <c r="L1005" s="435"/>
      <c r="M1005" s="435"/>
      <c r="N1005" s="314"/>
      <c r="O1005" s="318"/>
      <c r="P1005" s="435"/>
      <c r="Q1005" s="435"/>
      <c r="R1005" s="435"/>
      <c r="S1005" s="747"/>
      <c r="T1005" s="748"/>
      <c r="U1005" s="435"/>
      <c r="V1005" s="740"/>
      <c r="W1005" s="435"/>
      <c r="X1005" s="435"/>
      <c r="Y1005" s="435"/>
      <c r="Z1005" s="749"/>
      <c r="AA1005" s="749"/>
      <c r="AB1005" s="435"/>
      <c r="AC1005" s="750"/>
      <c r="AD1005" s="324"/>
      <c r="AE1005" s="180"/>
      <c r="AF1005" s="155"/>
      <c r="AG1005" s="322"/>
      <c r="AH1005" s="132"/>
      <c r="AI1005" s="132"/>
    </row>
    <row r="1006">
      <c r="A1006" s="435"/>
      <c r="B1006" s="312"/>
      <c r="C1006" s="745"/>
      <c r="D1006" s="751"/>
      <c r="E1006" s="316"/>
      <c r="F1006" s="316"/>
      <c r="G1006" s="314"/>
      <c r="H1006" s="740"/>
      <c r="I1006" s="314"/>
      <c r="J1006" s="435"/>
      <c r="K1006" s="435"/>
      <c r="L1006" s="314"/>
      <c r="M1006" s="314"/>
      <c r="N1006" s="314"/>
      <c r="O1006" s="318"/>
      <c r="P1006" s="435"/>
      <c r="Q1006" s="435"/>
      <c r="R1006" s="435"/>
      <c r="S1006" s="747"/>
      <c r="T1006" s="748"/>
      <c r="U1006" s="435"/>
      <c r="V1006" s="740"/>
      <c r="W1006" s="435"/>
      <c r="X1006" s="435"/>
      <c r="Y1006" s="435"/>
      <c r="Z1006" s="749"/>
      <c r="AA1006" s="749"/>
      <c r="AB1006" s="435"/>
      <c r="AC1006" s="750"/>
      <c r="AD1006" s="324"/>
      <c r="AE1006" s="180"/>
      <c r="AF1006" s="155"/>
      <c r="AG1006" s="322"/>
      <c r="AH1006" s="132"/>
      <c r="AI1006" s="132"/>
    </row>
    <row r="1007">
      <c r="A1007" s="482"/>
      <c r="B1007" s="312"/>
      <c r="C1007" s="312"/>
      <c r="D1007" s="751"/>
      <c r="E1007" s="316"/>
      <c r="F1007" s="316"/>
      <c r="G1007" s="314"/>
      <c r="H1007" s="318"/>
      <c r="I1007" s="314"/>
      <c r="J1007" s="314"/>
      <c r="K1007" s="435"/>
      <c r="L1007" s="314"/>
      <c r="M1007" s="314"/>
      <c r="N1007" s="314"/>
      <c r="O1007" s="318"/>
      <c r="P1007" s="314"/>
      <c r="Q1007" s="314"/>
      <c r="R1007" s="435"/>
      <c r="S1007" s="718"/>
      <c r="T1007" s="719"/>
      <c r="U1007" s="314"/>
      <c r="V1007" s="318"/>
      <c r="W1007" s="314"/>
      <c r="X1007" s="314"/>
      <c r="Y1007" s="314"/>
      <c r="Z1007" s="721"/>
      <c r="AA1007" s="721"/>
      <c r="AB1007" s="314"/>
      <c r="AC1007" s="317"/>
      <c r="AD1007" s="324"/>
      <c r="AE1007" s="180"/>
      <c r="AF1007" s="155"/>
      <c r="AG1007" s="322"/>
      <c r="AH1007" s="132"/>
      <c r="AI1007" s="132"/>
    </row>
    <row r="1008">
      <c r="A1008" s="482"/>
      <c r="B1008" s="312"/>
      <c r="C1008" s="745"/>
      <c r="D1008" s="751"/>
      <c r="E1008" s="742"/>
      <c r="F1008" s="316"/>
      <c r="G1008" s="314"/>
      <c r="H1008" s="740"/>
      <c r="I1008" s="435"/>
      <c r="J1008" s="435"/>
      <c r="K1008" s="435"/>
      <c r="L1008" s="435"/>
      <c r="M1008" s="435"/>
      <c r="N1008" s="435"/>
      <c r="O1008" s="318"/>
      <c r="P1008" s="435"/>
      <c r="Q1008" s="435"/>
      <c r="R1008" s="435"/>
      <c r="S1008" s="747"/>
      <c r="T1008" s="748"/>
      <c r="U1008" s="435"/>
      <c r="V1008" s="740"/>
      <c r="W1008" s="435"/>
      <c r="X1008" s="435"/>
      <c r="Y1008" s="435"/>
      <c r="Z1008" s="749"/>
      <c r="AA1008" s="749"/>
      <c r="AB1008" s="435"/>
      <c r="AC1008" s="750"/>
      <c r="AD1008" s="324"/>
      <c r="AE1008" s="180"/>
      <c r="AF1008" s="155"/>
      <c r="AG1008" s="322"/>
      <c r="AH1008" s="132"/>
      <c r="AI1008" s="132"/>
    </row>
    <row r="1009">
      <c r="A1009" s="314"/>
      <c r="B1009" s="312"/>
      <c r="C1009" s="312"/>
      <c r="D1009" s="717"/>
      <c r="E1009" s="316"/>
      <c r="F1009" s="316"/>
      <c r="G1009" s="314"/>
      <c r="H1009" s="318"/>
      <c r="I1009" s="314"/>
      <c r="J1009" s="314"/>
      <c r="K1009" s="314"/>
      <c r="L1009" s="314"/>
      <c r="M1009" s="314"/>
      <c r="N1009" s="314"/>
      <c r="O1009" s="318"/>
      <c r="P1009" s="314"/>
      <c r="Q1009" s="314"/>
      <c r="R1009" s="314"/>
      <c r="S1009" s="718"/>
      <c r="T1009" s="719"/>
      <c r="U1009" s="314"/>
      <c r="V1009" s="318"/>
      <c r="W1009" s="314"/>
      <c r="X1009" s="314"/>
      <c r="Y1009" s="314"/>
      <c r="Z1009" s="721"/>
      <c r="AA1009" s="721"/>
      <c r="AB1009" s="314"/>
      <c r="AC1009" s="317"/>
      <c r="AD1009" s="483"/>
      <c r="AF1009" s="484"/>
      <c r="AG1009" s="322"/>
      <c r="AH1009" s="132"/>
      <c r="AI1009" s="132"/>
    </row>
    <row r="1010">
      <c r="A1010" s="314"/>
      <c r="B1010" s="312"/>
      <c r="C1010" s="312"/>
      <c r="D1010" s="717"/>
      <c r="E1010" s="316"/>
      <c r="F1010" s="316"/>
      <c r="G1010" s="314"/>
      <c r="H1010" s="318"/>
      <c r="I1010" s="314"/>
      <c r="J1010" s="314"/>
      <c r="K1010" s="314"/>
      <c r="L1010" s="314"/>
      <c r="M1010" s="314"/>
      <c r="N1010" s="314"/>
      <c r="O1010" s="318"/>
      <c r="P1010" s="314"/>
      <c r="Q1010" s="314"/>
      <c r="R1010" s="314"/>
      <c r="S1010" s="718"/>
      <c r="T1010" s="719"/>
      <c r="U1010" s="314"/>
      <c r="V1010" s="318"/>
      <c r="W1010" s="314"/>
      <c r="X1010" s="314"/>
      <c r="Y1010" s="314"/>
      <c r="Z1010" s="721"/>
      <c r="AA1010" s="721"/>
      <c r="AB1010" s="314"/>
      <c r="AC1010" s="317"/>
      <c r="AD1010" s="324"/>
      <c r="AE1010" s="155"/>
      <c r="AF1010" s="155"/>
      <c r="AG1010" s="322"/>
      <c r="AH1010" s="132"/>
      <c r="AI1010" s="132"/>
    </row>
    <row r="1011">
      <c r="A1011" s="314"/>
      <c r="B1011" s="312"/>
      <c r="C1011" s="312"/>
      <c r="D1011" s="717"/>
      <c r="E1011" s="316"/>
      <c r="F1011" s="316"/>
      <c r="G1011" s="314"/>
      <c r="H1011" s="318"/>
      <c r="I1011" s="314"/>
      <c r="J1011" s="314"/>
      <c r="K1011" s="314"/>
      <c r="L1011" s="314"/>
      <c r="M1011" s="314"/>
      <c r="N1011" s="314"/>
      <c r="O1011" s="318"/>
      <c r="P1011" s="314"/>
      <c r="Q1011" s="314"/>
      <c r="R1011" s="314"/>
      <c r="S1011" s="718"/>
      <c r="T1011" s="719"/>
      <c r="U1011" s="314"/>
      <c r="V1011" s="318"/>
      <c r="W1011" s="314"/>
      <c r="X1011" s="314"/>
      <c r="Y1011" s="314"/>
      <c r="Z1011" s="721"/>
      <c r="AA1011" s="721"/>
      <c r="AB1011" s="314"/>
      <c r="AC1011" s="317"/>
      <c r="AD1011" s="324"/>
      <c r="AE1011" s="155"/>
      <c r="AF1011" s="155"/>
      <c r="AG1011" s="322"/>
      <c r="AH1011" s="132"/>
      <c r="AI1011" s="132"/>
    </row>
    <row r="1012">
      <c r="A1012" s="314"/>
      <c r="B1012" s="312"/>
      <c r="C1012" s="312"/>
      <c r="D1012" s="717"/>
      <c r="E1012" s="316"/>
      <c r="F1012" s="316"/>
      <c r="G1012" s="314"/>
      <c r="H1012" s="318"/>
      <c r="I1012" s="314"/>
      <c r="J1012" s="314"/>
      <c r="K1012" s="314"/>
      <c r="L1012" s="314"/>
      <c r="M1012" s="314"/>
      <c r="N1012" s="314"/>
      <c r="O1012" s="318"/>
      <c r="P1012" s="314"/>
      <c r="Q1012" s="314"/>
      <c r="R1012" s="314"/>
      <c r="S1012" s="718"/>
      <c r="T1012" s="719"/>
      <c r="U1012" s="314"/>
      <c r="V1012" s="318"/>
      <c r="W1012" s="314"/>
      <c r="X1012" s="314"/>
      <c r="Y1012" s="314"/>
      <c r="Z1012" s="721"/>
      <c r="AA1012" s="721"/>
      <c r="AB1012" s="314"/>
      <c r="AC1012" s="317"/>
      <c r="AD1012" s="324"/>
      <c r="AE1012" s="155"/>
      <c r="AF1012" s="155"/>
      <c r="AG1012" s="322"/>
      <c r="AH1012" s="132"/>
      <c r="AI1012" s="132"/>
    </row>
    <row r="1013">
      <c r="A1013" s="314"/>
      <c r="B1013" s="312"/>
      <c r="C1013" s="312"/>
      <c r="D1013" s="717"/>
      <c r="E1013" s="316"/>
      <c r="F1013" s="316"/>
      <c r="G1013" s="314"/>
      <c r="H1013" s="318"/>
      <c r="I1013" s="314"/>
      <c r="J1013" s="314"/>
      <c r="K1013" s="314"/>
      <c r="L1013" s="314"/>
      <c r="M1013" s="314"/>
      <c r="N1013" s="314"/>
      <c r="O1013" s="318"/>
      <c r="P1013" s="314"/>
      <c r="Q1013" s="314"/>
      <c r="R1013" s="314"/>
      <c r="S1013" s="718"/>
      <c r="T1013" s="719"/>
      <c r="U1013" s="314"/>
      <c r="V1013" s="318"/>
      <c r="W1013" s="314"/>
      <c r="X1013" s="314"/>
      <c r="Y1013" s="314"/>
      <c r="Z1013" s="721"/>
      <c r="AA1013" s="721"/>
      <c r="AB1013" s="314"/>
      <c r="AC1013" s="317"/>
      <c r="AD1013" s="324"/>
      <c r="AE1013" s="155"/>
      <c r="AF1013" s="155"/>
      <c r="AG1013" s="322"/>
      <c r="AH1013" s="132"/>
      <c r="AI1013" s="132"/>
    </row>
    <row r="1014">
      <c r="A1014" s="314"/>
      <c r="B1014" s="312"/>
      <c r="C1014" s="312"/>
      <c r="D1014" s="717"/>
      <c r="E1014" s="316"/>
      <c r="F1014" s="316"/>
      <c r="G1014" s="314"/>
      <c r="H1014" s="318"/>
      <c r="I1014" s="314"/>
      <c r="J1014" s="314"/>
      <c r="K1014" s="314"/>
      <c r="L1014" s="314"/>
      <c r="M1014" s="314"/>
      <c r="N1014" s="314"/>
      <c r="O1014" s="318"/>
      <c r="P1014" s="314"/>
      <c r="Q1014" s="314"/>
      <c r="R1014" s="314"/>
      <c r="S1014" s="718"/>
      <c r="T1014" s="719"/>
      <c r="U1014" s="314"/>
      <c r="V1014" s="318"/>
      <c r="W1014" s="314"/>
      <c r="X1014" s="314"/>
      <c r="Y1014" s="314"/>
      <c r="Z1014" s="721"/>
      <c r="AA1014" s="721"/>
      <c r="AB1014" s="314"/>
      <c r="AC1014" s="317"/>
      <c r="AD1014" s="324"/>
      <c r="AE1014" s="155"/>
      <c r="AF1014" s="155"/>
      <c r="AG1014" s="322"/>
      <c r="AH1014" s="132"/>
      <c r="AI1014" s="132"/>
    </row>
    <row r="1015">
      <c r="A1015" s="314"/>
      <c r="B1015" s="312"/>
      <c r="C1015" s="312"/>
      <c r="D1015" s="717"/>
      <c r="E1015" s="316"/>
      <c r="F1015" s="316"/>
      <c r="G1015" s="314"/>
      <c r="H1015" s="318"/>
      <c r="I1015" s="314"/>
      <c r="J1015" s="314"/>
      <c r="K1015" s="314"/>
      <c r="L1015" s="314"/>
      <c r="M1015" s="314"/>
      <c r="N1015" s="314"/>
      <c r="O1015" s="318"/>
      <c r="P1015" s="314"/>
      <c r="Q1015" s="314"/>
      <c r="R1015" s="314"/>
      <c r="S1015" s="718"/>
      <c r="T1015" s="719"/>
      <c r="U1015" s="314"/>
      <c r="V1015" s="318"/>
      <c r="W1015" s="314"/>
      <c r="X1015" s="314"/>
      <c r="Y1015" s="314"/>
      <c r="Z1015" s="721"/>
      <c r="AA1015" s="721"/>
      <c r="AB1015" s="314"/>
      <c r="AC1015" s="317"/>
      <c r="AD1015" s="324"/>
      <c r="AE1015" s="155"/>
      <c r="AF1015" s="155"/>
      <c r="AG1015" s="322"/>
      <c r="AH1015" s="132"/>
      <c r="AI1015" s="132"/>
    </row>
    <row r="1016">
      <c r="A1016" s="314"/>
      <c r="B1016" s="312"/>
      <c r="C1016" s="312"/>
      <c r="D1016" s="717"/>
      <c r="E1016" s="316"/>
      <c r="F1016" s="316"/>
      <c r="G1016" s="314"/>
      <c r="H1016" s="318"/>
      <c r="I1016" s="314"/>
      <c r="J1016" s="314"/>
      <c r="K1016" s="314"/>
      <c r="L1016" s="314"/>
      <c r="M1016" s="314"/>
      <c r="N1016" s="314"/>
      <c r="O1016" s="318"/>
      <c r="P1016" s="314"/>
      <c r="Q1016" s="314"/>
      <c r="R1016" s="314"/>
      <c r="S1016" s="718"/>
      <c r="T1016" s="719"/>
      <c r="U1016" s="314"/>
      <c r="V1016" s="318"/>
      <c r="W1016" s="314"/>
      <c r="X1016" s="314"/>
      <c r="Y1016" s="314"/>
      <c r="Z1016" s="721"/>
      <c r="AA1016" s="721"/>
      <c r="AB1016" s="314"/>
      <c r="AC1016" s="317"/>
      <c r="AD1016" s="324"/>
      <c r="AE1016" s="155"/>
      <c r="AF1016" s="155"/>
      <c r="AG1016" s="322"/>
      <c r="AH1016" s="132"/>
      <c r="AI1016" s="132"/>
    </row>
    <row r="1017">
      <c r="A1017" s="314"/>
      <c r="B1017" s="312"/>
      <c r="C1017" s="312"/>
      <c r="D1017" s="717"/>
      <c r="E1017" s="316"/>
      <c r="F1017" s="316"/>
      <c r="G1017" s="314"/>
      <c r="H1017" s="318"/>
      <c r="I1017" s="314"/>
      <c r="J1017" s="314"/>
      <c r="K1017" s="314"/>
      <c r="L1017" s="314"/>
      <c r="M1017" s="314"/>
      <c r="N1017" s="314"/>
      <c r="O1017" s="318"/>
      <c r="P1017" s="314"/>
      <c r="Q1017" s="314"/>
      <c r="R1017" s="314"/>
      <c r="S1017" s="718"/>
      <c r="T1017" s="719"/>
      <c r="U1017" s="314"/>
      <c r="V1017" s="318"/>
      <c r="W1017" s="314"/>
      <c r="X1017" s="314"/>
      <c r="Y1017" s="314"/>
      <c r="Z1017" s="721"/>
      <c r="AA1017" s="721"/>
      <c r="AB1017" s="314"/>
      <c r="AC1017" s="317"/>
      <c r="AD1017" s="324"/>
      <c r="AE1017" s="155"/>
      <c r="AF1017" s="155"/>
      <c r="AG1017" s="322"/>
      <c r="AH1017" s="132"/>
      <c r="AI1017" s="132"/>
    </row>
    <row r="1018">
      <c r="A1018" s="314"/>
      <c r="B1018" s="312"/>
      <c r="C1018" s="312"/>
      <c r="D1018" s="717"/>
      <c r="E1018" s="316"/>
      <c r="F1018" s="316"/>
      <c r="G1018" s="314"/>
      <c r="H1018" s="318"/>
      <c r="I1018" s="314"/>
      <c r="J1018" s="314"/>
      <c r="K1018" s="314"/>
      <c r="L1018" s="314"/>
      <c r="M1018" s="314"/>
      <c r="N1018" s="314"/>
      <c r="O1018" s="318"/>
      <c r="P1018" s="314"/>
      <c r="Q1018" s="314"/>
      <c r="R1018" s="314"/>
      <c r="S1018" s="718"/>
      <c r="T1018" s="719"/>
      <c r="U1018" s="314"/>
      <c r="V1018" s="318"/>
      <c r="W1018" s="314"/>
      <c r="X1018" s="314"/>
      <c r="Y1018" s="314"/>
      <c r="Z1018" s="721"/>
      <c r="AA1018" s="721"/>
      <c r="AB1018" s="314"/>
      <c r="AC1018" s="317"/>
      <c r="AD1018" s="324"/>
      <c r="AE1018" s="155"/>
      <c r="AF1018" s="155"/>
      <c r="AG1018" s="322"/>
      <c r="AH1018" s="132"/>
      <c r="AI1018" s="132"/>
    </row>
    <row r="1019">
      <c r="A1019" s="314"/>
      <c r="B1019" s="312"/>
      <c r="C1019" s="312"/>
      <c r="D1019" s="717"/>
      <c r="E1019" s="316"/>
      <c r="F1019" s="316"/>
      <c r="G1019" s="314"/>
      <c r="H1019" s="318"/>
      <c r="I1019" s="314"/>
      <c r="J1019" s="314"/>
      <c r="K1019" s="314"/>
      <c r="L1019" s="314"/>
      <c r="M1019" s="314"/>
      <c r="N1019" s="314"/>
      <c r="O1019" s="318"/>
      <c r="P1019" s="314"/>
      <c r="Q1019" s="314"/>
      <c r="R1019" s="314"/>
      <c r="S1019" s="718"/>
      <c r="T1019" s="719"/>
      <c r="U1019" s="314"/>
      <c r="V1019" s="318"/>
      <c r="W1019" s="314"/>
      <c r="X1019" s="314"/>
      <c r="Y1019" s="314"/>
      <c r="Z1019" s="721"/>
      <c r="AA1019" s="721"/>
      <c r="AB1019" s="314"/>
      <c r="AC1019" s="317"/>
      <c r="AD1019" s="324"/>
      <c r="AE1019" s="155"/>
      <c r="AF1019" s="155"/>
      <c r="AG1019" s="322"/>
      <c r="AH1019" s="132"/>
      <c r="AI1019" s="132"/>
    </row>
    <row r="1020">
      <c r="A1020" s="314"/>
      <c r="B1020" s="312"/>
      <c r="C1020" s="312"/>
      <c r="D1020" s="717"/>
      <c r="E1020" s="316"/>
      <c r="F1020" s="316"/>
      <c r="G1020" s="314"/>
      <c r="H1020" s="318"/>
      <c r="I1020" s="314"/>
      <c r="J1020" s="314"/>
      <c r="K1020" s="314"/>
      <c r="L1020" s="314"/>
      <c r="M1020" s="314"/>
      <c r="N1020" s="314"/>
      <c r="O1020" s="318"/>
      <c r="P1020" s="314"/>
      <c r="Q1020" s="314"/>
      <c r="R1020" s="314"/>
      <c r="S1020" s="718"/>
      <c r="T1020" s="719"/>
      <c r="U1020" s="314"/>
      <c r="V1020" s="318"/>
      <c r="W1020" s="314"/>
      <c r="X1020" s="314"/>
      <c r="Y1020" s="314"/>
      <c r="Z1020" s="721"/>
      <c r="AA1020" s="721"/>
      <c r="AB1020" s="314"/>
      <c r="AC1020" s="317"/>
      <c r="AD1020" s="324"/>
      <c r="AE1020" s="155"/>
      <c r="AF1020" s="155"/>
      <c r="AG1020" s="322"/>
      <c r="AH1020" s="132"/>
      <c r="AI1020" s="132"/>
    </row>
    <row r="1021">
      <c r="A1021" s="314"/>
      <c r="B1021" s="312"/>
      <c r="C1021" s="312"/>
      <c r="D1021" s="717"/>
      <c r="E1021" s="316"/>
      <c r="F1021" s="316"/>
      <c r="G1021" s="314"/>
      <c r="H1021" s="318"/>
      <c r="I1021" s="314"/>
      <c r="J1021" s="314"/>
      <c r="K1021" s="314"/>
      <c r="L1021" s="314"/>
      <c r="M1021" s="314"/>
      <c r="N1021" s="314"/>
      <c r="O1021" s="318"/>
      <c r="P1021" s="314"/>
      <c r="Q1021" s="314"/>
      <c r="R1021" s="314"/>
      <c r="S1021" s="718"/>
      <c r="T1021" s="719"/>
      <c r="U1021" s="314"/>
      <c r="V1021" s="318"/>
      <c r="W1021" s="314"/>
      <c r="X1021" s="314"/>
      <c r="Y1021" s="314"/>
      <c r="Z1021" s="721"/>
      <c r="AA1021" s="721"/>
      <c r="AB1021" s="314"/>
      <c r="AC1021" s="317"/>
      <c r="AD1021" s="324"/>
      <c r="AE1021" s="155"/>
      <c r="AF1021" s="155"/>
      <c r="AG1021" s="322"/>
      <c r="AH1021" s="132"/>
      <c r="AI1021" s="132"/>
    </row>
    <row r="1022">
      <c r="A1022" s="314"/>
      <c r="B1022" s="312"/>
      <c r="C1022" s="312"/>
      <c r="D1022" s="717"/>
      <c r="E1022" s="316"/>
      <c r="F1022" s="316"/>
      <c r="G1022" s="314"/>
      <c r="H1022" s="318"/>
      <c r="I1022" s="314"/>
      <c r="J1022" s="314"/>
      <c r="K1022" s="314"/>
      <c r="L1022" s="314"/>
      <c r="M1022" s="314"/>
      <c r="N1022" s="314"/>
      <c r="O1022" s="318"/>
      <c r="P1022" s="314"/>
      <c r="Q1022" s="314"/>
      <c r="R1022" s="314"/>
      <c r="S1022" s="718"/>
      <c r="T1022" s="719"/>
      <c r="U1022" s="314"/>
      <c r="V1022" s="318"/>
      <c r="W1022" s="314"/>
      <c r="X1022" s="314"/>
      <c r="Y1022" s="314"/>
      <c r="Z1022" s="721"/>
      <c r="AA1022" s="721"/>
      <c r="AB1022" s="314"/>
      <c r="AC1022" s="317"/>
      <c r="AD1022" s="324"/>
      <c r="AE1022" s="155"/>
      <c r="AF1022" s="155"/>
      <c r="AG1022" s="322"/>
      <c r="AH1022" s="132"/>
      <c r="AI1022" s="132"/>
    </row>
    <row r="1023">
      <c r="A1023" s="314"/>
      <c r="B1023" s="312"/>
      <c r="C1023" s="312"/>
      <c r="D1023" s="717"/>
      <c r="E1023" s="316"/>
      <c r="F1023" s="316"/>
      <c r="G1023" s="314"/>
      <c r="H1023" s="318"/>
      <c r="I1023" s="314"/>
      <c r="J1023" s="314"/>
      <c r="K1023" s="314"/>
      <c r="L1023" s="314"/>
      <c r="M1023" s="314"/>
      <c r="N1023" s="314"/>
      <c r="O1023" s="318"/>
      <c r="P1023" s="314"/>
      <c r="Q1023" s="314"/>
      <c r="R1023" s="314"/>
      <c r="S1023" s="718"/>
      <c r="T1023" s="719"/>
      <c r="U1023" s="314"/>
      <c r="V1023" s="318"/>
      <c r="W1023" s="314"/>
      <c r="X1023" s="314"/>
      <c r="Y1023" s="314"/>
      <c r="Z1023" s="721"/>
      <c r="AA1023" s="721"/>
      <c r="AB1023" s="314"/>
      <c r="AC1023" s="317"/>
      <c r="AD1023" s="324"/>
      <c r="AE1023" s="155"/>
      <c r="AF1023" s="155"/>
      <c r="AG1023" s="322"/>
      <c r="AH1023" s="132"/>
      <c r="AI1023" s="132"/>
    </row>
    <row r="1024">
      <c r="A1024" s="314"/>
      <c r="B1024" s="312"/>
      <c r="C1024" s="312"/>
      <c r="D1024" s="717"/>
      <c r="E1024" s="316"/>
      <c r="F1024" s="316"/>
      <c r="G1024" s="314"/>
      <c r="H1024" s="318"/>
      <c r="I1024" s="314"/>
      <c r="J1024" s="314"/>
      <c r="K1024" s="314"/>
      <c r="L1024" s="314"/>
      <c r="M1024" s="314"/>
      <c r="N1024" s="314"/>
      <c r="O1024" s="318"/>
      <c r="P1024" s="314"/>
      <c r="Q1024" s="314"/>
      <c r="R1024" s="314"/>
      <c r="S1024" s="718"/>
      <c r="T1024" s="719"/>
      <c r="U1024" s="314"/>
      <c r="V1024" s="318"/>
      <c r="W1024" s="314"/>
      <c r="X1024" s="314"/>
      <c r="Y1024" s="314"/>
      <c r="Z1024" s="721"/>
      <c r="AA1024" s="721"/>
      <c r="AB1024" s="314"/>
      <c r="AC1024" s="317"/>
      <c r="AD1024" s="487"/>
      <c r="AF1024" s="484"/>
      <c r="AG1024" s="322"/>
      <c r="AH1024" s="132"/>
      <c r="AI1024" s="132"/>
    </row>
    <row r="1025">
      <c r="A1025" s="314"/>
      <c r="B1025" s="312"/>
      <c r="C1025" s="312"/>
      <c r="D1025" s="717"/>
      <c r="E1025" s="316"/>
      <c r="F1025" s="316"/>
      <c r="G1025" s="314"/>
      <c r="H1025" s="318"/>
      <c r="I1025" s="314"/>
      <c r="J1025" s="314"/>
      <c r="K1025" s="314"/>
      <c r="L1025" s="314"/>
      <c r="M1025" s="314"/>
      <c r="N1025" s="314"/>
      <c r="O1025" s="318"/>
      <c r="P1025" s="314"/>
      <c r="Q1025" s="314"/>
      <c r="R1025" s="314"/>
      <c r="S1025" s="718"/>
      <c r="T1025" s="719"/>
      <c r="U1025" s="314"/>
      <c r="V1025" s="318"/>
      <c r="W1025" s="314"/>
      <c r="X1025" s="314"/>
      <c r="Y1025" s="314"/>
      <c r="Z1025" s="721"/>
      <c r="AA1025" s="721"/>
      <c r="AB1025" s="314"/>
      <c r="AC1025" s="317"/>
      <c r="AD1025" s="324"/>
      <c r="AE1025" s="155"/>
      <c r="AF1025" s="155"/>
      <c r="AG1025" s="322"/>
      <c r="AH1025" s="132"/>
      <c r="AI1025" s="132"/>
    </row>
    <row r="1026">
      <c r="A1026" s="314"/>
      <c r="B1026" s="312"/>
      <c r="C1026" s="312"/>
      <c r="D1026" s="717"/>
      <c r="E1026" s="316"/>
      <c r="F1026" s="316"/>
      <c r="G1026" s="314"/>
      <c r="H1026" s="318"/>
      <c r="I1026" s="314"/>
      <c r="J1026" s="314"/>
      <c r="K1026" s="314"/>
      <c r="L1026" s="314"/>
      <c r="M1026" s="314"/>
      <c r="N1026" s="314"/>
      <c r="O1026" s="318"/>
      <c r="P1026" s="314"/>
      <c r="Q1026" s="314"/>
      <c r="R1026" s="314"/>
      <c r="S1026" s="718"/>
      <c r="T1026" s="719"/>
      <c r="U1026" s="314"/>
      <c r="V1026" s="318"/>
      <c r="W1026" s="314"/>
      <c r="X1026" s="314"/>
      <c r="Y1026" s="314"/>
      <c r="Z1026" s="721"/>
      <c r="AA1026" s="721"/>
      <c r="AB1026" s="314"/>
      <c r="AC1026" s="317"/>
      <c r="AD1026" s="324"/>
      <c r="AE1026" s="155"/>
      <c r="AF1026" s="155"/>
      <c r="AG1026" s="322"/>
      <c r="AH1026" s="132"/>
      <c r="AI1026" s="132"/>
    </row>
    <row r="1027">
      <c r="A1027" s="314"/>
      <c r="B1027" s="312"/>
      <c r="C1027" s="312"/>
      <c r="D1027" s="717"/>
      <c r="E1027" s="316"/>
      <c r="F1027" s="316"/>
      <c r="G1027" s="314"/>
      <c r="H1027" s="318"/>
      <c r="I1027" s="314"/>
      <c r="J1027" s="314"/>
      <c r="K1027" s="314"/>
      <c r="L1027" s="314"/>
      <c r="M1027" s="314"/>
      <c r="N1027" s="314"/>
      <c r="O1027" s="318"/>
      <c r="P1027" s="314"/>
      <c r="Q1027" s="314"/>
      <c r="R1027" s="314"/>
      <c r="S1027" s="718"/>
      <c r="T1027" s="719"/>
      <c r="U1027" s="314"/>
      <c r="V1027" s="318"/>
      <c r="W1027" s="314"/>
      <c r="X1027" s="314"/>
      <c r="Y1027" s="314"/>
      <c r="Z1027" s="721"/>
      <c r="AA1027" s="721"/>
      <c r="AB1027" s="314"/>
      <c r="AC1027" s="317"/>
      <c r="AD1027" s="324"/>
      <c r="AE1027" s="155"/>
      <c r="AF1027" s="155"/>
      <c r="AG1027" s="322"/>
      <c r="AH1027" s="132"/>
      <c r="AI1027" s="132"/>
    </row>
    <row r="1028">
      <c r="A1028" s="314"/>
      <c r="B1028" s="312"/>
      <c r="C1028" s="312"/>
      <c r="D1028" s="717"/>
      <c r="E1028" s="316"/>
      <c r="F1028" s="316"/>
      <c r="G1028" s="314"/>
      <c r="H1028" s="318"/>
      <c r="I1028" s="314"/>
      <c r="J1028" s="314"/>
      <c r="K1028" s="314"/>
      <c r="L1028" s="314"/>
      <c r="M1028" s="314"/>
      <c r="N1028" s="314"/>
      <c r="O1028" s="318"/>
      <c r="P1028" s="314"/>
      <c r="Q1028" s="314"/>
      <c r="R1028" s="314"/>
      <c r="S1028" s="718"/>
      <c r="T1028" s="719"/>
      <c r="U1028" s="314"/>
      <c r="V1028" s="318"/>
      <c r="W1028" s="314"/>
      <c r="X1028" s="314"/>
      <c r="Y1028" s="314"/>
      <c r="Z1028" s="721"/>
      <c r="AA1028" s="721"/>
      <c r="AB1028" s="314"/>
      <c r="AC1028" s="317"/>
      <c r="AD1028" s="324"/>
      <c r="AE1028" s="155"/>
      <c r="AF1028" s="155"/>
      <c r="AG1028" s="322"/>
      <c r="AH1028" s="132"/>
      <c r="AI1028" s="132"/>
    </row>
    <row r="1029">
      <c r="A1029" s="314"/>
      <c r="B1029" s="312"/>
      <c r="C1029" s="312"/>
      <c r="D1029" s="717"/>
      <c r="E1029" s="316"/>
      <c r="F1029" s="316"/>
      <c r="G1029" s="314"/>
      <c r="H1029" s="318"/>
      <c r="I1029" s="314"/>
      <c r="J1029" s="314"/>
      <c r="K1029" s="314"/>
      <c r="L1029" s="314"/>
      <c r="M1029" s="314"/>
      <c r="N1029" s="314"/>
      <c r="O1029" s="318"/>
      <c r="P1029" s="314"/>
      <c r="Q1029" s="314"/>
      <c r="R1029" s="314"/>
      <c r="S1029" s="718"/>
      <c r="T1029" s="719"/>
      <c r="U1029" s="314"/>
      <c r="V1029" s="318"/>
      <c r="W1029" s="314"/>
      <c r="X1029" s="314"/>
      <c r="Y1029" s="314"/>
      <c r="Z1029" s="721"/>
      <c r="AA1029" s="721"/>
      <c r="AB1029" s="314"/>
      <c r="AC1029" s="317"/>
      <c r="AD1029" s="324"/>
      <c r="AE1029" s="155"/>
      <c r="AF1029" s="155"/>
      <c r="AG1029" s="322"/>
      <c r="AH1029" s="132"/>
      <c r="AI1029" s="132"/>
    </row>
    <row r="1030">
      <c r="A1030" s="314"/>
      <c r="B1030" s="312"/>
      <c r="C1030" s="312"/>
      <c r="D1030" s="717"/>
      <c r="E1030" s="316"/>
      <c r="F1030" s="316"/>
      <c r="G1030" s="314"/>
      <c r="H1030" s="318"/>
      <c r="I1030" s="314"/>
      <c r="J1030" s="314"/>
      <c r="K1030" s="314"/>
      <c r="L1030" s="314"/>
      <c r="M1030" s="314"/>
      <c r="N1030" s="314"/>
      <c r="O1030" s="318"/>
      <c r="P1030" s="314"/>
      <c r="Q1030" s="314"/>
      <c r="R1030" s="314"/>
      <c r="S1030" s="718"/>
      <c r="T1030" s="719"/>
      <c r="U1030" s="314"/>
      <c r="V1030" s="318"/>
      <c r="W1030" s="314"/>
      <c r="X1030" s="314"/>
      <c r="Y1030" s="314"/>
      <c r="Z1030" s="721"/>
      <c r="AA1030" s="721"/>
      <c r="AB1030" s="314"/>
      <c r="AC1030" s="317"/>
      <c r="AD1030" s="324"/>
      <c r="AE1030" s="155"/>
      <c r="AF1030" s="155"/>
      <c r="AG1030" s="322"/>
      <c r="AH1030" s="132"/>
      <c r="AI1030" s="132"/>
    </row>
    <row r="1031">
      <c r="A1031" s="314"/>
      <c r="B1031" s="312"/>
      <c r="C1031" s="312"/>
      <c r="D1031" s="717"/>
      <c r="E1031" s="316"/>
      <c r="F1031" s="316"/>
      <c r="G1031" s="314"/>
      <c r="H1031" s="318"/>
      <c r="I1031" s="314"/>
      <c r="J1031" s="314"/>
      <c r="K1031" s="314"/>
      <c r="L1031" s="314"/>
      <c r="M1031" s="314"/>
      <c r="N1031" s="314"/>
      <c r="O1031" s="318"/>
      <c r="P1031" s="314"/>
      <c r="Q1031" s="314"/>
      <c r="R1031" s="314"/>
      <c r="S1031" s="718"/>
      <c r="T1031" s="719"/>
      <c r="U1031" s="314"/>
      <c r="V1031" s="318"/>
      <c r="W1031" s="314"/>
      <c r="X1031" s="314"/>
      <c r="Y1031" s="314"/>
      <c r="Z1031" s="721"/>
      <c r="AA1031" s="721"/>
      <c r="AB1031" s="314"/>
      <c r="AC1031" s="317"/>
      <c r="AD1031" s="324"/>
      <c r="AE1031" s="155"/>
      <c r="AF1031" s="155"/>
      <c r="AG1031" s="322"/>
      <c r="AH1031" s="132"/>
      <c r="AI1031" s="132"/>
    </row>
    <row r="1032">
      <c r="A1032" s="314"/>
      <c r="B1032" s="312"/>
      <c r="C1032" s="312"/>
      <c r="D1032" s="717"/>
      <c r="E1032" s="316"/>
      <c r="F1032" s="316"/>
      <c r="G1032" s="314"/>
      <c r="H1032" s="318"/>
      <c r="I1032" s="314"/>
      <c r="J1032" s="314"/>
      <c r="K1032" s="314"/>
      <c r="L1032" s="314"/>
      <c r="M1032" s="314"/>
      <c r="N1032" s="314"/>
      <c r="O1032" s="318"/>
      <c r="P1032" s="314"/>
      <c r="Q1032" s="314"/>
      <c r="R1032" s="314"/>
      <c r="S1032" s="718"/>
      <c r="T1032" s="719"/>
      <c r="U1032" s="314"/>
      <c r="V1032" s="318"/>
      <c r="W1032" s="314"/>
      <c r="X1032" s="314"/>
      <c r="Y1032" s="314"/>
      <c r="Z1032" s="721"/>
      <c r="AA1032" s="721"/>
      <c r="AB1032" s="314"/>
      <c r="AC1032" s="317"/>
      <c r="AD1032" s="324"/>
      <c r="AE1032" s="155"/>
      <c r="AF1032" s="155"/>
      <c r="AG1032" s="322"/>
      <c r="AH1032" s="132"/>
      <c r="AI1032" s="132"/>
    </row>
    <row r="1033">
      <c r="A1033" s="314"/>
      <c r="B1033" s="312"/>
      <c r="C1033" s="312"/>
      <c r="D1033" s="717"/>
      <c r="E1033" s="316"/>
      <c r="F1033" s="316"/>
      <c r="G1033" s="314"/>
      <c r="H1033" s="318"/>
      <c r="I1033" s="314"/>
      <c r="J1033" s="314"/>
      <c r="K1033" s="314"/>
      <c r="L1033" s="314"/>
      <c r="M1033" s="314"/>
      <c r="N1033" s="314"/>
      <c r="O1033" s="318"/>
      <c r="P1033" s="314"/>
      <c r="Q1033" s="314"/>
      <c r="R1033" s="314"/>
      <c r="S1033" s="718"/>
      <c r="T1033" s="719"/>
      <c r="U1033" s="314"/>
      <c r="V1033" s="318"/>
      <c r="W1033" s="314"/>
      <c r="X1033" s="314"/>
      <c r="Y1033" s="314"/>
      <c r="Z1033" s="721"/>
      <c r="AA1033" s="721"/>
      <c r="AB1033" s="314"/>
      <c r="AC1033" s="317"/>
      <c r="AD1033" s="324"/>
      <c r="AE1033" s="155"/>
      <c r="AF1033" s="155"/>
      <c r="AG1033" s="322"/>
      <c r="AH1033" s="132"/>
      <c r="AI1033" s="132"/>
    </row>
    <row r="1034">
      <c r="A1034" s="314"/>
      <c r="B1034" s="312"/>
      <c r="C1034" s="312"/>
      <c r="D1034" s="717"/>
      <c r="E1034" s="316"/>
      <c r="F1034" s="316"/>
      <c r="G1034" s="314"/>
      <c r="H1034" s="318"/>
      <c r="I1034" s="314"/>
      <c r="J1034" s="314"/>
      <c r="K1034" s="314"/>
      <c r="L1034" s="314"/>
      <c r="M1034" s="314"/>
      <c r="N1034" s="314"/>
      <c r="O1034" s="318"/>
      <c r="P1034" s="314"/>
      <c r="Q1034" s="314"/>
      <c r="R1034" s="314"/>
      <c r="S1034" s="718"/>
      <c r="T1034" s="719"/>
      <c r="U1034" s="314"/>
      <c r="V1034" s="318"/>
      <c r="W1034" s="314"/>
      <c r="X1034" s="314"/>
      <c r="Y1034" s="314"/>
      <c r="Z1034" s="721"/>
      <c r="AA1034" s="721"/>
      <c r="AB1034" s="314"/>
      <c r="AC1034" s="317"/>
      <c r="AD1034" s="324"/>
      <c r="AE1034" s="155"/>
      <c r="AF1034" s="155"/>
      <c r="AG1034" s="322"/>
      <c r="AH1034" s="132"/>
      <c r="AI1034" s="132"/>
    </row>
    <row r="1035">
      <c r="A1035" s="314"/>
      <c r="B1035" s="312"/>
      <c r="C1035" s="312"/>
      <c r="D1035" s="717"/>
      <c r="E1035" s="316"/>
      <c r="F1035" s="316"/>
      <c r="G1035" s="314"/>
      <c r="H1035" s="318"/>
      <c r="I1035" s="314"/>
      <c r="J1035" s="314"/>
      <c r="K1035" s="314"/>
      <c r="L1035" s="314"/>
      <c r="M1035" s="314"/>
      <c r="N1035" s="314"/>
      <c r="O1035" s="318"/>
      <c r="P1035" s="314"/>
      <c r="Q1035" s="314"/>
      <c r="R1035" s="314"/>
      <c r="S1035" s="718"/>
      <c r="T1035" s="719"/>
      <c r="U1035" s="314"/>
      <c r="V1035" s="318"/>
      <c r="W1035" s="314"/>
      <c r="X1035" s="314"/>
      <c r="Y1035" s="314"/>
      <c r="Z1035" s="721"/>
      <c r="AA1035" s="721"/>
      <c r="AB1035" s="314"/>
      <c r="AC1035" s="317"/>
      <c r="AD1035" s="324"/>
      <c r="AE1035" s="155"/>
      <c r="AF1035" s="155"/>
      <c r="AG1035" s="322"/>
      <c r="AH1035" s="132"/>
      <c r="AI1035" s="132"/>
    </row>
    <row r="1036">
      <c r="A1036" s="314"/>
      <c r="B1036" s="312"/>
      <c r="C1036" s="312"/>
      <c r="D1036" s="717"/>
      <c r="E1036" s="316"/>
      <c r="F1036" s="316"/>
      <c r="G1036" s="314"/>
      <c r="H1036" s="318"/>
      <c r="I1036" s="314"/>
      <c r="J1036" s="314"/>
      <c r="K1036" s="314"/>
      <c r="L1036" s="314"/>
      <c r="M1036" s="314"/>
      <c r="N1036" s="314"/>
      <c r="O1036" s="318"/>
      <c r="P1036" s="314"/>
      <c r="Q1036" s="314"/>
      <c r="R1036" s="314"/>
      <c r="S1036" s="718"/>
      <c r="T1036" s="719"/>
      <c r="U1036" s="314"/>
      <c r="V1036" s="318"/>
      <c r="W1036" s="314"/>
      <c r="X1036" s="314"/>
      <c r="Y1036" s="314"/>
      <c r="Z1036" s="721"/>
      <c r="AA1036" s="721"/>
      <c r="AB1036" s="314"/>
      <c r="AC1036" s="317"/>
      <c r="AD1036" s="324"/>
      <c r="AE1036" s="155"/>
      <c r="AF1036" s="155"/>
      <c r="AG1036" s="322"/>
      <c r="AH1036" s="132"/>
      <c r="AI1036" s="132"/>
    </row>
    <row r="1037">
      <c r="A1037" s="314"/>
      <c r="B1037" s="312"/>
      <c r="C1037" s="312"/>
      <c r="D1037" s="717"/>
      <c r="E1037" s="316"/>
      <c r="F1037" s="316"/>
      <c r="G1037" s="314"/>
      <c r="H1037" s="318"/>
      <c r="I1037" s="314"/>
      <c r="J1037" s="314"/>
      <c r="K1037" s="314"/>
      <c r="L1037" s="314"/>
      <c r="M1037" s="314"/>
      <c r="N1037" s="314"/>
      <c r="O1037" s="318"/>
      <c r="P1037" s="314"/>
      <c r="Q1037" s="314"/>
      <c r="R1037" s="314"/>
      <c r="S1037" s="718"/>
      <c r="T1037" s="719"/>
      <c r="U1037" s="314"/>
      <c r="V1037" s="318"/>
      <c r="W1037" s="314"/>
      <c r="X1037" s="314"/>
      <c r="Y1037" s="314"/>
      <c r="Z1037" s="721"/>
      <c r="AA1037" s="721"/>
      <c r="AB1037" s="314"/>
      <c r="AC1037" s="317"/>
      <c r="AD1037" s="324"/>
      <c r="AE1037" s="155"/>
      <c r="AF1037" s="155"/>
      <c r="AG1037" s="322"/>
      <c r="AH1037" s="132"/>
      <c r="AI1037" s="132"/>
    </row>
    <row r="1038">
      <c r="A1038" s="314"/>
      <c r="B1038" s="312"/>
      <c r="C1038" s="312"/>
      <c r="D1038" s="717"/>
      <c r="E1038" s="316"/>
      <c r="F1038" s="316"/>
      <c r="G1038" s="314"/>
      <c r="H1038" s="318"/>
      <c r="I1038" s="314"/>
      <c r="J1038" s="314"/>
      <c r="K1038" s="314"/>
      <c r="L1038" s="314"/>
      <c r="M1038" s="314"/>
      <c r="N1038" s="314"/>
      <c r="O1038" s="318"/>
      <c r="P1038" s="314"/>
      <c r="Q1038" s="314"/>
      <c r="R1038" s="314"/>
      <c r="S1038" s="718"/>
      <c r="T1038" s="719"/>
      <c r="U1038" s="314"/>
      <c r="V1038" s="318"/>
      <c r="W1038" s="314"/>
      <c r="X1038" s="314"/>
      <c r="Y1038" s="314"/>
      <c r="Z1038" s="721"/>
      <c r="AA1038" s="721"/>
      <c r="AB1038" s="314"/>
      <c r="AC1038" s="317"/>
      <c r="AD1038" s="324"/>
      <c r="AE1038" s="155"/>
      <c r="AF1038" s="155"/>
      <c r="AG1038" s="322"/>
      <c r="AH1038" s="132"/>
      <c r="AI1038" s="132"/>
    </row>
    <row r="1039">
      <c r="A1039" s="314"/>
      <c r="B1039" s="312"/>
      <c r="C1039" s="312"/>
      <c r="D1039" s="717"/>
      <c r="E1039" s="316"/>
      <c r="F1039" s="316"/>
      <c r="G1039" s="314"/>
      <c r="H1039" s="318"/>
      <c r="I1039" s="314"/>
      <c r="J1039" s="314"/>
      <c r="K1039" s="314"/>
      <c r="L1039" s="314"/>
      <c r="M1039" s="314"/>
      <c r="N1039" s="314"/>
      <c r="O1039" s="318"/>
      <c r="P1039" s="314"/>
      <c r="Q1039" s="314"/>
      <c r="R1039" s="314"/>
      <c r="S1039" s="718"/>
      <c r="T1039" s="719"/>
      <c r="U1039" s="314"/>
      <c r="V1039" s="318"/>
      <c r="W1039" s="314"/>
      <c r="X1039" s="314"/>
      <c r="Y1039" s="314"/>
      <c r="Z1039" s="721"/>
      <c r="AA1039" s="721"/>
      <c r="AB1039" s="314"/>
      <c r="AC1039" s="317"/>
      <c r="AD1039" s="324"/>
      <c r="AE1039" s="155"/>
      <c r="AF1039" s="155"/>
      <c r="AG1039" s="322"/>
      <c r="AH1039" s="132"/>
      <c r="AI1039" s="132"/>
    </row>
    <row r="1040">
      <c r="A1040" s="314"/>
      <c r="B1040" s="312"/>
      <c r="C1040" s="312"/>
      <c r="D1040" s="717"/>
      <c r="E1040" s="316"/>
      <c r="F1040" s="316"/>
      <c r="G1040" s="314"/>
      <c r="H1040" s="318"/>
      <c r="I1040" s="314"/>
      <c r="J1040" s="314"/>
      <c r="K1040" s="314"/>
      <c r="L1040" s="314"/>
      <c r="M1040" s="314"/>
      <c r="N1040" s="314"/>
      <c r="O1040" s="318"/>
      <c r="P1040" s="314"/>
      <c r="Q1040" s="314"/>
      <c r="R1040" s="314"/>
      <c r="S1040" s="718"/>
      <c r="T1040" s="719"/>
      <c r="U1040" s="314"/>
      <c r="V1040" s="318"/>
      <c r="W1040" s="314"/>
      <c r="X1040" s="314"/>
      <c r="Y1040" s="314"/>
      <c r="Z1040" s="721"/>
      <c r="AA1040" s="721"/>
      <c r="AB1040" s="314"/>
      <c r="AC1040" s="317"/>
      <c r="AD1040" s="324"/>
      <c r="AE1040" s="155"/>
      <c r="AF1040" s="155"/>
      <c r="AG1040" s="322"/>
      <c r="AH1040" s="132"/>
      <c r="AI1040" s="132"/>
    </row>
    <row r="1041">
      <c r="A1041" s="314"/>
      <c r="B1041" s="312"/>
      <c r="C1041" s="312"/>
      <c r="D1041" s="717"/>
      <c r="E1041" s="316"/>
      <c r="F1041" s="316"/>
      <c r="G1041" s="314"/>
      <c r="H1041" s="318"/>
      <c r="I1041" s="314"/>
      <c r="J1041" s="314"/>
      <c r="K1041" s="314"/>
      <c r="L1041" s="314"/>
      <c r="M1041" s="314"/>
      <c r="N1041" s="314"/>
      <c r="O1041" s="318"/>
      <c r="P1041" s="314"/>
      <c r="Q1041" s="314"/>
      <c r="R1041" s="314"/>
      <c r="S1041" s="718"/>
      <c r="T1041" s="719"/>
      <c r="U1041" s="314"/>
      <c r="V1041" s="318"/>
      <c r="W1041" s="314"/>
      <c r="X1041" s="314"/>
      <c r="Y1041" s="314"/>
      <c r="Z1041" s="721"/>
      <c r="AA1041" s="721"/>
      <c r="AB1041" s="314"/>
      <c r="AC1041" s="317"/>
      <c r="AD1041" s="324"/>
      <c r="AE1041" s="155"/>
      <c r="AF1041" s="155"/>
      <c r="AG1041" s="322"/>
      <c r="AH1041" s="132"/>
      <c r="AI1041" s="132"/>
    </row>
    <row r="1042">
      <c r="A1042" s="314"/>
      <c r="B1042" s="312"/>
      <c r="C1042" s="312"/>
      <c r="D1042" s="717"/>
      <c r="E1042" s="316"/>
      <c r="F1042" s="316"/>
      <c r="G1042" s="314"/>
      <c r="H1042" s="318"/>
      <c r="I1042" s="314"/>
      <c r="J1042" s="314"/>
      <c r="K1042" s="314"/>
      <c r="L1042" s="314"/>
      <c r="M1042" s="314"/>
      <c r="N1042" s="314"/>
      <c r="O1042" s="318"/>
      <c r="P1042" s="314"/>
      <c r="Q1042" s="314"/>
      <c r="R1042" s="314"/>
      <c r="S1042" s="718"/>
      <c r="T1042" s="719"/>
      <c r="U1042" s="314"/>
      <c r="V1042" s="318"/>
      <c r="W1042" s="314"/>
      <c r="X1042" s="314"/>
      <c r="Y1042" s="314"/>
      <c r="Z1042" s="721"/>
      <c r="AA1042" s="721"/>
      <c r="AB1042" s="314"/>
      <c r="AC1042" s="317"/>
      <c r="AD1042" s="324"/>
      <c r="AE1042" s="155"/>
      <c r="AF1042" s="155"/>
      <c r="AG1042" s="322"/>
      <c r="AH1042" s="132"/>
      <c r="AI1042" s="132"/>
    </row>
  </sheetData>
  <mergeCells count="96">
    <mergeCell ref="A424:AE424"/>
    <mergeCell ref="A425:AF425"/>
    <mergeCell ref="A438:AE438"/>
    <mergeCell ref="A439:AF439"/>
    <mergeCell ref="A444:AE444"/>
    <mergeCell ref="A445:AF445"/>
    <mergeCell ref="A448:AE448"/>
    <mergeCell ref="A449:AF449"/>
    <mergeCell ref="AD454:AE454"/>
    <mergeCell ref="A559:AE559"/>
    <mergeCell ref="A560:AF560"/>
    <mergeCell ref="A573:AE573"/>
    <mergeCell ref="A574:AF574"/>
    <mergeCell ref="A579:AE579"/>
    <mergeCell ref="A580:AF580"/>
    <mergeCell ref="A583:AE583"/>
    <mergeCell ref="A584:AF584"/>
    <mergeCell ref="AD589:AE589"/>
    <mergeCell ref="AD604:AE604"/>
    <mergeCell ref="A709:AE709"/>
    <mergeCell ref="A710:AF710"/>
    <mergeCell ref="A723:AE723"/>
    <mergeCell ref="A724:AF724"/>
    <mergeCell ref="A729:AE729"/>
    <mergeCell ref="A730:AF730"/>
    <mergeCell ref="A733:AE733"/>
    <mergeCell ref="A734:AF734"/>
    <mergeCell ref="AD739:AE739"/>
    <mergeCell ref="A844:AE844"/>
    <mergeCell ref="A845:AF845"/>
    <mergeCell ref="A858:AE858"/>
    <mergeCell ref="A859:AF859"/>
    <mergeCell ref="A864:AE864"/>
    <mergeCell ref="A865:AF865"/>
    <mergeCell ref="A868:AE868"/>
    <mergeCell ref="A1000:AF1000"/>
    <mergeCell ref="A1003:AE1003"/>
    <mergeCell ref="A1004:AF1004"/>
    <mergeCell ref="AD1009:AE1009"/>
    <mergeCell ref="AD1024:AE1024"/>
    <mergeCell ref="A869:AF869"/>
    <mergeCell ref="AD874:AE874"/>
    <mergeCell ref="A979:AE979"/>
    <mergeCell ref="A980:AF980"/>
    <mergeCell ref="A993:AE993"/>
    <mergeCell ref="A994:AF994"/>
    <mergeCell ref="A999:AE999"/>
    <mergeCell ref="AH1:AI1"/>
    <mergeCell ref="A2:AF2"/>
    <mergeCell ref="AH3:AH5"/>
    <mergeCell ref="AI3:AI5"/>
    <mergeCell ref="AH11:AI11"/>
    <mergeCell ref="AH12:AI12"/>
    <mergeCell ref="A44:AE44"/>
    <mergeCell ref="A45:AF45"/>
    <mergeCell ref="A48:AE48"/>
    <mergeCell ref="A49:AF49"/>
    <mergeCell ref="A63:AE63"/>
    <mergeCell ref="A64:AF64"/>
    <mergeCell ref="A69:AE69"/>
    <mergeCell ref="A70:AF70"/>
    <mergeCell ref="A74:AE74"/>
    <mergeCell ref="A75:AF75"/>
    <mergeCell ref="A93:AE93"/>
    <mergeCell ref="A94:AF94"/>
    <mergeCell ref="A96:AE96"/>
    <mergeCell ref="A97:AF97"/>
    <mergeCell ref="A105:AE105"/>
    <mergeCell ref="A106:AF106"/>
    <mergeCell ref="A112:AE112"/>
    <mergeCell ref="A113:AF113"/>
    <mergeCell ref="A117:AE117"/>
    <mergeCell ref="A118:AF118"/>
    <mergeCell ref="A130:AE130"/>
    <mergeCell ref="A131:AF131"/>
    <mergeCell ref="A140:AE140"/>
    <mergeCell ref="A141:AF141"/>
    <mergeCell ref="A146:AE146"/>
    <mergeCell ref="A147:AF147"/>
    <mergeCell ref="A151:AE151"/>
    <mergeCell ref="A152:AF152"/>
    <mergeCell ref="A160:AE160"/>
    <mergeCell ref="A161:AF161"/>
    <mergeCell ref="A175:AE175"/>
    <mergeCell ref="A176:AF176"/>
    <mergeCell ref="A183:AE183"/>
    <mergeCell ref="AD184:AE184"/>
    <mergeCell ref="A289:AE289"/>
    <mergeCell ref="A290:AF290"/>
    <mergeCell ref="A303:AE303"/>
    <mergeCell ref="A304:AF304"/>
    <mergeCell ref="A309:AE309"/>
    <mergeCell ref="A310:AF310"/>
    <mergeCell ref="A313:AE313"/>
    <mergeCell ref="A314:AF314"/>
    <mergeCell ref="AD319:AE31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75"/>
    <col customWidth="1" min="2" max="2" width="4.13"/>
    <col customWidth="1" min="3" max="3" width="3.38"/>
    <col customWidth="1" min="4" max="27" width="3.63"/>
    <col customWidth="1" min="28" max="28" width="10.63"/>
    <col customWidth="1" min="29" max="29" width="9.88"/>
    <col customWidth="1" min="30" max="30" width="18.63"/>
    <col customWidth="1" min="31" max="31" width="3.88"/>
    <col customWidth="1" min="32" max="32" width="12.0"/>
    <col customWidth="1" min="33" max="33" width="34.38"/>
  </cols>
  <sheetData>
    <row r="1" ht="50.25" customHeight="1">
      <c r="A1" s="1">
        <v>46117.0</v>
      </c>
      <c r="B1" s="9">
        <v>46117.0</v>
      </c>
      <c r="C1" s="3">
        <v>46118.0</v>
      </c>
      <c r="D1" s="10">
        <v>46119.0</v>
      </c>
      <c r="E1" s="10">
        <v>46120.0</v>
      </c>
      <c r="F1" s="521">
        <v>46121.0</v>
      </c>
      <c r="G1" s="10">
        <v>46122.0</v>
      </c>
      <c r="H1" s="10">
        <v>46123.0</v>
      </c>
      <c r="I1" s="6">
        <v>46124.0</v>
      </c>
      <c r="J1" s="10">
        <v>46125.0</v>
      </c>
      <c r="K1" s="10">
        <v>46126.0</v>
      </c>
      <c r="L1" s="4">
        <v>46127.0</v>
      </c>
      <c r="M1" s="4">
        <v>46128.0</v>
      </c>
      <c r="N1" s="4">
        <v>46129.0</v>
      </c>
      <c r="O1" s="10">
        <v>46130.0</v>
      </c>
      <c r="P1" s="6">
        <v>46131.0</v>
      </c>
      <c r="Q1" s="4">
        <v>46132.0</v>
      </c>
      <c r="R1" s="10">
        <v>46133.0</v>
      </c>
      <c r="S1" s="10">
        <v>46134.0</v>
      </c>
      <c r="T1" s="10">
        <v>46135.0</v>
      </c>
      <c r="U1" s="10">
        <v>46136.0</v>
      </c>
      <c r="V1" s="10">
        <v>46137.0</v>
      </c>
      <c r="W1" s="6">
        <v>46138.0</v>
      </c>
      <c r="X1" s="4">
        <v>46139.0</v>
      </c>
      <c r="Y1" s="2">
        <v>46140.0</v>
      </c>
      <c r="Z1" s="10">
        <v>46141.0</v>
      </c>
      <c r="AA1" s="523">
        <v>46142.0</v>
      </c>
      <c r="AB1" s="14" t="s">
        <v>0</v>
      </c>
      <c r="AC1" s="15" t="s">
        <v>1</v>
      </c>
      <c r="AD1" s="15" t="s">
        <v>2</v>
      </c>
      <c r="AE1" s="17"/>
      <c r="AF1" s="20" t="s">
        <v>3</v>
      </c>
      <c r="AG1" s="22"/>
    </row>
    <row r="2">
      <c r="A2" s="24" t="s">
        <v>4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8"/>
      <c r="AE2" s="17"/>
      <c r="AF2" s="29"/>
      <c r="AG2" s="526" t="s">
        <v>5</v>
      </c>
    </row>
    <row r="3">
      <c r="A3" s="33" t="s">
        <v>6</v>
      </c>
      <c r="B3" s="489">
        <v>2.0</v>
      </c>
      <c r="C3" s="508"/>
      <c r="D3" s="59">
        <v>6.0</v>
      </c>
      <c r="E3" s="493">
        <v>4.0</v>
      </c>
      <c r="F3" s="527"/>
      <c r="G3" s="59">
        <v>3.0</v>
      </c>
      <c r="H3" s="493">
        <v>2.0</v>
      </c>
      <c r="I3" s="492"/>
      <c r="J3" s="59">
        <v>5.0</v>
      </c>
      <c r="K3" s="493">
        <v>5.0</v>
      </c>
      <c r="L3" s="529"/>
      <c r="M3" s="530"/>
      <c r="N3" s="530"/>
      <c r="O3" s="493">
        <v>5.0</v>
      </c>
      <c r="P3" s="515"/>
      <c r="Q3" s="191"/>
      <c r="R3" s="59">
        <v>8.0</v>
      </c>
      <c r="S3" s="59">
        <v>52.0</v>
      </c>
      <c r="T3" s="59">
        <v>11.0</v>
      </c>
      <c r="U3" s="59">
        <v>2.0</v>
      </c>
      <c r="V3" s="493">
        <v>1.0</v>
      </c>
      <c r="W3" s="515"/>
      <c r="X3" s="530"/>
      <c r="Y3" s="59">
        <v>18.0</v>
      </c>
      <c r="Z3" s="59">
        <v>4.0</v>
      </c>
      <c r="AA3" s="531">
        <v>13.0</v>
      </c>
      <c r="AB3" s="62">
        <f t="shared" ref="AB3:AB43" si="1">SUM(B3:AA3)</f>
        <v>141</v>
      </c>
      <c r="AC3" s="65">
        <v>50.0</v>
      </c>
      <c r="AD3" s="68">
        <f t="shared" ref="AD3:AD43" si="2">AB3*AC3</f>
        <v>7050</v>
      </c>
      <c r="AE3" s="17"/>
      <c r="AF3" s="494"/>
      <c r="AG3" s="532" t="s">
        <v>309</v>
      </c>
    </row>
    <row r="4">
      <c r="A4" s="33" t="s">
        <v>10</v>
      </c>
      <c r="B4" s="533">
        <v>17.0</v>
      </c>
      <c r="C4" s="508"/>
      <c r="D4" s="54"/>
      <c r="E4" s="59">
        <v>5.0</v>
      </c>
      <c r="F4" s="534"/>
      <c r="G4" s="59"/>
      <c r="H4" s="46"/>
      <c r="I4" s="192"/>
      <c r="J4" s="54"/>
      <c r="K4" s="46"/>
      <c r="L4" s="191"/>
      <c r="M4" s="48"/>
      <c r="N4" s="530"/>
      <c r="O4" s="59">
        <v>5.0</v>
      </c>
      <c r="P4" s="515"/>
      <c r="Q4" s="191"/>
      <c r="R4" s="46"/>
      <c r="S4" s="59"/>
      <c r="T4" s="46"/>
      <c r="U4" s="46"/>
      <c r="V4" s="59"/>
      <c r="W4" s="192"/>
      <c r="X4" s="191"/>
      <c r="Y4" s="46"/>
      <c r="Z4" s="46"/>
      <c r="AA4" s="535"/>
      <c r="AB4" s="62">
        <f t="shared" si="1"/>
        <v>27</v>
      </c>
      <c r="AC4" s="80">
        <v>18.0</v>
      </c>
      <c r="AD4" s="68">
        <f t="shared" si="2"/>
        <v>486</v>
      </c>
      <c r="AE4" s="17"/>
      <c r="AF4" s="81"/>
      <c r="AG4" s="81"/>
    </row>
    <row r="5">
      <c r="A5" s="33" t="s">
        <v>13</v>
      </c>
      <c r="B5" s="495"/>
      <c r="C5" s="516"/>
      <c r="D5" s="54"/>
      <c r="E5" s="59">
        <v>1.0</v>
      </c>
      <c r="F5" s="527"/>
      <c r="G5" s="59">
        <v>3.0</v>
      </c>
      <c r="H5" s="46"/>
      <c r="I5" s="510"/>
      <c r="J5" s="493">
        <v>1.0</v>
      </c>
      <c r="K5" s="493">
        <v>1.0</v>
      </c>
      <c r="L5" s="529"/>
      <c r="M5" s="530"/>
      <c r="N5" s="529"/>
      <c r="O5" s="493">
        <v>4.0</v>
      </c>
      <c r="P5" s="515"/>
      <c r="Q5" s="529"/>
      <c r="R5" s="59">
        <v>1.0</v>
      </c>
      <c r="S5" s="59">
        <v>1.0</v>
      </c>
      <c r="T5" s="59">
        <v>4.0</v>
      </c>
      <c r="U5" s="59">
        <v>2.0</v>
      </c>
      <c r="V5" s="493">
        <v>19.0</v>
      </c>
      <c r="W5" s="192"/>
      <c r="X5" s="530"/>
      <c r="Y5" s="59"/>
      <c r="Z5" s="59">
        <v>3.0</v>
      </c>
      <c r="AA5" s="535"/>
      <c r="AB5" s="62">
        <f t="shared" si="1"/>
        <v>40</v>
      </c>
      <c r="AC5" s="80">
        <v>200.0</v>
      </c>
      <c r="AD5" s="68">
        <f t="shared" si="2"/>
        <v>8000</v>
      </c>
      <c r="AE5" s="17"/>
      <c r="AF5" s="91"/>
      <c r="AG5" s="91"/>
    </row>
    <row r="6" ht="18.75" customHeight="1">
      <c r="A6" s="33" t="s">
        <v>16</v>
      </c>
      <c r="B6" s="489">
        <v>1.0</v>
      </c>
      <c r="C6" s="508"/>
      <c r="D6" s="54"/>
      <c r="E6" s="46"/>
      <c r="F6" s="534"/>
      <c r="G6" s="59">
        <v>2.0</v>
      </c>
      <c r="H6" s="46"/>
      <c r="I6" s="192"/>
      <c r="J6" s="59"/>
      <c r="K6" s="46"/>
      <c r="L6" s="530"/>
      <c r="M6" s="48"/>
      <c r="N6" s="48"/>
      <c r="O6" s="49"/>
      <c r="P6" s="492"/>
      <c r="Q6" s="191"/>
      <c r="R6" s="59">
        <v>30.0</v>
      </c>
      <c r="S6" s="46"/>
      <c r="T6" s="46"/>
      <c r="U6" s="59">
        <v>8.0</v>
      </c>
      <c r="V6" s="46"/>
      <c r="W6" s="192"/>
      <c r="X6" s="530"/>
      <c r="Y6" s="59"/>
      <c r="Z6" s="59">
        <v>4.0</v>
      </c>
      <c r="AA6" s="535"/>
      <c r="AB6" s="62">
        <f t="shared" si="1"/>
        <v>45</v>
      </c>
      <c r="AC6" s="80">
        <v>850.0</v>
      </c>
      <c r="AD6" s="68">
        <f t="shared" si="2"/>
        <v>38250</v>
      </c>
      <c r="AE6" s="17"/>
      <c r="AF6" s="536"/>
      <c r="AG6" s="537" t="s">
        <v>310</v>
      </c>
    </row>
    <row r="7">
      <c r="A7" s="33" t="s">
        <v>19</v>
      </c>
      <c r="B7" s="489">
        <v>5.0</v>
      </c>
      <c r="C7" s="516"/>
      <c r="D7" s="59">
        <v>11.0</v>
      </c>
      <c r="E7" s="493">
        <v>6.0</v>
      </c>
      <c r="F7" s="527"/>
      <c r="G7" s="493">
        <v>9.0</v>
      </c>
      <c r="H7" s="493">
        <v>11.0</v>
      </c>
      <c r="I7" s="510"/>
      <c r="J7" s="493">
        <v>10.0</v>
      </c>
      <c r="K7" s="493">
        <v>8.0</v>
      </c>
      <c r="L7" s="530"/>
      <c r="M7" s="530"/>
      <c r="N7" s="530"/>
      <c r="O7" s="59">
        <v>9.0</v>
      </c>
      <c r="P7" s="515"/>
      <c r="Q7" s="530"/>
      <c r="R7" s="59">
        <v>9.0</v>
      </c>
      <c r="S7" s="59">
        <v>3.0</v>
      </c>
      <c r="T7" s="59">
        <v>3.0</v>
      </c>
      <c r="U7" s="59">
        <v>13.0</v>
      </c>
      <c r="V7" s="493">
        <v>4.0</v>
      </c>
      <c r="W7" s="515"/>
      <c r="X7" s="530"/>
      <c r="Y7" s="59">
        <v>4.0</v>
      </c>
      <c r="Z7" s="59">
        <v>9.0</v>
      </c>
      <c r="AA7" s="535"/>
      <c r="AB7" s="62">
        <f t="shared" si="1"/>
        <v>114</v>
      </c>
      <c r="AC7" s="80">
        <v>180.0</v>
      </c>
      <c r="AD7" s="68">
        <f t="shared" si="2"/>
        <v>20520</v>
      </c>
      <c r="AE7" s="17"/>
      <c r="AF7" s="103"/>
      <c r="AG7" s="526" t="s">
        <v>307</v>
      </c>
    </row>
    <row r="8" ht="18.0" customHeight="1">
      <c r="A8" s="33" t="s">
        <v>23</v>
      </c>
      <c r="B8" s="489">
        <v>2.0</v>
      </c>
      <c r="C8" s="508"/>
      <c r="D8" s="54"/>
      <c r="E8" s="49"/>
      <c r="F8" s="527"/>
      <c r="G8" s="493">
        <v>1.0</v>
      </c>
      <c r="H8" s="59">
        <v>1.0</v>
      </c>
      <c r="I8" s="192"/>
      <c r="J8" s="54"/>
      <c r="K8" s="493"/>
      <c r="L8" s="191"/>
      <c r="M8" s="48"/>
      <c r="N8" s="529"/>
      <c r="O8" s="59">
        <v>2.0</v>
      </c>
      <c r="P8" s="492"/>
      <c r="Q8" s="538"/>
      <c r="R8" s="59"/>
      <c r="S8" s="46"/>
      <c r="T8" s="59"/>
      <c r="U8" s="46"/>
      <c r="V8" s="59">
        <v>1.0</v>
      </c>
      <c r="W8" s="192"/>
      <c r="X8" s="191"/>
      <c r="Y8" s="46"/>
      <c r="Z8" s="46"/>
      <c r="AA8" s="535"/>
      <c r="AB8" s="62">
        <f t="shared" si="1"/>
        <v>7</v>
      </c>
      <c r="AC8" s="80">
        <v>120.0</v>
      </c>
      <c r="AD8" s="68">
        <f t="shared" si="2"/>
        <v>840</v>
      </c>
      <c r="AE8" s="17"/>
      <c r="AF8" s="539"/>
      <c r="AG8" s="537" t="s">
        <v>311</v>
      </c>
    </row>
    <row r="9">
      <c r="A9" s="33" t="s">
        <v>27</v>
      </c>
      <c r="B9" s="489"/>
      <c r="C9" s="508"/>
      <c r="D9" s="54"/>
      <c r="E9" s="59">
        <v>1.0</v>
      </c>
      <c r="F9" s="527"/>
      <c r="G9" s="92"/>
      <c r="H9" s="493">
        <v>1.0</v>
      </c>
      <c r="I9" s="510"/>
      <c r="J9" s="59">
        <v>1.0</v>
      </c>
      <c r="K9" s="493"/>
      <c r="L9" s="191"/>
      <c r="M9" s="48"/>
      <c r="N9" s="529"/>
      <c r="O9" s="46"/>
      <c r="P9" s="192"/>
      <c r="Q9" s="530"/>
      <c r="R9" s="46"/>
      <c r="S9" s="46"/>
      <c r="T9" s="46"/>
      <c r="U9" s="59">
        <v>1.0</v>
      </c>
      <c r="V9" s="49"/>
      <c r="W9" s="192"/>
      <c r="X9" s="530"/>
      <c r="Y9" s="59"/>
      <c r="Z9" s="46"/>
      <c r="AA9" s="535"/>
      <c r="AB9" s="62">
        <f t="shared" si="1"/>
        <v>4</v>
      </c>
      <c r="AC9" s="80">
        <v>160.0</v>
      </c>
      <c r="AD9" s="68">
        <f t="shared" si="2"/>
        <v>640</v>
      </c>
      <c r="AE9" s="17"/>
      <c r="AF9" s="540"/>
      <c r="AG9" s="115" t="s">
        <v>312</v>
      </c>
    </row>
    <row r="10">
      <c r="A10" s="33" t="s">
        <v>32</v>
      </c>
      <c r="B10" s="489">
        <v>2.0</v>
      </c>
      <c r="C10" s="516"/>
      <c r="D10" s="59">
        <v>14.0</v>
      </c>
      <c r="E10" s="59">
        <v>1.0</v>
      </c>
      <c r="F10" s="527"/>
      <c r="G10" s="59"/>
      <c r="H10" s="59">
        <v>4.0</v>
      </c>
      <c r="I10" s="492"/>
      <c r="J10" s="493">
        <v>80.0</v>
      </c>
      <c r="K10" s="493">
        <v>7.0</v>
      </c>
      <c r="L10" s="529"/>
      <c r="M10" s="530"/>
      <c r="N10" s="529"/>
      <c r="O10" s="493">
        <v>1.0</v>
      </c>
      <c r="P10" s="492"/>
      <c r="Q10" s="529"/>
      <c r="R10" s="59">
        <v>1.0</v>
      </c>
      <c r="S10" s="59">
        <v>2.0</v>
      </c>
      <c r="T10" s="59">
        <v>2.0</v>
      </c>
      <c r="U10" s="59">
        <v>3.0</v>
      </c>
      <c r="V10" s="493">
        <v>8.0</v>
      </c>
      <c r="W10" s="515"/>
      <c r="X10" s="530"/>
      <c r="Y10" s="59">
        <v>2.0</v>
      </c>
      <c r="Z10" s="59">
        <v>18.0</v>
      </c>
      <c r="AA10" s="535"/>
      <c r="AB10" s="62">
        <f t="shared" si="1"/>
        <v>145</v>
      </c>
      <c r="AC10" s="80">
        <v>350.0</v>
      </c>
      <c r="AD10" s="68">
        <f t="shared" si="2"/>
        <v>50750</v>
      </c>
      <c r="AE10" s="17"/>
      <c r="AF10" s="524"/>
      <c r="AG10" s="525"/>
    </row>
    <row r="11">
      <c r="A11" s="33" t="s">
        <v>34</v>
      </c>
      <c r="B11" s="541"/>
      <c r="C11" s="508"/>
      <c r="D11" s="54"/>
      <c r="E11" s="46"/>
      <c r="F11" s="534"/>
      <c r="G11" s="54"/>
      <c r="H11" s="46"/>
      <c r="I11" s="192"/>
      <c r="J11" s="54"/>
      <c r="K11" s="49"/>
      <c r="L11" s="538"/>
      <c r="M11" s="48"/>
      <c r="N11" s="48"/>
      <c r="O11" s="46"/>
      <c r="P11" s="192"/>
      <c r="Q11" s="191"/>
      <c r="R11" s="46"/>
      <c r="S11" s="46"/>
      <c r="T11" s="46"/>
      <c r="U11" s="46"/>
      <c r="V11" s="46"/>
      <c r="W11" s="192"/>
      <c r="X11" s="191"/>
      <c r="Y11" s="46"/>
      <c r="Z11" s="46"/>
      <c r="AA11" s="535"/>
      <c r="AB11" s="62">
        <f t="shared" si="1"/>
        <v>0</v>
      </c>
      <c r="AC11" s="80">
        <v>350.0</v>
      </c>
      <c r="AD11" s="68">
        <f t="shared" si="2"/>
        <v>0</v>
      </c>
      <c r="AE11" s="17"/>
      <c r="AF11" s="117" t="s">
        <v>35</v>
      </c>
      <c r="AG11" s="22"/>
    </row>
    <row r="12">
      <c r="A12" s="33" t="s">
        <v>36</v>
      </c>
      <c r="B12" s="533"/>
      <c r="C12" s="508"/>
      <c r="D12" s="54"/>
      <c r="E12" s="59">
        <v>2.0</v>
      </c>
      <c r="F12" s="527"/>
      <c r="G12" s="59">
        <v>1.0</v>
      </c>
      <c r="H12" s="46"/>
      <c r="I12" s="192"/>
      <c r="J12" s="59">
        <v>1.0</v>
      </c>
      <c r="K12" s="59"/>
      <c r="L12" s="529"/>
      <c r="M12" s="530"/>
      <c r="N12" s="48"/>
      <c r="O12" s="59"/>
      <c r="P12" s="492"/>
      <c r="Q12" s="191"/>
      <c r="R12" s="59">
        <v>1.0</v>
      </c>
      <c r="S12" s="59">
        <v>2.0</v>
      </c>
      <c r="T12" s="46"/>
      <c r="U12" s="59"/>
      <c r="V12" s="46"/>
      <c r="W12" s="192"/>
      <c r="X12" s="191"/>
      <c r="Y12" s="59">
        <v>4.0</v>
      </c>
      <c r="Z12" s="46"/>
      <c r="AA12" s="535"/>
      <c r="AB12" s="62">
        <f t="shared" si="1"/>
        <v>11</v>
      </c>
      <c r="AC12" s="80">
        <v>1200.0</v>
      </c>
      <c r="AD12" s="68">
        <f t="shared" si="2"/>
        <v>13200</v>
      </c>
      <c r="AE12" s="17"/>
      <c r="AF12" s="544" t="s">
        <v>313</v>
      </c>
      <c r="AG12" s="22"/>
    </row>
    <row r="13">
      <c r="A13" s="33" t="s">
        <v>39</v>
      </c>
      <c r="B13" s="541"/>
      <c r="C13" s="508"/>
      <c r="D13" s="54"/>
      <c r="E13" s="59">
        <v>1.0</v>
      </c>
      <c r="F13" s="534"/>
      <c r="G13" s="54"/>
      <c r="H13" s="46"/>
      <c r="I13" s="192"/>
      <c r="J13" s="54"/>
      <c r="K13" s="49"/>
      <c r="L13" s="530"/>
      <c r="M13" s="48"/>
      <c r="N13" s="48"/>
      <c r="O13" s="46"/>
      <c r="P13" s="192"/>
      <c r="Q13" s="191"/>
      <c r="R13" s="46"/>
      <c r="S13" s="59"/>
      <c r="T13" s="46"/>
      <c r="U13" s="46"/>
      <c r="V13" s="46"/>
      <c r="W13" s="192"/>
      <c r="X13" s="530"/>
      <c r="Y13" s="59"/>
      <c r="Z13" s="46"/>
      <c r="AA13" s="535"/>
      <c r="AB13" s="62">
        <f t="shared" si="1"/>
        <v>1</v>
      </c>
      <c r="AC13" s="80">
        <v>490.0</v>
      </c>
      <c r="AD13" s="68">
        <f t="shared" si="2"/>
        <v>490</v>
      </c>
      <c r="AE13" s="17"/>
      <c r="AF13" s="113"/>
      <c r="AG13" s="113"/>
    </row>
    <row r="14">
      <c r="A14" s="33" t="s">
        <v>44</v>
      </c>
      <c r="B14" s="533">
        <v>2.0</v>
      </c>
      <c r="C14" s="508"/>
      <c r="D14" s="54"/>
      <c r="E14" s="46"/>
      <c r="F14" s="534"/>
      <c r="G14" s="493">
        <v>2.0</v>
      </c>
      <c r="H14" s="493"/>
      <c r="I14" s="492"/>
      <c r="J14" s="59"/>
      <c r="K14" s="46"/>
      <c r="L14" s="530"/>
      <c r="M14" s="530"/>
      <c r="N14" s="48"/>
      <c r="O14" s="493">
        <v>1.0</v>
      </c>
      <c r="P14" s="492"/>
      <c r="Q14" s="191"/>
      <c r="R14" s="46"/>
      <c r="S14" s="59"/>
      <c r="T14" s="46"/>
      <c r="U14" s="46"/>
      <c r="V14" s="493">
        <v>1.0</v>
      </c>
      <c r="W14" s="515"/>
      <c r="X14" s="191"/>
      <c r="Y14" s="59"/>
      <c r="Z14" s="46"/>
      <c r="AA14" s="531">
        <v>6.0</v>
      </c>
      <c r="AB14" s="62">
        <f t="shared" si="1"/>
        <v>12</v>
      </c>
      <c r="AC14" s="80">
        <v>130.0</v>
      </c>
      <c r="AD14" s="68">
        <f t="shared" si="2"/>
        <v>1560</v>
      </c>
      <c r="AE14" s="17"/>
      <c r="AF14" s="132"/>
      <c r="AG14" s="132"/>
    </row>
    <row r="15">
      <c r="A15" s="33" t="s">
        <v>47</v>
      </c>
      <c r="B15" s="541"/>
      <c r="C15" s="508"/>
      <c r="D15" s="54"/>
      <c r="E15" s="46"/>
      <c r="F15" s="534"/>
      <c r="G15" s="54"/>
      <c r="H15" s="49"/>
      <c r="I15" s="492"/>
      <c r="J15" s="59"/>
      <c r="K15" s="49"/>
      <c r="L15" s="538"/>
      <c r="M15" s="48"/>
      <c r="N15" s="48"/>
      <c r="O15" s="46"/>
      <c r="P15" s="192"/>
      <c r="Q15" s="191"/>
      <c r="R15" s="46"/>
      <c r="S15" s="46"/>
      <c r="T15" s="46"/>
      <c r="U15" s="46"/>
      <c r="V15" s="46"/>
      <c r="W15" s="192"/>
      <c r="X15" s="191"/>
      <c r="Y15" s="46"/>
      <c r="Z15" s="46"/>
      <c r="AA15" s="535"/>
      <c r="AB15" s="62">
        <f t="shared" si="1"/>
        <v>0</v>
      </c>
      <c r="AC15" s="80">
        <v>60.0</v>
      </c>
      <c r="AD15" s="68">
        <f t="shared" si="2"/>
        <v>0</v>
      </c>
      <c r="AE15" s="17"/>
      <c r="AF15" s="132"/>
      <c r="AG15" s="132"/>
    </row>
    <row r="16">
      <c r="A16" s="33" t="s">
        <v>50</v>
      </c>
      <c r="B16" s="533">
        <v>1.0</v>
      </c>
      <c r="C16" s="508"/>
      <c r="D16" s="54"/>
      <c r="E16" s="46"/>
      <c r="F16" s="534"/>
      <c r="G16" s="54"/>
      <c r="H16" s="59"/>
      <c r="I16" s="192"/>
      <c r="J16" s="59"/>
      <c r="K16" s="46"/>
      <c r="L16" s="538"/>
      <c r="M16" s="48"/>
      <c r="N16" s="530"/>
      <c r="O16" s="46"/>
      <c r="P16" s="192"/>
      <c r="Q16" s="191"/>
      <c r="R16" s="59"/>
      <c r="S16" s="46"/>
      <c r="T16" s="46"/>
      <c r="U16" s="59">
        <v>2.0</v>
      </c>
      <c r="V16" s="46"/>
      <c r="W16" s="192"/>
      <c r="X16" s="191"/>
      <c r="Y16" s="59"/>
      <c r="Z16" s="46"/>
      <c r="AA16" s="535"/>
      <c r="AB16" s="62">
        <f t="shared" si="1"/>
        <v>3</v>
      </c>
      <c r="AC16" s="80">
        <v>75.0</v>
      </c>
      <c r="AD16" s="68">
        <f t="shared" si="2"/>
        <v>225</v>
      </c>
      <c r="AE16" s="17"/>
      <c r="AF16" s="132"/>
      <c r="AG16" s="132"/>
    </row>
    <row r="17">
      <c r="A17" s="33" t="s">
        <v>61</v>
      </c>
      <c r="B17" s="533"/>
      <c r="C17" s="508"/>
      <c r="D17" s="59">
        <v>2.0</v>
      </c>
      <c r="E17" s="59">
        <v>1.0</v>
      </c>
      <c r="F17" s="527"/>
      <c r="G17" s="493"/>
      <c r="H17" s="59">
        <v>2.0</v>
      </c>
      <c r="I17" s="510"/>
      <c r="J17" s="493">
        <v>1.0</v>
      </c>
      <c r="K17" s="493">
        <v>5.0</v>
      </c>
      <c r="L17" s="529"/>
      <c r="M17" s="530"/>
      <c r="N17" s="529"/>
      <c r="O17" s="493">
        <v>3.0</v>
      </c>
      <c r="P17" s="510"/>
      <c r="Q17" s="529"/>
      <c r="R17" s="59">
        <v>5.0</v>
      </c>
      <c r="S17" s="59">
        <v>1.0</v>
      </c>
      <c r="T17" s="59">
        <v>1.0</v>
      </c>
      <c r="U17" s="59"/>
      <c r="V17" s="493">
        <v>2.0</v>
      </c>
      <c r="W17" s="515"/>
      <c r="X17" s="530"/>
      <c r="Y17" s="59"/>
      <c r="Z17" s="46"/>
      <c r="AA17" s="535"/>
      <c r="AB17" s="62">
        <f t="shared" si="1"/>
        <v>23</v>
      </c>
      <c r="AC17" s="80">
        <v>350.0</v>
      </c>
      <c r="AD17" s="68">
        <f t="shared" si="2"/>
        <v>8050</v>
      </c>
      <c r="AE17" s="17"/>
      <c r="AF17" s="132"/>
      <c r="AG17" s="132"/>
    </row>
    <row r="18">
      <c r="A18" s="33" t="s">
        <v>55</v>
      </c>
      <c r="B18" s="533"/>
      <c r="C18" s="508"/>
      <c r="D18" s="54"/>
      <c r="E18" s="46"/>
      <c r="F18" s="534"/>
      <c r="G18" s="59"/>
      <c r="H18" s="46"/>
      <c r="I18" s="192"/>
      <c r="J18" s="59">
        <v>12.0</v>
      </c>
      <c r="K18" s="46"/>
      <c r="L18" s="530"/>
      <c r="M18" s="530"/>
      <c r="N18" s="530"/>
      <c r="O18" s="59"/>
      <c r="P18" s="192"/>
      <c r="Q18" s="529"/>
      <c r="R18" s="59"/>
      <c r="S18" s="46"/>
      <c r="T18" s="59">
        <v>1.0</v>
      </c>
      <c r="U18" s="46"/>
      <c r="V18" s="49"/>
      <c r="W18" s="515"/>
      <c r="X18" s="191"/>
      <c r="Y18" s="59">
        <v>13.0</v>
      </c>
      <c r="Z18" s="59">
        <v>4.0</v>
      </c>
      <c r="AA18" s="535"/>
      <c r="AB18" s="62">
        <f t="shared" si="1"/>
        <v>30</v>
      </c>
      <c r="AC18" s="80">
        <v>250.0</v>
      </c>
      <c r="AD18" s="68">
        <f t="shared" si="2"/>
        <v>7500</v>
      </c>
      <c r="AE18" s="17"/>
      <c r="AF18" s="132"/>
      <c r="AG18" s="132"/>
    </row>
    <row r="19">
      <c r="A19" s="33" t="s">
        <v>57</v>
      </c>
      <c r="B19" s="533">
        <v>1.0</v>
      </c>
      <c r="C19" s="516"/>
      <c r="D19" s="59">
        <v>6.0</v>
      </c>
      <c r="E19" s="46"/>
      <c r="F19" s="527"/>
      <c r="G19" s="493">
        <v>3.0</v>
      </c>
      <c r="H19" s="493">
        <v>1.0</v>
      </c>
      <c r="I19" s="515"/>
      <c r="J19" s="493">
        <v>6.0</v>
      </c>
      <c r="K19" s="493"/>
      <c r="L19" s="530"/>
      <c r="M19" s="530"/>
      <c r="N19" s="529"/>
      <c r="O19" s="59">
        <v>4.0</v>
      </c>
      <c r="P19" s="492"/>
      <c r="Q19" s="530"/>
      <c r="R19" s="59"/>
      <c r="S19" s="59">
        <v>1.0</v>
      </c>
      <c r="T19" s="59"/>
      <c r="U19" s="59"/>
      <c r="V19" s="59"/>
      <c r="W19" s="192"/>
      <c r="X19" s="530"/>
      <c r="Y19" s="59">
        <v>1.0</v>
      </c>
      <c r="Z19" s="59">
        <v>1.0</v>
      </c>
      <c r="AA19" s="531">
        <v>3.0</v>
      </c>
      <c r="AB19" s="62">
        <f t="shared" si="1"/>
        <v>27</v>
      </c>
      <c r="AC19" s="80">
        <v>750.0</v>
      </c>
      <c r="AD19" s="68">
        <f t="shared" si="2"/>
        <v>20250</v>
      </c>
      <c r="AE19" s="17"/>
      <c r="AF19" s="132"/>
      <c r="AG19" s="132"/>
    </row>
    <row r="20">
      <c r="A20" s="33" t="s">
        <v>60</v>
      </c>
      <c r="B20" s="495"/>
      <c r="C20" s="508"/>
      <c r="D20" s="54"/>
      <c r="E20" s="46"/>
      <c r="F20" s="534"/>
      <c r="G20" s="493">
        <v>1.0</v>
      </c>
      <c r="H20" s="46"/>
      <c r="I20" s="492"/>
      <c r="J20" s="54"/>
      <c r="K20" s="46"/>
      <c r="L20" s="191"/>
      <c r="M20" s="48"/>
      <c r="N20" s="48"/>
      <c r="O20" s="46"/>
      <c r="P20" s="192"/>
      <c r="Q20" s="191"/>
      <c r="R20" s="46"/>
      <c r="S20" s="46"/>
      <c r="T20" s="46"/>
      <c r="U20" s="46"/>
      <c r="V20" s="46"/>
      <c r="W20" s="192"/>
      <c r="X20" s="191"/>
      <c r="Y20" s="46"/>
      <c r="Z20" s="46"/>
      <c r="AA20" s="535"/>
      <c r="AB20" s="62">
        <f t="shared" si="1"/>
        <v>1</v>
      </c>
      <c r="AC20" s="80">
        <v>850.0</v>
      </c>
      <c r="AD20" s="68">
        <f t="shared" si="2"/>
        <v>850</v>
      </c>
      <c r="AE20" s="17"/>
      <c r="AF20" s="132"/>
      <c r="AG20" s="132"/>
    </row>
    <row r="21">
      <c r="A21" s="142" t="s">
        <v>63</v>
      </c>
      <c r="B21" s="489">
        <v>6.0</v>
      </c>
      <c r="C21" s="508"/>
      <c r="D21" s="54"/>
      <c r="E21" s="493">
        <v>8.0</v>
      </c>
      <c r="F21" s="527"/>
      <c r="G21" s="493"/>
      <c r="H21" s="493">
        <v>4.0</v>
      </c>
      <c r="I21" s="510"/>
      <c r="J21" s="493"/>
      <c r="K21" s="493">
        <v>4.0</v>
      </c>
      <c r="L21" s="529"/>
      <c r="M21" s="530"/>
      <c r="N21" s="529"/>
      <c r="O21" s="493">
        <v>3.0</v>
      </c>
      <c r="P21" s="492"/>
      <c r="Q21" s="529"/>
      <c r="R21" s="59">
        <v>7.0</v>
      </c>
      <c r="S21" s="59">
        <v>2.0</v>
      </c>
      <c r="T21" s="59">
        <v>3.0</v>
      </c>
      <c r="U21" s="59">
        <v>2.0</v>
      </c>
      <c r="V21" s="493">
        <v>2.0</v>
      </c>
      <c r="W21" s="192"/>
      <c r="X21" s="530"/>
      <c r="Y21" s="59">
        <v>3.0</v>
      </c>
      <c r="Z21" s="59">
        <v>3.0</v>
      </c>
      <c r="AA21" s="535"/>
      <c r="AB21" s="62">
        <f t="shared" si="1"/>
        <v>47</v>
      </c>
      <c r="AC21" s="80">
        <v>25.0</v>
      </c>
      <c r="AD21" s="68">
        <f t="shared" si="2"/>
        <v>1175</v>
      </c>
      <c r="AE21" s="17"/>
      <c r="AF21" s="132"/>
      <c r="AG21" s="132"/>
    </row>
    <row r="22">
      <c r="A22" s="142" t="s">
        <v>66</v>
      </c>
      <c r="B22" s="533">
        <v>7.0</v>
      </c>
      <c r="C22" s="516"/>
      <c r="D22" s="54"/>
      <c r="E22" s="49"/>
      <c r="F22" s="527"/>
      <c r="G22" s="493"/>
      <c r="H22" s="493">
        <v>3.0</v>
      </c>
      <c r="I22" s="510"/>
      <c r="J22" s="493"/>
      <c r="K22" s="493"/>
      <c r="L22" s="529"/>
      <c r="M22" s="530"/>
      <c r="N22" s="529"/>
      <c r="O22" s="493">
        <v>2.0</v>
      </c>
      <c r="P22" s="492"/>
      <c r="Q22" s="529"/>
      <c r="R22" s="59">
        <v>5.0</v>
      </c>
      <c r="S22" s="46"/>
      <c r="T22" s="59">
        <v>1.0</v>
      </c>
      <c r="U22" s="59"/>
      <c r="V22" s="493">
        <v>1.0</v>
      </c>
      <c r="W22" s="192"/>
      <c r="X22" s="530"/>
      <c r="Y22" s="59">
        <v>1.0</v>
      </c>
      <c r="Z22" s="59">
        <v>1.0</v>
      </c>
      <c r="AA22" s="535"/>
      <c r="AB22" s="62">
        <f t="shared" si="1"/>
        <v>21</v>
      </c>
      <c r="AC22" s="80">
        <v>30.0</v>
      </c>
      <c r="AD22" s="68">
        <f t="shared" si="2"/>
        <v>630</v>
      </c>
      <c r="AE22" s="17"/>
      <c r="AF22" s="132"/>
      <c r="AG22" s="132"/>
    </row>
    <row r="23">
      <c r="A23" s="142" t="s">
        <v>68</v>
      </c>
      <c r="B23" s="489">
        <v>5.0</v>
      </c>
      <c r="C23" s="516"/>
      <c r="D23" s="54"/>
      <c r="E23" s="59">
        <v>1.0</v>
      </c>
      <c r="F23" s="527"/>
      <c r="G23" s="493"/>
      <c r="H23" s="493">
        <v>5.0</v>
      </c>
      <c r="I23" s="510"/>
      <c r="J23" s="493"/>
      <c r="K23" s="493"/>
      <c r="L23" s="530"/>
      <c r="M23" s="530"/>
      <c r="N23" s="530"/>
      <c r="O23" s="493">
        <v>2.0</v>
      </c>
      <c r="P23" s="492"/>
      <c r="Q23" s="529"/>
      <c r="R23" s="59">
        <v>2.0</v>
      </c>
      <c r="S23" s="46"/>
      <c r="T23" s="59">
        <v>1.0</v>
      </c>
      <c r="U23" s="59">
        <v>3.0</v>
      </c>
      <c r="V23" s="59">
        <v>1.0</v>
      </c>
      <c r="W23" s="192"/>
      <c r="X23" s="530"/>
      <c r="Y23" s="59">
        <v>2.0</v>
      </c>
      <c r="Z23" s="46"/>
      <c r="AA23" s="535"/>
      <c r="AB23" s="62">
        <f t="shared" si="1"/>
        <v>22</v>
      </c>
      <c r="AC23" s="80">
        <v>35.0</v>
      </c>
      <c r="AD23" s="68">
        <f t="shared" si="2"/>
        <v>770</v>
      </c>
      <c r="AE23" s="17"/>
      <c r="AF23" s="132"/>
      <c r="AG23" s="132"/>
    </row>
    <row r="24">
      <c r="A24" s="142" t="s">
        <v>70</v>
      </c>
      <c r="B24" s="541"/>
      <c r="C24" s="508"/>
      <c r="D24" s="54"/>
      <c r="E24" s="46"/>
      <c r="F24" s="534"/>
      <c r="G24" s="54"/>
      <c r="H24" s="46"/>
      <c r="I24" s="192"/>
      <c r="J24" s="54"/>
      <c r="K24" s="46"/>
      <c r="L24" s="191"/>
      <c r="M24" s="48"/>
      <c r="N24" s="48"/>
      <c r="O24" s="46"/>
      <c r="P24" s="192"/>
      <c r="Q24" s="191"/>
      <c r="R24" s="46"/>
      <c r="S24" s="46"/>
      <c r="T24" s="46"/>
      <c r="U24" s="46"/>
      <c r="V24" s="46"/>
      <c r="W24" s="192"/>
      <c r="X24" s="191"/>
      <c r="Y24" s="46"/>
      <c r="Z24" s="46"/>
      <c r="AA24" s="535"/>
      <c r="AB24" s="62">
        <f t="shared" si="1"/>
        <v>0</v>
      </c>
      <c r="AC24" s="80">
        <v>130.0</v>
      </c>
      <c r="AD24" s="68">
        <f t="shared" si="2"/>
        <v>0</v>
      </c>
      <c r="AE24" s="17"/>
      <c r="AF24" s="132"/>
      <c r="AG24" s="132"/>
    </row>
    <row r="25">
      <c r="A25" s="142" t="s">
        <v>72</v>
      </c>
      <c r="B25" s="541"/>
      <c r="C25" s="516"/>
      <c r="D25" s="54"/>
      <c r="E25" s="59">
        <v>1.0</v>
      </c>
      <c r="F25" s="534"/>
      <c r="G25" s="493"/>
      <c r="H25" s="493"/>
      <c r="I25" s="510"/>
      <c r="J25" s="54"/>
      <c r="K25" s="59"/>
      <c r="L25" s="529"/>
      <c r="M25" s="530"/>
      <c r="N25" s="529"/>
      <c r="O25" s="59"/>
      <c r="P25" s="192"/>
      <c r="Q25" s="530"/>
      <c r="R25" s="59"/>
      <c r="S25" s="46"/>
      <c r="T25" s="46"/>
      <c r="U25" s="59"/>
      <c r="V25" s="493"/>
      <c r="W25" s="515"/>
      <c r="X25" s="191"/>
      <c r="Y25" s="59"/>
      <c r="Z25" s="46"/>
      <c r="AA25" s="535"/>
      <c r="AB25" s="62">
        <f t="shared" si="1"/>
        <v>1</v>
      </c>
      <c r="AC25" s="80">
        <v>50.0</v>
      </c>
      <c r="AD25" s="68">
        <f t="shared" si="2"/>
        <v>50</v>
      </c>
      <c r="AE25" s="17"/>
      <c r="AF25" s="132"/>
      <c r="AG25" s="132"/>
    </row>
    <row r="26">
      <c r="A26" s="142" t="s">
        <v>74</v>
      </c>
      <c r="B26" s="541"/>
      <c r="C26" s="508"/>
      <c r="D26" s="54"/>
      <c r="E26" s="46"/>
      <c r="F26" s="534"/>
      <c r="G26" s="54"/>
      <c r="H26" s="46"/>
      <c r="I26" s="192"/>
      <c r="J26" s="54"/>
      <c r="K26" s="46"/>
      <c r="L26" s="191"/>
      <c r="M26" s="48"/>
      <c r="N26" s="48"/>
      <c r="O26" s="46"/>
      <c r="P26" s="192"/>
      <c r="Q26" s="191"/>
      <c r="R26" s="46"/>
      <c r="S26" s="46"/>
      <c r="T26" s="46"/>
      <c r="U26" s="46"/>
      <c r="V26" s="46"/>
      <c r="W26" s="192"/>
      <c r="X26" s="191"/>
      <c r="Y26" s="46"/>
      <c r="Z26" s="46"/>
      <c r="AA26" s="535"/>
      <c r="AB26" s="62">
        <f t="shared" si="1"/>
        <v>0</v>
      </c>
      <c r="AC26" s="80">
        <v>50.0</v>
      </c>
      <c r="AD26" s="68">
        <f t="shared" si="2"/>
        <v>0</v>
      </c>
      <c r="AE26" s="17"/>
      <c r="AF26" s="132"/>
      <c r="AG26" s="132"/>
    </row>
    <row r="27">
      <c r="A27" s="142" t="s">
        <v>75</v>
      </c>
      <c r="B27" s="533"/>
      <c r="C27" s="508"/>
      <c r="D27" s="54"/>
      <c r="E27" s="46"/>
      <c r="F27" s="534"/>
      <c r="G27" s="59">
        <v>1.0</v>
      </c>
      <c r="H27" s="46"/>
      <c r="I27" s="492"/>
      <c r="J27" s="54"/>
      <c r="K27" s="46"/>
      <c r="L27" s="191"/>
      <c r="M27" s="48"/>
      <c r="N27" s="48"/>
      <c r="O27" s="46"/>
      <c r="P27" s="192"/>
      <c r="Q27" s="191"/>
      <c r="R27" s="46"/>
      <c r="S27" s="46"/>
      <c r="T27" s="59">
        <v>1.0</v>
      </c>
      <c r="U27" s="46"/>
      <c r="V27" s="46"/>
      <c r="W27" s="192"/>
      <c r="X27" s="191"/>
      <c r="Y27" s="59">
        <v>1.0</v>
      </c>
      <c r="Z27" s="46"/>
      <c r="AA27" s="535"/>
      <c r="AB27" s="62">
        <f t="shared" si="1"/>
        <v>3</v>
      </c>
      <c r="AC27" s="80">
        <v>35.0</v>
      </c>
      <c r="AD27" s="68">
        <f t="shared" si="2"/>
        <v>105</v>
      </c>
      <c r="AE27" s="17"/>
      <c r="AF27" s="132"/>
      <c r="AG27" s="132"/>
    </row>
    <row r="28">
      <c r="A28" s="142" t="s">
        <v>77</v>
      </c>
      <c r="B28" s="533">
        <v>2.0</v>
      </c>
      <c r="C28" s="508"/>
      <c r="D28" s="54"/>
      <c r="E28" s="49"/>
      <c r="F28" s="527"/>
      <c r="G28" s="59"/>
      <c r="H28" s="46"/>
      <c r="I28" s="510"/>
      <c r="J28" s="59"/>
      <c r="K28" s="493">
        <v>1.0</v>
      </c>
      <c r="L28" s="538"/>
      <c r="M28" s="530"/>
      <c r="N28" s="530"/>
      <c r="O28" s="493">
        <v>3.0</v>
      </c>
      <c r="P28" s="192"/>
      <c r="Q28" s="191"/>
      <c r="R28" s="59"/>
      <c r="S28" s="46"/>
      <c r="T28" s="46"/>
      <c r="U28" s="46"/>
      <c r="V28" s="59">
        <v>1.0</v>
      </c>
      <c r="W28" s="515"/>
      <c r="X28" s="191"/>
      <c r="Y28" s="59">
        <v>2.0</v>
      </c>
      <c r="Z28" s="59">
        <v>2.0</v>
      </c>
      <c r="AA28" s="535"/>
      <c r="AB28" s="62">
        <f t="shared" si="1"/>
        <v>11</v>
      </c>
      <c r="AC28" s="80">
        <v>100.0</v>
      </c>
      <c r="AD28" s="68">
        <f t="shared" si="2"/>
        <v>1100</v>
      </c>
      <c r="AE28" s="17"/>
      <c r="AF28" s="132"/>
      <c r="AG28" s="132"/>
    </row>
    <row r="29">
      <c r="A29" s="142" t="s">
        <v>79</v>
      </c>
      <c r="B29" s="533"/>
      <c r="C29" s="508"/>
      <c r="D29" s="54"/>
      <c r="E29" s="46"/>
      <c r="F29" s="534"/>
      <c r="G29" s="54"/>
      <c r="H29" s="46"/>
      <c r="I29" s="192"/>
      <c r="J29" s="54"/>
      <c r="K29" s="46"/>
      <c r="L29" s="191"/>
      <c r="M29" s="48"/>
      <c r="N29" s="48"/>
      <c r="O29" s="46"/>
      <c r="P29" s="192"/>
      <c r="Q29" s="191"/>
      <c r="R29" s="46"/>
      <c r="S29" s="46"/>
      <c r="T29" s="46"/>
      <c r="U29" s="46"/>
      <c r="V29" s="46"/>
      <c r="W29" s="192"/>
      <c r="X29" s="191"/>
      <c r="Y29" s="46"/>
      <c r="Z29" s="46"/>
      <c r="AA29" s="535"/>
      <c r="AB29" s="62">
        <f t="shared" si="1"/>
        <v>0</v>
      </c>
      <c r="AC29" s="80">
        <v>20.0</v>
      </c>
      <c r="AD29" s="68">
        <f t="shared" si="2"/>
        <v>0</v>
      </c>
      <c r="AE29" s="17"/>
      <c r="AF29" s="132"/>
      <c r="AG29" s="132"/>
    </row>
    <row r="30">
      <c r="A30" s="142" t="s">
        <v>82</v>
      </c>
      <c r="B30" s="489"/>
      <c r="C30" s="516"/>
      <c r="D30" s="59">
        <v>4.0</v>
      </c>
      <c r="E30" s="49"/>
      <c r="F30" s="527"/>
      <c r="G30" s="493">
        <v>1.0</v>
      </c>
      <c r="H30" s="493">
        <v>1.0</v>
      </c>
      <c r="I30" s="515"/>
      <c r="J30" s="493">
        <v>6.0</v>
      </c>
      <c r="K30" s="493">
        <v>5.0</v>
      </c>
      <c r="L30" s="529"/>
      <c r="M30" s="530"/>
      <c r="N30" s="529"/>
      <c r="O30" s="493">
        <v>3.0</v>
      </c>
      <c r="P30" s="510"/>
      <c r="Q30" s="529"/>
      <c r="R30" s="59">
        <v>1.0</v>
      </c>
      <c r="S30" s="59">
        <v>4.0</v>
      </c>
      <c r="T30" s="59">
        <v>1.0</v>
      </c>
      <c r="U30" s="59">
        <v>1.0</v>
      </c>
      <c r="V30" s="493">
        <v>2.0</v>
      </c>
      <c r="W30" s="515"/>
      <c r="X30" s="530"/>
      <c r="Y30" s="59">
        <v>1.0</v>
      </c>
      <c r="Z30" s="59">
        <v>1.0</v>
      </c>
      <c r="AA30" s="531">
        <v>1.0</v>
      </c>
      <c r="AB30" s="62">
        <f t="shared" si="1"/>
        <v>32</v>
      </c>
      <c r="AC30" s="80">
        <v>40.0</v>
      </c>
      <c r="AD30" s="68">
        <f t="shared" si="2"/>
        <v>1280</v>
      </c>
      <c r="AE30" s="17"/>
      <c r="AF30" s="132"/>
      <c r="AG30" s="132"/>
    </row>
    <row r="31">
      <c r="A31" s="33" t="s">
        <v>85</v>
      </c>
      <c r="B31" s="533">
        <v>1.0</v>
      </c>
      <c r="C31" s="516"/>
      <c r="D31" s="59">
        <v>2.0</v>
      </c>
      <c r="E31" s="49"/>
      <c r="F31" s="534"/>
      <c r="G31" s="92"/>
      <c r="H31" s="49"/>
      <c r="I31" s="492"/>
      <c r="J31" s="59">
        <v>2.0</v>
      </c>
      <c r="K31" s="59">
        <v>5.0</v>
      </c>
      <c r="L31" s="538"/>
      <c r="M31" s="530"/>
      <c r="N31" s="547"/>
      <c r="O31" s="493">
        <v>2.0</v>
      </c>
      <c r="P31" s="510"/>
      <c r="Q31" s="529"/>
      <c r="R31" s="59">
        <v>2.0</v>
      </c>
      <c r="S31" s="59">
        <v>1.0</v>
      </c>
      <c r="T31" s="59">
        <v>1.0</v>
      </c>
      <c r="U31" s="59">
        <v>6.0</v>
      </c>
      <c r="V31" s="59">
        <v>3.0</v>
      </c>
      <c r="W31" s="515"/>
      <c r="X31" s="530"/>
      <c r="Y31" s="59"/>
      <c r="Z31" s="46"/>
      <c r="AA31" s="531">
        <v>8.0</v>
      </c>
      <c r="AB31" s="62">
        <f t="shared" si="1"/>
        <v>33</v>
      </c>
      <c r="AC31" s="80">
        <v>80.0</v>
      </c>
      <c r="AD31" s="68">
        <f t="shared" si="2"/>
        <v>2640</v>
      </c>
      <c r="AE31" s="17"/>
      <c r="AF31" s="132"/>
      <c r="AG31" s="132"/>
    </row>
    <row r="32">
      <c r="A32" s="147" t="s">
        <v>87</v>
      </c>
      <c r="B32" s="489"/>
      <c r="C32" s="516"/>
      <c r="D32" s="54"/>
      <c r="E32" s="49"/>
      <c r="F32" s="534"/>
      <c r="G32" s="493">
        <v>1.0</v>
      </c>
      <c r="H32" s="49"/>
      <c r="I32" s="492"/>
      <c r="J32" s="92"/>
      <c r="K32" s="49"/>
      <c r="L32" s="538"/>
      <c r="M32" s="48"/>
      <c r="N32" s="547"/>
      <c r="O32" s="49"/>
      <c r="P32" s="492"/>
      <c r="Q32" s="529"/>
      <c r="R32" s="59"/>
      <c r="S32" s="46"/>
      <c r="T32" s="46"/>
      <c r="U32" s="46"/>
      <c r="V32" s="493">
        <v>5.0</v>
      </c>
      <c r="W32" s="192"/>
      <c r="X32" s="530"/>
      <c r="Y32" s="59">
        <v>1.0</v>
      </c>
      <c r="Z32" s="59">
        <v>3.0</v>
      </c>
      <c r="AA32" s="535"/>
      <c r="AB32" s="62">
        <f t="shared" si="1"/>
        <v>10</v>
      </c>
      <c r="AC32" s="80">
        <v>170.0</v>
      </c>
      <c r="AD32" s="68">
        <f t="shared" si="2"/>
        <v>1700</v>
      </c>
      <c r="AE32" s="17"/>
      <c r="AF32" s="132"/>
      <c r="AG32" s="132"/>
    </row>
    <row r="33">
      <c r="A33" s="147" t="s">
        <v>89</v>
      </c>
      <c r="B33" s="541"/>
      <c r="C33" s="508"/>
      <c r="D33" s="54"/>
      <c r="E33" s="46"/>
      <c r="F33" s="534"/>
      <c r="G33" s="54"/>
      <c r="H33" s="46"/>
      <c r="I33" s="492"/>
      <c r="J33" s="54"/>
      <c r="K33" s="46"/>
      <c r="L33" s="191"/>
      <c r="M33" s="48"/>
      <c r="N33" s="48"/>
      <c r="O33" s="46"/>
      <c r="P33" s="192"/>
      <c r="Q33" s="191"/>
      <c r="R33" s="46"/>
      <c r="S33" s="46"/>
      <c r="T33" s="46"/>
      <c r="U33" s="46"/>
      <c r="V33" s="59">
        <v>2.0</v>
      </c>
      <c r="W33" s="192"/>
      <c r="X33" s="191"/>
      <c r="Y33" s="46"/>
      <c r="Z33" s="46"/>
      <c r="AA33" s="535"/>
      <c r="AB33" s="62">
        <f t="shared" si="1"/>
        <v>2</v>
      </c>
      <c r="AC33" s="80">
        <v>130.0</v>
      </c>
      <c r="AD33" s="68">
        <f t="shared" si="2"/>
        <v>260</v>
      </c>
      <c r="AE33" s="17"/>
      <c r="AF33" s="132"/>
      <c r="AG33" s="132"/>
    </row>
    <row r="34">
      <c r="A34" s="147" t="s">
        <v>90</v>
      </c>
      <c r="B34" s="541"/>
      <c r="C34" s="508"/>
      <c r="D34" s="54"/>
      <c r="E34" s="49"/>
      <c r="F34" s="527"/>
      <c r="G34" s="493">
        <v>1.0</v>
      </c>
      <c r="H34" s="59">
        <v>1.0</v>
      </c>
      <c r="I34" s="510"/>
      <c r="J34" s="59"/>
      <c r="K34" s="49"/>
      <c r="L34" s="191"/>
      <c r="M34" s="530"/>
      <c r="N34" s="530"/>
      <c r="O34" s="59">
        <v>4.0</v>
      </c>
      <c r="P34" s="192"/>
      <c r="Q34" s="529"/>
      <c r="R34" s="59"/>
      <c r="S34" s="46"/>
      <c r="T34" s="46"/>
      <c r="U34" s="46"/>
      <c r="V34" s="49"/>
      <c r="W34" s="192"/>
      <c r="X34" s="191"/>
      <c r="Y34" s="59">
        <v>2.0</v>
      </c>
      <c r="Z34" s="46"/>
      <c r="AA34" s="535"/>
      <c r="AB34" s="62">
        <f t="shared" si="1"/>
        <v>8</v>
      </c>
      <c r="AC34" s="80">
        <v>150.0</v>
      </c>
      <c r="AD34" s="68">
        <f t="shared" si="2"/>
        <v>1200</v>
      </c>
      <c r="AE34" s="17"/>
      <c r="AF34" s="132"/>
      <c r="AG34" s="132"/>
    </row>
    <row r="35">
      <c r="A35" s="147" t="s">
        <v>93</v>
      </c>
      <c r="B35" s="541"/>
      <c r="C35" s="516"/>
      <c r="D35" s="54"/>
      <c r="E35" s="49"/>
      <c r="F35" s="527"/>
      <c r="G35" s="92"/>
      <c r="H35" s="46"/>
      <c r="I35" s="510"/>
      <c r="J35" s="59"/>
      <c r="K35" s="46"/>
      <c r="L35" s="191"/>
      <c r="M35" s="48"/>
      <c r="N35" s="530"/>
      <c r="O35" s="59">
        <v>2.0</v>
      </c>
      <c r="P35" s="192"/>
      <c r="Q35" s="530"/>
      <c r="R35" s="46"/>
      <c r="S35" s="59">
        <v>1.0</v>
      </c>
      <c r="T35" s="46"/>
      <c r="U35" s="59"/>
      <c r="V35" s="59">
        <v>4.0</v>
      </c>
      <c r="W35" s="515"/>
      <c r="X35" s="191"/>
      <c r="Y35" s="59"/>
      <c r="Z35" s="46"/>
      <c r="AA35" s="535"/>
      <c r="AB35" s="62">
        <f t="shared" si="1"/>
        <v>7</v>
      </c>
      <c r="AC35" s="80">
        <v>180.0</v>
      </c>
      <c r="AD35" s="68">
        <f t="shared" si="2"/>
        <v>1260</v>
      </c>
      <c r="AE35" s="17"/>
      <c r="AF35" s="132"/>
      <c r="AG35" s="132"/>
    </row>
    <row r="36">
      <c r="A36" s="147" t="s">
        <v>94</v>
      </c>
      <c r="B36" s="541"/>
      <c r="C36" s="508"/>
      <c r="D36" s="59">
        <v>1.0</v>
      </c>
      <c r="E36" s="46"/>
      <c r="F36" s="534"/>
      <c r="G36" s="493"/>
      <c r="H36" s="59"/>
      <c r="I36" s="492"/>
      <c r="J36" s="59"/>
      <c r="K36" s="59"/>
      <c r="L36" s="191"/>
      <c r="M36" s="530"/>
      <c r="N36" s="48"/>
      <c r="O36" s="46"/>
      <c r="P36" s="192"/>
      <c r="Q36" s="530"/>
      <c r="R36" s="46"/>
      <c r="S36" s="59"/>
      <c r="T36" s="46"/>
      <c r="U36" s="46"/>
      <c r="V36" s="46"/>
      <c r="W36" s="192"/>
      <c r="X36" s="191"/>
      <c r="Y36" s="59"/>
      <c r="Z36" s="46"/>
      <c r="AA36" s="535"/>
      <c r="AB36" s="62">
        <f t="shared" si="1"/>
        <v>1</v>
      </c>
      <c r="AC36" s="80">
        <v>245.0</v>
      </c>
      <c r="AD36" s="68">
        <f t="shared" si="2"/>
        <v>245</v>
      </c>
      <c r="AE36" s="17"/>
      <c r="AF36" s="132"/>
      <c r="AG36" s="132"/>
    </row>
    <row r="37">
      <c r="A37" s="142" t="s">
        <v>97</v>
      </c>
      <c r="B37" s="541"/>
      <c r="C37" s="508"/>
      <c r="D37" s="54"/>
      <c r="E37" s="46"/>
      <c r="F37" s="534"/>
      <c r="G37" s="59">
        <v>2.0</v>
      </c>
      <c r="H37" s="46"/>
      <c r="I37" s="192"/>
      <c r="J37" s="59">
        <v>6.0</v>
      </c>
      <c r="K37" s="59">
        <v>10.0</v>
      </c>
      <c r="L37" s="191"/>
      <c r="M37" s="48"/>
      <c r="N37" s="48"/>
      <c r="O37" s="46"/>
      <c r="P37" s="192"/>
      <c r="Q37" s="191"/>
      <c r="R37" s="46"/>
      <c r="S37" s="59">
        <v>15.0</v>
      </c>
      <c r="T37" s="59">
        <v>2.0</v>
      </c>
      <c r="U37" s="59">
        <v>2.0</v>
      </c>
      <c r="V37" s="59">
        <v>1.0</v>
      </c>
      <c r="W37" s="515"/>
      <c r="X37" s="530"/>
      <c r="Y37" s="59"/>
      <c r="Z37" s="46"/>
      <c r="AA37" s="535"/>
      <c r="AB37" s="62">
        <f t="shared" si="1"/>
        <v>38</v>
      </c>
      <c r="AC37" s="80">
        <v>500.0</v>
      </c>
      <c r="AD37" s="68">
        <f t="shared" si="2"/>
        <v>19000</v>
      </c>
      <c r="AE37" s="17"/>
      <c r="AF37" s="132"/>
      <c r="AG37" s="132"/>
    </row>
    <row r="38">
      <c r="A38" s="33" t="s">
        <v>99</v>
      </c>
      <c r="B38" s="541"/>
      <c r="C38" s="508"/>
      <c r="D38" s="54"/>
      <c r="E38" s="59">
        <v>1.0</v>
      </c>
      <c r="F38" s="534"/>
      <c r="G38" s="54"/>
      <c r="H38" s="46"/>
      <c r="I38" s="192"/>
      <c r="J38" s="493">
        <v>30.0</v>
      </c>
      <c r="K38" s="46"/>
      <c r="L38" s="538"/>
      <c r="M38" s="48"/>
      <c r="N38" s="48"/>
      <c r="O38" s="46"/>
      <c r="P38" s="192"/>
      <c r="Q38" s="191"/>
      <c r="R38" s="59"/>
      <c r="S38" s="46"/>
      <c r="T38" s="46"/>
      <c r="U38" s="59"/>
      <c r="V38" s="59"/>
      <c r="W38" s="515"/>
      <c r="X38" s="191"/>
      <c r="Y38" s="59">
        <v>6.0</v>
      </c>
      <c r="Z38" s="46"/>
      <c r="AA38" s="535"/>
      <c r="AB38" s="62">
        <f t="shared" si="1"/>
        <v>37</v>
      </c>
      <c r="AC38" s="80">
        <v>900.0</v>
      </c>
      <c r="AD38" s="68">
        <f t="shared" si="2"/>
        <v>33300</v>
      </c>
      <c r="AE38" s="17"/>
      <c r="AF38" s="132"/>
      <c r="AG38" s="132"/>
    </row>
    <row r="39">
      <c r="A39" s="33" t="s">
        <v>100</v>
      </c>
      <c r="B39" s="541"/>
      <c r="C39" s="508"/>
      <c r="D39" s="54"/>
      <c r="E39" s="46"/>
      <c r="F39" s="534"/>
      <c r="G39" s="54"/>
      <c r="H39" s="46"/>
      <c r="I39" s="192"/>
      <c r="J39" s="59"/>
      <c r="K39" s="46"/>
      <c r="L39" s="530"/>
      <c r="M39" s="48"/>
      <c r="N39" s="48"/>
      <c r="O39" s="46"/>
      <c r="P39" s="192"/>
      <c r="Q39" s="538"/>
      <c r="R39" s="46"/>
      <c r="S39" s="46"/>
      <c r="T39" s="46"/>
      <c r="U39" s="46"/>
      <c r="V39" s="46"/>
      <c r="W39" s="515"/>
      <c r="X39" s="191"/>
      <c r="Y39" s="46"/>
      <c r="Z39" s="46"/>
      <c r="AA39" s="535"/>
      <c r="AB39" s="62">
        <f t="shared" si="1"/>
        <v>0</v>
      </c>
      <c r="AC39" s="80">
        <v>1100.0</v>
      </c>
      <c r="AD39" s="68">
        <f t="shared" si="2"/>
        <v>0</v>
      </c>
      <c r="AE39" s="17"/>
      <c r="AF39" s="132"/>
      <c r="AG39" s="132"/>
    </row>
    <row r="40">
      <c r="A40" s="33" t="s">
        <v>102</v>
      </c>
      <c r="B40" s="541"/>
      <c r="C40" s="508"/>
      <c r="D40" s="54"/>
      <c r="E40" s="46"/>
      <c r="F40" s="534"/>
      <c r="G40" s="493">
        <v>1.0</v>
      </c>
      <c r="H40" s="46"/>
      <c r="I40" s="192"/>
      <c r="J40" s="54"/>
      <c r="K40" s="46"/>
      <c r="L40" s="191"/>
      <c r="M40" s="48"/>
      <c r="N40" s="48"/>
      <c r="O40" s="46"/>
      <c r="P40" s="192"/>
      <c r="Q40" s="191"/>
      <c r="R40" s="46"/>
      <c r="S40" s="46"/>
      <c r="T40" s="46"/>
      <c r="U40" s="46"/>
      <c r="V40" s="59"/>
      <c r="W40" s="192"/>
      <c r="X40" s="191"/>
      <c r="Y40" s="46"/>
      <c r="Z40" s="46"/>
      <c r="AA40" s="535"/>
      <c r="AB40" s="62">
        <f t="shared" si="1"/>
        <v>1</v>
      </c>
      <c r="AC40" s="80">
        <v>600.0</v>
      </c>
      <c r="AD40" s="68">
        <f t="shared" si="2"/>
        <v>600</v>
      </c>
      <c r="AE40" s="17"/>
      <c r="AF40" s="132"/>
      <c r="AG40" s="132"/>
    </row>
    <row r="41">
      <c r="A41" s="33" t="s">
        <v>104</v>
      </c>
      <c r="B41" s="541"/>
      <c r="C41" s="508"/>
      <c r="D41" s="54"/>
      <c r="E41" s="46"/>
      <c r="F41" s="534"/>
      <c r="G41" s="54"/>
      <c r="H41" s="46"/>
      <c r="I41" s="192"/>
      <c r="J41" s="59"/>
      <c r="K41" s="46"/>
      <c r="L41" s="191"/>
      <c r="M41" s="48"/>
      <c r="N41" s="48"/>
      <c r="O41" s="46"/>
      <c r="P41" s="192"/>
      <c r="Q41" s="191"/>
      <c r="R41" s="46"/>
      <c r="S41" s="46"/>
      <c r="T41" s="46"/>
      <c r="U41" s="46"/>
      <c r="V41" s="46"/>
      <c r="W41" s="192"/>
      <c r="X41" s="191"/>
      <c r="Y41" s="46"/>
      <c r="Z41" s="46"/>
      <c r="AA41" s="535"/>
      <c r="AB41" s="62">
        <f t="shared" si="1"/>
        <v>0</v>
      </c>
      <c r="AC41" s="80">
        <v>200.0</v>
      </c>
      <c r="AD41" s="68">
        <f t="shared" si="2"/>
        <v>0</v>
      </c>
      <c r="AE41" s="17"/>
      <c r="AF41" s="132"/>
      <c r="AG41" s="132"/>
    </row>
    <row r="42">
      <c r="A42" s="33" t="s">
        <v>105</v>
      </c>
      <c r="B42" s="541"/>
      <c r="C42" s="508"/>
      <c r="D42" s="54"/>
      <c r="E42" s="46"/>
      <c r="F42" s="534"/>
      <c r="G42" s="54"/>
      <c r="H42" s="46"/>
      <c r="I42" s="192"/>
      <c r="J42" s="59"/>
      <c r="K42" s="46"/>
      <c r="L42" s="191"/>
      <c r="M42" s="48"/>
      <c r="N42" s="48"/>
      <c r="O42" s="46"/>
      <c r="P42" s="192"/>
      <c r="Q42" s="191"/>
      <c r="R42" s="46"/>
      <c r="S42" s="46"/>
      <c r="T42" s="46"/>
      <c r="U42" s="46"/>
      <c r="V42" s="46"/>
      <c r="W42" s="192"/>
      <c r="X42" s="191"/>
      <c r="Y42" s="46"/>
      <c r="Z42" s="46"/>
      <c r="AA42" s="535"/>
      <c r="AB42" s="62">
        <f t="shared" si="1"/>
        <v>0</v>
      </c>
      <c r="AC42" s="80">
        <v>500.0</v>
      </c>
      <c r="AD42" s="68">
        <f t="shared" si="2"/>
        <v>0</v>
      </c>
      <c r="AE42" s="17"/>
      <c r="AF42" s="155"/>
      <c r="AG42" s="155"/>
    </row>
    <row r="43">
      <c r="A43" s="156" t="s">
        <v>107</v>
      </c>
      <c r="B43" s="560"/>
      <c r="C43" s="549"/>
      <c r="D43" s="184"/>
      <c r="E43" s="181"/>
      <c r="F43" s="561"/>
      <c r="G43" s="184"/>
      <c r="H43" s="181"/>
      <c r="I43" s="229"/>
      <c r="J43" s="247"/>
      <c r="K43" s="181"/>
      <c r="L43" s="245"/>
      <c r="M43" s="182"/>
      <c r="N43" s="182"/>
      <c r="O43" s="181"/>
      <c r="P43" s="229"/>
      <c r="Q43" s="245"/>
      <c r="R43" s="181"/>
      <c r="S43" s="181"/>
      <c r="T43" s="181"/>
      <c r="U43" s="181"/>
      <c r="V43" s="181"/>
      <c r="W43" s="229"/>
      <c r="X43" s="245"/>
      <c r="Y43" s="181"/>
      <c r="Z43" s="181"/>
      <c r="AA43" s="562"/>
      <c r="AB43" s="62">
        <f t="shared" si="1"/>
        <v>0</v>
      </c>
      <c r="AC43" s="167">
        <v>1000.0</v>
      </c>
      <c r="AD43" s="168">
        <f t="shared" si="2"/>
        <v>0</v>
      </c>
      <c r="AE43" s="17"/>
      <c r="AF43" s="155"/>
      <c r="AG43" s="155"/>
    </row>
    <row r="44">
      <c r="A44" s="169" t="s">
        <v>45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9"/>
      <c r="AD44" s="174">
        <f>SUM(AD3:AD43)</f>
        <v>243976</v>
      </c>
      <c r="AE44" s="17"/>
      <c r="AF44" s="176"/>
      <c r="AG44" s="176"/>
    </row>
    <row r="45">
      <c r="A45" s="24" t="s">
        <v>324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97"/>
      <c r="AE45" s="17"/>
      <c r="AF45" s="178"/>
      <c r="AG45" s="178"/>
    </row>
    <row r="46">
      <c r="A46" s="554" t="s">
        <v>318</v>
      </c>
      <c r="B46" s="563">
        <v>2.0</v>
      </c>
      <c r="C46" s="555"/>
      <c r="D46" s="39"/>
      <c r="E46" s="39"/>
      <c r="F46" s="564"/>
      <c r="G46" s="39"/>
      <c r="H46" s="39"/>
      <c r="I46" s="45"/>
      <c r="J46" s="39"/>
      <c r="K46" s="39"/>
      <c r="L46" s="565"/>
      <c r="M46" s="565"/>
      <c r="N46" s="565"/>
      <c r="O46" s="39"/>
      <c r="P46" s="45"/>
      <c r="Q46" s="565"/>
      <c r="R46" s="39">
        <v>2.0</v>
      </c>
      <c r="S46" s="39"/>
      <c r="T46" s="39"/>
      <c r="U46" s="39"/>
      <c r="V46" s="39"/>
      <c r="W46" s="45"/>
      <c r="X46" s="565"/>
      <c r="Y46" s="39"/>
      <c r="Z46" s="39">
        <v>1.0</v>
      </c>
      <c r="AA46" s="566"/>
      <c r="AB46" s="558">
        <f t="shared" ref="AB46:AB47" si="3">SUM(B46:AA46)</f>
        <v>5</v>
      </c>
      <c r="AC46" s="65">
        <v>600.0</v>
      </c>
      <c r="AD46" s="65">
        <f t="shared" ref="AD46:AD47" si="4">AB46*AC46</f>
        <v>3000</v>
      </c>
      <c r="AE46" s="17"/>
      <c r="AF46" s="178"/>
      <c r="AG46" s="178"/>
    </row>
    <row r="47">
      <c r="A47" s="554" t="s">
        <v>320</v>
      </c>
      <c r="B47" s="563"/>
      <c r="C47" s="555"/>
      <c r="D47" s="39"/>
      <c r="E47" s="39"/>
      <c r="F47" s="564"/>
      <c r="G47" s="39"/>
      <c r="H47" s="39"/>
      <c r="I47" s="45"/>
      <c r="J47" s="39">
        <v>1.0</v>
      </c>
      <c r="K47" s="39"/>
      <c r="L47" s="565"/>
      <c r="M47" s="565"/>
      <c r="N47" s="565"/>
      <c r="O47" s="39">
        <v>2.0</v>
      </c>
      <c r="P47" s="45"/>
      <c r="Q47" s="565"/>
      <c r="R47" s="39"/>
      <c r="S47" s="39">
        <v>3.0</v>
      </c>
      <c r="T47" s="39"/>
      <c r="U47" s="39"/>
      <c r="V47" s="39">
        <v>1.0</v>
      </c>
      <c r="W47" s="45"/>
      <c r="X47" s="565"/>
      <c r="Y47" s="39"/>
      <c r="Z47" s="39"/>
      <c r="AA47" s="566"/>
      <c r="AB47" s="558">
        <f t="shared" si="3"/>
        <v>7</v>
      </c>
      <c r="AC47" s="65">
        <v>440.0</v>
      </c>
      <c r="AD47" s="559">
        <f t="shared" si="4"/>
        <v>3080</v>
      </c>
      <c r="AE47" s="17"/>
      <c r="AF47" s="178"/>
      <c r="AG47" s="178"/>
    </row>
    <row r="48">
      <c r="A48" s="169" t="s">
        <v>45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8"/>
      <c r="AB48" s="128"/>
      <c r="AC48" s="129"/>
      <c r="AD48" s="238">
        <f>SUM(AD46:AD47)</f>
        <v>6080</v>
      </c>
      <c r="AE48" s="17"/>
      <c r="AF48" s="178"/>
      <c r="AG48" s="178"/>
    </row>
    <row r="49">
      <c r="A49" s="24" t="s">
        <v>110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8"/>
      <c r="AE49" s="17"/>
      <c r="AF49" s="178" t="s">
        <v>325</v>
      </c>
      <c r="AG49" s="178"/>
    </row>
    <row r="50">
      <c r="A50" s="147" t="s">
        <v>92</v>
      </c>
      <c r="B50" s="489">
        <v>5.0</v>
      </c>
      <c r="C50" s="508"/>
      <c r="D50" s="59">
        <v>4.0</v>
      </c>
      <c r="E50" s="493">
        <v>4.0</v>
      </c>
      <c r="F50" s="527"/>
      <c r="G50" s="493">
        <v>5.0</v>
      </c>
      <c r="H50" s="493">
        <v>6.0</v>
      </c>
      <c r="I50" s="510"/>
      <c r="J50" s="493">
        <v>3.0</v>
      </c>
      <c r="K50" s="493">
        <v>6.0</v>
      </c>
      <c r="L50" s="529"/>
      <c r="M50" s="530"/>
      <c r="N50" s="529"/>
      <c r="O50" s="493">
        <v>5.0</v>
      </c>
      <c r="P50" s="492"/>
      <c r="Q50" s="529"/>
      <c r="R50" s="59">
        <v>5.0</v>
      </c>
      <c r="S50" s="59">
        <v>6.0</v>
      </c>
      <c r="T50" s="59">
        <v>5.0</v>
      </c>
      <c r="U50" s="59">
        <v>3.0</v>
      </c>
      <c r="V50" s="59">
        <v>3.0</v>
      </c>
      <c r="W50" s="515"/>
      <c r="X50" s="530"/>
      <c r="Y50" s="59">
        <v>11.0</v>
      </c>
      <c r="Z50" s="59">
        <v>8.0</v>
      </c>
      <c r="AA50" s="531">
        <v>2.0</v>
      </c>
      <c r="AB50" s="62">
        <f t="shared" ref="AB50:AB61" si="5">SUM(B50:AA50)</f>
        <v>81</v>
      </c>
      <c r="AC50" s="80">
        <v>100.0</v>
      </c>
      <c r="AD50" s="68">
        <f t="shared" ref="AD50:AD61" si="6">AB50*AC50</f>
        <v>8100</v>
      </c>
      <c r="AE50" s="17"/>
      <c r="AF50" s="155"/>
      <c r="AG50" s="155"/>
    </row>
    <row r="51">
      <c r="A51" s="147" t="s">
        <v>98</v>
      </c>
      <c r="B51" s="489"/>
      <c r="C51" s="516"/>
      <c r="D51" s="59">
        <v>1.0</v>
      </c>
      <c r="E51" s="46"/>
      <c r="F51" s="527"/>
      <c r="G51" s="59">
        <v>3.0</v>
      </c>
      <c r="H51" s="493">
        <v>2.0</v>
      </c>
      <c r="I51" s="492"/>
      <c r="J51" s="59">
        <v>2.0</v>
      </c>
      <c r="K51" s="493"/>
      <c r="L51" s="529"/>
      <c r="M51" s="530"/>
      <c r="N51" s="529"/>
      <c r="O51" s="493">
        <v>4.0</v>
      </c>
      <c r="P51" s="510"/>
      <c r="Q51" s="529"/>
      <c r="R51" s="59"/>
      <c r="S51" s="59">
        <v>2.0</v>
      </c>
      <c r="T51" s="59">
        <v>2.0</v>
      </c>
      <c r="U51" s="59"/>
      <c r="V51" s="59"/>
      <c r="W51" s="515"/>
      <c r="X51" s="530"/>
      <c r="Y51" s="59"/>
      <c r="Z51" s="46"/>
      <c r="AA51" s="531"/>
      <c r="AB51" s="62">
        <f t="shared" si="5"/>
        <v>16</v>
      </c>
      <c r="AC51" s="80">
        <v>1000.0</v>
      </c>
      <c r="AD51" s="68">
        <f t="shared" si="6"/>
        <v>16000</v>
      </c>
      <c r="AE51" s="17"/>
      <c r="AF51" s="155"/>
      <c r="AG51" s="155"/>
    </row>
    <row r="52">
      <c r="A52" s="197" t="s">
        <v>120</v>
      </c>
      <c r="B52" s="489"/>
      <c r="C52" s="508"/>
      <c r="D52" s="59">
        <v>2.0</v>
      </c>
      <c r="E52" s="54"/>
      <c r="F52" s="527"/>
      <c r="G52" s="493">
        <v>4.0</v>
      </c>
      <c r="H52" s="59">
        <v>2.0</v>
      </c>
      <c r="I52" s="510"/>
      <c r="J52" s="493">
        <v>1.0</v>
      </c>
      <c r="K52" s="493">
        <v>6.0</v>
      </c>
      <c r="L52" s="529"/>
      <c r="M52" s="530"/>
      <c r="N52" s="530"/>
      <c r="O52" s="493">
        <v>7.0</v>
      </c>
      <c r="P52" s="515"/>
      <c r="Q52" s="538"/>
      <c r="R52" s="59">
        <v>10.0</v>
      </c>
      <c r="S52" s="59">
        <v>9.0</v>
      </c>
      <c r="T52" s="59">
        <v>1.0</v>
      </c>
      <c r="U52" s="59">
        <v>14.0</v>
      </c>
      <c r="V52" s="59">
        <v>5.0</v>
      </c>
      <c r="W52" s="192"/>
      <c r="X52" s="530"/>
      <c r="Y52" s="59">
        <v>106.0</v>
      </c>
      <c r="Z52" s="59">
        <v>4.0</v>
      </c>
      <c r="AA52" s="535"/>
      <c r="AB52" s="62">
        <f t="shared" si="5"/>
        <v>171</v>
      </c>
      <c r="AC52" s="80">
        <v>120.0</v>
      </c>
      <c r="AD52" s="68">
        <f t="shared" si="6"/>
        <v>20520</v>
      </c>
      <c r="AE52" s="17"/>
      <c r="AF52" s="155"/>
      <c r="AG52" s="155"/>
    </row>
    <row r="53">
      <c r="A53" s="197" t="s">
        <v>122</v>
      </c>
      <c r="B53" s="495"/>
      <c r="C53" s="516"/>
      <c r="D53" s="46"/>
      <c r="E53" s="54"/>
      <c r="F53" s="527"/>
      <c r="G53" s="59"/>
      <c r="H53" s="46"/>
      <c r="I53" s="492"/>
      <c r="J53" s="59"/>
      <c r="K53" s="46"/>
      <c r="L53" s="538"/>
      <c r="M53" s="191"/>
      <c r="N53" s="48"/>
      <c r="O53" s="54"/>
      <c r="P53" s="192"/>
      <c r="Q53" s="538"/>
      <c r="R53" s="59"/>
      <c r="S53" s="46"/>
      <c r="T53" s="46"/>
      <c r="U53" s="46"/>
      <c r="V53" s="46"/>
      <c r="W53" s="192"/>
      <c r="X53" s="530"/>
      <c r="Y53" s="46"/>
      <c r="Z53" s="46"/>
      <c r="AA53" s="535"/>
      <c r="AB53" s="62">
        <f t="shared" si="5"/>
        <v>0</v>
      </c>
      <c r="AC53" s="80">
        <v>150.0</v>
      </c>
      <c r="AD53" s="68">
        <f t="shared" si="6"/>
        <v>0</v>
      </c>
      <c r="AE53" s="17"/>
      <c r="AF53" s="155"/>
      <c r="AG53" s="155"/>
    </row>
    <row r="54">
      <c r="A54" s="189" t="s">
        <v>106</v>
      </c>
      <c r="B54" s="489">
        <v>1.0</v>
      </c>
      <c r="C54" s="516"/>
      <c r="D54" s="59">
        <v>2.0</v>
      </c>
      <c r="E54" s="493">
        <v>10.0</v>
      </c>
      <c r="F54" s="527"/>
      <c r="G54" s="493">
        <v>6.0</v>
      </c>
      <c r="H54" s="493">
        <v>6.0</v>
      </c>
      <c r="I54" s="510"/>
      <c r="J54" s="493"/>
      <c r="K54" s="493">
        <v>2.0</v>
      </c>
      <c r="L54" s="529"/>
      <c r="M54" s="530"/>
      <c r="N54" s="529"/>
      <c r="O54" s="493">
        <v>6.0</v>
      </c>
      <c r="P54" s="510"/>
      <c r="Q54" s="529"/>
      <c r="R54" s="59">
        <v>4.0</v>
      </c>
      <c r="S54" s="59">
        <v>19.0</v>
      </c>
      <c r="T54" s="59">
        <v>5.0</v>
      </c>
      <c r="U54" s="59">
        <v>9.0</v>
      </c>
      <c r="V54" s="59"/>
      <c r="W54" s="515"/>
      <c r="X54" s="530"/>
      <c r="Y54" s="59">
        <v>3.0</v>
      </c>
      <c r="Z54" s="59">
        <v>14.0</v>
      </c>
      <c r="AA54" s="535"/>
      <c r="AB54" s="62">
        <f t="shared" si="5"/>
        <v>87</v>
      </c>
      <c r="AC54" s="80">
        <v>280.0</v>
      </c>
      <c r="AD54" s="68">
        <f t="shared" si="6"/>
        <v>24360</v>
      </c>
      <c r="AE54" s="17"/>
      <c r="AF54" s="155"/>
      <c r="AG54" s="155"/>
    </row>
    <row r="55">
      <c r="A55" s="147" t="s">
        <v>108</v>
      </c>
      <c r="B55" s="489">
        <v>1.0</v>
      </c>
      <c r="C55" s="508"/>
      <c r="D55" s="54"/>
      <c r="E55" s="59">
        <v>2.0</v>
      </c>
      <c r="F55" s="527"/>
      <c r="G55" s="59">
        <v>1.0</v>
      </c>
      <c r="H55" s="59"/>
      <c r="I55" s="510"/>
      <c r="J55" s="493">
        <v>1.0</v>
      </c>
      <c r="K55" s="493">
        <v>3.0</v>
      </c>
      <c r="L55" s="530"/>
      <c r="M55" s="191"/>
      <c r="N55" s="530"/>
      <c r="O55" s="49"/>
      <c r="P55" s="492"/>
      <c r="Q55" s="530"/>
      <c r="R55" s="59"/>
      <c r="S55" s="46"/>
      <c r="T55" s="59">
        <v>4.0</v>
      </c>
      <c r="U55" s="59">
        <v>1.0</v>
      </c>
      <c r="V55" s="59">
        <v>1.0</v>
      </c>
      <c r="W55" s="515"/>
      <c r="X55" s="530"/>
      <c r="Y55" s="59"/>
      <c r="Z55" s="46"/>
      <c r="AA55" s="535"/>
      <c r="AB55" s="62">
        <f t="shared" si="5"/>
        <v>14</v>
      </c>
      <c r="AC55" s="80">
        <v>900.0</v>
      </c>
      <c r="AD55" s="68">
        <f t="shared" si="6"/>
        <v>12600</v>
      </c>
      <c r="AE55" s="17"/>
      <c r="AF55" s="155"/>
      <c r="AG55" s="155"/>
    </row>
    <row r="56">
      <c r="A56" s="578" t="s">
        <v>329</v>
      </c>
      <c r="B56" s="489">
        <v>7.0</v>
      </c>
      <c r="C56" s="516"/>
      <c r="D56" s="59">
        <v>5.0</v>
      </c>
      <c r="E56" s="493">
        <v>25.0</v>
      </c>
      <c r="F56" s="527"/>
      <c r="G56" s="493">
        <v>5.0</v>
      </c>
      <c r="H56" s="493">
        <v>8.0</v>
      </c>
      <c r="I56" s="510"/>
      <c r="J56" s="493">
        <v>8.0</v>
      </c>
      <c r="K56" s="493">
        <v>3.0</v>
      </c>
      <c r="L56" s="529"/>
      <c r="M56" s="530"/>
      <c r="N56" s="529"/>
      <c r="O56" s="493">
        <v>10.0</v>
      </c>
      <c r="P56" s="510"/>
      <c r="Q56" s="529"/>
      <c r="R56" s="59">
        <v>2.0</v>
      </c>
      <c r="S56" s="59">
        <v>4.0</v>
      </c>
      <c r="T56" s="59">
        <v>5.0</v>
      </c>
      <c r="U56" s="59">
        <v>11.0</v>
      </c>
      <c r="V56" s="59">
        <v>4.0</v>
      </c>
      <c r="W56" s="515"/>
      <c r="X56" s="530"/>
      <c r="Y56" s="59">
        <v>14.0</v>
      </c>
      <c r="Z56" s="59">
        <v>13.0</v>
      </c>
      <c r="AA56" s="531">
        <v>21.0</v>
      </c>
      <c r="AB56" s="62">
        <f t="shared" si="5"/>
        <v>145</v>
      </c>
      <c r="AC56" s="80">
        <v>330.0</v>
      </c>
      <c r="AD56" s="68">
        <f t="shared" si="6"/>
        <v>47850</v>
      </c>
      <c r="AE56" s="17"/>
      <c r="AF56" s="155"/>
      <c r="AG56" s="155"/>
    </row>
    <row r="57">
      <c r="A57" s="198" t="s">
        <v>111</v>
      </c>
      <c r="B57" s="533"/>
      <c r="C57" s="516"/>
      <c r="D57" s="59">
        <v>1.0</v>
      </c>
      <c r="E57" s="59">
        <v>1.0</v>
      </c>
      <c r="F57" s="527"/>
      <c r="G57" s="493">
        <v>2.0</v>
      </c>
      <c r="H57" s="493">
        <v>1.0</v>
      </c>
      <c r="I57" s="492"/>
      <c r="J57" s="493"/>
      <c r="K57" s="493"/>
      <c r="L57" s="530"/>
      <c r="M57" s="530"/>
      <c r="N57" s="529"/>
      <c r="O57" s="54"/>
      <c r="P57" s="192"/>
      <c r="Q57" s="530"/>
      <c r="R57" s="59">
        <v>1.0</v>
      </c>
      <c r="S57" s="59"/>
      <c r="T57" s="46"/>
      <c r="U57" s="59"/>
      <c r="V57" s="59">
        <v>1.0</v>
      </c>
      <c r="W57" s="192"/>
      <c r="X57" s="191"/>
      <c r="Y57" s="59">
        <v>1.0</v>
      </c>
      <c r="Z57" s="46"/>
      <c r="AA57" s="535"/>
      <c r="AB57" s="62">
        <f t="shared" si="5"/>
        <v>8</v>
      </c>
      <c r="AC57" s="80">
        <v>360.0</v>
      </c>
      <c r="AD57" s="68">
        <f t="shared" si="6"/>
        <v>2880</v>
      </c>
      <c r="AE57" s="17"/>
      <c r="AF57" s="155"/>
      <c r="AG57" s="155"/>
    </row>
    <row r="58">
      <c r="A58" s="198" t="s">
        <v>113</v>
      </c>
      <c r="B58" s="541"/>
      <c r="C58" s="516"/>
      <c r="D58" s="54"/>
      <c r="E58" s="54"/>
      <c r="F58" s="534"/>
      <c r="G58" s="59">
        <v>2.0</v>
      </c>
      <c r="H58" s="49"/>
      <c r="I58" s="192"/>
      <c r="J58" s="54"/>
      <c r="K58" s="49"/>
      <c r="L58" s="48"/>
      <c r="M58" s="191"/>
      <c r="N58" s="538"/>
      <c r="O58" s="493">
        <v>1.0</v>
      </c>
      <c r="P58" s="51"/>
      <c r="Q58" s="48"/>
      <c r="R58" s="54"/>
      <c r="S58" s="46"/>
      <c r="T58" s="46"/>
      <c r="U58" s="46"/>
      <c r="V58" s="46"/>
      <c r="W58" s="192"/>
      <c r="X58" s="191"/>
      <c r="Y58" s="46"/>
      <c r="Z58" s="46"/>
      <c r="AA58" s="535"/>
      <c r="AB58" s="62">
        <f t="shared" si="5"/>
        <v>3</v>
      </c>
      <c r="AC58" s="80">
        <v>380.0</v>
      </c>
      <c r="AD58" s="68">
        <f t="shared" si="6"/>
        <v>1140</v>
      </c>
      <c r="AE58" s="17"/>
      <c r="AF58" s="155"/>
      <c r="AG58" s="155"/>
    </row>
    <row r="59">
      <c r="A59" s="189" t="s">
        <v>114</v>
      </c>
      <c r="B59" s="533">
        <v>3.0</v>
      </c>
      <c r="C59" s="508"/>
      <c r="D59" s="59">
        <v>3.0</v>
      </c>
      <c r="E59" s="59">
        <v>1.0</v>
      </c>
      <c r="F59" s="527"/>
      <c r="G59" s="493"/>
      <c r="H59" s="59"/>
      <c r="I59" s="510"/>
      <c r="J59" s="493">
        <v>1.0</v>
      </c>
      <c r="K59" s="493">
        <v>1.0</v>
      </c>
      <c r="L59" s="530"/>
      <c r="M59" s="530"/>
      <c r="N59" s="529"/>
      <c r="O59" s="493"/>
      <c r="P59" s="510"/>
      <c r="Q59" s="529"/>
      <c r="R59" s="59">
        <v>1.0</v>
      </c>
      <c r="S59" s="59">
        <v>1.0</v>
      </c>
      <c r="T59" s="59"/>
      <c r="U59" s="59">
        <v>5.0</v>
      </c>
      <c r="V59" s="59"/>
      <c r="W59" s="515"/>
      <c r="X59" s="530"/>
      <c r="Y59" s="59">
        <v>1.0</v>
      </c>
      <c r="Z59" s="59">
        <v>10.0</v>
      </c>
      <c r="AA59" s="531">
        <v>1.0</v>
      </c>
      <c r="AB59" s="62">
        <f t="shared" si="5"/>
        <v>28</v>
      </c>
      <c r="AC59" s="80">
        <v>280.0</v>
      </c>
      <c r="AD59" s="68">
        <f t="shared" si="6"/>
        <v>7840</v>
      </c>
      <c r="AE59" s="17"/>
      <c r="AF59" s="155"/>
      <c r="AG59" s="155"/>
    </row>
    <row r="60">
      <c r="A60" s="189" t="s">
        <v>115</v>
      </c>
      <c r="B60" s="580"/>
      <c r="C60" s="491"/>
      <c r="D60" s="54"/>
      <c r="E60" s="54"/>
      <c r="F60" s="534"/>
      <c r="G60" s="54"/>
      <c r="H60" s="46"/>
      <c r="I60" s="51"/>
      <c r="J60" s="54"/>
      <c r="K60" s="54"/>
      <c r="L60" s="48"/>
      <c r="M60" s="48"/>
      <c r="N60" s="191"/>
      <c r="O60" s="54"/>
      <c r="P60" s="51"/>
      <c r="Q60" s="191"/>
      <c r="R60" s="54"/>
      <c r="S60" s="54"/>
      <c r="T60" s="54"/>
      <c r="U60" s="59">
        <v>1.0</v>
      </c>
      <c r="V60" s="54"/>
      <c r="W60" s="51"/>
      <c r="X60" s="48"/>
      <c r="Y60" s="59"/>
      <c r="Z60" s="54"/>
      <c r="AA60" s="584"/>
      <c r="AB60" s="62">
        <f t="shared" si="5"/>
        <v>1</v>
      </c>
      <c r="AC60" s="80">
        <v>330.0</v>
      </c>
      <c r="AD60" s="68">
        <f t="shared" si="6"/>
        <v>330</v>
      </c>
      <c r="AE60" s="17"/>
      <c r="AF60" s="155"/>
      <c r="AG60" s="155"/>
    </row>
    <row r="61">
      <c r="A61" s="205" t="s">
        <v>119</v>
      </c>
      <c r="B61" s="585"/>
      <c r="C61" s="543"/>
      <c r="D61" s="184"/>
      <c r="E61" s="184"/>
      <c r="F61" s="561"/>
      <c r="G61" s="184"/>
      <c r="H61" s="184"/>
      <c r="I61" s="183"/>
      <c r="J61" s="184"/>
      <c r="K61" s="184"/>
      <c r="L61" s="182"/>
      <c r="M61" s="182"/>
      <c r="N61" s="182"/>
      <c r="O61" s="184"/>
      <c r="P61" s="183"/>
      <c r="Q61" s="182"/>
      <c r="R61" s="184"/>
      <c r="S61" s="184"/>
      <c r="T61" s="184"/>
      <c r="U61" s="184"/>
      <c r="V61" s="184"/>
      <c r="W61" s="183"/>
      <c r="X61" s="182"/>
      <c r="Y61" s="184"/>
      <c r="Z61" s="184"/>
      <c r="AA61" s="586"/>
      <c r="AB61" s="62">
        <f t="shared" si="5"/>
        <v>0</v>
      </c>
      <c r="AC61" s="167">
        <v>1250.0</v>
      </c>
      <c r="AD61" s="168">
        <f t="shared" si="6"/>
        <v>0</v>
      </c>
      <c r="AE61" s="17"/>
      <c r="AF61" s="155"/>
      <c r="AG61" s="155"/>
    </row>
    <row r="62">
      <c r="A62" s="169" t="s">
        <v>45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  <c r="AB62" s="128"/>
      <c r="AC62" s="129"/>
      <c r="AD62" s="174">
        <f>SUM(AD50:AD61)</f>
        <v>141620</v>
      </c>
      <c r="AE62" s="17"/>
      <c r="AF62" s="176"/>
      <c r="AG62" s="176"/>
    </row>
    <row r="63">
      <c r="A63" s="24" t="s">
        <v>127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8"/>
      <c r="AE63" s="17"/>
      <c r="AF63" s="178" t="s">
        <v>335</v>
      </c>
      <c r="AG63" s="178"/>
    </row>
    <row r="64">
      <c r="A64" s="206" t="s">
        <v>128</v>
      </c>
      <c r="B64" s="495"/>
      <c r="C64" s="516"/>
      <c r="D64" s="46"/>
      <c r="E64" s="54"/>
      <c r="F64" s="534"/>
      <c r="G64" s="54"/>
      <c r="H64" s="493">
        <v>1.0</v>
      </c>
      <c r="I64" s="510"/>
      <c r="J64" s="493">
        <v>4.0</v>
      </c>
      <c r="K64" s="493"/>
      <c r="L64" s="529"/>
      <c r="M64" s="530"/>
      <c r="N64" s="530"/>
      <c r="O64" s="59">
        <v>1.0</v>
      </c>
      <c r="P64" s="51"/>
      <c r="Q64" s="538"/>
      <c r="R64" s="59">
        <v>1.0</v>
      </c>
      <c r="S64" s="46"/>
      <c r="T64" s="59">
        <v>1.0</v>
      </c>
      <c r="U64" s="59">
        <v>1.0</v>
      </c>
      <c r="V64" s="59"/>
      <c r="W64" s="192"/>
      <c r="X64" s="530"/>
      <c r="Y64" s="59">
        <v>5.0</v>
      </c>
      <c r="Z64" s="46"/>
      <c r="AA64" s="535"/>
      <c r="AB64" s="62">
        <f t="shared" ref="AB64:AB67" si="7">SUM(B64:AA64)</f>
        <v>14</v>
      </c>
      <c r="AC64" s="80">
        <v>550.0</v>
      </c>
      <c r="AD64" s="68">
        <f t="shared" ref="AD64:AD67" si="8">AB64*AC64</f>
        <v>7700</v>
      </c>
      <c r="AE64" s="17"/>
      <c r="AF64" s="155"/>
      <c r="AG64" s="155"/>
    </row>
    <row r="65">
      <c r="A65" s="189" t="s">
        <v>131</v>
      </c>
      <c r="B65" s="489">
        <v>1.0</v>
      </c>
      <c r="C65" s="508"/>
      <c r="D65" s="46"/>
      <c r="E65" s="49"/>
      <c r="F65" s="534"/>
      <c r="G65" s="49"/>
      <c r="H65" s="54"/>
      <c r="I65" s="192"/>
      <c r="J65" s="46"/>
      <c r="K65" s="493"/>
      <c r="L65" s="48"/>
      <c r="M65" s="530"/>
      <c r="N65" s="48"/>
      <c r="O65" s="59">
        <v>1.0</v>
      </c>
      <c r="P65" s="51"/>
      <c r="Q65" s="530"/>
      <c r="R65" s="46"/>
      <c r="S65" s="46"/>
      <c r="T65" s="59">
        <v>1.0</v>
      </c>
      <c r="U65" s="46"/>
      <c r="V65" s="46"/>
      <c r="W65" s="192"/>
      <c r="X65" s="191"/>
      <c r="Y65" s="46"/>
      <c r="Z65" s="46"/>
      <c r="AA65" s="535"/>
      <c r="AB65" s="62">
        <f t="shared" si="7"/>
        <v>3</v>
      </c>
      <c r="AC65" s="80">
        <v>350.0</v>
      </c>
      <c r="AD65" s="68">
        <f t="shared" si="8"/>
        <v>1050</v>
      </c>
      <c r="AE65" s="17"/>
      <c r="AF65" s="155"/>
      <c r="AG65" s="155"/>
    </row>
    <row r="66">
      <c r="A66" s="197" t="s">
        <v>331</v>
      </c>
      <c r="B66" s="533"/>
      <c r="C66" s="516"/>
      <c r="D66" s="59">
        <v>1.0</v>
      </c>
      <c r="E66" s="49"/>
      <c r="F66" s="527"/>
      <c r="G66" s="54"/>
      <c r="H66" s="59"/>
      <c r="I66" s="492"/>
      <c r="J66" s="54"/>
      <c r="K66" s="59"/>
      <c r="L66" s="530"/>
      <c r="M66" s="530"/>
      <c r="N66" s="530"/>
      <c r="O66" s="59">
        <v>1.0</v>
      </c>
      <c r="P66" s="192"/>
      <c r="Q66" s="191"/>
      <c r="R66" s="46"/>
      <c r="S66" s="46"/>
      <c r="T66" s="59">
        <v>1.0</v>
      </c>
      <c r="U66" s="59"/>
      <c r="V66" s="59">
        <v>1.0</v>
      </c>
      <c r="W66" s="515"/>
      <c r="X66" s="191"/>
      <c r="Y66" s="46"/>
      <c r="Z66" s="59">
        <v>2.0</v>
      </c>
      <c r="AA66" s="535"/>
      <c r="AB66" s="62">
        <f t="shared" si="7"/>
        <v>6</v>
      </c>
      <c r="AC66" s="80">
        <v>350.0</v>
      </c>
      <c r="AD66" s="68">
        <f t="shared" si="8"/>
        <v>2100</v>
      </c>
      <c r="AE66" s="17"/>
      <c r="AF66" s="155"/>
      <c r="AG66" s="155"/>
    </row>
    <row r="67">
      <c r="A67" s="207" t="s">
        <v>134</v>
      </c>
      <c r="B67" s="587">
        <v>2.0</v>
      </c>
      <c r="C67" s="543"/>
      <c r="D67" s="247">
        <v>1.0</v>
      </c>
      <c r="E67" s="184"/>
      <c r="F67" s="561"/>
      <c r="G67" s="247">
        <v>1.0</v>
      </c>
      <c r="H67" s="184"/>
      <c r="I67" s="579"/>
      <c r="J67" s="247"/>
      <c r="K67" s="247"/>
      <c r="L67" s="588"/>
      <c r="M67" s="588"/>
      <c r="N67" s="588"/>
      <c r="O67" s="247">
        <v>1.0</v>
      </c>
      <c r="P67" s="183"/>
      <c r="Q67" s="588"/>
      <c r="R67" s="247">
        <v>1.0</v>
      </c>
      <c r="S67" s="247">
        <v>1.0</v>
      </c>
      <c r="T67" s="184"/>
      <c r="U67" s="247"/>
      <c r="V67" s="247"/>
      <c r="W67" s="579"/>
      <c r="X67" s="588"/>
      <c r="Y67" s="184"/>
      <c r="Z67" s="247">
        <v>1.0</v>
      </c>
      <c r="AA67" s="586"/>
      <c r="AB67" s="62">
        <f t="shared" si="7"/>
        <v>8</v>
      </c>
      <c r="AC67" s="167">
        <v>350.0</v>
      </c>
      <c r="AD67" s="168">
        <f t="shared" si="8"/>
        <v>2800</v>
      </c>
      <c r="AE67" s="17"/>
      <c r="AF67" s="155"/>
      <c r="AG67" s="155"/>
    </row>
    <row r="68">
      <c r="A68" s="169" t="s">
        <v>45</v>
      </c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8"/>
      <c r="AB68" s="128"/>
      <c r="AC68" s="129"/>
      <c r="AD68" s="174">
        <f>SUM(AD64:AD67)</f>
        <v>13650</v>
      </c>
      <c r="AE68" s="17"/>
      <c r="AF68" s="176"/>
      <c r="AG68" s="176"/>
    </row>
    <row r="69">
      <c r="A69" s="24" t="s">
        <v>337</v>
      </c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8"/>
      <c r="AE69" s="17"/>
      <c r="AF69" s="178" t="s">
        <v>338</v>
      </c>
      <c r="AG69" s="178"/>
    </row>
    <row r="70">
      <c r="A70" s="216" t="s">
        <v>138</v>
      </c>
      <c r="B70" s="580"/>
      <c r="C70" s="508"/>
      <c r="D70" s="54"/>
      <c r="E70" s="54"/>
      <c r="F70" s="534"/>
      <c r="G70" s="54"/>
      <c r="H70" s="54"/>
      <c r="I70" s="51"/>
      <c r="J70" s="46"/>
      <c r="K70" s="46"/>
      <c r="L70" s="48"/>
      <c r="M70" s="48"/>
      <c r="N70" s="48"/>
      <c r="O70" s="54"/>
      <c r="P70" s="51"/>
      <c r="Q70" s="191"/>
      <c r="R70" s="54"/>
      <c r="S70" s="54"/>
      <c r="T70" s="54"/>
      <c r="U70" s="54"/>
      <c r="V70" s="54"/>
      <c r="W70" s="51"/>
      <c r="X70" s="48"/>
      <c r="Y70" s="54"/>
      <c r="Z70" s="54"/>
      <c r="AA70" s="584"/>
      <c r="AB70" s="62">
        <f t="shared" ref="AB70:AB72" si="9">SUM(B70:AA70)</f>
        <v>0</v>
      </c>
      <c r="AC70" s="80">
        <v>220.0</v>
      </c>
      <c r="AD70" s="80">
        <f t="shared" ref="AD70:AD72" si="10">AB70*AC70</f>
        <v>0</v>
      </c>
      <c r="AE70" s="17"/>
      <c r="AF70" s="155"/>
      <c r="AG70" s="155"/>
    </row>
    <row r="71">
      <c r="A71" s="216" t="s">
        <v>143</v>
      </c>
      <c r="B71" s="489"/>
      <c r="C71" s="508"/>
      <c r="D71" s="54"/>
      <c r="E71" s="54"/>
      <c r="F71" s="527"/>
      <c r="G71" s="54"/>
      <c r="H71" s="59"/>
      <c r="I71" s="51"/>
      <c r="J71" s="46"/>
      <c r="K71" s="59"/>
      <c r="L71" s="48"/>
      <c r="M71" s="191"/>
      <c r="N71" s="191"/>
      <c r="O71" s="54"/>
      <c r="P71" s="192"/>
      <c r="Q71" s="191"/>
      <c r="R71" s="54"/>
      <c r="S71" s="59"/>
      <c r="T71" s="59"/>
      <c r="U71" s="46"/>
      <c r="V71" s="46"/>
      <c r="W71" s="192"/>
      <c r="X71" s="191"/>
      <c r="Y71" s="46"/>
      <c r="Z71" s="46"/>
      <c r="AA71" s="535"/>
      <c r="AB71" s="62">
        <f t="shared" si="9"/>
        <v>0</v>
      </c>
      <c r="AC71" s="80">
        <v>380.0</v>
      </c>
      <c r="AD71" s="80">
        <f t="shared" si="10"/>
        <v>0</v>
      </c>
      <c r="AE71" s="17"/>
      <c r="AF71" s="155"/>
      <c r="AG71" s="155"/>
    </row>
    <row r="72">
      <c r="A72" s="225" t="s">
        <v>333</v>
      </c>
      <c r="B72" s="553"/>
      <c r="C72" s="549"/>
      <c r="D72" s="247">
        <v>1.0</v>
      </c>
      <c r="E72" s="247">
        <v>2.0</v>
      </c>
      <c r="F72" s="590"/>
      <c r="G72" s="247"/>
      <c r="H72" s="247"/>
      <c r="I72" s="183"/>
      <c r="J72" s="181"/>
      <c r="K72" s="247"/>
      <c r="L72" s="588"/>
      <c r="M72" s="245"/>
      <c r="N72" s="245"/>
      <c r="O72" s="184"/>
      <c r="P72" s="579"/>
      <c r="Q72" s="588"/>
      <c r="R72" s="247"/>
      <c r="S72" s="247"/>
      <c r="T72" s="247"/>
      <c r="U72" s="247">
        <v>1.0</v>
      </c>
      <c r="V72" s="247">
        <v>1.0</v>
      </c>
      <c r="W72" s="579"/>
      <c r="X72" s="245"/>
      <c r="Y72" s="247">
        <v>1.0</v>
      </c>
      <c r="Z72" s="247">
        <v>1.0</v>
      </c>
      <c r="AA72" s="562"/>
      <c r="AB72" s="62">
        <f t="shared" si="9"/>
        <v>7</v>
      </c>
      <c r="AC72" s="167">
        <v>600.0</v>
      </c>
      <c r="AD72" s="167">
        <f t="shared" si="10"/>
        <v>4200</v>
      </c>
      <c r="AE72" s="17"/>
      <c r="AF72" s="155"/>
      <c r="AG72" s="155"/>
    </row>
    <row r="73">
      <c r="A73" s="169" t="s">
        <v>45</v>
      </c>
      <c r="B73" s="128"/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  <c r="AB73" s="128"/>
      <c r="AC73" s="129"/>
      <c r="AD73" s="174">
        <f>SUM(AD70:AD72)</f>
        <v>4200</v>
      </c>
      <c r="AE73" s="17"/>
      <c r="AF73" s="176"/>
      <c r="AG73" s="176"/>
    </row>
    <row r="74">
      <c r="A74" s="24" t="s">
        <v>146</v>
      </c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8"/>
      <c r="AE74" s="17"/>
      <c r="AF74" s="178" t="s">
        <v>339</v>
      </c>
      <c r="AG74" s="178"/>
    </row>
    <row r="75">
      <c r="A75" s="223" t="s">
        <v>52</v>
      </c>
      <c r="B75" s="533">
        <v>1.0</v>
      </c>
      <c r="C75" s="508"/>
      <c r="D75" s="46"/>
      <c r="E75" s="46"/>
      <c r="F75" s="527"/>
      <c r="G75" s="59">
        <v>2.0</v>
      </c>
      <c r="H75" s="46"/>
      <c r="I75" s="510"/>
      <c r="J75" s="54"/>
      <c r="K75" s="59"/>
      <c r="L75" s="530"/>
      <c r="M75" s="191"/>
      <c r="N75" s="530"/>
      <c r="O75" s="59"/>
      <c r="P75" s="192"/>
      <c r="Q75" s="191"/>
      <c r="R75" s="46"/>
      <c r="S75" s="59">
        <v>3.0</v>
      </c>
      <c r="T75" s="46"/>
      <c r="U75" s="46"/>
      <c r="V75" s="59"/>
      <c r="W75" s="192"/>
      <c r="X75" s="191"/>
      <c r="Y75" s="46"/>
      <c r="Z75" s="59">
        <v>1.0</v>
      </c>
      <c r="AA75" s="535"/>
      <c r="AB75" s="62">
        <f t="shared" ref="AB75:AB91" si="11">SUM(B75:AA75)</f>
        <v>7</v>
      </c>
      <c r="AC75" s="80">
        <v>1200.0</v>
      </c>
      <c r="AD75" s="68">
        <f t="shared" ref="AD75:AD91" si="12">AB75*AC75</f>
        <v>8400</v>
      </c>
      <c r="AE75" s="17"/>
      <c r="AF75" s="155"/>
      <c r="AG75" s="155"/>
    </row>
    <row r="76">
      <c r="A76" s="33" t="s">
        <v>151</v>
      </c>
      <c r="B76" s="489">
        <v>1.0</v>
      </c>
      <c r="C76" s="516"/>
      <c r="D76" s="46"/>
      <c r="E76" s="54"/>
      <c r="F76" s="527"/>
      <c r="G76" s="59">
        <v>2.0</v>
      </c>
      <c r="H76" s="46"/>
      <c r="I76" s="515"/>
      <c r="J76" s="46"/>
      <c r="K76" s="59"/>
      <c r="L76" s="530"/>
      <c r="M76" s="530"/>
      <c r="N76" s="530"/>
      <c r="O76" s="54"/>
      <c r="P76" s="192"/>
      <c r="Q76" s="530"/>
      <c r="R76" s="46"/>
      <c r="S76" s="59"/>
      <c r="T76" s="46"/>
      <c r="U76" s="46"/>
      <c r="V76" s="59"/>
      <c r="W76" s="515"/>
      <c r="X76" s="191"/>
      <c r="Y76" s="59"/>
      <c r="Z76" s="46"/>
      <c r="AA76" s="531">
        <v>5.0</v>
      </c>
      <c r="AB76" s="62">
        <f t="shared" si="11"/>
        <v>8</v>
      </c>
      <c r="AC76" s="80">
        <v>1500.0</v>
      </c>
      <c r="AD76" s="68">
        <f t="shared" si="12"/>
        <v>12000</v>
      </c>
      <c r="AE76" s="17"/>
      <c r="AF76" s="155"/>
      <c r="AG76" s="155"/>
    </row>
    <row r="77">
      <c r="A77" s="226" t="s">
        <v>56</v>
      </c>
      <c r="B77" s="533"/>
      <c r="C77" s="491"/>
      <c r="D77" s="46"/>
      <c r="E77" s="54"/>
      <c r="F77" s="534"/>
      <c r="G77" s="54"/>
      <c r="H77" s="54"/>
      <c r="I77" s="515"/>
      <c r="J77" s="54"/>
      <c r="K77" s="46"/>
      <c r="L77" s="48"/>
      <c r="M77" s="48"/>
      <c r="N77" s="48"/>
      <c r="O77" s="49"/>
      <c r="P77" s="51"/>
      <c r="Q77" s="48"/>
      <c r="R77" s="59"/>
      <c r="S77" s="54"/>
      <c r="T77" s="54"/>
      <c r="U77" s="54"/>
      <c r="V77" s="54"/>
      <c r="W77" s="51"/>
      <c r="X77" s="48"/>
      <c r="Y77" s="54"/>
      <c r="Z77" s="59">
        <v>1.0</v>
      </c>
      <c r="AA77" s="584"/>
      <c r="AB77" s="62">
        <f t="shared" si="11"/>
        <v>1</v>
      </c>
      <c r="AC77" s="80">
        <v>1500.0</v>
      </c>
      <c r="AD77" s="68">
        <f t="shared" si="12"/>
        <v>1500</v>
      </c>
      <c r="AE77" s="17"/>
      <c r="AF77" s="155"/>
      <c r="AG77" s="155"/>
    </row>
    <row r="78">
      <c r="A78" s="226" t="s">
        <v>59</v>
      </c>
      <c r="B78" s="533"/>
      <c r="C78" s="508"/>
      <c r="D78" s="46"/>
      <c r="E78" s="46"/>
      <c r="F78" s="527"/>
      <c r="G78" s="54"/>
      <c r="H78" s="46"/>
      <c r="I78" s="192"/>
      <c r="J78" s="59">
        <v>2.0</v>
      </c>
      <c r="K78" s="49"/>
      <c r="L78" s="191"/>
      <c r="M78" s="191"/>
      <c r="N78" s="191"/>
      <c r="O78" s="49"/>
      <c r="P78" s="192"/>
      <c r="Q78" s="191"/>
      <c r="R78" s="59">
        <v>2.0</v>
      </c>
      <c r="S78" s="59">
        <v>2.0</v>
      </c>
      <c r="T78" s="59">
        <v>1.0</v>
      </c>
      <c r="U78" s="59"/>
      <c r="V78" s="59"/>
      <c r="W78" s="192"/>
      <c r="X78" s="530"/>
      <c r="Y78" s="59">
        <v>1.0</v>
      </c>
      <c r="Z78" s="59">
        <v>1.0</v>
      </c>
      <c r="AA78" s="535"/>
      <c r="AB78" s="62">
        <f t="shared" si="11"/>
        <v>9</v>
      </c>
      <c r="AC78" s="80">
        <v>1500.0</v>
      </c>
      <c r="AD78" s="68">
        <f t="shared" si="12"/>
        <v>13500</v>
      </c>
      <c r="AE78" s="17"/>
      <c r="AF78" s="155"/>
      <c r="AG78" s="155"/>
    </row>
    <row r="79">
      <c r="A79" s="226" t="s">
        <v>62</v>
      </c>
      <c r="B79" s="533">
        <v>1.0</v>
      </c>
      <c r="C79" s="508"/>
      <c r="D79" s="46"/>
      <c r="E79" s="46"/>
      <c r="F79" s="534"/>
      <c r="G79" s="54"/>
      <c r="H79" s="46"/>
      <c r="I79" s="192"/>
      <c r="J79" s="54"/>
      <c r="K79" s="49"/>
      <c r="L79" s="191"/>
      <c r="M79" s="530"/>
      <c r="N79" s="191"/>
      <c r="O79" s="54"/>
      <c r="P79" s="192"/>
      <c r="Q79" s="191"/>
      <c r="R79" s="46"/>
      <c r="S79" s="46"/>
      <c r="T79" s="46"/>
      <c r="U79" s="59"/>
      <c r="V79" s="59"/>
      <c r="W79" s="192"/>
      <c r="X79" s="191"/>
      <c r="Y79" s="46"/>
      <c r="Z79" s="46"/>
      <c r="AA79" s="535"/>
      <c r="AB79" s="62">
        <f t="shared" si="11"/>
        <v>1</v>
      </c>
      <c r="AC79" s="80">
        <v>1500.0</v>
      </c>
      <c r="AD79" s="68">
        <f t="shared" si="12"/>
        <v>1500</v>
      </c>
      <c r="AE79" s="17"/>
      <c r="AF79" s="155"/>
      <c r="AG79" s="155"/>
    </row>
    <row r="80">
      <c r="A80" s="226" t="s">
        <v>64</v>
      </c>
      <c r="B80" s="533">
        <v>1.0</v>
      </c>
      <c r="C80" s="491"/>
      <c r="D80" s="54"/>
      <c r="E80" s="49"/>
      <c r="F80" s="534"/>
      <c r="G80" s="59">
        <v>1.0</v>
      </c>
      <c r="H80" s="46"/>
      <c r="I80" s="192"/>
      <c r="J80" s="59">
        <v>1.0</v>
      </c>
      <c r="K80" s="59"/>
      <c r="L80" s="530"/>
      <c r="M80" s="530"/>
      <c r="N80" s="530"/>
      <c r="O80" s="59"/>
      <c r="P80" s="192"/>
      <c r="Q80" s="529"/>
      <c r="R80" s="54"/>
      <c r="S80" s="46"/>
      <c r="T80" s="59">
        <v>1.0</v>
      </c>
      <c r="U80" s="59">
        <v>1.0</v>
      </c>
      <c r="V80" s="46"/>
      <c r="W80" s="515"/>
      <c r="X80" s="530"/>
      <c r="Y80" s="59"/>
      <c r="Z80" s="59">
        <v>1.0</v>
      </c>
      <c r="AA80" s="535"/>
      <c r="AB80" s="62">
        <f t="shared" si="11"/>
        <v>6</v>
      </c>
      <c r="AC80" s="80">
        <v>1500.0</v>
      </c>
      <c r="AD80" s="68">
        <f t="shared" si="12"/>
        <v>9000</v>
      </c>
      <c r="AE80" s="17"/>
      <c r="AF80" s="155"/>
      <c r="AG80" s="155"/>
    </row>
    <row r="81">
      <c r="A81" s="223" t="s">
        <v>54</v>
      </c>
      <c r="B81" s="541"/>
      <c r="C81" s="508"/>
      <c r="D81" s="46"/>
      <c r="E81" s="54"/>
      <c r="F81" s="534"/>
      <c r="G81" s="59"/>
      <c r="H81" s="49"/>
      <c r="I81" s="492"/>
      <c r="J81" s="49"/>
      <c r="K81" s="46"/>
      <c r="L81" s="530"/>
      <c r="M81" s="48"/>
      <c r="N81" s="48"/>
      <c r="O81" s="54"/>
      <c r="P81" s="192"/>
      <c r="Q81" s="529"/>
      <c r="R81" s="59"/>
      <c r="S81" s="46"/>
      <c r="T81" s="59"/>
      <c r="U81" s="46"/>
      <c r="V81" s="59"/>
      <c r="W81" s="192"/>
      <c r="X81" s="191"/>
      <c r="Y81" s="59"/>
      <c r="Z81" s="46"/>
      <c r="AA81" s="535"/>
      <c r="AB81" s="62">
        <f t="shared" si="11"/>
        <v>0</v>
      </c>
      <c r="AC81" s="80">
        <v>1500.0</v>
      </c>
      <c r="AD81" s="68">
        <f t="shared" si="12"/>
        <v>0</v>
      </c>
      <c r="AE81" s="17"/>
      <c r="AF81" s="155"/>
      <c r="AG81" s="155"/>
    </row>
    <row r="82">
      <c r="A82" s="226" t="s">
        <v>159</v>
      </c>
      <c r="B82" s="489"/>
      <c r="C82" s="516"/>
      <c r="D82" s="46"/>
      <c r="E82" s="54"/>
      <c r="F82" s="527"/>
      <c r="G82" s="59">
        <v>1.0</v>
      </c>
      <c r="H82" s="59">
        <v>1.0</v>
      </c>
      <c r="I82" s="510"/>
      <c r="J82" s="493">
        <v>1.0</v>
      </c>
      <c r="K82" s="59"/>
      <c r="L82" s="529"/>
      <c r="M82" s="530"/>
      <c r="N82" s="530"/>
      <c r="O82" s="493"/>
      <c r="P82" s="492"/>
      <c r="Q82" s="530"/>
      <c r="R82" s="59">
        <v>1.0</v>
      </c>
      <c r="S82" s="59"/>
      <c r="T82" s="59"/>
      <c r="U82" s="59"/>
      <c r="V82" s="59"/>
      <c r="W82" s="192"/>
      <c r="X82" s="530"/>
      <c r="Y82" s="59"/>
      <c r="Z82" s="46"/>
      <c r="AA82" s="531">
        <v>5.0</v>
      </c>
      <c r="AB82" s="62">
        <f t="shared" si="11"/>
        <v>9</v>
      </c>
      <c r="AC82" s="80">
        <v>1500.0</v>
      </c>
      <c r="AD82" s="68">
        <f t="shared" si="12"/>
        <v>13500</v>
      </c>
      <c r="AE82" s="17"/>
      <c r="AF82" s="155"/>
      <c r="AG82" s="155"/>
    </row>
    <row r="83">
      <c r="A83" s="226" t="s">
        <v>67</v>
      </c>
      <c r="B83" s="541"/>
      <c r="C83" s="491"/>
      <c r="D83" s="54"/>
      <c r="E83" s="54"/>
      <c r="F83" s="534"/>
      <c r="G83" s="54"/>
      <c r="H83" s="54"/>
      <c r="I83" s="51"/>
      <c r="J83" s="49"/>
      <c r="K83" s="54"/>
      <c r="L83" s="48"/>
      <c r="M83" s="48"/>
      <c r="N83" s="48"/>
      <c r="O83" s="54"/>
      <c r="P83" s="51"/>
      <c r="Q83" s="530"/>
      <c r="R83" s="46"/>
      <c r="S83" s="54"/>
      <c r="T83" s="54"/>
      <c r="U83" s="59"/>
      <c r="V83" s="54"/>
      <c r="W83" s="51"/>
      <c r="X83" s="48"/>
      <c r="Y83" s="54"/>
      <c r="Z83" s="54"/>
      <c r="AA83" s="531">
        <v>2.0</v>
      </c>
      <c r="AB83" s="62">
        <f t="shared" si="11"/>
        <v>2</v>
      </c>
      <c r="AC83" s="80">
        <v>1500.0</v>
      </c>
      <c r="AD83" s="68">
        <f t="shared" si="12"/>
        <v>3000</v>
      </c>
      <c r="AE83" s="17"/>
      <c r="AF83" s="155"/>
      <c r="AG83" s="155"/>
    </row>
    <row r="84">
      <c r="A84" s="223" t="s">
        <v>69</v>
      </c>
      <c r="B84" s="533"/>
      <c r="C84" s="516"/>
      <c r="D84" s="59">
        <v>1.0</v>
      </c>
      <c r="E84" s="54"/>
      <c r="F84" s="527"/>
      <c r="G84" s="59">
        <v>1.0</v>
      </c>
      <c r="H84" s="59">
        <v>1.0</v>
      </c>
      <c r="I84" s="51"/>
      <c r="J84" s="54"/>
      <c r="K84" s="46"/>
      <c r="L84" s="530"/>
      <c r="M84" s="48"/>
      <c r="N84" s="48"/>
      <c r="O84" s="493"/>
      <c r="P84" s="492"/>
      <c r="Q84" s="191"/>
      <c r="R84" s="59"/>
      <c r="S84" s="59"/>
      <c r="T84" s="59"/>
      <c r="U84" s="46"/>
      <c r="V84" s="59"/>
      <c r="W84" s="192"/>
      <c r="X84" s="530"/>
      <c r="Y84" s="46"/>
      <c r="Z84" s="46"/>
      <c r="AA84" s="535"/>
      <c r="AB84" s="62">
        <f t="shared" si="11"/>
        <v>3</v>
      </c>
      <c r="AC84" s="80">
        <v>600.0</v>
      </c>
      <c r="AD84" s="68">
        <f t="shared" si="12"/>
        <v>1800</v>
      </c>
      <c r="AE84" s="17"/>
      <c r="AF84" s="155"/>
      <c r="AG84" s="155"/>
    </row>
    <row r="85">
      <c r="A85" s="223" t="s">
        <v>71</v>
      </c>
      <c r="B85" s="489">
        <v>1.0</v>
      </c>
      <c r="C85" s="508"/>
      <c r="D85" s="59">
        <v>1.0</v>
      </c>
      <c r="E85" s="493">
        <v>1.0</v>
      </c>
      <c r="F85" s="527"/>
      <c r="G85" s="59"/>
      <c r="H85" s="493">
        <v>5.0</v>
      </c>
      <c r="I85" s="510"/>
      <c r="J85" s="493"/>
      <c r="K85" s="493"/>
      <c r="L85" s="529"/>
      <c r="M85" s="530"/>
      <c r="N85" s="529"/>
      <c r="O85" s="493"/>
      <c r="P85" s="192"/>
      <c r="Q85" s="530"/>
      <c r="R85" s="59"/>
      <c r="S85" s="59">
        <v>1.0</v>
      </c>
      <c r="T85" s="59"/>
      <c r="U85" s="59"/>
      <c r="V85" s="59">
        <v>2.0</v>
      </c>
      <c r="W85" s="192"/>
      <c r="X85" s="530"/>
      <c r="Y85" s="59"/>
      <c r="Z85" s="46"/>
      <c r="AA85" s="535"/>
      <c r="AB85" s="62">
        <f t="shared" si="11"/>
        <v>11</v>
      </c>
      <c r="AC85" s="80">
        <v>500.0</v>
      </c>
      <c r="AD85" s="68">
        <f t="shared" si="12"/>
        <v>5500</v>
      </c>
      <c r="AE85" s="17"/>
      <c r="AF85" s="155"/>
      <c r="AG85" s="155"/>
    </row>
    <row r="86">
      <c r="A86" s="226" t="s">
        <v>171</v>
      </c>
      <c r="B86" s="489">
        <v>4.0</v>
      </c>
      <c r="C86" s="508"/>
      <c r="D86" s="59">
        <v>6.0</v>
      </c>
      <c r="E86" s="59">
        <v>2.0</v>
      </c>
      <c r="F86" s="527"/>
      <c r="G86" s="493">
        <v>7.0</v>
      </c>
      <c r="H86" s="59">
        <v>2.0</v>
      </c>
      <c r="I86" s="510"/>
      <c r="J86" s="493">
        <v>2.0</v>
      </c>
      <c r="K86" s="493">
        <v>1.0</v>
      </c>
      <c r="L86" s="529"/>
      <c r="M86" s="530"/>
      <c r="N86" s="530"/>
      <c r="O86" s="59">
        <v>1.0</v>
      </c>
      <c r="P86" s="510"/>
      <c r="Q86" s="529"/>
      <c r="R86" s="59">
        <v>2.0</v>
      </c>
      <c r="S86" s="59">
        <v>4.0</v>
      </c>
      <c r="T86" s="59">
        <v>6.0</v>
      </c>
      <c r="U86" s="59">
        <v>5.0</v>
      </c>
      <c r="V86" s="59">
        <v>1.0</v>
      </c>
      <c r="W86" s="515"/>
      <c r="X86" s="530"/>
      <c r="Y86" s="59">
        <v>1.0</v>
      </c>
      <c r="Z86" s="59">
        <v>7.0</v>
      </c>
      <c r="AA86" s="531">
        <v>21.0</v>
      </c>
      <c r="AB86" s="62">
        <f t="shared" si="11"/>
        <v>72</v>
      </c>
      <c r="AC86" s="80">
        <v>500.0</v>
      </c>
      <c r="AD86" s="68">
        <f t="shared" si="12"/>
        <v>36000</v>
      </c>
      <c r="AE86" s="17"/>
      <c r="AF86" s="155"/>
      <c r="AG86" s="155"/>
    </row>
    <row r="87">
      <c r="A87" s="226" t="s">
        <v>86</v>
      </c>
      <c r="B87" s="489"/>
      <c r="C87" s="508"/>
      <c r="D87" s="46"/>
      <c r="E87" s="46"/>
      <c r="F87" s="534"/>
      <c r="G87" s="59">
        <v>2.0</v>
      </c>
      <c r="H87" s="54"/>
      <c r="I87" s="492"/>
      <c r="J87" s="49"/>
      <c r="K87" s="46"/>
      <c r="L87" s="529"/>
      <c r="M87" s="530"/>
      <c r="N87" s="530"/>
      <c r="O87" s="54"/>
      <c r="P87" s="515"/>
      <c r="Q87" s="529"/>
      <c r="R87" s="59"/>
      <c r="S87" s="46"/>
      <c r="T87" s="46"/>
      <c r="U87" s="59">
        <v>1.0</v>
      </c>
      <c r="V87" s="59"/>
      <c r="W87" s="192"/>
      <c r="X87" s="530"/>
      <c r="Y87" s="59"/>
      <c r="Z87" s="46"/>
      <c r="AA87" s="535"/>
      <c r="AB87" s="62">
        <f t="shared" si="11"/>
        <v>3</v>
      </c>
      <c r="AC87" s="80">
        <v>500.0</v>
      </c>
      <c r="AD87" s="68">
        <f t="shared" si="12"/>
        <v>1500</v>
      </c>
      <c r="AE87" s="17"/>
      <c r="AF87" s="155"/>
      <c r="AG87" s="155"/>
    </row>
    <row r="88">
      <c r="A88" s="223" t="s">
        <v>80</v>
      </c>
      <c r="B88" s="580"/>
      <c r="C88" s="508"/>
      <c r="D88" s="54"/>
      <c r="E88" s="54"/>
      <c r="F88" s="534"/>
      <c r="G88" s="54"/>
      <c r="H88" s="46"/>
      <c r="I88" s="51"/>
      <c r="J88" s="46"/>
      <c r="K88" s="54"/>
      <c r="L88" s="48"/>
      <c r="M88" s="191"/>
      <c r="N88" s="48"/>
      <c r="O88" s="54"/>
      <c r="P88" s="51"/>
      <c r="Q88" s="48"/>
      <c r="R88" s="54"/>
      <c r="S88" s="54"/>
      <c r="T88" s="54"/>
      <c r="U88" s="54"/>
      <c r="V88" s="54"/>
      <c r="W88" s="51"/>
      <c r="X88" s="48"/>
      <c r="Y88" s="54"/>
      <c r="Z88" s="54"/>
      <c r="AA88" s="584"/>
      <c r="AB88" s="62">
        <f t="shared" si="11"/>
        <v>0</v>
      </c>
      <c r="AC88" s="80">
        <v>1500.0</v>
      </c>
      <c r="AD88" s="68">
        <f t="shared" si="12"/>
        <v>0</v>
      </c>
      <c r="AE88" s="17"/>
      <c r="AF88" s="155"/>
      <c r="AG88" s="155"/>
    </row>
    <row r="89">
      <c r="A89" s="156" t="s">
        <v>164</v>
      </c>
      <c r="B89" s="585"/>
      <c r="C89" s="591"/>
      <c r="D89" s="181"/>
      <c r="E89" s="184"/>
      <c r="F89" s="561"/>
      <c r="G89" s="247">
        <v>1.0</v>
      </c>
      <c r="H89" s="184"/>
      <c r="I89" s="575"/>
      <c r="J89" s="247"/>
      <c r="K89" s="246"/>
      <c r="L89" s="245"/>
      <c r="M89" s="588"/>
      <c r="N89" s="588"/>
      <c r="O89" s="246"/>
      <c r="P89" s="229"/>
      <c r="Q89" s="615"/>
      <c r="R89" s="181"/>
      <c r="S89" s="247">
        <v>1.0</v>
      </c>
      <c r="T89" s="181"/>
      <c r="U89" s="247">
        <v>1.0</v>
      </c>
      <c r="V89" s="247">
        <v>1.0</v>
      </c>
      <c r="W89" s="229"/>
      <c r="X89" s="245"/>
      <c r="Y89" s="247">
        <v>1.0</v>
      </c>
      <c r="Z89" s="181"/>
      <c r="AA89" s="562"/>
      <c r="AB89" s="62">
        <f t="shared" si="11"/>
        <v>5</v>
      </c>
      <c r="AC89" s="167">
        <v>500.0</v>
      </c>
      <c r="AD89" s="168">
        <f t="shared" si="12"/>
        <v>2500</v>
      </c>
      <c r="AE89" s="17"/>
      <c r="AF89" s="155"/>
      <c r="AG89" s="155"/>
    </row>
    <row r="90">
      <c r="A90" s="33" t="s">
        <v>326</v>
      </c>
      <c r="B90" s="533">
        <v>5.0</v>
      </c>
      <c r="C90" s="516"/>
      <c r="D90" s="59">
        <v>1.0</v>
      </c>
      <c r="E90" s="59">
        <v>1.0</v>
      </c>
      <c r="F90" s="534"/>
      <c r="G90" s="59">
        <v>4.0</v>
      </c>
      <c r="H90" s="54"/>
      <c r="I90" s="492"/>
      <c r="J90" s="59"/>
      <c r="K90" s="493">
        <v>4.0</v>
      </c>
      <c r="L90" s="530"/>
      <c r="M90" s="530"/>
      <c r="N90" s="48"/>
      <c r="O90" s="493">
        <v>5.0</v>
      </c>
      <c r="P90" s="515"/>
      <c r="Q90" s="529"/>
      <c r="R90" s="59">
        <v>3.0</v>
      </c>
      <c r="S90" s="59">
        <v>1.0</v>
      </c>
      <c r="T90" s="59">
        <v>8.0</v>
      </c>
      <c r="U90" s="59">
        <v>6.0</v>
      </c>
      <c r="V90" s="59">
        <v>2.0</v>
      </c>
      <c r="W90" s="515"/>
      <c r="X90" s="530"/>
      <c r="Y90" s="59">
        <v>3.0</v>
      </c>
      <c r="Z90" s="59">
        <v>11.0</v>
      </c>
      <c r="AA90" s="535"/>
      <c r="AB90" s="62">
        <f t="shared" si="11"/>
        <v>54</v>
      </c>
      <c r="AC90" s="80">
        <v>350.0</v>
      </c>
      <c r="AD90" s="168">
        <f t="shared" si="12"/>
        <v>18900</v>
      </c>
      <c r="AE90" s="17"/>
      <c r="AF90" s="155"/>
      <c r="AG90" s="155"/>
    </row>
    <row r="91">
      <c r="A91" s="156" t="s">
        <v>328</v>
      </c>
      <c r="B91" s="587">
        <v>6.0</v>
      </c>
      <c r="C91" s="591"/>
      <c r="D91" s="181"/>
      <c r="E91" s="184"/>
      <c r="F91" s="561"/>
      <c r="G91" s="247">
        <v>2.0</v>
      </c>
      <c r="H91" s="184"/>
      <c r="I91" s="575"/>
      <c r="J91" s="247"/>
      <c r="K91" s="577">
        <v>1.0</v>
      </c>
      <c r="L91" s="588"/>
      <c r="M91" s="245"/>
      <c r="N91" s="182"/>
      <c r="O91" s="246"/>
      <c r="P91" s="229"/>
      <c r="Q91" s="615"/>
      <c r="R91" s="181"/>
      <c r="S91" s="247">
        <v>3.0</v>
      </c>
      <c r="T91" s="247">
        <v>1.0</v>
      </c>
      <c r="U91" s="247">
        <v>1.0</v>
      </c>
      <c r="V91" s="247"/>
      <c r="W91" s="229"/>
      <c r="X91" s="245"/>
      <c r="Y91" s="247"/>
      <c r="Z91" s="181"/>
      <c r="AA91" s="562"/>
      <c r="AB91" s="62">
        <f t="shared" si="11"/>
        <v>14</v>
      </c>
      <c r="AC91" s="167">
        <v>450.0</v>
      </c>
      <c r="AD91" s="168">
        <f t="shared" si="12"/>
        <v>6300</v>
      </c>
      <c r="AE91" s="17"/>
      <c r="AF91" s="155"/>
      <c r="AG91" s="155"/>
    </row>
    <row r="92">
      <c r="A92" s="169" t="s">
        <v>45</v>
      </c>
      <c r="B92" s="128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  <c r="AB92" s="128"/>
      <c r="AC92" s="129"/>
      <c r="AD92" s="238">
        <f>SUM(AD75:AD91)</f>
        <v>134900</v>
      </c>
      <c r="AE92" s="17"/>
      <c r="AF92" s="239"/>
      <c r="AG92" s="239"/>
    </row>
    <row r="93">
      <c r="A93" s="24" t="s">
        <v>166</v>
      </c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8"/>
      <c r="AE93" s="17"/>
      <c r="AF93" s="178"/>
      <c r="AG93" s="178"/>
    </row>
    <row r="94">
      <c r="A94" s="156" t="s">
        <v>167</v>
      </c>
      <c r="B94" s="585"/>
      <c r="C94" s="549"/>
      <c r="D94" s="181"/>
      <c r="E94" s="184"/>
      <c r="F94" s="561"/>
      <c r="G94" s="184"/>
      <c r="H94" s="184"/>
      <c r="I94" s="575"/>
      <c r="J94" s="184"/>
      <c r="K94" s="184"/>
      <c r="L94" s="182"/>
      <c r="M94" s="182"/>
      <c r="N94" s="182"/>
      <c r="O94" s="184"/>
      <c r="P94" s="183"/>
      <c r="Q94" s="182"/>
      <c r="R94" s="184"/>
      <c r="S94" s="181"/>
      <c r="T94" s="181"/>
      <c r="U94" s="181"/>
      <c r="V94" s="181"/>
      <c r="W94" s="229"/>
      <c r="X94" s="245"/>
      <c r="Y94" s="181"/>
      <c r="Z94" s="181"/>
      <c r="AA94" s="562"/>
      <c r="AB94" s="166">
        <f>SUM(B94:AA94)</f>
        <v>0</v>
      </c>
      <c r="AC94" s="167">
        <v>350.0</v>
      </c>
      <c r="AD94" s="168">
        <f>AB94*AC94</f>
        <v>0</v>
      </c>
      <c r="AE94" s="17"/>
      <c r="AF94" s="155"/>
      <c r="AG94" s="155"/>
    </row>
    <row r="95">
      <c r="A95" s="240" t="s">
        <v>45</v>
      </c>
      <c r="B95" s="128"/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  <c r="AB95" s="128"/>
      <c r="AC95" s="129"/>
      <c r="AD95" s="238">
        <f>SUM(AD94)</f>
        <v>0</v>
      </c>
      <c r="AE95" s="17"/>
      <c r="AF95" s="239"/>
      <c r="AG95" s="239"/>
    </row>
    <row r="96">
      <c r="A96" s="620" t="s">
        <v>352</v>
      </c>
      <c r="AE96" s="17"/>
      <c r="AF96" s="239"/>
      <c r="AG96" s="239"/>
    </row>
    <row r="97">
      <c r="A97" s="216" t="s">
        <v>353</v>
      </c>
      <c r="B97" s="621"/>
      <c r="C97" s="622"/>
      <c r="D97" s="623"/>
      <c r="E97" s="623"/>
      <c r="F97" s="624"/>
      <c r="G97" s="623"/>
      <c r="H97" s="623"/>
      <c r="I97" s="625"/>
      <c r="J97" s="623"/>
      <c r="K97" s="623"/>
      <c r="L97" s="626"/>
      <c r="M97" s="626"/>
      <c r="N97" s="626"/>
      <c r="O97" s="623"/>
      <c r="P97" s="625"/>
      <c r="Q97" s="627"/>
      <c r="R97" s="623"/>
      <c r="S97" s="623"/>
      <c r="T97" s="623"/>
      <c r="U97" s="623"/>
      <c r="V97" s="623">
        <v>1.0</v>
      </c>
      <c r="W97" s="625"/>
      <c r="X97" s="626"/>
      <c r="Y97" s="623"/>
      <c r="Z97" s="623">
        <v>1.0</v>
      </c>
      <c r="AA97" s="628"/>
      <c r="AB97" s="629">
        <f t="shared" ref="AB97:AB99" si="13">SUM(B97:AA97)</f>
        <v>2</v>
      </c>
      <c r="AC97" s="630">
        <v>225.0</v>
      </c>
      <c r="AD97" s="630">
        <f t="shared" ref="AD97:AD99" si="14">AB97*AC97</f>
        <v>450</v>
      </c>
      <c r="AE97" s="17"/>
      <c r="AF97" s="239"/>
      <c r="AG97" s="239"/>
    </row>
    <row r="98">
      <c r="A98" s="216" t="s">
        <v>354</v>
      </c>
      <c r="B98" s="621"/>
      <c r="C98" s="622"/>
      <c r="D98" s="623"/>
      <c r="E98" s="623"/>
      <c r="F98" s="624"/>
      <c r="G98" s="623"/>
      <c r="H98" s="623"/>
      <c r="I98" s="625"/>
      <c r="J98" s="623"/>
      <c r="K98" s="623"/>
      <c r="L98" s="626"/>
      <c r="M98" s="626"/>
      <c r="N98" s="626"/>
      <c r="O98" s="623"/>
      <c r="P98" s="625"/>
      <c r="Q98" s="627"/>
      <c r="R98" s="623"/>
      <c r="S98" s="623"/>
      <c r="T98" s="623"/>
      <c r="U98" s="623"/>
      <c r="V98" s="623"/>
      <c r="W98" s="625"/>
      <c r="X98" s="626"/>
      <c r="Y98" s="623"/>
      <c r="Z98" s="623"/>
      <c r="AA98" s="628"/>
      <c r="AB98" s="629">
        <f t="shared" si="13"/>
        <v>0</v>
      </c>
      <c r="AC98" s="630">
        <v>45.0</v>
      </c>
      <c r="AD98" s="630">
        <f t="shared" si="14"/>
        <v>0</v>
      </c>
      <c r="AE98" s="17"/>
      <c r="AF98" s="239"/>
      <c r="AG98" s="239"/>
    </row>
    <row r="99">
      <c r="A99" s="225" t="s">
        <v>355</v>
      </c>
      <c r="B99" s="633"/>
      <c r="C99" s="634"/>
      <c r="D99" s="635"/>
      <c r="E99" s="635"/>
      <c r="F99" s="636"/>
      <c r="G99" s="635"/>
      <c r="H99" s="635"/>
      <c r="I99" s="637"/>
      <c r="J99" s="635"/>
      <c r="K99" s="635"/>
      <c r="L99" s="639"/>
      <c r="M99" s="639"/>
      <c r="N99" s="639"/>
      <c r="O99" s="635"/>
      <c r="P99" s="637"/>
      <c r="Q99" s="640"/>
      <c r="R99" s="635"/>
      <c r="S99" s="635"/>
      <c r="T99" s="635"/>
      <c r="U99" s="635"/>
      <c r="V99" s="635"/>
      <c r="W99" s="637"/>
      <c r="X99" s="639"/>
      <c r="Y99" s="635"/>
      <c r="Z99" s="635"/>
      <c r="AA99" s="641"/>
      <c r="AB99" s="642">
        <f t="shared" si="13"/>
        <v>0</v>
      </c>
      <c r="AC99" s="643">
        <v>320.0</v>
      </c>
      <c r="AD99" s="643">
        <f t="shared" si="14"/>
        <v>0</v>
      </c>
      <c r="AE99" s="17"/>
      <c r="AF99" s="239"/>
      <c r="AG99" s="239"/>
    </row>
    <row r="100">
      <c r="A100" s="240" t="s">
        <v>45</v>
      </c>
      <c r="B100" s="128"/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9"/>
      <c r="AD100" s="644">
        <f>SUM(AD97:AD99)</f>
        <v>450</v>
      </c>
      <c r="AE100" s="17"/>
      <c r="AF100" s="239"/>
      <c r="AG100" s="239"/>
    </row>
    <row r="101">
      <c r="A101" s="24" t="s">
        <v>169</v>
      </c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8"/>
      <c r="AE101" s="17"/>
      <c r="AF101" s="178" t="s">
        <v>358</v>
      </c>
      <c r="AG101" s="178"/>
    </row>
    <row r="102">
      <c r="A102" s="197" t="s">
        <v>170</v>
      </c>
      <c r="B102" s="580"/>
      <c r="C102" s="491"/>
      <c r="D102" s="59">
        <v>1.0</v>
      </c>
      <c r="E102" s="59">
        <v>1.0</v>
      </c>
      <c r="F102" s="534"/>
      <c r="G102" s="54"/>
      <c r="H102" s="54"/>
      <c r="I102" s="192"/>
      <c r="J102" s="54"/>
      <c r="K102" s="59">
        <v>1.0</v>
      </c>
      <c r="L102" s="48"/>
      <c r="M102" s="48"/>
      <c r="N102" s="48"/>
      <c r="O102" s="59">
        <v>2.0</v>
      </c>
      <c r="P102" s="192"/>
      <c r="Q102" s="530"/>
      <c r="R102" s="59">
        <v>1.0</v>
      </c>
      <c r="S102" s="54"/>
      <c r="T102" s="54"/>
      <c r="U102" s="59">
        <v>4.0</v>
      </c>
      <c r="V102" s="59">
        <v>3.0</v>
      </c>
      <c r="W102" s="51"/>
      <c r="X102" s="48"/>
      <c r="Y102" s="59">
        <v>2.0</v>
      </c>
      <c r="Z102" s="54"/>
      <c r="AA102" s="584"/>
      <c r="AB102" s="62">
        <f t="shared" ref="AB102:AB108" si="15">SUM(B102:AA102)</f>
        <v>15</v>
      </c>
      <c r="AC102" s="242">
        <v>280.0</v>
      </c>
      <c r="AD102" s="68">
        <f t="shared" ref="AD102:AD108" si="16">AB102*AC102</f>
        <v>4200</v>
      </c>
      <c r="AE102" s="17"/>
      <c r="AF102" s="155"/>
      <c r="AG102" s="155"/>
    </row>
    <row r="103">
      <c r="A103" s="197" t="s">
        <v>173</v>
      </c>
      <c r="B103" s="580"/>
      <c r="C103" s="491"/>
      <c r="D103" s="54"/>
      <c r="E103" s="54"/>
      <c r="F103" s="534"/>
      <c r="G103" s="54"/>
      <c r="H103" s="54"/>
      <c r="I103" s="51"/>
      <c r="J103" s="54"/>
      <c r="K103" s="54"/>
      <c r="L103" s="48"/>
      <c r="M103" s="48"/>
      <c r="N103" s="48"/>
      <c r="O103" s="54"/>
      <c r="P103" s="192"/>
      <c r="Q103" s="48"/>
      <c r="R103" s="54"/>
      <c r="S103" s="54"/>
      <c r="T103" s="54"/>
      <c r="U103" s="54"/>
      <c r="V103" s="54"/>
      <c r="W103" s="51"/>
      <c r="X103" s="48"/>
      <c r="Y103" s="54"/>
      <c r="Z103" s="54"/>
      <c r="AA103" s="584"/>
      <c r="AB103" s="62">
        <f t="shared" si="15"/>
        <v>0</v>
      </c>
      <c r="AC103" s="242">
        <v>260.0</v>
      </c>
      <c r="AD103" s="68">
        <f t="shared" si="16"/>
        <v>0</v>
      </c>
      <c r="AE103" s="17"/>
      <c r="AF103" s="155"/>
      <c r="AG103" s="155"/>
    </row>
    <row r="104">
      <c r="A104" s="243" t="s">
        <v>174</v>
      </c>
      <c r="B104" s="580"/>
      <c r="C104" s="508"/>
      <c r="D104" s="54"/>
      <c r="E104" s="54"/>
      <c r="F104" s="534"/>
      <c r="G104" s="54"/>
      <c r="H104" s="54"/>
      <c r="I104" s="51"/>
      <c r="J104" s="59">
        <v>40.0</v>
      </c>
      <c r="K104" s="54"/>
      <c r="L104" s="48"/>
      <c r="M104" s="48"/>
      <c r="N104" s="48"/>
      <c r="O104" s="54"/>
      <c r="P104" s="192"/>
      <c r="Q104" s="530"/>
      <c r="R104" s="54"/>
      <c r="S104" s="46"/>
      <c r="T104" s="46"/>
      <c r="U104" s="46"/>
      <c r="V104" s="46"/>
      <c r="W104" s="192"/>
      <c r="X104" s="191"/>
      <c r="Y104" s="46"/>
      <c r="Z104" s="46"/>
      <c r="AA104" s="535"/>
      <c r="AB104" s="62">
        <f t="shared" si="15"/>
        <v>40</v>
      </c>
      <c r="AC104" s="242">
        <v>380.0</v>
      </c>
      <c r="AD104" s="68">
        <f t="shared" si="16"/>
        <v>15200</v>
      </c>
      <c r="AE104" s="17"/>
      <c r="AF104" s="155"/>
      <c r="AG104" s="155"/>
    </row>
    <row r="105">
      <c r="A105" s="243" t="s">
        <v>176</v>
      </c>
      <c r="B105" s="495"/>
      <c r="C105" s="491"/>
      <c r="D105" s="54"/>
      <c r="E105" s="54"/>
      <c r="F105" s="534"/>
      <c r="G105" s="49"/>
      <c r="H105" s="54"/>
      <c r="I105" s="51"/>
      <c r="J105" s="59">
        <v>10.0</v>
      </c>
      <c r="K105" s="54"/>
      <c r="L105" s="48"/>
      <c r="M105" s="48"/>
      <c r="N105" s="48"/>
      <c r="O105" s="54"/>
      <c r="P105" s="492"/>
      <c r="Q105" s="48"/>
      <c r="R105" s="54"/>
      <c r="S105" s="46"/>
      <c r="T105" s="46"/>
      <c r="U105" s="46"/>
      <c r="V105" s="59"/>
      <c r="W105" s="192"/>
      <c r="X105" s="191"/>
      <c r="Y105" s="46"/>
      <c r="Z105" s="46"/>
      <c r="AA105" s="535"/>
      <c r="AB105" s="62">
        <f t="shared" si="15"/>
        <v>10</v>
      </c>
      <c r="AC105" s="242">
        <v>420.0</v>
      </c>
      <c r="AD105" s="68">
        <f t="shared" si="16"/>
        <v>4200</v>
      </c>
      <c r="AE105" s="17"/>
      <c r="AF105" s="155"/>
      <c r="AG105" s="155"/>
    </row>
    <row r="106">
      <c r="A106" s="197" t="s">
        <v>177</v>
      </c>
      <c r="B106" s="533">
        <v>2.0</v>
      </c>
      <c r="C106" s="491"/>
      <c r="D106" s="46"/>
      <c r="E106" s="54"/>
      <c r="F106" s="534"/>
      <c r="G106" s="493"/>
      <c r="H106" s="54"/>
      <c r="I106" s="51"/>
      <c r="J106" s="54"/>
      <c r="K106" s="54"/>
      <c r="L106" s="48"/>
      <c r="M106" s="530"/>
      <c r="N106" s="538"/>
      <c r="O106" s="59"/>
      <c r="P106" s="492"/>
      <c r="Q106" s="48"/>
      <c r="R106" s="59">
        <v>1.0</v>
      </c>
      <c r="S106" s="46"/>
      <c r="T106" s="46"/>
      <c r="U106" s="46"/>
      <c r="V106" s="46"/>
      <c r="W106" s="515"/>
      <c r="X106" s="191"/>
      <c r="Y106" s="59"/>
      <c r="Z106" s="46"/>
      <c r="AA106" s="535"/>
      <c r="AB106" s="62">
        <f t="shared" si="15"/>
        <v>3</v>
      </c>
      <c r="AC106" s="242">
        <v>750.0</v>
      </c>
      <c r="AD106" s="68">
        <f t="shared" si="16"/>
        <v>2250</v>
      </c>
      <c r="AE106" s="17"/>
      <c r="AF106" s="155"/>
      <c r="AG106" s="155"/>
    </row>
    <row r="107">
      <c r="A107" s="197" t="s">
        <v>179</v>
      </c>
      <c r="B107" s="533">
        <v>1.0</v>
      </c>
      <c r="C107" s="491"/>
      <c r="D107" s="59">
        <v>1.0</v>
      </c>
      <c r="E107" s="59">
        <v>1.0</v>
      </c>
      <c r="F107" s="527"/>
      <c r="G107" s="59">
        <v>1.0</v>
      </c>
      <c r="H107" s="59">
        <v>3.0</v>
      </c>
      <c r="I107" s="51"/>
      <c r="J107" s="59">
        <v>12.0</v>
      </c>
      <c r="K107" s="493">
        <v>3.0</v>
      </c>
      <c r="L107" s="530"/>
      <c r="M107" s="191"/>
      <c r="N107" s="48"/>
      <c r="O107" s="59">
        <v>5.0</v>
      </c>
      <c r="P107" s="192"/>
      <c r="Q107" s="48"/>
      <c r="R107" s="59">
        <v>1.0</v>
      </c>
      <c r="S107" s="59">
        <v>10.0</v>
      </c>
      <c r="T107" s="59">
        <v>15.0</v>
      </c>
      <c r="U107" s="59">
        <v>2.0</v>
      </c>
      <c r="V107" s="59">
        <v>6.0</v>
      </c>
      <c r="W107" s="515"/>
      <c r="X107" s="530"/>
      <c r="Y107" s="59">
        <v>1.0</v>
      </c>
      <c r="Z107" s="59">
        <v>4.0</v>
      </c>
      <c r="AA107" s="531">
        <v>3.0</v>
      </c>
      <c r="AB107" s="62">
        <f t="shared" si="15"/>
        <v>69</v>
      </c>
      <c r="AC107" s="242">
        <v>550.0</v>
      </c>
      <c r="AD107" s="68">
        <f t="shared" si="16"/>
        <v>37950</v>
      </c>
      <c r="AE107" s="17"/>
      <c r="AF107" s="155"/>
      <c r="AG107" s="155"/>
    </row>
    <row r="108">
      <c r="A108" s="243" t="s">
        <v>348</v>
      </c>
      <c r="B108" s="587"/>
      <c r="C108" s="543"/>
      <c r="D108" s="247">
        <v>4.0</v>
      </c>
      <c r="E108" s="184"/>
      <c r="F108" s="590"/>
      <c r="G108" s="247"/>
      <c r="H108" s="184"/>
      <c r="I108" s="183"/>
      <c r="J108" s="181"/>
      <c r="K108" s="246"/>
      <c r="L108" s="588"/>
      <c r="M108" s="245"/>
      <c r="N108" s="588"/>
      <c r="O108" s="247">
        <v>1.0</v>
      </c>
      <c r="P108" s="229"/>
      <c r="Q108" s="588"/>
      <c r="R108" s="181"/>
      <c r="S108" s="247">
        <v>50.0</v>
      </c>
      <c r="T108" s="184"/>
      <c r="U108" s="184"/>
      <c r="V108" s="247">
        <v>1.0</v>
      </c>
      <c r="W108" s="579"/>
      <c r="X108" s="182"/>
      <c r="Y108" s="247"/>
      <c r="Z108" s="184"/>
      <c r="AA108" s="586"/>
      <c r="AB108" s="62">
        <f t="shared" si="15"/>
        <v>56</v>
      </c>
      <c r="AC108" s="249">
        <v>220.0</v>
      </c>
      <c r="AD108" s="168">
        <f t="shared" si="16"/>
        <v>12320</v>
      </c>
      <c r="AE108" s="17"/>
      <c r="AF108" s="155"/>
      <c r="AG108" s="155"/>
    </row>
    <row r="109">
      <c r="A109" s="169" t="s">
        <v>45</v>
      </c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  <c r="AB109" s="128"/>
      <c r="AC109" s="129"/>
      <c r="AD109" s="174">
        <f>SUM(AD102:AD108)</f>
        <v>76120</v>
      </c>
      <c r="AE109" s="17"/>
      <c r="AF109" s="176"/>
      <c r="AG109" s="176"/>
    </row>
    <row r="110">
      <c r="A110" s="24" t="s">
        <v>350</v>
      </c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8"/>
      <c r="AE110" s="17"/>
      <c r="AF110" s="178"/>
      <c r="AG110" s="178"/>
    </row>
    <row r="111">
      <c r="A111" s="197" t="s">
        <v>191</v>
      </c>
      <c r="B111" s="489">
        <v>11.0</v>
      </c>
      <c r="C111" s="516"/>
      <c r="D111" s="46"/>
      <c r="E111" s="49"/>
      <c r="F111" s="527"/>
      <c r="G111" s="493"/>
      <c r="H111" s="493">
        <v>10.0</v>
      </c>
      <c r="I111" s="510"/>
      <c r="J111" s="493">
        <v>4.0</v>
      </c>
      <c r="K111" s="493">
        <v>4.0</v>
      </c>
      <c r="L111" s="529"/>
      <c r="M111" s="530"/>
      <c r="N111" s="529"/>
      <c r="O111" s="493">
        <v>8.0</v>
      </c>
      <c r="P111" s="515"/>
      <c r="Q111" s="529"/>
      <c r="R111" s="59"/>
      <c r="S111" s="59">
        <v>8.0</v>
      </c>
      <c r="T111" s="59">
        <v>3.0</v>
      </c>
      <c r="U111" s="59">
        <v>4.0</v>
      </c>
      <c r="V111" s="59">
        <v>13.0</v>
      </c>
      <c r="W111" s="515"/>
      <c r="X111" s="530"/>
      <c r="Y111" s="59">
        <v>9.0</v>
      </c>
      <c r="Z111" s="59">
        <v>5.0</v>
      </c>
      <c r="AA111" s="531">
        <v>8.0</v>
      </c>
      <c r="AB111" s="62">
        <f t="shared" ref="AB111:AB115" si="17">SUM(B111:AA111)</f>
        <v>87</v>
      </c>
      <c r="AC111" s="80">
        <v>50.0</v>
      </c>
      <c r="AD111" s="68">
        <f t="shared" ref="AD111:AD115" si="18">AB111*AC111</f>
        <v>4350</v>
      </c>
      <c r="AE111" s="17"/>
      <c r="AF111" s="155"/>
      <c r="AG111" s="155"/>
    </row>
    <row r="112">
      <c r="A112" s="197" t="s">
        <v>183</v>
      </c>
      <c r="B112" s="533">
        <v>1.0</v>
      </c>
      <c r="C112" s="491"/>
      <c r="D112" s="46"/>
      <c r="E112" s="59">
        <v>2.0</v>
      </c>
      <c r="F112" s="534"/>
      <c r="G112" s="59"/>
      <c r="H112" s="59">
        <v>1.0</v>
      </c>
      <c r="I112" s="515"/>
      <c r="J112" s="54"/>
      <c r="K112" s="493"/>
      <c r="L112" s="529"/>
      <c r="M112" s="530"/>
      <c r="N112" s="538"/>
      <c r="O112" s="59">
        <v>1.0</v>
      </c>
      <c r="P112" s="192"/>
      <c r="Q112" s="529"/>
      <c r="R112" s="59"/>
      <c r="S112" s="46"/>
      <c r="T112" s="59"/>
      <c r="U112" s="59">
        <v>3.0</v>
      </c>
      <c r="V112" s="59">
        <v>1.0</v>
      </c>
      <c r="W112" s="192"/>
      <c r="X112" s="191"/>
      <c r="Y112" s="59"/>
      <c r="Z112" s="46"/>
      <c r="AA112" s="531">
        <v>13.0</v>
      </c>
      <c r="AB112" s="62">
        <f t="shared" si="17"/>
        <v>22</v>
      </c>
      <c r="AC112" s="80">
        <v>60.0</v>
      </c>
      <c r="AD112" s="68">
        <f t="shared" si="18"/>
        <v>1320</v>
      </c>
      <c r="AE112" s="17"/>
      <c r="AF112" s="155"/>
      <c r="AG112" s="155"/>
    </row>
    <row r="113">
      <c r="A113" s="197" t="s">
        <v>185</v>
      </c>
      <c r="B113" s="533"/>
      <c r="C113" s="516"/>
      <c r="D113" s="54"/>
      <c r="E113" s="59">
        <v>1.0</v>
      </c>
      <c r="F113" s="527"/>
      <c r="G113" s="493">
        <v>16.0</v>
      </c>
      <c r="H113" s="59">
        <v>1.0</v>
      </c>
      <c r="I113" s="510"/>
      <c r="J113" s="54"/>
      <c r="K113" s="49"/>
      <c r="L113" s="529"/>
      <c r="M113" s="48"/>
      <c r="N113" s="530"/>
      <c r="O113" s="59">
        <v>2.0</v>
      </c>
      <c r="P113" s="492"/>
      <c r="Q113" s="530"/>
      <c r="R113" s="59"/>
      <c r="S113" s="59">
        <v>5.0</v>
      </c>
      <c r="T113" s="59">
        <v>1.0</v>
      </c>
      <c r="U113" s="59"/>
      <c r="V113" s="59"/>
      <c r="W113" s="515"/>
      <c r="X113" s="530"/>
      <c r="Y113" s="59">
        <v>1.0</v>
      </c>
      <c r="Z113" s="59">
        <v>4.0</v>
      </c>
      <c r="AA113" s="584"/>
      <c r="AB113" s="62">
        <f t="shared" si="17"/>
        <v>31</v>
      </c>
      <c r="AC113" s="80">
        <v>150.0</v>
      </c>
      <c r="AD113" s="68">
        <f t="shared" si="18"/>
        <v>4650</v>
      </c>
      <c r="AE113" s="17"/>
      <c r="AF113" s="155"/>
      <c r="AG113" s="155"/>
    </row>
    <row r="114">
      <c r="A114" s="197" t="s">
        <v>186</v>
      </c>
      <c r="B114" s="533">
        <v>1.0</v>
      </c>
      <c r="C114" s="508"/>
      <c r="D114" s="46"/>
      <c r="E114" s="59">
        <v>18.0</v>
      </c>
      <c r="F114" s="534"/>
      <c r="G114" s="59">
        <v>7.0</v>
      </c>
      <c r="H114" s="54"/>
      <c r="I114" s="51"/>
      <c r="J114" s="59">
        <v>1.0</v>
      </c>
      <c r="K114" s="46"/>
      <c r="L114" s="191"/>
      <c r="M114" s="191"/>
      <c r="N114" s="48"/>
      <c r="O114" s="54"/>
      <c r="P114" s="192"/>
      <c r="Q114" s="538"/>
      <c r="R114" s="59">
        <v>6.0</v>
      </c>
      <c r="S114" s="46"/>
      <c r="T114" s="46"/>
      <c r="U114" s="59">
        <v>1.0</v>
      </c>
      <c r="V114" s="59">
        <v>5.0</v>
      </c>
      <c r="W114" s="192"/>
      <c r="X114" s="191"/>
      <c r="Y114" s="59">
        <v>12.0</v>
      </c>
      <c r="Z114" s="59">
        <v>2.0</v>
      </c>
      <c r="AA114" s="535"/>
      <c r="AB114" s="62">
        <f t="shared" si="17"/>
        <v>53</v>
      </c>
      <c r="AC114" s="80">
        <v>130.0</v>
      </c>
      <c r="AD114" s="68">
        <f t="shared" si="18"/>
        <v>6890</v>
      </c>
      <c r="AE114" s="17"/>
      <c r="AF114" s="155"/>
      <c r="AG114" s="155"/>
    </row>
    <row r="115">
      <c r="A115" s="243" t="s">
        <v>187</v>
      </c>
      <c r="B115" s="553">
        <v>1.0</v>
      </c>
      <c r="C115" s="591"/>
      <c r="D115" s="247">
        <v>1.0</v>
      </c>
      <c r="E115" s="577">
        <v>1.0</v>
      </c>
      <c r="F115" s="561"/>
      <c r="G115" s="577">
        <v>2.0</v>
      </c>
      <c r="H115" s="577"/>
      <c r="I115" s="229"/>
      <c r="J115" s="577">
        <v>11.0</v>
      </c>
      <c r="K115" s="246"/>
      <c r="L115" s="245"/>
      <c r="M115" s="245"/>
      <c r="N115" s="245"/>
      <c r="O115" s="247">
        <v>3.0</v>
      </c>
      <c r="P115" s="229"/>
      <c r="Q115" s="645"/>
      <c r="R115" s="247">
        <v>3.0</v>
      </c>
      <c r="S115" s="247">
        <v>1.0</v>
      </c>
      <c r="T115" s="247">
        <v>5.0</v>
      </c>
      <c r="U115" s="247">
        <v>4.0</v>
      </c>
      <c r="V115" s="247">
        <v>1.0</v>
      </c>
      <c r="W115" s="579"/>
      <c r="X115" s="588"/>
      <c r="Y115" s="247">
        <v>2.0</v>
      </c>
      <c r="Z115" s="247">
        <v>2.0</v>
      </c>
      <c r="AA115" s="562"/>
      <c r="AB115" s="62">
        <f t="shared" si="17"/>
        <v>37</v>
      </c>
      <c r="AC115" s="167">
        <v>1650.0</v>
      </c>
      <c r="AD115" s="168">
        <f t="shared" si="18"/>
        <v>61050</v>
      </c>
      <c r="AE115" s="17"/>
      <c r="AF115" s="155"/>
      <c r="AG115" s="155"/>
    </row>
    <row r="116">
      <c r="A116" s="251" t="s">
        <v>45</v>
      </c>
      <c r="B116" s="12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  <c r="AB116" s="128"/>
      <c r="AC116" s="129"/>
      <c r="AD116" s="238">
        <f>SUM(AD111:AD115)</f>
        <v>78260</v>
      </c>
      <c r="AE116" s="17"/>
      <c r="AF116" s="195"/>
      <c r="AG116" s="195"/>
    </row>
    <row r="117">
      <c r="A117" s="24" t="s">
        <v>188</v>
      </c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8"/>
      <c r="AE117" s="17"/>
      <c r="AF117" s="178" t="s">
        <v>365</v>
      </c>
      <c r="AG117" s="178"/>
    </row>
    <row r="118">
      <c r="A118" s="252" t="s">
        <v>189</v>
      </c>
      <c r="B118" s="580"/>
      <c r="C118" s="491"/>
      <c r="D118" s="54"/>
      <c r="E118" s="54"/>
      <c r="F118" s="534"/>
      <c r="G118" s="49"/>
      <c r="H118" s="54"/>
      <c r="I118" s="51"/>
      <c r="J118" s="54"/>
      <c r="K118" s="49"/>
      <c r="L118" s="48"/>
      <c r="M118" s="48"/>
      <c r="N118" s="48"/>
      <c r="O118" s="54"/>
      <c r="P118" s="51"/>
      <c r="Q118" s="48"/>
      <c r="R118" s="54"/>
      <c r="S118" s="54"/>
      <c r="T118" s="54"/>
      <c r="U118" s="54"/>
      <c r="V118" s="59"/>
      <c r="W118" s="51"/>
      <c r="X118" s="530"/>
      <c r="Y118" s="54"/>
      <c r="Z118" s="54"/>
      <c r="AA118" s="584"/>
      <c r="AB118" s="62">
        <f t="shared" ref="AB118:AB120" si="19">SUM(B118:AA118)</f>
        <v>0</v>
      </c>
      <c r="AC118" s="80">
        <v>1036.0</v>
      </c>
      <c r="AD118" s="68">
        <f t="shared" ref="AD118:AD120" si="20">AB118*AC118</f>
        <v>0</v>
      </c>
      <c r="AE118" s="17"/>
      <c r="AF118" s="155"/>
      <c r="AG118" s="155"/>
    </row>
    <row r="119">
      <c r="A119" s="33" t="s">
        <v>25</v>
      </c>
      <c r="B119" s="580"/>
      <c r="C119" s="491"/>
      <c r="D119" s="46"/>
      <c r="E119" s="54"/>
      <c r="F119" s="534"/>
      <c r="G119" s="54"/>
      <c r="H119" s="54"/>
      <c r="I119" s="51"/>
      <c r="J119" s="54"/>
      <c r="K119" s="54"/>
      <c r="L119" s="48"/>
      <c r="M119" s="48"/>
      <c r="N119" s="48"/>
      <c r="O119" s="54"/>
      <c r="P119" s="51"/>
      <c r="Q119" s="48"/>
      <c r="R119" s="54"/>
      <c r="S119" s="54"/>
      <c r="T119" s="54"/>
      <c r="U119" s="54"/>
      <c r="V119" s="59"/>
      <c r="W119" s="51"/>
      <c r="X119" s="48"/>
      <c r="Y119" s="54"/>
      <c r="Z119" s="54"/>
      <c r="AA119" s="584"/>
      <c r="AB119" s="62">
        <f t="shared" si="19"/>
        <v>0</v>
      </c>
      <c r="AC119" s="80">
        <v>840.0</v>
      </c>
      <c r="AD119" s="68">
        <f t="shared" si="20"/>
        <v>0</v>
      </c>
      <c r="AE119" s="17"/>
      <c r="AF119" s="155"/>
      <c r="AG119" s="155"/>
    </row>
    <row r="120">
      <c r="A120" s="253" t="s">
        <v>17</v>
      </c>
      <c r="B120" s="553"/>
      <c r="C120" s="591"/>
      <c r="D120" s="181"/>
      <c r="E120" s="246"/>
      <c r="F120" s="590"/>
      <c r="G120" s="247">
        <v>1.0</v>
      </c>
      <c r="H120" s="577"/>
      <c r="I120" s="575"/>
      <c r="J120" s="247">
        <v>1.0</v>
      </c>
      <c r="K120" s="577"/>
      <c r="L120" s="245"/>
      <c r="M120" s="588"/>
      <c r="N120" s="182"/>
      <c r="O120" s="247">
        <v>1.0</v>
      </c>
      <c r="P120" s="575"/>
      <c r="Q120" s="588"/>
      <c r="R120" s="247">
        <v>1.0</v>
      </c>
      <c r="S120" s="247"/>
      <c r="T120" s="247"/>
      <c r="U120" s="247">
        <v>2.0</v>
      </c>
      <c r="V120" s="247"/>
      <c r="W120" s="579"/>
      <c r="X120" s="588"/>
      <c r="Y120" s="247"/>
      <c r="Z120" s="181"/>
      <c r="AA120" s="646">
        <v>7.0</v>
      </c>
      <c r="AB120" s="62">
        <f t="shared" si="19"/>
        <v>13</v>
      </c>
      <c r="AC120" s="167">
        <v>1125.0</v>
      </c>
      <c r="AD120" s="168">
        <f t="shared" si="20"/>
        <v>14625</v>
      </c>
      <c r="AE120" s="17"/>
      <c r="AF120" s="155"/>
      <c r="AG120" s="155"/>
    </row>
    <row r="121">
      <c r="A121" s="254" t="s">
        <v>45</v>
      </c>
      <c r="B121" s="128"/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  <c r="AB121" s="128"/>
      <c r="AC121" s="129"/>
      <c r="AD121" s="174">
        <f>SUM(AD118:AD120)</f>
        <v>14625</v>
      </c>
      <c r="AE121" s="17"/>
      <c r="AF121" s="255"/>
      <c r="AG121" s="255"/>
    </row>
    <row r="122">
      <c r="A122" s="256" t="s">
        <v>192</v>
      </c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8"/>
      <c r="AE122" s="17"/>
      <c r="AF122" s="257" t="s">
        <v>366</v>
      </c>
      <c r="AG122" s="257"/>
    </row>
    <row r="123">
      <c r="A123" s="258" t="s">
        <v>193</v>
      </c>
      <c r="B123" s="533"/>
      <c r="C123" s="508"/>
      <c r="D123" s="46"/>
      <c r="E123" s="59">
        <v>3.0</v>
      </c>
      <c r="F123" s="527"/>
      <c r="G123" s="493">
        <v>2.0</v>
      </c>
      <c r="H123" s="59">
        <v>1.0</v>
      </c>
      <c r="I123" s="51"/>
      <c r="J123" s="46"/>
      <c r="K123" s="59"/>
      <c r="L123" s="191"/>
      <c r="M123" s="530"/>
      <c r="N123" s="538"/>
      <c r="O123" s="54"/>
      <c r="P123" s="492"/>
      <c r="Q123" s="538"/>
      <c r="R123" s="46"/>
      <c r="S123" s="59">
        <v>3.0</v>
      </c>
      <c r="T123" s="46"/>
      <c r="U123" s="59">
        <v>2.0</v>
      </c>
      <c r="V123" s="59"/>
      <c r="W123" s="515"/>
      <c r="X123" s="530"/>
      <c r="Y123" s="59"/>
      <c r="Z123" s="46"/>
      <c r="AA123" s="535"/>
      <c r="AB123" s="62">
        <f t="shared" ref="AB123:AB133" si="21">SUM(B123:AA123)</f>
        <v>11</v>
      </c>
      <c r="AC123" s="80">
        <v>130.0</v>
      </c>
      <c r="AD123" s="68">
        <f t="shared" ref="AD123:AD133" si="22">AB123*AC123</f>
        <v>1430</v>
      </c>
      <c r="AE123" s="17"/>
      <c r="AF123" s="155"/>
      <c r="AG123" s="155"/>
    </row>
    <row r="124">
      <c r="A124" s="258" t="s">
        <v>196</v>
      </c>
      <c r="B124" s="580"/>
      <c r="C124" s="508"/>
      <c r="D124" s="54"/>
      <c r="E124" s="59">
        <v>1.0</v>
      </c>
      <c r="F124" s="534"/>
      <c r="G124" s="59">
        <v>1.0</v>
      </c>
      <c r="H124" s="493">
        <v>1.0</v>
      </c>
      <c r="I124" s="510"/>
      <c r="J124" s="46"/>
      <c r="K124" s="49"/>
      <c r="L124" s="538"/>
      <c r="M124" s="48"/>
      <c r="N124" s="48"/>
      <c r="O124" s="49"/>
      <c r="P124" s="51"/>
      <c r="Q124" s="530"/>
      <c r="R124" s="54"/>
      <c r="S124" s="59">
        <v>1.0</v>
      </c>
      <c r="T124" s="59"/>
      <c r="U124" s="59">
        <v>1.0</v>
      </c>
      <c r="V124" s="46"/>
      <c r="W124" s="192"/>
      <c r="X124" s="191"/>
      <c r="Y124" s="59"/>
      <c r="Z124" s="46"/>
      <c r="AA124" s="535"/>
      <c r="AB124" s="62">
        <f t="shared" si="21"/>
        <v>5</v>
      </c>
      <c r="AC124" s="80">
        <v>130.0</v>
      </c>
      <c r="AD124" s="68">
        <f t="shared" si="22"/>
        <v>650</v>
      </c>
      <c r="AE124" s="17"/>
      <c r="AF124" s="155"/>
      <c r="AG124" s="155"/>
    </row>
    <row r="125">
      <c r="A125" s="267" t="s">
        <v>360</v>
      </c>
      <c r="B125" s="489"/>
      <c r="C125" s="516"/>
      <c r="D125" s="46"/>
      <c r="E125" s="46"/>
      <c r="F125" s="534"/>
      <c r="G125" s="493"/>
      <c r="H125" s="46"/>
      <c r="I125" s="510"/>
      <c r="J125" s="59"/>
      <c r="K125" s="493">
        <v>1.0</v>
      </c>
      <c r="L125" s="538"/>
      <c r="M125" s="530"/>
      <c r="N125" s="530"/>
      <c r="O125" s="59">
        <v>1.0</v>
      </c>
      <c r="P125" s="192"/>
      <c r="Q125" s="529"/>
      <c r="R125" s="59"/>
      <c r="S125" s="46"/>
      <c r="T125" s="59"/>
      <c r="U125" s="59">
        <v>1.0</v>
      </c>
      <c r="V125" s="59"/>
      <c r="W125" s="515"/>
      <c r="X125" s="530"/>
      <c r="Y125" s="59"/>
      <c r="Z125" s="46"/>
      <c r="AA125" s="535"/>
      <c r="AB125" s="62">
        <f t="shared" si="21"/>
        <v>3</v>
      </c>
      <c r="AC125" s="80">
        <v>90.0</v>
      </c>
      <c r="AD125" s="68">
        <f t="shared" si="22"/>
        <v>270</v>
      </c>
      <c r="AE125" s="17"/>
      <c r="AF125" s="155"/>
      <c r="AG125" s="155"/>
    </row>
    <row r="126">
      <c r="A126" s="147" t="s">
        <v>199</v>
      </c>
      <c r="B126" s="580"/>
      <c r="C126" s="491"/>
      <c r="D126" s="54"/>
      <c r="E126" s="54"/>
      <c r="F126" s="534"/>
      <c r="G126" s="54"/>
      <c r="H126" s="54"/>
      <c r="I126" s="51"/>
      <c r="J126" s="54"/>
      <c r="K126" s="54"/>
      <c r="L126" s="48"/>
      <c r="M126" s="48"/>
      <c r="N126" s="48"/>
      <c r="O126" s="54"/>
      <c r="P126" s="51"/>
      <c r="Q126" s="48"/>
      <c r="R126" s="54"/>
      <c r="S126" s="54"/>
      <c r="T126" s="54"/>
      <c r="U126" s="54"/>
      <c r="V126" s="54"/>
      <c r="W126" s="51"/>
      <c r="X126" s="48"/>
      <c r="Y126" s="54"/>
      <c r="Z126" s="54"/>
      <c r="AA126" s="584"/>
      <c r="AB126" s="62">
        <f t="shared" si="21"/>
        <v>0</v>
      </c>
      <c r="AC126" s="80">
        <v>90.0</v>
      </c>
      <c r="AD126" s="68">
        <f t="shared" si="22"/>
        <v>0</v>
      </c>
      <c r="AE126" s="17"/>
      <c r="AF126" s="155"/>
      <c r="AG126" s="155"/>
    </row>
    <row r="127">
      <c r="A127" s="267" t="s">
        <v>369</v>
      </c>
      <c r="B127" s="533"/>
      <c r="C127" s="508"/>
      <c r="D127" s="59">
        <v>1.0</v>
      </c>
      <c r="E127" s="54"/>
      <c r="F127" s="527"/>
      <c r="G127" s="493">
        <v>4.0</v>
      </c>
      <c r="H127" s="59">
        <v>1.0</v>
      </c>
      <c r="I127" s="510"/>
      <c r="J127" s="493">
        <v>1.0</v>
      </c>
      <c r="K127" s="493">
        <v>3.0</v>
      </c>
      <c r="L127" s="529"/>
      <c r="M127" s="530"/>
      <c r="N127" s="529"/>
      <c r="O127" s="493">
        <v>1.0</v>
      </c>
      <c r="P127" s="515"/>
      <c r="Q127" s="529"/>
      <c r="R127" s="59"/>
      <c r="S127" s="46"/>
      <c r="T127" s="59">
        <v>1.0</v>
      </c>
      <c r="U127" s="59">
        <v>2.0</v>
      </c>
      <c r="V127" s="59">
        <v>2.0</v>
      </c>
      <c r="W127" s="515"/>
      <c r="X127" s="530"/>
      <c r="Y127" s="59"/>
      <c r="Z127" s="46"/>
      <c r="AA127" s="531">
        <v>1.0</v>
      </c>
      <c r="AB127" s="62">
        <f t="shared" si="21"/>
        <v>17</v>
      </c>
      <c r="AC127" s="80">
        <v>200.0</v>
      </c>
      <c r="AD127" s="68">
        <f t="shared" si="22"/>
        <v>3400</v>
      </c>
      <c r="AE127" s="17"/>
      <c r="AF127" s="155"/>
      <c r="AG127" s="155"/>
    </row>
    <row r="128">
      <c r="A128" s="258" t="s">
        <v>203</v>
      </c>
      <c r="B128" s="580"/>
      <c r="C128" s="491"/>
      <c r="D128" s="54"/>
      <c r="E128" s="54"/>
      <c r="F128" s="534"/>
      <c r="G128" s="54"/>
      <c r="H128" s="54"/>
      <c r="I128" s="51"/>
      <c r="J128" s="54"/>
      <c r="K128" s="54"/>
      <c r="L128" s="48"/>
      <c r="M128" s="48"/>
      <c r="N128" s="48"/>
      <c r="O128" s="54"/>
      <c r="P128" s="51"/>
      <c r="Q128" s="48"/>
      <c r="R128" s="54"/>
      <c r="S128" s="46"/>
      <c r="T128" s="46"/>
      <c r="U128" s="46"/>
      <c r="V128" s="46"/>
      <c r="W128" s="192"/>
      <c r="X128" s="191"/>
      <c r="Y128" s="46"/>
      <c r="Z128" s="46"/>
      <c r="AA128" s="535"/>
      <c r="AB128" s="62">
        <f t="shared" si="21"/>
        <v>0</v>
      </c>
      <c r="AC128" s="80">
        <v>200.0</v>
      </c>
      <c r="AD128" s="68">
        <f t="shared" si="22"/>
        <v>0</v>
      </c>
      <c r="AE128" s="17"/>
      <c r="AF128" s="155"/>
      <c r="AG128" s="155"/>
    </row>
    <row r="129">
      <c r="A129" s="258" t="s">
        <v>204</v>
      </c>
      <c r="B129" s="580"/>
      <c r="C129" s="491"/>
      <c r="D129" s="54"/>
      <c r="E129" s="54"/>
      <c r="F129" s="534"/>
      <c r="G129" s="54"/>
      <c r="H129" s="54"/>
      <c r="I129" s="51"/>
      <c r="J129" s="54"/>
      <c r="K129" s="54"/>
      <c r="L129" s="48"/>
      <c r="M129" s="48"/>
      <c r="N129" s="48"/>
      <c r="O129" s="54"/>
      <c r="P129" s="51"/>
      <c r="Q129" s="48"/>
      <c r="R129" s="54"/>
      <c r="S129" s="54"/>
      <c r="T129" s="54"/>
      <c r="U129" s="54"/>
      <c r="V129" s="54"/>
      <c r="W129" s="51"/>
      <c r="X129" s="48"/>
      <c r="Y129" s="54"/>
      <c r="Z129" s="54"/>
      <c r="AA129" s="584"/>
      <c r="AB129" s="62">
        <f t="shared" si="21"/>
        <v>0</v>
      </c>
      <c r="AC129" s="80">
        <v>600.0</v>
      </c>
      <c r="AD129" s="68">
        <f t="shared" si="22"/>
        <v>0</v>
      </c>
      <c r="AE129" s="17"/>
      <c r="AF129" s="155"/>
      <c r="AG129" s="155"/>
    </row>
    <row r="130">
      <c r="A130" s="258" t="s">
        <v>205</v>
      </c>
      <c r="B130" s="489"/>
      <c r="C130" s="516"/>
      <c r="D130" s="46"/>
      <c r="E130" s="59">
        <v>4.0</v>
      </c>
      <c r="F130" s="527"/>
      <c r="G130" s="493">
        <v>1.0</v>
      </c>
      <c r="H130" s="59">
        <v>2.0</v>
      </c>
      <c r="I130" s="51"/>
      <c r="J130" s="59"/>
      <c r="K130" s="493"/>
      <c r="L130" s="529"/>
      <c r="M130" s="530"/>
      <c r="N130" s="529"/>
      <c r="O130" s="59">
        <v>1.0</v>
      </c>
      <c r="P130" s="510"/>
      <c r="Q130" s="191"/>
      <c r="R130" s="59"/>
      <c r="S130" s="46"/>
      <c r="T130" s="59">
        <v>1.0</v>
      </c>
      <c r="U130" s="59">
        <v>1.0</v>
      </c>
      <c r="V130" s="46"/>
      <c r="W130" s="515"/>
      <c r="X130" s="191"/>
      <c r="Y130" s="46"/>
      <c r="Z130" s="59">
        <v>2.0</v>
      </c>
      <c r="AA130" s="531">
        <v>2.0</v>
      </c>
      <c r="AB130" s="62">
        <f t="shared" si="21"/>
        <v>14</v>
      </c>
      <c r="AC130" s="80">
        <v>600.0</v>
      </c>
      <c r="AD130" s="68">
        <f t="shared" si="22"/>
        <v>8400</v>
      </c>
      <c r="AE130" s="17"/>
      <c r="AF130" s="155"/>
      <c r="AG130" s="155"/>
    </row>
    <row r="131">
      <c r="A131" s="267" t="s">
        <v>225</v>
      </c>
      <c r="B131" s="533">
        <v>2.0</v>
      </c>
      <c r="C131" s="508"/>
      <c r="D131" s="59">
        <v>1.0</v>
      </c>
      <c r="E131" s="59">
        <v>1.0</v>
      </c>
      <c r="F131" s="527"/>
      <c r="G131" s="59">
        <v>1.0</v>
      </c>
      <c r="H131" s="59">
        <v>2.0</v>
      </c>
      <c r="I131" s="515"/>
      <c r="J131" s="59"/>
      <c r="K131" s="59">
        <v>5.0</v>
      </c>
      <c r="L131" s="530"/>
      <c r="M131" s="530"/>
      <c r="N131" s="529"/>
      <c r="O131" s="493">
        <v>1.0</v>
      </c>
      <c r="P131" s="510"/>
      <c r="Q131" s="529"/>
      <c r="R131" s="59">
        <v>1.0</v>
      </c>
      <c r="S131" s="59">
        <v>5.0</v>
      </c>
      <c r="T131" s="59">
        <v>2.0</v>
      </c>
      <c r="U131" s="59">
        <v>2.0</v>
      </c>
      <c r="V131" s="59">
        <v>1.0</v>
      </c>
      <c r="W131" s="515"/>
      <c r="X131" s="530"/>
      <c r="Y131" s="59"/>
      <c r="Z131" s="59">
        <v>2.0</v>
      </c>
      <c r="AA131" s="535"/>
      <c r="AB131" s="62">
        <f t="shared" si="21"/>
        <v>26</v>
      </c>
      <c r="AC131" s="80">
        <v>500.0</v>
      </c>
      <c r="AD131" s="68">
        <f t="shared" si="22"/>
        <v>13000</v>
      </c>
      <c r="AE131" s="17"/>
      <c r="AF131" s="155"/>
      <c r="AG131" s="155"/>
    </row>
    <row r="132">
      <c r="A132" s="267" t="s">
        <v>206</v>
      </c>
      <c r="B132" s="533"/>
      <c r="C132" s="491"/>
      <c r="D132" s="54"/>
      <c r="E132" s="54"/>
      <c r="F132" s="534"/>
      <c r="G132" s="54"/>
      <c r="H132" s="59"/>
      <c r="I132" s="51"/>
      <c r="J132" s="54"/>
      <c r="K132" s="54"/>
      <c r="L132" s="48"/>
      <c r="M132" s="48"/>
      <c r="N132" s="48"/>
      <c r="O132" s="54"/>
      <c r="P132" s="51"/>
      <c r="Q132" s="48"/>
      <c r="R132" s="54"/>
      <c r="S132" s="54"/>
      <c r="T132" s="54"/>
      <c r="U132" s="54"/>
      <c r="V132" s="54"/>
      <c r="W132" s="51"/>
      <c r="X132" s="48"/>
      <c r="Y132" s="54"/>
      <c r="Z132" s="54"/>
      <c r="AA132" s="584"/>
      <c r="AB132" s="62">
        <f t="shared" si="21"/>
        <v>0</v>
      </c>
      <c r="AC132" s="80">
        <v>1300.0</v>
      </c>
      <c r="AD132" s="68">
        <f t="shared" si="22"/>
        <v>0</v>
      </c>
      <c r="AE132" s="17"/>
      <c r="AF132" s="155"/>
      <c r="AG132" s="155"/>
    </row>
    <row r="133">
      <c r="A133" s="259" t="s">
        <v>229</v>
      </c>
      <c r="B133" s="589"/>
      <c r="C133" s="543"/>
      <c r="D133" s="184"/>
      <c r="E133" s="247">
        <v>1.0</v>
      </c>
      <c r="F133" s="561"/>
      <c r="G133" s="247"/>
      <c r="H133" s="181"/>
      <c r="I133" s="183"/>
      <c r="J133" s="247"/>
      <c r="K133" s="184"/>
      <c r="L133" s="645"/>
      <c r="M133" s="182"/>
      <c r="N133" s="182"/>
      <c r="O133" s="184"/>
      <c r="P133" s="579"/>
      <c r="Q133" s="182"/>
      <c r="R133" s="184"/>
      <c r="S133" s="184"/>
      <c r="T133" s="184"/>
      <c r="U133" s="247"/>
      <c r="V133" s="247"/>
      <c r="W133" s="183"/>
      <c r="X133" s="182"/>
      <c r="Y133" s="184"/>
      <c r="Z133" s="184"/>
      <c r="AA133" s="646">
        <v>1.0</v>
      </c>
      <c r="AB133" s="62">
        <f t="shared" si="21"/>
        <v>2</v>
      </c>
      <c r="AC133" s="167">
        <v>650.0</v>
      </c>
      <c r="AD133" s="168">
        <f t="shared" si="22"/>
        <v>1300</v>
      </c>
      <c r="AE133" s="17"/>
      <c r="AF133" s="155"/>
      <c r="AG133" s="155"/>
    </row>
    <row r="134">
      <c r="A134" s="254" t="s">
        <v>45</v>
      </c>
      <c r="B134" s="128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9"/>
      <c r="AD134" s="260">
        <f>SUM(AD123:AD133)</f>
        <v>28450</v>
      </c>
      <c r="AE134" s="17"/>
      <c r="AF134" s="261"/>
      <c r="AG134" s="261"/>
    </row>
    <row r="135">
      <c r="A135" s="262" t="s">
        <v>208</v>
      </c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8"/>
      <c r="AE135" s="17"/>
      <c r="AF135" s="257" t="s">
        <v>373</v>
      </c>
      <c r="AG135" s="257"/>
    </row>
    <row r="136">
      <c r="A136" s="142" t="s">
        <v>210</v>
      </c>
      <c r="B136" s="580"/>
      <c r="C136" s="491"/>
      <c r="D136" s="54"/>
      <c r="E136" s="54"/>
      <c r="F136" s="534"/>
      <c r="G136" s="54"/>
      <c r="H136" s="59">
        <v>1.0</v>
      </c>
      <c r="I136" s="492"/>
      <c r="J136" s="54"/>
      <c r="K136" s="54"/>
      <c r="L136" s="538"/>
      <c r="M136" s="530"/>
      <c r="N136" s="48"/>
      <c r="O136" s="54"/>
      <c r="P136" s="51"/>
      <c r="Q136" s="48"/>
      <c r="R136" s="59">
        <v>2.0</v>
      </c>
      <c r="S136" s="54"/>
      <c r="T136" s="59">
        <v>1.0</v>
      </c>
      <c r="U136" s="59">
        <v>1.0</v>
      </c>
      <c r="V136" s="54"/>
      <c r="W136" s="51"/>
      <c r="X136" s="48"/>
      <c r="Y136" s="59"/>
      <c r="Z136" s="54"/>
      <c r="AA136" s="531">
        <v>1.0</v>
      </c>
      <c r="AB136" s="62">
        <f t="shared" ref="AB136:AB143" si="23">SUM(B136:AA136)</f>
        <v>6</v>
      </c>
      <c r="AC136" s="80">
        <v>700.0</v>
      </c>
      <c r="AD136" s="68">
        <f t="shared" ref="AD136:AD143" si="24">AB136*AC136</f>
        <v>4200</v>
      </c>
      <c r="AE136" s="17"/>
      <c r="AF136" s="155"/>
      <c r="AG136" s="155"/>
    </row>
    <row r="137">
      <c r="A137" s="142" t="s">
        <v>213</v>
      </c>
      <c r="B137" s="580"/>
      <c r="C137" s="516"/>
      <c r="D137" s="54"/>
      <c r="E137" s="54"/>
      <c r="F137" s="534"/>
      <c r="G137" s="54"/>
      <c r="H137" s="54"/>
      <c r="I137" s="51"/>
      <c r="J137" s="59"/>
      <c r="K137" s="54"/>
      <c r="L137" s="48"/>
      <c r="M137" s="530"/>
      <c r="N137" s="48"/>
      <c r="O137" s="54"/>
      <c r="P137" s="192"/>
      <c r="Q137" s="48"/>
      <c r="R137" s="54"/>
      <c r="S137" s="59"/>
      <c r="T137" s="54"/>
      <c r="U137" s="54"/>
      <c r="V137" s="54"/>
      <c r="W137" s="51"/>
      <c r="X137" s="48"/>
      <c r="Y137" s="54"/>
      <c r="Z137" s="54"/>
      <c r="AA137" s="584"/>
      <c r="AB137" s="62">
        <f t="shared" si="23"/>
        <v>0</v>
      </c>
      <c r="AC137" s="80">
        <v>1450.0</v>
      </c>
      <c r="AD137" s="68">
        <f t="shared" si="24"/>
        <v>0</v>
      </c>
      <c r="AE137" s="17"/>
      <c r="AF137" s="155"/>
      <c r="AG137" s="155"/>
    </row>
    <row r="138">
      <c r="A138" s="142" t="s">
        <v>215</v>
      </c>
      <c r="B138" s="580"/>
      <c r="C138" s="491"/>
      <c r="D138" s="54"/>
      <c r="E138" s="54"/>
      <c r="F138" s="534"/>
      <c r="G138" s="49"/>
      <c r="H138" s="54"/>
      <c r="I138" s="51"/>
      <c r="J138" s="54"/>
      <c r="K138" s="54"/>
      <c r="L138" s="191"/>
      <c r="M138" s="48"/>
      <c r="N138" s="191"/>
      <c r="O138" s="54"/>
      <c r="P138" s="51"/>
      <c r="Q138" s="48"/>
      <c r="R138" s="46"/>
      <c r="S138" s="59">
        <v>1.0</v>
      </c>
      <c r="T138" s="46"/>
      <c r="U138" s="59">
        <v>1.0</v>
      </c>
      <c r="V138" s="46"/>
      <c r="W138" s="192"/>
      <c r="X138" s="191"/>
      <c r="Y138" s="46"/>
      <c r="Z138" s="59">
        <v>1.0</v>
      </c>
      <c r="AA138" s="535"/>
      <c r="AB138" s="62">
        <f t="shared" si="23"/>
        <v>3</v>
      </c>
      <c r="AC138" s="80">
        <v>800.0</v>
      </c>
      <c r="AD138" s="68">
        <f t="shared" si="24"/>
        <v>2400</v>
      </c>
      <c r="AE138" s="17"/>
      <c r="AF138" s="155"/>
      <c r="AG138" s="155"/>
    </row>
    <row r="139">
      <c r="A139" s="142" t="s">
        <v>217</v>
      </c>
      <c r="B139" s="533">
        <v>5.0</v>
      </c>
      <c r="C139" s="491"/>
      <c r="D139" s="46"/>
      <c r="E139" s="46"/>
      <c r="F139" s="534"/>
      <c r="G139" s="54"/>
      <c r="H139" s="46"/>
      <c r="I139" s="51"/>
      <c r="J139" s="54"/>
      <c r="K139" s="54"/>
      <c r="L139" s="530"/>
      <c r="M139" s="48"/>
      <c r="N139" s="48"/>
      <c r="O139" s="54"/>
      <c r="P139" s="192"/>
      <c r="Q139" s="48"/>
      <c r="R139" s="59"/>
      <c r="S139" s="46"/>
      <c r="T139" s="46"/>
      <c r="U139" s="46"/>
      <c r="V139" s="46"/>
      <c r="W139" s="192"/>
      <c r="X139" s="191"/>
      <c r="Y139" s="46"/>
      <c r="Z139" s="46"/>
      <c r="AA139" s="531">
        <v>1.0</v>
      </c>
      <c r="AB139" s="62">
        <f t="shared" si="23"/>
        <v>6</v>
      </c>
      <c r="AC139" s="80">
        <v>800.0</v>
      </c>
      <c r="AD139" s="68">
        <f t="shared" si="24"/>
        <v>4800</v>
      </c>
      <c r="AE139" s="17"/>
      <c r="AF139" s="155"/>
      <c r="AG139" s="155"/>
    </row>
    <row r="140">
      <c r="A140" s="142" t="s">
        <v>220</v>
      </c>
      <c r="B140" s="489">
        <v>14.0</v>
      </c>
      <c r="C140" s="516"/>
      <c r="D140" s="46"/>
      <c r="E140" s="493">
        <v>2.0</v>
      </c>
      <c r="F140" s="527"/>
      <c r="G140" s="493"/>
      <c r="H140" s="493">
        <v>1.0</v>
      </c>
      <c r="I140" s="510"/>
      <c r="J140" s="46"/>
      <c r="K140" s="493"/>
      <c r="L140" s="529"/>
      <c r="M140" s="530"/>
      <c r="N140" s="530"/>
      <c r="O140" s="493">
        <v>7.0</v>
      </c>
      <c r="P140" s="510"/>
      <c r="Q140" s="530"/>
      <c r="R140" s="59">
        <v>6.0</v>
      </c>
      <c r="S140" s="46"/>
      <c r="T140" s="59"/>
      <c r="U140" s="59">
        <v>8.0</v>
      </c>
      <c r="V140" s="59">
        <v>2.0</v>
      </c>
      <c r="W140" s="515"/>
      <c r="X140" s="530"/>
      <c r="Y140" s="59">
        <v>2.0</v>
      </c>
      <c r="Z140" s="59">
        <v>3.0</v>
      </c>
      <c r="AA140" s="535"/>
      <c r="AB140" s="62">
        <f t="shared" si="23"/>
        <v>45</v>
      </c>
      <c r="AC140" s="80">
        <v>260.0</v>
      </c>
      <c r="AD140" s="68">
        <f t="shared" si="24"/>
        <v>11700</v>
      </c>
      <c r="AE140" s="17"/>
      <c r="AF140" s="155"/>
      <c r="AG140" s="155"/>
    </row>
    <row r="141">
      <c r="A141" s="263" t="s">
        <v>221</v>
      </c>
      <c r="B141" s="587">
        <v>2.0</v>
      </c>
      <c r="C141" s="549"/>
      <c r="D141" s="181"/>
      <c r="E141" s="181"/>
      <c r="F141" s="561"/>
      <c r="G141" s="247"/>
      <c r="H141" s="181"/>
      <c r="I141" s="575"/>
      <c r="J141" s="184"/>
      <c r="K141" s="577">
        <v>1.0</v>
      </c>
      <c r="L141" s="588"/>
      <c r="M141" s="588"/>
      <c r="N141" s="588"/>
      <c r="O141" s="184"/>
      <c r="P141" s="575"/>
      <c r="Q141" s="182"/>
      <c r="R141" s="184"/>
      <c r="S141" s="247"/>
      <c r="T141" s="181"/>
      <c r="U141" s="181"/>
      <c r="V141" s="181"/>
      <c r="W141" s="229"/>
      <c r="X141" s="245"/>
      <c r="Y141" s="181"/>
      <c r="Z141" s="181"/>
      <c r="AA141" s="562"/>
      <c r="AB141" s="62">
        <f t="shared" si="23"/>
        <v>3</v>
      </c>
      <c r="AC141" s="167">
        <v>180.0</v>
      </c>
      <c r="AD141" s="168">
        <f t="shared" si="24"/>
        <v>540</v>
      </c>
      <c r="AE141" s="17"/>
      <c r="AF141" s="155"/>
      <c r="AG141" s="155"/>
    </row>
    <row r="142">
      <c r="A142" s="142" t="s">
        <v>368</v>
      </c>
      <c r="B142" s="533">
        <v>2.0</v>
      </c>
      <c r="C142" s="508"/>
      <c r="D142" s="46"/>
      <c r="E142" s="46"/>
      <c r="F142" s="534"/>
      <c r="G142" s="54"/>
      <c r="H142" s="59">
        <v>2.0</v>
      </c>
      <c r="I142" s="492"/>
      <c r="J142" s="59"/>
      <c r="K142" s="493"/>
      <c r="L142" s="530"/>
      <c r="M142" s="530"/>
      <c r="N142" s="530"/>
      <c r="O142" s="59">
        <v>4.0</v>
      </c>
      <c r="P142" s="492"/>
      <c r="Q142" s="48"/>
      <c r="R142" s="54"/>
      <c r="S142" s="59"/>
      <c r="T142" s="46"/>
      <c r="U142" s="46"/>
      <c r="V142" s="59">
        <v>1.0</v>
      </c>
      <c r="W142" s="192"/>
      <c r="X142" s="191"/>
      <c r="Y142" s="46"/>
      <c r="Z142" s="46"/>
      <c r="AA142" s="535"/>
      <c r="AB142" s="62">
        <f t="shared" si="23"/>
        <v>9</v>
      </c>
      <c r="AC142" s="80">
        <v>160.0</v>
      </c>
      <c r="AD142" s="68">
        <f t="shared" si="24"/>
        <v>1440</v>
      </c>
      <c r="AE142" s="17"/>
      <c r="AF142" s="155"/>
      <c r="AG142" s="155"/>
    </row>
    <row r="143">
      <c r="A143" s="263" t="s">
        <v>370</v>
      </c>
      <c r="B143" s="587"/>
      <c r="C143" s="549"/>
      <c r="D143" s="181"/>
      <c r="E143" s="181"/>
      <c r="F143" s="561"/>
      <c r="G143" s="184"/>
      <c r="H143" s="181"/>
      <c r="I143" s="575"/>
      <c r="J143" s="247"/>
      <c r="K143" s="577"/>
      <c r="L143" s="588"/>
      <c r="M143" s="588"/>
      <c r="N143" s="588"/>
      <c r="O143" s="184"/>
      <c r="P143" s="575"/>
      <c r="Q143" s="182"/>
      <c r="R143" s="184"/>
      <c r="S143" s="247"/>
      <c r="T143" s="181"/>
      <c r="U143" s="181"/>
      <c r="V143" s="181"/>
      <c r="W143" s="229"/>
      <c r="X143" s="245"/>
      <c r="Y143" s="181"/>
      <c r="Z143" s="181"/>
      <c r="AA143" s="562"/>
      <c r="AB143" s="62">
        <f t="shared" si="23"/>
        <v>0</v>
      </c>
      <c r="AC143" s="167">
        <v>200.0</v>
      </c>
      <c r="AD143" s="168">
        <f t="shared" si="24"/>
        <v>0</v>
      </c>
      <c r="AE143" s="17"/>
      <c r="AF143" s="155"/>
      <c r="AG143" s="155"/>
    </row>
    <row r="144">
      <c r="A144" s="254" t="s">
        <v>45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9"/>
      <c r="AD144" s="260">
        <f>SUM(AD136:AD143)</f>
        <v>25080</v>
      </c>
      <c r="AE144" s="17"/>
      <c r="AF144" s="261"/>
      <c r="AG144" s="261"/>
    </row>
    <row r="145">
      <c r="A145" s="262" t="s">
        <v>223</v>
      </c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8"/>
      <c r="AE145" s="17"/>
      <c r="AF145" s="257"/>
      <c r="AG145" s="257"/>
    </row>
    <row r="146">
      <c r="A146" s="266" t="s">
        <v>224</v>
      </c>
      <c r="B146" s="489">
        <v>3.0</v>
      </c>
      <c r="C146" s="516"/>
      <c r="D146" s="59">
        <v>1.0</v>
      </c>
      <c r="E146" s="46"/>
      <c r="F146" s="534"/>
      <c r="G146" s="226">
        <v>1.0</v>
      </c>
      <c r="H146" s="493">
        <v>1.0</v>
      </c>
      <c r="I146" s="510"/>
      <c r="J146" s="493">
        <v>1.0</v>
      </c>
      <c r="K146" s="493">
        <v>1.0</v>
      </c>
      <c r="L146" s="530"/>
      <c r="M146" s="530"/>
      <c r="N146" s="529"/>
      <c r="O146" s="59">
        <v>1.0</v>
      </c>
      <c r="P146" s="510"/>
      <c r="Q146" s="529"/>
      <c r="R146" s="59">
        <v>5.0</v>
      </c>
      <c r="S146" s="59">
        <v>1.0</v>
      </c>
      <c r="T146" s="46"/>
      <c r="U146" s="59">
        <v>4.0</v>
      </c>
      <c r="V146" s="59">
        <v>3.0</v>
      </c>
      <c r="W146" s="192"/>
      <c r="X146" s="530"/>
      <c r="Y146" s="59">
        <v>1.0</v>
      </c>
      <c r="Z146" s="59">
        <v>3.0</v>
      </c>
      <c r="AA146" s="531">
        <v>2.0</v>
      </c>
      <c r="AB146" s="62">
        <f t="shared" ref="AB146:AB152" si="25">SUM(B146:AA146)</f>
        <v>28</v>
      </c>
      <c r="AC146" s="80">
        <v>325.0</v>
      </c>
      <c r="AD146" s="68">
        <f t="shared" ref="AD146:AD152" si="26">AB146*AC146</f>
        <v>9100</v>
      </c>
      <c r="AE146" s="17"/>
      <c r="AF146" s="155"/>
      <c r="AG146" s="155"/>
    </row>
    <row r="147">
      <c r="A147" s="268" t="s">
        <v>372</v>
      </c>
      <c r="B147" s="489">
        <v>2.0</v>
      </c>
      <c r="C147" s="516"/>
      <c r="D147" s="46"/>
      <c r="E147" s="59">
        <v>1.0</v>
      </c>
      <c r="F147" s="527"/>
      <c r="G147" s="493"/>
      <c r="H147" s="49"/>
      <c r="I147" s="510"/>
      <c r="J147" s="493">
        <v>2.0</v>
      </c>
      <c r="K147" s="49"/>
      <c r="L147" s="529"/>
      <c r="M147" s="191"/>
      <c r="N147" s="538"/>
      <c r="O147" s="59">
        <v>3.0</v>
      </c>
      <c r="P147" s="492"/>
      <c r="Q147" s="529"/>
      <c r="R147" s="59">
        <v>3.0</v>
      </c>
      <c r="S147" s="46"/>
      <c r="T147" s="59">
        <v>2.0</v>
      </c>
      <c r="U147" s="59"/>
      <c r="V147" s="59"/>
      <c r="W147" s="192"/>
      <c r="X147" s="530"/>
      <c r="Y147" s="59">
        <v>1.0</v>
      </c>
      <c r="Z147" s="59">
        <v>2.0</v>
      </c>
      <c r="AA147" s="535"/>
      <c r="AB147" s="62">
        <f t="shared" si="25"/>
        <v>16</v>
      </c>
      <c r="AC147" s="80">
        <v>485.0</v>
      </c>
      <c r="AD147" s="68">
        <f t="shared" si="26"/>
        <v>7760</v>
      </c>
      <c r="AE147" s="17"/>
      <c r="AF147" s="155"/>
      <c r="AG147" s="155"/>
    </row>
    <row r="148">
      <c r="A148" s="268" t="s">
        <v>362</v>
      </c>
      <c r="B148" s="489">
        <v>2.0</v>
      </c>
      <c r="C148" s="516"/>
      <c r="D148" s="46"/>
      <c r="E148" s="46"/>
      <c r="F148" s="527"/>
      <c r="G148" s="493"/>
      <c r="H148" s="493"/>
      <c r="I148" s="510"/>
      <c r="J148" s="493">
        <v>1.0</v>
      </c>
      <c r="K148" s="493"/>
      <c r="L148" s="538"/>
      <c r="M148" s="530"/>
      <c r="N148" s="529"/>
      <c r="O148" s="59"/>
      <c r="P148" s="492"/>
      <c r="Q148" s="529"/>
      <c r="R148" s="59"/>
      <c r="S148" s="59"/>
      <c r="T148" s="59"/>
      <c r="U148" s="59"/>
      <c r="V148" s="59"/>
      <c r="W148" s="192"/>
      <c r="X148" s="530"/>
      <c r="Y148" s="59"/>
      <c r="Z148" s="59">
        <v>1.0</v>
      </c>
      <c r="AA148" s="531">
        <v>1.0</v>
      </c>
      <c r="AB148" s="62">
        <f t="shared" si="25"/>
        <v>5</v>
      </c>
      <c r="AC148" s="80">
        <v>445.0</v>
      </c>
      <c r="AD148" s="68">
        <f t="shared" si="26"/>
        <v>2225</v>
      </c>
      <c r="AE148" s="17"/>
      <c r="AF148" s="155"/>
      <c r="AG148" s="155"/>
    </row>
    <row r="149">
      <c r="A149" s="268" t="s">
        <v>363</v>
      </c>
      <c r="B149" s="489">
        <v>6.0</v>
      </c>
      <c r="C149" s="516"/>
      <c r="D149" s="46"/>
      <c r="E149" s="59">
        <v>4.0</v>
      </c>
      <c r="F149" s="534"/>
      <c r="G149" s="493">
        <v>2.0</v>
      </c>
      <c r="H149" s="493">
        <v>2.0</v>
      </c>
      <c r="I149" s="492"/>
      <c r="J149" s="49"/>
      <c r="K149" s="493"/>
      <c r="L149" s="529"/>
      <c r="M149" s="530"/>
      <c r="N149" s="529"/>
      <c r="O149" s="59">
        <v>1.0</v>
      </c>
      <c r="P149" s="492"/>
      <c r="Q149" s="529"/>
      <c r="R149" s="59">
        <v>2.0</v>
      </c>
      <c r="S149" s="59">
        <v>3.0</v>
      </c>
      <c r="T149" s="59">
        <v>5.0</v>
      </c>
      <c r="U149" s="59">
        <v>2.0</v>
      </c>
      <c r="V149" s="59">
        <v>2.0</v>
      </c>
      <c r="W149" s="192"/>
      <c r="X149" s="530"/>
      <c r="Y149" s="59"/>
      <c r="Z149" s="59">
        <v>9.0</v>
      </c>
      <c r="AA149" s="535"/>
      <c r="AB149" s="62">
        <f t="shared" si="25"/>
        <v>38</v>
      </c>
      <c r="AC149" s="80">
        <v>485.0</v>
      </c>
      <c r="AD149" s="68">
        <f t="shared" si="26"/>
        <v>18430</v>
      </c>
      <c r="AE149" s="17"/>
      <c r="AF149" s="155"/>
      <c r="AG149" s="155"/>
    </row>
    <row r="150">
      <c r="A150" s="268" t="s">
        <v>377</v>
      </c>
      <c r="B150" s="489"/>
      <c r="C150" s="516"/>
      <c r="D150" s="46"/>
      <c r="E150" s="59"/>
      <c r="F150" s="534"/>
      <c r="G150" s="493"/>
      <c r="H150" s="493"/>
      <c r="I150" s="492"/>
      <c r="J150" s="49"/>
      <c r="K150" s="493"/>
      <c r="L150" s="529"/>
      <c r="M150" s="530"/>
      <c r="N150" s="529"/>
      <c r="O150" s="59"/>
      <c r="P150" s="492"/>
      <c r="Q150" s="529"/>
      <c r="R150" s="59"/>
      <c r="S150" s="59"/>
      <c r="T150" s="59"/>
      <c r="U150" s="59">
        <v>3.0</v>
      </c>
      <c r="V150" s="59"/>
      <c r="W150" s="192"/>
      <c r="X150" s="530"/>
      <c r="Y150" s="59">
        <v>2.0</v>
      </c>
      <c r="Z150" s="59">
        <v>3.0</v>
      </c>
      <c r="AA150" s="531">
        <v>1.0</v>
      </c>
      <c r="AB150" s="62">
        <f t="shared" si="25"/>
        <v>9</v>
      </c>
      <c r="AC150" s="80">
        <v>480.0</v>
      </c>
      <c r="AD150" s="68">
        <f t="shared" si="26"/>
        <v>4320</v>
      </c>
      <c r="AE150" s="17"/>
      <c r="AF150" s="155"/>
      <c r="AG150" s="155"/>
    </row>
    <row r="151">
      <c r="A151" s="268" t="s">
        <v>378</v>
      </c>
      <c r="B151" s="489"/>
      <c r="C151" s="516"/>
      <c r="D151" s="46"/>
      <c r="E151" s="59"/>
      <c r="F151" s="534"/>
      <c r="G151" s="493"/>
      <c r="H151" s="493"/>
      <c r="I151" s="492"/>
      <c r="J151" s="49"/>
      <c r="K151" s="493"/>
      <c r="L151" s="529"/>
      <c r="M151" s="530"/>
      <c r="N151" s="529"/>
      <c r="O151" s="54"/>
      <c r="P151" s="492"/>
      <c r="Q151" s="529"/>
      <c r="R151" s="59">
        <v>3.0</v>
      </c>
      <c r="S151" s="59">
        <v>2.0</v>
      </c>
      <c r="T151" s="59">
        <v>1.0</v>
      </c>
      <c r="U151" s="59">
        <v>3.0</v>
      </c>
      <c r="V151" s="59">
        <v>3.0</v>
      </c>
      <c r="W151" s="192"/>
      <c r="X151" s="530"/>
      <c r="Y151" s="59"/>
      <c r="Z151" s="46"/>
      <c r="AA151" s="535"/>
      <c r="AB151" s="62">
        <f t="shared" si="25"/>
        <v>12</v>
      </c>
      <c r="AC151" s="80">
        <v>650.0</v>
      </c>
      <c r="AD151" s="68">
        <f t="shared" si="26"/>
        <v>7800</v>
      </c>
      <c r="AE151" s="17"/>
      <c r="AF151" s="155"/>
      <c r="AG151" s="155"/>
    </row>
    <row r="152">
      <c r="A152" s="661" t="s">
        <v>379</v>
      </c>
      <c r="B152" s="553"/>
      <c r="C152" s="591"/>
      <c r="D152" s="181"/>
      <c r="E152" s="247"/>
      <c r="F152" s="561"/>
      <c r="G152" s="577"/>
      <c r="H152" s="577"/>
      <c r="I152" s="575"/>
      <c r="J152" s="246"/>
      <c r="K152" s="577"/>
      <c r="L152" s="615"/>
      <c r="M152" s="588"/>
      <c r="N152" s="615"/>
      <c r="O152" s="184"/>
      <c r="P152" s="575"/>
      <c r="Q152" s="615"/>
      <c r="R152" s="247"/>
      <c r="S152" s="247"/>
      <c r="T152" s="247"/>
      <c r="U152" s="247"/>
      <c r="V152" s="247"/>
      <c r="W152" s="229"/>
      <c r="X152" s="588"/>
      <c r="Y152" s="247">
        <v>2.0</v>
      </c>
      <c r="Z152" s="181"/>
      <c r="AA152" s="562"/>
      <c r="AB152" s="166">
        <f t="shared" si="25"/>
        <v>2</v>
      </c>
      <c r="AC152" s="167">
        <v>700.0</v>
      </c>
      <c r="AD152" s="168">
        <f t="shared" si="26"/>
        <v>1400</v>
      </c>
      <c r="AE152" s="17"/>
      <c r="AF152" s="155"/>
      <c r="AG152" s="155"/>
    </row>
    <row r="153">
      <c r="A153" s="254" t="s">
        <v>45</v>
      </c>
      <c r="B153" s="128"/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9"/>
      <c r="AD153" s="260">
        <f>SUM(AD146:AD152)</f>
        <v>51035</v>
      </c>
      <c r="AE153" s="17"/>
      <c r="AF153" s="261"/>
      <c r="AG153" s="261"/>
    </row>
    <row r="154">
      <c r="A154" s="262" t="s">
        <v>230</v>
      </c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8"/>
      <c r="AE154" s="17"/>
      <c r="AF154" s="257"/>
      <c r="AG154" s="257"/>
    </row>
    <row r="155">
      <c r="A155" s="268" t="s">
        <v>231</v>
      </c>
      <c r="B155" s="489"/>
      <c r="C155" s="491"/>
      <c r="D155" s="54"/>
      <c r="E155" s="59">
        <v>2.0</v>
      </c>
      <c r="F155" s="527"/>
      <c r="G155" s="59">
        <v>1.0</v>
      </c>
      <c r="H155" s="49"/>
      <c r="I155" s="492"/>
      <c r="J155" s="493"/>
      <c r="K155" s="493"/>
      <c r="L155" s="530"/>
      <c r="M155" s="530"/>
      <c r="N155" s="191"/>
      <c r="O155" s="54"/>
      <c r="P155" s="510"/>
      <c r="Q155" s="529"/>
      <c r="R155" s="46"/>
      <c r="S155" s="59">
        <v>1.0</v>
      </c>
      <c r="T155" s="59"/>
      <c r="U155" s="59"/>
      <c r="V155" s="59"/>
      <c r="W155" s="192"/>
      <c r="X155" s="530"/>
      <c r="Y155" s="59">
        <v>2.0</v>
      </c>
      <c r="Z155" s="59">
        <v>1.0</v>
      </c>
      <c r="AA155" s="535"/>
      <c r="AB155" s="62">
        <f t="shared" ref="AB155:AB159" si="27">SUM(B155:AA155)</f>
        <v>7</v>
      </c>
      <c r="AC155" s="80">
        <v>1150.0</v>
      </c>
      <c r="AD155" s="68">
        <f t="shared" ref="AD155:AD159" si="28">AB155*AC155</f>
        <v>8050</v>
      </c>
      <c r="AE155" s="17"/>
      <c r="AF155" s="155"/>
      <c r="AG155" s="155"/>
    </row>
    <row r="156">
      <c r="A156" s="268" t="s">
        <v>233</v>
      </c>
      <c r="B156" s="489">
        <v>1.0</v>
      </c>
      <c r="C156" s="516"/>
      <c r="D156" s="59">
        <v>6.0</v>
      </c>
      <c r="E156" s="49"/>
      <c r="F156" s="527"/>
      <c r="G156" s="493"/>
      <c r="H156" s="493">
        <v>2.0</v>
      </c>
      <c r="I156" s="510"/>
      <c r="J156" s="59">
        <v>1.0</v>
      </c>
      <c r="K156" s="493">
        <v>2.0</v>
      </c>
      <c r="L156" s="530"/>
      <c r="M156" s="530"/>
      <c r="N156" s="529"/>
      <c r="O156" s="493">
        <v>8.0</v>
      </c>
      <c r="P156" s="510"/>
      <c r="Q156" s="529"/>
      <c r="R156" s="59"/>
      <c r="S156" s="59">
        <v>9.0</v>
      </c>
      <c r="T156" s="59">
        <v>1.0</v>
      </c>
      <c r="U156" s="59"/>
      <c r="V156" s="59">
        <v>2.0</v>
      </c>
      <c r="W156" s="192"/>
      <c r="X156" s="530"/>
      <c r="Y156" s="59">
        <v>1.0</v>
      </c>
      <c r="Z156" s="59">
        <v>3.0</v>
      </c>
      <c r="AA156" s="535"/>
      <c r="AB156" s="62">
        <f t="shared" si="27"/>
        <v>36</v>
      </c>
      <c r="AC156" s="80">
        <v>1250.0</v>
      </c>
      <c r="AD156" s="68">
        <f t="shared" si="28"/>
        <v>45000</v>
      </c>
      <c r="AE156" s="17"/>
      <c r="AF156" s="155"/>
      <c r="AG156" s="155"/>
    </row>
    <row r="157">
      <c r="A157" s="33" t="s">
        <v>375</v>
      </c>
      <c r="B157" s="533"/>
      <c r="C157" s="491"/>
      <c r="D157" s="59">
        <v>2.0</v>
      </c>
      <c r="E157" s="59">
        <v>2.0</v>
      </c>
      <c r="F157" s="534"/>
      <c r="G157" s="59">
        <v>2.0</v>
      </c>
      <c r="H157" s="54"/>
      <c r="I157" s="192"/>
      <c r="J157" s="59">
        <v>1.0</v>
      </c>
      <c r="K157" s="59">
        <v>1.0</v>
      </c>
      <c r="L157" s="48"/>
      <c r="M157" s="48"/>
      <c r="N157" s="48"/>
      <c r="O157" s="59">
        <v>1.0</v>
      </c>
      <c r="P157" s="51"/>
      <c r="Q157" s="530"/>
      <c r="R157" s="59">
        <v>1.0</v>
      </c>
      <c r="S157" s="59">
        <v>1.0</v>
      </c>
      <c r="T157" s="59">
        <v>1.0</v>
      </c>
      <c r="U157" s="59">
        <v>1.0</v>
      </c>
      <c r="V157" s="54"/>
      <c r="W157" s="51"/>
      <c r="X157" s="530"/>
      <c r="Y157" s="59"/>
      <c r="Z157" s="59">
        <v>1.0</v>
      </c>
      <c r="AA157" s="584"/>
      <c r="AB157" s="62">
        <f t="shared" si="27"/>
        <v>14</v>
      </c>
      <c r="AC157" s="80">
        <v>1500.0</v>
      </c>
      <c r="AD157" s="68">
        <f t="shared" si="28"/>
        <v>21000</v>
      </c>
      <c r="AE157" s="17"/>
      <c r="AF157" s="155"/>
      <c r="AG157" s="155"/>
    </row>
    <row r="158">
      <c r="A158" s="33" t="s">
        <v>382</v>
      </c>
      <c r="B158" s="533"/>
      <c r="C158" s="491"/>
      <c r="D158" s="59"/>
      <c r="E158" s="59"/>
      <c r="F158" s="534"/>
      <c r="G158" s="59"/>
      <c r="H158" s="59">
        <v>1.0</v>
      </c>
      <c r="I158" s="192"/>
      <c r="J158" s="59">
        <v>1.0</v>
      </c>
      <c r="K158" s="59">
        <v>3.0</v>
      </c>
      <c r="L158" s="48"/>
      <c r="M158" s="48"/>
      <c r="N158" s="48"/>
      <c r="O158" s="54"/>
      <c r="P158" s="51"/>
      <c r="Q158" s="530"/>
      <c r="R158" s="59">
        <v>3.0</v>
      </c>
      <c r="S158" s="59">
        <v>4.0</v>
      </c>
      <c r="T158" s="59">
        <v>8.0</v>
      </c>
      <c r="U158" s="59">
        <v>3.0</v>
      </c>
      <c r="V158" s="59">
        <v>2.0</v>
      </c>
      <c r="W158" s="51"/>
      <c r="X158" s="530"/>
      <c r="Y158" s="59">
        <v>5.0</v>
      </c>
      <c r="Z158" s="59">
        <v>7.0</v>
      </c>
      <c r="AA158" s="584"/>
      <c r="AB158" s="62">
        <f t="shared" si="27"/>
        <v>37</v>
      </c>
      <c r="AC158" s="80">
        <v>120.0</v>
      </c>
      <c r="AD158" s="68">
        <f t="shared" si="28"/>
        <v>4440</v>
      </c>
      <c r="AE158" s="17"/>
      <c r="AF158" s="155"/>
      <c r="AG158" s="155"/>
    </row>
    <row r="159">
      <c r="A159" s="156" t="s">
        <v>383</v>
      </c>
      <c r="B159" s="587"/>
      <c r="C159" s="543"/>
      <c r="D159" s="247"/>
      <c r="E159" s="247"/>
      <c r="F159" s="561"/>
      <c r="G159" s="247"/>
      <c r="H159" s="247"/>
      <c r="I159" s="229"/>
      <c r="J159" s="247"/>
      <c r="K159" s="247"/>
      <c r="L159" s="182"/>
      <c r="M159" s="182"/>
      <c r="N159" s="182"/>
      <c r="O159" s="184"/>
      <c r="P159" s="183"/>
      <c r="Q159" s="588"/>
      <c r="R159" s="247">
        <v>1.0</v>
      </c>
      <c r="S159" s="247">
        <v>1.0</v>
      </c>
      <c r="T159" s="184"/>
      <c r="U159" s="184"/>
      <c r="V159" s="184"/>
      <c r="W159" s="183"/>
      <c r="X159" s="588"/>
      <c r="Y159" s="247">
        <v>3.0</v>
      </c>
      <c r="Z159" s="247">
        <v>1.0</v>
      </c>
      <c r="AA159" s="586"/>
      <c r="AB159" s="166">
        <f t="shared" si="27"/>
        <v>6</v>
      </c>
      <c r="AC159" s="167">
        <v>80.0</v>
      </c>
      <c r="AD159" s="168">
        <f t="shared" si="28"/>
        <v>480</v>
      </c>
      <c r="AE159" s="17"/>
      <c r="AF159" s="155"/>
      <c r="AG159" s="155"/>
    </row>
    <row r="160">
      <c r="A160" s="254" t="s">
        <v>45</v>
      </c>
      <c r="B160" s="128"/>
      <c r="C160" s="128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9"/>
      <c r="AD160" s="270">
        <f>SUM(AD155:AD159)</f>
        <v>78970</v>
      </c>
      <c r="AE160" s="17"/>
      <c r="AF160" s="271"/>
      <c r="AG160" s="271"/>
    </row>
    <row r="161">
      <c r="A161" s="272" t="s">
        <v>238</v>
      </c>
      <c r="B161" s="134"/>
      <c r="C161" s="134"/>
      <c r="D161" s="134"/>
      <c r="E161" s="134"/>
      <c r="F161" s="134"/>
      <c r="G161" s="134"/>
      <c r="H161" s="134"/>
      <c r="I161" s="134"/>
      <c r="J161" s="134"/>
      <c r="K161" s="134"/>
      <c r="L161" s="134"/>
      <c r="M161" s="134"/>
      <c r="N161" s="134"/>
      <c r="O161" s="134"/>
      <c r="P161" s="134"/>
      <c r="Q161" s="134"/>
      <c r="R161" s="134"/>
      <c r="S161" s="134"/>
      <c r="T161" s="134"/>
      <c r="U161" s="134"/>
      <c r="V161" s="134"/>
      <c r="W161" s="134"/>
      <c r="X161" s="134"/>
      <c r="Y161" s="134"/>
      <c r="Z161" s="134"/>
      <c r="AA161" s="134"/>
      <c r="AB161" s="134"/>
      <c r="AC161" s="134"/>
      <c r="AD161" s="135"/>
      <c r="AE161" s="17"/>
      <c r="AF161" s="257"/>
      <c r="AG161" s="257"/>
    </row>
    <row r="162">
      <c r="A162" s="197" t="s">
        <v>260</v>
      </c>
      <c r="B162" s="533">
        <v>1.0</v>
      </c>
      <c r="C162" s="508"/>
      <c r="D162" s="59">
        <v>8.0</v>
      </c>
      <c r="E162" s="59">
        <v>5.0</v>
      </c>
      <c r="F162" s="527"/>
      <c r="G162" s="59">
        <v>2.0</v>
      </c>
      <c r="H162" s="54"/>
      <c r="I162" s="515"/>
      <c r="J162" s="59">
        <v>1.0</v>
      </c>
      <c r="K162" s="59">
        <v>1.0</v>
      </c>
      <c r="L162" s="530"/>
      <c r="M162" s="530"/>
      <c r="N162" s="48"/>
      <c r="O162" s="59">
        <v>3.0</v>
      </c>
      <c r="P162" s="492"/>
      <c r="Q162" s="530"/>
      <c r="R162" s="54"/>
      <c r="S162" s="59">
        <v>3.0</v>
      </c>
      <c r="T162" s="59">
        <v>16.0</v>
      </c>
      <c r="U162" s="59"/>
      <c r="V162" s="59">
        <v>1.0</v>
      </c>
      <c r="W162" s="515"/>
      <c r="X162" s="530"/>
      <c r="Y162" s="59">
        <v>6.0</v>
      </c>
      <c r="Z162" s="46"/>
      <c r="AA162" s="535"/>
      <c r="AB162" s="62">
        <f t="shared" ref="AB162:AB168" si="29">SUM(B162:AA162)</f>
        <v>47</v>
      </c>
      <c r="AC162" s="80">
        <v>350.0</v>
      </c>
      <c r="AD162" s="68">
        <f t="shared" ref="AD162:AD168" si="30">AB162*AC162</f>
        <v>16450</v>
      </c>
      <c r="AE162" s="17"/>
      <c r="AF162" s="155"/>
      <c r="AG162" s="155"/>
    </row>
    <row r="163">
      <c r="A163" s="197" t="s">
        <v>232</v>
      </c>
      <c r="B163" s="580"/>
      <c r="C163" s="491"/>
      <c r="D163" s="54"/>
      <c r="E163" s="54"/>
      <c r="F163" s="534"/>
      <c r="G163" s="54"/>
      <c r="H163" s="54"/>
      <c r="I163" s="51"/>
      <c r="J163" s="54"/>
      <c r="K163" s="54"/>
      <c r="L163" s="48"/>
      <c r="M163" s="48"/>
      <c r="N163" s="48"/>
      <c r="O163" s="54"/>
      <c r="P163" s="51"/>
      <c r="Q163" s="48"/>
      <c r="R163" s="54"/>
      <c r="S163" s="54"/>
      <c r="T163" s="54"/>
      <c r="U163" s="54"/>
      <c r="V163" s="54"/>
      <c r="W163" s="51"/>
      <c r="X163" s="48"/>
      <c r="Y163" s="54"/>
      <c r="Z163" s="54"/>
      <c r="AA163" s="584"/>
      <c r="AB163" s="62">
        <f t="shared" si="29"/>
        <v>0</v>
      </c>
      <c r="AC163" s="80">
        <v>130.0</v>
      </c>
      <c r="AD163" s="68">
        <f t="shared" si="30"/>
        <v>0</v>
      </c>
      <c r="AE163" s="17"/>
      <c r="AF163" s="155"/>
      <c r="AG163" s="155"/>
    </row>
    <row r="164">
      <c r="A164" s="197" t="s">
        <v>234</v>
      </c>
      <c r="B164" s="580"/>
      <c r="C164" s="491"/>
      <c r="D164" s="54"/>
      <c r="E164" s="54"/>
      <c r="F164" s="534"/>
      <c r="G164" s="54"/>
      <c r="H164" s="54"/>
      <c r="I164" s="51"/>
      <c r="J164" s="54"/>
      <c r="K164" s="54"/>
      <c r="L164" s="48"/>
      <c r="M164" s="48"/>
      <c r="N164" s="48"/>
      <c r="O164" s="54"/>
      <c r="P164" s="51"/>
      <c r="Q164" s="48"/>
      <c r="R164" s="54"/>
      <c r="S164" s="54"/>
      <c r="T164" s="54"/>
      <c r="U164" s="54"/>
      <c r="V164" s="54"/>
      <c r="W164" s="51"/>
      <c r="X164" s="48"/>
      <c r="Y164" s="54"/>
      <c r="Z164" s="54"/>
      <c r="AA164" s="584"/>
      <c r="AB164" s="62">
        <f t="shared" si="29"/>
        <v>0</v>
      </c>
      <c r="AC164" s="80">
        <v>80.0</v>
      </c>
      <c r="AD164" s="68">
        <f t="shared" si="30"/>
        <v>0</v>
      </c>
      <c r="AE164" s="17"/>
      <c r="AF164" s="155"/>
      <c r="AG164" s="155"/>
    </row>
    <row r="165">
      <c r="A165" s="197" t="s">
        <v>241</v>
      </c>
      <c r="B165" s="533"/>
      <c r="C165" s="508"/>
      <c r="D165" s="46"/>
      <c r="E165" s="46"/>
      <c r="F165" s="527"/>
      <c r="G165" s="493"/>
      <c r="H165" s="46"/>
      <c r="I165" s="510"/>
      <c r="J165" s="493"/>
      <c r="K165" s="59"/>
      <c r="L165" s="530"/>
      <c r="M165" s="530"/>
      <c r="N165" s="530"/>
      <c r="O165" s="493"/>
      <c r="P165" s="492"/>
      <c r="Q165" s="191"/>
      <c r="R165" s="59"/>
      <c r="S165" s="46"/>
      <c r="T165" s="46"/>
      <c r="U165" s="59"/>
      <c r="V165" s="59"/>
      <c r="W165" s="515"/>
      <c r="X165" s="530"/>
      <c r="Y165" s="59"/>
      <c r="Z165" s="46"/>
      <c r="AA165" s="531">
        <v>8.0</v>
      </c>
      <c r="AB165" s="62">
        <f t="shared" si="29"/>
        <v>8</v>
      </c>
      <c r="AC165" s="80">
        <v>40.0</v>
      </c>
      <c r="AD165" s="68">
        <f t="shared" si="30"/>
        <v>320</v>
      </c>
      <c r="AE165" s="17"/>
      <c r="AF165" s="155"/>
      <c r="AG165" s="155"/>
    </row>
    <row r="166">
      <c r="A166" s="197" t="s">
        <v>243</v>
      </c>
      <c r="B166" s="489">
        <v>1.0</v>
      </c>
      <c r="C166" s="508"/>
      <c r="D166" s="46"/>
      <c r="E166" s="59">
        <v>4.0</v>
      </c>
      <c r="F166" s="527"/>
      <c r="G166" s="59"/>
      <c r="H166" s="59"/>
      <c r="I166" s="51"/>
      <c r="J166" s="46"/>
      <c r="K166" s="59"/>
      <c r="L166" s="530"/>
      <c r="M166" s="530"/>
      <c r="N166" s="530"/>
      <c r="O166" s="59">
        <v>2.0</v>
      </c>
      <c r="P166" s="192"/>
      <c r="Q166" s="48"/>
      <c r="R166" s="59"/>
      <c r="S166" s="46"/>
      <c r="T166" s="46"/>
      <c r="U166" s="59">
        <v>2.0</v>
      </c>
      <c r="V166" s="46"/>
      <c r="W166" s="192"/>
      <c r="X166" s="191"/>
      <c r="Y166" s="59"/>
      <c r="Z166" s="46"/>
      <c r="AA166" s="531">
        <v>2.0</v>
      </c>
      <c r="AB166" s="62">
        <f t="shared" si="29"/>
        <v>11</v>
      </c>
      <c r="AC166" s="80">
        <v>120.0</v>
      </c>
      <c r="AD166" s="68">
        <f t="shared" si="30"/>
        <v>1320</v>
      </c>
      <c r="AE166" s="17"/>
      <c r="AF166" s="155"/>
      <c r="AG166" s="155"/>
    </row>
    <row r="167">
      <c r="A167" s="197" t="s">
        <v>267</v>
      </c>
      <c r="B167" s="533"/>
      <c r="C167" s="491"/>
      <c r="D167" s="54"/>
      <c r="E167" s="54"/>
      <c r="F167" s="527"/>
      <c r="G167" s="59"/>
      <c r="H167" s="59">
        <v>3.0</v>
      </c>
      <c r="I167" s="192"/>
      <c r="J167" s="59"/>
      <c r="K167" s="59">
        <v>2.0</v>
      </c>
      <c r="L167" s="48"/>
      <c r="M167" s="530"/>
      <c r="N167" s="530"/>
      <c r="O167" s="59">
        <v>7.0</v>
      </c>
      <c r="P167" s="51"/>
      <c r="Q167" s="48"/>
      <c r="R167" s="59">
        <v>2.0</v>
      </c>
      <c r="S167" s="46"/>
      <c r="T167" s="46"/>
      <c r="U167" s="59"/>
      <c r="V167" s="46"/>
      <c r="W167" s="192"/>
      <c r="X167" s="530"/>
      <c r="Y167" s="59">
        <v>3.0</v>
      </c>
      <c r="Z167" s="46"/>
      <c r="AA167" s="535"/>
      <c r="AB167" s="62">
        <f t="shared" si="29"/>
        <v>17</v>
      </c>
      <c r="AC167" s="80">
        <v>30.0</v>
      </c>
      <c r="AD167" s="168">
        <f t="shared" si="30"/>
        <v>510</v>
      </c>
      <c r="AE167" s="17"/>
      <c r="AF167" s="155"/>
      <c r="AG167" s="155"/>
    </row>
    <row r="168">
      <c r="A168" s="243" t="s">
        <v>270</v>
      </c>
      <c r="B168" s="587">
        <v>1.0</v>
      </c>
      <c r="C168" s="543"/>
      <c r="D168" s="247">
        <v>4.0</v>
      </c>
      <c r="E168" s="184"/>
      <c r="F168" s="561"/>
      <c r="G168" s="247">
        <v>2.0</v>
      </c>
      <c r="H168" s="184"/>
      <c r="I168" s="579"/>
      <c r="J168" s="247">
        <v>4.0</v>
      </c>
      <c r="K168" s="247"/>
      <c r="L168" s="588"/>
      <c r="M168" s="588"/>
      <c r="N168" s="588"/>
      <c r="O168" s="577">
        <v>4.0</v>
      </c>
      <c r="P168" s="632"/>
      <c r="Q168" s="615"/>
      <c r="R168" s="247"/>
      <c r="S168" s="181"/>
      <c r="T168" s="247"/>
      <c r="U168" s="247">
        <v>2.0</v>
      </c>
      <c r="V168" s="247">
        <v>3.0</v>
      </c>
      <c r="W168" s="579"/>
      <c r="X168" s="588"/>
      <c r="Y168" s="247">
        <v>1.0</v>
      </c>
      <c r="Z168" s="181"/>
      <c r="AA168" s="646">
        <v>5.0</v>
      </c>
      <c r="AB168" s="62">
        <f t="shared" si="29"/>
        <v>26</v>
      </c>
      <c r="AC168" s="167">
        <v>200.0</v>
      </c>
      <c r="AD168" s="168">
        <f t="shared" si="30"/>
        <v>5200</v>
      </c>
      <c r="AE168" s="17"/>
      <c r="AF168" s="155"/>
      <c r="AG168" s="155"/>
    </row>
    <row r="169">
      <c r="A169" s="254" t="s">
        <v>45</v>
      </c>
      <c r="B169" s="128"/>
      <c r="C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9"/>
      <c r="AD169" s="277">
        <f>SUM(AD162:AD168)</f>
        <v>23800</v>
      </c>
      <c r="AE169" s="17"/>
      <c r="AF169" s="255"/>
      <c r="AG169" s="255"/>
    </row>
    <row r="170">
      <c r="A170" s="278" t="s">
        <v>247</v>
      </c>
      <c r="B170" s="275"/>
      <c r="C170" s="275"/>
      <c r="D170" s="275"/>
      <c r="E170" s="275"/>
      <c r="F170" s="275"/>
      <c r="G170" s="275"/>
      <c r="H170" s="275"/>
      <c r="I170" s="275"/>
      <c r="J170" s="275"/>
      <c r="K170" s="275"/>
      <c r="L170" s="275"/>
      <c r="M170" s="275"/>
      <c r="N170" s="275"/>
      <c r="O170" s="275"/>
      <c r="P170" s="275"/>
      <c r="Q170" s="275"/>
      <c r="R170" s="275"/>
      <c r="S170" s="275"/>
      <c r="T170" s="275"/>
      <c r="U170" s="275"/>
      <c r="V170" s="275"/>
      <c r="W170" s="275"/>
      <c r="X170" s="275"/>
      <c r="Y170" s="275"/>
      <c r="Z170" s="275"/>
      <c r="AA170" s="275"/>
      <c r="AB170" s="275"/>
      <c r="AC170" s="275"/>
      <c r="AD170" s="276"/>
      <c r="AE170" s="17"/>
      <c r="AF170" s="257"/>
      <c r="AG170" s="257"/>
    </row>
    <row r="171">
      <c r="A171" s="279" t="s">
        <v>248</v>
      </c>
      <c r="B171" s="705"/>
      <c r="C171" s="660"/>
      <c r="D171" s="326"/>
      <c r="E171" s="326"/>
      <c r="F171" s="706"/>
      <c r="G171" s="326"/>
      <c r="H171" s="326"/>
      <c r="I171" s="328"/>
      <c r="J171" s="326"/>
      <c r="K171" s="326"/>
      <c r="L171" s="327"/>
      <c r="M171" s="327"/>
      <c r="N171" s="327"/>
      <c r="O171" s="326"/>
      <c r="P171" s="328"/>
      <c r="Q171" s="327"/>
      <c r="R171" s="326"/>
      <c r="S171" s="326"/>
      <c r="T171" s="326"/>
      <c r="U171" s="326"/>
      <c r="V171" s="326"/>
      <c r="W171" s="328"/>
      <c r="X171" s="327"/>
      <c r="Y171" s="326"/>
      <c r="Z171" s="326"/>
      <c r="AA171" s="710"/>
      <c r="AB171" s="287">
        <f t="shared" ref="AB171:AB183" si="31">SUM(B171:AA171)</f>
        <v>0</v>
      </c>
      <c r="AC171" s="288">
        <v>1940.0</v>
      </c>
      <c r="AD171" s="289">
        <f t="shared" ref="AD171:AD183" si="32">AB171*AC171</f>
        <v>0</v>
      </c>
      <c r="AE171" s="17"/>
      <c r="AF171" s="257"/>
      <c r="AG171" s="257"/>
    </row>
    <row r="172">
      <c r="A172" s="279" t="s">
        <v>250</v>
      </c>
      <c r="B172" s="705"/>
      <c r="C172" s="660"/>
      <c r="D172" s="326"/>
      <c r="E172" s="326"/>
      <c r="F172" s="706"/>
      <c r="G172" s="326"/>
      <c r="H172" s="326"/>
      <c r="I172" s="328"/>
      <c r="J172" s="326"/>
      <c r="K172" s="326"/>
      <c r="L172" s="327"/>
      <c r="M172" s="327"/>
      <c r="N172" s="327"/>
      <c r="O172" s="326"/>
      <c r="P172" s="328"/>
      <c r="Q172" s="327"/>
      <c r="R172" s="326"/>
      <c r="S172" s="326"/>
      <c r="T172" s="326"/>
      <c r="U172" s="326"/>
      <c r="V172" s="326"/>
      <c r="W172" s="328"/>
      <c r="X172" s="327"/>
      <c r="Y172" s="336"/>
      <c r="Z172" s="326"/>
      <c r="AA172" s="710"/>
      <c r="AB172" s="287">
        <f t="shared" si="31"/>
        <v>0</v>
      </c>
      <c r="AC172" s="288">
        <v>1820.0</v>
      </c>
      <c r="AD172" s="289">
        <f t="shared" si="32"/>
        <v>0</v>
      </c>
      <c r="AE172" s="17"/>
      <c r="AF172" s="257"/>
      <c r="AG172" s="257"/>
    </row>
    <row r="173">
      <c r="A173" s="279" t="s">
        <v>251</v>
      </c>
      <c r="B173" s="705"/>
      <c r="C173" s="660"/>
      <c r="D173" s="326"/>
      <c r="E173" s="326"/>
      <c r="F173" s="706"/>
      <c r="G173" s="326"/>
      <c r="H173" s="326"/>
      <c r="I173" s="328"/>
      <c r="J173" s="326"/>
      <c r="K173" s="326"/>
      <c r="L173" s="327"/>
      <c r="M173" s="327"/>
      <c r="N173" s="327"/>
      <c r="O173" s="326"/>
      <c r="P173" s="328"/>
      <c r="Q173" s="327"/>
      <c r="R173" s="326"/>
      <c r="S173" s="326"/>
      <c r="T173" s="326"/>
      <c r="U173" s="326"/>
      <c r="V173" s="326"/>
      <c r="W173" s="328"/>
      <c r="X173" s="327"/>
      <c r="Y173" s="326"/>
      <c r="Z173" s="326"/>
      <c r="AA173" s="710"/>
      <c r="AB173" s="287">
        <f t="shared" si="31"/>
        <v>0</v>
      </c>
      <c r="AC173" s="288">
        <v>1940.0</v>
      </c>
      <c r="AD173" s="289">
        <f t="shared" si="32"/>
        <v>0</v>
      </c>
      <c r="AE173" s="17"/>
      <c r="AF173" s="257"/>
      <c r="AG173" s="257"/>
    </row>
    <row r="174">
      <c r="A174" s="279" t="s">
        <v>253</v>
      </c>
      <c r="B174" s="705"/>
      <c r="C174" s="660"/>
      <c r="D174" s="326"/>
      <c r="E174" s="326"/>
      <c r="F174" s="706"/>
      <c r="G174" s="326"/>
      <c r="H174" s="326"/>
      <c r="I174" s="328"/>
      <c r="J174" s="326"/>
      <c r="K174" s="326"/>
      <c r="L174" s="327"/>
      <c r="M174" s="327"/>
      <c r="N174" s="327"/>
      <c r="O174" s="326"/>
      <c r="P174" s="328"/>
      <c r="Q174" s="327"/>
      <c r="R174" s="326"/>
      <c r="S174" s="326"/>
      <c r="T174" s="326"/>
      <c r="U174" s="326"/>
      <c r="V174" s="326"/>
      <c r="W174" s="328"/>
      <c r="X174" s="712"/>
      <c r="Y174" s="326"/>
      <c r="Z174" s="326"/>
      <c r="AA174" s="710"/>
      <c r="AB174" s="287">
        <f t="shared" si="31"/>
        <v>0</v>
      </c>
      <c r="AC174" s="288">
        <v>2000.0</v>
      </c>
      <c r="AD174" s="289">
        <f t="shared" si="32"/>
        <v>0</v>
      </c>
      <c r="AE174" s="17"/>
      <c r="AF174" s="257"/>
      <c r="AG174" s="257"/>
    </row>
    <row r="175">
      <c r="A175" s="279" t="s">
        <v>255</v>
      </c>
      <c r="B175" s="705"/>
      <c r="C175" s="660"/>
      <c r="D175" s="326"/>
      <c r="E175" s="326"/>
      <c r="F175" s="706"/>
      <c r="G175" s="326"/>
      <c r="H175" s="326"/>
      <c r="I175" s="328"/>
      <c r="J175" s="326"/>
      <c r="K175" s="326"/>
      <c r="L175" s="327"/>
      <c r="M175" s="327"/>
      <c r="N175" s="327"/>
      <c r="O175" s="326"/>
      <c r="P175" s="328"/>
      <c r="Q175" s="327"/>
      <c r="R175" s="326"/>
      <c r="S175" s="326"/>
      <c r="T175" s="326"/>
      <c r="U175" s="326"/>
      <c r="V175" s="326"/>
      <c r="W175" s="328"/>
      <c r="X175" s="327"/>
      <c r="Y175" s="326"/>
      <c r="Z175" s="326"/>
      <c r="AA175" s="710"/>
      <c r="AB175" s="287">
        <f t="shared" si="31"/>
        <v>0</v>
      </c>
      <c r="AC175" s="288">
        <v>2140.0</v>
      </c>
      <c r="AD175" s="289">
        <f t="shared" si="32"/>
        <v>0</v>
      </c>
      <c r="AE175" s="17"/>
      <c r="AF175" s="257"/>
      <c r="AG175" s="257"/>
    </row>
    <row r="176">
      <c r="A176" s="279" t="s">
        <v>256</v>
      </c>
      <c r="B176" s="705"/>
      <c r="C176" s="660"/>
      <c r="D176" s="326"/>
      <c r="E176" s="326"/>
      <c r="F176" s="706"/>
      <c r="G176" s="326"/>
      <c r="H176" s="326"/>
      <c r="I176" s="328"/>
      <c r="J176" s="326"/>
      <c r="K176" s="326"/>
      <c r="L176" s="327"/>
      <c r="M176" s="327"/>
      <c r="N176" s="327"/>
      <c r="O176" s="326"/>
      <c r="P176" s="328"/>
      <c r="Q176" s="327"/>
      <c r="R176" s="326"/>
      <c r="S176" s="326"/>
      <c r="T176" s="326"/>
      <c r="U176" s="326"/>
      <c r="V176" s="326"/>
      <c r="W176" s="328"/>
      <c r="X176" s="327"/>
      <c r="Y176" s="336"/>
      <c r="Z176" s="326"/>
      <c r="AA176" s="710"/>
      <c r="AB176" s="287">
        <f t="shared" si="31"/>
        <v>0</v>
      </c>
      <c r="AC176" s="288">
        <v>2500.0</v>
      </c>
      <c r="AD176" s="289">
        <f t="shared" si="32"/>
        <v>0</v>
      </c>
      <c r="AE176" s="17"/>
      <c r="AF176" s="257"/>
      <c r="AG176" s="257"/>
    </row>
    <row r="177">
      <c r="A177" s="279" t="s">
        <v>279</v>
      </c>
      <c r="B177" s="705"/>
      <c r="C177" s="660"/>
      <c r="D177" s="326"/>
      <c r="E177" s="340"/>
      <c r="F177" s="706"/>
      <c r="G177" s="326"/>
      <c r="H177" s="326"/>
      <c r="I177" s="328"/>
      <c r="J177" s="326"/>
      <c r="K177" s="326"/>
      <c r="L177" s="712"/>
      <c r="M177" s="327"/>
      <c r="N177" s="327"/>
      <c r="O177" s="326"/>
      <c r="P177" s="328"/>
      <c r="Q177" s="327"/>
      <c r="R177" s="326"/>
      <c r="S177" s="326"/>
      <c r="T177" s="326"/>
      <c r="U177" s="326"/>
      <c r="V177" s="326"/>
      <c r="W177" s="328"/>
      <c r="X177" s="327"/>
      <c r="Y177" s="336"/>
      <c r="Z177" s="326"/>
      <c r="AA177" s="710"/>
      <c r="AB177" s="287">
        <f t="shared" si="31"/>
        <v>0</v>
      </c>
      <c r="AC177" s="288">
        <v>1300.0</v>
      </c>
      <c r="AD177" s="289">
        <f t="shared" si="32"/>
        <v>0</v>
      </c>
      <c r="AE177" s="17"/>
      <c r="AF177" s="257"/>
      <c r="AG177" s="257"/>
    </row>
    <row r="178">
      <c r="A178" s="279" t="s">
        <v>259</v>
      </c>
      <c r="B178" s="705"/>
      <c r="C178" s="660"/>
      <c r="D178" s="326"/>
      <c r="E178" s="326"/>
      <c r="F178" s="706"/>
      <c r="G178" s="326"/>
      <c r="H178" s="326"/>
      <c r="I178" s="328"/>
      <c r="J178" s="326"/>
      <c r="K178" s="326"/>
      <c r="L178" s="327"/>
      <c r="M178" s="327"/>
      <c r="N178" s="327"/>
      <c r="O178" s="326"/>
      <c r="P178" s="328"/>
      <c r="Q178" s="327"/>
      <c r="R178" s="326"/>
      <c r="S178" s="326"/>
      <c r="T178" s="326"/>
      <c r="U178" s="326"/>
      <c r="V178" s="326"/>
      <c r="W178" s="328"/>
      <c r="X178" s="327"/>
      <c r="Y178" s="326"/>
      <c r="Z178" s="326"/>
      <c r="AA178" s="710"/>
      <c r="AB178" s="287">
        <f t="shared" si="31"/>
        <v>0</v>
      </c>
      <c r="AC178" s="288">
        <v>2500.0</v>
      </c>
      <c r="AD178" s="289">
        <f t="shared" si="32"/>
        <v>0</v>
      </c>
      <c r="AE178" s="17"/>
      <c r="AF178" s="257"/>
      <c r="AG178" s="257"/>
    </row>
    <row r="179">
      <c r="A179" s="279" t="s">
        <v>259</v>
      </c>
      <c r="B179" s="705"/>
      <c r="C179" s="660"/>
      <c r="D179" s="326"/>
      <c r="E179" s="326"/>
      <c r="F179" s="706"/>
      <c r="G179" s="326"/>
      <c r="H179" s="326"/>
      <c r="I179" s="328"/>
      <c r="J179" s="326"/>
      <c r="K179" s="326"/>
      <c r="L179" s="327"/>
      <c r="M179" s="327"/>
      <c r="N179" s="327"/>
      <c r="O179" s="326"/>
      <c r="P179" s="328"/>
      <c r="Q179" s="327"/>
      <c r="R179" s="326"/>
      <c r="S179" s="326"/>
      <c r="T179" s="326"/>
      <c r="U179" s="326"/>
      <c r="V179" s="326"/>
      <c r="W179" s="328"/>
      <c r="X179" s="327"/>
      <c r="Y179" s="326"/>
      <c r="Z179" s="326"/>
      <c r="AA179" s="710"/>
      <c r="AB179" s="287">
        <f t="shared" si="31"/>
        <v>0</v>
      </c>
      <c r="AC179" s="288">
        <v>2600.0</v>
      </c>
      <c r="AD179" s="289">
        <f t="shared" si="32"/>
        <v>0</v>
      </c>
      <c r="AE179" s="17"/>
      <c r="AF179" s="257"/>
      <c r="AG179" s="257"/>
    </row>
    <row r="180">
      <c r="A180" s="279" t="s">
        <v>261</v>
      </c>
      <c r="B180" s="705"/>
      <c r="C180" s="660"/>
      <c r="D180" s="326"/>
      <c r="E180" s="326"/>
      <c r="F180" s="706"/>
      <c r="G180" s="326"/>
      <c r="H180" s="326"/>
      <c r="I180" s="328"/>
      <c r="J180" s="326"/>
      <c r="K180" s="326"/>
      <c r="L180" s="327"/>
      <c r="M180" s="327"/>
      <c r="N180" s="327"/>
      <c r="O180" s="326"/>
      <c r="P180" s="328"/>
      <c r="Q180" s="327"/>
      <c r="R180" s="326"/>
      <c r="S180" s="326"/>
      <c r="T180" s="326"/>
      <c r="U180" s="326"/>
      <c r="V180" s="326"/>
      <c r="W180" s="328"/>
      <c r="X180" s="327"/>
      <c r="Y180" s="326"/>
      <c r="Z180" s="326"/>
      <c r="AA180" s="710"/>
      <c r="AB180" s="287">
        <f t="shared" si="31"/>
        <v>0</v>
      </c>
      <c r="AC180" s="288">
        <v>1400.0</v>
      </c>
      <c r="AD180" s="289">
        <f t="shared" si="32"/>
        <v>0</v>
      </c>
      <c r="AE180" s="17"/>
      <c r="AF180" s="257"/>
      <c r="AG180" s="257"/>
    </row>
    <row r="181">
      <c r="A181" s="279" t="s">
        <v>261</v>
      </c>
      <c r="B181" s="705"/>
      <c r="C181" s="660"/>
      <c r="D181" s="326"/>
      <c r="E181" s="326"/>
      <c r="F181" s="706"/>
      <c r="G181" s="326"/>
      <c r="H181" s="326"/>
      <c r="I181" s="328"/>
      <c r="J181" s="326"/>
      <c r="K181" s="326"/>
      <c r="L181" s="327"/>
      <c r="M181" s="327"/>
      <c r="N181" s="327"/>
      <c r="O181" s="326"/>
      <c r="P181" s="328"/>
      <c r="Q181" s="327"/>
      <c r="R181" s="336"/>
      <c r="S181" s="326"/>
      <c r="T181" s="326"/>
      <c r="U181" s="326"/>
      <c r="V181" s="326"/>
      <c r="W181" s="328"/>
      <c r="X181" s="327"/>
      <c r="Y181" s="326"/>
      <c r="Z181" s="326"/>
      <c r="AA181" s="710"/>
      <c r="AB181" s="287">
        <f t="shared" si="31"/>
        <v>0</v>
      </c>
      <c r="AC181" s="288">
        <v>1900.0</v>
      </c>
      <c r="AD181" s="289">
        <f t="shared" si="32"/>
        <v>0</v>
      </c>
      <c r="AE181" s="17"/>
      <c r="AF181" s="257"/>
      <c r="AG181" s="257"/>
    </row>
    <row r="182">
      <c r="A182" s="279" t="s">
        <v>262</v>
      </c>
      <c r="B182" s="705"/>
      <c r="C182" s="660"/>
      <c r="D182" s="326"/>
      <c r="E182" s="326"/>
      <c r="F182" s="706"/>
      <c r="G182" s="326"/>
      <c r="H182" s="326"/>
      <c r="I182" s="328"/>
      <c r="J182" s="326"/>
      <c r="K182" s="326"/>
      <c r="L182" s="327"/>
      <c r="M182" s="327"/>
      <c r="N182" s="327"/>
      <c r="O182" s="326"/>
      <c r="P182" s="328"/>
      <c r="Q182" s="327"/>
      <c r="R182" s="326"/>
      <c r="S182" s="326"/>
      <c r="T182" s="326"/>
      <c r="U182" s="326"/>
      <c r="V182" s="326"/>
      <c r="W182" s="328"/>
      <c r="X182" s="327"/>
      <c r="Y182" s="326"/>
      <c r="Z182" s="326"/>
      <c r="AA182" s="710"/>
      <c r="AB182" s="287">
        <f t="shared" si="31"/>
        <v>0</v>
      </c>
      <c r="AC182" s="288">
        <v>1300.0</v>
      </c>
      <c r="AD182" s="289">
        <f t="shared" si="32"/>
        <v>0</v>
      </c>
      <c r="AE182" s="17"/>
      <c r="AF182" s="257"/>
      <c r="AG182" s="257"/>
    </row>
    <row r="183">
      <c r="A183" s="346" t="s">
        <v>262</v>
      </c>
      <c r="B183" s="729"/>
      <c r="C183" s="700"/>
      <c r="D183" s="347"/>
      <c r="E183" s="347"/>
      <c r="F183" s="730"/>
      <c r="G183" s="347"/>
      <c r="H183" s="347"/>
      <c r="I183" s="349"/>
      <c r="J183" s="347"/>
      <c r="K183" s="347"/>
      <c r="L183" s="348"/>
      <c r="M183" s="348"/>
      <c r="N183" s="348"/>
      <c r="O183" s="347"/>
      <c r="P183" s="349"/>
      <c r="Q183" s="348"/>
      <c r="R183" s="347"/>
      <c r="S183" s="347"/>
      <c r="T183" s="347"/>
      <c r="U183" s="347"/>
      <c r="V183" s="347"/>
      <c r="W183" s="349"/>
      <c r="X183" s="348"/>
      <c r="Y183" s="347"/>
      <c r="Z183" s="347"/>
      <c r="AA183" s="731"/>
      <c r="AB183" s="287">
        <f t="shared" si="31"/>
        <v>0</v>
      </c>
      <c r="AC183" s="357">
        <v>1800.0</v>
      </c>
      <c r="AD183" s="358">
        <f t="shared" si="32"/>
        <v>0</v>
      </c>
      <c r="AE183" s="17"/>
      <c r="AF183" s="257"/>
      <c r="AG183" s="257"/>
    </row>
    <row r="184">
      <c r="A184" s="254" t="s">
        <v>45</v>
      </c>
      <c r="B184" s="128"/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9"/>
      <c r="AD184" s="362">
        <f>SUM(AD171:AD183)</f>
        <v>0</v>
      </c>
      <c r="AE184" s="17"/>
      <c r="AF184" s="257"/>
      <c r="AG184" s="257"/>
    </row>
    <row r="185">
      <c r="A185" s="307" t="s">
        <v>264</v>
      </c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97"/>
      <c r="AE185" s="17"/>
      <c r="AF185" s="257"/>
      <c r="AG185" s="257"/>
    </row>
    <row r="186">
      <c r="A186" s="308" t="s">
        <v>265</v>
      </c>
      <c r="B186" s="688"/>
      <c r="C186" s="34"/>
      <c r="D186" s="38"/>
      <c r="E186" s="50"/>
      <c r="F186" s="732"/>
      <c r="G186" s="50"/>
      <c r="H186" s="50"/>
      <c r="I186" s="55"/>
      <c r="J186" s="39">
        <v>9.0</v>
      </c>
      <c r="K186" s="39"/>
      <c r="L186" s="40"/>
      <c r="M186" s="40"/>
      <c r="N186" s="40"/>
      <c r="O186" s="50"/>
      <c r="P186" s="55"/>
      <c r="Q186" s="40"/>
      <c r="R186" s="50"/>
      <c r="S186" s="50"/>
      <c r="T186" s="50"/>
      <c r="U186" s="50"/>
      <c r="V186" s="50"/>
      <c r="W186" s="55"/>
      <c r="X186" s="40"/>
      <c r="Y186" s="50"/>
      <c r="Z186" s="50"/>
      <c r="AA186" s="733"/>
      <c r="AB186" s="62">
        <f t="shared" ref="AB186:AB191" si="33">SUM(B186:AA186)</f>
        <v>9</v>
      </c>
      <c r="AC186" s="242">
        <v>2100.0</v>
      </c>
      <c r="AD186" s="68">
        <f t="shared" ref="AD186:AD191" si="34">AB186*AC186</f>
        <v>18900</v>
      </c>
      <c r="AE186" s="17"/>
      <c r="AF186" s="155"/>
      <c r="AG186" s="155"/>
    </row>
    <row r="187">
      <c r="A187" s="308" t="s">
        <v>266</v>
      </c>
      <c r="B187" s="688"/>
      <c r="C187" s="34"/>
      <c r="D187" s="36"/>
      <c r="E187" s="50"/>
      <c r="F187" s="732"/>
      <c r="G187" s="50"/>
      <c r="H187" s="50"/>
      <c r="I187" s="55"/>
      <c r="J187" s="50"/>
      <c r="K187" s="50"/>
      <c r="L187" s="40"/>
      <c r="M187" s="565"/>
      <c r="N187" s="40"/>
      <c r="O187" s="50"/>
      <c r="P187" s="55"/>
      <c r="Q187" s="40"/>
      <c r="R187" s="50"/>
      <c r="S187" s="50"/>
      <c r="T187" s="50"/>
      <c r="U187" s="50"/>
      <c r="V187" s="50"/>
      <c r="W187" s="55"/>
      <c r="X187" s="40"/>
      <c r="Y187" s="50"/>
      <c r="Z187" s="50"/>
      <c r="AA187" s="733"/>
      <c r="AB187" s="62">
        <f t="shared" si="33"/>
        <v>0</v>
      </c>
      <c r="AC187" s="242">
        <v>2800.0</v>
      </c>
      <c r="AD187" s="68">
        <f t="shared" si="34"/>
        <v>0</v>
      </c>
      <c r="AE187" s="17"/>
      <c r="AF187" s="155"/>
      <c r="AG187" s="155"/>
    </row>
    <row r="188">
      <c r="A188" s="308" t="s">
        <v>268</v>
      </c>
      <c r="B188" s="688"/>
      <c r="C188" s="34"/>
      <c r="D188" s="38"/>
      <c r="E188" s="50"/>
      <c r="F188" s="732"/>
      <c r="G188" s="50"/>
      <c r="H188" s="50"/>
      <c r="I188" s="55"/>
      <c r="J188" s="39">
        <v>5.0</v>
      </c>
      <c r="K188" s="50"/>
      <c r="L188" s="40"/>
      <c r="M188" s="565"/>
      <c r="N188" s="40"/>
      <c r="O188" s="39"/>
      <c r="P188" s="55"/>
      <c r="Q188" s="40"/>
      <c r="R188" s="50"/>
      <c r="S188" s="50"/>
      <c r="T188" s="50"/>
      <c r="U188" s="50"/>
      <c r="V188" s="50"/>
      <c r="W188" s="55"/>
      <c r="X188" s="40"/>
      <c r="Y188" s="50"/>
      <c r="Z188" s="50"/>
      <c r="AA188" s="733"/>
      <c r="AB188" s="62">
        <f t="shared" si="33"/>
        <v>5</v>
      </c>
      <c r="AC188" s="242">
        <v>2800.0</v>
      </c>
      <c r="AD188" s="68">
        <f t="shared" si="34"/>
        <v>14000</v>
      </c>
      <c r="AE188" s="17"/>
      <c r="AF188" s="155"/>
      <c r="AG188" s="155"/>
    </row>
    <row r="189">
      <c r="A189" s="308" t="s">
        <v>269</v>
      </c>
      <c r="B189" s="688"/>
      <c r="C189" s="34"/>
      <c r="D189" s="36"/>
      <c r="E189" s="50"/>
      <c r="F189" s="732"/>
      <c r="G189" s="50"/>
      <c r="H189" s="50"/>
      <c r="I189" s="55"/>
      <c r="J189" s="50"/>
      <c r="K189" s="50"/>
      <c r="L189" s="40"/>
      <c r="M189" s="40"/>
      <c r="N189" s="40"/>
      <c r="O189" s="50"/>
      <c r="P189" s="55"/>
      <c r="Q189" s="40"/>
      <c r="R189" s="50"/>
      <c r="S189" s="50"/>
      <c r="T189" s="50"/>
      <c r="U189" s="50"/>
      <c r="V189" s="50"/>
      <c r="W189" s="55"/>
      <c r="X189" s="40"/>
      <c r="Y189" s="50"/>
      <c r="Z189" s="50"/>
      <c r="AA189" s="733"/>
      <c r="AB189" s="62">
        <f t="shared" si="33"/>
        <v>0</v>
      </c>
      <c r="AC189" s="242">
        <v>3200.0</v>
      </c>
      <c r="AD189" s="68">
        <f t="shared" si="34"/>
        <v>0</v>
      </c>
      <c r="AE189" s="17"/>
      <c r="AF189" s="155"/>
      <c r="AG189" s="155"/>
    </row>
    <row r="190">
      <c r="A190" s="308" t="s">
        <v>385</v>
      </c>
      <c r="B190" s="688"/>
      <c r="C190" s="34"/>
      <c r="D190" s="36"/>
      <c r="E190" s="50"/>
      <c r="F190" s="732"/>
      <c r="G190" s="50"/>
      <c r="H190" s="50"/>
      <c r="I190" s="55"/>
      <c r="J190" s="50"/>
      <c r="K190" s="50"/>
      <c r="L190" s="40"/>
      <c r="M190" s="40"/>
      <c r="N190" s="40"/>
      <c r="O190" s="50"/>
      <c r="P190" s="55"/>
      <c r="Q190" s="40"/>
      <c r="R190" s="39">
        <v>2.0</v>
      </c>
      <c r="S190" s="50"/>
      <c r="T190" s="50"/>
      <c r="U190" s="50"/>
      <c r="V190" s="50"/>
      <c r="W190" s="55"/>
      <c r="X190" s="40"/>
      <c r="Y190" s="50"/>
      <c r="Z190" s="50"/>
      <c r="AA190" s="733"/>
      <c r="AB190" s="62">
        <f t="shared" si="33"/>
        <v>2</v>
      </c>
      <c r="AC190" s="242">
        <v>2100.0</v>
      </c>
      <c r="AD190" s="68">
        <f t="shared" si="34"/>
        <v>4200</v>
      </c>
      <c r="AE190" s="17"/>
      <c r="AF190" s="155"/>
      <c r="AG190" s="155"/>
    </row>
    <row r="191">
      <c r="A191" s="309" t="s">
        <v>386</v>
      </c>
      <c r="B191" s="692"/>
      <c r="C191" s="157"/>
      <c r="D191" s="158"/>
      <c r="E191" s="159"/>
      <c r="F191" s="734"/>
      <c r="G191" s="159"/>
      <c r="H191" s="159"/>
      <c r="I191" s="163"/>
      <c r="J191" s="159"/>
      <c r="K191" s="159"/>
      <c r="L191" s="160"/>
      <c r="M191" s="160"/>
      <c r="N191" s="160"/>
      <c r="O191" s="159"/>
      <c r="P191" s="163"/>
      <c r="Q191" s="160"/>
      <c r="R191" s="159"/>
      <c r="S191" s="159"/>
      <c r="T191" s="159"/>
      <c r="U191" s="159"/>
      <c r="V191" s="159"/>
      <c r="W191" s="163"/>
      <c r="X191" s="160"/>
      <c r="Y191" s="159"/>
      <c r="Z191" s="159"/>
      <c r="AA191" s="735"/>
      <c r="AB191" s="62">
        <f t="shared" si="33"/>
        <v>0</v>
      </c>
      <c r="AC191" s="249">
        <v>2500.0</v>
      </c>
      <c r="AD191" s="168">
        <f t="shared" si="34"/>
        <v>0</v>
      </c>
      <c r="AE191" s="17"/>
      <c r="AF191" s="155"/>
      <c r="AG191" s="155"/>
    </row>
    <row r="192">
      <c r="A192" s="254" t="s">
        <v>45</v>
      </c>
      <c r="B192" s="128"/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9"/>
      <c r="AD192" s="174">
        <f>SUM(AD186:AD191)</f>
        <v>37100</v>
      </c>
      <c r="AE192" s="17"/>
      <c r="AF192" s="255"/>
      <c r="AG192" s="255"/>
    </row>
    <row r="193">
      <c r="A193" s="314"/>
      <c r="B193" s="695"/>
      <c r="C193" s="312"/>
      <c r="D193" s="717"/>
      <c r="E193" s="314"/>
      <c r="F193" s="736"/>
      <c r="G193" s="314"/>
      <c r="H193" s="314"/>
      <c r="I193" s="318"/>
      <c r="J193" s="314"/>
      <c r="K193" s="314"/>
      <c r="L193" s="315"/>
      <c r="M193" s="315"/>
      <c r="N193" s="315"/>
      <c r="O193" s="318"/>
      <c r="P193" s="318"/>
      <c r="Q193" s="315"/>
      <c r="R193" s="314"/>
      <c r="S193" s="314"/>
      <c r="T193" s="314"/>
      <c r="U193" s="314"/>
      <c r="V193" s="314"/>
      <c r="W193" s="318"/>
      <c r="X193" s="315"/>
      <c r="Y193" s="314"/>
      <c r="Z193" s="721"/>
      <c r="AA193" s="737"/>
      <c r="AB193" s="722" t="s">
        <v>271</v>
      </c>
      <c r="AC193" s="297"/>
      <c r="AD193" s="387">
        <f>AD44+AD48+AD62+AD68+AD73+AD92+AD95+AD100+AD109+AD116+AD121+AD134+AD144+AD153+AD160+AD169+AD184+AD192</f>
        <v>958316</v>
      </c>
      <c r="AE193" s="322"/>
      <c r="AF193" s="323"/>
      <c r="AG193" s="323"/>
    </row>
    <row r="194">
      <c r="A194" s="314"/>
      <c r="B194" s="695"/>
      <c r="C194" s="312"/>
      <c r="D194" s="717"/>
      <c r="E194" s="314"/>
      <c r="F194" s="736"/>
      <c r="G194" s="314"/>
      <c r="H194" s="314"/>
      <c r="I194" s="318"/>
      <c r="J194" s="314"/>
      <c r="K194" s="314"/>
      <c r="L194" s="315"/>
      <c r="M194" s="315"/>
      <c r="N194" s="315"/>
      <c r="O194" s="318"/>
      <c r="P194" s="318"/>
      <c r="Q194" s="315"/>
      <c r="R194" s="314"/>
      <c r="S194" s="314"/>
      <c r="T194" s="314"/>
      <c r="U194" s="314"/>
      <c r="V194" s="314"/>
      <c r="W194" s="318"/>
      <c r="X194" s="315"/>
      <c r="Y194" s="314"/>
      <c r="Z194" s="721"/>
      <c r="AA194" s="737"/>
      <c r="AB194" s="324"/>
      <c r="AC194" s="155"/>
      <c r="AD194" s="155"/>
      <c r="AE194" s="322"/>
      <c r="AF194" s="155"/>
      <c r="AG194" s="132"/>
    </row>
    <row r="195">
      <c r="A195" s="314"/>
      <c r="B195" s="695"/>
      <c r="C195" s="312"/>
      <c r="D195" s="717"/>
      <c r="E195" s="314"/>
      <c r="F195" s="736"/>
      <c r="G195" s="314"/>
      <c r="H195" s="314"/>
      <c r="I195" s="318"/>
      <c r="J195" s="314"/>
      <c r="K195" s="314"/>
      <c r="L195" s="315"/>
      <c r="M195" s="315"/>
      <c r="N195" s="315"/>
      <c r="O195" s="318"/>
      <c r="P195" s="318"/>
      <c r="Q195" s="315"/>
      <c r="R195" s="314"/>
      <c r="S195" s="314"/>
      <c r="T195" s="314"/>
      <c r="U195" s="314"/>
      <c r="V195" s="314"/>
      <c r="W195" s="318"/>
      <c r="X195" s="315"/>
      <c r="Y195" s="314"/>
      <c r="Z195" s="721"/>
      <c r="AA195" s="737"/>
      <c r="AB195" s="324"/>
      <c r="AC195" s="155"/>
      <c r="AD195" s="155"/>
      <c r="AE195" s="322"/>
      <c r="AF195" s="155"/>
      <c r="AG195" s="132"/>
    </row>
    <row r="196">
      <c r="A196" s="314"/>
      <c r="B196" s="695"/>
      <c r="C196" s="312"/>
      <c r="D196" s="717"/>
      <c r="E196" s="314"/>
      <c r="F196" s="736"/>
      <c r="G196" s="314"/>
      <c r="H196" s="314"/>
      <c r="I196" s="318"/>
      <c r="J196" s="314"/>
      <c r="K196" s="314"/>
      <c r="L196" s="315"/>
      <c r="M196" s="315"/>
      <c r="N196" s="315"/>
      <c r="O196" s="318"/>
      <c r="P196" s="318"/>
      <c r="Q196" s="315"/>
      <c r="R196" s="314"/>
      <c r="S196" s="314"/>
      <c r="T196" s="314"/>
      <c r="U196" s="314"/>
      <c r="V196" s="314"/>
      <c r="W196" s="318"/>
      <c r="X196" s="315"/>
      <c r="Y196" s="314"/>
      <c r="Z196" s="721"/>
      <c r="AA196" s="737"/>
      <c r="AB196" s="324"/>
      <c r="AC196" s="155"/>
      <c r="AD196" s="155"/>
      <c r="AE196" s="322"/>
      <c r="AF196" s="155"/>
      <c r="AG196" s="132"/>
    </row>
    <row r="197">
      <c r="A197" s="314"/>
      <c r="B197" s="695"/>
      <c r="C197" s="312"/>
      <c r="D197" s="717"/>
      <c r="E197" s="314"/>
      <c r="F197" s="736"/>
      <c r="G197" s="314"/>
      <c r="H197" s="314"/>
      <c r="I197" s="318"/>
      <c r="J197" s="314"/>
      <c r="K197" s="314"/>
      <c r="L197" s="315"/>
      <c r="M197" s="315"/>
      <c r="N197" s="315"/>
      <c r="O197" s="318"/>
      <c r="P197" s="318"/>
      <c r="Q197" s="315"/>
      <c r="R197" s="314"/>
      <c r="S197" s="314"/>
      <c r="T197" s="314"/>
      <c r="U197" s="314"/>
      <c r="V197" s="314"/>
      <c r="W197" s="318"/>
      <c r="X197" s="315"/>
      <c r="Y197" s="314"/>
      <c r="Z197" s="721"/>
      <c r="AA197" s="737"/>
      <c r="AB197" s="324"/>
      <c r="AC197" s="155"/>
      <c r="AD197" s="155"/>
      <c r="AE197" s="322"/>
      <c r="AF197" s="155"/>
      <c r="AG197" s="132"/>
    </row>
    <row r="198">
      <c r="A198" s="314"/>
      <c r="B198" s="695"/>
      <c r="C198" s="312"/>
      <c r="D198" s="717"/>
      <c r="E198" s="314"/>
      <c r="F198" s="736"/>
      <c r="G198" s="314"/>
      <c r="H198" s="314"/>
      <c r="I198" s="318"/>
      <c r="J198" s="314"/>
      <c r="K198" s="314"/>
      <c r="L198" s="315"/>
      <c r="M198" s="315"/>
      <c r="N198" s="315"/>
      <c r="O198" s="318"/>
      <c r="P198" s="318"/>
      <c r="Q198" s="315"/>
      <c r="R198" s="314"/>
      <c r="S198" s="314"/>
      <c r="T198" s="314"/>
      <c r="U198" s="314"/>
      <c r="V198" s="314"/>
      <c r="W198" s="318"/>
      <c r="X198" s="315"/>
      <c r="Y198" s="314"/>
      <c r="Z198" s="721"/>
      <c r="AA198" s="737"/>
      <c r="AB198" s="324"/>
      <c r="AC198" s="155"/>
      <c r="AD198" s="155"/>
      <c r="AE198" s="322"/>
      <c r="AF198" s="155"/>
      <c r="AG198" s="132"/>
    </row>
    <row r="199">
      <c r="A199" s="314"/>
      <c r="B199" s="695"/>
      <c r="C199" s="312"/>
      <c r="D199" s="717"/>
      <c r="E199" s="314"/>
      <c r="F199" s="736"/>
      <c r="G199" s="314"/>
      <c r="H199" s="314"/>
      <c r="I199" s="318"/>
      <c r="J199" s="314"/>
      <c r="K199" s="314"/>
      <c r="L199" s="315"/>
      <c r="M199" s="315"/>
      <c r="N199" s="315"/>
      <c r="O199" s="318"/>
      <c r="P199" s="318"/>
      <c r="Q199" s="315"/>
      <c r="R199" s="314"/>
      <c r="S199" s="314"/>
      <c r="T199" s="314"/>
      <c r="U199" s="314"/>
      <c r="V199" s="314"/>
      <c r="W199" s="318"/>
      <c r="X199" s="315"/>
      <c r="Y199" s="314"/>
      <c r="Z199" s="721"/>
      <c r="AA199" s="737"/>
      <c r="AB199" s="324"/>
      <c r="AC199" s="155"/>
      <c r="AD199" s="155"/>
      <c r="AE199" s="322"/>
      <c r="AF199" s="155"/>
      <c r="AG199" s="132"/>
    </row>
    <row r="200">
      <c r="A200" s="314"/>
      <c r="B200" s="695"/>
      <c r="C200" s="312"/>
      <c r="D200" s="717"/>
      <c r="E200" s="314"/>
      <c r="F200" s="736"/>
      <c r="G200" s="314"/>
      <c r="H200" s="314"/>
      <c r="I200" s="318"/>
      <c r="J200" s="314"/>
      <c r="K200" s="314"/>
      <c r="L200" s="315"/>
      <c r="M200" s="315"/>
      <c r="N200" s="315"/>
      <c r="O200" s="318"/>
      <c r="P200" s="318"/>
      <c r="Q200" s="315"/>
      <c r="R200" s="314"/>
      <c r="S200" s="314"/>
      <c r="T200" s="314"/>
      <c r="U200" s="314"/>
      <c r="V200" s="314"/>
      <c r="W200" s="318"/>
      <c r="X200" s="315"/>
      <c r="Y200" s="314"/>
      <c r="Z200" s="721"/>
      <c r="AA200" s="737"/>
      <c r="AB200" s="324"/>
      <c r="AC200" s="155"/>
      <c r="AD200" s="155"/>
      <c r="AE200" s="322"/>
      <c r="AF200" s="155"/>
      <c r="AG200" s="132"/>
    </row>
    <row r="201">
      <c r="A201" s="314"/>
      <c r="B201" s="695"/>
      <c r="C201" s="312"/>
      <c r="D201" s="717"/>
      <c r="E201" s="314"/>
      <c r="F201" s="736"/>
      <c r="G201" s="314"/>
      <c r="H201" s="314"/>
      <c r="I201" s="318"/>
      <c r="J201" s="314"/>
      <c r="K201" s="314"/>
      <c r="L201" s="315"/>
      <c r="M201" s="315"/>
      <c r="N201" s="315"/>
      <c r="O201" s="318"/>
      <c r="P201" s="318"/>
      <c r="Q201" s="315"/>
      <c r="R201" s="314"/>
      <c r="S201" s="314"/>
      <c r="T201" s="314"/>
      <c r="U201" s="314"/>
      <c r="V201" s="314"/>
      <c r="W201" s="318"/>
      <c r="X201" s="315"/>
      <c r="Y201" s="314"/>
      <c r="Z201" s="721"/>
      <c r="AA201" s="737"/>
      <c r="AB201" s="324"/>
      <c r="AC201" s="155"/>
      <c r="AD201" s="155"/>
      <c r="AE201" s="322"/>
      <c r="AF201" s="155"/>
      <c r="AG201" s="132"/>
    </row>
    <row r="202">
      <c r="A202" s="314"/>
      <c r="B202" s="695"/>
      <c r="C202" s="312"/>
      <c r="D202" s="717"/>
      <c r="E202" s="314"/>
      <c r="F202" s="736"/>
      <c r="G202" s="314"/>
      <c r="H202" s="314"/>
      <c r="I202" s="318"/>
      <c r="J202" s="314"/>
      <c r="K202" s="314"/>
      <c r="L202" s="315"/>
      <c r="M202" s="315"/>
      <c r="N202" s="315"/>
      <c r="O202" s="318"/>
      <c r="P202" s="318"/>
      <c r="Q202" s="315"/>
      <c r="R202" s="314"/>
      <c r="S202" s="314"/>
      <c r="T202" s="314"/>
      <c r="U202" s="314"/>
      <c r="V202" s="314"/>
      <c r="W202" s="318"/>
      <c r="X202" s="315"/>
      <c r="Y202" s="314"/>
      <c r="Z202" s="721"/>
      <c r="AA202" s="737"/>
      <c r="AB202" s="324"/>
      <c r="AC202" s="155"/>
      <c r="AD202" s="155"/>
      <c r="AE202" s="322"/>
      <c r="AF202" s="155"/>
      <c r="AG202" s="132"/>
    </row>
    <row r="203">
      <c r="A203" s="314"/>
      <c r="B203" s="695"/>
      <c r="C203" s="312"/>
      <c r="D203" s="717"/>
      <c r="E203" s="314"/>
      <c r="F203" s="736"/>
      <c r="G203" s="314"/>
      <c r="H203" s="314"/>
      <c r="I203" s="318"/>
      <c r="J203" s="314"/>
      <c r="K203" s="314"/>
      <c r="L203" s="315"/>
      <c r="M203" s="315"/>
      <c r="N203" s="315"/>
      <c r="O203" s="318"/>
      <c r="P203" s="318"/>
      <c r="Q203" s="315"/>
      <c r="R203" s="314"/>
      <c r="S203" s="314"/>
      <c r="T203" s="314"/>
      <c r="U203" s="314"/>
      <c r="V203" s="314"/>
      <c r="W203" s="318"/>
      <c r="X203" s="315"/>
      <c r="Y203" s="314"/>
      <c r="Z203" s="721"/>
      <c r="AA203" s="737"/>
      <c r="AB203" s="324"/>
      <c r="AC203" s="155"/>
      <c r="AD203" s="155"/>
      <c r="AE203" s="322"/>
      <c r="AF203" s="155"/>
      <c r="AG203" s="132"/>
    </row>
    <row r="204">
      <c r="A204" s="314"/>
      <c r="B204" s="695"/>
      <c r="C204" s="312"/>
      <c r="D204" s="717"/>
      <c r="E204" s="314"/>
      <c r="F204" s="736"/>
      <c r="G204" s="314"/>
      <c r="H204" s="314"/>
      <c r="I204" s="318"/>
      <c r="J204" s="314"/>
      <c r="K204" s="314"/>
      <c r="L204" s="315"/>
      <c r="M204" s="315"/>
      <c r="N204" s="315"/>
      <c r="O204" s="318"/>
      <c r="P204" s="318"/>
      <c r="Q204" s="315"/>
      <c r="R204" s="314"/>
      <c r="S204" s="314"/>
      <c r="T204" s="314"/>
      <c r="U204" s="314"/>
      <c r="V204" s="314"/>
      <c r="W204" s="318"/>
      <c r="X204" s="315"/>
      <c r="Y204" s="314"/>
      <c r="Z204" s="721"/>
      <c r="AA204" s="737"/>
      <c r="AB204" s="324"/>
      <c r="AC204" s="155"/>
      <c r="AD204" s="155"/>
      <c r="AE204" s="322"/>
      <c r="AF204" s="155"/>
      <c r="AG204" s="132"/>
    </row>
    <row r="205">
      <c r="A205" s="314"/>
      <c r="B205" s="695"/>
      <c r="C205" s="312"/>
      <c r="D205" s="717"/>
      <c r="E205" s="314"/>
      <c r="F205" s="736"/>
      <c r="G205" s="314"/>
      <c r="H205" s="314"/>
      <c r="I205" s="318"/>
      <c r="J205" s="314"/>
      <c r="K205" s="314"/>
      <c r="L205" s="315"/>
      <c r="M205" s="315"/>
      <c r="N205" s="315"/>
      <c r="O205" s="318"/>
      <c r="P205" s="318"/>
      <c r="Q205" s="315"/>
      <c r="R205" s="314"/>
      <c r="S205" s="314"/>
      <c r="T205" s="314"/>
      <c r="U205" s="314"/>
      <c r="V205" s="314"/>
      <c r="W205" s="318"/>
      <c r="X205" s="315"/>
      <c r="Y205" s="314"/>
      <c r="Z205" s="721"/>
      <c r="AA205" s="737"/>
      <c r="AB205" s="324"/>
      <c r="AC205" s="155"/>
      <c r="AD205" s="155"/>
      <c r="AE205" s="322"/>
      <c r="AF205" s="155"/>
      <c r="AG205" s="132"/>
    </row>
    <row r="206">
      <c r="A206" s="314"/>
      <c r="B206" s="695"/>
      <c r="C206" s="312"/>
      <c r="D206" s="717"/>
      <c r="E206" s="314"/>
      <c r="F206" s="736"/>
      <c r="G206" s="314"/>
      <c r="H206" s="314"/>
      <c r="I206" s="318"/>
      <c r="J206" s="314"/>
      <c r="K206" s="314"/>
      <c r="L206" s="315"/>
      <c r="M206" s="315"/>
      <c r="N206" s="315"/>
      <c r="O206" s="318"/>
      <c r="P206" s="318"/>
      <c r="Q206" s="315"/>
      <c r="R206" s="314"/>
      <c r="S206" s="314"/>
      <c r="T206" s="314"/>
      <c r="U206" s="314"/>
      <c r="V206" s="314"/>
      <c r="W206" s="318"/>
      <c r="X206" s="315"/>
      <c r="Y206" s="314"/>
      <c r="Z206" s="721"/>
      <c r="AA206" s="737"/>
      <c r="AB206" s="324"/>
      <c r="AC206" s="155"/>
      <c r="AD206" s="155"/>
      <c r="AE206" s="322"/>
      <c r="AF206" s="155"/>
      <c r="AG206" s="132"/>
    </row>
    <row r="207">
      <c r="A207" s="314"/>
      <c r="B207" s="695"/>
      <c r="C207" s="312"/>
      <c r="D207" s="717"/>
      <c r="E207" s="314"/>
      <c r="F207" s="736"/>
      <c r="G207" s="314"/>
      <c r="H207" s="314"/>
      <c r="I207" s="318"/>
      <c r="J207" s="314"/>
      <c r="K207" s="314"/>
      <c r="L207" s="315"/>
      <c r="M207" s="315"/>
      <c r="N207" s="315"/>
      <c r="O207" s="318"/>
      <c r="P207" s="318"/>
      <c r="Q207" s="315"/>
      <c r="R207" s="314"/>
      <c r="S207" s="314"/>
      <c r="T207" s="314"/>
      <c r="U207" s="314"/>
      <c r="V207" s="314"/>
      <c r="W207" s="318"/>
      <c r="X207" s="315"/>
      <c r="Y207" s="314"/>
      <c r="Z207" s="721"/>
      <c r="AA207" s="737"/>
      <c r="AB207" s="324"/>
      <c r="AC207" s="155"/>
      <c r="AD207" s="155"/>
      <c r="AE207" s="322"/>
      <c r="AF207" s="155"/>
      <c r="AG207" s="132"/>
    </row>
    <row r="208">
      <c r="A208" s="314"/>
      <c r="B208" s="695"/>
      <c r="C208" s="312"/>
      <c r="D208" s="717"/>
      <c r="E208" s="314"/>
      <c r="F208" s="736"/>
      <c r="G208" s="314"/>
      <c r="H208" s="314"/>
      <c r="I208" s="318"/>
      <c r="J208" s="314"/>
      <c r="K208" s="314"/>
      <c r="L208" s="315"/>
      <c r="M208" s="315"/>
      <c r="N208" s="315"/>
      <c r="O208" s="318"/>
      <c r="P208" s="318"/>
      <c r="Q208" s="315"/>
      <c r="R208" s="314"/>
      <c r="S208" s="314"/>
      <c r="T208" s="314"/>
      <c r="U208" s="314"/>
      <c r="V208" s="314"/>
      <c r="W208" s="318"/>
      <c r="X208" s="315"/>
      <c r="Y208" s="314"/>
      <c r="Z208" s="721"/>
      <c r="AA208" s="737"/>
      <c r="AB208" s="324"/>
      <c r="AC208" s="155"/>
      <c r="AD208" s="155"/>
      <c r="AE208" s="322"/>
      <c r="AF208" s="155"/>
      <c r="AG208" s="132"/>
    </row>
    <row r="209">
      <c r="A209" s="314"/>
      <c r="B209" s="695"/>
      <c r="C209" s="312"/>
      <c r="D209" s="717"/>
      <c r="E209" s="314"/>
      <c r="F209" s="736"/>
      <c r="G209" s="314"/>
      <c r="H209" s="314"/>
      <c r="I209" s="318"/>
      <c r="J209" s="314"/>
      <c r="K209" s="314"/>
      <c r="L209" s="315"/>
      <c r="M209" s="315"/>
      <c r="N209" s="315"/>
      <c r="O209" s="318"/>
      <c r="P209" s="318"/>
      <c r="Q209" s="315"/>
      <c r="R209" s="314"/>
      <c r="S209" s="314"/>
      <c r="T209" s="314"/>
      <c r="U209" s="314"/>
      <c r="V209" s="314"/>
      <c r="W209" s="318"/>
      <c r="X209" s="315"/>
      <c r="Y209" s="314"/>
      <c r="Z209" s="721"/>
      <c r="AA209" s="737"/>
      <c r="AB209" s="324"/>
      <c r="AC209" s="155"/>
      <c r="AD209" s="155"/>
      <c r="AE209" s="322"/>
      <c r="AF209" s="155"/>
      <c r="AG209" s="132"/>
    </row>
    <row r="210">
      <c r="A210" s="314"/>
      <c r="B210" s="695"/>
      <c r="C210" s="312"/>
      <c r="D210" s="717"/>
      <c r="E210" s="314"/>
      <c r="F210" s="736"/>
      <c r="G210" s="314"/>
      <c r="H210" s="314"/>
      <c r="I210" s="318"/>
      <c r="J210" s="314"/>
      <c r="K210" s="314"/>
      <c r="L210" s="315"/>
      <c r="M210" s="315"/>
      <c r="N210" s="315"/>
      <c r="O210" s="318"/>
      <c r="P210" s="318"/>
      <c r="Q210" s="315"/>
      <c r="R210" s="314"/>
      <c r="S210" s="314"/>
      <c r="T210" s="314"/>
      <c r="U210" s="314"/>
      <c r="V210" s="314"/>
      <c r="W210" s="318"/>
      <c r="X210" s="315"/>
      <c r="Y210" s="314"/>
      <c r="Z210" s="721"/>
      <c r="AA210" s="737"/>
      <c r="AB210" s="324"/>
      <c r="AC210" s="155"/>
      <c r="AD210" s="155"/>
      <c r="AE210" s="322"/>
      <c r="AF210" s="155"/>
      <c r="AG210" s="132"/>
    </row>
    <row r="211">
      <c r="A211" s="314"/>
      <c r="B211" s="695"/>
      <c r="C211" s="312"/>
      <c r="D211" s="717"/>
      <c r="E211" s="314"/>
      <c r="F211" s="736"/>
      <c r="G211" s="314"/>
      <c r="H211" s="314"/>
      <c r="I211" s="318"/>
      <c r="J211" s="314"/>
      <c r="K211" s="314"/>
      <c r="L211" s="315"/>
      <c r="M211" s="315"/>
      <c r="N211" s="315"/>
      <c r="O211" s="318"/>
      <c r="P211" s="318"/>
      <c r="Q211" s="315"/>
      <c r="R211" s="314"/>
      <c r="S211" s="314"/>
      <c r="T211" s="314"/>
      <c r="U211" s="314"/>
      <c r="V211" s="314"/>
      <c r="W211" s="318"/>
      <c r="X211" s="315"/>
      <c r="Y211" s="314"/>
      <c r="Z211" s="721"/>
      <c r="AA211" s="737"/>
      <c r="AB211" s="324"/>
      <c r="AC211" s="155"/>
      <c r="AD211" s="155"/>
      <c r="AE211" s="322"/>
      <c r="AF211" s="155"/>
      <c r="AG211" s="132"/>
    </row>
    <row r="212">
      <c r="A212" s="314"/>
      <c r="B212" s="695"/>
      <c r="C212" s="312"/>
      <c r="D212" s="717"/>
      <c r="E212" s="314"/>
      <c r="F212" s="736"/>
      <c r="G212" s="314"/>
      <c r="H212" s="314"/>
      <c r="I212" s="318"/>
      <c r="J212" s="314"/>
      <c r="K212" s="314"/>
      <c r="L212" s="315"/>
      <c r="M212" s="315"/>
      <c r="N212" s="315"/>
      <c r="O212" s="318"/>
      <c r="P212" s="318"/>
      <c r="Q212" s="315"/>
      <c r="R212" s="314"/>
      <c r="S212" s="314"/>
      <c r="T212" s="314"/>
      <c r="U212" s="314"/>
      <c r="V212" s="314"/>
      <c r="W212" s="318"/>
      <c r="X212" s="315"/>
      <c r="Y212" s="314"/>
      <c r="Z212" s="721"/>
      <c r="AA212" s="737"/>
      <c r="AB212" s="324"/>
      <c r="AC212" s="155"/>
      <c r="AD212" s="155"/>
      <c r="AE212" s="322"/>
      <c r="AF212" s="155"/>
      <c r="AG212" s="132"/>
    </row>
    <row r="213">
      <c r="A213" s="314"/>
      <c r="B213" s="695"/>
      <c r="C213" s="312"/>
      <c r="D213" s="717"/>
      <c r="E213" s="314"/>
      <c r="F213" s="736"/>
      <c r="G213" s="314"/>
      <c r="H213" s="314"/>
      <c r="I213" s="318"/>
      <c r="J213" s="314"/>
      <c r="K213" s="314"/>
      <c r="L213" s="315"/>
      <c r="M213" s="315"/>
      <c r="N213" s="315"/>
      <c r="O213" s="318"/>
      <c r="P213" s="318"/>
      <c r="Q213" s="315"/>
      <c r="R213" s="314"/>
      <c r="S213" s="314"/>
      <c r="T213" s="314"/>
      <c r="U213" s="314"/>
      <c r="V213" s="314"/>
      <c r="W213" s="318"/>
      <c r="X213" s="315"/>
      <c r="Y213" s="314"/>
      <c r="Z213" s="721"/>
      <c r="AA213" s="737"/>
      <c r="AB213" s="324"/>
      <c r="AC213" s="155"/>
      <c r="AD213" s="155"/>
      <c r="AE213" s="322"/>
      <c r="AF213" s="155"/>
      <c r="AG213" s="132"/>
    </row>
    <row r="214">
      <c r="A214" s="314"/>
      <c r="B214" s="695"/>
      <c r="C214" s="312"/>
      <c r="D214" s="717"/>
      <c r="E214" s="314"/>
      <c r="F214" s="736"/>
      <c r="G214" s="314"/>
      <c r="H214" s="314"/>
      <c r="I214" s="318"/>
      <c r="J214" s="314"/>
      <c r="K214" s="314"/>
      <c r="L214" s="315"/>
      <c r="M214" s="315"/>
      <c r="N214" s="315"/>
      <c r="O214" s="318"/>
      <c r="P214" s="318"/>
      <c r="Q214" s="315"/>
      <c r="R214" s="314"/>
      <c r="S214" s="314"/>
      <c r="T214" s="314"/>
      <c r="U214" s="314"/>
      <c r="V214" s="314"/>
      <c r="W214" s="318"/>
      <c r="X214" s="315"/>
      <c r="Y214" s="314"/>
      <c r="Z214" s="721"/>
      <c r="AA214" s="737"/>
      <c r="AB214" s="324"/>
      <c r="AC214" s="155"/>
      <c r="AD214" s="155"/>
      <c r="AE214" s="322"/>
      <c r="AF214" s="155"/>
      <c r="AG214" s="132"/>
    </row>
    <row r="215">
      <c r="A215" s="314"/>
      <c r="B215" s="695"/>
      <c r="C215" s="312"/>
      <c r="D215" s="717"/>
      <c r="E215" s="314"/>
      <c r="F215" s="736"/>
      <c r="G215" s="314"/>
      <c r="H215" s="314"/>
      <c r="I215" s="318"/>
      <c r="J215" s="314"/>
      <c r="K215" s="314"/>
      <c r="L215" s="315"/>
      <c r="M215" s="315"/>
      <c r="N215" s="315"/>
      <c r="O215" s="318"/>
      <c r="P215" s="318"/>
      <c r="Q215" s="315"/>
      <c r="R215" s="314"/>
      <c r="S215" s="314"/>
      <c r="T215" s="314"/>
      <c r="U215" s="314"/>
      <c r="V215" s="314"/>
      <c r="W215" s="318"/>
      <c r="X215" s="315"/>
      <c r="Y215" s="314"/>
      <c r="Z215" s="721"/>
      <c r="AA215" s="737"/>
      <c r="AB215" s="324"/>
      <c r="AC215" s="155"/>
      <c r="AD215" s="155"/>
      <c r="AE215" s="322"/>
      <c r="AF215" s="155"/>
      <c r="AG215" s="132"/>
    </row>
    <row r="216">
      <c r="A216" s="314"/>
      <c r="B216" s="695"/>
      <c r="C216" s="312"/>
      <c r="D216" s="717"/>
      <c r="E216" s="314"/>
      <c r="F216" s="736"/>
      <c r="G216" s="314"/>
      <c r="H216" s="314"/>
      <c r="I216" s="318"/>
      <c r="J216" s="314"/>
      <c r="K216" s="314"/>
      <c r="L216" s="315"/>
      <c r="M216" s="315"/>
      <c r="N216" s="315"/>
      <c r="O216" s="318"/>
      <c r="P216" s="318"/>
      <c r="Q216" s="315"/>
      <c r="R216" s="314"/>
      <c r="S216" s="314"/>
      <c r="T216" s="314"/>
      <c r="U216" s="314"/>
      <c r="V216" s="314"/>
      <c r="W216" s="318"/>
      <c r="X216" s="315"/>
      <c r="Y216" s="314"/>
      <c r="Z216" s="721"/>
      <c r="AA216" s="737"/>
      <c r="AB216" s="324"/>
      <c r="AC216" s="155"/>
      <c r="AD216" s="155"/>
      <c r="AE216" s="322"/>
      <c r="AF216" s="155"/>
      <c r="AG216" s="132"/>
    </row>
    <row r="217">
      <c r="A217" s="314"/>
      <c r="B217" s="695"/>
      <c r="C217" s="312"/>
      <c r="D217" s="717"/>
      <c r="E217" s="314"/>
      <c r="F217" s="736"/>
      <c r="G217" s="314"/>
      <c r="H217" s="314"/>
      <c r="I217" s="318"/>
      <c r="J217" s="314"/>
      <c r="K217" s="314"/>
      <c r="L217" s="315"/>
      <c r="M217" s="315"/>
      <c r="N217" s="315"/>
      <c r="O217" s="318"/>
      <c r="P217" s="318"/>
      <c r="Q217" s="315"/>
      <c r="R217" s="314"/>
      <c r="S217" s="314"/>
      <c r="T217" s="314"/>
      <c r="U217" s="314"/>
      <c r="V217" s="314"/>
      <c r="W217" s="318"/>
      <c r="X217" s="315"/>
      <c r="Y217" s="314"/>
      <c r="Z217" s="721"/>
      <c r="AA217" s="737"/>
      <c r="AB217" s="324"/>
      <c r="AC217" s="155"/>
      <c r="AD217" s="155"/>
      <c r="AE217" s="322"/>
      <c r="AF217" s="155"/>
      <c r="AG217" s="132"/>
    </row>
    <row r="218">
      <c r="A218" s="314"/>
      <c r="B218" s="695"/>
      <c r="C218" s="312"/>
      <c r="D218" s="717"/>
      <c r="E218" s="314"/>
      <c r="F218" s="736"/>
      <c r="G218" s="314"/>
      <c r="H218" s="314"/>
      <c r="I218" s="318"/>
      <c r="J218" s="314"/>
      <c r="K218" s="314"/>
      <c r="L218" s="315"/>
      <c r="M218" s="315"/>
      <c r="N218" s="315"/>
      <c r="O218" s="318"/>
      <c r="P218" s="318"/>
      <c r="Q218" s="315"/>
      <c r="R218" s="314"/>
      <c r="S218" s="314"/>
      <c r="T218" s="314"/>
      <c r="U218" s="314"/>
      <c r="V218" s="314"/>
      <c r="W218" s="318"/>
      <c r="X218" s="315"/>
      <c r="Y218" s="314"/>
      <c r="Z218" s="721"/>
      <c r="AA218" s="737"/>
      <c r="AB218" s="324"/>
      <c r="AC218" s="155"/>
      <c r="AD218" s="155"/>
      <c r="AE218" s="322"/>
      <c r="AF218" s="155"/>
      <c r="AG218" s="132"/>
    </row>
    <row r="219">
      <c r="A219" s="314"/>
      <c r="B219" s="695"/>
      <c r="C219" s="312"/>
      <c r="D219" s="717"/>
      <c r="E219" s="314"/>
      <c r="F219" s="736"/>
      <c r="G219" s="314"/>
      <c r="H219" s="314"/>
      <c r="I219" s="318"/>
      <c r="J219" s="314"/>
      <c r="K219" s="314"/>
      <c r="L219" s="315"/>
      <c r="M219" s="315"/>
      <c r="N219" s="315"/>
      <c r="O219" s="318"/>
      <c r="P219" s="318"/>
      <c r="Q219" s="315"/>
      <c r="R219" s="314"/>
      <c r="S219" s="314"/>
      <c r="T219" s="314"/>
      <c r="U219" s="314"/>
      <c r="V219" s="314"/>
      <c r="W219" s="318"/>
      <c r="X219" s="315"/>
      <c r="Y219" s="314"/>
      <c r="Z219" s="721"/>
      <c r="AA219" s="737"/>
      <c r="AB219" s="324"/>
      <c r="AC219" s="155"/>
      <c r="AD219" s="155"/>
      <c r="AE219" s="322"/>
      <c r="AF219" s="155"/>
      <c r="AG219" s="132"/>
    </row>
    <row r="220">
      <c r="A220" s="314"/>
      <c r="B220" s="695"/>
      <c r="C220" s="312"/>
      <c r="D220" s="717"/>
      <c r="E220" s="314"/>
      <c r="F220" s="736"/>
      <c r="G220" s="314"/>
      <c r="H220" s="314"/>
      <c r="I220" s="318"/>
      <c r="J220" s="314"/>
      <c r="K220" s="314"/>
      <c r="L220" s="315"/>
      <c r="M220" s="315"/>
      <c r="N220" s="315"/>
      <c r="O220" s="318"/>
      <c r="P220" s="318"/>
      <c r="Q220" s="315"/>
      <c r="R220" s="314"/>
      <c r="S220" s="314"/>
      <c r="T220" s="314"/>
      <c r="U220" s="314"/>
      <c r="V220" s="314"/>
      <c r="W220" s="318"/>
      <c r="X220" s="315"/>
      <c r="Y220" s="314"/>
      <c r="Z220" s="721"/>
      <c r="AA220" s="737"/>
      <c r="AB220" s="324"/>
      <c r="AC220" s="155"/>
      <c r="AD220" s="155"/>
      <c r="AE220" s="322"/>
      <c r="AF220" s="155"/>
      <c r="AG220" s="132"/>
    </row>
    <row r="221">
      <c r="A221" s="314"/>
      <c r="B221" s="695"/>
      <c r="C221" s="312"/>
      <c r="D221" s="717"/>
      <c r="E221" s="314"/>
      <c r="F221" s="736"/>
      <c r="G221" s="314"/>
      <c r="H221" s="314"/>
      <c r="I221" s="318"/>
      <c r="J221" s="314"/>
      <c r="K221" s="314"/>
      <c r="L221" s="315"/>
      <c r="M221" s="315"/>
      <c r="N221" s="315"/>
      <c r="O221" s="318"/>
      <c r="P221" s="318"/>
      <c r="Q221" s="315"/>
      <c r="R221" s="314"/>
      <c r="S221" s="314"/>
      <c r="T221" s="314"/>
      <c r="U221" s="314"/>
      <c r="V221" s="314"/>
      <c r="W221" s="318"/>
      <c r="X221" s="315"/>
      <c r="Y221" s="314"/>
      <c r="Z221" s="721"/>
      <c r="AA221" s="737"/>
      <c r="AB221" s="324"/>
      <c r="AC221" s="155"/>
      <c r="AD221" s="155"/>
      <c r="AE221" s="322"/>
      <c r="AF221" s="155"/>
      <c r="AG221" s="132"/>
    </row>
    <row r="222">
      <c r="A222" s="314"/>
      <c r="B222" s="695"/>
      <c r="C222" s="312"/>
      <c r="D222" s="717"/>
      <c r="E222" s="314"/>
      <c r="F222" s="736"/>
      <c r="G222" s="314"/>
      <c r="H222" s="314"/>
      <c r="I222" s="318"/>
      <c r="J222" s="314"/>
      <c r="K222" s="314"/>
      <c r="L222" s="315"/>
      <c r="M222" s="315"/>
      <c r="N222" s="315"/>
      <c r="O222" s="318"/>
      <c r="P222" s="318"/>
      <c r="Q222" s="315"/>
      <c r="R222" s="314"/>
      <c r="S222" s="314"/>
      <c r="T222" s="314"/>
      <c r="U222" s="314"/>
      <c r="V222" s="314"/>
      <c r="W222" s="318"/>
      <c r="X222" s="315"/>
      <c r="Y222" s="314"/>
      <c r="Z222" s="721"/>
      <c r="AA222" s="737"/>
      <c r="AB222" s="324"/>
      <c r="AC222" s="155"/>
      <c r="AD222" s="155"/>
      <c r="AE222" s="322"/>
      <c r="AF222" s="155"/>
      <c r="AG222" s="132"/>
    </row>
    <row r="223">
      <c r="A223" s="314"/>
      <c r="B223" s="695"/>
      <c r="C223" s="312"/>
      <c r="D223" s="717"/>
      <c r="E223" s="314"/>
      <c r="F223" s="736"/>
      <c r="G223" s="314"/>
      <c r="H223" s="314"/>
      <c r="I223" s="318"/>
      <c r="J223" s="314"/>
      <c r="K223" s="314"/>
      <c r="L223" s="315"/>
      <c r="M223" s="315"/>
      <c r="N223" s="315"/>
      <c r="O223" s="318"/>
      <c r="P223" s="318"/>
      <c r="Q223" s="315"/>
      <c r="R223" s="314"/>
      <c r="S223" s="314"/>
      <c r="T223" s="314"/>
      <c r="U223" s="314"/>
      <c r="V223" s="314"/>
      <c r="W223" s="318"/>
      <c r="X223" s="315"/>
      <c r="Y223" s="314"/>
      <c r="Z223" s="721"/>
      <c r="AA223" s="737"/>
      <c r="AB223" s="324"/>
      <c r="AC223" s="155"/>
      <c r="AD223" s="155"/>
      <c r="AE223" s="322"/>
      <c r="AF223" s="155"/>
      <c r="AG223" s="132"/>
    </row>
    <row r="224">
      <c r="A224" s="314"/>
      <c r="B224" s="695"/>
      <c r="C224" s="312"/>
      <c r="D224" s="717"/>
      <c r="E224" s="314"/>
      <c r="F224" s="736"/>
      <c r="G224" s="314"/>
      <c r="H224" s="314"/>
      <c r="I224" s="318"/>
      <c r="J224" s="314"/>
      <c r="K224" s="314"/>
      <c r="L224" s="315"/>
      <c r="M224" s="315"/>
      <c r="N224" s="315"/>
      <c r="O224" s="318"/>
      <c r="P224" s="318"/>
      <c r="Q224" s="315"/>
      <c r="R224" s="314"/>
      <c r="S224" s="314"/>
      <c r="T224" s="314"/>
      <c r="U224" s="314"/>
      <c r="V224" s="314"/>
      <c r="W224" s="318"/>
      <c r="X224" s="315"/>
      <c r="Y224" s="314"/>
      <c r="Z224" s="721"/>
      <c r="AA224" s="737"/>
      <c r="AB224" s="324"/>
      <c r="AC224" s="155"/>
      <c r="AD224" s="155"/>
      <c r="AE224" s="322"/>
      <c r="AF224" s="155"/>
      <c r="AG224" s="132"/>
    </row>
    <row r="225">
      <c r="A225" s="314"/>
      <c r="B225" s="695"/>
      <c r="C225" s="312"/>
      <c r="D225" s="717"/>
      <c r="E225" s="314"/>
      <c r="F225" s="736"/>
      <c r="G225" s="314"/>
      <c r="H225" s="314"/>
      <c r="I225" s="318"/>
      <c r="J225" s="314"/>
      <c r="K225" s="314"/>
      <c r="L225" s="315"/>
      <c r="M225" s="315"/>
      <c r="N225" s="315"/>
      <c r="O225" s="318"/>
      <c r="P225" s="318"/>
      <c r="Q225" s="315"/>
      <c r="R225" s="314"/>
      <c r="S225" s="314"/>
      <c r="T225" s="314"/>
      <c r="U225" s="314"/>
      <c r="V225" s="314"/>
      <c r="W225" s="318"/>
      <c r="X225" s="315"/>
      <c r="Y225" s="314"/>
      <c r="Z225" s="721"/>
      <c r="AA225" s="737"/>
      <c r="AB225" s="324"/>
      <c r="AC225" s="155"/>
      <c r="AD225" s="155"/>
      <c r="AE225" s="322"/>
      <c r="AF225" s="155"/>
      <c r="AG225" s="132"/>
    </row>
    <row r="226">
      <c r="A226" s="314"/>
      <c r="B226" s="695"/>
      <c r="C226" s="312"/>
      <c r="D226" s="717"/>
      <c r="E226" s="314"/>
      <c r="F226" s="736"/>
      <c r="G226" s="314"/>
      <c r="H226" s="314"/>
      <c r="I226" s="318"/>
      <c r="J226" s="314"/>
      <c r="K226" s="314"/>
      <c r="L226" s="315"/>
      <c r="M226" s="315"/>
      <c r="N226" s="315"/>
      <c r="O226" s="318"/>
      <c r="P226" s="318"/>
      <c r="Q226" s="315"/>
      <c r="R226" s="314"/>
      <c r="S226" s="314"/>
      <c r="T226" s="314"/>
      <c r="U226" s="314"/>
      <c r="V226" s="314"/>
      <c r="W226" s="318"/>
      <c r="X226" s="315"/>
      <c r="Y226" s="314"/>
      <c r="Z226" s="721"/>
      <c r="AA226" s="737"/>
      <c r="AB226" s="324"/>
      <c r="AC226" s="155"/>
      <c r="AD226" s="155"/>
      <c r="AE226" s="322"/>
      <c r="AF226" s="155"/>
      <c r="AG226" s="132"/>
    </row>
    <row r="227">
      <c r="A227" s="314"/>
      <c r="B227" s="695"/>
      <c r="C227" s="312"/>
      <c r="D227" s="717"/>
      <c r="E227" s="314"/>
      <c r="F227" s="736"/>
      <c r="G227" s="314"/>
      <c r="H227" s="314"/>
      <c r="I227" s="318"/>
      <c r="J227" s="314"/>
      <c r="K227" s="314"/>
      <c r="L227" s="315"/>
      <c r="M227" s="315"/>
      <c r="N227" s="315"/>
      <c r="O227" s="318"/>
      <c r="P227" s="318"/>
      <c r="Q227" s="315"/>
      <c r="R227" s="314"/>
      <c r="S227" s="314"/>
      <c r="T227" s="314"/>
      <c r="U227" s="314"/>
      <c r="V227" s="314"/>
      <c r="W227" s="318"/>
      <c r="X227" s="315"/>
      <c r="Y227" s="314"/>
      <c r="Z227" s="721"/>
      <c r="AA227" s="737"/>
      <c r="AB227" s="324"/>
      <c r="AC227" s="155"/>
      <c r="AD227" s="155"/>
      <c r="AE227" s="322"/>
      <c r="AF227" s="155"/>
      <c r="AG227" s="132"/>
    </row>
    <row r="228">
      <c r="A228" s="314"/>
      <c r="B228" s="695"/>
      <c r="C228" s="312"/>
      <c r="D228" s="717"/>
      <c r="E228" s="314"/>
      <c r="F228" s="736"/>
      <c r="G228" s="314"/>
      <c r="H228" s="314"/>
      <c r="I228" s="318"/>
      <c r="J228" s="314"/>
      <c r="K228" s="314"/>
      <c r="L228" s="315"/>
      <c r="M228" s="315"/>
      <c r="N228" s="315"/>
      <c r="O228" s="318"/>
      <c r="P228" s="318"/>
      <c r="Q228" s="315"/>
      <c r="R228" s="314"/>
      <c r="S228" s="314"/>
      <c r="T228" s="314"/>
      <c r="U228" s="314"/>
      <c r="V228" s="314"/>
      <c r="W228" s="318"/>
      <c r="X228" s="315"/>
      <c r="Y228" s="314"/>
      <c r="Z228" s="721"/>
      <c r="AA228" s="737"/>
      <c r="AB228" s="324"/>
      <c r="AC228" s="155"/>
      <c r="AD228" s="155"/>
      <c r="AE228" s="322"/>
      <c r="AF228" s="155"/>
      <c r="AG228" s="132"/>
    </row>
    <row r="229">
      <c r="A229" s="314"/>
      <c r="B229" s="695"/>
      <c r="C229" s="312"/>
      <c r="D229" s="717"/>
      <c r="E229" s="314"/>
      <c r="F229" s="736"/>
      <c r="G229" s="314"/>
      <c r="H229" s="314"/>
      <c r="I229" s="318"/>
      <c r="J229" s="314"/>
      <c r="K229" s="314"/>
      <c r="L229" s="315"/>
      <c r="M229" s="315"/>
      <c r="N229" s="315"/>
      <c r="O229" s="318"/>
      <c r="P229" s="318"/>
      <c r="Q229" s="315"/>
      <c r="R229" s="314"/>
      <c r="S229" s="314"/>
      <c r="T229" s="314"/>
      <c r="U229" s="314"/>
      <c r="V229" s="314"/>
      <c r="W229" s="318"/>
      <c r="X229" s="315"/>
      <c r="Y229" s="314"/>
      <c r="Z229" s="721"/>
      <c r="AA229" s="737"/>
      <c r="AB229" s="324"/>
      <c r="AC229" s="155"/>
      <c r="AD229" s="155"/>
      <c r="AE229" s="322"/>
      <c r="AF229" s="155"/>
      <c r="AG229" s="132"/>
    </row>
    <row r="230">
      <c r="A230" s="314"/>
      <c r="B230" s="695"/>
      <c r="C230" s="312"/>
      <c r="D230" s="717"/>
      <c r="E230" s="314"/>
      <c r="F230" s="736"/>
      <c r="G230" s="314"/>
      <c r="H230" s="314"/>
      <c r="I230" s="318"/>
      <c r="J230" s="314"/>
      <c r="K230" s="314"/>
      <c r="L230" s="315"/>
      <c r="M230" s="315"/>
      <c r="N230" s="315"/>
      <c r="O230" s="318"/>
      <c r="P230" s="318"/>
      <c r="Q230" s="315"/>
      <c r="R230" s="314"/>
      <c r="S230" s="314"/>
      <c r="T230" s="314"/>
      <c r="U230" s="314"/>
      <c r="V230" s="314"/>
      <c r="W230" s="318"/>
      <c r="X230" s="315"/>
      <c r="Y230" s="314"/>
      <c r="Z230" s="721"/>
      <c r="AA230" s="737"/>
      <c r="AB230" s="324"/>
      <c r="AC230" s="155"/>
      <c r="AD230" s="155"/>
      <c r="AE230" s="322"/>
      <c r="AF230" s="155"/>
      <c r="AG230" s="132"/>
    </row>
    <row r="231">
      <c r="A231" s="314"/>
      <c r="B231" s="695"/>
      <c r="C231" s="312"/>
      <c r="D231" s="717"/>
      <c r="E231" s="314"/>
      <c r="F231" s="736"/>
      <c r="G231" s="314"/>
      <c r="H231" s="314"/>
      <c r="I231" s="318"/>
      <c r="J231" s="314"/>
      <c r="K231" s="314"/>
      <c r="L231" s="315"/>
      <c r="M231" s="315"/>
      <c r="N231" s="315"/>
      <c r="O231" s="318"/>
      <c r="P231" s="318"/>
      <c r="Q231" s="315"/>
      <c r="R231" s="314"/>
      <c r="S231" s="314"/>
      <c r="T231" s="314"/>
      <c r="U231" s="314"/>
      <c r="V231" s="314"/>
      <c r="W231" s="318"/>
      <c r="X231" s="315"/>
      <c r="Y231" s="314"/>
      <c r="Z231" s="721"/>
      <c r="AA231" s="737"/>
      <c r="AB231" s="324"/>
      <c r="AC231" s="155"/>
      <c r="AD231" s="155"/>
      <c r="AE231" s="322"/>
      <c r="AF231" s="155"/>
      <c r="AG231" s="132"/>
    </row>
    <row r="232">
      <c r="A232" s="314"/>
      <c r="B232" s="695"/>
      <c r="C232" s="312"/>
      <c r="D232" s="717"/>
      <c r="E232" s="314"/>
      <c r="F232" s="736"/>
      <c r="G232" s="314"/>
      <c r="H232" s="314"/>
      <c r="I232" s="318"/>
      <c r="J232" s="314"/>
      <c r="K232" s="314"/>
      <c r="L232" s="315"/>
      <c r="M232" s="315"/>
      <c r="N232" s="315"/>
      <c r="O232" s="318"/>
      <c r="P232" s="318"/>
      <c r="Q232" s="315"/>
      <c r="R232" s="314"/>
      <c r="S232" s="314"/>
      <c r="T232" s="314"/>
      <c r="U232" s="314"/>
      <c r="V232" s="314"/>
      <c r="W232" s="318"/>
      <c r="X232" s="315"/>
      <c r="Y232" s="314"/>
      <c r="Z232" s="721"/>
      <c r="AA232" s="737"/>
      <c r="AB232" s="324"/>
      <c r="AC232" s="155"/>
      <c r="AD232" s="155"/>
      <c r="AE232" s="322"/>
      <c r="AF232" s="155"/>
      <c r="AG232" s="132"/>
    </row>
    <row r="233">
      <c r="A233" s="314"/>
      <c r="B233" s="695"/>
      <c r="C233" s="312"/>
      <c r="D233" s="717"/>
      <c r="E233" s="314"/>
      <c r="F233" s="736"/>
      <c r="G233" s="314"/>
      <c r="H233" s="314"/>
      <c r="I233" s="318"/>
      <c r="J233" s="314"/>
      <c r="K233" s="314"/>
      <c r="L233" s="315"/>
      <c r="M233" s="315"/>
      <c r="N233" s="315"/>
      <c r="O233" s="318"/>
      <c r="P233" s="318"/>
      <c r="Q233" s="315"/>
      <c r="R233" s="314"/>
      <c r="S233" s="314"/>
      <c r="T233" s="314"/>
      <c r="U233" s="314"/>
      <c r="V233" s="314"/>
      <c r="W233" s="318"/>
      <c r="X233" s="315"/>
      <c r="Y233" s="314"/>
      <c r="Z233" s="721"/>
      <c r="AA233" s="737"/>
      <c r="AB233" s="324"/>
      <c r="AC233" s="155"/>
      <c r="AD233" s="155"/>
      <c r="AE233" s="322"/>
      <c r="AF233" s="155"/>
      <c r="AG233" s="132"/>
    </row>
    <row r="234">
      <c r="A234" s="314"/>
      <c r="B234" s="695"/>
      <c r="C234" s="312"/>
      <c r="D234" s="717"/>
      <c r="E234" s="314"/>
      <c r="F234" s="736"/>
      <c r="G234" s="314"/>
      <c r="H234" s="314"/>
      <c r="I234" s="318"/>
      <c r="J234" s="314"/>
      <c r="K234" s="314"/>
      <c r="L234" s="315"/>
      <c r="M234" s="315"/>
      <c r="N234" s="315"/>
      <c r="O234" s="318"/>
      <c r="P234" s="318"/>
      <c r="Q234" s="315"/>
      <c r="R234" s="314"/>
      <c r="S234" s="314"/>
      <c r="T234" s="314"/>
      <c r="U234" s="314"/>
      <c r="V234" s="314"/>
      <c r="W234" s="318"/>
      <c r="X234" s="315"/>
      <c r="Y234" s="314"/>
      <c r="Z234" s="721"/>
      <c r="AA234" s="737"/>
      <c r="AB234" s="324"/>
      <c r="AC234" s="155"/>
      <c r="AD234" s="155"/>
      <c r="AE234" s="322"/>
      <c r="AF234" s="155"/>
      <c r="AG234" s="132"/>
    </row>
    <row r="235">
      <c r="A235" s="314"/>
      <c r="B235" s="695"/>
      <c r="C235" s="312"/>
      <c r="D235" s="717"/>
      <c r="E235" s="314"/>
      <c r="F235" s="736"/>
      <c r="G235" s="314"/>
      <c r="H235" s="314"/>
      <c r="I235" s="318"/>
      <c r="J235" s="314"/>
      <c r="K235" s="314"/>
      <c r="L235" s="315"/>
      <c r="M235" s="315"/>
      <c r="N235" s="315"/>
      <c r="O235" s="318"/>
      <c r="P235" s="318"/>
      <c r="Q235" s="315"/>
      <c r="R235" s="314"/>
      <c r="S235" s="314"/>
      <c r="T235" s="314"/>
      <c r="U235" s="314"/>
      <c r="V235" s="314"/>
      <c r="W235" s="318"/>
      <c r="X235" s="315"/>
      <c r="Y235" s="314"/>
      <c r="Z235" s="721"/>
      <c r="AA235" s="737"/>
      <c r="AB235" s="324"/>
      <c r="AC235" s="155"/>
      <c r="AD235" s="155"/>
      <c r="AE235" s="322"/>
      <c r="AF235" s="155"/>
      <c r="AG235" s="132"/>
    </row>
    <row r="236">
      <c r="A236" s="314"/>
      <c r="B236" s="695"/>
      <c r="C236" s="312"/>
      <c r="D236" s="717"/>
      <c r="E236" s="314"/>
      <c r="F236" s="736"/>
      <c r="G236" s="314"/>
      <c r="H236" s="314"/>
      <c r="I236" s="318"/>
      <c r="J236" s="314"/>
      <c r="K236" s="314"/>
      <c r="L236" s="315"/>
      <c r="M236" s="315"/>
      <c r="N236" s="315"/>
      <c r="O236" s="318"/>
      <c r="P236" s="318"/>
      <c r="Q236" s="315"/>
      <c r="R236" s="314"/>
      <c r="S236" s="314"/>
      <c r="T236" s="314"/>
      <c r="U236" s="314"/>
      <c r="V236" s="314"/>
      <c r="W236" s="318"/>
      <c r="X236" s="315"/>
      <c r="Y236" s="314"/>
      <c r="Z236" s="721"/>
      <c r="AA236" s="737"/>
      <c r="AB236" s="324"/>
      <c r="AC236" s="155"/>
      <c r="AD236" s="155"/>
      <c r="AE236" s="322"/>
      <c r="AF236" s="155"/>
      <c r="AG236" s="132"/>
    </row>
    <row r="237">
      <c r="A237" s="314"/>
      <c r="B237" s="695"/>
      <c r="C237" s="312"/>
      <c r="D237" s="717"/>
      <c r="E237" s="314"/>
      <c r="F237" s="736"/>
      <c r="G237" s="314"/>
      <c r="H237" s="314"/>
      <c r="I237" s="318"/>
      <c r="J237" s="314"/>
      <c r="K237" s="314"/>
      <c r="L237" s="315"/>
      <c r="M237" s="315"/>
      <c r="N237" s="315"/>
      <c r="O237" s="318"/>
      <c r="P237" s="318"/>
      <c r="Q237" s="315"/>
      <c r="R237" s="314"/>
      <c r="S237" s="314"/>
      <c r="T237" s="314"/>
      <c r="U237" s="314"/>
      <c r="V237" s="314"/>
      <c r="W237" s="318"/>
      <c r="X237" s="315"/>
      <c r="Y237" s="314"/>
      <c r="Z237" s="721"/>
      <c r="AA237" s="737"/>
      <c r="AB237" s="324"/>
      <c r="AC237" s="155"/>
      <c r="AD237" s="155"/>
      <c r="AE237" s="322"/>
      <c r="AF237" s="155"/>
      <c r="AG237" s="132"/>
    </row>
    <row r="238">
      <c r="A238" s="314"/>
      <c r="B238" s="695"/>
      <c r="C238" s="312"/>
      <c r="D238" s="717"/>
      <c r="E238" s="314"/>
      <c r="F238" s="736"/>
      <c r="G238" s="314"/>
      <c r="H238" s="314"/>
      <c r="I238" s="318"/>
      <c r="J238" s="314"/>
      <c r="K238" s="314"/>
      <c r="L238" s="315"/>
      <c r="M238" s="315"/>
      <c r="N238" s="315"/>
      <c r="O238" s="318"/>
      <c r="P238" s="318"/>
      <c r="Q238" s="315"/>
      <c r="R238" s="314"/>
      <c r="S238" s="314"/>
      <c r="T238" s="314"/>
      <c r="U238" s="314"/>
      <c r="V238" s="314"/>
      <c r="W238" s="318"/>
      <c r="X238" s="315"/>
      <c r="Y238" s="314"/>
      <c r="Z238" s="721"/>
      <c r="AA238" s="737"/>
      <c r="AB238" s="324"/>
      <c r="AC238" s="155"/>
      <c r="AD238" s="155"/>
      <c r="AE238" s="322"/>
      <c r="AF238" s="155"/>
      <c r="AG238" s="132"/>
    </row>
    <row r="239">
      <c r="A239" s="314"/>
      <c r="B239" s="695"/>
      <c r="C239" s="312"/>
      <c r="D239" s="717"/>
      <c r="E239" s="314"/>
      <c r="F239" s="736"/>
      <c r="G239" s="314"/>
      <c r="H239" s="314"/>
      <c r="I239" s="318"/>
      <c r="J239" s="314"/>
      <c r="K239" s="314"/>
      <c r="L239" s="315"/>
      <c r="M239" s="315"/>
      <c r="N239" s="315"/>
      <c r="O239" s="318"/>
      <c r="P239" s="318"/>
      <c r="Q239" s="315"/>
      <c r="R239" s="314"/>
      <c r="S239" s="314"/>
      <c r="T239" s="314"/>
      <c r="U239" s="314"/>
      <c r="V239" s="314"/>
      <c r="W239" s="318"/>
      <c r="X239" s="315"/>
      <c r="Y239" s="314"/>
      <c r="Z239" s="721"/>
      <c r="AA239" s="737"/>
      <c r="AB239" s="324"/>
      <c r="AC239" s="155"/>
      <c r="AD239" s="155"/>
      <c r="AE239" s="322"/>
      <c r="AF239" s="155"/>
      <c r="AG239" s="132"/>
    </row>
    <row r="240">
      <c r="A240" s="314"/>
      <c r="B240" s="695"/>
      <c r="C240" s="312"/>
      <c r="D240" s="717"/>
      <c r="E240" s="314"/>
      <c r="F240" s="736"/>
      <c r="G240" s="314"/>
      <c r="H240" s="314"/>
      <c r="I240" s="318"/>
      <c r="J240" s="314"/>
      <c r="K240" s="314"/>
      <c r="L240" s="315"/>
      <c r="M240" s="315"/>
      <c r="N240" s="315"/>
      <c r="O240" s="318"/>
      <c r="P240" s="318"/>
      <c r="Q240" s="315"/>
      <c r="R240" s="314"/>
      <c r="S240" s="314"/>
      <c r="T240" s="314"/>
      <c r="U240" s="314"/>
      <c r="V240" s="314"/>
      <c r="W240" s="318"/>
      <c r="X240" s="315"/>
      <c r="Y240" s="314"/>
      <c r="Z240" s="721"/>
      <c r="AA240" s="737"/>
      <c r="AB240" s="324"/>
      <c r="AC240" s="155"/>
      <c r="AD240" s="155"/>
      <c r="AE240" s="322"/>
      <c r="AF240" s="155"/>
      <c r="AG240" s="132"/>
    </row>
    <row r="241">
      <c r="A241" s="314"/>
      <c r="B241" s="695"/>
      <c r="C241" s="312"/>
      <c r="D241" s="717"/>
      <c r="E241" s="314"/>
      <c r="F241" s="736"/>
      <c r="G241" s="314"/>
      <c r="H241" s="314"/>
      <c r="I241" s="318"/>
      <c r="J241" s="314"/>
      <c r="K241" s="314"/>
      <c r="L241" s="315"/>
      <c r="M241" s="315"/>
      <c r="N241" s="315"/>
      <c r="O241" s="318"/>
      <c r="P241" s="318"/>
      <c r="Q241" s="315"/>
      <c r="R241" s="314"/>
      <c r="S241" s="314"/>
      <c r="T241" s="314"/>
      <c r="U241" s="314"/>
      <c r="V241" s="314"/>
      <c r="W241" s="318"/>
      <c r="X241" s="315"/>
      <c r="Y241" s="314"/>
      <c r="Z241" s="721"/>
      <c r="AA241" s="737"/>
      <c r="AB241" s="324"/>
      <c r="AC241" s="155"/>
      <c r="AD241" s="155"/>
      <c r="AE241" s="322"/>
      <c r="AF241" s="155"/>
      <c r="AG241" s="132"/>
    </row>
    <row r="242">
      <c r="A242" s="314"/>
      <c r="B242" s="695"/>
      <c r="C242" s="312"/>
      <c r="D242" s="717"/>
      <c r="E242" s="314"/>
      <c r="F242" s="736"/>
      <c r="G242" s="314"/>
      <c r="H242" s="314"/>
      <c r="I242" s="318"/>
      <c r="J242" s="314"/>
      <c r="K242" s="314"/>
      <c r="L242" s="315"/>
      <c r="M242" s="315"/>
      <c r="N242" s="315"/>
      <c r="O242" s="318"/>
      <c r="P242" s="318"/>
      <c r="Q242" s="315"/>
      <c r="R242" s="314"/>
      <c r="S242" s="314"/>
      <c r="T242" s="314"/>
      <c r="U242" s="314"/>
      <c r="V242" s="314"/>
      <c r="W242" s="318"/>
      <c r="X242" s="315"/>
      <c r="Y242" s="314"/>
      <c r="Z242" s="721"/>
      <c r="AA242" s="737"/>
      <c r="AB242" s="324"/>
      <c r="AC242" s="155"/>
      <c r="AD242" s="155"/>
      <c r="AE242" s="322"/>
      <c r="AF242" s="155"/>
      <c r="AG242" s="132"/>
    </row>
    <row r="243">
      <c r="A243" s="314"/>
      <c r="B243" s="695"/>
      <c r="C243" s="312"/>
      <c r="D243" s="717"/>
      <c r="E243" s="314"/>
      <c r="F243" s="736"/>
      <c r="G243" s="314"/>
      <c r="H243" s="314"/>
      <c r="I243" s="318"/>
      <c r="J243" s="314"/>
      <c r="K243" s="314"/>
      <c r="L243" s="315"/>
      <c r="M243" s="315"/>
      <c r="N243" s="315"/>
      <c r="O243" s="318"/>
      <c r="P243" s="318"/>
      <c r="Q243" s="315"/>
      <c r="R243" s="314"/>
      <c r="S243" s="314"/>
      <c r="T243" s="314"/>
      <c r="U243" s="314"/>
      <c r="V243" s="314"/>
      <c r="W243" s="318"/>
      <c r="X243" s="315"/>
      <c r="Y243" s="314"/>
      <c r="Z243" s="721"/>
      <c r="AA243" s="737"/>
      <c r="AB243" s="324"/>
      <c r="AC243" s="155"/>
      <c r="AD243" s="155"/>
      <c r="AE243" s="322"/>
      <c r="AF243" s="155"/>
      <c r="AG243" s="132"/>
    </row>
    <row r="244">
      <c r="A244" s="314"/>
      <c r="B244" s="695"/>
      <c r="C244" s="312"/>
      <c r="D244" s="717"/>
      <c r="E244" s="314"/>
      <c r="F244" s="736"/>
      <c r="G244" s="314"/>
      <c r="H244" s="314"/>
      <c r="I244" s="318"/>
      <c r="J244" s="314"/>
      <c r="K244" s="314"/>
      <c r="L244" s="315"/>
      <c r="M244" s="315"/>
      <c r="N244" s="315"/>
      <c r="O244" s="318"/>
      <c r="P244" s="318"/>
      <c r="Q244" s="315"/>
      <c r="R244" s="314"/>
      <c r="S244" s="314"/>
      <c r="T244" s="314"/>
      <c r="U244" s="314"/>
      <c r="V244" s="314"/>
      <c r="W244" s="318"/>
      <c r="X244" s="315"/>
      <c r="Y244" s="314"/>
      <c r="Z244" s="721"/>
      <c r="AA244" s="737"/>
      <c r="AB244" s="324"/>
      <c r="AC244" s="155"/>
      <c r="AD244" s="155"/>
      <c r="AE244" s="322"/>
      <c r="AF244" s="155"/>
      <c r="AG244" s="132"/>
    </row>
    <row r="245">
      <c r="A245" s="314"/>
      <c r="B245" s="695"/>
      <c r="C245" s="312"/>
      <c r="D245" s="717"/>
      <c r="E245" s="314"/>
      <c r="F245" s="736"/>
      <c r="G245" s="314"/>
      <c r="H245" s="314"/>
      <c r="I245" s="318"/>
      <c r="J245" s="314"/>
      <c r="K245" s="314"/>
      <c r="L245" s="315"/>
      <c r="M245" s="315"/>
      <c r="N245" s="315"/>
      <c r="O245" s="318"/>
      <c r="P245" s="318"/>
      <c r="Q245" s="315"/>
      <c r="R245" s="314"/>
      <c r="S245" s="314"/>
      <c r="T245" s="314"/>
      <c r="U245" s="314"/>
      <c r="V245" s="314"/>
      <c r="W245" s="318"/>
      <c r="X245" s="315"/>
      <c r="Y245" s="314"/>
      <c r="Z245" s="721"/>
      <c r="AA245" s="737"/>
      <c r="AB245" s="324"/>
      <c r="AC245" s="155"/>
      <c r="AD245" s="155"/>
      <c r="AE245" s="322"/>
      <c r="AF245" s="155"/>
      <c r="AG245" s="132"/>
    </row>
    <row r="246">
      <c r="A246" s="314"/>
      <c r="B246" s="695"/>
      <c r="C246" s="312"/>
      <c r="D246" s="717"/>
      <c r="E246" s="314"/>
      <c r="F246" s="736"/>
      <c r="G246" s="314"/>
      <c r="H246" s="314"/>
      <c r="I246" s="318"/>
      <c r="J246" s="314"/>
      <c r="K246" s="314"/>
      <c r="L246" s="315"/>
      <c r="M246" s="315"/>
      <c r="N246" s="315"/>
      <c r="O246" s="318"/>
      <c r="P246" s="318"/>
      <c r="Q246" s="315"/>
      <c r="R246" s="314"/>
      <c r="S246" s="314"/>
      <c r="T246" s="314"/>
      <c r="U246" s="314"/>
      <c r="V246" s="314"/>
      <c r="W246" s="318"/>
      <c r="X246" s="315"/>
      <c r="Y246" s="314"/>
      <c r="Z246" s="721"/>
      <c r="AA246" s="737"/>
      <c r="AB246" s="324"/>
      <c r="AC246" s="155"/>
      <c r="AD246" s="155"/>
      <c r="AE246" s="322"/>
      <c r="AF246" s="155"/>
      <c r="AG246" s="132"/>
    </row>
    <row r="247">
      <c r="A247" s="314"/>
      <c r="B247" s="695"/>
      <c r="C247" s="312"/>
      <c r="D247" s="717"/>
      <c r="E247" s="314"/>
      <c r="F247" s="736"/>
      <c r="G247" s="314"/>
      <c r="H247" s="314"/>
      <c r="I247" s="318"/>
      <c r="J247" s="314"/>
      <c r="K247" s="314"/>
      <c r="L247" s="315"/>
      <c r="M247" s="315"/>
      <c r="N247" s="315"/>
      <c r="O247" s="318"/>
      <c r="P247" s="318"/>
      <c r="Q247" s="315"/>
      <c r="R247" s="314"/>
      <c r="S247" s="314"/>
      <c r="T247" s="314"/>
      <c r="U247" s="314"/>
      <c r="V247" s="314"/>
      <c r="W247" s="318"/>
      <c r="X247" s="315"/>
      <c r="Y247" s="314"/>
      <c r="Z247" s="721"/>
      <c r="AA247" s="737"/>
      <c r="AB247" s="324"/>
      <c r="AC247" s="155"/>
      <c r="AD247" s="155"/>
      <c r="AE247" s="322"/>
      <c r="AF247" s="155"/>
      <c r="AG247" s="132"/>
    </row>
    <row r="248">
      <c r="A248" s="314"/>
      <c r="B248" s="695"/>
      <c r="C248" s="312"/>
      <c r="D248" s="717"/>
      <c r="E248" s="314"/>
      <c r="F248" s="736"/>
      <c r="G248" s="314"/>
      <c r="H248" s="314"/>
      <c r="I248" s="318"/>
      <c r="J248" s="314"/>
      <c r="K248" s="314"/>
      <c r="L248" s="315"/>
      <c r="M248" s="315"/>
      <c r="N248" s="315"/>
      <c r="O248" s="318"/>
      <c r="P248" s="318"/>
      <c r="Q248" s="315"/>
      <c r="R248" s="314"/>
      <c r="S248" s="314"/>
      <c r="T248" s="314"/>
      <c r="U248" s="314"/>
      <c r="V248" s="314"/>
      <c r="W248" s="318"/>
      <c r="X248" s="315"/>
      <c r="Y248" s="314"/>
      <c r="Z248" s="721"/>
      <c r="AA248" s="737"/>
      <c r="AB248" s="324"/>
      <c r="AC248" s="155"/>
      <c r="AD248" s="155"/>
      <c r="AE248" s="322"/>
      <c r="AF248" s="155"/>
      <c r="AG248" s="132"/>
    </row>
    <row r="249">
      <c r="A249" s="314"/>
      <c r="B249" s="695"/>
      <c r="C249" s="312"/>
      <c r="D249" s="717"/>
      <c r="E249" s="314"/>
      <c r="F249" s="736"/>
      <c r="G249" s="314"/>
      <c r="H249" s="314"/>
      <c r="I249" s="318"/>
      <c r="J249" s="314"/>
      <c r="K249" s="314"/>
      <c r="L249" s="315"/>
      <c r="M249" s="315"/>
      <c r="N249" s="315"/>
      <c r="O249" s="318"/>
      <c r="P249" s="318"/>
      <c r="Q249" s="315"/>
      <c r="R249" s="314"/>
      <c r="S249" s="314"/>
      <c r="T249" s="314"/>
      <c r="U249" s="314"/>
      <c r="V249" s="314"/>
      <c r="W249" s="318"/>
      <c r="X249" s="315"/>
      <c r="Y249" s="314"/>
      <c r="Z249" s="721"/>
      <c r="AA249" s="737"/>
      <c r="AB249" s="324"/>
      <c r="AC249" s="155"/>
      <c r="AD249" s="155"/>
      <c r="AE249" s="322"/>
      <c r="AF249" s="155"/>
      <c r="AG249" s="132"/>
    </row>
    <row r="250">
      <c r="A250" s="314"/>
      <c r="B250" s="695"/>
      <c r="C250" s="312"/>
      <c r="D250" s="717"/>
      <c r="E250" s="314"/>
      <c r="F250" s="736"/>
      <c r="G250" s="314"/>
      <c r="H250" s="314"/>
      <c r="I250" s="318"/>
      <c r="J250" s="314"/>
      <c r="K250" s="314"/>
      <c r="L250" s="315"/>
      <c r="M250" s="315"/>
      <c r="N250" s="315"/>
      <c r="O250" s="318"/>
      <c r="P250" s="318"/>
      <c r="Q250" s="315"/>
      <c r="R250" s="314"/>
      <c r="S250" s="314"/>
      <c r="T250" s="314"/>
      <c r="U250" s="314"/>
      <c r="V250" s="314"/>
      <c r="W250" s="318"/>
      <c r="X250" s="315"/>
      <c r="Y250" s="314"/>
      <c r="Z250" s="721"/>
      <c r="AA250" s="737"/>
      <c r="AB250" s="324"/>
      <c r="AC250" s="155"/>
      <c r="AD250" s="155"/>
      <c r="AE250" s="322"/>
      <c r="AF250" s="155"/>
      <c r="AG250" s="132"/>
    </row>
    <row r="251">
      <c r="A251" s="314"/>
      <c r="B251" s="695"/>
      <c r="C251" s="312"/>
      <c r="D251" s="717"/>
      <c r="E251" s="314"/>
      <c r="F251" s="736"/>
      <c r="G251" s="314"/>
      <c r="H251" s="314"/>
      <c r="I251" s="318"/>
      <c r="J251" s="314"/>
      <c r="K251" s="314"/>
      <c r="L251" s="315"/>
      <c r="M251" s="315"/>
      <c r="N251" s="315"/>
      <c r="O251" s="318"/>
      <c r="P251" s="318"/>
      <c r="Q251" s="315"/>
      <c r="R251" s="314"/>
      <c r="S251" s="314"/>
      <c r="T251" s="314"/>
      <c r="U251" s="314"/>
      <c r="V251" s="314"/>
      <c r="W251" s="318"/>
      <c r="X251" s="315"/>
      <c r="Y251" s="314"/>
      <c r="Z251" s="721"/>
      <c r="AA251" s="737"/>
      <c r="AB251" s="324"/>
      <c r="AC251" s="155"/>
      <c r="AD251" s="155"/>
      <c r="AE251" s="322"/>
      <c r="AF251" s="155"/>
      <c r="AG251" s="132"/>
    </row>
    <row r="252">
      <c r="A252" s="314"/>
      <c r="B252" s="695"/>
      <c r="C252" s="312"/>
      <c r="D252" s="717"/>
      <c r="E252" s="314"/>
      <c r="F252" s="736"/>
      <c r="G252" s="314"/>
      <c r="H252" s="314"/>
      <c r="I252" s="318"/>
      <c r="J252" s="314"/>
      <c r="K252" s="314"/>
      <c r="L252" s="315"/>
      <c r="M252" s="315"/>
      <c r="N252" s="315"/>
      <c r="O252" s="318"/>
      <c r="P252" s="318"/>
      <c r="Q252" s="315"/>
      <c r="R252" s="314"/>
      <c r="S252" s="314"/>
      <c r="T252" s="314"/>
      <c r="U252" s="314"/>
      <c r="V252" s="314"/>
      <c r="W252" s="318"/>
      <c r="X252" s="315"/>
      <c r="Y252" s="314"/>
      <c r="Z252" s="721"/>
      <c r="AA252" s="737"/>
      <c r="AB252" s="324"/>
      <c r="AC252" s="155"/>
      <c r="AD252" s="155"/>
      <c r="AE252" s="322"/>
      <c r="AF252" s="155"/>
      <c r="AG252" s="132"/>
    </row>
    <row r="253">
      <c r="A253" s="314"/>
      <c r="B253" s="695"/>
      <c r="C253" s="312"/>
      <c r="D253" s="717"/>
      <c r="E253" s="314"/>
      <c r="F253" s="736"/>
      <c r="G253" s="314"/>
      <c r="H253" s="314"/>
      <c r="I253" s="318"/>
      <c r="J253" s="314"/>
      <c r="K253" s="314"/>
      <c r="L253" s="315"/>
      <c r="M253" s="315"/>
      <c r="N253" s="315"/>
      <c r="O253" s="318"/>
      <c r="P253" s="318"/>
      <c r="Q253" s="315"/>
      <c r="R253" s="314"/>
      <c r="S253" s="314"/>
      <c r="T253" s="314"/>
      <c r="U253" s="314"/>
      <c r="V253" s="314"/>
      <c r="W253" s="318"/>
      <c r="X253" s="315"/>
      <c r="Y253" s="314"/>
      <c r="Z253" s="721"/>
      <c r="AA253" s="737"/>
      <c r="AB253" s="324"/>
      <c r="AC253" s="155"/>
      <c r="AD253" s="155"/>
      <c r="AE253" s="322"/>
      <c r="AF253" s="155"/>
      <c r="AG253" s="132"/>
    </row>
    <row r="254">
      <c r="A254" s="314"/>
      <c r="B254" s="695"/>
      <c r="C254" s="312"/>
      <c r="D254" s="717"/>
      <c r="E254" s="314"/>
      <c r="F254" s="736"/>
      <c r="G254" s="314"/>
      <c r="H254" s="314"/>
      <c r="I254" s="318"/>
      <c r="J254" s="314"/>
      <c r="K254" s="314"/>
      <c r="L254" s="315"/>
      <c r="M254" s="315"/>
      <c r="N254" s="315"/>
      <c r="O254" s="318"/>
      <c r="P254" s="318"/>
      <c r="Q254" s="315"/>
      <c r="R254" s="314"/>
      <c r="S254" s="314"/>
      <c r="T254" s="314"/>
      <c r="U254" s="314"/>
      <c r="V254" s="314"/>
      <c r="W254" s="318"/>
      <c r="X254" s="315"/>
      <c r="Y254" s="314"/>
      <c r="Z254" s="721"/>
      <c r="AA254" s="737"/>
      <c r="AB254" s="324"/>
      <c r="AC254" s="155"/>
      <c r="AD254" s="155"/>
      <c r="AE254" s="322"/>
      <c r="AF254" s="155"/>
      <c r="AG254" s="132"/>
    </row>
    <row r="255">
      <c r="A255" s="314"/>
      <c r="B255" s="695"/>
      <c r="C255" s="312"/>
      <c r="D255" s="717"/>
      <c r="E255" s="314"/>
      <c r="F255" s="736"/>
      <c r="G255" s="314"/>
      <c r="H255" s="314"/>
      <c r="I255" s="318"/>
      <c r="J255" s="314"/>
      <c r="K255" s="314"/>
      <c r="L255" s="315"/>
      <c r="M255" s="315"/>
      <c r="N255" s="315"/>
      <c r="O255" s="318"/>
      <c r="P255" s="318"/>
      <c r="Q255" s="315"/>
      <c r="R255" s="314"/>
      <c r="S255" s="314"/>
      <c r="T255" s="314"/>
      <c r="U255" s="314"/>
      <c r="V255" s="314"/>
      <c r="W255" s="318"/>
      <c r="X255" s="315"/>
      <c r="Y255" s="314"/>
      <c r="Z255" s="721"/>
      <c r="AA255" s="737"/>
      <c r="AB255" s="324"/>
      <c r="AC255" s="155"/>
      <c r="AD255" s="155"/>
      <c r="AE255" s="322"/>
      <c r="AF255" s="155"/>
      <c r="AG255" s="132"/>
    </row>
    <row r="256">
      <c r="A256" s="314"/>
      <c r="B256" s="695"/>
      <c r="C256" s="312"/>
      <c r="D256" s="717"/>
      <c r="E256" s="314"/>
      <c r="F256" s="736"/>
      <c r="G256" s="314"/>
      <c r="H256" s="314"/>
      <c r="I256" s="318"/>
      <c r="J256" s="314"/>
      <c r="K256" s="314"/>
      <c r="L256" s="315"/>
      <c r="M256" s="315"/>
      <c r="N256" s="315"/>
      <c r="O256" s="318"/>
      <c r="P256" s="318"/>
      <c r="Q256" s="315"/>
      <c r="R256" s="314"/>
      <c r="S256" s="314"/>
      <c r="T256" s="314"/>
      <c r="U256" s="314"/>
      <c r="V256" s="314"/>
      <c r="W256" s="318"/>
      <c r="X256" s="315"/>
      <c r="Y256" s="314"/>
      <c r="Z256" s="721"/>
      <c r="AA256" s="737"/>
      <c r="AB256" s="324"/>
      <c r="AC256" s="155"/>
      <c r="AD256" s="155"/>
      <c r="AE256" s="322"/>
      <c r="AF256" s="155"/>
      <c r="AG256" s="132"/>
    </row>
    <row r="257">
      <c r="A257" s="435"/>
      <c r="B257" s="695"/>
      <c r="C257" s="745"/>
      <c r="D257" s="717"/>
      <c r="E257" s="435"/>
      <c r="F257" s="736"/>
      <c r="G257" s="314"/>
      <c r="H257" s="435"/>
      <c r="I257" s="740"/>
      <c r="J257" s="314"/>
      <c r="K257" s="435"/>
      <c r="L257" s="744"/>
      <c r="M257" s="315"/>
      <c r="N257" s="315"/>
      <c r="O257" s="318"/>
      <c r="P257" s="740"/>
      <c r="Q257" s="744"/>
      <c r="R257" s="435"/>
      <c r="S257" s="435"/>
      <c r="T257" s="435"/>
      <c r="U257" s="435"/>
      <c r="V257" s="435"/>
      <c r="W257" s="740"/>
      <c r="X257" s="744"/>
      <c r="Y257" s="435"/>
      <c r="Z257" s="749"/>
      <c r="AA257" s="753"/>
      <c r="AB257" s="324"/>
      <c r="AC257" s="180"/>
      <c r="AD257" s="155"/>
      <c r="AE257" s="322"/>
      <c r="AF257" s="155"/>
      <c r="AG257" s="132"/>
    </row>
    <row r="258">
      <c r="A258" s="435"/>
      <c r="B258" s="695"/>
      <c r="C258" s="312"/>
      <c r="D258" s="751"/>
      <c r="E258" s="314"/>
      <c r="F258" s="736"/>
      <c r="G258" s="314"/>
      <c r="H258" s="314"/>
      <c r="I258" s="318"/>
      <c r="J258" s="314"/>
      <c r="K258" s="314"/>
      <c r="L258" s="315"/>
      <c r="M258" s="744"/>
      <c r="N258" s="744"/>
      <c r="O258" s="318"/>
      <c r="P258" s="318"/>
      <c r="Q258" s="315"/>
      <c r="R258" s="314"/>
      <c r="S258" s="314"/>
      <c r="T258" s="314"/>
      <c r="U258" s="314"/>
      <c r="V258" s="314"/>
      <c r="W258" s="318"/>
      <c r="X258" s="315"/>
      <c r="Y258" s="314"/>
      <c r="Z258" s="721"/>
      <c r="AA258" s="737"/>
      <c r="AB258" s="324"/>
      <c r="AC258" s="180"/>
      <c r="AD258" s="155"/>
      <c r="AE258" s="322"/>
      <c r="AF258" s="155"/>
      <c r="AG258" s="132"/>
    </row>
    <row r="259">
      <c r="A259" s="435"/>
      <c r="B259" s="746"/>
      <c r="C259" s="745"/>
      <c r="D259" s="751"/>
      <c r="E259" s="435"/>
      <c r="F259" s="736"/>
      <c r="G259" s="314"/>
      <c r="H259" s="314"/>
      <c r="I259" s="740"/>
      <c r="J259" s="435"/>
      <c r="K259" s="435"/>
      <c r="L259" s="744"/>
      <c r="M259" s="744"/>
      <c r="N259" s="744"/>
      <c r="O259" s="318"/>
      <c r="P259" s="740"/>
      <c r="Q259" s="315"/>
      <c r="R259" s="435"/>
      <c r="S259" s="435"/>
      <c r="T259" s="435"/>
      <c r="U259" s="435"/>
      <c r="V259" s="435"/>
      <c r="W259" s="740"/>
      <c r="X259" s="744"/>
      <c r="Y259" s="435"/>
      <c r="Z259" s="749"/>
      <c r="AA259" s="753"/>
      <c r="AB259" s="324"/>
      <c r="AC259" s="180"/>
      <c r="AD259" s="155"/>
      <c r="AE259" s="322"/>
      <c r="AF259" s="155"/>
      <c r="AG259" s="132"/>
    </row>
    <row r="260">
      <c r="A260" s="435"/>
      <c r="B260" s="695"/>
      <c r="C260" s="312"/>
      <c r="D260" s="751"/>
      <c r="E260" s="314"/>
      <c r="F260" s="736"/>
      <c r="G260" s="314"/>
      <c r="H260" s="314"/>
      <c r="I260" s="740"/>
      <c r="J260" s="314"/>
      <c r="K260" s="435"/>
      <c r="L260" s="315"/>
      <c r="M260" s="315"/>
      <c r="N260" s="315"/>
      <c r="O260" s="318"/>
      <c r="P260" s="318"/>
      <c r="Q260" s="744"/>
      <c r="R260" s="435"/>
      <c r="S260" s="314"/>
      <c r="T260" s="314"/>
      <c r="U260" s="314"/>
      <c r="V260" s="314"/>
      <c r="W260" s="318"/>
      <c r="X260" s="315"/>
      <c r="Y260" s="314"/>
      <c r="Z260" s="721"/>
      <c r="AA260" s="737"/>
      <c r="AB260" s="324"/>
      <c r="AC260" s="180"/>
      <c r="AD260" s="155"/>
      <c r="AE260" s="322"/>
      <c r="AF260" s="155"/>
      <c r="AG260" s="132"/>
    </row>
    <row r="261">
      <c r="A261" s="435"/>
      <c r="B261" s="746"/>
      <c r="C261" s="745"/>
      <c r="D261" s="751"/>
      <c r="E261" s="435"/>
      <c r="F261" s="736"/>
      <c r="G261" s="314"/>
      <c r="H261" s="435"/>
      <c r="I261" s="740"/>
      <c r="J261" s="435"/>
      <c r="K261" s="435"/>
      <c r="L261" s="744"/>
      <c r="M261" s="744"/>
      <c r="N261" s="744"/>
      <c r="O261" s="318"/>
      <c r="P261" s="740"/>
      <c r="Q261" s="744"/>
      <c r="R261" s="435"/>
      <c r="S261" s="435"/>
      <c r="T261" s="435"/>
      <c r="U261" s="435"/>
      <c r="V261" s="435"/>
      <c r="W261" s="740"/>
      <c r="X261" s="744"/>
      <c r="Y261" s="435"/>
      <c r="Z261" s="749"/>
      <c r="AA261" s="753"/>
      <c r="AB261" s="324"/>
      <c r="AC261" s="180"/>
      <c r="AD261" s="155"/>
      <c r="AE261" s="322"/>
      <c r="AF261" s="155"/>
      <c r="AG261" s="132"/>
    </row>
    <row r="262">
      <c r="A262" s="435"/>
      <c r="B262" s="746"/>
      <c r="C262" s="312"/>
      <c r="D262" s="751"/>
      <c r="E262" s="314"/>
      <c r="F262" s="736"/>
      <c r="G262" s="314"/>
      <c r="H262" s="314"/>
      <c r="I262" s="318"/>
      <c r="J262" s="314"/>
      <c r="K262" s="435"/>
      <c r="L262" s="315"/>
      <c r="M262" s="315"/>
      <c r="N262" s="315"/>
      <c r="O262" s="318"/>
      <c r="P262" s="318"/>
      <c r="Q262" s="315"/>
      <c r="R262" s="314"/>
      <c r="S262" s="435"/>
      <c r="T262" s="435"/>
      <c r="U262" s="435"/>
      <c r="V262" s="435"/>
      <c r="W262" s="740"/>
      <c r="X262" s="744"/>
      <c r="Y262" s="435"/>
      <c r="Z262" s="749"/>
      <c r="AA262" s="753"/>
      <c r="AB262" s="324"/>
      <c r="AC262" s="180"/>
      <c r="AD262" s="155"/>
      <c r="AE262" s="322"/>
      <c r="AF262" s="155"/>
      <c r="AG262" s="132"/>
    </row>
    <row r="263">
      <c r="A263" s="435"/>
      <c r="B263" s="746"/>
      <c r="C263" s="745"/>
      <c r="D263" s="751"/>
      <c r="E263" s="435"/>
      <c r="F263" s="736"/>
      <c r="G263" s="314"/>
      <c r="H263" s="435"/>
      <c r="I263" s="318"/>
      <c r="J263" s="314"/>
      <c r="K263" s="435"/>
      <c r="L263" s="315"/>
      <c r="M263" s="315"/>
      <c r="N263" s="315"/>
      <c r="O263" s="318"/>
      <c r="P263" s="740"/>
      <c r="Q263" s="744"/>
      <c r="R263" s="435"/>
      <c r="S263" s="435"/>
      <c r="T263" s="435"/>
      <c r="U263" s="435"/>
      <c r="V263" s="435"/>
      <c r="W263" s="740"/>
      <c r="X263" s="744"/>
      <c r="Y263" s="435"/>
      <c r="Z263" s="749"/>
      <c r="AA263" s="753"/>
      <c r="AB263" s="324"/>
      <c r="AC263" s="180"/>
      <c r="AD263" s="155"/>
      <c r="AE263" s="322"/>
      <c r="AF263" s="155"/>
      <c r="AG263" s="132"/>
    </row>
    <row r="264">
      <c r="A264" s="435"/>
      <c r="B264" s="746"/>
      <c r="C264" s="745"/>
      <c r="D264" s="751"/>
      <c r="E264" s="435"/>
      <c r="F264" s="736"/>
      <c r="G264" s="314"/>
      <c r="H264" s="435"/>
      <c r="I264" s="740"/>
      <c r="J264" s="435"/>
      <c r="K264" s="435"/>
      <c r="L264" s="744"/>
      <c r="M264" s="744"/>
      <c r="N264" s="744"/>
      <c r="O264" s="318"/>
      <c r="P264" s="740"/>
      <c r="Q264" s="744"/>
      <c r="R264" s="435"/>
      <c r="S264" s="435"/>
      <c r="T264" s="435"/>
      <c r="U264" s="435"/>
      <c r="V264" s="435"/>
      <c r="W264" s="740"/>
      <c r="X264" s="744"/>
      <c r="Y264" s="435"/>
      <c r="Z264" s="749"/>
      <c r="AA264" s="753"/>
      <c r="AB264" s="324"/>
      <c r="AC264" s="180"/>
      <c r="AD264" s="155"/>
      <c r="AE264" s="322"/>
      <c r="AF264" s="155"/>
      <c r="AG264" s="132"/>
    </row>
    <row r="265">
      <c r="A265" s="435"/>
      <c r="B265" s="695"/>
      <c r="C265" s="312"/>
      <c r="D265" s="717"/>
      <c r="E265" s="435"/>
      <c r="F265" s="736"/>
      <c r="G265" s="314"/>
      <c r="H265" s="435"/>
      <c r="I265" s="318"/>
      <c r="J265" s="314"/>
      <c r="K265" s="314"/>
      <c r="L265" s="315"/>
      <c r="M265" s="315"/>
      <c r="N265" s="315"/>
      <c r="O265" s="318"/>
      <c r="P265" s="318"/>
      <c r="Q265" s="315"/>
      <c r="R265" s="314"/>
      <c r="S265" s="314"/>
      <c r="T265" s="314"/>
      <c r="U265" s="314"/>
      <c r="V265" s="314"/>
      <c r="W265" s="318"/>
      <c r="X265" s="315"/>
      <c r="Y265" s="314"/>
      <c r="Z265" s="721"/>
      <c r="AA265" s="737"/>
      <c r="AB265" s="324"/>
      <c r="AC265" s="180"/>
      <c r="AD265" s="155"/>
      <c r="AE265" s="322"/>
      <c r="AF265" s="155"/>
      <c r="AG265" s="132"/>
    </row>
    <row r="266">
      <c r="A266" s="435"/>
      <c r="B266" s="695"/>
      <c r="C266" s="312"/>
      <c r="D266" s="751"/>
      <c r="E266" s="314"/>
      <c r="F266" s="736"/>
      <c r="G266" s="314"/>
      <c r="H266" s="435"/>
      <c r="I266" s="318"/>
      <c r="J266" s="435"/>
      <c r="K266" s="435"/>
      <c r="L266" s="315"/>
      <c r="M266" s="744"/>
      <c r="N266" s="315"/>
      <c r="O266" s="318"/>
      <c r="P266" s="318"/>
      <c r="Q266" s="315"/>
      <c r="R266" s="435"/>
      <c r="S266" s="435"/>
      <c r="T266" s="435"/>
      <c r="U266" s="435"/>
      <c r="V266" s="435"/>
      <c r="W266" s="740"/>
      <c r="X266" s="744"/>
      <c r="Y266" s="435"/>
      <c r="Z266" s="749"/>
      <c r="AA266" s="753"/>
      <c r="AB266" s="324"/>
      <c r="AC266" s="180"/>
      <c r="AD266" s="155"/>
      <c r="AE266" s="322"/>
      <c r="AF266" s="155"/>
      <c r="AG266" s="132"/>
    </row>
    <row r="267">
      <c r="A267" s="435"/>
      <c r="B267" s="695"/>
      <c r="C267" s="312"/>
      <c r="D267" s="717"/>
      <c r="E267" s="314"/>
      <c r="F267" s="736"/>
      <c r="G267" s="314"/>
      <c r="H267" s="314"/>
      <c r="I267" s="318"/>
      <c r="J267" s="314"/>
      <c r="K267" s="314"/>
      <c r="L267" s="315"/>
      <c r="M267" s="315"/>
      <c r="N267" s="315"/>
      <c r="O267" s="318"/>
      <c r="P267" s="318"/>
      <c r="Q267" s="744"/>
      <c r="R267" s="314"/>
      <c r="S267" s="435"/>
      <c r="T267" s="435"/>
      <c r="U267" s="435"/>
      <c r="V267" s="435"/>
      <c r="W267" s="740"/>
      <c r="X267" s="744"/>
      <c r="Y267" s="435"/>
      <c r="Z267" s="749"/>
      <c r="AA267" s="753"/>
      <c r="AB267" s="324"/>
      <c r="AC267" s="180"/>
      <c r="AD267" s="155"/>
      <c r="AE267" s="322"/>
      <c r="AF267" s="155"/>
      <c r="AG267" s="132"/>
    </row>
    <row r="268">
      <c r="A268" s="435"/>
      <c r="B268" s="746"/>
      <c r="C268" s="312"/>
      <c r="D268" s="717"/>
      <c r="E268" s="314"/>
      <c r="F268" s="736"/>
      <c r="G268" s="314"/>
      <c r="H268" s="435"/>
      <c r="I268" s="318"/>
      <c r="J268" s="435"/>
      <c r="K268" s="435"/>
      <c r="L268" s="315"/>
      <c r="M268" s="315"/>
      <c r="N268" s="744"/>
      <c r="O268" s="318"/>
      <c r="P268" s="318"/>
      <c r="Q268" s="315"/>
      <c r="R268" s="435"/>
      <c r="S268" s="435"/>
      <c r="T268" s="435"/>
      <c r="U268" s="435"/>
      <c r="V268" s="435"/>
      <c r="W268" s="740"/>
      <c r="X268" s="744"/>
      <c r="Y268" s="435"/>
      <c r="Z268" s="749"/>
      <c r="AA268" s="753"/>
      <c r="AB268" s="324"/>
      <c r="AC268" s="180"/>
      <c r="AD268" s="155"/>
      <c r="AE268" s="322"/>
      <c r="AF268" s="155"/>
      <c r="AG268" s="132"/>
    </row>
    <row r="269">
      <c r="A269" s="435"/>
      <c r="B269" s="695"/>
      <c r="C269" s="745"/>
      <c r="D269" s="751"/>
      <c r="E269" s="435"/>
      <c r="F269" s="736"/>
      <c r="G269" s="314"/>
      <c r="H269" s="435"/>
      <c r="I269" s="318"/>
      <c r="J269" s="314"/>
      <c r="K269" s="435"/>
      <c r="L269" s="315"/>
      <c r="M269" s="315"/>
      <c r="N269" s="315"/>
      <c r="O269" s="318"/>
      <c r="P269" s="318"/>
      <c r="Q269" s="315"/>
      <c r="R269" s="314"/>
      <c r="S269" s="435"/>
      <c r="T269" s="435"/>
      <c r="U269" s="435"/>
      <c r="V269" s="435"/>
      <c r="W269" s="740"/>
      <c r="X269" s="744"/>
      <c r="Y269" s="435"/>
      <c r="Z269" s="749"/>
      <c r="AA269" s="753"/>
      <c r="AB269" s="324"/>
      <c r="AC269" s="180"/>
      <c r="AD269" s="155"/>
      <c r="AE269" s="322"/>
      <c r="AF269" s="155"/>
      <c r="AG269" s="132"/>
    </row>
    <row r="270">
      <c r="A270" s="435"/>
      <c r="B270" s="695"/>
      <c r="C270" s="312"/>
      <c r="D270" s="717"/>
      <c r="E270" s="314"/>
      <c r="F270" s="736"/>
      <c r="G270" s="314"/>
      <c r="H270" s="435"/>
      <c r="I270" s="318"/>
      <c r="J270" s="314"/>
      <c r="K270" s="314"/>
      <c r="L270" s="315"/>
      <c r="M270" s="315"/>
      <c r="N270" s="315"/>
      <c r="O270" s="318"/>
      <c r="P270" s="318"/>
      <c r="Q270" s="315"/>
      <c r="R270" s="435"/>
      <c r="S270" s="314"/>
      <c r="T270" s="314"/>
      <c r="U270" s="314"/>
      <c r="V270" s="314"/>
      <c r="W270" s="318"/>
      <c r="X270" s="315"/>
      <c r="Y270" s="314"/>
      <c r="Z270" s="721"/>
      <c r="AA270" s="737"/>
      <c r="AB270" s="324"/>
      <c r="AC270" s="180"/>
      <c r="AD270" s="155"/>
      <c r="AE270" s="322"/>
      <c r="AF270" s="155"/>
      <c r="AG270" s="132"/>
    </row>
    <row r="271">
      <c r="A271" s="435"/>
      <c r="B271" s="746"/>
      <c r="C271" s="745"/>
      <c r="D271" s="751"/>
      <c r="E271" s="435"/>
      <c r="F271" s="736"/>
      <c r="G271" s="314"/>
      <c r="H271" s="435"/>
      <c r="I271" s="740"/>
      <c r="J271" s="435"/>
      <c r="K271" s="435"/>
      <c r="L271" s="744"/>
      <c r="M271" s="744"/>
      <c r="N271" s="744"/>
      <c r="O271" s="318"/>
      <c r="P271" s="740"/>
      <c r="Q271" s="744"/>
      <c r="R271" s="435"/>
      <c r="S271" s="435"/>
      <c r="T271" s="435"/>
      <c r="U271" s="435"/>
      <c r="V271" s="435"/>
      <c r="W271" s="740"/>
      <c r="X271" s="744"/>
      <c r="Y271" s="435"/>
      <c r="Z271" s="749"/>
      <c r="AA271" s="753"/>
      <c r="AB271" s="324"/>
      <c r="AC271" s="180"/>
      <c r="AD271" s="155"/>
      <c r="AE271" s="322"/>
      <c r="AF271" s="155"/>
      <c r="AG271" s="132"/>
    </row>
    <row r="272">
      <c r="A272" s="435"/>
      <c r="B272" s="695"/>
      <c r="C272" s="312"/>
      <c r="D272" s="717"/>
      <c r="E272" s="314"/>
      <c r="F272" s="736"/>
      <c r="G272" s="314"/>
      <c r="H272" s="314"/>
      <c r="I272" s="318"/>
      <c r="J272" s="314"/>
      <c r="K272" s="314"/>
      <c r="L272" s="315"/>
      <c r="M272" s="744"/>
      <c r="N272" s="315"/>
      <c r="O272" s="318"/>
      <c r="P272" s="318"/>
      <c r="Q272" s="315"/>
      <c r="R272" s="314"/>
      <c r="S272" s="314"/>
      <c r="T272" s="314"/>
      <c r="U272" s="314"/>
      <c r="V272" s="314"/>
      <c r="W272" s="318"/>
      <c r="X272" s="315"/>
      <c r="Y272" s="314"/>
      <c r="Z272" s="721"/>
      <c r="AA272" s="737"/>
      <c r="AB272" s="324"/>
      <c r="AC272" s="180"/>
      <c r="AD272" s="155"/>
      <c r="AE272" s="322"/>
      <c r="AF272" s="155"/>
      <c r="AG272" s="132"/>
    </row>
    <row r="273">
      <c r="A273" s="435"/>
      <c r="B273" s="695"/>
      <c r="C273" s="745"/>
      <c r="D273" s="751"/>
      <c r="E273" s="435"/>
      <c r="F273" s="736"/>
      <c r="G273" s="314"/>
      <c r="H273" s="435"/>
      <c r="I273" s="740"/>
      <c r="J273" s="435"/>
      <c r="K273" s="435"/>
      <c r="L273" s="315"/>
      <c r="M273" s="744"/>
      <c r="N273" s="744"/>
      <c r="O273" s="318"/>
      <c r="P273" s="740"/>
      <c r="Q273" s="744"/>
      <c r="R273" s="435"/>
      <c r="S273" s="435"/>
      <c r="T273" s="435"/>
      <c r="U273" s="435"/>
      <c r="V273" s="435"/>
      <c r="W273" s="740"/>
      <c r="X273" s="744"/>
      <c r="Y273" s="435"/>
      <c r="Z273" s="749"/>
      <c r="AA273" s="753"/>
      <c r="AB273" s="324"/>
      <c r="AC273" s="180"/>
      <c r="AD273" s="155"/>
      <c r="AE273" s="322"/>
      <c r="AF273" s="155"/>
      <c r="AG273" s="132"/>
    </row>
    <row r="274">
      <c r="A274" s="435"/>
      <c r="B274" s="746"/>
      <c r="C274" s="745"/>
      <c r="D274" s="717"/>
      <c r="E274" s="435"/>
      <c r="F274" s="736"/>
      <c r="G274" s="314"/>
      <c r="H274" s="435"/>
      <c r="I274" s="740"/>
      <c r="J274" s="314"/>
      <c r="K274" s="435"/>
      <c r="L274" s="744"/>
      <c r="M274" s="315"/>
      <c r="N274" s="744"/>
      <c r="O274" s="318"/>
      <c r="P274" s="740"/>
      <c r="Q274" s="315"/>
      <c r="R274" s="435"/>
      <c r="S274" s="435"/>
      <c r="T274" s="435"/>
      <c r="U274" s="435"/>
      <c r="V274" s="435"/>
      <c r="W274" s="740"/>
      <c r="X274" s="744"/>
      <c r="Y274" s="435"/>
      <c r="Z274" s="749"/>
      <c r="AA274" s="753"/>
      <c r="AB274" s="324"/>
      <c r="AC274" s="180"/>
      <c r="AD274" s="155"/>
      <c r="AE274" s="322"/>
      <c r="AF274" s="155"/>
      <c r="AG274" s="132"/>
    </row>
    <row r="275">
      <c r="A275" s="458"/>
      <c r="B275" s="746"/>
      <c r="C275" s="745"/>
      <c r="D275" s="751"/>
      <c r="E275" s="435"/>
      <c r="F275" s="736"/>
      <c r="G275" s="314"/>
      <c r="H275" s="314"/>
      <c r="I275" s="740"/>
      <c r="J275" s="435"/>
      <c r="K275" s="435"/>
      <c r="L275" s="744"/>
      <c r="M275" s="744"/>
      <c r="N275" s="744"/>
      <c r="O275" s="318"/>
      <c r="P275" s="740"/>
      <c r="Q275" s="744"/>
      <c r="R275" s="435"/>
      <c r="S275" s="435"/>
      <c r="T275" s="435"/>
      <c r="U275" s="435"/>
      <c r="V275" s="435"/>
      <c r="W275" s="740"/>
      <c r="X275" s="744"/>
      <c r="Y275" s="435"/>
      <c r="Z275" s="749"/>
      <c r="AA275" s="753"/>
      <c r="AB275" s="324"/>
      <c r="AC275" s="180"/>
      <c r="AD275" s="155"/>
      <c r="AE275" s="322"/>
      <c r="AF275" s="155"/>
      <c r="AG275" s="132"/>
    </row>
    <row r="276">
      <c r="A276" s="458"/>
      <c r="B276" s="746"/>
      <c r="C276" s="745"/>
      <c r="D276" s="751"/>
      <c r="E276" s="435"/>
      <c r="F276" s="736"/>
      <c r="G276" s="314"/>
      <c r="H276" s="314"/>
      <c r="I276" s="318"/>
      <c r="J276" s="435"/>
      <c r="K276" s="435"/>
      <c r="L276" s="744"/>
      <c r="M276" s="744"/>
      <c r="N276" s="744"/>
      <c r="O276" s="318"/>
      <c r="P276" s="740"/>
      <c r="Q276" s="744"/>
      <c r="R276" s="435"/>
      <c r="S276" s="435"/>
      <c r="T276" s="435"/>
      <c r="U276" s="435"/>
      <c r="V276" s="435"/>
      <c r="W276" s="740"/>
      <c r="X276" s="744"/>
      <c r="Y276" s="435"/>
      <c r="Z276" s="749"/>
      <c r="AA276" s="753"/>
      <c r="AB276" s="324"/>
      <c r="AC276" s="180"/>
      <c r="AD276" s="155"/>
      <c r="AE276" s="322"/>
      <c r="AF276" s="155"/>
      <c r="AG276" s="132"/>
    </row>
    <row r="277">
      <c r="A277" s="458"/>
      <c r="B277" s="746"/>
      <c r="C277" s="745"/>
      <c r="D277" s="751"/>
      <c r="E277" s="314"/>
      <c r="F277" s="736"/>
      <c r="G277" s="314"/>
      <c r="H277" s="314"/>
      <c r="I277" s="740"/>
      <c r="J277" s="435"/>
      <c r="K277" s="435"/>
      <c r="L277" s="744"/>
      <c r="M277" s="744"/>
      <c r="N277" s="744"/>
      <c r="O277" s="318"/>
      <c r="P277" s="740"/>
      <c r="Q277" s="315"/>
      <c r="R277" s="435"/>
      <c r="S277" s="435"/>
      <c r="T277" s="435"/>
      <c r="U277" s="435"/>
      <c r="V277" s="435"/>
      <c r="W277" s="740"/>
      <c r="X277" s="744"/>
      <c r="Y277" s="435"/>
      <c r="Z277" s="749"/>
      <c r="AA277" s="753"/>
      <c r="AB277" s="324"/>
      <c r="AC277" s="180"/>
      <c r="AD277" s="155"/>
      <c r="AE277" s="322"/>
      <c r="AF277" s="155"/>
      <c r="AG277" s="132"/>
    </row>
    <row r="278">
      <c r="A278" s="458"/>
      <c r="B278" s="695"/>
      <c r="C278" s="312"/>
      <c r="D278" s="717"/>
      <c r="E278" s="314"/>
      <c r="F278" s="736"/>
      <c r="G278" s="314"/>
      <c r="H278" s="314"/>
      <c r="I278" s="318"/>
      <c r="J278" s="314"/>
      <c r="K278" s="314"/>
      <c r="L278" s="315"/>
      <c r="M278" s="315"/>
      <c r="N278" s="315"/>
      <c r="O278" s="318"/>
      <c r="P278" s="318"/>
      <c r="Q278" s="315"/>
      <c r="R278" s="314"/>
      <c r="S278" s="314"/>
      <c r="T278" s="314"/>
      <c r="U278" s="314"/>
      <c r="V278" s="314"/>
      <c r="W278" s="318"/>
      <c r="X278" s="315"/>
      <c r="Y278" s="314"/>
      <c r="Z278" s="721"/>
      <c r="AA278" s="737"/>
      <c r="AB278" s="324"/>
      <c r="AC278" s="180"/>
      <c r="AD278" s="155"/>
      <c r="AE278" s="322"/>
      <c r="AF278" s="155"/>
      <c r="AG278" s="132"/>
    </row>
    <row r="279">
      <c r="A279" s="458"/>
      <c r="B279" s="746"/>
      <c r="C279" s="745"/>
      <c r="D279" s="751"/>
      <c r="E279" s="314"/>
      <c r="F279" s="736"/>
      <c r="G279" s="314"/>
      <c r="H279" s="314"/>
      <c r="I279" s="318"/>
      <c r="J279" s="314"/>
      <c r="K279" s="435"/>
      <c r="L279" s="744"/>
      <c r="M279" s="744"/>
      <c r="N279" s="315"/>
      <c r="O279" s="318"/>
      <c r="P279" s="740"/>
      <c r="Q279" s="744"/>
      <c r="R279" s="435"/>
      <c r="S279" s="435"/>
      <c r="T279" s="435"/>
      <c r="U279" s="435"/>
      <c r="V279" s="435"/>
      <c r="W279" s="740"/>
      <c r="X279" s="744"/>
      <c r="Y279" s="435"/>
      <c r="Z279" s="749"/>
      <c r="AA279" s="753"/>
      <c r="AB279" s="324"/>
      <c r="AC279" s="180"/>
      <c r="AD279" s="155"/>
      <c r="AE279" s="322"/>
      <c r="AF279" s="155"/>
      <c r="AG279" s="132"/>
    </row>
    <row r="280">
      <c r="A280" s="458"/>
      <c r="B280" s="695"/>
      <c r="C280" s="312"/>
      <c r="D280" s="751"/>
      <c r="E280" s="314"/>
      <c r="F280" s="736"/>
      <c r="G280" s="314"/>
      <c r="H280" s="314"/>
      <c r="I280" s="318"/>
      <c r="J280" s="314"/>
      <c r="K280" s="314"/>
      <c r="L280" s="315"/>
      <c r="M280" s="315"/>
      <c r="N280" s="315"/>
      <c r="O280" s="318"/>
      <c r="P280" s="318"/>
      <c r="Q280" s="315"/>
      <c r="R280" s="314"/>
      <c r="S280" s="314"/>
      <c r="T280" s="314"/>
      <c r="U280" s="314"/>
      <c r="V280" s="314"/>
      <c r="W280" s="318"/>
      <c r="X280" s="315"/>
      <c r="Y280" s="314"/>
      <c r="Z280" s="721"/>
      <c r="AA280" s="737"/>
      <c r="AB280" s="324"/>
      <c r="AC280" s="180"/>
      <c r="AD280" s="155"/>
      <c r="AE280" s="322"/>
      <c r="AF280" s="155"/>
      <c r="AG280" s="132"/>
    </row>
    <row r="281">
      <c r="A281" s="458"/>
      <c r="B281" s="695"/>
      <c r="C281" s="745"/>
      <c r="D281" s="717"/>
      <c r="E281" s="314"/>
      <c r="F281" s="736"/>
      <c r="G281" s="314"/>
      <c r="H281" s="314"/>
      <c r="I281" s="740"/>
      <c r="J281" s="314"/>
      <c r="K281" s="314"/>
      <c r="L281" s="744"/>
      <c r="M281" s="315"/>
      <c r="N281" s="315"/>
      <c r="O281" s="318"/>
      <c r="P281" s="318"/>
      <c r="Q281" s="744"/>
      <c r="R281" s="435"/>
      <c r="S281" s="435"/>
      <c r="T281" s="435"/>
      <c r="U281" s="435"/>
      <c r="V281" s="435"/>
      <c r="W281" s="740"/>
      <c r="X281" s="744"/>
      <c r="Y281" s="435"/>
      <c r="Z281" s="749"/>
      <c r="AA281" s="753"/>
      <c r="AB281" s="324"/>
      <c r="AC281" s="180"/>
      <c r="AD281" s="155"/>
      <c r="AE281" s="322"/>
      <c r="AF281" s="155"/>
      <c r="AG281" s="132"/>
    </row>
    <row r="282">
      <c r="A282" s="458"/>
      <c r="B282" s="695"/>
      <c r="C282" s="745"/>
      <c r="D282" s="751"/>
      <c r="E282" s="435"/>
      <c r="F282" s="736"/>
      <c r="G282" s="314"/>
      <c r="H282" s="435"/>
      <c r="I282" s="740"/>
      <c r="J282" s="314"/>
      <c r="K282" s="435"/>
      <c r="L282" s="744"/>
      <c r="M282" s="315"/>
      <c r="N282" s="315"/>
      <c r="O282" s="318"/>
      <c r="P282" s="740"/>
      <c r="Q282" s="744"/>
      <c r="R282" s="435"/>
      <c r="S282" s="435"/>
      <c r="T282" s="435"/>
      <c r="U282" s="435"/>
      <c r="V282" s="435"/>
      <c r="W282" s="740"/>
      <c r="X282" s="744"/>
      <c r="Y282" s="435"/>
      <c r="Z282" s="749"/>
      <c r="AA282" s="753"/>
      <c r="AB282" s="324"/>
      <c r="AC282" s="180"/>
      <c r="AD282" s="155"/>
      <c r="AE282" s="322"/>
      <c r="AF282" s="155"/>
      <c r="AG282" s="132"/>
    </row>
    <row r="283">
      <c r="A283" s="458"/>
      <c r="B283" s="695"/>
      <c r="C283" s="745"/>
      <c r="D283" s="751"/>
      <c r="E283" s="314"/>
      <c r="F283" s="736"/>
      <c r="G283" s="314"/>
      <c r="H283" s="314"/>
      <c r="I283" s="318"/>
      <c r="J283" s="314"/>
      <c r="K283" s="435"/>
      <c r="L283" s="315"/>
      <c r="M283" s="315"/>
      <c r="N283" s="315"/>
      <c r="O283" s="318"/>
      <c r="P283" s="318"/>
      <c r="Q283" s="315"/>
      <c r="R283" s="435"/>
      <c r="S283" s="435"/>
      <c r="T283" s="435"/>
      <c r="U283" s="435"/>
      <c r="V283" s="435"/>
      <c r="W283" s="740"/>
      <c r="X283" s="744"/>
      <c r="Y283" s="435"/>
      <c r="Z283" s="749"/>
      <c r="AA283" s="753"/>
      <c r="AB283" s="324"/>
      <c r="AC283" s="180"/>
      <c r="AD283" s="155"/>
      <c r="AE283" s="322"/>
      <c r="AF283" s="155"/>
      <c r="AG283" s="132"/>
    </row>
    <row r="284">
      <c r="A284" s="458"/>
      <c r="B284" s="746"/>
      <c r="C284" s="745"/>
      <c r="D284" s="751"/>
      <c r="E284" s="435"/>
      <c r="F284" s="736"/>
      <c r="G284" s="314"/>
      <c r="H284" s="435"/>
      <c r="I284" s="740"/>
      <c r="J284" s="435"/>
      <c r="K284" s="435"/>
      <c r="L284" s="744"/>
      <c r="M284" s="744"/>
      <c r="N284" s="744"/>
      <c r="O284" s="318"/>
      <c r="P284" s="740"/>
      <c r="Q284" s="744"/>
      <c r="R284" s="435"/>
      <c r="S284" s="435"/>
      <c r="T284" s="435"/>
      <c r="U284" s="435"/>
      <c r="V284" s="435"/>
      <c r="W284" s="740"/>
      <c r="X284" s="744"/>
      <c r="Y284" s="435"/>
      <c r="Z284" s="749"/>
      <c r="AA284" s="753"/>
      <c r="AB284" s="324"/>
      <c r="AC284" s="180"/>
      <c r="AD284" s="155"/>
      <c r="AE284" s="322"/>
      <c r="AF284" s="155"/>
      <c r="AG284" s="132"/>
    </row>
    <row r="285">
      <c r="A285" s="435"/>
      <c r="B285" s="746"/>
      <c r="C285" s="745"/>
      <c r="D285" s="751"/>
      <c r="E285" s="435"/>
      <c r="F285" s="736"/>
      <c r="G285" s="314"/>
      <c r="H285" s="435"/>
      <c r="I285" s="740"/>
      <c r="J285" s="435"/>
      <c r="K285" s="435"/>
      <c r="L285" s="744"/>
      <c r="M285" s="744"/>
      <c r="N285" s="744"/>
      <c r="O285" s="318"/>
      <c r="P285" s="740"/>
      <c r="Q285" s="744"/>
      <c r="R285" s="435"/>
      <c r="S285" s="435"/>
      <c r="T285" s="435"/>
      <c r="U285" s="435"/>
      <c r="V285" s="435"/>
      <c r="W285" s="740"/>
      <c r="X285" s="744"/>
      <c r="Y285" s="435"/>
      <c r="Z285" s="749"/>
      <c r="AA285" s="753"/>
      <c r="AB285" s="324"/>
      <c r="AC285" s="180"/>
      <c r="AD285" s="155"/>
      <c r="AE285" s="322"/>
      <c r="AF285" s="155"/>
      <c r="AG285" s="132"/>
    </row>
    <row r="286">
      <c r="A286" s="474"/>
      <c r="B286" s="746"/>
      <c r="C286" s="745"/>
      <c r="D286" s="751"/>
      <c r="E286" s="435"/>
      <c r="F286" s="736"/>
      <c r="G286" s="314"/>
      <c r="H286" s="435"/>
      <c r="I286" s="740"/>
      <c r="J286" s="435"/>
      <c r="K286" s="435"/>
      <c r="L286" s="744"/>
      <c r="M286" s="744"/>
      <c r="N286" s="744"/>
      <c r="O286" s="318"/>
      <c r="P286" s="740"/>
      <c r="Q286" s="744"/>
      <c r="R286" s="435"/>
      <c r="S286" s="435"/>
      <c r="T286" s="435"/>
      <c r="U286" s="435"/>
      <c r="V286" s="435"/>
      <c r="W286" s="740"/>
      <c r="X286" s="744"/>
      <c r="Y286" s="435"/>
      <c r="Z286" s="749"/>
      <c r="AA286" s="753"/>
      <c r="AB286" s="324"/>
      <c r="AC286" s="180"/>
      <c r="AD286" s="155"/>
      <c r="AE286" s="322"/>
      <c r="AF286" s="155"/>
      <c r="AG286" s="132"/>
    </row>
    <row r="287">
      <c r="A287" s="474"/>
      <c r="B287" s="746"/>
      <c r="C287" s="312"/>
      <c r="D287" s="751"/>
      <c r="E287" s="435"/>
      <c r="F287" s="736"/>
      <c r="G287" s="314"/>
      <c r="H287" s="435"/>
      <c r="I287" s="740"/>
      <c r="J287" s="435"/>
      <c r="K287" s="314"/>
      <c r="L287" s="315"/>
      <c r="M287" s="315"/>
      <c r="N287" s="744"/>
      <c r="O287" s="318"/>
      <c r="P287" s="318"/>
      <c r="Q287" s="744"/>
      <c r="R287" s="314"/>
      <c r="S287" s="435"/>
      <c r="T287" s="435"/>
      <c r="U287" s="435"/>
      <c r="V287" s="435"/>
      <c r="W287" s="740"/>
      <c r="X287" s="744"/>
      <c r="Y287" s="435"/>
      <c r="Z287" s="749"/>
      <c r="AA287" s="753"/>
      <c r="AB287" s="324"/>
      <c r="AC287" s="180"/>
      <c r="AD287" s="155"/>
      <c r="AE287" s="322"/>
      <c r="AF287" s="155"/>
      <c r="AG287" s="132"/>
    </row>
    <row r="288">
      <c r="A288" s="474"/>
      <c r="B288" s="695"/>
      <c r="C288" s="312"/>
      <c r="D288" s="717"/>
      <c r="E288" s="314"/>
      <c r="F288" s="736"/>
      <c r="G288" s="314"/>
      <c r="H288" s="314"/>
      <c r="I288" s="318"/>
      <c r="J288" s="314"/>
      <c r="K288" s="435"/>
      <c r="L288" s="315"/>
      <c r="M288" s="315"/>
      <c r="N288" s="315"/>
      <c r="O288" s="318"/>
      <c r="P288" s="740"/>
      <c r="Q288" s="315"/>
      <c r="R288" s="314"/>
      <c r="S288" s="314"/>
      <c r="T288" s="314"/>
      <c r="U288" s="314"/>
      <c r="V288" s="314"/>
      <c r="W288" s="318"/>
      <c r="X288" s="315"/>
      <c r="Y288" s="314"/>
      <c r="Z288" s="721"/>
      <c r="AA288" s="737"/>
      <c r="AB288" s="324"/>
      <c r="AC288" s="180"/>
      <c r="AD288" s="155"/>
      <c r="AE288" s="322"/>
      <c r="AF288" s="155"/>
      <c r="AG288" s="132"/>
    </row>
    <row r="289">
      <c r="A289" s="474"/>
      <c r="B289" s="695"/>
      <c r="C289" s="745"/>
      <c r="D289" s="751"/>
      <c r="E289" s="314"/>
      <c r="F289" s="736"/>
      <c r="G289" s="314"/>
      <c r="H289" s="314"/>
      <c r="I289" s="740"/>
      <c r="J289" s="314"/>
      <c r="K289" s="314"/>
      <c r="L289" s="315"/>
      <c r="M289" s="315"/>
      <c r="N289" s="315"/>
      <c r="O289" s="318"/>
      <c r="P289" s="318"/>
      <c r="Q289" s="315"/>
      <c r="R289" s="314"/>
      <c r="S289" s="314"/>
      <c r="T289" s="314"/>
      <c r="U289" s="314"/>
      <c r="V289" s="314"/>
      <c r="W289" s="318"/>
      <c r="X289" s="315"/>
      <c r="Y289" s="314"/>
      <c r="Z289" s="721"/>
      <c r="AA289" s="737"/>
      <c r="AB289" s="324"/>
      <c r="AC289" s="180"/>
      <c r="AD289" s="155"/>
      <c r="AE289" s="322"/>
      <c r="AF289" s="155"/>
      <c r="AG289" s="132"/>
    </row>
    <row r="290">
      <c r="A290" s="474"/>
      <c r="B290" s="695"/>
      <c r="C290" s="312"/>
      <c r="D290" s="717"/>
      <c r="E290" s="314"/>
      <c r="F290" s="736"/>
      <c r="G290" s="314"/>
      <c r="H290" s="314"/>
      <c r="I290" s="318"/>
      <c r="J290" s="314"/>
      <c r="K290" s="435"/>
      <c r="L290" s="315"/>
      <c r="M290" s="315"/>
      <c r="N290" s="315"/>
      <c r="O290" s="318"/>
      <c r="P290" s="318"/>
      <c r="Q290" s="315"/>
      <c r="R290" s="314"/>
      <c r="S290" s="314"/>
      <c r="T290" s="314"/>
      <c r="U290" s="314"/>
      <c r="V290" s="314"/>
      <c r="W290" s="318"/>
      <c r="X290" s="315"/>
      <c r="Y290" s="314"/>
      <c r="Z290" s="721"/>
      <c r="AA290" s="737"/>
      <c r="AB290" s="324"/>
      <c r="AC290" s="180"/>
      <c r="AD290" s="155"/>
      <c r="AE290" s="322"/>
      <c r="AF290" s="155"/>
      <c r="AG290" s="132"/>
    </row>
    <row r="291">
      <c r="A291" s="458"/>
      <c r="B291" s="695"/>
      <c r="C291" s="745"/>
      <c r="D291" s="717"/>
      <c r="E291" s="314"/>
      <c r="F291" s="736"/>
      <c r="G291" s="314"/>
      <c r="H291" s="314"/>
      <c r="I291" s="318"/>
      <c r="J291" s="435"/>
      <c r="K291" s="435"/>
      <c r="L291" s="315"/>
      <c r="M291" s="315"/>
      <c r="N291" s="315"/>
      <c r="O291" s="318"/>
      <c r="P291" s="318"/>
      <c r="Q291" s="315"/>
      <c r="R291" s="314"/>
      <c r="S291" s="314"/>
      <c r="T291" s="314"/>
      <c r="U291" s="314"/>
      <c r="V291" s="314"/>
      <c r="W291" s="318"/>
      <c r="X291" s="315"/>
      <c r="Y291" s="314"/>
      <c r="Z291" s="721"/>
      <c r="AA291" s="737"/>
      <c r="AB291" s="324"/>
      <c r="AC291" s="180"/>
      <c r="AD291" s="155"/>
      <c r="AE291" s="322"/>
      <c r="AF291" s="155"/>
      <c r="AG291" s="132"/>
    </row>
    <row r="292">
      <c r="A292" s="435"/>
      <c r="B292" s="695"/>
      <c r="C292" s="745"/>
      <c r="D292" s="751"/>
      <c r="E292" s="435"/>
      <c r="F292" s="736"/>
      <c r="G292" s="314"/>
      <c r="H292" s="435"/>
      <c r="I292" s="318"/>
      <c r="J292" s="314"/>
      <c r="K292" s="435"/>
      <c r="L292" s="315"/>
      <c r="M292" s="744"/>
      <c r="N292" s="744"/>
      <c r="O292" s="318"/>
      <c r="P292" s="318"/>
      <c r="Q292" s="315"/>
      <c r="R292" s="435"/>
      <c r="S292" s="314"/>
      <c r="T292" s="314"/>
      <c r="U292" s="314"/>
      <c r="V292" s="314"/>
      <c r="W292" s="318"/>
      <c r="X292" s="315"/>
      <c r="Y292" s="314"/>
      <c r="Z292" s="721"/>
      <c r="AA292" s="737"/>
      <c r="AB292" s="324"/>
      <c r="AC292" s="180"/>
      <c r="AD292" s="155"/>
      <c r="AE292" s="322"/>
      <c r="AF292" s="155"/>
      <c r="AG292" s="132"/>
    </row>
    <row r="293">
      <c r="A293" s="435"/>
      <c r="B293" s="746"/>
      <c r="C293" s="312"/>
      <c r="D293" s="717"/>
      <c r="E293" s="314"/>
      <c r="F293" s="736"/>
      <c r="G293" s="314"/>
      <c r="H293" s="314"/>
      <c r="I293" s="318"/>
      <c r="J293" s="314"/>
      <c r="K293" s="314"/>
      <c r="L293" s="315"/>
      <c r="M293" s="315"/>
      <c r="N293" s="315"/>
      <c r="O293" s="318"/>
      <c r="P293" s="740"/>
      <c r="Q293" s="315"/>
      <c r="R293" s="314"/>
      <c r="S293" s="314"/>
      <c r="T293" s="314"/>
      <c r="U293" s="314"/>
      <c r="V293" s="314"/>
      <c r="W293" s="318"/>
      <c r="X293" s="315"/>
      <c r="Y293" s="314"/>
      <c r="Z293" s="721"/>
      <c r="AA293" s="737"/>
      <c r="AB293" s="324"/>
      <c r="AC293" s="180"/>
      <c r="AD293" s="155"/>
      <c r="AE293" s="322"/>
      <c r="AF293" s="155"/>
      <c r="AG293" s="132"/>
    </row>
    <row r="294">
      <c r="A294" s="435"/>
      <c r="B294" s="746"/>
      <c r="C294" s="312"/>
      <c r="D294" s="717"/>
      <c r="E294" s="314"/>
      <c r="F294" s="736"/>
      <c r="G294" s="314"/>
      <c r="H294" s="314"/>
      <c r="I294" s="318"/>
      <c r="J294" s="314"/>
      <c r="K294" s="314"/>
      <c r="L294" s="315"/>
      <c r="M294" s="315"/>
      <c r="N294" s="315"/>
      <c r="O294" s="318"/>
      <c r="P294" s="318"/>
      <c r="Q294" s="744"/>
      <c r="R294" s="314"/>
      <c r="S294" s="435"/>
      <c r="T294" s="435"/>
      <c r="U294" s="435"/>
      <c r="V294" s="435"/>
      <c r="W294" s="740"/>
      <c r="X294" s="744"/>
      <c r="Y294" s="435"/>
      <c r="Z294" s="749"/>
      <c r="AA294" s="753"/>
      <c r="AB294" s="324"/>
      <c r="AC294" s="180"/>
      <c r="AD294" s="155"/>
      <c r="AE294" s="322"/>
      <c r="AF294" s="155"/>
      <c r="AG294" s="132"/>
    </row>
    <row r="295">
      <c r="A295" s="435"/>
      <c r="B295" s="695"/>
      <c r="C295" s="745"/>
      <c r="D295" s="717"/>
      <c r="E295" s="314"/>
      <c r="F295" s="736"/>
      <c r="G295" s="314"/>
      <c r="H295" s="314"/>
      <c r="I295" s="318"/>
      <c r="J295" s="314"/>
      <c r="K295" s="314"/>
      <c r="L295" s="315"/>
      <c r="M295" s="315"/>
      <c r="N295" s="315"/>
      <c r="O295" s="318"/>
      <c r="P295" s="318"/>
      <c r="Q295" s="315"/>
      <c r="R295" s="435"/>
      <c r="S295" s="314"/>
      <c r="T295" s="314"/>
      <c r="U295" s="314"/>
      <c r="V295" s="314"/>
      <c r="W295" s="318"/>
      <c r="X295" s="315"/>
      <c r="Y295" s="314"/>
      <c r="Z295" s="721"/>
      <c r="AA295" s="737"/>
      <c r="AB295" s="324"/>
      <c r="AC295" s="180"/>
      <c r="AD295" s="155"/>
      <c r="AE295" s="322"/>
      <c r="AF295" s="155"/>
      <c r="AG295" s="132"/>
    </row>
    <row r="296">
      <c r="A296" s="435"/>
      <c r="B296" s="695"/>
      <c r="C296" s="312"/>
      <c r="D296" s="717"/>
      <c r="E296" s="314"/>
      <c r="F296" s="736"/>
      <c r="G296" s="314"/>
      <c r="H296" s="314"/>
      <c r="I296" s="318"/>
      <c r="J296" s="314"/>
      <c r="K296" s="435"/>
      <c r="L296" s="315"/>
      <c r="M296" s="744"/>
      <c r="N296" s="315"/>
      <c r="O296" s="318"/>
      <c r="P296" s="318"/>
      <c r="Q296" s="744"/>
      <c r="R296" s="314"/>
      <c r="S296" s="314"/>
      <c r="T296" s="314"/>
      <c r="U296" s="314"/>
      <c r="V296" s="314"/>
      <c r="W296" s="318"/>
      <c r="X296" s="315"/>
      <c r="Y296" s="314"/>
      <c r="Z296" s="721"/>
      <c r="AA296" s="737"/>
      <c r="AB296" s="324"/>
      <c r="AC296" s="180"/>
      <c r="AD296" s="155"/>
      <c r="AE296" s="322"/>
      <c r="AF296" s="155"/>
      <c r="AG296" s="132"/>
    </row>
    <row r="297">
      <c r="A297" s="435"/>
      <c r="B297" s="695"/>
      <c r="C297" s="745"/>
      <c r="D297" s="751"/>
      <c r="E297" s="314"/>
      <c r="F297" s="736"/>
      <c r="G297" s="314"/>
      <c r="H297" s="314"/>
      <c r="I297" s="318"/>
      <c r="J297" s="314"/>
      <c r="K297" s="435"/>
      <c r="L297" s="315"/>
      <c r="M297" s="744"/>
      <c r="N297" s="315"/>
      <c r="O297" s="318"/>
      <c r="P297" s="318"/>
      <c r="Q297" s="744"/>
      <c r="R297" s="314"/>
      <c r="S297" s="314"/>
      <c r="T297" s="314"/>
      <c r="U297" s="314"/>
      <c r="V297" s="314"/>
      <c r="W297" s="318"/>
      <c r="X297" s="315"/>
      <c r="Y297" s="314"/>
      <c r="Z297" s="721"/>
      <c r="AA297" s="737"/>
      <c r="AB297" s="324"/>
      <c r="AC297" s="180"/>
      <c r="AD297" s="155"/>
      <c r="AE297" s="322"/>
      <c r="AF297" s="155"/>
      <c r="AG297" s="132"/>
    </row>
    <row r="298">
      <c r="A298" s="476"/>
      <c r="AD298" s="176"/>
      <c r="AE298" s="322"/>
      <c r="AF298" s="155"/>
      <c r="AG298" s="132"/>
    </row>
    <row r="299">
      <c r="A299" s="178"/>
      <c r="AE299" s="322"/>
      <c r="AF299" s="155"/>
      <c r="AG299" s="132"/>
    </row>
    <row r="300">
      <c r="A300" s="474"/>
      <c r="B300" s="746"/>
      <c r="C300" s="745"/>
      <c r="D300" s="751"/>
      <c r="E300" s="435"/>
      <c r="F300" s="736"/>
      <c r="G300" s="314"/>
      <c r="H300" s="314"/>
      <c r="I300" s="740"/>
      <c r="J300" s="435"/>
      <c r="K300" s="435"/>
      <c r="L300" s="744"/>
      <c r="M300" s="744"/>
      <c r="N300" s="744"/>
      <c r="O300" s="318"/>
      <c r="P300" s="740"/>
      <c r="Q300" s="744"/>
      <c r="R300" s="435"/>
      <c r="S300" s="435"/>
      <c r="T300" s="435"/>
      <c r="U300" s="435"/>
      <c r="V300" s="435"/>
      <c r="W300" s="740"/>
      <c r="X300" s="744"/>
      <c r="Y300" s="435"/>
      <c r="Z300" s="749"/>
      <c r="AA300" s="753"/>
      <c r="AB300" s="324"/>
      <c r="AC300" s="180"/>
      <c r="AD300" s="155"/>
      <c r="AE300" s="322"/>
      <c r="AF300" s="155"/>
      <c r="AG300" s="132"/>
    </row>
    <row r="301">
      <c r="A301" s="474"/>
      <c r="B301" s="695"/>
      <c r="C301" s="745"/>
      <c r="D301" s="751"/>
      <c r="E301" s="435"/>
      <c r="F301" s="736"/>
      <c r="G301" s="314"/>
      <c r="H301" s="435"/>
      <c r="I301" s="318"/>
      <c r="J301" s="435"/>
      <c r="K301" s="435"/>
      <c r="L301" s="744"/>
      <c r="M301" s="315"/>
      <c r="N301" s="315"/>
      <c r="O301" s="318"/>
      <c r="P301" s="740"/>
      <c r="Q301" s="744"/>
      <c r="R301" s="435"/>
      <c r="S301" s="435"/>
      <c r="T301" s="435"/>
      <c r="U301" s="435"/>
      <c r="V301" s="435"/>
      <c r="W301" s="740"/>
      <c r="X301" s="744"/>
      <c r="Y301" s="435"/>
      <c r="Z301" s="749"/>
      <c r="AA301" s="753"/>
      <c r="AB301" s="324"/>
      <c r="AC301" s="180"/>
      <c r="AD301" s="155"/>
      <c r="AE301" s="322"/>
      <c r="AF301" s="155"/>
      <c r="AG301" s="132"/>
    </row>
    <row r="302">
      <c r="A302" s="477"/>
      <c r="B302" s="746"/>
      <c r="C302" s="745"/>
      <c r="D302" s="751"/>
      <c r="E302" s="314"/>
      <c r="F302" s="736"/>
      <c r="G302" s="314"/>
      <c r="H302" s="435"/>
      <c r="I302" s="740"/>
      <c r="J302" s="435"/>
      <c r="K302" s="435"/>
      <c r="L302" s="744"/>
      <c r="M302" s="744"/>
      <c r="N302" s="744"/>
      <c r="O302" s="318"/>
      <c r="P302" s="740"/>
      <c r="Q302" s="744"/>
      <c r="R302" s="435"/>
      <c r="S302" s="435"/>
      <c r="T302" s="435"/>
      <c r="U302" s="435"/>
      <c r="V302" s="435"/>
      <c r="W302" s="740"/>
      <c r="X302" s="744"/>
      <c r="Y302" s="435"/>
      <c r="Z302" s="749"/>
      <c r="AA302" s="753"/>
      <c r="AB302" s="324"/>
      <c r="AC302" s="180"/>
      <c r="AD302" s="155"/>
      <c r="AE302" s="322"/>
      <c r="AF302" s="155"/>
      <c r="AG302" s="132"/>
    </row>
    <row r="303">
      <c r="A303" s="477"/>
      <c r="B303" s="746"/>
      <c r="C303" s="745"/>
      <c r="D303" s="751"/>
      <c r="E303" s="314"/>
      <c r="F303" s="736"/>
      <c r="G303" s="314"/>
      <c r="H303" s="435"/>
      <c r="I303" s="318"/>
      <c r="J303" s="314"/>
      <c r="K303" s="435"/>
      <c r="L303" s="744"/>
      <c r="M303" s="744"/>
      <c r="N303" s="315"/>
      <c r="O303" s="318"/>
      <c r="P303" s="740"/>
      <c r="Q303" s="744"/>
      <c r="R303" s="435"/>
      <c r="S303" s="435"/>
      <c r="T303" s="435"/>
      <c r="U303" s="435"/>
      <c r="V303" s="435"/>
      <c r="W303" s="740"/>
      <c r="X303" s="744"/>
      <c r="Y303" s="435"/>
      <c r="Z303" s="749"/>
      <c r="AA303" s="753"/>
      <c r="AB303" s="324"/>
      <c r="AC303" s="180"/>
      <c r="AD303" s="155"/>
      <c r="AE303" s="322"/>
      <c r="AF303" s="155"/>
      <c r="AG303" s="132"/>
    </row>
    <row r="304">
      <c r="A304" s="477"/>
      <c r="B304" s="746"/>
      <c r="C304" s="745"/>
      <c r="D304" s="751"/>
      <c r="E304" s="435"/>
      <c r="F304" s="736"/>
      <c r="G304" s="314"/>
      <c r="H304" s="435"/>
      <c r="I304" s="740"/>
      <c r="J304" s="435"/>
      <c r="K304" s="435"/>
      <c r="L304" s="744"/>
      <c r="M304" s="744"/>
      <c r="N304" s="744"/>
      <c r="O304" s="318"/>
      <c r="P304" s="740"/>
      <c r="Q304" s="744"/>
      <c r="R304" s="435"/>
      <c r="S304" s="435"/>
      <c r="T304" s="435"/>
      <c r="U304" s="435"/>
      <c r="V304" s="435"/>
      <c r="W304" s="740"/>
      <c r="X304" s="744"/>
      <c r="Y304" s="435"/>
      <c r="Z304" s="749"/>
      <c r="AA304" s="753"/>
      <c r="AB304" s="324"/>
      <c r="AC304" s="180"/>
      <c r="AD304" s="155"/>
      <c r="AE304" s="322"/>
      <c r="AF304" s="155"/>
      <c r="AG304" s="132"/>
    </row>
    <row r="305">
      <c r="A305" s="474"/>
      <c r="B305" s="695"/>
      <c r="C305" s="745"/>
      <c r="D305" s="717"/>
      <c r="E305" s="435"/>
      <c r="F305" s="736"/>
      <c r="G305" s="314"/>
      <c r="H305" s="435"/>
      <c r="I305" s="318"/>
      <c r="J305" s="435"/>
      <c r="K305" s="435"/>
      <c r="L305" s="315"/>
      <c r="M305" s="744"/>
      <c r="N305" s="315"/>
      <c r="O305" s="318"/>
      <c r="P305" s="740"/>
      <c r="Q305" s="744"/>
      <c r="R305" s="435"/>
      <c r="S305" s="435"/>
      <c r="T305" s="435"/>
      <c r="U305" s="435"/>
      <c r="V305" s="435"/>
      <c r="W305" s="740"/>
      <c r="X305" s="744"/>
      <c r="Y305" s="435"/>
      <c r="Z305" s="749"/>
      <c r="AA305" s="753"/>
      <c r="AB305" s="324"/>
      <c r="AC305" s="180"/>
      <c r="AD305" s="155"/>
      <c r="AE305" s="322"/>
      <c r="AF305" s="155"/>
      <c r="AG305" s="132"/>
    </row>
    <row r="306">
      <c r="A306" s="478"/>
      <c r="B306" s="746"/>
      <c r="C306" s="745"/>
      <c r="D306" s="751"/>
      <c r="E306" s="435"/>
      <c r="F306" s="736"/>
      <c r="G306" s="314"/>
      <c r="H306" s="435"/>
      <c r="I306" s="740"/>
      <c r="J306" s="435"/>
      <c r="K306" s="435"/>
      <c r="L306" s="744"/>
      <c r="M306" s="744"/>
      <c r="N306" s="744"/>
      <c r="O306" s="318"/>
      <c r="P306" s="740"/>
      <c r="Q306" s="744"/>
      <c r="R306" s="435"/>
      <c r="S306" s="435"/>
      <c r="T306" s="435"/>
      <c r="U306" s="435"/>
      <c r="V306" s="435"/>
      <c r="W306" s="740"/>
      <c r="X306" s="744"/>
      <c r="Y306" s="435"/>
      <c r="Z306" s="749"/>
      <c r="AA306" s="753"/>
      <c r="AB306" s="324"/>
      <c r="AC306" s="180"/>
      <c r="AD306" s="155"/>
      <c r="AE306" s="322"/>
      <c r="AF306" s="155"/>
      <c r="AG306" s="132"/>
    </row>
    <row r="307">
      <c r="A307" s="478"/>
      <c r="B307" s="746"/>
      <c r="C307" s="745"/>
      <c r="D307" s="751"/>
      <c r="E307" s="435"/>
      <c r="F307" s="736"/>
      <c r="G307" s="314"/>
      <c r="H307" s="435"/>
      <c r="I307" s="740"/>
      <c r="J307" s="435"/>
      <c r="K307" s="435"/>
      <c r="L307" s="744"/>
      <c r="M307" s="744"/>
      <c r="N307" s="744"/>
      <c r="O307" s="318"/>
      <c r="P307" s="740"/>
      <c r="Q307" s="744"/>
      <c r="R307" s="435"/>
      <c r="S307" s="435"/>
      <c r="T307" s="435"/>
      <c r="U307" s="435"/>
      <c r="V307" s="435"/>
      <c r="W307" s="740"/>
      <c r="X307" s="744"/>
      <c r="Y307" s="435"/>
      <c r="Z307" s="749"/>
      <c r="AA307" s="753"/>
      <c r="AB307" s="324"/>
      <c r="AC307" s="180"/>
      <c r="AD307" s="155"/>
      <c r="AE307" s="322"/>
      <c r="AF307" s="155"/>
      <c r="AG307" s="132"/>
    </row>
    <row r="308">
      <c r="A308" s="478"/>
      <c r="B308" s="746"/>
      <c r="C308" s="745"/>
      <c r="D308" s="717"/>
      <c r="E308" s="314"/>
      <c r="F308" s="736"/>
      <c r="G308" s="314"/>
      <c r="H308" s="435"/>
      <c r="I308" s="740"/>
      <c r="J308" s="314"/>
      <c r="K308" s="435"/>
      <c r="L308" s="315"/>
      <c r="M308" s="744"/>
      <c r="N308" s="315"/>
      <c r="O308" s="318"/>
      <c r="P308" s="318"/>
      <c r="Q308" s="315"/>
      <c r="R308" s="314"/>
      <c r="S308" s="435"/>
      <c r="T308" s="435"/>
      <c r="U308" s="435"/>
      <c r="V308" s="435"/>
      <c r="W308" s="740"/>
      <c r="X308" s="744"/>
      <c r="Y308" s="435"/>
      <c r="Z308" s="749"/>
      <c r="AA308" s="753"/>
      <c r="AB308" s="324"/>
      <c r="AC308" s="180"/>
      <c r="AD308" s="155"/>
      <c r="AE308" s="322"/>
      <c r="AF308" s="155"/>
      <c r="AG308" s="132"/>
    </row>
    <row r="309">
      <c r="A309" s="477"/>
      <c r="B309" s="695"/>
      <c r="C309" s="745"/>
      <c r="D309" s="751"/>
      <c r="E309" s="435"/>
      <c r="F309" s="736"/>
      <c r="G309" s="314"/>
      <c r="H309" s="435"/>
      <c r="I309" s="740"/>
      <c r="J309" s="435"/>
      <c r="K309" s="435"/>
      <c r="L309" s="744"/>
      <c r="M309" s="744"/>
      <c r="N309" s="744"/>
      <c r="O309" s="318"/>
      <c r="P309" s="740"/>
      <c r="Q309" s="744"/>
      <c r="R309" s="435"/>
      <c r="S309" s="435"/>
      <c r="T309" s="435"/>
      <c r="U309" s="435"/>
      <c r="V309" s="435"/>
      <c r="W309" s="740"/>
      <c r="X309" s="744"/>
      <c r="Y309" s="435"/>
      <c r="Z309" s="749"/>
      <c r="AA309" s="753"/>
      <c r="AB309" s="324"/>
      <c r="AC309" s="180"/>
      <c r="AD309" s="155"/>
      <c r="AE309" s="322"/>
      <c r="AF309" s="155"/>
      <c r="AG309" s="132"/>
    </row>
    <row r="310">
      <c r="A310" s="477"/>
      <c r="B310" s="695"/>
      <c r="C310" s="312"/>
      <c r="D310" s="717"/>
      <c r="E310" s="314"/>
      <c r="F310" s="736"/>
      <c r="G310" s="314"/>
      <c r="H310" s="435"/>
      <c r="I310" s="318"/>
      <c r="J310" s="314"/>
      <c r="K310" s="314"/>
      <c r="L310" s="315"/>
      <c r="M310" s="315"/>
      <c r="N310" s="744"/>
      <c r="O310" s="318"/>
      <c r="P310" s="318"/>
      <c r="Q310" s="744"/>
      <c r="R310" s="314"/>
      <c r="S310" s="314"/>
      <c r="T310" s="314"/>
      <c r="U310" s="314"/>
      <c r="V310" s="314"/>
      <c r="W310" s="318"/>
      <c r="X310" s="315"/>
      <c r="Y310" s="314"/>
      <c r="Z310" s="721"/>
      <c r="AA310" s="737"/>
      <c r="AB310" s="324"/>
      <c r="AC310" s="180"/>
      <c r="AD310" s="155"/>
      <c r="AE310" s="322"/>
      <c r="AF310" s="155"/>
      <c r="AG310" s="132"/>
    </row>
    <row r="311">
      <c r="A311" s="477"/>
      <c r="B311" s="695"/>
      <c r="C311" s="312"/>
      <c r="D311" s="717"/>
      <c r="E311" s="314"/>
      <c r="F311" s="736"/>
      <c r="G311" s="314"/>
      <c r="H311" s="314"/>
      <c r="I311" s="318"/>
      <c r="J311" s="314"/>
      <c r="K311" s="314"/>
      <c r="L311" s="315"/>
      <c r="M311" s="315"/>
      <c r="N311" s="315"/>
      <c r="O311" s="318"/>
      <c r="P311" s="318"/>
      <c r="Q311" s="315"/>
      <c r="R311" s="314"/>
      <c r="S311" s="314"/>
      <c r="T311" s="314"/>
      <c r="U311" s="314"/>
      <c r="V311" s="314"/>
      <c r="W311" s="318"/>
      <c r="X311" s="315"/>
      <c r="Y311" s="314"/>
      <c r="Z311" s="721"/>
      <c r="AA311" s="737"/>
      <c r="AB311" s="324"/>
      <c r="AC311" s="180"/>
      <c r="AD311" s="155"/>
      <c r="AE311" s="322"/>
      <c r="AF311" s="155"/>
      <c r="AG311" s="132"/>
    </row>
    <row r="312">
      <c r="A312" s="476"/>
      <c r="AD312" s="176"/>
      <c r="AE312" s="322"/>
      <c r="AF312" s="155"/>
      <c r="AG312" s="132"/>
    </row>
    <row r="313">
      <c r="A313" s="178"/>
      <c r="AE313" s="322"/>
      <c r="AF313" s="155"/>
      <c r="AG313" s="132"/>
    </row>
    <row r="314">
      <c r="A314" s="477"/>
      <c r="B314" s="746"/>
      <c r="C314" s="745"/>
      <c r="D314" s="751"/>
      <c r="E314" s="314"/>
      <c r="F314" s="736"/>
      <c r="G314" s="314"/>
      <c r="H314" s="314"/>
      <c r="I314" s="318"/>
      <c r="J314" s="314"/>
      <c r="K314" s="435"/>
      <c r="L314" s="744"/>
      <c r="M314" s="315"/>
      <c r="N314" s="315"/>
      <c r="O314" s="318"/>
      <c r="P314" s="318"/>
      <c r="Q314" s="744"/>
      <c r="R314" s="435"/>
      <c r="S314" s="435"/>
      <c r="T314" s="435"/>
      <c r="U314" s="435"/>
      <c r="V314" s="435"/>
      <c r="W314" s="740"/>
      <c r="X314" s="744"/>
      <c r="Y314" s="435"/>
      <c r="Z314" s="749"/>
      <c r="AA314" s="753"/>
      <c r="AB314" s="324"/>
      <c r="AC314" s="180"/>
      <c r="AD314" s="155"/>
      <c r="AE314" s="322"/>
      <c r="AF314" s="155"/>
      <c r="AG314" s="132"/>
    </row>
    <row r="315">
      <c r="A315" s="477"/>
      <c r="B315" s="695"/>
      <c r="C315" s="745"/>
      <c r="D315" s="751"/>
      <c r="E315" s="314"/>
      <c r="F315" s="736"/>
      <c r="G315" s="314"/>
      <c r="H315" s="314"/>
      <c r="I315" s="740"/>
      <c r="J315" s="435"/>
      <c r="K315" s="435"/>
      <c r="L315" s="315"/>
      <c r="M315" s="744"/>
      <c r="N315" s="315"/>
      <c r="O315" s="318"/>
      <c r="P315" s="318"/>
      <c r="Q315" s="744"/>
      <c r="R315" s="435"/>
      <c r="S315" s="435"/>
      <c r="T315" s="435"/>
      <c r="U315" s="435"/>
      <c r="V315" s="435"/>
      <c r="W315" s="740"/>
      <c r="X315" s="744"/>
      <c r="Y315" s="435"/>
      <c r="Z315" s="749"/>
      <c r="AA315" s="753"/>
      <c r="AB315" s="324"/>
      <c r="AC315" s="180"/>
      <c r="AD315" s="155"/>
      <c r="AE315" s="322"/>
      <c r="AF315" s="155"/>
      <c r="AG315" s="132"/>
    </row>
    <row r="316">
      <c r="A316" s="477"/>
      <c r="B316" s="695"/>
      <c r="C316" s="745"/>
      <c r="D316" s="751"/>
      <c r="E316" s="435"/>
      <c r="F316" s="736"/>
      <c r="G316" s="314"/>
      <c r="H316" s="435"/>
      <c r="I316" s="318"/>
      <c r="J316" s="314"/>
      <c r="K316" s="435"/>
      <c r="L316" s="315"/>
      <c r="M316" s="744"/>
      <c r="N316" s="744"/>
      <c r="O316" s="318"/>
      <c r="P316" s="740"/>
      <c r="Q316" s="744"/>
      <c r="R316" s="435"/>
      <c r="S316" s="435"/>
      <c r="T316" s="435"/>
      <c r="U316" s="435"/>
      <c r="V316" s="435"/>
      <c r="W316" s="740"/>
      <c r="X316" s="744"/>
      <c r="Y316" s="435"/>
      <c r="Z316" s="749"/>
      <c r="AA316" s="753"/>
      <c r="AB316" s="324"/>
      <c r="AC316" s="180"/>
      <c r="AD316" s="155"/>
      <c r="AE316" s="322"/>
      <c r="AF316" s="155"/>
      <c r="AG316" s="132"/>
    </row>
    <row r="317">
      <c r="A317" s="479"/>
      <c r="B317" s="695"/>
      <c r="C317" s="312"/>
      <c r="D317" s="717"/>
      <c r="E317" s="314"/>
      <c r="F317" s="736"/>
      <c r="G317" s="314"/>
      <c r="H317" s="314"/>
      <c r="I317" s="318"/>
      <c r="J317" s="314"/>
      <c r="K317" s="314"/>
      <c r="L317" s="315"/>
      <c r="M317" s="315"/>
      <c r="N317" s="315"/>
      <c r="O317" s="318"/>
      <c r="P317" s="318"/>
      <c r="Q317" s="744"/>
      <c r="R317" s="314"/>
      <c r="S317" s="314"/>
      <c r="T317" s="314"/>
      <c r="U317" s="314"/>
      <c r="V317" s="314"/>
      <c r="W317" s="318"/>
      <c r="X317" s="315"/>
      <c r="Y317" s="314"/>
      <c r="Z317" s="721"/>
      <c r="AA317" s="737"/>
      <c r="AB317" s="324"/>
      <c r="AC317" s="180"/>
      <c r="AD317" s="155"/>
      <c r="AE317" s="322"/>
      <c r="AF317" s="155"/>
      <c r="AG317" s="132"/>
    </row>
    <row r="318">
      <c r="A318" s="476"/>
      <c r="AD318" s="176"/>
      <c r="AE318" s="322"/>
      <c r="AF318" s="155"/>
      <c r="AG318" s="132"/>
    </row>
    <row r="319">
      <c r="A319" s="178"/>
      <c r="AE319" s="322"/>
      <c r="AF319" s="155"/>
      <c r="AG319" s="132"/>
    </row>
    <row r="320">
      <c r="A320" s="480"/>
      <c r="B320" s="695"/>
      <c r="C320" s="745"/>
      <c r="D320" s="717"/>
      <c r="E320" s="314"/>
      <c r="F320" s="736"/>
      <c r="G320" s="314"/>
      <c r="H320" s="314"/>
      <c r="I320" s="318"/>
      <c r="J320" s="435"/>
      <c r="K320" s="435"/>
      <c r="L320" s="315"/>
      <c r="M320" s="315"/>
      <c r="N320" s="315"/>
      <c r="O320" s="318"/>
      <c r="P320" s="318"/>
      <c r="Q320" s="744"/>
      <c r="R320" s="314"/>
      <c r="S320" s="314"/>
      <c r="T320" s="314"/>
      <c r="U320" s="314"/>
      <c r="V320" s="314"/>
      <c r="W320" s="318"/>
      <c r="X320" s="315"/>
      <c r="Y320" s="314"/>
      <c r="Z320" s="721"/>
      <c r="AA320" s="737"/>
      <c r="AB320" s="324"/>
      <c r="AC320" s="180"/>
      <c r="AD320" s="180"/>
      <c r="AE320" s="322"/>
      <c r="AF320" s="155"/>
      <c r="AG320" s="132"/>
    </row>
    <row r="321">
      <c r="A321" s="480"/>
      <c r="B321" s="695"/>
      <c r="C321" s="745"/>
      <c r="D321" s="717"/>
      <c r="E321" s="314"/>
      <c r="F321" s="736"/>
      <c r="G321" s="314"/>
      <c r="H321" s="435"/>
      <c r="I321" s="318"/>
      <c r="J321" s="435"/>
      <c r="K321" s="435"/>
      <c r="L321" s="315"/>
      <c r="M321" s="744"/>
      <c r="N321" s="744"/>
      <c r="O321" s="318"/>
      <c r="P321" s="740"/>
      <c r="Q321" s="744"/>
      <c r="R321" s="314"/>
      <c r="S321" s="435"/>
      <c r="T321" s="435"/>
      <c r="U321" s="435"/>
      <c r="V321" s="435"/>
      <c r="W321" s="740"/>
      <c r="X321" s="744"/>
      <c r="Y321" s="435"/>
      <c r="Z321" s="749"/>
      <c r="AA321" s="753"/>
      <c r="AB321" s="324"/>
      <c r="AC321" s="180"/>
      <c r="AD321" s="180"/>
      <c r="AE321" s="322"/>
      <c r="AF321" s="155"/>
      <c r="AG321" s="132"/>
    </row>
    <row r="322">
      <c r="A322" s="476"/>
      <c r="AD322" s="176"/>
      <c r="AE322" s="322"/>
      <c r="AF322" s="155"/>
      <c r="AG322" s="132"/>
    </row>
    <row r="323">
      <c r="A323" s="178"/>
      <c r="AE323" s="322"/>
      <c r="AF323" s="155"/>
      <c r="AG323" s="132"/>
    </row>
    <row r="324">
      <c r="A324" s="481"/>
      <c r="B324" s="695"/>
      <c r="C324" s="745"/>
      <c r="D324" s="751"/>
      <c r="E324" s="435"/>
      <c r="F324" s="736"/>
      <c r="G324" s="435"/>
      <c r="H324" s="435"/>
      <c r="I324" s="740"/>
      <c r="J324" s="314"/>
      <c r="K324" s="435"/>
      <c r="L324" s="744"/>
      <c r="M324" s="744"/>
      <c r="N324" s="315"/>
      <c r="O324" s="318"/>
      <c r="P324" s="740"/>
      <c r="Q324" s="744"/>
      <c r="R324" s="435"/>
      <c r="S324" s="435"/>
      <c r="T324" s="435"/>
      <c r="U324" s="435"/>
      <c r="V324" s="435"/>
      <c r="W324" s="740"/>
      <c r="X324" s="744"/>
      <c r="Y324" s="435"/>
      <c r="Z324" s="749"/>
      <c r="AA324" s="753"/>
      <c r="AB324" s="324"/>
      <c r="AC324" s="180"/>
      <c r="AD324" s="155"/>
      <c r="AE324" s="322"/>
      <c r="AF324" s="155"/>
      <c r="AG324" s="132"/>
    </row>
    <row r="325">
      <c r="A325" s="435"/>
      <c r="B325" s="695"/>
      <c r="C325" s="745"/>
      <c r="D325" s="751"/>
      <c r="E325" s="314"/>
      <c r="F325" s="736"/>
      <c r="G325" s="314"/>
      <c r="H325" s="435"/>
      <c r="I325" s="318"/>
      <c r="J325" s="435"/>
      <c r="K325" s="435"/>
      <c r="L325" s="315"/>
      <c r="M325" s="315"/>
      <c r="N325" s="315"/>
      <c r="O325" s="318"/>
      <c r="P325" s="740"/>
      <c r="Q325" s="744"/>
      <c r="R325" s="435"/>
      <c r="S325" s="435"/>
      <c r="T325" s="435"/>
      <c r="U325" s="435"/>
      <c r="V325" s="435"/>
      <c r="W325" s="740"/>
      <c r="X325" s="744"/>
      <c r="Y325" s="435"/>
      <c r="Z325" s="749"/>
      <c r="AA325" s="753"/>
      <c r="AB325" s="324"/>
      <c r="AC325" s="180"/>
      <c r="AD325" s="155"/>
      <c r="AE325" s="322"/>
      <c r="AF325" s="155"/>
      <c r="AG325" s="132"/>
    </row>
    <row r="326">
      <c r="A326" s="482"/>
      <c r="B326" s="695"/>
      <c r="C326" s="312"/>
      <c r="D326" s="751"/>
      <c r="E326" s="314"/>
      <c r="F326" s="736"/>
      <c r="G326" s="314"/>
      <c r="H326" s="314"/>
      <c r="I326" s="318"/>
      <c r="J326" s="314"/>
      <c r="K326" s="435"/>
      <c r="L326" s="315"/>
      <c r="M326" s="315"/>
      <c r="N326" s="315"/>
      <c r="O326" s="318"/>
      <c r="P326" s="318"/>
      <c r="Q326" s="315"/>
      <c r="R326" s="435"/>
      <c r="S326" s="314"/>
      <c r="T326" s="314"/>
      <c r="U326" s="314"/>
      <c r="V326" s="314"/>
      <c r="W326" s="318"/>
      <c r="X326" s="315"/>
      <c r="Y326" s="314"/>
      <c r="Z326" s="721"/>
      <c r="AA326" s="737"/>
      <c r="AB326" s="324"/>
      <c r="AC326" s="180"/>
      <c r="AD326" s="155"/>
      <c r="AE326" s="322"/>
      <c r="AF326" s="155"/>
      <c r="AG326" s="132"/>
    </row>
    <row r="327">
      <c r="A327" s="482"/>
      <c r="B327" s="695"/>
      <c r="C327" s="745"/>
      <c r="D327" s="751"/>
      <c r="E327" s="435"/>
      <c r="F327" s="736"/>
      <c r="G327" s="314"/>
      <c r="H327" s="435"/>
      <c r="I327" s="740"/>
      <c r="J327" s="435"/>
      <c r="K327" s="435"/>
      <c r="L327" s="744"/>
      <c r="M327" s="744"/>
      <c r="N327" s="744"/>
      <c r="O327" s="318"/>
      <c r="P327" s="740"/>
      <c r="Q327" s="744"/>
      <c r="R327" s="435"/>
      <c r="S327" s="435"/>
      <c r="T327" s="435"/>
      <c r="U327" s="435"/>
      <c r="V327" s="435"/>
      <c r="W327" s="740"/>
      <c r="X327" s="744"/>
      <c r="Y327" s="435"/>
      <c r="Z327" s="749"/>
      <c r="AA327" s="753"/>
      <c r="AB327" s="324"/>
      <c r="AC327" s="180"/>
      <c r="AD327" s="155"/>
      <c r="AE327" s="322"/>
      <c r="AF327" s="155"/>
      <c r="AG327" s="132"/>
    </row>
    <row r="328">
      <c r="A328" s="314"/>
      <c r="B328" s="695"/>
      <c r="C328" s="312"/>
      <c r="D328" s="717"/>
      <c r="E328" s="314"/>
      <c r="F328" s="736"/>
      <c r="G328" s="314"/>
      <c r="H328" s="314"/>
      <c r="I328" s="318"/>
      <c r="J328" s="314"/>
      <c r="K328" s="314"/>
      <c r="L328" s="315"/>
      <c r="M328" s="315"/>
      <c r="N328" s="315"/>
      <c r="O328" s="318"/>
      <c r="P328" s="318"/>
      <c r="Q328" s="315"/>
      <c r="R328" s="314"/>
      <c r="S328" s="314"/>
      <c r="T328" s="314"/>
      <c r="U328" s="314"/>
      <c r="V328" s="314"/>
      <c r="W328" s="318"/>
      <c r="X328" s="315"/>
      <c r="Y328" s="314"/>
      <c r="Z328" s="721"/>
      <c r="AA328" s="737"/>
      <c r="AB328" s="483"/>
      <c r="AD328" s="484"/>
      <c r="AE328" s="322"/>
      <c r="AF328" s="155"/>
      <c r="AG328" s="132"/>
    </row>
    <row r="329">
      <c r="A329" s="314"/>
      <c r="B329" s="695"/>
      <c r="C329" s="312"/>
      <c r="D329" s="717"/>
      <c r="E329" s="314"/>
      <c r="F329" s="736"/>
      <c r="G329" s="314"/>
      <c r="H329" s="314"/>
      <c r="I329" s="318"/>
      <c r="J329" s="314"/>
      <c r="K329" s="314"/>
      <c r="L329" s="315"/>
      <c r="M329" s="315"/>
      <c r="N329" s="315"/>
      <c r="O329" s="318"/>
      <c r="P329" s="318"/>
      <c r="Q329" s="315"/>
      <c r="R329" s="314"/>
      <c r="S329" s="314"/>
      <c r="T329" s="314"/>
      <c r="U329" s="314"/>
      <c r="V329" s="314"/>
      <c r="W329" s="318"/>
      <c r="X329" s="315"/>
      <c r="Y329" s="314"/>
      <c r="Z329" s="721"/>
      <c r="AA329" s="737"/>
      <c r="AB329" s="324"/>
      <c r="AC329" s="155"/>
      <c r="AD329" s="155"/>
      <c r="AE329" s="322"/>
      <c r="AF329" s="155"/>
      <c r="AG329" s="132"/>
    </row>
    <row r="330">
      <c r="A330" s="314"/>
      <c r="B330" s="695"/>
      <c r="C330" s="312"/>
      <c r="D330" s="717"/>
      <c r="E330" s="314"/>
      <c r="F330" s="736"/>
      <c r="G330" s="314"/>
      <c r="H330" s="314"/>
      <c r="I330" s="318"/>
      <c r="J330" s="314"/>
      <c r="K330" s="314"/>
      <c r="L330" s="315"/>
      <c r="M330" s="315"/>
      <c r="N330" s="315"/>
      <c r="O330" s="318"/>
      <c r="P330" s="318"/>
      <c r="Q330" s="315"/>
      <c r="R330" s="314"/>
      <c r="S330" s="314"/>
      <c r="T330" s="314"/>
      <c r="U330" s="314"/>
      <c r="V330" s="314"/>
      <c r="W330" s="318"/>
      <c r="X330" s="315"/>
      <c r="Y330" s="314"/>
      <c r="Z330" s="721"/>
      <c r="AA330" s="737"/>
      <c r="AB330" s="324"/>
      <c r="AC330" s="155"/>
      <c r="AD330" s="155"/>
      <c r="AE330" s="322"/>
      <c r="AF330" s="155"/>
      <c r="AG330" s="132"/>
    </row>
    <row r="331">
      <c r="A331" s="314"/>
      <c r="B331" s="695"/>
      <c r="C331" s="312"/>
      <c r="D331" s="717"/>
      <c r="E331" s="314"/>
      <c r="F331" s="736"/>
      <c r="G331" s="314"/>
      <c r="H331" s="314"/>
      <c r="I331" s="318"/>
      <c r="J331" s="314"/>
      <c r="K331" s="314"/>
      <c r="L331" s="315"/>
      <c r="M331" s="315"/>
      <c r="N331" s="315"/>
      <c r="O331" s="318"/>
      <c r="P331" s="318"/>
      <c r="Q331" s="315"/>
      <c r="R331" s="314"/>
      <c r="S331" s="314"/>
      <c r="T331" s="314"/>
      <c r="U331" s="314"/>
      <c r="V331" s="314"/>
      <c r="W331" s="318"/>
      <c r="X331" s="315"/>
      <c r="Y331" s="314"/>
      <c r="Z331" s="721"/>
      <c r="AA331" s="737"/>
      <c r="AB331" s="324"/>
      <c r="AC331" s="155"/>
      <c r="AD331" s="155"/>
      <c r="AE331" s="322"/>
      <c r="AF331" s="155"/>
      <c r="AG331" s="132"/>
    </row>
    <row r="332">
      <c r="A332" s="314"/>
      <c r="B332" s="695"/>
      <c r="C332" s="312"/>
      <c r="D332" s="717"/>
      <c r="E332" s="314"/>
      <c r="F332" s="736"/>
      <c r="G332" s="314"/>
      <c r="H332" s="314"/>
      <c r="I332" s="318"/>
      <c r="J332" s="314"/>
      <c r="K332" s="314"/>
      <c r="L332" s="315"/>
      <c r="M332" s="315"/>
      <c r="N332" s="315"/>
      <c r="O332" s="318"/>
      <c r="P332" s="318"/>
      <c r="Q332" s="315"/>
      <c r="R332" s="314"/>
      <c r="S332" s="314"/>
      <c r="T332" s="314"/>
      <c r="U332" s="314"/>
      <c r="V332" s="314"/>
      <c r="W332" s="318"/>
      <c r="X332" s="315"/>
      <c r="Y332" s="314"/>
      <c r="Z332" s="721"/>
      <c r="AA332" s="737"/>
      <c r="AB332" s="324"/>
      <c r="AC332" s="155"/>
      <c r="AD332" s="155"/>
      <c r="AE332" s="322"/>
      <c r="AF332" s="155"/>
      <c r="AG332" s="132"/>
    </row>
    <row r="333">
      <c r="A333" s="314"/>
      <c r="B333" s="695"/>
      <c r="C333" s="312"/>
      <c r="D333" s="717"/>
      <c r="E333" s="314"/>
      <c r="F333" s="736"/>
      <c r="G333" s="314"/>
      <c r="H333" s="314"/>
      <c r="I333" s="318"/>
      <c r="J333" s="314"/>
      <c r="K333" s="314"/>
      <c r="L333" s="315"/>
      <c r="M333" s="315"/>
      <c r="N333" s="315"/>
      <c r="O333" s="318"/>
      <c r="P333" s="318"/>
      <c r="Q333" s="315"/>
      <c r="R333" s="314"/>
      <c r="S333" s="314"/>
      <c r="T333" s="314"/>
      <c r="U333" s="314"/>
      <c r="V333" s="314"/>
      <c r="W333" s="318"/>
      <c r="X333" s="315"/>
      <c r="Y333" s="314"/>
      <c r="Z333" s="721"/>
      <c r="AA333" s="737"/>
      <c r="AB333" s="324"/>
      <c r="AC333" s="155"/>
      <c r="AD333" s="155"/>
      <c r="AE333" s="322"/>
      <c r="AF333" s="155"/>
      <c r="AG333" s="132"/>
    </row>
    <row r="334">
      <c r="A334" s="314"/>
      <c r="B334" s="695"/>
      <c r="C334" s="312"/>
      <c r="D334" s="717"/>
      <c r="E334" s="314"/>
      <c r="F334" s="736"/>
      <c r="G334" s="314"/>
      <c r="H334" s="314"/>
      <c r="I334" s="318"/>
      <c r="J334" s="314"/>
      <c r="K334" s="314"/>
      <c r="L334" s="315"/>
      <c r="M334" s="315"/>
      <c r="N334" s="315"/>
      <c r="O334" s="318"/>
      <c r="P334" s="318"/>
      <c r="Q334" s="315"/>
      <c r="R334" s="314"/>
      <c r="S334" s="314"/>
      <c r="T334" s="314"/>
      <c r="U334" s="314"/>
      <c r="V334" s="314"/>
      <c r="W334" s="318"/>
      <c r="X334" s="315"/>
      <c r="Y334" s="314"/>
      <c r="Z334" s="721"/>
      <c r="AA334" s="737"/>
      <c r="AB334" s="324"/>
      <c r="AC334" s="155"/>
      <c r="AD334" s="155"/>
      <c r="AE334" s="322"/>
      <c r="AF334" s="155"/>
      <c r="AG334" s="132"/>
    </row>
    <row r="335">
      <c r="A335" s="314"/>
      <c r="B335" s="695"/>
      <c r="C335" s="312"/>
      <c r="D335" s="717"/>
      <c r="E335" s="314"/>
      <c r="F335" s="736"/>
      <c r="G335" s="314"/>
      <c r="H335" s="314"/>
      <c r="I335" s="318"/>
      <c r="J335" s="314"/>
      <c r="K335" s="314"/>
      <c r="L335" s="315"/>
      <c r="M335" s="315"/>
      <c r="N335" s="315"/>
      <c r="O335" s="318"/>
      <c r="P335" s="318"/>
      <c r="Q335" s="315"/>
      <c r="R335" s="314"/>
      <c r="S335" s="314"/>
      <c r="T335" s="314"/>
      <c r="U335" s="314"/>
      <c r="V335" s="314"/>
      <c r="W335" s="318"/>
      <c r="X335" s="315"/>
      <c r="Y335" s="314"/>
      <c r="Z335" s="721"/>
      <c r="AA335" s="737"/>
      <c r="AB335" s="324"/>
      <c r="AC335" s="155"/>
      <c r="AD335" s="155"/>
      <c r="AE335" s="322"/>
      <c r="AF335" s="155"/>
      <c r="AG335" s="132"/>
    </row>
    <row r="336">
      <c r="A336" s="314"/>
      <c r="B336" s="695"/>
      <c r="C336" s="312"/>
      <c r="D336" s="717"/>
      <c r="E336" s="314"/>
      <c r="F336" s="736"/>
      <c r="G336" s="314"/>
      <c r="H336" s="314"/>
      <c r="I336" s="318"/>
      <c r="J336" s="314"/>
      <c r="K336" s="314"/>
      <c r="L336" s="315"/>
      <c r="M336" s="315"/>
      <c r="N336" s="315"/>
      <c r="O336" s="318"/>
      <c r="P336" s="318"/>
      <c r="Q336" s="315"/>
      <c r="R336" s="314"/>
      <c r="S336" s="314"/>
      <c r="T336" s="314"/>
      <c r="U336" s="314"/>
      <c r="V336" s="314"/>
      <c r="W336" s="318"/>
      <c r="X336" s="315"/>
      <c r="Y336" s="314"/>
      <c r="Z336" s="721"/>
      <c r="AA336" s="737"/>
      <c r="AB336" s="324"/>
      <c r="AC336" s="155"/>
      <c r="AD336" s="155"/>
      <c r="AE336" s="322"/>
      <c r="AF336" s="155"/>
      <c r="AG336" s="132"/>
    </row>
    <row r="337">
      <c r="A337" s="314"/>
      <c r="B337" s="695"/>
      <c r="C337" s="312"/>
      <c r="D337" s="717"/>
      <c r="E337" s="314"/>
      <c r="F337" s="736"/>
      <c r="G337" s="314"/>
      <c r="H337" s="314"/>
      <c r="I337" s="318"/>
      <c r="J337" s="314"/>
      <c r="K337" s="314"/>
      <c r="L337" s="315"/>
      <c r="M337" s="315"/>
      <c r="N337" s="315"/>
      <c r="O337" s="318"/>
      <c r="P337" s="318"/>
      <c r="Q337" s="315"/>
      <c r="R337" s="314"/>
      <c r="S337" s="314"/>
      <c r="T337" s="314"/>
      <c r="U337" s="314"/>
      <c r="V337" s="314"/>
      <c r="W337" s="318"/>
      <c r="X337" s="315"/>
      <c r="Y337" s="314"/>
      <c r="Z337" s="721"/>
      <c r="AA337" s="737"/>
      <c r="AB337" s="324"/>
      <c r="AC337" s="155"/>
      <c r="AD337" s="155"/>
      <c r="AE337" s="322"/>
      <c r="AF337" s="155"/>
      <c r="AG337" s="132"/>
    </row>
    <row r="338">
      <c r="A338" s="314"/>
      <c r="B338" s="695"/>
      <c r="C338" s="312"/>
      <c r="D338" s="717"/>
      <c r="E338" s="314"/>
      <c r="F338" s="736"/>
      <c r="G338" s="314"/>
      <c r="H338" s="314"/>
      <c r="I338" s="318"/>
      <c r="J338" s="314"/>
      <c r="K338" s="314"/>
      <c r="L338" s="315"/>
      <c r="M338" s="315"/>
      <c r="N338" s="315"/>
      <c r="O338" s="318"/>
      <c r="P338" s="318"/>
      <c r="Q338" s="315"/>
      <c r="R338" s="314"/>
      <c r="S338" s="314"/>
      <c r="T338" s="314"/>
      <c r="U338" s="314"/>
      <c r="V338" s="314"/>
      <c r="W338" s="318"/>
      <c r="X338" s="315"/>
      <c r="Y338" s="314"/>
      <c r="Z338" s="721"/>
      <c r="AA338" s="737"/>
      <c r="AB338" s="324"/>
      <c r="AC338" s="155"/>
      <c r="AD338" s="155"/>
      <c r="AE338" s="322"/>
      <c r="AF338" s="155"/>
      <c r="AG338" s="132"/>
    </row>
    <row r="339">
      <c r="A339" s="314"/>
      <c r="B339" s="695"/>
      <c r="C339" s="312"/>
      <c r="D339" s="717"/>
      <c r="E339" s="314"/>
      <c r="F339" s="736"/>
      <c r="G339" s="314"/>
      <c r="H339" s="314"/>
      <c r="I339" s="318"/>
      <c r="J339" s="314"/>
      <c r="K339" s="314"/>
      <c r="L339" s="315"/>
      <c r="M339" s="315"/>
      <c r="N339" s="315"/>
      <c r="O339" s="318"/>
      <c r="P339" s="318"/>
      <c r="Q339" s="315"/>
      <c r="R339" s="314"/>
      <c r="S339" s="314"/>
      <c r="T339" s="314"/>
      <c r="U339" s="314"/>
      <c r="V339" s="314"/>
      <c r="W339" s="318"/>
      <c r="X339" s="315"/>
      <c r="Y339" s="314"/>
      <c r="Z339" s="721"/>
      <c r="AA339" s="737"/>
      <c r="AB339" s="324"/>
      <c r="AC339" s="155"/>
      <c r="AD339" s="155"/>
      <c r="AE339" s="322"/>
      <c r="AF339" s="155"/>
      <c r="AG339" s="132"/>
    </row>
    <row r="340">
      <c r="A340" s="314"/>
      <c r="B340" s="695"/>
      <c r="C340" s="312"/>
      <c r="D340" s="717"/>
      <c r="E340" s="314"/>
      <c r="F340" s="736"/>
      <c r="G340" s="314"/>
      <c r="H340" s="314"/>
      <c r="I340" s="318"/>
      <c r="J340" s="314"/>
      <c r="K340" s="314"/>
      <c r="L340" s="315"/>
      <c r="M340" s="315"/>
      <c r="N340" s="315"/>
      <c r="O340" s="318"/>
      <c r="P340" s="318"/>
      <c r="Q340" s="315"/>
      <c r="R340" s="314"/>
      <c r="S340" s="314"/>
      <c r="T340" s="314"/>
      <c r="U340" s="314"/>
      <c r="V340" s="314"/>
      <c r="W340" s="318"/>
      <c r="X340" s="315"/>
      <c r="Y340" s="314"/>
      <c r="Z340" s="721"/>
      <c r="AA340" s="737"/>
      <c r="AB340" s="324"/>
      <c r="AC340" s="155"/>
      <c r="AD340" s="155"/>
      <c r="AE340" s="322"/>
      <c r="AF340" s="155"/>
      <c r="AG340" s="132"/>
    </row>
    <row r="341">
      <c r="A341" s="314"/>
      <c r="B341" s="695"/>
      <c r="C341" s="312"/>
      <c r="D341" s="717"/>
      <c r="E341" s="314"/>
      <c r="F341" s="736"/>
      <c r="G341" s="314"/>
      <c r="H341" s="314"/>
      <c r="I341" s="318"/>
      <c r="J341" s="314"/>
      <c r="K341" s="314"/>
      <c r="L341" s="315"/>
      <c r="M341" s="315"/>
      <c r="N341" s="315"/>
      <c r="O341" s="318"/>
      <c r="P341" s="318"/>
      <c r="Q341" s="315"/>
      <c r="R341" s="314"/>
      <c r="S341" s="314"/>
      <c r="T341" s="314"/>
      <c r="U341" s="314"/>
      <c r="V341" s="314"/>
      <c r="W341" s="318"/>
      <c r="X341" s="315"/>
      <c r="Y341" s="314"/>
      <c r="Z341" s="721"/>
      <c r="AA341" s="737"/>
      <c r="AB341" s="324"/>
      <c r="AC341" s="155"/>
      <c r="AD341" s="155"/>
      <c r="AE341" s="322"/>
      <c r="AF341" s="155"/>
      <c r="AG341" s="132"/>
    </row>
    <row r="342">
      <c r="A342" s="314"/>
      <c r="B342" s="695"/>
      <c r="C342" s="312"/>
      <c r="D342" s="717"/>
      <c r="E342" s="314"/>
      <c r="F342" s="736"/>
      <c r="G342" s="314"/>
      <c r="H342" s="314"/>
      <c r="I342" s="318"/>
      <c r="J342" s="314"/>
      <c r="K342" s="314"/>
      <c r="L342" s="315"/>
      <c r="M342" s="315"/>
      <c r="N342" s="315"/>
      <c r="O342" s="318"/>
      <c r="P342" s="318"/>
      <c r="Q342" s="315"/>
      <c r="R342" s="314"/>
      <c r="S342" s="314"/>
      <c r="T342" s="314"/>
      <c r="U342" s="314"/>
      <c r="V342" s="314"/>
      <c r="W342" s="318"/>
      <c r="X342" s="315"/>
      <c r="Y342" s="314"/>
      <c r="Z342" s="721"/>
      <c r="AA342" s="737"/>
      <c r="AB342" s="324"/>
      <c r="AC342" s="155"/>
      <c r="AD342" s="155"/>
      <c r="AE342" s="322"/>
      <c r="AF342" s="155"/>
      <c r="AG342" s="132"/>
    </row>
    <row r="343">
      <c r="A343" s="314"/>
      <c r="B343" s="695"/>
      <c r="C343" s="312"/>
      <c r="D343" s="717"/>
      <c r="E343" s="314"/>
      <c r="F343" s="736"/>
      <c r="G343" s="314"/>
      <c r="H343" s="314"/>
      <c r="I343" s="318"/>
      <c r="J343" s="314"/>
      <c r="K343" s="314"/>
      <c r="L343" s="315"/>
      <c r="M343" s="315"/>
      <c r="N343" s="315"/>
      <c r="O343" s="318"/>
      <c r="P343" s="318"/>
      <c r="Q343" s="315"/>
      <c r="R343" s="314"/>
      <c r="S343" s="314"/>
      <c r="T343" s="314"/>
      <c r="U343" s="314"/>
      <c r="V343" s="314"/>
      <c r="W343" s="318"/>
      <c r="X343" s="315"/>
      <c r="Y343" s="314"/>
      <c r="Z343" s="721"/>
      <c r="AA343" s="737"/>
      <c r="AB343" s="324"/>
      <c r="AC343" s="155"/>
      <c r="AD343" s="155"/>
      <c r="AE343" s="322"/>
      <c r="AF343" s="155"/>
      <c r="AG343" s="132"/>
    </row>
    <row r="344">
      <c r="A344" s="314"/>
      <c r="B344" s="695"/>
      <c r="C344" s="312"/>
      <c r="D344" s="717"/>
      <c r="E344" s="314"/>
      <c r="F344" s="736"/>
      <c r="G344" s="314"/>
      <c r="H344" s="314"/>
      <c r="I344" s="318"/>
      <c r="J344" s="314"/>
      <c r="K344" s="314"/>
      <c r="L344" s="315"/>
      <c r="M344" s="315"/>
      <c r="N344" s="315"/>
      <c r="O344" s="318"/>
      <c r="P344" s="318"/>
      <c r="Q344" s="315"/>
      <c r="R344" s="314"/>
      <c r="S344" s="314"/>
      <c r="T344" s="314"/>
      <c r="U344" s="314"/>
      <c r="V344" s="314"/>
      <c r="W344" s="318"/>
      <c r="X344" s="315"/>
      <c r="Y344" s="314"/>
      <c r="Z344" s="721"/>
      <c r="AA344" s="737"/>
      <c r="AB344" s="324"/>
      <c r="AC344" s="155"/>
      <c r="AD344" s="155"/>
      <c r="AE344" s="322"/>
      <c r="AF344" s="155"/>
      <c r="AG344" s="132"/>
    </row>
    <row r="345">
      <c r="A345" s="314"/>
      <c r="B345" s="695"/>
      <c r="C345" s="312"/>
      <c r="D345" s="717"/>
      <c r="E345" s="314"/>
      <c r="F345" s="736"/>
      <c r="G345" s="314"/>
      <c r="H345" s="314"/>
      <c r="I345" s="318"/>
      <c r="J345" s="314"/>
      <c r="K345" s="314"/>
      <c r="L345" s="315"/>
      <c r="M345" s="315"/>
      <c r="N345" s="315"/>
      <c r="O345" s="318"/>
      <c r="P345" s="318"/>
      <c r="Q345" s="315"/>
      <c r="R345" s="314"/>
      <c r="S345" s="314"/>
      <c r="T345" s="314"/>
      <c r="U345" s="314"/>
      <c r="V345" s="314"/>
      <c r="W345" s="318"/>
      <c r="X345" s="315"/>
      <c r="Y345" s="314"/>
      <c r="Z345" s="721"/>
      <c r="AA345" s="737"/>
      <c r="AB345" s="324"/>
      <c r="AC345" s="155"/>
      <c r="AD345" s="155"/>
      <c r="AE345" s="322"/>
      <c r="AF345" s="155"/>
      <c r="AG345" s="132"/>
    </row>
    <row r="346">
      <c r="A346" s="314"/>
      <c r="B346" s="695"/>
      <c r="C346" s="312"/>
      <c r="D346" s="717"/>
      <c r="E346" s="314"/>
      <c r="F346" s="736"/>
      <c r="G346" s="314"/>
      <c r="H346" s="314"/>
      <c r="I346" s="318"/>
      <c r="J346" s="314"/>
      <c r="K346" s="314"/>
      <c r="L346" s="315"/>
      <c r="M346" s="315"/>
      <c r="N346" s="315"/>
      <c r="O346" s="318"/>
      <c r="P346" s="318"/>
      <c r="Q346" s="315"/>
      <c r="R346" s="314"/>
      <c r="S346" s="314"/>
      <c r="T346" s="314"/>
      <c r="U346" s="314"/>
      <c r="V346" s="314"/>
      <c r="W346" s="318"/>
      <c r="X346" s="315"/>
      <c r="Y346" s="314"/>
      <c r="Z346" s="721"/>
      <c r="AA346" s="737"/>
      <c r="AB346" s="324"/>
      <c r="AC346" s="155"/>
      <c r="AD346" s="155"/>
      <c r="AE346" s="322"/>
      <c r="AF346" s="155"/>
      <c r="AG346" s="132"/>
    </row>
    <row r="347">
      <c r="A347" s="314"/>
      <c r="B347" s="695"/>
      <c r="C347" s="312"/>
      <c r="D347" s="717"/>
      <c r="E347" s="314"/>
      <c r="F347" s="736"/>
      <c r="G347" s="314"/>
      <c r="H347" s="314"/>
      <c r="I347" s="318"/>
      <c r="J347" s="314"/>
      <c r="K347" s="314"/>
      <c r="L347" s="315"/>
      <c r="M347" s="315"/>
      <c r="N347" s="315"/>
      <c r="O347" s="318"/>
      <c r="P347" s="318"/>
      <c r="Q347" s="315"/>
      <c r="R347" s="314"/>
      <c r="S347" s="314"/>
      <c r="T347" s="314"/>
      <c r="U347" s="314"/>
      <c r="V347" s="314"/>
      <c r="W347" s="318"/>
      <c r="X347" s="315"/>
      <c r="Y347" s="314"/>
      <c r="Z347" s="721"/>
      <c r="AA347" s="737"/>
      <c r="AB347" s="324"/>
      <c r="AC347" s="155"/>
      <c r="AD347" s="155"/>
      <c r="AE347" s="322"/>
      <c r="AF347" s="155"/>
      <c r="AG347" s="132"/>
    </row>
    <row r="348">
      <c r="A348" s="314"/>
      <c r="B348" s="695"/>
      <c r="C348" s="312"/>
      <c r="D348" s="717"/>
      <c r="E348" s="314"/>
      <c r="F348" s="736"/>
      <c r="G348" s="314"/>
      <c r="H348" s="314"/>
      <c r="I348" s="318"/>
      <c r="J348" s="314"/>
      <c r="K348" s="314"/>
      <c r="L348" s="315"/>
      <c r="M348" s="315"/>
      <c r="N348" s="315"/>
      <c r="O348" s="318"/>
      <c r="P348" s="318"/>
      <c r="Q348" s="315"/>
      <c r="R348" s="314"/>
      <c r="S348" s="314"/>
      <c r="T348" s="314"/>
      <c r="U348" s="314"/>
      <c r="V348" s="314"/>
      <c r="W348" s="318"/>
      <c r="X348" s="315"/>
      <c r="Y348" s="314"/>
      <c r="Z348" s="721"/>
      <c r="AA348" s="737"/>
      <c r="AB348" s="324"/>
      <c r="AC348" s="155"/>
      <c r="AD348" s="155"/>
      <c r="AE348" s="322"/>
      <c r="AF348" s="155"/>
      <c r="AG348" s="132"/>
    </row>
    <row r="349">
      <c r="A349" s="314"/>
      <c r="B349" s="695"/>
      <c r="C349" s="312"/>
      <c r="D349" s="717"/>
      <c r="E349" s="314"/>
      <c r="F349" s="736"/>
      <c r="G349" s="314"/>
      <c r="H349" s="314"/>
      <c r="I349" s="318"/>
      <c r="J349" s="314"/>
      <c r="K349" s="314"/>
      <c r="L349" s="315"/>
      <c r="M349" s="315"/>
      <c r="N349" s="315"/>
      <c r="O349" s="318"/>
      <c r="P349" s="318"/>
      <c r="Q349" s="315"/>
      <c r="R349" s="314"/>
      <c r="S349" s="314"/>
      <c r="T349" s="314"/>
      <c r="U349" s="314"/>
      <c r="V349" s="314"/>
      <c r="W349" s="318"/>
      <c r="X349" s="315"/>
      <c r="Y349" s="314"/>
      <c r="Z349" s="721"/>
      <c r="AA349" s="737"/>
      <c r="AB349" s="324"/>
      <c r="AC349" s="155"/>
      <c r="AD349" s="155"/>
      <c r="AE349" s="322"/>
      <c r="AF349" s="155"/>
      <c r="AG349" s="132"/>
    </row>
    <row r="350">
      <c r="A350" s="314"/>
      <c r="B350" s="695"/>
      <c r="C350" s="312"/>
      <c r="D350" s="717"/>
      <c r="E350" s="314"/>
      <c r="F350" s="736"/>
      <c r="G350" s="314"/>
      <c r="H350" s="314"/>
      <c r="I350" s="318"/>
      <c r="J350" s="314"/>
      <c r="K350" s="314"/>
      <c r="L350" s="315"/>
      <c r="M350" s="315"/>
      <c r="N350" s="315"/>
      <c r="O350" s="318"/>
      <c r="P350" s="318"/>
      <c r="Q350" s="315"/>
      <c r="R350" s="314"/>
      <c r="S350" s="314"/>
      <c r="T350" s="314"/>
      <c r="U350" s="314"/>
      <c r="V350" s="314"/>
      <c r="W350" s="318"/>
      <c r="X350" s="315"/>
      <c r="Y350" s="314"/>
      <c r="Z350" s="721"/>
      <c r="AA350" s="737"/>
      <c r="AB350" s="324"/>
      <c r="AC350" s="155"/>
      <c r="AD350" s="155"/>
      <c r="AE350" s="322"/>
      <c r="AF350" s="155"/>
      <c r="AG350" s="132"/>
    </row>
    <row r="351">
      <c r="A351" s="314"/>
      <c r="B351" s="695"/>
      <c r="C351" s="312"/>
      <c r="D351" s="717"/>
      <c r="E351" s="314"/>
      <c r="F351" s="736"/>
      <c r="G351" s="314"/>
      <c r="H351" s="314"/>
      <c r="I351" s="318"/>
      <c r="J351" s="314"/>
      <c r="K351" s="314"/>
      <c r="L351" s="315"/>
      <c r="M351" s="315"/>
      <c r="N351" s="315"/>
      <c r="O351" s="318"/>
      <c r="P351" s="318"/>
      <c r="Q351" s="315"/>
      <c r="R351" s="314"/>
      <c r="S351" s="314"/>
      <c r="T351" s="314"/>
      <c r="U351" s="314"/>
      <c r="V351" s="314"/>
      <c r="W351" s="318"/>
      <c r="X351" s="315"/>
      <c r="Y351" s="314"/>
      <c r="Z351" s="721"/>
      <c r="AA351" s="737"/>
      <c r="AB351" s="324"/>
      <c r="AC351" s="155"/>
      <c r="AD351" s="155"/>
      <c r="AE351" s="322"/>
      <c r="AF351" s="155"/>
      <c r="AG351" s="132"/>
    </row>
    <row r="352">
      <c r="A352" s="314"/>
      <c r="B352" s="695"/>
      <c r="C352" s="312"/>
      <c r="D352" s="717"/>
      <c r="E352" s="314"/>
      <c r="F352" s="736"/>
      <c r="G352" s="314"/>
      <c r="H352" s="314"/>
      <c r="I352" s="318"/>
      <c r="J352" s="314"/>
      <c r="K352" s="314"/>
      <c r="L352" s="315"/>
      <c r="M352" s="315"/>
      <c r="N352" s="315"/>
      <c r="O352" s="318"/>
      <c r="P352" s="318"/>
      <c r="Q352" s="315"/>
      <c r="R352" s="314"/>
      <c r="S352" s="314"/>
      <c r="T352" s="314"/>
      <c r="U352" s="314"/>
      <c r="V352" s="314"/>
      <c r="W352" s="318"/>
      <c r="X352" s="315"/>
      <c r="Y352" s="314"/>
      <c r="Z352" s="721"/>
      <c r="AA352" s="737"/>
      <c r="AB352" s="324"/>
      <c r="AC352" s="155"/>
      <c r="AD352" s="155"/>
      <c r="AE352" s="322"/>
      <c r="AF352" s="155"/>
      <c r="AG352" s="132"/>
    </row>
    <row r="353">
      <c r="A353" s="314"/>
      <c r="B353" s="695"/>
      <c r="C353" s="312"/>
      <c r="D353" s="717"/>
      <c r="E353" s="314"/>
      <c r="F353" s="736"/>
      <c r="G353" s="314"/>
      <c r="H353" s="314"/>
      <c r="I353" s="318"/>
      <c r="J353" s="314"/>
      <c r="K353" s="314"/>
      <c r="L353" s="315"/>
      <c r="M353" s="315"/>
      <c r="N353" s="315"/>
      <c r="O353" s="318"/>
      <c r="P353" s="318"/>
      <c r="Q353" s="315"/>
      <c r="R353" s="314"/>
      <c r="S353" s="314"/>
      <c r="T353" s="314"/>
      <c r="U353" s="314"/>
      <c r="V353" s="314"/>
      <c r="W353" s="318"/>
      <c r="X353" s="315"/>
      <c r="Y353" s="314"/>
      <c r="Z353" s="721"/>
      <c r="AA353" s="737"/>
      <c r="AB353" s="324"/>
      <c r="AC353" s="155"/>
      <c r="AD353" s="155"/>
      <c r="AE353" s="322"/>
      <c r="AF353" s="155"/>
      <c r="AG353" s="132"/>
    </row>
    <row r="354">
      <c r="A354" s="314"/>
      <c r="B354" s="695"/>
      <c r="C354" s="312"/>
      <c r="D354" s="717"/>
      <c r="E354" s="314"/>
      <c r="F354" s="736"/>
      <c r="G354" s="314"/>
      <c r="H354" s="314"/>
      <c r="I354" s="318"/>
      <c r="J354" s="314"/>
      <c r="K354" s="314"/>
      <c r="L354" s="315"/>
      <c r="M354" s="315"/>
      <c r="N354" s="315"/>
      <c r="O354" s="318"/>
      <c r="P354" s="318"/>
      <c r="Q354" s="315"/>
      <c r="R354" s="314"/>
      <c r="S354" s="314"/>
      <c r="T354" s="314"/>
      <c r="U354" s="314"/>
      <c r="V354" s="314"/>
      <c r="W354" s="318"/>
      <c r="X354" s="315"/>
      <c r="Y354" s="314"/>
      <c r="Z354" s="721"/>
      <c r="AA354" s="737"/>
      <c r="AB354" s="324"/>
      <c r="AC354" s="155"/>
      <c r="AD354" s="155"/>
      <c r="AE354" s="322"/>
      <c r="AF354" s="155"/>
      <c r="AG354" s="132"/>
    </row>
    <row r="355">
      <c r="A355" s="314"/>
      <c r="B355" s="695"/>
      <c r="C355" s="312"/>
      <c r="D355" s="717"/>
      <c r="E355" s="314"/>
      <c r="F355" s="736"/>
      <c r="G355" s="314"/>
      <c r="H355" s="314"/>
      <c r="I355" s="318"/>
      <c r="J355" s="314"/>
      <c r="K355" s="314"/>
      <c r="L355" s="315"/>
      <c r="M355" s="315"/>
      <c r="N355" s="315"/>
      <c r="O355" s="318"/>
      <c r="P355" s="318"/>
      <c r="Q355" s="315"/>
      <c r="R355" s="314"/>
      <c r="S355" s="314"/>
      <c r="T355" s="314"/>
      <c r="U355" s="314"/>
      <c r="V355" s="314"/>
      <c r="W355" s="318"/>
      <c r="X355" s="315"/>
      <c r="Y355" s="314"/>
      <c r="Z355" s="721"/>
      <c r="AA355" s="737"/>
      <c r="AB355" s="324"/>
      <c r="AC355" s="155"/>
      <c r="AD355" s="155"/>
      <c r="AE355" s="322"/>
      <c r="AF355" s="155"/>
      <c r="AG355" s="132"/>
    </row>
    <row r="356">
      <c r="A356" s="314"/>
      <c r="B356" s="695"/>
      <c r="C356" s="312"/>
      <c r="D356" s="717"/>
      <c r="E356" s="314"/>
      <c r="F356" s="736"/>
      <c r="G356" s="314"/>
      <c r="H356" s="314"/>
      <c r="I356" s="318"/>
      <c r="J356" s="314"/>
      <c r="K356" s="314"/>
      <c r="L356" s="315"/>
      <c r="M356" s="315"/>
      <c r="N356" s="315"/>
      <c r="O356" s="318"/>
      <c r="P356" s="318"/>
      <c r="Q356" s="315"/>
      <c r="R356" s="314"/>
      <c r="S356" s="314"/>
      <c r="T356" s="314"/>
      <c r="U356" s="314"/>
      <c r="V356" s="314"/>
      <c r="W356" s="318"/>
      <c r="X356" s="315"/>
      <c r="Y356" s="314"/>
      <c r="Z356" s="721"/>
      <c r="AA356" s="737"/>
      <c r="AB356" s="324"/>
      <c r="AC356" s="155"/>
      <c r="AD356" s="155"/>
      <c r="AE356" s="322"/>
      <c r="AF356" s="155"/>
      <c r="AG356" s="132"/>
    </row>
    <row r="357">
      <c r="A357" s="314"/>
      <c r="B357" s="695"/>
      <c r="C357" s="312"/>
      <c r="D357" s="717"/>
      <c r="E357" s="314"/>
      <c r="F357" s="736"/>
      <c r="G357" s="314"/>
      <c r="H357" s="314"/>
      <c r="I357" s="318"/>
      <c r="J357" s="314"/>
      <c r="K357" s="314"/>
      <c r="L357" s="315"/>
      <c r="M357" s="315"/>
      <c r="N357" s="315"/>
      <c r="O357" s="318"/>
      <c r="P357" s="318"/>
      <c r="Q357" s="315"/>
      <c r="R357" s="314"/>
      <c r="S357" s="314"/>
      <c r="T357" s="314"/>
      <c r="U357" s="314"/>
      <c r="V357" s="314"/>
      <c r="W357" s="318"/>
      <c r="X357" s="315"/>
      <c r="Y357" s="314"/>
      <c r="Z357" s="721"/>
      <c r="AA357" s="737"/>
      <c r="AB357" s="324"/>
      <c r="AC357" s="155"/>
      <c r="AD357" s="155"/>
      <c r="AE357" s="322"/>
      <c r="AF357" s="155"/>
      <c r="AG357" s="132"/>
    </row>
    <row r="358">
      <c r="A358" s="314"/>
      <c r="B358" s="695"/>
      <c r="C358" s="312"/>
      <c r="D358" s="717"/>
      <c r="E358" s="314"/>
      <c r="F358" s="736"/>
      <c r="G358" s="314"/>
      <c r="H358" s="314"/>
      <c r="I358" s="318"/>
      <c r="J358" s="314"/>
      <c r="K358" s="314"/>
      <c r="L358" s="315"/>
      <c r="M358" s="315"/>
      <c r="N358" s="315"/>
      <c r="O358" s="318"/>
      <c r="P358" s="318"/>
      <c r="Q358" s="315"/>
      <c r="R358" s="314"/>
      <c r="S358" s="314"/>
      <c r="T358" s="314"/>
      <c r="U358" s="314"/>
      <c r="V358" s="314"/>
      <c r="W358" s="318"/>
      <c r="X358" s="315"/>
      <c r="Y358" s="314"/>
      <c r="Z358" s="721"/>
      <c r="AA358" s="737"/>
      <c r="AB358" s="324"/>
      <c r="AC358" s="155"/>
      <c r="AD358" s="155"/>
      <c r="AE358" s="322"/>
      <c r="AF358" s="155"/>
      <c r="AG358" s="132"/>
    </row>
    <row r="359">
      <c r="A359" s="314"/>
      <c r="B359" s="695"/>
      <c r="C359" s="312"/>
      <c r="D359" s="717"/>
      <c r="E359" s="314"/>
      <c r="F359" s="736"/>
      <c r="G359" s="314"/>
      <c r="H359" s="314"/>
      <c r="I359" s="318"/>
      <c r="J359" s="314"/>
      <c r="K359" s="314"/>
      <c r="L359" s="315"/>
      <c r="M359" s="315"/>
      <c r="N359" s="315"/>
      <c r="O359" s="318"/>
      <c r="P359" s="318"/>
      <c r="Q359" s="315"/>
      <c r="R359" s="314"/>
      <c r="S359" s="314"/>
      <c r="T359" s="314"/>
      <c r="U359" s="314"/>
      <c r="V359" s="314"/>
      <c r="W359" s="318"/>
      <c r="X359" s="315"/>
      <c r="Y359" s="314"/>
      <c r="Z359" s="721"/>
      <c r="AA359" s="737"/>
      <c r="AB359" s="324"/>
      <c r="AC359" s="155"/>
      <c r="AD359" s="155"/>
      <c r="AE359" s="322"/>
      <c r="AF359" s="155"/>
      <c r="AG359" s="132"/>
    </row>
    <row r="360">
      <c r="A360" s="314"/>
      <c r="B360" s="695"/>
      <c r="C360" s="312"/>
      <c r="D360" s="717"/>
      <c r="E360" s="314"/>
      <c r="F360" s="736"/>
      <c r="G360" s="314"/>
      <c r="H360" s="314"/>
      <c r="I360" s="318"/>
      <c r="J360" s="314"/>
      <c r="K360" s="314"/>
      <c r="L360" s="315"/>
      <c r="M360" s="315"/>
      <c r="N360" s="315"/>
      <c r="O360" s="318"/>
      <c r="P360" s="318"/>
      <c r="Q360" s="315"/>
      <c r="R360" s="314"/>
      <c r="S360" s="314"/>
      <c r="T360" s="314"/>
      <c r="U360" s="314"/>
      <c r="V360" s="314"/>
      <c r="W360" s="318"/>
      <c r="X360" s="315"/>
      <c r="Y360" s="314"/>
      <c r="Z360" s="721"/>
      <c r="AA360" s="737"/>
      <c r="AB360" s="324"/>
      <c r="AC360" s="155"/>
      <c r="AD360" s="155"/>
      <c r="AE360" s="322"/>
      <c r="AF360" s="155"/>
      <c r="AG360" s="132"/>
    </row>
    <row r="361">
      <c r="A361" s="314"/>
      <c r="B361" s="695"/>
      <c r="C361" s="312"/>
      <c r="D361" s="717"/>
      <c r="E361" s="314"/>
      <c r="F361" s="736"/>
      <c r="G361" s="314"/>
      <c r="H361" s="314"/>
      <c r="I361" s="318"/>
      <c r="J361" s="314"/>
      <c r="K361" s="314"/>
      <c r="L361" s="315"/>
      <c r="M361" s="315"/>
      <c r="N361" s="315"/>
      <c r="O361" s="318"/>
      <c r="P361" s="318"/>
      <c r="Q361" s="315"/>
      <c r="R361" s="314"/>
      <c r="S361" s="314"/>
      <c r="T361" s="314"/>
      <c r="U361" s="314"/>
      <c r="V361" s="314"/>
      <c r="W361" s="318"/>
      <c r="X361" s="315"/>
      <c r="Y361" s="314"/>
      <c r="Z361" s="721"/>
      <c r="AA361" s="737"/>
      <c r="AB361" s="324"/>
      <c r="AC361" s="155"/>
      <c r="AD361" s="155"/>
      <c r="AE361" s="322"/>
      <c r="AF361" s="155"/>
      <c r="AG361" s="132"/>
    </row>
    <row r="362">
      <c r="A362" s="314"/>
      <c r="B362" s="695"/>
      <c r="C362" s="312"/>
      <c r="D362" s="717"/>
      <c r="E362" s="314"/>
      <c r="F362" s="736"/>
      <c r="G362" s="314"/>
      <c r="H362" s="314"/>
      <c r="I362" s="318"/>
      <c r="J362" s="314"/>
      <c r="K362" s="314"/>
      <c r="L362" s="315"/>
      <c r="M362" s="315"/>
      <c r="N362" s="315"/>
      <c r="O362" s="318"/>
      <c r="P362" s="318"/>
      <c r="Q362" s="315"/>
      <c r="R362" s="314"/>
      <c r="S362" s="314"/>
      <c r="T362" s="314"/>
      <c r="U362" s="314"/>
      <c r="V362" s="314"/>
      <c r="W362" s="318"/>
      <c r="X362" s="315"/>
      <c r="Y362" s="314"/>
      <c r="Z362" s="721"/>
      <c r="AA362" s="737"/>
      <c r="AB362" s="324"/>
      <c r="AC362" s="155"/>
      <c r="AD362" s="155"/>
      <c r="AE362" s="322"/>
      <c r="AF362" s="155"/>
      <c r="AG362" s="132"/>
    </row>
    <row r="363">
      <c r="A363" s="314"/>
      <c r="B363" s="695"/>
      <c r="C363" s="312"/>
      <c r="D363" s="717"/>
      <c r="E363" s="314"/>
      <c r="F363" s="736"/>
      <c r="G363" s="314"/>
      <c r="H363" s="314"/>
      <c r="I363" s="318"/>
      <c r="J363" s="314"/>
      <c r="K363" s="314"/>
      <c r="L363" s="315"/>
      <c r="M363" s="315"/>
      <c r="N363" s="315"/>
      <c r="O363" s="318"/>
      <c r="P363" s="318"/>
      <c r="Q363" s="315"/>
      <c r="R363" s="314"/>
      <c r="S363" s="314"/>
      <c r="T363" s="314"/>
      <c r="U363" s="314"/>
      <c r="V363" s="314"/>
      <c r="W363" s="318"/>
      <c r="X363" s="315"/>
      <c r="Y363" s="314"/>
      <c r="Z363" s="721"/>
      <c r="AA363" s="737"/>
      <c r="AB363" s="324"/>
      <c r="AC363" s="155"/>
      <c r="AD363" s="155"/>
      <c r="AE363" s="322"/>
      <c r="AF363" s="155"/>
      <c r="AG363" s="132"/>
    </row>
    <row r="364">
      <c r="A364" s="314"/>
      <c r="B364" s="695"/>
      <c r="C364" s="312"/>
      <c r="D364" s="717"/>
      <c r="E364" s="314"/>
      <c r="F364" s="736"/>
      <c r="G364" s="314"/>
      <c r="H364" s="314"/>
      <c r="I364" s="318"/>
      <c r="J364" s="314"/>
      <c r="K364" s="314"/>
      <c r="L364" s="315"/>
      <c r="M364" s="315"/>
      <c r="N364" s="315"/>
      <c r="O364" s="318"/>
      <c r="P364" s="318"/>
      <c r="Q364" s="315"/>
      <c r="R364" s="314"/>
      <c r="S364" s="314"/>
      <c r="T364" s="314"/>
      <c r="U364" s="314"/>
      <c r="V364" s="314"/>
      <c r="W364" s="318"/>
      <c r="X364" s="315"/>
      <c r="Y364" s="314"/>
      <c r="Z364" s="721"/>
      <c r="AA364" s="737"/>
      <c r="AB364" s="324"/>
      <c r="AC364" s="155"/>
      <c r="AD364" s="155"/>
      <c r="AE364" s="322"/>
      <c r="AF364" s="155"/>
      <c r="AG364" s="132"/>
    </row>
    <row r="365">
      <c r="A365" s="314"/>
      <c r="B365" s="695"/>
      <c r="C365" s="312"/>
      <c r="D365" s="717"/>
      <c r="E365" s="314"/>
      <c r="F365" s="736"/>
      <c r="G365" s="314"/>
      <c r="H365" s="314"/>
      <c r="I365" s="318"/>
      <c r="J365" s="314"/>
      <c r="K365" s="314"/>
      <c r="L365" s="315"/>
      <c r="M365" s="315"/>
      <c r="N365" s="315"/>
      <c r="O365" s="318"/>
      <c r="P365" s="318"/>
      <c r="Q365" s="315"/>
      <c r="R365" s="314"/>
      <c r="S365" s="314"/>
      <c r="T365" s="314"/>
      <c r="U365" s="314"/>
      <c r="V365" s="314"/>
      <c r="W365" s="318"/>
      <c r="X365" s="315"/>
      <c r="Y365" s="314"/>
      <c r="Z365" s="721"/>
      <c r="AA365" s="737"/>
      <c r="AB365" s="324"/>
      <c r="AC365" s="155"/>
      <c r="AD365" s="155"/>
      <c r="AE365" s="322"/>
      <c r="AF365" s="155"/>
      <c r="AG365" s="132"/>
    </row>
    <row r="366">
      <c r="A366" s="314"/>
      <c r="B366" s="695"/>
      <c r="C366" s="312"/>
      <c r="D366" s="717"/>
      <c r="E366" s="314"/>
      <c r="F366" s="736"/>
      <c r="G366" s="314"/>
      <c r="H366" s="314"/>
      <c r="I366" s="318"/>
      <c r="J366" s="314"/>
      <c r="K366" s="314"/>
      <c r="L366" s="315"/>
      <c r="M366" s="315"/>
      <c r="N366" s="315"/>
      <c r="O366" s="318"/>
      <c r="P366" s="318"/>
      <c r="Q366" s="315"/>
      <c r="R366" s="314"/>
      <c r="S366" s="314"/>
      <c r="T366" s="314"/>
      <c r="U366" s="314"/>
      <c r="V366" s="314"/>
      <c r="W366" s="318"/>
      <c r="X366" s="315"/>
      <c r="Y366" s="314"/>
      <c r="Z366" s="721"/>
      <c r="AA366" s="737"/>
      <c r="AB366" s="324"/>
      <c r="AC366" s="155"/>
      <c r="AD366" s="155"/>
      <c r="AE366" s="322"/>
      <c r="AF366" s="155"/>
      <c r="AG366" s="132"/>
    </row>
    <row r="367">
      <c r="A367" s="314"/>
      <c r="B367" s="695"/>
      <c r="C367" s="312"/>
      <c r="D367" s="717"/>
      <c r="E367" s="314"/>
      <c r="F367" s="736"/>
      <c r="G367" s="314"/>
      <c r="H367" s="314"/>
      <c r="I367" s="318"/>
      <c r="J367" s="314"/>
      <c r="K367" s="314"/>
      <c r="L367" s="315"/>
      <c r="M367" s="315"/>
      <c r="N367" s="315"/>
      <c r="O367" s="318"/>
      <c r="P367" s="318"/>
      <c r="Q367" s="315"/>
      <c r="R367" s="314"/>
      <c r="S367" s="314"/>
      <c r="T367" s="314"/>
      <c r="U367" s="314"/>
      <c r="V367" s="314"/>
      <c r="W367" s="318"/>
      <c r="X367" s="315"/>
      <c r="Y367" s="314"/>
      <c r="Z367" s="721"/>
      <c r="AA367" s="737"/>
      <c r="AB367" s="324"/>
      <c r="AC367" s="155"/>
      <c r="AD367" s="155"/>
      <c r="AE367" s="322"/>
      <c r="AF367" s="155"/>
      <c r="AG367" s="132"/>
    </row>
    <row r="368">
      <c r="A368" s="314"/>
      <c r="B368" s="695"/>
      <c r="C368" s="312"/>
      <c r="D368" s="717"/>
      <c r="E368" s="314"/>
      <c r="F368" s="736"/>
      <c r="G368" s="314"/>
      <c r="H368" s="314"/>
      <c r="I368" s="318"/>
      <c r="J368" s="314"/>
      <c r="K368" s="314"/>
      <c r="L368" s="315"/>
      <c r="M368" s="315"/>
      <c r="N368" s="315"/>
      <c r="O368" s="318"/>
      <c r="P368" s="318"/>
      <c r="Q368" s="315"/>
      <c r="R368" s="314"/>
      <c r="S368" s="314"/>
      <c r="T368" s="314"/>
      <c r="U368" s="314"/>
      <c r="V368" s="314"/>
      <c r="W368" s="318"/>
      <c r="X368" s="315"/>
      <c r="Y368" s="314"/>
      <c r="Z368" s="721"/>
      <c r="AA368" s="737"/>
      <c r="AB368" s="324"/>
      <c r="AC368" s="155"/>
      <c r="AD368" s="155"/>
      <c r="AE368" s="322"/>
      <c r="AF368" s="155"/>
      <c r="AG368" s="132"/>
    </row>
    <row r="369">
      <c r="A369" s="314"/>
      <c r="B369" s="695"/>
      <c r="C369" s="312"/>
      <c r="D369" s="717"/>
      <c r="E369" s="314"/>
      <c r="F369" s="736"/>
      <c r="G369" s="314"/>
      <c r="H369" s="314"/>
      <c r="I369" s="318"/>
      <c r="J369" s="314"/>
      <c r="K369" s="314"/>
      <c r="L369" s="315"/>
      <c r="M369" s="315"/>
      <c r="N369" s="315"/>
      <c r="O369" s="318"/>
      <c r="P369" s="318"/>
      <c r="Q369" s="315"/>
      <c r="R369" s="314"/>
      <c r="S369" s="314"/>
      <c r="T369" s="314"/>
      <c r="U369" s="314"/>
      <c r="V369" s="314"/>
      <c r="W369" s="318"/>
      <c r="X369" s="315"/>
      <c r="Y369" s="314"/>
      <c r="Z369" s="721"/>
      <c r="AA369" s="737"/>
      <c r="AB369" s="324"/>
      <c r="AC369" s="155"/>
      <c r="AD369" s="155"/>
      <c r="AE369" s="322"/>
      <c r="AF369" s="155"/>
      <c r="AG369" s="132"/>
    </row>
    <row r="370">
      <c r="A370" s="314"/>
      <c r="B370" s="695"/>
      <c r="C370" s="312"/>
      <c r="D370" s="717"/>
      <c r="E370" s="314"/>
      <c r="F370" s="736"/>
      <c r="G370" s="314"/>
      <c r="H370" s="314"/>
      <c r="I370" s="318"/>
      <c r="J370" s="314"/>
      <c r="K370" s="314"/>
      <c r="L370" s="315"/>
      <c r="M370" s="315"/>
      <c r="N370" s="315"/>
      <c r="O370" s="318"/>
      <c r="P370" s="318"/>
      <c r="Q370" s="315"/>
      <c r="R370" s="314"/>
      <c r="S370" s="314"/>
      <c r="T370" s="314"/>
      <c r="U370" s="314"/>
      <c r="V370" s="314"/>
      <c r="W370" s="318"/>
      <c r="X370" s="315"/>
      <c r="Y370" s="314"/>
      <c r="Z370" s="721"/>
      <c r="AA370" s="737"/>
      <c r="AB370" s="324"/>
      <c r="AC370" s="155"/>
      <c r="AD370" s="155"/>
      <c r="AE370" s="322"/>
      <c r="AF370" s="155"/>
      <c r="AG370" s="132"/>
    </row>
    <row r="371">
      <c r="A371" s="314"/>
      <c r="B371" s="695"/>
      <c r="C371" s="312"/>
      <c r="D371" s="717"/>
      <c r="E371" s="314"/>
      <c r="F371" s="736"/>
      <c r="G371" s="314"/>
      <c r="H371" s="314"/>
      <c r="I371" s="318"/>
      <c r="J371" s="314"/>
      <c r="K371" s="314"/>
      <c r="L371" s="315"/>
      <c r="M371" s="315"/>
      <c r="N371" s="315"/>
      <c r="O371" s="318"/>
      <c r="P371" s="318"/>
      <c r="Q371" s="315"/>
      <c r="R371" s="314"/>
      <c r="S371" s="314"/>
      <c r="T371" s="314"/>
      <c r="U371" s="314"/>
      <c r="V371" s="314"/>
      <c r="W371" s="318"/>
      <c r="X371" s="315"/>
      <c r="Y371" s="314"/>
      <c r="Z371" s="721"/>
      <c r="AA371" s="737"/>
      <c r="AB371" s="324"/>
      <c r="AC371" s="155"/>
      <c r="AD371" s="155"/>
      <c r="AE371" s="322"/>
      <c r="AF371" s="155"/>
      <c r="AG371" s="132"/>
    </row>
    <row r="372">
      <c r="A372" s="314"/>
      <c r="B372" s="695"/>
      <c r="C372" s="312"/>
      <c r="D372" s="717"/>
      <c r="E372" s="314"/>
      <c r="F372" s="736"/>
      <c r="G372" s="314"/>
      <c r="H372" s="314"/>
      <c r="I372" s="318"/>
      <c r="J372" s="314"/>
      <c r="K372" s="314"/>
      <c r="L372" s="315"/>
      <c r="M372" s="315"/>
      <c r="N372" s="315"/>
      <c r="O372" s="318"/>
      <c r="P372" s="318"/>
      <c r="Q372" s="315"/>
      <c r="R372" s="314"/>
      <c r="S372" s="314"/>
      <c r="T372" s="314"/>
      <c r="U372" s="314"/>
      <c r="V372" s="314"/>
      <c r="W372" s="318"/>
      <c r="X372" s="315"/>
      <c r="Y372" s="314"/>
      <c r="Z372" s="721"/>
      <c r="AA372" s="737"/>
      <c r="AB372" s="324"/>
      <c r="AC372" s="155"/>
      <c r="AD372" s="155"/>
      <c r="AE372" s="322"/>
      <c r="AF372" s="155"/>
      <c r="AG372" s="132"/>
    </row>
    <row r="373">
      <c r="A373" s="314"/>
      <c r="B373" s="695"/>
      <c r="C373" s="312"/>
      <c r="D373" s="717"/>
      <c r="E373" s="314"/>
      <c r="F373" s="736"/>
      <c r="G373" s="314"/>
      <c r="H373" s="314"/>
      <c r="I373" s="318"/>
      <c r="J373" s="314"/>
      <c r="K373" s="314"/>
      <c r="L373" s="315"/>
      <c r="M373" s="315"/>
      <c r="N373" s="315"/>
      <c r="O373" s="318"/>
      <c r="P373" s="318"/>
      <c r="Q373" s="315"/>
      <c r="R373" s="314"/>
      <c r="S373" s="314"/>
      <c r="T373" s="314"/>
      <c r="U373" s="314"/>
      <c r="V373" s="314"/>
      <c r="W373" s="318"/>
      <c r="X373" s="315"/>
      <c r="Y373" s="314"/>
      <c r="Z373" s="721"/>
      <c r="AA373" s="737"/>
      <c r="AB373" s="324"/>
      <c r="AC373" s="155"/>
      <c r="AD373" s="155"/>
      <c r="AE373" s="322"/>
      <c r="AF373" s="155"/>
      <c r="AG373" s="132"/>
    </row>
    <row r="374">
      <c r="A374" s="314"/>
      <c r="B374" s="695"/>
      <c r="C374" s="312"/>
      <c r="D374" s="717"/>
      <c r="E374" s="314"/>
      <c r="F374" s="736"/>
      <c r="G374" s="314"/>
      <c r="H374" s="314"/>
      <c r="I374" s="318"/>
      <c r="J374" s="314"/>
      <c r="K374" s="314"/>
      <c r="L374" s="315"/>
      <c r="M374" s="315"/>
      <c r="N374" s="315"/>
      <c r="O374" s="318"/>
      <c r="P374" s="318"/>
      <c r="Q374" s="315"/>
      <c r="R374" s="314"/>
      <c r="S374" s="314"/>
      <c r="T374" s="314"/>
      <c r="U374" s="314"/>
      <c r="V374" s="314"/>
      <c r="W374" s="318"/>
      <c r="X374" s="315"/>
      <c r="Y374" s="314"/>
      <c r="Z374" s="721"/>
      <c r="AA374" s="737"/>
      <c r="AB374" s="324"/>
      <c r="AC374" s="155"/>
      <c r="AD374" s="155"/>
      <c r="AE374" s="322"/>
      <c r="AF374" s="155"/>
      <c r="AG374" s="132"/>
    </row>
    <row r="375">
      <c r="A375" s="314"/>
      <c r="B375" s="695"/>
      <c r="C375" s="312"/>
      <c r="D375" s="717"/>
      <c r="E375" s="314"/>
      <c r="F375" s="736"/>
      <c r="G375" s="314"/>
      <c r="H375" s="314"/>
      <c r="I375" s="318"/>
      <c r="J375" s="314"/>
      <c r="K375" s="314"/>
      <c r="L375" s="315"/>
      <c r="M375" s="315"/>
      <c r="N375" s="315"/>
      <c r="O375" s="318"/>
      <c r="P375" s="318"/>
      <c r="Q375" s="315"/>
      <c r="R375" s="314"/>
      <c r="S375" s="314"/>
      <c r="T375" s="314"/>
      <c r="U375" s="314"/>
      <c r="V375" s="314"/>
      <c r="W375" s="318"/>
      <c r="X375" s="315"/>
      <c r="Y375" s="314"/>
      <c r="Z375" s="721"/>
      <c r="AA375" s="737"/>
      <c r="AB375" s="324"/>
      <c r="AC375" s="155"/>
      <c r="AD375" s="155"/>
      <c r="AE375" s="322"/>
      <c r="AF375" s="155"/>
      <c r="AG375" s="132"/>
    </row>
    <row r="376">
      <c r="A376" s="314"/>
      <c r="B376" s="695"/>
      <c r="C376" s="312"/>
      <c r="D376" s="717"/>
      <c r="E376" s="314"/>
      <c r="F376" s="736"/>
      <c r="G376" s="314"/>
      <c r="H376" s="314"/>
      <c r="I376" s="318"/>
      <c r="J376" s="314"/>
      <c r="K376" s="314"/>
      <c r="L376" s="315"/>
      <c r="M376" s="315"/>
      <c r="N376" s="315"/>
      <c r="O376" s="318"/>
      <c r="P376" s="318"/>
      <c r="Q376" s="315"/>
      <c r="R376" s="314"/>
      <c r="S376" s="314"/>
      <c r="T376" s="314"/>
      <c r="U376" s="314"/>
      <c r="V376" s="314"/>
      <c r="W376" s="318"/>
      <c r="X376" s="315"/>
      <c r="Y376" s="314"/>
      <c r="Z376" s="721"/>
      <c r="AA376" s="737"/>
      <c r="AB376" s="324"/>
      <c r="AC376" s="155"/>
      <c r="AD376" s="155"/>
      <c r="AE376" s="322"/>
      <c r="AF376" s="155"/>
      <c r="AG376" s="132"/>
    </row>
    <row r="377">
      <c r="A377" s="314"/>
      <c r="B377" s="695"/>
      <c r="C377" s="312"/>
      <c r="D377" s="717"/>
      <c r="E377" s="314"/>
      <c r="F377" s="736"/>
      <c r="G377" s="314"/>
      <c r="H377" s="314"/>
      <c r="I377" s="318"/>
      <c r="J377" s="314"/>
      <c r="K377" s="314"/>
      <c r="L377" s="315"/>
      <c r="M377" s="315"/>
      <c r="N377" s="315"/>
      <c r="O377" s="318"/>
      <c r="P377" s="318"/>
      <c r="Q377" s="315"/>
      <c r="R377" s="314"/>
      <c r="S377" s="314"/>
      <c r="T377" s="314"/>
      <c r="U377" s="314"/>
      <c r="V377" s="314"/>
      <c r="W377" s="318"/>
      <c r="X377" s="315"/>
      <c r="Y377" s="314"/>
      <c r="Z377" s="721"/>
      <c r="AA377" s="737"/>
      <c r="AB377" s="324"/>
      <c r="AC377" s="155"/>
      <c r="AD377" s="155"/>
      <c r="AE377" s="322"/>
      <c r="AF377" s="155"/>
      <c r="AG377" s="132"/>
    </row>
    <row r="378">
      <c r="A378" s="314"/>
      <c r="B378" s="695"/>
      <c r="C378" s="312"/>
      <c r="D378" s="717"/>
      <c r="E378" s="314"/>
      <c r="F378" s="736"/>
      <c r="G378" s="314"/>
      <c r="H378" s="314"/>
      <c r="I378" s="318"/>
      <c r="J378" s="314"/>
      <c r="K378" s="314"/>
      <c r="L378" s="315"/>
      <c r="M378" s="315"/>
      <c r="N378" s="315"/>
      <c r="O378" s="318"/>
      <c r="P378" s="318"/>
      <c r="Q378" s="315"/>
      <c r="R378" s="314"/>
      <c r="S378" s="314"/>
      <c r="T378" s="314"/>
      <c r="U378" s="314"/>
      <c r="V378" s="314"/>
      <c r="W378" s="318"/>
      <c r="X378" s="315"/>
      <c r="Y378" s="314"/>
      <c r="Z378" s="721"/>
      <c r="AA378" s="737"/>
      <c r="AB378" s="324"/>
      <c r="AC378" s="155"/>
      <c r="AD378" s="155"/>
      <c r="AE378" s="322"/>
      <c r="AF378" s="155"/>
      <c r="AG378" s="132"/>
    </row>
    <row r="379">
      <c r="A379" s="314"/>
      <c r="B379" s="695"/>
      <c r="C379" s="312"/>
      <c r="D379" s="717"/>
      <c r="E379" s="314"/>
      <c r="F379" s="736"/>
      <c r="G379" s="314"/>
      <c r="H379" s="314"/>
      <c r="I379" s="318"/>
      <c r="J379" s="314"/>
      <c r="K379" s="314"/>
      <c r="L379" s="315"/>
      <c r="M379" s="315"/>
      <c r="N379" s="315"/>
      <c r="O379" s="318"/>
      <c r="P379" s="318"/>
      <c r="Q379" s="315"/>
      <c r="R379" s="314"/>
      <c r="S379" s="314"/>
      <c r="T379" s="314"/>
      <c r="U379" s="314"/>
      <c r="V379" s="314"/>
      <c r="W379" s="318"/>
      <c r="X379" s="315"/>
      <c r="Y379" s="314"/>
      <c r="Z379" s="721"/>
      <c r="AA379" s="737"/>
      <c r="AB379" s="324"/>
      <c r="AC379" s="155"/>
      <c r="AD379" s="155"/>
      <c r="AE379" s="322"/>
      <c r="AF379" s="155"/>
      <c r="AG379" s="132"/>
    </row>
    <row r="380">
      <c r="A380" s="314"/>
      <c r="B380" s="695"/>
      <c r="C380" s="312"/>
      <c r="D380" s="717"/>
      <c r="E380" s="314"/>
      <c r="F380" s="736"/>
      <c r="G380" s="314"/>
      <c r="H380" s="314"/>
      <c r="I380" s="318"/>
      <c r="J380" s="314"/>
      <c r="K380" s="314"/>
      <c r="L380" s="315"/>
      <c r="M380" s="315"/>
      <c r="N380" s="315"/>
      <c r="O380" s="318"/>
      <c r="P380" s="318"/>
      <c r="Q380" s="315"/>
      <c r="R380" s="314"/>
      <c r="S380" s="314"/>
      <c r="T380" s="314"/>
      <c r="U380" s="314"/>
      <c r="V380" s="314"/>
      <c r="W380" s="318"/>
      <c r="X380" s="315"/>
      <c r="Y380" s="314"/>
      <c r="Z380" s="721"/>
      <c r="AA380" s="737"/>
      <c r="AB380" s="324"/>
      <c r="AC380" s="155"/>
      <c r="AD380" s="155"/>
      <c r="AE380" s="322"/>
      <c r="AF380" s="155"/>
      <c r="AG380" s="132"/>
    </row>
    <row r="381">
      <c r="A381" s="314"/>
      <c r="B381" s="695"/>
      <c r="C381" s="312"/>
      <c r="D381" s="717"/>
      <c r="E381" s="314"/>
      <c r="F381" s="736"/>
      <c r="G381" s="314"/>
      <c r="H381" s="314"/>
      <c r="I381" s="318"/>
      <c r="J381" s="314"/>
      <c r="K381" s="314"/>
      <c r="L381" s="315"/>
      <c r="M381" s="315"/>
      <c r="N381" s="315"/>
      <c r="O381" s="318"/>
      <c r="P381" s="318"/>
      <c r="Q381" s="315"/>
      <c r="R381" s="314"/>
      <c r="S381" s="314"/>
      <c r="T381" s="314"/>
      <c r="U381" s="314"/>
      <c r="V381" s="314"/>
      <c r="W381" s="318"/>
      <c r="X381" s="315"/>
      <c r="Y381" s="314"/>
      <c r="Z381" s="721"/>
      <c r="AA381" s="737"/>
      <c r="AB381" s="324"/>
      <c r="AC381" s="155"/>
      <c r="AD381" s="155"/>
      <c r="AE381" s="322"/>
      <c r="AF381" s="155"/>
      <c r="AG381" s="132"/>
    </row>
    <row r="382">
      <c r="A382" s="314"/>
      <c r="B382" s="695"/>
      <c r="C382" s="312"/>
      <c r="D382" s="717"/>
      <c r="E382" s="314"/>
      <c r="F382" s="736"/>
      <c r="G382" s="314"/>
      <c r="H382" s="314"/>
      <c r="I382" s="318"/>
      <c r="J382" s="314"/>
      <c r="K382" s="314"/>
      <c r="L382" s="315"/>
      <c r="M382" s="315"/>
      <c r="N382" s="315"/>
      <c r="O382" s="318"/>
      <c r="P382" s="318"/>
      <c r="Q382" s="315"/>
      <c r="R382" s="314"/>
      <c r="S382" s="314"/>
      <c r="T382" s="314"/>
      <c r="U382" s="314"/>
      <c r="V382" s="314"/>
      <c r="W382" s="318"/>
      <c r="X382" s="315"/>
      <c r="Y382" s="314"/>
      <c r="Z382" s="721"/>
      <c r="AA382" s="737"/>
      <c r="AB382" s="324"/>
      <c r="AC382" s="155"/>
      <c r="AD382" s="155"/>
      <c r="AE382" s="322"/>
      <c r="AF382" s="155"/>
      <c r="AG382" s="132"/>
    </row>
    <row r="383">
      <c r="A383" s="314"/>
      <c r="B383" s="695"/>
      <c r="C383" s="312"/>
      <c r="D383" s="717"/>
      <c r="E383" s="314"/>
      <c r="F383" s="736"/>
      <c r="G383" s="314"/>
      <c r="H383" s="314"/>
      <c r="I383" s="318"/>
      <c r="J383" s="314"/>
      <c r="K383" s="314"/>
      <c r="L383" s="315"/>
      <c r="M383" s="315"/>
      <c r="N383" s="315"/>
      <c r="O383" s="318"/>
      <c r="P383" s="318"/>
      <c r="Q383" s="315"/>
      <c r="R383" s="314"/>
      <c r="S383" s="314"/>
      <c r="T383" s="314"/>
      <c r="U383" s="314"/>
      <c r="V383" s="314"/>
      <c r="W383" s="318"/>
      <c r="X383" s="315"/>
      <c r="Y383" s="314"/>
      <c r="Z383" s="721"/>
      <c r="AA383" s="737"/>
      <c r="AB383" s="324"/>
      <c r="AC383" s="155"/>
      <c r="AD383" s="155"/>
      <c r="AE383" s="322"/>
      <c r="AF383" s="155"/>
      <c r="AG383" s="132"/>
    </row>
    <row r="384">
      <c r="A384" s="314"/>
      <c r="B384" s="695"/>
      <c r="C384" s="312"/>
      <c r="D384" s="717"/>
      <c r="E384" s="314"/>
      <c r="F384" s="736"/>
      <c r="G384" s="314"/>
      <c r="H384" s="314"/>
      <c r="I384" s="318"/>
      <c r="J384" s="314"/>
      <c r="K384" s="314"/>
      <c r="L384" s="315"/>
      <c r="M384" s="315"/>
      <c r="N384" s="315"/>
      <c r="O384" s="318"/>
      <c r="P384" s="318"/>
      <c r="Q384" s="315"/>
      <c r="R384" s="314"/>
      <c r="S384" s="314"/>
      <c r="T384" s="314"/>
      <c r="U384" s="314"/>
      <c r="V384" s="314"/>
      <c r="W384" s="318"/>
      <c r="X384" s="315"/>
      <c r="Y384" s="314"/>
      <c r="Z384" s="721"/>
      <c r="AA384" s="737"/>
      <c r="AB384" s="324"/>
      <c r="AC384" s="155"/>
      <c r="AD384" s="155"/>
      <c r="AE384" s="322"/>
      <c r="AF384" s="155"/>
      <c r="AG384" s="132"/>
    </row>
    <row r="385">
      <c r="A385" s="314"/>
      <c r="B385" s="695"/>
      <c r="C385" s="312"/>
      <c r="D385" s="717"/>
      <c r="E385" s="314"/>
      <c r="F385" s="736"/>
      <c r="G385" s="314"/>
      <c r="H385" s="314"/>
      <c r="I385" s="318"/>
      <c r="J385" s="314"/>
      <c r="K385" s="314"/>
      <c r="L385" s="315"/>
      <c r="M385" s="315"/>
      <c r="N385" s="315"/>
      <c r="O385" s="318"/>
      <c r="P385" s="318"/>
      <c r="Q385" s="315"/>
      <c r="R385" s="314"/>
      <c r="S385" s="314"/>
      <c r="T385" s="314"/>
      <c r="U385" s="314"/>
      <c r="V385" s="314"/>
      <c r="W385" s="318"/>
      <c r="X385" s="315"/>
      <c r="Y385" s="314"/>
      <c r="Z385" s="721"/>
      <c r="AA385" s="737"/>
      <c r="AB385" s="324"/>
      <c r="AC385" s="155"/>
      <c r="AD385" s="155"/>
      <c r="AE385" s="322"/>
      <c r="AF385" s="155"/>
      <c r="AG385" s="132"/>
    </row>
    <row r="386">
      <c r="A386" s="314"/>
      <c r="B386" s="695"/>
      <c r="C386" s="312"/>
      <c r="D386" s="717"/>
      <c r="E386" s="314"/>
      <c r="F386" s="736"/>
      <c r="G386" s="314"/>
      <c r="H386" s="314"/>
      <c r="I386" s="318"/>
      <c r="J386" s="314"/>
      <c r="K386" s="314"/>
      <c r="L386" s="315"/>
      <c r="M386" s="315"/>
      <c r="N386" s="315"/>
      <c r="O386" s="318"/>
      <c r="P386" s="318"/>
      <c r="Q386" s="315"/>
      <c r="R386" s="314"/>
      <c r="S386" s="314"/>
      <c r="T386" s="314"/>
      <c r="U386" s="314"/>
      <c r="V386" s="314"/>
      <c r="W386" s="318"/>
      <c r="X386" s="315"/>
      <c r="Y386" s="314"/>
      <c r="Z386" s="721"/>
      <c r="AA386" s="737"/>
      <c r="AB386" s="324"/>
      <c r="AC386" s="155"/>
      <c r="AD386" s="155"/>
      <c r="AE386" s="322"/>
      <c r="AF386" s="155"/>
      <c r="AG386" s="132"/>
    </row>
    <row r="387">
      <c r="A387" s="314"/>
      <c r="B387" s="695"/>
      <c r="C387" s="312"/>
      <c r="D387" s="717"/>
      <c r="E387" s="314"/>
      <c r="F387" s="736"/>
      <c r="G387" s="314"/>
      <c r="H387" s="314"/>
      <c r="I387" s="318"/>
      <c r="J387" s="314"/>
      <c r="K387" s="314"/>
      <c r="L387" s="315"/>
      <c r="M387" s="315"/>
      <c r="N387" s="315"/>
      <c r="O387" s="318"/>
      <c r="P387" s="318"/>
      <c r="Q387" s="315"/>
      <c r="R387" s="314"/>
      <c r="S387" s="314"/>
      <c r="T387" s="314"/>
      <c r="U387" s="314"/>
      <c r="V387" s="314"/>
      <c r="W387" s="318"/>
      <c r="X387" s="315"/>
      <c r="Y387" s="314"/>
      <c r="Z387" s="721"/>
      <c r="AA387" s="737"/>
      <c r="AB387" s="324"/>
      <c r="AC387" s="155"/>
      <c r="AD387" s="155"/>
      <c r="AE387" s="322"/>
      <c r="AF387" s="155"/>
      <c r="AG387" s="132"/>
    </row>
    <row r="388">
      <c r="A388" s="314"/>
      <c r="B388" s="695"/>
      <c r="C388" s="312"/>
      <c r="D388" s="717"/>
      <c r="E388" s="314"/>
      <c r="F388" s="736"/>
      <c r="G388" s="314"/>
      <c r="H388" s="314"/>
      <c r="I388" s="318"/>
      <c r="J388" s="314"/>
      <c r="K388" s="314"/>
      <c r="L388" s="315"/>
      <c r="M388" s="315"/>
      <c r="N388" s="315"/>
      <c r="O388" s="318"/>
      <c r="P388" s="318"/>
      <c r="Q388" s="315"/>
      <c r="R388" s="314"/>
      <c r="S388" s="314"/>
      <c r="T388" s="314"/>
      <c r="U388" s="314"/>
      <c r="V388" s="314"/>
      <c r="W388" s="318"/>
      <c r="X388" s="315"/>
      <c r="Y388" s="314"/>
      <c r="Z388" s="721"/>
      <c r="AA388" s="737"/>
      <c r="AB388" s="324"/>
      <c r="AC388" s="155"/>
      <c r="AD388" s="155"/>
      <c r="AE388" s="322"/>
      <c r="AF388" s="155"/>
      <c r="AG388" s="132"/>
    </row>
    <row r="389">
      <c r="A389" s="314"/>
      <c r="B389" s="695"/>
      <c r="C389" s="312"/>
      <c r="D389" s="717"/>
      <c r="E389" s="314"/>
      <c r="F389" s="736"/>
      <c r="G389" s="314"/>
      <c r="H389" s="314"/>
      <c r="I389" s="318"/>
      <c r="J389" s="314"/>
      <c r="K389" s="314"/>
      <c r="L389" s="315"/>
      <c r="M389" s="315"/>
      <c r="N389" s="315"/>
      <c r="O389" s="318"/>
      <c r="P389" s="318"/>
      <c r="Q389" s="315"/>
      <c r="R389" s="314"/>
      <c r="S389" s="314"/>
      <c r="T389" s="314"/>
      <c r="U389" s="314"/>
      <c r="V389" s="314"/>
      <c r="W389" s="318"/>
      <c r="X389" s="315"/>
      <c r="Y389" s="314"/>
      <c r="Z389" s="721"/>
      <c r="AA389" s="737"/>
      <c r="AB389" s="324"/>
      <c r="AC389" s="155"/>
      <c r="AD389" s="155"/>
      <c r="AE389" s="322"/>
      <c r="AF389" s="155"/>
      <c r="AG389" s="132"/>
    </row>
    <row r="390">
      <c r="A390" s="314"/>
      <c r="B390" s="695"/>
      <c r="C390" s="312"/>
      <c r="D390" s="717"/>
      <c r="E390" s="314"/>
      <c r="F390" s="736"/>
      <c r="G390" s="314"/>
      <c r="H390" s="314"/>
      <c r="I390" s="318"/>
      <c r="J390" s="314"/>
      <c r="K390" s="314"/>
      <c r="L390" s="315"/>
      <c r="M390" s="315"/>
      <c r="N390" s="315"/>
      <c r="O390" s="318"/>
      <c r="P390" s="318"/>
      <c r="Q390" s="315"/>
      <c r="R390" s="314"/>
      <c r="S390" s="314"/>
      <c r="T390" s="314"/>
      <c r="U390" s="314"/>
      <c r="V390" s="314"/>
      <c r="W390" s="318"/>
      <c r="X390" s="315"/>
      <c r="Y390" s="314"/>
      <c r="Z390" s="721"/>
      <c r="AA390" s="737"/>
      <c r="AB390" s="324"/>
      <c r="AC390" s="155"/>
      <c r="AD390" s="155"/>
      <c r="AE390" s="322"/>
      <c r="AF390" s="155"/>
      <c r="AG390" s="132"/>
    </row>
    <row r="391">
      <c r="A391" s="314"/>
      <c r="B391" s="695"/>
      <c r="C391" s="312"/>
      <c r="D391" s="717"/>
      <c r="E391" s="314"/>
      <c r="F391" s="736"/>
      <c r="G391" s="314"/>
      <c r="H391" s="314"/>
      <c r="I391" s="318"/>
      <c r="J391" s="314"/>
      <c r="K391" s="314"/>
      <c r="L391" s="315"/>
      <c r="M391" s="315"/>
      <c r="N391" s="315"/>
      <c r="O391" s="318"/>
      <c r="P391" s="318"/>
      <c r="Q391" s="315"/>
      <c r="R391" s="314"/>
      <c r="S391" s="314"/>
      <c r="T391" s="314"/>
      <c r="U391" s="314"/>
      <c r="V391" s="314"/>
      <c r="W391" s="318"/>
      <c r="X391" s="315"/>
      <c r="Y391" s="314"/>
      <c r="Z391" s="721"/>
      <c r="AA391" s="737"/>
      <c r="AB391" s="324"/>
      <c r="AC391" s="155"/>
      <c r="AD391" s="155"/>
      <c r="AE391" s="322"/>
      <c r="AF391" s="155"/>
      <c r="AG391" s="132"/>
    </row>
    <row r="392">
      <c r="A392" s="435"/>
      <c r="B392" s="695"/>
      <c r="C392" s="745"/>
      <c r="D392" s="717"/>
      <c r="E392" s="435"/>
      <c r="F392" s="736"/>
      <c r="G392" s="314"/>
      <c r="H392" s="435"/>
      <c r="I392" s="740"/>
      <c r="J392" s="314"/>
      <c r="K392" s="435"/>
      <c r="L392" s="744"/>
      <c r="M392" s="315"/>
      <c r="N392" s="315"/>
      <c r="O392" s="318"/>
      <c r="P392" s="740"/>
      <c r="Q392" s="744"/>
      <c r="R392" s="435"/>
      <c r="S392" s="435"/>
      <c r="T392" s="435"/>
      <c r="U392" s="435"/>
      <c r="V392" s="435"/>
      <c r="W392" s="740"/>
      <c r="X392" s="744"/>
      <c r="Y392" s="435"/>
      <c r="Z392" s="749"/>
      <c r="AA392" s="753"/>
      <c r="AB392" s="324"/>
      <c r="AC392" s="180"/>
      <c r="AD392" s="155"/>
      <c r="AE392" s="322"/>
      <c r="AF392" s="155"/>
      <c r="AG392" s="132"/>
    </row>
    <row r="393">
      <c r="A393" s="435"/>
      <c r="B393" s="695"/>
      <c r="C393" s="312"/>
      <c r="D393" s="751"/>
      <c r="E393" s="314"/>
      <c r="F393" s="736"/>
      <c r="G393" s="314"/>
      <c r="H393" s="314"/>
      <c r="I393" s="318"/>
      <c r="J393" s="314"/>
      <c r="K393" s="314"/>
      <c r="L393" s="315"/>
      <c r="M393" s="744"/>
      <c r="N393" s="744"/>
      <c r="O393" s="318"/>
      <c r="P393" s="318"/>
      <c r="Q393" s="315"/>
      <c r="R393" s="314"/>
      <c r="S393" s="314"/>
      <c r="T393" s="314"/>
      <c r="U393" s="314"/>
      <c r="V393" s="314"/>
      <c r="W393" s="318"/>
      <c r="X393" s="315"/>
      <c r="Y393" s="314"/>
      <c r="Z393" s="721"/>
      <c r="AA393" s="737"/>
      <c r="AB393" s="324"/>
      <c r="AC393" s="180"/>
      <c r="AD393" s="155"/>
      <c r="AE393" s="322"/>
      <c r="AF393" s="155"/>
      <c r="AG393" s="132"/>
    </row>
    <row r="394">
      <c r="A394" s="435"/>
      <c r="B394" s="746"/>
      <c r="C394" s="745"/>
      <c r="D394" s="751"/>
      <c r="E394" s="435"/>
      <c r="F394" s="736"/>
      <c r="G394" s="314"/>
      <c r="H394" s="314"/>
      <c r="I394" s="740"/>
      <c r="J394" s="435"/>
      <c r="K394" s="435"/>
      <c r="L394" s="744"/>
      <c r="M394" s="744"/>
      <c r="N394" s="744"/>
      <c r="O394" s="318"/>
      <c r="P394" s="740"/>
      <c r="Q394" s="315"/>
      <c r="R394" s="435"/>
      <c r="S394" s="435"/>
      <c r="T394" s="435"/>
      <c r="U394" s="435"/>
      <c r="V394" s="435"/>
      <c r="W394" s="740"/>
      <c r="X394" s="744"/>
      <c r="Y394" s="435"/>
      <c r="Z394" s="749"/>
      <c r="AA394" s="753"/>
      <c r="AB394" s="324"/>
      <c r="AC394" s="180"/>
      <c r="AD394" s="155"/>
      <c r="AE394" s="322"/>
      <c r="AF394" s="155"/>
      <c r="AG394" s="132"/>
    </row>
    <row r="395">
      <c r="A395" s="435"/>
      <c r="B395" s="695"/>
      <c r="C395" s="312"/>
      <c r="D395" s="751"/>
      <c r="E395" s="314"/>
      <c r="F395" s="736"/>
      <c r="G395" s="314"/>
      <c r="H395" s="314"/>
      <c r="I395" s="740"/>
      <c r="J395" s="314"/>
      <c r="K395" s="435"/>
      <c r="L395" s="315"/>
      <c r="M395" s="315"/>
      <c r="N395" s="315"/>
      <c r="O395" s="318"/>
      <c r="P395" s="318"/>
      <c r="Q395" s="744"/>
      <c r="R395" s="435"/>
      <c r="S395" s="314"/>
      <c r="T395" s="314"/>
      <c r="U395" s="314"/>
      <c r="V395" s="314"/>
      <c r="W395" s="318"/>
      <c r="X395" s="315"/>
      <c r="Y395" s="314"/>
      <c r="Z395" s="721"/>
      <c r="AA395" s="737"/>
      <c r="AB395" s="324"/>
      <c r="AC395" s="180"/>
      <c r="AD395" s="155"/>
      <c r="AE395" s="322"/>
      <c r="AF395" s="155"/>
      <c r="AG395" s="132"/>
    </row>
    <row r="396">
      <c r="A396" s="435"/>
      <c r="B396" s="746"/>
      <c r="C396" s="745"/>
      <c r="D396" s="751"/>
      <c r="E396" s="435"/>
      <c r="F396" s="736"/>
      <c r="G396" s="314"/>
      <c r="H396" s="435"/>
      <c r="I396" s="740"/>
      <c r="J396" s="435"/>
      <c r="K396" s="435"/>
      <c r="L396" s="744"/>
      <c r="M396" s="744"/>
      <c r="N396" s="744"/>
      <c r="O396" s="318"/>
      <c r="P396" s="740"/>
      <c r="Q396" s="744"/>
      <c r="R396" s="435"/>
      <c r="S396" s="435"/>
      <c r="T396" s="435"/>
      <c r="U396" s="435"/>
      <c r="V396" s="435"/>
      <c r="W396" s="740"/>
      <c r="X396" s="744"/>
      <c r="Y396" s="435"/>
      <c r="Z396" s="749"/>
      <c r="AA396" s="753"/>
      <c r="AB396" s="324"/>
      <c r="AC396" s="180"/>
      <c r="AD396" s="155"/>
      <c r="AE396" s="322"/>
      <c r="AF396" s="155"/>
      <c r="AG396" s="132"/>
    </row>
    <row r="397">
      <c r="A397" s="435"/>
      <c r="B397" s="746"/>
      <c r="C397" s="312"/>
      <c r="D397" s="751"/>
      <c r="E397" s="314"/>
      <c r="F397" s="736"/>
      <c r="G397" s="314"/>
      <c r="H397" s="314"/>
      <c r="I397" s="318"/>
      <c r="J397" s="314"/>
      <c r="K397" s="435"/>
      <c r="L397" s="315"/>
      <c r="M397" s="315"/>
      <c r="N397" s="315"/>
      <c r="O397" s="318"/>
      <c r="P397" s="318"/>
      <c r="Q397" s="315"/>
      <c r="R397" s="314"/>
      <c r="S397" s="435"/>
      <c r="T397" s="435"/>
      <c r="U397" s="435"/>
      <c r="V397" s="435"/>
      <c r="W397" s="740"/>
      <c r="X397" s="744"/>
      <c r="Y397" s="435"/>
      <c r="Z397" s="749"/>
      <c r="AA397" s="753"/>
      <c r="AB397" s="324"/>
      <c r="AC397" s="180"/>
      <c r="AD397" s="155"/>
      <c r="AE397" s="322"/>
      <c r="AF397" s="155"/>
      <c r="AG397" s="132"/>
    </row>
    <row r="398">
      <c r="A398" s="435"/>
      <c r="B398" s="746"/>
      <c r="C398" s="745"/>
      <c r="D398" s="751"/>
      <c r="E398" s="435"/>
      <c r="F398" s="736"/>
      <c r="G398" s="314"/>
      <c r="H398" s="435"/>
      <c r="I398" s="318"/>
      <c r="J398" s="314"/>
      <c r="K398" s="435"/>
      <c r="L398" s="315"/>
      <c r="M398" s="315"/>
      <c r="N398" s="315"/>
      <c r="O398" s="318"/>
      <c r="P398" s="740"/>
      <c r="Q398" s="744"/>
      <c r="R398" s="435"/>
      <c r="S398" s="435"/>
      <c r="T398" s="435"/>
      <c r="U398" s="435"/>
      <c r="V398" s="435"/>
      <c r="W398" s="740"/>
      <c r="X398" s="744"/>
      <c r="Y398" s="435"/>
      <c r="Z398" s="749"/>
      <c r="AA398" s="753"/>
      <c r="AB398" s="324"/>
      <c r="AC398" s="180"/>
      <c r="AD398" s="155"/>
      <c r="AE398" s="322"/>
      <c r="AF398" s="155"/>
      <c r="AG398" s="132"/>
    </row>
    <row r="399">
      <c r="A399" s="435"/>
      <c r="B399" s="746"/>
      <c r="C399" s="745"/>
      <c r="D399" s="751"/>
      <c r="E399" s="435"/>
      <c r="F399" s="736"/>
      <c r="G399" s="314"/>
      <c r="H399" s="435"/>
      <c r="I399" s="740"/>
      <c r="J399" s="435"/>
      <c r="K399" s="435"/>
      <c r="L399" s="744"/>
      <c r="M399" s="744"/>
      <c r="N399" s="744"/>
      <c r="O399" s="318"/>
      <c r="P399" s="740"/>
      <c r="Q399" s="744"/>
      <c r="R399" s="435"/>
      <c r="S399" s="435"/>
      <c r="T399" s="435"/>
      <c r="U399" s="435"/>
      <c r="V399" s="435"/>
      <c r="W399" s="740"/>
      <c r="X399" s="744"/>
      <c r="Y399" s="435"/>
      <c r="Z399" s="749"/>
      <c r="AA399" s="753"/>
      <c r="AB399" s="324"/>
      <c r="AC399" s="180"/>
      <c r="AD399" s="155"/>
      <c r="AE399" s="322"/>
      <c r="AF399" s="155"/>
      <c r="AG399" s="132"/>
    </row>
    <row r="400">
      <c r="A400" s="435"/>
      <c r="B400" s="695"/>
      <c r="C400" s="312"/>
      <c r="D400" s="717"/>
      <c r="E400" s="435"/>
      <c r="F400" s="736"/>
      <c r="G400" s="314"/>
      <c r="H400" s="435"/>
      <c r="I400" s="318"/>
      <c r="J400" s="314"/>
      <c r="K400" s="314"/>
      <c r="L400" s="315"/>
      <c r="M400" s="315"/>
      <c r="N400" s="315"/>
      <c r="O400" s="318"/>
      <c r="P400" s="318"/>
      <c r="Q400" s="315"/>
      <c r="R400" s="314"/>
      <c r="S400" s="314"/>
      <c r="T400" s="314"/>
      <c r="U400" s="314"/>
      <c r="V400" s="314"/>
      <c r="W400" s="318"/>
      <c r="X400" s="315"/>
      <c r="Y400" s="314"/>
      <c r="Z400" s="721"/>
      <c r="AA400" s="737"/>
      <c r="AB400" s="324"/>
      <c r="AC400" s="180"/>
      <c r="AD400" s="155"/>
      <c r="AE400" s="322"/>
      <c r="AF400" s="155"/>
      <c r="AG400" s="132"/>
    </row>
    <row r="401">
      <c r="A401" s="435"/>
      <c r="B401" s="695"/>
      <c r="C401" s="312"/>
      <c r="D401" s="751"/>
      <c r="E401" s="314"/>
      <c r="F401" s="736"/>
      <c r="G401" s="314"/>
      <c r="H401" s="435"/>
      <c r="I401" s="318"/>
      <c r="J401" s="435"/>
      <c r="K401" s="435"/>
      <c r="L401" s="315"/>
      <c r="M401" s="744"/>
      <c r="N401" s="315"/>
      <c r="O401" s="318"/>
      <c r="P401" s="318"/>
      <c r="Q401" s="315"/>
      <c r="R401" s="435"/>
      <c r="S401" s="435"/>
      <c r="T401" s="435"/>
      <c r="U401" s="435"/>
      <c r="V401" s="435"/>
      <c r="W401" s="740"/>
      <c r="X401" s="744"/>
      <c r="Y401" s="435"/>
      <c r="Z401" s="749"/>
      <c r="AA401" s="753"/>
      <c r="AB401" s="324"/>
      <c r="AC401" s="180"/>
      <c r="AD401" s="155"/>
      <c r="AE401" s="322"/>
      <c r="AF401" s="155"/>
      <c r="AG401" s="132"/>
    </row>
    <row r="402">
      <c r="A402" s="435"/>
      <c r="B402" s="695"/>
      <c r="C402" s="312"/>
      <c r="D402" s="717"/>
      <c r="E402" s="314"/>
      <c r="F402" s="736"/>
      <c r="G402" s="314"/>
      <c r="H402" s="314"/>
      <c r="I402" s="318"/>
      <c r="J402" s="314"/>
      <c r="K402" s="314"/>
      <c r="L402" s="315"/>
      <c r="M402" s="315"/>
      <c r="N402" s="315"/>
      <c r="O402" s="318"/>
      <c r="P402" s="318"/>
      <c r="Q402" s="744"/>
      <c r="R402" s="314"/>
      <c r="S402" s="435"/>
      <c r="T402" s="435"/>
      <c r="U402" s="435"/>
      <c r="V402" s="435"/>
      <c r="W402" s="740"/>
      <c r="X402" s="744"/>
      <c r="Y402" s="435"/>
      <c r="Z402" s="749"/>
      <c r="AA402" s="753"/>
      <c r="AB402" s="324"/>
      <c r="AC402" s="180"/>
      <c r="AD402" s="155"/>
      <c r="AE402" s="322"/>
      <c r="AF402" s="155"/>
      <c r="AG402" s="132"/>
    </row>
    <row r="403">
      <c r="A403" s="435"/>
      <c r="B403" s="746"/>
      <c r="C403" s="312"/>
      <c r="D403" s="717"/>
      <c r="E403" s="314"/>
      <c r="F403" s="736"/>
      <c r="G403" s="314"/>
      <c r="H403" s="435"/>
      <c r="I403" s="318"/>
      <c r="J403" s="435"/>
      <c r="K403" s="435"/>
      <c r="L403" s="315"/>
      <c r="M403" s="315"/>
      <c r="N403" s="744"/>
      <c r="O403" s="318"/>
      <c r="P403" s="318"/>
      <c r="Q403" s="315"/>
      <c r="R403" s="435"/>
      <c r="S403" s="435"/>
      <c r="T403" s="435"/>
      <c r="U403" s="435"/>
      <c r="V403" s="435"/>
      <c r="W403" s="740"/>
      <c r="X403" s="744"/>
      <c r="Y403" s="435"/>
      <c r="Z403" s="749"/>
      <c r="AA403" s="753"/>
      <c r="AB403" s="324"/>
      <c r="AC403" s="180"/>
      <c r="AD403" s="155"/>
      <c r="AE403" s="322"/>
      <c r="AF403" s="155"/>
      <c r="AG403" s="132"/>
    </row>
    <row r="404">
      <c r="A404" s="435"/>
      <c r="B404" s="695"/>
      <c r="C404" s="745"/>
      <c r="D404" s="751"/>
      <c r="E404" s="435"/>
      <c r="F404" s="736"/>
      <c r="G404" s="314"/>
      <c r="H404" s="435"/>
      <c r="I404" s="318"/>
      <c r="J404" s="314"/>
      <c r="K404" s="435"/>
      <c r="L404" s="315"/>
      <c r="M404" s="315"/>
      <c r="N404" s="315"/>
      <c r="O404" s="318"/>
      <c r="P404" s="318"/>
      <c r="Q404" s="315"/>
      <c r="R404" s="314"/>
      <c r="S404" s="435"/>
      <c r="T404" s="435"/>
      <c r="U404" s="435"/>
      <c r="V404" s="435"/>
      <c r="W404" s="740"/>
      <c r="X404" s="744"/>
      <c r="Y404" s="435"/>
      <c r="Z404" s="749"/>
      <c r="AA404" s="753"/>
      <c r="AB404" s="324"/>
      <c r="AC404" s="180"/>
      <c r="AD404" s="155"/>
      <c r="AE404" s="322"/>
      <c r="AF404" s="155"/>
      <c r="AG404" s="132"/>
    </row>
    <row r="405">
      <c r="A405" s="435"/>
      <c r="B405" s="695"/>
      <c r="C405" s="312"/>
      <c r="D405" s="717"/>
      <c r="E405" s="314"/>
      <c r="F405" s="736"/>
      <c r="G405" s="314"/>
      <c r="H405" s="435"/>
      <c r="I405" s="318"/>
      <c r="J405" s="314"/>
      <c r="K405" s="314"/>
      <c r="L405" s="315"/>
      <c r="M405" s="315"/>
      <c r="N405" s="315"/>
      <c r="O405" s="318"/>
      <c r="P405" s="318"/>
      <c r="Q405" s="315"/>
      <c r="R405" s="435"/>
      <c r="S405" s="314"/>
      <c r="T405" s="314"/>
      <c r="U405" s="314"/>
      <c r="V405" s="314"/>
      <c r="W405" s="318"/>
      <c r="X405" s="315"/>
      <c r="Y405" s="314"/>
      <c r="Z405" s="721"/>
      <c r="AA405" s="737"/>
      <c r="AB405" s="324"/>
      <c r="AC405" s="180"/>
      <c r="AD405" s="155"/>
      <c r="AE405" s="322"/>
      <c r="AF405" s="155"/>
      <c r="AG405" s="132"/>
    </row>
    <row r="406">
      <c r="A406" s="435"/>
      <c r="B406" s="746"/>
      <c r="C406" s="745"/>
      <c r="D406" s="751"/>
      <c r="E406" s="435"/>
      <c r="F406" s="736"/>
      <c r="G406" s="314"/>
      <c r="H406" s="435"/>
      <c r="I406" s="740"/>
      <c r="J406" s="435"/>
      <c r="K406" s="435"/>
      <c r="L406" s="744"/>
      <c r="M406" s="744"/>
      <c r="N406" s="744"/>
      <c r="O406" s="318"/>
      <c r="P406" s="740"/>
      <c r="Q406" s="744"/>
      <c r="R406" s="435"/>
      <c r="S406" s="435"/>
      <c r="T406" s="435"/>
      <c r="U406" s="435"/>
      <c r="V406" s="435"/>
      <c r="W406" s="740"/>
      <c r="X406" s="744"/>
      <c r="Y406" s="435"/>
      <c r="Z406" s="749"/>
      <c r="AA406" s="753"/>
      <c r="AB406" s="324"/>
      <c r="AC406" s="180"/>
      <c r="AD406" s="155"/>
      <c r="AE406" s="322"/>
      <c r="AF406" s="155"/>
      <c r="AG406" s="132"/>
    </row>
    <row r="407">
      <c r="A407" s="435"/>
      <c r="B407" s="695"/>
      <c r="C407" s="312"/>
      <c r="D407" s="717"/>
      <c r="E407" s="314"/>
      <c r="F407" s="736"/>
      <c r="G407" s="314"/>
      <c r="H407" s="314"/>
      <c r="I407" s="318"/>
      <c r="J407" s="314"/>
      <c r="K407" s="314"/>
      <c r="L407" s="315"/>
      <c r="M407" s="744"/>
      <c r="N407" s="315"/>
      <c r="O407" s="318"/>
      <c r="P407" s="318"/>
      <c r="Q407" s="315"/>
      <c r="R407" s="314"/>
      <c r="S407" s="314"/>
      <c r="T407" s="314"/>
      <c r="U407" s="314"/>
      <c r="V407" s="314"/>
      <c r="W407" s="318"/>
      <c r="X407" s="315"/>
      <c r="Y407" s="314"/>
      <c r="Z407" s="721"/>
      <c r="AA407" s="737"/>
      <c r="AB407" s="324"/>
      <c r="AC407" s="180"/>
      <c r="AD407" s="155"/>
      <c r="AE407" s="322"/>
      <c r="AF407" s="155"/>
      <c r="AG407" s="132"/>
    </row>
    <row r="408">
      <c r="A408" s="435"/>
      <c r="B408" s="695"/>
      <c r="C408" s="745"/>
      <c r="D408" s="751"/>
      <c r="E408" s="435"/>
      <c r="F408" s="736"/>
      <c r="G408" s="314"/>
      <c r="H408" s="435"/>
      <c r="I408" s="740"/>
      <c r="J408" s="435"/>
      <c r="K408" s="435"/>
      <c r="L408" s="315"/>
      <c r="M408" s="744"/>
      <c r="N408" s="744"/>
      <c r="O408" s="318"/>
      <c r="P408" s="740"/>
      <c r="Q408" s="744"/>
      <c r="R408" s="435"/>
      <c r="S408" s="435"/>
      <c r="T408" s="435"/>
      <c r="U408" s="435"/>
      <c r="V408" s="435"/>
      <c r="W408" s="740"/>
      <c r="X408" s="744"/>
      <c r="Y408" s="435"/>
      <c r="Z408" s="749"/>
      <c r="AA408" s="753"/>
      <c r="AB408" s="324"/>
      <c r="AC408" s="180"/>
      <c r="AD408" s="155"/>
      <c r="AE408" s="322"/>
      <c r="AF408" s="155"/>
      <c r="AG408" s="132"/>
    </row>
    <row r="409">
      <c r="A409" s="435"/>
      <c r="B409" s="746"/>
      <c r="C409" s="745"/>
      <c r="D409" s="717"/>
      <c r="E409" s="435"/>
      <c r="F409" s="736"/>
      <c r="G409" s="314"/>
      <c r="H409" s="435"/>
      <c r="I409" s="740"/>
      <c r="J409" s="314"/>
      <c r="K409" s="435"/>
      <c r="L409" s="744"/>
      <c r="M409" s="315"/>
      <c r="N409" s="744"/>
      <c r="O409" s="318"/>
      <c r="P409" s="740"/>
      <c r="Q409" s="315"/>
      <c r="R409" s="435"/>
      <c r="S409" s="435"/>
      <c r="T409" s="435"/>
      <c r="U409" s="435"/>
      <c r="V409" s="435"/>
      <c r="W409" s="740"/>
      <c r="X409" s="744"/>
      <c r="Y409" s="435"/>
      <c r="Z409" s="749"/>
      <c r="AA409" s="753"/>
      <c r="AB409" s="324"/>
      <c r="AC409" s="180"/>
      <c r="AD409" s="155"/>
      <c r="AE409" s="322"/>
      <c r="AF409" s="155"/>
      <c r="AG409" s="132"/>
    </row>
    <row r="410">
      <c r="A410" s="458"/>
      <c r="B410" s="746"/>
      <c r="C410" s="745"/>
      <c r="D410" s="751"/>
      <c r="E410" s="435"/>
      <c r="F410" s="736"/>
      <c r="G410" s="314"/>
      <c r="H410" s="314"/>
      <c r="I410" s="740"/>
      <c r="J410" s="435"/>
      <c r="K410" s="435"/>
      <c r="L410" s="744"/>
      <c r="M410" s="744"/>
      <c r="N410" s="744"/>
      <c r="O410" s="318"/>
      <c r="P410" s="740"/>
      <c r="Q410" s="744"/>
      <c r="R410" s="435"/>
      <c r="S410" s="435"/>
      <c r="T410" s="435"/>
      <c r="U410" s="435"/>
      <c r="V410" s="435"/>
      <c r="W410" s="740"/>
      <c r="X410" s="744"/>
      <c r="Y410" s="435"/>
      <c r="Z410" s="749"/>
      <c r="AA410" s="753"/>
      <c r="AB410" s="324"/>
      <c r="AC410" s="180"/>
      <c r="AD410" s="155"/>
      <c r="AE410" s="322"/>
      <c r="AF410" s="155"/>
      <c r="AG410" s="132"/>
    </row>
    <row r="411">
      <c r="A411" s="458"/>
      <c r="B411" s="746"/>
      <c r="C411" s="745"/>
      <c r="D411" s="751"/>
      <c r="E411" s="435"/>
      <c r="F411" s="736"/>
      <c r="G411" s="314"/>
      <c r="H411" s="314"/>
      <c r="I411" s="318"/>
      <c r="J411" s="435"/>
      <c r="K411" s="435"/>
      <c r="L411" s="744"/>
      <c r="M411" s="744"/>
      <c r="N411" s="744"/>
      <c r="O411" s="318"/>
      <c r="P411" s="740"/>
      <c r="Q411" s="744"/>
      <c r="R411" s="435"/>
      <c r="S411" s="435"/>
      <c r="T411" s="435"/>
      <c r="U411" s="435"/>
      <c r="V411" s="435"/>
      <c r="W411" s="740"/>
      <c r="X411" s="744"/>
      <c r="Y411" s="435"/>
      <c r="Z411" s="749"/>
      <c r="AA411" s="753"/>
      <c r="AB411" s="324"/>
      <c r="AC411" s="180"/>
      <c r="AD411" s="155"/>
      <c r="AE411" s="322"/>
      <c r="AF411" s="155"/>
      <c r="AG411" s="132"/>
    </row>
    <row r="412">
      <c r="A412" s="458"/>
      <c r="B412" s="746"/>
      <c r="C412" s="745"/>
      <c r="D412" s="751"/>
      <c r="E412" s="314"/>
      <c r="F412" s="736"/>
      <c r="G412" s="314"/>
      <c r="H412" s="314"/>
      <c r="I412" s="740"/>
      <c r="J412" s="435"/>
      <c r="K412" s="435"/>
      <c r="L412" s="744"/>
      <c r="M412" s="744"/>
      <c r="N412" s="744"/>
      <c r="O412" s="318"/>
      <c r="P412" s="740"/>
      <c r="Q412" s="315"/>
      <c r="R412" s="435"/>
      <c r="S412" s="435"/>
      <c r="T412" s="435"/>
      <c r="U412" s="435"/>
      <c r="V412" s="435"/>
      <c r="W412" s="740"/>
      <c r="X412" s="744"/>
      <c r="Y412" s="435"/>
      <c r="Z412" s="749"/>
      <c r="AA412" s="753"/>
      <c r="AB412" s="324"/>
      <c r="AC412" s="180"/>
      <c r="AD412" s="155"/>
      <c r="AE412" s="322"/>
      <c r="AF412" s="155"/>
      <c r="AG412" s="132"/>
    </row>
    <row r="413">
      <c r="A413" s="458"/>
      <c r="B413" s="695"/>
      <c r="C413" s="312"/>
      <c r="D413" s="717"/>
      <c r="E413" s="314"/>
      <c r="F413" s="736"/>
      <c r="G413" s="314"/>
      <c r="H413" s="314"/>
      <c r="I413" s="318"/>
      <c r="J413" s="314"/>
      <c r="K413" s="314"/>
      <c r="L413" s="315"/>
      <c r="M413" s="315"/>
      <c r="N413" s="315"/>
      <c r="O413" s="318"/>
      <c r="P413" s="318"/>
      <c r="Q413" s="315"/>
      <c r="R413" s="314"/>
      <c r="S413" s="314"/>
      <c r="T413" s="314"/>
      <c r="U413" s="314"/>
      <c r="V413" s="314"/>
      <c r="W413" s="318"/>
      <c r="X413" s="315"/>
      <c r="Y413" s="314"/>
      <c r="Z413" s="721"/>
      <c r="AA413" s="737"/>
      <c r="AB413" s="324"/>
      <c r="AC413" s="180"/>
      <c r="AD413" s="155"/>
      <c r="AE413" s="322"/>
      <c r="AF413" s="155"/>
      <c r="AG413" s="132"/>
    </row>
    <row r="414">
      <c r="A414" s="458"/>
      <c r="B414" s="746"/>
      <c r="C414" s="745"/>
      <c r="D414" s="751"/>
      <c r="E414" s="314"/>
      <c r="F414" s="736"/>
      <c r="G414" s="314"/>
      <c r="H414" s="314"/>
      <c r="I414" s="318"/>
      <c r="J414" s="314"/>
      <c r="K414" s="435"/>
      <c r="L414" s="744"/>
      <c r="M414" s="744"/>
      <c r="N414" s="315"/>
      <c r="O414" s="318"/>
      <c r="P414" s="740"/>
      <c r="Q414" s="744"/>
      <c r="R414" s="435"/>
      <c r="S414" s="435"/>
      <c r="T414" s="435"/>
      <c r="U414" s="435"/>
      <c r="V414" s="435"/>
      <c r="W414" s="740"/>
      <c r="X414" s="744"/>
      <c r="Y414" s="435"/>
      <c r="Z414" s="749"/>
      <c r="AA414" s="753"/>
      <c r="AB414" s="324"/>
      <c r="AC414" s="180"/>
      <c r="AD414" s="155"/>
      <c r="AE414" s="322"/>
      <c r="AF414" s="155"/>
      <c r="AG414" s="132"/>
    </row>
    <row r="415">
      <c r="A415" s="458"/>
      <c r="B415" s="695"/>
      <c r="C415" s="312"/>
      <c r="D415" s="751"/>
      <c r="E415" s="314"/>
      <c r="F415" s="736"/>
      <c r="G415" s="314"/>
      <c r="H415" s="314"/>
      <c r="I415" s="318"/>
      <c r="J415" s="314"/>
      <c r="K415" s="314"/>
      <c r="L415" s="315"/>
      <c r="M415" s="315"/>
      <c r="N415" s="315"/>
      <c r="O415" s="318"/>
      <c r="P415" s="318"/>
      <c r="Q415" s="315"/>
      <c r="R415" s="314"/>
      <c r="S415" s="314"/>
      <c r="T415" s="314"/>
      <c r="U415" s="314"/>
      <c r="V415" s="314"/>
      <c r="W415" s="318"/>
      <c r="X415" s="315"/>
      <c r="Y415" s="314"/>
      <c r="Z415" s="721"/>
      <c r="AA415" s="737"/>
      <c r="AB415" s="324"/>
      <c r="AC415" s="180"/>
      <c r="AD415" s="155"/>
      <c r="AE415" s="322"/>
      <c r="AF415" s="155"/>
      <c r="AG415" s="132"/>
    </row>
    <row r="416">
      <c r="A416" s="458"/>
      <c r="B416" s="695"/>
      <c r="C416" s="745"/>
      <c r="D416" s="717"/>
      <c r="E416" s="314"/>
      <c r="F416" s="736"/>
      <c r="G416" s="314"/>
      <c r="H416" s="314"/>
      <c r="I416" s="740"/>
      <c r="J416" s="314"/>
      <c r="K416" s="314"/>
      <c r="L416" s="744"/>
      <c r="M416" s="315"/>
      <c r="N416" s="315"/>
      <c r="O416" s="318"/>
      <c r="P416" s="318"/>
      <c r="Q416" s="744"/>
      <c r="R416" s="435"/>
      <c r="S416" s="435"/>
      <c r="T416" s="435"/>
      <c r="U416" s="435"/>
      <c r="V416" s="435"/>
      <c r="W416" s="740"/>
      <c r="X416" s="744"/>
      <c r="Y416" s="435"/>
      <c r="Z416" s="749"/>
      <c r="AA416" s="753"/>
      <c r="AB416" s="324"/>
      <c r="AC416" s="180"/>
      <c r="AD416" s="155"/>
      <c r="AE416" s="322"/>
      <c r="AF416" s="155"/>
      <c r="AG416" s="132"/>
    </row>
    <row r="417">
      <c r="A417" s="458"/>
      <c r="B417" s="695"/>
      <c r="C417" s="745"/>
      <c r="D417" s="751"/>
      <c r="E417" s="435"/>
      <c r="F417" s="736"/>
      <c r="G417" s="314"/>
      <c r="H417" s="435"/>
      <c r="I417" s="740"/>
      <c r="J417" s="314"/>
      <c r="K417" s="435"/>
      <c r="L417" s="744"/>
      <c r="M417" s="315"/>
      <c r="N417" s="315"/>
      <c r="O417" s="318"/>
      <c r="P417" s="740"/>
      <c r="Q417" s="744"/>
      <c r="R417" s="435"/>
      <c r="S417" s="435"/>
      <c r="T417" s="435"/>
      <c r="U417" s="435"/>
      <c r="V417" s="435"/>
      <c r="W417" s="740"/>
      <c r="X417" s="744"/>
      <c r="Y417" s="435"/>
      <c r="Z417" s="749"/>
      <c r="AA417" s="753"/>
      <c r="AB417" s="324"/>
      <c r="AC417" s="180"/>
      <c r="AD417" s="155"/>
      <c r="AE417" s="322"/>
      <c r="AF417" s="155"/>
      <c r="AG417" s="132"/>
    </row>
    <row r="418">
      <c r="A418" s="458"/>
      <c r="B418" s="695"/>
      <c r="C418" s="745"/>
      <c r="D418" s="751"/>
      <c r="E418" s="314"/>
      <c r="F418" s="736"/>
      <c r="G418" s="314"/>
      <c r="H418" s="314"/>
      <c r="I418" s="318"/>
      <c r="J418" s="314"/>
      <c r="K418" s="435"/>
      <c r="L418" s="315"/>
      <c r="M418" s="315"/>
      <c r="N418" s="315"/>
      <c r="O418" s="318"/>
      <c r="P418" s="318"/>
      <c r="Q418" s="315"/>
      <c r="R418" s="435"/>
      <c r="S418" s="435"/>
      <c r="T418" s="435"/>
      <c r="U418" s="435"/>
      <c r="V418" s="435"/>
      <c r="W418" s="740"/>
      <c r="X418" s="744"/>
      <c r="Y418" s="435"/>
      <c r="Z418" s="749"/>
      <c r="AA418" s="753"/>
      <c r="AB418" s="324"/>
      <c r="AC418" s="180"/>
      <c r="AD418" s="155"/>
      <c r="AE418" s="322"/>
      <c r="AF418" s="155"/>
      <c r="AG418" s="132"/>
    </row>
    <row r="419">
      <c r="A419" s="458"/>
      <c r="B419" s="746"/>
      <c r="C419" s="745"/>
      <c r="D419" s="751"/>
      <c r="E419" s="435"/>
      <c r="F419" s="736"/>
      <c r="G419" s="314"/>
      <c r="H419" s="435"/>
      <c r="I419" s="740"/>
      <c r="J419" s="435"/>
      <c r="K419" s="435"/>
      <c r="L419" s="744"/>
      <c r="M419" s="744"/>
      <c r="N419" s="744"/>
      <c r="O419" s="318"/>
      <c r="P419" s="740"/>
      <c r="Q419" s="744"/>
      <c r="R419" s="435"/>
      <c r="S419" s="435"/>
      <c r="T419" s="435"/>
      <c r="U419" s="435"/>
      <c r="V419" s="435"/>
      <c r="W419" s="740"/>
      <c r="X419" s="744"/>
      <c r="Y419" s="435"/>
      <c r="Z419" s="749"/>
      <c r="AA419" s="753"/>
      <c r="AB419" s="324"/>
      <c r="AC419" s="180"/>
      <c r="AD419" s="155"/>
      <c r="AE419" s="322"/>
      <c r="AF419" s="155"/>
      <c r="AG419" s="132"/>
    </row>
    <row r="420">
      <c r="A420" s="435"/>
      <c r="B420" s="746"/>
      <c r="C420" s="745"/>
      <c r="D420" s="751"/>
      <c r="E420" s="435"/>
      <c r="F420" s="736"/>
      <c r="G420" s="314"/>
      <c r="H420" s="435"/>
      <c r="I420" s="740"/>
      <c r="J420" s="435"/>
      <c r="K420" s="435"/>
      <c r="L420" s="744"/>
      <c r="M420" s="744"/>
      <c r="N420" s="744"/>
      <c r="O420" s="318"/>
      <c r="P420" s="740"/>
      <c r="Q420" s="744"/>
      <c r="R420" s="435"/>
      <c r="S420" s="435"/>
      <c r="T420" s="435"/>
      <c r="U420" s="435"/>
      <c r="V420" s="435"/>
      <c r="W420" s="740"/>
      <c r="X420" s="744"/>
      <c r="Y420" s="435"/>
      <c r="Z420" s="749"/>
      <c r="AA420" s="753"/>
      <c r="AB420" s="324"/>
      <c r="AC420" s="180"/>
      <c r="AD420" s="155"/>
      <c r="AE420" s="322"/>
      <c r="AF420" s="155"/>
      <c r="AG420" s="132"/>
    </row>
    <row r="421">
      <c r="A421" s="474"/>
      <c r="B421" s="746"/>
      <c r="C421" s="745"/>
      <c r="D421" s="751"/>
      <c r="E421" s="435"/>
      <c r="F421" s="736"/>
      <c r="G421" s="314"/>
      <c r="H421" s="435"/>
      <c r="I421" s="740"/>
      <c r="J421" s="435"/>
      <c r="K421" s="435"/>
      <c r="L421" s="744"/>
      <c r="M421" s="744"/>
      <c r="N421" s="744"/>
      <c r="O421" s="318"/>
      <c r="P421" s="740"/>
      <c r="Q421" s="744"/>
      <c r="R421" s="435"/>
      <c r="S421" s="435"/>
      <c r="T421" s="435"/>
      <c r="U421" s="435"/>
      <c r="V421" s="435"/>
      <c r="W421" s="740"/>
      <c r="X421" s="744"/>
      <c r="Y421" s="435"/>
      <c r="Z421" s="749"/>
      <c r="AA421" s="753"/>
      <c r="AB421" s="324"/>
      <c r="AC421" s="180"/>
      <c r="AD421" s="155"/>
      <c r="AE421" s="322"/>
      <c r="AF421" s="155"/>
      <c r="AG421" s="132"/>
    </row>
    <row r="422">
      <c r="A422" s="474"/>
      <c r="B422" s="746"/>
      <c r="C422" s="312"/>
      <c r="D422" s="751"/>
      <c r="E422" s="435"/>
      <c r="F422" s="736"/>
      <c r="G422" s="314"/>
      <c r="H422" s="435"/>
      <c r="I422" s="740"/>
      <c r="J422" s="435"/>
      <c r="K422" s="314"/>
      <c r="L422" s="315"/>
      <c r="M422" s="315"/>
      <c r="N422" s="744"/>
      <c r="O422" s="318"/>
      <c r="P422" s="318"/>
      <c r="Q422" s="744"/>
      <c r="R422" s="314"/>
      <c r="S422" s="435"/>
      <c r="T422" s="435"/>
      <c r="U422" s="435"/>
      <c r="V422" s="435"/>
      <c r="W422" s="740"/>
      <c r="X422" s="744"/>
      <c r="Y422" s="435"/>
      <c r="Z422" s="749"/>
      <c r="AA422" s="753"/>
      <c r="AB422" s="324"/>
      <c r="AC422" s="180"/>
      <c r="AD422" s="155"/>
      <c r="AE422" s="322"/>
      <c r="AF422" s="155"/>
      <c r="AG422" s="132"/>
    </row>
    <row r="423">
      <c r="A423" s="474"/>
      <c r="B423" s="695"/>
      <c r="C423" s="312"/>
      <c r="D423" s="717"/>
      <c r="E423" s="314"/>
      <c r="F423" s="736"/>
      <c r="G423" s="314"/>
      <c r="H423" s="314"/>
      <c r="I423" s="318"/>
      <c r="J423" s="314"/>
      <c r="K423" s="435"/>
      <c r="L423" s="315"/>
      <c r="M423" s="315"/>
      <c r="N423" s="315"/>
      <c r="O423" s="318"/>
      <c r="P423" s="740"/>
      <c r="Q423" s="315"/>
      <c r="R423" s="314"/>
      <c r="S423" s="314"/>
      <c r="T423" s="314"/>
      <c r="U423" s="314"/>
      <c r="V423" s="314"/>
      <c r="W423" s="318"/>
      <c r="X423" s="315"/>
      <c r="Y423" s="314"/>
      <c r="Z423" s="721"/>
      <c r="AA423" s="737"/>
      <c r="AB423" s="324"/>
      <c r="AC423" s="180"/>
      <c r="AD423" s="155"/>
      <c r="AE423" s="322"/>
      <c r="AF423" s="155"/>
      <c r="AG423" s="132"/>
    </row>
    <row r="424">
      <c r="A424" s="474"/>
      <c r="B424" s="695"/>
      <c r="C424" s="745"/>
      <c r="D424" s="751"/>
      <c r="E424" s="314"/>
      <c r="F424" s="736"/>
      <c r="G424" s="314"/>
      <c r="H424" s="314"/>
      <c r="I424" s="740"/>
      <c r="J424" s="314"/>
      <c r="K424" s="314"/>
      <c r="L424" s="315"/>
      <c r="M424" s="315"/>
      <c r="N424" s="315"/>
      <c r="O424" s="318"/>
      <c r="P424" s="318"/>
      <c r="Q424" s="315"/>
      <c r="R424" s="314"/>
      <c r="S424" s="314"/>
      <c r="T424" s="314"/>
      <c r="U424" s="314"/>
      <c r="V424" s="314"/>
      <c r="W424" s="318"/>
      <c r="X424" s="315"/>
      <c r="Y424" s="314"/>
      <c r="Z424" s="721"/>
      <c r="AA424" s="737"/>
      <c r="AB424" s="324"/>
      <c r="AC424" s="180"/>
      <c r="AD424" s="155"/>
      <c r="AE424" s="322"/>
      <c r="AF424" s="155"/>
      <c r="AG424" s="132"/>
    </row>
    <row r="425">
      <c r="A425" s="474"/>
      <c r="B425" s="695"/>
      <c r="C425" s="312"/>
      <c r="D425" s="717"/>
      <c r="E425" s="314"/>
      <c r="F425" s="736"/>
      <c r="G425" s="314"/>
      <c r="H425" s="314"/>
      <c r="I425" s="318"/>
      <c r="J425" s="314"/>
      <c r="K425" s="435"/>
      <c r="L425" s="315"/>
      <c r="M425" s="315"/>
      <c r="N425" s="315"/>
      <c r="O425" s="318"/>
      <c r="P425" s="318"/>
      <c r="Q425" s="315"/>
      <c r="R425" s="314"/>
      <c r="S425" s="314"/>
      <c r="T425" s="314"/>
      <c r="U425" s="314"/>
      <c r="V425" s="314"/>
      <c r="W425" s="318"/>
      <c r="X425" s="315"/>
      <c r="Y425" s="314"/>
      <c r="Z425" s="721"/>
      <c r="AA425" s="737"/>
      <c r="AB425" s="324"/>
      <c r="AC425" s="180"/>
      <c r="AD425" s="155"/>
      <c r="AE425" s="322"/>
      <c r="AF425" s="155"/>
      <c r="AG425" s="132"/>
    </row>
    <row r="426">
      <c r="A426" s="458"/>
      <c r="B426" s="695"/>
      <c r="C426" s="745"/>
      <c r="D426" s="717"/>
      <c r="E426" s="314"/>
      <c r="F426" s="736"/>
      <c r="G426" s="314"/>
      <c r="H426" s="314"/>
      <c r="I426" s="318"/>
      <c r="J426" s="435"/>
      <c r="K426" s="435"/>
      <c r="L426" s="315"/>
      <c r="M426" s="315"/>
      <c r="N426" s="315"/>
      <c r="O426" s="318"/>
      <c r="P426" s="318"/>
      <c r="Q426" s="315"/>
      <c r="R426" s="314"/>
      <c r="S426" s="314"/>
      <c r="T426" s="314"/>
      <c r="U426" s="314"/>
      <c r="V426" s="314"/>
      <c r="W426" s="318"/>
      <c r="X426" s="315"/>
      <c r="Y426" s="314"/>
      <c r="Z426" s="721"/>
      <c r="AA426" s="737"/>
      <c r="AB426" s="324"/>
      <c r="AC426" s="180"/>
      <c r="AD426" s="155"/>
      <c r="AE426" s="322"/>
      <c r="AF426" s="155"/>
      <c r="AG426" s="132"/>
    </row>
    <row r="427">
      <c r="A427" s="435"/>
      <c r="B427" s="695"/>
      <c r="C427" s="745"/>
      <c r="D427" s="751"/>
      <c r="E427" s="435"/>
      <c r="F427" s="736"/>
      <c r="G427" s="314"/>
      <c r="H427" s="435"/>
      <c r="I427" s="318"/>
      <c r="J427" s="314"/>
      <c r="K427" s="435"/>
      <c r="L427" s="315"/>
      <c r="M427" s="744"/>
      <c r="N427" s="744"/>
      <c r="O427" s="318"/>
      <c r="P427" s="318"/>
      <c r="Q427" s="315"/>
      <c r="R427" s="435"/>
      <c r="S427" s="314"/>
      <c r="T427" s="314"/>
      <c r="U427" s="314"/>
      <c r="V427" s="314"/>
      <c r="W427" s="318"/>
      <c r="X427" s="315"/>
      <c r="Y427" s="314"/>
      <c r="Z427" s="721"/>
      <c r="AA427" s="737"/>
      <c r="AB427" s="324"/>
      <c r="AC427" s="180"/>
      <c r="AD427" s="155"/>
      <c r="AE427" s="322"/>
      <c r="AF427" s="155"/>
      <c r="AG427" s="132"/>
    </row>
    <row r="428">
      <c r="A428" s="435"/>
      <c r="B428" s="746"/>
      <c r="C428" s="312"/>
      <c r="D428" s="717"/>
      <c r="E428" s="314"/>
      <c r="F428" s="736"/>
      <c r="G428" s="314"/>
      <c r="H428" s="314"/>
      <c r="I428" s="318"/>
      <c r="J428" s="314"/>
      <c r="K428" s="314"/>
      <c r="L428" s="315"/>
      <c r="M428" s="315"/>
      <c r="N428" s="315"/>
      <c r="O428" s="318"/>
      <c r="P428" s="740"/>
      <c r="Q428" s="315"/>
      <c r="R428" s="314"/>
      <c r="S428" s="314"/>
      <c r="T428" s="314"/>
      <c r="U428" s="314"/>
      <c r="V428" s="314"/>
      <c r="W428" s="318"/>
      <c r="X428" s="315"/>
      <c r="Y428" s="314"/>
      <c r="Z428" s="721"/>
      <c r="AA428" s="737"/>
      <c r="AB428" s="324"/>
      <c r="AC428" s="180"/>
      <c r="AD428" s="155"/>
      <c r="AE428" s="322"/>
      <c r="AF428" s="155"/>
      <c r="AG428" s="132"/>
    </row>
    <row r="429">
      <c r="A429" s="435"/>
      <c r="B429" s="746"/>
      <c r="C429" s="312"/>
      <c r="D429" s="717"/>
      <c r="E429" s="314"/>
      <c r="F429" s="736"/>
      <c r="G429" s="314"/>
      <c r="H429" s="314"/>
      <c r="I429" s="318"/>
      <c r="J429" s="314"/>
      <c r="K429" s="314"/>
      <c r="L429" s="315"/>
      <c r="M429" s="315"/>
      <c r="N429" s="315"/>
      <c r="O429" s="318"/>
      <c r="P429" s="318"/>
      <c r="Q429" s="744"/>
      <c r="R429" s="314"/>
      <c r="S429" s="435"/>
      <c r="T429" s="435"/>
      <c r="U429" s="435"/>
      <c r="V429" s="435"/>
      <c r="W429" s="740"/>
      <c r="X429" s="744"/>
      <c r="Y429" s="435"/>
      <c r="Z429" s="749"/>
      <c r="AA429" s="753"/>
      <c r="AB429" s="324"/>
      <c r="AC429" s="180"/>
      <c r="AD429" s="155"/>
      <c r="AE429" s="322"/>
      <c r="AF429" s="155"/>
      <c r="AG429" s="132"/>
    </row>
    <row r="430">
      <c r="A430" s="435"/>
      <c r="B430" s="695"/>
      <c r="C430" s="745"/>
      <c r="D430" s="717"/>
      <c r="E430" s="314"/>
      <c r="F430" s="736"/>
      <c r="G430" s="314"/>
      <c r="H430" s="314"/>
      <c r="I430" s="318"/>
      <c r="J430" s="314"/>
      <c r="K430" s="314"/>
      <c r="L430" s="315"/>
      <c r="M430" s="315"/>
      <c r="N430" s="315"/>
      <c r="O430" s="318"/>
      <c r="P430" s="318"/>
      <c r="Q430" s="315"/>
      <c r="R430" s="435"/>
      <c r="S430" s="314"/>
      <c r="T430" s="314"/>
      <c r="U430" s="314"/>
      <c r="V430" s="314"/>
      <c r="W430" s="318"/>
      <c r="X430" s="315"/>
      <c r="Y430" s="314"/>
      <c r="Z430" s="721"/>
      <c r="AA430" s="737"/>
      <c r="AB430" s="324"/>
      <c r="AC430" s="180"/>
      <c r="AD430" s="155"/>
      <c r="AE430" s="322"/>
      <c r="AF430" s="155"/>
      <c r="AG430" s="132"/>
    </row>
    <row r="431">
      <c r="A431" s="435"/>
      <c r="B431" s="695"/>
      <c r="C431" s="312"/>
      <c r="D431" s="717"/>
      <c r="E431" s="314"/>
      <c r="F431" s="736"/>
      <c r="G431" s="314"/>
      <c r="H431" s="314"/>
      <c r="I431" s="318"/>
      <c r="J431" s="314"/>
      <c r="K431" s="435"/>
      <c r="L431" s="315"/>
      <c r="M431" s="744"/>
      <c r="N431" s="315"/>
      <c r="O431" s="318"/>
      <c r="P431" s="318"/>
      <c r="Q431" s="744"/>
      <c r="R431" s="314"/>
      <c r="S431" s="314"/>
      <c r="T431" s="314"/>
      <c r="U431" s="314"/>
      <c r="V431" s="314"/>
      <c r="W431" s="318"/>
      <c r="X431" s="315"/>
      <c r="Y431" s="314"/>
      <c r="Z431" s="721"/>
      <c r="AA431" s="737"/>
      <c r="AB431" s="324"/>
      <c r="AC431" s="180"/>
      <c r="AD431" s="155"/>
      <c r="AE431" s="322"/>
      <c r="AF431" s="155"/>
      <c r="AG431" s="132"/>
    </row>
    <row r="432">
      <c r="A432" s="435"/>
      <c r="B432" s="695"/>
      <c r="C432" s="745"/>
      <c r="D432" s="751"/>
      <c r="E432" s="314"/>
      <c r="F432" s="736"/>
      <c r="G432" s="314"/>
      <c r="H432" s="314"/>
      <c r="I432" s="318"/>
      <c r="J432" s="314"/>
      <c r="K432" s="435"/>
      <c r="L432" s="315"/>
      <c r="M432" s="744"/>
      <c r="N432" s="315"/>
      <c r="O432" s="318"/>
      <c r="P432" s="318"/>
      <c r="Q432" s="744"/>
      <c r="R432" s="314"/>
      <c r="S432" s="314"/>
      <c r="T432" s="314"/>
      <c r="U432" s="314"/>
      <c r="V432" s="314"/>
      <c r="W432" s="318"/>
      <c r="X432" s="315"/>
      <c r="Y432" s="314"/>
      <c r="Z432" s="721"/>
      <c r="AA432" s="737"/>
      <c r="AB432" s="324"/>
      <c r="AC432" s="180"/>
      <c r="AD432" s="155"/>
      <c r="AE432" s="322"/>
      <c r="AF432" s="155"/>
      <c r="AG432" s="132"/>
    </row>
    <row r="433">
      <c r="A433" s="476"/>
      <c r="AD433" s="176"/>
      <c r="AE433" s="322"/>
      <c r="AF433" s="155"/>
      <c r="AG433" s="132"/>
    </row>
    <row r="434">
      <c r="A434" s="178"/>
      <c r="AE434" s="322"/>
      <c r="AF434" s="155"/>
      <c r="AG434" s="132"/>
    </row>
    <row r="435">
      <c r="A435" s="474"/>
      <c r="B435" s="746"/>
      <c r="C435" s="745"/>
      <c r="D435" s="751"/>
      <c r="E435" s="435"/>
      <c r="F435" s="736"/>
      <c r="G435" s="314"/>
      <c r="H435" s="314"/>
      <c r="I435" s="740"/>
      <c r="J435" s="435"/>
      <c r="K435" s="435"/>
      <c r="L435" s="744"/>
      <c r="M435" s="744"/>
      <c r="N435" s="744"/>
      <c r="O435" s="318"/>
      <c r="P435" s="740"/>
      <c r="Q435" s="744"/>
      <c r="R435" s="435"/>
      <c r="S435" s="435"/>
      <c r="T435" s="435"/>
      <c r="U435" s="435"/>
      <c r="V435" s="435"/>
      <c r="W435" s="740"/>
      <c r="X435" s="744"/>
      <c r="Y435" s="435"/>
      <c r="Z435" s="749"/>
      <c r="AA435" s="753"/>
      <c r="AB435" s="324"/>
      <c r="AC435" s="180"/>
      <c r="AD435" s="155"/>
      <c r="AE435" s="322"/>
      <c r="AF435" s="155"/>
      <c r="AG435" s="132"/>
    </row>
    <row r="436">
      <c r="A436" s="474"/>
      <c r="B436" s="695"/>
      <c r="C436" s="745"/>
      <c r="D436" s="751"/>
      <c r="E436" s="435"/>
      <c r="F436" s="736"/>
      <c r="G436" s="314"/>
      <c r="H436" s="435"/>
      <c r="I436" s="318"/>
      <c r="J436" s="435"/>
      <c r="K436" s="435"/>
      <c r="L436" s="744"/>
      <c r="M436" s="315"/>
      <c r="N436" s="315"/>
      <c r="O436" s="318"/>
      <c r="P436" s="740"/>
      <c r="Q436" s="744"/>
      <c r="R436" s="435"/>
      <c r="S436" s="435"/>
      <c r="T436" s="435"/>
      <c r="U436" s="435"/>
      <c r="V436" s="435"/>
      <c r="W436" s="740"/>
      <c r="X436" s="744"/>
      <c r="Y436" s="435"/>
      <c r="Z436" s="749"/>
      <c r="AA436" s="753"/>
      <c r="AB436" s="324"/>
      <c r="AC436" s="180"/>
      <c r="AD436" s="155"/>
      <c r="AE436" s="322"/>
      <c r="AF436" s="155"/>
      <c r="AG436" s="132"/>
    </row>
    <row r="437">
      <c r="A437" s="477"/>
      <c r="B437" s="746"/>
      <c r="C437" s="745"/>
      <c r="D437" s="751"/>
      <c r="E437" s="314"/>
      <c r="F437" s="736"/>
      <c r="G437" s="314"/>
      <c r="H437" s="435"/>
      <c r="I437" s="740"/>
      <c r="J437" s="435"/>
      <c r="K437" s="435"/>
      <c r="L437" s="744"/>
      <c r="M437" s="744"/>
      <c r="N437" s="744"/>
      <c r="O437" s="318"/>
      <c r="P437" s="740"/>
      <c r="Q437" s="744"/>
      <c r="R437" s="435"/>
      <c r="S437" s="435"/>
      <c r="T437" s="435"/>
      <c r="U437" s="435"/>
      <c r="V437" s="435"/>
      <c r="W437" s="740"/>
      <c r="X437" s="744"/>
      <c r="Y437" s="435"/>
      <c r="Z437" s="749"/>
      <c r="AA437" s="753"/>
      <c r="AB437" s="324"/>
      <c r="AC437" s="180"/>
      <c r="AD437" s="155"/>
      <c r="AE437" s="322"/>
      <c r="AF437" s="155"/>
      <c r="AG437" s="132"/>
    </row>
    <row r="438">
      <c r="A438" s="477"/>
      <c r="B438" s="746"/>
      <c r="C438" s="745"/>
      <c r="D438" s="751"/>
      <c r="E438" s="314"/>
      <c r="F438" s="736"/>
      <c r="G438" s="314"/>
      <c r="H438" s="435"/>
      <c r="I438" s="318"/>
      <c r="J438" s="314"/>
      <c r="K438" s="435"/>
      <c r="L438" s="744"/>
      <c r="M438" s="744"/>
      <c r="N438" s="315"/>
      <c r="O438" s="318"/>
      <c r="P438" s="740"/>
      <c r="Q438" s="744"/>
      <c r="R438" s="435"/>
      <c r="S438" s="435"/>
      <c r="T438" s="435"/>
      <c r="U438" s="435"/>
      <c r="V438" s="435"/>
      <c r="W438" s="740"/>
      <c r="X438" s="744"/>
      <c r="Y438" s="435"/>
      <c r="Z438" s="749"/>
      <c r="AA438" s="753"/>
      <c r="AB438" s="324"/>
      <c r="AC438" s="180"/>
      <c r="AD438" s="155"/>
      <c r="AE438" s="322"/>
      <c r="AF438" s="155"/>
      <c r="AG438" s="132"/>
    </row>
    <row r="439">
      <c r="A439" s="477"/>
      <c r="B439" s="746"/>
      <c r="C439" s="745"/>
      <c r="D439" s="751"/>
      <c r="E439" s="435"/>
      <c r="F439" s="736"/>
      <c r="G439" s="314"/>
      <c r="H439" s="435"/>
      <c r="I439" s="740"/>
      <c r="J439" s="435"/>
      <c r="K439" s="435"/>
      <c r="L439" s="744"/>
      <c r="M439" s="744"/>
      <c r="N439" s="744"/>
      <c r="O439" s="318"/>
      <c r="P439" s="740"/>
      <c r="Q439" s="744"/>
      <c r="R439" s="435"/>
      <c r="S439" s="435"/>
      <c r="T439" s="435"/>
      <c r="U439" s="435"/>
      <c r="V439" s="435"/>
      <c r="W439" s="740"/>
      <c r="X439" s="744"/>
      <c r="Y439" s="435"/>
      <c r="Z439" s="749"/>
      <c r="AA439" s="753"/>
      <c r="AB439" s="324"/>
      <c r="AC439" s="180"/>
      <c r="AD439" s="155"/>
      <c r="AE439" s="322"/>
      <c r="AF439" s="155"/>
      <c r="AG439" s="132"/>
    </row>
    <row r="440">
      <c r="A440" s="474"/>
      <c r="B440" s="695"/>
      <c r="C440" s="745"/>
      <c r="D440" s="717"/>
      <c r="E440" s="435"/>
      <c r="F440" s="736"/>
      <c r="G440" s="314"/>
      <c r="H440" s="435"/>
      <c r="I440" s="318"/>
      <c r="J440" s="435"/>
      <c r="K440" s="435"/>
      <c r="L440" s="315"/>
      <c r="M440" s="744"/>
      <c r="N440" s="315"/>
      <c r="O440" s="318"/>
      <c r="P440" s="740"/>
      <c r="Q440" s="744"/>
      <c r="R440" s="435"/>
      <c r="S440" s="435"/>
      <c r="T440" s="435"/>
      <c r="U440" s="435"/>
      <c r="V440" s="435"/>
      <c r="W440" s="740"/>
      <c r="X440" s="744"/>
      <c r="Y440" s="435"/>
      <c r="Z440" s="749"/>
      <c r="AA440" s="753"/>
      <c r="AB440" s="324"/>
      <c r="AC440" s="180"/>
      <c r="AD440" s="155"/>
      <c r="AE440" s="322"/>
      <c r="AF440" s="155"/>
      <c r="AG440" s="132"/>
    </row>
    <row r="441">
      <c r="A441" s="478"/>
      <c r="B441" s="746"/>
      <c r="C441" s="745"/>
      <c r="D441" s="751"/>
      <c r="E441" s="435"/>
      <c r="F441" s="736"/>
      <c r="G441" s="314"/>
      <c r="H441" s="435"/>
      <c r="I441" s="740"/>
      <c r="J441" s="435"/>
      <c r="K441" s="435"/>
      <c r="L441" s="744"/>
      <c r="M441" s="744"/>
      <c r="N441" s="744"/>
      <c r="O441" s="318"/>
      <c r="P441" s="740"/>
      <c r="Q441" s="744"/>
      <c r="R441" s="435"/>
      <c r="S441" s="435"/>
      <c r="T441" s="435"/>
      <c r="U441" s="435"/>
      <c r="V441" s="435"/>
      <c r="W441" s="740"/>
      <c r="X441" s="744"/>
      <c r="Y441" s="435"/>
      <c r="Z441" s="749"/>
      <c r="AA441" s="753"/>
      <c r="AB441" s="324"/>
      <c r="AC441" s="180"/>
      <c r="AD441" s="155"/>
      <c r="AE441" s="322"/>
      <c r="AF441" s="155"/>
      <c r="AG441" s="132"/>
    </row>
    <row r="442">
      <c r="A442" s="478"/>
      <c r="B442" s="746"/>
      <c r="C442" s="745"/>
      <c r="D442" s="751"/>
      <c r="E442" s="435"/>
      <c r="F442" s="736"/>
      <c r="G442" s="314"/>
      <c r="H442" s="435"/>
      <c r="I442" s="740"/>
      <c r="J442" s="435"/>
      <c r="K442" s="435"/>
      <c r="L442" s="744"/>
      <c r="M442" s="744"/>
      <c r="N442" s="744"/>
      <c r="O442" s="318"/>
      <c r="P442" s="740"/>
      <c r="Q442" s="744"/>
      <c r="R442" s="435"/>
      <c r="S442" s="435"/>
      <c r="T442" s="435"/>
      <c r="U442" s="435"/>
      <c r="V442" s="435"/>
      <c r="W442" s="740"/>
      <c r="X442" s="744"/>
      <c r="Y442" s="435"/>
      <c r="Z442" s="749"/>
      <c r="AA442" s="753"/>
      <c r="AB442" s="324"/>
      <c r="AC442" s="180"/>
      <c r="AD442" s="155"/>
      <c r="AE442" s="322"/>
      <c r="AF442" s="155"/>
      <c r="AG442" s="132"/>
    </row>
    <row r="443">
      <c r="A443" s="478"/>
      <c r="B443" s="746"/>
      <c r="C443" s="745"/>
      <c r="D443" s="717"/>
      <c r="E443" s="314"/>
      <c r="F443" s="736"/>
      <c r="G443" s="314"/>
      <c r="H443" s="435"/>
      <c r="I443" s="740"/>
      <c r="J443" s="314"/>
      <c r="K443" s="435"/>
      <c r="L443" s="315"/>
      <c r="M443" s="744"/>
      <c r="N443" s="315"/>
      <c r="O443" s="318"/>
      <c r="P443" s="318"/>
      <c r="Q443" s="315"/>
      <c r="R443" s="314"/>
      <c r="S443" s="435"/>
      <c r="T443" s="435"/>
      <c r="U443" s="435"/>
      <c r="V443" s="435"/>
      <c r="W443" s="740"/>
      <c r="X443" s="744"/>
      <c r="Y443" s="435"/>
      <c r="Z443" s="749"/>
      <c r="AA443" s="753"/>
      <c r="AB443" s="324"/>
      <c r="AC443" s="180"/>
      <c r="AD443" s="155"/>
      <c r="AE443" s="322"/>
      <c r="AF443" s="155"/>
      <c r="AG443" s="132"/>
    </row>
    <row r="444">
      <c r="A444" s="477"/>
      <c r="B444" s="695"/>
      <c r="C444" s="745"/>
      <c r="D444" s="751"/>
      <c r="E444" s="435"/>
      <c r="F444" s="736"/>
      <c r="G444" s="314"/>
      <c r="H444" s="435"/>
      <c r="I444" s="740"/>
      <c r="J444" s="435"/>
      <c r="K444" s="435"/>
      <c r="L444" s="744"/>
      <c r="M444" s="744"/>
      <c r="N444" s="744"/>
      <c r="O444" s="318"/>
      <c r="P444" s="740"/>
      <c r="Q444" s="744"/>
      <c r="R444" s="435"/>
      <c r="S444" s="435"/>
      <c r="T444" s="435"/>
      <c r="U444" s="435"/>
      <c r="V444" s="435"/>
      <c r="W444" s="740"/>
      <c r="X444" s="744"/>
      <c r="Y444" s="435"/>
      <c r="Z444" s="749"/>
      <c r="AA444" s="753"/>
      <c r="AB444" s="324"/>
      <c r="AC444" s="180"/>
      <c r="AD444" s="155"/>
      <c r="AE444" s="322"/>
      <c r="AF444" s="155"/>
      <c r="AG444" s="132"/>
    </row>
    <row r="445">
      <c r="A445" s="477"/>
      <c r="B445" s="695"/>
      <c r="C445" s="312"/>
      <c r="D445" s="717"/>
      <c r="E445" s="314"/>
      <c r="F445" s="736"/>
      <c r="G445" s="314"/>
      <c r="H445" s="435"/>
      <c r="I445" s="318"/>
      <c r="J445" s="314"/>
      <c r="K445" s="314"/>
      <c r="L445" s="315"/>
      <c r="M445" s="315"/>
      <c r="N445" s="744"/>
      <c r="O445" s="318"/>
      <c r="P445" s="318"/>
      <c r="Q445" s="744"/>
      <c r="R445" s="314"/>
      <c r="S445" s="314"/>
      <c r="T445" s="314"/>
      <c r="U445" s="314"/>
      <c r="V445" s="314"/>
      <c r="W445" s="318"/>
      <c r="X445" s="315"/>
      <c r="Y445" s="314"/>
      <c r="Z445" s="721"/>
      <c r="AA445" s="737"/>
      <c r="AB445" s="324"/>
      <c r="AC445" s="180"/>
      <c r="AD445" s="155"/>
      <c r="AE445" s="322"/>
      <c r="AF445" s="155"/>
      <c r="AG445" s="132"/>
    </row>
    <row r="446">
      <c r="A446" s="477"/>
      <c r="B446" s="695"/>
      <c r="C446" s="312"/>
      <c r="D446" s="717"/>
      <c r="E446" s="314"/>
      <c r="F446" s="736"/>
      <c r="G446" s="314"/>
      <c r="H446" s="314"/>
      <c r="I446" s="318"/>
      <c r="J446" s="314"/>
      <c r="K446" s="314"/>
      <c r="L446" s="315"/>
      <c r="M446" s="315"/>
      <c r="N446" s="315"/>
      <c r="O446" s="318"/>
      <c r="P446" s="318"/>
      <c r="Q446" s="315"/>
      <c r="R446" s="314"/>
      <c r="S446" s="314"/>
      <c r="T446" s="314"/>
      <c r="U446" s="314"/>
      <c r="V446" s="314"/>
      <c r="W446" s="318"/>
      <c r="X446" s="315"/>
      <c r="Y446" s="314"/>
      <c r="Z446" s="721"/>
      <c r="AA446" s="737"/>
      <c r="AB446" s="324"/>
      <c r="AC446" s="180"/>
      <c r="AD446" s="155"/>
      <c r="AE446" s="322"/>
      <c r="AF446" s="155"/>
      <c r="AG446" s="132"/>
    </row>
    <row r="447">
      <c r="A447" s="476"/>
      <c r="AD447" s="176"/>
      <c r="AE447" s="322"/>
      <c r="AF447" s="155"/>
      <c r="AG447" s="132"/>
    </row>
    <row r="448">
      <c r="A448" s="178"/>
      <c r="AE448" s="322"/>
      <c r="AF448" s="155"/>
      <c r="AG448" s="132"/>
    </row>
    <row r="449">
      <c r="A449" s="477"/>
      <c r="B449" s="746"/>
      <c r="C449" s="745"/>
      <c r="D449" s="751"/>
      <c r="E449" s="314"/>
      <c r="F449" s="736"/>
      <c r="G449" s="314"/>
      <c r="H449" s="314"/>
      <c r="I449" s="318"/>
      <c r="J449" s="314"/>
      <c r="K449" s="435"/>
      <c r="L449" s="744"/>
      <c r="M449" s="315"/>
      <c r="N449" s="315"/>
      <c r="O449" s="318"/>
      <c r="P449" s="318"/>
      <c r="Q449" s="744"/>
      <c r="R449" s="435"/>
      <c r="S449" s="435"/>
      <c r="T449" s="435"/>
      <c r="U449" s="435"/>
      <c r="V449" s="435"/>
      <c r="W449" s="740"/>
      <c r="X449" s="744"/>
      <c r="Y449" s="435"/>
      <c r="Z449" s="749"/>
      <c r="AA449" s="753"/>
      <c r="AB449" s="324"/>
      <c r="AC449" s="180"/>
      <c r="AD449" s="155"/>
      <c r="AE449" s="322"/>
      <c r="AF449" s="155"/>
      <c r="AG449" s="132"/>
    </row>
    <row r="450">
      <c r="A450" s="477"/>
      <c r="B450" s="695"/>
      <c r="C450" s="745"/>
      <c r="D450" s="751"/>
      <c r="E450" s="314"/>
      <c r="F450" s="736"/>
      <c r="G450" s="314"/>
      <c r="H450" s="314"/>
      <c r="I450" s="740"/>
      <c r="J450" s="435"/>
      <c r="K450" s="435"/>
      <c r="L450" s="315"/>
      <c r="M450" s="744"/>
      <c r="N450" s="315"/>
      <c r="O450" s="318"/>
      <c r="P450" s="318"/>
      <c r="Q450" s="744"/>
      <c r="R450" s="435"/>
      <c r="S450" s="435"/>
      <c r="T450" s="435"/>
      <c r="U450" s="435"/>
      <c r="V450" s="435"/>
      <c r="W450" s="740"/>
      <c r="X450" s="744"/>
      <c r="Y450" s="435"/>
      <c r="Z450" s="749"/>
      <c r="AA450" s="753"/>
      <c r="AB450" s="324"/>
      <c r="AC450" s="180"/>
      <c r="AD450" s="155"/>
      <c r="AE450" s="322"/>
      <c r="AF450" s="155"/>
      <c r="AG450" s="132"/>
    </row>
    <row r="451">
      <c r="A451" s="477"/>
      <c r="B451" s="695"/>
      <c r="C451" s="745"/>
      <c r="D451" s="751"/>
      <c r="E451" s="435"/>
      <c r="F451" s="736"/>
      <c r="G451" s="314"/>
      <c r="H451" s="435"/>
      <c r="I451" s="318"/>
      <c r="J451" s="314"/>
      <c r="K451" s="435"/>
      <c r="L451" s="315"/>
      <c r="M451" s="744"/>
      <c r="N451" s="744"/>
      <c r="O451" s="318"/>
      <c r="P451" s="740"/>
      <c r="Q451" s="744"/>
      <c r="R451" s="435"/>
      <c r="S451" s="435"/>
      <c r="T451" s="435"/>
      <c r="U451" s="435"/>
      <c r="V451" s="435"/>
      <c r="W451" s="740"/>
      <c r="X451" s="744"/>
      <c r="Y451" s="435"/>
      <c r="Z451" s="749"/>
      <c r="AA451" s="753"/>
      <c r="AB451" s="324"/>
      <c r="AC451" s="180"/>
      <c r="AD451" s="155"/>
      <c r="AE451" s="322"/>
      <c r="AF451" s="155"/>
      <c r="AG451" s="132"/>
    </row>
    <row r="452">
      <c r="A452" s="479"/>
      <c r="B452" s="695"/>
      <c r="C452" s="312"/>
      <c r="D452" s="717"/>
      <c r="E452" s="314"/>
      <c r="F452" s="736"/>
      <c r="G452" s="314"/>
      <c r="H452" s="314"/>
      <c r="I452" s="318"/>
      <c r="J452" s="314"/>
      <c r="K452" s="314"/>
      <c r="L452" s="315"/>
      <c r="M452" s="315"/>
      <c r="N452" s="315"/>
      <c r="O452" s="318"/>
      <c r="P452" s="318"/>
      <c r="Q452" s="744"/>
      <c r="R452" s="314"/>
      <c r="S452" s="314"/>
      <c r="T452" s="314"/>
      <c r="U452" s="314"/>
      <c r="V452" s="314"/>
      <c r="W452" s="318"/>
      <c r="X452" s="315"/>
      <c r="Y452" s="314"/>
      <c r="Z452" s="721"/>
      <c r="AA452" s="737"/>
      <c r="AB452" s="324"/>
      <c r="AC452" s="180"/>
      <c r="AD452" s="155"/>
      <c r="AE452" s="322"/>
      <c r="AF452" s="155"/>
      <c r="AG452" s="132"/>
    </row>
    <row r="453">
      <c r="A453" s="476"/>
      <c r="AD453" s="176"/>
      <c r="AE453" s="322"/>
      <c r="AF453" s="155"/>
      <c r="AG453" s="132"/>
    </row>
    <row r="454">
      <c r="A454" s="178"/>
      <c r="AE454" s="322"/>
      <c r="AF454" s="155"/>
      <c r="AG454" s="132"/>
    </row>
    <row r="455">
      <c r="A455" s="480"/>
      <c r="B455" s="695"/>
      <c r="C455" s="745"/>
      <c r="D455" s="717"/>
      <c r="E455" s="314"/>
      <c r="F455" s="736"/>
      <c r="G455" s="314"/>
      <c r="H455" s="314"/>
      <c r="I455" s="318"/>
      <c r="J455" s="435"/>
      <c r="K455" s="435"/>
      <c r="L455" s="315"/>
      <c r="M455" s="315"/>
      <c r="N455" s="315"/>
      <c r="O455" s="318"/>
      <c r="P455" s="318"/>
      <c r="Q455" s="744"/>
      <c r="R455" s="314"/>
      <c r="S455" s="314"/>
      <c r="T455" s="314"/>
      <c r="U455" s="314"/>
      <c r="V455" s="314"/>
      <c r="W455" s="318"/>
      <c r="X455" s="315"/>
      <c r="Y455" s="314"/>
      <c r="Z455" s="721"/>
      <c r="AA455" s="737"/>
      <c r="AB455" s="324"/>
      <c r="AC455" s="180"/>
      <c r="AD455" s="180"/>
      <c r="AE455" s="322"/>
      <c r="AF455" s="155"/>
      <c r="AG455" s="132"/>
    </row>
    <row r="456">
      <c r="A456" s="480"/>
      <c r="B456" s="695"/>
      <c r="C456" s="745"/>
      <c r="D456" s="717"/>
      <c r="E456" s="314"/>
      <c r="F456" s="736"/>
      <c r="G456" s="314"/>
      <c r="H456" s="435"/>
      <c r="I456" s="318"/>
      <c r="J456" s="435"/>
      <c r="K456" s="435"/>
      <c r="L456" s="315"/>
      <c r="M456" s="744"/>
      <c r="N456" s="744"/>
      <c r="O456" s="318"/>
      <c r="P456" s="740"/>
      <c r="Q456" s="744"/>
      <c r="R456" s="314"/>
      <c r="S456" s="435"/>
      <c r="T456" s="435"/>
      <c r="U456" s="435"/>
      <c r="V456" s="435"/>
      <c r="W456" s="740"/>
      <c r="X456" s="744"/>
      <c r="Y456" s="435"/>
      <c r="Z456" s="749"/>
      <c r="AA456" s="753"/>
      <c r="AB456" s="324"/>
      <c r="AC456" s="180"/>
      <c r="AD456" s="180"/>
      <c r="AE456" s="322"/>
      <c r="AF456" s="132"/>
      <c r="AG456" s="132"/>
    </row>
    <row r="457">
      <c r="A457" s="476"/>
      <c r="AD457" s="176"/>
      <c r="AE457" s="322"/>
      <c r="AF457" s="132"/>
      <c r="AG457" s="132"/>
    </row>
    <row r="458">
      <c r="A458" s="178"/>
      <c r="AE458" s="322"/>
      <c r="AF458" s="132"/>
      <c r="AG458" s="132"/>
    </row>
    <row r="459">
      <c r="A459" s="481"/>
      <c r="B459" s="695"/>
      <c r="C459" s="745"/>
      <c r="D459" s="751"/>
      <c r="E459" s="435"/>
      <c r="F459" s="736"/>
      <c r="G459" s="435"/>
      <c r="H459" s="435"/>
      <c r="I459" s="740"/>
      <c r="J459" s="314"/>
      <c r="K459" s="435"/>
      <c r="L459" s="744"/>
      <c r="M459" s="744"/>
      <c r="N459" s="315"/>
      <c r="O459" s="318"/>
      <c r="P459" s="740"/>
      <c r="Q459" s="744"/>
      <c r="R459" s="435"/>
      <c r="S459" s="435"/>
      <c r="T459" s="435"/>
      <c r="U459" s="435"/>
      <c r="V459" s="435"/>
      <c r="W459" s="740"/>
      <c r="X459" s="744"/>
      <c r="Y459" s="435"/>
      <c r="Z459" s="749"/>
      <c r="AA459" s="753"/>
      <c r="AB459" s="324"/>
      <c r="AC459" s="180"/>
      <c r="AD459" s="155"/>
      <c r="AE459" s="322"/>
      <c r="AF459" s="132"/>
      <c r="AG459" s="132"/>
    </row>
    <row r="460">
      <c r="A460" s="435"/>
      <c r="B460" s="695"/>
      <c r="C460" s="745"/>
      <c r="D460" s="751"/>
      <c r="E460" s="314"/>
      <c r="F460" s="736"/>
      <c r="G460" s="314"/>
      <c r="H460" s="435"/>
      <c r="I460" s="318"/>
      <c r="J460" s="435"/>
      <c r="K460" s="435"/>
      <c r="L460" s="315"/>
      <c r="M460" s="315"/>
      <c r="N460" s="315"/>
      <c r="O460" s="318"/>
      <c r="P460" s="740"/>
      <c r="Q460" s="744"/>
      <c r="R460" s="435"/>
      <c r="S460" s="435"/>
      <c r="T460" s="435"/>
      <c r="U460" s="435"/>
      <c r="V460" s="435"/>
      <c r="W460" s="740"/>
      <c r="X460" s="744"/>
      <c r="Y460" s="435"/>
      <c r="Z460" s="749"/>
      <c r="AA460" s="753"/>
      <c r="AB460" s="324"/>
      <c r="AC460" s="180"/>
      <c r="AD460" s="155"/>
      <c r="AE460" s="322"/>
      <c r="AF460" s="132"/>
      <c r="AG460" s="132"/>
    </row>
    <row r="461">
      <c r="A461" s="482"/>
      <c r="B461" s="695"/>
      <c r="C461" s="312"/>
      <c r="D461" s="751"/>
      <c r="E461" s="314"/>
      <c r="F461" s="736"/>
      <c r="G461" s="314"/>
      <c r="H461" s="314"/>
      <c r="I461" s="318"/>
      <c r="J461" s="314"/>
      <c r="K461" s="435"/>
      <c r="L461" s="315"/>
      <c r="M461" s="315"/>
      <c r="N461" s="315"/>
      <c r="O461" s="318"/>
      <c r="P461" s="318"/>
      <c r="Q461" s="315"/>
      <c r="R461" s="435"/>
      <c r="S461" s="314"/>
      <c r="T461" s="314"/>
      <c r="U461" s="314"/>
      <c r="V461" s="314"/>
      <c r="W461" s="318"/>
      <c r="X461" s="315"/>
      <c r="Y461" s="314"/>
      <c r="Z461" s="721"/>
      <c r="AA461" s="737"/>
      <c r="AB461" s="324"/>
      <c r="AC461" s="180"/>
      <c r="AD461" s="155"/>
      <c r="AE461" s="322"/>
      <c r="AF461" s="132"/>
      <c r="AG461" s="132"/>
    </row>
    <row r="462">
      <c r="A462" s="482"/>
      <c r="B462" s="695"/>
      <c r="C462" s="745"/>
      <c r="D462" s="751"/>
      <c r="E462" s="435"/>
      <c r="F462" s="736"/>
      <c r="G462" s="314"/>
      <c r="H462" s="435"/>
      <c r="I462" s="740"/>
      <c r="J462" s="435"/>
      <c r="K462" s="435"/>
      <c r="L462" s="744"/>
      <c r="M462" s="744"/>
      <c r="N462" s="744"/>
      <c r="O462" s="318"/>
      <c r="P462" s="740"/>
      <c r="Q462" s="744"/>
      <c r="R462" s="435"/>
      <c r="S462" s="435"/>
      <c r="T462" s="435"/>
      <c r="U462" s="435"/>
      <c r="V462" s="435"/>
      <c r="W462" s="740"/>
      <c r="X462" s="744"/>
      <c r="Y462" s="435"/>
      <c r="Z462" s="749"/>
      <c r="AA462" s="753"/>
      <c r="AB462" s="324"/>
      <c r="AC462" s="180"/>
      <c r="AD462" s="155"/>
      <c r="AE462" s="322"/>
      <c r="AF462" s="132"/>
      <c r="AG462" s="132"/>
    </row>
    <row r="463">
      <c r="A463" s="314"/>
      <c r="B463" s="695"/>
      <c r="C463" s="312"/>
      <c r="D463" s="717"/>
      <c r="E463" s="314"/>
      <c r="F463" s="736"/>
      <c r="G463" s="314"/>
      <c r="H463" s="314"/>
      <c r="I463" s="318"/>
      <c r="J463" s="314"/>
      <c r="K463" s="314"/>
      <c r="L463" s="315"/>
      <c r="M463" s="315"/>
      <c r="N463" s="315"/>
      <c r="O463" s="318"/>
      <c r="P463" s="318"/>
      <c r="Q463" s="315"/>
      <c r="R463" s="314"/>
      <c r="S463" s="314"/>
      <c r="T463" s="314"/>
      <c r="U463" s="314"/>
      <c r="V463" s="314"/>
      <c r="W463" s="318"/>
      <c r="X463" s="315"/>
      <c r="Y463" s="314"/>
      <c r="Z463" s="721"/>
      <c r="AA463" s="737"/>
      <c r="AB463" s="483"/>
      <c r="AD463" s="484"/>
      <c r="AE463" s="322"/>
      <c r="AF463" s="132"/>
      <c r="AG463" s="132"/>
    </row>
    <row r="464">
      <c r="A464" s="314"/>
      <c r="B464" s="695"/>
      <c r="C464" s="312"/>
      <c r="D464" s="717"/>
      <c r="E464" s="314"/>
      <c r="F464" s="736"/>
      <c r="G464" s="314"/>
      <c r="H464" s="314"/>
      <c r="I464" s="318"/>
      <c r="J464" s="314"/>
      <c r="K464" s="314"/>
      <c r="L464" s="315"/>
      <c r="M464" s="315"/>
      <c r="N464" s="315"/>
      <c r="O464" s="318"/>
      <c r="P464" s="318"/>
      <c r="Q464" s="315"/>
      <c r="R464" s="314"/>
      <c r="S464" s="314"/>
      <c r="T464" s="314"/>
      <c r="U464" s="314"/>
      <c r="V464" s="314"/>
      <c r="W464" s="318"/>
      <c r="X464" s="315"/>
      <c r="Y464" s="314"/>
      <c r="Z464" s="721"/>
      <c r="AA464" s="737"/>
      <c r="AB464" s="324"/>
      <c r="AC464" s="155"/>
      <c r="AD464" s="155"/>
      <c r="AE464" s="322"/>
      <c r="AF464" s="132"/>
      <c r="AG464" s="132"/>
    </row>
    <row r="465">
      <c r="A465" s="314"/>
      <c r="B465" s="695"/>
      <c r="C465" s="312"/>
      <c r="D465" s="717"/>
      <c r="E465" s="314"/>
      <c r="F465" s="736"/>
      <c r="G465" s="314"/>
      <c r="H465" s="314"/>
      <c r="I465" s="318"/>
      <c r="J465" s="314"/>
      <c r="K465" s="314"/>
      <c r="L465" s="315"/>
      <c r="M465" s="315"/>
      <c r="N465" s="315"/>
      <c r="O465" s="318"/>
      <c r="P465" s="318"/>
      <c r="Q465" s="315"/>
      <c r="R465" s="314"/>
      <c r="S465" s="314"/>
      <c r="T465" s="314"/>
      <c r="U465" s="314"/>
      <c r="V465" s="314"/>
      <c r="W465" s="318"/>
      <c r="X465" s="315"/>
      <c r="Y465" s="314"/>
      <c r="Z465" s="721"/>
      <c r="AA465" s="737"/>
      <c r="AB465" s="324"/>
      <c r="AC465" s="155"/>
      <c r="AD465" s="155"/>
      <c r="AE465" s="322"/>
      <c r="AF465" s="132"/>
      <c r="AG465" s="132"/>
    </row>
    <row r="466">
      <c r="A466" s="314"/>
      <c r="B466" s="695"/>
      <c r="C466" s="312"/>
      <c r="D466" s="717"/>
      <c r="E466" s="314"/>
      <c r="F466" s="736"/>
      <c r="G466" s="314"/>
      <c r="H466" s="314"/>
      <c r="I466" s="318"/>
      <c r="J466" s="314"/>
      <c r="K466" s="314"/>
      <c r="L466" s="315"/>
      <c r="M466" s="315"/>
      <c r="N466" s="315"/>
      <c r="O466" s="318"/>
      <c r="P466" s="318"/>
      <c r="Q466" s="315"/>
      <c r="R466" s="314"/>
      <c r="S466" s="314"/>
      <c r="T466" s="314"/>
      <c r="U466" s="314"/>
      <c r="V466" s="314"/>
      <c r="W466" s="318"/>
      <c r="X466" s="315"/>
      <c r="Y466" s="314"/>
      <c r="Z466" s="721"/>
      <c r="AA466" s="737"/>
      <c r="AB466" s="324"/>
      <c r="AC466" s="155"/>
      <c r="AD466" s="155"/>
      <c r="AE466" s="322"/>
      <c r="AF466" s="132"/>
      <c r="AG466" s="132"/>
    </row>
    <row r="467">
      <c r="A467" s="314"/>
      <c r="B467" s="695"/>
      <c r="C467" s="312"/>
      <c r="D467" s="717"/>
      <c r="E467" s="314"/>
      <c r="F467" s="736"/>
      <c r="G467" s="314"/>
      <c r="H467" s="314"/>
      <c r="I467" s="318"/>
      <c r="J467" s="314"/>
      <c r="K467" s="314"/>
      <c r="L467" s="315"/>
      <c r="M467" s="315"/>
      <c r="N467" s="315"/>
      <c r="O467" s="318"/>
      <c r="P467" s="318"/>
      <c r="Q467" s="315"/>
      <c r="R467" s="314"/>
      <c r="S467" s="314"/>
      <c r="T467" s="314"/>
      <c r="U467" s="314"/>
      <c r="V467" s="314"/>
      <c r="W467" s="318"/>
      <c r="X467" s="315"/>
      <c r="Y467" s="314"/>
      <c r="Z467" s="721"/>
      <c r="AA467" s="737"/>
      <c r="AB467" s="324"/>
      <c r="AC467" s="155"/>
      <c r="AD467" s="155"/>
      <c r="AE467" s="322"/>
      <c r="AF467" s="132"/>
      <c r="AG467" s="132"/>
    </row>
    <row r="468">
      <c r="A468" s="314"/>
      <c r="B468" s="695"/>
      <c r="C468" s="312"/>
      <c r="D468" s="717"/>
      <c r="E468" s="314"/>
      <c r="F468" s="736"/>
      <c r="G468" s="314"/>
      <c r="H468" s="314"/>
      <c r="I468" s="318"/>
      <c r="J468" s="314"/>
      <c r="K468" s="314"/>
      <c r="L468" s="315"/>
      <c r="M468" s="315"/>
      <c r="N468" s="315"/>
      <c r="O468" s="318"/>
      <c r="P468" s="318"/>
      <c r="Q468" s="315"/>
      <c r="R468" s="314"/>
      <c r="S468" s="314"/>
      <c r="T468" s="314"/>
      <c r="U468" s="314"/>
      <c r="V468" s="314"/>
      <c r="W468" s="318"/>
      <c r="X468" s="315"/>
      <c r="Y468" s="314"/>
      <c r="Z468" s="721"/>
      <c r="AA468" s="737"/>
      <c r="AB468" s="324"/>
      <c r="AC468" s="155"/>
      <c r="AD468" s="155"/>
      <c r="AE468" s="322"/>
      <c r="AF468" s="132"/>
      <c r="AG468" s="132"/>
    </row>
    <row r="469">
      <c r="A469" s="314"/>
      <c r="B469" s="695"/>
      <c r="C469" s="312"/>
      <c r="D469" s="717"/>
      <c r="E469" s="314"/>
      <c r="F469" s="736"/>
      <c r="G469" s="314"/>
      <c r="H469" s="314"/>
      <c r="I469" s="318"/>
      <c r="J469" s="314"/>
      <c r="K469" s="314"/>
      <c r="L469" s="315"/>
      <c r="M469" s="315"/>
      <c r="N469" s="315"/>
      <c r="O469" s="318"/>
      <c r="P469" s="318"/>
      <c r="Q469" s="315"/>
      <c r="R469" s="314"/>
      <c r="S469" s="314"/>
      <c r="T469" s="314"/>
      <c r="U469" s="314"/>
      <c r="V469" s="314"/>
      <c r="W469" s="318"/>
      <c r="X469" s="315"/>
      <c r="Y469" s="314"/>
      <c r="Z469" s="721"/>
      <c r="AA469" s="737"/>
      <c r="AB469" s="324"/>
      <c r="AC469" s="155"/>
      <c r="AD469" s="155"/>
      <c r="AE469" s="322"/>
      <c r="AF469" s="132"/>
      <c r="AG469" s="132"/>
    </row>
    <row r="470">
      <c r="A470" s="314"/>
      <c r="B470" s="695"/>
      <c r="C470" s="312"/>
      <c r="D470" s="717"/>
      <c r="E470" s="314"/>
      <c r="F470" s="736"/>
      <c r="G470" s="314"/>
      <c r="H470" s="314"/>
      <c r="I470" s="318"/>
      <c r="J470" s="314"/>
      <c r="K470" s="314"/>
      <c r="L470" s="315"/>
      <c r="M470" s="315"/>
      <c r="N470" s="315"/>
      <c r="O470" s="318"/>
      <c r="P470" s="318"/>
      <c r="Q470" s="315"/>
      <c r="R470" s="314"/>
      <c r="S470" s="314"/>
      <c r="T470" s="314"/>
      <c r="U470" s="314"/>
      <c r="V470" s="314"/>
      <c r="W470" s="318"/>
      <c r="X470" s="315"/>
      <c r="Y470" s="314"/>
      <c r="Z470" s="721"/>
      <c r="AA470" s="737"/>
      <c r="AB470" s="324"/>
      <c r="AC470" s="155"/>
      <c r="AD470" s="155"/>
      <c r="AE470" s="322"/>
      <c r="AF470" s="132"/>
      <c r="AG470" s="132"/>
    </row>
    <row r="471">
      <c r="A471" s="314"/>
      <c r="B471" s="695"/>
      <c r="C471" s="312"/>
      <c r="D471" s="717"/>
      <c r="E471" s="314"/>
      <c r="F471" s="736"/>
      <c r="G471" s="314"/>
      <c r="H471" s="314"/>
      <c r="I471" s="318"/>
      <c r="J471" s="314"/>
      <c r="K471" s="314"/>
      <c r="L471" s="315"/>
      <c r="M471" s="315"/>
      <c r="N471" s="315"/>
      <c r="O471" s="318"/>
      <c r="P471" s="318"/>
      <c r="Q471" s="315"/>
      <c r="R471" s="314"/>
      <c r="S471" s="314"/>
      <c r="T471" s="314"/>
      <c r="U471" s="314"/>
      <c r="V471" s="314"/>
      <c r="W471" s="318"/>
      <c r="X471" s="315"/>
      <c r="Y471" s="314"/>
      <c r="Z471" s="721"/>
      <c r="AA471" s="737"/>
      <c r="AB471" s="324"/>
      <c r="AC471" s="155"/>
      <c r="AD471" s="155"/>
      <c r="AE471" s="322"/>
      <c r="AF471" s="132"/>
      <c r="AG471" s="132"/>
    </row>
    <row r="472">
      <c r="A472" s="314"/>
      <c r="B472" s="695"/>
      <c r="C472" s="312"/>
      <c r="D472" s="717"/>
      <c r="E472" s="314"/>
      <c r="F472" s="736"/>
      <c r="G472" s="314"/>
      <c r="H472" s="314"/>
      <c r="I472" s="318"/>
      <c r="J472" s="314"/>
      <c r="K472" s="314"/>
      <c r="L472" s="315"/>
      <c r="M472" s="315"/>
      <c r="N472" s="315"/>
      <c r="O472" s="318"/>
      <c r="P472" s="318"/>
      <c r="Q472" s="315"/>
      <c r="R472" s="314"/>
      <c r="S472" s="314"/>
      <c r="T472" s="314"/>
      <c r="U472" s="314"/>
      <c r="V472" s="314"/>
      <c r="W472" s="318"/>
      <c r="X472" s="315"/>
      <c r="Y472" s="314"/>
      <c r="Z472" s="721"/>
      <c r="AA472" s="737"/>
      <c r="AB472" s="324"/>
      <c r="AC472" s="155"/>
      <c r="AD472" s="155"/>
      <c r="AE472" s="322"/>
      <c r="AF472" s="132"/>
      <c r="AG472" s="132"/>
    </row>
    <row r="473">
      <c r="A473" s="314"/>
      <c r="B473" s="695"/>
      <c r="C473" s="312"/>
      <c r="D473" s="717"/>
      <c r="E473" s="314"/>
      <c r="F473" s="736"/>
      <c r="G473" s="314"/>
      <c r="H473" s="314"/>
      <c r="I473" s="318"/>
      <c r="J473" s="314"/>
      <c r="K473" s="314"/>
      <c r="L473" s="315"/>
      <c r="M473" s="315"/>
      <c r="N473" s="315"/>
      <c r="O473" s="318"/>
      <c r="P473" s="318"/>
      <c r="Q473" s="315"/>
      <c r="R473" s="314"/>
      <c r="S473" s="314"/>
      <c r="T473" s="314"/>
      <c r="U473" s="314"/>
      <c r="V473" s="314"/>
      <c r="W473" s="318"/>
      <c r="X473" s="315"/>
      <c r="Y473" s="314"/>
      <c r="Z473" s="721"/>
      <c r="AA473" s="737"/>
      <c r="AB473" s="324"/>
      <c r="AC473" s="155"/>
      <c r="AD473" s="155"/>
      <c r="AE473" s="322"/>
      <c r="AF473" s="132"/>
      <c r="AG473" s="132"/>
    </row>
    <row r="474">
      <c r="A474" s="314"/>
      <c r="B474" s="695"/>
      <c r="C474" s="312"/>
      <c r="D474" s="717"/>
      <c r="E474" s="314"/>
      <c r="F474" s="736"/>
      <c r="G474" s="314"/>
      <c r="H474" s="314"/>
      <c r="I474" s="318"/>
      <c r="J474" s="314"/>
      <c r="K474" s="314"/>
      <c r="L474" s="315"/>
      <c r="M474" s="315"/>
      <c r="N474" s="315"/>
      <c r="O474" s="318"/>
      <c r="P474" s="318"/>
      <c r="Q474" s="315"/>
      <c r="R474" s="314"/>
      <c r="S474" s="314"/>
      <c r="T474" s="314"/>
      <c r="U474" s="314"/>
      <c r="V474" s="314"/>
      <c r="W474" s="318"/>
      <c r="X474" s="315"/>
      <c r="Y474" s="314"/>
      <c r="Z474" s="721"/>
      <c r="AA474" s="737"/>
      <c r="AB474" s="324"/>
      <c r="AC474" s="155"/>
      <c r="AD474" s="155"/>
      <c r="AE474" s="322"/>
      <c r="AF474" s="132"/>
      <c r="AG474" s="132"/>
    </row>
    <row r="475">
      <c r="A475" s="314"/>
      <c r="B475" s="695"/>
      <c r="C475" s="312"/>
      <c r="D475" s="717"/>
      <c r="E475" s="314"/>
      <c r="F475" s="736"/>
      <c r="G475" s="314"/>
      <c r="H475" s="314"/>
      <c r="I475" s="318"/>
      <c r="J475" s="314"/>
      <c r="K475" s="314"/>
      <c r="L475" s="315"/>
      <c r="M475" s="315"/>
      <c r="N475" s="315"/>
      <c r="O475" s="318"/>
      <c r="P475" s="318"/>
      <c r="Q475" s="315"/>
      <c r="R475" s="314"/>
      <c r="S475" s="314"/>
      <c r="T475" s="314"/>
      <c r="U475" s="314"/>
      <c r="V475" s="314"/>
      <c r="W475" s="318"/>
      <c r="X475" s="315"/>
      <c r="Y475" s="314"/>
      <c r="Z475" s="721"/>
      <c r="AA475" s="737"/>
      <c r="AB475" s="324"/>
      <c r="AC475" s="155"/>
      <c r="AD475" s="155"/>
      <c r="AE475" s="322"/>
      <c r="AF475" s="132"/>
      <c r="AG475" s="132"/>
    </row>
    <row r="476">
      <c r="A476" s="314"/>
      <c r="B476" s="695"/>
      <c r="C476" s="312"/>
      <c r="D476" s="717"/>
      <c r="E476" s="314"/>
      <c r="F476" s="736"/>
      <c r="G476" s="314"/>
      <c r="H476" s="314"/>
      <c r="I476" s="318"/>
      <c r="J476" s="314"/>
      <c r="K476" s="314"/>
      <c r="L476" s="315"/>
      <c r="M476" s="315"/>
      <c r="N476" s="315"/>
      <c r="O476" s="318"/>
      <c r="P476" s="318"/>
      <c r="Q476" s="315"/>
      <c r="R476" s="314"/>
      <c r="S476" s="314"/>
      <c r="T476" s="314"/>
      <c r="U476" s="314"/>
      <c r="V476" s="314"/>
      <c r="W476" s="318"/>
      <c r="X476" s="315"/>
      <c r="Y476" s="314"/>
      <c r="Z476" s="721"/>
      <c r="AA476" s="737"/>
      <c r="AB476" s="324"/>
      <c r="AC476" s="155"/>
      <c r="AD476" s="155"/>
      <c r="AE476" s="322"/>
      <c r="AF476" s="132"/>
      <c r="AG476" s="132"/>
    </row>
    <row r="477">
      <c r="A477" s="314"/>
      <c r="B477" s="695"/>
      <c r="C477" s="312"/>
      <c r="D477" s="717"/>
      <c r="E477" s="314"/>
      <c r="F477" s="736"/>
      <c r="G477" s="314"/>
      <c r="H477" s="314"/>
      <c r="I477" s="318"/>
      <c r="J477" s="314"/>
      <c r="K477" s="314"/>
      <c r="L477" s="315"/>
      <c r="M477" s="315"/>
      <c r="N477" s="315"/>
      <c r="O477" s="318"/>
      <c r="P477" s="318"/>
      <c r="Q477" s="315"/>
      <c r="R477" s="314"/>
      <c r="S477" s="314"/>
      <c r="T477" s="314"/>
      <c r="U477" s="314"/>
      <c r="V477" s="314"/>
      <c r="W477" s="318"/>
      <c r="X477" s="315"/>
      <c r="Y477" s="314"/>
      <c r="Z477" s="721"/>
      <c r="AA477" s="737"/>
      <c r="AB477" s="324"/>
      <c r="AC477" s="155"/>
      <c r="AD477" s="155"/>
      <c r="AE477" s="322"/>
      <c r="AF477" s="132"/>
      <c r="AG477" s="132"/>
    </row>
    <row r="478">
      <c r="A478" s="314"/>
      <c r="B478" s="695"/>
      <c r="C478" s="312"/>
      <c r="D478" s="717"/>
      <c r="E478" s="314"/>
      <c r="F478" s="736"/>
      <c r="G478" s="314"/>
      <c r="H478" s="314"/>
      <c r="I478" s="318"/>
      <c r="J478" s="314"/>
      <c r="K478" s="314"/>
      <c r="L478" s="315"/>
      <c r="M478" s="315"/>
      <c r="N478" s="315"/>
      <c r="O478" s="318"/>
      <c r="P478" s="318"/>
      <c r="Q478" s="315"/>
      <c r="R478" s="314"/>
      <c r="S478" s="314"/>
      <c r="T478" s="314"/>
      <c r="U478" s="314"/>
      <c r="V478" s="314"/>
      <c r="W478" s="318"/>
      <c r="X478" s="315"/>
      <c r="Y478" s="314"/>
      <c r="Z478" s="721"/>
      <c r="AA478" s="737"/>
      <c r="AB478" s="324"/>
      <c r="AC478" s="155"/>
      <c r="AD478" s="155"/>
      <c r="AE478" s="322"/>
      <c r="AF478" s="132"/>
      <c r="AG478" s="132"/>
    </row>
    <row r="479">
      <c r="A479" s="314"/>
      <c r="B479" s="695"/>
      <c r="C479" s="312"/>
      <c r="D479" s="717"/>
      <c r="E479" s="314"/>
      <c r="F479" s="736"/>
      <c r="G479" s="314"/>
      <c r="H479" s="314"/>
      <c r="I479" s="318"/>
      <c r="J479" s="314"/>
      <c r="K479" s="314"/>
      <c r="L479" s="315"/>
      <c r="M479" s="315"/>
      <c r="N479" s="315"/>
      <c r="O479" s="318"/>
      <c r="P479" s="318"/>
      <c r="Q479" s="315"/>
      <c r="R479" s="314"/>
      <c r="S479" s="314"/>
      <c r="T479" s="314"/>
      <c r="U479" s="314"/>
      <c r="V479" s="314"/>
      <c r="W479" s="318"/>
      <c r="X479" s="315"/>
      <c r="Y479" s="314"/>
      <c r="Z479" s="721"/>
      <c r="AA479" s="737"/>
      <c r="AB479" s="324"/>
      <c r="AC479" s="155"/>
      <c r="AD479" s="155"/>
      <c r="AE479" s="322"/>
      <c r="AF479" s="132"/>
      <c r="AG479" s="132"/>
    </row>
    <row r="480">
      <c r="A480" s="314"/>
      <c r="B480" s="695"/>
      <c r="C480" s="312"/>
      <c r="D480" s="717"/>
      <c r="E480" s="314"/>
      <c r="F480" s="736"/>
      <c r="G480" s="314"/>
      <c r="H480" s="314"/>
      <c r="I480" s="318"/>
      <c r="J480" s="314"/>
      <c r="K480" s="314"/>
      <c r="L480" s="315"/>
      <c r="M480" s="315"/>
      <c r="N480" s="315"/>
      <c r="O480" s="318"/>
      <c r="P480" s="318"/>
      <c r="Q480" s="315"/>
      <c r="R480" s="314"/>
      <c r="S480" s="314"/>
      <c r="T480" s="314"/>
      <c r="U480" s="314"/>
      <c r="V480" s="314"/>
      <c r="W480" s="318"/>
      <c r="X480" s="315"/>
      <c r="Y480" s="314"/>
      <c r="Z480" s="721"/>
      <c r="AA480" s="737"/>
      <c r="AB480" s="324"/>
      <c r="AC480" s="155"/>
      <c r="AD480" s="155"/>
      <c r="AE480" s="322"/>
      <c r="AF480" s="132"/>
      <c r="AG480" s="132"/>
    </row>
    <row r="481">
      <c r="A481" s="314"/>
      <c r="B481" s="695"/>
      <c r="C481" s="312"/>
      <c r="D481" s="717"/>
      <c r="E481" s="314"/>
      <c r="F481" s="736"/>
      <c r="G481" s="314"/>
      <c r="H481" s="314"/>
      <c r="I481" s="318"/>
      <c r="J481" s="314"/>
      <c r="K481" s="314"/>
      <c r="L481" s="315"/>
      <c r="M481" s="315"/>
      <c r="N481" s="315"/>
      <c r="O481" s="318"/>
      <c r="P481" s="318"/>
      <c r="Q481" s="315"/>
      <c r="R481" s="314"/>
      <c r="S481" s="314"/>
      <c r="T481" s="314"/>
      <c r="U481" s="314"/>
      <c r="V481" s="314"/>
      <c r="W481" s="318"/>
      <c r="X481" s="315"/>
      <c r="Y481" s="314"/>
      <c r="Z481" s="721"/>
      <c r="AA481" s="737"/>
      <c r="AB481" s="324"/>
      <c r="AC481" s="155"/>
      <c r="AD481" s="155"/>
      <c r="AE481" s="322"/>
      <c r="AF481" s="132"/>
      <c r="AG481" s="132"/>
    </row>
    <row r="482">
      <c r="A482" s="314"/>
      <c r="B482" s="695"/>
      <c r="C482" s="312"/>
      <c r="D482" s="717"/>
      <c r="E482" s="314"/>
      <c r="F482" s="736"/>
      <c r="G482" s="314"/>
      <c r="H482" s="314"/>
      <c r="I482" s="318"/>
      <c r="J482" s="314"/>
      <c r="K482" s="314"/>
      <c r="L482" s="315"/>
      <c r="M482" s="315"/>
      <c r="N482" s="315"/>
      <c r="O482" s="318"/>
      <c r="P482" s="318"/>
      <c r="Q482" s="315"/>
      <c r="R482" s="314"/>
      <c r="S482" s="314"/>
      <c r="T482" s="314"/>
      <c r="U482" s="314"/>
      <c r="V482" s="314"/>
      <c r="W482" s="318"/>
      <c r="X482" s="315"/>
      <c r="Y482" s="314"/>
      <c r="Z482" s="721"/>
      <c r="AA482" s="737"/>
      <c r="AB482" s="324"/>
      <c r="AC482" s="155"/>
      <c r="AD482" s="155"/>
      <c r="AE482" s="322"/>
      <c r="AF482" s="132"/>
      <c r="AG482" s="132"/>
    </row>
    <row r="483">
      <c r="A483" s="314"/>
      <c r="B483" s="695"/>
      <c r="C483" s="312"/>
      <c r="D483" s="717"/>
      <c r="E483" s="314"/>
      <c r="F483" s="736"/>
      <c r="G483" s="314"/>
      <c r="H483" s="314"/>
      <c r="I483" s="318"/>
      <c r="J483" s="314"/>
      <c r="K483" s="314"/>
      <c r="L483" s="315"/>
      <c r="M483" s="315"/>
      <c r="N483" s="315"/>
      <c r="O483" s="318"/>
      <c r="P483" s="318"/>
      <c r="Q483" s="315"/>
      <c r="R483" s="314"/>
      <c r="S483" s="314"/>
      <c r="T483" s="314"/>
      <c r="U483" s="314"/>
      <c r="V483" s="314"/>
      <c r="W483" s="318"/>
      <c r="X483" s="315"/>
      <c r="Y483" s="314"/>
      <c r="Z483" s="721"/>
      <c r="AA483" s="737"/>
      <c r="AB483" s="324"/>
      <c r="AC483" s="155"/>
      <c r="AD483" s="155"/>
      <c r="AE483" s="322"/>
      <c r="AF483" s="132"/>
      <c r="AG483" s="132"/>
    </row>
    <row r="484">
      <c r="A484" s="314"/>
      <c r="B484" s="695"/>
      <c r="C484" s="312"/>
      <c r="D484" s="717"/>
      <c r="E484" s="314"/>
      <c r="F484" s="736"/>
      <c r="G484" s="314"/>
      <c r="H484" s="314"/>
      <c r="I484" s="318"/>
      <c r="J484" s="314"/>
      <c r="K484" s="314"/>
      <c r="L484" s="315"/>
      <c r="M484" s="315"/>
      <c r="N484" s="315"/>
      <c r="O484" s="318"/>
      <c r="P484" s="318"/>
      <c r="Q484" s="315"/>
      <c r="R484" s="314"/>
      <c r="S484" s="314"/>
      <c r="T484" s="314"/>
      <c r="U484" s="314"/>
      <c r="V484" s="314"/>
      <c r="W484" s="318"/>
      <c r="X484" s="315"/>
      <c r="Y484" s="314"/>
      <c r="Z484" s="721"/>
      <c r="AA484" s="737"/>
      <c r="AB484" s="324"/>
      <c r="AC484" s="155"/>
      <c r="AD484" s="155"/>
      <c r="AE484" s="322"/>
      <c r="AF484" s="132"/>
      <c r="AG484" s="132"/>
    </row>
    <row r="485">
      <c r="A485" s="314"/>
      <c r="B485" s="695"/>
      <c r="C485" s="312"/>
      <c r="D485" s="717"/>
      <c r="E485" s="314"/>
      <c r="F485" s="736"/>
      <c r="G485" s="314"/>
      <c r="H485" s="314"/>
      <c r="I485" s="318"/>
      <c r="J485" s="314"/>
      <c r="K485" s="314"/>
      <c r="L485" s="315"/>
      <c r="M485" s="315"/>
      <c r="N485" s="315"/>
      <c r="O485" s="318"/>
      <c r="P485" s="318"/>
      <c r="Q485" s="315"/>
      <c r="R485" s="314"/>
      <c r="S485" s="314"/>
      <c r="T485" s="314"/>
      <c r="U485" s="314"/>
      <c r="V485" s="314"/>
      <c r="W485" s="318"/>
      <c r="X485" s="315"/>
      <c r="Y485" s="314"/>
      <c r="Z485" s="721"/>
      <c r="AA485" s="737"/>
      <c r="AB485" s="324"/>
      <c r="AC485" s="155"/>
      <c r="AD485" s="155"/>
      <c r="AE485" s="322"/>
      <c r="AF485" s="132"/>
      <c r="AG485" s="132"/>
    </row>
    <row r="486">
      <c r="A486" s="314"/>
      <c r="B486" s="695"/>
      <c r="C486" s="312"/>
      <c r="D486" s="717"/>
      <c r="E486" s="314"/>
      <c r="F486" s="736"/>
      <c r="G486" s="314"/>
      <c r="H486" s="314"/>
      <c r="I486" s="318"/>
      <c r="J486" s="314"/>
      <c r="K486" s="314"/>
      <c r="L486" s="315"/>
      <c r="M486" s="315"/>
      <c r="N486" s="315"/>
      <c r="O486" s="318"/>
      <c r="P486" s="318"/>
      <c r="Q486" s="315"/>
      <c r="R486" s="314"/>
      <c r="S486" s="314"/>
      <c r="T486" s="314"/>
      <c r="U486" s="314"/>
      <c r="V486" s="314"/>
      <c r="W486" s="318"/>
      <c r="X486" s="315"/>
      <c r="Y486" s="314"/>
      <c r="Z486" s="721"/>
      <c r="AA486" s="737"/>
      <c r="AB486" s="324"/>
      <c r="AC486" s="155"/>
      <c r="AD486" s="155"/>
      <c r="AE486" s="322"/>
      <c r="AF486" s="132"/>
      <c r="AG486" s="132"/>
    </row>
    <row r="487">
      <c r="A487" s="314"/>
      <c r="B487" s="695"/>
      <c r="C487" s="312"/>
      <c r="D487" s="717"/>
      <c r="E487" s="314"/>
      <c r="F487" s="736"/>
      <c r="G487" s="314"/>
      <c r="H487" s="314"/>
      <c r="I487" s="318"/>
      <c r="J487" s="314"/>
      <c r="K487" s="314"/>
      <c r="L487" s="315"/>
      <c r="M487" s="315"/>
      <c r="N487" s="315"/>
      <c r="O487" s="318"/>
      <c r="P487" s="318"/>
      <c r="Q487" s="315"/>
      <c r="R487" s="314"/>
      <c r="S487" s="314"/>
      <c r="T487" s="314"/>
      <c r="U487" s="314"/>
      <c r="V487" s="314"/>
      <c r="W487" s="318"/>
      <c r="X487" s="315"/>
      <c r="Y487" s="314"/>
      <c r="Z487" s="721"/>
      <c r="AA487" s="737"/>
      <c r="AB487" s="324"/>
      <c r="AC487" s="155"/>
      <c r="AD487" s="155"/>
      <c r="AE487" s="322"/>
      <c r="AF487" s="132"/>
      <c r="AG487" s="132"/>
    </row>
    <row r="488">
      <c r="A488" s="314"/>
      <c r="B488" s="695"/>
      <c r="C488" s="312"/>
      <c r="D488" s="717"/>
      <c r="E488" s="314"/>
      <c r="F488" s="736"/>
      <c r="G488" s="314"/>
      <c r="H488" s="314"/>
      <c r="I488" s="318"/>
      <c r="J488" s="314"/>
      <c r="K488" s="314"/>
      <c r="L488" s="315"/>
      <c r="M488" s="315"/>
      <c r="N488" s="315"/>
      <c r="O488" s="318"/>
      <c r="P488" s="318"/>
      <c r="Q488" s="315"/>
      <c r="R488" s="314"/>
      <c r="S488" s="314"/>
      <c r="T488" s="314"/>
      <c r="U488" s="314"/>
      <c r="V488" s="314"/>
      <c r="W488" s="318"/>
      <c r="X488" s="315"/>
      <c r="Y488" s="314"/>
      <c r="Z488" s="721"/>
      <c r="AA488" s="737"/>
      <c r="AB488" s="324"/>
      <c r="AC488" s="155"/>
      <c r="AD488" s="155"/>
      <c r="AE488" s="322"/>
      <c r="AF488" s="132"/>
      <c r="AG488" s="132"/>
    </row>
    <row r="489">
      <c r="A489" s="314"/>
      <c r="B489" s="695"/>
      <c r="C489" s="312"/>
      <c r="D489" s="717"/>
      <c r="E489" s="314"/>
      <c r="F489" s="736"/>
      <c r="G489" s="314"/>
      <c r="H489" s="314"/>
      <c r="I489" s="318"/>
      <c r="J489" s="314"/>
      <c r="K489" s="314"/>
      <c r="L489" s="315"/>
      <c r="M489" s="315"/>
      <c r="N489" s="315"/>
      <c r="O489" s="318"/>
      <c r="P489" s="318"/>
      <c r="Q489" s="315"/>
      <c r="R489" s="314"/>
      <c r="S489" s="314"/>
      <c r="T489" s="314"/>
      <c r="U489" s="314"/>
      <c r="V489" s="314"/>
      <c r="W489" s="318"/>
      <c r="X489" s="315"/>
      <c r="Y489" s="314"/>
      <c r="Z489" s="721"/>
      <c r="AA489" s="737"/>
      <c r="AB489" s="324"/>
      <c r="AC489" s="155"/>
      <c r="AD489" s="155"/>
      <c r="AE489" s="322"/>
      <c r="AF489" s="132"/>
      <c r="AG489" s="132"/>
    </row>
    <row r="490">
      <c r="A490" s="314"/>
      <c r="B490" s="695"/>
      <c r="C490" s="312"/>
      <c r="D490" s="717"/>
      <c r="E490" s="314"/>
      <c r="F490" s="736"/>
      <c r="G490" s="314"/>
      <c r="H490" s="314"/>
      <c r="I490" s="318"/>
      <c r="J490" s="314"/>
      <c r="K490" s="314"/>
      <c r="L490" s="315"/>
      <c r="M490" s="315"/>
      <c r="N490" s="315"/>
      <c r="O490" s="318"/>
      <c r="P490" s="318"/>
      <c r="Q490" s="315"/>
      <c r="R490" s="314"/>
      <c r="S490" s="314"/>
      <c r="T490" s="314"/>
      <c r="U490" s="314"/>
      <c r="V490" s="314"/>
      <c r="W490" s="318"/>
      <c r="X490" s="315"/>
      <c r="Y490" s="314"/>
      <c r="Z490" s="721"/>
      <c r="AA490" s="737"/>
      <c r="AB490" s="324"/>
      <c r="AC490" s="155"/>
      <c r="AD490" s="155"/>
      <c r="AE490" s="322"/>
      <c r="AF490" s="132"/>
      <c r="AG490" s="132"/>
    </row>
    <row r="491">
      <c r="A491" s="314"/>
      <c r="B491" s="695"/>
      <c r="C491" s="312"/>
      <c r="D491" s="717"/>
      <c r="E491" s="314"/>
      <c r="F491" s="736"/>
      <c r="G491" s="314"/>
      <c r="H491" s="314"/>
      <c r="I491" s="318"/>
      <c r="J491" s="314"/>
      <c r="K491" s="314"/>
      <c r="L491" s="315"/>
      <c r="M491" s="315"/>
      <c r="N491" s="315"/>
      <c r="O491" s="318"/>
      <c r="P491" s="318"/>
      <c r="Q491" s="315"/>
      <c r="R491" s="314"/>
      <c r="S491" s="314"/>
      <c r="T491" s="314"/>
      <c r="U491" s="314"/>
      <c r="V491" s="314"/>
      <c r="W491" s="318"/>
      <c r="X491" s="315"/>
      <c r="Y491" s="314"/>
      <c r="Z491" s="721"/>
      <c r="AA491" s="737"/>
      <c r="AB491" s="324"/>
      <c r="AC491" s="155"/>
      <c r="AD491" s="155"/>
      <c r="AE491" s="322"/>
      <c r="AF491" s="132"/>
      <c r="AG491" s="132"/>
    </row>
    <row r="492">
      <c r="A492" s="314"/>
      <c r="B492" s="695"/>
      <c r="C492" s="312"/>
      <c r="D492" s="717"/>
      <c r="E492" s="314"/>
      <c r="F492" s="736"/>
      <c r="G492" s="314"/>
      <c r="H492" s="314"/>
      <c r="I492" s="318"/>
      <c r="J492" s="314"/>
      <c r="K492" s="314"/>
      <c r="L492" s="315"/>
      <c r="M492" s="315"/>
      <c r="N492" s="315"/>
      <c r="O492" s="318"/>
      <c r="P492" s="318"/>
      <c r="Q492" s="315"/>
      <c r="R492" s="314"/>
      <c r="S492" s="314"/>
      <c r="T492" s="314"/>
      <c r="U492" s="314"/>
      <c r="V492" s="314"/>
      <c r="W492" s="318"/>
      <c r="X492" s="315"/>
      <c r="Y492" s="314"/>
      <c r="Z492" s="721"/>
      <c r="AA492" s="737"/>
      <c r="AB492" s="324"/>
      <c r="AC492" s="155"/>
      <c r="AD492" s="155"/>
      <c r="AE492" s="322"/>
      <c r="AF492" s="132"/>
      <c r="AG492" s="132"/>
    </row>
    <row r="493">
      <c r="A493" s="314"/>
      <c r="B493" s="695"/>
      <c r="C493" s="312"/>
      <c r="D493" s="717"/>
      <c r="E493" s="314"/>
      <c r="F493" s="736"/>
      <c r="G493" s="314"/>
      <c r="H493" s="314"/>
      <c r="I493" s="318"/>
      <c r="J493" s="314"/>
      <c r="K493" s="314"/>
      <c r="L493" s="315"/>
      <c r="M493" s="315"/>
      <c r="N493" s="315"/>
      <c r="O493" s="318"/>
      <c r="P493" s="318"/>
      <c r="Q493" s="315"/>
      <c r="R493" s="314"/>
      <c r="S493" s="314"/>
      <c r="T493" s="314"/>
      <c r="U493" s="314"/>
      <c r="V493" s="314"/>
      <c r="W493" s="318"/>
      <c r="X493" s="315"/>
      <c r="Y493" s="314"/>
      <c r="Z493" s="721"/>
      <c r="AA493" s="737"/>
      <c r="AB493" s="324"/>
      <c r="AC493" s="155"/>
      <c r="AD493" s="155"/>
      <c r="AE493" s="322"/>
      <c r="AF493" s="132"/>
      <c r="AG493" s="132"/>
    </row>
    <row r="494">
      <c r="A494" s="314"/>
      <c r="B494" s="695"/>
      <c r="C494" s="312"/>
      <c r="D494" s="717"/>
      <c r="E494" s="314"/>
      <c r="F494" s="736"/>
      <c r="G494" s="314"/>
      <c r="H494" s="314"/>
      <c r="I494" s="318"/>
      <c r="J494" s="314"/>
      <c r="K494" s="314"/>
      <c r="L494" s="315"/>
      <c r="M494" s="315"/>
      <c r="N494" s="315"/>
      <c r="O494" s="318"/>
      <c r="P494" s="318"/>
      <c r="Q494" s="315"/>
      <c r="R494" s="314"/>
      <c r="S494" s="314"/>
      <c r="T494" s="314"/>
      <c r="U494" s="314"/>
      <c r="V494" s="314"/>
      <c r="W494" s="318"/>
      <c r="X494" s="315"/>
      <c r="Y494" s="314"/>
      <c r="Z494" s="721"/>
      <c r="AA494" s="737"/>
      <c r="AB494" s="324"/>
      <c r="AC494" s="155"/>
      <c r="AD494" s="155"/>
      <c r="AE494" s="322"/>
      <c r="AF494" s="132"/>
      <c r="AG494" s="132"/>
    </row>
    <row r="495">
      <c r="A495" s="314"/>
      <c r="B495" s="695"/>
      <c r="C495" s="312"/>
      <c r="D495" s="717"/>
      <c r="E495" s="314"/>
      <c r="F495" s="736"/>
      <c r="G495" s="314"/>
      <c r="H495" s="314"/>
      <c r="I495" s="318"/>
      <c r="J495" s="314"/>
      <c r="K495" s="314"/>
      <c r="L495" s="315"/>
      <c r="M495" s="315"/>
      <c r="N495" s="315"/>
      <c r="O495" s="318"/>
      <c r="P495" s="318"/>
      <c r="Q495" s="315"/>
      <c r="R495" s="314"/>
      <c r="S495" s="314"/>
      <c r="T495" s="314"/>
      <c r="U495" s="314"/>
      <c r="V495" s="314"/>
      <c r="W495" s="318"/>
      <c r="X495" s="315"/>
      <c r="Y495" s="314"/>
      <c r="Z495" s="721"/>
      <c r="AA495" s="737"/>
      <c r="AB495" s="324"/>
      <c r="AC495" s="155"/>
      <c r="AD495" s="155"/>
      <c r="AE495" s="322"/>
      <c r="AF495" s="132"/>
      <c r="AG495" s="132"/>
    </row>
    <row r="496">
      <c r="A496" s="314"/>
      <c r="B496" s="695"/>
      <c r="C496" s="312"/>
      <c r="D496" s="717"/>
      <c r="E496" s="314"/>
      <c r="F496" s="736"/>
      <c r="G496" s="314"/>
      <c r="H496" s="314"/>
      <c r="I496" s="318"/>
      <c r="J496" s="314"/>
      <c r="K496" s="314"/>
      <c r="L496" s="315"/>
      <c r="M496" s="315"/>
      <c r="N496" s="315"/>
      <c r="O496" s="318"/>
      <c r="P496" s="318"/>
      <c r="Q496" s="315"/>
      <c r="R496" s="314"/>
      <c r="S496" s="314"/>
      <c r="T496" s="314"/>
      <c r="U496" s="314"/>
      <c r="V496" s="314"/>
      <c r="W496" s="318"/>
      <c r="X496" s="315"/>
      <c r="Y496" s="314"/>
      <c r="Z496" s="721"/>
      <c r="AA496" s="737"/>
      <c r="AB496" s="324"/>
      <c r="AC496" s="155"/>
      <c r="AD496" s="155"/>
      <c r="AE496" s="322"/>
      <c r="AF496" s="132"/>
      <c r="AG496" s="132"/>
    </row>
    <row r="497">
      <c r="A497" s="314"/>
      <c r="B497" s="695"/>
      <c r="C497" s="312"/>
      <c r="D497" s="717"/>
      <c r="E497" s="314"/>
      <c r="F497" s="736"/>
      <c r="G497" s="314"/>
      <c r="H497" s="314"/>
      <c r="I497" s="318"/>
      <c r="J497" s="314"/>
      <c r="K497" s="314"/>
      <c r="L497" s="315"/>
      <c r="M497" s="315"/>
      <c r="N497" s="315"/>
      <c r="O497" s="318"/>
      <c r="P497" s="318"/>
      <c r="Q497" s="315"/>
      <c r="R497" s="314"/>
      <c r="S497" s="314"/>
      <c r="T497" s="314"/>
      <c r="U497" s="314"/>
      <c r="V497" s="314"/>
      <c r="W497" s="318"/>
      <c r="X497" s="315"/>
      <c r="Y497" s="314"/>
      <c r="Z497" s="721"/>
      <c r="AA497" s="737"/>
      <c r="AB497" s="324"/>
      <c r="AC497" s="155"/>
      <c r="AD497" s="155"/>
      <c r="AE497" s="322"/>
      <c r="AF497" s="132"/>
      <c r="AG497" s="132"/>
    </row>
    <row r="498">
      <c r="A498" s="314"/>
      <c r="B498" s="695"/>
      <c r="C498" s="312"/>
      <c r="D498" s="717"/>
      <c r="E498" s="314"/>
      <c r="F498" s="736"/>
      <c r="G498" s="314"/>
      <c r="H498" s="314"/>
      <c r="I498" s="318"/>
      <c r="J498" s="314"/>
      <c r="K498" s="314"/>
      <c r="L498" s="315"/>
      <c r="M498" s="315"/>
      <c r="N498" s="315"/>
      <c r="O498" s="318"/>
      <c r="P498" s="318"/>
      <c r="Q498" s="315"/>
      <c r="R498" s="314"/>
      <c r="S498" s="314"/>
      <c r="T498" s="314"/>
      <c r="U498" s="314"/>
      <c r="V498" s="314"/>
      <c r="W498" s="318"/>
      <c r="X498" s="315"/>
      <c r="Y498" s="314"/>
      <c r="Z498" s="721"/>
      <c r="AA498" s="737"/>
      <c r="AB498" s="324"/>
      <c r="AC498" s="155"/>
      <c r="AD498" s="155"/>
      <c r="AE498" s="322"/>
      <c r="AF498" s="132"/>
      <c r="AG498" s="132"/>
    </row>
    <row r="499">
      <c r="A499" s="314"/>
      <c r="B499" s="695"/>
      <c r="C499" s="312"/>
      <c r="D499" s="717"/>
      <c r="E499" s="314"/>
      <c r="F499" s="736"/>
      <c r="G499" s="314"/>
      <c r="H499" s="314"/>
      <c r="I499" s="318"/>
      <c r="J499" s="314"/>
      <c r="K499" s="314"/>
      <c r="L499" s="315"/>
      <c r="M499" s="315"/>
      <c r="N499" s="315"/>
      <c r="O499" s="318"/>
      <c r="P499" s="318"/>
      <c r="Q499" s="315"/>
      <c r="R499" s="314"/>
      <c r="S499" s="314"/>
      <c r="T499" s="314"/>
      <c r="U499" s="314"/>
      <c r="V499" s="314"/>
      <c r="W499" s="318"/>
      <c r="X499" s="315"/>
      <c r="Y499" s="314"/>
      <c r="Z499" s="721"/>
      <c r="AA499" s="737"/>
      <c r="AB499" s="324"/>
      <c r="AC499" s="155"/>
      <c r="AD499" s="155"/>
      <c r="AE499" s="322"/>
      <c r="AF499" s="132"/>
      <c r="AG499" s="132"/>
    </row>
    <row r="500">
      <c r="A500" s="314"/>
      <c r="B500" s="695"/>
      <c r="C500" s="312"/>
      <c r="D500" s="717"/>
      <c r="E500" s="314"/>
      <c r="F500" s="736"/>
      <c r="G500" s="314"/>
      <c r="H500" s="314"/>
      <c r="I500" s="318"/>
      <c r="J500" s="314"/>
      <c r="K500" s="314"/>
      <c r="L500" s="315"/>
      <c r="M500" s="315"/>
      <c r="N500" s="315"/>
      <c r="O500" s="318"/>
      <c r="P500" s="318"/>
      <c r="Q500" s="315"/>
      <c r="R500" s="314"/>
      <c r="S500" s="314"/>
      <c r="T500" s="314"/>
      <c r="U500" s="314"/>
      <c r="V500" s="314"/>
      <c r="W500" s="318"/>
      <c r="X500" s="315"/>
      <c r="Y500" s="314"/>
      <c r="Z500" s="721"/>
      <c r="AA500" s="737"/>
      <c r="AB500" s="324"/>
      <c r="AC500" s="155"/>
      <c r="AD500" s="155"/>
      <c r="AE500" s="322"/>
      <c r="AF500" s="132"/>
      <c r="AG500" s="132"/>
    </row>
    <row r="501">
      <c r="A501" s="314"/>
      <c r="B501" s="695"/>
      <c r="C501" s="312"/>
      <c r="D501" s="717"/>
      <c r="E501" s="314"/>
      <c r="F501" s="736"/>
      <c r="G501" s="314"/>
      <c r="H501" s="314"/>
      <c r="I501" s="318"/>
      <c r="J501" s="314"/>
      <c r="K501" s="314"/>
      <c r="L501" s="315"/>
      <c r="M501" s="315"/>
      <c r="N501" s="315"/>
      <c r="O501" s="318"/>
      <c r="P501" s="318"/>
      <c r="Q501" s="315"/>
      <c r="R501" s="314"/>
      <c r="S501" s="314"/>
      <c r="T501" s="314"/>
      <c r="U501" s="314"/>
      <c r="V501" s="314"/>
      <c r="W501" s="318"/>
      <c r="X501" s="315"/>
      <c r="Y501" s="314"/>
      <c r="Z501" s="721"/>
      <c r="AA501" s="737"/>
      <c r="AB501" s="324"/>
      <c r="AC501" s="155"/>
      <c r="AD501" s="155"/>
      <c r="AE501" s="322"/>
      <c r="AF501" s="132"/>
      <c r="AG501" s="132"/>
    </row>
    <row r="502">
      <c r="A502" s="314"/>
      <c r="B502" s="695"/>
      <c r="C502" s="312"/>
      <c r="D502" s="717"/>
      <c r="E502" s="314"/>
      <c r="F502" s="736"/>
      <c r="G502" s="314"/>
      <c r="H502" s="314"/>
      <c r="I502" s="318"/>
      <c r="J502" s="314"/>
      <c r="K502" s="314"/>
      <c r="L502" s="315"/>
      <c r="M502" s="315"/>
      <c r="N502" s="315"/>
      <c r="O502" s="318"/>
      <c r="P502" s="318"/>
      <c r="Q502" s="315"/>
      <c r="R502" s="314"/>
      <c r="S502" s="314"/>
      <c r="T502" s="314"/>
      <c r="U502" s="314"/>
      <c r="V502" s="314"/>
      <c r="W502" s="318"/>
      <c r="X502" s="315"/>
      <c r="Y502" s="314"/>
      <c r="Z502" s="721"/>
      <c r="AA502" s="737"/>
      <c r="AB502" s="324"/>
      <c r="AC502" s="155"/>
      <c r="AD502" s="155"/>
      <c r="AE502" s="322"/>
      <c r="AF502" s="132"/>
      <c r="AG502" s="132"/>
    </row>
    <row r="503">
      <c r="A503" s="314"/>
      <c r="B503" s="695"/>
      <c r="C503" s="312"/>
      <c r="D503" s="717"/>
      <c r="E503" s="314"/>
      <c r="F503" s="736"/>
      <c r="G503" s="314"/>
      <c r="H503" s="314"/>
      <c r="I503" s="318"/>
      <c r="J503" s="314"/>
      <c r="K503" s="314"/>
      <c r="L503" s="315"/>
      <c r="M503" s="315"/>
      <c r="N503" s="315"/>
      <c r="O503" s="318"/>
      <c r="P503" s="318"/>
      <c r="Q503" s="315"/>
      <c r="R503" s="314"/>
      <c r="S503" s="314"/>
      <c r="T503" s="314"/>
      <c r="U503" s="314"/>
      <c r="V503" s="314"/>
      <c r="W503" s="318"/>
      <c r="X503" s="315"/>
      <c r="Y503" s="314"/>
      <c r="Z503" s="721"/>
      <c r="AA503" s="737"/>
      <c r="AB503" s="324"/>
      <c r="AC503" s="155"/>
      <c r="AD503" s="155"/>
      <c r="AE503" s="322"/>
      <c r="AF503" s="132"/>
      <c r="AG503" s="132"/>
    </row>
    <row r="504">
      <c r="A504" s="314"/>
      <c r="B504" s="695"/>
      <c r="C504" s="312"/>
      <c r="D504" s="717"/>
      <c r="E504" s="314"/>
      <c r="F504" s="736"/>
      <c r="G504" s="314"/>
      <c r="H504" s="314"/>
      <c r="I504" s="318"/>
      <c r="J504" s="314"/>
      <c r="K504" s="314"/>
      <c r="L504" s="315"/>
      <c r="M504" s="315"/>
      <c r="N504" s="315"/>
      <c r="O504" s="318"/>
      <c r="P504" s="318"/>
      <c r="Q504" s="315"/>
      <c r="R504" s="314"/>
      <c r="S504" s="314"/>
      <c r="T504" s="314"/>
      <c r="U504" s="314"/>
      <c r="V504" s="314"/>
      <c r="W504" s="318"/>
      <c r="X504" s="315"/>
      <c r="Y504" s="314"/>
      <c r="Z504" s="721"/>
      <c r="AA504" s="737"/>
      <c r="AB504" s="324"/>
      <c r="AC504" s="155"/>
      <c r="AD504" s="155"/>
      <c r="AE504" s="322"/>
      <c r="AF504" s="132"/>
      <c r="AG504" s="132"/>
    </row>
    <row r="505">
      <c r="A505" s="314"/>
      <c r="B505" s="695"/>
      <c r="C505" s="312"/>
      <c r="D505" s="717"/>
      <c r="E505" s="314"/>
      <c r="F505" s="736"/>
      <c r="G505" s="314"/>
      <c r="H505" s="314"/>
      <c r="I505" s="318"/>
      <c r="J505" s="314"/>
      <c r="K505" s="314"/>
      <c r="L505" s="315"/>
      <c r="M505" s="315"/>
      <c r="N505" s="315"/>
      <c r="O505" s="318"/>
      <c r="P505" s="318"/>
      <c r="Q505" s="315"/>
      <c r="R505" s="314"/>
      <c r="S505" s="314"/>
      <c r="T505" s="314"/>
      <c r="U505" s="314"/>
      <c r="V505" s="314"/>
      <c r="W505" s="318"/>
      <c r="X505" s="315"/>
      <c r="Y505" s="314"/>
      <c r="Z505" s="721"/>
      <c r="AA505" s="737"/>
      <c r="AB505" s="324"/>
      <c r="AC505" s="155"/>
      <c r="AD505" s="155"/>
      <c r="AE505" s="322"/>
      <c r="AF505" s="132"/>
      <c r="AG505" s="132"/>
    </row>
    <row r="506">
      <c r="A506" s="314"/>
      <c r="B506" s="695"/>
      <c r="C506" s="312"/>
      <c r="D506" s="717"/>
      <c r="E506" s="314"/>
      <c r="F506" s="736"/>
      <c r="G506" s="314"/>
      <c r="H506" s="314"/>
      <c r="I506" s="318"/>
      <c r="J506" s="314"/>
      <c r="K506" s="314"/>
      <c r="L506" s="315"/>
      <c r="M506" s="315"/>
      <c r="N506" s="315"/>
      <c r="O506" s="318"/>
      <c r="P506" s="318"/>
      <c r="Q506" s="315"/>
      <c r="R506" s="314"/>
      <c r="S506" s="314"/>
      <c r="T506" s="314"/>
      <c r="U506" s="314"/>
      <c r="V506" s="314"/>
      <c r="W506" s="318"/>
      <c r="X506" s="315"/>
      <c r="Y506" s="314"/>
      <c r="Z506" s="721"/>
      <c r="AA506" s="737"/>
      <c r="AB506" s="324"/>
      <c r="AC506" s="155"/>
      <c r="AD506" s="155"/>
      <c r="AE506" s="322"/>
      <c r="AF506" s="132"/>
      <c r="AG506" s="132"/>
    </row>
    <row r="507">
      <c r="A507" s="314"/>
      <c r="B507" s="695"/>
      <c r="C507" s="312"/>
      <c r="D507" s="717"/>
      <c r="E507" s="314"/>
      <c r="F507" s="736"/>
      <c r="G507" s="314"/>
      <c r="H507" s="314"/>
      <c r="I507" s="318"/>
      <c r="J507" s="314"/>
      <c r="K507" s="314"/>
      <c r="L507" s="315"/>
      <c r="M507" s="315"/>
      <c r="N507" s="315"/>
      <c r="O507" s="318"/>
      <c r="P507" s="318"/>
      <c r="Q507" s="315"/>
      <c r="R507" s="314"/>
      <c r="S507" s="314"/>
      <c r="T507" s="314"/>
      <c r="U507" s="314"/>
      <c r="V507" s="314"/>
      <c r="W507" s="318"/>
      <c r="X507" s="315"/>
      <c r="Y507" s="314"/>
      <c r="Z507" s="721"/>
      <c r="AA507" s="737"/>
      <c r="AB507" s="324"/>
      <c r="AC507" s="155"/>
      <c r="AD507" s="155"/>
      <c r="AE507" s="322"/>
      <c r="AF507" s="132"/>
      <c r="AG507" s="132"/>
    </row>
    <row r="508">
      <c r="A508" s="314"/>
      <c r="B508" s="695"/>
      <c r="C508" s="312"/>
      <c r="D508" s="717"/>
      <c r="E508" s="314"/>
      <c r="F508" s="736"/>
      <c r="G508" s="314"/>
      <c r="H508" s="314"/>
      <c r="I508" s="318"/>
      <c r="J508" s="314"/>
      <c r="K508" s="314"/>
      <c r="L508" s="315"/>
      <c r="M508" s="315"/>
      <c r="N508" s="315"/>
      <c r="O508" s="318"/>
      <c r="P508" s="318"/>
      <c r="Q508" s="315"/>
      <c r="R508" s="314"/>
      <c r="S508" s="314"/>
      <c r="T508" s="314"/>
      <c r="U508" s="314"/>
      <c r="V508" s="314"/>
      <c r="W508" s="318"/>
      <c r="X508" s="315"/>
      <c r="Y508" s="314"/>
      <c r="Z508" s="721"/>
      <c r="AA508" s="737"/>
      <c r="AB508" s="324"/>
      <c r="AC508" s="155"/>
      <c r="AD508" s="155"/>
      <c r="AE508" s="322"/>
      <c r="AF508" s="132"/>
      <c r="AG508" s="132"/>
    </row>
    <row r="509">
      <c r="A509" s="314"/>
      <c r="B509" s="695"/>
      <c r="C509" s="312"/>
      <c r="D509" s="717"/>
      <c r="E509" s="314"/>
      <c r="F509" s="736"/>
      <c r="G509" s="314"/>
      <c r="H509" s="314"/>
      <c r="I509" s="318"/>
      <c r="J509" s="314"/>
      <c r="K509" s="314"/>
      <c r="L509" s="315"/>
      <c r="M509" s="315"/>
      <c r="N509" s="315"/>
      <c r="O509" s="318"/>
      <c r="P509" s="318"/>
      <c r="Q509" s="315"/>
      <c r="R509" s="314"/>
      <c r="S509" s="314"/>
      <c r="T509" s="314"/>
      <c r="U509" s="314"/>
      <c r="V509" s="314"/>
      <c r="W509" s="318"/>
      <c r="X509" s="315"/>
      <c r="Y509" s="314"/>
      <c r="Z509" s="721"/>
      <c r="AA509" s="737"/>
      <c r="AB509" s="324"/>
      <c r="AC509" s="155"/>
      <c r="AD509" s="155"/>
      <c r="AE509" s="322"/>
      <c r="AF509" s="132"/>
      <c r="AG509" s="132"/>
    </row>
    <row r="510">
      <c r="A510" s="314"/>
      <c r="B510" s="695"/>
      <c r="C510" s="312"/>
      <c r="D510" s="717"/>
      <c r="E510" s="314"/>
      <c r="F510" s="736"/>
      <c r="G510" s="314"/>
      <c r="H510" s="314"/>
      <c r="I510" s="318"/>
      <c r="J510" s="314"/>
      <c r="K510" s="314"/>
      <c r="L510" s="315"/>
      <c r="M510" s="315"/>
      <c r="N510" s="315"/>
      <c r="O510" s="318"/>
      <c r="P510" s="318"/>
      <c r="Q510" s="315"/>
      <c r="R510" s="314"/>
      <c r="S510" s="314"/>
      <c r="T510" s="314"/>
      <c r="U510" s="314"/>
      <c r="V510" s="314"/>
      <c r="W510" s="318"/>
      <c r="X510" s="315"/>
      <c r="Y510" s="314"/>
      <c r="Z510" s="721"/>
      <c r="AA510" s="737"/>
      <c r="AB510" s="324"/>
      <c r="AC510" s="155"/>
      <c r="AD510" s="155"/>
      <c r="AE510" s="322"/>
      <c r="AF510" s="132"/>
      <c r="AG510" s="132"/>
    </row>
    <row r="511">
      <c r="A511" s="314"/>
      <c r="B511" s="695"/>
      <c r="C511" s="312"/>
      <c r="D511" s="717"/>
      <c r="E511" s="314"/>
      <c r="F511" s="736"/>
      <c r="G511" s="314"/>
      <c r="H511" s="314"/>
      <c r="I511" s="318"/>
      <c r="J511" s="314"/>
      <c r="K511" s="314"/>
      <c r="L511" s="315"/>
      <c r="M511" s="315"/>
      <c r="N511" s="315"/>
      <c r="O511" s="318"/>
      <c r="P511" s="318"/>
      <c r="Q511" s="315"/>
      <c r="R511" s="314"/>
      <c r="S511" s="314"/>
      <c r="T511" s="314"/>
      <c r="U511" s="314"/>
      <c r="V511" s="314"/>
      <c r="W511" s="318"/>
      <c r="X511" s="315"/>
      <c r="Y511" s="314"/>
      <c r="Z511" s="721"/>
      <c r="AA511" s="737"/>
      <c r="AB511" s="324"/>
      <c r="AC511" s="155"/>
      <c r="AD511" s="155"/>
      <c r="AE511" s="322"/>
      <c r="AF511" s="132"/>
      <c r="AG511" s="132"/>
    </row>
    <row r="512">
      <c r="A512" s="314"/>
      <c r="B512" s="695"/>
      <c r="C512" s="312"/>
      <c r="D512" s="717"/>
      <c r="E512" s="314"/>
      <c r="F512" s="736"/>
      <c r="G512" s="314"/>
      <c r="H512" s="314"/>
      <c r="I512" s="318"/>
      <c r="J512" s="314"/>
      <c r="K512" s="314"/>
      <c r="L512" s="315"/>
      <c r="M512" s="315"/>
      <c r="N512" s="315"/>
      <c r="O512" s="318"/>
      <c r="P512" s="318"/>
      <c r="Q512" s="315"/>
      <c r="R512" s="314"/>
      <c r="S512" s="314"/>
      <c r="T512" s="314"/>
      <c r="U512" s="314"/>
      <c r="V512" s="314"/>
      <c r="W512" s="318"/>
      <c r="X512" s="315"/>
      <c r="Y512" s="314"/>
      <c r="Z512" s="721"/>
      <c r="AA512" s="737"/>
      <c r="AB512" s="324"/>
      <c r="AC512" s="155"/>
      <c r="AD512" s="155"/>
      <c r="AE512" s="322"/>
      <c r="AF512" s="132"/>
      <c r="AG512" s="132"/>
    </row>
    <row r="513">
      <c r="A513" s="314"/>
      <c r="B513" s="695"/>
      <c r="C513" s="312"/>
      <c r="D513" s="717"/>
      <c r="E513" s="314"/>
      <c r="F513" s="736"/>
      <c r="G513" s="314"/>
      <c r="H513" s="314"/>
      <c r="I513" s="318"/>
      <c r="J513" s="314"/>
      <c r="K513" s="314"/>
      <c r="L513" s="315"/>
      <c r="M513" s="315"/>
      <c r="N513" s="315"/>
      <c r="O513" s="318"/>
      <c r="P513" s="318"/>
      <c r="Q513" s="315"/>
      <c r="R513" s="314"/>
      <c r="S513" s="314"/>
      <c r="T513" s="314"/>
      <c r="U513" s="314"/>
      <c r="V513" s="314"/>
      <c r="W513" s="318"/>
      <c r="X513" s="315"/>
      <c r="Y513" s="314"/>
      <c r="Z513" s="721"/>
      <c r="AA513" s="737"/>
      <c r="AB513" s="324"/>
      <c r="AC513" s="155"/>
      <c r="AD513" s="155"/>
      <c r="AE513" s="322"/>
      <c r="AF513" s="132"/>
      <c r="AG513" s="132"/>
    </row>
    <row r="514">
      <c r="A514" s="314"/>
      <c r="B514" s="695"/>
      <c r="C514" s="312"/>
      <c r="D514" s="717"/>
      <c r="E514" s="314"/>
      <c r="F514" s="736"/>
      <c r="G514" s="314"/>
      <c r="H514" s="314"/>
      <c r="I514" s="318"/>
      <c r="J514" s="314"/>
      <c r="K514" s="314"/>
      <c r="L514" s="315"/>
      <c r="M514" s="315"/>
      <c r="N514" s="315"/>
      <c r="O514" s="318"/>
      <c r="P514" s="318"/>
      <c r="Q514" s="315"/>
      <c r="R514" s="314"/>
      <c r="S514" s="314"/>
      <c r="T514" s="314"/>
      <c r="U514" s="314"/>
      <c r="V514" s="314"/>
      <c r="W514" s="318"/>
      <c r="X514" s="315"/>
      <c r="Y514" s="314"/>
      <c r="Z514" s="721"/>
      <c r="AA514" s="737"/>
      <c r="AB514" s="324"/>
      <c r="AC514" s="155"/>
      <c r="AD514" s="155"/>
      <c r="AE514" s="322"/>
      <c r="AF514" s="132"/>
      <c r="AG514" s="132"/>
    </row>
    <row r="515">
      <c r="A515" s="314"/>
      <c r="B515" s="695"/>
      <c r="C515" s="312"/>
      <c r="D515" s="717"/>
      <c r="E515" s="314"/>
      <c r="F515" s="736"/>
      <c r="G515" s="314"/>
      <c r="H515" s="314"/>
      <c r="I515" s="318"/>
      <c r="J515" s="314"/>
      <c r="K515" s="314"/>
      <c r="L515" s="315"/>
      <c r="M515" s="315"/>
      <c r="N515" s="315"/>
      <c r="O515" s="318"/>
      <c r="P515" s="318"/>
      <c r="Q515" s="315"/>
      <c r="R515" s="314"/>
      <c r="S515" s="314"/>
      <c r="T515" s="314"/>
      <c r="U515" s="314"/>
      <c r="V515" s="314"/>
      <c r="W515" s="318"/>
      <c r="X515" s="315"/>
      <c r="Y515" s="314"/>
      <c r="Z515" s="721"/>
      <c r="AA515" s="737"/>
      <c r="AB515" s="324"/>
      <c r="AC515" s="155"/>
      <c r="AD515" s="155"/>
      <c r="AE515" s="322"/>
      <c r="AF515" s="132"/>
      <c r="AG515" s="132"/>
    </row>
    <row r="516">
      <c r="A516" s="314"/>
      <c r="B516" s="695"/>
      <c r="C516" s="312"/>
      <c r="D516" s="717"/>
      <c r="E516" s="314"/>
      <c r="F516" s="736"/>
      <c r="G516" s="314"/>
      <c r="H516" s="314"/>
      <c r="I516" s="318"/>
      <c r="J516" s="314"/>
      <c r="K516" s="314"/>
      <c r="L516" s="315"/>
      <c r="M516" s="315"/>
      <c r="N516" s="315"/>
      <c r="O516" s="318"/>
      <c r="P516" s="318"/>
      <c r="Q516" s="315"/>
      <c r="R516" s="314"/>
      <c r="S516" s="314"/>
      <c r="T516" s="314"/>
      <c r="U516" s="314"/>
      <c r="V516" s="314"/>
      <c r="W516" s="318"/>
      <c r="X516" s="315"/>
      <c r="Y516" s="314"/>
      <c r="Z516" s="721"/>
      <c r="AA516" s="737"/>
      <c r="AB516" s="324"/>
      <c r="AC516" s="155"/>
      <c r="AD516" s="155"/>
      <c r="AE516" s="322"/>
      <c r="AF516" s="132"/>
      <c r="AG516" s="132"/>
    </row>
    <row r="517">
      <c r="A517" s="314"/>
      <c r="B517" s="695"/>
      <c r="C517" s="312"/>
      <c r="D517" s="717"/>
      <c r="E517" s="314"/>
      <c r="F517" s="736"/>
      <c r="G517" s="314"/>
      <c r="H517" s="314"/>
      <c r="I517" s="318"/>
      <c r="J517" s="314"/>
      <c r="K517" s="314"/>
      <c r="L517" s="315"/>
      <c r="M517" s="315"/>
      <c r="N517" s="315"/>
      <c r="O517" s="318"/>
      <c r="P517" s="318"/>
      <c r="Q517" s="315"/>
      <c r="R517" s="314"/>
      <c r="S517" s="314"/>
      <c r="T517" s="314"/>
      <c r="U517" s="314"/>
      <c r="V517" s="314"/>
      <c r="W517" s="318"/>
      <c r="X517" s="315"/>
      <c r="Y517" s="314"/>
      <c r="Z517" s="721"/>
      <c r="AA517" s="737"/>
      <c r="AB517" s="324"/>
      <c r="AC517" s="155"/>
      <c r="AD517" s="155"/>
      <c r="AE517" s="322"/>
      <c r="AF517" s="132"/>
      <c r="AG517" s="132"/>
    </row>
    <row r="518">
      <c r="A518" s="314"/>
      <c r="B518" s="695"/>
      <c r="C518" s="312"/>
      <c r="D518" s="717"/>
      <c r="E518" s="314"/>
      <c r="F518" s="736"/>
      <c r="G518" s="314"/>
      <c r="H518" s="314"/>
      <c r="I518" s="318"/>
      <c r="J518" s="314"/>
      <c r="K518" s="314"/>
      <c r="L518" s="315"/>
      <c r="M518" s="315"/>
      <c r="N518" s="315"/>
      <c r="O518" s="318"/>
      <c r="P518" s="318"/>
      <c r="Q518" s="315"/>
      <c r="R518" s="314"/>
      <c r="S518" s="314"/>
      <c r="T518" s="314"/>
      <c r="U518" s="314"/>
      <c r="V518" s="314"/>
      <c r="W518" s="318"/>
      <c r="X518" s="315"/>
      <c r="Y518" s="314"/>
      <c r="Z518" s="721"/>
      <c r="AA518" s="737"/>
      <c r="AB518" s="324"/>
      <c r="AC518" s="155"/>
      <c r="AD518" s="155"/>
      <c r="AE518" s="322"/>
      <c r="AF518" s="132"/>
      <c r="AG518" s="132"/>
    </row>
    <row r="519">
      <c r="A519" s="314"/>
      <c r="B519" s="695"/>
      <c r="C519" s="312"/>
      <c r="D519" s="717"/>
      <c r="E519" s="314"/>
      <c r="F519" s="736"/>
      <c r="G519" s="314"/>
      <c r="H519" s="314"/>
      <c r="I519" s="318"/>
      <c r="J519" s="314"/>
      <c r="K519" s="314"/>
      <c r="L519" s="315"/>
      <c r="M519" s="315"/>
      <c r="N519" s="315"/>
      <c r="O519" s="318"/>
      <c r="P519" s="318"/>
      <c r="Q519" s="315"/>
      <c r="R519" s="314"/>
      <c r="S519" s="314"/>
      <c r="T519" s="314"/>
      <c r="U519" s="314"/>
      <c r="V519" s="314"/>
      <c r="W519" s="318"/>
      <c r="X519" s="315"/>
      <c r="Y519" s="314"/>
      <c r="Z519" s="721"/>
      <c r="AA519" s="737"/>
      <c r="AB519" s="324"/>
      <c r="AC519" s="155"/>
      <c r="AD519" s="155"/>
      <c r="AE519" s="322"/>
      <c r="AF519" s="132"/>
      <c r="AG519" s="132"/>
    </row>
    <row r="520">
      <c r="A520" s="314"/>
      <c r="B520" s="695"/>
      <c r="C520" s="312"/>
      <c r="D520" s="717"/>
      <c r="E520" s="314"/>
      <c r="F520" s="736"/>
      <c r="G520" s="314"/>
      <c r="H520" s="314"/>
      <c r="I520" s="318"/>
      <c r="J520" s="314"/>
      <c r="K520" s="314"/>
      <c r="L520" s="315"/>
      <c r="M520" s="315"/>
      <c r="N520" s="315"/>
      <c r="O520" s="318"/>
      <c r="P520" s="318"/>
      <c r="Q520" s="315"/>
      <c r="R520" s="314"/>
      <c r="S520" s="314"/>
      <c r="T520" s="314"/>
      <c r="U520" s="314"/>
      <c r="V520" s="314"/>
      <c r="W520" s="318"/>
      <c r="X520" s="315"/>
      <c r="Y520" s="314"/>
      <c r="Z520" s="721"/>
      <c r="AA520" s="737"/>
      <c r="AB520" s="324"/>
      <c r="AC520" s="155"/>
      <c r="AD520" s="155"/>
      <c r="AE520" s="322"/>
      <c r="AF520" s="132"/>
      <c r="AG520" s="132"/>
    </row>
    <row r="521">
      <c r="A521" s="314"/>
      <c r="B521" s="695"/>
      <c r="C521" s="312"/>
      <c r="D521" s="717"/>
      <c r="E521" s="314"/>
      <c r="F521" s="736"/>
      <c r="G521" s="314"/>
      <c r="H521" s="314"/>
      <c r="I521" s="318"/>
      <c r="J521" s="314"/>
      <c r="K521" s="314"/>
      <c r="L521" s="315"/>
      <c r="M521" s="315"/>
      <c r="N521" s="315"/>
      <c r="O521" s="318"/>
      <c r="P521" s="318"/>
      <c r="Q521" s="315"/>
      <c r="R521" s="314"/>
      <c r="S521" s="314"/>
      <c r="T521" s="314"/>
      <c r="U521" s="314"/>
      <c r="V521" s="314"/>
      <c r="W521" s="318"/>
      <c r="X521" s="315"/>
      <c r="Y521" s="314"/>
      <c r="Z521" s="721"/>
      <c r="AA521" s="737"/>
      <c r="AB521" s="324"/>
      <c r="AC521" s="155"/>
      <c r="AD521" s="155"/>
      <c r="AE521" s="322"/>
      <c r="AF521" s="132"/>
      <c r="AG521" s="132"/>
    </row>
    <row r="522">
      <c r="A522" s="314"/>
      <c r="B522" s="695"/>
      <c r="C522" s="312"/>
      <c r="D522" s="717"/>
      <c r="E522" s="314"/>
      <c r="F522" s="736"/>
      <c r="G522" s="314"/>
      <c r="H522" s="314"/>
      <c r="I522" s="318"/>
      <c r="J522" s="314"/>
      <c r="K522" s="314"/>
      <c r="L522" s="315"/>
      <c r="M522" s="315"/>
      <c r="N522" s="315"/>
      <c r="O522" s="318"/>
      <c r="P522" s="318"/>
      <c r="Q522" s="315"/>
      <c r="R522" s="314"/>
      <c r="S522" s="314"/>
      <c r="T522" s="314"/>
      <c r="U522" s="314"/>
      <c r="V522" s="314"/>
      <c r="W522" s="318"/>
      <c r="X522" s="315"/>
      <c r="Y522" s="314"/>
      <c r="Z522" s="721"/>
      <c r="AA522" s="737"/>
      <c r="AB522" s="324"/>
      <c r="AC522" s="155"/>
      <c r="AD522" s="155"/>
      <c r="AE522" s="322"/>
      <c r="AF522" s="132"/>
      <c r="AG522" s="132"/>
    </row>
    <row r="523">
      <c r="A523" s="314"/>
      <c r="B523" s="695"/>
      <c r="C523" s="312"/>
      <c r="D523" s="717"/>
      <c r="E523" s="314"/>
      <c r="F523" s="736"/>
      <c r="G523" s="314"/>
      <c r="H523" s="314"/>
      <c r="I523" s="318"/>
      <c r="J523" s="314"/>
      <c r="K523" s="314"/>
      <c r="L523" s="315"/>
      <c r="M523" s="315"/>
      <c r="N523" s="315"/>
      <c r="O523" s="318"/>
      <c r="P523" s="318"/>
      <c r="Q523" s="315"/>
      <c r="R523" s="314"/>
      <c r="S523" s="314"/>
      <c r="T523" s="314"/>
      <c r="U523" s="314"/>
      <c r="V523" s="314"/>
      <c r="W523" s="318"/>
      <c r="X523" s="315"/>
      <c r="Y523" s="314"/>
      <c r="Z523" s="721"/>
      <c r="AA523" s="737"/>
      <c r="AB523" s="324"/>
      <c r="AC523" s="155"/>
      <c r="AD523" s="155"/>
      <c r="AE523" s="322"/>
      <c r="AF523" s="132"/>
      <c r="AG523" s="132"/>
    </row>
    <row r="524">
      <c r="A524" s="314"/>
      <c r="B524" s="695"/>
      <c r="C524" s="312"/>
      <c r="D524" s="717"/>
      <c r="E524" s="314"/>
      <c r="F524" s="736"/>
      <c r="G524" s="314"/>
      <c r="H524" s="314"/>
      <c r="I524" s="318"/>
      <c r="J524" s="314"/>
      <c r="K524" s="314"/>
      <c r="L524" s="315"/>
      <c r="M524" s="315"/>
      <c r="N524" s="315"/>
      <c r="O524" s="318"/>
      <c r="P524" s="318"/>
      <c r="Q524" s="315"/>
      <c r="R524" s="314"/>
      <c r="S524" s="314"/>
      <c r="T524" s="314"/>
      <c r="U524" s="314"/>
      <c r="V524" s="314"/>
      <c r="W524" s="318"/>
      <c r="X524" s="315"/>
      <c r="Y524" s="314"/>
      <c r="Z524" s="721"/>
      <c r="AA524" s="737"/>
      <c r="AB524" s="324"/>
      <c r="AC524" s="155"/>
      <c r="AD524" s="155"/>
      <c r="AE524" s="322"/>
      <c r="AF524" s="132"/>
      <c r="AG524" s="132"/>
    </row>
    <row r="525">
      <c r="A525" s="314"/>
      <c r="B525" s="695"/>
      <c r="C525" s="312"/>
      <c r="D525" s="717"/>
      <c r="E525" s="314"/>
      <c r="F525" s="736"/>
      <c r="G525" s="314"/>
      <c r="H525" s="314"/>
      <c r="I525" s="318"/>
      <c r="J525" s="314"/>
      <c r="K525" s="314"/>
      <c r="L525" s="315"/>
      <c r="M525" s="315"/>
      <c r="N525" s="315"/>
      <c r="O525" s="318"/>
      <c r="P525" s="318"/>
      <c r="Q525" s="315"/>
      <c r="R525" s="314"/>
      <c r="S525" s="314"/>
      <c r="T525" s="314"/>
      <c r="U525" s="314"/>
      <c r="V525" s="314"/>
      <c r="W525" s="318"/>
      <c r="X525" s="315"/>
      <c r="Y525" s="314"/>
      <c r="Z525" s="721"/>
      <c r="AA525" s="737"/>
      <c r="AB525" s="324"/>
      <c r="AC525" s="155"/>
      <c r="AD525" s="155"/>
      <c r="AE525" s="322"/>
      <c r="AF525" s="132"/>
      <c r="AG525" s="132"/>
    </row>
    <row r="526">
      <c r="A526" s="314"/>
      <c r="B526" s="695"/>
      <c r="C526" s="312"/>
      <c r="D526" s="717"/>
      <c r="E526" s="314"/>
      <c r="F526" s="736"/>
      <c r="G526" s="314"/>
      <c r="H526" s="314"/>
      <c r="I526" s="318"/>
      <c r="J526" s="314"/>
      <c r="K526" s="314"/>
      <c r="L526" s="315"/>
      <c r="M526" s="315"/>
      <c r="N526" s="315"/>
      <c r="O526" s="318"/>
      <c r="P526" s="318"/>
      <c r="Q526" s="315"/>
      <c r="R526" s="314"/>
      <c r="S526" s="314"/>
      <c r="T526" s="314"/>
      <c r="U526" s="314"/>
      <c r="V526" s="314"/>
      <c r="W526" s="318"/>
      <c r="X526" s="315"/>
      <c r="Y526" s="314"/>
      <c r="Z526" s="721"/>
      <c r="AA526" s="737"/>
      <c r="AB526" s="324"/>
      <c r="AC526" s="155"/>
      <c r="AD526" s="155"/>
      <c r="AE526" s="322"/>
      <c r="AF526" s="132"/>
      <c r="AG526" s="132"/>
    </row>
    <row r="527">
      <c r="A527" s="435"/>
      <c r="B527" s="695"/>
      <c r="C527" s="745"/>
      <c r="D527" s="717"/>
      <c r="E527" s="435"/>
      <c r="F527" s="736"/>
      <c r="G527" s="314"/>
      <c r="H527" s="435"/>
      <c r="I527" s="740"/>
      <c r="J527" s="314"/>
      <c r="K527" s="435"/>
      <c r="L527" s="744"/>
      <c r="M527" s="315"/>
      <c r="N527" s="315"/>
      <c r="O527" s="318"/>
      <c r="P527" s="740"/>
      <c r="Q527" s="744"/>
      <c r="R527" s="435"/>
      <c r="S527" s="435"/>
      <c r="T527" s="435"/>
      <c r="U527" s="435"/>
      <c r="V527" s="435"/>
      <c r="W527" s="740"/>
      <c r="X527" s="744"/>
      <c r="Y527" s="435"/>
      <c r="Z527" s="749"/>
      <c r="AA527" s="753"/>
      <c r="AB527" s="324"/>
      <c r="AC527" s="180"/>
      <c r="AD527" s="155"/>
      <c r="AE527" s="322"/>
      <c r="AF527" s="132"/>
      <c r="AG527" s="132"/>
    </row>
    <row r="528">
      <c r="A528" s="435"/>
      <c r="B528" s="695"/>
      <c r="C528" s="312"/>
      <c r="D528" s="751"/>
      <c r="E528" s="314"/>
      <c r="F528" s="736"/>
      <c r="G528" s="314"/>
      <c r="H528" s="314"/>
      <c r="I528" s="318"/>
      <c r="J528" s="314"/>
      <c r="K528" s="314"/>
      <c r="L528" s="315"/>
      <c r="M528" s="744"/>
      <c r="N528" s="744"/>
      <c r="O528" s="318"/>
      <c r="P528" s="318"/>
      <c r="Q528" s="315"/>
      <c r="R528" s="314"/>
      <c r="S528" s="314"/>
      <c r="T528" s="314"/>
      <c r="U528" s="314"/>
      <c r="V528" s="314"/>
      <c r="W528" s="318"/>
      <c r="X528" s="315"/>
      <c r="Y528" s="314"/>
      <c r="Z528" s="721"/>
      <c r="AA528" s="737"/>
      <c r="AB528" s="324"/>
      <c r="AC528" s="180"/>
      <c r="AD528" s="155"/>
      <c r="AE528" s="322"/>
      <c r="AF528" s="132"/>
      <c r="AG528" s="132"/>
    </row>
    <row r="529">
      <c r="A529" s="435"/>
      <c r="B529" s="746"/>
      <c r="C529" s="745"/>
      <c r="D529" s="751"/>
      <c r="E529" s="435"/>
      <c r="F529" s="736"/>
      <c r="G529" s="314"/>
      <c r="H529" s="314"/>
      <c r="I529" s="740"/>
      <c r="J529" s="435"/>
      <c r="K529" s="435"/>
      <c r="L529" s="744"/>
      <c r="M529" s="744"/>
      <c r="N529" s="744"/>
      <c r="O529" s="318"/>
      <c r="P529" s="740"/>
      <c r="Q529" s="315"/>
      <c r="R529" s="435"/>
      <c r="S529" s="435"/>
      <c r="T529" s="435"/>
      <c r="U529" s="435"/>
      <c r="V529" s="435"/>
      <c r="W529" s="740"/>
      <c r="X529" s="744"/>
      <c r="Y529" s="435"/>
      <c r="Z529" s="749"/>
      <c r="AA529" s="753"/>
      <c r="AB529" s="324"/>
      <c r="AC529" s="180"/>
      <c r="AD529" s="155"/>
      <c r="AE529" s="322"/>
      <c r="AF529" s="132"/>
      <c r="AG529" s="132"/>
    </row>
    <row r="530">
      <c r="A530" s="435"/>
      <c r="B530" s="695"/>
      <c r="C530" s="312"/>
      <c r="D530" s="751"/>
      <c r="E530" s="314"/>
      <c r="F530" s="736"/>
      <c r="G530" s="314"/>
      <c r="H530" s="314"/>
      <c r="I530" s="740"/>
      <c r="J530" s="314"/>
      <c r="K530" s="435"/>
      <c r="L530" s="315"/>
      <c r="M530" s="315"/>
      <c r="N530" s="315"/>
      <c r="O530" s="318"/>
      <c r="P530" s="318"/>
      <c r="Q530" s="744"/>
      <c r="R530" s="435"/>
      <c r="S530" s="314"/>
      <c r="T530" s="314"/>
      <c r="U530" s="314"/>
      <c r="V530" s="314"/>
      <c r="W530" s="318"/>
      <c r="X530" s="315"/>
      <c r="Y530" s="314"/>
      <c r="Z530" s="721"/>
      <c r="AA530" s="737"/>
      <c r="AB530" s="324"/>
      <c r="AC530" s="180"/>
      <c r="AD530" s="155"/>
      <c r="AE530" s="322"/>
      <c r="AF530" s="132"/>
      <c r="AG530" s="132"/>
    </row>
    <row r="531">
      <c r="A531" s="435"/>
      <c r="B531" s="746"/>
      <c r="C531" s="745"/>
      <c r="D531" s="751"/>
      <c r="E531" s="435"/>
      <c r="F531" s="736"/>
      <c r="G531" s="314"/>
      <c r="H531" s="435"/>
      <c r="I531" s="740"/>
      <c r="J531" s="435"/>
      <c r="K531" s="435"/>
      <c r="L531" s="744"/>
      <c r="M531" s="744"/>
      <c r="N531" s="744"/>
      <c r="O531" s="318"/>
      <c r="P531" s="740"/>
      <c r="Q531" s="744"/>
      <c r="R531" s="435"/>
      <c r="S531" s="435"/>
      <c r="T531" s="435"/>
      <c r="U531" s="435"/>
      <c r="V531" s="435"/>
      <c r="W531" s="740"/>
      <c r="X531" s="744"/>
      <c r="Y531" s="435"/>
      <c r="Z531" s="749"/>
      <c r="AA531" s="753"/>
      <c r="AB531" s="324"/>
      <c r="AC531" s="180"/>
      <c r="AD531" s="155"/>
      <c r="AE531" s="322"/>
      <c r="AF531" s="132"/>
      <c r="AG531" s="132"/>
    </row>
    <row r="532">
      <c r="A532" s="435"/>
      <c r="B532" s="746"/>
      <c r="C532" s="312"/>
      <c r="D532" s="751"/>
      <c r="E532" s="314"/>
      <c r="F532" s="736"/>
      <c r="G532" s="314"/>
      <c r="H532" s="314"/>
      <c r="I532" s="318"/>
      <c r="J532" s="314"/>
      <c r="K532" s="435"/>
      <c r="L532" s="315"/>
      <c r="M532" s="315"/>
      <c r="N532" s="315"/>
      <c r="O532" s="318"/>
      <c r="P532" s="318"/>
      <c r="Q532" s="315"/>
      <c r="R532" s="314"/>
      <c r="S532" s="435"/>
      <c r="T532" s="435"/>
      <c r="U532" s="435"/>
      <c r="V532" s="435"/>
      <c r="W532" s="740"/>
      <c r="X532" s="744"/>
      <c r="Y532" s="435"/>
      <c r="Z532" s="749"/>
      <c r="AA532" s="753"/>
      <c r="AB532" s="324"/>
      <c r="AC532" s="180"/>
      <c r="AD532" s="155"/>
      <c r="AE532" s="322"/>
      <c r="AF532" s="132"/>
      <c r="AG532" s="132"/>
    </row>
    <row r="533">
      <c r="A533" s="435"/>
      <c r="B533" s="746"/>
      <c r="C533" s="745"/>
      <c r="D533" s="751"/>
      <c r="E533" s="435"/>
      <c r="F533" s="736"/>
      <c r="G533" s="314"/>
      <c r="H533" s="435"/>
      <c r="I533" s="318"/>
      <c r="J533" s="314"/>
      <c r="K533" s="435"/>
      <c r="L533" s="315"/>
      <c r="M533" s="315"/>
      <c r="N533" s="315"/>
      <c r="O533" s="318"/>
      <c r="P533" s="740"/>
      <c r="Q533" s="744"/>
      <c r="R533" s="435"/>
      <c r="S533" s="435"/>
      <c r="T533" s="435"/>
      <c r="U533" s="435"/>
      <c r="V533" s="435"/>
      <c r="W533" s="740"/>
      <c r="X533" s="744"/>
      <c r="Y533" s="435"/>
      <c r="Z533" s="749"/>
      <c r="AA533" s="753"/>
      <c r="AB533" s="324"/>
      <c r="AC533" s="180"/>
      <c r="AD533" s="155"/>
      <c r="AE533" s="322"/>
      <c r="AF533" s="132"/>
      <c r="AG533" s="132"/>
    </row>
    <row r="534">
      <c r="A534" s="435"/>
      <c r="B534" s="746"/>
      <c r="C534" s="745"/>
      <c r="D534" s="751"/>
      <c r="E534" s="435"/>
      <c r="F534" s="736"/>
      <c r="G534" s="314"/>
      <c r="H534" s="435"/>
      <c r="I534" s="740"/>
      <c r="J534" s="435"/>
      <c r="K534" s="435"/>
      <c r="L534" s="744"/>
      <c r="M534" s="744"/>
      <c r="N534" s="744"/>
      <c r="O534" s="318"/>
      <c r="P534" s="740"/>
      <c r="Q534" s="744"/>
      <c r="R534" s="435"/>
      <c r="S534" s="435"/>
      <c r="T534" s="435"/>
      <c r="U534" s="435"/>
      <c r="V534" s="435"/>
      <c r="W534" s="740"/>
      <c r="X534" s="744"/>
      <c r="Y534" s="435"/>
      <c r="Z534" s="749"/>
      <c r="AA534" s="753"/>
      <c r="AB534" s="324"/>
      <c r="AC534" s="180"/>
      <c r="AD534" s="155"/>
      <c r="AE534" s="322"/>
      <c r="AF534" s="132"/>
      <c r="AG534" s="132"/>
    </row>
    <row r="535">
      <c r="A535" s="435"/>
      <c r="B535" s="695"/>
      <c r="C535" s="312"/>
      <c r="D535" s="717"/>
      <c r="E535" s="435"/>
      <c r="F535" s="736"/>
      <c r="G535" s="314"/>
      <c r="H535" s="435"/>
      <c r="I535" s="318"/>
      <c r="J535" s="314"/>
      <c r="K535" s="314"/>
      <c r="L535" s="315"/>
      <c r="M535" s="315"/>
      <c r="N535" s="315"/>
      <c r="O535" s="318"/>
      <c r="P535" s="318"/>
      <c r="Q535" s="315"/>
      <c r="R535" s="314"/>
      <c r="S535" s="314"/>
      <c r="T535" s="314"/>
      <c r="U535" s="314"/>
      <c r="V535" s="314"/>
      <c r="W535" s="318"/>
      <c r="X535" s="315"/>
      <c r="Y535" s="314"/>
      <c r="Z535" s="721"/>
      <c r="AA535" s="737"/>
      <c r="AB535" s="324"/>
      <c r="AC535" s="180"/>
      <c r="AD535" s="155"/>
      <c r="AE535" s="322"/>
      <c r="AF535" s="132"/>
      <c r="AG535" s="132"/>
    </row>
    <row r="536">
      <c r="A536" s="435"/>
      <c r="B536" s="695"/>
      <c r="C536" s="312"/>
      <c r="D536" s="751"/>
      <c r="E536" s="314"/>
      <c r="F536" s="736"/>
      <c r="G536" s="314"/>
      <c r="H536" s="435"/>
      <c r="I536" s="318"/>
      <c r="J536" s="435"/>
      <c r="K536" s="435"/>
      <c r="L536" s="315"/>
      <c r="M536" s="744"/>
      <c r="N536" s="315"/>
      <c r="O536" s="318"/>
      <c r="P536" s="318"/>
      <c r="Q536" s="315"/>
      <c r="R536" s="435"/>
      <c r="S536" s="435"/>
      <c r="T536" s="435"/>
      <c r="U536" s="435"/>
      <c r="V536" s="435"/>
      <c r="W536" s="740"/>
      <c r="X536" s="744"/>
      <c r="Y536" s="435"/>
      <c r="Z536" s="749"/>
      <c r="AA536" s="753"/>
      <c r="AB536" s="324"/>
      <c r="AC536" s="180"/>
      <c r="AD536" s="155"/>
      <c r="AE536" s="322"/>
      <c r="AF536" s="132"/>
      <c r="AG536" s="132"/>
    </row>
    <row r="537">
      <c r="A537" s="435"/>
      <c r="B537" s="695"/>
      <c r="C537" s="312"/>
      <c r="D537" s="717"/>
      <c r="E537" s="314"/>
      <c r="F537" s="736"/>
      <c r="G537" s="314"/>
      <c r="H537" s="314"/>
      <c r="I537" s="318"/>
      <c r="J537" s="314"/>
      <c r="K537" s="314"/>
      <c r="L537" s="315"/>
      <c r="M537" s="315"/>
      <c r="N537" s="315"/>
      <c r="O537" s="318"/>
      <c r="P537" s="318"/>
      <c r="Q537" s="744"/>
      <c r="R537" s="314"/>
      <c r="S537" s="435"/>
      <c r="T537" s="435"/>
      <c r="U537" s="435"/>
      <c r="V537" s="435"/>
      <c r="W537" s="740"/>
      <c r="X537" s="744"/>
      <c r="Y537" s="435"/>
      <c r="Z537" s="749"/>
      <c r="AA537" s="753"/>
      <c r="AB537" s="324"/>
      <c r="AC537" s="180"/>
      <c r="AD537" s="155"/>
      <c r="AE537" s="322"/>
      <c r="AF537" s="132"/>
      <c r="AG537" s="132"/>
    </row>
    <row r="538">
      <c r="A538" s="435"/>
      <c r="B538" s="746"/>
      <c r="C538" s="312"/>
      <c r="D538" s="717"/>
      <c r="E538" s="314"/>
      <c r="F538" s="736"/>
      <c r="G538" s="314"/>
      <c r="H538" s="435"/>
      <c r="I538" s="318"/>
      <c r="J538" s="435"/>
      <c r="K538" s="435"/>
      <c r="L538" s="315"/>
      <c r="M538" s="315"/>
      <c r="N538" s="744"/>
      <c r="O538" s="318"/>
      <c r="P538" s="318"/>
      <c r="Q538" s="315"/>
      <c r="R538" s="435"/>
      <c r="S538" s="435"/>
      <c r="T538" s="435"/>
      <c r="U538" s="435"/>
      <c r="V538" s="435"/>
      <c r="W538" s="740"/>
      <c r="X538" s="744"/>
      <c r="Y538" s="435"/>
      <c r="Z538" s="749"/>
      <c r="AA538" s="753"/>
      <c r="AB538" s="324"/>
      <c r="AC538" s="180"/>
      <c r="AD538" s="155"/>
      <c r="AE538" s="322"/>
      <c r="AF538" s="132"/>
      <c r="AG538" s="132"/>
    </row>
    <row r="539">
      <c r="A539" s="435"/>
      <c r="B539" s="695"/>
      <c r="C539" s="745"/>
      <c r="D539" s="751"/>
      <c r="E539" s="435"/>
      <c r="F539" s="736"/>
      <c r="G539" s="314"/>
      <c r="H539" s="435"/>
      <c r="I539" s="318"/>
      <c r="J539" s="314"/>
      <c r="K539" s="435"/>
      <c r="L539" s="315"/>
      <c r="M539" s="315"/>
      <c r="N539" s="315"/>
      <c r="O539" s="318"/>
      <c r="P539" s="318"/>
      <c r="Q539" s="315"/>
      <c r="R539" s="314"/>
      <c r="S539" s="435"/>
      <c r="T539" s="435"/>
      <c r="U539" s="435"/>
      <c r="V539" s="435"/>
      <c r="W539" s="740"/>
      <c r="X539" s="744"/>
      <c r="Y539" s="435"/>
      <c r="Z539" s="749"/>
      <c r="AA539" s="753"/>
      <c r="AB539" s="324"/>
      <c r="AC539" s="180"/>
      <c r="AD539" s="155"/>
      <c r="AE539" s="322"/>
      <c r="AF539" s="132"/>
      <c r="AG539" s="132"/>
    </row>
    <row r="540">
      <c r="A540" s="435"/>
      <c r="B540" s="695"/>
      <c r="C540" s="312"/>
      <c r="D540" s="717"/>
      <c r="E540" s="314"/>
      <c r="F540" s="736"/>
      <c r="G540" s="314"/>
      <c r="H540" s="435"/>
      <c r="I540" s="318"/>
      <c r="J540" s="314"/>
      <c r="K540" s="314"/>
      <c r="L540" s="315"/>
      <c r="M540" s="315"/>
      <c r="N540" s="315"/>
      <c r="O540" s="318"/>
      <c r="P540" s="318"/>
      <c r="Q540" s="315"/>
      <c r="R540" s="435"/>
      <c r="S540" s="314"/>
      <c r="T540" s="314"/>
      <c r="U540" s="314"/>
      <c r="V540" s="314"/>
      <c r="W540" s="318"/>
      <c r="X540" s="315"/>
      <c r="Y540" s="314"/>
      <c r="Z540" s="721"/>
      <c r="AA540" s="737"/>
      <c r="AB540" s="324"/>
      <c r="AC540" s="180"/>
      <c r="AD540" s="155"/>
      <c r="AE540" s="322"/>
      <c r="AF540" s="132"/>
      <c r="AG540" s="132"/>
    </row>
    <row r="541">
      <c r="A541" s="435"/>
      <c r="B541" s="746"/>
      <c r="C541" s="745"/>
      <c r="D541" s="751"/>
      <c r="E541" s="435"/>
      <c r="F541" s="736"/>
      <c r="G541" s="314"/>
      <c r="H541" s="435"/>
      <c r="I541" s="740"/>
      <c r="J541" s="435"/>
      <c r="K541" s="435"/>
      <c r="L541" s="744"/>
      <c r="M541" s="744"/>
      <c r="N541" s="744"/>
      <c r="O541" s="318"/>
      <c r="P541" s="740"/>
      <c r="Q541" s="744"/>
      <c r="R541" s="435"/>
      <c r="S541" s="435"/>
      <c r="T541" s="435"/>
      <c r="U541" s="435"/>
      <c r="V541" s="435"/>
      <c r="W541" s="740"/>
      <c r="X541" s="744"/>
      <c r="Y541" s="435"/>
      <c r="Z541" s="749"/>
      <c r="AA541" s="753"/>
      <c r="AB541" s="324"/>
      <c r="AC541" s="180"/>
      <c r="AD541" s="155"/>
      <c r="AE541" s="322"/>
      <c r="AF541" s="132"/>
      <c r="AG541" s="132"/>
    </row>
    <row r="542">
      <c r="A542" s="435"/>
      <c r="B542" s="695"/>
      <c r="C542" s="312"/>
      <c r="D542" s="717"/>
      <c r="E542" s="314"/>
      <c r="F542" s="736"/>
      <c r="G542" s="314"/>
      <c r="H542" s="314"/>
      <c r="I542" s="318"/>
      <c r="J542" s="314"/>
      <c r="K542" s="314"/>
      <c r="L542" s="315"/>
      <c r="M542" s="744"/>
      <c r="N542" s="315"/>
      <c r="O542" s="318"/>
      <c r="P542" s="318"/>
      <c r="Q542" s="315"/>
      <c r="R542" s="314"/>
      <c r="S542" s="314"/>
      <c r="T542" s="314"/>
      <c r="U542" s="314"/>
      <c r="V542" s="314"/>
      <c r="W542" s="318"/>
      <c r="X542" s="315"/>
      <c r="Y542" s="314"/>
      <c r="Z542" s="721"/>
      <c r="AA542" s="737"/>
      <c r="AB542" s="324"/>
      <c r="AC542" s="180"/>
      <c r="AD542" s="155"/>
      <c r="AE542" s="322"/>
      <c r="AF542" s="132"/>
      <c r="AG542" s="132"/>
    </row>
    <row r="543">
      <c r="A543" s="435"/>
      <c r="B543" s="695"/>
      <c r="C543" s="745"/>
      <c r="D543" s="751"/>
      <c r="E543" s="435"/>
      <c r="F543" s="736"/>
      <c r="G543" s="314"/>
      <c r="H543" s="435"/>
      <c r="I543" s="740"/>
      <c r="J543" s="435"/>
      <c r="K543" s="435"/>
      <c r="L543" s="315"/>
      <c r="M543" s="744"/>
      <c r="N543" s="744"/>
      <c r="O543" s="318"/>
      <c r="P543" s="740"/>
      <c r="Q543" s="744"/>
      <c r="R543" s="435"/>
      <c r="S543" s="435"/>
      <c r="T543" s="435"/>
      <c r="U543" s="435"/>
      <c r="V543" s="435"/>
      <c r="W543" s="740"/>
      <c r="X543" s="744"/>
      <c r="Y543" s="435"/>
      <c r="Z543" s="749"/>
      <c r="AA543" s="753"/>
      <c r="AB543" s="324"/>
      <c r="AC543" s="180"/>
      <c r="AD543" s="155"/>
      <c r="AE543" s="322"/>
      <c r="AF543" s="132"/>
      <c r="AG543" s="132"/>
    </row>
    <row r="544">
      <c r="A544" s="435"/>
      <c r="B544" s="746"/>
      <c r="C544" s="745"/>
      <c r="D544" s="717"/>
      <c r="E544" s="435"/>
      <c r="F544" s="736"/>
      <c r="G544" s="314"/>
      <c r="H544" s="435"/>
      <c r="I544" s="740"/>
      <c r="J544" s="314"/>
      <c r="K544" s="435"/>
      <c r="L544" s="744"/>
      <c r="M544" s="315"/>
      <c r="N544" s="744"/>
      <c r="O544" s="318"/>
      <c r="P544" s="740"/>
      <c r="Q544" s="315"/>
      <c r="R544" s="435"/>
      <c r="S544" s="435"/>
      <c r="T544" s="435"/>
      <c r="U544" s="435"/>
      <c r="V544" s="435"/>
      <c r="W544" s="740"/>
      <c r="X544" s="744"/>
      <c r="Y544" s="435"/>
      <c r="Z544" s="749"/>
      <c r="AA544" s="753"/>
      <c r="AB544" s="324"/>
      <c r="AC544" s="180"/>
      <c r="AD544" s="155"/>
      <c r="AE544" s="322"/>
      <c r="AF544" s="132"/>
      <c r="AG544" s="132"/>
    </row>
    <row r="545">
      <c r="A545" s="458"/>
      <c r="B545" s="746"/>
      <c r="C545" s="745"/>
      <c r="D545" s="751"/>
      <c r="E545" s="435"/>
      <c r="F545" s="736"/>
      <c r="G545" s="314"/>
      <c r="H545" s="314"/>
      <c r="I545" s="740"/>
      <c r="J545" s="435"/>
      <c r="K545" s="435"/>
      <c r="L545" s="744"/>
      <c r="M545" s="744"/>
      <c r="N545" s="744"/>
      <c r="O545" s="318"/>
      <c r="P545" s="740"/>
      <c r="Q545" s="744"/>
      <c r="R545" s="435"/>
      <c r="S545" s="435"/>
      <c r="T545" s="435"/>
      <c r="U545" s="435"/>
      <c r="V545" s="435"/>
      <c r="W545" s="740"/>
      <c r="X545" s="744"/>
      <c r="Y545" s="435"/>
      <c r="Z545" s="749"/>
      <c r="AA545" s="753"/>
      <c r="AB545" s="324"/>
      <c r="AC545" s="180"/>
      <c r="AD545" s="155"/>
      <c r="AE545" s="322"/>
      <c r="AF545" s="132"/>
      <c r="AG545" s="132"/>
    </row>
    <row r="546">
      <c r="A546" s="458"/>
      <c r="B546" s="746"/>
      <c r="C546" s="745"/>
      <c r="D546" s="751"/>
      <c r="E546" s="435"/>
      <c r="F546" s="736"/>
      <c r="G546" s="314"/>
      <c r="H546" s="314"/>
      <c r="I546" s="318"/>
      <c r="J546" s="435"/>
      <c r="K546" s="435"/>
      <c r="L546" s="744"/>
      <c r="M546" s="744"/>
      <c r="N546" s="744"/>
      <c r="O546" s="318"/>
      <c r="P546" s="740"/>
      <c r="Q546" s="744"/>
      <c r="R546" s="435"/>
      <c r="S546" s="435"/>
      <c r="T546" s="435"/>
      <c r="U546" s="435"/>
      <c r="V546" s="435"/>
      <c r="W546" s="740"/>
      <c r="X546" s="744"/>
      <c r="Y546" s="435"/>
      <c r="Z546" s="749"/>
      <c r="AA546" s="753"/>
      <c r="AB546" s="324"/>
      <c r="AC546" s="180"/>
      <c r="AD546" s="155"/>
      <c r="AE546" s="322"/>
      <c r="AF546" s="132"/>
      <c r="AG546" s="132"/>
    </row>
    <row r="547">
      <c r="A547" s="458"/>
      <c r="B547" s="746"/>
      <c r="C547" s="745"/>
      <c r="D547" s="751"/>
      <c r="E547" s="314"/>
      <c r="F547" s="736"/>
      <c r="G547" s="314"/>
      <c r="H547" s="314"/>
      <c r="I547" s="740"/>
      <c r="J547" s="435"/>
      <c r="K547" s="435"/>
      <c r="L547" s="744"/>
      <c r="M547" s="744"/>
      <c r="N547" s="744"/>
      <c r="O547" s="318"/>
      <c r="P547" s="740"/>
      <c r="Q547" s="315"/>
      <c r="R547" s="435"/>
      <c r="S547" s="435"/>
      <c r="T547" s="435"/>
      <c r="U547" s="435"/>
      <c r="V547" s="435"/>
      <c r="W547" s="740"/>
      <c r="X547" s="744"/>
      <c r="Y547" s="435"/>
      <c r="Z547" s="749"/>
      <c r="AA547" s="753"/>
      <c r="AB547" s="324"/>
      <c r="AC547" s="180"/>
      <c r="AD547" s="155"/>
      <c r="AE547" s="322"/>
      <c r="AF547" s="132"/>
      <c r="AG547" s="132"/>
    </row>
    <row r="548">
      <c r="A548" s="458"/>
      <c r="B548" s="695"/>
      <c r="C548" s="312"/>
      <c r="D548" s="717"/>
      <c r="E548" s="314"/>
      <c r="F548" s="736"/>
      <c r="G548" s="314"/>
      <c r="H548" s="314"/>
      <c r="I548" s="318"/>
      <c r="J548" s="314"/>
      <c r="K548" s="314"/>
      <c r="L548" s="315"/>
      <c r="M548" s="315"/>
      <c r="N548" s="315"/>
      <c r="O548" s="318"/>
      <c r="P548" s="318"/>
      <c r="Q548" s="315"/>
      <c r="R548" s="314"/>
      <c r="S548" s="314"/>
      <c r="T548" s="314"/>
      <c r="U548" s="314"/>
      <c r="V548" s="314"/>
      <c r="W548" s="318"/>
      <c r="X548" s="315"/>
      <c r="Y548" s="314"/>
      <c r="Z548" s="721"/>
      <c r="AA548" s="737"/>
      <c r="AB548" s="324"/>
      <c r="AC548" s="180"/>
      <c r="AD548" s="155"/>
      <c r="AE548" s="322"/>
      <c r="AF548" s="132"/>
      <c r="AG548" s="132"/>
    </row>
    <row r="549">
      <c r="A549" s="458"/>
      <c r="B549" s="746"/>
      <c r="C549" s="745"/>
      <c r="D549" s="751"/>
      <c r="E549" s="314"/>
      <c r="F549" s="736"/>
      <c r="G549" s="314"/>
      <c r="H549" s="314"/>
      <c r="I549" s="318"/>
      <c r="J549" s="314"/>
      <c r="K549" s="435"/>
      <c r="L549" s="744"/>
      <c r="M549" s="744"/>
      <c r="N549" s="315"/>
      <c r="O549" s="318"/>
      <c r="P549" s="740"/>
      <c r="Q549" s="744"/>
      <c r="R549" s="435"/>
      <c r="S549" s="435"/>
      <c r="T549" s="435"/>
      <c r="U549" s="435"/>
      <c r="V549" s="435"/>
      <c r="W549" s="740"/>
      <c r="X549" s="744"/>
      <c r="Y549" s="435"/>
      <c r="Z549" s="749"/>
      <c r="AA549" s="753"/>
      <c r="AB549" s="324"/>
      <c r="AC549" s="180"/>
      <c r="AD549" s="155"/>
      <c r="AE549" s="322"/>
      <c r="AF549" s="132"/>
      <c r="AG549" s="132"/>
    </row>
    <row r="550">
      <c r="A550" s="458"/>
      <c r="B550" s="695"/>
      <c r="C550" s="312"/>
      <c r="D550" s="751"/>
      <c r="E550" s="314"/>
      <c r="F550" s="736"/>
      <c r="G550" s="314"/>
      <c r="H550" s="314"/>
      <c r="I550" s="318"/>
      <c r="J550" s="314"/>
      <c r="K550" s="314"/>
      <c r="L550" s="315"/>
      <c r="M550" s="315"/>
      <c r="N550" s="315"/>
      <c r="O550" s="318"/>
      <c r="P550" s="318"/>
      <c r="Q550" s="315"/>
      <c r="R550" s="314"/>
      <c r="S550" s="314"/>
      <c r="T550" s="314"/>
      <c r="U550" s="314"/>
      <c r="V550" s="314"/>
      <c r="W550" s="318"/>
      <c r="X550" s="315"/>
      <c r="Y550" s="314"/>
      <c r="Z550" s="721"/>
      <c r="AA550" s="737"/>
      <c r="AB550" s="324"/>
      <c r="AC550" s="180"/>
      <c r="AD550" s="155"/>
      <c r="AE550" s="322"/>
      <c r="AF550" s="132"/>
      <c r="AG550" s="132"/>
    </row>
    <row r="551">
      <c r="A551" s="458"/>
      <c r="B551" s="695"/>
      <c r="C551" s="745"/>
      <c r="D551" s="717"/>
      <c r="E551" s="314"/>
      <c r="F551" s="736"/>
      <c r="G551" s="314"/>
      <c r="H551" s="314"/>
      <c r="I551" s="740"/>
      <c r="J551" s="314"/>
      <c r="K551" s="314"/>
      <c r="L551" s="744"/>
      <c r="M551" s="315"/>
      <c r="N551" s="315"/>
      <c r="O551" s="318"/>
      <c r="P551" s="318"/>
      <c r="Q551" s="744"/>
      <c r="R551" s="435"/>
      <c r="S551" s="435"/>
      <c r="T551" s="435"/>
      <c r="U551" s="435"/>
      <c r="V551" s="435"/>
      <c r="W551" s="740"/>
      <c r="X551" s="744"/>
      <c r="Y551" s="435"/>
      <c r="Z551" s="749"/>
      <c r="AA551" s="753"/>
      <c r="AB551" s="324"/>
      <c r="AC551" s="180"/>
      <c r="AD551" s="155"/>
      <c r="AE551" s="322"/>
      <c r="AF551" s="132"/>
      <c r="AG551" s="132"/>
    </row>
    <row r="552">
      <c r="A552" s="458"/>
      <c r="B552" s="695"/>
      <c r="C552" s="745"/>
      <c r="D552" s="751"/>
      <c r="E552" s="435"/>
      <c r="F552" s="736"/>
      <c r="G552" s="314"/>
      <c r="H552" s="435"/>
      <c r="I552" s="740"/>
      <c r="J552" s="314"/>
      <c r="K552" s="435"/>
      <c r="L552" s="744"/>
      <c r="M552" s="315"/>
      <c r="N552" s="315"/>
      <c r="O552" s="318"/>
      <c r="P552" s="740"/>
      <c r="Q552" s="744"/>
      <c r="R552" s="435"/>
      <c r="S552" s="435"/>
      <c r="T552" s="435"/>
      <c r="U552" s="435"/>
      <c r="V552" s="435"/>
      <c r="W552" s="740"/>
      <c r="X552" s="744"/>
      <c r="Y552" s="435"/>
      <c r="Z552" s="749"/>
      <c r="AA552" s="753"/>
      <c r="AB552" s="324"/>
      <c r="AC552" s="180"/>
      <c r="AD552" s="155"/>
      <c r="AE552" s="322"/>
      <c r="AF552" s="132"/>
      <c r="AG552" s="132"/>
    </row>
    <row r="553">
      <c r="A553" s="458"/>
      <c r="B553" s="695"/>
      <c r="C553" s="745"/>
      <c r="D553" s="751"/>
      <c r="E553" s="314"/>
      <c r="F553" s="736"/>
      <c r="G553" s="314"/>
      <c r="H553" s="314"/>
      <c r="I553" s="318"/>
      <c r="J553" s="314"/>
      <c r="K553" s="435"/>
      <c r="L553" s="315"/>
      <c r="M553" s="315"/>
      <c r="N553" s="315"/>
      <c r="O553" s="318"/>
      <c r="P553" s="318"/>
      <c r="Q553" s="315"/>
      <c r="R553" s="435"/>
      <c r="S553" s="435"/>
      <c r="T553" s="435"/>
      <c r="U553" s="435"/>
      <c r="V553" s="435"/>
      <c r="W553" s="740"/>
      <c r="X553" s="744"/>
      <c r="Y553" s="435"/>
      <c r="Z553" s="749"/>
      <c r="AA553" s="753"/>
      <c r="AB553" s="324"/>
      <c r="AC553" s="180"/>
      <c r="AD553" s="155"/>
      <c r="AE553" s="322"/>
      <c r="AF553" s="132"/>
      <c r="AG553" s="132"/>
    </row>
    <row r="554">
      <c r="A554" s="458"/>
      <c r="B554" s="746"/>
      <c r="C554" s="745"/>
      <c r="D554" s="751"/>
      <c r="E554" s="435"/>
      <c r="F554" s="736"/>
      <c r="G554" s="314"/>
      <c r="H554" s="435"/>
      <c r="I554" s="740"/>
      <c r="J554" s="435"/>
      <c r="K554" s="435"/>
      <c r="L554" s="744"/>
      <c r="M554" s="744"/>
      <c r="N554" s="744"/>
      <c r="O554" s="318"/>
      <c r="P554" s="740"/>
      <c r="Q554" s="744"/>
      <c r="R554" s="435"/>
      <c r="S554" s="435"/>
      <c r="T554" s="435"/>
      <c r="U554" s="435"/>
      <c r="V554" s="435"/>
      <c r="W554" s="740"/>
      <c r="X554" s="744"/>
      <c r="Y554" s="435"/>
      <c r="Z554" s="749"/>
      <c r="AA554" s="753"/>
      <c r="AB554" s="324"/>
      <c r="AC554" s="180"/>
      <c r="AD554" s="155"/>
      <c r="AE554" s="322"/>
      <c r="AF554" s="132"/>
      <c r="AG554" s="132"/>
    </row>
    <row r="555">
      <c r="A555" s="435"/>
      <c r="B555" s="746"/>
      <c r="C555" s="745"/>
      <c r="D555" s="751"/>
      <c r="E555" s="435"/>
      <c r="F555" s="736"/>
      <c r="G555" s="314"/>
      <c r="H555" s="435"/>
      <c r="I555" s="740"/>
      <c r="J555" s="435"/>
      <c r="K555" s="435"/>
      <c r="L555" s="744"/>
      <c r="M555" s="744"/>
      <c r="N555" s="744"/>
      <c r="O555" s="318"/>
      <c r="P555" s="740"/>
      <c r="Q555" s="744"/>
      <c r="R555" s="435"/>
      <c r="S555" s="435"/>
      <c r="T555" s="435"/>
      <c r="U555" s="435"/>
      <c r="V555" s="435"/>
      <c r="W555" s="740"/>
      <c r="X555" s="744"/>
      <c r="Y555" s="435"/>
      <c r="Z555" s="749"/>
      <c r="AA555" s="753"/>
      <c r="AB555" s="324"/>
      <c r="AC555" s="180"/>
      <c r="AD555" s="155"/>
      <c r="AE555" s="322"/>
      <c r="AF555" s="132"/>
      <c r="AG555" s="132"/>
    </row>
    <row r="556">
      <c r="A556" s="474"/>
      <c r="B556" s="746"/>
      <c r="C556" s="745"/>
      <c r="D556" s="751"/>
      <c r="E556" s="435"/>
      <c r="F556" s="736"/>
      <c r="G556" s="314"/>
      <c r="H556" s="435"/>
      <c r="I556" s="740"/>
      <c r="J556" s="435"/>
      <c r="K556" s="435"/>
      <c r="L556" s="744"/>
      <c r="M556" s="744"/>
      <c r="N556" s="744"/>
      <c r="O556" s="318"/>
      <c r="P556" s="740"/>
      <c r="Q556" s="744"/>
      <c r="R556" s="435"/>
      <c r="S556" s="435"/>
      <c r="T556" s="435"/>
      <c r="U556" s="435"/>
      <c r="V556" s="435"/>
      <c r="W556" s="740"/>
      <c r="X556" s="744"/>
      <c r="Y556" s="435"/>
      <c r="Z556" s="749"/>
      <c r="AA556" s="753"/>
      <c r="AB556" s="324"/>
      <c r="AC556" s="180"/>
      <c r="AD556" s="155"/>
      <c r="AE556" s="322"/>
      <c r="AF556" s="132"/>
      <c r="AG556" s="132"/>
    </row>
    <row r="557">
      <c r="A557" s="474"/>
      <c r="B557" s="746"/>
      <c r="C557" s="312"/>
      <c r="D557" s="751"/>
      <c r="E557" s="435"/>
      <c r="F557" s="736"/>
      <c r="G557" s="314"/>
      <c r="H557" s="435"/>
      <c r="I557" s="740"/>
      <c r="J557" s="435"/>
      <c r="K557" s="314"/>
      <c r="L557" s="315"/>
      <c r="M557" s="315"/>
      <c r="N557" s="744"/>
      <c r="O557" s="318"/>
      <c r="P557" s="318"/>
      <c r="Q557" s="744"/>
      <c r="R557" s="314"/>
      <c r="S557" s="435"/>
      <c r="T557" s="435"/>
      <c r="U557" s="435"/>
      <c r="V557" s="435"/>
      <c r="W557" s="740"/>
      <c r="X557" s="744"/>
      <c r="Y557" s="435"/>
      <c r="Z557" s="749"/>
      <c r="AA557" s="753"/>
      <c r="AB557" s="324"/>
      <c r="AC557" s="180"/>
      <c r="AD557" s="155"/>
      <c r="AE557" s="322"/>
      <c r="AF557" s="132"/>
      <c r="AG557" s="132"/>
    </row>
    <row r="558">
      <c r="A558" s="474"/>
      <c r="B558" s="695"/>
      <c r="C558" s="312"/>
      <c r="D558" s="717"/>
      <c r="E558" s="314"/>
      <c r="F558" s="736"/>
      <c r="G558" s="314"/>
      <c r="H558" s="314"/>
      <c r="I558" s="318"/>
      <c r="J558" s="314"/>
      <c r="K558" s="435"/>
      <c r="L558" s="315"/>
      <c r="M558" s="315"/>
      <c r="N558" s="315"/>
      <c r="O558" s="318"/>
      <c r="P558" s="740"/>
      <c r="Q558" s="315"/>
      <c r="R558" s="314"/>
      <c r="S558" s="314"/>
      <c r="T558" s="314"/>
      <c r="U558" s="314"/>
      <c r="V558" s="314"/>
      <c r="W558" s="318"/>
      <c r="X558" s="315"/>
      <c r="Y558" s="314"/>
      <c r="Z558" s="721"/>
      <c r="AA558" s="737"/>
      <c r="AB558" s="324"/>
      <c r="AC558" s="180"/>
      <c r="AD558" s="155"/>
      <c r="AE558" s="322"/>
      <c r="AF558" s="132"/>
      <c r="AG558" s="132"/>
    </row>
    <row r="559">
      <c r="A559" s="474"/>
      <c r="B559" s="695"/>
      <c r="C559" s="745"/>
      <c r="D559" s="751"/>
      <c r="E559" s="314"/>
      <c r="F559" s="736"/>
      <c r="G559" s="314"/>
      <c r="H559" s="314"/>
      <c r="I559" s="740"/>
      <c r="J559" s="314"/>
      <c r="K559" s="314"/>
      <c r="L559" s="315"/>
      <c r="M559" s="315"/>
      <c r="N559" s="315"/>
      <c r="O559" s="318"/>
      <c r="P559" s="318"/>
      <c r="Q559" s="315"/>
      <c r="R559" s="314"/>
      <c r="S559" s="314"/>
      <c r="T559" s="314"/>
      <c r="U559" s="314"/>
      <c r="V559" s="314"/>
      <c r="W559" s="318"/>
      <c r="X559" s="315"/>
      <c r="Y559" s="314"/>
      <c r="Z559" s="721"/>
      <c r="AA559" s="737"/>
      <c r="AB559" s="324"/>
      <c r="AC559" s="180"/>
      <c r="AD559" s="155"/>
      <c r="AE559" s="322"/>
      <c r="AF559" s="132"/>
      <c r="AG559" s="132"/>
    </row>
    <row r="560">
      <c r="A560" s="474"/>
      <c r="B560" s="695"/>
      <c r="C560" s="312"/>
      <c r="D560" s="717"/>
      <c r="E560" s="314"/>
      <c r="F560" s="736"/>
      <c r="G560" s="314"/>
      <c r="H560" s="314"/>
      <c r="I560" s="318"/>
      <c r="J560" s="314"/>
      <c r="K560" s="435"/>
      <c r="L560" s="315"/>
      <c r="M560" s="315"/>
      <c r="N560" s="315"/>
      <c r="O560" s="318"/>
      <c r="P560" s="318"/>
      <c r="Q560" s="315"/>
      <c r="R560" s="314"/>
      <c r="S560" s="314"/>
      <c r="T560" s="314"/>
      <c r="U560" s="314"/>
      <c r="V560" s="314"/>
      <c r="W560" s="318"/>
      <c r="X560" s="315"/>
      <c r="Y560" s="314"/>
      <c r="Z560" s="721"/>
      <c r="AA560" s="737"/>
      <c r="AB560" s="324"/>
      <c r="AC560" s="180"/>
      <c r="AD560" s="155"/>
      <c r="AE560" s="322"/>
      <c r="AF560" s="132"/>
      <c r="AG560" s="132"/>
    </row>
    <row r="561">
      <c r="A561" s="458"/>
      <c r="B561" s="695"/>
      <c r="C561" s="745"/>
      <c r="D561" s="717"/>
      <c r="E561" s="314"/>
      <c r="F561" s="736"/>
      <c r="G561" s="314"/>
      <c r="H561" s="314"/>
      <c r="I561" s="318"/>
      <c r="J561" s="435"/>
      <c r="K561" s="435"/>
      <c r="L561" s="315"/>
      <c r="M561" s="315"/>
      <c r="N561" s="315"/>
      <c r="O561" s="318"/>
      <c r="P561" s="318"/>
      <c r="Q561" s="315"/>
      <c r="R561" s="314"/>
      <c r="S561" s="314"/>
      <c r="T561" s="314"/>
      <c r="U561" s="314"/>
      <c r="V561" s="314"/>
      <c r="W561" s="318"/>
      <c r="X561" s="315"/>
      <c r="Y561" s="314"/>
      <c r="Z561" s="721"/>
      <c r="AA561" s="737"/>
      <c r="AB561" s="324"/>
      <c r="AC561" s="180"/>
      <c r="AD561" s="155"/>
      <c r="AE561" s="322"/>
      <c r="AF561" s="132"/>
      <c r="AG561" s="132"/>
    </row>
    <row r="562">
      <c r="A562" s="435"/>
      <c r="B562" s="695"/>
      <c r="C562" s="745"/>
      <c r="D562" s="751"/>
      <c r="E562" s="435"/>
      <c r="F562" s="736"/>
      <c r="G562" s="314"/>
      <c r="H562" s="435"/>
      <c r="I562" s="318"/>
      <c r="J562" s="314"/>
      <c r="K562" s="435"/>
      <c r="L562" s="315"/>
      <c r="M562" s="744"/>
      <c r="N562" s="744"/>
      <c r="O562" s="318"/>
      <c r="P562" s="318"/>
      <c r="Q562" s="315"/>
      <c r="R562" s="435"/>
      <c r="S562" s="314"/>
      <c r="T562" s="314"/>
      <c r="U562" s="314"/>
      <c r="V562" s="314"/>
      <c r="W562" s="318"/>
      <c r="X562" s="315"/>
      <c r="Y562" s="314"/>
      <c r="Z562" s="721"/>
      <c r="AA562" s="737"/>
      <c r="AB562" s="324"/>
      <c r="AC562" s="180"/>
      <c r="AD562" s="155"/>
      <c r="AE562" s="322"/>
      <c r="AF562" s="132"/>
      <c r="AG562" s="132"/>
    </row>
    <row r="563">
      <c r="A563" s="435"/>
      <c r="B563" s="746"/>
      <c r="C563" s="312"/>
      <c r="D563" s="717"/>
      <c r="E563" s="314"/>
      <c r="F563" s="736"/>
      <c r="G563" s="314"/>
      <c r="H563" s="314"/>
      <c r="I563" s="318"/>
      <c r="J563" s="314"/>
      <c r="K563" s="314"/>
      <c r="L563" s="315"/>
      <c r="M563" s="315"/>
      <c r="N563" s="315"/>
      <c r="O563" s="318"/>
      <c r="P563" s="740"/>
      <c r="Q563" s="315"/>
      <c r="R563" s="314"/>
      <c r="S563" s="314"/>
      <c r="T563" s="314"/>
      <c r="U563" s="314"/>
      <c r="V563" s="314"/>
      <c r="W563" s="318"/>
      <c r="X563" s="315"/>
      <c r="Y563" s="314"/>
      <c r="Z563" s="721"/>
      <c r="AA563" s="737"/>
      <c r="AB563" s="324"/>
      <c r="AC563" s="180"/>
      <c r="AD563" s="155"/>
      <c r="AE563" s="322"/>
      <c r="AF563" s="132"/>
      <c r="AG563" s="132"/>
    </row>
    <row r="564">
      <c r="A564" s="435"/>
      <c r="B564" s="746"/>
      <c r="C564" s="312"/>
      <c r="D564" s="717"/>
      <c r="E564" s="314"/>
      <c r="F564" s="736"/>
      <c r="G564" s="314"/>
      <c r="H564" s="314"/>
      <c r="I564" s="318"/>
      <c r="J564" s="314"/>
      <c r="K564" s="314"/>
      <c r="L564" s="315"/>
      <c r="M564" s="315"/>
      <c r="N564" s="315"/>
      <c r="O564" s="318"/>
      <c r="P564" s="318"/>
      <c r="Q564" s="744"/>
      <c r="R564" s="314"/>
      <c r="S564" s="435"/>
      <c r="T564" s="435"/>
      <c r="U564" s="435"/>
      <c r="V564" s="435"/>
      <c r="W564" s="740"/>
      <c r="X564" s="744"/>
      <c r="Y564" s="435"/>
      <c r="Z564" s="749"/>
      <c r="AA564" s="753"/>
      <c r="AB564" s="324"/>
      <c r="AC564" s="180"/>
      <c r="AD564" s="155"/>
      <c r="AE564" s="322"/>
      <c r="AF564" s="132"/>
      <c r="AG564" s="132"/>
    </row>
    <row r="565">
      <c r="A565" s="435"/>
      <c r="B565" s="695"/>
      <c r="C565" s="745"/>
      <c r="D565" s="717"/>
      <c r="E565" s="314"/>
      <c r="F565" s="736"/>
      <c r="G565" s="314"/>
      <c r="H565" s="314"/>
      <c r="I565" s="318"/>
      <c r="J565" s="314"/>
      <c r="K565" s="314"/>
      <c r="L565" s="315"/>
      <c r="M565" s="315"/>
      <c r="N565" s="315"/>
      <c r="O565" s="318"/>
      <c r="P565" s="318"/>
      <c r="Q565" s="315"/>
      <c r="R565" s="435"/>
      <c r="S565" s="314"/>
      <c r="T565" s="314"/>
      <c r="U565" s="314"/>
      <c r="V565" s="314"/>
      <c r="W565" s="318"/>
      <c r="X565" s="315"/>
      <c r="Y565" s="314"/>
      <c r="Z565" s="721"/>
      <c r="AA565" s="737"/>
      <c r="AB565" s="324"/>
      <c r="AC565" s="180"/>
      <c r="AD565" s="155"/>
      <c r="AE565" s="322"/>
      <c r="AF565" s="132"/>
      <c r="AG565" s="132"/>
    </row>
    <row r="566">
      <c r="A566" s="435"/>
      <c r="B566" s="695"/>
      <c r="C566" s="312"/>
      <c r="D566" s="717"/>
      <c r="E566" s="314"/>
      <c r="F566" s="736"/>
      <c r="G566" s="314"/>
      <c r="H566" s="314"/>
      <c r="I566" s="318"/>
      <c r="J566" s="314"/>
      <c r="K566" s="435"/>
      <c r="L566" s="315"/>
      <c r="M566" s="744"/>
      <c r="N566" s="315"/>
      <c r="O566" s="318"/>
      <c r="P566" s="318"/>
      <c r="Q566" s="744"/>
      <c r="R566" s="314"/>
      <c r="S566" s="314"/>
      <c r="T566" s="314"/>
      <c r="U566" s="314"/>
      <c r="V566" s="314"/>
      <c r="W566" s="318"/>
      <c r="X566" s="315"/>
      <c r="Y566" s="314"/>
      <c r="Z566" s="721"/>
      <c r="AA566" s="737"/>
      <c r="AB566" s="324"/>
      <c r="AC566" s="180"/>
      <c r="AD566" s="155"/>
      <c r="AE566" s="322"/>
      <c r="AF566" s="132"/>
      <c r="AG566" s="132"/>
    </row>
    <row r="567">
      <c r="A567" s="435"/>
      <c r="B567" s="695"/>
      <c r="C567" s="745"/>
      <c r="D567" s="751"/>
      <c r="E567" s="314"/>
      <c r="F567" s="736"/>
      <c r="G567" s="314"/>
      <c r="H567" s="314"/>
      <c r="I567" s="318"/>
      <c r="J567" s="314"/>
      <c r="K567" s="435"/>
      <c r="L567" s="315"/>
      <c r="M567" s="744"/>
      <c r="N567" s="315"/>
      <c r="O567" s="318"/>
      <c r="P567" s="318"/>
      <c r="Q567" s="744"/>
      <c r="R567" s="314"/>
      <c r="S567" s="314"/>
      <c r="T567" s="314"/>
      <c r="U567" s="314"/>
      <c r="V567" s="314"/>
      <c r="W567" s="318"/>
      <c r="X567" s="315"/>
      <c r="Y567" s="314"/>
      <c r="Z567" s="721"/>
      <c r="AA567" s="737"/>
      <c r="AB567" s="324"/>
      <c r="AC567" s="180"/>
      <c r="AD567" s="155"/>
      <c r="AE567" s="322"/>
      <c r="AF567" s="132"/>
      <c r="AG567" s="132"/>
    </row>
    <row r="568">
      <c r="A568" s="476"/>
      <c r="AD568" s="176"/>
      <c r="AE568" s="322"/>
      <c r="AF568" s="132"/>
      <c r="AG568" s="132"/>
    </row>
    <row r="569">
      <c r="A569" s="178"/>
      <c r="AE569" s="322"/>
      <c r="AF569" s="132"/>
      <c r="AG569" s="132"/>
    </row>
    <row r="570">
      <c r="A570" s="474"/>
      <c r="B570" s="746"/>
      <c r="C570" s="745"/>
      <c r="D570" s="751"/>
      <c r="E570" s="435"/>
      <c r="F570" s="736"/>
      <c r="G570" s="314"/>
      <c r="H570" s="314"/>
      <c r="I570" s="740"/>
      <c r="J570" s="435"/>
      <c r="K570" s="435"/>
      <c r="L570" s="744"/>
      <c r="M570" s="744"/>
      <c r="N570" s="744"/>
      <c r="O570" s="318"/>
      <c r="P570" s="740"/>
      <c r="Q570" s="744"/>
      <c r="R570" s="435"/>
      <c r="S570" s="435"/>
      <c r="T570" s="435"/>
      <c r="U570" s="435"/>
      <c r="V570" s="435"/>
      <c r="W570" s="740"/>
      <c r="X570" s="744"/>
      <c r="Y570" s="435"/>
      <c r="Z570" s="749"/>
      <c r="AA570" s="753"/>
      <c r="AB570" s="324"/>
      <c r="AC570" s="180"/>
      <c r="AD570" s="155"/>
      <c r="AE570" s="322"/>
      <c r="AF570" s="132"/>
      <c r="AG570" s="132"/>
    </row>
    <row r="571">
      <c r="A571" s="474"/>
      <c r="B571" s="695"/>
      <c r="C571" s="745"/>
      <c r="D571" s="751"/>
      <c r="E571" s="435"/>
      <c r="F571" s="736"/>
      <c r="G571" s="314"/>
      <c r="H571" s="435"/>
      <c r="I571" s="318"/>
      <c r="J571" s="435"/>
      <c r="K571" s="435"/>
      <c r="L571" s="744"/>
      <c r="M571" s="315"/>
      <c r="N571" s="315"/>
      <c r="O571" s="318"/>
      <c r="P571" s="740"/>
      <c r="Q571" s="744"/>
      <c r="R571" s="435"/>
      <c r="S571" s="435"/>
      <c r="T571" s="435"/>
      <c r="U571" s="435"/>
      <c r="V571" s="435"/>
      <c r="W571" s="740"/>
      <c r="X571" s="744"/>
      <c r="Y571" s="435"/>
      <c r="Z571" s="749"/>
      <c r="AA571" s="753"/>
      <c r="AB571" s="324"/>
      <c r="AC571" s="180"/>
      <c r="AD571" s="155"/>
      <c r="AE571" s="322"/>
      <c r="AF571" s="132"/>
      <c r="AG571" s="132"/>
    </row>
    <row r="572">
      <c r="A572" s="477"/>
      <c r="B572" s="746"/>
      <c r="C572" s="745"/>
      <c r="D572" s="751"/>
      <c r="E572" s="314"/>
      <c r="F572" s="736"/>
      <c r="G572" s="314"/>
      <c r="H572" s="435"/>
      <c r="I572" s="740"/>
      <c r="J572" s="435"/>
      <c r="K572" s="435"/>
      <c r="L572" s="744"/>
      <c r="M572" s="744"/>
      <c r="N572" s="744"/>
      <c r="O572" s="318"/>
      <c r="P572" s="740"/>
      <c r="Q572" s="744"/>
      <c r="R572" s="435"/>
      <c r="S572" s="435"/>
      <c r="T572" s="435"/>
      <c r="U572" s="435"/>
      <c r="V572" s="435"/>
      <c r="W572" s="740"/>
      <c r="X572" s="744"/>
      <c r="Y572" s="435"/>
      <c r="Z572" s="749"/>
      <c r="AA572" s="753"/>
      <c r="AB572" s="324"/>
      <c r="AC572" s="180"/>
      <c r="AD572" s="155"/>
      <c r="AE572" s="322"/>
      <c r="AF572" s="132"/>
      <c r="AG572" s="132"/>
    </row>
    <row r="573">
      <c r="A573" s="477"/>
      <c r="B573" s="746"/>
      <c r="C573" s="745"/>
      <c r="D573" s="751"/>
      <c r="E573" s="314"/>
      <c r="F573" s="736"/>
      <c r="G573" s="314"/>
      <c r="H573" s="435"/>
      <c r="I573" s="318"/>
      <c r="J573" s="314"/>
      <c r="K573" s="435"/>
      <c r="L573" s="744"/>
      <c r="M573" s="744"/>
      <c r="N573" s="315"/>
      <c r="O573" s="318"/>
      <c r="P573" s="740"/>
      <c r="Q573" s="744"/>
      <c r="R573" s="435"/>
      <c r="S573" s="435"/>
      <c r="T573" s="435"/>
      <c r="U573" s="435"/>
      <c r="V573" s="435"/>
      <c r="W573" s="740"/>
      <c r="X573" s="744"/>
      <c r="Y573" s="435"/>
      <c r="Z573" s="749"/>
      <c r="AA573" s="753"/>
      <c r="AB573" s="324"/>
      <c r="AC573" s="180"/>
      <c r="AD573" s="155"/>
      <c r="AE573" s="322"/>
      <c r="AF573" s="132"/>
      <c r="AG573" s="132"/>
    </row>
    <row r="574">
      <c r="A574" s="477"/>
      <c r="B574" s="746"/>
      <c r="C574" s="745"/>
      <c r="D574" s="751"/>
      <c r="E574" s="435"/>
      <c r="F574" s="736"/>
      <c r="G574" s="314"/>
      <c r="H574" s="435"/>
      <c r="I574" s="740"/>
      <c r="J574" s="435"/>
      <c r="K574" s="435"/>
      <c r="L574" s="744"/>
      <c r="M574" s="744"/>
      <c r="N574" s="744"/>
      <c r="O574" s="318"/>
      <c r="P574" s="740"/>
      <c r="Q574" s="744"/>
      <c r="R574" s="435"/>
      <c r="S574" s="435"/>
      <c r="T574" s="435"/>
      <c r="U574" s="435"/>
      <c r="V574" s="435"/>
      <c r="W574" s="740"/>
      <c r="X574" s="744"/>
      <c r="Y574" s="435"/>
      <c r="Z574" s="749"/>
      <c r="AA574" s="753"/>
      <c r="AB574" s="324"/>
      <c r="AC574" s="180"/>
      <c r="AD574" s="155"/>
      <c r="AE574" s="322"/>
      <c r="AF574" s="132"/>
      <c r="AG574" s="132"/>
    </row>
    <row r="575">
      <c r="A575" s="474"/>
      <c r="B575" s="695"/>
      <c r="C575" s="745"/>
      <c r="D575" s="717"/>
      <c r="E575" s="435"/>
      <c r="F575" s="736"/>
      <c r="G575" s="314"/>
      <c r="H575" s="435"/>
      <c r="I575" s="318"/>
      <c r="J575" s="435"/>
      <c r="K575" s="435"/>
      <c r="L575" s="315"/>
      <c r="M575" s="744"/>
      <c r="N575" s="315"/>
      <c r="O575" s="318"/>
      <c r="P575" s="740"/>
      <c r="Q575" s="744"/>
      <c r="R575" s="435"/>
      <c r="S575" s="435"/>
      <c r="T575" s="435"/>
      <c r="U575" s="435"/>
      <c r="V575" s="435"/>
      <c r="W575" s="740"/>
      <c r="X575" s="744"/>
      <c r="Y575" s="435"/>
      <c r="Z575" s="749"/>
      <c r="AA575" s="753"/>
      <c r="AB575" s="324"/>
      <c r="AC575" s="180"/>
      <c r="AD575" s="155"/>
      <c r="AE575" s="322"/>
      <c r="AF575" s="132"/>
      <c r="AG575" s="132"/>
    </row>
    <row r="576">
      <c r="A576" s="478"/>
      <c r="B576" s="746"/>
      <c r="C576" s="745"/>
      <c r="D576" s="751"/>
      <c r="E576" s="435"/>
      <c r="F576" s="736"/>
      <c r="G576" s="314"/>
      <c r="H576" s="435"/>
      <c r="I576" s="740"/>
      <c r="J576" s="435"/>
      <c r="K576" s="435"/>
      <c r="L576" s="744"/>
      <c r="M576" s="744"/>
      <c r="N576" s="744"/>
      <c r="O576" s="318"/>
      <c r="P576" s="740"/>
      <c r="Q576" s="744"/>
      <c r="R576" s="435"/>
      <c r="S576" s="435"/>
      <c r="T576" s="435"/>
      <c r="U576" s="435"/>
      <c r="V576" s="435"/>
      <c r="W576" s="740"/>
      <c r="X576" s="744"/>
      <c r="Y576" s="435"/>
      <c r="Z576" s="749"/>
      <c r="AA576" s="753"/>
      <c r="AB576" s="324"/>
      <c r="AC576" s="180"/>
      <c r="AD576" s="155"/>
      <c r="AE576" s="322"/>
      <c r="AF576" s="132"/>
      <c r="AG576" s="132"/>
    </row>
    <row r="577">
      <c r="A577" s="478"/>
      <c r="B577" s="746"/>
      <c r="C577" s="745"/>
      <c r="D577" s="751"/>
      <c r="E577" s="435"/>
      <c r="F577" s="736"/>
      <c r="G577" s="314"/>
      <c r="H577" s="435"/>
      <c r="I577" s="740"/>
      <c r="J577" s="435"/>
      <c r="K577" s="435"/>
      <c r="L577" s="744"/>
      <c r="M577" s="744"/>
      <c r="N577" s="744"/>
      <c r="O577" s="318"/>
      <c r="P577" s="740"/>
      <c r="Q577" s="744"/>
      <c r="R577" s="435"/>
      <c r="S577" s="435"/>
      <c r="T577" s="435"/>
      <c r="U577" s="435"/>
      <c r="V577" s="435"/>
      <c r="W577" s="740"/>
      <c r="X577" s="744"/>
      <c r="Y577" s="435"/>
      <c r="Z577" s="749"/>
      <c r="AA577" s="753"/>
      <c r="AB577" s="324"/>
      <c r="AC577" s="180"/>
      <c r="AD577" s="155"/>
      <c r="AE577" s="322"/>
      <c r="AF577" s="132"/>
      <c r="AG577" s="132"/>
    </row>
    <row r="578">
      <c r="A578" s="478"/>
      <c r="B578" s="746"/>
      <c r="C578" s="745"/>
      <c r="D578" s="717"/>
      <c r="E578" s="314"/>
      <c r="F578" s="736"/>
      <c r="G578" s="314"/>
      <c r="H578" s="435"/>
      <c r="I578" s="740"/>
      <c r="J578" s="314"/>
      <c r="K578" s="435"/>
      <c r="L578" s="315"/>
      <c r="M578" s="744"/>
      <c r="N578" s="315"/>
      <c r="O578" s="318"/>
      <c r="P578" s="318"/>
      <c r="Q578" s="315"/>
      <c r="R578" s="314"/>
      <c r="S578" s="435"/>
      <c r="T578" s="435"/>
      <c r="U578" s="435"/>
      <c r="V578" s="435"/>
      <c r="W578" s="740"/>
      <c r="X578" s="744"/>
      <c r="Y578" s="435"/>
      <c r="Z578" s="749"/>
      <c r="AA578" s="753"/>
      <c r="AB578" s="324"/>
      <c r="AC578" s="180"/>
      <c r="AD578" s="155"/>
      <c r="AE578" s="322"/>
      <c r="AF578" s="132"/>
      <c r="AG578" s="132"/>
    </row>
    <row r="579">
      <c r="A579" s="477"/>
      <c r="B579" s="695"/>
      <c r="C579" s="745"/>
      <c r="D579" s="751"/>
      <c r="E579" s="435"/>
      <c r="F579" s="736"/>
      <c r="G579" s="314"/>
      <c r="H579" s="435"/>
      <c r="I579" s="740"/>
      <c r="J579" s="435"/>
      <c r="K579" s="435"/>
      <c r="L579" s="744"/>
      <c r="M579" s="744"/>
      <c r="N579" s="744"/>
      <c r="O579" s="318"/>
      <c r="P579" s="740"/>
      <c r="Q579" s="744"/>
      <c r="R579" s="435"/>
      <c r="S579" s="435"/>
      <c r="T579" s="435"/>
      <c r="U579" s="435"/>
      <c r="V579" s="435"/>
      <c r="W579" s="740"/>
      <c r="X579" s="744"/>
      <c r="Y579" s="435"/>
      <c r="Z579" s="749"/>
      <c r="AA579" s="753"/>
      <c r="AB579" s="324"/>
      <c r="AC579" s="180"/>
      <c r="AD579" s="155"/>
      <c r="AE579" s="322"/>
      <c r="AF579" s="132"/>
      <c r="AG579" s="132"/>
    </row>
    <row r="580">
      <c r="A580" s="477"/>
      <c r="B580" s="695"/>
      <c r="C580" s="312"/>
      <c r="D580" s="717"/>
      <c r="E580" s="314"/>
      <c r="F580" s="736"/>
      <c r="G580" s="314"/>
      <c r="H580" s="435"/>
      <c r="I580" s="318"/>
      <c r="J580" s="314"/>
      <c r="K580" s="314"/>
      <c r="L580" s="315"/>
      <c r="M580" s="315"/>
      <c r="N580" s="744"/>
      <c r="O580" s="318"/>
      <c r="P580" s="318"/>
      <c r="Q580" s="744"/>
      <c r="R580" s="314"/>
      <c r="S580" s="314"/>
      <c r="T580" s="314"/>
      <c r="U580" s="314"/>
      <c r="V580" s="314"/>
      <c r="W580" s="318"/>
      <c r="X580" s="315"/>
      <c r="Y580" s="314"/>
      <c r="Z580" s="721"/>
      <c r="AA580" s="737"/>
      <c r="AB580" s="324"/>
      <c r="AC580" s="180"/>
      <c r="AD580" s="155"/>
      <c r="AE580" s="322"/>
      <c r="AF580" s="132"/>
      <c r="AG580" s="132"/>
    </row>
    <row r="581">
      <c r="A581" s="477"/>
      <c r="B581" s="695"/>
      <c r="C581" s="312"/>
      <c r="D581" s="717"/>
      <c r="E581" s="314"/>
      <c r="F581" s="736"/>
      <c r="G581" s="314"/>
      <c r="H581" s="314"/>
      <c r="I581" s="318"/>
      <c r="J581" s="314"/>
      <c r="K581" s="314"/>
      <c r="L581" s="315"/>
      <c r="M581" s="315"/>
      <c r="N581" s="315"/>
      <c r="O581" s="318"/>
      <c r="P581" s="318"/>
      <c r="Q581" s="315"/>
      <c r="R581" s="314"/>
      <c r="S581" s="314"/>
      <c r="T581" s="314"/>
      <c r="U581" s="314"/>
      <c r="V581" s="314"/>
      <c r="W581" s="318"/>
      <c r="X581" s="315"/>
      <c r="Y581" s="314"/>
      <c r="Z581" s="721"/>
      <c r="AA581" s="737"/>
      <c r="AB581" s="324"/>
      <c r="AC581" s="180"/>
      <c r="AD581" s="155"/>
      <c r="AE581" s="322"/>
      <c r="AF581" s="132"/>
      <c r="AG581" s="132"/>
    </row>
    <row r="582">
      <c r="A582" s="476"/>
      <c r="AD582" s="176"/>
      <c r="AE582" s="322"/>
      <c r="AF582" s="132"/>
      <c r="AG582" s="132"/>
    </row>
    <row r="583">
      <c r="A583" s="178"/>
      <c r="AE583" s="322"/>
      <c r="AF583" s="132"/>
      <c r="AG583" s="132"/>
    </row>
    <row r="584">
      <c r="A584" s="477"/>
      <c r="B584" s="746"/>
      <c r="C584" s="745"/>
      <c r="D584" s="751"/>
      <c r="E584" s="314"/>
      <c r="F584" s="736"/>
      <c r="G584" s="314"/>
      <c r="H584" s="314"/>
      <c r="I584" s="318"/>
      <c r="J584" s="314"/>
      <c r="K584" s="435"/>
      <c r="L584" s="744"/>
      <c r="M584" s="315"/>
      <c r="N584" s="315"/>
      <c r="O584" s="318"/>
      <c r="P584" s="318"/>
      <c r="Q584" s="744"/>
      <c r="R584" s="435"/>
      <c r="S584" s="435"/>
      <c r="T584" s="435"/>
      <c r="U584" s="435"/>
      <c r="V584" s="435"/>
      <c r="W584" s="740"/>
      <c r="X584" s="744"/>
      <c r="Y584" s="435"/>
      <c r="Z584" s="749"/>
      <c r="AA584" s="753"/>
      <c r="AB584" s="324"/>
      <c r="AC584" s="180"/>
      <c r="AD584" s="155"/>
      <c r="AE584" s="322"/>
      <c r="AF584" s="132"/>
      <c r="AG584" s="132"/>
    </row>
    <row r="585">
      <c r="A585" s="477"/>
      <c r="B585" s="695"/>
      <c r="C585" s="745"/>
      <c r="D585" s="751"/>
      <c r="E585" s="314"/>
      <c r="F585" s="736"/>
      <c r="G585" s="314"/>
      <c r="H585" s="314"/>
      <c r="I585" s="740"/>
      <c r="J585" s="435"/>
      <c r="K585" s="435"/>
      <c r="L585" s="315"/>
      <c r="M585" s="744"/>
      <c r="N585" s="315"/>
      <c r="O585" s="318"/>
      <c r="P585" s="318"/>
      <c r="Q585" s="744"/>
      <c r="R585" s="435"/>
      <c r="S585" s="435"/>
      <c r="T585" s="435"/>
      <c r="U585" s="435"/>
      <c r="V585" s="435"/>
      <c r="W585" s="740"/>
      <c r="X585" s="744"/>
      <c r="Y585" s="435"/>
      <c r="Z585" s="749"/>
      <c r="AA585" s="753"/>
      <c r="AB585" s="324"/>
      <c r="AC585" s="180"/>
      <c r="AD585" s="155"/>
      <c r="AE585" s="322"/>
      <c r="AF585" s="132"/>
      <c r="AG585" s="132"/>
    </row>
    <row r="586">
      <c r="A586" s="477"/>
      <c r="B586" s="695"/>
      <c r="C586" s="745"/>
      <c r="D586" s="751"/>
      <c r="E586" s="435"/>
      <c r="F586" s="736"/>
      <c r="G586" s="314"/>
      <c r="H586" s="435"/>
      <c r="I586" s="318"/>
      <c r="J586" s="314"/>
      <c r="K586" s="435"/>
      <c r="L586" s="315"/>
      <c r="M586" s="744"/>
      <c r="N586" s="744"/>
      <c r="O586" s="318"/>
      <c r="P586" s="740"/>
      <c r="Q586" s="744"/>
      <c r="R586" s="435"/>
      <c r="S586" s="435"/>
      <c r="T586" s="435"/>
      <c r="U586" s="435"/>
      <c r="V586" s="435"/>
      <c r="W586" s="740"/>
      <c r="X586" s="744"/>
      <c r="Y586" s="435"/>
      <c r="Z586" s="749"/>
      <c r="AA586" s="753"/>
      <c r="AB586" s="324"/>
      <c r="AC586" s="180"/>
      <c r="AD586" s="155"/>
      <c r="AE586" s="322"/>
      <c r="AF586" s="132"/>
      <c r="AG586" s="132"/>
    </row>
    <row r="587">
      <c r="A587" s="479"/>
      <c r="B587" s="695"/>
      <c r="C587" s="312"/>
      <c r="D587" s="717"/>
      <c r="E587" s="314"/>
      <c r="F587" s="736"/>
      <c r="G587" s="314"/>
      <c r="H587" s="314"/>
      <c r="I587" s="318"/>
      <c r="J587" s="314"/>
      <c r="K587" s="314"/>
      <c r="L587" s="315"/>
      <c r="M587" s="315"/>
      <c r="N587" s="315"/>
      <c r="O587" s="318"/>
      <c r="P587" s="318"/>
      <c r="Q587" s="744"/>
      <c r="R587" s="314"/>
      <c r="S587" s="314"/>
      <c r="T587" s="314"/>
      <c r="U587" s="314"/>
      <c r="V587" s="314"/>
      <c r="W587" s="318"/>
      <c r="X587" s="315"/>
      <c r="Y587" s="314"/>
      <c r="Z587" s="721"/>
      <c r="AA587" s="737"/>
      <c r="AB587" s="324"/>
      <c r="AC587" s="180"/>
      <c r="AD587" s="155"/>
      <c r="AE587" s="322"/>
      <c r="AF587" s="132"/>
      <c r="AG587" s="132"/>
    </row>
    <row r="588">
      <c r="A588" s="476"/>
      <c r="AD588" s="176"/>
      <c r="AE588" s="322"/>
      <c r="AF588" s="132"/>
      <c r="AG588" s="132"/>
    </row>
    <row r="589">
      <c r="A589" s="178"/>
      <c r="AE589" s="322"/>
      <c r="AF589" s="132"/>
      <c r="AG589" s="132"/>
    </row>
    <row r="590">
      <c r="A590" s="480"/>
      <c r="B590" s="695"/>
      <c r="C590" s="745"/>
      <c r="D590" s="717"/>
      <c r="E590" s="314"/>
      <c r="F590" s="736"/>
      <c r="G590" s="314"/>
      <c r="H590" s="314"/>
      <c r="I590" s="318"/>
      <c r="J590" s="435"/>
      <c r="K590" s="435"/>
      <c r="L590" s="315"/>
      <c r="M590" s="315"/>
      <c r="N590" s="315"/>
      <c r="O590" s="318"/>
      <c r="P590" s="318"/>
      <c r="Q590" s="744"/>
      <c r="R590" s="314"/>
      <c r="S590" s="314"/>
      <c r="T590" s="314"/>
      <c r="U590" s="314"/>
      <c r="V590" s="314"/>
      <c r="W590" s="318"/>
      <c r="X590" s="315"/>
      <c r="Y590" s="314"/>
      <c r="Z590" s="721"/>
      <c r="AA590" s="737"/>
      <c r="AB590" s="324"/>
      <c r="AC590" s="180"/>
      <c r="AD590" s="180"/>
      <c r="AE590" s="322"/>
      <c r="AF590" s="132"/>
      <c r="AG590" s="132"/>
    </row>
    <row r="591">
      <c r="A591" s="480"/>
      <c r="B591" s="695"/>
      <c r="C591" s="745"/>
      <c r="D591" s="717"/>
      <c r="E591" s="314"/>
      <c r="F591" s="736"/>
      <c r="G591" s="314"/>
      <c r="H591" s="435"/>
      <c r="I591" s="318"/>
      <c r="J591" s="435"/>
      <c r="K591" s="435"/>
      <c r="L591" s="315"/>
      <c r="M591" s="744"/>
      <c r="N591" s="744"/>
      <c r="O591" s="318"/>
      <c r="P591" s="740"/>
      <c r="Q591" s="744"/>
      <c r="R591" s="314"/>
      <c r="S591" s="435"/>
      <c r="T591" s="435"/>
      <c r="U591" s="435"/>
      <c r="V591" s="435"/>
      <c r="W591" s="740"/>
      <c r="X591" s="744"/>
      <c r="Y591" s="435"/>
      <c r="Z591" s="749"/>
      <c r="AA591" s="753"/>
      <c r="AB591" s="324"/>
      <c r="AC591" s="180"/>
      <c r="AD591" s="180"/>
      <c r="AE591" s="322"/>
      <c r="AF591" s="132"/>
      <c r="AG591" s="132"/>
    </row>
    <row r="592">
      <c r="A592" s="476"/>
      <c r="AD592" s="176"/>
      <c r="AE592" s="322"/>
      <c r="AF592" s="132"/>
      <c r="AG592" s="132"/>
    </row>
    <row r="593">
      <c r="A593" s="178"/>
      <c r="AE593" s="322"/>
      <c r="AF593" s="132"/>
      <c r="AG593" s="132"/>
    </row>
    <row r="594">
      <c r="A594" s="481"/>
      <c r="B594" s="695"/>
      <c r="C594" s="745"/>
      <c r="D594" s="751"/>
      <c r="E594" s="435"/>
      <c r="F594" s="736"/>
      <c r="G594" s="435"/>
      <c r="H594" s="435"/>
      <c r="I594" s="740"/>
      <c r="J594" s="314"/>
      <c r="K594" s="435"/>
      <c r="L594" s="744"/>
      <c r="M594" s="744"/>
      <c r="N594" s="315"/>
      <c r="O594" s="318"/>
      <c r="P594" s="740"/>
      <c r="Q594" s="744"/>
      <c r="R594" s="435"/>
      <c r="S594" s="435"/>
      <c r="T594" s="435"/>
      <c r="U594" s="435"/>
      <c r="V594" s="435"/>
      <c r="W594" s="740"/>
      <c r="X594" s="744"/>
      <c r="Y594" s="435"/>
      <c r="Z594" s="749"/>
      <c r="AA594" s="753"/>
      <c r="AB594" s="324"/>
      <c r="AC594" s="180"/>
      <c r="AD594" s="155"/>
      <c r="AE594" s="322"/>
      <c r="AF594" s="132"/>
      <c r="AG594" s="132"/>
    </row>
    <row r="595">
      <c r="A595" s="435"/>
      <c r="B595" s="695"/>
      <c r="C595" s="745"/>
      <c r="D595" s="751"/>
      <c r="E595" s="314"/>
      <c r="F595" s="736"/>
      <c r="G595" s="314"/>
      <c r="H595" s="435"/>
      <c r="I595" s="318"/>
      <c r="J595" s="435"/>
      <c r="K595" s="435"/>
      <c r="L595" s="315"/>
      <c r="M595" s="315"/>
      <c r="N595" s="315"/>
      <c r="O595" s="318"/>
      <c r="P595" s="740"/>
      <c r="Q595" s="744"/>
      <c r="R595" s="435"/>
      <c r="S595" s="435"/>
      <c r="T595" s="435"/>
      <c r="U595" s="435"/>
      <c r="V595" s="435"/>
      <c r="W595" s="740"/>
      <c r="X595" s="744"/>
      <c r="Y595" s="435"/>
      <c r="Z595" s="749"/>
      <c r="AA595" s="753"/>
      <c r="AB595" s="324"/>
      <c r="AC595" s="180"/>
      <c r="AD595" s="155"/>
      <c r="AE595" s="322"/>
      <c r="AF595" s="132"/>
      <c r="AG595" s="132"/>
    </row>
    <row r="596">
      <c r="A596" s="482"/>
      <c r="B596" s="695"/>
      <c r="C596" s="312"/>
      <c r="D596" s="751"/>
      <c r="E596" s="314"/>
      <c r="F596" s="736"/>
      <c r="G596" s="314"/>
      <c r="H596" s="314"/>
      <c r="I596" s="318"/>
      <c r="J596" s="314"/>
      <c r="K596" s="435"/>
      <c r="L596" s="315"/>
      <c r="M596" s="315"/>
      <c r="N596" s="315"/>
      <c r="O596" s="318"/>
      <c r="P596" s="318"/>
      <c r="Q596" s="315"/>
      <c r="R596" s="435"/>
      <c r="S596" s="314"/>
      <c r="T596" s="314"/>
      <c r="U596" s="314"/>
      <c r="V596" s="314"/>
      <c r="W596" s="318"/>
      <c r="X596" s="315"/>
      <c r="Y596" s="314"/>
      <c r="Z596" s="721"/>
      <c r="AA596" s="737"/>
      <c r="AB596" s="324"/>
      <c r="AC596" s="180"/>
      <c r="AD596" s="155"/>
      <c r="AE596" s="322"/>
      <c r="AF596" s="132"/>
      <c r="AG596" s="132"/>
    </row>
    <row r="597">
      <c r="A597" s="482"/>
      <c r="B597" s="695"/>
      <c r="C597" s="745"/>
      <c r="D597" s="751"/>
      <c r="E597" s="435"/>
      <c r="F597" s="736"/>
      <c r="G597" s="314"/>
      <c r="H597" s="435"/>
      <c r="I597" s="740"/>
      <c r="J597" s="435"/>
      <c r="K597" s="435"/>
      <c r="L597" s="744"/>
      <c r="M597" s="744"/>
      <c r="N597" s="744"/>
      <c r="O597" s="318"/>
      <c r="P597" s="740"/>
      <c r="Q597" s="744"/>
      <c r="R597" s="435"/>
      <c r="S597" s="435"/>
      <c r="T597" s="435"/>
      <c r="U597" s="435"/>
      <c r="V597" s="435"/>
      <c r="W597" s="740"/>
      <c r="X597" s="744"/>
      <c r="Y597" s="435"/>
      <c r="Z597" s="749"/>
      <c r="AA597" s="753"/>
      <c r="AB597" s="324"/>
      <c r="AC597" s="180"/>
      <c r="AD597" s="155"/>
      <c r="AE597" s="322"/>
      <c r="AF597" s="132"/>
      <c r="AG597" s="132"/>
    </row>
    <row r="598">
      <c r="A598" s="314"/>
      <c r="B598" s="695"/>
      <c r="C598" s="312"/>
      <c r="D598" s="717"/>
      <c r="E598" s="314"/>
      <c r="F598" s="736"/>
      <c r="G598" s="314"/>
      <c r="H598" s="314"/>
      <c r="I598" s="318"/>
      <c r="J598" s="314"/>
      <c r="K598" s="314"/>
      <c r="L598" s="315"/>
      <c r="M598" s="315"/>
      <c r="N598" s="315"/>
      <c r="O598" s="318"/>
      <c r="P598" s="318"/>
      <c r="Q598" s="315"/>
      <c r="R598" s="314"/>
      <c r="S598" s="314"/>
      <c r="T598" s="314"/>
      <c r="U598" s="314"/>
      <c r="V598" s="314"/>
      <c r="W598" s="318"/>
      <c r="X598" s="315"/>
      <c r="Y598" s="314"/>
      <c r="Z598" s="721"/>
      <c r="AA598" s="737"/>
      <c r="AB598" s="483"/>
      <c r="AD598" s="484"/>
      <c r="AE598" s="322"/>
      <c r="AF598" s="132"/>
      <c r="AG598" s="132"/>
    </row>
    <row r="599">
      <c r="A599" s="314"/>
      <c r="B599" s="695"/>
      <c r="C599" s="312"/>
      <c r="D599" s="717"/>
      <c r="E599" s="314"/>
      <c r="F599" s="736"/>
      <c r="G599" s="314"/>
      <c r="H599" s="314"/>
      <c r="I599" s="318"/>
      <c r="J599" s="314"/>
      <c r="K599" s="314"/>
      <c r="L599" s="315"/>
      <c r="M599" s="315"/>
      <c r="N599" s="315"/>
      <c r="O599" s="318"/>
      <c r="P599" s="318"/>
      <c r="Q599" s="315"/>
      <c r="R599" s="314"/>
      <c r="S599" s="314"/>
      <c r="T599" s="314"/>
      <c r="U599" s="314"/>
      <c r="V599" s="314"/>
      <c r="W599" s="318"/>
      <c r="X599" s="315"/>
      <c r="Y599" s="314"/>
      <c r="Z599" s="721"/>
      <c r="AA599" s="737"/>
      <c r="AB599" s="324"/>
      <c r="AC599" s="155"/>
      <c r="AD599" s="155"/>
      <c r="AE599" s="322"/>
      <c r="AF599" s="132"/>
      <c r="AG599" s="132"/>
    </row>
    <row r="600">
      <c r="A600" s="314"/>
      <c r="B600" s="695"/>
      <c r="C600" s="312"/>
      <c r="D600" s="717"/>
      <c r="E600" s="314"/>
      <c r="F600" s="736"/>
      <c r="G600" s="314"/>
      <c r="H600" s="314"/>
      <c r="I600" s="318"/>
      <c r="J600" s="314"/>
      <c r="K600" s="314"/>
      <c r="L600" s="315"/>
      <c r="M600" s="315"/>
      <c r="N600" s="315"/>
      <c r="O600" s="318"/>
      <c r="P600" s="318"/>
      <c r="Q600" s="315"/>
      <c r="R600" s="314"/>
      <c r="S600" s="314"/>
      <c r="T600" s="314"/>
      <c r="U600" s="314"/>
      <c r="V600" s="314"/>
      <c r="W600" s="318"/>
      <c r="X600" s="315"/>
      <c r="Y600" s="314"/>
      <c r="Z600" s="721"/>
      <c r="AA600" s="737"/>
      <c r="AB600" s="324"/>
      <c r="AC600" s="155"/>
      <c r="AD600" s="155"/>
      <c r="AE600" s="322"/>
      <c r="AF600" s="132"/>
      <c r="AG600" s="132"/>
    </row>
    <row r="601">
      <c r="A601" s="314"/>
      <c r="B601" s="695"/>
      <c r="C601" s="312"/>
      <c r="D601" s="717"/>
      <c r="E601" s="314"/>
      <c r="F601" s="736"/>
      <c r="G601" s="314"/>
      <c r="H601" s="314"/>
      <c r="I601" s="318"/>
      <c r="J601" s="314"/>
      <c r="K601" s="314"/>
      <c r="L601" s="315"/>
      <c r="M601" s="315"/>
      <c r="N601" s="315"/>
      <c r="O601" s="318"/>
      <c r="P601" s="318"/>
      <c r="Q601" s="315"/>
      <c r="R601" s="314"/>
      <c r="S601" s="314"/>
      <c r="T601" s="314"/>
      <c r="U601" s="314"/>
      <c r="V601" s="314"/>
      <c r="W601" s="318"/>
      <c r="X601" s="315"/>
      <c r="Y601" s="314"/>
      <c r="Z601" s="721"/>
      <c r="AA601" s="737"/>
      <c r="AB601" s="324"/>
      <c r="AC601" s="155"/>
      <c r="AD601" s="155"/>
      <c r="AE601" s="322"/>
      <c r="AF601" s="132"/>
      <c r="AG601" s="132"/>
    </row>
    <row r="602">
      <c r="A602" s="314"/>
      <c r="B602" s="695"/>
      <c r="C602" s="312"/>
      <c r="D602" s="717"/>
      <c r="E602" s="314"/>
      <c r="F602" s="736"/>
      <c r="G602" s="314"/>
      <c r="H602" s="314"/>
      <c r="I602" s="318"/>
      <c r="J602" s="314"/>
      <c r="K602" s="314"/>
      <c r="L602" s="315"/>
      <c r="M602" s="315"/>
      <c r="N602" s="315"/>
      <c r="O602" s="318"/>
      <c r="P602" s="318"/>
      <c r="Q602" s="315"/>
      <c r="R602" s="314"/>
      <c r="S602" s="314"/>
      <c r="T602" s="314"/>
      <c r="U602" s="314"/>
      <c r="V602" s="314"/>
      <c r="W602" s="318"/>
      <c r="X602" s="315"/>
      <c r="Y602" s="314"/>
      <c r="Z602" s="721"/>
      <c r="AA602" s="737"/>
      <c r="AB602" s="324"/>
      <c r="AC602" s="155"/>
      <c r="AD602" s="155"/>
      <c r="AE602" s="322"/>
      <c r="AF602" s="132"/>
      <c r="AG602" s="132"/>
    </row>
    <row r="603">
      <c r="A603" s="314"/>
      <c r="B603" s="695"/>
      <c r="C603" s="312"/>
      <c r="D603" s="717"/>
      <c r="E603" s="314"/>
      <c r="F603" s="736"/>
      <c r="G603" s="314"/>
      <c r="H603" s="314"/>
      <c r="I603" s="318"/>
      <c r="J603" s="314"/>
      <c r="K603" s="314"/>
      <c r="L603" s="315"/>
      <c r="M603" s="315"/>
      <c r="N603" s="315"/>
      <c r="O603" s="318"/>
      <c r="P603" s="318"/>
      <c r="Q603" s="315"/>
      <c r="R603" s="314"/>
      <c r="S603" s="314"/>
      <c r="T603" s="314"/>
      <c r="U603" s="314"/>
      <c r="V603" s="314"/>
      <c r="W603" s="318"/>
      <c r="X603" s="315"/>
      <c r="Y603" s="314"/>
      <c r="Z603" s="721"/>
      <c r="AA603" s="737"/>
      <c r="AB603" s="324"/>
      <c r="AC603" s="155"/>
      <c r="AD603" s="155"/>
      <c r="AE603" s="322"/>
      <c r="AF603" s="132"/>
      <c r="AG603" s="132"/>
    </row>
    <row r="604">
      <c r="A604" s="314"/>
      <c r="B604" s="695"/>
      <c r="C604" s="312"/>
      <c r="D604" s="717"/>
      <c r="E604" s="314"/>
      <c r="F604" s="736"/>
      <c r="G604" s="314"/>
      <c r="H604" s="314"/>
      <c r="I604" s="318"/>
      <c r="J604" s="314"/>
      <c r="K604" s="314"/>
      <c r="L604" s="315"/>
      <c r="M604" s="315"/>
      <c r="N604" s="315"/>
      <c r="O604" s="318"/>
      <c r="P604" s="318"/>
      <c r="Q604" s="315"/>
      <c r="R604" s="314"/>
      <c r="S604" s="314"/>
      <c r="T604" s="314"/>
      <c r="U604" s="314"/>
      <c r="V604" s="314"/>
      <c r="W604" s="318"/>
      <c r="X604" s="315"/>
      <c r="Y604" s="314"/>
      <c r="Z604" s="721"/>
      <c r="AA604" s="737"/>
      <c r="AB604" s="324"/>
      <c r="AC604" s="155"/>
      <c r="AD604" s="155"/>
      <c r="AE604" s="322"/>
      <c r="AF604" s="132"/>
      <c r="AG604" s="132"/>
    </row>
    <row r="605">
      <c r="A605" s="314"/>
      <c r="B605" s="695"/>
      <c r="C605" s="312"/>
      <c r="D605" s="717"/>
      <c r="E605" s="314"/>
      <c r="F605" s="736"/>
      <c r="G605" s="314"/>
      <c r="H605" s="314"/>
      <c r="I605" s="318"/>
      <c r="J605" s="314"/>
      <c r="K605" s="314"/>
      <c r="L605" s="315"/>
      <c r="M605" s="315"/>
      <c r="N605" s="315"/>
      <c r="O605" s="318"/>
      <c r="P605" s="318"/>
      <c r="Q605" s="315"/>
      <c r="R605" s="314"/>
      <c r="S605" s="314"/>
      <c r="T605" s="314"/>
      <c r="U605" s="314"/>
      <c r="V605" s="314"/>
      <c r="W605" s="318"/>
      <c r="X605" s="315"/>
      <c r="Y605" s="314"/>
      <c r="Z605" s="721"/>
      <c r="AA605" s="737"/>
      <c r="AB605" s="324"/>
      <c r="AC605" s="155"/>
      <c r="AD605" s="155"/>
      <c r="AE605" s="322"/>
      <c r="AF605" s="132"/>
      <c r="AG605" s="132"/>
    </row>
    <row r="606">
      <c r="A606" s="314"/>
      <c r="B606" s="695"/>
      <c r="C606" s="312"/>
      <c r="D606" s="717"/>
      <c r="E606" s="314"/>
      <c r="F606" s="736"/>
      <c r="G606" s="314"/>
      <c r="H606" s="314"/>
      <c r="I606" s="318"/>
      <c r="J606" s="314"/>
      <c r="K606" s="314"/>
      <c r="L606" s="315"/>
      <c r="M606" s="315"/>
      <c r="N606" s="315"/>
      <c r="O606" s="318"/>
      <c r="P606" s="318"/>
      <c r="Q606" s="315"/>
      <c r="R606" s="314"/>
      <c r="S606" s="314"/>
      <c r="T606" s="314"/>
      <c r="U606" s="314"/>
      <c r="V606" s="314"/>
      <c r="W606" s="318"/>
      <c r="X606" s="315"/>
      <c r="Y606" s="314"/>
      <c r="Z606" s="721"/>
      <c r="AA606" s="737"/>
      <c r="AB606" s="324"/>
      <c r="AC606" s="155"/>
      <c r="AD606" s="155"/>
      <c r="AE606" s="322"/>
      <c r="AF606" s="132"/>
      <c r="AG606" s="132"/>
    </row>
    <row r="607">
      <c r="A607" s="314"/>
      <c r="B607" s="695"/>
      <c r="C607" s="312"/>
      <c r="D607" s="717"/>
      <c r="E607" s="314"/>
      <c r="F607" s="736"/>
      <c r="G607" s="314"/>
      <c r="H607" s="314"/>
      <c r="I607" s="318"/>
      <c r="J607" s="314"/>
      <c r="K607" s="314"/>
      <c r="L607" s="315"/>
      <c r="M607" s="315"/>
      <c r="N607" s="315"/>
      <c r="O607" s="318"/>
      <c r="P607" s="318"/>
      <c r="Q607" s="315"/>
      <c r="R607" s="314"/>
      <c r="S607" s="314"/>
      <c r="T607" s="314"/>
      <c r="U607" s="314"/>
      <c r="V607" s="314"/>
      <c r="W607" s="318"/>
      <c r="X607" s="315"/>
      <c r="Y607" s="314"/>
      <c r="Z607" s="721"/>
      <c r="AA607" s="737"/>
      <c r="AB607" s="324"/>
      <c r="AC607" s="155"/>
      <c r="AD607" s="155"/>
      <c r="AE607" s="322"/>
      <c r="AF607" s="132"/>
      <c r="AG607" s="132"/>
    </row>
    <row r="608">
      <c r="A608" s="314"/>
      <c r="B608" s="695"/>
      <c r="C608" s="312"/>
      <c r="D608" s="717"/>
      <c r="E608" s="314"/>
      <c r="F608" s="736"/>
      <c r="G608" s="314"/>
      <c r="H608" s="314"/>
      <c r="I608" s="318"/>
      <c r="J608" s="314"/>
      <c r="K608" s="314"/>
      <c r="L608" s="315"/>
      <c r="M608" s="315"/>
      <c r="N608" s="315"/>
      <c r="O608" s="318"/>
      <c r="P608" s="318"/>
      <c r="Q608" s="315"/>
      <c r="R608" s="314"/>
      <c r="S608" s="314"/>
      <c r="T608" s="314"/>
      <c r="U608" s="314"/>
      <c r="V608" s="314"/>
      <c r="W608" s="318"/>
      <c r="X608" s="315"/>
      <c r="Y608" s="314"/>
      <c r="Z608" s="721"/>
      <c r="AA608" s="737"/>
      <c r="AB608" s="324"/>
      <c r="AC608" s="155"/>
      <c r="AD608" s="155"/>
      <c r="AE608" s="322"/>
      <c r="AF608" s="132"/>
      <c r="AG608" s="132"/>
    </row>
    <row r="609">
      <c r="A609" s="314"/>
      <c r="B609" s="695"/>
      <c r="C609" s="312"/>
      <c r="D609" s="717"/>
      <c r="E609" s="314"/>
      <c r="F609" s="736"/>
      <c r="G609" s="314"/>
      <c r="H609" s="314"/>
      <c r="I609" s="318"/>
      <c r="J609" s="314"/>
      <c r="K609" s="314"/>
      <c r="L609" s="315"/>
      <c r="M609" s="315"/>
      <c r="N609" s="315"/>
      <c r="O609" s="318"/>
      <c r="P609" s="318"/>
      <c r="Q609" s="315"/>
      <c r="R609" s="314"/>
      <c r="S609" s="314"/>
      <c r="T609" s="314"/>
      <c r="U609" s="314"/>
      <c r="V609" s="314"/>
      <c r="W609" s="318"/>
      <c r="X609" s="315"/>
      <c r="Y609" s="314"/>
      <c r="Z609" s="721"/>
      <c r="AA609" s="737"/>
      <c r="AB609" s="324"/>
      <c r="AC609" s="155"/>
      <c r="AD609" s="155"/>
      <c r="AE609" s="322"/>
      <c r="AF609" s="132"/>
      <c r="AG609" s="132"/>
    </row>
    <row r="610">
      <c r="A610" s="314"/>
      <c r="B610" s="695"/>
      <c r="C610" s="312"/>
      <c r="D610" s="717"/>
      <c r="E610" s="314"/>
      <c r="F610" s="736"/>
      <c r="G610" s="314"/>
      <c r="H610" s="314"/>
      <c r="I610" s="318"/>
      <c r="J610" s="314"/>
      <c r="K610" s="314"/>
      <c r="L610" s="315"/>
      <c r="M610" s="315"/>
      <c r="N610" s="315"/>
      <c r="O610" s="318"/>
      <c r="P610" s="318"/>
      <c r="Q610" s="315"/>
      <c r="R610" s="314"/>
      <c r="S610" s="314"/>
      <c r="T610" s="314"/>
      <c r="U610" s="314"/>
      <c r="V610" s="314"/>
      <c r="W610" s="318"/>
      <c r="X610" s="315"/>
      <c r="Y610" s="314"/>
      <c r="Z610" s="721"/>
      <c r="AA610" s="737"/>
      <c r="AB610" s="324"/>
      <c r="AC610" s="155"/>
      <c r="AD610" s="155"/>
      <c r="AE610" s="322"/>
      <c r="AF610" s="132"/>
      <c r="AG610" s="132"/>
    </row>
    <row r="611">
      <c r="A611" s="314"/>
      <c r="B611" s="695"/>
      <c r="C611" s="312"/>
      <c r="D611" s="717"/>
      <c r="E611" s="314"/>
      <c r="F611" s="736"/>
      <c r="G611" s="314"/>
      <c r="H611" s="314"/>
      <c r="I611" s="318"/>
      <c r="J611" s="314"/>
      <c r="K611" s="314"/>
      <c r="L611" s="315"/>
      <c r="M611" s="315"/>
      <c r="N611" s="315"/>
      <c r="O611" s="318"/>
      <c r="P611" s="318"/>
      <c r="Q611" s="315"/>
      <c r="R611" s="314"/>
      <c r="S611" s="314"/>
      <c r="T611" s="314"/>
      <c r="U611" s="314"/>
      <c r="V611" s="314"/>
      <c r="W611" s="318"/>
      <c r="X611" s="315"/>
      <c r="Y611" s="314"/>
      <c r="Z611" s="721"/>
      <c r="AA611" s="737"/>
      <c r="AB611" s="324"/>
      <c r="AC611" s="155"/>
      <c r="AD611" s="155"/>
      <c r="AE611" s="322"/>
      <c r="AF611" s="132"/>
      <c r="AG611" s="132"/>
    </row>
    <row r="612">
      <c r="A612" s="314"/>
      <c r="B612" s="695"/>
      <c r="C612" s="312"/>
      <c r="D612" s="717"/>
      <c r="E612" s="314"/>
      <c r="F612" s="736"/>
      <c r="G612" s="314"/>
      <c r="H612" s="314"/>
      <c r="I612" s="318"/>
      <c r="J612" s="314"/>
      <c r="K612" s="314"/>
      <c r="L612" s="315"/>
      <c r="M612" s="315"/>
      <c r="N612" s="315"/>
      <c r="O612" s="318"/>
      <c r="P612" s="318"/>
      <c r="Q612" s="315"/>
      <c r="R612" s="314"/>
      <c r="S612" s="314"/>
      <c r="T612" s="314"/>
      <c r="U612" s="314"/>
      <c r="V612" s="314"/>
      <c r="W612" s="318"/>
      <c r="X612" s="315"/>
      <c r="Y612" s="314"/>
      <c r="Z612" s="721"/>
      <c r="AA612" s="737"/>
      <c r="AB612" s="324"/>
      <c r="AC612" s="155"/>
      <c r="AD612" s="155"/>
      <c r="AE612" s="322"/>
      <c r="AF612" s="132"/>
      <c r="AG612" s="132"/>
    </row>
    <row r="613">
      <c r="A613" s="314"/>
      <c r="B613" s="695"/>
      <c r="C613" s="312"/>
      <c r="D613" s="717"/>
      <c r="E613" s="314"/>
      <c r="F613" s="736"/>
      <c r="G613" s="314"/>
      <c r="H613" s="314"/>
      <c r="I613" s="318"/>
      <c r="J613" s="314"/>
      <c r="K613" s="314"/>
      <c r="L613" s="315"/>
      <c r="M613" s="315"/>
      <c r="N613" s="315"/>
      <c r="O613" s="318"/>
      <c r="P613" s="318"/>
      <c r="Q613" s="315"/>
      <c r="R613" s="314"/>
      <c r="S613" s="314"/>
      <c r="T613" s="314"/>
      <c r="U613" s="314"/>
      <c r="V613" s="314"/>
      <c r="W613" s="318"/>
      <c r="X613" s="315"/>
      <c r="Y613" s="314"/>
      <c r="Z613" s="721"/>
      <c r="AA613" s="737"/>
      <c r="AB613" s="487"/>
      <c r="AD613" s="484"/>
      <c r="AE613" s="322"/>
      <c r="AF613" s="132"/>
      <c r="AG613" s="132"/>
    </row>
    <row r="614">
      <c r="A614" s="314"/>
      <c r="B614" s="695"/>
      <c r="C614" s="312"/>
      <c r="D614" s="717"/>
      <c r="E614" s="314"/>
      <c r="F614" s="736"/>
      <c r="G614" s="314"/>
      <c r="H614" s="314"/>
      <c r="I614" s="318"/>
      <c r="J614" s="314"/>
      <c r="K614" s="314"/>
      <c r="L614" s="315"/>
      <c r="M614" s="315"/>
      <c r="N614" s="315"/>
      <c r="O614" s="318"/>
      <c r="P614" s="318"/>
      <c r="Q614" s="315"/>
      <c r="R614" s="314"/>
      <c r="S614" s="314"/>
      <c r="T614" s="314"/>
      <c r="U614" s="314"/>
      <c r="V614" s="314"/>
      <c r="W614" s="318"/>
      <c r="X614" s="315"/>
      <c r="Y614" s="314"/>
      <c r="Z614" s="721"/>
      <c r="AA614" s="737"/>
      <c r="AB614" s="324"/>
      <c r="AC614" s="155"/>
      <c r="AD614" s="155"/>
      <c r="AE614" s="322"/>
      <c r="AF614" s="132"/>
      <c r="AG614" s="132"/>
    </row>
    <row r="615">
      <c r="A615" s="314"/>
      <c r="B615" s="695"/>
      <c r="C615" s="312"/>
      <c r="D615" s="717"/>
      <c r="E615" s="314"/>
      <c r="F615" s="736"/>
      <c r="G615" s="314"/>
      <c r="H615" s="314"/>
      <c r="I615" s="318"/>
      <c r="J615" s="314"/>
      <c r="K615" s="314"/>
      <c r="L615" s="315"/>
      <c r="M615" s="315"/>
      <c r="N615" s="315"/>
      <c r="O615" s="318"/>
      <c r="P615" s="318"/>
      <c r="Q615" s="315"/>
      <c r="R615" s="314"/>
      <c r="S615" s="314"/>
      <c r="T615" s="314"/>
      <c r="U615" s="314"/>
      <c r="V615" s="314"/>
      <c r="W615" s="318"/>
      <c r="X615" s="315"/>
      <c r="Y615" s="314"/>
      <c r="Z615" s="721"/>
      <c r="AA615" s="737"/>
      <c r="AB615" s="324"/>
      <c r="AC615" s="155"/>
      <c r="AD615" s="155"/>
      <c r="AE615" s="322"/>
      <c r="AF615" s="132"/>
      <c r="AG615" s="132"/>
    </row>
    <row r="616">
      <c r="A616" s="314"/>
      <c r="B616" s="695"/>
      <c r="C616" s="312"/>
      <c r="D616" s="717"/>
      <c r="E616" s="314"/>
      <c r="F616" s="736"/>
      <c r="G616" s="314"/>
      <c r="H616" s="314"/>
      <c r="I616" s="318"/>
      <c r="J616" s="314"/>
      <c r="K616" s="314"/>
      <c r="L616" s="315"/>
      <c r="M616" s="315"/>
      <c r="N616" s="315"/>
      <c r="O616" s="318"/>
      <c r="P616" s="318"/>
      <c r="Q616" s="315"/>
      <c r="R616" s="314"/>
      <c r="S616" s="314"/>
      <c r="T616" s="314"/>
      <c r="U616" s="314"/>
      <c r="V616" s="314"/>
      <c r="W616" s="318"/>
      <c r="X616" s="315"/>
      <c r="Y616" s="314"/>
      <c r="Z616" s="721"/>
      <c r="AA616" s="737"/>
      <c r="AB616" s="324"/>
      <c r="AC616" s="155"/>
      <c r="AD616" s="155"/>
      <c r="AE616" s="322"/>
      <c r="AF616" s="132"/>
      <c r="AG616" s="132"/>
    </row>
    <row r="617">
      <c r="A617" s="314"/>
      <c r="B617" s="695"/>
      <c r="C617" s="312"/>
      <c r="D617" s="717"/>
      <c r="E617" s="314"/>
      <c r="F617" s="736"/>
      <c r="G617" s="314"/>
      <c r="H617" s="314"/>
      <c r="I617" s="318"/>
      <c r="J617" s="314"/>
      <c r="K617" s="314"/>
      <c r="L617" s="315"/>
      <c r="M617" s="315"/>
      <c r="N617" s="315"/>
      <c r="O617" s="318"/>
      <c r="P617" s="318"/>
      <c r="Q617" s="315"/>
      <c r="R617" s="314"/>
      <c r="S617" s="314"/>
      <c r="T617" s="314"/>
      <c r="U617" s="314"/>
      <c r="V617" s="314"/>
      <c r="W617" s="318"/>
      <c r="X617" s="315"/>
      <c r="Y617" s="314"/>
      <c r="Z617" s="721"/>
      <c r="AA617" s="737"/>
      <c r="AB617" s="324"/>
      <c r="AC617" s="155"/>
      <c r="AD617" s="155"/>
      <c r="AE617" s="322"/>
      <c r="AF617" s="132"/>
      <c r="AG617" s="132"/>
    </row>
    <row r="618">
      <c r="A618" s="314"/>
      <c r="B618" s="695"/>
      <c r="C618" s="312"/>
      <c r="D618" s="717"/>
      <c r="E618" s="314"/>
      <c r="F618" s="736"/>
      <c r="G618" s="314"/>
      <c r="H618" s="314"/>
      <c r="I618" s="318"/>
      <c r="J618" s="314"/>
      <c r="K618" s="314"/>
      <c r="L618" s="315"/>
      <c r="M618" s="315"/>
      <c r="N618" s="315"/>
      <c r="O618" s="318"/>
      <c r="P618" s="318"/>
      <c r="Q618" s="315"/>
      <c r="R618" s="314"/>
      <c r="S618" s="314"/>
      <c r="T618" s="314"/>
      <c r="U618" s="314"/>
      <c r="V618" s="314"/>
      <c r="W618" s="318"/>
      <c r="X618" s="315"/>
      <c r="Y618" s="314"/>
      <c r="Z618" s="721"/>
      <c r="AA618" s="737"/>
      <c r="AB618" s="324"/>
      <c r="AC618" s="155"/>
      <c r="AD618" s="155"/>
      <c r="AE618" s="322"/>
      <c r="AF618" s="132"/>
      <c r="AG618" s="132"/>
    </row>
    <row r="619">
      <c r="A619" s="314"/>
      <c r="B619" s="695"/>
      <c r="C619" s="312"/>
      <c r="D619" s="717"/>
      <c r="E619" s="314"/>
      <c r="F619" s="736"/>
      <c r="G619" s="314"/>
      <c r="H619" s="314"/>
      <c r="I619" s="318"/>
      <c r="J619" s="314"/>
      <c r="K619" s="314"/>
      <c r="L619" s="315"/>
      <c r="M619" s="315"/>
      <c r="N619" s="315"/>
      <c r="O619" s="318"/>
      <c r="P619" s="318"/>
      <c r="Q619" s="315"/>
      <c r="R619" s="314"/>
      <c r="S619" s="314"/>
      <c r="T619" s="314"/>
      <c r="U619" s="314"/>
      <c r="V619" s="314"/>
      <c r="W619" s="318"/>
      <c r="X619" s="315"/>
      <c r="Y619" s="314"/>
      <c r="Z619" s="721"/>
      <c r="AA619" s="737"/>
      <c r="AB619" s="324"/>
      <c r="AC619" s="155"/>
      <c r="AD619" s="155"/>
      <c r="AE619" s="322"/>
      <c r="AF619" s="132"/>
      <c r="AG619" s="132"/>
    </row>
    <row r="620">
      <c r="A620" s="314"/>
      <c r="B620" s="695"/>
      <c r="C620" s="312"/>
      <c r="D620" s="717"/>
      <c r="E620" s="314"/>
      <c r="F620" s="736"/>
      <c r="G620" s="314"/>
      <c r="H620" s="314"/>
      <c r="I620" s="318"/>
      <c r="J620" s="314"/>
      <c r="K620" s="314"/>
      <c r="L620" s="315"/>
      <c r="M620" s="315"/>
      <c r="N620" s="315"/>
      <c r="O620" s="318"/>
      <c r="P620" s="318"/>
      <c r="Q620" s="315"/>
      <c r="R620" s="314"/>
      <c r="S620" s="314"/>
      <c r="T620" s="314"/>
      <c r="U620" s="314"/>
      <c r="V620" s="314"/>
      <c r="W620" s="318"/>
      <c r="X620" s="315"/>
      <c r="Y620" s="314"/>
      <c r="Z620" s="721"/>
      <c r="AA620" s="737"/>
      <c r="AB620" s="324"/>
      <c r="AC620" s="155"/>
      <c r="AD620" s="155"/>
      <c r="AE620" s="322"/>
      <c r="AF620" s="132"/>
      <c r="AG620" s="132"/>
    </row>
    <row r="621">
      <c r="A621" s="314"/>
      <c r="B621" s="695"/>
      <c r="C621" s="312"/>
      <c r="D621" s="717"/>
      <c r="E621" s="314"/>
      <c r="F621" s="736"/>
      <c r="G621" s="314"/>
      <c r="H621" s="314"/>
      <c r="I621" s="318"/>
      <c r="J621" s="314"/>
      <c r="K621" s="314"/>
      <c r="L621" s="315"/>
      <c r="M621" s="315"/>
      <c r="N621" s="315"/>
      <c r="O621" s="318"/>
      <c r="P621" s="318"/>
      <c r="Q621" s="315"/>
      <c r="R621" s="314"/>
      <c r="S621" s="314"/>
      <c r="T621" s="314"/>
      <c r="U621" s="314"/>
      <c r="V621" s="314"/>
      <c r="W621" s="318"/>
      <c r="X621" s="315"/>
      <c r="Y621" s="314"/>
      <c r="Z621" s="721"/>
      <c r="AA621" s="737"/>
      <c r="AB621" s="324"/>
      <c r="AC621" s="155"/>
      <c r="AD621" s="155"/>
      <c r="AE621" s="322"/>
      <c r="AF621" s="132"/>
      <c r="AG621" s="132"/>
    </row>
    <row r="622">
      <c r="A622" s="314"/>
      <c r="B622" s="695"/>
      <c r="C622" s="312"/>
      <c r="D622" s="717"/>
      <c r="E622" s="314"/>
      <c r="F622" s="736"/>
      <c r="G622" s="314"/>
      <c r="H622" s="314"/>
      <c r="I622" s="318"/>
      <c r="J622" s="314"/>
      <c r="K622" s="314"/>
      <c r="L622" s="315"/>
      <c r="M622" s="315"/>
      <c r="N622" s="315"/>
      <c r="O622" s="318"/>
      <c r="P622" s="318"/>
      <c r="Q622" s="315"/>
      <c r="R622" s="314"/>
      <c r="S622" s="314"/>
      <c r="T622" s="314"/>
      <c r="U622" s="314"/>
      <c r="V622" s="314"/>
      <c r="W622" s="318"/>
      <c r="X622" s="315"/>
      <c r="Y622" s="314"/>
      <c r="Z622" s="721"/>
      <c r="AA622" s="737"/>
      <c r="AB622" s="324"/>
      <c r="AC622" s="155"/>
      <c r="AD622" s="155"/>
      <c r="AE622" s="322"/>
      <c r="AF622" s="132"/>
      <c r="AG622" s="132"/>
    </row>
    <row r="623">
      <c r="A623" s="314"/>
      <c r="B623" s="695"/>
      <c r="C623" s="312"/>
      <c r="D623" s="717"/>
      <c r="E623" s="314"/>
      <c r="F623" s="736"/>
      <c r="G623" s="314"/>
      <c r="H623" s="314"/>
      <c r="I623" s="318"/>
      <c r="J623" s="314"/>
      <c r="K623" s="314"/>
      <c r="L623" s="315"/>
      <c r="M623" s="315"/>
      <c r="N623" s="315"/>
      <c r="O623" s="318"/>
      <c r="P623" s="318"/>
      <c r="Q623" s="315"/>
      <c r="R623" s="314"/>
      <c r="S623" s="314"/>
      <c r="T623" s="314"/>
      <c r="U623" s="314"/>
      <c r="V623" s="314"/>
      <c r="W623" s="318"/>
      <c r="X623" s="315"/>
      <c r="Y623" s="314"/>
      <c r="Z623" s="721"/>
      <c r="AA623" s="737"/>
      <c r="AB623" s="324"/>
      <c r="AC623" s="155"/>
      <c r="AD623" s="155"/>
      <c r="AE623" s="322"/>
      <c r="AF623" s="132"/>
      <c r="AG623" s="132"/>
    </row>
    <row r="624">
      <c r="A624" s="314"/>
      <c r="B624" s="695"/>
      <c r="C624" s="312"/>
      <c r="D624" s="717"/>
      <c r="E624" s="314"/>
      <c r="F624" s="736"/>
      <c r="G624" s="314"/>
      <c r="H624" s="314"/>
      <c r="I624" s="318"/>
      <c r="J624" s="314"/>
      <c r="K624" s="314"/>
      <c r="L624" s="315"/>
      <c r="M624" s="315"/>
      <c r="N624" s="315"/>
      <c r="O624" s="318"/>
      <c r="P624" s="318"/>
      <c r="Q624" s="315"/>
      <c r="R624" s="314"/>
      <c r="S624" s="314"/>
      <c r="T624" s="314"/>
      <c r="U624" s="314"/>
      <c r="V624" s="314"/>
      <c r="W624" s="318"/>
      <c r="X624" s="315"/>
      <c r="Y624" s="314"/>
      <c r="Z624" s="721"/>
      <c r="AA624" s="737"/>
      <c r="AB624" s="324"/>
      <c r="AC624" s="155"/>
      <c r="AD624" s="155"/>
      <c r="AE624" s="322"/>
      <c r="AF624" s="132"/>
      <c r="AG624" s="132"/>
    </row>
    <row r="625">
      <c r="A625" s="314"/>
      <c r="B625" s="695"/>
      <c r="C625" s="312"/>
      <c r="D625" s="717"/>
      <c r="E625" s="314"/>
      <c r="F625" s="736"/>
      <c r="G625" s="314"/>
      <c r="H625" s="314"/>
      <c r="I625" s="318"/>
      <c r="J625" s="314"/>
      <c r="K625" s="314"/>
      <c r="L625" s="315"/>
      <c r="M625" s="315"/>
      <c r="N625" s="315"/>
      <c r="O625" s="318"/>
      <c r="P625" s="318"/>
      <c r="Q625" s="315"/>
      <c r="R625" s="314"/>
      <c r="S625" s="314"/>
      <c r="T625" s="314"/>
      <c r="U625" s="314"/>
      <c r="V625" s="314"/>
      <c r="W625" s="318"/>
      <c r="X625" s="315"/>
      <c r="Y625" s="314"/>
      <c r="Z625" s="721"/>
      <c r="AA625" s="737"/>
      <c r="AB625" s="324"/>
      <c r="AC625" s="155"/>
      <c r="AD625" s="155"/>
      <c r="AE625" s="322"/>
      <c r="AF625" s="132"/>
      <c r="AG625" s="132"/>
    </row>
    <row r="626">
      <c r="A626" s="314"/>
      <c r="B626" s="695"/>
      <c r="C626" s="312"/>
      <c r="D626" s="717"/>
      <c r="E626" s="314"/>
      <c r="F626" s="736"/>
      <c r="G626" s="314"/>
      <c r="H626" s="314"/>
      <c r="I626" s="318"/>
      <c r="J626" s="314"/>
      <c r="K626" s="314"/>
      <c r="L626" s="315"/>
      <c r="M626" s="315"/>
      <c r="N626" s="315"/>
      <c r="O626" s="318"/>
      <c r="P626" s="318"/>
      <c r="Q626" s="315"/>
      <c r="R626" s="314"/>
      <c r="S626" s="314"/>
      <c r="T626" s="314"/>
      <c r="U626" s="314"/>
      <c r="V626" s="314"/>
      <c r="W626" s="318"/>
      <c r="X626" s="315"/>
      <c r="Y626" s="314"/>
      <c r="Z626" s="721"/>
      <c r="AA626" s="737"/>
      <c r="AB626" s="324"/>
      <c r="AC626" s="155"/>
      <c r="AD626" s="155"/>
      <c r="AE626" s="322"/>
      <c r="AF626" s="132"/>
      <c r="AG626" s="132"/>
    </row>
    <row r="627">
      <c r="A627" s="314"/>
      <c r="B627" s="695"/>
      <c r="C627" s="312"/>
      <c r="D627" s="717"/>
      <c r="E627" s="314"/>
      <c r="F627" s="736"/>
      <c r="G627" s="314"/>
      <c r="H627" s="314"/>
      <c r="I627" s="318"/>
      <c r="J627" s="314"/>
      <c r="K627" s="314"/>
      <c r="L627" s="315"/>
      <c r="M627" s="315"/>
      <c r="N627" s="315"/>
      <c r="O627" s="318"/>
      <c r="P627" s="318"/>
      <c r="Q627" s="315"/>
      <c r="R627" s="314"/>
      <c r="S627" s="314"/>
      <c r="T627" s="314"/>
      <c r="U627" s="314"/>
      <c r="V627" s="314"/>
      <c r="W627" s="318"/>
      <c r="X627" s="315"/>
      <c r="Y627" s="314"/>
      <c r="Z627" s="721"/>
      <c r="AA627" s="737"/>
      <c r="AB627" s="324"/>
      <c r="AC627" s="155"/>
      <c r="AD627" s="155"/>
      <c r="AE627" s="322"/>
      <c r="AF627" s="132"/>
      <c r="AG627" s="132"/>
    </row>
    <row r="628">
      <c r="A628" s="314"/>
      <c r="B628" s="695"/>
      <c r="C628" s="312"/>
      <c r="D628" s="717"/>
      <c r="E628" s="314"/>
      <c r="F628" s="736"/>
      <c r="G628" s="314"/>
      <c r="H628" s="314"/>
      <c r="I628" s="318"/>
      <c r="J628" s="314"/>
      <c r="K628" s="314"/>
      <c r="L628" s="315"/>
      <c r="M628" s="315"/>
      <c r="N628" s="315"/>
      <c r="O628" s="318"/>
      <c r="P628" s="318"/>
      <c r="Q628" s="315"/>
      <c r="R628" s="314"/>
      <c r="S628" s="314"/>
      <c r="T628" s="314"/>
      <c r="U628" s="314"/>
      <c r="V628" s="314"/>
      <c r="W628" s="318"/>
      <c r="X628" s="315"/>
      <c r="Y628" s="314"/>
      <c r="Z628" s="721"/>
      <c r="AA628" s="737"/>
      <c r="AB628" s="324"/>
      <c r="AC628" s="155"/>
      <c r="AD628" s="155"/>
      <c r="AE628" s="322"/>
      <c r="AF628" s="132"/>
      <c r="AG628" s="132"/>
    </row>
    <row r="629">
      <c r="A629" s="314"/>
      <c r="B629" s="695"/>
      <c r="C629" s="312"/>
      <c r="D629" s="717"/>
      <c r="E629" s="314"/>
      <c r="F629" s="736"/>
      <c r="G629" s="314"/>
      <c r="H629" s="314"/>
      <c r="I629" s="318"/>
      <c r="J629" s="314"/>
      <c r="K629" s="314"/>
      <c r="L629" s="315"/>
      <c r="M629" s="315"/>
      <c r="N629" s="315"/>
      <c r="O629" s="318"/>
      <c r="P629" s="318"/>
      <c r="Q629" s="315"/>
      <c r="R629" s="314"/>
      <c r="S629" s="314"/>
      <c r="T629" s="314"/>
      <c r="U629" s="314"/>
      <c r="V629" s="314"/>
      <c r="W629" s="318"/>
      <c r="X629" s="315"/>
      <c r="Y629" s="314"/>
      <c r="Z629" s="721"/>
      <c r="AA629" s="737"/>
      <c r="AB629" s="324"/>
      <c r="AC629" s="155"/>
      <c r="AD629" s="155"/>
      <c r="AE629" s="322"/>
      <c r="AF629" s="132"/>
      <c r="AG629" s="132"/>
    </row>
    <row r="630">
      <c r="A630" s="314"/>
      <c r="B630" s="695"/>
      <c r="C630" s="312"/>
      <c r="D630" s="717"/>
      <c r="E630" s="314"/>
      <c r="F630" s="736"/>
      <c r="G630" s="314"/>
      <c r="H630" s="314"/>
      <c r="I630" s="318"/>
      <c r="J630" s="314"/>
      <c r="K630" s="314"/>
      <c r="L630" s="315"/>
      <c r="M630" s="315"/>
      <c r="N630" s="315"/>
      <c r="O630" s="318"/>
      <c r="P630" s="318"/>
      <c r="Q630" s="315"/>
      <c r="R630" s="314"/>
      <c r="S630" s="314"/>
      <c r="T630" s="314"/>
      <c r="U630" s="314"/>
      <c r="V630" s="314"/>
      <c r="W630" s="318"/>
      <c r="X630" s="315"/>
      <c r="Y630" s="314"/>
      <c r="Z630" s="721"/>
      <c r="AA630" s="737"/>
      <c r="AB630" s="324"/>
      <c r="AC630" s="155"/>
      <c r="AD630" s="155"/>
      <c r="AE630" s="322"/>
      <c r="AF630" s="132"/>
      <c r="AG630" s="132"/>
    </row>
    <row r="631">
      <c r="A631" s="314"/>
      <c r="B631" s="695"/>
      <c r="C631" s="312"/>
      <c r="D631" s="717"/>
      <c r="E631" s="314"/>
      <c r="F631" s="736"/>
      <c r="G631" s="314"/>
      <c r="H631" s="314"/>
      <c r="I631" s="318"/>
      <c r="J631" s="314"/>
      <c r="K631" s="314"/>
      <c r="L631" s="315"/>
      <c r="M631" s="315"/>
      <c r="N631" s="315"/>
      <c r="O631" s="318"/>
      <c r="P631" s="318"/>
      <c r="Q631" s="315"/>
      <c r="R631" s="314"/>
      <c r="S631" s="314"/>
      <c r="T631" s="314"/>
      <c r="U631" s="314"/>
      <c r="V631" s="314"/>
      <c r="W631" s="318"/>
      <c r="X631" s="315"/>
      <c r="Y631" s="314"/>
      <c r="Z631" s="721"/>
      <c r="AA631" s="737"/>
      <c r="AB631" s="324"/>
      <c r="AC631" s="155"/>
      <c r="AD631" s="155"/>
      <c r="AE631" s="322"/>
      <c r="AF631" s="132"/>
      <c r="AG631" s="132"/>
    </row>
    <row r="632">
      <c r="A632" s="314"/>
      <c r="B632" s="695"/>
      <c r="C632" s="312"/>
      <c r="D632" s="717"/>
      <c r="E632" s="314"/>
      <c r="F632" s="736"/>
      <c r="G632" s="314"/>
      <c r="H632" s="314"/>
      <c r="I632" s="318"/>
      <c r="J632" s="314"/>
      <c r="K632" s="314"/>
      <c r="L632" s="315"/>
      <c r="M632" s="315"/>
      <c r="N632" s="315"/>
      <c r="O632" s="318"/>
      <c r="P632" s="318"/>
      <c r="Q632" s="315"/>
      <c r="R632" s="314"/>
      <c r="S632" s="314"/>
      <c r="T632" s="314"/>
      <c r="U632" s="314"/>
      <c r="V632" s="314"/>
      <c r="W632" s="318"/>
      <c r="X632" s="315"/>
      <c r="Y632" s="314"/>
      <c r="Z632" s="721"/>
      <c r="AA632" s="737"/>
      <c r="AB632" s="324"/>
      <c r="AC632" s="155"/>
      <c r="AD632" s="155"/>
      <c r="AE632" s="322"/>
      <c r="AF632" s="132"/>
      <c r="AG632" s="132"/>
    </row>
    <row r="633">
      <c r="A633" s="314"/>
      <c r="B633" s="695"/>
      <c r="C633" s="312"/>
      <c r="D633" s="717"/>
      <c r="E633" s="314"/>
      <c r="F633" s="736"/>
      <c r="G633" s="314"/>
      <c r="H633" s="314"/>
      <c r="I633" s="318"/>
      <c r="J633" s="314"/>
      <c r="K633" s="314"/>
      <c r="L633" s="315"/>
      <c r="M633" s="315"/>
      <c r="N633" s="315"/>
      <c r="O633" s="318"/>
      <c r="P633" s="318"/>
      <c r="Q633" s="315"/>
      <c r="R633" s="314"/>
      <c r="S633" s="314"/>
      <c r="T633" s="314"/>
      <c r="U633" s="314"/>
      <c r="V633" s="314"/>
      <c r="W633" s="318"/>
      <c r="X633" s="315"/>
      <c r="Y633" s="314"/>
      <c r="Z633" s="721"/>
      <c r="AA633" s="737"/>
      <c r="AB633" s="324"/>
      <c r="AC633" s="155"/>
      <c r="AD633" s="155"/>
      <c r="AE633" s="322"/>
      <c r="AF633" s="132"/>
      <c r="AG633" s="132"/>
    </row>
    <row r="634">
      <c r="A634" s="314"/>
      <c r="B634" s="695"/>
      <c r="C634" s="312"/>
      <c r="D634" s="717"/>
      <c r="E634" s="314"/>
      <c r="F634" s="736"/>
      <c r="G634" s="314"/>
      <c r="H634" s="314"/>
      <c r="I634" s="318"/>
      <c r="J634" s="314"/>
      <c r="K634" s="314"/>
      <c r="L634" s="315"/>
      <c r="M634" s="315"/>
      <c r="N634" s="315"/>
      <c r="O634" s="318"/>
      <c r="P634" s="318"/>
      <c r="Q634" s="315"/>
      <c r="R634" s="314"/>
      <c r="S634" s="314"/>
      <c r="T634" s="314"/>
      <c r="U634" s="314"/>
      <c r="V634" s="314"/>
      <c r="W634" s="318"/>
      <c r="X634" s="315"/>
      <c r="Y634" s="314"/>
      <c r="Z634" s="721"/>
      <c r="AA634" s="737"/>
      <c r="AB634" s="324"/>
      <c r="AC634" s="155"/>
      <c r="AD634" s="155"/>
      <c r="AE634" s="322"/>
      <c r="AF634" s="132"/>
      <c r="AG634" s="132"/>
    </row>
    <row r="635">
      <c r="A635" s="314"/>
      <c r="B635" s="695"/>
      <c r="C635" s="312"/>
      <c r="D635" s="717"/>
      <c r="E635" s="314"/>
      <c r="F635" s="736"/>
      <c r="G635" s="314"/>
      <c r="H635" s="314"/>
      <c r="I635" s="318"/>
      <c r="J635" s="314"/>
      <c r="K635" s="314"/>
      <c r="L635" s="315"/>
      <c r="M635" s="315"/>
      <c r="N635" s="315"/>
      <c r="O635" s="318"/>
      <c r="P635" s="318"/>
      <c r="Q635" s="315"/>
      <c r="R635" s="314"/>
      <c r="S635" s="314"/>
      <c r="T635" s="314"/>
      <c r="U635" s="314"/>
      <c r="V635" s="314"/>
      <c r="W635" s="318"/>
      <c r="X635" s="315"/>
      <c r="Y635" s="314"/>
      <c r="Z635" s="721"/>
      <c r="AA635" s="737"/>
      <c r="AB635" s="324"/>
      <c r="AC635" s="155"/>
      <c r="AD635" s="155"/>
      <c r="AE635" s="322"/>
      <c r="AF635" s="132"/>
      <c r="AG635" s="132"/>
    </row>
    <row r="636">
      <c r="A636" s="314"/>
      <c r="B636" s="695"/>
      <c r="C636" s="312"/>
      <c r="D636" s="717"/>
      <c r="E636" s="314"/>
      <c r="F636" s="736"/>
      <c r="G636" s="314"/>
      <c r="H636" s="314"/>
      <c r="I636" s="318"/>
      <c r="J636" s="314"/>
      <c r="K636" s="314"/>
      <c r="L636" s="315"/>
      <c r="M636" s="315"/>
      <c r="N636" s="315"/>
      <c r="O636" s="318"/>
      <c r="P636" s="318"/>
      <c r="Q636" s="315"/>
      <c r="R636" s="314"/>
      <c r="S636" s="314"/>
      <c r="T636" s="314"/>
      <c r="U636" s="314"/>
      <c r="V636" s="314"/>
      <c r="W636" s="318"/>
      <c r="X636" s="315"/>
      <c r="Y636" s="314"/>
      <c r="Z636" s="721"/>
      <c r="AA636" s="737"/>
      <c r="AB636" s="324"/>
      <c r="AC636" s="155"/>
      <c r="AD636" s="155"/>
      <c r="AE636" s="322"/>
      <c r="AF636" s="132"/>
      <c r="AG636" s="132"/>
    </row>
    <row r="637">
      <c r="A637" s="314"/>
      <c r="B637" s="695"/>
      <c r="C637" s="312"/>
      <c r="D637" s="717"/>
      <c r="E637" s="314"/>
      <c r="F637" s="736"/>
      <c r="G637" s="314"/>
      <c r="H637" s="314"/>
      <c r="I637" s="318"/>
      <c r="J637" s="314"/>
      <c r="K637" s="314"/>
      <c r="L637" s="315"/>
      <c r="M637" s="315"/>
      <c r="N637" s="315"/>
      <c r="O637" s="318"/>
      <c r="P637" s="318"/>
      <c r="Q637" s="315"/>
      <c r="R637" s="314"/>
      <c r="S637" s="314"/>
      <c r="T637" s="314"/>
      <c r="U637" s="314"/>
      <c r="V637" s="314"/>
      <c r="W637" s="318"/>
      <c r="X637" s="315"/>
      <c r="Y637" s="314"/>
      <c r="Z637" s="721"/>
      <c r="AA637" s="737"/>
      <c r="AB637" s="324"/>
      <c r="AC637" s="155"/>
      <c r="AD637" s="155"/>
      <c r="AE637" s="322"/>
      <c r="AF637" s="132"/>
      <c r="AG637" s="132"/>
    </row>
    <row r="638">
      <c r="A638" s="314"/>
      <c r="B638" s="695"/>
      <c r="C638" s="312"/>
      <c r="D638" s="717"/>
      <c r="E638" s="314"/>
      <c r="F638" s="736"/>
      <c r="G638" s="314"/>
      <c r="H638" s="314"/>
      <c r="I638" s="318"/>
      <c r="J638" s="314"/>
      <c r="K638" s="314"/>
      <c r="L638" s="315"/>
      <c r="M638" s="315"/>
      <c r="N638" s="315"/>
      <c r="O638" s="318"/>
      <c r="P638" s="318"/>
      <c r="Q638" s="315"/>
      <c r="R638" s="314"/>
      <c r="S638" s="314"/>
      <c r="T638" s="314"/>
      <c r="U638" s="314"/>
      <c r="V638" s="314"/>
      <c r="W638" s="318"/>
      <c r="X638" s="315"/>
      <c r="Y638" s="314"/>
      <c r="Z638" s="721"/>
      <c r="AA638" s="737"/>
      <c r="AB638" s="324"/>
      <c r="AC638" s="155"/>
      <c r="AD638" s="155"/>
      <c r="AE638" s="322"/>
      <c r="AF638" s="132"/>
      <c r="AG638" s="132"/>
    </row>
    <row r="639">
      <c r="A639" s="314"/>
      <c r="B639" s="695"/>
      <c r="C639" s="312"/>
      <c r="D639" s="717"/>
      <c r="E639" s="314"/>
      <c r="F639" s="736"/>
      <c r="G639" s="314"/>
      <c r="H639" s="314"/>
      <c r="I639" s="318"/>
      <c r="J639" s="314"/>
      <c r="K639" s="314"/>
      <c r="L639" s="315"/>
      <c r="M639" s="315"/>
      <c r="N639" s="315"/>
      <c r="O639" s="318"/>
      <c r="P639" s="318"/>
      <c r="Q639" s="315"/>
      <c r="R639" s="314"/>
      <c r="S639" s="314"/>
      <c r="T639" s="314"/>
      <c r="U639" s="314"/>
      <c r="V639" s="314"/>
      <c r="W639" s="318"/>
      <c r="X639" s="315"/>
      <c r="Y639" s="314"/>
      <c r="Z639" s="721"/>
      <c r="AA639" s="737"/>
      <c r="AB639" s="324"/>
      <c r="AC639" s="155"/>
      <c r="AD639" s="155"/>
      <c r="AE639" s="322"/>
      <c r="AF639" s="132"/>
      <c r="AG639" s="132"/>
    </row>
    <row r="640">
      <c r="A640" s="314"/>
      <c r="B640" s="695"/>
      <c r="C640" s="312"/>
      <c r="D640" s="717"/>
      <c r="E640" s="314"/>
      <c r="F640" s="736"/>
      <c r="G640" s="314"/>
      <c r="H640" s="314"/>
      <c r="I640" s="318"/>
      <c r="J640" s="314"/>
      <c r="K640" s="314"/>
      <c r="L640" s="315"/>
      <c r="M640" s="315"/>
      <c r="N640" s="315"/>
      <c r="O640" s="318"/>
      <c r="P640" s="318"/>
      <c r="Q640" s="315"/>
      <c r="R640" s="314"/>
      <c r="S640" s="314"/>
      <c r="T640" s="314"/>
      <c r="U640" s="314"/>
      <c r="V640" s="314"/>
      <c r="W640" s="318"/>
      <c r="X640" s="315"/>
      <c r="Y640" s="314"/>
      <c r="Z640" s="721"/>
      <c r="AA640" s="737"/>
      <c r="AB640" s="324"/>
      <c r="AC640" s="155"/>
      <c r="AD640" s="155"/>
      <c r="AE640" s="322"/>
      <c r="AF640" s="132"/>
      <c r="AG640" s="132"/>
    </row>
    <row r="641">
      <c r="A641" s="314"/>
      <c r="B641" s="695"/>
      <c r="C641" s="312"/>
      <c r="D641" s="717"/>
      <c r="E641" s="314"/>
      <c r="F641" s="736"/>
      <c r="G641" s="314"/>
      <c r="H641" s="314"/>
      <c r="I641" s="318"/>
      <c r="J641" s="314"/>
      <c r="K641" s="314"/>
      <c r="L641" s="315"/>
      <c r="M641" s="315"/>
      <c r="N641" s="315"/>
      <c r="O641" s="318"/>
      <c r="P641" s="318"/>
      <c r="Q641" s="315"/>
      <c r="R641" s="314"/>
      <c r="S641" s="314"/>
      <c r="T641" s="314"/>
      <c r="U641" s="314"/>
      <c r="V641" s="314"/>
      <c r="W641" s="318"/>
      <c r="X641" s="315"/>
      <c r="Y641" s="314"/>
      <c r="Z641" s="721"/>
      <c r="AA641" s="737"/>
      <c r="AB641" s="324"/>
      <c r="AC641" s="155"/>
      <c r="AD641" s="155"/>
      <c r="AE641" s="322"/>
      <c r="AF641" s="132"/>
      <c r="AG641" s="132"/>
    </row>
    <row r="642">
      <c r="A642" s="314"/>
      <c r="B642" s="695"/>
      <c r="C642" s="312"/>
      <c r="D642" s="717"/>
      <c r="E642" s="314"/>
      <c r="F642" s="736"/>
      <c r="G642" s="314"/>
      <c r="H642" s="314"/>
      <c r="I642" s="318"/>
      <c r="J642" s="314"/>
      <c r="K642" s="314"/>
      <c r="L642" s="315"/>
      <c r="M642" s="315"/>
      <c r="N642" s="315"/>
      <c r="O642" s="318"/>
      <c r="P642" s="318"/>
      <c r="Q642" s="315"/>
      <c r="R642" s="314"/>
      <c r="S642" s="314"/>
      <c r="T642" s="314"/>
      <c r="U642" s="314"/>
      <c r="V642" s="314"/>
      <c r="W642" s="318"/>
      <c r="X642" s="315"/>
      <c r="Y642" s="314"/>
      <c r="Z642" s="721"/>
      <c r="AA642" s="737"/>
      <c r="AB642" s="324"/>
      <c r="AC642" s="155"/>
      <c r="AD642" s="155"/>
      <c r="AE642" s="322"/>
      <c r="AF642" s="132"/>
      <c r="AG642" s="132"/>
    </row>
    <row r="643">
      <c r="A643" s="314"/>
      <c r="B643" s="695"/>
      <c r="C643" s="312"/>
      <c r="D643" s="717"/>
      <c r="E643" s="314"/>
      <c r="F643" s="736"/>
      <c r="G643" s="314"/>
      <c r="H643" s="314"/>
      <c r="I643" s="318"/>
      <c r="J643" s="314"/>
      <c r="K643" s="314"/>
      <c r="L643" s="315"/>
      <c r="M643" s="315"/>
      <c r="N643" s="315"/>
      <c r="O643" s="318"/>
      <c r="P643" s="318"/>
      <c r="Q643" s="315"/>
      <c r="R643" s="314"/>
      <c r="S643" s="314"/>
      <c r="T643" s="314"/>
      <c r="U643" s="314"/>
      <c r="V643" s="314"/>
      <c r="W643" s="318"/>
      <c r="X643" s="315"/>
      <c r="Y643" s="314"/>
      <c r="Z643" s="721"/>
      <c r="AA643" s="737"/>
      <c r="AB643" s="324"/>
      <c r="AC643" s="155"/>
      <c r="AD643" s="155"/>
      <c r="AE643" s="322"/>
      <c r="AF643" s="132"/>
      <c r="AG643" s="132"/>
    </row>
    <row r="644">
      <c r="A644" s="314"/>
      <c r="B644" s="695"/>
      <c r="C644" s="312"/>
      <c r="D644" s="717"/>
      <c r="E644" s="314"/>
      <c r="F644" s="736"/>
      <c r="G644" s="314"/>
      <c r="H644" s="314"/>
      <c r="I644" s="318"/>
      <c r="J644" s="314"/>
      <c r="K644" s="314"/>
      <c r="L644" s="315"/>
      <c r="M644" s="315"/>
      <c r="N644" s="315"/>
      <c r="O644" s="318"/>
      <c r="P644" s="318"/>
      <c r="Q644" s="315"/>
      <c r="R644" s="314"/>
      <c r="S644" s="314"/>
      <c r="T644" s="314"/>
      <c r="U644" s="314"/>
      <c r="V644" s="314"/>
      <c r="W644" s="318"/>
      <c r="X644" s="315"/>
      <c r="Y644" s="314"/>
      <c r="Z644" s="721"/>
      <c r="AA644" s="737"/>
      <c r="AB644" s="324"/>
      <c r="AC644" s="155"/>
      <c r="AD644" s="155"/>
      <c r="AE644" s="322"/>
      <c r="AF644" s="132"/>
      <c r="AG644" s="132"/>
    </row>
    <row r="645">
      <c r="A645" s="314"/>
      <c r="B645" s="695"/>
      <c r="C645" s="312"/>
      <c r="D645" s="717"/>
      <c r="E645" s="314"/>
      <c r="F645" s="736"/>
      <c r="G645" s="314"/>
      <c r="H645" s="314"/>
      <c r="I645" s="318"/>
      <c r="J645" s="314"/>
      <c r="K645" s="314"/>
      <c r="L645" s="315"/>
      <c r="M645" s="315"/>
      <c r="N645" s="315"/>
      <c r="O645" s="318"/>
      <c r="P645" s="318"/>
      <c r="Q645" s="315"/>
      <c r="R645" s="314"/>
      <c r="S645" s="314"/>
      <c r="T645" s="314"/>
      <c r="U645" s="314"/>
      <c r="V645" s="314"/>
      <c r="W645" s="318"/>
      <c r="X645" s="315"/>
      <c r="Y645" s="314"/>
      <c r="Z645" s="721"/>
      <c r="AA645" s="737"/>
      <c r="AB645" s="324"/>
      <c r="AC645" s="155"/>
      <c r="AD645" s="155"/>
      <c r="AE645" s="322"/>
      <c r="AF645" s="132"/>
      <c r="AG645" s="132"/>
    </row>
    <row r="646">
      <c r="A646" s="314"/>
      <c r="B646" s="695"/>
      <c r="C646" s="312"/>
      <c r="D646" s="717"/>
      <c r="E646" s="314"/>
      <c r="F646" s="736"/>
      <c r="G646" s="314"/>
      <c r="H646" s="314"/>
      <c r="I646" s="318"/>
      <c r="J646" s="314"/>
      <c r="K646" s="314"/>
      <c r="L646" s="315"/>
      <c r="M646" s="315"/>
      <c r="N646" s="315"/>
      <c r="O646" s="318"/>
      <c r="P646" s="318"/>
      <c r="Q646" s="315"/>
      <c r="R646" s="314"/>
      <c r="S646" s="314"/>
      <c r="T646" s="314"/>
      <c r="U646" s="314"/>
      <c r="V646" s="314"/>
      <c r="W646" s="318"/>
      <c r="X646" s="315"/>
      <c r="Y646" s="314"/>
      <c r="Z646" s="721"/>
      <c r="AA646" s="737"/>
      <c r="AB646" s="324"/>
      <c r="AC646" s="155"/>
      <c r="AD646" s="155"/>
      <c r="AE646" s="322"/>
      <c r="AF646" s="132"/>
      <c r="AG646" s="132"/>
    </row>
    <row r="647">
      <c r="A647" s="314"/>
      <c r="B647" s="695"/>
      <c r="C647" s="312"/>
      <c r="D647" s="717"/>
      <c r="E647" s="314"/>
      <c r="F647" s="736"/>
      <c r="G647" s="314"/>
      <c r="H647" s="314"/>
      <c r="I647" s="318"/>
      <c r="J647" s="314"/>
      <c r="K647" s="314"/>
      <c r="L647" s="315"/>
      <c r="M647" s="315"/>
      <c r="N647" s="315"/>
      <c r="O647" s="318"/>
      <c r="P647" s="318"/>
      <c r="Q647" s="315"/>
      <c r="R647" s="314"/>
      <c r="S647" s="314"/>
      <c r="T647" s="314"/>
      <c r="U647" s="314"/>
      <c r="V647" s="314"/>
      <c r="W647" s="318"/>
      <c r="X647" s="315"/>
      <c r="Y647" s="314"/>
      <c r="Z647" s="721"/>
      <c r="AA647" s="737"/>
      <c r="AB647" s="324"/>
      <c r="AC647" s="155"/>
      <c r="AD647" s="155"/>
      <c r="AE647" s="322"/>
      <c r="AF647" s="132"/>
      <c r="AG647" s="132"/>
    </row>
    <row r="648">
      <c r="A648" s="314"/>
      <c r="B648" s="695"/>
      <c r="C648" s="312"/>
      <c r="D648" s="717"/>
      <c r="E648" s="314"/>
      <c r="F648" s="736"/>
      <c r="G648" s="314"/>
      <c r="H648" s="314"/>
      <c r="I648" s="318"/>
      <c r="J648" s="314"/>
      <c r="K648" s="314"/>
      <c r="L648" s="315"/>
      <c r="M648" s="315"/>
      <c r="N648" s="315"/>
      <c r="O648" s="318"/>
      <c r="P648" s="318"/>
      <c r="Q648" s="315"/>
      <c r="R648" s="314"/>
      <c r="S648" s="314"/>
      <c r="T648" s="314"/>
      <c r="U648" s="314"/>
      <c r="V648" s="314"/>
      <c r="W648" s="318"/>
      <c r="X648" s="315"/>
      <c r="Y648" s="314"/>
      <c r="Z648" s="721"/>
      <c r="AA648" s="737"/>
      <c r="AB648" s="324"/>
      <c r="AC648" s="155"/>
      <c r="AD648" s="155"/>
      <c r="AE648" s="322"/>
      <c r="AF648" s="132"/>
      <c r="AG648" s="132"/>
    </row>
    <row r="649">
      <c r="A649" s="314"/>
      <c r="B649" s="695"/>
      <c r="C649" s="312"/>
      <c r="D649" s="717"/>
      <c r="E649" s="314"/>
      <c r="F649" s="736"/>
      <c r="G649" s="314"/>
      <c r="H649" s="314"/>
      <c r="I649" s="318"/>
      <c r="J649" s="314"/>
      <c r="K649" s="314"/>
      <c r="L649" s="315"/>
      <c r="M649" s="315"/>
      <c r="N649" s="315"/>
      <c r="O649" s="318"/>
      <c r="P649" s="318"/>
      <c r="Q649" s="315"/>
      <c r="R649" s="314"/>
      <c r="S649" s="314"/>
      <c r="T649" s="314"/>
      <c r="U649" s="314"/>
      <c r="V649" s="314"/>
      <c r="W649" s="318"/>
      <c r="X649" s="315"/>
      <c r="Y649" s="314"/>
      <c r="Z649" s="721"/>
      <c r="AA649" s="737"/>
      <c r="AB649" s="324"/>
      <c r="AC649" s="155"/>
      <c r="AD649" s="155"/>
      <c r="AE649" s="322"/>
      <c r="AF649" s="132"/>
      <c r="AG649" s="132"/>
    </row>
    <row r="650">
      <c r="A650" s="314"/>
      <c r="B650" s="695"/>
      <c r="C650" s="312"/>
      <c r="D650" s="717"/>
      <c r="E650" s="314"/>
      <c r="F650" s="736"/>
      <c r="G650" s="314"/>
      <c r="H650" s="314"/>
      <c r="I650" s="318"/>
      <c r="J650" s="314"/>
      <c r="K650" s="314"/>
      <c r="L650" s="315"/>
      <c r="M650" s="315"/>
      <c r="N650" s="315"/>
      <c r="O650" s="318"/>
      <c r="P650" s="318"/>
      <c r="Q650" s="315"/>
      <c r="R650" s="314"/>
      <c r="S650" s="314"/>
      <c r="T650" s="314"/>
      <c r="U650" s="314"/>
      <c r="V650" s="314"/>
      <c r="W650" s="318"/>
      <c r="X650" s="315"/>
      <c r="Y650" s="314"/>
      <c r="Z650" s="721"/>
      <c r="AA650" s="737"/>
      <c r="AB650" s="324"/>
      <c r="AC650" s="155"/>
      <c r="AD650" s="155"/>
      <c r="AE650" s="322"/>
      <c r="AF650" s="132"/>
      <c r="AG650" s="132"/>
    </row>
    <row r="651">
      <c r="A651" s="314"/>
      <c r="B651" s="695"/>
      <c r="C651" s="312"/>
      <c r="D651" s="717"/>
      <c r="E651" s="314"/>
      <c r="F651" s="736"/>
      <c r="G651" s="314"/>
      <c r="H651" s="314"/>
      <c r="I651" s="318"/>
      <c r="J651" s="314"/>
      <c r="K651" s="314"/>
      <c r="L651" s="315"/>
      <c r="M651" s="315"/>
      <c r="N651" s="315"/>
      <c r="O651" s="318"/>
      <c r="P651" s="318"/>
      <c r="Q651" s="315"/>
      <c r="R651" s="314"/>
      <c r="S651" s="314"/>
      <c r="T651" s="314"/>
      <c r="U651" s="314"/>
      <c r="V651" s="314"/>
      <c r="W651" s="318"/>
      <c r="X651" s="315"/>
      <c r="Y651" s="314"/>
      <c r="Z651" s="721"/>
      <c r="AA651" s="737"/>
      <c r="AB651" s="324"/>
      <c r="AC651" s="155"/>
      <c r="AD651" s="155"/>
      <c r="AE651" s="322"/>
      <c r="AF651" s="132"/>
      <c r="AG651" s="132"/>
    </row>
    <row r="652">
      <c r="A652" s="314"/>
      <c r="B652" s="695"/>
      <c r="C652" s="312"/>
      <c r="D652" s="717"/>
      <c r="E652" s="314"/>
      <c r="F652" s="736"/>
      <c r="G652" s="314"/>
      <c r="H652" s="314"/>
      <c r="I652" s="318"/>
      <c r="J652" s="314"/>
      <c r="K652" s="314"/>
      <c r="L652" s="315"/>
      <c r="M652" s="315"/>
      <c r="N652" s="315"/>
      <c r="O652" s="318"/>
      <c r="P652" s="318"/>
      <c r="Q652" s="315"/>
      <c r="R652" s="314"/>
      <c r="S652" s="314"/>
      <c r="T652" s="314"/>
      <c r="U652" s="314"/>
      <c r="V652" s="314"/>
      <c r="W652" s="318"/>
      <c r="X652" s="315"/>
      <c r="Y652" s="314"/>
      <c r="Z652" s="721"/>
      <c r="AA652" s="737"/>
      <c r="AB652" s="324"/>
      <c r="AC652" s="155"/>
      <c r="AD652" s="155"/>
      <c r="AE652" s="322"/>
      <c r="AF652" s="132"/>
      <c r="AG652" s="132"/>
    </row>
    <row r="653">
      <c r="A653" s="314"/>
      <c r="B653" s="695"/>
      <c r="C653" s="312"/>
      <c r="D653" s="717"/>
      <c r="E653" s="314"/>
      <c r="F653" s="736"/>
      <c r="G653" s="314"/>
      <c r="H653" s="314"/>
      <c r="I653" s="318"/>
      <c r="J653" s="314"/>
      <c r="K653" s="314"/>
      <c r="L653" s="315"/>
      <c r="M653" s="315"/>
      <c r="N653" s="315"/>
      <c r="O653" s="318"/>
      <c r="P653" s="318"/>
      <c r="Q653" s="315"/>
      <c r="R653" s="314"/>
      <c r="S653" s="314"/>
      <c r="T653" s="314"/>
      <c r="U653" s="314"/>
      <c r="V653" s="314"/>
      <c r="W653" s="318"/>
      <c r="X653" s="315"/>
      <c r="Y653" s="314"/>
      <c r="Z653" s="721"/>
      <c r="AA653" s="737"/>
      <c r="AB653" s="324"/>
      <c r="AC653" s="155"/>
      <c r="AD653" s="155"/>
      <c r="AE653" s="322"/>
      <c r="AF653" s="132"/>
      <c r="AG653" s="132"/>
    </row>
    <row r="654">
      <c r="A654" s="314"/>
      <c r="B654" s="695"/>
      <c r="C654" s="312"/>
      <c r="D654" s="717"/>
      <c r="E654" s="314"/>
      <c r="F654" s="736"/>
      <c r="G654" s="314"/>
      <c r="H654" s="314"/>
      <c r="I654" s="318"/>
      <c r="J654" s="314"/>
      <c r="K654" s="314"/>
      <c r="L654" s="315"/>
      <c r="M654" s="315"/>
      <c r="N654" s="315"/>
      <c r="O654" s="318"/>
      <c r="P654" s="318"/>
      <c r="Q654" s="315"/>
      <c r="R654" s="314"/>
      <c r="S654" s="314"/>
      <c r="T654" s="314"/>
      <c r="U654" s="314"/>
      <c r="V654" s="314"/>
      <c r="W654" s="318"/>
      <c r="X654" s="315"/>
      <c r="Y654" s="314"/>
      <c r="Z654" s="721"/>
      <c r="AA654" s="737"/>
      <c r="AB654" s="324"/>
      <c r="AC654" s="155"/>
      <c r="AD654" s="155"/>
      <c r="AE654" s="322"/>
      <c r="AF654" s="132"/>
      <c r="AG654" s="132"/>
    </row>
    <row r="655">
      <c r="A655" s="314"/>
      <c r="B655" s="695"/>
      <c r="C655" s="312"/>
      <c r="D655" s="717"/>
      <c r="E655" s="314"/>
      <c r="F655" s="736"/>
      <c r="G655" s="314"/>
      <c r="H655" s="314"/>
      <c r="I655" s="318"/>
      <c r="J655" s="314"/>
      <c r="K655" s="314"/>
      <c r="L655" s="315"/>
      <c r="M655" s="315"/>
      <c r="N655" s="315"/>
      <c r="O655" s="318"/>
      <c r="P655" s="318"/>
      <c r="Q655" s="315"/>
      <c r="R655" s="314"/>
      <c r="S655" s="314"/>
      <c r="T655" s="314"/>
      <c r="U655" s="314"/>
      <c r="V655" s="314"/>
      <c r="W655" s="318"/>
      <c r="X655" s="315"/>
      <c r="Y655" s="314"/>
      <c r="Z655" s="721"/>
      <c r="AA655" s="737"/>
      <c r="AB655" s="324"/>
      <c r="AC655" s="155"/>
      <c r="AD655" s="155"/>
      <c r="AE655" s="322"/>
      <c r="AF655" s="132"/>
      <c r="AG655" s="132"/>
    </row>
    <row r="656">
      <c r="A656" s="314"/>
      <c r="B656" s="695"/>
      <c r="C656" s="312"/>
      <c r="D656" s="717"/>
      <c r="E656" s="314"/>
      <c r="F656" s="736"/>
      <c r="G656" s="314"/>
      <c r="H656" s="314"/>
      <c r="I656" s="318"/>
      <c r="J656" s="314"/>
      <c r="K656" s="314"/>
      <c r="L656" s="315"/>
      <c r="M656" s="315"/>
      <c r="N656" s="315"/>
      <c r="O656" s="318"/>
      <c r="P656" s="318"/>
      <c r="Q656" s="315"/>
      <c r="R656" s="314"/>
      <c r="S656" s="314"/>
      <c r="T656" s="314"/>
      <c r="U656" s="314"/>
      <c r="V656" s="314"/>
      <c r="W656" s="318"/>
      <c r="X656" s="315"/>
      <c r="Y656" s="314"/>
      <c r="Z656" s="721"/>
      <c r="AA656" s="737"/>
      <c r="AB656" s="324"/>
      <c r="AC656" s="155"/>
      <c r="AD656" s="155"/>
      <c r="AE656" s="322"/>
      <c r="AF656" s="132"/>
      <c r="AG656" s="132"/>
    </row>
    <row r="657">
      <c r="A657" s="314"/>
      <c r="B657" s="695"/>
      <c r="C657" s="312"/>
      <c r="D657" s="717"/>
      <c r="E657" s="314"/>
      <c r="F657" s="736"/>
      <c r="G657" s="314"/>
      <c r="H657" s="314"/>
      <c r="I657" s="318"/>
      <c r="J657" s="314"/>
      <c r="K657" s="314"/>
      <c r="L657" s="315"/>
      <c r="M657" s="315"/>
      <c r="N657" s="315"/>
      <c r="O657" s="318"/>
      <c r="P657" s="318"/>
      <c r="Q657" s="315"/>
      <c r="R657" s="314"/>
      <c r="S657" s="314"/>
      <c r="T657" s="314"/>
      <c r="U657" s="314"/>
      <c r="V657" s="314"/>
      <c r="W657" s="318"/>
      <c r="X657" s="315"/>
      <c r="Y657" s="314"/>
      <c r="Z657" s="721"/>
      <c r="AA657" s="737"/>
      <c r="AB657" s="324"/>
      <c r="AC657" s="155"/>
      <c r="AD657" s="155"/>
      <c r="AE657" s="322"/>
      <c r="AF657" s="132"/>
      <c r="AG657" s="132"/>
    </row>
    <row r="658">
      <c r="A658" s="314"/>
      <c r="B658" s="695"/>
      <c r="C658" s="312"/>
      <c r="D658" s="717"/>
      <c r="E658" s="314"/>
      <c r="F658" s="736"/>
      <c r="G658" s="314"/>
      <c r="H658" s="314"/>
      <c r="I658" s="318"/>
      <c r="J658" s="314"/>
      <c r="K658" s="314"/>
      <c r="L658" s="315"/>
      <c r="M658" s="315"/>
      <c r="N658" s="315"/>
      <c r="O658" s="318"/>
      <c r="P658" s="318"/>
      <c r="Q658" s="315"/>
      <c r="R658" s="314"/>
      <c r="S658" s="314"/>
      <c r="T658" s="314"/>
      <c r="U658" s="314"/>
      <c r="V658" s="314"/>
      <c r="W658" s="318"/>
      <c r="X658" s="315"/>
      <c r="Y658" s="314"/>
      <c r="Z658" s="721"/>
      <c r="AA658" s="737"/>
      <c r="AB658" s="324"/>
      <c r="AC658" s="155"/>
      <c r="AD658" s="155"/>
      <c r="AE658" s="322"/>
      <c r="AF658" s="132"/>
      <c r="AG658" s="132"/>
    </row>
    <row r="659">
      <c r="A659" s="314"/>
      <c r="B659" s="695"/>
      <c r="C659" s="312"/>
      <c r="D659" s="717"/>
      <c r="E659" s="314"/>
      <c r="F659" s="736"/>
      <c r="G659" s="314"/>
      <c r="H659" s="314"/>
      <c r="I659" s="318"/>
      <c r="J659" s="314"/>
      <c r="K659" s="314"/>
      <c r="L659" s="315"/>
      <c r="M659" s="315"/>
      <c r="N659" s="315"/>
      <c r="O659" s="318"/>
      <c r="P659" s="318"/>
      <c r="Q659" s="315"/>
      <c r="R659" s="314"/>
      <c r="S659" s="314"/>
      <c r="T659" s="314"/>
      <c r="U659" s="314"/>
      <c r="V659" s="314"/>
      <c r="W659" s="318"/>
      <c r="X659" s="315"/>
      <c r="Y659" s="314"/>
      <c r="Z659" s="721"/>
      <c r="AA659" s="737"/>
      <c r="AB659" s="324"/>
      <c r="AC659" s="155"/>
      <c r="AD659" s="155"/>
      <c r="AE659" s="322"/>
      <c r="AF659" s="132"/>
      <c r="AG659" s="132"/>
    </row>
    <row r="660">
      <c r="A660" s="314"/>
      <c r="B660" s="695"/>
      <c r="C660" s="312"/>
      <c r="D660" s="717"/>
      <c r="E660" s="314"/>
      <c r="F660" s="736"/>
      <c r="G660" s="314"/>
      <c r="H660" s="314"/>
      <c r="I660" s="318"/>
      <c r="J660" s="314"/>
      <c r="K660" s="314"/>
      <c r="L660" s="315"/>
      <c r="M660" s="315"/>
      <c r="N660" s="315"/>
      <c r="O660" s="318"/>
      <c r="P660" s="318"/>
      <c r="Q660" s="315"/>
      <c r="R660" s="314"/>
      <c r="S660" s="314"/>
      <c r="T660" s="314"/>
      <c r="U660" s="314"/>
      <c r="V660" s="314"/>
      <c r="W660" s="318"/>
      <c r="X660" s="315"/>
      <c r="Y660" s="314"/>
      <c r="Z660" s="721"/>
      <c r="AA660" s="737"/>
      <c r="AB660" s="324"/>
      <c r="AC660" s="155"/>
      <c r="AD660" s="155"/>
      <c r="AE660" s="322"/>
      <c r="AF660" s="132"/>
      <c r="AG660" s="132"/>
    </row>
    <row r="661">
      <c r="A661" s="314"/>
      <c r="B661" s="695"/>
      <c r="C661" s="312"/>
      <c r="D661" s="717"/>
      <c r="E661" s="314"/>
      <c r="F661" s="736"/>
      <c r="G661" s="314"/>
      <c r="H661" s="314"/>
      <c r="I661" s="318"/>
      <c r="J661" s="314"/>
      <c r="K661" s="314"/>
      <c r="L661" s="315"/>
      <c r="M661" s="315"/>
      <c r="N661" s="315"/>
      <c r="O661" s="318"/>
      <c r="P661" s="318"/>
      <c r="Q661" s="315"/>
      <c r="R661" s="314"/>
      <c r="S661" s="314"/>
      <c r="T661" s="314"/>
      <c r="U661" s="314"/>
      <c r="V661" s="314"/>
      <c r="W661" s="318"/>
      <c r="X661" s="315"/>
      <c r="Y661" s="314"/>
      <c r="Z661" s="721"/>
      <c r="AA661" s="737"/>
      <c r="AB661" s="324"/>
      <c r="AC661" s="155"/>
      <c r="AD661" s="155"/>
      <c r="AE661" s="322"/>
      <c r="AF661" s="132"/>
      <c r="AG661" s="132"/>
    </row>
    <row r="662">
      <c r="A662" s="314"/>
      <c r="B662" s="695"/>
      <c r="C662" s="312"/>
      <c r="D662" s="717"/>
      <c r="E662" s="314"/>
      <c r="F662" s="736"/>
      <c r="G662" s="314"/>
      <c r="H662" s="314"/>
      <c r="I662" s="318"/>
      <c r="J662" s="314"/>
      <c r="K662" s="314"/>
      <c r="L662" s="315"/>
      <c r="M662" s="315"/>
      <c r="N662" s="315"/>
      <c r="O662" s="318"/>
      <c r="P662" s="318"/>
      <c r="Q662" s="315"/>
      <c r="R662" s="314"/>
      <c r="S662" s="314"/>
      <c r="T662" s="314"/>
      <c r="U662" s="314"/>
      <c r="V662" s="314"/>
      <c r="W662" s="318"/>
      <c r="X662" s="315"/>
      <c r="Y662" s="314"/>
      <c r="Z662" s="721"/>
      <c r="AA662" s="737"/>
      <c r="AB662" s="324"/>
      <c r="AC662" s="155"/>
      <c r="AD662" s="155"/>
      <c r="AE662" s="322"/>
      <c r="AF662" s="132"/>
      <c r="AG662" s="132"/>
    </row>
    <row r="663">
      <c r="A663" s="314"/>
      <c r="B663" s="695"/>
      <c r="C663" s="312"/>
      <c r="D663" s="717"/>
      <c r="E663" s="314"/>
      <c r="F663" s="736"/>
      <c r="G663" s="314"/>
      <c r="H663" s="314"/>
      <c r="I663" s="318"/>
      <c r="J663" s="314"/>
      <c r="K663" s="314"/>
      <c r="L663" s="315"/>
      <c r="M663" s="315"/>
      <c r="N663" s="315"/>
      <c r="O663" s="318"/>
      <c r="P663" s="318"/>
      <c r="Q663" s="315"/>
      <c r="R663" s="314"/>
      <c r="S663" s="314"/>
      <c r="T663" s="314"/>
      <c r="U663" s="314"/>
      <c r="V663" s="314"/>
      <c r="W663" s="318"/>
      <c r="X663" s="315"/>
      <c r="Y663" s="314"/>
      <c r="Z663" s="721"/>
      <c r="AA663" s="737"/>
      <c r="AB663" s="324"/>
      <c r="AC663" s="155"/>
      <c r="AD663" s="155"/>
      <c r="AE663" s="322"/>
      <c r="AF663" s="132"/>
      <c r="AG663" s="132"/>
    </row>
    <row r="664">
      <c r="A664" s="314"/>
      <c r="B664" s="695"/>
      <c r="C664" s="312"/>
      <c r="D664" s="717"/>
      <c r="E664" s="314"/>
      <c r="F664" s="736"/>
      <c r="G664" s="314"/>
      <c r="H664" s="314"/>
      <c r="I664" s="318"/>
      <c r="J664" s="314"/>
      <c r="K664" s="314"/>
      <c r="L664" s="315"/>
      <c r="M664" s="315"/>
      <c r="N664" s="315"/>
      <c r="O664" s="318"/>
      <c r="P664" s="318"/>
      <c r="Q664" s="315"/>
      <c r="R664" s="314"/>
      <c r="S664" s="314"/>
      <c r="T664" s="314"/>
      <c r="U664" s="314"/>
      <c r="V664" s="314"/>
      <c r="W664" s="318"/>
      <c r="X664" s="315"/>
      <c r="Y664" s="314"/>
      <c r="Z664" s="721"/>
      <c r="AA664" s="737"/>
      <c r="AB664" s="324"/>
      <c r="AC664" s="155"/>
      <c r="AD664" s="155"/>
      <c r="AE664" s="322"/>
      <c r="AF664" s="132"/>
      <c r="AG664" s="132"/>
    </row>
    <row r="665">
      <c r="A665" s="314"/>
      <c r="B665" s="695"/>
      <c r="C665" s="312"/>
      <c r="D665" s="717"/>
      <c r="E665" s="314"/>
      <c r="F665" s="736"/>
      <c r="G665" s="314"/>
      <c r="H665" s="314"/>
      <c r="I665" s="318"/>
      <c r="J665" s="314"/>
      <c r="K665" s="314"/>
      <c r="L665" s="315"/>
      <c r="M665" s="315"/>
      <c r="N665" s="315"/>
      <c r="O665" s="318"/>
      <c r="P665" s="318"/>
      <c r="Q665" s="315"/>
      <c r="R665" s="314"/>
      <c r="S665" s="314"/>
      <c r="T665" s="314"/>
      <c r="U665" s="314"/>
      <c r="V665" s="314"/>
      <c r="W665" s="318"/>
      <c r="X665" s="315"/>
      <c r="Y665" s="314"/>
      <c r="Z665" s="721"/>
      <c r="AA665" s="737"/>
      <c r="AB665" s="324"/>
      <c r="AC665" s="155"/>
      <c r="AD665" s="155"/>
      <c r="AE665" s="322"/>
      <c r="AF665" s="132"/>
      <c r="AG665" s="132"/>
    </row>
    <row r="666">
      <c r="A666" s="314"/>
      <c r="B666" s="695"/>
      <c r="C666" s="312"/>
      <c r="D666" s="717"/>
      <c r="E666" s="314"/>
      <c r="F666" s="736"/>
      <c r="G666" s="314"/>
      <c r="H666" s="314"/>
      <c r="I666" s="318"/>
      <c r="J666" s="314"/>
      <c r="K666" s="314"/>
      <c r="L666" s="315"/>
      <c r="M666" s="315"/>
      <c r="N666" s="315"/>
      <c r="O666" s="318"/>
      <c r="P666" s="318"/>
      <c r="Q666" s="315"/>
      <c r="R666" s="314"/>
      <c r="S666" s="314"/>
      <c r="T666" s="314"/>
      <c r="U666" s="314"/>
      <c r="V666" s="314"/>
      <c r="W666" s="318"/>
      <c r="X666" s="315"/>
      <c r="Y666" s="314"/>
      <c r="Z666" s="721"/>
      <c r="AA666" s="737"/>
      <c r="AB666" s="324"/>
      <c r="AC666" s="155"/>
      <c r="AD666" s="155"/>
      <c r="AE666" s="322"/>
      <c r="AF666" s="132"/>
      <c r="AG666" s="132"/>
    </row>
    <row r="667">
      <c r="A667" s="314"/>
      <c r="B667" s="695"/>
      <c r="C667" s="312"/>
      <c r="D667" s="717"/>
      <c r="E667" s="314"/>
      <c r="F667" s="736"/>
      <c r="G667" s="314"/>
      <c r="H667" s="314"/>
      <c r="I667" s="318"/>
      <c r="J667" s="314"/>
      <c r="K667" s="314"/>
      <c r="L667" s="315"/>
      <c r="M667" s="315"/>
      <c r="N667" s="315"/>
      <c r="O667" s="318"/>
      <c r="P667" s="318"/>
      <c r="Q667" s="315"/>
      <c r="R667" s="314"/>
      <c r="S667" s="314"/>
      <c r="T667" s="314"/>
      <c r="U667" s="314"/>
      <c r="V667" s="314"/>
      <c r="W667" s="318"/>
      <c r="X667" s="315"/>
      <c r="Y667" s="314"/>
      <c r="Z667" s="721"/>
      <c r="AA667" s="737"/>
      <c r="AB667" s="324"/>
      <c r="AC667" s="155"/>
      <c r="AD667" s="155"/>
      <c r="AE667" s="322"/>
      <c r="AF667" s="132"/>
      <c r="AG667" s="132"/>
    </row>
    <row r="668">
      <c r="A668" s="314"/>
      <c r="B668" s="695"/>
      <c r="C668" s="312"/>
      <c r="D668" s="717"/>
      <c r="E668" s="314"/>
      <c r="F668" s="736"/>
      <c r="G668" s="314"/>
      <c r="H668" s="314"/>
      <c r="I668" s="318"/>
      <c r="J668" s="314"/>
      <c r="K668" s="314"/>
      <c r="L668" s="315"/>
      <c r="M668" s="315"/>
      <c r="N668" s="315"/>
      <c r="O668" s="318"/>
      <c r="P668" s="318"/>
      <c r="Q668" s="315"/>
      <c r="R668" s="314"/>
      <c r="S668" s="314"/>
      <c r="T668" s="314"/>
      <c r="U668" s="314"/>
      <c r="V668" s="314"/>
      <c r="W668" s="318"/>
      <c r="X668" s="315"/>
      <c r="Y668" s="314"/>
      <c r="Z668" s="721"/>
      <c r="AA668" s="737"/>
      <c r="AB668" s="324"/>
      <c r="AC668" s="155"/>
      <c r="AD668" s="155"/>
      <c r="AE668" s="322"/>
      <c r="AF668" s="132"/>
      <c r="AG668" s="132"/>
    </row>
    <row r="669">
      <c r="A669" s="314"/>
      <c r="B669" s="695"/>
      <c r="C669" s="312"/>
      <c r="D669" s="717"/>
      <c r="E669" s="314"/>
      <c r="F669" s="736"/>
      <c r="G669" s="314"/>
      <c r="H669" s="314"/>
      <c r="I669" s="318"/>
      <c r="J669" s="314"/>
      <c r="K669" s="314"/>
      <c r="L669" s="315"/>
      <c r="M669" s="315"/>
      <c r="N669" s="315"/>
      <c r="O669" s="318"/>
      <c r="P669" s="318"/>
      <c r="Q669" s="315"/>
      <c r="R669" s="314"/>
      <c r="S669" s="314"/>
      <c r="T669" s="314"/>
      <c r="U669" s="314"/>
      <c r="V669" s="314"/>
      <c r="W669" s="318"/>
      <c r="X669" s="315"/>
      <c r="Y669" s="314"/>
      <c r="Z669" s="721"/>
      <c r="AA669" s="737"/>
      <c r="AB669" s="324"/>
      <c r="AC669" s="155"/>
      <c r="AD669" s="155"/>
      <c r="AE669" s="322"/>
      <c r="AF669" s="132"/>
      <c r="AG669" s="132"/>
    </row>
    <row r="670">
      <c r="A670" s="314"/>
      <c r="B670" s="695"/>
      <c r="C670" s="312"/>
      <c r="D670" s="717"/>
      <c r="E670" s="314"/>
      <c r="F670" s="736"/>
      <c r="G670" s="314"/>
      <c r="H670" s="314"/>
      <c r="I670" s="318"/>
      <c r="J670" s="314"/>
      <c r="K670" s="314"/>
      <c r="L670" s="315"/>
      <c r="M670" s="315"/>
      <c r="N670" s="315"/>
      <c r="O670" s="318"/>
      <c r="P670" s="318"/>
      <c r="Q670" s="315"/>
      <c r="R670" s="314"/>
      <c r="S670" s="314"/>
      <c r="T670" s="314"/>
      <c r="U670" s="314"/>
      <c r="V670" s="314"/>
      <c r="W670" s="318"/>
      <c r="X670" s="315"/>
      <c r="Y670" s="314"/>
      <c r="Z670" s="721"/>
      <c r="AA670" s="737"/>
      <c r="AB670" s="324"/>
      <c r="AC670" s="155"/>
      <c r="AD670" s="155"/>
      <c r="AE670" s="322"/>
      <c r="AF670" s="132"/>
      <c r="AG670" s="132"/>
    </row>
    <row r="671">
      <c r="A671" s="314"/>
      <c r="B671" s="695"/>
      <c r="C671" s="312"/>
      <c r="D671" s="717"/>
      <c r="E671" s="314"/>
      <c r="F671" s="736"/>
      <c r="G671" s="314"/>
      <c r="H671" s="314"/>
      <c r="I671" s="318"/>
      <c r="J671" s="314"/>
      <c r="K671" s="314"/>
      <c r="L671" s="315"/>
      <c r="M671" s="315"/>
      <c r="N671" s="315"/>
      <c r="O671" s="318"/>
      <c r="P671" s="318"/>
      <c r="Q671" s="315"/>
      <c r="R671" s="314"/>
      <c r="S671" s="314"/>
      <c r="T671" s="314"/>
      <c r="U671" s="314"/>
      <c r="V671" s="314"/>
      <c r="W671" s="318"/>
      <c r="X671" s="315"/>
      <c r="Y671" s="314"/>
      <c r="Z671" s="721"/>
      <c r="AA671" s="737"/>
      <c r="AB671" s="324"/>
      <c r="AC671" s="155"/>
      <c r="AD671" s="155"/>
      <c r="AE671" s="322"/>
      <c r="AF671" s="132"/>
      <c r="AG671" s="132"/>
    </row>
    <row r="672">
      <c r="A672" s="314"/>
      <c r="B672" s="695"/>
      <c r="C672" s="312"/>
      <c r="D672" s="717"/>
      <c r="E672" s="314"/>
      <c r="F672" s="736"/>
      <c r="G672" s="314"/>
      <c r="H672" s="314"/>
      <c r="I672" s="318"/>
      <c r="J672" s="314"/>
      <c r="K672" s="314"/>
      <c r="L672" s="315"/>
      <c r="M672" s="315"/>
      <c r="N672" s="315"/>
      <c r="O672" s="318"/>
      <c r="P672" s="318"/>
      <c r="Q672" s="315"/>
      <c r="R672" s="314"/>
      <c r="S672" s="314"/>
      <c r="T672" s="314"/>
      <c r="U672" s="314"/>
      <c r="V672" s="314"/>
      <c r="W672" s="318"/>
      <c r="X672" s="315"/>
      <c r="Y672" s="314"/>
      <c r="Z672" s="721"/>
      <c r="AA672" s="737"/>
      <c r="AB672" s="324"/>
      <c r="AC672" s="155"/>
      <c r="AD672" s="155"/>
      <c r="AE672" s="322"/>
      <c r="AF672" s="132"/>
      <c r="AG672" s="132"/>
    </row>
    <row r="673">
      <c r="A673" s="314"/>
      <c r="B673" s="695"/>
      <c r="C673" s="312"/>
      <c r="D673" s="717"/>
      <c r="E673" s="314"/>
      <c r="F673" s="736"/>
      <c r="G673" s="314"/>
      <c r="H673" s="314"/>
      <c r="I673" s="318"/>
      <c r="J673" s="314"/>
      <c r="K673" s="314"/>
      <c r="L673" s="315"/>
      <c r="M673" s="315"/>
      <c r="N673" s="315"/>
      <c r="O673" s="318"/>
      <c r="P673" s="318"/>
      <c r="Q673" s="315"/>
      <c r="R673" s="314"/>
      <c r="S673" s="314"/>
      <c r="T673" s="314"/>
      <c r="U673" s="314"/>
      <c r="V673" s="314"/>
      <c r="W673" s="318"/>
      <c r="X673" s="315"/>
      <c r="Y673" s="314"/>
      <c r="Z673" s="721"/>
      <c r="AA673" s="737"/>
      <c r="AB673" s="324"/>
      <c r="AC673" s="155"/>
      <c r="AD673" s="155"/>
      <c r="AE673" s="322"/>
      <c r="AF673" s="132"/>
      <c r="AG673" s="132"/>
    </row>
    <row r="674">
      <c r="A674" s="314"/>
      <c r="B674" s="695"/>
      <c r="C674" s="312"/>
      <c r="D674" s="717"/>
      <c r="E674" s="314"/>
      <c r="F674" s="736"/>
      <c r="G674" s="314"/>
      <c r="H674" s="314"/>
      <c r="I674" s="318"/>
      <c r="J674" s="314"/>
      <c r="K674" s="314"/>
      <c r="L674" s="315"/>
      <c r="M674" s="315"/>
      <c r="N674" s="315"/>
      <c r="O674" s="318"/>
      <c r="P674" s="318"/>
      <c r="Q674" s="315"/>
      <c r="R674" s="314"/>
      <c r="S674" s="314"/>
      <c r="T674" s="314"/>
      <c r="U674" s="314"/>
      <c r="V674" s="314"/>
      <c r="W674" s="318"/>
      <c r="X674" s="315"/>
      <c r="Y674" s="314"/>
      <c r="Z674" s="721"/>
      <c r="AA674" s="737"/>
      <c r="AB674" s="324"/>
      <c r="AC674" s="155"/>
      <c r="AD674" s="155"/>
      <c r="AE674" s="322"/>
      <c r="AF674" s="132"/>
      <c r="AG674" s="132"/>
    </row>
    <row r="675">
      <c r="A675" s="314"/>
      <c r="B675" s="695"/>
      <c r="C675" s="312"/>
      <c r="D675" s="717"/>
      <c r="E675" s="314"/>
      <c r="F675" s="736"/>
      <c r="G675" s="314"/>
      <c r="H675" s="314"/>
      <c r="I675" s="318"/>
      <c r="J675" s="314"/>
      <c r="K675" s="314"/>
      <c r="L675" s="315"/>
      <c r="M675" s="315"/>
      <c r="N675" s="315"/>
      <c r="O675" s="318"/>
      <c r="P675" s="318"/>
      <c r="Q675" s="315"/>
      <c r="R675" s="314"/>
      <c r="S675" s="314"/>
      <c r="T675" s="314"/>
      <c r="U675" s="314"/>
      <c r="V675" s="314"/>
      <c r="W675" s="318"/>
      <c r="X675" s="315"/>
      <c r="Y675" s="314"/>
      <c r="Z675" s="721"/>
      <c r="AA675" s="737"/>
      <c r="AB675" s="324"/>
      <c r="AC675" s="155"/>
      <c r="AD675" s="155"/>
      <c r="AE675" s="322"/>
      <c r="AF675" s="132"/>
      <c r="AG675" s="132"/>
    </row>
    <row r="676">
      <c r="A676" s="314"/>
      <c r="B676" s="695"/>
      <c r="C676" s="312"/>
      <c r="D676" s="717"/>
      <c r="E676" s="314"/>
      <c r="F676" s="736"/>
      <c r="G676" s="314"/>
      <c r="H676" s="314"/>
      <c r="I676" s="318"/>
      <c r="J676" s="314"/>
      <c r="K676" s="314"/>
      <c r="L676" s="315"/>
      <c r="M676" s="315"/>
      <c r="N676" s="315"/>
      <c r="O676" s="318"/>
      <c r="P676" s="318"/>
      <c r="Q676" s="315"/>
      <c r="R676" s="314"/>
      <c r="S676" s="314"/>
      <c r="T676" s="314"/>
      <c r="U676" s="314"/>
      <c r="V676" s="314"/>
      <c r="W676" s="318"/>
      <c r="X676" s="315"/>
      <c r="Y676" s="314"/>
      <c r="Z676" s="721"/>
      <c r="AA676" s="737"/>
      <c r="AB676" s="324"/>
      <c r="AC676" s="155"/>
      <c r="AD676" s="155"/>
      <c r="AE676" s="322"/>
      <c r="AF676" s="132"/>
      <c r="AG676" s="132"/>
    </row>
    <row r="677">
      <c r="A677" s="435"/>
      <c r="B677" s="695"/>
      <c r="C677" s="745"/>
      <c r="D677" s="717"/>
      <c r="E677" s="435"/>
      <c r="F677" s="736"/>
      <c r="G677" s="314"/>
      <c r="H677" s="435"/>
      <c r="I677" s="740"/>
      <c r="J677" s="314"/>
      <c r="K677" s="435"/>
      <c r="L677" s="744"/>
      <c r="M677" s="315"/>
      <c r="N677" s="315"/>
      <c r="O677" s="318"/>
      <c r="P677" s="740"/>
      <c r="Q677" s="744"/>
      <c r="R677" s="435"/>
      <c r="S677" s="435"/>
      <c r="T677" s="435"/>
      <c r="U677" s="435"/>
      <c r="V677" s="435"/>
      <c r="W677" s="740"/>
      <c r="X677" s="744"/>
      <c r="Y677" s="435"/>
      <c r="Z677" s="749"/>
      <c r="AA677" s="753"/>
      <c r="AB677" s="324"/>
      <c r="AC677" s="180"/>
      <c r="AD677" s="155"/>
      <c r="AE677" s="322"/>
      <c r="AF677" s="132"/>
      <c r="AG677" s="132"/>
    </row>
    <row r="678">
      <c r="A678" s="435"/>
      <c r="B678" s="695"/>
      <c r="C678" s="312"/>
      <c r="D678" s="751"/>
      <c r="E678" s="314"/>
      <c r="F678" s="736"/>
      <c r="G678" s="314"/>
      <c r="H678" s="314"/>
      <c r="I678" s="318"/>
      <c r="J678" s="314"/>
      <c r="K678" s="314"/>
      <c r="L678" s="315"/>
      <c r="M678" s="744"/>
      <c r="N678" s="744"/>
      <c r="O678" s="318"/>
      <c r="P678" s="318"/>
      <c r="Q678" s="315"/>
      <c r="R678" s="314"/>
      <c r="S678" s="314"/>
      <c r="T678" s="314"/>
      <c r="U678" s="314"/>
      <c r="V678" s="314"/>
      <c r="W678" s="318"/>
      <c r="X678" s="315"/>
      <c r="Y678" s="314"/>
      <c r="Z678" s="721"/>
      <c r="AA678" s="737"/>
      <c r="AB678" s="324"/>
      <c r="AC678" s="180"/>
      <c r="AD678" s="155"/>
      <c r="AE678" s="322"/>
      <c r="AF678" s="132"/>
      <c r="AG678" s="132"/>
    </row>
    <row r="679">
      <c r="A679" s="435"/>
      <c r="B679" s="746"/>
      <c r="C679" s="745"/>
      <c r="D679" s="751"/>
      <c r="E679" s="435"/>
      <c r="F679" s="736"/>
      <c r="G679" s="314"/>
      <c r="H679" s="314"/>
      <c r="I679" s="740"/>
      <c r="J679" s="435"/>
      <c r="K679" s="435"/>
      <c r="L679" s="744"/>
      <c r="M679" s="744"/>
      <c r="N679" s="744"/>
      <c r="O679" s="318"/>
      <c r="P679" s="740"/>
      <c r="Q679" s="315"/>
      <c r="R679" s="435"/>
      <c r="S679" s="435"/>
      <c r="T679" s="435"/>
      <c r="U679" s="435"/>
      <c r="V679" s="435"/>
      <c r="W679" s="740"/>
      <c r="X679" s="744"/>
      <c r="Y679" s="435"/>
      <c r="Z679" s="749"/>
      <c r="AA679" s="753"/>
      <c r="AB679" s="324"/>
      <c r="AC679" s="180"/>
      <c r="AD679" s="155"/>
      <c r="AE679" s="322"/>
      <c r="AF679" s="132"/>
      <c r="AG679" s="132"/>
    </row>
    <row r="680">
      <c r="A680" s="435"/>
      <c r="B680" s="695"/>
      <c r="C680" s="312"/>
      <c r="D680" s="751"/>
      <c r="E680" s="314"/>
      <c r="F680" s="736"/>
      <c r="G680" s="314"/>
      <c r="H680" s="314"/>
      <c r="I680" s="740"/>
      <c r="J680" s="314"/>
      <c r="K680" s="435"/>
      <c r="L680" s="315"/>
      <c r="M680" s="315"/>
      <c r="N680" s="315"/>
      <c r="O680" s="318"/>
      <c r="P680" s="318"/>
      <c r="Q680" s="744"/>
      <c r="R680" s="435"/>
      <c r="S680" s="314"/>
      <c r="T680" s="314"/>
      <c r="U680" s="314"/>
      <c r="V680" s="314"/>
      <c r="W680" s="318"/>
      <c r="X680" s="315"/>
      <c r="Y680" s="314"/>
      <c r="Z680" s="721"/>
      <c r="AA680" s="737"/>
      <c r="AB680" s="324"/>
      <c r="AC680" s="180"/>
      <c r="AD680" s="155"/>
      <c r="AE680" s="322"/>
      <c r="AF680" s="132"/>
      <c r="AG680" s="132"/>
    </row>
    <row r="681">
      <c r="A681" s="435"/>
      <c r="B681" s="746"/>
      <c r="C681" s="745"/>
      <c r="D681" s="751"/>
      <c r="E681" s="435"/>
      <c r="F681" s="736"/>
      <c r="G681" s="314"/>
      <c r="H681" s="435"/>
      <c r="I681" s="740"/>
      <c r="J681" s="435"/>
      <c r="K681" s="435"/>
      <c r="L681" s="744"/>
      <c r="M681" s="744"/>
      <c r="N681" s="744"/>
      <c r="O681" s="318"/>
      <c r="P681" s="740"/>
      <c r="Q681" s="744"/>
      <c r="R681" s="435"/>
      <c r="S681" s="435"/>
      <c r="T681" s="435"/>
      <c r="U681" s="435"/>
      <c r="V681" s="435"/>
      <c r="W681" s="740"/>
      <c r="X681" s="744"/>
      <c r="Y681" s="435"/>
      <c r="Z681" s="749"/>
      <c r="AA681" s="753"/>
      <c r="AB681" s="324"/>
      <c r="AC681" s="180"/>
      <c r="AD681" s="155"/>
      <c r="AE681" s="322"/>
      <c r="AF681" s="132"/>
      <c r="AG681" s="132"/>
    </row>
    <row r="682">
      <c r="A682" s="435"/>
      <c r="B682" s="746"/>
      <c r="C682" s="312"/>
      <c r="D682" s="751"/>
      <c r="E682" s="314"/>
      <c r="F682" s="736"/>
      <c r="G682" s="314"/>
      <c r="H682" s="314"/>
      <c r="I682" s="318"/>
      <c r="J682" s="314"/>
      <c r="K682" s="435"/>
      <c r="L682" s="315"/>
      <c r="M682" s="315"/>
      <c r="N682" s="315"/>
      <c r="O682" s="318"/>
      <c r="P682" s="318"/>
      <c r="Q682" s="315"/>
      <c r="R682" s="314"/>
      <c r="S682" s="435"/>
      <c r="T682" s="435"/>
      <c r="U682" s="435"/>
      <c r="V682" s="435"/>
      <c r="W682" s="740"/>
      <c r="X682" s="744"/>
      <c r="Y682" s="435"/>
      <c r="Z682" s="749"/>
      <c r="AA682" s="753"/>
      <c r="AB682" s="324"/>
      <c r="AC682" s="180"/>
      <c r="AD682" s="155"/>
      <c r="AE682" s="322"/>
      <c r="AF682" s="132"/>
      <c r="AG682" s="132"/>
    </row>
    <row r="683">
      <c r="A683" s="435"/>
      <c r="B683" s="746"/>
      <c r="C683" s="745"/>
      <c r="D683" s="751"/>
      <c r="E683" s="435"/>
      <c r="F683" s="736"/>
      <c r="G683" s="314"/>
      <c r="H683" s="435"/>
      <c r="I683" s="318"/>
      <c r="J683" s="314"/>
      <c r="K683" s="435"/>
      <c r="L683" s="315"/>
      <c r="M683" s="315"/>
      <c r="N683" s="315"/>
      <c r="O683" s="318"/>
      <c r="P683" s="740"/>
      <c r="Q683" s="744"/>
      <c r="R683" s="435"/>
      <c r="S683" s="435"/>
      <c r="T683" s="435"/>
      <c r="U683" s="435"/>
      <c r="V683" s="435"/>
      <c r="W683" s="740"/>
      <c r="X683" s="744"/>
      <c r="Y683" s="435"/>
      <c r="Z683" s="749"/>
      <c r="AA683" s="753"/>
      <c r="AB683" s="324"/>
      <c r="AC683" s="180"/>
      <c r="AD683" s="155"/>
      <c r="AE683" s="322"/>
      <c r="AF683" s="132"/>
      <c r="AG683" s="132"/>
    </row>
    <row r="684">
      <c r="A684" s="435"/>
      <c r="B684" s="746"/>
      <c r="C684" s="745"/>
      <c r="D684" s="751"/>
      <c r="E684" s="435"/>
      <c r="F684" s="736"/>
      <c r="G684" s="314"/>
      <c r="H684" s="435"/>
      <c r="I684" s="740"/>
      <c r="J684" s="435"/>
      <c r="K684" s="435"/>
      <c r="L684" s="744"/>
      <c r="M684" s="744"/>
      <c r="N684" s="744"/>
      <c r="O684" s="318"/>
      <c r="P684" s="740"/>
      <c r="Q684" s="744"/>
      <c r="R684" s="435"/>
      <c r="S684" s="435"/>
      <c r="T684" s="435"/>
      <c r="U684" s="435"/>
      <c r="V684" s="435"/>
      <c r="W684" s="740"/>
      <c r="X684" s="744"/>
      <c r="Y684" s="435"/>
      <c r="Z684" s="749"/>
      <c r="AA684" s="753"/>
      <c r="AB684" s="324"/>
      <c r="AC684" s="180"/>
      <c r="AD684" s="155"/>
      <c r="AE684" s="322"/>
      <c r="AF684" s="132"/>
      <c r="AG684" s="132"/>
    </row>
    <row r="685">
      <c r="A685" s="435"/>
      <c r="B685" s="695"/>
      <c r="C685" s="312"/>
      <c r="D685" s="717"/>
      <c r="E685" s="435"/>
      <c r="F685" s="736"/>
      <c r="G685" s="314"/>
      <c r="H685" s="435"/>
      <c r="I685" s="318"/>
      <c r="J685" s="314"/>
      <c r="K685" s="314"/>
      <c r="L685" s="315"/>
      <c r="M685" s="315"/>
      <c r="N685" s="315"/>
      <c r="O685" s="318"/>
      <c r="P685" s="318"/>
      <c r="Q685" s="315"/>
      <c r="R685" s="314"/>
      <c r="S685" s="314"/>
      <c r="T685" s="314"/>
      <c r="U685" s="314"/>
      <c r="V685" s="314"/>
      <c r="W685" s="318"/>
      <c r="X685" s="315"/>
      <c r="Y685" s="314"/>
      <c r="Z685" s="721"/>
      <c r="AA685" s="737"/>
      <c r="AB685" s="324"/>
      <c r="AC685" s="180"/>
      <c r="AD685" s="155"/>
      <c r="AE685" s="322"/>
      <c r="AF685" s="132"/>
      <c r="AG685" s="132"/>
    </row>
    <row r="686">
      <c r="A686" s="435"/>
      <c r="B686" s="695"/>
      <c r="C686" s="312"/>
      <c r="D686" s="751"/>
      <c r="E686" s="314"/>
      <c r="F686" s="736"/>
      <c r="G686" s="314"/>
      <c r="H686" s="435"/>
      <c r="I686" s="318"/>
      <c r="J686" s="435"/>
      <c r="K686" s="435"/>
      <c r="L686" s="315"/>
      <c r="M686" s="744"/>
      <c r="N686" s="315"/>
      <c r="O686" s="318"/>
      <c r="P686" s="318"/>
      <c r="Q686" s="315"/>
      <c r="R686" s="435"/>
      <c r="S686" s="435"/>
      <c r="T686" s="435"/>
      <c r="U686" s="435"/>
      <c r="V686" s="435"/>
      <c r="W686" s="740"/>
      <c r="X686" s="744"/>
      <c r="Y686" s="435"/>
      <c r="Z686" s="749"/>
      <c r="AA686" s="753"/>
      <c r="AB686" s="324"/>
      <c r="AC686" s="180"/>
      <c r="AD686" s="155"/>
      <c r="AE686" s="322"/>
      <c r="AF686" s="132"/>
      <c r="AG686" s="132"/>
    </row>
    <row r="687">
      <c r="A687" s="435"/>
      <c r="B687" s="695"/>
      <c r="C687" s="312"/>
      <c r="D687" s="717"/>
      <c r="E687" s="314"/>
      <c r="F687" s="736"/>
      <c r="G687" s="314"/>
      <c r="H687" s="314"/>
      <c r="I687" s="318"/>
      <c r="J687" s="314"/>
      <c r="K687" s="314"/>
      <c r="L687" s="315"/>
      <c r="M687" s="315"/>
      <c r="N687" s="315"/>
      <c r="O687" s="318"/>
      <c r="P687" s="318"/>
      <c r="Q687" s="744"/>
      <c r="R687" s="314"/>
      <c r="S687" s="435"/>
      <c r="T687" s="435"/>
      <c r="U687" s="435"/>
      <c r="V687" s="435"/>
      <c r="W687" s="740"/>
      <c r="X687" s="744"/>
      <c r="Y687" s="435"/>
      <c r="Z687" s="749"/>
      <c r="AA687" s="753"/>
      <c r="AB687" s="324"/>
      <c r="AC687" s="180"/>
      <c r="AD687" s="155"/>
      <c r="AE687" s="322"/>
      <c r="AF687" s="132"/>
      <c r="AG687" s="132"/>
    </row>
    <row r="688">
      <c r="A688" s="435"/>
      <c r="B688" s="746"/>
      <c r="C688" s="312"/>
      <c r="D688" s="717"/>
      <c r="E688" s="314"/>
      <c r="F688" s="736"/>
      <c r="G688" s="314"/>
      <c r="H688" s="435"/>
      <c r="I688" s="318"/>
      <c r="J688" s="435"/>
      <c r="K688" s="435"/>
      <c r="L688" s="315"/>
      <c r="M688" s="315"/>
      <c r="N688" s="744"/>
      <c r="O688" s="318"/>
      <c r="P688" s="318"/>
      <c r="Q688" s="315"/>
      <c r="R688" s="435"/>
      <c r="S688" s="435"/>
      <c r="T688" s="435"/>
      <c r="U688" s="435"/>
      <c r="V688" s="435"/>
      <c r="W688" s="740"/>
      <c r="X688" s="744"/>
      <c r="Y688" s="435"/>
      <c r="Z688" s="749"/>
      <c r="AA688" s="753"/>
      <c r="AB688" s="324"/>
      <c r="AC688" s="180"/>
      <c r="AD688" s="155"/>
      <c r="AE688" s="322"/>
      <c r="AF688" s="132"/>
      <c r="AG688" s="132"/>
    </row>
    <row r="689">
      <c r="A689" s="435"/>
      <c r="B689" s="695"/>
      <c r="C689" s="745"/>
      <c r="D689" s="751"/>
      <c r="E689" s="435"/>
      <c r="F689" s="736"/>
      <c r="G689" s="314"/>
      <c r="H689" s="435"/>
      <c r="I689" s="318"/>
      <c r="J689" s="314"/>
      <c r="K689" s="435"/>
      <c r="L689" s="315"/>
      <c r="M689" s="315"/>
      <c r="N689" s="315"/>
      <c r="O689" s="318"/>
      <c r="P689" s="318"/>
      <c r="Q689" s="315"/>
      <c r="R689" s="314"/>
      <c r="S689" s="435"/>
      <c r="T689" s="435"/>
      <c r="U689" s="435"/>
      <c r="V689" s="435"/>
      <c r="W689" s="740"/>
      <c r="X689" s="744"/>
      <c r="Y689" s="435"/>
      <c r="Z689" s="749"/>
      <c r="AA689" s="753"/>
      <c r="AB689" s="324"/>
      <c r="AC689" s="180"/>
      <c r="AD689" s="155"/>
      <c r="AE689" s="322"/>
      <c r="AF689" s="132"/>
      <c r="AG689" s="132"/>
    </row>
    <row r="690">
      <c r="A690" s="435"/>
      <c r="B690" s="695"/>
      <c r="C690" s="312"/>
      <c r="D690" s="717"/>
      <c r="E690" s="314"/>
      <c r="F690" s="736"/>
      <c r="G690" s="314"/>
      <c r="H690" s="435"/>
      <c r="I690" s="318"/>
      <c r="J690" s="314"/>
      <c r="K690" s="314"/>
      <c r="L690" s="315"/>
      <c r="M690" s="315"/>
      <c r="N690" s="315"/>
      <c r="O690" s="318"/>
      <c r="P690" s="318"/>
      <c r="Q690" s="315"/>
      <c r="R690" s="435"/>
      <c r="S690" s="314"/>
      <c r="T690" s="314"/>
      <c r="U690" s="314"/>
      <c r="V690" s="314"/>
      <c r="W690" s="318"/>
      <c r="X690" s="315"/>
      <c r="Y690" s="314"/>
      <c r="Z690" s="721"/>
      <c r="AA690" s="737"/>
      <c r="AB690" s="324"/>
      <c r="AC690" s="180"/>
      <c r="AD690" s="155"/>
      <c r="AE690" s="322"/>
      <c r="AF690" s="132"/>
      <c r="AG690" s="132"/>
    </row>
    <row r="691">
      <c r="A691" s="435"/>
      <c r="B691" s="746"/>
      <c r="C691" s="745"/>
      <c r="D691" s="751"/>
      <c r="E691" s="435"/>
      <c r="F691" s="736"/>
      <c r="G691" s="314"/>
      <c r="H691" s="435"/>
      <c r="I691" s="740"/>
      <c r="J691" s="435"/>
      <c r="K691" s="435"/>
      <c r="L691" s="744"/>
      <c r="M691" s="744"/>
      <c r="N691" s="744"/>
      <c r="O691" s="318"/>
      <c r="P691" s="740"/>
      <c r="Q691" s="744"/>
      <c r="R691" s="435"/>
      <c r="S691" s="435"/>
      <c r="T691" s="435"/>
      <c r="U691" s="435"/>
      <c r="V691" s="435"/>
      <c r="W691" s="740"/>
      <c r="X691" s="744"/>
      <c r="Y691" s="435"/>
      <c r="Z691" s="749"/>
      <c r="AA691" s="753"/>
      <c r="AB691" s="324"/>
      <c r="AC691" s="180"/>
      <c r="AD691" s="155"/>
      <c r="AE691" s="322"/>
      <c r="AF691" s="132"/>
      <c r="AG691" s="132"/>
    </row>
    <row r="692">
      <c r="A692" s="435"/>
      <c r="B692" s="695"/>
      <c r="C692" s="312"/>
      <c r="D692" s="717"/>
      <c r="E692" s="314"/>
      <c r="F692" s="736"/>
      <c r="G692" s="314"/>
      <c r="H692" s="314"/>
      <c r="I692" s="318"/>
      <c r="J692" s="314"/>
      <c r="K692" s="314"/>
      <c r="L692" s="315"/>
      <c r="M692" s="744"/>
      <c r="N692" s="315"/>
      <c r="O692" s="318"/>
      <c r="P692" s="318"/>
      <c r="Q692" s="315"/>
      <c r="R692" s="314"/>
      <c r="S692" s="314"/>
      <c r="T692" s="314"/>
      <c r="U692" s="314"/>
      <c r="V692" s="314"/>
      <c r="W692" s="318"/>
      <c r="X692" s="315"/>
      <c r="Y692" s="314"/>
      <c r="Z692" s="721"/>
      <c r="AA692" s="737"/>
      <c r="AB692" s="324"/>
      <c r="AC692" s="180"/>
      <c r="AD692" s="155"/>
      <c r="AE692" s="322"/>
      <c r="AF692" s="132"/>
      <c r="AG692" s="132"/>
    </row>
    <row r="693">
      <c r="A693" s="435"/>
      <c r="B693" s="695"/>
      <c r="C693" s="745"/>
      <c r="D693" s="751"/>
      <c r="E693" s="435"/>
      <c r="F693" s="736"/>
      <c r="G693" s="314"/>
      <c r="H693" s="435"/>
      <c r="I693" s="740"/>
      <c r="J693" s="435"/>
      <c r="K693" s="435"/>
      <c r="L693" s="315"/>
      <c r="M693" s="744"/>
      <c r="N693" s="744"/>
      <c r="O693" s="318"/>
      <c r="P693" s="740"/>
      <c r="Q693" s="744"/>
      <c r="R693" s="435"/>
      <c r="S693" s="435"/>
      <c r="T693" s="435"/>
      <c r="U693" s="435"/>
      <c r="V693" s="435"/>
      <c r="W693" s="740"/>
      <c r="X693" s="744"/>
      <c r="Y693" s="435"/>
      <c r="Z693" s="749"/>
      <c r="AA693" s="753"/>
      <c r="AB693" s="324"/>
      <c r="AC693" s="180"/>
      <c r="AD693" s="155"/>
      <c r="AE693" s="322"/>
      <c r="AF693" s="132"/>
      <c r="AG693" s="132"/>
    </row>
    <row r="694">
      <c r="A694" s="435"/>
      <c r="B694" s="746"/>
      <c r="C694" s="745"/>
      <c r="D694" s="717"/>
      <c r="E694" s="435"/>
      <c r="F694" s="736"/>
      <c r="G694" s="314"/>
      <c r="H694" s="435"/>
      <c r="I694" s="740"/>
      <c r="J694" s="314"/>
      <c r="K694" s="435"/>
      <c r="L694" s="744"/>
      <c r="M694" s="315"/>
      <c r="N694" s="744"/>
      <c r="O694" s="318"/>
      <c r="P694" s="740"/>
      <c r="Q694" s="315"/>
      <c r="R694" s="435"/>
      <c r="S694" s="435"/>
      <c r="T694" s="435"/>
      <c r="U694" s="435"/>
      <c r="V694" s="435"/>
      <c r="W694" s="740"/>
      <c r="X694" s="744"/>
      <c r="Y694" s="435"/>
      <c r="Z694" s="749"/>
      <c r="AA694" s="753"/>
      <c r="AB694" s="324"/>
      <c r="AC694" s="180"/>
      <c r="AD694" s="155"/>
      <c r="AE694" s="322"/>
      <c r="AF694" s="132"/>
      <c r="AG694" s="132"/>
    </row>
    <row r="695">
      <c r="A695" s="458"/>
      <c r="B695" s="746"/>
      <c r="C695" s="745"/>
      <c r="D695" s="751"/>
      <c r="E695" s="435"/>
      <c r="F695" s="736"/>
      <c r="G695" s="314"/>
      <c r="H695" s="314"/>
      <c r="I695" s="740"/>
      <c r="J695" s="435"/>
      <c r="K695" s="435"/>
      <c r="L695" s="744"/>
      <c r="M695" s="744"/>
      <c r="N695" s="744"/>
      <c r="O695" s="318"/>
      <c r="P695" s="740"/>
      <c r="Q695" s="744"/>
      <c r="R695" s="435"/>
      <c r="S695" s="435"/>
      <c r="T695" s="435"/>
      <c r="U695" s="435"/>
      <c r="V695" s="435"/>
      <c r="W695" s="740"/>
      <c r="X695" s="744"/>
      <c r="Y695" s="435"/>
      <c r="Z695" s="749"/>
      <c r="AA695" s="753"/>
      <c r="AB695" s="324"/>
      <c r="AC695" s="180"/>
      <c r="AD695" s="155"/>
      <c r="AE695" s="322"/>
      <c r="AF695" s="132"/>
      <c r="AG695" s="132"/>
    </row>
    <row r="696">
      <c r="A696" s="458"/>
      <c r="B696" s="746"/>
      <c r="C696" s="745"/>
      <c r="D696" s="751"/>
      <c r="E696" s="435"/>
      <c r="F696" s="736"/>
      <c r="G696" s="314"/>
      <c r="H696" s="314"/>
      <c r="I696" s="318"/>
      <c r="J696" s="435"/>
      <c r="K696" s="435"/>
      <c r="L696" s="744"/>
      <c r="M696" s="744"/>
      <c r="N696" s="744"/>
      <c r="O696" s="318"/>
      <c r="P696" s="740"/>
      <c r="Q696" s="744"/>
      <c r="R696" s="435"/>
      <c r="S696" s="435"/>
      <c r="T696" s="435"/>
      <c r="U696" s="435"/>
      <c r="V696" s="435"/>
      <c r="W696" s="740"/>
      <c r="X696" s="744"/>
      <c r="Y696" s="435"/>
      <c r="Z696" s="749"/>
      <c r="AA696" s="753"/>
      <c r="AB696" s="324"/>
      <c r="AC696" s="180"/>
      <c r="AD696" s="155"/>
      <c r="AE696" s="322"/>
      <c r="AF696" s="132"/>
      <c r="AG696" s="132"/>
    </row>
    <row r="697">
      <c r="A697" s="458"/>
      <c r="B697" s="746"/>
      <c r="C697" s="745"/>
      <c r="D697" s="751"/>
      <c r="E697" s="314"/>
      <c r="F697" s="736"/>
      <c r="G697" s="314"/>
      <c r="H697" s="314"/>
      <c r="I697" s="740"/>
      <c r="J697" s="435"/>
      <c r="K697" s="435"/>
      <c r="L697" s="744"/>
      <c r="M697" s="744"/>
      <c r="N697" s="744"/>
      <c r="O697" s="318"/>
      <c r="P697" s="740"/>
      <c r="Q697" s="315"/>
      <c r="R697" s="435"/>
      <c r="S697" s="435"/>
      <c r="T697" s="435"/>
      <c r="U697" s="435"/>
      <c r="V697" s="435"/>
      <c r="W697" s="740"/>
      <c r="X697" s="744"/>
      <c r="Y697" s="435"/>
      <c r="Z697" s="749"/>
      <c r="AA697" s="753"/>
      <c r="AB697" s="324"/>
      <c r="AC697" s="180"/>
      <c r="AD697" s="155"/>
      <c r="AE697" s="322"/>
      <c r="AF697" s="132"/>
      <c r="AG697" s="132"/>
    </row>
    <row r="698">
      <c r="A698" s="458"/>
      <c r="B698" s="695"/>
      <c r="C698" s="312"/>
      <c r="D698" s="717"/>
      <c r="E698" s="314"/>
      <c r="F698" s="736"/>
      <c r="G698" s="314"/>
      <c r="H698" s="314"/>
      <c r="I698" s="318"/>
      <c r="J698" s="314"/>
      <c r="K698" s="314"/>
      <c r="L698" s="315"/>
      <c r="M698" s="315"/>
      <c r="N698" s="315"/>
      <c r="O698" s="318"/>
      <c r="P698" s="318"/>
      <c r="Q698" s="315"/>
      <c r="R698" s="314"/>
      <c r="S698" s="314"/>
      <c r="T698" s="314"/>
      <c r="U698" s="314"/>
      <c r="V698" s="314"/>
      <c r="W698" s="318"/>
      <c r="X698" s="315"/>
      <c r="Y698" s="314"/>
      <c r="Z698" s="721"/>
      <c r="AA698" s="737"/>
      <c r="AB698" s="324"/>
      <c r="AC698" s="180"/>
      <c r="AD698" s="155"/>
      <c r="AE698" s="322"/>
      <c r="AF698" s="132"/>
      <c r="AG698" s="132"/>
    </row>
    <row r="699">
      <c r="A699" s="458"/>
      <c r="B699" s="746"/>
      <c r="C699" s="745"/>
      <c r="D699" s="751"/>
      <c r="E699" s="314"/>
      <c r="F699" s="736"/>
      <c r="G699" s="314"/>
      <c r="H699" s="314"/>
      <c r="I699" s="318"/>
      <c r="J699" s="314"/>
      <c r="K699" s="435"/>
      <c r="L699" s="744"/>
      <c r="M699" s="744"/>
      <c r="N699" s="315"/>
      <c r="O699" s="318"/>
      <c r="P699" s="740"/>
      <c r="Q699" s="744"/>
      <c r="R699" s="435"/>
      <c r="S699" s="435"/>
      <c r="T699" s="435"/>
      <c r="U699" s="435"/>
      <c r="V699" s="435"/>
      <c r="W699" s="740"/>
      <c r="X699" s="744"/>
      <c r="Y699" s="435"/>
      <c r="Z699" s="749"/>
      <c r="AA699" s="753"/>
      <c r="AB699" s="324"/>
      <c r="AC699" s="180"/>
      <c r="AD699" s="155"/>
      <c r="AE699" s="322"/>
      <c r="AF699" s="132"/>
      <c r="AG699" s="132"/>
    </row>
    <row r="700">
      <c r="A700" s="458"/>
      <c r="B700" s="695"/>
      <c r="C700" s="312"/>
      <c r="D700" s="751"/>
      <c r="E700" s="314"/>
      <c r="F700" s="736"/>
      <c r="G700" s="314"/>
      <c r="H700" s="314"/>
      <c r="I700" s="318"/>
      <c r="J700" s="314"/>
      <c r="K700" s="314"/>
      <c r="L700" s="315"/>
      <c r="M700" s="315"/>
      <c r="N700" s="315"/>
      <c r="O700" s="318"/>
      <c r="P700" s="318"/>
      <c r="Q700" s="315"/>
      <c r="R700" s="314"/>
      <c r="S700" s="314"/>
      <c r="T700" s="314"/>
      <c r="U700" s="314"/>
      <c r="V700" s="314"/>
      <c r="W700" s="318"/>
      <c r="X700" s="315"/>
      <c r="Y700" s="314"/>
      <c r="Z700" s="721"/>
      <c r="AA700" s="737"/>
      <c r="AB700" s="324"/>
      <c r="AC700" s="180"/>
      <c r="AD700" s="155"/>
      <c r="AE700" s="322"/>
      <c r="AF700" s="132"/>
      <c r="AG700" s="132"/>
    </row>
    <row r="701">
      <c r="A701" s="458"/>
      <c r="B701" s="695"/>
      <c r="C701" s="745"/>
      <c r="D701" s="717"/>
      <c r="E701" s="314"/>
      <c r="F701" s="736"/>
      <c r="G701" s="314"/>
      <c r="H701" s="314"/>
      <c r="I701" s="740"/>
      <c r="J701" s="314"/>
      <c r="K701" s="314"/>
      <c r="L701" s="744"/>
      <c r="M701" s="315"/>
      <c r="N701" s="315"/>
      <c r="O701" s="318"/>
      <c r="P701" s="318"/>
      <c r="Q701" s="744"/>
      <c r="R701" s="435"/>
      <c r="S701" s="435"/>
      <c r="T701" s="435"/>
      <c r="U701" s="435"/>
      <c r="V701" s="435"/>
      <c r="W701" s="740"/>
      <c r="X701" s="744"/>
      <c r="Y701" s="435"/>
      <c r="Z701" s="749"/>
      <c r="AA701" s="753"/>
      <c r="AB701" s="324"/>
      <c r="AC701" s="180"/>
      <c r="AD701" s="155"/>
      <c r="AE701" s="322"/>
      <c r="AF701" s="132"/>
      <c r="AG701" s="132"/>
    </row>
    <row r="702">
      <c r="A702" s="458"/>
      <c r="B702" s="695"/>
      <c r="C702" s="745"/>
      <c r="D702" s="751"/>
      <c r="E702" s="435"/>
      <c r="F702" s="736"/>
      <c r="G702" s="314"/>
      <c r="H702" s="435"/>
      <c r="I702" s="740"/>
      <c r="J702" s="314"/>
      <c r="K702" s="435"/>
      <c r="L702" s="744"/>
      <c r="M702" s="315"/>
      <c r="N702" s="315"/>
      <c r="O702" s="318"/>
      <c r="P702" s="740"/>
      <c r="Q702" s="744"/>
      <c r="R702" s="435"/>
      <c r="S702" s="435"/>
      <c r="T702" s="435"/>
      <c r="U702" s="435"/>
      <c r="V702" s="435"/>
      <c r="W702" s="740"/>
      <c r="X702" s="744"/>
      <c r="Y702" s="435"/>
      <c r="Z702" s="749"/>
      <c r="AA702" s="753"/>
      <c r="AB702" s="324"/>
      <c r="AC702" s="180"/>
      <c r="AD702" s="155"/>
      <c r="AE702" s="322"/>
      <c r="AF702" s="132"/>
      <c r="AG702" s="132"/>
    </row>
    <row r="703">
      <c r="A703" s="458"/>
      <c r="B703" s="695"/>
      <c r="C703" s="745"/>
      <c r="D703" s="751"/>
      <c r="E703" s="314"/>
      <c r="F703" s="736"/>
      <c r="G703" s="314"/>
      <c r="H703" s="314"/>
      <c r="I703" s="318"/>
      <c r="J703" s="314"/>
      <c r="K703" s="435"/>
      <c r="L703" s="315"/>
      <c r="M703" s="315"/>
      <c r="N703" s="315"/>
      <c r="O703" s="318"/>
      <c r="P703" s="318"/>
      <c r="Q703" s="315"/>
      <c r="R703" s="435"/>
      <c r="S703" s="435"/>
      <c r="T703" s="435"/>
      <c r="U703" s="435"/>
      <c r="V703" s="435"/>
      <c r="W703" s="740"/>
      <c r="X703" s="744"/>
      <c r="Y703" s="435"/>
      <c r="Z703" s="749"/>
      <c r="AA703" s="753"/>
      <c r="AB703" s="324"/>
      <c r="AC703" s="180"/>
      <c r="AD703" s="155"/>
      <c r="AE703" s="322"/>
      <c r="AF703" s="132"/>
      <c r="AG703" s="132"/>
    </row>
    <row r="704">
      <c r="A704" s="458"/>
      <c r="B704" s="746"/>
      <c r="C704" s="745"/>
      <c r="D704" s="751"/>
      <c r="E704" s="435"/>
      <c r="F704" s="736"/>
      <c r="G704" s="314"/>
      <c r="H704" s="435"/>
      <c r="I704" s="740"/>
      <c r="J704" s="435"/>
      <c r="K704" s="435"/>
      <c r="L704" s="744"/>
      <c r="M704" s="744"/>
      <c r="N704" s="744"/>
      <c r="O704" s="318"/>
      <c r="P704" s="740"/>
      <c r="Q704" s="744"/>
      <c r="R704" s="435"/>
      <c r="S704" s="435"/>
      <c r="T704" s="435"/>
      <c r="U704" s="435"/>
      <c r="V704" s="435"/>
      <c r="W704" s="740"/>
      <c r="X704" s="744"/>
      <c r="Y704" s="435"/>
      <c r="Z704" s="749"/>
      <c r="AA704" s="753"/>
      <c r="AB704" s="324"/>
      <c r="AC704" s="180"/>
      <c r="AD704" s="155"/>
      <c r="AE704" s="322"/>
      <c r="AF704" s="132"/>
      <c r="AG704" s="132"/>
    </row>
    <row r="705">
      <c r="A705" s="435"/>
      <c r="B705" s="746"/>
      <c r="C705" s="745"/>
      <c r="D705" s="751"/>
      <c r="E705" s="435"/>
      <c r="F705" s="736"/>
      <c r="G705" s="314"/>
      <c r="H705" s="435"/>
      <c r="I705" s="740"/>
      <c r="J705" s="435"/>
      <c r="K705" s="435"/>
      <c r="L705" s="744"/>
      <c r="M705" s="744"/>
      <c r="N705" s="744"/>
      <c r="O705" s="318"/>
      <c r="P705" s="740"/>
      <c r="Q705" s="744"/>
      <c r="R705" s="435"/>
      <c r="S705" s="435"/>
      <c r="T705" s="435"/>
      <c r="U705" s="435"/>
      <c r="V705" s="435"/>
      <c r="W705" s="740"/>
      <c r="X705" s="744"/>
      <c r="Y705" s="435"/>
      <c r="Z705" s="749"/>
      <c r="AA705" s="753"/>
      <c r="AB705" s="324"/>
      <c r="AC705" s="180"/>
      <c r="AD705" s="155"/>
      <c r="AE705" s="322"/>
      <c r="AF705" s="132"/>
      <c r="AG705" s="132"/>
    </row>
    <row r="706">
      <c r="A706" s="474"/>
      <c r="B706" s="746"/>
      <c r="C706" s="745"/>
      <c r="D706" s="751"/>
      <c r="E706" s="435"/>
      <c r="F706" s="736"/>
      <c r="G706" s="314"/>
      <c r="H706" s="435"/>
      <c r="I706" s="740"/>
      <c r="J706" s="435"/>
      <c r="K706" s="435"/>
      <c r="L706" s="744"/>
      <c r="M706" s="744"/>
      <c r="N706" s="744"/>
      <c r="O706" s="318"/>
      <c r="P706" s="740"/>
      <c r="Q706" s="744"/>
      <c r="R706" s="435"/>
      <c r="S706" s="435"/>
      <c r="T706" s="435"/>
      <c r="U706" s="435"/>
      <c r="V706" s="435"/>
      <c r="W706" s="740"/>
      <c r="X706" s="744"/>
      <c r="Y706" s="435"/>
      <c r="Z706" s="749"/>
      <c r="AA706" s="753"/>
      <c r="AB706" s="324"/>
      <c r="AC706" s="180"/>
      <c r="AD706" s="155"/>
      <c r="AE706" s="322"/>
      <c r="AF706" s="132"/>
      <c r="AG706" s="132"/>
    </row>
    <row r="707">
      <c r="A707" s="474"/>
      <c r="B707" s="746"/>
      <c r="C707" s="312"/>
      <c r="D707" s="751"/>
      <c r="E707" s="435"/>
      <c r="F707" s="736"/>
      <c r="G707" s="314"/>
      <c r="H707" s="435"/>
      <c r="I707" s="740"/>
      <c r="J707" s="435"/>
      <c r="K707" s="314"/>
      <c r="L707" s="315"/>
      <c r="M707" s="315"/>
      <c r="N707" s="744"/>
      <c r="O707" s="318"/>
      <c r="P707" s="318"/>
      <c r="Q707" s="744"/>
      <c r="R707" s="314"/>
      <c r="S707" s="435"/>
      <c r="T707" s="435"/>
      <c r="U707" s="435"/>
      <c r="V707" s="435"/>
      <c r="W707" s="740"/>
      <c r="X707" s="744"/>
      <c r="Y707" s="435"/>
      <c r="Z707" s="749"/>
      <c r="AA707" s="753"/>
      <c r="AB707" s="324"/>
      <c r="AC707" s="180"/>
      <c r="AD707" s="155"/>
      <c r="AE707" s="322"/>
      <c r="AF707" s="132"/>
      <c r="AG707" s="132"/>
    </row>
    <row r="708">
      <c r="A708" s="474"/>
      <c r="B708" s="695"/>
      <c r="C708" s="312"/>
      <c r="D708" s="717"/>
      <c r="E708" s="314"/>
      <c r="F708" s="736"/>
      <c r="G708" s="314"/>
      <c r="H708" s="314"/>
      <c r="I708" s="318"/>
      <c r="J708" s="314"/>
      <c r="K708" s="435"/>
      <c r="L708" s="315"/>
      <c r="M708" s="315"/>
      <c r="N708" s="315"/>
      <c r="O708" s="318"/>
      <c r="P708" s="740"/>
      <c r="Q708" s="315"/>
      <c r="R708" s="314"/>
      <c r="S708" s="314"/>
      <c r="T708" s="314"/>
      <c r="U708" s="314"/>
      <c r="V708" s="314"/>
      <c r="W708" s="318"/>
      <c r="X708" s="315"/>
      <c r="Y708" s="314"/>
      <c r="Z708" s="721"/>
      <c r="AA708" s="737"/>
      <c r="AB708" s="324"/>
      <c r="AC708" s="180"/>
      <c r="AD708" s="155"/>
      <c r="AE708" s="322"/>
      <c r="AF708" s="132"/>
      <c r="AG708" s="132"/>
    </row>
    <row r="709">
      <c r="A709" s="474"/>
      <c r="B709" s="695"/>
      <c r="C709" s="745"/>
      <c r="D709" s="751"/>
      <c r="E709" s="314"/>
      <c r="F709" s="736"/>
      <c r="G709" s="314"/>
      <c r="H709" s="314"/>
      <c r="I709" s="740"/>
      <c r="J709" s="314"/>
      <c r="K709" s="314"/>
      <c r="L709" s="315"/>
      <c r="M709" s="315"/>
      <c r="N709" s="315"/>
      <c r="O709" s="318"/>
      <c r="P709" s="318"/>
      <c r="Q709" s="315"/>
      <c r="R709" s="314"/>
      <c r="S709" s="314"/>
      <c r="T709" s="314"/>
      <c r="U709" s="314"/>
      <c r="V709" s="314"/>
      <c r="W709" s="318"/>
      <c r="X709" s="315"/>
      <c r="Y709" s="314"/>
      <c r="Z709" s="721"/>
      <c r="AA709" s="737"/>
      <c r="AB709" s="324"/>
      <c r="AC709" s="180"/>
      <c r="AD709" s="155"/>
      <c r="AE709" s="322"/>
      <c r="AF709" s="132"/>
      <c r="AG709" s="132"/>
    </row>
    <row r="710">
      <c r="A710" s="474"/>
      <c r="B710" s="695"/>
      <c r="C710" s="312"/>
      <c r="D710" s="717"/>
      <c r="E710" s="314"/>
      <c r="F710" s="736"/>
      <c r="G710" s="314"/>
      <c r="H710" s="314"/>
      <c r="I710" s="318"/>
      <c r="J710" s="314"/>
      <c r="K710" s="435"/>
      <c r="L710" s="315"/>
      <c r="M710" s="315"/>
      <c r="N710" s="315"/>
      <c r="O710" s="318"/>
      <c r="P710" s="318"/>
      <c r="Q710" s="315"/>
      <c r="R710" s="314"/>
      <c r="S710" s="314"/>
      <c r="T710" s="314"/>
      <c r="U710" s="314"/>
      <c r="V710" s="314"/>
      <c r="W710" s="318"/>
      <c r="X710" s="315"/>
      <c r="Y710" s="314"/>
      <c r="Z710" s="721"/>
      <c r="AA710" s="737"/>
      <c r="AB710" s="324"/>
      <c r="AC710" s="180"/>
      <c r="AD710" s="155"/>
      <c r="AE710" s="322"/>
      <c r="AF710" s="132"/>
      <c r="AG710" s="132"/>
    </row>
    <row r="711">
      <c r="A711" s="458"/>
      <c r="B711" s="695"/>
      <c r="C711" s="745"/>
      <c r="D711" s="717"/>
      <c r="E711" s="314"/>
      <c r="F711" s="736"/>
      <c r="G711" s="314"/>
      <c r="H711" s="314"/>
      <c r="I711" s="318"/>
      <c r="J711" s="435"/>
      <c r="K711" s="435"/>
      <c r="L711" s="315"/>
      <c r="M711" s="315"/>
      <c r="N711" s="315"/>
      <c r="O711" s="318"/>
      <c r="P711" s="318"/>
      <c r="Q711" s="315"/>
      <c r="R711" s="314"/>
      <c r="S711" s="314"/>
      <c r="T711" s="314"/>
      <c r="U711" s="314"/>
      <c r="V711" s="314"/>
      <c r="W711" s="318"/>
      <c r="X711" s="315"/>
      <c r="Y711" s="314"/>
      <c r="Z711" s="721"/>
      <c r="AA711" s="737"/>
      <c r="AB711" s="324"/>
      <c r="AC711" s="180"/>
      <c r="AD711" s="155"/>
      <c r="AE711" s="322"/>
      <c r="AF711" s="132"/>
      <c r="AG711" s="132"/>
    </row>
    <row r="712">
      <c r="A712" s="435"/>
      <c r="B712" s="695"/>
      <c r="C712" s="745"/>
      <c r="D712" s="751"/>
      <c r="E712" s="435"/>
      <c r="F712" s="736"/>
      <c r="G712" s="314"/>
      <c r="H712" s="435"/>
      <c r="I712" s="318"/>
      <c r="J712" s="314"/>
      <c r="K712" s="435"/>
      <c r="L712" s="315"/>
      <c r="M712" s="744"/>
      <c r="N712" s="744"/>
      <c r="O712" s="318"/>
      <c r="P712" s="318"/>
      <c r="Q712" s="315"/>
      <c r="R712" s="435"/>
      <c r="S712" s="314"/>
      <c r="T712" s="314"/>
      <c r="U712" s="314"/>
      <c r="V712" s="314"/>
      <c r="W712" s="318"/>
      <c r="X712" s="315"/>
      <c r="Y712" s="314"/>
      <c r="Z712" s="721"/>
      <c r="AA712" s="737"/>
      <c r="AB712" s="324"/>
      <c r="AC712" s="180"/>
      <c r="AD712" s="155"/>
      <c r="AE712" s="322"/>
      <c r="AF712" s="132"/>
      <c r="AG712" s="132"/>
    </row>
    <row r="713">
      <c r="A713" s="435"/>
      <c r="B713" s="746"/>
      <c r="C713" s="312"/>
      <c r="D713" s="717"/>
      <c r="E713" s="314"/>
      <c r="F713" s="736"/>
      <c r="G713" s="314"/>
      <c r="H713" s="314"/>
      <c r="I713" s="318"/>
      <c r="J713" s="314"/>
      <c r="K713" s="314"/>
      <c r="L713" s="315"/>
      <c r="M713" s="315"/>
      <c r="N713" s="315"/>
      <c r="O713" s="318"/>
      <c r="P713" s="740"/>
      <c r="Q713" s="315"/>
      <c r="R713" s="314"/>
      <c r="S713" s="314"/>
      <c r="T713" s="314"/>
      <c r="U713" s="314"/>
      <c r="V713" s="314"/>
      <c r="W713" s="318"/>
      <c r="X713" s="315"/>
      <c r="Y713" s="314"/>
      <c r="Z713" s="721"/>
      <c r="AA713" s="737"/>
      <c r="AB713" s="324"/>
      <c r="AC713" s="180"/>
      <c r="AD713" s="155"/>
      <c r="AE713" s="322"/>
      <c r="AF713" s="132"/>
      <c r="AG713" s="132"/>
    </row>
    <row r="714">
      <c r="A714" s="435"/>
      <c r="B714" s="746"/>
      <c r="C714" s="312"/>
      <c r="D714" s="717"/>
      <c r="E714" s="314"/>
      <c r="F714" s="736"/>
      <c r="G714" s="314"/>
      <c r="H714" s="314"/>
      <c r="I714" s="318"/>
      <c r="J714" s="314"/>
      <c r="K714" s="314"/>
      <c r="L714" s="315"/>
      <c r="M714" s="315"/>
      <c r="N714" s="315"/>
      <c r="O714" s="318"/>
      <c r="P714" s="318"/>
      <c r="Q714" s="744"/>
      <c r="R714" s="314"/>
      <c r="S714" s="435"/>
      <c r="T714" s="435"/>
      <c r="U714" s="435"/>
      <c r="V714" s="435"/>
      <c r="W714" s="740"/>
      <c r="X714" s="744"/>
      <c r="Y714" s="435"/>
      <c r="Z714" s="749"/>
      <c r="AA714" s="753"/>
      <c r="AB714" s="324"/>
      <c r="AC714" s="180"/>
      <c r="AD714" s="155"/>
      <c r="AE714" s="322"/>
      <c r="AF714" s="132"/>
      <c r="AG714" s="132"/>
    </row>
    <row r="715">
      <c r="A715" s="435"/>
      <c r="B715" s="695"/>
      <c r="C715" s="745"/>
      <c r="D715" s="717"/>
      <c r="E715" s="314"/>
      <c r="F715" s="736"/>
      <c r="G715" s="314"/>
      <c r="H715" s="314"/>
      <c r="I715" s="318"/>
      <c r="J715" s="314"/>
      <c r="K715" s="314"/>
      <c r="L715" s="315"/>
      <c r="M715" s="315"/>
      <c r="N715" s="315"/>
      <c r="O715" s="318"/>
      <c r="P715" s="318"/>
      <c r="Q715" s="315"/>
      <c r="R715" s="435"/>
      <c r="S715" s="314"/>
      <c r="T715" s="314"/>
      <c r="U715" s="314"/>
      <c r="V715" s="314"/>
      <c r="W715" s="318"/>
      <c r="X715" s="315"/>
      <c r="Y715" s="314"/>
      <c r="Z715" s="721"/>
      <c r="AA715" s="737"/>
      <c r="AB715" s="324"/>
      <c r="AC715" s="180"/>
      <c r="AD715" s="155"/>
      <c r="AE715" s="322"/>
      <c r="AF715" s="132"/>
      <c r="AG715" s="132"/>
    </row>
    <row r="716">
      <c r="A716" s="435"/>
      <c r="B716" s="695"/>
      <c r="C716" s="312"/>
      <c r="D716" s="717"/>
      <c r="E716" s="314"/>
      <c r="F716" s="736"/>
      <c r="G716" s="314"/>
      <c r="H716" s="314"/>
      <c r="I716" s="318"/>
      <c r="J716" s="314"/>
      <c r="K716" s="435"/>
      <c r="L716" s="315"/>
      <c r="M716" s="744"/>
      <c r="N716" s="315"/>
      <c r="O716" s="318"/>
      <c r="P716" s="318"/>
      <c r="Q716" s="744"/>
      <c r="R716" s="314"/>
      <c r="S716" s="314"/>
      <c r="T716" s="314"/>
      <c r="U716" s="314"/>
      <c r="V716" s="314"/>
      <c r="W716" s="318"/>
      <c r="X716" s="315"/>
      <c r="Y716" s="314"/>
      <c r="Z716" s="721"/>
      <c r="AA716" s="737"/>
      <c r="AB716" s="324"/>
      <c r="AC716" s="180"/>
      <c r="AD716" s="155"/>
      <c r="AE716" s="322"/>
      <c r="AF716" s="132"/>
      <c r="AG716" s="132"/>
    </row>
    <row r="717">
      <c r="A717" s="435"/>
      <c r="B717" s="695"/>
      <c r="C717" s="745"/>
      <c r="D717" s="751"/>
      <c r="E717" s="314"/>
      <c r="F717" s="736"/>
      <c r="G717" s="314"/>
      <c r="H717" s="314"/>
      <c r="I717" s="318"/>
      <c r="J717" s="314"/>
      <c r="K717" s="435"/>
      <c r="L717" s="315"/>
      <c r="M717" s="744"/>
      <c r="N717" s="315"/>
      <c r="O717" s="318"/>
      <c r="P717" s="318"/>
      <c r="Q717" s="744"/>
      <c r="R717" s="314"/>
      <c r="S717" s="314"/>
      <c r="T717" s="314"/>
      <c r="U717" s="314"/>
      <c r="V717" s="314"/>
      <c r="W717" s="318"/>
      <c r="X717" s="315"/>
      <c r="Y717" s="314"/>
      <c r="Z717" s="721"/>
      <c r="AA717" s="737"/>
      <c r="AB717" s="324"/>
      <c r="AC717" s="180"/>
      <c r="AD717" s="155"/>
      <c r="AE717" s="322"/>
      <c r="AF717" s="132"/>
      <c r="AG717" s="132"/>
    </row>
    <row r="718">
      <c r="A718" s="476"/>
      <c r="AD718" s="176"/>
      <c r="AE718" s="322"/>
      <c r="AF718" s="132"/>
      <c r="AG718" s="132"/>
    </row>
    <row r="719">
      <c r="A719" s="178"/>
      <c r="AE719" s="322"/>
      <c r="AF719" s="132"/>
      <c r="AG719" s="132"/>
    </row>
    <row r="720">
      <c r="A720" s="474"/>
      <c r="B720" s="746"/>
      <c r="C720" s="745"/>
      <c r="D720" s="751"/>
      <c r="E720" s="435"/>
      <c r="F720" s="736"/>
      <c r="G720" s="314"/>
      <c r="H720" s="314"/>
      <c r="I720" s="740"/>
      <c r="J720" s="435"/>
      <c r="K720" s="435"/>
      <c r="L720" s="744"/>
      <c r="M720" s="744"/>
      <c r="N720" s="744"/>
      <c r="O720" s="318"/>
      <c r="P720" s="740"/>
      <c r="Q720" s="744"/>
      <c r="R720" s="435"/>
      <c r="S720" s="435"/>
      <c r="T720" s="435"/>
      <c r="U720" s="435"/>
      <c r="V720" s="435"/>
      <c r="W720" s="740"/>
      <c r="X720" s="744"/>
      <c r="Y720" s="435"/>
      <c r="Z720" s="749"/>
      <c r="AA720" s="753"/>
      <c r="AB720" s="324"/>
      <c r="AC720" s="180"/>
      <c r="AD720" s="155"/>
      <c r="AE720" s="322"/>
      <c r="AF720" s="132"/>
      <c r="AG720" s="132"/>
    </row>
    <row r="721">
      <c r="A721" s="474"/>
      <c r="B721" s="695"/>
      <c r="C721" s="745"/>
      <c r="D721" s="751"/>
      <c r="E721" s="435"/>
      <c r="F721" s="736"/>
      <c r="G721" s="314"/>
      <c r="H721" s="435"/>
      <c r="I721" s="318"/>
      <c r="J721" s="435"/>
      <c r="K721" s="435"/>
      <c r="L721" s="744"/>
      <c r="M721" s="315"/>
      <c r="N721" s="315"/>
      <c r="O721" s="318"/>
      <c r="P721" s="740"/>
      <c r="Q721" s="744"/>
      <c r="R721" s="435"/>
      <c r="S721" s="435"/>
      <c r="T721" s="435"/>
      <c r="U721" s="435"/>
      <c r="V721" s="435"/>
      <c r="W721" s="740"/>
      <c r="X721" s="744"/>
      <c r="Y721" s="435"/>
      <c r="Z721" s="749"/>
      <c r="AA721" s="753"/>
      <c r="AB721" s="324"/>
      <c r="AC721" s="180"/>
      <c r="AD721" s="155"/>
      <c r="AE721" s="322"/>
      <c r="AF721" s="132"/>
      <c r="AG721" s="132"/>
    </row>
    <row r="722">
      <c r="A722" s="477"/>
      <c r="B722" s="746"/>
      <c r="C722" s="745"/>
      <c r="D722" s="751"/>
      <c r="E722" s="314"/>
      <c r="F722" s="736"/>
      <c r="G722" s="314"/>
      <c r="H722" s="435"/>
      <c r="I722" s="740"/>
      <c r="J722" s="435"/>
      <c r="K722" s="435"/>
      <c r="L722" s="744"/>
      <c r="M722" s="744"/>
      <c r="N722" s="744"/>
      <c r="O722" s="318"/>
      <c r="P722" s="740"/>
      <c r="Q722" s="744"/>
      <c r="R722" s="435"/>
      <c r="S722" s="435"/>
      <c r="T722" s="435"/>
      <c r="U722" s="435"/>
      <c r="V722" s="435"/>
      <c r="W722" s="740"/>
      <c r="X722" s="744"/>
      <c r="Y722" s="435"/>
      <c r="Z722" s="749"/>
      <c r="AA722" s="753"/>
      <c r="AB722" s="324"/>
      <c r="AC722" s="180"/>
      <c r="AD722" s="155"/>
      <c r="AE722" s="322"/>
      <c r="AF722" s="132"/>
      <c r="AG722" s="132"/>
    </row>
    <row r="723">
      <c r="A723" s="477"/>
      <c r="B723" s="746"/>
      <c r="C723" s="745"/>
      <c r="D723" s="751"/>
      <c r="E723" s="314"/>
      <c r="F723" s="736"/>
      <c r="G723" s="314"/>
      <c r="H723" s="435"/>
      <c r="I723" s="318"/>
      <c r="J723" s="314"/>
      <c r="K723" s="435"/>
      <c r="L723" s="744"/>
      <c r="M723" s="744"/>
      <c r="N723" s="315"/>
      <c r="O723" s="318"/>
      <c r="P723" s="740"/>
      <c r="Q723" s="744"/>
      <c r="R723" s="435"/>
      <c r="S723" s="435"/>
      <c r="T723" s="435"/>
      <c r="U723" s="435"/>
      <c r="V723" s="435"/>
      <c r="W723" s="740"/>
      <c r="X723" s="744"/>
      <c r="Y723" s="435"/>
      <c r="Z723" s="749"/>
      <c r="AA723" s="753"/>
      <c r="AB723" s="324"/>
      <c r="AC723" s="180"/>
      <c r="AD723" s="155"/>
      <c r="AE723" s="322"/>
      <c r="AF723" s="132"/>
      <c r="AG723" s="132"/>
    </row>
    <row r="724">
      <c r="A724" s="477"/>
      <c r="B724" s="746"/>
      <c r="C724" s="745"/>
      <c r="D724" s="751"/>
      <c r="E724" s="435"/>
      <c r="F724" s="736"/>
      <c r="G724" s="314"/>
      <c r="H724" s="435"/>
      <c r="I724" s="740"/>
      <c r="J724" s="435"/>
      <c r="K724" s="435"/>
      <c r="L724" s="744"/>
      <c r="M724" s="744"/>
      <c r="N724" s="744"/>
      <c r="O724" s="318"/>
      <c r="P724" s="740"/>
      <c r="Q724" s="744"/>
      <c r="R724" s="435"/>
      <c r="S724" s="435"/>
      <c r="T724" s="435"/>
      <c r="U724" s="435"/>
      <c r="V724" s="435"/>
      <c r="W724" s="740"/>
      <c r="X724" s="744"/>
      <c r="Y724" s="435"/>
      <c r="Z724" s="749"/>
      <c r="AA724" s="753"/>
      <c r="AB724" s="324"/>
      <c r="AC724" s="180"/>
      <c r="AD724" s="155"/>
      <c r="AE724" s="322"/>
      <c r="AF724" s="132"/>
      <c r="AG724" s="132"/>
    </row>
    <row r="725">
      <c r="A725" s="474"/>
      <c r="B725" s="695"/>
      <c r="C725" s="745"/>
      <c r="D725" s="717"/>
      <c r="E725" s="435"/>
      <c r="F725" s="736"/>
      <c r="G725" s="314"/>
      <c r="H725" s="435"/>
      <c r="I725" s="318"/>
      <c r="J725" s="435"/>
      <c r="K725" s="435"/>
      <c r="L725" s="315"/>
      <c r="M725" s="744"/>
      <c r="N725" s="315"/>
      <c r="O725" s="318"/>
      <c r="P725" s="740"/>
      <c r="Q725" s="744"/>
      <c r="R725" s="435"/>
      <c r="S725" s="435"/>
      <c r="T725" s="435"/>
      <c r="U725" s="435"/>
      <c r="V725" s="435"/>
      <c r="W725" s="740"/>
      <c r="X725" s="744"/>
      <c r="Y725" s="435"/>
      <c r="Z725" s="749"/>
      <c r="AA725" s="753"/>
      <c r="AB725" s="324"/>
      <c r="AC725" s="180"/>
      <c r="AD725" s="155"/>
      <c r="AE725" s="322"/>
      <c r="AF725" s="132"/>
      <c r="AG725" s="132"/>
    </row>
    <row r="726">
      <c r="A726" s="478"/>
      <c r="B726" s="746"/>
      <c r="C726" s="745"/>
      <c r="D726" s="751"/>
      <c r="E726" s="435"/>
      <c r="F726" s="736"/>
      <c r="G726" s="314"/>
      <c r="H726" s="435"/>
      <c r="I726" s="740"/>
      <c r="J726" s="435"/>
      <c r="K726" s="435"/>
      <c r="L726" s="744"/>
      <c r="M726" s="744"/>
      <c r="N726" s="744"/>
      <c r="O726" s="318"/>
      <c r="P726" s="740"/>
      <c r="Q726" s="744"/>
      <c r="R726" s="435"/>
      <c r="S726" s="435"/>
      <c r="T726" s="435"/>
      <c r="U726" s="435"/>
      <c r="V726" s="435"/>
      <c r="W726" s="740"/>
      <c r="X726" s="744"/>
      <c r="Y726" s="435"/>
      <c r="Z726" s="749"/>
      <c r="AA726" s="753"/>
      <c r="AB726" s="324"/>
      <c r="AC726" s="180"/>
      <c r="AD726" s="155"/>
      <c r="AE726" s="322"/>
      <c r="AF726" s="132"/>
      <c r="AG726" s="132"/>
    </row>
    <row r="727">
      <c r="A727" s="478"/>
      <c r="B727" s="746"/>
      <c r="C727" s="745"/>
      <c r="D727" s="751"/>
      <c r="E727" s="435"/>
      <c r="F727" s="736"/>
      <c r="G727" s="314"/>
      <c r="H727" s="435"/>
      <c r="I727" s="740"/>
      <c r="J727" s="435"/>
      <c r="K727" s="435"/>
      <c r="L727" s="744"/>
      <c r="M727" s="744"/>
      <c r="N727" s="744"/>
      <c r="O727" s="318"/>
      <c r="P727" s="740"/>
      <c r="Q727" s="744"/>
      <c r="R727" s="435"/>
      <c r="S727" s="435"/>
      <c r="T727" s="435"/>
      <c r="U727" s="435"/>
      <c r="V727" s="435"/>
      <c r="W727" s="740"/>
      <c r="X727" s="744"/>
      <c r="Y727" s="435"/>
      <c r="Z727" s="749"/>
      <c r="AA727" s="753"/>
      <c r="AB727" s="324"/>
      <c r="AC727" s="180"/>
      <c r="AD727" s="155"/>
      <c r="AE727" s="322"/>
      <c r="AF727" s="132"/>
      <c r="AG727" s="132"/>
    </row>
    <row r="728">
      <c r="A728" s="478"/>
      <c r="B728" s="746"/>
      <c r="C728" s="745"/>
      <c r="D728" s="717"/>
      <c r="E728" s="314"/>
      <c r="F728" s="736"/>
      <c r="G728" s="314"/>
      <c r="H728" s="435"/>
      <c r="I728" s="740"/>
      <c r="J728" s="314"/>
      <c r="K728" s="435"/>
      <c r="L728" s="315"/>
      <c r="M728" s="744"/>
      <c r="N728" s="315"/>
      <c r="O728" s="318"/>
      <c r="P728" s="318"/>
      <c r="Q728" s="315"/>
      <c r="R728" s="314"/>
      <c r="S728" s="435"/>
      <c r="T728" s="435"/>
      <c r="U728" s="435"/>
      <c r="V728" s="435"/>
      <c r="W728" s="740"/>
      <c r="X728" s="744"/>
      <c r="Y728" s="435"/>
      <c r="Z728" s="749"/>
      <c r="AA728" s="753"/>
      <c r="AB728" s="324"/>
      <c r="AC728" s="180"/>
      <c r="AD728" s="155"/>
      <c r="AE728" s="322"/>
      <c r="AF728" s="132"/>
      <c r="AG728" s="132"/>
    </row>
    <row r="729">
      <c r="A729" s="477"/>
      <c r="B729" s="695"/>
      <c r="C729" s="745"/>
      <c r="D729" s="751"/>
      <c r="E729" s="435"/>
      <c r="F729" s="736"/>
      <c r="G729" s="314"/>
      <c r="H729" s="435"/>
      <c r="I729" s="740"/>
      <c r="J729" s="435"/>
      <c r="K729" s="435"/>
      <c r="L729" s="744"/>
      <c r="M729" s="744"/>
      <c r="N729" s="744"/>
      <c r="O729" s="318"/>
      <c r="P729" s="740"/>
      <c r="Q729" s="744"/>
      <c r="R729" s="435"/>
      <c r="S729" s="435"/>
      <c r="T729" s="435"/>
      <c r="U729" s="435"/>
      <c r="V729" s="435"/>
      <c r="W729" s="740"/>
      <c r="X729" s="744"/>
      <c r="Y729" s="435"/>
      <c r="Z729" s="749"/>
      <c r="AA729" s="753"/>
      <c r="AB729" s="324"/>
      <c r="AC729" s="180"/>
      <c r="AD729" s="155"/>
      <c r="AE729" s="322"/>
      <c r="AF729" s="132"/>
      <c r="AG729" s="132"/>
    </row>
    <row r="730">
      <c r="A730" s="477"/>
      <c r="B730" s="695"/>
      <c r="C730" s="312"/>
      <c r="D730" s="717"/>
      <c r="E730" s="314"/>
      <c r="F730" s="736"/>
      <c r="G730" s="314"/>
      <c r="H730" s="435"/>
      <c r="I730" s="318"/>
      <c r="J730" s="314"/>
      <c r="K730" s="314"/>
      <c r="L730" s="315"/>
      <c r="M730" s="315"/>
      <c r="N730" s="744"/>
      <c r="O730" s="318"/>
      <c r="P730" s="318"/>
      <c r="Q730" s="744"/>
      <c r="R730" s="314"/>
      <c r="S730" s="314"/>
      <c r="T730" s="314"/>
      <c r="U730" s="314"/>
      <c r="V730" s="314"/>
      <c r="W730" s="318"/>
      <c r="X730" s="315"/>
      <c r="Y730" s="314"/>
      <c r="Z730" s="721"/>
      <c r="AA730" s="737"/>
      <c r="AB730" s="324"/>
      <c r="AC730" s="180"/>
      <c r="AD730" s="155"/>
      <c r="AE730" s="322"/>
      <c r="AF730" s="132"/>
      <c r="AG730" s="132"/>
    </row>
    <row r="731">
      <c r="A731" s="477"/>
      <c r="B731" s="695"/>
      <c r="C731" s="312"/>
      <c r="D731" s="717"/>
      <c r="E731" s="314"/>
      <c r="F731" s="736"/>
      <c r="G731" s="314"/>
      <c r="H731" s="314"/>
      <c r="I731" s="318"/>
      <c r="J731" s="314"/>
      <c r="K731" s="314"/>
      <c r="L731" s="315"/>
      <c r="M731" s="315"/>
      <c r="N731" s="315"/>
      <c r="O731" s="318"/>
      <c r="P731" s="318"/>
      <c r="Q731" s="315"/>
      <c r="R731" s="314"/>
      <c r="S731" s="314"/>
      <c r="T731" s="314"/>
      <c r="U731" s="314"/>
      <c r="V731" s="314"/>
      <c r="W731" s="318"/>
      <c r="X731" s="315"/>
      <c r="Y731" s="314"/>
      <c r="Z731" s="721"/>
      <c r="AA731" s="737"/>
      <c r="AB731" s="324"/>
      <c r="AC731" s="180"/>
      <c r="AD731" s="155"/>
      <c r="AE731" s="322"/>
      <c r="AF731" s="132"/>
      <c r="AG731" s="132"/>
    </row>
    <row r="732">
      <c r="A732" s="476"/>
      <c r="AD732" s="176"/>
      <c r="AE732" s="322"/>
      <c r="AF732" s="132"/>
      <c r="AG732" s="132"/>
    </row>
    <row r="733">
      <c r="A733" s="178"/>
      <c r="AE733" s="322"/>
      <c r="AF733" s="132"/>
      <c r="AG733" s="132"/>
    </row>
    <row r="734">
      <c r="A734" s="477"/>
      <c r="B734" s="746"/>
      <c r="C734" s="745"/>
      <c r="D734" s="751"/>
      <c r="E734" s="314"/>
      <c r="F734" s="736"/>
      <c r="G734" s="314"/>
      <c r="H734" s="314"/>
      <c r="I734" s="318"/>
      <c r="J734" s="314"/>
      <c r="K734" s="435"/>
      <c r="L734" s="744"/>
      <c r="M734" s="315"/>
      <c r="N734" s="315"/>
      <c r="O734" s="318"/>
      <c r="P734" s="318"/>
      <c r="Q734" s="744"/>
      <c r="R734" s="435"/>
      <c r="S734" s="435"/>
      <c r="T734" s="435"/>
      <c r="U734" s="435"/>
      <c r="V734" s="435"/>
      <c r="W734" s="740"/>
      <c r="X734" s="744"/>
      <c r="Y734" s="435"/>
      <c r="Z734" s="749"/>
      <c r="AA734" s="753"/>
      <c r="AB734" s="324"/>
      <c r="AC734" s="180"/>
      <c r="AD734" s="155"/>
      <c r="AE734" s="322"/>
      <c r="AF734" s="132"/>
      <c r="AG734" s="132"/>
    </row>
    <row r="735">
      <c r="A735" s="477"/>
      <c r="B735" s="695"/>
      <c r="C735" s="745"/>
      <c r="D735" s="751"/>
      <c r="E735" s="314"/>
      <c r="F735" s="736"/>
      <c r="G735" s="314"/>
      <c r="H735" s="314"/>
      <c r="I735" s="740"/>
      <c r="J735" s="435"/>
      <c r="K735" s="435"/>
      <c r="L735" s="315"/>
      <c r="M735" s="744"/>
      <c r="N735" s="315"/>
      <c r="O735" s="318"/>
      <c r="P735" s="318"/>
      <c r="Q735" s="744"/>
      <c r="R735" s="435"/>
      <c r="S735" s="435"/>
      <c r="T735" s="435"/>
      <c r="U735" s="435"/>
      <c r="V735" s="435"/>
      <c r="W735" s="740"/>
      <c r="X735" s="744"/>
      <c r="Y735" s="435"/>
      <c r="Z735" s="749"/>
      <c r="AA735" s="753"/>
      <c r="AB735" s="324"/>
      <c r="AC735" s="180"/>
      <c r="AD735" s="155"/>
      <c r="AE735" s="322"/>
      <c r="AF735" s="132"/>
      <c r="AG735" s="132"/>
    </row>
    <row r="736">
      <c r="A736" s="477"/>
      <c r="B736" s="695"/>
      <c r="C736" s="745"/>
      <c r="D736" s="751"/>
      <c r="E736" s="435"/>
      <c r="F736" s="736"/>
      <c r="G736" s="314"/>
      <c r="H736" s="435"/>
      <c r="I736" s="318"/>
      <c r="J736" s="314"/>
      <c r="K736" s="435"/>
      <c r="L736" s="315"/>
      <c r="M736" s="744"/>
      <c r="N736" s="744"/>
      <c r="O736" s="318"/>
      <c r="P736" s="740"/>
      <c r="Q736" s="744"/>
      <c r="R736" s="435"/>
      <c r="S736" s="435"/>
      <c r="T736" s="435"/>
      <c r="U736" s="435"/>
      <c r="V736" s="435"/>
      <c r="W736" s="740"/>
      <c r="X736" s="744"/>
      <c r="Y736" s="435"/>
      <c r="Z736" s="749"/>
      <c r="AA736" s="753"/>
      <c r="AB736" s="324"/>
      <c r="AC736" s="180"/>
      <c r="AD736" s="155"/>
      <c r="AE736" s="322"/>
      <c r="AF736" s="132"/>
      <c r="AG736" s="132"/>
    </row>
    <row r="737">
      <c r="A737" s="479"/>
      <c r="B737" s="695"/>
      <c r="C737" s="312"/>
      <c r="D737" s="717"/>
      <c r="E737" s="314"/>
      <c r="F737" s="736"/>
      <c r="G737" s="314"/>
      <c r="H737" s="314"/>
      <c r="I737" s="318"/>
      <c r="J737" s="314"/>
      <c r="K737" s="314"/>
      <c r="L737" s="315"/>
      <c r="M737" s="315"/>
      <c r="N737" s="315"/>
      <c r="O737" s="318"/>
      <c r="P737" s="318"/>
      <c r="Q737" s="744"/>
      <c r="R737" s="314"/>
      <c r="S737" s="314"/>
      <c r="T737" s="314"/>
      <c r="U737" s="314"/>
      <c r="V737" s="314"/>
      <c r="W737" s="318"/>
      <c r="X737" s="315"/>
      <c r="Y737" s="314"/>
      <c r="Z737" s="721"/>
      <c r="AA737" s="737"/>
      <c r="AB737" s="324"/>
      <c r="AC737" s="180"/>
      <c r="AD737" s="155"/>
      <c r="AE737" s="322"/>
      <c r="AF737" s="132"/>
      <c r="AG737" s="132"/>
    </row>
    <row r="738">
      <c r="A738" s="476"/>
      <c r="AD738" s="176"/>
      <c r="AE738" s="322"/>
      <c r="AF738" s="132"/>
      <c r="AG738" s="132"/>
    </row>
    <row r="739">
      <c r="A739" s="178"/>
      <c r="AE739" s="322"/>
      <c r="AF739" s="132"/>
      <c r="AG739" s="132"/>
    </row>
    <row r="740">
      <c r="A740" s="480"/>
      <c r="B740" s="695"/>
      <c r="C740" s="745"/>
      <c r="D740" s="717"/>
      <c r="E740" s="314"/>
      <c r="F740" s="736"/>
      <c r="G740" s="314"/>
      <c r="H740" s="314"/>
      <c r="I740" s="318"/>
      <c r="J740" s="435"/>
      <c r="K740" s="435"/>
      <c r="L740" s="315"/>
      <c r="M740" s="315"/>
      <c r="N740" s="315"/>
      <c r="O740" s="318"/>
      <c r="P740" s="318"/>
      <c r="Q740" s="744"/>
      <c r="R740" s="314"/>
      <c r="S740" s="314"/>
      <c r="T740" s="314"/>
      <c r="U740" s="314"/>
      <c r="V740" s="314"/>
      <c r="W740" s="318"/>
      <c r="X740" s="315"/>
      <c r="Y740" s="314"/>
      <c r="Z740" s="721"/>
      <c r="AA740" s="737"/>
      <c r="AB740" s="324"/>
      <c r="AC740" s="180"/>
      <c r="AD740" s="180"/>
      <c r="AE740" s="322"/>
      <c r="AF740" s="132"/>
      <c r="AG740" s="132"/>
    </row>
    <row r="741">
      <c r="A741" s="480"/>
      <c r="B741" s="695"/>
      <c r="C741" s="745"/>
      <c r="D741" s="717"/>
      <c r="E741" s="314"/>
      <c r="F741" s="736"/>
      <c r="G741" s="314"/>
      <c r="H741" s="435"/>
      <c r="I741" s="318"/>
      <c r="J741" s="435"/>
      <c r="K741" s="435"/>
      <c r="L741" s="315"/>
      <c r="M741" s="744"/>
      <c r="N741" s="744"/>
      <c r="O741" s="318"/>
      <c r="P741" s="740"/>
      <c r="Q741" s="744"/>
      <c r="R741" s="314"/>
      <c r="S741" s="435"/>
      <c r="T741" s="435"/>
      <c r="U741" s="435"/>
      <c r="V741" s="435"/>
      <c r="W741" s="740"/>
      <c r="X741" s="744"/>
      <c r="Y741" s="435"/>
      <c r="Z741" s="749"/>
      <c r="AA741" s="753"/>
      <c r="AB741" s="324"/>
      <c r="AC741" s="180"/>
      <c r="AD741" s="180"/>
      <c r="AE741" s="322"/>
      <c r="AF741" s="132"/>
      <c r="AG741" s="132"/>
    </row>
    <row r="742">
      <c r="A742" s="476"/>
      <c r="AD742" s="176"/>
      <c r="AE742" s="322"/>
      <c r="AF742" s="132"/>
      <c r="AG742" s="132"/>
    </row>
    <row r="743">
      <c r="A743" s="178"/>
      <c r="AE743" s="322"/>
      <c r="AF743" s="132"/>
      <c r="AG743" s="132"/>
    </row>
    <row r="744">
      <c r="A744" s="481"/>
      <c r="B744" s="695"/>
      <c r="C744" s="745"/>
      <c r="D744" s="751"/>
      <c r="E744" s="435"/>
      <c r="F744" s="736"/>
      <c r="G744" s="435"/>
      <c r="H744" s="435"/>
      <c r="I744" s="740"/>
      <c r="J744" s="314"/>
      <c r="K744" s="435"/>
      <c r="L744" s="744"/>
      <c r="M744" s="744"/>
      <c r="N744" s="315"/>
      <c r="O744" s="318"/>
      <c r="P744" s="740"/>
      <c r="Q744" s="744"/>
      <c r="R744" s="435"/>
      <c r="S744" s="435"/>
      <c r="T744" s="435"/>
      <c r="U744" s="435"/>
      <c r="V744" s="435"/>
      <c r="W744" s="740"/>
      <c r="X744" s="744"/>
      <c r="Y744" s="435"/>
      <c r="Z744" s="749"/>
      <c r="AA744" s="753"/>
      <c r="AB744" s="324"/>
      <c r="AC744" s="180"/>
      <c r="AD744" s="155"/>
      <c r="AE744" s="322"/>
      <c r="AF744" s="132"/>
      <c r="AG744" s="132"/>
    </row>
    <row r="745">
      <c r="A745" s="435"/>
      <c r="B745" s="695"/>
      <c r="C745" s="745"/>
      <c r="D745" s="751"/>
      <c r="E745" s="314"/>
      <c r="F745" s="736"/>
      <c r="G745" s="314"/>
      <c r="H745" s="435"/>
      <c r="I745" s="318"/>
      <c r="J745" s="435"/>
      <c r="K745" s="435"/>
      <c r="L745" s="315"/>
      <c r="M745" s="315"/>
      <c r="N745" s="315"/>
      <c r="O745" s="318"/>
      <c r="P745" s="740"/>
      <c r="Q745" s="744"/>
      <c r="R745" s="435"/>
      <c r="S745" s="435"/>
      <c r="T745" s="435"/>
      <c r="U745" s="435"/>
      <c r="V745" s="435"/>
      <c r="W745" s="740"/>
      <c r="X745" s="744"/>
      <c r="Y745" s="435"/>
      <c r="Z745" s="749"/>
      <c r="AA745" s="753"/>
      <c r="AB745" s="324"/>
      <c r="AC745" s="180"/>
      <c r="AD745" s="155"/>
      <c r="AE745" s="322"/>
      <c r="AF745" s="132"/>
      <c r="AG745" s="132"/>
    </row>
    <row r="746">
      <c r="A746" s="482"/>
      <c r="B746" s="695"/>
      <c r="C746" s="312"/>
      <c r="D746" s="751"/>
      <c r="E746" s="314"/>
      <c r="F746" s="736"/>
      <c r="G746" s="314"/>
      <c r="H746" s="314"/>
      <c r="I746" s="318"/>
      <c r="J746" s="314"/>
      <c r="K746" s="435"/>
      <c r="L746" s="315"/>
      <c r="M746" s="315"/>
      <c r="N746" s="315"/>
      <c r="O746" s="318"/>
      <c r="P746" s="318"/>
      <c r="Q746" s="315"/>
      <c r="R746" s="435"/>
      <c r="S746" s="314"/>
      <c r="T746" s="314"/>
      <c r="U746" s="314"/>
      <c r="V746" s="314"/>
      <c r="W746" s="318"/>
      <c r="X746" s="315"/>
      <c r="Y746" s="314"/>
      <c r="Z746" s="721"/>
      <c r="AA746" s="737"/>
      <c r="AB746" s="324"/>
      <c r="AC746" s="180"/>
      <c r="AD746" s="155"/>
      <c r="AE746" s="322"/>
      <c r="AF746" s="132"/>
      <c r="AG746" s="132"/>
    </row>
    <row r="747">
      <c r="A747" s="482"/>
      <c r="B747" s="695"/>
      <c r="C747" s="745"/>
      <c r="D747" s="751"/>
      <c r="E747" s="435"/>
      <c r="F747" s="736"/>
      <c r="G747" s="314"/>
      <c r="H747" s="435"/>
      <c r="I747" s="740"/>
      <c r="J747" s="435"/>
      <c r="K747" s="435"/>
      <c r="L747" s="744"/>
      <c r="M747" s="744"/>
      <c r="N747" s="744"/>
      <c r="O747" s="318"/>
      <c r="P747" s="740"/>
      <c r="Q747" s="744"/>
      <c r="R747" s="435"/>
      <c r="S747" s="435"/>
      <c r="T747" s="435"/>
      <c r="U747" s="435"/>
      <c r="V747" s="435"/>
      <c r="W747" s="740"/>
      <c r="X747" s="744"/>
      <c r="Y747" s="435"/>
      <c r="Z747" s="749"/>
      <c r="AA747" s="753"/>
      <c r="AB747" s="324"/>
      <c r="AC747" s="180"/>
      <c r="AD747" s="155"/>
      <c r="AE747" s="322"/>
      <c r="AF747" s="132"/>
      <c r="AG747" s="132"/>
    </row>
    <row r="748">
      <c r="A748" s="314"/>
      <c r="B748" s="695"/>
      <c r="C748" s="312"/>
      <c r="D748" s="717"/>
      <c r="E748" s="314"/>
      <c r="F748" s="736"/>
      <c r="G748" s="314"/>
      <c r="H748" s="314"/>
      <c r="I748" s="318"/>
      <c r="J748" s="314"/>
      <c r="K748" s="314"/>
      <c r="L748" s="315"/>
      <c r="M748" s="315"/>
      <c r="N748" s="315"/>
      <c r="O748" s="318"/>
      <c r="P748" s="318"/>
      <c r="Q748" s="315"/>
      <c r="R748" s="314"/>
      <c r="S748" s="314"/>
      <c r="T748" s="314"/>
      <c r="U748" s="314"/>
      <c r="V748" s="314"/>
      <c r="W748" s="318"/>
      <c r="X748" s="315"/>
      <c r="Y748" s="314"/>
      <c r="Z748" s="721"/>
      <c r="AA748" s="737"/>
      <c r="AB748" s="483"/>
      <c r="AD748" s="484"/>
      <c r="AE748" s="322"/>
      <c r="AF748" s="132"/>
      <c r="AG748" s="132"/>
    </row>
    <row r="749">
      <c r="A749" s="314"/>
      <c r="B749" s="695"/>
      <c r="C749" s="312"/>
      <c r="D749" s="717"/>
      <c r="E749" s="314"/>
      <c r="F749" s="736"/>
      <c r="G749" s="314"/>
      <c r="H749" s="314"/>
      <c r="I749" s="318"/>
      <c r="J749" s="314"/>
      <c r="K749" s="314"/>
      <c r="L749" s="315"/>
      <c r="M749" s="315"/>
      <c r="N749" s="315"/>
      <c r="O749" s="318"/>
      <c r="P749" s="318"/>
      <c r="Q749" s="315"/>
      <c r="R749" s="314"/>
      <c r="S749" s="314"/>
      <c r="T749" s="314"/>
      <c r="U749" s="314"/>
      <c r="V749" s="314"/>
      <c r="W749" s="318"/>
      <c r="X749" s="315"/>
      <c r="Y749" s="314"/>
      <c r="Z749" s="721"/>
      <c r="AA749" s="737"/>
      <c r="AB749" s="324"/>
      <c r="AC749" s="155"/>
      <c r="AD749" s="155"/>
      <c r="AE749" s="322"/>
      <c r="AF749" s="132"/>
      <c r="AG749" s="132"/>
    </row>
    <row r="750">
      <c r="A750" s="314"/>
      <c r="B750" s="695"/>
      <c r="C750" s="312"/>
      <c r="D750" s="717"/>
      <c r="E750" s="314"/>
      <c r="F750" s="736"/>
      <c r="G750" s="314"/>
      <c r="H750" s="314"/>
      <c r="I750" s="318"/>
      <c r="J750" s="314"/>
      <c r="K750" s="314"/>
      <c r="L750" s="315"/>
      <c r="M750" s="315"/>
      <c r="N750" s="315"/>
      <c r="O750" s="318"/>
      <c r="P750" s="318"/>
      <c r="Q750" s="315"/>
      <c r="R750" s="314"/>
      <c r="S750" s="314"/>
      <c r="T750" s="314"/>
      <c r="U750" s="314"/>
      <c r="V750" s="314"/>
      <c r="W750" s="318"/>
      <c r="X750" s="315"/>
      <c r="Y750" s="314"/>
      <c r="Z750" s="721"/>
      <c r="AA750" s="737"/>
      <c r="AB750" s="324"/>
      <c r="AC750" s="155"/>
      <c r="AD750" s="155"/>
      <c r="AE750" s="322"/>
      <c r="AF750" s="132"/>
      <c r="AG750" s="132"/>
    </row>
    <row r="751">
      <c r="A751" s="314"/>
      <c r="B751" s="695"/>
      <c r="C751" s="312"/>
      <c r="D751" s="717"/>
      <c r="E751" s="314"/>
      <c r="F751" s="736"/>
      <c r="G751" s="314"/>
      <c r="H751" s="314"/>
      <c r="I751" s="318"/>
      <c r="J751" s="314"/>
      <c r="K751" s="314"/>
      <c r="L751" s="315"/>
      <c r="M751" s="315"/>
      <c r="N751" s="315"/>
      <c r="O751" s="318"/>
      <c r="P751" s="318"/>
      <c r="Q751" s="315"/>
      <c r="R751" s="314"/>
      <c r="S751" s="314"/>
      <c r="T751" s="314"/>
      <c r="U751" s="314"/>
      <c r="V751" s="314"/>
      <c r="W751" s="318"/>
      <c r="X751" s="315"/>
      <c r="Y751" s="314"/>
      <c r="Z751" s="721"/>
      <c r="AA751" s="737"/>
      <c r="AB751" s="324"/>
      <c r="AC751" s="155"/>
      <c r="AD751" s="155"/>
      <c r="AE751" s="322"/>
      <c r="AF751" s="132"/>
      <c r="AG751" s="132"/>
    </row>
    <row r="752">
      <c r="A752" s="314"/>
      <c r="B752" s="695"/>
      <c r="C752" s="312"/>
      <c r="D752" s="717"/>
      <c r="E752" s="314"/>
      <c r="F752" s="736"/>
      <c r="G752" s="314"/>
      <c r="H752" s="314"/>
      <c r="I752" s="318"/>
      <c r="J752" s="314"/>
      <c r="K752" s="314"/>
      <c r="L752" s="315"/>
      <c r="M752" s="315"/>
      <c r="N752" s="315"/>
      <c r="O752" s="318"/>
      <c r="P752" s="318"/>
      <c r="Q752" s="315"/>
      <c r="R752" s="314"/>
      <c r="S752" s="314"/>
      <c r="T752" s="314"/>
      <c r="U752" s="314"/>
      <c r="V752" s="314"/>
      <c r="W752" s="318"/>
      <c r="X752" s="315"/>
      <c r="Y752" s="314"/>
      <c r="Z752" s="721"/>
      <c r="AA752" s="737"/>
      <c r="AB752" s="324"/>
      <c r="AC752" s="155"/>
      <c r="AD752" s="155"/>
      <c r="AE752" s="322"/>
      <c r="AF752" s="132"/>
      <c r="AG752" s="132"/>
    </row>
    <row r="753">
      <c r="A753" s="314"/>
      <c r="B753" s="695"/>
      <c r="C753" s="312"/>
      <c r="D753" s="717"/>
      <c r="E753" s="314"/>
      <c r="F753" s="736"/>
      <c r="G753" s="314"/>
      <c r="H753" s="314"/>
      <c r="I753" s="318"/>
      <c r="J753" s="314"/>
      <c r="K753" s="314"/>
      <c r="L753" s="315"/>
      <c r="M753" s="315"/>
      <c r="N753" s="315"/>
      <c r="O753" s="318"/>
      <c r="P753" s="318"/>
      <c r="Q753" s="315"/>
      <c r="R753" s="314"/>
      <c r="S753" s="314"/>
      <c r="T753" s="314"/>
      <c r="U753" s="314"/>
      <c r="V753" s="314"/>
      <c r="W753" s="318"/>
      <c r="X753" s="315"/>
      <c r="Y753" s="314"/>
      <c r="Z753" s="721"/>
      <c r="AA753" s="737"/>
      <c r="AB753" s="324"/>
      <c r="AC753" s="155"/>
      <c r="AD753" s="155"/>
      <c r="AE753" s="322"/>
      <c r="AF753" s="132"/>
      <c r="AG753" s="132"/>
    </row>
    <row r="754">
      <c r="A754" s="314"/>
      <c r="B754" s="695"/>
      <c r="C754" s="312"/>
      <c r="D754" s="717"/>
      <c r="E754" s="314"/>
      <c r="F754" s="736"/>
      <c r="G754" s="314"/>
      <c r="H754" s="314"/>
      <c r="I754" s="318"/>
      <c r="J754" s="314"/>
      <c r="K754" s="314"/>
      <c r="L754" s="315"/>
      <c r="M754" s="315"/>
      <c r="N754" s="315"/>
      <c r="O754" s="318"/>
      <c r="P754" s="318"/>
      <c r="Q754" s="315"/>
      <c r="R754" s="314"/>
      <c r="S754" s="314"/>
      <c r="T754" s="314"/>
      <c r="U754" s="314"/>
      <c r="V754" s="314"/>
      <c r="W754" s="318"/>
      <c r="X754" s="315"/>
      <c r="Y754" s="314"/>
      <c r="Z754" s="721"/>
      <c r="AA754" s="737"/>
      <c r="AB754" s="324"/>
      <c r="AC754" s="155"/>
      <c r="AD754" s="155"/>
      <c r="AE754" s="322"/>
      <c r="AF754" s="132"/>
      <c r="AG754" s="132"/>
    </row>
    <row r="755">
      <c r="A755" s="314"/>
      <c r="B755" s="695"/>
      <c r="C755" s="312"/>
      <c r="D755" s="717"/>
      <c r="E755" s="314"/>
      <c r="F755" s="736"/>
      <c r="G755" s="314"/>
      <c r="H755" s="314"/>
      <c r="I755" s="318"/>
      <c r="J755" s="314"/>
      <c r="K755" s="314"/>
      <c r="L755" s="315"/>
      <c r="M755" s="315"/>
      <c r="N755" s="315"/>
      <c r="O755" s="318"/>
      <c r="P755" s="318"/>
      <c r="Q755" s="315"/>
      <c r="R755" s="314"/>
      <c r="S755" s="314"/>
      <c r="T755" s="314"/>
      <c r="U755" s="314"/>
      <c r="V755" s="314"/>
      <c r="W755" s="318"/>
      <c r="X755" s="315"/>
      <c r="Y755" s="314"/>
      <c r="Z755" s="721"/>
      <c r="AA755" s="737"/>
      <c r="AB755" s="324"/>
      <c r="AC755" s="155"/>
      <c r="AD755" s="155"/>
      <c r="AE755" s="322"/>
      <c r="AF755" s="132"/>
      <c r="AG755" s="132"/>
    </row>
    <row r="756">
      <c r="A756" s="314"/>
      <c r="B756" s="695"/>
      <c r="C756" s="312"/>
      <c r="D756" s="717"/>
      <c r="E756" s="314"/>
      <c r="F756" s="736"/>
      <c r="G756" s="314"/>
      <c r="H756" s="314"/>
      <c r="I756" s="318"/>
      <c r="J756" s="314"/>
      <c r="K756" s="314"/>
      <c r="L756" s="315"/>
      <c r="M756" s="315"/>
      <c r="N756" s="315"/>
      <c r="O756" s="318"/>
      <c r="P756" s="318"/>
      <c r="Q756" s="315"/>
      <c r="R756" s="314"/>
      <c r="S756" s="314"/>
      <c r="T756" s="314"/>
      <c r="U756" s="314"/>
      <c r="V756" s="314"/>
      <c r="W756" s="318"/>
      <c r="X756" s="315"/>
      <c r="Y756" s="314"/>
      <c r="Z756" s="721"/>
      <c r="AA756" s="737"/>
      <c r="AB756" s="324"/>
      <c r="AC756" s="155"/>
      <c r="AD756" s="155"/>
      <c r="AE756" s="322"/>
      <c r="AF756" s="132"/>
      <c r="AG756" s="132"/>
    </row>
    <row r="757">
      <c r="A757" s="314"/>
      <c r="B757" s="695"/>
      <c r="C757" s="312"/>
      <c r="D757" s="717"/>
      <c r="E757" s="314"/>
      <c r="F757" s="736"/>
      <c r="G757" s="314"/>
      <c r="H757" s="314"/>
      <c r="I757" s="318"/>
      <c r="J757" s="314"/>
      <c r="K757" s="314"/>
      <c r="L757" s="315"/>
      <c r="M757" s="315"/>
      <c r="N757" s="315"/>
      <c r="O757" s="318"/>
      <c r="P757" s="318"/>
      <c r="Q757" s="315"/>
      <c r="R757" s="314"/>
      <c r="S757" s="314"/>
      <c r="T757" s="314"/>
      <c r="U757" s="314"/>
      <c r="V757" s="314"/>
      <c r="W757" s="318"/>
      <c r="X757" s="315"/>
      <c r="Y757" s="314"/>
      <c r="Z757" s="721"/>
      <c r="AA757" s="737"/>
      <c r="AB757" s="324"/>
      <c r="AC757" s="155"/>
      <c r="AD757" s="155"/>
      <c r="AE757" s="322"/>
      <c r="AF757" s="132"/>
      <c r="AG757" s="132"/>
    </row>
    <row r="758">
      <c r="A758" s="314"/>
      <c r="B758" s="695"/>
      <c r="C758" s="312"/>
      <c r="D758" s="717"/>
      <c r="E758" s="314"/>
      <c r="F758" s="736"/>
      <c r="G758" s="314"/>
      <c r="H758" s="314"/>
      <c r="I758" s="318"/>
      <c r="J758" s="314"/>
      <c r="K758" s="314"/>
      <c r="L758" s="315"/>
      <c r="M758" s="315"/>
      <c r="N758" s="315"/>
      <c r="O758" s="318"/>
      <c r="P758" s="318"/>
      <c r="Q758" s="315"/>
      <c r="R758" s="314"/>
      <c r="S758" s="314"/>
      <c r="T758" s="314"/>
      <c r="U758" s="314"/>
      <c r="V758" s="314"/>
      <c r="W758" s="318"/>
      <c r="X758" s="315"/>
      <c r="Y758" s="314"/>
      <c r="Z758" s="721"/>
      <c r="AA758" s="737"/>
      <c r="AB758" s="324"/>
      <c r="AC758" s="155"/>
      <c r="AD758" s="155"/>
      <c r="AE758" s="322"/>
      <c r="AF758" s="132"/>
      <c r="AG758" s="132"/>
    </row>
    <row r="759">
      <c r="A759" s="314"/>
      <c r="B759" s="695"/>
      <c r="C759" s="312"/>
      <c r="D759" s="717"/>
      <c r="E759" s="314"/>
      <c r="F759" s="736"/>
      <c r="G759" s="314"/>
      <c r="H759" s="314"/>
      <c r="I759" s="318"/>
      <c r="J759" s="314"/>
      <c r="K759" s="314"/>
      <c r="L759" s="315"/>
      <c r="M759" s="315"/>
      <c r="N759" s="315"/>
      <c r="O759" s="318"/>
      <c r="P759" s="318"/>
      <c r="Q759" s="315"/>
      <c r="R759" s="314"/>
      <c r="S759" s="314"/>
      <c r="T759" s="314"/>
      <c r="U759" s="314"/>
      <c r="V759" s="314"/>
      <c r="W759" s="318"/>
      <c r="X759" s="315"/>
      <c r="Y759" s="314"/>
      <c r="Z759" s="721"/>
      <c r="AA759" s="737"/>
      <c r="AB759" s="324"/>
      <c r="AC759" s="155"/>
      <c r="AD759" s="155"/>
      <c r="AE759" s="322"/>
      <c r="AF759" s="132"/>
      <c r="AG759" s="132"/>
    </row>
    <row r="760">
      <c r="A760" s="314"/>
      <c r="B760" s="695"/>
      <c r="C760" s="312"/>
      <c r="D760" s="717"/>
      <c r="E760" s="314"/>
      <c r="F760" s="736"/>
      <c r="G760" s="314"/>
      <c r="H760" s="314"/>
      <c r="I760" s="318"/>
      <c r="J760" s="314"/>
      <c r="K760" s="314"/>
      <c r="L760" s="315"/>
      <c r="M760" s="315"/>
      <c r="N760" s="315"/>
      <c r="O760" s="318"/>
      <c r="P760" s="318"/>
      <c r="Q760" s="315"/>
      <c r="R760" s="314"/>
      <c r="S760" s="314"/>
      <c r="T760" s="314"/>
      <c r="U760" s="314"/>
      <c r="V760" s="314"/>
      <c r="W760" s="318"/>
      <c r="X760" s="315"/>
      <c r="Y760" s="314"/>
      <c r="Z760" s="721"/>
      <c r="AA760" s="737"/>
      <c r="AB760" s="324"/>
      <c r="AC760" s="155"/>
      <c r="AD760" s="155"/>
      <c r="AE760" s="322"/>
      <c r="AF760" s="132"/>
      <c r="AG760" s="132"/>
    </row>
    <row r="761">
      <c r="A761" s="314"/>
      <c r="B761" s="695"/>
      <c r="C761" s="312"/>
      <c r="D761" s="717"/>
      <c r="E761" s="314"/>
      <c r="F761" s="736"/>
      <c r="G761" s="314"/>
      <c r="H761" s="314"/>
      <c r="I761" s="318"/>
      <c r="J761" s="314"/>
      <c r="K761" s="314"/>
      <c r="L761" s="315"/>
      <c r="M761" s="315"/>
      <c r="N761" s="315"/>
      <c r="O761" s="318"/>
      <c r="P761" s="318"/>
      <c r="Q761" s="315"/>
      <c r="R761" s="314"/>
      <c r="S761" s="314"/>
      <c r="T761" s="314"/>
      <c r="U761" s="314"/>
      <c r="V761" s="314"/>
      <c r="W761" s="318"/>
      <c r="X761" s="315"/>
      <c r="Y761" s="314"/>
      <c r="Z761" s="721"/>
      <c r="AA761" s="737"/>
      <c r="AB761" s="324"/>
      <c r="AC761" s="155"/>
      <c r="AD761" s="155"/>
      <c r="AE761" s="322"/>
      <c r="AF761" s="132"/>
      <c r="AG761" s="132"/>
    </row>
    <row r="762">
      <c r="A762" s="314"/>
      <c r="B762" s="695"/>
      <c r="C762" s="312"/>
      <c r="D762" s="717"/>
      <c r="E762" s="314"/>
      <c r="F762" s="736"/>
      <c r="G762" s="314"/>
      <c r="H762" s="314"/>
      <c r="I762" s="318"/>
      <c r="J762" s="314"/>
      <c r="K762" s="314"/>
      <c r="L762" s="315"/>
      <c r="M762" s="315"/>
      <c r="N762" s="315"/>
      <c r="O762" s="318"/>
      <c r="P762" s="318"/>
      <c r="Q762" s="315"/>
      <c r="R762" s="314"/>
      <c r="S762" s="314"/>
      <c r="T762" s="314"/>
      <c r="U762" s="314"/>
      <c r="V762" s="314"/>
      <c r="W762" s="318"/>
      <c r="X762" s="315"/>
      <c r="Y762" s="314"/>
      <c r="Z762" s="721"/>
      <c r="AA762" s="737"/>
      <c r="AB762" s="324"/>
      <c r="AC762" s="155"/>
      <c r="AD762" s="155"/>
      <c r="AE762" s="322"/>
      <c r="AF762" s="132"/>
      <c r="AG762" s="132"/>
    </row>
    <row r="763">
      <c r="A763" s="314"/>
      <c r="B763" s="695"/>
      <c r="C763" s="312"/>
      <c r="D763" s="717"/>
      <c r="E763" s="314"/>
      <c r="F763" s="736"/>
      <c r="G763" s="314"/>
      <c r="H763" s="314"/>
      <c r="I763" s="318"/>
      <c r="J763" s="314"/>
      <c r="K763" s="314"/>
      <c r="L763" s="315"/>
      <c r="M763" s="315"/>
      <c r="N763" s="315"/>
      <c r="O763" s="318"/>
      <c r="P763" s="318"/>
      <c r="Q763" s="315"/>
      <c r="R763" s="314"/>
      <c r="S763" s="314"/>
      <c r="T763" s="314"/>
      <c r="U763" s="314"/>
      <c r="V763" s="314"/>
      <c r="W763" s="318"/>
      <c r="X763" s="315"/>
      <c r="Y763" s="314"/>
      <c r="Z763" s="721"/>
      <c r="AA763" s="737"/>
      <c r="AB763" s="324"/>
      <c r="AC763" s="155"/>
      <c r="AD763" s="155"/>
      <c r="AE763" s="322"/>
      <c r="AF763" s="132"/>
      <c r="AG763" s="132"/>
    </row>
    <row r="764">
      <c r="A764" s="314"/>
      <c r="B764" s="695"/>
      <c r="C764" s="312"/>
      <c r="D764" s="717"/>
      <c r="E764" s="314"/>
      <c r="F764" s="736"/>
      <c r="G764" s="314"/>
      <c r="H764" s="314"/>
      <c r="I764" s="318"/>
      <c r="J764" s="314"/>
      <c r="K764" s="314"/>
      <c r="L764" s="315"/>
      <c r="M764" s="315"/>
      <c r="N764" s="315"/>
      <c r="O764" s="318"/>
      <c r="P764" s="318"/>
      <c r="Q764" s="315"/>
      <c r="R764" s="314"/>
      <c r="S764" s="314"/>
      <c r="T764" s="314"/>
      <c r="U764" s="314"/>
      <c r="V764" s="314"/>
      <c r="W764" s="318"/>
      <c r="X764" s="315"/>
      <c r="Y764" s="314"/>
      <c r="Z764" s="721"/>
      <c r="AA764" s="737"/>
      <c r="AB764" s="324"/>
      <c r="AC764" s="155"/>
      <c r="AD764" s="155"/>
      <c r="AE764" s="322"/>
      <c r="AF764" s="132"/>
      <c r="AG764" s="132"/>
    </row>
    <row r="765">
      <c r="A765" s="314"/>
      <c r="B765" s="695"/>
      <c r="C765" s="312"/>
      <c r="D765" s="717"/>
      <c r="E765" s="314"/>
      <c r="F765" s="736"/>
      <c r="G765" s="314"/>
      <c r="H765" s="314"/>
      <c r="I765" s="318"/>
      <c r="J765" s="314"/>
      <c r="K765" s="314"/>
      <c r="L765" s="315"/>
      <c r="M765" s="315"/>
      <c r="N765" s="315"/>
      <c r="O765" s="318"/>
      <c r="P765" s="318"/>
      <c r="Q765" s="315"/>
      <c r="R765" s="314"/>
      <c r="S765" s="314"/>
      <c r="T765" s="314"/>
      <c r="U765" s="314"/>
      <c r="V765" s="314"/>
      <c r="W765" s="318"/>
      <c r="X765" s="315"/>
      <c r="Y765" s="314"/>
      <c r="Z765" s="721"/>
      <c r="AA765" s="737"/>
      <c r="AB765" s="324"/>
      <c r="AC765" s="155"/>
      <c r="AD765" s="155"/>
      <c r="AE765" s="322"/>
      <c r="AF765" s="132"/>
      <c r="AG765" s="132"/>
    </row>
    <row r="766">
      <c r="A766" s="314"/>
      <c r="B766" s="695"/>
      <c r="C766" s="312"/>
      <c r="D766" s="717"/>
      <c r="E766" s="314"/>
      <c r="F766" s="736"/>
      <c r="G766" s="314"/>
      <c r="H766" s="314"/>
      <c r="I766" s="318"/>
      <c r="J766" s="314"/>
      <c r="K766" s="314"/>
      <c r="L766" s="315"/>
      <c r="M766" s="315"/>
      <c r="N766" s="315"/>
      <c r="O766" s="318"/>
      <c r="P766" s="318"/>
      <c r="Q766" s="315"/>
      <c r="R766" s="314"/>
      <c r="S766" s="314"/>
      <c r="T766" s="314"/>
      <c r="U766" s="314"/>
      <c r="V766" s="314"/>
      <c r="W766" s="318"/>
      <c r="X766" s="315"/>
      <c r="Y766" s="314"/>
      <c r="Z766" s="721"/>
      <c r="AA766" s="737"/>
      <c r="AB766" s="324"/>
      <c r="AC766" s="155"/>
      <c r="AD766" s="155"/>
      <c r="AE766" s="322"/>
      <c r="AF766" s="132"/>
      <c r="AG766" s="132"/>
    </row>
    <row r="767">
      <c r="A767" s="314"/>
      <c r="B767" s="695"/>
      <c r="C767" s="312"/>
      <c r="D767" s="717"/>
      <c r="E767" s="314"/>
      <c r="F767" s="736"/>
      <c r="G767" s="314"/>
      <c r="H767" s="314"/>
      <c r="I767" s="318"/>
      <c r="J767" s="314"/>
      <c r="K767" s="314"/>
      <c r="L767" s="315"/>
      <c r="M767" s="315"/>
      <c r="N767" s="315"/>
      <c r="O767" s="318"/>
      <c r="P767" s="318"/>
      <c r="Q767" s="315"/>
      <c r="R767" s="314"/>
      <c r="S767" s="314"/>
      <c r="T767" s="314"/>
      <c r="U767" s="314"/>
      <c r="V767" s="314"/>
      <c r="W767" s="318"/>
      <c r="X767" s="315"/>
      <c r="Y767" s="314"/>
      <c r="Z767" s="721"/>
      <c r="AA767" s="737"/>
      <c r="AB767" s="324"/>
      <c r="AC767" s="155"/>
      <c r="AD767" s="155"/>
      <c r="AE767" s="322"/>
      <c r="AF767" s="132"/>
      <c r="AG767" s="132"/>
    </row>
    <row r="768">
      <c r="A768" s="314"/>
      <c r="B768" s="695"/>
      <c r="C768" s="312"/>
      <c r="D768" s="717"/>
      <c r="E768" s="314"/>
      <c r="F768" s="736"/>
      <c r="G768" s="314"/>
      <c r="H768" s="314"/>
      <c r="I768" s="318"/>
      <c r="J768" s="314"/>
      <c r="K768" s="314"/>
      <c r="L768" s="315"/>
      <c r="M768" s="315"/>
      <c r="N768" s="315"/>
      <c r="O768" s="318"/>
      <c r="P768" s="318"/>
      <c r="Q768" s="315"/>
      <c r="R768" s="314"/>
      <c r="S768" s="314"/>
      <c r="T768" s="314"/>
      <c r="U768" s="314"/>
      <c r="V768" s="314"/>
      <c r="W768" s="318"/>
      <c r="X768" s="315"/>
      <c r="Y768" s="314"/>
      <c r="Z768" s="721"/>
      <c r="AA768" s="737"/>
      <c r="AB768" s="324"/>
      <c r="AC768" s="155"/>
      <c r="AD768" s="155"/>
      <c r="AE768" s="322"/>
      <c r="AF768" s="132"/>
      <c r="AG768" s="132"/>
    </row>
    <row r="769">
      <c r="A769" s="314"/>
      <c r="B769" s="695"/>
      <c r="C769" s="312"/>
      <c r="D769" s="717"/>
      <c r="E769" s="314"/>
      <c r="F769" s="736"/>
      <c r="G769" s="314"/>
      <c r="H769" s="314"/>
      <c r="I769" s="318"/>
      <c r="J769" s="314"/>
      <c r="K769" s="314"/>
      <c r="L769" s="315"/>
      <c r="M769" s="315"/>
      <c r="N769" s="315"/>
      <c r="O769" s="318"/>
      <c r="P769" s="318"/>
      <c r="Q769" s="315"/>
      <c r="R769" s="314"/>
      <c r="S769" s="314"/>
      <c r="T769" s="314"/>
      <c r="U769" s="314"/>
      <c r="V769" s="314"/>
      <c r="W769" s="318"/>
      <c r="X769" s="315"/>
      <c r="Y769" s="314"/>
      <c r="Z769" s="721"/>
      <c r="AA769" s="737"/>
      <c r="AB769" s="324"/>
      <c r="AC769" s="155"/>
      <c r="AD769" s="155"/>
      <c r="AE769" s="322"/>
      <c r="AF769" s="132"/>
      <c r="AG769" s="132"/>
    </row>
    <row r="770">
      <c r="A770" s="314"/>
      <c r="B770" s="695"/>
      <c r="C770" s="312"/>
      <c r="D770" s="717"/>
      <c r="E770" s="314"/>
      <c r="F770" s="736"/>
      <c r="G770" s="314"/>
      <c r="H770" s="314"/>
      <c r="I770" s="318"/>
      <c r="J770" s="314"/>
      <c r="K770" s="314"/>
      <c r="L770" s="315"/>
      <c r="M770" s="315"/>
      <c r="N770" s="315"/>
      <c r="O770" s="318"/>
      <c r="P770" s="318"/>
      <c r="Q770" s="315"/>
      <c r="R770" s="314"/>
      <c r="S770" s="314"/>
      <c r="T770" s="314"/>
      <c r="U770" s="314"/>
      <c r="V770" s="314"/>
      <c r="W770" s="318"/>
      <c r="X770" s="315"/>
      <c r="Y770" s="314"/>
      <c r="Z770" s="721"/>
      <c r="AA770" s="737"/>
      <c r="AB770" s="324"/>
      <c r="AC770" s="155"/>
      <c r="AD770" s="155"/>
      <c r="AE770" s="322"/>
      <c r="AF770" s="132"/>
      <c r="AG770" s="132"/>
    </row>
    <row r="771">
      <c r="A771" s="314"/>
      <c r="B771" s="695"/>
      <c r="C771" s="312"/>
      <c r="D771" s="717"/>
      <c r="E771" s="314"/>
      <c r="F771" s="736"/>
      <c r="G771" s="314"/>
      <c r="H771" s="314"/>
      <c r="I771" s="318"/>
      <c r="J771" s="314"/>
      <c r="K771" s="314"/>
      <c r="L771" s="315"/>
      <c r="M771" s="315"/>
      <c r="N771" s="315"/>
      <c r="O771" s="318"/>
      <c r="P771" s="318"/>
      <c r="Q771" s="315"/>
      <c r="R771" s="314"/>
      <c r="S771" s="314"/>
      <c r="T771" s="314"/>
      <c r="U771" s="314"/>
      <c r="V771" s="314"/>
      <c r="W771" s="318"/>
      <c r="X771" s="315"/>
      <c r="Y771" s="314"/>
      <c r="Z771" s="721"/>
      <c r="AA771" s="737"/>
      <c r="AB771" s="324"/>
      <c r="AC771" s="155"/>
      <c r="AD771" s="155"/>
      <c r="AE771" s="322"/>
      <c r="AF771" s="132"/>
      <c r="AG771" s="132"/>
    </row>
    <row r="772">
      <c r="A772" s="314"/>
      <c r="B772" s="695"/>
      <c r="C772" s="312"/>
      <c r="D772" s="717"/>
      <c r="E772" s="314"/>
      <c r="F772" s="736"/>
      <c r="G772" s="314"/>
      <c r="H772" s="314"/>
      <c r="I772" s="318"/>
      <c r="J772" s="314"/>
      <c r="K772" s="314"/>
      <c r="L772" s="315"/>
      <c r="M772" s="315"/>
      <c r="N772" s="315"/>
      <c r="O772" s="318"/>
      <c r="P772" s="318"/>
      <c r="Q772" s="315"/>
      <c r="R772" s="314"/>
      <c r="S772" s="314"/>
      <c r="T772" s="314"/>
      <c r="U772" s="314"/>
      <c r="V772" s="314"/>
      <c r="W772" s="318"/>
      <c r="X772" s="315"/>
      <c r="Y772" s="314"/>
      <c r="Z772" s="721"/>
      <c r="AA772" s="737"/>
      <c r="AB772" s="324"/>
      <c r="AC772" s="155"/>
      <c r="AD772" s="155"/>
      <c r="AE772" s="322"/>
      <c r="AF772" s="132"/>
      <c r="AG772" s="132"/>
    </row>
    <row r="773">
      <c r="A773" s="314"/>
      <c r="B773" s="695"/>
      <c r="C773" s="312"/>
      <c r="D773" s="717"/>
      <c r="E773" s="314"/>
      <c r="F773" s="736"/>
      <c r="G773" s="314"/>
      <c r="H773" s="314"/>
      <c r="I773" s="318"/>
      <c r="J773" s="314"/>
      <c r="K773" s="314"/>
      <c r="L773" s="315"/>
      <c r="M773" s="315"/>
      <c r="N773" s="315"/>
      <c r="O773" s="318"/>
      <c r="P773" s="318"/>
      <c r="Q773" s="315"/>
      <c r="R773" s="314"/>
      <c r="S773" s="314"/>
      <c r="T773" s="314"/>
      <c r="U773" s="314"/>
      <c r="V773" s="314"/>
      <c r="W773" s="318"/>
      <c r="X773" s="315"/>
      <c r="Y773" s="314"/>
      <c r="Z773" s="721"/>
      <c r="AA773" s="737"/>
      <c r="AB773" s="324"/>
      <c r="AC773" s="155"/>
      <c r="AD773" s="155"/>
      <c r="AE773" s="322"/>
      <c r="AF773" s="132"/>
      <c r="AG773" s="132"/>
    </row>
    <row r="774">
      <c r="A774" s="314"/>
      <c r="B774" s="695"/>
      <c r="C774" s="312"/>
      <c r="D774" s="717"/>
      <c r="E774" s="314"/>
      <c r="F774" s="736"/>
      <c r="G774" s="314"/>
      <c r="H774" s="314"/>
      <c r="I774" s="318"/>
      <c r="J774" s="314"/>
      <c r="K774" s="314"/>
      <c r="L774" s="315"/>
      <c r="M774" s="315"/>
      <c r="N774" s="315"/>
      <c r="O774" s="318"/>
      <c r="P774" s="318"/>
      <c r="Q774" s="315"/>
      <c r="R774" s="314"/>
      <c r="S774" s="314"/>
      <c r="T774" s="314"/>
      <c r="U774" s="314"/>
      <c r="V774" s="314"/>
      <c r="W774" s="318"/>
      <c r="X774" s="315"/>
      <c r="Y774" s="314"/>
      <c r="Z774" s="721"/>
      <c r="AA774" s="737"/>
      <c r="AB774" s="324"/>
      <c r="AC774" s="155"/>
      <c r="AD774" s="155"/>
      <c r="AE774" s="322"/>
      <c r="AF774" s="132"/>
      <c r="AG774" s="132"/>
    </row>
    <row r="775">
      <c r="A775" s="314"/>
      <c r="B775" s="695"/>
      <c r="C775" s="312"/>
      <c r="D775" s="717"/>
      <c r="E775" s="314"/>
      <c r="F775" s="736"/>
      <c r="G775" s="314"/>
      <c r="H775" s="314"/>
      <c r="I775" s="318"/>
      <c r="J775" s="314"/>
      <c r="K775" s="314"/>
      <c r="L775" s="315"/>
      <c r="M775" s="315"/>
      <c r="N775" s="315"/>
      <c r="O775" s="318"/>
      <c r="P775" s="318"/>
      <c r="Q775" s="315"/>
      <c r="R775" s="314"/>
      <c r="S775" s="314"/>
      <c r="T775" s="314"/>
      <c r="U775" s="314"/>
      <c r="V775" s="314"/>
      <c r="W775" s="318"/>
      <c r="X775" s="315"/>
      <c r="Y775" s="314"/>
      <c r="Z775" s="721"/>
      <c r="AA775" s="737"/>
      <c r="AB775" s="324"/>
      <c r="AC775" s="155"/>
      <c r="AD775" s="155"/>
      <c r="AE775" s="322"/>
      <c r="AF775" s="132"/>
      <c r="AG775" s="132"/>
    </row>
    <row r="776">
      <c r="A776" s="314"/>
      <c r="B776" s="695"/>
      <c r="C776" s="312"/>
      <c r="D776" s="717"/>
      <c r="E776" s="314"/>
      <c r="F776" s="736"/>
      <c r="G776" s="314"/>
      <c r="H776" s="314"/>
      <c r="I776" s="318"/>
      <c r="J776" s="314"/>
      <c r="K776" s="314"/>
      <c r="L776" s="315"/>
      <c r="M776" s="315"/>
      <c r="N776" s="315"/>
      <c r="O776" s="318"/>
      <c r="P776" s="318"/>
      <c r="Q776" s="315"/>
      <c r="R776" s="314"/>
      <c r="S776" s="314"/>
      <c r="T776" s="314"/>
      <c r="U776" s="314"/>
      <c r="V776" s="314"/>
      <c r="W776" s="318"/>
      <c r="X776" s="315"/>
      <c r="Y776" s="314"/>
      <c r="Z776" s="721"/>
      <c r="AA776" s="737"/>
      <c r="AB776" s="324"/>
      <c r="AC776" s="155"/>
      <c r="AD776" s="155"/>
      <c r="AE776" s="322"/>
      <c r="AF776" s="132"/>
      <c r="AG776" s="132"/>
    </row>
    <row r="777">
      <c r="A777" s="314"/>
      <c r="B777" s="695"/>
      <c r="C777" s="312"/>
      <c r="D777" s="717"/>
      <c r="E777" s="314"/>
      <c r="F777" s="736"/>
      <c r="G777" s="314"/>
      <c r="H777" s="314"/>
      <c r="I777" s="318"/>
      <c r="J777" s="314"/>
      <c r="K777" s="314"/>
      <c r="L777" s="315"/>
      <c r="M777" s="315"/>
      <c r="N777" s="315"/>
      <c r="O777" s="318"/>
      <c r="P777" s="318"/>
      <c r="Q777" s="315"/>
      <c r="R777" s="314"/>
      <c r="S777" s="314"/>
      <c r="T777" s="314"/>
      <c r="U777" s="314"/>
      <c r="V777" s="314"/>
      <c r="W777" s="318"/>
      <c r="X777" s="315"/>
      <c r="Y777" s="314"/>
      <c r="Z777" s="721"/>
      <c r="AA777" s="737"/>
      <c r="AB777" s="324"/>
      <c r="AC777" s="155"/>
      <c r="AD777" s="155"/>
      <c r="AE777" s="322"/>
      <c r="AF777" s="132"/>
      <c r="AG777" s="132"/>
    </row>
    <row r="778">
      <c r="A778" s="314"/>
      <c r="B778" s="695"/>
      <c r="C778" s="312"/>
      <c r="D778" s="717"/>
      <c r="E778" s="314"/>
      <c r="F778" s="736"/>
      <c r="G778" s="314"/>
      <c r="H778" s="314"/>
      <c r="I778" s="318"/>
      <c r="J778" s="314"/>
      <c r="K778" s="314"/>
      <c r="L778" s="315"/>
      <c r="M778" s="315"/>
      <c r="N778" s="315"/>
      <c r="O778" s="318"/>
      <c r="P778" s="318"/>
      <c r="Q778" s="315"/>
      <c r="R778" s="314"/>
      <c r="S778" s="314"/>
      <c r="T778" s="314"/>
      <c r="U778" s="314"/>
      <c r="V778" s="314"/>
      <c r="W778" s="318"/>
      <c r="X778" s="315"/>
      <c r="Y778" s="314"/>
      <c r="Z778" s="721"/>
      <c r="AA778" s="737"/>
      <c r="AB778" s="324"/>
      <c r="AC778" s="155"/>
      <c r="AD778" s="155"/>
      <c r="AE778" s="322"/>
      <c r="AF778" s="132"/>
      <c r="AG778" s="132"/>
    </row>
    <row r="779">
      <c r="A779" s="314"/>
      <c r="B779" s="695"/>
      <c r="C779" s="312"/>
      <c r="D779" s="717"/>
      <c r="E779" s="314"/>
      <c r="F779" s="736"/>
      <c r="G779" s="314"/>
      <c r="H779" s="314"/>
      <c r="I779" s="318"/>
      <c r="J779" s="314"/>
      <c r="K779" s="314"/>
      <c r="L779" s="315"/>
      <c r="M779" s="315"/>
      <c r="N779" s="315"/>
      <c r="O779" s="318"/>
      <c r="P779" s="318"/>
      <c r="Q779" s="315"/>
      <c r="R779" s="314"/>
      <c r="S779" s="314"/>
      <c r="T779" s="314"/>
      <c r="U779" s="314"/>
      <c r="V779" s="314"/>
      <c r="W779" s="318"/>
      <c r="X779" s="315"/>
      <c r="Y779" s="314"/>
      <c r="Z779" s="721"/>
      <c r="AA779" s="737"/>
      <c r="AB779" s="324"/>
      <c r="AC779" s="155"/>
      <c r="AD779" s="155"/>
      <c r="AE779" s="322"/>
      <c r="AF779" s="132"/>
      <c r="AG779" s="132"/>
    </row>
    <row r="780">
      <c r="A780" s="314"/>
      <c r="B780" s="695"/>
      <c r="C780" s="312"/>
      <c r="D780" s="717"/>
      <c r="E780" s="314"/>
      <c r="F780" s="736"/>
      <c r="G780" s="314"/>
      <c r="H780" s="314"/>
      <c r="I780" s="318"/>
      <c r="J780" s="314"/>
      <c r="K780" s="314"/>
      <c r="L780" s="315"/>
      <c r="M780" s="315"/>
      <c r="N780" s="315"/>
      <c r="O780" s="318"/>
      <c r="P780" s="318"/>
      <c r="Q780" s="315"/>
      <c r="R780" s="314"/>
      <c r="S780" s="314"/>
      <c r="T780" s="314"/>
      <c r="U780" s="314"/>
      <c r="V780" s="314"/>
      <c r="W780" s="318"/>
      <c r="X780" s="315"/>
      <c r="Y780" s="314"/>
      <c r="Z780" s="721"/>
      <c r="AA780" s="737"/>
      <c r="AB780" s="324"/>
      <c r="AC780" s="155"/>
      <c r="AD780" s="155"/>
      <c r="AE780" s="322"/>
      <c r="AF780" s="132"/>
      <c r="AG780" s="132"/>
    </row>
    <row r="781">
      <c r="A781" s="314"/>
      <c r="B781" s="695"/>
      <c r="C781" s="312"/>
      <c r="D781" s="717"/>
      <c r="E781" s="314"/>
      <c r="F781" s="736"/>
      <c r="G781" s="314"/>
      <c r="H781" s="314"/>
      <c r="I781" s="318"/>
      <c r="J781" s="314"/>
      <c r="K781" s="314"/>
      <c r="L781" s="315"/>
      <c r="M781" s="315"/>
      <c r="N781" s="315"/>
      <c r="O781" s="318"/>
      <c r="P781" s="318"/>
      <c r="Q781" s="315"/>
      <c r="R781" s="314"/>
      <c r="S781" s="314"/>
      <c r="T781" s="314"/>
      <c r="U781" s="314"/>
      <c r="V781" s="314"/>
      <c r="W781" s="318"/>
      <c r="X781" s="315"/>
      <c r="Y781" s="314"/>
      <c r="Z781" s="721"/>
      <c r="AA781" s="737"/>
      <c r="AB781" s="324"/>
      <c r="AC781" s="155"/>
      <c r="AD781" s="155"/>
      <c r="AE781" s="322"/>
      <c r="AF781" s="132"/>
      <c r="AG781" s="132"/>
    </row>
    <row r="782">
      <c r="A782" s="314"/>
      <c r="B782" s="695"/>
      <c r="C782" s="312"/>
      <c r="D782" s="717"/>
      <c r="E782" s="314"/>
      <c r="F782" s="736"/>
      <c r="G782" s="314"/>
      <c r="H782" s="314"/>
      <c r="I782" s="318"/>
      <c r="J782" s="314"/>
      <c r="K782" s="314"/>
      <c r="L782" s="315"/>
      <c r="M782" s="315"/>
      <c r="N782" s="315"/>
      <c r="O782" s="318"/>
      <c r="P782" s="318"/>
      <c r="Q782" s="315"/>
      <c r="R782" s="314"/>
      <c r="S782" s="314"/>
      <c r="T782" s="314"/>
      <c r="U782" s="314"/>
      <c r="V782" s="314"/>
      <c r="W782" s="318"/>
      <c r="X782" s="315"/>
      <c r="Y782" s="314"/>
      <c r="Z782" s="721"/>
      <c r="AA782" s="737"/>
      <c r="AB782" s="324"/>
      <c r="AC782" s="155"/>
      <c r="AD782" s="155"/>
      <c r="AE782" s="322"/>
      <c r="AF782" s="132"/>
      <c r="AG782" s="132"/>
    </row>
    <row r="783">
      <c r="A783" s="314"/>
      <c r="B783" s="695"/>
      <c r="C783" s="312"/>
      <c r="D783" s="717"/>
      <c r="E783" s="314"/>
      <c r="F783" s="736"/>
      <c r="G783" s="314"/>
      <c r="H783" s="314"/>
      <c r="I783" s="318"/>
      <c r="J783" s="314"/>
      <c r="K783" s="314"/>
      <c r="L783" s="315"/>
      <c r="M783" s="315"/>
      <c r="N783" s="315"/>
      <c r="O783" s="318"/>
      <c r="P783" s="318"/>
      <c r="Q783" s="315"/>
      <c r="R783" s="314"/>
      <c r="S783" s="314"/>
      <c r="T783" s="314"/>
      <c r="U783" s="314"/>
      <c r="V783" s="314"/>
      <c r="W783" s="318"/>
      <c r="X783" s="315"/>
      <c r="Y783" s="314"/>
      <c r="Z783" s="721"/>
      <c r="AA783" s="737"/>
      <c r="AB783" s="324"/>
      <c r="AC783" s="155"/>
      <c r="AD783" s="155"/>
      <c r="AE783" s="322"/>
      <c r="AF783" s="132"/>
      <c r="AG783" s="132"/>
    </row>
    <row r="784">
      <c r="A784" s="314"/>
      <c r="B784" s="695"/>
      <c r="C784" s="312"/>
      <c r="D784" s="717"/>
      <c r="E784" s="314"/>
      <c r="F784" s="736"/>
      <c r="G784" s="314"/>
      <c r="H784" s="314"/>
      <c r="I784" s="318"/>
      <c r="J784" s="314"/>
      <c r="K784" s="314"/>
      <c r="L784" s="315"/>
      <c r="M784" s="315"/>
      <c r="N784" s="315"/>
      <c r="O784" s="318"/>
      <c r="P784" s="318"/>
      <c r="Q784" s="315"/>
      <c r="R784" s="314"/>
      <c r="S784" s="314"/>
      <c r="T784" s="314"/>
      <c r="U784" s="314"/>
      <c r="V784" s="314"/>
      <c r="W784" s="318"/>
      <c r="X784" s="315"/>
      <c r="Y784" s="314"/>
      <c r="Z784" s="721"/>
      <c r="AA784" s="737"/>
      <c r="AB784" s="324"/>
      <c r="AC784" s="155"/>
      <c r="AD784" s="155"/>
      <c r="AE784" s="322"/>
      <c r="AF784" s="132"/>
      <c r="AG784" s="132"/>
    </row>
    <row r="785">
      <c r="A785" s="314"/>
      <c r="B785" s="695"/>
      <c r="C785" s="312"/>
      <c r="D785" s="717"/>
      <c r="E785" s="314"/>
      <c r="F785" s="736"/>
      <c r="G785" s="314"/>
      <c r="H785" s="314"/>
      <c r="I785" s="318"/>
      <c r="J785" s="314"/>
      <c r="K785" s="314"/>
      <c r="L785" s="315"/>
      <c r="M785" s="315"/>
      <c r="N785" s="315"/>
      <c r="O785" s="318"/>
      <c r="P785" s="318"/>
      <c r="Q785" s="315"/>
      <c r="R785" s="314"/>
      <c r="S785" s="314"/>
      <c r="T785" s="314"/>
      <c r="U785" s="314"/>
      <c r="V785" s="314"/>
      <c r="W785" s="318"/>
      <c r="X785" s="315"/>
      <c r="Y785" s="314"/>
      <c r="Z785" s="721"/>
      <c r="AA785" s="737"/>
      <c r="AB785" s="324"/>
      <c r="AC785" s="155"/>
      <c r="AD785" s="155"/>
      <c r="AE785" s="322"/>
      <c r="AF785" s="132"/>
      <c r="AG785" s="132"/>
    </row>
    <row r="786">
      <c r="A786" s="314"/>
      <c r="B786" s="695"/>
      <c r="C786" s="312"/>
      <c r="D786" s="717"/>
      <c r="E786" s="314"/>
      <c r="F786" s="736"/>
      <c r="G786" s="314"/>
      <c r="H786" s="314"/>
      <c r="I786" s="318"/>
      <c r="J786" s="314"/>
      <c r="K786" s="314"/>
      <c r="L786" s="315"/>
      <c r="M786" s="315"/>
      <c r="N786" s="315"/>
      <c r="O786" s="318"/>
      <c r="P786" s="318"/>
      <c r="Q786" s="315"/>
      <c r="R786" s="314"/>
      <c r="S786" s="314"/>
      <c r="T786" s="314"/>
      <c r="U786" s="314"/>
      <c r="V786" s="314"/>
      <c r="W786" s="318"/>
      <c r="X786" s="315"/>
      <c r="Y786" s="314"/>
      <c r="Z786" s="721"/>
      <c r="AA786" s="737"/>
      <c r="AB786" s="324"/>
      <c r="AC786" s="155"/>
      <c r="AD786" s="155"/>
      <c r="AE786" s="322"/>
      <c r="AF786" s="132"/>
      <c r="AG786" s="132"/>
    </row>
    <row r="787">
      <c r="A787" s="314"/>
      <c r="B787" s="695"/>
      <c r="C787" s="312"/>
      <c r="D787" s="717"/>
      <c r="E787" s="314"/>
      <c r="F787" s="736"/>
      <c r="G787" s="314"/>
      <c r="H787" s="314"/>
      <c r="I787" s="318"/>
      <c r="J787" s="314"/>
      <c r="K787" s="314"/>
      <c r="L787" s="315"/>
      <c r="M787" s="315"/>
      <c r="N787" s="315"/>
      <c r="O787" s="318"/>
      <c r="P787" s="318"/>
      <c r="Q787" s="315"/>
      <c r="R787" s="314"/>
      <c r="S787" s="314"/>
      <c r="T787" s="314"/>
      <c r="U787" s="314"/>
      <c r="V787" s="314"/>
      <c r="W787" s="318"/>
      <c r="X787" s="315"/>
      <c r="Y787" s="314"/>
      <c r="Z787" s="721"/>
      <c r="AA787" s="737"/>
      <c r="AB787" s="324"/>
      <c r="AC787" s="155"/>
      <c r="AD787" s="155"/>
      <c r="AE787" s="322"/>
      <c r="AF787" s="132"/>
      <c r="AG787" s="132"/>
    </row>
    <row r="788">
      <c r="A788" s="314"/>
      <c r="B788" s="695"/>
      <c r="C788" s="312"/>
      <c r="D788" s="717"/>
      <c r="E788" s="314"/>
      <c r="F788" s="736"/>
      <c r="G788" s="314"/>
      <c r="H788" s="314"/>
      <c r="I788" s="318"/>
      <c r="J788" s="314"/>
      <c r="K788" s="314"/>
      <c r="L788" s="315"/>
      <c r="M788" s="315"/>
      <c r="N788" s="315"/>
      <c r="O788" s="318"/>
      <c r="P788" s="318"/>
      <c r="Q788" s="315"/>
      <c r="R788" s="314"/>
      <c r="S788" s="314"/>
      <c r="T788" s="314"/>
      <c r="U788" s="314"/>
      <c r="V788" s="314"/>
      <c r="W788" s="318"/>
      <c r="X788" s="315"/>
      <c r="Y788" s="314"/>
      <c r="Z788" s="721"/>
      <c r="AA788" s="737"/>
      <c r="AB788" s="324"/>
      <c r="AC788" s="155"/>
      <c r="AD788" s="155"/>
      <c r="AE788" s="322"/>
      <c r="AF788" s="132"/>
      <c r="AG788" s="132"/>
    </row>
    <row r="789">
      <c r="A789" s="314"/>
      <c r="B789" s="695"/>
      <c r="C789" s="312"/>
      <c r="D789" s="717"/>
      <c r="E789" s="314"/>
      <c r="F789" s="736"/>
      <c r="G789" s="314"/>
      <c r="H789" s="314"/>
      <c r="I789" s="318"/>
      <c r="J789" s="314"/>
      <c r="K789" s="314"/>
      <c r="L789" s="315"/>
      <c r="M789" s="315"/>
      <c r="N789" s="315"/>
      <c r="O789" s="318"/>
      <c r="P789" s="318"/>
      <c r="Q789" s="315"/>
      <c r="R789" s="314"/>
      <c r="S789" s="314"/>
      <c r="T789" s="314"/>
      <c r="U789" s="314"/>
      <c r="V789" s="314"/>
      <c r="W789" s="318"/>
      <c r="X789" s="315"/>
      <c r="Y789" s="314"/>
      <c r="Z789" s="721"/>
      <c r="AA789" s="737"/>
      <c r="AB789" s="324"/>
      <c r="AC789" s="155"/>
      <c r="AD789" s="155"/>
      <c r="AE789" s="322"/>
      <c r="AF789" s="132"/>
      <c r="AG789" s="132"/>
    </row>
    <row r="790">
      <c r="A790" s="314"/>
      <c r="B790" s="695"/>
      <c r="C790" s="312"/>
      <c r="D790" s="717"/>
      <c r="E790" s="314"/>
      <c r="F790" s="736"/>
      <c r="G790" s="314"/>
      <c r="H790" s="314"/>
      <c r="I790" s="318"/>
      <c r="J790" s="314"/>
      <c r="K790" s="314"/>
      <c r="L790" s="315"/>
      <c r="M790" s="315"/>
      <c r="N790" s="315"/>
      <c r="O790" s="318"/>
      <c r="P790" s="318"/>
      <c r="Q790" s="315"/>
      <c r="R790" s="314"/>
      <c r="S790" s="314"/>
      <c r="T790" s="314"/>
      <c r="U790" s="314"/>
      <c r="V790" s="314"/>
      <c r="W790" s="318"/>
      <c r="X790" s="315"/>
      <c r="Y790" s="314"/>
      <c r="Z790" s="721"/>
      <c r="AA790" s="737"/>
      <c r="AB790" s="324"/>
      <c r="AC790" s="155"/>
      <c r="AD790" s="155"/>
      <c r="AE790" s="322"/>
      <c r="AF790" s="132"/>
      <c r="AG790" s="132"/>
    </row>
    <row r="791">
      <c r="A791" s="314"/>
      <c r="B791" s="695"/>
      <c r="C791" s="312"/>
      <c r="D791" s="717"/>
      <c r="E791" s="314"/>
      <c r="F791" s="736"/>
      <c r="G791" s="314"/>
      <c r="H791" s="314"/>
      <c r="I791" s="318"/>
      <c r="J791" s="314"/>
      <c r="K791" s="314"/>
      <c r="L791" s="315"/>
      <c r="M791" s="315"/>
      <c r="N791" s="315"/>
      <c r="O791" s="318"/>
      <c r="P791" s="318"/>
      <c r="Q791" s="315"/>
      <c r="R791" s="314"/>
      <c r="S791" s="314"/>
      <c r="T791" s="314"/>
      <c r="U791" s="314"/>
      <c r="V791" s="314"/>
      <c r="W791" s="318"/>
      <c r="X791" s="315"/>
      <c r="Y791" s="314"/>
      <c r="Z791" s="721"/>
      <c r="AA791" s="737"/>
      <c r="AB791" s="324"/>
      <c r="AC791" s="155"/>
      <c r="AD791" s="155"/>
      <c r="AE791" s="322"/>
      <c r="AF791" s="132"/>
      <c r="AG791" s="132"/>
    </row>
    <row r="792">
      <c r="A792" s="314"/>
      <c r="B792" s="695"/>
      <c r="C792" s="312"/>
      <c r="D792" s="717"/>
      <c r="E792" s="314"/>
      <c r="F792" s="736"/>
      <c r="G792" s="314"/>
      <c r="H792" s="314"/>
      <c r="I792" s="318"/>
      <c r="J792" s="314"/>
      <c r="K792" s="314"/>
      <c r="L792" s="315"/>
      <c r="M792" s="315"/>
      <c r="N792" s="315"/>
      <c r="O792" s="318"/>
      <c r="P792" s="318"/>
      <c r="Q792" s="315"/>
      <c r="R792" s="314"/>
      <c r="S792" s="314"/>
      <c r="T792" s="314"/>
      <c r="U792" s="314"/>
      <c r="V792" s="314"/>
      <c r="W792" s="318"/>
      <c r="X792" s="315"/>
      <c r="Y792" s="314"/>
      <c r="Z792" s="721"/>
      <c r="AA792" s="737"/>
      <c r="AB792" s="324"/>
      <c r="AC792" s="155"/>
      <c r="AD792" s="155"/>
      <c r="AE792" s="322"/>
      <c r="AF792" s="132"/>
      <c r="AG792" s="132"/>
    </row>
    <row r="793">
      <c r="A793" s="314"/>
      <c r="B793" s="695"/>
      <c r="C793" s="312"/>
      <c r="D793" s="717"/>
      <c r="E793" s="314"/>
      <c r="F793" s="736"/>
      <c r="G793" s="314"/>
      <c r="H793" s="314"/>
      <c r="I793" s="318"/>
      <c r="J793" s="314"/>
      <c r="K793" s="314"/>
      <c r="L793" s="315"/>
      <c r="M793" s="315"/>
      <c r="N793" s="315"/>
      <c r="O793" s="318"/>
      <c r="P793" s="318"/>
      <c r="Q793" s="315"/>
      <c r="R793" s="314"/>
      <c r="S793" s="314"/>
      <c r="T793" s="314"/>
      <c r="U793" s="314"/>
      <c r="V793" s="314"/>
      <c r="W793" s="318"/>
      <c r="X793" s="315"/>
      <c r="Y793" s="314"/>
      <c r="Z793" s="721"/>
      <c r="AA793" s="737"/>
      <c r="AB793" s="324"/>
      <c r="AC793" s="155"/>
      <c r="AD793" s="155"/>
      <c r="AE793" s="322"/>
      <c r="AF793" s="132"/>
      <c r="AG793" s="132"/>
    </row>
    <row r="794">
      <c r="A794" s="314"/>
      <c r="B794" s="695"/>
      <c r="C794" s="312"/>
      <c r="D794" s="717"/>
      <c r="E794" s="314"/>
      <c r="F794" s="736"/>
      <c r="G794" s="314"/>
      <c r="H794" s="314"/>
      <c r="I794" s="318"/>
      <c r="J794" s="314"/>
      <c r="K794" s="314"/>
      <c r="L794" s="315"/>
      <c r="M794" s="315"/>
      <c r="N794" s="315"/>
      <c r="O794" s="318"/>
      <c r="P794" s="318"/>
      <c r="Q794" s="315"/>
      <c r="R794" s="314"/>
      <c r="S794" s="314"/>
      <c r="T794" s="314"/>
      <c r="U794" s="314"/>
      <c r="V794" s="314"/>
      <c r="W794" s="318"/>
      <c r="X794" s="315"/>
      <c r="Y794" s="314"/>
      <c r="Z794" s="721"/>
      <c r="AA794" s="737"/>
      <c r="AB794" s="324"/>
      <c r="AC794" s="155"/>
      <c r="AD794" s="155"/>
      <c r="AE794" s="322"/>
      <c r="AF794" s="132"/>
      <c r="AG794" s="132"/>
    </row>
    <row r="795">
      <c r="A795" s="314"/>
      <c r="B795" s="695"/>
      <c r="C795" s="312"/>
      <c r="D795" s="717"/>
      <c r="E795" s="314"/>
      <c r="F795" s="736"/>
      <c r="G795" s="314"/>
      <c r="H795" s="314"/>
      <c r="I795" s="318"/>
      <c r="J795" s="314"/>
      <c r="K795" s="314"/>
      <c r="L795" s="315"/>
      <c r="M795" s="315"/>
      <c r="N795" s="315"/>
      <c r="O795" s="318"/>
      <c r="P795" s="318"/>
      <c r="Q795" s="315"/>
      <c r="R795" s="314"/>
      <c r="S795" s="314"/>
      <c r="T795" s="314"/>
      <c r="U795" s="314"/>
      <c r="V795" s="314"/>
      <c r="W795" s="318"/>
      <c r="X795" s="315"/>
      <c r="Y795" s="314"/>
      <c r="Z795" s="721"/>
      <c r="AA795" s="737"/>
      <c r="AB795" s="324"/>
      <c r="AC795" s="155"/>
      <c r="AD795" s="155"/>
      <c r="AE795" s="322"/>
      <c r="AF795" s="132"/>
      <c r="AG795" s="132"/>
    </row>
    <row r="796">
      <c r="A796" s="314"/>
      <c r="B796" s="695"/>
      <c r="C796" s="312"/>
      <c r="D796" s="717"/>
      <c r="E796" s="314"/>
      <c r="F796" s="736"/>
      <c r="G796" s="314"/>
      <c r="H796" s="314"/>
      <c r="I796" s="318"/>
      <c r="J796" s="314"/>
      <c r="K796" s="314"/>
      <c r="L796" s="315"/>
      <c r="M796" s="315"/>
      <c r="N796" s="315"/>
      <c r="O796" s="318"/>
      <c r="P796" s="318"/>
      <c r="Q796" s="315"/>
      <c r="R796" s="314"/>
      <c r="S796" s="314"/>
      <c r="T796" s="314"/>
      <c r="U796" s="314"/>
      <c r="V796" s="314"/>
      <c r="W796" s="318"/>
      <c r="X796" s="315"/>
      <c r="Y796" s="314"/>
      <c r="Z796" s="721"/>
      <c r="AA796" s="737"/>
      <c r="AB796" s="324"/>
      <c r="AC796" s="155"/>
      <c r="AD796" s="155"/>
      <c r="AE796" s="322"/>
      <c r="AF796" s="132"/>
      <c r="AG796" s="132"/>
    </row>
    <row r="797">
      <c r="A797" s="314"/>
      <c r="B797" s="695"/>
      <c r="C797" s="312"/>
      <c r="D797" s="717"/>
      <c r="E797" s="314"/>
      <c r="F797" s="736"/>
      <c r="G797" s="314"/>
      <c r="H797" s="314"/>
      <c r="I797" s="318"/>
      <c r="J797" s="314"/>
      <c r="K797" s="314"/>
      <c r="L797" s="315"/>
      <c r="M797" s="315"/>
      <c r="N797" s="315"/>
      <c r="O797" s="318"/>
      <c r="P797" s="318"/>
      <c r="Q797" s="315"/>
      <c r="R797" s="314"/>
      <c r="S797" s="314"/>
      <c r="T797" s="314"/>
      <c r="U797" s="314"/>
      <c r="V797" s="314"/>
      <c r="W797" s="318"/>
      <c r="X797" s="315"/>
      <c r="Y797" s="314"/>
      <c r="Z797" s="721"/>
      <c r="AA797" s="737"/>
      <c r="AB797" s="324"/>
      <c r="AC797" s="155"/>
      <c r="AD797" s="155"/>
      <c r="AE797" s="322"/>
      <c r="AF797" s="132"/>
      <c r="AG797" s="132"/>
    </row>
    <row r="798">
      <c r="A798" s="314"/>
      <c r="B798" s="695"/>
      <c r="C798" s="312"/>
      <c r="D798" s="717"/>
      <c r="E798" s="314"/>
      <c r="F798" s="736"/>
      <c r="G798" s="314"/>
      <c r="H798" s="314"/>
      <c r="I798" s="318"/>
      <c r="J798" s="314"/>
      <c r="K798" s="314"/>
      <c r="L798" s="315"/>
      <c r="M798" s="315"/>
      <c r="N798" s="315"/>
      <c r="O798" s="318"/>
      <c r="P798" s="318"/>
      <c r="Q798" s="315"/>
      <c r="R798" s="314"/>
      <c r="S798" s="314"/>
      <c r="T798" s="314"/>
      <c r="U798" s="314"/>
      <c r="V798" s="314"/>
      <c r="W798" s="318"/>
      <c r="X798" s="315"/>
      <c r="Y798" s="314"/>
      <c r="Z798" s="721"/>
      <c r="AA798" s="737"/>
      <c r="AB798" s="324"/>
      <c r="AC798" s="155"/>
      <c r="AD798" s="155"/>
      <c r="AE798" s="322"/>
      <c r="AF798" s="132"/>
      <c r="AG798" s="132"/>
    </row>
    <row r="799">
      <c r="A799" s="314"/>
      <c r="B799" s="695"/>
      <c r="C799" s="312"/>
      <c r="D799" s="717"/>
      <c r="E799" s="314"/>
      <c r="F799" s="736"/>
      <c r="G799" s="314"/>
      <c r="H799" s="314"/>
      <c r="I799" s="318"/>
      <c r="J799" s="314"/>
      <c r="K799" s="314"/>
      <c r="L799" s="315"/>
      <c r="M799" s="315"/>
      <c r="N799" s="315"/>
      <c r="O799" s="318"/>
      <c r="P799" s="318"/>
      <c r="Q799" s="315"/>
      <c r="R799" s="314"/>
      <c r="S799" s="314"/>
      <c r="T799" s="314"/>
      <c r="U799" s="314"/>
      <c r="V799" s="314"/>
      <c r="W799" s="318"/>
      <c r="X799" s="315"/>
      <c r="Y799" s="314"/>
      <c r="Z799" s="721"/>
      <c r="AA799" s="737"/>
      <c r="AB799" s="324"/>
      <c r="AC799" s="155"/>
      <c r="AD799" s="155"/>
      <c r="AE799" s="322"/>
      <c r="AF799" s="132"/>
      <c r="AG799" s="132"/>
    </row>
    <row r="800">
      <c r="A800" s="314"/>
      <c r="B800" s="695"/>
      <c r="C800" s="312"/>
      <c r="D800" s="717"/>
      <c r="E800" s="314"/>
      <c r="F800" s="736"/>
      <c r="G800" s="314"/>
      <c r="H800" s="314"/>
      <c r="I800" s="318"/>
      <c r="J800" s="314"/>
      <c r="K800" s="314"/>
      <c r="L800" s="315"/>
      <c r="M800" s="315"/>
      <c r="N800" s="315"/>
      <c r="O800" s="318"/>
      <c r="P800" s="318"/>
      <c r="Q800" s="315"/>
      <c r="R800" s="314"/>
      <c r="S800" s="314"/>
      <c r="T800" s="314"/>
      <c r="U800" s="314"/>
      <c r="V800" s="314"/>
      <c r="W800" s="318"/>
      <c r="X800" s="315"/>
      <c r="Y800" s="314"/>
      <c r="Z800" s="721"/>
      <c r="AA800" s="737"/>
      <c r="AB800" s="324"/>
      <c r="AC800" s="155"/>
      <c r="AD800" s="155"/>
      <c r="AE800" s="322"/>
      <c r="AF800" s="132"/>
      <c r="AG800" s="132"/>
    </row>
    <row r="801">
      <c r="A801" s="314"/>
      <c r="B801" s="695"/>
      <c r="C801" s="312"/>
      <c r="D801" s="717"/>
      <c r="E801" s="314"/>
      <c r="F801" s="736"/>
      <c r="G801" s="314"/>
      <c r="H801" s="314"/>
      <c r="I801" s="318"/>
      <c r="J801" s="314"/>
      <c r="K801" s="314"/>
      <c r="L801" s="315"/>
      <c r="M801" s="315"/>
      <c r="N801" s="315"/>
      <c r="O801" s="318"/>
      <c r="P801" s="318"/>
      <c r="Q801" s="315"/>
      <c r="R801" s="314"/>
      <c r="S801" s="314"/>
      <c r="T801" s="314"/>
      <c r="U801" s="314"/>
      <c r="V801" s="314"/>
      <c r="W801" s="318"/>
      <c r="X801" s="315"/>
      <c r="Y801" s="314"/>
      <c r="Z801" s="721"/>
      <c r="AA801" s="737"/>
      <c r="AB801" s="324"/>
      <c r="AC801" s="155"/>
      <c r="AD801" s="155"/>
      <c r="AE801" s="322"/>
      <c r="AF801" s="132"/>
      <c r="AG801" s="132"/>
    </row>
    <row r="802">
      <c r="A802" s="314"/>
      <c r="B802" s="695"/>
      <c r="C802" s="312"/>
      <c r="D802" s="717"/>
      <c r="E802" s="314"/>
      <c r="F802" s="736"/>
      <c r="G802" s="314"/>
      <c r="H802" s="314"/>
      <c r="I802" s="318"/>
      <c r="J802" s="314"/>
      <c r="K802" s="314"/>
      <c r="L802" s="315"/>
      <c r="M802" s="315"/>
      <c r="N802" s="315"/>
      <c r="O802" s="318"/>
      <c r="P802" s="318"/>
      <c r="Q802" s="315"/>
      <c r="R802" s="314"/>
      <c r="S802" s="314"/>
      <c r="T802" s="314"/>
      <c r="U802" s="314"/>
      <c r="V802" s="314"/>
      <c r="W802" s="318"/>
      <c r="X802" s="315"/>
      <c r="Y802" s="314"/>
      <c r="Z802" s="721"/>
      <c r="AA802" s="737"/>
      <c r="AB802" s="324"/>
      <c r="AC802" s="155"/>
      <c r="AD802" s="155"/>
      <c r="AE802" s="322"/>
      <c r="AF802" s="132"/>
      <c r="AG802" s="132"/>
    </row>
    <row r="803">
      <c r="A803" s="314"/>
      <c r="B803" s="695"/>
      <c r="C803" s="312"/>
      <c r="D803" s="717"/>
      <c r="E803" s="314"/>
      <c r="F803" s="736"/>
      <c r="G803" s="314"/>
      <c r="H803" s="314"/>
      <c r="I803" s="318"/>
      <c r="J803" s="314"/>
      <c r="K803" s="314"/>
      <c r="L803" s="315"/>
      <c r="M803" s="315"/>
      <c r="N803" s="315"/>
      <c r="O803" s="318"/>
      <c r="P803" s="318"/>
      <c r="Q803" s="315"/>
      <c r="R803" s="314"/>
      <c r="S803" s="314"/>
      <c r="T803" s="314"/>
      <c r="U803" s="314"/>
      <c r="V803" s="314"/>
      <c r="W803" s="318"/>
      <c r="X803" s="315"/>
      <c r="Y803" s="314"/>
      <c r="Z803" s="721"/>
      <c r="AA803" s="737"/>
      <c r="AB803" s="324"/>
      <c r="AC803" s="155"/>
      <c r="AD803" s="155"/>
      <c r="AE803" s="322"/>
      <c r="AF803" s="132"/>
      <c r="AG803" s="132"/>
    </row>
    <row r="804">
      <c r="A804" s="314"/>
      <c r="B804" s="695"/>
      <c r="C804" s="312"/>
      <c r="D804" s="717"/>
      <c r="E804" s="314"/>
      <c r="F804" s="736"/>
      <c r="G804" s="314"/>
      <c r="H804" s="314"/>
      <c r="I804" s="318"/>
      <c r="J804" s="314"/>
      <c r="K804" s="314"/>
      <c r="L804" s="315"/>
      <c r="M804" s="315"/>
      <c r="N804" s="315"/>
      <c r="O804" s="318"/>
      <c r="P804" s="318"/>
      <c r="Q804" s="315"/>
      <c r="R804" s="314"/>
      <c r="S804" s="314"/>
      <c r="T804" s="314"/>
      <c r="U804" s="314"/>
      <c r="V804" s="314"/>
      <c r="W804" s="318"/>
      <c r="X804" s="315"/>
      <c r="Y804" s="314"/>
      <c r="Z804" s="721"/>
      <c r="AA804" s="737"/>
      <c r="AB804" s="324"/>
      <c r="AC804" s="155"/>
      <c r="AD804" s="155"/>
      <c r="AE804" s="322"/>
      <c r="AF804" s="132"/>
      <c r="AG804" s="132"/>
    </row>
    <row r="805">
      <c r="A805" s="314"/>
      <c r="B805" s="695"/>
      <c r="C805" s="312"/>
      <c r="D805" s="717"/>
      <c r="E805" s="314"/>
      <c r="F805" s="736"/>
      <c r="G805" s="314"/>
      <c r="H805" s="314"/>
      <c r="I805" s="318"/>
      <c r="J805" s="314"/>
      <c r="K805" s="314"/>
      <c r="L805" s="315"/>
      <c r="M805" s="315"/>
      <c r="N805" s="315"/>
      <c r="O805" s="318"/>
      <c r="P805" s="318"/>
      <c r="Q805" s="315"/>
      <c r="R805" s="314"/>
      <c r="S805" s="314"/>
      <c r="T805" s="314"/>
      <c r="U805" s="314"/>
      <c r="V805" s="314"/>
      <c r="W805" s="318"/>
      <c r="X805" s="315"/>
      <c r="Y805" s="314"/>
      <c r="Z805" s="721"/>
      <c r="AA805" s="737"/>
      <c r="AB805" s="324"/>
      <c r="AC805" s="155"/>
      <c r="AD805" s="155"/>
      <c r="AE805" s="322"/>
      <c r="AF805" s="132"/>
      <c r="AG805" s="132"/>
    </row>
    <row r="806">
      <c r="A806" s="314"/>
      <c r="B806" s="695"/>
      <c r="C806" s="312"/>
      <c r="D806" s="717"/>
      <c r="E806" s="314"/>
      <c r="F806" s="736"/>
      <c r="G806" s="314"/>
      <c r="H806" s="314"/>
      <c r="I806" s="318"/>
      <c r="J806" s="314"/>
      <c r="K806" s="314"/>
      <c r="L806" s="315"/>
      <c r="M806" s="315"/>
      <c r="N806" s="315"/>
      <c r="O806" s="318"/>
      <c r="P806" s="318"/>
      <c r="Q806" s="315"/>
      <c r="R806" s="314"/>
      <c r="S806" s="314"/>
      <c r="T806" s="314"/>
      <c r="U806" s="314"/>
      <c r="V806" s="314"/>
      <c r="W806" s="318"/>
      <c r="X806" s="315"/>
      <c r="Y806" s="314"/>
      <c r="Z806" s="721"/>
      <c r="AA806" s="737"/>
      <c r="AB806" s="324"/>
      <c r="AC806" s="155"/>
      <c r="AD806" s="155"/>
      <c r="AE806" s="322"/>
      <c r="AF806" s="132"/>
      <c r="AG806" s="132"/>
    </row>
    <row r="807">
      <c r="A807" s="314"/>
      <c r="B807" s="695"/>
      <c r="C807" s="312"/>
      <c r="D807" s="717"/>
      <c r="E807" s="314"/>
      <c r="F807" s="736"/>
      <c r="G807" s="314"/>
      <c r="H807" s="314"/>
      <c r="I807" s="318"/>
      <c r="J807" s="314"/>
      <c r="K807" s="314"/>
      <c r="L807" s="315"/>
      <c r="M807" s="315"/>
      <c r="N807" s="315"/>
      <c r="O807" s="318"/>
      <c r="P807" s="318"/>
      <c r="Q807" s="315"/>
      <c r="R807" s="314"/>
      <c r="S807" s="314"/>
      <c r="T807" s="314"/>
      <c r="U807" s="314"/>
      <c r="V807" s="314"/>
      <c r="W807" s="318"/>
      <c r="X807" s="315"/>
      <c r="Y807" s="314"/>
      <c r="Z807" s="721"/>
      <c r="AA807" s="737"/>
      <c r="AB807" s="324"/>
      <c r="AC807" s="155"/>
      <c r="AD807" s="155"/>
      <c r="AE807" s="322"/>
      <c r="AF807" s="132"/>
      <c r="AG807" s="132"/>
    </row>
    <row r="808">
      <c r="A808" s="314"/>
      <c r="B808" s="695"/>
      <c r="C808" s="312"/>
      <c r="D808" s="717"/>
      <c r="E808" s="314"/>
      <c r="F808" s="736"/>
      <c r="G808" s="314"/>
      <c r="H808" s="314"/>
      <c r="I808" s="318"/>
      <c r="J808" s="314"/>
      <c r="K808" s="314"/>
      <c r="L808" s="315"/>
      <c r="M808" s="315"/>
      <c r="N808" s="315"/>
      <c r="O808" s="318"/>
      <c r="P808" s="318"/>
      <c r="Q808" s="315"/>
      <c r="R808" s="314"/>
      <c r="S808" s="314"/>
      <c r="T808" s="314"/>
      <c r="U808" s="314"/>
      <c r="V808" s="314"/>
      <c r="W808" s="318"/>
      <c r="X808" s="315"/>
      <c r="Y808" s="314"/>
      <c r="Z808" s="721"/>
      <c r="AA808" s="737"/>
      <c r="AB808" s="324"/>
      <c r="AC808" s="155"/>
      <c r="AD808" s="155"/>
      <c r="AE808" s="322"/>
      <c r="AF808" s="132"/>
      <c r="AG808" s="132"/>
    </row>
    <row r="809">
      <c r="A809" s="314"/>
      <c r="B809" s="695"/>
      <c r="C809" s="312"/>
      <c r="D809" s="717"/>
      <c r="E809" s="314"/>
      <c r="F809" s="736"/>
      <c r="G809" s="314"/>
      <c r="H809" s="314"/>
      <c r="I809" s="318"/>
      <c r="J809" s="314"/>
      <c r="K809" s="314"/>
      <c r="L809" s="315"/>
      <c r="M809" s="315"/>
      <c r="N809" s="315"/>
      <c r="O809" s="318"/>
      <c r="P809" s="318"/>
      <c r="Q809" s="315"/>
      <c r="R809" s="314"/>
      <c r="S809" s="314"/>
      <c r="T809" s="314"/>
      <c r="U809" s="314"/>
      <c r="V809" s="314"/>
      <c r="W809" s="318"/>
      <c r="X809" s="315"/>
      <c r="Y809" s="314"/>
      <c r="Z809" s="721"/>
      <c r="AA809" s="737"/>
      <c r="AB809" s="324"/>
      <c r="AC809" s="155"/>
      <c r="AD809" s="155"/>
      <c r="AE809" s="322"/>
      <c r="AF809" s="132"/>
      <c r="AG809" s="132"/>
    </row>
    <row r="810">
      <c r="A810" s="314"/>
      <c r="B810" s="695"/>
      <c r="C810" s="312"/>
      <c r="D810" s="717"/>
      <c r="E810" s="314"/>
      <c r="F810" s="736"/>
      <c r="G810" s="314"/>
      <c r="H810" s="314"/>
      <c r="I810" s="318"/>
      <c r="J810" s="314"/>
      <c r="K810" s="314"/>
      <c r="L810" s="315"/>
      <c r="M810" s="315"/>
      <c r="N810" s="315"/>
      <c r="O810" s="318"/>
      <c r="P810" s="318"/>
      <c r="Q810" s="315"/>
      <c r="R810" s="314"/>
      <c r="S810" s="314"/>
      <c r="T810" s="314"/>
      <c r="U810" s="314"/>
      <c r="V810" s="314"/>
      <c r="W810" s="318"/>
      <c r="X810" s="315"/>
      <c r="Y810" s="314"/>
      <c r="Z810" s="721"/>
      <c r="AA810" s="737"/>
      <c r="AB810" s="324"/>
      <c r="AC810" s="155"/>
      <c r="AD810" s="155"/>
      <c r="AE810" s="322"/>
      <c r="AF810" s="132"/>
      <c r="AG810" s="132"/>
    </row>
    <row r="811">
      <c r="A811" s="314"/>
      <c r="B811" s="695"/>
      <c r="C811" s="312"/>
      <c r="D811" s="717"/>
      <c r="E811" s="314"/>
      <c r="F811" s="736"/>
      <c r="G811" s="314"/>
      <c r="H811" s="314"/>
      <c r="I811" s="318"/>
      <c r="J811" s="314"/>
      <c r="K811" s="314"/>
      <c r="L811" s="315"/>
      <c r="M811" s="315"/>
      <c r="N811" s="315"/>
      <c r="O811" s="318"/>
      <c r="P811" s="318"/>
      <c r="Q811" s="315"/>
      <c r="R811" s="314"/>
      <c r="S811" s="314"/>
      <c r="T811" s="314"/>
      <c r="U811" s="314"/>
      <c r="V811" s="314"/>
      <c r="W811" s="318"/>
      <c r="X811" s="315"/>
      <c r="Y811" s="314"/>
      <c r="Z811" s="721"/>
      <c r="AA811" s="737"/>
      <c r="AB811" s="324"/>
      <c r="AC811" s="155"/>
      <c r="AD811" s="155"/>
      <c r="AE811" s="322"/>
      <c r="AF811" s="132"/>
      <c r="AG811" s="132"/>
    </row>
    <row r="812">
      <c r="A812" s="435"/>
      <c r="B812" s="695"/>
      <c r="C812" s="745"/>
      <c r="D812" s="717"/>
      <c r="E812" s="435"/>
      <c r="F812" s="736"/>
      <c r="G812" s="314"/>
      <c r="H812" s="435"/>
      <c r="I812" s="740"/>
      <c r="J812" s="314"/>
      <c r="K812" s="435"/>
      <c r="L812" s="744"/>
      <c r="M812" s="315"/>
      <c r="N812" s="315"/>
      <c r="O812" s="318"/>
      <c r="P812" s="740"/>
      <c r="Q812" s="744"/>
      <c r="R812" s="435"/>
      <c r="S812" s="435"/>
      <c r="T812" s="435"/>
      <c r="U812" s="435"/>
      <c r="V812" s="435"/>
      <c r="W812" s="740"/>
      <c r="X812" s="744"/>
      <c r="Y812" s="435"/>
      <c r="Z812" s="749"/>
      <c r="AA812" s="753"/>
      <c r="AB812" s="324"/>
      <c r="AC812" s="180"/>
      <c r="AD812" s="155"/>
      <c r="AE812" s="322"/>
      <c r="AF812" s="132"/>
      <c r="AG812" s="132"/>
    </row>
    <row r="813">
      <c r="A813" s="435"/>
      <c r="B813" s="695"/>
      <c r="C813" s="312"/>
      <c r="D813" s="751"/>
      <c r="E813" s="314"/>
      <c r="F813" s="736"/>
      <c r="G813" s="314"/>
      <c r="H813" s="314"/>
      <c r="I813" s="318"/>
      <c r="J813" s="314"/>
      <c r="K813" s="314"/>
      <c r="L813" s="315"/>
      <c r="M813" s="744"/>
      <c r="N813" s="744"/>
      <c r="O813" s="318"/>
      <c r="P813" s="318"/>
      <c r="Q813" s="315"/>
      <c r="R813" s="314"/>
      <c r="S813" s="314"/>
      <c r="T813" s="314"/>
      <c r="U813" s="314"/>
      <c r="V813" s="314"/>
      <c r="W813" s="318"/>
      <c r="X813" s="315"/>
      <c r="Y813" s="314"/>
      <c r="Z813" s="721"/>
      <c r="AA813" s="737"/>
      <c r="AB813" s="324"/>
      <c r="AC813" s="180"/>
      <c r="AD813" s="155"/>
      <c r="AE813" s="322"/>
      <c r="AF813" s="132"/>
      <c r="AG813" s="132"/>
    </row>
    <row r="814">
      <c r="A814" s="435"/>
      <c r="B814" s="746"/>
      <c r="C814" s="745"/>
      <c r="D814" s="751"/>
      <c r="E814" s="435"/>
      <c r="F814" s="736"/>
      <c r="G814" s="314"/>
      <c r="H814" s="314"/>
      <c r="I814" s="740"/>
      <c r="J814" s="435"/>
      <c r="K814" s="435"/>
      <c r="L814" s="744"/>
      <c r="M814" s="744"/>
      <c r="N814" s="744"/>
      <c r="O814" s="318"/>
      <c r="P814" s="740"/>
      <c r="Q814" s="315"/>
      <c r="R814" s="435"/>
      <c r="S814" s="435"/>
      <c r="T814" s="435"/>
      <c r="U814" s="435"/>
      <c r="V814" s="435"/>
      <c r="W814" s="740"/>
      <c r="X814" s="744"/>
      <c r="Y814" s="435"/>
      <c r="Z814" s="749"/>
      <c r="AA814" s="753"/>
      <c r="AB814" s="324"/>
      <c r="AC814" s="180"/>
      <c r="AD814" s="155"/>
      <c r="AE814" s="322"/>
      <c r="AF814" s="132"/>
      <c r="AG814" s="132"/>
    </row>
    <row r="815">
      <c r="A815" s="435"/>
      <c r="B815" s="695"/>
      <c r="C815" s="312"/>
      <c r="D815" s="751"/>
      <c r="E815" s="314"/>
      <c r="F815" s="736"/>
      <c r="G815" s="314"/>
      <c r="H815" s="314"/>
      <c r="I815" s="740"/>
      <c r="J815" s="314"/>
      <c r="K815" s="435"/>
      <c r="L815" s="315"/>
      <c r="M815" s="315"/>
      <c r="N815" s="315"/>
      <c r="O815" s="318"/>
      <c r="P815" s="318"/>
      <c r="Q815" s="744"/>
      <c r="R815" s="435"/>
      <c r="S815" s="314"/>
      <c r="T815" s="314"/>
      <c r="U815" s="314"/>
      <c r="V815" s="314"/>
      <c r="W815" s="318"/>
      <c r="X815" s="315"/>
      <c r="Y815" s="314"/>
      <c r="Z815" s="721"/>
      <c r="AA815" s="737"/>
      <c r="AB815" s="324"/>
      <c r="AC815" s="180"/>
      <c r="AD815" s="155"/>
      <c r="AE815" s="322"/>
      <c r="AF815" s="132"/>
      <c r="AG815" s="132"/>
    </row>
    <row r="816">
      <c r="A816" s="435"/>
      <c r="B816" s="746"/>
      <c r="C816" s="745"/>
      <c r="D816" s="751"/>
      <c r="E816" s="435"/>
      <c r="F816" s="736"/>
      <c r="G816" s="314"/>
      <c r="H816" s="435"/>
      <c r="I816" s="740"/>
      <c r="J816" s="435"/>
      <c r="K816" s="435"/>
      <c r="L816" s="744"/>
      <c r="M816" s="744"/>
      <c r="N816" s="744"/>
      <c r="O816" s="318"/>
      <c r="P816" s="740"/>
      <c r="Q816" s="744"/>
      <c r="R816" s="435"/>
      <c r="S816" s="435"/>
      <c r="T816" s="435"/>
      <c r="U816" s="435"/>
      <c r="V816" s="435"/>
      <c r="W816" s="740"/>
      <c r="X816" s="744"/>
      <c r="Y816" s="435"/>
      <c r="Z816" s="749"/>
      <c r="AA816" s="753"/>
      <c r="AB816" s="324"/>
      <c r="AC816" s="180"/>
      <c r="AD816" s="155"/>
      <c r="AE816" s="322"/>
      <c r="AF816" s="132"/>
      <c r="AG816" s="132"/>
    </row>
    <row r="817">
      <c r="A817" s="435"/>
      <c r="B817" s="746"/>
      <c r="C817" s="312"/>
      <c r="D817" s="751"/>
      <c r="E817" s="314"/>
      <c r="F817" s="736"/>
      <c r="G817" s="314"/>
      <c r="H817" s="314"/>
      <c r="I817" s="318"/>
      <c r="J817" s="314"/>
      <c r="K817" s="435"/>
      <c r="L817" s="315"/>
      <c r="M817" s="315"/>
      <c r="N817" s="315"/>
      <c r="O817" s="318"/>
      <c r="P817" s="318"/>
      <c r="Q817" s="315"/>
      <c r="R817" s="314"/>
      <c r="S817" s="435"/>
      <c r="T817" s="435"/>
      <c r="U817" s="435"/>
      <c r="V817" s="435"/>
      <c r="W817" s="740"/>
      <c r="X817" s="744"/>
      <c r="Y817" s="435"/>
      <c r="Z817" s="749"/>
      <c r="AA817" s="753"/>
      <c r="AB817" s="324"/>
      <c r="AC817" s="180"/>
      <c r="AD817" s="155"/>
      <c r="AE817" s="322"/>
      <c r="AF817" s="132"/>
      <c r="AG817" s="132"/>
    </row>
    <row r="818">
      <c r="A818" s="435"/>
      <c r="B818" s="746"/>
      <c r="C818" s="745"/>
      <c r="D818" s="751"/>
      <c r="E818" s="435"/>
      <c r="F818" s="736"/>
      <c r="G818" s="314"/>
      <c r="H818" s="435"/>
      <c r="I818" s="318"/>
      <c r="J818" s="314"/>
      <c r="K818" s="435"/>
      <c r="L818" s="315"/>
      <c r="M818" s="315"/>
      <c r="N818" s="315"/>
      <c r="O818" s="318"/>
      <c r="P818" s="740"/>
      <c r="Q818" s="744"/>
      <c r="R818" s="435"/>
      <c r="S818" s="435"/>
      <c r="T818" s="435"/>
      <c r="U818" s="435"/>
      <c r="V818" s="435"/>
      <c r="W818" s="740"/>
      <c r="X818" s="744"/>
      <c r="Y818" s="435"/>
      <c r="Z818" s="749"/>
      <c r="AA818" s="753"/>
      <c r="AB818" s="324"/>
      <c r="AC818" s="180"/>
      <c r="AD818" s="155"/>
      <c r="AE818" s="322"/>
      <c r="AF818" s="132"/>
      <c r="AG818" s="132"/>
    </row>
    <row r="819">
      <c r="A819" s="435"/>
      <c r="B819" s="746"/>
      <c r="C819" s="745"/>
      <c r="D819" s="751"/>
      <c r="E819" s="435"/>
      <c r="F819" s="736"/>
      <c r="G819" s="314"/>
      <c r="H819" s="435"/>
      <c r="I819" s="740"/>
      <c r="J819" s="435"/>
      <c r="K819" s="435"/>
      <c r="L819" s="744"/>
      <c r="M819" s="744"/>
      <c r="N819" s="744"/>
      <c r="O819" s="318"/>
      <c r="P819" s="740"/>
      <c r="Q819" s="744"/>
      <c r="R819" s="435"/>
      <c r="S819" s="435"/>
      <c r="T819" s="435"/>
      <c r="U819" s="435"/>
      <c r="V819" s="435"/>
      <c r="W819" s="740"/>
      <c r="X819" s="744"/>
      <c r="Y819" s="435"/>
      <c r="Z819" s="749"/>
      <c r="AA819" s="753"/>
      <c r="AB819" s="324"/>
      <c r="AC819" s="180"/>
      <c r="AD819" s="155"/>
      <c r="AE819" s="322"/>
      <c r="AF819" s="132"/>
      <c r="AG819" s="132"/>
    </row>
    <row r="820">
      <c r="A820" s="435"/>
      <c r="B820" s="695"/>
      <c r="C820" s="312"/>
      <c r="D820" s="717"/>
      <c r="E820" s="435"/>
      <c r="F820" s="736"/>
      <c r="G820" s="314"/>
      <c r="H820" s="435"/>
      <c r="I820" s="318"/>
      <c r="J820" s="314"/>
      <c r="K820" s="314"/>
      <c r="L820" s="315"/>
      <c r="M820" s="315"/>
      <c r="N820" s="315"/>
      <c r="O820" s="318"/>
      <c r="P820" s="318"/>
      <c r="Q820" s="315"/>
      <c r="R820" s="314"/>
      <c r="S820" s="314"/>
      <c r="T820" s="314"/>
      <c r="U820" s="314"/>
      <c r="V820" s="314"/>
      <c r="W820" s="318"/>
      <c r="X820" s="315"/>
      <c r="Y820" s="314"/>
      <c r="Z820" s="721"/>
      <c r="AA820" s="737"/>
      <c r="AB820" s="324"/>
      <c r="AC820" s="180"/>
      <c r="AD820" s="155"/>
      <c r="AE820" s="322"/>
      <c r="AF820" s="132"/>
      <c r="AG820" s="132"/>
    </row>
    <row r="821">
      <c r="A821" s="435"/>
      <c r="B821" s="695"/>
      <c r="C821" s="312"/>
      <c r="D821" s="751"/>
      <c r="E821" s="314"/>
      <c r="F821" s="736"/>
      <c r="G821" s="314"/>
      <c r="H821" s="435"/>
      <c r="I821" s="318"/>
      <c r="J821" s="435"/>
      <c r="K821" s="435"/>
      <c r="L821" s="315"/>
      <c r="M821" s="744"/>
      <c r="N821" s="315"/>
      <c r="O821" s="318"/>
      <c r="P821" s="318"/>
      <c r="Q821" s="315"/>
      <c r="R821" s="435"/>
      <c r="S821" s="435"/>
      <c r="T821" s="435"/>
      <c r="U821" s="435"/>
      <c r="V821" s="435"/>
      <c r="W821" s="740"/>
      <c r="X821" s="744"/>
      <c r="Y821" s="435"/>
      <c r="Z821" s="749"/>
      <c r="AA821" s="753"/>
      <c r="AB821" s="324"/>
      <c r="AC821" s="180"/>
      <c r="AD821" s="155"/>
      <c r="AE821" s="322"/>
      <c r="AF821" s="132"/>
      <c r="AG821" s="132"/>
    </row>
    <row r="822">
      <c r="A822" s="435"/>
      <c r="B822" s="695"/>
      <c r="C822" s="312"/>
      <c r="D822" s="717"/>
      <c r="E822" s="314"/>
      <c r="F822" s="736"/>
      <c r="G822" s="314"/>
      <c r="H822" s="314"/>
      <c r="I822" s="318"/>
      <c r="J822" s="314"/>
      <c r="K822" s="314"/>
      <c r="L822" s="315"/>
      <c r="M822" s="315"/>
      <c r="N822" s="315"/>
      <c r="O822" s="318"/>
      <c r="P822" s="318"/>
      <c r="Q822" s="744"/>
      <c r="R822" s="314"/>
      <c r="S822" s="435"/>
      <c r="T822" s="435"/>
      <c r="U822" s="435"/>
      <c r="V822" s="435"/>
      <c r="W822" s="740"/>
      <c r="X822" s="744"/>
      <c r="Y822" s="435"/>
      <c r="Z822" s="749"/>
      <c r="AA822" s="753"/>
      <c r="AB822" s="324"/>
      <c r="AC822" s="180"/>
      <c r="AD822" s="155"/>
      <c r="AE822" s="322"/>
      <c r="AF822" s="132"/>
      <c r="AG822" s="132"/>
    </row>
    <row r="823">
      <c r="A823" s="435"/>
      <c r="B823" s="746"/>
      <c r="C823" s="312"/>
      <c r="D823" s="717"/>
      <c r="E823" s="314"/>
      <c r="F823" s="736"/>
      <c r="G823" s="314"/>
      <c r="H823" s="435"/>
      <c r="I823" s="318"/>
      <c r="J823" s="435"/>
      <c r="K823" s="435"/>
      <c r="L823" s="315"/>
      <c r="M823" s="315"/>
      <c r="N823" s="744"/>
      <c r="O823" s="318"/>
      <c r="P823" s="318"/>
      <c r="Q823" s="315"/>
      <c r="R823" s="435"/>
      <c r="S823" s="435"/>
      <c r="T823" s="435"/>
      <c r="U823" s="435"/>
      <c r="V823" s="435"/>
      <c r="W823" s="740"/>
      <c r="X823" s="744"/>
      <c r="Y823" s="435"/>
      <c r="Z823" s="749"/>
      <c r="AA823" s="753"/>
      <c r="AB823" s="324"/>
      <c r="AC823" s="180"/>
      <c r="AD823" s="155"/>
      <c r="AE823" s="322"/>
      <c r="AF823" s="132"/>
      <c r="AG823" s="132"/>
    </row>
    <row r="824">
      <c r="A824" s="435"/>
      <c r="B824" s="695"/>
      <c r="C824" s="745"/>
      <c r="D824" s="751"/>
      <c r="E824" s="435"/>
      <c r="F824" s="736"/>
      <c r="G824" s="314"/>
      <c r="H824" s="435"/>
      <c r="I824" s="318"/>
      <c r="J824" s="314"/>
      <c r="K824" s="435"/>
      <c r="L824" s="315"/>
      <c r="M824" s="315"/>
      <c r="N824" s="315"/>
      <c r="O824" s="318"/>
      <c r="P824" s="318"/>
      <c r="Q824" s="315"/>
      <c r="R824" s="314"/>
      <c r="S824" s="435"/>
      <c r="T824" s="435"/>
      <c r="U824" s="435"/>
      <c r="V824" s="435"/>
      <c r="W824" s="740"/>
      <c r="X824" s="744"/>
      <c r="Y824" s="435"/>
      <c r="Z824" s="749"/>
      <c r="AA824" s="753"/>
      <c r="AB824" s="324"/>
      <c r="AC824" s="180"/>
      <c r="AD824" s="155"/>
      <c r="AE824" s="322"/>
      <c r="AF824" s="132"/>
      <c r="AG824" s="132"/>
    </row>
    <row r="825">
      <c r="A825" s="435"/>
      <c r="B825" s="695"/>
      <c r="C825" s="312"/>
      <c r="D825" s="717"/>
      <c r="E825" s="314"/>
      <c r="F825" s="736"/>
      <c r="G825" s="314"/>
      <c r="H825" s="435"/>
      <c r="I825" s="318"/>
      <c r="J825" s="314"/>
      <c r="K825" s="314"/>
      <c r="L825" s="315"/>
      <c r="M825" s="315"/>
      <c r="N825" s="315"/>
      <c r="O825" s="318"/>
      <c r="P825" s="318"/>
      <c r="Q825" s="315"/>
      <c r="R825" s="435"/>
      <c r="S825" s="314"/>
      <c r="T825" s="314"/>
      <c r="U825" s="314"/>
      <c r="V825" s="314"/>
      <c r="W825" s="318"/>
      <c r="X825" s="315"/>
      <c r="Y825" s="314"/>
      <c r="Z825" s="721"/>
      <c r="AA825" s="737"/>
      <c r="AB825" s="324"/>
      <c r="AC825" s="180"/>
      <c r="AD825" s="155"/>
      <c r="AE825" s="322"/>
      <c r="AF825" s="132"/>
      <c r="AG825" s="132"/>
    </row>
    <row r="826">
      <c r="A826" s="435"/>
      <c r="B826" s="746"/>
      <c r="C826" s="745"/>
      <c r="D826" s="751"/>
      <c r="E826" s="435"/>
      <c r="F826" s="736"/>
      <c r="G826" s="314"/>
      <c r="H826" s="435"/>
      <c r="I826" s="740"/>
      <c r="J826" s="435"/>
      <c r="K826" s="435"/>
      <c r="L826" s="744"/>
      <c r="M826" s="744"/>
      <c r="N826" s="744"/>
      <c r="O826" s="318"/>
      <c r="P826" s="740"/>
      <c r="Q826" s="744"/>
      <c r="R826" s="435"/>
      <c r="S826" s="435"/>
      <c r="T826" s="435"/>
      <c r="U826" s="435"/>
      <c r="V826" s="435"/>
      <c r="W826" s="740"/>
      <c r="X826" s="744"/>
      <c r="Y826" s="435"/>
      <c r="Z826" s="749"/>
      <c r="AA826" s="753"/>
      <c r="AB826" s="324"/>
      <c r="AC826" s="180"/>
      <c r="AD826" s="155"/>
      <c r="AE826" s="322"/>
      <c r="AF826" s="132"/>
      <c r="AG826" s="132"/>
    </row>
    <row r="827">
      <c r="A827" s="435"/>
      <c r="B827" s="695"/>
      <c r="C827" s="312"/>
      <c r="D827" s="717"/>
      <c r="E827" s="314"/>
      <c r="F827" s="736"/>
      <c r="G827" s="314"/>
      <c r="H827" s="314"/>
      <c r="I827" s="318"/>
      <c r="J827" s="314"/>
      <c r="K827" s="314"/>
      <c r="L827" s="315"/>
      <c r="M827" s="744"/>
      <c r="N827" s="315"/>
      <c r="O827" s="318"/>
      <c r="P827" s="318"/>
      <c r="Q827" s="315"/>
      <c r="R827" s="314"/>
      <c r="S827" s="314"/>
      <c r="T827" s="314"/>
      <c r="U827" s="314"/>
      <c r="V827" s="314"/>
      <c r="W827" s="318"/>
      <c r="X827" s="315"/>
      <c r="Y827" s="314"/>
      <c r="Z827" s="721"/>
      <c r="AA827" s="737"/>
      <c r="AB827" s="324"/>
      <c r="AC827" s="180"/>
      <c r="AD827" s="155"/>
      <c r="AE827" s="322"/>
      <c r="AF827" s="132"/>
      <c r="AG827" s="132"/>
    </row>
    <row r="828">
      <c r="A828" s="435"/>
      <c r="B828" s="695"/>
      <c r="C828" s="745"/>
      <c r="D828" s="751"/>
      <c r="E828" s="435"/>
      <c r="F828" s="736"/>
      <c r="G828" s="314"/>
      <c r="H828" s="435"/>
      <c r="I828" s="740"/>
      <c r="J828" s="435"/>
      <c r="K828" s="435"/>
      <c r="L828" s="315"/>
      <c r="M828" s="744"/>
      <c r="N828" s="744"/>
      <c r="O828" s="318"/>
      <c r="P828" s="740"/>
      <c r="Q828" s="744"/>
      <c r="R828" s="435"/>
      <c r="S828" s="435"/>
      <c r="T828" s="435"/>
      <c r="U828" s="435"/>
      <c r="V828" s="435"/>
      <c r="W828" s="740"/>
      <c r="X828" s="744"/>
      <c r="Y828" s="435"/>
      <c r="Z828" s="749"/>
      <c r="AA828" s="753"/>
      <c r="AB828" s="324"/>
      <c r="AC828" s="180"/>
      <c r="AD828" s="155"/>
      <c r="AE828" s="322"/>
      <c r="AF828" s="132"/>
      <c r="AG828" s="132"/>
    </row>
    <row r="829">
      <c r="A829" s="435"/>
      <c r="B829" s="746"/>
      <c r="C829" s="745"/>
      <c r="D829" s="717"/>
      <c r="E829" s="435"/>
      <c r="F829" s="736"/>
      <c r="G829" s="314"/>
      <c r="H829" s="435"/>
      <c r="I829" s="740"/>
      <c r="J829" s="314"/>
      <c r="K829" s="435"/>
      <c r="L829" s="744"/>
      <c r="M829" s="315"/>
      <c r="N829" s="744"/>
      <c r="O829" s="318"/>
      <c r="P829" s="740"/>
      <c r="Q829" s="315"/>
      <c r="R829" s="435"/>
      <c r="S829" s="435"/>
      <c r="T829" s="435"/>
      <c r="U829" s="435"/>
      <c r="V829" s="435"/>
      <c r="W829" s="740"/>
      <c r="X829" s="744"/>
      <c r="Y829" s="435"/>
      <c r="Z829" s="749"/>
      <c r="AA829" s="753"/>
      <c r="AB829" s="324"/>
      <c r="AC829" s="180"/>
      <c r="AD829" s="155"/>
      <c r="AE829" s="322"/>
      <c r="AF829" s="132"/>
      <c r="AG829" s="132"/>
    </row>
    <row r="830">
      <c r="A830" s="458"/>
      <c r="B830" s="746"/>
      <c r="C830" s="745"/>
      <c r="D830" s="751"/>
      <c r="E830" s="435"/>
      <c r="F830" s="736"/>
      <c r="G830" s="314"/>
      <c r="H830" s="314"/>
      <c r="I830" s="740"/>
      <c r="J830" s="435"/>
      <c r="K830" s="435"/>
      <c r="L830" s="744"/>
      <c r="M830" s="744"/>
      <c r="N830" s="744"/>
      <c r="O830" s="318"/>
      <c r="P830" s="740"/>
      <c r="Q830" s="744"/>
      <c r="R830" s="435"/>
      <c r="S830" s="435"/>
      <c r="T830" s="435"/>
      <c r="U830" s="435"/>
      <c r="V830" s="435"/>
      <c r="W830" s="740"/>
      <c r="X830" s="744"/>
      <c r="Y830" s="435"/>
      <c r="Z830" s="749"/>
      <c r="AA830" s="753"/>
      <c r="AB830" s="324"/>
      <c r="AC830" s="180"/>
      <c r="AD830" s="155"/>
      <c r="AE830" s="322"/>
      <c r="AF830" s="132"/>
      <c r="AG830" s="132"/>
    </row>
    <row r="831">
      <c r="A831" s="458"/>
      <c r="B831" s="746"/>
      <c r="C831" s="745"/>
      <c r="D831" s="751"/>
      <c r="E831" s="435"/>
      <c r="F831" s="736"/>
      <c r="G831" s="314"/>
      <c r="H831" s="314"/>
      <c r="I831" s="318"/>
      <c r="J831" s="435"/>
      <c r="K831" s="435"/>
      <c r="L831" s="744"/>
      <c r="M831" s="744"/>
      <c r="N831" s="744"/>
      <c r="O831" s="318"/>
      <c r="P831" s="740"/>
      <c r="Q831" s="744"/>
      <c r="R831" s="435"/>
      <c r="S831" s="435"/>
      <c r="T831" s="435"/>
      <c r="U831" s="435"/>
      <c r="V831" s="435"/>
      <c r="W831" s="740"/>
      <c r="X831" s="744"/>
      <c r="Y831" s="435"/>
      <c r="Z831" s="749"/>
      <c r="AA831" s="753"/>
      <c r="AB831" s="324"/>
      <c r="AC831" s="180"/>
      <c r="AD831" s="155"/>
      <c r="AE831" s="322"/>
      <c r="AF831" s="132"/>
      <c r="AG831" s="132"/>
    </row>
    <row r="832">
      <c r="A832" s="458"/>
      <c r="B832" s="746"/>
      <c r="C832" s="745"/>
      <c r="D832" s="751"/>
      <c r="E832" s="314"/>
      <c r="F832" s="736"/>
      <c r="G832" s="314"/>
      <c r="H832" s="314"/>
      <c r="I832" s="740"/>
      <c r="J832" s="435"/>
      <c r="K832" s="435"/>
      <c r="L832" s="744"/>
      <c r="M832" s="744"/>
      <c r="N832" s="744"/>
      <c r="O832" s="318"/>
      <c r="P832" s="740"/>
      <c r="Q832" s="315"/>
      <c r="R832" s="435"/>
      <c r="S832" s="435"/>
      <c r="T832" s="435"/>
      <c r="U832" s="435"/>
      <c r="V832" s="435"/>
      <c r="W832" s="740"/>
      <c r="X832" s="744"/>
      <c r="Y832" s="435"/>
      <c r="Z832" s="749"/>
      <c r="AA832" s="753"/>
      <c r="AB832" s="324"/>
      <c r="AC832" s="180"/>
      <c r="AD832" s="155"/>
      <c r="AE832" s="322"/>
      <c r="AF832" s="132"/>
      <c r="AG832" s="132"/>
    </row>
    <row r="833">
      <c r="A833" s="458"/>
      <c r="B833" s="695"/>
      <c r="C833" s="312"/>
      <c r="D833" s="717"/>
      <c r="E833" s="314"/>
      <c r="F833" s="736"/>
      <c r="G833" s="314"/>
      <c r="H833" s="314"/>
      <c r="I833" s="318"/>
      <c r="J833" s="314"/>
      <c r="K833" s="314"/>
      <c r="L833" s="315"/>
      <c r="M833" s="315"/>
      <c r="N833" s="315"/>
      <c r="O833" s="318"/>
      <c r="P833" s="318"/>
      <c r="Q833" s="315"/>
      <c r="R833" s="314"/>
      <c r="S833" s="314"/>
      <c r="T833" s="314"/>
      <c r="U833" s="314"/>
      <c r="V833" s="314"/>
      <c r="W833" s="318"/>
      <c r="X833" s="315"/>
      <c r="Y833" s="314"/>
      <c r="Z833" s="721"/>
      <c r="AA833" s="737"/>
      <c r="AB833" s="324"/>
      <c r="AC833" s="180"/>
      <c r="AD833" s="155"/>
      <c r="AE833" s="322"/>
      <c r="AF833" s="132"/>
      <c r="AG833" s="132"/>
    </row>
    <row r="834">
      <c r="A834" s="458"/>
      <c r="B834" s="746"/>
      <c r="C834" s="745"/>
      <c r="D834" s="751"/>
      <c r="E834" s="314"/>
      <c r="F834" s="736"/>
      <c r="G834" s="314"/>
      <c r="H834" s="314"/>
      <c r="I834" s="318"/>
      <c r="J834" s="314"/>
      <c r="K834" s="435"/>
      <c r="L834" s="744"/>
      <c r="M834" s="744"/>
      <c r="N834" s="315"/>
      <c r="O834" s="318"/>
      <c r="P834" s="740"/>
      <c r="Q834" s="744"/>
      <c r="R834" s="435"/>
      <c r="S834" s="435"/>
      <c r="T834" s="435"/>
      <c r="U834" s="435"/>
      <c r="V834" s="435"/>
      <c r="W834" s="740"/>
      <c r="X834" s="744"/>
      <c r="Y834" s="435"/>
      <c r="Z834" s="749"/>
      <c r="AA834" s="753"/>
      <c r="AB834" s="324"/>
      <c r="AC834" s="180"/>
      <c r="AD834" s="155"/>
      <c r="AE834" s="322"/>
      <c r="AF834" s="132"/>
      <c r="AG834" s="132"/>
    </row>
    <row r="835">
      <c r="A835" s="458"/>
      <c r="B835" s="695"/>
      <c r="C835" s="312"/>
      <c r="D835" s="751"/>
      <c r="E835" s="314"/>
      <c r="F835" s="736"/>
      <c r="G835" s="314"/>
      <c r="H835" s="314"/>
      <c r="I835" s="318"/>
      <c r="J835" s="314"/>
      <c r="K835" s="314"/>
      <c r="L835" s="315"/>
      <c r="M835" s="315"/>
      <c r="N835" s="315"/>
      <c r="O835" s="318"/>
      <c r="P835" s="318"/>
      <c r="Q835" s="315"/>
      <c r="R835" s="314"/>
      <c r="S835" s="314"/>
      <c r="T835" s="314"/>
      <c r="U835" s="314"/>
      <c r="V835" s="314"/>
      <c r="W835" s="318"/>
      <c r="X835" s="315"/>
      <c r="Y835" s="314"/>
      <c r="Z835" s="721"/>
      <c r="AA835" s="737"/>
      <c r="AB835" s="324"/>
      <c r="AC835" s="180"/>
      <c r="AD835" s="155"/>
      <c r="AE835" s="322"/>
      <c r="AF835" s="132"/>
      <c r="AG835" s="132"/>
    </row>
    <row r="836">
      <c r="A836" s="458"/>
      <c r="B836" s="695"/>
      <c r="C836" s="745"/>
      <c r="D836" s="717"/>
      <c r="E836" s="314"/>
      <c r="F836" s="736"/>
      <c r="G836" s="314"/>
      <c r="H836" s="314"/>
      <c r="I836" s="740"/>
      <c r="J836" s="314"/>
      <c r="K836" s="314"/>
      <c r="L836" s="744"/>
      <c r="M836" s="315"/>
      <c r="N836" s="315"/>
      <c r="O836" s="318"/>
      <c r="P836" s="318"/>
      <c r="Q836" s="744"/>
      <c r="R836" s="435"/>
      <c r="S836" s="435"/>
      <c r="T836" s="435"/>
      <c r="U836" s="435"/>
      <c r="V836" s="435"/>
      <c r="W836" s="740"/>
      <c r="X836" s="744"/>
      <c r="Y836" s="435"/>
      <c r="Z836" s="749"/>
      <c r="AA836" s="753"/>
      <c r="AB836" s="324"/>
      <c r="AC836" s="180"/>
      <c r="AD836" s="155"/>
      <c r="AE836" s="322"/>
      <c r="AF836" s="132"/>
      <c r="AG836" s="132"/>
    </row>
    <row r="837">
      <c r="A837" s="458"/>
      <c r="B837" s="695"/>
      <c r="C837" s="745"/>
      <c r="D837" s="751"/>
      <c r="E837" s="435"/>
      <c r="F837" s="736"/>
      <c r="G837" s="314"/>
      <c r="H837" s="435"/>
      <c r="I837" s="740"/>
      <c r="J837" s="314"/>
      <c r="K837" s="435"/>
      <c r="L837" s="744"/>
      <c r="M837" s="315"/>
      <c r="N837" s="315"/>
      <c r="O837" s="318"/>
      <c r="P837" s="740"/>
      <c r="Q837" s="744"/>
      <c r="R837" s="435"/>
      <c r="S837" s="435"/>
      <c r="T837" s="435"/>
      <c r="U837" s="435"/>
      <c r="V837" s="435"/>
      <c r="W837" s="740"/>
      <c r="X837" s="744"/>
      <c r="Y837" s="435"/>
      <c r="Z837" s="749"/>
      <c r="AA837" s="753"/>
      <c r="AB837" s="324"/>
      <c r="AC837" s="180"/>
      <c r="AD837" s="155"/>
      <c r="AE837" s="322"/>
      <c r="AF837" s="132"/>
      <c r="AG837" s="132"/>
    </row>
    <row r="838">
      <c r="A838" s="458"/>
      <c r="B838" s="695"/>
      <c r="C838" s="745"/>
      <c r="D838" s="751"/>
      <c r="E838" s="314"/>
      <c r="F838" s="736"/>
      <c r="G838" s="314"/>
      <c r="H838" s="314"/>
      <c r="I838" s="318"/>
      <c r="J838" s="314"/>
      <c r="K838" s="435"/>
      <c r="L838" s="315"/>
      <c r="M838" s="315"/>
      <c r="N838" s="315"/>
      <c r="O838" s="318"/>
      <c r="P838" s="318"/>
      <c r="Q838" s="315"/>
      <c r="R838" s="435"/>
      <c r="S838" s="435"/>
      <c r="T838" s="435"/>
      <c r="U838" s="435"/>
      <c r="V838" s="435"/>
      <c r="W838" s="740"/>
      <c r="X838" s="744"/>
      <c r="Y838" s="435"/>
      <c r="Z838" s="749"/>
      <c r="AA838" s="753"/>
      <c r="AB838" s="324"/>
      <c r="AC838" s="180"/>
      <c r="AD838" s="155"/>
      <c r="AE838" s="322"/>
      <c r="AF838" s="132"/>
      <c r="AG838" s="132"/>
    </row>
    <row r="839">
      <c r="A839" s="458"/>
      <c r="B839" s="746"/>
      <c r="C839" s="745"/>
      <c r="D839" s="751"/>
      <c r="E839" s="435"/>
      <c r="F839" s="736"/>
      <c r="G839" s="314"/>
      <c r="H839" s="435"/>
      <c r="I839" s="740"/>
      <c r="J839" s="435"/>
      <c r="K839" s="435"/>
      <c r="L839" s="744"/>
      <c r="M839" s="744"/>
      <c r="N839" s="744"/>
      <c r="O839" s="318"/>
      <c r="P839" s="740"/>
      <c r="Q839" s="744"/>
      <c r="R839" s="435"/>
      <c r="S839" s="435"/>
      <c r="T839" s="435"/>
      <c r="U839" s="435"/>
      <c r="V839" s="435"/>
      <c r="W839" s="740"/>
      <c r="X839" s="744"/>
      <c r="Y839" s="435"/>
      <c r="Z839" s="749"/>
      <c r="AA839" s="753"/>
      <c r="AB839" s="324"/>
      <c r="AC839" s="180"/>
      <c r="AD839" s="155"/>
      <c r="AE839" s="322"/>
      <c r="AF839" s="132"/>
      <c r="AG839" s="132"/>
    </row>
    <row r="840">
      <c r="A840" s="435"/>
      <c r="B840" s="746"/>
      <c r="C840" s="745"/>
      <c r="D840" s="751"/>
      <c r="E840" s="435"/>
      <c r="F840" s="736"/>
      <c r="G840" s="314"/>
      <c r="H840" s="435"/>
      <c r="I840" s="740"/>
      <c r="J840" s="435"/>
      <c r="K840" s="435"/>
      <c r="L840" s="744"/>
      <c r="M840" s="744"/>
      <c r="N840" s="744"/>
      <c r="O840" s="318"/>
      <c r="P840" s="740"/>
      <c r="Q840" s="744"/>
      <c r="R840" s="435"/>
      <c r="S840" s="435"/>
      <c r="T840" s="435"/>
      <c r="U840" s="435"/>
      <c r="V840" s="435"/>
      <c r="W840" s="740"/>
      <c r="X840" s="744"/>
      <c r="Y840" s="435"/>
      <c r="Z840" s="749"/>
      <c r="AA840" s="753"/>
      <c r="AB840" s="324"/>
      <c r="AC840" s="180"/>
      <c r="AD840" s="155"/>
      <c r="AE840" s="322"/>
      <c r="AF840" s="132"/>
      <c r="AG840" s="132"/>
    </row>
    <row r="841">
      <c r="A841" s="474"/>
      <c r="B841" s="746"/>
      <c r="C841" s="745"/>
      <c r="D841" s="751"/>
      <c r="E841" s="435"/>
      <c r="F841" s="736"/>
      <c r="G841" s="314"/>
      <c r="H841" s="435"/>
      <c r="I841" s="740"/>
      <c r="J841" s="435"/>
      <c r="K841" s="435"/>
      <c r="L841" s="744"/>
      <c r="M841" s="744"/>
      <c r="N841" s="744"/>
      <c r="O841" s="318"/>
      <c r="P841" s="740"/>
      <c r="Q841" s="744"/>
      <c r="R841" s="435"/>
      <c r="S841" s="435"/>
      <c r="T841" s="435"/>
      <c r="U841" s="435"/>
      <c r="V841" s="435"/>
      <c r="W841" s="740"/>
      <c r="X841" s="744"/>
      <c r="Y841" s="435"/>
      <c r="Z841" s="749"/>
      <c r="AA841" s="753"/>
      <c r="AB841" s="324"/>
      <c r="AC841" s="180"/>
      <c r="AD841" s="155"/>
      <c r="AE841" s="322"/>
      <c r="AF841" s="132"/>
      <c r="AG841" s="132"/>
    </row>
    <row r="842">
      <c r="A842" s="474"/>
      <c r="B842" s="746"/>
      <c r="C842" s="312"/>
      <c r="D842" s="751"/>
      <c r="E842" s="435"/>
      <c r="F842" s="736"/>
      <c r="G842" s="314"/>
      <c r="H842" s="435"/>
      <c r="I842" s="740"/>
      <c r="J842" s="435"/>
      <c r="K842" s="314"/>
      <c r="L842" s="315"/>
      <c r="M842" s="315"/>
      <c r="N842" s="744"/>
      <c r="O842" s="318"/>
      <c r="P842" s="318"/>
      <c r="Q842" s="744"/>
      <c r="R842" s="314"/>
      <c r="S842" s="435"/>
      <c r="T842" s="435"/>
      <c r="U842" s="435"/>
      <c r="V842" s="435"/>
      <c r="W842" s="740"/>
      <c r="X842" s="744"/>
      <c r="Y842" s="435"/>
      <c r="Z842" s="749"/>
      <c r="AA842" s="753"/>
      <c r="AB842" s="324"/>
      <c r="AC842" s="180"/>
      <c r="AD842" s="155"/>
      <c r="AE842" s="322"/>
      <c r="AF842" s="132"/>
      <c r="AG842" s="132"/>
    </row>
    <row r="843">
      <c r="A843" s="474"/>
      <c r="B843" s="695"/>
      <c r="C843" s="312"/>
      <c r="D843" s="717"/>
      <c r="E843" s="314"/>
      <c r="F843" s="736"/>
      <c r="G843" s="314"/>
      <c r="H843" s="314"/>
      <c r="I843" s="318"/>
      <c r="J843" s="314"/>
      <c r="K843" s="435"/>
      <c r="L843" s="315"/>
      <c r="M843" s="315"/>
      <c r="N843" s="315"/>
      <c r="O843" s="318"/>
      <c r="P843" s="740"/>
      <c r="Q843" s="315"/>
      <c r="R843" s="314"/>
      <c r="S843" s="314"/>
      <c r="T843" s="314"/>
      <c r="U843" s="314"/>
      <c r="V843" s="314"/>
      <c r="W843" s="318"/>
      <c r="X843" s="315"/>
      <c r="Y843" s="314"/>
      <c r="Z843" s="721"/>
      <c r="AA843" s="737"/>
      <c r="AB843" s="324"/>
      <c r="AC843" s="180"/>
      <c r="AD843" s="155"/>
      <c r="AE843" s="322"/>
      <c r="AF843" s="132"/>
      <c r="AG843" s="132"/>
    </row>
    <row r="844">
      <c r="A844" s="474"/>
      <c r="B844" s="695"/>
      <c r="C844" s="745"/>
      <c r="D844" s="751"/>
      <c r="E844" s="314"/>
      <c r="F844" s="736"/>
      <c r="G844" s="314"/>
      <c r="H844" s="314"/>
      <c r="I844" s="740"/>
      <c r="J844" s="314"/>
      <c r="K844" s="314"/>
      <c r="L844" s="315"/>
      <c r="M844" s="315"/>
      <c r="N844" s="315"/>
      <c r="O844" s="318"/>
      <c r="P844" s="318"/>
      <c r="Q844" s="315"/>
      <c r="R844" s="314"/>
      <c r="S844" s="314"/>
      <c r="T844" s="314"/>
      <c r="U844" s="314"/>
      <c r="V844" s="314"/>
      <c r="W844" s="318"/>
      <c r="X844" s="315"/>
      <c r="Y844" s="314"/>
      <c r="Z844" s="721"/>
      <c r="AA844" s="737"/>
      <c r="AB844" s="324"/>
      <c r="AC844" s="180"/>
      <c r="AD844" s="155"/>
      <c r="AE844" s="322"/>
      <c r="AF844" s="132"/>
      <c r="AG844" s="132"/>
    </row>
    <row r="845">
      <c r="A845" s="474"/>
      <c r="B845" s="695"/>
      <c r="C845" s="312"/>
      <c r="D845" s="717"/>
      <c r="E845" s="314"/>
      <c r="F845" s="736"/>
      <c r="G845" s="314"/>
      <c r="H845" s="314"/>
      <c r="I845" s="318"/>
      <c r="J845" s="314"/>
      <c r="K845" s="435"/>
      <c r="L845" s="315"/>
      <c r="M845" s="315"/>
      <c r="N845" s="315"/>
      <c r="O845" s="318"/>
      <c r="P845" s="318"/>
      <c r="Q845" s="315"/>
      <c r="R845" s="314"/>
      <c r="S845" s="314"/>
      <c r="T845" s="314"/>
      <c r="U845" s="314"/>
      <c r="V845" s="314"/>
      <c r="W845" s="318"/>
      <c r="X845" s="315"/>
      <c r="Y845" s="314"/>
      <c r="Z845" s="721"/>
      <c r="AA845" s="737"/>
      <c r="AB845" s="324"/>
      <c r="AC845" s="180"/>
      <c r="AD845" s="155"/>
      <c r="AE845" s="322"/>
      <c r="AF845" s="132"/>
      <c r="AG845" s="132"/>
    </row>
    <row r="846">
      <c r="A846" s="458"/>
      <c r="B846" s="695"/>
      <c r="C846" s="745"/>
      <c r="D846" s="717"/>
      <c r="E846" s="314"/>
      <c r="F846" s="736"/>
      <c r="G846" s="314"/>
      <c r="H846" s="314"/>
      <c r="I846" s="318"/>
      <c r="J846" s="435"/>
      <c r="K846" s="435"/>
      <c r="L846" s="315"/>
      <c r="M846" s="315"/>
      <c r="N846" s="315"/>
      <c r="O846" s="318"/>
      <c r="P846" s="318"/>
      <c r="Q846" s="315"/>
      <c r="R846" s="314"/>
      <c r="S846" s="314"/>
      <c r="T846" s="314"/>
      <c r="U846" s="314"/>
      <c r="V846" s="314"/>
      <c r="W846" s="318"/>
      <c r="X846" s="315"/>
      <c r="Y846" s="314"/>
      <c r="Z846" s="721"/>
      <c r="AA846" s="737"/>
      <c r="AB846" s="324"/>
      <c r="AC846" s="180"/>
      <c r="AD846" s="155"/>
      <c r="AE846" s="322"/>
      <c r="AF846" s="132"/>
      <c r="AG846" s="132"/>
    </row>
    <row r="847">
      <c r="A847" s="435"/>
      <c r="B847" s="695"/>
      <c r="C847" s="745"/>
      <c r="D847" s="751"/>
      <c r="E847" s="435"/>
      <c r="F847" s="736"/>
      <c r="G847" s="314"/>
      <c r="H847" s="435"/>
      <c r="I847" s="318"/>
      <c r="J847" s="314"/>
      <c r="K847" s="435"/>
      <c r="L847" s="315"/>
      <c r="M847" s="744"/>
      <c r="N847" s="744"/>
      <c r="O847" s="318"/>
      <c r="P847" s="318"/>
      <c r="Q847" s="315"/>
      <c r="R847" s="435"/>
      <c r="S847" s="314"/>
      <c r="T847" s="314"/>
      <c r="U847" s="314"/>
      <c r="V847" s="314"/>
      <c r="W847" s="318"/>
      <c r="X847" s="315"/>
      <c r="Y847" s="314"/>
      <c r="Z847" s="721"/>
      <c r="AA847" s="737"/>
      <c r="AB847" s="324"/>
      <c r="AC847" s="180"/>
      <c r="AD847" s="155"/>
      <c r="AE847" s="322"/>
      <c r="AF847" s="132"/>
      <c r="AG847" s="132"/>
    </row>
    <row r="848">
      <c r="A848" s="435"/>
      <c r="B848" s="746"/>
      <c r="C848" s="312"/>
      <c r="D848" s="717"/>
      <c r="E848" s="314"/>
      <c r="F848" s="736"/>
      <c r="G848" s="314"/>
      <c r="H848" s="314"/>
      <c r="I848" s="318"/>
      <c r="J848" s="314"/>
      <c r="K848" s="314"/>
      <c r="L848" s="315"/>
      <c r="M848" s="315"/>
      <c r="N848" s="315"/>
      <c r="O848" s="318"/>
      <c r="P848" s="740"/>
      <c r="Q848" s="315"/>
      <c r="R848" s="314"/>
      <c r="S848" s="314"/>
      <c r="T848" s="314"/>
      <c r="U848" s="314"/>
      <c r="V848" s="314"/>
      <c r="W848" s="318"/>
      <c r="X848" s="315"/>
      <c r="Y848" s="314"/>
      <c r="Z848" s="721"/>
      <c r="AA848" s="737"/>
      <c r="AB848" s="324"/>
      <c r="AC848" s="180"/>
      <c r="AD848" s="155"/>
      <c r="AE848" s="322"/>
      <c r="AF848" s="132"/>
      <c r="AG848" s="132"/>
    </row>
    <row r="849">
      <c r="A849" s="435"/>
      <c r="B849" s="746"/>
      <c r="C849" s="312"/>
      <c r="D849" s="717"/>
      <c r="E849" s="314"/>
      <c r="F849" s="736"/>
      <c r="G849" s="314"/>
      <c r="H849" s="314"/>
      <c r="I849" s="318"/>
      <c r="J849" s="314"/>
      <c r="K849" s="314"/>
      <c r="L849" s="315"/>
      <c r="M849" s="315"/>
      <c r="N849" s="315"/>
      <c r="O849" s="318"/>
      <c r="P849" s="318"/>
      <c r="Q849" s="744"/>
      <c r="R849" s="314"/>
      <c r="S849" s="435"/>
      <c r="T849" s="435"/>
      <c r="U849" s="435"/>
      <c r="V849" s="435"/>
      <c r="W849" s="740"/>
      <c r="X849" s="744"/>
      <c r="Y849" s="435"/>
      <c r="Z849" s="749"/>
      <c r="AA849" s="753"/>
      <c r="AB849" s="324"/>
      <c r="AC849" s="180"/>
      <c r="AD849" s="155"/>
      <c r="AE849" s="322"/>
      <c r="AF849" s="132"/>
      <c r="AG849" s="132"/>
    </row>
    <row r="850">
      <c r="A850" s="435"/>
      <c r="B850" s="695"/>
      <c r="C850" s="745"/>
      <c r="D850" s="717"/>
      <c r="E850" s="314"/>
      <c r="F850" s="736"/>
      <c r="G850" s="314"/>
      <c r="H850" s="314"/>
      <c r="I850" s="318"/>
      <c r="J850" s="314"/>
      <c r="K850" s="314"/>
      <c r="L850" s="315"/>
      <c r="M850" s="315"/>
      <c r="N850" s="315"/>
      <c r="O850" s="318"/>
      <c r="P850" s="318"/>
      <c r="Q850" s="315"/>
      <c r="R850" s="435"/>
      <c r="S850" s="314"/>
      <c r="T850" s="314"/>
      <c r="U850" s="314"/>
      <c r="V850" s="314"/>
      <c r="W850" s="318"/>
      <c r="X850" s="315"/>
      <c r="Y850" s="314"/>
      <c r="Z850" s="721"/>
      <c r="AA850" s="737"/>
      <c r="AB850" s="324"/>
      <c r="AC850" s="180"/>
      <c r="AD850" s="155"/>
      <c r="AE850" s="322"/>
      <c r="AF850" s="132"/>
      <c r="AG850" s="132"/>
    </row>
    <row r="851">
      <c r="A851" s="435"/>
      <c r="B851" s="695"/>
      <c r="C851" s="312"/>
      <c r="D851" s="717"/>
      <c r="E851" s="314"/>
      <c r="F851" s="736"/>
      <c r="G851" s="314"/>
      <c r="H851" s="314"/>
      <c r="I851" s="318"/>
      <c r="J851" s="314"/>
      <c r="K851" s="435"/>
      <c r="L851" s="315"/>
      <c r="M851" s="744"/>
      <c r="N851" s="315"/>
      <c r="O851" s="318"/>
      <c r="P851" s="318"/>
      <c r="Q851" s="744"/>
      <c r="R851" s="314"/>
      <c r="S851" s="314"/>
      <c r="T851" s="314"/>
      <c r="U851" s="314"/>
      <c r="V851" s="314"/>
      <c r="W851" s="318"/>
      <c r="X851" s="315"/>
      <c r="Y851" s="314"/>
      <c r="Z851" s="721"/>
      <c r="AA851" s="737"/>
      <c r="AB851" s="324"/>
      <c r="AC851" s="180"/>
      <c r="AD851" s="155"/>
      <c r="AE851" s="322"/>
      <c r="AF851" s="132"/>
      <c r="AG851" s="132"/>
    </row>
    <row r="852">
      <c r="A852" s="435"/>
      <c r="B852" s="695"/>
      <c r="C852" s="745"/>
      <c r="D852" s="751"/>
      <c r="E852" s="314"/>
      <c r="F852" s="736"/>
      <c r="G852" s="314"/>
      <c r="H852" s="314"/>
      <c r="I852" s="318"/>
      <c r="J852" s="314"/>
      <c r="K852" s="435"/>
      <c r="L852" s="315"/>
      <c r="M852" s="744"/>
      <c r="N852" s="315"/>
      <c r="O852" s="318"/>
      <c r="P852" s="318"/>
      <c r="Q852" s="744"/>
      <c r="R852" s="314"/>
      <c r="S852" s="314"/>
      <c r="T852" s="314"/>
      <c r="U852" s="314"/>
      <c r="V852" s="314"/>
      <c r="W852" s="318"/>
      <c r="X852" s="315"/>
      <c r="Y852" s="314"/>
      <c r="Z852" s="721"/>
      <c r="AA852" s="737"/>
      <c r="AB852" s="324"/>
      <c r="AC852" s="180"/>
      <c r="AD852" s="155"/>
      <c r="AE852" s="322"/>
      <c r="AF852" s="132"/>
      <c r="AG852" s="132"/>
    </row>
    <row r="853">
      <c r="A853" s="476"/>
      <c r="AD853" s="176"/>
      <c r="AE853" s="322"/>
      <c r="AF853" s="132"/>
      <c r="AG853" s="132"/>
    </row>
    <row r="854">
      <c r="A854" s="178"/>
      <c r="AE854" s="322"/>
      <c r="AF854" s="132"/>
      <c r="AG854" s="132"/>
    </row>
    <row r="855">
      <c r="A855" s="474"/>
      <c r="B855" s="746"/>
      <c r="C855" s="745"/>
      <c r="D855" s="751"/>
      <c r="E855" s="435"/>
      <c r="F855" s="736"/>
      <c r="G855" s="314"/>
      <c r="H855" s="314"/>
      <c r="I855" s="740"/>
      <c r="J855" s="435"/>
      <c r="K855" s="435"/>
      <c r="L855" s="744"/>
      <c r="M855" s="744"/>
      <c r="N855" s="744"/>
      <c r="O855" s="318"/>
      <c r="P855" s="740"/>
      <c r="Q855" s="744"/>
      <c r="R855" s="435"/>
      <c r="S855" s="435"/>
      <c r="T855" s="435"/>
      <c r="U855" s="435"/>
      <c r="V855" s="435"/>
      <c r="W855" s="740"/>
      <c r="X855" s="744"/>
      <c r="Y855" s="435"/>
      <c r="Z855" s="749"/>
      <c r="AA855" s="753"/>
      <c r="AB855" s="324"/>
      <c r="AC855" s="180"/>
      <c r="AD855" s="155"/>
      <c r="AE855" s="322"/>
      <c r="AF855" s="132"/>
      <c r="AG855" s="132"/>
    </row>
    <row r="856">
      <c r="A856" s="474"/>
      <c r="B856" s="695"/>
      <c r="C856" s="745"/>
      <c r="D856" s="751"/>
      <c r="E856" s="435"/>
      <c r="F856" s="736"/>
      <c r="G856" s="314"/>
      <c r="H856" s="435"/>
      <c r="I856" s="318"/>
      <c r="J856" s="435"/>
      <c r="K856" s="435"/>
      <c r="L856" s="744"/>
      <c r="M856" s="315"/>
      <c r="N856" s="315"/>
      <c r="O856" s="318"/>
      <c r="P856" s="740"/>
      <c r="Q856" s="744"/>
      <c r="R856" s="435"/>
      <c r="S856" s="435"/>
      <c r="T856" s="435"/>
      <c r="U856" s="435"/>
      <c r="V856" s="435"/>
      <c r="W856" s="740"/>
      <c r="X856" s="744"/>
      <c r="Y856" s="435"/>
      <c r="Z856" s="749"/>
      <c r="AA856" s="753"/>
      <c r="AB856" s="324"/>
      <c r="AC856" s="180"/>
      <c r="AD856" s="155"/>
      <c r="AE856" s="322"/>
      <c r="AF856" s="132"/>
      <c r="AG856" s="132"/>
    </row>
    <row r="857">
      <c r="A857" s="477"/>
      <c r="B857" s="746"/>
      <c r="C857" s="745"/>
      <c r="D857" s="751"/>
      <c r="E857" s="314"/>
      <c r="F857" s="736"/>
      <c r="G857" s="314"/>
      <c r="H857" s="435"/>
      <c r="I857" s="740"/>
      <c r="J857" s="435"/>
      <c r="K857" s="435"/>
      <c r="L857" s="744"/>
      <c r="M857" s="744"/>
      <c r="N857" s="744"/>
      <c r="O857" s="318"/>
      <c r="P857" s="740"/>
      <c r="Q857" s="744"/>
      <c r="R857" s="435"/>
      <c r="S857" s="435"/>
      <c r="T857" s="435"/>
      <c r="U857" s="435"/>
      <c r="V857" s="435"/>
      <c r="W857" s="740"/>
      <c r="X857" s="744"/>
      <c r="Y857" s="435"/>
      <c r="Z857" s="749"/>
      <c r="AA857" s="753"/>
      <c r="AB857" s="324"/>
      <c r="AC857" s="180"/>
      <c r="AD857" s="155"/>
      <c r="AE857" s="322"/>
      <c r="AF857" s="132"/>
      <c r="AG857" s="132"/>
    </row>
    <row r="858">
      <c r="A858" s="477"/>
      <c r="B858" s="746"/>
      <c r="C858" s="745"/>
      <c r="D858" s="751"/>
      <c r="E858" s="314"/>
      <c r="F858" s="736"/>
      <c r="G858" s="314"/>
      <c r="H858" s="435"/>
      <c r="I858" s="318"/>
      <c r="J858" s="314"/>
      <c r="K858" s="435"/>
      <c r="L858" s="744"/>
      <c r="M858" s="744"/>
      <c r="N858" s="315"/>
      <c r="O858" s="318"/>
      <c r="P858" s="740"/>
      <c r="Q858" s="744"/>
      <c r="R858" s="435"/>
      <c r="S858" s="435"/>
      <c r="T858" s="435"/>
      <c r="U858" s="435"/>
      <c r="V858" s="435"/>
      <c r="W858" s="740"/>
      <c r="X858" s="744"/>
      <c r="Y858" s="435"/>
      <c r="Z858" s="749"/>
      <c r="AA858" s="753"/>
      <c r="AB858" s="324"/>
      <c r="AC858" s="180"/>
      <c r="AD858" s="155"/>
      <c r="AE858" s="322"/>
      <c r="AF858" s="132"/>
      <c r="AG858" s="132"/>
    </row>
    <row r="859">
      <c r="A859" s="477"/>
      <c r="B859" s="746"/>
      <c r="C859" s="745"/>
      <c r="D859" s="751"/>
      <c r="E859" s="435"/>
      <c r="F859" s="736"/>
      <c r="G859" s="314"/>
      <c r="H859" s="435"/>
      <c r="I859" s="740"/>
      <c r="J859" s="435"/>
      <c r="K859" s="435"/>
      <c r="L859" s="744"/>
      <c r="M859" s="744"/>
      <c r="N859" s="744"/>
      <c r="O859" s="318"/>
      <c r="P859" s="740"/>
      <c r="Q859" s="744"/>
      <c r="R859" s="435"/>
      <c r="S859" s="435"/>
      <c r="T859" s="435"/>
      <c r="U859" s="435"/>
      <c r="V859" s="435"/>
      <c r="W859" s="740"/>
      <c r="X859" s="744"/>
      <c r="Y859" s="435"/>
      <c r="Z859" s="749"/>
      <c r="AA859" s="753"/>
      <c r="AB859" s="324"/>
      <c r="AC859" s="180"/>
      <c r="AD859" s="155"/>
      <c r="AE859" s="322"/>
      <c r="AF859" s="132"/>
      <c r="AG859" s="132"/>
    </row>
    <row r="860">
      <c r="A860" s="474"/>
      <c r="B860" s="695"/>
      <c r="C860" s="745"/>
      <c r="D860" s="717"/>
      <c r="E860" s="435"/>
      <c r="F860" s="736"/>
      <c r="G860" s="314"/>
      <c r="H860" s="435"/>
      <c r="I860" s="318"/>
      <c r="J860" s="435"/>
      <c r="K860" s="435"/>
      <c r="L860" s="315"/>
      <c r="M860" s="744"/>
      <c r="N860" s="315"/>
      <c r="O860" s="318"/>
      <c r="P860" s="740"/>
      <c r="Q860" s="744"/>
      <c r="R860" s="435"/>
      <c r="S860" s="435"/>
      <c r="T860" s="435"/>
      <c r="U860" s="435"/>
      <c r="V860" s="435"/>
      <c r="W860" s="740"/>
      <c r="X860" s="744"/>
      <c r="Y860" s="435"/>
      <c r="Z860" s="749"/>
      <c r="AA860" s="753"/>
      <c r="AB860" s="324"/>
      <c r="AC860" s="180"/>
      <c r="AD860" s="155"/>
      <c r="AE860" s="322"/>
      <c r="AF860" s="132"/>
      <c r="AG860" s="132"/>
    </row>
    <row r="861">
      <c r="A861" s="478"/>
      <c r="B861" s="746"/>
      <c r="C861" s="745"/>
      <c r="D861" s="751"/>
      <c r="E861" s="435"/>
      <c r="F861" s="736"/>
      <c r="G861" s="314"/>
      <c r="H861" s="435"/>
      <c r="I861" s="740"/>
      <c r="J861" s="435"/>
      <c r="K861" s="435"/>
      <c r="L861" s="744"/>
      <c r="M861" s="744"/>
      <c r="N861" s="744"/>
      <c r="O861" s="318"/>
      <c r="P861" s="740"/>
      <c r="Q861" s="744"/>
      <c r="R861" s="435"/>
      <c r="S861" s="435"/>
      <c r="T861" s="435"/>
      <c r="U861" s="435"/>
      <c r="V861" s="435"/>
      <c r="W861" s="740"/>
      <c r="X861" s="744"/>
      <c r="Y861" s="435"/>
      <c r="Z861" s="749"/>
      <c r="AA861" s="753"/>
      <c r="AB861" s="324"/>
      <c r="AC861" s="180"/>
      <c r="AD861" s="155"/>
      <c r="AE861" s="322"/>
      <c r="AF861" s="132"/>
      <c r="AG861" s="132"/>
    </row>
    <row r="862">
      <c r="A862" s="478"/>
      <c r="B862" s="746"/>
      <c r="C862" s="745"/>
      <c r="D862" s="751"/>
      <c r="E862" s="435"/>
      <c r="F862" s="736"/>
      <c r="G862" s="314"/>
      <c r="H862" s="435"/>
      <c r="I862" s="740"/>
      <c r="J862" s="435"/>
      <c r="K862" s="435"/>
      <c r="L862" s="744"/>
      <c r="M862" s="744"/>
      <c r="N862" s="744"/>
      <c r="O862" s="318"/>
      <c r="P862" s="740"/>
      <c r="Q862" s="744"/>
      <c r="R862" s="435"/>
      <c r="S862" s="435"/>
      <c r="T862" s="435"/>
      <c r="U862" s="435"/>
      <c r="V862" s="435"/>
      <c r="W862" s="740"/>
      <c r="X862" s="744"/>
      <c r="Y862" s="435"/>
      <c r="Z862" s="749"/>
      <c r="AA862" s="753"/>
      <c r="AB862" s="324"/>
      <c r="AC862" s="180"/>
      <c r="AD862" s="155"/>
      <c r="AE862" s="322"/>
      <c r="AF862" s="132"/>
      <c r="AG862" s="132"/>
    </row>
    <row r="863">
      <c r="A863" s="478"/>
      <c r="B863" s="746"/>
      <c r="C863" s="745"/>
      <c r="D863" s="717"/>
      <c r="E863" s="314"/>
      <c r="F863" s="736"/>
      <c r="G863" s="314"/>
      <c r="H863" s="435"/>
      <c r="I863" s="740"/>
      <c r="J863" s="314"/>
      <c r="K863" s="435"/>
      <c r="L863" s="315"/>
      <c r="M863" s="744"/>
      <c r="N863" s="315"/>
      <c r="O863" s="318"/>
      <c r="P863" s="318"/>
      <c r="Q863" s="315"/>
      <c r="R863" s="314"/>
      <c r="S863" s="435"/>
      <c r="T863" s="435"/>
      <c r="U863" s="435"/>
      <c r="V863" s="435"/>
      <c r="W863" s="740"/>
      <c r="X863" s="744"/>
      <c r="Y863" s="435"/>
      <c r="Z863" s="749"/>
      <c r="AA863" s="753"/>
      <c r="AB863" s="324"/>
      <c r="AC863" s="180"/>
      <c r="AD863" s="155"/>
      <c r="AE863" s="322"/>
      <c r="AF863" s="132"/>
      <c r="AG863" s="132"/>
    </row>
    <row r="864">
      <c r="A864" s="477"/>
      <c r="B864" s="695"/>
      <c r="C864" s="745"/>
      <c r="D864" s="751"/>
      <c r="E864" s="435"/>
      <c r="F864" s="736"/>
      <c r="G864" s="314"/>
      <c r="H864" s="435"/>
      <c r="I864" s="740"/>
      <c r="J864" s="435"/>
      <c r="K864" s="435"/>
      <c r="L864" s="744"/>
      <c r="M864" s="744"/>
      <c r="N864" s="744"/>
      <c r="O864" s="318"/>
      <c r="P864" s="740"/>
      <c r="Q864" s="744"/>
      <c r="R864" s="435"/>
      <c r="S864" s="435"/>
      <c r="T864" s="435"/>
      <c r="U864" s="435"/>
      <c r="V864" s="435"/>
      <c r="W864" s="740"/>
      <c r="X864" s="744"/>
      <c r="Y864" s="435"/>
      <c r="Z864" s="749"/>
      <c r="AA864" s="753"/>
      <c r="AB864" s="324"/>
      <c r="AC864" s="180"/>
      <c r="AD864" s="155"/>
      <c r="AE864" s="322"/>
      <c r="AF864" s="132"/>
      <c r="AG864" s="132"/>
    </row>
    <row r="865">
      <c r="A865" s="477"/>
      <c r="B865" s="695"/>
      <c r="C865" s="312"/>
      <c r="D865" s="717"/>
      <c r="E865" s="314"/>
      <c r="F865" s="736"/>
      <c r="G865" s="314"/>
      <c r="H865" s="435"/>
      <c r="I865" s="318"/>
      <c r="J865" s="314"/>
      <c r="K865" s="314"/>
      <c r="L865" s="315"/>
      <c r="M865" s="315"/>
      <c r="N865" s="744"/>
      <c r="O865" s="318"/>
      <c r="P865" s="318"/>
      <c r="Q865" s="744"/>
      <c r="R865" s="314"/>
      <c r="S865" s="314"/>
      <c r="T865" s="314"/>
      <c r="U865" s="314"/>
      <c r="V865" s="314"/>
      <c r="W865" s="318"/>
      <c r="X865" s="315"/>
      <c r="Y865" s="314"/>
      <c r="Z865" s="721"/>
      <c r="AA865" s="737"/>
      <c r="AB865" s="324"/>
      <c r="AC865" s="180"/>
      <c r="AD865" s="155"/>
      <c r="AE865" s="322"/>
      <c r="AF865" s="132"/>
      <c r="AG865" s="132"/>
    </row>
    <row r="866">
      <c r="A866" s="477"/>
      <c r="B866" s="695"/>
      <c r="C866" s="312"/>
      <c r="D866" s="717"/>
      <c r="E866" s="314"/>
      <c r="F866" s="736"/>
      <c r="G866" s="314"/>
      <c r="H866" s="314"/>
      <c r="I866" s="318"/>
      <c r="J866" s="314"/>
      <c r="K866" s="314"/>
      <c r="L866" s="315"/>
      <c r="M866" s="315"/>
      <c r="N866" s="315"/>
      <c r="O866" s="318"/>
      <c r="P866" s="318"/>
      <c r="Q866" s="315"/>
      <c r="R866" s="314"/>
      <c r="S866" s="314"/>
      <c r="T866" s="314"/>
      <c r="U866" s="314"/>
      <c r="V866" s="314"/>
      <c r="W866" s="318"/>
      <c r="X866" s="315"/>
      <c r="Y866" s="314"/>
      <c r="Z866" s="721"/>
      <c r="AA866" s="737"/>
      <c r="AB866" s="324"/>
      <c r="AC866" s="180"/>
      <c r="AD866" s="155"/>
      <c r="AE866" s="322"/>
      <c r="AF866" s="132"/>
      <c r="AG866" s="132"/>
    </row>
    <row r="867">
      <c r="A867" s="476"/>
      <c r="AD867" s="176"/>
      <c r="AE867" s="322"/>
      <c r="AF867" s="132"/>
      <c r="AG867" s="132"/>
    </row>
    <row r="868">
      <c r="A868" s="178"/>
      <c r="AE868" s="322"/>
      <c r="AF868" s="132"/>
      <c r="AG868" s="132"/>
    </row>
    <row r="869">
      <c r="A869" s="477"/>
      <c r="B869" s="746"/>
      <c r="C869" s="745"/>
      <c r="D869" s="751"/>
      <c r="E869" s="314"/>
      <c r="F869" s="736"/>
      <c r="G869" s="314"/>
      <c r="H869" s="314"/>
      <c r="I869" s="318"/>
      <c r="J869" s="314"/>
      <c r="K869" s="435"/>
      <c r="L869" s="744"/>
      <c r="M869" s="315"/>
      <c r="N869" s="315"/>
      <c r="O869" s="318"/>
      <c r="P869" s="318"/>
      <c r="Q869" s="744"/>
      <c r="R869" s="435"/>
      <c r="S869" s="435"/>
      <c r="T869" s="435"/>
      <c r="U869" s="435"/>
      <c r="V869" s="435"/>
      <c r="W869" s="740"/>
      <c r="X869" s="744"/>
      <c r="Y869" s="435"/>
      <c r="Z869" s="749"/>
      <c r="AA869" s="753"/>
      <c r="AB869" s="324"/>
      <c r="AC869" s="180"/>
      <c r="AD869" s="155"/>
      <c r="AE869" s="322"/>
      <c r="AF869" s="132"/>
      <c r="AG869" s="132"/>
    </row>
    <row r="870">
      <c r="A870" s="477"/>
      <c r="B870" s="695"/>
      <c r="C870" s="745"/>
      <c r="D870" s="751"/>
      <c r="E870" s="314"/>
      <c r="F870" s="736"/>
      <c r="G870" s="314"/>
      <c r="H870" s="314"/>
      <c r="I870" s="740"/>
      <c r="J870" s="435"/>
      <c r="K870" s="435"/>
      <c r="L870" s="315"/>
      <c r="M870" s="744"/>
      <c r="N870" s="315"/>
      <c r="O870" s="318"/>
      <c r="P870" s="318"/>
      <c r="Q870" s="744"/>
      <c r="R870" s="435"/>
      <c r="S870" s="435"/>
      <c r="T870" s="435"/>
      <c r="U870" s="435"/>
      <c r="V870" s="435"/>
      <c r="W870" s="740"/>
      <c r="X870" s="744"/>
      <c r="Y870" s="435"/>
      <c r="Z870" s="749"/>
      <c r="AA870" s="753"/>
      <c r="AB870" s="324"/>
      <c r="AC870" s="180"/>
      <c r="AD870" s="155"/>
      <c r="AE870" s="322"/>
      <c r="AF870" s="132"/>
      <c r="AG870" s="132"/>
    </row>
    <row r="871">
      <c r="A871" s="477"/>
      <c r="B871" s="695"/>
      <c r="C871" s="745"/>
      <c r="D871" s="751"/>
      <c r="E871" s="435"/>
      <c r="F871" s="736"/>
      <c r="G871" s="314"/>
      <c r="H871" s="435"/>
      <c r="I871" s="318"/>
      <c r="J871" s="314"/>
      <c r="K871" s="435"/>
      <c r="L871" s="315"/>
      <c r="M871" s="744"/>
      <c r="N871" s="744"/>
      <c r="O871" s="318"/>
      <c r="P871" s="740"/>
      <c r="Q871" s="744"/>
      <c r="R871" s="435"/>
      <c r="S871" s="435"/>
      <c r="T871" s="435"/>
      <c r="U871" s="435"/>
      <c r="V871" s="435"/>
      <c r="W871" s="740"/>
      <c r="X871" s="744"/>
      <c r="Y871" s="435"/>
      <c r="Z871" s="749"/>
      <c r="AA871" s="753"/>
      <c r="AB871" s="324"/>
      <c r="AC871" s="180"/>
      <c r="AD871" s="155"/>
      <c r="AE871" s="322"/>
      <c r="AF871" s="132"/>
      <c r="AG871" s="132"/>
    </row>
    <row r="872">
      <c r="A872" s="479"/>
      <c r="B872" s="695"/>
      <c r="C872" s="312"/>
      <c r="D872" s="717"/>
      <c r="E872" s="314"/>
      <c r="F872" s="736"/>
      <c r="G872" s="314"/>
      <c r="H872" s="314"/>
      <c r="I872" s="318"/>
      <c r="J872" s="314"/>
      <c r="K872" s="314"/>
      <c r="L872" s="315"/>
      <c r="M872" s="315"/>
      <c r="N872" s="315"/>
      <c r="O872" s="318"/>
      <c r="P872" s="318"/>
      <c r="Q872" s="744"/>
      <c r="R872" s="314"/>
      <c r="S872" s="314"/>
      <c r="T872" s="314"/>
      <c r="U872" s="314"/>
      <c r="V872" s="314"/>
      <c r="W872" s="318"/>
      <c r="X872" s="315"/>
      <c r="Y872" s="314"/>
      <c r="Z872" s="721"/>
      <c r="AA872" s="737"/>
      <c r="AB872" s="324"/>
      <c r="AC872" s="180"/>
      <c r="AD872" s="155"/>
      <c r="AE872" s="322"/>
      <c r="AF872" s="132"/>
      <c r="AG872" s="132"/>
    </row>
    <row r="873">
      <c r="A873" s="476"/>
      <c r="AD873" s="176"/>
      <c r="AE873" s="322"/>
      <c r="AF873" s="132"/>
      <c r="AG873" s="132"/>
    </row>
    <row r="874">
      <c r="A874" s="178"/>
      <c r="AE874" s="322"/>
      <c r="AF874" s="132"/>
      <c r="AG874" s="132"/>
    </row>
    <row r="875">
      <c r="A875" s="480"/>
      <c r="B875" s="695"/>
      <c r="C875" s="745"/>
      <c r="D875" s="717"/>
      <c r="E875" s="314"/>
      <c r="F875" s="736"/>
      <c r="G875" s="314"/>
      <c r="H875" s="314"/>
      <c r="I875" s="318"/>
      <c r="J875" s="435"/>
      <c r="K875" s="435"/>
      <c r="L875" s="315"/>
      <c r="M875" s="315"/>
      <c r="N875" s="315"/>
      <c r="O875" s="318"/>
      <c r="P875" s="318"/>
      <c r="Q875" s="744"/>
      <c r="R875" s="314"/>
      <c r="S875" s="314"/>
      <c r="T875" s="314"/>
      <c r="U875" s="314"/>
      <c r="V875" s="314"/>
      <c r="W875" s="318"/>
      <c r="X875" s="315"/>
      <c r="Y875" s="314"/>
      <c r="Z875" s="721"/>
      <c r="AA875" s="737"/>
      <c r="AB875" s="324"/>
      <c r="AC875" s="180"/>
      <c r="AD875" s="180"/>
      <c r="AE875" s="322"/>
      <c r="AF875" s="132"/>
      <c r="AG875" s="132"/>
    </row>
    <row r="876">
      <c r="A876" s="480"/>
      <c r="B876" s="695"/>
      <c r="C876" s="745"/>
      <c r="D876" s="717"/>
      <c r="E876" s="314"/>
      <c r="F876" s="736"/>
      <c r="G876" s="314"/>
      <c r="H876" s="435"/>
      <c r="I876" s="318"/>
      <c r="J876" s="435"/>
      <c r="K876" s="435"/>
      <c r="L876" s="315"/>
      <c r="M876" s="744"/>
      <c r="N876" s="744"/>
      <c r="O876" s="318"/>
      <c r="P876" s="740"/>
      <c r="Q876" s="744"/>
      <c r="R876" s="314"/>
      <c r="S876" s="435"/>
      <c r="T876" s="435"/>
      <c r="U876" s="435"/>
      <c r="V876" s="435"/>
      <c r="W876" s="740"/>
      <c r="X876" s="744"/>
      <c r="Y876" s="435"/>
      <c r="Z876" s="749"/>
      <c r="AA876" s="753"/>
      <c r="AB876" s="324"/>
      <c r="AC876" s="180"/>
      <c r="AD876" s="180"/>
      <c r="AE876" s="322"/>
      <c r="AF876" s="132"/>
      <c r="AG876" s="132"/>
    </row>
    <row r="877">
      <c r="A877" s="476"/>
      <c r="AD877" s="176"/>
      <c r="AE877" s="322"/>
      <c r="AF877" s="132"/>
      <c r="AG877" s="132"/>
    </row>
    <row r="878">
      <c r="A878" s="178"/>
      <c r="AE878" s="322"/>
      <c r="AF878" s="132"/>
      <c r="AG878" s="132"/>
    </row>
    <row r="879">
      <c r="A879" s="481"/>
      <c r="B879" s="695"/>
      <c r="C879" s="745"/>
      <c r="D879" s="751"/>
      <c r="E879" s="435"/>
      <c r="F879" s="736"/>
      <c r="G879" s="435"/>
      <c r="H879" s="435"/>
      <c r="I879" s="740"/>
      <c r="J879" s="314"/>
      <c r="K879" s="435"/>
      <c r="L879" s="744"/>
      <c r="M879" s="744"/>
      <c r="N879" s="315"/>
      <c r="O879" s="318"/>
      <c r="P879" s="740"/>
      <c r="Q879" s="744"/>
      <c r="R879" s="435"/>
      <c r="S879" s="435"/>
      <c r="T879" s="435"/>
      <c r="U879" s="435"/>
      <c r="V879" s="435"/>
      <c r="W879" s="740"/>
      <c r="X879" s="744"/>
      <c r="Y879" s="435"/>
      <c r="Z879" s="749"/>
      <c r="AA879" s="753"/>
      <c r="AB879" s="324"/>
      <c r="AC879" s="180"/>
      <c r="AD879" s="155"/>
      <c r="AE879" s="322"/>
      <c r="AF879" s="132"/>
      <c r="AG879" s="132"/>
    </row>
    <row r="880">
      <c r="A880" s="435"/>
      <c r="B880" s="695"/>
      <c r="C880" s="745"/>
      <c r="D880" s="751"/>
      <c r="E880" s="314"/>
      <c r="F880" s="736"/>
      <c r="G880" s="314"/>
      <c r="H880" s="435"/>
      <c r="I880" s="318"/>
      <c r="J880" s="435"/>
      <c r="K880" s="435"/>
      <c r="L880" s="315"/>
      <c r="M880" s="315"/>
      <c r="N880" s="315"/>
      <c r="O880" s="318"/>
      <c r="P880" s="740"/>
      <c r="Q880" s="744"/>
      <c r="R880" s="435"/>
      <c r="S880" s="435"/>
      <c r="T880" s="435"/>
      <c r="U880" s="435"/>
      <c r="V880" s="435"/>
      <c r="W880" s="740"/>
      <c r="X880" s="744"/>
      <c r="Y880" s="435"/>
      <c r="Z880" s="749"/>
      <c r="AA880" s="753"/>
      <c r="AB880" s="324"/>
      <c r="AC880" s="180"/>
      <c r="AD880" s="155"/>
      <c r="AE880" s="322"/>
      <c r="AF880" s="132"/>
      <c r="AG880" s="132"/>
    </row>
    <row r="881">
      <c r="A881" s="482"/>
      <c r="B881" s="695"/>
      <c r="C881" s="312"/>
      <c r="D881" s="751"/>
      <c r="E881" s="314"/>
      <c r="F881" s="736"/>
      <c r="G881" s="314"/>
      <c r="H881" s="314"/>
      <c r="I881" s="318"/>
      <c r="J881" s="314"/>
      <c r="K881" s="435"/>
      <c r="L881" s="315"/>
      <c r="M881" s="315"/>
      <c r="N881" s="315"/>
      <c r="O881" s="318"/>
      <c r="P881" s="318"/>
      <c r="Q881" s="315"/>
      <c r="R881" s="435"/>
      <c r="S881" s="314"/>
      <c r="T881" s="314"/>
      <c r="U881" s="314"/>
      <c r="V881" s="314"/>
      <c r="W881" s="318"/>
      <c r="X881" s="315"/>
      <c r="Y881" s="314"/>
      <c r="Z881" s="721"/>
      <c r="AA881" s="737"/>
      <c r="AB881" s="324"/>
      <c r="AC881" s="180"/>
      <c r="AD881" s="155"/>
      <c r="AE881" s="322"/>
      <c r="AF881" s="132"/>
      <c r="AG881" s="132"/>
    </row>
    <row r="882">
      <c r="A882" s="482"/>
      <c r="B882" s="695"/>
      <c r="C882" s="745"/>
      <c r="D882" s="751"/>
      <c r="E882" s="435"/>
      <c r="F882" s="736"/>
      <c r="G882" s="314"/>
      <c r="H882" s="435"/>
      <c r="I882" s="740"/>
      <c r="J882" s="435"/>
      <c r="K882" s="435"/>
      <c r="L882" s="744"/>
      <c r="M882" s="744"/>
      <c r="N882" s="744"/>
      <c r="O882" s="318"/>
      <c r="P882" s="740"/>
      <c r="Q882" s="744"/>
      <c r="R882" s="435"/>
      <c r="S882" s="435"/>
      <c r="T882" s="435"/>
      <c r="U882" s="435"/>
      <c r="V882" s="435"/>
      <c r="W882" s="740"/>
      <c r="X882" s="744"/>
      <c r="Y882" s="435"/>
      <c r="Z882" s="749"/>
      <c r="AA882" s="753"/>
      <c r="AB882" s="324"/>
      <c r="AC882" s="180"/>
      <c r="AD882" s="155"/>
      <c r="AE882" s="322"/>
      <c r="AF882" s="132"/>
      <c r="AG882" s="132"/>
    </row>
    <row r="883">
      <c r="A883" s="314"/>
      <c r="B883" s="695"/>
      <c r="C883" s="312"/>
      <c r="D883" s="717"/>
      <c r="E883" s="314"/>
      <c r="F883" s="736"/>
      <c r="G883" s="314"/>
      <c r="H883" s="314"/>
      <c r="I883" s="318"/>
      <c r="J883" s="314"/>
      <c r="K883" s="314"/>
      <c r="L883" s="315"/>
      <c r="M883" s="315"/>
      <c r="N883" s="315"/>
      <c r="O883" s="318"/>
      <c r="P883" s="318"/>
      <c r="Q883" s="315"/>
      <c r="R883" s="314"/>
      <c r="S883" s="314"/>
      <c r="T883" s="314"/>
      <c r="U883" s="314"/>
      <c r="V883" s="314"/>
      <c r="W883" s="318"/>
      <c r="X883" s="315"/>
      <c r="Y883" s="314"/>
      <c r="Z883" s="721"/>
      <c r="AA883" s="737"/>
      <c r="AB883" s="483"/>
      <c r="AD883" s="484"/>
      <c r="AE883" s="322"/>
      <c r="AF883" s="132"/>
      <c r="AG883" s="132"/>
    </row>
    <row r="884">
      <c r="A884" s="314"/>
      <c r="B884" s="695"/>
      <c r="C884" s="312"/>
      <c r="D884" s="717"/>
      <c r="E884" s="314"/>
      <c r="F884" s="736"/>
      <c r="G884" s="314"/>
      <c r="H884" s="314"/>
      <c r="I884" s="318"/>
      <c r="J884" s="314"/>
      <c r="K884" s="314"/>
      <c r="L884" s="315"/>
      <c r="M884" s="315"/>
      <c r="N884" s="315"/>
      <c r="O884" s="318"/>
      <c r="P884" s="318"/>
      <c r="Q884" s="315"/>
      <c r="R884" s="314"/>
      <c r="S884" s="314"/>
      <c r="T884" s="314"/>
      <c r="U884" s="314"/>
      <c r="V884" s="314"/>
      <c r="W884" s="318"/>
      <c r="X884" s="315"/>
      <c r="Y884" s="314"/>
      <c r="Z884" s="721"/>
      <c r="AA884" s="737"/>
      <c r="AB884" s="324"/>
      <c r="AC884" s="155"/>
      <c r="AD884" s="155"/>
      <c r="AE884" s="322"/>
      <c r="AF884" s="132"/>
      <c r="AG884" s="132"/>
    </row>
    <row r="885">
      <c r="A885" s="314"/>
      <c r="B885" s="695"/>
      <c r="C885" s="312"/>
      <c r="D885" s="717"/>
      <c r="E885" s="314"/>
      <c r="F885" s="736"/>
      <c r="G885" s="314"/>
      <c r="H885" s="314"/>
      <c r="I885" s="318"/>
      <c r="J885" s="314"/>
      <c r="K885" s="314"/>
      <c r="L885" s="315"/>
      <c r="M885" s="315"/>
      <c r="N885" s="315"/>
      <c r="O885" s="318"/>
      <c r="P885" s="318"/>
      <c r="Q885" s="315"/>
      <c r="R885" s="314"/>
      <c r="S885" s="314"/>
      <c r="T885" s="314"/>
      <c r="U885" s="314"/>
      <c r="V885" s="314"/>
      <c r="W885" s="318"/>
      <c r="X885" s="315"/>
      <c r="Y885" s="314"/>
      <c r="Z885" s="721"/>
      <c r="AA885" s="737"/>
      <c r="AB885" s="324"/>
      <c r="AC885" s="155"/>
      <c r="AD885" s="155"/>
      <c r="AE885" s="322"/>
      <c r="AF885" s="132"/>
      <c r="AG885" s="132"/>
    </row>
    <row r="886">
      <c r="A886" s="314"/>
      <c r="B886" s="695"/>
      <c r="C886" s="312"/>
      <c r="D886" s="717"/>
      <c r="E886" s="314"/>
      <c r="F886" s="736"/>
      <c r="G886" s="314"/>
      <c r="H886" s="314"/>
      <c r="I886" s="318"/>
      <c r="J886" s="314"/>
      <c r="K886" s="314"/>
      <c r="L886" s="315"/>
      <c r="M886" s="315"/>
      <c r="N886" s="315"/>
      <c r="O886" s="318"/>
      <c r="P886" s="318"/>
      <c r="Q886" s="315"/>
      <c r="R886" s="314"/>
      <c r="S886" s="314"/>
      <c r="T886" s="314"/>
      <c r="U886" s="314"/>
      <c r="V886" s="314"/>
      <c r="W886" s="318"/>
      <c r="X886" s="315"/>
      <c r="Y886" s="314"/>
      <c r="Z886" s="721"/>
      <c r="AA886" s="737"/>
      <c r="AB886" s="324"/>
      <c r="AC886" s="155"/>
      <c r="AD886" s="155"/>
      <c r="AE886" s="322"/>
      <c r="AF886" s="132"/>
      <c r="AG886" s="132"/>
    </row>
    <row r="887">
      <c r="A887" s="314"/>
      <c r="B887" s="695"/>
      <c r="C887" s="312"/>
      <c r="D887" s="717"/>
      <c r="E887" s="314"/>
      <c r="F887" s="736"/>
      <c r="G887" s="314"/>
      <c r="H887" s="314"/>
      <c r="I887" s="318"/>
      <c r="J887" s="314"/>
      <c r="K887" s="314"/>
      <c r="L887" s="315"/>
      <c r="M887" s="315"/>
      <c r="N887" s="315"/>
      <c r="O887" s="318"/>
      <c r="P887" s="318"/>
      <c r="Q887" s="315"/>
      <c r="R887" s="314"/>
      <c r="S887" s="314"/>
      <c r="T887" s="314"/>
      <c r="U887" s="314"/>
      <c r="V887" s="314"/>
      <c r="W887" s="318"/>
      <c r="X887" s="315"/>
      <c r="Y887" s="314"/>
      <c r="Z887" s="721"/>
      <c r="AA887" s="737"/>
      <c r="AB887" s="324"/>
      <c r="AC887" s="155"/>
      <c r="AD887" s="155"/>
      <c r="AE887" s="322"/>
      <c r="AF887" s="132"/>
      <c r="AG887" s="132"/>
    </row>
    <row r="888">
      <c r="A888" s="314"/>
      <c r="B888" s="695"/>
      <c r="C888" s="312"/>
      <c r="D888" s="717"/>
      <c r="E888" s="314"/>
      <c r="F888" s="736"/>
      <c r="G888" s="314"/>
      <c r="H888" s="314"/>
      <c r="I888" s="318"/>
      <c r="J888" s="314"/>
      <c r="K888" s="314"/>
      <c r="L888" s="315"/>
      <c r="M888" s="315"/>
      <c r="N888" s="315"/>
      <c r="O888" s="318"/>
      <c r="P888" s="318"/>
      <c r="Q888" s="315"/>
      <c r="R888" s="314"/>
      <c r="S888" s="314"/>
      <c r="T888" s="314"/>
      <c r="U888" s="314"/>
      <c r="V888" s="314"/>
      <c r="W888" s="318"/>
      <c r="X888" s="315"/>
      <c r="Y888" s="314"/>
      <c r="Z888" s="721"/>
      <c r="AA888" s="737"/>
      <c r="AB888" s="324"/>
      <c r="AC888" s="155"/>
      <c r="AD888" s="155"/>
      <c r="AE888" s="322"/>
      <c r="AF888" s="132"/>
      <c r="AG888" s="132"/>
    </row>
    <row r="889">
      <c r="A889" s="314"/>
      <c r="B889" s="695"/>
      <c r="C889" s="312"/>
      <c r="D889" s="717"/>
      <c r="E889" s="314"/>
      <c r="F889" s="736"/>
      <c r="G889" s="314"/>
      <c r="H889" s="314"/>
      <c r="I889" s="318"/>
      <c r="J889" s="314"/>
      <c r="K889" s="314"/>
      <c r="L889" s="315"/>
      <c r="M889" s="315"/>
      <c r="N889" s="315"/>
      <c r="O889" s="318"/>
      <c r="P889" s="318"/>
      <c r="Q889" s="315"/>
      <c r="R889" s="314"/>
      <c r="S889" s="314"/>
      <c r="T889" s="314"/>
      <c r="U889" s="314"/>
      <c r="V889" s="314"/>
      <c r="W889" s="318"/>
      <c r="X889" s="315"/>
      <c r="Y889" s="314"/>
      <c r="Z889" s="721"/>
      <c r="AA889" s="737"/>
      <c r="AB889" s="324"/>
      <c r="AC889" s="155"/>
      <c r="AD889" s="155"/>
      <c r="AE889" s="322"/>
      <c r="AF889" s="132"/>
      <c r="AG889" s="132"/>
    </row>
    <row r="890">
      <c r="A890" s="314"/>
      <c r="B890" s="695"/>
      <c r="C890" s="312"/>
      <c r="D890" s="717"/>
      <c r="E890" s="314"/>
      <c r="F890" s="736"/>
      <c r="G890" s="314"/>
      <c r="H890" s="314"/>
      <c r="I890" s="318"/>
      <c r="J890" s="314"/>
      <c r="K890" s="314"/>
      <c r="L890" s="315"/>
      <c r="M890" s="315"/>
      <c r="N890" s="315"/>
      <c r="O890" s="318"/>
      <c r="P890" s="318"/>
      <c r="Q890" s="315"/>
      <c r="R890" s="314"/>
      <c r="S890" s="314"/>
      <c r="T890" s="314"/>
      <c r="U890" s="314"/>
      <c r="V890" s="314"/>
      <c r="W890" s="318"/>
      <c r="X890" s="315"/>
      <c r="Y890" s="314"/>
      <c r="Z890" s="721"/>
      <c r="AA890" s="737"/>
      <c r="AB890" s="324"/>
      <c r="AC890" s="155"/>
      <c r="AD890" s="155"/>
      <c r="AE890" s="322"/>
      <c r="AF890" s="132"/>
      <c r="AG890" s="132"/>
    </row>
    <row r="891">
      <c r="A891" s="314"/>
      <c r="B891" s="695"/>
      <c r="C891" s="312"/>
      <c r="D891" s="717"/>
      <c r="E891" s="314"/>
      <c r="F891" s="736"/>
      <c r="G891" s="314"/>
      <c r="H891" s="314"/>
      <c r="I891" s="318"/>
      <c r="J891" s="314"/>
      <c r="K891" s="314"/>
      <c r="L891" s="315"/>
      <c r="M891" s="315"/>
      <c r="N891" s="315"/>
      <c r="O891" s="318"/>
      <c r="P891" s="318"/>
      <c r="Q891" s="315"/>
      <c r="R891" s="314"/>
      <c r="S891" s="314"/>
      <c r="T891" s="314"/>
      <c r="U891" s="314"/>
      <c r="V891" s="314"/>
      <c r="W891" s="318"/>
      <c r="X891" s="315"/>
      <c r="Y891" s="314"/>
      <c r="Z891" s="721"/>
      <c r="AA891" s="737"/>
      <c r="AB891" s="324"/>
      <c r="AC891" s="155"/>
      <c r="AD891" s="155"/>
      <c r="AE891" s="322"/>
      <c r="AF891" s="132"/>
      <c r="AG891" s="132"/>
    </row>
    <row r="892">
      <c r="A892" s="314"/>
      <c r="B892" s="695"/>
      <c r="C892" s="312"/>
      <c r="D892" s="717"/>
      <c r="E892" s="314"/>
      <c r="F892" s="736"/>
      <c r="G892" s="314"/>
      <c r="H892" s="314"/>
      <c r="I892" s="318"/>
      <c r="J892" s="314"/>
      <c r="K892" s="314"/>
      <c r="L892" s="315"/>
      <c r="M892" s="315"/>
      <c r="N892" s="315"/>
      <c r="O892" s="318"/>
      <c r="P892" s="318"/>
      <c r="Q892" s="315"/>
      <c r="R892" s="314"/>
      <c r="S892" s="314"/>
      <c r="T892" s="314"/>
      <c r="U892" s="314"/>
      <c r="V892" s="314"/>
      <c r="W892" s="318"/>
      <c r="X892" s="315"/>
      <c r="Y892" s="314"/>
      <c r="Z892" s="721"/>
      <c r="AA892" s="737"/>
      <c r="AB892" s="324"/>
      <c r="AC892" s="155"/>
      <c r="AD892" s="155"/>
      <c r="AE892" s="322"/>
      <c r="AF892" s="132"/>
      <c r="AG892" s="132"/>
    </row>
    <row r="893">
      <c r="A893" s="314"/>
      <c r="B893" s="695"/>
      <c r="C893" s="312"/>
      <c r="D893" s="717"/>
      <c r="E893" s="314"/>
      <c r="F893" s="736"/>
      <c r="G893" s="314"/>
      <c r="H893" s="314"/>
      <c r="I893" s="318"/>
      <c r="J893" s="314"/>
      <c r="K893" s="314"/>
      <c r="L893" s="315"/>
      <c r="M893" s="315"/>
      <c r="N893" s="315"/>
      <c r="O893" s="318"/>
      <c r="P893" s="318"/>
      <c r="Q893" s="315"/>
      <c r="R893" s="314"/>
      <c r="S893" s="314"/>
      <c r="T893" s="314"/>
      <c r="U893" s="314"/>
      <c r="V893" s="314"/>
      <c r="W893" s="318"/>
      <c r="X893" s="315"/>
      <c r="Y893" s="314"/>
      <c r="Z893" s="721"/>
      <c r="AA893" s="737"/>
      <c r="AB893" s="324"/>
      <c r="AC893" s="155"/>
      <c r="AD893" s="155"/>
      <c r="AE893" s="322"/>
      <c r="AF893" s="132"/>
      <c r="AG893" s="132"/>
    </row>
    <row r="894">
      <c r="A894" s="314"/>
      <c r="B894" s="695"/>
      <c r="C894" s="312"/>
      <c r="D894" s="717"/>
      <c r="E894" s="314"/>
      <c r="F894" s="736"/>
      <c r="G894" s="314"/>
      <c r="H894" s="314"/>
      <c r="I894" s="318"/>
      <c r="J894" s="314"/>
      <c r="K894" s="314"/>
      <c r="L894" s="315"/>
      <c r="M894" s="315"/>
      <c r="N894" s="315"/>
      <c r="O894" s="318"/>
      <c r="P894" s="318"/>
      <c r="Q894" s="315"/>
      <c r="R894" s="314"/>
      <c r="S894" s="314"/>
      <c r="T894" s="314"/>
      <c r="U894" s="314"/>
      <c r="V894" s="314"/>
      <c r="W894" s="318"/>
      <c r="X894" s="315"/>
      <c r="Y894" s="314"/>
      <c r="Z894" s="721"/>
      <c r="AA894" s="737"/>
      <c r="AB894" s="324"/>
      <c r="AC894" s="155"/>
      <c r="AD894" s="155"/>
      <c r="AE894" s="322"/>
      <c r="AF894" s="132"/>
      <c r="AG894" s="132"/>
    </row>
    <row r="895">
      <c r="A895" s="314"/>
      <c r="B895" s="695"/>
      <c r="C895" s="312"/>
      <c r="D895" s="717"/>
      <c r="E895" s="314"/>
      <c r="F895" s="736"/>
      <c r="G895" s="314"/>
      <c r="H895" s="314"/>
      <c r="I895" s="318"/>
      <c r="J895" s="314"/>
      <c r="K895" s="314"/>
      <c r="L895" s="315"/>
      <c r="M895" s="315"/>
      <c r="N895" s="315"/>
      <c r="O895" s="318"/>
      <c r="P895" s="318"/>
      <c r="Q895" s="315"/>
      <c r="R895" s="314"/>
      <c r="S895" s="314"/>
      <c r="T895" s="314"/>
      <c r="U895" s="314"/>
      <c r="V895" s="314"/>
      <c r="W895" s="318"/>
      <c r="X895" s="315"/>
      <c r="Y895" s="314"/>
      <c r="Z895" s="721"/>
      <c r="AA895" s="737"/>
      <c r="AB895" s="324"/>
      <c r="AC895" s="155"/>
      <c r="AD895" s="155"/>
      <c r="AE895" s="322"/>
      <c r="AF895" s="132"/>
      <c r="AG895" s="132"/>
    </row>
    <row r="896">
      <c r="A896" s="314"/>
      <c r="B896" s="695"/>
      <c r="C896" s="312"/>
      <c r="D896" s="717"/>
      <c r="E896" s="314"/>
      <c r="F896" s="736"/>
      <c r="G896" s="314"/>
      <c r="H896" s="314"/>
      <c r="I896" s="318"/>
      <c r="J896" s="314"/>
      <c r="K896" s="314"/>
      <c r="L896" s="315"/>
      <c r="M896" s="315"/>
      <c r="N896" s="315"/>
      <c r="O896" s="318"/>
      <c r="P896" s="318"/>
      <c r="Q896" s="315"/>
      <c r="R896" s="314"/>
      <c r="S896" s="314"/>
      <c r="T896" s="314"/>
      <c r="U896" s="314"/>
      <c r="V896" s="314"/>
      <c r="W896" s="318"/>
      <c r="X896" s="315"/>
      <c r="Y896" s="314"/>
      <c r="Z896" s="721"/>
      <c r="AA896" s="737"/>
      <c r="AB896" s="324"/>
      <c r="AC896" s="155"/>
      <c r="AD896" s="155"/>
      <c r="AE896" s="322"/>
      <c r="AF896" s="132"/>
      <c r="AG896" s="132"/>
    </row>
    <row r="897">
      <c r="A897" s="314"/>
      <c r="B897" s="695"/>
      <c r="C897" s="312"/>
      <c r="D897" s="717"/>
      <c r="E897" s="314"/>
      <c r="F897" s="736"/>
      <c r="G897" s="314"/>
      <c r="H897" s="314"/>
      <c r="I897" s="318"/>
      <c r="J897" s="314"/>
      <c r="K897" s="314"/>
      <c r="L897" s="315"/>
      <c r="M897" s="315"/>
      <c r="N897" s="315"/>
      <c r="O897" s="318"/>
      <c r="P897" s="318"/>
      <c r="Q897" s="315"/>
      <c r="R897" s="314"/>
      <c r="S897" s="314"/>
      <c r="T897" s="314"/>
      <c r="U897" s="314"/>
      <c r="V897" s="314"/>
      <c r="W897" s="318"/>
      <c r="X897" s="315"/>
      <c r="Y897" s="314"/>
      <c r="Z897" s="721"/>
      <c r="AA897" s="737"/>
      <c r="AB897" s="324"/>
      <c r="AC897" s="155"/>
      <c r="AD897" s="155"/>
      <c r="AE897" s="322"/>
      <c r="AF897" s="132"/>
      <c r="AG897" s="132"/>
    </row>
    <row r="898">
      <c r="A898" s="314"/>
      <c r="B898" s="695"/>
      <c r="C898" s="312"/>
      <c r="D898" s="717"/>
      <c r="E898" s="314"/>
      <c r="F898" s="736"/>
      <c r="G898" s="314"/>
      <c r="H898" s="314"/>
      <c r="I898" s="318"/>
      <c r="J898" s="314"/>
      <c r="K898" s="314"/>
      <c r="L898" s="315"/>
      <c r="M898" s="315"/>
      <c r="N898" s="315"/>
      <c r="O898" s="318"/>
      <c r="P898" s="318"/>
      <c r="Q898" s="315"/>
      <c r="R898" s="314"/>
      <c r="S898" s="314"/>
      <c r="T898" s="314"/>
      <c r="U898" s="314"/>
      <c r="V898" s="314"/>
      <c r="W898" s="318"/>
      <c r="X898" s="315"/>
      <c r="Y898" s="314"/>
      <c r="Z898" s="721"/>
      <c r="AA898" s="737"/>
      <c r="AB898" s="324"/>
      <c r="AC898" s="155"/>
      <c r="AD898" s="155"/>
      <c r="AE898" s="322"/>
      <c r="AF898" s="132"/>
      <c r="AG898" s="132"/>
    </row>
    <row r="899">
      <c r="A899" s="314"/>
      <c r="B899" s="695"/>
      <c r="C899" s="312"/>
      <c r="D899" s="717"/>
      <c r="E899" s="314"/>
      <c r="F899" s="736"/>
      <c r="G899" s="314"/>
      <c r="H899" s="314"/>
      <c r="I899" s="318"/>
      <c r="J899" s="314"/>
      <c r="K899" s="314"/>
      <c r="L899" s="315"/>
      <c r="M899" s="315"/>
      <c r="N899" s="315"/>
      <c r="O899" s="318"/>
      <c r="P899" s="318"/>
      <c r="Q899" s="315"/>
      <c r="R899" s="314"/>
      <c r="S899" s="314"/>
      <c r="T899" s="314"/>
      <c r="U899" s="314"/>
      <c r="V899" s="314"/>
      <c r="W899" s="318"/>
      <c r="X899" s="315"/>
      <c r="Y899" s="314"/>
      <c r="Z899" s="721"/>
      <c r="AA899" s="737"/>
      <c r="AB899" s="324"/>
      <c r="AC899" s="155"/>
      <c r="AD899" s="155"/>
      <c r="AE899" s="322"/>
      <c r="AF899" s="132"/>
      <c r="AG899" s="132"/>
    </row>
    <row r="900">
      <c r="A900" s="314"/>
      <c r="B900" s="695"/>
      <c r="C900" s="312"/>
      <c r="D900" s="717"/>
      <c r="E900" s="314"/>
      <c r="F900" s="736"/>
      <c r="G900" s="314"/>
      <c r="H900" s="314"/>
      <c r="I900" s="318"/>
      <c r="J900" s="314"/>
      <c r="K900" s="314"/>
      <c r="L900" s="315"/>
      <c r="M900" s="315"/>
      <c r="N900" s="315"/>
      <c r="O900" s="318"/>
      <c r="P900" s="318"/>
      <c r="Q900" s="315"/>
      <c r="R900" s="314"/>
      <c r="S900" s="314"/>
      <c r="T900" s="314"/>
      <c r="U900" s="314"/>
      <c r="V900" s="314"/>
      <c r="W900" s="318"/>
      <c r="X900" s="315"/>
      <c r="Y900" s="314"/>
      <c r="Z900" s="721"/>
      <c r="AA900" s="737"/>
      <c r="AB900" s="324"/>
      <c r="AC900" s="155"/>
      <c r="AD900" s="155"/>
      <c r="AE900" s="322"/>
      <c r="AF900" s="132"/>
      <c r="AG900" s="132"/>
    </row>
    <row r="901">
      <c r="A901" s="314"/>
      <c r="B901" s="695"/>
      <c r="C901" s="312"/>
      <c r="D901" s="717"/>
      <c r="E901" s="314"/>
      <c r="F901" s="736"/>
      <c r="G901" s="314"/>
      <c r="H901" s="314"/>
      <c r="I901" s="318"/>
      <c r="J901" s="314"/>
      <c r="K901" s="314"/>
      <c r="L901" s="315"/>
      <c r="M901" s="315"/>
      <c r="N901" s="315"/>
      <c r="O901" s="318"/>
      <c r="P901" s="318"/>
      <c r="Q901" s="315"/>
      <c r="R901" s="314"/>
      <c r="S901" s="314"/>
      <c r="T901" s="314"/>
      <c r="U901" s="314"/>
      <c r="V901" s="314"/>
      <c r="W901" s="318"/>
      <c r="X901" s="315"/>
      <c r="Y901" s="314"/>
      <c r="Z901" s="721"/>
      <c r="AA901" s="737"/>
      <c r="AB901" s="324"/>
      <c r="AC901" s="155"/>
      <c r="AD901" s="155"/>
      <c r="AE901" s="322"/>
      <c r="AF901" s="132"/>
      <c r="AG901" s="132"/>
    </row>
    <row r="902">
      <c r="A902" s="314"/>
      <c r="B902" s="695"/>
      <c r="C902" s="312"/>
      <c r="D902" s="717"/>
      <c r="E902" s="314"/>
      <c r="F902" s="736"/>
      <c r="G902" s="314"/>
      <c r="H902" s="314"/>
      <c r="I902" s="318"/>
      <c r="J902" s="314"/>
      <c r="K902" s="314"/>
      <c r="L902" s="315"/>
      <c r="M902" s="315"/>
      <c r="N902" s="315"/>
      <c r="O902" s="318"/>
      <c r="P902" s="318"/>
      <c r="Q902" s="315"/>
      <c r="R902" s="314"/>
      <c r="S902" s="314"/>
      <c r="T902" s="314"/>
      <c r="U902" s="314"/>
      <c r="V902" s="314"/>
      <c r="W902" s="318"/>
      <c r="X902" s="315"/>
      <c r="Y902" s="314"/>
      <c r="Z902" s="721"/>
      <c r="AA902" s="737"/>
      <c r="AB902" s="324"/>
      <c r="AC902" s="155"/>
      <c r="AD902" s="155"/>
      <c r="AE902" s="322"/>
      <c r="AF902" s="132"/>
      <c r="AG902" s="132"/>
    </row>
    <row r="903">
      <c r="A903" s="314"/>
      <c r="B903" s="695"/>
      <c r="C903" s="312"/>
      <c r="D903" s="717"/>
      <c r="E903" s="314"/>
      <c r="F903" s="736"/>
      <c r="G903" s="314"/>
      <c r="H903" s="314"/>
      <c r="I903" s="318"/>
      <c r="J903" s="314"/>
      <c r="K903" s="314"/>
      <c r="L903" s="315"/>
      <c r="M903" s="315"/>
      <c r="N903" s="315"/>
      <c r="O903" s="318"/>
      <c r="P903" s="318"/>
      <c r="Q903" s="315"/>
      <c r="R903" s="314"/>
      <c r="S903" s="314"/>
      <c r="T903" s="314"/>
      <c r="U903" s="314"/>
      <c r="V903" s="314"/>
      <c r="W903" s="318"/>
      <c r="X903" s="315"/>
      <c r="Y903" s="314"/>
      <c r="Z903" s="721"/>
      <c r="AA903" s="737"/>
      <c r="AB903" s="324"/>
      <c r="AC903" s="155"/>
      <c r="AD903" s="155"/>
      <c r="AE903" s="322"/>
      <c r="AF903" s="132"/>
      <c r="AG903" s="132"/>
    </row>
    <row r="904">
      <c r="A904" s="314"/>
      <c r="B904" s="695"/>
      <c r="C904" s="312"/>
      <c r="D904" s="717"/>
      <c r="E904" s="314"/>
      <c r="F904" s="736"/>
      <c r="G904" s="314"/>
      <c r="H904" s="314"/>
      <c r="I904" s="318"/>
      <c r="J904" s="314"/>
      <c r="K904" s="314"/>
      <c r="L904" s="315"/>
      <c r="M904" s="315"/>
      <c r="N904" s="315"/>
      <c r="O904" s="318"/>
      <c r="P904" s="318"/>
      <c r="Q904" s="315"/>
      <c r="R904" s="314"/>
      <c r="S904" s="314"/>
      <c r="T904" s="314"/>
      <c r="U904" s="314"/>
      <c r="V904" s="314"/>
      <c r="W904" s="318"/>
      <c r="X904" s="315"/>
      <c r="Y904" s="314"/>
      <c r="Z904" s="721"/>
      <c r="AA904" s="737"/>
      <c r="AB904" s="324"/>
      <c r="AC904" s="155"/>
      <c r="AD904" s="155"/>
      <c r="AE904" s="322"/>
      <c r="AF904" s="132"/>
      <c r="AG904" s="132"/>
    </row>
    <row r="905">
      <c r="A905" s="314"/>
      <c r="B905" s="695"/>
      <c r="C905" s="312"/>
      <c r="D905" s="717"/>
      <c r="E905" s="314"/>
      <c r="F905" s="736"/>
      <c r="G905" s="314"/>
      <c r="H905" s="314"/>
      <c r="I905" s="318"/>
      <c r="J905" s="314"/>
      <c r="K905" s="314"/>
      <c r="L905" s="315"/>
      <c r="M905" s="315"/>
      <c r="N905" s="315"/>
      <c r="O905" s="318"/>
      <c r="P905" s="318"/>
      <c r="Q905" s="315"/>
      <c r="R905" s="314"/>
      <c r="S905" s="314"/>
      <c r="T905" s="314"/>
      <c r="U905" s="314"/>
      <c r="V905" s="314"/>
      <c r="W905" s="318"/>
      <c r="X905" s="315"/>
      <c r="Y905" s="314"/>
      <c r="Z905" s="721"/>
      <c r="AA905" s="737"/>
      <c r="AB905" s="324"/>
      <c r="AC905" s="155"/>
      <c r="AD905" s="155"/>
      <c r="AE905" s="322"/>
      <c r="AF905" s="132"/>
      <c r="AG905" s="132"/>
    </row>
    <row r="906">
      <c r="A906" s="314"/>
      <c r="B906" s="695"/>
      <c r="C906" s="312"/>
      <c r="D906" s="717"/>
      <c r="E906" s="314"/>
      <c r="F906" s="736"/>
      <c r="G906" s="314"/>
      <c r="H906" s="314"/>
      <c r="I906" s="318"/>
      <c r="J906" s="314"/>
      <c r="K906" s="314"/>
      <c r="L906" s="315"/>
      <c r="M906" s="315"/>
      <c r="N906" s="315"/>
      <c r="O906" s="318"/>
      <c r="P906" s="318"/>
      <c r="Q906" s="315"/>
      <c r="R906" s="314"/>
      <c r="S906" s="314"/>
      <c r="T906" s="314"/>
      <c r="U906" s="314"/>
      <c r="V906" s="314"/>
      <c r="W906" s="318"/>
      <c r="X906" s="315"/>
      <c r="Y906" s="314"/>
      <c r="Z906" s="721"/>
      <c r="AA906" s="737"/>
      <c r="AB906" s="324"/>
      <c r="AC906" s="155"/>
      <c r="AD906" s="155"/>
      <c r="AE906" s="322"/>
      <c r="AF906" s="132"/>
      <c r="AG906" s="132"/>
    </row>
    <row r="907">
      <c r="A907" s="314"/>
      <c r="B907" s="695"/>
      <c r="C907" s="312"/>
      <c r="D907" s="717"/>
      <c r="E907" s="314"/>
      <c r="F907" s="736"/>
      <c r="G907" s="314"/>
      <c r="H907" s="314"/>
      <c r="I907" s="318"/>
      <c r="J907" s="314"/>
      <c r="K907" s="314"/>
      <c r="L907" s="315"/>
      <c r="M907" s="315"/>
      <c r="N907" s="315"/>
      <c r="O907" s="318"/>
      <c r="P907" s="318"/>
      <c r="Q907" s="315"/>
      <c r="R907" s="314"/>
      <c r="S907" s="314"/>
      <c r="T907" s="314"/>
      <c r="U907" s="314"/>
      <c r="V907" s="314"/>
      <c r="W907" s="318"/>
      <c r="X907" s="315"/>
      <c r="Y907" s="314"/>
      <c r="Z907" s="721"/>
      <c r="AA907" s="737"/>
      <c r="AB907" s="324"/>
      <c r="AC907" s="155"/>
      <c r="AD907" s="155"/>
      <c r="AE907" s="322"/>
      <c r="AF907" s="132"/>
      <c r="AG907" s="132"/>
    </row>
    <row r="908">
      <c r="A908" s="314"/>
      <c r="B908" s="695"/>
      <c r="C908" s="312"/>
      <c r="D908" s="717"/>
      <c r="E908" s="314"/>
      <c r="F908" s="736"/>
      <c r="G908" s="314"/>
      <c r="H908" s="314"/>
      <c r="I908" s="318"/>
      <c r="J908" s="314"/>
      <c r="K908" s="314"/>
      <c r="L908" s="315"/>
      <c r="M908" s="315"/>
      <c r="N908" s="315"/>
      <c r="O908" s="318"/>
      <c r="P908" s="318"/>
      <c r="Q908" s="315"/>
      <c r="R908" s="314"/>
      <c r="S908" s="314"/>
      <c r="T908" s="314"/>
      <c r="U908" s="314"/>
      <c r="V908" s="314"/>
      <c r="W908" s="318"/>
      <c r="X908" s="315"/>
      <c r="Y908" s="314"/>
      <c r="Z908" s="721"/>
      <c r="AA908" s="737"/>
      <c r="AB908" s="324"/>
      <c r="AC908" s="155"/>
      <c r="AD908" s="155"/>
      <c r="AE908" s="322"/>
      <c r="AF908" s="132"/>
      <c r="AG908" s="132"/>
    </row>
    <row r="909">
      <c r="A909" s="314"/>
      <c r="B909" s="695"/>
      <c r="C909" s="312"/>
      <c r="D909" s="717"/>
      <c r="E909" s="314"/>
      <c r="F909" s="736"/>
      <c r="G909" s="314"/>
      <c r="H909" s="314"/>
      <c r="I909" s="318"/>
      <c r="J909" s="314"/>
      <c r="K909" s="314"/>
      <c r="L909" s="315"/>
      <c r="M909" s="315"/>
      <c r="N909" s="315"/>
      <c r="O909" s="318"/>
      <c r="P909" s="318"/>
      <c r="Q909" s="315"/>
      <c r="R909" s="314"/>
      <c r="S909" s="314"/>
      <c r="T909" s="314"/>
      <c r="U909" s="314"/>
      <c r="V909" s="314"/>
      <c r="W909" s="318"/>
      <c r="X909" s="315"/>
      <c r="Y909" s="314"/>
      <c r="Z909" s="721"/>
      <c r="AA909" s="737"/>
      <c r="AB909" s="324"/>
      <c r="AC909" s="155"/>
      <c r="AD909" s="155"/>
      <c r="AE909" s="322"/>
      <c r="AF909" s="132"/>
      <c r="AG909" s="132"/>
    </row>
    <row r="910">
      <c r="A910" s="314"/>
      <c r="B910" s="695"/>
      <c r="C910" s="312"/>
      <c r="D910" s="717"/>
      <c r="E910" s="314"/>
      <c r="F910" s="736"/>
      <c r="G910" s="314"/>
      <c r="H910" s="314"/>
      <c r="I910" s="318"/>
      <c r="J910" s="314"/>
      <c r="K910" s="314"/>
      <c r="L910" s="315"/>
      <c r="M910" s="315"/>
      <c r="N910" s="315"/>
      <c r="O910" s="318"/>
      <c r="P910" s="318"/>
      <c r="Q910" s="315"/>
      <c r="R910" s="314"/>
      <c r="S910" s="314"/>
      <c r="T910" s="314"/>
      <c r="U910" s="314"/>
      <c r="V910" s="314"/>
      <c r="W910" s="318"/>
      <c r="X910" s="315"/>
      <c r="Y910" s="314"/>
      <c r="Z910" s="721"/>
      <c r="AA910" s="737"/>
      <c r="AB910" s="324"/>
      <c r="AC910" s="155"/>
      <c r="AD910" s="155"/>
      <c r="AE910" s="322"/>
      <c r="AF910" s="132"/>
      <c r="AG910" s="132"/>
    </row>
    <row r="911">
      <c r="A911" s="314"/>
      <c r="B911" s="695"/>
      <c r="C911" s="312"/>
      <c r="D911" s="717"/>
      <c r="E911" s="314"/>
      <c r="F911" s="736"/>
      <c r="G911" s="314"/>
      <c r="H911" s="314"/>
      <c r="I911" s="318"/>
      <c r="J911" s="314"/>
      <c r="K911" s="314"/>
      <c r="L911" s="315"/>
      <c r="M911" s="315"/>
      <c r="N911" s="315"/>
      <c r="O911" s="318"/>
      <c r="P911" s="318"/>
      <c r="Q911" s="315"/>
      <c r="R911" s="314"/>
      <c r="S911" s="314"/>
      <c r="T911" s="314"/>
      <c r="U911" s="314"/>
      <c r="V911" s="314"/>
      <c r="W911" s="318"/>
      <c r="X911" s="315"/>
      <c r="Y911" s="314"/>
      <c r="Z911" s="721"/>
      <c r="AA911" s="737"/>
      <c r="AB911" s="324"/>
      <c r="AC911" s="155"/>
      <c r="AD911" s="155"/>
      <c r="AE911" s="322"/>
      <c r="AF911" s="132"/>
      <c r="AG911" s="132"/>
    </row>
    <row r="912">
      <c r="A912" s="314"/>
      <c r="B912" s="695"/>
      <c r="C912" s="312"/>
      <c r="D912" s="717"/>
      <c r="E912" s="314"/>
      <c r="F912" s="736"/>
      <c r="G912" s="314"/>
      <c r="H912" s="314"/>
      <c r="I912" s="318"/>
      <c r="J912" s="314"/>
      <c r="K912" s="314"/>
      <c r="L912" s="315"/>
      <c r="M912" s="315"/>
      <c r="N912" s="315"/>
      <c r="O912" s="318"/>
      <c r="P912" s="318"/>
      <c r="Q912" s="315"/>
      <c r="R912" s="314"/>
      <c r="S912" s="314"/>
      <c r="T912" s="314"/>
      <c r="U912" s="314"/>
      <c r="V912" s="314"/>
      <c r="W912" s="318"/>
      <c r="X912" s="315"/>
      <c r="Y912" s="314"/>
      <c r="Z912" s="721"/>
      <c r="AA912" s="737"/>
      <c r="AB912" s="324"/>
      <c r="AC912" s="155"/>
      <c r="AD912" s="155"/>
      <c r="AE912" s="322"/>
      <c r="AF912" s="132"/>
      <c r="AG912" s="132"/>
    </row>
    <row r="913">
      <c r="A913" s="314"/>
      <c r="B913" s="695"/>
      <c r="C913" s="312"/>
      <c r="D913" s="717"/>
      <c r="E913" s="314"/>
      <c r="F913" s="736"/>
      <c r="G913" s="314"/>
      <c r="H913" s="314"/>
      <c r="I913" s="318"/>
      <c r="J913" s="314"/>
      <c r="K913" s="314"/>
      <c r="L913" s="315"/>
      <c r="M913" s="315"/>
      <c r="N913" s="315"/>
      <c r="O913" s="318"/>
      <c r="P913" s="318"/>
      <c r="Q913" s="315"/>
      <c r="R913" s="314"/>
      <c r="S913" s="314"/>
      <c r="T913" s="314"/>
      <c r="U913" s="314"/>
      <c r="V913" s="314"/>
      <c r="W913" s="318"/>
      <c r="X913" s="315"/>
      <c r="Y913" s="314"/>
      <c r="Z913" s="721"/>
      <c r="AA913" s="737"/>
      <c r="AB913" s="324"/>
      <c r="AC913" s="155"/>
      <c r="AD913" s="155"/>
      <c r="AE913" s="322"/>
      <c r="AF913" s="132"/>
      <c r="AG913" s="132"/>
    </row>
    <row r="914">
      <c r="A914" s="314"/>
      <c r="B914" s="695"/>
      <c r="C914" s="312"/>
      <c r="D914" s="717"/>
      <c r="E914" s="314"/>
      <c r="F914" s="736"/>
      <c r="G914" s="314"/>
      <c r="H914" s="314"/>
      <c r="I914" s="318"/>
      <c r="J914" s="314"/>
      <c r="K914" s="314"/>
      <c r="L914" s="315"/>
      <c r="M914" s="315"/>
      <c r="N914" s="315"/>
      <c r="O914" s="318"/>
      <c r="P914" s="318"/>
      <c r="Q914" s="315"/>
      <c r="R914" s="314"/>
      <c r="S914" s="314"/>
      <c r="T914" s="314"/>
      <c r="U914" s="314"/>
      <c r="V914" s="314"/>
      <c r="W914" s="318"/>
      <c r="X914" s="315"/>
      <c r="Y914" s="314"/>
      <c r="Z914" s="721"/>
      <c r="AA914" s="737"/>
      <c r="AB914" s="324"/>
      <c r="AC914" s="155"/>
      <c r="AD914" s="155"/>
      <c r="AE914" s="322"/>
      <c r="AF914" s="132"/>
      <c r="AG914" s="132"/>
    </row>
    <row r="915">
      <c r="A915" s="314"/>
      <c r="B915" s="695"/>
      <c r="C915" s="312"/>
      <c r="D915" s="717"/>
      <c r="E915" s="314"/>
      <c r="F915" s="736"/>
      <c r="G915" s="314"/>
      <c r="H915" s="314"/>
      <c r="I915" s="318"/>
      <c r="J915" s="314"/>
      <c r="K915" s="314"/>
      <c r="L915" s="315"/>
      <c r="M915" s="315"/>
      <c r="N915" s="315"/>
      <c r="O915" s="318"/>
      <c r="P915" s="318"/>
      <c r="Q915" s="315"/>
      <c r="R915" s="314"/>
      <c r="S915" s="314"/>
      <c r="T915" s="314"/>
      <c r="U915" s="314"/>
      <c r="V915" s="314"/>
      <c r="W915" s="318"/>
      <c r="X915" s="315"/>
      <c r="Y915" s="314"/>
      <c r="Z915" s="721"/>
      <c r="AA915" s="737"/>
      <c r="AB915" s="324"/>
      <c r="AC915" s="155"/>
      <c r="AD915" s="155"/>
      <c r="AE915" s="322"/>
      <c r="AF915" s="132"/>
      <c r="AG915" s="132"/>
    </row>
    <row r="916">
      <c r="A916" s="314"/>
      <c r="B916" s="695"/>
      <c r="C916" s="312"/>
      <c r="D916" s="717"/>
      <c r="E916" s="314"/>
      <c r="F916" s="736"/>
      <c r="G916" s="314"/>
      <c r="H916" s="314"/>
      <c r="I916" s="318"/>
      <c r="J916" s="314"/>
      <c r="K916" s="314"/>
      <c r="L916" s="315"/>
      <c r="M916" s="315"/>
      <c r="N916" s="315"/>
      <c r="O916" s="318"/>
      <c r="P916" s="318"/>
      <c r="Q916" s="315"/>
      <c r="R916" s="314"/>
      <c r="S916" s="314"/>
      <c r="T916" s="314"/>
      <c r="U916" s="314"/>
      <c r="V916" s="314"/>
      <c r="W916" s="318"/>
      <c r="X916" s="315"/>
      <c r="Y916" s="314"/>
      <c r="Z916" s="721"/>
      <c r="AA916" s="737"/>
      <c r="AB916" s="324"/>
      <c r="AC916" s="155"/>
      <c r="AD916" s="155"/>
      <c r="AE916" s="322"/>
      <c r="AF916" s="132"/>
      <c r="AG916" s="132"/>
    </row>
    <row r="917">
      <c r="A917" s="314"/>
      <c r="B917" s="695"/>
      <c r="C917" s="312"/>
      <c r="D917" s="717"/>
      <c r="E917" s="314"/>
      <c r="F917" s="736"/>
      <c r="G917" s="314"/>
      <c r="H917" s="314"/>
      <c r="I917" s="318"/>
      <c r="J917" s="314"/>
      <c r="K917" s="314"/>
      <c r="L917" s="315"/>
      <c r="M917" s="315"/>
      <c r="N917" s="315"/>
      <c r="O917" s="318"/>
      <c r="P917" s="318"/>
      <c r="Q917" s="315"/>
      <c r="R917" s="314"/>
      <c r="S917" s="314"/>
      <c r="T917" s="314"/>
      <c r="U917" s="314"/>
      <c r="V917" s="314"/>
      <c r="W917" s="318"/>
      <c r="X917" s="315"/>
      <c r="Y917" s="314"/>
      <c r="Z917" s="721"/>
      <c r="AA917" s="737"/>
      <c r="AB917" s="324"/>
      <c r="AC917" s="155"/>
      <c r="AD917" s="155"/>
      <c r="AE917" s="322"/>
      <c r="AF917" s="132"/>
      <c r="AG917" s="132"/>
    </row>
    <row r="918">
      <c r="A918" s="314"/>
      <c r="B918" s="695"/>
      <c r="C918" s="312"/>
      <c r="D918" s="717"/>
      <c r="E918" s="314"/>
      <c r="F918" s="736"/>
      <c r="G918" s="314"/>
      <c r="H918" s="314"/>
      <c r="I918" s="318"/>
      <c r="J918" s="314"/>
      <c r="K918" s="314"/>
      <c r="L918" s="315"/>
      <c r="M918" s="315"/>
      <c r="N918" s="315"/>
      <c r="O918" s="318"/>
      <c r="P918" s="318"/>
      <c r="Q918" s="315"/>
      <c r="R918" s="314"/>
      <c r="S918" s="314"/>
      <c r="T918" s="314"/>
      <c r="U918" s="314"/>
      <c r="V918" s="314"/>
      <c r="W918" s="318"/>
      <c r="X918" s="315"/>
      <c r="Y918" s="314"/>
      <c r="Z918" s="721"/>
      <c r="AA918" s="737"/>
      <c r="AB918" s="324"/>
      <c r="AC918" s="155"/>
      <c r="AD918" s="155"/>
      <c r="AE918" s="322"/>
      <c r="AF918" s="132"/>
      <c r="AG918" s="132"/>
    </row>
    <row r="919">
      <c r="A919" s="314"/>
      <c r="B919" s="695"/>
      <c r="C919" s="312"/>
      <c r="D919" s="717"/>
      <c r="E919" s="314"/>
      <c r="F919" s="736"/>
      <c r="G919" s="314"/>
      <c r="H919" s="314"/>
      <c r="I919" s="318"/>
      <c r="J919" s="314"/>
      <c r="K919" s="314"/>
      <c r="L919" s="315"/>
      <c r="M919" s="315"/>
      <c r="N919" s="315"/>
      <c r="O919" s="318"/>
      <c r="P919" s="318"/>
      <c r="Q919" s="315"/>
      <c r="R919" s="314"/>
      <c r="S919" s="314"/>
      <c r="T919" s="314"/>
      <c r="U919" s="314"/>
      <c r="V919" s="314"/>
      <c r="W919" s="318"/>
      <c r="X919" s="315"/>
      <c r="Y919" s="314"/>
      <c r="Z919" s="721"/>
      <c r="AA919" s="737"/>
      <c r="AB919" s="324"/>
      <c r="AC919" s="155"/>
      <c r="AD919" s="155"/>
      <c r="AE919" s="322"/>
      <c r="AF919" s="132"/>
      <c r="AG919" s="132"/>
    </row>
    <row r="920">
      <c r="A920" s="314"/>
      <c r="B920" s="695"/>
      <c r="C920" s="312"/>
      <c r="D920" s="717"/>
      <c r="E920" s="314"/>
      <c r="F920" s="736"/>
      <c r="G920" s="314"/>
      <c r="H920" s="314"/>
      <c r="I920" s="318"/>
      <c r="J920" s="314"/>
      <c r="K920" s="314"/>
      <c r="L920" s="315"/>
      <c r="M920" s="315"/>
      <c r="N920" s="315"/>
      <c r="O920" s="318"/>
      <c r="P920" s="318"/>
      <c r="Q920" s="315"/>
      <c r="R920" s="314"/>
      <c r="S920" s="314"/>
      <c r="T920" s="314"/>
      <c r="U920" s="314"/>
      <c r="V920" s="314"/>
      <c r="W920" s="318"/>
      <c r="X920" s="315"/>
      <c r="Y920" s="314"/>
      <c r="Z920" s="721"/>
      <c r="AA920" s="737"/>
      <c r="AB920" s="324"/>
      <c r="AC920" s="155"/>
      <c r="AD920" s="155"/>
      <c r="AE920" s="322"/>
      <c r="AF920" s="132"/>
      <c r="AG920" s="132"/>
    </row>
    <row r="921">
      <c r="A921" s="314"/>
      <c r="B921" s="695"/>
      <c r="C921" s="312"/>
      <c r="D921" s="717"/>
      <c r="E921" s="314"/>
      <c r="F921" s="736"/>
      <c r="G921" s="314"/>
      <c r="H921" s="314"/>
      <c r="I921" s="318"/>
      <c r="J921" s="314"/>
      <c r="K921" s="314"/>
      <c r="L921" s="315"/>
      <c r="M921" s="315"/>
      <c r="N921" s="315"/>
      <c r="O921" s="318"/>
      <c r="P921" s="318"/>
      <c r="Q921" s="315"/>
      <c r="R921" s="314"/>
      <c r="S921" s="314"/>
      <c r="T921" s="314"/>
      <c r="U921" s="314"/>
      <c r="V921" s="314"/>
      <c r="W921" s="318"/>
      <c r="X921" s="315"/>
      <c r="Y921" s="314"/>
      <c r="Z921" s="721"/>
      <c r="AA921" s="737"/>
      <c r="AB921" s="324"/>
      <c r="AC921" s="155"/>
      <c r="AD921" s="155"/>
      <c r="AE921" s="322"/>
      <c r="AF921" s="132"/>
      <c r="AG921" s="132"/>
    </row>
    <row r="922">
      <c r="A922" s="314"/>
      <c r="B922" s="695"/>
      <c r="C922" s="312"/>
      <c r="D922" s="717"/>
      <c r="E922" s="314"/>
      <c r="F922" s="736"/>
      <c r="G922" s="314"/>
      <c r="H922" s="314"/>
      <c r="I922" s="318"/>
      <c r="J922" s="314"/>
      <c r="K922" s="314"/>
      <c r="L922" s="315"/>
      <c r="M922" s="315"/>
      <c r="N922" s="315"/>
      <c r="O922" s="318"/>
      <c r="P922" s="318"/>
      <c r="Q922" s="315"/>
      <c r="R922" s="314"/>
      <c r="S922" s="314"/>
      <c r="T922" s="314"/>
      <c r="U922" s="314"/>
      <c r="V922" s="314"/>
      <c r="W922" s="318"/>
      <c r="X922" s="315"/>
      <c r="Y922" s="314"/>
      <c r="Z922" s="721"/>
      <c r="AA922" s="737"/>
      <c r="AB922" s="324"/>
      <c r="AC922" s="155"/>
      <c r="AD922" s="155"/>
      <c r="AE922" s="322"/>
      <c r="AF922" s="132"/>
      <c r="AG922" s="132"/>
    </row>
    <row r="923">
      <c r="A923" s="314"/>
      <c r="B923" s="695"/>
      <c r="C923" s="312"/>
      <c r="D923" s="717"/>
      <c r="E923" s="314"/>
      <c r="F923" s="736"/>
      <c r="G923" s="314"/>
      <c r="H923" s="314"/>
      <c r="I923" s="318"/>
      <c r="J923" s="314"/>
      <c r="K923" s="314"/>
      <c r="L923" s="315"/>
      <c r="M923" s="315"/>
      <c r="N923" s="315"/>
      <c r="O923" s="318"/>
      <c r="P923" s="318"/>
      <c r="Q923" s="315"/>
      <c r="R923" s="314"/>
      <c r="S923" s="314"/>
      <c r="T923" s="314"/>
      <c r="U923" s="314"/>
      <c r="V923" s="314"/>
      <c r="W923" s="318"/>
      <c r="X923" s="315"/>
      <c r="Y923" s="314"/>
      <c r="Z923" s="721"/>
      <c r="AA923" s="737"/>
      <c r="AB923" s="324"/>
      <c r="AC923" s="155"/>
      <c r="AD923" s="155"/>
      <c r="AE923" s="322"/>
      <c r="AF923" s="132"/>
      <c r="AG923" s="132"/>
    </row>
    <row r="924">
      <c r="A924" s="314"/>
      <c r="B924" s="695"/>
      <c r="C924" s="312"/>
      <c r="D924" s="717"/>
      <c r="E924" s="314"/>
      <c r="F924" s="736"/>
      <c r="G924" s="314"/>
      <c r="H924" s="314"/>
      <c r="I924" s="318"/>
      <c r="J924" s="314"/>
      <c r="K924" s="314"/>
      <c r="L924" s="315"/>
      <c r="M924" s="315"/>
      <c r="N924" s="315"/>
      <c r="O924" s="318"/>
      <c r="P924" s="318"/>
      <c r="Q924" s="315"/>
      <c r="R924" s="314"/>
      <c r="S924" s="314"/>
      <c r="T924" s="314"/>
      <c r="U924" s="314"/>
      <c r="V924" s="314"/>
      <c r="W924" s="318"/>
      <c r="X924" s="315"/>
      <c r="Y924" s="314"/>
      <c r="Z924" s="721"/>
      <c r="AA924" s="737"/>
      <c r="AB924" s="324"/>
      <c r="AC924" s="155"/>
      <c r="AD924" s="155"/>
      <c r="AE924" s="322"/>
      <c r="AF924" s="132"/>
      <c r="AG924" s="132"/>
    </row>
    <row r="925">
      <c r="A925" s="314"/>
      <c r="B925" s="695"/>
      <c r="C925" s="312"/>
      <c r="D925" s="717"/>
      <c r="E925" s="314"/>
      <c r="F925" s="736"/>
      <c r="G925" s="314"/>
      <c r="H925" s="314"/>
      <c r="I925" s="318"/>
      <c r="J925" s="314"/>
      <c r="K925" s="314"/>
      <c r="L925" s="315"/>
      <c r="M925" s="315"/>
      <c r="N925" s="315"/>
      <c r="O925" s="318"/>
      <c r="P925" s="318"/>
      <c r="Q925" s="315"/>
      <c r="R925" s="314"/>
      <c r="S925" s="314"/>
      <c r="T925" s="314"/>
      <c r="U925" s="314"/>
      <c r="V925" s="314"/>
      <c r="W925" s="318"/>
      <c r="X925" s="315"/>
      <c r="Y925" s="314"/>
      <c r="Z925" s="721"/>
      <c r="AA925" s="737"/>
      <c r="AB925" s="324"/>
      <c r="AC925" s="155"/>
      <c r="AD925" s="155"/>
      <c r="AE925" s="322"/>
      <c r="AF925" s="132"/>
      <c r="AG925" s="132"/>
    </row>
    <row r="926">
      <c r="A926" s="314"/>
      <c r="B926" s="695"/>
      <c r="C926" s="312"/>
      <c r="D926" s="717"/>
      <c r="E926" s="314"/>
      <c r="F926" s="736"/>
      <c r="G926" s="314"/>
      <c r="H926" s="314"/>
      <c r="I926" s="318"/>
      <c r="J926" s="314"/>
      <c r="K926" s="314"/>
      <c r="L926" s="315"/>
      <c r="M926" s="315"/>
      <c r="N926" s="315"/>
      <c r="O926" s="318"/>
      <c r="P926" s="318"/>
      <c r="Q926" s="315"/>
      <c r="R926" s="314"/>
      <c r="S926" s="314"/>
      <c r="T926" s="314"/>
      <c r="U926" s="314"/>
      <c r="V926" s="314"/>
      <c r="W926" s="318"/>
      <c r="X926" s="315"/>
      <c r="Y926" s="314"/>
      <c r="Z926" s="721"/>
      <c r="AA926" s="737"/>
      <c r="AB926" s="324"/>
      <c r="AC926" s="155"/>
      <c r="AD926" s="155"/>
      <c r="AE926" s="322"/>
      <c r="AF926" s="132"/>
      <c r="AG926" s="132"/>
    </row>
    <row r="927">
      <c r="A927" s="314"/>
      <c r="B927" s="695"/>
      <c r="C927" s="312"/>
      <c r="D927" s="717"/>
      <c r="E927" s="314"/>
      <c r="F927" s="736"/>
      <c r="G927" s="314"/>
      <c r="H927" s="314"/>
      <c r="I927" s="318"/>
      <c r="J927" s="314"/>
      <c r="K927" s="314"/>
      <c r="L927" s="315"/>
      <c r="M927" s="315"/>
      <c r="N927" s="315"/>
      <c r="O927" s="318"/>
      <c r="P927" s="318"/>
      <c r="Q927" s="315"/>
      <c r="R927" s="314"/>
      <c r="S927" s="314"/>
      <c r="T927" s="314"/>
      <c r="U927" s="314"/>
      <c r="V927" s="314"/>
      <c r="W927" s="318"/>
      <c r="X927" s="315"/>
      <c r="Y927" s="314"/>
      <c r="Z927" s="721"/>
      <c r="AA927" s="737"/>
      <c r="AB927" s="324"/>
      <c r="AC927" s="155"/>
      <c r="AD927" s="155"/>
      <c r="AE927" s="322"/>
      <c r="AF927" s="132"/>
      <c r="AG927" s="132"/>
    </row>
    <row r="928">
      <c r="A928" s="314"/>
      <c r="B928" s="695"/>
      <c r="C928" s="312"/>
      <c r="D928" s="717"/>
      <c r="E928" s="314"/>
      <c r="F928" s="736"/>
      <c r="G928" s="314"/>
      <c r="H928" s="314"/>
      <c r="I928" s="318"/>
      <c r="J928" s="314"/>
      <c r="K928" s="314"/>
      <c r="L928" s="315"/>
      <c r="M928" s="315"/>
      <c r="N928" s="315"/>
      <c r="O928" s="318"/>
      <c r="P928" s="318"/>
      <c r="Q928" s="315"/>
      <c r="R928" s="314"/>
      <c r="S928" s="314"/>
      <c r="T928" s="314"/>
      <c r="U928" s="314"/>
      <c r="V928" s="314"/>
      <c r="W928" s="318"/>
      <c r="X928" s="315"/>
      <c r="Y928" s="314"/>
      <c r="Z928" s="721"/>
      <c r="AA928" s="737"/>
      <c r="AB928" s="324"/>
      <c r="AC928" s="155"/>
      <c r="AD928" s="155"/>
      <c r="AE928" s="322"/>
      <c r="AF928" s="132"/>
      <c r="AG928" s="132"/>
    </row>
    <row r="929">
      <c r="A929" s="314"/>
      <c r="B929" s="695"/>
      <c r="C929" s="312"/>
      <c r="D929" s="717"/>
      <c r="E929" s="314"/>
      <c r="F929" s="736"/>
      <c r="G929" s="314"/>
      <c r="H929" s="314"/>
      <c r="I929" s="318"/>
      <c r="J929" s="314"/>
      <c r="K929" s="314"/>
      <c r="L929" s="315"/>
      <c r="M929" s="315"/>
      <c r="N929" s="315"/>
      <c r="O929" s="318"/>
      <c r="P929" s="318"/>
      <c r="Q929" s="315"/>
      <c r="R929" s="314"/>
      <c r="S929" s="314"/>
      <c r="T929" s="314"/>
      <c r="U929" s="314"/>
      <c r="V929" s="314"/>
      <c r="W929" s="318"/>
      <c r="X929" s="315"/>
      <c r="Y929" s="314"/>
      <c r="Z929" s="721"/>
      <c r="AA929" s="737"/>
      <c r="AB929" s="324"/>
      <c r="AC929" s="155"/>
      <c r="AD929" s="155"/>
      <c r="AE929" s="322"/>
      <c r="AF929" s="132"/>
      <c r="AG929" s="132"/>
    </row>
    <row r="930">
      <c r="A930" s="314"/>
      <c r="B930" s="695"/>
      <c r="C930" s="312"/>
      <c r="D930" s="717"/>
      <c r="E930" s="314"/>
      <c r="F930" s="736"/>
      <c r="G930" s="314"/>
      <c r="H930" s="314"/>
      <c r="I930" s="318"/>
      <c r="J930" s="314"/>
      <c r="K930" s="314"/>
      <c r="L930" s="315"/>
      <c r="M930" s="315"/>
      <c r="N930" s="315"/>
      <c r="O930" s="318"/>
      <c r="P930" s="318"/>
      <c r="Q930" s="315"/>
      <c r="R930" s="314"/>
      <c r="S930" s="314"/>
      <c r="T930" s="314"/>
      <c r="U930" s="314"/>
      <c r="V930" s="314"/>
      <c r="W930" s="318"/>
      <c r="X930" s="315"/>
      <c r="Y930" s="314"/>
      <c r="Z930" s="721"/>
      <c r="AA930" s="737"/>
      <c r="AB930" s="324"/>
      <c r="AC930" s="155"/>
      <c r="AD930" s="155"/>
      <c r="AE930" s="322"/>
      <c r="AF930" s="132"/>
      <c r="AG930" s="132"/>
    </row>
    <row r="931">
      <c r="A931" s="314"/>
      <c r="B931" s="695"/>
      <c r="C931" s="312"/>
      <c r="D931" s="717"/>
      <c r="E931" s="314"/>
      <c r="F931" s="736"/>
      <c r="G931" s="314"/>
      <c r="H931" s="314"/>
      <c r="I931" s="318"/>
      <c r="J931" s="314"/>
      <c r="K931" s="314"/>
      <c r="L931" s="315"/>
      <c r="M931" s="315"/>
      <c r="N931" s="315"/>
      <c r="O931" s="318"/>
      <c r="P931" s="318"/>
      <c r="Q931" s="315"/>
      <c r="R931" s="314"/>
      <c r="S931" s="314"/>
      <c r="T931" s="314"/>
      <c r="U931" s="314"/>
      <c r="V931" s="314"/>
      <c r="W931" s="318"/>
      <c r="X931" s="315"/>
      <c r="Y931" s="314"/>
      <c r="Z931" s="721"/>
      <c r="AA931" s="737"/>
      <c r="AB931" s="324"/>
      <c r="AC931" s="155"/>
      <c r="AD931" s="155"/>
      <c r="AE931" s="322"/>
      <c r="AF931" s="132"/>
      <c r="AG931" s="132"/>
    </row>
    <row r="932">
      <c r="A932" s="314"/>
      <c r="B932" s="695"/>
      <c r="C932" s="312"/>
      <c r="D932" s="717"/>
      <c r="E932" s="314"/>
      <c r="F932" s="736"/>
      <c r="G932" s="314"/>
      <c r="H932" s="314"/>
      <c r="I932" s="318"/>
      <c r="J932" s="314"/>
      <c r="K932" s="314"/>
      <c r="L932" s="315"/>
      <c r="M932" s="315"/>
      <c r="N932" s="315"/>
      <c r="O932" s="318"/>
      <c r="P932" s="318"/>
      <c r="Q932" s="315"/>
      <c r="R932" s="314"/>
      <c r="S932" s="314"/>
      <c r="T932" s="314"/>
      <c r="U932" s="314"/>
      <c r="V932" s="314"/>
      <c r="W932" s="318"/>
      <c r="X932" s="315"/>
      <c r="Y932" s="314"/>
      <c r="Z932" s="721"/>
      <c r="AA932" s="737"/>
      <c r="AB932" s="324"/>
      <c r="AC932" s="155"/>
      <c r="AD932" s="155"/>
      <c r="AE932" s="322"/>
      <c r="AF932" s="132"/>
      <c r="AG932" s="132"/>
    </row>
    <row r="933">
      <c r="A933" s="314"/>
      <c r="B933" s="695"/>
      <c r="C933" s="312"/>
      <c r="D933" s="717"/>
      <c r="E933" s="314"/>
      <c r="F933" s="736"/>
      <c r="G933" s="314"/>
      <c r="H933" s="314"/>
      <c r="I933" s="318"/>
      <c r="J933" s="314"/>
      <c r="K933" s="314"/>
      <c r="L933" s="315"/>
      <c r="M933" s="315"/>
      <c r="N933" s="315"/>
      <c r="O933" s="318"/>
      <c r="P933" s="318"/>
      <c r="Q933" s="315"/>
      <c r="R933" s="314"/>
      <c r="S933" s="314"/>
      <c r="T933" s="314"/>
      <c r="U933" s="314"/>
      <c r="V933" s="314"/>
      <c r="W933" s="318"/>
      <c r="X933" s="315"/>
      <c r="Y933" s="314"/>
      <c r="Z933" s="721"/>
      <c r="AA933" s="737"/>
      <c r="AB933" s="324"/>
      <c r="AC933" s="155"/>
      <c r="AD933" s="155"/>
      <c r="AE933" s="322"/>
      <c r="AF933" s="132"/>
      <c r="AG933" s="132"/>
    </row>
    <row r="934">
      <c r="A934" s="314"/>
      <c r="B934" s="695"/>
      <c r="C934" s="312"/>
      <c r="D934" s="717"/>
      <c r="E934" s="314"/>
      <c r="F934" s="736"/>
      <c r="G934" s="314"/>
      <c r="H934" s="314"/>
      <c r="I934" s="318"/>
      <c r="J934" s="314"/>
      <c r="K934" s="314"/>
      <c r="L934" s="315"/>
      <c r="M934" s="315"/>
      <c r="N934" s="315"/>
      <c r="O934" s="318"/>
      <c r="P934" s="318"/>
      <c r="Q934" s="315"/>
      <c r="R934" s="314"/>
      <c r="S934" s="314"/>
      <c r="T934" s="314"/>
      <c r="U934" s="314"/>
      <c r="V934" s="314"/>
      <c r="W934" s="318"/>
      <c r="X934" s="315"/>
      <c r="Y934" s="314"/>
      <c r="Z934" s="721"/>
      <c r="AA934" s="737"/>
      <c r="AB934" s="324"/>
      <c r="AC934" s="155"/>
      <c r="AD934" s="155"/>
      <c r="AE934" s="322"/>
      <c r="AF934" s="132"/>
      <c r="AG934" s="132"/>
    </row>
    <row r="935">
      <c r="A935" s="314"/>
      <c r="B935" s="695"/>
      <c r="C935" s="312"/>
      <c r="D935" s="717"/>
      <c r="E935" s="314"/>
      <c r="F935" s="736"/>
      <c r="G935" s="314"/>
      <c r="H935" s="314"/>
      <c r="I935" s="318"/>
      <c r="J935" s="314"/>
      <c r="K935" s="314"/>
      <c r="L935" s="315"/>
      <c r="M935" s="315"/>
      <c r="N935" s="315"/>
      <c r="O935" s="318"/>
      <c r="P935" s="318"/>
      <c r="Q935" s="315"/>
      <c r="R935" s="314"/>
      <c r="S935" s="314"/>
      <c r="T935" s="314"/>
      <c r="U935" s="314"/>
      <c r="V935" s="314"/>
      <c r="W935" s="318"/>
      <c r="X935" s="315"/>
      <c r="Y935" s="314"/>
      <c r="Z935" s="721"/>
      <c r="AA935" s="737"/>
      <c r="AB935" s="324"/>
      <c r="AC935" s="155"/>
      <c r="AD935" s="155"/>
      <c r="AE935" s="322"/>
      <c r="AF935" s="132"/>
      <c r="AG935" s="132"/>
    </row>
    <row r="936">
      <c r="A936" s="314"/>
      <c r="B936" s="695"/>
      <c r="C936" s="312"/>
      <c r="D936" s="717"/>
      <c r="E936" s="314"/>
      <c r="F936" s="736"/>
      <c r="G936" s="314"/>
      <c r="H936" s="314"/>
      <c r="I936" s="318"/>
      <c r="J936" s="314"/>
      <c r="K936" s="314"/>
      <c r="L936" s="315"/>
      <c r="M936" s="315"/>
      <c r="N936" s="315"/>
      <c r="O936" s="318"/>
      <c r="P936" s="318"/>
      <c r="Q936" s="315"/>
      <c r="R936" s="314"/>
      <c r="S936" s="314"/>
      <c r="T936" s="314"/>
      <c r="U936" s="314"/>
      <c r="V936" s="314"/>
      <c r="W936" s="318"/>
      <c r="X936" s="315"/>
      <c r="Y936" s="314"/>
      <c r="Z936" s="721"/>
      <c r="AA936" s="737"/>
      <c r="AB936" s="324"/>
      <c r="AC936" s="155"/>
      <c r="AD936" s="155"/>
      <c r="AE936" s="322"/>
      <c r="AF936" s="132"/>
      <c r="AG936" s="132"/>
    </row>
    <row r="937">
      <c r="A937" s="314"/>
      <c r="B937" s="695"/>
      <c r="C937" s="312"/>
      <c r="D937" s="717"/>
      <c r="E937" s="314"/>
      <c r="F937" s="736"/>
      <c r="G937" s="314"/>
      <c r="H937" s="314"/>
      <c r="I937" s="318"/>
      <c r="J937" s="314"/>
      <c r="K937" s="314"/>
      <c r="L937" s="315"/>
      <c r="M937" s="315"/>
      <c r="N937" s="315"/>
      <c r="O937" s="318"/>
      <c r="P937" s="318"/>
      <c r="Q937" s="315"/>
      <c r="R937" s="314"/>
      <c r="S937" s="314"/>
      <c r="T937" s="314"/>
      <c r="U937" s="314"/>
      <c r="V937" s="314"/>
      <c r="W937" s="318"/>
      <c r="X937" s="315"/>
      <c r="Y937" s="314"/>
      <c r="Z937" s="721"/>
      <c r="AA937" s="737"/>
      <c r="AB937" s="324"/>
      <c r="AC937" s="155"/>
      <c r="AD937" s="155"/>
      <c r="AE937" s="322"/>
      <c r="AF937" s="132"/>
      <c r="AG937" s="132"/>
    </row>
    <row r="938">
      <c r="A938" s="314"/>
      <c r="B938" s="695"/>
      <c r="C938" s="312"/>
      <c r="D938" s="717"/>
      <c r="E938" s="314"/>
      <c r="F938" s="736"/>
      <c r="G938" s="314"/>
      <c r="H938" s="314"/>
      <c r="I938" s="318"/>
      <c r="J938" s="314"/>
      <c r="K938" s="314"/>
      <c r="L938" s="315"/>
      <c r="M938" s="315"/>
      <c r="N938" s="315"/>
      <c r="O938" s="318"/>
      <c r="P938" s="318"/>
      <c r="Q938" s="315"/>
      <c r="R938" s="314"/>
      <c r="S938" s="314"/>
      <c r="T938" s="314"/>
      <c r="U938" s="314"/>
      <c r="V938" s="314"/>
      <c r="W938" s="318"/>
      <c r="X938" s="315"/>
      <c r="Y938" s="314"/>
      <c r="Z938" s="721"/>
      <c r="AA938" s="737"/>
      <c r="AB938" s="324"/>
      <c r="AC938" s="155"/>
      <c r="AD938" s="155"/>
      <c r="AE938" s="322"/>
      <c r="AF938" s="132"/>
      <c r="AG938" s="132"/>
    </row>
    <row r="939">
      <c r="A939" s="314"/>
      <c r="B939" s="695"/>
      <c r="C939" s="312"/>
      <c r="D939" s="717"/>
      <c r="E939" s="314"/>
      <c r="F939" s="736"/>
      <c r="G939" s="314"/>
      <c r="H939" s="314"/>
      <c r="I939" s="318"/>
      <c r="J939" s="314"/>
      <c r="K939" s="314"/>
      <c r="L939" s="315"/>
      <c r="M939" s="315"/>
      <c r="N939" s="315"/>
      <c r="O939" s="318"/>
      <c r="P939" s="318"/>
      <c r="Q939" s="315"/>
      <c r="R939" s="314"/>
      <c r="S939" s="314"/>
      <c r="T939" s="314"/>
      <c r="U939" s="314"/>
      <c r="V939" s="314"/>
      <c r="W939" s="318"/>
      <c r="X939" s="315"/>
      <c r="Y939" s="314"/>
      <c r="Z939" s="721"/>
      <c r="AA939" s="737"/>
      <c r="AB939" s="324"/>
      <c r="AC939" s="155"/>
      <c r="AD939" s="155"/>
      <c r="AE939" s="322"/>
      <c r="AF939" s="132"/>
      <c r="AG939" s="132"/>
    </row>
    <row r="940">
      <c r="A940" s="314"/>
      <c r="B940" s="695"/>
      <c r="C940" s="312"/>
      <c r="D940" s="717"/>
      <c r="E940" s="314"/>
      <c r="F940" s="736"/>
      <c r="G940" s="314"/>
      <c r="H940" s="314"/>
      <c r="I940" s="318"/>
      <c r="J940" s="314"/>
      <c r="K940" s="314"/>
      <c r="L940" s="315"/>
      <c r="M940" s="315"/>
      <c r="N940" s="315"/>
      <c r="O940" s="318"/>
      <c r="P940" s="318"/>
      <c r="Q940" s="315"/>
      <c r="R940" s="314"/>
      <c r="S940" s="314"/>
      <c r="T940" s="314"/>
      <c r="U940" s="314"/>
      <c r="V940" s="314"/>
      <c r="W940" s="318"/>
      <c r="X940" s="315"/>
      <c r="Y940" s="314"/>
      <c r="Z940" s="721"/>
      <c r="AA940" s="737"/>
      <c r="AB940" s="324"/>
      <c r="AC940" s="155"/>
      <c r="AD940" s="155"/>
      <c r="AE940" s="322"/>
      <c r="AF940" s="132"/>
      <c r="AG940" s="132"/>
    </row>
    <row r="941">
      <c r="A941" s="314"/>
      <c r="B941" s="695"/>
      <c r="C941" s="312"/>
      <c r="D941" s="717"/>
      <c r="E941" s="314"/>
      <c r="F941" s="736"/>
      <c r="G941" s="314"/>
      <c r="H941" s="314"/>
      <c r="I941" s="318"/>
      <c r="J941" s="314"/>
      <c r="K941" s="314"/>
      <c r="L941" s="315"/>
      <c r="M941" s="315"/>
      <c r="N941" s="315"/>
      <c r="O941" s="318"/>
      <c r="P941" s="318"/>
      <c r="Q941" s="315"/>
      <c r="R941" s="314"/>
      <c r="S941" s="314"/>
      <c r="T941" s="314"/>
      <c r="U941" s="314"/>
      <c r="V941" s="314"/>
      <c r="W941" s="318"/>
      <c r="X941" s="315"/>
      <c r="Y941" s="314"/>
      <c r="Z941" s="721"/>
      <c r="AA941" s="737"/>
      <c r="AB941" s="324"/>
      <c r="AC941" s="155"/>
      <c r="AD941" s="155"/>
      <c r="AE941" s="322"/>
      <c r="AF941" s="132"/>
      <c r="AG941" s="132"/>
    </row>
    <row r="942">
      <c r="A942" s="314"/>
      <c r="B942" s="695"/>
      <c r="C942" s="312"/>
      <c r="D942" s="717"/>
      <c r="E942" s="314"/>
      <c r="F942" s="736"/>
      <c r="G942" s="314"/>
      <c r="H942" s="314"/>
      <c r="I942" s="318"/>
      <c r="J942" s="314"/>
      <c r="K942" s="314"/>
      <c r="L942" s="315"/>
      <c r="M942" s="315"/>
      <c r="N942" s="315"/>
      <c r="O942" s="318"/>
      <c r="P942" s="318"/>
      <c r="Q942" s="315"/>
      <c r="R942" s="314"/>
      <c r="S942" s="314"/>
      <c r="T942" s="314"/>
      <c r="U942" s="314"/>
      <c r="V942" s="314"/>
      <c r="W942" s="318"/>
      <c r="X942" s="315"/>
      <c r="Y942" s="314"/>
      <c r="Z942" s="721"/>
      <c r="AA942" s="737"/>
      <c r="AB942" s="324"/>
      <c r="AC942" s="155"/>
      <c r="AD942" s="155"/>
      <c r="AE942" s="322"/>
      <c r="AF942" s="132"/>
      <c r="AG942" s="132"/>
    </row>
    <row r="943">
      <c r="A943" s="314"/>
      <c r="B943" s="695"/>
      <c r="C943" s="312"/>
      <c r="D943" s="717"/>
      <c r="E943" s="314"/>
      <c r="F943" s="736"/>
      <c r="G943" s="314"/>
      <c r="H943" s="314"/>
      <c r="I943" s="318"/>
      <c r="J943" s="314"/>
      <c r="K943" s="314"/>
      <c r="L943" s="315"/>
      <c r="M943" s="315"/>
      <c r="N943" s="315"/>
      <c r="O943" s="318"/>
      <c r="P943" s="318"/>
      <c r="Q943" s="315"/>
      <c r="R943" s="314"/>
      <c r="S943" s="314"/>
      <c r="T943" s="314"/>
      <c r="U943" s="314"/>
      <c r="V943" s="314"/>
      <c r="W943" s="318"/>
      <c r="X943" s="315"/>
      <c r="Y943" s="314"/>
      <c r="Z943" s="721"/>
      <c r="AA943" s="737"/>
      <c r="AB943" s="324"/>
      <c r="AC943" s="155"/>
      <c r="AD943" s="155"/>
      <c r="AE943" s="322"/>
      <c r="AF943" s="132"/>
      <c r="AG943" s="132"/>
    </row>
    <row r="944">
      <c r="A944" s="314"/>
      <c r="B944" s="695"/>
      <c r="C944" s="312"/>
      <c r="D944" s="717"/>
      <c r="E944" s="314"/>
      <c r="F944" s="736"/>
      <c r="G944" s="314"/>
      <c r="H944" s="314"/>
      <c r="I944" s="318"/>
      <c r="J944" s="314"/>
      <c r="K944" s="314"/>
      <c r="L944" s="315"/>
      <c r="M944" s="315"/>
      <c r="N944" s="315"/>
      <c r="O944" s="318"/>
      <c r="P944" s="318"/>
      <c r="Q944" s="315"/>
      <c r="R944" s="314"/>
      <c r="S944" s="314"/>
      <c r="T944" s="314"/>
      <c r="U944" s="314"/>
      <c r="V944" s="314"/>
      <c r="W944" s="318"/>
      <c r="X944" s="315"/>
      <c r="Y944" s="314"/>
      <c r="Z944" s="721"/>
      <c r="AA944" s="737"/>
      <c r="AB944" s="324"/>
      <c r="AC944" s="155"/>
      <c r="AD944" s="155"/>
      <c r="AE944" s="322"/>
      <c r="AF944" s="132"/>
      <c r="AG944" s="132"/>
    </row>
    <row r="945">
      <c r="A945" s="314"/>
      <c r="B945" s="695"/>
      <c r="C945" s="312"/>
      <c r="D945" s="717"/>
      <c r="E945" s="314"/>
      <c r="F945" s="736"/>
      <c r="G945" s="314"/>
      <c r="H945" s="314"/>
      <c r="I945" s="318"/>
      <c r="J945" s="314"/>
      <c r="K945" s="314"/>
      <c r="L945" s="315"/>
      <c r="M945" s="315"/>
      <c r="N945" s="315"/>
      <c r="O945" s="318"/>
      <c r="P945" s="318"/>
      <c r="Q945" s="315"/>
      <c r="R945" s="314"/>
      <c r="S945" s="314"/>
      <c r="T945" s="314"/>
      <c r="U945" s="314"/>
      <c r="V945" s="314"/>
      <c r="W945" s="318"/>
      <c r="X945" s="315"/>
      <c r="Y945" s="314"/>
      <c r="Z945" s="721"/>
      <c r="AA945" s="737"/>
      <c r="AB945" s="324"/>
      <c r="AC945" s="155"/>
      <c r="AD945" s="155"/>
      <c r="AE945" s="322"/>
      <c r="AF945" s="132"/>
      <c r="AG945" s="132"/>
    </row>
    <row r="946">
      <c r="A946" s="314"/>
      <c r="B946" s="695"/>
      <c r="C946" s="312"/>
      <c r="D946" s="717"/>
      <c r="E946" s="314"/>
      <c r="F946" s="736"/>
      <c r="G946" s="314"/>
      <c r="H946" s="314"/>
      <c r="I946" s="318"/>
      <c r="J946" s="314"/>
      <c r="K946" s="314"/>
      <c r="L946" s="315"/>
      <c r="M946" s="315"/>
      <c r="N946" s="315"/>
      <c r="O946" s="318"/>
      <c r="P946" s="318"/>
      <c r="Q946" s="315"/>
      <c r="R946" s="314"/>
      <c r="S946" s="314"/>
      <c r="T946" s="314"/>
      <c r="U946" s="314"/>
      <c r="V946" s="314"/>
      <c r="W946" s="318"/>
      <c r="X946" s="315"/>
      <c r="Y946" s="314"/>
      <c r="Z946" s="721"/>
      <c r="AA946" s="737"/>
      <c r="AB946" s="324"/>
      <c r="AC946" s="155"/>
      <c r="AD946" s="155"/>
      <c r="AE946" s="322"/>
      <c r="AF946" s="132"/>
      <c r="AG946" s="132"/>
    </row>
    <row r="947">
      <c r="A947" s="435"/>
      <c r="B947" s="695"/>
      <c r="C947" s="745"/>
      <c r="D947" s="717"/>
      <c r="E947" s="435"/>
      <c r="F947" s="736"/>
      <c r="G947" s="314"/>
      <c r="H947" s="435"/>
      <c r="I947" s="740"/>
      <c r="J947" s="314"/>
      <c r="K947" s="435"/>
      <c r="L947" s="744"/>
      <c r="M947" s="315"/>
      <c r="N947" s="315"/>
      <c r="O947" s="318"/>
      <c r="P947" s="740"/>
      <c r="Q947" s="744"/>
      <c r="R947" s="435"/>
      <c r="S947" s="435"/>
      <c r="T947" s="435"/>
      <c r="U947" s="435"/>
      <c r="V947" s="435"/>
      <c r="W947" s="740"/>
      <c r="X947" s="744"/>
      <c r="Y947" s="435"/>
      <c r="Z947" s="749"/>
      <c r="AA947" s="753"/>
      <c r="AB947" s="324"/>
      <c r="AC947" s="180"/>
      <c r="AD947" s="155"/>
      <c r="AE947" s="322"/>
      <c r="AF947" s="132"/>
      <c r="AG947" s="132"/>
    </row>
    <row r="948">
      <c r="A948" s="435"/>
      <c r="B948" s="695"/>
      <c r="C948" s="312"/>
      <c r="D948" s="751"/>
      <c r="E948" s="314"/>
      <c r="F948" s="736"/>
      <c r="G948" s="314"/>
      <c r="H948" s="314"/>
      <c r="I948" s="318"/>
      <c r="J948" s="314"/>
      <c r="K948" s="314"/>
      <c r="L948" s="315"/>
      <c r="M948" s="744"/>
      <c r="N948" s="744"/>
      <c r="O948" s="318"/>
      <c r="P948" s="318"/>
      <c r="Q948" s="315"/>
      <c r="R948" s="314"/>
      <c r="S948" s="314"/>
      <c r="T948" s="314"/>
      <c r="U948" s="314"/>
      <c r="V948" s="314"/>
      <c r="W948" s="318"/>
      <c r="X948" s="315"/>
      <c r="Y948" s="314"/>
      <c r="Z948" s="721"/>
      <c r="AA948" s="737"/>
      <c r="AB948" s="324"/>
      <c r="AC948" s="180"/>
      <c r="AD948" s="155"/>
      <c r="AE948" s="322"/>
      <c r="AF948" s="132"/>
      <c r="AG948" s="132"/>
    </row>
    <row r="949">
      <c r="A949" s="435"/>
      <c r="B949" s="746"/>
      <c r="C949" s="745"/>
      <c r="D949" s="751"/>
      <c r="E949" s="435"/>
      <c r="F949" s="736"/>
      <c r="G949" s="314"/>
      <c r="H949" s="314"/>
      <c r="I949" s="740"/>
      <c r="J949" s="435"/>
      <c r="K949" s="435"/>
      <c r="L949" s="744"/>
      <c r="M949" s="744"/>
      <c r="N949" s="744"/>
      <c r="O949" s="318"/>
      <c r="P949" s="740"/>
      <c r="Q949" s="315"/>
      <c r="R949" s="435"/>
      <c r="S949" s="435"/>
      <c r="T949" s="435"/>
      <c r="U949" s="435"/>
      <c r="V949" s="435"/>
      <c r="W949" s="740"/>
      <c r="X949" s="744"/>
      <c r="Y949" s="435"/>
      <c r="Z949" s="749"/>
      <c r="AA949" s="753"/>
      <c r="AB949" s="324"/>
      <c r="AC949" s="180"/>
      <c r="AD949" s="155"/>
      <c r="AE949" s="322"/>
      <c r="AF949" s="132"/>
      <c r="AG949" s="132"/>
    </row>
    <row r="950">
      <c r="A950" s="435"/>
      <c r="B950" s="695"/>
      <c r="C950" s="312"/>
      <c r="D950" s="751"/>
      <c r="E950" s="314"/>
      <c r="F950" s="736"/>
      <c r="G950" s="314"/>
      <c r="H950" s="314"/>
      <c r="I950" s="740"/>
      <c r="J950" s="314"/>
      <c r="K950" s="435"/>
      <c r="L950" s="315"/>
      <c r="M950" s="315"/>
      <c r="N950" s="315"/>
      <c r="O950" s="318"/>
      <c r="P950" s="318"/>
      <c r="Q950" s="744"/>
      <c r="R950" s="435"/>
      <c r="S950" s="314"/>
      <c r="T950" s="314"/>
      <c r="U950" s="314"/>
      <c r="V950" s="314"/>
      <c r="W950" s="318"/>
      <c r="X950" s="315"/>
      <c r="Y950" s="314"/>
      <c r="Z950" s="721"/>
      <c r="AA950" s="737"/>
      <c r="AB950" s="324"/>
      <c r="AC950" s="180"/>
      <c r="AD950" s="155"/>
      <c r="AE950" s="322"/>
      <c r="AF950" s="132"/>
      <c r="AG950" s="132"/>
    </row>
    <row r="951">
      <c r="A951" s="435"/>
      <c r="B951" s="746"/>
      <c r="C951" s="745"/>
      <c r="D951" s="751"/>
      <c r="E951" s="435"/>
      <c r="F951" s="736"/>
      <c r="G951" s="314"/>
      <c r="H951" s="435"/>
      <c r="I951" s="740"/>
      <c r="J951" s="435"/>
      <c r="K951" s="435"/>
      <c r="L951" s="744"/>
      <c r="M951" s="744"/>
      <c r="N951" s="744"/>
      <c r="O951" s="318"/>
      <c r="P951" s="740"/>
      <c r="Q951" s="744"/>
      <c r="R951" s="435"/>
      <c r="S951" s="435"/>
      <c r="T951" s="435"/>
      <c r="U951" s="435"/>
      <c r="V951" s="435"/>
      <c r="W951" s="740"/>
      <c r="X951" s="744"/>
      <c r="Y951" s="435"/>
      <c r="Z951" s="749"/>
      <c r="AA951" s="753"/>
      <c r="AB951" s="324"/>
      <c r="AC951" s="180"/>
      <c r="AD951" s="155"/>
      <c r="AE951" s="322"/>
      <c r="AF951" s="132"/>
      <c r="AG951" s="132"/>
    </row>
    <row r="952">
      <c r="A952" s="435"/>
      <c r="B952" s="746"/>
      <c r="C952" s="312"/>
      <c r="D952" s="751"/>
      <c r="E952" s="314"/>
      <c r="F952" s="736"/>
      <c r="G952" s="314"/>
      <c r="H952" s="314"/>
      <c r="I952" s="318"/>
      <c r="J952" s="314"/>
      <c r="K952" s="435"/>
      <c r="L952" s="315"/>
      <c r="M952" s="315"/>
      <c r="N952" s="315"/>
      <c r="O952" s="318"/>
      <c r="P952" s="318"/>
      <c r="Q952" s="315"/>
      <c r="R952" s="314"/>
      <c r="S952" s="435"/>
      <c r="T952" s="435"/>
      <c r="U952" s="435"/>
      <c r="V952" s="435"/>
      <c r="W952" s="740"/>
      <c r="X952" s="744"/>
      <c r="Y952" s="435"/>
      <c r="Z952" s="749"/>
      <c r="AA952" s="753"/>
      <c r="AB952" s="324"/>
      <c r="AC952" s="180"/>
      <c r="AD952" s="155"/>
      <c r="AE952" s="322"/>
      <c r="AF952" s="132"/>
      <c r="AG952" s="132"/>
    </row>
    <row r="953">
      <c r="A953" s="435"/>
      <c r="B953" s="746"/>
      <c r="C953" s="745"/>
      <c r="D953" s="751"/>
      <c r="E953" s="435"/>
      <c r="F953" s="736"/>
      <c r="G953" s="314"/>
      <c r="H953" s="435"/>
      <c r="I953" s="318"/>
      <c r="J953" s="314"/>
      <c r="K953" s="435"/>
      <c r="L953" s="315"/>
      <c r="M953" s="315"/>
      <c r="N953" s="315"/>
      <c r="O953" s="318"/>
      <c r="P953" s="740"/>
      <c r="Q953" s="744"/>
      <c r="R953" s="435"/>
      <c r="S953" s="435"/>
      <c r="T953" s="435"/>
      <c r="U953" s="435"/>
      <c r="V953" s="435"/>
      <c r="W953" s="740"/>
      <c r="X953" s="744"/>
      <c r="Y953" s="435"/>
      <c r="Z953" s="749"/>
      <c r="AA953" s="753"/>
      <c r="AB953" s="324"/>
      <c r="AC953" s="180"/>
      <c r="AD953" s="155"/>
      <c r="AE953" s="322"/>
      <c r="AF953" s="132"/>
      <c r="AG953" s="132"/>
    </row>
    <row r="954">
      <c r="A954" s="435"/>
      <c r="B954" s="746"/>
      <c r="C954" s="745"/>
      <c r="D954" s="751"/>
      <c r="E954" s="435"/>
      <c r="F954" s="736"/>
      <c r="G954" s="314"/>
      <c r="H954" s="435"/>
      <c r="I954" s="740"/>
      <c r="J954" s="435"/>
      <c r="K954" s="435"/>
      <c r="L954" s="744"/>
      <c r="M954" s="744"/>
      <c r="N954" s="744"/>
      <c r="O954" s="318"/>
      <c r="P954" s="740"/>
      <c r="Q954" s="744"/>
      <c r="R954" s="435"/>
      <c r="S954" s="435"/>
      <c r="T954" s="435"/>
      <c r="U954" s="435"/>
      <c r="V954" s="435"/>
      <c r="W954" s="740"/>
      <c r="X954" s="744"/>
      <c r="Y954" s="435"/>
      <c r="Z954" s="749"/>
      <c r="AA954" s="753"/>
      <c r="AB954" s="324"/>
      <c r="AC954" s="180"/>
      <c r="AD954" s="155"/>
      <c r="AE954" s="322"/>
      <c r="AF954" s="132"/>
      <c r="AG954" s="132"/>
    </row>
    <row r="955">
      <c r="A955" s="435"/>
      <c r="B955" s="695"/>
      <c r="C955" s="312"/>
      <c r="D955" s="717"/>
      <c r="E955" s="435"/>
      <c r="F955" s="736"/>
      <c r="G955" s="314"/>
      <c r="H955" s="435"/>
      <c r="I955" s="318"/>
      <c r="J955" s="314"/>
      <c r="K955" s="314"/>
      <c r="L955" s="315"/>
      <c r="M955" s="315"/>
      <c r="N955" s="315"/>
      <c r="O955" s="318"/>
      <c r="P955" s="318"/>
      <c r="Q955" s="315"/>
      <c r="R955" s="314"/>
      <c r="S955" s="314"/>
      <c r="T955" s="314"/>
      <c r="U955" s="314"/>
      <c r="V955" s="314"/>
      <c r="W955" s="318"/>
      <c r="X955" s="315"/>
      <c r="Y955" s="314"/>
      <c r="Z955" s="721"/>
      <c r="AA955" s="737"/>
      <c r="AB955" s="324"/>
      <c r="AC955" s="180"/>
      <c r="AD955" s="155"/>
      <c r="AE955" s="322"/>
      <c r="AF955" s="132"/>
      <c r="AG955" s="132"/>
    </row>
    <row r="956">
      <c r="A956" s="435"/>
      <c r="B956" s="695"/>
      <c r="C956" s="312"/>
      <c r="D956" s="751"/>
      <c r="E956" s="314"/>
      <c r="F956" s="736"/>
      <c r="G956" s="314"/>
      <c r="H956" s="435"/>
      <c r="I956" s="318"/>
      <c r="J956" s="435"/>
      <c r="K956" s="435"/>
      <c r="L956" s="315"/>
      <c r="M956" s="744"/>
      <c r="N956" s="315"/>
      <c r="O956" s="318"/>
      <c r="P956" s="318"/>
      <c r="Q956" s="315"/>
      <c r="R956" s="435"/>
      <c r="S956" s="435"/>
      <c r="T956" s="435"/>
      <c r="U956" s="435"/>
      <c r="V956" s="435"/>
      <c r="W956" s="740"/>
      <c r="X956" s="744"/>
      <c r="Y956" s="435"/>
      <c r="Z956" s="749"/>
      <c r="AA956" s="753"/>
      <c r="AB956" s="324"/>
      <c r="AC956" s="180"/>
      <c r="AD956" s="155"/>
      <c r="AE956" s="322"/>
      <c r="AF956" s="132"/>
      <c r="AG956" s="132"/>
    </row>
    <row r="957">
      <c r="A957" s="435"/>
      <c r="B957" s="695"/>
      <c r="C957" s="312"/>
      <c r="D957" s="717"/>
      <c r="E957" s="314"/>
      <c r="F957" s="736"/>
      <c r="G957" s="314"/>
      <c r="H957" s="314"/>
      <c r="I957" s="318"/>
      <c r="J957" s="314"/>
      <c r="K957" s="314"/>
      <c r="L957" s="315"/>
      <c r="M957" s="315"/>
      <c r="N957" s="315"/>
      <c r="O957" s="318"/>
      <c r="P957" s="318"/>
      <c r="Q957" s="744"/>
      <c r="R957" s="314"/>
      <c r="S957" s="435"/>
      <c r="T957" s="435"/>
      <c r="U957" s="435"/>
      <c r="V957" s="435"/>
      <c r="W957" s="740"/>
      <c r="X957" s="744"/>
      <c r="Y957" s="435"/>
      <c r="Z957" s="749"/>
      <c r="AA957" s="753"/>
      <c r="AB957" s="324"/>
      <c r="AC957" s="180"/>
      <c r="AD957" s="155"/>
      <c r="AE957" s="322"/>
      <c r="AF957" s="132"/>
      <c r="AG957" s="132"/>
    </row>
    <row r="958">
      <c r="A958" s="435"/>
      <c r="B958" s="746"/>
      <c r="C958" s="312"/>
      <c r="D958" s="717"/>
      <c r="E958" s="314"/>
      <c r="F958" s="736"/>
      <c r="G958" s="314"/>
      <c r="H958" s="435"/>
      <c r="I958" s="318"/>
      <c r="J958" s="435"/>
      <c r="K958" s="435"/>
      <c r="L958" s="315"/>
      <c r="M958" s="315"/>
      <c r="N958" s="744"/>
      <c r="O958" s="318"/>
      <c r="P958" s="318"/>
      <c r="Q958" s="315"/>
      <c r="R958" s="435"/>
      <c r="S958" s="435"/>
      <c r="T958" s="435"/>
      <c r="U958" s="435"/>
      <c r="V958" s="435"/>
      <c r="W958" s="740"/>
      <c r="X958" s="744"/>
      <c r="Y958" s="435"/>
      <c r="Z958" s="749"/>
      <c r="AA958" s="753"/>
      <c r="AB958" s="324"/>
      <c r="AC958" s="180"/>
      <c r="AD958" s="155"/>
      <c r="AE958" s="322"/>
      <c r="AF958" s="132"/>
      <c r="AG958" s="132"/>
    </row>
    <row r="959">
      <c r="A959" s="435"/>
      <c r="B959" s="695"/>
      <c r="C959" s="745"/>
      <c r="D959" s="751"/>
      <c r="E959" s="435"/>
      <c r="F959" s="736"/>
      <c r="G959" s="314"/>
      <c r="H959" s="435"/>
      <c r="I959" s="318"/>
      <c r="J959" s="314"/>
      <c r="K959" s="435"/>
      <c r="L959" s="315"/>
      <c r="M959" s="315"/>
      <c r="N959" s="315"/>
      <c r="O959" s="318"/>
      <c r="P959" s="318"/>
      <c r="Q959" s="315"/>
      <c r="R959" s="314"/>
      <c r="S959" s="435"/>
      <c r="T959" s="435"/>
      <c r="U959" s="435"/>
      <c r="V959" s="435"/>
      <c r="W959" s="740"/>
      <c r="X959" s="744"/>
      <c r="Y959" s="435"/>
      <c r="Z959" s="749"/>
      <c r="AA959" s="753"/>
      <c r="AB959" s="324"/>
      <c r="AC959" s="180"/>
      <c r="AD959" s="155"/>
      <c r="AE959" s="322"/>
      <c r="AF959" s="132"/>
      <c r="AG959" s="132"/>
    </row>
    <row r="960">
      <c r="A960" s="435"/>
      <c r="B960" s="695"/>
      <c r="C960" s="312"/>
      <c r="D960" s="717"/>
      <c r="E960" s="314"/>
      <c r="F960" s="736"/>
      <c r="G960" s="314"/>
      <c r="H960" s="435"/>
      <c r="I960" s="318"/>
      <c r="J960" s="314"/>
      <c r="K960" s="314"/>
      <c r="L960" s="315"/>
      <c r="M960" s="315"/>
      <c r="N960" s="315"/>
      <c r="O960" s="318"/>
      <c r="P960" s="318"/>
      <c r="Q960" s="315"/>
      <c r="R960" s="435"/>
      <c r="S960" s="314"/>
      <c r="T960" s="314"/>
      <c r="U960" s="314"/>
      <c r="V960" s="314"/>
      <c r="W960" s="318"/>
      <c r="X960" s="315"/>
      <c r="Y960" s="314"/>
      <c r="Z960" s="721"/>
      <c r="AA960" s="737"/>
      <c r="AB960" s="324"/>
      <c r="AC960" s="180"/>
      <c r="AD960" s="155"/>
      <c r="AE960" s="322"/>
      <c r="AF960" s="132"/>
      <c r="AG960" s="132"/>
    </row>
    <row r="961">
      <c r="A961" s="435"/>
      <c r="B961" s="746"/>
      <c r="C961" s="745"/>
      <c r="D961" s="751"/>
      <c r="E961" s="435"/>
      <c r="F961" s="736"/>
      <c r="G961" s="314"/>
      <c r="H961" s="435"/>
      <c r="I961" s="740"/>
      <c r="J961" s="435"/>
      <c r="K961" s="435"/>
      <c r="L961" s="744"/>
      <c r="M961" s="744"/>
      <c r="N961" s="744"/>
      <c r="O961" s="318"/>
      <c r="P961" s="740"/>
      <c r="Q961" s="744"/>
      <c r="R961" s="435"/>
      <c r="S961" s="435"/>
      <c r="T961" s="435"/>
      <c r="U961" s="435"/>
      <c r="V961" s="435"/>
      <c r="W961" s="740"/>
      <c r="X961" s="744"/>
      <c r="Y961" s="435"/>
      <c r="Z961" s="749"/>
      <c r="AA961" s="753"/>
      <c r="AB961" s="324"/>
      <c r="AC961" s="180"/>
      <c r="AD961" s="155"/>
      <c r="AE961" s="322"/>
      <c r="AF961" s="132"/>
      <c r="AG961" s="132"/>
    </row>
    <row r="962">
      <c r="A962" s="435"/>
      <c r="B962" s="695"/>
      <c r="C962" s="312"/>
      <c r="D962" s="717"/>
      <c r="E962" s="314"/>
      <c r="F962" s="736"/>
      <c r="G962" s="314"/>
      <c r="H962" s="314"/>
      <c r="I962" s="318"/>
      <c r="J962" s="314"/>
      <c r="K962" s="314"/>
      <c r="L962" s="315"/>
      <c r="M962" s="744"/>
      <c r="N962" s="315"/>
      <c r="O962" s="318"/>
      <c r="P962" s="318"/>
      <c r="Q962" s="315"/>
      <c r="R962" s="314"/>
      <c r="S962" s="314"/>
      <c r="T962" s="314"/>
      <c r="U962" s="314"/>
      <c r="V962" s="314"/>
      <c r="W962" s="318"/>
      <c r="X962" s="315"/>
      <c r="Y962" s="314"/>
      <c r="Z962" s="721"/>
      <c r="AA962" s="737"/>
      <c r="AB962" s="324"/>
      <c r="AC962" s="180"/>
      <c r="AD962" s="155"/>
      <c r="AE962" s="322"/>
      <c r="AF962" s="132"/>
      <c r="AG962" s="132"/>
    </row>
    <row r="963">
      <c r="A963" s="435"/>
      <c r="B963" s="695"/>
      <c r="C963" s="745"/>
      <c r="D963" s="751"/>
      <c r="E963" s="435"/>
      <c r="F963" s="736"/>
      <c r="G963" s="314"/>
      <c r="H963" s="435"/>
      <c r="I963" s="740"/>
      <c r="J963" s="435"/>
      <c r="K963" s="435"/>
      <c r="L963" s="315"/>
      <c r="M963" s="744"/>
      <c r="N963" s="744"/>
      <c r="O963" s="318"/>
      <c r="P963" s="740"/>
      <c r="Q963" s="744"/>
      <c r="R963" s="435"/>
      <c r="S963" s="435"/>
      <c r="T963" s="435"/>
      <c r="U963" s="435"/>
      <c r="V963" s="435"/>
      <c r="W963" s="740"/>
      <c r="X963" s="744"/>
      <c r="Y963" s="435"/>
      <c r="Z963" s="749"/>
      <c r="AA963" s="753"/>
      <c r="AB963" s="324"/>
      <c r="AC963" s="180"/>
      <c r="AD963" s="155"/>
      <c r="AE963" s="322"/>
      <c r="AF963" s="132"/>
      <c r="AG963" s="132"/>
    </row>
    <row r="964">
      <c r="A964" s="435"/>
      <c r="B964" s="746"/>
      <c r="C964" s="745"/>
      <c r="D964" s="717"/>
      <c r="E964" s="435"/>
      <c r="F964" s="736"/>
      <c r="G964" s="314"/>
      <c r="H964" s="435"/>
      <c r="I964" s="740"/>
      <c r="J964" s="314"/>
      <c r="K964" s="435"/>
      <c r="L964" s="744"/>
      <c r="M964" s="315"/>
      <c r="N964" s="744"/>
      <c r="O964" s="318"/>
      <c r="P964" s="740"/>
      <c r="Q964" s="315"/>
      <c r="R964" s="435"/>
      <c r="S964" s="435"/>
      <c r="T964" s="435"/>
      <c r="U964" s="435"/>
      <c r="V964" s="435"/>
      <c r="W964" s="740"/>
      <c r="X964" s="744"/>
      <c r="Y964" s="435"/>
      <c r="Z964" s="749"/>
      <c r="AA964" s="753"/>
      <c r="AB964" s="324"/>
      <c r="AC964" s="180"/>
      <c r="AD964" s="155"/>
      <c r="AE964" s="322"/>
      <c r="AF964" s="132"/>
      <c r="AG964" s="132"/>
    </row>
    <row r="965">
      <c r="A965" s="458"/>
      <c r="B965" s="746"/>
      <c r="C965" s="745"/>
      <c r="D965" s="751"/>
      <c r="E965" s="435"/>
      <c r="F965" s="736"/>
      <c r="G965" s="314"/>
      <c r="H965" s="314"/>
      <c r="I965" s="740"/>
      <c r="J965" s="435"/>
      <c r="K965" s="435"/>
      <c r="L965" s="744"/>
      <c r="M965" s="744"/>
      <c r="N965" s="744"/>
      <c r="O965" s="318"/>
      <c r="P965" s="740"/>
      <c r="Q965" s="744"/>
      <c r="R965" s="435"/>
      <c r="S965" s="435"/>
      <c r="T965" s="435"/>
      <c r="U965" s="435"/>
      <c r="V965" s="435"/>
      <c r="W965" s="740"/>
      <c r="X965" s="744"/>
      <c r="Y965" s="435"/>
      <c r="Z965" s="749"/>
      <c r="AA965" s="753"/>
      <c r="AB965" s="324"/>
      <c r="AC965" s="180"/>
      <c r="AD965" s="155"/>
      <c r="AE965" s="322"/>
      <c r="AF965" s="132"/>
      <c r="AG965" s="132"/>
    </row>
    <row r="966">
      <c r="A966" s="458"/>
      <c r="B966" s="746"/>
      <c r="C966" s="745"/>
      <c r="D966" s="751"/>
      <c r="E966" s="435"/>
      <c r="F966" s="736"/>
      <c r="G966" s="314"/>
      <c r="H966" s="314"/>
      <c r="I966" s="318"/>
      <c r="J966" s="435"/>
      <c r="K966" s="435"/>
      <c r="L966" s="744"/>
      <c r="M966" s="744"/>
      <c r="N966" s="744"/>
      <c r="O966" s="318"/>
      <c r="P966" s="740"/>
      <c r="Q966" s="744"/>
      <c r="R966" s="435"/>
      <c r="S966" s="435"/>
      <c r="T966" s="435"/>
      <c r="U966" s="435"/>
      <c r="V966" s="435"/>
      <c r="W966" s="740"/>
      <c r="X966" s="744"/>
      <c r="Y966" s="435"/>
      <c r="Z966" s="749"/>
      <c r="AA966" s="753"/>
      <c r="AB966" s="324"/>
      <c r="AC966" s="180"/>
      <c r="AD966" s="155"/>
      <c r="AE966" s="322"/>
      <c r="AF966" s="132"/>
      <c r="AG966" s="132"/>
    </row>
    <row r="967">
      <c r="A967" s="458"/>
      <c r="B967" s="746"/>
      <c r="C967" s="745"/>
      <c r="D967" s="751"/>
      <c r="E967" s="314"/>
      <c r="F967" s="736"/>
      <c r="G967" s="314"/>
      <c r="H967" s="314"/>
      <c r="I967" s="740"/>
      <c r="J967" s="435"/>
      <c r="K967" s="435"/>
      <c r="L967" s="744"/>
      <c r="M967" s="744"/>
      <c r="N967" s="744"/>
      <c r="O967" s="318"/>
      <c r="P967" s="740"/>
      <c r="Q967" s="315"/>
      <c r="R967" s="435"/>
      <c r="S967" s="435"/>
      <c r="T967" s="435"/>
      <c r="U967" s="435"/>
      <c r="V967" s="435"/>
      <c r="W967" s="740"/>
      <c r="X967" s="744"/>
      <c r="Y967" s="435"/>
      <c r="Z967" s="749"/>
      <c r="AA967" s="753"/>
      <c r="AB967" s="324"/>
      <c r="AC967" s="180"/>
      <c r="AD967" s="155"/>
      <c r="AE967" s="322"/>
      <c r="AF967" s="132"/>
      <c r="AG967" s="132"/>
    </row>
    <row r="968">
      <c r="A968" s="458"/>
      <c r="B968" s="695"/>
      <c r="C968" s="312"/>
      <c r="D968" s="717"/>
      <c r="E968" s="314"/>
      <c r="F968" s="736"/>
      <c r="G968" s="314"/>
      <c r="H968" s="314"/>
      <c r="I968" s="318"/>
      <c r="J968" s="314"/>
      <c r="K968" s="314"/>
      <c r="L968" s="315"/>
      <c r="M968" s="315"/>
      <c r="N968" s="315"/>
      <c r="O968" s="318"/>
      <c r="P968" s="318"/>
      <c r="Q968" s="315"/>
      <c r="R968" s="314"/>
      <c r="S968" s="314"/>
      <c r="T968" s="314"/>
      <c r="U968" s="314"/>
      <c r="V968" s="314"/>
      <c r="W968" s="318"/>
      <c r="X968" s="315"/>
      <c r="Y968" s="314"/>
      <c r="Z968" s="721"/>
      <c r="AA968" s="737"/>
      <c r="AB968" s="324"/>
      <c r="AC968" s="180"/>
      <c r="AD968" s="155"/>
      <c r="AE968" s="322"/>
      <c r="AF968" s="132"/>
      <c r="AG968" s="132"/>
    </row>
    <row r="969">
      <c r="A969" s="458"/>
      <c r="B969" s="746"/>
      <c r="C969" s="745"/>
      <c r="D969" s="751"/>
      <c r="E969" s="314"/>
      <c r="F969" s="736"/>
      <c r="G969" s="314"/>
      <c r="H969" s="314"/>
      <c r="I969" s="318"/>
      <c r="J969" s="314"/>
      <c r="K969" s="435"/>
      <c r="L969" s="744"/>
      <c r="M969" s="744"/>
      <c r="N969" s="315"/>
      <c r="O969" s="318"/>
      <c r="P969" s="740"/>
      <c r="Q969" s="744"/>
      <c r="R969" s="435"/>
      <c r="S969" s="435"/>
      <c r="T969" s="435"/>
      <c r="U969" s="435"/>
      <c r="V969" s="435"/>
      <c r="W969" s="740"/>
      <c r="X969" s="744"/>
      <c r="Y969" s="435"/>
      <c r="Z969" s="749"/>
      <c r="AA969" s="753"/>
      <c r="AB969" s="324"/>
      <c r="AC969" s="180"/>
      <c r="AD969" s="155"/>
      <c r="AE969" s="322"/>
      <c r="AF969" s="132"/>
      <c r="AG969" s="132"/>
    </row>
    <row r="970">
      <c r="A970" s="458"/>
      <c r="B970" s="695"/>
      <c r="C970" s="312"/>
      <c r="D970" s="751"/>
      <c r="E970" s="314"/>
      <c r="F970" s="736"/>
      <c r="G970" s="314"/>
      <c r="H970" s="314"/>
      <c r="I970" s="318"/>
      <c r="J970" s="314"/>
      <c r="K970" s="314"/>
      <c r="L970" s="315"/>
      <c r="M970" s="315"/>
      <c r="N970" s="315"/>
      <c r="O970" s="318"/>
      <c r="P970" s="318"/>
      <c r="Q970" s="315"/>
      <c r="R970" s="314"/>
      <c r="S970" s="314"/>
      <c r="T970" s="314"/>
      <c r="U970" s="314"/>
      <c r="V970" s="314"/>
      <c r="W970" s="318"/>
      <c r="X970" s="315"/>
      <c r="Y970" s="314"/>
      <c r="Z970" s="721"/>
      <c r="AA970" s="737"/>
      <c r="AB970" s="324"/>
      <c r="AC970" s="180"/>
      <c r="AD970" s="155"/>
      <c r="AE970" s="322"/>
      <c r="AF970" s="132"/>
      <c r="AG970" s="132"/>
    </row>
    <row r="971">
      <c r="A971" s="458"/>
      <c r="B971" s="695"/>
      <c r="C971" s="745"/>
      <c r="D971" s="717"/>
      <c r="E971" s="314"/>
      <c r="F971" s="736"/>
      <c r="G971" s="314"/>
      <c r="H971" s="314"/>
      <c r="I971" s="740"/>
      <c r="J971" s="314"/>
      <c r="K971" s="314"/>
      <c r="L971" s="744"/>
      <c r="M971" s="315"/>
      <c r="N971" s="315"/>
      <c r="O971" s="318"/>
      <c r="P971" s="318"/>
      <c r="Q971" s="744"/>
      <c r="R971" s="435"/>
      <c r="S971" s="435"/>
      <c r="T971" s="435"/>
      <c r="U971" s="435"/>
      <c r="V971" s="435"/>
      <c r="W971" s="740"/>
      <c r="X971" s="744"/>
      <c r="Y971" s="435"/>
      <c r="Z971" s="749"/>
      <c r="AA971" s="753"/>
      <c r="AB971" s="324"/>
      <c r="AC971" s="180"/>
      <c r="AD971" s="155"/>
      <c r="AE971" s="322"/>
      <c r="AF971" s="132"/>
      <c r="AG971" s="132"/>
    </row>
    <row r="972">
      <c r="A972" s="458"/>
      <c r="B972" s="695"/>
      <c r="C972" s="745"/>
      <c r="D972" s="751"/>
      <c r="E972" s="435"/>
      <c r="F972" s="736"/>
      <c r="G972" s="314"/>
      <c r="H972" s="435"/>
      <c r="I972" s="740"/>
      <c r="J972" s="314"/>
      <c r="K972" s="435"/>
      <c r="L972" s="744"/>
      <c r="M972" s="315"/>
      <c r="N972" s="315"/>
      <c r="O972" s="318"/>
      <c r="P972" s="740"/>
      <c r="Q972" s="744"/>
      <c r="R972" s="435"/>
      <c r="S972" s="435"/>
      <c r="T972" s="435"/>
      <c r="U972" s="435"/>
      <c r="V972" s="435"/>
      <c r="W972" s="740"/>
      <c r="X972" s="744"/>
      <c r="Y972" s="435"/>
      <c r="Z972" s="749"/>
      <c r="AA972" s="753"/>
      <c r="AB972" s="324"/>
      <c r="AC972" s="180"/>
      <c r="AD972" s="155"/>
      <c r="AE972" s="322"/>
      <c r="AF972" s="132"/>
      <c r="AG972" s="132"/>
    </row>
    <row r="973">
      <c r="A973" s="458"/>
      <c r="B973" s="695"/>
      <c r="C973" s="745"/>
      <c r="D973" s="751"/>
      <c r="E973" s="314"/>
      <c r="F973" s="736"/>
      <c r="G973" s="314"/>
      <c r="H973" s="314"/>
      <c r="I973" s="318"/>
      <c r="J973" s="314"/>
      <c r="K973" s="435"/>
      <c r="L973" s="315"/>
      <c r="M973" s="315"/>
      <c r="N973" s="315"/>
      <c r="O973" s="318"/>
      <c r="P973" s="318"/>
      <c r="Q973" s="315"/>
      <c r="R973" s="435"/>
      <c r="S973" s="435"/>
      <c r="T973" s="435"/>
      <c r="U973" s="435"/>
      <c r="V973" s="435"/>
      <c r="W973" s="740"/>
      <c r="X973" s="744"/>
      <c r="Y973" s="435"/>
      <c r="Z973" s="749"/>
      <c r="AA973" s="753"/>
      <c r="AB973" s="324"/>
      <c r="AC973" s="180"/>
      <c r="AD973" s="155"/>
      <c r="AE973" s="322"/>
      <c r="AF973" s="132"/>
      <c r="AG973" s="132"/>
    </row>
    <row r="974">
      <c r="A974" s="458"/>
      <c r="B974" s="746"/>
      <c r="C974" s="745"/>
      <c r="D974" s="751"/>
      <c r="E974" s="435"/>
      <c r="F974" s="736"/>
      <c r="G974" s="314"/>
      <c r="H974" s="435"/>
      <c r="I974" s="740"/>
      <c r="J974" s="435"/>
      <c r="K974" s="435"/>
      <c r="L974" s="744"/>
      <c r="M974" s="744"/>
      <c r="N974" s="744"/>
      <c r="O974" s="318"/>
      <c r="P974" s="740"/>
      <c r="Q974" s="744"/>
      <c r="R974" s="435"/>
      <c r="S974" s="435"/>
      <c r="T974" s="435"/>
      <c r="U974" s="435"/>
      <c r="V974" s="435"/>
      <c r="W974" s="740"/>
      <c r="X974" s="744"/>
      <c r="Y974" s="435"/>
      <c r="Z974" s="749"/>
      <c r="AA974" s="753"/>
      <c r="AB974" s="324"/>
      <c r="AC974" s="180"/>
      <c r="AD974" s="155"/>
      <c r="AE974" s="322"/>
      <c r="AF974" s="132"/>
      <c r="AG974" s="132"/>
    </row>
    <row r="975">
      <c r="A975" s="435"/>
      <c r="B975" s="746"/>
      <c r="C975" s="745"/>
      <c r="D975" s="751"/>
      <c r="E975" s="435"/>
      <c r="F975" s="736"/>
      <c r="G975" s="314"/>
      <c r="H975" s="435"/>
      <c r="I975" s="740"/>
      <c r="J975" s="435"/>
      <c r="K975" s="435"/>
      <c r="L975" s="744"/>
      <c r="M975" s="744"/>
      <c r="N975" s="744"/>
      <c r="O975" s="318"/>
      <c r="P975" s="740"/>
      <c r="Q975" s="744"/>
      <c r="R975" s="435"/>
      <c r="S975" s="435"/>
      <c r="T975" s="435"/>
      <c r="U975" s="435"/>
      <c r="V975" s="435"/>
      <c r="W975" s="740"/>
      <c r="X975" s="744"/>
      <c r="Y975" s="435"/>
      <c r="Z975" s="749"/>
      <c r="AA975" s="753"/>
      <c r="AB975" s="324"/>
      <c r="AC975" s="180"/>
      <c r="AD975" s="155"/>
      <c r="AE975" s="322"/>
      <c r="AF975" s="132"/>
      <c r="AG975" s="132"/>
    </row>
    <row r="976">
      <c r="A976" s="474"/>
      <c r="B976" s="746"/>
      <c r="C976" s="745"/>
      <c r="D976" s="751"/>
      <c r="E976" s="435"/>
      <c r="F976" s="736"/>
      <c r="G976" s="314"/>
      <c r="H976" s="435"/>
      <c r="I976" s="740"/>
      <c r="J976" s="435"/>
      <c r="K976" s="435"/>
      <c r="L976" s="744"/>
      <c r="M976" s="744"/>
      <c r="N976" s="744"/>
      <c r="O976" s="318"/>
      <c r="P976" s="740"/>
      <c r="Q976" s="744"/>
      <c r="R976" s="435"/>
      <c r="S976" s="435"/>
      <c r="T976" s="435"/>
      <c r="U976" s="435"/>
      <c r="V976" s="435"/>
      <c r="W976" s="740"/>
      <c r="X976" s="744"/>
      <c r="Y976" s="435"/>
      <c r="Z976" s="749"/>
      <c r="AA976" s="753"/>
      <c r="AB976" s="324"/>
      <c r="AC976" s="180"/>
      <c r="AD976" s="155"/>
      <c r="AE976" s="322"/>
      <c r="AF976" s="132"/>
      <c r="AG976" s="132"/>
    </row>
    <row r="977">
      <c r="A977" s="474"/>
      <c r="B977" s="746"/>
      <c r="C977" s="312"/>
      <c r="D977" s="751"/>
      <c r="E977" s="435"/>
      <c r="F977" s="736"/>
      <c r="G977" s="314"/>
      <c r="H977" s="435"/>
      <c r="I977" s="740"/>
      <c r="J977" s="435"/>
      <c r="K977" s="314"/>
      <c r="L977" s="315"/>
      <c r="M977" s="315"/>
      <c r="N977" s="744"/>
      <c r="O977" s="318"/>
      <c r="P977" s="318"/>
      <c r="Q977" s="744"/>
      <c r="R977" s="314"/>
      <c r="S977" s="435"/>
      <c r="T977" s="435"/>
      <c r="U977" s="435"/>
      <c r="V977" s="435"/>
      <c r="W977" s="740"/>
      <c r="X977" s="744"/>
      <c r="Y977" s="435"/>
      <c r="Z977" s="749"/>
      <c r="AA977" s="753"/>
      <c r="AB977" s="324"/>
      <c r="AC977" s="180"/>
      <c r="AD977" s="155"/>
      <c r="AE977" s="322"/>
      <c r="AF977" s="132"/>
      <c r="AG977" s="132"/>
    </row>
    <row r="978">
      <c r="A978" s="474"/>
      <c r="B978" s="695"/>
      <c r="C978" s="312"/>
      <c r="D978" s="717"/>
      <c r="E978" s="314"/>
      <c r="F978" s="736"/>
      <c r="G978" s="314"/>
      <c r="H978" s="314"/>
      <c r="I978" s="318"/>
      <c r="J978" s="314"/>
      <c r="K978" s="435"/>
      <c r="L978" s="315"/>
      <c r="M978" s="315"/>
      <c r="N978" s="315"/>
      <c r="O978" s="318"/>
      <c r="P978" s="740"/>
      <c r="Q978" s="315"/>
      <c r="R978" s="314"/>
      <c r="S978" s="314"/>
      <c r="T978" s="314"/>
      <c r="U978" s="314"/>
      <c r="V978" s="314"/>
      <c r="W978" s="318"/>
      <c r="X978" s="315"/>
      <c r="Y978" s="314"/>
      <c r="Z978" s="721"/>
      <c r="AA978" s="737"/>
      <c r="AB978" s="324"/>
      <c r="AC978" s="180"/>
      <c r="AD978" s="155"/>
      <c r="AE978" s="322"/>
      <c r="AF978" s="132"/>
      <c r="AG978" s="132"/>
    </row>
    <row r="979">
      <c r="A979" s="474"/>
      <c r="B979" s="695"/>
      <c r="C979" s="745"/>
      <c r="D979" s="751"/>
      <c r="E979" s="314"/>
      <c r="F979" s="736"/>
      <c r="G979" s="314"/>
      <c r="H979" s="314"/>
      <c r="I979" s="740"/>
      <c r="J979" s="314"/>
      <c r="K979" s="314"/>
      <c r="L979" s="315"/>
      <c r="M979" s="315"/>
      <c r="N979" s="315"/>
      <c r="O979" s="318"/>
      <c r="P979" s="318"/>
      <c r="Q979" s="315"/>
      <c r="R979" s="314"/>
      <c r="S979" s="314"/>
      <c r="T979" s="314"/>
      <c r="U979" s="314"/>
      <c r="V979" s="314"/>
      <c r="W979" s="318"/>
      <c r="X979" s="315"/>
      <c r="Y979" s="314"/>
      <c r="Z979" s="721"/>
      <c r="AA979" s="737"/>
      <c r="AB979" s="324"/>
      <c r="AC979" s="180"/>
      <c r="AD979" s="155"/>
      <c r="AE979" s="322"/>
      <c r="AF979" s="132"/>
      <c r="AG979" s="132"/>
    </row>
    <row r="980">
      <c r="A980" s="474"/>
      <c r="B980" s="695"/>
      <c r="C980" s="312"/>
      <c r="D980" s="717"/>
      <c r="E980" s="314"/>
      <c r="F980" s="736"/>
      <c r="G980" s="314"/>
      <c r="H980" s="314"/>
      <c r="I980" s="318"/>
      <c r="J980" s="314"/>
      <c r="K980" s="435"/>
      <c r="L980" s="315"/>
      <c r="M980" s="315"/>
      <c r="N980" s="315"/>
      <c r="O980" s="318"/>
      <c r="P980" s="318"/>
      <c r="Q980" s="315"/>
      <c r="R980" s="314"/>
      <c r="S980" s="314"/>
      <c r="T980" s="314"/>
      <c r="U980" s="314"/>
      <c r="V980" s="314"/>
      <c r="W980" s="318"/>
      <c r="X980" s="315"/>
      <c r="Y980" s="314"/>
      <c r="Z980" s="721"/>
      <c r="AA980" s="737"/>
      <c r="AB980" s="324"/>
      <c r="AC980" s="180"/>
      <c r="AD980" s="155"/>
      <c r="AE980" s="322"/>
      <c r="AF980" s="132"/>
      <c r="AG980" s="132"/>
    </row>
    <row r="981">
      <c r="A981" s="458"/>
      <c r="B981" s="695"/>
      <c r="C981" s="745"/>
      <c r="D981" s="717"/>
      <c r="E981" s="314"/>
      <c r="F981" s="736"/>
      <c r="G981" s="314"/>
      <c r="H981" s="314"/>
      <c r="I981" s="318"/>
      <c r="J981" s="435"/>
      <c r="K981" s="435"/>
      <c r="L981" s="315"/>
      <c r="M981" s="315"/>
      <c r="N981" s="315"/>
      <c r="O981" s="318"/>
      <c r="P981" s="318"/>
      <c r="Q981" s="315"/>
      <c r="R981" s="314"/>
      <c r="S981" s="314"/>
      <c r="T981" s="314"/>
      <c r="U981" s="314"/>
      <c r="V981" s="314"/>
      <c r="W981" s="318"/>
      <c r="X981" s="315"/>
      <c r="Y981" s="314"/>
      <c r="Z981" s="721"/>
      <c r="AA981" s="737"/>
      <c r="AB981" s="324"/>
      <c r="AC981" s="180"/>
      <c r="AD981" s="155"/>
      <c r="AE981" s="322"/>
      <c r="AF981" s="132"/>
      <c r="AG981" s="132"/>
    </row>
    <row r="982">
      <c r="A982" s="435"/>
      <c r="B982" s="695"/>
      <c r="C982" s="745"/>
      <c r="D982" s="751"/>
      <c r="E982" s="435"/>
      <c r="F982" s="736"/>
      <c r="G982" s="314"/>
      <c r="H982" s="435"/>
      <c r="I982" s="318"/>
      <c r="J982" s="314"/>
      <c r="K982" s="435"/>
      <c r="L982" s="315"/>
      <c r="M982" s="744"/>
      <c r="N982" s="744"/>
      <c r="O982" s="318"/>
      <c r="P982" s="318"/>
      <c r="Q982" s="315"/>
      <c r="R982" s="435"/>
      <c r="S982" s="314"/>
      <c r="T982" s="314"/>
      <c r="U982" s="314"/>
      <c r="V982" s="314"/>
      <c r="W982" s="318"/>
      <c r="X982" s="315"/>
      <c r="Y982" s="314"/>
      <c r="Z982" s="721"/>
      <c r="AA982" s="737"/>
      <c r="AB982" s="324"/>
      <c r="AC982" s="180"/>
      <c r="AD982" s="155"/>
      <c r="AE982" s="322"/>
      <c r="AF982" s="132"/>
      <c r="AG982" s="132"/>
    </row>
    <row r="983">
      <c r="A983" s="435"/>
      <c r="B983" s="746"/>
      <c r="C983" s="312"/>
      <c r="D983" s="717"/>
      <c r="E983" s="314"/>
      <c r="F983" s="736"/>
      <c r="G983" s="314"/>
      <c r="H983" s="314"/>
      <c r="I983" s="318"/>
      <c r="J983" s="314"/>
      <c r="K983" s="314"/>
      <c r="L983" s="315"/>
      <c r="M983" s="315"/>
      <c r="N983" s="315"/>
      <c r="O983" s="318"/>
      <c r="P983" s="740"/>
      <c r="Q983" s="315"/>
      <c r="R983" s="314"/>
      <c r="S983" s="314"/>
      <c r="T983" s="314"/>
      <c r="U983" s="314"/>
      <c r="V983" s="314"/>
      <c r="W983" s="318"/>
      <c r="X983" s="315"/>
      <c r="Y983" s="314"/>
      <c r="Z983" s="721"/>
      <c r="AA983" s="737"/>
      <c r="AB983" s="324"/>
      <c r="AC983" s="180"/>
      <c r="AD983" s="155"/>
      <c r="AE983" s="322"/>
      <c r="AF983" s="132"/>
      <c r="AG983" s="132"/>
    </row>
    <row r="984">
      <c r="A984" s="435"/>
      <c r="B984" s="746"/>
      <c r="C984" s="312"/>
      <c r="D984" s="717"/>
      <c r="E984" s="314"/>
      <c r="F984" s="736"/>
      <c r="G984" s="314"/>
      <c r="H984" s="314"/>
      <c r="I984" s="318"/>
      <c r="J984" s="314"/>
      <c r="K984" s="314"/>
      <c r="L984" s="315"/>
      <c r="M984" s="315"/>
      <c r="N984" s="315"/>
      <c r="O984" s="318"/>
      <c r="P984" s="318"/>
      <c r="Q984" s="744"/>
      <c r="R984" s="314"/>
      <c r="S984" s="435"/>
      <c r="T984" s="435"/>
      <c r="U984" s="435"/>
      <c r="V984" s="435"/>
      <c r="W984" s="740"/>
      <c r="X984" s="744"/>
      <c r="Y984" s="435"/>
      <c r="Z984" s="749"/>
      <c r="AA984" s="753"/>
      <c r="AB984" s="324"/>
      <c r="AC984" s="180"/>
      <c r="AD984" s="155"/>
      <c r="AE984" s="322"/>
      <c r="AF984" s="132"/>
      <c r="AG984" s="132"/>
    </row>
    <row r="985">
      <c r="A985" s="435"/>
      <c r="B985" s="695"/>
      <c r="C985" s="745"/>
      <c r="D985" s="717"/>
      <c r="E985" s="314"/>
      <c r="F985" s="736"/>
      <c r="G985" s="314"/>
      <c r="H985" s="314"/>
      <c r="I985" s="318"/>
      <c r="J985" s="314"/>
      <c r="K985" s="314"/>
      <c r="L985" s="315"/>
      <c r="M985" s="315"/>
      <c r="N985" s="315"/>
      <c r="O985" s="318"/>
      <c r="P985" s="318"/>
      <c r="Q985" s="315"/>
      <c r="R985" s="435"/>
      <c r="S985" s="314"/>
      <c r="T985" s="314"/>
      <c r="U985" s="314"/>
      <c r="V985" s="314"/>
      <c r="W985" s="318"/>
      <c r="X985" s="315"/>
      <c r="Y985" s="314"/>
      <c r="Z985" s="721"/>
      <c r="AA985" s="737"/>
      <c r="AB985" s="324"/>
      <c r="AC985" s="180"/>
      <c r="AD985" s="155"/>
      <c r="AE985" s="322"/>
      <c r="AF985" s="132"/>
      <c r="AG985" s="132"/>
    </row>
    <row r="986">
      <c r="A986" s="435"/>
      <c r="B986" s="695"/>
      <c r="C986" s="312"/>
      <c r="D986" s="717"/>
      <c r="E986" s="314"/>
      <c r="F986" s="736"/>
      <c r="G986" s="314"/>
      <c r="H986" s="314"/>
      <c r="I986" s="318"/>
      <c r="J986" s="314"/>
      <c r="K986" s="435"/>
      <c r="L986" s="315"/>
      <c r="M986" s="744"/>
      <c r="N986" s="315"/>
      <c r="O986" s="318"/>
      <c r="P986" s="318"/>
      <c r="Q986" s="744"/>
      <c r="R986" s="314"/>
      <c r="S986" s="314"/>
      <c r="T986" s="314"/>
      <c r="U986" s="314"/>
      <c r="V986" s="314"/>
      <c r="W986" s="318"/>
      <c r="X986" s="315"/>
      <c r="Y986" s="314"/>
      <c r="Z986" s="721"/>
      <c r="AA986" s="737"/>
      <c r="AB986" s="324"/>
      <c r="AC986" s="180"/>
      <c r="AD986" s="155"/>
      <c r="AE986" s="322"/>
      <c r="AF986" s="132"/>
      <c r="AG986" s="132"/>
    </row>
    <row r="987">
      <c r="A987" s="435"/>
      <c r="B987" s="695"/>
      <c r="C987" s="745"/>
      <c r="D987" s="751"/>
      <c r="E987" s="314"/>
      <c r="F987" s="736"/>
      <c r="G987" s="314"/>
      <c r="H987" s="314"/>
      <c r="I987" s="318"/>
      <c r="J987" s="314"/>
      <c r="K987" s="435"/>
      <c r="L987" s="315"/>
      <c r="M987" s="744"/>
      <c r="N987" s="315"/>
      <c r="O987" s="318"/>
      <c r="P987" s="318"/>
      <c r="Q987" s="744"/>
      <c r="R987" s="314"/>
      <c r="S987" s="314"/>
      <c r="T987" s="314"/>
      <c r="U987" s="314"/>
      <c r="V987" s="314"/>
      <c r="W987" s="318"/>
      <c r="X987" s="315"/>
      <c r="Y987" s="314"/>
      <c r="Z987" s="721"/>
      <c r="AA987" s="737"/>
      <c r="AB987" s="324"/>
      <c r="AC987" s="180"/>
      <c r="AD987" s="155"/>
      <c r="AE987" s="322"/>
      <c r="AF987" s="132"/>
      <c r="AG987" s="132"/>
    </row>
    <row r="988">
      <c r="A988" s="476"/>
      <c r="AD988" s="176"/>
      <c r="AE988" s="322"/>
      <c r="AF988" s="132"/>
      <c r="AG988" s="132"/>
    </row>
    <row r="989">
      <c r="A989" s="178"/>
      <c r="AE989" s="322"/>
      <c r="AF989" s="132"/>
      <c r="AG989" s="132"/>
    </row>
    <row r="990">
      <c r="A990" s="474"/>
      <c r="B990" s="746"/>
      <c r="C990" s="745"/>
      <c r="D990" s="751"/>
      <c r="E990" s="435"/>
      <c r="F990" s="736"/>
      <c r="G990" s="314"/>
      <c r="H990" s="314"/>
      <c r="I990" s="740"/>
      <c r="J990" s="435"/>
      <c r="K990" s="435"/>
      <c r="L990" s="744"/>
      <c r="M990" s="744"/>
      <c r="N990" s="744"/>
      <c r="O990" s="318"/>
      <c r="P990" s="740"/>
      <c r="Q990" s="744"/>
      <c r="R990" s="435"/>
      <c r="S990" s="435"/>
      <c r="T990" s="435"/>
      <c r="U990" s="435"/>
      <c r="V990" s="435"/>
      <c r="W990" s="740"/>
      <c r="X990" s="744"/>
      <c r="Y990" s="435"/>
      <c r="Z990" s="749"/>
      <c r="AA990" s="753"/>
      <c r="AB990" s="324"/>
      <c r="AC990" s="180"/>
      <c r="AD990" s="155"/>
      <c r="AE990" s="322"/>
      <c r="AF990" s="132"/>
      <c r="AG990" s="132"/>
    </row>
    <row r="991">
      <c r="A991" s="474"/>
      <c r="B991" s="695"/>
      <c r="C991" s="745"/>
      <c r="D991" s="751"/>
      <c r="E991" s="435"/>
      <c r="F991" s="736"/>
      <c r="G991" s="314"/>
      <c r="H991" s="435"/>
      <c r="I991" s="318"/>
      <c r="J991" s="435"/>
      <c r="K991" s="435"/>
      <c r="L991" s="744"/>
      <c r="M991" s="315"/>
      <c r="N991" s="315"/>
      <c r="O991" s="318"/>
      <c r="P991" s="740"/>
      <c r="Q991" s="744"/>
      <c r="R991" s="435"/>
      <c r="S991" s="435"/>
      <c r="T991" s="435"/>
      <c r="U991" s="435"/>
      <c r="V991" s="435"/>
      <c r="W991" s="740"/>
      <c r="X991" s="744"/>
      <c r="Y991" s="435"/>
      <c r="Z991" s="749"/>
      <c r="AA991" s="753"/>
      <c r="AB991" s="324"/>
      <c r="AC991" s="180"/>
      <c r="AD991" s="155"/>
      <c r="AE991" s="322"/>
      <c r="AF991" s="132"/>
      <c r="AG991" s="132"/>
    </row>
    <row r="992">
      <c r="A992" s="477"/>
      <c r="B992" s="746"/>
      <c r="C992" s="745"/>
      <c r="D992" s="751"/>
      <c r="E992" s="314"/>
      <c r="F992" s="736"/>
      <c r="G992" s="314"/>
      <c r="H992" s="435"/>
      <c r="I992" s="740"/>
      <c r="J992" s="435"/>
      <c r="K992" s="435"/>
      <c r="L992" s="744"/>
      <c r="M992" s="744"/>
      <c r="N992" s="744"/>
      <c r="O992" s="318"/>
      <c r="P992" s="740"/>
      <c r="Q992" s="744"/>
      <c r="R992" s="435"/>
      <c r="S992" s="435"/>
      <c r="T992" s="435"/>
      <c r="U992" s="435"/>
      <c r="V992" s="435"/>
      <c r="W992" s="740"/>
      <c r="X992" s="744"/>
      <c r="Y992" s="435"/>
      <c r="Z992" s="749"/>
      <c r="AA992" s="753"/>
      <c r="AB992" s="324"/>
      <c r="AC992" s="180"/>
      <c r="AD992" s="155"/>
      <c r="AE992" s="322"/>
      <c r="AF992" s="132"/>
      <c r="AG992" s="132"/>
    </row>
    <row r="993">
      <c r="A993" s="477"/>
      <c r="B993" s="746"/>
      <c r="C993" s="745"/>
      <c r="D993" s="751"/>
      <c r="E993" s="314"/>
      <c r="F993" s="736"/>
      <c r="G993" s="314"/>
      <c r="H993" s="435"/>
      <c r="I993" s="318"/>
      <c r="J993" s="314"/>
      <c r="K993" s="435"/>
      <c r="L993" s="744"/>
      <c r="M993" s="744"/>
      <c r="N993" s="315"/>
      <c r="O993" s="318"/>
      <c r="P993" s="740"/>
      <c r="Q993" s="744"/>
      <c r="R993" s="435"/>
      <c r="S993" s="435"/>
      <c r="T993" s="435"/>
      <c r="U993" s="435"/>
      <c r="V993" s="435"/>
      <c r="W993" s="740"/>
      <c r="X993" s="744"/>
      <c r="Y993" s="435"/>
      <c r="Z993" s="749"/>
      <c r="AA993" s="753"/>
      <c r="AB993" s="324"/>
      <c r="AC993" s="180"/>
      <c r="AD993" s="155"/>
      <c r="AE993" s="322"/>
      <c r="AF993" s="132"/>
      <c r="AG993" s="132"/>
    </row>
    <row r="994">
      <c r="A994" s="477"/>
      <c r="B994" s="746"/>
      <c r="C994" s="745"/>
      <c r="D994" s="751"/>
      <c r="E994" s="435"/>
      <c r="F994" s="736"/>
      <c r="G994" s="314"/>
      <c r="H994" s="435"/>
      <c r="I994" s="740"/>
      <c r="J994" s="435"/>
      <c r="K994" s="435"/>
      <c r="L994" s="744"/>
      <c r="M994" s="744"/>
      <c r="N994" s="744"/>
      <c r="O994" s="318"/>
      <c r="P994" s="740"/>
      <c r="Q994" s="744"/>
      <c r="R994" s="435"/>
      <c r="S994" s="435"/>
      <c r="T994" s="435"/>
      <c r="U994" s="435"/>
      <c r="V994" s="435"/>
      <c r="W994" s="740"/>
      <c r="X994" s="744"/>
      <c r="Y994" s="435"/>
      <c r="Z994" s="749"/>
      <c r="AA994" s="753"/>
      <c r="AB994" s="324"/>
      <c r="AC994" s="180"/>
      <c r="AD994" s="155"/>
      <c r="AE994" s="322"/>
      <c r="AF994" s="132"/>
      <c r="AG994" s="132"/>
    </row>
    <row r="995">
      <c r="A995" s="474"/>
      <c r="B995" s="695"/>
      <c r="C995" s="745"/>
      <c r="D995" s="717"/>
      <c r="E995" s="435"/>
      <c r="F995" s="736"/>
      <c r="G995" s="314"/>
      <c r="H995" s="435"/>
      <c r="I995" s="318"/>
      <c r="J995" s="435"/>
      <c r="K995" s="435"/>
      <c r="L995" s="315"/>
      <c r="M995" s="744"/>
      <c r="N995" s="315"/>
      <c r="O995" s="318"/>
      <c r="P995" s="740"/>
      <c r="Q995" s="744"/>
      <c r="R995" s="435"/>
      <c r="S995" s="435"/>
      <c r="T995" s="435"/>
      <c r="U995" s="435"/>
      <c r="V995" s="435"/>
      <c r="W995" s="740"/>
      <c r="X995" s="744"/>
      <c r="Y995" s="435"/>
      <c r="Z995" s="749"/>
      <c r="AA995" s="753"/>
      <c r="AB995" s="324"/>
      <c r="AC995" s="180"/>
      <c r="AD995" s="155"/>
      <c r="AE995" s="322"/>
      <c r="AF995" s="132"/>
      <c r="AG995" s="132"/>
    </row>
    <row r="996">
      <c r="A996" s="478"/>
      <c r="B996" s="746"/>
      <c r="C996" s="745"/>
      <c r="D996" s="751"/>
      <c r="E996" s="435"/>
      <c r="F996" s="736"/>
      <c r="G996" s="314"/>
      <c r="H996" s="435"/>
      <c r="I996" s="740"/>
      <c r="J996" s="435"/>
      <c r="K996" s="435"/>
      <c r="L996" s="744"/>
      <c r="M996" s="744"/>
      <c r="N996" s="744"/>
      <c r="O996" s="318"/>
      <c r="P996" s="740"/>
      <c r="Q996" s="744"/>
      <c r="R996" s="435"/>
      <c r="S996" s="435"/>
      <c r="T996" s="435"/>
      <c r="U996" s="435"/>
      <c r="V996" s="435"/>
      <c r="W996" s="740"/>
      <c r="X996" s="744"/>
      <c r="Y996" s="435"/>
      <c r="Z996" s="749"/>
      <c r="AA996" s="753"/>
      <c r="AB996" s="324"/>
      <c r="AC996" s="180"/>
      <c r="AD996" s="155"/>
      <c r="AE996" s="322"/>
      <c r="AF996" s="132"/>
      <c r="AG996" s="132"/>
    </row>
    <row r="997">
      <c r="A997" s="478"/>
      <c r="B997" s="746"/>
      <c r="C997" s="745"/>
      <c r="D997" s="751"/>
      <c r="E997" s="435"/>
      <c r="F997" s="736"/>
      <c r="G997" s="314"/>
      <c r="H997" s="435"/>
      <c r="I997" s="740"/>
      <c r="J997" s="435"/>
      <c r="K997" s="435"/>
      <c r="L997" s="744"/>
      <c r="M997" s="744"/>
      <c r="N997" s="744"/>
      <c r="O997" s="318"/>
      <c r="P997" s="740"/>
      <c r="Q997" s="744"/>
      <c r="R997" s="435"/>
      <c r="S997" s="435"/>
      <c r="T997" s="435"/>
      <c r="U997" s="435"/>
      <c r="V997" s="435"/>
      <c r="W997" s="740"/>
      <c r="X997" s="744"/>
      <c r="Y997" s="435"/>
      <c r="Z997" s="749"/>
      <c r="AA997" s="753"/>
      <c r="AB997" s="324"/>
      <c r="AC997" s="180"/>
      <c r="AD997" s="155"/>
      <c r="AE997" s="322"/>
      <c r="AF997" s="132"/>
      <c r="AG997" s="132"/>
    </row>
    <row r="998">
      <c r="A998" s="478"/>
      <c r="B998" s="746"/>
      <c r="C998" s="745"/>
      <c r="D998" s="717"/>
      <c r="E998" s="314"/>
      <c r="F998" s="736"/>
      <c r="G998" s="314"/>
      <c r="H998" s="435"/>
      <c r="I998" s="740"/>
      <c r="J998" s="314"/>
      <c r="K998" s="435"/>
      <c r="L998" s="315"/>
      <c r="M998" s="744"/>
      <c r="N998" s="315"/>
      <c r="O998" s="318"/>
      <c r="P998" s="318"/>
      <c r="Q998" s="315"/>
      <c r="R998" s="314"/>
      <c r="S998" s="435"/>
      <c r="T998" s="435"/>
      <c r="U998" s="435"/>
      <c r="V998" s="435"/>
      <c r="W998" s="740"/>
      <c r="X998" s="744"/>
      <c r="Y998" s="435"/>
      <c r="Z998" s="749"/>
      <c r="AA998" s="753"/>
      <c r="AB998" s="324"/>
      <c r="AC998" s="180"/>
      <c r="AD998" s="155"/>
      <c r="AE998" s="322"/>
      <c r="AF998" s="132"/>
      <c r="AG998" s="132"/>
    </row>
    <row r="999">
      <c r="A999" s="477"/>
      <c r="B999" s="695"/>
      <c r="C999" s="745"/>
      <c r="D999" s="751"/>
      <c r="E999" s="435"/>
      <c r="F999" s="736"/>
      <c r="G999" s="314"/>
      <c r="H999" s="435"/>
      <c r="I999" s="740"/>
      <c r="J999" s="435"/>
      <c r="K999" s="435"/>
      <c r="L999" s="744"/>
      <c r="M999" s="744"/>
      <c r="N999" s="744"/>
      <c r="O999" s="318"/>
      <c r="P999" s="740"/>
      <c r="Q999" s="744"/>
      <c r="R999" s="435"/>
      <c r="S999" s="435"/>
      <c r="T999" s="435"/>
      <c r="U999" s="435"/>
      <c r="V999" s="435"/>
      <c r="W999" s="740"/>
      <c r="X999" s="744"/>
      <c r="Y999" s="435"/>
      <c r="Z999" s="749"/>
      <c r="AA999" s="753"/>
      <c r="AB999" s="324"/>
      <c r="AC999" s="180"/>
      <c r="AD999" s="155"/>
      <c r="AE999" s="322"/>
      <c r="AF999" s="132"/>
      <c r="AG999" s="132"/>
    </row>
    <row r="1000">
      <c r="A1000" s="477"/>
      <c r="B1000" s="695"/>
      <c r="C1000" s="312"/>
      <c r="D1000" s="717"/>
      <c r="E1000" s="314"/>
      <c r="F1000" s="736"/>
      <c r="G1000" s="314"/>
      <c r="H1000" s="435"/>
      <c r="I1000" s="318"/>
      <c r="J1000" s="314"/>
      <c r="K1000" s="314"/>
      <c r="L1000" s="315"/>
      <c r="M1000" s="315"/>
      <c r="N1000" s="744"/>
      <c r="O1000" s="318"/>
      <c r="P1000" s="318"/>
      <c r="Q1000" s="744"/>
      <c r="R1000" s="314"/>
      <c r="S1000" s="314"/>
      <c r="T1000" s="314"/>
      <c r="U1000" s="314"/>
      <c r="V1000" s="314"/>
      <c r="W1000" s="318"/>
      <c r="X1000" s="315"/>
      <c r="Y1000" s="314"/>
      <c r="Z1000" s="721"/>
      <c r="AA1000" s="737"/>
      <c r="AB1000" s="324"/>
      <c r="AC1000" s="180"/>
      <c r="AD1000" s="155"/>
      <c r="AE1000" s="322"/>
      <c r="AF1000" s="132"/>
      <c r="AG1000" s="132"/>
    </row>
    <row r="1001">
      <c r="A1001" s="477"/>
      <c r="B1001" s="695"/>
      <c r="C1001" s="312"/>
      <c r="D1001" s="717"/>
      <c r="E1001" s="314"/>
      <c r="F1001" s="736"/>
      <c r="G1001" s="314"/>
      <c r="H1001" s="314"/>
      <c r="I1001" s="318"/>
      <c r="J1001" s="314"/>
      <c r="K1001" s="314"/>
      <c r="L1001" s="315"/>
      <c r="M1001" s="315"/>
      <c r="N1001" s="315"/>
      <c r="O1001" s="318"/>
      <c r="P1001" s="318"/>
      <c r="Q1001" s="315"/>
      <c r="R1001" s="314"/>
      <c r="S1001" s="314"/>
      <c r="T1001" s="314"/>
      <c r="U1001" s="314"/>
      <c r="V1001" s="314"/>
      <c r="W1001" s="318"/>
      <c r="X1001" s="315"/>
      <c r="Y1001" s="314"/>
      <c r="Z1001" s="721"/>
      <c r="AA1001" s="737"/>
      <c r="AB1001" s="324"/>
      <c r="AC1001" s="180"/>
      <c r="AD1001" s="155"/>
      <c r="AE1001" s="322"/>
      <c r="AF1001" s="132"/>
      <c r="AG1001" s="132"/>
    </row>
    <row r="1002">
      <c r="A1002" s="476"/>
      <c r="AD1002" s="176"/>
      <c r="AE1002" s="322"/>
      <c r="AF1002" s="132"/>
      <c r="AG1002" s="132"/>
    </row>
    <row r="1003">
      <c r="A1003" s="178"/>
      <c r="AE1003" s="322"/>
      <c r="AF1003" s="132"/>
      <c r="AG1003" s="132"/>
    </row>
    <row r="1004">
      <c r="A1004" s="477"/>
      <c r="B1004" s="746"/>
      <c r="C1004" s="745"/>
      <c r="D1004" s="751"/>
      <c r="E1004" s="314"/>
      <c r="F1004" s="736"/>
      <c r="G1004" s="314"/>
      <c r="H1004" s="314"/>
      <c r="I1004" s="318"/>
      <c r="J1004" s="314"/>
      <c r="K1004" s="435"/>
      <c r="L1004" s="744"/>
      <c r="M1004" s="315"/>
      <c r="N1004" s="315"/>
      <c r="O1004" s="318"/>
      <c r="P1004" s="318"/>
      <c r="Q1004" s="744"/>
      <c r="R1004" s="435"/>
      <c r="S1004" s="435"/>
      <c r="T1004" s="435"/>
      <c r="U1004" s="435"/>
      <c r="V1004" s="435"/>
      <c r="W1004" s="740"/>
      <c r="X1004" s="744"/>
      <c r="Y1004" s="435"/>
      <c r="Z1004" s="749"/>
      <c r="AA1004" s="753"/>
      <c r="AB1004" s="324"/>
      <c r="AC1004" s="180"/>
      <c r="AD1004" s="155"/>
      <c r="AE1004" s="322"/>
      <c r="AF1004" s="132"/>
      <c r="AG1004" s="132"/>
    </row>
    <row r="1005">
      <c r="A1005" s="477"/>
      <c r="B1005" s="695"/>
      <c r="C1005" s="745"/>
      <c r="D1005" s="751"/>
      <c r="E1005" s="314"/>
      <c r="F1005" s="736"/>
      <c r="G1005" s="314"/>
      <c r="H1005" s="314"/>
      <c r="I1005" s="740"/>
      <c r="J1005" s="435"/>
      <c r="K1005" s="435"/>
      <c r="L1005" s="315"/>
      <c r="M1005" s="744"/>
      <c r="N1005" s="315"/>
      <c r="O1005" s="318"/>
      <c r="P1005" s="318"/>
      <c r="Q1005" s="744"/>
      <c r="R1005" s="435"/>
      <c r="S1005" s="435"/>
      <c r="T1005" s="435"/>
      <c r="U1005" s="435"/>
      <c r="V1005" s="435"/>
      <c r="W1005" s="740"/>
      <c r="X1005" s="744"/>
      <c r="Y1005" s="435"/>
      <c r="Z1005" s="749"/>
      <c r="AA1005" s="753"/>
      <c r="AB1005" s="324"/>
      <c r="AC1005" s="180"/>
      <c r="AD1005" s="155"/>
      <c r="AE1005" s="322"/>
      <c r="AF1005" s="132"/>
      <c r="AG1005" s="132"/>
    </row>
    <row r="1006">
      <c r="A1006" s="477"/>
      <c r="B1006" s="695"/>
      <c r="C1006" s="745"/>
      <c r="D1006" s="751"/>
      <c r="E1006" s="435"/>
      <c r="F1006" s="736"/>
      <c r="G1006" s="314"/>
      <c r="H1006" s="435"/>
      <c r="I1006" s="318"/>
      <c r="J1006" s="314"/>
      <c r="K1006" s="435"/>
      <c r="L1006" s="315"/>
      <c r="M1006" s="744"/>
      <c r="N1006" s="744"/>
      <c r="O1006" s="318"/>
      <c r="P1006" s="740"/>
      <c r="Q1006" s="744"/>
      <c r="R1006" s="435"/>
      <c r="S1006" s="435"/>
      <c r="T1006" s="435"/>
      <c r="U1006" s="435"/>
      <c r="V1006" s="435"/>
      <c r="W1006" s="740"/>
      <c r="X1006" s="744"/>
      <c r="Y1006" s="435"/>
      <c r="Z1006" s="749"/>
      <c r="AA1006" s="753"/>
      <c r="AB1006" s="324"/>
      <c r="AC1006" s="180"/>
      <c r="AD1006" s="155"/>
      <c r="AE1006" s="322"/>
      <c r="AF1006" s="132"/>
      <c r="AG1006" s="132"/>
    </row>
    <row r="1007">
      <c r="A1007" s="479"/>
      <c r="B1007" s="695"/>
      <c r="C1007" s="312"/>
      <c r="D1007" s="717"/>
      <c r="E1007" s="314"/>
      <c r="F1007" s="736"/>
      <c r="G1007" s="314"/>
      <c r="H1007" s="314"/>
      <c r="I1007" s="318"/>
      <c r="J1007" s="314"/>
      <c r="K1007" s="314"/>
      <c r="L1007" s="315"/>
      <c r="M1007" s="315"/>
      <c r="N1007" s="315"/>
      <c r="O1007" s="318"/>
      <c r="P1007" s="318"/>
      <c r="Q1007" s="744"/>
      <c r="R1007" s="314"/>
      <c r="S1007" s="314"/>
      <c r="T1007" s="314"/>
      <c r="U1007" s="314"/>
      <c r="V1007" s="314"/>
      <c r="W1007" s="318"/>
      <c r="X1007" s="315"/>
      <c r="Y1007" s="314"/>
      <c r="Z1007" s="721"/>
      <c r="AA1007" s="737"/>
      <c r="AB1007" s="324"/>
      <c r="AC1007" s="180"/>
      <c r="AD1007" s="155"/>
      <c r="AE1007" s="322"/>
      <c r="AF1007" s="132"/>
      <c r="AG1007" s="132"/>
    </row>
    <row r="1008">
      <c r="A1008" s="476"/>
      <c r="AD1008" s="176"/>
      <c r="AE1008" s="322"/>
      <c r="AF1008" s="132"/>
      <c r="AG1008" s="132"/>
    </row>
    <row r="1009">
      <c r="A1009" s="178"/>
      <c r="AE1009" s="322"/>
      <c r="AF1009" s="132"/>
      <c r="AG1009" s="132"/>
    </row>
    <row r="1010">
      <c r="A1010" s="480"/>
      <c r="B1010" s="695"/>
      <c r="C1010" s="745"/>
      <c r="D1010" s="717"/>
      <c r="E1010" s="314"/>
      <c r="F1010" s="736"/>
      <c r="G1010" s="314"/>
      <c r="H1010" s="314"/>
      <c r="I1010" s="318"/>
      <c r="J1010" s="435"/>
      <c r="K1010" s="435"/>
      <c r="L1010" s="315"/>
      <c r="M1010" s="315"/>
      <c r="N1010" s="315"/>
      <c r="O1010" s="318"/>
      <c r="P1010" s="318"/>
      <c r="Q1010" s="744"/>
      <c r="R1010" s="314"/>
      <c r="S1010" s="314"/>
      <c r="T1010" s="314"/>
      <c r="U1010" s="314"/>
      <c r="V1010" s="314"/>
      <c r="W1010" s="318"/>
      <c r="X1010" s="315"/>
      <c r="Y1010" s="314"/>
      <c r="Z1010" s="721"/>
      <c r="AA1010" s="737"/>
      <c r="AB1010" s="324"/>
      <c r="AC1010" s="180"/>
      <c r="AD1010" s="180"/>
      <c r="AE1010" s="322"/>
      <c r="AF1010" s="132"/>
      <c r="AG1010" s="132"/>
    </row>
    <row r="1011">
      <c r="A1011" s="480"/>
      <c r="B1011" s="695"/>
      <c r="C1011" s="745"/>
      <c r="D1011" s="717"/>
      <c r="E1011" s="314"/>
      <c r="F1011" s="736"/>
      <c r="G1011" s="314"/>
      <c r="H1011" s="435"/>
      <c r="I1011" s="318"/>
      <c r="J1011" s="435"/>
      <c r="K1011" s="435"/>
      <c r="L1011" s="315"/>
      <c r="M1011" s="744"/>
      <c r="N1011" s="744"/>
      <c r="O1011" s="318"/>
      <c r="P1011" s="740"/>
      <c r="Q1011" s="744"/>
      <c r="R1011" s="314"/>
      <c r="S1011" s="435"/>
      <c r="T1011" s="435"/>
      <c r="U1011" s="435"/>
      <c r="V1011" s="435"/>
      <c r="W1011" s="740"/>
      <c r="X1011" s="744"/>
      <c r="Y1011" s="435"/>
      <c r="Z1011" s="749"/>
      <c r="AA1011" s="753"/>
      <c r="AB1011" s="324"/>
      <c r="AC1011" s="180"/>
      <c r="AD1011" s="180"/>
      <c r="AE1011" s="322"/>
      <c r="AF1011" s="132"/>
      <c r="AG1011" s="132"/>
    </row>
    <row r="1012">
      <c r="A1012" s="476"/>
      <c r="AD1012" s="176"/>
      <c r="AE1012" s="322"/>
      <c r="AF1012" s="132"/>
      <c r="AG1012" s="132"/>
    </row>
    <row r="1013">
      <c r="A1013" s="178"/>
      <c r="AE1013" s="322"/>
      <c r="AF1013" s="132"/>
      <c r="AG1013" s="132"/>
    </row>
    <row r="1014">
      <c r="A1014" s="481"/>
      <c r="B1014" s="695"/>
      <c r="C1014" s="745"/>
      <c r="D1014" s="751"/>
      <c r="E1014" s="435"/>
      <c r="F1014" s="736"/>
      <c r="G1014" s="435"/>
      <c r="H1014" s="435"/>
      <c r="I1014" s="740"/>
      <c r="J1014" s="314"/>
      <c r="K1014" s="435"/>
      <c r="L1014" s="744"/>
      <c r="M1014" s="744"/>
      <c r="N1014" s="315"/>
      <c r="O1014" s="318"/>
      <c r="P1014" s="740"/>
      <c r="Q1014" s="744"/>
      <c r="R1014" s="435"/>
      <c r="S1014" s="435"/>
      <c r="T1014" s="435"/>
      <c r="U1014" s="435"/>
      <c r="V1014" s="435"/>
      <c r="W1014" s="740"/>
      <c r="X1014" s="744"/>
      <c r="Y1014" s="435"/>
      <c r="Z1014" s="749"/>
      <c r="AA1014" s="753"/>
      <c r="AB1014" s="324"/>
      <c r="AC1014" s="180"/>
      <c r="AD1014" s="155"/>
      <c r="AE1014" s="322"/>
      <c r="AF1014" s="132"/>
      <c r="AG1014" s="132"/>
    </row>
    <row r="1015">
      <c r="A1015" s="435"/>
      <c r="B1015" s="695"/>
      <c r="C1015" s="745"/>
      <c r="D1015" s="751"/>
      <c r="E1015" s="314"/>
      <c r="F1015" s="736"/>
      <c r="G1015" s="314"/>
      <c r="H1015" s="435"/>
      <c r="I1015" s="318"/>
      <c r="J1015" s="435"/>
      <c r="K1015" s="435"/>
      <c r="L1015" s="315"/>
      <c r="M1015" s="315"/>
      <c r="N1015" s="315"/>
      <c r="O1015" s="318"/>
      <c r="P1015" s="740"/>
      <c r="Q1015" s="744"/>
      <c r="R1015" s="435"/>
      <c r="S1015" s="435"/>
      <c r="T1015" s="435"/>
      <c r="U1015" s="435"/>
      <c r="V1015" s="435"/>
      <c r="W1015" s="740"/>
      <c r="X1015" s="744"/>
      <c r="Y1015" s="435"/>
      <c r="Z1015" s="749"/>
      <c r="AA1015" s="753"/>
      <c r="AB1015" s="324"/>
      <c r="AC1015" s="180"/>
      <c r="AD1015" s="155"/>
      <c r="AE1015" s="322"/>
      <c r="AF1015" s="132"/>
      <c r="AG1015" s="132"/>
    </row>
    <row r="1016">
      <c r="A1016" s="482"/>
      <c r="B1016" s="695"/>
      <c r="C1016" s="312"/>
      <c r="D1016" s="751"/>
      <c r="E1016" s="314"/>
      <c r="F1016" s="736"/>
      <c r="G1016" s="314"/>
      <c r="H1016" s="314"/>
      <c r="I1016" s="318"/>
      <c r="J1016" s="314"/>
      <c r="K1016" s="435"/>
      <c r="L1016" s="315"/>
      <c r="M1016" s="315"/>
      <c r="N1016" s="315"/>
      <c r="O1016" s="318"/>
      <c r="P1016" s="318"/>
      <c r="Q1016" s="315"/>
      <c r="R1016" s="435"/>
      <c r="S1016" s="314"/>
      <c r="T1016" s="314"/>
      <c r="U1016" s="314"/>
      <c r="V1016" s="314"/>
      <c r="W1016" s="318"/>
      <c r="X1016" s="315"/>
      <c r="Y1016" s="314"/>
      <c r="Z1016" s="721"/>
      <c r="AA1016" s="737"/>
      <c r="AB1016" s="324"/>
      <c r="AC1016" s="180"/>
      <c r="AD1016" s="155"/>
      <c r="AE1016" s="322"/>
      <c r="AF1016" s="132"/>
      <c r="AG1016" s="132"/>
    </row>
    <row r="1017">
      <c r="A1017" s="482"/>
      <c r="B1017" s="695"/>
      <c r="C1017" s="745"/>
      <c r="D1017" s="751"/>
      <c r="E1017" s="435"/>
      <c r="F1017" s="736"/>
      <c r="G1017" s="314"/>
      <c r="H1017" s="435"/>
      <c r="I1017" s="740"/>
      <c r="J1017" s="435"/>
      <c r="K1017" s="435"/>
      <c r="L1017" s="744"/>
      <c r="M1017" s="744"/>
      <c r="N1017" s="744"/>
      <c r="O1017" s="318"/>
      <c r="P1017" s="740"/>
      <c r="Q1017" s="744"/>
      <c r="R1017" s="435"/>
      <c r="S1017" s="435"/>
      <c r="T1017" s="435"/>
      <c r="U1017" s="435"/>
      <c r="V1017" s="435"/>
      <c r="W1017" s="740"/>
      <c r="X1017" s="744"/>
      <c r="Y1017" s="435"/>
      <c r="Z1017" s="749"/>
      <c r="AA1017" s="753"/>
      <c r="AB1017" s="324"/>
      <c r="AC1017" s="180"/>
      <c r="AD1017" s="155"/>
      <c r="AE1017" s="322"/>
      <c r="AF1017" s="132"/>
      <c r="AG1017" s="132"/>
    </row>
    <row r="1018">
      <c r="A1018" s="314"/>
      <c r="B1018" s="695"/>
      <c r="C1018" s="312"/>
      <c r="D1018" s="717"/>
      <c r="E1018" s="314"/>
      <c r="F1018" s="736"/>
      <c r="G1018" s="314"/>
      <c r="H1018" s="314"/>
      <c r="I1018" s="318"/>
      <c r="J1018" s="314"/>
      <c r="K1018" s="314"/>
      <c r="L1018" s="315"/>
      <c r="M1018" s="315"/>
      <c r="N1018" s="315"/>
      <c r="O1018" s="318"/>
      <c r="P1018" s="318"/>
      <c r="Q1018" s="315"/>
      <c r="R1018" s="314"/>
      <c r="S1018" s="314"/>
      <c r="T1018" s="314"/>
      <c r="U1018" s="314"/>
      <c r="V1018" s="314"/>
      <c r="W1018" s="318"/>
      <c r="X1018" s="315"/>
      <c r="Y1018" s="314"/>
      <c r="Z1018" s="721"/>
      <c r="AA1018" s="737"/>
      <c r="AB1018" s="483"/>
      <c r="AD1018" s="484"/>
      <c r="AE1018" s="322"/>
      <c r="AF1018" s="132"/>
      <c r="AG1018" s="132"/>
    </row>
    <row r="1019">
      <c r="A1019" s="314"/>
      <c r="B1019" s="695"/>
      <c r="C1019" s="312"/>
      <c r="D1019" s="717"/>
      <c r="E1019" s="314"/>
      <c r="F1019" s="736"/>
      <c r="G1019" s="314"/>
      <c r="H1019" s="314"/>
      <c r="I1019" s="318"/>
      <c r="J1019" s="314"/>
      <c r="K1019" s="314"/>
      <c r="L1019" s="315"/>
      <c r="M1019" s="315"/>
      <c r="N1019" s="315"/>
      <c r="O1019" s="318"/>
      <c r="P1019" s="318"/>
      <c r="Q1019" s="315"/>
      <c r="R1019" s="314"/>
      <c r="S1019" s="314"/>
      <c r="T1019" s="314"/>
      <c r="U1019" s="314"/>
      <c r="V1019" s="314"/>
      <c r="W1019" s="318"/>
      <c r="X1019" s="315"/>
      <c r="Y1019" s="314"/>
      <c r="Z1019" s="721"/>
      <c r="AA1019" s="737"/>
      <c r="AB1019" s="324"/>
      <c r="AC1019" s="155"/>
      <c r="AD1019" s="155"/>
      <c r="AE1019" s="322"/>
      <c r="AF1019" s="132"/>
      <c r="AG1019" s="132"/>
    </row>
    <row r="1020">
      <c r="A1020" s="314"/>
      <c r="B1020" s="695"/>
      <c r="C1020" s="312"/>
      <c r="D1020" s="717"/>
      <c r="E1020" s="314"/>
      <c r="F1020" s="736"/>
      <c r="G1020" s="314"/>
      <c r="H1020" s="314"/>
      <c r="I1020" s="318"/>
      <c r="J1020" s="314"/>
      <c r="K1020" s="314"/>
      <c r="L1020" s="315"/>
      <c r="M1020" s="315"/>
      <c r="N1020" s="315"/>
      <c r="O1020" s="318"/>
      <c r="P1020" s="318"/>
      <c r="Q1020" s="315"/>
      <c r="R1020" s="314"/>
      <c r="S1020" s="314"/>
      <c r="T1020" s="314"/>
      <c r="U1020" s="314"/>
      <c r="V1020" s="314"/>
      <c r="W1020" s="318"/>
      <c r="X1020" s="315"/>
      <c r="Y1020" s="314"/>
      <c r="Z1020" s="721"/>
      <c r="AA1020" s="737"/>
      <c r="AB1020" s="324"/>
      <c r="AC1020" s="155"/>
      <c r="AD1020" s="155"/>
      <c r="AE1020" s="322"/>
      <c r="AF1020" s="132"/>
      <c r="AG1020" s="132"/>
    </row>
    <row r="1021">
      <c r="A1021" s="314"/>
      <c r="B1021" s="695"/>
      <c r="C1021" s="312"/>
      <c r="D1021" s="717"/>
      <c r="E1021" s="314"/>
      <c r="F1021" s="736"/>
      <c r="G1021" s="314"/>
      <c r="H1021" s="314"/>
      <c r="I1021" s="318"/>
      <c r="J1021" s="314"/>
      <c r="K1021" s="314"/>
      <c r="L1021" s="315"/>
      <c r="M1021" s="315"/>
      <c r="N1021" s="315"/>
      <c r="O1021" s="318"/>
      <c r="P1021" s="318"/>
      <c r="Q1021" s="315"/>
      <c r="R1021" s="314"/>
      <c r="S1021" s="314"/>
      <c r="T1021" s="314"/>
      <c r="U1021" s="314"/>
      <c r="V1021" s="314"/>
      <c r="W1021" s="318"/>
      <c r="X1021" s="315"/>
      <c r="Y1021" s="314"/>
      <c r="Z1021" s="721"/>
      <c r="AA1021" s="737"/>
      <c r="AB1021" s="324"/>
      <c r="AC1021" s="155"/>
      <c r="AD1021" s="155"/>
      <c r="AE1021" s="322"/>
      <c r="AF1021" s="132"/>
      <c r="AG1021" s="132"/>
    </row>
    <row r="1022">
      <c r="A1022" s="314"/>
      <c r="B1022" s="695"/>
      <c r="C1022" s="312"/>
      <c r="D1022" s="717"/>
      <c r="E1022" s="314"/>
      <c r="F1022" s="736"/>
      <c r="G1022" s="314"/>
      <c r="H1022" s="314"/>
      <c r="I1022" s="318"/>
      <c r="J1022" s="314"/>
      <c r="K1022" s="314"/>
      <c r="L1022" s="315"/>
      <c r="M1022" s="315"/>
      <c r="N1022" s="315"/>
      <c r="O1022" s="318"/>
      <c r="P1022" s="318"/>
      <c r="Q1022" s="315"/>
      <c r="R1022" s="314"/>
      <c r="S1022" s="314"/>
      <c r="T1022" s="314"/>
      <c r="U1022" s="314"/>
      <c r="V1022" s="314"/>
      <c r="W1022" s="318"/>
      <c r="X1022" s="315"/>
      <c r="Y1022" s="314"/>
      <c r="Z1022" s="721"/>
      <c r="AA1022" s="737"/>
      <c r="AB1022" s="324"/>
      <c r="AC1022" s="155"/>
      <c r="AD1022" s="155"/>
      <c r="AE1022" s="322"/>
      <c r="AF1022" s="132"/>
      <c r="AG1022" s="132"/>
    </row>
    <row r="1023">
      <c r="A1023" s="314"/>
      <c r="B1023" s="695"/>
      <c r="C1023" s="312"/>
      <c r="D1023" s="717"/>
      <c r="E1023" s="314"/>
      <c r="F1023" s="736"/>
      <c r="G1023" s="314"/>
      <c r="H1023" s="314"/>
      <c r="I1023" s="318"/>
      <c r="J1023" s="314"/>
      <c r="K1023" s="314"/>
      <c r="L1023" s="315"/>
      <c r="M1023" s="315"/>
      <c r="N1023" s="315"/>
      <c r="O1023" s="318"/>
      <c r="P1023" s="318"/>
      <c r="Q1023" s="315"/>
      <c r="R1023" s="314"/>
      <c r="S1023" s="314"/>
      <c r="T1023" s="314"/>
      <c r="U1023" s="314"/>
      <c r="V1023" s="314"/>
      <c r="W1023" s="318"/>
      <c r="X1023" s="315"/>
      <c r="Y1023" s="314"/>
      <c r="Z1023" s="721"/>
      <c r="AA1023" s="737"/>
      <c r="AB1023" s="324"/>
      <c r="AC1023" s="155"/>
      <c r="AD1023" s="155"/>
      <c r="AE1023" s="322"/>
      <c r="AF1023" s="132"/>
      <c r="AG1023" s="132"/>
    </row>
    <row r="1024">
      <c r="A1024" s="314"/>
      <c r="B1024" s="695"/>
      <c r="C1024" s="312"/>
      <c r="D1024" s="717"/>
      <c r="E1024" s="314"/>
      <c r="F1024" s="736"/>
      <c r="G1024" s="314"/>
      <c r="H1024" s="314"/>
      <c r="I1024" s="318"/>
      <c r="J1024" s="314"/>
      <c r="K1024" s="314"/>
      <c r="L1024" s="315"/>
      <c r="M1024" s="315"/>
      <c r="N1024" s="315"/>
      <c r="O1024" s="318"/>
      <c r="P1024" s="318"/>
      <c r="Q1024" s="315"/>
      <c r="R1024" s="314"/>
      <c r="S1024" s="314"/>
      <c r="T1024" s="314"/>
      <c r="U1024" s="314"/>
      <c r="V1024" s="314"/>
      <c r="W1024" s="318"/>
      <c r="X1024" s="315"/>
      <c r="Y1024" s="314"/>
      <c r="Z1024" s="721"/>
      <c r="AA1024" s="737"/>
      <c r="AB1024" s="324"/>
      <c r="AC1024" s="155"/>
      <c r="AD1024" s="155"/>
      <c r="AE1024" s="322"/>
      <c r="AF1024" s="132"/>
      <c r="AG1024" s="132"/>
    </row>
    <row r="1025">
      <c r="A1025" s="314"/>
      <c r="B1025" s="695"/>
      <c r="C1025" s="312"/>
      <c r="D1025" s="717"/>
      <c r="E1025" s="314"/>
      <c r="F1025" s="736"/>
      <c r="G1025" s="314"/>
      <c r="H1025" s="314"/>
      <c r="I1025" s="318"/>
      <c r="J1025" s="314"/>
      <c r="K1025" s="314"/>
      <c r="L1025" s="315"/>
      <c r="M1025" s="315"/>
      <c r="N1025" s="315"/>
      <c r="O1025" s="318"/>
      <c r="P1025" s="318"/>
      <c r="Q1025" s="315"/>
      <c r="R1025" s="314"/>
      <c r="S1025" s="314"/>
      <c r="T1025" s="314"/>
      <c r="U1025" s="314"/>
      <c r="V1025" s="314"/>
      <c r="W1025" s="318"/>
      <c r="X1025" s="315"/>
      <c r="Y1025" s="314"/>
      <c r="Z1025" s="721"/>
      <c r="AA1025" s="737"/>
      <c r="AB1025" s="324"/>
      <c r="AC1025" s="155"/>
      <c r="AD1025" s="155"/>
      <c r="AE1025" s="322"/>
      <c r="AF1025" s="132"/>
      <c r="AG1025" s="132"/>
    </row>
    <row r="1026">
      <c r="A1026" s="314"/>
      <c r="B1026" s="695"/>
      <c r="C1026" s="312"/>
      <c r="D1026" s="717"/>
      <c r="E1026" s="314"/>
      <c r="F1026" s="736"/>
      <c r="G1026" s="314"/>
      <c r="H1026" s="314"/>
      <c r="I1026" s="318"/>
      <c r="J1026" s="314"/>
      <c r="K1026" s="314"/>
      <c r="L1026" s="315"/>
      <c r="M1026" s="315"/>
      <c r="N1026" s="315"/>
      <c r="O1026" s="318"/>
      <c r="P1026" s="318"/>
      <c r="Q1026" s="315"/>
      <c r="R1026" s="314"/>
      <c r="S1026" s="314"/>
      <c r="T1026" s="314"/>
      <c r="U1026" s="314"/>
      <c r="V1026" s="314"/>
      <c r="W1026" s="318"/>
      <c r="X1026" s="315"/>
      <c r="Y1026" s="314"/>
      <c r="Z1026" s="721"/>
      <c r="AA1026" s="737"/>
      <c r="AB1026" s="324"/>
      <c r="AC1026" s="155"/>
      <c r="AD1026" s="155"/>
      <c r="AE1026" s="322"/>
      <c r="AF1026" s="132"/>
      <c r="AG1026" s="132"/>
    </row>
    <row r="1027">
      <c r="A1027" s="314"/>
      <c r="B1027" s="695"/>
      <c r="C1027" s="312"/>
      <c r="D1027" s="717"/>
      <c r="E1027" s="314"/>
      <c r="F1027" s="736"/>
      <c r="G1027" s="314"/>
      <c r="H1027" s="314"/>
      <c r="I1027" s="318"/>
      <c r="J1027" s="314"/>
      <c r="K1027" s="314"/>
      <c r="L1027" s="315"/>
      <c r="M1027" s="315"/>
      <c r="N1027" s="315"/>
      <c r="O1027" s="318"/>
      <c r="P1027" s="318"/>
      <c r="Q1027" s="315"/>
      <c r="R1027" s="314"/>
      <c r="S1027" s="314"/>
      <c r="T1027" s="314"/>
      <c r="U1027" s="314"/>
      <c r="V1027" s="314"/>
      <c r="W1027" s="318"/>
      <c r="X1027" s="315"/>
      <c r="Y1027" s="314"/>
      <c r="Z1027" s="721"/>
      <c r="AA1027" s="737"/>
      <c r="AB1027" s="324"/>
      <c r="AC1027" s="155"/>
      <c r="AD1027" s="155"/>
      <c r="AE1027" s="322"/>
      <c r="AF1027" s="132"/>
      <c r="AG1027" s="132"/>
    </row>
    <row r="1028">
      <c r="A1028" s="314"/>
      <c r="B1028" s="695"/>
      <c r="C1028" s="312"/>
      <c r="D1028" s="717"/>
      <c r="E1028" s="314"/>
      <c r="F1028" s="736"/>
      <c r="G1028" s="314"/>
      <c r="H1028" s="314"/>
      <c r="I1028" s="318"/>
      <c r="J1028" s="314"/>
      <c r="K1028" s="314"/>
      <c r="L1028" s="315"/>
      <c r="M1028" s="315"/>
      <c r="N1028" s="315"/>
      <c r="O1028" s="318"/>
      <c r="P1028" s="318"/>
      <c r="Q1028" s="315"/>
      <c r="R1028" s="314"/>
      <c r="S1028" s="314"/>
      <c r="T1028" s="314"/>
      <c r="U1028" s="314"/>
      <c r="V1028" s="314"/>
      <c r="W1028" s="318"/>
      <c r="X1028" s="315"/>
      <c r="Y1028" s="314"/>
      <c r="Z1028" s="721"/>
      <c r="AA1028" s="737"/>
      <c r="AB1028" s="324"/>
      <c r="AC1028" s="155"/>
      <c r="AD1028" s="155"/>
      <c r="AE1028" s="322"/>
      <c r="AF1028" s="132"/>
      <c r="AG1028" s="132"/>
    </row>
    <row r="1029">
      <c r="A1029" s="314"/>
      <c r="B1029" s="695"/>
      <c r="C1029" s="312"/>
      <c r="D1029" s="717"/>
      <c r="E1029" s="314"/>
      <c r="F1029" s="736"/>
      <c r="G1029" s="314"/>
      <c r="H1029" s="314"/>
      <c r="I1029" s="318"/>
      <c r="J1029" s="314"/>
      <c r="K1029" s="314"/>
      <c r="L1029" s="315"/>
      <c r="M1029" s="315"/>
      <c r="N1029" s="315"/>
      <c r="O1029" s="318"/>
      <c r="P1029" s="318"/>
      <c r="Q1029" s="315"/>
      <c r="R1029" s="314"/>
      <c r="S1029" s="314"/>
      <c r="T1029" s="314"/>
      <c r="U1029" s="314"/>
      <c r="V1029" s="314"/>
      <c r="W1029" s="318"/>
      <c r="X1029" s="315"/>
      <c r="Y1029" s="314"/>
      <c r="Z1029" s="721"/>
      <c r="AA1029" s="737"/>
      <c r="AB1029" s="324"/>
      <c r="AC1029" s="155"/>
      <c r="AD1029" s="155"/>
      <c r="AE1029" s="322"/>
      <c r="AF1029" s="132"/>
      <c r="AG1029" s="132"/>
    </row>
    <row r="1030">
      <c r="A1030" s="314"/>
      <c r="B1030" s="695"/>
      <c r="C1030" s="312"/>
      <c r="D1030" s="717"/>
      <c r="E1030" s="314"/>
      <c r="F1030" s="736"/>
      <c r="G1030" s="314"/>
      <c r="H1030" s="314"/>
      <c r="I1030" s="318"/>
      <c r="J1030" s="314"/>
      <c r="K1030" s="314"/>
      <c r="L1030" s="315"/>
      <c r="M1030" s="315"/>
      <c r="N1030" s="315"/>
      <c r="O1030" s="318"/>
      <c r="P1030" s="318"/>
      <c r="Q1030" s="315"/>
      <c r="R1030" s="314"/>
      <c r="S1030" s="314"/>
      <c r="T1030" s="314"/>
      <c r="U1030" s="314"/>
      <c r="V1030" s="314"/>
      <c r="W1030" s="318"/>
      <c r="X1030" s="315"/>
      <c r="Y1030" s="314"/>
      <c r="Z1030" s="721"/>
      <c r="AA1030" s="737"/>
      <c r="AB1030" s="324"/>
      <c r="AC1030" s="155"/>
      <c r="AD1030" s="155"/>
      <c r="AE1030" s="322"/>
      <c r="AF1030" s="132"/>
      <c r="AG1030" s="132"/>
    </row>
    <row r="1031">
      <c r="A1031" s="314"/>
      <c r="B1031" s="695"/>
      <c r="C1031" s="312"/>
      <c r="D1031" s="717"/>
      <c r="E1031" s="314"/>
      <c r="F1031" s="736"/>
      <c r="G1031" s="314"/>
      <c r="H1031" s="314"/>
      <c r="I1031" s="318"/>
      <c r="J1031" s="314"/>
      <c r="K1031" s="314"/>
      <c r="L1031" s="315"/>
      <c r="M1031" s="315"/>
      <c r="N1031" s="315"/>
      <c r="O1031" s="318"/>
      <c r="P1031" s="318"/>
      <c r="Q1031" s="315"/>
      <c r="R1031" s="314"/>
      <c r="S1031" s="314"/>
      <c r="T1031" s="314"/>
      <c r="U1031" s="314"/>
      <c r="V1031" s="314"/>
      <c r="W1031" s="318"/>
      <c r="X1031" s="315"/>
      <c r="Y1031" s="314"/>
      <c r="Z1031" s="721"/>
      <c r="AA1031" s="737"/>
      <c r="AB1031" s="324"/>
      <c r="AC1031" s="155"/>
      <c r="AD1031" s="155"/>
      <c r="AE1031" s="322"/>
      <c r="AF1031" s="132"/>
      <c r="AG1031" s="132"/>
    </row>
    <row r="1032">
      <c r="A1032" s="314"/>
      <c r="B1032" s="695"/>
      <c r="C1032" s="312"/>
      <c r="D1032" s="717"/>
      <c r="E1032" s="314"/>
      <c r="F1032" s="736"/>
      <c r="G1032" s="314"/>
      <c r="H1032" s="314"/>
      <c r="I1032" s="318"/>
      <c r="J1032" s="314"/>
      <c r="K1032" s="314"/>
      <c r="L1032" s="315"/>
      <c r="M1032" s="315"/>
      <c r="N1032" s="315"/>
      <c r="O1032" s="318"/>
      <c r="P1032" s="318"/>
      <c r="Q1032" s="315"/>
      <c r="R1032" s="314"/>
      <c r="S1032" s="314"/>
      <c r="T1032" s="314"/>
      <c r="U1032" s="314"/>
      <c r="V1032" s="314"/>
      <c r="W1032" s="318"/>
      <c r="X1032" s="315"/>
      <c r="Y1032" s="314"/>
      <c r="Z1032" s="721"/>
      <c r="AA1032" s="737"/>
      <c r="AB1032" s="324"/>
      <c r="AC1032" s="155"/>
      <c r="AD1032" s="155"/>
      <c r="AE1032" s="322"/>
      <c r="AF1032" s="132"/>
      <c r="AG1032" s="132"/>
    </row>
    <row r="1033">
      <c r="A1033" s="314"/>
      <c r="B1033" s="695"/>
      <c r="C1033" s="312"/>
      <c r="D1033" s="717"/>
      <c r="E1033" s="314"/>
      <c r="F1033" s="736"/>
      <c r="G1033" s="314"/>
      <c r="H1033" s="314"/>
      <c r="I1033" s="318"/>
      <c r="J1033" s="314"/>
      <c r="K1033" s="314"/>
      <c r="L1033" s="315"/>
      <c r="M1033" s="315"/>
      <c r="N1033" s="315"/>
      <c r="O1033" s="318"/>
      <c r="P1033" s="318"/>
      <c r="Q1033" s="315"/>
      <c r="R1033" s="314"/>
      <c r="S1033" s="314"/>
      <c r="T1033" s="314"/>
      <c r="U1033" s="314"/>
      <c r="V1033" s="314"/>
      <c r="W1033" s="318"/>
      <c r="X1033" s="315"/>
      <c r="Y1033" s="314"/>
      <c r="Z1033" s="721"/>
      <c r="AA1033" s="737"/>
      <c r="AB1033" s="487"/>
      <c r="AD1033" s="484"/>
      <c r="AE1033" s="322"/>
      <c r="AF1033" s="132"/>
      <c r="AG1033" s="132"/>
    </row>
    <row r="1034">
      <c r="A1034" s="314"/>
      <c r="B1034" s="695"/>
      <c r="C1034" s="312"/>
      <c r="D1034" s="717"/>
      <c r="E1034" s="314"/>
      <c r="F1034" s="736"/>
      <c r="G1034" s="314"/>
      <c r="H1034" s="314"/>
      <c r="I1034" s="318"/>
      <c r="J1034" s="314"/>
      <c r="K1034" s="314"/>
      <c r="L1034" s="315"/>
      <c r="M1034" s="315"/>
      <c r="N1034" s="315"/>
      <c r="O1034" s="318"/>
      <c r="P1034" s="318"/>
      <c r="Q1034" s="315"/>
      <c r="R1034" s="314"/>
      <c r="S1034" s="314"/>
      <c r="T1034" s="314"/>
      <c r="U1034" s="314"/>
      <c r="V1034" s="314"/>
      <c r="W1034" s="318"/>
      <c r="X1034" s="315"/>
      <c r="Y1034" s="314"/>
      <c r="Z1034" s="721"/>
      <c r="AA1034" s="737"/>
      <c r="AB1034" s="324"/>
      <c r="AC1034" s="155"/>
      <c r="AD1034" s="155"/>
      <c r="AE1034" s="322"/>
      <c r="AF1034" s="132"/>
      <c r="AG1034" s="132"/>
    </row>
    <row r="1035">
      <c r="A1035" s="314"/>
      <c r="B1035" s="695"/>
      <c r="C1035" s="312"/>
      <c r="D1035" s="717"/>
      <c r="E1035" s="314"/>
      <c r="F1035" s="736"/>
      <c r="G1035" s="314"/>
      <c r="H1035" s="314"/>
      <c r="I1035" s="318"/>
      <c r="J1035" s="314"/>
      <c r="K1035" s="314"/>
      <c r="L1035" s="315"/>
      <c r="M1035" s="315"/>
      <c r="N1035" s="315"/>
      <c r="O1035" s="318"/>
      <c r="P1035" s="318"/>
      <c r="Q1035" s="315"/>
      <c r="R1035" s="314"/>
      <c r="S1035" s="314"/>
      <c r="T1035" s="314"/>
      <c r="U1035" s="314"/>
      <c r="V1035" s="314"/>
      <c r="W1035" s="318"/>
      <c r="X1035" s="315"/>
      <c r="Y1035" s="314"/>
      <c r="Z1035" s="721"/>
      <c r="AA1035" s="737"/>
      <c r="AB1035" s="324"/>
      <c r="AC1035" s="155"/>
      <c r="AD1035" s="155"/>
      <c r="AE1035" s="322"/>
      <c r="AF1035" s="132"/>
      <c r="AG1035" s="132"/>
    </row>
    <row r="1036">
      <c r="A1036" s="314"/>
      <c r="B1036" s="695"/>
      <c r="C1036" s="312"/>
      <c r="D1036" s="717"/>
      <c r="E1036" s="314"/>
      <c r="F1036" s="736"/>
      <c r="G1036" s="314"/>
      <c r="H1036" s="314"/>
      <c r="I1036" s="318"/>
      <c r="J1036" s="314"/>
      <c r="K1036" s="314"/>
      <c r="L1036" s="315"/>
      <c r="M1036" s="315"/>
      <c r="N1036" s="315"/>
      <c r="O1036" s="318"/>
      <c r="P1036" s="318"/>
      <c r="Q1036" s="315"/>
      <c r="R1036" s="314"/>
      <c r="S1036" s="314"/>
      <c r="T1036" s="314"/>
      <c r="U1036" s="314"/>
      <c r="V1036" s="314"/>
      <c r="W1036" s="318"/>
      <c r="X1036" s="315"/>
      <c r="Y1036" s="314"/>
      <c r="Z1036" s="721"/>
      <c r="AA1036" s="737"/>
      <c r="AB1036" s="324"/>
      <c r="AC1036" s="155"/>
      <c r="AD1036" s="155"/>
      <c r="AE1036" s="322"/>
      <c r="AF1036" s="132"/>
      <c r="AG1036" s="132"/>
    </row>
    <row r="1037">
      <c r="A1037" s="314"/>
      <c r="B1037" s="695"/>
      <c r="C1037" s="312"/>
      <c r="D1037" s="717"/>
      <c r="E1037" s="314"/>
      <c r="F1037" s="736"/>
      <c r="G1037" s="314"/>
      <c r="H1037" s="314"/>
      <c r="I1037" s="318"/>
      <c r="J1037" s="314"/>
      <c r="K1037" s="314"/>
      <c r="L1037" s="315"/>
      <c r="M1037" s="315"/>
      <c r="N1037" s="315"/>
      <c r="O1037" s="318"/>
      <c r="P1037" s="318"/>
      <c r="Q1037" s="315"/>
      <c r="R1037" s="314"/>
      <c r="S1037" s="314"/>
      <c r="T1037" s="314"/>
      <c r="U1037" s="314"/>
      <c r="V1037" s="314"/>
      <c r="W1037" s="318"/>
      <c r="X1037" s="315"/>
      <c r="Y1037" s="314"/>
      <c r="Z1037" s="721"/>
      <c r="AA1037" s="737"/>
      <c r="AB1037" s="324"/>
      <c r="AC1037" s="155"/>
      <c r="AD1037" s="155"/>
      <c r="AE1037" s="322"/>
      <c r="AF1037" s="132"/>
      <c r="AG1037" s="132"/>
    </row>
    <row r="1038">
      <c r="A1038" s="314"/>
      <c r="B1038" s="695"/>
      <c r="C1038" s="312"/>
      <c r="D1038" s="717"/>
      <c r="E1038" s="314"/>
      <c r="F1038" s="736"/>
      <c r="G1038" s="314"/>
      <c r="H1038" s="314"/>
      <c r="I1038" s="318"/>
      <c r="J1038" s="314"/>
      <c r="K1038" s="314"/>
      <c r="L1038" s="315"/>
      <c r="M1038" s="315"/>
      <c r="N1038" s="315"/>
      <c r="O1038" s="318"/>
      <c r="P1038" s="318"/>
      <c r="Q1038" s="315"/>
      <c r="R1038" s="314"/>
      <c r="S1038" s="314"/>
      <c r="T1038" s="314"/>
      <c r="U1038" s="314"/>
      <c r="V1038" s="314"/>
      <c r="W1038" s="318"/>
      <c r="X1038" s="315"/>
      <c r="Y1038" s="314"/>
      <c r="Z1038" s="721"/>
      <c r="AA1038" s="737"/>
      <c r="AB1038" s="324"/>
      <c r="AC1038" s="155"/>
      <c r="AD1038" s="155"/>
      <c r="AE1038" s="322"/>
      <c r="AF1038" s="132"/>
      <c r="AG1038" s="132"/>
    </row>
    <row r="1039">
      <c r="A1039" s="314"/>
      <c r="B1039" s="695"/>
      <c r="C1039" s="312"/>
      <c r="D1039" s="717"/>
      <c r="E1039" s="314"/>
      <c r="F1039" s="736"/>
      <c r="G1039" s="314"/>
      <c r="H1039" s="314"/>
      <c r="I1039" s="318"/>
      <c r="J1039" s="314"/>
      <c r="K1039" s="314"/>
      <c r="L1039" s="315"/>
      <c r="M1039" s="315"/>
      <c r="N1039" s="315"/>
      <c r="O1039" s="318"/>
      <c r="P1039" s="318"/>
      <c r="Q1039" s="315"/>
      <c r="R1039" s="314"/>
      <c r="S1039" s="314"/>
      <c r="T1039" s="314"/>
      <c r="U1039" s="314"/>
      <c r="V1039" s="314"/>
      <c r="W1039" s="318"/>
      <c r="X1039" s="315"/>
      <c r="Y1039" s="314"/>
      <c r="Z1039" s="721"/>
      <c r="AA1039" s="737"/>
      <c r="AB1039" s="324"/>
      <c r="AC1039" s="155"/>
      <c r="AD1039" s="155"/>
      <c r="AE1039" s="322"/>
      <c r="AF1039" s="132"/>
      <c r="AG1039" s="132"/>
    </row>
    <row r="1040">
      <c r="A1040" s="314"/>
      <c r="B1040" s="695"/>
      <c r="C1040" s="312"/>
      <c r="D1040" s="717"/>
      <c r="E1040" s="314"/>
      <c r="F1040" s="736"/>
      <c r="G1040" s="314"/>
      <c r="H1040" s="314"/>
      <c r="I1040" s="318"/>
      <c r="J1040" s="314"/>
      <c r="K1040" s="314"/>
      <c r="L1040" s="315"/>
      <c r="M1040" s="315"/>
      <c r="N1040" s="315"/>
      <c r="O1040" s="318"/>
      <c r="P1040" s="318"/>
      <c r="Q1040" s="315"/>
      <c r="R1040" s="314"/>
      <c r="S1040" s="314"/>
      <c r="T1040" s="314"/>
      <c r="U1040" s="314"/>
      <c r="V1040" s="314"/>
      <c r="W1040" s="318"/>
      <c r="X1040" s="315"/>
      <c r="Y1040" s="314"/>
      <c r="Z1040" s="721"/>
      <c r="AA1040" s="737"/>
      <c r="AB1040" s="324"/>
      <c r="AC1040" s="155"/>
      <c r="AD1040" s="155"/>
      <c r="AE1040" s="322"/>
      <c r="AF1040" s="132"/>
      <c r="AG1040" s="132"/>
    </row>
    <row r="1041">
      <c r="A1041" s="314"/>
      <c r="B1041" s="695"/>
      <c r="C1041" s="312"/>
      <c r="D1041" s="717"/>
      <c r="E1041" s="314"/>
      <c r="F1041" s="736"/>
      <c r="G1041" s="314"/>
      <c r="H1041" s="314"/>
      <c r="I1041" s="318"/>
      <c r="J1041" s="314"/>
      <c r="K1041" s="314"/>
      <c r="L1041" s="315"/>
      <c r="M1041" s="315"/>
      <c r="N1041" s="315"/>
      <c r="O1041" s="318"/>
      <c r="P1041" s="318"/>
      <c r="Q1041" s="315"/>
      <c r="R1041" s="314"/>
      <c r="S1041" s="314"/>
      <c r="T1041" s="314"/>
      <c r="U1041" s="314"/>
      <c r="V1041" s="314"/>
      <c r="W1041" s="318"/>
      <c r="X1041" s="315"/>
      <c r="Y1041" s="314"/>
      <c r="Z1041" s="721"/>
      <c r="AA1041" s="737"/>
      <c r="AB1041" s="324"/>
      <c r="AC1041" s="155"/>
      <c r="AD1041" s="155"/>
      <c r="AE1041" s="322"/>
      <c r="AF1041" s="132"/>
      <c r="AG1041" s="132"/>
    </row>
    <row r="1042">
      <c r="A1042" s="314"/>
      <c r="B1042" s="695"/>
      <c r="C1042" s="312"/>
      <c r="D1042" s="717"/>
      <c r="E1042" s="314"/>
      <c r="F1042" s="736"/>
      <c r="G1042" s="314"/>
      <c r="H1042" s="314"/>
      <c r="I1042" s="318"/>
      <c r="J1042" s="314"/>
      <c r="K1042" s="314"/>
      <c r="L1042" s="315"/>
      <c r="M1042" s="315"/>
      <c r="N1042" s="315"/>
      <c r="O1042" s="318"/>
      <c r="P1042" s="318"/>
      <c r="Q1042" s="315"/>
      <c r="R1042" s="314"/>
      <c r="S1042" s="314"/>
      <c r="T1042" s="314"/>
      <c r="U1042" s="314"/>
      <c r="V1042" s="314"/>
      <c r="W1042" s="318"/>
      <c r="X1042" s="315"/>
      <c r="Y1042" s="314"/>
      <c r="Z1042" s="721"/>
      <c r="AA1042" s="737"/>
      <c r="AB1042" s="324"/>
      <c r="AC1042" s="155"/>
      <c r="AD1042" s="155"/>
      <c r="AE1042" s="322"/>
      <c r="AF1042" s="132"/>
      <c r="AG1042" s="132"/>
    </row>
    <row r="1043">
      <c r="A1043" s="314"/>
      <c r="B1043" s="695"/>
      <c r="C1043" s="312"/>
      <c r="D1043" s="717"/>
      <c r="E1043" s="314"/>
      <c r="F1043" s="736"/>
      <c r="G1043" s="314"/>
      <c r="H1043" s="314"/>
      <c r="I1043" s="318"/>
      <c r="J1043" s="314"/>
      <c r="K1043" s="314"/>
      <c r="L1043" s="315"/>
      <c r="M1043" s="315"/>
      <c r="N1043" s="315"/>
      <c r="O1043" s="318"/>
      <c r="P1043" s="318"/>
      <c r="Q1043" s="315"/>
      <c r="R1043" s="314"/>
      <c r="S1043" s="314"/>
      <c r="T1043" s="314"/>
      <c r="U1043" s="314"/>
      <c r="V1043" s="314"/>
      <c r="W1043" s="318"/>
      <c r="X1043" s="315"/>
      <c r="Y1043" s="314"/>
      <c r="Z1043" s="721"/>
      <c r="AA1043" s="737"/>
      <c r="AB1043" s="324"/>
      <c r="AC1043" s="155"/>
      <c r="AD1043" s="155"/>
      <c r="AE1043" s="322"/>
      <c r="AF1043" s="132"/>
      <c r="AG1043" s="132"/>
    </row>
    <row r="1044">
      <c r="A1044" s="314"/>
      <c r="B1044" s="695"/>
      <c r="C1044" s="312"/>
      <c r="D1044" s="717"/>
      <c r="E1044" s="314"/>
      <c r="F1044" s="736"/>
      <c r="G1044" s="314"/>
      <c r="H1044" s="314"/>
      <c r="I1044" s="318"/>
      <c r="J1044" s="314"/>
      <c r="K1044" s="314"/>
      <c r="L1044" s="315"/>
      <c r="M1044" s="315"/>
      <c r="N1044" s="315"/>
      <c r="O1044" s="318"/>
      <c r="P1044" s="318"/>
      <c r="Q1044" s="315"/>
      <c r="R1044" s="314"/>
      <c r="S1044" s="314"/>
      <c r="T1044" s="314"/>
      <c r="U1044" s="314"/>
      <c r="V1044" s="314"/>
      <c r="W1044" s="318"/>
      <c r="X1044" s="315"/>
      <c r="Y1044" s="314"/>
      <c r="Z1044" s="721"/>
      <c r="AA1044" s="737"/>
      <c r="AB1044" s="324"/>
      <c r="AC1044" s="155"/>
      <c r="AD1044" s="155"/>
      <c r="AE1044" s="322"/>
      <c r="AF1044" s="132"/>
      <c r="AG1044" s="132"/>
    </row>
    <row r="1045">
      <c r="A1045" s="314"/>
      <c r="B1045" s="695"/>
      <c r="C1045" s="312"/>
      <c r="D1045" s="717"/>
      <c r="E1045" s="314"/>
      <c r="F1045" s="736"/>
      <c r="G1045" s="314"/>
      <c r="H1045" s="314"/>
      <c r="I1045" s="318"/>
      <c r="J1045" s="314"/>
      <c r="K1045" s="314"/>
      <c r="L1045" s="315"/>
      <c r="M1045" s="315"/>
      <c r="N1045" s="315"/>
      <c r="O1045" s="318"/>
      <c r="P1045" s="318"/>
      <c r="Q1045" s="315"/>
      <c r="R1045" s="314"/>
      <c r="S1045" s="314"/>
      <c r="T1045" s="314"/>
      <c r="U1045" s="314"/>
      <c r="V1045" s="314"/>
      <c r="W1045" s="318"/>
      <c r="X1045" s="315"/>
      <c r="Y1045" s="314"/>
      <c r="Z1045" s="721"/>
      <c r="AA1045" s="737"/>
      <c r="AB1045" s="324"/>
      <c r="AC1045" s="155"/>
      <c r="AD1045" s="155"/>
      <c r="AE1045" s="322"/>
      <c r="AF1045" s="132"/>
      <c r="AG1045" s="132"/>
    </row>
    <row r="1046">
      <c r="A1046" s="314"/>
      <c r="B1046" s="695"/>
      <c r="C1046" s="312"/>
      <c r="D1046" s="717"/>
      <c r="E1046" s="314"/>
      <c r="F1046" s="736"/>
      <c r="G1046" s="314"/>
      <c r="H1046" s="314"/>
      <c r="I1046" s="318"/>
      <c r="J1046" s="314"/>
      <c r="K1046" s="314"/>
      <c r="L1046" s="315"/>
      <c r="M1046" s="315"/>
      <c r="N1046" s="315"/>
      <c r="O1046" s="318"/>
      <c r="P1046" s="318"/>
      <c r="Q1046" s="315"/>
      <c r="R1046" s="314"/>
      <c r="S1046" s="314"/>
      <c r="T1046" s="314"/>
      <c r="U1046" s="314"/>
      <c r="V1046" s="314"/>
      <c r="W1046" s="318"/>
      <c r="X1046" s="315"/>
      <c r="Y1046" s="314"/>
      <c r="Z1046" s="721"/>
      <c r="AA1046" s="737"/>
      <c r="AB1046" s="324"/>
      <c r="AC1046" s="155"/>
      <c r="AD1046" s="155"/>
      <c r="AE1046" s="322"/>
      <c r="AF1046" s="132"/>
      <c r="AG1046" s="132"/>
    </row>
    <row r="1047">
      <c r="A1047" s="314"/>
      <c r="B1047" s="695"/>
      <c r="C1047" s="312"/>
      <c r="D1047" s="717"/>
      <c r="E1047" s="314"/>
      <c r="F1047" s="736"/>
      <c r="G1047" s="314"/>
      <c r="H1047" s="314"/>
      <c r="I1047" s="318"/>
      <c r="J1047" s="314"/>
      <c r="K1047" s="314"/>
      <c r="L1047" s="315"/>
      <c r="M1047" s="315"/>
      <c r="N1047" s="315"/>
      <c r="O1047" s="318"/>
      <c r="P1047" s="318"/>
      <c r="Q1047" s="315"/>
      <c r="R1047" s="314"/>
      <c r="S1047" s="314"/>
      <c r="T1047" s="314"/>
      <c r="U1047" s="314"/>
      <c r="V1047" s="314"/>
      <c r="W1047" s="318"/>
      <c r="X1047" s="315"/>
      <c r="Y1047" s="314"/>
      <c r="Z1047" s="721"/>
      <c r="AA1047" s="737"/>
      <c r="AB1047" s="324"/>
      <c r="AC1047" s="155"/>
      <c r="AD1047" s="155"/>
      <c r="AE1047" s="322"/>
      <c r="AF1047" s="132"/>
      <c r="AG1047" s="132"/>
    </row>
    <row r="1048">
      <c r="A1048" s="314"/>
      <c r="B1048" s="695"/>
      <c r="C1048" s="312"/>
      <c r="D1048" s="717"/>
      <c r="E1048" s="314"/>
      <c r="F1048" s="736"/>
      <c r="G1048" s="314"/>
      <c r="H1048" s="314"/>
      <c r="I1048" s="318"/>
      <c r="J1048" s="314"/>
      <c r="K1048" s="314"/>
      <c r="L1048" s="315"/>
      <c r="M1048" s="315"/>
      <c r="N1048" s="315"/>
      <c r="O1048" s="318"/>
      <c r="P1048" s="318"/>
      <c r="Q1048" s="315"/>
      <c r="R1048" s="314"/>
      <c r="S1048" s="314"/>
      <c r="T1048" s="314"/>
      <c r="U1048" s="314"/>
      <c r="V1048" s="314"/>
      <c r="W1048" s="318"/>
      <c r="X1048" s="315"/>
      <c r="Y1048" s="314"/>
      <c r="Z1048" s="721"/>
      <c r="AA1048" s="737"/>
      <c r="AB1048" s="324"/>
      <c r="AC1048" s="155"/>
      <c r="AD1048" s="155"/>
      <c r="AE1048" s="322"/>
      <c r="AF1048" s="132"/>
      <c r="AG1048" s="132"/>
    </row>
    <row r="1049">
      <c r="A1049" s="314"/>
      <c r="B1049" s="695"/>
      <c r="C1049" s="312"/>
      <c r="D1049" s="717"/>
      <c r="E1049" s="314"/>
      <c r="F1049" s="736"/>
      <c r="G1049" s="314"/>
      <c r="H1049" s="314"/>
      <c r="I1049" s="318"/>
      <c r="J1049" s="314"/>
      <c r="K1049" s="314"/>
      <c r="L1049" s="315"/>
      <c r="M1049" s="315"/>
      <c r="N1049" s="315"/>
      <c r="O1049" s="318"/>
      <c r="P1049" s="318"/>
      <c r="Q1049" s="315"/>
      <c r="R1049" s="314"/>
      <c r="S1049" s="314"/>
      <c r="T1049" s="314"/>
      <c r="U1049" s="314"/>
      <c r="V1049" s="314"/>
      <c r="W1049" s="318"/>
      <c r="X1049" s="315"/>
      <c r="Y1049" s="314"/>
      <c r="Z1049" s="721"/>
      <c r="AA1049" s="737"/>
      <c r="AB1049" s="324"/>
      <c r="AC1049" s="155"/>
      <c r="AD1049" s="155"/>
      <c r="AE1049" s="322"/>
      <c r="AF1049" s="132"/>
      <c r="AG1049" s="132"/>
    </row>
    <row r="1050">
      <c r="A1050" s="314"/>
      <c r="B1050" s="695"/>
      <c r="C1050" s="312"/>
      <c r="D1050" s="717"/>
      <c r="E1050" s="314"/>
      <c r="F1050" s="736"/>
      <c r="G1050" s="314"/>
      <c r="H1050" s="314"/>
      <c r="I1050" s="318"/>
      <c r="J1050" s="314"/>
      <c r="K1050" s="314"/>
      <c r="L1050" s="315"/>
      <c r="M1050" s="315"/>
      <c r="N1050" s="315"/>
      <c r="O1050" s="318"/>
      <c r="P1050" s="318"/>
      <c r="Q1050" s="315"/>
      <c r="R1050" s="314"/>
      <c r="S1050" s="314"/>
      <c r="T1050" s="314"/>
      <c r="U1050" s="314"/>
      <c r="V1050" s="314"/>
      <c r="W1050" s="318"/>
      <c r="X1050" s="315"/>
      <c r="Y1050" s="314"/>
      <c r="Z1050" s="721"/>
      <c r="AA1050" s="737"/>
      <c r="AB1050" s="324"/>
      <c r="AC1050" s="155"/>
      <c r="AD1050" s="155"/>
      <c r="AE1050" s="322"/>
      <c r="AF1050" s="132"/>
      <c r="AG1050" s="132"/>
    </row>
    <row r="1051">
      <c r="A1051" s="314"/>
      <c r="B1051" s="695"/>
      <c r="C1051" s="312"/>
      <c r="D1051" s="717"/>
      <c r="E1051" s="314"/>
      <c r="F1051" s="736"/>
      <c r="G1051" s="314"/>
      <c r="H1051" s="314"/>
      <c r="I1051" s="318"/>
      <c r="J1051" s="314"/>
      <c r="K1051" s="314"/>
      <c r="L1051" s="315"/>
      <c r="M1051" s="315"/>
      <c r="N1051" s="315"/>
      <c r="O1051" s="318"/>
      <c r="P1051" s="318"/>
      <c r="Q1051" s="315"/>
      <c r="R1051" s="314"/>
      <c r="S1051" s="314"/>
      <c r="T1051" s="314"/>
      <c r="U1051" s="314"/>
      <c r="V1051" s="314"/>
      <c r="W1051" s="318"/>
      <c r="X1051" s="315"/>
      <c r="Y1051" s="314"/>
      <c r="Z1051" s="721"/>
      <c r="AA1051" s="737"/>
      <c r="AB1051" s="324"/>
      <c r="AC1051" s="155"/>
      <c r="AD1051" s="155"/>
      <c r="AE1051" s="322"/>
      <c r="AF1051" s="132"/>
      <c r="AG1051" s="132"/>
    </row>
  </sheetData>
  <mergeCells count="98">
    <mergeCell ref="A323:AD323"/>
    <mergeCell ref="AB328:AC328"/>
    <mergeCell ref="A433:AC433"/>
    <mergeCell ref="A434:AD434"/>
    <mergeCell ref="A447:AC447"/>
    <mergeCell ref="A448:AD448"/>
    <mergeCell ref="A453:AC453"/>
    <mergeCell ref="A454:AD454"/>
    <mergeCell ref="A457:AC457"/>
    <mergeCell ref="A458:AD458"/>
    <mergeCell ref="AB463:AC463"/>
    <mergeCell ref="A568:AC568"/>
    <mergeCell ref="A569:AD569"/>
    <mergeCell ref="A582:AC582"/>
    <mergeCell ref="A583:AD583"/>
    <mergeCell ref="A588:AC588"/>
    <mergeCell ref="A589:AD589"/>
    <mergeCell ref="A592:AC592"/>
    <mergeCell ref="A593:AD593"/>
    <mergeCell ref="AB598:AC598"/>
    <mergeCell ref="AB613:AC613"/>
    <mergeCell ref="A718:AC718"/>
    <mergeCell ref="A719:AD719"/>
    <mergeCell ref="A732:AC732"/>
    <mergeCell ref="A733:AD733"/>
    <mergeCell ref="A738:AC738"/>
    <mergeCell ref="A739:AD739"/>
    <mergeCell ref="A742:AC742"/>
    <mergeCell ref="A743:AD743"/>
    <mergeCell ref="AB748:AC748"/>
    <mergeCell ref="A853:AC853"/>
    <mergeCell ref="A854:AD854"/>
    <mergeCell ref="A867:AC867"/>
    <mergeCell ref="A868:AD868"/>
    <mergeCell ref="A873:AC873"/>
    <mergeCell ref="A1003:AD1003"/>
    <mergeCell ref="A1008:AC1008"/>
    <mergeCell ref="A1009:AD1009"/>
    <mergeCell ref="A1012:AC1012"/>
    <mergeCell ref="A1013:AD1013"/>
    <mergeCell ref="AB1018:AC1018"/>
    <mergeCell ref="AB1033:AC1033"/>
    <mergeCell ref="A874:AD874"/>
    <mergeCell ref="A877:AC877"/>
    <mergeCell ref="A878:AD878"/>
    <mergeCell ref="AB883:AC883"/>
    <mergeCell ref="A988:AC988"/>
    <mergeCell ref="A989:AD989"/>
    <mergeCell ref="A1002:AC1002"/>
    <mergeCell ref="AF1:AG1"/>
    <mergeCell ref="A2:AD2"/>
    <mergeCell ref="AF3:AF5"/>
    <mergeCell ref="AG3:AG5"/>
    <mergeCell ref="AF11:AG11"/>
    <mergeCell ref="AF12:AG12"/>
    <mergeCell ref="A44:AC44"/>
    <mergeCell ref="A45:AD45"/>
    <mergeCell ref="A48:AC48"/>
    <mergeCell ref="A49:AD49"/>
    <mergeCell ref="A62:AC62"/>
    <mergeCell ref="A63:AD63"/>
    <mergeCell ref="A68:AC68"/>
    <mergeCell ref="A69:AD69"/>
    <mergeCell ref="A73:AC73"/>
    <mergeCell ref="A74:AD74"/>
    <mergeCell ref="A92:AC92"/>
    <mergeCell ref="A93:AD93"/>
    <mergeCell ref="A95:AC95"/>
    <mergeCell ref="A96:AD96"/>
    <mergeCell ref="A100:AC100"/>
    <mergeCell ref="A101:AD101"/>
    <mergeCell ref="A109:AC109"/>
    <mergeCell ref="A110:AD110"/>
    <mergeCell ref="A116:AC116"/>
    <mergeCell ref="A117:AD117"/>
    <mergeCell ref="A121:AC121"/>
    <mergeCell ref="A122:AD122"/>
    <mergeCell ref="A134:AC134"/>
    <mergeCell ref="A135:AD135"/>
    <mergeCell ref="A144:AC144"/>
    <mergeCell ref="A145:AD145"/>
    <mergeCell ref="A153:AC153"/>
    <mergeCell ref="A154:AD154"/>
    <mergeCell ref="A160:AC160"/>
    <mergeCell ref="A161:AD161"/>
    <mergeCell ref="A169:AC169"/>
    <mergeCell ref="A170:AD170"/>
    <mergeCell ref="A184:AC184"/>
    <mergeCell ref="A185:AD185"/>
    <mergeCell ref="A192:AC192"/>
    <mergeCell ref="AB193:AC193"/>
    <mergeCell ref="A298:AC298"/>
    <mergeCell ref="A299:AD299"/>
    <mergeCell ref="A312:AC312"/>
    <mergeCell ref="A313:AD313"/>
    <mergeCell ref="A318:AC318"/>
    <mergeCell ref="A319:AD319"/>
    <mergeCell ref="A322:AC32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75"/>
    <col customWidth="1" min="2" max="2" width="4.13"/>
    <col customWidth="1" min="3" max="3" width="3.38"/>
    <col customWidth="1" min="4" max="27" width="3.63"/>
    <col customWidth="1" min="28" max="28" width="10.63"/>
    <col customWidth="1" min="29" max="29" width="9.88"/>
    <col customWidth="1" min="30" max="30" width="18.63"/>
    <col customWidth="1" min="31" max="31" width="3.88"/>
    <col customWidth="1" min="32" max="32" width="12.5"/>
    <col customWidth="1" min="33" max="33" width="32.63"/>
  </cols>
  <sheetData>
    <row r="1" ht="50.25" customHeight="1">
      <c r="A1" s="1">
        <v>46147.0</v>
      </c>
      <c r="B1" s="2">
        <v>46147.0</v>
      </c>
      <c r="C1" s="2">
        <v>46148.0</v>
      </c>
      <c r="D1" s="2">
        <v>46149.0</v>
      </c>
      <c r="E1" s="523">
        <v>46150.0</v>
      </c>
      <c r="F1" s="2">
        <v>46151.0</v>
      </c>
      <c r="G1" s="6">
        <v>46152.0</v>
      </c>
      <c r="H1" s="4">
        <v>46153.0</v>
      </c>
      <c r="I1" s="2">
        <v>46154.0</v>
      </c>
      <c r="J1" s="2">
        <v>46155.0</v>
      </c>
      <c r="K1" s="2">
        <v>46156.0</v>
      </c>
      <c r="L1" s="3">
        <v>46157.0</v>
      </c>
      <c r="M1" s="2">
        <v>46158.0</v>
      </c>
      <c r="N1" s="6">
        <v>46159.0</v>
      </c>
      <c r="O1" s="4">
        <v>46160.0</v>
      </c>
      <c r="P1" s="2">
        <v>46161.0</v>
      </c>
      <c r="Q1" s="2">
        <v>46162.0</v>
      </c>
      <c r="R1" s="2">
        <v>46163.0</v>
      </c>
      <c r="S1" s="592">
        <v>46164.0</v>
      </c>
      <c r="T1" s="2">
        <v>46165.0</v>
      </c>
      <c r="U1" s="6">
        <v>46166.0</v>
      </c>
      <c r="V1" s="4">
        <v>46167.0</v>
      </c>
      <c r="W1" s="593">
        <v>46168.0</v>
      </c>
      <c r="X1" s="27">
        <v>46169.0</v>
      </c>
      <c r="Y1" s="2">
        <v>46170.0</v>
      </c>
      <c r="Z1" s="2">
        <v>46171.0</v>
      </c>
      <c r="AA1" s="2">
        <v>46172.0</v>
      </c>
      <c r="AB1" s="14" t="s">
        <v>0</v>
      </c>
      <c r="AC1" s="15" t="s">
        <v>1</v>
      </c>
      <c r="AD1" s="15" t="s">
        <v>2</v>
      </c>
      <c r="AE1" s="17"/>
      <c r="AF1" s="20" t="s">
        <v>3</v>
      </c>
      <c r="AG1" s="22"/>
    </row>
    <row r="2">
      <c r="A2" s="24" t="s">
        <v>4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8"/>
      <c r="AE2" s="17"/>
      <c r="AF2" s="594"/>
      <c r="AG2" s="31" t="s">
        <v>5</v>
      </c>
    </row>
    <row r="3">
      <c r="A3" s="33" t="s">
        <v>6</v>
      </c>
      <c r="B3" s="595">
        <v>4.0</v>
      </c>
      <c r="C3" s="59">
        <v>10.0</v>
      </c>
      <c r="D3" s="59">
        <v>3.0</v>
      </c>
      <c r="E3" s="596"/>
      <c r="F3" s="59">
        <v>10.0</v>
      </c>
      <c r="G3" s="515"/>
      <c r="H3" s="529"/>
      <c r="I3" s="49"/>
      <c r="J3" s="59">
        <v>9.0</v>
      </c>
      <c r="K3" s="493">
        <v>5.0</v>
      </c>
      <c r="L3" s="597"/>
      <c r="M3" s="59">
        <v>2.0</v>
      </c>
      <c r="N3" s="515"/>
      <c r="O3" s="529"/>
      <c r="P3" s="59">
        <v>2.0</v>
      </c>
      <c r="Q3" s="59">
        <v>34.0</v>
      </c>
      <c r="R3" s="59">
        <v>1.0</v>
      </c>
      <c r="S3" s="598"/>
      <c r="T3" s="59">
        <v>5.0</v>
      </c>
      <c r="U3" s="599"/>
      <c r="V3" s="529"/>
      <c r="W3" s="600"/>
      <c r="X3" s="601"/>
      <c r="Y3" s="59">
        <v>5.0</v>
      </c>
      <c r="Z3" s="59"/>
      <c r="AA3" s="46"/>
      <c r="AB3" s="62">
        <f t="shared" ref="AB3:AB43" si="1">SUM(B3:AA3)</f>
        <v>90</v>
      </c>
      <c r="AC3" s="65">
        <v>50.0</v>
      </c>
      <c r="AD3" s="68">
        <f t="shared" ref="AD3:AD43" si="2">AB3*AC3</f>
        <v>4500</v>
      </c>
      <c r="AE3" s="17"/>
      <c r="AF3" s="602"/>
      <c r="AG3" s="603" t="s">
        <v>342</v>
      </c>
    </row>
    <row r="4">
      <c r="A4" s="33" t="s">
        <v>10</v>
      </c>
      <c r="B4" s="604"/>
      <c r="C4" s="46"/>
      <c r="D4" s="54"/>
      <c r="E4" s="531"/>
      <c r="F4" s="54"/>
      <c r="G4" s="515"/>
      <c r="H4" s="191"/>
      <c r="I4" s="46"/>
      <c r="J4" s="54"/>
      <c r="K4" s="46"/>
      <c r="L4" s="508"/>
      <c r="M4" s="54"/>
      <c r="N4" s="515"/>
      <c r="O4" s="530"/>
      <c r="P4" s="59"/>
      <c r="Q4" s="46"/>
      <c r="R4" s="46"/>
      <c r="S4" s="598"/>
      <c r="T4" s="59">
        <v>4.0</v>
      </c>
      <c r="U4" s="605"/>
      <c r="V4" s="530"/>
      <c r="W4" s="606"/>
      <c r="X4" s="607"/>
      <c r="Y4" s="46"/>
      <c r="Z4" s="46"/>
      <c r="AA4" s="46"/>
      <c r="AB4" s="62">
        <f t="shared" si="1"/>
        <v>4</v>
      </c>
      <c r="AC4" s="80">
        <v>18.0</v>
      </c>
      <c r="AD4" s="68">
        <f t="shared" si="2"/>
        <v>72</v>
      </c>
      <c r="AE4" s="17"/>
      <c r="AF4" s="608"/>
      <c r="AG4" s="609" t="s">
        <v>344</v>
      </c>
    </row>
    <row r="5">
      <c r="A5" s="33" t="s">
        <v>13</v>
      </c>
      <c r="B5" s="42"/>
      <c r="C5" s="595">
        <v>4.0</v>
      </c>
      <c r="D5" s="59">
        <v>2.0</v>
      </c>
      <c r="E5" s="531"/>
      <c r="F5" s="59">
        <v>2.0</v>
      </c>
      <c r="G5" s="515"/>
      <c r="H5" s="191"/>
      <c r="I5" s="493">
        <v>1.0</v>
      </c>
      <c r="J5" s="493">
        <v>1.0</v>
      </c>
      <c r="K5" s="493">
        <v>3.0</v>
      </c>
      <c r="L5" s="597"/>
      <c r="M5" s="59">
        <v>2.0</v>
      </c>
      <c r="N5" s="510"/>
      <c r="O5" s="529"/>
      <c r="P5" s="59"/>
      <c r="Q5" s="493"/>
      <c r="R5" s="59">
        <v>1.0</v>
      </c>
      <c r="S5" s="598"/>
      <c r="T5" s="59">
        <v>11.0</v>
      </c>
      <c r="U5" s="599"/>
      <c r="V5" s="529"/>
      <c r="W5" s="606"/>
      <c r="X5" s="601"/>
      <c r="Y5" s="59">
        <v>8.0</v>
      </c>
      <c r="Z5" s="59">
        <v>11.0</v>
      </c>
      <c r="AA5" s="59">
        <v>2.0</v>
      </c>
      <c r="AB5" s="62">
        <f t="shared" si="1"/>
        <v>48</v>
      </c>
      <c r="AC5" s="80">
        <v>200.0</v>
      </c>
      <c r="AD5" s="68">
        <f t="shared" si="2"/>
        <v>9600</v>
      </c>
      <c r="AE5" s="17"/>
      <c r="AF5" s="610"/>
      <c r="AG5" s="603" t="s">
        <v>345</v>
      </c>
    </row>
    <row r="6" ht="18.75" customHeight="1">
      <c r="A6" s="33" t="s">
        <v>16</v>
      </c>
      <c r="B6" s="595">
        <v>2.0</v>
      </c>
      <c r="C6" s="59">
        <v>1.0</v>
      </c>
      <c r="D6" s="54"/>
      <c r="E6" s="535"/>
      <c r="F6" s="54"/>
      <c r="G6" s="515"/>
      <c r="H6" s="191"/>
      <c r="I6" s="46"/>
      <c r="J6" s="59">
        <v>4.0</v>
      </c>
      <c r="K6" s="46"/>
      <c r="L6" s="611"/>
      <c r="M6" s="54"/>
      <c r="N6" s="51"/>
      <c r="O6" s="538"/>
      <c r="P6" s="49"/>
      <c r="Q6" s="46"/>
      <c r="R6" s="59"/>
      <c r="S6" s="612"/>
      <c r="T6" s="46"/>
      <c r="U6" s="599"/>
      <c r="V6" s="191"/>
      <c r="W6" s="606"/>
      <c r="X6" s="601"/>
      <c r="Y6" s="59"/>
      <c r="Z6" s="46"/>
      <c r="AA6" s="46"/>
      <c r="AB6" s="62">
        <f t="shared" si="1"/>
        <v>7</v>
      </c>
      <c r="AC6" s="80">
        <v>850.0</v>
      </c>
      <c r="AD6" s="68">
        <f t="shared" si="2"/>
        <v>5950</v>
      </c>
      <c r="AE6" s="17"/>
      <c r="AF6" s="536"/>
      <c r="AG6" s="537" t="s">
        <v>310</v>
      </c>
    </row>
    <row r="7">
      <c r="A7" s="33" t="s">
        <v>19</v>
      </c>
      <c r="B7" s="595">
        <v>6.0</v>
      </c>
      <c r="C7" s="595">
        <v>25.0</v>
      </c>
      <c r="D7" s="59">
        <v>11.0</v>
      </c>
      <c r="E7" s="596"/>
      <c r="F7" s="59">
        <v>16.0</v>
      </c>
      <c r="G7" s="510"/>
      <c r="H7" s="529"/>
      <c r="I7" s="493">
        <v>14.0</v>
      </c>
      <c r="J7" s="493">
        <v>11.0</v>
      </c>
      <c r="K7" s="493">
        <v>11.0</v>
      </c>
      <c r="L7" s="611"/>
      <c r="M7" s="59">
        <v>7.0</v>
      </c>
      <c r="N7" s="515"/>
      <c r="O7" s="530"/>
      <c r="P7" s="59">
        <v>6.0</v>
      </c>
      <c r="Q7" s="59">
        <v>6.0</v>
      </c>
      <c r="R7" s="59">
        <v>10.0</v>
      </c>
      <c r="S7" s="598"/>
      <c r="T7" s="59">
        <v>31.0</v>
      </c>
      <c r="U7" s="599"/>
      <c r="V7" s="529"/>
      <c r="W7" s="600"/>
      <c r="X7" s="601"/>
      <c r="Y7" s="59">
        <v>22.0</v>
      </c>
      <c r="Z7" s="59">
        <v>13.0</v>
      </c>
      <c r="AA7" s="59">
        <v>6.0</v>
      </c>
      <c r="AB7" s="62">
        <f t="shared" si="1"/>
        <v>195</v>
      </c>
      <c r="AC7" s="80">
        <v>180.0</v>
      </c>
      <c r="AD7" s="68">
        <f t="shared" si="2"/>
        <v>35100</v>
      </c>
      <c r="AE7" s="17"/>
      <c r="AF7" s="613"/>
      <c r="AG7" s="526" t="s">
        <v>346</v>
      </c>
    </row>
    <row r="8" ht="18.0" customHeight="1">
      <c r="A8" s="33" t="s">
        <v>23</v>
      </c>
      <c r="B8" s="595"/>
      <c r="C8" s="46"/>
      <c r="D8" s="54"/>
      <c r="E8" s="614"/>
      <c r="F8" s="59">
        <v>1.0</v>
      </c>
      <c r="G8" s="510"/>
      <c r="H8" s="530"/>
      <c r="I8" s="59">
        <v>8.0</v>
      </c>
      <c r="J8" s="54"/>
      <c r="K8" s="493">
        <v>1.0</v>
      </c>
      <c r="L8" s="508"/>
      <c r="M8" s="54"/>
      <c r="N8" s="510"/>
      <c r="O8" s="530"/>
      <c r="P8" s="49"/>
      <c r="Q8" s="493">
        <v>2.0</v>
      </c>
      <c r="R8" s="59">
        <v>2.0</v>
      </c>
      <c r="S8" s="612"/>
      <c r="T8" s="59"/>
      <c r="U8" s="605"/>
      <c r="V8" s="530"/>
      <c r="W8" s="606"/>
      <c r="X8" s="607"/>
      <c r="Y8" s="46"/>
      <c r="Z8" s="46"/>
      <c r="AA8" s="59">
        <v>1.0</v>
      </c>
      <c r="AB8" s="62">
        <f t="shared" si="1"/>
        <v>15</v>
      </c>
      <c r="AC8" s="80">
        <v>120.0</v>
      </c>
      <c r="AD8" s="68">
        <f t="shared" si="2"/>
        <v>1800</v>
      </c>
      <c r="AE8" s="17"/>
      <c r="AF8" s="539"/>
      <c r="AG8" s="537" t="s">
        <v>347</v>
      </c>
    </row>
    <row r="9">
      <c r="A9" s="33" t="s">
        <v>27</v>
      </c>
      <c r="B9" s="595"/>
      <c r="C9" s="46"/>
      <c r="D9" s="54"/>
      <c r="E9" s="531"/>
      <c r="F9" s="59"/>
      <c r="G9" s="616"/>
      <c r="H9" s="529"/>
      <c r="I9" s="493"/>
      <c r="J9" s="59"/>
      <c r="K9" s="493"/>
      <c r="L9" s="508"/>
      <c r="M9" s="54"/>
      <c r="N9" s="510"/>
      <c r="O9" s="191"/>
      <c r="P9" s="46"/>
      <c r="Q9" s="59"/>
      <c r="R9" s="46"/>
      <c r="S9" s="612"/>
      <c r="T9" s="59">
        <v>1.0</v>
      </c>
      <c r="U9" s="599"/>
      <c r="V9" s="538"/>
      <c r="W9" s="606"/>
      <c r="X9" s="601"/>
      <c r="Y9" s="59">
        <v>94.0</v>
      </c>
      <c r="Z9" s="46"/>
      <c r="AA9" s="46"/>
      <c r="AB9" s="62">
        <f t="shared" si="1"/>
        <v>95</v>
      </c>
      <c r="AC9" s="80">
        <v>160.0</v>
      </c>
      <c r="AD9" s="68">
        <f t="shared" si="2"/>
        <v>15200</v>
      </c>
      <c r="AE9" s="17"/>
      <c r="AF9" s="540"/>
      <c r="AG9" s="115" t="s">
        <v>349</v>
      </c>
    </row>
    <row r="10">
      <c r="A10" s="33" t="s">
        <v>32</v>
      </c>
      <c r="B10" s="595">
        <v>5.0</v>
      </c>
      <c r="C10" s="42"/>
      <c r="D10" s="59"/>
      <c r="E10" s="531"/>
      <c r="F10" s="59">
        <v>1.0</v>
      </c>
      <c r="G10" s="515"/>
      <c r="H10" s="530"/>
      <c r="I10" s="493">
        <v>3.0</v>
      </c>
      <c r="J10" s="493">
        <v>3.0</v>
      </c>
      <c r="K10" s="493">
        <v>3.0</v>
      </c>
      <c r="L10" s="597"/>
      <c r="M10" s="59"/>
      <c r="N10" s="510"/>
      <c r="O10" s="529"/>
      <c r="P10" s="493">
        <v>1.0</v>
      </c>
      <c r="Q10" s="493">
        <v>3.0</v>
      </c>
      <c r="R10" s="59">
        <v>1.0</v>
      </c>
      <c r="S10" s="598"/>
      <c r="T10" s="59">
        <v>5.0</v>
      </c>
      <c r="U10" s="599"/>
      <c r="V10" s="529"/>
      <c r="W10" s="600"/>
      <c r="X10" s="601"/>
      <c r="Y10" s="59">
        <v>6.0</v>
      </c>
      <c r="Z10" s="46"/>
      <c r="AA10" s="46"/>
      <c r="AB10" s="62">
        <f t="shared" si="1"/>
        <v>31</v>
      </c>
      <c r="AC10" s="80">
        <v>350.0</v>
      </c>
      <c r="AD10" s="68">
        <f t="shared" si="2"/>
        <v>10850</v>
      </c>
      <c r="AE10" s="17"/>
      <c r="AF10" s="524"/>
      <c r="AG10" s="525"/>
    </row>
    <row r="11">
      <c r="A11" s="33" t="s">
        <v>34</v>
      </c>
      <c r="B11" s="618"/>
      <c r="C11" s="46"/>
      <c r="D11" s="54"/>
      <c r="E11" s="535"/>
      <c r="F11" s="54"/>
      <c r="G11" s="51"/>
      <c r="H11" s="191"/>
      <c r="I11" s="46"/>
      <c r="J11" s="54"/>
      <c r="K11" s="49"/>
      <c r="L11" s="619"/>
      <c r="M11" s="54"/>
      <c r="N11" s="51"/>
      <c r="O11" s="191"/>
      <c r="P11" s="46"/>
      <c r="Q11" s="46"/>
      <c r="R11" s="46"/>
      <c r="S11" s="612"/>
      <c r="T11" s="59">
        <v>3.0</v>
      </c>
      <c r="U11" s="605"/>
      <c r="V11" s="191"/>
      <c r="W11" s="606"/>
      <c r="X11" s="607"/>
      <c r="Y11" s="46"/>
      <c r="Z11" s="46"/>
      <c r="AA11" s="46"/>
      <c r="AB11" s="62">
        <f t="shared" si="1"/>
        <v>3</v>
      </c>
      <c r="AC11" s="80">
        <v>350.0</v>
      </c>
      <c r="AD11" s="68">
        <f t="shared" si="2"/>
        <v>1050</v>
      </c>
      <c r="AE11" s="17"/>
      <c r="AF11" s="117" t="s">
        <v>35</v>
      </c>
      <c r="AG11" s="22"/>
    </row>
    <row r="12">
      <c r="A12" s="33" t="s">
        <v>36</v>
      </c>
      <c r="B12" s="604"/>
      <c r="C12" s="46"/>
      <c r="D12" s="54"/>
      <c r="E12" s="531"/>
      <c r="F12" s="59">
        <v>1.0</v>
      </c>
      <c r="G12" s="515"/>
      <c r="H12" s="191"/>
      <c r="I12" s="59">
        <v>2.0</v>
      </c>
      <c r="J12" s="59"/>
      <c r="K12" s="59"/>
      <c r="L12" s="597"/>
      <c r="M12" s="59"/>
      <c r="N12" s="51"/>
      <c r="O12" s="530"/>
      <c r="P12" s="49"/>
      <c r="Q12" s="46"/>
      <c r="R12" s="59">
        <v>1.0</v>
      </c>
      <c r="S12" s="598"/>
      <c r="T12" s="59">
        <v>2.0</v>
      </c>
      <c r="U12" s="599"/>
      <c r="V12" s="191"/>
      <c r="W12" s="606"/>
      <c r="X12" s="607"/>
      <c r="Y12" s="59">
        <v>1.0</v>
      </c>
      <c r="Z12" s="46"/>
      <c r="AA12" s="46"/>
      <c r="AB12" s="62">
        <f t="shared" si="1"/>
        <v>7</v>
      </c>
      <c r="AC12" s="80">
        <v>1200.0</v>
      </c>
      <c r="AD12" s="68">
        <f t="shared" si="2"/>
        <v>8400</v>
      </c>
      <c r="AE12" s="17"/>
      <c r="AF12" s="120" t="s">
        <v>351</v>
      </c>
      <c r="AG12" s="22"/>
    </row>
    <row r="13">
      <c r="A13" s="33" t="s">
        <v>39</v>
      </c>
      <c r="B13" s="618"/>
      <c r="C13" s="46"/>
      <c r="D13" s="54"/>
      <c r="E13" s="531"/>
      <c r="F13" s="54"/>
      <c r="G13" s="51"/>
      <c r="H13" s="191"/>
      <c r="I13" s="46"/>
      <c r="J13" s="54"/>
      <c r="K13" s="49"/>
      <c r="L13" s="611"/>
      <c r="M13" s="54"/>
      <c r="N13" s="51"/>
      <c r="O13" s="191"/>
      <c r="P13" s="59">
        <v>1.0</v>
      </c>
      <c r="Q13" s="46"/>
      <c r="R13" s="46"/>
      <c r="S13" s="598"/>
      <c r="T13" s="59">
        <v>2.0</v>
      </c>
      <c r="U13" s="605"/>
      <c r="V13" s="191"/>
      <c r="W13" s="606"/>
      <c r="X13" s="601"/>
      <c r="Y13" s="59"/>
      <c r="Z13" s="59">
        <v>3.0</v>
      </c>
      <c r="AA13" s="59">
        <v>8.0</v>
      </c>
      <c r="AB13" s="62">
        <f t="shared" si="1"/>
        <v>14</v>
      </c>
      <c r="AC13" s="80">
        <v>490.0</v>
      </c>
      <c r="AD13" s="68">
        <f t="shared" si="2"/>
        <v>6860</v>
      </c>
      <c r="AE13" s="17"/>
      <c r="AF13" s="113"/>
      <c r="AG13" s="113"/>
    </row>
    <row r="14">
      <c r="A14" s="33" t="s">
        <v>44</v>
      </c>
      <c r="B14" s="604"/>
      <c r="C14" s="59">
        <v>1.0</v>
      </c>
      <c r="D14" s="54"/>
      <c r="E14" s="535"/>
      <c r="F14" s="54"/>
      <c r="G14" s="510"/>
      <c r="H14" s="529"/>
      <c r="I14" s="493">
        <v>1.0</v>
      </c>
      <c r="J14" s="59"/>
      <c r="K14" s="59">
        <v>2.0</v>
      </c>
      <c r="L14" s="611"/>
      <c r="M14" s="59"/>
      <c r="N14" s="51"/>
      <c r="O14" s="529"/>
      <c r="P14" s="49"/>
      <c r="Q14" s="59">
        <v>2.0</v>
      </c>
      <c r="R14" s="46"/>
      <c r="S14" s="598"/>
      <c r="T14" s="59">
        <v>3.0</v>
      </c>
      <c r="U14" s="605"/>
      <c r="V14" s="529"/>
      <c r="W14" s="600"/>
      <c r="X14" s="607"/>
      <c r="Y14" s="59"/>
      <c r="Z14" s="59">
        <v>1.0</v>
      </c>
      <c r="AA14" s="46"/>
      <c r="AB14" s="62">
        <f t="shared" si="1"/>
        <v>10</v>
      </c>
      <c r="AC14" s="80">
        <v>130.0</v>
      </c>
      <c r="AD14" s="68">
        <f t="shared" si="2"/>
        <v>1300</v>
      </c>
      <c r="AE14" s="17"/>
      <c r="AF14" s="132"/>
      <c r="AG14" s="132"/>
    </row>
    <row r="15">
      <c r="A15" s="33" t="s">
        <v>47</v>
      </c>
      <c r="B15" s="618"/>
      <c r="C15" s="59">
        <v>2.0</v>
      </c>
      <c r="D15" s="54"/>
      <c r="E15" s="535"/>
      <c r="F15" s="54"/>
      <c r="G15" s="51"/>
      <c r="H15" s="538"/>
      <c r="I15" s="49"/>
      <c r="J15" s="59"/>
      <c r="K15" s="49"/>
      <c r="L15" s="619"/>
      <c r="M15" s="54"/>
      <c r="N15" s="51"/>
      <c r="O15" s="191"/>
      <c r="P15" s="46"/>
      <c r="Q15" s="46"/>
      <c r="R15" s="46"/>
      <c r="S15" s="612"/>
      <c r="T15" s="46"/>
      <c r="U15" s="605"/>
      <c r="V15" s="191"/>
      <c r="W15" s="606"/>
      <c r="X15" s="607"/>
      <c r="Y15" s="46"/>
      <c r="Z15" s="46"/>
      <c r="AA15" s="46"/>
      <c r="AB15" s="62">
        <f t="shared" si="1"/>
        <v>2</v>
      </c>
      <c r="AC15" s="80">
        <v>60.0</v>
      </c>
      <c r="AD15" s="68">
        <f t="shared" si="2"/>
        <v>120</v>
      </c>
      <c r="AE15" s="17"/>
      <c r="AF15" s="132"/>
      <c r="AG15" s="132"/>
    </row>
    <row r="16">
      <c r="A16" s="33" t="s">
        <v>50</v>
      </c>
      <c r="B16" s="604"/>
      <c r="C16" s="59">
        <v>2.0</v>
      </c>
      <c r="D16" s="54"/>
      <c r="E16" s="535"/>
      <c r="F16" s="54"/>
      <c r="G16" s="51"/>
      <c r="H16" s="530"/>
      <c r="I16" s="59">
        <v>1.0</v>
      </c>
      <c r="J16" s="59">
        <v>3.0</v>
      </c>
      <c r="K16" s="46"/>
      <c r="L16" s="619"/>
      <c r="M16" s="54"/>
      <c r="N16" s="515"/>
      <c r="O16" s="191"/>
      <c r="P16" s="46"/>
      <c r="Q16" s="46"/>
      <c r="R16" s="59"/>
      <c r="S16" s="612"/>
      <c r="T16" s="59">
        <v>30.0</v>
      </c>
      <c r="U16" s="599"/>
      <c r="V16" s="191"/>
      <c r="W16" s="606"/>
      <c r="X16" s="607"/>
      <c r="Y16" s="59">
        <v>1.0</v>
      </c>
      <c r="Z16" s="59">
        <v>1.0</v>
      </c>
      <c r="AA16" s="46"/>
      <c r="AB16" s="62">
        <f t="shared" si="1"/>
        <v>38</v>
      </c>
      <c r="AC16" s="80">
        <v>75.0</v>
      </c>
      <c r="AD16" s="68">
        <f t="shared" si="2"/>
        <v>2850</v>
      </c>
      <c r="AE16" s="17"/>
      <c r="AF16" s="132"/>
      <c r="AG16" s="132"/>
    </row>
    <row r="17">
      <c r="A17" s="33" t="s">
        <v>61</v>
      </c>
      <c r="B17" s="604">
        <v>1.0</v>
      </c>
      <c r="C17" s="46"/>
      <c r="D17" s="59"/>
      <c r="E17" s="531"/>
      <c r="F17" s="59">
        <v>2.0</v>
      </c>
      <c r="G17" s="510"/>
      <c r="H17" s="530"/>
      <c r="I17" s="493">
        <v>5.0</v>
      </c>
      <c r="J17" s="493">
        <v>14.0</v>
      </c>
      <c r="K17" s="493">
        <v>6.0</v>
      </c>
      <c r="L17" s="597"/>
      <c r="M17" s="59"/>
      <c r="N17" s="510"/>
      <c r="O17" s="529"/>
      <c r="P17" s="493">
        <v>1.0</v>
      </c>
      <c r="Q17" s="493">
        <v>1.0</v>
      </c>
      <c r="R17" s="59">
        <v>1.0</v>
      </c>
      <c r="S17" s="598"/>
      <c r="T17" s="59">
        <v>2.0</v>
      </c>
      <c r="U17" s="599"/>
      <c r="V17" s="529"/>
      <c r="W17" s="600"/>
      <c r="X17" s="601"/>
      <c r="Y17" s="59">
        <v>5.0</v>
      </c>
      <c r="Z17" s="59">
        <v>2.0</v>
      </c>
      <c r="AA17" s="46"/>
      <c r="AB17" s="62">
        <f t="shared" si="1"/>
        <v>40</v>
      </c>
      <c r="AC17" s="80">
        <v>350.0</v>
      </c>
      <c r="AD17" s="68">
        <f t="shared" si="2"/>
        <v>14000</v>
      </c>
      <c r="AE17" s="17"/>
      <c r="AF17" s="132"/>
      <c r="AG17" s="132"/>
    </row>
    <row r="18">
      <c r="A18" s="33" t="s">
        <v>55</v>
      </c>
      <c r="B18" s="604"/>
      <c r="C18" s="46"/>
      <c r="D18" s="59">
        <v>13.0</v>
      </c>
      <c r="E18" s="535"/>
      <c r="F18" s="59">
        <v>2.0</v>
      </c>
      <c r="G18" s="515"/>
      <c r="H18" s="191"/>
      <c r="I18" s="46"/>
      <c r="J18" s="59"/>
      <c r="K18" s="59">
        <v>10.0</v>
      </c>
      <c r="L18" s="611"/>
      <c r="M18" s="59"/>
      <c r="N18" s="515"/>
      <c r="O18" s="530"/>
      <c r="P18" s="46"/>
      <c r="Q18" s="493"/>
      <c r="R18" s="59"/>
      <c r="S18" s="612"/>
      <c r="T18" s="59"/>
      <c r="U18" s="605"/>
      <c r="V18" s="538"/>
      <c r="W18" s="600"/>
      <c r="X18" s="607"/>
      <c r="Y18" s="46"/>
      <c r="Z18" s="46"/>
      <c r="AA18" s="46"/>
      <c r="AB18" s="62">
        <f t="shared" si="1"/>
        <v>25</v>
      </c>
      <c r="AC18" s="80">
        <v>250.0</v>
      </c>
      <c r="AD18" s="68">
        <f t="shared" si="2"/>
        <v>6250</v>
      </c>
      <c r="AE18" s="17"/>
      <c r="AF18" s="132"/>
      <c r="AG18" s="132"/>
    </row>
    <row r="19">
      <c r="A19" s="33" t="s">
        <v>57</v>
      </c>
      <c r="B19" s="604">
        <v>2.0</v>
      </c>
      <c r="C19" s="42"/>
      <c r="D19" s="59">
        <v>1.0</v>
      </c>
      <c r="E19" s="535"/>
      <c r="F19" s="59"/>
      <c r="G19" s="510"/>
      <c r="H19" s="529"/>
      <c r="I19" s="59">
        <v>2.0</v>
      </c>
      <c r="J19" s="493"/>
      <c r="K19" s="493">
        <v>2.0</v>
      </c>
      <c r="L19" s="611"/>
      <c r="M19" s="59"/>
      <c r="N19" s="510"/>
      <c r="O19" s="530"/>
      <c r="P19" s="493">
        <v>49.0</v>
      </c>
      <c r="Q19" s="59">
        <v>11.0</v>
      </c>
      <c r="R19" s="59"/>
      <c r="S19" s="598"/>
      <c r="T19" s="59">
        <v>2.0</v>
      </c>
      <c r="U19" s="599"/>
      <c r="V19" s="530"/>
      <c r="W19" s="606"/>
      <c r="X19" s="601"/>
      <c r="Y19" s="59">
        <v>5.0</v>
      </c>
      <c r="Z19" s="59">
        <v>3.0</v>
      </c>
      <c r="AA19" s="59">
        <v>2.0</v>
      </c>
      <c r="AB19" s="62">
        <f t="shared" si="1"/>
        <v>79</v>
      </c>
      <c r="AC19" s="80">
        <v>750.0</v>
      </c>
      <c r="AD19" s="68">
        <f t="shared" si="2"/>
        <v>59250</v>
      </c>
      <c r="AE19" s="17"/>
      <c r="AF19" s="132"/>
      <c r="AG19" s="132"/>
    </row>
    <row r="20">
      <c r="A20" s="33" t="s">
        <v>60</v>
      </c>
      <c r="B20" s="42"/>
      <c r="C20" s="46"/>
      <c r="D20" s="54"/>
      <c r="E20" s="535"/>
      <c r="F20" s="54"/>
      <c r="G20" s="510"/>
      <c r="H20" s="191"/>
      <c r="I20" s="49"/>
      <c r="J20" s="54"/>
      <c r="K20" s="46"/>
      <c r="L20" s="508"/>
      <c r="M20" s="54"/>
      <c r="N20" s="51"/>
      <c r="O20" s="191"/>
      <c r="P20" s="59">
        <v>4.0</v>
      </c>
      <c r="Q20" s="46"/>
      <c r="R20" s="46"/>
      <c r="S20" s="612"/>
      <c r="T20" s="46"/>
      <c r="U20" s="605"/>
      <c r="V20" s="191"/>
      <c r="W20" s="606"/>
      <c r="X20" s="607"/>
      <c r="Y20" s="46"/>
      <c r="Z20" s="59">
        <v>3.0</v>
      </c>
      <c r="AA20" s="46"/>
      <c r="AB20" s="62">
        <f t="shared" si="1"/>
        <v>7</v>
      </c>
      <c r="AC20" s="80">
        <v>850.0</v>
      </c>
      <c r="AD20" s="68">
        <f t="shared" si="2"/>
        <v>5950</v>
      </c>
      <c r="AE20" s="17"/>
      <c r="AF20" s="132"/>
      <c r="AG20" s="132"/>
    </row>
    <row r="21">
      <c r="A21" s="142" t="s">
        <v>63</v>
      </c>
      <c r="B21" s="595">
        <v>1.0</v>
      </c>
      <c r="C21" s="59">
        <v>7.0</v>
      </c>
      <c r="D21" s="59">
        <v>2.0</v>
      </c>
      <c r="E21" s="596"/>
      <c r="F21" s="59">
        <v>6.0</v>
      </c>
      <c r="G21" s="510"/>
      <c r="H21" s="529"/>
      <c r="I21" s="493">
        <v>2.0</v>
      </c>
      <c r="J21" s="493">
        <v>5.0</v>
      </c>
      <c r="K21" s="493">
        <v>4.0</v>
      </c>
      <c r="L21" s="597"/>
      <c r="M21" s="59">
        <v>1.0</v>
      </c>
      <c r="N21" s="510"/>
      <c r="O21" s="529"/>
      <c r="P21" s="49"/>
      <c r="Q21" s="493">
        <v>8.0</v>
      </c>
      <c r="R21" s="59">
        <v>1.0</v>
      </c>
      <c r="S21" s="598"/>
      <c r="T21" s="59">
        <v>34.0</v>
      </c>
      <c r="U21" s="599"/>
      <c r="V21" s="529"/>
      <c r="W21" s="606"/>
      <c r="X21" s="601"/>
      <c r="Y21" s="59">
        <v>7.0</v>
      </c>
      <c r="Z21" s="59">
        <v>1.0</v>
      </c>
      <c r="AA21" s="59">
        <v>1.0</v>
      </c>
      <c r="AB21" s="62">
        <f t="shared" si="1"/>
        <v>80</v>
      </c>
      <c r="AC21" s="80">
        <v>25.0</v>
      </c>
      <c r="AD21" s="68">
        <f t="shared" si="2"/>
        <v>2000</v>
      </c>
      <c r="AE21" s="17"/>
      <c r="AF21" s="132"/>
      <c r="AG21" s="132"/>
    </row>
    <row r="22">
      <c r="A22" s="142" t="s">
        <v>66</v>
      </c>
      <c r="B22" s="604">
        <v>2.0</v>
      </c>
      <c r="C22" s="595">
        <v>5.0</v>
      </c>
      <c r="D22" s="59">
        <v>3.0</v>
      </c>
      <c r="E22" s="614"/>
      <c r="F22" s="59">
        <v>1.0</v>
      </c>
      <c r="G22" s="510"/>
      <c r="H22" s="529"/>
      <c r="I22" s="493">
        <v>2.0</v>
      </c>
      <c r="J22" s="493">
        <v>4.0</v>
      </c>
      <c r="K22" s="493">
        <v>2.0</v>
      </c>
      <c r="L22" s="597"/>
      <c r="M22" s="59">
        <v>2.0</v>
      </c>
      <c r="N22" s="510"/>
      <c r="O22" s="529"/>
      <c r="P22" s="49"/>
      <c r="Q22" s="493">
        <v>1.0</v>
      </c>
      <c r="R22" s="59"/>
      <c r="S22" s="612"/>
      <c r="T22" s="59">
        <v>21.0</v>
      </c>
      <c r="U22" s="599"/>
      <c r="V22" s="529"/>
      <c r="W22" s="606"/>
      <c r="X22" s="601"/>
      <c r="Y22" s="59">
        <v>5.0</v>
      </c>
      <c r="Z22" s="59">
        <v>4.0</v>
      </c>
      <c r="AA22" s="59">
        <v>2.0</v>
      </c>
      <c r="AB22" s="62">
        <f t="shared" si="1"/>
        <v>54</v>
      </c>
      <c r="AC22" s="80">
        <v>30.0</v>
      </c>
      <c r="AD22" s="68">
        <f t="shared" si="2"/>
        <v>1620</v>
      </c>
      <c r="AE22" s="17"/>
      <c r="AF22" s="132"/>
      <c r="AG22" s="132"/>
    </row>
    <row r="23">
      <c r="A23" s="142" t="s">
        <v>68</v>
      </c>
      <c r="B23" s="595">
        <v>1.0</v>
      </c>
      <c r="C23" s="42"/>
      <c r="D23" s="54"/>
      <c r="E23" s="531"/>
      <c r="F23" s="59">
        <v>3.0</v>
      </c>
      <c r="G23" s="510"/>
      <c r="H23" s="529"/>
      <c r="I23" s="493"/>
      <c r="J23" s="493">
        <v>2.0</v>
      </c>
      <c r="K23" s="493">
        <v>5.0</v>
      </c>
      <c r="L23" s="611"/>
      <c r="M23" s="59"/>
      <c r="N23" s="515"/>
      <c r="O23" s="529"/>
      <c r="P23" s="493">
        <v>2.0</v>
      </c>
      <c r="Q23" s="493">
        <v>2.0</v>
      </c>
      <c r="R23" s="59"/>
      <c r="S23" s="612"/>
      <c r="T23" s="59">
        <v>14.0</v>
      </c>
      <c r="U23" s="599"/>
      <c r="V23" s="530"/>
      <c r="W23" s="606"/>
      <c r="X23" s="601"/>
      <c r="Y23" s="59">
        <v>4.0</v>
      </c>
      <c r="Z23" s="46"/>
      <c r="AA23" s="59">
        <v>1.0</v>
      </c>
      <c r="AB23" s="62">
        <f t="shared" si="1"/>
        <v>34</v>
      </c>
      <c r="AC23" s="80">
        <v>35.0</v>
      </c>
      <c r="AD23" s="68">
        <f t="shared" si="2"/>
        <v>1190</v>
      </c>
      <c r="AE23" s="17"/>
      <c r="AF23" s="132"/>
      <c r="AG23" s="132"/>
    </row>
    <row r="24">
      <c r="A24" s="142" t="s">
        <v>70</v>
      </c>
      <c r="B24" s="618"/>
      <c r="C24" s="46"/>
      <c r="D24" s="54"/>
      <c r="E24" s="535"/>
      <c r="F24" s="54"/>
      <c r="G24" s="51"/>
      <c r="H24" s="191"/>
      <c r="I24" s="46"/>
      <c r="J24" s="54"/>
      <c r="K24" s="46"/>
      <c r="L24" s="508"/>
      <c r="M24" s="54"/>
      <c r="N24" s="51"/>
      <c r="O24" s="191"/>
      <c r="P24" s="46"/>
      <c r="Q24" s="46"/>
      <c r="R24" s="46"/>
      <c r="S24" s="612"/>
      <c r="T24" s="46"/>
      <c r="U24" s="605"/>
      <c r="V24" s="191"/>
      <c r="W24" s="606"/>
      <c r="X24" s="607"/>
      <c r="Y24" s="46"/>
      <c r="Z24" s="46"/>
      <c r="AA24" s="46"/>
      <c r="AB24" s="62">
        <f t="shared" si="1"/>
        <v>0</v>
      </c>
      <c r="AC24" s="80">
        <v>130.0</v>
      </c>
      <c r="AD24" s="68">
        <f t="shared" si="2"/>
        <v>0</v>
      </c>
      <c r="AE24" s="17"/>
      <c r="AF24" s="132"/>
      <c r="AG24" s="132"/>
    </row>
    <row r="25">
      <c r="A25" s="142" t="s">
        <v>72</v>
      </c>
      <c r="B25" s="618"/>
      <c r="C25" s="595">
        <v>1.0</v>
      </c>
      <c r="D25" s="59">
        <v>13.0</v>
      </c>
      <c r="E25" s="531"/>
      <c r="F25" s="54"/>
      <c r="G25" s="510"/>
      <c r="H25" s="529"/>
      <c r="I25" s="493">
        <v>4.0</v>
      </c>
      <c r="J25" s="54"/>
      <c r="K25" s="59">
        <v>2.0</v>
      </c>
      <c r="L25" s="597"/>
      <c r="M25" s="59">
        <v>7.0</v>
      </c>
      <c r="N25" s="510"/>
      <c r="O25" s="530"/>
      <c r="P25" s="59">
        <v>49.0</v>
      </c>
      <c r="Q25" s="59">
        <v>1.0</v>
      </c>
      <c r="R25" s="59"/>
      <c r="S25" s="612"/>
      <c r="T25" s="59">
        <v>1.0</v>
      </c>
      <c r="U25" s="599"/>
      <c r="V25" s="529"/>
      <c r="W25" s="600"/>
      <c r="X25" s="607"/>
      <c r="Y25" s="59"/>
      <c r="Z25" s="46"/>
      <c r="AA25" s="46"/>
      <c r="AB25" s="62">
        <f t="shared" si="1"/>
        <v>78</v>
      </c>
      <c r="AC25" s="80">
        <v>50.0</v>
      </c>
      <c r="AD25" s="68">
        <f t="shared" si="2"/>
        <v>3900</v>
      </c>
      <c r="AE25" s="17"/>
      <c r="AF25" s="132"/>
      <c r="AG25" s="132"/>
    </row>
    <row r="26">
      <c r="A26" s="142" t="s">
        <v>74</v>
      </c>
      <c r="B26" s="618"/>
      <c r="C26" s="46"/>
      <c r="D26" s="54"/>
      <c r="E26" s="535"/>
      <c r="F26" s="54"/>
      <c r="G26" s="51"/>
      <c r="H26" s="191"/>
      <c r="I26" s="46"/>
      <c r="J26" s="54"/>
      <c r="K26" s="46"/>
      <c r="L26" s="508"/>
      <c r="M26" s="54"/>
      <c r="N26" s="51"/>
      <c r="O26" s="191"/>
      <c r="P26" s="46"/>
      <c r="Q26" s="46"/>
      <c r="R26" s="46"/>
      <c r="S26" s="612"/>
      <c r="T26" s="46"/>
      <c r="U26" s="605"/>
      <c r="V26" s="191"/>
      <c r="W26" s="606"/>
      <c r="X26" s="607"/>
      <c r="Y26" s="46"/>
      <c r="Z26" s="46"/>
      <c r="AA26" s="46"/>
      <c r="AB26" s="62">
        <f t="shared" si="1"/>
        <v>0</v>
      </c>
      <c r="AC26" s="80">
        <v>50.0</v>
      </c>
      <c r="AD26" s="68">
        <f t="shared" si="2"/>
        <v>0</v>
      </c>
      <c r="AE26" s="17"/>
      <c r="AF26" s="132"/>
      <c r="AG26" s="132"/>
    </row>
    <row r="27">
      <c r="A27" s="142" t="s">
        <v>75</v>
      </c>
      <c r="B27" s="604"/>
      <c r="C27" s="59">
        <v>2.0</v>
      </c>
      <c r="D27" s="54"/>
      <c r="E27" s="535"/>
      <c r="F27" s="59">
        <v>2.0</v>
      </c>
      <c r="G27" s="515"/>
      <c r="H27" s="191"/>
      <c r="I27" s="49"/>
      <c r="J27" s="54"/>
      <c r="K27" s="59">
        <v>1.0</v>
      </c>
      <c r="L27" s="508"/>
      <c r="M27" s="54"/>
      <c r="N27" s="51"/>
      <c r="O27" s="191"/>
      <c r="P27" s="59">
        <v>6.0</v>
      </c>
      <c r="Q27" s="46"/>
      <c r="R27" s="46"/>
      <c r="S27" s="612"/>
      <c r="T27" s="59">
        <v>3.0</v>
      </c>
      <c r="U27" s="605"/>
      <c r="V27" s="191"/>
      <c r="W27" s="606"/>
      <c r="X27" s="607"/>
      <c r="Y27" s="59"/>
      <c r="Z27" s="46"/>
      <c r="AA27" s="46"/>
      <c r="AB27" s="62">
        <f t="shared" si="1"/>
        <v>14</v>
      </c>
      <c r="AC27" s="80">
        <v>35.0</v>
      </c>
      <c r="AD27" s="68">
        <f t="shared" si="2"/>
        <v>490</v>
      </c>
      <c r="AE27" s="17"/>
      <c r="AF27" s="132"/>
      <c r="AG27" s="132"/>
    </row>
    <row r="28">
      <c r="A28" s="142" t="s">
        <v>77</v>
      </c>
      <c r="B28" s="604">
        <v>2.0</v>
      </c>
      <c r="C28" s="46"/>
      <c r="D28" s="59">
        <v>1.0</v>
      </c>
      <c r="E28" s="614"/>
      <c r="F28" s="59">
        <v>6.0</v>
      </c>
      <c r="G28" s="515"/>
      <c r="H28" s="191"/>
      <c r="I28" s="493"/>
      <c r="J28" s="59"/>
      <c r="K28" s="493"/>
      <c r="L28" s="619"/>
      <c r="M28" s="59"/>
      <c r="N28" s="515"/>
      <c r="O28" s="529"/>
      <c r="P28" s="46"/>
      <c r="Q28" s="46"/>
      <c r="R28" s="59"/>
      <c r="S28" s="612"/>
      <c r="T28" s="59">
        <v>11.0</v>
      </c>
      <c r="U28" s="605"/>
      <c r="V28" s="530"/>
      <c r="W28" s="600"/>
      <c r="X28" s="607"/>
      <c r="Y28" s="59">
        <v>4.0</v>
      </c>
      <c r="Z28" s="59">
        <v>14.0</v>
      </c>
      <c r="AA28" s="59">
        <v>1.0</v>
      </c>
      <c r="AB28" s="62">
        <f t="shared" si="1"/>
        <v>39</v>
      </c>
      <c r="AC28" s="80">
        <v>100.0</v>
      </c>
      <c r="AD28" s="68">
        <f t="shared" si="2"/>
        <v>3900</v>
      </c>
      <c r="AE28" s="17"/>
      <c r="AF28" s="132"/>
      <c r="AG28" s="132"/>
    </row>
    <row r="29">
      <c r="A29" s="142" t="s">
        <v>79</v>
      </c>
      <c r="B29" s="604"/>
      <c r="C29" s="46"/>
      <c r="D29" s="54"/>
      <c r="E29" s="535"/>
      <c r="F29" s="54"/>
      <c r="G29" s="51"/>
      <c r="H29" s="191"/>
      <c r="I29" s="46"/>
      <c r="J29" s="54"/>
      <c r="K29" s="46"/>
      <c r="L29" s="508"/>
      <c r="M29" s="54"/>
      <c r="N29" s="51"/>
      <c r="O29" s="191"/>
      <c r="P29" s="46"/>
      <c r="Q29" s="46"/>
      <c r="R29" s="46"/>
      <c r="S29" s="612"/>
      <c r="T29" s="46"/>
      <c r="U29" s="605"/>
      <c r="V29" s="191"/>
      <c r="W29" s="606"/>
      <c r="X29" s="607"/>
      <c r="Y29" s="46"/>
      <c r="Z29" s="46"/>
      <c r="AA29" s="46"/>
      <c r="AB29" s="62">
        <f t="shared" si="1"/>
        <v>0</v>
      </c>
      <c r="AC29" s="80">
        <v>20.0</v>
      </c>
      <c r="AD29" s="68">
        <f t="shared" si="2"/>
        <v>0</v>
      </c>
      <c r="AE29" s="17"/>
      <c r="AF29" s="132"/>
      <c r="AG29" s="132"/>
    </row>
    <row r="30">
      <c r="A30" s="142" t="s">
        <v>82</v>
      </c>
      <c r="B30" s="595"/>
      <c r="C30" s="595">
        <v>1.0</v>
      </c>
      <c r="D30" s="59">
        <v>3.0</v>
      </c>
      <c r="E30" s="614"/>
      <c r="F30" s="59">
        <v>1.0</v>
      </c>
      <c r="G30" s="510"/>
      <c r="H30" s="529"/>
      <c r="I30" s="59"/>
      <c r="J30" s="493">
        <v>2.0</v>
      </c>
      <c r="K30" s="493">
        <v>2.0</v>
      </c>
      <c r="L30" s="597"/>
      <c r="M30" s="59">
        <v>2.0</v>
      </c>
      <c r="N30" s="510"/>
      <c r="O30" s="529"/>
      <c r="P30" s="493">
        <v>2.0</v>
      </c>
      <c r="Q30" s="493">
        <v>1.0</v>
      </c>
      <c r="R30" s="59">
        <v>1.0</v>
      </c>
      <c r="S30" s="598"/>
      <c r="T30" s="59">
        <v>13.0</v>
      </c>
      <c r="U30" s="599"/>
      <c r="V30" s="529"/>
      <c r="W30" s="600"/>
      <c r="X30" s="601"/>
      <c r="Y30" s="59">
        <v>4.0</v>
      </c>
      <c r="Z30" s="59">
        <v>2.0</v>
      </c>
      <c r="AA30" s="46"/>
      <c r="AB30" s="62">
        <f t="shared" si="1"/>
        <v>34</v>
      </c>
      <c r="AC30" s="80">
        <v>40.0</v>
      </c>
      <c r="AD30" s="68">
        <f t="shared" si="2"/>
        <v>1360</v>
      </c>
      <c r="AE30" s="17"/>
      <c r="AF30" s="132"/>
      <c r="AG30" s="132"/>
    </row>
    <row r="31">
      <c r="A31" s="33" t="s">
        <v>85</v>
      </c>
      <c r="B31" s="604"/>
      <c r="C31" s="595">
        <v>4.0</v>
      </c>
      <c r="D31" s="59">
        <v>4.0</v>
      </c>
      <c r="E31" s="614"/>
      <c r="F31" s="54"/>
      <c r="G31" s="616"/>
      <c r="H31" s="538"/>
      <c r="I31" s="493">
        <v>1.0</v>
      </c>
      <c r="J31" s="59">
        <v>4.0</v>
      </c>
      <c r="K31" s="59">
        <v>4.0</v>
      </c>
      <c r="L31" s="619"/>
      <c r="M31" s="59">
        <v>2.0</v>
      </c>
      <c r="N31" s="616"/>
      <c r="O31" s="529"/>
      <c r="P31" s="493">
        <v>1.0</v>
      </c>
      <c r="Q31" s="493">
        <v>2.0</v>
      </c>
      <c r="R31" s="59">
        <v>3.0</v>
      </c>
      <c r="S31" s="598"/>
      <c r="T31" s="59">
        <v>57.0</v>
      </c>
      <c r="U31" s="599"/>
      <c r="V31" s="530"/>
      <c r="W31" s="600"/>
      <c r="X31" s="601"/>
      <c r="Y31" s="59"/>
      <c r="Z31" s="59">
        <v>8.0</v>
      </c>
      <c r="AA31" s="46"/>
      <c r="AB31" s="62">
        <f t="shared" si="1"/>
        <v>90</v>
      </c>
      <c r="AC31" s="80">
        <v>80.0</v>
      </c>
      <c r="AD31" s="68">
        <f t="shared" si="2"/>
        <v>7200</v>
      </c>
      <c r="AE31" s="17"/>
      <c r="AF31" s="132"/>
      <c r="AG31" s="132"/>
    </row>
    <row r="32">
      <c r="A32" s="147" t="s">
        <v>87</v>
      </c>
      <c r="B32" s="595"/>
      <c r="C32" s="595">
        <v>4.0</v>
      </c>
      <c r="D32" s="59">
        <v>1.0</v>
      </c>
      <c r="E32" s="614"/>
      <c r="F32" s="54"/>
      <c r="G32" s="510"/>
      <c r="H32" s="538"/>
      <c r="I32" s="493">
        <v>1.0</v>
      </c>
      <c r="J32" s="493">
        <v>4.0</v>
      </c>
      <c r="K32" s="493">
        <v>2.0</v>
      </c>
      <c r="L32" s="619"/>
      <c r="M32" s="59">
        <v>3.0</v>
      </c>
      <c r="N32" s="616"/>
      <c r="O32" s="538"/>
      <c r="P32" s="49"/>
      <c r="Q32" s="493">
        <v>3.0</v>
      </c>
      <c r="R32" s="59"/>
      <c r="S32" s="612"/>
      <c r="T32" s="59">
        <v>25.0</v>
      </c>
      <c r="U32" s="605"/>
      <c r="V32" s="529"/>
      <c r="W32" s="606"/>
      <c r="X32" s="601"/>
      <c r="Y32" s="59">
        <v>8.0</v>
      </c>
      <c r="Z32" s="59">
        <v>6.0</v>
      </c>
      <c r="AA32" s="59">
        <v>3.0</v>
      </c>
      <c r="AB32" s="62">
        <f t="shared" si="1"/>
        <v>60</v>
      </c>
      <c r="AC32" s="80">
        <v>170.0</v>
      </c>
      <c r="AD32" s="68">
        <f t="shared" si="2"/>
        <v>10200</v>
      </c>
      <c r="AE32" s="17"/>
      <c r="AF32" s="132"/>
      <c r="AG32" s="132"/>
    </row>
    <row r="33">
      <c r="A33" s="147" t="s">
        <v>89</v>
      </c>
      <c r="B33" s="618"/>
      <c r="C33" s="59">
        <v>4.0</v>
      </c>
      <c r="D33" s="54"/>
      <c r="E33" s="535"/>
      <c r="F33" s="54"/>
      <c r="G33" s="51"/>
      <c r="H33" s="191"/>
      <c r="I33" s="49"/>
      <c r="J33" s="59">
        <v>1.0</v>
      </c>
      <c r="K33" s="46"/>
      <c r="L33" s="508"/>
      <c r="M33" s="54"/>
      <c r="N33" s="51"/>
      <c r="O33" s="191"/>
      <c r="P33" s="59">
        <v>1.0</v>
      </c>
      <c r="Q33" s="59">
        <v>1.0</v>
      </c>
      <c r="R33" s="46"/>
      <c r="S33" s="612"/>
      <c r="T33" s="59">
        <v>1.0</v>
      </c>
      <c r="U33" s="605"/>
      <c r="V33" s="530"/>
      <c r="W33" s="606"/>
      <c r="X33" s="607"/>
      <c r="Y33" s="59">
        <v>3.0</v>
      </c>
      <c r="Z33" s="59">
        <v>1.0</v>
      </c>
      <c r="AA33" s="59">
        <v>4.0</v>
      </c>
      <c r="AB33" s="62">
        <f t="shared" si="1"/>
        <v>16</v>
      </c>
      <c r="AC33" s="80">
        <v>130.0</v>
      </c>
      <c r="AD33" s="68">
        <f t="shared" si="2"/>
        <v>2080</v>
      </c>
      <c r="AE33" s="17"/>
      <c r="AF33" s="132"/>
      <c r="AG33" s="132"/>
    </row>
    <row r="34">
      <c r="A34" s="147" t="s">
        <v>90</v>
      </c>
      <c r="B34" s="618"/>
      <c r="C34" s="46"/>
      <c r="D34" s="54"/>
      <c r="E34" s="614"/>
      <c r="F34" s="59"/>
      <c r="G34" s="510"/>
      <c r="H34" s="530"/>
      <c r="I34" s="493">
        <v>3.0</v>
      </c>
      <c r="J34" s="59"/>
      <c r="K34" s="493">
        <v>1.0</v>
      </c>
      <c r="L34" s="508"/>
      <c r="M34" s="59"/>
      <c r="N34" s="515"/>
      <c r="O34" s="530"/>
      <c r="P34" s="46"/>
      <c r="Q34" s="493"/>
      <c r="R34" s="59"/>
      <c r="S34" s="612"/>
      <c r="T34" s="59">
        <v>2.0</v>
      </c>
      <c r="U34" s="605"/>
      <c r="V34" s="538"/>
      <c r="W34" s="606"/>
      <c r="X34" s="607"/>
      <c r="Y34" s="59">
        <v>1.0</v>
      </c>
      <c r="Z34" s="46"/>
      <c r="AA34" s="46"/>
      <c r="AB34" s="62">
        <f t="shared" si="1"/>
        <v>7</v>
      </c>
      <c r="AC34" s="80">
        <v>150.0</v>
      </c>
      <c r="AD34" s="68">
        <f t="shared" si="2"/>
        <v>1050</v>
      </c>
      <c r="AE34" s="17"/>
      <c r="AF34" s="132"/>
      <c r="AG34" s="132"/>
    </row>
    <row r="35">
      <c r="A35" s="147" t="s">
        <v>93</v>
      </c>
      <c r="B35" s="618"/>
      <c r="C35" s="595">
        <v>1.0</v>
      </c>
      <c r="D35" s="54"/>
      <c r="E35" s="614"/>
      <c r="F35" s="59"/>
      <c r="G35" s="616"/>
      <c r="H35" s="191"/>
      <c r="I35" s="493"/>
      <c r="J35" s="59"/>
      <c r="K35" s="59">
        <v>1.0</v>
      </c>
      <c r="L35" s="508"/>
      <c r="M35" s="59">
        <v>1.0</v>
      </c>
      <c r="N35" s="515"/>
      <c r="O35" s="530"/>
      <c r="P35" s="46"/>
      <c r="Q35" s="59">
        <v>1.0</v>
      </c>
      <c r="R35" s="46"/>
      <c r="S35" s="598"/>
      <c r="T35" s="59">
        <v>2.0</v>
      </c>
      <c r="U35" s="599"/>
      <c r="V35" s="530"/>
      <c r="W35" s="600"/>
      <c r="X35" s="607"/>
      <c r="Y35" s="59">
        <v>5.0</v>
      </c>
      <c r="Z35" s="59">
        <v>1.0</v>
      </c>
      <c r="AA35" s="59">
        <v>4.0</v>
      </c>
      <c r="AB35" s="62">
        <f t="shared" si="1"/>
        <v>16</v>
      </c>
      <c r="AC35" s="80">
        <v>180.0</v>
      </c>
      <c r="AD35" s="68">
        <f t="shared" si="2"/>
        <v>2880</v>
      </c>
      <c r="AE35" s="17"/>
      <c r="AF35" s="132"/>
      <c r="AG35" s="132"/>
    </row>
    <row r="36">
      <c r="A36" s="147" t="s">
        <v>94</v>
      </c>
      <c r="B36" s="618"/>
      <c r="C36" s="46"/>
      <c r="D36" s="59"/>
      <c r="E36" s="535"/>
      <c r="F36" s="54"/>
      <c r="G36" s="510"/>
      <c r="H36" s="530"/>
      <c r="I36" s="49"/>
      <c r="J36" s="59"/>
      <c r="K36" s="59">
        <v>1.0</v>
      </c>
      <c r="L36" s="508"/>
      <c r="M36" s="59"/>
      <c r="N36" s="51"/>
      <c r="O36" s="191"/>
      <c r="P36" s="46"/>
      <c r="Q36" s="59"/>
      <c r="R36" s="46"/>
      <c r="S36" s="598"/>
      <c r="T36" s="46"/>
      <c r="U36" s="605"/>
      <c r="V36" s="191"/>
      <c r="W36" s="606"/>
      <c r="X36" s="607"/>
      <c r="Y36" s="59"/>
      <c r="Z36" s="46"/>
      <c r="AA36" s="46"/>
      <c r="AB36" s="62">
        <f t="shared" si="1"/>
        <v>1</v>
      </c>
      <c r="AC36" s="80">
        <v>245.0</v>
      </c>
      <c r="AD36" s="68">
        <f t="shared" si="2"/>
        <v>245</v>
      </c>
      <c r="AE36" s="17"/>
      <c r="AF36" s="132"/>
      <c r="AG36" s="132"/>
    </row>
    <row r="37">
      <c r="A37" s="142" t="s">
        <v>97</v>
      </c>
      <c r="B37" s="604">
        <v>4.0</v>
      </c>
      <c r="C37" s="59">
        <v>1.0</v>
      </c>
      <c r="D37" s="59">
        <v>3.0</v>
      </c>
      <c r="E37" s="535"/>
      <c r="F37" s="54"/>
      <c r="G37" s="515"/>
      <c r="H37" s="191"/>
      <c r="I37" s="59">
        <v>2.0</v>
      </c>
      <c r="J37" s="59"/>
      <c r="K37" s="59">
        <v>5.0</v>
      </c>
      <c r="L37" s="508"/>
      <c r="M37" s="59">
        <v>1.0</v>
      </c>
      <c r="N37" s="51"/>
      <c r="O37" s="191"/>
      <c r="P37" s="59">
        <v>3.0</v>
      </c>
      <c r="Q37" s="46"/>
      <c r="R37" s="46"/>
      <c r="S37" s="598"/>
      <c r="T37" s="59">
        <v>1.0</v>
      </c>
      <c r="U37" s="599"/>
      <c r="V37" s="530"/>
      <c r="W37" s="600"/>
      <c r="X37" s="601"/>
      <c r="Y37" s="59"/>
      <c r="Z37" s="59">
        <v>2.0</v>
      </c>
      <c r="AA37" s="46"/>
      <c r="AB37" s="62">
        <f t="shared" si="1"/>
        <v>22</v>
      </c>
      <c r="AC37" s="80">
        <v>500.0</v>
      </c>
      <c r="AD37" s="68">
        <f t="shared" si="2"/>
        <v>11000</v>
      </c>
      <c r="AE37" s="17"/>
      <c r="AF37" s="132"/>
      <c r="AG37" s="132"/>
    </row>
    <row r="38">
      <c r="A38" s="33" t="s">
        <v>99</v>
      </c>
      <c r="B38" s="618"/>
      <c r="C38" s="46"/>
      <c r="D38" s="59">
        <v>2.0</v>
      </c>
      <c r="E38" s="531"/>
      <c r="F38" s="54"/>
      <c r="G38" s="51"/>
      <c r="H38" s="191"/>
      <c r="I38" s="46"/>
      <c r="J38" s="493"/>
      <c r="K38" s="46"/>
      <c r="L38" s="619"/>
      <c r="M38" s="54"/>
      <c r="N38" s="51"/>
      <c r="O38" s="191"/>
      <c r="P38" s="46"/>
      <c r="Q38" s="46"/>
      <c r="R38" s="59"/>
      <c r="S38" s="612"/>
      <c r="T38" s="46"/>
      <c r="U38" s="599"/>
      <c r="V38" s="530"/>
      <c r="W38" s="600"/>
      <c r="X38" s="607"/>
      <c r="Y38" s="46"/>
      <c r="Z38" s="46"/>
      <c r="AA38" s="46"/>
      <c r="AB38" s="62">
        <f t="shared" si="1"/>
        <v>2</v>
      </c>
      <c r="AC38" s="80">
        <v>900.0</v>
      </c>
      <c r="AD38" s="68">
        <f t="shared" si="2"/>
        <v>1800</v>
      </c>
      <c r="AE38" s="17"/>
      <c r="AF38" s="132"/>
      <c r="AG38" s="132"/>
    </row>
    <row r="39">
      <c r="A39" s="33" t="s">
        <v>100</v>
      </c>
      <c r="B39" s="618"/>
      <c r="C39" s="46"/>
      <c r="D39" s="54"/>
      <c r="E39" s="535"/>
      <c r="F39" s="54"/>
      <c r="G39" s="51"/>
      <c r="H39" s="191"/>
      <c r="I39" s="46"/>
      <c r="J39" s="59"/>
      <c r="K39" s="59">
        <v>1.0</v>
      </c>
      <c r="L39" s="611"/>
      <c r="M39" s="54"/>
      <c r="N39" s="51"/>
      <c r="O39" s="191"/>
      <c r="P39" s="46"/>
      <c r="Q39" s="49"/>
      <c r="R39" s="46"/>
      <c r="S39" s="612"/>
      <c r="T39" s="59">
        <v>1.0</v>
      </c>
      <c r="U39" s="605"/>
      <c r="V39" s="191"/>
      <c r="W39" s="600"/>
      <c r="X39" s="607"/>
      <c r="Y39" s="46"/>
      <c r="Z39" s="46"/>
      <c r="AA39" s="46"/>
      <c r="AB39" s="62">
        <f t="shared" si="1"/>
        <v>2</v>
      </c>
      <c r="AC39" s="80">
        <v>1100.0</v>
      </c>
      <c r="AD39" s="68">
        <f t="shared" si="2"/>
        <v>2200</v>
      </c>
      <c r="AE39" s="17"/>
      <c r="AF39" s="132"/>
      <c r="AG39" s="132"/>
    </row>
    <row r="40">
      <c r="A40" s="33" t="s">
        <v>102</v>
      </c>
      <c r="B40" s="618"/>
      <c r="C40" s="59">
        <v>1.0</v>
      </c>
      <c r="D40" s="54"/>
      <c r="E40" s="535"/>
      <c r="F40" s="54"/>
      <c r="G40" s="510"/>
      <c r="H40" s="191"/>
      <c r="I40" s="59">
        <v>1.0</v>
      </c>
      <c r="J40" s="54"/>
      <c r="K40" s="46"/>
      <c r="L40" s="508"/>
      <c r="M40" s="54"/>
      <c r="N40" s="51"/>
      <c r="O40" s="191"/>
      <c r="P40" s="46"/>
      <c r="Q40" s="46"/>
      <c r="R40" s="46"/>
      <c r="S40" s="612"/>
      <c r="T40" s="46"/>
      <c r="U40" s="605"/>
      <c r="V40" s="530"/>
      <c r="W40" s="606"/>
      <c r="X40" s="607"/>
      <c r="Y40" s="46"/>
      <c r="Z40" s="46"/>
      <c r="AA40" s="46"/>
      <c r="AB40" s="62">
        <f t="shared" si="1"/>
        <v>2</v>
      </c>
      <c r="AC40" s="80">
        <v>1200.0</v>
      </c>
      <c r="AD40" s="68">
        <f t="shared" si="2"/>
        <v>2400</v>
      </c>
      <c r="AE40" s="17"/>
      <c r="AF40" s="647" t="s">
        <v>367</v>
      </c>
      <c r="AG40" s="132"/>
    </row>
    <row r="41">
      <c r="A41" s="33" t="s">
        <v>104</v>
      </c>
      <c r="B41" s="618"/>
      <c r="C41" s="46"/>
      <c r="D41" s="54"/>
      <c r="E41" s="535"/>
      <c r="F41" s="54"/>
      <c r="G41" s="51"/>
      <c r="H41" s="191"/>
      <c r="I41" s="46"/>
      <c r="J41" s="59"/>
      <c r="K41" s="46"/>
      <c r="L41" s="508"/>
      <c r="M41" s="54"/>
      <c r="N41" s="51"/>
      <c r="O41" s="191"/>
      <c r="P41" s="46"/>
      <c r="Q41" s="46"/>
      <c r="R41" s="46"/>
      <c r="S41" s="612"/>
      <c r="T41" s="46"/>
      <c r="U41" s="605"/>
      <c r="V41" s="191"/>
      <c r="W41" s="606"/>
      <c r="X41" s="607"/>
      <c r="Y41" s="46"/>
      <c r="Z41" s="46"/>
      <c r="AA41" s="46"/>
      <c r="AB41" s="62">
        <f t="shared" si="1"/>
        <v>0</v>
      </c>
      <c r="AC41" s="80">
        <v>200.0</v>
      </c>
      <c r="AD41" s="68">
        <f t="shared" si="2"/>
        <v>0</v>
      </c>
      <c r="AE41" s="17"/>
      <c r="AF41" s="132"/>
      <c r="AG41" s="132"/>
    </row>
    <row r="42">
      <c r="A42" s="33" t="s">
        <v>105</v>
      </c>
      <c r="B42" s="618"/>
      <c r="C42" s="46"/>
      <c r="D42" s="54"/>
      <c r="E42" s="535"/>
      <c r="F42" s="54"/>
      <c r="G42" s="51"/>
      <c r="H42" s="191"/>
      <c r="I42" s="59">
        <v>1.0</v>
      </c>
      <c r="J42" s="59"/>
      <c r="K42" s="46"/>
      <c r="L42" s="508"/>
      <c r="M42" s="54"/>
      <c r="N42" s="51"/>
      <c r="O42" s="191"/>
      <c r="P42" s="46"/>
      <c r="Q42" s="46"/>
      <c r="R42" s="46"/>
      <c r="S42" s="612"/>
      <c r="T42" s="46"/>
      <c r="U42" s="605"/>
      <c r="V42" s="191"/>
      <c r="W42" s="606"/>
      <c r="X42" s="607"/>
      <c r="Y42" s="46"/>
      <c r="Z42" s="46"/>
      <c r="AA42" s="46"/>
      <c r="AB42" s="62">
        <f t="shared" si="1"/>
        <v>1</v>
      </c>
      <c r="AC42" s="80">
        <v>500.0</v>
      </c>
      <c r="AD42" s="68">
        <f t="shared" si="2"/>
        <v>500</v>
      </c>
      <c r="AE42" s="17"/>
      <c r="AF42" s="155"/>
      <c r="AG42" s="155"/>
    </row>
    <row r="43">
      <c r="A43" s="156" t="s">
        <v>107</v>
      </c>
      <c r="B43" s="648"/>
      <c r="C43" s="181"/>
      <c r="D43" s="184"/>
      <c r="E43" s="562"/>
      <c r="F43" s="184"/>
      <c r="G43" s="183"/>
      <c r="H43" s="245"/>
      <c r="I43" s="181"/>
      <c r="J43" s="247"/>
      <c r="K43" s="181"/>
      <c r="L43" s="549"/>
      <c r="M43" s="184"/>
      <c r="N43" s="183"/>
      <c r="O43" s="245"/>
      <c r="P43" s="181"/>
      <c r="Q43" s="181"/>
      <c r="R43" s="181"/>
      <c r="S43" s="649"/>
      <c r="T43" s="181"/>
      <c r="U43" s="650"/>
      <c r="V43" s="245"/>
      <c r="W43" s="651"/>
      <c r="X43" s="652"/>
      <c r="Y43" s="181"/>
      <c r="Z43" s="181"/>
      <c r="AA43" s="181"/>
      <c r="AB43" s="62">
        <f t="shared" si="1"/>
        <v>0</v>
      </c>
      <c r="AC43" s="167">
        <v>1000.0</v>
      </c>
      <c r="AD43" s="168">
        <f t="shared" si="2"/>
        <v>0</v>
      </c>
      <c r="AE43" s="17"/>
      <c r="AF43" s="155"/>
      <c r="AG43" s="155"/>
    </row>
    <row r="44">
      <c r="A44" s="169" t="s">
        <v>45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9"/>
      <c r="AD44" s="174">
        <f>SUM(AD3:AD43)</f>
        <v>245117</v>
      </c>
      <c r="AE44" s="17"/>
      <c r="AF44" s="176"/>
      <c r="AG44" s="176"/>
    </row>
    <row r="45">
      <c r="A45" s="24" t="s">
        <v>324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97"/>
      <c r="AE45" s="17"/>
      <c r="AF45" s="178"/>
      <c r="AG45" s="178"/>
    </row>
    <row r="46">
      <c r="A46" s="554" t="s">
        <v>318</v>
      </c>
      <c r="B46" s="36">
        <v>1.0</v>
      </c>
      <c r="C46" s="39"/>
      <c r="D46" s="39">
        <v>1.0</v>
      </c>
      <c r="E46" s="566"/>
      <c r="F46" s="39"/>
      <c r="G46" s="45"/>
      <c r="H46" s="565"/>
      <c r="I46" s="39">
        <v>1.0</v>
      </c>
      <c r="J46" s="39"/>
      <c r="K46" s="39"/>
      <c r="L46" s="555"/>
      <c r="M46" s="39"/>
      <c r="N46" s="45"/>
      <c r="O46" s="565"/>
      <c r="P46" s="39"/>
      <c r="Q46" s="39"/>
      <c r="R46" s="39"/>
      <c r="S46" s="653"/>
      <c r="T46" s="39"/>
      <c r="U46" s="654"/>
      <c r="V46" s="565"/>
      <c r="W46" s="655"/>
      <c r="X46" s="656"/>
      <c r="Y46" s="39"/>
      <c r="Z46" s="39"/>
      <c r="AA46" s="39"/>
      <c r="AB46" s="558">
        <f t="shared" ref="AB46:AB47" si="3">SUM(B46:AA46)</f>
        <v>3</v>
      </c>
      <c r="AC46" s="65">
        <v>600.0</v>
      </c>
      <c r="AD46" s="65">
        <f t="shared" ref="AD46:AD47" si="4">AB46*AC46</f>
        <v>1800</v>
      </c>
      <c r="AE46" s="17"/>
      <c r="AF46" s="178"/>
      <c r="AG46" s="178"/>
    </row>
    <row r="47">
      <c r="A47" s="554" t="s">
        <v>320</v>
      </c>
      <c r="B47" s="36"/>
      <c r="C47" s="39"/>
      <c r="D47" s="39"/>
      <c r="E47" s="566"/>
      <c r="F47" s="39"/>
      <c r="G47" s="45"/>
      <c r="H47" s="565"/>
      <c r="I47" s="39"/>
      <c r="J47" s="39">
        <v>2.0</v>
      </c>
      <c r="K47" s="39"/>
      <c r="L47" s="555"/>
      <c r="M47" s="39"/>
      <c r="N47" s="45"/>
      <c r="O47" s="565"/>
      <c r="P47" s="39"/>
      <c r="Q47" s="39"/>
      <c r="R47" s="39">
        <v>1.0</v>
      </c>
      <c r="S47" s="653"/>
      <c r="T47" s="39"/>
      <c r="U47" s="654"/>
      <c r="V47" s="565"/>
      <c r="W47" s="655"/>
      <c r="X47" s="656"/>
      <c r="Y47" s="39"/>
      <c r="Z47" s="39"/>
      <c r="AA47" s="39"/>
      <c r="AB47" s="558">
        <f t="shared" si="3"/>
        <v>3</v>
      </c>
      <c r="AC47" s="65">
        <v>440.0</v>
      </c>
      <c r="AD47" s="559">
        <f t="shared" si="4"/>
        <v>1320</v>
      </c>
      <c r="AE47" s="17"/>
      <c r="AF47" s="178"/>
      <c r="AG47" s="178"/>
    </row>
    <row r="48">
      <c r="A48" s="169" t="s">
        <v>45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8"/>
      <c r="AB48" s="128"/>
      <c r="AC48" s="129"/>
      <c r="AD48" s="238">
        <f>SUM(AD46:AD47)</f>
        <v>3120</v>
      </c>
      <c r="AE48" s="17"/>
      <c r="AF48" s="178"/>
      <c r="AG48" s="178"/>
    </row>
    <row r="49">
      <c r="A49" s="24" t="s">
        <v>110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8"/>
      <c r="AE49" s="17"/>
      <c r="AF49" s="178" t="s">
        <v>371</v>
      </c>
      <c r="AG49" s="178"/>
    </row>
    <row r="50">
      <c r="A50" s="147" t="s">
        <v>92</v>
      </c>
      <c r="B50" s="595">
        <v>9.0</v>
      </c>
      <c r="C50" s="59">
        <v>14.0</v>
      </c>
      <c r="D50" s="59">
        <v>6.0</v>
      </c>
      <c r="E50" s="596"/>
      <c r="F50" s="59">
        <v>6.0</v>
      </c>
      <c r="G50" s="510"/>
      <c r="H50" s="529"/>
      <c r="I50" s="493">
        <v>22.0</v>
      </c>
      <c r="J50" s="493">
        <v>13.0</v>
      </c>
      <c r="K50" s="493">
        <v>9.0</v>
      </c>
      <c r="L50" s="597"/>
      <c r="M50" s="59">
        <v>4.0</v>
      </c>
      <c r="N50" s="510"/>
      <c r="O50" s="529"/>
      <c r="P50" s="493">
        <v>6.0</v>
      </c>
      <c r="Q50" s="493">
        <v>3.0</v>
      </c>
      <c r="R50" s="59">
        <v>2.0</v>
      </c>
      <c r="S50" s="598"/>
      <c r="T50" s="59">
        <v>38.0</v>
      </c>
      <c r="U50" s="599"/>
      <c r="V50" s="530"/>
      <c r="W50" s="600"/>
      <c r="X50" s="601"/>
      <c r="Y50" s="59">
        <v>24.0</v>
      </c>
      <c r="Z50" s="59">
        <v>9.0</v>
      </c>
      <c r="AA50" s="59">
        <v>9.0</v>
      </c>
      <c r="AB50" s="62">
        <f t="shared" ref="AB50:AB62" si="5">SUM(B50:AA50)</f>
        <v>174</v>
      </c>
      <c r="AC50" s="80">
        <v>100.0</v>
      </c>
      <c r="AD50" s="68">
        <f t="shared" ref="AD50:AD62" si="6">AB50*AC50</f>
        <v>17400</v>
      </c>
      <c r="AE50" s="17"/>
      <c r="AF50" s="155"/>
      <c r="AG50" s="155"/>
    </row>
    <row r="51">
      <c r="A51" s="147" t="s">
        <v>98</v>
      </c>
      <c r="B51" s="595"/>
      <c r="C51" s="595">
        <v>1.0</v>
      </c>
      <c r="D51" s="59"/>
      <c r="E51" s="535"/>
      <c r="F51" s="59"/>
      <c r="G51" s="515"/>
      <c r="H51" s="529"/>
      <c r="I51" s="49"/>
      <c r="J51" s="59"/>
      <c r="K51" s="493"/>
      <c r="L51" s="597"/>
      <c r="M51" s="59"/>
      <c r="N51" s="510"/>
      <c r="O51" s="529"/>
      <c r="P51" s="493">
        <v>2.0</v>
      </c>
      <c r="Q51" s="493"/>
      <c r="R51" s="59">
        <v>10.0</v>
      </c>
      <c r="S51" s="598"/>
      <c r="T51" s="59">
        <v>7.0</v>
      </c>
      <c r="U51" s="599"/>
      <c r="V51" s="530"/>
      <c r="W51" s="600"/>
      <c r="X51" s="601"/>
      <c r="Y51" s="59">
        <v>2.0</v>
      </c>
      <c r="Z51" s="59">
        <v>2.0</v>
      </c>
      <c r="AA51" s="46"/>
      <c r="AB51" s="62">
        <f t="shared" si="5"/>
        <v>24</v>
      </c>
      <c r="AC51" s="80">
        <v>1000.0</v>
      </c>
      <c r="AD51" s="68">
        <f t="shared" si="6"/>
        <v>24000</v>
      </c>
      <c r="AE51" s="17"/>
      <c r="AF51" s="155"/>
      <c r="AG51" s="155"/>
    </row>
    <row r="52">
      <c r="A52" s="197" t="s">
        <v>120</v>
      </c>
      <c r="B52" s="595">
        <v>18.0</v>
      </c>
      <c r="C52" s="59">
        <v>5.0</v>
      </c>
      <c r="D52" s="59">
        <v>13.0</v>
      </c>
      <c r="E52" s="584"/>
      <c r="F52" s="59">
        <v>3.0</v>
      </c>
      <c r="G52" s="510"/>
      <c r="H52" s="530"/>
      <c r="I52" s="493">
        <v>10.0</v>
      </c>
      <c r="J52" s="493">
        <v>12.0</v>
      </c>
      <c r="K52" s="493">
        <v>11.0</v>
      </c>
      <c r="L52" s="597"/>
      <c r="M52" s="59"/>
      <c r="N52" s="515"/>
      <c r="O52" s="529"/>
      <c r="P52" s="59">
        <v>6.0</v>
      </c>
      <c r="Q52" s="493">
        <v>2.0</v>
      </c>
      <c r="R52" s="59">
        <v>9.0</v>
      </c>
      <c r="S52" s="598"/>
      <c r="T52" s="59">
        <v>6.0</v>
      </c>
      <c r="U52" s="599"/>
      <c r="V52" s="530"/>
      <c r="W52" s="606"/>
      <c r="X52" s="601"/>
      <c r="Y52" s="59">
        <v>1.0</v>
      </c>
      <c r="Z52" s="59">
        <v>17.0</v>
      </c>
      <c r="AA52" s="46"/>
      <c r="AB52" s="62">
        <f t="shared" si="5"/>
        <v>113</v>
      </c>
      <c r="AC52" s="80">
        <v>120.0</v>
      </c>
      <c r="AD52" s="68">
        <f t="shared" si="6"/>
        <v>13560</v>
      </c>
      <c r="AE52" s="17"/>
      <c r="AF52" s="155"/>
      <c r="AG52" s="155"/>
    </row>
    <row r="53">
      <c r="A53" s="662" t="s">
        <v>374</v>
      </c>
      <c r="B53" s="663"/>
      <c r="C53" s="663"/>
      <c r="D53" s="192"/>
      <c r="E53" s="51"/>
      <c r="F53" s="515"/>
      <c r="G53" s="515"/>
      <c r="H53" s="192"/>
      <c r="I53" s="510"/>
      <c r="J53" s="515"/>
      <c r="K53" s="192"/>
      <c r="L53" s="492"/>
      <c r="M53" s="192"/>
      <c r="N53" s="51"/>
      <c r="O53" s="51"/>
      <c r="P53" s="192"/>
      <c r="Q53" s="492"/>
      <c r="R53" s="59"/>
      <c r="S53" s="192"/>
      <c r="T53" s="192"/>
      <c r="U53" s="192"/>
      <c r="V53" s="192"/>
      <c r="W53" s="192"/>
      <c r="X53" s="515"/>
      <c r="Y53" s="192"/>
      <c r="Z53" s="192"/>
      <c r="AA53" s="192"/>
      <c r="AB53" s="664">
        <f t="shared" si="5"/>
        <v>0</v>
      </c>
      <c r="AC53" s="665">
        <v>150.0</v>
      </c>
      <c r="AD53" s="666">
        <f t="shared" si="6"/>
        <v>0</v>
      </c>
      <c r="AE53" s="667"/>
      <c r="AF53" s="668"/>
      <c r="AG53" s="668"/>
    </row>
    <row r="54">
      <c r="A54" s="197" t="s">
        <v>322</v>
      </c>
      <c r="B54" s="595">
        <v>4.0</v>
      </c>
      <c r="C54" s="595">
        <v>3.0</v>
      </c>
      <c r="D54" s="59">
        <v>7.0</v>
      </c>
      <c r="E54" s="596"/>
      <c r="F54" s="59">
        <v>4.0</v>
      </c>
      <c r="G54" s="510"/>
      <c r="H54" s="529"/>
      <c r="I54" s="493">
        <v>5.0</v>
      </c>
      <c r="J54" s="493"/>
      <c r="K54" s="493">
        <v>11.0</v>
      </c>
      <c r="L54" s="597"/>
      <c r="M54" s="59">
        <v>7.0</v>
      </c>
      <c r="N54" s="510"/>
      <c r="O54" s="529"/>
      <c r="P54" s="493">
        <v>1.0</v>
      </c>
      <c r="Q54" s="493">
        <v>2.0</v>
      </c>
      <c r="R54" s="59">
        <v>1.0</v>
      </c>
      <c r="S54" s="598"/>
      <c r="T54" s="59">
        <v>35.0</v>
      </c>
      <c r="U54" s="599"/>
      <c r="V54" s="530"/>
      <c r="W54" s="600"/>
      <c r="X54" s="601"/>
      <c r="Y54" s="59">
        <v>93.0</v>
      </c>
      <c r="Z54" s="59">
        <v>5.0</v>
      </c>
      <c r="AA54" s="59">
        <v>16.0</v>
      </c>
      <c r="AB54" s="62">
        <f t="shared" si="5"/>
        <v>194</v>
      </c>
      <c r="AC54" s="80">
        <v>280.0</v>
      </c>
      <c r="AD54" s="68">
        <f t="shared" si="6"/>
        <v>54320</v>
      </c>
      <c r="AE54" s="17"/>
      <c r="AF54" s="155"/>
      <c r="AG54" s="155"/>
    </row>
    <row r="55">
      <c r="A55" s="197" t="s">
        <v>323</v>
      </c>
      <c r="B55" s="595"/>
      <c r="C55" s="595"/>
      <c r="D55" s="59"/>
      <c r="E55" s="596"/>
      <c r="F55" s="59"/>
      <c r="G55" s="510"/>
      <c r="H55" s="529"/>
      <c r="I55" s="493"/>
      <c r="J55" s="493"/>
      <c r="K55" s="493"/>
      <c r="L55" s="597"/>
      <c r="M55" s="59"/>
      <c r="N55" s="510"/>
      <c r="O55" s="529"/>
      <c r="P55" s="493"/>
      <c r="Q55" s="493"/>
      <c r="R55" s="59"/>
      <c r="S55" s="598"/>
      <c r="T55" s="59"/>
      <c r="U55" s="599"/>
      <c r="V55" s="530"/>
      <c r="W55" s="600"/>
      <c r="X55" s="601"/>
      <c r="Y55" s="59"/>
      <c r="Z55" s="46"/>
      <c r="AA55" s="46"/>
      <c r="AB55" s="62">
        <f t="shared" si="5"/>
        <v>0</v>
      </c>
      <c r="AC55" s="80">
        <v>330.0</v>
      </c>
      <c r="AD55" s="68">
        <f t="shared" si="6"/>
        <v>0</v>
      </c>
      <c r="AE55" s="17"/>
      <c r="AF55" s="155"/>
      <c r="AG55" s="155"/>
    </row>
    <row r="56">
      <c r="A56" s="147" t="s">
        <v>108</v>
      </c>
      <c r="B56" s="595"/>
      <c r="C56" s="46"/>
      <c r="D56" s="59">
        <v>1.0</v>
      </c>
      <c r="E56" s="531"/>
      <c r="F56" s="59">
        <v>2.0</v>
      </c>
      <c r="G56" s="515"/>
      <c r="H56" s="530"/>
      <c r="I56" s="493">
        <v>1.0</v>
      </c>
      <c r="J56" s="493"/>
      <c r="K56" s="493">
        <v>2.0</v>
      </c>
      <c r="L56" s="611"/>
      <c r="M56" s="46"/>
      <c r="N56" s="515"/>
      <c r="O56" s="538"/>
      <c r="P56" s="493">
        <v>2.0</v>
      </c>
      <c r="Q56" s="59">
        <v>1.0</v>
      </c>
      <c r="R56" s="59"/>
      <c r="S56" s="612"/>
      <c r="T56" s="59">
        <v>6.0</v>
      </c>
      <c r="U56" s="599"/>
      <c r="V56" s="530"/>
      <c r="W56" s="600"/>
      <c r="X56" s="601"/>
      <c r="Y56" s="59">
        <v>2.0</v>
      </c>
      <c r="Z56" s="46"/>
      <c r="AA56" s="59">
        <v>1.0</v>
      </c>
      <c r="AB56" s="62">
        <f t="shared" si="5"/>
        <v>18</v>
      </c>
      <c r="AC56" s="80">
        <v>900.0</v>
      </c>
      <c r="AD56" s="68">
        <f t="shared" si="6"/>
        <v>16200</v>
      </c>
      <c r="AE56" s="17"/>
      <c r="AF56" s="155"/>
      <c r="AG56" s="155"/>
    </row>
    <row r="57">
      <c r="A57" s="578" t="s">
        <v>329</v>
      </c>
      <c r="B57" s="595">
        <v>3.0</v>
      </c>
      <c r="C57" s="595">
        <v>11.0</v>
      </c>
      <c r="D57" s="59">
        <v>6.0</v>
      </c>
      <c r="E57" s="596"/>
      <c r="F57" s="59">
        <v>11.0</v>
      </c>
      <c r="G57" s="510"/>
      <c r="H57" s="529"/>
      <c r="I57" s="493">
        <v>4.0</v>
      </c>
      <c r="J57" s="493">
        <v>4.0</v>
      </c>
      <c r="K57" s="493">
        <v>32.0</v>
      </c>
      <c r="L57" s="597"/>
      <c r="M57" s="59">
        <v>6.0</v>
      </c>
      <c r="N57" s="510"/>
      <c r="O57" s="529"/>
      <c r="P57" s="493">
        <v>7.0</v>
      </c>
      <c r="Q57" s="493">
        <v>10.0</v>
      </c>
      <c r="R57" s="59">
        <v>6.0</v>
      </c>
      <c r="S57" s="598"/>
      <c r="T57" s="59">
        <v>22.0</v>
      </c>
      <c r="U57" s="599"/>
      <c r="V57" s="530"/>
      <c r="W57" s="600"/>
      <c r="X57" s="601"/>
      <c r="Y57" s="59">
        <v>15.0</v>
      </c>
      <c r="Z57" s="59">
        <v>14.0</v>
      </c>
      <c r="AA57" s="59">
        <v>25.0</v>
      </c>
      <c r="AB57" s="62">
        <f t="shared" si="5"/>
        <v>176</v>
      </c>
      <c r="AC57" s="80">
        <v>330.0</v>
      </c>
      <c r="AD57" s="68">
        <f t="shared" si="6"/>
        <v>58080</v>
      </c>
      <c r="AE57" s="17"/>
      <c r="AF57" s="155"/>
      <c r="AG57" s="155"/>
    </row>
    <row r="58">
      <c r="A58" s="198" t="s">
        <v>111</v>
      </c>
      <c r="B58" s="604">
        <v>1.0</v>
      </c>
      <c r="C58" s="42"/>
      <c r="D58" s="59"/>
      <c r="E58" s="531"/>
      <c r="F58" s="59"/>
      <c r="G58" s="510"/>
      <c r="H58" s="529"/>
      <c r="I58" s="49"/>
      <c r="J58" s="493"/>
      <c r="K58" s="493"/>
      <c r="L58" s="611"/>
      <c r="M58" s="59"/>
      <c r="N58" s="510"/>
      <c r="O58" s="48"/>
      <c r="P58" s="46"/>
      <c r="Q58" s="59"/>
      <c r="R58" s="59">
        <v>1.0</v>
      </c>
      <c r="S58" s="598"/>
      <c r="T58" s="59">
        <v>1.0</v>
      </c>
      <c r="U58" s="599"/>
      <c r="V58" s="530"/>
      <c r="W58" s="606"/>
      <c r="X58" s="607"/>
      <c r="Y58" s="59"/>
      <c r="Z58" s="59">
        <v>2.0</v>
      </c>
      <c r="AA58" s="46"/>
      <c r="AB58" s="62">
        <f t="shared" si="5"/>
        <v>5</v>
      </c>
      <c r="AC58" s="80">
        <v>360.0</v>
      </c>
      <c r="AD58" s="68">
        <f t="shared" si="6"/>
        <v>1800</v>
      </c>
      <c r="AE58" s="17"/>
      <c r="AF58" s="155"/>
      <c r="AG58" s="155"/>
    </row>
    <row r="59">
      <c r="A59" s="198" t="s">
        <v>113</v>
      </c>
      <c r="B59" s="618"/>
      <c r="C59" s="42"/>
      <c r="D59" s="54"/>
      <c r="E59" s="584"/>
      <c r="F59" s="54"/>
      <c r="G59" s="515"/>
      <c r="H59" s="538"/>
      <c r="I59" s="46"/>
      <c r="J59" s="54"/>
      <c r="K59" s="493">
        <v>2.0</v>
      </c>
      <c r="L59" s="491"/>
      <c r="M59" s="59">
        <v>1.0</v>
      </c>
      <c r="N59" s="492"/>
      <c r="O59" s="529"/>
      <c r="P59" s="54"/>
      <c r="Q59" s="54"/>
      <c r="R59" s="54"/>
      <c r="S59" s="612"/>
      <c r="T59" s="59">
        <v>3.0</v>
      </c>
      <c r="U59" s="605"/>
      <c r="V59" s="191"/>
      <c r="W59" s="606"/>
      <c r="X59" s="607"/>
      <c r="Y59" s="46"/>
      <c r="Z59" s="59">
        <v>1.0</v>
      </c>
      <c r="AA59" s="46"/>
      <c r="AB59" s="62">
        <f t="shared" si="5"/>
        <v>7</v>
      </c>
      <c r="AC59" s="80">
        <v>380.0</v>
      </c>
      <c r="AD59" s="68">
        <f t="shared" si="6"/>
        <v>2660</v>
      </c>
      <c r="AE59" s="17"/>
      <c r="AF59" s="155"/>
      <c r="AG59" s="155"/>
    </row>
    <row r="60">
      <c r="A60" s="189" t="s">
        <v>114</v>
      </c>
      <c r="B60" s="604">
        <v>5.0</v>
      </c>
      <c r="C60" s="59">
        <v>1.0</v>
      </c>
      <c r="D60" s="59">
        <v>2.0</v>
      </c>
      <c r="E60" s="531"/>
      <c r="F60" s="59">
        <v>4.0</v>
      </c>
      <c r="G60" s="510"/>
      <c r="H60" s="530"/>
      <c r="I60" s="493">
        <v>2.0</v>
      </c>
      <c r="J60" s="493">
        <v>2.0</v>
      </c>
      <c r="K60" s="493">
        <v>9.0</v>
      </c>
      <c r="L60" s="611"/>
      <c r="M60" s="59"/>
      <c r="N60" s="510"/>
      <c r="O60" s="529"/>
      <c r="P60" s="493">
        <v>2.0</v>
      </c>
      <c r="Q60" s="493">
        <v>4.0</v>
      </c>
      <c r="R60" s="59">
        <v>1.0</v>
      </c>
      <c r="S60" s="598"/>
      <c r="T60" s="59"/>
      <c r="U60" s="599"/>
      <c r="V60" s="530"/>
      <c r="W60" s="600"/>
      <c r="X60" s="601"/>
      <c r="Y60" s="59">
        <v>3.0</v>
      </c>
      <c r="Z60" s="59">
        <v>4.0</v>
      </c>
      <c r="AA60" s="59">
        <v>3.0</v>
      </c>
      <c r="AB60" s="62">
        <f t="shared" si="5"/>
        <v>42</v>
      </c>
      <c r="AC60" s="80">
        <v>280.0</v>
      </c>
      <c r="AD60" s="68">
        <f t="shared" si="6"/>
        <v>11760</v>
      </c>
      <c r="AE60" s="17"/>
      <c r="AF60" s="155"/>
      <c r="AG60" s="155"/>
    </row>
    <row r="61">
      <c r="A61" s="189" t="s">
        <v>115</v>
      </c>
      <c r="B61" s="669"/>
      <c r="C61" s="54"/>
      <c r="D61" s="54"/>
      <c r="E61" s="584"/>
      <c r="F61" s="54"/>
      <c r="G61" s="51"/>
      <c r="H61" s="191"/>
      <c r="I61" s="54"/>
      <c r="J61" s="54"/>
      <c r="K61" s="54"/>
      <c r="L61" s="491"/>
      <c r="M61" s="54"/>
      <c r="N61" s="192"/>
      <c r="O61" s="48"/>
      <c r="P61" s="54"/>
      <c r="Q61" s="46"/>
      <c r="R61" s="54"/>
      <c r="S61" s="670"/>
      <c r="T61" s="54"/>
      <c r="U61" s="599"/>
      <c r="V61" s="48"/>
      <c r="W61" s="671"/>
      <c r="X61" s="672"/>
      <c r="Y61" s="59"/>
      <c r="Z61" s="54"/>
      <c r="AA61" s="59">
        <v>1.0</v>
      </c>
      <c r="AB61" s="62">
        <f t="shared" si="5"/>
        <v>1</v>
      </c>
      <c r="AC61" s="80">
        <v>330.0</v>
      </c>
      <c r="AD61" s="68">
        <f t="shared" si="6"/>
        <v>330</v>
      </c>
      <c r="AE61" s="17"/>
      <c r="AF61" s="155"/>
      <c r="AG61" s="155"/>
    </row>
    <row r="62">
      <c r="A62" s="205" t="s">
        <v>119</v>
      </c>
      <c r="B62" s="673"/>
      <c r="C62" s="184"/>
      <c r="D62" s="184"/>
      <c r="E62" s="586"/>
      <c r="F62" s="184"/>
      <c r="G62" s="183"/>
      <c r="H62" s="182"/>
      <c r="I62" s="184"/>
      <c r="J62" s="184"/>
      <c r="K62" s="184"/>
      <c r="L62" s="543"/>
      <c r="M62" s="184"/>
      <c r="N62" s="183"/>
      <c r="O62" s="182"/>
      <c r="P62" s="184"/>
      <c r="Q62" s="184"/>
      <c r="R62" s="184"/>
      <c r="S62" s="674"/>
      <c r="T62" s="184"/>
      <c r="U62" s="675"/>
      <c r="V62" s="182"/>
      <c r="W62" s="676"/>
      <c r="X62" s="677"/>
      <c r="Y62" s="184"/>
      <c r="Z62" s="184"/>
      <c r="AA62" s="184"/>
      <c r="AB62" s="62">
        <f t="shared" si="5"/>
        <v>0</v>
      </c>
      <c r="AC62" s="167">
        <v>1250.0</v>
      </c>
      <c r="AD62" s="168">
        <f t="shared" si="6"/>
        <v>0</v>
      </c>
      <c r="AE62" s="17"/>
      <c r="AF62" s="155"/>
      <c r="AG62" s="155"/>
    </row>
    <row r="63">
      <c r="A63" s="169" t="s">
        <v>45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  <c r="AB63" s="128"/>
      <c r="AC63" s="129"/>
      <c r="AD63" s="174">
        <f>SUM(AD50:AD62)</f>
        <v>200110</v>
      </c>
      <c r="AE63" s="17"/>
      <c r="AF63" s="176"/>
      <c r="AG63" s="176"/>
    </row>
    <row r="64">
      <c r="A64" s="24" t="s">
        <v>127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8"/>
      <c r="AE64" s="17"/>
      <c r="AF64" s="178" t="s">
        <v>376</v>
      </c>
      <c r="AG64" s="178"/>
    </row>
    <row r="65">
      <c r="A65" s="206" t="s">
        <v>128</v>
      </c>
      <c r="B65" s="595"/>
      <c r="C65" s="595">
        <v>1.0</v>
      </c>
      <c r="D65" s="46"/>
      <c r="E65" s="584"/>
      <c r="F65" s="59">
        <v>1.0</v>
      </c>
      <c r="G65" s="51"/>
      <c r="H65" s="529"/>
      <c r="I65" s="493"/>
      <c r="J65" s="493">
        <v>1.0</v>
      </c>
      <c r="K65" s="493">
        <v>1.0</v>
      </c>
      <c r="L65" s="597"/>
      <c r="M65" s="59"/>
      <c r="N65" s="515"/>
      <c r="O65" s="530"/>
      <c r="P65" s="54"/>
      <c r="Q65" s="49"/>
      <c r="R65" s="59">
        <v>1.0</v>
      </c>
      <c r="S65" s="612"/>
      <c r="T65" s="59"/>
      <c r="U65" s="599"/>
      <c r="V65" s="530"/>
      <c r="W65" s="606"/>
      <c r="X65" s="601"/>
      <c r="Y65" s="59">
        <v>1.0</v>
      </c>
      <c r="Z65" s="59">
        <v>1.0</v>
      </c>
      <c r="AA65" s="59">
        <v>2.0</v>
      </c>
      <c r="AB65" s="62">
        <f t="shared" ref="AB65:AB68" si="7">SUM(B65:AA65)</f>
        <v>9</v>
      </c>
      <c r="AC65" s="80">
        <v>550.0</v>
      </c>
      <c r="AD65" s="68">
        <f t="shared" ref="AD65:AD68" si="8">AB65*AC65</f>
        <v>4950</v>
      </c>
      <c r="AE65" s="17"/>
      <c r="AF65" s="155"/>
      <c r="AG65" s="155"/>
    </row>
    <row r="66">
      <c r="A66" s="189" t="s">
        <v>131</v>
      </c>
      <c r="B66" s="595"/>
      <c r="C66" s="46"/>
      <c r="D66" s="46"/>
      <c r="E66" s="614"/>
      <c r="F66" s="54"/>
      <c r="G66" s="492"/>
      <c r="H66" s="48"/>
      <c r="I66" s="46"/>
      <c r="J66" s="46"/>
      <c r="K66" s="493"/>
      <c r="L66" s="491"/>
      <c r="M66" s="59"/>
      <c r="N66" s="51"/>
      <c r="O66" s="530"/>
      <c r="P66" s="54"/>
      <c r="Q66" s="59">
        <v>1.0</v>
      </c>
      <c r="R66" s="46"/>
      <c r="S66" s="612"/>
      <c r="T66" s="59">
        <v>4.0</v>
      </c>
      <c r="U66" s="605"/>
      <c r="V66" s="191"/>
      <c r="W66" s="606"/>
      <c r="X66" s="607"/>
      <c r="Y66" s="59">
        <v>5.0</v>
      </c>
      <c r="Z66" s="46"/>
      <c r="AA66" s="46"/>
      <c r="AB66" s="62">
        <f t="shared" si="7"/>
        <v>10</v>
      </c>
      <c r="AC66" s="80">
        <v>350.0</v>
      </c>
      <c r="AD66" s="68">
        <f t="shared" si="8"/>
        <v>3500</v>
      </c>
      <c r="AE66" s="17"/>
      <c r="AF66" s="155"/>
      <c r="AG66" s="155"/>
    </row>
    <row r="67">
      <c r="A67" s="197" t="s">
        <v>331</v>
      </c>
      <c r="B67" s="604"/>
      <c r="C67" s="42"/>
      <c r="D67" s="59">
        <v>2.0</v>
      </c>
      <c r="E67" s="614"/>
      <c r="F67" s="59"/>
      <c r="G67" s="51"/>
      <c r="H67" s="530"/>
      <c r="I67" s="49"/>
      <c r="J67" s="54"/>
      <c r="K67" s="59"/>
      <c r="L67" s="611"/>
      <c r="M67" s="59"/>
      <c r="N67" s="515"/>
      <c r="O67" s="530"/>
      <c r="P67" s="46"/>
      <c r="Q67" s="46"/>
      <c r="R67" s="46"/>
      <c r="S67" s="612"/>
      <c r="T67" s="59">
        <v>7.0</v>
      </c>
      <c r="U67" s="599"/>
      <c r="V67" s="530"/>
      <c r="W67" s="600"/>
      <c r="X67" s="607"/>
      <c r="Y67" s="59">
        <v>4.0</v>
      </c>
      <c r="Z67" s="59">
        <v>1.0</v>
      </c>
      <c r="AA67" s="59">
        <v>1.0</v>
      </c>
      <c r="AB67" s="62">
        <f t="shared" si="7"/>
        <v>15</v>
      </c>
      <c r="AC67" s="80">
        <v>350.0</v>
      </c>
      <c r="AD67" s="68">
        <f t="shared" si="8"/>
        <v>5250</v>
      </c>
      <c r="AE67" s="17"/>
      <c r="AF67" s="155"/>
      <c r="AG67" s="155"/>
    </row>
    <row r="68">
      <c r="A68" s="207" t="s">
        <v>134</v>
      </c>
      <c r="B68" s="679"/>
      <c r="C68" s="247">
        <v>6.0</v>
      </c>
      <c r="D68" s="247">
        <v>1.0</v>
      </c>
      <c r="E68" s="586"/>
      <c r="F68" s="247">
        <v>1.0</v>
      </c>
      <c r="G68" s="579"/>
      <c r="H68" s="182"/>
      <c r="I68" s="247">
        <v>1.0</v>
      </c>
      <c r="J68" s="247">
        <v>1.0</v>
      </c>
      <c r="K68" s="247">
        <v>3.0</v>
      </c>
      <c r="L68" s="681"/>
      <c r="M68" s="247">
        <v>1.0</v>
      </c>
      <c r="N68" s="579"/>
      <c r="O68" s="588"/>
      <c r="P68" s="247">
        <v>1.0</v>
      </c>
      <c r="Q68" s="247"/>
      <c r="R68" s="247">
        <v>4.0</v>
      </c>
      <c r="S68" s="683"/>
      <c r="T68" s="247">
        <v>3.0</v>
      </c>
      <c r="U68" s="685"/>
      <c r="V68" s="588"/>
      <c r="W68" s="686"/>
      <c r="X68" s="687"/>
      <c r="Y68" s="247">
        <v>1.0</v>
      </c>
      <c r="Z68" s="247">
        <v>2.0</v>
      </c>
      <c r="AA68" s="247">
        <v>1.0</v>
      </c>
      <c r="AB68" s="62">
        <f t="shared" si="7"/>
        <v>26</v>
      </c>
      <c r="AC68" s="167">
        <v>350.0</v>
      </c>
      <c r="AD68" s="168">
        <f t="shared" si="8"/>
        <v>9100</v>
      </c>
      <c r="AE68" s="17"/>
      <c r="AF68" s="155"/>
      <c r="AG68" s="155"/>
    </row>
    <row r="69">
      <c r="A69" s="169" t="s">
        <v>45</v>
      </c>
      <c r="B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  <c r="AB69" s="128"/>
      <c r="AC69" s="129"/>
      <c r="AD69" s="174">
        <f>SUM(AD65:AD68)</f>
        <v>22800</v>
      </c>
      <c r="AE69" s="17"/>
      <c r="AF69" s="176"/>
      <c r="AG69" s="176"/>
    </row>
    <row r="70">
      <c r="A70" s="24" t="s">
        <v>337</v>
      </c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8"/>
      <c r="AE70" s="17"/>
      <c r="AF70" s="178" t="s">
        <v>381</v>
      </c>
      <c r="AG70" s="178"/>
    </row>
    <row r="71">
      <c r="A71" s="216" t="s">
        <v>138</v>
      </c>
      <c r="B71" s="669"/>
      <c r="C71" s="46"/>
      <c r="D71" s="54"/>
      <c r="E71" s="584"/>
      <c r="F71" s="54"/>
      <c r="G71" s="51"/>
      <c r="H71" s="48"/>
      <c r="I71" s="54"/>
      <c r="J71" s="46"/>
      <c r="K71" s="46"/>
      <c r="L71" s="491"/>
      <c r="M71" s="54"/>
      <c r="N71" s="51"/>
      <c r="O71" s="48"/>
      <c r="P71" s="54"/>
      <c r="Q71" s="46"/>
      <c r="R71" s="54"/>
      <c r="S71" s="670"/>
      <c r="T71" s="54"/>
      <c r="U71" s="690"/>
      <c r="V71" s="48"/>
      <c r="W71" s="671"/>
      <c r="X71" s="672"/>
      <c r="Y71" s="54"/>
      <c r="Z71" s="54"/>
      <c r="AA71" s="54"/>
      <c r="AB71" s="62">
        <f t="shared" ref="AB71:AB73" si="9">SUM(B71:AA71)</f>
        <v>0</v>
      </c>
      <c r="AC71" s="80">
        <v>220.0</v>
      </c>
      <c r="AD71" s="80">
        <f t="shared" ref="AD71:AD73" si="10">AB71*AC71</f>
        <v>0</v>
      </c>
      <c r="AE71" s="17"/>
      <c r="AF71" s="155"/>
      <c r="AG71" s="155"/>
    </row>
    <row r="72">
      <c r="A72" s="216" t="s">
        <v>143</v>
      </c>
      <c r="B72" s="595"/>
      <c r="C72" s="46"/>
      <c r="D72" s="54"/>
      <c r="E72" s="584"/>
      <c r="F72" s="59"/>
      <c r="G72" s="51"/>
      <c r="H72" s="530"/>
      <c r="I72" s="54"/>
      <c r="J72" s="46"/>
      <c r="K72" s="59"/>
      <c r="L72" s="491"/>
      <c r="M72" s="46"/>
      <c r="N72" s="192"/>
      <c r="O72" s="48"/>
      <c r="P72" s="46"/>
      <c r="Q72" s="46"/>
      <c r="R72" s="54"/>
      <c r="S72" s="598"/>
      <c r="T72" s="59">
        <v>3.0</v>
      </c>
      <c r="U72" s="605"/>
      <c r="V72" s="191"/>
      <c r="W72" s="606"/>
      <c r="X72" s="607"/>
      <c r="Y72" s="46"/>
      <c r="Z72" s="59">
        <v>1.0</v>
      </c>
      <c r="AA72" s="46"/>
      <c r="AB72" s="62">
        <f t="shared" si="9"/>
        <v>4</v>
      </c>
      <c r="AC72" s="80">
        <v>380.0</v>
      </c>
      <c r="AD72" s="80">
        <f t="shared" si="10"/>
        <v>1520</v>
      </c>
      <c r="AE72" s="17"/>
      <c r="AF72" s="155"/>
      <c r="AG72" s="155"/>
    </row>
    <row r="73">
      <c r="A73" s="225" t="s">
        <v>333</v>
      </c>
      <c r="B73" s="691">
        <v>2.0</v>
      </c>
      <c r="C73" s="247">
        <v>1.0</v>
      </c>
      <c r="D73" s="247">
        <v>2.0</v>
      </c>
      <c r="E73" s="646"/>
      <c r="F73" s="247"/>
      <c r="G73" s="579"/>
      <c r="H73" s="588"/>
      <c r="I73" s="247">
        <v>1.0</v>
      </c>
      <c r="J73" s="247">
        <v>1.0</v>
      </c>
      <c r="K73" s="247"/>
      <c r="L73" s="681"/>
      <c r="M73" s="181"/>
      <c r="N73" s="229"/>
      <c r="O73" s="182"/>
      <c r="P73" s="247">
        <v>1.0</v>
      </c>
      <c r="Q73" s="247"/>
      <c r="R73" s="247"/>
      <c r="S73" s="683"/>
      <c r="T73" s="247">
        <v>1.0</v>
      </c>
      <c r="U73" s="685"/>
      <c r="V73" s="588"/>
      <c r="W73" s="686"/>
      <c r="X73" s="652"/>
      <c r="Y73" s="247">
        <v>1.0</v>
      </c>
      <c r="Z73" s="181"/>
      <c r="AA73" s="247">
        <v>3.0</v>
      </c>
      <c r="AB73" s="166">
        <f t="shared" si="9"/>
        <v>13</v>
      </c>
      <c r="AC73" s="167">
        <v>600.0</v>
      </c>
      <c r="AD73" s="167">
        <f t="shared" si="10"/>
        <v>7800</v>
      </c>
      <c r="AE73" s="17"/>
      <c r="AF73" s="155"/>
      <c r="AG73" s="155"/>
    </row>
    <row r="74">
      <c r="A74" s="169" t="s">
        <v>45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9"/>
      <c r="AD74" s="174">
        <f>SUM(AD71:AD73)</f>
        <v>9320</v>
      </c>
      <c r="AE74" s="17"/>
      <c r="AF74" s="176"/>
      <c r="AG74" s="176"/>
    </row>
    <row r="75">
      <c r="A75" s="24" t="s">
        <v>146</v>
      </c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8"/>
      <c r="AE75" s="17"/>
      <c r="AF75" s="178" t="s">
        <v>384</v>
      </c>
      <c r="AG75" s="178"/>
    </row>
    <row r="76">
      <c r="A76" s="223" t="s">
        <v>52</v>
      </c>
      <c r="B76" s="604"/>
      <c r="C76" s="59">
        <v>1.0</v>
      </c>
      <c r="D76" s="46"/>
      <c r="E76" s="535"/>
      <c r="F76" s="59"/>
      <c r="G76" s="515"/>
      <c r="H76" s="191"/>
      <c r="I76" s="493"/>
      <c r="J76" s="54"/>
      <c r="K76" s="59">
        <v>1.0</v>
      </c>
      <c r="L76" s="611"/>
      <c r="M76" s="46"/>
      <c r="N76" s="515"/>
      <c r="O76" s="530"/>
      <c r="P76" s="46"/>
      <c r="Q76" s="59">
        <v>1.0</v>
      </c>
      <c r="R76" s="46"/>
      <c r="S76" s="598"/>
      <c r="T76" s="46"/>
      <c r="U76" s="605"/>
      <c r="V76" s="530"/>
      <c r="W76" s="606"/>
      <c r="X76" s="607"/>
      <c r="Y76" s="46"/>
      <c r="Z76" s="46"/>
      <c r="AA76" s="59">
        <v>11.0</v>
      </c>
      <c r="AB76" s="62">
        <f t="shared" ref="AB76:AB92" si="11">SUM(B76:AA76)</f>
        <v>14</v>
      </c>
      <c r="AC76" s="80">
        <v>1200.0</v>
      </c>
      <c r="AD76" s="68">
        <f t="shared" ref="AD76:AD92" si="12">AB76*AC76</f>
        <v>16800</v>
      </c>
      <c r="AE76" s="17"/>
      <c r="AF76" s="155"/>
      <c r="AG76" s="155"/>
    </row>
    <row r="77">
      <c r="A77" s="33" t="s">
        <v>151</v>
      </c>
      <c r="B77" s="595"/>
      <c r="C77" s="42"/>
      <c r="D77" s="46"/>
      <c r="E77" s="584"/>
      <c r="F77" s="59">
        <v>1.0</v>
      </c>
      <c r="G77" s="515"/>
      <c r="H77" s="191"/>
      <c r="I77" s="59"/>
      <c r="J77" s="46"/>
      <c r="K77" s="59"/>
      <c r="L77" s="611"/>
      <c r="M77" s="59"/>
      <c r="N77" s="515"/>
      <c r="O77" s="48"/>
      <c r="P77" s="46"/>
      <c r="Q77" s="59">
        <v>1.0</v>
      </c>
      <c r="R77" s="46"/>
      <c r="S77" s="598"/>
      <c r="T77" s="46"/>
      <c r="U77" s="605"/>
      <c r="V77" s="530"/>
      <c r="W77" s="600"/>
      <c r="X77" s="607"/>
      <c r="Y77" s="59">
        <v>1.0</v>
      </c>
      <c r="Z77" s="46"/>
      <c r="AA77" s="46"/>
      <c r="AB77" s="62">
        <f t="shared" si="11"/>
        <v>3</v>
      </c>
      <c r="AC77" s="80">
        <v>1500.0</v>
      </c>
      <c r="AD77" s="68">
        <f t="shared" si="12"/>
        <v>4500</v>
      </c>
      <c r="AE77" s="17"/>
      <c r="AF77" s="155"/>
      <c r="AG77" s="155"/>
    </row>
    <row r="78">
      <c r="A78" s="226" t="s">
        <v>56</v>
      </c>
      <c r="B78" s="604"/>
      <c r="C78" s="54"/>
      <c r="D78" s="46"/>
      <c r="E78" s="584"/>
      <c r="F78" s="54"/>
      <c r="G78" s="51"/>
      <c r="H78" s="48"/>
      <c r="I78" s="59"/>
      <c r="J78" s="54"/>
      <c r="K78" s="46"/>
      <c r="L78" s="491"/>
      <c r="M78" s="54"/>
      <c r="N78" s="51"/>
      <c r="O78" s="538"/>
      <c r="P78" s="54"/>
      <c r="Q78" s="54"/>
      <c r="R78" s="59"/>
      <c r="S78" s="670"/>
      <c r="T78" s="54"/>
      <c r="U78" s="690"/>
      <c r="V78" s="48"/>
      <c r="W78" s="671"/>
      <c r="X78" s="672"/>
      <c r="Y78" s="54"/>
      <c r="Z78" s="54"/>
      <c r="AA78" s="54"/>
      <c r="AB78" s="62">
        <f t="shared" si="11"/>
        <v>0</v>
      </c>
      <c r="AC78" s="80">
        <v>1500.0</v>
      </c>
      <c r="AD78" s="68">
        <f t="shared" si="12"/>
        <v>0</v>
      </c>
      <c r="AE78" s="17"/>
      <c r="AF78" s="155"/>
      <c r="AG78" s="155"/>
    </row>
    <row r="79">
      <c r="A79" s="226" t="s">
        <v>59</v>
      </c>
      <c r="B79" s="604"/>
      <c r="C79" s="46"/>
      <c r="D79" s="59">
        <v>1.0</v>
      </c>
      <c r="E79" s="535"/>
      <c r="F79" s="59">
        <v>3.0</v>
      </c>
      <c r="G79" s="51"/>
      <c r="H79" s="191"/>
      <c r="I79" s="46"/>
      <c r="J79" s="59">
        <v>2.0</v>
      </c>
      <c r="K79" s="49"/>
      <c r="L79" s="508"/>
      <c r="M79" s="46"/>
      <c r="N79" s="192"/>
      <c r="O79" s="538"/>
      <c r="P79" s="46"/>
      <c r="Q79" s="46"/>
      <c r="R79" s="59"/>
      <c r="S79" s="598"/>
      <c r="T79" s="59">
        <v>4.0</v>
      </c>
      <c r="U79" s="599"/>
      <c r="V79" s="530"/>
      <c r="W79" s="606"/>
      <c r="X79" s="601"/>
      <c r="Y79" s="46"/>
      <c r="Z79" s="46"/>
      <c r="AA79" s="59">
        <v>8.0</v>
      </c>
      <c r="AB79" s="62">
        <f t="shared" si="11"/>
        <v>18</v>
      </c>
      <c r="AC79" s="80">
        <v>1500.0</v>
      </c>
      <c r="AD79" s="68">
        <f t="shared" si="12"/>
        <v>27000</v>
      </c>
      <c r="AE79" s="17"/>
      <c r="AF79" s="155"/>
      <c r="AG79" s="155"/>
    </row>
    <row r="80">
      <c r="A80" s="226" t="s">
        <v>62</v>
      </c>
      <c r="B80" s="604"/>
      <c r="C80" s="46"/>
      <c r="D80" s="46"/>
      <c r="E80" s="535"/>
      <c r="F80" s="54"/>
      <c r="G80" s="51"/>
      <c r="H80" s="191"/>
      <c r="I80" s="46"/>
      <c r="J80" s="54"/>
      <c r="K80" s="49"/>
      <c r="L80" s="508"/>
      <c r="M80" s="59"/>
      <c r="N80" s="192"/>
      <c r="O80" s="48"/>
      <c r="P80" s="46"/>
      <c r="Q80" s="46"/>
      <c r="R80" s="46"/>
      <c r="S80" s="612"/>
      <c r="T80" s="46"/>
      <c r="U80" s="599"/>
      <c r="V80" s="530"/>
      <c r="W80" s="606"/>
      <c r="X80" s="607"/>
      <c r="Y80" s="59">
        <v>1.0</v>
      </c>
      <c r="Z80" s="46"/>
      <c r="AA80" s="46"/>
      <c r="AB80" s="62">
        <f t="shared" si="11"/>
        <v>1</v>
      </c>
      <c r="AC80" s="80">
        <v>1500.0</v>
      </c>
      <c r="AD80" s="68">
        <f t="shared" si="12"/>
        <v>1500</v>
      </c>
      <c r="AE80" s="17"/>
      <c r="AF80" s="155"/>
      <c r="AG80" s="155"/>
    </row>
    <row r="81">
      <c r="A81" s="226" t="s">
        <v>64</v>
      </c>
      <c r="B81" s="604"/>
      <c r="C81" s="54"/>
      <c r="D81" s="54"/>
      <c r="E81" s="614"/>
      <c r="F81" s="59">
        <v>1.0</v>
      </c>
      <c r="G81" s="515"/>
      <c r="H81" s="191"/>
      <c r="I81" s="46"/>
      <c r="J81" s="59">
        <v>1.0</v>
      </c>
      <c r="K81" s="59">
        <v>1.0</v>
      </c>
      <c r="L81" s="611"/>
      <c r="M81" s="59"/>
      <c r="N81" s="515"/>
      <c r="O81" s="530"/>
      <c r="P81" s="59">
        <v>1.0</v>
      </c>
      <c r="Q81" s="493"/>
      <c r="R81" s="54"/>
      <c r="S81" s="612"/>
      <c r="T81" s="59">
        <v>2.0</v>
      </c>
      <c r="U81" s="599"/>
      <c r="V81" s="191"/>
      <c r="W81" s="600"/>
      <c r="X81" s="601"/>
      <c r="Y81" s="59">
        <v>4.0</v>
      </c>
      <c r="Z81" s="46"/>
      <c r="AA81" s="59">
        <v>7.0</v>
      </c>
      <c r="AB81" s="62">
        <f t="shared" si="11"/>
        <v>17</v>
      </c>
      <c r="AC81" s="80">
        <v>1500.0</v>
      </c>
      <c r="AD81" s="68">
        <f t="shared" si="12"/>
        <v>25500</v>
      </c>
      <c r="AE81" s="17"/>
      <c r="AF81" s="155"/>
      <c r="AG81" s="155"/>
    </row>
    <row r="82">
      <c r="A82" s="223" t="s">
        <v>54</v>
      </c>
      <c r="B82" s="618"/>
      <c r="C82" s="46"/>
      <c r="D82" s="46"/>
      <c r="E82" s="584"/>
      <c r="F82" s="54"/>
      <c r="G82" s="515"/>
      <c r="H82" s="538"/>
      <c r="I82" s="49"/>
      <c r="J82" s="49"/>
      <c r="K82" s="46"/>
      <c r="L82" s="611"/>
      <c r="M82" s="54"/>
      <c r="N82" s="51"/>
      <c r="O82" s="48"/>
      <c r="P82" s="46"/>
      <c r="Q82" s="493"/>
      <c r="R82" s="59"/>
      <c r="S82" s="612"/>
      <c r="T82" s="59"/>
      <c r="U82" s="605"/>
      <c r="V82" s="530"/>
      <c r="W82" s="606"/>
      <c r="X82" s="607"/>
      <c r="Y82" s="59"/>
      <c r="Z82" s="46"/>
      <c r="AA82" s="59">
        <v>3.0</v>
      </c>
      <c r="AB82" s="62">
        <f t="shared" si="11"/>
        <v>3</v>
      </c>
      <c r="AC82" s="80">
        <v>1500.0</v>
      </c>
      <c r="AD82" s="68">
        <f t="shared" si="12"/>
        <v>4500</v>
      </c>
      <c r="AE82" s="17"/>
      <c r="AF82" s="155"/>
      <c r="AG82" s="155"/>
    </row>
    <row r="83">
      <c r="A83" s="226" t="s">
        <v>159</v>
      </c>
      <c r="B83" s="595">
        <v>1.0</v>
      </c>
      <c r="C83" s="595">
        <v>2.0</v>
      </c>
      <c r="D83" s="59">
        <v>2.0</v>
      </c>
      <c r="E83" s="584"/>
      <c r="F83" s="59">
        <v>1.0</v>
      </c>
      <c r="G83" s="515"/>
      <c r="H83" s="530"/>
      <c r="I83" s="493">
        <v>2.0</v>
      </c>
      <c r="J83" s="493"/>
      <c r="K83" s="59">
        <v>2.0</v>
      </c>
      <c r="L83" s="597"/>
      <c r="M83" s="59"/>
      <c r="N83" s="515"/>
      <c r="O83" s="529"/>
      <c r="P83" s="49"/>
      <c r="Q83" s="59"/>
      <c r="R83" s="59"/>
      <c r="S83" s="598"/>
      <c r="T83" s="59"/>
      <c r="U83" s="599"/>
      <c r="V83" s="530"/>
      <c r="W83" s="606"/>
      <c r="X83" s="601"/>
      <c r="Y83" s="59"/>
      <c r="Z83" s="59">
        <v>2.0</v>
      </c>
      <c r="AA83" s="59">
        <v>1.0</v>
      </c>
      <c r="AB83" s="62">
        <f t="shared" si="11"/>
        <v>13</v>
      </c>
      <c r="AC83" s="80">
        <v>1500.0</v>
      </c>
      <c r="AD83" s="68">
        <f t="shared" si="12"/>
        <v>19500</v>
      </c>
      <c r="AE83" s="17"/>
      <c r="AF83" s="155"/>
      <c r="AG83" s="155"/>
    </row>
    <row r="84">
      <c r="A84" s="226" t="s">
        <v>67</v>
      </c>
      <c r="B84" s="618"/>
      <c r="C84" s="59">
        <v>1.0</v>
      </c>
      <c r="D84" s="54"/>
      <c r="E84" s="584"/>
      <c r="F84" s="54"/>
      <c r="G84" s="51"/>
      <c r="H84" s="48"/>
      <c r="I84" s="54"/>
      <c r="J84" s="49"/>
      <c r="K84" s="54"/>
      <c r="L84" s="491"/>
      <c r="M84" s="54"/>
      <c r="N84" s="51"/>
      <c r="O84" s="48"/>
      <c r="P84" s="54"/>
      <c r="Q84" s="59"/>
      <c r="R84" s="46"/>
      <c r="S84" s="670"/>
      <c r="T84" s="54"/>
      <c r="U84" s="599"/>
      <c r="V84" s="48"/>
      <c r="W84" s="671"/>
      <c r="X84" s="672"/>
      <c r="Y84" s="59">
        <v>1.0</v>
      </c>
      <c r="Z84" s="59">
        <v>1.0</v>
      </c>
      <c r="AA84" s="59">
        <v>2.0</v>
      </c>
      <c r="AB84" s="62">
        <f t="shared" si="11"/>
        <v>5</v>
      </c>
      <c r="AC84" s="80">
        <v>1500.0</v>
      </c>
      <c r="AD84" s="68">
        <f t="shared" si="12"/>
        <v>7500</v>
      </c>
      <c r="AE84" s="17"/>
      <c r="AF84" s="155"/>
      <c r="AG84" s="155"/>
    </row>
    <row r="85">
      <c r="A85" s="223" t="s">
        <v>69</v>
      </c>
      <c r="B85" s="604"/>
      <c r="C85" s="42"/>
      <c r="D85" s="59"/>
      <c r="E85" s="584"/>
      <c r="F85" s="59"/>
      <c r="G85" s="515"/>
      <c r="H85" s="530"/>
      <c r="I85" s="54"/>
      <c r="J85" s="59">
        <v>1.0</v>
      </c>
      <c r="K85" s="46"/>
      <c r="L85" s="611"/>
      <c r="M85" s="54"/>
      <c r="N85" s="51"/>
      <c r="O85" s="529"/>
      <c r="P85" s="49"/>
      <c r="Q85" s="46"/>
      <c r="R85" s="59"/>
      <c r="S85" s="598"/>
      <c r="T85" s="59"/>
      <c r="U85" s="605"/>
      <c r="V85" s="530"/>
      <c r="W85" s="606"/>
      <c r="X85" s="601"/>
      <c r="Y85" s="46"/>
      <c r="Z85" s="59">
        <v>2.0</v>
      </c>
      <c r="AA85" s="46"/>
      <c r="AB85" s="62">
        <f t="shared" si="11"/>
        <v>3</v>
      </c>
      <c r="AC85" s="80">
        <v>600.0</v>
      </c>
      <c r="AD85" s="68">
        <f t="shared" si="12"/>
        <v>1800</v>
      </c>
      <c r="AE85" s="17"/>
      <c r="AF85" s="155"/>
      <c r="AG85" s="155"/>
    </row>
    <row r="86">
      <c r="A86" s="223" t="s">
        <v>71</v>
      </c>
      <c r="B86" s="595">
        <v>1.0</v>
      </c>
      <c r="C86" s="46"/>
      <c r="D86" s="59"/>
      <c r="E86" s="596"/>
      <c r="F86" s="59"/>
      <c r="G86" s="515"/>
      <c r="H86" s="529"/>
      <c r="I86" s="493">
        <v>1.0</v>
      </c>
      <c r="J86" s="493">
        <v>7.0</v>
      </c>
      <c r="K86" s="493">
        <v>3.0</v>
      </c>
      <c r="L86" s="597"/>
      <c r="M86" s="59">
        <v>6.0</v>
      </c>
      <c r="N86" s="510"/>
      <c r="O86" s="529"/>
      <c r="P86" s="59">
        <v>1.0</v>
      </c>
      <c r="Q86" s="59"/>
      <c r="R86" s="59"/>
      <c r="S86" s="598"/>
      <c r="T86" s="59">
        <v>3.0</v>
      </c>
      <c r="U86" s="599"/>
      <c r="V86" s="530"/>
      <c r="W86" s="606"/>
      <c r="X86" s="601"/>
      <c r="Y86" s="59"/>
      <c r="Z86" s="59">
        <v>1.0</v>
      </c>
      <c r="AA86" s="59">
        <v>2.0</v>
      </c>
      <c r="AB86" s="62">
        <f t="shared" si="11"/>
        <v>25</v>
      </c>
      <c r="AC86" s="80">
        <v>500.0</v>
      </c>
      <c r="AD86" s="68">
        <f t="shared" si="12"/>
        <v>12500</v>
      </c>
      <c r="AE86" s="17"/>
      <c r="AF86" s="155"/>
      <c r="AG86" s="155"/>
    </row>
    <row r="87">
      <c r="A87" s="226" t="s">
        <v>171</v>
      </c>
      <c r="B87" s="595">
        <v>5.0</v>
      </c>
      <c r="C87" s="59">
        <v>7.0</v>
      </c>
      <c r="D87" s="59">
        <v>4.0</v>
      </c>
      <c r="E87" s="531"/>
      <c r="F87" s="59">
        <v>3.0</v>
      </c>
      <c r="G87" s="510"/>
      <c r="H87" s="530"/>
      <c r="I87" s="493">
        <v>5.0</v>
      </c>
      <c r="J87" s="493">
        <v>2.0</v>
      </c>
      <c r="K87" s="493">
        <v>6.0</v>
      </c>
      <c r="L87" s="597"/>
      <c r="M87" s="59"/>
      <c r="N87" s="515"/>
      <c r="O87" s="530"/>
      <c r="P87" s="493">
        <v>3.0</v>
      </c>
      <c r="Q87" s="493">
        <v>2.0</v>
      </c>
      <c r="R87" s="59">
        <v>1.0</v>
      </c>
      <c r="S87" s="598"/>
      <c r="T87" s="59">
        <v>13.0</v>
      </c>
      <c r="U87" s="599"/>
      <c r="V87" s="530"/>
      <c r="W87" s="600"/>
      <c r="X87" s="601"/>
      <c r="Y87" s="59">
        <v>15.0</v>
      </c>
      <c r="Z87" s="59">
        <v>3.0</v>
      </c>
      <c r="AA87" s="59">
        <v>5.0</v>
      </c>
      <c r="AB87" s="62">
        <f t="shared" si="11"/>
        <v>74</v>
      </c>
      <c r="AC87" s="80">
        <v>500.0</v>
      </c>
      <c r="AD87" s="68">
        <f t="shared" si="12"/>
        <v>37000</v>
      </c>
      <c r="AE87" s="17"/>
      <c r="AF87" s="155"/>
      <c r="AG87" s="155"/>
    </row>
    <row r="88">
      <c r="A88" s="226" t="s">
        <v>86</v>
      </c>
      <c r="B88" s="595"/>
      <c r="C88" s="46"/>
      <c r="D88" s="46"/>
      <c r="E88" s="535"/>
      <c r="F88" s="59">
        <v>1.0</v>
      </c>
      <c r="G88" s="515"/>
      <c r="H88" s="48"/>
      <c r="I88" s="493">
        <v>1.0</v>
      </c>
      <c r="J88" s="49"/>
      <c r="K88" s="46"/>
      <c r="L88" s="597"/>
      <c r="M88" s="59"/>
      <c r="N88" s="515"/>
      <c r="O88" s="48"/>
      <c r="P88" s="59"/>
      <c r="Q88" s="493"/>
      <c r="R88" s="59"/>
      <c r="S88" s="612"/>
      <c r="T88" s="46"/>
      <c r="U88" s="599"/>
      <c r="V88" s="530"/>
      <c r="W88" s="606"/>
      <c r="X88" s="601"/>
      <c r="Y88" s="59">
        <v>3.0</v>
      </c>
      <c r="Z88" s="46"/>
      <c r="AA88" s="46"/>
      <c r="AB88" s="62">
        <f t="shared" si="11"/>
        <v>5</v>
      </c>
      <c r="AC88" s="80">
        <v>500.0</v>
      </c>
      <c r="AD88" s="68">
        <f t="shared" si="12"/>
        <v>2500</v>
      </c>
      <c r="AE88" s="17"/>
      <c r="AF88" s="155"/>
      <c r="AG88" s="155"/>
    </row>
    <row r="89">
      <c r="A89" s="223" t="s">
        <v>80</v>
      </c>
      <c r="B89" s="669"/>
      <c r="C89" s="46"/>
      <c r="D89" s="54"/>
      <c r="E89" s="584"/>
      <c r="F89" s="54"/>
      <c r="G89" s="51"/>
      <c r="H89" s="191"/>
      <c r="I89" s="54"/>
      <c r="J89" s="46"/>
      <c r="K89" s="54"/>
      <c r="L89" s="491"/>
      <c r="M89" s="46"/>
      <c r="N89" s="51"/>
      <c r="O89" s="48"/>
      <c r="P89" s="54"/>
      <c r="Q89" s="54"/>
      <c r="R89" s="54"/>
      <c r="S89" s="670"/>
      <c r="T89" s="54"/>
      <c r="U89" s="690"/>
      <c r="V89" s="48"/>
      <c r="W89" s="671"/>
      <c r="X89" s="672"/>
      <c r="Y89" s="54"/>
      <c r="Z89" s="54"/>
      <c r="AA89" s="54"/>
      <c r="AB89" s="62">
        <f t="shared" si="11"/>
        <v>0</v>
      </c>
      <c r="AC89" s="80">
        <v>1500.0</v>
      </c>
      <c r="AD89" s="68">
        <f t="shared" si="12"/>
        <v>0</v>
      </c>
      <c r="AE89" s="17"/>
      <c r="AF89" s="155"/>
      <c r="AG89" s="155"/>
    </row>
    <row r="90">
      <c r="A90" s="156" t="s">
        <v>164</v>
      </c>
      <c r="B90" s="673"/>
      <c r="C90" s="228"/>
      <c r="D90" s="181"/>
      <c r="E90" s="586"/>
      <c r="F90" s="247">
        <v>1.0</v>
      </c>
      <c r="G90" s="579"/>
      <c r="H90" s="182"/>
      <c r="I90" s="246"/>
      <c r="J90" s="247"/>
      <c r="K90" s="577">
        <v>1.0</v>
      </c>
      <c r="L90" s="549"/>
      <c r="M90" s="247"/>
      <c r="N90" s="579"/>
      <c r="O90" s="645"/>
      <c r="P90" s="181"/>
      <c r="Q90" s="577">
        <v>1.0</v>
      </c>
      <c r="R90" s="181"/>
      <c r="S90" s="683"/>
      <c r="T90" s="247">
        <v>2.0</v>
      </c>
      <c r="U90" s="685"/>
      <c r="V90" s="588"/>
      <c r="W90" s="651"/>
      <c r="X90" s="652"/>
      <c r="Y90" s="247">
        <v>2.0</v>
      </c>
      <c r="Z90" s="181"/>
      <c r="AA90" s="247">
        <v>1.0</v>
      </c>
      <c r="AB90" s="62">
        <f t="shared" si="11"/>
        <v>8</v>
      </c>
      <c r="AC90" s="167">
        <v>500.0</v>
      </c>
      <c r="AD90" s="168">
        <f t="shared" si="12"/>
        <v>4000</v>
      </c>
      <c r="AE90" s="17"/>
      <c r="AF90" s="155"/>
      <c r="AG90" s="155"/>
    </row>
    <row r="91">
      <c r="A91" s="33" t="s">
        <v>326</v>
      </c>
      <c r="B91" s="604">
        <v>4.0</v>
      </c>
      <c r="C91" s="595">
        <v>3.0</v>
      </c>
      <c r="D91" s="59">
        <v>6.0</v>
      </c>
      <c r="E91" s="531"/>
      <c r="F91" s="247">
        <v>1.0</v>
      </c>
      <c r="G91" s="515"/>
      <c r="H91" s="48"/>
      <c r="I91" s="493">
        <v>4.0</v>
      </c>
      <c r="J91" s="59">
        <v>5.0</v>
      </c>
      <c r="K91" s="493">
        <v>7.0</v>
      </c>
      <c r="L91" s="611"/>
      <c r="M91" s="59">
        <v>4.0</v>
      </c>
      <c r="N91" s="51"/>
      <c r="O91" s="529"/>
      <c r="P91" s="59">
        <v>1.0</v>
      </c>
      <c r="Q91" s="493">
        <v>1.0</v>
      </c>
      <c r="R91" s="59">
        <v>1.0</v>
      </c>
      <c r="S91" s="598"/>
      <c r="T91" s="59">
        <v>20.0</v>
      </c>
      <c r="U91" s="599"/>
      <c r="V91" s="530"/>
      <c r="W91" s="600"/>
      <c r="X91" s="601"/>
      <c r="Y91" s="59">
        <v>2.0</v>
      </c>
      <c r="Z91" s="59">
        <v>3.0</v>
      </c>
      <c r="AA91" s="59">
        <v>28.0</v>
      </c>
      <c r="AB91" s="62">
        <f t="shared" si="11"/>
        <v>90</v>
      </c>
      <c r="AC91" s="80">
        <v>350.0</v>
      </c>
      <c r="AD91" s="168">
        <f t="shared" si="12"/>
        <v>31500</v>
      </c>
      <c r="AE91" s="17"/>
      <c r="AF91" s="155"/>
      <c r="AG91" s="155"/>
    </row>
    <row r="92">
      <c r="A92" s="156" t="s">
        <v>328</v>
      </c>
      <c r="B92" s="679">
        <v>1.0</v>
      </c>
      <c r="C92" s="228"/>
      <c r="D92" s="247">
        <v>1.0</v>
      </c>
      <c r="E92" s="586"/>
      <c r="F92" s="247">
        <v>3.0</v>
      </c>
      <c r="G92" s="579"/>
      <c r="H92" s="182"/>
      <c r="I92" s="577">
        <v>1.0</v>
      </c>
      <c r="J92" s="247"/>
      <c r="K92" s="577">
        <v>1.0</v>
      </c>
      <c r="L92" s="681"/>
      <c r="M92" s="181"/>
      <c r="N92" s="183"/>
      <c r="O92" s="645"/>
      <c r="P92" s="181"/>
      <c r="Q92" s="577">
        <v>1.0</v>
      </c>
      <c r="R92" s="247">
        <v>1.0</v>
      </c>
      <c r="S92" s="683"/>
      <c r="T92" s="247">
        <v>7.0</v>
      </c>
      <c r="U92" s="685"/>
      <c r="V92" s="588"/>
      <c r="W92" s="651"/>
      <c r="X92" s="652"/>
      <c r="Y92" s="247">
        <v>1.0</v>
      </c>
      <c r="Z92" s="181"/>
      <c r="AA92" s="247">
        <v>3.0</v>
      </c>
      <c r="AB92" s="62">
        <f t="shared" si="11"/>
        <v>20</v>
      </c>
      <c r="AC92" s="167">
        <v>450.0</v>
      </c>
      <c r="AD92" s="168">
        <f t="shared" si="12"/>
        <v>9000</v>
      </c>
      <c r="AE92" s="17"/>
      <c r="AF92" s="155"/>
      <c r="AG92" s="155"/>
    </row>
    <row r="93">
      <c r="A93" s="169" t="s">
        <v>45</v>
      </c>
      <c r="B93" s="128"/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  <c r="AA93" s="128"/>
      <c r="AB93" s="128"/>
      <c r="AC93" s="129"/>
      <c r="AD93" s="238">
        <f>SUM(AD76:AD92)</f>
        <v>205100</v>
      </c>
      <c r="AE93" s="17"/>
      <c r="AF93" s="239"/>
      <c r="AG93" s="239"/>
    </row>
    <row r="94">
      <c r="A94" s="24" t="s">
        <v>166</v>
      </c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8"/>
      <c r="AE94" s="17"/>
      <c r="AF94" s="178"/>
      <c r="AG94" s="178"/>
    </row>
    <row r="95">
      <c r="A95" s="156" t="s">
        <v>167</v>
      </c>
      <c r="B95" s="673"/>
      <c r="C95" s="181"/>
      <c r="D95" s="181"/>
      <c r="E95" s="586"/>
      <c r="F95" s="184"/>
      <c r="G95" s="183"/>
      <c r="H95" s="182"/>
      <c r="I95" s="246"/>
      <c r="J95" s="184"/>
      <c r="K95" s="184"/>
      <c r="L95" s="543"/>
      <c r="M95" s="184"/>
      <c r="N95" s="183"/>
      <c r="O95" s="182"/>
      <c r="P95" s="184"/>
      <c r="Q95" s="184"/>
      <c r="R95" s="184"/>
      <c r="S95" s="649"/>
      <c r="T95" s="181"/>
      <c r="U95" s="650"/>
      <c r="V95" s="245"/>
      <c r="W95" s="651"/>
      <c r="X95" s="652"/>
      <c r="Y95" s="181"/>
      <c r="Z95" s="181"/>
      <c r="AA95" s="181"/>
      <c r="AB95" s="166">
        <f>SUM(B95:AA95)</f>
        <v>0</v>
      </c>
      <c r="AC95" s="167">
        <v>350.0</v>
      </c>
      <c r="AD95" s="168">
        <f>AB95*AC95</f>
        <v>0</v>
      </c>
      <c r="AE95" s="17"/>
      <c r="AF95" s="155"/>
      <c r="AG95" s="155"/>
    </row>
    <row r="96">
      <c r="A96" s="720" t="s">
        <v>45</v>
      </c>
      <c r="B96" s="275"/>
      <c r="C96" s="275"/>
      <c r="D96" s="275"/>
      <c r="E96" s="275"/>
      <c r="F96" s="275"/>
      <c r="G96" s="275"/>
      <c r="H96" s="275"/>
      <c r="I96" s="275"/>
      <c r="J96" s="275"/>
      <c r="K96" s="275"/>
      <c r="L96" s="275"/>
      <c r="M96" s="275"/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Y96" s="275"/>
      <c r="Z96" s="275"/>
      <c r="AA96" s="275"/>
      <c r="AB96" s="275"/>
      <c r="AC96" s="276"/>
      <c r="AD96" s="723">
        <f>SUM(AD95)</f>
        <v>0</v>
      </c>
      <c r="AE96" s="17"/>
      <c r="AF96" s="239"/>
      <c r="AG96" s="239"/>
    </row>
    <row r="97">
      <c r="A97" s="620" t="s">
        <v>352</v>
      </c>
      <c r="AE97" s="17"/>
      <c r="AF97" s="239"/>
      <c r="AG97" s="239"/>
    </row>
    <row r="98">
      <c r="A98" s="216" t="s">
        <v>353</v>
      </c>
      <c r="B98" s="623"/>
      <c r="C98" s="623"/>
      <c r="D98" s="623"/>
      <c r="E98" s="628"/>
      <c r="F98" s="623"/>
      <c r="G98" s="625"/>
      <c r="H98" s="626"/>
      <c r="I98" s="623"/>
      <c r="J98" s="623"/>
      <c r="K98" s="623"/>
      <c r="L98" s="622"/>
      <c r="M98" s="623"/>
      <c r="N98" s="625"/>
      <c r="O98" s="626"/>
      <c r="P98" s="623"/>
      <c r="Q98" s="623"/>
      <c r="R98" s="623"/>
      <c r="S98" s="724"/>
      <c r="T98" s="623"/>
      <c r="U98" s="725"/>
      <c r="V98" s="626"/>
      <c r="W98" s="726"/>
      <c r="X98" s="727"/>
      <c r="Y98" s="623"/>
      <c r="Z98" s="623"/>
      <c r="AA98" s="623"/>
      <c r="AB98" s="629">
        <f t="shared" ref="AB98:AB100" si="13">SUM(B98:AA98)</f>
        <v>0</v>
      </c>
      <c r="AC98" s="630">
        <v>225.0</v>
      </c>
      <c r="AD98" s="630">
        <f t="shared" ref="AD98:AD100" si="14">AB98*AC98</f>
        <v>0</v>
      </c>
      <c r="AE98" s="17"/>
      <c r="AF98" s="239"/>
      <c r="AG98" s="239"/>
    </row>
    <row r="99">
      <c r="A99" s="216" t="s">
        <v>354</v>
      </c>
      <c r="B99" s="623"/>
      <c r="C99" s="623"/>
      <c r="D99" s="623"/>
      <c r="E99" s="628"/>
      <c r="F99" s="623"/>
      <c r="G99" s="625"/>
      <c r="H99" s="626"/>
      <c r="I99" s="623"/>
      <c r="J99" s="623"/>
      <c r="K99" s="623"/>
      <c r="L99" s="622"/>
      <c r="M99" s="623"/>
      <c r="N99" s="625"/>
      <c r="O99" s="626"/>
      <c r="P99" s="623"/>
      <c r="Q99" s="623"/>
      <c r="R99" s="623"/>
      <c r="S99" s="724"/>
      <c r="T99" s="623"/>
      <c r="U99" s="725"/>
      <c r="V99" s="626"/>
      <c r="W99" s="726"/>
      <c r="X99" s="727"/>
      <c r="Y99" s="623"/>
      <c r="Z99" s="623"/>
      <c r="AA99" s="623"/>
      <c r="AB99" s="629">
        <f t="shared" si="13"/>
        <v>0</v>
      </c>
      <c r="AC99" s="630">
        <v>45.0</v>
      </c>
      <c r="AD99" s="630">
        <f t="shared" si="14"/>
        <v>0</v>
      </c>
      <c r="AE99" s="17"/>
      <c r="AF99" s="239"/>
      <c r="AG99" s="239"/>
    </row>
    <row r="100">
      <c r="A100" s="216" t="s">
        <v>355</v>
      </c>
      <c r="B100" s="623"/>
      <c r="C100" s="623"/>
      <c r="D100" s="623"/>
      <c r="E100" s="628"/>
      <c r="F100" s="623"/>
      <c r="G100" s="625"/>
      <c r="H100" s="626"/>
      <c r="I100" s="623"/>
      <c r="J100" s="623"/>
      <c r="K100" s="623"/>
      <c r="L100" s="622"/>
      <c r="M100" s="623"/>
      <c r="N100" s="625"/>
      <c r="O100" s="626"/>
      <c r="P100" s="623"/>
      <c r="Q100" s="623"/>
      <c r="R100" s="623"/>
      <c r="S100" s="724"/>
      <c r="T100" s="623"/>
      <c r="U100" s="725"/>
      <c r="V100" s="626"/>
      <c r="W100" s="726"/>
      <c r="X100" s="727"/>
      <c r="Y100" s="623"/>
      <c r="Z100" s="623"/>
      <c r="AA100" s="623"/>
      <c r="AB100" s="629">
        <f t="shared" si="13"/>
        <v>0</v>
      </c>
      <c r="AC100" s="630">
        <v>320.0</v>
      </c>
      <c r="AD100" s="630">
        <f t="shared" si="14"/>
        <v>0</v>
      </c>
      <c r="AE100" s="17"/>
      <c r="AF100" s="239"/>
      <c r="AG100" s="239"/>
    </row>
    <row r="101">
      <c r="A101" s="720" t="s">
        <v>45</v>
      </c>
      <c r="B101" s="275"/>
      <c r="C101" s="275"/>
      <c r="D101" s="275"/>
      <c r="E101" s="275"/>
      <c r="F101" s="275"/>
      <c r="G101" s="275"/>
      <c r="H101" s="275"/>
      <c r="I101" s="275"/>
      <c r="J101" s="275"/>
      <c r="K101" s="275"/>
      <c r="L101" s="275"/>
      <c r="M101" s="275"/>
      <c r="N101" s="275"/>
      <c r="O101" s="275"/>
      <c r="P101" s="275"/>
      <c r="Q101" s="275"/>
      <c r="R101" s="275"/>
      <c r="S101" s="275"/>
      <c r="T101" s="275"/>
      <c r="U101" s="275"/>
      <c r="V101" s="275"/>
      <c r="W101" s="275"/>
      <c r="X101" s="275"/>
      <c r="Y101" s="275"/>
      <c r="Z101" s="275"/>
      <c r="AA101" s="275"/>
      <c r="AB101" s="275"/>
      <c r="AC101" s="276"/>
      <c r="AD101" s="728">
        <f>SUM(AD98:AD100)</f>
        <v>0</v>
      </c>
      <c r="AE101" s="17"/>
      <c r="AF101" s="239"/>
      <c r="AG101" s="239"/>
    </row>
    <row r="102">
      <c r="A102" s="24" t="s">
        <v>169</v>
      </c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8"/>
      <c r="AE102" s="17"/>
      <c r="AF102" s="178" t="s">
        <v>387</v>
      </c>
      <c r="AG102" s="178"/>
    </row>
    <row r="103">
      <c r="A103" s="197" t="s">
        <v>170</v>
      </c>
      <c r="B103" s="669"/>
      <c r="C103" s="59">
        <v>1.0</v>
      </c>
      <c r="D103" s="59"/>
      <c r="E103" s="531"/>
      <c r="F103" s="59">
        <v>1.0</v>
      </c>
      <c r="G103" s="51"/>
      <c r="H103" s="48"/>
      <c r="I103" s="59">
        <v>2.0</v>
      </c>
      <c r="J103" s="54"/>
      <c r="K103" s="59">
        <v>2.0</v>
      </c>
      <c r="L103" s="491"/>
      <c r="M103" s="54"/>
      <c r="N103" s="51"/>
      <c r="O103" s="530"/>
      <c r="P103" s="59">
        <v>1.0</v>
      </c>
      <c r="Q103" s="59"/>
      <c r="R103" s="59"/>
      <c r="S103" s="670"/>
      <c r="T103" s="59">
        <v>14.0</v>
      </c>
      <c r="U103" s="599"/>
      <c r="V103" s="530"/>
      <c r="W103" s="671"/>
      <c r="X103" s="672"/>
      <c r="Y103" s="59">
        <v>12.0</v>
      </c>
      <c r="Z103" s="59">
        <v>2.0</v>
      </c>
      <c r="AA103" s="59">
        <v>1.0</v>
      </c>
      <c r="AB103" s="62">
        <f t="shared" ref="AB103:AB109" si="15">SUM(B103:AA103)</f>
        <v>36</v>
      </c>
      <c r="AC103" s="242">
        <v>280.0</v>
      </c>
      <c r="AD103" s="68">
        <f t="shared" ref="AD103:AD109" si="16">AB103*AC103</f>
        <v>10080</v>
      </c>
      <c r="AE103" s="17"/>
      <c r="AF103" s="155"/>
      <c r="AG103" s="155"/>
    </row>
    <row r="104">
      <c r="A104" s="197" t="s">
        <v>173</v>
      </c>
      <c r="B104" s="669"/>
      <c r="C104" s="54"/>
      <c r="D104" s="54"/>
      <c r="E104" s="584"/>
      <c r="F104" s="54"/>
      <c r="G104" s="51"/>
      <c r="H104" s="48"/>
      <c r="I104" s="54"/>
      <c r="J104" s="54"/>
      <c r="K104" s="54"/>
      <c r="L104" s="491"/>
      <c r="M104" s="54"/>
      <c r="N104" s="51"/>
      <c r="O104" s="48"/>
      <c r="P104" s="46"/>
      <c r="Q104" s="54"/>
      <c r="R104" s="54"/>
      <c r="S104" s="670"/>
      <c r="T104" s="54"/>
      <c r="U104" s="690"/>
      <c r="V104" s="48"/>
      <c r="W104" s="671"/>
      <c r="X104" s="672"/>
      <c r="Y104" s="54"/>
      <c r="Z104" s="54"/>
      <c r="AA104" s="54"/>
      <c r="AB104" s="62">
        <f t="shared" si="15"/>
        <v>0</v>
      </c>
      <c r="AC104" s="242">
        <v>260.0</v>
      </c>
      <c r="AD104" s="68">
        <f t="shared" si="16"/>
        <v>0</v>
      </c>
      <c r="AE104" s="17"/>
      <c r="AF104" s="155"/>
      <c r="AG104" s="155"/>
    </row>
    <row r="105">
      <c r="A105" s="243" t="s">
        <v>174</v>
      </c>
      <c r="B105" s="669"/>
      <c r="C105" s="46"/>
      <c r="D105" s="54"/>
      <c r="E105" s="584"/>
      <c r="F105" s="54"/>
      <c r="G105" s="51"/>
      <c r="H105" s="48"/>
      <c r="I105" s="59">
        <v>2.0</v>
      </c>
      <c r="J105" s="59"/>
      <c r="K105" s="54"/>
      <c r="L105" s="491"/>
      <c r="M105" s="54"/>
      <c r="N105" s="51"/>
      <c r="O105" s="48"/>
      <c r="P105" s="46"/>
      <c r="Q105" s="59"/>
      <c r="R105" s="54"/>
      <c r="S105" s="612"/>
      <c r="T105" s="46"/>
      <c r="U105" s="605"/>
      <c r="V105" s="191"/>
      <c r="W105" s="606"/>
      <c r="X105" s="607"/>
      <c r="Y105" s="46"/>
      <c r="Z105" s="59">
        <v>1.0</v>
      </c>
      <c r="AA105" s="46"/>
      <c r="AB105" s="62">
        <f t="shared" si="15"/>
        <v>3</v>
      </c>
      <c r="AC105" s="242">
        <v>380.0</v>
      </c>
      <c r="AD105" s="68">
        <f t="shared" si="16"/>
        <v>1140</v>
      </c>
      <c r="AE105" s="17"/>
      <c r="AF105" s="155"/>
      <c r="AG105" s="155"/>
    </row>
    <row r="106">
      <c r="A106" s="243" t="s">
        <v>176</v>
      </c>
      <c r="B106" s="42"/>
      <c r="C106" s="54"/>
      <c r="D106" s="54"/>
      <c r="E106" s="584"/>
      <c r="F106" s="54"/>
      <c r="G106" s="492"/>
      <c r="H106" s="48"/>
      <c r="I106" s="54"/>
      <c r="J106" s="59">
        <v>1.0</v>
      </c>
      <c r="K106" s="54"/>
      <c r="L106" s="491"/>
      <c r="M106" s="54"/>
      <c r="N106" s="51"/>
      <c r="O106" s="48"/>
      <c r="P106" s="49"/>
      <c r="Q106" s="54"/>
      <c r="R106" s="54"/>
      <c r="S106" s="612"/>
      <c r="T106" s="46"/>
      <c r="U106" s="605"/>
      <c r="V106" s="530"/>
      <c r="W106" s="606"/>
      <c r="X106" s="607"/>
      <c r="Y106" s="46"/>
      <c r="Z106" s="46"/>
      <c r="AA106" s="46"/>
      <c r="AB106" s="62">
        <f t="shared" si="15"/>
        <v>1</v>
      </c>
      <c r="AC106" s="242">
        <v>420.0</v>
      </c>
      <c r="AD106" s="68">
        <f t="shared" si="16"/>
        <v>420</v>
      </c>
      <c r="AE106" s="17"/>
      <c r="AF106" s="155"/>
      <c r="AG106" s="155"/>
    </row>
    <row r="107">
      <c r="A107" s="197" t="s">
        <v>177</v>
      </c>
      <c r="B107" s="604"/>
      <c r="C107" s="54"/>
      <c r="D107" s="46"/>
      <c r="E107" s="584"/>
      <c r="F107" s="54"/>
      <c r="G107" s="510"/>
      <c r="H107" s="48"/>
      <c r="I107" s="54"/>
      <c r="J107" s="54"/>
      <c r="K107" s="54"/>
      <c r="L107" s="491"/>
      <c r="M107" s="59"/>
      <c r="N107" s="492"/>
      <c r="O107" s="530"/>
      <c r="P107" s="49"/>
      <c r="Q107" s="59">
        <v>3.0</v>
      </c>
      <c r="R107" s="59"/>
      <c r="S107" s="612"/>
      <c r="T107" s="46"/>
      <c r="U107" s="605"/>
      <c r="V107" s="191"/>
      <c r="W107" s="600"/>
      <c r="X107" s="607"/>
      <c r="Y107" s="59">
        <v>1.0</v>
      </c>
      <c r="Z107" s="46"/>
      <c r="AA107" s="46"/>
      <c r="AB107" s="62">
        <f t="shared" si="15"/>
        <v>4</v>
      </c>
      <c r="AC107" s="242">
        <v>750.0</v>
      </c>
      <c r="AD107" s="68">
        <f t="shared" si="16"/>
        <v>3000</v>
      </c>
      <c r="AE107" s="17"/>
      <c r="AF107" s="155"/>
      <c r="AG107" s="155"/>
    </row>
    <row r="108">
      <c r="A108" s="197" t="s">
        <v>179</v>
      </c>
      <c r="B108" s="604">
        <v>2.0</v>
      </c>
      <c r="C108" s="59">
        <v>6.0</v>
      </c>
      <c r="D108" s="59"/>
      <c r="E108" s="531"/>
      <c r="F108" s="59">
        <v>1.0</v>
      </c>
      <c r="G108" s="515"/>
      <c r="H108" s="530"/>
      <c r="I108" s="59">
        <v>4.0</v>
      </c>
      <c r="J108" s="59">
        <v>3.0</v>
      </c>
      <c r="K108" s="493">
        <v>5.0</v>
      </c>
      <c r="L108" s="611"/>
      <c r="M108" s="46"/>
      <c r="N108" s="51"/>
      <c r="O108" s="530"/>
      <c r="P108" s="59">
        <v>1.0</v>
      </c>
      <c r="Q108" s="59">
        <v>1.0</v>
      </c>
      <c r="R108" s="59">
        <v>2.0</v>
      </c>
      <c r="S108" s="598"/>
      <c r="T108" s="59"/>
      <c r="U108" s="599"/>
      <c r="V108" s="530"/>
      <c r="W108" s="600"/>
      <c r="X108" s="601"/>
      <c r="Y108" s="59">
        <v>3.0</v>
      </c>
      <c r="Z108" s="59">
        <v>6.0</v>
      </c>
      <c r="AA108" s="59">
        <v>3.0</v>
      </c>
      <c r="AB108" s="62">
        <f t="shared" si="15"/>
        <v>37</v>
      </c>
      <c r="AC108" s="242">
        <v>550.0</v>
      </c>
      <c r="AD108" s="68">
        <f t="shared" si="16"/>
        <v>20350</v>
      </c>
      <c r="AE108" s="17"/>
      <c r="AF108" s="155"/>
      <c r="AG108" s="155"/>
    </row>
    <row r="109">
      <c r="A109" s="243" t="s">
        <v>348</v>
      </c>
      <c r="B109" s="679"/>
      <c r="C109" s="184"/>
      <c r="D109" s="247"/>
      <c r="E109" s="586"/>
      <c r="F109" s="247">
        <v>1.0</v>
      </c>
      <c r="G109" s="579"/>
      <c r="H109" s="182"/>
      <c r="I109" s="247">
        <v>4.0</v>
      </c>
      <c r="J109" s="247">
        <v>13.0</v>
      </c>
      <c r="K109" s="246"/>
      <c r="L109" s="681"/>
      <c r="M109" s="181"/>
      <c r="N109" s="579"/>
      <c r="O109" s="588"/>
      <c r="P109" s="247">
        <v>1.0</v>
      </c>
      <c r="Q109" s="247">
        <v>4.0</v>
      </c>
      <c r="R109" s="247">
        <v>1.0</v>
      </c>
      <c r="S109" s="683"/>
      <c r="T109" s="247">
        <v>1.0</v>
      </c>
      <c r="U109" s="675"/>
      <c r="V109" s="588"/>
      <c r="W109" s="686"/>
      <c r="X109" s="677"/>
      <c r="Y109" s="247">
        <v>1.0</v>
      </c>
      <c r="Z109" s="247">
        <v>10.0</v>
      </c>
      <c r="AA109" s="247">
        <v>2.0</v>
      </c>
      <c r="AB109" s="166">
        <f t="shared" si="15"/>
        <v>38</v>
      </c>
      <c r="AC109" s="249">
        <v>220.0</v>
      </c>
      <c r="AD109" s="168">
        <f t="shared" si="16"/>
        <v>8360</v>
      </c>
      <c r="AE109" s="17"/>
      <c r="AF109" s="155"/>
      <c r="AG109" s="155"/>
    </row>
    <row r="110">
      <c r="A110" s="169" t="s">
        <v>45</v>
      </c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9"/>
      <c r="AD110" s="174">
        <f>SUM(AD103:AD109)</f>
        <v>43350</v>
      </c>
      <c r="AE110" s="17"/>
      <c r="AF110" s="176"/>
      <c r="AG110" s="176"/>
    </row>
    <row r="111">
      <c r="A111" s="24" t="s">
        <v>350</v>
      </c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8"/>
      <c r="AE111" s="17"/>
      <c r="AF111" s="178"/>
      <c r="AG111" s="178"/>
    </row>
    <row r="112">
      <c r="A112" s="197" t="s">
        <v>191</v>
      </c>
      <c r="B112" s="595">
        <v>3.0</v>
      </c>
      <c r="C112" s="595">
        <v>7.0</v>
      </c>
      <c r="D112" s="59">
        <v>13.0</v>
      </c>
      <c r="E112" s="614"/>
      <c r="F112" s="59">
        <v>6.0</v>
      </c>
      <c r="G112" s="510"/>
      <c r="H112" s="529"/>
      <c r="I112" s="493">
        <v>14.0</v>
      </c>
      <c r="J112" s="493">
        <v>1.0</v>
      </c>
      <c r="K112" s="493">
        <v>11.0</v>
      </c>
      <c r="L112" s="597">
        <v>11.0</v>
      </c>
      <c r="M112" s="59"/>
      <c r="N112" s="510"/>
      <c r="O112" s="529"/>
      <c r="P112" s="59">
        <v>47.0</v>
      </c>
      <c r="Q112" s="493">
        <v>1.0</v>
      </c>
      <c r="R112" s="59"/>
      <c r="S112" s="598"/>
      <c r="T112" s="59">
        <v>45.0</v>
      </c>
      <c r="U112" s="599"/>
      <c r="V112" s="530"/>
      <c r="W112" s="600"/>
      <c r="X112" s="601"/>
      <c r="Y112" s="59">
        <v>24.0</v>
      </c>
      <c r="Z112" s="59">
        <v>18.0</v>
      </c>
      <c r="AA112" s="59">
        <v>9.0</v>
      </c>
      <c r="AB112" s="62">
        <f t="shared" ref="AB112:AB116" si="17">SUM(B112:AA112)</f>
        <v>210</v>
      </c>
      <c r="AC112" s="80">
        <v>50.0</v>
      </c>
      <c r="AD112" s="68">
        <f t="shared" ref="AD112:AD116" si="18">AB112*AC112</f>
        <v>10500</v>
      </c>
      <c r="AE112" s="17"/>
      <c r="AF112" s="155"/>
      <c r="AG112" s="155"/>
    </row>
    <row r="113">
      <c r="A113" s="197" t="s">
        <v>183</v>
      </c>
      <c r="B113" s="604">
        <v>1.0</v>
      </c>
      <c r="C113" s="59">
        <v>2.0</v>
      </c>
      <c r="D113" s="46"/>
      <c r="E113" s="531"/>
      <c r="F113" s="54"/>
      <c r="G113" s="515"/>
      <c r="H113" s="530"/>
      <c r="I113" s="59">
        <v>2.0</v>
      </c>
      <c r="J113" s="59">
        <v>2.0</v>
      </c>
      <c r="K113" s="493">
        <v>11.0</v>
      </c>
      <c r="L113" s="597"/>
      <c r="M113" s="59"/>
      <c r="N113" s="492"/>
      <c r="O113" s="530"/>
      <c r="P113" s="46"/>
      <c r="Q113" s="493"/>
      <c r="R113" s="59">
        <v>1.0</v>
      </c>
      <c r="S113" s="612"/>
      <c r="T113" s="59">
        <v>10.0</v>
      </c>
      <c r="U113" s="599"/>
      <c r="V113" s="530"/>
      <c r="W113" s="606"/>
      <c r="X113" s="607"/>
      <c r="Y113" s="59"/>
      <c r="Z113" s="59">
        <v>2.0</v>
      </c>
      <c r="AA113" s="46"/>
      <c r="AB113" s="62">
        <f t="shared" si="17"/>
        <v>31</v>
      </c>
      <c r="AC113" s="80">
        <v>60.0</v>
      </c>
      <c r="AD113" s="68">
        <f t="shared" si="18"/>
        <v>1860</v>
      </c>
      <c r="AE113" s="17"/>
      <c r="AF113" s="155"/>
      <c r="AG113" s="155"/>
    </row>
    <row r="114">
      <c r="A114" s="197" t="s">
        <v>185</v>
      </c>
      <c r="B114" s="604"/>
      <c r="C114" s="42"/>
      <c r="D114" s="54"/>
      <c r="E114" s="531"/>
      <c r="F114" s="59"/>
      <c r="G114" s="510"/>
      <c r="H114" s="530"/>
      <c r="I114" s="493">
        <v>4.0</v>
      </c>
      <c r="J114" s="59">
        <v>3.0</v>
      </c>
      <c r="K114" s="493">
        <v>9.0</v>
      </c>
      <c r="L114" s="597"/>
      <c r="M114" s="54"/>
      <c r="N114" s="515"/>
      <c r="O114" s="530"/>
      <c r="P114" s="493">
        <v>4.0</v>
      </c>
      <c r="Q114" s="59">
        <v>2.0</v>
      </c>
      <c r="R114" s="59"/>
      <c r="S114" s="598"/>
      <c r="T114" s="59">
        <v>1.0</v>
      </c>
      <c r="U114" s="599"/>
      <c r="V114" s="530"/>
      <c r="W114" s="600"/>
      <c r="X114" s="601"/>
      <c r="Y114" s="59">
        <v>56.0</v>
      </c>
      <c r="Z114" s="54"/>
      <c r="AA114" s="54"/>
      <c r="AB114" s="62">
        <f t="shared" si="17"/>
        <v>79</v>
      </c>
      <c r="AC114" s="80">
        <v>150.0</v>
      </c>
      <c r="AD114" s="68">
        <f t="shared" si="18"/>
        <v>11850</v>
      </c>
      <c r="AE114" s="17"/>
      <c r="AF114" s="155"/>
      <c r="AG114" s="155"/>
    </row>
    <row r="115">
      <c r="A115" s="197" t="s">
        <v>186</v>
      </c>
      <c r="B115" s="604">
        <v>7.0</v>
      </c>
      <c r="C115" s="59">
        <v>1.0</v>
      </c>
      <c r="D115" s="59">
        <v>13.0</v>
      </c>
      <c r="E115" s="531"/>
      <c r="F115" s="54"/>
      <c r="G115" s="515"/>
      <c r="H115" s="48"/>
      <c r="I115" s="59">
        <v>6.0</v>
      </c>
      <c r="J115" s="59">
        <v>2.0</v>
      </c>
      <c r="K115" s="46"/>
      <c r="L115" s="508"/>
      <c r="M115" s="46"/>
      <c r="N115" s="51"/>
      <c r="O115" s="48"/>
      <c r="P115" s="59">
        <v>3.0</v>
      </c>
      <c r="Q115" s="493">
        <v>110.0</v>
      </c>
      <c r="R115" s="59"/>
      <c r="S115" s="612"/>
      <c r="T115" s="59">
        <v>4.0</v>
      </c>
      <c r="U115" s="599"/>
      <c r="V115" s="530"/>
      <c r="W115" s="606"/>
      <c r="X115" s="607"/>
      <c r="Y115" s="59">
        <v>34.0</v>
      </c>
      <c r="Z115" s="59">
        <v>1.0</v>
      </c>
      <c r="AA115" s="46"/>
      <c r="AB115" s="62">
        <f t="shared" si="17"/>
        <v>181</v>
      </c>
      <c r="AC115" s="80">
        <v>130.0</v>
      </c>
      <c r="AD115" s="68">
        <f t="shared" si="18"/>
        <v>23530</v>
      </c>
      <c r="AE115" s="17"/>
      <c r="AF115" s="155"/>
      <c r="AG115" s="155"/>
    </row>
    <row r="116">
      <c r="A116" s="243" t="s">
        <v>187</v>
      </c>
      <c r="B116" s="691">
        <v>1.0</v>
      </c>
      <c r="C116" s="691">
        <v>2.0</v>
      </c>
      <c r="D116" s="247">
        <v>5.0</v>
      </c>
      <c r="E116" s="738"/>
      <c r="F116" s="247">
        <v>16.0</v>
      </c>
      <c r="G116" s="632"/>
      <c r="H116" s="615"/>
      <c r="I116" s="181"/>
      <c r="J116" s="577">
        <v>1.0</v>
      </c>
      <c r="K116" s="577">
        <v>4.0</v>
      </c>
      <c r="L116" s="681">
        <v>4.0</v>
      </c>
      <c r="M116" s="181"/>
      <c r="N116" s="229"/>
      <c r="O116" s="588"/>
      <c r="P116" s="247">
        <v>4.0</v>
      </c>
      <c r="Q116" s="577">
        <v>2.0</v>
      </c>
      <c r="R116" s="247"/>
      <c r="S116" s="683"/>
      <c r="T116" s="247">
        <v>4.0</v>
      </c>
      <c r="U116" s="685"/>
      <c r="V116" s="588"/>
      <c r="W116" s="686"/>
      <c r="X116" s="687"/>
      <c r="Y116" s="247">
        <v>4.0</v>
      </c>
      <c r="Z116" s="247">
        <v>3.0</v>
      </c>
      <c r="AA116" s="247">
        <v>17.0</v>
      </c>
      <c r="AB116" s="62">
        <f t="shared" si="17"/>
        <v>67</v>
      </c>
      <c r="AC116" s="167">
        <v>1650.0</v>
      </c>
      <c r="AD116" s="168">
        <f t="shared" si="18"/>
        <v>110550</v>
      </c>
      <c r="AE116" s="17"/>
      <c r="AF116" s="155"/>
      <c r="AG116" s="155"/>
    </row>
    <row r="117">
      <c r="A117" s="251" t="s">
        <v>45</v>
      </c>
      <c r="B117" s="128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  <c r="AA117" s="128"/>
      <c r="AB117" s="128"/>
      <c r="AC117" s="129"/>
      <c r="AD117" s="238">
        <f>SUM(AD112:AD116)</f>
        <v>158290</v>
      </c>
      <c r="AE117" s="17"/>
      <c r="AF117" s="195"/>
      <c r="AG117" s="195"/>
    </row>
    <row r="118">
      <c r="A118" s="24" t="s">
        <v>188</v>
      </c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8"/>
      <c r="AE118" s="17"/>
      <c r="AF118" s="178" t="s">
        <v>388</v>
      </c>
      <c r="AG118" s="178"/>
    </row>
    <row r="119">
      <c r="A119" s="252" t="s">
        <v>189</v>
      </c>
      <c r="B119" s="669"/>
      <c r="C119" s="54"/>
      <c r="D119" s="54"/>
      <c r="E119" s="584"/>
      <c r="F119" s="54"/>
      <c r="G119" s="492"/>
      <c r="H119" s="48"/>
      <c r="I119" s="54"/>
      <c r="J119" s="54"/>
      <c r="K119" s="49"/>
      <c r="L119" s="491"/>
      <c r="M119" s="54"/>
      <c r="N119" s="51"/>
      <c r="O119" s="48"/>
      <c r="P119" s="54"/>
      <c r="Q119" s="54"/>
      <c r="R119" s="54"/>
      <c r="S119" s="670"/>
      <c r="T119" s="54"/>
      <c r="U119" s="690"/>
      <c r="V119" s="530"/>
      <c r="W119" s="671"/>
      <c r="X119" s="601"/>
      <c r="Y119" s="54"/>
      <c r="Z119" s="54"/>
      <c r="AA119" s="54"/>
      <c r="AB119" s="62">
        <f t="shared" ref="AB119:AB121" si="19">SUM(B119:AA119)</f>
        <v>0</v>
      </c>
      <c r="AC119" s="80">
        <v>1036.0</v>
      </c>
      <c r="AD119" s="68">
        <f t="shared" ref="AD119:AD121" si="20">AB119*AC119</f>
        <v>0</v>
      </c>
      <c r="AE119" s="17"/>
      <c r="AF119" s="155"/>
      <c r="AG119" s="155"/>
    </row>
    <row r="120">
      <c r="A120" s="33" t="s">
        <v>25</v>
      </c>
      <c r="B120" s="669"/>
      <c r="C120" s="54"/>
      <c r="D120" s="46"/>
      <c r="E120" s="584"/>
      <c r="F120" s="54"/>
      <c r="G120" s="51"/>
      <c r="H120" s="48"/>
      <c r="I120" s="54"/>
      <c r="J120" s="54"/>
      <c r="K120" s="54"/>
      <c r="L120" s="491"/>
      <c r="M120" s="54"/>
      <c r="N120" s="51"/>
      <c r="O120" s="48"/>
      <c r="P120" s="54"/>
      <c r="Q120" s="54"/>
      <c r="R120" s="54"/>
      <c r="S120" s="670"/>
      <c r="T120" s="54"/>
      <c r="U120" s="690"/>
      <c r="V120" s="530"/>
      <c r="W120" s="671"/>
      <c r="X120" s="672"/>
      <c r="Y120" s="54"/>
      <c r="Z120" s="54"/>
      <c r="AA120" s="54"/>
      <c r="AB120" s="62">
        <f t="shared" si="19"/>
        <v>0</v>
      </c>
      <c r="AC120" s="80">
        <v>840.0</v>
      </c>
      <c r="AD120" s="68">
        <f t="shared" si="20"/>
        <v>0</v>
      </c>
      <c r="AE120" s="17"/>
      <c r="AF120" s="155"/>
      <c r="AG120" s="155"/>
    </row>
    <row r="121">
      <c r="A121" s="253" t="s">
        <v>17</v>
      </c>
      <c r="B121" s="691"/>
      <c r="C121" s="228"/>
      <c r="D121" s="181"/>
      <c r="E121" s="741"/>
      <c r="F121" s="247"/>
      <c r="G121" s="579"/>
      <c r="H121" s="615"/>
      <c r="I121" s="246"/>
      <c r="J121" s="247">
        <v>1.0</v>
      </c>
      <c r="K121" s="577"/>
      <c r="L121" s="549"/>
      <c r="M121" s="247"/>
      <c r="N121" s="183"/>
      <c r="O121" s="588"/>
      <c r="P121" s="246"/>
      <c r="Q121" s="247">
        <v>1.0</v>
      </c>
      <c r="R121" s="247"/>
      <c r="S121" s="683"/>
      <c r="T121" s="247"/>
      <c r="U121" s="685"/>
      <c r="V121" s="588"/>
      <c r="W121" s="686"/>
      <c r="X121" s="687"/>
      <c r="Y121" s="247">
        <v>2.0</v>
      </c>
      <c r="Z121" s="181"/>
      <c r="AA121" s="247">
        <v>1.0</v>
      </c>
      <c r="AB121" s="62">
        <f t="shared" si="19"/>
        <v>5</v>
      </c>
      <c r="AC121" s="167">
        <v>1125.0</v>
      </c>
      <c r="AD121" s="168">
        <f t="shared" si="20"/>
        <v>5625</v>
      </c>
      <c r="AE121" s="17"/>
      <c r="AF121" s="155"/>
      <c r="AG121" s="155"/>
    </row>
    <row r="122">
      <c r="A122" s="254" t="s">
        <v>45</v>
      </c>
      <c r="B122" s="128"/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  <c r="AA122" s="128"/>
      <c r="AB122" s="128"/>
      <c r="AC122" s="129"/>
      <c r="AD122" s="174">
        <f>SUM(AD119:AD121)</f>
        <v>5625</v>
      </c>
      <c r="AE122" s="17"/>
      <c r="AF122" s="255"/>
      <c r="AG122" s="255"/>
    </row>
    <row r="123">
      <c r="A123" s="256" t="s">
        <v>192</v>
      </c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8"/>
      <c r="AE123" s="17"/>
      <c r="AF123" s="257" t="s">
        <v>389</v>
      </c>
      <c r="AG123" s="257"/>
    </row>
    <row r="124">
      <c r="A124" s="258" t="s">
        <v>193</v>
      </c>
      <c r="B124" s="604"/>
      <c r="C124" s="46"/>
      <c r="D124" s="59">
        <v>1.0</v>
      </c>
      <c r="E124" s="531"/>
      <c r="F124" s="59">
        <v>1.0</v>
      </c>
      <c r="G124" s="510"/>
      <c r="H124" s="530"/>
      <c r="I124" s="59">
        <v>16.0</v>
      </c>
      <c r="J124" s="46"/>
      <c r="K124" s="59">
        <v>1.0</v>
      </c>
      <c r="L124" s="508"/>
      <c r="M124" s="59"/>
      <c r="N124" s="492"/>
      <c r="O124" s="48"/>
      <c r="P124" s="493">
        <v>1.0</v>
      </c>
      <c r="Q124" s="493">
        <v>1.0</v>
      </c>
      <c r="R124" s="46"/>
      <c r="S124" s="598"/>
      <c r="T124" s="46"/>
      <c r="U124" s="599"/>
      <c r="V124" s="530"/>
      <c r="W124" s="600"/>
      <c r="X124" s="601"/>
      <c r="Y124" s="59"/>
      <c r="Z124" s="46"/>
      <c r="AA124" s="59">
        <v>1.0</v>
      </c>
      <c r="AB124" s="62">
        <f t="shared" ref="AB124:AB134" si="21">SUM(B124:AA124)</f>
        <v>22</v>
      </c>
      <c r="AC124" s="80">
        <v>130.0</v>
      </c>
      <c r="AD124" s="68">
        <f t="shared" ref="AD124:AD134" si="22">AB124*AC124</f>
        <v>2860</v>
      </c>
      <c r="AE124" s="17"/>
      <c r="AF124" s="155"/>
      <c r="AG124" s="155"/>
    </row>
    <row r="125">
      <c r="A125" s="258" t="s">
        <v>196</v>
      </c>
      <c r="B125" s="669"/>
      <c r="C125" s="46"/>
      <c r="D125" s="54"/>
      <c r="E125" s="531"/>
      <c r="F125" s="54"/>
      <c r="G125" s="515"/>
      <c r="H125" s="529"/>
      <c r="I125" s="493">
        <v>2.0</v>
      </c>
      <c r="J125" s="46"/>
      <c r="K125" s="49"/>
      <c r="L125" s="619"/>
      <c r="M125" s="54"/>
      <c r="N125" s="51"/>
      <c r="O125" s="538"/>
      <c r="P125" s="59">
        <v>1.0</v>
      </c>
      <c r="Q125" s="59"/>
      <c r="R125" s="59">
        <v>2.0</v>
      </c>
      <c r="S125" s="598"/>
      <c r="T125" s="59"/>
      <c r="U125" s="599"/>
      <c r="V125" s="191"/>
      <c r="W125" s="606"/>
      <c r="X125" s="607"/>
      <c r="Y125" s="59"/>
      <c r="Z125" s="46"/>
      <c r="AA125" s="59">
        <v>1.0</v>
      </c>
      <c r="AB125" s="62">
        <f t="shared" si="21"/>
        <v>6</v>
      </c>
      <c r="AC125" s="80">
        <v>130.0</v>
      </c>
      <c r="AD125" s="68">
        <f t="shared" si="22"/>
        <v>780</v>
      </c>
      <c r="AE125" s="17"/>
      <c r="AF125" s="155"/>
      <c r="AG125" s="155"/>
    </row>
    <row r="126">
      <c r="A126" s="267" t="s">
        <v>360</v>
      </c>
      <c r="B126" s="595"/>
      <c r="C126" s="42"/>
      <c r="D126" s="46"/>
      <c r="E126" s="535"/>
      <c r="F126" s="54"/>
      <c r="G126" s="510"/>
      <c r="H126" s="191"/>
      <c r="I126" s="493"/>
      <c r="J126" s="59"/>
      <c r="K126" s="493"/>
      <c r="L126" s="619"/>
      <c r="M126" s="59"/>
      <c r="N126" s="515"/>
      <c r="O126" s="530"/>
      <c r="P126" s="46"/>
      <c r="Q126" s="493"/>
      <c r="R126" s="59">
        <v>3.0</v>
      </c>
      <c r="S126" s="612"/>
      <c r="T126" s="59">
        <v>6.0</v>
      </c>
      <c r="U126" s="599"/>
      <c r="V126" s="530"/>
      <c r="W126" s="600"/>
      <c r="X126" s="601"/>
      <c r="Y126" s="59">
        <v>5.0</v>
      </c>
      <c r="Z126" s="46"/>
      <c r="AA126" s="59">
        <v>39.0</v>
      </c>
      <c r="AB126" s="62">
        <f t="shared" si="21"/>
        <v>53</v>
      </c>
      <c r="AC126" s="80">
        <v>90.0</v>
      </c>
      <c r="AD126" s="68">
        <f t="shared" si="22"/>
        <v>4770</v>
      </c>
      <c r="AE126" s="17"/>
      <c r="AF126" s="155"/>
      <c r="AG126" s="155"/>
    </row>
    <row r="127">
      <c r="A127" s="147" t="s">
        <v>199</v>
      </c>
      <c r="B127" s="669"/>
      <c r="C127" s="54"/>
      <c r="D127" s="54"/>
      <c r="E127" s="584"/>
      <c r="F127" s="54"/>
      <c r="G127" s="51"/>
      <c r="H127" s="48"/>
      <c r="I127" s="54"/>
      <c r="J127" s="54"/>
      <c r="K127" s="54"/>
      <c r="L127" s="491"/>
      <c r="M127" s="54"/>
      <c r="N127" s="51"/>
      <c r="O127" s="48"/>
      <c r="P127" s="54"/>
      <c r="Q127" s="54"/>
      <c r="R127" s="54"/>
      <c r="S127" s="670"/>
      <c r="T127" s="54"/>
      <c r="U127" s="690"/>
      <c r="V127" s="48"/>
      <c r="W127" s="671"/>
      <c r="X127" s="672"/>
      <c r="Y127" s="54"/>
      <c r="Z127" s="54"/>
      <c r="AA127" s="54"/>
      <c r="AB127" s="62">
        <f t="shared" si="21"/>
        <v>0</v>
      </c>
      <c r="AC127" s="80">
        <v>90.0</v>
      </c>
      <c r="AD127" s="68">
        <f t="shared" si="22"/>
        <v>0</v>
      </c>
      <c r="AE127" s="17"/>
      <c r="AF127" s="155"/>
      <c r="AG127" s="155"/>
    </row>
    <row r="128">
      <c r="A128" s="258" t="s">
        <v>201</v>
      </c>
      <c r="B128" s="604">
        <v>1.0</v>
      </c>
      <c r="C128" s="59">
        <v>4.0</v>
      </c>
      <c r="D128" s="59">
        <v>1.0</v>
      </c>
      <c r="E128" s="584"/>
      <c r="F128" s="59">
        <v>7.0</v>
      </c>
      <c r="G128" s="510"/>
      <c r="H128" s="530"/>
      <c r="I128" s="493">
        <v>1.0</v>
      </c>
      <c r="J128" s="493">
        <v>1.0</v>
      </c>
      <c r="K128" s="493">
        <v>2.0</v>
      </c>
      <c r="L128" s="597">
        <v>1.0</v>
      </c>
      <c r="M128" s="59"/>
      <c r="N128" s="510"/>
      <c r="O128" s="529"/>
      <c r="P128" s="59"/>
      <c r="Q128" s="493">
        <v>2.0</v>
      </c>
      <c r="R128" s="59">
        <v>2.0</v>
      </c>
      <c r="S128" s="612"/>
      <c r="T128" s="59">
        <v>11.0</v>
      </c>
      <c r="U128" s="599"/>
      <c r="V128" s="530"/>
      <c r="W128" s="600"/>
      <c r="X128" s="601"/>
      <c r="Y128" s="59">
        <v>2.0</v>
      </c>
      <c r="Z128" s="59">
        <v>3.0</v>
      </c>
      <c r="AA128" s="46"/>
      <c r="AB128" s="62">
        <f t="shared" si="21"/>
        <v>38</v>
      </c>
      <c r="AC128" s="80">
        <v>200.0</v>
      </c>
      <c r="AD128" s="68">
        <f t="shared" si="22"/>
        <v>7600</v>
      </c>
      <c r="AE128" s="17"/>
      <c r="AF128" s="155"/>
      <c r="AG128" s="155"/>
    </row>
    <row r="129">
      <c r="A129" s="258" t="s">
        <v>203</v>
      </c>
      <c r="B129" s="669"/>
      <c r="C129" s="54"/>
      <c r="D129" s="54"/>
      <c r="E129" s="584"/>
      <c r="F129" s="54"/>
      <c r="G129" s="51"/>
      <c r="H129" s="48"/>
      <c r="I129" s="54"/>
      <c r="J129" s="54"/>
      <c r="K129" s="54"/>
      <c r="L129" s="491"/>
      <c r="M129" s="54"/>
      <c r="N129" s="51"/>
      <c r="O129" s="48"/>
      <c r="P129" s="54"/>
      <c r="Q129" s="54"/>
      <c r="R129" s="54"/>
      <c r="S129" s="612"/>
      <c r="T129" s="46"/>
      <c r="U129" s="605"/>
      <c r="V129" s="191"/>
      <c r="W129" s="606"/>
      <c r="X129" s="607"/>
      <c r="Y129" s="46"/>
      <c r="Z129" s="46"/>
      <c r="AA129" s="46"/>
      <c r="AB129" s="62">
        <f t="shared" si="21"/>
        <v>0</v>
      </c>
      <c r="AC129" s="80">
        <v>200.0</v>
      </c>
      <c r="AD129" s="68">
        <f t="shared" si="22"/>
        <v>0</v>
      </c>
      <c r="AE129" s="17"/>
      <c r="AF129" s="155"/>
      <c r="AG129" s="155"/>
    </row>
    <row r="130">
      <c r="A130" s="258" t="s">
        <v>204</v>
      </c>
      <c r="B130" s="669"/>
      <c r="C130" s="54"/>
      <c r="D130" s="54"/>
      <c r="E130" s="584"/>
      <c r="F130" s="54"/>
      <c r="G130" s="51"/>
      <c r="H130" s="48"/>
      <c r="I130" s="54"/>
      <c r="J130" s="54"/>
      <c r="K130" s="54"/>
      <c r="L130" s="491"/>
      <c r="M130" s="54"/>
      <c r="N130" s="51"/>
      <c r="O130" s="48"/>
      <c r="P130" s="54"/>
      <c r="Q130" s="54"/>
      <c r="R130" s="54"/>
      <c r="S130" s="670"/>
      <c r="T130" s="54"/>
      <c r="U130" s="690"/>
      <c r="V130" s="48"/>
      <c r="W130" s="671"/>
      <c r="X130" s="672"/>
      <c r="Y130" s="54"/>
      <c r="Z130" s="54"/>
      <c r="AA130" s="54"/>
      <c r="AB130" s="62">
        <f t="shared" si="21"/>
        <v>0</v>
      </c>
      <c r="AC130" s="80">
        <v>600.0</v>
      </c>
      <c r="AD130" s="68">
        <f t="shared" si="22"/>
        <v>0</v>
      </c>
      <c r="AE130" s="17"/>
      <c r="AF130" s="155"/>
      <c r="AG130" s="155"/>
    </row>
    <row r="131">
      <c r="A131" s="258" t="s">
        <v>205</v>
      </c>
      <c r="B131" s="595">
        <v>1.0</v>
      </c>
      <c r="C131" s="42"/>
      <c r="D131" s="46"/>
      <c r="E131" s="531"/>
      <c r="F131" s="59">
        <v>2.0</v>
      </c>
      <c r="G131" s="510"/>
      <c r="H131" s="530"/>
      <c r="I131" s="59">
        <v>1.0</v>
      </c>
      <c r="J131" s="59"/>
      <c r="K131" s="493">
        <v>4.0</v>
      </c>
      <c r="L131" s="597"/>
      <c r="M131" s="59"/>
      <c r="N131" s="510"/>
      <c r="O131" s="530"/>
      <c r="P131" s="493"/>
      <c r="Q131" s="46"/>
      <c r="R131" s="59"/>
      <c r="S131" s="612"/>
      <c r="T131" s="59">
        <v>1.0</v>
      </c>
      <c r="U131" s="599"/>
      <c r="V131" s="191"/>
      <c r="W131" s="600"/>
      <c r="X131" s="607"/>
      <c r="Y131" s="59">
        <v>2.0</v>
      </c>
      <c r="Z131" s="46"/>
      <c r="AA131" s="59">
        <v>10.0</v>
      </c>
      <c r="AB131" s="62">
        <f t="shared" si="21"/>
        <v>21</v>
      </c>
      <c r="AC131" s="80">
        <v>600.0</v>
      </c>
      <c r="AD131" s="68">
        <f t="shared" si="22"/>
        <v>12600</v>
      </c>
      <c r="AE131" s="17"/>
      <c r="AF131" s="155"/>
      <c r="AG131" s="155"/>
    </row>
    <row r="132">
      <c r="A132" s="267" t="s">
        <v>225</v>
      </c>
      <c r="B132" s="604">
        <v>2.0</v>
      </c>
      <c r="C132" s="59">
        <v>1.0</v>
      </c>
      <c r="D132" s="59"/>
      <c r="E132" s="531"/>
      <c r="F132" s="59">
        <v>2.0</v>
      </c>
      <c r="G132" s="515"/>
      <c r="H132" s="530"/>
      <c r="I132" s="59">
        <v>1.0</v>
      </c>
      <c r="J132" s="59">
        <v>2.0</v>
      </c>
      <c r="K132" s="59">
        <v>2.0</v>
      </c>
      <c r="L132" s="611">
        <v>4.0</v>
      </c>
      <c r="M132" s="59"/>
      <c r="N132" s="510"/>
      <c r="O132" s="529"/>
      <c r="P132" s="493">
        <v>3.0</v>
      </c>
      <c r="Q132" s="493">
        <v>1.0</v>
      </c>
      <c r="R132" s="59"/>
      <c r="S132" s="598"/>
      <c r="T132" s="59">
        <v>16.0</v>
      </c>
      <c r="U132" s="599"/>
      <c r="V132" s="530"/>
      <c r="W132" s="600"/>
      <c r="X132" s="601"/>
      <c r="Y132" s="59">
        <v>1.0</v>
      </c>
      <c r="Z132" s="59">
        <v>1.0</v>
      </c>
      <c r="AA132" s="59">
        <v>5.0</v>
      </c>
      <c r="AB132" s="62">
        <f t="shared" si="21"/>
        <v>41</v>
      </c>
      <c r="AC132" s="80">
        <v>500.0</v>
      </c>
      <c r="AD132" s="68">
        <f t="shared" si="22"/>
        <v>20500</v>
      </c>
      <c r="AE132" s="17"/>
      <c r="AF132" s="155"/>
      <c r="AG132" s="155"/>
    </row>
    <row r="133">
      <c r="A133" s="267" t="s">
        <v>206</v>
      </c>
      <c r="B133" s="604"/>
      <c r="C133" s="54"/>
      <c r="D133" s="59">
        <v>1.0</v>
      </c>
      <c r="E133" s="584"/>
      <c r="F133" s="54"/>
      <c r="G133" s="51"/>
      <c r="H133" s="530"/>
      <c r="I133" s="54"/>
      <c r="J133" s="54"/>
      <c r="K133" s="54"/>
      <c r="L133" s="491"/>
      <c r="M133" s="54"/>
      <c r="N133" s="51"/>
      <c r="O133" s="48"/>
      <c r="P133" s="54"/>
      <c r="Q133" s="54"/>
      <c r="R133" s="54"/>
      <c r="S133" s="670"/>
      <c r="T133" s="59">
        <v>1.0</v>
      </c>
      <c r="U133" s="690"/>
      <c r="V133" s="48"/>
      <c r="W133" s="671"/>
      <c r="X133" s="672"/>
      <c r="Y133" s="54"/>
      <c r="Z133" s="54"/>
      <c r="AA133" s="54"/>
      <c r="AB133" s="62">
        <f t="shared" si="21"/>
        <v>2</v>
      </c>
      <c r="AC133" s="80">
        <v>1300.0</v>
      </c>
      <c r="AD133" s="68">
        <f t="shared" si="22"/>
        <v>2600</v>
      </c>
      <c r="AE133" s="17"/>
      <c r="AF133" s="155"/>
      <c r="AG133" s="155"/>
    </row>
    <row r="134">
      <c r="A134" s="259" t="s">
        <v>229</v>
      </c>
      <c r="B134" s="228"/>
      <c r="C134" s="184"/>
      <c r="D134" s="247">
        <v>1.0</v>
      </c>
      <c r="E134" s="646"/>
      <c r="F134" s="247">
        <v>3.0</v>
      </c>
      <c r="G134" s="579"/>
      <c r="H134" s="245"/>
      <c r="I134" s="247">
        <v>1.0</v>
      </c>
      <c r="J134" s="247"/>
      <c r="K134" s="184"/>
      <c r="L134" s="752"/>
      <c r="M134" s="184"/>
      <c r="N134" s="183"/>
      <c r="O134" s="182"/>
      <c r="P134" s="247">
        <v>1.0</v>
      </c>
      <c r="Q134" s="184"/>
      <c r="R134" s="184"/>
      <c r="S134" s="674"/>
      <c r="T134" s="247">
        <v>1.0</v>
      </c>
      <c r="U134" s="685"/>
      <c r="V134" s="588"/>
      <c r="W134" s="676"/>
      <c r="X134" s="677"/>
      <c r="Y134" s="184"/>
      <c r="Z134" s="184"/>
      <c r="AA134" s="184"/>
      <c r="AB134" s="62">
        <f t="shared" si="21"/>
        <v>7</v>
      </c>
      <c r="AC134" s="167">
        <v>650.0</v>
      </c>
      <c r="AD134" s="168">
        <f t="shared" si="22"/>
        <v>4550</v>
      </c>
      <c r="AE134" s="17"/>
      <c r="AF134" s="155"/>
      <c r="AG134" s="155"/>
    </row>
    <row r="135">
      <c r="A135" s="254" t="s">
        <v>45</v>
      </c>
      <c r="B135" s="128"/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9"/>
      <c r="AD135" s="260">
        <f>SUM(AD124:AD134)</f>
        <v>56260</v>
      </c>
      <c r="AE135" s="17"/>
      <c r="AF135" s="261"/>
      <c r="AG135" s="261"/>
    </row>
    <row r="136">
      <c r="A136" s="262" t="s">
        <v>208</v>
      </c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8"/>
      <c r="AE136" s="17"/>
      <c r="AF136" s="257" t="s">
        <v>390</v>
      </c>
      <c r="AG136" s="257"/>
    </row>
    <row r="137">
      <c r="A137" s="142" t="s">
        <v>210</v>
      </c>
      <c r="B137" s="604">
        <v>2.0</v>
      </c>
      <c r="C137" s="54"/>
      <c r="D137" s="54"/>
      <c r="E137" s="584"/>
      <c r="F137" s="59">
        <v>1.0</v>
      </c>
      <c r="G137" s="51"/>
      <c r="H137" s="530"/>
      <c r="I137" s="49"/>
      <c r="J137" s="54"/>
      <c r="K137" s="54"/>
      <c r="L137" s="619"/>
      <c r="M137" s="59"/>
      <c r="N137" s="51"/>
      <c r="O137" s="48"/>
      <c r="P137" s="54"/>
      <c r="Q137" s="54"/>
      <c r="R137" s="59"/>
      <c r="S137" s="670"/>
      <c r="T137" s="59"/>
      <c r="U137" s="599"/>
      <c r="V137" s="48"/>
      <c r="W137" s="671"/>
      <c r="X137" s="672"/>
      <c r="Y137" s="59"/>
      <c r="Z137" s="54"/>
      <c r="AA137" s="54"/>
      <c r="AB137" s="62">
        <f t="shared" ref="AB137:AB144" si="23">SUM(B137:AA137)</f>
        <v>3</v>
      </c>
      <c r="AC137" s="80">
        <v>700.0</v>
      </c>
      <c r="AD137" s="68">
        <f t="shared" ref="AD137:AD144" si="24">AB137*AC137</f>
        <v>2100</v>
      </c>
      <c r="AE137" s="17"/>
      <c r="AF137" s="155"/>
      <c r="AG137" s="155"/>
    </row>
    <row r="138">
      <c r="A138" s="142" t="s">
        <v>213</v>
      </c>
      <c r="B138" s="669"/>
      <c r="C138" s="42"/>
      <c r="D138" s="54"/>
      <c r="E138" s="584"/>
      <c r="F138" s="54"/>
      <c r="G138" s="51"/>
      <c r="H138" s="48"/>
      <c r="I138" s="54"/>
      <c r="J138" s="59"/>
      <c r="K138" s="54"/>
      <c r="L138" s="491"/>
      <c r="M138" s="59"/>
      <c r="N138" s="51"/>
      <c r="O138" s="48"/>
      <c r="P138" s="46"/>
      <c r="Q138" s="54"/>
      <c r="R138" s="54"/>
      <c r="S138" s="598"/>
      <c r="T138" s="54"/>
      <c r="U138" s="690"/>
      <c r="V138" s="48"/>
      <c r="W138" s="671"/>
      <c r="X138" s="672"/>
      <c r="Y138" s="54"/>
      <c r="Z138" s="54"/>
      <c r="AA138" s="54"/>
      <c r="AB138" s="62">
        <f t="shared" si="23"/>
        <v>0</v>
      </c>
      <c r="AC138" s="80">
        <v>1450.0</v>
      </c>
      <c r="AD138" s="68">
        <f t="shared" si="24"/>
        <v>0</v>
      </c>
      <c r="AE138" s="17"/>
      <c r="AF138" s="155"/>
      <c r="AG138" s="155"/>
    </row>
    <row r="139">
      <c r="A139" s="142" t="s">
        <v>215</v>
      </c>
      <c r="B139" s="604">
        <v>2.0</v>
      </c>
      <c r="C139" s="54"/>
      <c r="D139" s="54"/>
      <c r="E139" s="584"/>
      <c r="F139" s="54"/>
      <c r="G139" s="492"/>
      <c r="H139" s="48"/>
      <c r="I139" s="54"/>
      <c r="J139" s="54"/>
      <c r="K139" s="54"/>
      <c r="L139" s="508"/>
      <c r="M139" s="54"/>
      <c r="N139" s="192"/>
      <c r="O139" s="48"/>
      <c r="P139" s="54"/>
      <c r="Q139" s="54"/>
      <c r="R139" s="46"/>
      <c r="S139" s="598"/>
      <c r="T139" s="46"/>
      <c r="U139" s="599"/>
      <c r="V139" s="191"/>
      <c r="W139" s="606"/>
      <c r="X139" s="607"/>
      <c r="Y139" s="46"/>
      <c r="Z139" s="46"/>
      <c r="AA139" s="59">
        <v>2.0</v>
      </c>
      <c r="AB139" s="62">
        <f t="shared" si="23"/>
        <v>4</v>
      </c>
      <c r="AC139" s="80">
        <v>800.0</v>
      </c>
      <c r="AD139" s="68">
        <f t="shared" si="24"/>
        <v>3200</v>
      </c>
      <c r="AE139" s="17"/>
      <c r="AF139" s="155"/>
      <c r="AG139" s="155"/>
    </row>
    <row r="140">
      <c r="A140" s="142" t="s">
        <v>217</v>
      </c>
      <c r="B140" s="604"/>
      <c r="C140" s="54"/>
      <c r="D140" s="59">
        <v>1.0</v>
      </c>
      <c r="E140" s="535"/>
      <c r="F140" s="54"/>
      <c r="G140" s="51"/>
      <c r="H140" s="191"/>
      <c r="I140" s="54"/>
      <c r="J140" s="54"/>
      <c r="K140" s="54"/>
      <c r="L140" s="611"/>
      <c r="M140" s="54"/>
      <c r="N140" s="51"/>
      <c r="O140" s="48"/>
      <c r="P140" s="46"/>
      <c r="Q140" s="59">
        <v>10.0</v>
      </c>
      <c r="R140" s="59"/>
      <c r="S140" s="612"/>
      <c r="T140" s="59">
        <v>1.0</v>
      </c>
      <c r="U140" s="605"/>
      <c r="V140" s="191"/>
      <c r="W140" s="606"/>
      <c r="X140" s="607"/>
      <c r="Y140" s="46"/>
      <c r="Z140" s="46"/>
      <c r="AA140" s="46"/>
      <c r="AB140" s="62">
        <f t="shared" si="23"/>
        <v>12</v>
      </c>
      <c r="AC140" s="80">
        <v>800.0</v>
      </c>
      <c r="AD140" s="68">
        <f t="shared" si="24"/>
        <v>9600</v>
      </c>
      <c r="AE140" s="17"/>
      <c r="AF140" s="155"/>
      <c r="AG140" s="155"/>
    </row>
    <row r="141">
      <c r="A141" s="142" t="s">
        <v>220</v>
      </c>
      <c r="B141" s="595">
        <v>2.0</v>
      </c>
      <c r="C141" s="42"/>
      <c r="D141" s="59">
        <v>1.0</v>
      </c>
      <c r="E141" s="596"/>
      <c r="F141" s="59">
        <v>2.0</v>
      </c>
      <c r="G141" s="510"/>
      <c r="H141" s="529"/>
      <c r="I141" s="493">
        <v>5.0</v>
      </c>
      <c r="J141" s="46"/>
      <c r="K141" s="493">
        <v>5.0</v>
      </c>
      <c r="L141" s="597"/>
      <c r="M141" s="59"/>
      <c r="N141" s="515"/>
      <c r="O141" s="529"/>
      <c r="P141" s="493">
        <v>1.0</v>
      </c>
      <c r="Q141" s="59">
        <v>25.0</v>
      </c>
      <c r="R141" s="59"/>
      <c r="S141" s="612"/>
      <c r="T141" s="59">
        <v>16.0</v>
      </c>
      <c r="U141" s="599"/>
      <c r="V141" s="530"/>
      <c r="W141" s="600"/>
      <c r="X141" s="601"/>
      <c r="Y141" s="59"/>
      <c r="Z141" s="59">
        <v>1.0</v>
      </c>
      <c r="AA141" s="59">
        <v>1.0</v>
      </c>
      <c r="AB141" s="62">
        <f t="shared" si="23"/>
        <v>59</v>
      </c>
      <c r="AC141" s="80">
        <v>260.0</v>
      </c>
      <c r="AD141" s="68">
        <f t="shared" si="24"/>
        <v>15340</v>
      </c>
      <c r="AE141" s="17"/>
      <c r="AF141" s="155"/>
      <c r="AG141" s="155"/>
    </row>
    <row r="142">
      <c r="A142" s="263" t="s">
        <v>221</v>
      </c>
      <c r="B142" s="679"/>
      <c r="C142" s="181"/>
      <c r="D142" s="181"/>
      <c r="E142" s="562"/>
      <c r="F142" s="247">
        <v>1.0</v>
      </c>
      <c r="G142" s="579"/>
      <c r="H142" s="245"/>
      <c r="I142" s="577">
        <v>1.0</v>
      </c>
      <c r="J142" s="184"/>
      <c r="K142" s="577"/>
      <c r="L142" s="681"/>
      <c r="M142" s="247"/>
      <c r="N142" s="579"/>
      <c r="O142" s="182"/>
      <c r="P142" s="246"/>
      <c r="Q142" s="184"/>
      <c r="R142" s="184"/>
      <c r="S142" s="683"/>
      <c r="T142" s="181"/>
      <c r="U142" s="650"/>
      <c r="V142" s="245"/>
      <c r="W142" s="651"/>
      <c r="X142" s="652"/>
      <c r="Y142" s="181"/>
      <c r="Z142" s="181"/>
      <c r="AA142" s="181"/>
      <c r="AB142" s="62">
        <f t="shared" si="23"/>
        <v>2</v>
      </c>
      <c r="AC142" s="167">
        <v>180.0</v>
      </c>
      <c r="AD142" s="168">
        <f t="shared" si="24"/>
        <v>360</v>
      </c>
      <c r="AE142" s="17"/>
      <c r="AF142" s="155"/>
      <c r="AG142" s="155"/>
    </row>
    <row r="143">
      <c r="A143" s="142" t="s">
        <v>368</v>
      </c>
      <c r="B143" s="604"/>
      <c r="C143" s="59">
        <v>3.0</v>
      </c>
      <c r="D143" s="46"/>
      <c r="E143" s="535"/>
      <c r="F143" s="54"/>
      <c r="G143" s="51"/>
      <c r="H143" s="530"/>
      <c r="I143" s="493">
        <v>1.0</v>
      </c>
      <c r="J143" s="59"/>
      <c r="K143" s="493"/>
      <c r="L143" s="611"/>
      <c r="M143" s="59"/>
      <c r="N143" s="515"/>
      <c r="O143" s="530"/>
      <c r="P143" s="49"/>
      <c r="Q143" s="59">
        <v>1.0</v>
      </c>
      <c r="R143" s="59">
        <v>10.0</v>
      </c>
      <c r="S143" s="598"/>
      <c r="T143" s="59">
        <v>4.0</v>
      </c>
      <c r="U143" s="605"/>
      <c r="V143" s="530"/>
      <c r="W143" s="606"/>
      <c r="X143" s="607"/>
      <c r="Y143" s="46"/>
      <c r="Z143" s="46"/>
      <c r="AA143" s="46"/>
      <c r="AB143" s="62">
        <f t="shared" si="23"/>
        <v>19</v>
      </c>
      <c r="AC143" s="80">
        <v>160.0</v>
      </c>
      <c r="AD143" s="68">
        <f t="shared" si="24"/>
        <v>3040</v>
      </c>
      <c r="AE143" s="17"/>
      <c r="AF143" s="155"/>
      <c r="AG143" s="155"/>
    </row>
    <row r="144">
      <c r="A144" s="263" t="s">
        <v>370</v>
      </c>
      <c r="B144" s="679"/>
      <c r="C144" s="247">
        <v>4.0</v>
      </c>
      <c r="D144" s="181"/>
      <c r="E144" s="562"/>
      <c r="F144" s="184"/>
      <c r="G144" s="183"/>
      <c r="H144" s="245"/>
      <c r="I144" s="246"/>
      <c r="J144" s="247">
        <v>1.0</v>
      </c>
      <c r="K144" s="577">
        <v>1.0</v>
      </c>
      <c r="L144" s="681"/>
      <c r="M144" s="247"/>
      <c r="N144" s="579"/>
      <c r="O144" s="182"/>
      <c r="P144" s="246"/>
      <c r="Q144" s="184"/>
      <c r="R144" s="247">
        <v>3.0</v>
      </c>
      <c r="S144" s="683"/>
      <c r="T144" s="181"/>
      <c r="U144" s="650"/>
      <c r="V144" s="245"/>
      <c r="W144" s="651"/>
      <c r="X144" s="652"/>
      <c r="Y144" s="181"/>
      <c r="Z144" s="181"/>
      <c r="AA144" s="181"/>
      <c r="AB144" s="62">
        <f t="shared" si="23"/>
        <v>9</v>
      </c>
      <c r="AC144" s="167">
        <v>200.0</v>
      </c>
      <c r="AD144" s="168">
        <f t="shared" si="24"/>
        <v>1800</v>
      </c>
      <c r="AE144" s="17"/>
      <c r="AF144" s="155"/>
      <c r="AG144" s="155"/>
    </row>
    <row r="145">
      <c r="A145" s="254" t="s">
        <v>45</v>
      </c>
      <c r="B145" s="128"/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9"/>
      <c r="AD145" s="260">
        <f>SUM(AD137:AD144)</f>
        <v>35440</v>
      </c>
      <c r="AE145" s="17"/>
      <c r="AF145" s="261"/>
      <c r="AG145" s="261"/>
    </row>
    <row r="146">
      <c r="A146" s="262" t="s">
        <v>223</v>
      </c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8"/>
      <c r="AE146" s="17"/>
      <c r="AF146" s="257"/>
      <c r="AG146" s="257"/>
    </row>
    <row r="147">
      <c r="A147" s="266" t="s">
        <v>224</v>
      </c>
      <c r="B147" s="595"/>
      <c r="C147" s="595">
        <v>5.0</v>
      </c>
      <c r="D147" s="59"/>
      <c r="E147" s="535"/>
      <c r="F147" s="59">
        <v>1.0</v>
      </c>
      <c r="G147" s="662"/>
      <c r="H147" s="529"/>
      <c r="I147" s="493">
        <v>1.0</v>
      </c>
      <c r="J147" s="493"/>
      <c r="K147" s="493">
        <v>5.0</v>
      </c>
      <c r="L147" s="611"/>
      <c r="M147" s="59"/>
      <c r="N147" s="510"/>
      <c r="O147" s="530"/>
      <c r="P147" s="493">
        <v>1.0</v>
      </c>
      <c r="Q147" s="493"/>
      <c r="R147" s="59">
        <v>2.0</v>
      </c>
      <c r="S147" s="598"/>
      <c r="T147" s="59">
        <v>4.0</v>
      </c>
      <c r="U147" s="599"/>
      <c r="V147" s="530"/>
      <c r="W147" s="606"/>
      <c r="X147" s="601"/>
      <c r="Y147" s="59">
        <v>3.0</v>
      </c>
      <c r="Z147" s="59">
        <v>3.0</v>
      </c>
      <c r="AA147" s="59">
        <v>5.0</v>
      </c>
      <c r="AB147" s="62">
        <f t="shared" ref="AB147:AB153" si="25">SUM(B147:AA147)</f>
        <v>30</v>
      </c>
      <c r="AC147" s="80">
        <v>325.0</v>
      </c>
      <c r="AD147" s="68">
        <f t="shared" ref="AD147:AD153" si="26">AB147*AC147</f>
        <v>9750</v>
      </c>
      <c r="AE147" s="17"/>
      <c r="AF147" s="155"/>
      <c r="AG147" s="155"/>
    </row>
    <row r="148">
      <c r="A148" s="268" t="s">
        <v>372</v>
      </c>
      <c r="B148" s="595"/>
      <c r="C148" s="42"/>
      <c r="D148" s="59">
        <v>2.0</v>
      </c>
      <c r="E148" s="531"/>
      <c r="F148" s="59">
        <v>3.0</v>
      </c>
      <c r="G148" s="510"/>
      <c r="H148" s="538"/>
      <c r="I148" s="493"/>
      <c r="J148" s="493"/>
      <c r="K148" s="493">
        <v>1.0</v>
      </c>
      <c r="L148" s="597"/>
      <c r="M148" s="59">
        <v>1.0</v>
      </c>
      <c r="N148" s="492"/>
      <c r="O148" s="530"/>
      <c r="P148" s="493">
        <v>1.0</v>
      </c>
      <c r="Q148" s="493"/>
      <c r="R148" s="59"/>
      <c r="S148" s="612"/>
      <c r="T148" s="59">
        <v>2.0</v>
      </c>
      <c r="U148" s="599"/>
      <c r="V148" s="530"/>
      <c r="W148" s="606"/>
      <c r="X148" s="601"/>
      <c r="Y148" s="59">
        <v>1.0</v>
      </c>
      <c r="Z148" s="59">
        <v>2.0</v>
      </c>
      <c r="AA148" s="59">
        <v>7.0</v>
      </c>
      <c r="AB148" s="62">
        <f t="shared" si="25"/>
        <v>20</v>
      </c>
      <c r="AC148" s="80">
        <v>485.0</v>
      </c>
      <c r="AD148" s="68">
        <f t="shared" si="26"/>
        <v>9700</v>
      </c>
      <c r="AE148" s="17"/>
      <c r="AF148" s="155"/>
      <c r="AG148" s="155"/>
    </row>
    <row r="149">
      <c r="A149" s="268" t="s">
        <v>362</v>
      </c>
      <c r="B149" s="595"/>
      <c r="C149" s="42"/>
      <c r="D149" s="59">
        <v>1.0</v>
      </c>
      <c r="E149" s="535"/>
      <c r="F149" s="59"/>
      <c r="G149" s="510"/>
      <c r="H149" s="529"/>
      <c r="I149" s="493">
        <v>1.0</v>
      </c>
      <c r="J149" s="493">
        <v>1.0</v>
      </c>
      <c r="K149" s="493">
        <v>1.0</v>
      </c>
      <c r="L149" s="619"/>
      <c r="M149" s="59">
        <v>1.0</v>
      </c>
      <c r="N149" s="510"/>
      <c r="O149" s="530"/>
      <c r="P149" s="493">
        <v>3.0</v>
      </c>
      <c r="Q149" s="493"/>
      <c r="R149" s="59"/>
      <c r="S149" s="598"/>
      <c r="T149" s="59">
        <v>5.0</v>
      </c>
      <c r="U149" s="599"/>
      <c r="V149" s="530"/>
      <c r="W149" s="606"/>
      <c r="X149" s="601"/>
      <c r="Y149" s="59"/>
      <c r="Z149" s="59">
        <v>1.0</v>
      </c>
      <c r="AA149" s="59">
        <v>2.0</v>
      </c>
      <c r="AB149" s="62">
        <f t="shared" si="25"/>
        <v>16</v>
      </c>
      <c r="AC149" s="80">
        <v>445.0</v>
      </c>
      <c r="AD149" s="68">
        <f t="shared" si="26"/>
        <v>7120</v>
      </c>
      <c r="AE149" s="17"/>
      <c r="AF149" s="155"/>
      <c r="AG149" s="155"/>
    </row>
    <row r="150">
      <c r="A150" s="268" t="s">
        <v>363</v>
      </c>
      <c r="B150" s="595">
        <v>1.0</v>
      </c>
      <c r="C150" s="42"/>
      <c r="D150" s="59">
        <v>2.0</v>
      </c>
      <c r="E150" s="531"/>
      <c r="F150" s="59">
        <v>3.0</v>
      </c>
      <c r="G150" s="510"/>
      <c r="H150" s="529"/>
      <c r="I150" s="493">
        <v>1.0</v>
      </c>
      <c r="J150" s="493">
        <v>1.0</v>
      </c>
      <c r="K150" s="493">
        <v>1.0</v>
      </c>
      <c r="L150" s="597"/>
      <c r="M150" s="59">
        <v>4.0</v>
      </c>
      <c r="N150" s="510"/>
      <c r="O150" s="530"/>
      <c r="P150" s="493">
        <v>1.0</v>
      </c>
      <c r="Q150" s="493"/>
      <c r="R150" s="59">
        <v>2.0</v>
      </c>
      <c r="S150" s="598"/>
      <c r="T150" s="59">
        <v>10.0</v>
      </c>
      <c r="U150" s="599"/>
      <c r="V150" s="530"/>
      <c r="W150" s="606"/>
      <c r="X150" s="601"/>
      <c r="Y150" s="59">
        <v>4.0</v>
      </c>
      <c r="Z150" s="59">
        <v>4.0</v>
      </c>
      <c r="AA150" s="59">
        <v>12.0</v>
      </c>
      <c r="AB150" s="62">
        <f t="shared" si="25"/>
        <v>46</v>
      </c>
      <c r="AC150" s="80">
        <v>485.0</v>
      </c>
      <c r="AD150" s="68">
        <f t="shared" si="26"/>
        <v>22310</v>
      </c>
      <c r="AE150" s="17"/>
      <c r="AF150" s="155"/>
      <c r="AG150" s="155"/>
    </row>
    <row r="151">
      <c r="A151" s="268" t="s">
        <v>377</v>
      </c>
      <c r="B151" s="595">
        <v>4.0</v>
      </c>
      <c r="C151" s="595">
        <v>1.0</v>
      </c>
      <c r="D151" s="59">
        <v>1.0</v>
      </c>
      <c r="E151" s="531"/>
      <c r="F151" s="59">
        <v>1.0</v>
      </c>
      <c r="G151" s="510"/>
      <c r="H151" s="529"/>
      <c r="I151" s="493">
        <v>5.0</v>
      </c>
      <c r="J151" s="493">
        <v>5.0</v>
      </c>
      <c r="K151" s="493">
        <v>1.0</v>
      </c>
      <c r="L151" s="597"/>
      <c r="M151" s="59">
        <v>4.0</v>
      </c>
      <c r="N151" s="510"/>
      <c r="O151" s="530"/>
      <c r="P151" s="493">
        <v>4.0</v>
      </c>
      <c r="Q151" s="493">
        <v>6.0</v>
      </c>
      <c r="R151" s="59">
        <v>2.0</v>
      </c>
      <c r="S151" s="598"/>
      <c r="T151" s="59">
        <v>12.0</v>
      </c>
      <c r="U151" s="599"/>
      <c r="V151" s="530"/>
      <c r="W151" s="606"/>
      <c r="X151" s="601"/>
      <c r="Y151" s="59">
        <v>4.0</v>
      </c>
      <c r="Z151" s="59">
        <v>2.0</v>
      </c>
      <c r="AA151" s="59">
        <v>1.0</v>
      </c>
      <c r="AB151" s="62">
        <f t="shared" si="25"/>
        <v>53</v>
      </c>
      <c r="AC151" s="80">
        <v>480.0</v>
      </c>
      <c r="AD151" s="68">
        <f t="shared" si="26"/>
        <v>25440</v>
      </c>
      <c r="AE151" s="17"/>
      <c r="AF151" s="155"/>
      <c r="AG151" s="155"/>
    </row>
    <row r="152">
      <c r="A152" s="268" t="s">
        <v>378</v>
      </c>
      <c r="B152" s="595">
        <v>1.0</v>
      </c>
      <c r="C152" s="595">
        <v>2.0</v>
      </c>
      <c r="D152" s="59">
        <v>1.0</v>
      </c>
      <c r="E152" s="531"/>
      <c r="F152" s="54"/>
      <c r="G152" s="510"/>
      <c r="H152" s="529"/>
      <c r="I152" s="493">
        <v>1.0</v>
      </c>
      <c r="J152" s="493">
        <v>2.0</v>
      </c>
      <c r="K152" s="493">
        <v>1.0</v>
      </c>
      <c r="L152" s="597"/>
      <c r="M152" s="59"/>
      <c r="N152" s="510"/>
      <c r="O152" s="48"/>
      <c r="P152" s="493">
        <v>1.0</v>
      </c>
      <c r="Q152" s="493">
        <v>3.0</v>
      </c>
      <c r="R152" s="59"/>
      <c r="S152" s="598"/>
      <c r="T152" s="59"/>
      <c r="U152" s="599"/>
      <c r="V152" s="530"/>
      <c r="W152" s="606"/>
      <c r="X152" s="601"/>
      <c r="Y152" s="59">
        <v>2.0</v>
      </c>
      <c r="Z152" s="59">
        <v>3.0</v>
      </c>
      <c r="AA152" s="59">
        <v>3.0</v>
      </c>
      <c r="AB152" s="62">
        <f t="shared" si="25"/>
        <v>20</v>
      </c>
      <c r="AC152" s="80">
        <v>650.0</v>
      </c>
      <c r="AD152" s="68">
        <f t="shared" si="26"/>
        <v>13000</v>
      </c>
      <c r="AE152" s="17"/>
      <c r="AF152" s="155"/>
      <c r="AG152" s="155"/>
    </row>
    <row r="153">
      <c r="A153" s="268" t="s">
        <v>379</v>
      </c>
      <c r="B153" s="595"/>
      <c r="C153" s="42"/>
      <c r="D153" s="46"/>
      <c r="E153" s="531"/>
      <c r="F153" s="54"/>
      <c r="G153" s="510"/>
      <c r="H153" s="529"/>
      <c r="I153" s="49"/>
      <c r="J153" s="49"/>
      <c r="K153" s="493"/>
      <c r="L153" s="597"/>
      <c r="M153" s="59">
        <v>2.0</v>
      </c>
      <c r="N153" s="510"/>
      <c r="O153" s="48"/>
      <c r="P153" s="49"/>
      <c r="Q153" s="493"/>
      <c r="R153" s="59">
        <v>1.0</v>
      </c>
      <c r="S153" s="598"/>
      <c r="T153" s="59"/>
      <c r="U153" s="599"/>
      <c r="V153" s="530"/>
      <c r="W153" s="606"/>
      <c r="X153" s="601"/>
      <c r="Y153" s="59"/>
      <c r="Z153" s="46"/>
      <c r="AA153" s="46"/>
      <c r="AB153" s="62">
        <f t="shared" si="25"/>
        <v>3</v>
      </c>
      <c r="AC153" s="80">
        <v>700.0</v>
      </c>
      <c r="AD153" s="68">
        <f t="shared" si="26"/>
        <v>2100</v>
      </c>
      <c r="AE153" s="17"/>
      <c r="AF153" s="155"/>
      <c r="AG153" s="155"/>
    </row>
    <row r="154">
      <c r="A154" s="305" t="s">
        <v>45</v>
      </c>
      <c r="B154" s="219"/>
      <c r="C154" s="219"/>
      <c r="D154" s="219"/>
      <c r="E154" s="219"/>
      <c r="F154" s="219"/>
      <c r="G154" s="219"/>
      <c r="H154" s="219"/>
      <c r="I154" s="219"/>
      <c r="J154" s="219"/>
      <c r="K154" s="219"/>
      <c r="L154" s="219"/>
      <c r="M154" s="219"/>
      <c r="N154" s="219"/>
      <c r="O154" s="219"/>
      <c r="P154" s="219"/>
      <c r="Q154" s="219"/>
      <c r="R154" s="219"/>
      <c r="S154" s="219"/>
      <c r="T154" s="219"/>
      <c r="U154" s="219"/>
      <c r="V154" s="219"/>
      <c r="W154" s="219"/>
      <c r="X154" s="219"/>
      <c r="Y154" s="219"/>
      <c r="Z154" s="219"/>
      <c r="AA154" s="219"/>
      <c r="AB154" s="219"/>
      <c r="AC154" s="220"/>
      <c r="AD154" s="638">
        <f>SUM(AD147:AD153)</f>
        <v>89420</v>
      </c>
      <c r="AE154" s="17"/>
      <c r="AF154" s="261"/>
      <c r="AG154" s="261"/>
    </row>
    <row r="155">
      <c r="A155" s="262" t="s">
        <v>230</v>
      </c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8"/>
      <c r="AE155" s="17"/>
      <c r="AF155" s="257"/>
      <c r="AG155" s="257"/>
    </row>
    <row r="156">
      <c r="A156" s="268" t="s">
        <v>231</v>
      </c>
      <c r="B156" s="595"/>
      <c r="C156" s="59">
        <v>1.0</v>
      </c>
      <c r="D156" s="54"/>
      <c r="E156" s="531"/>
      <c r="F156" s="59">
        <v>2.0</v>
      </c>
      <c r="G156" s="515"/>
      <c r="H156" s="538"/>
      <c r="I156" s="49"/>
      <c r="J156" s="493"/>
      <c r="K156" s="493">
        <v>4.0</v>
      </c>
      <c r="L156" s="611"/>
      <c r="M156" s="59">
        <v>2.0</v>
      </c>
      <c r="N156" s="192"/>
      <c r="O156" s="48"/>
      <c r="P156" s="493"/>
      <c r="Q156" s="493"/>
      <c r="R156" s="46"/>
      <c r="S156" s="598"/>
      <c r="T156" s="59">
        <v>1.0</v>
      </c>
      <c r="U156" s="599"/>
      <c r="V156" s="530"/>
      <c r="W156" s="606"/>
      <c r="X156" s="601"/>
      <c r="Y156" s="59">
        <v>3.0</v>
      </c>
      <c r="Z156" s="59">
        <v>1.0</v>
      </c>
      <c r="AA156" s="59">
        <v>1.0</v>
      </c>
      <c r="AB156" s="62">
        <f t="shared" ref="AB156:AB160" si="27">SUM(B156:AA156)</f>
        <v>15</v>
      </c>
      <c r="AC156" s="80">
        <v>1150.0</v>
      </c>
      <c r="AD156" s="68">
        <f t="shared" ref="AD156:AD160" si="28">AB156*AC156</f>
        <v>17250</v>
      </c>
      <c r="AE156" s="17"/>
      <c r="AF156" s="155"/>
      <c r="AG156" s="155"/>
    </row>
    <row r="157">
      <c r="A157" s="268" t="s">
        <v>233</v>
      </c>
      <c r="B157" s="595">
        <v>4.0</v>
      </c>
      <c r="C157" s="595">
        <v>1.0</v>
      </c>
      <c r="D157" s="59">
        <v>4.0</v>
      </c>
      <c r="E157" s="614"/>
      <c r="F157" s="59">
        <v>1.0</v>
      </c>
      <c r="G157" s="510"/>
      <c r="H157" s="529"/>
      <c r="I157" s="493">
        <v>3.0</v>
      </c>
      <c r="J157" s="59">
        <v>2.0</v>
      </c>
      <c r="K157" s="493">
        <v>1.0</v>
      </c>
      <c r="L157" s="611"/>
      <c r="M157" s="59">
        <v>4.0</v>
      </c>
      <c r="N157" s="510"/>
      <c r="O157" s="529"/>
      <c r="P157" s="493">
        <v>1.0</v>
      </c>
      <c r="Q157" s="493">
        <v>2.0</v>
      </c>
      <c r="R157" s="59">
        <v>1.0</v>
      </c>
      <c r="S157" s="598"/>
      <c r="T157" s="59">
        <v>3.0</v>
      </c>
      <c r="U157" s="599"/>
      <c r="V157" s="530"/>
      <c r="W157" s="606"/>
      <c r="X157" s="601"/>
      <c r="Y157" s="59">
        <v>6.0</v>
      </c>
      <c r="Z157" s="59">
        <v>3.0</v>
      </c>
      <c r="AA157" s="59">
        <v>4.0</v>
      </c>
      <c r="AB157" s="62">
        <f t="shared" si="27"/>
        <v>40</v>
      </c>
      <c r="AC157" s="80">
        <v>1250.0</v>
      </c>
      <c r="AD157" s="68">
        <f t="shared" si="28"/>
        <v>50000</v>
      </c>
      <c r="AE157" s="17"/>
      <c r="AF157" s="155"/>
      <c r="AG157" s="155"/>
    </row>
    <row r="158">
      <c r="A158" s="33" t="s">
        <v>375</v>
      </c>
      <c r="B158" s="604"/>
      <c r="C158" s="59">
        <v>1.0</v>
      </c>
      <c r="D158" s="59"/>
      <c r="E158" s="531"/>
      <c r="F158" s="59">
        <v>3.0</v>
      </c>
      <c r="G158" s="515"/>
      <c r="H158" s="48"/>
      <c r="I158" s="59">
        <v>1.0</v>
      </c>
      <c r="J158" s="59"/>
      <c r="K158" s="59">
        <v>2.0</v>
      </c>
      <c r="L158" s="491"/>
      <c r="M158" s="59">
        <v>1.0</v>
      </c>
      <c r="N158" s="51"/>
      <c r="O158" s="530"/>
      <c r="P158" s="59">
        <v>1.0</v>
      </c>
      <c r="Q158" s="59">
        <v>1.0</v>
      </c>
      <c r="R158" s="59">
        <v>1.0</v>
      </c>
      <c r="S158" s="598"/>
      <c r="T158" s="59">
        <v>2.0</v>
      </c>
      <c r="U158" s="599"/>
      <c r="V158" s="48"/>
      <c r="W158" s="671"/>
      <c r="X158" s="601"/>
      <c r="Y158" s="59"/>
      <c r="Z158" s="54"/>
      <c r="AA158" s="59">
        <v>3.0</v>
      </c>
      <c r="AB158" s="62">
        <f t="shared" si="27"/>
        <v>16</v>
      </c>
      <c r="AC158" s="80">
        <v>1500.0</v>
      </c>
      <c r="AD158" s="68">
        <f t="shared" si="28"/>
        <v>24000</v>
      </c>
      <c r="AE158" s="17"/>
      <c r="AF158" s="155"/>
      <c r="AG158" s="155"/>
    </row>
    <row r="159">
      <c r="A159" s="33" t="s">
        <v>382</v>
      </c>
      <c r="B159" s="604">
        <v>11.0</v>
      </c>
      <c r="C159" s="59">
        <v>3.0</v>
      </c>
      <c r="D159" s="59">
        <v>4.0</v>
      </c>
      <c r="E159" s="531"/>
      <c r="F159" s="59">
        <v>10.0</v>
      </c>
      <c r="G159" s="515"/>
      <c r="H159" s="530"/>
      <c r="I159" s="59">
        <v>12.0</v>
      </c>
      <c r="J159" s="59">
        <v>3.0</v>
      </c>
      <c r="K159" s="59">
        <v>7.0</v>
      </c>
      <c r="L159" s="491"/>
      <c r="M159" s="59">
        <v>2.0</v>
      </c>
      <c r="N159" s="51"/>
      <c r="O159" s="48"/>
      <c r="P159" s="59">
        <v>13.0</v>
      </c>
      <c r="Q159" s="59">
        <v>4.0</v>
      </c>
      <c r="R159" s="59">
        <v>14.0</v>
      </c>
      <c r="S159" s="598"/>
      <c r="T159" s="59">
        <v>19.0</v>
      </c>
      <c r="U159" s="599"/>
      <c r="V159" s="530"/>
      <c r="W159" s="671"/>
      <c r="X159" s="601"/>
      <c r="Y159" s="59">
        <v>10.0</v>
      </c>
      <c r="Z159" s="59">
        <v>9.0</v>
      </c>
      <c r="AA159" s="59">
        <v>1.0</v>
      </c>
      <c r="AB159" s="62">
        <f t="shared" si="27"/>
        <v>122</v>
      </c>
      <c r="AC159" s="80">
        <v>120.0</v>
      </c>
      <c r="AD159" s="68">
        <f t="shared" si="28"/>
        <v>14640</v>
      </c>
      <c r="AE159" s="17"/>
      <c r="AF159" s="155"/>
      <c r="AG159" s="155"/>
    </row>
    <row r="160">
      <c r="A160" s="33" t="s">
        <v>383</v>
      </c>
      <c r="B160" s="604"/>
      <c r="C160" s="59">
        <v>2.0</v>
      </c>
      <c r="D160" s="59"/>
      <c r="E160" s="531"/>
      <c r="F160" s="59">
        <v>2.0</v>
      </c>
      <c r="G160" s="515"/>
      <c r="H160" s="530"/>
      <c r="I160" s="59">
        <v>4.0</v>
      </c>
      <c r="J160" s="59">
        <v>1.0</v>
      </c>
      <c r="K160" s="59">
        <v>1.0</v>
      </c>
      <c r="L160" s="491"/>
      <c r="M160" s="59">
        <v>2.0</v>
      </c>
      <c r="N160" s="51"/>
      <c r="O160" s="48"/>
      <c r="P160" s="54"/>
      <c r="Q160" s="59">
        <v>1.0</v>
      </c>
      <c r="R160" s="59">
        <v>1.0</v>
      </c>
      <c r="S160" s="598"/>
      <c r="T160" s="59">
        <v>42.0</v>
      </c>
      <c r="U160" s="690"/>
      <c r="V160" s="48"/>
      <c r="W160" s="671"/>
      <c r="X160" s="601"/>
      <c r="Y160" s="59">
        <v>8.0</v>
      </c>
      <c r="Z160" s="59">
        <v>1.0</v>
      </c>
      <c r="AA160" s="59">
        <v>1.0</v>
      </c>
      <c r="AB160" s="62">
        <f t="shared" si="27"/>
        <v>66</v>
      </c>
      <c r="AC160" s="80">
        <v>80.0</v>
      </c>
      <c r="AD160" s="68">
        <f t="shared" si="28"/>
        <v>5280</v>
      </c>
      <c r="AE160" s="17"/>
      <c r="AF160" s="155"/>
      <c r="AG160" s="155"/>
    </row>
    <row r="161">
      <c r="A161" s="305" t="s">
        <v>45</v>
      </c>
      <c r="B161" s="219"/>
      <c r="C161" s="219"/>
      <c r="D161" s="219"/>
      <c r="E161" s="219"/>
      <c r="F161" s="219"/>
      <c r="G161" s="219"/>
      <c r="H161" s="219"/>
      <c r="I161" s="219"/>
      <c r="J161" s="219"/>
      <c r="K161" s="219"/>
      <c r="L161" s="219"/>
      <c r="M161" s="219"/>
      <c r="N161" s="219"/>
      <c r="O161" s="219"/>
      <c r="P161" s="219"/>
      <c r="Q161" s="219"/>
      <c r="R161" s="219"/>
      <c r="S161" s="219"/>
      <c r="T161" s="219"/>
      <c r="U161" s="219"/>
      <c r="V161" s="219"/>
      <c r="W161" s="219"/>
      <c r="X161" s="219"/>
      <c r="Y161" s="219"/>
      <c r="Z161" s="219"/>
      <c r="AA161" s="219"/>
      <c r="AB161" s="219"/>
      <c r="AC161" s="220"/>
      <c r="AD161" s="754">
        <f>SUM(AD156:AD160)</f>
        <v>111170</v>
      </c>
      <c r="AE161" s="17"/>
      <c r="AF161" s="271"/>
      <c r="AG161" s="271"/>
    </row>
    <row r="162">
      <c r="A162" s="272" t="s">
        <v>238</v>
      </c>
      <c r="B162" s="134"/>
      <c r="C162" s="134"/>
      <c r="D162" s="134"/>
      <c r="E162" s="134"/>
      <c r="F162" s="134"/>
      <c r="G162" s="134"/>
      <c r="H162" s="134"/>
      <c r="I162" s="134"/>
      <c r="J162" s="134"/>
      <c r="K162" s="134"/>
      <c r="L162" s="134"/>
      <c r="M162" s="134"/>
      <c r="N162" s="134"/>
      <c r="O162" s="134"/>
      <c r="P162" s="134"/>
      <c r="Q162" s="134"/>
      <c r="R162" s="134"/>
      <c r="S162" s="134"/>
      <c r="T162" s="134"/>
      <c r="U162" s="134"/>
      <c r="V162" s="134"/>
      <c r="W162" s="134"/>
      <c r="X162" s="134"/>
      <c r="Y162" s="134"/>
      <c r="Z162" s="134"/>
      <c r="AA162" s="134"/>
      <c r="AB162" s="134"/>
      <c r="AC162" s="134"/>
      <c r="AD162" s="135"/>
      <c r="AE162" s="17"/>
      <c r="AF162" s="257"/>
      <c r="AG162" s="257"/>
    </row>
    <row r="163">
      <c r="A163" s="197" t="s">
        <v>260</v>
      </c>
      <c r="B163" s="604">
        <v>1.0</v>
      </c>
      <c r="C163" s="59">
        <v>5.0</v>
      </c>
      <c r="D163" s="59">
        <v>1.0</v>
      </c>
      <c r="E163" s="531"/>
      <c r="F163" s="59">
        <v>4.0</v>
      </c>
      <c r="G163" s="515"/>
      <c r="H163" s="48"/>
      <c r="I163" s="59">
        <v>4.0</v>
      </c>
      <c r="J163" s="59"/>
      <c r="K163" s="59">
        <v>16.0</v>
      </c>
      <c r="L163" s="611"/>
      <c r="M163" s="59">
        <v>4.0</v>
      </c>
      <c r="N163" s="51"/>
      <c r="O163" s="530"/>
      <c r="P163" s="493">
        <v>5.0</v>
      </c>
      <c r="Q163" s="59">
        <v>1.0</v>
      </c>
      <c r="R163" s="59">
        <v>2.0</v>
      </c>
      <c r="S163" s="598"/>
      <c r="T163" s="59">
        <v>2.0</v>
      </c>
      <c r="U163" s="599"/>
      <c r="V163" s="530"/>
      <c r="W163" s="600"/>
      <c r="X163" s="601"/>
      <c r="Y163" s="59">
        <v>1.0</v>
      </c>
      <c r="Z163" s="59">
        <v>1.0</v>
      </c>
      <c r="AA163" s="59">
        <v>8.0</v>
      </c>
      <c r="AB163" s="62">
        <f t="shared" ref="AB163:AB169" si="29">SUM(B163:AA163)</f>
        <v>55</v>
      </c>
      <c r="AC163" s="80">
        <v>350.0</v>
      </c>
      <c r="AD163" s="68">
        <f t="shared" ref="AD163:AD169" si="30">AB163*AC163</f>
        <v>19250</v>
      </c>
      <c r="AE163" s="17"/>
      <c r="AF163" s="155"/>
      <c r="AG163" s="155"/>
    </row>
    <row r="164">
      <c r="A164" s="197" t="s">
        <v>232</v>
      </c>
      <c r="B164" s="669"/>
      <c r="C164" s="54"/>
      <c r="D164" s="54"/>
      <c r="E164" s="584"/>
      <c r="F164" s="54"/>
      <c r="G164" s="51"/>
      <c r="H164" s="48"/>
      <c r="I164" s="54"/>
      <c r="J164" s="54"/>
      <c r="K164" s="54"/>
      <c r="L164" s="491"/>
      <c r="M164" s="54"/>
      <c r="N164" s="51"/>
      <c r="O164" s="48"/>
      <c r="P164" s="54"/>
      <c r="Q164" s="54"/>
      <c r="R164" s="54"/>
      <c r="S164" s="670"/>
      <c r="T164" s="54"/>
      <c r="U164" s="690"/>
      <c r="V164" s="48"/>
      <c r="W164" s="671"/>
      <c r="X164" s="672"/>
      <c r="Y164" s="54"/>
      <c r="Z164" s="54"/>
      <c r="AA164" s="54"/>
      <c r="AB164" s="62">
        <f t="shared" si="29"/>
        <v>0</v>
      </c>
      <c r="AC164" s="80">
        <v>130.0</v>
      </c>
      <c r="AD164" s="68">
        <f t="shared" si="30"/>
        <v>0</v>
      </c>
      <c r="AE164" s="17"/>
      <c r="AF164" s="155"/>
      <c r="AG164" s="155"/>
    </row>
    <row r="165">
      <c r="A165" s="197" t="s">
        <v>234</v>
      </c>
      <c r="B165" s="669"/>
      <c r="C165" s="54"/>
      <c r="D165" s="54"/>
      <c r="E165" s="584"/>
      <c r="F165" s="54"/>
      <c r="G165" s="51"/>
      <c r="H165" s="48"/>
      <c r="I165" s="54"/>
      <c r="J165" s="54"/>
      <c r="K165" s="54"/>
      <c r="L165" s="491"/>
      <c r="M165" s="54"/>
      <c r="N165" s="51"/>
      <c r="O165" s="48"/>
      <c r="P165" s="54"/>
      <c r="Q165" s="54"/>
      <c r="R165" s="54"/>
      <c r="S165" s="670"/>
      <c r="T165" s="54"/>
      <c r="U165" s="690"/>
      <c r="V165" s="48"/>
      <c r="W165" s="671"/>
      <c r="X165" s="672"/>
      <c r="Y165" s="54"/>
      <c r="Z165" s="54"/>
      <c r="AA165" s="54"/>
      <c r="AB165" s="62">
        <f t="shared" si="29"/>
        <v>0</v>
      </c>
      <c r="AC165" s="80">
        <v>80.0</v>
      </c>
      <c r="AD165" s="68">
        <f t="shared" si="30"/>
        <v>0</v>
      </c>
      <c r="AE165" s="17"/>
      <c r="AF165" s="155"/>
      <c r="AG165" s="155"/>
    </row>
    <row r="166">
      <c r="A166" s="197" t="s">
        <v>241</v>
      </c>
      <c r="B166" s="604"/>
      <c r="C166" s="46"/>
      <c r="D166" s="46"/>
      <c r="E166" s="535"/>
      <c r="F166" s="59"/>
      <c r="G166" s="510"/>
      <c r="H166" s="191"/>
      <c r="I166" s="493"/>
      <c r="J166" s="493"/>
      <c r="K166" s="59"/>
      <c r="L166" s="611"/>
      <c r="M166" s="59"/>
      <c r="N166" s="515"/>
      <c r="O166" s="529"/>
      <c r="P166" s="49"/>
      <c r="Q166" s="46"/>
      <c r="R166" s="59"/>
      <c r="S166" s="612"/>
      <c r="T166" s="46"/>
      <c r="U166" s="599"/>
      <c r="V166" s="530"/>
      <c r="W166" s="600"/>
      <c r="X166" s="601"/>
      <c r="Y166" s="59"/>
      <c r="Z166" s="46"/>
      <c r="AA166" s="46"/>
      <c r="AB166" s="62">
        <f t="shared" si="29"/>
        <v>0</v>
      </c>
      <c r="AC166" s="80">
        <v>40.0</v>
      </c>
      <c r="AD166" s="68">
        <f t="shared" si="30"/>
        <v>0</v>
      </c>
      <c r="AE166" s="17"/>
      <c r="AF166" s="155"/>
      <c r="AG166" s="155"/>
    </row>
    <row r="167">
      <c r="A167" s="197" t="s">
        <v>243</v>
      </c>
      <c r="B167" s="595">
        <v>1.0</v>
      </c>
      <c r="C167" s="46"/>
      <c r="D167" s="59">
        <v>1.0</v>
      </c>
      <c r="E167" s="531"/>
      <c r="F167" s="59"/>
      <c r="G167" s="515"/>
      <c r="H167" s="530"/>
      <c r="I167" s="59">
        <v>1.0</v>
      </c>
      <c r="J167" s="59">
        <v>3.0</v>
      </c>
      <c r="K167" s="59">
        <v>1.0</v>
      </c>
      <c r="L167" s="611"/>
      <c r="M167" s="59">
        <v>2.0</v>
      </c>
      <c r="N167" s="515"/>
      <c r="O167" s="530"/>
      <c r="P167" s="59">
        <v>1.0</v>
      </c>
      <c r="Q167" s="54"/>
      <c r="R167" s="59">
        <v>1.0</v>
      </c>
      <c r="S167" s="612"/>
      <c r="T167" s="59">
        <v>2.0</v>
      </c>
      <c r="U167" s="599"/>
      <c r="V167" s="191"/>
      <c r="W167" s="606"/>
      <c r="X167" s="607"/>
      <c r="Y167" s="59">
        <v>1.0</v>
      </c>
      <c r="Z167" s="59">
        <v>2.0</v>
      </c>
      <c r="AA167" s="46"/>
      <c r="AB167" s="62">
        <f t="shared" si="29"/>
        <v>16</v>
      </c>
      <c r="AC167" s="80">
        <v>120.0</v>
      </c>
      <c r="AD167" s="68">
        <f t="shared" si="30"/>
        <v>1920</v>
      </c>
      <c r="AE167" s="17"/>
      <c r="AF167" s="155"/>
      <c r="AG167" s="155"/>
    </row>
    <row r="168">
      <c r="A168" s="197" t="s">
        <v>267</v>
      </c>
      <c r="B168" s="604"/>
      <c r="C168" s="59">
        <v>3.0</v>
      </c>
      <c r="D168" s="59">
        <v>2.0</v>
      </c>
      <c r="E168" s="584"/>
      <c r="F168" s="59">
        <v>1.0</v>
      </c>
      <c r="G168" s="515"/>
      <c r="H168" s="530"/>
      <c r="I168" s="59">
        <v>1.0</v>
      </c>
      <c r="J168" s="59"/>
      <c r="K168" s="59">
        <v>7.0</v>
      </c>
      <c r="L168" s="491"/>
      <c r="M168" s="59"/>
      <c r="N168" s="515"/>
      <c r="O168" s="530"/>
      <c r="P168" s="59">
        <v>1.0</v>
      </c>
      <c r="Q168" s="59">
        <v>6.0</v>
      </c>
      <c r="R168" s="59"/>
      <c r="S168" s="612"/>
      <c r="T168" s="46"/>
      <c r="U168" s="599"/>
      <c r="V168" s="191"/>
      <c r="W168" s="606"/>
      <c r="X168" s="601"/>
      <c r="Y168" s="59"/>
      <c r="Z168" s="46"/>
      <c r="AA168" s="46"/>
      <c r="AB168" s="62">
        <f t="shared" si="29"/>
        <v>21</v>
      </c>
      <c r="AC168" s="80">
        <v>30.0</v>
      </c>
      <c r="AD168" s="168">
        <f t="shared" si="30"/>
        <v>630</v>
      </c>
      <c r="AE168" s="17"/>
      <c r="AF168" s="155"/>
      <c r="AG168" s="155"/>
    </row>
    <row r="169">
      <c r="A169" s="243" t="s">
        <v>270</v>
      </c>
      <c r="B169" s="679"/>
      <c r="C169" s="247">
        <v>2.0</v>
      </c>
      <c r="D169" s="247"/>
      <c r="E169" s="586"/>
      <c r="F169" s="247">
        <v>1.0</v>
      </c>
      <c r="G169" s="579"/>
      <c r="H169" s="182"/>
      <c r="I169" s="247"/>
      <c r="J169" s="247">
        <v>4.0</v>
      </c>
      <c r="K169" s="247">
        <v>1.0</v>
      </c>
      <c r="L169" s="681"/>
      <c r="M169" s="247"/>
      <c r="N169" s="579"/>
      <c r="O169" s="615"/>
      <c r="P169" s="577">
        <v>1.0</v>
      </c>
      <c r="Q169" s="577"/>
      <c r="R169" s="247"/>
      <c r="S169" s="649"/>
      <c r="T169" s="247">
        <v>1.0</v>
      </c>
      <c r="U169" s="685"/>
      <c r="V169" s="588"/>
      <c r="W169" s="686"/>
      <c r="X169" s="687"/>
      <c r="Y169" s="247"/>
      <c r="Z169" s="181"/>
      <c r="AA169" s="247">
        <v>1.0</v>
      </c>
      <c r="AB169" s="62">
        <f t="shared" si="29"/>
        <v>11</v>
      </c>
      <c r="AC169" s="167">
        <v>200.0</v>
      </c>
      <c r="AD169" s="168">
        <f t="shared" si="30"/>
        <v>2200</v>
      </c>
      <c r="AE169" s="17"/>
      <c r="AF169" s="155"/>
      <c r="AG169" s="155"/>
    </row>
    <row r="170">
      <c r="A170" s="254" t="s">
        <v>45</v>
      </c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9"/>
      <c r="AD170" s="277">
        <f>SUM(AD163:AD169)</f>
        <v>24000</v>
      </c>
      <c r="AE170" s="17"/>
      <c r="AF170" s="255"/>
      <c r="AG170" s="255"/>
    </row>
    <row r="171">
      <c r="A171" s="278" t="s">
        <v>247</v>
      </c>
      <c r="B171" s="275"/>
      <c r="C171" s="275"/>
      <c r="D171" s="275"/>
      <c r="E171" s="275"/>
      <c r="F171" s="275"/>
      <c r="G171" s="275"/>
      <c r="H171" s="275"/>
      <c r="I171" s="275"/>
      <c r="J171" s="275"/>
      <c r="K171" s="275"/>
      <c r="L171" s="275"/>
      <c r="M171" s="275"/>
      <c r="N171" s="275"/>
      <c r="O171" s="275"/>
      <c r="P171" s="275"/>
      <c r="Q171" s="275"/>
      <c r="R171" s="275"/>
      <c r="S171" s="275"/>
      <c r="T171" s="275"/>
      <c r="U171" s="275"/>
      <c r="V171" s="275"/>
      <c r="W171" s="275"/>
      <c r="X171" s="275"/>
      <c r="Y171" s="275"/>
      <c r="Z171" s="275"/>
      <c r="AA171" s="275"/>
      <c r="AB171" s="275"/>
      <c r="AC171" s="275"/>
      <c r="AD171" s="276"/>
      <c r="AE171" s="17"/>
      <c r="AF171" s="257"/>
      <c r="AG171" s="257"/>
    </row>
    <row r="172">
      <c r="A172" s="279" t="s">
        <v>248</v>
      </c>
      <c r="B172" s="755"/>
      <c r="C172" s="326"/>
      <c r="D172" s="326"/>
      <c r="E172" s="710"/>
      <c r="F172" s="326"/>
      <c r="G172" s="328"/>
      <c r="H172" s="327"/>
      <c r="I172" s="326"/>
      <c r="J172" s="326"/>
      <c r="K172" s="326"/>
      <c r="L172" s="660"/>
      <c r="M172" s="326"/>
      <c r="N172" s="328"/>
      <c r="O172" s="327"/>
      <c r="P172" s="326"/>
      <c r="Q172" s="326"/>
      <c r="R172" s="326"/>
      <c r="S172" s="756"/>
      <c r="T172" s="326"/>
      <c r="U172" s="757"/>
      <c r="V172" s="327"/>
      <c r="W172" s="758"/>
      <c r="X172" s="759"/>
      <c r="Y172" s="326"/>
      <c r="Z172" s="326"/>
      <c r="AA172" s="326"/>
      <c r="AB172" s="287">
        <f t="shared" ref="AB172:AB184" si="31">SUM(B172:AA172)</f>
        <v>0</v>
      </c>
      <c r="AC172" s="288">
        <v>1940.0</v>
      </c>
      <c r="AD172" s="289">
        <f t="shared" ref="AD172:AD184" si="32">AB172*AC172</f>
        <v>0</v>
      </c>
      <c r="AE172" s="17"/>
      <c r="AF172" s="257"/>
      <c r="AG172" s="257"/>
    </row>
    <row r="173">
      <c r="A173" s="279" t="s">
        <v>250</v>
      </c>
      <c r="B173" s="755"/>
      <c r="C173" s="326"/>
      <c r="D173" s="326"/>
      <c r="E173" s="710"/>
      <c r="F173" s="326"/>
      <c r="G173" s="328"/>
      <c r="H173" s="327"/>
      <c r="I173" s="326"/>
      <c r="J173" s="326"/>
      <c r="K173" s="326"/>
      <c r="L173" s="660"/>
      <c r="M173" s="326"/>
      <c r="N173" s="328"/>
      <c r="O173" s="327"/>
      <c r="P173" s="326"/>
      <c r="Q173" s="326"/>
      <c r="R173" s="326"/>
      <c r="S173" s="756"/>
      <c r="T173" s="326"/>
      <c r="U173" s="757"/>
      <c r="V173" s="327"/>
      <c r="W173" s="758"/>
      <c r="X173" s="759"/>
      <c r="Y173" s="336"/>
      <c r="Z173" s="326"/>
      <c r="AA173" s="326"/>
      <c r="AB173" s="287">
        <f t="shared" si="31"/>
        <v>0</v>
      </c>
      <c r="AC173" s="288">
        <v>1820.0</v>
      </c>
      <c r="AD173" s="289">
        <f t="shared" si="32"/>
        <v>0</v>
      </c>
      <c r="AE173" s="17"/>
      <c r="AF173" s="257"/>
      <c r="AG173" s="257"/>
    </row>
    <row r="174">
      <c r="A174" s="279" t="s">
        <v>251</v>
      </c>
      <c r="B174" s="755"/>
      <c r="C174" s="326"/>
      <c r="D174" s="326"/>
      <c r="E174" s="710"/>
      <c r="F174" s="326"/>
      <c r="G174" s="328"/>
      <c r="H174" s="327"/>
      <c r="I174" s="326"/>
      <c r="J174" s="326"/>
      <c r="K174" s="326"/>
      <c r="L174" s="660"/>
      <c r="M174" s="326"/>
      <c r="N174" s="328"/>
      <c r="O174" s="327"/>
      <c r="P174" s="326"/>
      <c r="Q174" s="326"/>
      <c r="R174" s="326"/>
      <c r="S174" s="756"/>
      <c r="T174" s="326"/>
      <c r="U174" s="757"/>
      <c r="V174" s="327"/>
      <c r="W174" s="758"/>
      <c r="X174" s="759"/>
      <c r="Y174" s="326"/>
      <c r="Z174" s="326"/>
      <c r="AA174" s="326"/>
      <c r="AB174" s="287">
        <f t="shared" si="31"/>
        <v>0</v>
      </c>
      <c r="AC174" s="288">
        <v>1940.0</v>
      </c>
      <c r="AD174" s="289">
        <f t="shared" si="32"/>
        <v>0</v>
      </c>
      <c r="AE174" s="17"/>
      <c r="AF174" s="257"/>
      <c r="AG174" s="257"/>
    </row>
    <row r="175">
      <c r="A175" s="279" t="s">
        <v>253</v>
      </c>
      <c r="B175" s="755"/>
      <c r="C175" s="326"/>
      <c r="D175" s="326"/>
      <c r="E175" s="710"/>
      <c r="F175" s="326"/>
      <c r="G175" s="328"/>
      <c r="H175" s="327"/>
      <c r="I175" s="326"/>
      <c r="J175" s="326"/>
      <c r="K175" s="326"/>
      <c r="L175" s="660"/>
      <c r="M175" s="326"/>
      <c r="N175" s="328"/>
      <c r="O175" s="327"/>
      <c r="P175" s="326"/>
      <c r="Q175" s="326"/>
      <c r="R175" s="326"/>
      <c r="S175" s="756"/>
      <c r="T175" s="326"/>
      <c r="U175" s="757"/>
      <c r="V175" s="327"/>
      <c r="W175" s="758"/>
      <c r="X175" s="760"/>
      <c r="Y175" s="326"/>
      <c r="Z175" s="326"/>
      <c r="AA175" s="326"/>
      <c r="AB175" s="287">
        <f t="shared" si="31"/>
        <v>0</v>
      </c>
      <c r="AC175" s="288">
        <v>2000.0</v>
      </c>
      <c r="AD175" s="289">
        <f t="shared" si="32"/>
        <v>0</v>
      </c>
      <c r="AE175" s="17"/>
      <c r="AF175" s="257"/>
      <c r="AG175" s="257"/>
    </row>
    <row r="176">
      <c r="A176" s="279" t="s">
        <v>255</v>
      </c>
      <c r="B176" s="755"/>
      <c r="C176" s="326"/>
      <c r="D176" s="326"/>
      <c r="E176" s="710"/>
      <c r="F176" s="326"/>
      <c r="G176" s="328"/>
      <c r="H176" s="327"/>
      <c r="I176" s="326"/>
      <c r="J176" s="326"/>
      <c r="K176" s="326"/>
      <c r="L176" s="660"/>
      <c r="M176" s="326"/>
      <c r="N176" s="328"/>
      <c r="O176" s="327"/>
      <c r="P176" s="326"/>
      <c r="Q176" s="326"/>
      <c r="R176" s="326"/>
      <c r="S176" s="756"/>
      <c r="T176" s="326"/>
      <c r="U176" s="757"/>
      <c r="V176" s="327"/>
      <c r="W176" s="758"/>
      <c r="X176" s="759"/>
      <c r="Y176" s="326"/>
      <c r="Z176" s="326"/>
      <c r="AA176" s="326"/>
      <c r="AB176" s="287">
        <f t="shared" si="31"/>
        <v>0</v>
      </c>
      <c r="AC176" s="288">
        <v>2140.0</v>
      </c>
      <c r="AD176" s="289">
        <f t="shared" si="32"/>
        <v>0</v>
      </c>
      <c r="AE176" s="17"/>
      <c r="AF176" s="257"/>
      <c r="AG176" s="257"/>
    </row>
    <row r="177">
      <c r="A177" s="279" t="s">
        <v>256</v>
      </c>
      <c r="B177" s="755"/>
      <c r="C177" s="326"/>
      <c r="D177" s="326"/>
      <c r="E177" s="710"/>
      <c r="F177" s="326"/>
      <c r="G177" s="328"/>
      <c r="H177" s="327"/>
      <c r="I177" s="326"/>
      <c r="J177" s="326"/>
      <c r="K177" s="326"/>
      <c r="L177" s="660"/>
      <c r="M177" s="326"/>
      <c r="N177" s="328"/>
      <c r="O177" s="327"/>
      <c r="P177" s="326"/>
      <c r="Q177" s="326"/>
      <c r="R177" s="326"/>
      <c r="S177" s="756"/>
      <c r="T177" s="326"/>
      <c r="U177" s="757"/>
      <c r="V177" s="327"/>
      <c r="W177" s="758"/>
      <c r="X177" s="759"/>
      <c r="Y177" s="336"/>
      <c r="Z177" s="326"/>
      <c r="AA177" s="326"/>
      <c r="AB177" s="287">
        <f t="shared" si="31"/>
        <v>0</v>
      </c>
      <c r="AC177" s="288">
        <v>2500.0</v>
      </c>
      <c r="AD177" s="289">
        <f t="shared" si="32"/>
        <v>0</v>
      </c>
      <c r="AE177" s="17"/>
      <c r="AF177" s="257"/>
      <c r="AG177" s="257"/>
    </row>
    <row r="178">
      <c r="A178" s="279" t="s">
        <v>279</v>
      </c>
      <c r="B178" s="755"/>
      <c r="C178" s="326"/>
      <c r="D178" s="326"/>
      <c r="E178" s="761"/>
      <c r="F178" s="326"/>
      <c r="G178" s="328"/>
      <c r="H178" s="327"/>
      <c r="I178" s="326"/>
      <c r="J178" s="326"/>
      <c r="K178" s="326"/>
      <c r="L178" s="762"/>
      <c r="M178" s="326"/>
      <c r="N178" s="328"/>
      <c r="O178" s="327"/>
      <c r="P178" s="326"/>
      <c r="Q178" s="326"/>
      <c r="R178" s="326"/>
      <c r="S178" s="756"/>
      <c r="T178" s="326"/>
      <c r="U178" s="757"/>
      <c r="V178" s="327"/>
      <c r="W178" s="758"/>
      <c r="X178" s="759"/>
      <c r="Y178" s="336"/>
      <c r="Z178" s="326"/>
      <c r="AA178" s="326"/>
      <c r="AB178" s="287">
        <f t="shared" si="31"/>
        <v>0</v>
      </c>
      <c r="AC178" s="288">
        <v>1300.0</v>
      </c>
      <c r="AD178" s="289">
        <f t="shared" si="32"/>
        <v>0</v>
      </c>
      <c r="AE178" s="17"/>
      <c r="AF178" s="257"/>
      <c r="AG178" s="257"/>
    </row>
    <row r="179">
      <c r="A179" s="279" t="s">
        <v>259</v>
      </c>
      <c r="B179" s="755"/>
      <c r="C179" s="326"/>
      <c r="D179" s="326"/>
      <c r="E179" s="710"/>
      <c r="F179" s="326"/>
      <c r="G179" s="328"/>
      <c r="H179" s="327"/>
      <c r="I179" s="326"/>
      <c r="J179" s="326"/>
      <c r="K179" s="326"/>
      <c r="L179" s="660"/>
      <c r="M179" s="326"/>
      <c r="N179" s="328"/>
      <c r="O179" s="327"/>
      <c r="P179" s="326"/>
      <c r="Q179" s="326"/>
      <c r="R179" s="326"/>
      <c r="S179" s="756"/>
      <c r="T179" s="326"/>
      <c r="U179" s="757"/>
      <c r="V179" s="327"/>
      <c r="W179" s="758"/>
      <c r="X179" s="759"/>
      <c r="Y179" s="326"/>
      <c r="Z179" s="326"/>
      <c r="AA179" s="326"/>
      <c r="AB179" s="287">
        <f t="shared" si="31"/>
        <v>0</v>
      </c>
      <c r="AC179" s="288">
        <v>2500.0</v>
      </c>
      <c r="AD179" s="289">
        <f t="shared" si="32"/>
        <v>0</v>
      </c>
      <c r="AE179" s="17"/>
      <c r="AF179" s="257"/>
      <c r="AG179" s="257"/>
    </row>
    <row r="180">
      <c r="A180" s="279" t="s">
        <v>259</v>
      </c>
      <c r="B180" s="755"/>
      <c r="C180" s="326"/>
      <c r="D180" s="326"/>
      <c r="E180" s="710"/>
      <c r="F180" s="326"/>
      <c r="G180" s="328"/>
      <c r="H180" s="327"/>
      <c r="I180" s="326"/>
      <c r="J180" s="326"/>
      <c r="K180" s="326"/>
      <c r="L180" s="660"/>
      <c r="M180" s="326"/>
      <c r="N180" s="328"/>
      <c r="O180" s="327"/>
      <c r="P180" s="326"/>
      <c r="Q180" s="326"/>
      <c r="R180" s="326"/>
      <c r="S180" s="756"/>
      <c r="T180" s="326"/>
      <c r="U180" s="757"/>
      <c r="V180" s="327"/>
      <c r="W180" s="758"/>
      <c r="X180" s="759"/>
      <c r="Y180" s="326"/>
      <c r="Z180" s="326"/>
      <c r="AA180" s="326"/>
      <c r="AB180" s="287">
        <f t="shared" si="31"/>
        <v>0</v>
      </c>
      <c r="AC180" s="288">
        <v>2600.0</v>
      </c>
      <c r="AD180" s="289">
        <f t="shared" si="32"/>
        <v>0</v>
      </c>
      <c r="AE180" s="17"/>
      <c r="AF180" s="257"/>
      <c r="AG180" s="257"/>
    </row>
    <row r="181">
      <c r="A181" s="279" t="s">
        <v>261</v>
      </c>
      <c r="B181" s="755"/>
      <c r="C181" s="326"/>
      <c r="D181" s="326"/>
      <c r="E181" s="710"/>
      <c r="F181" s="326"/>
      <c r="G181" s="328"/>
      <c r="H181" s="327"/>
      <c r="I181" s="326"/>
      <c r="J181" s="326"/>
      <c r="K181" s="326"/>
      <c r="L181" s="660"/>
      <c r="M181" s="326"/>
      <c r="N181" s="328"/>
      <c r="O181" s="327"/>
      <c r="P181" s="326"/>
      <c r="Q181" s="326"/>
      <c r="R181" s="326"/>
      <c r="S181" s="756"/>
      <c r="T181" s="326"/>
      <c r="U181" s="757"/>
      <c r="V181" s="327"/>
      <c r="W181" s="758"/>
      <c r="X181" s="759"/>
      <c r="Y181" s="326"/>
      <c r="Z181" s="326"/>
      <c r="AA181" s="326"/>
      <c r="AB181" s="287">
        <f t="shared" si="31"/>
        <v>0</v>
      </c>
      <c r="AC181" s="288">
        <v>1400.0</v>
      </c>
      <c r="AD181" s="289">
        <f t="shared" si="32"/>
        <v>0</v>
      </c>
      <c r="AE181" s="17"/>
      <c r="AF181" s="257"/>
      <c r="AG181" s="257"/>
    </row>
    <row r="182">
      <c r="A182" s="279" t="s">
        <v>261</v>
      </c>
      <c r="B182" s="755"/>
      <c r="C182" s="326"/>
      <c r="D182" s="326"/>
      <c r="E182" s="710"/>
      <c r="F182" s="326"/>
      <c r="G182" s="328"/>
      <c r="H182" s="327"/>
      <c r="I182" s="326"/>
      <c r="J182" s="326"/>
      <c r="K182" s="326"/>
      <c r="L182" s="660"/>
      <c r="M182" s="326"/>
      <c r="N182" s="328"/>
      <c r="O182" s="327"/>
      <c r="P182" s="326"/>
      <c r="Q182" s="326"/>
      <c r="R182" s="336"/>
      <c r="S182" s="756"/>
      <c r="T182" s="326"/>
      <c r="U182" s="757"/>
      <c r="V182" s="327"/>
      <c r="W182" s="758"/>
      <c r="X182" s="759"/>
      <c r="Y182" s="326"/>
      <c r="Z182" s="326"/>
      <c r="AA182" s="326"/>
      <c r="AB182" s="287">
        <f t="shared" si="31"/>
        <v>0</v>
      </c>
      <c r="AC182" s="288">
        <v>1900.0</v>
      </c>
      <c r="AD182" s="289">
        <f t="shared" si="32"/>
        <v>0</v>
      </c>
      <c r="AE182" s="17"/>
      <c r="AF182" s="257"/>
      <c r="AG182" s="257"/>
    </row>
    <row r="183">
      <c r="A183" s="279" t="s">
        <v>262</v>
      </c>
      <c r="B183" s="755"/>
      <c r="C183" s="326"/>
      <c r="D183" s="326"/>
      <c r="E183" s="710"/>
      <c r="F183" s="326"/>
      <c r="G183" s="328"/>
      <c r="H183" s="327"/>
      <c r="I183" s="326"/>
      <c r="J183" s="326"/>
      <c r="K183" s="326"/>
      <c r="L183" s="660"/>
      <c r="M183" s="326"/>
      <c r="N183" s="328"/>
      <c r="O183" s="327"/>
      <c r="P183" s="326"/>
      <c r="Q183" s="326"/>
      <c r="R183" s="326"/>
      <c r="S183" s="756"/>
      <c r="T183" s="326"/>
      <c r="U183" s="757"/>
      <c r="V183" s="327"/>
      <c r="W183" s="758"/>
      <c r="X183" s="759"/>
      <c r="Y183" s="326"/>
      <c r="Z183" s="326"/>
      <c r="AA183" s="326"/>
      <c r="AB183" s="287">
        <f t="shared" si="31"/>
        <v>0</v>
      </c>
      <c r="AC183" s="288">
        <v>1300.0</v>
      </c>
      <c r="AD183" s="289">
        <f t="shared" si="32"/>
        <v>0</v>
      </c>
      <c r="AE183" s="17"/>
      <c r="AF183" s="257"/>
      <c r="AG183" s="257"/>
    </row>
    <row r="184">
      <c r="A184" s="346" t="s">
        <v>262</v>
      </c>
      <c r="B184" s="763"/>
      <c r="C184" s="347"/>
      <c r="D184" s="347"/>
      <c r="E184" s="731"/>
      <c r="F184" s="347"/>
      <c r="G184" s="349"/>
      <c r="H184" s="348"/>
      <c r="I184" s="347"/>
      <c r="J184" s="347"/>
      <c r="K184" s="347"/>
      <c r="L184" s="700"/>
      <c r="M184" s="347"/>
      <c r="N184" s="349"/>
      <c r="O184" s="348"/>
      <c r="P184" s="347"/>
      <c r="Q184" s="347"/>
      <c r="R184" s="347"/>
      <c r="S184" s="764"/>
      <c r="T184" s="347"/>
      <c r="U184" s="765"/>
      <c r="V184" s="348"/>
      <c r="W184" s="766"/>
      <c r="X184" s="767"/>
      <c r="Y184" s="347"/>
      <c r="Z184" s="347"/>
      <c r="AA184" s="347"/>
      <c r="AB184" s="287">
        <f t="shared" si="31"/>
        <v>0</v>
      </c>
      <c r="AC184" s="357">
        <v>1800.0</v>
      </c>
      <c r="AD184" s="358">
        <f t="shared" si="32"/>
        <v>0</v>
      </c>
      <c r="AE184" s="17"/>
      <c r="AF184" s="257"/>
      <c r="AG184" s="257"/>
    </row>
    <row r="185">
      <c r="A185" s="254" t="s">
        <v>45</v>
      </c>
      <c r="B185" s="128"/>
      <c r="C185" s="128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9"/>
      <c r="AD185" s="362">
        <f>SUM(AD172:AD184)</f>
        <v>0</v>
      </c>
      <c r="AE185" s="17"/>
      <c r="AF185" s="257"/>
      <c r="AG185" s="257"/>
    </row>
    <row r="186">
      <c r="A186" s="307" t="s">
        <v>264</v>
      </c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97"/>
      <c r="AE186" s="17"/>
      <c r="AF186" s="257"/>
      <c r="AG186" s="257"/>
    </row>
    <row r="187">
      <c r="A187" s="308" t="s">
        <v>265</v>
      </c>
      <c r="B187" s="38"/>
      <c r="C187" s="38"/>
      <c r="D187" s="38"/>
      <c r="E187" s="733"/>
      <c r="F187" s="50"/>
      <c r="G187" s="55"/>
      <c r="H187" s="40"/>
      <c r="I187" s="50"/>
      <c r="J187" s="39"/>
      <c r="K187" s="39">
        <v>2.0</v>
      </c>
      <c r="L187" s="56"/>
      <c r="M187" s="50"/>
      <c r="N187" s="55"/>
      <c r="O187" s="40"/>
      <c r="P187" s="50"/>
      <c r="Q187" s="50"/>
      <c r="R187" s="50"/>
      <c r="S187" s="768"/>
      <c r="T187" s="50"/>
      <c r="U187" s="769"/>
      <c r="V187" s="40"/>
      <c r="W187" s="770"/>
      <c r="X187" s="771"/>
      <c r="Y187" s="50"/>
      <c r="Z187" s="50"/>
      <c r="AA187" s="50"/>
      <c r="AB187" s="62">
        <f t="shared" ref="AB187:AB192" si="33">SUM(B187:AA187)</f>
        <v>2</v>
      </c>
      <c r="AC187" s="242">
        <v>2100.0</v>
      </c>
      <c r="AD187" s="68">
        <f t="shared" ref="AD187:AD192" si="34">AB187*AC187</f>
        <v>4200</v>
      </c>
      <c r="AE187" s="17"/>
      <c r="AF187" s="155"/>
      <c r="AG187" s="155"/>
    </row>
    <row r="188">
      <c r="A188" s="308" t="s">
        <v>266</v>
      </c>
      <c r="B188" s="38"/>
      <c r="C188" s="38"/>
      <c r="D188" s="36"/>
      <c r="E188" s="733"/>
      <c r="F188" s="50"/>
      <c r="G188" s="55"/>
      <c r="H188" s="40"/>
      <c r="I188" s="50"/>
      <c r="J188" s="50"/>
      <c r="K188" s="50"/>
      <c r="L188" s="56"/>
      <c r="M188" s="39"/>
      <c r="N188" s="55"/>
      <c r="O188" s="40"/>
      <c r="P188" s="50"/>
      <c r="Q188" s="50"/>
      <c r="R188" s="50"/>
      <c r="S188" s="768"/>
      <c r="T188" s="50"/>
      <c r="U188" s="769"/>
      <c r="V188" s="40"/>
      <c r="W188" s="770"/>
      <c r="X188" s="771"/>
      <c r="Y188" s="50"/>
      <c r="Z188" s="50"/>
      <c r="AA188" s="50"/>
      <c r="AB188" s="62">
        <f t="shared" si="33"/>
        <v>0</v>
      </c>
      <c r="AC188" s="242">
        <v>2800.0</v>
      </c>
      <c r="AD188" s="68">
        <f t="shared" si="34"/>
        <v>0</v>
      </c>
      <c r="AE188" s="17"/>
      <c r="AF188" s="155"/>
      <c r="AG188" s="155"/>
    </row>
    <row r="189">
      <c r="A189" s="308" t="s">
        <v>268</v>
      </c>
      <c r="B189" s="38"/>
      <c r="C189" s="38"/>
      <c r="D189" s="38"/>
      <c r="E189" s="733"/>
      <c r="F189" s="50"/>
      <c r="G189" s="55"/>
      <c r="H189" s="40"/>
      <c r="I189" s="50"/>
      <c r="J189" s="39"/>
      <c r="K189" s="50"/>
      <c r="L189" s="56"/>
      <c r="M189" s="39"/>
      <c r="N189" s="55"/>
      <c r="O189" s="565"/>
      <c r="P189" s="50"/>
      <c r="Q189" s="50"/>
      <c r="R189" s="50"/>
      <c r="S189" s="768"/>
      <c r="T189" s="50"/>
      <c r="U189" s="769"/>
      <c r="V189" s="40"/>
      <c r="W189" s="770"/>
      <c r="X189" s="771"/>
      <c r="Y189" s="50"/>
      <c r="Z189" s="50"/>
      <c r="AA189" s="50"/>
      <c r="AB189" s="62">
        <f t="shared" si="33"/>
        <v>0</v>
      </c>
      <c r="AC189" s="242">
        <v>2800.0</v>
      </c>
      <c r="AD189" s="68">
        <f t="shared" si="34"/>
        <v>0</v>
      </c>
      <c r="AE189" s="17"/>
      <c r="AF189" s="155"/>
      <c r="AG189" s="155"/>
    </row>
    <row r="190">
      <c r="A190" s="308" t="s">
        <v>269</v>
      </c>
      <c r="B190" s="38"/>
      <c r="C190" s="38"/>
      <c r="D190" s="36"/>
      <c r="E190" s="733"/>
      <c r="F190" s="50"/>
      <c r="G190" s="55"/>
      <c r="H190" s="40"/>
      <c r="I190" s="50"/>
      <c r="J190" s="50"/>
      <c r="K190" s="50"/>
      <c r="L190" s="56"/>
      <c r="M190" s="50"/>
      <c r="N190" s="55"/>
      <c r="O190" s="40"/>
      <c r="P190" s="50"/>
      <c r="Q190" s="50"/>
      <c r="R190" s="50"/>
      <c r="S190" s="768"/>
      <c r="T190" s="50"/>
      <c r="U190" s="769"/>
      <c r="V190" s="40"/>
      <c r="W190" s="770"/>
      <c r="X190" s="771"/>
      <c r="Y190" s="50"/>
      <c r="Z190" s="50"/>
      <c r="AA190" s="50"/>
      <c r="AB190" s="62">
        <f t="shared" si="33"/>
        <v>0</v>
      </c>
      <c r="AC190" s="242">
        <v>3200.0</v>
      </c>
      <c r="AD190" s="68">
        <f t="shared" si="34"/>
        <v>0</v>
      </c>
      <c r="AE190" s="17"/>
      <c r="AF190" s="155"/>
      <c r="AG190" s="155"/>
    </row>
    <row r="191">
      <c r="A191" s="308" t="s">
        <v>385</v>
      </c>
      <c r="B191" s="38"/>
      <c r="C191" s="38"/>
      <c r="D191" s="36"/>
      <c r="E191" s="733"/>
      <c r="F191" s="50"/>
      <c r="G191" s="55"/>
      <c r="H191" s="40"/>
      <c r="I191" s="50"/>
      <c r="J191" s="50"/>
      <c r="K191" s="50"/>
      <c r="L191" s="56"/>
      <c r="M191" s="50"/>
      <c r="N191" s="55"/>
      <c r="O191" s="40"/>
      <c r="P191" s="50"/>
      <c r="Q191" s="50"/>
      <c r="R191" s="39"/>
      <c r="S191" s="768"/>
      <c r="T191" s="50"/>
      <c r="U191" s="769"/>
      <c r="V191" s="40"/>
      <c r="W191" s="770"/>
      <c r="X191" s="771"/>
      <c r="Y191" s="50"/>
      <c r="Z191" s="50"/>
      <c r="AA191" s="50"/>
      <c r="AB191" s="62">
        <f t="shared" si="33"/>
        <v>0</v>
      </c>
      <c r="AC191" s="242">
        <v>2100.0</v>
      </c>
      <c r="AD191" s="68">
        <f t="shared" si="34"/>
        <v>0</v>
      </c>
      <c r="AE191" s="17"/>
      <c r="AF191" s="155"/>
      <c r="AG191" s="155"/>
    </row>
    <row r="192">
      <c r="A192" s="309" t="s">
        <v>386</v>
      </c>
      <c r="B192" s="172"/>
      <c r="C192" s="172"/>
      <c r="D192" s="158"/>
      <c r="E192" s="735"/>
      <c r="F192" s="159"/>
      <c r="G192" s="163"/>
      <c r="H192" s="160"/>
      <c r="I192" s="159"/>
      <c r="J192" s="159"/>
      <c r="K192" s="159"/>
      <c r="L192" s="173"/>
      <c r="M192" s="159"/>
      <c r="N192" s="163"/>
      <c r="O192" s="160"/>
      <c r="P192" s="159"/>
      <c r="Q192" s="159"/>
      <c r="R192" s="159"/>
      <c r="S192" s="772"/>
      <c r="T192" s="159"/>
      <c r="U192" s="773"/>
      <c r="V192" s="160"/>
      <c r="W192" s="774"/>
      <c r="X192" s="775"/>
      <c r="Y192" s="159"/>
      <c r="Z192" s="159"/>
      <c r="AA192" s="159"/>
      <c r="AB192" s="62">
        <f t="shared" si="33"/>
        <v>0</v>
      </c>
      <c r="AC192" s="249">
        <v>2500.0</v>
      </c>
      <c r="AD192" s="168">
        <f t="shared" si="34"/>
        <v>0</v>
      </c>
      <c r="AE192" s="17"/>
      <c r="AF192" s="155"/>
      <c r="AG192" s="155"/>
    </row>
    <row r="193">
      <c r="A193" s="254" t="s">
        <v>45</v>
      </c>
      <c r="B193" s="128"/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9"/>
      <c r="AD193" s="174">
        <f>SUM(AD187:AD192)</f>
        <v>4200</v>
      </c>
      <c r="AE193" s="17"/>
      <c r="AF193" s="255"/>
      <c r="AG193" s="255"/>
    </row>
    <row r="194">
      <c r="A194" s="314"/>
      <c r="B194" s="313"/>
      <c r="C194" s="313"/>
      <c r="D194" s="313"/>
      <c r="E194" s="737"/>
      <c r="F194" s="314"/>
      <c r="G194" s="318"/>
      <c r="H194" s="315"/>
      <c r="I194" s="314"/>
      <c r="J194" s="314"/>
      <c r="K194" s="314"/>
      <c r="L194" s="776"/>
      <c r="M194" s="314"/>
      <c r="N194" s="318"/>
      <c r="O194" s="315"/>
      <c r="P194" s="314"/>
      <c r="Q194" s="314"/>
      <c r="R194" s="314"/>
      <c r="S194" s="777"/>
      <c r="T194" s="314"/>
      <c r="U194" s="778"/>
      <c r="V194" s="315"/>
      <c r="W194" s="779"/>
      <c r="X194" s="780"/>
      <c r="Y194" s="314"/>
      <c r="Z194" s="314"/>
      <c r="AA194" s="314"/>
      <c r="AB194" s="722" t="s">
        <v>271</v>
      </c>
      <c r="AC194" s="297"/>
      <c r="AD194" s="387">
        <f>AD44+AD48+AD63+AD69+AD74+AD93+AD96+AD110+AD117+AD122+AD135+AD145+AD154+AD161+AD170+AD185+AD193</f>
        <v>1213322</v>
      </c>
      <c r="AE194" s="322"/>
      <c r="AF194" s="323"/>
      <c r="AG194" s="323"/>
    </row>
    <row r="195">
      <c r="A195" s="314"/>
      <c r="B195" s="313"/>
      <c r="C195" s="313"/>
      <c r="D195" s="313"/>
      <c r="E195" s="737"/>
      <c r="F195" s="314"/>
      <c r="G195" s="318"/>
      <c r="H195" s="315"/>
      <c r="I195" s="314"/>
      <c r="J195" s="314"/>
      <c r="K195" s="314"/>
      <c r="L195" s="776"/>
      <c r="M195" s="314"/>
      <c r="N195" s="318"/>
      <c r="O195" s="315"/>
      <c r="P195" s="314"/>
      <c r="Q195" s="314"/>
      <c r="R195" s="314"/>
      <c r="S195" s="777"/>
      <c r="T195" s="314"/>
      <c r="U195" s="778"/>
      <c r="V195" s="315"/>
      <c r="W195" s="779"/>
      <c r="X195" s="780"/>
      <c r="Y195" s="314"/>
      <c r="Z195" s="314"/>
      <c r="AA195" s="314"/>
      <c r="AB195" s="324"/>
      <c r="AC195" s="155"/>
      <c r="AD195" s="155"/>
      <c r="AE195" s="322"/>
      <c r="AF195" s="155"/>
      <c r="AG195" s="132"/>
    </row>
    <row r="196">
      <c r="A196" s="314"/>
      <c r="B196" s="313"/>
      <c r="C196" s="313"/>
      <c r="D196" s="313"/>
      <c r="E196" s="737"/>
      <c r="F196" s="314"/>
      <c r="G196" s="318"/>
      <c r="H196" s="315"/>
      <c r="I196" s="314"/>
      <c r="J196" s="314"/>
      <c r="K196" s="314"/>
      <c r="L196" s="776"/>
      <c r="M196" s="314"/>
      <c r="N196" s="318"/>
      <c r="O196" s="315"/>
      <c r="P196" s="314"/>
      <c r="Q196" s="314"/>
      <c r="R196" s="314"/>
      <c r="S196" s="777"/>
      <c r="T196" s="314"/>
      <c r="U196" s="778"/>
      <c r="V196" s="315"/>
      <c r="W196" s="779"/>
      <c r="X196" s="780"/>
      <c r="Y196" s="314"/>
      <c r="Z196" s="314"/>
      <c r="AA196" s="314"/>
      <c r="AB196" s="324"/>
      <c r="AC196" s="155"/>
      <c r="AD196" s="155"/>
      <c r="AE196" s="322"/>
      <c r="AF196" s="155"/>
      <c r="AG196" s="132"/>
    </row>
    <row r="197">
      <c r="A197" s="314"/>
      <c r="B197" s="313"/>
      <c r="C197" s="313"/>
      <c r="D197" s="313"/>
      <c r="E197" s="737"/>
      <c r="F197" s="314"/>
      <c r="G197" s="318"/>
      <c r="H197" s="315"/>
      <c r="I197" s="314"/>
      <c r="J197" s="314"/>
      <c r="K197" s="314"/>
      <c r="L197" s="776"/>
      <c r="M197" s="314"/>
      <c r="N197" s="318"/>
      <c r="O197" s="315"/>
      <c r="P197" s="314"/>
      <c r="Q197" s="314"/>
      <c r="R197" s="314"/>
      <c r="S197" s="777"/>
      <c r="T197" s="314"/>
      <c r="U197" s="778"/>
      <c r="V197" s="315"/>
      <c r="W197" s="779"/>
      <c r="X197" s="780"/>
      <c r="Y197" s="314"/>
      <c r="Z197" s="314"/>
      <c r="AA197" s="314"/>
      <c r="AB197" s="324"/>
      <c r="AC197" s="155"/>
      <c r="AD197" s="155"/>
      <c r="AE197" s="322"/>
      <c r="AF197" s="155"/>
      <c r="AG197" s="132"/>
    </row>
    <row r="198">
      <c r="A198" s="314"/>
      <c r="B198" s="313"/>
      <c r="C198" s="313"/>
      <c r="D198" s="313"/>
      <c r="E198" s="737"/>
      <c r="F198" s="314"/>
      <c r="G198" s="318"/>
      <c r="H198" s="315"/>
      <c r="I198" s="314"/>
      <c r="J198" s="314"/>
      <c r="K198" s="314"/>
      <c r="L198" s="776"/>
      <c r="M198" s="314"/>
      <c r="N198" s="318"/>
      <c r="O198" s="315"/>
      <c r="P198" s="314"/>
      <c r="Q198" s="314"/>
      <c r="R198" s="314"/>
      <c r="S198" s="777"/>
      <c r="T198" s="314"/>
      <c r="U198" s="778"/>
      <c r="V198" s="315"/>
      <c r="W198" s="779"/>
      <c r="X198" s="780"/>
      <c r="Y198" s="314"/>
      <c r="Z198" s="314"/>
      <c r="AA198" s="314"/>
      <c r="AB198" s="324"/>
      <c r="AC198" s="155"/>
      <c r="AD198" s="155"/>
      <c r="AE198" s="322"/>
      <c r="AF198" s="155"/>
      <c r="AG198" s="132"/>
    </row>
    <row r="199">
      <c r="A199" s="314"/>
      <c r="B199" s="313"/>
      <c r="C199" s="313"/>
      <c r="D199" s="313"/>
      <c r="E199" s="737"/>
      <c r="F199" s="314"/>
      <c r="G199" s="318"/>
      <c r="H199" s="315"/>
      <c r="I199" s="314"/>
      <c r="J199" s="314"/>
      <c r="K199" s="314"/>
      <c r="L199" s="776"/>
      <c r="M199" s="314"/>
      <c r="N199" s="318"/>
      <c r="O199" s="315"/>
      <c r="P199" s="314"/>
      <c r="Q199" s="314"/>
      <c r="R199" s="314"/>
      <c r="S199" s="777"/>
      <c r="T199" s="314"/>
      <c r="U199" s="778"/>
      <c r="V199" s="315"/>
      <c r="W199" s="779"/>
      <c r="X199" s="780"/>
      <c r="Y199" s="314"/>
      <c r="Z199" s="314"/>
      <c r="AA199" s="314"/>
      <c r="AB199" s="324"/>
      <c r="AC199" s="155"/>
      <c r="AD199" s="155"/>
      <c r="AE199" s="322"/>
      <c r="AF199" s="155"/>
      <c r="AG199" s="132"/>
    </row>
    <row r="200">
      <c r="A200" s="314"/>
      <c r="B200" s="313"/>
      <c r="C200" s="313"/>
      <c r="D200" s="313"/>
      <c r="E200" s="737"/>
      <c r="F200" s="314"/>
      <c r="G200" s="318"/>
      <c r="H200" s="315"/>
      <c r="I200" s="314"/>
      <c r="J200" s="314"/>
      <c r="K200" s="314"/>
      <c r="L200" s="776"/>
      <c r="M200" s="314"/>
      <c r="N200" s="318"/>
      <c r="O200" s="315"/>
      <c r="P200" s="314"/>
      <c r="Q200" s="314"/>
      <c r="R200" s="314"/>
      <c r="S200" s="777"/>
      <c r="T200" s="314"/>
      <c r="U200" s="778"/>
      <c r="V200" s="315"/>
      <c r="W200" s="779"/>
      <c r="X200" s="780"/>
      <c r="Y200" s="314"/>
      <c r="Z200" s="314"/>
      <c r="AA200" s="314"/>
      <c r="AB200" s="324"/>
      <c r="AC200" s="155"/>
      <c r="AD200" s="155"/>
      <c r="AE200" s="322"/>
      <c r="AF200" s="155"/>
      <c r="AG200" s="132"/>
    </row>
    <row r="201">
      <c r="A201" s="314"/>
      <c r="B201" s="313"/>
      <c r="C201" s="313"/>
      <c r="D201" s="313"/>
      <c r="E201" s="737"/>
      <c r="F201" s="314"/>
      <c r="G201" s="318"/>
      <c r="H201" s="315"/>
      <c r="I201" s="314"/>
      <c r="J201" s="314"/>
      <c r="K201" s="314"/>
      <c r="L201" s="776"/>
      <c r="M201" s="314"/>
      <c r="N201" s="318"/>
      <c r="O201" s="315"/>
      <c r="P201" s="314"/>
      <c r="Q201" s="314"/>
      <c r="R201" s="314"/>
      <c r="S201" s="777"/>
      <c r="T201" s="314"/>
      <c r="U201" s="778"/>
      <c r="V201" s="315"/>
      <c r="W201" s="779"/>
      <c r="X201" s="780"/>
      <c r="Y201" s="314"/>
      <c r="Z201" s="314"/>
      <c r="AA201" s="314"/>
      <c r="AB201" s="324"/>
      <c r="AC201" s="155"/>
      <c r="AD201" s="155"/>
      <c r="AE201" s="322"/>
      <c r="AF201" s="155"/>
      <c r="AG201" s="132"/>
    </row>
    <row r="202">
      <c r="A202" s="314"/>
      <c r="B202" s="313"/>
      <c r="C202" s="313"/>
      <c r="D202" s="313"/>
      <c r="E202" s="737"/>
      <c r="F202" s="314"/>
      <c r="G202" s="318"/>
      <c r="H202" s="315"/>
      <c r="I202" s="314"/>
      <c r="J202" s="314"/>
      <c r="K202" s="314"/>
      <c r="L202" s="776"/>
      <c r="M202" s="314"/>
      <c r="N202" s="318"/>
      <c r="O202" s="315"/>
      <c r="P202" s="314"/>
      <c r="Q202" s="314"/>
      <c r="R202" s="314"/>
      <c r="S202" s="777"/>
      <c r="T202" s="314"/>
      <c r="U202" s="778"/>
      <c r="V202" s="315"/>
      <c r="W202" s="779"/>
      <c r="X202" s="780"/>
      <c r="Y202" s="314"/>
      <c r="Z202" s="314"/>
      <c r="AA202" s="314"/>
      <c r="AB202" s="324"/>
      <c r="AC202" s="155"/>
      <c r="AD202" s="155"/>
      <c r="AE202" s="322"/>
      <c r="AF202" s="155"/>
      <c r="AG202" s="132"/>
    </row>
    <row r="203">
      <c r="A203" s="314"/>
      <c r="B203" s="313"/>
      <c r="C203" s="313"/>
      <c r="D203" s="313"/>
      <c r="E203" s="737"/>
      <c r="F203" s="314"/>
      <c r="G203" s="318"/>
      <c r="H203" s="315"/>
      <c r="I203" s="314"/>
      <c r="J203" s="314"/>
      <c r="K203" s="314"/>
      <c r="L203" s="776"/>
      <c r="M203" s="314"/>
      <c r="N203" s="318"/>
      <c r="O203" s="315"/>
      <c r="P203" s="314"/>
      <c r="Q203" s="314"/>
      <c r="R203" s="314"/>
      <c r="S203" s="777"/>
      <c r="T203" s="314"/>
      <c r="U203" s="778"/>
      <c r="V203" s="315"/>
      <c r="W203" s="779"/>
      <c r="X203" s="780"/>
      <c r="Y203" s="314"/>
      <c r="Z203" s="314"/>
      <c r="AA203" s="314"/>
      <c r="AB203" s="324"/>
      <c r="AC203" s="155"/>
      <c r="AD203" s="155"/>
      <c r="AE203" s="322"/>
      <c r="AF203" s="155"/>
      <c r="AG203" s="132"/>
    </row>
    <row r="204">
      <c r="A204" s="314"/>
      <c r="B204" s="313"/>
      <c r="C204" s="313"/>
      <c r="D204" s="313"/>
      <c r="E204" s="737"/>
      <c r="F204" s="314"/>
      <c r="G204" s="318"/>
      <c r="H204" s="315"/>
      <c r="I204" s="314"/>
      <c r="J204" s="314"/>
      <c r="K204" s="314"/>
      <c r="L204" s="776"/>
      <c r="M204" s="314"/>
      <c r="N204" s="318"/>
      <c r="O204" s="315"/>
      <c r="P204" s="314"/>
      <c r="Q204" s="314"/>
      <c r="R204" s="314"/>
      <c r="S204" s="777"/>
      <c r="T204" s="314"/>
      <c r="U204" s="778"/>
      <c r="V204" s="315"/>
      <c r="W204" s="779"/>
      <c r="X204" s="780"/>
      <c r="Y204" s="314"/>
      <c r="Z204" s="314"/>
      <c r="AA204" s="314"/>
      <c r="AB204" s="324"/>
      <c r="AC204" s="155"/>
      <c r="AD204" s="155"/>
      <c r="AE204" s="322"/>
      <c r="AF204" s="155"/>
      <c r="AG204" s="132"/>
    </row>
    <row r="205">
      <c r="A205" s="314"/>
      <c r="B205" s="313"/>
      <c r="C205" s="313"/>
      <c r="D205" s="313"/>
      <c r="E205" s="737"/>
      <c r="F205" s="314"/>
      <c r="G205" s="318"/>
      <c r="H205" s="315"/>
      <c r="I205" s="314"/>
      <c r="J205" s="314"/>
      <c r="K205" s="314"/>
      <c r="L205" s="776"/>
      <c r="M205" s="314"/>
      <c r="N205" s="318"/>
      <c r="O205" s="315"/>
      <c r="P205" s="314"/>
      <c r="Q205" s="314"/>
      <c r="R205" s="314"/>
      <c r="S205" s="777"/>
      <c r="T205" s="314"/>
      <c r="U205" s="778"/>
      <c r="V205" s="315"/>
      <c r="W205" s="779"/>
      <c r="X205" s="780"/>
      <c r="Y205" s="314"/>
      <c r="Z205" s="314"/>
      <c r="AA205" s="314"/>
      <c r="AB205" s="324"/>
      <c r="AC205" s="155"/>
      <c r="AD205" s="155"/>
      <c r="AE205" s="322"/>
      <c r="AF205" s="155"/>
      <c r="AG205" s="132"/>
    </row>
    <row r="206">
      <c r="A206" s="314"/>
      <c r="B206" s="313"/>
      <c r="C206" s="313"/>
      <c r="D206" s="313"/>
      <c r="E206" s="737"/>
      <c r="F206" s="314"/>
      <c r="G206" s="318"/>
      <c r="H206" s="315"/>
      <c r="I206" s="314"/>
      <c r="J206" s="314"/>
      <c r="K206" s="314"/>
      <c r="L206" s="776"/>
      <c r="M206" s="314"/>
      <c r="N206" s="318"/>
      <c r="O206" s="315"/>
      <c r="P206" s="314"/>
      <c r="Q206" s="314"/>
      <c r="R206" s="314"/>
      <c r="S206" s="777"/>
      <c r="T206" s="314"/>
      <c r="U206" s="778"/>
      <c r="V206" s="315"/>
      <c r="W206" s="779"/>
      <c r="X206" s="780"/>
      <c r="Y206" s="314"/>
      <c r="Z206" s="314"/>
      <c r="AA206" s="314"/>
      <c r="AB206" s="324"/>
      <c r="AC206" s="155"/>
      <c r="AD206" s="155"/>
      <c r="AE206" s="322"/>
      <c r="AF206" s="155"/>
      <c r="AG206" s="132"/>
    </row>
    <row r="207">
      <c r="A207" s="314"/>
      <c r="B207" s="313"/>
      <c r="C207" s="313"/>
      <c r="D207" s="313"/>
      <c r="E207" s="737"/>
      <c r="F207" s="314"/>
      <c r="G207" s="318"/>
      <c r="H207" s="315"/>
      <c r="I207" s="314"/>
      <c r="J207" s="314"/>
      <c r="K207" s="314"/>
      <c r="L207" s="776"/>
      <c r="M207" s="314"/>
      <c r="N207" s="318"/>
      <c r="O207" s="315"/>
      <c r="P207" s="314"/>
      <c r="Q207" s="314"/>
      <c r="R207" s="314"/>
      <c r="S207" s="777"/>
      <c r="T207" s="314"/>
      <c r="U207" s="778"/>
      <c r="V207" s="315"/>
      <c r="W207" s="779"/>
      <c r="X207" s="780"/>
      <c r="Y207" s="314"/>
      <c r="Z207" s="314"/>
      <c r="AA207" s="314"/>
      <c r="AB207" s="324"/>
      <c r="AC207" s="155"/>
      <c r="AD207" s="155"/>
      <c r="AE207" s="322"/>
      <c r="AF207" s="155"/>
      <c r="AG207" s="132"/>
    </row>
    <row r="208">
      <c r="A208" s="314"/>
      <c r="B208" s="313"/>
      <c r="C208" s="313"/>
      <c r="D208" s="313"/>
      <c r="E208" s="737"/>
      <c r="F208" s="314"/>
      <c r="G208" s="318"/>
      <c r="H208" s="315"/>
      <c r="I208" s="314"/>
      <c r="J208" s="314"/>
      <c r="K208" s="314"/>
      <c r="L208" s="776"/>
      <c r="M208" s="314"/>
      <c r="N208" s="318"/>
      <c r="O208" s="315"/>
      <c r="P208" s="314"/>
      <c r="Q208" s="314"/>
      <c r="R208" s="314"/>
      <c r="S208" s="777"/>
      <c r="T208" s="314"/>
      <c r="U208" s="778"/>
      <c r="V208" s="315"/>
      <c r="W208" s="779"/>
      <c r="X208" s="780"/>
      <c r="Y208" s="314"/>
      <c r="Z208" s="314"/>
      <c r="AA208" s="314"/>
      <c r="AB208" s="324"/>
      <c r="AC208" s="155"/>
      <c r="AD208" s="155"/>
      <c r="AE208" s="322"/>
      <c r="AF208" s="155"/>
      <c r="AG208" s="132"/>
    </row>
    <row r="209">
      <c r="A209" s="314"/>
      <c r="B209" s="313"/>
      <c r="C209" s="313"/>
      <c r="D209" s="313"/>
      <c r="E209" s="737"/>
      <c r="F209" s="314"/>
      <c r="G209" s="318"/>
      <c r="H209" s="315"/>
      <c r="I209" s="314"/>
      <c r="J209" s="314"/>
      <c r="K209" s="314"/>
      <c r="L209" s="776"/>
      <c r="M209" s="314"/>
      <c r="N209" s="318"/>
      <c r="O209" s="315"/>
      <c r="P209" s="314"/>
      <c r="Q209" s="314"/>
      <c r="R209" s="314"/>
      <c r="S209" s="777"/>
      <c r="T209" s="314"/>
      <c r="U209" s="778"/>
      <c r="V209" s="315"/>
      <c r="W209" s="779"/>
      <c r="X209" s="780"/>
      <c r="Y209" s="314"/>
      <c r="Z209" s="314"/>
      <c r="AA209" s="314"/>
      <c r="AB209" s="324"/>
      <c r="AC209" s="155"/>
      <c r="AD209" s="155"/>
      <c r="AE209" s="322"/>
      <c r="AF209" s="155"/>
      <c r="AG209" s="132"/>
    </row>
    <row r="210">
      <c r="A210" s="314"/>
      <c r="B210" s="313"/>
      <c r="C210" s="313"/>
      <c r="D210" s="313"/>
      <c r="E210" s="737"/>
      <c r="F210" s="314"/>
      <c r="G210" s="318"/>
      <c r="H210" s="315"/>
      <c r="I210" s="314"/>
      <c r="J210" s="314"/>
      <c r="K210" s="314"/>
      <c r="L210" s="776"/>
      <c r="M210" s="314"/>
      <c r="N210" s="318"/>
      <c r="O210" s="315"/>
      <c r="P210" s="314"/>
      <c r="Q210" s="314"/>
      <c r="R210" s="314"/>
      <c r="S210" s="777"/>
      <c r="T210" s="314"/>
      <c r="U210" s="778"/>
      <c r="V210" s="315"/>
      <c r="W210" s="779"/>
      <c r="X210" s="780"/>
      <c r="Y210" s="314"/>
      <c r="Z210" s="314"/>
      <c r="AA210" s="314"/>
      <c r="AB210" s="324"/>
      <c r="AC210" s="155"/>
      <c r="AD210" s="155"/>
      <c r="AE210" s="322"/>
      <c r="AF210" s="155"/>
      <c r="AG210" s="132"/>
    </row>
    <row r="211">
      <c r="A211" s="314"/>
      <c r="B211" s="313"/>
      <c r="C211" s="313"/>
      <c r="D211" s="313"/>
      <c r="E211" s="737"/>
      <c r="F211" s="314"/>
      <c r="G211" s="318"/>
      <c r="H211" s="315"/>
      <c r="I211" s="314"/>
      <c r="J211" s="314"/>
      <c r="K211" s="314"/>
      <c r="L211" s="776"/>
      <c r="M211" s="314"/>
      <c r="N211" s="318"/>
      <c r="O211" s="315"/>
      <c r="P211" s="314"/>
      <c r="Q211" s="314"/>
      <c r="R211" s="314"/>
      <c r="S211" s="777"/>
      <c r="T211" s="314"/>
      <c r="U211" s="778"/>
      <c r="V211" s="315"/>
      <c r="W211" s="779"/>
      <c r="X211" s="780"/>
      <c r="Y211" s="314"/>
      <c r="Z211" s="314"/>
      <c r="AA211" s="314"/>
      <c r="AB211" s="324"/>
      <c r="AC211" s="155"/>
      <c r="AD211" s="155"/>
      <c r="AE211" s="322"/>
      <c r="AF211" s="155"/>
      <c r="AG211" s="132"/>
    </row>
    <row r="212">
      <c r="A212" s="314"/>
      <c r="B212" s="313"/>
      <c r="C212" s="313"/>
      <c r="D212" s="313"/>
      <c r="E212" s="737"/>
      <c r="F212" s="314"/>
      <c r="G212" s="318"/>
      <c r="H212" s="315"/>
      <c r="I212" s="314"/>
      <c r="J212" s="314"/>
      <c r="K212" s="314"/>
      <c r="L212" s="776"/>
      <c r="M212" s="314"/>
      <c r="N212" s="318"/>
      <c r="O212" s="315"/>
      <c r="P212" s="314"/>
      <c r="Q212" s="314"/>
      <c r="R212" s="314"/>
      <c r="S212" s="777"/>
      <c r="T212" s="314"/>
      <c r="U212" s="778"/>
      <c r="V212" s="315"/>
      <c r="W212" s="779"/>
      <c r="X212" s="780"/>
      <c r="Y212" s="314"/>
      <c r="Z212" s="314"/>
      <c r="AA212" s="314"/>
      <c r="AB212" s="324"/>
      <c r="AC212" s="155"/>
      <c r="AD212" s="155"/>
      <c r="AE212" s="322"/>
      <c r="AF212" s="155"/>
      <c r="AG212" s="132"/>
    </row>
    <row r="213">
      <c r="A213" s="314"/>
      <c r="B213" s="313"/>
      <c r="C213" s="313"/>
      <c r="D213" s="313"/>
      <c r="E213" s="737"/>
      <c r="F213" s="314"/>
      <c r="G213" s="318"/>
      <c r="H213" s="315"/>
      <c r="I213" s="314"/>
      <c r="J213" s="314"/>
      <c r="K213" s="314"/>
      <c r="L213" s="776"/>
      <c r="M213" s="314"/>
      <c r="N213" s="318"/>
      <c r="O213" s="315"/>
      <c r="P213" s="314"/>
      <c r="Q213" s="314"/>
      <c r="R213" s="314"/>
      <c r="S213" s="777"/>
      <c r="T213" s="314"/>
      <c r="U213" s="778"/>
      <c r="V213" s="315"/>
      <c r="W213" s="779"/>
      <c r="X213" s="780"/>
      <c r="Y213" s="314"/>
      <c r="Z213" s="314"/>
      <c r="AA213" s="314"/>
      <c r="AB213" s="324"/>
      <c r="AC213" s="155"/>
      <c r="AD213" s="155"/>
      <c r="AE213" s="322"/>
      <c r="AF213" s="155"/>
      <c r="AG213" s="132"/>
    </row>
    <row r="214">
      <c r="A214" s="314"/>
      <c r="B214" s="313"/>
      <c r="C214" s="313"/>
      <c r="D214" s="313"/>
      <c r="E214" s="737"/>
      <c r="F214" s="314"/>
      <c r="G214" s="318"/>
      <c r="H214" s="315"/>
      <c r="I214" s="314"/>
      <c r="J214" s="314"/>
      <c r="K214" s="314"/>
      <c r="L214" s="776"/>
      <c r="M214" s="314"/>
      <c r="N214" s="318"/>
      <c r="O214" s="315"/>
      <c r="P214" s="314"/>
      <c r="Q214" s="314"/>
      <c r="R214" s="314"/>
      <c r="S214" s="777"/>
      <c r="T214" s="314"/>
      <c r="U214" s="778"/>
      <c r="V214" s="315"/>
      <c r="W214" s="779"/>
      <c r="X214" s="780"/>
      <c r="Y214" s="314"/>
      <c r="Z214" s="314"/>
      <c r="AA214" s="314"/>
      <c r="AB214" s="324"/>
      <c r="AC214" s="155"/>
      <c r="AD214" s="155"/>
      <c r="AE214" s="322"/>
      <c r="AF214" s="155"/>
      <c r="AG214" s="132"/>
    </row>
    <row r="215">
      <c r="A215" s="314"/>
      <c r="B215" s="313"/>
      <c r="C215" s="313"/>
      <c r="D215" s="313"/>
      <c r="E215" s="737"/>
      <c r="F215" s="314"/>
      <c r="G215" s="318"/>
      <c r="H215" s="315"/>
      <c r="I215" s="314"/>
      <c r="J215" s="314"/>
      <c r="K215" s="314"/>
      <c r="L215" s="776"/>
      <c r="M215" s="314"/>
      <c r="N215" s="318"/>
      <c r="O215" s="315"/>
      <c r="P215" s="314"/>
      <c r="Q215" s="314"/>
      <c r="R215" s="314"/>
      <c r="S215" s="777"/>
      <c r="T215" s="314"/>
      <c r="U215" s="778"/>
      <c r="V215" s="315"/>
      <c r="W215" s="779"/>
      <c r="X215" s="780"/>
      <c r="Y215" s="314"/>
      <c r="Z215" s="314"/>
      <c r="AA215" s="314"/>
      <c r="AB215" s="324"/>
      <c r="AC215" s="155"/>
      <c r="AD215" s="155"/>
      <c r="AE215" s="322"/>
      <c r="AF215" s="155"/>
      <c r="AG215" s="132"/>
    </row>
    <row r="216">
      <c r="A216" s="314"/>
      <c r="B216" s="313"/>
      <c r="C216" s="313"/>
      <c r="D216" s="313"/>
      <c r="E216" s="737"/>
      <c r="F216" s="314"/>
      <c r="G216" s="318"/>
      <c r="H216" s="315"/>
      <c r="I216" s="314"/>
      <c r="J216" s="314"/>
      <c r="K216" s="314"/>
      <c r="L216" s="776"/>
      <c r="M216" s="314"/>
      <c r="N216" s="318"/>
      <c r="O216" s="315"/>
      <c r="P216" s="314"/>
      <c r="Q216" s="314"/>
      <c r="R216" s="314"/>
      <c r="S216" s="777"/>
      <c r="T216" s="314"/>
      <c r="U216" s="778"/>
      <c r="V216" s="315"/>
      <c r="W216" s="779"/>
      <c r="X216" s="780"/>
      <c r="Y216" s="314"/>
      <c r="Z216" s="314"/>
      <c r="AA216" s="314"/>
      <c r="AB216" s="324"/>
      <c r="AC216" s="155"/>
      <c r="AD216" s="155"/>
      <c r="AE216" s="322"/>
      <c r="AF216" s="155"/>
      <c r="AG216" s="132"/>
    </row>
    <row r="217">
      <c r="A217" s="314"/>
      <c r="B217" s="313"/>
      <c r="C217" s="313"/>
      <c r="D217" s="313"/>
      <c r="E217" s="737"/>
      <c r="F217" s="314"/>
      <c r="G217" s="318"/>
      <c r="H217" s="315"/>
      <c r="I217" s="314"/>
      <c r="J217" s="314"/>
      <c r="K217" s="314"/>
      <c r="L217" s="776"/>
      <c r="M217" s="314"/>
      <c r="N217" s="318"/>
      <c r="O217" s="315"/>
      <c r="P217" s="314"/>
      <c r="Q217" s="314"/>
      <c r="R217" s="314"/>
      <c r="S217" s="777"/>
      <c r="T217" s="314"/>
      <c r="U217" s="778"/>
      <c r="V217" s="315"/>
      <c r="W217" s="779"/>
      <c r="X217" s="780"/>
      <c r="Y217" s="314"/>
      <c r="Z217" s="314"/>
      <c r="AA217" s="314"/>
      <c r="AB217" s="324"/>
      <c r="AC217" s="155"/>
      <c r="AD217" s="155"/>
      <c r="AE217" s="322"/>
      <c r="AF217" s="155"/>
      <c r="AG217" s="132"/>
    </row>
    <row r="218">
      <c r="A218" s="314"/>
      <c r="B218" s="313"/>
      <c r="C218" s="313"/>
      <c r="D218" s="313"/>
      <c r="E218" s="737"/>
      <c r="F218" s="314"/>
      <c r="G218" s="318"/>
      <c r="H218" s="315"/>
      <c r="I218" s="314"/>
      <c r="J218" s="314"/>
      <c r="K218" s="314"/>
      <c r="L218" s="776"/>
      <c r="M218" s="314"/>
      <c r="N218" s="318"/>
      <c r="O218" s="315"/>
      <c r="P218" s="314"/>
      <c r="Q218" s="314"/>
      <c r="R218" s="314"/>
      <c r="S218" s="777"/>
      <c r="T218" s="314"/>
      <c r="U218" s="778"/>
      <c r="V218" s="315"/>
      <c r="W218" s="779"/>
      <c r="X218" s="780"/>
      <c r="Y218" s="314"/>
      <c r="Z218" s="314"/>
      <c r="AA218" s="314"/>
      <c r="AB218" s="324"/>
      <c r="AC218" s="155"/>
      <c r="AD218" s="155"/>
      <c r="AE218" s="322"/>
      <c r="AF218" s="155"/>
      <c r="AG218" s="132"/>
    </row>
    <row r="219">
      <c r="A219" s="314"/>
      <c r="B219" s="313"/>
      <c r="C219" s="313"/>
      <c r="D219" s="313"/>
      <c r="E219" s="737"/>
      <c r="F219" s="314"/>
      <c r="G219" s="318"/>
      <c r="H219" s="315"/>
      <c r="I219" s="314"/>
      <c r="J219" s="314"/>
      <c r="K219" s="314"/>
      <c r="L219" s="776"/>
      <c r="M219" s="314"/>
      <c r="N219" s="318"/>
      <c r="O219" s="315"/>
      <c r="P219" s="314"/>
      <c r="Q219" s="314"/>
      <c r="R219" s="314"/>
      <c r="S219" s="777"/>
      <c r="T219" s="314"/>
      <c r="U219" s="778"/>
      <c r="V219" s="315"/>
      <c r="W219" s="779"/>
      <c r="X219" s="780"/>
      <c r="Y219" s="314"/>
      <c r="Z219" s="314"/>
      <c r="AA219" s="314"/>
      <c r="AB219" s="324"/>
      <c r="AC219" s="155"/>
      <c r="AD219" s="155"/>
      <c r="AE219" s="322"/>
      <c r="AF219" s="155"/>
      <c r="AG219" s="132"/>
    </row>
    <row r="220">
      <c r="A220" s="314"/>
      <c r="B220" s="313"/>
      <c r="C220" s="313"/>
      <c r="D220" s="313"/>
      <c r="E220" s="737"/>
      <c r="F220" s="314"/>
      <c r="G220" s="318"/>
      <c r="H220" s="315"/>
      <c r="I220" s="314"/>
      <c r="J220" s="314"/>
      <c r="K220" s="314"/>
      <c r="L220" s="776"/>
      <c r="M220" s="314"/>
      <c r="N220" s="318"/>
      <c r="O220" s="315"/>
      <c r="P220" s="314"/>
      <c r="Q220" s="314"/>
      <c r="R220" s="314"/>
      <c r="S220" s="777"/>
      <c r="T220" s="314"/>
      <c r="U220" s="778"/>
      <c r="V220" s="315"/>
      <c r="W220" s="779"/>
      <c r="X220" s="780"/>
      <c r="Y220" s="314"/>
      <c r="Z220" s="314"/>
      <c r="AA220" s="314"/>
      <c r="AB220" s="324"/>
      <c r="AC220" s="155"/>
      <c r="AD220" s="155"/>
      <c r="AE220" s="322"/>
      <c r="AF220" s="155"/>
      <c r="AG220" s="132"/>
    </row>
    <row r="221">
      <c r="A221" s="314"/>
      <c r="B221" s="313"/>
      <c r="C221" s="313"/>
      <c r="D221" s="313"/>
      <c r="E221" s="737"/>
      <c r="F221" s="314"/>
      <c r="G221" s="318"/>
      <c r="H221" s="315"/>
      <c r="I221" s="314"/>
      <c r="J221" s="314"/>
      <c r="K221" s="314"/>
      <c r="L221" s="776"/>
      <c r="M221" s="314"/>
      <c r="N221" s="318"/>
      <c r="O221" s="315"/>
      <c r="P221" s="314"/>
      <c r="Q221" s="314"/>
      <c r="R221" s="314"/>
      <c r="S221" s="777"/>
      <c r="T221" s="314"/>
      <c r="U221" s="778"/>
      <c r="V221" s="315"/>
      <c r="W221" s="779"/>
      <c r="X221" s="780"/>
      <c r="Y221" s="314"/>
      <c r="Z221" s="314"/>
      <c r="AA221" s="314"/>
      <c r="AB221" s="324"/>
      <c r="AC221" s="155"/>
      <c r="AD221" s="155"/>
      <c r="AE221" s="322"/>
      <c r="AF221" s="155"/>
      <c r="AG221" s="132"/>
    </row>
    <row r="222">
      <c r="A222" s="314"/>
      <c r="B222" s="313"/>
      <c r="C222" s="313"/>
      <c r="D222" s="313"/>
      <c r="E222" s="737"/>
      <c r="F222" s="314"/>
      <c r="G222" s="318"/>
      <c r="H222" s="315"/>
      <c r="I222" s="314"/>
      <c r="J222" s="314"/>
      <c r="K222" s="314"/>
      <c r="L222" s="776"/>
      <c r="M222" s="314"/>
      <c r="N222" s="318"/>
      <c r="O222" s="315"/>
      <c r="P222" s="314"/>
      <c r="Q222" s="314"/>
      <c r="R222" s="314"/>
      <c r="S222" s="777"/>
      <c r="T222" s="314"/>
      <c r="U222" s="778"/>
      <c r="V222" s="315"/>
      <c r="W222" s="779"/>
      <c r="X222" s="780"/>
      <c r="Y222" s="314"/>
      <c r="Z222" s="314"/>
      <c r="AA222" s="314"/>
      <c r="AB222" s="324"/>
      <c r="AC222" s="155"/>
      <c r="AD222" s="155"/>
      <c r="AE222" s="322"/>
      <c r="AF222" s="155"/>
      <c r="AG222" s="132"/>
    </row>
    <row r="223">
      <c r="A223" s="314"/>
      <c r="B223" s="313"/>
      <c r="C223" s="313"/>
      <c r="D223" s="313"/>
      <c r="E223" s="737"/>
      <c r="F223" s="314"/>
      <c r="G223" s="318"/>
      <c r="H223" s="315"/>
      <c r="I223" s="314"/>
      <c r="J223" s="314"/>
      <c r="K223" s="314"/>
      <c r="L223" s="776"/>
      <c r="M223" s="314"/>
      <c r="N223" s="318"/>
      <c r="O223" s="315"/>
      <c r="P223" s="314"/>
      <c r="Q223" s="314"/>
      <c r="R223" s="314"/>
      <c r="S223" s="777"/>
      <c r="T223" s="314"/>
      <c r="U223" s="778"/>
      <c r="V223" s="315"/>
      <c r="W223" s="779"/>
      <c r="X223" s="780"/>
      <c r="Y223" s="314"/>
      <c r="Z223" s="314"/>
      <c r="AA223" s="314"/>
      <c r="AB223" s="324"/>
      <c r="AC223" s="155"/>
      <c r="AD223" s="155"/>
      <c r="AE223" s="322"/>
      <c r="AF223" s="155"/>
      <c r="AG223" s="132"/>
    </row>
    <row r="224">
      <c r="A224" s="314"/>
      <c r="B224" s="313"/>
      <c r="C224" s="313"/>
      <c r="D224" s="313"/>
      <c r="E224" s="737"/>
      <c r="F224" s="314"/>
      <c r="G224" s="318"/>
      <c r="H224" s="315"/>
      <c r="I224" s="314"/>
      <c r="J224" s="314"/>
      <c r="K224" s="314"/>
      <c r="L224" s="776"/>
      <c r="M224" s="314"/>
      <c r="N224" s="318"/>
      <c r="O224" s="315"/>
      <c r="P224" s="314"/>
      <c r="Q224" s="314"/>
      <c r="R224" s="314"/>
      <c r="S224" s="777"/>
      <c r="T224" s="314"/>
      <c r="U224" s="778"/>
      <c r="V224" s="315"/>
      <c r="W224" s="779"/>
      <c r="X224" s="780"/>
      <c r="Y224" s="314"/>
      <c r="Z224" s="314"/>
      <c r="AA224" s="314"/>
      <c r="AB224" s="324"/>
      <c r="AC224" s="155"/>
      <c r="AD224" s="155"/>
      <c r="AE224" s="322"/>
      <c r="AF224" s="155"/>
      <c r="AG224" s="132"/>
    </row>
    <row r="225">
      <c r="A225" s="314"/>
      <c r="B225" s="313"/>
      <c r="C225" s="313"/>
      <c r="D225" s="313"/>
      <c r="E225" s="737"/>
      <c r="F225" s="314"/>
      <c r="G225" s="318"/>
      <c r="H225" s="315"/>
      <c r="I225" s="314"/>
      <c r="J225" s="314"/>
      <c r="K225" s="314"/>
      <c r="L225" s="776"/>
      <c r="M225" s="314"/>
      <c r="N225" s="318"/>
      <c r="O225" s="315"/>
      <c r="P225" s="314"/>
      <c r="Q225" s="314"/>
      <c r="R225" s="314"/>
      <c r="S225" s="777"/>
      <c r="T225" s="314"/>
      <c r="U225" s="778"/>
      <c r="V225" s="315"/>
      <c r="W225" s="779"/>
      <c r="X225" s="780"/>
      <c r="Y225" s="314"/>
      <c r="Z225" s="314"/>
      <c r="AA225" s="314"/>
      <c r="AB225" s="324"/>
      <c r="AC225" s="155"/>
      <c r="AD225" s="155"/>
      <c r="AE225" s="322"/>
      <c r="AF225" s="155"/>
      <c r="AG225" s="132"/>
    </row>
    <row r="226">
      <c r="A226" s="314"/>
      <c r="B226" s="313"/>
      <c r="C226" s="313"/>
      <c r="D226" s="313"/>
      <c r="E226" s="737"/>
      <c r="F226" s="314"/>
      <c r="G226" s="318"/>
      <c r="H226" s="315"/>
      <c r="I226" s="314"/>
      <c r="J226" s="314"/>
      <c r="K226" s="314"/>
      <c r="L226" s="776"/>
      <c r="M226" s="314"/>
      <c r="N226" s="318"/>
      <c r="O226" s="315"/>
      <c r="P226" s="314"/>
      <c r="Q226" s="314"/>
      <c r="R226" s="314"/>
      <c r="S226" s="777"/>
      <c r="T226" s="314"/>
      <c r="U226" s="778"/>
      <c r="V226" s="315"/>
      <c r="W226" s="779"/>
      <c r="X226" s="780"/>
      <c r="Y226" s="314"/>
      <c r="Z226" s="314"/>
      <c r="AA226" s="314"/>
      <c r="AB226" s="324"/>
      <c r="AC226" s="155"/>
      <c r="AD226" s="155"/>
      <c r="AE226" s="322"/>
      <c r="AF226" s="155"/>
      <c r="AG226" s="132"/>
    </row>
    <row r="227">
      <c r="A227" s="314"/>
      <c r="B227" s="313"/>
      <c r="C227" s="313"/>
      <c r="D227" s="313"/>
      <c r="E227" s="737"/>
      <c r="F227" s="314"/>
      <c r="G227" s="318"/>
      <c r="H227" s="315"/>
      <c r="I227" s="314"/>
      <c r="J227" s="314"/>
      <c r="K227" s="314"/>
      <c r="L227" s="776"/>
      <c r="M227" s="314"/>
      <c r="N227" s="318"/>
      <c r="O227" s="315"/>
      <c r="P227" s="314"/>
      <c r="Q227" s="314"/>
      <c r="R227" s="314"/>
      <c r="S227" s="777"/>
      <c r="T227" s="314"/>
      <c r="U227" s="778"/>
      <c r="V227" s="315"/>
      <c r="W227" s="779"/>
      <c r="X227" s="780"/>
      <c r="Y227" s="314"/>
      <c r="Z227" s="314"/>
      <c r="AA227" s="314"/>
      <c r="AB227" s="324"/>
      <c r="AC227" s="155"/>
      <c r="AD227" s="155"/>
      <c r="AE227" s="322"/>
      <c r="AF227" s="155"/>
      <c r="AG227" s="132"/>
    </row>
    <row r="228">
      <c r="A228" s="314"/>
      <c r="B228" s="313"/>
      <c r="C228" s="313"/>
      <c r="D228" s="313"/>
      <c r="E228" s="737"/>
      <c r="F228" s="314"/>
      <c r="G228" s="318"/>
      <c r="H228" s="315"/>
      <c r="I228" s="314"/>
      <c r="J228" s="314"/>
      <c r="K228" s="314"/>
      <c r="L228" s="776"/>
      <c r="M228" s="314"/>
      <c r="N228" s="318"/>
      <c r="O228" s="315"/>
      <c r="P228" s="314"/>
      <c r="Q228" s="314"/>
      <c r="R228" s="314"/>
      <c r="S228" s="777"/>
      <c r="T228" s="314"/>
      <c r="U228" s="778"/>
      <c r="V228" s="315"/>
      <c r="W228" s="779"/>
      <c r="X228" s="780"/>
      <c r="Y228" s="314"/>
      <c r="Z228" s="314"/>
      <c r="AA228" s="314"/>
      <c r="AB228" s="324"/>
      <c r="AC228" s="155"/>
      <c r="AD228" s="155"/>
      <c r="AE228" s="322"/>
      <c r="AF228" s="155"/>
      <c r="AG228" s="132"/>
    </row>
    <row r="229">
      <c r="A229" s="314"/>
      <c r="B229" s="313"/>
      <c r="C229" s="313"/>
      <c r="D229" s="313"/>
      <c r="E229" s="737"/>
      <c r="F229" s="314"/>
      <c r="G229" s="318"/>
      <c r="H229" s="315"/>
      <c r="I229" s="314"/>
      <c r="J229" s="314"/>
      <c r="K229" s="314"/>
      <c r="L229" s="776"/>
      <c r="M229" s="314"/>
      <c r="N229" s="318"/>
      <c r="O229" s="315"/>
      <c r="P229" s="314"/>
      <c r="Q229" s="314"/>
      <c r="R229" s="314"/>
      <c r="S229" s="777"/>
      <c r="T229" s="314"/>
      <c r="U229" s="778"/>
      <c r="V229" s="315"/>
      <c r="W229" s="779"/>
      <c r="X229" s="780"/>
      <c r="Y229" s="314"/>
      <c r="Z229" s="314"/>
      <c r="AA229" s="314"/>
      <c r="AB229" s="324"/>
      <c r="AC229" s="155"/>
      <c r="AD229" s="155"/>
      <c r="AE229" s="322"/>
      <c r="AF229" s="155"/>
      <c r="AG229" s="132"/>
    </row>
    <row r="230">
      <c r="A230" s="314"/>
      <c r="B230" s="313"/>
      <c r="C230" s="313"/>
      <c r="D230" s="313"/>
      <c r="E230" s="737"/>
      <c r="F230" s="314"/>
      <c r="G230" s="318"/>
      <c r="H230" s="315"/>
      <c r="I230" s="314"/>
      <c r="J230" s="314"/>
      <c r="K230" s="314"/>
      <c r="L230" s="776"/>
      <c r="M230" s="314"/>
      <c r="N230" s="318"/>
      <c r="O230" s="315"/>
      <c r="P230" s="314"/>
      <c r="Q230" s="314"/>
      <c r="R230" s="314"/>
      <c r="S230" s="777"/>
      <c r="T230" s="314"/>
      <c r="U230" s="778"/>
      <c r="V230" s="315"/>
      <c r="W230" s="779"/>
      <c r="X230" s="780"/>
      <c r="Y230" s="314"/>
      <c r="Z230" s="314"/>
      <c r="AA230" s="314"/>
      <c r="AB230" s="324"/>
      <c r="AC230" s="155"/>
      <c r="AD230" s="155"/>
      <c r="AE230" s="322"/>
      <c r="AF230" s="155"/>
      <c r="AG230" s="132"/>
    </row>
    <row r="231">
      <c r="A231" s="314"/>
      <c r="B231" s="313"/>
      <c r="C231" s="313"/>
      <c r="D231" s="313"/>
      <c r="E231" s="737"/>
      <c r="F231" s="314"/>
      <c r="G231" s="318"/>
      <c r="H231" s="315"/>
      <c r="I231" s="314"/>
      <c r="J231" s="314"/>
      <c r="K231" s="314"/>
      <c r="L231" s="776"/>
      <c r="M231" s="314"/>
      <c r="N231" s="318"/>
      <c r="O231" s="315"/>
      <c r="P231" s="314"/>
      <c r="Q231" s="314"/>
      <c r="R231" s="314"/>
      <c r="S231" s="777"/>
      <c r="T231" s="314"/>
      <c r="U231" s="778"/>
      <c r="V231" s="315"/>
      <c r="W231" s="779"/>
      <c r="X231" s="780"/>
      <c r="Y231" s="314"/>
      <c r="Z231" s="314"/>
      <c r="AA231" s="314"/>
      <c r="AB231" s="324"/>
      <c r="AC231" s="155"/>
      <c r="AD231" s="155"/>
      <c r="AE231" s="322"/>
      <c r="AF231" s="155"/>
      <c r="AG231" s="132"/>
    </row>
    <row r="232">
      <c r="A232" s="314"/>
      <c r="B232" s="313"/>
      <c r="C232" s="313"/>
      <c r="D232" s="313"/>
      <c r="E232" s="737"/>
      <c r="F232" s="314"/>
      <c r="G232" s="318"/>
      <c r="H232" s="315"/>
      <c r="I232" s="314"/>
      <c r="J232" s="314"/>
      <c r="K232" s="314"/>
      <c r="L232" s="776"/>
      <c r="M232" s="314"/>
      <c r="N232" s="318"/>
      <c r="O232" s="315"/>
      <c r="P232" s="314"/>
      <c r="Q232" s="314"/>
      <c r="R232" s="314"/>
      <c r="S232" s="777"/>
      <c r="T232" s="314"/>
      <c r="U232" s="778"/>
      <c r="V232" s="315"/>
      <c r="W232" s="779"/>
      <c r="X232" s="780"/>
      <c r="Y232" s="314"/>
      <c r="Z232" s="314"/>
      <c r="AA232" s="314"/>
      <c r="AB232" s="324"/>
      <c r="AC232" s="155"/>
      <c r="AD232" s="155"/>
      <c r="AE232" s="322"/>
      <c r="AF232" s="155"/>
      <c r="AG232" s="132"/>
    </row>
    <row r="233">
      <c r="A233" s="314"/>
      <c r="B233" s="313"/>
      <c r="C233" s="313"/>
      <c r="D233" s="313"/>
      <c r="E233" s="737"/>
      <c r="F233" s="314"/>
      <c r="G233" s="318"/>
      <c r="H233" s="315"/>
      <c r="I233" s="314"/>
      <c r="J233" s="314"/>
      <c r="K233" s="314"/>
      <c r="L233" s="776"/>
      <c r="M233" s="314"/>
      <c r="N233" s="318"/>
      <c r="O233" s="315"/>
      <c r="P233" s="314"/>
      <c r="Q233" s="314"/>
      <c r="R233" s="314"/>
      <c r="S233" s="777"/>
      <c r="T233" s="314"/>
      <c r="U233" s="778"/>
      <c r="V233" s="315"/>
      <c r="W233" s="779"/>
      <c r="X233" s="780"/>
      <c r="Y233" s="314"/>
      <c r="Z233" s="314"/>
      <c r="AA233" s="314"/>
      <c r="AB233" s="324"/>
      <c r="AC233" s="155"/>
      <c r="AD233" s="155"/>
      <c r="AE233" s="322"/>
      <c r="AF233" s="155"/>
      <c r="AG233" s="132"/>
    </row>
    <row r="234">
      <c r="A234" s="314"/>
      <c r="B234" s="313"/>
      <c r="C234" s="313"/>
      <c r="D234" s="313"/>
      <c r="E234" s="737"/>
      <c r="F234" s="314"/>
      <c r="G234" s="318"/>
      <c r="H234" s="315"/>
      <c r="I234" s="314"/>
      <c r="J234" s="314"/>
      <c r="K234" s="314"/>
      <c r="L234" s="776"/>
      <c r="M234" s="314"/>
      <c r="N234" s="318"/>
      <c r="O234" s="315"/>
      <c r="P234" s="314"/>
      <c r="Q234" s="314"/>
      <c r="R234" s="314"/>
      <c r="S234" s="777"/>
      <c r="T234" s="314"/>
      <c r="U234" s="778"/>
      <c r="V234" s="315"/>
      <c r="W234" s="779"/>
      <c r="X234" s="780"/>
      <c r="Y234" s="314"/>
      <c r="Z234" s="314"/>
      <c r="AA234" s="314"/>
      <c r="AB234" s="324"/>
      <c r="AC234" s="155"/>
      <c r="AD234" s="155"/>
      <c r="AE234" s="322"/>
      <c r="AF234" s="155"/>
      <c r="AG234" s="132"/>
    </row>
    <row r="235">
      <c r="A235" s="314"/>
      <c r="B235" s="313"/>
      <c r="C235" s="313"/>
      <c r="D235" s="313"/>
      <c r="E235" s="737"/>
      <c r="F235" s="314"/>
      <c r="G235" s="318"/>
      <c r="H235" s="315"/>
      <c r="I235" s="314"/>
      <c r="J235" s="314"/>
      <c r="K235" s="314"/>
      <c r="L235" s="776"/>
      <c r="M235" s="314"/>
      <c r="N235" s="318"/>
      <c r="O235" s="315"/>
      <c r="P235" s="314"/>
      <c r="Q235" s="314"/>
      <c r="R235" s="314"/>
      <c r="S235" s="777"/>
      <c r="T235" s="314"/>
      <c r="U235" s="778"/>
      <c r="V235" s="315"/>
      <c r="W235" s="779"/>
      <c r="X235" s="780"/>
      <c r="Y235" s="314"/>
      <c r="Z235" s="314"/>
      <c r="AA235" s="314"/>
      <c r="AB235" s="324"/>
      <c r="AC235" s="155"/>
      <c r="AD235" s="155"/>
      <c r="AE235" s="322"/>
      <c r="AF235" s="155"/>
      <c r="AG235" s="132"/>
    </row>
    <row r="236">
      <c r="A236" s="314"/>
      <c r="B236" s="313"/>
      <c r="C236" s="313"/>
      <c r="D236" s="313"/>
      <c r="E236" s="737"/>
      <c r="F236" s="314"/>
      <c r="G236" s="318"/>
      <c r="H236" s="315"/>
      <c r="I236" s="314"/>
      <c r="J236" s="314"/>
      <c r="K236" s="314"/>
      <c r="L236" s="776"/>
      <c r="M236" s="314"/>
      <c r="N236" s="318"/>
      <c r="O236" s="315"/>
      <c r="P236" s="314"/>
      <c r="Q236" s="314"/>
      <c r="R236" s="314"/>
      <c r="S236" s="777"/>
      <c r="T236" s="314"/>
      <c r="U236" s="778"/>
      <c r="V236" s="315"/>
      <c r="W236" s="779"/>
      <c r="X236" s="780"/>
      <c r="Y236" s="314"/>
      <c r="Z236" s="314"/>
      <c r="AA236" s="314"/>
      <c r="AB236" s="324"/>
      <c r="AC236" s="155"/>
      <c r="AD236" s="155"/>
      <c r="AE236" s="322"/>
      <c r="AF236" s="155"/>
      <c r="AG236" s="132"/>
    </row>
    <row r="237">
      <c r="A237" s="314"/>
      <c r="B237" s="313"/>
      <c r="C237" s="313"/>
      <c r="D237" s="313"/>
      <c r="E237" s="737"/>
      <c r="F237" s="314"/>
      <c r="G237" s="318"/>
      <c r="H237" s="315"/>
      <c r="I237" s="314"/>
      <c r="J237" s="314"/>
      <c r="K237" s="314"/>
      <c r="L237" s="776"/>
      <c r="M237" s="314"/>
      <c r="N237" s="318"/>
      <c r="O237" s="315"/>
      <c r="P237" s="314"/>
      <c r="Q237" s="314"/>
      <c r="R237" s="314"/>
      <c r="S237" s="777"/>
      <c r="T237" s="314"/>
      <c r="U237" s="778"/>
      <c r="V237" s="315"/>
      <c r="W237" s="779"/>
      <c r="X237" s="780"/>
      <c r="Y237" s="314"/>
      <c r="Z237" s="314"/>
      <c r="AA237" s="314"/>
      <c r="AB237" s="324"/>
      <c r="AC237" s="155"/>
      <c r="AD237" s="155"/>
      <c r="AE237" s="322"/>
      <c r="AF237" s="155"/>
      <c r="AG237" s="132"/>
    </row>
    <row r="238">
      <c r="A238" s="314"/>
      <c r="B238" s="313"/>
      <c r="C238" s="313"/>
      <c r="D238" s="313"/>
      <c r="E238" s="737"/>
      <c r="F238" s="314"/>
      <c r="G238" s="318"/>
      <c r="H238" s="315"/>
      <c r="I238" s="314"/>
      <c r="J238" s="314"/>
      <c r="K238" s="314"/>
      <c r="L238" s="776"/>
      <c r="M238" s="314"/>
      <c r="N238" s="318"/>
      <c r="O238" s="315"/>
      <c r="P238" s="314"/>
      <c r="Q238" s="314"/>
      <c r="R238" s="314"/>
      <c r="S238" s="777"/>
      <c r="T238" s="314"/>
      <c r="U238" s="778"/>
      <c r="V238" s="315"/>
      <c r="W238" s="779"/>
      <c r="X238" s="780"/>
      <c r="Y238" s="314"/>
      <c r="Z238" s="314"/>
      <c r="AA238" s="314"/>
      <c r="AB238" s="324"/>
      <c r="AC238" s="155"/>
      <c r="AD238" s="155"/>
      <c r="AE238" s="322"/>
      <c r="AF238" s="155"/>
      <c r="AG238" s="132"/>
    </row>
    <row r="239">
      <c r="A239" s="314"/>
      <c r="B239" s="313"/>
      <c r="C239" s="313"/>
      <c r="D239" s="313"/>
      <c r="E239" s="737"/>
      <c r="F239" s="314"/>
      <c r="G239" s="318"/>
      <c r="H239" s="315"/>
      <c r="I239" s="314"/>
      <c r="J239" s="314"/>
      <c r="K239" s="314"/>
      <c r="L239" s="776"/>
      <c r="M239" s="314"/>
      <c r="N239" s="318"/>
      <c r="O239" s="315"/>
      <c r="P239" s="314"/>
      <c r="Q239" s="314"/>
      <c r="R239" s="314"/>
      <c r="S239" s="777"/>
      <c r="T239" s="314"/>
      <c r="U239" s="778"/>
      <c r="V239" s="315"/>
      <c r="W239" s="779"/>
      <c r="X239" s="780"/>
      <c r="Y239" s="314"/>
      <c r="Z239" s="314"/>
      <c r="AA239" s="314"/>
      <c r="AB239" s="324"/>
      <c r="AC239" s="155"/>
      <c r="AD239" s="155"/>
      <c r="AE239" s="322"/>
      <c r="AF239" s="155"/>
      <c r="AG239" s="132"/>
    </row>
    <row r="240">
      <c r="A240" s="314"/>
      <c r="B240" s="313"/>
      <c r="C240" s="313"/>
      <c r="D240" s="313"/>
      <c r="E240" s="737"/>
      <c r="F240" s="314"/>
      <c r="G240" s="318"/>
      <c r="H240" s="315"/>
      <c r="I240" s="314"/>
      <c r="J240" s="314"/>
      <c r="K240" s="314"/>
      <c r="L240" s="776"/>
      <c r="M240" s="314"/>
      <c r="N240" s="318"/>
      <c r="O240" s="315"/>
      <c r="P240" s="314"/>
      <c r="Q240" s="314"/>
      <c r="R240" s="314"/>
      <c r="S240" s="777"/>
      <c r="T240" s="314"/>
      <c r="U240" s="778"/>
      <c r="V240" s="315"/>
      <c r="W240" s="779"/>
      <c r="X240" s="780"/>
      <c r="Y240" s="314"/>
      <c r="Z240" s="314"/>
      <c r="AA240" s="314"/>
      <c r="AB240" s="324"/>
      <c r="AC240" s="155"/>
      <c r="AD240" s="155"/>
      <c r="AE240" s="322"/>
      <c r="AF240" s="155"/>
      <c r="AG240" s="132"/>
    </row>
    <row r="241">
      <c r="A241" s="314"/>
      <c r="B241" s="313"/>
      <c r="C241" s="313"/>
      <c r="D241" s="313"/>
      <c r="E241" s="737"/>
      <c r="F241" s="314"/>
      <c r="G241" s="318"/>
      <c r="H241" s="315"/>
      <c r="I241" s="314"/>
      <c r="J241" s="314"/>
      <c r="K241" s="314"/>
      <c r="L241" s="776"/>
      <c r="M241" s="314"/>
      <c r="N241" s="318"/>
      <c r="O241" s="315"/>
      <c r="P241" s="314"/>
      <c r="Q241" s="314"/>
      <c r="R241" s="314"/>
      <c r="S241" s="777"/>
      <c r="T241" s="314"/>
      <c r="U241" s="778"/>
      <c r="V241" s="315"/>
      <c r="W241" s="779"/>
      <c r="X241" s="780"/>
      <c r="Y241" s="314"/>
      <c r="Z241" s="314"/>
      <c r="AA241" s="314"/>
      <c r="AB241" s="324"/>
      <c r="AC241" s="155"/>
      <c r="AD241" s="155"/>
      <c r="AE241" s="322"/>
      <c r="AF241" s="155"/>
      <c r="AG241" s="132"/>
    </row>
    <row r="242">
      <c r="A242" s="314"/>
      <c r="B242" s="313"/>
      <c r="C242" s="313"/>
      <c r="D242" s="313"/>
      <c r="E242" s="737"/>
      <c r="F242" s="314"/>
      <c r="G242" s="318"/>
      <c r="H242" s="315"/>
      <c r="I242" s="314"/>
      <c r="J242" s="314"/>
      <c r="K242" s="314"/>
      <c r="L242" s="776"/>
      <c r="M242" s="314"/>
      <c r="N242" s="318"/>
      <c r="O242" s="315"/>
      <c r="P242" s="314"/>
      <c r="Q242" s="314"/>
      <c r="R242" s="314"/>
      <c r="S242" s="777"/>
      <c r="T242" s="314"/>
      <c r="U242" s="778"/>
      <c r="V242" s="315"/>
      <c r="W242" s="779"/>
      <c r="X242" s="780"/>
      <c r="Y242" s="314"/>
      <c r="Z242" s="314"/>
      <c r="AA242" s="314"/>
      <c r="AB242" s="324"/>
      <c r="AC242" s="155"/>
      <c r="AD242" s="155"/>
      <c r="AE242" s="322"/>
      <c r="AF242" s="155"/>
      <c r="AG242" s="132"/>
    </row>
    <row r="243">
      <c r="A243" s="314"/>
      <c r="B243" s="313"/>
      <c r="C243" s="313"/>
      <c r="D243" s="313"/>
      <c r="E243" s="737"/>
      <c r="F243" s="314"/>
      <c r="G243" s="318"/>
      <c r="H243" s="315"/>
      <c r="I243" s="314"/>
      <c r="J243" s="314"/>
      <c r="K243" s="314"/>
      <c r="L243" s="776"/>
      <c r="M243" s="314"/>
      <c r="N243" s="318"/>
      <c r="O243" s="315"/>
      <c r="P243" s="314"/>
      <c r="Q243" s="314"/>
      <c r="R243" s="314"/>
      <c r="S243" s="777"/>
      <c r="T243" s="314"/>
      <c r="U243" s="778"/>
      <c r="V243" s="315"/>
      <c r="W243" s="779"/>
      <c r="X243" s="780"/>
      <c r="Y243" s="314"/>
      <c r="Z243" s="314"/>
      <c r="AA243" s="314"/>
      <c r="AB243" s="324"/>
      <c r="AC243" s="155"/>
      <c r="AD243" s="155"/>
      <c r="AE243" s="322"/>
      <c r="AF243" s="155"/>
      <c r="AG243" s="132"/>
    </row>
    <row r="244">
      <c r="A244" s="314"/>
      <c r="B244" s="313"/>
      <c r="C244" s="313"/>
      <c r="D244" s="313"/>
      <c r="E244" s="737"/>
      <c r="F244" s="314"/>
      <c r="G244" s="318"/>
      <c r="H244" s="315"/>
      <c r="I244" s="314"/>
      <c r="J244" s="314"/>
      <c r="K244" s="314"/>
      <c r="L244" s="776"/>
      <c r="M244" s="314"/>
      <c r="N244" s="318"/>
      <c r="O244" s="315"/>
      <c r="P244" s="314"/>
      <c r="Q244" s="314"/>
      <c r="R244" s="314"/>
      <c r="S244" s="777"/>
      <c r="T244" s="314"/>
      <c r="U244" s="778"/>
      <c r="V244" s="315"/>
      <c r="W244" s="779"/>
      <c r="X244" s="780"/>
      <c r="Y244" s="314"/>
      <c r="Z244" s="314"/>
      <c r="AA244" s="314"/>
      <c r="AB244" s="324"/>
      <c r="AC244" s="155"/>
      <c r="AD244" s="155"/>
      <c r="AE244" s="322"/>
      <c r="AF244" s="155"/>
      <c r="AG244" s="132"/>
    </row>
    <row r="245">
      <c r="A245" s="314"/>
      <c r="B245" s="313"/>
      <c r="C245" s="313"/>
      <c r="D245" s="313"/>
      <c r="E245" s="737"/>
      <c r="F245" s="314"/>
      <c r="G245" s="318"/>
      <c r="H245" s="315"/>
      <c r="I245" s="314"/>
      <c r="J245" s="314"/>
      <c r="K245" s="314"/>
      <c r="L245" s="776"/>
      <c r="M245" s="314"/>
      <c r="N245" s="318"/>
      <c r="O245" s="315"/>
      <c r="P245" s="314"/>
      <c r="Q245" s="314"/>
      <c r="R245" s="314"/>
      <c r="S245" s="777"/>
      <c r="T245" s="314"/>
      <c r="U245" s="778"/>
      <c r="V245" s="315"/>
      <c r="W245" s="779"/>
      <c r="X245" s="780"/>
      <c r="Y245" s="314"/>
      <c r="Z245" s="314"/>
      <c r="AA245" s="314"/>
      <c r="AB245" s="324"/>
      <c r="AC245" s="155"/>
      <c r="AD245" s="155"/>
      <c r="AE245" s="322"/>
      <c r="AF245" s="155"/>
      <c r="AG245" s="132"/>
    </row>
    <row r="246">
      <c r="A246" s="314"/>
      <c r="B246" s="313"/>
      <c r="C246" s="313"/>
      <c r="D246" s="313"/>
      <c r="E246" s="737"/>
      <c r="F246" s="314"/>
      <c r="G246" s="318"/>
      <c r="H246" s="315"/>
      <c r="I246" s="314"/>
      <c r="J246" s="314"/>
      <c r="K246" s="314"/>
      <c r="L246" s="776"/>
      <c r="M246" s="314"/>
      <c r="N246" s="318"/>
      <c r="O246" s="315"/>
      <c r="P246" s="314"/>
      <c r="Q246" s="314"/>
      <c r="R246" s="314"/>
      <c r="S246" s="777"/>
      <c r="T246" s="314"/>
      <c r="U246" s="778"/>
      <c r="V246" s="315"/>
      <c r="W246" s="779"/>
      <c r="X246" s="780"/>
      <c r="Y246" s="314"/>
      <c r="Z246" s="314"/>
      <c r="AA246" s="314"/>
      <c r="AB246" s="324"/>
      <c r="AC246" s="155"/>
      <c r="AD246" s="155"/>
      <c r="AE246" s="322"/>
      <c r="AF246" s="155"/>
      <c r="AG246" s="132"/>
    </row>
    <row r="247">
      <c r="A247" s="314"/>
      <c r="B247" s="313"/>
      <c r="C247" s="313"/>
      <c r="D247" s="313"/>
      <c r="E247" s="737"/>
      <c r="F247" s="314"/>
      <c r="G247" s="318"/>
      <c r="H247" s="315"/>
      <c r="I247" s="314"/>
      <c r="J247" s="314"/>
      <c r="K247" s="314"/>
      <c r="L247" s="776"/>
      <c r="M247" s="314"/>
      <c r="N247" s="318"/>
      <c r="O247" s="315"/>
      <c r="P247" s="314"/>
      <c r="Q247" s="314"/>
      <c r="R247" s="314"/>
      <c r="S247" s="777"/>
      <c r="T247" s="314"/>
      <c r="U247" s="778"/>
      <c r="V247" s="315"/>
      <c r="W247" s="779"/>
      <c r="X247" s="780"/>
      <c r="Y247" s="314"/>
      <c r="Z247" s="314"/>
      <c r="AA247" s="314"/>
      <c r="AB247" s="324"/>
      <c r="AC247" s="155"/>
      <c r="AD247" s="155"/>
      <c r="AE247" s="322"/>
      <c r="AF247" s="155"/>
      <c r="AG247" s="132"/>
    </row>
    <row r="248">
      <c r="A248" s="314"/>
      <c r="B248" s="313"/>
      <c r="C248" s="313"/>
      <c r="D248" s="313"/>
      <c r="E248" s="737"/>
      <c r="F248" s="314"/>
      <c r="G248" s="318"/>
      <c r="H248" s="315"/>
      <c r="I248" s="314"/>
      <c r="J248" s="314"/>
      <c r="K248" s="314"/>
      <c r="L248" s="776"/>
      <c r="M248" s="314"/>
      <c r="N248" s="318"/>
      <c r="O248" s="315"/>
      <c r="P248" s="314"/>
      <c r="Q248" s="314"/>
      <c r="R248" s="314"/>
      <c r="S248" s="777"/>
      <c r="T248" s="314"/>
      <c r="U248" s="778"/>
      <c r="V248" s="315"/>
      <c r="W248" s="779"/>
      <c r="X248" s="780"/>
      <c r="Y248" s="314"/>
      <c r="Z248" s="314"/>
      <c r="AA248" s="314"/>
      <c r="AB248" s="324"/>
      <c r="AC248" s="155"/>
      <c r="AD248" s="155"/>
      <c r="AE248" s="322"/>
      <c r="AF248" s="155"/>
      <c r="AG248" s="132"/>
    </row>
    <row r="249">
      <c r="A249" s="314"/>
      <c r="B249" s="313"/>
      <c r="C249" s="313"/>
      <c r="D249" s="313"/>
      <c r="E249" s="737"/>
      <c r="F249" s="314"/>
      <c r="G249" s="318"/>
      <c r="H249" s="315"/>
      <c r="I249" s="314"/>
      <c r="J249" s="314"/>
      <c r="K249" s="314"/>
      <c r="L249" s="776"/>
      <c r="M249" s="314"/>
      <c r="N249" s="318"/>
      <c r="O249" s="315"/>
      <c r="P249" s="314"/>
      <c r="Q249" s="314"/>
      <c r="R249" s="314"/>
      <c r="S249" s="777"/>
      <c r="T249" s="314"/>
      <c r="U249" s="778"/>
      <c r="V249" s="315"/>
      <c r="W249" s="779"/>
      <c r="X249" s="780"/>
      <c r="Y249" s="314"/>
      <c r="Z249" s="314"/>
      <c r="AA249" s="314"/>
      <c r="AB249" s="324"/>
      <c r="AC249" s="155"/>
      <c r="AD249" s="155"/>
      <c r="AE249" s="322"/>
      <c r="AF249" s="155"/>
      <c r="AG249" s="132"/>
    </row>
    <row r="250">
      <c r="A250" s="314"/>
      <c r="B250" s="313"/>
      <c r="C250" s="313"/>
      <c r="D250" s="313"/>
      <c r="E250" s="737"/>
      <c r="F250" s="314"/>
      <c r="G250" s="318"/>
      <c r="H250" s="315"/>
      <c r="I250" s="314"/>
      <c r="J250" s="314"/>
      <c r="K250" s="314"/>
      <c r="L250" s="776"/>
      <c r="M250" s="314"/>
      <c r="N250" s="318"/>
      <c r="O250" s="315"/>
      <c r="P250" s="314"/>
      <c r="Q250" s="314"/>
      <c r="R250" s="314"/>
      <c r="S250" s="777"/>
      <c r="T250" s="314"/>
      <c r="U250" s="778"/>
      <c r="V250" s="315"/>
      <c r="W250" s="779"/>
      <c r="X250" s="780"/>
      <c r="Y250" s="314"/>
      <c r="Z250" s="314"/>
      <c r="AA250" s="314"/>
      <c r="AB250" s="324"/>
      <c r="AC250" s="155"/>
      <c r="AD250" s="155"/>
      <c r="AE250" s="322"/>
      <c r="AF250" s="155"/>
      <c r="AG250" s="132"/>
    </row>
    <row r="251">
      <c r="A251" s="314"/>
      <c r="B251" s="313"/>
      <c r="C251" s="313"/>
      <c r="D251" s="313"/>
      <c r="E251" s="737"/>
      <c r="F251" s="314"/>
      <c r="G251" s="318"/>
      <c r="H251" s="315"/>
      <c r="I251" s="314"/>
      <c r="J251" s="314"/>
      <c r="K251" s="314"/>
      <c r="L251" s="776"/>
      <c r="M251" s="314"/>
      <c r="N251" s="318"/>
      <c r="O251" s="315"/>
      <c r="P251" s="314"/>
      <c r="Q251" s="314"/>
      <c r="R251" s="314"/>
      <c r="S251" s="777"/>
      <c r="T251" s="314"/>
      <c r="U251" s="778"/>
      <c r="V251" s="315"/>
      <c r="W251" s="779"/>
      <c r="X251" s="780"/>
      <c r="Y251" s="314"/>
      <c r="Z251" s="314"/>
      <c r="AA251" s="314"/>
      <c r="AB251" s="324"/>
      <c r="AC251" s="155"/>
      <c r="AD251" s="155"/>
      <c r="AE251" s="322"/>
      <c r="AF251" s="155"/>
      <c r="AG251" s="132"/>
    </row>
    <row r="252">
      <c r="A252" s="314"/>
      <c r="B252" s="313"/>
      <c r="C252" s="313"/>
      <c r="D252" s="313"/>
      <c r="E252" s="737"/>
      <c r="F252" s="314"/>
      <c r="G252" s="318"/>
      <c r="H252" s="315"/>
      <c r="I252" s="314"/>
      <c r="J252" s="314"/>
      <c r="K252" s="314"/>
      <c r="L252" s="776"/>
      <c r="M252" s="314"/>
      <c r="N252" s="318"/>
      <c r="O252" s="315"/>
      <c r="P252" s="314"/>
      <c r="Q252" s="314"/>
      <c r="R252" s="314"/>
      <c r="S252" s="777"/>
      <c r="T252" s="314"/>
      <c r="U252" s="778"/>
      <c r="V252" s="315"/>
      <c r="W252" s="779"/>
      <c r="X252" s="780"/>
      <c r="Y252" s="314"/>
      <c r="Z252" s="314"/>
      <c r="AA252" s="314"/>
      <c r="AB252" s="324"/>
      <c r="AC252" s="155"/>
      <c r="AD252" s="155"/>
      <c r="AE252" s="322"/>
      <c r="AF252" s="155"/>
      <c r="AG252" s="132"/>
    </row>
    <row r="253">
      <c r="A253" s="314"/>
      <c r="B253" s="313"/>
      <c r="C253" s="313"/>
      <c r="D253" s="313"/>
      <c r="E253" s="737"/>
      <c r="F253" s="314"/>
      <c r="G253" s="318"/>
      <c r="H253" s="315"/>
      <c r="I253" s="314"/>
      <c r="J253" s="314"/>
      <c r="K253" s="314"/>
      <c r="L253" s="776"/>
      <c r="M253" s="314"/>
      <c r="N253" s="318"/>
      <c r="O253" s="315"/>
      <c r="P253" s="314"/>
      <c r="Q253" s="314"/>
      <c r="R253" s="314"/>
      <c r="S253" s="777"/>
      <c r="T253" s="314"/>
      <c r="U253" s="778"/>
      <c r="V253" s="315"/>
      <c r="W253" s="779"/>
      <c r="X253" s="780"/>
      <c r="Y253" s="314"/>
      <c r="Z253" s="314"/>
      <c r="AA253" s="314"/>
      <c r="AB253" s="324"/>
      <c r="AC253" s="155"/>
      <c r="AD253" s="155"/>
      <c r="AE253" s="322"/>
      <c r="AF253" s="155"/>
      <c r="AG253" s="132"/>
    </row>
    <row r="254">
      <c r="A254" s="314"/>
      <c r="B254" s="313"/>
      <c r="C254" s="313"/>
      <c r="D254" s="313"/>
      <c r="E254" s="737"/>
      <c r="F254" s="314"/>
      <c r="G254" s="318"/>
      <c r="H254" s="315"/>
      <c r="I254" s="314"/>
      <c r="J254" s="314"/>
      <c r="K254" s="314"/>
      <c r="L254" s="776"/>
      <c r="M254" s="314"/>
      <c r="N254" s="318"/>
      <c r="O254" s="315"/>
      <c r="P254" s="314"/>
      <c r="Q254" s="314"/>
      <c r="R254" s="314"/>
      <c r="S254" s="777"/>
      <c r="T254" s="314"/>
      <c r="U254" s="778"/>
      <c r="V254" s="315"/>
      <c r="W254" s="779"/>
      <c r="X254" s="780"/>
      <c r="Y254" s="314"/>
      <c r="Z254" s="314"/>
      <c r="AA254" s="314"/>
      <c r="AB254" s="324"/>
      <c r="AC254" s="155"/>
      <c r="AD254" s="155"/>
      <c r="AE254" s="322"/>
      <c r="AF254" s="155"/>
      <c r="AG254" s="132"/>
    </row>
    <row r="255">
      <c r="A255" s="314"/>
      <c r="B255" s="313"/>
      <c r="C255" s="313"/>
      <c r="D255" s="313"/>
      <c r="E255" s="737"/>
      <c r="F255" s="314"/>
      <c r="G255" s="318"/>
      <c r="H255" s="315"/>
      <c r="I255" s="314"/>
      <c r="J255" s="314"/>
      <c r="K255" s="314"/>
      <c r="L255" s="776"/>
      <c r="M255" s="314"/>
      <c r="N255" s="318"/>
      <c r="O255" s="315"/>
      <c r="P255" s="314"/>
      <c r="Q255" s="314"/>
      <c r="R255" s="314"/>
      <c r="S255" s="777"/>
      <c r="T255" s="314"/>
      <c r="U255" s="778"/>
      <c r="V255" s="315"/>
      <c r="W255" s="779"/>
      <c r="X255" s="780"/>
      <c r="Y255" s="314"/>
      <c r="Z255" s="314"/>
      <c r="AA255" s="314"/>
      <c r="AB255" s="324"/>
      <c r="AC255" s="155"/>
      <c r="AD255" s="155"/>
      <c r="AE255" s="322"/>
      <c r="AF255" s="155"/>
      <c r="AG255" s="132"/>
    </row>
    <row r="256">
      <c r="A256" s="314"/>
      <c r="B256" s="313"/>
      <c r="C256" s="313"/>
      <c r="D256" s="313"/>
      <c r="E256" s="737"/>
      <c r="F256" s="314"/>
      <c r="G256" s="318"/>
      <c r="H256" s="315"/>
      <c r="I256" s="314"/>
      <c r="J256" s="314"/>
      <c r="K256" s="314"/>
      <c r="L256" s="776"/>
      <c r="M256" s="314"/>
      <c r="N256" s="318"/>
      <c r="O256" s="315"/>
      <c r="P256" s="314"/>
      <c r="Q256" s="314"/>
      <c r="R256" s="314"/>
      <c r="S256" s="777"/>
      <c r="T256" s="314"/>
      <c r="U256" s="778"/>
      <c r="V256" s="315"/>
      <c r="W256" s="779"/>
      <c r="X256" s="780"/>
      <c r="Y256" s="314"/>
      <c r="Z256" s="314"/>
      <c r="AA256" s="314"/>
      <c r="AB256" s="324"/>
      <c r="AC256" s="155"/>
      <c r="AD256" s="155"/>
      <c r="AE256" s="322"/>
      <c r="AF256" s="155"/>
      <c r="AG256" s="132"/>
    </row>
    <row r="257">
      <c r="A257" s="314"/>
      <c r="B257" s="313"/>
      <c r="C257" s="313"/>
      <c r="D257" s="313"/>
      <c r="E257" s="737"/>
      <c r="F257" s="314"/>
      <c r="G257" s="318"/>
      <c r="H257" s="315"/>
      <c r="I257" s="314"/>
      <c r="J257" s="314"/>
      <c r="K257" s="314"/>
      <c r="L257" s="776"/>
      <c r="M257" s="314"/>
      <c r="N257" s="318"/>
      <c r="O257" s="315"/>
      <c r="P257" s="314"/>
      <c r="Q257" s="314"/>
      <c r="R257" s="314"/>
      <c r="S257" s="777"/>
      <c r="T257" s="314"/>
      <c r="U257" s="778"/>
      <c r="V257" s="315"/>
      <c r="W257" s="779"/>
      <c r="X257" s="780"/>
      <c r="Y257" s="314"/>
      <c r="Z257" s="314"/>
      <c r="AA257" s="314"/>
      <c r="AB257" s="324"/>
      <c r="AC257" s="155"/>
      <c r="AD257" s="155"/>
      <c r="AE257" s="322"/>
      <c r="AF257" s="155"/>
      <c r="AG257" s="132"/>
    </row>
    <row r="258">
      <c r="A258" s="435"/>
      <c r="B258" s="313"/>
      <c r="C258" s="437"/>
      <c r="D258" s="313"/>
      <c r="E258" s="753"/>
      <c r="F258" s="314"/>
      <c r="G258" s="318"/>
      <c r="H258" s="744"/>
      <c r="I258" s="435"/>
      <c r="J258" s="314"/>
      <c r="K258" s="435"/>
      <c r="L258" s="781"/>
      <c r="M258" s="314"/>
      <c r="N258" s="318"/>
      <c r="O258" s="315"/>
      <c r="P258" s="435"/>
      <c r="Q258" s="435"/>
      <c r="R258" s="435"/>
      <c r="S258" s="782"/>
      <c r="T258" s="435"/>
      <c r="U258" s="783"/>
      <c r="V258" s="744"/>
      <c r="W258" s="784"/>
      <c r="X258" s="785"/>
      <c r="Y258" s="435"/>
      <c r="Z258" s="435"/>
      <c r="AA258" s="435"/>
      <c r="AB258" s="324"/>
      <c r="AC258" s="180"/>
      <c r="AD258" s="155"/>
      <c r="AE258" s="322"/>
      <c r="AF258" s="155"/>
      <c r="AG258" s="132"/>
    </row>
    <row r="259">
      <c r="A259" s="435"/>
      <c r="B259" s="313"/>
      <c r="C259" s="313"/>
      <c r="D259" s="437"/>
      <c r="E259" s="737"/>
      <c r="F259" s="314"/>
      <c r="G259" s="318"/>
      <c r="H259" s="315"/>
      <c r="I259" s="314"/>
      <c r="J259" s="314"/>
      <c r="K259" s="314"/>
      <c r="L259" s="776"/>
      <c r="M259" s="435"/>
      <c r="N259" s="740"/>
      <c r="O259" s="315"/>
      <c r="P259" s="314"/>
      <c r="Q259" s="314"/>
      <c r="R259" s="314"/>
      <c r="S259" s="777"/>
      <c r="T259" s="314"/>
      <c r="U259" s="778"/>
      <c r="V259" s="315"/>
      <c r="W259" s="779"/>
      <c r="X259" s="780"/>
      <c r="Y259" s="314"/>
      <c r="Z259" s="314"/>
      <c r="AA259" s="314"/>
      <c r="AB259" s="324"/>
      <c r="AC259" s="180"/>
      <c r="AD259" s="155"/>
      <c r="AE259" s="322"/>
      <c r="AF259" s="155"/>
      <c r="AG259" s="132"/>
    </row>
    <row r="260">
      <c r="A260" s="435"/>
      <c r="B260" s="437"/>
      <c r="C260" s="437"/>
      <c r="D260" s="437"/>
      <c r="E260" s="753"/>
      <c r="F260" s="314"/>
      <c r="G260" s="318"/>
      <c r="H260" s="315"/>
      <c r="I260" s="435"/>
      <c r="J260" s="435"/>
      <c r="K260" s="435"/>
      <c r="L260" s="781"/>
      <c r="M260" s="435"/>
      <c r="N260" s="740"/>
      <c r="O260" s="315"/>
      <c r="P260" s="435"/>
      <c r="Q260" s="314"/>
      <c r="R260" s="435"/>
      <c r="S260" s="782"/>
      <c r="T260" s="435"/>
      <c r="U260" s="783"/>
      <c r="V260" s="744"/>
      <c r="W260" s="784"/>
      <c r="X260" s="785"/>
      <c r="Y260" s="435"/>
      <c r="Z260" s="435"/>
      <c r="AA260" s="435"/>
      <c r="AB260" s="324"/>
      <c r="AC260" s="180"/>
      <c r="AD260" s="155"/>
      <c r="AE260" s="322"/>
      <c r="AF260" s="155"/>
      <c r="AG260" s="132"/>
    </row>
    <row r="261">
      <c r="A261" s="435"/>
      <c r="B261" s="313"/>
      <c r="C261" s="313"/>
      <c r="D261" s="437"/>
      <c r="E261" s="737"/>
      <c r="F261" s="314"/>
      <c r="G261" s="318"/>
      <c r="H261" s="315"/>
      <c r="I261" s="435"/>
      <c r="J261" s="314"/>
      <c r="K261" s="435"/>
      <c r="L261" s="776"/>
      <c r="M261" s="314"/>
      <c r="N261" s="318"/>
      <c r="O261" s="315"/>
      <c r="P261" s="314"/>
      <c r="Q261" s="435"/>
      <c r="R261" s="435"/>
      <c r="S261" s="777"/>
      <c r="T261" s="314"/>
      <c r="U261" s="778"/>
      <c r="V261" s="315"/>
      <c r="W261" s="779"/>
      <c r="X261" s="780"/>
      <c r="Y261" s="314"/>
      <c r="Z261" s="314"/>
      <c r="AA261" s="314"/>
      <c r="AB261" s="324"/>
      <c r="AC261" s="180"/>
      <c r="AD261" s="155"/>
      <c r="AE261" s="322"/>
      <c r="AF261" s="155"/>
      <c r="AG261" s="132"/>
    </row>
    <row r="262">
      <c r="A262" s="435"/>
      <c r="B262" s="437"/>
      <c r="C262" s="437"/>
      <c r="D262" s="437"/>
      <c r="E262" s="753"/>
      <c r="F262" s="314"/>
      <c r="G262" s="318"/>
      <c r="H262" s="744"/>
      <c r="I262" s="435"/>
      <c r="J262" s="435"/>
      <c r="K262" s="435"/>
      <c r="L262" s="781"/>
      <c r="M262" s="435"/>
      <c r="N262" s="740"/>
      <c r="O262" s="315"/>
      <c r="P262" s="435"/>
      <c r="Q262" s="435"/>
      <c r="R262" s="435"/>
      <c r="S262" s="782"/>
      <c r="T262" s="435"/>
      <c r="U262" s="783"/>
      <c r="V262" s="744"/>
      <c r="W262" s="784"/>
      <c r="X262" s="785"/>
      <c r="Y262" s="435"/>
      <c r="Z262" s="435"/>
      <c r="AA262" s="435"/>
      <c r="AB262" s="324"/>
      <c r="AC262" s="180"/>
      <c r="AD262" s="155"/>
      <c r="AE262" s="322"/>
      <c r="AF262" s="155"/>
      <c r="AG262" s="132"/>
    </row>
    <row r="263">
      <c r="A263" s="435"/>
      <c r="B263" s="437"/>
      <c r="C263" s="313"/>
      <c r="D263" s="437"/>
      <c r="E263" s="737"/>
      <c r="F263" s="314"/>
      <c r="G263" s="318"/>
      <c r="H263" s="315"/>
      <c r="I263" s="314"/>
      <c r="J263" s="314"/>
      <c r="K263" s="435"/>
      <c r="L263" s="776"/>
      <c r="M263" s="314"/>
      <c r="N263" s="318"/>
      <c r="O263" s="315"/>
      <c r="P263" s="314"/>
      <c r="Q263" s="314"/>
      <c r="R263" s="314"/>
      <c r="S263" s="782"/>
      <c r="T263" s="435"/>
      <c r="U263" s="783"/>
      <c r="V263" s="744"/>
      <c r="W263" s="784"/>
      <c r="X263" s="785"/>
      <c r="Y263" s="435"/>
      <c r="Z263" s="435"/>
      <c r="AA263" s="435"/>
      <c r="AB263" s="324"/>
      <c r="AC263" s="180"/>
      <c r="AD263" s="155"/>
      <c r="AE263" s="322"/>
      <c r="AF263" s="155"/>
      <c r="AG263" s="132"/>
    </row>
    <row r="264">
      <c r="A264" s="435"/>
      <c r="B264" s="437"/>
      <c r="C264" s="437"/>
      <c r="D264" s="437"/>
      <c r="E264" s="753"/>
      <c r="F264" s="314"/>
      <c r="G264" s="318"/>
      <c r="H264" s="744"/>
      <c r="I264" s="314"/>
      <c r="J264" s="314"/>
      <c r="K264" s="435"/>
      <c r="L264" s="776"/>
      <c r="M264" s="314"/>
      <c r="N264" s="318"/>
      <c r="O264" s="315"/>
      <c r="P264" s="435"/>
      <c r="Q264" s="435"/>
      <c r="R264" s="435"/>
      <c r="S264" s="782"/>
      <c r="T264" s="435"/>
      <c r="U264" s="783"/>
      <c r="V264" s="744"/>
      <c r="W264" s="784"/>
      <c r="X264" s="785"/>
      <c r="Y264" s="435"/>
      <c r="Z264" s="435"/>
      <c r="AA264" s="435"/>
      <c r="AB264" s="324"/>
      <c r="AC264" s="180"/>
      <c r="AD264" s="155"/>
      <c r="AE264" s="322"/>
      <c r="AF264" s="155"/>
      <c r="AG264" s="132"/>
    </row>
    <row r="265">
      <c r="A265" s="435"/>
      <c r="B265" s="437"/>
      <c r="C265" s="437"/>
      <c r="D265" s="437"/>
      <c r="E265" s="753"/>
      <c r="F265" s="314"/>
      <c r="G265" s="318"/>
      <c r="H265" s="744"/>
      <c r="I265" s="435"/>
      <c r="J265" s="435"/>
      <c r="K265" s="435"/>
      <c r="L265" s="781"/>
      <c r="M265" s="435"/>
      <c r="N265" s="740"/>
      <c r="O265" s="315"/>
      <c r="P265" s="435"/>
      <c r="Q265" s="435"/>
      <c r="R265" s="435"/>
      <c r="S265" s="782"/>
      <c r="T265" s="435"/>
      <c r="U265" s="783"/>
      <c r="V265" s="744"/>
      <c r="W265" s="784"/>
      <c r="X265" s="785"/>
      <c r="Y265" s="435"/>
      <c r="Z265" s="435"/>
      <c r="AA265" s="435"/>
      <c r="AB265" s="324"/>
      <c r="AC265" s="180"/>
      <c r="AD265" s="155"/>
      <c r="AE265" s="322"/>
      <c r="AF265" s="155"/>
      <c r="AG265" s="132"/>
    </row>
    <row r="266">
      <c r="A266" s="435"/>
      <c r="B266" s="313"/>
      <c r="C266" s="313"/>
      <c r="D266" s="313"/>
      <c r="E266" s="753"/>
      <c r="F266" s="314"/>
      <c r="G266" s="318"/>
      <c r="H266" s="744"/>
      <c r="I266" s="314"/>
      <c r="J266" s="314"/>
      <c r="K266" s="314"/>
      <c r="L266" s="776"/>
      <c r="M266" s="314"/>
      <c r="N266" s="318"/>
      <c r="O266" s="315"/>
      <c r="P266" s="314"/>
      <c r="Q266" s="314"/>
      <c r="R266" s="314"/>
      <c r="S266" s="777"/>
      <c r="T266" s="314"/>
      <c r="U266" s="778"/>
      <c r="V266" s="315"/>
      <c r="W266" s="779"/>
      <c r="X266" s="780"/>
      <c r="Y266" s="314"/>
      <c r="Z266" s="314"/>
      <c r="AA266" s="314"/>
      <c r="AB266" s="324"/>
      <c r="AC266" s="180"/>
      <c r="AD266" s="155"/>
      <c r="AE266" s="322"/>
      <c r="AF266" s="155"/>
      <c r="AG266" s="132"/>
    </row>
    <row r="267">
      <c r="A267" s="435"/>
      <c r="B267" s="313"/>
      <c r="C267" s="313"/>
      <c r="D267" s="437"/>
      <c r="E267" s="737"/>
      <c r="F267" s="314"/>
      <c r="G267" s="318"/>
      <c r="H267" s="744"/>
      <c r="I267" s="314"/>
      <c r="J267" s="435"/>
      <c r="K267" s="435"/>
      <c r="L267" s="776"/>
      <c r="M267" s="435"/>
      <c r="N267" s="318"/>
      <c r="O267" s="315"/>
      <c r="P267" s="314"/>
      <c r="Q267" s="314"/>
      <c r="R267" s="435"/>
      <c r="S267" s="782"/>
      <c r="T267" s="435"/>
      <c r="U267" s="783"/>
      <c r="V267" s="744"/>
      <c r="W267" s="784"/>
      <c r="X267" s="785"/>
      <c r="Y267" s="435"/>
      <c r="Z267" s="435"/>
      <c r="AA267" s="435"/>
      <c r="AB267" s="324"/>
      <c r="AC267" s="180"/>
      <c r="AD267" s="155"/>
      <c r="AE267" s="322"/>
      <c r="AF267" s="155"/>
      <c r="AG267" s="132"/>
    </row>
    <row r="268">
      <c r="A268" s="435"/>
      <c r="B268" s="313"/>
      <c r="C268" s="313"/>
      <c r="D268" s="313"/>
      <c r="E268" s="737"/>
      <c r="F268" s="314"/>
      <c r="G268" s="318"/>
      <c r="H268" s="315"/>
      <c r="I268" s="314"/>
      <c r="J268" s="314"/>
      <c r="K268" s="314"/>
      <c r="L268" s="776"/>
      <c r="M268" s="314"/>
      <c r="N268" s="318"/>
      <c r="O268" s="315"/>
      <c r="P268" s="314"/>
      <c r="Q268" s="435"/>
      <c r="R268" s="314"/>
      <c r="S268" s="782"/>
      <c r="T268" s="435"/>
      <c r="U268" s="783"/>
      <c r="V268" s="744"/>
      <c r="W268" s="784"/>
      <c r="X268" s="785"/>
      <c r="Y268" s="435"/>
      <c r="Z268" s="435"/>
      <c r="AA268" s="435"/>
      <c r="AB268" s="324"/>
      <c r="AC268" s="180"/>
      <c r="AD268" s="155"/>
      <c r="AE268" s="322"/>
      <c r="AF268" s="155"/>
      <c r="AG268" s="132"/>
    </row>
    <row r="269">
      <c r="A269" s="435"/>
      <c r="B269" s="437"/>
      <c r="C269" s="313"/>
      <c r="D269" s="313"/>
      <c r="E269" s="737"/>
      <c r="F269" s="314"/>
      <c r="G269" s="318"/>
      <c r="H269" s="744"/>
      <c r="I269" s="314"/>
      <c r="J269" s="435"/>
      <c r="K269" s="435"/>
      <c r="L269" s="776"/>
      <c r="M269" s="314"/>
      <c r="N269" s="740"/>
      <c r="O269" s="315"/>
      <c r="P269" s="314"/>
      <c r="Q269" s="314"/>
      <c r="R269" s="435"/>
      <c r="S269" s="782"/>
      <c r="T269" s="435"/>
      <c r="U269" s="783"/>
      <c r="V269" s="744"/>
      <c r="W269" s="784"/>
      <c r="X269" s="785"/>
      <c r="Y269" s="435"/>
      <c r="Z269" s="435"/>
      <c r="AA269" s="435"/>
      <c r="AB269" s="324"/>
      <c r="AC269" s="180"/>
      <c r="AD269" s="155"/>
      <c r="AE269" s="322"/>
      <c r="AF269" s="155"/>
      <c r="AG269" s="132"/>
    </row>
    <row r="270">
      <c r="A270" s="435"/>
      <c r="B270" s="313"/>
      <c r="C270" s="437"/>
      <c r="D270" s="437"/>
      <c r="E270" s="753"/>
      <c r="F270" s="314"/>
      <c r="G270" s="318"/>
      <c r="H270" s="744"/>
      <c r="I270" s="314"/>
      <c r="J270" s="314"/>
      <c r="K270" s="435"/>
      <c r="L270" s="776"/>
      <c r="M270" s="314"/>
      <c r="N270" s="318"/>
      <c r="O270" s="315"/>
      <c r="P270" s="314"/>
      <c r="Q270" s="314"/>
      <c r="R270" s="314"/>
      <c r="S270" s="782"/>
      <c r="T270" s="435"/>
      <c r="U270" s="783"/>
      <c r="V270" s="744"/>
      <c r="W270" s="784"/>
      <c r="X270" s="785"/>
      <c r="Y270" s="435"/>
      <c r="Z270" s="435"/>
      <c r="AA270" s="435"/>
      <c r="AB270" s="324"/>
      <c r="AC270" s="180"/>
      <c r="AD270" s="155"/>
      <c r="AE270" s="322"/>
      <c r="AF270" s="155"/>
      <c r="AG270" s="132"/>
    </row>
    <row r="271">
      <c r="A271" s="435"/>
      <c r="B271" s="313"/>
      <c r="C271" s="313"/>
      <c r="D271" s="313"/>
      <c r="E271" s="737"/>
      <c r="F271" s="314"/>
      <c r="G271" s="318"/>
      <c r="H271" s="744"/>
      <c r="I271" s="314"/>
      <c r="J271" s="314"/>
      <c r="K271" s="314"/>
      <c r="L271" s="776"/>
      <c r="M271" s="314"/>
      <c r="N271" s="318"/>
      <c r="O271" s="315"/>
      <c r="P271" s="314"/>
      <c r="Q271" s="314"/>
      <c r="R271" s="435"/>
      <c r="S271" s="777"/>
      <c r="T271" s="314"/>
      <c r="U271" s="778"/>
      <c r="V271" s="315"/>
      <c r="W271" s="779"/>
      <c r="X271" s="780"/>
      <c r="Y271" s="314"/>
      <c r="Z271" s="314"/>
      <c r="AA271" s="314"/>
      <c r="AB271" s="324"/>
      <c r="AC271" s="180"/>
      <c r="AD271" s="155"/>
      <c r="AE271" s="322"/>
      <c r="AF271" s="155"/>
      <c r="AG271" s="132"/>
    </row>
    <row r="272">
      <c r="A272" s="435"/>
      <c r="B272" s="437"/>
      <c r="C272" s="437"/>
      <c r="D272" s="437"/>
      <c r="E272" s="753"/>
      <c r="F272" s="314"/>
      <c r="G272" s="318"/>
      <c r="H272" s="744"/>
      <c r="I272" s="435"/>
      <c r="J272" s="435"/>
      <c r="K272" s="435"/>
      <c r="L272" s="781"/>
      <c r="M272" s="435"/>
      <c r="N272" s="740"/>
      <c r="O272" s="315"/>
      <c r="P272" s="435"/>
      <c r="Q272" s="435"/>
      <c r="R272" s="435"/>
      <c r="S272" s="782"/>
      <c r="T272" s="435"/>
      <c r="U272" s="783"/>
      <c r="V272" s="744"/>
      <c r="W272" s="784"/>
      <c r="X272" s="785"/>
      <c r="Y272" s="435"/>
      <c r="Z272" s="435"/>
      <c r="AA272" s="435"/>
      <c r="AB272" s="324"/>
      <c r="AC272" s="180"/>
      <c r="AD272" s="155"/>
      <c r="AE272" s="322"/>
      <c r="AF272" s="155"/>
      <c r="AG272" s="132"/>
    </row>
    <row r="273">
      <c r="A273" s="435"/>
      <c r="B273" s="313"/>
      <c r="C273" s="313"/>
      <c r="D273" s="313"/>
      <c r="E273" s="737"/>
      <c r="F273" s="314"/>
      <c r="G273" s="318"/>
      <c r="H273" s="315"/>
      <c r="I273" s="314"/>
      <c r="J273" s="314"/>
      <c r="K273" s="314"/>
      <c r="L273" s="776"/>
      <c r="M273" s="435"/>
      <c r="N273" s="318"/>
      <c r="O273" s="315"/>
      <c r="P273" s="314"/>
      <c r="Q273" s="314"/>
      <c r="R273" s="314"/>
      <c r="S273" s="777"/>
      <c r="T273" s="314"/>
      <c r="U273" s="778"/>
      <c r="V273" s="315"/>
      <c r="W273" s="779"/>
      <c r="X273" s="780"/>
      <c r="Y273" s="314"/>
      <c r="Z273" s="314"/>
      <c r="AA273" s="314"/>
      <c r="AB273" s="324"/>
      <c r="AC273" s="180"/>
      <c r="AD273" s="155"/>
      <c r="AE273" s="322"/>
      <c r="AF273" s="155"/>
      <c r="AG273" s="132"/>
    </row>
    <row r="274">
      <c r="A274" s="435"/>
      <c r="B274" s="313"/>
      <c r="C274" s="437"/>
      <c r="D274" s="437"/>
      <c r="E274" s="753"/>
      <c r="F274" s="314"/>
      <c r="G274" s="318"/>
      <c r="H274" s="744"/>
      <c r="I274" s="435"/>
      <c r="J274" s="435"/>
      <c r="K274" s="435"/>
      <c r="L274" s="776"/>
      <c r="M274" s="435"/>
      <c r="N274" s="740"/>
      <c r="O274" s="315"/>
      <c r="P274" s="435"/>
      <c r="Q274" s="435"/>
      <c r="R274" s="435"/>
      <c r="S274" s="782"/>
      <c r="T274" s="435"/>
      <c r="U274" s="783"/>
      <c r="V274" s="744"/>
      <c r="W274" s="784"/>
      <c r="X274" s="785"/>
      <c r="Y274" s="435"/>
      <c r="Z274" s="435"/>
      <c r="AA274" s="435"/>
      <c r="AB274" s="324"/>
      <c r="AC274" s="180"/>
      <c r="AD274" s="155"/>
      <c r="AE274" s="322"/>
      <c r="AF274" s="155"/>
      <c r="AG274" s="132"/>
    </row>
    <row r="275">
      <c r="A275" s="435"/>
      <c r="B275" s="437"/>
      <c r="C275" s="437"/>
      <c r="D275" s="313"/>
      <c r="E275" s="753"/>
      <c r="F275" s="314"/>
      <c r="G275" s="318"/>
      <c r="H275" s="744"/>
      <c r="I275" s="435"/>
      <c r="J275" s="314"/>
      <c r="K275" s="435"/>
      <c r="L275" s="781"/>
      <c r="M275" s="314"/>
      <c r="N275" s="740"/>
      <c r="O275" s="315"/>
      <c r="P275" s="435"/>
      <c r="Q275" s="314"/>
      <c r="R275" s="435"/>
      <c r="S275" s="782"/>
      <c r="T275" s="435"/>
      <c r="U275" s="783"/>
      <c r="V275" s="744"/>
      <c r="W275" s="784"/>
      <c r="X275" s="785"/>
      <c r="Y275" s="435"/>
      <c r="Z275" s="435"/>
      <c r="AA275" s="435"/>
      <c r="AB275" s="324"/>
      <c r="AC275" s="180"/>
      <c r="AD275" s="155"/>
      <c r="AE275" s="322"/>
      <c r="AF275" s="155"/>
      <c r="AG275" s="132"/>
    </row>
    <row r="276">
      <c r="A276" s="458"/>
      <c r="B276" s="437"/>
      <c r="C276" s="437"/>
      <c r="D276" s="437"/>
      <c r="E276" s="753"/>
      <c r="F276" s="314"/>
      <c r="G276" s="318"/>
      <c r="H276" s="315"/>
      <c r="I276" s="435"/>
      <c r="J276" s="435"/>
      <c r="K276" s="435"/>
      <c r="L276" s="781"/>
      <c r="M276" s="435"/>
      <c r="N276" s="740"/>
      <c r="O276" s="315"/>
      <c r="P276" s="435"/>
      <c r="Q276" s="435"/>
      <c r="R276" s="435"/>
      <c r="S276" s="782"/>
      <c r="T276" s="435"/>
      <c r="U276" s="783"/>
      <c r="V276" s="744"/>
      <c r="W276" s="784"/>
      <c r="X276" s="785"/>
      <c r="Y276" s="435"/>
      <c r="Z276" s="435"/>
      <c r="AA276" s="435"/>
      <c r="AB276" s="324"/>
      <c r="AC276" s="180"/>
      <c r="AD276" s="155"/>
      <c r="AE276" s="322"/>
      <c r="AF276" s="155"/>
      <c r="AG276" s="132"/>
    </row>
    <row r="277">
      <c r="A277" s="458"/>
      <c r="B277" s="437"/>
      <c r="C277" s="437"/>
      <c r="D277" s="437"/>
      <c r="E277" s="753"/>
      <c r="F277" s="314"/>
      <c r="G277" s="318"/>
      <c r="H277" s="315"/>
      <c r="I277" s="314"/>
      <c r="J277" s="435"/>
      <c r="K277" s="435"/>
      <c r="L277" s="781"/>
      <c r="M277" s="435"/>
      <c r="N277" s="740"/>
      <c r="O277" s="315"/>
      <c r="P277" s="435"/>
      <c r="Q277" s="435"/>
      <c r="R277" s="435"/>
      <c r="S277" s="782"/>
      <c r="T277" s="435"/>
      <c r="U277" s="783"/>
      <c r="V277" s="744"/>
      <c r="W277" s="784"/>
      <c r="X277" s="785"/>
      <c r="Y277" s="435"/>
      <c r="Z277" s="435"/>
      <c r="AA277" s="435"/>
      <c r="AB277" s="324"/>
      <c r="AC277" s="180"/>
      <c r="AD277" s="155"/>
      <c r="AE277" s="322"/>
      <c r="AF277" s="155"/>
      <c r="AG277" s="132"/>
    </row>
    <row r="278">
      <c r="A278" s="458"/>
      <c r="B278" s="437"/>
      <c r="C278" s="437"/>
      <c r="D278" s="437"/>
      <c r="E278" s="737"/>
      <c r="F278" s="314"/>
      <c r="G278" s="318"/>
      <c r="H278" s="315"/>
      <c r="I278" s="435"/>
      <c r="J278" s="435"/>
      <c r="K278" s="435"/>
      <c r="L278" s="781"/>
      <c r="M278" s="435"/>
      <c r="N278" s="740"/>
      <c r="O278" s="315"/>
      <c r="P278" s="435"/>
      <c r="Q278" s="314"/>
      <c r="R278" s="435"/>
      <c r="S278" s="782"/>
      <c r="T278" s="435"/>
      <c r="U278" s="783"/>
      <c r="V278" s="744"/>
      <c r="W278" s="784"/>
      <c r="X278" s="785"/>
      <c r="Y278" s="435"/>
      <c r="Z278" s="435"/>
      <c r="AA278" s="435"/>
      <c r="AB278" s="324"/>
      <c r="AC278" s="180"/>
      <c r="AD278" s="155"/>
      <c r="AE278" s="322"/>
      <c r="AF278" s="155"/>
      <c r="AG278" s="132"/>
    </row>
    <row r="279">
      <c r="A279" s="458"/>
      <c r="B279" s="313"/>
      <c r="C279" s="313"/>
      <c r="D279" s="313"/>
      <c r="E279" s="737"/>
      <c r="F279" s="314"/>
      <c r="G279" s="318"/>
      <c r="H279" s="315"/>
      <c r="I279" s="314"/>
      <c r="J279" s="314"/>
      <c r="K279" s="314"/>
      <c r="L279" s="776"/>
      <c r="M279" s="314"/>
      <c r="N279" s="318"/>
      <c r="O279" s="315"/>
      <c r="P279" s="314"/>
      <c r="Q279" s="314"/>
      <c r="R279" s="314"/>
      <c r="S279" s="777"/>
      <c r="T279" s="314"/>
      <c r="U279" s="778"/>
      <c r="V279" s="315"/>
      <c r="W279" s="779"/>
      <c r="X279" s="780"/>
      <c r="Y279" s="314"/>
      <c r="Z279" s="314"/>
      <c r="AA279" s="314"/>
      <c r="AB279" s="324"/>
      <c r="AC279" s="180"/>
      <c r="AD279" s="155"/>
      <c r="AE279" s="322"/>
      <c r="AF279" s="155"/>
      <c r="AG279" s="132"/>
    </row>
    <row r="280">
      <c r="A280" s="458"/>
      <c r="B280" s="437"/>
      <c r="C280" s="437"/>
      <c r="D280" s="437"/>
      <c r="E280" s="737"/>
      <c r="F280" s="314"/>
      <c r="G280" s="318"/>
      <c r="H280" s="315"/>
      <c r="I280" s="314"/>
      <c r="J280" s="314"/>
      <c r="K280" s="435"/>
      <c r="L280" s="781"/>
      <c r="M280" s="435"/>
      <c r="N280" s="318"/>
      <c r="O280" s="315"/>
      <c r="P280" s="435"/>
      <c r="Q280" s="435"/>
      <c r="R280" s="435"/>
      <c r="S280" s="782"/>
      <c r="T280" s="435"/>
      <c r="U280" s="783"/>
      <c r="V280" s="744"/>
      <c r="W280" s="784"/>
      <c r="X280" s="785"/>
      <c r="Y280" s="435"/>
      <c r="Z280" s="435"/>
      <c r="AA280" s="435"/>
      <c r="AB280" s="324"/>
      <c r="AC280" s="180"/>
      <c r="AD280" s="155"/>
      <c r="AE280" s="322"/>
      <c r="AF280" s="155"/>
      <c r="AG280" s="132"/>
    </row>
    <row r="281">
      <c r="A281" s="458"/>
      <c r="B281" s="313"/>
      <c r="C281" s="313"/>
      <c r="D281" s="437"/>
      <c r="E281" s="737"/>
      <c r="F281" s="314"/>
      <c r="G281" s="318"/>
      <c r="H281" s="315"/>
      <c r="I281" s="314"/>
      <c r="J281" s="314"/>
      <c r="K281" s="314"/>
      <c r="L281" s="776"/>
      <c r="M281" s="314"/>
      <c r="N281" s="318"/>
      <c r="O281" s="315"/>
      <c r="P281" s="314"/>
      <c r="Q281" s="314"/>
      <c r="R281" s="314"/>
      <c r="S281" s="777"/>
      <c r="T281" s="314"/>
      <c r="U281" s="778"/>
      <c r="V281" s="315"/>
      <c r="W281" s="779"/>
      <c r="X281" s="780"/>
      <c r="Y281" s="314"/>
      <c r="Z281" s="314"/>
      <c r="AA281" s="314"/>
      <c r="AB281" s="324"/>
      <c r="AC281" s="180"/>
      <c r="AD281" s="155"/>
      <c r="AE281" s="322"/>
      <c r="AF281" s="155"/>
      <c r="AG281" s="132"/>
    </row>
    <row r="282">
      <c r="A282" s="458"/>
      <c r="B282" s="313"/>
      <c r="C282" s="437"/>
      <c r="D282" s="313"/>
      <c r="E282" s="737"/>
      <c r="F282" s="314"/>
      <c r="G282" s="318"/>
      <c r="H282" s="315"/>
      <c r="I282" s="435"/>
      <c r="J282" s="314"/>
      <c r="K282" s="314"/>
      <c r="L282" s="781"/>
      <c r="M282" s="314"/>
      <c r="N282" s="318"/>
      <c r="O282" s="315"/>
      <c r="P282" s="314"/>
      <c r="Q282" s="435"/>
      <c r="R282" s="435"/>
      <c r="S282" s="782"/>
      <c r="T282" s="435"/>
      <c r="U282" s="783"/>
      <c r="V282" s="744"/>
      <c r="W282" s="784"/>
      <c r="X282" s="785"/>
      <c r="Y282" s="435"/>
      <c r="Z282" s="435"/>
      <c r="AA282" s="435"/>
      <c r="AB282" s="324"/>
      <c r="AC282" s="180"/>
      <c r="AD282" s="155"/>
      <c r="AE282" s="322"/>
      <c r="AF282" s="155"/>
      <c r="AG282" s="132"/>
    </row>
    <row r="283">
      <c r="A283" s="458"/>
      <c r="B283" s="313"/>
      <c r="C283" s="437"/>
      <c r="D283" s="437"/>
      <c r="E283" s="753"/>
      <c r="F283" s="314"/>
      <c r="G283" s="318"/>
      <c r="H283" s="744"/>
      <c r="I283" s="435"/>
      <c r="J283" s="314"/>
      <c r="K283" s="435"/>
      <c r="L283" s="781"/>
      <c r="M283" s="314"/>
      <c r="N283" s="318"/>
      <c r="O283" s="315"/>
      <c r="P283" s="435"/>
      <c r="Q283" s="435"/>
      <c r="R283" s="435"/>
      <c r="S283" s="782"/>
      <c r="T283" s="435"/>
      <c r="U283" s="783"/>
      <c r="V283" s="744"/>
      <c r="W283" s="784"/>
      <c r="X283" s="785"/>
      <c r="Y283" s="435"/>
      <c r="Z283" s="435"/>
      <c r="AA283" s="435"/>
      <c r="AB283" s="324"/>
      <c r="AC283" s="180"/>
      <c r="AD283" s="155"/>
      <c r="AE283" s="322"/>
      <c r="AF283" s="155"/>
      <c r="AG283" s="132"/>
    </row>
    <row r="284">
      <c r="A284" s="458"/>
      <c r="B284" s="313"/>
      <c r="C284" s="437"/>
      <c r="D284" s="437"/>
      <c r="E284" s="737"/>
      <c r="F284" s="314"/>
      <c r="G284" s="318"/>
      <c r="H284" s="315"/>
      <c r="I284" s="314"/>
      <c r="J284" s="314"/>
      <c r="K284" s="435"/>
      <c r="L284" s="776"/>
      <c r="M284" s="314"/>
      <c r="N284" s="318"/>
      <c r="O284" s="315"/>
      <c r="P284" s="314"/>
      <c r="Q284" s="314"/>
      <c r="R284" s="435"/>
      <c r="S284" s="782"/>
      <c r="T284" s="435"/>
      <c r="U284" s="783"/>
      <c r="V284" s="744"/>
      <c r="W284" s="784"/>
      <c r="X284" s="785"/>
      <c r="Y284" s="435"/>
      <c r="Z284" s="435"/>
      <c r="AA284" s="435"/>
      <c r="AB284" s="324"/>
      <c r="AC284" s="180"/>
      <c r="AD284" s="155"/>
      <c r="AE284" s="322"/>
      <c r="AF284" s="155"/>
      <c r="AG284" s="132"/>
    </row>
    <row r="285">
      <c r="A285" s="458"/>
      <c r="B285" s="437"/>
      <c r="C285" s="437"/>
      <c r="D285" s="437"/>
      <c r="E285" s="753"/>
      <c r="F285" s="314"/>
      <c r="G285" s="318"/>
      <c r="H285" s="744"/>
      <c r="I285" s="435"/>
      <c r="J285" s="435"/>
      <c r="K285" s="435"/>
      <c r="L285" s="781"/>
      <c r="M285" s="435"/>
      <c r="N285" s="740"/>
      <c r="O285" s="315"/>
      <c r="P285" s="435"/>
      <c r="Q285" s="435"/>
      <c r="R285" s="435"/>
      <c r="S285" s="782"/>
      <c r="T285" s="435"/>
      <c r="U285" s="783"/>
      <c r="V285" s="744"/>
      <c r="W285" s="784"/>
      <c r="X285" s="785"/>
      <c r="Y285" s="435"/>
      <c r="Z285" s="435"/>
      <c r="AA285" s="435"/>
      <c r="AB285" s="324"/>
      <c r="AC285" s="180"/>
      <c r="AD285" s="155"/>
      <c r="AE285" s="322"/>
      <c r="AF285" s="155"/>
      <c r="AG285" s="132"/>
    </row>
    <row r="286">
      <c r="A286" s="435"/>
      <c r="B286" s="437"/>
      <c r="C286" s="437"/>
      <c r="D286" s="437"/>
      <c r="E286" s="753"/>
      <c r="F286" s="314"/>
      <c r="G286" s="318"/>
      <c r="H286" s="744"/>
      <c r="I286" s="435"/>
      <c r="J286" s="435"/>
      <c r="K286" s="435"/>
      <c r="L286" s="781"/>
      <c r="M286" s="435"/>
      <c r="N286" s="740"/>
      <c r="O286" s="315"/>
      <c r="P286" s="435"/>
      <c r="Q286" s="435"/>
      <c r="R286" s="435"/>
      <c r="S286" s="782"/>
      <c r="T286" s="435"/>
      <c r="U286" s="783"/>
      <c r="V286" s="744"/>
      <c r="W286" s="784"/>
      <c r="X286" s="785"/>
      <c r="Y286" s="435"/>
      <c r="Z286" s="435"/>
      <c r="AA286" s="435"/>
      <c r="AB286" s="324"/>
      <c r="AC286" s="180"/>
      <c r="AD286" s="155"/>
      <c r="AE286" s="322"/>
      <c r="AF286" s="155"/>
      <c r="AG286" s="132"/>
    </row>
    <row r="287">
      <c r="A287" s="474"/>
      <c r="B287" s="437"/>
      <c r="C287" s="437"/>
      <c r="D287" s="437"/>
      <c r="E287" s="753"/>
      <c r="F287" s="314"/>
      <c r="G287" s="318"/>
      <c r="H287" s="744"/>
      <c r="I287" s="435"/>
      <c r="J287" s="435"/>
      <c r="K287" s="435"/>
      <c r="L287" s="781"/>
      <c r="M287" s="435"/>
      <c r="N287" s="740"/>
      <c r="O287" s="315"/>
      <c r="P287" s="435"/>
      <c r="Q287" s="435"/>
      <c r="R287" s="435"/>
      <c r="S287" s="782"/>
      <c r="T287" s="435"/>
      <c r="U287" s="783"/>
      <c r="V287" s="744"/>
      <c r="W287" s="784"/>
      <c r="X287" s="785"/>
      <c r="Y287" s="435"/>
      <c r="Z287" s="435"/>
      <c r="AA287" s="435"/>
      <c r="AB287" s="324"/>
      <c r="AC287" s="180"/>
      <c r="AD287" s="155"/>
      <c r="AE287" s="322"/>
      <c r="AF287" s="155"/>
      <c r="AG287" s="132"/>
    </row>
    <row r="288">
      <c r="A288" s="474"/>
      <c r="B288" s="437"/>
      <c r="C288" s="313"/>
      <c r="D288" s="437"/>
      <c r="E288" s="753"/>
      <c r="F288" s="314"/>
      <c r="G288" s="318"/>
      <c r="H288" s="744"/>
      <c r="I288" s="435"/>
      <c r="J288" s="435"/>
      <c r="K288" s="314"/>
      <c r="L288" s="776"/>
      <c r="M288" s="314"/>
      <c r="N288" s="740"/>
      <c r="O288" s="315"/>
      <c r="P288" s="314"/>
      <c r="Q288" s="435"/>
      <c r="R288" s="314"/>
      <c r="S288" s="782"/>
      <c r="T288" s="435"/>
      <c r="U288" s="783"/>
      <c r="V288" s="744"/>
      <c r="W288" s="784"/>
      <c r="X288" s="785"/>
      <c r="Y288" s="435"/>
      <c r="Z288" s="435"/>
      <c r="AA288" s="435"/>
      <c r="AB288" s="324"/>
      <c r="AC288" s="180"/>
      <c r="AD288" s="155"/>
      <c r="AE288" s="322"/>
      <c r="AF288" s="155"/>
      <c r="AG288" s="132"/>
    </row>
    <row r="289">
      <c r="A289" s="474"/>
      <c r="B289" s="313"/>
      <c r="C289" s="313"/>
      <c r="D289" s="313"/>
      <c r="E289" s="737"/>
      <c r="F289" s="314"/>
      <c r="G289" s="318"/>
      <c r="H289" s="315"/>
      <c r="I289" s="314"/>
      <c r="J289" s="314"/>
      <c r="K289" s="435"/>
      <c r="L289" s="776"/>
      <c r="M289" s="314"/>
      <c r="N289" s="318"/>
      <c r="O289" s="315"/>
      <c r="P289" s="435"/>
      <c r="Q289" s="314"/>
      <c r="R289" s="314"/>
      <c r="S289" s="777"/>
      <c r="T289" s="314"/>
      <c r="U289" s="778"/>
      <c r="V289" s="315"/>
      <c r="W289" s="779"/>
      <c r="X289" s="780"/>
      <c r="Y289" s="314"/>
      <c r="Z289" s="314"/>
      <c r="AA289" s="314"/>
      <c r="AB289" s="324"/>
      <c r="AC289" s="180"/>
      <c r="AD289" s="155"/>
      <c r="AE289" s="322"/>
      <c r="AF289" s="155"/>
      <c r="AG289" s="132"/>
    </row>
    <row r="290">
      <c r="A290" s="474"/>
      <c r="B290" s="313"/>
      <c r="C290" s="437"/>
      <c r="D290" s="437"/>
      <c r="E290" s="737"/>
      <c r="F290" s="314"/>
      <c r="G290" s="318"/>
      <c r="H290" s="315"/>
      <c r="I290" s="435"/>
      <c r="J290" s="314"/>
      <c r="K290" s="314"/>
      <c r="L290" s="776"/>
      <c r="M290" s="314"/>
      <c r="N290" s="318"/>
      <c r="O290" s="315"/>
      <c r="P290" s="314"/>
      <c r="Q290" s="314"/>
      <c r="R290" s="314"/>
      <c r="S290" s="777"/>
      <c r="T290" s="314"/>
      <c r="U290" s="778"/>
      <c r="V290" s="315"/>
      <c r="W290" s="779"/>
      <c r="X290" s="780"/>
      <c r="Y290" s="314"/>
      <c r="Z290" s="314"/>
      <c r="AA290" s="314"/>
      <c r="AB290" s="324"/>
      <c r="AC290" s="180"/>
      <c r="AD290" s="155"/>
      <c r="AE290" s="322"/>
      <c r="AF290" s="155"/>
      <c r="AG290" s="132"/>
    </row>
    <row r="291">
      <c r="A291" s="474"/>
      <c r="B291" s="313"/>
      <c r="C291" s="313"/>
      <c r="D291" s="313"/>
      <c r="E291" s="737"/>
      <c r="F291" s="314"/>
      <c r="G291" s="318"/>
      <c r="H291" s="315"/>
      <c r="I291" s="314"/>
      <c r="J291" s="314"/>
      <c r="K291" s="435"/>
      <c r="L291" s="776"/>
      <c r="M291" s="314"/>
      <c r="N291" s="318"/>
      <c r="O291" s="315"/>
      <c r="P291" s="314"/>
      <c r="Q291" s="314"/>
      <c r="R291" s="314"/>
      <c r="S291" s="777"/>
      <c r="T291" s="314"/>
      <c r="U291" s="778"/>
      <c r="V291" s="315"/>
      <c r="W291" s="779"/>
      <c r="X291" s="780"/>
      <c r="Y291" s="314"/>
      <c r="Z291" s="314"/>
      <c r="AA291" s="314"/>
      <c r="AB291" s="324"/>
      <c r="AC291" s="180"/>
      <c r="AD291" s="155"/>
      <c r="AE291" s="322"/>
      <c r="AF291" s="155"/>
      <c r="AG291" s="132"/>
    </row>
    <row r="292">
      <c r="A292" s="458"/>
      <c r="B292" s="313"/>
      <c r="C292" s="437"/>
      <c r="D292" s="313"/>
      <c r="E292" s="737"/>
      <c r="F292" s="314"/>
      <c r="G292" s="318"/>
      <c r="H292" s="315"/>
      <c r="I292" s="314"/>
      <c r="J292" s="435"/>
      <c r="K292" s="435"/>
      <c r="L292" s="776"/>
      <c r="M292" s="314"/>
      <c r="N292" s="318"/>
      <c r="O292" s="315"/>
      <c r="P292" s="314"/>
      <c r="Q292" s="314"/>
      <c r="R292" s="314"/>
      <c r="S292" s="777"/>
      <c r="T292" s="314"/>
      <c r="U292" s="778"/>
      <c r="V292" s="315"/>
      <c r="W292" s="779"/>
      <c r="X292" s="780"/>
      <c r="Y292" s="314"/>
      <c r="Z292" s="314"/>
      <c r="AA292" s="314"/>
      <c r="AB292" s="324"/>
      <c r="AC292" s="180"/>
      <c r="AD292" s="155"/>
      <c r="AE292" s="322"/>
      <c r="AF292" s="155"/>
      <c r="AG292" s="132"/>
    </row>
    <row r="293">
      <c r="A293" s="435"/>
      <c r="B293" s="313"/>
      <c r="C293" s="437"/>
      <c r="D293" s="437"/>
      <c r="E293" s="753"/>
      <c r="F293" s="314"/>
      <c r="G293" s="318"/>
      <c r="H293" s="744"/>
      <c r="I293" s="314"/>
      <c r="J293" s="314"/>
      <c r="K293" s="435"/>
      <c r="L293" s="776"/>
      <c r="M293" s="435"/>
      <c r="N293" s="740"/>
      <c r="O293" s="315"/>
      <c r="P293" s="314"/>
      <c r="Q293" s="314"/>
      <c r="R293" s="435"/>
      <c r="S293" s="777"/>
      <c r="T293" s="314"/>
      <c r="U293" s="778"/>
      <c r="V293" s="315"/>
      <c r="W293" s="779"/>
      <c r="X293" s="780"/>
      <c r="Y293" s="314"/>
      <c r="Z293" s="314"/>
      <c r="AA293" s="314"/>
      <c r="AB293" s="324"/>
      <c r="AC293" s="180"/>
      <c r="AD293" s="155"/>
      <c r="AE293" s="322"/>
      <c r="AF293" s="155"/>
      <c r="AG293" s="132"/>
    </row>
    <row r="294">
      <c r="A294" s="435"/>
      <c r="B294" s="437"/>
      <c r="C294" s="313"/>
      <c r="D294" s="313"/>
      <c r="E294" s="737"/>
      <c r="F294" s="314"/>
      <c r="G294" s="318"/>
      <c r="H294" s="315"/>
      <c r="I294" s="314"/>
      <c r="J294" s="314"/>
      <c r="K294" s="314"/>
      <c r="L294" s="776"/>
      <c r="M294" s="314"/>
      <c r="N294" s="318"/>
      <c r="O294" s="315"/>
      <c r="P294" s="435"/>
      <c r="Q294" s="314"/>
      <c r="R294" s="314"/>
      <c r="S294" s="777"/>
      <c r="T294" s="314"/>
      <c r="U294" s="778"/>
      <c r="V294" s="315"/>
      <c r="W294" s="779"/>
      <c r="X294" s="780"/>
      <c r="Y294" s="314"/>
      <c r="Z294" s="314"/>
      <c r="AA294" s="314"/>
      <c r="AB294" s="324"/>
      <c r="AC294" s="180"/>
      <c r="AD294" s="155"/>
      <c r="AE294" s="322"/>
      <c r="AF294" s="155"/>
      <c r="AG294" s="132"/>
    </row>
    <row r="295">
      <c r="A295" s="435"/>
      <c r="B295" s="437"/>
      <c r="C295" s="313"/>
      <c r="D295" s="313"/>
      <c r="E295" s="737"/>
      <c r="F295" s="314"/>
      <c r="G295" s="318"/>
      <c r="H295" s="315"/>
      <c r="I295" s="314"/>
      <c r="J295" s="314"/>
      <c r="K295" s="314"/>
      <c r="L295" s="776"/>
      <c r="M295" s="314"/>
      <c r="N295" s="318"/>
      <c r="O295" s="315"/>
      <c r="P295" s="314"/>
      <c r="Q295" s="435"/>
      <c r="R295" s="314"/>
      <c r="S295" s="782"/>
      <c r="T295" s="435"/>
      <c r="U295" s="783"/>
      <c r="V295" s="744"/>
      <c r="W295" s="784"/>
      <c r="X295" s="785"/>
      <c r="Y295" s="435"/>
      <c r="Z295" s="435"/>
      <c r="AA295" s="435"/>
      <c r="AB295" s="324"/>
      <c r="AC295" s="180"/>
      <c r="AD295" s="155"/>
      <c r="AE295" s="322"/>
      <c r="AF295" s="155"/>
      <c r="AG295" s="132"/>
    </row>
    <row r="296">
      <c r="A296" s="435"/>
      <c r="B296" s="313"/>
      <c r="C296" s="437"/>
      <c r="D296" s="313"/>
      <c r="E296" s="737"/>
      <c r="F296" s="314"/>
      <c r="G296" s="318"/>
      <c r="H296" s="315"/>
      <c r="I296" s="314"/>
      <c r="J296" s="314"/>
      <c r="K296" s="314"/>
      <c r="L296" s="776"/>
      <c r="M296" s="314"/>
      <c r="N296" s="318"/>
      <c r="O296" s="315"/>
      <c r="P296" s="314"/>
      <c r="Q296" s="314"/>
      <c r="R296" s="435"/>
      <c r="S296" s="777"/>
      <c r="T296" s="314"/>
      <c r="U296" s="778"/>
      <c r="V296" s="315"/>
      <c r="W296" s="779"/>
      <c r="X296" s="780"/>
      <c r="Y296" s="314"/>
      <c r="Z296" s="314"/>
      <c r="AA296" s="314"/>
      <c r="AB296" s="324"/>
      <c r="AC296" s="180"/>
      <c r="AD296" s="155"/>
      <c r="AE296" s="322"/>
      <c r="AF296" s="155"/>
      <c r="AG296" s="132"/>
    </row>
    <row r="297">
      <c r="A297" s="435"/>
      <c r="B297" s="313"/>
      <c r="C297" s="313"/>
      <c r="D297" s="313"/>
      <c r="E297" s="737"/>
      <c r="F297" s="314"/>
      <c r="G297" s="318"/>
      <c r="H297" s="315"/>
      <c r="I297" s="314"/>
      <c r="J297" s="314"/>
      <c r="K297" s="435"/>
      <c r="L297" s="776"/>
      <c r="M297" s="435"/>
      <c r="N297" s="318"/>
      <c r="O297" s="315"/>
      <c r="P297" s="314"/>
      <c r="Q297" s="435"/>
      <c r="R297" s="314"/>
      <c r="S297" s="777"/>
      <c r="T297" s="314"/>
      <c r="U297" s="778"/>
      <c r="V297" s="315"/>
      <c r="W297" s="779"/>
      <c r="X297" s="780"/>
      <c r="Y297" s="314"/>
      <c r="Z297" s="314"/>
      <c r="AA297" s="314"/>
      <c r="AB297" s="324"/>
      <c r="AC297" s="180"/>
      <c r="AD297" s="155"/>
      <c r="AE297" s="322"/>
      <c r="AF297" s="155"/>
      <c r="AG297" s="132"/>
    </row>
    <row r="298">
      <c r="A298" s="435"/>
      <c r="B298" s="313"/>
      <c r="C298" s="437"/>
      <c r="D298" s="437"/>
      <c r="E298" s="737"/>
      <c r="F298" s="314"/>
      <c r="G298" s="318"/>
      <c r="H298" s="315"/>
      <c r="I298" s="314"/>
      <c r="J298" s="314"/>
      <c r="K298" s="435"/>
      <c r="L298" s="776"/>
      <c r="M298" s="435"/>
      <c r="N298" s="318"/>
      <c r="O298" s="315"/>
      <c r="P298" s="314"/>
      <c r="Q298" s="435"/>
      <c r="R298" s="314"/>
      <c r="S298" s="777"/>
      <c r="T298" s="314"/>
      <c r="U298" s="778"/>
      <c r="V298" s="315"/>
      <c r="W298" s="779"/>
      <c r="X298" s="780"/>
      <c r="Y298" s="314"/>
      <c r="Z298" s="314"/>
      <c r="AA298" s="314"/>
      <c r="AB298" s="324"/>
      <c r="AC298" s="180"/>
      <c r="AD298" s="155"/>
      <c r="AE298" s="322"/>
      <c r="AF298" s="155"/>
      <c r="AG298" s="132"/>
    </row>
    <row r="299">
      <c r="A299" s="476"/>
      <c r="AD299" s="176"/>
      <c r="AE299" s="322"/>
      <c r="AF299" s="155"/>
      <c r="AG299" s="132"/>
    </row>
    <row r="300">
      <c r="A300" s="178"/>
      <c r="AE300" s="322"/>
      <c r="AF300" s="155"/>
      <c r="AG300" s="132"/>
    </row>
    <row r="301">
      <c r="A301" s="474"/>
      <c r="B301" s="437"/>
      <c r="C301" s="437"/>
      <c r="D301" s="437"/>
      <c r="E301" s="753"/>
      <c r="F301" s="314"/>
      <c r="G301" s="318"/>
      <c r="H301" s="315"/>
      <c r="I301" s="435"/>
      <c r="J301" s="435"/>
      <c r="K301" s="435"/>
      <c r="L301" s="781"/>
      <c r="M301" s="435"/>
      <c r="N301" s="740"/>
      <c r="O301" s="315"/>
      <c r="P301" s="435"/>
      <c r="Q301" s="435"/>
      <c r="R301" s="435"/>
      <c r="S301" s="782"/>
      <c r="T301" s="435"/>
      <c r="U301" s="783"/>
      <c r="V301" s="744"/>
      <c r="W301" s="784"/>
      <c r="X301" s="785"/>
      <c r="Y301" s="435"/>
      <c r="Z301" s="435"/>
      <c r="AA301" s="435"/>
      <c r="AB301" s="324"/>
      <c r="AC301" s="180"/>
      <c r="AD301" s="155"/>
      <c r="AE301" s="322"/>
      <c r="AF301" s="155"/>
      <c r="AG301" s="132"/>
    </row>
    <row r="302">
      <c r="A302" s="474"/>
      <c r="B302" s="313"/>
      <c r="C302" s="437"/>
      <c r="D302" s="437"/>
      <c r="E302" s="753"/>
      <c r="F302" s="314"/>
      <c r="G302" s="318"/>
      <c r="H302" s="744"/>
      <c r="I302" s="314"/>
      <c r="J302" s="435"/>
      <c r="K302" s="435"/>
      <c r="L302" s="781"/>
      <c r="M302" s="314"/>
      <c r="N302" s="318"/>
      <c r="O302" s="315"/>
      <c r="P302" s="435"/>
      <c r="Q302" s="435"/>
      <c r="R302" s="435"/>
      <c r="S302" s="782"/>
      <c r="T302" s="435"/>
      <c r="U302" s="783"/>
      <c r="V302" s="744"/>
      <c r="W302" s="784"/>
      <c r="X302" s="785"/>
      <c r="Y302" s="435"/>
      <c r="Z302" s="435"/>
      <c r="AA302" s="435"/>
      <c r="AB302" s="324"/>
      <c r="AC302" s="180"/>
      <c r="AD302" s="155"/>
      <c r="AE302" s="322"/>
      <c r="AF302" s="155"/>
      <c r="AG302" s="132"/>
    </row>
    <row r="303">
      <c r="A303" s="477"/>
      <c r="B303" s="437"/>
      <c r="C303" s="437"/>
      <c r="D303" s="437"/>
      <c r="E303" s="737"/>
      <c r="F303" s="314"/>
      <c r="G303" s="318"/>
      <c r="H303" s="744"/>
      <c r="I303" s="435"/>
      <c r="J303" s="435"/>
      <c r="K303" s="435"/>
      <c r="L303" s="781"/>
      <c r="M303" s="435"/>
      <c r="N303" s="740"/>
      <c r="O303" s="315"/>
      <c r="P303" s="435"/>
      <c r="Q303" s="435"/>
      <c r="R303" s="435"/>
      <c r="S303" s="782"/>
      <c r="T303" s="435"/>
      <c r="U303" s="783"/>
      <c r="V303" s="744"/>
      <c r="W303" s="784"/>
      <c r="X303" s="785"/>
      <c r="Y303" s="435"/>
      <c r="Z303" s="435"/>
      <c r="AA303" s="435"/>
      <c r="AB303" s="324"/>
      <c r="AC303" s="180"/>
      <c r="AD303" s="155"/>
      <c r="AE303" s="322"/>
      <c r="AF303" s="155"/>
      <c r="AG303" s="132"/>
    </row>
    <row r="304">
      <c r="A304" s="477"/>
      <c r="B304" s="437"/>
      <c r="C304" s="437"/>
      <c r="D304" s="437"/>
      <c r="E304" s="737"/>
      <c r="F304" s="314"/>
      <c r="G304" s="318"/>
      <c r="H304" s="744"/>
      <c r="I304" s="314"/>
      <c r="J304" s="314"/>
      <c r="K304" s="435"/>
      <c r="L304" s="781"/>
      <c r="M304" s="435"/>
      <c r="N304" s="318"/>
      <c r="O304" s="315"/>
      <c r="P304" s="435"/>
      <c r="Q304" s="435"/>
      <c r="R304" s="435"/>
      <c r="S304" s="782"/>
      <c r="T304" s="435"/>
      <c r="U304" s="783"/>
      <c r="V304" s="744"/>
      <c r="W304" s="784"/>
      <c r="X304" s="785"/>
      <c r="Y304" s="435"/>
      <c r="Z304" s="435"/>
      <c r="AA304" s="435"/>
      <c r="AB304" s="324"/>
      <c r="AC304" s="180"/>
      <c r="AD304" s="155"/>
      <c r="AE304" s="322"/>
      <c r="AF304" s="155"/>
      <c r="AG304" s="132"/>
    </row>
    <row r="305">
      <c r="A305" s="477"/>
      <c r="B305" s="437"/>
      <c r="C305" s="437"/>
      <c r="D305" s="437"/>
      <c r="E305" s="753"/>
      <c r="F305" s="314"/>
      <c r="G305" s="318"/>
      <c r="H305" s="744"/>
      <c r="I305" s="435"/>
      <c r="J305" s="435"/>
      <c r="K305" s="435"/>
      <c r="L305" s="781"/>
      <c r="M305" s="435"/>
      <c r="N305" s="740"/>
      <c r="O305" s="315"/>
      <c r="P305" s="435"/>
      <c r="Q305" s="435"/>
      <c r="R305" s="435"/>
      <c r="S305" s="782"/>
      <c r="T305" s="435"/>
      <c r="U305" s="783"/>
      <c r="V305" s="744"/>
      <c r="W305" s="784"/>
      <c r="X305" s="785"/>
      <c r="Y305" s="435"/>
      <c r="Z305" s="435"/>
      <c r="AA305" s="435"/>
      <c r="AB305" s="324"/>
      <c r="AC305" s="180"/>
      <c r="AD305" s="155"/>
      <c r="AE305" s="322"/>
      <c r="AF305" s="155"/>
      <c r="AG305" s="132"/>
    </row>
    <row r="306">
      <c r="A306" s="474"/>
      <c r="B306" s="313"/>
      <c r="C306" s="437"/>
      <c r="D306" s="313"/>
      <c r="E306" s="753"/>
      <c r="F306" s="314"/>
      <c r="G306" s="318"/>
      <c r="H306" s="744"/>
      <c r="I306" s="314"/>
      <c r="J306" s="435"/>
      <c r="K306" s="435"/>
      <c r="L306" s="776"/>
      <c r="M306" s="435"/>
      <c r="N306" s="318"/>
      <c r="O306" s="315"/>
      <c r="P306" s="435"/>
      <c r="Q306" s="435"/>
      <c r="R306" s="435"/>
      <c r="S306" s="782"/>
      <c r="T306" s="435"/>
      <c r="U306" s="783"/>
      <c r="V306" s="744"/>
      <c r="W306" s="784"/>
      <c r="X306" s="785"/>
      <c r="Y306" s="435"/>
      <c r="Z306" s="435"/>
      <c r="AA306" s="435"/>
      <c r="AB306" s="324"/>
      <c r="AC306" s="180"/>
      <c r="AD306" s="155"/>
      <c r="AE306" s="322"/>
      <c r="AF306" s="155"/>
      <c r="AG306" s="132"/>
    </row>
    <row r="307">
      <c r="A307" s="478"/>
      <c r="B307" s="437"/>
      <c r="C307" s="437"/>
      <c r="D307" s="437"/>
      <c r="E307" s="753"/>
      <c r="F307" s="314"/>
      <c r="G307" s="318"/>
      <c r="H307" s="744"/>
      <c r="I307" s="435"/>
      <c r="J307" s="435"/>
      <c r="K307" s="435"/>
      <c r="L307" s="781"/>
      <c r="M307" s="435"/>
      <c r="N307" s="740"/>
      <c r="O307" s="315"/>
      <c r="P307" s="435"/>
      <c r="Q307" s="435"/>
      <c r="R307" s="435"/>
      <c r="S307" s="782"/>
      <c r="T307" s="435"/>
      <c r="U307" s="783"/>
      <c r="V307" s="744"/>
      <c r="W307" s="784"/>
      <c r="X307" s="785"/>
      <c r="Y307" s="435"/>
      <c r="Z307" s="435"/>
      <c r="AA307" s="435"/>
      <c r="AB307" s="324"/>
      <c r="AC307" s="180"/>
      <c r="AD307" s="155"/>
      <c r="AE307" s="322"/>
      <c r="AF307" s="155"/>
      <c r="AG307" s="132"/>
    </row>
    <row r="308">
      <c r="A308" s="478"/>
      <c r="B308" s="437"/>
      <c r="C308" s="437"/>
      <c r="D308" s="437"/>
      <c r="E308" s="753"/>
      <c r="F308" s="314"/>
      <c r="G308" s="318"/>
      <c r="H308" s="744"/>
      <c r="I308" s="435"/>
      <c r="J308" s="435"/>
      <c r="K308" s="435"/>
      <c r="L308" s="781"/>
      <c r="M308" s="435"/>
      <c r="N308" s="740"/>
      <c r="O308" s="315"/>
      <c r="P308" s="435"/>
      <c r="Q308" s="435"/>
      <c r="R308" s="435"/>
      <c r="S308" s="782"/>
      <c r="T308" s="435"/>
      <c r="U308" s="783"/>
      <c r="V308" s="744"/>
      <c r="W308" s="784"/>
      <c r="X308" s="785"/>
      <c r="Y308" s="435"/>
      <c r="Z308" s="435"/>
      <c r="AA308" s="435"/>
      <c r="AB308" s="324"/>
      <c r="AC308" s="180"/>
      <c r="AD308" s="155"/>
      <c r="AE308" s="322"/>
      <c r="AF308" s="155"/>
      <c r="AG308" s="132"/>
    </row>
    <row r="309">
      <c r="A309" s="478"/>
      <c r="B309" s="437"/>
      <c r="C309" s="437"/>
      <c r="D309" s="313"/>
      <c r="E309" s="737"/>
      <c r="F309" s="314"/>
      <c r="G309" s="318"/>
      <c r="H309" s="744"/>
      <c r="I309" s="435"/>
      <c r="J309" s="314"/>
      <c r="K309" s="435"/>
      <c r="L309" s="776"/>
      <c r="M309" s="435"/>
      <c r="N309" s="318"/>
      <c r="O309" s="315"/>
      <c r="P309" s="314"/>
      <c r="Q309" s="314"/>
      <c r="R309" s="314"/>
      <c r="S309" s="782"/>
      <c r="T309" s="435"/>
      <c r="U309" s="783"/>
      <c r="V309" s="744"/>
      <c r="W309" s="784"/>
      <c r="X309" s="785"/>
      <c r="Y309" s="435"/>
      <c r="Z309" s="435"/>
      <c r="AA309" s="435"/>
      <c r="AB309" s="324"/>
      <c r="AC309" s="180"/>
      <c r="AD309" s="155"/>
      <c r="AE309" s="322"/>
      <c r="AF309" s="155"/>
      <c r="AG309" s="132"/>
    </row>
    <row r="310">
      <c r="A310" s="477"/>
      <c r="B310" s="313"/>
      <c r="C310" s="437"/>
      <c r="D310" s="437"/>
      <c r="E310" s="753"/>
      <c r="F310" s="314"/>
      <c r="G310" s="318"/>
      <c r="H310" s="744"/>
      <c r="I310" s="435"/>
      <c r="J310" s="435"/>
      <c r="K310" s="435"/>
      <c r="L310" s="781"/>
      <c r="M310" s="435"/>
      <c r="N310" s="740"/>
      <c r="O310" s="315"/>
      <c r="P310" s="435"/>
      <c r="Q310" s="435"/>
      <c r="R310" s="435"/>
      <c r="S310" s="782"/>
      <c r="T310" s="435"/>
      <c r="U310" s="783"/>
      <c r="V310" s="744"/>
      <c r="W310" s="784"/>
      <c r="X310" s="785"/>
      <c r="Y310" s="435"/>
      <c r="Z310" s="435"/>
      <c r="AA310" s="435"/>
      <c r="AB310" s="324"/>
      <c r="AC310" s="180"/>
      <c r="AD310" s="155"/>
      <c r="AE310" s="322"/>
      <c r="AF310" s="155"/>
      <c r="AG310" s="132"/>
    </row>
    <row r="311">
      <c r="A311" s="477"/>
      <c r="B311" s="313"/>
      <c r="C311" s="313"/>
      <c r="D311" s="313"/>
      <c r="E311" s="737"/>
      <c r="F311" s="314"/>
      <c r="G311" s="318"/>
      <c r="H311" s="744"/>
      <c r="I311" s="314"/>
      <c r="J311" s="314"/>
      <c r="K311" s="314"/>
      <c r="L311" s="776"/>
      <c r="M311" s="314"/>
      <c r="N311" s="740"/>
      <c r="O311" s="315"/>
      <c r="P311" s="314"/>
      <c r="Q311" s="435"/>
      <c r="R311" s="314"/>
      <c r="S311" s="777"/>
      <c r="T311" s="314"/>
      <c r="U311" s="778"/>
      <c r="V311" s="315"/>
      <c r="W311" s="779"/>
      <c r="X311" s="780"/>
      <c r="Y311" s="314"/>
      <c r="Z311" s="314"/>
      <c r="AA311" s="314"/>
      <c r="AB311" s="324"/>
      <c r="AC311" s="180"/>
      <c r="AD311" s="155"/>
      <c r="AE311" s="322"/>
      <c r="AF311" s="155"/>
      <c r="AG311" s="132"/>
    </row>
    <row r="312">
      <c r="A312" s="477"/>
      <c r="B312" s="313"/>
      <c r="C312" s="313"/>
      <c r="D312" s="313"/>
      <c r="E312" s="737"/>
      <c r="F312" s="314"/>
      <c r="G312" s="318"/>
      <c r="H312" s="315"/>
      <c r="I312" s="314"/>
      <c r="J312" s="314"/>
      <c r="K312" s="314"/>
      <c r="L312" s="776"/>
      <c r="M312" s="314"/>
      <c r="N312" s="318"/>
      <c r="O312" s="315"/>
      <c r="P312" s="314"/>
      <c r="Q312" s="314"/>
      <c r="R312" s="314"/>
      <c r="S312" s="777"/>
      <c r="T312" s="314"/>
      <c r="U312" s="778"/>
      <c r="V312" s="315"/>
      <c r="W312" s="779"/>
      <c r="X312" s="780"/>
      <c r="Y312" s="314"/>
      <c r="Z312" s="314"/>
      <c r="AA312" s="314"/>
      <c r="AB312" s="324"/>
      <c r="AC312" s="180"/>
      <c r="AD312" s="155"/>
      <c r="AE312" s="322"/>
      <c r="AF312" s="155"/>
      <c r="AG312" s="132"/>
    </row>
    <row r="313">
      <c r="A313" s="476"/>
      <c r="AD313" s="176"/>
      <c r="AE313" s="322"/>
      <c r="AF313" s="155"/>
      <c r="AG313" s="132"/>
    </row>
    <row r="314">
      <c r="A314" s="178"/>
      <c r="AE314" s="322"/>
      <c r="AF314" s="155"/>
      <c r="AG314" s="132"/>
    </row>
    <row r="315">
      <c r="A315" s="477"/>
      <c r="B315" s="437"/>
      <c r="C315" s="437"/>
      <c r="D315" s="437"/>
      <c r="E315" s="737"/>
      <c r="F315" s="314"/>
      <c r="G315" s="318"/>
      <c r="H315" s="315"/>
      <c r="I315" s="314"/>
      <c r="J315" s="314"/>
      <c r="K315" s="435"/>
      <c r="L315" s="781"/>
      <c r="M315" s="314"/>
      <c r="N315" s="318"/>
      <c r="O315" s="315"/>
      <c r="P315" s="314"/>
      <c r="Q315" s="435"/>
      <c r="R315" s="435"/>
      <c r="S315" s="782"/>
      <c r="T315" s="435"/>
      <c r="U315" s="783"/>
      <c r="V315" s="744"/>
      <c r="W315" s="784"/>
      <c r="X315" s="785"/>
      <c r="Y315" s="435"/>
      <c r="Z315" s="435"/>
      <c r="AA315" s="435"/>
      <c r="AB315" s="324"/>
      <c r="AC315" s="180"/>
      <c r="AD315" s="155"/>
      <c r="AE315" s="322"/>
      <c r="AF315" s="155"/>
      <c r="AG315" s="132"/>
    </row>
    <row r="316">
      <c r="A316" s="477"/>
      <c r="B316" s="313"/>
      <c r="C316" s="437"/>
      <c r="D316" s="437"/>
      <c r="E316" s="737"/>
      <c r="F316" s="314"/>
      <c r="G316" s="318"/>
      <c r="H316" s="315"/>
      <c r="I316" s="435"/>
      <c r="J316" s="435"/>
      <c r="K316" s="435"/>
      <c r="L316" s="776"/>
      <c r="M316" s="435"/>
      <c r="N316" s="318"/>
      <c r="O316" s="315"/>
      <c r="P316" s="314"/>
      <c r="Q316" s="435"/>
      <c r="R316" s="435"/>
      <c r="S316" s="782"/>
      <c r="T316" s="435"/>
      <c r="U316" s="783"/>
      <c r="V316" s="744"/>
      <c r="W316" s="784"/>
      <c r="X316" s="785"/>
      <c r="Y316" s="435"/>
      <c r="Z316" s="435"/>
      <c r="AA316" s="435"/>
      <c r="AB316" s="324"/>
      <c r="AC316" s="180"/>
      <c r="AD316" s="155"/>
      <c r="AE316" s="322"/>
      <c r="AF316" s="155"/>
      <c r="AG316" s="132"/>
    </row>
    <row r="317">
      <c r="A317" s="477"/>
      <c r="B317" s="313"/>
      <c r="C317" s="437"/>
      <c r="D317" s="437"/>
      <c r="E317" s="753"/>
      <c r="F317" s="314"/>
      <c r="G317" s="318"/>
      <c r="H317" s="744"/>
      <c r="I317" s="314"/>
      <c r="J317" s="314"/>
      <c r="K317" s="435"/>
      <c r="L317" s="776"/>
      <c r="M317" s="435"/>
      <c r="N317" s="740"/>
      <c r="O317" s="315"/>
      <c r="P317" s="435"/>
      <c r="Q317" s="435"/>
      <c r="R317" s="435"/>
      <c r="S317" s="782"/>
      <c r="T317" s="435"/>
      <c r="U317" s="783"/>
      <c r="V317" s="744"/>
      <c r="W317" s="784"/>
      <c r="X317" s="785"/>
      <c r="Y317" s="435"/>
      <c r="Z317" s="435"/>
      <c r="AA317" s="435"/>
      <c r="AB317" s="324"/>
      <c r="AC317" s="180"/>
      <c r="AD317" s="155"/>
      <c r="AE317" s="322"/>
      <c r="AF317" s="155"/>
      <c r="AG317" s="132"/>
    </row>
    <row r="318">
      <c r="A318" s="479"/>
      <c r="B318" s="313"/>
      <c r="C318" s="313"/>
      <c r="D318" s="313"/>
      <c r="E318" s="737"/>
      <c r="F318" s="314"/>
      <c r="G318" s="318"/>
      <c r="H318" s="315"/>
      <c r="I318" s="314"/>
      <c r="J318" s="314"/>
      <c r="K318" s="314"/>
      <c r="L318" s="776"/>
      <c r="M318" s="314"/>
      <c r="N318" s="318"/>
      <c r="O318" s="315"/>
      <c r="P318" s="314"/>
      <c r="Q318" s="435"/>
      <c r="R318" s="314"/>
      <c r="S318" s="777"/>
      <c r="T318" s="314"/>
      <c r="U318" s="778"/>
      <c r="V318" s="315"/>
      <c r="W318" s="779"/>
      <c r="X318" s="780"/>
      <c r="Y318" s="314"/>
      <c r="Z318" s="314"/>
      <c r="AA318" s="314"/>
      <c r="AB318" s="324"/>
      <c r="AC318" s="180"/>
      <c r="AD318" s="155"/>
      <c r="AE318" s="322"/>
      <c r="AF318" s="155"/>
      <c r="AG318" s="132"/>
    </row>
    <row r="319">
      <c r="A319" s="476"/>
      <c r="AD319" s="176"/>
      <c r="AE319" s="322"/>
      <c r="AF319" s="155"/>
      <c r="AG319" s="132"/>
    </row>
    <row r="320">
      <c r="A320" s="178"/>
      <c r="AE320" s="322"/>
      <c r="AF320" s="155"/>
      <c r="AG320" s="132"/>
    </row>
    <row r="321">
      <c r="A321" s="480"/>
      <c r="B321" s="313"/>
      <c r="C321" s="437"/>
      <c r="D321" s="313"/>
      <c r="E321" s="737"/>
      <c r="F321" s="314"/>
      <c r="G321" s="318"/>
      <c r="H321" s="315"/>
      <c r="I321" s="314"/>
      <c r="J321" s="435"/>
      <c r="K321" s="435"/>
      <c r="L321" s="776"/>
      <c r="M321" s="314"/>
      <c r="N321" s="318"/>
      <c r="O321" s="315"/>
      <c r="P321" s="314"/>
      <c r="Q321" s="435"/>
      <c r="R321" s="314"/>
      <c r="S321" s="777"/>
      <c r="T321" s="314"/>
      <c r="U321" s="778"/>
      <c r="V321" s="315"/>
      <c r="W321" s="779"/>
      <c r="X321" s="780"/>
      <c r="Y321" s="314"/>
      <c r="Z321" s="314"/>
      <c r="AA321" s="314"/>
      <c r="AB321" s="324"/>
      <c r="AC321" s="180"/>
      <c r="AD321" s="180"/>
      <c r="AE321" s="322"/>
      <c r="AF321" s="155"/>
      <c r="AG321" s="132"/>
    </row>
    <row r="322">
      <c r="A322" s="480"/>
      <c r="B322" s="313"/>
      <c r="C322" s="437"/>
      <c r="D322" s="313"/>
      <c r="E322" s="737"/>
      <c r="F322" s="314"/>
      <c r="G322" s="318"/>
      <c r="H322" s="744"/>
      <c r="I322" s="314"/>
      <c r="J322" s="435"/>
      <c r="K322" s="435"/>
      <c r="L322" s="776"/>
      <c r="M322" s="435"/>
      <c r="N322" s="740"/>
      <c r="O322" s="315"/>
      <c r="P322" s="435"/>
      <c r="Q322" s="435"/>
      <c r="R322" s="314"/>
      <c r="S322" s="782"/>
      <c r="T322" s="435"/>
      <c r="U322" s="783"/>
      <c r="V322" s="744"/>
      <c r="W322" s="784"/>
      <c r="X322" s="785"/>
      <c r="Y322" s="435"/>
      <c r="Z322" s="435"/>
      <c r="AA322" s="435"/>
      <c r="AB322" s="324"/>
      <c r="AC322" s="180"/>
      <c r="AD322" s="180"/>
      <c r="AE322" s="322"/>
      <c r="AF322" s="155"/>
      <c r="AG322" s="132"/>
    </row>
    <row r="323">
      <c r="A323" s="476"/>
      <c r="AD323" s="176"/>
      <c r="AE323" s="322"/>
      <c r="AF323" s="155"/>
      <c r="AG323" s="132"/>
    </row>
    <row r="324">
      <c r="A324" s="178"/>
      <c r="AE324" s="322"/>
      <c r="AF324" s="155"/>
      <c r="AG324" s="132"/>
    </row>
    <row r="325">
      <c r="A325" s="481"/>
      <c r="B325" s="313"/>
      <c r="C325" s="437"/>
      <c r="D325" s="437"/>
      <c r="E325" s="753"/>
      <c r="F325" s="314"/>
      <c r="G325" s="740"/>
      <c r="H325" s="744"/>
      <c r="I325" s="435"/>
      <c r="J325" s="314"/>
      <c r="K325" s="435"/>
      <c r="L325" s="781"/>
      <c r="M325" s="435"/>
      <c r="N325" s="318"/>
      <c r="O325" s="315"/>
      <c r="P325" s="435"/>
      <c r="Q325" s="435"/>
      <c r="R325" s="435"/>
      <c r="S325" s="782"/>
      <c r="T325" s="435"/>
      <c r="U325" s="783"/>
      <c r="V325" s="744"/>
      <c r="W325" s="784"/>
      <c r="X325" s="785"/>
      <c r="Y325" s="435"/>
      <c r="Z325" s="435"/>
      <c r="AA325" s="435"/>
      <c r="AB325" s="324"/>
      <c r="AC325" s="180"/>
      <c r="AD325" s="155"/>
      <c r="AE325" s="322"/>
      <c r="AF325" s="155"/>
      <c r="AG325" s="132"/>
    </row>
    <row r="326">
      <c r="A326" s="435"/>
      <c r="B326" s="313"/>
      <c r="C326" s="437"/>
      <c r="D326" s="437"/>
      <c r="E326" s="737"/>
      <c r="F326" s="314"/>
      <c r="G326" s="318"/>
      <c r="H326" s="744"/>
      <c r="I326" s="314"/>
      <c r="J326" s="435"/>
      <c r="K326" s="435"/>
      <c r="L326" s="776"/>
      <c r="M326" s="314"/>
      <c r="N326" s="318"/>
      <c r="O326" s="315"/>
      <c r="P326" s="435"/>
      <c r="Q326" s="435"/>
      <c r="R326" s="435"/>
      <c r="S326" s="782"/>
      <c r="T326" s="435"/>
      <c r="U326" s="783"/>
      <c r="V326" s="744"/>
      <c r="W326" s="784"/>
      <c r="X326" s="785"/>
      <c r="Y326" s="435"/>
      <c r="Z326" s="435"/>
      <c r="AA326" s="435"/>
      <c r="AB326" s="324"/>
      <c r="AC326" s="180"/>
      <c r="AD326" s="155"/>
      <c r="AE326" s="322"/>
      <c r="AF326" s="155"/>
      <c r="AG326" s="132"/>
    </row>
    <row r="327">
      <c r="A327" s="482"/>
      <c r="B327" s="313"/>
      <c r="C327" s="313"/>
      <c r="D327" s="437"/>
      <c r="E327" s="737"/>
      <c r="F327" s="314"/>
      <c r="G327" s="318"/>
      <c r="H327" s="315"/>
      <c r="I327" s="314"/>
      <c r="J327" s="314"/>
      <c r="K327" s="435"/>
      <c r="L327" s="776"/>
      <c r="M327" s="314"/>
      <c r="N327" s="318"/>
      <c r="O327" s="315"/>
      <c r="P327" s="314"/>
      <c r="Q327" s="314"/>
      <c r="R327" s="435"/>
      <c r="S327" s="777"/>
      <c r="T327" s="314"/>
      <c r="U327" s="778"/>
      <c r="V327" s="315"/>
      <c r="W327" s="779"/>
      <c r="X327" s="780"/>
      <c r="Y327" s="314"/>
      <c r="Z327" s="314"/>
      <c r="AA327" s="314"/>
      <c r="AB327" s="324"/>
      <c r="AC327" s="180"/>
      <c r="AD327" s="155"/>
      <c r="AE327" s="322"/>
      <c r="AF327" s="155"/>
      <c r="AG327" s="132"/>
    </row>
    <row r="328">
      <c r="A328" s="482"/>
      <c r="B328" s="313"/>
      <c r="C328" s="437"/>
      <c r="D328" s="437"/>
      <c r="E328" s="753"/>
      <c r="F328" s="314"/>
      <c r="G328" s="318"/>
      <c r="H328" s="744"/>
      <c r="I328" s="435"/>
      <c r="J328" s="435"/>
      <c r="K328" s="435"/>
      <c r="L328" s="781"/>
      <c r="M328" s="435"/>
      <c r="N328" s="740"/>
      <c r="O328" s="315"/>
      <c r="P328" s="435"/>
      <c r="Q328" s="435"/>
      <c r="R328" s="435"/>
      <c r="S328" s="782"/>
      <c r="T328" s="435"/>
      <c r="U328" s="783"/>
      <c r="V328" s="744"/>
      <c r="W328" s="784"/>
      <c r="X328" s="785"/>
      <c r="Y328" s="435"/>
      <c r="Z328" s="435"/>
      <c r="AA328" s="435"/>
      <c r="AB328" s="324"/>
      <c r="AC328" s="180"/>
      <c r="AD328" s="155"/>
      <c r="AE328" s="322"/>
      <c r="AF328" s="155"/>
      <c r="AG328" s="132"/>
    </row>
    <row r="329">
      <c r="A329" s="314"/>
      <c r="B329" s="313"/>
      <c r="C329" s="313"/>
      <c r="D329" s="313"/>
      <c r="E329" s="737"/>
      <c r="F329" s="314"/>
      <c r="G329" s="318"/>
      <c r="H329" s="315"/>
      <c r="I329" s="314"/>
      <c r="J329" s="314"/>
      <c r="K329" s="314"/>
      <c r="L329" s="776"/>
      <c r="M329" s="314"/>
      <c r="N329" s="318"/>
      <c r="O329" s="315"/>
      <c r="P329" s="314"/>
      <c r="Q329" s="314"/>
      <c r="R329" s="314"/>
      <c r="S329" s="777"/>
      <c r="T329" s="314"/>
      <c r="U329" s="778"/>
      <c r="V329" s="315"/>
      <c r="W329" s="779"/>
      <c r="X329" s="780"/>
      <c r="Y329" s="314"/>
      <c r="Z329" s="314"/>
      <c r="AA329" s="314"/>
      <c r="AB329" s="483"/>
      <c r="AD329" s="484"/>
      <c r="AE329" s="322"/>
      <c r="AF329" s="155"/>
      <c r="AG329" s="132"/>
    </row>
    <row r="330">
      <c r="A330" s="314"/>
      <c r="B330" s="313"/>
      <c r="C330" s="313"/>
      <c r="D330" s="313"/>
      <c r="E330" s="737"/>
      <c r="F330" s="314"/>
      <c r="G330" s="318"/>
      <c r="H330" s="315"/>
      <c r="I330" s="314"/>
      <c r="J330" s="314"/>
      <c r="K330" s="314"/>
      <c r="L330" s="776"/>
      <c r="M330" s="314"/>
      <c r="N330" s="318"/>
      <c r="O330" s="315"/>
      <c r="P330" s="314"/>
      <c r="Q330" s="314"/>
      <c r="R330" s="314"/>
      <c r="S330" s="777"/>
      <c r="T330" s="314"/>
      <c r="U330" s="778"/>
      <c r="V330" s="315"/>
      <c r="W330" s="779"/>
      <c r="X330" s="780"/>
      <c r="Y330" s="314"/>
      <c r="Z330" s="314"/>
      <c r="AA330" s="314"/>
      <c r="AB330" s="324"/>
      <c r="AC330" s="155"/>
      <c r="AD330" s="155"/>
      <c r="AE330" s="322"/>
      <c r="AF330" s="155"/>
      <c r="AG330" s="132"/>
    </row>
    <row r="331">
      <c r="A331" s="314"/>
      <c r="B331" s="313"/>
      <c r="C331" s="313"/>
      <c r="D331" s="313"/>
      <c r="E331" s="737"/>
      <c r="F331" s="314"/>
      <c r="G331" s="318"/>
      <c r="H331" s="315"/>
      <c r="I331" s="314"/>
      <c r="J331" s="314"/>
      <c r="K331" s="314"/>
      <c r="L331" s="776"/>
      <c r="M331" s="314"/>
      <c r="N331" s="318"/>
      <c r="O331" s="315"/>
      <c r="P331" s="314"/>
      <c r="Q331" s="314"/>
      <c r="R331" s="314"/>
      <c r="S331" s="777"/>
      <c r="T331" s="314"/>
      <c r="U331" s="778"/>
      <c r="V331" s="315"/>
      <c r="W331" s="779"/>
      <c r="X331" s="780"/>
      <c r="Y331" s="314"/>
      <c r="Z331" s="314"/>
      <c r="AA331" s="314"/>
      <c r="AB331" s="324"/>
      <c r="AC331" s="155"/>
      <c r="AD331" s="155"/>
      <c r="AE331" s="322"/>
      <c r="AF331" s="155"/>
      <c r="AG331" s="132"/>
    </row>
    <row r="332">
      <c r="A332" s="314"/>
      <c r="B332" s="313"/>
      <c r="C332" s="313"/>
      <c r="D332" s="313"/>
      <c r="E332" s="737"/>
      <c r="F332" s="314"/>
      <c r="G332" s="318"/>
      <c r="H332" s="315"/>
      <c r="I332" s="314"/>
      <c r="J332" s="314"/>
      <c r="K332" s="314"/>
      <c r="L332" s="776"/>
      <c r="M332" s="314"/>
      <c r="N332" s="318"/>
      <c r="O332" s="315"/>
      <c r="P332" s="314"/>
      <c r="Q332" s="314"/>
      <c r="R332" s="314"/>
      <c r="S332" s="777"/>
      <c r="T332" s="314"/>
      <c r="U332" s="778"/>
      <c r="V332" s="315"/>
      <c r="W332" s="779"/>
      <c r="X332" s="780"/>
      <c r="Y332" s="314"/>
      <c r="Z332" s="314"/>
      <c r="AA332" s="314"/>
      <c r="AB332" s="324"/>
      <c r="AC332" s="155"/>
      <c r="AD332" s="155"/>
      <c r="AE332" s="322"/>
      <c r="AF332" s="155"/>
      <c r="AG332" s="132"/>
    </row>
    <row r="333">
      <c r="A333" s="314"/>
      <c r="B333" s="313"/>
      <c r="C333" s="313"/>
      <c r="D333" s="313"/>
      <c r="E333" s="737"/>
      <c r="F333" s="314"/>
      <c r="G333" s="318"/>
      <c r="H333" s="315"/>
      <c r="I333" s="314"/>
      <c r="J333" s="314"/>
      <c r="K333" s="314"/>
      <c r="L333" s="776"/>
      <c r="M333" s="314"/>
      <c r="N333" s="318"/>
      <c r="O333" s="315"/>
      <c r="P333" s="314"/>
      <c r="Q333" s="314"/>
      <c r="R333" s="314"/>
      <c r="S333" s="777"/>
      <c r="T333" s="314"/>
      <c r="U333" s="778"/>
      <c r="V333" s="315"/>
      <c r="W333" s="779"/>
      <c r="X333" s="780"/>
      <c r="Y333" s="314"/>
      <c r="Z333" s="314"/>
      <c r="AA333" s="314"/>
      <c r="AB333" s="324"/>
      <c r="AC333" s="155"/>
      <c r="AD333" s="155"/>
      <c r="AE333" s="322"/>
      <c r="AF333" s="155"/>
      <c r="AG333" s="132"/>
    </row>
    <row r="334">
      <c r="A334" s="314"/>
      <c r="B334" s="313"/>
      <c r="C334" s="313"/>
      <c r="D334" s="313"/>
      <c r="E334" s="737"/>
      <c r="F334" s="314"/>
      <c r="G334" s="318"/>
      <c r="H334" s="315"/>
      <c r="I334" s="314"/>
      <c r="J334" s="314"/>
      <c r="K334" s="314"/>
      <c r="L334" s="776"/>
      <c r="M334" s="314"/>
      <c r="N334" s="318"/>
      <c r="O334" s="315"/>
      <c r="P334" s="314"/>
      <c r="Q334" s="314"/>
      <c r="R334" s="314"/>
      <c r="S334" s="777"/>
      <c r="T334" s="314"/>
      <c r="U334" s="778"/>
      <c r="V334" s="315"/>
      <c r="W334" s="779"/>
      <c r="X334" s="780"/>
      <c r="Y334" s="314"/>
      <c r="Z334" s="314"/>
      <c r="AA334" s="314"/>
      <c r="AB334" s="324"/>
      <c r="AC334" s="155"/>
      <c r="AD334" s="155"/>
      <c r="AE334" s="322"/>
      <c r="AF334" s="155"/>
      <c r="AG334" s="132"/>
    </row>
    <row r="335">
      <c r="A335" s="314"/>
      <c r="B335" s="313"/>
      <c r="C335" s="313"/>
      <c r="D335" s="313"/>
      <c r="E335" s="737"/>
      <c r="F335" s="314"/>
      <c r="G335" s="318"/>
      <c r="H335" s="315"/>
      <c r="I335" s="314"/>
      <c r="J335" s="314"/>
      <c r="K335" s="314"/>
      <c r="L335" s="776"/>
      <c r="M335" s="314"/>
      <c r="N335" s="318"/>
      <c r="O335" s="315"/>
      <c r="P335" s="314"/>
      <c r="Q335" s="314"/>
      <c r="R335" s="314"/>
      <c r="S335" s="777"/>
      <c r="T335" s="314"/>
      <c r="U335" s="778"/>
      <c r="V335" s="315"/>
      <c r="W335" s="779"/>
      <c r="X335" s="780"/>
      <c r="Y335" s="314"/>
      <c r="Z335" s="314"/>
      <c r="AA335" s="314"/>
      <c r="AB335" s="324"/>
      <c r="AC335" s="155"/>
      <c r="AD335" s="155"/>
      <c r="AE335" s="322"/>
      <c r="AF335" s="155"/>
      <c r="AG335" s="132"/>
    </row>
    <row r="336">
      <c r="A336" s="314"/>
      <c r="B336" s="313"/>
      <c r="C336" s="313"/>
      <c r="D336" s="313"/>
      <c r="E336" s="737"/>
      <c r="F336" s="314"/>
      <c r="G336" s="318"/>
      <c r="H336" s="315"/>
      <c r="I336" s="314"/>
      <c r="J336" s="314"/>
      <c r="K336" s="314"/>
      <c r="L336" s="776"/>
      <c r="M336" s="314"/>
      <c r="N336" s="318"/>
      <c r="O336" s="315"/>
      <c r="P336" s="314"/>
      <c r="Q336" s="314"/>
      <c r="R336" s="314"/>
      <c r="S336" s="777"/>
      <c r="T336" s="314"/>
      <c r="U336" s="778"/>
      <c r="V336" s="315"/>
      <c r="W336" s="779"/>
      <c r="X336" s="780"/>
      <c r="Y336" s="314"/>
      <c r="Z336" s="314"/>
      <c r="AA336" s="314"/>
      <c r="AB336" s="324"/>
      <c r="AC336" s="155"/>
      <c r="AD336" s="155"/>
      <c r="AE336" s="322"/>
      <c r="AF336" s="155"/>
      <c r="AG336" s="132"/>
    </row>
    <row r="337">
      <c r="A337" s="314"/>
      <c r="B337" s="313"/>
      <c r="C337" s="313"/>
      <c r="D337" s="313"/>
      <c r="E337" s="737"/>
      <c r="F337" s="314"/>
      <c r="G337" s="318"/>
      <c r="H337" s="315"/>
      <c r="I337" s="314"/>
      <c r="J337" s="314"/>
      <c r="K337" s="314"/>
      <c r="L337" s="776"/>
      <c r="M337" s="314"/>
      <c r="N337" s="318"/>
      <c r="O337" s="315"/>
      <c r="P337" s="314"/>
      <c r="Q337" s="314"/>
      <c r="R337" s="314"/>
      <c r="S337" s="777"/>
      <c r="T337" s="314"/>
      <c r="U337" s="778"/>
      <c r="V337" s="315"/>
      <c r="W337" s="779"/>
      <c r="X337" s="780"/>
      <c r="Y337" s="314"/>
      <c r="Z337" s="314"/>
      <c r="AA337" s="314"/>
      <c r="AB337" s="324"/>
      <c r="AC337" s="155"/>
      <c r="AD337" s="155"/>
      <c r="AE337" s="322"/>
      <c r="AF337" s="155"/>
      <c r="AG337" s="132"/>
    </row>
    <row r="338">
      <c r="A338" s="314"/>
      <c r="B338" s="313"/>
      <c r="C338" s="313"/>
      <c r="D338" s="313"/>
      <c r="E338" s="737"/>
      <c r="F338" s="314"/>
      <c r="G338" s="318"/>
      <c r="H338" s="315"/>
      <c r="I338" s="314"/>
      <c r="J338" s="314"/>
      <c r="K338" s="314"/>
      <c r="L338" s="776"/>
      <c r="M338" s="314"/>
      <c r="N338" s="318"/>
      <c r="O338" s="315"/>
      <c r="P338" s="314"/>
      <c r="Q338" s="314"/>
      <c r="R338" s="314"/>
      <c r="S338" s="777"/>
      <c r="T338" s="314"/>
      <c r="U338" s="778"/>
      <c r="V338" s="315"/>
      <c r="W338" s="779"/>
      <c r="X338" s="780"/>
      <c r="Y338" s="314"/>
      <c r="Z338" s="314"/>
      <c r="AA338" s="314"/>
      <c r="AB338" s="324"/>
      <c r="AC338" s="155"/>
      <c r="AD338" s="155"/>
      <c r="AE338" s="322"/>
      <c r="AF338" s="155"/>
      <c r="AG338" s="132"/>
    </row>
    <row r="339">
      <c r="A339" s="314"/>
      <c r="B339" s="313"/>
      <c r="C339" s="313"/>
      <c r="D339" s="313"/>
      <c r="E339" s="737"/>
      <c r="F339" s="314"/>
      <c r="G339" s="318"/>
      <c r="H339" s="315"/>
      <c r="I339" s="314"/>
      <c r="J339" s="314"/>
      <c r="K339" s="314"/>
      <c r="L339" s="776"/>
      <c r="M339" s="314"/>
      <c r="N339" s="318"/>
      <c r="O339" s="315"/>
      <c r="P339" s="314"/>
      <c r="Q339" s="314"/>
      <c r="R339" s="314"/>
      <c r="S339" s="777"/>
      <c r="T339" s="314"/>
      <c r="U339" s="778"/>
      <c r="V339" s="315"/>
      <c r="W339" s="779"/>
      <c r="X339" s="780"/>
      <c r="Y339" s="314"/>
      <c r="Z339" s="314"/>
      <c r="AA339" s="314"/>
      <c r="AB339" s="324"/>
      <c r="AC339" s="155"/>
      <c r="AD339" s="155"/>
      <c r="AE339" s="322"/>
      <c r="AF339" s="155"/>
      <c r="AG339" s="132"/>
    </row>
    <row r="340">
      <c r="A340" s="314"/>
      <c r="B340" s="313"/>
      <c r="C340" s="313"/>
      <c r="D340" s="313"/>
      <c r="E340" s="737"/>
      <c r="F340" s="314"/>
      <c r="G340" s="318"/>
      <c r="H340" s="315"/>
      <c r="I340" s="314"/>
      <c r="J340" s="314"/>
      <c r="K340" s="314"/>
      <c r="L340" s="776"/>
      <c r="M340" s="314"/>
      <c r="N340" s="318"/>
      <c r="O340" s="315"/>
      <c r="P340" s="314"/>
      <c r="Q340" s="314"/>
      <c r="R340" s="314"/>
      <c r="S340" s="777"/>
      <c r="T340" s="314"/>
      <c r="U340" s="778"/>
      <c r="V340" s="315"/>
      <c r="W340" s="779"/>
      <c r="X340" s="780"/>
      <c r="Y340" s="314"/>
      <c r="Z340" s="314"/>
      <c r="AA340" s="314"/>
      <c r="AB340" s="324"/>
      <c r="AC340" s="155"/>
      <c r="AD340" s="155"/>
      <c r="AE340" s="322"/>
      <c r="AF340" s="155"/>
      <c r="AG340" s="132"/>
    </row>
    <row r="341">
      <c r="A341" s="314"/>
      <c r="B341" s="313"/>
      <c r="C341" s="313"/>
      <c r="D341" s="313"/>
      <c r="E341" s="737"/>
      <c r="F341" s="314"/>
      <c r="G341" s="318"/>
      <c r="H341" s="315"/>
      <c r="I341" s="314"/>
      <c r="J341" s="314"/>
      <c r="K341" s="314"/>
      <c r="L341" s="776"/>
      <c r="M341" s="314"/>
      <c r="N341" s="318"/>
      <c r="O341" s="315"/>
      <c r="P341" s="314"/>
      <c r="Q341" s="314"/>
      <c r="R341" s="314"/>
      <c r="S341" s="777"/>
      <c r="T341" s="314"/>
      <c r="U341" s="778"/>
      <c r="V341" s="315"/>
      <c r="W341" s="779"/>
      <c r="X341" s="780"/>
      <c r="Y341" s="314"/>
      <c r="Z341" s="314"/>
      <c r="AA341" s="314"/>
      <c r="AB341" s="324"/>
      <c r="AC341" s="155"/>
      <c r="AD341" s="155"/>
      <c r="AE341" s="322"/>
      <c r="AF341" s="155"/>
      <c r="AG341" s="132"/>
    </row>
    <row r="342">
      <c r="A342" s="314"/>
      <c r="B342" s="313"/>
      <c r="C342" s="313"/>
      <c r="D342" s="313"/>
      <c r="E342" s="737"/>
      <c r="F342" s="314"/>
      <c r="G342" s="318"/>
      <c r="H342" s="315"/>
      <c r="I342" s="314"/>
      <c r="J342" s="314"/>
      <c r="K342" s="314"/>
      <c r="L342" s="776"/>
      <c r="M342" s="314"/>
      <c r="N342" s="318"/>
      <c r="O342" s="315"/>
      <c r="P342" s="314"/>
      <c r="Q342" s="314"/>
      <c r="R342" s="314"/>
      <c r="S342" s="777"/>
      <c r="T342" s="314"/>
      <c r="U342" s="778"/>
      <c r="V342" s="315"/>
      <c r="W342" s="779"/>
      <c r="X342" s="780"/>
      <c r="Y342" s="314"/>
      <c r="Z342" s="314"/>
      <c r="AA342" s="314"/>
      <c r="AB342" s="324"/>
      <c r="AC342" s="155"/>
      <c r="AD342" s="155"/>
      <c r="AE342" s="322"/>
      <c r="AF342" s="155"/>
      <c r="AG342" s="132"/>
    </row>
    <row r="343">
      <c r="A343" s="314"/>
      <c r="B343" s="313"/>
      <c r="C343" s="313"/>
      <c r="D343" s="313"/>
      <c r="E343" s="737"/>
      <c r="F343" s="314"/>
      <c r="G343" s="318"/>
      <c r="H343" s="315"/>
      <c r="I343" s="314"/>
      <c r="J343" s="314"/>
      <c r="K343" s="314"/>
      <c r="L343" s="776"/>
      <c r="M343" s="314"/>
      <c r="N343" s="318"/>
      <c r="O343" s="315"/>
      <c r="P343" s="314"/>
      <c r="Q343" s="314"/>
      <c r="R343" s="314"/>
      <c r="S343" s="777"/>
      <c r="T343" s="314"/>
      <c r="U343" s="778"/>
      <c r="V343" s="315"/>
      <c r="W343" s="779"/>
      <c r="X343" s="780"/>
      <c r="Y343" s="314"/>
      <c r="Z343" s="314"/>
      <c r="AA343" s="314"/>
      <c r="AB343" s="324"/>
      <c r="AC343" s="155"/>
      <c r="AD343" s="155"/>
      <c r="AE343" s="322"/>
      <c r="AF343" s="155"/>
      <c r="AG343" s="132"/>
    </row>
    <row r="344">
      <c r="A344" s="314"/>
      <c r="B344" s="313"/>
      <c r="C344" s="313"/>
      <c r="D344" s="313"/>
      <c r="E344" s="737"/>
      <c r="F344" s="314"/>
      <c r="G344" s="318"/>
      <c r="H344" s="315"/>
      <c r="I344" s="314"/>
      <c r="J344" s="314"/>
      <c r="K344" s="314"/>
      <c r="L344" s="776"/>
      <c r="M344" s="314"/>
      <c r="N344" s="318"/>
      <c r="O344" s="315"/>
      <c r="P344" s="314"/>
      <c r="Q344" s="314"/>
      <c r="R344" s="314"/>
      <c r="S344" s="777"/>
      <c r="T344" s="314"/>
      <c r="U344" s="778"/>
      <c r="V344" s="315"/>
      <c r="W344" s="779"/>
      <c r="X344" s="780"/>
      <c r="Y344" s="314"/>
      <c r="Z344" s="314"/>
      <c r="AA344" s="314"/>
      <c r="AB344" s="324"/>
      <c r="AC344" s="155"/>
      <c r="AD344" s="155"/>
      <c r="AE344" s="322"/>
      <c r="AF344" s="155"/>
      <c r="AG344" s="132"/>
    </row>
    <row r="345">
      <c r="A345" s="314"/>
      <c r="B345" s="313"/>
      <c r="C345" s="313"/>
      <c r="D345" s="313"/>
      <c r="E345" s="737"/>
      <c r="F345" s="314"/>
      <c r="G345" s="318"/>
      <c r="H345" s="315"/>
      <c r="I345" s="314"/>
      <c r="J345" s="314"/>
      <c r="K345" s="314"/>
      <c r="L345" s="776"/>
      <c r="M345" s="314"/>
      <c r="N345" s="318"/>
      <c r="O345" s="315"/>
      <c r="P345" s="314"/>
      <c r="Q345" s="314"/>
      <c r="R345" s="314"/>
      <c r="S345" s="777"/>
      <c r="T345" s="314"/>
      <c r="U345" s="778"/>
      <c r="V345" s="315"/>
      <c r="W345" s="779"/>
      <c r="X345" s="780"/>
      <c r="Y345" s="314"/>
      <c r="Z345" s="314"/>
      <c r="AA345" s="314"/>
      <c r="AB345" s="324"/>
      <c r="AC345" s="155"/>
      <c r="AD345" s="155"/>
      <c r="AE345" s="322"/>
      <c r="AF345" s="155"/>
      <c r="AG345" s="132"/>
    </row>
    <row r="346">
      <c r="A346" s="314"/>
      <c r="B346" s="313"/>
      <c r="C346" s="313"/>
      <c r="D346" s="313"/>
      <c r="E346" s="737"/>
      <c r="F346" s="314"/>
      <c r="G346" s="318"/>
      <c r="H346" s="315"/>
      <c r="I346" s="314"/>
      <c r="J346" s="314"/>
      <c r="K346" s="314"/>
      <c r="L346" s="776"/>
      <c r="M346" s="314"/>
      <c r="N346" s="318"/>
      <c r="O346" s="315"/>
      <c r="P346" s="314"/>
      <c r="Q346" s="314"/>
      <c r="R346" s="314"/>
      <c r="S346" s="777"/>
      <c r="T346" s="314"/>
      <c r="U346" s="778"/>
      <c r="V346" s="315"/>
      <c r="W346" s="779"/>
      <c r="X346" s="780"/>
      <c r="Y346" s="314"/>
      <c r="Z346" s="314"/>
      <c r="AA346" s="314"/>
      <c r="AB346" s="324"/>
      <c r="AC346" s="155"/>
      <c r="AD346" s="155"/>
      <c r="AE346" s="322"/>
      <c r="AF346" s="155"/>
      <c r="AG346" s="132"/>
    </row>
    <row r="347">
      <c r="A347" s="314"/>
      <c r="B347" s="313"/>
      <c r="C347" s="313"/>
      <c r="D347" s="313"/>
      <c r="E347" s="737"/>
      <c r="F347" s="314"/>
      <c r="G347" s="318"/>
      <c r="H347" s="315"/>
      <c r="I347" s="314"/>
      <c r="J347" s="314"/>
      <c r="K347" s="314"/>
      <c r="L347" s="776"/>
      <c r="M347" s="314"/>
      <c r="N347" s="318"/>
      <c r="O347" s="315"/>
      <c r="P347" s="314"/>
      <c r="Q347" s="314"/>
      <c r="R347" s="314"/>
      <c r="S347" s="777"/>
      <c r="T347" s="314"/>
      <c r="U347" s="778"/>
      <c r="V347" s="315"/>
      <c r="W347" s="779"/>
      <c r="X347" s="780"/>
      <c r="Y347" s="314"/>
      <c r="Z347" s="314"/>
      <c r="AA347" s="314"/>
      <c r="AB347" s="324"/>
      <c r="AC347" s="155"/>
      <c r="AD347" s="155"/>
      <c r="AE347" s="322"/>
      <c r="AF347" s="155"/>
      <c r="AG347" s="132"/>
    </row>
    <row r="348">
      <c r="A348" s="314"/>
      <c r="B348" s="313"/>
      <c r="C348" s="313"/>
      <c r="D348" s="313"/>
      <c r="E348" s="737"/>
      <c r="F348" s="314"/>
      <c r="G348" s="318"/>
      <c r="H348" s="315"/>
      <c r="I348" s="314"/>
      <c r="J348" s="314"/>
      <c r="K348" s="314"/>
      <c r="L348" s="776"/>
      <c r="M348" s="314"/>
      <c r="N348" s="318"/>
      <c r="O348" s="315"/>
      <c r="P348" s="314"/>
      <c r="Q348" s="314"/>
      <c r="R348" s="314"/>
      <c r="S348" s="777"/>
      <c r="T348" s="314"/>
      <c r="U348" s="778"/>
      <c r="V348" s="315"/>
      <c r="W348" s="779"/>
      <c r="X348" s="780"/>
      <c r="Y348" s="314"/>
      <c r="Z348" s="314"/>
      <c r="AA348" s="314"/>
      <c r="AB348" s="324"/>
      <c r="AC348" s="155"/>
      <c r="AD348" s="155"/>
      <c r="AE348" s="322"/>
      <c r="AF348" s="155"/>
      <c r="AG348" s="132"/>
    </row>
    <row r="349">
      <c r="A349" s="314"/>
      <c r="B349" s="313"/>
      <c r="C349" s="313"/>
      <c r="D349" s="313"/>
      <c r="E349" s="737"/>
      <c r="F349" s="314"/>
      <c r="G349" s="318"/>
      <c r="H349" s="315"/>
      <c r="I349" s="314"/>
      <c r="J349" s="314"/>
      <c r="K349" s="314"/>
      <c r="L349" s="776"/>
      <c r="M349" s="314"/>
      <c r="N349" s="318"/>
      <c r="O349" s="315"/>
      <c r="P349" s="314"/>
      <c r="Q349" s="314"/>
      <c r="R349" s="314"/>
      <c r="S349" s="777"/>
      <c r="T349" s="314"/>
      <c r="U349" s="778"/>
      <c r="V349" s="315"/>
      <c r="W349" s="779"/>
      <c r="X349" s="780"/>
      <c r="Y349" s="314"/>
      <c r="Z349" s="314"/>
      <c r="AA349" s="314"/>
      <c r="AB349" s="324"/>
      <c r="AC349" s="155"/>
      <c r="AD349" s="155"/>
      <c r="AE349" s="322"/>
      <c r="AF349" s="155"/>
      <c r="AG349" s="132"/>
    </row>
    <row r="350">
      <c r="A350" s="314"/>
      <c r="B350" s="313"/>
      <c r="C350" s="313"/>
      <c r="D350" s="313"/>
      <c r="E350" s="737"/>
      <c r="F350" s="314"/>
      <c r="G350" s="318"/>
      <c r="H350" s="315"/>
      <c r="I350" s="314"/>
      <c r="J350" s="314"/>
      <c r="K350" s="314"/>
      <c r="L350" s="776"/>
      <c r="M350" s="314"/>
      <c r="N350" s="318"/>
      <c r="O350" s="315"/>
      <c r="P350" s="314"/>
      <c r="Q350" s="314"/>
      <c r="R350" s="314"/>
      <c r="S350" s="777"/>
      <c r="T350" s="314"/>
      <c r="U350" s="778"/>
      <c r="V350" s="315"/>
      <c r="W350" s="779"/>
      <c r="X350" s="780"/>
      <c r="Y350" s="314"/>
      <c r="Z350" s="314"/>
      <c r="AA350" s="314"/>
      <c r="AB350" s="324"/>
      <c r="AC350" s="155"/>
      <c r="AD350" s="155"/>
      <c r="AE350" s="322"/>
      <c r="AF350" s="155"/>
      <c r="AG350" s="132"/>
    </row>
    <row r="351">
      <c r="A351" s="314"/>
      <c r="B351" s="313"/>
      <c r="C351" s="313"/>
      <c r="D351" s="313"/>
      <c r="E351" s="737"/>
      <c r="F351" s="314"/>
      <c r="G351" s="318"/>
      <c r="H351" s="315"/>
      <c r="I351" s="314"/>
      <c r="J351" s="314"/>
      <c r="K351" s="314"/>
      <c r="L351" s="776"/>
      <c r="M351" s="314"/>
      <c r="N351" s="318"/>
      <c r="O351" s="315"/>
      <c r="P351" s="314"/>
      <c r="Q351" s="314"/>
      <c r="R351" s="314"/>
      <c r="S351" s="777"/>
      <c r="T351" s="314"/>
      <c r="U351" s="778"/>
      <c r="V351" s="315"/>
      <c r="W351" s="779"/>
      <c r="X351" s="780"/>
      <c r="Y351" s="314"/>
      <c r="Z351" s="314"/>
      <c r="AA351" s="314"/>
      <c r="AB351" s="324"/>
      <c r="AC351" s="155"/>
      <c r="AD351" s="155"/>
      <c r="AE351" s="322"/>
      <c r="AF351" s="155"/>
      <c r="AG351" s="132"/>
    </row>
    <row r="352">
      <c r="A352" s="314"/>
      <c r="B352" s="313"/>
      <c r="C352" s="313"/>
      <c r="D352" s="313"/>
      <c r="E352" s="737"/>
      <c r="F352" s="314"/>
      <c r="G352" s="318"/>
      <c r="H352" s="315"/>
      <c r="I352" s="314"/>
      <c r="J352" s="314"/>
      <c r="K352" s="314"/>
      <c r="L352" s="776"/>
      <c r="M352" s="314"/>
      <c r="N352" s="318"/>
      <c r="O352" s="315"/>
      <c r="P352" s="314"/>
      <c r="Q352" s="314"/>
      <c r="R352" s="314"/>
      <c r="S352" s="777"/>
      <c r="T352" s="314"/>
      <c r="U352" s="778"/>
      <c r="V352" s="315"/>
      <c r="W352" s="779"/>
      <c r="X352" s="780"/>
      <c r="Y352" s="314"/>
      <c r="Z352" s="314"/>
      <c r="AA352" s="314"/>
      <c r="AB352" s="324"/>
      <c r="AC352" s="155"/>
      <c r="AD352" s="155"/>
      <c r="AE352" s="322"/>
      <c r="AF352" s="155"/>
      <c r="AG352" s="132"/>
    </row>
    <row r="353">
      <c r="A353" s="314"/>
      <c r="B353" s="313"/>
      <c r="C353" s="313"/>
      <c r="D353" s="313"/>
      <c r="E353" s="737"/>
      <c r="F353" s="314"/>
      <c r="G353" s="318"/>
      <c r="H353" s="315"/>
      <c r="I353" s="314"/>
      <c r="J353" s="314"/>
      <c r="K353" s="314"/>
      <c r="L353" s="776"/>
      <c r="M353" s="314"/>
      <c r="N353" s="318"/>
      <c r="O353" s="315"/>
      <c r="P353" s="314"/>
      <c r="Q353" s="314"/>
      <c r="R353" s="314"/>
      <c r="S353" s="777"/>
      <c r="T353" s="314"/>
      <c r="U353" s="778"/>
      <c r="V353" s="315"/>
      <c r="W353" s="779"/>
      <c r="X353" s="780"/>
      <c r="Y353" s="314"/>
      <c r="Z353" s="314"/>
      <c r="AA353" s="314"/>
      <c r="AB353" s="324"/>
      <c r="AC353" s="155"/>
      <c r="AD353" s="155"/>
      <c r="AE353" s="322"/>
      <c r="AF353" s="155"/>
      <c r="AG353" s="132"/>
    </row>
    <row r="354">
      <c r="A354" s="314"/>
      <c r="B354" s="313"/>
      <c r="C354" s="313"/>
      <c r="D354" s="313"/>
      <c r="E354" s="737"/>
      <c r="F354" s="314"/>
      <c r="G354" s="318"/>
      <c r="H354" s="315"/>
      <c r="I354" s="314"/>
      <c r="J354" s="314"/>
      <c r="K354" s="314"/>
      <c r="L354" s="776"/>
      <c r="M354" s="314"/>
      <c r="N354" s="318"/>
      <c r="O354" s="315"/>
      <c r="P354" s="314"/>
      <c r="Q354" s="314"/>
      <c r="R354" s="314"/>
      <c r="S354" s="777"/>
      <c r="T354" s="314"/>
      <c r="U354" s="778"/>
      <c r="V354" s="315"/>
      <c r="W354" s="779"/>
      <c r="X354" s="780"/>
      <c r="Y354" s="314"/>
      <c r="Z354" s="314"/>
      <c r="AA354" s="314"/>
      <c r="AB354" s="324"/>
      <c r="AC354" s="155"/>
      <c r="AD354" s="155"/>
      <c r="AE354" s="322"/>
      <c r="AF354" s="155"/>
      <c r="AG354" s="132"/>
    </row>
    <row r="355">
      <c r="A355" s="314"/>
      <c r="B355" s="313"/>
      <c r="C355" s="313"/>
      <c r="D355" s="313"/>
      <c r="E355" s="737"/>
      <c r="F355" s="314"/>
      <c r="G355" s="318"/>
      <c r="H355" s="315"/>
      <c r="I355" s="314"/>
      <c r="J355" s="314"/>
      <c r="K355" s="314"/>
      <c r="L355" s="776"/>
      <c r="M355" s="314"/>
      <c r="N355" s="318"/>
      <c r="O355" s="315"/>
      <c r="P355" s="314"/>
      <c r="Q355" s="314"/>
      <c r="R355" s="314"/>
      <c r="S355" s="777"/>
      <c r="T355" s="314"/>
      <c r="U355" s="778"/>
      <c r="V355" s="315"/>
      <c r="W355" s="779"/>
      <c r="X355" s="780"/>
      <c r="Y355" s="314"/>
      <c r="Z355" s="314"/>
      <c r="AA355" s="314"/>
      <c r="AB355" s="324"/>
      <c r="AC355" s="155"/>
      <c r="AD355" s="155"/>
      <c r="AE355" s="322"/>
      <c r="AF355" s="155"/>
      <c r="AG355" s="132"/>
    </row>
    <row r="356">
      <c r="A356" s="314"/>
      <c r="B356" s="313"/>
      <c r="C356" s="313"/>
      <c r="D356" s="313"/>
      <c r="E356" s="737"/>
      <c r="F356" s="314"/>
      <c r="G356" s="318"/>
      <c r="H356" s="315"/>
      <c r="I356" s="314"/>
      <c r="J356" s="314"/>
      <c r="K356" s="314"/>
      <c r="L356" s="776"/>
      <c r="M356" s="314"/>
      <c r="N356" s="318"/>
      <c r="O356" s="315"/>
      <c r="P356" s="314"/>
      <c r="Q356" s="314"/>
      <c r="R356" s="314"/>
      <c r="S356" s="777"/>
      <c r="T356" s="314"/>
      <c r="U356" s="778"/>
      <c r="V356" s="315"/>
      <c r="W356" s="779"/>
      <c r="X356" s="780"/>
      <c r="Y356" s="314"/>
      <c r="Z356" s="314"/>
      <c r="AA356" s="314"/>
      <c r="AB356" s="324"/>
      <c r="AC356" s="155"/>
      <c r="AD356" s="155"/>
      <c r="AE356" s="322"/>
      <c r="AF356" s="155"/>
      <c r="AG356" s="132"/>
    </row>
    <row r="357">
      <c r="A357" s="314"/>
      <c r="B357" s="313"/>
      <c r="C357" s="313"/>
      <c r="D357" s="313"/>
      <c r="E357" s="737"/>
      <c r="F357" s="314"/>
      <c r="G357" s="318"/>
      <c r="H357" s="315"/>
      <c r="I357" s="314"/>
      <c r="J357" s="314"/>
      <c r="K357" s="314"/>
      <c r="L357" s="776"/>
      <c r="M357" s="314"/>
      <c r="N357" s="318"/>
      <c r="O357" s="315"/>
      <c r="P357" s="314"/>
      <c r="Q357" s="314"/>
      <c r="R357" s="314"/>
      <c r="S357" s="777"/>
      <c r="T357" s="314"/>
      <c r="U357" s="778"/>
      <c r="V357" s="315"/>
      <c r="W357" s="779"/>
      <c r="X357" s="780"/>
      <c r="Y357" s="314"/>
      <c r="Z357" s="314"/>
      <c r="AA357" s="314"/>
      <c r="AB357" s="324"/>
      <c r="AC357" s="155"/>
      <c r="AD357" s="155"/>
      <c r="AE357" s="322"/>
      <c r="AF357" s="155"/>
      <c r="AG357" s="132"/>
    </row>
    <row r="358">
      <c r="A358" s="314"/>
      <c r="B358" s="313"/>
      <c r="C358" s="313"/>
      <c r="D358" s="313"/>
      <c r="E358" s="737"/>
      <c r="F358" s="314"/>
      <c r="G358" s="318"/>
      <c r="H358" s="315"/>
      <c r="I358" s="314"/>
      <c r="J358" s="314"/>
      <c r="K358" s="314"/>
      <c r="L358" s="776"/>
      <c r="M358" s="314"/>
      <c r="N358" s="318"/>
      <c r="O358" s="315"/>
      <c r="P358" s="314"/>
      <c r="Q358" s="314"/>
      <c r="R358" s="314"/>
      <c r="S358" s="777"/>
      <c r="T358" s="314"/>
      <c r="U358" s="778"/>
      <c r="V358" s="315"/>
      <c r="W358" s="779"/>
      <c r="X358" s="780"/>
      <c r="Y358" s="314"/>
      <c r="Z358" s="314"/>
      <c r="AA358" s="314"/>
      <c r="AB358" s="324"/>
      <c r="AC358" s="155"/>
      <c r="AD358" s="155"/>
      <c r="AE358" s="322"/>
      <c r="AF358" s="155"/>
      <c r="AG358" s="132"/>
    </row>
    <row r="359">
      <c r="A359" s="314"/>
      <c r="B359" s="313"/>
      <c r="C359" s="313"/>
      <c r="D359" s="313"/>
      <c r="E359" s="737"/>
      <c r="F359" s="314"/>
      <c r="G359" s="318"/>
      <c r="H359" s="315"/>
      <c r="I359" s="314"/>
      <c r="J359" s="314"/>
      <c r="K359" s="314"/>
      <c r="L359" s="776"/>
      <c r="M359" s="314"/>
      <c r="N359" s="318"/>
      <c r="O359" s="315"/>
      <c r="P359" s="314"/>
      <c r="Q359" s="314"/>
      <c r="R359" s="314"/>
      <c r="S359" s="777"/>
      <c r="T359" s="314"/>
      <c r="U359" s="778"/>
      <c r="V359" s="315"/>
      <c r="W359" s="779"/>
      <c r="X359" s="780"/>
      <c r="Y359" s="314"/>
      <c r="Z359" s="314"/>
      <c r="AA359" s="314"/>
      <c r="AB359" s="324"/>
      <c r="AC359" s="155"/>
      <c r="AD359" s="155"/>
      <c r="AE359" s="322"/>
      <c r="AF359" s="155"/>
      <c r="AG359" s="132"/>
    </row>
    <row r="360">
      <c r="A360" s="314"/>
      <c r="B360" s="313"/>
      <c r="C360" s="313"/>
      <c r="D360" s="313"/>
      <c r="E360" s="737"/>
      <c r="F360" s="314"/>
      <c r="G360" s="318"/>
      <c r="H360" s="315"/>
      <c r="I360" s="314"/>
      <c r="J360" s="314"/>
      <c r="K360" s="314"/>
      <c r="L360" s="776"/>
      <c r="M360" s="314"/>
      <c r="N360" s="318"/>
      <c r="O360" s="315"/>
      <c r="P360" s="314"/>
      <c r="Q360" s="314"/>
      <c r="R360" s="314"/>
      <c r="S360" s="777"/>
      <c r="T360" s="314"/>
      <c r="U360" s="778"/>
      <c r="V360" s="315"/>
      <c r="W360" s="779"/>
      <c r="X360" s="780"/>
      <c r="Y360" s="314"/>
      <c r="Z360" s="314"/>
      <c r="AA360" s="314"/>
      <c r="AB360" s="324"/>
      <c r="AC360" s="155"/>
      <c r="AD360" s="155"/>
      <c r="AE360" s="322"/>
      <c r="AF360" s="155"/>
      <c r="AG360" s="132"/>
    </row>
    <row r="361">
      <c r="A361" s="314"/>
      <c r="B361" s="313"/>
      <c r="C361" s="313"/>
      <c r="D361" s="313"/>
      <c r="E361" s="737"/>
      <c r="F361" s="314"/>
      <c r="G361" s="318"/>
      <c r="H361" s="315"/>
      <c r="I361" s="314"/>
      <c r="J361" s="314"/>
      <c r="K361" s="314"/>
      <c r="L361" s="776"/>
      <c r="M361" s="314"/>
      <c r="N361" s="318"/>
      <c r="O361" s="315"/>
      <c r="P361" s="314"/>
      <c r="Q361" s="314"/>
      <c r="R361" s="314"/>
      <c r="S361" s="777"/>
      <c r="T361" s="314"/>
      <c r="U361" s="778"/>
      <c r="V361" s="315"/>
      <c r="W361" s="779"/>
      <c r="X361" s="780"/>
      <c r="Y361" s="314"/>
      <c r="Z361" s="314"/>
      <c r="AA361" s="314"/>
      <c r="AB361" s="324"/>
      <c r="AC361" s="155"/>
      <c r="AD361" s="155"/>
      <c r="AE361" s="322"/>
      <c r="AF361" s="155"/>
      <c r="AG361" s="132"/>
    </row>
    <row r="362">
      <c r="A362" s="314"/>
      <c r="B362" s="313"/>
      <c r="C362" s="313"/>
      <c r="D362" s="313"/>
      <c r="E362" s="737"/>
      <c r="F362" s="314"/>
      <c r="G362" s="318"/>
      <c r="H362" s="315"/>
      <c r="I362" s="314"/>
      <c r="J362" s="314"/>
      <c r="K362" s="314"/>
      <c r="L362" s="776"/>
      <c r="M362" s="314"/>
      <c r="N362" s="318"/>
      <c r="O362" s="315"/>
      <c r="P362" s="314"/>
      <c r="Q362" s="314"/>
      <c r="R362" s="314"/>
      <c r="S362" s="777"/>
      <c r="T362" s="314"/>
      <c r="U362" s="778"/>
      <c r="V362" s="315"/>
      <c r="W362" s="779"/>
      <c r="X362" s="780"/>
      <c r="Y362" s="314"/>
      <c r="Z362" s="314"/>
      <c r="AA362" s="314"/>
      <c r="AB362" s="324"/>
      <c r="AC362" s="155"/>
      <c r="AD362" s="155"/>
      <c r="AE362" s="322"/>
      <c r="AF362" s="155"/>
      <c r="AG362" s="132"/>
    </row>
    <row r="363">
      <c r="A363" s="314"/>
      <c r="B363" s="313"/>
      <c r="C363" s="313"/>
      <c r="D363" s="313"/>
      <c r="E363" s="737"/>
      <c r="F363" s="314"/>
      <c r="G363" s="318"/>
      <c r="H363" s="315"/>
      <c r="I363" s="314"/>
      <c r="J363" s="314"/>
      <c r="K363" s="314"/>
      <c r="L363" s="776"/>
      <c r="M363" s="314"/>
      <c r="N363" s="318"/>
      <c r="O363" s="315"/>
      <c r="P363" s="314"/>
      <c r="Q363" s="314"/>
      <c r="R363" s="314"/>
      <c r="S363" s="777"/>
      <c r="T363" s="314"/>
      <c r="U363" s="778"/>
      <c r="V363" s="315"/>
      <c r="W363" s="779"/>
      <c r="X363" s="780"/>
      <c r="Y363" s="314"/>
      <c r="Z363" s="314"/>
      <c r="AA363" s="314"/>
      <c r="AB363" s="324"/>
      <c r="AC363" s="155"/>
      <c r="AD363" s="155"/>
      <c r="AE363" s="322"/>
      <c r="AF363" s="155"/>
      <c r="AG363" s="132"/>
    </row>
    <row r="364">
      <c r="A364" s="314"/>
      <c r="B364" s="313"/>
      <c r="C364" s="313"/>
      <c r="D364" s="313"/>
      <c r="E364" s="737"/>
      <c r="F364" s="314"/>
      <c r="G364" s="318"/>
      <c r="H364" s="315"/>
      <c r="I364" s="314"/>
      <c r="J364" s="314"/>
      <c r="K364" s="314"/>
      <c r="L364" s="776"/>
      <c r="M364" s="314"/>
      <c r="N364" s="318"/>
      <c r="O364" s="315"/>
      <c r="P364" s="314"/>
      <c r="Q364" s="314"/>
      <c r="R364" s="314"/>
      <c r="S364" s="777"/>
      <c r="T364" s="314"/>
      <c r="U364" s="778"/>
      <c r="V364" s="315"/>
      <c r="W364" s="779"/>
      <c r="X364" s="780"/>
      <c r="Y364" s="314"/>
      <c r="Z364" s="314"/>
      <c r="AA364" s="314"/>
      <c r="AB364" s="324"/>
      <c r="AC364" s="155"/>
      <c r="AD364" s="155"/>
      <c r="AE364" s="322"/>
      <c r="AF364" s="155"/>
      <c r="AG364" s="132"/>
    </row>
    <row r="365">
      <c r="A365" s="314"/>
      <c r="B365" s="313"/>
      <c r="C365" s="313"/>
      <c r="D365" s="313"/>
      <c r="E365" s="737"/>
      <c r="F365" s="314"/>
      <c r="G365" s="318"/>
      <c r="H365" s="315"/>
      <c r="I365" s="314"/>
      <c r="J365" s="314"/>
      <c r="K365" s="314"/>
      <c r="L365" s="776"/>
      <c r="M365" s="314"/>
      <c r="N365" s="318"/>
      <c r="O365" s="315"/>
      <c r="P365" s="314"/>
      <c r="Q365" s="314"/>
      <c r="R365" s="314"/>
      <c r="S365" s="777"/>
      <c r="T365" s="314"/>
      <c r="U365" s="778"/>
      <c r="V365" s="315"/>
      <c r="W365" s="779"/>
      <c r="X365" s="780"/>
      <c r="Y365" s="314"/>
      <c r="Z365" s="314"/>
      <c r="AA365" s="314"/>
      <c r="AB365" s="324"/>
      <c r="AC365" s="155"/>
      <c r="AD365" s="155"/>
      <c r="AE365" s="322"/>
      <c r="AF365" s="155"/>
      <c r="AG365" s="132"/>
    </row>
    <row r="366">
      <c r="A366" s="314"/>
      <c r="B366" s="313"/>
      <c r="C366" s="313"/>
      <c r="D366" s="313"/>
      <c r="E366" s="737"/>
      <c r="F366" s="314"/>
      <c r="G366" s="318"/>
      <c r="H366" s="315"/>
      <c r="I366" s="314"/>
      <c r="J366" s="314"/>
      <c r="K366" s="314"/>
      <c r="L366" s="776"/>
      <c r="M366" s="314"/>
      <c r="N366" s="318"/>
      <c r="O366" s="315"/>
      <c r="P366" s="314"/>
      <c r="Q366" s="314"/>
      <c r="R366" s="314"/>
      <c r="S366" s="777"/>
      <c r="T366" s="314"/>
      <c r="U366" s="778"/>
      <c r="V366" s="315"/>
      <c r="W366" s="779"/>
      <c r="X366" s="780"/>
      <c r="Y366" s="314"/>
      <c r="Z366" s="314"/>
      <c r="AA366" s="314"/>
      <c r="AB366" s="324"/>
      <c r="AC366" s="155"/>
      <c r="AD366" s="155"/>
      <c r="AE366" s="322"/>
      <c r="AF366" s="155"/>
      <c r="AG366" s="132"/>
    </row>
    <row r="367">
      <c r="A367" s="314"/>
      <c r="B367" s="313"/>
      <c r="C367" s="313"/>
      <c r="D367" s="313"/>
      <c r="E367" s="737"/>
      <c r="F367" s="314"/>
      <c r="G367" s="318"/>
      <c r="H367" s="315"/>
      <c r="I367" s="314"/>
      <c r="J367" s="314"/>
      <c r="K367" s="314"/>
      <c r="L367" s="776"/>
      <c r="M367" s="314"/>
      <c r="N367" s="318"/>
      <c r="O367" s="315"/>
      <c r="P367" s="314"/>
      <c r="Q367" s="314"/>
      <c r="R367" s="314"/>
      <c r="S367" s="777"/>
      <c r="T367" s="314"/>
      <c r="U367" s="778"/>
      <c r="V367" s="315"/>
      <c r="W367" s="779"/>
      <c r="X367" s="780"/>
      <c r="Y367" s="314"/>
      <c r="Z367" s="314"/>
      <c r="AA367" s="314"/>
      <c r="AB367" s="324"/>
      <c r="AC367" s="155"/>
      <c r="AD367" s="155"/>
      <c r="AE367" s="322"/>
      <c r="AF367" s="155"/>
      <c r="AG367" s="132"/>
    </row>
    <row r="368">
      <c r="A368" s="314"/>
      <c r="B368" s="313"/>
      <c r="C368" s="313"/>
      <c r="D368" s="313"/>
      <c r="E368" s="737"/>
      <c r="F368" s="314"/>
      <c r="G368" s="318"/>
      <c r="H368" s="315"/>
      <c r="I368" s="314"/>
      <c r="J368" s="314"/>
      <c r="K368" s="314"/>
      <c r="L368" s="776"/>
      <c r="M368" s="314"/>
      <c r="N368" s="318"/>
      <c r="O368" s="315"/>
      <c r="P368" s="314"/>
      <c r="Q368" s="314"/>
      <c r="R368" s="314"/>
      <c r="S368" s="777"/>
      <c r="T368" s="314"/>
      <c r="U368" s="778"/>
      <c r="V368" s="315"/>
      <c r="W368" s="779"/>
      <c r="X368" s="780"/>
      <c r="Y368" s="314"/>
      <c r="Z368" s="314"/>
      <c r="AA368" s="314"/>
      <c r="AB368" s="324"/>
      <c r="AC368" s="155"/>
      <c r="AD368" s="155"/>
      <c r="AE368" s="322"/>
      <c r="AF368" s="155"/>
      <c r="AG368" s="132"/>
    </row>
    <row r="369">
      <c r="A369" s="314"/>
      <c r="B369" s="313"/>
      <c r="C369" s="313"/>
      <c r="D369" s="313"/>
      <c r="E369" s="737"/>
      <c r="F369" s="314"/>
      <c r="G369" s="318"/>
      <c r="H369" s="315"/>
      <c r="I369" s="314"/>
      <c r="J369" s="314"/>
      <c r="K369" s="314"/>
      <c r="L369" s="776"/>
      <c r="M369" s="314"/>
      <c r="N369" s="318"/>
      <c r="O369" s="315"/>
      <c r="P369" s="314"/>
      <c r="Q369" s="314"/>
      <c r="R369" s="314"/>
      <c r="S369" s="777"/>
      <c r="T369" s="314"/>
      <c r="U369" s="778"/>
      <c r="V369" s="315"/>
      <c r="W369" s="779"/>
      <c r="X369" s="780"/>
      <c r="Y369" s="314"/>
      <c r="Z369" s="314"/>
      <c r="AA369" s="314"/>
      <c r="AB369" s="324"/>
      <c r="AC369" s="155"/>
      <c r="AD369" s="155"/>
      <c r="AE369" s="322"/>
      <c r="AF369" s="155"/>
      <c r="AG369" s="132"/>
    </row>
    <row r="370">
      <c r="A370" s="314"/>
      <c r="B370" s="313"/>
      <c r="C370" s="313"/>
      <c r="D370" s="313"/>
      <c r="E370" s="737"/>
      <c r="F370" s="314"/>
      <c r="G370" s="318"/>
      <c r="H370" s="315"/>
      <c r="I370" s="314"/>
      <c r="J370" s="314"/>
      <c r="K370" s="314"/>
      <c r="L370" s="776"/>
      <c r="M370" s="314"/>
      <c r="N370" s="318"/>
      <c r="O370" s="315"/>
      <c r="P370" s="314"/>
      <c r="Q370" s="314"/>
      <c r="R370" s="314"/>
      <c r="S370" s="777"/>
      <c r="T370" s="314"/>
      <c r="U370" s="778"/>
      <c r="V370" s="315"/>
      <c r="W370" s="779"/>
      <c r="X370" s="780"/>
      <c r="Y370" s="314"/>
      <c r="Z370" s="314"/>
      <c r="AA370" s="314"/>
      <c r="AB370" s="324"/>
      <c r="AC370" s="155"/>
      <c r="AD370" s="155"/>
      <c r="AE370" s="322"/>
      <c r="AF370" s="155"/>
      <c r="AG370" s="132"/>
    </row>
    <row r="371">
      <c r="A371" s="314"/>
      <c r="B371" s="313"/>
      <c r="C371" s="313"/>
      <c r="D371" s="313"/>
      <c r="E371" s="737"/>
      <c r="F371" s="314"/>
      <c r="G371" s="318"/>
      <c r="H371" s="315"/>
      <c r="I371" s="314"/>
      <c r="J371" s="314"/>
      <c r="K371" s="314"/>
      <c r="L371" s="776"/>
      <c r="M371" s="314"/>
      <c r="N371" s="318"/>
      <c r="O371" s="315"/>
      <c r="P371" s="314"/>
      <c r="Q371" s="314"/>
      <c r="R371" s="314"/>
      <c r="S371" s="777"/>
      <c r="T371" s="314"/>
      <c r="U371" s="778"/>
      <c r="V371" s="315"/>
      <c r="W371" s="779"/>
      <c r="X371" s="780"/>
      <c r="Y371" s="314"/>
      <c r="Z371" s="314"/>
      <c r="AA371" s="314"/>
      <c r="AB371" s="324"/>
      <c r="AC371" s="155"/>
      <c r="AD371" s="155"/>
      <c r="AE371" s="322"/>
      <c r="AF371" s="155"/>
      <c r="AG371" s="132"/>
    </row>
    <row r="372">
      <c r="A372" s="314"/>
      <c r="B372" s="313"/>
      <c r="C372" s="313"/>
      <c r="D372" s="313"/>
      <c r="E372" s="737"/>
      <c r="F372" s="314"/>
      <c r="G372" s="318"/>
      <c r="H372" s="315"/>
      <c r="I372" s="314"/>
      <c r="J372" s="314"/>
      <c r="K372" s="314"/>
      <c r="L372" s="776"/>
      <c r="M372" s="314"/>
      <c r="N372" s="318"/>
      <c r="O372" s="315"/>
      <c r="P372" s="314"/>
      <c r="Q372" s="314"/>
      <c r="R372" s="314"/>
      <c r="S372" s="777"/>
      <c r="T372" s="314"/>
      <c r="U372" s="778"/>
      <c r="V372" s="315"/>
      <c r="W372" s="779"/>
      <c r="X372" s="780"/>
      <c r="Y372" s="314"/>
      <c r="Z372" s="314"/>
      <c r="AA372" s="314"/>
      <c r="AB372" s="324"/>
      <c r="AC372" s="155"/>
      <c r="AD372" s="155"/>
      <c r="AE372" s="322"/>
      <c r="AF372" s="155"/>
      <c r="AG372" s="132"/>
    </row>
    <row r="373">
      <c r="A373" s="314"/>
      <c r="B373" s="313"/>
      <c r="C373" s="313"/>
      <c r="D373" s="313"/>
      <c r="E373" s="737"/>
      <c r="F373" s="314"/>
      <c r="G373" s="318"/>
      <c r="H373" s="315"/>
      <c r="I373" s="314"/>
      <c r="J373" s="314"/>
      <c r="K373" s="314"/>
      <c r="L373" s="776"/>
      <c r="M373" s="314"/>
      <c r="N373" s="318"/>
      <c r="O373" s="315"/>
      <c r="P373" s="314"/>
      <c r="Q373" s="314"/>
      <c r="R373" s="314"/>
      <c r="S373" s="777"/>
      <c r="T373" s="314"/>
      <c r="U373" s="778"/>
      <c r="V373" s="315"/>
      <c r="W373" s="779"/>
      <c r="X373" s="780"/>
      <c r="Y373" s="314"/>
      <c r="Z373" s="314"/>
      <c r="AA373" s="314"/>
      <c r="AB373" s="324"/>
      <c r="AC373" s="155"/>
      <c r="AD373" s="155"/>
      <c r="AE373" s="322"/>
      <c r="AF373" s="155"/>
      <c r="AG373" s="132"/>
    </row>
    <row r="374">
      <c r="A374" s="314"/>
      <c r="B374" s="313"/>
      <c r="C374" s="313"/>
      <c r="D374" s="313"/>
      <c r="E374" s="737"/>
      <c r="F374" s="314"/>
      <c r="G374" s="318"/>
      <c r="H374" s="315"/>
      <c r="I374" s="314"/>
      <c r="J374" s="314"/>
      <c r="K374" s="314"/>
      <c r="L374" s="776"/>
      <c r="M374" s="314"/>
      <c r="N374" s="318"/>
      <c r="O374" s="315"/>
      <c r="P374" s="314"/>
      <c r="Q374" s="314"/>
      <c r="R374" s="314"/>
      <c r="S374" s="777"/>
      <c r="T374" s="314"/>
      <c r="U374" s="778"/>
      <c r="V374" s="315"/>
      <c r="W374" s="779"/>
      <c r="X374" s="780"/>
      <c r="Y374" s="314"/>
      <c r="Z374" s="314"/>
      <c r="AA374" s="314"/>
      <c r="AB374" s="324"/>
      <c r="AC374" s="155"/>
      <c r="AD374" s="155"/>
      <c r="AE374" s="322"/>
      <c r="AF374" s="155"/>
      <c r="AG374" s="132"/>
    </row>
    <row r="375">
      <c r="A375" s="314"/>
      <c r="B375" s="313"/>
      <c r="C375" s="313"/>
      <c r="D375" s="313"/>
      <c r="E375" s="737"/>
      <c r="F375" s="314"/>
      <c r="G375" s="318"/>
      <c r="H375" s="315"/>
      <c r="I375" s="314"/>
      <c r="J375" s="314"/>
      <c r="K375" s="314"/>
      <c r="L375" s="776"/>
      <c r="M375" s="314"/>
      <c r="N375" s="318"/>
      <c r="O375" s="315"/>
      <c r="P375" s="314"/>
      <c r="Q375" s="314"/>
      <c r="R375" s="314"/>
      <c r="S375" s="777"/>
      <c r="T375" s="314"/>
      <c r="U375" s="778"/>
      <c r="V375" s="315"/>
      <c r="W375" s="779"/>
      <c r="X375" s="780"/>
      <c r="Y375" s="314"/>
      <c r="Z375" s="314"/>
      <c r="AA375" s="314"/>
      <c r="AB375" s="324"/>
      <c r="AC375" s="155"/>
      <c r="AD375" s="155"/>
      <c r="AE375" s="322"/>
      <c r="AF375" s="155"/>
      <c r="AG375" s="132"/>
    </row>
    <row r="376">
      <c r="A376" s="314"/>
      <c r="B376" s="313"/>
      <c r="C376" s="313"/>
      <c r="D376" s="313"/>
      <c r="E376" s="737"/>
      <c r="F376" s="314"/>
      <c r="G376" s="318"/>
      <c r="H376" s="315"/>
      <c r="I376" s="314"/>
      <c r="J376" s="314"/>
      <c r="K376" s="314"/>
      <c r="L376" s="776"/>
      <c r="M376" s="314"/>
      <c r="N376" s="318"/>
      <c r="O376" s="315"/>
      <c r="P376" s="314"/>
      <c r="Q376" s="314"/>
      <c r="R376" s="314"/>
      <c r="S376" s="777"/>
      <c r="T376" s="314"/>
      <c r="U376" s="778"/>
      <c r="V376" s="315"/>
      <c r="W376" s="779"/>
      <c r="X376" s="780"/>
      <c r="Y376" s="314"/>
      <c r="Z376" s="314"/>
      <c r="AA376" s="314"/>
      <c r="AB376" s="324"/>
      <c r="AC376" s="155"/>
      <c r="AD376" s="155"/>
      <c r="AE376" s="322"/>
      <c r="AF376" s="155"/>
      <c r="AG376" s="132"/>
    </row>
    <row r="377">
      <c r="A377" s="314"/>
      <c r="B377" s="313"/>
      <c r="C377" s="313"/>
      <c r="D377" s="313"/>
      <c r="E377" s="737"/>
      <c r="F377" s="314"/>
      <c r="G377" s="318"/>
      <c r="H377" s="315"/>
      <c r="I377" s="314"/>
      <c r="J377" s="314"/>
      <c r="K377" s="314"/>
      <c r="L377" s="776"/>
      <c r="M377" s="314"/>
      <c r="N377" s="318"/>
      <c r="O377" s="315"/>
      <c r="P377" s="314"/>
      <c r="Q377" s="314"/>
      <c r="R377" s="314"/>
      <c r="S377" s="777"/>
      <c r="T377" s="314"/>
      <c r="U377" s="778"/>
      <c r="V377" s="315"/>
      <c r="W377" s="779"/>
      <c r="X377" s="780"/>
      <c r="Y377" s="314"/>
      <c r="Z377" s="314"/>
      <c r="AA377" s="314"/>
      <c r="AB377" s="324"/>
      <c r="AC377" s="155"/>
      <c r="AD377" s="155"/>
      <c r="AE377" s="322"/>
      <c r="AF377" s="155"/>
      <c r="AG377" s="132"/>
    </row>
    <row r="378">
      <c r="A378" s="314"/>
      <c r="B378" s="313"/>
      <c r="C378" s="313"/>
      <c r="D378" s="313"/>
      <c r="E378" s="737"/>
      <c r="F378" s="314"/>
      <c r="G378" s="318"/>
      <c r="H378" s="315"/>
      <c r="I378" s="314"/>
      <c r="J378" s="314"/>
      <c r="K378" s="314"/>
      <c r="L378" s="776"/>
      <c r="M378" s="314"/>
      <c r="N378" s="318"/>
      <c r="O378" s="315"/>
      <c r="P378" s="314"/>
      <c r="Q378" s="314"/>
      <c r="R378" s="314"/>
      <c r="S378" s="777"/>
      <c r="T378" s="314"/>
      <c r="U378" s="778"/>
      <c r="V378" s="315"/>
      <c r="W378" s="779"/>
      <c r="X378" s="780"/>
      <c r="Y378" s="314"/>
      <c r="Z378" s="314"/>
      <c r="AA378" s="314"/>
      <c r="AB378" s="324"/>
      <c r="AC378" s="155"/>
      <c r="AD378" s="155"/>
      <c r="AE378" s="322"/>
      <c r="AF378" s="155"/>
      <c r="AG378" s="132"/>
    </row>
    <row r="379">
      <c r="A379" s="314"/>
      <c r="B379" s="313"/>
      <c r="C379" s="313"/>
      <c r="D379" s="313"/>
      <c r="E379" s="737"/>
      <c r="F379" s="314"/>
      <c r="G379" s="318"/>
      <c r="H379" s="315"/>
      <c r="I379" s="314"/>
      <c r="J379" s="314"/>
      <c r="K379" s="314"/>
      <c r="L379" s="776"/>
      <c r="M379" s="314"/>
      <c r="N379" s="318"/>
      <c r="O379" s="315"/>
      <c r="P379" s="314"/>
      <c r="Q379" s="314"/>
      <c r="R379" s="314"/>
      <c r="S379" s="777"/>
      <c r="T379" s="314"/>
      <c r="U379" s="778"/>
      <c r="V379" s="315"/>
      <c r="W379" s="779"/>
      <c r="X379" s="780"/>
      <c r="Y379" s="314"/>
      <c r="Z379" s="314"/>
      <c r="AA379" s="314"/>
      <c r="AB379" s="324"/>
      <c r="AC379" s="155"/>
      <c r="AD379" s="155"/>
      <c r="AE379" s="322"/>
      <c r="AF379" s="155"/>
      <c r="AG379" s="132"/>
    </row>
    <row r="380">
      <c r="A380" s="314"/>
      <c r="B380" s="313"/>
      <c r="C380" s="313"/>
      <c r="D380" s="313"/>
      <c r="E380" s="737"/>
      <c r="F380" s="314"/>
      <c r="G380" s="318"/>
      <c r="H380" s="315"/>
      <c r="I380" s="314"/>
      <c r="J380" s="314"/>
      <c r="K380" s="314"/>
      <c r="L380" s="776"/>
      <c r="M380" s="314"/>
      <c r="N380" s="318"/>
      <c r="O380" s="315"/>
      <c r="P380" s="314"/>
      <c r="Q380" s="314"/>
      <c r="R380" s="314"/>
      <c r="S380" s="777"/>
      <c r="T380" s="314"/>
      <c r="U380" s="778"/>
      <c r="V380" s="315"/>
      <c r="W380" s="779"/>
      <c r="X380" s="780"/>
      <c r="Y380" s="314"/>
      <c r="Z380" s="314"/>
      <c r="AA380" s="314"/>
      <c r="AB380" s="324"/>
      <c r="AC380" s="155"/>
      <c r="AD380" s="155"/>
      <c r="AE380" s="322"/>
      <c r="AF380" s="155"/>
      <c r="AG380" s="132"/>
    </row>
    <row r="381">
      <c r="A381" s="314"/>
      <c r="B381" s="313"/>
      <c r="C381" s="313"/>
      <c r="D381" s="313"/>
      <c r="E381" s="737"/>
      <c r="F381" s="314"/>
      <c r="G381" s="318"/>
      <c r="H381" s="315"/>
      <c r="I381" s="314"/>
      <c r="J381" s="314"/>
      <c r="K381" s="314"/>
      <c r="L381" s="776"/>
      <c r="M381" s="314"/>
      <c r="N381" s="318"/>
      <c r="O381" s="315"/>
      <c r="P381" s="314"/>
      <c r="Q381" s="314"/>
      <c r="R381" s="314"/>
      <c r="S381" s="777"/>
      <c r="T381" s="314"/>
      <c r="U381" s="778"/>
      <c r="V381" s="315"/>
      <c r="W381" s="779"/>
      <c r="X381" s="780"/>
      <c r="Y381" s="314"/>
      <c r="Z381" s="314"/>
      <c r="AA381" s="314"/>
      <c r="AB381" s="324"/>
      <c r="AC381" s="155"/>
      <c r="AD381" s="155"/>
      <c r="AE381" s="322"/>
      <c r="AF381" s="155"/>
      <c r="AG381" s="132"/>
    </row>
    <row r="382">
      <c r="A382" s="314"/>
      <c r="B382" s="313"/>
      <c r="C382" s="313"/>
      <c r="D382" s="313"/>
      <c r="E382" s="737"/>
      <c r="F382" s="314"/>
      <c r="G382" s="318"/>
      <c r="H382" s="315"/>
      <c r="I382" s="314"/>
      <c r="J382" s="314"/>
      <c r="K382" s="314"/>
      <c r="L382" s="776"/>
      <c r="M382" s="314"/>
      <c r="N382" s="318"/>
      <c r="O382" s="315"/>
      <c r="P382" s="314"/>
      <c r="Q382" s="314"/>
      <c r="R382" s="314"/>
      <c r="S382" s="777"/>
      <c r="T382" s="314"/>
      <c r="U382" s="778"/>
      <c r="V382" s="315"/>
      <c r="W382" s="779"/>
      <c r="X382" s="780"/>
      <c r="Y382" s="314"/>
      <c r="Z382" s="314"/>
      <c r="AA382" s="314"/>
      <c r="AB382" s="324"/>
      <c r="AC382" s="155"/>
      <c r="AD382" s="155"/>
      <c r="AE382" s="322"/>
      <c r="AF382" s="155"/>
      <c r="AG382" s="132"/>
    </row>
    <row r="383">
      <c r="A383" s="314"/>
      <c r="B383" s="313"/>
      <c r="C383" s="313"/>
      <c r="D383" s="313"/>
      <c r="E383" s="737"/>
      <c r="F383" s="314"/>
      <c r="G383" s="318"/>
      <c r="H383" s="315"/>
      <c r="I383" s="314"/>
      <c r="J383" s="314"/>
      <c r="K383" s="314"/>
      <c r="L383" s="776"/>
      <c r="M383" s="314"/>
      <c r="N383" s="318"/>
      <c r="O383" s="315"/>
      <c r="P383" s="314"/>
      <c r="Q383" s="314"/>
      <c r="R383" s="314"/>
      <c r="S383" s="777"/>
      <c r="T383" s="314"/>
      <c r="U383" s="778"/>
      <c r="V383" s="315"/>
      <c r="W383" s="779"/>
      <c r="X383" s="780"/>
      <c r="Y383" s="314"/>
      <c r="Z383" s="314"/>
      <c r="AA383" s="314"/>
      <c r="AB383" s="324"/>
      <c r="AC383" s="155"/>
      <c r="AD383" s="155"/>
      <c r="AE383" s="322"/>
      <c r="AF383" s="155"/>
      <c r="AG383" s="132"/>
    </row>
    <row r="384">
      <c r="A384" s="314"/>
      <c r="B384" s="313"/>
      <c r="C384" s="313"/>
      <c r="D384" s="313"/>
      <c r="E384" s="737"/>
      <c r="F384" s="314"/>
      <c r="G384" s="318"/>
      <c r="H384" s="315"/>
      <c r="I384" s="314"/>
      <c r="J384" s="314"/>
      <c r="K384" s="314"/>
      <c r="L384" s="776"/>
      <c r="M384" s="314"/>
      <c r="N384" s="318"/>
      <c r="O384" s="315"/>
      <c r="P384" s="314"/>
      <c r="Q384" s="314"/>
      <c r="R384" s="314"/>
      <c r="S384" s="777"/>
      <c r="T384" s="314"/>
      <c r="U384" s="778"/>
      <c r="V384" s="315"/>
      <c r="W384" s="779"/>
      <c r="X384" s="780"/>
      <c r="Y384" s="314"/>
      <c r="Z384" s="314"/>
      <c r="AA384" s="314"/>
      <c r="AB384" s="324"/>
      <c r="AC384" s="155"/>
      <c r="AD384" s="155"/>
      <c r="AE384" s="322"/>
      <c r="AF384" s="155"/>
      <c r="AG384" s="132"/>
    </row>
    <row r="385">
      <c r="A385" s="314"/>
      <c r="B385" s="313"/>
      <c r="C385" s="313"/>
      <c r="D385" s="313"/>
      <c r="E385" s="737"/>
      <c r="F385" s="314"/>
      <c r="G385" s="318"/>
      <c r="H385" s="315"/>
      <c r="I385" s="314"/>
      <c r="J385" s="314"/>
      <c r="K385" s="314"/>
      <c r="L385" s="776"/>
      <c r="M385" s="314"/>
      <c r="N385" s="318"/>
      <c r="O385" s="315"/>
      <c r="P385" s="314"/>
      <c r="Q385" s="314"/>
      <c r="R385" s="314"/>
      <c r="S385" s="777"/>
      <c r="T385" s="314"/>
      <c r="U385" s="778"/>
      <c r="V385" s="315"/>
      <c r="W385" s="779"/>
      <c r="X385" s="780"/>
      <c r="Y385" s="314"/>
      <c r="Z385" s="314"/>
      <c r="AA385" s="314"/>
      <c r="AB385" s="324"/>
      <c r="AC385" s="155"/>
      <c r="AD385" s="155"/>
      <c r="AE385" s="322"/>
      <c r="AF385" s="155"/>
      <c r="AG385" s="132"/>
    </row>
    <row r="386">
      <c r="A386" s="314"/>
      <c r="B386" s="313"/>
      <c r="C386" s="313"/>
      <c r="D386" s="313"/>
      <c r="E386" s="737"/>
      <c r="F386" s="314"/>
      <c r="G386" s="318"/>
      <c r="H386" s="315"/>
      <c r="I386" s="314"/>
      <c r="J386" s="314"/>
      <c r="K386" s="314"/>
      <c r="L386" s="776"/>
      <c r="M386" s="314"/>
      <c r="N386" s="318"/>
      <c r="O386" s="315"/>
      <c r="P386" s="314"/>
      <c r="Q386" s="314"/>
      <c r="R386" s="314"/>
      <c r="S386" s="777"/>
      <c r="T386" s="314"/>
      <c r="U386" s="778"/>
      <c r="V386" s="315"/>
      <c r="W386" s="779"/>
      <c r="X386" s="780"/>
      <c r="Y386" s="314"/>
      <c r="Z386" s="314"/>
      <c r="AA386" s="314"/>
      <c r="AB386" s="324"/>
      <c r="AC386" s="155"/>
      <c r="AD386" s="155"/>
      <c r="AE386" s="322"/>
      <c r="AF386" s="155"/>
      <c r="AG386" s="132"/>
    </row>
    <row r="387">
      <c r="A387" s="314"/>
      <c r="B387" s="313"/>
      <c r="C387" s="313"/>
      <c r="D387" s="313"/>
      <c r="E387" s="737"/>
      <c r="F387" s="314"/>
      <c r="G387" s="318"/>
      <c r="H387" s="315"/>
      <c r="I387" s="314"/>
      <c r="J387" s="314"/>
      <c r="K387" s="314"/>
      <c r="L387" s="776"/>
      <c r="M387" s="314"/>
      <c r="N387" s="318"/>
      <c r="O387" s="315"/>
      <c r="P387" s="314"/>
      <c r="Q387" s="314"/>
      <c r="R387" s="314"/>
      <c r="S387" s="777"/>
      <c r="T387" s="314"/>
      <c r="U387" s="778"/>
      <c r="V387" s="315"/>
      <c r="W387" s="779"/>
      <c r="X387" s="780"/>
      <c r="Y387" s="314"/>
      <c r="Z387" s="314"/>
      <c r="AA387" s="314"/>
      <c r="AB387" s="324"/>
      <c r="AC387" s="155"/>
      <c r="AD387" s="155"/>
      <c r="AE387" s="322"/>
      <c r="AF387" s="155"/>
      <c r="AG387" s="132"/>
    </row>
    <row r="388">
      <c r="A388" s="314"/>
      <c r="B388" s="313"/>
      <c r="C388" s="313"/>
      <c r="D388" s="313"/>
      <c r="E388" s="737"/>
      <c r="F388" s="314"/>
      <c r="G388" s="318"/>
      <c r="H388" s="315"/>
      <c r="I388" s="314"/>
      <c r="J388" s="314"/>
      <c r="K388" s="314"/>
      <c r="L388" s="776"/>
      <c r="M388" s="314"/>
      <c r="N388" s="318"/>
      <c r="O388" s="315"/>
      <c r="P388" s="314"/>
      <c r="Q388" s="314"/>
      <c r="R388" s="314"/>
      <c r="S388" s="777"/>
      <c r="T388" s="314"/>
      <c r="U388" s="778"/>
      <c r="V388" s="315"/>
      <c r="W388" s="779"/>
      <c r="X388" s="780"/>
      <c r="Y388" s="314"/>
      <c r="Z388" s="314"/>
      <c r="AA388" s="314"/>
      <c r="AB388" s="324"/>
      <c r="AC388" s="155"/>
      <c r="AD388" s="155"/>
      <c r="AE388" s="322"/>
      <c r="AF388" s="155"/>
      <c r="AG388" s="132"/>
    </row>
    <row r="389">
      <c r="A389" s="314"/>
      <c r="B389" s="313"/>
      <c r="C389" s="313"/>
      <c r="D389" s="313"/>
      <c r="E389" s="737"/>
      <c r="F389" s="314"/>
      <c r="G389" s="318"/>
      <c r="H389" s="315"/>
      <c r="I389" s="314"/>
      <c r="J389" s="314"/>
      <c r="K389" s="314"/>
      <c r="L389" s="776"/>
      <c r="M389" s="314"/>
      <c r="N389" s="318"/>
      <c r="O389" s="315"/>
      <c r="P389" s="314"/>
      <c r="Q389" s="314"/>
      <c r="R389" s="314"/>
      <c r="S389" s="777"/>
      <c r="T389" s="314"/>
      <c r="U389" s="778"/>
      <c r="V389" s="315"/>
      <c r="W389" s="779"/>
      <c r="X389" s="780"/>
      <c r="Y389" s="314"/>
      <c r="Z389" s="314"/>
      <c r="AA389" s="314"/>
      <c r="AB389" s="324"/>
      <c r="AC389" s="155"/>
      <c r="AD389" s="155"/>
      <c r="AE389" s="322"/>
      <c r="AF389" s="155"/>
      <c r="AG389" s="132"/>
    </row>
    <row r="390">
      <c r="A390" s="314"/>
      <c r="B390" s="313"/>
      <c r="C390" s="313"/>
      <c r="D390" s="313"/>
      <c r="E390" s="737"/>
      <c r="F390" s="314"/>
      <c r="G390" s="318"/>
      <c r="H390" s="315"/>
      <c r="I390" s="314"/>
      <c r="J390" s="314"/>
      <c r="K390" s="314"/>
      <c r="L390" s="776"/>
      <c r="M390" s="314"/>
      <c r="N390" s="318"/>
      <c r="O390" s="315"/>
      <c r="P390" s="314"/>
      <c r="Q390" s="314"/>
      <c r="R390" s="314"/>
      <c r="S390" s="777"/>
      <c r="T390" s="314"/>
      <c r="U390" s="778"/>
      <c r="V390" s="315"/>
      <c r="W390" s="779"/>
      <c r="X390" s="780"/>
      <c r="Y390" s="314"/>
      <c r="Z390" s="314"/>
      <c r="AA390" s="314"/>
      <c r="AB390" s="324"/>
      <c r="AC390" s="155"/>
      <c r="AD390" s="155"/>
      <c r="AE390" s="322"/>
      <c r="AF390" s="155"/>
      <c r="AG390" s="132"/>
    </row>
    <row r="391">
      <c r="A391" s="314"/>
      <c r="B391" s="313"/>
      <c r="C391" s="313"/>
      <c r="D391" s="313"/>
      <c r="E391" s="737"/>
      <c r="F391" s="314"/>
      <c r="G391" s="318"/>
      <c r="H391" s="315"/>
      <c r="I391" s="314"/>
      <c r="J391" s="314"/>
      <c r="K391" s="314"/>
      <c r="L391" s="776"/>
      <c r="M391" s="314"/>
      <c r="N391" s="318"/>
      <c r="O391" s="315"/>
      <c r="P391" s="314"/>
      <c r="Q391" s="314"/>
      <c r="R391" s="314"/>
      <c r="S391" s="777"/>
      <c r="T391" s="314"/>
      <c r="U391" s="778"/>
      <c r="V391" s="315"/>
      <c r="W391" s="779"/>
      <c r="X391" s="780"/>
      <c r="Y391" s="314"/>
      <c r="Z391" s="314"/>
      <c r="AA391" s="314"/>
      <c r="AB391" s="324"/>
      <c r="AC391" s="155"/>
      <c r="AD391" s="155"/>
      <c r="AE391" s="322"/>
      <c r="AF391" s="155"/>
      <c r="AG391" s="132"/>
    </row>
    <row r="392">
      <c r="A392" s="314"/>
      <c r="B392" s="313"/>
      <c r="C392" s="313"/>
      <c r="D392" s="313"/>
      <c r="E392" s="737"/>
      <c r="F392" s="314"/>
      <c r="G392" s="318"/>
      <c r="H392" s="315"/>
      <c r="I392" s="314"/>
      <c r="J392" s="314"/>
      <c r="K392" s="314"/>
      <c r="L392" s="776"/>
      <c r="M392" s="314"/>
      <c r="N392" s="318"/>
      <c r="O392" s="315"/>
      <c r="P392" s="314"/>
      <c r="Q392" s="314"/>
      <c r="R392" s="314"/>
      <c r="S392" s="777"/>
      <c r="T392" s="314"/>
      <c r="U392" s="778"/>
      <c r="V392" s="315"/>
      <c r="W392" s="779"/>
      <c r="X392" s="780"/>
      <c r="Y392" s="314"/>
      <c r="Z392" s="314"/>
      <c r="AA392" s="314"/>
      <c r="AB392" s="324"/>
      <c r="AC392" s="155"/>
      <c r="AD392" s="155"/>
      <c r="AE392" s="322"/>
      <c r="AF392" s="155"/>
      <c r="AG392" s="132"/>
    </row>
    <row r="393">
      <c r="A393" s="435"/>
      <c r="B393" s="313"/>
      <c r="C393" s="437"/>
      <c r="D393" s="313"/>
      <c r="E393" s="753"/>
      <c r="F393" s="314"/>
      <c r="G393" s="318"/>
      <c r="H393" s="744"/>
      <c r="I393" s="435"/>
      <c r="J393" s="314"/>
      <c r="K393" s="435"/>
      <c r="L393" s="781"/>
      <c r="M393" s="314"/>
      <c r="N393" s="318"/>
      <c r="O393" s="315"/>
      <c r="P393" s="435"/>
      <c r="Q393" s="435"/>
      <c r="R393" s="435"/>
      <c r="S393" s="782"/>
      <c r="T393" s="435"/>
      <c r="U393" s="783"/>
      <c r="V393" s="744"/>
      <c r="W393" s="784"/>
      <c r="X393" s="785"/>
      <c r="Y393" s="435"/>
      <c r="Z393" s="435"/>
      <c r="AA393" s="435"/>
      <c r="AB393" s="324"/>
      <c r="AC393" s="180"/>
      <c r="AD393" s="155"/>
      <c r="AE393" s="322"/>
      <c r="AF393" s="155"/>
      <c r="AG393" s="132"/>
    </row>
    <row r="394">
      <c r="A394" s="435"/>
      <c r="B394" s="313"/>
      <c r="C394" s="313"/>
      <c r="D394" s="437"/>
      <c r="E394" s="737"/>
      <c r="F394" s="314"/>
      <c r="G394" s="318"/>
      <c r="H394" s="315"/>
      <c r="I394" s="314"/>
      <c r="J394" s="314"/>
      <c r="K394" s="314"/>
      <c r="L394" s="776"/>
      <c r="M394" s="435"/>
      <c r="N394" s="740"/>
      <c r="O394" s="315"/>
      <c r="P394" s="314"/>
      <c r="Q394" s="314"/>
      <c r="R394" s="314"/>
      <c r="S394" s="777"/>
      <c r="T394" s="314"/>
      <c r="U394" s="778"/>
      <c r="V394" s="315"/>
      <c r="W394" s="779"/>
      <c r="X394" s="780"/>
      <c r="Y394" s="314"/>
      <c r="Z394" s="314"/>
      <c r="AA394" s="314"/>
      <c r="AB394" s="324"/>
      <c r="AC394" s="180"/>
      <c r="AD394" s="155"/>
      <c r="AE394" s="322"/>
      <c r="AF394" s="155"/>
      <c r="AG394" s="132"/>
    </row>
    <row r="395">
      <c r="A395" s="435"/>
      <c r="B395" s="437"/>
      <c r="C395" s="437"/>
      <c r="D395" s="437"/>
      <c r="E395" s="753"/>
      <c r="F395" s="314"/>
      <c r="G395" s="318"/>
      <c r="H395" s="315"/>
      <c r="I395" s="435"/>
      <c r="J395" s="435"/>
      <c r="K395" s="435"/>
      <c r="L395" s="781"/>
      <c r="M395" s="435"/>
      <c r="N395" s="740"/>
      <c r="O395" s="315"/>
      <c r="P395" s="435"/>
      <c r="Q395" s="314"/>
      <c r="R395" s="435"/>
      <c r="S395" s="782"/>
      <c r="T395" s="435"/>
      <c r="U395" s="783"/>
      <c r="V395" s="744"/>
      <c r="W395" s="784"/>
      <c r="X395" s="785"/>
      <c r="Y395" s="435"/>
      <c r="Z395" s="435"/>
      <c r="AA395" s="435"/>
      <c r="AB395" s="324"/>
      <c r="AC395" s="180"/>
      <c r="AD395" s="155"/>
      <c r="AE395" s="322"/>
      <c r="AF395" s="155"/>
      <c r="AG395" s="132"/>
    </row>
    <row r="396">
      <c r="A396" s="435"/>
      <c r="B396" s="313"/>
      <c r="C396" s="313"/>
      <c r="D396" s="437"/>
      <c r="E396" s="737"/>
      <c r="F396" s="314"/>
      <c r="G396" s="318"/>
      <c r="H396" s="315"/>
      <c r="I396" s="435"/>
      <c r="J396" s="314"/>
      <c r="K396" s="435"/>
      <c r="L396" s="776"/>
      <c r="M396" s="314"/>
      <c r="N396" s="318"/>
      <c r="O396" s="315"/>
      <c r="P396" s="314"/>
      <c r="Q396" s="435"/>
      <c r="R396" s="435"/>
      <c r="S396" s="777"/>
      <c r="T396" s="314"/>
      <c r="U396" s="778"/>
      <c r="V396" s="315"/>
      <c r="W396" s="779"/>
      <c r="X396" s="780"/>
      <c r="Y396" s="314"/>
      <c r="Z396" s="314"/>
      <c r="AA396" s="314"/>
      <c r="AB396" s="324"/>
      <c r="AC396" s="180"/>
      <c r="AD396" s="155"/>
      <c r="AE396" s="322"/>
      <c r="AF396" s="155"/>
      <c r="AG396" s="132"/>
    </row>
    <row r="397">
      <c r="A397" s="435"/>
      <c r="B397" s="437"/>
      <c r="C397" s="437"/>
      <c r="D397" s="437"/>
      <c r="E397" s="753"/>
      <c r="F397" s="314"/>
      <c r="G397" s="318"/>
      <c r="H397" s="744"/>
      <c r="I397" s="435"/>
      <c r="J397" s="435"/>
      <c r="K397" s="435"/>
      <c r="L397" s="781"/>
      <c r="M397" s="435"/>
      <c r="N397" s="740"/>
      <c r="O397" s="315"/>
      <c r="P397" s="435"/>
      <c r="Q397" s="435"/>
      <c r="R397" s="435"/>
      <c r="S397" s="782"/>
      <c r="T397" s="435"/>
      <c r="U397" s="783"/>
      <c r="V397" s="744"/>
      <c r="W397" s="784"/>
      <c r="X397" s="785"/>
      <c r="Y397" s="435"/>
      <c r="Z397" s="435"/>
      <c r="AA397" s="435"/>
      <c r="AB397" s="324"/>
      <c r="AC397" s="180"/>
      <c r="AD397" s="155"/>
      <c r="AE397" s="322"/>
      <c r="AF397" s="155"/>
      <c r="AG397" s="132"/>
    </row>
    <row r="398">
      <c r="A398" s="435"/>
      <c r="B398" s="437"/>
      <c r="C398" s="313"/>
      <c r="D398" s="437"/>
      <c r="E398" s="737"/>
      <c r="F398" s="314"/>
      <c r="G398" s="318"/>
      <c r="H398" s="315"/>
      <c r="I398" s="314"/>
      <c r="J398" s="314"/>
      <c r="K398" s="435"/>
      <c r="L398" s="776"/>
      <c r="M398" s="314"/>
      <c r="N398" s="318"/>
      <c r="O398" s="315"/>
      <c r="P398" s="314"/>
      <c r="Q398" s="314"/>
      <c r="R398" s="314"/>
      <c r="S398" s="782"/>
      <c r="T398" s="435"/>
      <c r="U398" s="783"/>
      <c r="V398" s="744"/>
      <c r="W398" s="784"/>
      <c r="X398" s="785"/>
      <c r="Y398" s="435"/>
      <c r="Z398" s="435"/>
      <c r="AA398" s="435"/>
      <c r="AB398" s="324"/>
      <c r="AC398" s="180"/>
      <c r="AD398" s="155"/>
      <c r="AE398" s="322"/>
      <c r="AF398" s="155"/>
      <c r="AG398" s="132"/>
    </row>
    <row r="399">
      <c r="A399" s="435"/>
      <c r="B399" s="437"/>
      <c r="C399" s="437"/>
      <c r="D399" s="437"/>
      <c r="E399" s="753"/>
      <c r="F399" s="314"/>
      <c r="G399" s="318"/>
      <c r="H399" s="744"/>
      <c r="I399" s="314"/>
      <c r="J399" s="314"/>
      <c r="K399" s="435"/>
      <c r="L399" s="776"/>
      <c r="M399" s="314"/>
      <c r="N399" s="318"/>
      <c r="O399" s="315"/>
      <c r="P399" s="435"/>
      <c r="Q399" s="435"/>
      <c r="R399" s="435"/>
      <c r="S399" s="782"/>
      <c r="T399" s="435"/>
      <c r="U399" s="783"/>
      <c r="V399" s="744"/>
      <c r="W399" s="784"/>
      <c r="X399" s="785"/>
      <c r="Y399" s="435"/>
      <c r="Z399" s="435"/>
      <c r="AA399" s="435"/>
      <c r="AB399" s="324"/>
      <c r="AC399" s="180"/>
      <c r="AD399" s="155"/>
      <c r="AE399" s="322"/>
      <c r="AF399" s="155"/>
      <c r="AG399" s="132"/>
    </row>
    <row r="400">
      <c r="A400" s="435"/>
      <c r="B400" s="437"/>
      <c r="C400" s="437"/>
      <c r="D400" s="437"/>
      <c r="E400" s="753"/>
      <c r="F400" s="314"/>
      <c r="G400" s="318"/>
      <c r="H400" s="744"/>
      <c r="I400" s="435"/>
      <c r="J400" s="435"/>
      <c r="K400" s="435"/>
      <c r="L400" s="781"/>
      <c r="M400" s="435"/>
      <c r="N400" s="740"/>
      <c r="O400" s="315"/>
      <c r="P400" s="435"/>
      <c r="Q400" s="435"/>
      <c r="R400" s="435"/>
      <c r="S400" s="782"/>
      <c r="T400" s="435"/>
      <c r="U400" s="783"/>
      <c r="V400" s="744"/>
      <c r="W400" s="784"/>
      <c r="X400" s="785"/>
      <c r="Y400" s="435"/>
      <c r="Z400" s="435"/>
      <c r="AA400" s="435"/>
      <c r="AB400" s="324"/>
      <c r="AC400" s="180"/>
      <c r="AD400" s="155"/>
      <c r="AE400" s="322"/>
      <c r="AF400" s="155"/>
      <c r="AG400" s="132"/>
    </row>
    <row r="401">
      <c r="A401" s="435"/>
      <c r="B401" s="313"/>
      <c r="C401" s="313"/>
      <c r="D401" s="313"/>
      <c r="E401" s="753"/>
      <c r="F401" s="314"/>
      <c r="G401" s="318"/>
      <c r="H401" s="744"/>
      <c r="I401" s="314"/>
      <c r="J401" s="314"/>
      <c r="K401" s="314"/>
      <c r="L401" s="776"/>
      <c r="M401" s="314"/>
      <c r="N401" s="318"/>
      <c r="O401" s="315"/>
      <c r="P401" s="314"/>
      <c r="Q401" s="314"/>
      <c r="R401" s="314"/>
      <c r="S401" s="777"/>
      <c r="T401" s="314"/>
      <c r="U401" s="778"/>
      <c r="V401" s="315"/>
      <c r="W401" s="779"/>
      <c r="X401" s="780"/>
      <c r="Y401" s="314"/>
      <c r="Z401" s="314"/>
      <c r="AA401" s="314"/>
      <c r="AB401" s="324"/>
      <c r="AC401" s="180"/>
      <c r="AD401" s="155"/>
      <c r="AE401" s="322"/>
      <c r="AF401" s="155"/>
      <c r="AG401" s="132"/>
    </row>
    <row r="402">
      <c r="A402" s="435"/>
      <c r="B402" s="313"/>
      <c r="C402" s="313"/>
      <c r="D402" s="437"/>
      <c r="E402" s="737"/>
      <c r="F402" s="314"/>
      <c r="G402" s="318"/>
      <c r="H402" s="744"/>
      <c r="I402" s="314"/>
      <c r="J402" s="435"/>
      <c r="K402" s="435"/>
      <c r="L402" s="776"/>
      <c r="M402" s="435"/>
      <c r="N402" s="318"/>
      <c r="O402" s="315"/>
      <c r="P402" s="314"/>
      <c r="Q402" s="314"/>
      <c r="R402" s="435"/>
      <c r="S402" s="782"/>
      <c r="T402" s="435"/>
      <c r="U402" s="783"/>
      <c r="V402" s="744"/>
      <c r="W402" s="784"/>
      <c r="X402" s="785"/>
      <c r="Y402" s="435"/>
      <c r="Z402" s="435"/>
      <c r="AA402" s="435"/>
      <c r="AB402" s="324"/>
      <c r="AC402" s="180"/>
      <c r="AD402" s="155"/>
      <c r="AE402" s="322"/>
      <c r="AF402" s="155"/>
      <c r="AG402" s="132"/>
    </row>
    <row r="403">
      <c r="A403" s="435"/>
      <c r="B403" s="313"/>
      <c r="C403" s="313"/>
      <c r="D403" s="313"/>
      <c r="E403" s="737"/>
      <c r="F403" s="314"/>
      <c r="G403" s="318"/>
      <c r="H403" s="315"/>
      <c r="I403" s="314"/>
      <c r="J403" s="314"/>
      <c r="K403" s="314"/>
      <c r="L403" s="776"/>
      <c r="M403" s="314"/>
      <c r="N403" s="318"/>
      <c r="O403" s="315"/>
      <c r="P403" s="314"/>
      <c r="Q403" s="435"/>
      <c r="R403" s="314"/>
      <c r="S403" s="782"/>
      <c r="T403" s="435"/>
      <c r="U403" s="783"/>
      <c r="V403" s="744"/>
      <c r="W403" s="784"/>
      <c r="X403" s="785"/>
      <c r="Y403" s="435"/>
      <c r="Z403" s="435"/>
      <c r="AA403" s="435"/>
      <c r="AB403" s="324"/>
      <c r="AC403" s="180"/>
      <c r="AD403" s="155"/>
      <c r="AE403" s="322"/>
      <c r="AF403" s="155"/>
      <c r="AG403" s="132"/>
    </row>
    <row r="404">
      <c r="A404" s="435"/>
      <c r="B404" s="437"/>
      <c r="C404" s="313"/>
      <c r="D404" s="313"/>
      <c r="E404" s="737"/>
      <c r="F404" s="314"/>
      <c r="G404" s="318"/>
      <c r="H404" s="744"/>
      <c r="I404" s="314"/>
      <c r="J404" s="435"/>
      <c r="K404" s="435"/>
      <c r="L404" s="776"/>
      <c r="M404" s="314"/>
      <c r="N404" s="740"/>
      <c r="O404" s="315"/>
      <c r="P404" s="314"/>
      <c r="Q404" s="314"/>
      <c r="R404" s="435"/>
      <c r="S404" s="782"/>
      <c r="T404" s="435"/>
      <c r="U404" s="783"/>
      <c r="V404" s="744"/>
      <c r="W404" s="784"/>
      <c r="X404" s="785"/>
      <c r="Y404" s="435"/>
      <c r="Z404" s="435"/>
      <c r="AA404" s="435"/>
      <c r="AB404" s="324"/>
      <c r="AC404" s="180"/>
      <c r="AD404" s="155"/>
      <c r="AE404" s="322"/>
      <c r="AF404" s="155"/>
      <c r="AG404" s="132"/>
    </row>
    <row r="405">
      <c r="A405" s="435"/>
      <c r="B405" s="313"/>
      <c r="C405" s="437"/>
      <c r="D405" s="437"/>
      <c r="E405" s="753"/>
      <c r="F405" s="314"/>
      <c r="G405" s="318"/>
      <c r="H405" s="744"/>
      <c r="I405" s="314"/>
      <c r="J405" s="314"/>
      <c r="K405" s="435"/>
      <c r="L405" s="776"/>
      <c r="M405" s="314"/>
      <c r="N405" s="318"/>
      <c r="O405" s="315"/>
      <c r="P405" s="314"/>
      <c r="Q405" s="314"/>
      <c r="R405" s="314"/>
      <c r="S405" s="782"/>
      <c r="T405" s="435"/>
      <c r="U405" s="783"/>
      <c r="V405" s="744"/>
      <c r="W405" s="784"/>
      <c r="X405" s="785"/>
      <c r="Y405" s="435"/>
      <c r="Z405" s="435"/>
      <c r="AA405" s="435"/>
      <c r="AB405" s="324"/>
      <c r="AC405" s="180"/>
      <c r="AD405" s="155"/>
      <c r="AE405" s="322"/>
      <c r="AF405" s="155"/>
      <c r="AG405" s="132"/>
    </row>
    <row r="406">
      <c r="A406" s="435"/>
      <c r="B406" s="313"/>
      <c r="C406" s="313"/>
      <c r="D406" s="313"/>
      <c r="E406" s="737"/>
      <c r="F406" s="314"/>
      <c r="G406" s="318"/>
      <c r="H406" s="744"/>
      <c r="I406" s="314"/>
      <c r="J406" s="314"/>
      <c r="K406" s="314"/>
      <c r="L406" s="776"/>
      <c r="M406" s="314"/>
      <c r="N406" s="318"/>
      <c r="O406" s="315"/>
      <c r="P406" s="314"/>
      <c r="Q406" s="314"/>
      <c r="R406" s="435"/>
      <c r="S406" s="777"/>
      <c r="T406" s="314"/>
      <c r="U406" s="778"/>
      <c r="V406" s="315"/>
      <c r="W406" s="779"/>
      <c r="X406" s="780"/>
      <c r="Y406" s="314"/>
      <c r="Z406" s="314"/>
      <c r="AA406" s="314"/>
      <c r="AB406" s="324"/>
      <c r="AC406" s="180"/>
      <c r="AD406" s="155"/>
      <c r="AE406" s="322"/>
      <c r="AF406" s="155"/>
      <c r="AG406" s="132"/>
    </row>
    <row r="407">
      <c r="A407" s="435"/>
      <c r="B407" s="437"/>
      <c r="C407" s="437"/>
      <c r="D407" s="437"/>
      <c r="E407" s="753"/>
      <c r="F407" s="314"/>
      <c r="G407" s="318"/>
      <c r="H407" s="744"/>
      <c r="I407" s="435"/>
      <c r="J407" s="435"/>
      <c r="K407" s="435"/>
      <c r="L407" s="781"/>
      <c r="M407" s="435"/>
      <c r="N407" s="740"/>
      <c r="O407" s="315"/>
      <c r="P407" s="435"/>
      <c r="Q407" s="435"/>
      <c r="R407" s="435"/>
      <c r="S407" s="782"/>
      <c r="T407" s="435"/>
      <c r="U407" s="783"/>
      <c r="V407" s="744"/>
      <c r="W407" s="784"/>
      <c r="X407" s="785"/>
      <c r="Y407" s="435"/>
      <c r="Z407" s="435"/>
      <c r="AA407" s="435"/>
      <c r="AB407" s="324"/>
      <c r="AC407" s="180"/>
      <c r="AD407" s="155"/>
      <c r="AE407" s="322"/>
      <c r="AF407" s="155"/>
      <c r="AG407" s="132"/>
    </row>
    <row r="408">
      <c r="A408" s="435"/>
      <c r="B408" s="313"/>
      <c r="C408" s="313"/>
      <c r="D408" s="313"/>
      <c r="E408" s="737"/>
      <c r="F408" s="314"/>
      <c r="G408" s="318"/>
      <c r="H408" s="315"/>
      <c r="I408" s="314"/>
      <c r="J408" s="314"/>
      <c r="K408" s="314"/>
      <c r="L408" s="776"/>
      <c r="M408" s="435"/>
      <c r="N408" s="318"/>
      <c r="O408" s="315"/>
      <c r="P408" s="314"/>
      <c r="Q408" s="314"/>
      <c r="R408" s="314"/>
      <c r="S408" s="777"/>
      <c r="T408" s="314"/>
      <c r="U408" s="778"/>
      <c r="V408" s="315"/>
      <c r="W408" s="779"/>
      <c r="X408" s="780"/>
      <c r="Y408" s="314"/>
      <c r="Z408" s="314"/>
      <c r="AA408" s="314"/>
      <c r="AB408" s="324"/>
      <c r="AC408" s="180"/>
      <c r="AD408" s="155"/>
      <c r="AE408" s="322"/>
      <c r="AF408" s="155"/>
      <c r="AG408" s="132"/>
    </row>
    <row r="409">
      <c r="A409" s="435"/>
      <c r="B409" s="313"/>
      <c r="C409" s="437"/>
      <c r="D409" s="437"/>
      <c r="E409" s="753"/>
      <c r="F409" s="314"/>
      <c r="G409" s="318"/>
      <c r="H409" s="744"/>
      <c r="I409" s="435"/>
      <c r="J409" s="435"/>
      <c r="K409" s="435"/>
      <c r="L409" s="776"/>
      <c r="M409" s="435"/>
      <c r="N409" s="740"/>
      <c r="O409" s="315"/>
      <c r="P409" s="435"/>
      <c r="Q409" s="435"/>
      <c r="R409" s="435"/>
      <c r="S409" s="782"/>
      <c r="T409" s="435"/>
      <c r="U409" s="783"/>
      <c r="V409" s="744"/>
      <c r="W409" s="784"/>
      <c r="X409" s="785"/>
      <c r="Y409" s="435"/>
      <c r="Z409" s="435"/>
      <c r="AA409" s="435"/>
      <c r="AB409" s="324"/>
      <c r="AC409" s="180"/>
      <c r="AD409" s="155"/>
      <c r="AE409" s="322"/>
      <c r="AF409" s="155"/>
      <c r="AG409" s="132"/>
    </row>
    <row r="410">
      <c r="A410" s="435"/>
      <c r="B410" s="437"/>
      <c r="C410" s="437"/>
      <c r="D410" s="313"/>
      <c r="E410" s="753"/>
      <c r="F410" s="314"/>
      <c r="G410" s="318"/>
      <c r="H410" s="744"/>
      <c r="I410" s="435"/>
      <c r="J410" s="314"/>
      <c r="K410" s="435"/>
      <c r="L410" s="781"/>
      <c r="M410" s="314"/>
      <c r="N410" s="740"/>
      <c r="O410" s="315"/>
      <c r="P410" s="435"/>
      <c r="Q410" s="314"/>
      <c r="R410" s="435"/>
      <c r="S410" s="782"/>
      <c r="T410" s="435"/>
      <c r="U410" s="783"/>
      <c r="V410" s="744"/>
      <c r="W410" s="784"/>
      <c r="X410" s="785"/>
      <c r="Y410" s="435"/>
      <c r="Z410" s="435"/>
      <c r="AA410" s="435"/>
      <c r="AB410" s="324"/>
      <c r="AC410" s="180"/>
      <c r="AD410" s="155"/>
      <c r="AE410" s="322"/>
      <c r="AF410" s="155"/>
      <c r="AG410" s="132"/>
    </row>
    <row r="411">
      <c r="A411" s="458"/>
      <c r="B411" s="437"/>
      <c r="C411" s="437"/>
      <c r="D411" s="437"/>
      <c r="E411" s="753"/>
      <c r="F411" s="314"/>
      <c r="G411" s="318"/>
      <c r="H411" s="315"/>
      <c r="I411" s="435"/>
      <c r="J411" s="435"/>
      <c r="K411" s="435"/>
      <c r="L411" s="781"/>
      <c r="M411" s="435"/>
      <c r="N411" s="740"/>
      <c r="O411" s="315"/>
      <c r="P411" s="435"/>
      <c r="Q411" s="435"/>
      <c r="R411" s="435"/>
      <c r="S411" s="782"/>
      <c r="T411" s="435"/>
      <c r="U411" s="783"/>
      <c r="V411" s="744"/>
      <c r="W411" s="784"/>
      <c r="X411" s="785"/>
      <c r="Y411" s="435"/>
      <c r="Z411" s="435"/>
      <c r="AA411" s="435"/>
      <c r="AB411" s="324"/>
      <c r="AC411" s="180"/>
      <c r="AD411" s="155"/>
      <c r="AE411" s="322"/>
      <c r="AF411" s="155"/>
      <c r="AG411" s="132"/>
    </row>
    <row r="412">
      <c r="A412" s="458"/>
      <c r="B412" s="437"/>
      <c r="C412" s="437"/>
      <c r="D412" s="437"/>
      <c r="E412" s="753"/>
      <c r="F412" s="314"/>
      <c r="G412" s="318"/>
      <c r="H412" s="315"/>
      <c r="I412" s="314"/>
      <c r="J412" s="435"/>
      <c r="K412" s="435"/>
      <c r="L412" s="781"/>
      <c r="M412" s="435"/>
      <c r="N412" s="740"/>
      <c r="O412" s="315"/>
      <c r="P412" s="435"/>
      <c r="Q412" s="435"/>
      <c r="R412" s="435"/>
      <c r="S412" s="782"/>
      <c r="T412" s="435"/>
      <c r="U412" s="783"/>
      <c r="V412" s="744"/>
      <c r="W412" s="784"/>
      <c r="X412" s="785"/>
      <c r="Y412" s="435"/>
      <c r="Z412" s="435"/>
      <c r="AA412" s="435"/>
      <c r="AB412" s="324"/>
      <c r="AC412" s="180"/>
      <c r="AD412" s="155"/>
      <c r="AE412" s="322"/>
      <c r="AF412" s="155"/>
      <c r="AG412" s="132"/>
    </row>
    <row r="413">
      <c r="A413" s="458"/>
      <c r="B413" s="437"/>
      <c r="C413" s="437"/>
      <c r="D413" s="437"/>
      <c r="E413" s="737"/>
      <c r="F413" s="314"/>
      <c r="G413" s="318"/>
      <c r="H413" s="315"/>
      <c r="I413" s="435"/>
      <c r="J413" s="435"/>
      <c r="K413" s="435"/>
      <c r="L413" s="781"/>
      <c r="M413" s="435"/>
      <c r="N413" s="740"/>
      <c r="O413" s="315"/>
      <c r="P413" s="435"/>
      <c r="Q413" s="314"/>
      <c r="R413" s="435"/>
      <c r="S413" s="782"/>
      <c r="T413" s="435"/>
      <c r="U413" s="783"/>
      <c r="V413" s="744"/>
      <c r="W413" s="784"/>
      <c r="X413" s="785"/>
      <c r="Y413" s="435"/>
      <c r="Z413" s="435"/>
      <c r="AA413" s="435"/>
      <c r="AB413" s="324"/>
      <c r="AC413" s="180"/>
      <c r="AD413" s="155"/>
      <c r="AE413" s="322"/>
      <c r="AF413" s="155"/>
      <c r="AG413" s="132"/>
    </row>
    <row r="414">
      <c r="A414" s="458"/>
      <c r="B414" s="313"/>
      <c r="C414" s="313"/>
      <c r="D414" s="313"/>
      <c r="E414" s="737"/>
      <c r="F414" s="314"/>
      <c r="G414" s="318"/>
      <c r="H414" s="315"/>
      <c r="I414" s="314"/>
      <c r="J414" s="314"/>
      <c r="K414" s="314"/>
      <c r="L414" s="776"/>
      <c r="M414" s="314"/>
      <c r="N414" s="318"/>
      <c r="O414" s="315"/>
      <c r="P414" s="314"/>
      <c r="Q414" s="314"/>
      <c r="R414" s="314"/>
      <c r="S414" s="777"/>
      <c r="T414" s="314"/>
      <c r="U414" s="778"/>
      <c r="V414" s="315"/>
      <c r="W414" s="779"/>
      <c r="X414" s="780"/>
      <c r="Y414" s="314"/>
      <c r="Z414" s="314"/>
      <c r="AA414" s="314"/>
      <c r="AB414" s="324"/>
      <c r="AC414" s="180"/>
      <c r="AD414" s="155"/>
      <c r="AE414" s="322"/>
      <c r="AF414" s="155"/>
      <c r="AG414" s="132"/>
    </row>
    <row r="415">
      <c r="A415" s="458"/>
      <c r="B415" s="437"/>
      <c r="C415" s="437"/>
      <c r="D415" s="437"/>
      <c r="E415" s="737"/>
      <c r="F415" s="314"/>
      <c r="G415" s="318"/>
      <c r="H415" s="315"/>
      <c r="I415" s="314"/>
      <c r="J415" s="314"/>
      <c r="K415" s="435"/>
      <c r="L415" s="781"/>
      <c r="M415" s="435"/>
      <c r="N415" s="318"/>
      <c r="O415" s="315"/>
      <c r="P415" s="435"/>
      <c r="Q415" s="435"/>
      <c r="R415" s="435"/>
      <c r="S415" s="782"/>
      <c r="T415" s="435"/>
      <c r="U415" s="783"/>
      <c r="V415" s="744"/>
      <c r="W415" s="784"/>
      <c r="X415" s="785"/>
      <c r="Y415" s="435"/>
      <c r="Z415" s="435"/>
      <c r="AA415" s="435"/>
      <c r="AB415" s="324"/>
      <c r="AC415" s="180"/>
      <c r="AD415" s="155"/>
      <c r="AE415" s="322"/>
      <c r="AF415" s="155"/>
      <c r="AG415" s="132"/>
    </row>
    <row r="416">
      <c r="A416" s="458"/>
      <c r="B416" s="313"/>
      <c r="C416" s="313"/>
      <c r="D416" s="437"/>
      <c r="E416" s="737"/>
      <c r="F416" s="314"/>
      <c r="G416" s="318"/>
      <c r="H416" s="315"/>
      <c r="I416" s="314"/>
      <c r="J416" s="314"/>
      <c r="K416" s="314"/>
      <c r="L416" s="776"/>
      <c r="M416" s="314"/>
      <c r="N416" s="318"/>
      <c r="O416" s="315"/>
      <c r="P416" s="314"/>
      <c r="Q416" s="314"/>
      <c r="R416" s="314"/>
      <c r="S416" s="777"/>
      <c r="T416" s="314"/>
      <c r="U416" s="778"/>
      <c r="V416" s="315"/>
      <c r="W416" s="779"/>
      <c r="X416" s="780"/>
      <c r="Y416" s="314"/>
      <c r="Z416" s="314"/>
      <c r="AA416" s="314"/>
      <c r="AB416" s="324"/>
      <c r="AC416" s="180"/>
      <c r="AD416" s="155"/>
      <c r="AE416" s="322"/>
      <c r="AF416" s="155"/>
      <c r="AG416" s="132"/>
    </row>
    <row r="417">
      <c r="A417" s="458"/>
      <c r="B417" s="313"/>
      <c r="C417" s="437"/>
      <c r="D417" s="313"/>
      <c r="E417" s="737"/>
      <c r="F417" s="314"/>
      <c r="G417" s="318"/>
      <c r="H417" s="315"/>
      <c r="I417" s="435"/>
      <c r="J417" s="314"/>
      <c r="K417" s="314"/>
      <c r="L417" s="781"/>
      <c r="M417" s="314"/>
      <c r="N417" s="318"/>
      <c r="O417" s="315"/>
      <c r="P417" s="314"/>
      <c r="Q417" s="435"/>
      <c r="R417" s="435"/>
      <c r="S417" s="782"/>
      <c r="T417" s="435"/>
      <c r="U417" s="783"/>
      <c r="V417" s="744"/>
      <c r="W417" s="784"/>
      <c r="X417" s="785"/>
      <c r="Y417" s="435"/>
      <c r="Z417" s="435"/>
      <c r="AA417" s="435"/>
      <c r="AB417" s="324"/>
      <c r="AC417" s="180"/>
      <c r="AD417" s="155"/>
      <c r="AE417" s="322"/>
      <c r="AF417" s="155"/>
      <c r="AG417" s="132"/>
    </row>
    <row r="418">
      <c r="A418" s="458"/>
      <c r="B418" s="313"/>
      <c r="C418" s="437"/>
      <c r="D418" s="437"/>
      <c r="E418" s="753"/>
      <c r="F418" s="314"/>
      <c r="G418" s="318"/>
      <c r="H418" s="744"/>
      <c r="I418" s="435"/>
      <c r="J418" s="314"/>
      <c r="K418" s="435"/>
      <c r="L418" s="781"/>
      <c r="M418" s="314"/>
      <c r="N418" s="318"/>
      <c r="O418" s="315"/>
      <c r="P418" s="435"/>
      <c r="Q418" s="435"/>
      <c r="R418" s="435"/>
      <c r="S418" s="782"/>
      <c r="T418" s="435"/>
      <c r="U418" s="783"/>
      <c r="V418" s="744"/>
      <c r="W418" s="784"/>
      <c r="X418" s="785"/>
      <c r="Y418" s="435"/>
      <c r="Z418" s="435"/>
      <c r="AA418" s="435"/>
      <c r="AB418" s="324"/>
      <c r="AC418" s="180"/>
      <c r="AD418" s="155"/>
      <c r="AE418" s="322"/>
      <c r="AF418" s="155"/>
      <c r="AG418" s="132"/>
    </row>
    <row r="419">
      <c r="A419" s="458"/>
      <c r="B419" s="313"/>
      <c r="C419" s="437"/>
      <c r="D419" s="437"/>
      <c r="E419" s="737"/>
      <c r="F419" s="314"/>
      <c r="G419" s="318"/>
      <c r="H419" s="315"/>
      <c r="I419" s="314"/>
      <c r="J419" s="314"/>
      <c r="K419" s="435"/>
      <c r="L419" s="776"/>
      <c r="M419" s="314"/>
      <c r="N419" s="318"/>
      <c r="O419" s="315"/>
      <c r="P419" s="314"/>
      <c r="Q419" s="314"/>
      <c r="R419" s="435"/>
      <c r="S419" s="782"/>
      <c r="T419" s="435"/>
      <c r="U419" s="783"/>
      <c r="V419" s="744"/>
      <c r="W419" s="784"/>
      <c r="X419" s="785"/>
      <c r="Y419" s="435"/>
      <c r="Z419" s="435"/>
      <c r="AA419" s="435"/>
      <c r="AB419" s="324"/>
      <c r="AC419" s="180"/>
      <c r="AD419" s="155"/>
      <c r="AE419" s="322"/>
      <c r="AF419" s="155"/>
      <c r="AG419" s="132"/>
    </row>
    <row r="420">
      <c r="A420" s="458"/>
      <c r="B420" s="437"/>
      <c r="C420" s="437"/>
      <c r="D420" s="437"/>
      <c r="E420" s="753"/>
      <c r="F420" s="314"/>
      <c r="G420" s="318"/>
      <c r="H420" s="744"/>
      <c r="I420" s="435"/>
      <c r="J420" s="435"/>
      <c r="K420" s="435"/>
      <c r="L420" s="781"/>
      <c r="M420" s="435"/>
      <c r="N420" s="740"/>
      <c r="O420" s="315"/>
      <c r="P420" s="435"/>
      <c r="Q420" s="435"/>
      <c r="R420" s="435"/>
      <c r="S420" s="782"/>
      <c r="T420" s="435"/>
      <c r="U420" s="783"/>
      <c r="V420" s="744"/>
      <c r="W420" s="784"/>
      <c r="X420" s="785"/>
      <c r="Y420" s="435"/>
      <c r="Z420" s="435"/>
      <c r="AA420" s="435"/>
      <c r="AB420" s="324"/>
      <c r="AC420" s="180"/>
      <c r="AD420" s="155"/>
      <c r="AE420" s="322"/>
      <c r="AF420" s="155"/>
      <c r="AG420" s="132"/>
    </row>
    <row r="421">
      <c r="A421" s="435"/>
      <c r="B421" s="437"/>
      <c r="C421" s="437"/>
      <c r="D421" s="437"/>
      <c r="E421" s="753"/>
      <c r="F421" s="314"/>
      <c r="G421" s="318"/>
      <c r="H421" s="744"/>
      <c r="I421" s="435"/>
      <c r="J421" s="435"/>
      <c r="K421" s="435"/>
      <c r="L421" s="781"/>
      <c r="M421" s="435"/>
      <c r="N421" s="740"/>
      <c r="O421" s="315"/>
      <c r="P421" s="435"/>
      <c r="Q421" s="435"/>
      <c r="R421" s="435"/>
      <c r="S421" s="782"/>
      <c r="T421" s="435"/>
      <c r="U421" s="783"/>
      <c r="V421" s="744"/>
      <c r="W421" s="784"/>
      <c r="X421" s="785"/>
      <c r="Y421" s="435"/>
      <c r="Z421" s="435"/>
      <c r="AA421" s="435"/>
      <c r="AB421" s="324"/>
      <c r="AC421" s="180"/>
      <c r="AD421" s="155"/>
      <c r="AE421" s="322"/>
      <c r="AF421" s="155"/>
      <c r="AG421" s="132"/>
    </row>
    <row r="422">
      <c r="A422" s="474"/>
      <c r="B422" s="437"/>
      <c r="C422" s="437"/>
      <c r="D422" s="437"/>
      <c r="E422" s="753"/>
      <c r="F422" s="314"/>
      <c r="G422" s="318"/>
      <c r="H422" s="744"/>
      <c r="I422" s="435"/>
      <c r="J422" s="435"/>
      <c r="K422" s="435"/>
      <c r="L422" s="781"/>
      <c r="M422" s="435"/>
      <c r="N422" s="740"/>
      <c r="O422" s="315"/>
      <c r="P422" s="435"/>
      <c r="Q422" s="435"/>
      <c r="R422" s="435"/>
      <c r="S422" s="782"/>
      <c r="T422" s="435"/>
      <c r="U422" s="783"/>
      <c r="V422" s="744"/>
      <c r="W422" s="784"/>
      <c r="X422" s="785"/>
      <c r="Y422" s="435"/>
      <c r="Z422" s="435"/>
      <c r="AA422" s="435"/>
      <c r="AB422" s="324"/>
      <c r="AC422" s="180"/>
      <c r="AD422" s="155"/>
      <c r="AE422" s="322"/>
      <c r="AF422" s="155"/>
      <c r="AG422" s="132"/>
    </row>
    <row r="423">
      <c r="A423" s="474"/>
      <c r="B423" s="437"/>
      <c r="C423" s="313"/>
      <c r="D423" s="437"/>
      <c r="E423" s="753"/>
      <c r="F423" s="314"/>
      <c r="G423" s="318"/>
      <c r="H423" s="744"/>
      <c r="I423" s="435"/>
      <c r="J423" s="435"/>
      <c r="K423" s="314"/>
      <c r="L423" s="776"/>
      <c r="M423" s="314"/>
      <c r="N423" s="740"/>
      <c r="O423" s="315"/>
      <c r="P423" s="314"/>
      <c r="Q423" s="435"/>
      <c r="R423" s="314"/>
      <c r="S423" s="782"/>
      <c r="T423" s="435"/>
      <c r="U423" s="783"/>
      <c r="V423" s="744"/>
      <c r="W423" s="784"/>
      <c r="X423" s="785"/>
      <c r="Y423" s="435"/>
      <c r="Z423" s="435"/>
      <c r="AA423" s="435"/>
      <c r="AB423" s="324"/>
      <c r="AC423" s="180"/>
      <c r="AD423" s="155"/>
      <c r="AE423" s="322"/>
      <c r="AF423" s="155"/>
      <c r="AG423" s="132"/>
    </row>
    <row r="424">
      <c r="A424" s="474"/>
      <c r="B424" s="313"/>
      <c r="C424" s="313"/>
      <c r="D424" s="313"/>
      <c r="E424" s="737"/>
      <c r="F424" s="314"/>
      <c r="G424" s="318"/>
      <c r="H424" s="315"/>
      <c r="I424" s="314"/>
      <c r="J424" s="314"/>
      <c r="K424" s="435"/>
      <c r="L424" s="776"/>
      <c r="M424" s="314"/>
      <c r="N424" s="318"/>
      <c r="O424" s="315"/>
      <c r="P424" s="435"/>
      <c r="Q424" s="314"/>
      <c r="R424" s="314"/>
      <c r="S424" s="777"/>
      <c r="T424" s="314"/>
      <c r="U424" s="778"/>
      <c r="V424" s="315"/>
      <c r="W424" s="779"/>
      <c r="X424" s="780"/>
      <c r="Y424" s="314"/>
      <c r="Z424" s="314"/>
      <c r="AA424" s="314"/>
      <c r="AB424" s="324"/>
      <c r="AC424" s="180"/>
      <c r="AD424" s="155"/>
      <c r="AE424" s="322"/>
      <c r="AF424" s="155"/>
      <c r="AG424" s="132"/>
    </row>
    <row r="425">
      <c r="A425" s="474"/>
      <c r="B425" s="313"/>
      <c r="C425" s="437"/>
      <c r="D425" s="437"/>
      <c r="E425" s="737"/>
      <c r="F425" s="314"/>
      <c r="G425" s="318"/>
      <c r="H425" s="315"/>
      <c r="I425" s="435"/>
      <c r="J425" s="314"/>
      <c r="K425" s="314"/>
      <c r="L425" s="776"/>
      <c r="M425" s="314"/>
      <c r="N425" s="318"/>
      <c r="O425" s="315"/>
      <c r="P425" s="314"/>
      <c r="Q425" s="314"/>
      <c r="R425" s="314"/>
      <c r="S425" s="777"/>
      <c r="T425" s="314"/>
      <c r="U425" s="778"/>
      <c r="V425" s="315"/>
      <c r="W425" s="779"/>
      <c r="X425" s="780"/>
      <c r="Y425" s="314"/>
      <c r="Z425" s="314"/>
      <c r="AA425" s="314"/>
      <c r="AB425" s="324"/>
      <c r="AC425" s="180"/>
      <c r="AD425" s="155"/>
      <c r="AE425" s="322"/>
      <c r="AF425" s="155"/>
      <c r="AG425" s="132"/>
    </row>
    <row r="426">
      <c r="A426" s="474"/>
      <c r="B426" s="313"/>
      <c r="C426" s="313"/>
      <c r="D426" s="313"/>
      <c r="E426" s="737"/>
      <c r="F426" s="314"/>
      <c r="G426" s="318"/>
      <c r="H426" s="315"/>
      <c r="I426" s="314"/>
      <c r="J426" s="314"/>
      <c r="K426" s="435"/>
      <c r="L426" s="776"/>
      <c r="M426" s="314"/>
      <c r="N426" s="318"/>
      <c r="O426" s="315"/>
      <c r="P426" s="314"/>
      <c r="Q426" s="314"/>
      <c r="R426" s="314"/>
      <c r="S426" s="777"/>
      <c r="T426" s="314"/>
      <c r="U426" s="778"/>
      <c r="V426" s="315"/>
      <c r="W426" s="779"/>
      <c r="X426" s="780"/>
      <c r="Y426" s="314"/>
      <c r="Z426" s="314"/>
      <c r="AA426" s="314"/>
      <c r="AB426" s="324"/>
      <c r="AC426" s="180"/>
      <c r="AD426" s="155"/>
      <c r="AE426" s="322"/>
      <c r="AF426" s="155"/>
      <c r="AG426" s="132"/>
    </row>
    <row r="427">
      <c r="A427" s="458"/>
      <c r="B427" s="313"/>
      <c r="C427" s="437"/>
      <c r="D427" s="313"/>
      <c r="E427" s="737"/>
      <c r="F427" s="314"/>
      <c r="G427" s="318"/>
      <c r="H427" s="315"/>
      <c r="I427" s="314"/>
      <c r="J427" s="435"/>
      <c r="K427" s="435"/>
      <c r="L427" s="776"/>
      <c r="M427" s="314"/>
      <c r="N427" s="318"/>
      <c r="O427" s="315"/>
      <c r="P427" s="314"/>
      <c r="Q427" s="314"/>
      <c r="R427" s="314"/>
      <c r="S427" s="777"/>
      <c r="T427" s="314"/>
      <c r="U427" s="778"/>
      <c r="V427" s="315"/>
      <c r="W427" s="779"/>
      <c r="X427" s="780"/>
      <c r="Y427" s="314"/>
      <c r="Z427" s="314"/>
      <c r="AA427" s="314"/>
      <c r="AB427" s="324"/>
      <c r="AC427" s="180"/>
      <c r="AD427" s="155"/>
      <c r="AE427" s="322"/>
      <c r="AF427" s="155"/>
      <c r="AG427" s="132"/>
    </row>
    <row r="428">
      <c r="A428" s="435"/>
      <c r="B428" s="313"/>
      <c r="C428" s="437"/>
      <c r="D428" s="437"/>
      <c r="E428" s="753"/>
      <c r="F428" s="314"/>
      <c r="G428" s="318"/>
      <c r="H428" s="744"/>
      <c r="I428" s="314"/>
      <c r="J428" s="314"/>
      <c r="K428" s="435"/>
      <c r="L428" s="776"/>
      <c r="M428" s="435"/>
      <c r="N428" s="740"/>
      <c r="O428" s="315"/>
      <c r="P428" s="314"/>
      <c r="Q428" s="314"/>
      <c r="R428" s="435"/>
      <c r="S428" s="777"/>
      <c r="T428" s="314"/>
      <c r="U428" s="778"/>
      <c r="V428" s="315"/>
      <c r="W428" s="779"/>
      <c r="X428" s="780"/>
      <c r="Y428" s="314"/>
      <c r="Z428" s="314"/>
      <c r="AA428" s="314"/>
      <c r="AB428" s="324"/>
      <c r="AC428" s="180"/>
      <c r="AD428" s="155"/>
      <c r="AE428" s="322"/>
      <c r="AF428" s="155"/>
      <c r="AG428" s="132"/>
    </row>
    <row r="429">
      <c r="A429" s="435"/>
      <c r="B429" s="437"/>
      <c r="C429" s="313"/>
      <c r="D429" s="313"/>
      <c r="E429" s="737"/>
      <c r="F429" s="314"/>
      <c r="G429" s="318"/>
      <c r="H429" s="315"/>
      <c r="I429" s="314"/>
      <c r="J429" s="314"/>
      <c r="K429" s="314"/>
      <c r="L429" s="776"/>
      <c r="M429" s="314"/>
      <c r="N429" s="318"/>
      <c r="O429" s="315"/>
      <c r="P429" s="435"/>
      <c r="Q429" s="314"/>
      <c r="R429" s="314"/>
      <c r="S429" s="777"/>
      <c r="T429" s="314"/>
      <c r="U429" s="778"/>
      <c r="V429" s="315"/>
      <c r="W429" s="779"/>
      <c r="X429" s="780"/>
      <c r="Y429" s="314"/>
      <c r="Z429" s="314"/>
      <c r="AA429" s="314"/>
      <c r="AB429" s="324"/>
      <c r="AC429" s="180"/>
      <c r="AD429" s="155"/>
      <c r="AE429" s="322"/>
      <c r="AF429" s="155"/>
      <c r="AG429" s="132"/>
    </row>
    <row r="430">
      <c r="A430" s="435"/>
      <c r="B430" s="437"/>
      <c r="C430" s="313"/>
      <c r="D430" s="313"/>
      <c r="E430" s="737"/>
      <c r="F430" s="314"/>
      <c r="G430" s="318"/>
      <c r="H430" s="315"/>
      <c r="I430" s="314"/>
      <c r="J430" s="314"/>
      <c r="K430" s="314"/>
      <c r="L430" s="776"/>
      <c r="M430" s="314"/>
      <c r="N430" s="318"/>
      <c r="O430" s="315"/>
      <c r="P430" s="314"/>
      <c r="Q430" s="435"/>
      <c r="R430" s="314"/>
      <c r="S430" s="782"/>
      <c r="T430" s="435"/>
      <c r="U430" s="783"/>
      <c r="V430" s="744"/>
      <c r="W430" s="784"/>
      <c r="X430" s="785"/>
      <c r="Y430" s="435"/>
      <c r="Z430" s="435"/>
      <c r="AA430" s="435"/>
      <c r="AB430" s="324"/>
      <c r="AC430" s="180"/>
      <c r="AD430" s="155"/>
      <c r="AE430" s="322"/>
      <c r="AF430" s="155"/>
      <c r="AG430" s="132"/>
    </row>
    <row r="431">
      <c r="A431" s="435"/>
      <c r="B431" s="313"/>
      <c r="C431" s="437"/>
      <c r="D431" s="313"/>
      <c r="E431" s="737"/>
      <c r="F431" s="314"/>
      <c r="G431" s="318"/>
      <c r="H431" s="315"/>
      <c r="I431" s="314"/>
      <c r="J431" s="314"/>
      <c r="K431" s="314"/>
      <c r="L431" s="776"/>
      <c r="M431" s="314"/>
      <c r="N431" s="318"/>
      <c r="O431" s="315"/>
      <c r="P431" s="314"/>
      <c r="Q431" s="314"/>
      <c r="R431" s="435"/>
      <c r="S431" s="777"/>
      <c r="T431" s="314"/>
      <c r="U431" s="778"/>
      <c r="V431" s="315"/>
      <c r="W431" s="779"/>
      <c r="X431" s="780"/>
      <c r="Y431" s="314"/>
      <c r="Z431" s="314"/>
      <c r="AA431" s="314"/>
      <c r="AB431" s="324"/>
      <c r="AC431" s="180"/>
      <c r="AD431" s="155"/>
      <c r="AE431" s="322"/>
      <c r="AF431" s="155"/>
      <c r="AG431" s="132"/>
    </row>
    <row r="432">
      <c r="A432" s="435"/>
      <c r="B432" s="313"/>
      <c r="C432" s="313"/>
      <c r="D432" s="313"/>
      <c r="E432" s="737"/>
      <c r="F432" s="314"/>
      <c r="G432" s="318"/>
      <c r="H432" s="315"/>
      <c r="I432" s="314"/>
      <c r="J432" s="314"/>
      <c r="K432" s="435"/>
      <c r="L432" s="776"/>
      <c r="M432" s="435"/>
      <c r="N432" s="318"/>
      <c r="O432" s="315"/>
      <c r="P432" s="314"/>
      <c r="Q432" s="435"/>
      <c r="R432" s="314"/>
      <c r="S432" s="777"/>
      <c r="T432" s="314"/>
      <c r="U432" s="778"/>
      <c r="V432" s="315"/>
      <c r="W432" s="779"/>
      <c r="X432" s="780"/>
      <c r="Y432" s="314"/>
      <c r="Z432" s="314"/>
      <c r="AA432" s="314"/>
      <c r="AB432" s="324"/>
      <c r="AC432" s="180"/>
      <c r="AD432" s="155"/>
      <c r="AE432" s="322"/>
      <c r="AF432" s="155"/>
      <c r="AG432" s="132"/>
    </row>
    <row r="433">
      <c r="A433" s="435"/>
      <c r="B433" s="313"/>
      <c r="C433" s="437"/>
      <c r="D433" s="437"/>
      <c r="E433" s="737"/>
      <c r="F433" s="314"/>
      <c r="G433" s="318"/>
      <c r="H433" s="315"/>
      <c r="I433" s="314"/>
      <c r="J433" s="314"/>
      <c r="K433" s="435"/>
      <c r="L433" s="776"/>
      <c r="M433" s="435"/>
      <c r="N433" s="318"/>
      <c r="O433" s="315"/>
      <c r="P433" s="314"/>
      <c r="Q433" s="435"/>
      <c r="R433" s="314"/>
      <c r="S433" s="777"/>
      <c r="T433" s="314"/>
      <c r="U433" s="778"/>
      <c r="V433" s="315"/>
      <c r="W433" s="779"/>
      <c r="X433" s="780"/>
      <c r="Y433" s="314"/>
      <c r="Z433" s="314"/>
      <c r="AA433" s="314"/>
      <c r="AB433" s="324"/>
      <c r="AC433" s="180"/>
      <c r="AD433" s="155"/>
      <c r="AE433" s="322"/>
      <c r="AF433" s="155"/>
      <c r="AG433" s="132"/>
    </row>
    <row r="434">
      <c r="A434" s="476"/>
      <c r="AD434" s="176"/>
      <c r="AE434" s="322"/>
      <c r="AF434" s="155"/>
      <c r="AG434" s="132"/>
    </row>
    <row r="435">
      <c r="A435" s="178"/>
      <c r="AE435" s="322"/>
      <c r="AF435" s="155"/>
      <c r="AG435" s="132"/>
    </row>
    <row r="436">
      <c r="A436" s="474"/>
      <c r="B436" s="437"/>
      <c r="C436" s="437"/>
      <c r="D436" s="437"/>
      <c r="E436" s="753"/>
      <c r="F436" s="314"/>
      <c r="G436" s="318"/>
      <c r="H436" s="315"/>
      <c r="I436" s="435"/>
      <c r="J436" s="435"/>
      <c r="K436" s="435"/>
      <c r="L436" s="781"/>
      <c r="M436" s="435"/>
      <c r="N436" s="740"/>
      <c r="O436" s="315"/>
      <c r="P436" s="435"/>
      <c r="Q436" s="435"/>
      <c r="R436" s="435"/>
      <c r="S436" s="782"/>
      <c r="T436" s="435"/>
      <c r="U436" s="783"/>
      <c r="V436" s="744"/>
      <c r="W436" s="784"/>
      <c r="X436" s="785"/>
      <c r="Y436" s="435"/>
      <c r="Z436" s="435"/>
      <c r="AA436" s="435"/>
      <c r="AB436" s="324"/>
      <c r="AC436" s="180"/>
      <c r="AD436" s="155"/>
      <c r="AE436" s="322"/>
      <c r="AF436" s="155"/>
      <c r="AG436" s="132"/>
    </row>
    <row r="437">
      <c r="A437" s="474"/>
      <c r="B437" s="313"/>
      <c r="C437" s="437"/>
      <c r="D437" s="437"/>
      <c r="E437" s="753"/>
      <c r="F437" s="314"/>
      <c r="G437" s="318"/>
      <c r="H437" s="744"/>
      <c r="I437" s="314"/>
      <c r="J437" s="435"/>
      <c r="K437" s="435"/>
      <c r="L437" s="781"/>
      <c r="M437" s="314"/>
      <c r="N437" s="318"/>
      <c r="O437" s="315"/>
      <c r="P437" s="435"/>
      <c r="Q437" s="435"/>
      <c r="R437" s="435"/>
      <c r="S437" s="782"/>
      <c r="T437" s="435"/>
      <c r="U437" s="783"/>
      <c r="V437" s="744"/>
      <c r="W437" s="784"/>
      <c r="X437" s="785"/>
      <c r="Y437" s="435"/>
      <c r="Z437" s="435"/>
      <c r="AA437" s="435"/>
      <c r="AB437" s="324"/>
      <c r="AC437" s="180"/>
      <c r="AD437" s="155"/>
      <c r="AE437" s="322"/>
      <c r="AF437" s="155"/>
      <c r="AG437" s="132"/>
    </row>
    <row r="438">
      <c r="A438" s="477"/>
      <c r="B438" s="437"/>
      <c r="C438" s="437"/>
      <c r="D438" s="437"/>
      <c r="E438" s="737"/>
      <c r="F438" s="314"/>
      <c r="G438" s="318"/>
      <c r="H438" s="744"/>
      <c r="I438" s="435"/>
      <c r="J438" s="435"/>
      <c r="K438" s="435"/>
      <c r="L438" s="781"/>
      <c r="M438" s="435"/>
      <c r="N438" s="740"/>
      <c r="O438" s="315"/>
      <c r="P438" s="435"/>
      <c r="Q438" s="435"/>
      <c r="R438" s="435"/>
      <c r="S438" s="782"/>
      <c r="T438" s="435"/>
      <c r="U438" s="783"/>
      <c r="V438" s="744"/>
      <c r="W438" s="784"/>
      <c r="X438" s="785"/>
      <c r="Y438" s="435"/>
      <c r="Z438" s="435"/>
      <c r="AA438" s="435"/>
      <c r="AB438" s="324"/>
      <c r="AC438" s="180"/>
      <c r="AD438" s="155"/>
      <c r="AE438" s="322"/>
      <c r="AF438" s="155"/>
      <c r="AG438" s="132"/>
    </row>
    <row r="439">
      <c r="A439" s="477"/>
      <c r="B439" s="437"/>
      <c r="C439" s="437"/>
      <c r="D439" s="437"/>
      <c r="E439" s="737"/>
      <c r="F439" s="314"/>
      <c r="G439" s="318"/>
      <c r="H439" s="744"/>
      <c r="I439" s="314"/>
      <c r="J439" s="314"/>
      <c r="K439" s="435"/>
      <c r="L439" s="781"/>
      <c r="M439" s="435"/>
      <c r="N439" s="318"/>
      <c r="O439" s="315"/>
      <c r="P439" s="435"/>
      <c r="Q439" s="435"/>
      <c r="R439" s="435"/>
      <c r="S439" s="782"/>
      <c r="T439" s="435"/>
      <c r="U439" s="783"/>
      <c r="V439" s="744"/>
      <c r="W439" s="784"/>
      <c r="X439" s="785"/>
      <c r="Y439" s="435"/>
      <c r="Z439" s="435"/>
      <c r="AA439" s="435"/>
      <c r="AB439" s="324"/>
      <c r="AC439" s="180"/>
      <c r="AD439" s="155"/>
      <c r="AE439" s="322"/>
      <c r="AF439" s="155"/>
      <c r="AG439" s="132"/>
    </row>
    <row r="440">
      <c r="A440" s="477"/>
      <c r="B440" s="437"/>
      <c r="C440" s="437"/>
      <c r="D440" s="437"/>
      <c r="E440" s="753"/>
      <c r="F440" s="314"/>
      <c r="G440" s="318"/>
      <c r="H440" s="744"/>
      <c r="I440" s="435"/>
      <c r="J440" s="435"/>
      <c r="K440" s="435"/>
      <c r="L440" s="781"/>
      <c r="M440" s="435"/>
      <c r="N440" s="740"/>
      <c r="O440" s="315"/>
      <c r="P440" s="435"/>
      <c r="Q440" s="435"/>
      <c r="R440" s="435"/>
      <c r="S440" s="782"/>
      <c r="T440" s="435"/>
      <c r="U440" s="783"/>
      <c r="V440" s="744"/>
      <c r="W440" s="784"/>
      <c r="X440" s="785"/>
      <c r="Y440" s="435"/>
      <c r="Z440" s="435"/>
      <c r="AA440" s="435"/>
      <c r="AB440" s="324"/>
      <c r="AC440" s="180"/>
      <c r="AD440" s="155"/>
      <c r="AE440" s="322"/>
      <c r="AF440" s="155"/>
      <c r="AG440" s="132"/>
    </row>
    <row r="441">
      <c r="A441" s="474"/>
      <c r="B441" s="313"/>
      <c r="C441" s="437"/>
      <c r="D441" s="313"/>
      <c r="E441" s="753"/>
      <c r="F441" s="314"/>
      <c r="G441" s="318"/>
      <c r="H441" s="744"/>
      <c r="I441" s="314"/>
      <c r="J441" s="435"/>
      <c r="K441" s="435"/>
      <c r="L441" s="776"/>
      <c r="M441" s="435"/>
      <c r="N441" s="318"/>
      <c r="O441" s="315"/>
      <c r="P441" s="435"/>
      <c r="Q441" s="435"/>
      <c r="R441" s="435"/>
      <c r="S441" s="782"/>
      <c r="T441" s="435"/>
      <c r="U441" s="783"/>
      <c r="V441" s="744"/>
      <c r="W441" s="784"/>
      <c r="X441" s="785"/>
      <c r="Y441" s="435"/>
      <c r="Z441" s="435"/>
      <c r="AA441" s="435"/>
      <c r="AB441" s="324"/>
      <c r="AC441" s="180"/>
      <c r="AD441" s="155"/>
      <c r="AE441" s="322"/>
      <c r="AF441" s="155"/>
      <c r="AG441" s="132"/>
    </row>
    <row r="442">
      <c r="A442" s="478"/>
      <c r="B442" s="437"/>
      <c r="C442" s="437"/>
      <c r="D442" s="437"/>
      <c r="E442" s="753"/>
      <c r="F442" s="314"/>
      <c r="G442" s="318"/>
      <c r="H442" s="744"/>
      <c r="I442" s="435"/>
      <c r="J442" s="435"/>
      <c r="K442" s="435"/>
      <c r="L442" s="781"/>
      <c r="M442" s="435"/>
      <c r="N442" s="740"/>
      <c r="O442" s="315"/>
      <c r="P442" s="435"/>
      <c r="Q442" s="435"/>
      <c r="R442" s="435"/>
      <c r="S442" s="782"/>
      <c r="T442" s="435"/>
      <c r="U442" s="783"/>
      <c r="V442" s="744"/>
      <c r="W442" s="784"/>
      <c r="X442" s="785"/>
      <c r="Y442" s="435"/>
      <c r="Z442" s="435"/>
      <c r="AA442" s="435"/>
      <c r="AB442" s="324"/>
      <c r="AC442" s="180"/>
      <c r="AD442" s="155"/>
      <c r="AE442" s="322"/>
      <c r="AF442" s="155"/>
      <c r="AG442" s="132"/>
    </row>
    <row r="443">
      <c r="A443" s="478"/>
      <c r="B443" s="437"/>
      <c r="C443" s="437"/>
      <c r="D443" s="437"/>
      <c r="E443" s="753"/>
      <c r="F443" s="314"/>
      <c r="G443" s="318"/>
      <c r="H443" s="744"/>
      <c r="I443" s="435"/>
      <c r="J443" s="435"/>
      <c r="K443" s="435"/>
      <c r="L443" s="781"/>
      <c r="M443" s="435"/>
      <c r="N443" s="740"/>
      <c r="O443" s="315"/>
      <c r="P443" s="435"/>
      <c r="Q443" s="435"/>
      <c r="R443" s="435"/>
      <c r="S443" s="782"/>
      <c r="T443" s="435"/>
      <c r="U443" s="783"/>
      <c r="V443" s="744"/>
      <c r="W443" s="784"/>
      <c r="X443" s="785"/>
      <c r="Y443" s="435"/>
      <c r="Z443" s="435"/>
      <c r="AA443" s="435"/>
      <c r="AB443" s="324"/>
      <c r="AC443" s="180"/>
      <c r="AD443" s="155"/>
      <c r="AE443" s="322"/>
      <c r="AF443" s="155"/>
      <c r="AG443" s="132"/>
    </row>
    <row r="444">
      <c r="A444" s="478"/>
      <c r="B444" s="437"/>
      <c r="C444" s="437"/>
      <c r="D444" s="313"/>
      <c r="E444" s="737"/>
      <c r="F444" s="314"/>
      <c r="G444" s="318"/>
      <c r="H444" s="744"/>
      <c r="I444" s="435"/>
      <c r="J444" s="314"/>
      <c r="K444" s="435"/>
      <c r="L444" s="776"/>
      <c r="M444" s="435"/>
      <c r="N444" s="318"/>
      <c r="O444" s="315"/>
      <c r="P444" s="314"/>
      <c r="Q444" s="314"/>
      <c r="R444" s="314"/>
      <c r="S444" s="782"/>
      <c r="T444" s="435"/>
      <c r="U444" s="783"/>
      <c r="V444" s="744"/>
      <c r="W444" s="784"/>
      <c r="X444" s="785"/>
      <c r="Y444" s="435"/>
      <c r="Z444" s="435"/>
      <c r="AA444" s="435"/>
      <c r="AB444" s="324"/>
      <c r="AC444" s="180"/>
      <c r="AD444" s="155"/>
      <c r="AE444" s="322"/>
      <c r="AF444" s="155"/>
      <c r="AG444" s="132"/>
    </row>
    <row r="445">
      <c r="A445" s="477"/>
      <c r="B445" s="313"/>
      <c r="C445" s="437"/>
      <c r="D445" s="437"/>
      <c r="E445" s="753"/>
      <c r="F445" s="314"/>
      <c r="G445" s="318"/>
      <c r="H445" s="744"/>
      <c r="I445" s="435"/>
      <c r="J445" s="435"/>
      <c r="K445" s="435"/>
      <c r="L445" s="781"/>
      <c r="M445" s="435"/>
      <c r="N445" s="740"/>
      <c r="O445" s="315"/>
      <c r="P445" s="435"/>
      <c r="Q445" s="435"/>
      <c r="R445" s="435"/>
      <c r="S445" s="782"/>
      <c r="T445" s="435"/>
      <c r="U445" s="783"/>
      <c r="V445" s="744"/>
      <c r="W445" s="784"/>
      <c r="X445" s="785"/>
      <c r="Y445" s="435"/>
      <c r="Z445" s="435"/>
      <c r="AA445" s="435"/>
      <c r="AB445" s="324"/>
      <c r="AC445" s="180"/>
      <c r="AD445" s="155"/>
      <c r="AE445" s="322"/>
      <c r="AF445" s="155"/>
      <c r="AG445" s="132"/>
    </row>
    <row r="446">
      <c r="A446" s="477"/>
      <c r="B446" s="313"/>
      <c r="C446" s="313"/>
      <c r="D446" s="313"/>
      <c r="E446" s="737"/>
      <c r="F446" s="314"/>
      <c r="G446" s="318"/>
      <c r="H446" s="744"/>
      <c r="I446" s="314"/>
      <c r="J446" s="314"/>
      <c r="K446" s="314"/>
      <c r="L446" s="776"/>
      <c r="M446" s="314"/>
      <c r="N446" s="740"/>
      <c r="O446" s="315"/>
      <c r="P446" s="314"/>
      <c r="Q446" s="435"/>
      <c r="R446" s="314"/>
      <c r="S446" s="777"/>
      <c r="T446" s="314"/>
      <c r="U446" s="778"/>
      <c r="V446" s="315"/>
      <c r="W446" s="779"/>
      <c r="X446" s="780"/>
      <c r="Y446" s="314"/>
      <c r="Z446" s="314"/>
      <c r="AA446" s="314"/>
      <c r="AB446" s="324"/>
      <c r="AC446" s="180"/>
      <c r="AD446" s="155"/>
      <c r="AE446" s="322"/>
      <c r="AF446" s="155"/>
      <c r="AG446" s="132"/>
    </row>
    <row r="447">
      <c r="A447" s="477"/>
      <c r="B447" s="313"/>
      <c r="C447" s="313"/>
      <c r="D447" s="313"/>
      <c r="E447" s="737"/>
      <c r="F447" s="314"/>
      <c r="G447" s="318"/>
      <c r="H447" s="315"/>
      <c r="I447" s="314"/>
      <c r="J447" s="314"/>
      <c r="K447" s="314"/>
      <c r="L447" s="776"/>
      <c r="M447" s="314"/>
      <c r="N447" s="318"/>
      <c r="O447" s="315"/>
      <c r="P447" s="314"/>
      <c r="Q447" s="314"/>
      <c r="R447" s="314"/>
      <c r="S447" s="777"/>
      <c r="T447" s="314"/>
      <c r="U447" s="778"/>
      <c r="V447" s="315"/>
      <c r="W447" s="779"/>
      <c r="X447" s="780"/>
      <c r="Y447" s="314"/>
      <c r="Z447" s="314"/>
      <c r="AA447" s="314"/>
      <c r="AB447" s="324"/>
      <c r="AC447" s="180"/>
      <c r="AD447" s="155"/>
      <c r="AE447" s="322"/>
      <c r="AF447" s="155"/>
      <c r="AG447" s="132"/>
    </row>
    <row r="448">
      <c r="A448" s="476"/>
      <c r="AD448" s="176"/>
      <c r="AE448" s="322"/>
      <c r="AF448" s="155"/>
      <c r="AG448" s="132"/>
    </row>
    <row r="449">
      <c r="A449" s="178"/>
      <c r="AE449" s="322"/>
      <c r="AF449" s="155"/>
      <c r="AG449" s="132"/>
    </row>
    <row r="450">
      <c r="A450" s="477"/>
      <c r="B450" s="437"/>
      <c r="C450" s="437"/>
      <c r="D450" s="437"/>
      <c r="E450" s="737"/>
      <c r="F450" s="314"/>
      <c r="G450" s="318"/>
      <c r="H450" s="315"/>
      <c r="I450" s="314"/>
      <c r="J450" s="314"/>
      <c r="K450" s="435"/>
      <c r="L450" s="781"/>
      <c r="M450" s="314"/>
      <c r="N450" s="318"/>
      <c r="O450" s="315"/>
      <c r="P450" s="314"/>
      <c r="Q450" s="435"/>
      <c r="R450" s="435"/>
      <c r="S450" s="782"/>
      <c r="T450" s="435"/>
      <c r="U450" s="783"/>
      <c r="V450" s="744"/>
      <c r="W450" s="784"/>
      <c r="X450" s="785"/>
      <c r="Y450" s="435"/>
      <c r="Z450" s="435"/>
      <c r="AA450" s="435"/>
      <c r="AB450" s="324"/>
      <c r="AC450" s="180"/>
      <c r="AD450" s="155"/>
      <c r="AE450" s="322"/>
      <c r="AF450" s="155"/>
      <c r="AG450" s="132"/>
    </row>
    <row r="451">
      <c r="A451" s="477"/>
      <c r="B451" s="313"/>
      <c r="C451" s="437"/>
      <c r="D451" s="437"/>
      <c r="E451" s="737"/>
      <c r="F451" s="314"/>
      <c r="G451" s="318"/>
      <c r="H451" s="315"/>
      <c r="I451" s="435"/>
      <c r="J451" s="435"/>
      <c r="K451" s="435"/>
      <c r="L451" s="776"/>
      <c r="M451" s="435"/>
      <c r="N451" s="318"/>
      <c r="O451" s="315"/>
      <c r="P451" s="314"/>
      <c r="Q451" s="435"/>
      <c r="R451" s="435"/>
      <c r="S451" s="782"/>
      <c r="T451" s="435"/>
      <c r="U451" s="783"/>
      <c r="V451" s="744"/>
      <c r="W451" s="784"/>
      <c r="X451" s="785"/>
      <c r="Y451" s="435"/>
      <c r="Z451" s="435"/>
      <c r="AA451" s="435"/>
      <c r="AB451" s="324"/>
      <c r="AC451" s="180"/>
      <c r="AD451" s="155"/>
      <c r="AE451" s="322"/>
      <c r="AF451" s="155"/>
      <c r="AG451" s="132"/>
    </row>
    <row r="452">
      <c r="A452" s="477"/>
      <c r="B452" s="313"/>
      <c r="C452" s="437"/>
      <c r="D452" s="437"/>
      <c r="E452" s="753"/>
      <c r="F452" s="314"/>
      <c r="G452" s="318"/>
      <c r="H452" s="744"/>
      <c r="I452" s="314"/>
      <c r="J452" s="314"/>
      <c r="K452" s="435"/>
      <c r="L452" s="776"/>
      <c r="M452" s="435"/>
      <c r="N452" s="740"/>
      <c r="O452" s="315"/>
      <c r="P452" s="435"/>
      <c r="Q452" s="435"/>
      <c r="R452" s="435"/>
      <c r="S452" s="782"/>
      <c r="T452" s="435"/>
      <c r="U452" s="783"/>
      <c r="V452" s="744"/>
      <c r="W452" s="784"/>
      <c r="X452" s="785"/>
      <c r="Y452" s="435"/>
      <c r="Z452" s="435"/>
      <c r="AA452" s="435"/>
      <c r="AB452" s="324"/>
      <c r="AC452" s="180"/>
      <c r="AD452" s="155"/>
      <c r="AE452" s="322"/>
      <c r="AF452" s="155"/>
      <c r="AG452" s="132"/>
    </row>
    <row r="453">
      <c r="A453" s="479"/>
      <c r="B453" s="313"/>
      <c r="C453" s="313"/>
      <c r="D453" s="313"/>
      <c r="E453" s="737"/>
      <c r="F453" s="314"/>
      <c r="G453" s="318"/>
      <c r="H453" s="315"/>
      <c r="I453" s="314"/>
      <c r="J453" s="314"/>
      <c r="K453" s="314"/>
      <c r="L453" s="776"/>
      <c r="M453" s="314"/>
      <c r="N453" s="318"/>
      <c r="O453" s="315"/>
      <c r="P453" s="314"/>
      <c r="Q453" s="435"/>
      <c r="R453" s="314"/>
      <c r="S453" s="777"/>
      <c r="T453" s="314"/>
      <c r="U453" s="778"/>
      <c r="V453" s="315"/>
      <c r="W453" s="779"/>
      <c r="X453" s="780"/>
      <c r="Y453" s="314"/>
      <c r="Z453" s="314"/>
      <c r="AA453" s="314"/>
      <c r="AB453" s="324"/>
      <c r="AC453" s="180"/>
      <c r="AD453" s="155"/>
      <c r="AE453" s="322"/>
      <c r="AF453" s="155"/>
      <c r="AG453" s="132"/>
    </row>
    <row r="454">
      <c r="A454" s="476"/>
      <c r="AD454" s="176"/>
      <c r="AE454" s="322"/>
      <c r="AF454" s="155"/>
      <c r="AG454" s="132"/>
    </row>
    <row r="455">
      <c r="A455" s="178"/>
      <c r="AE455" s="322"/>
      <c r="AF455" s="155"/>
      <c r="AG455" s="132"/>
    </row>
    <row r="456">
      <c r="A456" s="480"/>
      <c r="B456" s="313"/>
      <c r="C456" s="437"/>
      <c r="D456" s="313"/>
      <c r="E456" s="737"/>
      <c r="F456" s="314"/>
      <c r="G456" s="318"/>
      <c r="H456" s="315"/>
      <c r="I456" s="314"/>
      <c r="J456" s="435"/>
      <c r="K456" s="435"/>
      <c r="L456" s="776"/>
      <c r="M456" s="314"/>
      <c r="N456" s="318"/>
      <c r="O456" s="315"/>
      <c r="P456" s="314"/>
      <c r="Q456" s="435"/>
      <c r="R456" s="314"/>
      <c r="S456" s="777"/>
      <c r="T456" s="314"/>
      <c r="U456" s="778"/>
      <c r="V456" s="315"/>
      <c r="W456" s="779"/>
      <c r="X456" s="780"/>
      <c r="Y456" s="314"/>
      <c r="Z456" s="314"/>
      <c r="AA456" s="314"/>
      <c r="AB456" s="324"/>
      <c r="AC456" s="180"/>
      <c r="AD456" s="180"/>
      <c r="AE456" s="322"/>
      <c r="AF456" s="155"/>
      <c r="AG456" s="132"/>
    </row>
    <row r="457">
      <c r="A457" s="480"/>
      <c r="B457" s="313"/>
      <c r="C457" s="437"/>
      <c r="D457" s="313"/>
      <c r="E457" s="737"/>
      <c r="F457" s="314"/>
      <c r="G457" s="318"/>
      <c r="H457" s="744"/>
      <c r="I457" s="314"/>
      <c r="J457" s="435"/>
      <c r="K457" s="435"/>
      <c r="L457" s="776"/>
      <c r="M457" s="435"/>
      <c r="N457" s="740"/>
      <c r="O457" s="315"/>
      <c r="P457" s="435"/>
      <c r="Q457" s="435"/>
      <c r="R457" s="314"/>
      <c r="S457" s="782"/>
      <c r="T457" s="435"/>
      <c r="U457" s="783"/>
      <c r="V457" s="744"/>
      <c r="W457" s="784"/>
      <c r="X457" s="785"/>
      <c r="Y457" s="435"/>
      <c r="Z457" s="435"/>
      <c r="AA457" s="435"/>
      <c r="AB457" s="324"/>
      <c r="AC457" s="180"/>
      <c r="AD457" s="180"/>
      <c r="AE457" s="322"/>
      <c r="AF457" s="132"/>
      <c r="AG457" s="132"/>
    </row>
    <row r="458">
      <c r="A458" s="476"/>
      <c r="AD458" s="176"/>
      <c r="AE458" s="322"/>
      <c r="AF458" s="132"/>
      <c r="AG458" s="132"/>
    </row>
    <row r="459">
      <c r="A459" s="178"/>
      <c r="AE459" s="322"/>
      <c r="AF459" s="132"/>
      <c r="AG459" s="132"/>
    </row>
    <row r="460">
      <c r="A460" s="481"/>
      <c r="B460" s="313"/>
      <c r="C460" s="437"/>
      <c r="D460" s="437"/>
      <c r="E460" s="753"/>
      <c r="F460" s="314"/>
      <c r="G460" s="740"/>
      <c r="H460" s="744"/>
      <c r="I460" s="435"/>
      <c r="J460" s="314"/>
      <c r="K460" s="435"/>
      <c r="L460" s="781"/>
      <c r="M460" s="435"/>
      <c r="N460" s="318"/>
      <c r="O460" s="315"/>
      <c r="P460" s="435"/>
      <c r="Q460" s="435"/>
      <c r="R460" s="435"/>
      <c r="S460" s="782"/>
      <c r="T460" s="435"/>
      <c r="U460" s="783"/>
      <c r="V460" s="744"/>
      <c r="W460" s="784"/>
      <c r="X460" s="785"/>
      <c r="Y460" s="435"/>
      <c r="Z460" s="435"/>
      <c r="AA460" s="435"/>
      <c r="AB460" s="324"/>
      <c r="AC460" s="180"/>
      <c r="AD460" s="155"/>
      <c r="AE460" s="322"/>
      <c r="AF460" s="132"/>
      <c r="AG460" s="132"/>
    </row>
    <row r="461">
      <c r="A461" s="435"/>
      <c r="B461" s="313"/>
      <c r="C461" s="437"/>
      <c r="D461" s="437"/>
      <c r="E461" s="737"/>
      <c r="F461" s="314"/>
      <c r="G461" s="318"/>
      <c r="H461" s="744"/>
      <c r="I461" s="314"/>
      <c r="J461" s="435"/>
      <c r="K461" s="435"/>
      <c r="L461" s="776"/>
      <c r="M461" s="314"/>
      <c r="N461" s="318"/>
      <c r="O461" s="315"/>
      <c r="P461" s="435"/>
      <c r="Q461" s="435"/>
      <c r="R461" s="435"/>
      <c r="S461" s="782"/>
      <c r="T461" s="435"/>
      <c r="U461" s="783"/>
      <c r="V461" s="744"/>
      <c r="W461" s="784"/>
      <c r="X461" s="785"/>
      <c r="Y461" s="435"/>
      <c r="Z461" s="435"/>
      <c r="AA461" s="435"/>
      <c r="AB461" s="324"/>
      <c r="AC461" s="180"/>
      <c r="AD461" s="155"/>
      <c r="AE461" s="322"/>
      <c r="AF461" s="132"/>
      <c r="AG461" s="132"/>
    </row>
    <row r="462">
      <c r="A462" s="482"/>
      <c r="B462" s="313"/>
      <c r="C462" s="313"/>
      <c r="D462" s="437"/>
      <c r="E462" s="737"/>
      <c r="F462" s="314"/>
      <c r="G462" s="318"/>
      <c r="H462" s="315"/>
      <c r="I462" s="314"/>
      <c r="J462" s="314"/>
      <c r="K462" s="435"/>
      <c r="L462" s="776"/>
      <c r="M462" s="314"/>
      <c r="N462" s="318"/>
      <c r="O462" s="315"/>
      <c r="P462" s="314"/>
      <c r="Q462" s="314"/>
      <c r="R462" s="435"/>
      <c r="S462" s="777"/>
      <c r="T462" s="314"/>
      <c r="U462" s="778"/>
      <c r="V462" s="315"/>
      <c r="W462" s="779"/>
      <c r="X462" s="780"/>
      <c r="Y462" s="314"/>
      <c r="Z462" s="314"/>
      <c r="AA462" s="314"/>
      <c r="AB462" s="324"/>
      <c r="AC462" s="180"/>
      <c r="AD462" s="155"/>
      <c r="AE462" s="322"/>
      <c r="AF462" s="132"/>
      <c r="AG462" s="132"/>
    </row>
    <row r="463">
      <c r="A463" s="482"/>
      <c r="B463" s="313"/>
      <c r="C463" s="437"/>
      <c r="D463" s="437"/>
      <c r="E463" s="753"/>
      <c r="F463" s="314"/>
      <c r="G463" s="318"/>
      <c r="H463" s="744"/>
      <c r="I463" s="435"/>
      <c r="J463" s="435"/>
      <c r="K463" s="435"/>
      <c r="L463" s="781"/>
      <c r="M463" s="435"/>
      <c r="N463" s="740"/>
      <c r="O463" s="315"/>
      <c r="P463" s="435"/>
      <c r="Q463" s="435"/>
      <c r="R463" s="435"/>
      <c r="S463" s="782"/>
      <c r="T463" s="435"/>
      <c r="U463" s="783"/>
      <c r="V463" s="744"/>
      <c r="W463" s="784"/>
      <c r="X463" s="785"/>
      <c r="Y463" s="435"/>
      <c r="Z463" s="435"/>
      <c r="AA463" s="435"/>
      <c r="AB463" s="324"/>
      <c r="AC463" s="180"/>
      <c r="AD463" s="155"/>
      <c r="AE463" s="322"/>
      <c r="AF463" s="132"/>
      <c r="AG463" s="132"/>
    </row>
    <row r="464">
      <c r="A464" s="314"/>
      <c r="B464" s="313"/>
      <c r="C464" s="313"/>
      <c r="D464" s="313"/>
      <c r="E464" s="737"/>
      <c r="F464" s="314"/>
      <c r="G464" s="318"/>
      <c r="H464" s="315"/>
      <c r="I464" s="314"/>
      <c r="J464" s="314"/>
      <c r="K464" s="314"/>
      <c r="L464" s="776"/>
      <c r="M464" s="314"/>
      <c r="N464" s="318"/>
      <c r="O464" s="315"/>
      <c r="P464" s="314"/>
      <c r="Q464" s="314"/>
      <c r="R464" s="314"/>
      <c r="S464" s="777"/>
      <c r="T464" s="314"/>
      <c r="U464" s="778"/>
      <c r="V464" s="315"/>
      <c r="W464" s="779"/>
      <c r="X464" s="780"/>
      <c r="Y464" s="314"/>
      <c r="Z464" s="314"/>
      <c r="AA464" s="314"/>
      <c r="AB464" s="483"/>
      <c r="AD464" s="484"/>
      <c r="AE464" s="322"/>
      <c r="AF464" s="132"/>
      <c r="AG464" s="132"/>
    </row>
    <row r="465">
      <c r="A465" s="314"/>
      <c r="B465" s="313"/>
      <c r="C465" s="313"/>
      <c r="D465" s="313"/>
      <c r="E465" s="737"/>
      <c r="F465" s="314"/>
      <c r="G465" s="318"/>
      <c r="H465" s="315"/>
      <c r="I465" s="314"/>
      <c r="J465" s="314"/>
      <c r="K465" s="314"/>
      <c r="L465" s="776"/>
      <c r="M465" s="314"/>
      <c r="N465" s="318"/>
      <c r="O465" s="315"/>
      <c r="P465" s="314"/>
      <c r="Q465" s="314"/>
      <c r="R465" s="314"/>
      <c r="S465" s="777"/>
      <c r="T465" s="314"/>
      <c r="U465" s="778"/>
      <c r="V465" s="315"/>
      <c r="W465" s="779"/>
      <c r="X465" s="780"/>
      <c r="Y465" s="314"/>
      <c r="Z465" s="314"/>
      <c r="AA465" s="314"/>
      <c r="AB465" s="324"/>
      <c r="AC465" s="155"/>
      <c r="AD465" s="155"/>
      <c r="AE465" s="322"/>
      <c r="AF465" s="132"/>
      <c r="AG465" s="132"/>
    </row>
    <row r="466">
      <c r="A466" s="314"/>
      <c r="B466" s="313"/>
      <c r="C466" s="313"/>
      <c r="D466" s="313"/>
      <c r="E466" s="737"/>
      <c r="F466" s="314"/>
      <c r="G466" s="318"/>
      <c r="H466" s="315"/>
      <c r="I466" s="314"/>
      <c r="J466" s="314"/>
      <c r="K466" s="314"/>
      <c r="L466" s="776"/>
      <c r="M466" s="314"/>
      <c r="N466" s="318"/>
      <c r="O466" s="315"/>
      <c r="P466" s="314"/>
      <c r="Q466" s="314"/>
      <c r="R466" s="314"/>
      <c r="S466" s="777"/>
      <c r="T466" s="314"/>
      <c r="U466" s="778"/>
      <c r="V466" s="315"/>
      <c r="W466" s="779"/>
      <c r="X466" s="780"/>
      <c r="Y466" s="314"/>
      <c r="Z466" s="314"/>
      <c r="AA466" s="314"/>
      <c r="AB466" s="324"/>
      <c r="AC466" s="155"/>
      <c r="AD466" s="155"/>
      <c r="AE466" s="322"/>
      <c r="AF466" s="132"/>
      <c r="AG466" s="132"/>
    </row>
    <row r="467">
      <c r="A467" s="314"/>
      <c r="B467" s="313"/>
      <c r="C467" s="313"/>
      <c r="D467" s="313"/>
      <c r="E467" s="737"/>
      <c r="F467" s="314"/>
      <c r="G467" s="318"/>
      <c r="H467" s="315"/>
      <c r="I467" s="314"/>
      <c r="J467" s="314"/>
      <c r="K467" s="314"/>
      <c r="L467" s="776"/>
      <c r="M467" s="314"/>
      <c r="N467" s="318"/>
      <c r="O467" s="315"/>
      <c r="P467" s="314"/>
      <c r="Q467" s="314"/>
      <c r="R467" s="314"/>
      <c r="S467" s="777"/>
      <c r="T467" s="314"/>
      <c r="U467" s="778"/>
      <c r="V467" s="315"/>
      <c r="W467" s="779"/>
      <c r="X467" s="780"/>
      <c r="Y467" s="314"/>
      <c r="Z467" s="314"/>
      <c r="AA467" s="314"/>
      <c r="AB467" s="324"/>
      <c r="AC467" s="155"/>
      <c r="AD467" s="155"/>
      <c r="AE467" s="322"/>
      <c r="AF467" s="132"/>
      <c r="AG467" s="132"/>
    </row>
    <row r="468">
      <c r="A468" s="314"/>
      <c r="B468" s="313"/>
      <c r="C468" s="313"/>
      <c r="D468" s="313"/>
      <c r="E468" s="737"/>
      <c r="F468" s="314"/>
      <c r="G468" s="318"/>
      <c r="H468" s="315"/>
      <c r="I468" s="314"/>
      <c r="J468" s="314"/>
      <c r="K468" s="314"/>
      <c r="L468" s="776"/>
      <c r="M468" s="314"/>
      <c r="N468" s="318"/>
      <c r="O468" s="315"/>
      <c r="P468" s="314"/>
      <c r="Q468" s="314"/>
      <c r="R468" s="314"/>
      <c r="S468" s="777"/>
      <c r="T468" s="314"/>
      <c r="U468" s="778"/>
      <c r="V468" s="315"/>
      <c r="W468" s="779"/>
      <c r="X468" s="780"/>
      <c r="Y468" s="314"/>
      <c r="Z468" s="314"/>
      <c r="AA468" s="314"/>
      <c r="AB468" s="324"/>
      <c r="AC468" s="155"/>
      <c r="AD468" s="155"/>
      <c r="AE468" s="322"/>
      <c r="AF468" s="132"/>
      <c r="AG468" s="132"/>
    </row>
    <row r="469">
      <c r="A469" s="314"/>
      <c r="B469" s="313"/>
      <c r="C469" s="313"/>
      <c r="D469" s="313"/>
      <c r="E469" s="737"/>
      <c r="F469" s="314"/>
      <c r="G469" s="318"/>
      <c r="H469" s="315"/>
      <c r="I469" s="314"/>
      <c r="J469" s="314"/>
      <c r="K469" s="314"/>
      <c r="L469" s="776"/>
      <c r="M469" s="314"/>
      <c r="N469" s="318"/>
      <c r="O469" s="315"/>
      <c r="P469" s="314"/>
      <c r="Q469" s="314"/>
      <c r="R469" s="314"/>
      <c r="S469" s="777"/>
      <c r="T469" s="314"/>
      <c r="U469" s="778"/>
      <c r="V469" s="315"/>
      <c r="W469" s="779"/>
      <c r="X469" s="780"/>
      <c r="Y469" s="314"/>
      <c r="Z469" s="314"/>
      <c r="AA469" s="314"/>
      <c r="AB469" s="324"/>
      <c r="AC469" s="155"/>
      <c r="AD469" s="155"/>
      <c r="AE469" s="322"/>
      <c r="AF469" s="132"/>
      <c r="AG469" s="132"/>
    </row>
    <row r="470">
      <c r="A470" s="314"/>
      <c r="B470" s="313"/>
      <c r="C470" s="313"/>
      <c r="D470" s="313"/>
      <c r="E470" s="737"/>
      <c r="F470" s="314"/>
      <c r="G470" s="318"/>
      <c r="H470" s="315"/>
      <c r="I470" s="314"/>
      <c r="J470" s="314"/>
      <c r="K470" s="314"/>
      <c r="L470" s="776"/>
      <c r="M470" s="314"/>
      <c r="N470" s="318"/>
      <c r="O470" s="315"/>
      <c r="P470" s="314"/>
      <c r="Q470" s="314"/>
      <c r="R470" s="314"/>
      <c r="S470" s="777"/>
      <c r="T470" s="314"/>
      <c r="U470" s="778"/>
      <c r="V470" s="315"/>
      <c r="W470" s="779"/>
      <c r="X470" s="780"/>
      <c r="Y470" s="314"/>
      <c r="Z470" s="314"/>
      <c r="AA470" s="314"/>
      <c r="AB470" s="324"/>
      <c r="AC470" s="155"/>
      <c r="AD470" s="155"/>
      <c r="AE470" s="322"/>
      <c r="AF470" s="132"/>
      <c r="AG470" s="132"/>
    </row>
    <row r="471">
      <c r="A471" s="314"/>
      <c r="B471" s="313"/>
      <c r="C471" s="313"/>
      <c r="D471" s="313"/>
      <c r="E471" s="737"/>
      <c r="F471" s="314"/>
      <c r="G471" s="318"/>
      <c r="H471" s="315"/>
      <c r="I471" s="314"/>
      <c r="J471" s="314"/>
      <c r="K471" s="314"/>
      <c r="L471" s="776"/>
      <c r="M471" s="314"/>
      <c r="N471" s="318"/>
      <c r="O471" s="315"/>
      <c r="P471" s="314"/>
      <c r="Q471" s="314"/>
      <c r="R471" s="314"/>
      <c r="S471" s="777"/>
      <c r="T471" s="314"/>
      <c r="U471" s="778"/>
      <c r="V471" s="315"/>
      <c r="W471" s="779"/>
      <c r="X471" s="780"/>
      <c r="Y471" s="314"/>
      <c r="Z471" s="314"/>
      <c r="AA471" s="314"/>
      <c r="AB471" s="324"/>
      <c r="AC471" s="155"/>
      <c r="AD471" s="155"/>
      <c r="AE471" s="322"/>
      <c r="AF471" s="132"/>
      <c r="AG471" s="132"/>
    </row>
    <row r="472">
      <c r="A472" s="314"/>
      <c r="B472" s="313"/>
      <c r="C472" s="313"/>
      <c r="D472" s="313"/>
      <c r="E472" s="737"/>
      <c r="F472" s="314"/>
      <c r="G472" s="318"/>
      <c r="H472" s="315"/>
      <c r="I472" s="314"/>
      <c r="J472" s="314"/>
      <c r="K472" s="314"/>
      <c r="L472" s="776"/>
      <c r="M472" s="314"/>
      <c r="N472" s="318"/>
      <c r="O472" s="315"/>
      <c r="P472" s="314"/>
      <c r="Q472" s="314"/>
      <c r="R472" s="314"/>
      <c r="S472" s="777"/>
      <c r="T472" s="314"/>
      <c r="U472" s="778"/>
      <c r="V472" s="315"/>
      <c r="W472" s="779"/>
      <c r="X472" s="780"/>
      <c r="Y472" s="314"/>
      <c r="Z472" s="314"/>
      <c r="AA472" s="314"/>
      <c r="AB472" s="324"/>
      <c r="AC472" s="155"/>
      <c r="AD472" s="155"/>
      <c r="AE472" s="322"/>
      <c r="AF472" s="132"/>
      <c r="AG472" s="132"/>
    </row>
    <row r="473">
      <c r="A473" s="314"/>
      <c r="B473" s="313"/>
      <c r="C473" s="313"/>
      <c r="D473" s="313"/>
      <c r="E473" s="737"/>
      <c r="F473" s="314"/>
      <c r="G473" s="318"/>
      <c r="H473" s="315"/>
      <c r="I473" s="314"/>
      <c r="J473" s="314"/>
      <c r="K473" s="314"/>
      <c r="L473" s="776"/>
      <c r="M473" s="314"/>
      <c r="N473" s="318"/>
      <c r="O473" s="315"/>
      <c r="P473" s="314"/>
      <c r="Q473" s="314"/>
      <c r="R473" s="314"/>
      <c r="S473" s="777"/>
      <c r="T473" s="314"/>
      <c r="U473" s="778"/>
      <c r="V473" s="315"/>
      <c r="W473" s="779"/>
      <c r="X473" s="780"/>
      <c r="Y473" s="314"/>
      <c r="Z473" s="314"/>
      <c r="AA473" s="314"/>
      <c r="AB473" s="324"/>
      <c r="AC473" s="155"/>
      <c r="AD473" s="155"/>
      <c r="AE473" s="322"/>
      <c r="AF473" s="132"/>
      <c r="AG473" s="132"/>
    </row>
    <row r="474">
      <c r="A474" s="314"/>
      <c r="B474" s="313"/>
      <c r="C474" s="313"/>
      <c r="D474" s="313"/>
      <c r="E474" s="737"/>
      <c r="F474" s="314"/>
      <c r="G474" s="318"/>
      <c r="H474" s="315"/>
      <c r="I474" s="314"/>
      <c r="J474" s="314"/>
      <c r="K474" s="314"/>
      <c r="L474" s="776"/>
      <c r="M474" s="314"/>
      <c r="N474" s="318"/>
      <c r="O474" s="315"/>
      <c r="P474" s="314"/>
      <c r="Q474" s="314"/>
      <c r="R474" s="314"/>
      <c r="S474" s="777"/>
      <c r="T474" s="314"/>
      <c r="U474" s="778"/>
      <c r="V474" s="315"/>
      <c r="W474" s="779"/>
      <c r="X474" s="780"/>
      <c r="Y474" s="314"/>
      <c r="Z474" s="314"/>
      <c r="AA474" s="314"/>
      <c r="AB474" s="324"/>
      <c r="AC474" s="155"/>
      <c r="AD474" s="155"/>
      <c r="AE474" s="322"/>
      <c r="AF474" s="132"/>
      <c r="AG474" s="132"/>
    </row>
    <row r="475">
      <c r="A475" s="314"/>
      <c r="B475" s="313"/>
      <c r="C475" s="313"/>
      <c r="D475" s="313"/>
      <c r="E475" s="737"/>
      <c r="F475" s="314"/>
      <c r="G475" s="318"/>
      <c r="H475" s="315"/>
      <c r="I475" s="314"/>
      <c r="J475" s="314"/>
      <c r="K475" s="314"/>
      <c r="L475" s="776"/>
      <c r="M475" s="314"/>
      <c r="N475" s="318"/>
      <c r="O475" s="315"/>
      <c r="P475" s="314"/>
      <c r="Q475" s="314"/>
      <c r="R475" s="314"/>
      <c r="S475" s="777"/>
      <c r="T475" s="314"/>
      <c r="U475" s="778"/>
      <c r="V475" s="315"/>
      <c r="W475" s="779"/>
      <c r="X475" s="780"/>
      <c r="Y475" s="314"/>
      <c r="Z475" s="314"/>
      <c r="AA475" s="314"/>
      <c r="AB475" s="324"/>
      <c r="AC475" s="155"/>
      <c r="AD475" s="155"/>
      <c r="AE475" s="322"/>
      <c r="AF475" s="132"/>
      <c r="AG475" s="132"/>
    </row>
    <row r="476">
      <c r="A476" s="314"/>
      <c r="B476" s="313"/>
      <c r="C476" s="313"/>
      <c r="D476" s="313"/>
      <c r="E476" s="737"/>
      <c r="F476" s="314"/>
      <c r="G476" s="318"/>
      <c r="H476" s="315"/>
      <c r="I476" s="314"/>
      <c r="J476" s="314"/>
      <c r="K476" s="314"/>
      <c r="L476" s="776"/>
      <c r="M476" s="314"/>
      <c r="N476" s="318"/>
      <c r="O476" s="315"/>
      <c r="P476" s="314"/>
      <c r="Q476" s="314"/>
      <c r="R476" s="314"/>
      <c r="S476" s="777"/>
      <c r="T476" s="314"/>
      <c r="U476" s="778"/>
      <c r="V476" s="315"/>
      <c r="W476" s="779"/>
      <c r="X476" s="780"/>
      <c r="Y476" s="314"/>
      <c r="Z476" s="314"/>
      <c r="AA476" s="314"/>
      <c r="AB476" s="324"/>
      <c r="AC476" s="155"/>
      <c r="AD476" s="155"/>
      <c r="AE476" s="322"/>
      <c r="AF476" s="132"/>
      <c r="AG476" s="132"/>
    </row>
    <row r="477">
      <c r="A477" s="314"/>
      <c r="B477" s="313"/>
      <c r="C477" s="313"/>
      <c r="D477" s="313"/>
      <c r="E477" s="737"/>
      <c r="F477" s="314"/>
      <c r="G477" s="318"/>
      <c r="H477" s="315"/>
      <c r="I477" s="314"/>
      <c r="J477" s="314"/>
      <c r="K477" s="314"/>
      <c r="L477" s="776"/>
      <c r="M477" s="314"/>
      <c r="N477" s="318"/>
      <c r="O477" s="315"/>
      <c r="P477" s="314"/>
      <c r="Q477" s="314"/>
      <c r="R477" s="314"/>
      <c r="S477" s="777"/>
      <c r="T477" s="314"/>
      <c r="U477" s="778"/>
      <c r="V477" s="315"/>
      <c r="W477" s="779"/>
      <c r="X477" s="780"/>
      <c r="Y477" s="314"/>
      <c r="Z477" s="314"/>
      <c r="AA477" s="314"/>
      <c r="AB477" s="324"/>
      <c r="AC477" s="155"/>
      <c r="AD477" s="155"/>
      <c r="AE477" s="322"/>
      <c r="AF477" s="132"/>
      <c r="AG477" s="132"/>
    </row>
    <row r="478">
      <c r="A478" s="314"/>
      <c r="B478" s="313"/>
      <c r="C478" s="313"/>
      <c r="D478" s="313"/>
      <c r="E478" s="737"/>
      <c r="F478" s="314"/>
      <c r="G478" s="318"/>
      <c r="H478" s="315"/>
      <c r="I478" s="314"/>
      <c r="J478" s="314"/>
      <c r="K478" s="314"/>
      <c r="L478" s="776"/>
      <c r="M478" s="314"/>
      <c r="N478" s="318"/>
      <c r="O478" s="315"/>
      <c r="P478" s="314"/>
      <c r="Q478" s="314"/>
      <c r="R478" s="314"/>
      <c r="S478" s="777"/>
      <c r="T478" s="314"/>
      <c r="U478" s="778"/>
      <c r="V478" s="315"/>
      <c r="W478" s="779"/>
      <c r="X478" s="780"/>
      <c r="Y478" s="314"/>
      <c r="Z478" s="314"/>
      <c r="AA478" s="314"/>
      <c r="AB478" s="324"/>
      <c r="AC478" s="155"/>
      <c r="AD478" s="155"/>
      <c r="AE478" s="322"/>
      <c r="AF478" s="132"/>
      <c r="AG478" s="132"/>
    </row>
    <row r="479">
      <c r="A479" s="314"/>
      <c r="B479" s="313"/>
      <c r="C479" s="313"/>
      <c r="D479" s="313"/>
      <c r="E479" s="737"/>
      <c r="F479" s="314"/>
      <c r="G479" s="318"/>
      <c r="H479" s="315"/>
      <c r="I479" s="314"/>
      <c r="J479" s="314"/>
      <c r="K479" s="314"/>
      <c r="L479" s="776"/>
      <c r="M479" s="314"/>
      <c r="N479" s="318"/>
      <c r="O479" s="315"/>
      <c r="P479" s="314"/>
      <c r="Q479" s="314"/>
      <c r="R479" s="314"/>
      <c r="S479" s="777"/>
      <c r="T479" s="314"/>
      <c r="U479" s="778"/>
      <c r="V479" s="315"/>
      <c r="W479" s="779"/>
      <c r="X479" s="780"/>
      <c r="Y479" s="314"/>
      <c r="Z479" s="314"/>
      <c r="AA479" s="314"/>
      <c r="AB479" s="324"/>
      <c r="AC479" s="155"/>
      <c r="AD479" s="155"/>
      <c r="AE479" s="322"/>
      <c r="AF479" s="132"/>
      <c r="AG479" s="132"/>
    </row>
    <row r="480">
      <c r="A480" s="314"/>
      <c r="B480" s="313"/>
      <c r="C480" s="313"/>
      <c r="D480" s="313"/>
      <c r="E480" s="737"/>
      <c r="F480" s="314"/>
      <c r="G480" s="318"/>
      <c r="H480" s="315"/>
      <c r="I480" s="314"/>
      <c r="J480" s="314"/>
      <c r="K480" s="314"/>
      <c r="L480" s="776"/>
      <c r="M480" s="314"/>
      <c r="N480" s="318"/>
      <c r="O480" s="315"/>
      <c r="P480" s="314"/>
      <c r="Q480" s="314"/>
      <c r="R480" s="314"/>
      <c r="S480" s="777"/>
      <c r="T480" s="314"/>
      <c r="U480" s="778"/>
      <c r="V480" s="315"/>
      <c r="W480" s="779"/>
      <c r="X480" s="780"/>
      <c r="Y480" s="314"/>
      <c r="Z480" s="314"/>
      <c r="AA480" s="314"/>
      <c r="AB480" s="324"/>
      <c r="AC480" s="155"/>
      <c r="AD480" s="155"/>
      <c r="AE480" s="322"/>
      <c r="AF480" s="132"/>
      <c r="AG480" s="132"/>
    </row>
    <row r="481">
      <c r="A481" s="314"/>
      <c r="B481" s="313"/>
      <c r="C481" s="313"/>
      <c r="D481" s="313"/>
      <c r="E481" s="737"/>
      <c r="F481" s="314"/>
      <c r="G481" s="318"/>
      <c r="H481" s="315"/>
      <c r="I481" s="314"/>
      <c r="J481" s="314"/>
      <c r="K481" s="314"/>
      <c r="L481" s="776"/>
      <c r="M481" s="314"/>
      <c r="N481" s="318"/>
      <c r="O481" s="315"/>
      <c r="P481" s="314"/>
      <c r="Q481" s="314"/>
      <c r="R481" s="314"/>
      <c r="S481" s="777"/>
      <c r="T481" s="314"/>
      <c r="U481" s="778"/>
      <c r="V481" s="315"/>
      <c r="W481" s="779"/>
      <c r="X481" s="780"/>
      <c r="Y481" s="314"/>
      <c r="Z481" s="314"/>
      <c r="AA481" s="314"/>
      <c r="AB481" s="324"/>
      <c r="AC481" s="155"/>
      <c r="AD481" s="155"/>
      <c r="AE481" s="322"/>
      <c r="AF481" s="132"/>
      <c r="AG481" s="132"/>
    </row>
    <row r="482">
      <c r="A482" s="314"/>
      <c r="B482" s="313"/>
      <c r="C482" s="313"/>
      <c r="D482" s="313"/>
      <c r="E482" s="737"/>
      <c r="F482" s="314"/>
      <c r="G482" s="318"/>
      <c r="H482" s="315"/>
      <c r="I482" s="314"/>
      <c r="J482" s="314"/>
      <c r="K482" s="314"/>
      <c r="L482" s="776"/>
      <c r="M482" s="314"/>
      <c r="N482" s="318"/>
      <c r="O482" s="315"/>
      <c r="P482" s="314"/>
      <c r="Q482" s="314"/>
      <c r="R482" s="314"/>
      <c r="S482" s="777"/>
      <c r="T482" s="314"/>
      <c r="U482" s="778"/>
      <c r="V482" s="315"/>
      <c r="W482" s="779"/>
      <c r="X482" s="780"/>
      <c r="Y482" s="314"/>
      <c r="Z482" s="314"/>
      <c r="AA482" s="314"/>
      <c r="AB482" s="324"/>
      <c r="AC482" s="155"/>
      <c r="AD482" s="155"/>
      <c r="AE482" s="322"/>
      <c r="AF482" s="132"/>
      <c r="AG482" s="132"/>
    </row>
    <row r="483">
      <c r="A483" s="314"/>
      <c r="B483" s="313"/>
      <c r="C483" s="313"/>
      <c r="D483" s="313"/>
      <c r="E483" s="737"/>
      <c r="F483" s="314"/>
      <c r="G483" s="318"/>
      <c r="H483" s="315"/>
      <c r="I483" s="314"/>
      <c r="J483" s="314"/>
      <c r="K483" s="314"/>
      <c r="L483" s="776"/>
      <c r="M483" s="314"/>
      <c r="N483" s="318"/>
      <c r="O483" s="315"/>
      <c r="P483" s="314"/>
      <c r="Q483" s="314"/>
      <c r="R483" s="314"/>
      <c r="S483" s="777"/>
      <c r="T483" s="314"/>
      <c r="U483" s="778"/>
      <c r="V483" s="315"/>
      <c r="W483" s="779"/>
      <c r="X483" s="780"/>
      <c r="Y483" s="314"/>
      <c r="Z483" s="314"/>
      <c r="AA483" s="314"/>
      <c r="AB483" s="324"/>
      <c r="AC483" s="155"/>
      <c r="AD483" s="155"/>
      <c r="AE483" s="322"/>
      <c r="AF483" s="132"/>
      <c r="AG483" s="132"/>
    </row>
    <row r="484">
      <c r="A484" s="314"/>
      <c r="B484" s="313"/>
      <c r="C484" s="313"/>
      <c r="D484" s="313"/>
      <c r="E484" s="737"/>
      <c r="F484" s="314"/>
      <c r="G484" s="318"/>
      <c r="H484" s="315"/>
      <c r="I484" s="314"/>
      <c r="J484" s="314"/>
      <c r="K484" s="314"/>
      <c r="L484" s="776"/>
      <c r="M484" s="314"/>
      <c r="N484" s="318"/>
      <c r="O484" s="315"/>
      <c r="P484" s="314"/>
      <c r="Q484" s="314"/>
      <c r="R484" s="314"/>
      <c r="S484" s="777"/>
      <c r="T484" s="314"/>
      <c r="U484" s="778"/>
      <c r="V484" s="315"/>
      <c r="W484" s="779"/>
      <c r="X484" s="780"/>
      <c r="Y484" s="314"/>
      <c r="Z484" s="314"/>
      <c r="AA484" s="314"/>
      <c r="AB484" s="324"/>
      <c r="AC484" s="155"/>
      <c r="AD484" s="155"/>
      <c r="AE484" s="322"/>
      <c r="AF484" s="132"/>
      <c r="AG484" s="132"/>
    </row>
    <row r="485">
      <c r="A485" s="314"/>
      <c r="B485" s="313"/>
      <c r="C485" s="313"/>
      <c r="D485" s="313"/>
      <c r="E485" s="737"/>
      <c r="F485" s="314"/>
      <c r="G485" s="318"/>
      <c r="H485" s="315"/>
      <c r="I485" s="314"/>
      <c r="J485" s="314"/>
      <c r="K485" s="314"/>
      <c r="L485" s="776"/>
      <c r="M485" s="314"/>
      <c r="N485" s="318"/>
      <c r="O485" s="315"/>
      <c r="P485" s="314"/>
      <c r="Q485" s="314"/>
      <c r="R485" s="314"/>
      <c r="S485" s="777"/>
      <c r="T485" s="314"/>
      <c r="U485" s="778"/>
      <c r="V485" s="315"/>
      <c r="W485" s="779"/>
      <c r="X485" s="780"/>
      <c r="Y485" s="314"/>
      <c r="Z485" s="314"/>
      <c r="AA485" s="314"/>
      <c r="AB485" s="324"/>
      <c r="AC485" s="155"/>
      <c r="AD485" s="155"/>
      <c r="AE485" s="322"/>
      <c r="AF485" s="132"/>
      <c r="AG485" s="132"/>
    </row>
    <row r="486">
      <c r="A486" s="314"/>
      <c r="B486" s="313"/>
      <c r="C486" s="313"/>
      <c r="D486" s="313"/>
      <c r="E486" s="737"/>
      <c r="F486" s="314"/>
      <c r="G486" s="318"/>
      <c r="H486" s="315"/>
      <c r="I486" s="314"/>
      <c r="J486" s="314"/>
      <c r="K486" s="314"/>
      <c r="L486" s="776"/>
      <c r="M486" s="314"/>
      <c r="N486" s="318"/>
      <c r="O486" s="315"/>
      <c r="P486" s="314"/>
      <c r="Q486" s="314"/>
      <c r="R486" s="314"/>
      <c r="S486" s="777"/>
      <c r="T486" s="314"/>
      <c r="U486" s="778"/>
      <c r="V486" s="315"/>
      <c r="W486" s="779"/>
      <c r="X486" s="780"/>
      <c r="Y486" s="314"/>
      <c r="Z486" s="314"/>
      <c r="AA486" s="314"/>
      <c r="AB486" s="324"/>
      <c r="AC486" s="155"/>
      <c r="AD486" s="155"/>
      <c r="AE486" s="322"/>
      <c r="AF486" s="132"/>
      <c r="AG486" s="132"/>
    </row>
    <row r="487">
      <c r="A487" s="314"/>
      <c r="B487" s="313"/>
      <c r="C487" s="313"/>
      <c r="D487" s="313"/>
      <c r="E487" s="737"/>
      <c r="F487" s="314"/>
      <c r="G487" s="318"/>
      <c r="H487" s="315"/>
      <c r="I487" s="314"/>
      <c r="J487" s="314"/>
      <c r="K487" s="314"/>
      <c r="L487" s="776"/>
      <c r="M487" s="314"/>
      <c r="N487" s="318"/>
      <c r="O487" s="315"/>
      <c r="P487" s="314"/>
      <c r="Q487" s="314"/>
      <c r="R487" s="314"/>
      <c r="S487" s="777"/>
      <c r="T487" s="314"/>
      <c r="U487" s="778"/>
      <c r="V487" s="315"/>
      <c r="W487" s="779"/>
      <c r="X487" s="780"/>
      <c r="Y487" s="314"/>
      <c r="Z487" s="314"/>
      <c r="AA487" s="314"/>
      <c r="AB487" s="324"/>
      <c r="AC487" s="155"/>
      <c r="AD487" s="155"/>
      <c r="AE487" s="322"/>
      <c r="AF487" s="132"/>
      <c r="AG487" s="132"/>
    </row>
    <row r="488">
      <c r="A488" s="314"/>
      <c r="B488" s="313"/>
      <c r="C488" s="313"/>
      <c r="D488" s="313"/>
      <c r="E488" s="737"/>
      <c r="F488" s="314"/>
      <c r="G488" s="318"/>
      <c r="H488" s="315"/>
      <c r="I488" s="314"/>
      <c r="J488" s="314"/>
      <c r="K488" s="314"/>
      <c r="L488" s="776"/>
      <c r="M488" s="314"/>
      <c r="N488" s="318"/>
      <c r="O488" s="315"/>
      <c r="P488" s="314"/>
      <c r="Q488" s="314"/>
      <c r="R488" s="314"/>
      <c r="S488" s="777"/>
      <c r="T488" s="314"/>
      <c r="U488" s="778"/>
      <c r="V488" s="315"/>
      <c r="W488" s="779"/>
      <c r="X488" s="780"/>
      <c r="Y488" s="314"/>
      <c r="Z488" s="314"/>
      <c r="AA488" s="314"/>
      <c r="AB488" s="324"/>
      <c r="AC488" s="155"/>
      <c r="AD488" s="155"/>
      <c r="AE488" s="322"/>
      <c r="AF488" s="132"/>
      <c r="AG488" s="132"/>
    </row>
    <row r="489">
      <c r="A489" s="314"/>
      <c r="B489" s="313"/>
      <c r="C489" s="313"/>
      <c r="D489" s="313"/>
      <c r="E489" s="737"/>
      <c r="F489" s="314"/>
      <c r="G489" s="318"/>
      <c r="H489" s="315"/>
      <c r="I489" s="314"/>
      <c r="J489" s="314"/>
      <c r="K489" s="314"/>
      <c r="L489" s="776"/>
      <c r="M489" s="314"/>
      <c r="N489" s="318"/>
      <c r="O489" s="315"/>
      <c r="P489" s="314"/>
      <c r="Q489" s="314"/>
      <c r="R489" s="314"/>
      <c r="S489" s="777"/>
      <c r="T489" s="314"/>
      <c r="U489" s="778"/>
      <c r="V489" s="315"/>
      <c r="W489" s="779"/>
      <c r="X489" s="780"/>
      <c r="Y489" s="314"/>
      <c r="Z489" s="314"/>
      <c r="AA489" s="314"/>
      <c r="AB489" s="324"/>
      <c r="AC489" s="155"/>
      <c r="AD489" s="155"/>
      <c r="AE489" s="322"/>
      <c r="AF489" s="132"/>
      <c r="AG489" s="132"/>
    </row>
    <row r="490">
      <c r="A490" s="314"/>
      <c r="B490" s="313"/>
      <c r="C490" s="313"/>
      <c r="D490" s="313"/>
      <c r="E490" s="737"/>
      <c r="F490" s="314"/>
      <c r="G490" s="318"/>
      <c r="H490" s="315"/>
      <c r="I490" s="314"/>
      <c r="J490" s="314"/>
      <c r="K490" s="314"/>
      <c r="L490" s="776"/>
      <c r="M490" s="314"/>
      <c r="N490" s="318"/>
      <c r="O490" s="315"/>
      <c r="P490" s="314"/>
      <c r="Q490" s="314"/>
      <c r="R490" s="314"/>
      <c r="S490" s="777"/>
      <c r="T490" s="314"/>
      <c r="U490" s="778"/>
      <c r="V490" s="315"/>
      <c r="W490" s="779"/>
      <c r="X490" s="780"/>
      <c r="Y490" s="314"/>
      <c r="Z490" s="314"/>
      <c r="AA490" s="314"/>
      <c r="AB490" s="324"/>
      <c r="AC490" s="155"/>
      <c r="AD490" s="155"/>
      <c r="AE490" s="322"/>
      <c r="AF490" s="132"/>
      <c r="AG490" s="132"/>
    </row>
    <row r="491">
      <c r="A491" s="314"/>
      <c r="B491" s="313"/>
      <c r="C491" s="313"/>
      <c r="D491" s="313"/>
      <c r="E491" s="737"/>
      <c r="F491" s="314"/>
      <c r="G491" s="318"/>
      <c r="H491" s="315"/>
      <c r="I491" s="314"/>
      <c r="J491" s="314"/>
      <c r="K491" s="314"/>
      <c r="L491" s="776"/>
      <c r="M491" s="314"/>
      <c r="N491" s="318"/>
      <c r="O491" s="315"/>
      <c r="P491" s="314"/>
      <c r="Q491" s="314"/>
      <c r="R491" s="314"/>
      <c r="S491" s="777"/>
      <c r="T491" s="314"/>
      <c r="U491" s="778"/>
      <c r="V491" s="315"/>
      <c r="W491" s="779"/>
      <c r="X491" s="780"/>
      <c r="Y491" s="314"/>
      <c r="Z491" s="314"/>
      <c r="AA491" s="314"/>
      <c r="AB491" s="324"/>
      <c r="AC491" s="155"/>
      <c r="AD491" s="155"/>
      <c r="AE491" s="322"/>
      <c r="AF491" s="132"/>
      <c r="AG491" s="132"/>
    </row>
    <row r="492">
      <c r="A492" s="314"/>
      <c r="B492" s="313"/>
      <c r="C492" s="313"/>
      <c r="D492" s="313"/>
      <c r="E492" s="737"/>
      <c r="F492" s="314"/>
      <c r="G492" s="318"/>
      <c r="H492" s="315"/>
      <c r="I492" s="314"/>
      <c r="J492" s="314"/>
      <c r="K492" s="314"/>
      <c r="L492" s="776"/>
      <c r="M492" s="314"/>
      <c r="N492" s="318"/>
      <c r="O492" s="315"/>
      <c r="P492" s="314"/>
      <c r="Q492" s="314"/>
      <c r="R492" s="314"/>
      <c r="S492" s="777"/>
      <c r="T492" s="314"/>
      <c r="U492" s="778"/>
      <c r="V492" s="315"/>
      <c r="W492" s="779"/>
      <c r="X492" s="780"/>
      <c r="Y492" s="314"/>
      <c r="Z492" s="314"/>
      <c r="AA492" s="314"/>
      <c r="AB492" s="324"/>
      <c r="AC492" s="155"/>
      <c r="AD492" s="155"/>
      <c r="AE492" s="322"/>
      <c r="AF492" s="132"/>
      <c r="AG492" s="132"/>
    </row>
    <row r="493">
      <c r="A493" s="314"/>
      <c r="B493" s="313"/>
      <c r="C493" s="313"/>
      <c r="D493" s="313"/>
      <c r="E493" s="737"/>
      <c r="F493" s="314"/>
      <c r="G493" s="318"/>
      <c r="H493" s="315"/>
      <c r="I493" s="314"/>
      <c r="J493" s="314"/>
      <c r="K493" s="314"/>
      <c r="L493" s="776"/>
      <c r="M493" s="314"/>
      <c r="N493" s="318"/>
      <c r="O493" s="315"/>
      <c r="P493" s="314"/>
      <c r="Q493" s="314"/>
      <c r="R493" s="314"/>
      <c r="S493" s="777"/>
      <c r="T493" s="314"/>
      <c r="U493" s="778"/>
      <c r="V493" s="315"/>
      <c r="W493" s="779"/>
      <c r="X493" s="780"/>
      <c r="Y493" s="314"/>
      <c r="Z493" s="314"/>
      <c r="AA493" s="314"/>
      <c r="AB493" s="324"/>
      <c r="AC493" s="155"/>
      <c r="AD493" s="155"/>
      <c r="AE493" s="322"/>
      <c r="AF493" s="132"/>
      <c r="AG493" s="132"/>
    </row>
    <row r="494">
      <c r="A494" s="314"/>
      <c r="B494" s="313"/>
      <c r="C494" s="313"/>
      <c r="D494" s="313"/>
      <c r="E494" s="737"/>
      <c r="F494" s="314"/>
      <c r="G494" s="318"/>
      <c r="H494" s="315"/>
      <c r="I494" s="314"/>
      <c r="J494" s="314"/>
      <c r="K494" s="314"/>
      <c r="L494" s="776"/>
      <c r="M494" s="314"/>
      <c r="N494" s="318"/>
      <c r="O494" s="315"/>
      <c r="P494" s="314"/>
      <c r="Q494" s="314"/>
      <c r="R494" s="314"/>
      <c r="S494" s="777"/>
      <c r="T494" s="314"/>
      <c r="U494" s="778"/>
      <c r="V494" s="315"/>
      <c r="W494" s="779"/>
      <c r="X494" s="780"/>
      <c r="Y494" s="314"/>
      <c r="Z494" s="314"/>
      <c r="AA494" s="314"/>
      <c r="AB494" s="324"/>
      <c r="AC494" s="155"/>
      <c r="AD494" s="155"/>
      <c r="AE494" s="322"/>
      <c r="AF494" s="132"/>
      <c r="AG494" s="132"/>
    </row>
    <row r="495">
      <c r="A495" s="314"/>
      <c r="B495" s="313"/>
      <c r="C495" s="313"/>
      <c r="D495" s="313"/>
      <c r="E495" s="737"/>
      <c r="F495" s="314"/>
      <c r="G495" s="318"/>
      <c r="H495" s="315"/>
      <c r="I495" s="314"/>
      <c r="J495" s="314"/>
      <c r="K495" s="314"/>
      <c r="L495" s="776"/>
      <c r="M495" s="314"/>
      <c r="N495" s="318"/>
      <c r="O495" s="315"/>
      <c r="P495" s="314"/>
      <c r="Q495" s="314"/>
      <c r="R495" s="314"/>
      <c r="S495" s="777"/>
      <c r="T495" s="314"/>
      <c r="U495" s="778"/>
      <c r="V495" s="315"/>
      <c r="W495" s="779"/>
      <c r="X495" s="780"/>
      <c r="Y495" s="314"/>
      <c r="Z495" s="314"/>
      <c r="AA495" s="314"/>
      <c r="AB495" s="324"/>
      <c r="AC495" s="155"/>
      <c r="AD495" s="155"/>
      <c r="AE495" s="322"/>
      <c r="AF495" s="132"/>
      <c r="AG495" s="132"/>
    </row>
    <row r="496">
      <c r="A496" s="314"/>
      <c r="B496" s="313"/>
      <c r="C496" s="313"/>
      <c r="D496" s="313"/>
      <c r="E496" s="737"/>
      <c r="F496" s="314"/>
      <c r="G496" s="318"/>
      <c r="H496" s="315"/>
      <c r="I496" s="314"/>
      <c r="J496" s="314"/>
      <c r="K496" s="314"/>
      <c r="L496" s="776"/>
      <c r="M496" s="314"/>
      <c r="N496" s="318"/>
      <c r="O496" s="315"/>
      <c r="P496" s="314"/>
      <c r="Q496" s="314"/>
      <c r="R496" s="314"/>
      <c r="S496" s="777"/>
      <c r="T496" s="314"/>
      <c r="U496" s="778"/>
      <c r="V496" s="315"/>
      <c r="W496" s="779"/>
      <c r="X496" s="780"/>
      <c r="Y496" s="314"/>
      <c r="Z496" s="314"/>
      <c r="AA496" s="314"/>
      <c r="AB496" s="324"/>
      <c r="AC496" s="155"/>
      <c r="AD496" s="155"/>
      <c r="AE496" s="322"/>
      <c r="AF496" s="132"/>
      <c r="AG496" s="132"/>
    </row>
    <row r="497">
      <c r="A497" s="314"/>
      <c r="B497" s="313"/>
      <c r="C497" s="313"/>
      <c r="D497" s="313"/>
      <c r="E497" s="737"/>
      <c r="F497" s="314"/>
      <c r="G497" s="318"/>
      <c r="H497" s="315"/>
      <c r="I497" s="314"/>
      <c r="J497" s="314"/>
      <c r="K497" s="314"/>
      <c r="L497" s="776"/>
      <c r="M497" s="314"/>
      <c r="N497" s="318"/>
      <c r="O497" s="315"/>
      <c r="P497" s="314"/>
      <c r="Q497" s="314"/>
      <c r="R497" s="314"/>
      <c r="S497" s="777"/>
      <c r="T497" s="314"/>
      <c r="U497" s="778"/>
      <c r="V497" s="315"/>
      <c r="W497" s="779"/>
      <c r="X497" s="780"/>
      <c r="Y497" s="314"/>
      <c r="Z497" s="314"/>
      <c r="AA497" s="314"/>
      <c r="AB497" s="324"/>
      <c r="AC497" s="155"/>
      <c r="AD497" s="155"/>
      <c r="AE497" s="322"/>
      <c r="AF497" s="132"/>
      <c r="AG497" s="132"/>
    </row>
    <row r="498">
      <c r="A498" s="314"/>
      <c r="B498" s="313"/>
      <c r="C498" s="313"/>
      <c r="D498" s="313"/>
      <c r="E498" s="737"/>
      <c r="F498" s="314"/>
      <c r="G498" s="318"/>
      <c r="H498" s="315"/>
      <c r="I498" s="314"/>
      <c r="J498" s="314"/>
      <c r="K498" s="314"/>
      <c r="L498" s="776"/>
      <c r="M498" s="314"/>
      <c r="N498" s="318"/>
      <c r="O498" s="315"/>
      <c r="P498" s="314"/>
      <c r="Q498" s="314"/>
      <c r="R498" s="314"/>
      <c r="S498" s="777"/>
      <c r="T498" s="314"/>
      <c r="U498" s="778"/>
      <c r="V498" s="315"/>
      <c r="W498" s="779"/>
      <c r="X498" s="780"/>
      <c r="Y498" s="314"/>
      <c r="Z498" s="314"/>
      <c r="AA498" s="314"/>
      <c r="AB498" s="324"/>
      <c r="AC498" s="155"/>
      <c r="AD498" s="155"/>
      <c r="AE498" s="322"/>
      <c r="AF498" s="132"/>
      <c r="AG498" s="132"/>
    </row>
    <row r="499">
      <c r="A499" s="314"/>
      <c r="B499" s="313"/>
      <c r="C499" s="313"/>
      <c r="D499" s="313"/>
      <c r="E499" s="737"/>
      <c r="F499" s="314"/>
      <c r="G499" s="318"/>
      <c r="H499" s="315"/>
      <c r="I499" s="314"/>
      <c r="J499" s="314"/>
      <c r="K499" s="314"/>
      <c r="L499" s="776"/>
      <c r="M499" s="314"/>
      <c r="N499" s="318"/>
      <c r="O499" s="315"/>
      <c r="P499" s="314"/>
      <c r="Q499" s="314"/>
      <c r="R499" s="314"/>
      <c r="S499" s="777"/>
      <c r="T499" s="314"/>
      <c r="U499" s="778"/>
      <c r="V499" s="315"/>
      <c r="W499" s="779"/>
      <c r="X499" s="780"/>
      <c r="Y499" s="314"/>
      <c r="Z499" s="314"/>
      <c r="AA499" s="314"/>
      <c r="AB499" s="324"/>
      <c r="AC499" s="155"/>
      <c r="AD499" s="155"/>
      <c r="AE499" s="322"/>
      <c r="AF499" s="132"/>
      <c r="AG499" s="132"/>
    </row>
    <row r="500">
      <c r="A500" s="314"/>
      <c r="B500" s="313"/>
      <c r="C500" s="313"/>
      <c r="D500" s="313"/>
      <c r="E500" s="737"/>
      <c r="F500" s="314"/>
      <c r="G500" s="318"/>
      <c r="H500" s="315"/>
      <c r="I500" s="314"/>
      <c r="J500" s="314"/>
      <c r="K500" s="314"/>
      <c r="L500" s="776"/>
      <c r="M500" s="314"/>
      <c r="N500" s="318"/>
      <c r="O500" s="315"/>
      <c r="P500" s="314"/>
      <c r="Q500" s="314"/>
      <c r="R500" s="314"/>
      <c r="S500" s="777"/>
      <c r="T500" s="314"/>
      <c r="U500" s="778"/>
      <c r="V500" s="315"/>
      <c r="W500" s="779"/>
      <c r="X500" s="780"/>
      <c r="Y500" s="314"/>
      <c r="Z500" s="314"/>
      <c r="AA500" s="314"/>
      <c r="AB500" s="324"/>
      <c r="AC500" s="155"/>
      <c r="AD500" s="155"/>
      <c r="AE500" s="322"/>
      <c r="AF500" s="132"/>
      <c r="AG500" s="132"/>
    </row>
    <row r="501">
      <c r="A501" s="314"/>
      <c r="B501" s="313"/>
      <c r="C501" s="313"/>
      <c r="D501" s="313"/>
      <c r="E501" s="737"/>
      <c r="F501" s="314"/>
      <c r="G501" s="318"/>
      <c r="H501" s="315"/>
      <c r="I501" s="314"/>
      <c r="J501" s="314"/>
      <c r="K501" s="314"/>
      <c r="L501" s="776"/>
      <c r="M501" s="314"/>
      <c r="N501" s="318"/>
      <c r="O501" s="315"/>
      <c r="P501" s="314"/>
      <c r="Q501" s="314"/>
      <c r="R501" s="314"/>
      <c r="S501" s="777"/>
      <c r="T501" s="314"/>
      <c r="U501" s="778"/>
      <c r="V501" s="315"/>
      <c r="W501" s="779"/>
      <c r="X501" s="780"/>
      <c r="Y501" s="314"/>
      <c r="Z501" s="314"/>
      <c r="AA501" s="314"/>
      <c r="AB501" s="324"/>
      <c r="AC501" s="155"/>
      <c r="AD501" s="155"/>
      <c r="AE501" s="322"/>
      <c r="AF501" s="132"/>
      <c r="AG501" s="132"/>
    </row>
    <row r="502">
      <c r="A502" s="314"/>
      <c r="B502" s="313"/>
      <c r="C502" s="313"/>
      <c r="D502" s="313"/>
      <c r="E502" s="737"/>
      <c r="F502" s="314"/>
      <c r="G502" s="318"/>
      <c r="H502" s="315"/>
      <c r="I502" s="314"/>
      <c r="J502" s="314"/>
      <c r="K502" s="314"/>
      <c r="L502" s="776"/>
      <c r="M502" s="314"/>
      <c r="N502" s="318"/>
      <c r="O502" s="315"/>
      <c r="P502" s="314"/>
      <c r="Q502" s="314"/>
      <c r="R502" s="314"/>
      <c r="S502" s="777"/>
      <c r="T502" s="314"/>
      <c r="U502" s="778"/>
      <c r="V502" s="315"/>
      <c r="W502" s="779"/>
      <c r="X502" s="780"/>
      <c r="Y502" s="314"/>
      <c r="Z502" s="314"/>
      <c r="AA502" s="314"/>
      <c r="AB502" s="324"/>
      <c r="AC502" s="155"/>
      <c r="AD502" s="155"/>
      <c r="AE502" s="322"/>
      <c r="AF502" s="132"/>
      <c r="AG502" s="132"/>
    </row>
    <row r="503">
      <c r="A503" s="314"/>
      <c r="B503" s="313"/>
      <c r="C503" s="313"/>
      <c r="D503" s="313"/>
      <c r="E503" s="737"/>
      <c r="F503" s="314"/>
      <c r="G503" s="318"/>
      <c r="H503" s="315"/>
      <c r="I503" s="314"/>
      <c r="J503" s="314"/>
      <c r="K503" s="314"/>
      <c r="L503" s="776"/>
      <c r="M503" s="314"/>
      <c r="N503" s="318"/>
      <c r="O503" s="315"/>
      <c r="P503" s="314"/>
      <c r="Q503" s="314"/>
      <c r="R503" s="314"/>
      <c r="S503" s="777"/>
      <c r="T503" s="314"/>
      <c r="U503" s="778"/>
      <c r="V503" s="315"/>
      <c r="W503" s="779"/>
      <c r="X503" s="780"/>
      <c r="Y503" s="314"/>
      <c r="Z503" s="314"/>
      <c r="AA503" s="314"/>
      <c r="AB503" s="324"/>
      <c r="AC503" s="155"/>
      <c r="AD503" s="155"/>
      <c r="AE503" s="322"/>
      <c r="AF503" s="132"/>
      <c r="AG503" s="132"/>
    </row>
    <row r="504">
      <c r="A504" s="314"/>
      <c r="B504" s="313"/>
      <c r="C504" s="313"/>
      <c r="D504" s="313"/>
      <c r="E504" s="737"/>
      <c r="F504" s="314"/>
      <c r="G504" s="318"/>
      <c r="H504" s="315"/>
      <c r="I504" s="314"/>
      <c r="J504" s="314"/>
      <c r="K504" s="314"/>
      <c r="L504" s="776"/>
      <c r="M504" s="314"/>
      <c r="N504" s="318"/>
      <c r="O504" s="315"/>
      <c r="P504" s="314"/>
      <c r="Q504" s="314"/>
      <c r="R504" s="314"/>
      <c r="S504" s="777"/>
      <c r="T504" s="314"/>
      <c r="U504" s="778"/>
      <c r="V504" s="315"/>
      <c r="W504" s="779"/>
      <c r="X504" s="780"/>
      <c r="Y504" s="314"/>
      <c r="Z504" s="314"/>
      <c r="AA504" s="314"/>
      <c r="AB504" s="324"/>
      <c r="AC504" s="155"/>
      <c r="AD504" s="155"/>
      <c r="AE504" s="322"/>
      <c r="AF504" s="132"/>
      <c r="AG504" s="132"/>
    </row>
    <row r="505">
      <c r="A505" s="314"/>
      <c r="B505" s="313"/>
      <c r="C505" s="313"/>
      <c r="D505" s="313"/>
      <c r="E505" s="737"/>
      <c r="F505" s="314"/>
      <c r="G505" s="318"/>
      <c r="H505" s="315"/>
      <c r="I505" s="314"/>
      <c r="J505" s="314"/>
      <c r="K505" s="314"/>
      <c r="L505" s="776"/>
      <c r="M505" s="314"/>
      <c r="N505" s="318"/>
      <c r="O505" s="315"/>
      <c r="P505" s="314"/>
      <c r="Q505" s="314"/>
      <c r="R505" s="314"/>
      <c r="S505" s="777"/>
      <c r="T505" s="314"/>
      <c r="U505" s="778"/>
      <c r="V505" s="315"/>
      <c r="W505" s="779"/>
      <c r="X505" s="780"/>
      <c r="Y505" s="314"/>
      <c r="Z505" s="314"/>
      <c r="AA505" s="314"/>
      <c r="AB505" s="324"/>
      <c r="AC505" s="155"/>
      <c r="AD505" s="155"/>
      <c r="AE505" s="322"/>
      <c r="AF505" s="132"/>
      <c r="AG505" s="132"/>
    </row>
    <row r="506">
      <c r="A506" s="314"/>
      <c r="B506" s="313"/>
      <c r="C506" s="313"/>
      <c r="D506" s="313"/>
      <c r="E506" s="737"/>
      <c r="F506" s="314"/>
      <c r="G506" s="318"/>
      <c r="H506" s="315"/>
      <c r="I506" s="314"/>
      <c r="J506" s="314"/>
      <c r="K506" s="314"/>
      <c r="L506" s="776"/>
      <c r="M506" s="314"/>
      <c r="N506" s="318"/>
      <c r="O506" s="315"/>
      <c r="P506" s="314"/>
      <c r="Q506" s="314"/>
      <c r="R506" s="314"/>
      <c r="S506" s="777"/>
      <c r="T506" s="314"/>
      <c r="U506" s="778"/>
      <c r="V506" s="315"/>
      <c r="W506" s="779"/>
      <c r="X506" s="780"/>
      <c r="Y506" s="314"/>
      <c r="Z506" s="314"/>
      <c r="AA506" s="314"/>
      <c r="AB506" s="324"/>
      <c r="AC506" s="155"/>
      <c r="AD506" s="155"/>
      <c r="AE506" s="322"/>
      <c r="AF506" s="132"/>
      <c r="AG506" s="132"/>
    </row>
    <row r="507">
      <c r="A507" s="314"/>
      <c r="B507" s="313"/>
      <c r="C507" s="313"/>
      <c r="D507" s="313"/>
      <c r="E507" s="737"/>
      <c r="F507" s="314"/>
      <c r="G507" s="318"/>
      <c r="H507" s="315"/>
      <c r="I507" s="314"/>
      <c r="J507" s="314"/>
      <c r="K507" s="314"/>
      <c r="L507" s="776"/>
      <c r="M507" s="314"/>
      <c r="N507" s="318"/>
      <c r="O507" s="315"/>
      <c r="P507" s="314"/>
      <c r="Q507" s="314"/>
      <c r="R507" s="314"/>
      <c r="S507" s="777"/>
      <c r="T507" s="314"/>
      <c r="U507" s="778"/>
      <c r="V507" s="315"/>
      <c r="W507" s="779"/>
      <c r="X507" s="780"/>
      <c r="Y507" s="314"/>
      <c r="Z507" s="314"/>
      <c r="AA507" s="314"/>
      <c r="AB507" s="324"/>
      <c r="AC507" s="155"/>
      <c r="AD507" s="155"/>
      <c r="AE507" s="322"/>
      <c r="AF507" s="132"/>
      <c r="AG507" s="132"/>
    </row>
    <row r="508">
      <c r="A508" s="314"/>
      <c r="B508" s="313"/>
      <c r="C508" s="313"/>
      <c r="D508" s="313"/>
      <c r="E508" s="737"/>
      <c r="F508" s="314"/>
      <c r="G508" s="318"/>
      <c r="H508" s="315"/>
      <c r="I508" s="314"/>
      <c r="J508" s="314"/>
      <c r="K508" s="314"/>
      <c r="L508" s="776"/>
      <c r="M508" s="314"/>
      <c r="N508" s="318"/>
      <c r="O508" s="315"/>
      <c r="P508" s="314"/>
      <c r="Q508" s="314"/>
      <c r="R508" s="314"/>
      <c r="S508" s="777"/>
      <c r="T508" s="314"/>
      <c r="U508" s="778"/>
      <c r="V508" s="315"/>
      <c r="W508" s="779"/>
      <c r="X508" s="780"/>
      <c r="Y508" s="314"/>
      <c r="Z508" s="314"/>
      <c r="AA508" s="314"/>
      <c r="AB508" s="324"/>
      <c r="AC508" s="155"/>
      <c r="AD508" s="155"/>
      <c r="AE508" s="322"/>
      <c r="AF508" s="132"/>
      <c r="AG508" s="132"/>
    </row>
    <row r="509">
      <c r="A509" s="314"/>
      <c r="B509" s="313"/>
      <c r="C509" s="313"/>
      <c r="D509" s="313"/>
      <c r="E509" s="737"/>
      <c r="F509" s="314"/>
      <c r="G509" s="318"/>
      <c r="H509" s="315"/>
      <c r="I509" s="314"/>
      <c r="J509" s="314"/>
      <c r="K509" s="314"/>
      <c r="L509" s="776"/>
      <c r="M509" s="314"/>
      <c r="N509" s="318"/>
      <c r="O509" s="315"/>
      <c r="P509" s="314"/>
      <c r="Q509" s="314"/>
      <c r="R509" s="314"/>
      <c r="S509" s="777"/>
      <c r="T509" s="314"/>
      <c r="U509" s="778"/>
      <c r="V509" s="315"/>
      <c r="W509" s="779"/>
      <c r="X509" s="780"/>
      <c r="Y509" s="314"/>
      <c r="Z509" s="314"/>
      <c r="AA509" s="314"/>
      <c r="AB509" s="324"/>
      <c r="AC509" s="155"/>
      <c r="AD509" s="155"/>
      <c r="AE509" s="322"/>
      <c r="AF509" s="132"/>
      <c r="AG509" s="132"/>
    </row>
    <row r="510">
      <c r="A510" s="314"/>
      <c r="B510" s="313"/>
      <c r="C510" s="313"/>
      <c r="D510" s="313"/>
      <c r="E510" s="737"/>
      <c r="F510" s="314"/>
      <c r="G510" s="318"/>
      <c r="H510" s="315"/>
      <c r="I510" s="314"/>
      <c r="J510" s="314"/>
      <c r="K510" s="314"/>
      <c r="L510" s="776"/>
      <c r="M510" s="314"/>
      <c r="N510" s="318"/>
      <c r="O510" s="315"/>
      <c r="P510" s="314"/>
      <c r="Q510" s="314"/>
      <c r="R510" s="314"/>
      <c r="S510" s="777"/>
      <c r="T510" s="314"/>
      <c r="U510" s="778"/>
      <c r="V510" s="315"/>
      <c r="W510" s="779"/>
      <c r="X510" s="780"/>
      <c r="Y510" s="314"/>
      <c r="Z510" s="314"/>
      <c r="AA510" s="314"/>
      <c r="AB510" s="324"/>
      <c r="AC510" s="155"/>
      <c r="AD510" s="155"/>
      <c r="AE510" s="322"/>
      <c r="AF510" s="132"/>
      <c r="AG510" s="132"/>
    </row>
    <row r="511">
      <c r="A511" s="314"/>
      <c r="B511" s="313"/>
      <c r="C511" s="313"/>
      <c r="D511" s="313"/>
      <c r="E511" s="737"/>
      <c r="F511" s="314"/>
      <c r="G511" s="318"/>
      <c r="H511" s="315"/>
      <c r="I511" s="314"/>
      <c r="J511" s="314"/>
      <c r="K511" s="314"/>
      <c r="L511" s="776"/>
      <c r="M511" s="314"/>
      <c r="N511" s="318"/>
      <c r="O511" s="315"/>
      <c r="P511" s="314"/>
      <c r="Q511" s="314"/>
      <c r="R511" s="314"/>
      <c r="S511" s="777"/>
      <c r="T511" s="314"/>
      <c r="U511" s="778"/>
      <c r="V511" s="315"/>
      <c r="W511" s="779"/>
      <c r="X511" s="780"/>
      <c r="Y511" s="314"/>
      <c r="Z511" s="314"/>
      <c r="AA511" s="314"/>
      <c r="AB511" s="324"/>
      <c r="AC511" s="155"/>
      <c r="AD511" s="155"/>
      <c r="AE511" s="322"/>
      <c r="AF511" s="132"/>
      <c r="AG511" s="132"/>
    </row>
    <row r="512">
      <c r="A512" s="314"/>
      <c r="B512" s="313"/>
      <c r="C512" s="313"/>
      <c r="D512" s="313"/>
      <c r="E512" s="737"/>
      <c r="F512" s="314"/>
      <c r="G512" s="318"/>
      <c r="H512" s="315"/>
      <c r="I512" s="314"/>
      <c r="J512" s="314"/>
      <c r="K512" s="314"/>
      <c r="L512" s="776"/>
      <c r="M512" s="314"/>
      <c r="N512" s="318"/>
      <c r="O512" s="315"/>
      <c r="P512" s="314"/>
      <c r="Q512" s="314"/>
      <c r="R512" s="314"/>
      <c r="S512" s="777"/>
      <c r="T512" s="314"/>
      <c r="U512" s="778"/>
      <c r="V512" s="315"/>
      <c r="W512" s="779"/>
      <c r="X512" s="780"/>
      <c r="Y512" s="314"/>
      <c r="Z512" s="314"/>
      <c r="AA512" s="314"/>
      <c r="AB512" s="324"/>
      <c r="AC512" s="155"/>
      <c r="AD512" s="155"/>
      <c r="AE512" s="322"/>
      <c r="AF512" s="132"/>
      <c r="AG512" s="132"/>
    </row>
    <row r="513">
      <c r="A513" s="314"/>
      <c r="B513" s="313"/>
      <c r="C513" s="313"/>
      <c r="D513" s="313"/>
      <c r="E513" s="737"/>
      <c r="F513" s="314"/>
      <c r="G513" s="318"/>
      <c r="H513" s="315"/>
      <c r="I513" s="314"/>
      <c r="J513" s="314"/>
      <c r="K513" s="314"/>
      <c r="L513" s="776"/>
      <c r="M513" s="314"/>
      <c r="N513" s="318"/>
      <c r="O513" s="315"/>
      <c r="P513" s="314"/>
      <c r="Q513" s="314"/>
      <c r="R513" s="314"/>
      <c r="S513" s="777"/>
      <c r="T513" s="314"/>
      <c r="U513" s="778"/>
      <c r="V513" s="315"/>
      <c r="W513" s="779"/>
      <c r="X513" s="780"/>
      <c r="Y513" s="314"/>
      <c r="Z513" s="314"/>
      <c r="AA513" s="314"/>
      <c r="AB513" s="324"/>
      <c r="AC513" s="155"/>
      <c r="AD513" s="155"/>
      <c r="AE513" s="322"/>
      <c r="AF513" s="132"/>
      <c r="AG513" s="132"/>
    </row>
    <row r="514">
      <c r="A514" s="314"/>
      <c r="B514" s="313"/>
      <c r="C514" s="313"/>
      <c r="D514" s="313"/>
      <c r="E514" s="737"/>
      <c r="F514" s="314"/>
      <c r="G514" s="318"/>
      <c r="H514" s="315"/>
      <c r="I514" s="314"/>
      <c r="J514" s="314"/>
      <c r="K514" s="314"/>
      <c r="L514" s="776"/>
      <c r="M514" s="314"/>
      <c r="N514" s="318"/>
      <c r="O514" s="315"/>
      <c r="P514" s="314"/>
      <c r="Q514" s="314"/>
      <c r="R514" s="314"/>
      <c r="S514" s="777"/>
      <c r="T514" s="314"/>
      <c r="U514" s="778"/>
      <c r="V514" s="315"/>
      <c r="W514" s="779"/>
      <c r="X514" s="780"/>
      <c r="Y514" s="314"/>
      <c r="Z514" s="314"/>
      <c r="AA514" s="314"/>
      <c r="AB514" s="324"/>
      <c r="AC514" s="155"/>
      <c r="AD514" s="155"/>
      <c r="AE514" s="322"/>
      <c r="AF514" s="132"/>
      <c r="AG514" s="132"/>
    </row>
    <row r="515">
      <c r="A515" s="314"/>
      <c r="B515" s="313"/>
      <c r="C515" s="313"/>
      <c r="D515" s="313"/>
      <c r="E515" s="737"/>
      <c r="F515" s="314"/>
      <c r="G515" s="318"/>
      <c r="H515" s="315"/>
      <c r="I515" s="314"/>
      <c r="J515" s="314"/>
      <c r="K515" s="314"/>
      <c r="L515" s="776"/>
      <c r="M515" s="314"/>
      <c r="N515" s="318"/>
      <c r="O515" s="315"/>
      <c r="P515" s="314"/>
      <c r="Q515" s="314"/>
      <c r="R515" s="314"/>
      <c r="S515" s="777"/>
      <c r="T515" s="314"/>
      <c r="U515" s="778"/>
      <c r="V515" s="315"/>
      <c r="W515" s="779"/>
      <c r="X515" s="780"/>
      <c r="Y515" s="314"/>
      <c r="Z515" s="314"/>
      <c r="AA515" s="314"/>
      <c r="AB515" s="324"/>
      <c r="AC515" s="155"/>
      <c r="AD515" s="155"/>
      <c r="AE515" s="322"/>
      <c r="AF515" s="132"/>
      <c r="AG515" s="132"/>
    </row>
    <row r="516">
      <c r="A516" s="314"/>
      <c r="B516" s="313"/>
      <c r="C516" s="313"/>
      <c r="D516" s="313"/>
      <c r="E516" s="737"/>
      <c r="F516" s="314"/>
      <c r="G516" s="318"/>
      <c r="H516" s="315"/>
      <c r="I516" s="314"/>
      <c r="J516" s="314"/>
      <c r="K516" s="314"/>
      <c r="L516" s="776"/>
      <c r="M516" s="314"/>
      <c r="N516" s="318"/>
      <c r="O516" s="315"/>
      <c r="P516" s="314"/>
      <c r="Q516" s="314"/>
      <c r="R516" s="314"/>
      <c r="S516" s="777"/>
      <c r="T516" s="314"/>
      <c r="U516" s="778"/>
      <c r="V516" s="315"/>
      <c r="W516" s="779"/>
      <c r="X516" s="780"/>
      <c r="Y516" s="314"/>
      <c r="Z516" s="314"/>
      <c r="AA516" s="314"/>
      <c r="AB516" s="324"/>
      <c r="AC516" s="155"/>
      <c r="AD516" s="155"/>
      <c r="AE516" s="322"/>
      <c r="AF516" s="132"/>
      <c r="AG516" s="132"/>
    </row>
    <row r="517">
      <c r="A517" s="314"/>
      <c r="B517" s="313"/>
      <c r="C517" s="313"/>
      <c r="D517" s="313"/>
      <c r="E517" s="737"/>
      <c r="F517" s="314"/>
      <c r="G517" s="318"/>
      <c r="H517" s="315"/>
      <c r="I517" s="314"/>
      <c r="J517" s="314"/>
      <c r="K517" s="314"/>
      <c r="L517" s="776"/>
      <c r="M517" s="314"/>
      <c r="N517" s="318"/>
      <c r="O517" s="315"/>
      <c r="P517" s="314"/>
      <c r="Q517" s="314"/>
      <c r="R517" s="314"/>
      <c r="S517" s="777"/>
      <c r="T517" s="314"/>
      <c r="U517" s="778"/>
      <c r="V517" s="315"/>
      <c r="W517" s="779"/>
      <c r="X517" s="780"/>
      <c r="Y517" s="314"/>
      <c r="Z517" s="314"/>
      <c r="AA517" s="314"/>
      <c r="AB517" s="324"/>
      <c r="AC517" s="155"/>
      <c r="AD517" s="155"/>
      <c r="AE517" s="322"/>
      <c r="AF517" s="132"/>
      <c r="AG517" s="132"/>
    </row>
    <row r="518">
      <c r="A518" s="314"/>
      <c r="B518" s="313"/>
      <c r="C518" s="313"/>
      <c r="D518" s="313"/>
      <c r="E518" s="737"/>
      <c r="F518" s="314"/>
      <c r="G518" s="318"/>
      <c r="H518" s="315"/>
      <c r="I518" s="314"/>
      <c r="J518" s="314"/>
      <c r="K518" s="314"/>
      <c r="L518" s="776"/>
      <c r="M518" s="314"/>
      <c r="N518" s="318"/>
      <c r="O518" s="315"/>
      <c r="P518" s="314"/>
      <c r="Q518" s="314"/>
      <c r="R518" s="314"/>
      <c r="S518" s="777"/>
      <c r="T518" s="314"/>
      <c r="U518" s="778"/>
      <c r="V518" s="315"/>
      <c r="W518" s="779"/>
      <c r="X518" s="780"/>
      <c r="Y518" s="314"/>
      <c r="Z518" s="314"/>
      <c r="AA518" s="314"/>
      <c r="AB518" s="324"/>
      <c r="AC518" s="155"/>
      <c r="AD518" s="155"/>
      <c r="AE518" s="322"/>
      <c r="AF518" s="132"/>
      <c r="AG518" s="132"/>
    </row>
    <row r="519">
      <c r="A519" s="314"/>
      <c r="B519" s="313"/>
      <c r="C519" s="313"/>
      <c r="D519" s="313"/>
      <c r="E519" s="737"/>
      <c r="F519" s="314"/>
      <c r="G519" s="318"/>
      <c r="H519" s="315"/>
      <c r="I519" s="314"/>
      <c r="J519" s="314"/>
      <c r="K519" s="314"/>
      <c r="L519" s="776"/>
      <c r="M519" s="314"/>
      <c r="N519" s="318"/>
      <c r="O519" s="315"/>
      <c r="P519" s="314"/>
      <c r="Q519" s="314"/>
      <c r="R519" s="314"/>
      <c r="S519" s="777"/>
      <c r="T519" s="314"/>
      <c r="U519" s="778"/>
      <c r="V519" s="315"/>
      <c r="W519" s="779"/>
      <c r="X519" s="780"/>
      <c r="Y519" s="314"/>
      <c r="Z519" s="314"/>
      <c r="AA519" s="314"/>
      <c r="AB519" s="324"/>
      <c r="AC519" s="155"/>
      <c r="AD519" s="155"/>
      <c r="AE519" s="322"/>
      <c r="AF519" s="132"/>
      <c r="AG519" s="132"/>
    </row>
    <row r="520">
      <c r="A520" s="314"/>
      <c r="B520" s="313"/>
      <c r="C520" s="313"/>
      <c r="D520" s="313"/>
      <c r="E520" s="737"/>
      <c r="F520" s="314"/>
      <c r="G520" s="318"/>
      <c r="H520" s="315"/>
      <c r="I520" s="314"/>
      <c r="J520" s="314"/>
      <c r="K520" s="314"/>
      <c r="L520" s="776"/>
      <c r="M520" s="314"/>
      <c r="N520" s="318"/>
      <c r="O520" s="315"/>
      <c r="P520" s="314"/>
      <c r="Q520" s="314"/>
      <c r="R520" s="314"/>
      <c r="S520" s="777"/>
      <c r="T520" s="314"/>
      <c r="U520" s="778"/>
      <c r="V520" s="315"/>
      <c r="W520" s="779"/>
      <c r="X520" s="780"/>
      <c r="Y520" s="314"/>
      <c r="Z520" s="314"/>
      <c r="AA520" s="314"/>
      <c r="AB520" s="324"/>
      <c r="AC520" s="155"/>
      <c r="AD520" s="155"/>
      <c r="AE520" s="322"/>
      <c r="AF520" s="132"/>
      <c r="AG520" s="132"/>
    </row>
    <row r="521">
      <c r="A521" s="314"/>
      <c r="B521" s="313"/>
      <c r="C521" s="313"/>
      <c r="D521" s="313"/>
      <c r="E521" s="737"/>
      <c r="F521" s="314"/>
      <c r="G521" s="318"/>
      <c r="H521" s="315"/>
      <c r="I521" s="314"/>
      <c r="J521" s="314"/>
      <c r="K521" s="314"/>
      <c r="L521" s="776"/>
      <c r="M521" s="314"/>
      <c r="N521" s="318"/>
      <c r="O521" s="315"/>
      <c r="P521" s="314"/>
      <c r="Q521" s="314"/>
      <c r="R521" s="314"/>
      <c r="S521" s="777"/>
      <c r="T521" s="314"/>
      <c r="U521" s="778"/>
      <c r="V521" s="315"/>
      <c r="W521" s="779"/>
      <c r="X521" s="780"/>
      <c r="Y521" s="314"/>
      <c r="Z521" s="314"/>
      <c r="AA521" s="314"/>
      <c r="AB521" s="324"/>
      <c r="AC521" s="155"/>
      <c r="AD521" s="155"/>
      <c r="AE521" s="322"/>
      <c r="AF521" s="132"/>
      <c r="AG521" s="132"/>
    </row>
    <row r="522">
      <c r="A522" s="314"/>
      <c r="B522" s="313"/>
      <c r="C522" s="313"/>
      <c r="D522" s="313"/>
      <c r="E522" s="737"/>
      <c r="F522" s="314"/>
      <c r="G522" s="318"/>
      <c r="H522" s="315"/>
      <c r="I522" s="314"/>
      <c r="J522" s="314"/>
      <c r="K522" s="314"/>
      <c r="L522" s="776"/>
      <c r="M522" s="314"/>
      <c r="N522" s="318"/>
      <c r="O522" s="315"/>
      <c r="P522" s="314"/>
      <c r="Q522" s="314"/>
      <c r="R522" s="314"/>
      <c r="S522" s="777"/>
      <c r="T522" s="314"/>
      <c r="U522" s="778"/>
      <c r="V522" s="315"/>
      <c r="W522" s="779"/>
      <c r="X522" s="780"/>
      <c r="Y522" s="314"/>
      <c r="Z522" s="314"/>
      <c r="AA522" s="314"/>
      <c r="AB522" s="324"/>
      <c r="AC522" s="155"/>
      <c r="AD522" s="155"/>
      <c r="AE522" s="322"/>
      <c r="AF522" s="132"/>
      <c r="AG522" s="132"/>
    </row>
    <row r="523">
      <c r="A523" s="314"/>
      <c r="B523" s="313"/>
      <c r="C523" s="313"/>
      <c r="D523" s="313"/>
      <c r="E523" s="737"/>
      <c r="F523" s="314"/>
      <c r="G523" s="318"/>
      <c r="H523" s="315"/>
      <c r="I523" s="314"/>
      <c r="J523" s="314"/>
      <c r="K523" s="314"/>
      <c r="L523" s="776"/>
      <c r="M523" s="314"/>
      <c r="N523" s="318"/>
      <c r="O523" s="315"/>
      <c r="P523" s="314"/>
      <c r="Q523" s="314"/>
      <c r="R523" s="314"/>
      <c r="S523" s="777"/>
      <c r="T523" s="314"/>
      <c r="U523" s="778"/>
      <c r="V523" s="315"/>
      <c r="W523" s="779"/>
      <c r="X523" s="780"/>
      <c r="Y523" s="314"/>
      <c r="Z523" s="314"/>
      <c r="AA523" s="314"/>
      <c r="AB523" s="324"/>
      <c r="AC523" s="155"/>
      <c r="AD523" s="155"/>
      <c r="AE523" s="322"/>
      <c r="AF523" s="132"/>
      <c r="AG523" s="132"/>
    </row>
    <row r="524">
      <c r="A524" s="314"/>
      <c r="B524" s="313"/>
      <c r="C524" s="313"/>
      <c r="D524" s="313"/>
      <c r="E524" s="737"/>
      <c r="F524" s="314"/>
      <c r="G524" s="318"/>
      <c r="H524" s="315"/>
      <c r="I524" s="314"/>
      <c r="J524" s="314"/>
      <c r="K524" s="314"/>
      <c r="L524" s="776"/>
      <c r="M524" s="314"/>
      <c r="N524" s="318"/>
      <c r="O524" s="315"/>
      <c r="P524" s="314"/>
      <c r="Q524" s="314"/>
      <c r="R524" s="314"/>
      <c r="S524" s="777"/>
      <c r="T524" s="314"/>
      <c r="U524" s="778"/>
      <c r="V524" s="315"/>
      <c r="W524" s="779"/>
      <c r="X524" s="780"/>
      <c r="Y524" s="314"/>
      <c r="Z524" s="314"/>
      <c r="AA524" s="314"/>
      <c r="AB524" s="324"/>
      <c r="AC524" s="155"/>
      <c r="AD524" s="155"/>
      <c r="AE524" s="322"/>
      <c r="AF524" s="132"/>
      <c r="AG524" s="132"/>
    </row>
    <row r="525">
      <c r="A525" s="314"/>
      <c r="B525" s="313"/>
      <c r="C525" s="313"/>
      <c r="D525" s="313"/>
      <c r="E525" s="737"/>
      <c r="F525" s="314"/>
      <c r="G525" s="318"/>
      <c r="H525" s="315"/>
      <c r="I525" s="314"/>
      <c r="J525" s="314"/>
      <c r="K525" s="314"/>
      <c r="L525" s="776"/>
      <c r="M525" s="314"/>
      <c r="N525" s="318"/>
      <c r="O525" s="315"/>
      <c r="P525" s="314"/>
      <c r="Q525" s="314"/>
      <c r="R525" s="314"/>
      <c r="S525" s="777"/>
      <c r="T525" s="314"/>
      <c r="U525" s="778"/>
      <c r="V525" s="315"/>
      <c r="W525" s="779"/>
      <c r="X525" s="780"/>
      <c r="Y525" s="314"/>
      <c r="Z525" s="314"/>
      <c r="AA525" s="314"/>
      <c r="AB525" s="324"/>
      <c r="AC525" s="155"/>
      <c r="AD525" s="155"/>
      <c r="AE525" s="322"/>
      <c r="AF525" s="132"/>
      <c r="AG525" s="132"/>
    </row>
    <row r="526">
      <c r="A526" s="314"/>
      <c r="B526" s="313"/>
      <c r="C526" s="313"/>
      <c r="D526" s="313"/>
      <c r="E526" s="737"/>
      <c r="F526" s="314"/>
      <c r="G526" s="318"/>
      <c r="H526" s="315"/>
      <c r="I526" s="314"/>
      <c r="J526" s="314"/>
      <c r="K526" s="314"/>
      <c r="L526" s="776"/>
      <c r="M526" s="314"/>
      <c r="N526" s="318"/>
      <c r="O526" s="315"/>
      <c r="P526" s="314"/>
      <c r="Q526" s="314"/>
      <c r="R526" s="314"/>
      <c r="S526" s="777"/>
      <c r="T526" s="314"/>
      <c r="U526" s="778"/>
      <c r="V526" s="315"/>
      <c r="W526" s="779"/>
      <c r="X526" s="780"/>
      <c r="Y526" s="314"/>
      <c r="Z526" s="314"/>
      <c r="AA526" s="314"/>
      <c r="AB526" s="324"/>
      <c r="AC526" s="155"/>
      <c r="AD526" s="155"/>
      <c r="AE526" s="322"/>
      <c r="AF526" s="132"/>
      <c r="AG526" s="132"/>
    </row>
    <row r="527">
      <c r="A527" s="314"/>
      <c r="B527" s="313"/>
      <c r="C527" s="313"/>
      <c r="D527" s="313"/>
      <c r="E527" s="737"/>
      <c r="F527" s="314"/>
      <c r="G527" s="318"/>
      <c r="H527" s="315"/>
      <c r="I527" s="314"/>
      <c r="J527" s="314"/>
      <c r="K527" s="314"/>
      <c r="L527" s="776"/>
      <c r="M527" s="314"/>
      <c r="N527" s="318"/>
      <c r="O527" s="315"/>
      <c r="P527" s="314"/>
      <c r="Q527" s="314"/>
      <c r="R527" s="314"/>
      <c r="S527" s="777"/>
      <c r="T527" s="314"/>
      <c r="U527" s="778"/>
      <c r="V527" s="315"/>
      <c r="W527" s="779"/>
      <c r="X527" s="780"/>
      <c r="Y527" s="314"/>
      <c r="Z527" s="314"/>
      <c r="AA527" s="314"/>
      <c r="AB527" s="324"/>
      <c r="AC527" s="155"/>
      <c r="AD527" s="155"/>
      <c r="AE527" s="322"/>
      <c r="AF527" s="132"/>
      <c r="AG527" s="132"/>
    </row>
    <row r="528">
      <c r="A528" s="435"/>
      <c r="B528" s="313"/>
      <c r="C528" s="437"/>
      <c r="D528" s="313"/>
      <c r="E528" s="753"/>
      <c r="F528" s="314"/>
      <c r="G528" s="318"/>
      <c r="H528" s="744"/>
      <c r="I528" s="435"/>
      <c r="J528" s="314"/>
      <c r="K528" s="435"/>
      <c r="L528" s="781"/>
      <c r="M528" s="314"/>
      <c r="N528" s="318"/>
      <c r="O528" s="315"/>
      <c r="P528" s="435"/>
      <c r="Q528" s="435"/>
      <c r="R528" s="435"/>
      <c r="S528" s="782"/>
      <c r="T528" s="435"/>
      <c r="U528" s="783"/>
      <c r="V528" s="744"/>
      <c r="W528" s="784"/>
      <c r="X528" s="785"/>
      <c r="Y528" s="435"/>
      <c r="Z528" s="435"/>
      <c r="AA528" s="435"/>
      <c r="AB528" s="324"/>
      <c r="AC528" s="180"/>
      <c r="AD528" s="155"/>
      <c r="AE528" s="322"/>
      <c r="AF528" s="132"/>
      <c r="AG528" s="132"/>
    </row>
    <row r="529">
      <c r="A529" s="435"/>
      <c r="B529" s="313"/>
      <c r="C529" s="313"/>
      <c r="D529" s="437"/>
      <c r="E529" s="737"/>
      <c r="F529" s="314"/>
      <c r="G529" s="318"/>
      <c r="H529" s="315"/>
      <c r="I529" s="314"/>
      <c r="J529" s="314"/>
      <c r="K529" s="314"/>
      <c r="L529" s="776"/>
      <c r="M529" s="435"/>
      <c r="N529" s="740"/>
      <c r="O529" s="315"/>
      <c r="P529" s="314"/>
      <c r="Q529" s="314"/>
      <c r="R529" s="314"/>
      <c r="S529" s="777"/>
      <c r="T529" s="314"/>
      <c r="U529" s="778"/>
      <c r="V529" s="315"/>
      <c r="W529" s="779"/>
      <c r="X529" s="780"/>
      <c r="Y529" s="314"/>
      <c r="Z529" s="314"/>
      <c r="AA529" s="314"/>
      <c r="AB529" s="324"/>
      <c r="AC529" s="180"/>
      <c r="AD529" s="155"/>
      <c r="AE529" s="322"/>
      <c r="AF529" s="132"/>
      <c r="AG529" s="132"/>
    </row>
    <row r="530">
      <c r="A530" s="435"/>
      <c r="B530" s="437"/>
      <c r="C530" s="437"/>
      <c r="D530" s="437"/>
      <c r="E530" s="753"/>
      <c r="F530" s="314"/>
      <c r="G530" s="318"/>
      <c r="H530" s="315"/>
      <c r="I530" s="435"/>
      <c r="J530" s="435"/>
      <c r="K530" s="435"/>
      <c r="L530" s="781"/>
      <c r="M530" s="435"/>
      <c r="N530" s="740"/>
      <c r="O530" s="315"/>
      <c r="P530" s="435"/>
      <c r="Q530" s="314"/>
      <c r="R530" s="435"/>
      <c r="S530" s="782"/>
      <c r="T530" s="435"/>
      <c r="U530" s="783"/>
      <c r="V530" s="744"/>
      <c r="W530" s="784"/>
      <c r="X530" s="785"/>
      <c r="Y530" s="435"/>
      <c r="Z530" s="435"/>
      <c r="AA530" s="435"/>
      <c r="AB530" s="324"/>
      <c r="AC530" s="180"/>
      <c r="AD530" s="155"/>
      <c r="AE530" s="322"/>
      <c r="AF530" s="132"/>
      <c r="AG530" s="132"/>
    </row>
    <row r="531">
      <c r="A531" s="435"/>
      <c r="B531" s="313"/>
      <c r="C531" s="313"/>
      <c r="D531" s="437"/>
      <c r="E531" s="737"/>
      <c r="F531" s="314"/>
      <c r="G531" s="318"/>
      <c r="H531" s="315"/>
      <c r="I531" s="435"/>
      <c r="J531" s="314"/>
      <c r="K531" s="435"/>
      <c r="L531" s="776"/>
      <c r="M531" s="314"/>
      <c r="N531" s="318"/>
      <c r="O531" s="315"/>
      <c r="P531" s="314"/>
      <c r="Q531" s="435"/>
      <c r="R531" s="435"/>
      <c r="S531" s="777"/>
      <c r="T531" s="314"/>
      <c r="U531" s="778"/>
      <c r="V531" s="315"/>
      <c r="W531" s="779"/>
      <c r="X531" s="780"/>
      <c r="Y531" s="314"/>
      <c r="Z531" s="314"/>
      <c r="AA531" s="314"/>
      <c r="AB531" s="324"/>
      <c r="AC531" s="180"/>
      <c r="AD531" s="155"/>
      <c r="AE531" s="322"/>
      <c r="AF531" s="132"/>
      <c r="AG531" s="132"/>
    </row>
    <row r="532">
      <c r="A532" s="435"/>
      <c r="B532" s="437"/>
      <c r="C532" s="437"/>
      <c r="D532" s="437"/>
      <c r="E532" s="753"/>
      <c r="F532" s="314"/>
      <c r="G532" s="318"/>
      <c r="H532" s="744"/>
      <c r="I532" s="435"/>
      <c r="J532" s="435"/>
      <c r="K532" s="435"/>
      <c r="L532" s="781"/>
      <c r="M532" s="435"/>
      <c r="N532" s="740"/>
      <c r="O532" s="315"/>
      <c r="P532" s="435"/>
      <c r="Q532" s="435"/>
      <c r="R532" s="435"/>
      <c r="S532" s="782"/>
      <c r="T532" s="435"/>
      <c r="U532" s="783"/>
      <c r="V532" s="744"/>
      <c r="W532" s="784"/>
      <c r="X532" s="785"/>
      <c r="Y532" s="435"/>
      <c r="Z532" s="435"/>
      <c r="AA532" s="435"/>
      <c r="AB532" s="324"/>
      <c r="AC532" s="180"/>
      <c r="AD532" s="155"/>
      <c r="AE532" s="322"/>
      <c r="AF532" s="132"/>
      <c r="AG532" s="132"/>
    </row>
    <row r="533">
      <c r="A533" s="435"/>
      <c r="B533" s="437"/>
      <c r="C533" s="313"/>
      <c r="D533" s="437"/>
      <c r="E533" s="737"/>
      <c r="F533" s="314"/>
      <c r="G533" s="318"/>
      <c r="H533" s="315"/>
      <c r="I533" s="314"/>
      <c r="J533" s="314"/>
      <c r="K533" s="435"/>
      <c r="L533" s="776"/>
      <c r="M533" s="314"/>
      <c r="N533" s="318"/>
      <c r="O533" s="315"/>
      <c r="P533" s="314"/>
      <c r="Q533" s="314"/>
      <c r="R533" s="314"/>
      <c r="S533" s="782"/>
      <c r="T533" s="435"/>
      <c r="U533" s="783"/>
      <c r="V533" s="744"/>
      <c r="W533" s="784"/>
      <c r="X533" s="785"/>
      <c r="Y533" s="435"/>
      <c r="Z533" s="435"/>
      <c r="AA533" s="435"/>
      <c r="AB533" s="324"/>
      <c r="AC533" s="180"/>
      <c r="AD533" s="155"/>
      <c r="AE533" s="322"/>
      <c r="AF533" s="132"/>
      <c r="AG533" s="132"/>
    </row>
    <row r="534">
      <c r="A534" s="435"/>
      <c r="B534" s="437"/>
      <c r="C534" s="437"/>
      <c r="D534" s="437"/>
      <c r="E534" s="753"/>
      <c r="F534" s="314"/>
      <c r="G534" s="318"/>
      <c r="H534" s="744"/>
      <c r="I534" s="314"/>
      <c r="J534" s="314"/>
      <c r="K534" s="435"/>
      <c r="L534" s="776"/>
      <c r="M534" s="314"/>
      <c r="N534" s="318"/>
      <c r="O534" s="315"/>
      <c r="P534" s="435"/>
      <c r="Q534" s="435"/>
      <c r="R534" s="435"/>
      <c r="S534" s="782"/>
      <c r="T534" s="435"/>
      <c r="U534" s="783"/>
      <c r="V534" s="744"/>
      <c r="W534" s="784"/>
      <c r="X534" s="785"/>
      <c r="Y534" s="435"/>
      <c r="Z534" s="435"/>
      <c r="AA534" s="435"/>
      <c r="AB534" s="324"/>
      <c r="AC534" s="180"/>
      <c r="AD534" s="155"/>
      <c r="AE534" s="322"/>
      <c r="AF534" s="132"/>
      <c r="AG534" s="132"/>
    </row>
    <row r="535">
      <c r="A535" s="435"/>
      <c r="B535" s="437"/>
      <c r="C535" s="437"/>
      <c r="D535" s="437"/>
      <c r="E535" s="753"/>
      <c r="F535" s="314"/>
      <c r="G535" s="318"/>
      <c r="H535" s="744"/>
      <c r="I535" s="435"/>
      <c r="J535" s="435"/>
      <c r="K535" s="435"/>
      <c r="L535" s="781"/>
      <c r="M535" s="435"/>
      <c r="N535" s="740"/>
      <c r="O535" s="315"/>
      <c r="P535" s="435"/>
      <c r="Q535" s="435"/>
      <c r="R535" s="435"/>
      <c r="S535" s="782"/>
      <c r="T535" s="435"/>
      <c r="U535" s="783"/>
      <c r="V535" s="744"/>
      <c r="W535" s="784"/>
      <c r="X535" s="785"/>
      <c r="Y535" s="435"/>
      <c r="Z535" s="435"/>
      <c r="AA535" s="435"/>
      <c r="AB535" s="324"/>
      <c r="AC535" s="180"/>
      <c r="AD535" s="155"/>
      <c r="AE535" s="322"/>
      <c r="AF535" s="132"/>
      <c r="AG535" s="132"/>
    </row>
    <row r="536">
      <c r="A536" s="435"/>
      <c r="B536" s="313"/>
      <c r="C536" s="313"/>
      <c r="D536" s="313"/>
      <c r="E536" s="753"/>
      <c r="F536" s="314"/>
      <c r="G536" s="318"/>
      <c r="H536" s="744"/>
      <c r="I536" s="314"/>
      <c r="J536" s="314"/>
      <c r="K536" s="314"/>
      <c r="L536" s="776"/>
      <c r="M536" s="314"/>
      <c r="N536" s="318"/>
      <c r="O536" s="315"/>
      <c r="P536" s="314"/>
      <c r="Q536" s="314"/>
      <c r="R536" s="314"/>
      <c r="S536" s="777"/>
      <c r="T536" s="314"/>
      <c r="U536" s="778"/>
      <c r="V536" s="315"/>
      <c r="W536" s="779"/>
      <c r="X536" s="780"/>
      <c r="Y536" s="314"/>
      <c r="Z536" s="314"/>
      <c r="AA536" s="314"/>
      <c r="AB536" s="324"/>
      <c r="AC536" s="180"/>
      <c r="AD536" s="155"/>
      <c r="AE536" s="322"/>
      <c r="AF536" s="132"/>
      <c r="AG536" s="132"/>
    </row>
    <row r="537">
      <c r="A537" s="435"/>
      <c r="B537" s="313"/>
      <c r="C537" s="313"/>
      <c r="D537" s="437"/>
      <c r="E537" s="737"/>
      <c r="F537" s="314"/>
      <c r="G537" s="318"/>
      <c r="H537" s="744"/>
      <c r="I537" s="314"/>
      <c r="J537" s="435"/>
      <c r="K537" s="435"/>
      <c r="L537" s="776"/>
      <c r="M537" s="435"/>
      <c r="N537" s="318"/>
      <c r="O537" s="315"/>
      <c r="P537" s="314"/>
      <c r="Q537" s="314"/>
      <c r="R537" s="435"/>
      <c r="S537" s="782"/>
      <c r="T537" s="435"/>
      <c r="U537" s="783"/>
      <c r="V537" s="744"/>
      <c r="W537" s="784"/>
      <c r="X537" s="785"/>
      <c r="Y537" s="435"/>
      <c r="Z537" s="435"/>
      <c r="AA537" s="435"/>
      <c r="AB537" s="324"/>
      <c r="AC537" s="180"/>
      <c r="AD537" s="155"/>
      <c r="AE537" s="322"/>
      <c r="AF537" s="132"/>
      <c r="AG537" s="132"/>
    </row>
    <row r="538">
      <c r="A538" s="435"/>
      <c r="B538" s="313"/>
      <c r="C538" s="313"/>
      <c r="D538" s="313"/>
      <c r="E538" s="737"/>
      <c r="F538" s="314"/>
      <c r="G538" s="318"/>
      <c r="H538" s="315"/>
      <c r="I538" s="314"/>
      <c r="J538" s="314"/>
      <c r="K538" s="314"/>
      <c r="L538" s="776"/>
      <c r="M538" s="314"/>
      <c r="N538" s="318"/>
      <c r="O538" s="315"/>
      <c r="P538" s="314"/>
      <c r="Q538" s="435"/>
      <c r="R538" s="314"/>
      <c r="S538" s="782"/>
      <c r="T538" s="435"/>
      <c r="U538" s="783"/>
      <c r="V538" s="744"/>
      <c r="W538" s="784"/>
      <c r="X538" s="785"/>
      <c r="Y538" s="435"/>
      <c r="Z538" s="435"/>
      <c r="AA538" s="435"/>
      <c r="AB538" s="324"/>
      <c r="AC538" s="180"/>
      <c r="AD538" s="155"/>
      <c r="AE538" s="322"/>
      <c r="AF538" s="132"/>
      <c r="AG538" s="132"/>
    </row>
    <row r="539">
      <c r="A539" s="435"/>
      <c r="B539" s="437"/>
      <c r="C539" s="313"/>
      <c r="D539" s="313"/>
      <c r="E539" s="737"/>
      <c r="F539" s="314"/>
      <c r="G539" s="318"/>
      <c r="H539" s="744"/>
      <c r="I539" s="314"/>
      <c r="J539" s="435"/>
      <c r="K539" s="435"/>
      <c r="L539" s="776"/>
      <c r="M539" s="314"/>
      <c r="N539" s="740"/>
      <c r="O539" s="315"/>
      <c r="P539" s="314"/>
      <c r="Q539" s="314"/>
      <c r="R539" s="435"/>
      <c r="S539" s="782"/>
      <c r="T539" s="435"/>
      <c r="U539" s="783"/>
      <c r="V539" s="744"/>
      <c r="W539" s="784"/>
      <c r="X539" s="785"/>
      <c r="Y539" s="435"/>
      <c r="Z539" s="435"/>
      <c r="AA539" s="435"/>
      <c r="AB539" s="324"/>
      <c r="AC539" s="180"/>
      <c r="AD539" s="155"/>
      <c r="AE539" s="322"/>
      <c r="AF539" s="132"/>
      <c r="AG539" s="132"/>
    </row>
    <row r="540">
      <c r="A540" s="435"/>
      <c r="B540" s="313"/>
      <c r="C540" s="437"/>
      <c r="D540" s="437"/>
      <c r="E540" s="753"/>
      <c r="F540" s="314"/>
      <c r="G540" s="318"/>
      <c r="H540" s="744"/>
      <c r="I540" s="314"/>
      <c r="J540" s="314"/>
      <c r="K540" s="435"/>
      <c r="L540" s="776"/>
      <c r="M540" s="314"/>
      <c r="N540" s="318"/>
      <c r="O540" s="315"/>
      <c r="P540" s="314"/>
      <c r="Q540" s="314"/>
      <c r="R540" s="314"/>
      <c r="S540" s="782"/>
      <c r="T540" s="435"/>
      <c r="U540" s="783"/>
      <c r="V540" s="744"/>
      <c r="W540" s="784"/>
      <c r="X540" s="785"/>
      <c r="Y540" s="435"/>
      <c r="Z540" s="435"/>
      <c r="AA540" s="435"/>
      <c r="AB540" s="324"/>
      <c r="AC540" s="180"/>
      <c r="AD540" s="155"/>
      <c r="AE540" s="322"/>
      <c r="AF540" s="132"/>
      <c r="AG540" s="132"/>
    </row>
    <row r="541">
      <c r="A541" s="435"/>
      <c r="B541" s="313"/>
      <c r="C541" s="313"/>
      <c r="D541" s="313"/>
      <c r="E541" s="737"/>
      <c r="F541" s="314"/>
      <c r="G541" s="318"/>
      <c r="H541" s="744"/>
      <c r="I541" s="314"/>
      <c r="J541" s="314"/>
      <c r="K541" s="314"/>
      <c r="L541" s="776"/>
      <c r="M541" s="314"/>
      <c r="N541" s="318"/>
      <c r="O541" s="315"/>
      <c r="P541" s="314"/>
      <c r="Q541" s="314"/>
      <c r="R541" s="435"/>
      <c r="S541" s="777"/>
      <c r="T541" s="314"/>
      <c r="U541" s="778"/>
      <c r="V541" s="315"/>
      <c r="W541" s="779"/>
      <c r="X541" s="780"/>
      <c r="Y541" s="314"/>
      <c r="Z541" s="314"/>
      <c r="AA541" s="314"/>
      <c r="AB541" s="324"/>
      <c r="AC541" s="180"/>
      <c r="AD541" s="155"/>
      <c r="AE541" s="322"/>
      <c r="AF541" s="132"/>
      <c r="AG541" s="132"/>
    </row>
    <row r="542">
      <c r="A542" s="435"/>
      <c r="B542" s="437"/>
      <c r="C542" s="437"/>
      <c r="D542" s="437"/>
      <c r="E542" s="753"/>
      <c r="F542" s="314"/>
      <c r="G542" s="318"/>
      <c r="H542" s="744"/>
      <c r="I542" s="435"/>
      <c r="J542" s="435"/>
      <c r="K542" s="435"/>
      <c r="L542" s="781"/>
      <c r="M542" s="435"/>
      <c r="N542" s="740"/>
      <c r="O542" s="315"/>
      <c r="P542" s="435"/>
      <c r="Q542" s="435"/>
      <c r="R542" s="435"/>
      <c r="S542" s="782"/>
      <c r="T542" s="435"/>
      <c r="U542" s="783"/>
      <c r="V542" s="744"/>
      <c r="W542" s="784"/>
      <c r="X542" s="785"/>
      <c r="Y542" s="435"/>
      <c r="Z542" s="435"/>
      <c r="AA542" s="435"/>
      <c r="AB542" s="324"/>
      <c r="AC542" s="180"/>
      <c r="AD542" s="155"/>
      <c r="AE542" s="322"/>
      <c r="AF542" s="132"/>
      <c r="AG542" s="132"/>
    </row>
    <row r="543">
      <c r="A543" s="435"/>
      <c r="B543" s="313"/>
      <c r="C543" s="313"/>
      <c r="D543" s="313"/>
      <c r="E543" s="737"/>
      <c r="F543" s="314"/>
      <c r="G543" s="318"/>
      <c r="H543" s="315"/>
      <c r="I543" s="314"/>
      <c r="J543" s="314"/>
      <c r="K543" s="314"/>
      <c r="L543" s="776"/>
      <c r="M543" s="435"/>
      <c r="N543" s="318"/>
      <c r="O543" s="315"/>
      <c r="P543" s="314"/>
      <c r="Q543" s="314"/>
      <c r="R543" s="314"/>
      <c r="S543" s="777"/>
      <c r="T543" s="314"/>
      <c r="U543" s="778"/>
      <c r="V543" s="315"/>
      <c r="W543" s="779"/>
      <c r="X543" s="780"/>
      <c r="Y543" s="314"/>
      <c r="Z543" s="314"/>
      <c r="AA543" s="314"/>
      <c r="AB543" s="324"/>
      <c r="AC543" s="180"/>
      <c r="AD543" s="155"/>
      <c r="AE543" s="322"/>
      <c r="AF543" s="132"/>
      <c r="AG543" s="132"/>
    </row>
    <row r="544">
      <c r="A544" s="435"/>
      <c r="B544" s="313"/>
      <c r="C544" s="437"/>
      <c r="D544" s="437"/>
      <c r="E544" s="753"/>
      <c r="F544" s="314"/>
      <c r="G544" s="318"/>
      <c r="H544" s="744"/>
      <c r="I544" s="435"/>
      <c r="J544" s="435"/>
      <c r="K544" s="435"/>
      <c r="L544" s="776"/>
      <c r="M544" s="435"/>
      <c r="N544" s="740"/>
      <c r="O544" s="315"/>
      <c r="P544" s="435"/>
      <c r="Q544" s="435"/>
      <c r="R544" s="435"/>
      <c r="S544" s="782"/>
      <c r="T544" s="435"/>
      <c r="U544" s="783"/>
      <c r="V544" s="744"/>
      <c r="W544" s="784"/>
      <c r="X544" s="785"/>
      <c r="Y544" s="435"/>
      <c r="Z544" s="435"/>
      <c r="AA544" s="435"/>
      <c r="AB544" s="324"/>
      <c r="AC544" s="180"/>
      <c r="AD544" s="155"/>
      <c r="AE544" s="322"/>
      <c r="AF544" s="132"/>
      <c r="AG544" s="132"/>
    </row>
    <row r="545">
      <c r="A545" s="435"/>
      <c r="B545" s="437"/>
      <c r="C545" s="437"/>
      <c r="D545" s="313"/>
      <c r="E545" s="753"/>
      <c r="F545" s="314"/>
      <c r="G545" s="318"/>
      <c r="H545" s="744"/>
      <c r="I545" s="435"/>
      <c r="J545" s="314"/>
      <c r="K545" s="435"/>
      <c r="L545" s="781"/>
      <c r="M545" s="314"/>
      <c r="N545" s="740"/>
      <c r="O545" s="315"/>
      <c r="P545" s="435"/>
      <c r="Q545" s="314"/>
      <c r="R545" s="435"/>
      <c r="S545" s="782"/>
      <c r="T545" s="435"/>
      <c r="U545" s="783"/>
      <c r="V545" s="744"/>
      <c r="W545" s="784"/>
      <c r="X545" s="785"/>
      <c r="Y545" s="435"/>
      <c r="Z545" s="435"/>
      <c r="AA545" s="435"/>
      <c r="AB545" s="324"/>
      <c r="AC545" s="180"/>
      <c r="AD545" s="155"/>
      <c r="AE545" s="322"/>
      <c r="AF545" s="132"/>
      <c r="AG545" s="132"/>
    </row>
    <row r="546">
      <c r="A546" s="458"/>
      <c r="B546" s="437"/>
      <c r="C546" s="437"/>
      <c r="D546" s="437"/>
      <c r="E546" s="753"/>
      <c r="F546" s="314"/>
      <c r="G546" s="318"/>
      <c r="H546" s="315"/>
      <c r="I546" s="435"/>
      <c r="J546" s="435"/>
      <c r="K546" s="435"/>
      <c r="L546" s="781"/>
      <c r="M546" s="435"/>
      <c r="N546" s="740"/>
      <c r="O546" s="315"/>
      <c r="P546" s="435"/>
      <c r="Q546" s="435"/>
      <c r="R546" s="435"/>
      <c r="S546" s="782"/>
      <c r="T546" s="435"/>
      <c r="U546" s="783"/>
      <c r="V546" s="744"/>
      <c r="W546" s="784"/>
      <c r="X546" s="785"/>
      <c r="Y546" s="435"/>
      <c r="Z546" s="435"/>
      <c r="AA546" s="435"/>
      <c r="AB546" s="324"/>
      <c r="AC546" s="180"/>
      <c r="AD546" s="155"/>
      <c r="AE546" s="322"/>
      <c r="AF546" s="132"/>
      <c r="AG546" s="132"/>
    </row>
    <row r="547">
      <c r="A547" s="458"/>
      <c r="B547" s="437"/>
      <c r="C547" s="437"/>
      <c r="D547" s="437"/>
      <c r="E547" s="753"/>
      <c r="F547" s="314"/>
      <c r="G547" s="318"/>
      <c r="H547" s="315"/>
      <c r="I547" s="314"/>
      <c r="J547" s="435"/>
      <c r="K547" s="435"/>
      <c r="L547" s="781"/>
      <c r="M547" s="435"/>
      <c r="N547" s="740"/>
      <c r="O547" s="315"/>
      <c r="P547" s="435"/>
      <c r="Q547" s="435"/>
      <c r="R547" s="435"/>
      <c r="S547" s="782"/>
      <c r="T547" s="435"/>
      <c r="U547" s="783"/>
      <c r="V547" s="744"/>
      <c r="W547" s="784"/>
      <c r="X547" s="785"/>
      <c r="Y547" s="435"/>
      <c r="Z547" s="435"/>
      <c r="AA547" s="435"/>
      <c r="AB547" s="324"/>
      <c r="AC547" s="180"/>
      <c r="AD547" s="155"/>
      <c r="AE547" s="322"/>
      <c r="AF547" s="132"/>
      <c r="AG547" s="132"/>
    </row>
    <row r="548">
      <c r="A548" s="458"/>
      <c r="B548" s="437"/>
      <c r="C548" s="437"/>
      <c r="D548" s="437"/>
      <c r="E548" s="737"/>
      <c r="F548" s="314"/>
      <c r="G548" s="318"/>
      <c r="H548" s="315"/>
      <c r="I548" s="435"/>
      <c r="J548" s="435"/>
      <c r="K548" s="435"/>
      <c r="L548" s="781"/>
      <c r="M548" s="435"/>
      <c r="N548" s="740"/>
      <c r="O548" s="315"/>
      <c r="P548" s="435"/>
      <c r="Q548" s="314"/>
      <c r="R548" s="435"/>
      <c r="S548" s="782"/>
      <c r="T548" s="435"/>
      <c r="U548" s="783"/>
      <c r="V548" s="744"/>
      <c r="W548" s="784"/>
      <c r="X548" s="785"/>
      <c r="Y548" s="435"/>
      <c r="Z548" s="435"/>
      <c r="AA548" s="435"/>
      <c r="AB548" s="324"/>
      <c r="AC548" s="180"/>
      <c r="AD548" s="155"/>
      <c r="AE548" s="322"/>
      <c r="AF548" s="132"/>
      <c r="AG548" s="132"/>
    </row>
    <row r="549">
      <c r="A549" s="458"/>
      <c r="B549" s="313"/>
      <c r="C549" s="313"/>
      <c r="D549" s="313"/>
      <c r="E549" s="737"/>
      <c r="F549" s="314"/>
      <c r="G549" s="318"/>
      <c r="H549" s="315"/>
      <c r="I549" s="314"/>
      <c r="J549" s="314"/>
      <c r="K549" s="314"/>
      <c r="L549" s="776"/>
      <c r="M549" s="314"/>
      <c r="N549" s="318"/>
      <c r="O549" s="315"/>
      <c r="P549" s="314"/>
      <c r="Q549" s="314"/>
      <c r="R549" s="314"/>
      <c r="S549" s="777"/>
      <c r="T549" s="314"/>
      <c r="U549" s="778"/>
      <c r="V549" s="315"/>
      <c r="W549" s="779"/>
      <c r="X549" s="780"/>
      <c r="Y549" s="314"/>
      <c r="Z549" s="314"/>
      <c r="AA549" s="314"/>
      <c r="AB549" s="324"/>
      <c r="AC549" s="180"/>
      <c r="AD549" s="155"/>
      <c r="AE549" s="322"/>
      <c r="AF549" s="132"/>
      <c r="AG549" s="132"/>
    </row>
    <row r="550">
      <c r="A550" s="458"/>
      <c r="B550" s="437"/>
      <c r="C550" s="437"/>
      <c r="D550" s="437"/>
      <c r="E550" s="737"/>
      <c r="F550" s="314"/>
      <c r="G550" s="318"/>
      <c r="H550" s="315"/>
      <c r="I550" s="314"/>
      <c r="J550" s="314"/>
      <c r="K550" s="435"/>
      <c r="L550" s="781"/>
      <c r="M550" s="435"/>
      <c r="N550" s="318"/>
      <c r="O550" s="315"/>
      <c r="P550" s="435"/>
      <c r="Q550" s="435"/>
      <c r="R550" s="435"/>
      <c r="S550" s="782"/>
      <c r="T550" s="435"/>
      <c r="U550" s="783"/>
      <c r="V550" s="744"/>
      <c r="W550" s="784"/>
      <c r="X550" s="785"/>
      <c r="Y550" s="435"/>
      <c r="Z550" s="435"/>
      <c r="AA550" s="435"/>
      <c r="AB550" s="324"/>
      <c r="AC550" s="180"/>
      <c r="AD550" s="155"/>
      <c r="AE550" s="322"/>
      <c r="AF550" s="132"/>
      <c r="AG550" s="132"/>
    </row>
    <row r="551">
      <c r="A551" s="458"/>
      <c r="B551" s="313"/>
      <c r="C551" s="313"/>
      <c r="D551" s="437"/>
      <c r="E551" s="737"/>
      <c r="F551" s="314"/>
      <c r="G551" s="318"/>
      <c r="H551" s="315"/>
      <c r="I551" s="314"/>
      <c r="J551" s="314"/>
      <c r="K551" s="314"/>
      <c r="L551" s="776"/>
      <c r="M551" s="314"/>
      <c r="N551" s="318"/>
      <c r="O551" s="315"/>
      <c r="P551" s="314"/>
      <c r="Q551" s="314"/>
      <c r="R551" s="314"/>
      <c r="S551" s="777"/>
      <c r="T551" s="314"/>
      <c r="U551" s="778"/>
      <c r="V551" s="315"/>
      <c r="W551" s="779"/>
      <c r="X551" s="780"/>
      <c r="Y551" s="314"/>
      <c r="Z551" s="314"/>
      <c r="AA551" s="314"/>
      <c r="AB551" s="324"/>
      <c r="AC551" s="180"/>
      <c r="AD551" s="155"/>
      <c r="AE551" s="322"/>
      <c r="AF551" s="132"/>
      <c r="AG551" s="132"/>
    </row>
    <row r="552">
      <c r="A552" s="458"/>
      <c r="B552" s="313"/>
      <c r="C552" s="437"/>
      <c r="D552" s="313"/>
      <c r="E552" s="737"/>
      <c r="F552" s="314"/>
      <c r="G552" s="318"/>
      <c r="H552" s="315"/>
      <c r="I552" s="435"/>
      <c r="J552" s="314"/>
      <c r="K552" s="314"/>
      <c r="L552" s="781"/>
      <c r="M552" s="314"/>
      <c r="N552" s="318"/>
      <c r="O552" s="315"/>
      <c r="P552" s="314"/>
      <c r="Q552" s="435"/>
      <c r="R552" s="435"/>
      <c r="S552" s="782"/>
      <c r="T552" s="435"/>
      <c r="U552" s="783"/>
      <c r="V552" s="744"/>
      <c r="W552" s="784"/>
      <c r="X552" s="785"/>
      <c r="Y552" s="435"/>
      <c r="Z552" s="435"/>
      <c r="AA552" s="435"/>
      <c r="AB552" s="324"/>
      <c r="AC552" s="180"/>
      <c r="AD552" s="155"/>
      <c r="AE552" s="322"/>
      <c r="AF552" s="132"/>
      <c r="AG552" s="132"/>
    </row>
    <row r="553">
      <c r="A553" s="458"/>
      <c r="B553" s="313"/>
      <c r="C553" s="437"/>
      <c r="D553" s="437"/>
      <c r="E553" s="753"/>
      <c r="F553" s="314"/>
      <c r="G553" s="318"/>
      <c r="H553" s="744"/>
      <c r="I553" s="435"/>
      <c r="J553" s="314"/>
      <c r="K553" s="435"/>
      <c r="L553" s="781"/>
      <c r="M553" s="314"/>
      <c r="N553" s="318"/>
      <c r="O553" s="315"/>
      <c r="P553" s="435"/>
      <c r="Q553" s="435"/>
      <c r="R553" s="435"/>
      <c r="S553" s="782"/>
      <c r="T553" s="435"/>
      <c r="U553" s="783"/>
      <c r="V553" s="744"/>
      <c r="W553" s="784"/>
      <c r="X553" s="785"/>
      <c r="Y553" s="435"/>
      <c r="Z553" s="435"/>
      <c r="AA553" s="435"/>
      <c r="AB553" s="324"/>
      <c r="AC553" s="180"/>
      <c r="AD553" s="155"/>
      <c r="AE553" s="322"/>
      <c r="AF553" s="132"/>
      <c r="AG553" s="132"/>
    </row>
    <row r="554">
      <c r="A554" s="458"/>
      <c r="B554" s="313"/>
      <c r="C554" s="437"/>
      <c r="D554" s="437"/>
      <c r="E554" s="737"/>
      <c r="F554" s="314"/>
      <c r="G554" s="318"/>
      <c r="H554" s="315"/>
      <c r="I554" s="314"/>
      <c r="J554" s="314"/>
      <c r="K554" s="435"/>
      <c r="L554" s="776"/>
      <c r="M554" s="314"/>
      <c r="N554" s="318"/>
      <c r="O554" s="315"/>
      <c r="P554" s="314"/>
      <c r="Q554" s="314"/>
      <c r="R554" s="435"/>
      <c r="S554" s="782"/>
      <c r="T554" s="435"/>
      <c r="U554" s="783"/>
      <c r="V554" s="744"/>
      <c r="W554" s="784"/>
      <c r="X554" s="785"/>
      <c r="Y554" s="435"/>
      <c r="Z554" s="435"/>
      <c r="AA554" s="435"/>
      <c r="AB554" s="324"/>
      <c r="AC554" s="180"/>
      <c r="AD554" s="155"/>
      <c r="AE554" s="322"/>
      <c r="AF554" s="132"/>
      <c r="AG554" s="132"/>
    </row>
    <row r="555">
      <c r="A555" s="458"/>
      <c r="B555" s="437"/>
      <c r="C555" s="437"/>
      <c r="D555" s="437"/>
      <c r="E555" s="753"/>
      <c r="F555" s="314"/>
      <c r="G555" s="318"/>
      <c r="H555" s="744"/>
      <c r="I555" s="435"/>
      <c r="J555" s="435"/>
      <c r="K555" s="435"/>
      <c r="L555" s="781"/>
      <c r="M555" s="435"/>
      <c r="N555" s="740"/>
      <c r="O555" s="315"/>
      <c r="P555" s="435"/>
      <c r="Q555" s="435"/>
      <c r="R555" s="435"/>
      <c r="S555" s="782"/>
      <c r="T555" s="435"/>
      <c r="U555" s="783"/>
      <c r="V555" s="744"/>
      <c r="W555" s="784"/>
      <c r="X555" s="785"/>
      <c r="Y555" s="435"/>
      <c r="Z555" s="435"/>
      <c r="AA555" s="435"/>
      <c r="AB555" s="324"/>
      <c r="AC555" s="180"/>
      <c r="AD555" s="155"/>
      <c r="AE555" s="322"/>
      <c r="AF555" s="132"/>
      <c r="AG555" s="132"/>
    </row>
    <row r="556">
      <c r="A556" s="435"/>
      <c r="B556" s="437"/>
      <c r="C556" s="437"/>
      <c r="D556" s="437"/>
      <c r="E556" s="753"/>
      <c r="F556" s="314"/>
      <c r="G556" s="318"/>
      <c r="H556" s="744"/>
      <c r="I556" s="435"/>
      <c r="J556" s="435"/>
      <c r="K556" s="435"/>
      <c r="L556" s="781"/>
      <c r="M556" s="435"/>
      <c r="N556" s="740"/>
      <c r="O556" s="315"/>
      <c r="P556" s="435"/>
      <c r="Q556" s="435"/>
      <c r="R556" s="435"/>
      <c r="S556" s="782"/>
      <c r="T556" s="435"/>
      <c r="U556" s="783"/>
      <c r="V556" s="744"/>
      <c r="W556" s="784"/>
      <c r="X556" s="785"/>
      <c r="Y556" s="435"/>
      <c r="Z556" s="435"/>
      <c r="AA556" s="435"/>
      <c r="AB556" s="324"/>
      <c r="AC556" s="180"/>
      <c r="AD556" s="155"/>
      <c r="AE556" s="322"/>
      <c r="AF556" s="132"/>
      <c r="AG556" s="132"/>
    </row>
    <row r="557">
      <c r="A557" s="474"/>
      <c r="B557" s="437"/>
      <c r="C557" s="437"/>
      <c r="D557" s="437"/>
      <c r="E557" s="753"/>
      <c r="F557" s="314"/>
      <c r="G557" s="318"/>
      <c r="H557" s="744"/>
      <c r="I557" s="435"/>
      <c r="J557" s="435"/>
      <c r="K557" s="435"/>
      <c r="L557" s="781"/>
      <c r="M557" s="435"/>
      <c r="N557" s="740"/>
      <c r="O557" s="315"/>
      <c r="P557" s="435"/>
      <c r="Q557" s="435"/>
      <c r="R557" s="435"/>
      <c r="S557" s="782"/>
      <c r="T557" s="435"/>
      <c r="U557" s="783"/>
      <c r="V557" s="744"/>
      <c r="W557" s="784"/>
      <c r="X557" s="785"/>
      <c r="Y557" s="435"/>
      <c r="Z557" s="435"/>
      <c r="AA557" s="435"/>
      <c r="AB557" s="324"/>
      <c r="AC557" s="180"/>
      <c r="AD557" s="155"/>
      <c r="AE557" s="322"/>
      <c r="AF557" s="132"/>
      <c r="AG557" s="132"/>
    </row>
    <row r="558">
      <c r="A558" s="474"/>
      <c r="B558" s="437"/>
      <c r="C558" s="313"/>
      <c r="D558" s="437"/>
      <c r="E558" s="753"/>
      <c r="F558" s="314"/>
      <c r="G558" s="318"/>
      <c r="H558" s="744"/>
      <c r="I558" s="435"/>
      <c r="J558" s="435"/>
      <c r="K558" s="314"/>
      <c r="L558" s="776"/>
      <c r="M558" s="314"/>
      <c r="N558" s="740"/>
      <c r="O558" s="315"/>
      <c r="P558" s="314"/>
      <c r="Q558" s="435"/>
      <c r="R558" s="314"/>
      <c r="S558" s="782"/>
      <c r="T558" s="435"/>
      <c r="U558" s="783"/>
      <c r="V558" s="744"/>
      <c r="W558" s="784"/>
      <c r="X558" s="785"/>
      <c r="Y558" s="435"/>
      <c r="Z558" s="435"/>
      <c r="AA558" s="435"/>
      <c r="AB558" s="324"/>
      <c r="AC558" s="180"/>
      <c r="AD558" s="155"/>
      <c r="AE558" s="322"/>
      <c r="AF558" s="132"/>
      <c r="AG558" s="132"/>
    </row>
    <row r="559">
      <c r="A559" s="474"/>
      <c r="B559" s="313"/>
      <c r="C559" s="313"/>
      <c r="D559" s="313"/>
      <c r="E559" s="737"/>
      <c r="F559" s="314"/>
      <c r="G559" s="318"/>
      <c r="H559" s="315"/>
      <c r="I559" s="314"/>
      <c r="J559" s="314"/>
      <c r="K559" s="435"/>
      <c r="L559" s="776"/>
      <c r="M559" s="314"/>
      <c r="N559" s="318"/>
      <c r="O559" s="315"/>
      <c r="P559" s="435"/>
      <c r="Q559" s="314"/>
      <c r="R559" s="314"/>
      <c r="S559" s="777"/>
      <c r="T559" s="314"/>
      <c r="U559" s="778"/>
      <c r="V559" s="315"/>
      <c r="W559" s="779"/>
      <c r="X559" s="780"/>
      <c r="Y559" s="314"/>
      <c r="Z559" s="314"/>
      <c r="AA559" s="314"/>
      <c r="AB559" s="324"/>
      <c r="AC559" s="180"/>
      <c r="AD559" s="155"/>
      <c r="AE559" s="322"/>
      <c r="AF559" s="132"/>
      <c r="AG559" s="132"/>
    </row>
    <row r="560">
      <c r="A560" s="474"/>
      <c r="B560" s="313"/>
      <c r="C560" s="437"/>
      <c r="D560" s="437"/>
      <c r="E560" s="737"/>
      <c r="F560" s="314"/>
      <c r="G560" s="318"/>
      <c r="H560" s="315"/>
      <c r="I560" s="435"/>
      <c r="J560" s="314"/>
      <c r="K560" s="314"/>
      <c r="L560" s="776"/>
      <c r="M560" s="314"/>
      <c r="N560" s="318"/>
      <c r="O560" s="315"/>
      <c r="P560" s="314"/>
      <c r="Q560" s="314"/>
      <c r="R560" s="314"/>
      <c r="S560" s="777"/>
      <c r="T560" s="314"/>
      <c r="U560" s="778"/>
      <c r="V560" s="315"/>
      <c r="W560" s="779"/>
      <c r="X560" s="780"/>
      <c r="Y560" s="314"/>
      <c r="Z560" s="314"/>
      <c r="AA560" s="314"/>
      <c r="AB560" s="324"/>
      <c r="AC560" s="180"/>
      <c r="AD560" s="155"/>
      <c r="AE560" s="322"/>
      <c r="AF560" s="132"/>
      <c r="AG560" s="132"/>
    </row>
    <row r="561">
      <c r="A561" s="474"/>
      <c r="B561" s="313"/>
      <c r="C561" s="313"/>
      <c r="D561" s="313"/>
      <c r="E561" s="737"/>
      <c r="F561" s="314"/>
      <c r="G561" s="318"/>
      <c r="H561" s="315"/>
      <c r="I561" s="314"/>
      <c r="J561" s="314"/>
      <c r="K561" s="435"/>
      <c r="L561" s="776"/>
      <c r="M561" s="314"/>
      <c r="N561" s="318"/>
      <c r="O561" s="315"/>
      <c r="P561" s="314"/>
      <c r="Q561" s="314"/>
      <c r="R561" s="314"/>
      <c r="S561" s="777"/>
      <c r="T561" s="314"/>
      <c r="U561" s="778"/>
      <c r="V561" s="315"/>
      <c r="W561" s="779"/>
      <c r="X561" s="780"/>
      <c r="Y561" s="314"/>
      <c r="Z561" s="314"/>
      <c r="AA561" s="314"/>
      <c r="AB561" s="324"/>
      <c r="AC561" s="180"/>
      <c r="AD561" s="155"/>
      <c r="AE561" s="322"/>
      <c r="AF561" s="132"/>
      <c r="AG561" s="132"/>
    </row>
    <row r="562">
      <c r="A562" s="458"/>
      <c r="B562" s="313"/>
      <c r="C562" s="437"/>
      <c r="D562" s="313"/>
      <c r="E562" s="737"/>
      <c r="F562" s="314"/>
      <c r="G562" s="318"/>
      <c r="H562" s="315"/>
      <c r="I562" s="314"/>
      <c r="J562" s="435"/>
      <c r="K562" s="435"/>
      <c r="L562" s="776"/>
      <c r="M562" s="314"/>
      <c r="N562" s="318"/>
      <c r="O562" s="315"/>
      <c r="P562" s="314"/>
      <c r="Q562" s="314"/>
      <c r="R562" s="314"/>
      <c r="S562" s="777"/>
      <c r="T562" s="314"/>
      <c r="U562" s="778"/>
      <c r="V562" s="315"/>
      <c r="W562" s="779"/>
      <c r="X562" s="780"/>
      <c r="Y562" s="314"/>
      <c r="Z562" s="314"/>
      <c r="AA562" s="314"/>
      <c r="AB562" s="324"/>
      <c r="AC562" s="180"/>
      <c r="AD562" s="155"/>
      <c r="AE562" s="322"/>
      <c r="AF562" s="132"/>
      <c r="AG562" s="132"/>
    </row>
    <row r="563">
      <c r="A563" s="435"/>
      <c r="B563" s="313"/>
      <c r="C563" s="437"/>
      <c r="D563" s="437"/>
      <c r="E563" s="753"/>
      <c r="F563" s="314"/>
      <c r="G563" s="318"/>
      <c r="H563" s="744"/>
      <c r="I563" s="314"/>
      <c r="J563" s="314"/>
      <c r="K563" s="435"/>
      <c r="L563" s="776"/>
      <c r="M563" s="435"/>
      <c r="N563" s="740"/>
      <c r="O563" s="315"/>
      <c r="P563" s="314"/>
      <c r="Q563" s="314"/>
      <c r="R563" s="435"/>
      <c r="S563" s="777"/>
      <c r="T563" s="314"/>
      <c r="U563" s="778"/>
      <c r="V563" s="315"/>
      <c r="W563" s="779"/>
      <c r="X563" s="780"/>
      <c r="Y563" s="314"/>
      <c r="Z563" s="314"/>
      <c r="AA563" s="314"/>
      <c r="AB563" s="324"/>
      <c r="AC563" s="180"/>
      <c r="AD563" s="155"/>
      <c r="AE563" s="322"/>
      <c r="AF563" s="132"/>
      <c r="AG563" s="132"/>
    </row>
    <row r="564">
      <c r="A564" s="435"/>
      <c r="B564" s="437"/>
      <c r="C564" s="313"/>
      <c r="D564" s="313"/>
      <c r="E564" s="737"/>
      <c r="F564" s="314"/>
      <c r="G564" s="318"/>
      <c r="H564" s="315"/>
      <c r="I564" s="314"/>
      <c r="J564" s="314"/>
      <c r="K564" s="314"/>
      <c r="L564" s="776"/>
      <c r="M564" s="314"/>
      <c r="N564" s="318"/>
      <c r="O564" s="315"/>
      <c r="P564" s="435"/>
      <c r="Q564" s="314"/>
      <c r="R564" s="314"/>
      <c r="S564" s="777"/>
      <c r="T564" s="314"/>
      <c r="U564" s="778"/>
      <c r="V564" s="315"/>
      <c r="W564" s="779"/>
      <c r="X564" s="780"/>
      <c r="Y564" s="314"/>
      <c r="Z564" s="314"/>
      <c r="AA564" s="314"/>
      <c r="AB564" s="324"/>
      <c r="AC564" s="180"/>
      <c r="AD564" s="155"/>
      <c r="AE564" s="322"/>
      <c r="AF564" s="132"/>
      <c r="AG564" s="132"/>
    </row>
    <row r="565">
      <c r="A565" s="435"/>
      <c r="B565" s="437"/>
      <c r="C565" s="313"/>
      <c r="D565" s="313"/>
      <c r="E565" s="737"/>
      <c r="F565" s="314"/>
      <c r="G565" s="318"/>
      <c r="H565" s="315"/>
      <c r="I565" s="314"/>
      <c r="J565" s="314"/>
      <c r="K565" s="314"/>
      <c r="L565" s="776"/>
      <c r="M565" s="314"/>
      <c r="N565" s="318"/>
      <c r="O565" s="315"/>
      <c r="P565" s="314"/>
      <c r="Q565" s="435"/>
      <c r="R565" s="314"/>
      <c r="S565" s="782"/>
      <c r="T565" s="435"/>
      <c r="U565" s="783"/>
      <c r="V565" s="744"/>
      <c r="W565" s="784"/>
      <c r="X565" s="785"/>
      <c r="Y565" s="435"/>
      <c r="Z565" s="435"/>
      <c r="AA565" s="435"/>
      <c r="AB565" s="324"/>
      <c r="AC565" s="180"/>
      <c r="AD565" s="155"/>
      <c r="AE565" s="322"/>
      <c r="AF565" s="132"/>
      <c r="AG565" s="132"/>
    </row>
    <row r="566">
      <c r="A566" s="435"/>
      <c r="B566" s="313"/>
      <c r="C566" s="437"/>
      <c r="D566" s="313"/>
      <c r="E566" s="737"/>
      <c r="F566" s="314"/>
      <c r="G566" s="318"/>
      <c r="H566" s="315"/>
      <c r="I566" s="314"/>
      <c r="J566" s="314"/>
      <c r="K566" s="314"/>
      <c r="L566" s="776"/>
      <c r="M566" s="314"/>
      <c r="N566" s="318"/>
      <c r="O566" s="315"/>
      <c r="P566" s="314"/>
      <c r="Q566" s="314"/>
      <c r="R566" s="435"/>
      <c r="S566" s="777"/>
      <c r="T566" s="314"/>
      <c r="U566" s="778"/>
      <c r="V566" s="315"/>
      <c r="W566" s="779"/>
      <c r="X566" s="780"/>
      <c r="Y566" s="314"/>
      <c r="Z566" s="314"/>
      <c r="AA566" s="314"/>
      <c r="AB566" s="324"/>
      <c r="AC566" s="180"/>
      <c r="AD566" s="155"/>
      <c r="AE566" s="322"/>
      <c r="AF566" s="132"/>
      <c r="AG566" s="132"/>
    </row>
    <row r="567">
      <c r="A567" s="435"/>
      <c r="B567" s="313"/>
      <c r="C567" s="313"/>
      <c r="D567" s="313"/>
      <c r="E567" s="737"/>
      <c r="F567" s="314"/>
      <c r="G567" s="318"/>
      <c r="H567" s="315"/>
      <c r="I567" s="314"/>
      <c r="J567" s="314"/>
      <c r="K567" s="435"/>
      <c r="L567" s="776"/>
      <c r="M567" s="435"/>
      <c r="N567" s="318"/>
      <c r="O567" s="315"/>
      <c r="P567" s="314"/>
      <c r="Q567" s="435"/>
      <c r="R567" s="314"/>
      <c r="S567" s="777"/>
      <c r="T567" s="314"/>
      <c r="U567" s="778"/>
      <c r="V567" s="315"/>
      <c r="W567" s="779"/>
      <c r="X567" s="780"/>
      <c r="Y567" s="314"/>
      <c r="Z567" s="314"/>
      <c r="AA567" s="314"/>
      <c r="AB567" s="324"/>
      <c r="AC567" s="180"/>
      <c r="AD567" s="155"/>
      <c r="AE567" s="322"/>
      <c r="AF567" s="132"/>
      <c r="AG567" s="132"/>
    </row>
    <row r="568">
      <c r="A568" s="435"/>
      <c r="B568" s="313"/>
      <c r="C568" s="437"/>
      <c r="D568" s="437"/>
      <c r="E568" s="737"/>
      <c r="F568" s="314"/>
      <c r="G568" s="318"/>
      <c r="H568" s="315"/>
      <c r="I568" s="314"/>
      <c r="J568" s="314"/>
      <c r="K568" s="435"/>
      <c r="L568" s="776"/>
      <c r="M568" s="435"/>
      <c r="N568" s="318"/>
      <c r="O568" s="315"/>
      <c r="P568" s="314"/>
      <c r="Q568" s="435"/>
      <c r="R568" s="314"/>
      <c r="S568" s="777"/>
      <c r="T568" s="314"/>
      <c r="U568" s="778"/>
      <c r="V568" s="315"/>
      <c r="W568" s="779"/>
      <c r="X568" s="780"/>
      <c r="Y568" s="314"/>
      <c r="Z568" s="314"/>
      <c r="AA568" s="314"/>
      <c r="AB568" s="324"/>
      <c r="AC568" s="180"/>
      <c r="AD568" s="155"/>
      <c r="AE568" s="322"/>
      <c r="AF568" s="132"/>
      <c r="AG568" s="132"/>
    </row>
    <row r="569">
      <c r="A569" s="476"/>
      <c r="AD569" s="176"/>
      <c r="AE569" s="322"/>
      <c r="AF569" s="132"/>
      <c r="AG569" s="132"/>
    </row>
    <row r="570">
      <c r="A570" s="178"/>
      <c r="AE570" s="322"/>
      <c r="AF570" s="132"/>
      <c r="AG570" s="132"/>
    </row>
    <row r="571">
      <c r="A571" s="474"/>
      <c r="B571" s="437"/>
      <c r="C571" s="437"/>
      <c r="D571" s="437"/>
      <c r="E571" s="753"/>
      <c r="F571" s="314"/>
      <c r="G571" s="318"/>
      <c r="H571" s="315"/>
      <c r="I571" s="435"/>
      <c r="J571" s="435"/>
      <c r="K571" s="435"/>
      <c r="L571" s="781"/>
      <c r="M571" s="435"/>
      <c r="N571" s="740"/>
      <c r="O571" s="315"/>
      <c r="P571" s="435"/>
      <c r="Q571" s="435"/>
      <c r="R571" s="435"/>
      <c r="S571" s="782"/>
      <c r="T571" s="435"/>
      <c r="U571" s="783"/>
      <c r="V571" s="744"/>
      <c r="W571" s="784"/>
      <c r="X571" s="785"/>
      <c r="Y571" s="435"/>
      <c r="Z571" s="435"/>
      <c r="AA571" s="435"/>
      <c r="AB571" s="324"/>
      <c r="AC571" s="180"/>
      <c r="AD571" s="155"/>
      <c r="AE571" s="322"/>
      <c r="AF571" s="132"/>
      <c r="AG571" s="132"/>
    </row>
    <row r="572">
      <c r="A572" s="474"/>
      <c r="B572" s="313"/>
      <c r="C572" s="437"/>
      <c r="D572" s="437"/>
      <c r="E572" s="753"/>
      <c r="F572" s="314"/>
      <c r="G572" s="318"/>
      <c r="H572" s="744"/>
      <c r="I572" s="314"/>
      <c r="J572" s="435"/>
      <c r="K572" s="435"/>
      <c r="L572" s="781"/>
      <c r="M572" s="314"/>
      <c r="N572" s="318"/>
      <c r="O572" s="315"/>
      <c r="P572" s="435"/>
      <c r="Q572" s="435"/>
      <c r="R572" s="435"/>
      <c r="S572" s="782"/>
      <c r="T572" s="435"/>
      <c r="U572" s="783"/>
      <c r="V572" s="744"/>
      <c r="W572" s="784"/>
      <c r="X572" s="785"/>
      <c r="Y572" s="435"/>
      <c r="Z572" s="435"/>
      <c r="AA572" s="435"/>
      <c r="AB572" s="324"/>
      <c r="AC572" s="180"/>
      <c r="AD572" s="155"/>
      <c r="AE572" s="322"/>
      <c r="AF572" s="132"/>
      <c r="AG572" s="132"/>
    </row>
    <row r="573">
      <c r="A573" s="477"/>
      <c r="B573" s="437"/>
      <c r="C573" s="437"/>
      <c r="D573" s="437"/>
      <c r="E573" s="737"/>
      <c r="F573" s="314"/>
      <c r="G573" s="318"/>
      <c r="H573" s="744"/>
      <c r="I573" s="435"/>
      <c r="J573" s="435"/>
      <c r="K573" s="435"/>
      <c r="L573" s="781"/>
      <c r="M573" s="435"/>
      <c r="N573" s="740"/>
      <c r="O573" s="315"/>
      <c r="P573" s="435"/>
      <c r="Q573" s="435"/>
      <c r="R573" s="435"/>
      <c r="S573" s="782"/>
      <c r="T573" s="435"/>
      <c r="U573" s="783"/>
      <c r="V573" s="744"/>
      <c r="W573" s="784"/>
      <c r="X573" s="785"/>
      <c r="Y573" s="435"/>
      <c r="Z573" s="435"/>
      <c r="AA573" s="435"/>
      <c r="AB573" s="324"/>
      <c r="AC573" s="180"/>
      <c r="AD573" s="155"/>
      <c r="AE573" s="322"/>
      <c r="AF573" s="132"/>
      <c r="AG573" s="132"/>
    </row>
    <row r="574">
      <c r="A574" s="477"/>
      <c r="B574" s="437"/>
      <c r="C574" s="437"/>
      <c r="D574" s="437"/>
      <c r="E574" s="737"/>
      <c r="F574" s="314"/>
      <c r="G574" s="318"/>
      <c r="H574" s="744"/>
      <c r="I574" s="314"/>
      <c r="J574" s="314"/>
      <c r="K574" s="435"/>
      <c r="L574" s="781"/>
      <c r="M574" s="435"/>
      <c r="N574" s="318"/>
      <c r="O574" s="315"/>
      <c r="P574" s="435"/>
      <c r="Q574" s="435"/>
      <c r="R574" s="435"/>
      <c r="S574" s="782"/>
      <c r="T574" s="435"/>
      <c r="U574" s="783"/>
      <c r="V574" s="744"/>
      <c r="W574" s="784"/>
      <c r="X574" s="785"/>
      <c r="Y574" s="435"/>
      <c r="Z574" s="435"/>
      <c r="AA574" s="435"/>
      <c r="AB574" s="324"/>
      <c r="AC574" s="180"/>
      <c r="AD574" s="155"/>
      <c r="AE574" s="322"/>
      <c r="AF574" s="132"/>
      <c r="AG574" s="132"/>
    </row>
    <row r="575">
      <c r="A575" s="477"/>
      <c r="B575" s="437"/>
      <c r="C575" s="437"/>
      <c r="D575" s="437"/>
      <c r="E575" s="753"/>
      <c r="F575" s="314"/>
      <c r="G575" s="318"/>
      <c r="H575" s="744"/>
      <c r="I575" s="435"/>
      <c r="J575" s="435"/>
      <c r="K575" s="435"/>
      <c r="L575" s="781"/>
      <c r="M575" s="435"/>
      <c r="N575" s="740"/>
      <c r="O575" s="315"/>
      <c r="P575" s="435"/>
      <c r="Q575" s="435"/>
      <c r="R575" s="435"/>
      <c r="S575" s="782"/>
      <c r="T575" s="435"/>
      <c r="U575" s="783"/>
      <c r="V575" s="744"/>
      <c r="W575" s="784"/>
      <c r="X575" s="785"/>
      <c r="Y575" s="435"/>
      <c r="Z575" s="435"/>
      <c r="AA575" s="435"/>
      <c r="AB575" s="324"/>
      <c r="AC575" s="180"/>
      <c r="AD575" s="155"/>
      <c r="AE575" s="322"/>
      <c r="AF575" s="132"/>
      <c r="AG575" s="132"/>
    </row>
    <row r="576">
      <c r="A576" s="474"/>
      <c r="B576" s="313"/>
      <c r="C576" s="437"/>
      <c r="D576" s="313"/>
      <c r="E576" s="753"/>
      <c r="F576" s="314"/>
      <c r="G576" s="318"/>
      <c r="H576" s="744"/>
      <c r="I576" s="314"/>
      <c r="J576" s="435"/>
      <c r="K576" s="435"/>
      <c r="L576" s="776"/>
      <c r="M576" s="435"/>
      <c r="N576" s="318"/>
      <c r="O576" s="315"/>
      <c r="P576" s="435"/>
      <c r="Q576" s="435"/>
      <c r="R576" s="435"/>
      <c r="S576" s="782"/>
      <c r="T576" s="435"/>
      <c r="U576" s="783"/>
      <c r="V576" s="744"/>
      <c r="W576" s="784"/>
      <c r="X576" s="785"/>
      <c r="Y576" s="435"/>
      <c r="Z576" s="435"/>
      <c r="AA576" s="435"/>
      <c r="AB576" s="324"/>
      <c r="AC576" s="180"/>
      <c r="AD576" s="155"/>
      <c r="AE576" s="322"/>
      <c r="AF576" s="132"/>
      <c r="AG576" s="132"/>
    </row>
    <row r="577">
      <c r="A577" s="478"/>
      <c r="B577" s="437"/>
      <c r="C577" s="437"/>
      <c r="D577" s="437"/>
      <c r="E577" s="753"/>
      <c r="F577" s="314"/>
      <c r="G577" s="318"/>
      <c r="H577" s="744"/>
      <c r="I577" s="435"/>
      <c r="J577" s="435"/>
      <c r="K577" s="435"/>
      <c r="L577" s="781"/>
      <c r="M577" s="435"/>
      <c r="N577" s="740"/>
      <c r="O577" s="315"/>
      <c r="P577" s="435"/>
      <c r="Q577" s="435"/>
      <c r="R577" s="435"/>
      <c r="S577" s="782"/>
      <c r="T577" s="435"/>
      <c r="U577" s="783"/>
      <c r="V577" s="744"/>
      <c r="W577" s="784"/>
      <c r="X577" s="785"/>
      <c r="Y577" s="435"/>
      <c r="Z577" s="435"/>
      <c r="AA577" s="435"/>
      <c r="AB577" s="324"/>
      <c r="AC577" s="180"/>
      <c r="AD577" s="155"/>
      <c r="AE577" s="322"/>
      <c r="AF577" s="132"/>
      <c r="AG577" s="132"/>
    </row>
    <row r="578">
      <c r="A578" s="478"/>
      <c r="B578" s="437"/>
      <c r="C578" s="437"/>
      <c r="D578" s="437"/>
      <c r="E578" s="753"/>
      <c r="F578" s="314"/>
      <c r="G578" s="318"/>
      <c r="H578" s="744"/>
      <c r="I578" s="435"/>
      <c r="J578" s="435"/>
      <c r="K578" s="435"/>
      <c r="L578" s="781"/>
      <c r="M578" s="435"/>
      <c r="N578" s="740"/>
      <c r="O578" s="315"/>
      <c r="P578" s="435"/>
      <c r="Q578" s="435"/>
      <c r="R578" s="435"/>
      <c r="S578" s="782"/>
      <c r="T578" s="435"/>
      <c r="U578" s="783"/>
      <c r="V578" s="744"/>
      <c r="W578" s="784"/>
      <c r="X578" s="785"/>
      <c r="Y578" s="435"/>
      <c r="Z578" s="435"/>
      <c r="AA578" s="435"/>
      <c r="AB578" s="324"/>
      <c r="AC578" s="180"/>
      <c r="AD578" s="155"/>
      <c r="AE578" s="322"/>
      <c r="AF578" s="132"/>
      <c r="AG578" s="132"/>
    </row>
    <row r="579">
      <c r="A579" s="478"/>
      <c r="B579" s="437"/>
      <c r="C579" s="437"/>
      <c r="D579" s="313"/>
      <c r="E579" s="737"/>
      <c r="F579" s="314"/>
      <c r="G579" s="318"/>
      <c r="H579" s="744"/>
      <c r="I579" s="435"/>
      <c r="J579" s="314"/>
      <c r="K579" s="435"/>
      <c r="L579" s="776"/>
      <c r="M579" s="435"/>
      <c r="N579" s="318"/>
      <c r="O579" s="315"/>
      <c r="P579" s="314"/>
      <c r="Q579" s="314"/>
      <c r="R579" s="314"/>
      <c r="S579" s="782"/>
      <c r="T579" s="435"/>
      <c r="U579" s="783"/>
      <c r="V579" s="744"/>
      <c r="W579" s="784"/>
      <c r="X579" s="785"/>
      <c r="Y579" s="435"/>
      <c r="Z579" s="435"/>
      <c r="AA579" s="435"/>
      <c r="AB579" s="324"/>
      <c r="AC579" s="180"/>
      <c r="AD579" s="155"/>
      <c r="AE579" s="322"/>
      <c r="AF579" s="132"/>
      <c r="AG579" s="132"/>
    </row>
    <row r="580">
      <c r="A580" s="477"/>
      <c r="B580" s="313"/>
      <c r="C580" s="437"/>
      <c r="D580" s="437"/>
      <c r="E580" s="753"/>
      <c r="F580" s="314"/>
      <c r="G580" s="318"/>
      <c r="H580" s="744"/>
      <c r="I580" s="435"/>
      <c r="J580" s="435"/>
      <c r="K580" s="435"/>
      <c r="L580" s="781"/>
      <c r="M580" s="435"/>
      <c r="N580" s="740"/>
      <c r="O580" s="315"/>
      <c r="P580" s="435"/>
      <c r="Q580" s="435"/>
      <c r="R580" s="435"/>
      <c r="S580" s="782"/>
      <c r="T580" s="435"/>
      <c r="U580" s="783"/>
      <c r="V580" s="744"/>
      <c r="W580" s="784"/>
      <c r="X580" s="785"/>
      <c r="Y580" s="435"/>
      <c r="Z580" s="435"/>
      <c r="AA580" s="435"/>
      <c r="AB580" s="324"/>
      <c r="AC580" s="180"/>
      <c r="AD580" s="155"/>
      <c r="AE580" s="322"/>
      <c r="AF580" s="132"/>
      <c r="AG580" s="132"/>
    </row>
    <row r="581">
      <c r="A581" s="477"/>
      <c r="B581" s="313"/>
      <c r="C581" s="313"/>
      <c r="D581" s="313"/>
      <c r="E581" s="737"/>
      <c r="F581" s="314"/>
      <c r="G581" s="318"/>
      <c r="H581" s="744"/>
      <c r="I581" s="314"/>
      <c r="J581" s="314"/>
      <c r="K581" s="314"/>
      <c r="L581" s="776"/>
      <c r="M581" s="314"/>
      <c r="N581" s="740"/>
      <c r="O581" s="315"/>
      <c r="P581" s="314"/>
      <c r="Q581" s="435"/>
      <c r="R581" s="314"/>
      <c r="S581" s="777"/>
      <c r="T581" s="314"/>
      <c r="U581" s="778"/>
      <c r="V581" s="315"/>
      <c r="W581" s="779"/>
      <c r="X581" s="780"/>
      <c r="Y581" s="314"/>
      <c r="Z581" s="314"/>
      <c r="AA581" s="314"/>
      <c r="AB581" s="324"/>
      <c r="AC581" s="180"/>
      <c r="AD581" s="155"/>
      <c r="AE581" s="322"/>
      <c r="AF581" s="132"/>
      <c r="AG581" s="132"/>
    </row>
    <row r="582">
      <c r="A582" s="477"/>
      <c r="B582" s="313"/>
      <c r="C582" s="313"/>
      <c r="D582" s="313"/>
      <c r="E582" s="737"/>
      <c r="F582" s="314"/>
      <c r="G582" s="318"/>
      <c r="H582" s="315"/>
      <c r="I582" s="314"/>
      <c r="J582" s="314"/>
      <c r="K582" s="314"/>
      <c r="L582" s="776"/>
      <c r="M582" s="314"/>
      <c r="N582" s="318"/>
      <c r="O582" s="315"/>
      <c r="P582" s="314"/>
      <c r="Q582" s="314"/>
      <c r="R582" s="314"/>
      <c r="S582" s="777"/>
      <c r="T582" s="314"/>
      <c r="U582" s="778"/>
      <c r="V582" s="315"/>
      <c r="W582" s="779"/>
      <c r="X582" s="780"/>
      <c r="Y582" s="314"/>
      <c r="Z582" s="314"/>
      <c r="AA582" s="314"/>
      <c r="AB582" s="324"/>
      <c r="AC582" s="180"/>
      <c r="AD582" s="155"/>
      <c r="AE582" s="322"/>
      <c r="AF582" s="132"/>
      <c r="AG582" s="132"/>
    </row>
    <row r="583">
      <c r="A583" s="476"/>
      <c r="AD583" s="176"/>
      <c r="AE583" s="322"/>
      <c r="AF583" s="132"/>
      <c r="AG583" s="132"/>
    </row>
    <row r="584">
      <c r="A584" s="178"/>
      <c r="AE584" s="322"/>
      <c r="AF584" s="132"/>
      <c r="AG584" s="132"/>
    </row>
    <row r="585">
      <c r="A585" s="477"/>
      <c r="B585" s="437"/>
      <c r="C585" s="437"/>
      <c r="D585" s="437"/>
      <c r="E585" s="737"/>
      <c r="F585" s="314"/>
      <c r="G585" s="318"/>
      <c r="H585" s="315"/>
      <c r="I585" s="314"/>
      <c r="J585" s="314"/>
      <c r="K585" s="435"/>
      <c r="L585" s="781"/>
      <c r="M585" s="314"/>
      <c r="N585" s="318"/>
      <c r="O585" s="315"/>
      <c r="P585" s="314"/>
      <c r="Q585" s="435"/>
      <c r="R585" s="435"/>
      <c r="S585" s="782"/>
      <c r="T585" s="435"/>
      <c r="U585" s="783"/>
      <c r="V585" s="744"/>
      <c r="W585" s="784"/>
      <c r="X585" s="785"/>
      <c r="Y585" s="435"/>
      <c r="Z585" s="435"/>
      <c r="AA585" s="435"/>
      <c r="AB585" s="324"/>
      <c r="AC585" s="180"/>
      <c r="AD585" s="155"/>
      <c r="AE585" s="322"/>
      <c r="AF585" s="132"/>
      <c r="AG585" s="132"/>
    </row>
    <row r="586">
      <c r="A586" s="477"/>
      <c r="B586" s="313"/>
      <c r="C586" s="437"/>
      <c r="D586" s="437"/>
      <c r="E586" s="737"/>
      <c r="F586" s="314"/>
      <c r="G586" s="318"/>
      <c r="H586" s="315"/>
      <c r="I586" s="435"/>
      <c r="J586" s="435"/>
      <c r="K586" s="435"/>
      <c r="L586" s="776"/>
      <c r="M586" s="435"/>
      <c r="N586" s="318"/>
      <c r="O586" s="315"/>
      <c r="P586" s="314"/>
      <c r="Q586" s="435"/>
      <c r="R586" s="435"/>
      <c r="S586" s="782"/>
      <c r="T586" s="435"/>
      <c r="U586" s="783"/>
      <c r="V586" s="744"/>
      <c r="W586" s="784"/>
      <c r="X586" s="785"/>
      <c r="Y586" s="435"/>
      <c r="Z586" s="435"/>
      <c r="AA586" s="435"/>
      <c r="AB586" s="324"/>
      <c r="AC586" s="180"/>
      <c r="AD586" s="155"/>
      <c r="AE586" s="322"/>
      <c r="AF586" s="132"/>
      <c r="AG586" s="132"/>
    </row>
    <row r="587">
      <c r="A587" s="477"/>
      <c r="B587" s="313"/>
      <c r="C587" s="437"/>
      <c r="D587" s="437"/>
      <c r="E587" s="753"/>
      <c r="F587" s="314"/>
      <c r="G587" s="318"/>
      <c r="H587" s="744"/>
      <c r="I587" s="314"/>
      <c r="J587" s="314"/>
      <c r="K587" s="435"/>
      <c r="L587" s="776"/>
      <c r="M587" s="435"/>
      <c r="N587" s="740"/>
      <c r="O587" s="315"/>
      <c r="P587" s="435"/>
      <c r="Q587" s="435"/>
      <c r="R587" s="435"/>
      <c r="S587" s="782"/>
      <c r="T587" s="435"/>
      <c r="U587" s="783"/>
      <c r="V587" s="744"/>
      <c r="W587" s="784"/>
      <c r="X587" s="785"/>
      <c r="Y587" s="435"/>
      <c r="Z587" s="435"/>
      <c r="AA587" s="435"/>
      <c r="AB587" s="324"/>
      <c r="AC587" s="180"/>
      <c r="AD587" s="155"/>
      <c r="AE587" s="322"/>
      <c r="AF587" s="132"/>
      <c r="AG587" s="132"/>
    </row>
    <row r="588">
      <c r="A588" s="479"/>
      <c r="B588" s="313"/>
      <c r="C588" s="313"/>
      <c r="D588" s="313"/>
      <c r="E588" s="737"/>
      <c r="F588" s="314"/>
      <c r="G588" s="318"/>
      <c r="H588" s="315"/>
      <c r="I588" s="314"/>
      <c r="J588" s="314"/>
      <c r="K588" s="314"/>
      <c r="L588" s="776"/>
      <c r="M588" s="314"/>
      <c r="N588" s="318"/>
      <c r="O588" s="315"/>
      <c r="P588" s="314"/>
      <c r="Q588" s="435"/>
      <c r="R588" s="314"/>
      <c r="S588" s="777"/>
      <c r="T588" s="314"/>
      <c r="U588" s="778"/>
      <c r="V588" s="315"/>
      <c r="W588" s="779"/>
      <c r="X588" s="780"/>
      <c r="Y588" s="314"/>
      <c r="Z588" s="314"/>
      <c r="AA588" s="314"/>
      <c r="AB588" s="324"/>
      <c r="AC588" s="180"/>
      <c r="AD588" s="155"/>
      <c r="AE588" s="322"/>
      <c r="AF588" s="132"/>
      <c r="AG588" s="132"/>
    </row>
    <row r="589">
      <c r="A589" s="476"/>
      <c r="AD589" s="176"/>
      <c r="AE589" s="322"/>
      <c r="AF589" s="132"/>
      <c r="AG589" s="132"/>
    </row>
    <row r="590">
      <c r="A590" s="178"/>
      <c r="AE590" s="322"/>
      <c r="AF590" s="132"/>
      <c r="AG590" s="132"/>
    </row>
    <row r="591">
      <c r="A591" s="480"/>
      <c r="B591" s="313"/>
      <c r="C591" s="437"/>
      <c r="D591" s="313"/>
      <c r="E591" s="737"/>
      <c r="F591" s="314"/>
      <c r="G591" s="318"/>
      <c r="H591" s="315"/>
      <c r="I591" s="314"/>
      <c r="J591" s="435"/>
      <c r="K591" s="435"/>
      <c r="L591" s="776"/>
      <c r="M591" s="314"/>
      <c r="N591" s="318"/>
      <c r="O591" s="315"/>
      <c r="P591" s="314"/>
      <c r="Q591" s="435"/>
      <c r="R591" s="314"/>
      <c r="S591" s="777"/>
      <c r="T591" s="314"/>
      <c r="U591" s="778"/>
      <c r="V591" s="315"/>
      <c r="W591" s="779"/>
      <c r="X591" s="780"/>
      <c r="Y591" s="314"/>
      <c r="Z591" s="314"/>
      <c r="AA591" s="314"/>
      <c r="AB591" s="324"/>
      <c r="AC591" s="180"/>
      <c r="AD591" s="180"/>
      <c r="AE591" s="322"/>
      <c r="AF591" s="132"/>
      <c r="AG591" s="132"/>
    </row>
    <row r="592">
      <c r="A592" s="480"/>
      <c r="B592" s="313"/>
      <c r="C592" s="437"/>
      <c r="D592" s="313"/>
      <c r="E592" s="737"/>
      <c r="F592" s="314"/>
      <c r="G592" s="318"/>
      <c r="H592" s="744"/>
      <c r="I592" s="314"/>
      <c r="J592" s="435"/>
      <c r="K592" s="435"/>
      <c r="L592" s="776"/>
      <c r="M592" s="435"/>
      <c r="N592" s="740"/>
      <c r="O592" s="315"/>
      <c r="P592" s="435"/>
      <c r="Q592" s="435"/>
      <c r="R592" s="314"/>
      <c r="S592" s="782"/>
      <c r="T592" s="435"/>
      <c r="U592" s="783"/>
      <c r="V592" s="744"/>
      <c r="W592" s="784"/>
      <c r="X592" s="785"/>
      <c r="Y592" s="435"/>
      <c r="Z592" s="435"/>
      <c r="AA592" s="435"/>
      <c r="AB592" s="324"/>
      <c r="AC592" s="180"/>
      <c r="AD592" s="180"/>
      <c r="AE592" s="322"/>
      <c r="AF592" s="132"/>
      <c r="AG592" s="132"/>
    </row>
    <row r="593">
      <c r="A593" s="476"/>
      <c r="AD593" s="176"/>
      <c r="AE593" s="322"/>
      <c r="AF593" s="132"/>
      <c r="AG593" s="132"/>
    </row>
    <row r="594">
      <c r="A594" s="178"/>
      <c r="AE594" s="322"/>
      <c r="AF594" s="132"/>
      <c r="AG594" s="132"/>
    </row>
    <row r="595">
      <c r="A595" s="481"/>
      <c r="B595" s="313"/>
      <c r="C595" s="437"/>
      <c r="D595" s="437"/>
      <c r="E595" s="753"/>
      <c r="F595" s="314"/>
      <c r="G595" s="740"/>
      <c r="H595" s="744"/>
      <c r="I595" s="435"/>
      <c r="J595" s="314"/>
      <c r="K595" s="435"/>
      <c r="L595" s="781"/>
      <c r="M595" s="435"/>
      <c r="N595" s="318"/>
      <c r="O595" s="315"/>
      <c r="P595" s="435"/>
      <c r="Q595" s="435"/>
      <c r="R595" s="435"/>
      <c r="S595" s="782"/>
      <c r="T595" s="435"/>
      <c r="U595" s="783"/>
      <c r="V595" s="744"/>
      <c r="W595" s="784"/>
      <c r="X595" s="785"/>
      <c r="Y595" s="435"/>
      <c r="Z595" s="435"/>
      <c r="AA595" s="435"/>
      <c r="AB595" s="324"/>
      <c r="AC595" s="180"/>
      <c r="AD595" s="155"/>
      <c r="AE595" s="322"/>
      <c r="AF595" s="132"/>
      <c r="AG595" s="132"/>
    </row>
    <row r="596">
      <c r="A596" s="435"/>
      <c r="B596" s="313"/>
      <c r="C596" s="437"/>
      <c r="D596" s="437"/>
      <c r="E596" s="737"/>
      <c r="F596" s="314"/>
      <c r="G596" s="318"/>
      <c r="H596" s="744"/>
      <c r="I596" s="314"/>
      <c r="J596" s="435"/>
      <c r="K596" s="435"/>
      <c r="L596" s="776"/>
      <c r="M596" s="314"/>
      <c r="N596" s="318"/>
      <c r="O596" s="315"/>
      <c r="P596" s="435"/>
      <c r="Q596" s="435"/>
      <c r="R596" s="435"/>
      <c r="S596" s="782"/>
      <c r="T596" s="435"/>
      <c r="U596" s="783"/>
      <c r="V596" s="744"/>
      <c r="W596" s="784"/>
      <c r="X596" s="785"/>
      <c r="Y596" s="435"/>
      <c r="Z596" s="435"/>
      <c r="AA596" s="435"/>
      <c r="AB596" s="324"/>
      <c r="AC596" s="180"/>
      <c r="AD596" s="155"/>
      <c r="AE596" s="322"/>
      <c r="AF596" s="132"/>
      <c r="AG596" s="132"/>
    </row>
    <row r="597">
      <c r="A597" s="482"/>
      <c r="B597" s="313"/>
      <c r="C597" s="313"/>
      <c r="D597" s="437"/>
      <c r="E597" s="737"/>
      <c r="F597" s="314"/>
      <c r="G597" s="318"/>
      <c r="H597" s="315"/>
      <c r="I597" s="314"/>
      <c r="J597" s="314"/>
      <c r="K597" s="435"/>
      <c r="L597" s="776"/>
      <c r="M597" s="314"/>
      <c r="N597" s="318"/>
      <c r="O597" s="315"/>
      <c r="P597" s="314"/>
      <c r="Q597" s="314"/>
      <c r="R597" s="435"/>
      <c r="S597" s="777"/>
      <c r="T597" s="314"/>
      <c r="U597" s="778"/>
      <c r="V597" s="315"/>
      <c r="W597" s="779"/>
      <c r="X597" s="780"/>
      <c r="Y597" s="314"/>
      <c r="Z597" s="314"/>
      <c r="AA597" s="314"/>
      <c r="AB597" s="324"/>
      <c r="AC597" s="180"/>
      <c r="AD597" s="155"/>
      <c r="AE597" s="322"/>
      <c r="AF597" s="132"/>
      <c r="AG597" s="132"/>
    </row>
    <row r="598">
      <c r="A598" s="482"/>
      <c r="B598" s="313"/>
      <c r="C598" s="437"/>
      <c r="D598" s="437"/>
      <c r="E598" s="753"/>
      <c r="F598" s="314"/>
      <c r="G598" s="318"/>
      <c r="H598" s="744"/>
      <c r="I598" s="435"/>
      <c r="J598" s="435"/>
      <c r="K598" s="435"/>
      <c r="L598" s="781"/>
      <c r="M598" s="435"/>
      <c r="N598" s="740"/>
      <c r="O598" s="315"/>
      <c r="P598" s="435"/>
      <c r="Q598" s="435"/>
      <c r="R598" s="435"/>
      <c r="S598" s="782"/>
      <c r="T598" s="435"/>
      <c r="U598" s="783"/>
      <c r="V598" s="744"/>
      <c r="W598" s="784"/>
      <c r="X598" s="785"/>
      <c r="Y598" s="435"/>
      <c r="Z598" s="435"/>
      <c r="AA598" s="435"/>
      <c r="AB598" s="324"/>
      <c r="AC598" s="180"/>
      <c r="AD598" s="155"/>
      <c r="AE598" s="322"/>
      <c r="AF598" s="132"/>
      <c r="AG598" s="132"/>
    </row>
    <row r="599">
      <c r="A599" s="314"/>
      <c r="B599" s="313"/>
      <c r="C599" s="313"/>
      <c r="D599" s="313"/>
      <c r="E599" s="737"/>
      <c r="F599" s="314"/>
      <c r="G599" s="318"/>
      <c r="H599" s="315"/>
      <c r="I599" s="314"/>
      <c r="J599" s="314"/>
      <c r="K599" s="314"/>
      <c r="L599" s="776"/>
      <c r="M599" s="314"/>
      <c r="N599" s="318"/>
      <c r="O599" s="315"/>
      <c r="P599" s="314"/>
      <c r="Q599" s="314"/>
      <c r="R599" s="314"/>
      <c r="S599" s="777"/>
      <c r="T599" s="314"/>
      <c r="U599" s="778"/>
      <c r="V599" s="315"/>
      <c r="W599" s="779"/>
      <c r="X599" s="780"/>
      <c r="Y599" s="314"/>
      <c r="Z599" s="314"/>
      <c r="AA599" s="314"/>
      <c r="AB599" s="483"/>
      <c r="AD599" s="484"/>
      <c r="AE599" s="322"/>
      <c r="AF599" s="132"/>
      <c r="AG599" s="132"/>
    </row>
    <row r="600">
      <c r="A600" s="314"/>
      <c r="B600" s="313"/>
      <c r="C600" s="313"/>
      <c r="D600" s="313"/>
      <c r="E600" s="737"/>
      <c r="F600" s="314"/>
      <c r="G600" s="318"/>
      <c r="H600" s="315"/>
      <c r="I600" s="314"/>
      <c r="J600" s="314"/>
      <c r="K600" s="314"/>
      <c r="L600" s="776"/>
      <c r="M600" s="314"/>
      <c r="N600" s="318"/>
      <c r="O600" s="315"/>
      <c r="P600" s="314"/>
      <c r="Q600" s="314"/>
      <c r="R600" s="314"/>
      <c r="S600" s="777"/>
      <c r="T600" s="314"/>
      <c r="U600" s="778"/>
      <c r="V600" s="315"/>
      <c r="W600" s="779"/>
      <c r="X600" s="780"/>
      <c r="Y600" s="314"/>
      <c r="Z600" s="314"/>
      <c r="AA600" s="314"/>
      <c r="AB600" s="324"/>
      <c r="AC600" s="155"/>
      <c r="AD600" s="155"/>
      <c r="AE600" s="322"/>
      <c r="AF600" s="132"/>
      <c r="AG600" s="132"/>
    </row>
    <row r="601">
      <c r="A601" s="314"/>
      <c r="B601" s="313"/>
      <c r="C601" s="313"/>
      <c r="D601" s="313"/>
      <c r="E601" s="737"/>
      <c r="F601" s="314"/>
      <c r="G601" s="318"/>
      <c r="H601" s="315"/>
      <c r="I601" s="314"/>
      <c r="J601" s="314"/>
      <c r="K601" s="314"/>
      <c r="L601" s="776"/>
      <c r="M601" s="314"/>
      <c r="N601" s="318"/>
      <c r="O601" s="315"/>
      <c r="P601" s="314"/>
      <c r="Q601" s="314"/>
      <c r="R601" s="314"/>
      <c r="S601" s="777"/>
      <c r="T601" s="314"/>
      <c r="U601" s="778"/>
      <c r="V601" s="315"/>
      <c r="W601" s="779"/>
      <c r="X601" s="780"/>
      <c r="Y601" s="314"/>
      <c r="Z601" s="314"/>
      <c r="AA601" s="314"/>
      <c r="AB601" s="324"/>
      <c r="AC601" s="155"/>
      <c r="AD601" s="155"/>
      <c r="AE601" s="322"/>
      <c r="AF601" s="132"/>
      <c r="AG601" s="132"/>
    </row>
    <row r="602">
      <c r="A602" s="314"/>
      <c r="B602" s="313"/>
      <c r="C602" s="313"/>
      <c r="D602" s="313"/>
      <c r="E602" s="737"/>
      <c r="F602" s="314"/>
      <c r="G602" s="318"/>
      <c r="H602" s="315"/>
      <c r="I602" s="314"/>
      <c r="J602" s="314"/>
      <c r="K602" s="314"/>
      <c r="L602" s="776"/>
      <c r="M602" s="314"/>
      <c r="N602" s="318"/>
      <c r="O602" s="315"/>
      <c r="P602" s="314"/>
      <c r="Q602" s="314"/>
      <c r="R602" s="314"/>
      <c r="S602" s="777"/>
      <c r="T602" s="314"/>
      <c r="U602" s="778"/>
      <c r="V602" s="315"/>
      <c r="W602" s="779"/>
      <c r="X602" s="780"/>
      <c r="Y602" s="314"/>
      <c r="Z602" s="314"/>
      <c r="AA602" s="314"/>
      <c r="AB602" s="324"/>
      <c r="AC602" s="155"/>
      <c r="AD602" s="155"/>
      <c r="AE602" s="322"/>
      <c r="AF602" s="132"/>
      <c r="AG602" s="132"/>
    </row>
    <row r="603">
      <c r="A603" s="314"/>
      <c r="B603" s="313"/>
      <c r="C603" s="313"/>
      <c r="D603" s="313"/>
      <c r="E603" s="737"/>
      <c r="F603" s="314"/>
      <c r="G603" s="318"/>
      <c r="H603" s="315"/>
      <c r="I603" s="314"/>
      <c r="J603" s="314"/>
      <c r="K603" s="314"/>
      <c r="L603" s="776"/>
      <c r="M603" s="314"/>
      <c r="N603" s="318"/>
      <c r="O603" s="315"/>
      <c r="P603" s="314"/>
      <c r="Q603" s="314"/>
      <c r="R603" s="314"/>
      <c r="S603" s="777"/>
      <c r="T603" s="314"/>
      <c r="U603" s="778"/>
      <c r="V603" s="315"/>
      <c r="W603" s="779"/>
      <c r="X603" s="780"/>
      <c r="Y603" s="314"/>
      <c r="Z603" s="314"/>
      <c r="AA603" s="314"/>
      <c r="AB603" s="324"/>
      <c r="AC603" s="155"/>
      <c r="AD603" s="155"/>
      <c r="AE603" s="322"/>
      <c r="AF603" s="132"/>
      <c r="AG603" s="132"/>
    </row>
    <row r="604">
      <c r="A604" s="314"/>
      <c r="B604" s="313"/>
      <c r="C604" s="313"/>
      <c r="D604" s="313"/>
      <c r="E604" s="737"/>
      <c r="F604" s="314"/>
      <c r="G604" s="318"/>
      <c r="H604" s="315"/>
      <c r="I604" s="314"/>
      <c r="J604" s="314"/>
      <c r="K604" s="314"/>
      <c r="L604" s="776"/>
      <c r="M604" s="314"/>
      <c r="N604" s="318"/>
      <c r="O604" s="315"/>
      <c r="P604" s="314"/>
      <c r="Q604" s="314"/>
      <c r="R604" s="314"/>
      <c r="S604" s="777"/>
      <c r="T604" s="314"/>
      <c r="U604" s="778"/>
      <c r="V604" s="315"/>
      <c r="W604" s="779"/>
      <c r="X604" s="780"/>
      <c r="Y604" s="314"/>
      <c r="Z604" s="314"/>
      <c r="AA604" s="314"/>
      <c r="AB604" s="324"/>
      <c r="AC604" s="155"/>
      <c r="AD604" s="155"/>
      <c r="AE604" s="322"/>
      <c r="AF604" s="132"/>
      <c r="AG604" s="132"/>
    </row>
    <row r="605">
      <c r="A605" s="314"/>
      <c r="B605" s="313"/>
      <c r="C605" s="313"/>
      <c r="D605" s="313"/>
      <c r="E605" s="737"/>
      <c r="F605" s="314"/>
      <c r="G605" s="318"/>
      <c r="H605" s="315"/>
      <c r="I605" s="314"/>
      <c r="J605" s="314"/>
      <c r="K605" s="314"/>
      <c r="L605" s="776"/>
      <c r="M605" s="314"/>
      <c r="N605" s="318"/>
      <c r="O605" s="315"/>
      <c r="P605" s="314"/>
      <c r="Q605" s="314"/>
      <c r="R605" s="314"/>
      <c r="S605" s="777"/>
      <c r="T605" s="314"/>
      <c r="U605" s="778"/>
      <c r="V605" s="315"/>
      <c r="W605" s="779"/>
      <c r="X605" s="780"/>
      <c r="Y605" s="314"/>
      <c r="Z605" s="314"/>
      <c r="AA605" s="314"/>
      <c r="AB605" s="324"/>
      <c r="AC605" s="155"/>
      <c r="AD605" s="155"/>
      <c r="AE605" s="322"/>
      <c r="AF605" s="132"/>
      <c r="AG605" s="132"/>
    </row>
    <row r="606">
      <c r="A606" s="314"/>
      <c r="B606" s="313"/>
      <c r="C606" s="313"/>
      <c r="D606" s="313"/>
      <c r="E606" s="737"/>
      <c r="F606" s="314"/>
      <c r="G606" s="318"/>
      <c r="H606" s="315"/>
      <c r="I606" s="314"/>
      <c r="J606" s="314"/>
      <c r="K606" s="314"/>
      <c r="L606" s="776"/>
      <c r="M606" s="314"/>
      <c r="N606" s="318"/>
      <c r="O606" s="315"/>
      <c r="P606" s="314"/>
      <c r="Q606" s="314"/>
      <c r="R606" s="314"/>
      <c r="S606" s="777"/>
      <c r="T606" s="314"/>
      <c r="U606" s="778"/>
      <c r="V606" s="315"/>
      <c r="W606" s="779"/>
      <c r="X606" s="780"/>
      <c r="Y606" s="314"/>
      <c r="Z606" s="314"/>
      <c r="AA606" s="314"/>
      <c r="AB606" s="324"/>
      <c r="AC606" s="155"/>
      <c r="AD606" s="155"/>
      <c r="AE606" s="322"/>
      <c r="AF606" s="132"/>
      <c r="AG606" s="132"/>
    </row>
    <row r="607">
      <c r="A607" s="314"/>
      <c r="B607" s="313"/>
      <c r="C607" s="313"/>
      <c r="D607" s="313"/>
      <c r="E607" s="737"/>
      <c r="F607" s="314"/>
      <c r="G607" s="318"/>
      <c r="H607" s="315"/>
      <c r="I607" s="314"/>
      <c r="J607" s="314"/>
      <c r="K607" s="314"/>
      <c r="L607" s="776"/>
      <c r="M607" s="314"/>
      <c r="N607" s="318"/>
      <c r="O607" s="315"/>
      <c r="P607" s="314"/>
      <c r="Q607" s="314"/>
      <c r="R607" s="314"/>
      <c r="S607" s="777"/>
      <c r="T607" s="314"/>
      <c r="U607" s="778"/>
      <c r="V607" s="315"/>
      <c r="W607" s="779"/>
      <c r="X607" s="780"/>
      <c r="Y607" s="314"/>
      <c r="Z607" s="314"/>
      <c r="AA607" s="314"/>
      <c r="AB607" s="324"/>
      <c r="AC607" s="155"/>
      <c r="AD607" s="155"/>
      <c r="AE607" s="322"/>
      <c r="AF607" s="132"/>
      <c r="AG607" s="132"/>
    </row>
    <row r="608">
      <c r="A608" s="314"/>
      <c r="B608" s="313"/>
      <c r="C608" s="313"/>
      <c r="D608" s="313"/>
      <c r="E608" s="737"/>
      <c r="F608" s="314"/>
      <c r="G608" s="318"/>
      <c r="H608" s="315"/>
      <c r="I608" s="314"/>
      <c r="J608" s="314"/>
      <c r="K608" s="314"/>
      <c r="L608" s="776"/>
      <c r="M608" s="314"/>
      <c r="N608" s="318"/>
      <c r="O608" s="315"/>
      <c r="P608" s="314"/>
      <c r="Q608" s="314"/>
      <c r="R608" s="314"/>
      <c r="S608" s="777"/>
      <c r="T608" s="314"/>
      <c r="U608" s="778"/>
      <c r="V608" s="315"/>
      <c r="W608" s="779"/>
      <c r="X608" s="780"/>
      <c r="Y608" s="314"/>
      <c r="Z608" s="314"/>
      <c r="AA608" s="314"/>
      <c r="AB608" s="324"/>
      <c r="AC608" s="155"/>
      <c r="AD608" s="155"/>
      <c r="AE608" s="322"/>
      <c r="AF608" s="132"/>
      <c r="AG608" s="132"/>
    </row>
    <row r="609">
      <c r="A609" s="314"/>
      <c r="B609" s="313"/>
      <c r="C609" s="313"/>
      <c r="D609" s="313"/>
      <c r="E609" s="737"/>
      <c r="F609" s="314"/>
      <c r="G609" s="318"/>
      <c r="H609" s="315"/>
      <c r="I609" s="314"/>
      <c r="J609" s="314"/>
      <c r="K609" s="314"/>
      <c r="L609" s="776"/>
      <c r="M609" s="314"/>
      <c r="N609" s="318"/>
      <c r="O609" s="315"/>
      <c r="P609" s="314"/>
      <c r="Q609" s="314"/>
      <c r="R609" s="314"/>
      <c r="S609" s="777"/>
      <c r="T609" s="314"/>
      <c r="U609" s="778"/>
      <c r="V609" s="315"/>
      <c r="W609" s="779"/>
      <c r="X609" s="780"/>
      <c r="Y609" s="314"/>
      <c r="Z609" s="314"/>
      <c r="AA609" s="314"/>
      <c r="AB609" s="324"/>
      <c r="AC609" s="155"/>
      <c r="AD609" s="155"/>
      <c r="AE609" s="322"/>
      <c r="AF609" s="132"/>
      <c r="AG609" s="132"/>
    </row>
    <row r="610">
      <c r="A610" s="314"/>
      <c r="B610" s="313"/>
      <c r="C610" s="313"/>
      <c r="D610" s="313"/>
      <c r="E610" s="737"/>
      <c r="F610" s="314"/>
      <c r="G610" s="318"/>
      <c r="H610" s="315"/>
      <c r="I610" s="314"/>
      <c r="J610" s="314"/>
      <c r="K610" s="314"/>
      <c r="L610" s="776"/>
      <c r="M610" s="314"/>
      <c r="N610" s="318"/>
      <c r="O610" s="315"/>
      <c r="P610" s="314"/>
      <c r="Q610" s="314"/>
      <c r="R610" s="314"/>
      <c r="S610" s="777"/>
      <c r="T610" s="314"/>
      <c r="U610" s="778"/>
      <c r="V610" s="315"/>
      <c r="W610" s="779"/>
      <c r="X610" s="780"/>
      <c r="Y610" s="314"/>
      <c r="Z610" s="314"/>
      <c r="AA610" s="314"/>
      <c r="AB610" s="324"/>
      <c r="AC610" s="155"/>
      <c r="AD610" s="155"/>
      <c r="AE610" s="322"/>
      <c r="AF610" s="132"/>
      <c r="AG610" s="132"/>
    </row>
    <row r="611">
      <c r="A611" s="314"/>
      <c r="B611" s="313"/>
      <c r="C611" s="313"/>
      <c r="D611" s="313"/>
      <c r="E611" s="737"/>
      <c r="F611" s="314"/>
      <c r="G611" s="318"/>
      <c r="H611" s="315"/>
      <c r="I611" s="314"/>
      <c r="J611" s="314"/>
      <c r="K611" s="314"/>
      <c r="L611" s="776"/>
      <c r="M611" s="314"/>
      <c r="N611" s="318"/>
      <c r="O611" s="315"/>
      <c r="P611" s="314"/>
      <c r="Q611" s="314"/>
      <c r="R611" s="314"/>
      <c r="S611" s="777"/>
      <c r="T611" s="314"/>
      <c r="U611" s="778"/>
      <c r="V611" s="315"/>
      <c r="W611" s="779"/>
      <c r="X611" s="780"/>
      <c r="Y611" s="314"/>
      <c r="Z611" s="314"/>
      <c r="AA611" s="314"/>
      <c r="AB611" s="324"/>
      <c r="AC611" s="155"/>
      <c r="AD611" s="155"/>
      <c r="AE611" s="322"/>
      <c r="AF611" s="132"/>
      <c r="AG611" s="132"/>
    </row>
    <row r="612">
      <c r="A612" s="314"/>
      <c r="B612" s="313"/>
      <c r="C612" s="313"/>
      <c r="D612" s="313"/>
      <c r="E612" s="737"/>
      <c r="F612" s="314"/>
      <c r="G612" s="318"/>
      <c r="H612" s="315"/>
      <c r="I612" s="314"/>
      <c r="J612" s="314"/>
      <c r="K612" s="314"/>
      <c r="L612" s="776"/>
      <c r="M612" s="314"/>
      <c r="N612" s="318"/>
      <c r="O612" s="315"/>
      <c r="P612" s="314"/>
      <c r="Q612" s="314"/>
      <c r="R612" s="314"/>
      <c r="S612" s="777"/>
      <c r="T612" s="314"/>
      <c r="U612" s="778"/>
      <c r="V612" s="315"/>
      <c r="W612" s="779"/>
      <c r="X612" s="780"/>
      <c r="Y612" s="314"/>
      <c r="Z612" s="314"/>
      <c r="AA612" s="314"/>
      <c r="AB612" s="324"/>
      <c r="AC612" s="155"/>
      <c r="AD612" s="155"/>
      <c r="AE612" s="322"/>
      <c r="AF612" s="132"/>
      <c r="AG612" s="132"/>
    </row>
    <row r="613">
      <c r="A613" s="314"/>
      <c r="B613" s="313"/>
      <c r="C613" s="313"/>
      <c r="D613" s="313"/>
      <c r="E613" s="737"/>
      <c r="F613" s="314"/>
      <c r="G613" s="318"/>
      <c r="H613" s="315"/>
      <c r="I613" s="314"/>
      <c r="J613" s="314"/>
      <c r="K613" s="314"/>
      <c r="L613" s="776"/>
      <c r="M613" s="314"/>
      <c r="N613" s="318"/>
      <c r="O613" s="315"/>
      <c r="P613" s="314"/>
      <c r="Q613" s="314"/>
      <c r="R613" s="314"/>
      <c r="S613" s="777"/>
      <c r="T613" s="314"/>
      <c r="U613" s="778"/>
      <c r="V613" s="315"/>
      <c r="W613" s="779"/>
      <c r="X613" s="780"/>
      <c r="Y613" s="314"/>
      <c r="Z613" s="314"/>
      <c r="AA613" s="314"/>
      <c r="AB613" s="324"/>
      <c r="AC613" s="155"/>
      <c r="AD613" s="155"/>
      <c r="AE613" s="322"/>
      <c r="AF613" s="132"/>
      <c r="AG613" s="132"/>
    </row>
    <row r="614">
      <c r="A614" s="314"/>
      <c r="B614" s="313"/>
      <c r="C614" s="313"/>
      <c r="D614" s="313"/>
      <c r="E614" s="737"/>
      <c r="F614" s="314"/>
      <c r="G614" s="318"/>
      <c r="H614" s="315"/>
      <c r="I614" s="314"/>
      <c r="J614" s="314"/>
      <c r="K614" s="314"/>
      <c r="L614" s="776"/>
      <c r="M614" s="314"/>
      <c r="N614" s="318"/>
      <c r="O614" s="315"/>
      <c r="P614" s="314"/>
      <c r="Q614" s="314"/>
      <c r="R614" s="314"/>
      <c r="S614" s="777"/>
      <c r="T614" s="314"/>
      <c r="U614" s="778"/>
      <c r="V614" s="315"/>
      <c r="W614" s="779"/>
      <c r="X614" s="780"/>
      <c r="Y614" s="314"/>
      <c r="Z614" s="314"/>
      <c r="AA614" s="314"/>
      <c r="AB614" s="487"/>
      <c r="AD614" s="484"/>
      <c r="AE614" s="322"/>
      <c r="AF614" s="132"/>
      <c r="AG614" s="132"/>
    </row>
    <row r="615">
      <c r="A615" s="314"/>
      <c r="B615" s="313"/>
      <c r="C615" s="313"/>
      <c r="D615" s="313"/>
      <c r="E615" s="737"/>
      <c r="F615" s="314"/>
      <c r="G615" s="318"/>
      <c r="H615" s="315"/>
      <c r="I615" s="314"/>
      <c r="J615" s="314"/>
      <c r="K615" s="314"/>
      <c r="L615" s="776"/>
      <c r="M615" s="314"/>
      <c r="N615" s="318"/>
      <c r="O615" s="315"/>
      <c r="P615" s="314"/>
      <c r="Q615" s="314"/>
      <c r="R615" s="314"/>
      <c r="S615" s="777"/>
      <c r="T615" s="314"/>
      <c r="U615" s="778"/>
      <c r="V615" s="315"/>
      <c r="W615" s="779"/>
      <c r="X615" s="780"/>
      <c r="Y615" s="314"/>
      <c r="Z615" s="314"/>
      <c r="AA615" s="314"/>
      <c r="AB615" s="324"/>
      <c r="AC615" s="155"/>
      <c r="AD615" s="155"/>
      <c r="AE615" s="322"/>
      <c r="AF615" s="132"/>
      <c r="AG615" s="132"/>
    </row>
    <row r="616">
      <c r="A616" s="314"/>
      <c r="B616" s="313"/>
      <c r="C616" s="313"/>
      <c r="D616" s="313"/>
      <c r="E616" s="737"/>
      <c r="F616" s="314"/>
      <c r="G616" s="318"/>
      <c r="H616" s="315"/>
      <c r="I616" s="314"/>
      <c r="J616" s="314"/>
      <c r="K616" s="314"/>
      <c r="L616" s="776"/>
      <c r="M616" s="314"/>
      <c r="N616" s="318"/>
      <c r="O616" s="315"/>
      <c r="P616" s="314"/>
      <c r="Q616" s="314"/>
      <c r="R616" s="314"/>
      <c r="S616" s="777"/>
      <c r="T616" s="314"/>
      <c r="U616" s="778"/>
      <c r="V616" s="315"/>
      <c r="W616" s="779"/>
      <c r="X616" s="780"/>
      <c r="Y616" s="314"/>
      <c r="Z616" s="314"/>
      <c r="AA616" s="314"/>
      <c r="AB616" s="324"/>
      <c r="AC616" s="155"/>
      <c r="AD616" s="155"/>
      <c r="AE616" s="322"/>
      <c r="AF616" s="132"/>
      <c r="AG616" s="132"/>
    </row>
    <row r="617">
      <c r="A617" s="314"/>
      <c r="B617" s="313"/>
      <c r="C617" s="313"/>
      <c r="D617" s="313"/>
      <c r="E617" s="737"/>
      <c r="F617" s="314"/>
      <c r="G617" s="318"/>
      <c r="H617" s="315"/>
      <c r="I617" s="314"/>
      <c r="J617" s="314"/>
      <c r="K617" s="314"/>
      <c r="L617" s="776"/>
      <c r="M617" s="314"/>
      <c r="N617" s="318"/>
      <c r="O617" s="315"/>
      <c r="P617" s="314"/>
      <c r="Q617" s="314"/>
      <c r="R617" s="314"/>
      <c r="S617" s="777"/>
      <c r="T617" s="314"/>
      <c r="U617" s="778"/>
      <c r="V617" s="315"/>
      <c r="W617" s="779"/>
      <c r="X617" s="780"/>
      <c r="Y617" s="314"/>
      <c r="Z617" s="314"/>
      <c r="AA617" s="314"/>
      <c r="AB617" s="324"/>
      <c r="AC617" s="155"/>
      <c r="AD617" s="155"/>
      <c r="AE617" s="322"/>
      <c r="AF617" s="132"/>
      <c r="AG617" s="132"/>
    </row>
    <row r="618">
      <c r="A618" s="314"/>
      <c r="B618" s="313"/>
      <c r="C618" s="313"/>
      <c r="D618" s="313"/>
      <c r="E618" s="737"/>
      <c r="F618" s="314"/>
      <c r="G618" s="318"/>
      <c r="H618" s="315"/>
      <c r="I618" s="314"/>
      <c r="J618" s="314"/>
      <c r="K618" s="314"/>
      <c r="L618" s="776"/>
      <c r="M618" s="314"/>
      <c r="N618" s="318"/>
      <c r="O618" s="315"/>
      <c r="P618" s="314"/>
      <c r="Q618" s="314"/>
      <c r="R618" s="314"/>
      <c r="S618" s="777"/>
      <c r="T618" s="314"/>
      <c r="U618" s="778"/>
      <c r="V618" s="315"/>
      <c r="W618" s="779"/>
      <c r="X618" s="780"/>
      <c r="Y618" s="314"/>
      <c r="Z618" s="314"/>
      <c r="AA618" s="314"/>
      <c r="AB618" s="324"/>
      <c r="AC618" s="155"/>
      <c r="AD618" s="155"/>
      <c r="AE618" s="322"/>
      <c r="AF618" s="132"/>
      <c r="AG618" s="132"/>
    </row>
    <row r="619">
      <c r="A619" s="314"/>
      <c r="B619" s="313"/>
      <c r="C619" s="313"/>
      <c r="D619" s="313"/>
      <c r="E619" s="737"/>
      <c r="F619" s="314"/>
      <c r="G619" s="318"/>
      <c r="H619" s="315"/>
      <c r="I619" s="314"/>
      <c r="J619" s="314"/>
      <c r="K619" s="314"/>
      <c r="L619" s="776"/>
      <c r="M619" s="314"/>
      <c r="N619" s="318"/>
      <c r="O619" s="315"/>
      <c r="P619" s="314"/>
      <c r="Q619" s="314"/>
      <c r="R619" s="314"/>
      <c r="S619" s="777"/>
      <c r="T619" s="314"/>
      <c r="U619" s="778"/>
      <c r="V619" s="315"/>
      <c r="W619" s="779"/>
      <c r="X619" s="780"/>
      <c r="Y619" s="314"/>
      <c r="Z619" s="314"/>
      <c r="AA619" s="314"/>
      <c r="AB619" s="324"/>
      <c r="AC619" s="155"/>
      <c r="AD619" s="155"/>
      <c r="AE619" s="322"/>
      <c r="AF619" s="132"/>
      <c r="AG619" s="132"/>
    </row>
    <row r="620">
      <c r="A620" s="314"/>
      <c r="B620" s="313"/>
      <c r="C620" s="313"/>
      <c r="D620" s="313"/>
      <c r="E620" s="737"/>
      <c r="F620" s="314"/>
      <c r="G620" s="318"/>
      <c r="H620" s="315"/>
      <c r="I620" s="314"/>
      <c r="J620" s="314"/>
      <c r="K620" s="314"/>
      <c r="L620" s="776"/>
      <c r="M620" s="314"/>
      <c r="N620" s="318"/>
      <c r="O620" s="315"/>
      <c r="P620" s="314"/>
      <c r="Q620" s="314"/>
      <c r="R620" s="314"/>
      <c r="S620" s="777"/>
      <c r="T620" s="314"/>
      <c r="U620" s="778"/>
      <c r="V620" s="315"/>
      <c r="W620" s="779"/>
      <c r="X620" s="780"/>
      <c r="Y620" s="314"/>
      <c r="Z620" s="314"/>
      <c r="AA620" s="314"/>
      <c r="AB620" s="324"/>
      <c r="AC620" s="155"/>
      <c r="AD620" s="155"/>
      <c r="AE620" s="322"/>
      <c r="AF620" s="132"/>
      <c r="AG620" s="132"/>
    </row>
    <row r="621">
      <c r="A621" s="314"/>
      <c r="B621" s="313"/>
      <c r="C621" s="313"/>
      <c r="D621" s="313"/>
      <c r="E621" s="737"/>
      <c r="F621" s="314"/>
      <c r="G621" s="318"/>
      <c r="H621" s="315"/>
      <c r="I621" s="314"/>
      <c r="J621" s="314"/>
      <c r="K621" s="314"/>
      <c r="L621" s="776"/>
      <c r="M621" s="314"/>
      <c r="N621" s="318"/>
      <c r="O621" s="315"/>
      <c r="P621" s="314"/>
      <c r="Q621" s="314"/>
      <c r="R621" s="314"/>
      <c r="S621" s="777"/>
      <c r="T621" s="314"/>
      <c r="U621" s="778"/>
      <c r="V621" s="315"/>
      <c r="W621" s="779"/>
      <c r="X621" s="780"/>
      <c r="Y621" s="314"/>
      <c r="Z621" s="314"/>
      <c r="AA621" s="314"/>
      <c r="AB621" s="324"/>
      <c r="AC621" s="155"/>
      <c r="AD621" s="155"/>
      <c r="AE621" s="322"/>
      <c r="AF621" s="132"/>
      <c r="AG621" s="132"/>
    </row>
    <row r="622">
      <c r="A622" s="314"/>
      <c r="B622" s="313"/>
      <c r="C622" s="313"/>
      <c r="D622" s="313"/>
      <c r="E622" s="737"/>
      <c r="F622" s="314"/>
      <c r="G622" s="318"/>
      <c r="H622" s="315"/>
      <c r="I622" s="314"/>
      <c r="J622" s="314"/>
      <c r="K622" s="314"/>
      <c r="L622" s="776"/>
      <c r="M622" s="314"/>
      <c r="N622" s="318"/>
      <c r="O622" s="315"/>
      <c r="P622" s="314"/>
      <c r="Q622" s="314"/>
      <c r="R622" s="314"/>
      <c r="S622" s="777"/>
      <c r="T622" s="314"/>
      <c r="U622" s="778"/>
      <c r="V622" s="315"/>
      <c r="W622" s="779"/>
      <c r="X622" s="780"/>
      <c r="Y622" s="314"/>
      <c r="Z622" s="314"/>
      <c r="AA622" s="314"/>
      <c r="AB622" s="324"/>
      <c r="AC622" s="155"/>
      <c r="AD622" s="155"/>
      <c r="AE622" s="322"/>
      <c r="AF622" s="132"/>
      <c r="AG622" s="132"/>
    </row>
    <row r="623">
      <c r="A623" s="314"/>
      <c r="B623" s="313"/>
      <c r="C623" s="313"/>
      <c r="D623" s="313"/>
      <c r="E623" s="737"/>
      <c r="F623" s="314"/>
      <c r="G623" s="318"/>
      <c r="H623" s="315"/>
      <c r="I623" s="314"/>
      <c r="J623" s="314"/>
      <c r="K623" s="314"/>
      <c r="L623" s="776"/>
      <c r="M623" s="314"/>
      <c r="N623" s="318"/>
      <c r="O623" s="315"/>
      <c r="P623" s="314"/>
      <c r="Q623" s="314"/>
      <c r="R623" s="314"/>
      <c r="S623" s="777"/>
      <c r="T623" s="314"/>
      <c r="U623" s="778"/>
      <c r="V623" s="315"/>
      <c r="W623" s="779"/>
      <c r="X623" s="780"/>
      <c r="Y623" s="314"/>
      <c r="Z623" s="314"/>
      <c r="AA623" s="314"/>
      <c r="AB623" s="324"/>
      <c r="AC623" s="155"/>
      <c r="AD623" s="155"/>
      <c r="AE623" s="322"/>
      <c r="AF623" s="132"/>
      <c r="AG623" s="132"/>
    </row>
    <row r="624">
      <c r="A624" s="314"/>
      <c r="B624" s="313"/>
      <c r="C624" s="313"/>
      <c r="D624" s="313"/>
      <c r="E624" s="737"/>
      <c r="F624" s="314"/>
      <c r="G624" s="318"/>
      <c r="H624" s="315"/>
      <c r="I624" s="314"/>
      <c r="J624" s="314"/>
      <c r="K624" s="314"/>
      <c r="L624" s="776"/>
      <c r="M624" s="314"/>
      <c r="N624" s="318"/>
      <c r="O624" s="315"/>
      <c r="P624" s="314"/>
      <c r="Q624" s="314"/>
      <c r="R624" s="314"/>
      <c r="S624" s="777"/>
      <c r="T624" s="314"/>
      <c r="U624" s="778"/>
      <c r="V624" s="315"/>
      <c r="W624" s="779"/>
      <c r="X624" s="780"/>
      <c r="Y624" s="314"/>
      <c r="Z624" s="314"/>
      <c r="AA624" s="314"/>
      <c r="AB624" s="324"/>
      <c r="AC624" s="155"/>
      <c r="AD624" s="155"/>
      <c r="AE624" s="322"/>
      <c r="AF624" s="132"/>
      <c r="AG624" s="132"/>
    </row>
    <row r="625">
      <c r="A625" s="314"/>
      <c r="B625" s="313"/>
      <c r="C625" s="313"/>
      <c r="D625" s="313"/>
      <c r="E625" s="737"/>
      <c r="F625" s="314"/>
      <c r="G625" s="318"/>
      <c r="H625" s="315"/>
      <c r="I625" s="314"/>
      <c r="J625" s="314"/>
      <c r="K625" s="314"/>
      <c r="L625" s="776"/>
      <c r="M625" s="314"/>
      <c r="N625" s="318"/>
      <c r="O625" s="315"/>
      <c r="P625" s="314"/>
      <c r="Q625" s="314"/>
      <c r="R625" s="314"/>
      <c r="S625" s="777"/>
      <c r="T625" s="314"/>
      <c r="U625" s="778"/>
      <c r="V625" s="315"/>
      <c r="W625" s="779"/>
      <c r="X625" s="780"/>
      <c r="Y625" s="314"/>
      <c r="Z625" s="314"/>
      <c r="AA625" s="314"/>
      <c r="AB625" s="324"/>
      <c r="AC625" s="155"/>
      <c r="AD625" s="155"/>
      <c r="AE625" s="322"/>
      <c r="AF625" s="132"/>
      <c r="AG625" s="132"/>
    </row>
    <row r="626">
      <c r="A626" s="314"/>
      <c r="B626" s="313"/>
      <c r="C626" s="313"/>
      <c r="D626" s="313"/>
      <c r="E626" s="737"/>
      <c r="F626" s="314"/>
      <c r="G626" s="318"/>
      <c r="H626" s="315"/>
      <c r="I626" s="314"/>
      <c r="J626" s="314"/>
      <c r="K626" s="314"/>
      <c r="L626" s="776"/>
      <c r="M626" s="314"/>
      <c r="N626" s="318"/>
      <c r="O626" s="315"/>
      <c r="P626" s="314"/>
      <c r="Q626" s="314"/>
      <c r="R626" s="314"/>
      <c r="S626" s="777"/>
      <c r="T626" s="314"/>
      <c r="U626" s="778"/>
      <c r="V626" s="315"/>
      <c r="W626" s="779"/>
      <c r="X626" s="780"/>
      <c r="Y626" s="314"/>
      <c r="Z626" s="314"/>
      <c r="AA626" s="314"/>
      <c r="AB626" s="324"/>
      <c r="AC626" s="155"/>
      <c r="AD626" s="155"/>
      <c r="AE626" s="322"/>
      <c r="AF626" s="132"/>
      <c r="AG626" s="132"/>
    </row>
    <row r="627">
      <c r="A627" s="314"/>
      <c r="B627" s="313"/>
      <c r="C627" s="313"/>
      <c r="D627" s="313"/>
      <c r="E627" s="737"/>
      <c r="F627" s="314"/>
      <c r="G627" s="318"/>
      <c r="H627" s="315"/>
      <c r="I627" s="314"/>
      <c r="J627" s="314"/>
      <c r="K627" s="314"/>
      <c r="L627" s="776"/>
      <c r="M627" s="314"/>
      <c r="N627" s="318"/>
      <c r="O627" s="315"/>
      <c r="P627" s="314"/>
      <c r="Q627" s="314"/>
      <c r="R627" s="314"/>
      <c r="S627" s="777"/>
      <c r="T627" s="314"/>
      <c r="U627" s="778"/>
      <c r="V627" s="315"/>
      <c r="W627" s="779"/>
      <c r="X627" s="780"/>
      <c r="Y627" s="314"/>
      <c r="Z627" s="314"/>
      <c r="AA627" s="314"/>
      <c r="AB627" s="324"/>
      <c r="AC627" s="155"/>
      <c r="AD627" s="155"/>
      <c r="AE627" s="322"/>
      <c r="AF627" s="132"/>
      <c r="AG627" s="132"/>
    </row>
    <row r="628">
      <c r="A628" s="314"/>
      <c r="B628" s="313"/>
      <c r="C628" s="313"/>
      <c r="D628" s="313"/>
      <c r="E628" s="737"/>
      <c r="F628" s="314"/>
      <c r="G628" s="318"/>
      <c r="H628" s="315"/>
      <c r="I628" s="314"/>
      <c r="J628" s="314"/>
      <c r="K628" s="314"/>
      <c r="L628" s="776"/>
      <c r="M628" s="314"/>
      <c r="N628" s="318"/>
      <c r="O628" s="315"/>
      <c r="P628" s="314"/>
      <c r="Q628" s="314"/>
      <c r="R628" s="314"/>
      <c r="S628" s="777"/>
      <c r="T628" s="314"/>
      <c r="U628" s="778"/>
      <c r="V628" s="315"/>
      <c r="W628" s="779"/>
      <c r="X628" s="780"/>
      <c r="Y628" s="314"/>
      <c r="Z628" s="314"/>
      <c r="AA628" s="314"/>
      <c r="AB628" s="324"/>
      <c r="AC628" s="155"/>
      <c r="AD628" s="155"/>
      <c r="AE628" s="322"/>
      <c r="AF628" s="132"/>
      <c r="AG628" s="132"/>
    </row>
    <row r="629">
      <c r="A629" s="314"/>
      <c r="B629" s="313"/>
      <c r="C629" s="313"/>
      <c r="D629" s="313"/>
      <c r="E629" s="737"/>
      <c r="F629" s="314"/>
      <c r="G629" s="318"/>
      <c r="H629" s="315"/>
      <c r="I629" s="314"/>
      <c r="J629" s="314"/>
      <c r="K629" s="314"/>
      <c r="L629" s="776"/>
      <c r="M629" s="314"/>
      <c r="N629" s="318"/>
      <c r="O629" s="315"/>
      <c r="P629" s="314"/>
      <c r="Q629" s="314"/>
      <c r="R629" s="314"/>
      <c r="S629" s="777"/>
      <c r="T629" s="314"/>
      <c r="U629" s="778"/>
      <c r="V629" s="315"/>
      <c r="W629" s="779"/>
      <c r="X629" s="780"/>
      <c r="Y629" s="314"/>
      <c r="Z629" s="314"/>
      <c r="AA629" s="314"/>
      <c r="AB629" s="324"/>
      <c r="AC629" s="155"/>
      <c r="AD629" s="155"/>
      <c r="AE629" s="322"/>
      <c r="AF629" s="132"/>
      <c r="AG629" s="132"/>
    </row>
    <row r="630">
      <c r="A630" s="314"/>
      <c r="B630" s="313"/>
      <c r="C630" s="313"/>
      <c r="D630" s="313"/>
      <c r="E630" s="737"/>
      <c r="F630" s="314"/>
      <c r="G630" s="318"/>
      <c r="H630" s="315"/>
      <c r="I630" s="314"/>
      <c r="J630" s="314"/>
      <c r="K630" s="314"/>
      <c r="L630" s="776"/>
      <c r="M630" s="314"/>
      <c r="N630" s="318"/>
      <c r="O630" s="315"/>
      <c r="P630" s="314"/>
      <c r="Q630" s="314"/>
      <c r="R630" s="314"/>
      <c r="S630" s="777"/>
      <c r="T630" s="314"/>
      <c r="U630" s="778"/>
      <c r="V630" s="315"/>
      <c r="W630" s="779"/>
      <c r="X630" s="780"/>
      <c r="Y630" s="314"/>
      <c r="Z630" s="314"/>
      <c r="AA630" s="314"/>
      <c r="AB630" s="324"/>
      <c r="AC630" s="155"/>
      <c r="AD630" s="155"/>
      <c r="AE630" s="322"/>
      <c r="AF630" s="132"/>
      <c r="AG630" s="132"/>
    </row>
    <row r="631">
      <c r="A631" s="314"/>
      <c r="B631" s="313"/>
      <c r="C631" s="313"/>
      <c r="D631" s="313"/>
      <c r="E631" s="737"/>
      <c r="F631" s="314"/>
      <c r="G631" s="318"/>
      <c r="H631" s="315"/>
      <c r="I631" s="314"/>
      <c r="J631" s="314"/>
      <c r="K631" s="314"/>
      <c r="L631" s="776"/>
      <c r="M631" s="314"/>
      <c r="N631" s="318"/>
      <c r="O631" s="315"/>
      <c r="P631" s="314"/>
      <c r="Q631" s="314"/>
      <c r="R631" s="314"/>
      <c r="S631" s="777"/>
      <c r="T631" s="314"/>
      <c r="U631" s="778"/>
      <c r="V631" s="315"/>
      <c r="W631" s="779"/>
      <c r="X631" s="780"/>
      <c r="Y631" s="314"/>
      <c r="Z631" s="314"/>
      <c r="AA631" s="314"/>
      <c r="AB631" s="324"/>
      <c r="AC631" s="155"/>
      <c r="AD631" s="155"/>
      <c r="AE631" s="322"/>
      <c r="AF631" s="132"/>
      <c r="AG631" s="132"/>
    </row>
    <row r="632">
      <c r="A632" s="314"/>
      <c r="B632" s="313"/>
      <c r="C632" s="313"/>
      <c r="D632" s="313"/>
      <c r="E632" s="737"/>
      <c r="F632" s="314"/>
      <c r="G632" s="318"/>
      <c r="H632" s="315"/>
      <c r="I632" s="314"/>
      <c r="J632" s="314"/>
      <c r="K632" s="314"/>
      <c r="L632" s="776"/>
      <c r="M632" s="314"/>
      <c r="N632" s="318"/>
      <c r="O632" s="315"/>
      <c r="P632" s="314"/>
      <c r="Q632" s="314"/>
      <c r="R632" s="314"/>
      <c r="S632" s="777"/>
      <c r="T632" s="314"/>
      <c r="U632" s="778"/>
      <c r="V632" s="315"/>
      <c r="W632" s="779"/>
      <c r="X632" s="780"/>
      <c r="Y632" s="314"/>
      <c r="Z632" s="314"/>
      <c r="AA632" s="314"/>
      <c r="AB632" s="324"/>
      <c r="AC632" s="155"/>
      <c r="AD632" s="155"/>
      <c r="AE632" s="322"/>
      <c r="AF632" s="132"/>
      <c r="AG632" s="132"/>
    </row>
    <row r="633">
      <c r="A633" s="314"/>
      <c r="B633" s="313"/>
      <c r="C633" s="313"/>
      <c r="D633" s="313"/>
      <c r="E633" s="737"/>
      <c r="F633" s="314"/>
      <c r="G633" s="318"/>
      <c r="H633" s="315"/>
      <c r="I633" s="314"/>
      <c r="J633" s="314"/>
      <c r="K633" s="314"/>
      <c r="L633" s="776"/>
      <c r="M633" s="314"/>
      <c r="N633" s="318"/>
      <c r="O633" s="315"/>
      <c r="P633" s="314"/>
      <c r="Q633" s="314"/>
      <c r="R633" s="314"/>
      <c r="S633" s="777"/>
      <c r="T633" s="314"/>
      <c r="U633" s="778"/>
      <c r="V633" s="315"/>
      <c r="W633" s="779"/>
      <c r="X633" s="780"/>
      <c r="Y633" s="314"/>
      <c r="Z633" s="314"/>
      <c r="AA633" s="314"/>
      <c r="AB633" s="324"/>
      <c r="AC633" s="155"/>
      <c r="AD633" s="155"/>
      <c r="AE633" s="322"/>
      <c r="AF633" s="132"/>
      <c r="AG633" s="132"/>
    </row>
    <row r="634">
      <c r="A634" s="314"/>
      <c r="B634" s="313"/>
      <c r="C634" s="313"/>
      <c r="D634" s="313"/>
      <c r="E634" s="737"/>
      <c r="F634" s="314"/>
      <c r="G634" s="318"/>
      <c r="H634" s="315"/>
      <c r="I634" s="314"/>
      <c r="J634" s="314"/>
      <c r="K634" s="314"/>
      <c r="L634" s="776"/>
      <c r="M634" s="314"/>
      <c r="N634" s="318"/>
      <c r="O634" s="315"/>
      <c r="P634" s="314"/>
      <c r="Q634" s="314"/>
      <c r="R634" s="314"/>
      <c r="S634" s="777"/>
      <c r="T634" s="314"/>
      <c r="U634" s="778"/>
      <c r="V634" s="315"/>
      <c r="W634" s="779"/>
      <c r="X634" s="780"/>
      <c r="Y634" s="314"/>
      <c r="Z634" s="314"/>
      <c r="AA634" s="314"/>
      <c r="AB634" s="324"/>
      <c r="AC634" s="155"/>
      <c r="AD634" s="155"/>
      <c r="AE634" s="322"/>
      <c r="AF634" s="132"/>
      <c r="AG634" s="132"/>
    </row>
    <row r="635">
      <c r="A635" s="314"/>
      <c r="B635" s="313"/>
      <c r="C635" s="313"/>
      <c r="D635" s="313"/>
      <c r="E635" s="737"/>
      <c r="F635" s="314"/>
      <c r="G635" s="318"/>
      <c r="H635" s="315"/>
      <c r="I635" s="314"/>
      <c r="J635" s="314"/>
      <c r="K635" s="314"/>
      <c r="L635" s="776"/>
      <c r="M635" s="314"/>
      <c r="N635" s="318"/>
      <c r="O635" s="315"/>
      <c r="P635" s="314"/>
      <c r="Q635" s="314"/>
      <c r="R635" s="314"/>
      <c r="S635" s="777"/>
      <c r="T635" s="314"/>
      <c r="U635" s="778"/>
      <c r="V635" s="315"/>
      <c r="W635" s="779"/>
      <c r="X635" s="780"/>
      <c r="Y635" s="314"/>
      <c r="Z635" s="314"/>
      <c r="AA635" s="314"/>
      <c r="AB635" s="324"/>
      <c r="AC635" s="155"/>
      <c r="AD635" s="155"/>
      <c r="AE635" s="322"/>
      <c r="AF635" s="132"/>
      <c r="AG635" s="132"/>
    </row>
    <row r="636">
      <c r="A636" s="314"/>
      <c r="B636" s="313"/>
      <c r="C636" s="313"/>
      <c r="D636" s="313"/>
      <c r="E636" s="737"/>
      <c r="F636" s="314"/>
      <c r="G636" s="318"/>
      <c r="H636" s="315"/>
      <c r="I636" s="314"/>
      <c r="J636" s="314"/>
      <c r="K636" s="314"/>
      <c r="L636" s="776"/>
      <c r="M636" s="314"/>
      <c r="N636" s="318"/>
      <c r="O636" s="315"/>
      <c r="P636" s="314"/>
      <c r="Q636" s="314"/>
      <c r="R636" s="314"/>
      <c r="S636" s="777"/>
      <c r="T636" s="314"/>
      <c r="U636" s="778"/>
      <c r="V636" s="315"/>
      <c r="W636" s="779"/>
      <c r="X636" s="780"/>
      <c r="Y636" s="314"/>
      <c r="Z636" s="314"/>
      <c r="AA636" s="314"/>
      <c r="AB636" s="324"/>
      <c r="AC636" s="155"/>
      <c r="AD636" s="155"/>
      <c r="AE636" s="322"/>
      <c r="AF636" s="132"/>
      <c r="AG636" s="132"/>
    </row>
    <row r="637">
      <c r="A637" s="314"/>
      <c r="B637" s="313"/>
      <c r="C637" s="313"/>
      <c r="D637" s="313"/>
      <c r="E637" s="737"/>
      <c r="F637" s="314"/>
      <c r="G637" s="318"/>
      <c r="H637" s="315"/>
      <c r="I637" s="314"/>
      <c r="J637" s="314"/>
      <c r="K637" s="314"/>
      <c r="L637" s="776"/>
      <c r="M637" s="314"/>
      <c r="N637" s="318"/>
      <c r="O637" s="315"/>
      <c r="P637" s="314"/>
      <c r="Q637" s="314"/>
      <c r="R637" s="314"/>
      <c r="S637" s="777"/>
      <c r="T637" s="314"/>
      <c r="U637" s="778"/>
      <c r="V637" s="315"/>
      <c r="W637" s="779"/>
      <c r="X637" s="780"/>
      <c r="Y637" s="314"/>
      <c r="Z637" s="314"/>
      <c r="AA637" s="314"/>
      <c r="AB637" s="324"/>
      <c r="AC637" s="155"/>
      <c r="AD637" s="155"/>
      <c r="AE637" s="322"/>
      <c r="AF637" s="132"/>
      <c r="AG637" s="132"/>
    </row>
    <row r="638">
      <c r="A638" s="314"/>
      <c r="B638" s="313"/>
      <c r="C638" s="313"/>
      <c r="D638" s="313"/>
      <c r="E638" s="737"/>
      <c r="F638" s="314"/>
      <c r="G638" s="318"/>
      <c r="H638" s="315"/>
      <c r="I638" s="314"/>
      <c r="J638" s="314"/>
      <c r="K638" s="314"/>
      <c r="L638" s="776"/>
      <c r="M638" s="314"/>
      <c r="N638" s="318"/>
      <c r="O638" s="315"/>
      <c r="P638" s="314"/>
      <c r="Q638" s="314"/>
      <c r="R638" s="314"/>
      <c r="S638" s="777"/>
      <c r="T638" s="314"/>
      <c r="U638" s="778"/>
      <c r="V638" s="315"/>
      <c r="W638" s="779"/>
      <c r="X638" s="780"/>
      <c r="Y638" s="314"/>
      <c r="Z638" s="314"/>
      <c r="AA638" s="314"/>
      <c r="AB638" s="324"/>
      <c r="AC638" s="155"/>
      <c r="AD638" s="155"/>
      <c r="AE638" s="322"/>
      <c r="AF638" s="132"/>
      <c r="AG638" s="132"/>
    </row>
    <row r="639">
      <c r="A639" s="314"/>
      <c r="B639" s="313"/>
      <c r="C639" s="313"/>
      <c r="D639" s="313"/>
      <c r="E639" s="737"/>
      <c r="F639" s="314"/>
      <c r="G639" s="318"/>
      <c r="H639" s="315"/>
      <c r="I639" s="314"/>
      <c r="J639" s="314"/>
      <c r="K639" s="314"/>
      <c r="L639" s="776"/>
      <c r="M639" s="314"/>
      <c r="N639" s="318"/>
      <c r="O639" s="315"/>
      <c r="P639" s="314"/>
      <c r="Q639" s="314"/>
      <c r="R639" s="314"/>
      <c r="S639" s="777"/>
      <c r="T639" s="314"/>
      <c r="U639" s="778"/>
      <c r="V639" s="315"/>
      <c r="W639" s="779"/>
      <c r="X639" s="780"/>
      <c r="Y639" s="314"/>
      <c r="Z639" s="314"/>
      <c r="AA639" s="314"/>
      <c r="AB639" s="324"/>
      <c r="AC639" s="155"/>
      <c r="AD639" s="155"/>
      <c r="AE639" s="322"/>
      <c r="AF639" s="132"/>
      <c r="AG639" s="132"/>
    </row>
    <row r="640">
      <c r="A640" s="314"/>
      <c r="B640" s="313"/>
      <c r="C640" s="313"/>
      <c r="D640" s="313"/>
      <c r="E640" s="737"/>
      <c r="F640" s="314"/>
      <c r="G640" s="318"/>
      <c r="H640" s="315"/>
      <c r="I640" s="314"/>
      <c r="J640" s="314"/>
      <c r="K640" s="314"/>
      <c r="L640" s="776"/>
      <c r="M640" s="314"/>
      <c r="N640" s="318"/>
      <c r="O640" s="315"/>
      <c r="P640" s="314"/>
      <c r="Q640" s="314"/>
      <c r="R640" s="314"/>
      <c r="S640" s="777"/>
      <c r="T640" s="314"/>
      <c r="U640" s="778"/>
      <c r="V640" s="315"/>
      <c r="W640" s="779"/>
      <c r="X640" s="780"/>
      <c r="Y640" s="314"/>
      <c r="Z640" s="314"/>
      <c r="AA640" s="314"/>
      <c r="AB640" s="324"/>
      <c r="AC640" s="155"/>
      <c r="AD640" s="155"/>
      <c r="AE640" s="322"/>
      <c r="AF640" s="132"/>
      <c r="AG640" s="132"/>
    </row>
    <row r="641">
      <c r="A641" s="314"/>
      <c r="B641" s="313"/>
      <c r="C641" s="313"/>
      <c r="D641" s="313"/>
      <c r="E641" s="737"/>
      <c r="F641" s="314"/>
      <c r="G641" s="318"/>
      <c r="H641" s="315"/>
      <c r="I641" s="314"/>
      <c r="J641" s="314"/>
      <c r="K641" s="314"/>
      <c r="L641" s="776"/>
      <c r="M641" s="314"/>
      <c r="N641" s="318"/>
      <c r="O641" s="315"/>
      <c r="P641" s="314"/>
      <c r="Q641" s="314"/>
      <c r="R641" s="314"/>
      <c r="S641" s="777"/>
      <c r="T641" s="314"/>
      <c r="U641" s="778"/>
      <c r="V641" s="315"/>
      <c r="W641" s="779"/>
      <c r="X641" s="780"/>
      <c r="Y641" s="314"/>
      <c r="Z641" s="314"/>
      <c r="AA641" s="314"/>
      <c r="AB641" s="324"/>
      <c r="AC641" s="155"/>
      <c r="AD641" s="155"/>
      <c r="AE641" s="322"/>
      <c r="AF641" s="132"/>
      <c r="AG641" s="132"/>
    </row>
    <row r="642">
      <c r="A642" s="314"/>
      <c r="B642" s="313"/>
      <c r="C642" s="313"/>
      <c r="D642" s="313"/>
      <c r="E642" s="737"/>
      <c r="F642" s="314"/>
      <c r="G642" s="318"/>
      <c r="H642" s="315"/>
      <c r="I642" s="314"/>
      <c r="J642" s="314"/>
      <c r="K642" s="314"/>
      <c r="L642" s="776"/>
      <c r="M642" s="314"/>
      <c r="N642" s="318"/>
      <c r="O642" s="315"/>
      <c r="P642" s="314"/>
      <c r="Q642" s="314"/>
      <c r="R642" s="314"/>
      <c r="S642" s="777"/>
      <c r="T642" s="314"/>
      <c r="U642" s="778"/>
      <c r="V642" s="315"/>
      <c r="W642" s="779"/>
      <c r="X642" s="780"/>
      <c r="Y642" s="314"/>
      <c r="Z642" s="314"/>
      <c r="AA642" s="314"/>
      <c r="AB642" s="324"/>
      <c r="AC642" s="155"/>
      <c r="AD642" s="155"/>
      <c r="AE642" s="322"/>
      <c r="AF642" s="132"/>
      <c r="AG642" s="132"/>
    </row>
    <row r="643">
      <c r="A643" s="314"/>
      <c r="B643" s="313"/>
      <c r="C643" s="313"/>
      <c r="D643" s="313"/>
      <c r="E643" s="737"/>
      <c r="F643" s="314"/>
      <c r="G643" s="318"/>
      <c r="H643" s="315"/>
      <c r="I643" s="314"/>
      <c r="J643" s="314"/>
      <c r="K643" s="314"/>
      <c r="L643" s="776"/>
      <c r="M643" s="314"/>
      <c r="N643" s="318"/>
      <c r="O643" s="315"/>
      <c r="P643" s="314"/>
      <c r="Q643" s="314"/>
      <c r="R643" s="314"/>
      <c r="S643" s="777"/>
      <c r="T643" s="314"/>
      <c r="U643" s="778"/>
      <c r="V643" s="315"/>
      <c r="W643" s="779"/>
      <c r="X643" s="780"/>
      <c r="Y643" s="314"/>
      <c r="Z643" s="314"/>
      <c r="AA643" s="314"/>
      <c r="AB643" s="324"/>
      <c r="AC643" s="155"/>
      <c r="AD643" s="155"/>
      <c r="AE643" s="322"/>
      <c r="AF643" s="132"/>
      <c r="AG643" s="132"/>
    </row>
    <row r="644">
      <c r="A644" s="314"/>
      <c r="B644" s="313"/>
      <c r="C644" s="313"/>
      <c r="D644" s="313"/>
      <c r="E644" s="737"/>
      <c r="F644" s="314"/>
      <c r="G644" s="318"/>
      <c r="H644" s="315"/>
      <c r="I644" s="314"/>
      <c r="J644" s="314"/>
      <c r="K644" s="314"/>
      <c r="L644" s="776"/>
      <c r="M644" s="314"/>
      <c r="N644" s="318"/>
      <c r="O644" s="315"/>
      <c r="P644" s="314"/>
      <c r="Q644" s="314"/>
      <c r="R644" s="314"/>
      <c r="S644" s="777"/>
      <c r="T644" s="314"/>
      <c r="U644" s="778"/>
      <c r="V644" s="315"/>
      <c r="W644" s="779"/>
      <c r="X644" s="780"/>
      <c r="Y644" s="314"/>
      <c r="Z644" s="314"/>
      <c r="AA644" s="314"/>
      <c r="AB644" s="324"/>
      <c r="AC644" s="155"/>
      <c r="AD644" s="155"/>
      <c r="AE644" s="322"/>
      <c r="AF644" s="132"/>
      <c r="AG644" s="132"/>
    </row>
    <row r="645">
      <c r="A645" s="314"/>
      <c r="B645" s="313"/>
      <c r="C645" s="313"/>
      <c r="D645" s="313"/>
      <c r="E645" s="737"/>
      <c r="F645" s="314"/>
      <c r="G645" s="318"/>
      <c r="H645" s="315"/>
      <c r="I645" s="314"/>
      <c r="J645" s="314"/>
      <c r="K645" s="314"/>
      <c r="L645" s="776"/>
      <c r="M645" s="314"/>
      <c r="N645" s="318"/>
      <c r="O645" s="315"/>
      <c r="P645" s="314"/>
      <c r="Q645" s="314"/>
      <c r="R645" s="314"/>
      <c r="S645" s="777"/>
      <c r="T645" s="314"/>
      <c r="U645" s="778"/>
      <c r="V645" s="315"/>
      <c r="W645" s="779"/>
      <c r="X645" s="780"/>
      <c r="Y645" s="314"/>
      <c r="Z645" s="314"/>
      <c r="AA645" s="314"/>
      <c r="AB645" s="324"/>
      <c r="AC645" s="155"/>
      <c r="AD645" s="155"/>
      <c r="AE645" s="322"/>
      <c r="AF645" s="132"/>
      <c r="AG645" s="132"/>
    </row>
    <row r="646">
      <c r="A646" s="314"/>
      <c r="B646" s="313"/>
      <c r="C646" s="313"/>
      <c r="D646" s="313"/>
      <c r="E646" s="737"/>
      <c r="F646" s="314"/>
      <c r="G646" s="318"/>
      <c r="H646" s="315"/>
      <c r="I646" s="314"/>
      <c r="J646" s="314"/>
      <c r="K646" s="314"/>
      <c r="L646" s="776"/>
      <c r="M646" s="314"/>
      <c r="N646" s="318"/>
      <c r="O646" s="315"/>
      <c r="P646" s="314"/>
      <c r="Q646" s="314"/>
      <c r="R646" s="314"/>
      <c r="S646" s="777"/>
      <c r="T646" s="314"/>
      <c r="U646" s="778"/>
      <c r="V646" s="315"/>
      <c r="W646" s="779"/>
      <c r="X646" s="780"/>
      <c r="Y646" s="314"/>
      <c r="Z646" s="314"/>
      <c r="AA646" s="314"/>
      <c r="AB646" s="324"/>
      <c r="AC646" s="155"/>
      <c r="AD646" s="155"/>
      <c r="AE646" s="322"/>
      <c r="AF646" s="132"/>
      <c r="AG646" s="132"/>
    </row>
    <row r="647">
      <c r="A647" s="314"/>
      <c r="B647" s="313"/>
      <c r="C647" s="313"/>
      <c r="D647" s="313"/>
      <c r="E647" s="737"/>
      <c r="F647" s="314"/>
      <c r="G647" s="318"/>
      <c r="H647" s="315"/>
      <c r="I647" s="314"/>
      <c r="J647" s="314"/>
      <c r="K647" s="314"/>
      <c r="L647" s="776"/>
      <c r="M647" s="314"/>
      <c r="N647" s="318"/>
      <c r="O647" s="315"/>
      <c r="P647" s="314"/>
      <c r="Q647" s="314"/>
      <c r="R647" s="314"/>
      <c r="S647" s="777"/>
      <c r="T647" s="314"/>
      <c r="U647" s="778"/>
      <c r="V647" s="315"/>
      <c r="W647" s="779"/>
      <c r="X647" s="780"/>
      <c r="Y647" s="314"/>
      <c r="Z647" s="314"/>
      <c r="AA647" s="314"/>
      <c r="AB647" s="324"/>
      <c r="AC647" s="155"/>
      <c r="AD647" s="155"/>
      <c r="AE647" s="322"/>
      <c r="AF647" s="132"/>
      <c r="AG647" s="132"/>
    </row>
    <row r="648">
      <c r="A648" s="314"/>
      <c r="B648" s="313"/>
      <c r="C648" s="313"/>
      <c r="D648" s="313"/>
      <c r="E648" s="737"/>
      <c r="F648" s="314"/>
      <c r="G648" s="318"/>
      <c r="H648" s="315"/>
      <c r="I648" s="314"/>
      <c r="J648" s="314"/>
      <c r="K648" s="314"/>
      <c r="L648" s="776"/>
      <c r="M648" s="314"/>
      <c r="N648" s="318"/>
      <c r="O648" s="315"/>
      <c r="P648" s="314"/>
      <c r="Q648" s="314"/>
      <c r="R648" s="314"/>
      <c r="S648" s="777"/>
      <c r="T648" s="314"/>
      <c r="U648" s="778"/>
      <c r="V648" s="315"/>
      <c r="W648" s="779"/>
      <c r="X648" s="780"/>
      <c r="Y648" s="314"/>
      <c r="Z648" s="314"/>
      <c r="AA648" s="314"/>
      <c r="AB648" s="324"/>
      <c r="AC648" s="155"/>
      <c r="AD648" s="155"/>
      <c r="AE648" s="322"/>
      <c r="AF648" s="132"/>
      <c r="AG648" s="132"/>
    </row>
    <row r="649">
      <c r="A649" s="314"/>
      <c r="B649" s="313"/>
      <c r="C649" s="313"/>
      <c r="D649" s="313"/>
      <c r="E649" s="737"/>
      <c r="F649" s="314"/>
      <c r="G649" s="318"/>
      <c r="H649" s="315"/>
      <c r="I649" s="314"/>
      <c r="J649" s="314"/>
      <c r="K649" s="314"/>
      <c r="L649" s="776"/>
      <c r="M649" s="314"/>
      <c r="N649" s="318"/>
      <c r="O649" s="315"/>
      <c r="P649" s="314"/>
      <c r="Q649" s="314"/>
      <c r="R649" s="314"/>
      <c r="S649" s="777"/>
      <c r="T649" s="314"/>
      <c r="U649" s="778"/>
      <c r="V649" s="315"/>
      <c r="W649" s="779"/>
      <c r="X649" s="780"/>
      <c r="Y649" s="314"/>
      <c r="Z649" s="314"/>
      <c r="AA649" s="314"/>
      <c r="AB649" s="324"/>
      <c r="AC649" s="155"/>
      <c r="AD649" s="155"/>
      <c r="AE649" s="322"/>
      <c r="AF649" s="132"/>
      <c r="AG649" s="132"/>
    </row>
    <row r="650">
      <c r="A650" s="314"/>
      <c r="B650" s="313"/>
      <c r="C650" s="313"/>
      <c r="D650" s="313"/>
      <c r="E650" s="737"/>
      <c r="F650" s="314"/>
      <c r="G650" s="318"/>
      <c r="H650" s="315"/>
      <c r="I650" s="314"/>
      <c r="J650" s="314"/>
      <c r="K650" s="314"/>
      <c r="L650" s="776"/>
      <c r="M650" s="314"/>
      <c r="N650" s="318"/>
      <c r="O650" s="315"/>
      <c r="P650" s="314"/>
      <c r="Q650" s="314"/>
      <c r="R650" s="314"/>
      <c r="S650" s="777"/>
      <c r="T650" s="314"/>
      <c r="U650" s="778"/>
      <c r="V650" s="315"/>
      <c r="W650" s="779"/>
      <c r="X650" s="780"/>
      <c r="Y650" s="314"/>
      <c r="Z650" s="314"/>
      <c r="AA650" s="314"/>
      <c r="AB650" s="324"/>
      <c r="AC650" s="155"/>
      <c r="AD650" s="155"/>
      <c r="AE650" s="322"/>
      <c r="AF650" s="132"/>
      <c r="AG650" s="132"/>
    </row>
    <row r="651">
      <c r="A651" s="314"/>
      <c r="B651" s="313"/>
      <c r="C651" s="313"/>
      <c r="D651" s="313"/>
      <c r="E651" s="737"/>
      <c r="F651" s="314"/>
      <c r="G651" s="318"/>
      <c r="H651" s="315"/>
      <c r="I651" s="314"/>
      <c r="J651" s="314"/>
      <c r="K651" s="314"/>
      <c r="L651" s="776"/>
      <c r="M651" s="314"/>
      <c r="N651" s="318"/>
      <c r="O651" s="315"/>
      <c r="P651" s="314"/>
      <c r="Q651" s="314"/>
      <c r="R651" s="314"/>
      <c r="S651" s="777"/>
      <c r="T651" s="314"/>
      <c r="U651" s="778"/>
      <c r="V651" s="315"/>
      <c r="W651" s="779"/>
      <c r="X651" s="780"/>
      <c r="Y651" s="314"/>
      <c r="Z651" s="314"/>
      <c r="AA651" s="314"/>
      <c r="AB651" s="324"/>
      <c r="AC651" s="155"/>
      <c r="AD651" s="155"/>
      <c r="AE651" s="322"/>
      <c r="AF651" s="132"/>
      <c r="AG651" s="132"/>
    </row>
    <row r="652">
      <c r="A652" s="314"/>
      <c r="B652" s="313"/>
      <c r="C652" s="313"/>
      <c r="D652" s="313"/>
      <c r="E652" s="737"/>
      <c r="F652" s="314"/>
      <c r="G652" s="318"/>
      <c r="H652" s="315"/>
      <c r="I652" s="314"/>
      <c r="J652" s="314"/>
      <c r="K652" s="314"/>
      <c r="L652" s="776"/>
      <c r="M652" s="314"/>
      <c r="N652" s="318"/>
      <c r="O652" s="315"/>
      <c r="P652" s="314"/>
      <c r="Q652" s="314"/>
      <c r="R652" s="314"/>
      <c r="S652" s="777"/>
      <c r="T652" s="314"/>
      <c r="U652" s="778"/>
      <c r="V652" s="315"/>
      <c r="W652" s="779"/>
      <c r="X652" s="780"/>
      <c r="Y652" s="314"/>
      <c r="Z652" s="314"/>
      <c r="AA652" s="314"/>
      <c r="AB652" s="324"/>
      <c r="AC652" s="155"/>
      <c r="AD652" s="155"/>
      <c r="AE652" s="322"/>
      <c r="AF652" s="132"/>
      <c r="AG652" s="132"/>
    </row>
    <row r="653">
      <c r="A653" s="314"/>
      <c r="B653" s="313"/>
      <c r="C653" s="313"/>
      <c r="D653" s="313"/>
      <c r="E653" s="737"/>
      <c r="F653" s="314"/>
      <c r="G653" s="318"/>
      <c r="H653" s="315"/>
      <c r="I653" s="314"/>
      <c r="J653" s="314"/>
      <c r="K653" s="314"/>
      <c r="L653" s="776"/>
      <c r="M653" s="314"/>
      <c r="N653" s="318"/>
      <c r="O653" s="315"/>
      <c r="P653" s="314"/>
      <c r="Q653" s="314"/>
      <c r="R653" s="314"/>
      <c r="S653" s="777"/>
      <c r="T653" s="314"/>
      <c r="U653" s="778"/>
      <c r="V653" s="315"/>
      <c r="W653" s="779"/>
      <c r="X653" s="780"/>
      <c r="Y653" s="314"/>
      <c r="Z653" s="314"/>
      <c r="AA653" s="314"/>
      <c r="AB653" s="324"/>
      <c r="AC653" s="155"/>
      <c r="AD653" s="155"/>
      <c r="AE653" s="322"/>
      <c r="AF653" s="132"/>
      <c r="AG653" s="132"/>
    </row>
    <row r="654">
      <c r="A654" s="314"/>
      <c r="B654" s="313"/>
      <c r="C654" s="313"/>
      <c r="D654" s="313"/>
      <c r="E654" s="737"/>
      <c r="F654" s="314"/>
      <c r="G654" s="318"/>
      <c r="H654" s="315"/>
      <c r="I654" s="314"/>
      <c r="J654" s="314"/>
      <c r="K654" s="314"/>
      <c r="L654" s="776"/>
      <c r="M654" s="314"/>
      <c r="N654" s="318"/>
      <c r="O654" s="315"/>
      <c r="P654" s="314"/>
      <c r="Q654" s="314"/>
      <c r="R654" s="314"/>
      <c r="S654" s="777"/>
      <c r="T654" s="314"/>
      <c r="U654" s="778"/>
      <c r="V654" s="315"/>
      <c r="W654" s="779"/>
      <c r="X654" s="780"/>
      <c r="Y654" s="314"/>
      <c r="Z654" s="314"/>
      <c r="AA654" s="314"/>
      <c r="AB654" s="324"/>
      <c r="AC654" s="155"/>
      <c r="AD654" s="155"/>
      <c r="AE654" s="322"/>
      <c r="AF654" s="132"/>
      <c r="AG654" s="132"/>
    </row>
    <row r="655">
      <c r="A655" s="314"/>
      <c r="B655" s="313"/>
      <c r="C655" s="313"/>
      <c r="D655" s="313"/>
      <c r="E655" s="737"/>
      <c r="F655" s="314"/>
      <c r="G655" s="318"/>
      <c r="H655" s="315"/>
      <c r="I655" s="314"/>
      <c r="J655" s="314"/>
      <c r="K655" s="314"/>
      <c r="L655" s="776"/>
      <c r="M655" s="314"/>
      <c r="N655" s="318"/>
      <c r="O655" s="315"/>
      <c r="P655" s="314"/>
      <c r="Q655" s="314"/>
      <c r="R655" s="314"/>
      <c r="S655" s="777"/>
      <c r="T655" s="314"/>
      <c r="U655" s="778"/>
      <c r="V655" s="315"/>
      <c r="W655" s="779"/>
      <c r="X655" s="780"/>
      <c r="Y655" s="314"/>
      <c r="Z655" s="314"/>
      <c r="AA655" s="314"/>
      <c r="AB655" s="324"/>
      <c r="AC655" s="155"/>
      <c r="AD655" s="155"/>
      <c r="AE655" s="322"/>
      <c r="AF655" s="132"/>
      <c r="AG655" s="132"/>
    </row>
    <row r="656">
      <c r="A656" s="314"/>
      <c r="B656" s="313"/>
      <c r="C656" s="313"/>
      <c r="D656" s="313"/>
      <c r="E656" s="737"/>
      <c r="F656" s="314"/>
      <c r="G656" s="318"/>
      <c r="H656" s="315"/>
      <c r="I656" s="314"/>
      <c r="J656" s="314"/>
      <c r="K656" s="314"/>
      <c r="L656" s="776"/>
      <c r="M656" s="314"/>
      <c r="N656" s="318"/>
      <c r="O656" s="315"/>
      <c r="P656" s="314"/>
      <c r="Q656" s="314"/>
      <c r="R656" s="314"/>
      <c r="S656" s="777"/>
      <c r="T656" s="314"/>
      <c r="U656" s="778"/>
      <c r="V656" s="315"/>
      <c r="W656" s="779"/>
      <c r="X656" s="780"/>
      <c r="Y656" s="314"/>
      <c r="Z656" s="314"/>
      <c r="AA656" s="314"/>
      <c r="AB656" s="324"/>
      <c r="AC656" s="155"/>
      <c r="AD656" s="155"/>
      <c r="AE656" s="322"/>
      <c r="AF656" s="132"/>
      <c r="AG656" s="132"/>
    </row>
    <row r="657">
      <c r="A657" s="314"/>
      <c r="B657" s="313"/>
      <c r="C657" s="313"/>
      <c r="D657" s="313"/>
      <c r="E657" s="737"/>
      <c r="F657" s="314"/>
      <c r="G657" s="318"/>
      <c r="H657" s="315"/>
      <c r="I657" s="314"/>
      <c r="J657" s="314"/>
      <c r="K657" s="314"/>
      <c r="L657" s="776"/>
      <c r="M657" s="314"/>
      <c r="N657" s="318"/>
      <c r="O657" s="315"/>
      <c r="P657" s="314"/>
      <c r="Q657" s="314"/>
      <c r="R657" s="314"/>
      <c r="S657" s="777"/>
      <c r="T657" s="314"/>
      <c r="U657" s="778"/>
      <c r="V657" s="315"/>
      <c r="W657" s="779"/>
      <c r="X657" s="780"/>
      <c r="Y657" s="314"/>
      <c r="Z657" s="314"/>
      <c r="AA657" s="314"/>
      <c r="AB657" s="324"/>
      <c r="AC657" s="155"/>
      <c r="AD657" s="155"/>
      <c r="AE657" s="322"/>
      <c r="AF657" s="132"/>
      <c r="AG657" s="132"/>
    </row>
    <row r="658">
      <c r="A658" s="314"/>
      <c r="B658" s="313"/>
      <c r="C658" s="313"/>
      <c r="D658" s="313"/>
      <c r="E658" s="737"/>
      <c r="F658" s="314"/>
      <c r="G658" s="318"/>
      <c r="H658" s="315"/>
      <c r="I658" s="314"/>
      <c r="J658" s="314"/>
      <c r="K658" s="314"/>
      <c r="L658" s="776"/>
      <c r="M658" s="314"/>
      <c r="N658" s="318"/>
      <c r="O658" s="315"/>
      <c r="P658" s="314"/>
      <c r="Q658" s="314"/>
      <c r="R658" s="314"/>
      <c r="S658" s="777"/>
      <c r="T658" s="314"/>
      <c r="U658" s="778"/>
      <c r="V658" s="315"/>
      <c r="W658" s="779"/>
      <c r="X658" s="780"/>
      <c r="Y658" s="314"/>
      <c r="Z658" s="314"/>
      <c r="AA658" s="314"/>
      <c r="AB658" s="324"/>
      <c r="AC658" s="155"/>
      <c r="AD658" s="155"/>
      <c r="AE658" s="322"/>
      <c r="AF658" s="132"/>
      <c r="AG658" s="132"/>
    </row>
    <row r="659">
      <c r="A659" s="314"/>
      <c r="B659" s="313"/>
      <c r="C659" s="313"/>
      <c r="D659" s="313"/>
      <c r="E659" s="737"/>
      <c r="F659" s="314"/>
      <c r="G659" s="318"/>
      <c r="H659" s="315"/>
      <c r="I659" s="314"/>
      <c r="J659" s="314"/>
      <c r="K659" s="314"/>
      <c r="L659" s="776"/>
      <c r="M659" s="314"/>
      <c r="N659" s="318"/>
      <c r="O659" s="315"/>
      <c r="P659" s="314"/>
      <c r="Q659" s="314"/>
      <c r="R659" s="314"/>
      <c r="S659" s="777"/>
      <c r="T659" s="314"/>
      <c r="U659" s="778"/>
      <c r="V659" s="315"/>
      <c r="W659" s="779"/>
      <c r="X659" s="780"/>
      <c r="Y659" s="314"/>
      <c r="Z659" s="314"/>
      <c r="AA659" s="314"/>
      <c r="AB659" s="324"/>
      <c r="AC659" s="155"/>
      <c r="AD659" s="155"/>
      <c r="AE659" s="322"/>
      <c r="AF659" s="132"/>
      <c r="AG659" s="132"/>
    </row>
    <row r="660">
      <c r="A660" s="314"/>
      <c r="B660" s="313"/>
      <c r="C660" s="313"/>
      <c r="D660" s="313"/>
      <c r="E660" s="737"/>
      <c r="F660" s="314"/>
      <c r="G660" s="318"/>
      <c r="H660" s="315"/>
      <c r="I660" s="314"/>
      <c r="J660" s="314"/>
      <c r="K660" s="314"/>
      <c r="L660" s="776"/>
      <c r="M660" s="314"/>
      <c r="N660" s="318"/>
      <c r="O660" s="315"/>
      <c r="P660" s="314"/>
      <c r="Q660" s="314"/>
      <c r="R660" s="314"/>
      <c r="S660" s="777"/>
      <c r="T660" s="314"/>
      <c r="U660" s="778"/>
      <c r="V660" s="315"/>
      <c r="W660" s="779"/>
      <c r="X660" s="780"/>
      <c r="Y660" s="314"/>
      <c r="Z660" s="314"/>
      <c r="AA660" s="314"/>
      <c r="AB660" s="324"/>
      <c r="AC660" s="155"/>
      <c r="AD660" s="155"/>
      <c r="AE660" s="322"/>
      <c r="AF660" s="132"/>
      <c r="AG660" s="132"/>
    </row>
    <row r="661">
      <c r="A661" s="314"/>
      <c r="B661" s="313"/>
      <c r="C661" s="313"/>
      <c r="D661" s="313"/>
      <c r="E661" s="737"/>
      <c r="F661" s="314"/>
      <c r="G661" s="318"/>
      <c r="H661" s="315"/>
      <c r="I661" s="314"/>
      <c r="J661" s="314"/>
      <c r="K661" s="314"/>
      <c r="L661" s="776"/>
      <c r="M661" s="314"/>
      <c r="N661" s="318"/>
      <c r="O661" s="315"/>
      <c r="P661" s="314"/>
      <c r="Q661" s="314"/>
      <c r="R661" s="314"/>
      <c r="S661" s="777"/>
      <c r="T661" s="314"/>
      <c r="U661" s="778"/>
      <c r="V661" s="315"/>
      <c r="W661" s="779"/>
      <c r="X661" s="780"/>
      <c r="Y661" s="314"/>
      <c r="Z661" s="314"/>
      <c r="AA661" s="314"/>
      <c r="AB661" s="324"/>
      <c r="AC661" s="155"/>
      <c r="AD661" s="155"/>
      <c r="AE661" s="322"/>
      <c r="AF661" s="132"/>
      <c r="AG661" s="132"/>
    </row>
    <row r="662">
      <c r="A662" s="314"/>
      <c r="B662" s="313"/>
      <c r="C662" s="313"/>
      <c r="D662" s="313"/>
      <c r="E662" s="737"/>
      <c r="F662" s="314"/>
      <c r="G662" s="318"/>
      <c r="H662" s="315"/>
      <c r="I662" s="314"/>
      <c r="J662" s="314"/>
      <c r="K662" s="314"/>
      <c r="L662" s="776"/>
      <c r="M662" s="314"/>
      <c r="N662" s="318"/>
      <c r="O662" s="315"/>
      <c r="P662" s="314"/>
      <c r="Q662" s="314"/>
      <c r="R662" s="314"/>
      <c r="S662" s="777"/>
      <c r="T662" s="314"/>
      <c r="U662" s="778"/>
      <c r="V662" s="315"/>
      <c r="W662" s="779"/>
      <c r="X662" s="780"/>
      <c r="Y662" s="314"/>
      <c r="Z662" s="314"/>
      <c r="AA662" s="314"/>
      <c r="AB662" s="324"/>
      <c r="AC662" s="155"/>
      <c r="AD662" s="155"/>
      <c r="AE662" s="322"/>
      <c r="AF662" s="132"/>
      <c r="AG662" s="132"/>
    </row>
    <row r="663">
      <c r="A663" s="314"/>
      <c r="B663" s="313"/>
      <c r="C663" s="313"/>
      <c r="D663" s="313"/>
      <c r="E663" s="737"/>
      <c r="F663" s="314"/>
      <c r="G663" s="318"/>
      <c r="H663" s="315"/>
      <c r="I663" s="314"/>
      <c r="J663" s="314"/>
      <c r="K663" s="314"/>
      <c r="L663" s="776"/>
      <c r="M663" s="314"/>
      <c r="N663" s="318"/>
      <c r="O663" s="315"/>
      <c r="P663" s="314"/>
      <c r="Q663" s="314"/>
      <c r="R663" s="314"/>
      <c r="S663" s="777"/>
      <c r="T663" s="314"/>
      <c r="U663" s="778"/>
      <c r="V663" s="315"/>
      <c r="W663" s="779"/>
      <c r="X663" s="780"/>
      <c r="Y663" s="314"/>
      <c r="Z663" s="314"/>
      <c r="AA663" s="314"/>
      <c r="AB663" s="324"/>
      <c r="AC663" s="155"/>
      <c r="AD663" s="155"/>
      <c r="AE663" s="322"/>
      <c r="AF663" s="132"/>
      <c r="AG663" s="132"/>
    </row>
    <row r="664">
      <c r="A664" s="314"/>
      <c r="B664" s="313"/>
      <c r="C664" s="313"/>
      <c r="D664" s="313"/>
      <c r="E664" s="737"/>
      <c r="F664" s="314"/>
      <c r="G664" s="318"/>
      <c r="H664" s="315"/>
      <c r="I664" s="314"/>
      <c r="J664" s="314"/>
      <c r="K664" s="314"/>
      <c r="L664" s="776"/>
      <c r="M664" s="314"/>
      <c r="N664" s="318"/>
      <c r="O664" s="315"/>
      <c r="P664" s="314"/>
      <c r="Q664" s="314"/>
      <c r="R664" s="314"/>
      <c r="S664" s="777"/>
      <c r="T664" s="314"/>
      <c r="U664" s="778"/>
      <c r="V664" s="315"/>
      <c r="W664" s="779"/>
      <c r="X664" s="780"/>
      <c r="Y664" s="314"/>
      <c r="Z664" s="314"/>
      <c r="AA664" s="314"/>
      <c r="AB664" s="324"/>
      <c r="AC664" s="155"/>
      <c r="AD664" s="155"/>
      <c r="AE664" s="322"/>
      <c r="AF664" s="132"/>
      <c r="AG664" s="132"/>
    </row>
    <row r="665">
      <c r="A665" s="314"/>
      <c r="B665" s="313"/>
      <c r="C665" s="313"/>
      <c r="D665" s="313"/>
      <c r="E665" s="737"/>
      <c r="F665" s="314"/>
      <c r="G665" s="318"/>
      <c r="H665" s="315"/>
      <c r="I665" s="314"/>
      <c r="J665" s="314"/>
      <c r="K665" s="314"/>
      <c r="L665" s="776"/>
      <c r="M665" s="314"/>
      <c r="N665" s="318"/>
      <c r="O665" s="315"/>
      <c r="P665" s="314"/>
      <c r="Q665" s="314"/>
      <c r="R665" s="314"/>
      <c r="S665" s="777"/>
      <c r="T665" s="314"/>
      <c r="U665" s="778"/>
      <c r="V665" s="315"/>
      <c r="W665" s="779"/>
      <c r="X665" s="780"/>
      <c r="Y665" s="314"/>
      <c r="Z665" s="314"/>
      <c r="AA665" s="314"/>
      <c r="AB665" s="324"/>
      <c r="AC665" s="155"/>
      <c r="AD665" s="155"/>
      <c r="AE665" s="322"/>
      <c r="AF665" s="132"/>
      <c r="AG665" s="132"/>
    </row>
    <row r="666">
      <c r="A666" s="314"/>
      <c r="B666" s="313"/>
      <c r="C666" s="313"/>
      <c r="D666" s="313"/>
      <c r="E666" s="737"/>
      <c r="F666" s="314"/>
      <c r="G666" s="318"/>
      <c r="H666" s="315"/>
      <c r="I666" s="314"/>
      <c r="J666" s="314"/>
      <c r="K666" s="314"/>
      <c r="L666" s="776"/>
      <c r="M666" s="314"/>
      <c r="N666" s="318"/>
      <c r="O666" s="315"/>
      <c r="P666" s="314"/>
      <c r="Q666" s="314"/>
      <c r="R666" s="314"/>
      <c r="S666" s="777"/>
      <c r="T666" s="314"/>
      <c r="U666" s="778"/>
      <c r="V666" s="315"/>
      <c r="W666" s="779"/>
      <c r="X666" s="780"/>
      <c r="Y666" s="314"/>
      <c r="Z666" s="314"/>
      <c r="AA666" s="314"/>
      <c r="AB666" s="324"/>
      <c r="AC666" s="155"/>
      <c r="AD666" s="155"/>
      <c r="AE666" s="322"/>
      <c r="AF666" s="132"/>
      <c r="AG666" s="132"/>
    </row>
    <row r="667">
      <c r="A667" s="314"/>
      <c r="B667" s="313"/>
      <c r="C667" s="313"/>
      <c r="D667" s="313"/>
      <c r="E667" s="737"/>
      <c r="F667" s="314"/>
      <c r="G667" s="318"/>
      <c r="H667" s="315"/>
      <c r="I667" s="314"/>
      <c r="J667" s="314"/>
      <c r="K667" s="314"/>
      <c r="L667" s="776"/>
      <c r="M667" s="314"/>
      <c r="N667" s="318"/>
      <c r="O667" s="315"/>
      <c r="P667" s="314"/>
      <c r="Q667" s="314"/>
      <c r="R667" s="314"/>
      <c r="S667" s="777"/>
      <c r="T667" s="314"/>
      <c r="U667" s="778"/>
      <c r="V667" s="315"/>
      <c r="W667" s="779"/>
      <c r="X667" s="780"/>
      <c r="Y667" s="314"/>
      <c r="Z667" s="314"/>
      <c r="AA667" s="314"/>
      <c r="AB667" s="324"/>
      <c r="AC667" s="155"/>
      <c r="AD667" s="155"/>
      <c r="AE667" s="322"/>
      <c r="AF667" s="132"/>
      <c r="AG667" s="132"/>
    </row>
    <row r="668">
      <c r="A668" s="314"/>
      <c r="B668" s="313"/>
      <c r="C668" s="313"/>
      <c r="D668" s="313"/>
      <c r="E668" s="737"/>
      <c r="F668" s="314"/>
      <c r="G668" s="318"/>
      <c r="H668" s="315"/>
      <c r="I668" s="314"/>
      <c r="J668" s="314"/>
      <c r="K668" s="314"/>
      <c r="L668" s="776"/>
      <c r="M668" s="314"/>
      <c r="N668" s="318"/>
      <c r="O668" s="315"/>
      <c r="P668" s="314"/>
      <c r="Q668" s="314"/>
      <c r="R668" s="314"/>
      <c r="S668" s="777"/>
      <c r="T668" s="314"/>
      <c r="U668" s="778"/>
      <c r="V668" s="315"/>
      <c r="W668" s="779"/>
      <c r="X668" s="780"/>
      <c r="Y668" s="314"/>
      <c r="Z668" s="314"/>
      <c r="AA668" s="314"/>
      <c r="AB668" s="324"/>
      <c r="AC668" s="155"/>
      <c r="AD668" s="155"/>
      <c r="AE668" s="322"/>
      <c r="AF668" s="132"/>
      <c r="AG668" s="132"/>
    </row>
    <row r="669">
      <c r="A669" s="314"/>
      <c r="B669" s="313"/>
      <c r="C669" s="313"/>
      <c r="D669" s="313"/>
      <c r="E669" s="737"/>
      <c r="F669" s="314"/>
      <c r="G669" s="318"/>
      <c r="H669" s="315"/>
      <c r="I669" s="314"/>
      <c r="J669" s="314"/>
      <c r="K669" s="314"/>
      <c r="L669" s="776"/>
      <c r="M669" s="314"/>
      <c r="N669" s="318"/>
      <c r="O669" s="315"/>
      <c r="P669" s="314"/>
      <c r="Q669" s="314"/>
      <c r="R669" s="314"/>
      <c r="S669" s="777"/>
      <c r="T669" s="314"/>
      <c r="U669" s="778"/>
      <c r="V669" s="315"/>
      <c r="W669" s="779"/>
      <c r="X669" s="780"/>
      <c r="Y669" s="314"/>
      <c r="Z669" s="314"/>
      <c r="AA669" s="314"/>
      <c r="AB669" s="324"/>
      <c r="AC669" s="155"/>
      <c r="AD669" s="155"/>
      <c r="AE669" s="322"/>
      <c r="AF669" s="132"/>
      <c r="AG669" s="132"/>
    </row>
    <row r="670">
      <c r="A670" s="314"/>
      <c r="B670" s="313"/>
      <c r="C670" s="313"/>
      <c r="D670" s="313"/>
      <c r="E670" s="737"/>
      <c r="F670" s="314"/>
      <c r="G670" s="318"/>
      <c r="H670" s="315"/>
      <c r="I670" s="314"/>
      <c r="J670" s="314"/>
      <c r="K670" s="314"/>
      <c r="L670" s="776"/>
      <c r="M670" s="314"/>
      <c r="N670" s="318"/>
      <c r="O670" s="315"/>
      <c r="P670" s="314"/>
      <c r="Q670" s="314"/>
      <c r="R670" s="314"/>
      <c r="S670" s="777"/>
      <c r="T670" s="314"/>
      <c r="U670" s="778"/>
      <c r="V670" s="315"/>
      <c r="W670" s="779"/>
      <c r="X670" s="780"/>
      <c r="Y670" s="314"/>
      <c r="Z670" s="314"/>
      <c r="AA670" s="314"/>
      <c r="AB670" s="324"/>
      <c r="AC670" s="155"/>
      <c r="AD670" s="155"/>
      <c r="AE670" s="322"/>
      <c r="AF670" s="132"/>
      <c r="AG670" s="132"/>
    </row>
    <row r="671">
      <c r="A671" s="314"/>
      <c r="B671" s="313"/>
      <c r="C671" s="313"/>
      <c r="D671" s="313"/>
      <c r="E671" s="737"/>
      <c r="F671" s="314"/>
      <c r="G671" s="318"/>
      <c r="H671" s="315"/>
      <c r="I671" s="314"/>
      <c r="J671" s="314"/>
      <c r="K671" s="314"/>
      <c r="L671" s="776"/>
      <c r="M671" s="314"/>
      <c r="N671" s="318"/>
      <c r="O671" s="315"/>
      <c r="P671" s="314"/>
      <c r="Q671" s="314"/>
      <c r="R671" s="314"/>
      <c r="S671" s="777"/>
      <c r="T671" s="314"/>
      <c r="U671" s="778"/>
      <c r="V671" s="315"/>
      <c r="W671" s="779"/>
      <c r="X671" s="780"/>
      <c r="Y671" s="314"/>
      <c r="Z671" s="314"/>
      <c r="AA671" s="314"/>
      <c r="AB671" s="324"/>
      <c r="AC671" s="155"/>
      <c r="AD671" s="155"/>
      <c r="AE671" s="322"/>
      <c r="AF671" s="132"/>
      <c r="AG671" s="132"/>
    </row>
    <row r="672">
      <c r="A672" s="314"/>
      <c r="B672" s="313"/>
      <c r="C672" s="313"/>
      <c r="D672" s="313"/>
      <c r="E672" s="737"/>
      <c r="F672" s="314"/>
      <c r="G672" s="318"/>
      <c r="H672" s="315"/>
      <c r="I672" s="314"/>
      <c r="J672" s="314"/>
      <c r="K672" s="314"/>
      <c r="L672" s="776"/>
      <c r="M672" s="314"/>
      <c r="N672" s="318"/>
      <c r="O672" s="315"/>
      <c r="P672" s="314"/>
      <c r="Q672" s="314"/>
      <c r="R672" s="314"/>
      <c r="S672" s="777"/>
      <c r="T672" s="314"/>
      <c r="U672" s="778"/>
      <c r="V672" s="315"/>
      <c r="W672" s="779"/>
      <c r="X672" s="780"/>
      <c r="Y672" s="314"/>
      <c r="Z672" s="314"/>
      <c r="AA672" s="314"/>
      <c r="AB672" s="324"/>
      <c r="AC672" s="155"/>
      <c r="AD672" s="155"/>
      <c r="AE672" s="322"/>
      <c r="AF672" s="132"/>
      <c r="AG672" s="132"/>
    </row>
    <row r="673">
      <c r="A673" s="314"/>
      <c r="B673" s="313"/>
      <c r="C673" s="313"/>
      <c r="D673" s="313"/>
      <c r="E673" s="737"/>
      <c r="F673" s="314"/>
      <c r="G673" s="318"/>
      <c r="H673" s="315"/>
      <c r="I673" s="314"/>
      <c r="J673" s="314"/>
      <c r="K673" s="314"/>
      <c r="L673" s="776"/>
      <c r="M673" s="314"/>
      <c r="N673" s="318"/>
      <c r="O673" s="315"/>
      <c r="P673" s="314"/>
      <c r="Q673" s="314"/>
      <c r="R673" s="314"/>
      <c r="S673" s="777"/>
      <c r="T673" s="314"/>
      <c r="U673" s="778"/>
      <c r="V673" s="315"/>
      <c r="W673" s="779"/>
      <c r="X673" s="780"/>
      <c r="Y673" s="314"/>
      <c r="Z673" s="314"/>
      <c r="AA673" s="314"/>
      <c r="AB673" s="324"/>
      <c r="AC673" s="155"/>
      <c r="AD673" s="155"/>
      <c r="AE673" s="322"/>
      <c r="AF673" s="132"/>
      <c r="AG673" s="132"/>
    </row>
    <row r="674">
      <c r="A674" s="314"/>
      <c r="B674" s="313"/>
      <c r="C674" s="313"/>
      <c r="D674" s="313"/>
      <c r="E674" s="737"/>
      <c r="F674" s="314"/>
      <c r="G674" s="318"/>
      <c r="H674" s="315"/>
      <c r="I674" s="314"/>
      <c r="J674" s="314"/>
      <c r="K674" s="314"/>
      <c r="L674" s="776"/>
      <c r="M674" s="314"/>
      <c r="N674" s="318"/>
      <c r="O674" s="315"/>
      <c r="P674" s="314"/>
      <c r="Q674" s="314"/>
      <c r="R674" s="314"/>
      <c r="S674" s="777"/>
      <c r="T674" s="314"/>
      <c r="U674" s="778"/>
      <c r="V674" s="315"/>
      <c r="W674" s="779"/>
      <c r="X674" s="780"/>
      <c r="Y674" s="314"/>
      <c r="Z674" s="314"/>
      <c r="AA674" s="314"/>
      <c r="AB674" s="324"/>
      <c r="AC674" s="155"/>
      <c r="AD674" s="155"/>
      <c r="AE674" s="322"/>
      <c r="AF674" s="132"/>
      <c r="AG674" s="132"/>
    </row>
    <row r="675">
      <c r="A675" s="314"/>
      <c r="B675" s="313"/>
      <c r="C675" s="313"/>
      <c r="D675" s="313"/>
      <c r="E675" s="737"/>
      <c r="F675" s="314"/>
      <c r="G675" s="318"/>
      <c r="H675" s="315"/>
      <c r="I675" s="314"/>
      <c r="J675" s="314"/>
      <c r="K675" s="314"/>
      <c r="L675" s="776"/>
      <c r="M675" s="314"/>
      <c r="N675" s="318"/>
      <c r="O675" s="315"/>
      <c r="P675" s="314"/>
      <c r="Q675" s="314"/>
      <c r="R675" s="314"/>
      <c r="S675" s="777"/>
      <c r="T675" s="314"/>
      <c r="U675" s="778"/>
      <c r="V675" s="315"/>
      <c r="W675" s="779"/>
      <c r="X675" s="780"/>
      <c r="Y675" s="314"/>
      <c r="Z675" s="314"/>
      <c r="AA675" s="314"/>
      <c r="AB675" s="324"/>
      <c r="AC675" s="155"/>
      <c r="AD675" s="155"/>
      <c r="AE675" s="322"/>
      <c r="AF675" s="132"/>
      <c r="AG675" s="132"/>
    </row>
    <row r="676">
      <c r="A676" s="314"/>
      <c r="B676" s="313"/>
      <c r="C676" s="313"/>
      <c r="D676" s="313"/>
      <c r="E676" s="737"/>
      <c r="F676" s="314"/>
      <c r="G676" s="318"/>
      <c r="H676" s="315"/>
      <c r="I676" s="314"/>
      <c r="J676" s="314"/>
      <c r="K676" s="314"/>
      <c r="L676" s="776"/>
      <c r="M676" s="314"/>
      <c r="N676" s="318"/>
      <c r="O676" s="315"/>
      <c r="P676" s="314"/>
      <c r="Q676" s="314"/>
      <c r="R676" s="314"/>
      <c r="S676" s="777"/>
      <c r="T676" s="314"/>
      <c r="U676" s="778"/>
      <c r="V676" s="315"/>
      <c r="W676" s="779"/>
      <c r="X676" s="780"/>
      <c r="Y676" s="314"/>
      <c r="Z676" s="314"/>
      <c r="AA676" s="314"/>
      <c r="AB676" s="324"/>
      <c r="AC676" s="155"/>
      <c r="AD676" s="155"/>
      <c r="AE676" s="322"/>
      <c r="AF676" s="132"/>
      <c r="AG676" s="132"/>
    </row>
    <row r="677">
      <c r="A677" s="314"/>
      <c r="B677" s="313"/>
      <c r="C677" s="313"/>
      <c r="D677" s="313"/>
      <c r="E677" s="737"/>
      <c r="F677" s="314"/>
      <c r="G677" s="318"/>
      <c r="H677" s="315"/>
      <c r="I677" s="314"/>
      <c r="J677" s="314"/>
      <c r="K677" s="314"/>
      <c r="L677" s="776"/>
      <c r="M677" s="314"/>
      <c r="N677" s="318"/>
      <c r="O677" s="315"/>
      <c r="P677" s="314"/>
      <c r="Q677" s="314"/>
      <c r="R677" s="314"/>
      <c r="S677" s="777"/>
      <c r="T677" s="314"/>
      <c r="U677" s="778"/>
      <c r="V677" s="315"/>
      <c r="W677" s="779"/>
      <c r="X677" s="780"/>
      <c r="Y677" s="314"/>
      <c r="Z677" s="314"/>
      <c r="AA677" s="314"/>
      <c r="AB677" s="324"/>
      <c r="AC677" s="155"/>
      <c r="AD677" s="155"/>
      <c r="AE677" s="322"/>
      <c r="AF677" s="132"/>
      <c r="AG677" s="132"/>
    </row>
    <row r="678">
      <c r="A678" s="435"/>
      <c r="B678" s="313"/>
      <c r="C678" s="437"/>
      <c r="D678" s="313"/>
      <c r="E678" s="753"/>
      <c r="F678" s="314"/>
      <c r="G678" s="318"/>
      <c r="H678" s="744"/>
      <c r="I678" s="435"/>
      <c r="J678" s="314"/>
      <c r="K678" s="435"/>
      <c r="L678" s="781"/>
      <c r="M678" s="314"/>
      <c r="N678" s="318"/>
      <c r="O678" s="315"/>
      <c r="P678" s="435"/>
      <c r="Q678" s="435"/>
      <c r="R678" s="435"/>
      <c r="S678" s="782"/>
      <c r="T678" s="435"/>
      <c r="U678" s="783"/>
      <c r="V678" s="744"/>
      <c r="W678" s="784"/>
      <c r="X678" s="785"/>
      <c r="Y678" s="435"/>
      <c r="Z678" s="435"/>
      <c r="AA678" s="435"/>
      <c r="AB678" s="324"/>
      <c r="AC678" s="180"/>
      <c r="AD678" s="155"/>
      <c r="AE678" s="322"/>
      <c r="AF678" s="132"/>
      <c r="AG678" s="132"/>
    </row>
    <row r="679">
      <c r="A679" s="435"/>
      <c r="B679" s="313"/>
      <c r="C679" s="313"/>
      <c r="D679" s="437"/>
      <c r="E679" s="737"/>
      <c r="F679" s="314"/>
      <c r="G679" s="318"/>
      <c r="H679" s="315"/>
      <c r="I679" s="314"/>
      <c r="J679" s="314"/>
      <c r="K679" s="314"/>
      <c r="L679" s="776"/>
      <c r="M679" s="435"/>
      <c r="N679" s="740"/>
      <c r="O679" s="315"/>
      <c r="P679" s="314"/>
      <c r="Q679" s="314"/>
      <c r="R679" s="314"/>
      <c r="S679" s="777"/>
      <c r="T679" s="314"/>
      <c r="U679" s="778"/>
      <c r="V679" s="315"/>
      <c r="W679" s="779"/>
      <c r="X679" s="780"/>
      <c r="Y679" s="314"/>
      <c r="Z679" s="314"/>
      <c r="AA679" s="314"/>
      <c r="AB679" s="324"/>
      <c r="AC679" s="180"/>
      <c r="AD679" s="155"/>
      <c r="AE679" s="322"/>
      <c r="AF679" s="132"/>
      <c r="AG679" s="132"/>
    </row>
    <row r="680">
      <c r="A680" s="435"/>
      <c r="B680" s="437"/>
      <c r="C680" s="437"/>
      <c r="D680" s="437"/>
      <c r="E680" s="753"/>
      <c r="F680" s="314"/>
      <c r="G680" s="318"/>
      <c r="H680" s="315"/>
      <c r="I680" s="435"/>
      <c r="J680" s="435"/>
      <c r="K680" s="435"/>
      <c r="L680" s="781"/>
      <c r="M680" s="435"/>
      <c r="N680" s="740"/>
      <c r="O680" s="315"/>
      <c r="P680" s="435"/>
      <c r="Q680" s="314"/>
      <c r="R680" s="435"/>
      <c r="S680" s="782"/>
      <c r="T680" s="435"/>
      <c r="U680" s="783"/>
      <c r="V680" s="744"/>
      <c r="W680" s="784"/>
      <c r="X680" s="785"/>
      <c r="Y680" s="435"/>
      <c r="Z680" s="435"/>
      <c r="AA680" s="435"/>
      <c r="AB680" s="324"/>
      <c r="AC680" s="180"/>
      <c r="AD680" s="155"/>
      <c r="AE680" s="322"/>
      <c r="AF680" s="132"/>
      <c r="AG680" s="132"/>
    </row>
    <row r="681">
      <c r="A681" s="435"/>
      <c r="B681" s="313"/>
      <c r="C681" s="313"/>
      <c r="D681" s="437"/>
      <c r="E681" s="737"/>
      <c r="F681" s="314"/>
      <c r="G681" s="318"/>
      <c r="H681" s="315"/>
      <c r="I681" s="435"/>
      <c r="J681" s="314"/>
      <c r="K681" s="435"/>
      <c r="L681" s="776"/>
      <c r="M681" s="314"/>
      <c r="N681" s="318"/>
      <c r="O681" s="315"/>
      <c r="P681" s="314"/>
      <c r="Q681" s="435"/>
      <c r="R681" s="435"/>
      <c r="S681" s="777"/>
      <c r="T681" s="314"/>
      <c r="U681" s="778"/>
      <c r="V681" s="315"/>
      <c r="W681" s="779"/>
      <c r="X681" s="780"/>
      <c r="Y681" s="314"/>
      <c r="Z681" s="314"/>
      <c r="AA681" s="314"/>
      <c r="AB681" s="324"/>
      <c r="AC681" s="180"/>
      <c r="AD681" s="155"/>
      <c r="AE681" s="322"/>
      <c r="AF681" s="132"/>
      <c r="AG681" s="132"/>
    </row>
    <row r="682">
      <c r="A682" s="435"/>
      <c r="B682" s="437"/>
      <c r="C682" s="437"/>
      <c r="D682" s="437"/>
      <c r="E682" s="753"/>
      <c r="F682" s="314"/>
      <c r="G682" s="318"/>
      <c r="H682" s="744"/>
      <c r="I682" s="435"/>
      <c r="J682" s="435"/>
      <c r="K682" s="435"/>
      <c r="L682" s="781"/>
      <c r="M682" s="435"/>
      <c r="N682" s="740"/>
      <c r="O682" s="315"/>
      <c r="P682" s="435"/>
      <c r="Q682" s="435"/>
      <c r="R682" s="435"/>
      <c r="S682" s="782"/>
      <c r="T682" s="435"/>
      <c r="U682" s="783"/>
      <c r="V682" s="744"/>
      <c r="W682" s="784"/>
      <c r="X682" s="785"/>
      <c r="Y682" s="435"/>
      <c r="Z682" s="435"/>
      <c r="AA682" s="435"/>
      <c r="AB682" s="324"/>
      <c r="AC682" s="180"/>
      <c r="AD682" s="155"/>
      <c r="AE682" s="322"/>
      <c r="AF682" s="132"/>
      <c r="AG682" s="132"/>
    </row>
    <row r="683">
      <c r="A683" s="435"/>
      <c r="B683" s="437"/>
      <c r="C683" s="313"/>
      <c r="D683" s="437"/>
      <c r="E683" s="737"/>
      <c r="F683" s="314"/>
      <c r="G683" s="318"/>
      <c r="H683" s="315"/>
      <c r="I683" s="314"/>
      <c r="J683" s="314"/>
      <c r="K683" s="435"/>
      <c r="L683" s="776"/>
      <c r="M683" s="314"/>
      <c r="N683" s="318"/>
      <c r="O683" s="315"/>
      <c r="P683" s="314"/>
      <c r="Q683" s="314"/>
      <c r="R683" s="314"/>
      <c r="S683" s="782"/>
      <c r="T683" s="435"/>
      <c r="U683" s="783"/>
      <c r="V683" s="744"/>
      <c r="W683" s="784"/>
      <c r="X683" s="785"/>
      <c r="Y683" s="435"/>
      <c r="Z683" s="435"/>
      <c r="AA683" s="435"/>
      <c r="AB683" s="324"/>
      <c r="AC683" s="180"/>
      <c r="AD683" s="155"/>
      <c r="AE683" s="322"/>
      <c r="AF683" s="132"/>
      <c r="AG683" s="132"/>
    </row>
    <row r="684">
      <c r="A684" s="435"/>
      <c r="B684" s="437"/>
      <c r="C684" s="437"/>
      <c r="D684" s="437"/>
      <c r="E684" s="753"/>
      <c r="F684" s="314"/>
      <c r="G684" s="318"/>
      <c r="H684" s="744"/>
      <c r="I684" s="314"/>
      <c r="J684" s="314"/>
      <c r="K684" s="435"/>
      <c r="L684" s="776"/>
      <c r="M684" s="314"/>
      <c r="N684" s="318"/>
      <c r="O684" s="315"/>
      <c r="P684" s="435"/>
      <c r="Q684" s="435"/>
      <c r="R684" s="435"/>
      <c r="S684" s="782"/>
      <c r="T684" s="435"/>
      <c r="U684" s="783"/>
      <c r="V684" s="744"/>
      <c r="W684" s="784"/>
      <c r="X684" s="785"/>
      <c r="Y684" s="435"/>
      <c r="Z684" s="435"/>
      <c r="AA684" s="435"/>
      <c r="AB684" s="324"/>
      <c r="AC684" s="180"/>
      <c r="AD684" s="155"/>
      <c r="AE684" s="322"/>
      <c r="AF684" s="132"/>
      <c r="AG684" s="132"/>
    </row>
    <row r="685">
      <c r="A685" s="435"/>
      <c r="B685" s="437"/>
      <c r="C685" s="437"/>
      <c r="D685" s="437"/>
      <c r="E685" s="753"/>
      <c r="F685" s="314"/>
      <c r="G685" s="318"/>
      <c r="H685" s="744"/>
      <c r="I685" s="435"/>
      <c r="J685" s="435"/>
      <c r="K685" s="435"/>
      <c r="L685" s="781"/>
      <c r="M685" s="435"/>
      <c r="N685" s="740"/>
      <c r="O685" s="315"/>
      <c r="P685" s="435"/>
      <c r="Q685" s="435"/>
      <c r="R685" s="435"/>
      <c r="S685" s="782"/>
      <c r="T685" s="435"/>
      <c r="U685" s="783"/>
      <c r="V685" s="744"/>
      <c r="W685" s="784"/>
      <c r="X685" s="785"/>
      <c r="Y685" s="435"/>
      <c r="Z685" s="435"/>
      <c r="AA685" s="435"/>
      <c r="AB685" s="324"/>
      <c r="AC685" s="180"/>
      <c r="AD685" s="155"/>
      <c r="AE685" s="322"/>
      <c r="AF685" s="132"/>
      <c r="AG685" s="132"/>
    </row>
    <row r="686">
      <c r="A686" s="435"/>
      <c r="B686" s="313"/>
      <c r="C686" s="313"/>
      <c r="D686" s="313"/>
      <c r="E686" s="753"/>
      <c r="F686" s="314"/>
      <c r="G686" s="318"/>
      <c r="H686" s="744"/>
      <c r="I686" s="314"/>
      <c r="J686" s="314"/>
      <c r="K686" s="314"/>
      <c r="L686" s="776"/>
      <c r="M686" s="314"/>
      <c r="N686" s="318"/>
      <c r="O686" s="315"/>
      <c r="P686" s="314"/>
      <c r="Q686" s="314"/>
      <c r="R686" s="314"/>
      <c r="S686" s="777"/>
      <c r="T686" s="314"/>
      <c r="U686" s="778"/>
      <c r="V686" s="315"/>
      <c r="W686" s="779"/>
      <c r="X686" s="780"/>
      <c r="Y686" s="314"/>
      <c r="Z686" s="314"/>
      <c r="AA686" s="314"/>
      <c r="AB686" s="324"/>
      <c r="AC686" s="180"/>
      <c r="AD686" s="155"/>
      <c r="AE686" s="322"/>
      <c r="AF686" s="132"/>
      <c r="AG686" s="132"/>
    </row>
    <row r="687">
      <c r="A687" s="435"/>
      <c r="B687" s="313"/>
      <c r="C687" s="313"/>
      <c r="D687" s="437"/>
      <c r="E687" s="737"/>
      <c r="F687" s="314"/>
      <c r="G687" s="318"/>
      <c r="H687" s="744"/>
      <c r="I687" s="314"/>
      <c r="J687" s="435"/>
      <c r="K687" s="435"/>
      <c r="L687" s="776"/>
      <c r="M687" s="435"/>
      <c r="N687" s="318"/>
      <c r="O687" s="315"/>
      <c r="P687" s="314"/>
      <c r="Q687" s="314"/>
      <c r="R687" s="435"/>
      <c r="S687" s="782"/>
      <c r="T687" s="435"/>
      <c r="U687" s="783"/>
      <c r="V687" s="744"/>
      <c r="W687" s="784"/>
      <c r="X687" s="785"/>
      <c r="Y687" s="435"/>
      <c r="Z687" s="435"/>
      <c r="AA687" s="435"/>
      <c r="AB687" s="324"/>
      <c r="AC687" s="180"/>
      <c r="AD687" s="155"/>
      <c r="AE687" s="322"/>
      <c r="AF687" s="132"/>
      <c r="AG687" s="132"/>
    </row>
    <row r="688">
      <c r="A688" s="435"/>
      <c r="B688" s="313"/>
      <c r="C688" s="313"/>
      <c r="D688" s="313"/>
      <c r="E688" s="737"/>
      <c r="F688" s="314"/>
      <c r="G688" s="318"/>
      <c r="H688" s="315"/>
      <c r="I688" s="314"/>
      <c r="J688" s="314"/>
      <c r="K688" s="314"/>
      <c r="L688" s="776"/>
      <c r="M688" s="314"/>
      <c r="N688" s="318"/>
      <c r="O688" s="315"/>
      <c r="P688" s="314"/>
      <c r="Q688" s="435"/>
      <c r="R688" s="314"/>
      <c r="S688" s="782"/>
      <c r="T688" s="435"/>
      <c r="U688" s="783"/>
      <c r="V688" s="744"/>
      <c r="W688" s="784"/>
      <c r="X688" s="785"/>
      <c r="Y688" s="435"/>
      <c r="Z688" s="435"/>
      <c r="AA688" s="435"/>
      <c r="AB688" s="324"/>
      <c r="AC688" s="180"/>
      <c r="AD688" s="155"/>
      <c r="AE688" s="322"/>
      <c r="AF688" s="132"/>
      <c r="AG688" s="132"/>
    </row>
    <row r="689">
      <c r="A689" s="435"/>
      <c r="B689" s="437"/>
      <c r="C689" s="313"/>
      <c r="D689" s="313"/>
      <c r="E689" s="737"/>
      <c r="F689" s="314"/>
      <c r="G689" s="318"/>
      <c r="H689" s="744"/>
      <c r="I689" s="314"/>
      <c r="J689" s="435"/>
      <c r="K689" s="435"/>
      <c r="L689" s="776"/>
      <c r="M689" s="314"/>
      <c r="N689" s="740"/>
      <c r="O689" s="315"/>
      <c r="P689" s="314"/>
      <c r="Q689" s="314"/>
      <c r="R689" s="435"/>
      <c r="S689" s="782"/>
      <c r="T689" s="435"/>
      <c r="U689" s="783"/>
      <c r="V689" s="744"/>
      <c r="W689" s="784"/>
      <c r="X689" s="785"/>
      <c r="Y689" s="435"/>
      <c r="Z689" s="435"/>
      <c r="AA689" s="435"/>
      <c r="AB689" s="324"/>
      <c r="AC689" s="180"/>
      <c r="AD689" s="155"/>
      <c r="AE689" s="322"/>
      <c r="AF689" s="132"/>
      <c r="AG689" s="132"/>
    </row>
    <row r="690">
      <c r="A690" s="435"/>
      <c r="B690" s="313"/>
      <c r="C690" s="437"/>
      <c r="D690" s="437"/>
      <c r="E690" s="753"/>
      <c r="F690" s="314"/>
      <c r="G690" s="318"/>
      <c r="H690" s="744"/>
      <c r="I690" s="314"/>
      <c r="J690" s="314"/>
      <c r="K690" s="435"/>
      <c r="L690" s="776"/>
      <c r="M690" s="314"/>
      <c r="N690" s="318"/>
      <c r="O690" s="315"/>
      <c r="P690" s="314"/>
      <c r="Q690" s="314"/>
      <c r="R690" s="314"/>
      <c r="S690" s="782"/>
      <c r="T690" s="435"/>
      <c r="U690" s="783"/>
      <c r="V690" s="744"/>
      <c r="W690" s="784"/>
      <c r="X690" s="785"/>
      <c r="Y690" s="435"/>
      <c r="Z690" s="435"/>
      <c r="AA690" s="435"/>
      <c r="AB690" s="324"/>
      <c r="AC690" s="180"/>
      <c r="AD690" s="155"/>
      <c r="AE690" s="322"/>
      <c r="AF690" s="132"/>
      <c r="AG690" s="132"/>
    </row>
    <row r="691">
      <c r="A691" s="435"/>
      <c r="B691" s="313"/>
      <c r="C691" s="313"/>
      <c r="D691" s="313"/>
      <c r="E691" s="737"/>
      <c r="F691" s="314"/>
      <c r="G691" s="318"/>
      <c r="H691" s="744"/>
      <c r="I691" s="314"/>
      <c r="J691" s="314"/>
      <c r="K691" s="314"/>
      <c r="L691" s="776"/>
      <c r="M691" s="314"/>
      <c r="N691" s="318"/>
      <c r="O691" s="315"/>
      <c r="P691" s="314"/>
      <c r="Q691" s="314"/>
      <c r="R691" s="435"/>
      <c r="S691" s="777"/>
      <c r="T691" s="314"/>
      <c r="U691" s="778"/>
      <c r="V691" s="315"/>
      <c r="W691" s="779"/>
      <c r="X691" s="780"/>
      <c r="Y691" s="314"/>
      <c r="Z691" s="314"/>
      <c r="AA691" s="314"/>
      <c r="AB691" s="324"/>
      <c r="AC691" s="180"/>
      <c r="AD691" s="155"/>
      <c r="AE691" s="322"/>
      <c r="AF691" s="132"/>
      <c r="AG691" s="132"/>
    </row>
    <row r="692">
      <c r="A692" s="435"/>
      <c r="B692" s="437"/>
      <c r="C692" s="437"/>
      <c r="D692" s="437"/>
      <c r="E692" s="753"/>
      <c r="F692" s="314"/>
      <c r="G692" s="318"/>
      <c r="H692" s="744"/>
      <c r="I692" s="435"/>
      <c r="J692" s="435"/>
      <c r="K692" s="435"/>
      <c r="L692" s="781"/>
      <c r="M692" s="435"/>
      <c r="N692" s="740"/>
      <c r="O692" s="315"/>
      <c r="P692" s="435"/>
      <c r="Q692" s="435"/>
      <c r="R692" s="435"/>
      <c r="S692" s="782"/>
      <c r="T692" s="435"/>
      <c r="U692" s="783"/>
      <c r="V692" s="744"/>
      <c r="W692" s="784"/>
      <c r="X692" s="785"/>
      <c r="Y692" s="435"/>
      <c r="Z692" s="435"/>
      <c r="AA692" s="435"/>
      <c r="AB692" s="324"/>
      <c r="AC692" s="180"/>
      <c r="AD692" s="155"/>
      <c r="AE692" s="322"/>
      <c r="AF692" s="132"/>
      <c r="AG692" s="132"/>
    </row>
    <row r="693">
      <c r="A693" s="435"/>
      <c r="B693" s="313"/>
      <c r="C693" s="313"/>
      <c r="D693" s="313"/>
      <c r="E693" s="737"/>
      <c r="F693" s="314"/>
      <c r="G693" s="318"/>
      <c r="H693" s="315"/>
      <c r="I693" s="314"/>
      <c r="J693" s="314"/>
      <c r="K693" s="314"/>
      <c r="L693" s="776"/>
      <c r="M693" s="435"/>
      <c r="N693" s="318"/>
      <c r="O693" s="315"/>
      <c r="P693" s="314"/>
      <c r="Q693" s="314"/>
      <c r="R693" s="314"/>
      <c r="S693" s="777"/>
      <c r="T693" s="314"/>
      <c r="U693" s="778"/>
      <c r="V693" s="315"/>
      <c r="W693" s="779"/>
      <c r="X693" s="780"/>
      <c r="Y693" s="314"/>
      <c r="Z693" s="314"/>
      <c r="AA693" s="314"/>
      <c r="AB693" s="324"/>
      <c r="AC693" s="180"/>
      <c r="AD693" s="155"/>
      <c r="AE693" s="322"/>
      <c r="AF693" s="132"/>
      <c r="AG693" s="132"/>
    </row>
    <row r="694">
      <c r="A694" s="435"/>
      <c r="B694" s="313"/>
      <c r="C694" s="437"/>
      <c r="D694" s="437"/>
      <c r="E694" s="753"/>
      <c r="F694" s="314"/>
      <c r="G694" s="318"/>
      <c r="H694" s="744"/>
      <c r="I694" s="435"/>
      <c r="J694" s="435"/>
      <c r="K694" s="435"/>
      <c r="L694" s="776"/>
      <c r="M694" s="435"/>
      <c r="N694" s="740"/>
      <c r="O694" s="315"/>
      <c r="P694" s="435"/>
      <c r="Q694" s="435"/>
      <c r="R694" s="435"/>
      <c r="S694" s="782"/>
      <c r="T694" s="435"/>
      <c r="U694" s="783"/>
      <c r="V694" s="744"/>
      <c r="W694" s="784"/>
      <c r="X694" s="785"/>
      <c r="Y694" s="435"/>
      <c r="Z694" s="435"/>
      <c r="AA694" s="435"/>
      <c r="AB694" s="324"/>
      <c r="AC694" s="180"/>
      <c r="AD694" s="155"/>
      <c r="AE694" s="322"/>
      <c r="AF694" s="132"/>
      <c r="AG694" s="132"/>
    </row>
    <row r="695">
      <c r="A695" s="435"/>
      <c r="B695" s="437"/>
      <c r="C695" s="437"/>
      <c r="D695" s="313"/>
      <c r="E695" s="753"/>
      <c r="F695" s="314"/>
      <c r="G695" s="318"/>
      <c r="H695" s="744"/>
      <c r="I695" s="435"/>
      <c r="J695" s="314"/>
      <c r="K695" s="435"/>
      <c r="L695" s="781"/>
      <c r="M695" s="314"/>
      <c r="N695" s="740"/>
      <c r="O695" s="315"/>
      <c r="P695" s="435"/>
      <c r="Q695" s="314"/>
      <c r="R695" s="435"/>
      <c r="S695" s="782"/>
      <c r="T695" s="435"/>
      <c r="U695" s="783"/>
      <c r="V695" s="744"/>
      <c r="W695" s="784"/>
      <c r="X695" s="785"/>
      <c r="Y695" s="435"/>
      <c r="Z695" s="435"/>
      <c r="AA695" s="435"/>
      <c r="AB695" s="324"/>
      <c r="AC695" s="180"/>
      <c r="AD695" s="155"/>
      <c r="AE695" s="322"/>
      <c r="AF695" s="132"/>
      <c r="AG695" s="132"/>
    </row>
    <row r="696">
      <c r="A696" s="458"/>
      <c r="B696" s="437"/>
      <c r="C696" s="437"/>
      <c r="D696" s="437"/>
      <c r="E696" s="753"/>
      <c r="F696" s="314"/>
      <c r="G696" s="318"/>
      <c r="H696" s="315"/>
      <c r="I696" s="435"/>
      <c r="J696" s="435"/>
      <c r="K696" s="435"/>
      <c r="L696" s="781"/>
      <c r="M696" s="435"/>
      <c r="N696" s="740"/>
      <c r="O696" s="315"/>
      <c r="P696" s="435"/>
      <c r="Q696" s="435"/>
      <c r="R696" s="435"/>
      <c r="S696" s="782"/>
      <c r="T696" s="435"/>
      <c r="U696" s="783"/>
      <c r="V696" s="744"/>
      <c r="W696" s="784"/>
      <c r="X696" s="785"/>
      <c r="Y696" s="435"/>
      <c r="Z696" s="435"/>
      <c r="AA696" s="435"/>
      <c r="AB696" s="324"/>
      <c r="AC696" s="180"/>
      <c r="AD696" s="155"/>
      <c r="AE696" s="322"/>
      <c r="AF696" s="132"/>
      <c r="AG696" s="132"/>
    </row>
    <row r="697">
      <c r="A697" s="458"/>
      <c r="B697" s="437"/>
      <c r="C697" s="437"/>
      <c r="D697" s="437"/>
      <c r="E697" s="753"/>
      <c r="F697" s="314"/>
      <c r="G697" s="318"/>
      <c r="H697" s="315"/>
      <c r="I697" s="314"/>
      <c r="J697" s="435"/>
      <c r="K697" s="435"/>
      <c r="L697" s="781"/>
      <c r="M697" s="435"/>
      <c r="N697" s="740"/>
      <c r="O697" s="315"/>
      <c r="P697" s="435"/>
      <c r="Q697" s="435"/>
      <c r="R697" s="435"/>
      <c r="S697" s="782"/>
      <c r="T697" s="435"/>
      <c r="U697" s="783"/>
      <c r="V697" s="744"/>
      <c r="W697" s="784"/>
      <c r="X697" s="785"/>
      <c r="Y697" s="435"/>
      <c r="Z697" s="435"/>
      <c r="AA697" s="435"/>
      <c r="AB697" s="324"/>
      <c r="AC697" s="180"/>
      <c r="AD697" s="155"/>
      <c r="AE697" s="322"/>
      <c r="AF697" s="132"/>
      <c r="AG697" s="132"/>
    </row>
    <row r="698">
      <c r="A698" s="458"/>
      <c r="B698" s="437"/>
      <c r="C698" s="437"/>
      <c r="D698" s="437"/>
      <c r="E698" s="737"/>
      <c r="F698" s="314"/>
      <c r="G698" s="318"/>
      <c r="H698" s="315"/>
      <c r="I698" s="435"/>
      <c r="J698" s="435"/>
      <c r="K698" s="435"/>
      <c r="L698" s="781"/>
      <c r="M698" s="435"/>
      <c r="N698" s="740"/>
      <c r="O698" s="315"/>
      <c r="P698" s="435"/>
      <c r="Q698" s="314"/>
      <c r="R698" s="435"/>
      <c r="S698" s="782"/>
      <c r="T698" s="435"/>
      <c r="U698" s="783"/>
      <c r="V698" s="744"/>
      <c r="W698" s="784"/>
      <c r="X698" s="785"/>
      <c r="Y698" s="435"/>
      <c r="Z698" s="435"/>
      <c r="AA698" s="435"/>
      <c r="AB698" s="324"/>
      <c r="AC698" s="180"/>
      <c r="AD698" s="155"/>
      <c r="AE698" s="322"/>
      <c r="AF698" s="132"/>
      <c r="AG698" s="132"/>
    </row>
    <row r="699">
      <c r="A699" s="458"/>
      <c r="B699" s="313"/>
      <c r="C699" s="313"/>
      <c r="D699" s="313"/>
      <c r="E699" s="737"/>
      <c r="F699" s="314"/>
      <c r="G699" s="318"/>
      <c r="H699" s="315"/>
      <c r="I699" s="314"/>
      <c r="J699" s="314"/>
      <c r="K699" s="314"/>
      <c r="L699" s="776"/>
      <c r="M699" s="314"/>
      <c r="N699" s="318"/>
      <c r="O699" s="315"/>
      <c r="P699" s="314"/>
      <c r="Q699" s="314"/>
      <c r="R699" s="314"/>
      <c r="S699" s="777"/>
      <c r="T699" s="314"/>
      <c r="U699" s="778"/>
      <c r="V699" s="315"/>
      <c r="W699" s="779"/>
      <c r="X699" s="780"/>
      <c r="Y699" s="314"/>
      <c r="Z699" s="314"/>
      <c r="AA699" s="314"/>
      <c r="AB699" s="324"/>
      <c r="AC699" s="180"/>
      <c r="AD699" s="155"/>
      <c r="AE699" s="322"/>
      <c r="AF699" s="132"/>
      <c r="AG699" s="132"/>
    </row>
    <row r="700">
      <c r="A700" s="458"/>
      <c r="B700" s="437"/>
      <c r="C700" s="437"/>
      <c r="D700" s="437"/>
      <c r="E700" s="737"/>
      <c r="F700" s="314"/>
      <c r="G700" s="318"/>
      <c r="H700" s="315"/>
      <c r="I700" s="314"/>
      <c r="J700" s="314"/>
      <c r="K700" s="435"/>
      <c r="L700" s="781"/>
      <c r="M700" s="435"/>
      <c r="N700" s="318"/>
      <c r="O700" s="315"/>
      <c r="P700" s="435"/>
      <c r="Q700" s="435"/>
      <c r="R700" s="435"/>
      <c r="S700" s="782"/>
      <c r="T700" s="435"/>
      <c r="U700" s="783"/>
      <c r="V700" s="744"/>
      <c r="W700" s="784"/>
      <c r="X700" s="785"/>
      <c r="Y700" s="435"/>
      <c r="Z700" s="435"/>
      <c r="AA700" s="435"/>
      <c r="AB700" s="324"/>
      <c r="AC700" s="180"/>
      <c r="AD700" s="155"/>
      <c r="AE700" s="322"/>
      <c r="AF700" s="132"/>
      <c r="AG700" s="132"/>
    </row>
    <row r="701">
      <c r="A701" s="458"/>
      <c r="B701" s="313"/>
      <c r="C701" s="313"/>
      <c r="D701" s="437"/>
      <c r="E701" s="737"/>
      <c r="F701" s="314"/>
      <c r="G701" s="318"/>
      <c r="H701" s="315"/>
      <c r="I701" s="314"/>
      <c r="J701" s="314"/>
      <c r="K701" s="314"/>
      <c r="L701" s="776"/>
      <c r="M701" s="314"/>
      <c r="N701" s="318"/>
      <c r="O701" s="315"/>
      <c r="P701" s="314"/>
      <c r="Q701" s="314"/>
      <c r="R701" s="314"/>
      <c r="S701" s="777"/>
      <c r="T701" s="314"/>
      <c r="U701" s="778"/>
      <c r="V701" s="315"/>
      <c r="W701" s="779"/>
      <c r="X701" s="780"/>
      <c r="Y701" s="314"/>
      <c r="Z701" s="314"/>
      <c r="AA701" s="314"/>
      <c r="AB701" s="324"/>
      <c r="AC701" s="180"/>
      <c r="AD701" s="155"/>
      <c r="AE701" s="322"/>
      <c r="AF701" s="132"/>
      <c r="AG701" s="132"/>
    </row>
    <row r="702">
      <c r="A702" s="458"/>
      <c r="B702" s="313"/>
      <c r="C702" s="437"/>
      <c r="D702" s="313"/>
      <c r="E702" s="737"/>
      <c r="F702" s="314"/>
      <c r="G702" s="318"/>
      <c r="H702" s="315"/>
      <c r="I702" s="435"/>
      <c r="J702" s="314"/>
      <c r="K702" s="314"/>
      <c r="L702" s="781"/>
      <c r="M702" s="314"/>
      <c r="N702" s="318"/>
      <c r="O702" s="315"/>
      <c r="P702" s="314"/>
      <c r="Q702" s="435"/>
      <c r="R702" s="435"/>
      <c r="S702" s="782"/>
      <c r="T702" s="435"/>
      <c r="U702" s="783"/>
      <c r="V702" s="744"/>
      <c r="W702" s="784"/>
      <c r="X702" s="785"/>
      <c r="Y702" s="435"/>
      <c r="Z702" s="435"/>
      <c r="AA702" s="435"/>
      <c r="AB702" s="324"/>
      <c r="AC702" s="180"/>
      <c r="AD702" s="155"/>
      <c r="AE702" s="322"/>
      <c r="AF702" s="132"/>
      <c r="AG702" s="132"/>
    </row>
    <row r="703">
      <c r="A703" s="458"/>
      <c r="B703" s="313"/>
      <c r="C703" s="437"/>
      <c r="D703" s="437"/>
      <c r="E703" s="753"/>
      <c r="F703" s="314"/>
      <c r="G703" s="318"/>
      <c r="H703" s="744"/>
      <c r="I703" s="435"/>
      <c r="J703" s="314"/>
      <c r="K703" s="435"/>
      <c r="L703" s="781"/>
      <c r="M703" s="314"/>
      <c r="N703" s="318"/>
      <c r="O703" s="315"/>
      <c r="P703" s="435"/>
      <c r="Q703" s="435"/>
      <c r="R703" s="435"/>
      <c r="S703" s="782"/>
      <c r="T703" s="435"/>
      <c r="U703" s="783"/>
      <c r="V703" s="744"/>
      <c r="W703" s="784"/>
      <c r="X703" s="785"/>
      <c r="Y703" s="435"/>
      <c r="Z703" s="435"/>
      <c r="AA703" s="435"/>
      <c r="AB703" s="324"/>
      <c r="AC703" s="180"/>
      <c r="AD703" s="155"/>
      <c r="AE703" s="322"/>
      <c r="AF703" s="132"/>
      <c r="AG703" s="132"/>
    </row>
    <row r="704">
      <c r="A704" s="458"/>
      <c r="B704" s="313"/>
      <c r="C704" s="437"/>
      <c r="D704" s="437"/>
      <c r="E704" s="737"/>
      <c r="F704" s="314"/>
      <c r="G704" s="318"/>
      <c r="H704" s="315"/>
      <c r="I704" s="314"/>
      <c r="J704" s="314"/>
      <c r="K704" s="435"/>
      <c r="L704" s="776"/>
      <c r="M704" s="314"/>
      <c r="N704" s="318"/>
      <c r="O704" s="315"/>
      <c r="P704" s="314"/>
      <c r="Q704" s="314"/>
      <c r="R704" s="435"/>
      <c r="S704" s="782"/>
      <c r="T704" s="435"/>
      <c r="U704" s="783"/>
      <c r="V704" s="744"/>
      <c r="W704" s="784"/>
      <c r="X704" s="785"/>
      <c r="Y704" s="435"/>
      <c r="Z704" s="435"/>
      <c r="AA704" s="435"/>
      <c r="AB704" s="324"/>
      <c r="AC704" s="180"/>
      <c r="AD704" s="155"/>
      <c r="AE704" s="322"/>
      <c r="AF704" s="132"/>
      <c r="AG704" s="132"/>
    </row>
    <row r="705">
      <c r="A705" s="458"/>
      <c r="B705" s="437"/>
      <c r="C705" s="437"/>
      <c r="D705" s="437"/>
      <c r="E705" s="753"/>
      <c r="F705" s="314"/>
      <c r="G705" s="318"/>
      <c r="H705" s="744"/>
      <c r="I705" s="435"/>
      <c r="J705" s="435"/>
      <c r="K705" s="435"/>
      <c r="L705" s="781"/>
      <c r="M705" s="435"/>
      <c r="N705" s="740"/>
      <c r="O705" s="315"/>
      <c r="P705" s="435"/>
      <c r="Q705" s="435"/>
      <c r="R705" s="435"/>
      <c r="S705" s="782"/>
      <c r="T705" s="435"/>
      <c r="U705" s="783"/>
      <c r="V705" s="744"/>
      <c r="W705" s="784"/>
      <c r="X705" s="785"/>
      <c r="Y705" s="435"/>
      <c r="Z705" s="435"/>
      <c r="AA705" s="435"/>
      <c r="AB705" s="324"/>
      <c r="AC705" s="180"/>
      <c r="AD705" s="155"/>
      <c r="AE705" s="322"/>
      <c r="AF705" s="132"/>
      <c r="AG705" s="132"/>
    </row>
    <row r="706">
      <c r="A706" s="435"/>
      <c r="B706" s="437"/>
      <c r="C706" s="437"/>
      <c r="D706" s="437"/>
      <c r="E706" s="753"/>
      <c r="F706" s="314"/>
      <c r="G706" s="318"/>
      <c r="H706" s="744"/>
      <c r="I706" s="435"/>
      <c r="J706" s="435"/>
      <c r="K706" s="435"/>
      <c r="L706" s="781"/>
      <c r="M706" s="435"/>
      <c r="N706" s="740"/>
      <c r="O706" s="315"/>
      <c r="P706" s="435"/>
      <c r="Q706" s="435"/>
      <c r="R706" s="435"/>
      <c r="S706" s="782"/>
      <c r="T706" s="435"/>
      <c r="U706" s="783"/>
      <c r="V706" s="744"/>
      <c r="W706" s="784"/>
      <c r="X706" s="785"/>
      <c r="Y706" s="435"/>
      <c r="Z706" s="435"/>
      <c r="AA706" s="435"/>
      <c r="AB706" s="324"/>
      <c r="AC706" s="180"/>
      <c r="AD706" s="155"/>
      <c r="AE706" s="322"/>
      <c r="AF706" s="132"/>
      <c r="AG706" s="132"/>
    </row>
    <row r="707">
      <c r="A707" s="474"/>
      <c r="B707" s="437"/>
      <c r="C707" s="437"/>
      <c r="D707" s="437"/>
      <c r="E707" s="753"/>
      <c r="F707" s="314"/>
      <c r="G707" s="318"/>
      <c r="H707" s="744"/>
      <c r="I707" s="435"/>
      <c r="J707" s="435"/>
      <c r="K707" s="435"/>
      <c r="L707" s="781"/>
      <c r="M707" s="435"/>
      <c r="N707" s="740"/>
      <c r="O707" s="315"/>
      <c r="P707" s="435"/>
      <c r="Q707" s="435"/>
      <c r="R707" s="435"/>
      <c r="S707" s="782"/>
      <c r="T707" s="435"/>
      <c r="U707" s="783"/>
      <c r="V707" s="744"/>
      <c r="W707" s="784"/>
      <c r="X707" s="785"/>
      <c r="Y707" s="435"/>
      <c r="Z707" s="435"/>
      <c r="AA707" s="435"/>
      <c r="AB707" s="324"/>
      <c r="AC707" s="180"/>
      <c r="AD707" s="155"/>
      <c r="AE707" s="322"/>
      <c r="AF707" s="132"/>
      <c r="AG707" s="132"/>
    </row>
    <row r="708">
      <c r="A708" s="474"/>
      <c r="B708" s="437"/>
      <c r="C708" s="313"/>
      <c r="D708" s="437"/>
      <c r="E708" s="753"/>
      <c r="F708" s="314"/>
      <c r="G708" s="318"/>
      <c r="H708" s="744"/>
      <c r="I708" s="435"/>
      <c r="J708" s="435"/>
      <c r="K708" s="314"/>
      <c r="L708" s="776"/>
      <c r="M708" s="314"/>
      <c r="N708" s="740"/>
      <c r="O708" s="315"/>
      <c r="P708" s="314"/>
      <c r="Q708" s="435"/>
      <c r="R708" s="314"/>
      <c r="S708" s="782"/>
      <c r="T708" s="435"/>
      <c r="U708" s="783"/>
      <c r="V708" s="744"/>
      <c r="W708" s="784"/>
      <c r="X708" s="785"/>
      <c r="Y708" s="435"/>
      <c r="Z708" s="435"/>
      <c r="AA708" s="435"/>
      <c r="AB708" s="324"/>
      <c r="AC708" s="180"/>
      <c r="AD708" s="155"/>
      <c r="AE708" s="322"/>
      <c r="AF708" s="132"/>
      <c r="AG708" s="132"/>
    </row>
    <row r="709">
      <c r="A709" s="474"/>
      <c r="B709" s="313"/>
      <c r="C709" s="313"/>
      <c r="D709" s="313"/>
      <c r="E709" s="737"/>
      <c r="F709" s="314"/>
      <c r="G709" s="318"/>
      <c r="H709" s="315"/>
      <c r="I709" s="314"/>
      <c r="J709" s="314"/>
      <c r="K709" s="435"/>
      <c r="L709" s="776"/>
      <c r="M709" s="314"/>
      <c r="N709" s="318"/>
      <c r="O709" s="315"/>
      <c r="P709" s="435"/>
      <c r="Q709" s="314"/>
      <c r="R709" s="314"/>
      <c r="S709" s="777"/>
      <c r="T709" s="314"/>
      <c r="U709" s="778"/>
      <c r="V709" s="315"/>
      <c r="W709" s="779"/>
      <c r="X709" s="780"/>
      <c r="Y709" s="314"/>
      <c r="Z709" s="314"/>
      <c r="AA709" s="314"/>
      <c r="AB709" s="324"/>
      <c r="AC709" s="180"/>
      <c r="AD709" s="155"/>
      <c r="AE709" s="322"/>
      <c r="AF709" s="132"/>
      <c r="AG709" s="132"/>
    </row>
    <row r="710">
      <c r="A710" s="474"/>
      <c r="B710" s="313"/>
      <c r="C710" s="437"/>
      <c r="D710" s="437"/>
      <c r="E710" s="737"/>
      <c r="F710" s="314"/>
      <c r="G710" s="318"/>
      <c r="H710" s="315"/>
      <c r="I710" s="435"/>
      <c r="J710" s="314"/>
      <c r="K710" s="314"/>
      <c r="L710" s="776"/>
      <c r="M710" s="314"/>
      <c r="N710" s="318"/>
      <c r="O710" s="315"/>
      <c r="P710" s="314"/>
      <c r="Q710" s="314"/>
      <c r="R710" s="314"/>
      <c r="S710" s="777"/>
      <c r="T710" s="314"/>
      <c r="U710" s="778"/>
      <c r="V710" s="315"/>
      <c r="W710" s="779"/>
      <c r="X710" s="780"/>
      <c r="Y710" s="314"/>
      <c r="Z710" s="314"/>
      <c r="AA710" s="314"/>
      <c r="AB710" s="324"/>
      <c r="AC710" s="180"/>
      <c r="AD710" s="155"/>
      <c r="AE710" s="322"/>
      <c r="AF710" s="132"/>
      <c r="AG710" s="132"/>
    </row>
    <row r="711">
      <c r="A711" s="474"/>
      <c r="B711" s="313"/>
      <c r="C711" s="313"/>
      <c r="D711" s="313"/>
      <c r="E711" s="737"/>
      <c r="F711" s="314"/>
      <c r="G711" s="318"/>
      <c r="H711" s="315"/>
      <c r="I711" s="314"/>
      <c r="J711" s="314"/>
      <c r="K711" s="435"/>
      <c r="L711" s="776"/>
      <c r="M711" s="314"/>
      <c r="N711" s="318"/>
      <c r="O711" s="315"/>
      <c r="P711" s="314"/>
      <c r="Q711" s="314"/>
      <c r="R711" s="314"/>
      <c r="S711" s="777"/>
      <c r="T711" s="314"/>
      <c r="U711" s="778"/>
      <c r="V711" s="315"/>
      <c r="W711" s="779"/>
      <c r="X711" s="780"/>
      <c r="Y711" s="314"/>
      <c r="Z711" s="314"/>
      <c r="AA711" s="314"/>
      <c r="AB711" s="324"/>
      <c r="AC711" s="180"/>
      <c r="AD711" s="155"/>
      <c r="AE711" s="322"/>
      <c r="AF711" s="132"/>
      <c r="AG711" s="132"/>
    </row>
    <row r="712">
      <c r="A712" s="458"/>
      <c r="B712" s="313"/>
      <c r="C712" s="437"/>
      <c r="D712" s="313"/>
      <c r="E712" s="737"/>
      <c r="F712" s="314"/>
      <c r="G712" s="318"/>
      <c r="H712" s="315"/>
      <c r="I712" s="314"/>
      <c r="J712" s="435"/>
      <c r="K712" s="435"/>
      <c r="L712" s="776"/>
      <c r="M712" s="314"/>
      <c r="N712" s="318"/>
      <c r="O712" s="315"/>
      <c r="P712" s="314"/>
      <c r="Q712" s="314"/>
      <c r="R712" s="314"/>
      <c r="S712" s="777"/>
      <c r="T712" s="314"/>
      <c r="U712" s="778"/>
      <c r="V712" s="315"/>
      <c r="W712" s="779"/>
      <c r="X712" s="780"/>
      <c r="Y712" s="314"/>
      <c r="Z712" s="314"/>
      <c r="AA712" s="314"/>
      <c r="AB712" s="324"/>
      <c r="AC712" s="180"/>
      <c r="AD712" s="155"/>
      <c r="AE712" s="322"/>
      <c r="AF712" s="132"/>
      <c r="AG712" s="132"/>
    </row>
    <row r="713">
      <c r="A713" s="435"/>
      <c r="B713" s="313"/>
      <c r="C713" s="437"/>
      <c r="D713" s="437"/>
      <c r="E713" s="753"/>
      <c r="F713" s="314"/>
      <c r="G713" s="318"/>
      <c r="H713" s="744"/>
      <c r="I713" s="314"/>
      <c r="J713" s="314"/>
      <c r="K713" s="435"/>
      <c r="L713" s="776"/>
      <c r="M713" s="435"/>
      <c r="N713" s="740"/>
      <c r="O713" s="315"/>
      <c r="P713" s="314"/>
      <c r="Q713" s="314"/>
      <c r="R713" s="435"/>
      <c r="S713" s="777"/>
      <c r="T713" s="314"/>
      <c r="U713" s="778"/>
      <c r="V713" s="315"/>
      <c r="W713" s="779"/>
      <c r="X713" s="780"/>
      <c r="Y713" s="314"/>
      <c r="Z713" s="314"/>
      <c r="AA713" s="314"/>
      <c r="AB713" s="324"/>
      <c r="AC713" s="180"/>
      <c r="AD713" s="155"/>
      <c r="AE713" s="322"/>
      <c r="AF713" s="132"/>
      <c r="AG713" s="132"/>
    </row>
    <row r="714">
      <c r="A714" s="435"/>
      <c r="B714" s="437"/>
      <c r="C714" s="313"/>
      <c r="D714" s="313"/>
      <c r="E714" s="737"/>
      <c r="F714" s="314"/>
      <c r="G714" s="318"/>
      <c r="H714" s="315"/>
      <c r="I714" s="314"/>
      <c r="J714" s="314"/>
      <c r="K714" s="314"/>
      <c r="L714" s="776"/>
      <c r="M714" s="314"/>
      <c r="N714" s="318"/>
      <c r="O714" s="315"/>
      <c r="P714" s="435"/>
      <c r="Q714" s="314"/>
      <c r="R714" s="314"/>
      <c r="S714" s="777"/>
      <c r="T714" s="314"/>
      <c r="U714" s="778"/>
      <c r="V714" s="315"/>
      <c r="W714" s="779"/>
      <c r="X714" s="780"/>
      <c r="Y714" s="314"/>
      <c r="Z714" s="314"/>
      <c r="AA714" s="314"/>
      <c r="AB714" s="324"/>
      <c r="AC714" s="180"/>
      <c r="AD714" s="155"/>
      <c r="AE714" s="322"/>
      <c r="AF714" s="132"/>
      <c r="AG714" s="132"/>
    </row>
    <row r="715">
      <c r="A715" s="435"/>
      <c r="B715" s="437"/>
      <c r="C715" s="313"/>
      <c r="D715" s="313"/>
      <c r="E715" s="737"/>
      <c r="F715" s="314"/>
      <c r="G715" s="318"/>
      <c r="H715" s="315"/>
      <c r="I715" s="314"/>
      <c r="J715" s="314"/>
      <c r="K715" s="314"/>
      <c r="L715" s="776"/>
      <c r="M715" s="314"/>
      <c r="N715" s="318"/>
      <c r="O715" s="315"/>
      <c r="P715" s="314"/>
      <c r="Q715" s="435"/>
      <c r="R715" s="314"/>
      <c r="S715" s="782"/>
      <c r="T715" s="435"/>
      <c r="U715" s="783"/>
      <c r="V715" s="744"/>
      <c r="W715" s="784"/>
      <c r="X715" s="785"/>
      <c r="Y715" s="435"/>
      <c r="Z715" s="435"/>
      <c r="AA715" s="435"/>
      <c r="AB715" s="324"/>
      <c r="AC715" s="180"/>
      <c r="AD715" s="155"/>
      <c r="AE715" s="322"/>
      <c r="AF715" s="132"/>
      <c r="AG715" s="132"/>
    </row>
    <row r="716">
      <c r="A716" s="435"/>
      <c r="B716" s="313"/>
      <c r="C716" s="437"/>
      <c r="D716" s="313"/>
      <c r="E716" s="737"/>
      <c r="F716" s="314"/>
      <c r="G716" s="318"/>
      <c r="H716" s="315"/>
      <c r="I716" s="314"/>
      <c r="J716" s="314"/>
      <c r="K716" s="314"/>
      <c r="L716" s="776"/>
      <c r="M716" s="314"/>
      <c r="N716" s="318"/>
      <c r="O716" s="315"/>
      <c r="P716" s="314"/>
      <c r="Q716" s="314"/>
      <c r="R716" s="435"/>
      <c r="S716" s="777"/>
      <c r="T716" s="314"/>
      <c r="U716" s="778"/>
      <c r="V716" s="315"/>
      <c r="W716" s="779"/>
      <c r="X716" s="780"/>
      <c r="Y716" s="314"/>
      <c r="Z716" s="314"/>
      <c r="AA716" s="314"/>
      <c r="AB716" s="324"/>
      <c r="AC716" s="180"/>
      <c r="AD716" s="155"/>
      <c r="AE716" s="322"/>
      <c r="AF716" s="132"/>
      <c r="AG716" s="132"/>
    </row>
    <row r="717">
      <c r="A717" s="435"/>
      <c r="B717" s="313"/>
      <c r="C717" s="313"/>
      <c r="D717" s="313"/>
      <c r="E717" s="737"/>
      <c r="F717" s="314"/>
      <c r="G717" s="318"/>
      <c r="H717" s="315"/>
      <c r="I717" s="314"/>
      <c r="J717" s="314"/>
      <c r="K717" s="435"/>
      <c r="L717" s="776"/>
      <c r="M717" s="435"/>
      <c r="N717" s="318"/>
      <c r="O717" s="315"/>
      <c r="P717" s="314"/>
      <c r="Q717" s="435"/>
      <c r="R717" s="314"/>
      <c r="S717" s="777"/>
      <c r="T717" s="314"/>
      <c r="U717" s="778"/>
      <c r="V717" s="315"/>
      <c r="W717" s="779"/>
      <c r="X717" s="780"/>
      <c r="Y717" s="314"/>
      <c r="Z717" s="314"/>
      <c r="AA717" s="314"/>
      <c r="AB717" s="324"/>
      <c r="AC717" s="180"/>
      <c r="AD717" s="155"/>
      <c r="AE717" s="322"/>
      <c r="AF717" s="132"/>
      <c r="AG717" s="132"/>
    </row>
    <row r="718">
      <c r="A718" s="435"/>
      <c r="B718" s="313"/>
      <c r="C718" s="437"/>
      <c r="D718" s="437"/>
      <c r="E718" s="737"/>
      <c r="F718" s="314"/>
      <c r="G718" s="318"/>
      <c r="H718" s="315"/>
      <c r="I718" s="314"/>
      <c r="J718" s="314"/>
      <c r="K718" s="435"/>
      <c r="L718" s="776"/>
      <c r="M718" s="435"/>
      <c r="N718" s="318"/>
      <c r="O718" s="315"/>
      <c r="P718" s="314"/>
      <c r="Q718" s="435"/>
      <c r="R718" s="314"/>
      <c r="S718" s="777"/>
      <c r="T718" s="314"/>
      <c r="U718" s="778"/>
      <c r="V718" s="315"/>
      <c r="W718" s="779"/>
      <c r="X718" s="780"/>
      <c r="Y718" s="314"/>
      <c r="Z718" s="314"/>
      <c r="AA718" s="314"/>
      <c r="AB718" s="324"/>
      <c r="AC718" s="180"/>
      <c r="AD718" s="155"/>
      <c r="AE718" s="322"/>
      <c r="AF718" s="132"/>
      <c r="AG718" s="132"/>
    </row>
    <row r="719">
      <c r="A719" s="476"/>
      <c r="AD719" s="176"/>
      <c r="AE719" s="322"/>
      <c r="AF719" s="132"/>
      <c r="AG719" s="132"/>
    </row>
    <row r="720">
      <c r="A720" s="178"/>
      <c r="AE720" s="322"/>
      <c r="AF720" s="132"/>
      <c r="AG720" s="132"/>
    </row>
    <row r="721">
      <c r="A721" s="474"/>
      <c r="B721" s="437"/>
      <c r="C721" s="437"/>
      <c r="D721" s="437"/>
      <c r="E721" s="753"/>
      <c r="F721" s="314"/>
      <c r="G721" s="318"/>
      <c r="H721" s="315"/>
      <c r="I721" s="435"/>
      <c r="J721" s="435"/>
      <c r="K721" s="435"/>
      <c r="L721" s="781"/>
      <c r="M721" s="435"/>
      <c r="N721" s="740"/>
      <c r="O721" s="315"/>
      <c r="P721" s="435"/>
      <c r="Q721" s="435"/>
      <c r="R721" s="435"/>
      <c r="S721" s="782"/>
      <c r="T721" s="435"/>
      <c r="U721" s="783"/>
      <c r="V721" s="744"/>
      <c r="W721" s="784"/>
      <c r="X721" s="785"/>
      <c r="Y721" s="435"/>
      <c r="Z721" s="435"/>
      <c r="AA721" s="435"/>
      <c r="AB721" s="324"/>
      <c r="AC721" s="180"/>
      <c r="AD721" s="155"/>
      <c r="AE721" s="322"/>
      <c r="AF721" s="132"/>
      <c r="AG721" s="132"/>
    </row>
    <row r="722">
      <c r="A722" s="474"/>
      <c r="B722" s="313"/>
      <c r="C722" s="437"/>
      <c r="D722" s="437"/>
      <c r="E722" s="753"/>
      <c r="F722" s="314"/>
      <c r="G722" s="318"/>
      <c r="H722" s="744"/>
      <c r="I722" s="314"/>
      <c r="J722" s="435"/>
      <c r="K722" s="435"/>
      <c r="L722" s="781"/>
      <c r="M722" s="314"/>
      <c r="N722" s="318"/>
      <c r="O722" s="315"/>
      <c r="P722" s="435"/>
      <c r="Q722" s="435"/>
      <c r="R722" s="435"/>
      <c r="S722" s="782"/>
      <c r="T722" s="435"/>
      <c r="U722" s="783"/>
      <c r="V722" s="744"/>
      <c r="W722" s="784"/>
      <c r="X722" s="785"/>
      <c r="Y722" s="435"/>
      <c r="Z722" s="435"/>
      <c r="AA722" s="435"/>
      <c r="AB722" s="324"/>
      <c r="AC722" s="180"/>
      <c r="AD722" s="155"/>
      <c r="AE722" s="322"/>
      <c r="AF722" s="132"/>
      <c r="AG722" s="132"/>
    </row>
    <row r="723">
      <c r="A723" s="477"/>
      <c r="B723" s="437"/>
      <c r="C723" s="437"/>
      <c r="D723" s="437"/>
      <c r="E723" s="737"/>
      <c r="F723" s="314"/>
      <c r="G723" s="318"/>
      <c r="H723" s="744"/>
      <c r="I723" s="435"/>
      <c r="J723" s="435"/>
      <c r="K723" s="435"/>
      <c r="L723" s="781"/>
      <c r="M723" s="435"/>
      <c r="N723" s="740"/>
      <c r="O723" s="315"/>
      <c r="P723" s="435"/>
      <c r="Q723" s="435"/>
      <c r="R723" s="435"/>
      <c r="S723" s="782"/>
      <c r="T723" s="435"/>
      <c r="U723" s="783"/>
      <c r="V723" s="744"/>
      <c r="W723" s="784"/>
      <c r="X723" s="785"/>
      <c r="Y723" s="435"/>
      <c r="Z723" s="435"/>
      <c r="AA723" s="435"/>
      <c r="AB723" s="324"/>
      <c r="AC723" s="180"/>
      <c r="AD723" s="155"/>
      <c r="AE723" s="322"/>
      <c r="AF723" s="132"/>
      <c r="AG723" s="132"/>
    </row>
    <row r="724">
      <c r="A724" s="477"/>
      <c r="B724" s="437"/>
      <c r="C724" s="437"/>
      <c r="D724" s="437"/>
      <c r="E724" s="737"/>
      <c r="F724" s="314"/>
      <c r="G724" s="318"/>
      <c r="H724" s="744"/>
      <c r="I724" s="314"/>
      <c r="J724" s="314"/>
      <c r="K724" s="435"/>
      <c r="L724" s="781"/>
      <c r="M724" s="435"/>
      <c r="N724" s="318"/>
      <c r="O724" s="315"/>
      <c r="P724" s="435"/>
      <c r="Q724" s="435"/>
      <c r="R724" s="435"/>
      <c r="S724" s="782"/>
      <c r="T724" s="435"/>
      <c r="U724" s="783"/>
      <c r="V724" s="744"/>
      <c r="W724" s="784"/>
      <c r="X724" s="785"/>
      <c r="Y724" s="435"/>
      <c r="Z724" s="435"/>
      <c r="AA724" s="435"/>
      <c r="AB724" s="324"/>
      <c r="AC724" s="180"/>
      <c r="AD724" s="155"/>
      <c r="AE724" s="322"/>
      <c r="AF724" s="132"/>
      <c r="AG724" s="132"/>
    </row>
    <row r="725">
      <c r="A725" s="477"/>
      <c r="B725" s="437"/>
      <c r="C725" s="437"/>
      <c r="D725" s="437"/>
      <c r="E725" s="753"/>
      <c r="F725" s="314"/>
      <c r="G725" s="318"/>
      <c r="H725" s="744"/>
      <c r="I725" s="435"/>
      <c r="J725" s="435"/>
      <c r="K725" s="435"/>
      <c r="L725" s="781"/>
      <c r="M725" s="435"/>
      <c r="N725" s="740"/>
      <c r="O725" s="315"/>
      <c r="P725" s="435"/>
      <c r="Q725" s="435"/>
      <c r="R725" s="435"/>
      <c r="S725" s="782"/>
      <c r="T725" s="435"/>
      <c r="U725" s="783"/>
      <c r="V725" s="744"/>
      <c r="W725" s="784"/>
      <c r="X725" s="785"/>
      <c r="Y725" s="435"/>
      <c r="Z725" s="435"/>
      <c r="AA725" s="435"/>
      <c r="AB725" s="324"/>
      <c r="AC725" s="180"/>
      <c r="AD725" s="155"/>
      <c r="AE725" s="322"/>
      <c r="AF725" s="132"/>
      <c r="AG725" s="132"/>
    </row>
    <row r="726">
      <c r="A726" s="474"/>
      <c r="B726" s="313"/>
      <c r="C726" s="437"/>
      <c r="D726" s="313"/>
      <c r="E726" s="753"/>
      <c r="F726" s="314"/>
      <c r="G726" s="318"/>
      <c r="H726" s="744"/>
      <c r="I726" s="314"/>
      <c r="J726" s="435"/>
      <c r="K726" s="435"/>
      <c r="L726" s="776"/>
      <c r="M726" s="435"/>
      <c r="N726" s="318"/>
      <c r="O726" s="315"/>
      <c r="P726" s="435"/>
      <c r="Q726" s="435"/>
      <c r="R726" s="435"/>
      <c r="S726" s="782"/>
      <c r="T726" s="435"/>
      <c r="U726" s="783"/>
      <c r="V726" s="744"/>
      <c r="W726" s="784"/>
      <c r="X726" s="785"/>
      <c r="Y726" s="435"/>
      <c r="Z726" s="435"/>
      <c r="AA726" s="435"/>
      <c r="AB726" s="324"/>
      <c r="AC726" s="180"/>
      <c r="AD726" s="155"/>
      <c r="AE726" s="322"/>
      <c r="AF726" s="132"/>
      <c r="AG726" s="132"/>
    </row>
    <row r="727">
      <c r="A727" s="478"/>
      <c r="B727" s="437"/>
      <c r="C727" s="437"/>
      <c r="D727" s="437"/>
      <c r="E727" s="753"/>
      <c r="F727" s="314"/>
      <c r="G727" s="318"/>
      <c r="H727" s="744"/>
      <c r="I727" s="435"/>
      <c r="J727" s="435"/>
      <c r="K727" s="435"/>
      <c r="L727" s="781"/>
      <c r="M727" s="435"/>
      <c r="N727" s="740"/>
      <c r="O727" s="315"/>
      <c r="P727" s="435"/>
      <c r="Q727" s="435"/>
      <c r="R727" s="435"/>
      <c r="S727" s="782"/>
      <c r="T727" s="435"/>
      <c r="U727" s="783"/>
      <c r="V727" s="744"/>
      <c r="W727" s="784"/>
      <c r="X727" s="785"/>
      <c r="Y727" s="435"/>
      <c r="Z727" s="435"/>
      <c r="AA727" s="435"/>
      <c r="AB727" s="324"/>
      <c r="AC727" s="180"/>
      <c r="AD727" s="155"/>
      <c r="AE727" s="322"/>
      <c r="AF727" s="132"/>
      <c r="AG727" s="132"/>
    </row>
    <row r="728">
      <c r="A728" s="478"/>
      <c r="B728" s="437"/>
      <c r="C728" s="437"/>
      <c r="D728" s="437"/>
      <c r="E728" s="753"/>
      <c r="F728" s="314"/>
      <c r="G728" s="318"/>
      <c r="H728" s="744"/>
      <c r="I728" s="435"/>
      <c r="J728" s="435"/>
      <c r="K728" s="435"/>
      <c r="L728" s="781"/>
      <c r="M728" s="435"/>
      <c r="N728" s="740"/>
      <c r="O728" s="315"/>
      <c r="P728" s="435"/>
      <c r="Q728" s="435"/>
      <c r="R728" s="435"/>
      <c r="S728" s="782"/>
      <c r="T728" s="435"/>
      <c r="U728" s="783"/>
      <c r="V728" s="744"/>
      <c r="W728" s="784"/>
      <c r="X728" s="785"/>
      <c r="Y728" s="435"/>
      <c r="Z728" s="435"/>
      <c r="AA728" s="435"/>
      <c r="AB728" s="324"/>
      <c r="AC728" s="180"/>
      <c r="AD728" s="155"/>
      <c r="AE728" s="322"/>
      <c r="AF728" s="132"/>
      <c r="AG728" s="132"/>
    </row>
    <row r="729">
      <c r="A729" s="478"/>
      <c r="B729" s="437"/>
      <c r="C729" s="437"/>
      <c r="D729" s="313"/>
      <c r="E729" s="737"/>
      <c r="F729" s="314"/>
      <c r="G729" s="318"/>
      <c r="H729" s="744"/>
      <c r="I729" s="435"/>
      <c r="J729" s="314"/>
      <c r="K729" s="435"/>
      <c r="L729" s="776"/>
      <c r="M729" s="435"/>
      <c r="N729" s="318"/>
      <c r="O729" s="315"/>
      <c r="P729" s="314"/>
      <c r="Q729" s="314"/>
      <c r="R729" s="314"/>
      <c r="S729" s="782"/>
      <c r="T729" s="435"/>
      <c r="U729" s="783"/>
      <c r="V729" s="744"/>
      <c r="W729" s="784"/>
      <c r="X729" s="785"/>
      <c r="Y729" s="435"/>
      <c r="Z729" s="435"/>
      <c r="AA729" s="435"/>
      <c r="AB729" s="324"/>
      <c r="AC729" s="180"/>
      <c r="AD729" s="155"/>
      <c r="AE729" s="322"/>
      <c r="AF729" s="132"/>
      <c r="AG729" s="132"/>
    </row>
    <row r="730">
      <c r="A730" s="477"/>
      <c r="B730" s="313"/>
      <c r="C730" s="437"/>
      <c r="D730" s="437"/>
      <c r="E730" s="753"/>
      <c r="F730" s="314"/>
      <c r="G730" s="318"/>
      <c r="H730" s="744"/>
      <c r="I730" s="435"/>
      <c r="J730" s="435"/>
      <c r="K730" s="435"/>
      <c r="L730" s="781"/>
      <c r="M730" s="435"/>
      <c r="N730" s="740"/>
      <c r="O730" s="315"/>
      <c r="P730" s="435"/>
      <c r="Q730" s="435"/>
      <c r="R730" s="435"/>
      <c r="S730" s="782"/>
      <c r="T730" s="435"/>
      <c r="U730" s="783"/>
      <c r="V730" s="744"/>
      <c r="W730" s="784"/>
      <c r="X730" s="785"/>
      <c r="Y730" s="435"/>
      <c r="Z730" s="435"/>
      <c r="AA730" s="435"/>
      <c r="AB730" s="324"/>
      <c r="AC730" s="180"/>
      <c r="AD730" s="155"/>
      <c r="AE730" s="322"/>
      <c r="AF730" s="132"/>
      <c r="AG730" s="132"/>
    </row>
    <row r="731">
      <c r="A731" s="477"/>
      <c r="B731" s="313"/>
      <c r="C731" s="313"/>
      <c r="D731" s="313"/>
      <c r="E731" s="737"/>
      <c r="F731" s="314"/>
      <c r="G731" s="318"/>
      <c r="H731" s="744"/>
      <c r="I731" s="314"/>
      <c r="J731" s="314"/>
      <c r="K731" s="314"/>
      <c r="L731" s="776"/>
      <c r="M731" s="314"/>
      <c r="N731" s="740"/>
      <c r="O731" s="315"/>
      <c r="P731" s="314"/>
      <c r="Q731" s="435"/>
      <c r="R731" s="314"/>
      <c r="S731" s="777"/>
      <c r="T731" s="314"/>
      <c r="U731" s="778"/>
      <c r="V731" s="315"/>
      <c r="W731" s="779"/>
      <c r="X731" s="780"/>
      <c r="Y731" s="314"/>
      <c r="Z731" s="314"/>
      <c r="AA731" s="314"/>
      <c r="AB731" s="324"/>
      <c r="AC731" s="180"/>
      <c r="AD731" s="155"/>
      <c r="AE731" s="322"/>
      <c r="AF731" s="132"/>
      <c r="AG731" s="132"/>
    </row>
    <row r="732">
      <c r="A732" s="477"/>
      <c r="B732" s="313"/>
      <c r="C732" s="313"/>
      <c r="D732" s="313"/>
      <c r="E732" s="737"/>
      <c r="F732" s="314"/>
      <c r="G732" s="318"/>
      <c r="H732" s="315"/>
      <c r="I732" s="314"/>
      <c r="J732" s="314"/>
      <c r="K732" s="314"/>
      <c r="L732" s="776"/>
      <c r="M732" s="314"/>
      <c r="N732" s="318"/>
      <c r="O732" s="315"/>
      <c r="P732" s="314"/>
      <c r="Q732" s="314"/>
      <c r="R732" s="314"/>
      <c r="S732" s="777"/>
      <c r="T732" s="314"/>
      <c r="U732" s="778"/>
      <c r="V732" s="315"/>
      <c r="W732" s="779"/>
      <c r="X732" s="780"/>
      <c r="Y732" s="314"/>
      <c r="Z732" s="314"/>
      <c r="AA732" s="314"/>
      <c r="AB732" s="324"/>
      <c r="AC732" s="180"/>
      <c r="AD732" s="155"/>
      <c r="AE732" s="322"/>
      <c r="AF732" s="132"/>
      <c r="AG732" s="132"/>
    </row>
    <row r="733">
      <c r="A733" s="476"/>
      <c r="AD733" s="176"/>
      <c r="AE733" s="322"/>
      <c r="AF733" s="132"/>
      <c r="AG733" s="132"/>
    </row>
    <row r="734">
      <c r="A734" s="178"/>
      <c r="AE734" s="322"/>
      <c r="AF734" s="132"/>
      <c r="AG734" s="132"/>
    </row>
    <row r="735">
      <c r="A735" s="477"/>
      <c r="B735" s="437"/>
      <c r="C735" s="437"/>
      <c r="D735" s="437"/>
      <c r="E735" s="737"/>
      <c r="F735" s="314"/>
      <c r="G735" s="318"/>
      <c r="H735" s="315"/>
      <c r="I735" s="314"/>
      <c r="J735" s="314"/>
      <c r="K735" s="435"/>
      <c r="L735" s="781"/>
      <c r="M735" s="314"/>
      <c r="N735" s="318"/>
      <c r="O735" s="315"/>
      <c r="P735" s="314"/>
      <c r="Q735" s="435"/>
      <c r="R735" s="435"/>
      <c r="S735" s="782"/>
      <c r="T735" s="435"/>
      <c r="U735" s="783"/>
      <c r="V735" s="744"/>
      <c r="W735" s="784"/>
      <c r="X735" s="785"/>
      <c r="Y735" s="435"/>
      <c r="Z735" s="435"/>
      <c r="AA735" s="435"/>
      <c r="AB735" s="324"/>
      <c r="AC735" s="180"/>
      <c r="AD735" s="155"/>
      <c r="AE735" s="322"/>
      <c r="AF735" s="132"/>
      <c r="AG735" s="132"/>
    </row>
    <row r="736">
      <c r="A736" s="477"/>
      <c r="B736" s="313"/>
      <c r="C736" s="437"/>
      <c r="D736" s="437"/>
      <c r="E736" s="737"/>
      <c r="F736" s="314"/>
      <c r="G736" s="318"/>
      <c r="H736" s="315"/>
      <c r="I736" s="435"/>
      <c r="J736" s="435"/>
      <c r="K736" s="435"/>
      <c r="L736" s="776"/>
      <c r="M736" s="435"/>
      <c r="N736" s="318"/>
      <c r="O736" s="315"/>
      <c r="P736" s="314"/>
      <c r="Q736" s="435"/>
      <c r="R736" s="435"/>
      <c r="S736" s="782"/>
      <c r="T736" s="435"/>
      <c r="U736" s="783"/>
      <c r="V736" s="744"/>
      <c r="W736" s="784"/>
      <c r="X736" s="785"/>
      <c r="Y736" s="435"/>
      <c r="Z736" s="435"/>
      <c r="AA736" s="435"/>
      <c r="AB736" s="324"/>
      <c r="AC736" s="180"/>
      <c r="AD736" s="155"/>
      <c r="AE736" s="322"/>
      <c r="AF736" s="132"/>
      <c r="AG736" s="132"/>
    </row>
    <row r="737">
      <c r="A737" s="477"/>
      <c r="B737" s="313"/>
      <c r="C737" s="437"/>
      <c r="D737" s="437"/>
      <c r="E737" s="753"/>
      <c r="F737" s="314"/>
      <c r="G737" s="318"/>
      <c r="H737" s="744"/>
      <c r="I737" s="314"/>
      <c r="J737" s="314"/>
      <c r="K737" s="435"/>
      <c r="L737" s="776"/>
      <c r="M737" s="435"/>
      <c r="N737" s="740"/>
      <c r="O737" s="315"/>
      <c r="P737" s="435"/>
      <c r="Q737" s="435"/>
      <c r="R737" s="435"/>
      <c r="S737" s="782"/>
      <c r="T737" s="435"/>
      <c r="U737" s="783"/>
      <c r="V737" s="744"/>
      <c r="W737" s="784"/>
      <c r="X737" s="785"/>
      <c r="Y737" s="435"/>
      <c r="Z737" s="435"/>
      <c r="AA737" s="435"/>
      <c r="AB737" s="324"/>
      <c r="AC737" s="180"/>
      <c r="AD737" s="155"/>
      <c r="AE737" s="322"/>
      <c r="AF737" s="132"/>
      <c r="AG737" s="132"/>
    </row>
    <row r="738">
      <c r="A738" s="479"/>
      <c r="B738" s="313"/>
      <c r="C738" s="313"/>
      <c r="D738" s="313"/>
      <c r="E738" s="737"/>
      <c r="F738" s="314"/>
      <c r="G738" s="318"/>
      <c r="H738" s="315"/>
      <c r="I738" s="314"/>
      <c r="J738" s="314"/>
      <c r="K738" s="314"/>
      <c r="L738" s="776"/>
      <c r="M738" s="314"/>
      <c r="N738" s="318"/>
      <c r="O738" s="315"/>
      <c r="P738" s="314"/>
      <c r="Q738" s="435"/>
      <c r="R738" s="314"/>
      <c r="S738" s="777"/>
      <c r="T738" s="314"/>
      <c r="U738" s="778"/>
      <c r="V738" s="315"/>
      <c r="W738" s="779"/>
      <c r="X738" s="780"/>
      <c r="Y738" s="314"/>
      <c r="Z738" s="314"/>
      <c r="AA738" s="314"/>
      <c r="AB738" s="324"/>
      <c r="AC738" s="180"/>
      <c r="AD738" s="155"/>
      <c r="AE738" s="322"/>
      <c r="AF738" s="132"/>
      <c r="AG738" s="132"/>
    </row>
    <row r="739">
      <c r="A739" s="476"/>
      <c r="AD739" s="176"/>
      <c r="AE739" s="322"/>
      <c r="AF739" s="132"/>
      <c r="AG739" s="132"/>
    </row>
    <row r="740">
      <c r="A740" s="178"/>
      <c r="AE740" s="322"/>
      <c r="AF740" s="132"/>
      <c r="AG740" s="132"/>
    </row>
    <row r="741">
      <c r="A741" s="480"/>
      <c r="B741" s="313"/>
      <c r="C741" s="437"/>
      <c r="D741" s="313"/>
      <c r="E741" s="737"/>
      <c r="F741" s="314"/>
      <c r="G741" s="318"/>
      <c r="H741" s="315"/>
      <c r="I741" s="314"/>
      <c r="J741" s="435"/>
      <c r="K741" s="435"/>
      <c r="L741" s="776"/>
      <c r="M741" s="314"/>
      <c r="N741" s="318"/>
      <c r="O741" s="315"/>
      <c r="P741" s="314"/>
      <c r="Q741" s="435"/>
      <c r="R741" s="314"/>
      <c r="S741" s="777"/>
      <c r="T741" s="314"/>
      <c r="U741" s="778"/>
      <c r="V741" s="315"/>
      <c r="W741" s="779"/>
      <c r="X741" s="780"/>
      <c r="Y741" s="314"/>
      <c r="Z741" s="314"/>
      <c r="AA741" s="314"/>
      <c r="AB741" s="324"/>
      <c r="AC741" s="180"/>
      <c r="AD741" s="180"/>
      <c r="AE741" s="322"/>
      <c r="AF741" s="132"/>
      <c r="AG741" s="132"/>
    </row>
    <row r="742">
      <c r="A742" s="480"/>
      <c r="B742" s="313"/>
      <c r="C742" s="437"/>
      <c r="D742" s="313"/>
      <c r="E742" s="737"/>
      <c r="F742" s="314"/>
      <c r="G742" s="318"/>
      <c r="H742" s="744"/>
      <c r="I742" s="314"/>
      <c r="J742" s="435"/>
      <c r="K742" s="435"/>
      <c r="L742" s="776"/>
      <c r="M742" s="435"/>
      <c r="N742" s="740"/>
      <c r="O742" s="315"/>
      <c r="P742" s="435"/>
      <c r="Q742" s="435"/>
      <c r="R742" s="314"/>
      <c r="S742" s="782"/>
      <c r="T742" s="435"/>
      <c r="U742" s="783"/>
      <c r="V742" s="744"/>
      <c r="W742" s="784"/>
      <c r="X742" s="785"/>
      <c r="Y742" s="435"/>
      <c r="Z742" s="435"/>
      <c r="AA742" s="435"/>
      <c r="AB742" s="324"/>
      <c r="AC742" s="180"/>
      <c r="AD742" s="180"/>
      <c r="AE742" s="322"/>
      <c r="AF742" s="132"/>
      <c r="AG742" s="132"/>
    </row>
    <row r="743">
      <c r="A743" s="476"/>
      <c r="AD743" s="176"/>
      <c r="AE743" s="322"/>
      <c r="AF743" s="132"/>
      <c r="AG743" s="132"/>
    </row>
    <row r="744">
      <c r="A744" s="178"/>
      <c r="AE744" s="322"/>
      <c r="AF744" s="132"/>
      <c r="AG744" s="132"/>
    </row>
    <row r="745">
      <c r="A745" s="481"/>
      <c r="B745" s="313"/>
      <c r="C745" s="437"/>
      <c r="D745" s="437"/>
      <c r="E745" s="753"/>
      <c r="F745" s="314"/>
      <c r="G745" s="740"/>
      <c r="H745" s="744"/>
      <c r="I745" s="435"/>
      <c r="J745" s="314"/>
      <c r="K745" s="435"/>
      <c r="L745" s="781"/>
      <c r="M745" s="435"/>
      <c r="N745" s="318"/>
      <c r="O745" s="315"/>
      <c r="P745" s="435"/>
      <c r="Q745" s="435"/>
      <c r="R745" s="435"/>
      <c r="S745" s="782"/>
      <c r="T745" s="435"/>
      <c r="U745" s="783"/>
      <c r="V745" s="744"/>
      <c r="W745" s="784"/>
      <c r="X745" s="785"/>
      <c r="Y745" s="435"/>
      <c r="Z745" s="435"/>
      <c r="AA745" s="435"/>
      <c r="AB745" s="324"/>
      <c r="AC745" s="180"/>
      <c r="AD745" s="155"/>
      <c r="AE745" s="322"/>
      <c r="AF745" s="132"/>
      <c r="AG745" s="132"/>
    </row>
    <row r="746">
      <c r="A746" s="435"/>
      <c r="B746" s="313"/>
      <c r="C746" s="437"/>
      <c r="D746" s="437"/>
      <c r="E746" s="737"/>
      <c r="F746" s="314"/>
      <c r="G746" s="318"/>
      <c r="H746" s="744"/>
      <c r="I746" s="314"/>
      <c r="J746" s="435"/>
      <c r="K746" s="435"/>
      <c r="L746" s="776"/>
      <c r="M746" s="314"/>
      <c r="N746" s="318"/>
      <c r="O746" s="315"/>
      <c r="P746" s="435"/>
      <c r="Q746" s="435"/>
      <c r="R746" s="435"/>
      <c r="S746" s="782"/>
      <c r="T746" s="435"/>
      <c r="U746" s="783"/>
      <c r="V746" s="744"/>
      <c r="W746" s="784"/>
      <c r="X746" s="785"/>
      <c r="Y746" s="435"/>
      <c r="Z746" s="435"/>
      <c r="AA746" s="435"/>
      <c r="AB746" s="324"/>
      <c r="AC746" s="180"/>
      <c r="AD746" s="155"/>
      <c r="AE746" s="322"/>
      <c r="AF746" s="132"/>
      <c r="AG746" s="132"/>
    </row>
    <row r="747">
      <c r="A747" s="482"/>
      <c r="B747" s="313"/>
      <c r="C747" s="313"/>
      <c r="D747" s="437"/>
      <c r="E747" s="737"/>
      <c r="F747" s="314"/>
      <c r="G747" s="318"/>
      <c r="H747" s="315"/>
      <c r="I747" s="314"/>
      <c r="J747" s="314"/>
      <c r="K747" s="435"/>
      <c r="L747" s="776"/>
      <c r="M747" s="314"/>
      <c r="N747" s="318"/>
      <c r="O747" s="315"/>
      <c r="P747" s="314"/>
      <c r="Q747" s="314"/>
      <c r="R747" s="435"/>
      <c r="S747" s="777"/>
      <c r="T747" s="314"/>
      <c r="U747" s="778"/>
      <c r="V747" s="315"/>
      <c r="W747" s="779"/>
      <c r="X747" s="780"/>
      <c r="Y747" s="314"/>
      <c r="Z747" s="314"/>
      <c r="AA747" s="314"/>
      <c r="AB747" s="324"/>
      <c r="AC747" s="180"/>
      <c r="AD747" s="155"/>
      <c r="AE747" s="322"/>
      <c r="AF747" s="132"/>
      <c r="AG747" s="132"/>
    </row>
    <row r="748">
      <c r="A748" s="482"/>
      <c r="B748" s="313"/>
      <c r="C748" s="437"/>
      <c r="D748" s="437"/>
      <c r="E748" s="753"/>
      <c r="F748" s="314"/>
      <c r="G748" s="318"/>
      <c r="H748" s="744"/>
      <c r="I748" s="435"/>
      <c r="J748" s="435"/>
      <c r="K748" s="435"/>
      <c r="L748" s="781"/>
      <c r="M748" s="435"/>
      <c r="N748" s="740"/>
      <c r="O748" s="315"/>
      <c r="P748" s="435"/>
      <c r="Q748" s="435"/>
      <c r="R748" s="435"/>
      <c r="S748" s="782"/>
      <c r="T748" s="435"/>
      <c r="U748" s="783"/>
      <c r="V748" s="744"/>
      <c r="W748" s="784"/>
      <c r="X748" s="785"/>
      <c r="Y748" s="435"/>
      <c r="Z748" s="435"/>
      <c r="AA748" s="435"/>
      <c r="AB748" s="324"/>
      <c r="AC748" s="180"/>
      <c r="AD748" s="155"/>
      <c r="AE748" s="322"/>
      <c r="AF748" s="132"/>
      <c r="AG748" s="132"/>
    </row>
    <row r="749">
      <c r="A749" s="314"/>
      <c r="B749" s="313"/>
      <c r="C749" s="313"/>
      <c r="D749" s="313"/>
      <c r="E749" s="737"/>
      <c r="F749" s="314"/>
      <c r="G749" s="318"/>
      <c r="H749" s="315"/>
      <c r="I749" s="314"/>
      <c r="J749" s="314"/>
      <c r="K749" s="314"/>
      <c r="L749" s="776"/>
      <c r="M749" s="314"/>
      <c r="N749" s="318"/>
      <c r="O749" s="315"/>
      <c r="P749" s="314"/>
      <c r="Q749" s="314"/>
      <c r="R749" s="314"/>
      <c r="S749" s="777"/>
      <c r="T749" s="314"/>
      <c r="U749" s="778"/>
      <c r="V749" s="315"/>
      <c r="W749" s="779"/>
      <c r="X749" s="780"/>
      <c r="Y749" s="314"/>
      <c r="Z749" s="314"/>
      <c r="AA749" s="314"/>
      <c r="AB749" s="483"/>
      <c r="AD749" s="484"/>
      <c r="AE749" s="322"/>
      <c r="AF749" s="132"/>
      <c r="AG749" s="132"/>
    </row>
    <row r="750">
      <c r="A750" s="314"/>
      <c r="B750" s="313"/>
      <c r="C750" s="313"/>
      <c r="D750" s="313"/>
      <c r="E750" s="737"/>
      <c r="F750" s="314"/>
      <c r="G750" s="318"/>
      <c r="H750" s="315"/>
      <c r="I750" s="314"/>
      <c r="J750" s="314"/>
      <c r="K750" s="314"/>
      <c r="L750" s="776"/>
      <c r="M750" s="314"/>
      <c r="N750" s="318"/>
      <c r="O750" s="315"/>
      <c r="P750" s="314"/>
      <c r="Q750" s="314"/>
      <c r="R750" s="314"/>
      <c r="S750" s="777"/>
      <c r="T750" s="314"/>
      <c r="U750" s="778"/>
      <c r="V750" s="315"/>
      <c r="W750" s="779"/>
      <c r="X750" s="780"/>
      <c r="Y750" s="314"/>
      <c r="Z750" s="314"/>
      <c r="AA750" s="314"/>
      <c r="AB750" s="324"/>
      <c r="AC750" s="155"/>
      <c r="AD750" s="155"/>
      <c r="AE750" s="322"/>
      <c r="AF750" s="132"/>
      <c r="AG750" s="132"/>
    </row>
    <row r="751">
      <c r="A751" s="314"/>
      <c r="B751" s="313"/>
      <c r="C751" s="313"/>
      <c r="D751" s="313"/>
      <c r="E751" s="737"/>
      <c r="F751" s="314"/>
      <c r="G751" s="318"/>
      <c r="H751" s="315"/>
      <c r="I751" s="314"/>
      <c r="J751" s="314"/>
      <c r="K751" s="314"/>
      <c r="L751" s="776"/>
      <c r="M751" s="314"/>
      <c r="N751" s="318"/>
      <c r="O751" s="315"/>
      <c r="P751" s="314"/>
      <c r="Q751" s="314"/>
      <c r="R751" s="314"/>
      <c r="S751" s="777"/>
      <c r="T751" s="314"/>
      <c r="U751" s="778"/>
      <c r="V751" s="315"/>
      <c r="W751" s="779"/>
      <c r="X751" s="780"/>
      <c r="Y751" s="314"/>
      <c r="Z751" s="314"/>
      <c r="AA751" s="314"/>
      <c r="AB751" s="324"/>
      <c r="AC751" s="155"/>
      <c r="AD751" s="155"/>
      <c r="AE751" s="322"/>
      <c r="AF751" s="132"/>
      <c r="AG751" s="132"/>
    </row>
    <row r="752">
      <c r="A752" s="314"/>
      <c r="B752" s="313"/>
      <c r="C752" s="313"/>
      <c r="D752" s="313"/>
      <c r="E752" s="737"/>
      <c r="F752" s="314"/>
      <c r="G752" s="318"/>
      <c r="H752" s="315"/>
      <c r="I752" s="314"/>
      <c r="J752" s="314"/>
      <c r="K752" s="314"/>
      <c r="L752" s="776"/>
      <c r="M752" s="314"/>
      <c r="N752" s="318"/>
      <c r="O752" s="315"/>
      <c r="P752" s="314"/>
      <c r="Q752" s="314"/>
      <c r="R752" s="314"/>
      <c r="S752" s="777"/>
      <c r="T752" s="314"/>
      <c r="U752" s="778"/>
      <c r="V752" s="315"/>
      <c r="W752" s="779"/>
      <c r="X752" s="780"/>
      <c r="Y752" s="314"/>
      <c r="Z752" s="314"/>
      <c r="AA752" s="314"/>
      <c r="AB752" s="324"/>
      <c r="AC752" s="155"/>
      <c r="AD752" s="155"/>
      <c r="AE752" s="322"/>
      <c r="AF752" s="132"/>
      <c r="AG752" s="132"/>
    </row>
    <row r="753">
      <c r="A753" s="314"/>
      <c r="B753" s="313"/>
      <c r="C753" s="313"/>
      <c r="D753" s="313"/>
      <c r="E753" s="737"/>
      <c r="F753" s="314"/>
      <c r="G753" s="318"/>
      <c r="H753" s="315"/>
      <c r="I753" s="314"/>
      <c r="J753" s="314"/>
      <c r="K753" s="314"/>
      <c r="L753" s="776"/>
      <c r="M753" s="314"/>
      <c r="N753" s="318"/>
      <c r="O753" s="315"/>
      <c r="P753" s="314"/>
      <c r="Q753" s="314"/>
      <c r="R753" s="314"/>
      <c r="S753" s="777"/>
      <c r="T753" s="314"/>
      <c r="U753" s="778"/>
      <c r="V753" s="315"/>
      <c r="W753" s="779"/>
      <c r="X753" s="780"/>
      <c r="Y753" s="314"/>
      <c r="Z753" s="314"/>
      <c r="AA753" s="314"/>
      <c r="AB753" s="324"/>
      <c r="AC753" s="155"/>
      <c r="AD753" s="155"/>
      <c r="AE753" s="322"/>
      <c r="AF753" s="132"/>
      <c r="AG753" s="132"/>
    </row>
    <row r="754">
      <c r="A754" s="314"/>
      <c r="B754" s="313"/>
      <c r="C754" s="313"/>
      <c r="D754" s="313"/>
      <c r="E754" s="737"/>
      <c r="F754" s="314"/>
      <c r="G754" s="318"/>
      <c r="H754" s="315"/>
      <c r="I754" s="314"/>
      <c r="J754" s="314"/>
      <c r="K754" s="314"/>
      <c r="L754" s="776"/>
      <c r="M754" s="314"/>
      <c r="N754" s="318"/>
      <c r="O754" s="315"/>
      <c r="P754" s="314"/>
      <c r="Q754" s="314"/>
      <c r="R754" s="314"/>
      <c r="S754" s="777"/>
      <c r="T754" s="314"/>
      <c r="U754" s="778"/>
      <c r="V754" s="315"/>
      <c r="W754" s="779"/>
      <c r="X754" s="780"/>
      <c r="Y754" s="314"/>
      <c r="Z754" s="314"/>
      <c r="AA754" s="314"/>
      <c r="AB754" s="324"/>
      <c r="AC754" s="155"/>
      <c r="AD754" s="155"/>
      <c r="AE754" s="322"/>
      <c r="AF754" s="132"/>
      <c r="AG754" s="132"/>
    </row>
    <row r="755">
      <c r="A755" s="314"/>
      <c r="B755" s="313"/>
      <c r="C755" s="313"/>
      <c r="D755" s="313"/>
      <c r="E755" s="737"/>
      <c r="F755" s="314"/>
      <c r="G755" s="318"/>
      <c r="H755" s="315"/>
      <c r="I755" s="314"/>
      <c r="J755" s="314"/>
      <c r="K755" s="314"/>
      <c r="L755" s="776"/>
      <c r="M755" s="314"/>
      <c r="N755" s="318"/>
      <c r="O755" s="315"/>
      <c r="P755" s="314"/>
      <c r="Q755" s="314"/>
      <c r="R755" s="314"/>
      <c r="S755" s="777"/>
      <c r="T755" s="314"/>
      <c r="U755" s="778"/>
      <c r="V755" s="315"/>
      <c r="W755" s="779"/>
      <c r="X755" s="780"/>
      <c r="Y755" s="314"/>
      <c r="Z755" s="314"/>
      <c r="AA755" s="314"/>
      <c r="AB755" s="324"/>
      <c r="AC755" s="155"/>
      <c r="AD755" s="155"/>
      <c r="AE755" s="322"/>
      <c r="AF755" s="132"/>
      <c r="AG755" s="132"/>
    </row>
    <row r="756">
      <c r="A756" s="314"/>
      <c r="B756" s="313"/>
      <c r="C756" s="313"/>
      <c r="D756" s="313"/>
      <c r="E756" s="737"/>
      <c r="F756" s="314"/>
      <c r="G756" s="318"/>
      <c r="H756" s="315"/>
      <c r="I756" s="314"/>
      <c r="J756" s="314"/>
      <c r="K756" s="314"/>
      <c r="L756" s="776"/>
      <c r="M756" s="314"/>
      <c r="N756" s="318"/>
      <c r="O756" s="315"/>
      <c r="P756" s="314"/>
      <c r="Q756" s="314"/>
      <c r="R756" s="314"/>
      <c r="S756" s="777"/>
      <c r="T756" s="314"/>
      <c r="U756" s="778"/>
      <c r="V756" s="315"/>
      <c r="W756" s="779"/>
      <c r="X756" s="780"/>
      <c r="Y756" s="314"/>
      <c r="Z756" s="314"/>
      <c r="AA756" s="314"/>
      <c r="AB756" s="324"/>
      <c r="AC756" s="155"/>
      <c r="AD756" s="155"/>
      <c r="AE756" s="322"/>
      <c r="AF756" s="132"/>
      <c r="AG756" s="132"/>
    </row>
    <row r="757">
      <c r="A757" s="314"/>
      <c r="B757" s="313"/>
      <c r="C757" s="313"/>
      <c r="D757" s="313"/>
      <c r="E757" s="737"/>
      <c r="F757" s="314"/>
      <c r="G757" s="318"/>
      <c r="H757" s="315"/>
      <c r="I757" s="314"/>
      <c r="J757" s="314"/>
      <c r="K757" s="314"/>
      <c r="L757" s="776"/>
      <c r="M757" s="314"/>
      <c r="N757" s="318"/>
      <c r="O757" s="315"/>
      <c r="P757" s="314"/>
      <c r="Q757" s="314"/>
      <c r="R757" s="314"/>
      <c r="S757" s="777"/>
      <c r="T757" s="314"/>
      <c r="U757" s="778"/>
      <c r="V757" s="315"/>
      <c r="W757" s="779"/>
      <c r="X757" s="780"/>
      <c r="Y757" s="314"/>
      <c r="Z757" s="314"/>
      <c r="AA757" s="314"/>
      <c r="AB757" s="324"/>
      <c r="AC757" s="155"/>
      <c r="AD757" s="155"/>
      <c r="AE757" s="322"/>
      <c r="AF757" s="132"/>
      <c r="AG757" s="132"/>
    </row>
    <row r="758">
      <c r="A758" s="314"/>
      <c r="B758" s="313"/>
      <c r="C758" s="313"/>
      <c r="D758" s="313"/>
      <c r="E758" s="737"/>
      <c r="F758" s="314"/>
      <c r="G758" s="318"/>
      <c r="H758" s="315"/>
      <c r="I758" s="314"/>
      <c r="J758" s="314"/>
      <c r="K758" s="314"/>
      <c r="L758" s="776"/>
      <c r="M758" s="314"/>
      <c r="N758" s="318"/>
      <c r="O758" s="315"/>
      <c r="P758" s="314"/>
      <c r="Q758" s="314"/>
      <c r="R758" s="314"/>
      <c r="S758" s="777"/>
      <c r="T758" s="314"/>
      <c r="U758" s="778"/>
      <c r="V758" s="315"/>
      <c r="W758" s="779"/>
      <c r="X758" s="780"/>
      <c r="Y758" s="314"/>
      <c r="Z758" s="314"/>
      <c r="AA758" s="314"/>
      <c r="AB758" s="324"/>
      <c r="AC758" s="155"/>
      <c r="AD758" s="155"/>
      <c r="AE758" s="322"/>
      <c r="AF758" s="132"/>
      <c r="AG758" s="132"/>
    </row>
    <row r="759">
      <c r="A759" s="314"/>
      <c r="B759" s="313"/>
      <c r="C759" s="313"/>
      <c r="D759" s="313"/>
      <c r="E759" s="737"/>
      <c r="F759" s="314"/>
      <c r="G759" s="318"/>
      <c r="H759" s="315"/>
      <c r="I759" s="314"/>
      <c r="J759" s="314"/>
      <c r="K759" s="314"/>
      <c r="L759" s="776"/>
      <c r="M759" s="314"/>
      <c r="N759" s="318"/>
      <c r="O759" s="315"/>
      <c r="P759" s="314"/>
      <c r="Q759" s="314"/>
      <c r="R759" s="314"/>
      <c r="S759" s="777"/>
      <c r="T759" s="314"/>
      <c r="U759" s="778"/>
      <c r="V759" s="315"/>
      <c r="W759" s="779"/>
      <c r="X759" s="780"/>
      <c r="Y759" s="314"/>
      <c r="Z759" s="314"/>
      <c r="AA759" s="314"/>
      <c r="AB759" s="324"/>
      <c r="AC759" s="155"/>
      <c r="AD759" s="155"/>
      <c r="AE759" s="322"/>
      <c r="AF759" s="132"/>
      <c r="AG759" s="132"/>
    </row>
    <row r="760">
      <c r="A760" s="314"/>
      <c r="B760" s="313"/>
      <c r="C760" s="313"/>
      <c r="D760" s="313"/>
      <c r="E760" s="737"/>
      <c r="F760" s="314"/>
      <c r="G760" s="318"/>
      <c r="H760" s="315"/>
      <c r="I760" s="314"/>
      <c r="J760" s="314"/>
      <c r="K760" s="314"/>
      <c r="L760" s="776"/>
      <c r="M760" s="314"/>
      <c r="N760" s="318"/>
      <c r="O760" s="315"/>
      <c r="P760" s="314"/>
      <c r="Q760" s="314"/>
      <c r="R760" s="314"/>
      <c r="S760" s="777"/>
      <c r="T760" s="314"/>
      <c r="U760" s="778"/>
      <c r="V760" s="315"/>
      <c r="W760" s="779"/>
      <c r="X760" s="780"/>
      <c r="Y760" s="314"/>
      <c r="Z760" s="314"/>
      <c r="AA760" s="314"/>
      <c r="AB760" s="324"/>
      <c r="AC760" s="155"/>
      <c r="AD760" s="155"/>
      <c r="AE760" s="322"/>
      <c r="AF760" s="132"/>
      <c r="AG760" s="132"/>
    </row>
    <row r="761">
      <c r="A761" s="314"/>
      <c r="B761" s="313"/>
      <c r="C761" s="313"/>
      <c r="D761" s="313"/>
      <c r="E761" s="737"/>
      <c r="F761" s="314"/>
      <c r="G761" s="318"/>
      <c r="H761" s="315"/>
      <c r="I761" s="314"/>
      <c r="J761" s="314"/>
      <c r="K761" s="314"/>
      <c r="L761" s="776"/>
      <c r="M761" s="314"/>
      <c r="N761" s="318"/>
      <c r="O761" s="315"/>
      <c r="P761" s="314"/>
      <c r="Q761" s="314"/>
      <c r="R761" s="314"/>
      <c r="S761" s="777"/>
      <c r="T761" s="314"/>
      <c r="U761" s="778"/>
      <c r="V761" s="315"/>
      <c r="W761" s="779"/>
      <c r="X761" s="780"/>
      <c r="Y761" s="314"/>
      <c r="Z761" s="314"/>
      <c r="AA761" s="314"/>
      <c r="AB761" s="324"/>
      <c r="AC761" s="155"/>
      <c r="AD761" s="155"/>
      <c r="AE761" s="322"/>
      <c r="AF761" s="132"/>
      <c r="AG761" s="132"/>
    </row>
    <row r="762">
      <c r="A762" s="314"/>
      <c r="B762" s="313"/>
      <c r="C762" s="313"/>
      <c r="D762" s="313"/>
      <c r="E762" s="737"/>
      <c r="F762" s="314"/>
      <c r="G762" s="318"/>
      <c r="H762" s="315"/>
      <c r="I762" s="314"/>
      <c r="J762" s="314"/>
      <c r="K762" s="314"/>
      <c r="L762" s="776"/>
      <c r="M762" s="314"/>
      <c r="N762" s="318"/>
      <c r="O762" s="315"/>
      <c r="P762" s="314"/>
      <c r="Q762" s="314"/>
      <c r="R762" s="314"/>
      <c r="S762" s="777"/>
      <c r="T762" s="314"/>
      <c r="U762" s="778"/>
      <c r="V762" s="315"/>
      <c r="W762" s="779"/>
      <c r="X762" s="780"/>
      <c r="Y762" s="314"/>
      <c r="Z762" s="314"/>
      <c r="AA762" s="314"/>
      <c r="AB762" s="324"/>
      <c r="AC762" s="155"/>
      <c r="AD762" s="155"/>
      <c r="AE762" s="322"/>
      <c r="AF762" s="132"/>
      <c r="AG762" s="132"/>
    </row>
    <row r="763">
      <c r="A763" s="314"/>
      <c r="B763" s="313"/>
      <c r="C763" s="313"/>
      <c r="D763" s="313"/>
      <c r="E763" s="737"/>
      <c r="F763" s="314"/>
      <c r="G763" s="318"/>
      <c r="H763" s="315"/>
      <c r="I763" s="314"/>
      <c r="J763" s="314"/>
      <c r="K763" s="314"/>
      <c r="L763" s="776"/>
      <c r="M763" s="314"/>
      <c r="N763" s="318"/>
      <c r="O763" s="315"/>
      <c r="P763" s="314"/>
      <c r="Q763" s="314"/>
      <c r="R763" s="314"/>
      <c r="S763" s="777"/>
      <c r="T763" s="314"/>
      <c r="U763" s="778"/>
      <c r="V763" s="315"/>
      <c r="W763" s="779"/>
      <c r="X763" s="780"/>
      <c r="Y763" s="314"/>
      <c r="Z763" s="314"/>
      <c r="AA763" s="314"/>
      <c r="AB763" s="324"/>
      <c r="AC763" s="155"/>
      <c r="AD763" s="155"/>
      <c r="AE763" s="322"/>
      <c r="AF763" s="132"/>
      <c r="AG763" s="132"/>
    </row>
    <row r="764">
      <c r="A764" s="314"/>
      <c r="B764" s="313"/>
      <c r="C764" s="313"/>
      <c r="D764" s="313"/>
      <c r="E764" s="737"/>
      <c r="F764" s="314"/>
      <c r="G764" s="318"/>
      <c r="H764" s="315"/>
      <c r="I764" s="314"/>
      <c r="J764" s="314"/>
      <c r="K764" s="314"/>
      <c r="L764" s="776"/>
      <c r="M764" s="314"/>
      <c r="N764" s="318"/>
      <c r="O764" s="315"/>
      <c r="P764" s="314"/>
      <c r="Q764" s="314"/>
      <c r="R764" s="314"/>
      <c r="S764" s="777"/>
      <c r="T764" s="314"/>
      <c r="U764" s="778"/>
      <c r="V764" s="315"/>
      <c r="W764" s="779"/>
      <c r="X764" s="780"/>
      <c r="Y764" s="314"/>
      <c r="Z764" s="314"/>
      <c r="AA764" s="314"/>
      <c r="AB764" s="324"/>
      <c r="AC764" s="155"/>
      <c r="AD764" s="155"/>
      <c r="AE764" s="322"/>
      <c r="AF764" s="132"/>
      <c r="AG764" s="132"/>
    </row>
    <row r="765">
      <c r="A765" s="314"/>
      <c r="B765" s="313"/>
      <c r="C765" s="313"/>
      <c r="D765" s="313"/>
      <c r="E765" s="737"/>
      <c r="F765" s="314"/>
      <c r="G765" s="318"/>
      <c r="H765" s="315"/>
      <c r="I765" s="314"/>
      <c r="J765" s="314"/>
      <c r="K765" s="314"/>
      <c r="L765" s="776"/>
      <c r="M765" s="314"/>
      <c r="N765" s="318"/>
      <c r="O765" s="315"/>
      <c r="P765" s="314"/>
      <c r="Q765" s="314"/>
      <c r="R765" s="314"/>
      <c r="S765" s="777"/>
      <c r="T765" s="314"/>
      <c r="U765" s="778"/>
      <c r="V765" s="315"/>
      <c r="W765" s="779"/>
      <c r="X765" s="780"/>
      <c r="Y765" s="314"/>
      <c r="Z765" s="314"/>
      <c r="AA765" s="314"/>
      <c r="AB765" s="324"/>
      <c r="AC765" s="155"/>
      <c r="AD765" s="155"/>
      <c r="AE765" s="322"/>
      <c r="AF765" s="132"/>
      <c r="AG765" s="132"/>
    </row>
    <row r="766">
      <c r="A766" s="314"/>
      <c r="B766" s="313"/>
      <c r="C766" s="313"/>
      <c r="D766" s="313"/>
      <c r="E766" s="737"/>
      <c r="F766" s="314"/>
      <c r="G766" s="318"/>
      <c r="H766" s="315"/>
      <c r="I766" s="314"/>
      <c r="J766" s="314"/>
      <c r="K766" s="314"/>
      <c r="L766" s="776"/>
      <c r="M766" s="314"/>
      <c r="N766" s="318"/>
      <c r="O766" s="315"/>
      <c r="P766" s="314"/>
      <c r="Q766" s="314"/>
      <c r="R766" s="314"/>
      <c r="S766" s="777"/>
      <c r="T766" s="314"/>
      <c r="U766" s="778"/>
      <c r="V766" s="315"/>
      <c r="W766" s="779"/>
      <c r="X766" s="780"/>
      <c r="Y766" s="314"/>
      <c r="Z766" s="314"/>
      <c r="AA766" s="314"/>
      <c r="AB766" s="324"/>
      <c r="AC766" s="155"/>
      <c r="AD766" s="155"/>
      <c r="AE766" s="322"/>
      <c r="AF766" s="132"/>
      <c r="AG766" s="132"/>
    </row>
    <row r="767">
      <c r="A767" s="314"/>
      <c r="B767" s="313"/>
      <c r="C767" s="313"/>
      <c r="D767" s="313"/>
      <c r="E767" s="737"/>
      <c r="F767" s="314"/>
      <c r="G767" s="318"/>
      <c r="H767" s="315"/>
      <c r="I767" s="314"/>
      <c r="J767" s="314"/>
      <c r="K767" s="314"/>
      <c r="L767" s="776"/>
      <c r="M767" s="314"/>
      <c r="N767" s="318"/>
      <c r="O767" s="315"/>
      <c r="P767" s="314"/>
      <c r="Q767" s="314"/>
      <c r="R767" s="314"/>
      <c r="S767" s="777"/>
      <c r="T767" s="314"/>
      <c r="U767" s="778"/>
      <c r="V767" s="315"/>
      <c r="W767" s="779"/>
      <c r="X767" s="780"/>
      <c r="Y767" s="314"/>
      <c r="Z767" s="314"/>
      <c r="AA767" s="314"/>
      <c r="AB767" s="324"/>
      <c r="AC767" s="155"/>
      <c r="AD767" s="155"/>
      <c r="AE767" s="322"/>
      <c r="AF767" s="132"/>
      <c r="AG767" s="132"/>
    </row>
    <row r="768">
      <c r="A768" s="314"/>
      <c r="B768" s="313"/>
      <c r="C768" s="313"/>
      <c r="D768" s="313"/>
      <c r="E768" s="737"/>
      <c r="F768" s="314"/>
      <c r="G768" s="318"/>
      <c r="H768" s="315"/>
      <c r="I768" s="314"/>
      <c r="J768" s="314"/>
      <c r="K768" s="314"/>
      <c r="L768" s="776"/>
      <c r="M768" s="314"/>
      <c r="N768" s="318"/>
      <c r="O768" s="315"/>
      <c r="P768" s="314"/>
      <c r="Q768" s="314"/>
      <c r="R768" s="314"/>
      <c r="S768" s="777"/>
      <c r="T768" s="314"/>
      <c r="U768" s="778"/>
      <c r="V768" s="315"/>
      <c r="W768" s="779"/>
      <c r="X768" s="780"/>
      <c r="Y768" s="314"/>
      <c r="Z768" s="314"/>
      <c r="AA768" s="314"/>
      <c r="AB768" s="324"/>
      <c r="AC768" s="155"/>
      <c r="AD768" s="155"/>
      <c r="AE768" s="322"/>
      <c r="AF768" s="132"/>
      <c r="AG768" s="132"/>
    </row>
    <row r="769">
      <c r="A769" s="314"/>
      <c r="B769" s="313"/>
      <c r="C769" s="313"/>
      <c r="D769" s="313"/>
      <c r="E769" s="737"/>
      <c r="F769" s="314"/>
      <c r="G769" s="318"/>
      <c r="H769" s="315"/>
      <c r="I769" s="314"/>
      <c r="J769" s="314"/>
      <c r="K769" s="314"/>
      <c r="L769" s="776"/>
      <c r="M769" s="314"/>
      <c r="N769" s="318"/>
      <c r="O769" s="315"/>
      <c r="P769" s="314"/>
      <c r="Q769" s="314"/>
      <c r="R769" s="314"/>
      <c r="S769" s="777"/>
      <c r="T769" s="314"/>
      <c r="U769" s="778"/>
      <c r="V769" s="315"/>
      <c r="W769" s="779"/>
      <c r="X769" s="780"/>
      <c r="Y769" s="314"/>
      <c r="Z769" s="314"/>
      <c r="AA769" s="314"/>
      <c r="AB769" s="324"/>
      <c r="AC769" s="155"/>
      <c r="AD769" s="155"/>
      <c r="AE769" s="322"/>
      <c r="AF769" s="132"/>
      <c r="AG769" s="132"/>
    </row>
    <row r="770">
      <c r="A770" s="314"/>
      <c r="B770" s="313"/>
      <c r="C770" s="313"/>
      <c r="D770" s="313"/>
      <c r="E770" s="737"/>
      <c r="F770" s="314"/>
      <c r="G770" s="318"/>
      <c r="H770" s="315"/>
      <c r="I770" s="314"/>
      <c r="J770" s="314"/>
      <c r="K770" s="314"/>
      <c r="L770" s="776"/>
      <c r="M770" s="314"/>
      <c r="N770" s="318"/>
      <c r="O770" s="315"/>
      <c r="P770" s="314"/>
      <c r="Q770" s="314"/>
      <c r="R770" s="314"/>
      <c r="S770" s="777"/>
      <c r="T770" s="314"/>
      <c r="U770" s="778"/>
      <c r="V770" s="315"/>
      <c r="W770" s="779"/>
      <c r="X770" s="780"/>
      <c r="Y770" s="314"/>
      <c r="Z770" s="314"/>
      <c r="AA770" s="314"/>
      <c r="AB770" s="324"/>
      <c r="AC770" s="155"/>
      <c r="AD770" s="155"/>
      <c r="AE770" s="322"/>
      <c r="AF770" s="132"/>
      <c r="AG770" s="132"/>
    </row>
    <row r="771">
      <c r="A771" s="314"/>
      <c r="B771" s="313"/>
      <c r="C771" s="313"/>
      <c r="D771" s="313"/>
      <c r="E771" s="737"/>
      <c r="F771" s="314"/>
      <c r="G771" s="318"/>
      <c r="H771" s="315"/>
      <c r="I771" s="314"/>
      <c r="J771" s="314"/>
      <c r="K771" s="314"/>
      <c r="L771" s="776"/>
      <c r="M771" s="314"/>
      <c r="N771" s="318"/>
      <c r="O771" s="315"/>
      <c r="P771" s="314"/>
      <c r="Q771" s="314"/>
      <c r="R771" s="314"/>
      <c r="S771" s="777"/>
      <c r="T771" s="314"/>
      <c r="U771" s="778"/>
      <c r="V771" s="315"/>
      <c r="W771" s="779"/>
      <c r="X771" s="780"/>
      <c r="Y771" s="314"/>
      <c r="Z771" s="314"/>
      <c r="AA771" s="314"/>
      <c r="AB771" s="324"/>
      <c r="AC771" s="155"/>
      <c r="AD771" s="155"/>
      <c r="AE771" s="322"/>
      <c r="AF771" s="132"/>
      <c r="AG771" s="132"/>
    </row>
    <row r="772">
      <c r="A772" s="314"/>
      <c r="B772" s="313"/>
      <c r="C772" s="313"/>
      <c r="D772" s="313"/>
      <c r="E772" s="737"/>
      <c r="F772" s="314"/>
      <c r="G772" s="318"/>
      <c r="H772" s="315"/>
      <c r="I772" s="314"/>
      <c r="J772" s="314"/>
      <c r="K772" s="314"/>
      <c r="L772" s="776"/>
      <c r="M772" s="314"/>
      <c r="N772" s="318"/>
      <c r="O772" s="315"/>
      <c r="P772" s="314"/>
      <c r="Q772" s="314"/>
      <c r="R772" s="314"/>
      <c r="S772" s="777"/>
      <c r="T772" s="314"/>
      <c r="U772" s="778"/>
      <c r="V772" s="315"/>
      <c r="W772" s="779"/>
      <c r="X772" s="780"/>
      <c r="Y772" s="314"/>
      <c r="Z772" s="314"/>
      <c r="AA772" s="314"/>
      <c r="AB772" s="324"/>
      <c r="AC772" s="155"/>
      <c r="AD772" s="155"/>
      <c r="AE772" s="322"/>
      <c r="AF772" s="132"/>
      <c r="AG772" s="132"/>
    </row>
    <row r="773">
      <c r="A773" s="314"/>
      <c r="B773" s="313"/>
      <c r="C773" s="313"/>
      <c r="D773" s="313"/>
      <c r="E773" s="737"/>
      <c r="F773" s="314"/>
      <c r="G773" s="318"/>
      <c r="H773" s="315"/>
      <c r="I773" s="314"/>
      <c r="J773" s="314"/>
      <c r="K773" s="314"/>
      <c r="L773" s="776"/>
      <c r="M773" s="314"/>
      <c r="N773" s="318"/>
      <c r="O773" s="315"/>
      <c r="P773" s="314"/>
      <c r="Q773" s="314"/>
      <c r="R773" s="314"/>
      <c r="S773" s="777"/>
      <c r="T773" s="314"/>
      <c r="U773" s="778"/>
      <c r="V773" s="315"/>
      <c r="W773" s="779"/>
      <c r="X773" s="780"/>
      <c r="Y773" s="314"/>
      <c r="Z773" s="314"/>
      <c r="AA773" s="314"/>
      <c r="AB773" s="324"/>
      <c r="AC773" s="155"/>
      <c r="AD773" s="155"/>
      <c r="AE773" s="322"/>
      <c r="AF773" s="132"/>
      <c r="AG773" s="132"/>
    </row>
    <row r="774">
      <c r="A774" s="314"/>
      <c r="B774" s="313"/>
      <c r="C774" s="313"/>
      <c r="D774" s="313"/>
      <c r="E774" s="737"/>
      <c r="F774" s="314"/>
      <c r="G774" s="318"/>
      <c r="H774" s="315"/>
      <c r="I774" s="314"/>
      <c r="J774" s="314"/>
      <c r="K774" s="314"/>
      <c r="L774" s="776"/>
      <c r="M774" s="314"/>
      <c r="N774" s="318"/>
      <c r="O774" s="315"/>
      <c r="P774" s="314"/>
      <c r="Q774" s="314"/>
      <c r="R774" s="314"/>
      <c r="S774" s="777"/>
      <c r="T774" s="314"/>
      <c r="U774" s="778"/>
      <c r="V774" s="315"/>
      <c r="W774" s="779"/>
      <c r="X774" s="780"/>
      <c r="Y774" s="314"/>
      <c r="Z774" s="314"/>
      <c r="AA774" s="314"/>
      <c r="AB774" s="324"/>
      <c r="AC774" s="155"/>
      <c r="AD774" s="155"/>
      <c r="AE774" s="322"/>
      <c r="AF774" s="132"/>
      <c r="AG774" s="132"/>
    </row>
    <row r="775">
      <c r="A775" s="314"/>
      <c r="B775" s="313"/>
      <c r="C775" s="313"/>
      <c r="D775" s="313"/>
      <c r="E775" s="737"/>
      <c r="F775" s="314"/>
      <c r="G775" s="318"/>
      <c r="H775" s="315"/>
      <c r="I775" s="314"/>
      <c r="J775" s="314"/>
      <c r="K775" s="314"/>
      <c r="L775" s="776"/>
      <c r="M775" s="314"/>
      <c r="N775" s="318"/>
      <c r="O775" s="315"/>
      <c r="P775" s="314"/>
      <c r="Q775" s="314"/>
      <c r="R775" s="314"/>
      <c r="S775" s="777"/>
      <c r="T775" s="314"/>
      <c r="U775" s="778"/>
      <c r="V775" s="315"/>
      <c r="W775" s="779"/>
      <c r="X775" s="780"/>
      <c r="Y775" s="314"/>
      <c r="Z775" s="314"/>
      <c r="AA775" s="314"/>
      <c r="AB775" s="324"/>
      <c r="AC775" s="155"/>
      <c r="AD775" s="155"/>
      <c r="AE775" s="322"/>
      <c r="AF775" s="132"/>
      <c r="AG775" s="132"/>
    </row>
    <row r="776">
      <c r="A776" s="314"/>
      <c r="B776" s="313"/>
      <c r="C776" s="313"/>
      <c r="D776" s="313"/>
      <c r="E776" s="737"/>
      <c r="F776" s="314"/>
      <c r="G776" s="318"/>
      <c r="H776" s="315"/>
      <c r="I776" s="314"/>
      <c r="J776" s="314"/>
      <c r="K776" s="314"/>
      <c r="L776" s="776"/>
      <c r="M776" s="314"/>
      <c r="N776" s="318"/>
      <c r="O776" s="315"/>
      <c r="P776" s="314"/>
      <c r="Q776" s="314"/>
      <c r="R776" s="314"/>
      <c r="S776" s="777"/>
      <c r="T776" s="314"/>
      <c r="U776" s="778"/>
      <c r="V776" s="315"/>
      <c r="W776" s="779"/>
      <c r="X776" s="780"/>
      <c r="Y776" s="314"/>
      <c r="Z776" s="314"/>
      <c r="AA776" s="314"/>
      <c r="AB776" s="324"/>
      <c r="AC776" s="155"/>
      <c r="AD776" s="155"/>
      <c r="AE776" s="322"/>
      <c r="AF776" s="132"/>
      <c r="AG776" s="132"/>
    </row>
    <row r="777">
      <c r="A777" s="314"/>
      <c r="B777" s="313"/>
      <c r="C777" s="313"/>
      <c r="D777" s="313"/>
      <c r="E777" s="737"/>
      <c r="F777" s="314"/>
      <c r="G777" s="318"/>
      <c r="H777" s="315"/>
      <c r="I777" s="314"/>
      <c r="J777" s="314"/>
      <c r="K777" s="314"/>
      <c r="L777" s="776"/>
      <c r="M777" s="314"/>
      <c r="N777" s="318"/>
      <c r="O777" s="315"/>
      <c r="P777" s="314"/>
      <c r="Q777" s="314"/>
      <c r="R777" s="314"/>
      <c r="S777" s="777"/>
      <c r="T777" s="314"/>
      <c r="U777" s="778"/>
      <c r="V777" s="315"/>
      <c r="W777" s="779"/>
      <c r="X777" s="780"/>
      <c r="Y777" s="314"/>
      <c r="Z777" s="314"/>
      <c r="AA777" s="314"/>
      <c r="AB777" s="324"/>
      <c r="AC777" s="155"/>
      <c r="AD777" s="155"/>
      <c r="AE777" s="322"/>
      <c r="AF777" s="132"/>
      <c r="AG777" s="132"/>
    </row>
    <row r="778">
      <c r="A778" s="314"/>
      <c r="B778" s="313"/>
      <c r="C778" s="313"/>
      <c r="D778" s="313"/>
      <c r="E778" s="737"/>
      <c r="F778" s="314"/>
      <c r="G778" s="318"/>
      <c r="H778" s="315"/>
      <c r="I778" s="314"/>
      <c r="J778" s="314"/>
      <c r="K778" s="314"/>
      <c r="L778" s="776"/>
      <c r="M778" s="314"/>
      <c r="N778" s="318"/>
      <c r="O778" s="315"/>
      <c r="P778" s="314"/>
      <c r="Q778" s="314"/>
      <c r="R778" s="314"/>
      <c r="S778" s="777"/>
      <c r="T778" s="314"/>
      <c r="U778" s="778"/>
      <c r="V778" s="315"/>
      <c r="W778" s="779"/>
      <c r="X778" s="780"/>
      <c r="Y778" s="314"/>
      <c r="Z778" s="314"/>
      <c r="AA778" s="314"/>
      <c r="AB778" s="324"/>
      <c r="AC778" s="155"/>
      <c r="AD778" s="155"/>
      <c r="AE778" s="322"/>
      <c r="AF778" s="132"/>
      <c r="AG778" s="132"/>
    </row>
    <row r="779">
      <c r="A779" s="314"/>
      <c r="B779" s="313"/>
      <c r="C779" s="313"/>
      <c r="D779" s="313"/>
      <c r="E779" s="737"/>
      <c r="F779" s="314"/>
      <c r="G779" s="318"/>
      <c r="H779" s="315"/>
      <c r="I779" s="314"/>
      <c r="J779" s="314"/>
      <c r="K779" s="314"/>
      <c r="L779" s="776"/>
      <c r="M779" s="314"/>
      <c r="N779" s="318"/>
      <c r="O779" s="315"/>
      <c r="P779" s="314"/>
      <c r="Q779" s="314"/>
      <c r="R779" s="314"/>
      <c r="S779" s="777"/>
      <c r="T779" s="314"/>
      <c r="U779" s="778"/>
      <c r="V779" s="315"/>
      <c r="W779" s="779"/>
      <c r="X779" s="780"/>
      <c r="Y779" s="314"/>
      <c r="Z779" s="314"/>
      <c r="AA779" s="314"/>
      <c r="AB779" s="324"/>
      <c r="AC779" s="155"/>
      <c r="AD779" s="155"/>
      <c r="AE779" s="322"/>
      <c r="AF779" s="132"/>
      <c r="AG779" s="132"/>
    </row>
    <row r="780">
      <c r="A780" s="314"/>
      <c r="B780" s="313"/>
      <c r="C780" s="313"/>
      <c r="D780" s="313"/>
      <c r="E780" s="737"/>
      <c r="F780" s="314"/>
      <c r="G780" s="318"/>
      <c r="H780" s="315"/>
      <c r="I780" s="314"/>
      <c r="J780" s="314"/>
      <c r="K780" s="314"/>
      <c r="L780" s="776"/>
      <c r="M780" s="314"/>
      <c r="N780" s="318"/>
      <c r="O780" s="315"/>
      <c r="P780" s="314"/>
      <c r="Q780" s="314"/>
      <c r="R780" s="314"/>
      <c r="S780" s="777"/>
      <c r="T780" s="314"/>
      <c r="U780" s="778"/>
      <c r="V780" s="315"/>
      <c r="W780" s="779"/>
      <c r="X780" s="780"/>
      <c r="Y780" s="314"/>
      <c r="Z780" s="314"/>
      <c r="AA780" s="314"/>
      <c r="AB780" s="324"/>
      <c r="AC780" s="155"/>
      <c r="AD780" s="155"/>
      <c r="AE780" s="322"/>
      <c r="AF780" s="132"/>
      <c r="AG780" s="132"/>
    </row>
    <row r="781">
      <c r="A781" s="314"/>
      <c r="B781" s="313"/>
      <c r="C781" s="313"/>
      <c r="D781" s="313"/>
      <c r="E781" s="737"/>
      <c r="F781" s="314"/>
      <c r="G781" s="318"/>
      <c r="H781" s="315"/>
      <c r="I781" s="314"/>
      <c r="J781" s="314"/>
      <c r="K781" s="314"/>
      <c r="L781" s="776"/>
      <c r="M781" s="314"/>
      <c r="N781" s="318"/>
      <c r="O781" s="315"/>
      <c r="P781" s="314"/>
      <c r="Q781" s="314"/>
      <c r="R781" s="314"/>
      <c r="S781" s="777"/>
      <c r="T781" s="314"/>
      <c r="U781" s="778"/>
      <c r="V781" s="315"/>
      <c r="W781" s="779"/>
      <c r="X781" s="780"/>
      <c r="Y781" s="314"/>
      <c r="Z781" s="314"/>
      <c r="AA781" s="314"/>
      <c r="AB781" s="324"/>
      <c r="AC781" s="155"/>
      <c r="AD781" s="155"/>
      <c r="AE781" s="322"/>
      <c r="AF781" s="132"/>
      <c r="AG781" s="132"/>
    </row>
    <row r="782">
      <c r="A782" s="314"/>
      <c r="B782" s="313"/>
      <c r="C782" s="313"/>
      <c r="D782" s="313"/>
      <c r="E782" s="737"/>
      <c r="F782" s="314"/>
      <c r="G782" s="318"/>
      <c r="H782" s="315"/>
      <c r="I782" s="314"/>
      <c r="J782" s="314"/>
      <c r="K782" s="314"/>
      <c r="L782" s="776"/>
      <c r="M782" s="314"/>
      <c r="N782" s="318"/>
      <c r="O782" s="315"/>
      <c r="P782" s="314"/>
      <c r="Q782" s="314"/>
      <c r="R782" s="314"/>
      <c r="S782" s="777"/>
      <c r="T782" s="314"/>
      <c r="U782" s="778"/>
      <c r="V782" s="315"/>
      <c r="W782" s="779"/>
      <c r="X782" s="780"/>
      <c r="Y782" s="314"/>
      <c r="Z782" s="314"/>
      <c r="AA782" s="314"/>
      <c r="AB782" s="324"/>
      <c r="AC782" s="155"/>
      <c r="AD782" s="155"/>
      <c r="AE782" s="322"/>
      <c r="AF782" s="132"/>
      <c r="AG782" s="132"/>
    </row>
    <row r="783">
      <c r="A783" s="314"/>
      <c r="B783" s="313"/>
      <c r="C783" s="313"/>
      <c r="D783" s="313"/>
      <c r="E783" s="737"/>
      <c r="F783" s="314"/>
      <c r="G783" s="318"/>
      <c r="H783" s="315"/>
      <c r="I783" s="314"/>
      <c r="J783" s="314"/>
      <c r="K783" s="314"/>
      <c r="L783" s="776"/>
      <c r="M783" s="314"/>
      <c r="N783" s="318"/>
      <c r="O783" s="315"/>
      <c r="P783" s="314"/>
      <c r="Q783" s="314"/>
      <c r="R783" s="314"/>
      <c r="S783" s="777"/>
      <c r="T783" s="314"/>
      <c r="U783" s="778"/>
      <c r="V783" s="315"/>
      <c r="W783" s="779"/>
      <c r="X783" s="780"/>
      <c r="Y783" s="314"/>
      <c r="Z783" s="314"/>
      <c r="AA783" s="314"/>
      <c r="AB783" s="324"/>
      <c r="AC783" s="155"/>
      <c r="AD783" s="155"/>
      <c r="AE783" s="322"/>
      <c r="AF783" s="132"/>
      <c r="AG783" s="132"/>
    </row>
    <row r="784">
      <c r="A784" s="314"/>
      <c r="B784" s="313"/>
      <c r="C784" s="313"/>
      <c r="D784" s="313"/>
      <c r="E784" s="737"/>
      <c r="F784" s="314"/>
      <c r="G784" s="318"/>
      <c r="H784" s="315"/>
      <c r="I784" s="314"/>
      <c r="J784" s="314"/>
      <c r="K784" s="314"/>
      <c r="L784" s="776"/>
      <c r="M784" s="314"/>
      <c r="N784" s="318"/>
      <c r="O784" s="315"/>
      <c r="P784" s="314"/>
      <c r="Q784" s="314"/>
      <c r="R784" s="314"/>
      <c r="S784" s="777"/>
      <c r="T784" s="314"/>
      <c r="U784" s="778"/>
      <c r="V784" s="315"/>
      <c r="W784" s="779"/>
      <c r="X784" s="780"/>
      <c r="Y784" s="314"/>
      <c r="Z784" s="314"/>
      <c r="AA784" s="314"/>
      <c r="AB784" s="324"/>
      <c r="AC784" s="155"/>
      <c r="AD784" s="155"/>
      <c r="AE784" s="322"/>
      <c r="AF784" s="132"/>
      <c r="AG784" s="132"/>
    </row>
    <row r="785">
      <c r="A785" s="314"/>
      <c r="B785" s="313"/>
      <c r="C785" s="313"/>
      <c r="D785" s="313"/>
      <c r="E785" s="737"/>
      <c r="F785" s="314"/>
      <c r="G785" s="318"/>
      <c r="H785" s="315"/>
      <c r="I785" s="314"/>
      <c r="J785" s="314"/>
      <c r="K785" s="314"/>
      <c r="L785" s="776"/>
      <c r="M785" s="314"/>
      <c r="N785" s="318"/>
      <c r="O785" s="315"/>
      <c r="P785" s="314"/>
      <c r="Q785" s="314"/>
      <c r="R785" s="314"/>
      <c r="S785" s="777"/>
      <c r="T785" s="314"/>
      <c r="U785" s="778"/>
      <c r="V785" s="315"/>
      <c r="W785" s="779"/>
      <c r="X785" s="780"/>
      <c r="Y785" s="314"/>
      <c r="Z785" s="314"/>
      <c r="AA785" s="314"/>
      <c r="AB785" s="324"/>
      <c r="AC785" s="155"/>
      <c r="AD785" s="155"/>
      <c r="AE785" s="322"/>
      <c r="AF785" s="132"/>
      <c r="AG785" s="132"/>
    </row>
    <row r="786">
      <c r="A786" s="314"/>
      <c r="B786" s="313"/>
      <c r="C786" s="313"/>
      <c r="D786" s="313"/>
      <c r="E786" s="737"/>
      <c r="F786" s="314"/>
      <c r="G786" s="318"/>
      <c r="H786" s="315"/>
      <c r="I786" s="314"/>
      <c r="J786" s="314"/>
      <c r="K786" s="314"/>
      <c r="L786" s="776"/>
      <c r="M786" s="314"/>
      <c r="N786" s="318"/>
      <c r="O786" s="315"/>
      <c r="P786" s="314"/>
      <c r="Q786" s="314"/>
      <c r="R786" s="314"/>
      <c r="S786" s="777"/>
      <c r="T786" s="314"/>
      <c r="U786" s="778"/>
      <c r="V786" s="315"/>
      <c r="W786" s="779"/>
      <c r="X786" s="780"/>
      <c r="Y786" s="314"/>
      <c r="Z786" s="314"/>
      <c r="AA786" s="314"/>
      <c r="AB786" s="324"/>
      <c r="AC786" s="155"/>
      <c r="AD786" s="155"/>
      <c r="AE786" s="322"/>
      <c r="AF786" s="132"/>
      <c r="AG786" s="132"/>
    </row>
    <row r="787">
      <c r="A787" s="314"/>
      <c r="B787" s="313"/>
      <c r="C787" s="313"/>
      <c r="D787" s="313"/>
      <c r="E787" s="737"/>
      <c r="F787" s="314"/>
      <c r="G787" s="318"/>
      <c r="H787" s="315"/>
      <c r="I787" s="314"/>
      <c r="J787" s="314"/>
      <c r="K787" s="314"/>
      <c r="L787" s="776"/>
      <c r="M787" s="314"/>
      <c r="N787" s="318"/>
      <c r="O787" s="315"/>
      <c r="P787" s="314"/>
      <c r="Q787" s="314"/>
      <c r="R787" s="314"/>
      <c r="S787" s="777"/>
      <c r="T787" s="314"/>
      <c r="U787" s="778"/>
      <c r="V787" s="315"/>
      <c r="W787" s="779"/>
      <c r="X787" s="780"/>
      <c r="Y787" s="314"/>
      <c r="Z787" s="314"/>
      <c r="AA787" s="314"/>
      <c r="AB787" s="324"/>
      <c r="AC787" s="155"/>
      <c r="AD787" s="155"/>
      <c r="AE787" s="322"/>
      <c r="AF787" s="132"/>
      <c r="AG787" s="132"/>
    </row>
    <row r="788">
      <c r="A788" s="314"/>
      <c r="B788" s="313"/>
      <c r="C788" s="313"/>
      <c r="D788" s="313"/>
      <c r="E788" s="737"/>
      <c r="F788" s="314"/>
      <c r="G788" s="318"/>
      <c r="H788" s="315"/>
      <c r="I788" s="314"/>
      <c r="J788" s="314"/>
      <c r="K788" s="314"/>
      <c r="L788" s="776"/>
      <c r="M788" s="314"/>
      <c r="N788" s="318"/>
      <c r="O788" s="315"/>
      <c r="P788" s="314"/>
      <c r="Q788" s="314"/>
      <c r="R788" s="314"/>
      <c r="S788" s="777"/>
      <c r="T788" s="314"/>
      <c r="U788" s="778"/>
      <c r="V788" s="315"/>
      <c r="W788" s="779"/>
      <c r="X788" s="780"/>
      <c r="Y788" s="314"/>
      <c r="Z788" s="314"/>
      <c r="AA788" s="314"/>
      <c r="AB788" s="324"/>
      <c r="AC788" s="155"/>
      <c r="AD788" s="155"/>
      <c r="AE788" s="322"/>
      <c r="AF788" s="132"/>
      <c r="AG788" s="132"/>
    </row>
    <row r="789">
      <c r="A789" s="314"/>
      <c r="B789" s="313"/>
      <c r="C789" s="313"/>
      <c r="D789" s="313"/>
      <c r="E789" s="737"/>
      <c r="F789" s="314"/>
      <c r="G789" s="318"/>
      <c r="H789" s="315"/>
      <c r="I789" s="314"/>
      <c r="J789" s="314"/>
      <c r="K789" s="314"/>
      <c r="L789" s="776"/>
      <c r="M789" s="314"/>
      <c r="N789" s="318"/>
      <c r="O789" s="315"/>
      <c r="P789" s="314"/>
      <c r="Q789" s="314"/>
      <c r="R789" s="314"/>
      <c r="S789" s="777"/>
      <c r="T789" s="314"/>
      <c r="U789" s="778"/>
      <c r="V789" s="315"/>
      <c r="W789" s="779"/>
      <c r="X789" s="780"/>
      <c r="Y789" s="314"/>
      <c r="Z789" s="314"/>
      <c r="AA789" s="314"/>
      <c r="AB789" s="324"/>
      <c r="AC789" s="155"/>
      <c r="AD789" s="155"/>
      <c r="AE789" s="322"/>
      <c r="AF789" s="132"/>
      <c r="AG789" s="132"/>
    </row>
    <row r="790">
      <c r="A790" s="314"/>
      <c r="B790" s="313"/>
      <c r="C790" s="313"/>
      <c r="D790" s="313"/>
      <c r="E790" s="737"/>
      <c r="F790" s="314"/>
      <c r="G790" s="318"/>
      <c r="H790" s="315"/>
      <c r="I790" s="314"/>
      <c r="J790" s="314"/>
      <c r="K790" s="314"/>
      <c r="L790" s="776"/>
      <c r="M790" s="314"/>
      <c r="N790" s="318"/>
      <c r="O790" s="315"/>
      <c r="P790" s="314"/>
      <c r="Q790" s="314"/>
      <c r="R790" s="314"/>
      <c r="S790" s="777"/>
      <c r="T790" s="314"/>
      <c r="U790" s="778"/>
      <c r="V790" s="315"/>
      <c r="W790" s="779"/>
      <c r="X790" s="780"/>
      <c r="Y790" s="314"/>
      <c r="Z790" s="314"/>
      <c r="AA790" s="314"/>
      <c r="AB790" s="324"/>
      <c r="AC790" s="155"/>
      <c r="AD790" s="155"/>
      <c r="AE790" s="322"/>
      <c r="AF790" s="132"/>
      <c r="AG790" s="132"/>
    </row>
    <row r="791">
      <c r="A791" s="314"/>
      <c r="B791" s="313"/>
      <c r="C791" s="313"/>
      <c r="D791" s="313"/>
      <c r="E791" s="737"/>
      <c r="F791" s="314"/>
      <c r="G791" s="318"/>
      <c r="H791" s="315"/>
      <c r="I791" s="314"/>
      <c r="J791" s="314"/>
      <c r="K791" s="314"/>
      <c r="L791" s="776"/>
      <c r="M791" s="314"/>
      <c r="N791" s="318"/>
      <c r="O791" s="315"/>
      <c r="P791" s="314"/>
      <c r="Q791" s="314"/>
      <c r="R791" s="314"/>
      <c r="S791" s="777"/>
      <c r="T791" s="314"/>
      <c r="U791" s="778"/>
      <c r="V791" s="315"/>
      <c r="W791" s="779"/>
      <c r="X791" s="780"/>
      <c r="Y791" s="314"/>
      <c r="Z791" s="314"/>
      <c r="AA791" s="314"/>
      <c r="AB791" s="324"/>
      <c r="AC791" s="155"/>
      <c r="AD791" s="155"/>
      <c r="AE791" s="322"/>
      <c r="AF791" s="132"/>
      <c r="AG791" s="132"/>
    </row>
    <row r="792">
      <c r="A792" s="314"/>
      <c r="B792" s="313"/>
      <c r="C792" s="313"/>
      <c r="D792" s="313"/>
      <c r="E792" s="737"/>
      <c r="F792" s="314"/>
      <c r="G792" s="318"/>
      <c r="H792" s="315"/>
      <c r="I792" s="314"/>
      <c r="J792" s="314"/>
      <c r="K792" s="314"/>
      <c r="L792" s="776"/>
      <c r="M792" s="314"/>
      <c r="N792" s="318"/>
      <c r="O792" s="315"/>
      <c r="P792" s="314"/>
      <c r="Q792" s="314"/>
      <c r="R792" s="314"/>
      <c r="S792" s="777"/>
      <c r="T792" s="314"/>
      <c r="U792" s="778"/>
      <c r="V792" s="315"/>
      <c r="W792" s="779"/>
      <c r="X792" s="780"/>
      <c r="Y792" s="314"/>
      <c r="Z792" s="314"/>
      <c r="AA792" s="314"/>
      <c r="AB792" s="324"/>
      <c r="AC792" s="155"/>
      <c r="AD792" s="155"/>
      <c r="AE792" s="322"/>
      <c r="AF792" s="132"/>
      <c r="AG792" s="132"/>
    </row>
    <row r="793">
      <c r="A793" s="314"/>
      <c r="B793" s="313"/>
      <c r="C793" s="313"/>
      <c r="D793" s="313"/>
      <c r="E793" s="737"/>
      <c r="F793" s="314"/>
      <c r="G793" s="318"/>
      <c r="H793" s="315"/>
      <c r="I793" s="314"/>
      <c r="J793" s="314"/>
      <c r="K793" s="314"/>
      <c r="L793" s="776"/>
      <c r="M793" s="314"/>
      <c r="N793" s="318"/>
      <c r="O793" s="315"/>
      <c r="P793" s="314"/>
      <c r="Q793" s="314"/>
      <c r="R793" s="314"/>
      <c r="S793" s="777"/>
      <c r="T793" s="314"/>
      <c r="U793" s="778"/>
      <c r="V793" s="315"/>
      <c r="W793" s="779"/>
      <c r="X793" s="780"/>
      <c r="Y793" s="314"/>
      <c r="Z793" s="314"/>
      <c r="AA793" s="314"/>
      <c r="AB793" s="324"/>
      <c r="AC793" s="155"/>
      <c r="AD793" s="155"/>
      <c r="AE793" s="322"/>
      <c r="AF793" s="132"/>
      <c r="AG793" s="132"/>
    </row>
    <row r="794">
      <c r="A794" s="314"/>
      <c r="B794" s="313"/>
      <c r="C794" s="313"/>
      <c r="D794" s="313"/>
      <c r="E794" s="737"/>
      <c r="F794" s="314"/>
      <c r="G794" s="318"/>
      <c r="H794" s="315"/>
      <c r="I794" s="314"/>
      <c r="J794" s="314"/>
      <c r="K794" s="314"/>
      <c r="L794" s="776"/>
      <c r="M794" s="314"/>
      <c r="N794" s="318"/>
      <c r="O794" s="315"/>
      <c r="P794" s="314"/>
      <c r="Q794" s="314"/>
      <c r="R794" s="314"/>
      <c r="S794" s="777"/>
      <c r="T794" s="314"/>
      <c r="U794" s="778"/>
      <c r="V794" s="315"/>
      <c r="W794" s="779"/>
      <c r="X794" s="780"/>
      <c r="Y794" s="314"/>
      <c r="Z794" s="314"/>
      <c r="AA794" s="314"/>
      <c r="AB794" s="324"/>
      <c r="AC794" s="155"/>
      <c r="AD794" s="155"/>
      <c r="AE794" s="322"/>
      <c r="AF794" s="132"/>
      <c r="AG794" s="132"/>
    </row>
    <row r="795">
      <c r="A795" s="314"/>
      <c r="B795" s="313"/>
      <c r="C795" s="313"/>
      <c r="D795" s="313"/>
      <c r="E795" s="737"/>
      <c r="F795" s="314"/>
      <c r="G795" s="318"/>
      <c r="H795" s="315"/>
      <c r="I795" s="314"/>
      <c r="J795" s="314"/>
      <c r="K795" s="314"/>
      <c r="L795" s="776"/>
      <c r="M795" s="314"/>
      <c r="N795" s="318"/>
      <c r="O795" s="315"/>
      <c r="P795" s="314"/>
      <c r="Q795" s="314"/>
      <c r="R795" s="314"/>
      <c r="S795" s="777"/>
      <c r="T795" s="314"/>
      <c r="U795" s="778"/>
      <c r="V795" s="315"/>
      <c r="W795" s="779"/>
      <c r="X795" s="780"/>
      <c r="Y795" s="314"/>
      <c r="Z795" s="314"/>
      <c r="AA795" s="314"/>
      <c r="AB795" s="324"/>
      <c r="AC795" s="155"/>
      <c r="AD795" s="155"/>
      <c r="AE795" s="322"/>
      <c r="AF795" s="132"/>
      <c r="AG795" s="132"/>
    </row>
    <row r="796">
      <c r="A796" s="314"/>
      <c r="B796" s="313"/>
      <c r="C796" s="313"/>
      <c r="D796" s="313"/>
      <c r="E796" s="737"/>
      <c r="F796" s="314"/>
      <c r="G796" s="318"/>
      <c r="H796" s="315"/>
      <c r="I796" s="314"/>
      <c r="J796" s="314"/>
      <c r="K796" s="314"/>
      <c r="L796" s="776"/>
      <c r="M796" s="314"/>
      <c r="N796" s="318"/>
      <c r="O796" s="315"/>
      <c r="P796" s="314"/>
      <c r="Q796" s="314"/>
      <c r="R796" s="314"/>
      <c r="S796" s="777"/>
      <c r="T796" s="314"/>
      <c r="U796" s="778"/>
      <c r="V796" s="315"/>
      <c r="W796" s="779"/>
      <c r="X796" s="780"/>
      <c r="Y796" s="314"/>
      <c r="Z796" s="314"/>
      <c r="AA796" s="314"/>
      <c r="AB796" s="324"/>
      <c r="AC796" s="155"/>
      <c r="AD796" s="155"/>
      <c r="AE796" s="322"/>
      <c r="AF796" s="132"/>
      <c r="AG796" s="132"/>
    </row>
    <row r="797">
      <c r="A797" s="314"/>
      <c r="B797" s="313"/>
      <c r="C797" s="313"/>
      <c r="D797" s="313"/>
      <c r="E797" s="737"/>
      <c r="F797" s="314"/>
      <c r="G797" s="318"/>
      <c r="H797" s="315"/>
      <c r="I797" s="314"/>
      <c r="J797" s="314"/>
      <c r="K797" s="314"/>
      <c r="L797" s="776"/>
      <c r="M797" s="314"/>
      <c r="N797" s="318"/>
      <c r="O797" s="315"/>
      <c r="P797" s="314"/>
      <c r="Q797" s="314"/>
      <c r="R797" s="314"/>
      <c r="S797" s="777"/>
      <c r="T797" s="314"/>
      <c r="U797" s="778"/>
      <c r="V797" s="315"/>
      <c r="W797" s="779"/>
      <c r="X797" s="780"/>
      <c r="Y797" s="314"/>
      <c r="Z797" s="314"/>
      <c r="AA797" s="314"/>
      <c r="AB797" s="324"/>
      <c r="AC797" s="155"/>
      <c r="AD797" s="155"/>
      <c r="AE797" s="322"/>
      <c r="AF797" s="132"/>
      <c r="AG797" s="132"/>
    </row>
    <row r="798">
      <c r="A798" s="314"/>
      <c r="B798" s="313"/>
      <c r="C798" s="313"/>
      <c r="D798" s="313"/>
      <c r="E798" s="737"/>
      <c r="F798" s="314"/>
      <c r="G798" s="318"/>
      <c r="H798" s="315"/>
      <c r="I798" s="314"/>
      <c r="J798" s="314"/>
      <c r="K798" s="314"/>
      <c r="L798" s="776"/>
      <c r="M798" s="314"/>
      <c r="N798" s="318"/>
      <c r="O798" s="315"/>
      <c r="P798" s="314"/>
      <c r="Q798" s="314"/>
      <c r="R798" s="314"/>
      <c r="S798" s="777"/>
      <c r="T798" s="314"/>
      <c r="U798" s="778"/>
      <c r="V798" s="315"/>
      <c r="W798" s="779"/>
      <c r="X798" s="780"/>
      <c r="Y798" s="314"/>
      <c r="Z798" s="314"/>
      <c r="AA798" s="314"/>
      <c r="AB798" s="324"/>
      <c r="AC798" s="155"/>
      <c r="AD798" s="155"/>
      <c r="AE798" s="322"/>
      <c r="AF798" s="132"/>
      <c r="AG798" s="132"/>
    </row>
    <row r="799">
      <c r="A799" s="314"/>
      <c r="B799" s="313"/>
      <c r="C799" s="313"/>
      <c r="D799" s="313"/>
      <c r="E799" s="737"/>
      <c r="F799" s="314"/>
      <c r="G799" s="318"/>
      <c r="H799" s="315"/>
      <c r="I799" s="314"/>
      <c r="J799" s="314"/>
      <c r="K799" s="314"/>
      <c r="L799" s="776"/>
      <c r="M799" s="314"/>
      <c r="N799" s="318"/>
      <c r="O799" s="315"/>
      <c r="P799" s="314"/>
      <c r="Q799" s="314"/>
      <c r="R799" s="314"/>
      <c r="S799" s="777"/>
      <c r="T799" s="314"/>
      <c r="U799" s="778"/>
      <c r="V799" s="315"/>
      <c r="W799" s="779"/>
      <c r="X799" s="780"/>
      <c r="Y799" s="314"/>
      <c r="Z799" s="314"/>
      <c r="AA799" s="314"/>
      <c r="AB799" s="324"/>
      <c r="AC799" s="155"/>
      <c r="AD799" s="155"/>
      <c r="AE799" s="322"/>
      <c r="AF799" s="132"/>
      <c r="AG799" s="132"/>
    </row>
    <row r="800">
      <c r="A800" s="314"/>
      <c r="B800" s="313"/>
      <c r="C800" s="313"/>
      <c r="D800" s="313"/>
      <c r="E800" s="737"/>
      <c r="F800" s="314"/>
      <c r="G800" s="318"/>
      <c r="H800" s="315"/>
      <c r="I800" s="314"/>
      <c r="J800" s="314"/>
      <c r="K800" s="314"/>
      <c r="L800" s="776"/>
      <c r="M800" s="314"/>
      <c r="N800" s="318"/>
      <c r="O800" s="315"/>
      <c r="P800" s="314"/>
      <c r="Q800" s="314"/>
      <c r="R800" s="314"/>
      <c r="S800" s="777"/>
      <c r="T800" s="314"/>
      <c r="U800" s="778"/>
      <c r="V800" s="315"/>
      <c r="W800" s="779"/>
      <c r="X800" s="780"/>
      <c r="Y800" s="314"/>
      <c r="Z800" s="314"/>
      <c r="AA800" s="314"/>
      <c r="AB800" s="324"/>
      <c r="AC800" s="155"/>
      <c r="AD800" s="155"/>
      <c r="AE800" s="322"/>
      <c r="AF800" s="132"/>
      <c r="AG800" s="132"/>
    </row>
    <row r="801">
      <c r="A801" s="314"/>
      <c r="B801" s="313"/>
      <c r="C801" s="313"/>
      <c r="D801" s="313"/>
      <c r="E801" s="737"/>
      <c r="F801" s="314"/>
      <c r="G801" s="318"/>
      <c r="H801" s="315"/>
      <c r="I801" s="314"/>
      <c r="J801" s="314"/>
      <c r="K801" s="314"/>
      <c r="L801" s="776"/>
      <c r="M801" s="314"/>
      <c r="N801" s="318"/>
      <c r="O801" s="315"/>
      <c r="P801" s="314"/>
      <c r="Q801" s="314"/>
      <c r="R801" s="314"/>
      <c r="S801" s="777"/>
      <c r="T801" s="314"/>
      <c r="U801" s="778"/>
      <c r="V801" s="315"/>
      <c r="W801" s="779"/>
      <c r="X801" s="780"/>
      <c r="Y801" s="314"/>
      <c r="Z801" s="314"/>
      <c r="AA801" s="314"/>
      <c r="AB801" s="324"/>
      <c r="AC801" s="155"/>
      <c r="AD801" s="155"/>
      <c r="AE801" s="322"/>
      <c r="AF801" s="132"/>
      <c r="AG801" s="132"/>
    </row>
    <row r="802">
      <c r="A802" s="314"/>
      <c r="B802" s="313"/>
      <c r="C802" s="313"/>
      <c r="D802" s="313"/>
      <c r="E802" s="737"/>
      <c r="F802" s="314"/>
      <c r="G802" s="318"/>
      <c r="H802" s="315"/>
      <c r="I802" s="314"/>
      <c r="J802" s="314"/>
      <c r="K802" s="314"/>
      <c r="L802" s="776"/>
      <c r="M802" s="314"/>
      <c r="N802" s="318"/>
      <c r="O802" s="315"/>
      <c r="P802" s="314"/>
      <c r="Q802" s="314"/>
      <c r="R802" s="314"/>
      <c r="S802" s="777"/>
      <c r="T802" s="314"/>
      <c r="U802" s="778"/>
      <c r="V802" s="315"/>
      <c r="W802" s="779"/>
      <c r="X802" s="780"/>
      <c r="Y802" s="314"/>
      <c r="Z802" s="314"/>
      <c r="AA802" s="314"/>
      <c r="AB802" s="324"/>
      <c r="AC802" s="155"/>
      <c r="AD802" s="155"/>
      <c r="AE802" s="322"/>
      <c r="AF802" s="132"/>
      <c r="AG802" s="132"/>
    </row>
    <row r="803">
      <c r="A803" s="314"/>
      <c r="B803" s="313"/>
      <c r="C803" s="313"/>
      <c r="D803" s="313"/>
      <c r="E803" s="737"/>
      <c r="F803" s="314"/>
      <c r="G803" s="318"/>
      <c r="H803" s="315"/>
      <c r="I803" s="314"/>
      <c r="J803" s="314"/>
      <c r="K803" s="314"/>
      <c r="L803" s="776"/>
      <c r="M803" s="314"/>
      <c r="N803" s="318"/>
      <c r="O803" s="315"/>
      <c r="P803" s="314"/>
      <c r="Q803" s="314"/>
      <c r="R803" s="314"/>
      <c r="S803" s="777"/>
      <c r="T803" s="314"/>
      <c r="U803" s="778"/>
      <c r="V803" s="315"/>
      <c r="W803" s="779"/>
      <c r="X803" s="780"/>
      <c r="Y803" s="314"/>
      <c r="Z803" s="314"/>
      <c r="AA803" s="314"/>
      <c r="AB803" s="324"/>
      <c r="AC803" s="155"/>
      <c r="AD803" s="155"/>
      <c r="AE803" s="322"/>
      <c r="AF803" s="132"/>
      <c r="AG803" s="132"/>
    </row>
    <row r="804">
      <c r="A804" s="314"/>
      <c r="B804" s="313"/>
      <c r="C804" s="313"/>
      <c r="D804" s="313"/>
      <c r="E804" s="737"/>
      <c r="F804" s="314"/>
      <c r="G804" s="318"/>
      <c r="H804" s="315"/>
      <c r="I804" s="314"/>
      <c r="J804" s="314"/>
      <c r="K804" s="314"/>
      <c r="L804" s="776"/>
      <c r="M804" s="314"/>
      <c r="N804" s="318"/>
      <c r="O804" s="315"/>
      <c r="P804" s="314"/>
      <c r="Q804" s="314"/>
      <c r="R804" s="314"/>
      <c r="S804" s="777"/>
      <c r="T804" s="314"/>
      <c r="U804" s="778"/>
      <c r="V804" s="315"/>
      <c r="W804" s="779"/>
      <c r="X804" s="780"/>
      <c r="Y804" s="314"/>
      <c r="Z804" s="314"/>
      <c r="AA804" s="314"/>
      <c r="AB804" s="324"/>
      <c r="AC804" s="155"/>
      <c r="AD804" s="155"/>
      <c r="AE804" s="322"/>
      <c r="AF804" s="132"/>
      <c r="AG804" s="132"/>
    </row>
    <row r="805">
      <c r="A805" s="314"/>
      <c r="B805" s="313"/>
      <c r="C805" s="313"/>
      <c r="D805" s="313"/>
      <c r="E805" s="737"/>
      <c r="F805" s="314"/>
      <c r="G805" s="318"/>
      <c r="H805" s="315"/>
      <c r="I805" s="314"/>
      <c r="J805" s="314"/>
      <c r="K805" s="314"/>
      <c r="L805" s="776"/>
      <c r="M805" s="314"/>
      <c r="N805" s="318"/>
      <c r="O805" s="315"/>
      <c r="P805" s="314"/>
      <c r="Q805" s="314"/>
      <c r="R805" s="314"/>
      <c r="S805" s="777"/>
      <c r="T805" s="314"/>
      <c r="U805" s="778"/>
      <c r="V805" s="315"/>
      <c r="W805" s="779"/>
      <c r="X805" s="780"/>
      <c r="Y805" s="314"/>
      <c r="Z805" s="314"/>
      <c r="AA805" s="314"/>
      <c r="AB805" s="324"/>
      <c r="AC805" s="155"/>
      <c r="AD805" s="155"/>
      <c r="AE805" s="322"/>
      <c r="AF805" s="132"/>
      <c r="AG805" s="132"/>
    </row>
    <row r="806">
      <c r="A806" s="314"/>
      <c r="B806" s="313"/>
      <c r="C806" s="313"/>
      <c r="D806" s="313"/>
      <c r="E806" s="737"/>
      <c r="F806" s="314"/>
      <c r="G806" s="318"/>
      <c r="H806" s="315"/>
      <c r="I806" s="314"/>
      <c r="J806" s="314"/>
      <c r="K806" s="314"/>
      <c r="L806" s="776"/>
      <c r="M806" s="314"/>
      <c r="N806" s="318"/>
      <c r="O806" s="315"/>
      <c r="P806" s="314"/>
      <c r="Q806" s="314"/>
      <c r="R806" s="314"/>
      <c r="S806" s="777"/>
      <c r="T806" s="314"/>
      <c r="U806" s="778"/>
      <c r="V806" s="315"/>
      <c r="W806" s="779"/>
      <c r="X806" s="780"/>
      <c r="Y806" s="314"/>
      <c r="Z806" s="314"/>
      <c r="AA806" s="314"/>
      <c r="AB806" s="324"/>
      <c r="AC806" s="155"/>
      <c r="AD806" s="155"/>
      <c r="AE806" s="322"/>
      <c r="AF806" s="132"/>
      <c r="AG806" s="132"/>
    </row>
    <row r="807">
      <c r="A807" s="314"/>
      <c r="B807" s="313"/>
      <c r="C807" s="313"/>
      <c r="D807" s="313"/>
      <c r="E807" s="737"/>
      <c r="F807" s="314"/>
      <c r="G807" s="318"/>
      <c r="H807" s="315"/>
      <c r="I807" s="314"/>
      <c r="J807" s="314"/>
      <c r="K807" s="314"/>
      <c r="L807" s="776"/>
      <c r="M807" s="314"/>
      <c r="N807" s="318"/>
      <c r="O807" s="315"/>
      <c r="P807" s="314"/>
      <c r="Q807" s="314"/>
      <c r="R807" s="314"/>
      <c r="S807" s="777"/>
      <c r="T807" s="314"/>
      <c r="U807" s="778"/>
      <c r="V807" s="315"/>
      <c r="W807" s="779"/>
      <c r="X807" s="780"/>
      <c r="Y807" s="314"/>
      <c r="Z807" s="314"/>
      <c r="AA807" s="314"/>
      <c r="AB807" s="324"/>
      <c r="AC807" s="155"/>
      <c r="AD807" s="155"/>
      <c r="AE807" s="322"/>
      <c r="AF807" s="132"/>
      <c r="AG807" s="132"/>
    </row>
    <row r="808">
      <c r="A808" s="314"/>
      <c r="B808" s="313"/>
      <c r="C808" s="313"/>
      <c r="D808" s="313"/>
      <c r="E808" s="737"/>
      <c r="F808" s="314"/>
      <c r="G808" s="318"/>
      <c r="H808" s="315"/>
      <c r="I808" s="314"/>
      <c r="J808" s="314"/>
      <c r="K808" s="314"/>
      <c r="L808" s="776"/>
      <c r="M808" s="314"/>
      <c r="N808" s="318"/>
      <c r="O808" s="315"/>
      <c r="P808" s="314"/>
      <c r="Q808" s="314"/>
      <c r="R808" s="314"/>
      <c r="S808" s="777"/>
      <c r="T808" s="314"/>
      <c r="U808" s="778"/>
      <c r="V808" s="315"/>
      <c r="W808" s="779"/>
      <c r="X808" s="780"/>
      <c r="Y808" s="314"/>
      <c r="Z808" s="314"/>
      <c r="AA808" s="314"/>
      <c r="AB808" s="324"/>
      <c r="AC808" s="155"/>
      <c r="AD808" s="155"/>
      <c r="AE808" s="322"/>
      <c r="AF808" s="132"/>
      <c r="AG808" s="132"/>
    </row>
    <row r="809">
      <c r="A809" s="314"/>
      <c r="B809" s="313"/>
      <c r="C809" s="313"/>
      <c r="D809" s="313"/>
      <c r="E809" s="737"/>
      <c r="F809" s="314"/>
      <c r="G809" s="318"/>
      <c r="H809" s="315"/>
      <c r="I809" s="314"/>
      <c r="J809" s="314"/>
      <c r="K809" s="314"/>
      <c r="L809" s="776"/>
      <c r="M809" s="314"/>
      <c r="N809" s="318"/>
      <c r="O809" s="315"/>
      <c r="P809" s="314"/>
      <c r="Q809" s="314"/>
      <c r="R809" s="314"/>
      <c r="S809" s="777"/>
      <c r="T809" s="314"/>
      <c r="U809" s="778"/>
      <c r="V809" s="315"/>
      <c r="W809" s="779"/>
      <c r="X809" s="780"/>
      <c r="Y809" s="314"/>
      <c r="Z809" s="314"/>
      <c r="AA809" s="314"/>
      <c r="AB809" s="324"/>
      <c r="AC809" s="155"/>
      <c r="AD809" s="155"/>
      <c r="AE809" s="322"/>
      <c r="AF809" s="132"/>
      <c r="AG809" s="132"/>
    </row>
    <row r="810">
      <c r="A810" s="314"/>
      <c r="B810" s="313"/>
      <c r="C810" s="313"/>
      <c r="D810" s="313"/>
      <c r="E810" s="737"/>
      <c r="F810" s="314"/>
      <c r="G810" s="318"/>
      <c r="H810" s="315"/>
      <c r="I810" s="314"/>
      <c r="J810" s="314"/>
      <c r="K810" s="314"/>
      <c r="L810" s="776"/>
      <c r="M810" s="314"/>
      <c r="N810" s="318"/>
      <c r="O810" s="315"/>
      <c r="P810" s="314"/>
      <c r="Q810" s="314"/>
      <c r="R810" s="314"/>
      <c r="S810" s="777"/>
      <c r="T810" s="314"/>
      <c r="U810" s="778"/>
      <c r="V810" s="315"/>
      <c r="W810" s="779"/>
      <c r="X810" s="780"/>
      <c r="Y810" s="314"/>
      <c r="Z810" s="314"/>
      <c r="AA810" s="314"/>
      <c r="AB810" s="324"/>
      <c r="AC810" s="155"/>
      <c r="AD810" s="155"/>
      <c r="AE810" s="322"/>
      <c r="AF810" s="132"/>
      <c r="AG810" s="132"/>
    </row>
    <row r="811">
      <c r="A811" s="314"/>
      <c r="B811" s="313"/>
      <c r="C811" s="313"/>
      <c r="D811" s="313"/>
      <c r="E811" s="737"/>
      <c r="F811" s="314"/>
      <c r="G811" s="318"/>
      <c r="H811" s="315"/>
      <c r="I811" s="314"/>
      <c r="J811" s="314"/>
      <c r="K811" s="314"/>
      <c r="L811" s="776"/>
      <c r="M811" s="314"/>
      <c r="N811" s="318"/>
      <c r="O811" s="315"/>
      <c r="P811" s="314"/>
      <c r="Q811" s="314"/>
      <c r="R811" s="314"/>
      <c r="S811" s="777"/>
      <c r="T811" s="314"/>
      <c r="U811" s="778"/>
      <c r="V811" s="315"/>
      <c r="W811" s="779"/>
      <c r="X811" s="780"/>
      <c r="Y811" s="314"/>
      <c r="Z811" s="314"/>
      <c r="AA811" s="314"/>
      <c r="AB811" s="324"/>
      <c r="AC811" s="155"/>
      <c r="AD811" s="155"/>
      <c r="AE811" s="322"/>
      <c r="AF811" s="132"/>
      <c r="AG811" s="132"/>
    </row>
    <row r="812">
      <c r="A812" s="314"/>
      <c r="B812" s="313"/>
      <c r="C812" s="313"/>
      <c r="D812" s="313"/>
      <c r="E812" s="737"/>
      <c r="F812" s="314"/>
      <c r="G812" s="318"/>
      <c r="H812" s="315"/>
      <c r="I812" s="314"/>
      <c r="J812" s="314"/>
      <c r="K812" s="314"/>
      <c r="L812" s="776"/>
      <c r="M812" s="314"/>
      <c r="N812" s="318"/>
      <c r="O812" s="315"/>
      <c r="P812" s="314"/>
      <c r="Q812" s="314"/>
      <c r="R812" s="314"/>
      <c r="S812" s="777"/>
      <c r="T812" s="314"/>
      <c r="U812" s="778"/>
      <c r="V812" s="315"/>
      <c r="W812" s="779"/>
      <c r="X812" s="780"/>
      <c r="Y812" s="314"/>
      <c r="Z812" s="314"/>
      <c r="AA812" s="314"/>
      <c r="AB812" s="324"/>
      <c r="AC812" s="155"/>
      <c r="AD812" s="155"/>
      <c r="AE812" s="322"/>
      <c r="AF812" s="132"/>
      <c r="AG812" s="132"/>
    </row>
    <row r="813">
      <c r="A813" s="435"/>
      <c r="B813" s="313"/>
      <c r="C813" s="437"/>
      <c r="D813" s="313"/>
      <c r="E813" s="753"/>
      <c r="F813" s="314"/>
      <c r="G813" s="318"/>
      <c r="H813" s="744"/>
      <c r="I813" s="435"/>
      <c r="J813" s="314"/>
      <c r="K813" s="435"/>
      <c r="L813" s="781"/>
      <c r="M813" s="314"/>
      <c r="N813" s="318"/>
      <c r="O813" s="315"/>
      <c r="P813" s="435"/>
      <c r="Q813" s="435"/>
      <c r="R813" s="435"/>
      <c r="S813" s="782"/>
      <c r="T813" s="435"/>
      <c r="U813" s="783"/>
      <c r="V813" s="744"/>
      <c r="W813" s="784"/>
      <c r="X813" s="785"/>
      <c r="Y813" s="435"/>
      <c r="Z813" s="435"/>
      <c r="AA813" s="435"/>
      <c r="AB813" s="324"/>
      <c r="AC813" s="180"/>
      <c r="AD813" s="155"/>
      <c r="AE813" s="322"/>
      <c r="AF813" s="132"/>
      <c r="AG813" s="132"/>
    </row>
    <row r="814">
      <c r="A814" s="435"/>
      <c r="B814" s="313"/>
      <c r="C814" s="313"/>
      <c r="D814" s="437"/>
      <c r="E814" s="737"/>
      <c r="F814" s="314"/>
      <c r="G814" s="318"/>
      <c r="H814" s="315"/>
      <c r="I814" s="314"/>
      <c r="J814" s="314"/>
      <c r="K814" s="314"/>
      <c r="L814" s="776"/>
      <c r="M814" s="435"/>
      <c r="N814" s="740"/>
      <c r="O814" s="315"/>
      <c r="P814" s="314"/>
      <c r="Q814" s="314"/>
      <c r="R814" s="314"/>
      <c r="S814" s="777"/>
      <c r="T814" s="314"/>
      <c r="U814" s="778"/>
      <c r="V814" s="315"/>
      <c r="W814" s="779"/>
      <c r="X814" s="780"/>
      <c r="Y814" s="314"/>
      <c r="Z814" s="314"/>
      <c r="AA814" s="314"/>
      <c r="AB814" s="324"/>
      <c r="AC814" s="180"/>
      <c r="AD814" s="155"/>
      <c r="AE814" s="322"/>
      <c r="AF814" s="132"/>
      <c r="AG814" s="132"/>
    </row>
    <row r="815">
      <c r="A815" s="435"/>
      <c r="B815" s="437"/>
      <c r="C815" s="437"/>
      <c r="D815" s="437"/>
      <c r="E815" s="753"/>
      <c r="F815" s="314"/>
      <c r="G815" s="318"/>
      <c r="H815" s="315"/>
      <c r="I815" s="435"/>
      <c r="J815" s="435"/>
      <c r="K815" s="435"/>
      <c r="L815" s="781"/>
      <c r="M815" s="435"/>
      <c r="N815" s="740"/>
      <c r="O815" s="315"/>
      <c r="P815" s="435"/>
      <c r="Q815" s="314"/>
      <c r="R815" s="435"/>
      <c r="S815" s="782"/>
      <c r="T815" s="435"/>
      <c r="U815" s="783"/>
      <c r="V815" s="744"/>
      <c r="W815" s="784"/>
      <c r="X815" s="785"/>
      <c r="Y815" s="435"/>
      <c r="Z815" s="435"/>
      <c r="AA815" s="435"/>
      <c r="AB815" s="324"/>
      <c r="AC815" s="180"/>
      <c r="AD815" s="155"/>
      <c r="AE815" s="322"/>
      <c r="AF815" s="132"/>
      <c r="AG815" s="132"/>
    </row>
    <row r="816">
      <c r="A816" s="435"/>
      <c r="B816" s="313"/>
      <c r="C816" s="313"/>
      <c r="D816" s="437"/>
      <c r="E816" s="737"/>
      <c r="F816" s="314"/>
      <c r="G816" s="318"/>
      <c r="H816" s="315"/>
      <c r="I816" s="435"/>
      <c r="J816" s="314"/>
      <c r="K816" s="435"/>
      <c r="L816" s="776"/>
      <c r="M816" s="314"/>
      <c r="N816" s="318"/>
      <c r="O816" s="315"/>
      <c r="P816" s="314"/>
      <c r="Q816" s="435"/>
      <c r="R816" s="435"/>
      <c r="S816" s="777"/>
      <c r="T816" s="314"/>
      <c r="U816" s="778"/>
      <c r="V816" s="315"/>
      <c r="W816" s="779"/>
      <c r="X816" s="780"/>
      <c r="Y816" s="314"/>
      <c r="Z816" s="314"/>
      <c r="AA816" s="314"/>
      <c r="AB816" s="324"/>
      <c r="AC816" s="180"/>
      <c r="AD816" s="155"/>
      <c r="AE816" s="322"/>
      <c r="AF816" s="132"/>
      <c r="AG816" s="132"/>
    </row>
    <row r="817">
      <c r="A817" s="435"/>
      <c r="B817" s="437"/>
      <c r="C817" s="437"/>
      <c r="D817" s="437"/>
      <c r="E817" s="753"/>
      <c r="F817" s="314"/>
      <c r="G817" s="318"/>
      <c r="H817" s="744"/>
      <c r="I817" s="435"/>
      <c r="J817" s="435"/>
      <c r="K817" s="435"/>
      <c r="L817" s="781"/>
      <c r="M817" s="435"/>
      <c r="N817" s="740"/>
      <c r="O817" s="315"/>
      <c r="P817" s="435"/>
      <c r="Q817" s="435"/>
      <c r="R817" s="435"/>
      <c r="S817" s="782"/>
      <c r="T817" s="435"/>
      <c r="U817" s="783"/>
      <c r="V817" s="744"/>
      <c r="W817" s="784"/>
      <c r="X817" s="785"/>
      <c r="Y817" s="435"/>
      <c r="Z817" s="435"/>
      <c r="AA817" s="435"/>
      <c r="AB817" s="324"/>
      <c r="AC817" s="180"/>
      <c r="AD817" s="155"/>
      <c r="AE817" s="322"/>
      <c r="AF817" s="132"/>
      <c r="AG817" s="132"/>
    </row>
    <row r="818">
      <c r="A818" s="435"/>
      <c r="B818" s="437"/>
      <c r="C818" s="313"/>
      <c r="D818" s="437"/>
      <c r="E818" s="737"/>
      <c r="F818" s="314"/>
      <c r="G818" s="318"/>
      <c r="H818" s="315"/>
      <c r="I818" s="314"/>
      <c r="J818" s="314"/>
      <c r="K818" s="435"/>
      <c r="L818" s="776"/>
      <c r="M818" s="314"/>
      <c r="N818" s="318"/>
      <c r="O818" s="315"/>
      <c r="P818" s="314"/>
      <c r="Q818" s="314"/>
      <c r="R818" s="314"/>
      <c r="S818" s="782"/>
      <c r="T818" s="435"/>
      <c r="U818" s="783"/>
      <c r="V818" s="744"/>
      <c r="W818" s="784"/>
      <c r="X818" s="785"/>
      <c r="Y818" s="435"/>
      <c r="Z818" s="435"/>
      <c r="AA818" s="435"/>
      <c r="AB818" s="324"/>
      <c r="AC818" s="180"/>
      <c r="AD818" s="155"/>
      <c r="AE818" s="322"/>
      <c r="AF818" s="132"/>
      <c r="AG818" s="132"/>
    </row>
    <row r="819">
      <c r="A819" s="435"/>
      <c r="B819" s="437"/>
      <c r="C819" s="437"/>
      <c r="D819" s="437"/>
      <c r="E819" s="753"/>
      <c r="F819" s="314"/>
      <c r="G819" s="318"/>
      <c r="H819" s="744"/>
      <c r="I819" s="314"/>
      <c r="J819" s="314"/>
      <c r="K819" s="435"/>
      <c r="L819" s="776"/>
      <c r="M819" s="314"/>
      <c r="N819" s="318"/>
      <c r="O819" s="315"/>
      <c r="P819" s="435"/>
      <c r="Q819" s="435"/>
      <c r="R819" s="435"/>
      <c r="S819" s="782"/>
      <c r="T819" s="435"/>
      <c r="U819" s="783"/>
      <c r="V819" s="744"/>
      <c r="W819" s="784"/>
      <c r="X819" s="785"/>
      <c r="Y819" s="435"/>
      <c r="Z819" s="435"/>
      <c r="AA819" s="435"/>
      <c r="AB819" s="324"/>
      <c r="AC819" s="180"/>
      <c r="AD819" s="155"/>
      <c r="AE819" s="322"/>
      <c r="AF819" s="132"/>
      <c r="AG819" s="132"/>
    </row>
    <row r="820">
      <c r="A820" s="435"/>
      <c r="B820" s="437"/>
      <c r="C820" s="437"/>
      <c r="D820" s="437"/>
      <c r="E820" s="753"/>
      <c r="F820" s="314"/>
      <c r="G820" s="318"/>
      <c r="H820" s="744"/>
      <c r="I820" s="435"/>
      <c r="J820" s="435"/>
      <c r="K820" s="435"/>
      <c r="L820" s="781"/>
      <c r="M820" s="435"/>
      <c r="N820" s="740"/>
      <c r="O820" s="315"/>
      <c r="P820" s="435"/>
      <c r="Q820" s="435"/>
      <c r="R820" s="435"/>
      <c r="S820" s="782"/>
      <c r="T820" s="435"/>
      <c r="U820" s="783"/>
      <c r="V820" s="744"/>
      <c r="W820" s="784"/>
      <c r="X820" s="785"/>
      <c r="Y820" s="435"/>
      <c r="Z820" s="435"/>
      <c r="AA820" s="435"/>
      <c r="AB820" s="324"/>
      <c r="AC820" s="180"/>
      <c r="AD820" s="155"/>
      <c r="AE820" s="322"/>
      <c r="AF820" s="132"/>
      <c r="AG820" s="132"/>
    </row>
    <row r="821">
      <c r="A821" s="435"/>
      <c r="B821" s="313"/>
      <c r="C821" s="313"/>
      <c r="D821" s="313"/>
      <c r="E821" s="753"/>
      <c r="F821" s="314"/>
      <c r="G821" s="318"/>
      <c r="H821" s="744"/>
      <c r="I821" s="314"/>
      <c r="J821" s="314"/>
      <c r="K821" s="314"/>
      <c r="L821" s="776"/>
      <c r="M821" s="314"/>
      <c r="N821" s="318"/>
      <c r="O821" s="315"/>
      <c r="P821" s="314"/>
      <c r="Q821" s="314"/>
      <c r="R821" s="314"/>
      <c r="S821" s="777"/>
      <c r="T821" s="314"/>
      <c r="U821" s="778"/>
      <c r="V821" s="315"/>
      <c r="W821" s="779"/>
      <c r="X821" s="780"/>
      <c r="Y821" s="314"/>
      <c r="Z821" s="314"/>
      <c r="AA821" s="314"/>
      <c r="AB821" s="324"/>
      <c r="AC821" s="180"/>
      <c r="AD821" s="155"/>
      <c r="AE821" s="322"/>
      <c r="AF821" s="132"/>
      <c r="AG821" s="132"/>
    </row>
    <row r="822">
      <c r="A822" s="435"/>
      <c r="B822" s="313"/>
      <c r="C822" s="313"/>
      <c r="D822" s="437"/>
      <c r="E822" s="737"/>
      <c r="F822" s="314"/>
      <c r="G822" s="318"/>
      <c r="H822" s="744"/>
      <c r="I822" s="314"/>
      <c r="J822" s="435"/>
      <c r="K822" s="435"/>
      <c r="L822" s="776"/>
      <c r="M822" s="435"/>
      <c r="N822" s="318"/>
      <c r="O822" s="315"/>
      <c r="P822" s="314"/>
      <c r="Q822" s="314"/>
      <c r="R822" s="435"/>
      <c r="S822" s="782"/>
      <c r="T822" s="435"/>
      <c r="U822" s="783"/>
      <c r="V822" s="744"/>
      <c r="W822" s="784"/>
      <c r="X822" s="785"/>
      <c r="Y822" s="435"/>
      <c r="Z822" s="435"/>
      <c r="AA822" s="435"/>
      <c r="AB822" s="324"/>
      <c r="AC822" s="180"/>
      <c r="AD822" s="155"/>
      <c r="AE822" s="322"/>
      <c r="AF822" s="132"/>
      <c r="AG822" s="132"/>
    </row>
    <row r="823">
      <c r="A823" s="435"/>
      <c r="B823" s="313"/>
      <c r="C823" s="313"/>
      <c r="D823" s="313"/>
      <c r="E823" s="737"/>
      <c r="F823" s="314"/>
      <c r="G823" s="318"/>
      <c r="H823" s="315"/>
      <c r="I823" s="314"/>
      <c r="J823" s="314"/>
      <c r="K823" s="314"/>
      <c r="L823" s="776"/>
      <c r="M823" s="314"/>
      <c r="N823" s="318"/>
      <c r="O823" s="315"/>
      <c r="P823" s="314"/>
      <c r="Q823" s="435"/>
      <c r="R823" s="314"/>
      <c r="S823" s="782"/>
      <c r="T823" s="435"/>
      <c r="U823" s="783"/>
      <c r="V823" s="744"/>
      <c r="W823" s="784"/>
      <c r="X823" s="785"/>
      <c r="Y823" s="435"/>
      <c r="Z823" s="435"/>
      <c r="AA823" s="435"/>
      <c r="AB823" s="324"/>
      <c r="AC823" s="180"/>
      <c r="AD823" s="155"/>
      <c r="AE823" s="322"/>
      <c r="AF823" s="132"/>
      <c r="AG823" s="132"/>
    </row>
    <row r="824">
      <c r="A824" s="435"/>
      <c r="B824" s="437"/>
      <c r="C824" s="313"/>
      <c r="D824" s="313"/>
      <c r="E824" s="737"/>
      <c r="F824" s="314"/>
      <c r="G824" s="318"/>
      <c r="H824" s="744"/>
      <c r="I824" s="314"/>
      <c r="J824" s="435"/>
      <c r="K824" s="435"/>
      <c r="L824" s="776"/>
      <c r="M824" s="314"/>
      <c r="N824" s="740"/>
      <c r="O824" s="315"/>
      <c r="P824" s="314"/>
      <c r="Q824" s="314"/>
      <c r="R824" s="435"/>
      <c r="S824" s="782"/>
      <c r="T824" s="435"/>
      <c r="U824" s="783"/>
      <c r="V824" s="744"/>
      <c r="W824" s="784"/>
      <c r="X824" s="785"/>
      <c r="Y824" s="435"/>
      <c r="Z824" s="435"/>
      <c r="AA824" s="435"/>
      <c r="AB824" s="324"/>
      <c r="AC824" s="180"/>
      <c r="AD824" s="155"/>
      <c r="AE824" s="322"/>
      <c r="AF824" s="132"/>
      <c r="AG824" s="132"/>
    </row>
    <row r="825">
      <c r="A825" s="435"/>
      <c r="B825" s="313"/>
      <c r="C825" s="437"/>
      <c r="D825" s="437"/>
      <c r="E825" s="753"/>
      <c r="F825" s="314"/>
      <c r="G825" s="318"/>
      <c r="H825" s="744"/>
      <c r="I825" s="314"/>
      <c r="J825" s="314"/>
      <c r="K825" s="435"/>
      <c r="L825" s="776"/>
      <c r="M825" s="314"/>
      <c r="N825" s="318"/>
      <c r="O825" s="315"/>
      <c r="P825" s="314"/>
      <c r="Q825" s="314"/>
      <c r="R825" s="314"/>
      <c r="S825" s="782"/>
      <c r="T825" s="435"/>
      <c r="U825" s="783"/>
      <c r="V825" s="744"/>
      <c r="W825" s="784"/>
      <c r="X825" s="785"/>
      <c r="Y825" s="435"/>
      <c r="Z825" s="435"/>
      <c r="AA825" s="435"/>
      <c r="AB825" s="324"/>
      <c r="AC825" s="180"/>
      <c r="AD825" s="155"/>
      <c r="AE825" s="322"/>
      <c r="AF825" s="132"/>
      <c r="AG825" s="132"/>
    </row>
    <row r="826">
      <c r="A826" s="435"/>
      <c r="B826" s="313"/>
      <c r="C826" s="313"/>
      <c r="D826" s="313"/>
      <c r="E826" s="737"/>
      <c r="F826" s="314"/>
      <c r="G826" s="318"/>
      <c r="H826" s="744"/>
      <c r="I826" s="314"/>
      <c r="J826" s="314"/>
      <c r="K826" s="314"/>
      <c r="L826" s="776"/>
      <c r="M826" s="314"/>
      <c r="N826" s="318"/>
      <c r="O826" s="315"/>
      <c r="P826" s="314"/>
      <c r="Q826" s="314"/>
      <c r="R826" s="435"/>
      <c r="S826" s="777"/>
      <c r="T826" s="314"/>
      <c r="U826" s="778"/>
      <c r="V826" s="315"/>
      <c r="W826" s="779"/>
      <c r="X826" s="780"/>
      <c r="Y826" s="314"/>
      <c r="Z826" s="314"/>
      <c r="AA826" s="314"/>
      <c r="AB826" s="324"/>
      <c r="AC826" s="180"/>
      <c r="AD826" s="155"/>
      <c r="AE826" s="322"/>
      <c r="AF826" s="132"/>
      <c r="AG826" s="132"/>
    </row>
    <row r="827">
      <c r="A827" s="435"/>
      <c r="B827" s="437"/>
      <c r="C827" s="437"/>
      <c r="D827" s="437"/>
      <c r="E827" s="753"/>
      <c r="F827" s="314"/>
      <c r="G827" s="318"/>
      <c r="H827" s="744"/>
      <c r="I827" s="435"/>
      <c r="J827" s="435"/>
      <c r="K827" s="435"/>
      <c r="L827" s="781"/>
      <c r="M827" s="435"/>
      <c r="N827" s="740"/>
      <c r="O827" s="315"/>
      <c r="P827" s="435"/>
      <c r="Q827" s="435"/>
      <c r="R827" s="435"/>
      <c r="S827" s="782"/>
      <c r="T827" s="435"/>
      <c r="U827" s="783"/>
      <c r="V827" s="744"/>
      <c r="W827" s="784"/>
      <c r="X827" s="785"/>
      <c r="Y827" s="435"/>
      <c r="Z827" s="435"/>
      <c r="AA827" s="435"/>
      <c r="AB827" s="324"/>
      <c r="AC827" s="180"/>
      <c r="AD827" s="155"/>
      <c r="AE827" s="322"/>
      <c r="AF827" s="132"/>
      <c r="AG827" s="132"/>
    </row>
    <row r="828">
      <c r="A828" s="435"/>
      <c r="B828" s="313"/>
      <c r="C828" s="313"/>
      <c r="D828" s="313"/>
      <c r="E828" s="737"/>
      <c r="F828" s="314"/>
      <c r="G828" s="318"/>
      <c r="H828" s="315"/>
      <c r="I828" s="314"/>
      <c r="J828" s="314"/>
      <c r="K828" s="314"/>
      <c r="L828" s="776"/>
      <c r="M828" s="435"/>
      <c r="N828" s="318"/>
      <c r="O828" s="315"/>
      <c r="P828" s="314"/>
      <c r="Q828" s="314"/>
      <c r="R828" s="314"/>
      <c r="S828" s="777"/>
      <c r="T828" s="314"/>
      <c r="U828" s="778"/>
      <c r="V828" s="315"/>
      <c r="W828" s="779"/>
      <c r="X828" s="780"/>
      <c r="Y828" s="314"/>
      <c r="Z828" s="314"/>
      <c r="AA828" s="314"/>
      <c r="AB828" s="324"/>
      <c r="AC828" s="180"/>
      <c r="AD828" s="155"/>
      <c r="AE828" s="322"/>
      <c r="AF828" s="132"/>
      <c r="AG828" s="132"/>
    </row>
    <row r="829">
      <c r="A829" s="435"/>
      <c r="B829" s="313"/>
      <c r="C829" s="437"/>
      <c r="D829" s="437"/>
      <c r="E829" s="753"/>
      <c r="F829" s="314"/>
      <c r="G829" s="318"/>
      <c r="H829" s="744"/>
      <c r="I829" s="435"/>
      <c r="J829" s="435"/>
      <c r="K829" s="435"/>
      <c r="L829" s="776"/>
      <c r="M829" s="435"/>
      <c r="N829" s="740"/>
      <c r="O829" s="315"/>
      <c r="P829" s="435"/>
      <c r="Q829" s="435"/>
      <c r="R829" s="435"/>
      <c r="S829" s="782"/>
      <c r="T829" s="435"/>
      <c r="U829" s="783"/>
      <c r="V829" s="744"/>
      <c r="W829" s="784"/>
      <c r="X829" s="785"/>
      <c r="Y829" s="435"/>
      <c r="Z829" s="435"/>
      <c r="AA829" s="435"/>
      <c r="AB829" s="324"/>
      <c r="AC829" s="180"/>
      <c r="AD829" s="155"/>
      <c r="AE829" s="322"/>
      <c r="AF829" s="132"/>
      <c r="AG829" s="132"/>
    </row>
    <row r="830">
      <c r="A830" s="435"/>
      <c r="B830" s="437"/>
      <c r="C830" s="437"/>
      <c r="D830" s="313"/>
      <c r="E830" s="753"/>
      <c r="F830" s="314"/>
      <c r="G830" s="318"/>
      <c r="H830" s="744"/>
      <c r="I830" s="435"/>
      <c r="J830" s="314"/>
      <c r="K830" s="435"/>
      <c r="L830" s="781"/>
      <c r="M830" s="314"/>
      <c r="N830" s="740"/>
      <c r="O830" s="315"/>
      <c r="P830" s="435"/>
      <c r="Q830" s="314"/>
      <c r="R830" s="435"/>
      <c r="S830" s="782"/>
      <c r="T830" s="435"/>
      <c r="U830" s="783"/>
      <c r="V830" s="744"/>
      <c r="W830" s="784"/>
      <c r="X830" s="785"/>
      <c r="Y830" s="435"/>
      <c r="Z830" s="435"/>
      <c r="AA830" s="435"/>
      <c r="AB830" s="324"/>
      <c r="AC830" s="180"/>
      <c r="AD830" s="155"/>
      <c r="AE830" s="322"/>
      <c r="AF830" s="132"/>
      <c r="AG830" s="132"/>
    </row>
    <row r="831">
      <c r="A831" s="458"/>
      <c r="B831" s="437"/>
      <c r="C831" s="437"/>
      <c r="D831" s="437"/>
      <c r="E831" s="753"/>
      <c r="F831" s="314"/>
      <c r="G831" s="318"/>
      <c r="H831" s="315"/>
      <c r="I831" s="435"/>
      <c r="J831" s="435"/>
      <c r="K831" s="435"/>
      <c r="L831" s="781"/>
      <c r="M831" s="435"/>
      <c r="N831" s="740"/>
      <c r="O831" s="315"/>
      <c r="P831" s="435"/>
      <c r="Q831" s="435"/>
      <c r="R831" s="435"/>
      <c r="S831" s="782"/>
      <c r="T831" s="435"/>
      <c r="U831" s="783"/>
      <c r="V831" s="744"/>
      <c r="W831" s="784"/>
      <c r="X831" s="785"/>
      <c r="Y831" s="435"/>
      <c r="Z831" s="435"/>
      <c r="AA831" s="435"/>
      <c r="AB831" s="324"/>
      <c r="AC831" s="180"/>
      <c r="AD831" s="155"/>
      <c r="AE831" s="322"/>
      <c r="AF831" s="132"/>
      <c r="AG831" s="132"/>
    </row>
    <row r="832">
      <c r="A832" s="458"/>
      <c r="B832" s="437"/>
      <c r="C832" s="437"/>
      <c r="D832" s="437"/>
      <c r="E832" s="753"/>
      <c r="F832" s="314"/>
      <c r="G832" s="318"/>
      <c r="H832" s="315"/>
      <c r="I832" s="314"/>
      <c r="J832" s="435"/>
      <c r="K832" s="435"/>
      <c r="L832" s="781"/>
      <c r="M832" s="435"/>
      <c r="N832" s="740"/>
      <c r="O832" s="315"/>
      <c r="P832" s="435"/>
      <c r="Q832" s="435"/>
      <c r="R832" s="435"/>
      <c r="S832" s="782"/>
      <c r="T832" s="435"/>
      <c r="U832" s="783"/>
      <c r="V832" s="744"/>
      <c r="W832" s="784"/>
      <c r="X832" s="785"/>
      <c r="Y832" s="435"/>
      <c r="Z832" s="435"/>
      <c r="AA832" s="435"/>
      <c r="AB832" s="324"/>
      <c r="AC832" s="180"/>
      <c r="AD832" s="155"/>
      <c r="AE832" s="322"/>
      <c r="AF832" s="132"/>
      <c r="AG832" s="132"/>
    </row>
    <row r="833">
      <c r="A833" s="458"/>
      <c r="B833" s="437"/>
      <c r="C833" s="437"/>
      <c r="D833" s="437"/>
      <c r="E833" s="737"/>
      <c r="F833" s="314"/>
      <c r="G833" s="318"/>
      <c r="H833" s="315"/>
      <c r="I833" s="435"/>
      <c r="J833" s="435"/>
      <c r="K833" s="435"/>
      <c r="L833" s="781"/>
      <c r="M833" s="435"/>
      <c r="N833" s="740"/>
      <c r="O833" s="315"/>
      <c r="P833" s="435"/>
      <c r="Q833" s="314"/>
      <c r="R833" s="435"/>
      <c r="S833" s="782"/>
      <c r="T833" s="435"/>
      <c r="U833" s="783"/>
      <c r="V833" s="744"/>
      <c r="W833" s="784"/>
      <c r="X833" s="785"/>
      <c r="Y833" s="435"/>
      <c r="Z833" s="435"/>
      <c r="AA833" s="435"/>
      <c r="AB833" s="324"/>
      <c r="AC833" s="180"/>
      <c r="AD833" s="155"/>
      <c r="AE833" s="322"/>
      <c r="AF833" s="132"/>
      <c r="AG833" s="132"/>
    </row>
    <row r="834">
      <c r="A834" s="458"/>
      <c r="B834" s="313"/>
      <c r="C834" s="313"/>
      <c r="D834" s="313"/>
      <c r="E834" s="737"/>
      <c r="F834" s="314"/>
      <c r="G834" s="318"/>
      <c r="H834" s="315"/>
      <c r="I834" s="314"/>
      <c r="J834" s="314"/>
      <c r="K834" s="314"/>
      <c r="L834" s="776"/>
      <c r="M834" s="314"/>
      <c r="N834" s="318"/>
      <c r="O834" s="315"/>
      <c r="P834" s="314"/>
      <c r="Q834" s="314"/>
      <c r="R834" s="314"/>
      <c r="S834" s="777"/>
      <c r="T834" s="314"/>
      <c r="U834" s="778"/>
      <c r="V834" s="315"/>
      <c r="W834" s="779"/>
      <c r="X834" s="780"/>
      <c r="Y834" s="314"/>
      <c r="Z834" s="314"/>
      <c r="AA834" s="314"/>
      <c r="AB834" s="324"/>
      <c r="AC834" s="180"/>
      <c r="AD834" s="155"/>
      <c r="AE834" s="322"/>
      <c r="AF834" s="132"/>
      <c r="AG834" s="132"/>
    </row>
    <row r="835">
      <c r="A835" s="458"/>
      <c r="B835" s="437"/>
      <c r="C835" s="437"/>
      <c r="D835" s="437"/>
      <c r="E835" s="737"/>
      <c r="F835" s="314"/>
      <c r="G835" s="318"/>
      <c r="H835" s="315"/>
      <c r="I835" s="314"/>
      <c r="J835" s="314"/>
      <c r="K835" s="435"/>
      <c r="L835" s="781"/>
      <c r="M835" s="435"/>
      <c r="N835" s="318"/>
      <c r="O835" s="315"/>
      <c r="P835" s="435"/>
      <c r="Q835" s="435"/>
      <c r="R835" s="435"/>
      <c r="S835" s="782"/>
      <c r="T835" s="435"/>
      <c r="U835" s="783"/>
      <c r="V835" s="744"/>
      <c r="W835" s="784"/>
      <c r="X835" s="785"/>
      <c r="Y835" s="435"/>
      <c r="Z835" s="435"/>
      <c r="AA835" s="435"/>
      <c r="AB835" s="324"/>
      <c r="AC835" s="180"/>
      <c r="AD835" s="155"/>
      <c r="AE835" s="322"/>
      <c r="AF835" s="132"/>
      <c r="AG835" s="132"/>
    </row>
    <row r="836">
      <c r="A836" s="458"/>
      <c r="B836" s="313"/>
      <c r="C836" s="313"/>
      <c r="D836" s="437"/>
      <c r="E836" s="737"/>
      <c r="F836" s="314"/>
      <c r="G836" s="318"/>
      <c r="H836" s="315"/>
      <c r="I836" s="314"/>
      <c r="J836" s="314"/>
      <c r="K836" s="314"/>
      <c r="L836" s="776"/>
      <c r="M836" s="314"/>
      <c r="N836" s="318"/>
      <c r="O836" s="315"/>
      <c r="P836" s="314"/>
      <c r="Q836" s="314"/>
      <c r="R836" s="314"/>
      <c r="S836" s="777"/>
      <c r="T836" s="314"/>
      <c r="U836" s="778"/>
      <c r="V836" s="315"/>
      <c r="W836" s="779"/>
      <c r="X836" s="780"/>
      <c r="Y836" s="314"/>
      <c r="Z836" s="314"/>
      <c r="AA836" s="314"/>
      <c r="AB836" s="324"/>
      <c r="AC836" s="180"/>
      <c r="AD836" s="155"/>
      <c r="AE836" s="322"/>
      <c r="AF836" s="132"/>
      <c r="AG836" s="132"/>
    </row>
    <row r="837">
      <c r="A837" s="458"/>
      <c r="B837" s="313"/>
      <c r="C837" s="437"/>
      <c r="D837" s="313"/>
      <c r="E837" s="737"/>
      <c r="F837" s="314"/>
      <c r="G837" s="318"/>
      <c r="H837" s="315"/>
      <c r="I837" s="435"/>
      <c r="J837" s="314"/>
      <c r="K837" s="314"/>
      <c r="L837" s="781"/>
      <c r="M837" s="314"/>
      <c r="N837" s="318"/>
      <c r="O837" s="315"/>
      <c r="P837" s="314"/>
      <c r="Q837" s="435"/>
      <c r="R837" s="435"/>
      <c r="S837" s="782"/>
      <c r="T837" s="435"/>
      <c r="U837" s="783"/>
      <c r="V837" s="744"/>
      <c r="W837" s="784"/>
      <c r="X837" s="785"/>
      <c r="Y837" s="435"/>
      <c r="Z837" s="435"/>
      <c r="AA837" s="435"/>
      <c r="AB837" s="324"/>
      <c r="AC837" s="180"/>
      <c r="AD837" s="155"/>
      <c r="AE837" s="322"/>
      <c r="AF837" s="132"/>
      <c r="AG837" s="132"/>
    </row>
    <row r="838">
      <c r="A838" s="458"/>
      <c r="B838" s="313"/>
      <c r="C838" s="437"/>
      <c r="D838" s="437"/>
      <c r="E838" s="753"/>
      <c r="F838" s="314"/>
      <c r="G838" s="318"/>
      <c r="H838" s="744"/>
      <c r="I838" s="435"/>
      <c r="J838" s="314"/>
      <c r="K838" s="435"/>
      <c r="L838" s="781"/>
      <c r="M838" s="314"/>
      <c r="N838" s="318"/>
      <c r="O838" s="315"/>
      <c r="P838" s="435"/>
      <c r="Q838" s="435"/>
      <c r="R838" s="435"/>
      <c r="S838" s="782"/>
      <c r="T838" s="435"/>
      <c r="U838" s="783"/>
      <c r="V838" s="744"/>
      <c r="W838" s="784"/>
      <c r="X838" s="785"/>
      <c r="Y838" s="435"/>
      <c r="Z838" s="435"/>
      <c r="AA838" s="435"/>
      <c r="AB838" s="324"/>
      <c r="AC838" s="180"/>
      <c r="AD838" s="155"/>
      <c r="AE838" s="322"/>
      <c r="AF838" s="132"/>
      <c r="AG838" s="132"/>
    </row>
    <row r="839">
      <c r="A839" s="458"/>
      <c r="B839" s="313"/>
      <c r="C839" s="437"/>
      <c r="D839" s="437"/>
      <c r="E839" s="737"/>
      <c r="F839" s="314"/>
      <c r="G839" s="318"/>
      <c r="H839" s="315"/>
      <c r="I839" s="314"/>
      <c r="J839" s="314"/>
      <c r="K839" s="435"/>
      <c r="L839" s="776"/>
      <c r="M839" s="314"/>
      <c r="N839" s="318"/>
      <c r="O839" s="315"/>
      <c r="P839" s="314"/>
      <c r="Q839" s="314"/>
      <c r="R839" s="435"/>
      <c r="S839" s="782"/>
      <c r="T839" s="435"/>
      <c r="U839" s="783"/>
      <c r="V839" s="744"/>
      <c r="W839" s="784"/>
      <c r="X839" s="785"/>
      <c r="Y839" s="435"/>
      <c r="Z839" s="435"/>
      <c r="AA839" s="435"/>
      <c r="AB839" s="324"/>
      <c r="AC839" s="180"/>
      <c r="AD839" s="155"/>
      <c r="AE839" s="322"/>
      <c r="AF839" s="132"/>
      <c r="AG839" s="132"/>
    </row>
    <row r="840">
      <c r="A840" s="458"/>
      <c r="B840" s="437"/>
      <c r="C840" s="437"/>
      <c r="D840" s="437"/>
      <c r="E840" s="753"/>
      <c r="F840" s="314"/>
      <c r="G840" s="318"/>
      <c r="H840" s="744"/>
      <c r="I840" s="435"/>
      <c r="J840" s="435"/>
      <c r="K840" s="435"/>
      <c r="L840" s="781"/>
      <c r="M840" s="435"/>
      <c r="N840" s="740"/>
      <c r="O840" s="315"/>
      <c r="P840" s="435"/>
      <c r="Q840" s="435"/>
      <c r="R840" s="435"/>
      <c r="S840" s="782"/>
      <c r="T840" s="435"/>
      <c r="U840" s="783"/>
      <c r="V840" s="744"/>
      <c r="W840" s="784"/>
      <c r="X840" s="785"/>
      <c r="Y840" s="435"/>
      <c r="Z840" s="435"/>
      <c r="AA840" s="435"/>
      <c r="AB840" s="324"/>
      <c r="AC840" s="180"/>
      <c r="AD840" s="155"/>
      <c r="AE840" s="322"/>
      <c r="AF840" s="132"/>
      <c r="AG840" s="132"/>
    </row>
    <row r="841">
      <c r="A841" s="435"/>
      <c r="B841" s="437"/>
      <c r="C841" s="437"/>
      <c r="D841" s="437"/>
      <c r="E841" s="753"/>
      <c r="F841" s="314"/>
      <c r="G841" s="318"/>
      <c r="H841" s="744"/>
      <c r="I841" s="435"/>
      <c r="J841" s="435"/>
      <c r="K841" s="435"/>
      <c r="L841" s="781"/>
      <c r="M841" s="435"/>
      <c r="N841" s="740"/>
      <c r="O841" s="315"/>
      <c r="P841" s="435"/>
      <c r="Q841" s="435"/>
      <c r="R841" s="435"/>
      <c r="S841" s="782"/>
      <c r="T841" s="435"/>
      <c r="U841" s="783"/>
      <c r="V841" s="744"/>
      <c r="W841" s="784"/>
      <c r="X841" s="785"/>
      <c r="Y841" s="435"/>
      <c r="Z841" s="435"/>
      <c r="AA841" s="435"/>
      <c r="AB841" s="324"/>
      <c r="AC841" s="180"/>
      <c r="AD841" s="155"/>
      <c r="AE841" s="322"/>
      <c r="AF841" s="132"/>
      <c r="AG841" s="132"/>
    </row>
    <row r="842">
      <c r="A842" s="474"/>
      <c r="B842" s="437"/>
      <c r="C842" s="437"/>
      <c r="D842" s="437"/>
      <c r="E842" s="753"/>
      <c r="F842" s="314"/>
      <c r="G842" s="318"/>
      <c r="H842" s="744"/>
      <c r="I842" s="435"/>
      <c r="J842" s="435"/>
      <c r="K842" s="435"/>
      <c r="L842" s="781"/>
      <c r="M842" s="435"/>
      <c r="N842" s="740"/>
      <c r="O842" s="315"/>
      <c r="P842" s="435"/>
      <c r="Q842" s="435"/>
      <c r="R842" s="435"/>
      <c r="S842" s="782"/>
      <c r="T842" s="435"/>
      <c r="U842" s="783"/>
      <c r="V842" s="744"/>
      <c r="W842" s="784"/>
      <c r="X842" s="785"/>
      <c r="Y842" s="435"/>
      <c r="Z842" s="435"/>
      <c r="AA842" s="435"/>
      <c r="AB842" s="324"/>
      <c r="AC842" s="180"/>
      <c r="AD842" s="155"/>
      <c r="AE842" s="322"/>
      <c r="AF842" s="132"/>
      <c r="AG842" s="132"/>
    </row>
    <row r="843">
      <c r="A843" s="474"/>
      <c r="B843" s="437"/>
      <c r="C843" s="313"/>
      <c r="D843" s="437"/>
      <c r="E843" s="753"/>
      <c r="F843" s="314"/>
      <c r="G843" s="318"/>
      <c r="H843" s="744"/>
      <c r="I843" s="435"/>
      <c r="J843" s="435"/>
      <c r="K843" s="314"/>
      <c r="L843" s="776"/>
      <c r="M843" s="314"/>
      <c r="N843" s="740"/>
      <c r="O843" s="315"/>
      <c r="P843" s="314"/>
      <c r="Q843" s="435"/>
      <c r="R843" s="314"/>
      <c r="S843" s="782"/>
      <c r="T843" s="435"/>
      <c r="U843" s="783"/>
      <c r="V843" s="744"/>
      <c r="W843" s="784"/>
      <c r="X843" s="785"/>
      <c r="Y843" s="435"/>
      <c r="Z843" s="435"/>
      <c r="AA843" s="435"/>
      <c r="AB843" s="324"/>
      <c r="AC843" s="180"/>
      <c r="AD843" s="155"/>
      <c r="AE843" s="322"/>
      <c r="AF843" s="132"/>
      <c r="AG843" s="132"/>
    </row>
    <row r="844">
      <c r="A844" s="474"/>
      <c r="B844" s="313"/>
      <c r="C844" s="313"/>
      <c r="D844" s="313"/>
      <c r="E844" s="737"/>
      <c r="F844" s="314"/>
      <c r="G844" s="318"/>
      <c r="H844" s="315"/>
      <c r="I844" s="314"/>
      <c r="J844" s="314"/>
      <c r="K844" s="435"/>
      <c r="L844" s="776"/>
      <c r="M844" s="314"/>
      <c r="N844" s="318"/>
      <c r="O844" s="315"/>
      <c r="P844" s="435"/>
      <c r="Q844" s="314"/>
      <c r="R844" s="314"/>
      <c r="S844" s="777"/>
      <c r="T844" s="314"/>
      <c r="U844" s="778"/>
      <c r="V844" s="315"/>
      <c r="W844" s="779"/>
      <c r="X844" s="780"/>
      <c r="Y844" s="314"/>
      <c r="Z844" s="314"/>
      <c r="AA844" s="314"/>
      <c r="AB844" s="324"/>
      <c r="AC844" s="180"/>
      <c r="AD844" s="155"/>
      <c r="AE844" s="322"/>
      <c r="AF844" s="132"/>
      <c r="AG844" s="132"/>
    </row>
    <row r="845">
      <c r="A845" s="474"/>
      <c r="B845" s="313"/>
      <c r="C845" s="437"/>
      <c r="D845" s="437"/>
      <c r="E845" s="737"/>
      <c r="F845" s="314"/>
      <c r="G845" s="318"/>
      <c r="H845" s="315"/>
      <c r="I845" s="435"/>
      <c r="J845" s="314"/>
      <c r="K845" s="314"/>
      <c r="L845" s="776"/>
      <c r="M845" s="314"/>
      <c r="N845" s="318"/>
      <c r="O845" s="315"/>
      <c r="P845" s="314"/>
      <c r="Q845" s="314"/>
      <c r="R845" s="314"/>
      <c r="S845" s="777"/>
      <c r="T845" s="314"/>
      <c r="U845" s="778"/>
      <c r="V845" s="315"/>
      <c r="W845" s="779"/>
      <c r="X845" s="780"/>
      <c r="Y845" s="314"/>
      <c r="Z845" s="314"/>
      <c r="AA845" s="314"/>
      <c r="AB845" s="324"/>
      <c r="AC845" s="180"/>
      <c r="AD845" s="155"/>
      <c r="AE845" s="322"/>
      <c r="AF845" s="132"/>
      <c r="AG845" s="132"/>
    </row>
    <row r="846">
      <c r="A846" s="474"/>
      <c r="B846" s="313"/>
      <c r="C846" s="313"/>
      <c r="D846" s="313"/>
      <c r="E846" s="737"/>
      <c r="F846" s="314"/>
      <c r="G846" s="318"/>
      <c r="H846" s="315"/>
      <c r="I846" s="314"/>
      <c r="J846" s="314"/>
      <c r="K846" s="435"/>
      <c r="L846" s="776"/>
      <c r="M846" s="314"/>
      <c r="N846" s="318"/>
      <c r="O846" s="315"/>
      <c r="P846" s="314"/>
      <c r="Q846" s="314"/>
      <c r="R846" s="314"/>
      <c r="S846" s="777"/>
      <c r="T846" s="314"/>
      <c r="U846" s="778"/>
      <c r="V846" s="315"/>
      <c r="W846" s="779"/>
      <c r="X846" s="780"/>
      <c r="Y846" s="314"/>
      <c r="Z846" s="314"/>
      <c r="AA846" s="314"/>
      <c r="AB846" s="324"/>
      <c r="AC846" s="180"/>
      <c r="AD846" s="155"/>
      <c r="AE846" s="322"/>
      <c r="AF846" s="132"/>
      <c r="AG846" s="132"/>
    </row>
    <row r="847">
      <c r="A847" s="458"/>
      <c r="B847" s="313"/>
      <c r="C847" s="437"/>
      <c r="D847" s="313"/>
      <c r="E847" s="737"/>
      <c r="F847" s="314"/>
      <c r="G847" s="318"/>
      <c r="H847" s="315"/>
      <c r="I847" s="314"/>
      <c r="J847" s="435"/>
      <c r="K847" s="435"/>
      <c r="L847" s="776"/>
      <c r="M847" s="314"/>
      <c r="N847" s="318"/>
      <c r="O847" s="315"/>
      <c r="P847" s="314"/>
      <c r="Q847" s="314"/>
      <c r="R847" s="314"/>
      <c r="S847" s="777"/>
      <c r="T847" s="314"/>
      <c r="U847" s="778"/>
      <c r="V847" s="315"/>
      <c r="W847" s="779"/>
      <c r="X847" s="780"/>
      <c r="Y847" s="314"/>
      <c r="Z847" s="314"/>
      <c r="AA847" s="314"/>
      <c r="AB847" s="324"/>
      <c r="AC847" s="180"/>
      <c r="AD847" s="155"/>
      <c r="AE847" s="322"/>
      <c r="AF847" s="132"/>
      <c r="AG847" s="132"/>
    </row>
    <row r="848">
      <c r="A848" s="435"/>
      <c r="B848" s="313"/>
      <c r="C848" s="437"/>
      <c r="D848" s="437"/>
      <c r="E848" s="753"/>
      <c r="F848" s="314"/>
      <c r="G848" s="318"/>
      <c r="H848" s="744"/>
      <c r="I848" s="314"/>
      <c r="J848" s="314"/>
      <c r="K848" s="435"/>
      <c r="L848" s="776"/>
      <c r="M848" s="435"/>
      <c r="N848" s="740"/>
      <c r="O848" s="315"/>
      <c r="P848" s="314"/>
      <c r="Q848" s="314"/>
      <c r="R848" s="435"/>
      <c r="S848" s="777"/>
      <c r="T848" s="314"/>
      <c r="U848" s="778"/>
      <c r="V848" s="315"/>
      <c r="W848" s="779"/>
      <c r="X848" s="780"/>
      <c r="Y848" s="314"/>
      <c r="Z848" s="314"/>
      <c r="AA848" s="314"/>
      <c r="AB848" s="324"/>
      <c r="AC848" s="180"/>
      <c r="AD848" s="155"/>
      <c r="AE848" s="322"/>
      <c r="AF848" s="132"/>
      <c r="AG848" s="132"/>
    </row>
    <row r="849">
      <c r="A849" s="435"/>
      <c r="B849" s="437"/>
      <c r="C849" s="313"/>
      <c r="D849" s="313"/>
      <c r="E849" s="737"/>
      <c r="F849" s="314"/>
      <c r="G849" s="318"/>
      <c r="H849" s="315"/>
      <c r="I849" s="314"/>
      <c r="J849" s="314"/>
      <c r="K849" s="314"/>
      <c r="L849" s="776"/>
      <c r="M849" s="314"/>
      <c r="N849" s="318"/>
      <c r="O849" s="315"/>
      <c r="P849" s="435"/>
      <c r="Q849" s="314"/>
      <c r="R849" s="314"/>
      <c r="S849" s="777"/>
      <c r="T849" s="314"/>
      <c r="U849" s="778"/>
      <c r="V849" s="315"/>
      <c r="W849" s="779"/>
      <c r="X849" s="780"/>
      <c r="Y849" s="314"/>
      <c r="Z849" s="314"/>
      <c r="AA849" s="314"/>
      <c r="AB849" s="324"/>
      <c r="AC849" s="180"/>
      <c r="AD849" s="155"/>
      <c r="AE849" s="322"/>
      <c r="AF849" s="132"/>
      <c r="AG849" s="132"/>
    </row>
    <row r="850">
      <c r="A850" s="435"/>
      <c r="B850" s="437"/>
      <c r="C850" s="313"/>
      <c r="D850" s="313"/>
      <c r="E850" s="737"/>
      <c r="F850" s="314"/>
      <c r="G850" s="318"/>
      <c r="H850" s="315"/>
      <c r="I850" s="314"/>
      <c r="J850" s="314"/>
      <c r="K850" s="314"/>
      <c r="L850" s="776"/>
      <c r="M850" s="314"/>
      <c r="N850" s="318"/>
      <c r="O850" s="315"/>
      <c r="P850" s="314"/>
      <c r="Q850" s="435"/>
      <c r="R850" s="314"/>
      <c r="S850" s="782"/>
      <c r="T850" s="435"/>
      <c r="U850" s="783"/>
      <c r="V850" s="744"/>
      <c r="W850" s="784"/>
      <c r="X850" s="785"/>
      <c r="Y850" s="435"/>
      <c r="Z850" s="435"/>
      <c r="AA850" s="435"/>
      <c r="AB850" s="324"/>
      <c r="AC850" s="180"/>
      <c r="AD850" s="155"/>
      <c r="AE850" s="322"/>
      <c r="AF850" s="132"/>
      <c r="AG850" s="132"/>
    </row>
    <row r="851">
      <c r="A851" s="435"/>
      <c r="B851" s="313"/>
      <c r="C851" s="437"/>
      <c r="D851" s="313"/>
      <c r="E851" s="737"/>
      <c r="F851" s="314"/>
      <c r="G851" s="318"/>
      <c r="H851" s="315"/>
      <c r="I851" s="314"/>
      <c r="J851" s="314"/>
      <c r="K851" s="314"/>
      <c r="L851" s="776"/>
      <c r="M851" s="314"/>
      <c r="N851" s="318"/>
      <c r="O851" s="315"/>
      <c r="P851" s="314"/>
      <c r="Q851" s="314"/>
      <c r="R851" s="435"/>
      <c r="S851" s="777"/>
      <c r="T851" s="314"/>
      <c r="U851" s="778"/>
      <c r="V851" s="315"/>
      <c r="W851" s="779"/>
      <c r="X851" s="780"/>
      <c r="Y851" s="314"/>
      <c r="Z851" s="314"/>
      <c r="AA851" s="314"/>
      <c r="AB851" s="324"/>
      <c r="AC851" s="180"/>
      <c r="AD851" s="155"/>
      <c r="AE851" s="322"/>
      <c r="AF851" s="132"/>
      <c r="AG851" s="132"/>
    </row>
    <row r="852">
      <c r="A852" s="435"/>
      <c r="B852" s="313"/>
      <c r="C852" s="313"/>
      <c r="D852" s="313"/>
      <c r="E852" s="737"/>
      <c r="F852" s="314"/>
      <c r="G852" s="318"/>
      <c r="H852" s="315"/>
      <c r="I852" s="314"/>
      <c r="J852" s="314"/>
      <c r="K852" s="435"/>
      <c r="L852" s="776"/>
      <c r="M852" s="435"/>
      <c r="N852" s="318"/>
      <c r="O852" s="315"/>
      <c r="P852" s="314"/>
      <c r="Q852" s="435"/>
      <c r="R852" s="314"/>
      <c r="S852" s="777"/>
      <c r="T852" s="314"/>
      <c r="U852" s="778"/>
      <c r="V852" s="315"/>
      <c r="W852" s="779"/>
      <c r="X852" s="780"/>
      <c r="Y852" s="314"/>
      <c r="Z852" s="314"/>
      <c r="AA852" s="314"/>
      <c r="AB852" s="324"/>
      <c r="AC852" s="180"/>
      <c r="AD852" s="155"/>
      <c r="AE852" s="322"/>
      <c r="AF852" s="132"/>
      <c r="AG852" s="132"/>
    </row>
    <row r="853">
      <c r="A853" s="435"/>
      <c r="B853" s="313"/>
      <c r="C853" s="437"/>
      <c r="D853" s="437"/>
      <c r="E853" s="737"/>
      <c r="F853" s="314"/>
      <c r="G853" s="318"/>
      <c r="H853" s="315"/>
      <c r="I853" s="314"/>
      <c r="J853" s="314"/>
      <c r="K853" s="435"/>
      <c r="L853" s="776"/>
      <c r="M853" s="435"/>
      <c r="N853" s="318"/>
      <c r="O853" s="315"/>
      <c r="P853" s="314"/>
      <c r="Q853" s="435"/>
      <c r="R853" s="314"/>
      <c r="S853" s="777"/>
      <c r="T853" s="314"/>
      <c r="U853" s="778"/>
      <c r="V853" s="315"/>
      <c r="W853" s="779"/>
      <c r="X853" s="780"/>
      <c r="Y853" s="314"/>
      <c r="Z853" s="314"/>
      <c r="AA853" s="314"/>
      <c r="AB853" s="324"/>
      <c r="AC853" s="180"/>
      <c r="AD853" s="155"/>
      <c r="AE853" s="322"/>
      <c r="AF853" s="132"/>
      <c r="AG853" s="132"/>
    </row>
    <row r="854">
      <c r="A854" s="476"/>
      <c r="AD854" s="176"/>
      <c r="AE854" s="322"/>
      <c r="AF854" s="132"/>
      <c r="AG854" s="132"/>
    </row>
    <row r="855">
      <c r="A855" s="178"/>
      <c r="AE855" s="322"/>
      <c r="AF855" s="132"/>
      <c r="AG855" s="132"/>
    </row>
    <row r="856">
      <c r="A856" s="474"/>
      <c r="B856" s="437"/>
      <c r="C856" s="437"/>
      <c r="D856" s="437"/>
      <c r="E856" s="753"/>
      <c r="F856" s="314"/>
      <c r="G856" s="318"/>
      <c r="H856" s="315"/>
      <c r="I856" s="435"/>
      <c r="J856" s="435"/>
      <c r="K856" s="435"/>
      <c r="L856" s="781"/>
      <c r="M856" s="435"/>
      <c r="N856" s="740"/>
      <c r="O856" s="315"/>
      <c r="P856" s="435"/>
      <c r="Q856" s="435"/>
      <c r="R856" s="435"/>
      <c r="S856" s="782"/>
      <c r="T856" s="435"/>
      <c r="U856" s="783"/>
      <c r="V856" s="744"/>
      <c r="W856" s="784"/>
      <c r="X856" s="785"/>
      <c r="Y856" s="435"/>
      <c r="Z856" s="435"/>
      <c r="AA856" s="435"/>
      <c r="AB856" s="324"/>
      <c r="AC856" s="180"/>
      <c r="AD856" s="155"/>
      <c r="AE856" s="322"/>
      <c r="AF856" s="132"/>
      <c r="AG856" s="132"/>
    </row>
    <row r="857">
      <c r="A857" s="474"/>
      <c r="B857" s="313"/>
      <c r="C857" s="437"/>
      <c r="D857" s="437"/>
      <c r="E857" s="753"/>
      <c r="F857" s="314"/>
      <c r="G857" s="318"/>
      <c r="H857" s="744"/>
      <c r="I857" s="314"/>
      <c r="J857" s="435"/>
      <c r="K857" s="435"/>
      <c r="L857" s="781"/>
      <c r="M857" s="314"/>
      <c r="N857" s="318"/>
      <c r="O857" s="315"/>
      <c r="P857" s="435"/>
      <c r="Q857" s="435"/>
      <c r="R857" s="435"/>
      <c r="S857" s="782"/>
      <c r="T857" s="435"/>
      <c r="U857" s="783"/>
      <c r="V857" s="744"/>
      <c r="W857" s="784"/>
      <c r="X857" s="785"/>
      <c r="Y857" s="435"/>
      <c r="Z857" s="435"/>
      <c r="AA857" s="435"/>
      <c r="AB857" s="324"/>
      <c r="AC857" s="180"/>
      <c r="AD857" s="155"/>
      <c r="AE857" s="322"/>
      <c r="AF857" s="132"/>
      <c r="AG857" s="132"/>
    </row>
    <row r="858">
      <c r="A858" s="477"/>
      <c r="B858" s="437"/>
      <c r="C858" s="437"/>
      <c r="D858" s="437"/>
      <c r="E858" s="737"/>
      <c r="F858" s="314"/>
      <c r="G858" s="318"/>
      <c r="H858" s="744"/>
      <c r="I858" s="435"/>
      <c r="J858" s="435"/>
      <c r="K858" s="435"/>
      <c r="L858" s="781"/>
      <c r="M858" s="435"/>
      <c r="N858" s="740"/>
      <c r="O858" s="315"/>
      <c r="P858" s="435"/>
      <c r="Q858" s="435"/>
      <c r="R858" s="435"/>
      <c r="S858" s="782"/>
      <c r="T858" s="435"/>
      <c r="U858" s="783"/>
      <c r="V858" s="744"/>
      <c r="W858" s="784"/>
      <c r="X858" s="785"/>
      <c r="Y858" s="435"/>
      <c r="Z858" s="435"/>
      <c r="AA858" s="435"/>
      <c r="AB858" s="324"/>
      <c r="AC858" s="180"/>
      <c r="AD858" s="155"/>
      <c r="AE858" s="322"/>
      <c r="AF858" s="132"/>
      <c r="AG858" s="132"/>
    </row>
    <row r="859">
      <c r="A859" s="477"/>
      <c r="B859" s="437"/>
      <c r="C859" s="437"/>
      <c r="D859" s="437"/>
      <c r="E859" s="737"/>
      <c r="F859" s="314"/>
      <c r="G859" s="318"/>
      <c r="H859" s="744"/>
      <c r="I859" s="314"/>
      <c r="J859" s="314"/>
      <c r="K859" s="435"/>
      <c r="L859" s="781"/>
      <c r="M859" s="435"/>
      <c r="N859" s="318"/>
      <c r="O859" s="315"/>
      <c r="P859" s="435"/>
      <c r="Q859" s="435"/>
      <c r="R859" s="435"/>
      <c r="S859" s="782"/>
      <c r="T859" s="435"/>
      <c r="U859" s="783"/>
      <c r="V859" s="744"/>
      <c r="W859" s="784"/>
      <c r="X859" s="785"/>
      <c r="Y859" s="435"/>
      <c r="Z859" s="435"/>
      <c r="AA859" s="435"/>
      <c r="AB859" s="324"/>
      <c r="AC859" s="180"/>
      <c r="AD859" s="155"/>
      <c r="AE859" s="322"/>
      <c r="AF859" s="132"/>
      <c r="AG859" s="132"/>
    </row>
    <row r="860">
      <c r="A860" s="477"/>
      <c r="B860" s="437"/>
      <c r="C860" s="437"/>
      <c r="D860" s="437"/>
      <c r="E860" s="753"/>
      <c r="F860" s="314"/>
      <c r="G860" s="318"/>
      <c r="H860" s="744"/>
      <c r="I860" s="435"/>
      <c r="J860" s="435"/>
      <c r="K860" s="435"/>
      <c r="L860" s="781"/>
      <c r="M860" s="435"/>
      <c r="N860" s="740"/>
      <c r="O860" s="315"/>
      <c r="P860" s="435"/>
      <c r="Q860" s="435"/>
      <c r="R860" s="435"/>
      <c r="S860" s="782"/>
      <c r="T860" s="435"/>
      <c r="U860" s="783"/>
      <c r="V860" s="744"/>
      <c r="W860" s="784"/>
      <c r="X860" s="785"/>
      <c r="Y860" s="435"/>
      <c r="Z860" s="435"/>
      <c r="AA860" s="435"/>
      <c r="AB860" s="324"/>
      <c r="AC860" s="180"/>
      <c r="AD860" s="155"/>
      <c r="AE860" s="322"/>
      <c r="AF860" s="132"/>
      <c r="AG860" s="132"/>
    </row>
    <row r="861">
      <c r="A861" s="474"/>
      <c r="B861" s="313"/>
      <c r="C861" s="437"/>
      <c r="D861" s="313"/>
      <c r="E861" s="753"/>
      <c r="F861" s="314"/>
      <c r="G861" s="318"/>
      <c r="H861" s="744"/>
      <c r="I861" s="314"/>
      <c r="J861" s="435"/>
      <c r="K861" s="435"/>
      <c r="L861" s="776"/>
      <c r="M861" s="435"/>
      <c r="N861" s="318"/>
      <c r="O861" s="315"/>
      <c r="P861" s="435"/>
      <c r="Q861" s="435"/>
      <c r="R861" s="435"/>
      <c r="S861" s="782"/>
      <c r="T861" s="435"/>
      <c r="U861" s="783"/>
      <c r="V861" s="744"/>
      <c r="W861" s="784"/>
      <c r="X861" s="785"/>
      <c r="Y861" s="435"/>
      <c r="Z861" s="435"/>
      <c r="AA861" s="435"/>
      <c r="AB861" s="324"/>
      <c r="AC861" s="180"/>
      <c r="AD861" s="155"/>
      <c r="AE861" s="322"/>
      <c r="AF861" s="132"/>
      <c r="AG861" s="132"/>
    </row>
    <row r="862">
      <c r="A862" s="478"/>
      <c r="B862" s="437"/>
      <c r="C862" s="437"/>
      <c r="D862" s="437"/>
      <c r="E862" s="753"/>
      <c r="F862" s="314"/>
      <c r="G862" s="318"/>
      <c r="H862" s="744"/>
      <c r="I862" s="435"/>
      <c r="J862" s="435"/>
      <c r="K862" s="435"/>
      <c r="L862" s="781"/>
      <c r="M862" s="435"/>
      <c r="N862" s="740"/>
      <c r="O862" s="315"/>
      <c r="P862" s="435"/>
      <c r="Q862" s="435"/>
      <c r="R862" s="435"/>
      <c r="S862" s="782"/>
      <c r="T862" s="435"/>
      <c r="U862" s="783"/>
      <c r="V862" s="744"/>
      <c r="W862" s="784"/>
      <c r="X862" s="785"/>
      <c r="Y862" s="435"/>
      <c r="Z862" s="435"/>
      <c r="AA862" s="435"/>
      <c r="AB862" s="324"/>
      <c r="AC862" s="180"/>
      <c r="AD862" s="155"/>
      <c r="AE862" s="322"/>
      <c r="AF862" s="132"/>
      <c r="AG862" s="132"/>
    </row>
    <row r="863">
      <c r="A863" s="478"/>
      <c r="B863" s="437"/>
      <c r="C863" s="437"/>
      <c r="D863" s="437"/>
      <c r="E863" s="753"/>
      <c r="F863" s="314"/>
      <c r="G863" s="318"/>
      <c r="H863" s="744"/>
      <c r="I863" s="435"/>
      <c r="J863" s="435"/>
      <c r="K863" s="435"/>
      <c r="L863" s="781"/>
      <c r="M863" s="435"/>
      <c r="N863" s="740"/>
      <c r="O863" s="315"/>
      <c r="P863" s="435"/>
      <c r="Q863" s="435"/>
      <c r="R863" s="435"/>
      <c r="S863" s="782"/>
      <c r="T863" s="435"/>
      <c r="U863" s="783"/>
      <c r="V863" s="744"/>
      <c r="W863" s="784"/>
      <c r="X863" s="785"/>
      <c r="Y863" s="435"/>
      <c r="Z863" s="435"/>
      <c r="AA863" s="435"/>
      <c r="AB863" s="324"/>
      <c r="AC863" s="180"/>
      <c r="AD863" s="155"/>
      <c r="AE863" s="322"/>
      <c r="AF863" s="132"/>
      <c r="AG863" s="132"/>
    </row>
    <row r="864">
      <c r="A864" s="478"/>
      <c r="B864" s="437"/>
      <c r="C864" s="437"/>
      <c r="D864" s="313"/>
      <c r="E864" s="737"/>
      <c r="F864" s="314"/>
      <c r="G864" s="318"/>
      <c r="H864" s="744"/>
      <c r="I864" s="435"/>
      <c r="J864" s="314"/>
      <c r="K864" s="435"/>
      <c r="L864" s="776"/>
      <c r="M864" s="435"/>
      <c r="N864" s="318"/>
      <c r="O864" s="315"/>
      <c r="P864" s="314"/>
      <c r="Q864" s="314"/>
      <c r="R864" s="314"/>
      <c r="S864" s="782"/>
      <c r="T864" s="435"/>
      <c r="U864" s="783"/>
      <c r="V864" s="744"/>
      <c r="W864" s="784"/>
      <c r="X864" s="785"/>
      <c r="Y864" s="435"/>
      <c r="Z864" s="435"/>
      <c r="AA864" s="435"/>
      <c r="AB864" s="324"/>
      <c r="AC864" s="180"/>
      <c r="AD864" s="155"/>
      <c r="AE864" s="322"/>
      <c r="AF864" s="132"/>
      <c r="AG864" s="132"/>
    </row>
    <row r="865">
      <c r="A865" s="477"/>
      <c r="B865" s="313"/>
      <c r="C865" s="437"/>
      <c r="D865" s="437"/>
      <c r="E865" s="753"/>
      <c r="F865" s="314"/>
      <c r="G865" s="318"/>
      <c r="H865" s="744"/>
      <c r="I865" s="435"/>
      <c r="J865" s="435"/>
      <c r="K865" s="435"/>
      <c r="L865" s="781"/>
      <c r="M865" s="435"/>
      <c r="N865" s="740"/>
      <c r="O865" s="315"/>
      <c r="P865" s="435"/>
      <c r="Q865" s="435"/>
      <c r="R865" s="435"/>
      <c r="S865" s="782"/>
      <c r="T865" s="435"/>
      <c r="U865" s="783"/>
      <c r="V865" s="744"/>
      <c r="W865" s="784"/>
      <c r="X865" s="785"/>
      <c r="Y865" s="435"/>
      <c r="Z865" s="435"/>
      <c r="AA865" s="435"/>
      <c r="AB865" s="324"/>
      <c r="AC865" s="180"/>
      <c r="AD865" s="155"/>
      <c r="AE865" s="322"/>
      <c r="AF865" s="132"/>
      <c r="AG865" s="132"/>
    </row>
    <row r="866">
      <c r="A866" s="477"/>
      <c r="B866" s="313"/>
      <c r="C866" s="313"/>
      <c r="D866" s="313"/>
      <c r="E866" s="737"/>
      <c r="F866" s="314"/>
      <c r="G866" s="318"/>
      <c r="H866" s="744"/>
      <c r="I866" s="314"/>
      <c r="J866" s="314"/>
      <c r="K866" s="314"/>
      <c r="L866" s="776"/>
      <c r="M866" s="314"/>
      <c r="N866" s="740"/>
      <c r="O866" s="315"/>
      <c r="P866" s="314"/>
      <c r="Q866" s="435"/>
      <c r="R866" s="314"/>
      <c r="S866" s="777"/>
      <c r="T866" s="314"/>
      <c r="U866" s="778"/>
      <c r="V866" s="315"/>
      <c r="W866" s="779"/>
      <c r="X866" s="780"/>
      <c r="Y866" s="314"/>
      <c r="Z866" s="314"/>
      <c r="AA866" s="314"/>
      <c r="AB866" s="324"/>
      <c r="AC866" s="180"/>
      <c r="AD866" s="155"/>
      <c r="AE866" s="322"/>
      <c r="AF866" s="132"/>
      <c r="AG866" s="132"/>
    </row>
    <row r="867">
      <c r="A867" s="477"/>
      <c r="B867" s="313"/>
      <c r="C867" s="313"/>
      <c r="D867" s="313"/>
      <c r="E867" s="737"/>
      <c r="F867" s="314"/>
      <c r="G867" s="318"/>
      <c r="H867" s="315"/>
      <c r="I867" s="314"/>
      <c r="J867" s="314"/>
      <c r="K867" s="314"/>
      <c r="L867" s="776"/>
      <c r="M867" s="314"/>
      <c r="N867" s="318"/>
      <c r="O867" s="315"/>
      <c r="P867" s="314"/>
      <c r="Q867" s="314"/>
      <c r="R867" s="314"/>
      <c r="S867" s="777"/>
      <c r="T867" s="314"/>
      <c r="U867" s="778"/>
      <c r="V867" s="315"/>
      <c r="W867" s="779"/>
      <c r="X867" s="780"/>
      <c r="Y867" s="314"/>
      <c r="Z867" s="314"/>
      <c r="AA867" s="314"/>
      <c r="AB867" s="324"/>
      <c r="AC867" s="180"/>
      <c r="AD867" s="155"/>
      <c r="AE867" s="322"/>
      <c r="AF867" s="132"/>
      <c r="AG867" s="132"/>
    </row>
    <row r="868">
      <c r="A868" s="476"/>
      <c r="AD868" s="176"/>
      <c r="AE868" s="322"/>
      <c r="AF868" s="132"/>
      <c r="AG868" s="132"/>
    </row>
    <row r="869">
      <c r="A869" s="178"/>
      <c r="AE869" s="322"/>
      <c r="AF869" s="132"/>
      <c r="AG869" s="132"/>
    </row>
    <row r="870">
      <c r="A870" s="477"/>
      <c r="B870" s="437"/>
      <c r="C870" s="437"/>
      <c r="D870" s="437"/>
      <c r="E870" s="737"/>
      <c r="F870" s="314"/>
      <c r="G870" s="318"/>
      <c r="H870" s="315"/>
      <c r="I870" s="314"/>
      <c r="J870" s="314"/>
      <c r="K870" s="435"/>
      <c r="L870" s="781"/>
      <c r="M870" s="314"/>
      <c r="N870" s="318"/>
      <c r="O870" s="315"/>
      <c r="P870" s="314"/>
      <c r="Q870" s="435"/>
      <c r="R870" s="435"/>
      <c r="S870" s="782"/>
      <c r="T870" s="435"/>
      <c r="U870" s="783"/>
      <c r="V870" s="744"/>
      <c r="W870" s="784"/>
      <c r="X870" s="785"/>
      <c r="Y870" s="435"/>
      <c r="Z870" s="435"/>
      <c r="AA870" s="435"/>
      <c r="AB870" s="324"/>
      <c r="AC870" s="180"/>
      <c r="AD870" s="155"/>
      <c r="AE870" s="322"/>
      <c r="AF870" s="132"/>
      <c r="AG870" s="132"/>
    </row>
    <row r="871">
      <c r="A871" s="477"/>
      <c r="B871" s="313"/>
      <c r="C871" s="437"/>
      <c r="D871" s="437"/>
      <c r="E871" s="737"/>
      <c r="F871" s="314"/>
      <c r="G871" s="318"/>
      <c r="H871" s="315"/>
      <c r="I871" s="435"/>
      <c r="J871" s="435"/>
      <c r="K871" s="435"/>
      <c r="L871" s="776"/>
      <c r="M871" s="435"/>
      <c r="N871" s="318"/>
      <c r="O871" s="315"/>
      <c r="P871" s="314"/>
      <c r="Q871" s="435"/>
      <c r="R871" s="435"/>
      <c r="S871" s="782"/>
      <c r="T871" s="435"/>
      <c r="U871" s="783"/>
      <c r="V871" s="744"/>
      <c r="W871" s="784"/>
      <c r="X871" s="785"/>
      <c r="Y871" s="435"/>
      <c r="Z871" s="435"/>
      <c r="AA871" s="435"/>
      <c r="AB871" s="324"/>
      <c r="AC871" s="180"/>
      <c r="AD871" s="155"/>
      <c r="AE871" s="322"/>
      <c r="AF871" s="132"/>
      <c r="AG871" s="132"/>
    </row>
    <row r="872">
      <c r="A872" s="477"/>
      <c r="B872" s="313"/>
      <c r="C872" s="437"/>
      <c r="D872" s="437"/>
      <c r="E872" s="753"/>
      <c r="F872" s="314"/>
      <c r="G872" s="318"/>
      <c r="H872" s="744"/>
      <c r="I872" s="314"/>
      <c r="J872" s="314"/>
      <c r="K872" s="435"/>
      <c r="L872" s="776"/>
      <c r="M872" s="435"/>
      <c r="N872" s="740"/>
      <c r="O872" s="315"/>
      <c r="P872" s="435"/>
      <c r="Q872" s="435"/>
      <c r="R872" s="435"/>
      <c r="S872" s="782"/>
      <c r="T872" s="435"/>
      <c r="U872" s="783"/>
      <c r="V872" s="744"/>
      <c r="W872" s="784"/>
      <c r="X872" s="785"/>
      <c r="Y872" s="435"/>
      <c r="Z872" s="435"/>
      <c r="AA872" s="435"/>
      <c r="AB872" s="324"/>
      <c r="AC872" s="180"/>
      <c r="AD872" s="155"/>
      <c r="AE872" s="322"/>
      <c r="AF872" s="132"/>
      <c r="AG872" s="132"/>
    </row>
    <row r="873">
      <c r="A873" s="479"/>
      <c r="B873" s="313"/>
      <c r="C873" s="313"/>
      <c r="D873" s="313"/>
      <c r="E873" s="737"/>
      <c r="F873" s="314"/>
      <c r="G873" s="318"/>
      <c r="H873" s="315"/>
      <c r="I873" s="314"/>
      <c r="J873" s="314"/>
      <c r="K873" s="314"/>
      <c r="L873" s="776"/>
      <c r="M873" s="314"/>
      <c r="N873" s="318"/>
      <c r="O873" s="315"/>
      <c r="P873" s="314"/>
      <c r="Q873" s="435"/>
      <c r="R873" s="314"/>
      <c r="S873" s="777"/>
      <c r="T873" s="314"/>
      <c r="U873" s="778"/>
      <c r="V873" s="315"/>
      <c r="W873" s="779"/>
      <c r="X873" s="780"/>
      <c r="Y873" s="314"/>
      <c r="Z873" s="314"/>
      <c r="AA873" s="314"/>
      <c r="AB873" s="324"/>
      <c r="AC873" s="180"/>
      <c r="AD873" s="155"/>
      <c r="AE873" s="322"/>
      <c r="AF873" s="132"/>
      <c r="AG873" s="132"/>
    </row>
    <row r="874">
      <c r="A874" s="476"/>
      <c r="AD874" s="176"/>
      <c r="AE874" s="322"/>
      <c r="AF874" s="132"/>
      <c r="AG874" s="132"/>
    </row>
    <row r="875">
      <c r="A875" s="178"/>
      <c r="AE875" s="322"/>
      <c r="AF875" s="132"/>
      <c r="AG875" s="132"/>
    </row>
    <row r="876">
      <c r="A876" s="480"/>
      <c r="B876" s="313"/>
      <c r="C876" s="437"/>
      <c r="D876" s="313"/>
      <c r="E876" s="737"/>
      <c r="F876" s="314"/>
      <c r="G876" s="318"/>
      <c r="H876" s="315"/>
      <c r="I876" s="314"/>
      <c r="J876" s="435"/>
      <c r="K876" s="435"/>
      <c r="L876" s="776"/>
      <c r="M876" s="314"/>
      <c r="N876" s="318"/>
      <c r="O876" s="315"/>
      <c r="P876" s="314"/>
      <c r="Q876" s="435"/>
      <c r="R876" s="314"/>
      <c r="S876" s="777"/>
      <c r="T876" s="314"/>
      <c r="U876" s="778"/>
      <c r="V876" s="315"/>
      <c r="W876" s="779"/>
      <c r="X876" s="780"/>
      <c r="Y876" s="314"/>
      <c r="Z876" s="314"/>
      <c r="AA876" s="314"/>
      <c r="AB876" s="324"/>
      <c r="AC876" s="180"/>
      <c r="AD876" s="180"/>
      <c r="AE876" s="322"/>
      <c r="AF876" s="132"/>
      <c r="AG876" s="132"/>
    </row>
    <row r="877">
      <c r="A877" s="480"/>
      <c r="B877" s="313"/>
      <c r="C877" s="437"/>
      <c r="D877" s="313"/>
      <c r="E877" s="737"/>
      <c r="F877" s="314"/>
      <c r="G877" s="318"/>
      <c r="H877" s="744"/>
      <c r="I877" s="314"/>
      <c r="J877" s="435"/>
      <c r="K877" s="435"/>
      <c r="L877" s="776"/>
      <c r="M877" s="435"/>
      <c r="N877" s="740"/>
      <c r="O877" s="315"/>
      <c r="P877" s="435"/>
      <c r="Q877" s="435"/>
      <c r="R877" s="314"/>
      <c r="S877" s="782"/>
      <c r="T877" s="435"/>
      <c r="U877" s="783"/>
      <c r="V877" s="744"/>
      <c r="W877" s="784"/>
      <c r="X877" s="785"/>
      <c r="Y877" s="435"/>
      <c r="Z877" s="435"/>
      <c r="AA877" s="435"/>
      <c r="AB877" s="324"/>
      <c r="AC877" s="180"/>
      <c r="AD877" s="180"/>
      <c r="AE877" s="322"/>
      <c r="AF877" s="132"/>
      <c r="AG877" s="132"/>
    </row>
    <row r="878">
      <c r="A878" s="476"/>
      <c r="AD878" s="176"/>
      <c r="AE878" s="322"/>
      <c r="AF878" s="132"/>
      <c r="AG878" s="132"/>
    </row>
    <row r="879">
      <c r="A879" s="178"/>
      <c r="AE879" s="322"/>
      <c r="AF879" s="132"/>
      <c r="AG879" s="132"/>
    </row>
    <row r="880">
      <c r="A880" s="481"/>
      <c r="B880" s="313"/>
      <c r="C880" s="437"/>
      <c r="D880" s="437"/>
      <c r="E880" s="753"/>
      <c r="F880" s="314"/>
      <c r="G880" s="740"/>
      <c r="H880" s="744"/>
      <c r="I880" s="435"/>
      <c r="J880" s="314"/>
      <c r="K880" s="435"/>
      <c r="L880" s="781"/>
      <c r="M880" s="435"/>
      <c r="N880" s="318"/>
      <c r="O880" s="315"/>
      <c r="P880" s="435"/>
      <c r="Q880" s="435"/>
      <c r="R880" s="435"/>
      <c r="S880" s="782"/>
      <c r="T880" s="435"/>
      <c r="U880" s="783"/>
      <c r="V880" s="744"/>
      <c r="W880" s="784"/>
      <c r="X880" s="785"/>
      <c r="Y880" s="435"/>
      <c r="Z880" s="435"/>
      <c r="AA880" s="435"/>
      <c r="AB880" s="324"/>
      <c r="AC880" s="180"/>
      <c r="AD880" s="155"/>
      <c r="AE880" s="322"/>
      <c r="AF880" s="132"/>
      <c r="AG880" s="132"/>
    </row>
    <row r="881">
      <c r="A881" s="435"/>
      <c r="B881" s="313"/>
      <c r="C881" s="437"/>
      <c r="D881" s="437"/>
      <c r="E881" s="737"/>
      <c r="F881" s="314"/>
      <c r="G881" s="318"/>
      <c r="H881" s="744"/>
      <c r="I881" s="314"/>
      <c r="J881" s="435"/>
      <c r="K881" s="435"/>
      <c r="L881" s="776"/>
      <c r="M881" s="314"/>
      <c r="N881" s="318"/>
      <c r="O881" s="315"/>
      <c r="P881" s="435"/>
      <c r="Q881" s="435"/>
      <c r="R881" s="435"/>
      <c r="S881" s="782"/>
      <c r="T881" s="435"/>
      <c r="U881" s="783"/>
      <c r="V881" s="744"/>
      <c r="W881" s="784"/>
      <c r="X881" s="785"/>
      <c r="Y881" s="435"/>
      <c r="Z881" s="435"/>
      <c r="AA881" s="435"/>
      <c r="AB881" s="324"/>
      <c r="AC881" s="180"/>
      <c r="AD881" s="155"/>
      <c r="AE881" s="322"/>
      <c r="AF881" s="132"/>
      <c r="AG881" s="132"/>
    </row>
    <row r="882">
      <c r="A882" s="482"/>
      <c r="B882" s="313"/>
      <c r="C882" s="313"/>
      <c r="D882" s="437"/>
      <c r="E882" s="737"/>
      <c r="F882" s="314"/>
      <c r="G882" s="318"/>
      <c r="H882" s="315"/>
      <c r="I882" s="314"/>
      <c r="J882" s="314"/>
      <c r="K882" s="435"/>
      <c r="L882" s="776"/>
      <c r="M882" s="314"/>
      <c r="N882" s="318"/>
      <c r="O882" s="315"/>
      <c r="P882" s="314"/>
      <c r="Q882" s="314"/>
      <c r="R882" s="435"/>
      <c r="S882" s="777"/>
      <c r="T882" s="314"/>
      <c r="U882" s="778"/>
      <c r="V882" s="315"/>
      <c r="W882" s="779"/>
      <c r="X882" s="780"/>
      <c r="Y882" s="314"/>
      <c r="Z882" s="314"/>
      <c r="AA882" s="314"/>
      <c r="AB882" s="324"/>
      <c r="AC882" s="180"/>
      <c r="AD882" s="155"/>
      <c r="AE882" s="322"/>
      <c r="AF882" s="132"/>
      <c r="AG882" s="132"/>
    </row>
    <row r="883">
      <c r="A883" s="482"/>
      <c r="B883" s="313"/>
      <c r="C883" s="437"/>
      <c r="D883" s="437"/>
      <c r="E883" s="753"/>
      <c r="F883" s="314"/>
      <c r="G883" s="318"/>
      <c r="H883" s="744"/>
      <c r="I883" s="435"/>
      <c r="J883" s="435"/>
      <c r="K883" s="435"/>
      <c r="L883" s="781"/>
      <c r="M883" s="435"/>
      <c r="N883" s="740"/>
      <c r="O883" s="315"/>
      <c r="P883" s="435"/>
      <c r="Q883" s="435"/>
      <c r="R883" s="435"/>
      <c r="S883" s="782"/>
      <c r="T883" s="435"/>
      <c r="U883" s="783"/>
      <c r="V883" s="744"/>
      <c r="W883" s="784"/>
      <c r="X883" s="785"/>
      <c r="Y883" s="435"/>
      <c r="Z883" s="435"/>
      <c r="AA883" s="435"/>
      <c r="AB883" s="324"/>
      <c r="AC883" s="180"/>
      <c r="AD883" s="155"/>
      <c r="AE883" s="322"/>
      <c r="AF883" s="132"/>
      <c r="AG883" s="132"/>
    </row>
    <row r="884">
      <c r="A884" s="314"/>
      <c r="B884" s="313"/>
      <c r="C884" s="313"/>
      <c r="D884" s="313"/>
      <c r="E884" s="737"/>
      <c r="F884" s="314"/>
      <c r="G884" s="318"/>
      <c r="H884" s="315"/>
      <c r="I884" s="314"/>
      <c r="J884" s="314"/>
      <c r="K884" s="314"/>
      <c r="L884" s="776"/>
      <c r="M884" s="314"/>
      <c r="N884" s="318"/>
      <c r="O884" s="315"/>
      <c r="P884" s="314"/>
      <c r="Q884" s="314"/>
      <c r="R884" s="314"/>
      <c r="S884" s="777"/>
      <c r="T884" s="314"/>
      <c r="U884" s="778"/>
      <c r="V884" s="315"/>
      <c r="W884" s="779"/>
      <c r="X884" s="780"/>
      <c r="Y884" s="314"/>
      <c r="Z884" s="314"/>
      <c r="AA884" s="314"/>
      <c r="AB884" s="483"/>
      <c r="AD884" s="484"/>
      <c r="AE884" s="322"/>
      <c r="AF884" s="132"/>
      <c r="AG884" s="132"/>
    </row>
    <row r="885">
      <c r="A885" s="314"/>
      <c r="B885" s="313"/>
      <c r="C885" s="313"/>
      <c r="D885" s="313"/>
      <c r="E885" s="737"/>
      <c r="F885" s="314"/>
      <c r="G885" s="318"/>
      <c r="H885" s="315"/>
      <c r="I885" s="314"/>
      <c r="J885" s="314"/>
      <c r="K885" s="314"/>
      <c r="L885" s="776"/>
      <c r="M885" s="314"/>
      <c r="N885" s="318"/>
      <c r="O885" s="315"/>
      <c r="P885" s="314"/>
      <c r="Q885" s="314"/>
      <c r="R885" s="314"/>
      <c r="S885" s="777"/>
      <c r="T885" s="314"/>
      <c r="U885" s="778"/>
      <c r="V885" s="315"/>
      <c r="W885" s="779"/>
      <c r="X885" s="780"/>
      <c r="Y885" s="314"/>
      <c r="Z885" s="314"/>
      <c r="AA885" s="314"/>
      <c r="AB885" s="324"/>
      <c r="AC885" s="155"/>
      <c r="AD885" s="155"/>
      <c r="AE885" s="322"/>
      <c r="AF885" s="132"/>
      <c r="AG885" s="132"/>
    </row>
    <row r="886">
      <c r="A886" s="314"/>
      <c r="B886" s="313"/>
      <c r="C886" s="313"/>
      <c r="D886" s="313"/>
      <c r="E886" s="737"/>
      <c r="F886" s="314"/>
      <c r="G886" s="318"/>
      <c r="H886" s="315"/>
      <c r="I886" s="314"/>
      <c r="J886" s="314"/>
      <c r="K886" s="314"/>
      <c r="L886" s="776"/>
      <c r="M886" s="314"/>
      <c r="N886" s="318"/>
      <c r="O886" s="315"/>
      <c r="P886" s="314"/>
      <c r="Q886" s="314"/>
      <c r="R886" s="314"/>
      <c r="S886" s="777"/>
      <c r="T886" s="314"/>
      <c r="U886" s="778"/>
      <c r="V886" s="315"/>
      <c r="W886" s="779"/>
      <c r="X886" s="780"/>
      <c r="Y886" s="314"/>
      <c r="Z886" s="314"/>
      <c r="AA886" s="314"/>
      <c r="AB886" s="324"/>
      <c r="AC886" s="155"/>
      <c r="AD886" s="155"/>
      <c r="AE886" s="322"/>
      <c r="AF886" s="132"/>
      <c r="AG886" s="132"/>
    </row>
    <row r="887">
      <c r="A887" s="314"/>
      <c r="B887" s="313"/>
      <c r="C887" s="313"/>
      <c r="D887" s="313"/>
      <c r="E887" s="737"/>
      <c r="F887" s="314"/>
      <c r="G887" s="318"/>
      <c r="H887" s="315"/>
      <c r="I887" s="314"/>
      <c r="J887" s="314"/>
      <c r="K887" s="314"/>
      <c r="L887" s="776"/>
      <c r="M887" s="314"/>
      <c r="N887" s="318"/>
      <c r="O887" s="315"/>
      <c r="P887" s="314"/>
      <c r="Q887" s="314"/>
      <c r="R887" s="314"/>
      <c r="S887" s="777"/>
      <c r="T887" s="314"/>
      <c r="U887" s="778"/>
      <c r="V887" s="315"/>
      <c r="W887" s="779"/>
      <c r="X887" s="780"/>
      <c r="Y887" s="314"/>
      <c r="Z887" s="314"/>
      <c r="AA887" s="314"/>
      <c r="AB887" s="324"/>
      <c r="AC887" s="155"/>
      <c r="AD887" s="155"/>
      <c r="AE887" s="322"/>
      <c r="AF887" s="132"/>
      <c r="AG887" s="132"/>
    </row>
    <row r="888">
      <c r="A888" s="314"/>
      <c r="B888" s="313"/>
      <c r="C888" s="313"/>
      <c r="D888" s="313"/>
      <c r="E888" s="737"/>
      <c r="F888" s="314"/>
      <c r="G888" s="318"/>
      <c r="H888" s="315"/>
      <c r="I888" s="314"/>
      <c r="J888" s="314"/>
      <c r="K888" s="314"/>
      <c r="L888" s="776"/>
      <c r="M888" s="314"/>
      <c r="N888" s="318"/>
      <c r="O888" s="315"/>
      <c r="P888" s="314"/>
      <c r="Q888" s="314"/>
      <c r="R888" s="314"/>
      <c r="S888" s="777"/>
      <c r="T888" s="314"/>
      <c r="U888" s="778"/>
      <c r="V888" s="315"/>
      <c r="W888" s="779"/>
      <c r="X888" s="780"/>
      <c r="Y888" s="314"/>
      <c r="Z888" s="314"/>
      <c r="AA888" s="314"/>
      <c r="AB888" s="324"/>
      <c r="AC888" s="155"/>
      <c r="AD888" s="155"/>
      <c r="AE888" s="322"/>
      <c r="AF888" s="132"/>
      <c r="AG888" s="132"/>
    </row>
    <row r="889">
      <c r="A889" s="314"/>
      <c r="B889" s="313"/>
      <c r="C889" s="313"/>
      <c r="D889" s="313"/>
      <c r="E889" s="737"/>
      <c r="F889" s="314"/>
      <c r="G889" s="318"/>
      <c r="H889" s="315"/>
      <c r="I889" s="314"/>
      <c r="J889" s="314"/>
      <c r="K889" s="314"/>
      <c r="L889" s="776"/>
      <c r="M889" s="314"/>
      <c r="N889" s="318"/>
      <c r="O889" s="315"/>
      <c r="P889" s="314"/>
      <c r="Q889" s="314"/>
      <c r="R889" s="314"/>
      <c r="S889" s="777"/>
      <c r="T889" s="314"/>
      <c r="U889" s="778"/>
      <c r="V889" s="315"/>
      <c r="W889" s="779"/>
      <c r="X889" s="780"/>
      <c r="Y889" s="314"/>
      <c r="Z889" s="314"/>
      <c r="AA889" s="314"/>
      <c r="AB889" s="324"/>
      <c r="AC889" s="155"/>
      <c r="AD889" s="155"/>
      <c r="AE889" s="322"/>
      <c r="AF889" s="132"/>
      <c r="AG889" s="132"/>
    </row>
    <row r="890">
      <c r="A890" s="314"/>
      <c r="B890" s="313"/>
      <c r="C890" s="313"/>
      <c r="D890" s="313"/>
      <c r="E890" s="737"/>
      <c r="F890" s="314"/>
      <c r="G890" s="318"/>
      <c r="H890" s="315"/>
      <c r="I890" s="314"/>
      <c r="J890" s="314"/>
      <c r="K890" s="314"/>
      <c r="L890" s="776"/>
      <c r="M890" s="314"/>
      <c r="N890" s="318"/>
      <c r="O890" s="315"/>
      <c r="P890" s="314"/>
      <c r="Q890" s="314"/>
      <c r="R890" s="314"/>
      <c r="S890" s="777"/>
      <c r="T890" s="314"/>
      <c r="U890" s="778"/>
      <c r="V890" s="315"/>
      <c r="W890" s="779"/>
      <c r="X890" s="780"/>
      <c r="Y890" s="314"/>
      <c r="Z890" s="314"/>
      <c r="AA890" s="314"/>
      <c r="AB890" s="324"/>
      <c r="AC890" s="155"/>
      <c r="AD890" s="155"/>
      <c r="AE890" s="322"/>
      <c r="AF890" s="132"/>
      <c r="AG890" s="132"/>
    </row>
    <row r="891">
      <c r="A891" s="314"/>
      <c r="B891" s="313"/>
      <c r="C891" s="313"/>
      <c r="D891" s="313"/>
      <c r="E891" s="737"/>
      <c r="F891" s="314"/>
      <c r="G891" s="318"/>
      <c r="H891" s="315"/>
      <c r="I891" s="314"/>
      <c r="J891" s="314"/>
      <c r="K891" s="314"/>
      <c r="L891" s="776"/>
      <c r="M891" s="314"/>
      <c r="N891" s="318"/>
      <c r="O891" s="315"/>
      <c r="P891" s="314"/>
      <c r="Q891" s="314"/>
      <c r="R891" s="314"/>
      <c r="S891" s="777"/>
      <c r="T891" s="314"/>
      <c r="U891" s="778"/>
      <c r="V891" s="315"/>
      <c r="W891" s="779"/>
      <c r="X891" s="780"/>
      <c r="Y891" s="314"/>
      <c r="Z891" s="314"/>
      <c r="AA891" s="314"/>
      <c r="AB891" s="324"/>
      <c r="AC891" s="155"/>
      <c r="AD891" s="155"/>
      <c r="AE891" s="322"/>
      <c r="AF891" s="132"/>
      <c r="AG891" s="132"/>
    </row>
    <row r="892">
      <c r="A892" s="314"/>
      <c r="B892" s="313"/>
      <c r="C892" s="313"/>
      <c r="D892" s="313"/>
      <c r="E892" s="737"/>
      <c r="F892" s="314"/>
      <c r="G892" s="318"/>
      <c r="H892" s="315"/>
      <c r="I892" s="314"/>
      <c r="J892" s="314"/>
      <c r="K892" s="314"/>
      <c r="L892" s="776"/>
      <c r="M892" s="314"/>
      <c r="N892" s="318"/>
      <c r="O892" s="315"/>
      <c r="P892" s="314"/>
      <c r="Q892" s="314"/>
      <c r="R892" s="314"/>
      <c r="S892" s="777"/>
      <c r="T892" s="314"/>
      <c r="U892" s="778"/>
      <c r="V892" s="315"/>
      <c r="W892" s="779"/>
      <c r="X892" s="780"/>
      <c r="Y892" s="314"/>
      <c r="Z892" s="314"/>
      <c r="AA892" s="314"/>
      <c r="AB892" s="324"/>
      <c r="AC892" s="155"/>
      <c r="AD892" s="155"/>
      <c r="AE892" s="322"/>
      <c r="AF892" s="132"/>
      <c r="AG892" s="132"/>
    </row>
    <row r="893">
      <c r="A893" s="314"/>
      <c r="B893" s="313"/>
      <c r="C893" s="313"/>
      <c r="D893" s="313"/>
      <c r="E893" s="737"/>
      <c r="F893" s="314"/>
      <c r="G893" s="318"/>
      <c r="H893" s="315"/>
      <c r="I893" s="314"/>
      <c r="J893" s="314"/>
      <c r="K893" s="314"/>
      <c r="L893" s="776"/>
      <c r="M893" s="314"/>
      <c r="N893" s="318"/>
      <c r="O893" s="315"/>
      <c r="P893" s="314"/>
      <c r="Q893" s="314"/>
      <c r="R893" s="314"/>
      <c r="S893" s="777"/>
      <c r="T893" s="314"/>
      <c r="U893" s="778"/>
      <c r="V893" s="315"/>
      <c r="W893" s="779"/>
      <c r="X893" s="780"/>
      <c r="Y893" s="314"/>
      <c r="Z893" s="314"/>
      <c r="AA893" s="314"/>
      <c r="AB893" s="324"/>
      <c r="AC893" s="155"/>
      <c r="AD893" s="155"/>
      <c r="AE893" s="322"/>
      <c r="AF893" s="132"/>
      <c r="AG893" s="132"/>
    </row>
    <row r="894">
      <c r="A894" s="314"/>
      <c r="B894" s="313"/>
      <c r="C894" s="313"/>
      <c r="D894" s="313"/>
      <c r="E894" s="737"/>
      <c r="F894" s="314"/>
      <c r="G894" s="318"/>
      <c r="H894" s="315"/>
      <c r="I894" s="314"/>
      <c r="J894" s="314"/>
      <c r="K894" s="314"/>
      <c r="L894" s="776"/>
      <c r="M894" s="314"/>
      <c r="N894" s="318"/>
      <c r="O894" s="315"/>
      <c r="P894" s="314"/>
      <c r="Q894" s="314"/>
      <c r="R894" s="314"/>
      <c r="S894" s="777"/>
      <c r="T894" s="314"/>
      <c r="U894" s="778"/>
      <c r="V894" s="315"/>
      <c r="W894" s="779"/>
      <c r="X894" s="780"/>
      <c r="Y894" s="314"/>
      <c r="Z894" s="314"/>
      <c r="AA894" s="314"/>
      <c r="AB894" s="324"/>
      <c r="AC894" s="155"/>
      <c r="AD894" s="155"/>
      <c r="AE894" s="322"/>
      <c r="AF894" s="132"/>
      <c r="AG894" s="132"/>
    </row>
    <row r="895">
      <c r="A895" s="314"/>
      <c r="B895" s="313"/>
      <c r="C895" s="313"/>
      <c r="D895" s="313"/>
      <c r="E895" s="737"/>
      <c r="F895" s="314"/>
      <c r="G895" s="318"/>
      <c r="H895" s="315"/>
      <c r="I895" s="314"/>
      <c r="J895" s="314"/>
      <c r="K895" s="314"/>
      <c r="L895" s="776"/>
      <c r="M895" s="314"/>
      <c r="N895" s="318"/>
      <c r="O895" s="315"/>
      <c r="P895" s="314"/>
      <c r="Q895" s="314"/>
      <c r="R895" s="314"/>
      <c r="S895" s="777"/>
      <c r="T895" s="314"/>
      <c r="U895" s="778"/>
      <c r="V895" s="315"/>
      <c r="W895" s="779"/>
      <c r="X895" s="780"/>
      <c r="Y895" s="314"/>
      <c r="Z895" s="314"/>
      <c r="AA895" s="314"/>
      <c r="AB895" s="324"/>
      <c r="AC895" s="155"/>
      <c r="AD895" s="155"/>
      <c r="AE895" s="322"/>
      <c r="AF895" s="132"/>
      <c r="AG895" s="132"/>
    </row>
    <row r="896">
      <c r="A896" s="314"/>
      <c r="B896" s="313"/>
      <c r="C896" s="313"/>
      <c r="D896" s="313"/>
      <c r="E896" s="737"/>
      <c r="F896" s="314"/>
      <c r="G896" s="318"/>
      <c r="H896" s="315"/>
      <c r="I896" s="314"/>
      <c r="J896" s="314"/>
      <c r="K896" s="314"/>
      <c r="L896" s="776"/>
      <c r="M896" s="314"/>
      <c r="N896" s="318"/>
      <c r="O896" s="315"/>
      <c r="P896" s="314"/>
      <c r="Q896" s="314"/>
      <c r="R896" s="314"/>
      <c r="S896" s="777"/>
      <c r="T896" s="314"/>
      <c r="U896" s="778"/>
      <c r="V896" s="315"/>
      <c r="W896" s="779"/>
      <c r="X896" s="780"/>
      <c r="Y896" s="314"/>
      <c r="Z896" s="314"/>
      <c r="AA896" s="314"/>
      <c r="AB896" s="324"/>
      <c r="AC896" s="155"/>
      <c r="AD896" s="155"/>
      <c r="AE896" s="322"/>
      <c r="AF896" s="132"/>
      <c r="AG896" s="132"/>
    </row>
    <row r="897">
      <c r="A897" s="314"/>
      <c r="B897" s="313"/>
      <c r="C897" s="313"/>
      <c r="D897" s="313"/>
      <c r="E897" s="737"/>
      <c r="F897" s="314"/>
      <c r="G897" s="318"/>
      <c r="H897" s="315"/>
      <c r="I897" s="314"/>
      <c r="J897" s="314"/>
      <c r="K897" s="314"/>
      <c r="L897" s="776"/>
      <c r="M897" s="314"/>
      <c r="N897" s="318"/>
      <c r="O897" s="315"/>
      <c r="P897" s="314"/>
      <c r="Q897" s="314"/>
      <c r="R897" s="314"/>
      <c r="S897" s="777"/>
      <c r="T897" s="314"/>
      <c r="U897" s="778"/>
      <c r="V897" s="315"/>
      <c r="W897" s="779"/>
      <c r="X897" s="780"/>
      <c r="Y897" s="314"/>
      <c r="Z897" s="314"/>
      <c r="AA897" s="314"/>
      <c r="AB897" s="324"/>
      <c r="AC897" s="155"/>
      <c r="AD897" s="155"/>
      <c r="AE897" s="322"/>
      <c r="AF897" s="132"/>
      <c r="AG897" s="132"/>
    </row>
    <row r="898">
      <c r="A898" s="314"/>
      <c r="B898" s="313"/>
      <c r="C898" s="313"/>
      <c r="D898" s="313"/>
      <c r="E898" s="737"/>
      <c r="F898" s="314"/>
      <c r="G898" s="318"/>
      <c r="H898" s="315"/>
      <c r="I898" s="314"/>
      <c r="J898" s="314"/>
      <c r="K898" s="314"/>
      <c r="L898" s="776"/>
      <c r="M898" s="314"/>
      <c r="N898" s="318"/>
      <c r="O898" s="315"/>
      <c r="P898" s="314"/>
      <c r="Q898" s="314"/>
      <c r="R898" s="314"/>
      <c r="S898" s="777"/>
      <c r="T898" s="314"/>
      <c r="U898" s="778"/>
      <c r="V898" s="315"/>
      <c r="W898" s="779"/>
      <c r="X898" s="780"/>
      <c r="Y898" s="314"/>
      <c r="Z898" s="314"/>
      <c r="AA898" s="314"/>
      <c r="AB898" s="324"/>
      <c r="AC898" s="155"/>
      <c r="AD898" s="155"/>
      <c r="AE898" s="322"/>
      <c r="AF898" s="132"/>
      <c r="AG898" s="132"/>
    </row>
    <row r="899">
      <c r="A899" s="314"/>
      <c r="B899" s="313"/>
      <c r="C899" s="313"/>
      <c r="D899" s="313"/>
      <c r="E899" s="737"/>
      <c r="F899" s="314"/>
      <c r="G899" s="318"/>
      <c r="H899" s="315"/>
      <c r="I899" s="314"/>
      <c r="J899" s="314"/>
      <c r="K899" s="314"/>
      <c r="L899" s="776"/>
      <c r="M899" s="314"/>
      <c r="N899" s="318"/>
      <c r="O899" s="315"/>
      <c r="P899" s="314"/>
      <c r="Q899" s="314"/>
      <c r="R899" s="314"/>
      <c r="S899" s="777"/>
      <c r="T899" s="314"/>
      <c r="U899" s="778"/>
      <c r="V899" s="315"/>
      <c r="W899" s="779"/>
      <c r="X899" s="780"/>
      <c r="Y899" s="314"/>
      <c r="Z899" s="314"/>
      <c r="AA899" s="314"/>
      <c r="AB899" s="324"/>
      <c r="AC899" s="155"/>
      <c r="AD899" s="155"/>
      <c r="AE899" s="322"/>
      <c r="AF899" s="132"/>
      <c r="AG899" s="132"/>
    </row>
    <row r="900">
      <c r="A900" s="314"/>
      <c r="B900" s="313"/>
      <c r="C900" s="313"/>
      <c r="D900" s="313"/>
      <c r="E900" s="737"/>
      <c r="F900" s="314"/>
      <c r="G900" s="318"/>
      <c r="H900" s="315"/>
      <c r="I900" s="314"/>
      <c r="J900" s="314"/>
      <c r="K900" s="314"/>
      <c r="L900" s="776"/>
      <c r="M900" s="314"/>
      <c r="N900" s="318"/>
      <c r="O900" s="315"/>
      <c r="P900" s="314"/>
      <c r="Q900" s="314"/>
      <c r="R900" s="314"/>
      <c r="S900" s="777"/>
      <c r="T900" s="314"/>
      <c r="U900" s="778"/>
      <c r="V900" s="315"/>
      <c r="W900" s="779"/>
      <c r="X900" s="780"/>
      <c r="Y900" s="314"/>
      <c r="Z900" s="314"/>
      <c r="AA900" s="314"/>
      <c r="AB900" s="324"/>
      <c r="AC900" s="155"/>
      <c r="AD900" s="155"/>
      <c r="AE900" s="322"/>
      <c r="AF900" s="132"/>
      <c r="AG900" s="132"/>
    </row>
    <row r="901">
      <c r="A901" s="314"/>
      <c r="B901" s="313"/>
      <c r="C901" s="313"/>
      <c r="D901" s="313"/>
      <c r="E901" s="737"/>
      <c r="F901" s="314"/>
      <c r="G901" s="318"/>
      <c r="H901" s="315"/>
      <c r="I901" s="314"/>
      <c r="J901" s="314"/>
      <c r="K901" s="314"/>
      <c r="L901" s="776"/>
      <c r="M901" s="314"/>
      <c r="N901" s="318"/>
      <c r="O901" s="315"/>
      <c r="P901" s="314"/>
      <c r="Q901" s="314"/>
      <c r="R901" s="314"/>
      <c r="S901" s="777"/>
      <c r="T901" s="314"/>
      <c r="U901" s="778"/>
      <c r="V901" s="315"/>
      <c r="W901" s="779"/>
      <c r="X901" s="780"/>
      <c r="Y901" s="314"/>
      <c r="Z901" s="314"/>
      <c r="AA901" s="314"/>
      <c r="AB901" s="324"/>
      <c r="AC901" s="155"/>
      <c r="AD901" s="155"/>
      <c r="AE901" s="322"/>
      <c r="AF901" s="132"/>
      <c r="AG901" s="132"/>
    </row>
    <row r="902">
      <c r="A902" s="314"/>
      <c r="B902" s="313"/>
      <c r="C902" s="313"/>
      <c r="D902" s="313"/>
      <c r="E902" s="737"/>
      <c r="F902" s="314"/>
      <c r="G902" s="318"/>
      <c r="H902" s="315"/>
      <c r="I902" s="314"/>
      <c r="J902" s="314"/>
      <c r="K902" s="314"/>
      <c r="L902" s="776"/>
      <c r="M902" s="314"/>
      <c r="N902" s="318"/>
      <c r="O902" s="315"/>
      <c r="P902" s="314"/>
      <c r="Q902" s="314"/>
      <c r="R902" s="314"/>
      <c r="S902" s="777"/>
      <c r="T902" s="314"/>
      <c r="U902" s="778"/>
      <c r="V902" s="315"/>
      <c r="W902" s="779"/>
      <c r="X902" s="780"/>
      <c r="Y902" s="314"/>
      <c r="Z902" s="314"/>
      <c r="AA902" s="314"/>
      <c r="AB902" s="324"/>
      <c r="AC902" s="155"/>
      <c r="AD902" s="155"/>
      <c r="AE902" s="322"/>
      <c r="AF902" s="132"/>
      <c r="AG902" s="132"/>
    </row>
    <row r="903">
      <c r="A903" s="314"/>
      <c r="B903" s="313"/>
      <c r="C903" s="313"/>
      <c r="D903" s="313"/>
      <c r="E903" s="737"/>
      <c r="F903" s="314"/>
      <c r="G903" s="318"/>
      <c r="H903" s="315"/>
      <c r="I903" s="314"/>
      <c r="J903" s="314"/>
      <c r="K903" s="314"/>
      <c r="L903" s="776"/>
      <c r="M903" s="314"/>
      <c r="N903" s="318"/>
      <c r="O903" s="315"/>
      <c r="P903" s="314"/>
      <c r="Q903" s="314"/>
      <c r="R903" s="314"/>
      <c r="S903" s="777"/>
      <c r="T903" s="314"/>
      <c r="U903" s="778"/>
      <c r="V903" s="315"/>
      <c r="W903" s="779"/>
      <c r="X903" s="780"/>
      <c r="Y903" s="314"/>
      <c r="Z903" s="314"/>
      <c r="AA903" s="314"/>
      <c r="AB903" s="324"/>
      <c r="AC903" s="155"/>
      <c r="AD903" s="155"/>
      <c r="AE903" s="322"/>
      <c r="AF903" s="132"/>
      <c r="AG903" s="132"/>
    </row>
    <row r="904">
      <c r="A904" s="314"/>
      <c r="B904" s="313"/>
      <c r="C904" s="313"/>
      <c r="D904" s="313"/>
      <c r="E904" s="737"/>
      <c r="F904" s="314"/>
      <c r="G904" s="318"/>
      <c r="H904" s="315"/>
      <c r="I904" s="314"/>
      <c r="J904" s="314"/>
      <c r="K904" s="314"/>
      <c r="L904" s="776"/>
      <c r="M904" s="314"/>
      <c r="N904" s="318"/>
      <c r="O904" s="315"/>
      <c r="P904" s="314"/>
      <c r="Q904" s="314"/>
      <c r="R904" s="314"/>
      <c r="S904" s="777"/>
      <c r="T904" s="314"/>
      <c r="U904" s="778"/>
      <c r="V904" s="315"/>
      <c r="W904" s="779"/>
      <c r="X904" s="780"/>
      <c r="Y904" s="314"/>
      <c r="Z904" s="314"/>
      <c r="AA904" s="314"/>
      <c r="AB904" s="324"/>
      <c r="AC904" s="155"/>
      <c r="AD904" s="155"/>
      <c r="AE904" s="322"/>
      <c r="AF904" s="132"/>
      <c r="AG904" s="132"/>
    </row>
    <row r="905">
      <c r="A905" s="314"/>
      <c r="B905" s="313"/>
      <c r="C905" s="313"/>
      <c r="D905" s="313"/>
      <c r="E905" s="737"/>
      <c r="F905" s="314"/>
      <c r="G905" s="318"/>
      <c r="H905" s="315"/>
      <c r="I905" s="314"/>
      <c r="J905" s="314"/>
      <c r="K905" s="314"/>
      <c r="L905" s="776"/>
      <c r="M905" s="314"/>
      <c r="N905" s="318"/>
      <c r="O905" s="315"/>
      <c r="P905" s="314"/>
      <c r="Q905" s="314"/>
      <c r="R905" s="314"/>
      <c r="S905" s="777"/>
      <c r="T905" s="314"/>
      <c r="U905" s="778"/>
      <c r="V905" s="315"/>
      <c r="W905" s="779"/>
      <c r="X905" s="780"/>
      <c r="Y905" s="314"/>
      <c r="Z905" s="314"/>
      <c r="AA905" s="314"/>
      <c r="AB905" s="324"/>
      <c r="AC905" s="155"/>
      <c r="AD905" s="155"/>
      <c r="AE905" s="322"/>
      <c r="AF905" s="132"/>
      <c r="AG905" s="132"/>
    </row>
    <row r="906">
      <c r="A906" s="314"/>
      <c r="B906" s="313"/>
      <c r="C906" s="313"/>
      <c r="D906" s="313"/>
      <c r="E906" s="737"/>
      <c r="F906" s="314"/>
      <c r="G906" s="318"/>
      <c r="H906" s="315"/>
      <c r="I906" s="314"/>
      <c r="J906" s="314"/>
      <c r="K906" s="314"/>
      <c r="L906" s="776"/>
      <c r="M906" s="314"/>
      <c r="N906" s="318"/>
      <c r="O906" s="315"/>
      <c r="P906" s="314"/>
      <c r="Q906" s="314"/>
      <c r="R906" s="314"/>
      <c r="S906" s="777"/>
      <c r="T906" s="314"/>
      <c r="U906" s="778"/>
      <c r="V906" s="315"/>
      <c r="W906" s="779"/>
      <c r="X906" s="780"/>
      <c r="Y906" s="314"/>
      <c r="Z906" s="314"/>
      <c r="AA906" s="314"/>
      <c r="AB906" s="324"/>
      <c r="AC906" s="155"/>
      <c r="AD906" s="155"/>
      <c r="AE906" s="322"/>
      <c r="AF906" s="132"/>
      <c r="AG906" s="132"/>
    </row>
    <row r="907">
      <c r="A907" s="314"/>
      <c r="B907" s="313"/>
      <c r="C907" s="313"/>
      <c r="D907" s="313"/>
      <c r="E907" s="737"/>
      <c r="F907" s="314"/>
      <c r="G907" s="318"/>
      <c r="H907" s="315"/>
      <c r="I907" s="314"/>
      <c r="J907" s="314"/>
      <c r="K907" s="314"/>
      <c r="L907" s="776"/>
      <c r="M907" s="314"/>
      <c r="N907" s="318"/>
      <c r="O907" s="315"/>
      <c r="P907" s="314"/>
      <c r="Q907" s="314"/>
      <c r="R907" s="314"/>
      <c r="S907" s="777"/>
      <c r="T907" s="314"/>
      <c r="U907" s="778"/>
      <c r="V907" s="315"/>
      <c r="W907" s="779"/>
      <c r="X907" s="780"/>
      <c r="Y907" s="314"/>
      <c r="Z907" s="314"/>
      <c r="AA907" s="314"/>
      <c r="AB907" s="324"/>
      <c r="AC907" s="155"/>
      <c r="AD907" s="155"/>
      <c r="AE907" s="322"/>
      <c r="AF907" s="132"/>
      <c r="AG907" s="132"/>
    </row>
    <row r="908">
      <c r="A908" s="314"/>
      <c r="B908" s="313"/>
      <c r="C908" s="313"/>
      <c r="D908" s="313"/>
      <c r="E908" s="737"/>
      <c r="F908" s="314"/>
      <c r="G908" s="318"/>
      <c r="H908" s="315"/>
      <c r="I908" s="314"/>
      <c r="J908" s="314"/>
      <c r="K908" s="314"/>
      <c r="L908" s="776"/>
      <c r="M908" s="314"/>
      <c r="N908" s="318"/>
      <c r="O908" s="315"/>
      <c r="P908" s="314"/>
      <c r="Q908" s="314"/>
      <c r="R908" s="314"/>
      <c r="S908" s="777"/>
      <c r="T908" s="314"/>
      <c r="U908" s="778"/>
      <c r="V908" s="315"/>
      <c r="W908" s="779"/>
      <c r="X908" s="780"/>
      <c r="Y908" s="314"/>
      <c r="Z908" s="314"/>
      <c r="AA908" s="314"/>
      <c r="AB908" s="324"/>
      <c r="AC908" s="155"/>
      <c r="AD908" s="155"/>
      <c r="AE908" s="322"/>
      <c r="AF908" s="132"/>
      <c r="AG908" s="132"/>
    </row>
    <row r="909">
      <c r="A909" s="314"/>
      <c r="B909" s="313"/>
      <c r="C909" s="313"/>
      <c r="D909" s="313"/>
      <c r="E909" s="737"/>
      <c r="F909" s="314"/>
      <c r="G909" s="318"/>
      <c r="H909" s="315"/>
      <c r="I909" s="314"/>
      <c r="J909" s="314"/>
      <c r="K909" s="314"/>
      <c r="L909" s="776"/>
      <c r="M909" s="314"/>
      <c r="N909" s="318"/>
      <c r="O909" s="315"/>
      <c r="P909" s="314"/>
      <c r="Q909" s="314"/>
      <c r="R909" s="314"/>
      <c r="S909" s="777"/>
      <c r="T909" s="314"/>
      <c r="U909" s="778"/>
      <c r="V909" s="315"/>
      <c r="W909" s="779"/>
      <c r="X909" s="780"/>
      <c r="Y909" s="314"/>
      <c r="Z909" s="314"/>
      <c r="AA909" s="314"/>
      <c r="AB909" s="324"/>
      <c r="AC909" s="155"/>
      <c r="AD909" s="155"/>
      <c r="AE909" s="322"/>
      <c r="AF909" s="132"/>
      <c r="AG909" s="132"/>
    </row>
    <row r="910">
      <c r="A910" s="314"/>
      <c r="B910" s="313"/>
      <c r="C910" s="313"/>
      <c r="D910" s="313"/>
      <c r="E910" s="737"/>
      <c r="F910" s="314"/>
      <c r="G910" s="318"/>
      <c r="H910" s="315"/>
      <c r="I910" s="314"/>
      <c r="J910" s="314"/>
      <c r="K910" s="314"/>
      <c r="L910" s="776"/>
      <c r="M910" s="314"/>
      <c r="N910" s="318"/>
      <c r="O910" s="315"/>
      <c r="P910" s="314"/>
      <c r="Q910" s="314"/>
      <c r="R910" s="314"/>
      <c r="S910" s="777"/>
      <c r="T910" s="314"/>
      <c r="U910" s="778"/>
      <c r="V910" s="315"/>
      <c r="W910" s="779"/>
      <c r="X910" s="780"/>
      <c r="Y910" s="314"/>
      <c r="Z910" s="314"/>
      <c r="AA910" s="314"/>
      <c r="AB910" s="324"/>
      <c r="AC910" s="155"/>
      <c r="AD910" s="155"/>
      <c r="AE910" s="322"/>
      <c r="AF910" s="132"/>
      <c r="AG910" s="132"/>
    </row>
    <row r="911">
      <c r="A911" s="314"/>
      <c r="B911" s="313"/>
      <c r="C911" s="313"/>
      <c r="D911" s="313"/>
      <c r="E911" s="737"/>
      <c r="F911" s="314"/>
      <c r="G911" s="318"/>
      <c r="H911" s="315"/>
      <c r="I911" s="314"/>
      <c r="J911" s="314"/>
      <c r="K911" s="314"/>
      <c r="L911" s="776"/>
      <c r="M911" s="314"/>
      <c r="N911" s="318"/>
      <c r="O911" s="315"/>
      <c r="P911" s="314"/>
      <c r="Q911" s="314"/>
      <c r="R911" s="314"/>
      <c r="S911" s="777"/>
      <c r="T911" s="314"/>
      <c r="U911" s="778"/>
      <c r="V911" s="315"/>
      <c r="W911" s="779"/>
      <c r="X911" s="780"/>
      <c r="Y911" s="314"/>
      <c r="Z911" s="314"/>
      <c r="AA911" s="314"/>
      <c r="AB911" s="324"/>
      <c r="AC911" s="155"/>
      <c r="AD911" s="155"/>
      <c r="AE911" s="322"/>
      <c r="AF911" s="132"/>
      <c r="AG911" s="132"/>
    </row>
    <row r="912">
      <c r="A912" s="314"/>
      <c r="B912" s="313"/>
      <c r="C912" s="313"/>
      <c r="D912" s="313"/>
      <c r="E912" s="737"/>
      <c r="F912" s="314"/>
      <c r="G912" s="318"/>
      <c r="H912" s="315"/>
      <c r="I912" s="314"/>
      <c r="J912" s="314"/>
      <c r="K912" s="314"/>
      <c r="L912" s="776"/>
      <c r="M912" s="314"/>
      <c r="N912" s="318"/>
      <c r="O912" s="315"/>
      <c r="P912" s="314"/>
      <c r="Q912" s="314"/>
      <c r="R912" s="314"/>
      <c r="S912" s="777"/>
      <c r="T912" s="314"/>
      <c r="U912" s="778"/>
      <c r="V912" s="315"/>
      <c r="W912" s="779"/>
      <c r="X912" s="780"/>
      <c r="Y912" s="314"/>
      <c r="Z912" s="314"/>
      <c r="AA912" s="314"/>
      <c r="AB912" s="324"/>
      <c r="AC912" s="155"/>
      <c r="AD912" s="155"/>
      <c r="AE912" s="322"/>
      <c r="AF912" s="132"/>
      <c r="AG912" s="132"/>
    </row>
    <row r="913">
      <c r="A913" s="314"/>
      <c r="B913" s="313"/>
      <c r="C913" s="313"/>
      <c r="D913" s="313"/>
      <c r="E913" s="737"/>
      <c r="F913" s="314"/>
      <c r="G913" s="318"/>
      <c r="H913" s="315"/>
      <c r="I913" s="314"/>
      <c r="J913" s="314"/>
      <c r="K913" s="314"/>
      <c r="L913" s="776"/>
      <c r="M913" s="314"/>
      <c r="N913" s="318"/>
      <c r="O913" s="315"/>
      <c r="P913" s="314"/>
      <c r="Q913" s="314"/>
      <c r="R913" s="314"/>
      <c r="S913" s="777"/>
      <c r="T913" s="314"/>
      <c r="U913" s="778"/>
      <c r="V913" s="315"/>
      <c r="W913" s="779"/>
      <c r="X913" s="780"/>
      <c r="Y913" s="314"/>
      <c r="Z913" s="314"/>
      <c r="AA913" s="314"/>
      <c r="AB913" s="324"/>
      <c r="AC913" s="155"/>
      <c r="AD913" s="155"/>
      <c r="AE913" s="322"/>
      <c r="AF913" s="132"/>
      <c r="AG913" s="132"/>
    </row>
    <row r="914">
      <c r="A914" s="314"/>
      <c r="B914" s="313"/>
      <c r="C914" s="313"/>
      <c r="D914" s="313"/>
      <c r="E914" s="737"/>
      <c r="F914" s="314"/>
      <c r="G914" s="318"/>
      <c r="H914" s="315"/>
      <c r="I914" s="314"/>
      <c r="J914" s="314"/>
      <c r="K914" s="314"/>
      <c r="L914" s="776"/>
      <c r="M914" s="314"/>
      <c r="N914" s="318"/>
      <c r="O914" s="315"/>
      <c r="P914" s="314"/>
      <c r="Q914" s="314"/>
      <c r="R914" s="314"/>
      <c r="S914" s="777"/>
      <c r="T914" s="314"/>
      <c r="U914" s="778"/>
      <c r="V914" s="315"/>
      <c r="W914" s="779"/>
      <c r="X914" s="780"/>
      <c r="Y914" s="314"/>
      <c r="Z914" s="314"/>
      <c r="AA914" s="314"/>
      <c r="AB914" s="324"/>
      <c r="AC914" s="155"/>
      <c r="AD914" s="155"/>
      <c r="AE914" s="322"/>
      <c r="AF914" s="132"/>
      <c r="AG914" s="132"/>
    </row>
    <row r="915">
      <c r="A915" s="314"/>
      <c r="B915" s="313"/>
      <c r="C915" s="313"/>
      <c r="D915" s="313"/>
      <c r="E915" s="737"/>
      <c r="F915" s="314"/>
      <c r="G915" s="318"/>
      <c r="H915" s="315"/>
      <c r="I915" s="314"/>
      <c r="J915" s="314"/>
      <c r="K915" s="314"/>
      <c r="L915" s="776"/>
      <c r="M915" s="314"/>
      <c r="N915" s="318"/>
      <c r="O915" s="315"/>
      <c r="P915" s="314"/>
      <c r="Q915" s="314"/>
      <c r="R915" s="314"/>
      <c r="S915" s="777"/>
      <c r="T915" s="314"/>
      <c r="U915" s="778"/>
      <c r="V915" s="315"/>
      <c r="W915" s="779"/>
      <c r="X915" s="780"/>
      <c r="Y915" s="314"/>
      <c r="Z915" s="314"/>
      <c r="AA915" s="314"/>
      <c r="AB915" s="324"/>
      <c r="AC915" s="155"/>
      <c r="AD915" s="155"/>
      <c r="AE915" s="322"/>
      <c r="AF915" s="132"/>
      <c r="AG915" s="132"/>
    </row>
    <row r="916">
      <c r="A916" s="314"/>
      <c r="B916" s="313"/>
      <c r="C916" s="313"/>
      <c r="D916" s="313"/>
      <c r="E916" s="737"/>
      <c r="F916" s="314"/>
      <c r="G916" s="318"/>
      <c r="H916" s="315"/>
      <c r="I916" s="314"/>
      <c r="J916" s="314"/>
      <c r="K916" s="314"/>
      <c r="L916" s="776"/>
      <c r="M916" s="314"/>
      <c r="N916" s="318"/>
      <c r="O916" s="315"/>
      <c r="P916" s="314"/>
      <c r="Q916" s="314"/>
      <c r="R916" s="314"/>
      <c r="S916" s="777"/>
      <c r="T916" s="314"/>
      <c r="U916" s="778"/>
      <c r="V916" s="315"/>
      <c r="W916" s="779"/>
      <c r="X916" s="780"/>
      <c r="Y916" s="314"/>
      <c r="Z916" s="314"/>
      <c r="AA916" s="314"/>
      <c r="AB916" s="324"/>
      <c r="AC916" s="155"/>
      <c r="AD916" s="155"/>
      <c r="AE916" s="322"/>
      <c r="AF916" s="132"/>
      <c r="AG916" s="132"/>
    </row>
    <row r="917">
      <c r="A917" s="314"/>
      <c r="B917" s="313"/>
      <c r="C917" s="313"/>
      <c r="D917" s="313"/>
      <c r="E917" s="737"/>
      <c r="F917" s="314"/>
      <c r="G917" s="318"/>
      <c r="H917" s="315"/>
      <c r="I917" s="314"/>
      <c r="J917" s="314"/>
      <c r="K917" s="314"/>
      <c r="L917" s="776"/>
      <c r="M917" s="314"/>
      <c r="N917" s="318"/>
      <c r="O917" s="315"/>
      <c r="P917" s="314"/>
      <c r="Q917" s="314"/>
      <c r="R917" s="314"/>
      <c r="S917" s="777"/>
      <c r="T917" s="314"/>
      <c r="U917" s="778"/>
      <c r="V917" s="315"/>
      <c r="W917" s="779"/>
      <c r="X917" s="780"/>
      <c r="Y917" s="314"/>
      <c r="Z917" s="314"/>
      <c r="AA917" s="314"/>
      <c r="AB917" s="324"/>
      <c r="AC917" s="155"/>
      <c r="AD917" s="155"/>
      <c r="AE917" s="322"/>
      <c r="AF917" s="132"/>
      <c r="AG917" s="132"/>
    </row>
    <row r="918">
      <c r="A918" s="314"/>
      <c r="B918" s="313"/>
      <c r="C918" s="313"/>
      <c r="D918" s="313"/>
      <c r="E918" s="737"/>
      <c r="F918" s="314"/>
      <c r="G918" s="318"/>
      <c r="H918" s="315"/>
      <c r="I918" s="314"/>
      <c r="J918" s="314"/>
      <c r="K918" s="314"/>
      <c r="L918" s="776"/>
      <c r="M918" s="314"/>
      <c r="N918" s="318"/>
      <c r="O918" s="315"/>
      <c r="P918" s="314"/>
      <c r="Q918" s="314"/>
      <c r="R918" s="314"/>
      <c r="S918" s="777"/>
      <c r="T918" s="314"/>
      <c r="U918" s="778"/>
      <c r="V918" s="315"/>
      <c r="W918" s="779"/>
      <c r="X918" s="780"/>
      <c r="Y918" s="314"/>
      <c r="Z918" s="314"/>
      <c r="AA918" s="314"/>
      <c r="AB918" s="324"/>
      <c r="AC918" s="155"/>
      <c r="AD918" s="155"/>
      <c r="AE918" s="322"/>
      <c r="AF918" s="132"/>
      <c r="AG918" s="132"/>
    </row>
    <row r="919">
      <c r="A919" s="314"/>
      <c r="B919" s="313"/>
      <c r="C919" s="313"/>
      <c r="D919" s="313"/>
      <c r="E919" s="737"/>
      <c r="F919" s="314"/>
      <c r="G919" s="318"/>
      <c r="H919" s="315"/>
      <c r="I919" s="314"/>
      <c r="J919" s="314"/>
      <c r="K919" s="314"/>
      <c r="L919" s="776"/>
      <c r="M919" s="314"/>
      <c r="N919" s="318"/>
      <c r="O919" s="315"/>
      <c r="P919" s="314"/>
      <c r="Q919" s="314"/>
      <c r="R919" s="314"/>
      <c r="S919" s="777"/>
      <c r="T919" s="314"/>
      <c r="U919" s="778"/>
      <c r="V919" s="315"/>
      <c r="W919" s="779"/>
      <c r="X919" s="780"/>
      <c r="Y919" s="314"/>
      <c r="Z919" s="314"/>
      <c r="AA919" s="314"/>
      <c r="AB919" s="324"/>
      <c r="AC919" s="155"/>
      <c r="AD919" s="155"/>
      <c r="AE919" s="322"/>
      <c r="AF919" s="132"/>
      <c r="AG919" s="132"/>
    </row>
    <row r="920">
      <c r="A920" s="314"/>
      <c r="B920" s="313"/>
      <c r="C920" s="313"/>
      <c r="D920" s="313"/>
      <c r="E920" s="737"/>
      <c r="F920" s="314"/>
      <c r="G920" s="318"/>
      <c r="H920" s="315"/>
      <c r="I920" s="314"/>
      <c r="J920" s="314"/>
      <c r="K920" s="314"/>
      <c r="L920" s="776"/>
      <c r="M920" s="314"/>
      <c r="N920" s="318"/>
      <c r="O920" s="315"/>
      <c r="P920" s="314"/>
      <c r="Q920" s="314"/>
      <c r="R920" s="314"/>
      <c r="S920" s="777"/>
      <c r="T920" s="314"/>
      <c r="U920" s="778"/>
      <c r="V920" s="315"/>
      <c r="W920" s="779"/>
      <c r="X920" s="780"/>
      <c r="Y920" s="314"/>
      <c r="Z920" s="314"/>
      <c r="AA920" s="314"/>
      <c r="AB920" s="324"/>
      <c r="AC920" s="155"/>
      <c r="AD920" s="155"/>
      <c r="AE920" s="322"/>
      <c r="AF920" s="132"/>
      <c r="AG920" s="132"/>
    </row>
    <row r="921">
      <c r="A921" s="314"/>
      <c r="B921" s="313"/>
      <c r="C921" s="313"/>
      <c r="D921" s="313"/>
      <c r="E921" s="737"/>
      <c r="F921" s="314"/>
      <c r="G921" s="318"/>
      <c r="H921" s="315"/>
      <c r="I921" s="314"/>
      <c r="J921" s="314"/>
      <c r="K921" s="314"/>
      <c r="L921" s="776"/>
      <c r="M921" s="314"/>
      <c r="N921" s="318"/>
      <c r="O921" s="315"/>
      <c r="P921" s="314"/>
      <c r="Q921" s="314"/>
      <c r="R921" s="314"/>
      <c r="S921" s="777"/>
      <c r="T921" s="314"/>
      <c r="U921" s="778"/>
      <c r="V921" s="315"/>
      <c r="W921" s="779"/>
      <c r="X921" s="780"/>
      <c r="Y921" s="314"/>
      <c r="Z921" s="314"/>
      <c r="AA921" s="314"/>
      <c r="AB921" s="324"/>
      <c r="AC921" s="155"/>
      <c r="AD921" s="155"/>
      <c r="AE921" s="322"/>
      <c r="AF921" s="132"/>
      <c r="AG921" s="132"/>
    </row>
    <row r="922">
      <c r="A922" s="314"/>
      <c r="B922" s="313"/>
      <c r="C922" s="313"/>
      <c r="D922" s="313"/>
      <c r="E922" s="737"/>
      <c r="F922" s="314"/>
      <c r="G922" s="318"/>
      <c r="H922" s="315"/>
      <c r="I922" s="314"/>
      <c r="J922" s="314"/>
      <c r="K922" s="314"/>
      <c r="L922" s="776"/>
      <c r="M922" s="314"/>
      <c r="N922" s="318"/>
      <c r="O922" s="315"/>
      <c r="P922" s="314"/>
      <c r="Q922" s="314"/>
      <c r="R922" s="314"/>
      <c r="S922" s="777"/>
      <c r="T922" s="314"/>
      <c r="U922" s="778"/>
      <c r="V922" s="315"/>
      <c r="W922" s="779"/>
      <c r="X922" s="780"/>
      <c r="Y922" s="314"/>
      <c r="Z922" s="314"/>
      <c r="AA922" s="314"/>
      <c r="AB922" s="324"/>
      <c r="AC922" s="155"/>
      <c r="AD922" s="155"/>
      <c r="AE922" s="322"/>
      <c r="AF922" s="132"/>
      <c r="AG922" s="132"/>
    </row>
    <row r="923">
      <c r="A923" s="314"/>
      <c r="B923" s="313"/>
      <c r="C923" s="313"/>
      <c r="D923" s="313"/>
      <c r="E923" s="737"/>
      <c r="F923" s="314"/>
      <c r="G923" s="318"/>
      <c r="H923" s="315"/>
      <c r="I923" s="314"/>
      <c r="J923" s="314"/>
      <c r="K923" s="314"/>
      <c r="L923" s="776"/>
      <c r="M923" s="314"/>
      <c r="N923" s="318"/>
      <c r="O923" s="315"/>
      <c r="P923" s="314"/>
      <c r="Q923" s="314"/>
      <c r="R923" s="314"/>
      <c r="S923" s="777"/>
      <c r="T923" s="314"/>
      <c r="U923" s="778"/>
      <c r="V923" s="315"/>
      <c r="W923" s="779"/>
      <c r="X923" s="780"/>
      <c r="Y923" s="314"/>
      <c r="Z923" s="314"/>
      <c r="AA923" s="314"/>
      <c r="AB923" s="324"/>
      <c r="AC923" s="155"/>
      <c r="AD923" s="155"/>
      <c r="AE923" s="322"/>
      <c r="AF923" s="132"/>
      <c r="AG923" s="132"/>
    </row>
    <row r="924">
      <c r="A924" s="314"/>
      <c r="B924" s="313"/>
      <c r="C924" s="313"/>
      <c r="D924" s="313"/>
      <c r="E924" s="737"/>
      <c r="F924" s="314"/>
      <c r="G924" s="318"/>
      <c r="H924" s="315"/>
      <c r="I924" s="314"/>
      <c r="J924" s="314"/>
      <c r="K924" s="314"/>
      <c r="L924" s="776"/>
      <c r="M924" s="314"/>
      <c r="N924" s="318"/>
      <c r="O924" s="315"/>
      <c r="P924" s="314"/>
      <c r="Q924" s="314"/>
      <c r="R924" s="314"/>
      <c r="S924" s="777"/>
      <c r="T924" s="314"/>
      <c r="U924" s="778"/>
      <c r="V924" s="315"/>
      <c r="W924" s="779"/>
      <c r="X924" s="780"/>
      <c r="Y924" s="314"/>
      <c r="Z924" s="314"/>
      <c r="AA924" s="314"/>
      <c r="AB924" s="324"/>
      <c r="AC924" s="155"/>
      <c r="AD924" s="155"/>
      <c r="AE924" s="322"/>
      <c r="AF924" s="132"/>
      <c r="AG924" s="132"/>
    </row>
    <row r="925">
      <c r="A925" s="314"/>
      <c r="B925" s="313"/>
      <c r="C925" s="313"/>
      <c r="D925" s="313"/>
      <c r="E925" s="737"/>
      <c r="F925" s="314"/>
      <c r="G925" s="318"/>
      <c r="H925" s="315"/>
      <c r="I925" s="314"/>
      <c r="J925" s="314"/>
      <c r="K925" s="314"/>
      <c r="L925" s="776"/>
      <c r="M925" s="314"/>
      <c r="N925" s="318"/>
      <c r="O925" s="315"/>
      <c r="P925" s="314"/>
      <c r="Q925" s="314"/>
      <c r="R925" s="314"/>
      <c r="S925" s="777"/>
      <c r="T925" s="314"/>
      <c r="U925" s="778"/>
      <c r="V925" s="315"/>
      <c r="W925" s="779"/>
      <c r="X925" s="780"/>
      <c r="Y925" s="314"/>
      <c r="Z925" s="314"/>
      <c r="AA925" s="314"/>
      <c r="AB925" s="324"/>
      <c r="AC925" s="155"/>
      <c r="AD925" s="155"/>
      <c r="AE925" s="322"/>
      <c r="AF925" s="132"/>
      <c r="AG925" s="132"/>
    </row>
    <row r="926">
      <c r="A926" s="314"/>
      <c r="B926" s="313"/>
      <c r="C926" s="313"/>
      <c r="D926" s="313"/>
      <c r="E926" s="737"/>
      <c r="F926" s="314"/>
      <c r="G926" s="318"/>
      <c r="H926" s="315"/>
      <c r="I926" s="314"/>
      <c r="J926" s="314"/>
      <c r="K926" s="314"/>
      <c r="L926" s="776"/>
      <c r="M926" s="314"/>
      <c r="N926" s="318"/>
      <c r="O926" s="315"/>
      <c r="P926" s="314"/>
      <c r="Q926" s="314"/>
      <c r="R926" s="314"/>
      <c r="S926" s="777"/>
      <c r="T926" s="314"/>
      <c r="U926" s="778"/>
      <c r="V926" s="315"/>
      <c r="W926" s="779"/>
      <c r="X926" s="780"/>
      <c r="Y926" s="314"/>
      <c r="Z926" s="314"/>
      <c r="AA926" s="314"/>
      <c r="AB926" s="324"/>
      <c r="AC926" s="155"/>
      <c r="AD926" s="155"/>
      <c r="AE926" s="322"/>
      <c r="AF926" s="132"/>
      <c r="AG926" s="132"/>
    </row>
    <row r="927">
      <c r="A927" s="314"/>
      <c r="B927" s="313"/>
      <c r="C927" s="313"/>
      <c r="D927" s="313"/>
      <c r="E927" s="737"/>
      <c r="F927" s="314"/>
      <c r="G927" s="318"/>
      <c r="H927" s="315"/>
      <c r="I927" s="314"/>
      <c r="J927" s="314"/>
      <c r="K927" s="314"/>
      <c r="L927" s="776"/>
      <c r="M927" s="314"/>
      <c r="N927" s="318"/>
      <c r="O927" s="315"/>
      <c r="P927" s="314"/>
      <c r="Q927" s="314"/>
      <c r="R927" s="314"/>
      <c r="S927" s="777"/>
      <c r="T927" s="314"/>
      <c r="U927" s="778"/>
      <c r="V927" s="315"/>
      <c r="W927" s="779"/>
      <c r="X927" s="780"/>
      <c r="Y927" s="314"/>
      <c r="Z927" s="314"/>
      <c r="AA927" s="314"/>
      <c r="AB927" s="324"/>
      <c r="AC927" s="155"/>
      <c r="AD927" s="155"/>
      <c r="AE927" s="322"/>
      <c r="AF927" s="132"/>
      <c r="AG927" s="132"/>
    </row>
    <row r="928">
      <c r="A928" s="314"/>
      <c r="B928" s="313"/>
      <c r="C928" s="313"/>
      <c r="D928" s="313"/>
      <c r="E928" s="737"/>
      <c r="F928" s="314"/>
      <c r="G928" s="318"/>
      <c r="H928" s="315"/>
      <c r="I928" s="314"/>
      <c r="J928" s="314"/>
      <c r="K928" s="314"/>
      <c r="L928" s="776"/>
      <c r="M928" s="314"/>
      <c r="N928" s="318"/>
      <c r="O928" s="315"/>
      <c r="P928" s="314"/>
      <c r="Q928" s="314"/>
      <c r="R928" s="314"/>
      <c r="S928" s="777"/>
      <c r="T928" s="314"/>
      <c r="U928" s="778"/>
      <c r="V928" s="315"/>
      <c r="W928" s="779"/>
      <c r="X928" s="780"/>
      <c r="Y928" s="314"/>
      <c r="Z928" s="314"/>
      <c r="AA928" s="314"/>
      <c r="AB928" s="324"/>
      <c r="AC928" s="155"/>
      <c r="AD928" s="155"/>
      <c r="AE928" s="322"/>
      <c r="AF928" s="132"/>
      <c r="AG928" s="132"/>
    </row>
    <row r="929">
      <c r="A929" s="314"/>
      <c r="B929" s="313"/>
      <c r="C929" s="313"/>
      <c r="D929" s="313"/>
      <c r="E929" s="737"/>
      <c r="F929" s="314"/>
      <c r="G929" s="318"/>
      <c r="H929" s="315"/>
      <c r="I929" s="314"/>
      <c r="J929" s="314"/>
      <c r="K929" s="314"/>
      <c r="L929" s="776"/>
      <c r="M929" s="314"/>
      <c r="N929" s="318"/>
      <c r="O929" s="315"/>
      <c r="P929" s="314"/>
      <c r="Q929" s="314"/>
      <c r="R929" s="314"/>
      <c r="S929" s="777"/>
      <c r="T929" s="314"/>
      <c r="U929" s="778"/>
      <c r="V929" s="315"/>
      <c r="W929" s="779"/>
      <c r="X929" s="780"/>
      <c r="Y929" s="314"/>
      <c r="Z929" s="314"/>
      <c r="AA929" s="314"/>
      <c r="AB929" s="324"/>
      <c r="AC929" s="155"/>
      <c r="AD929" s="155"/>
      <c r="AE929" s="322"/>
      <c r="AF929" s="132"/>
      <c r="AG929" s="132"/>
    </row>
    <row r="930">
      <c r="A930" s="314"/>
      <c r="B930" s="313"/>
      <c r="C930" s="313"/>
      <c r="D930" s="313"/>
      <c r="E930" s="737"/>
      <c r="F930" s="314"/>
      <c r="G930" s="318"/>
      <c r="H930" s="315"/>
      <c r="I930" s="314"/>
      <c r="J930" s="314"/>
      <c r="K930" s="314"/>
      <c r="L930" s="776"/>
      <c r="M930" s="314"/>
      <c r="N930" s="318"/>
      <c r="O930" s="315"/>
      <c r="P930" s="314"/>
      <c r="Q930" s="314"/>
      <c r="R930" s="314"/>
      <c r="S930" s="777"/>
      <c r="T930" s="314"/>
      <c r="U930" s="778"/>
      <c r="V930" s="315"/>
      <c r="W930" s="779"/>
      <c r="X930" s="780"/>
      <c r="Y930" s="314"/>
      <c r="Z930" s="314"/>
      <c r="AA930" s="314"/>
      <c r="AB930" s="324"/>
      <c r="AC930" s="155"/>
      <c r="AD930" s="155"/>
      <c r="AE930" s="322"/>
      <c r="AF930" s="132"/>
      <c r="AG930" s="132"/>
    </row>
    <row r="931">
      <c r="A931" s="314"/>
      <c r="B931" s="313"/>
      <c r="C931" s="313"/>
      <c r="D931" s="313"/>
      <c r="E931" s="737"/>
      <c r="F931" s="314"/>
      <c r="G931" s="318"/>
      <c r="H931" s="315"/>
      <c r="I931" s="314"/>
      <c r="J931" s="314"/>
      <c r="K931" s="314"/>
      <c r="L931" s="776"/>
      <c r="M931" s="314"/>
      <c r="N931" s="318"/>
      <c r="O931" s="315"/>
      <c r="P931" s="314"/>
      <c r="Q931" s="314"/>
      <c r="R931" s="314"/>
      <c r="S931" s="777"/>
      <c r="T931" s="314"/>
      <c r="U931" s="778"/>
      <c r="V931" s="315"/>
      <c r="W931" s="779"/>
      <c r="X931" s="780"/>
      <c r="Y931" s="314"/>
      <c r="Z931" s="314"/>
      <c r="AA931" s="314"/>
      <c r="AB931" s="324"/>
      <c r="AC931" s="155"/>
      <c r="AD931" s="155"/>
      <c r="AE931" s="322"/>
      <c r="AF931" s="132"/>
      <c r="AG931" s="132"/>
    </row>
    <row r="932">
      <c r="A932" s="314"/>
      <c r="B932" s="313"/>
      <c r="C932" s="313"/>
      <c r="D932" s="313"/>
      <c r="E932" s="737"/>
      <c r="F932" s="314"/>
      <c r="G932" s="318"/>
      <c r="H932" s="315"/>
      <c r="I932" s="314"/>
      <c r="J932" s="314"/>
      <c r="K932" s="314"/>
      <c r="L932" s="776"/>
      <c r="M932" s="314"/>
      <c r="N932" s="318"/>
      <c r="O932" s="315"/>
      <c r="P932" s="314"/>
      <c r="Q932" s="314"/>
      <c r="R932" s="314"/>
      <c r="S932" s="777"/>
      <c r="T932" s="314"/>
      <c r="U932" s="778"/>
      <c r="V932" s="315"/>
      <c r="W932" s="779"/>
      <c r="X932" s="780"/>
      <c r="Y932" s="314"/>
      <c r="Z932" s="314"/>
      <c r="AA932" s="314"/>
      <c r="AB932" s="324"/>
      <c r="AC932" s="155"/>
      <c r="AD932" s="155"/>
      <c r="AE932" s="322"/>
      <c r="AF932" s="132"/>
      <c r="AG932" s="132"/>
    </row>
    <row r="933">
      <c r="A933" s="314"/>
      <c r="B933" s="313"/>
      <c r="C933" s="313"/>
      <c r="D933" s="313"/>
      <c r="E933" s="737"/>
      <c r="F933" s="314"/>
      <c r="G933" s="318"/>
      <c r="H933" s="315"/>
      <c r="I933" s="314"/>
      <c r="J933" s="314"/>
      <c r="K933" s="314"/>
      <c r="L933" s="776"/>
      <c r="M933" s="314"/>
      <c r="N933" s="318"/>
      <c r="O933" s="315"/>
      <c r="P933" s="314"/>
      <c r="Q933" s="314"/>
      <c r="R933" s="314"/>
      <c r="S933" s="777"/>
      <c r="T933" s="314"/>
      <c r="U933" s="778"/>
      <c r="V933" s="315"/>
      <c r="W933" s="779"/>
      <c r="X933" s="780"/>
      <c r="Y933" s="314"/>
      <c r="Z933" s="314"/>
      <c r="AA933" s="314"/>
      <c r="AB933" s="324"/>
      <c r="AC933" s="155"/>
      <c r="AD933" s="155"/>
      <c r="AE933" s="322"/>
      <c r="AF933" s="132"/>
      <c r="AG933" s="132"/>
    </row>
    <row r="934">
      <c r="A934" s="314"/>
      <c r="B934" s="313"/>
      <c r="C934" s="313"/>
      <c r="D934" s="313"/>
      <c r="E934" s="737"/>
      <c r="F934" s="314"/>
      <c r="G934" s="318"/>
      <c r="H934" s="315"/>
      <c r="I934" s="314"/>
      <c r="J934" s="314"/>
      <c r="K934" s="314"/>
      <c r="L934" s="776"/>
      <c r="M934" s="314"/>
      <c r="N934" s="318"/>
      <c r="O934" s="315"/>
      <c r="P934" s="314"/>
      <c r="Q934" s="314"/>
      <c r="R934" s="314"/>
      <c r="S934" s="777"/>
      <c r="T934" s="314"/>
      <c r="U934" s="778"/>
      <c r="V934" s="315"/>
      <c r="W934" s="779"/>
      <c r="X934" s="780"/>
      <c r="Y934" s="314"/>
      <c r="Z934" s="314"/>
      <c r="AA934" s="314"/>
      <c r="AB934" s="324"/>
      <c r="AC934" s="155"/>
      <c r="AD934" s="155"/>
      <c r="AE934" s="322"/>
      <c r="AF934" s="132"/>
      <c r="AG934" s="132"/>
    </row>
    <row r="935">
      <c r="A935" s="314"/>
      <c r="B935" s="313"/>
      <c r="C935" s="313"/>
      <c r="D935" s="313"/>
      <c r="E935" s="737"/>
      <c r="F935" s="314"/>
      <c r="G935" s="318"/>
      <c r="H935" s="315"/>
      <c r="I935" s="314"/>
      <c r="J935" s="314"/>
      <c r="K935" s="314"/>
      <c r="L935" s="776"/>
      <c r="M935" s="314"/>
      <c r="N935" s="318"/>
      <c r="O935" s="315"/>
      <c r="P935" s="314"/>
      <c r="Q935" s="314"/>
      <c r="R935" s="314"/>
      <c r="S935" s="777"/>
      <c r="T935" s="314"/>
      <c r="U935" s="778"/>
      <c r="V935" s="315"/>
      <c r="W935" s="779"/>
      <c r="X935" s="780"/>
      <c r="Y935" s="314"/>
      <c r="Z935" s="314"/>
      <c r="AA935" s="314"/>
      <c r="AB935" s="324"/>
      <c r="AC935" s="155"/>
      <c r="AD935" s="155"/>
      <c r="AE935" s="322"/>
      <c r="AF935" s="132"/>
      <c r="AG935" s="132"/>
    </row>
    <row r="936">
      <c r="A936" s="314"/>
      <c r="B936" s="313"/>
      <c r="C936" s="313"/>
      <c r="D936" s="313"/>
      <c r="E936" s="737"/>
      <c r="F936" s="314"/>
      <c r="G936" s="318"/>
      <c r="H936" s="315"/>
      <c r="I936" s="314"/>
      <c r="J936" s="314"/>
      <c r="K936" s="314"/>
      <c r="L936" s="776"/>
      <c r="M936" s="314"/>
      <c r="N936" s="318"/>
      <c r="O936" s="315"/>
      <c r="P936" s="314"/>
      <c r="Q936" s="314"/>
      <c r="R936" s="314"/>
      <c r="S936" s="777"/>
      <c r="T936" s="314"/>
      <c r="U936" s="778"/>
      <c r="V936" s="315"/>
      <c r="W936" s="779"/>
      <c r="X936" s="780"/>
      <c r="Y936" s="314"/>
      <c r="Z936" s="314"/>
      <c r="AA936" s="314"/>
      <c r="AB936" s="324"/>
      <c r="AC936" s="155"/>
      <c r="AD936" s="155"/>
      <c r="AE936" s="322"/>
      <c r="AF936" s="132"/>
      <c r="AG936" s="132"/>
    </row>
    <row r="937">
      <c r="A937" s="314"/>
      <c r="B937" s="313"/>
      <c r="C937" s="313"/>
      <c r="D937" s="313"/>
      <c r="E937" s="737"/>
      <c r="F937" s="314"/>
      <c r="G937" s="318"/>
      <c r="H937" s="315"/>
      <c r="I937" s="314"/>
      <c r="J937" s="314"/>
      <c r="K937" s="314"/>
      <c r="L937" s="776"/>
      <c r="M937" s="314"/>
      <c r="N937" s="318"/>
      <c r="O937" s="315"/>
      <c r="P937" s="314"/>
      <c r="Q937" s="314"/>
      <c r="R937" s="314"/>
      <c r="S937" s="777"/>
      <c r="T937" s="314"/>
      <c r="U937" s="778"/>
      <c r="V937" s="315"/>
      <c r="W937" s="779"/>
      <c r="X937" s="780"/>
      <c r="Y937" s="314"/>
      <c r="Z937" s="314"/>
      <c r="AA937" s="314"/>
      <c r="AB937" s="324"/>
      <c r="AC937" s="155"/>
      <c r="AD937" s="155"/>
      <c r="AE937" s="322"/>
      <c r="AF937" s="132"/>
      <c r="AG937" s="132"/>
    </row>
    <row r="938">
      <c r="A938" s="314"/>
      <c r="B938" s="313"/>
      <c r="C938" s="313"/>
      <c r="D938" s="313"/>
      <c r="E938" s="737"/>
      <c r="F938" s="314"/>
      <c r="G938" s="318"/>
      <c r="H938" s="315"/>
      <c r="I938" s="314"/>
      <c r="J938" s="314"/>
      <c r="K938" s="314"/>
      <c r="L938" s="776"/>
      <c r="M938" s="314"/>
      <c r="N938" s="318"/>
      <c r="O938" s="315"/>
      <c r="P938" s="314"/>
      <c r="Q938" s="314"/>
      <c r="R938" s="314"/>
      <c r="S938" s="777"/>
      <c r="T938" s="314"/>
      <c r="U938" s="778"/>
      <c r="V938" s="315"/>
      <c r="W938" s="779"/>
      <c r="X938" s="780"/>
      <c r="Y938" s="314"/>
      <c r="Z938" s="314"/>
      <c r="AA938" s="314"/>
      <c r="AB938" s="324"/>
      <c r="AC938" s="155"/>
      <c r="AD938" s="155"/>
      <c r="AE938" s="322"/>
      <c r="AF938" s="132"/>
      <c r="AG938" s="132"/>
    </row>
    <row r="939">
      <c r="A939" s="314"/>
      <c r="B939" s="313"/>
      <c r="C939" s="313"/>
      <c r="D939" s="313"/>
      <c r="E939" s="737"/>
      <c r="F939" s="314"/>
      <c r="G939" s="318"/>
      <c r="H939" s="315"/>
      <c r="I939" s="314"/>
      <c r="J939" s="314"/>
      <c r="K939" s="314"/>
      <c r="L939" s="776"/>
      <c r="M939" s="314"/>
      <c r="N939" s="318"/>
      <c r="O939" s="315"/>
      <c r="P939" s="314"/>
      <c r="Q939" s="314"/>
      <c r="R939" s="314"/>
      <c r="S939" s="777"/>
      <c r="T939" s="314"/>
      <c r="U939" s="778"/>
      <c r="V939" s="315"/>
      <c r="W939" s="779"/>
      <c r="X939" s="780"/>
      <c r="Y939" s="314"/>
      <c r="Z939" s="314"/>
      <c r="AA939" s="314"/>
      <c r="AB939" s="324"/>
      <c r="AC939" s="155"/>
      <c r="AD939" s="155"/>
      <c r="AE939" s="322"/>
      <c r="AF939" s="132"/>
      <c r="AG939" s="132"/>
    </row>
    <row r="940">
      <c r="A940" s="314"/>
      <c r="B940" s="313"/>
      <c r="C940" s="313"/>
      <c r="D940" s="313"/>
      <c r="E940" s="737"/>
      <c r="F940" s="314"/>
      <c r="G940" s="318"/>
      <c r="H940" s="315"/>
      <c r="I940" s="314"/>
      <c r="J940" s="314"/>
      <c r="K940" s="314"/>
      <c r="L940" s="776"/>
      <c r="M940" s="314"/>
      <c r="N940" s="318"/>
      <c r="O940" s="315"/>
      <c r="P940" s="314"/>
      <c r="Q940" s="314"/>
      <c r="R940" s="314"/>
      <c r="S940" s="777"/>
      <c r="T940" s="314"/>
      <c r="U940" s="778"/>
      <c r="V940" s="315"/>
      <c r="W940" s="779"/>
      <c r="X940" s="780"/>
      <c r="Y940" s="314"/>
      <c r="Z940" s="314"/>
      <c r="AA940" s="314"/>
      <c r="AB940" s="324"/>
      <c r="AC940" s="155"/>
      <c r="AD940" s="155"/>
      <c r="AE940" s="322"/>
      <c r="AF940" s="132"/>
      <c r="AG940" s="132"/>
    </row>
    <row r="941">
      <c r="A941" s="314"/>
      <c r="B941" s="313"/>
      <c r="C941" s="313"/>
      <c r="D941" s="313"/>
      <c r="E941" s="737"/>
      <c r="F941" s="314"/>
      <c r="G941" s="318"/>
      <c r="H941" s="315"/>
      <c r="I941" s="314"/>
      <c r="J941" s="314"/>
      <c r="K941" s="314"/>
      <c r="L941" s="776"/>
      <c r="M941" s="314"/>
      <c r="N941" s="318"/>
      <c r="O941" s="315"/>
      <c r="P941" s="314"/>
      <c r="Q941" s="314"/>
      <c r="R941" s="314"/>
      <c r="S941" s="777"/>
      <c r="T941" s="314"/>
      <c r="U941" s="778"/>
      <c r="V941" s="315"/>
      <c r="W941" s="779"/>
      <c r="X941" s="780"/>
      <c r="Y941" s="314"/>
      <c r="Z941" s="314"/>
      <c r="AA941" s="314"/>
      <c r="AB941" s="324"/>
      <c r="AC941" s="155"/>
      <c r="AD941" s="155"/>
      <c r="AE941" s="322"/>
      <c r="AF941" s="132"/>
      <c r="AG941" s="132"/>
    </row>
    <row r="942">
      <c r="A942" s="314"/>
      <c r="B942" s="313"/>
      <c r="C942" s="313"/>
      <c r="D942" s="313"/>
      <c r="E942" s="737"/>
      <c r="F942" s="314"/>
      <c r="G942" s="318"/>
      <c r="H942" s="315"/>
      <c r="I942" s="314"/>
      <c r="J942" s="314"/>
      <c r="K942" s="314"/>
      <c r="L942" s="776"/>
      <c r="M942" s="314"/>
      <c r="N942" s="318"/>
      <c r="O942" s="315"/>
      <c r="P942" s="314"/>
      <c r="Q942" s="314"/>
      <c r="R942" s="314"/>
      <c r="S942" s="777"/>
      <c r="T942" s="314"/>
      <c r="U942" s="778"/>
      <c r="V942" s="315"/>
      <c r="W942" s="779"/>
      <c r="X942" s="780"/>
      <c r="Y942" s="314"/>
      <c r="Z942" s="314"/>
      <c r="AA942" s="314"/>
      <c r="AB942" s="324"/>
      <c r="AC942" s="155"/>
      <c r="AD942" s="155"/>
      <c r="AE942" s="322"/>
      <c r="AF942" s="132"/>
      <c r="AG942" s="132"/>
    </row>
    <row r="943">
      <c r="A943" s="314"/>
      <c r="B943" s="313"/>
      <c r="C943" s="313"/>
      <c r="D943" s="313"/>
      <c r="E943" s="737"/>
      <c r="F943" s="314"/>
      <c r="G943" s="318"/>
      <c r="H943" s="315"/>
      <c r="I943" s="314"/>
      <c r="J943" s="314"/>
      <c r="K943" s="314"/>
      <c r="L943" s="776"/>
      <c r="M943" s="314"/>
      <c r="N943" s="318"/>
      <c r="O943" s="315"/>
      <c r="P943" s="314"/>
      <c r="Q943" s="314"/>
      <c r="R943" s="314"/>
      <c r="S943" s="777"/>
      <c r="T943" s="314"/>
      <c r="U943" s="778"/>
      <c r="V943" s="315"/>
      <c r="W943" s="779"/>
      <c r="X943" s="780"/>
      <c r="Y943" s="314"/>
      <c r="Z943" s="314"/>
      <c r="AA943" s="314"/>
      <c r="AB943" s="324"/>
      <c r="AC943" s="155"/>
      <c r="AD943" s="155"/>
      <c r="AE943" s="322"/>
      <c r="AF943" s="132"/>
      <c r="AG943" s="132"/>
    </row>
    <row r="944">
      <c r="A944" s="314"/>
      <c r="B944" s="313"/>
      <c r="C944" s="313"/>
      <c r="D944" s="313"/>
      <c r="E944" s="737"/>
      <c r="F944" s="314"/>
      <c r="G944" s="318"/>
      <c r="H944" s="315"/>
      <c r="I944" s="314"/>
      <c r="J944" s="314"/>
      <c r="K944" s="314"/>
      <c r="L944" s="776"/>
      <c r="M944" s="314"/>
      <c r="N944" s="318"/>
      <c r="O944" s="315"/>
      <c r="P944" s="314"/>
      <c r="Q944" s="314"/>
      <c r="R944" s="314"/>
      <c r="S944" s="777"/>
      <c r="T944" s="314"/>
      <c r="U944" s="778"/>
      <c r="V944" s="315"/>
      <c r="W944" s="779"/>
      <c r="X944" s="780"/>
      <c r="Y944" s="314"/>
      <c r="Z944" s="314"/>
      <c r="AA944" s="314"/>
      <c r="AB944" s="324"/>
      <c r="AC944" s="155"/>
      <c r="AD944" s="155"/>
      <c r="AE944" s="322"/>
      <c r="AF944" s="132"/>
      <c r="AG944" s="132"/>
    </row>
    <row r="945">
      <c r="A945" s="314"/>
      <c r="B945" s="313"/>
      <c r="C945" s="313"/>
      <c r="D945" s="313"/>
      <c r="E945" s="737"/>
      <c r="F945" s="314"/>
      <c r="G945" s="318"/>
      <c r="H945" s="315"/>
      <c r="I945" s="314"/>
      <c r="J945" s="314"/>
      <c r="K945" s="314"/>
      <c r="L945" s="776"/>
      <c r="M945" s="314"/>
      <c r="N945" s="318"/>
      <c r="O945" s="315"/>
      <c r="P945" s="314"/>
      <c r="Q945" s="314"/>
      <c r="R945" s="314"/>
      <c r="S945" s="777"/>
      <c r="T945" s="314"/>
      <c r="U945" s="778"/>
      <c r="V945" s="315"/>
      <c r="W945" s="779"/>
      <c r="X945" s="780"/>
      <c r="Y945" s="314"/>
      <c r="Z945" s="314"/>
      <c r="AA945" s="314"/>
      <c r="AB945" s="324"/>
      <c r="AC945" s="155"/>
      <c r="AD945" s="155"/>
      <c r="AE945" s="322"/>
      <c r="AF945" s="132"/>
      <c r="AG945" s="132"/>
    </row>
    <row r="946">
      <c r="A946" s="314"/>
      <c r="B946" s="313"/>
      <c r="C946" s="313"/>
      <c r="D946" s="313"/>
      <c r="E946" s="737"/>
      <c r="F946" s="314"/>
      <c r="G946" s="318"/>
      <c r="H946" s="315"/>
      <c r="I946" s="314"/>
      <c r="J946" s="314"/>
      <c r="K946" s="314"/>
      <c r="L946" s="776"/>
      <c r="M946" s="314"/>
      <c r="N946" s="318"/>
      <c r="O946" s="315"/>
      <c r="P946" s="314"/>
      <c r="Q946" s="314"/>
      <c r="R946" s="314"/>
      <c r="S946" s="777"/>
      <c r="T946" s="314"/>
      <c r="U946" s="778"/>
      <c r="V946" s="315"/>
      <c r="W946" s="779"/>
      <c r="X946" s="780"/>
      <c r="Y946" s="314"/>
      <c r="Z946" s="314"/>
      <c r="AA946" s="314"/>
      <c r="AB946" s="324"/>
      <c r="AC946" s="155"/>
      <c r="AD946" s="155"/>
      <c r="AE946" s="322"/>
      <c r="AF946" s="132"/>
      <c r="AG946" s="132"/>
    </row>
    <row r="947">
      <c r="A947" s="314"/>
      <c r="B947" s="313"/>
      <c r="C947" s="313"/>
      <c r="D947" s="313"/>
      <c r="E947" s="737"/>
      <c r="F947" s="314"/>
      <c r="G947" s="318"/>
      <c r="H947" s="315"/>
      <c r="I947" s="314"/>
      <c r="J947" s="314"/>
      <c r="K947" s="314"/>
      <c r="L947" s="776"/>
      <c r="M947" s="314"/>
      <c r="N947" s="318"/>
      <c r="O947" s="315"/>
      <c r="P947" s="314"/>
      <c r="Q947" s="314"/>
      <c r="R947" s="314"/>
      <c r="S947" s="777"/>
      <c r="T947" s="314"/>
      <c r="U947" s="778"/>
      <c r="V947" s="315"/>
      <c r="W947" s="779"/>
      <c r="X947" s="780"/>
      <c r="Y947" s="314"/>
      <c r="Z947" s="314"/>
      <c r="AA947" s="314"/>
      <c r="AB947" s="324"/>
      <c r="AC947" s="155"/>
      <c r="AD947" s="155"/>
      <c r="AE947" s="322"/>
      <c r="AF947" s="132"/>
      <c r="AG947" s="132"/>
    </row>
    <row r="948">
      <c r="A948" s="435"/>
      <c r="B948" s="313"/>
      <c r="C948" s="437"/>
      <c r="D948" s="313"/>
      <c r="E948" s="753"/>
      <c r="F948" s="314"/>
      <c r="G948" s="318"/>
      <c r="H948" s="744"/>
      <c r="I948" s="435"/>
      <c r="J948" s="314"/>
      <c r="K948" s="435"/>
      <c r="L948" s="781"/>
      <c r="M948" s="314"/>
      <c r="N948" s="318"/>
      <c r="O948" s="315"/>
      <c r="P948" s="435"/>
      <c r="Q948" s="435"/>
      <c r="R948" s="435"/>
      <c r="S948" s="782"/>
      <c r="T948" s="435"/>
      <c r="U948" s="783"/>
      <c r="V948" s="744"/>
      <c r="W948" s="784"/>
      <c r="X948" s="785"/>
      <c r="Y948" s="435"/>
      <c r="Z948" s="435"/>
      <c r="AA948" s="435"/>
      <c r="AB948" s="324"/>
      <c r="AC948" s="180"/>
      <c r="AD948" s="155"/>
      <c r="AE948" s="322"/>
      <c r="AF948" s="132"/>
      <c r="AG948" s="132"/>
    </row>
    <row r="949">
      <c r="A949" s="435"/>
      <c r="B949" s="313"/>
      <c r="C949" s="313"/>
      <c r="D949" s="437"/>
      <c r="E949" s="737"/>
      <c r="F949" s="314"/>
      <c r="G949" s="318"/>
      <c r="H949" s="315"/>
      <c r="I949" s="314"/>
      <c r="J949" s="314"/>
      <c r="K949" s="314"/>
      <c r="L949" s="776"/>
      <c r="M949" s="435"/>
      <c r="N949" s="740"/>
      <c r="O949" s="315"/>
      <c r="P949" s="314"/>
      <c r="Q949" s="314"/>
      <c r="R949" s="314"/>
      <c r="S949" s="777"/>
      <c r="T949" s="314"/>
      <c r="U949" s="778"/>
      <c r="V949" s="315"/>
      <c r="W949" s="779"/>
      <c r="X949" s="780"/>
      <c r="Y949" s="314"/>
      <c r="Z949" s="314"/>
      <c r="AA949" s="314"/>
      <c r="AB949" s="324"/>
      <c r="AC949" s="180"/>
      <c r="AD949" s="155"/>
      <c r="AE949" s="322"/>
      <c r="AF949" s="132"/>
      <c r="AG949" s="132"/>
    </row>
    <row r="950">
      <c r="A950" s="435"/>
      <c r="B950" s="437"/>
      <c r="C950" s="437"/>
      <c r="D950" s="437"/>
      <c r="E950" s="753"/>
      <c r="F950" s="314"/>
      <c r="G950" s="318"/>
      <c r="H950" s="315"/>
      <c r="I950" s="435"/>
      <c r="J950" s="435"/>
      <c r="K950" s="435"/>
      <c r="L950" s="781"/>
      <c r="M950" s="435"/>
      <c r="N950" s="740"/>
      <c r="O950" s="315"/>
      <c r="P950" s="435"/>
      <c r="Q950" s="314"/>
      <c r="R950" s="435"/>
      <c r="S950" s="782"/>
      <c r="T950" s="435"/>
      <c r="U950" s="783"/>
      <c r="V950" s="744"/>
      <c r="W950" s="784"/>
      <c r="X950" s="785"/>
      <c r="Y950" s="435"/>
      <c r="Z950" s="435"/>
      <c r="AA950" s="435"/>
      <c r="AB950" s="324"/>
      <c r="AC950" s="180"/>
      <c r="AD950" s="155"/>
      <c r="AE950" s="322"/>
      <c r="AF950" s="132"/>
      <c r="AG950" s="132"/>
    </row>
    <row r="951">
      <c r="A951" s="435"/>
      <c r="B951" s="313"/>
      <c r="C951" s="313"/>
      <c r="D951" s="437"/>
      <c r="E951" s="737"/>
      <c r="F951" s="314"/>
      <c r="G951" s="318"/>
      <c r="H951" s="315"/>
      <c r="I951" s="435"/>
      <c r="J951" s="314"/>
      <c r="K951" s="435"/>
      <c r="L951" s="776"/>
      <c r="M951" s="314"/>
      <c r="N951" s="318"/>
      <c r="O951" s="315"/>
      <c r="P951" s="314"/>
      <c r="Q951" s="435"/>
      <c r="R951" s="435"/>
      <c r="S951" s="777"/>
      <c r="T951" s="314"/>
      <c r="U951" s="778"/>
      <c r="V951" s="315"/>
      <c r="W951" s="779"/>
      <c r="X951" s="780"/>
      <c r="Y951" s="314"/>
      <c r="Z951" s="314"/>
      <c r="AA951" s="314"/>
      <c r="AB951" s="324"/>
      <c r="AC951" s="180"/>
      <c r="AD951" s="155"/>
      <c r="AE951" s="322"/>
      <c r="AF951" s="132"/>
      <c r="AG951" s="132"/>
    </row>
    <row r="952">
      <c r="A952" s="435"/>
      <c r="B952" s="437"/>
      <c r="C952" s="437"/>
      <c r="D952" s="437"/>
      <c r="E952" s="753"/>
      <c r="F952" s="314"/>
      <c r="G952" s="318"/>
      <c r="H952" s="744"/>
      <c r="I952" s="435"/>
      <c r="J952" s="435"/>
      <c r="K952" s="435"/>
      <c r="L952" s="781"/>
      <c r="M952" s="435"/>
      <c r="N952" s="740"/>
      <c r="O952" s="315"/>
      <c r="P952" s="435"/>
      <c r="Q952" s="435"/>
      <c r="R952" s="435"/>
      <c r="S952" s="782"/>
      <c r="T952" s="435"/>
      <c r="U952" s="783"/>
      <c r="V952" s="744"/>
      <c r="W952" s="784"/>
      <c r="X952" s="785"/>
      <c r="Y952" s="435"/>
      <c r="Z952" s="435"/>
      <c r="AA952" s="435"/>
      <c r="AB952" s="324"/>
      <c r="AC952" s="180"/>
      <c r="AD952" s="155"/>
      <c r="AE952" s="322"/>
      <c r="AF952" s="132"/>
      <c r="AG952" s="132"/>
    </row>
    <row r="953">
      <c r="A953" s="435"/>
      <c r="B953" s="437"/>
      <c r="C953" s="313"/>
      <c r="D953" s="437"/>
      <c r="E953" s="737"/>
      <c r="F953" s="314"/>
      <c r="G953" s="318"/>
      <c r="H953" s="315"/>
      <c r="I953" s="314"/>
      <c r="J953" s="314"/>
      <c r="K953" s="435"/>
      <c r="L953" s="776"/>
      <c r="M953" s="314"/>
      <c r="N953" s="318"/>
      <c r="O953" s="315"/>
      <c r="P953" s="314"/>
      <c r="Q953" s="314"/>
      <c r="R953" s="314"/>
      <c r="S953" s="782"/>
      <c r="T953" s="435"/>
      <c r="U953" s="783"/>
      <c r="V953" s="744"/>
      <c r="W953" s="784"/>
      <c r="X953" s="785"/>
      <c r="Y953" s="435"/>
      <c r="Z953" s="435"/>
      <c r="AA953" s="435"/>
      <c r="AB953" s="324"/>
      <c r="AC953" s="180"/>
      <c r="AD953" s="155"/>
      <c r="AE953" s="322"/>
      <c r="AF953" s="132"/>
      <c r="AG953" s="132"/>
    </row>
    <row r="954">
      <c r="A954" s="435"/>
      <c r="B954" s="437"/>
      <c r="C954" s="437"/>
      <c r="D954" s="437"/>
      <c r="E954" s="753"/>
      <c r="F954" s="314"/>
      <c r="G954" s="318"/>
      <c r="H954" s="744"/>
      <c r="I954" s="314"/>
      <c r="J954" s="314"/>
      <c r="K954" s="435"/>
      <c r="L954" s="776"/>
      <c r="M954" s="314"/>
      <c r="N954" s="318"/>
      <c r="O954" s="315"/>
      <c r="P954" s="435"/>
      <c r="Q954" s="435"/>
      <c r="R954" s="435"/>
      <c r="S954" s="782"/>
      <c r="T954" s="435"/>
      <c r="U954" s="783"/>
      <c r="V954" s="744"/>
      <c r="W954" s="784"/>
      <c r="X954" s="785"/>
      <c r="Y954" s="435"/>
      <c r="Z954" s="435"/>
      <c r="AA954" s="435"/>
      <c r="AB954" s="324"/>
      <c r="AC954" s="180"/>
      <c r="AD954" s="155"/>
      <c r="AE954" s="322"/>
      <c r="AF954" s="132"/>
      <c r="AG954" s="132"/>
    </row>
    <row r="955">
      <c r="A955" s="435"/>
      <c r="B955" s="437"/>
      <c r="C955" s="437"/>
      <c r="D955" s="437"/>
      <c r="E955" s="753"/>
      <c r="F955" s="314"/>
      <c r="G955" s="318"/>
      <c r="H955" s="744"/>
      <c r="I955" s="435"/>
      <c r="J955" s="435"/>
      <c r="K955" s="435"/>
      <c r="L955" s="781"/>
      <c r="M955" s="435"/>
      <c r="N955" s="740"/>
      <c r="O955" s="315"/>
      <c r="P955" s="435"/>
      <c r="Q955" s="435"/>
      <c r="R955" s="435"/>
      <c r="S955" s="782"/>
      <c r="T955" s="435"/>
      <c r="U955" s="783"/>
      <c r="V955" s="744"/>
      <c r="W955" s="784"/>
      <c r="X955" s="785"/>
      <c r="Y955" s="435"/>
      <c r="Z955" s="435"/>
      <c r="AA955" s="435"/>
      <c r="AB955" s="324"/>
      <c r="AC955" s="180"/>
      <c r="AD955" s="155"/>
      <c r="AE955" s="322"/>
      <c r="AF955" s="132"/>
      <c r="AG955" s="132"/>
    </row>
    <row r="956">
      <c r="A956" s="435"/>
      <c r="B956" s="313"/>
      <c r="C956" s="313"/>
      <c r="D956" s="313"/>
      <c r="E956" s="753"/>
      <c r="F956" s="314"/>
      <c r="G956" s="318"/>
      <c r="H956" s="744"/>
      <c r="I956" s="314"/>
      <c r="J956" s="314"/>
      <c r="K956" s="314"/>
      <c r="L956" s="776"/>
      <c r="M956" s="314"/>
      <c r="N956" s="318"/>
      <c r="O956" s="315"/>
      <c r="P956" s="314"/>
      <c r="Q956" s="314"/>
      <c r="R956" s="314"/>
      <c r="S956" s="777"/>
      <c r="T956" s="314"/>
      <c r="U956" s="778"/>
      <c r="V956" s="315"/>
      <c r="W956" s="779"/>
      <c r="X956" s="780"/>
      <c r="Y956" s="314"/>
      <c r="Z956" s="314"/>
      <c r="AA956" s="314"/>
      <c r="AB956" s="324"/>
      <c r="AC956" s="180"/>
      <c r="AD956" s="155"/>
      <c r="AE956" s="322"/>
      <c r="AF956" s="132"/>
      <c r="AG956" s="132"/>
    </row>
    <row r="957">
      <c r="A957" s="435"/>
      <c r="B957" s="313"/>
      <c r="C957" s="313"/>
      <c r="D957" s="437"/>
      <c r="E957" s="737"/>
      <c r="F957" s="314"/>
      <c r="G957" s="318"/>
      <c r="H957" s="744"/>
      <c r="I957" s="314"/>
      <c r="J957" s="435"/>
      <c r="K957" s="435"/>
      <c r="L957" s="776"/>
      <c r="M957" s="435"/>
      <c r="N957" s="318"/>
      <c r="O957" s="315"/>
      <c r="P957" s="314"/>
      <c r="Q957" s="314"/>
      <c r="R957" s="435"/>
      <c r="S957" s="782"/>
      <c r="T957" s="435"/>
      <c r="U957" s="783"/>
      <c r="V957" s="744"/>
      <c r="W957" s="784"/>
      <c r="X957" s="785"/>
      <c r="Y957" s="435"/>
      <c r="Z957" s="435"/>
      <c r="AA957" s="435"/>
      <c r="AB957" s="324"/>
      <c r="AC957" s="180"/>
      <c r="AD957" s="155"/>
      <c r="AE957" s="322"/>
      <c r="AF957" s="132"/>
      <c r="AG957" s="132"/>
    </row>
    <row r="958">
      <c r="A958" s="435"/>
      <c r="B958" s="313"/>
      <c r="C958" s="313"/>
      <c r="D958" s="313"/>
      <c r="E958" s="737"/>
      <c r="F958" s="314"/>
      <c r="G958" s="318"/>
      <c r="H958" s="315"/>
      <c r="I958" s="314"/>
      <c r="J958" s="314"/>
      <c r="K958" s="314"/>
      <c r="L958" s="776"/>
      <c r="M958" s="314"/>
      <c r="N958" s="318"/>
      <c r="O958" s="315"/>
      <c r="P958" s="314"/>
      <c r="Q958" s="435"/>
      <c r="R958" s="314"/>
      <c r="S958" s="782"/>
      <c r="T958" s="435"/>
      <c r="U958" s="783"/>
      <c r="V958" s="744"/>
      <c r="W958" s="784"/>
      <c r="X958" s="785"/>
      <c r="Y958" s="435"/>
      <c r="Z958" s="435"/>
      <c r="AA958" s="435"/>
      <c r="AB958" s="324"/>
      <c r="AC958" s="180"/>
      <c r="AD958" s="155"/>
      <c r="AE958" s="322"/>
      <c r="AF958" s="132"/>
      <c r="AG958" s="132"/>
    </row>
    <row r="959">
      <c r="A959" s="435"/>
      <c r="B959" s="437"/>
      <c r="C959" s="313"/>
      <c r="D959" s="313"/>
      <c r="E959" s="737"/>
      <c r="F959" s="314"/>
      <c r="G959" s="318"/>
      <c r="H959" s="744"/>
      <c r="I959" s="314"/>
      <c r="J959" s="435"/>
      <c r="K959" s="435"/>
      <c r="L959" s="776"/>
      <c r="M959" s="314"/>
      <c r="N959" s="740"/>
      <c r="O959" s="315"/>
      <c r="P959" s="314"/>
      <c r="Q959" s="314"/>
      <c r="R959" s="435"/>
      <c r="S959" s="782"/>
      <c r="T959" s="435"/>
      <c r="U959" s="783"/>
      <c r="V959" s="744"/>
      <c r="W959" s="784"/>
      <c r="X959" s="785"/>
      <c r="Y959" s="435"/>
      <c r="Z959" s="435"/>
      <c r="AA959" s="435"/>
      <c r="AB959" s="324"/>
      <c r="AC959" s="180"/>
      <c r="AD959" s="155"/>
      <c r="AE959" s="322"/>
      <c r="AF959" s="132"/>
      <c r="AG959" s="132"/>
    </row>
    <row r="960">
      <c r="A960" s="435"/>
      <c r="B960" s="313"/>
      <c r="C960" s="437"/>
      <c r="D960" s="437"/>
      <c r="E960" s="753"/>
      <c r="F960" s="314"/>
      <c r="G960" s="318"/>
      <c r="H960" s="744"/>
      <c r="I960" s="314"/>
      <c r="J960" s="314"/>
      <c r="K960" s="435"/>
      <c r="L960" s="776"/>
      <c r="M960" s="314"/>
      <c r="N960" s="318"/>
      <c r="O960" s="315"/>
      <c r="P960" s="314"/>
      <c r="Q960" s="314"/>
      <c r="R960" s="314"/>
      <c r="S960" s="782"/>
      <c r="T960" s="435"/>
      <c r="U960" s="783"/>
      <c r="V960" s="744"/>
      <c r="W960" s="784"/>
      <c r="X960" s="785"/>
      <c r="Y960" s="435"/>
      <c r="Z960" s="435"/>
      <c r="AA960" s="435"/>
      <c r="AB960" s="324"/>
      <c r="AC960" s="180"/>
      <c r="AD960" s="155"/>
      <c r="AE960" s="322"/>
      <c r="AF960" s="132"/>
      <c r="AG960" s="132"/>
    </row>
    <row r="961">
      <c r="A961" s="435"/>
      <c r="B961" s="313"/>
      <c r="C961" s="313"/>
      <c r="D961" s="313"/>
      <c r="E961" s="737"/>
      <c r="F961" s="314"/>
      <c r="G961" s="318"/>
      <c r="H961" s="744"/>
      <c r="I961" s="314"/>
      <c r="J961" s="314"/>
      <c r="K961" s="314"/>
      <c r="L961" s="776"/>
      <c r="M961" s="314"/>
      <c r="N961" s="318"/>
      <c r="O961" s="315"/>
      <c r="P961" s="314"/>
      <c r="Q961" s="314"/>
      <c r="R961" s="435"/>
      <c r="S961" s="777"/>
      <c r="T961" s="314"/>
      <c r="U961" s="778"/>
      <c r="V961" s="315"/>
      <c r="W961" s="779"/>
      <c r="X961" s="780"/>
      <c r="Y961" s="314"/>
      <c r="Z961" s="314"/>
      <c r="AA961" s="314"/>
      <c r="AB961" s="324"/>
      <c r="AC961" s="180"/>
      <c r="AD961" s="155"/>
      <c r="AE961" s="322"/>
      <c r="AF961" s="132"/>
      <c r="AG961" s="132"/>
    </row>
    <row r="962">
      <c r="A962" s="435"/>
      <c r="B962" s="437"/>
      <c r="C962" s="437"/>
      <c r="D962" s="437"/>
      <c r="E962" s="753"/>
      <c r="F962" s="314"/>
      <c r="G962" s="318"/>
      <c r="H962" s="744"/>
      <c r="I962" s="435"/>
      <c r="J962" s="435"/>
      <c r="K962" s="435"/>
      <c r="L962" s="781"/>
      <c r="M962" s="435"/>
      <c r="N962" s="740"/>
      <c r="O962" s="315"/>
      <c r="P962" s="435"/>
      <c r="Q962" s="435"/>
      <c r="R962" s="435"/>
      <c r="S962" s="782"/>
      <c r="T962" s="435"/>
      <c r="U962" s="783"/>
      <c r="V962" s="744"/>
      <c r="W962" s="784"/>
      <c r="X962" s="785"/>
      <c r="Y962" s="435"/>
      <c r="Z962" s="435"/>
      <c r="AA962" s="435"/>
      <c r="AB962" s="324"/>
      <c r="AC962" s="180"/>
      <c r="AD962" s="155"/>
      <c r="AE962" s="322"/>
      <c r="AF962" s="132"/>
      <c r="AG962" s="132"/>
    </row>
    <row r="963">
      <c r="A963" s="435"/>
      <c r="B963" s="313"/>
      <c r="C963" s="313"/>
      <c r="D963" s="313"/>
      <c r="E963" s="737"/>
      <c r="F963" s="314"/>
      <c r="G963" s="318"/>
      <c r="H963" s="315"/>
      <c r="I963" s="314"/>
      <c r="J963" s="314"/>
      <c r="K963" s="314"/>
      <c r="L963" s="776"/>
      <c r="M963" s="435"/>
      <c r="N963" s="318"/>
      <c r="O963" s="315"/>
      <c r="P963" s="314"/>
      <c r="Q963" s="314"/>
      <c r="R963" s="314"/>
      <c r="S963" s="777"/>
      <c r="T963" s="314"/>
      <c r="U963" s="778"/>
      <c r="V963" s="315"/>
      <c r="W963" s="779"/>
      <c r="X963" s="780"/>
      <c r="Y963" s="314"/>
      <c r="Z963" s="314"/>
      <c r="AA963" s="314"/>
      <c r="AB963" s="324"/>
      <c r="AC963" s="180"/>
      <c r="AD963" s="155"/>
      <c r="AE963" s="322"/>
      <c r="AF963" s="132"/>
      <c r="AG963" s="132"/>
    </row>
    <row r="964">
      <c r="A964" s="435"/>
      <c r="B964" s="313"/>
      <c r="C964" s="437"/>
      <c r="D964" s="437"/>
      <c r="E964" s="753"/>
      <c r="F964" s="314"/>
      <c r="G964" s="318"/>
      <c r="H964" s="744"/>
      <c r="I964" s="435"/>
      <c r="J964" s="435"/>
      <c r="K964" s="435"/>
      <c r="L964" s="776"/>
      <c r="M964" s="435"/>
      <c r="N964" s="740"/>
      <c r="O964" s="315"/>
      <c r="P964" s="435"/>
      <c r="Q964" s="435"/>
      <c r="R964" s="435"/>
      <c r="S964" s="782"/>
      <c r="T964" s="435"/>
      <c r="U964" s="783"/>
      <c r="V964" s="744"/>
      <c r="W964" s="784"/>
      <c r="X964" s="785"/>
      <c r="Y964" s="435"/>
      <c r="Z964" s="435"/>
      <c r="AA964" s="435"/>
      <c r="AB964" s="324"/>
      <c r="AC964" s="180"/>
      <c r="AD964" s="155"/>
      <c r="AE964" s="322"/>
      <c r="AF964" s="132"/>
      <c r="AG964" s="132"/>
    </row>
    <row r="965">
      <c r="A965" s="435"/>
      <c r="B965" s="437"/>
      <c r="C965" s="437"/>
      <c r="D965" s="313"/>
      <c r="E965" s="753"/>
      <c r="F965" s="314"/>
      <c r="G965" s="318"/>
      <c r="H965" s="744"/>
      <c r="I965" s="435"/>
      <c r="J965" s="314"/>
      <c r="K965" s="435"/>
      <c r="L965" s="781"/>
      <c r="M965" s="314"/>
      <c r="N965" s="740"/>
      <c r="O965" s="315"/>
      <c r="P965" s="435"/>
      <c r="Q965" s="314"/>
      <c r="R965" s="435"/>
      <c r="S965" s="782"/>
      <c r="T965" s="435"/>
      <c r="U965" s="783"/>
      <c r="V965" s="744"/>
      <c r="W965" s="784"/>
      <c r="X965" s="785"/>
      <c r="Y965" s="435"/>
      <c r="Z965" s="435"/>
      <c r="AA965" s="435"/>
      <c r="AB965" s="324"/>
      <c r="AC965" s="180"/>
      <c r="AD965" s="155"/>
      <c r="AE965" s="322"/>
      <c r="AF965" s="132"/>
      <c r="AG965" s="132"/>
    </row>
    <row r="966">
      <c r="A966" s="458"/>
      <c r="B966" s="437"/>
      <c r="C966" s="437"/>
      <c r="D966" s="437"/>
      <c r="E966" s="753"/>
      <c r="F966" s="314"/>
      <c r="G966" s="318"/>
      <c r="H966" s="315"/>
      <c r="I966" s="435"/>
      <c r="J966" s="435"/>
      <c r="K966" s="435"/>
      <c r="L966" s="781"/>
      <c r="M966" s="435"/>
      <c r="N966" s="740"/>
      <c r="O966" s="315"/>
      <c r="P966" s="435"/>
      <c r="Q966" s="435"/>
      <c r="R966" s="435"/>
      <c r="S966" s="782"/>
      <c r="T966" s="435"/>
      <c r="U966" s="783"/>
      <c r="V966" s="744"/>
      <c r="W966" s="784"/>
      <c r="X966" s="785"/>
      <c r="Y966" s="435"/>
      <c r="Z966" s="435"/>
      <c r="AA966" s="435"/>
      <c r="AB966" s="324"/>
      <c r="AC966" s="180"/>
      <c r="AD966" s="155"/>
      <c r="AE966" s="322"/>
      <c r="AF966" s="132"/>
      <c r="AG966" s="132"/>
    </row>
    <row r="967">
      <c r="A967" s="458"/>
      <c r="B967" s="437"/>
      <c r="C967" s="437"/>
      <c r="D967" s="437"/>
      <c r="E967" s="753"/>
      <c r="F967" s="314"/>
      <c r="G967" s="318"/>
      <c r="H967" s="315"/>
      <c r="I967" s="314"/>
      <c r="J967" s="435"/>
      <c r="K967" s="435"/>
      <c r="L967" s="781"/>
      <c r="M967" s="435"/>
      <c r="N967" s="740"/>
      <c r="O967" s="315"/>
      <c r="P967" s="435"/>
      <c r="Q967" s="435"/>
      <c r="R967" s="435"/>
      <c r="S967" s="782"/>
      <c r="T967" s="435"/>
      <c r="U967" s="783"/>
      <c r="V967" s="744"/>
      <c r="W967" s="784"/>
      <c r="X967" s="785"/>
      <c r="Y967" s="435"/>
      <c r="Z967" s="435"/>
      <c r="AA967" s="435"/>
      <c r="AB967" s="324"/>
      <c r="AC967" s="180"/>
      <c r="AD967" s="155"/>
      <c r="AE967" s="322"/>
      <c r="AF967" s="132"/>
      <c r="AG967" s="132"/>
    </row>
    <row r="968">
      <c r="A968" s="458"/>
      <c r="B968" s="437"/>
      <c r="C968" s="437"/>
      <c r="D968" s="437"/>
      <c r="E968" s="737"/>
      <c r="F968" s="314"/>
      <c r="G968" s="318"/>
      <c r="H968" s="315"/>
      <c r="I968" s="435"/>
      <c r="J968" s="435"/>
      <c r="K968" s="435"/>
      <c r="L968" s="781"/>
      <c r="M968" s="435"/>
      <c r="N968" s="740"/>
      <c r="O968" s="315"/>
      <c r="P968" s="435"/>
      <c r="Q968" s="314"/>
      <c r="R968" s="435"/>
      <c r="S968" s="782"/>
      <c r="T968" s="435"/>
      <c r="U968" s="783"/>
      <c r="V968" s="744"/>
      <c r="W968" s="784"/>
      <c r="X968" s="785"/>
      <c r="Y968" s="435"/>
      <c r="Z968" s="435"/>
      <c r="AA968" s="435"/>
      <c r="AB968" s="324"/>
      <c r="AC968" s="180"/>
      <c r="AD968" s="155"/>
      <c r="AE968" s="322"/>
      <c r="AF968" s="132"/>
      <c r="AG968" s="132"/>
    </row>
    <row r="969">
      <c r="A969" s="458"/>
      <c r="B969" s="313"/>
      <c r="C969" s="313"/>
      <c r="D969" s="313"/>
      <c r="E969" s="737"/>
      <c r="F969" s="314"/>
      <c r="G969" s="318"/>
      <c r="H969" s="315"/>
      <c r="I969" s="314"/>
      <c r="J969" s="314"/>
      <c r="K969" s="314"/>
      <c r="L969" s="776"/>
      <c r="M969" s="314"/>
      <c r="N969" s="318"/>
      <c r="O969" s="315"/>
      <c r="P969" s="314"/>
      <c r="Q969" s="314"/>
      <c r="R969" s="314"/>
      <c r="S969" s="777"/>
      <c r="T969" s="314"/>
      <c r="U969" s="778"/>
      <c r="V969" s="315"/>
      <c r="W969" s="779"/>
      <c r="X969" s="780"/>
      <c r="Y969" s="314"/>
      <c r="Z969" s="314"/>
      <c r="AA969" s="314"/>
      <c r="AB969" s="324"/>
      <c r="AC969" s="180"/>
      <c r="AD969" s="155"/>
      <c r="AE969" s="322"/>
      <c r="AF969" s="132"/>
      <c r="AG969" s="132"/>
    </row>
    <row r="970">
      <c r="A970" s="458"/>
      <c r="B970" s="437"/>
      <c r="C970" s="437"/>
      <c r="D970" s="437"/>
      <c r="E970" s="737"/>
      <c r="F970" s="314"/>
      <c r="G970" s="318"/>
      <c r="H970" s="315"/>
      <c r="I970" s="314"/>
      <c r="J970" s="314"/>
      <c r="K970" s="435"/>
      <c r="L970" s="781"/>
      <c r="M970" s="435"/>
      <c r="N970" s="318"/>
      <c r="O970" s="315"/>
      <c r="P970" s="435"/>
      <c r="Q970" s="435"/>
      <c r="R970" s="435"/>
      <c r="S970" s="782"/>
      <c r="T970" s="435"/>
      <c r="U970" s="783"/>
      <c r="V970" s="744"/>
      <c r="W970" s="784"/>
      <c r="X970" s="785"/>
      <c r="Y970" s="435"/>
      <c r="Z970" s="435"/>
      <c r="AA970" s="435"/>
      <c r="AB970" s="324"/>
      <c r="AC970" s="180"/>
      <c r="AD970" s="155"/>
      <c r="AE970" s="322"/>
      <c r="AF970" s="132"/>
      <c r="AG970" s="132"/>
    </row>
    <row r="971">
      <c r="A971" s="458"/>
      <c r="B971" s="313"/>
      <c r="C971" s="313"/>
      <c r="D971" s="437"/>
      <c r="E971" s="737"/>
      <c r="F971" s="314"/>
      <c r="G971" s="318"/>
      <c r="H971" s="315"/>
      <c r="I971" s="314"/>
      <c r="J971" s="314"/>
      <c r="K971" s="314"/>
      <c r="L971" s="776"/>
      <c r="M971" s="314"/>
      <c r="N971" s="318"/>
      <c r="O971" s="315"/>
      <c r="P971" s="314"/>
      <c r="Q971" s="314"/>
      <c r="R971" s="314"/>
      <c r="S971" s="777"/>
      <c r="T971" s="314"/>
      <c r="U971" s="778"/>
      <c r="V971" s="315"/>
      <c r="W971" s="779"/>
      <c r="X971" s="780"/>
      <c r="Y971" s="314"/>
      <c r="Z971" s="314"/>
      <c r="AA971" s="314"/>
      <c r="AB971" s="324"/>
      <c r="AC971" s="180"/>
      <c r="AD971" s="155"/>
      <c r="AE971" s="322"/>
      <c r="AF971" s="132"/>
      <c r="AG971" s="132"/>
    </row>
    <row r="972">
      <c r="A972" s="458"/>
      <c r="B972" s="313"/>
      <c r="C972" s="437"/>
      <c r="D972" s="313"/>
      <c r="E972" s="737"/>
      <c r="F972" s="314"/>
      <c r="G972" s="318"/>
      <c r="H972" s="315"/>
      <c r="I972" s="435"/>
      <c r="J972" s="314"/>
      <c r="K972" s="314"/>
      <c r="L972" s="781"/>
      <c r="M972" s="314"/>
      <c r="N972" s="318"/>
      <c r="O972" s="315"/>
      <c r="P972" s="314"/>
      <c r="Q972" s="435"/>
      <c r="R972" s="435"/>
      <c r="S972" s="782"/>
      <c r="T972" s="435"/>
      <c r="U972" s="783"/>
      <c r="V972" s="744"/>
      <c r="W972" s="784"/>
      <c r="X972" s="785"/>
      <c r="Y972" s="435"/>
      <c r="Z972" s="435"/>
      <c r="AA972" s="435"/>
      <c r="AB972" s="324"/>
      <c r="AC972" s="180"/>
      <c r="AD972" s="155"/>
      <c r="AE972" s="322"/>
      <c r="AF972" s="132"/>
      <c r="AG972" s="132"/>
    </row>
    <row r="973">
      <c r="A973" s="458"/>
      <c r="B973" s="313"/>
      <c r="C973" s="437"/>
      <c r="D973" s="437"/>
      <c r="E973" s="753"/>
      <c r="F973" s="314"/>
      <c r="G973" s="318"/>
      <c r="H973" s="744"/>
      <c r="I973" s="435"/>
      <c r="J973" s="314"/>
      <c r="K973" s="435"/>
      <c r="L973" s="781"/>
      <c r="M973" s="314"/>
      <c r="N973" s="318"/>
      <c r="O973" s="315"/>
      <c r="P973" s="435"/>
      <c r="Q973" s="435"/>
      <c r="R973" s="435"/>
      <c r="S973" s="782"/>
      <c r="T973" s="435"/>
      <c r="U973" s="783"/>
      <c r="V973" s="744"/>
      <c r="W973" s="784"/>
      <c r="X973" s="785"/>
      <c r="Y973" s="435"/>
      <c r="Z973" s="435"/>
      <c r="AA973" s="435"/>
      <c r="AB973" s="324"/>
      <c r="AC973" s="180"/>
      <c r="AD973" s="155"/>
      <c r="AE973" s="322"/>
      <c r="AF973" s="132"/>
      <c r="AG973" s="132"/>
    </row>
    <row r="974">
      <c r="A974" s="458"/>
      <c r="B974" s="313"/>
      <c r="C974" s="437"/>
      <c r="D974" s="437"/>
      <c r="E974" s="737"/>
      <c r="F974" s="314"/>
      <c r="G974" s="318"/>
      <c r="H974" s="315"/>
      <c r="I974" s="314"/>
      <c r="J974" s="314"/>
      <c r="K974" s="435"/>
      <c r="L974" s="776"/>
      <c r="M974" s="314"/>
      <c r="N974" s="318"/>
      <c r="O974" s="315"/>
      <c r="P974" s="314"/>
      <c r="Q974" s="314"/>
      <c r="R974" s="435"/>
      <c r="S974" s="782"/>
      <c r="T974" s="435"/>
      <c r="U974" s="783"/>
      <c r="V974" s="744"/>
      <c r="W974" s="784"/>
      <c r="X974" s="785"/>
      <c r="Y974" s="435"/>
      <c r="Z974" s="435"/>
      <c r="AA974" s="435"/>
      <c r="AB974" s="324"/>
      <c r="AC974" s="180"/>
      <c r="AD974" s="155"/>
      <c r="AE974" s="322"/>
      <c r="AF974" s="132"/>
      <c r="AG974" s="132"/>
    </row>
    <row r="975">
      <c r="A975" s="458"/>
      <c r="B975" s="437"/>
      <c r="C975" s="437"/>
      <c r="D975" s="437"/>
      <c r="E975" s="753"/>
      <c r="F975" s="314"/>
      <c r="G975" s="318"/>
      <c r="H975" s="744"/>
      <c r="I975" s="435"/>
      <c r="J975" s="435"/>
      <c r="K975" s="435"/>
      <c r="L975" s="781"/>
      <c r="M975" s="435"/>
      <c r="N975" s="740"/>
      <c r="O975" s="315"/>
      <c r="P975" s="435"/>
      <c r="Q975" s="435"/>
      <c r="R975" s="435"/>
      <c r="S975" s="782"/>
      <c r="T975" s="435"/>
      <c r="U975" s="783"/>
      <c r="V975" s="744"/>
      <c r="W975" s="784"/>
      <c r="X975" s="785"/>
      <c r="Y975" s="435"/>
      <c r="Z975" s="435"/>
      <c r="AA975" s="435"/>
      <c r="AB975" s="324"/>
      <c r="AC975" s="180"/>
      <c r="AD975" s="155"/>
      <c r="AE975" s="322"/>
      <c r="AF975" s="132"/>
      <c r="AG975" s="132"/>
    </row>
    <row r="976">
      <c r="A976" s="435"/>
      <c r="B976" s="437"/>
      <c r="C976" s="437"/>
      <c r="D976" s="437"/>
      <c r="E976" s="753"/>
      <c r="F976" s="314"/>
      <c r="G976" s="318"/>
      <c r="H976" s="744"/>
      <c r="I976" s="435"/>
      <c r="J976" s="435"/>
      <c r="K976" s="435"/>
      <c r="L976" s="781"/>
      <c r="M976" s="435"/>
      <c r="N976" s="740"/>
      <c r="O976" s="315"/>
      <c r="P976" s="435"/>
      <c r="Q976" s="435"/>
      <c r="R976" s="435"/>
      <c r="S976" s="782"/>
      <c r="T976" s="435"/>
      <c r="U976" s="783"/>
      <c r="V976" s="744"/>
      <c r="W976" s="784"/>
      <c r="X976" s="785"/>
      <c r="Y976" s="435"/>
      <c r="Z976" s="435"/>
      <c r="AA976" s="435"/>
      <c r="AB976" s="324"/>
      <c r="AC976" s="180"/>
      <c r="AD976" s="155"/>
      <c r="AE976" s="322"/>
      <c r="AF976" s="132"/>
      <c r="AG976" s="132"/>
    </row>
    <row r="977">
      <c r="A977" s="474"/>
      <c r="B977" s="437"/>
      <c r="C977" s="437"/>
      <c r="D977" s="437"/>
      <c r="E977" s="753"/>
      <c r="F977" s="314"/>
      <c r="G977" s="318"/>
      <c r="H977" s="744"/>
      <c r="I977" s="435"/>
      <c r="J977" s="435"/>
      <c r="K977" s="435"/>
      <c r="L977" s="781"/>
      <c r="M977" s="435"/>
      <c r="N977" s="740"/>
      <c r="O977" s="315"/>
      <c r="P977" s="435"/>
      <c r="Q977" s="435"/>
      <c r="R977" s="435"/>
      <c r="S977" s="782"/>
      <c r="T977" s="435"/>
      <c r="U977" s="783"/>
      <c r="V977" s="744"/>
      <c r="W977" s="784"/>
      <c r="X977" s="785"/>
      <c r="Y977" s="435"/>
      <c r="Z977" s="435"/>
      <c r="AA977" s="435"/>
      <c r="AB977" s="324"/>
      <c r="AC977" s="180"/>
      <c r="AD977" s="155"/>
      <c r="AE977" s="322"/>
      <c r="AF977" s="132"/>
      <c r="AG977" s="132"/>
    </row>
    <row r="978">
      <c r="A978" s="474"/>
      <c r="B978" s="437"/>
      <c r="C978" s="313"/>
      <c r="D978" s="437"/>
      <c r="E978" s="753"/>
      <c r="F978" s="314"/>
      <c r="G978" s="318"/>
      <c r="H978" s="744"/>
      <c r="I978" s="435"/>
      <c r="J978" s="435"/>
      <c r="K978" s="314"/>
      <c r="L978" s="776"/>
      <c r="M978" s="314"/>
      <c r="N978" s="740"/>
      <c r="O978" s="315"/>
      <c r="P978" s="314"/>
      <c r="Q978" s="435"/>
      <c r="R978" s="314"/>
      <c r="S978" s="782"/>
      <c r="T978" s="435"/>
      <c r="U978" s="783"/>
      <c r="V978" s="744"/>
      <c r="W978" s="784"/>
      <c r="X978" s="785"/>
      <c r="Y978" s="435"/>
      <c r="Z978" s="435"/>
      <c r="AA978" s="435"/>
      <c r="AB978" s="324"/>
      <c r="AC978" s="180"/>
      <c r="AD978" s="155"/>
      <c r="AE978" s="322"/>
      <c r="AF978" s="132"/>
      <c r="AG978" s="132"/>
    </row>
    <row r="979">
      <c r="A979" s="474"/>
      <c r="B979" s="313"/>
      <c r="C979" s="313"/>
      <c r="D979" s="313"/>
      <c r="E979" s="737"/>
      <c r="F979" s="314"/>
      <c r="G979" s="318"/>
      <c r="H979" s="315"/>
      <c r="I979" s="314"/>
      <c r="J979" s="314"/>
      <c r="K979" s="435"/>
      <c r="L979" s="776"/>
      <c r="M979" s="314"/>
      <c r="N979" s="318"/>
      <c r="O979" s="315"/>
      <c r="P979" s="435"/>
      <c r="Q979" s="314"/>
      <c r="R979" s="314"/>
      <c r="S979" s="777"/>
      <c r="T979" s="314"/>
      <c r="U979" s="778"/>
      <c r="V979" s="315"/>
      <c r="W979" s="779"/>
      <c r="X979" s="780"/>
      <c r="Y979" s="314"/>
      <c r="Z979" s="314"/>
      <c r="AA979" s="314"/>
      <c r="AB979" s="324"/>
      <c r="AC979" s="180"/>
      <c r="AD979" s="155"/>
      <c r="AE979" s="322"/>
      <c r="AF979" s="132"/>
      <c r="AG979" s="132"/>
    </row>
    <row r="980">
      <c r="A980" s="474"/>
      <c r="B980" s="313"/>
      <c r="C980" s="437"/>
      <c r="D980" s="437"/>
      <c r="E980" s="737"/>
      <c r="F980" s="314"/>
      <c r="G980" s="318"/>
      <c r="H980" s="315"/>
      <c r="I980" s="435"/>
      <c r="J980" s="314"/>
      <c r="K980" s="314"/>
      <c r="L980" s="776"/>
      <c r="M980" s="314"/>
      <c r="N980" s="318"/>
      <c r="O980" s="315"/>
      <c r="P980" s="314"/>
      <c r="Q980" s="314"/>
      <c r="R980" s="314"/>
      <c r="S980" s="777"/>
      <c r="T980" s="314"/>
      <c r="U980" s="778"/>
      <c r="V980" s="315"/>
      <c r="W980" s="779"/>
      <c r="X980" s="780"/>
      <c r="Y980" s="314"/>
      <c r="Z980" s="314"/>
      <c r="AA980" s="314"/>
      <c r="AB980" s="324"/>
      <c r="AC980" s="180"/>
      <c r="AD980" s="155"/>
      <c r="AE980" s="322"/>
      <c r="AF980" s="132"/>
      <c r="AG980" s="132"/>
    </row>
    <row r="981">
      <c r="A981" s="474"/>
      <c r="B981" s="313"/>
      <c r="C981" s="313"/>
      <c r="D981" s="313"/>
      <c r="E981" s="737"/>
      <c r="F981" s="314"/>
      <c r="G981" s="318"/>
      <c r="H981" s="315"/>
      <c r="I981" s="314"/>
      <c r="J981" s="314"/>
      <c r="K981" s="435"/>
      <c r="L981" s="776"/>
      <c r="M981" s="314"/>
      <c r="N981" s="318"/>
      <c r="O981" s="315"/>
      <c r="P981" s="314"/>
      <c r="Q981" s="314"/>
      <c r="R981" s="314"/>
      <c r="S981" s="777"/>
      <c r="T981" s="314"/>
      <c r="U981" s="778"/>
      <c r="V981" s="315"/>
      <c r="W981" s="779"/>
      <c r="X981" s="780"/>
      <c r="Y981" s="314"/>
      <c r="Z981" s="314"/>
      <c r="AA981" s="314"/>
      <c r="AB981" s="324"/>
      <c r="AC981" s="180"/>
      <c r="AD981" s="155"/>
      <c r="AE981" s="322"/>
      <c r="AF981" s="132"/>
      <c r="AG981" s="132"/>
    </row>
    <row r="982">
      <c r="A982" s="458"/>
      <c r="B982" s="313"/>
      <c r="C982" s="437"/>
      <c r="D982" s="313"/>
      <c r="E982" s="737"/>
      <c r="F982" s="314"/>
      <c r="G982" s="318"/>
      <c r="H982" s="315"/>
      <c r="I982" s="314"/>
      <c r="J982" s="435"/>
      <c r="K982" s="435"/>
      <c r="L982" s="776"/>
      <c r="M982" s="314"/>
      <c r="N982" s="318"/>
      <c r="O982" s="315"/>
      <c r="P982" s="314"/>
      <c r="Q982" s="314"/>
      <c r="R982" s="314"/>
      <c r="S982" s="777"/>
      <c r="T982" s="314"/>
      <c r="U982" s="778"/>
      <c r="V982" s="315"/>
      <c r="W982" s="779"/>
      <c r="X982" s="780"/>
      <c r="Y982" s="314"/>
      <c r="Z982" s="314"/>
      <c r="AA982" s="314"/>
      <c r="AB982" s="324"/>
      <c r="AC982" s="180"/>
      <c r="AD982" s="155"/>
      <c r="AE982" s="322"/>
      <c r="AF982" s="132"/>
      <c r="AG982" s="132"/>
    </row>
    <row r="983">
      <c r="A983" s="435"/>
      <c r="B983" s="313"/>
      <c r="C983" s="437"/>
      <c r="D983" s="437"/>
      <c r="E983" s="753"/>
      <c r="F983" s="314"/>
      <c r="G983" s="318"/>
      <c r="H983" s="744"/>
      <c r="I983" s="314"/>
      <c r="J983" s="314"/>
      <c r="K983" s="435"/>
      <c r="L983" s="776"/>
      <c r="M983" s="435"/>
      <c r="N983" s="740"/>
      <c r="O983" s="315"/>
      <c r="P983" s="314"/>
      <c r="Q983" s="314"/>
      <c r="R983" s="435"/>
      <c r="S983" s="777"/>
      <c r="T983" s="314"/>
      <c r="U983" s="778"/>
      <c r="V983" s="315"/>
      <c r="W983" s="779"/>
      <c r="X983" s="780"/>
      <c r="Y983" s="314"/>
      <c r="Z983" s="314"/>
      <c r="AA983" s="314"/>
      <c r="AB983" s="324"/>
      <c r="AC983" s="180"/>
      <c r="AD983" s="155"/>
      <c r="AE983" s="322"/>
      <c r="AF983" s="132"/>
      <c r="AG983" s="132"/>
    </row>
    <row r="984">
      <c r="A984" s="435"/>
      <c r="B984" s="437"/>
      <c r="C984" s="313"/>
      <c r="D984" s="313"/>
      <c r="E984" s="737"/>
      <c r="F984" s="314"/>
      <c r="G984" s="318"/>
      <c r="H984" s="315"/>
      <c r="I984" s="314"/>
      <c r="J984" s="314"/>
      <c r="K984" s="314"/>
      <c r="L984" s="776"/>
      <c r="M984" s="314"/>
      <c r="N984" s="318"/>
      <c r="O984" s="315"/>
      <c r="P984" s="435"/>
      <c r="Q984" s="314"/>
      <c r="R984" s="314"/>
      <c r="S984" s="777"/>
      <c r="T984" s="314"/>
      <c r="U984" s="778"/>
      <c r="V984" s="315"/>
      <c r="W984" s="779"/>
      <c r="X984" s="780"/>
      <c r="Y984" s="314"/>
      <c r="Z984" s="314"/>
      <c r="AA984" s="314"/>
      <c r="AB984" s="324"/>
      <c r="AC984" s="180"/>
      <c r="AD984" s="155"/>
      <c r="AE984" s="322"/>
      <c r="AF984" s="132"/>
      <c r="AG984" s="132"/>
    </row>
    <row r="985">
      <c r="A985" s="435"/>
      <c r="B985" s="437"/>
      <c r="C985" s="313"/>
      <c r="D985" s="313"/>
      <c r="E985" s="737"/>
      <c r="F985" s="314"/>
      <c r="G985" s="318"/>
      <c r="H985" s="315"/>
      <c r="I985" s="314"/>
      <c r="J985" s="314"/>
      <c r="K985" s="314"/>
      <c r="L985" s="776"/>
      <c r="M985" s="314"/>
      <c r="N985" s="318"/>
      <c r="O985" s="315"/>
      <c r="P985" s="314"/>
      <c r="Q985" s="435"/>
      <c r="R985" s="314"/>
      <c r="S985" s="782"/>
      <c r="T985" s="435"/>
      <c r="U985" s="783"/>
      <c r="V985" s="744"/>
      <c r="W985" s="784"/>
      <c r="X985" s="785"/>
      <c r="Y985" s="435"/>
      <c r="Z985" s="435"/>
      <c r="AA985" s="435"/>
      <c r="AB985" s="324"/>
      <c r="AC985" s="180"/>
      <c r="AD985" s="155"/>
      <c r="AE985" s="322"/>
      <c r="AF985" s="132"/>
      <c r="AG985" s="132"/>
    </row>
    <row r="986">
      <c r="A986" s="435"/>
      <c r="B986" s="313"/>
      <c r="C986" s="437"/>
      <c r="D986" s="313"/>
      <c r="E986" s="737"/>
      <c r="F986" s="314"/>
      <c r="G986" s="318"/>
      <c r="H986" s="315"/>
      <c r="I986" s="314"/>
      <c r="J986" s="314"/>
      <c r="K986" s="314"/>
      <c r="L986" s="776"/>
      <c r="M986" s="314"/>
      <c r="N986" s="318"/>
      <c r="O986" s="315"/>
      <c r="P986" s="314"/>
      <c r="Q986" s="314"/>
      <c r="R986" s="435"/>
      <c r="S986" s="777"/>
      <c r="T986" s="314"/>
      <c r="U986" s="778"/>
      <c r="V986" s="315"/>
      <c r="W986" s="779"/>
      <c r="X986" s="780"/>
      <c r="Y986" s="314"/>
      <c r="Z986" s="314"/>
      <c r="AA986" s="314"/>
      <c r="AB986" s="324"/>
      <c r="AC986" s="180"/>
      <c r="AD986" s="155"/>
      <c r="AE986" s="322"/>
      <c r="AF986" s="132"/>
      <c r="AG986" s="132"/>
    </row>
    <row r="987">
      <c r="A987" s="435"/>
      <c r="B987" s="313"/>
      <c r="C987" s="313"/>
      <c r="D987" s="313"/>
      <c r="E987" s="737"/>
      <c r="F987" s="314"/>
      <c r="G987" s="318"/>
      <c r="H987" s="315"/>
      <c r="I987" s="314"/>
      <c r="J987" s="314"/>
      <c r="K987" s="435"/>
      <c r="L987" s="776"/>
      <c r="M987" s="435"/>
      <c r="N987" s="318"/>
      <c r="O987" s="315"/>
      <c r="P987" s="314"/>
      <c r="Q987" s="435"/>
      <c r="R987" s="314"/>
      <c r="S987" s="777"/>
      <c r="T987" s="314"/>
      <c r="U987" s="778"/>
      <c r="V987" s="315"/>
      <c r="W987" s="779"/>
      <c r="X987" s="780"/>
      <c r="Y987" s="314"/>
      <c r="Z987" s="314"/>
      <c r="AA987" s="314"/>
      <c r="AB987" s="324"/>
      <c r="AC987" s="180"/>
      <c r="AD987" s="155"/>
      <c r="AE987" s="322"/>
      <c r="AF987" s="132"/>
      <c r="AG987" s="132"/>
    </row>
    <row r="988">
      <c r="A988" s="435"/>
      <c r="B988" s="313"/>
      <c r="C988" s="437"/>
      <c r="D988" s="437"/>
      <c r="E988" s="737"/>
      <c r="F988" s="314"/>
      <c r="G988" s="318"/>
      <c r="H988" s="315"/>
      <c r="I988" s="314"/>
      <c r="J988" s="314"/>
      <c r="K988" s="435"/>
      <c r="L988" s="776"/>
      <c r="M988" s="435"/>
      <c r="N988" s="318"/>
      <c r="O988" s="315"/>
      <c r="P988" s="314"/>
      <c r="Q988" s="435"/>
      <c r="R988" s="314"/>
      <c r="S988" s="777"/>
      <c r="T988" s="314"/>
      <c r="U988" s="778"/>
      <c r="V988" s="315"/>
      <c r="W988" s="779"/>
      <c r="X988" s="780"/>
      <c r="Y988" s="314"/>
      <c r="Z988" s="314"/>
      <c r="AA988" s="314"/>
      <c r="AB988" s="324"/>
      <c r="AC988" s="180"/>
      <c r="AD988" s="155"/>
      <c r="AE988" s="322"/>
      <c r="AF988" s="132"/>
      <c r="AG988" s="132"/>
    </row>
    <row r="989">
      <c r="A989" s="476"/>
      <c r="AD989" s="176"/>
      <c r="AE989" s="322"/>
      <c r="AF989" s="132"/>
      <c r="AG989" s="132"/>
    </row>
    <row r="990">
      <c r="A990" s="178"/>
      <c r="AE990" s="322"/>
      <c r="AF990" s="132"/>
      <c r="AG990" s="132"/>
    </row>
    <row r="991">
      <c r="A991" s="474"/>
      <c r="B991" s="437"/>
      <c r="C991" s="437"/>
      <c r="D991" s="437"/>
      <c r="E991" s="753"/>
      <c r="F991" s="314"/>
      <c r="G991" s="318"/>
      <c r="H991" s="315"/>
      <c r="I991" s="435"/>
      <c r="J991" s="435"/>
      <c r="K991" s="435"/>
      <c r="L991" s="781"/>
      <c r="M991" s="435"/>
      <c r="N991" s="740"/>
      <c r="O991" s="315"/>
      <c r="P991" s="435"/>
      <c r="Q991" s="435"/>
      <c r="R991" s="435"/>
      <c r="S991" s="782"/>
      <c r="T991" s="435"/>
      <c r="U991" s="783"/>
      <c r="V991" s="744"/>
      <c r="W991" s="784"/>
      <c r="X991" s="785"/>
      <c r="Y991" s="435"/>
      <c r="Z991" s="435"/>
      <c r="AA991" s="435"/>
      <c r="AB991" s="324"/>
      <c r="AC991" s="180"/>
      <c r="AD991" s="155"/>
      <c r="AE991" s="322"/>
      <c r="AF991" s="132"/>
      <c r="AG991" s="132"/>
    </row>
    <row r="992">
      <c r="A992" s="474"/>
      <c r="B992" s="313"/>
      <c r="C992" s="437"/>
      <c r="D992" s="437"/>
      <c r="E992" s="753"/>
      <c r="F992" s="314"/>
      <c r="G992" s="318"/>
      <c r="H992" s="744"/>
      <c r="I992" s="314"/>
      <c r="J992" s="435"/>
      <c r="K992" s="435"/>
      <c r="L992" s="781"/>
      <c r="M992" s="314"/>
      <c r="N992" s="318"/>
      <c r="O992" s="315"/>
      <c r="P992" s="435"/>
      <c r="Q992" s="435"/>
      <c r="R992" s="435"/>
      <c r="S992" s="782"/>
      <c r="T992" s="435"/>
      <c r="U992" s="783"/>
      <c r="V992" s="744"/>
      <c r="W992" s="784"/>
      <c r="X992" s="785"/>
      <c r="Y992" s="435"/>
      <c r="Z992" s="435"/>
      <c r="AA992" s="435"/>
      <c r="AB992" s="324"/>
      <c r="AC992" s="180"/>
      <c r="AD992" s="155"/>
      <c r="AE992" s="322"/>
      <c r="AF992" s="132"/>
      <c r="AG992" s="132"/>
    </row>
    <row r="993">
      <c r="A993" s="477"/>
      <c r="B993" s="437"/>
      <c r="C993" s="437"/>
      <c r="D993" s="437"/>
      <c r="E993" s="737"/>
      <c r="F993" s="314"/>
      <c r="G993" s="318"/>
      <c r="H993" s="744"/>
      <c r="I993" s="435"/>
      <c r="J993" s="435"/>
      <c r="K993" s="435"/>
      <c r="L993" s="781"/>
      <c r="M993" s="435"/>
      <c r="N993" s="740"/>
      <c r="O993" s="315"/>
      <c r="P993" s="435"/>
      <c r="Q993" s="435"/>
      <c r="R993" s="435"/>
      <c r="S993" s="782"/>
      <c r="T993" s="435"/>
      <c r="U993" s="783"/>
      <c r="V993" s="744"/>
      <c r="W993" s="784"/>
      <c r="X993" s="785"/>
      <c r="Y993" s="435"/>
      <c r="Z993" s="435"/>
      <c r="AA993" s="435"/>
      <c r="AB993" s="324"/>
      <c r="AC993" s="180"/>
      <c r="AD993" s="155"/>
      <c r="AE993" s="322"/>
      <c r="AF993" s="132"/>
      <c r="AG993" s="132"/>
    </row>
    <row r="994">
      <c r="A994" s="477"/>
      <c r="B994" s="437"/>
      <c r="C994" s="437"/>
      <c r="D994" s="437"/>
      <c r="E994" s="737"/>
      <c r="F994" s="314"/>
      <c r="G994" s="318"/>
      <c r="H994" s="744"/>
      <c r="I994" s="314"/>
      <c r="J994" s="314"/>
      <c r="K994" s="435"/>
      <c r="L994" s="781"/>
      <c r="M994" s="435"/>
      <c r="N994" s="318"/>
      <c r="O994" s="315"/>
      <c r="P994" s="435"/>
      <c r="Q994" s="435"/>
      <c r="R994" s="435"/>
      <c r="S994" s="782"/>
      <c r="T994" s="435"/>
      <c r="U994" s="783"/>
      <c r="V994" s="744"/>
      <c r="W994" s="784"/>
      <c r="X994" s="785"/>
      <c r="Y994" s="435"/>
      <c r="Z994" s="435"/>
      <c r="AA994" s="435"/>
      <c r="AB994" s="324"/>
      <c r="AC994" s="180"/>
      <c r="AD994" s="155"/>
      <c r="AE994" s="322"/>
      <c r="AF994" s="132"/>
      <c r="AG994" s="132"/>
    </row>
    <row r="995">
      <c r="A995" s="477"/>
      <c r="B995" s="437"/>
      <c r="C995" s="437"/>
      <c r="D995" s="437"/>
      <c r="E995" s="753"/>
      <c r="F995" s="314"/>
      <c r="G995" s="318"/>
      <c r="H995" s="744"/>
      <c r="I995" s="435"/>
      <c r="J995" s="435"/>
      <c r="K995" s="435"/>
      <c r="L995" s="781"/>
      <c r="M995" s="435"/>
      <c r="N995" s="740"/>
      <c r="O995" s="315"/>
      <c r="P995" s="435"/>
      <c r="Q995" s="435"/>
      <c r="R995" s="435"/>
      <c r="S995" s="782"/>
      <c r="T995" s="435"/>
      <c r="U995" s="783"/>
      <c r="V995" s="744"/>
      <c r="W995" s="784"/>
      <c r="X995" s="785"/>
      <c r="Y995" s="435"/>
      <c r="Z995" s="435"/>
      <c r="AA995" s="435"/>
      <c r="AB995" s="324"/>
      <c r="AC995" s="180"/>
      <c r="AD995" s="155"/>
      <c r="AE995" s="322"/>
      <c r="AF995" s="132"/>
      <c r="AG995" s="132"/>
    </row>
    <row r="996">
      <c r="A996" s="474"/>
      <c r="B996" s="313"/>
      <c r="C996" s="437"/>
      <c r="D996" s="313"/>
      <c r="E996" s="753"/>
      <c r="F996" s="314"/>
      <c r="G996" s="318"/>
      <c r="H996" s="744"/>
      <c r="I996" s="314"/>
      <c r="J996" s="435"/>
      <c r="K996" s="435"/>
      <c r="L996" s="776"/>
      <c r="M996" s="435"/>
      <c r="N996" s="318"/>
      <c r="O996" s="315"/>
      <c r="P996" s="435"/>
      <c r="Q996" s="435"/>
      <c r="R996" s="435"/>
      <c r="S996" s="782"/>
      <c r="T996" s="435"/>
      <c r="U996" s="783"/>
      <c r="V996" s="744"/>
      <c r="W996" s="784"/>
      <c r="X996" s="785"/>
      <c r="Y996" s="435"/>
      <c r="Z996" s="435"/>
      <c r="AA996" s="435"/>
      <c r="AB996" s="324"/>
      <c r="AC996" s="180"/>
      <c r="AD996" s="155"/>
      <c r="AE996" s="322"/>
      <c r="AF996" s="132"/>
      <c r="AG996" s="132"/>
    </row>
    <row r="997">
      <c r="A997" s="478"/>
      <c r="B997" s="437"/>
      <c r="C997" s="437"/>
      <c r="D997" s="437"/>
      <c r="E997" s="753"/>
      <c r="F997" s="314"/>
      <c r="G997" s="318"/>
      <c r="H997" s="744"/>
      <c r="I997" s="435"/>
      <c r="J997" s="435"/>
      <c r="K997" s="435"/>
      <c r="L997" s="781"/>
      <c r="M997" s="435"/>
      <c r="N997" s="740"/>
      <c r="O997" s="315"/>
      <c r="P997" s="435"/>
      <c r="Q997" s="435"/>
      <c r="R997" s="435"/>
      <c r="S997" s="782"/>
      <c r="T997" s="435"/>
      <c r="U997" s="783"/>
      <c r="V997" s="744"/>
      <c r="W997" s="784"/>
      <c r="X997" s="785"/>
      <c r="Y997" s="435"/>
      <c r="Z997" s="435"/>
      <c r="AA997" s="435"/>
      <c r="AB997" s="324"/>
      <c r="AC997" s="180"/>
      <c r="AD997" s="155"/>
      <c r="AE997" s="322"/>
      <c r="AF997" s="132"/>
      <c r="AG997" s="132"/>
    </row>
    <row r="998">
      <c r="A998" s="478"/>
      <c r="B998" s="437"/>
      <c r="C998" s="437"/>
      <c r="D998" s="437"/>
      <c r="E998" s="753"/>
      <c r="F998" s="314"/>
      <c r="G998" s="318"/>
      <c r="H998" s="744"/>
      <c r="I998" s="435"/>
      <c r="J998" s="435"/>
      <c r="K998" s="435"/>
      <c r="L998" s="781"/>
      <c r="M998" s="435"/>
      <c r="N998" s="740"/>
      <c r="O998" s="315"/>
      <c r="P998" s="435"/>
      <c r="Q998" s="435"/>
      <c r="R998" s="435"/>
      <c r="S998" s="782"/>
      <c r="T998" s="435"/>
      <c r="U998" s="783"/>
      <c r="V998" s="744"/>
      <c r="W998" s="784"/>
      <c r="X998" s="785"/>
      <c r="Y998" s="435"/>
      <c r="Z998" s="435"/>
      <c r="AA998" s="435"/>
      <c r="AB998" s="324"/>
      <c r="AC998" s="180"/>
      <c r="AD998" s="155"/>
      <c r="AE998" s="322"/>
      <c r="AF998" s="132"/>
      <c r="AG998" s="132"/>
    </row>
    <row r="999">
      <c r="A999" s="478"/>
      <c r="B999" s="437"/>
      <c r="C999" s="437"/>
      <c r="D999" s="313"/>
      <c r="E999" s="737"/>
      <c r="F999" s="314"/>
      <c r="G999" s="318"/>
      <c r="H999" s="744"/>
      <c r="I999" s="435"/>
      <c r="J999" s="314"/>
      <c r="K999" s="435"/>
      <c r="L999" s="776"/>
      <c r="M999" s="435"/>
      <c r="N999" s="318"/>
      <c r="O999" s="315"/>
      <c r="P999" s="314"/>
      <c r="Q999" s="314"/>
      <c r="R999" s="314"/>
      <c r="S999" s="782"/>
      <c r="T999" s="435"/>
      <c r="U999" s="783"/>
      <c r="V999" s="744"/>
      <c r="W999" s="784"/>
      <c r="X999" s="785"/>
      <c r="Y999" s="435"/>
      <c r="Z999" s="435"/>
      <c r="AA999" s="435"/>
      <c r="AB999" s="324"/>
      <c r="AC999" s="180"/>
      <c r="AD999" s="155"/>
      <c r="AE999" s="322"/>
      <c r="AF999" s="132"/>
      <c r="AG999" s="132"/>
    </row>
    <row r="1000">
      <c r="A1000" s="477"/>
      <c r="B1000" s="313"/>
      <c r="C1000" s="437"/>
      <c r="D1000" s="437"/>
      <c r="E1000" s="753"/>
      <c r="F1000" s="314"/>
      <c r="G1000" s="318"/>
      <c r="H1000" s="744"/>
      <c r="I1000" s="435"/>
      <c r="J1000" s="435"/>
      <c r="K1000" s="435"/>
      <c r="L1000" s="781"/>
      <c r="M1000" s="435"/>
      <c r="N1000" s="740"/>
      <c r="O1000" s="315"/>
      <c r="P1000" s="435"/>
      <c r="Q1000" s="435"/>
      <c r="R1000" s="435"/>
      <c r="S1000" s="782"/>
      <c r="T1000" s="435"/>
      <c r="U1000" s="783"/>
      <c r="V1000" s="744"/>
      <c r="W1000" s="784"/>
      <c r="X1000" s="785"/>
      <c r="Y1000" s="435"/>
      <c r="Z1000" s="435"/>
      <c r="AA1000" s="435"/>
      <c r="AB1000" s="324"/>
      <c r="AC1000" s="180"/>
      <c r="AD1000" s="155"/>
      <c r="AE1000" s="322"/>
      <c r="AF1000" s="132"/>
      <c r="AG1000" s="132"/>
    </row>
    <row r="1001">
      <c r="A1001" s="477"/>
      <c r="B1001" s="313"/>
      <c r="C1001" s="313"/>
      <c r="D1001" s="313"/>
      <c r="E1001" s="737"/>
      <c r="F1001" s="314"/>
      <c r="G1001" s="318"/>
      <c r="H1001" s="744"/>
      <c r="I1001" s="314"/>
      <c r="J1001" s="314"/>
      <c r="K1001" s="314"/>
      <c r="L1001" s="776"/>
      <c r="M1001" s="314"/>
      <c r="N1001" s="740"/>
      <c r="O1001" s="315"/>
      <c r="P1001" s="314"/>
      <c r="Q1001" s="435"/>
      <c r="R1001" s="314"/>
      <c r="S1001" s="777"/>
      <c r="T1001" s="314"/>
      <c r="U1001" s="778"/>
      <c r="V1001" s="315"/>
      <c r="W1001" s="779"/>
      <c r="X1001" s="780"/>
      <c r="Y1001" s="314"/>
      <c r="Z1001" s="314"/>
      <c r="AA1001" s="314"/>
      <c r="AB1001" s="324"/>
      <c r="AC1001" s="180"/>
      <c r="AD1001" s="155"/>
      <c r="AE1001" s="322"/>
      <c r="AF1001" s="132"/>
      <c r="AG1001" s="132"/>
    </row>
    <row r="1002">
      <c r="A1002" s="477"/>
      <c r="B1002" s="313"/>
      <c r="C1002" s="313"/>
      <c r="D1002" s="313"/>
      <c r="E1002" s="737"/>
      <c r="F1002" s="314"/>
      <c r="G1002" s="318"/>
      <c r="H1002" s="315"/>
      <c r="I1002" s="314"/>
      <c r="J1002" s="314"/>
      <c r="K1002" s="314"/>
      <c r="L1002" s="776"/>
      <c r="M1002" s="314"/>
      <c r="N1002" s="318"/>
      <c r="O1002" s="315"/>
      <c r="P1002" s="314"/>
      <c r="Q1002" s="314"/>
      <c r="R1002" s="314"/>
      <c r="S1002" s="777"/>
      <c r="T1002" s="314"/>
      <c r="U1002" s="778"/>
      <c r="V1002" s="315"/>
      <c r="W1002" s="779"/>
      <c r="X1002" s="780"/>
      <c r="Y1002" s="314"/>
      <c r="Z1002" s="314"/>
      <c r="AA1002" s="314"/>
      <c r="AB1002" s="324"/>
      <c r="AC1002" s="180"/>
      <c r="AD1002" s="155"/>
      <c r="AE1002" s="322"/>
      <c r="AF1002" s="132"/>
      <c r="AG1002" s="132"/>
    </row>
    <row r="1003">
      <c r="A1003" s="476"/>
      <c r="AD1003" s="176"/>
      <c r="AE1003" s="322"/>
      <c r="AF1003" s="132"/>
      <c r="AG1003" s="132"/>
    </row>
    <row r="1004">
      <c r="A1004" s="178"/>
      <c r="AE1004" s="322"/>
      <c r="AF1004" s="132"/>
      <c r="AG1004" s="132"/>
    </row>
    <row r="1005">
      <c r="A1005" s="477"/>
      <c r="B1005" s="437"/>
      <c r="C1005" s="437"/>
      <c r="D1005" s="437"/>
      <c r="E1005" s="737"/>
      <c r="F1005" s="314"/>
      <c r="G1005" s="318"/>
      <c r="H1005" s="315"/>
      <c r="I1005" s="314"/>
      <c r="J1005" s="314"/>
      <c r="K1005" s="435"/>
      <c r="L1005" s="781"/>
      <c r="M1005" s="314"/>
      <c r="N1005" s="318"/>
      <c r="O1005" s="315"/>
      <c r="P1005" s="314"/>
      <c r="Q1005" s="435"/>
      <c r="R1005" s="435"/>
      <c r="S1005" s="782"/>
      <c r="T1005" s="435"/>
      <c r="U1005" s="783"/>
      <c r="V1005" s="744"/>
      <c r="W1005" s="784"/>
      <c r="X1005" s="785"/>
      <c r="Y1005" s="435"/>
      <c r="Z1005" s="435"/>
      <c r="AA1005" s="435"/>
      <c r="AB1005" s="324"/>
      <c r="AC1005" s="180"/>
      <c r="AD1005" s="155"/>
      <c r="AE1005" s="322"/>
      <c r="AF1005" s="132"/>
      <c r="AG1005" s="132"/>
    </row>
    <row r="1006">
      <c r="A1006" s="477"/>
      <c r="B1006" s="313"/>
      <c r="C1006" s="437"/>
      <c r="D1006" s="437"/>
      <c r="E1006" s="737"/>
      <c r="F1006" s="314"/>
      <c r="G1006" s="318"/>
      <c r="H1006" s="315"/>
      <c r="I1006" s="435"/>
      <c r="J1006" s="435"/>
      <c r="K1006" s="435"/>
      <c r="L1006" s="776"/>
      <c r="M1006" s="435"/>
      <c r="N1006" s="318"/>
      <c r="O1006" s="315"/>
      <c r="P1006" s="314"/>
      <c r="Q1006" s="435"/>
      <c r="R1006" s="435"/>
      <c r="S1006" s="782"/>
      <c r="T1006" s="435"/>
      <c r="U1006" s="783"/>
      <c r="V1006" s="744"/>
      <c r="W1006" s="784"/>
      <c r="X1006" s="785"/>
      <c r="Y1006" s="435"/>
      <c r="Z1006" s="435"/>
      <c r="AA1006" s="435"/>
      <c r="AB1006" s="324"/>
      <c r="AC1006" s="180"/>
      <c r="AD1006" s="155"/>
      <c r="AE1006" s="322"/>
      <c r="AF1006" s="132"/>
      <c r="AG1006" s="132"/>
    </row>
    <row r="1007">
      <c r="A1007" s="477"/>
      <c r="B1007" s="313"/>
      <c r="C1007" s="437"/>
      <c r="D1007" s="437"/>
      <c r="E1007" s="753"/>
      <c r="F1007" s="314"/>
      <c r="G1007" s="318"/>
      <c r="H1007" s="744"/>
      <c r="I1007" s="314"/>
      <c r="J1007" s="314"/>
      <c r="K1007" s="435"/>
      <c r="L1007" s="776"/>
      <c r="M1007" s="435"/>
      <c r="N1007" s="740"/>
      <c r="O1007" s="315"/>
      <c r="P1007" s="435"/>
      <c r="Q1007" s="435"/>
      <c r="R1007" s="435"/>
      <c r="S1007" s="782"/>
      <c r="T1007" s="435"/>
      <c r="U1007" s="783"/>
      <c r="V1007" s="744"/>
      <c r="W1007" s="784"/>
      <c r="X1007" s="785"/>
      <c r="Y1007" s="435"/>
      <c r="Z1007" s="435"/>
      <c r="AA1007" s="435"/>
      <c r="AB1007" s="324"/>
      <c r="AC1007" s="180"/>
      <c r="AD1007" s="155"/>
      <c r="AE1007" s="322"/>
      <c r="AF1007" s="132"/>
      <c r="AG1007" s="132"/>
    </row>
    <row r="1008">
      <c r="A1008" s="479"/>
      <c r="B1008" s="313"/>
      <c r="C1008" s="313"/>
      <c r="D1008" s="313"/>
      <c r="E1008" s="737"/>
      <c r="F1008" s="314"/>
      <c r="G1008" s="318"/>
      <c r="H1008" s="315"/>
      <c r="I1008" s="314"/>
      <c r="J1008" s="314"/>
      <c r="K1008" s="314"/>
      <c r="L1008" s="776"/>
      <c r="M1008" s="314"/>
      <c r="N1008" s="318"/>
      <c r="O1008" s="315"/>
      <c r="P1008" s="314"/>
      <c r="Q1008" s="435"/>
      <c r="R1008" s="314"/>
      <c r="S1008" s="777"/>
      <c r="T1008" s="314"/>
      <c r="U1008" s="778"/>
      <c r="V1008" s="315"/>
      <c r="W1008" s="779"/>
      <c r="X1008" s="780"/>
      <c r="Y1008" s="314"/>
      <c r="Z1008" s="314"/>
      <c r="AA1008" s="314"/>
      <c r="AB1008" s="324"/>
      <c r="AC1008" s="180"/>
      <c r="AD1008" s="155"/>
      <c r="AE1008" s="322"/>
      <c r="AF1008" s="132"/>
      <c r="AG1008" s="132"/>
    </row>
    <row r="1009">
      <c r="A1009" s="476"/>
      <c r="AD1009" s="176"/>
      <c r="AE1009" s="322"/>
      <c r="AF1009" s="132"/>
      <c r="AG1009" s="132"/>
    </row>
    <row r="1010">
      <c r="A1010" s="178"/>
      <c r="AE1010" s="322"/>
      <c r="AF1010" s="132"/>
      <c r="AG1010" s="132"/>
    </row>
    <row r="1011">
      <c r="A1011" s="480"/>
      <c r="B1011" s="313"/>
      <c r="C1011" s="437"/>
      <c r="D1011" s="313"/>
      <c r="E1011" s="737"/>
      <c r="F1011" s="314"/>
      <c r="G1011" s="318"/>
      <c r="H1011" s="315"/>
      <c r="I1011" s="314"/>
      <c r="J1011" s="435"/>
      <c r="K1011" s="435"/>
      <c r="L1011" s="776"/>
      <c r="M1011" s="314"/>
      <c r="N1011" s="318"/>
      <c r="O1011" s="315"/>
      <c r="P1011" s="314"/>
      <c r="Q1011" s="435"/>
      <c r="R1011" s="314"/>
      <c r="S1011" s="777"/>
      <c r="T1011" s="314"/>
      <c r="U1011" s="778"/>
      <c r="V1011" s="315"/>
      <c r="W1011" s="779"/>
      <c r="X1011" s="780"/>
      <c r="Y1011" s="314"/>
      <c r="Z1011" s="314"/>
      <c r="AA1011" s="314"/>
      <c r="AB1011" s="324"/>
      <c r="AC1011" s="180"/>
      <c r="AD1011" s="180"/>
      <c r="AE1011" s="322"/>
      <c r="AF1011" s="132"/>
      <c r="AG1011" s="132"/>
    </row>
    <row r="1012">
      <c r="A1012" s="480"/>
      <c r="B1012" s="313"/>
      <c r="C1012" s="437"/>
      <c r="D1012" s="313"/>
      <c r="E1012" s="737"/>
      <c r="F1012" s="314"/>
      <c r="G1012" s="318"/>
      <c r="H1012" s="744"/>
      <c r="I1012" s="314"/>
      <c r="J1012" s="435"/>
      <c r="K1012" s="435"/>
      <c r="L1012" s="776"/>
      <c r="M1012" s="435"/>
      <c r="N1012" s="740"/>
      <c r="O1012" s="315"/>
      <c r="P1012" s="435"/>
      <c r="Q1012" s="435"/>
      <c r="R1012" s="314"/>
      <c r="S1012" s="782"/>
      <c r="T1012" s="435"/>
      <c r="U1012" s="783"/>
      <c r="V1012" s="744"/>
      <c r="W1012" s="784"/>
      <c r="X1012" s="785"/>
      <c r="Y1012" s="435"/>
      <c r="Z1012" s="435"/>
      <c r="AA1012" s="435"/>
      <c r="AB1012" s="324"/>
      <c r="AC1012" s="180"/>
      <c r="AD1012" s="180"/>
      <c r="AE1012" s="322"/>
      <c r="AF1012" s="132"/>
      <c r="AG1012" s="132"/>
    </row>
    <row r="1013">
      <c r="A1013" s="476"/>
      <c r="AD1013" s="176"/>
      <c r="AE1013" s="322"/>
      <c r="AF1013" s="132"/>
      <c r="AG1013" s="132"/>
    </row>
    <row r="1014">
      <c r="A1014" s="178"/>
      <c r="AE1014" s="322"/>
      <c r="AF1014" s="132"/>
      <c r="AG1014" s="132"/>
    </row>
    <row r="1015">
      <c r="A1015" s="481"/>
      <c r="B1015" s="313"/>
      <c r="C1015" s="437"/>
      <c r="D1015" s="437"/>
      <c r="E1015" s="753"/>
      <c r="F1015" s="314"/>
      <c r="G1015" s="740"/>
      <c r="H1015" s="744"/>
      <c r="I1015" s="435"/>
      <c r="J1015" s="314"/>
      <c r="K1015" s="435"/>
      <c r="L1015" s="781"/>
      <c r="M1015" s="435"/>
      <c r="N1015" s="318"/>
      <c r="O1015" s="315"/>
      <c r="P1015" s="435"/>
      <c r="Q1015" s="435"/>
      <c r="R1015" s="435"/>
      <c r="S1015" s="782"/>
      <c r="T1015" s="435"/>
      <c r="U1015" s="783"/>
      <c r="V1015" s="744"/>
      <c r="W1015" s="784"/>
      <c r="X1015" s="785"/>
      <c r="Y1015" s="435"/>
      <c r="Z1015" s="435"/>
      <c r="AA1015" s="435"/>
      <c r="AB1015" s="324"/>
      <c r="AC1015" s="180"/>
      <c r="AD1015" s="155"/>
      <c r="AE1015" s="322"/>
      <c r="AF1015" s="132"/>
      <c r="AG1015" s="132"/>
    </row>
    <row r="1016">
      <c r="A1016" s="435"/>
      <c r="B1016" s="313"/>
      <c r="C1016" s="437"/>
      <c r="D1016" s="437"/>
      <c r="E1016" s="737"/>
      <c r="F1016" s="314"/>
      <c r="G1016" s="318"/>
      <c r="H1016" s="744"/>
      <c r="I1016" s="314"/>
      <c r="J1016" s="435"/>
      <c r="K1016" s="435"/>
      <c r="L1016" s="776"/>
      <c r="M1016" s="314"/>
      <c r="N1016" s="318"/>
      <c r="O1016" s="315"/>
      <c r="P1016" s="435"/>
      <c r="Q1016" s="435"/>
      <c r="R1016" s="435"/>
      <c r="S1016" s="782"/>
      <c r="T1016" s="435"/>
      <c r="U1016" s="783"/>
      <c r="V1016" s="744"/>
      <c r="W1016" s="784"/>
      <c r="X1016" s="785"/>
      <c r="Y1016" s="435"/>
      <c r="Z1016" s="435"/>
      <c r="AA1016" s="435"/>
      <c r="AB1016" s="324"/>
      <c r="AC1016" s="180"/>
      <c r="AD1016" s="155"/>
      <c r="AE1016" s="322"/>
      <c r="AF1016" s="132"/>
      <c r="AG1016" s="132"/>
    </row>
    <row r="1017">
      <c r="A1017" s="482"/>
      <c r="B1017" s="313"/>
      <c r="C1017" s="313"/>
      <c r="D1017" s="437"/>
      <c r="E1017" s="737"/>
      <c r="F1017" s="314"/>
      <c r="G1017" s="318"/>
      <c r="H1017" s="315"/>
      <c r="I1017" s="314"/>
      <c r="J1017" s="314"/>
      <c r="K1017" s="435"/>
      <c r="L1017" s="776"/>
      <c r="M1017" s="314"/>
      <c r="N1017" s="318"/>
      <c r="O1017" s="315"/>
      <c r="P1017" s="314"/>
      <c r="Q1017" s="314"/>
      <c r="R1017" s="435"/>
      <c r="S1017" s="777"/>
      <c r="T1017" s="314"/>
      <c r="U1017" s="778"/>
      <c r="V1017" s="315"/>
      <c r="W1017" s="779"/>
      <c r="X1017" s="780"/>
      <c r="Y1017" s="314"/>
      <c r="Z1017" s="314"/>
      <c r="AA1017" s="314"/>
      <c r="AB1017" s="324"/>
      <c r="AC1017" s="180"/>
      <c r="AD1017" s="155"/>
      <c r="AE1017" s="322"/>
      <c r="AF1017" s="132"/>
      <c r="AG1017" s="132"/>
    </row>
    <row r="1018">
      <c r="A1018" s="482"/>
      <c r="B1018" s="313"/>
      <c r="C1018" s="437"/>
      <c r="D1018" s="437"/>
      <c r="E1018" s="753"/>
      <c r="F1018" s="314"/>
      <c r="G1018" s="318"/>
      <c r="H1018" s="744"/>
      <c r="I1018" s="435"/>
      <c r="J1018" s="435"/>
      <c r="K1018" s="435"/>
      <c r="L1018" s="781"/>
      <c r="M1018" s="435"/>
      <c r="N1018" s="740"/>
      <c r="O1018" s="315"/>
      <c r="P1018" s="435"/>
      <c r="Q1018" s="435"/>
      <c r="R1018" s="435"/>
      <c r="S1018" s="782"/>
      <c r="T1018" s="435"/>
      <c r="U1018" s="783"/>
      <c r="V1018" s="744"/>
      <c r="W1018" s="784"/>
      <c r="X1018" s="785"/>
      <c r="Y1018" s="435"/>
      <c r="Z1018" s="435"/>
      <c r="AA1018" s="435"/>
      <c r="AB1018" s="324"/>
      <c r="AC1018" s="180"/>
      <c r="AD1018" s="155"/>
      <c r="AE1018" s="322"/>
      <c r="AF1018" s="132"/>
      <c r="AG1018" s="132"/>
    </row>
    <row r="1019">
      <c r="A1019" s="314"/>
      <c r="B1019" s="313"/>
      <c r="C1019" s="313"/>
      <c r="D1019" s="313"/>
      <c r="E1019" s="737"/>
      <c r="F1019" s="314"/>
      <c r="G1019" s="318"/>
      <c r="H1019" s="315"/>
      <c r="I1019" s="314"/>
      <c r="J1019" s="314"/>
      <c r="K1019" s="314"/>
      <c r="L1019" s="776"/>
      <c r="M1019" s="314"/>
      <c r="N1019" s="318"/>
      <c r="O1019" s="315"/>
      <c r="P1019" s="314"/>
      <c r="Q1019" s="314"/>
      <c r="R1019" s="314"/>
      <c r="S1019" s="777"/>
      <c r="T1019" s="314"/>
      <c r="U1019" s="778"/>
      <c r="V1019" s="315"/>
      <c r="W1019" s="779"/>
      <c r="X1019" s="780"/>
      <c r="Y1019" s="314"/>
      <c r="Z1019" s="314"/>
      <c r="AA1019" s="314"/>
      <c r="AB1019" s="483"/>
      <c r="AD1019" s="484"/>
      <c r="AE1019" s="322"/>
      <c r="AF1019" s="132"/>
      <c r="AG1019" s="132"/>
    </row>
    <row r="1020">
      <c r="A1020" s="314"/>
      <c r="B1020" s="313"/>
      <c r="C1020" s="313"/>
      <c r="D1020" s="313"/>
      <c r="E1020" s="737"/>
      <c r="F1020" s="314"/>
      <c r="G1020" s="318"/>
      <c r="H1020" s="315"/>
      <c r="I1020" s="314"/>
      <c r="J1020" s="314"/>
      <c r="K1020" s="314"/>
      <c r="L1020" s="776"/>
      <c r="M1020" s="314"/>
      <c r="N1020" s="318"/>
      <c r="O1020" s="315"/>
      <c r="P1020" s="314"/>
      <c r="Q1020" s="314"/>
      <c r="R1020" s="314"/>
      <c r="S1020" s="777"/>
      <c r="T1020" s="314"/>
      <c r="U1020" s="778"/>
      <c r="V1020" s="315"/>
      <c r="W1020" s="779"/>
      <c r="X1020" s="780"/>
      <c r="Y1020" s="314"/>
      <c r="Z1020" s="314"/>
      <c r="AA1020" s="314"/>
      <c r="AB1020" s="324"/>
      <c r="AC1020" s="155"/>
      <c r="AD1020" s="155"/>
      <c r="AE1020" s="322"/>
      <c r="AF1020" s="132"/>
      <c r="AG1020" s="132"/>
    </row>
    <row r="1021">
      <c r="A1021" s="314"/>
      <c r="B1021" s="313"/>
      <c r="C1021" s="313"/>
      <c r="D1021" s="313"/>
      <c r="E1021" s="737"/>
      <c r="F1021" s="314"/>
      <c r="G1021" s="318"/>
      <c r="H1021" s="315"/>
      <c r="I1021" s="314"/>
      <c r="J1021" s="314"/>
      <c r="K1021" s="314"/>
      <c r="L1021" s="776"/>
      <c r="M1021" s="314"/>
      <c r="N1021" s="318"/>
      <c r="O1021" s="315"/>
      <c r="P1021" s="314"/>
      <c r="Q1021" s="314"/>
      <c r="R1021" s="314"/>
      <c r="S1021" s="777"/>
      <c r="T1021" s="314"/>
      <c r="U1021" s="778"/>
      <c r="V1021" s="315"/>
      <c r="W1021" s="779"/>
      <c r="X1021" s="780"/>
      <c r="Y1021" s="314"/>
      <c r="Z1021" s="314"/>
      <c r="AA1021" s="314"/>
      <c r="AB1021" s="324"/>
      <c r="AC1021" s="155"/>
      <c r="AD1021" s="155"/>
      <c r="AE1021" s="322"/>
      <c r="AF1021" s="132"/>
      <c r="AG1021" s="132"/>
    </row>
    <row r="1022">
      <c r="A1022" s="314"/>
      <c r="B1022" s="313"/>
      <c r="C1022" s="313"/>
      <c r="D1022" s="313"/>
      <c r="E1022" s="737"/>
      <c r="F1022" s="314"/>
      <c r="G1022" s="318"/>
      <c r="H1022" s="315"/>
      <c r="I1022" s="314"/>
      <c r="J1022" s="314"/>
      <c r="K1022" s="314"/>
      <c r="L1022" s="776"/>
      <c r="M1022" s="314"/>
      <c r="N1022" s="318"/>
      <c r="O1022" s="315"/>
      <c r="P1022" s="314"/>
      <c r="Q1022" s="314"/>
      <c r="R1022" s="314"/>
      <c r="S1022" s="777"/>
      <c r="T1022" s="314"/>
      <c r="U1022" s="778"/>
      <c r="V1022" s="315"/>
      <c r="W1022" s="779"/>
      <c r="X1022" s="780"/>
      <c r="Y1022" s="314"/>
      <c r="Z1022" s="314"/>
      <c r="AA1022" s="314"/>
      <c r="AB1022" s="324"/>
      <c r="AC1022" s="155"/>
      <c r="AD1022" s="155"/>
      <c r="AE1022" s="322"/>
      <c r="AF1022" s="132"/>
      <c r="AG1022" s="132"/>
    </row>
    <row r="1023">
      <c r="A1023" s="314"/>
      <c r="B1023" s="313"/>
      <c r="C1023" s="313"/>
      <c r="D1023" s="313"/>
      <c r="E1023" s="737"/>
      <c r="F1023" s="314"/>
      <c r="G1023" s="318"/>
      <c r="H1023" s="315"/>
      <c r="I1023" s="314"/>
      <c r="J1023" s="314"/>
      <c r="K1023" s="314"/>
      <c r="L1023" s="776"/>
      <c r="M1023" s="314"/>
      <c r="N1023" s="318"/>
      <c r="O1023" s="315"/>
      <c r="P1023" s="314"/>
      <c r="Q1023" s="314"/>
      <c r="R1023" s="314"/>
      <c r="S1023" s="777"/>
      <c r="T1023" s="314"/>
      <c r="U1023" s="778"/>
      <c r="V1023" s="315"/>
      <c r="W1023" s="779"/>
      <c r="X1023" s="780"/>
      <c r="Y1023" s="314"/>
      <c r="Z1023" s="314"/>
      <c r="AA1023" s="314"/>
      <c r="AB1023" s="324"/>
      <c r="AC1023" s="155"/>
      <c r="AD1023" s="155"/>
      <c r="AE1023" s="322"/>
      <c r="AF1023" s="132"/>
      <c r="AG1023" s="132"/>
    </row>
    <row r="1024">
      <c r="A1024" s="314"/>
      <c r="B1024" s="313"/>
      <c r="C1024" s="313"/>
      <c r="D1024" s="313"/>
      <c r="E1024" s="737"/>
      <c r="F1024" s="314"/>
      <c r="G1024" s="318"/>
      <c r="H1024" s="315"/>
      <c r="I1024" s="314"/>
      <c r="J1024" s="314"/>
      <c r="K1024" s="314"/>
      <c r="L1024" s="776"/>
      <c r="M1024" s="314"/>
      <c r="N1024" s="318"/>
      <c r="O1024" s="315"/>
      <c r="P1024" s="314"/>
      <c r="Q1024" s="314"/>
      <c r="R1024" s="314"/>
      <c r="S1024" s="777"/>
      <c r="T1024" s="314"/>
      <c r="U1024" s="778"/>
      <c r="V1024" s="315"/>
      <c r="W1024" s="779"/>
      <c r="X1024" s="780"/>
      <c r="Y1024" s="314"/>
      <c r="Z1024" s="314"/>
      <c r="AA1024" s="314"/>
      <c r="AB1024" s="324"/>
      <c r="AC1024" s="155"/>
      <c r="AD1024" s="155"/>
      <c r="AE1024" s="322"/>
      <c r="AF1024" s="132"/>
      <c r="AG1024" s="132"/>
    </row>
    <row r="1025">
      <c r="A1025" s="314"/>
      <c r="B1025" s="313"/>
      <c r="C1025" s="313"/>
      <c r="D1025" s="313"/>
      <c r="E1025" s="737"/>
      <c r="F1025" s="314"/>
      <c r="G1025" s="318"/>
      <c r="H1025" s="315"/>
      <c r="I1025" s="314"/>
      <c r="J1025" s="314"/>
      <c r="K1025" s="314"/>
      <c r="L1025" s="776"/>
      <c r="M1025" s="314"/>
      <c r="N1025" s="318"/>
      <c r="O1025" s="315"/>
      <c r="P1025" s="314"/>
      <c r="Q1025" s="314"/>
      <c r="R1025" s="314"/>
      <c r="S1025" s="777"/>
      <c r="T1025" s="314"/>
      <c r="U1025" s="778"/>
      <c r="V1025" s="315"/>
      <c r="W1025" s="779"/>
      <c r="X1025" s="780"/>
      <c r="Y1025" s="314"/>
      <c r="Z1025" s="314"/>
      <c r="AA1025" s="314"/>
      <c r="AB1025" s="324"/>
      <c r="AC1025" s="155"/>
      <c r="AD1025" s="155"/>
      <c r="AE1025" s="322"/>
      <c r="AF1025" s="132"/>
      <c r="AG1025" s="132"/>
    </row>
    <row r="1026">
      <c r="A1026" s="314"/>
      <c r="B1026" s="313"/>
      <c r="C1026" s="313"/>
      <c r="D1026" s="313"/>
      <c r="E1026" s="737"/>
      <c r="F1026" s="314"/>
      <c r="G1026" s="318"/>
      <c r="H1026" s="315"/>
      <c r="I1026" s="314"/>
      <c r="J1026" s="314"/>
      <c r="K1026" s="314"/>
      <c r="L1026" s="776"/>
      <c r="M1026" s="314"/>
      <c r="N1026" s="318"/>
      <c r="O1026" s="315"/>
      <c r="P1026" s="314"/>
      <c r="Q1026" s="314"/>
      <c r="R1026" s="314"/>
      <c r="S1026" s="777"/>
      <c r="T1026" s="314"/>
      <c r="U1026" s="778"/>
      <c r="V1026" s="315"/>
      <c r="W1026" s="779"/>
      <c r="X1026" s="780"/>
      <c r="Y1026" s="314"/>
      <c r="Z1026" s="314"/>
      <c r="AA1026" s="314"/>
      <c r="AB1026" s="324"/>
      <c r="AC1026" s="155"/>
      <c r="AD1026" s="155"/>
      <c r="AE1026" s="322"/>
      <c r="AF1026" s="132"/>
      <c r="AG1026" s="132"/>
    </row>
    <row r="1027">
      <c r="A1027" s="314"/>
      <c r="B1027" s="313"/>
      <c r="C1027" s="313"/>
      <c r="D1027" s="313"/>
      <c r="E1027" s="737"/>
      <c r="F1027" s="314"/>
      <c r="G1027" s="318"/>
      <c r="H1027" s="315"/>
      <c r="I1027" s="314"/>
      <c r="J1027" s="314"/>
      <c r="K1027" s="314"/>
      <c r="L1027" s="776"/>
      <c r="M1027" s="314"/>
      <c r="N1027" s="318"/>
      <c r="O1027" s="315"/>
      <c r="P1027" s="314"/>
      <c r="Q1027" s="314"/>
      <c r="R1027" s="314"/>
      <c r="S1027" s="777"/>
      <c r="T1027" s="314"/>
      <c r="U1027" s="778"/>
      <c r="V1027" s="315"/>
      <c r="W1027" s="779"/>
      <c r="X1027" s="780"/>
      <c r="Y1027" s="314"/>
      <c r="Z1027" s="314"/>
      <c r="AA1027" s="314"/>
      <c r="AB1027" s="324"/>
      <c r="AC1027" s="155"/>
      <c r="AD1027" s="155"/>
      <c r="AE1027" s="322"/>
      <c r="AF1027" s="132"/>
      <c r="AG1027" s="132"/>
    </row>
    <row r="1028">
      <c r="A1028" s="314"/>
      <c r="B1028" s="313"/>
      <c r="C1028" s="313"/>
      <c r="D1028" s="313"/>
      <c r="E1028" s="737"/>
      <c r="F1028" s="314"/>
      <c r="G1028" s="318"/>
      <c r="H1028" s="315"/>
      <c r="I1028" s="314"/>
      <c r="J1028" s="314"/>
      <c r="K1028" s="314"/>
      <c r="L1028" s="776"/>
      <c r="M1028" s="314"/>
      <c r="N1028" s="318"/>
      <c r="O1028" s="315"/>
      <c r="P1028" s="314"/>
      <c r="Q1028" s="314"/>
      <c r="R1028" s="314"/>
      <c r="S1028" s="777"/>
      <c r="T1028" s="314"/>
      <c r="U1028" s="778"/>
      <c r="V1028" s="315"/>
      <c r="W1028" s="779"/>
      <c r="X1028" s="780"/>
      <c r="Y1028" s="314"/>
      <c r="Z1028" s="314"/>
      <c r="AA1028" s="314"/>
      <c r="AB1028" s="324"/>
      <c r="AC1028" s="155"/>
      <c r="AD1028" s="155"/>
      <c r="AE1028" s="322"/>
      <c r="AF1028" s="132"/>
      <c r="AG1028" s="132"/>
    </row>
    <row r="1029">
      <c r="A1029" s="314"/>
      <c r="B1029" s="313"/>
      <c r="C1029" s="313"/>
      <c r="D1029" s="313"/>
      <c r="E1029" s="737"/>
      <c r="F1029" s="314"/>
      <c r="G1029" s="318"/>
      <c r="H1029" s="315"/>
      <c r="I1029" s="314"/>
      <c r="J1029" s="314"/>
      <c r="K1029" s="314"/>
      <c r="L1029" s="776"/>
      <c r="M1029" s="314"/>
      <c r="N1029" s="318"/>
      <c r="O1029" s="315"/>
      <c r="P1029" s="314"/>
      <c r="Q1029" s="314"/>
      <c r="R1029" s="314"/>
      <c r="S1029" s="777"/>
      <c r="T1029" s="314"/>
      <c r="U1029" s="778"/>
      <c r="V1029" s="315"/>
      <c r="W1029" s="779"/>
      <c r="X1029" s="780"/>
      <c r="Y1029" s="314"/>
      <c r="Z1029" s="314"/>
      <c r="AA1029" s="314"/>
      <c r="AB1029" s="324"/>
      <c r="AC1029" s="155"/>
      <c r="AD1029" s="155"/>
      <c r="AE1029" s="322"/>
      <c r="AF1029" s="132"/>
      <c r="AG1029" s="132"/>
    </row>
    <row r="1030">
      <c r="A1030" s="314"/>
      <c r="B1030" s="313"/>
      <c r="C1030" s="313"/>
      <c r="D1030" s="313"/>
      <c r="E1030" s="737"/>
      <c r="F1030" s="314"/>
      <c r="G1030" s="318"/>
      <c r="H1030" s="315"/>
      <c r="I1030" s="314"/>
      <c r="J1030" s="314"/>
      <c r="K1030" s="314"/>
      <c r="L1030" s="776"/>
      <c r="M1030" s="314"/>
      <c r="N1030" s="318"/>
      <c r="O1030" s="315"/>
      <c r="P1030" s="314"/>
      <c r="Q1030" s="314"/>
      <c r="R1030" s="314"/>
      <c r="S1030" s="777"/>
      <c r="T1030" s="314"/>
      <c r="U1030" s="778"/>
      <c r="V1030" s="315"/>
      <c r="W1030" s="779"/>
      <c r="X1030" s="780"/>
      <c r="Y1030" s="314"/>
      <c r="Z1030" s="314"/>
      <c r="AA1030" s="314"/>
      <c r="AB1030" s="324"/>
      <c r="AC1030" s="155"/>
      <c r="AD1030" s="155"/>
      <c r="AE1030" s="322"/>
      <c r="AF1030" s="132"/>
      <c r="AG1030" s="132"/>
    </row>
    <row r="1031">
      <c r="A1031" s="314"/>
      <c r="B1031" s="313"/>
      <c r="C1031" s="313"/>
      <c r="D1031" s="313"/>
      <c r="E1031" s="737"/>
      <c r="F1031" s="314"/>
      <c r="G1031" s="318"/>
      <c r="H1031" s="315"/>
      <c r="I1031" s="314"/>
      <c r="J1031" s="314"/>
      <c r="K1031" s="314"/>
      <c r="L1031" s="776"/>
      <c r="M1031" s="314"/>
      <c r="N1031" s="318"/>
      <c r="O1031" s="315"/>
      <c r="P1031" s="314"/>
      <c r="Q1031" s="314"/>
      <c r="R1031" s="314"/>
      <c r="S1031" s="777"/>
      <c r="T1031" s="314"/>
      <c r="U1031" s="778"/>
      <c r="V1031" s="315"/>
      <c r="W1031" s="779"/>
      <c r="X1031" s="780"/>
      <c r="Y1031" s="314"/>
      <c r="Z1031" s="314"/>
      <c r="AA1031" s="314"/>
      <c r="AB1031" s="324"/>
      <c r="AC1031" s="155"/>
      <c r="AD1031" s="155"/>
      <c r="AE1031" s="322"/>
      <c r="AF1031" s="132"/>
      <c r="AG1031" s="132"/>
    </row>
    <row r="1032">
      <c r="A1032" s="314"/>
      <c r="B1032" s="313"/>
      <c r="C1032" s="313"/>
      <c r="D1032" s="313"/>
      <c r="E1032" s="737"/>
      <c r="F1032" s="314"/>
      <c r="G1032" s="318"/>
      <c r="H1032" s="315"/>
      <c r="I1032" s="314"/>
      <c r="J1032" s="314"/>
      <c r="K1032" s="314"/>
      <c r="L1032" s="776"/>
      <c r="M1032" s="314"/>
      <c r="N1032" s="318"/>
      <c r="O1032" s="315"/>
      <c r="P1032" s="314"/>
      <c r="Q1032" s="314"/>
      <c r="R1032" s="314"/>
      <c r="S1032" s="777"/>
      <c r="T1032" s="314"/>
      <c r="U1032" s="778"/>
      <c r="V1032" s="315"/>
      <c r="W1032" s="779"/>
      <c r="X1032" s="780"/>
      <c r="Y1032" s="314"/>
      <c r="Z1032" s="314"/>
      <c r="AA1032" s="314"/>
      <c r="AB1032" s="324"/>
      <c r="AC1032" s="155"/>
      <c r="AD1032" s="155"/>
      <c r="AE1032" s="322"/>
      <c r="AF1032" s="132"/>
      <c r="AG1032" s="132"/>
    </row>
    <row r="1033">
      <c r="A1033" s="314"/>
      <c r="B1033" s="313"/>
      <c r="C1033" s="313"/>
      <c r="D1033" s="313"/>
      <c r="E1033" s="737"/>
      <c r="F1033" s="314"/>
      <c r="G1033" s="318"/>
      <c r="H1033" s="315"/>
      <c r="I1033" s="314"/>
      <c r="J1033" s="314"/>
      <c r="K1033" s="314"/>
      <c r="L1033" s="776"/>
      <c r="M1033" s="314"/>
      <c r="N1033" s="318"/>
      <c r="O1033" s="315"/>
      <c r="P1033" s="314"/>
      <c r="Q1033" s="314"/>
      <c r="R1033" s="314"/>
      <c r="S1033" s="777"/>
      <c r="T1033" s="314"/>
      <c r="U1033" s="778"/>
      <c r="V1033" s="315"/>
      <c r="W1033" s="779"/>
      <c r="X1033" s="780"/>
      <c r="Y1033" s="314"/>
      <c r="Z1033" s="314"/>
      <c r="AA1033" s="314"/>
      <c r="AB1033" s="324"/>
      <c r="AC1033" s="155"/>
      <c r="AD1033" s="155"/>
      <c r="AE1033" s="322"/>
      <c r="AF1033" s="132"/>
      <c r="AG1033" s="132"/>
    </row>
    <row r="1034">
      <c r="A1034" s="314"/>
      <c r="B1034" s="313"/>
      <c r="C1034" s="313"/>
      <c r="D1034" s="313"/>
      <c r="E1034" s="737"/>
      <c r="F1034" s="314"/>
      <c r="G1034" s="318"/>
      <c r="H1034" s="315"/>
      <c r="I1034" s="314"/>
      <c r="J1034" s="314"/>
      <c r="K1034" s="314"/>
      <c r="L1034" s="776"/>
      <c r="M1034" s="314"/>
      <c r="N1034" s="318"/>
      <c r="O1034" s="315"/>
      <c r="P1034" s="314"/>
      <c r="Q1034" s="314"/>
      <c r="R1034" s="314"/>
      <c r="S1034" s="777"/>
      <c r="T1034" s="314"/>
      <c r="U1034" s="778"/>
      <c r="V1034" s="315"/>
      <c r="W1034" s="779"/>
      <c r="X1034" s="780"/>
      <c r="Y1034" s="314"/>
      <c r="Z1034" s="314"/>
      <c r="AA1034" s="314"/>
      <c r="AB1034" s="487"/>
      <c r="AD1034" s="484"/>
      <c r="AE1034" s="322"/>
      <c r="AF1034" s="132"/>
      <c r="AG1034" s="132"/>
    </row>
    <row r="1035">
      <c r="A1035" s="314"/>
      <c r="B1035" s="313"/>
      <c r="C1035" s="313"/>
      <c r="D1035" s="313"/>
      <c r="E1035" s="737"/>
      <c r="F1035" s="314"/>
      <c r="G1035" s="318"/>
      <c r="H1035" s="315"/>
      <c r="I1035" s="314"/>
      <c r="J1035" s="314"/>
      <c r="K1035" s="314"/>
      <c r="L1035" s="776"/>
      <c r="M1035" s="314"/>
      <c r="N1035" s="318"/>
      <c r="O1035" s="315"/>
      <c r="P1035" s="314"/>
      <c r="Q1035" s="314"/>
      <c r="R1035" s="314"/>
      <c r="S1035" s="777"/>
      <c r="T1035" s="314"/>
      <c r="U1035" s="778"/>
      <c r="V1035" s="315"/>
      <c r="W1035" s="779"/>
      <c r="X1035" s="780"/>
      <c r="Y1035" s="314"/>
      <c r="Z1035" s="314"/>
      <c r="AA1035" s="314"/>
      <c r="AB1035" s="324"/>
      <c r="AC1035" s="155"/>
      <c r="AD1035" s="155"/>
      <c r="AE1035" s="322"/>
      <c r="AF1035" s="132"/>
      <c r="AG1035" s="132"/>
    </row>
    <row r="1036">
      <c r="A1036" s="314"/>
      <c r="B1036" s="313"/>
      <c r="C1036" s="313"/>
      <c r="D1036" s="313"/>
      <c r="E1036" s="737"/>
      <c r="F1036" s="314"/>
      <c r="G1036" s="318"/>
      <c r="H1036" s="315"/>
      <c r="I1036" s="314"/>
      <c r="J1036" s="314"/>
      <c r="K1036" s="314"/>
      <c r="L1036" s="776"/>
      <c r="M1036" s="314"/>
      <c r="N1036" s="318"/>
      <c r="O1036" s="315"/>
      <c r="P1036" s="314"/>
      <c r="Q1036" s="314"/>
      <c r="R1036" s="314"/>
      <c r="S1036" s="777"/>
      <c r="T1036" s="314"/>
      <c r="U1036" s="778"/>
      <c r="V1036" s="315"/>
      <c r="W1036" s="779"/>
      <c r="X1036" s="780"/>
      <c r="Y1036" s="314"/>
      <c r="Z1036" s="314"/>
      <c r="AA1036" s="314"/>
      <c r="AB1036" s="324"/>
      <c r="AC1036" s="155"/>
      <c r="AD1036" s="155"/>
      <c r="AE1036" s="322"/>
      <c r="AF1036" s="132"/>
      <c r="AG1036" s="132"/>
    </row>
    <row r="1037">
      <c r="A1037" s="314"/>
      <c r="B1037" s="313"/>
      <c r="C1037" s="313"/>
      <c r="D1037" s="313"/>
      <c r="E1037" s="737"/>
      <c r="F1037" s="314"/>
      <c r="G1037" s="318"/>
      <c r="H1037" s="315"/>
      <c r="I1037" s="314"/>
      <c r="J1037" s="314"/>
      <c r="K1037" s="314"/>
      <c r="L1037" s="776"/>
      <c r="M1037" s="314"/>
      <c r="N1037" s="318"/>
      <c r="O1037" s="315"/>
      <c r="P1037" s="314"/>
      <c r="Q1037" s="314"/>
      <c r="R1037" s="314"/>
      <c r="S1037" s="777"/>
      <c r="T1037" s="314"/>
      <c r="U1037" s="778"/>
      <c r="V1037" s="315"/>
      <c r="W1037" s="779"/>
      <c r="X1037" s="780"/>
      <c r="Y1037" s="314"/>
      <c r="Z1037" s="314"/>
      <c r="AA1037" s="314"/>
      <c r="AB1037" s="324"/>
      <c r="AC1037" s="155"/>
      <c r="AD1037" s="155"/>
      <c r="AE1037" s="322"/>
      <c r="AF1037" s="132"/>
      <c r="AG1037" s="132"/>
    </row>
    <row r="1038">
      <c r="A1038" s="314"/>
      <c r="B1038" s="313"/>
      <c r="C1038" s="313"/>
      <c r="D1038" s="313"/>
      <c r="E1038" s="737"/>
      <c r="F1038" s="314"/>
      <c r="G1038" s="318"/>
      <c r="H1038" s="315"/>
      <c r="I1038" s="314"/>
      <c r="J1038" s="314"/>
      <c r="K1038" s="314"/>
      <c r="L1038" s="776"/>
      <c r="M1038" s="314"/>
      <c r="N1038" s="318"/>
      <c r="O1038" s="315"/>
      <c r="P1038" s="314"/>
      <c r="Q1038" s="314"/>
      <c r="R1038" s="314"/>
      <c r="S1038" s="777"/>
      <c r="T1038" s="314"/>
      <c r="U1038" s="778"/>
      <c r="V1038" s="315"/>
      <c r="W1038" s="779"/>
      <c r="X1038" s="780"/>
      <c r="Y1038" s="314"/>
      <c r="Z1038" s="314"/>
      <c r="AA1038" s="314"/>
      <c r="AB1038" s="324"/>
      <c r="AC1038" s="155"/>
      <c r="AD1038" s="155"/>
      <c r="AE1038" s="322"/>
      <c r="AF1038" s="132"/>
      <c r="AG1038" s="132"/>
    </row>
    <row r="1039">
      <c r="A1039" s="314"/>
      <c r="B1039" s="313"/>
      <c r="C1039" s="313"/>
      <c r="D1039" s="313"/>
      <c r="E1039" s="737"/>
      <c r="F1039" s="314"/>
      <c r="G1039" s="318"/>
      <c r="H1039" s="315"/>
      <c r="I1039" s="314"/>
      <c r="J1039" s="314"/>
      <c r="K1039" s="314"/>
      <c r="L1039" s="776"/>
      <c r="M1039" s="314"/>
      <c r="N1039" s="318"/>
      <c r="O1039" s="315"/>
      <c r="P1039" s="314"/>
      <c r="Q1039" s="314"/>
      <c r="R1039" s="314"/>
      <c r="S1039" s="777"/>
      <c r="T1039" s="314"/>
      <c r="U1039" s="778"/>
      <c r="V1039" s="315"/>
      <c r="W1039" s="779"/>
      <c r="X1039" s="780"/>
      <c r="Y1039" s="314"/>
      <c r="Z1039" s="314"/>
      <c r="AA1039" s="314"/>
      <c r="AB1039" s="324"/>
      <c r="AC1039" s="155"/>
      <c r="AD1039" s="155"/>
      <c r="AE1039" s="322"/>
      <c r="AF1039" s="132"/>
      <c r="AG1039" s="132"/>
    </row>
    <row r="1040">
      <c r="A1040" s="314"/>
      <c r="B1040" s="313"/>
      <c r="C1040" s="313"/>
      <c r="D1040" s="313"/>
      <c r="E1040" s="737"/>
      <c r="F1040" s="314"/>
      <c r="G1040" s="318"/>
      <c r="H1040" s="315"/>
      <c r="I1040" s="314"/>
      <c r="J1040" s="314"/>
      <c r="K1040" s="314"/>
      <c r="L1040" s="776"/>
      <c r="M1040" s="314"/>
      <c r="N1040" s="318"/>
      <c r="O1040" s="315"/>
      <c r="P1040" s="314"/>
      <c r="Q1040" s="314"/>
      <c r="R1040" s="314"/>
      <c r="S1040" s="777"/>
      <c r="T1040" s="314"/>
      <c r="U1040" s="778"/>
      <c r="V1040" s="315"/>
      <c r="W1040" s="779"/>
      <c r="X1040" s="780"/>
      <c r="Y1040" s="314"/>
      <c r="Z1040" s="314"/>
      <c r="AA1040" s="314"/>
      <c r="AB1040" s="324"/>
      <c r="AC1040" s="155"/>
      <c r="AD1040" s="155"/>
      <c r="AE1040" s="322"/>
      <c r="AF1040" s="132"/>
      <c r="AG1040" s="132"/>
    </row>
    <row r="1041">
      <c r="A1041" s="314"/>
      <c r="B1041" s="313"/>
      <c r="C1041" s="313"/>
      <c r="D1041" s="313"/>
      <c r="E1041" s="737"/>
      <c r="F1041" s="314"/>
      <c r="G1041" s="318"/>
      <c r="H1041" s="315"/>
      <c r="I1041" s="314"/>
      <c r="J1041" s="314"/>
      <c r="K1041" s="314"/>
      <c r="L1041" s="776"/>
      <c r="M1041" s="314"/>
      <c r="N1041" s="318"/>
      <c r="O1041" s="315"/>
      <c r="P1041" s="314"/>
      <c r="Q1041" s="314"/>
      <c r="R1041" s="314"/>
      <c r="S1041" s="777"/>
      <c r="T1041" s="314"/>
      <c r="U1041" s="778"/>
      <c r="V1041" s="315"/>
      <c r="W1041" s="779"/>
      <c r="X1041" s="780"/>
      <c r="Y1041" s="314"/>
      <c r="Z1041" s="314"/>
      <c r="AA1041" s="314"/>
      <c r="AB1041" s="324"/>
      <c r="AC1041" s="155"/>
      <c r="AD1041" s="155"/>
      <c r="AE1041" s="322"/>
      <c r="AF1041" s="132"/>
      <c r="AG1041" s="132"/>
    </row>
    <row r="1042">
      <c r="A1042" s="314"/>
      <c r="B1042" s="313"/>
      <c r="C1042" s="313"/>
      <c r="D1042" s="313"/>
      <c r="E1042" s="737"/>
      <c r="F1042" s="314"/>
      <c r="G1042" s="318"/>
      <c r="H1042" s="315"/>
      <c r="I1042" s="314"/>
      <c r="J1042" s="314"/>
      <c r="K1042" s="314"/>
      <c r="L1042" s="776"/>
      <c r="M1042" s="314"/>
      <c r="N1042" s="318"/>
      <c r="O1042" s="315"/>
      <c r="P1042" s="314"/>
      <c r="Q1042" s="314"/>
      <c r="R1042" s="314"/>
      <c r="S1042" s="777"/>
      <c r="T1042" s="314"/>
      <c r="U1042" s="778"/>
      <c r="V1042" s="315"/>
      <c r="W1042" s="779"/>
      <c r="X1042" s="780"/>
      <c r="Y1042" s="314"/>
      <c r="Z1042" s="314"/>
      <c r="AA1042" s="314"/>
      <c r="AB1042" s="324"/>
      <c r="AC1042" s="155"/>
      <c r="AD1042" s="155"/>
      <c r="AE1042" s="322"/>
      <c r="AF1042" s="132"/>
      <c r="AG1042" s="132"/>
    </row>
    <row r="1043">
      <c r="A1043" s="314"/>
      <c r="B1043" s="313"/>
      <c r="C1043" s="313"/>
      <c r="D1043" s="313"/>
      <c r="E1043" s="737"/>
      <c r="F1043" s="314"/>
      <c r="G1043" s="318"/>
      <c r="H1043" s="315"/>
      <c r="I1043" s="314"/>
      <c r="J1043" s="314"/>
      <c r="K1043" s="314"/>
      <c r="L1043" s="776"/>
      <c r="M1043" s="314"/>
      <c r="N1043" s="318"/>
      <c r="O1043" s="315"/>
      <c r="P1043" s="314"/>
      <c r="Q1043" s="314"/>
      <c r="R1043" s="314"/>
      <c r="S1043" s="777"/>
      <c r="T1043" s="314"/>
      <c r="U1043" s="778"/>
      <c r="V1043" s="315"/>
      <c r="W1043" s="779"/>
      <c r="X1043" s="780"/>
      <c r="Y1043" s="314"/>
      <c r="Z1043" s="314"/>
      <c r="AA1043" s="314"/>
      <c r="AB1043" s="324"/>
      <c r="AC1043" s="155"/>
      <c r="AD1043" s="155"/>
      <c r="AE1043" s="322"/>
      <c r="AF1043" s="132"/>
      <c r="AG1043" s="132"/>
    </row>
    <row r="1044">
      <c r="A1044" s="314"/>
      <c r="B1044" s="313"/>
      <c r="C1044" s="313"/>
      <c r="D1044" s="313"/>
      <c r="E1044" s="737"/>
      <c r="F1044" s="314"/>
      <c r="G1044" s="318"/>
      <c r="H1044" s="315"/>
      <c r="I1044" s="314"/>
      <c r="J1044" s="314"/>
      <c r="K1044" s="314"/>
      <c r="L1044" s="776"/>
      <c r="M1044" s="314"/>
      <c r="N1044" s="318"/>
      <c r="O1044" s="315"/>
      <c r="P1044" s="314"/>
      <c r="Q1044" s="314"/>
      <c r="R1044" s="314"/>
      <c r="S1044" s="777"/>
      <c r="T1044" s="314"/>
      <c r="U1044" s="778"/>
      <c r="V1044" s="315"/>
      <c r="W1044" s="779"/>
      <c r="X1044" s="780"/>
      <c r="Y1044" s="314"/>
      <c r="Z1044" s="314"/>
      <c r="AA1044" s="314"/>
      <c r="AB1044" s="324"/>
      <c r="AC1044" s="155"/>
      <c r="AD1044" s="155"/>
      <c r="AE1044" s="322"/>
      <c r="AF1044" s="132"/>
      <c r="AG1044" s="132"/>
    </row>
    <row r="1045">
      <c r="A1045" s="314"/>
      <c r="B1045" s="313"/>
      <c r="C1045" s="313"/>
      <c r="D1045" s="313"/>
      <c r="E1045" s="737"/>
      <c r="F1045" s="314"/>
      <c r="G1045" s="318"/>
      <c r="H1045" s="315"/>
      <c r="I1045" s="314"/>
      <c r="J1045" s="314"/>
      <c r="K1045" s="314"/>
      <c r="L1045" s="776"/>
      <c r="M1045" s="314"/>
      <c r="N1045" s="318"/>
      <c r="O1045" s="315"/>
      <c r="P1045" s="314"/>
      <c r="Q1045" s="314"/>
      <c r="R1045" s="314"/>
      <c r="S1045" s="777"/>
      <c r="T1045" s="314"/>
      <c r="U1045" s="778"/>
      <c r="V1045" s="315"/>
      <c r="W1045" s="779"/>
      <c r="X1045" s="780"/>
      <c r="Y1045" s="314"/>
      <c r="Z1045" s="314"/>
      <c r="AA1045" s="314"/>
      <c r="AB1045" s="324"/>
      <c r="AC1045" s="155"/>
      <c r="AD1045" s="155"/>
      <c r="AE1045" s="322"/>
      <c r="AF1045" s="132"/>
      <c r="AG1045" s="132"/>
    </row>
    <row r="1046">
      <c r="A1046" s="314"/>
      <c r="B1046" s="313"/>
      <c r="C1046" s="313"/>
      <c r="D1046" s="313"/>
      <c r="E1046" s="737"/>
      <c r="F1046" s="314"/>
      <c r="G1046" s="318"/>
      <c r="H1046" s="315"/>
      <c r="I1046" s="314"/>
      <c r="J1046" s="314"/>
      <c r="K1046" s="314"/>
      <c r="L1046" s="776"/>
      <c r="M1046" s="314"/>
      <c r="N1046" s="318"/>
      <c r="O1046" s="315"/>
      <c r="P1046" s="314"/>
      <c r="Q1046" s="314"/>
      <c r="R1046" s="314"/>
      <c r="S1046" s="777"/>
      <c r="T1046" s="314"/>
      <c r="U1046" s="778"/>
      <c r="V1046" s="315"/>
      <c r="W1046" s="779"/>
      <c r="X1046" s="780"/>
      <c r="Y1046" s="314"/>
      <c r="Z1046" s="314"/>
      <c r="AA1046" s="314"/>
      <c r="AB1046" s="324"/>
      <c r="AC1046" s="155"/>
      <c r="AD1046" s="155"/>
      <c r="AE1046" s="322"/>
      <c r="AF1046" s="132"/>
      <c r="AG1046" s="132"/>
    </row>
    <row r="1047">
      <c r="A1047" s="314"/>
      <c r="B1047" s="313"/>
      <c r="C1047" s="313"/>
      <c r="D1047" s="313"/>
      <c r="E1047" s="737"/>
      <c r="F1047" s="314"/>
      <c r="G1047" s="318"/>
      <c r="H1047" s="315"/>
      <c r="I1047" s="314"/>
      <c r="J1047" s="314"/>
      <c r="K1047" s="314"/>
      <c r="L1047" s="776"/>
      <c r="M1047" s="314"/>
      <c r="N1047" s="318"/>
      <c r="O1047" s="315"/>
      <c r="P1047" s="314"/>
      <c r="Q1047" s="314"/>
      <c r="R1047" s="314"/>
      <c r="S1047" s="777"/>
      <c r="T1047" s="314"/>
      <c r="U1047" s="778"/>
      <c r="V1047" s="315"/>
      <c r="W1047" s="779"/>
      <c r="X1047" s="780"/>
      <c r="Y1047" s="314"/>
      <c r="Z1047" s="314"/>
      <c r="AA1047" s="314"/>
      <c r="AB1047" s="324"/>
      <c r="AC1047" s="155"/>
      <c r="AD1047" s="155"/>
      <c r="AE1047" s="322"/>
      <c r="AF1047" s="132"/>
      <c r="AG1047" s="132"/>
    </row>
    <row r="1048">
      <c r="A1048" s="314"/>
      <c r="B1048" s="313"/>
      <c r="C1048" s="313"/>
      <c r="D1048" s="313"/>
      <c r="E1048" s="737"/>
      <c r="F1048" s="314"/>
      <c r="G1048" s="318"/>
      <c r="H1048" s="315"/>
      <c r="I1048" s="314"/>
      <c r="J1048" s="314"/>
      <c r="K1048" s="314"/>
      <c r="L1048" s="776"/>
      <c r="M1048" s="314"/>
      <c r="N1048" s="318"/>
      <c r="O1048" s="315"/>
      <c r="P1048" s="314"/>
      <c r="Q1048" s="314"/>
      <c r="R1048" s="314"/>
      <c r="S1048" s="777"/>
      <c r="T1048" s="314"/>
      <c r="U1048" s="778"/>
      <c r="V1048" s="315"/>
      <c r="W1048" s="779"/>
      <c r="X1048" s="780"/>
      <c r="Y1048" s="314"/>
      <c r="Z1048" s="314"/>
      <c r="AA1048" s="314"/>
      <c r="AB1048" s="324"/>
      <c r="AC1048" s="155"/>
      <c r="AD1048" s="155"/>
      <c r="AE1048" s="322"/>
      <c r="AF1048" s="132"/>
      <c r="AG1048" s="132"/>
    </row>
    <row r="1049">
      <c r="A1049" s="314"/>
      <c r="B1049" s="313"/>
      <c r="C1049" s="313"/>
      <c r="D1049" s="313"/>
      <c r="E1049" s="737"/>
      <c r="F1049" s="314"/>
      <c r="G1049" s="318"/>
      <c r="H1049" s="315"/>
      <c r="I1049" s="314"/>
      <c r="J1049" s="314"/>
      <c r="K1049" s="314"/>
      <c r="L1049" s="776"/>
      <c r="M1049" s="314"/>
      <c r="N1049" s="318"/>
      <c r="O1049" s="315"/>
      <c r="P1049" s="314"/>
      <c r="Q1049" s="314"/>
      <c r="R1049" s="314"/>
      <c r="S1049" s="777"/>
      <c r="T1049" s="314"/>
      <c r="U1049" s="778"/>
      <c r="V1049" s="315"/>
      <c r="W1049" s="779"/>
      <c r="X1049" s="780"/>
      <c r="Y1049" s="314"/>
      <c r="Z1049" s="314"/>
      <c r="AA1049" s="314"/>
      <c r="AB1049" s="324"/>
      <c r="AC1049" s="155"/>
      <c r="AD1049" s="155"/>
      <c r="AE1049" s="322"/>
      <c r="AF1049" s="132"/>
      <c r="AG1049" s="132"/>
    </row>
    <row r="1050">
      <c r="A1050" s="314"/>
      <c r="B1050" s="313"/>
      <c r="C1050" s="313"/>
      <c r="D1050" s="313"/>
      <c r="E1050" s="737"/>
      <c r="F1050" s="314"/>
      <c r="G1050" s="318"/>
      <c r="H1050" s="315"/>
      <c r="I1050" s="314"/>
      <c r="J1050" s="314"/>
      <c r="K1050" s="314"/>
      <c r="L1050" s="776"/>
      <c r="M1050" s="314"/>
      <c r="N1050" s="318"/>
      <c r="O1050" s="315"/>
      <c r="P1050" s="314"/>
      <c r="Q1050" s="314"/>
      <c r="R1050" s="314"/>
      <c r="S1050" s="777"/>
      <c r="T1050" s="314"/>
      <c r="U1050" s="778"/>
      <c r="V1050" s="315"/>
      <c r="W1050" s="779"/>
      <c r="X1050" s="780"/>
      <c r="Y1050" s="314"/>
      <c r="Z1050" s="314"/>
      <c r="AA1050" s="314"/>
      <c r="AB1050" s="324"/>
      <c r="AC1050" s="155"/>
      <c r="AD1050" s="155"/>
      <c r="AE1050" s="322"/>
      <c r="AF1050" s="132"/>
      <c r="AG1050" s="132"/>
    </row>
    <row r="1051">
      <c r="A1051" s="314"/>
      <c r="B1051" s="313"/>
      <c r="C1051" s="313"/>
      <c r="D1051" s="313"/>
      <c r="E1051" s="737"/>
      <c r="F1051" s="314"/>
      <c r="G1051" s="318"/>
      <c r="H1051" s="315"/>
      <c r="I1051" s="314"/>
      <c r="J1051" s="314"/>
      <c r="K1051" s="314"/>
      <c r="L1051" s="776"/>
      <c r="M1051" s="314"/>
      <c r="N1051" s="318"/>
      <c r="O1051" s="315"/>
      <c r="P1051" s="314"/>
      <c r="Q1051" s="314"/>
      <c r="R1051" s="314"/>
      <c r="S1051" s="777"/>
      <c r="T1051" s="314"/>
      <c r="U1051" s="778"/>
      <c r="V1051" s="315"/>
      <c r="W1051" s="779"/>
      <c r="X1051" s="780"/>
      <c r="Y1051" s="314"/>
      <c r="Z1051" s="314"/>
      <c r="AA1051" s="314"/>
      <c r="AB1051" s="324"/>
      <c r="AC1051" s="155"/>
      <c r="AD1051" s="155"/>
      <c r="AE1051" s="322"/>
      <c r="AF1051" s="132"/>
      <c r="AG1051" s="132"/>
    </row>
    <row r="1052">
      <c r="A1052" s="314"/>
      <c r="B1052" s="313"/>
      <c r="C1052" s="313"/>
      <c r="D1052" s="313"/>
      <c r="E1052" s="737"/>
      <c r="F1052" s="314"/>
      <c r="G1052" s="318"/>
      <c r="H1052" s="315"/>
      <c r="I1052" s="314"/>
      <c r="J1052" s="314"/>
      <c r="K1052" s="314"/>
      <c r="L1052" s="776"/>
      <c r="M1052" s="314"/>
      <c r="N1052" s="318"/>
      <c r="O1052" s="315"/>
      <c r="P1052" s="314"/>
      <c r="Q1052" s="314"/>
      <c r="R1052" s="314"/>
      <c r="S1052" s="777"/>
      <c r="T1052" s="314"/>
      <c r="U1052" s="778"/>
      <c r="V1052" s="315"/>
      <c r="W1052" s="779"/>
      <c r="X1052" s="780"/>
      <c r="Y1052" s="314"/>
      <c r="Z1052" s="314"/>
      <c r="AA1052" s="314"/>
      <c r="AB1052" s="324"/>
      <c r="AC1052" s="155"/>
      <c r="AD1052" s="155"/>
      <c r="AE1052" s="322"/>
      <c r="AF1052" s="132"/>
      <c r="AG1052" s="132"/>
    </row>
  </sheetData>
  <mergeCells count="96">
    <mergeCell ref="A434:AC434"/>
    <mergeCell ref="A435:AD435"/>
    <mergeCell ref="A448:AC448"/>
    <mergeCell ref="A449:AD449"/>
    <mergeCell ref="A454:AC454"/>
    <mergeCell ref="A455:AD455"/>
    <mergeCell ref="A458:AC458"/>
    <mergeCell ref="A459:AD459"/>
    <mergeCell ref="AB464:AC464"/>
    <mergeCell ref="A569:AC569"/>
    <mergeCell ref="A570:AD570"/>
    <mergeCell ref="A583:AC583"/>
    <mergeCell ref="A584:AD584"/>
    <mergeCell ref="A589:AC589"/>
    <mergeCell ref="A590:AD590"/>
    <mergeCell ref="A593:AC593"/>
    <mergeCell ref="A594:AD594"/>
    <mergeCell ref="AB599:AC599"/>
    <mergeCell ref="AB614:AC614"/>
    <mergeCell ref="A719:AC719"/>
    <mergeCell ref="A720:AD720"/>
    <mergeCell ref="A733:AC733"/>
    <mergeCell ref="A734:AD734"/>
    <mergeCell ref="A739:AC739"/>
    <mergeCell ref="A740:AD740"/>
    <mergeCell ref="A743:AC743"/>
    <mergeCell ref="A744:AD744"/>
    <mergeCell ref="AB749:AC749"/>
    <mergeCell ref="A854:AC854"/>
    <mergeCell ref="A855:AD855"/>
    <mergeCell ref="A868:AC868"/>
    <mergeCell ref="A869:AD869"/>
    <mergeCell ref="A874:AC874"/>
    <mergeCell ref="A875:AD875"/>
    <mergeCell ref="A878:AC878"/>
    <mergeCell ref="A1010:AD1010"/>
    <mergeCell ref="A1013:AC1013"/>
    <mergeCell ref="A1014:AD1014"/>
    <mergeCell ref="AB1019:AC1019"/>
    <mergeCell ref="AB1034:AC1034"/>
    <mergeCell ref="A879:AD879"/>
    <mergeCell ref="AB884:AC884"/>
    <mergeCell ref="A989:AC989"/>
    <mergeCell ref="A990:AD990"/>
    <mergeCell ref="A1003:AC1003"/>
    <mergeCell ref="A1004:AD1004"/>
    <mergeCell ref="A1009:AC1009"/>
    <mergeCell ref="AF1:AG1"/>
    <mergeCell ref="A2:AD2"/>
    <mergeCell ref="AF11:AG11"/>
    <mergeCell ref="AF12:AG12"/>
    <mergeCell ref="A44:AC44"/>
    <mergeCell ref="A45:AD45"/>
    <mergeCell ref="A48:AC48"/>
    <mergeCell ref="A49:AD49"/>
    <mergeCell ref="A63:AC63"/>
    <mergeCell ref="A64:AD64"/>
    <mergeCell ref="A69:AC69"/>
    <mergeCell ref="A70:AD70"/>
    <mergeCell ref="A74:AC74"/>
    <mergeCell ref="A75:AD75"/>
    <mergeCell ref="A93:AC93"/>
    <mergeCell ref="A94:AD94"/>
    <mergeCell ref="A96:AC96"/>
    <mergeCell ref="A97:AD97"/>
    <mergeCell ref="A101:AC101"/>
    <mergeCell ref="A102:AD102"/>
    <mergeCell ref="A110:AC110"/>
    <mergeCell ref="A111:AD111"/>
    <mergeCell ref="A117:AC117"/>
    <mergeCell ref="A118:AD118"/>
    <mergeCell ref="A122:AC122"/>
    <mergeCell ref="A123:AD123"/>
    <mergeCell ref="A135:AC135"/>
    <mergeCell ref="A136:AD136"/>
    <mergeCell ref="A145:AC145"/>
    <mergeCell ref="A146:AD146"/>
    <mergeCell ref="A154:AC154"/>
    <mergeCell ref="A155:AD155"/>
    <mergeCell ref="A161:AC161"/>
    <mergeCell ref="A162:AD162"/>
    <mergeCell ref="A170:AC170"/>
    <mergeCell ref="A171:AD171"/>
    <mergeCell ref="A185:AC185"/>
    <mergeCell ref="A186:AD186"/>
    <mergeCell ref="A193:AC193"/>
    <mergeCell ref="AB194:AC194"/>
    <mergeCell ref="A299:AC299"/>
    <mergeCell ref="A300:AD300"/>
    <mergeCell ref="A313:AC313"/>
    <mergeCell ref="A314:AD314"/>
    <mergeCell ref="A319:AC319"/>
    <mergeCell ref="A320:AD320"/>
    <mergeCell ref="A323:AC323"/>
    <mergeCell ref="A324:AD324"/>
    <mergeCell ref="AB329:AC32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38"/>
    <col customWidth="1" min="2" max="2" width="4.13"/>
    <col customWidth="1" min="3" max="3" width="3.38"/>
    <col customWidth="1" min="4" max="31" width="3.63"/>
    <col customWidth="1" min="32" max="32" width="10.63"/>
    <col customWidth="1" min="33" max="33" width="9.88"/>
    <col customWidth="1" min="34" max="34" width="18.63"/>
    <col customWidth="1" min="35" max="35" width="3.88"/>
    <col customWidth="1" min="36" max="36" width="12.5"/>
    <col customWidth="1" min="37" max="37" width="32.63"/>
  </cols>
  <sheetData>
    <row r="1" ht="50.25" customHeight="1">
      <c r="A1" s="1">
        <v>46178.0</v>
      </c>
      <c r="B1" s="2">
        <v>46174.0</v>
      </c>
      <c r="C1" s="2">
        <v>46175.0</v>
      </c>
      <c r="D1" s="2">
        <v>46176.0</v>
      </c>
      <c r="E1" s="2">
        <v>46177.0</v>
      </c>
      <c r="F1" s="2">
        <v>46178.0</v>
      </c>
      <c r="G1" s="2">
        <v>46179.0</v>
      </c>
      <c r="H1" s="6">
        <v>46180.0</v>
      </c>
      <c r="I1" s="2">
        <v>46181.0</v>
      </c>
      <c r="J1" s="2">
        <v>46182.0</v>
      </c>
      <c r="K1" s="2">
        <v>46183.0</v>
      </c>
      <c r="L1" s="2">
        <v>46184.0</v>
      </c>
      <c r="M1" s="521">
        <v>46185.0</v>
      </c>
      <c r="N1" s="2">
        <v>46186.0</v>
      </c>
      <c r="O1" s="6">
        <v>46187.0</v>
      </c>
      <c r="P1" s="2">
        <v>46188.0</v>
      </c>
      <c r="Q1" s="2">
        <v>46189.0</v>
      </c>
      <c r="R1" s="2">
        <v>46190.0</v>
      </c>
      <c r="S1" s="2">
        <v>46191.0</v>
      </c>
      <c r="T1" s="2">
        <v>46192.0</v>
      </c>
      <c r="U1" s="2">
        <v>46193.0</v>
      </c>
      <c r="V1" s="6">
        <v>46194.0</v>
      </c>
      <c r="W1" s="4">
        <v>46195.0</v>
      </c>
      <c r="X1" s="2">
        <v>46196.0</v>
      </c>
      <c r="Y1" s="3">
        <v>46197.0</v>
      </c>
      <c r="Z1" s="2">
        <v>46198.0</v>
      </c>
      <c r="AA1" s="2">
        <v>46199.0</v>
      </c>
      <c r="AB1" s="19">
        <v>46200.0</v>
      </c>
      <c r="AC1" s="6">
        <v>46201.0</v>
      </c>
      <c r="AD1" s="2">
        <v>46202.0</v>
      </c>
      <c r="AE1" s="2">
        <v>46203.0</v>
      </c>
      <c r="AF1" s="14" t="s">
        <v>0</v>
      </c>
      <c r="AG1" s="15" t="s">
        <v>1</v>
      </c>
      <c r="AH1" s="15" t="s">
        <v>2</v>
      </c>
      <c r="AI1" s="17"/>
      <c r="AJ1" s="20" t="s">
        <v>3</v>
      </c>
      <c r="AK1" s="22"/>
    </row>
    <row r="2">
      <c r="A2" s="24" t="s">
        <v>4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8"/>
      <c r="AI2" s="17"/>
      <c r="AJ2" s="29"/>
      <c r="AK2" s="31" t="s">
        <v>5</v>
      </c>
    </row>
    <row r="3">
      <c r="A3" s="33" t="s">
        <v>6</v>
      </c>
      <c r="B3" s="595">
        <v>30.0</v>
      </c>
      <c r="C3" s="59">
        <v>11.0</v>
      </c>
      <c r="D3" s="59">
        <v>30.0</v>
      </c>
      <c r="E3" s="493">
        <v>14.0</v>
      </c>
      <c r="F3" s="59">
        <v>66.0</v>
      </c>
      <c r="G3" s="59">
        <v>27.0</v>
      </c>
      <c r="H3" s="510"/>
      <c r="I3" s="493">
        <v>33.0</v>
      </c>
      <c r="J3" s="59">
        <v>4.0</v>
      </c>
      <c r="K3" s="493">
        <v>16.0</v>
      </c>
      <c r="L3" s="493">
        <v>30.0</v>
      </c>
      <c r="M3" s="527"/>
      <c r="N3" s="59">
        <v>44.0</v>
      </c>
      <c r="O3" s="510"/>
      <c r="P3" s="59">
        <v>14.0</v>
      </c>
      <c r="Q3" s="59">
        <v>21.0</v>
      </c>
      <c r="R3" s="59">
        <v>2.0</v>
      </c>
      <c r="S3" s="59">
        <v>1.0</v>
      </c>
      <c r="T3" s="59">
        <v>8.0</v>
      </c>
      <c r="U3" s="59"/>
      <c r="V3" s="510"/>
      <c r="W3" s="530"/>
      <c r="X3" s="59"/>
      <c r="Y3" s="611"/>
      <c r="Z3" s="59">
        <v>57.0</v>
      </c>
      <c r="AA3" s="59">
        <v>12.0</v>
      </c>
      <c r="AB3" s="69"/>
      <c r="AC3" s="192"/>
      <c r="AD3" s="59">
        <v>1.0</v>
      </c>
      <c r="AE3" s="59">
        <v>3.0</v>
      </c>
      <c r="AF3" s="62">
        <f t="shared" ref="AF3:AF48" si="1">SUM(B3:AE3)</f>
        <v>424</v>
      </c>
      <c r="AG3" s="65">
        <v>50.0</v>
      </c>
      <c r="AH3" s="68">
        <f t="shared" ref="AH3:AH48" si="2">AF3*AG3</f>
        <v>21200</v>
      </c>
      <c r="AI3" s="17"/>
      <c r="AJ3" s="494"/>
      <c r="AK3" s="532" t="s">
        <v>391</v>
      </c>
    </row>
    <row r="4">
      <c r="A4" s="33" t="s">
        <v>10</v>
      </c>
      <c r="B4" s="604"/>
      <c r="C4" s="46"/>
      <c r="D4" s="54"/>
      <c r="E4" s="59"/>
      <c r="F4" s="54"/>
      <c r="G4" s="59"/>
      <c r="H4" s="192"/>
      <c r="I4" s="59">
        <v>1.0</v>
      </c>
      <c r="J4" s="54"/>
      <c r="K4" s="46"/>
      <c r="L4" s="46"/>
      <c r="M4" s="534"/>
      <c r="N4" s="59"/>
      <c r="O4" s="515"/>
      <c r="P4" s="59"/>
      <c r="Q4" s="46"/>
      <c r="R4" s="46"/>
      <c r="S4" s="59"/>
      <c r="T4" s="59"/>
      <c r="U4" s="46"/>
      <c r="V4" s="515"/>
      <c r="W4" s="191"/>
      <c r="X4" s="46"/>
      <c r="Y4" s="508"/>
      <c r="Z4" s="46"/>
      <c r="AA4" s="46"/>
      <c r="AB4" s="69"/>
      <c r="AC4" s="192"/>
      <c r="AD4" s="46"/>
      <c r="AE4" s="46"/>
      <c r="AF4" s="62">
        <f t="shared" si="1"/>
        <v>1</v>
      </c>
      <c r="AG4" s="80">
        <v>18.0</v>
      </c>
      <c r="AH4" s="68">
        <f t="shared" si="2"/>
        <v>18</v>
      </c>
      <c r="AI4" s="17"/>
      <c r="AJ4" s="81"/>
      <c r="AK4" s="81"/>
    </row>
    <row r="5">
      <c r="A5" s="33" t="s">
        <v>13</v>
      </c>
      <c r="B5" s="595">
        <v>4.0</v>
      </c>
      <c r="C5" s="595">
        <v>8.0</v>
      </c>
      <c r="D5" s="59">
        <v>16.0</v>
      </c>
      <c r="E5" s="59">
        <v>11.0</v>
      </c>
      <c r="F5" s="59">
        <v>9.0</v>
      </c>
      <c r="G5" s="59">
        <v>11.0</v>
      </c>
      <c r="H5" s="192"/>
      <c r="I5" s="493">
        <v>20.0</v>
      </c>
      <c r="J5" s="493">
        <v>7.0</v>
      </c>
      <c r="K5" s="493">
        <v>3.0</v>
      </c>
      <c r="L5" s="493">
        <v>4.0</v>
      </c>
      <c r="M5" s="527"/>
      <c r="N5" s="493">
        <v>13.0</v>
      </c>
      <c r="O5" s="510"/>
      <c r="P5" s="59">
        <v>5.0</v>
      </c>
      <c r="Q5" s="493">
        <v>4.0</v>
      </c>
      <c r="R5" s="59">
        <v>4.0</v>
      </c>
      <c r="S5" s="59">
        <v>6.0</v>
      </c>
      <c r="T5" s="59">
        <v>15.0</v>
      </c>
      <c r="U5" s="59">
        <v>1.0</v>
      </c>
      <c r="V5" s="510"/>
      <c r="W5" s="191"/>
      <c r="X5" s="59">
        <v>21.0</v>
      </c>
      <c r="Y5" s="611"/>
      <c r="Z5" s="59">
        <v>1.0</v>
      </c>
      <c r="AA5" s="59">
        <v>1.0</v>
      </c>
      <c r="AB5" s="69"/>
      <c r="AC5" s="192"/>
      <c r="AD5" s="59">
        <v>12.0</v>
      </c>
      <c r="AE5" s="59">
        <v>14.0</v>
      </c>
      <c r="AF5" s="62">
        <f t="shared" si="1"/>
        <v>190</v>
      </c>
      <c r="AG5" s="80">
        <v>200.0</v>
      </c>
      <c r="AH5" s="68">
        <f t="shared" si="2"/>
        <v>38000</v>
      </c>
      <c r="AI5" s="17"/>
      <c r="AJ5" s="91"/>
      <c r="AK5" s="91"/>
    </row>
    <row r="6" ht="18.75" customHeight="1">
      <c r="A6" s="33" t="s">
        <v>16</v>
      </c>
      <c r="B6" s="595"/>
      <c r="C6" s="59"/>
      <c r="D6" s="54"/>
      <c r="E6" s="46"/>
      <c r="F6" s="54"/>
      <c r="G6" s="59"/>
      <c r="H6" s="192"/>
      <c r="I6" s="46"/>
      <c r="J6" s="59"/>
      <c r="K6" s="46"/>
      <c r="L6" s="59"/>
      <c r="M6" s="534"/>
      <c r="N6" s="54"/>
      <c r="O6" s="492"/>
      <c r="P6" s="49"/>
      <c r="Q6" s="46"/>
      <c r="R6" s="59"/>
      <c r="S6" s="59"/>
      <c r="T6" s="59">
        <v>1.0</v>
      </c>
      <c r="U6" s="59">
        <v>1.0</v>
      </c>
      <c r="V6" s="192"/>
      <c r="W6" s="191"/>
      <c r="X6" s="59">
        <v>2.0</v>
      </c>
      <c r="Y6" s="611"/>
      <c r="Z6" s="46"/>
      <c r="AA6" s="59">
        <v>1.0</v>
      </c>
      <c r="AB6" s="69"/>
      <c r="AC6" s="192"/>
      <c r="AD6" s="46"/>
      <c r="AE6" s="46"/>
      <c r="AF6" s="62">
        <f t="shared" si="1"/>
        <v>5</v>
      </c>
      <c r="AG6" s="80">
        <v>850.0</v>
      </c>
      <c r="AH6" s="68">
        <f t="shared" si="2"/>
        <v>4250</v>
      </c>
      <c r="AI6" s="17"/>
      <c r="AJ6" s="536"/>
      <c r="AK6" s="537" t="s">
        <v>392</v>
      </c>
    </row>
    <row r="7">
      <c r="A7" s="33" t="s">
        <v>393</v>
      </c>
      <c r="B7" s="595">
        <v>33.0</v>
      </c>
      <c r="C7" s="595">
        <v>3.0</v>
      </c>
      <c r="D7" s="59">
        <v>14.0</v>
      </c>
      <c r="E7" s="493">
        <v>7.0</v>
      </c>
      <c r="F7" s="59">
        <v>9.0</v>
      </c>
      <c r="G7" s="493">
        <v>11.0</v>
      </c>
      <c r="H7" s="510"/>
      <c r="I7" s="493">
        <v>29.0</v>
      </c>
      <c r="J7" s="786">
        <v>16.0</v>
      </c>
      <c r="K7" s="493">
        <v>9.0</v>
      </c>
      <c r="L7" s="59">
        <v>14.0</v>
      </c>
      <c r="M7" s="527"/>
      <c r="N7" s="59">
        <v>7.0</v>
      </c>
      <c r="O7" s="515"/>
      <c r="P7" s="59">
        <v>20.0</v>
      </c>
      <c r="Q7" s="59">
        <v>21.0</v>
      </c>
      <c r="R7" s="59">
        <v>28.0</v>
      </c>
      <c r="S7" s="59">
        <v>22.0</v>
      </c>
      <c r="T7" s="59">
        <v>26.0</v>
      </c>
      <c r="U7" s="59">
        <v>2.0</v>
      </c>
      <c r="V7" s="510"/>
      <c r="W7" s="530"/>
      <c r="X7" s="59">
        <v>24.0</v>
      </c>
      <c r="Y7" s="611"/>
      <c r="Z7" s="59">
        <v>50.0</v>
      </c>
      <c r="AA7" s="59">
        <v>29.0</v>
      </c>
      <c r="AB7" s="69"/>
      <c r="AC7" s="192"/>
      <c r="AD7" s="59">
        <v>19.0</v>
      </c>
      <c r="AE7" s="59">
        <v>20.0</v>
      </c>
      <c r="AF7" s="62">
        <f t="shared" si="1"/>
        <v>413</v>
      </c>
      <c r="AG7" s="80">
        <v>180.0</v>
      </c>
      <c r="AH7" s="68">
        <f t="shared" si="2"/>
        <v>74340</v>
      </c>
      <c r="AI7" s="17"/>
      <c r="AJ7" s="787"/>
      <c r="AK7" s="537" t="s">
        <v>394</v>
      </c>
    </row>
    <row r="8" ht="18.0" customHeight="1">
      <c r="A8" s="33" t="s">
        <v>23</v>
      </c>
      <c r="B8" s="595">
        <v>2.0</v>
      </c>
      <c r="C8" s="59">
        <v>1.0</v>
      </c>
      <c r="D8" s="54"/>
      <c r="E8" s="493">
        <v>2.0</v>
      </c>
      <c r="F8" s="59">
        <v>1.0</v>
      </c>
      <c r="G8" s="493"/>
      <c r="H8" s="515"/>
      <c r="I8" s="59">
        <v>1.0</v>
      </c>
      <c r="J8" s="59">
        <v>2.0</v>
      </c>
      <c r="K8" s="493"/>
      <c r="L8" s="59">
        <v>1.0</v>
      </c>
      <c r="M8" s="534"/>
      <c r="N8" s="493">
        <v>1.0</v>
      </c>
      <c r="O8" s="515"/>
      <c r="P8" s="49"/>
      <c r="Q8" s="493">
        <v>1.0</v>
      </c>
      <c r="R8" s="59"/>
      <c r="S8" s="59">
        <v>2.0</v>
      </c>
      <c r="T8" s="59">
        <v>1.0</v>
      </c>
      <c r="U8" s="59"/>
      <c r="V8" s="515"/>
      <c r="W8" s="191"/>
      <c r="X8" s="46"/>
      <c r="Y8" s="508"/>
      <c r="Z8" s="59">
        <v>1.0</v>
      </c>
      <c r="AA8" s="59">
        <v>2.0</v>
      </c>
      <c r="AB8" s="69"/>
      <c r="AC8" s="192"/>
      <c r="AD8" s="46"/>
      <c r="AE8" s="59">
        <v>2.0</v>
      </c>
      <c r="AF8" s="62">
        <f t="shared" si="1"/>
        <v>20</v>
      </c>
      <c r="AG8" s="80">
        <v>120.0</v>
      </c>
      <c r="AH8" s="68">
        <f t="shared" si="2"/>
        <v>2400</v>
      </c>
      <c r="AI8" s="17"/>
      <c r="AJ8" s="123"/>
      <c r="AK8" s="537" t="s">
        <v>395</v>
      </c>
    </row>
    <row r="9">
      <c r="A9" s="33" t="s">
        <v>27</v>
      </c>
      <c r="B9" s="595"/>
      <c r="C9" s="59">
        <v>1.0</v>
      </c>
      <c r="D9" s="54"/>
      <c r="E9" s="59">
        <v>3.0</v>
      </c>
      <c r="F9" s="59"/>
      <c r="G9" s="493">
        <v>2.0</v>
      </c>
      <c r="H9" s="510"/>
      <c r="I9" s="493">
        <v>1.0</v>
      </c>
      <c r="J9" s="59">
        <v>1.0</v>
      </c>
      <c r="K9" s="493"/>
      <c r="L9" s="59">
        <v>1.0</v>
      </c>
      <c r="M9" s="534"/>
      <c r="N9" s="493"/>
      <c r="O9" s="192"/>
      <c r="P9" s="59">
        <v>1.0</v>
      </c>
      <c r="Q9" s="59"/>
      <c r="R9" s="46"/>
      <c r="S9" s="46"/>
      <c r="T9" s="46"/>
      <c r="U9" s="46"/>
      <c r="V9" s="492"/>
      <c r="W9" s="191"/>
      <c r="X9" s="59">
        <v>1.0</v>
      </c>
      <c r="Y9" s="611"/>
      <c r="Z9" s="59">
        <v>1.0</v>
      </c>
      <c r="AA9" s="46"/>
      <c r="AB9" s="69"/>
      <c r="AC9" s="192"/>
      <c r="AD9" s="46"/>
      <c r="AE9" s="46"/>
      <c r="AF9" s="62">
        <f t="shared" si="1"/>
        <v>12</v>
      </c>
      <c r="AG9" s="80">
        <v>160.0</v>
      </c>
      <c r="AH9" s="68">
        <f t="shared" si="2"/>
        <v>1920</v>
      </c>
      <c r="AI9" s="17"/>
      <c r="AJ9" s="788"/>
      <c r="AK9" s="789"/>
    </row>
    <row r="10">
      <c r="A10" s="33" t="s">
        <v>32</v>
      </c>
      <c r="B10" s="595">
        <v>4.0</v>
      </c>
      <c r="C10" s="42"/>
      <c r="D10" s="59">
        <v>2.0</v>
      </c>
      <c r="E10" s="59">
        <v>2.0</v>
      </c>
      <c r="F10" s="59">
        <v>9.0</v>
      </c>
      <c r="G10" s="59">
        <v>1.0</v>
      </c>
      <c r="H10" s="515"/>
      <c r="I10" s="493">
        <v>2.0</v>
      </c>
      <c r="J10" s="493">
        <v>2.0</v>
      </c>
      <c r="K10" s="493">
        <v>3.0</v>
      </c>
      <c r="L10" s="493">
        <v>17.0</v>
      </c>
      <c r="M10" s="527"/>
      <c r="N10" s="493">
        <v>3.0</v>
      </c>
      <c r="O10" s="510"/>
      <c r="P10" s="493">
        <v>4.0</v>
      </c>
      <c r="Q10" s="493"/>
      <c r="R10" s="59"/>
      <c r="S10" s="59">
        <v>62.0</v>
      </c>
      <c r="T10" s="59">
        <v>4.0</v>
      </c>
      <c r="U10" s="59">
        <v>6.0</v>
      </c>
      <c r="V10" s="510"/>
      <c r="W10" s="530"/>
      <c r="X10" s="59">
        <v>2.0</v>
      </c>
      <c r="Y10" s="611"/>
      <c r="Z10" s="59">
        <v>5.0</v>
      </c>
      <c r="AA10" s="59">
        <v>7.0</v>
      </c>
      <c r="AB10" s="69"/>
      <c r="AC10" s="192"/>
      <c r="AD10" s="59">
        <v>1.0</v>
      </c>
      <c r="AE10" s="46"/>
      <c r="AF10" s="62">
        <f t="shared" si="1"/>
        <v>136</v>
      </c>
      <c r="AG10" s="80">
        <v>350.0</v>
      </c>
      <c r="AH10" s="68">
        <f t="shared" si="2"/>
        <v>47600</v>
      </c>
      <c r="AI10" s="17"/>
      <c r="AJ10" s="117" t="s">
        <v>35</v>
      </c>
      <c r="AK10" s="22"/>
    </row>
    <row r="11">
      <c r="A11" s="33" t="s">
        <v>34</v>
      </c>
      <c r="B11" s="618"/>
      <c r="C11" s="46"/>
      <c r="D11" s="54"/>
      <c r="E11" s="46"/>
      <c r="F11" s="54"/>
      <c r="G11" s="54"/>
      <c r="H11" s="192"/>
      <c r="I11" s="46"/>
      <c r="J11" s="54"/>
      <c r="K11" s="49"/>
      <c r="L11" s="49"/>
      <c r="M11" s="534"/>
      <c r="N11" s="54"/>
      <c r="O11" s="192"/>
      <c r="P11" s="46"/>
      <c r="Q11" s="46"/>
      <c r="R11" s="46"/>
      <c r="S11" s="46"/>
      <c r="T11" s="46"/>
      <c r="U11" s="46"/>
      <c r="V11" s="192"/>
      <c r="W11" s="191"/>
      <c r="X11" s="46"/>
      <c r="Y11" s="508"/>
      <c r="Z11" s="46"/>
      <c r="AA11" s="46"/>
      <c r="AB11" s="69"/>
      <c r="AC11" s="192"/>
      <c r="AD11" s="46"/>
      <c r="AE11" s="46"/>
      <c r="AF11" s="62">
        <f t="shared" si="1"/>
        <v>0</v>
      </c>
      <c r="AG11" s="80">
        <v>350.0</v>
      </c>
      <c r="AH11" s="68">
        <f t="shared" si="2"/>
        <v>0</v>
      </c>
      <c r="AI11" s="17"/>
      <c r="AJ11" s="120" t="s">
        <v>396</v>
      </c>
      <c r="AK11" s="22"/>
    </row>
    <row r="12">
      <c r="A12" s="33" t="s">
        <v>36</v>
      </c>
      <c r="B12" s="604">
        <v>3.0</v>
      </c>
      <c r="C12" s="46"/>
      <c r="D12" s="54"/>
      <c r="E12" s="59">
        <v>1.0</v>
      </c>
      <c r="F12" s="59">
        <v>6.0</v>
      </c>
      <c r="G12" s="59">
        <v>3.0</v>
      </c>
      <c r="H12" s="192"/>
      <c r="I12" s="59">
        <v>4.0</v>
      </c>
      <c r="J12" s="59"/>
      <c r="K12" s="59">
        <v>1.0</v>
      </c>
      <c r="L12" s="493"/>
      <c r="M12" s="527"/>
      <c r="N12" s="59">
        <v>6.0</v>
      </c>
      <c r="O12" s="515"/>
      <c r="P12" s="49"/>
      <c r="Q12" s="59">
        <v>1.0</v>
      </c>
      <c r="R12" s="59"/>
      <c r="S12" s="59"/>
      <c r="T12" s="59">
        <v>1.0</v>
      </c>
      <c r="U12" s="46"/>
      <c r="V12" s="192"/>
      <c r="W12" s="191"/>
      <c r="X12" s="59">
        <v>1.0</v>
      </c>
      <c r="Y12" s="611"/>
      <c r="Z12" s="46"/>
      <c r="AA12" s="59">
        <v>1.0</v>
      </c>
      <c r="AB12" s="69"/>
      <c r="AC12" s="192"/>
      <c r="AD12" s="46"/>
      <c r="AE12" s="46"/>
      <c r="AF12" s="62">
        <f t="shared" si="1"/>
        <v>28</v>
      </c>
      <c r="AG12" s="80">
        <v>1200.0</v>
      </c>
      <c r="AH12" s="68">
        <f t="shared" si="2"/>
        <v>33600</v>
      </c>
      <c r="AI12" s="17"/>
      <c r="AJ12" s="124"/>
    </row>
    <row r="13">
      <c r="A13" s="33" t="s">
        <v>39</v>
      </c>
      <c r="B13" s="618"/>
      <c r="C13" s="59">
        <v>3.0</v>
      </c>
      <c r="D13" s="59">
        <v>2.0</v>
      </c>
      <c r="E13" s="59">
        <v>1.0</v>
      </c>
      <c r="F13" s="59">
        <v>4.0</v>
      </c>
      <c r="G13" s="59">
        <v>10.0</v>
      </c>
      <c r="H13" s="192"/>
      <c r="I13" s="59">
        <v>3.0</v>
      </c>
      <c r="J13" s="54"/>
      <c r="K13" s="49"/>
      <c r="L13" s="59">
        <v>1.0</v>
      </c>
      <c r="M13" s="534"/>
      <c r="N13" s="59">
        <v>2.0</v>
      </c>
      <c r="O13" s="192"/>
      <c r="P13" s="59"/>
      <c r="Q13" s="46"/>
      <c r="R13" s="46"/>
      <c r="S13" s="59"/>
      <c r="T13" s="59"/>
      <c r="U13" s="46"/>
      <c r="V13" s="192"/>
      <c r="W13" s="191"/>
      <c r="X13" s="59">
        <v>3.0</v>
      </c>
      <c r="Y13" s="611"/>
      <c r="Z13" s="46"/>
      <c r="AA13" s="46"/>
      <c r="AB13" s="69"/>
      <c r="AC13" s="192"/>
      <c r="AD13" s="59">
        <v>1.0</v>
      </c>
      <c r="AE13" s="46"/>
      <c r="AF13" s="62">
        <f t="shared" si="1"/>
        <v>30</v>
      </c>
      <c r="AG13" s="80">
        <v>490.0</v>
      </c>
      <c r="AH13" s="68">
        <f t="shared" si="2"/>
        <v>14700</v>
      </c>
      <c r="AI13" s="17"/>
      <c r="AJ13" s="113"/>
      <c r="AK13" s="113"/>
    </row>
    <row r="14">
      <c r="A14" s="33" t="s">
        <v>44</v>
      </c>
      <c r="B14" s="604">
        <v>4.0</v>
      </c>
      <c r="C14" s="59">
        <v>1.0</v>
      </c>
      <c r="D14" s="59">
        <v>1.0</v>
      </c>
      <c r="E14" s="46"/>
      <c r="F14" s="59">
        <v>3.0</v>
      </c>
      <c r="G14" s="493">
        <v>4.0</v>
      </c>
      <c r="H14" s="510"/>
      <c r="I14" s="493">
        <v>1.0</v>
      </c>
      <c r="J14" s="59">
        <v>1.0</v>
      </c>
      <c r="K14" s="59"/>
      <c r="L14" s="59">
        <v>1.0</v>
      </c>
      <c r="M14" s="527"/>
      <c r="N14" s="54"/>
      <c r="O14" s="510"/>
      <c r="P14" s="493">
        <v>5.0</v>
      </c>
      <c r="Q14" s="59">
        <v>3.0</v>
      </c>
      <c r="R14" s="59">
        <v>4.0</v>
      </c>
      <c r="S14" s="59">
        <v>3.0</v>
      </c>
      <c r="T14" s="59"/>
      <c r="U14" s="46"/>
      <c r="V14" s="510"/>
      <c r="W14" s="530"/>
      <c r="X14" s="59">
        <v>2.0</v>
      </c>
      <c r="Y14" s="611"/>
      <c r="Z14" s="59">
        <v>1.0</v>
      </c>
      <c r="AA14" s="59">
        <v>8.0</v>
      </c>
      <c r="AB14" s="69"/>
      <c r="AC14" s="192"/>
      <c r="AD14" s="59">
        <v>1.0</v>
      </c>
      <c r="AE14" s="46"/>
      <c r="AF14" s="62">
        <f t="shared" si="1"/>
        <v>43</v>
      </c>
      <c r="AG14" s="80">
        <v>130.0</v>
      </c>
      <c r="AH14" s="68">
        <f t="shared" si="2"/>
        <v>5590</v>
      </c>
      <c r="AI14" s="17"/>
      <c r="AJ14" s="132"/>
      <c r="AK14" s="132"/>
    </row>
    <row r="15">
      <c r="A15" s="33" t="s">
        <v>47</v>
      </c>
      <c r="B15" s="618"/>
      <c r="C15" s="59"/>
      <c r="D15" s="54"/>
      <c r="E15" s="46"/>
      <c r="F15" s="54"/>
      <c r="G15" s="54"/>
      <c r="H15" s="492"/>
      <c r="I15" s="49"/>
      <c r="J15" s="59"/>
      <c r="K15" s="49"/>
      <c r="L15" s="49"/>
      <c r="M15" s="534"/>
      <c r="N15" s="54"/>
      <c r="O15" s="192"/>
      <c r="P15" s="46"/>
      <c r="Q15" s="46"/>
      <c r="R15" s="46"/>
      <c r="S15" s="46"/>
      <c r="T15" s="46"/>
      <c r="U15" s="46"/>
      <c r="V15" s="192"/>
      <c r="W15" s="191"/>
      <c r="X15" s="46"/>
      <c r="Y15" s="508"/>
      <c r="Z15" s="46"/>
      <c r="AA15" s="46"/>
      <c r="AB15" s="69"/>
      <c r="AC15" s="192"/>
      <c r="AD15" s="46"/>
      <c r="AE15" s="46"/>
      <c r="AF15" s="62">
        <f t="shared" si="1"/>
        <v>0</v>
      </c>
      <c r="AG15" s="80">
        <v>60.0</v>
      </c>
      <c r="AH15" s="68">
        <f t="shared" si="2"/>
        <v>0</v>
      </c>
      <c r="AI15" s="17"/>
      <c r="AJ15" s="132"/>
      <c r="AK15" s="132"/>
    </row>
    <row r="16">
      <c r="A16" s="33" t="s">
        <v>50</v>
      </c>
      <c r="B16" s="604"/>
      <c r="C16" s="59"/>
      <c r="D16" s="54"/>
      <c r="E16" s="46"/>
      <c r="F16" s="59">
        <v>3.0</v>
      </c>
      <c r="G16" s="54"/>
      <c r="H16" s="515"/>
      <c r="I16" s="59"/>
      <c r="J16" s="59"/>
      <c r="K16" s="46"/>
      <c r="L16" s="49"/>
      <c r="M16" s="534"/>
      <c r="N16" s="59"/>
      <c r="O16" s="192"/>
      <c r="P16" s="59">
        <v>1.0</v>
      </c>
      <c r="Q16" s="59">
        <v>1.0</v>
      </c>
      <c r="R16" s="59">
        <v>1.0</v>
      </c>
      <c r="S16" s="46"/>
      <c r="T16" s="46"/>
      <c r="U16" s="46"/>
      <c r="V16" s="192"/>
      <c r="W16" s="191"/>
      <c r="X16" s="46"/>
      <c r="Y16" s="611"/>
      <c r="Z16" s="59">
        <v>2.0</v>
      </c>
      <c r="AA16" s="59">
        <v>4.0</v>
      </c>
      <c r="AB16" s="69"/>
      <c r="AC16" s="192"/>
      <c r="AD16" s="46"/>
      <c r="AE16" s="46"/>
      <c r="AF16" s="62">
        <f t="shared" si="1"/>
        <v>12</v>
      </c>
      <c r="AG16" s="80">
        <v>75.0</v>
      </c>
      <c r="AH16" s="68">
        <f t="shared" si="2"/>
        <v>900</v>
      </c>
      <c r="AI16" s="17"/>
      <c r="AJ16" s="132"/>
      <c r="AK16" s="132"/>
    </row>
    <row r="17">
      <c r="A17" s="33" t="s">
        <v>61</v>
      </c>
      <c r="B17" s="604">
        <v>16.0</v>
      </c>
      <c r="C17" s="59">
        <v>2.0</v>
      </c>
      <c r="D17" s="59">
        <v>6.0</v>
      </c>
      <c r="E17" s="59">
        <v>6.0</v>
      </c>
      <c r="F17" s="59">
        <v>18.0</v>
      </c>
      <c r="G17" s="493">
        <v>3.0</v>
      </c>
      <c r="H17" s="515"/>
      <c r="I17" s="493">
        <v>5.0</v>
      </c>
      <c r="J17" s="493">
        <v>2.0</v>
      </c>
      <c r="K17" s="493">
        <v>1.0</v>
      </c>
      <c r="L17" s="493">
        <v>2.0</v>
      </c>
      <c r="M17" s="527"/>
      <c r="N17" s="493">
        <v>12.0</v>
      </c>
      <c r="O17" s="510"/>
      <c r="P17" s="493">
        <v>8.0</v>
      </c>
      <c r="Q17" s="493"/>
      <c r="R17" s="59"/>
      <c r="S17" s="59">
        <v>1.0</v>
      </c>
      <c r="T17" s="59">
        <v>8.0</v>
      </c>
      <c r="U17" s="59">
        <v>2.0</v>
      </c>
      <c r="V17" s="510"/>
      <c r="W17" s="530"/>
      <c r="X17" s="59">
        <v>6.0</v>
      </c>
      <c r="Y17" s="611"/>
      <c r="Z17" s="59">
        <v>2.0</v>
      </c>
      <c r="AA17" s="59">
        <v>6.0</v>
      </c>
      <c r="AB17" s="69"/>
      <c r="AC17" s="192"/>
      <c r="AD17" s="59">
        <v>4.0</v>
      </c>
      <c r="AE17" s="59">
        <v>2.0</v>
      </c>
      <c r="AF17" s="62">
        <f t="shared" si="1"/>
        <v>112</v>
      </c>
      <c r="AG17" s="80">
        <v>350.0</v>
      </c>
      <c r="AH17" s="68">
        <f t="shared" si="2"/>
        <v>39200</v>
      </c>
      <c r="AI17" s="17"/>
      <c r="AJ17" s="132"/>
      <c r="AK17" s="132"/>
    </row>
    <row r="18">
      <c r="A18" s="33" t="s">
        <v>55</v>
      </c>
      <c r="B18" s="604">
        <v>3.0</v>
      </c>
      <c r="C18" s="46"/>
      <c r="D18" s="59"/>
      <c r="E18" s="46"/>
      <c r="F18" s="59"/>
      <c r="G18" s="59"/>
      <c r="H18" s="192"/>
      <c r="I18" s="46"/>
      <c r="J18" s="59"/>
      <c r="K18" s="59"/>
      <c r="L18" s="59"/>
      <c r="M18" s="527"/>
      <c r="N18" s="59">
        <v>1.0</v>
      </c>
      <c r="O18" s="515"/>
      <c r="P18" s="59">
        <v>1.0</v>
      </c>
      <c r="Q18" s="493"/>
      <c r="R18" s="59"/>
      <c r="S18" s="59"/>
      <c r="T18" s="59">
        <v>1.0</v>
      </c>
      <c r="U18" s="59"/>
      <c r="V18" s="492"/>
      <c r="W18" s="530"/>
      <c r="X18" s="46"/>
      <c r="Y18" s="508"/>
      <c r="Z18" s="46"/>
      <c r="AA18" s="46"/>
      <c r="AB18" s="69"/>
      <c r="AC18" s="192"/>
      <c r="AD18" s="46"/>
      <c r="AE18" s="46"/>
      <c r="AF18" s="62">
        <f t="shared" si="1"/>
        <v>6</v>
      </c>
      <c r="AG18" s="80">
        <v>250.0</v>
      </c>
      <c r="AH18" s="68">
        <f t="shared" si="2"/>
        <v>1500</v>
      </c>
      <c r="AI18" s="17"/>
      <c r="AJ18" s="132"/>
      <c r="AK18" s="132"/>
    </row>
    <row r="19">
      <c r="A19" s="33" t="s">
        <v>397</v>
      </c>
      <c r="B19" s="604">
        <v>13.0</v>
      </c>
      <c r="C19" s="595">
        <v>4.0</v>
      </c>
      <c r="D19" s="59">
        <v>7.0</v>
      </c>
      <c r="E19" s="46"/>
      <c r="F19" s="59">
        <v>9.0</v>
      </c>
      <c r="G19" s="493">
        <v>11.0</v>
      </c>
      <c r="H19" s="510"/>
      <c r="I19" s="59">
        <v>13.0</v>
      </c>
      <c r="J19" s="493"/>
      <c r="K19" s="493">
        <v>12.0</v>
      </c>
      <c r="L19" s="59">
        <v>9.0</v>
      </c>
      <c r="M19" s="527"/>
      <c r="N19" s="493">
        <v>20.0</v>
      </c>
      <c r="O19" s="515"/>
      <c r="P19" s="493">
        <v>10.0</v>
      </c>
      <c r="Q19" s="59"/>
      <c r="R19" s="59">
        <v>1.0</v>
      </c>
      <c r="S19" s="59">
        <v>5.0</v>
      </c>
      <c r="T19" s="59">
        <v>2.0</v>
      </c>
      <c r="U19" s="59"/>
      <c r="V19" s="515"/>
      <c r="W19" s="191"/>
      <c r="X19" s="59">
        <v>8.0</v>
      </c>
      <c r="Y19" s="611"/>
      <c r="Z19" s="59">
        <v>1.0</v>
      </c>
      <c r="AA19" s="59">
        <v>2.0</v>
      </c>
      <c r="AB19" s="69"/>
      <c r="AC19" s="192"/>
      <c r="AD19" s="59">
        <v>2.0</v>
      </c>
      <c r="AE19" s="46"/>
      <c r="AF19" s="62">
        <f t="shared" si="1"/>
        <v>129</v>
      </c>
      <c r="AG19" s="80">
        <v>750.0</v>
      </c>
      <c r="AH19" s="68">
        <f t="shared" si="2"/>
        <v>96750</v>
      </c>
      <c r="AI19" s="17"/>
      <c r="AJ19" s="132"/>
      <c r="AK19" s="132"/>
    </row>
    <row r="20">
      <c r="A20" s="33" t="s">
        <v>398</v>
      </c>
      <c r="B20" s="604"/>
      <c r="C20" s="595"/>
      <c r="D20" s="59"/>
      <c r="E20" s="46"/>
      <c r="F20" s="59"/>
      <c r="G20" s="493"/>
      <c r="H20" s="510"/>
      <c r="I20" s="59"/>
      <c r="J20" s="493"/>
      <c r="K20" s="493"/>
      <c r="L20" s="59"/>
      <c r="M20" s="527"/>
      <c r="N20" s="493"/>
      <c r="O20" s="515"/>
      <c r="P20" s="493"/>
      <c r="Q20" s="59"/>
      <c r="R20" s="59"/>
      <c r="S20" s="59"/>
      <c r="T20" s="59"/>
      <c r="U20" s="59"/>
      <c r="V20" s="515"/>
      <c r="W20" s="191"/>
      <c r="X20" s="59"/>
      <c r="Y20" s="611"/>
      <c r="Z20" s="46"/>
      <c r="AA20" s="46"/>
      <c r="AB20" s="69"/>
      <c r="AC20" s="192"/>
      <c r="AD20" s="59">
        <v>3.0</v>
      </c>
      <c r="AE20" s="59">
        <v>7.0</v>
      </c>
      <c r="AF20" s="62">
        <f t="shared" si="1"/>
        <v>10</v>
      </c>
      <c r="AG20" s="80">
        <v>399.0</v>
      </c>
      <c r="AH20" s="68">
        <f t="shared" si="2"/>
        <v>3990</v>
      </c>
      <c r="AI20" s="17"/>
      <c r="AJ20" s="132"/>
      <c r="AK20" s="132"/>
    </row>
    <row r="21">
      <c r="A21" s="33" t="s">
        <v>399</v>
      </c>
      <c r="B21" s="595">
        <v>17.0</v>
      </c>
      <c r="C21" s="59">
        <v>10.0</v>
      </c>
      <c r="D21" s="59">
        <v>22.0</v>
      </c>
      <c r="E21" s="59">
        <v>13.0</v>
      </c>
      <c r="F21" s="59">
        <v>28.0</v>
      </c>
      <c r="G21" s="493">
        <v>15.0</v>
      </c>
      <c r="H21" s="192"/>
      <c r="I21" s="493">
        <v>18.0</v>
      </c>
      <c r="J21" s="59">
        <v>1.0</v>
      </c>
      <c r="K21" s="59">
        <v>35.0</v>
      </c>
      <c r="L21" s="59">
        <v>26.0</v>
      </c>
      <c r="M21" s="534"/>
      <c r="N21" s="59">
        <v>58.0</v>
      </c>
      <c r="O21" s="192"/>
      <c r="P21" s="59">
        <v>23.0</v>
      </c>
      <c r="Q21" s="59">
        <v>2.0</v>
      </c>
      <c r="R21" s="59">
        <v>1.0</v>
      </c>
      <c r="S21" s="59">
        <v>7.0</v>
      </c>
      <c r="T21" s="59">
        <v>8.0</v>
      </c>
      <c r="U21" s="46"/>
      <c r="V21" s="192"/>
      <c r="W21" s="191"/>
      <c r="X21" s="46"/>
      <c r="Y21" s="508"/>
      <c r="Z21" s="46"/>
      <c r="AA21" s="46"/>
      <c r="AB21" s="69"/>
      <c r="AC21" s="192"/>
      <c r="AD21" s="46"/>
      <c r="AE21" s="46"/>
      <c r="AF21" s="62">
        <f t="shared" si="1"/>
        <v>284</v>
      </c>
      <c r="AG21" s="80">
        <v>850.0</v>
      </c>
      <c r="AH21" s="68">
        <f t="shared" si="2"/>
        <v>241400</v>
      </c>
      <c r="AI21" s="17"/>
      <c r="AJ21" s="132"/>
      <c r="AK21" s="132"/>
    </row>
    <row r="22">
      <c r="A22" s="33" t="s">
        <v>398</v>
      </c>
      <c r="B22" s="595"/>
      <c r="C22" s="59"/>
      <c r="D22" s="59"/>
      <c r="E22" s="59"/>
      <c r="F22" s="59"/>
      <c r="G22" s="493"/>
      <c r="H22" s="192"/>
      <c r="I22" s="493"/>
      <c r="J22" s="59"/>
      <c r="K22" s="59"/>
      <c r="L22" s="59"/>
      <c r="M22" s="534"/>
      <c r="N22" s="59"/>
      <c r="O22" s="192"/>
      <c r="P22" s="59"/>
      <c r="Q22" s="59"/>
      <c r="R22" s="59"/>
      <c r="S22" s="59"/>
      <c r="T22" s="59"/>
      <c r="U22" s="46"/>
      <c r="V22" s="192"/>
      <c r="W22" s="191"/>
      <c r="X22" s="46"/>
      <c r="Y22" s="508"/>
      <c r="Z22" s="46"/>
      <c r="AA22" s="46"/>
      <c r="AB22" s="69"/>
      <c r="AC22" s="192"/>
      <c r="AD22" s="59">
        <v>3.0</v>
      </c>
      <c r="AE22" s="46"/>
      <c r="AF22" s="62">
        <f t="shared" si="1"/>
        <v>3</v>
      </c>
      <c r="AG22" s="80">
        <v>499.0</v>
      </c>
      <c r="AH22" s="68">
        <f t="shared" si="2"/>
        <v>1497</v>
      </c>
      <c r="AI22" s="17"/>
      <c r="AJ22" s="132"/>
      <c r="AK22" s="132"/>
    </row>
    <row r="23">
      <c r="A23" s="142" t="s">
        <v>63</v>
      </c>
      <c r="B23" s="595">
        <v>8.0</v>
      </c>
      <c r="C23" s="59"/>
      <c r="D23" s="59">
        <v>3.0</v>
      </c>
      <c r="E23" s="493"/>
      <c r="F23" s="59">
        <v>16.0</v>
      </c>
      <c r="G23" s="493">
        <v>6.0</v>
      </c>
      <c r="H23" s="510"/>
      <c r="I23" s="493">
        <v>6.0</v>
      </c>
      <c r="J23" s="493">
        <v>2.0</v>
      </c>
      <c r="K23" s="493">
        <v>1.0</v>
      </c>
      <c r="L23" s="493">
        <v>1.0</v>
      </c>
      <c r="M23" s="527"/>
      <c r="N23" s="493">
        <v>1.0</v>
      </c>
      <c r="O23" s="510"/>
      <c r="P23" s="493">
        <v>1.0</v>
      </c>
      <c r="Q23" s="493">
        <v>3.0</v>
      </c>
      <c r="R23" s="59">
        <v>2.0</v>
      </c>
      <c r="S23" s="59">
        <v>8.0</v>
      </c>
      <c r="T23" s="59">
        <v>4.0</v>
      </c>
      <c r="U23" s="59"/>
      <c r="V23" s="510"/>
      <c r="W23" s="191"/>
      <c r="X23" s="59">
        <v>9.0</v>
      </c>
      <c r="Y23" s="611"/>
      <c r="Z23" s="59">
        <v>14.0</v>
      </c>
      <c r="AA23" s="59">
        <v>37.0</v>
      </c>
      <c r="AB23" s="69"/>
      <c r="AC23" s="192"/>
      <c r="AD23" s="46"/>
      <c r="AE23" s="59">
        <v>4.0</v>
      </c>
      <c r="AF23" s="62">
        <f t="shared" si="1"/>
        <v>126</v>
      </c>
      <c r="AG23" s="80">
        <v>25.0</v>
      </c>
      <c r="AH23" s="68">
        <f t="shared" si="2"/>
        <v>3150</v>
      </c>
      <c r="AI23" s="17"/>
      <c r="AJ23" s="132"/>
      <c r="AK23" s="132"/>
    </row>
    <row r="24">
      <c r="A24" s="142" t="s">
        <v>66</v>
      </c>
      <c r="B24" s="604">
        <v>5.0</v>
      </c>
      <c r="C24" s="595"/>
      <c r="D24" s="59">
        <v>2.0</v>
      </c>
      <c r="E24" s="49"/>
      <c r="F24" s="59">
        <v>13.0</v>
      </c>
      <c r="G24" s="493">
        <v>3.0</v>
      </c>
      <c r="H24" s="510"/>
      <c r="I24" s="493">
        <v>4.0</v>
      </c>
      <c r="J24" s="493">
        <v>3.0</v>
      </c>
      <c r="K24" s="493">
        <v>2.0</v>
      </c>
      <c r="L24" s="493">
        <v>4.0</v>
      </c>
      <c r="M24" s="527"/>
      <c r="N24" s="493">
        <v>1.0</v>
      </c>
      <c r="O24" s="510"/>
      <c r="P24" s="493">
        <v>3.0</v>
      </c>
      <c r="Q24" s="493">
        <v>3.0</v>
      </c>
      <c r="R24" s="59">
        <v>6.0</v>
      </c>
      <c r="S24" s="59">
        <v>10.0</v>
      </c>
      <c r="T24" s="59">
        <v>2.0</v>
      </c>
      <c r="U24" s="59"/>
      <c r="V24" s="510"/>
      <c r="W24" s="191"/>
      <c r="X24" s="59">
        <v>5.0</v>
      </c>
      <c r="Y24" s="611"/>
      <c r="Z24" s="59">
        <v>10.0</v>
      </c>
      <c r="AA24" s="59">
        <v>12.0</v>
      </c>
      <c r="AB24" s="69"/>
      <c r="AC24" s="192"/>
      <c r="AD24" s="46"/>
      <c r="AE24" s="59">
        <v>3.0</v>
      </c>
      <c r="AF24" s="62">
        <f t="shared" si="1"/>
        <v>91</v>
      </c>
      <c r="AG24" s="80">
        <v>30.0</v>
      </c>
      <c r="AH24" s="68">
        <f t="shared" si="2"/>
        <v>2730</v>
      </c>
      <c r="AI24" s="17"/>
      <c r="AJ24" s="132"/>
      <c r="AK24" s="132"/>
    </row>
    <row r="25">
      <c r="A25" s="142" t="s">
        <v>68</v>
      </c>
      <c r="B25" s="595">
        <v>6.0</v>
      </c>
      <c r="C25" s="42"/>
      <c r="D25" s="59">
        <v>5.0</v>
      </c>
      <c r="E25" s="59">
        <v>3.0</v>
      </c>
      <c r="F25" s="59">
        <v>3.0</v>
      </c>
      <c r="G25" s="493">
        <v>3.0</v>
      </c>
      <c r="H25" s="510"/>
      <c r="I25" s="493">
        <v>6.0</v>
      </c>
      <c r="J25" s="493">
        <v>1.0</v>
      </c>
      <c r="K25" s="493">
        <v>2.0</v>
      </c>
      <c r="L25" s="59">
        <v>3.0</v>
      </c>
      <c r="M25" s="527"/>
      <c r="N25" s="59"/>
      <c r="O25" s="510"/>
      <c r="P25" s="493">
        <v>1.0</v>
      </c>
      <c r="Q25" s="493">
        <v>1.0</v>
      </c>
      <c r="R25" s="59"/>
      <c r="S25" s="59">
        <v>5.0</v>
      </c>
      <c r="T25" s="46"/>
      <c r="U25" s="59"/>
      <c r="V25" s="515"/>
      <c r="W25" s="191"/>
      <c r="X25" s="59"/>
      <c r="Y25" s="611"/>
      <c r="Z25" s="59">
        <v>6.0</v>
      </c>
      <c r="AA25" s="46"/>
      <c r="AB25" s="69"/>
      <c r="AC25" s="192"/>
      <c r="AD25" s="59">
        <v>10.0</v>
      </c>
      <c r="AE25" s="59">
        <v>1.0</v>
      </c>
      <c r="AF25" s="62">
        <f t="shared" si="1"/>
        <v>56</v>
      </c>
      <c r="AG25" s="80">
        <v>35.0</v>
      </c>
      <c r="AH25" s="68">
        <f t="shared" si="2"/>
        <v>1960</v>
      </c>
      <c r="AI25" s="17"/>
      <c r="AJ25" s="132"/>
      <c r="AK25" s="132"/>
    </row>
    <row r="26">
      <c r="A26" s="142" t="s">
        <v>70</v>
      </c>
      <c r="B26" s="618"/>
      <c r="C26" s="46"/>
      <c r="D26" s="54"/>
      <c r="E26" s="46"/>
      <c r="F26" s="54"/>
      <c r="G26" s="54"/>
      <c r="H26" s="192"/>
      <c r="I26" s="46"/>
      <c r="J26" s="54"/>
      <c r="K26" s="46"/>
      <c r="L26" s="46"/>
      <c r="M26" s="534"/>
      <c r="N26" s="54"/>
      <c r="O26" s="192"/>
      <c r="P26" s="46"/>
      <c r="Q26" s="46"/>
      <c r="R26" s="46"/>
      <c r="S26" s="46"/>
      <c r="T26" s="46"/>
      <c r="U26" s="46"/>
      <c r="V26" s="192"/>
      <c r="W26" s="191"/>
      <c r="X26" s="46"/>
      <c r="Y26" s="508"/>
      <c r="Z26" s="46"/>
      <c r="AA26" s="46"/>
      <c r="AB26" s="69"/>
      <c r="AC26" s="192"/>
      <c r="AD26" s="46"/>
      <c r="AE26" s="46"/>
      <c r="AF26" s="62">
        <f t="shared" si="1"/>
        <v>0</v>
      </c>
      <c r="AG26" s="80">
        <v>130.0</v>
      </c>
      <c r="AH26" s="68">
        <f t="shared" si="2"/>
        <v>0</v>
      </c>
      <c r="AI26" s="17"/>
      <c r="AJ26" s="132"/>
      <c r="AK26" s="132"/>
    </row>
    <row r="27">
      <c r="A27" s="142" t="s">
        <v>72</v>
      </c>
      <c r="B27" s="618"/>
      <c r="C27" s="595"/>
      <c r="D27" s="59"/>
      <c r="E27" s="59"/>
      <c r="F27" s="54"/>
      <c r="G27" s="493"/>
      <c r="H27" s="510"/>
      <c r="I27" s="493"/>
      <c r="J27" s="54"/>
      <c r="K27" s="59"/>
      <c r="L27" s="493"/>
      <c r="M27" s="527"/>
      <c r="N27" s="493"/>
      <c r="O27" s="515"/>
      <c r="P27" s="59"/>
      <c r="Q27" s="59"/>
      <c r="R27" s="59"/>
      <c r="S27" s="46"/>
      <c r="T27" s="46"/>
      <c r="U27" s="46"/>
      <c r="V27" s="510"/>
      <c r="W27" s="530"/>
      <c r="X27" s="46"/>
      <c r="Y27" s="611"/>
      <c r="Z27" s="46"/>
      <c r="AA27" s="46"/>
      <c r="AB27" s="69"/>
      <c r="AC27" s="192"/>
      <c r="AD27" s="46"/>
      <c r="AE27" s="46"/>
      <c r="AF27" s="62">
        <f t="shared" si="1"/>
        <v>0</v>
      </c>
      <c r="AG27" s="80">
        <v>50.0</v>
      </c>
      <c r="AH27" s="68">
        <f t="shared" si="2"/>
        <v>0</v>
      </c>
      <c r="AI27" s="17"/>
      <c r="AJ27" s="132"/>
      <c r="AK27" s="132"/>
    </row>
    <row r="28">
      <c r="A28" s="142" t="s">
        <v>74</v>
      </c>
      <c r="B28" s="618"/>
      <c r="C28" s="46"/>
      <c r="D28" s="54"/>
      <c r="E28" s="46"/>
      <c r="F28" s="54"/>
      <c r="G28" s="54"/>
      <c r="H28" s="192"/>
      <c r="I28" s="46"/>
      <c r="J28" s="54"/>
      <c r="K28" s="46"/>
      <c r="L28" s="46"/>
      <c r="M28" s="534"/>
      <c r="N28" s="54"/>
      <c r="O28" s="192"/>
      <c r="P28" s="46"/>
      <c r="Q28" s="46"/>
      <c r="R28" s="46"/>
      <c r="S28" s="46"/>
      <c r="T28" s="46"/>
      <c r="U28" s="46"/>
      <c r="V28" s="192"/>
      <c r="W28" s="191"/>
      <c r="X28" s="46"/>
      <c r="Y28" s="508"/>
      <c r="Z28" s="46"/>
      <c r="AA28" s="46"/>
      <c r="AB28" s="69"/>
      <c r="AC28" s="192"/>
      <c r="AD28" s="46"/>
      <c r="AE28" s="46"/>
      <c r="AF28" s="62">
        <f t="shared" si="1"/>
        <v>0</v>
      </c>
      <c r="AG28" s="80">
        <v>50.0</v>
      </c>
      <c r="AH28" s="68">
        <f t="shared" si="2"/>
        <v>0</v>
      </c>
      <c r="AI28" s="17"/>
      <c r="AJ28" s="132"/>
      <c r="AK28" s="132"/>
    </row>
    <row r="29">
      <c r="A29" s="142" t="s">
        <v>75</v>
      </c>
      <c r="B29" s="604"/>
      <c r="C29" s="59">
        <v>1.0</v>
      </c>
      <c r="D29" s="54"/>
      <c r="E29" s="46"/>
      <c r="F29" s="59"/>
      <c r="G29" s="59">
        <v>1.0</v>
      </c>
      <c r="H29" s="192"/>
      <c r="I29" s="49"/>
      <c r="J29" s="54"/>
      <c r="K29" s="59">
        <v>1.0</v>
      </c>
      <c r="L29" s="59">
        <v>1.0</v>
      </c>
      <c r="M29" s="534"/>
      <c r="N29" s="59">
        <v>2.0</v>
      </c>
      <c r="O29" s="192"/>
      <c r="P29" s="59"/>
      <c r="Q29" s="46"/>
      <c r="R29" s="59">
        <v>2.0</v>
      </c>
      <c r="S29" s="46"/>
      <c r="T29" s="46"/>
      <c r="U29" s="59"/>
      <c r="V29" s="192"/>
      <c r="W29" s="191"/>
      <c r="X29" s="46"/>
      <c r="Y29" s="611"/>
      <c r="Z29" s="46"/>
      <c r="AA29" s="46"/>
      <c r="AB29" s="69"/>
      <c r="AC29" s="192"/>
      <c r="AD29" s="46"/>
      <c r="AE29" s="46"/>
      <c r="AF29" s="62">
        <f t="shared" si="1"/>
        <v>8</v>
      </c>
      <c r="AG29" s="80">
        <v>35.0</v>
      </c>
      <c r="AH29" s="68">
        <f t="shared" si="2"/>
        <v>280</v>
      </c>
      <c r="AI29" s="17"/>
      <c r="AJ29" s="132"/>
      <c r="AK29" s="132"/>
    </row>
    <row r="30">
      <c r="A30" s="142" t="s">
        <v>77</v>
      </c>
      <c r="B30" s="604">
        <v>3.0</v>
      </c>
      <c r="C30" s="46"/>
      <c r="D30" s="59"/>
      <c r="E30" s="493">
        <v>2.0</v>
      </c>
      <c r="F30" s="59"/>
      <c r="G30" s="59"/>
      <c r="H30" s="192"/>
      <c r="I30" s="493"/>
      <c r="J30" s="59"/>
      <c r="K30" s="493">
        <v>60.0</v>
      </c>
      <c r="L30" s="493">
        <v>1.0</v>
      </c>
      <c r="M30" s="527"/>
      <c r="N30" s="59"/>
      <c r="O30" s="510"/>
      <c r="P30" s="46"/>
      <c r="Q30" s="46"/>
      <c r="R30" s="59"/>
      <c r="S30" s="59">
        <v>1.0</v>
      </c>
      <c r="T30" s="59">
        <v>1.0</v>
      </c>
      <c r="U30" s="46"/>
      <c r="V30" s="515"/>
      <c r="W30" s="530"/>
      <c r="X30" s="59">
        <v>1.0</v>
      </c>
      <c r="Y30" s="611"/>
      <c r="Z30" s="46"/>
      <c r="AA30" s="59">
        <v>1.0</v>
      </c>
      <c r="AB30" s="69"/>
      <c r="AC30" s="192"/>
      <c r="AD30" s="46"/>
      <c r="AE30" s="59">
        <v>1.0</v>
      </c>
      <c r="AF30" s="62">
        <f t="shared" si="1"/>
        <v>71</v>
      </c>
      <c r="AG30" s="80">
        <v>100.0</v>
      </c>
      <c r="AH30" s="68">
        <f t="shared" si="2"/>
        <v>7100</v>
      </c>
      <c r="AI30" s="17"/>
      <c r="AJ30" s="132"/>
      <c r="AK30" s="132"/>
    </row>
    <row r="31">
      <c r="A31" s="142" t="s">
        <v>79</v>
      </c>
      <c r="B31" s="604"/>
      <c r="C31" s="46"/>
      <c r="D31" s="54"/>
      <c r="E31" s="46"/>
      <c r="F31" s="54"/>
      <c r="G31" s="54"/>
      <c r="H31" s="192"/>
      <c r="I31" s="46"/>
      <c r="J31" s="54"/>
      <c r="K31" s="46"/>
      <c r="L31" s="46"/>
      <c r="M31" s="534"/>
      <c r="N31" s="54"/>
      <c r="O31" s="192"/>
      <c r="P31" s="46"/>
      <c r="Q31" s="46"/>
      <c r="R31" s="46"/>
      <c r="S31" s="46"/>
      <c r="T31" s="46"/>
      <c r="U31" s="46"/>
      <c r="V31" s="192"/>
      <c r="W31" s="191"/>
      <c r="X31" s="46"/>
      <c r="Y31" s="508"/>
      <c r="Z31" s="46"/>
      <c r="AA31" s="46"/>
      <c r="AB31" s="69"/>
      <c r="AC31" s="192"/>
      <c r="AD31" s="46"/>
      <c r="AE31" s="46"/>
      <c r="AF31" s="62">
        <f t="shared" si="1"/>
        <v>0</v>
      </c>
      <c r="AG31" s="80">
        <v>20.0</v>
      </c>
      <c r="AH31" s="68">
        <f t="shared" si="2"/>
        <v>0</v>
      </c>
      <c r="AI31" s="17"/>
      <c r="AJ31" s="132"/>
      <c r="AK31" s="132"/>
    </row>
    <row r="32">
      <c r="A32" s="142" t="s">
        <v>82</v>
      </c>
      <c r="B32" s="595">
        <v>7.0</v>
      </c>
      <c r="C32" s="595"/>
      <c r="D32" s="59">
        <v>3.0</v>
      </c>
      <c r="E32" s="493">
        <v>2.0</v>
      </c>
      <c r="F32" s="59">
        <v>5.0</v>
      </c>
      <c r="G32" s="493"/>
      <c r="H32" s="510"/>
      <c r="I32" s="59">
        <v>4.0</v>
      </c>
      <c r="J32" s="493">
        <v>4.0</v>
      </c>
      <c r="K32" s="493">
        <v>3.0</v>
      </c>
      <c r="L32" s="493">
        <v>4.0</v>
      </c>
      <c r="M32" s="527"/>
      <c r="N32" s="493"/>
      <c r="O32" s="510"/>
      <c r="P32" s="493">
        <v>1.0</v>
      </c>
      <c r="Q32" s="493">
        <v>1.0</v>
      </c>
      <c r="R32" s="59">
        <v>6.0</v>
      </c>
      <c r="S32" s="59">
        <v>4.0</v>
      </c>
      <c r="T32" s="59">
        <v>7.0</v>
      </c>
      <c r="U32" s="59">
        <v>1.0</v>
      </c>
      <c r="V32" s="510"/>
      <c r="W32" s="530"/>
      <c r="X32" s="59">
        <v>8.0</v>
      </c>
      <c r="Y32" s="611"/>
      <c r="Z32" s="59">
        <v>60.0</v>
      </c>
      <c r="AA32" s="59">
        <v>9.0</v>
      </c>
      <c r="AB32" s="69"/>
      <c r="AC32" s="192"/>
      <c r="AD32" s="59">
        <v>3.0</v>
      </c>
      <c r="AE32" s="59">
        <v>1.0</v>
      </c>
      <c r="AF32" s="62">
        <f t="shared" si="1"/>
        <v>133</v>
      </c>
      <c r="AG32" s="80">
        <v>40.0</v>
      </c>
      <c r="AH32" s="68">
        <f t="shared" si="2"/>
        <v>5320</v>
      </c>
      <c r="AI32" s="17"/>
      <c r="AJ32" s="132"/>
      <c r="AK32" s="132"/>
    </row>
    <row r="33">
      <c r="A33" s="33" t="s">
        <v>85</v>
      </c>
      <c r="B33" s="604">
        <v>2.0</v>
      </c>
      <c r="C33" s="595">
        <v>1.0</v>
      </c>
      <c r="D33" s="59">
        <v>2.0</v>
      </c>
      <c r="E33" s="49"/>
      <c r="F33" s="59">
        <v>4.0</v>
      </c>
      <c r="G33" s="493">
        <v>3.0</v>
      </c>
      <c r="H33" s="492"/>
      <c r="I33" s="493">
        <v>2.0</v>
      </c>
      <c r="J33" s="59">
        <v>4.0</v>
      </c>
      <c r="K33" s="59"/>
      <c r="L33" s="493">
        <v>1.0</v>
      </c>
      <c r="M33" s="527"/>
      <c r="N33" s="493">
        <v>1.0</v>
      </c>
      <c r="O33" s="510"/>
      <c r="P33" s="493">
        <v>18.0</v>
      </c>
      <c r="Q33" s="493">
        <v>15.0</v>
      </c>
      <c r="R33" s="59">
        <v>10.0</v>
      </c>
      <c r="S33" s="59">
        <v>3.0</v>
      </c>
      <c r="T33" s="59">
        <v>5.0</v>
      </c>
      <c r="U33" s="59"/>
      <c r="V33" s="515"/>
      <c r="W33" s="530"/>
      <c r="X33" s="59">
        <v>2.0</v>
      </c>
      <c r="Y33" s="611"/>
      <c r="Z33" s="59">
        <v>30.0</v>
      </c>
      <c r="AA33" s="59">
        <v>15.0</v>
      </c>
      <c r="AB33" s="69"/>
      <c r="AC33" s="192"/>
      <c r="AD33" s="59">
        <v>1.0</v>
      </c>
      <c r="AE33" s="59">
        <v>3.0</v>
      </c>
      <c r="AF33" s="62">
        <f t="shared" si="1"/>
        <v>122</v>
      </c>
      <c r="AG33" s="80">
        <v>80.0</v>
      </c>
      <c r="AH33" s="68">
        <f t="shared" si="2"/>
        <v>9760</v>
      </c>
      <c r="AI33" s="17"/>
      <c r="AJ33" s="132"/>
      <c r="AK33" s="132"/>
    </row>
    <row r="34">
      <c r="A34" s="147" t="s">
        <v>87</v>
      </c>
      <c r="B34" s="595">
        <v>7.0</v>
      </c>
      <c r="C34" s="595">
        <v>3.0</v>
      </c>
      <c r="D34" s="59">
        <v>8.0</v>
      </c>
      <c r="E34" s="493">
        <v>4.0</v>
      </c>
      <c r="F34" s="59">
        <v>17.0</v>
      </c>
      <c r="G34" s="493">
        <v>12.0</v>
      </c>
      <c r="H34" s="492"/>
      <c r="I34" s="493">
        <v>12.0</v>
      </c>
      <c r="J34" s="493">
        <v>7.0</v>
      </c>
      <c r="K34" s="493">
        <v>5.0</v>
      </c>
      <c r="L34" s="493">
        <v>3.0</v>
      </c>
      <c r="M34" s="527"/>
      <c r="N34" s="493">
        <v>5.0</v>
      </c>
      <c r="O34" s="492"/>
      <c r="P34" s="493">
        <v>3.0</v>
      </c>
      <c r="Q34" s="493"/>
      <c r="R34" s="59">
        <v>4.0</v>
      </c>
      <c r="S34" s="59">
        <v>3.0</v>
      </c>
      <c r="T34" s="59">
        <v>3.0</v>
      </c>
      <c r="U34" s="59">
        <v>5.0</v>
      </c>
      <c r="V34" s="510"/>
      <c r="W34" s="191"/>
      <c r="X34" s="59">
        <v>11.0</v>
      </c>
      <c r="Y34" s="611"/>
      <c r="Z34" s="59">
        <v>14.0</v>
      </c>
      <c r="AA34" s="59">
        <v>8.0</v>
      </c>
      <c r="AB34" s="69"/>
      <c r="AC34" s="192"/>
      <c r="AD34" s="59">
        <v>7.0</v>
      </c>
      <c r="AE34" s="59">
        <v>5.0</v>
      </c>
      <c r="AF34" s="62">
        <f t="shared" si="1"/>
        <v>146</v>
      </c>
      <c r="AG34" s="80">
        <v>170.0</v>
      </c>
      <c r="AH34" s="68">
        <f t="shared" si="2"/>
        <v>24820</v>
      </c>
      <c r="AI34" s="17"/>
      <c r="AJ34" s="132"/>
      <c r="AK34" s="132"/>
    </row>
    <row r="35">
      <c r="A35" s="147" t="s">
        <v>89</v>
      </c>
      <c r="B35" s="604">
        <v>2.0</v>
      </c>
      <c r="C35" s="59"/>
      <c r="D35" s="54"/>
      <c r="E35" s="59">
        <v>1.0</v>
      </c>
      <c r="F35" s="59">
        <v>1.0</v>
      </c>
      <c r="G35" s="59">
        <v>1.0</v>
      </c>
      <c r="H35" s="192"/>
      <c r="I35" s="493">
        <v>3.0</v>
      </c>
      <c r="J35" s="59">
        <v>3.0</v>
      </c>
      <c r="K35" s="46"/>
      <c r="L35" s="59">
        <v>4.0</v>
      </c>
      <c r="M35" s="534"/>
      <c r="N35" s="59">
        <v>1.0</v>
      </c>
      <c r="O35" s="192"/>
      <c r="P35" s="59"/>
      <c r="Q35" s="59">
        <v>1.0</v>
      </c>
      <c r="R35" s="59">
        <v>3.0</v>
      </c>
      <c r="S35" s="59">
        <v>2.0</v>
      </c>
      <c r="T35" s="46"/>
      <c r="U35" s="46"/>
      <c r="V35" s="515"/>
      <c r="W35" s="191"/>
      <c r="X35" s="59">
        <v>3.0</v>
      </c>
      <c r="Y35" s="508"/>
      <c r="Z35" s="59">
        <v>2.0</v>
      </c>
      <c r="AA35" s="59">
        <v>2.0</v>
      </c>
      <c r="AB35" s="69"/>
      <c r="AC35" s="192"/>
      <c r="AD35" s="59">
        <v>2.0</v>
      </c>
      <c r="AE35" s="59">
        <v>2.0</v>
      </c>
      <c r="AF35" s="62">
        <f t="shared" si="1"/>
        <v>33</v>
      </c>
      <c r="AG35" s="80">
        <v>130.0</v>
      </c>
      <c r="AH35" s="68">
        <f t="shared" si="2"/>
        <v>4290</v>
      </c>
      <c r="AI35" s="17"/>
      <c r="AJ35" s="132"/>
      <c r="AK35" s="132"/>
    </row>
    <row r="36">
      <c r="A36" s="147" t="s">
        <v>90</v>
      </c>
      <c r="B36" s="604">
        <v>1.0</v>
      </c>
      <c r="C36" s="46"/>
      <c r="D36" s="59">
        <v>1.0</v>
      </c>
      <c r="E36" s="49"/>
      <c r="F36" s="59">
        <v>3.0</v>
      </c>
      <c r="G36" s="493"/>
      <c r="H36" s="515"/>
      <c r="I36" s="493">
        <v>2.0</v>
      </c>
      <c r="J36" s="59"/>
      <c r="K36" s="493"/>
      <c r="L36" s="59">
        <v>1.0</v>
      </c>
      <c r="M36" s="527"/>
      <c r="N36" s="59"/>
      <c r="O36" s="515"/>
      <c r="P36" s="59">
        <v>2.0</v>
      </c>
      <c r="Q36" s="493"/>
      <c r="R36" s="59">
        <v>2.0</v>
      </c>
      <c r="S36" s="59"/>
      <c r="T36" s="59">
        <v>1.0</v>
      </c>
      <c r="U36" s="46"/>
      <c r="V36" s="492"/>
      <c r="W36" s="191"/>
      <c r="X36" s="46"/>
      <c r="Y36" s="611"/>
      <c r="Z36" s="59">
        <v>1.0</v>
      </c>
      <c r="AA36" s="46"/>
      <c r="AB36" s="69"/>
      <c r="AC36" s="192"/>
      <c r="AD36" s="59">
        <v>2.0</v>
      </c>
      <c r="AE36" s="59">
        <v>1.0</v>
      </c>
      <c r="AF36" s="62">
        <f t="shared" si="1"/>
        <v>17</v>
      </c>
      <c r="AG36" s="80">
        <v>150.0</v>
      </c>
      <c r="AH36" s="68">
        <f t="shared" si="2"/>
        <v>2550</v>
      </c>
      <c r="AI36" s="17"/>
      <c r="AJ36" s="132"/>
      <c r="AK36" s="132"/>
    </row>
    <row r="37">
      <c r="A37" s="147" t="s">
        <v>93</v>
      </c>
      <c r="B37" s="618"/>
      <c r="C37" s="595"/>
      <c r="D37" s="59">
        <v>1.0</v>
      </c>
      <c r="E37" s="49"/>
      <c r="F37" s="59"/>
      <c r="G37" s="92"/>
      <c r="H37" s="192"/>
      <c r="I37" s="493"/>
      <c r="J37" s="59"/>
      <c r="K37" s="59"/>
      <c r="L37" s="46"/>
      <c r="M37" s="527"/>
      <c r="N37" s="59"/>
      <c r="O37" s="515"/>
      <c r="P37" s="59">
        <v>1.0</v>
      </c>
      <c r="Q37" s="59"/>
      <c r="R37" s="46"/>
      <c r="S37" s="59">
        <v>2.0</v>
      </c>
      <c r="T37" s="59"/>
      <c r="U37" s="46"/>
      <c r="V37" s="515"/>
      <c r="W37" s="530"/>
      <c r="X37" s="46"/>
      <c r="Y37" s="611"/>
      <c r="Z37" s="59">
        <v>1.0</v>
      </c>
      <c r="AA37" s="46"/>
      <c r="AB37" s="69"/>
      <c r="AC37" s="192"/>
      <c r="AD37" s="46"/>
      <c r="AE37" s="46"/>
      <c r="AF37" s="62">
        <f t="shared" si="1"/>
        <v>5</v>
      </c>
      <c r="AG37" s="80">
        <v>180.0</v>
      </c>
      <c r="AH37" s="68">
        <f t="shared" si="2"/>
        <v>900</v>
      </c>
      <c r="AI37" s="17"/>
      <c r="AJ37" s="132"/>
      <c r="AK37" s="132"/>
    </row>
    <row r="38">
      <c r="A38" s="147" t="s">
        <v>94</v>
      </c>
      <c r="B38" s="618"/>
      <c r="C38" s="46"/>
      <c r="D38" s="59"/>
      <c r="E38" s="59">
        <v>2.0</v>
      </c>
      <c r="F38" s="54"/>
      <c r="G38" s="493"/>
      <c r="H38" s="515"/>
      <c r="I38" s="49"/>
      <c r="J38" s="59"/>
      <c r="K38" s="59"/>
      <c r="L38" s="46"/>
      <c r="M38" s="527"/>
      <c r="N38" s="54"/>
      <c r="O38" s="192"/>
      <c r="P38" s="46"/>
      <c r="Q38" s="59"/>
      <c r="R38" s="46"/>
      <c r="S38" s="59"/>
      <c r="T38" s="59">
        <v>1.0</v>
      </c>
      <c r="U38" s="46"/>
      <c r="V38" s="192"/>
      <c r="W38" s="191"/>
      <c r="X38" s="46"/>
      <c r="Y38" s="611"/>
      <c r="Z38" s="46"/>
      <c r="AA38" s="46"/>
      <c r="AB38" s="69"/>
      <c r="AC38" s="192"/>
      <c r="AD38" s="46"/>
      <c r="AE38" s="46"/>
      <c r="AF38" s="62">
        <f t="shared" si="1"/>
        <v>3</v>
      </c>
      <c r="AG38" s="80">
        <v>245.0</v>
      </c>
      <c r="AH38" s="68">
        <f t="shared" si="2"/>
        <v>735</v>
      </c>
      <c r="AI38" s="17"/>
      <c r="AJ38" s="132"/>
      <c r="AK38" s="132"/>
    </row>
    <row r="39">
      <c r="A39" s="142" t="s">
        <v>97</v>
      </c>
      <c r="B39" s="604">
        <v>1.0</v>
      </c>
      <c r="C39" s="59">
        <v>3.0</v>
      </c>
      <c r="D39" s="59">
        <v>2.0</v>
      </c>
      <c r="E39" s="46"/>
      <c r="F39" s="59">
        <v>3.0</v>
      </c>
      <c r="G39" s="59">
        <v>1.0</v>
      </c>
      <c r="H39" s="192"/>
      <c r="I39" s="59">
        <v>3.0</v>
      </c>
      <c r="J39" s="59">
        <v>2.0</v>
      </c>
      <c r="K39" s="59">
        <v>1.0</v>
      </c>
      <c r="L39" s="59">
        <v>1.0</v>
      </c>
      <c r="M39" s="527"/>
      <c r="N39" s="59">
        <v>2.0</v>
      </c>
      <c r="O39" s="192"/>
      <c r="P39" s="59"/>
      <c r="Q39" s="46"/>
      <c r="R39" s="46"/>
      <c r="S39" s="59">
        <v>2.0</v>
      </c>
      <c r="T39" s="59">
        <v>3.0</v>
      </c>
      <c r="U39" s="59">
        <v>1.0</v>
      </c>
      <c r="V39" s="515"/>
      <c r="W39" s="530"/>
      <c r="X39" s="59">
        <v>4.0</v>
      </c>
      <c r="Y39" s="611"/>
      <c r="Z39" s="59">
        <v>1.0</v>
      </c>
      <c r="AA39" s="59">
        <v>2.0</v>
      </c>
      <c r="AB39" s="69"/>
      <c r="AC39" s="192"/>
      <c r="AD39" s="46"/>
      <c r="AE39" s="59">
        <v>1.0</v>
      </c>
      <c r="AF39" s="62">
        <f t="shared" si="1"/>
        <v>33</v>
      </c>
      <c r="AG39" s="80">
        <v>500.0</v>
      </c>
      <c r="AH39" s="68">
        <f t="shared" si="2"/>
        <v>16500</v>
      </c>
      <c r="AI39" s="17"/>
      <c r="AJ39" s="132"/>
      <c r="AK39" s="132"/>
    </row>
    <row r="40">
      <c r="A40" s="33" t="s">
        <v>99</v>
      </c>
      <c r="B40" s="618"/>
      <c r="C40" s="46"/>
      <c r="D40" s="59"/>
      <c r="E40" s="59"/>
      <c r="F40" s="54"/>
      <c r="G40" s="54"/>
      <c r="H40" s="192"/>
      <c r="I40" s="46"/>
      <c r="J40" s="493"/>
      <c r="K40" s="59">
        <v>1.0</v>
      </c>
      <c r="L40" s="49"/>
      <c r="M40" s="534"/>
      <c r="N40" s="54"/>
      <c r="O40" s="192"/>
      <c r="P40" s="46"/>
      <c r="Q40" s="46"/>
      <c r="R40" s="59"/>
      <c r="S40" s="59">
        <v>10.0</v>
      </c>
      <c r="T40" s="59"/>
      <c r="U40" s="46"/>
      <c r="V40" s="515"/>
      <c r="W40" s="530"/>
      <c r="X40" s="46"/>
      <c r="Y40" s="508"/>
      <c r="Z40" s="46"/>
      <c r="AA40" s="46"/>
      <c r="AB40" s="69"/>
      <c r="AC40" s="192"/>
      <c r="AD40" s="46"/>
      <c r="AE40" s="46"/>
      <c r="AF40" s="62">
        <f t="shared" si="1"/>
        <v>11</v>
      </c>
      <c r="AG40" s="80">
        <v>900.0</v>
      </c>
      <c r="AH40" s="68">
        <f t="shared" si="2"/>
        <v>9900</v>
      </c>
      <c r="AI40" s="17"/>
      <c r="AJ40" s="132"/>
      <c r="AK40" s="132"/>
    </row>
    <row r="41">
      <c r="A41" s="33" t="s">
        <v>100</v>
      </c>
      <c r="B41" s="618"/>
      <c r="C41" s="46"/>
      <c r="D41" s="54"/>
      <c r="E41" s="46"/>
      <c r="F41" s="54"/>
      <c r="G41" s="54"/>
      <c r="H41" s="192"/>
      <c r="I41" s="46"/>
      <c r="J41" s="59"/>
      <c r="K41" s="59"/>
      <c r="L41" s="59"/>
      <c r="M41" s="534"/>
      <c r="N41" s="54"/>
      <c r="O41" s="192"/>
      <c r="P41" s="46"/>
      <c r="Q41" s="49"/>
      <c r="R41" s="46"/>
      <c r="S41" s="59">
        <v>50.0</v>
      </c>
      <c r="T41" s="59"/>
      <c r="U41" s="46"/>
      <c r="V41" s="192"/>
      <c r="W41" s="530"/>
      <c r="X41" s="46"/>
      <c r="Y41" s="508"/>
      <c r="Z41" s="59">
        <v>1.0</v>
      </c>
      <c r="AA41" s="46"/>
      <c r="AB41" s="69"/>
      <c r="AC41" s="192"/>
      <c r="AD41" s="46"/>
      <c r="AE41" s="46"/>
      <c r="AF41" s="62">
        <f t="shared" si="1"/>
        <v>51</v>
      </c>
      <c r="AG41" s="80">
        <v>1100.0</v>
      </c>
      <c r="AH41" s="68">
        <f t="shared" si="2"/>
        <v>56100</v>
      </c>
      <c r="AI41" s="17"/>
      <c r="AJ41" s="132"/>
      <c r="AK41" s="132"/>
    </row>
    <row r="42">
      <c r="A42" s="33" t="s">
        <v>102</v>
      </c>
      <c r="B42" s="618"/>
      <c r="C42" s="59"/>
      <c r="D42" s="54"/>
      <c r="E42" s="46"/>
      <c r="F42" s="54"/>
      <c r="G42" s="493"/>
      <c r="H42" s="192"/>
      <c r="I42" s="59"/>
      <c r="J42" s="54"/>
      <c r="K42" s="46"/>
      <c r="L42" s="46"/>
      <c r="M42" s="534"/>
      <c r="N42" s="54"/>
      <c r="O42" s="192"/>
      <c r="P42" s="46"/>
      <c r="Q42" s="46"/>
      <c r="R42" s="46"/>
      <c r="S42" s="46"/>
      <c r="T42" s="46"/>
      <c r="U42" s="46"/>
      <c r="V42" s="515"/>
      <c r="W42" s="191"/>
      <c r="X42" s="46"/>
      <c r="Y42" s="508"/>
      <c r="Z42" s="46"/>
      <c r="AA42" s="46"/>
      <c r="AB42" s="69"/>
      <c r="AC42" s="192"/>
      <c r="AD42" s="46"/>
      <c r="AE42" s="46"/>
      <c r="AF42" s="62">
        <f t="shared" si="1"/>
        <v>0</v>
      </c>
      <c r="AG42" s="80">
        <v>1200.0</v>
      </c>
      <c r="AH42" s="68">
        <f t="shared" si="2"/>
        <v>0</v>
      </c>
      <c r="AI42" s="17"/>
      <c r="AJ42" s="647"/>
      <c r="AK42" s="132"/>
    </row>
    <row r="43">
      <c r="A43" s="33" t="s">
        <v>104</v>
      </c>
      <c r="B43" s="618"/>
      <c r="C43" s="46"/>
      <c r="D43" s="54"/>
      <c r="E43" s="46"/>
      <c r="F43" s="54"/>
      <c r="G43" s="54"/>
      <c r="H43" s="192"/>
      <c r="I43" s="46"/>
      <c r="J43" s="59"/>
      <c r="K43" s="46"/>
      <c r="L43" s="46"/>
      <c r="M43" s="534"/>
      <c r="N43" s="54"/>
      <c r="O43" s="192"/>
      <c r="P43" s="46"/>
      <c r="Q43" s="46"/>
      <c r="R43" s="46"/>
      <c r="S43" s="46"/>
      <c r="T43" s="46"/>
      <c r="U43" s="46"/>
      <c r="V43" s="192"/>
      <c r="W43" s="191"/>
      <c r="X43" s="46"/>
      <c r="Y43" s="508"/>
      <c r="Z43" s="46"/>
      <c r="AA43" s="46"/>
      <c r="AB43" s="69"/>
      <c r="AC43" s="192"/>
      <c r="AD43" s="46"/>
      <c r="AE43" s="46"/>
      <c r="AF43" s="62">
        <f t="shared" si="1"/>
        <v>0</v>
      </c>
      <c r="AG43" s="80">
        <v>200.0</v>
      </c>
      <c r="AH43" s="68">
        <f t="shared" si="2"/>
        <v>0</v>
      </c>
      <c r="AI43" s="17"/>
      <c r="AJ43" s="132"/>
      <c r="AK43" s="132"/>
    </row>
    <row r="44">
      <c r="A44" s="33" t="s">
        <v>105</v>
      </c>
      <c r="B44" s="618"/>
      <c r="C44" s="46"/>
      <c r="D44" s="54"/>
      <c r="E44" s="46"/>
      <c r="F44" s="54"/>
      <c r="G44" s="54"/>
      <c r="H44" s="192"/>
      <c r="I44" s="59"/>
      <c r="J44" s="59"/>
      <c r="K44" s="46"/>
      <c r="L44" s="46"/>
      <c r="M44" s="534"/>
      <c r="N44" s="54"/>
      <c r="O44" s="192"/>
      <c r="P44" s="46"/>
      <c r="Q44" s="46"/>
      <c r="R44" s="46"/>
      <c r="S44" s="46"/>
      <c r="T44" s="46"/>
      <c r="U44" s="46"/>
      <c r="V44" s="192"/>
      <c r="W44" s="191"/>
      <c r="X44" s="46"/>
      <c r="Y44" s="508"/>
      <c r="Z44" s="46"/>
      <c r="AA44" s="46"/>
      <c r="AB44" s="69"/>
      <c r="AC44" s="192"/>
      <c r="AD44" s="46"/>
      <c r="AE44" s="46"/>
      <c r="AF44" s="62">
        <f t="shared" si="1"/>
        <v>0</v>
      </c>
      <c r="AG44" s="80">
        <v>500.0</v>
      </c>
      <c r="AH44" s="68">
        <f t="shared" si="2"/>
        <v>0</v>
      </c>
      <c r="AI44" s="17"/>
      <c r="AJ44" s="155"/>
      <c r="AK44" s="155"/>
    </row>
    <row r="45">
      <c r="A45" s="33" t="s">
        <v>107</v>
      </c>
      <c r="B45" s="618"/>
      <c r="C45" s="46"/>
      <c r="D45" s="54"/>
      <c r="E45" s="46"/>
      <c r="F45" s="54"/>
      <c r="G45" s="54"/>
      <c r="H45" s="192"/>
      <c r="I45" s="46"/>
      <c r="J45" s="59"/>
      <c r="K45" s="46"/>
      <c r="L45" s="46"/>
      <c r="M45" s="534"/>
      <c r="N45" s="54"/>
      <c r="O45" s="192"/>
      <c r="P45" s="46"/>
      <c r="Q45" s="46"/>
      <c r="R45" s="46"/>
      <c r="S45" s="46"/>
      <c r="T45" s="46"/>
      <c r="U45" s="46"/>
      <c r="V45" s="192"/>
      <c r="W45" s="191"/>
      <c r="X45" s="46"/>
      <c r="Y45" s="508"/>
      <c r="Z45" s="46"/>
      <c r="AA45" s="46"/>
      <c r="AB45" s="69"/>
      <c r="AC45" s="192"/>
      <c r="AD45" s="46"/>
      <c r="AE45" s="46"/>
      <c r="AF45" s="62">
        <f t="shared" si="1"/>
        <v>0</v>
      </c>
      <c r="AG45" s="80">
        <v>1000.0</v>
      </c>
      <c r="AH45" s="68">
        <f t="shared" si="2"/>
        <v>0</v>
      </c>
      <c r="AI45" s="17"/>
      <c r="AJ45" s="155"/>
      <c r="AK45" s="155"/>
    </row>
    <row r="46">
      <c r="A46" s="33" t="s">
        <v>401</v>
      </c>
      <c r="B46" s="618"/>
      <c r="C46" s="46"/>
      <c r="D46" s="54"/>
      <c r="E46" s="46"/>
      <c r="F46" s="59">
        <v>3.0</v>
      </c>
      <c r="G46" s="54"/>
      <c r="H46" s="192"/>
      <c r="I46" s="59">
        <v>1.0</v>
      </c>
      <c r="J46" s="59">
        <v>1.0</v>
      </c>
      <c r="K46" s="59">
        <v>1.0</v>
      </c>
      <c r="L46" s="59">
        <v>4.0</v>
      </c>
      <c r="M46" s="534"/>
      <c r="N46" s="54"/>
      <c r="O46" s="192"/>
      <c r="P46" s="46"/>
      <c r="Q46" s="46"/>
      <c r="R46" s="59">
        <v>6.0</v>
      </c>
      <c r="S46" s="46"/>
      <c r="T46" s="46"/>
      <c r="U46" s="59">
        <v>10.0</v>
      </c>
      <c r="V46" s="192"/>
      <c r="W46" s="191"/>
      <c r="X46" s="46"/>
      <c r="Y46" s="508"/>
      <c r="Z46" s="46"/>
      <c r="AA46" s="46"/>
      <c r="AB46" s="69"/>
      <c r="AC46" s="192"/>
      <c r="AD46" s="46"/>
      <c r="AE46" s="46"/>
      <c r="AF46" s="62">
        <f t="shared" si="1"/>
        <v>26</v>
      </c>
      <c r="AG46" s="80">
        <v>130.0</v>
      </c>
      <c r="AH46" s="68">
        <f t="shared" si="2"/>
        <v>3380</v>
      </c>
      <c r="AI46" s="17"/>
      <c r="AJ46" s="155"/>
      <c r="AK46" s="155"/>
    </row>
    <row r="47">
      <c r="A47" s="33" t="s">
        <v>402</v>
      </c>
      <c r="B47" s="618"/>
      <c r="C47" s="46"/>
      <c r="D47" s="54"/>
      <c r="E47" s="46"/>
      <c r="F47" s="59">
        <v>1.0</v>
      </c>
      <c r="G47" s="54"/>
      <c r="H47" s="192"/>
      <c r="I47" s="46"/>
      <c r="J47" s="59"/>
      <c r="K47" s="59">
        <v>1.0</v>
      </c>
      <c r="L47" s="59">
        <v>1.0</v>
      </c>
      <c r="M47" s="534"/>
      <c r="N47" s="54"/>
      <c r="O47" s="192"/>
      <c r="P47" s="59">
        <v>1.0</v>
      </c>
      <c r="Q47" s="46"/>
      <c r="R47" s="46"/>
      <c r="S47" s="59"/>
      <c r="T47" s="59">
        <v>2.0</v>
      </c>
      <c r="U47" s="59">
        <v>3.0</v>
      </c>
      <c r="V47" s="192"/>
      <c r="W47" s="191"/>
      <c r="X47" s="59">
        <v>5.0</v>
      </c>
      <c r="Y47" s="508"/>
      <c r="Z47" s="59">
        <v>2.0</v>
      </c>
      <c r="AA47" s="46"/>
      <c r="AB47" s="69"/>
      <c r="AC47" s="192"/>
      <c r="AD47" s="46"/>
      <c r="AE47" s="59">
        <v>1.0</v>
      </c>
      <c r="AF47" s="62">
        <f t="shared" si="1"/>
        <v>17</v>
      </c>
      <c r="AG47" s="80">
        <v>150.0</v>
      </c>
      <c r="AH47" s="68">
        <f t="shared" si="2"/>
        <v>2550</v>
      </c>
      <c r="AI47" s="17"/>
      <c r="AJ47" s="155"/>
      <c r="AK47" s="155"/>
    </row>
    <row r="48">
      <c r="A48" s="33" t="s">
        <v>403</v>
      </c>
      <c r="B48" s="618"/>
      <c r="C48" s="46"/>
      <c r="D48" s="54"/>
      <c r="E48" s="46"/>
      <c r="F48" s="59">
        <v>6.0</v>
      </c>
      <c r="G48" s="59">
        <v>2.0</v>
      </c>
      <c r="H48" s="192"/>
      <c r="I48" s="46"/>
      <c r="J48" s="59"/>
      <c r="K48" s="59">
        <v>1.0</v>
      </c>
      <c r="L48" s="59">
        <v>1.0</v>
      </c>
      <c r="M48" s="534"/>
      <c r="N48" s="59">
        <v>1.0</v>
      </c>
      <c r="O48" s="192"/>
      <c r="P48" s="46"/>
      <c r="Q48" s="46"/>
      <c r="R48" s="46"/>
      <c r="S48" s="46"/>
      <c r="T48" s="46"/>
      <c r="U48" s="46"/>
      <c r="V48" s="192"/>
      <c r="W48" s="191"/>
      <c r="X48" s="46"/>
      <c r="Y48" s="508"/>
      <c r="Z48" s="46"/>
      <c r="AA48" s="46"/>
      <c r="AB48" s="69"/>
      <c r="AC48" s="192"/>
      <c r="AD48" s="46"/>
      <c r="AE48" s="46"/>
      <c r="AF48" s="62">
        <f t="shared" si="1"/>
        <v>11</v>
      </c>
      <c r="AG48" s="80">
        <v>220.0</v>
      </c>
      <c r="AH48" s="68">
        <f t="shared" si="2"/>
        <v>2420</v>
      </c>
      <c r="AI48" s="17"/>
      <c r="AJ48" s="155"/>
      <c r="AK48" s="155"/>
    </row>
    <row r="49">
      <c r="A49" s="218" t="s">
        <v>45</v>
      </c>
      <c r="B49" s="219"/>
      <c r="C49" s="219"/>
      <c r="D49" s="219"/>
      <c r="E49" s="219"/>
      <c r="F49" s="219"/>
      <c r="G49" s="219"/>
      <c r="H49" s="21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  <c r="AA49" s="219"/>
      <c r="AB49" s="219"/>
      <c r="AC49" s="219"/>
      <c r="AD49" s="219"/>
      <c r="AE49" s="219"/>
      <c r="AF49" s="219"/>
      <c r="AG49" s="220"/>
      <c r="AH49" s="221">
        <f>SUM(AH3:AH48)</f>
        <v>783300</v>
      </c>
      <c r="AI49" s="17"/>
      <c r="AJ49" s="176"/>
      <c r="AK49" s="176"/>
    </row>
    <row r="50">
      <c r="A50" s="24" t="s">
        <v>324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97"/>
      <c r="AI50" s="17"/>
      <c r="AJ50" s="178"/>
      <c r="AK50" s="178"/>
    </row>
    <row r="51">
      <c r="A51" s="554" t="s">
        <v>318</v>
      </c>
      <c r="B51" s="36">
        <v>1.0</v>
      </c>
      <c r="C51" s="39">
        <v>1.0</v>
      </c>
      <c r="D51" s="39">
        <v>2.0</v>
      </c>
      <c r="E51" s="39">
        <v>1.0</v>
      </c>
      <c r="F51" s="39">
        <v>1.0</v>
      </c>
      <c r="G51" s="39">
        <v>1.0</v>
      </c>
      <c r="H51" s="45"/>
      <c r="I51" s="39">
        <v>1.0</v>
      </c>
      <c r="J51" s="39"/>
      <c r="K51" s="39">
        <v>1.0</v>
      </c>
      <c r="L51" s="39">
        <v>1.0</v>
      </c>
      <c r="M51" s="564"/>
      <c r="N51" s="39"/>
      <c r="O51" s="45"/>
      <c r="P51" s="39"/>
      <c r="Q51" s="39"/>
      <c r="R51" s="39">
        <v>2.0</v>
      </c>
      <c r="S51" s="39"/>
      <c r="T51" s="39"/>
      <c r="U51" s="39"/>
      <c r="V51" s="45"/>
      <c r="W51" s="565"/>
      <c r="X51" s="39"/>
      <c r="Y51" s="555"/>
      <c r="Z51" s="39"/>
      <c r="AA51" s="39"/>
      <c r="AB51" s="795"/>
      <c r="AC51" s="45"/>
      <c r="AD51" s="39"/>
      <c r="AE51" s="39"/>
      <c r="AF51" s="558">
        <f t="shared" ref="AF51:AF52" si="3">SUM(B51:AE51)</f>
        <v>12</v>
      </c>
      <c r="AG51" s="65">
        <v>600.0</v>
      </c>
      <c r="AH51" s="65">
        <f t="shared" ref="AH51:AH52" si="4">AF51*AG51</f>
        <v>7200</v>
      </c>
      <c r="AI51" s="17"/>
      <c r="AJ51" s="178"/>
      <c r="AK51" s="178"/>
    </row>
    <row r="52">
      <c r="A52" s="554" t="s">
        <v>320</v>
      </c>
      <c r="B52" s="36">
        <v>5.0</v>
      </c>
      <c r="C52" s="39">
        <v>1.0</v>
      </c>
      <c r="D52" s="39">
        <v>1.0</v>
      </c>
      <c r="E52" s="39"/>
      <c r="F52" s="39">
        <v>10.0</v>
      </c>
      <c r="G52" s="39">
        <v>3.0</v>
      </c>
      <c r="H52" s="45"/>
      <c r="I52" s="39">
        <v>6.0</v>
      </c>
      <c r="J52" s="39">
        <v>1.0</v>
      </c>
      <c r="K52" s="39">
        <v>2.0</v>
      </c>
      <c r="L52" s="39"/>
      <c r="M52" s="564"/>
      <c r="N52" s="39">
        <v>4.0</v>
      </c>
      <c r="O52" s="45"/>
      <c r="P52" s="39"/>
      <c r="Q52" s="39"/>
      <c r="R52" s="39"/>
      <c r="S52" s="39"/>
      <c r="T52" s="39"/>
      <c r="U52" s="39"/>
      <c r="V52" s="45"/>
      <c r="W52" s="565"/>
      <c r="X52" s="39">
        <v>3.0</v>
      </c>
      <c r="Y52" s="555"/>
      <c r="Z52" s="39"/>
      <c r="AA52" s="39"/>
      <c r="AB52" s="795"/>
      <c r="AC52" s="45"/>
      <c r="AD52" s="39">
        <v>1.0</v>
      </c>
      <c r="AE52" s="39"/>
      <c r="AF52" s="558">
        <f t="shared" si="3"/>
        <v>37</v>
      </c>
      <c r="AG52" s="65">
        <v>440.0</v>
      </c>
      <c r="AH52" s="559">
        <f t="shared" si="4"/>
        <v>16280</v>
      </c>
      <c r="AI52" s="17"/>
      <c r="AJ52" s="178"/>
      <c r="AK52" s="178"/>
    </row>
    <row r="53">
      <c r="A53" s="169" t="s">
        <v>45</v>
      </c>
      <c r="B53" s="128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  <c r="AB53" s="128"/>
      <c r="AC53" s="128"/>
      <c r="AD53" s="128"/>
      <c r="AE53" s="128"/>
      <c r="AF53" s="128"/>
      <c r="AG53" s="129"/>
      <c r="AH53" s="238">
        <f>SUM(AH51:AH52)</f>
        <v>23480</v>
      </c>
      <c r="AI53" s="17"/>
      <c r="AJ53" s="178"/>
      <c r="AK53" s="178"/>
    </row>
    <row r="54">
      <c r="A54" s="24" t="s">
        <v>110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8"/>
      <c r="AI54" s="17"/>
      <c r="AJ54" s="178"/>
      <c r="AK54" s="178"/>
    </row>
    <row r="55">
      <c r="A55" s="147" t="s">
        <v>92</v>
      </c>
      <c r="B55" s="595">
        <v>19.0</v>
      </c>
      <c r="C55" s="59">
        <v>6.0</v>
      </c>
      <c r="D55" s="59">
        <v>3.0</v>
      </c>
      <c r="E55" s="493">
        <v>12.0</v>
      </c>
      <c r="F55" s="59">
        <v>9.0</v>
      </c>
      <c r="G55" s="493">
        <v>3.0</v>
      </c>
      <c r="H55" s="510"/>
      <c r="I55" s="493">
        <v>10.0</v>
      </c>
      <c r="J55" s="493">
        <v>9.0</v>
      </c>
      <c r="K55" s="493">
        <v>9.0</v>
      </c>
      <c r="L55" s="493">
        <v>7.0</v>
      </c>
      <c r="M55" s="527"/>
      <c r="N55" s="493">
        <v>8.0</v>
      </c>
      <c r="O55" s="510"/>
      <c r="P55" s="493">
        <v>27.0</v>
      </c>
      <c r="Q55" s="493">
        <v>20.0</v>
      </c>
      <c r="R55" s="59">
        <v>24.0</v>
      </c>
      <c r="S55" s="59">
        <v>14.0</v>
      </c>
      <c r="T55" s="59">
        <v>17.0</v>
      </c>
      <c r="U55" s="59">
        <v>2.0</v>
      </c>
      <c r="V55" s="515"/>
      <c r="W55" s="530"/>
      <c r="X55" s="59">
        <v>28.0</v>
      </c>
      <c r="Y55" s="611"/>
      <c r="Z55" s="59">
        <v>85.0</v>
      </c>
      <c r="AA55" s="59">
        <v>48.0</v>
      </c>
      <c r="AB55" s="69"/>
      <c r="AC55" s="192"/>
      <c r="AD55" s="59">
        <v>10.0</v>
      </c>
      <c r="AE55" s="59">
        <v>7.0</v>
      </c>
      <c r="AF55" s="62">
        <f t="shared" ref="AF55:AF67" si="5">SUM(B55:AE55)</f>
        <v>377</v>
      </c>
      <c r="AG55" s="80">
        <v>100.0</v>
      </c>
      <c r="AH55" s="68">
        <f t="shared" ref="AH55:AH67" si="6">AF55*AG55</f>
        <v>37700</v>
      </c>
      <c r="AI55" s="17"/>
      <c r="AJ55" s="155"/>
      <c r="AK55" s="155"/>
    </row>
    <row r="56">
      <c r="A56" s="147" t="s">
        <v>98</v>
      </c>
      <c r="B56" s="595">
        <v>2.0</v>
      </c>
      <c r="C56" s="595">
        <v>1.0</v>
      </c>
      <c r="D56" s="59">
        <v>6.0</v>
      </c>
      <c r="E56" s="59">
        <v>1.0</v>
      </c>
      <c r="F56" s="59">
        <v>5.0</v>
      </c>
      <c r="G56" s="59">
        <v>1.0</v>
      </c>
      <c r="H56" s="510"/>
      <c r="I56" s="493">
        <v>6.0</v>
      </c>
      <c r="J56" s="59">
        <v>1.0</v>
      </c>
      <c r="K56" s="493">
        <v>1.0</v>
      </c>
      <c r="L56" s="493">
        <v>1.0</v>
      </c>
      <c r="M56" s="527"/>
      <c r="N56" s="493">
        <v>6.0</v>
      </c>
      <c r="O56" s="510"/>
      <c r="P56" s="493">
        <v>3.0</v>
      </c>
      <c r="Q56" s="493">
        <v>1.0</v>
      </c>
      <c r="R56" s="59"/>
      <c r="S56" s="59">
        <v>2.0</v>
      </c>
      <c r="T56" s="59"/>
      <c r="U56" s="59"/>
      <c r="V56" s="515"/>
      <c r="W56" s="530"/>
      <c r="X56" s="59">
        <v>2.0</v>
      </c>
      <c r="Y56" s="611"/>
      <c r="Z56" s="46"/>
      <c r="AA56" s="59">
        <v>1.0</v>
      </c>
      <c r="AB56" s="69"/>
      <c r="AC56" s="192"/>
      <c r="AD56" s="46"/>
      <c r="AE56" s="59">
        <v>2.0</v>
      </c>
      <c r="AF56" s="62">
        <f t="shared" si="5"/>
        <v>42</v>
      </c>
      <c r="AG56" s="80">
        <v>1000.0</v>
      </c>
      <c r="AH56" s="68">
        <f t="shared" si="6"/>
        <v>42000</v>
      </c>
      <c r="AI56" s="17"/>
      <c r="AJ56" s="155"/>
      <c r="AK56" s="155"/>
    </row>
    <row r="57">
      <c r="A57" s="197" t="s">
        <v>120</v>
      </c>
      <c r="B57" s="595">
        <v>5.0</v>
      </c>
      <c r="C57" s="59">
        <v>7.0</v>
      </c>
      <c r="D57" s="59">
        <v>13.0</v>
      </c>
      <c r="E57" s="59">
        <v>7.0</v>
      </c>
      <c r="F57" s="59">
        <v>24.0</v>
      </c>
      <c r="G57" s="493">
        <v>18.0</v>
      </c>
      <c r="H57" s="515"/>
      <c r="I57" s="493">
        <v>12.0</v>
      </c>
      <c r="J57" s="493">
        <v>11.0</v>
      </c>
      <c r="K57" s="493">
        <v>4.0</v>
      </c>
      <c r="L57" s="493">
        <v>15.0</v>
      </c>
      <c r="M57" s="527"/>
      <c r="N57" s="59">
        <v>4.0</v>
      </c>
      <c r="O57" s="510"/>
      <c r="P57" s="59">
        <v>7.0</v>
      </c>
      <c r="Q57" s="493">
        <v>4.0</v>
      </c>
      <c r="R57" s="59">
        <v>6.0</v>
      </c>
      <c r="S57" s="59"/>
      <c r="T57" s="59">
        <v>3.0</v>
      </c>
      <c r="U57" s="59"/>
      <c r="V57" s="515"/>
      <c r="W57" s="191"/>
      <c r="X57" s="59">
        <v>9.0</v>
      </c>
      <c r="Y57" s="611"/>
      <c r="Z57" s="59">
        <v>5.0</v>
      </c>
      <c r="AA57" s="59">
        <v>7.0</v>
      </c>
      <c r="AB57" s="69"/>
      <c r="AC57" s="192"/>
      <c r="AD57" s="59">
        <v>1.0</v>
      </c>
      <c r="AE57" s="46"/>
      <c r="AF57" s="62">
        <f t="shared" si="5"/>
        <v>162</v>
      </c>
      <c r="AG57" s="80">
        <v>120.0</v>
      </c>
      <c r="AH57" s="68">
        <f t="shared" si="6"/>
        <v>19440</v>
      </c>
      <c r="AI57" s="17"/>
      <c r="AJ57" s="155"/>
      <c r="AK57" s="155"/>
    </row>
    <row r="58">
      <c r="A58" s="662" t="s">
        <v>122</v>
      </c>
      <c r="B58" s="42"/>
      <c r="C58" s="42"/>
      <c r="D58" s="46"/>
      <c r="E58" s="54"/>
      <c r="F58" s="59"/>
      <c r="G58" s="59"/>
      <c r="H58" s="192"/>
      <c r="I58" s="493"/>
      <c r="J58" s="59"/>
      <c r="K58" s="46"/>
      <c r="L58" s="49"/>
      <c r="M58" s="793"/>
      <c r="N58" s="54"/>
      <c r="O58" s="51"/>
      <c r="P58" s="46"/>
      <c r="Q58" s="49"/>
      <c r="R58" s="59">
        <v>11.0</v>
      </c>
      <c r="S58" s="46"/>
      <c r="T58" s="46"/>
      <c r="U58" s="46"/>
      <c r="V58" s="192"/>
      <c r="W58" s="191"/>
      <c r="X58" s="59"/>
      <c r="Y58" s="508"/>
      <c r="Z58" s="46"/>
      <c r="AA58" s="46"/>
      <c r="AB58" s="69"/>
      <c r="AC58" s="192"/>
      <c r="AD58" s="46"/>
      <c r="AE58" s="46"/>
      <c r="AF58" s="62">
        <f t="shared" si="5"/>
        <v>11</v>
      </c>
      <c r="AG58" s="80">
        <v>150.0</v>
      </c>
      <c r="AH58" s="68">
        <f t="shared" si="6"/>
        <v>1650</v>
      </c>
      <c r="AI58" s="17"/>
      <c r="AJ58" s="155"/>
      <c r="AK58" s="155"/>
    </row>
    <row r="59">
      <c r="A59" s="197" t="s">
        <v>322</v>
      </c>
      <c r="B59" s="595">
        <v>11.0</v>
      </c>
      <c r="C59" s="595"/>
      <c r="D59" s="59">
        <v>4.0</v>
      </c>
      <c r="E59" s="493">
        <v>3.0</v>
      </c>
      <c r="F59" s="59">
        <v>13.0</v>
      </c>
      <c r="G59" s="493">
        <v>13.0</v>
      </c>
      <c r="H59" s="510"/>
      <c r="I59" s="493">
        <v>10.0</v>
      </c>
      <c r="J59" s="493">
        <v>3.0</v>
      </c>
      <c r="K59" s="493">
        <v>4.0</v>
      </c>
      <c r="L59" s="493">
        <v>3.0</v>
      </c>
      <c r="M59" s="527"/>
      <c r="N59" s="493">
        <v>6.0</v>
      </c>
      <c r="O59" s="510"/>
      <c r="P59" s="493">
        <v>6.0</v>
      </c>
      <c r="Q59" s="493">
        <v>10.0</v>
      </c>
      <c r="R59" s="59"/>
      <c r="S59" s="59">
        <v>8.0</v>
      </c>
      <c r="T59" s="59">
        <v>18.0</v>
      </c>
      <c r="U59" s="59">
        <v>3.0</v>
      </c>
      <c r="V59" s="515"/>
      <c r="W59" s="530"/>
      <c r="X59" s="59">
        <v>13.0</v>
      </c>
      <c r="Y59" s="611"/>
      <c r="Z59" s="59">
        <v>22.0</v>
      </c>
      <c r="AA59" s="59">
        <v>9.0</v>
      </c>
      <c r="AB59" s="69"/>
      <c r="AC59" s="192"/>
      <c r="AD59" s="59">
        <v>8.0</v>
      </c>
      <c r="AE59" s="59">
        <v>3.0</v>
      </c>
      <c r="AF59" s="62">
        <f t="shared" si="5"/>
        <v>170</v>
      </c>
      <c r="AG59" s="80">
        <v>280.0</v>
      </c>
      <c r="AH59" s="68">
        <f t="shared" si="6"/>
        <v>47600</v>
      </c>
      <c r="AI59" s="17"/>
      <c r="AJ59" s="155"/>
      <c r="AK59" s="155"/>
    </row>
    <row r="60">
      <c r="A60" s="197" t="s">
        <v>323</v>
      </c>
      <c r="B60" s="595"/>
      <c r="C60" s="595"/>
      <c r="D60" s="59"/>
      <c r="E60" s="493"/>
      <c r="F60" s="59"/>
      <c r="G60" s="493"/>
      <c r="H60" s="510"/>
      <c r="I60" s="493"/>
      <c r="J60" s="493"/>
      <c r="K60" s="493"/>
      <c r="L60" s="493"/>
      <c r="M60" s="527"/>
      <c r="N60" s="493"/>
      <c r="O60" s="510"/>
      <c r="P60" s="493"/>
      <c r="Q60" s="493"/>
      <c r="R60" s="59"/>
      <c r="S60" s="59"/>
      <c r="T60" s="59"/>
      <c r="U60" s="59"/>
      <c r="V60" s="515"/>
      <c r="W60" s="530"/>
      <c r="X60" s="59"/>
      <c r="Y60" s="611"/>
      <c r="Z60" s="46"/>
      <c r="AA60" s="59">
        <v>2.0</v>
      </c>
      <c r="AB60" s="69"/>
      <c r="AC60" s="192"/>
      <c r="AD60" s="46"/>
      <c r="AE60" s="59">
        <v>7.0</v>
      </c>
      <c r="AF60" s="62">
        <f t="shared" si="5"/>
        <v>9</v>
      </c>
      <c r="AG60" s="80">
        <v>330.0</v>
      </c>
      <c r="AH60" s="68">
        <f t="shared" si="6"/>
        <v>2970</v>
      </c>
      <c r="AI60" s="17"/>
      <c r="AJ60" s="155"/>
      <c r="AK60" s="155"/>
    </row>
    <row r="61">
      <c r="A61" s="147" t="s">
        <v>108</v>
      </c>
      <c r="B61" s="595">
        <v>1.0</v>
      </c>
      <c r="C61" s="59">
        <v>5.0</v>
      </c>
      <c r="D61" s="59">
        <v>1.0</v>
      </c>
      <c r="E61" s="59"/>
      <c r="F61" s="59">
        <v>6.0</v>
      </c>
      <c r="G61" s="59">
        <v>2.0</v>
      </c>
      <c r="H61" s="515"/>
      <c r="I61" s="493">
        <v>1.0</v>
      </c>
      <c r="J61" s="493">
        <v>1.0</v>
      </c>
      <c r="K61" s="493">
        <v>1.0</v>
      </c>
      <c r="L61" s="59">
        <v>2.0</v>
      </c>
      <c r="M61" s="793"/>
      <c r="N61" s="59">
        <v>3.0</v>
      </c>
      <c r="O61" s="492"/>
      <c r="P61" s="493">
        <v>2.0</v>
      </c>
      <c r="Q61" s="59"/>
      <c r="R61" s="59">
        <v>2.0</v>
      </c>
      <c r="S61" s="59"/>
      <c r="T61" s="59">
        <v>1.0</v>
      </c>
      <c r="U61" s="59">
        <v>2.0</v>
      </c>
      <c r="V61" s="515"/>
      <c r="W61" s="530"/>
      <c r="X61" s="59">
        <v>1.0</v>
      </c>
      <c r="Y61" s="611"/>
      <c r="Z61" s="59">
        <v>1.0</v>
      </c>
      <c r="AA61" s="46"/>
      <c r="AB61" s="69"/>
      <c r="AC61" s="192"/>
      <c r="AD61" s="59">
        <v>4.0</v>
      </c>
      <c r="AE61" s="46"/>
      <c r="AF61" s="62">
        <f t="shared" si="5"/>
        <v>36</v>
      </c>
      <c r="AG61" s="80">
        <v>900.0</v>
      </c>
      <c r="AH61" s="68">
        <f t="shared" si="6"/>
        <v>32400</v>
      </c>
      <c r="AI61" s="17"/>
      <c r="AJ61" s="155"/>
      <c r="AK61" s="155"/>
    </row>
    <row r="62">
      <c r="A62" s="578" t="s">
        <v>329</v>
      </c>
      <c r="B62" s="595">
        <v>9.0</v>
      </c>
      <c r="C62" s="595">
        <v>35.0</v>
      </c>
      <c r="D62" s="59">
        <v>13.0</v>
      </c>
      <c r="E62" s="493">
        <v>5.0</v>
      </c>
      <c r="F62" s="59">
        <v>22.0</v>
      </c>
      <c r="G62" s="493">
        <v>17.0</v>
      </c>
      <c r="H62" s="510"/>
      <c r="I62" s="493">
        <v>19.0</v>
      </c>
      <c r="J62" s="493">
        <v>12.0</v>
      </c>
      <c r="K62" s="493">
        <v>12.0</v>
      </c>
      <c r="L62" s="493">
        <v>12.0</v>
      </c>
      <c r="M62" s="527"/>
      <c r="N62" s="493">
        <v>17.0</v>
      </c>
      <c r="O62" s="510"/>
      <c r="P62" s="493">
        <v>6.0</v>
      </c>
      <c r="Q62" s="493">
        <v>38.0</v>
      </c>
      <c r="R62" s="59">
        <v>13.0</v>
      </c>
      <c r="S62" s="59">
        <v>7.0</v>
      </c>
      <c r="T62" s="59">
        <v>14.0</v>
      </c>
      <c r="U62" s="59">
        <v>1.0</v>
      </c>
      <c r="V62" s="515"/>
      <c r="W62" s="530"/>
      <c r="X62" s="59">
        <v>16.0</v>
      </c>
      <c r="Y62" s="611"/>
      <c r="Z62" s="59">
        <v>22.0</v>
      </c>
      <c r="AA62" s="59">
        <v>9.0</v>
      </c>
      <c r="AB62" s="69"/>
      <c r="AC62" s="192"/>
      <c r="AD62" s="59">
        <v>11.0</v>
      </c>
      <c r="AE62" s="46"/>
      <c r="AF62" s="62">
        <f t="shared" si="5"/>
        <v>310</v>
      </c>
      <c r="AG62" s="80">
        <v>330.0</v>
      </c>
      <c r="AH62" s="68">
        <f t="shared" si="6"/>
        <v>102300</v>
      </c>
      <c r="AI62" s="17"/>
      <c r="AJ62" s="155"/>
      <c r="AK62" s="155"/>
    </row>
    <row r="63">
      <c r="A63" s="198" t="s">
        <v>111</v>
      </c>
      <c r="B63" s="604">
        <v>1.0</v>
      </c>
      <c r="C63" s="42"/>
      <c r="D63" s="59">
        <v>2.0</v>
      </c>
      <c r="E63" s="59"/>
      <c r="F63" s="59">
        <v>1.0</v>
      </c>
      <c r="G63" s="493"/>
      <c r="H63" s="510"/>
      <c r="I63" s="49"/>
      <c r="J63" s="493"/>
      <c r="K63" s="493"/>
      <c r="L63" s="59">
        <v>2.0</v>
      </c>
      <c r="M63" s="527"/>
      <c r="N63" s="493"/>
      <c r="O63" s="51"/>
      <c r="P63" s="46"/>
      <c r="Q63" s="59"/>
      <c r="R63" s="59"/>
      <c r="S63" s="59"/>
      <c r="T63" s="59"/>
      <c r="U63" s="59">
        <v>1.0</v>
      </c>
      <c r="V63" s="515"/>
      <c r="W63" s="191"/>
      <c r="X63" s="46"/>
      <c r="Y63" s="611"/>
      <c r="Z63" s="46"/>
      <c r="AA63" s="59">
        <v>1.0</v>
      </c>
      <c r="AB63" s="69"/>
      <c r="AC63" s="192"/>
      <c r="AD63" s="46"/>
      <c r="AE63" s="46"/>
      <c r="AF63" s="62">
        <f t="shared" si="5"/>
        <v>8</v>
      </c>
      <c r="AG63" s="80">
        <v>360.0</v>
      </c>
      <c r="AH63" s="68">
        <f t="shared" si="6"/>
        <v>2880</v>
      </c>
      <c r="AI63" s="17"/>
      <c r="AJ63" s="155"/>
      <c r="AK63" s="155"/>
    </row>
    <row r="64">
      <c r="A64" s="198" t="s">
        <v>113</v>
      </c>
      <c r="B64" s="618"/>
      <c r="C64" s="42"/>
      <c r="D64" s="54"/>
      <c r="E64" s="54"/>
      <c r="F64" s="54"/>
      <c r="G64" s="59"/>
      <c r="H64" s="492"/>
      <c r="I64" s="46"/>
      <c r="J64" s="54"/>
      <c r="K64" s="493"/>
      <c r="L64" s="59">
        <v>1.0</v>
      </c>
      <c r="M64" s="527"/>
      <c r="N64" s="49"/>
      <c r="O64" s="510"/>
      <c r="P64" s="54"/>
      <c r="Q64" s="59">
        <v>1.0</v>
      </c>
      <c r="R64" s="54"/>
      <c r="S64" s="59"/>
      <c r="T64" s="59">
        <v>1.0</v>
      </c>
      <c r="U64" s="46"/>
      <c r="V64" s="192"/>
      <c r="W64" s="191"/>
      <c r="X64" s="46"/>
      <c r="Y64" s="508"/>
      <c r="Z64" s="46"/>
      <c r="AA64" s="46"/>
      <c r="AB64" s="69"/>
      <c r="AC64" s="192"/>
      <c r="AD64" s="46"/>
      <c r="AE64" s="46"/>
      <c r="AF64" s="62">
        <f t="shared" si="5"/>
        <v>3</v>
      </c>
      <c r="AG64" s="80">
        <v>380.0</v>
      </c>
      <c r="AH64" s="68">
        <f t="shared" si="6"/>
        <v>1140</v>
      </c>
      <c r="AI64" s="17"/>
      <c r="AJ64" s="155"/>
      <c r="AK64" s="155"/>
    </row>
    <row r="65">
      <c r="A65" s="189" t="s">
        <v>114</v>
      </c>
      <c r="B65" s="604">
        <v>3.0</v>
      </c>
      <c r="C65" s="59">
        <v>4.0</v>
      </c>
      <c r="D65" s="59"/>
      <c r="E65" s="59">
        <v>2.0</v>
      </c>
      <c r="F65" s="59">
        <v>4.0</v>
      </c>
      <c r="G65" s="493">
        <v>2.0</v>
      </c>
      <c r="H65" s="515"/>
      <c r="I65" s="493">
        <v>3.0</v>
      </c>
      <c r="J65" s="493">
        <v>6.0</v>
      </c>
      <c r="K65" s="493">
        <v>1.0</v>
      </c>
      <c r="L65" s="59"/>
      <c r="M65" s="527"/>
      <c r="N65" s="493"/>
      <c r="O65" s="510"/>
      <c r="P65" s="493">
        <v>1.0</v>
      </c>
      <c r="Q65" s="493"/>
      <c r="R65" s="59">
        <v>2.0</v>
      </c>
      <c r="S65" s="59">
        <v>1.0</v>
      </c>
      <c r="T65" s="59">
        <v>2.0</v>
      </c>
      <c r="U65" s="59"/>
      <c r="V65" s="515"/>
      <c r="W65" s="530"/>
      <c r="X65" s="59">
        <v>3.0</v>
      </c>
      <c r="Y65" s="611"/>
      <c r="Z65" s="59">
        <v>4.0</v>
      </c>
      <c r="AA65" s="59">
        <v>5.0</v>
      </c>
      <c r="AB65" s="69"/>
      <c r="AC65" s="192"/>
      <c r="AD65" s="59">
        <v>1.0</v>
      </c>
      <c r="AE65" s="59">
        <v>4.0</v>
      </c>
      <c r="AF65" s="62">
        <f t="shared" si="5"/>
        <v>48</v>
      </c>
      <c r="AG65" s="80">
        <v>280.0</v>
      </c>
      <c r="AH65" s="68">
        <f t="shared" si="6"/>
        <v>13440</v>
      </c>
      <c r="AI65" s="17"/>
      <c r="AJ65" s="155"/>
      <c r="AK65" s="155"/>
    </row>
    <row r="66">
      <c r="A66" s="189" t="s">
        <v>115</v>
      </c>
      <c r="B66" s="669"/>
      <c r="C66" s="54"/>
      <c r="D66" s="54"/>
      <c r="E66" s="54"/>
      <c r="F66" s="59">
        <v>2.0</v>
      </c>
      <c r="G66" s="54"/>
      <c r="H66" s="192"/>
      <c r="I66" s="54"/>
      <c r="J66" s="54"/>
      <c r="K66" s="54"/>
      <c r="L66" s="59">
        <v>3.0</v>
      </c>
      <c r="M66" s="534"/>
      <c r="N66" s="46"/>
      <c r="O66" s="51"/>
      <c r="P66" s="54"/>
      <c r="Q66" s="46"/>
      <c r="R66" s="54"/>
      <c r="S66" s="54"/>
      <c r="T66" s="54"/>
      <c r="U66" s="59"/>
      <c r="V66" s="51"/>
      <c r="W66" s="48"/>
      <c r="X66" s="54"/>
      <c r="Y66" s="611"/>
      <c r="Z66" s="54"/>
      <c r="AA66" s="54"/>
      <c r="AB66" s="211"/>
      <c r="AC66" s="51"/>
      <c r="AD66" s="54"/>
      <c r="AE66" s="54"/>
      <c r="AF66" s="62">
        <f t="shared" si="5"/>
        <v>5</v>
      </c>
      <c r="AG66" s="80">
        <v>330.0</v>
      </c>
      <c r="AH66" s="68">
        <f t="shared" si="6"/>
        <v>1650</v>
      </c>
      <c r="AI66" s="17"/>
      <c r="AJ66" s="155"/>
      <c r="AK66" s="155"/>
    </row>
    <row r="67">
      <c r="A67" s="205" t="s">
        <v>119</v>
      </c>
      <c r="B67" s="673"/>
      <c r="C67" s="184"/>
      <c r="D67" s="184"/>
      <c r="E67" s="184"/>
      <c r="F67" s="247">
        <v>1.0</v>
      </c>
      <c r="G67" s="184"/>
      <c r="H67" s="183"/>
      <c r="I67" s="184"/>
      <c r="J67" s="184"/>
      <c r="K67" s="184"/>
      <c r="L67" s="184"/>
      <c r="M67" s="561"/>
      <c r="N67" s="184"/>
      <c r="O67" s="183"/>
      <c r="P67" s="184"/>
      <c r="Q67" s="184"/>
      <c r="R67" s="184"/>
      <c r="S67" s="184"/>
      <c r="T67" s="184"/>
      <c r="U67" s="184"/>
      <c r="V67" s="183"/>
      <c r="W67" s="182"/>
      <c r="X67" s="184"/>
      <c r="Y67" s="543"/>
      <c r="Z67" s="184"/>
      <c r="AA67" s="184"/>
      <c r="AB67" s="215"/>
      <c r="AC67" s="183"/>
      <c r="AD67" s="184"/>
      <c r="AE67" s="184"/>
      <c r="AF67" s="62">
        <f t="shared" si="5"/>
        <v>1</v>
      </c>
      <c r="AG67" s="167">
        <v>1250.0</v>
      </c>
      <c r="AH67" s="168">
        <f t="shared" si="6"/>
        <v>1250</v>
      </c>
      <c r="AI67" s="17"/>
      <c r="AJ67" s="155"/>
      <c r="AK67" s="155"/>
    </row>
    <row r="68">
      <c r="A68" s="798" t="s">
        <v>45</v>
      </c>
      <c r="B68" s="275"/>
      <c r="C68" s="275"/>
      <c r="D68" s="275"/>
      <c r="E68" s="275"/>
      <c r="F68" s="275"/>
      <c r="G68" s="275"/>
      <c r="H68" s="275"/>
      <c r="I68" s="275"/>
      <c r="J68" s="275"/>
      <c r="K68" s="275"/>
      <c r="L68" s="275"/>
      <c r="M68" s="275"/>
      <c r="N68" s="275"/>
      <c r="O68" s="275"/>
      <c r="P68" s="275"/>
      <c r="Q68" s="275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275"/>
      <c r="AC68" s="275"/>
      <c r="AD68" s="275"/>
      <c r="AE68" s="275"/>
      <c r="AF68" s="275"/>
      <c r="AG68" s="276"/>
      <c r="AH68" s="277">
        <f>SUM(AH55:AH67)</f>
        <v>306420</v>
      </c>
      <c r="AI68" s="17"/>
      <c r="AJ68" s="176"/>
      <c r="AK68" s="176"/>
    </row>
    <row r="69">
      <c r="A69" s="262" t="s">
        <v>223</v>
      </c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8"/>
      <c r="AI69" s="17"/>
      <c r="AJ69" s="178"/>
      <c r="AK69" s="178"/>
    </row>
    <row r="70">
      <c r="A70" s="266" t="s">
        <v>224</v>
      </c>
      <c r="B70" s="595">
        <v>2.0</v>
      </c>
      <c r="C70" s="595"/>
      <c r="D70" s="59">
        <v>2.0</v>
      </c>
      <c r="E70" s="59">
        <v>6.0</v>
      </c>
      <c r="F70" s="59">
        <v>4.0</v>
      </c>
      <c r="G70" s="226">
        <v>3.0</v>
      </c>
      <c r="H70" s="510"/>
      <c r="I70" s="493">
        <v>5.0</v>
      </c>
      <c r="J70" s="493">
        <v>1.0</v>
      </c>
      <c r="K70" s="493">
        <v>1.0</v>
      </c>
      <c r="L70" s="59">
        <v>2.0</v>
      </c>
      <c r="M70" s="527"/>
      <c r="N70" s="493">
        <v>2.0</v>
      </c>
      <c r="O70" s="515"/>
      <c r="P70" s="493">
        <v>1.0</v>
      </c>
      <c r="Q70" s="493">
        <v>1.0</v>
      </c>
      <c r="R70" s="59"/>
      <c r="S70" s="59">
        <v>1.0</v>
      </c>
      <c r="T70" s="59">
        <v>1.0</v>
      </c>
      <c r="U70" s="59"/>
      <c r="V70" s="515"/>
      <c r="W70" s="191"/>
      <c r="X70" s="59">
        <v>8.0</v>
      </c>
      <c r="Y70" s="611"/>
      <c r="Z70" s="59">
        <v>9.0</v>
      </c>
      <c r="AA70" s="59">
        <v>2.0</v>
      </c>
      <c r="AB70" s="69"/>
      <c r="AC70" s="192"/>
      <c r="AD70" s="59">
        <v>2.0</v>
      </c>
      <c r="AE70" s="59">
        <v>2.0</v>
      </c>
      <c r="AF70" s="62">
        <f t="shared" ref="AF70:AF76" si="7">SUM(B70:AE70)</f>
        <v>55</v>
      </c>
      <c r="AG70" s="80">
        <v>325.0</v>
      </c>
      <c r="AH70" s="68">
        <f t="shared" ref="AH70:AH76" si="8">AF70*AG70</f>
        <v>17875</v>
      </c>
      <c r="AI70" s="17"/>
      <c r="AJ70" s="178"/>
      <c r="AK70" s="178"/>
    </row>
    <row r="71">
      <c r="A71" s="268" t="s">
        <v>372</v>
      </c>
      <c r="B71" s="595"/>
      <c r="C71" s="42"/>
      <c r="D71" s="59"/>
      <c r="E71" s="59"/>
      <c r="F71" s="59"/>
      <c r="G71" s="493">
        <v>3.0</v>
      </c>
      <c r="H71" s="492"/>
      <c r="I71" s="493">
        <v>2.0</v>
      </c>
      <c r="J71" s="493"/>
      <c r="K71" s="493">
        <v>1.0</v>
      </c>
      <c r="L71" s="493">
        <v>1.0</v>
      </c>
      <c r="M71" s="527"/>
      <c r="N71" s="493">
        <v>1.0</v>
      </c>
      <c r="O71" s="515"/>
      <c r="P71" s="493">
        <v>3.0</v>
      </c>
      <c r="Q71" s="493">
        <v>1.0</v>
      </c>
      <c r="R71" s="59">
        <v>1.0</v>
      </c>
      <c r="S71" s="46"/>
      <c r="T71" s="46"/>
      <c r="U71" s="59"/>
      <c r="V71" s="515"/>
      <c r="W71" s="191"/>
      <c r="X71" s="59"/>
      <c r="Y71" s="611"/>
      <c r="Z71" s="46"/>
      <c r="AA71" s="46"/>
      <c r="AB71" s="69"/>
      <c r="AC71" s="192"/>
      <c r="AD71" s="59">
        <v>1.0</v>
      </c>
      <c r="AE71" s="46"/>
      <c r="AF71" s="62">
        <f t="shared" si="7"/>
        <v>14</v>
      </c>
      <c r="AG71" s="80">
        <v>485.0</v>
      </c>
      <c r="AH71" s="68">
        <f t="shared" si="8"/>
        <v>6790</v>
      </c>
      <c r="AI71" s="17"/>
      <c r="AJ71" s="178"/>
      <c r="AK71" s="178"/>
    </row>
    <row r="72">
      <c r="A72" s="268" t="s">
        <v>362</v>
      </c>
      <c r="B72" s="595">
        <v>1.0</v>
      </c>
      <c r="C72" s="595">
        <v>1.0</v>
      </c>
      <c r="D72" s="59"/>
      <c r="E72" s="46"/>
      <c r="F72" s="59"/>
      <c r="G72" s="493"/>
      <c r="H72" s="510"/>
      <c r="I72" s="493"/>
      <c r="J72" s="493"/>
      <c r="K72" s="493"/>
      <c r="L72" s="49"/>
      <c r="M72" s="527"/>
      <c r="N72" s="493">
        <v>1.0</v>
      </c>
      <c r="O72" s="515"/>
      <c r="P72" s="493"/>
      <c r="Q72" s="493"/>
      <c r="R72" s="59"/>
      <c r="S72" s="59"/>
      <c r="T72" s="59"/>
      <c r="U72" s="59"/>
      <c r="V72" s="515"/>
      <c r="W72" s="191"/>
      <c r="X72" s="59">
        <v>1.0</v>
      </c>
      <c r="Y72" s="611"/>
      <c r="Z72" s="46"/>
      <c r="AA72" s="46"/>
      <c r="AB72" s="69"/>
      <c r="AC72" s="192"/>
      <c r="AD72" s="59">
        <v>4.0</v>
      </c>
      <c r="AE72" s="59">
        <v>2.0</v>
      </c>
      <c r="AF72" s="62">
        <f t="shared" si="7"/>
        <v>10</v>
      </c>
      <c r="AG72" s="80">
        <v>445.0</v>
      </c>
      <c r="AH72" s="68">
        <f t="shared" si="8"/>
        <v>4450</v>
      </c>
      <c r="AI72" s="17"/>
      <c r="AJ72" s="178"/>
      <c r="AK72" s="178"/>
    </row>
    <row r="73">
      <c r="A73" s="268" t="s">
        <v>363</v>
      </c>
      <c r="B73" s="595">
        <v>2.0</v>
      </c>
      <c r="C73" s="42"/>
      <c r="D73" s="59">
        <v>8.0</v>
      </c>
      <c r="E73" s="59">
        <v>4.0</v>
      </c>
      <c r="F73" s="59">
        <v>4.0</v>
      </c>
      <c r="G73" s="493">
        <v>4.0</v>
      </c>
      <c r="H73" s="510"/>
      <c r="I73" s="493">
        <v>9.0</v>
      </c>
      <c r="J73" s="493">
        <v>1.0</v>
      </c>
      <c r="K73" s="493">
        <v>1.0</v>
      </c>
      <c r="L73" s="493">
        <v>3.0</v>
      </c>
      <c r="M73" s="527"/>
      <c r="N73" s="493">
        <v>1.0</v>
      </c>
      <c r="O73" s="515"/>
      <c r="P73" s="493">
        <v>3.0</v>
      </c>
      <c r="Q73" s="493"/>
      <c r="R73" s="59">
        <v>9.0</v>
      </c>
      <c r="S73" s="59">
        <v>3.0</v>
      </c>
      <c r="T73" s="59">
        <v>3.0</v>
      </c>
      <c r="U73" s="59"/>
      <c r="V73" s="515"/>
      <c r="W73" s="191"/>
      <c r="X73" s="59">
        <v>3.0</v>
      </c>
      <c r="Y73" s="611"/>
      <c r="Z73" s="59">
        <v>5.0</v>
      </c>
      <c r="AA73" s="59">
        <v>2.0</v>
      </c>
      <c r="AB73" s="69"/>
      <c r="AC73" s="192"/>
      <c r="AD73" s="59">
        <v>10.0</v>
      </c>
      <c r="AE73" s="59">
        <v>3.0</v>
      </c>
      <c r="AF73" s="62">
        <f t="shared" si="7"/>
        <v>78</v>
      </c>
      <c r="AG73" s="80">
        <v>485.0</v>
      </c>
      <c r="AH73" s="68">
        <f t="shared" si="8"/>
        <v>37830</v>
      </c>
      <c r="AI73" s="17"/>
      <c r="AJ73" s="178"/>
      <c r="AK73" s="178"/>
    </row>
    <row r="74">
      <c r="A74" s="268" t="s">
        <v>377</v>
      </c>
      <c r="B74" s="595">
        <v>1.0</v>
      </c>
      <c r="C74" s="595">
        <v>2.0</v>
      </c>
      <c r="D74" s="59">
        <v>6.0</v>
      </c>
      <c r="E74" s="59">
        <v>3.0</v>
      </c>
      <c r="F74" s="59">
        <v>2.0</v>
      </c>
      <c r="G74" s="493"/>
      <c r="H74" s="510"/>
      <c r="I74" s="493">
        <v>1.0</v>
      </c>
      <c r="J74" s="493">
        <v>1.0</v>
      </c>
      <c r="K74" s="493">
        <v>4.0</v>
      </c>
      <c r="L74" s="493">
        <v>1.0</v>
      </c>
      <c r="M74" s="527"/>
      <c r="N74" s="493">
        <v>4.0</v>
      </c>
      <c r="O74" s="515"/>
      <c r="P74" s="493">
        <v>1.0</v>
      </c>
      <c r="Q74" s="493"/>
      <c r="R74" s="59">
        <v>2.0</v>
      </c>
      <c r="S74" s="59">
        <v>4.0</v>
      </c>
      <c r="T74" s="59">
        <v>3.0</v>
      </c>
      <c r="U74" s="59"/>
      <c r="V74" s="515"/>
      <c r="W74" s="191"/>
      <c r="X74" s="59">
        <v>2.0</v>
      </c>
      <c r="Y74" s="611"/>
      <c r="Z74" s="59">
        <v>1.0</v>
      </c>
      <c r="AA74" s="59">
        <v>8.0</v>
      </c>
      <c r="AB74" s="69"/>
      <c r="AC74" s="192"/>
      <c r="AD74" s="59">
        <v>1.0</v>
      </c>
      <c r="AE74" s="59">
        <v>3.0</v>
      </c>
      <c r="AF74" s="62">
        <f t="shared" si="7"/>
        <v>50</v>
      </c>
      <c r="AG74" s="80">
        <v>480.0</v>
      </c>
      <c r="AH74" s="68">
        <f t="shared" si="8"/>
        <v>24000</v>
      </c>
      <c r="AI74" s="17"/>
      <c r="AJ74" s="178"/>
      <c r="AK74" s="178"/>
    </row>
    <row r="75">
      <c r="A75" s="268" t="s">
        <v>378</v>
      </c>
      <c r="B75" s="595"/>
      <c r="C75" s="595"/>
      <c r="D75" s="59">
        <v>2.0</v>
      </c>
      <c r="E75" s="59"/>
      <c r="F75" s="59">
        <v>1.0</v>
      </c>
      <c r="G75" s="493"/>
      <c r="H75" s="510"/>
      <c r="I75" s="493">
        <v>1.0</v>
      </c>
      <c r="J75" s="493"/>
      <c r="K75" s="493"/>
      <c r="L75" s="493"/>
      <c r="M75" s="527"/>
      <c r="N75" s="493"/>
      <c r="O75" s="51"/>
      <c r="P75" s="493">
        <v>1.0</v>
      </c>
      <c r="Q75" s="493"/>
      <c r="R75" s="59">
        <v>1.0</v>
      </c>
      <c r="S75" s="59"/>
      <c r="T75" s="59"/>
      <c r="U75" s="59"/>
      <c r="V75" s="515"/>
      <c r="W75" s="191"/>
      <c r="X75" s="59">
        <v>2.0</v>
      </c>
      <c r="Y75" s="611"/>
      <c r="Z75" s="46"/>
      <c r="AA75" s="59">
        <v>1.0</v>
      </c>
      <c r="AB75" s="69"/>
      <c r="AC75" s="192"/>
      <c r="AD75" s="46"/>
      <c r="AE75" s="59">
        <v>2.0</v>
      </c>
      <c r="AF75" s="62">
        <f t="shared" si="7"/>
        <v>11</v>
      </c>
      <c r="AG75" s="80">
        <v>650.0</v>
      </c>
      <c r="AH75" s="68">
        <f t="shared" si="8"/>
        <v>7150</v>
      </c>
      <c r="AI75" s="17"/>
      <c r="AJ75" s="178"/>
      <c r="AK75" s="178"/>
    </row>
    <row r="76">
      <c r="A76" s="268" t="s">
        <v>379</v>
      </c>
      <c r="B76" s="595"/>
      <c r="C76" s="42"/>
      <c r="D76" s="46"/>
      <c r="E76" s="59"/>
      <c r="F76" s="54"/>
      <c r="G76" s="493"/>
      <c r="H76" s="510"/>
      <c r="I76" s="493">
        <v>1.0</v>
      </c>
      <c r="J76" s="49"/>
      <c r="K76" s="493"/>
      <c r="L76" s="493"/>
      <c r="M76" s="527"/>
      <c r="N76" s="493"/>
      <c r="O76" s="51"/>
      <c r="P76" s="49"/>
      <c r="Q76" s="493"/>
      <c r="R76" s="59"/>
      <c r="S76" s="59"/>
      <c r="T76" s="59"/>
      <c r="U76" s="59"/>
      <c r="V76" s="515"/>
      <c r="W76" s="191"/>
      <c r="X76" s="59"/>
      <c r="Y76" s="611"/>
      <c r="Z76" s="46"/>
      <c r="AA76" s="46"/>
      <c r="AB76" s="69"/>
      <c r="AC76" s="192"/>
      <c r="AD76" s="46"/>
      <c r="AE76" s="46"/>
      <c r="AF76" s="62">
        <f t="shared" si="7"/>
        <v>1</v>
      </c>
      <c r="AG76" s="80">
        <v>700.0</v>
      </c>
      <c r="AH76" s="68">
        <f t="shared" si="8"/>
        <v>700</v>
      </c>
      <c r="AI76" s="17"/>
      <c r="AJ76" s="178"/>
      <c r="AK76" s="178"/>
    </row>
    <row r="77">
      <c r="A77" s="798" t="s">
        <v>45</v>
      </c>
      <c r="B77" s="275"/>
      <c r="C77" s="275"/>
      <c r="D77" s="275"/>
      <c r="E77" s="275"/>
      <c r="F77" s="275"/>
      <c r="G77" s="275"/>
      <c r="H77" s="275"/>
      <c r="I77" s="275"/>
      <c r="J77" s="275"/>
      <c r="K77" s="275"/>
      <c r="L77" s="275"/>
      <c r="M77" s="275"/>
      <c r="N77" s="275"/>
      <c r="O77" s="275"/>
      <c r="P77" s="275"/>
      <c r="Q77" s="275"/>
      <c r="R77" s="275"/>
      <c r="S77" s="275"/>
      <c r="T77" s="275"/>
      <c r="U77" s="275"/>
      <c r="V77" s="275"/>
      <c r="W77" s="275"/>
      <c r="X77" s="275"/>
      <c r="Y77" s="275"/>
      <c r="Z77" s="275"/>
      <c r="AA77" s="275"/>
      <c r="AB77" s="275"/>
      <c r="AC77" s="275"/>
      <c r="AD77" s="275"/>
      <c r="AE77" s="275"/>
      <c r="AF77" s="275"/>
      <c r="AG77" s="276"/>
      <c r="AH77" s="277">
        <f>SUM(AH70:AH76)</f>
        <v>98795</v>
      </c>
      <c r="AI77" s="17"/>
      <c r="AJ77" s="178"/>
      <c r="AK77" s="178"/>
    </row>
    <row r="78">
      <c r="A78" s="262" t="s">
        <v>230</v>
      </c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8"/>
      <c r="AI78" s="17"/>
      <c r="AJ78" s="178"/>
      <c r="AK78" s="178"/>
    </row>
    <row r="79">
      <c r="A79" s="268" t="s">
        <v>231</v>
      </c>
      <c r="B79" s="595">
        <v>1.0</v>
      </c>
      <c r="C79" s="59">
        <v>1.0</v>
      </c>
      <c r="D79" s="59">
        <v>1.0</v>
      </c>
      <c r="E79" s="59">
        <v>1.0</v>
      </c>
      <c r="F79" s="59">
        <v>2.0</v>
      </c>
      <c r="G79" s="59">
        <v>1.0</v>
      </c>
      <c r="H79" s="492"/>
      <c r="I79" s="49"/>
      <c r="J79" s="493"/>
      <c r="K79" s="493">
        <v>1.0</v>
      </c>
      <c r="L79" s="59"/>
      <c r="M79" s="527"/>
      <c r="N79" s="59">
        <v>2.0</v>
      </c>
      <c r="O79" s="51"/>
      <c r="P79" s="493">
        <v>1.0</v>
      </c>
      <c r="Q79" s="493"/>
      <c r="R79" s="46"/>
      <c r="S79" s="59"/>
      <c r="T79" s="59"/>
      <c r="U79" s="59"/>
      <c r="V79" s="515"/>
      <c r="W79" s="191"/>
      <c r="X79" s="59"/>
      <c r="Y79" s="611"/>
      <c r="Z79" s="46"/>
      <c r="AA79" s="46"/>
      <c r="AB79" s="69"/>
      <c r="AC79" s="192"/>
      <c r="AD79" s="59">
        <v>1.0</v>
      </c>
      <c r="AE79" s="59">
        <v>1.0</v>
      </c>
      <c r="AF79" s="62">
        <f t="shared" ref="AF79:AF83" si="9">SUM(B79:AE79)</f>
        <v>13</v>
      </c>
      <c r="AG79" s="80">
        <v>1150.0</v>
      </c>
      <c r="AH79" s="68">
        <f t="shared" ref="AH79:AH83" si="10">AF79*AG79</f>
        <v>14950</v>
      </c>
      <c r="AI79" s="17"/>
      <c r="AJ79" s="178"/>
      <c r="AK79" s="178"/>
    </row>
    <row r="80">
      <c r="A80" s="268" t="s">
        <v>233</v>
      </c>
      <c r="B80" s="595">
        <v>2.0</v>
      </c>
      <c r="C80" s="595">
        <v>3.0</v>
      </c>
      <c r="D80" s="59">
        <v>4.0</v>
      </c>
      <c r="E80" s="49"/>
      <c r="F80" s="59">
        <v>6.0</v>
      </c>
      <c r="G80" s="493">
        <v>5.0</v>
      </c>
      <c r="H80" s="510"/>
      <c r="I80" s="493"/>
      <c r="J80" s="59">
        <v>1.0</v>
      </c>
      <c r="K80" s="493">
        <v>3.0</v>
      </c>
      <c r="L80" s="59">
        <v>3.0</v>
      </c>
      <c r="M80" s="527"/>
      <c r="N80" s="493">
        <v>6.0</v>
      </c>
      <c r="O80" s="510"/>
      <c r="P80" s="493">
        <v>4.0</v>
      </c>
      <c r="Q80" s="493"/>
      <c r="R80" s="59"/>
      <c r="S80" s="59"/>
      <c r="T80" s="59">
        <v>4.0</v>
      </c>
      <c r="U80" s="59"/>
      <c r="V80" s="515"/>
      <c r="W80" s="191"/>
      <c r="X80" s="59">
        <v>6.0</v>
      </c>
      <c r="Y80" s="611"/>
      <c r="Z80" s="59">
        <v>2.0</v>
      </c>
      <c r="AA80" s="59">
        <v>5.0</v>
      </c>
      <c r="AB80" s="69"/>
      <c r="AC80" s="192"/>
      <c r="AD80" s="59">
        <v>5.0</v>
      </c>
      <c r="AE80" s="59">
        <v>3.0</v>
      </c>
      <c r="AF80" s="62">
        <f t="shared" si="9"/>
        <v>62</v>
      </c>
      <c r="AG80" s="80">
        <v>1250.0</v>
      </c>
      <c r="AH80" s="68">
        <f t="shared" si="10"/>
        <v>77500</v>
      </c>
      <c r="AI80" s="17"/>
      <c r="AJ80" s="178"/>
      <c r="AK80" s="178"/>
    </row>
    <row r="81">
      <c r="A81" s="33" t="s">
        <v>375</v>
      </c>
      <c r="B81" s="604"/>
      <c r="C81" s="59"/>
      <c r="D81" s="59">
        <v>2.0</v>
      </c>
      <c r="E81" s="59"/>
      <c r="F81" s="59">
        <v>1.0</v>
      </c>
      <c r="G81" s="59"/>
      <c r="H81" s="51"/>
      <c r="I81" s="59"/>
      <c r="J81" s="59"/>
      <c r="K81" s="59"/>
      <c r="L81" s="54"/>
      <c r="M81" s="527"/>
      <c r="N81" s="54"/>
      <c r="O81" s="515"/>
      <c r="P81" s="59"/>
      <c r="Q81" s="59"/>
      <c r="R81" s="59">
        <v>5.0</v>
      </c>
      <c r="S81" s="59">
        <v>4.0</v>
      </c>
      <c r="T81" s="59">
        <v>1.0</v>
      </c>
      <c r="U81" s="59"/>
      <c r="V81" s="51"/>
      <c r="W81" s="48"/>
      <c r="X81" s="59">
        <v>5.0</v>
      </c>
      <c r="Y81" s="611"/>
      <c r="Z81" s="59">
        <v>8.0</v>
      </c>
      <c r="AA81" s="59">
        <v>1.0</v>
      </c>
      <c r="AB81" s="211"/>
      <c r="AC81" s="51"/>
      <c r="AD81" s="59">
        <v>6.0</v>
      </c>
      <c r="AE81" s="59">
        <v>2.0</v>
      </c>
      <c r="AF81" s="62">
        <f t="shared" si="9"/>
        <v>35</v>
      </c>
      <c r="AG81" s="80">
        <v>1500.0</v>
      </c>
      <c r="AH81" s="68">
        <f t="shared" si="10"/>
        <v>52500</v>
      </c>
      <c r="AI81" s="17"/>
      <c r="AJ81" s="178"/>
      <c r="AK81" s="178"/>
    </row>
    <row r="82">
      <c r="A82" s="33" t="s">
        <v>383</v>
      </c>
      <c r="B82" s="604">
        <v>6.0</v>
      </c>
      <c r="C82" s="59">
        <v>2.0</v>
      </c>
      <c r="D82" s="59">
        <v>2.0</v>
      </c>
      <c r="E82" s="59">
        <v>1.0</v>
      </c>
      <c r="F82" s="59">
        <v>3.0</v>
      </c>
      <c r="G82" s="59">
        <v>3.0</v>
      </c>
      <c r="H82" s="515"/>
      <c r="I82" s="59">
        <v>3.0</v>
      </c>
      <c r="J82" s="59">
        <v>12.0</v>
      </c>
      <c r="K82" s="59">
        <v>1.0</v>
      </c>
      <c r="L82" s="59">
        <v>2.0</v>
      </c>
      <c r="M82" s="527"/>
      <c r="N82" s="59">
        <v>1.0</v>
      </c>
      <c r="O82" s="51"/>
      <c r="P82" s="59">
        <v>3.0</v>
      </c>
      <c r="Q82" s="59">
        <v>2.0</v>
      </c>
      <c r="R82" s="59">
        <v>3.0</v>
      </c>
      <c r="S82" s="59">
        <v>2.0</v>
      </c>
      <c r="T82" s="59">
        <v>5.0</v>
      </c>
      <c r="U82" s="54"/>
      <c r="V82" s="51"/>
      <c r="W82" s="48"/>
      <c r="X82" s="59">
        <v>3.0</v>
      </c>
      <c r="Y82" s="611"/>
      <c r="Z82" s="59">
        <v>5.0</v>
      </c>
      <c r="AA82" s="59">
        <v>3.0</v>
      </c>
      <c r="AB82" s="211"/>
      <c r="AC82" s="51"/>
      <c r="AD82" s="59">
        <v>2.0</v>
      </c>
      <c r="AE82" s="59">
        <v>1.0</v>
      </c>
      <c r="AF82" s="62">
        <f t="shared" si="9"/>
        <v>65</v>
      </c>
      <c r="AG82" s="80">
        <v>80.0</v>
      </c>
      <c r="AH82" s="68">
        <f t="shared" si="10"/>
        <v>5200</v>
      </c>
      <c r="AI82" s="17"/>
      <c r="AJ82" s="178"/>
      <c r="AK82" s="178"/>
    </row>
    <row r="83">
      <c r="A83" s="33" t="s">
        <v>382</v>
      </c>
      <c r="B83" s="604">
        <v>19.0</v>
      </c>
      <c r="C83" s="59">
        <v>7.0</v>
      </c>
      <c r="D83" s="59">
        <v>12.0</v>
      </c>
      <c r="E83" s="59">
        <v>12.0</v>
      </c>
      <c r="F83" s="59">
        <v>15.0</v>
      </c>
      <c r="G83" s="59">
        <v>16.0</v>
      </c>
      <c r="H83" s="515"/>
      <c r="I83" s="59">
        <v>18.0</v>
      </c>
      <c r="J83" s="59">
        <v>6.0</v>
      </c>
      <c r="K83" s="59">
        <v>5.0</v>
      </c>
      <c r="L83" s="59">
        <v>11.0</v>
      </c>
      <c r="M83" s="527"/>
      <c r="N83" s="59">
        <v>11.0</v>
      </c>
      <c r="O83" s="51"/>
      <c r="P83" s="59">
        <v>7.0</v>
      </c>
      <c r="Q83" s="59">
        <v>9.0</v>
      </c>
      <c r="R83" s="59">
        <v>7.0</v>
      </c>
      <c r="S83" s="59">
        <v>5.0</v>
      </c>
      <c r="T83" s="59">
        <v>11.0</v>
      </c>
      <c r="U83" s="59">
        <v>2.0</v>
      </c>
      <c r="V83" s="515"/>
      <c r="W83" s="48"/>
      <c r="X83" s="59">
        <v>4.0</v>
      </c>
      <c r="Y83" s="611"/>
      <c r="Z83" s="59">
        <v>13.0</v>
      </c>
      <c r="AA83" s="59">
        <v>10.0</v>
      </c>
      <c r="AB83" s="211"/>
      <c r="AC83" s="51"/>
      <c r="AD83" s="59">
        <v>5.0</v>
      </c>
      <c r="AE83" s="59">
        <v>4.0</v>
      </c>
      <c r="AF83" s="62">
        <f t="shared" si="9"/>
        <v>209</v>
      </c>
      <c r="AG83" s="80">
        <v>120.0</v>
      </c>
      <c r="AH83" s="68">
        <f t="shared" si="10"/>
        <v>25080</v>
      </c>
      <c r="AI83" s="17"/>
      <c r="AJ83" s="178"/>
      <c r="AK83" s="178"/>
    </row>
    <row r="84">
      <c r="A84" s="798" t="s">
        <v>45</v>
      </c>
      <c r="B84" s="275"/>
      <c r="C84" s="275"/>
      <c r="D84" s="275"/>
      <c r="E84" s="275"/>
      <c r="F84" s="275"/>
      <c r="G84" s="275"/>
      <c r="H84" s="275"/>
      <c r="I84" s="275"/>
      <c r="J84" s="275"/>
      <c r="K84" s="275"/>
      <c r="L84" s="275"/>
      <c r="M84" s="275"/>
      <c r="N84" s="275"/>
      <c r="O84" s="275"/>
      <c r="P84" s="275"/>
      <c r="Q84" s="275"/>
      <c r="R84" s="275"/>
      <c r="S84" s="275"/>
      <c r="T84" s="275"/>
      <c r="U84" s="275"/>
      <c r="V84" s="275"/>
      <c r="W84" s="275"/>
      <c r="X84" s="275"/>
      <c r="Y84" s="275"/>
      <c r="Z84" s="275"/>
      <c r="AA84" s="275"/>
      <c r="AB84" s="275"/>
      <c r="AC84" s="275"/>
      <c r="AD84" s="275"/>
      <c r="AE84" s="275"/>
      <c r="AF84" s="275"/>
      <c r="AG84" s="276"/>
      <c r="AH84" s="277">
        <f>SUM(AH79:AH83)</f>
        <v>175230</v>
      </c>
      <c r="AI84" s="17"/>
      <c r="AJ84" s="178"/>
      <c r="AK84" s="178"/>
    </row>
    <row r="85">
      <c r="A85" s="24" t="s">
        <v>146</v>
      </c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8"/>
      <c r="AI85" s="17"/>
      <c r="AJ85" s="178"/>
      <c r="AK85" s="178"/>
    </row>
    <row r="86">
      <c r="A86" s="223" t="s">
        <v>52</v>
      </c>
      <c r="B86" s="604">
        <v>1.0</v>
      </c>
      <c r="C86" s="59"/>
      <c r="D86" s="46"/>
      <c r="E86" s="59">
        <v>1.0</v>
      </c>
      <c r="F86" s="59">
        <v>1.0</v>
      </c>
      <c r="G86" s="59">
        <v>1.0</v>
      </c>
      <c r="H86" s="192"/>
      <c r="I86" s="493"/>
      <c r="J86" s="59">
        <v>1.0</v>
      </c>
      <c r="K86" s="59"/>
      <c r="L86" s="59">
        <v>1.0</v>
      </c>
      <c r="M86" s="793"/>
      <c r="N86" s="59"/>
      <c r="O86" s="515"/>
      <c r="P86" s="46"/>
      <c r="Q86" s="59"/>
      <c r="R86" s="46"/>
      <c r="S86" s="59"/>
      <c r="T86" s="46"/>
      <c r="U86" s="46"/>
      <c r="V86" s="515"/>
      <c r="W86" s="191"/>
      <c r="X86" s="59">
        <v>1.0</v>
      </c>
      <c r="Y86" s="508"/>
      <c r="Z86" s="46"/>
      <c r="AA86" s="46"/>
      <c r="AB86" s="69"/>
      <c r="AC86" s="192"/>
      <c r="AD86" s="59">
        <v>1.0</v>
      </c>
      <c r="AE86" s="46"/>
      <c r="AF86" s="62">
        <f t="shared" ref="AF86:AF102" si="11">SUM(B86:AE86)</f>
        <v>8</v>
      </c>
      <c r="AG86" s="80">
        <v>1200.0</v>
      </c>
      <c r="AH86" s="68">
        <f t="shared" ref="AH86:AH102" si="12">AF86*AG86</f>
        <v>9600</v>
      </c>
      <c r="AI86" s="17"/>
      <c r="AJ86" s="178"/>
      <c r="AK86" s="178"/>
    </row>
    <row r="87">
      <c r="A87" s="33" t="s">
        <v>151</v>
      </c>
      <c r="B87" s="595"/>
      <c r="C87" s="42"/>
      <c r="D87" s="59">
        <v>3.0</v>
      </c>
      <c r="E87" s="54"/>
      <c r="F87" s="59">
        <v>1.0</v>
      </c>
      <c r="G87" s="59"/>
      <c r="H87" s="192"/>
      <c r="I87" s="59"/>
      <c r="J87" s="46"/>
      <c r="K87" s="59"/>
      <c r="L87" s="59"/>
      <c r="M87" s="527"/>
      <c r="N87" s="59"/>
      <c r="O87" s="51"/>
      <c r="P87" s="46"/>
      <c r="Q87" s="59"/>
      <c r="R87" s="46"/>
      <c r="S87" s="59"/>
      <c r="T87" s="46"/>
      <c r="U87" s="46"/>
      <c r="V87" s="515"/>
      <c r="W87" s="530"/>
      <c r="X87" s="59">
        <v>2.0</v>
      </c>
      <c r="Y87" s="611"/>
      <c r="Z87" s="46"/>
      <c r="AA87" s="59">
        <v>5.0</v>
      </c>
      <c r="AB87" s="69"/>
      <c r="AC87" s="192"/>
      <c r="AD87" s="46"/>
      <c r="AE87" s="59">
        <v>1.0</v>
      </c>
      <c r="AF87" s="62">
        <f t="shared" si="11"/>
        <v>12</v>
      </c>
      <c r="AG87" s="80">
        <v>1500.0</v>
      </c>
      <c r="AH87" s="68">
        <f t="shared" si="12"/>
        <v>18000</v>
      </c>
      <c r="AI87" s="17"/>
      <c r="AJ87" s="178"/>
      <c r="AK87" s="178"/>
    </row>
    <row r="88">
      <c r="A88" s="226" t="s">
        <v>56</v>
      </c>
      <c r="B88" s="604"/>
      <c r="C88" s="54"/>
      <c r="D88" s="46"/>
      <c r="E88" s="54"/>
      <c r="F88" s="54"/>
      <c r="G88" s="54"/>
      <c r="H88" s="51"/>
      <c r="I88" s="59"/>
      <c r="J88" s="54"/>
      <c r="K88" s="46"/>
      <c r="L88" s="54"/>
      <c r="M88" s="534"/>
      <c r="N88" s="59">
        <v>1.0</v>
      </c>
      <c r="O88" s="492"/>
      <c r="P88" s="54"/>
      <c r="Q88" s="54"/>
      <c r="R88" s="59"/>
      <c r="S88" s="54"/>
      <c r="T88" s="54"/>
      <c r="U88" s="54"/>
      <c r="V88" s="51"/>
      <c r="W88" s="48"/>
      <c r="X88" s="54"/>
      <c r="Y88" s="491"/>
      <c r="Z88" s="54"/>
      <c r="AA88" s="54"/>
      <c r="AB88" s="211"/>
      <c r="AC88" s="51"/>
      <c r="AD88" s="54"/>
      <c r="AE88" s="54"/>
      <c r="AF88" s="62">
        <f t="shared" si="11"/>
        <v>1</v>
      </c>
      <c r="AG88" s="80">
        <v>1500.0</v>
      </c>
      <c r="AH88" s="68">
        <f t="shared" si="12"/>
        <v>1500</v>
      </c>
      <c r="AI88" s="17"/>
      <c r="AJ88" s="178"/>
      <c r="AK88" s="178"/>
    </row>
    <row r="89">
      <c r="A89" s="226" t="s">
        <v>59</v>
      </c>
      <c r="B89" s="604">
        <v>4.0</v>
      </c>
      <c r="C89" s="46"/>
      <c r="D89" s="59">
        <v>1.0</v>
      </c>
      <c r="E89" s="59">
        <v>1.0</v>
      </c>
      <c r="F89" s="59">
        <v>3.0</v>
      </c>
      <c r="G89" s="59">
        <v>1.0</v>
      </c>
      <c r="H89" s="192"/>
      <c r="I89" s="59">
        <v>10.0</v>
      </c>
      <c r="J89" s="59">
        <v>2.0</v>
      </c>
      <c r="K89" s="49"/>
      <c r="L89" s="59">
        <v>4.0</v>
      </c>
      <c r="M89" s="793"/>
      <c r="N89" s="46"/>
      <c r="O89" s="492"/>
      <c r="P89" s="46"/>
      <c r="Q89" s="59">
        <v>2.0</v>
      </c>
      <c r="R89" s="59"/>
      <c r="S89" s="59"/>
      <c r="T89" s="59"/>
      <c r="U89" s="59"/>
      <c r="V89" s="515"/>
      <c r="W89" s="191"/>
      <c r="X89" s="59"/>
      <c r="Y89" s="508"/>
      <c r="Z89" s="59">
        <v>1.0</v>
      </c>
      <c r="AA89" s="59">
        <v>1.0</v>
      </c>
      <c r="AB89" s="69"/>
      <c r="AC89" s="192"/>
      <c r="AD89" s="46"/>
      <c r="AE89" s="59">
        <v>1.0</v>
      </c>
      <c r="AF89" s="62">
        <f t="shared" si="11"/>
        <v>31</v>
      </c>
      <c r="AG89" s="80">
        <v>1500.0</v>
      </c>
      <c r="AH89" s="68">
        <f t="shared" si="12"/>
        <v>46500</v>
      </c>
      <c r="AI89" s="17"/>
      <c r="AJ89" s="178"/>
      <c r="AK89" s="178"/>
    </row>
    <row r="90">
      <c r="A90" s="226" t="s">
        <v>62</v>
      </c>
      <c r="B90" s="604"/>
      <c r="C90" s="59">
        <v>1.0</v>
      </c>
      <c r="D90" s="46"/>
      <c r="E90" s="46"/>
      <c r="F90" s="54"/>
      <c r="G90" s="59">
        <v>1.0</v>
      </c>
      <c r="H90" s="192"/>
      <c r="I90" s="46"/>
      <c r="J90" s="54"/>
      <c r="K90" s="49"/>
      <c r="L90" s="46"/>
      <c r="M90" s="527"/>
      <c r="N90" s="46"/>
      <c r="O90" s="51"/>
      <c r="P90" s="46"/>
      <c r="Q90" s="46"/>
      <c r="R90" s="46"/>
      <c r="S90" s="46"/>
      <c r="T90" s="46"/>
      <c r="U90" s="59"/>
      <c r="V90" s="515"/>
      <c r="W90" s="191"/>
      <c r="X90" s="46"/>
      <c r="Y90" s="508"/>
      <c r="Z90" s="46"/>
      <c r="AA90" s="59"/>
      <c r="AB90" s="69"/>
      <c r="AC90" s="192"/>
      <c r="AD90" s="46"/>
      <c r="AE90" s="46"/>
      <c r="AF90" s="62">
        <f t="shared" si="11"/>
        <v>2</v>
      </c>
      <c r="AG90" s="80">
        <v>1500.0</v>
      </c>
      <c r="AH90" s="68">
        <f t="shared" si="12"/>
        <v>3000</v>
      </c>
      <c r="AI90" s="17"/>
      <c r="AJ90" s="178"/>
      <c r="AK90" s="178"/>
    </row>
    <row r="91">
      <c r="A91" s="226" t="s">
        <v>64</v>
      </c>
      <c r="B91" s="604">
        <v>1.0</v>
      </c>
      <c r="C91" s="59">
        <v>1.0</v>
      </c>
      <c r="D91" s="59">
        <v>1.0</v>
      </c>
      <c r="E91" s="49"/>
      <c r="F91" s="59">
        <v>2.0</v>
      </c>
      <c r="G91" s="59"/>
      <c r="H91" s="192"/>
      <c r="I91" s="59">
        <v>2.0</v>
      </c>
      <c r="J91" s="59"/>
      <c r="K91" s="59"/>
      <c r="L91" s="59"/>
      <c r="M91" s="527"/>
      <c r="N91" s="59">
        <v>1.0</v>
      </c>
      <c r="O91" s="515"/>
      <c r="P91" s="59">
        <v>1.0</v>
      </c>
      <c r="Q91" s="493"/>
      <c r="R91" s="54"/>
      <c r="S91" s="59">
        <v>1.0</v>
      </c>
      <c r="T91" s="59"/>
      <c r="U91" s="59"/>
      <c r="V91" s="192"/>
      <c r="W91" s="530"/>
      <c r="X91" s="59">
        <v>1.0</v>
      </c>
      <c r="Y91" s="611"/>
      <c r="Z91" s="46"/>
      <c r="AA91" s="59">
        <v>1.0</v>
      </c>
      <c r="AB91" s="69"/>
      <c r="AC91" s="192"/>
      <c r="AD91" s="59">
        <v>1.0</v>
      </c>
      <c r="AE91" s="59">
        <v>1.0</v>
      </c>
      <c r="AF91" s="62">
        <f t="shared" si="11"/>
        <v>14</v>
      </c>
      <c r="AG91" s="80">
        <v>1500.0</v>
      </c>
      <c r="AH91" s="68">
        <f t="shared" si="12"/>
        <v>21000</v>
      </c>
      <c r="AI91" s="17"/>
      <c r="AJ91" s="178"/>
      <c r="AK91" s="178"/>
    </row>
    <row r="92">
      <c r="A92" s="223" t="s">
        <v>54</v>
      </c>
      <c r="B92" s="618"/>
      <c r="C92" s="46"/>
      <c r="D92" s="46"/>
      <c r="E92" s="54"/>
      <c r="F92" s="54"/>
      <c r="G92" s="59"/>
      <c r="H92" s="492"/>
      <c r="I92" s="493">
        <v>1.0</v>
      </c>
      <c r="J92" s="49"/>
      <c r="K92" s="46"/>
      <c r="L92" s="59"/>
      <c r="M92" s="534"/>
      <c r="N92" s="59">
        <v>1.0</v>
      </c>
      <c r="O92" s="51"/>
      <c r="P92" s="46"/>
      <c r="Q92" s="493"/>
      <c r="R92" s="59"/>
      <c r="S92" s="46"/>
      <c r="T92" s="59"/>
      <c r="U92" s="46"/>
      <c r="V92" s="515"/>
      <c r="W92" s="191"/>
      <c r="X92" s="46"/>
      <c r="Y92" s="611"/>
      <c r="Z92" s="59">
        <v>4.0</v>
      </c>
      <c r="AA92" s="46"/>
      <c r="AB92" s="69"/>
      <c r="AC92" s="192"/>
      <c r="AD92" s="46"/>
      <c r="AE92" s="46"/>
      <c r="AF92" s="62">
        <f t="shared" si="11"/>
        <v>6</v>
      </c>
      <c r="AG92" s="80">
        <v>1500.0</v>
      </c>
      <c r="AH92" s="68">
        <f t="shared" si="12"/>
        <v>9000</v>
      </c>
      <c r="AI92" s="17"/>
      <c r="AJ92" s="178"/>
      <c r="AK92" s="178"/>
    </row>
    <row r="93">
      <c r="A93" s="226" t="s">
        <v>159</v>
      </c>
      <c r="B93" s="595"/>
      <c r="C93" s="595"/>
      <c r="D93" s="59"/>
      <c r="E93" s="59">
        <v>1.0</v>
      </c>
      <c r="F93" s="59">
        <v>3.0</v>
      </c>
      <c r="G93" s="59">
        <v>1.0</v>
      </c>
      <c r="H93" s="515"/>
      <c r="I93" s="493">
        <v>2.0</v>
      </c>
      <c r="J93" s="493"/>
      <c r="K93" s="59">
        <v>1.0</v>
      </c>
      <c r="L93" s="493">
        <v>1.0</v>
      </c>
      <c r="M93" s="527"/>
      <c r="N93" s="59">
        <v>1.0</v>
      </c>
      <c r="O93" s="510"/>
      <c r="P93" s="49"/>
      <c r="Q93" s="59">
        <v>1.0</v>
      </c>
      <c r="R93" s="59">
        <v>3.0</v>
      </c>
      <c r="S93" s="59">
        <v>1.0</v>
      </c>
      <c r="T93" s="59">
        <v>2.0</v>
      </c>
      <c r="U93" s="59"/>
      <c r="V93" s="515"/>
      <c r="W93" s="191"/>
      <c r="X93" s="59">
        <v>2.0</v>
      </c>
      <c r="Y93" s="611"/>
      <c r="Z93" s="46"/>
      <c r="AA93" s="46"/>
      <c r="AB93" s="69"/>
      <c r="AC93" s="192"/>
      <c r="AD93" s="46"/>
      <c r="AE93" s="59">
        <v>1.0</v>
      </c>
      <c r="AF93" s="62">
        <f t="shared" si="11"/>
        <v>20</v>
      </c>
      <c r="AG93" s="80">
        <v>1500.0</v>
      </c>
      <c r="AH93" s="68">
        <f t="shared" si="12"/>
        <v>30000</v>
      </c>
      <c r="AI93" s="17"/>
      <c r="AJ93" s="178"/>
      <c r="AK93" s="178"/>
    </row>
    <row r="94">
      <c r="A94" s="226" t="s">
        <v>67</v>
      </c>
      <c r="B94" s="618"/>
      <c r="C94" s="59"/>
      <c r="D94" s="54"/>
      <c r="E94" s="54"/>
      <c r="F94" s="59">
        <v>1.0</v>
      </c>
      <c r="G94" s="54"/>
      <c r="H94" s="51"/>
      <c r="I94" s="54"/>
      <c r="J94" s="49"/>
      <c r="K94" s="54"/>
      <c r="L94" s="59">
        <v>1.0</v>
      </c>
      <c r="M94" s="534"/>
      <c r="N94" s="54"/>
      <c r="O94" s="51"/>
      <c r="P94" s="54"/>
      <c r="Q94" s="59"/>
      <c r="R94" s="46"/>
      <c r="S94" s="59">
        <v>1.0</v>
      </c>
      <c r="T94" s="54"/>
      <c r="U94" s="59"/>
      <c r="V94" s="51"/>
      <c r="W94" s="48"/>
      <c r="X94" s="54"/>
      <c r="Y94" s="491"/>
      <c r="Z94" s="54"/>
      <c r="AA94" s="54"/>
      <c r="AB94" s="211"/>
      <c r="AC94" s="51"/>
      <c r="AD94" s="54"/>
      <c r="AE94" s="59">
        <v>1.0</v>
      </c>
      <c r="AF94" s="62">
        <f t="shared" si="11"/>
        <v>4</v>
      </c>
      <c r="AG94" s="80">
        <v>1500.0</v>
      </c>
      <c r="AH94" s="68">
        <f t="shared" si="12"/>
        <v>6000</v>
      </c>
      <c r="AI94" s="17"/>
      <c r="AJ94" s="178"/>
      <c r="AK94" s="178"/>
    </row>
    <row r="95">
      <c r="A95" s="223" t="s">
        <v>69</v>
      </c>
      <c r="B95" s="604"/>
      <c r="C95" s="42"/>
      <c r="D95" s="59"/>
      <c r="E95" s="54"/>
      <c r="F95" s="59"/>
      <c r="G95" s="59"/>
      <c r="H95" s="515"/>
      <c r="I95" s="59">
        <v>1.0</v>
      </c>
      <c r="J95" s="59"/>
      <c r="K95" s="46"/>
      <c r="L95" s="59"/>
      <c r="M95" s="534"/>
      <c r="N95" s="54"/>
      <c r="O95" s="510"/>
      <c r="P95" s="49"/>
      <c r="Q95" s="46"/>
      <c r="R95" s="59"/>
      <c r="S95" s="59"/>
      <c r="T95" s="59"/>
      <c r="U95" s="46"/>
      <c r="V95" s="515"/>
      <c r="W95" s="191"/>
      <c r="X95" s="59">
        <v>2.0</v>
      </c>
      <c r="Y95" s="508"/>
      <c r="Z95" s="46"/>
      <c r="AA95" s="59">
        <v>1.0</v>
      </c>
      <c r="AB95" s="69"/>
      <c r="AC95" s="192"/>
      <c r="AD95" s="46"/>
      <c r="AE95" s="46"/>
      <c r="AF95" s="62">
        <f t="shared" si="11"/>
        <v>4</v>
      </c>
      <c r="AG95" s="80">
        <v>600.0</v>
      </c>
      <c r="AH95" s="68">
        <f t="shared" si="12"/>
        <v>2400</v>
      </c>
      <c r="AI95" s="17"/>
      <c r="AJ95" s="178"/>
      <c r="AK95" s="178"/>
    </row>
    <row r="96">
      <c r="A96" s="223" t="s">
        <v>71</v>
      </c>
      <c r="B96" s="595"/>
      <c r="C96" s="59">
        <v>3.0</v>
      </c>
      <c r="D96" s="59"/>
      <c r="E96" s="493">
        <v>2.0</v>
      </c>
      <c r="F96" s="59">
        <v>1.0</v>
      </c>
      <c r="G96" s="59"/>
      <c r="H96" s="510"/>
      <c r="I96" s="493">
        <v>1.0</v>
      </c>
      <c r="J96" s="493"/>
      <c r="K96" s="493"/>
      <c r="L96" s="493">
        <v>2.0</v>
      </c>
      <c r="M96" s="527"/>
      <c r="N96" s="493"/>
      <c r="O96" s="510"/>
      <c r="P96" s="59"/>
      <c r="Q96" s="59"/>
      <c r="R96" s="59">
        <v>1.0</v>
      </c>
      <c r="S96" s="59">
        <v>1.0</v>
      </c>
      <c r="T96" s="59">
        <v>2.0</v>
      </c>
      <c r="U96" s="59">
        <v>1.0</v>
      </c>
      <c r="V96" s="515"/>
      <c r="W96" s="191"/>
      <c r="X96" s="59"/>
      <c r="Y96" s="611"/>
      <c r="Z96" s="46"/>
      <c r="AA96" s="46"/>
      <c r="AB96" s="69"/>
      <c r="AC96" s="192"/>
      <c r="AD96" s="59">
        <v>2.0</v>
      </c>
      <c r="AE96" s="59">
        <v>28.0</v>
      </c>
      <c r="AF96" s="62">
        <f t="shared" si="11"/>
        <v>44</v>
      </c>
      <c r="AG96" s="80">
        <v>500.0</v>
      </c>
      <c r="AH96" s="68">
        <f t="shared" si="12"/>
        <v>22000</v>
      </c>
      <c r="AI96" s="17"/>
      <c r="AJ96" s="178"/>
      <c r="AK96" s="178"/>
    </row>
    <row r="97">
      <c r="A97" s="226" t="s">
        <v>171</v>
      </c>
      <c r="B97" s="595">
        <v>7.0</v>
      </c>
      <c r="C97" s="59">
        <v>1.0</v>
      </c>
      <c r="D97" s="59"/>
      <c r="E97" s="59"/>
      <c r="F97" s="59">
        <v>17.0</v>
      </c>
      <c r="G97" s="493">
        <v>10.0</v>
      </c>
      <c r="H97" s="515"/>
      <c r="I97" s="493">
        <v>6.0</v>
      </c>
      <c r="J97" s="493">
        <v>9.0</v>
      </c>
      <c r="K97" s="493">
        <v>5.0</v>
      </c>
      <c r="L97" s="493">
        <v>5.0</v>
      </c>
      <c r="M97" s="527"/>
      <c r="N97" s="59">
        <v>13.0</v>
      </c>
      <c r="O97" s="515"/>
      <c r="P97" s="493">
        <v>2.0</v>
      </c>
      <c r="Q97" s="493">
        <v>3.0</v>
      </c>
      <c r="R97" s="59">
        <v>2.0</v>
      </c>
      <c r="S97" s="59">
        <v>3.0</v>
      </c>
      <c r="T97" s="59">
        <v>4.0</v>
      </c>
      <c r="U97" s="59">
        <v>1.0</v>
      </c>
      <c r="V97" s="515"/>
      <c r="W97" s="530"/>
      <c r="X97" s="59">
        <v>6.0</v>
      </c>
      <c r="Y97" s="611"/>
      <c r="Z97" s="59">
        <v>16.0</v>
      </c>
      <c r="AA97" s="59">
        <v>7.0</v>
      </c>
      <c r="AB97" s="69"/>
      <c r="AC97" s="192"/>
      <c r="AD97" s="59">
        <v>12.0</v>
      </c>
      <c r="AE97" s="59">
        <v>4.0</v>
      </c>
      <c r="AF97" s="62">
        <f t="shared" si="11"/>
        <v>133</v>
      </c>
      <c r="AG97" s="80">
        <v>500.0</v>
      </c>
      <c r="AH97" s="68">
        <f t="shared" si="12"/>
        <v>66500</v>
      </c>
      <c r="AI97" s="17"/>
      <c r="AJ97" s="178"/>
      <c r="AK97" s="178"/>
    </row>
    <row r="98">
      <c r="A98" s="226" t="s">
        <v>86</v>
      </c>
      <c r="B98" s="595">
        <v>3.0</v>
      </c>
      <c r="C98" s="46"/>
      <c r="D98" s="46"/>
      <c r="E98" s="59">
        <v>2.0</v>
      </c>
      <c r="F98" s="59">
        <v>1.0</v>
      </c>
      <c r="G98" s="59">
        <v>5.0</v>
      </c>
      <c r="H98" s="51"/>
      <c r="I98" s="493">
        <v>1.0</v>
      </c>
      <c r="J98" s="49"/>
      <c r="K98" s="59">
        <v>4.0</v>
      </c>
      <c r="L98" s="493">
        <v>1.0</v>
      </c>
      <c r="M98" s="527"/>
      <c r="N98" s="59">
        <v>2.0</v>
      </c>
      <c r="O98" s="51"/>
      <c r="P98" s="59"/>
      <c r="Q98" s="493"/>
      <c r="R98" s="59">
        <v>1.0</v>
      </c>
      <c r="S98" s="46"/>
      <c r="T98" s="46"/>
      <c r="U98" s="59"/>
      <c r="V98" s="515"/>
      <c r="W98" s="191"/>
      <c r="X98" s="59">
        <v>2.0</v>
      </c>
      <c r="Y98" s="611"/>
      <c r="Z98" s="59">
        <v>2.0</v>
      </c>
      <c r="AA98" s="46"/>
      <c r="AB98" s="69"/>
      <c r="AC98" s="192"/>
      <c r="AD98" s="59">
        <v>1.0</v>
      </c>
      <c r="AE98" s="46"/>
      <c r="AF98" s="62">
        <f t="shared" si="11"/>
        <v>25</v>
      </c>
      <c r="AG98" s="80">
        <v>500.0</v>
      </c>
      <c r="AH98" s="68">
        <f t="shared" si="12"/>
        <v>12500</v>
      </c>
      <c r="AI98" s="17"/>
      <c r="AJ98" s="178"/>
      <c r="AK98" s="178"/>
    </row>
    <row r="99">
      <c r="A99" s="223" t="s">
        <v>80</v>
      </c>
      <c r="B99" s="669"/>
      <c r="C99" s="46"/>
      <c r="D99" s="54"/>
      <c r="E99" s="54"/>
      <c r="F99" s="54"/>
      <c r="G99" s="54"/>
      <c r="H99" s="192"/>
      <c r="I99" s="54"/>
      <c r="J99" s="46"/>
      <c r="K99" s="54"/>
      <c r="L99" s="54"/>
      <c r="M99" s="793"/>
      <c r="N99" s="54"/>
      <c r="O99" s="51"/>
      <c r="P99" s="54"/>
      <c r="Q99" s="54"/>
      <c r="R99" s="54"/>
      <c r="S99" s="54"/>
      <c r="T99" s="54"/>
      <c r="U99" s="54"/>
      <c r="V99" s="51"/>
      <c r="W99" s="48"/>
      <c r="X99" s="54"/>
      <c r="Y99" s="491"/>
      <c r="Z99" s="54"/>
      <c r="AA99" s="54"/>
      <c r="AB99" s="211"/>
      <c r="AC99" s="51"/>
      <c r="AD99" s="54"/>
      <c r="AE99" s="54"/>
      <c r="AF99" s="62">
        <f t="shared" si="11"/>
        <v>0</v>
      </c>
      <c r="AG99" s="80">
        <v>1500.0</v>
      </c>
      <c r="AH99" s="68">
        <f t="shared" si="12"/>
        <v>0</v>
      </c>
      <c r="AI99" s="17"/>
      <c r="AJ99" s="178"/>
      <c r="AK99" s="178"/>
    </row>
    <row r="100">
      <c r="A100" s="156" t="s">
        <v>164</v>
      </c>
      <c r="B100" s="673"/>
      <c r="C100" s="228"/>
      <c r="D100" s="181"/>
      <c r="E100" s="247">
        <v>1.0</v>
      </c>
      <c r="F100" s="247"/>
      <c r="G100" s="247"/>
      <c r="H100" s="183"/>
      <c r="I100" s="577">
        <v>1.0</v>
      </c>
      <c r="J100" s="247"/>
      <c r="K100" s="577"/>
      <c r="L100" s="181"/>
      <c r="M100" s="590"/>
      <c r="N100" s="247">
        <v>1.0</v>
      </c>
      <c r="O100" s="575"/>
      <c r="P100" s="181"/>
      <c r="Q100" s="577">
        <v>1.0</v>
      </c>
      <c r="R100" s="247">
        <v>1.0</v>
      </c>
      <c r="S100" s="247"/>
      <c r="T100" s="247"/>
      <c r="U100" s="247"/>
      <c r="V100" s="579"/>
      <c r="W100" s="245"/>
      <c r="X100" s="247">
        <v>3.0</v>
      </c>
      <c r="Y100" s="681"/>
      <c r="Z100" s="247">
        <v>1.0</v>
      </c>
      <c r="AA100" s="247">
        <v>1.0</v>
      </c>
      <c r="AB100" s="188"/>
      <c r="AC100" s="229"/>
      <c r="AD100" s="181"/>
      <c r="AE100" s="181"/>
      <c r="AF100" s="62">
        <f t="shared" si="11"/>
        <v>10</v>
      </c>
      <c r="AG100" s="167">
        <v>500.0</v>
      </c>
      <c r="AH100" s="168">
        <f t="shared" si="12"/>
        <v>5000</v>
      </c>
      <c r="AI100" s="17"/>
      <c r="AJ100" s="178"/>
      <c r="AK100" s="178"/>
    </row>
    <row r="101">
      <c r="A101" s="33" t="s">
        <v>326</v>
      </c>
      <c r="B101" s="604">
        <v>5.0</v>
      </c>
      <c r="C101" s="595">
        <v>3.0</v>
      </c>
      <c r="D101" s="59"/>
      <c r="E101" s="59">
        <v>3.0</v>
      </c>
      <c r="F101" s="247">
        <v>8.0</v>
      </c>
      <c r="G101" s="59"/>
      <c r="H101" s="51"/>
      <c r="I101" s="493">
        <v>5.0</v>
      </c>
      <c r="J101" s="59">
        <v>1.0</v>
      </c>
      <c r="K101" s="493"/>
      <c r="L101" s="59"/>
      <c r="M101" s="527"/>
      <c r="N101" s="59">
        <v>1.0</v>
      </c>
      <c r="O101" s="510"/>
      <c r="P101" s="59"/>
      <c r="Q101" s="493">
        <v>2.0</v>
      </c>
      <c r="R101" s="59"/>
      <c r="S101" s="59"/>
      <c r="T101" s="59"/>
      <c r="U101" s="59"/>
      <c r="V101" s="515"/>
      <c r="W101" s="530"/>
      <c r="X101" s="59">
        <v>1.0</v>
      </c>
      <c r="Y101" s="611"/>
      <c r="Z101" s="46"/>
      <c r="AA101" s="59">
        <v>2.0</v>
      </c>
      <c r="AB101" s="69"/>
      <c r="AC101" s="192"/>
      <c r="AD101" s="59">
        <v>6.0</v>
      </c>
      <c r="AE101" s="59">
        <v>2.0</v>
      </c>
      <c r="AF101" s="62">
        <f t="shared" si="11"/>
        <v>39</v>
      </c>
      <c r="AG101" s="80">
        <v>350.0</v>
      </c>
      <c r="AH101" s="168">
        <f t="shared" si="12"/>
        <v>13650</v>
      </c>
      <c r="AI101" s="17"/>
      <c r="AJ101" s="178"/>
      <c r="AK101" s="178"/>
    </row>
    <row r="102">
      <c r="A102" s="156" t="s">
        <v>328</v>
      </c>
      <c r="B102" s="679">
        <v>3.0</v>
      </c>
      <c r="C102" s="691">
        <v>1.0</v>
      </c>
      <c r="D102" s="247"/>
      <c r="E102" s="247">
        <v>2.0</v>
      </c>
      <c r="F102" s="247"/>
      <c r="G102" s="247">
        <v>2.0</v>
      </c>
      <c r="H102" s="183"/>
      <c r="I102" s="577"/>
      <c r="J102" s="247"/>
      <c r="K102" s="577"/>
      <c r="L102" s="247"/>
      <c r="M102" s="799"/>
      <c r="N102" s="247">
        <v>1.0</v>
      </c>
      <c r="O102" s="575"/>
      <c r="P102" s="181"/>
      <c r="Q102" s="577"/>
      <c r="R102" s="247"/>
      <c r="S102" s="247">
        <v>1.0</v>
      </c>
      <c r="T102" s="247">
        <v>1.0</v>
      </c>
      <c r="U102" s="247"/>
      <c r="V102" s="579"/>
      <c r="W102" s="245"/>
      <c r="X102" s="181"/>
      <c r="Y102" s="681"/>
      <c r="Z102" s="247">
        <v>2.0</v>
      </c>
      <c r="AA102" s="247">
        <v>2.0</v>
      </c>
      <c r="AB102" s="188"/>
      <c r="AC102" s="229"/>
      <c r="AD102" s="247">
        <v>2.0</v>
      </c>
      <c r="AE102" s="247">
        <v>4.0</v>
      </c>
      <c r="AF102" s="62">
        <f t="shared" si="11"/>
        <v>21</v>
      </c>
      <c r="AG102" s="167">
        <v>450.0</v>
      </c>
      <c r="AH102" s="168">
        <f t="shared" si="12"/>
        <v>9450</v>
      </c>
      <c r="AI102" s="17"/>
      <c r="AJ102" s="178"/>
      <c r="AK102" s="178"/>
    </row>
    <row r="103">
      <c r="A103" s="798" t="s">
        <v>45</v>
      </c>
      <c r="B103" s="275"/>
      <c r="C103" s="275"/>
      <c r="D103" s="275"/>
      <c r="E103" s="275"/>
      <c r="F103" s="275"/>
      <c r="G103" s="275"/>
      <c r="H103" s="275"/>
      <c r="I103" s="275"/>
      <c r="J103" s="275"/>
      <c r="K103" s="275"/>
      <c r="L103" s="275"/>
      <c r="M103" s="275"/>
      <c r="N103" s="275"/>
      <c r="O103" s="275"/>
      <c r="P103" s="275"/>
      <c r="Q103" s="275"/>
      <c r="R103" s="275"/>
      <c r="S103" s="275"/>
      <c r="T103" s="275"/>
      <c r="U103" s="275"/>
      <c r="V103" s="275"/>
      <c r="W103" s="275"/>
      <c r="X103" s="275"/>
      <c r="Y103" s="275"/>
      <c r="Z103" s="275"/>
      <c r="AA103" s="275"/>
      <c r="AB103" s="275"/>
      <c r="AC103" s="275"/>
      <c r="AD103" s="275"/>
      <c r="AE103" s="275"/>
      <c r="AF103" s="275"/>
      <c r="AG103" s="276"/>
      <c r="AH103" s="277">
        <f>SUM(AH86:AH102)</f>
        <v>276100</v>
      </c>
      <c r="AI103" s="17"/>
      <c r="AJ103" s="178"/>
      <c r="AK103" s="178"/>
    </row>
    <row r="104">
      <c r="A104" s="802" t="s">
        <v>127</v>
      </c>
      <c r="AI104" s="17"/>
      <c r="AJ104" s="178"/>
      <c r="AK104" s="178"/>
    </row>
    <row r="105">
      <c r="A105" s="206" t="s">
        <v>128</v>
      </c>
      <c r="B105" s="803"/>
      <c r="C105" s="803">
        <v>1.0</v>
      </c>
      <c r="D105" s="804">
        <v>1.0</v>
      </c>
      <c r="E105" s="804">
        <v>3.0</v>
      </c>
      <c r="F105" s="804">
        <v>3.0</v>
      </c>
      <c r="G105" s="805"/>
      <c r="H105" s="806"/>
      <c r="I105" s="807"/>
      <c r="J105" s="807">
        <v>1.0</v>
      </c>
      <c r="K105" s="807"/>
      <c r="L105" s="807"/>
      <c r="M105" s="808"/>
      <c r="N105" s="804">
        <v>2.0</v>
      </c>
      <c r="O105" s="809"/>
      <c r="P105" s="805"/>
      <c r="Q105" s="807">
        <v>3.0</v>
      </c>
      <c r="R105" s="804"/>
      <c r="S105" s="810"/>
      <c r="T105" s="804"/>
      <c r="U105" s="804"/>
      <c r="V105" s="809"/>
      <c r="W105" s="811"/>
      <c r="X105" s="804">
        <v>2.0</v>
      </c>
      <c r="Y105" s="812"/>
      <c r="Z105" s="804">
        <v>1.0</v>
      </c>
      <c r="AA105" s="810"/>
      <c r="AB105" s="813"/>
      <c r="AC105" s="814"/>
      <c r="AD105" s="804">
        <v>1.0</v>
      </c>
      <c r="AE105" s="810"/>
      <c r="AF105" s="815">
        <f t="shared" ref="AF105:AF108" si="13">SUM(B105:AE105)</f>
        <v>18</v>
      </c>
      <c r="AG105" s="816">
        <v>550.0</v>
      </c>
      <c r="AH105" s="817">
        <f t="shared" ref="AH105:AH108" si="14">AF105*AG105</f>
        <v>9900</v>
      </c>
      <c r="AI105" s="17"/>
      <c r="AJ105" s="155"/>
      <c r="AK105" s="155"/>
    </row>
    <row r="106">
      <c r="A106" s="197" t="s">
        <v>408</v>
      </c>
      <c r="B106" s="595"/>
      <c r="C106" s="46"/>
      <c r="D106" s="59">
        <v>1.0</v>
      </c>
      <c r="E106" s="49"/>
      <c r="F106" s="54"/>
      <c r="G106" s="49"/>
      <c r="H106" s="51"/>
      <c r="I106" s="59">
        <v>2.0</v>
      </c>
      <c r="J106" s="46"/>
      <c r="K106" s="493">
        <v>4.0</v>
      </c>
      <c r="L106" s="59">
        <v>5.0</v>
      </c>
      <c r="M106" s="527"/>
      <c r="N106" s="54"/>
      <c r="O106" s="515"/>
      <c r="P106" s="59">
        <v>2.0</v>
      </c>
      <c r="Q106" s="59"/>
      <c r="R106" s="59">
        <v>1.0</v>
      </c>
      <c r="S106" s="59"/>
      <c r="T106" s="59">
        <v>1.0</v>
      </c>
      <c r="U106" s="46"/>
      <c r="V106" s="192"/>
      <c r="W106" s="191"/>
      <c r="X106" s="59">
        <v>2.0</v>
      </c>
      <c r="Y106" s="508"/>
      <c r="Z106" s="59">
        <v>1.0</v>
      </c>
      <c r="AA106" s="59">
        <v>2.0</v>
      </c>
      <c r="AB106" s="69"/>
      <c r="AC106" s="192"/>
      <c r="AD106" s="59">
        <v>3.0</v>
      </c>
      <c r="AE106" s="46"/>
      <c r="AF106" s="815">
        <f t="shared" si="13"/>
        <v>24</v>
      </c>
      <c r="AG106" s="80">
        <v>350.0</v>
      </c>
      <c r="AH106" s="68">
        <f t="shared" si="14"/>
        <v>8400</v>
      </c>
      <c r="AI106" s="17"/>
      <c r="AJ106" s="155"/>
      <c r="AK106" s="155"/>
    </row>
    <row r="107">
      <c r="A107" s="197" t="s">
        <v>331</v>
      </c>
      <c r="B107" s="604"/>
      <c r="C107" s="595">
        <v>26.0</v>
      </c>
      <c r="D107" s="59"/>
      <c r="E107" s="49"/>
      <c r="F107" s="59">
        <v>1.0</v>
      </c>
      <c r="G107" s="54"/>
      <c r="H107" s="515"/>
      <c r="I107" s="49"/>
      <c r="J107" s="59">
        <v>1.0</v>
      </c>
      <c r="K107" s="59"/>
      <c r="L107" s="59">
        <v>1.0</v>
      </c>
      <c r="M107" s="527"/>
      <c r="N107" s="59"/>
      <c r="O107" s="515"/>
      <c r="P107" s="46"/>
      <c r="Q107" s="46"/>
      <c r="R107" s="46"/>
      <c r="S107" s="46"/>
      <c r="T107" s="59"/>
      <c r="U107" s="59"/>
      <c r="V107" s="515"/>
      <c r="W107" s="530"/>
      <c r="X107" s="46"/>
      <c r="Y107" s="508"/>
      <c r="Z107" s="46"/>
      <c r="AA107" s="59">
        <v>1.0</v>
      </c>
      <c r="AB107" s="69"/>
      <c r="AC107" s="192"/>
      <c r="AD107" s="46"/>
      <c r="AE107" s="46"/>
      <c r="AF107" s="815">
        <f t="shared" si="13"/>
        <v>30</v>
      </c>
      <c r="AG107" s="80">
        <v>350.0</v>
      </c>
      <c r="AH107" s="68">
        <f t="shared" si="14"/>
        <v>10500</v>
      </c>
      <c r="AI107" s="17"/>
      <c r="AJ107" s="155"/>
      <c r="AK107" s="155"/>
    </row>
    <row r="108">
      <c r="A108" s="207" t="s">
        <v>134</v>
      </c>
      <c r="B108" s="679"/>
      <c r="C108" s="247">
        <v>31.0</v>
      </c>
      <c r="D108" s="247">
        <v>1.0</v>
      </c>
      <c r="E108" s="184"/>
      <c r="F108" s="247">
        <v>1.0</v>
      </c>
      <c r="G108" s="247">
        <v>1.0</v>
      </c>
      <c r="H108" s="183"/>
      <c r="I108" s="247"/>
      <c r="J108" s="247"/>
      <c r="K108" s="247">
        <v>1.0</v>
      </c>
      <c r="L108" s="247"/>
      <c r="M108" s="590"/>
      <c r="N108" s="247"/>
      <c r="O108" s="579"/>
      <c r="P108" s="247">
        <v>2.0</v>
      </c>
      <c r="Q108" s="247">
        <v>2.0</v>
      </c>
      <c r="R108" s="247"/>
      <c r="S108" s="247">
        <v>1.0</v>
      </c>
      <c r="T108" s="184"/>
      <c r="U108" s="247"/>
      <c r="V108" s="579"/>
      <c r="W108" s="588"/>
      <c r="X108" s="247"/>
      <c r="Y108" s="543"/>
      <c r="Z108" s="184"/>
      <c r="AA108" s="247">
        <v>1.0</v>
      </c>
      <c r="AB108" s="215"/>
      <c r="AC108" s="183"/>
      <c r="AD108" s="184"/>
      <c r="AE108" s="247">
        <v>2.0</v>
      </c>
      <c r="AF108" s="815">
        <f t="shared" si="13"/>
        <v>43</v>
      </c>
      <c r="AG108" s="167">
        <v>350.0</v>
      </c>
      <c r="AH108" s="168">
        <f t="shared" si="14"/>
        <v>15050</v>
      </c>
      <c r="AI108" s="17"/>
      <c r="AJ108" s="155"/>
      <c r="AK108" s="155"/>
    </row>
    <row r="109">
      <c r="A109" s="798" t="s">
        <v>45</v>
      </c>
      <c r="B109" s="275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5"/>
      <c r="O109" s="275"/>
      <c r="P109" s="275"/>
      <c r="Q109" s="275"/>
      <c r="R109" s="275"/>
      <c r="S109" s="275"/>
      <c r="T109" s="275"/>
      <c r="U109" s="275"/>
      <c r="V109" s="275"/>
      <c r="W109" s="275"/>
      <c r="X109" s="275"/>
      <c r="Y109" s="275"/>
      <c r="Z109" s="275"/>
      <c r="AA109" s="275"/>
      <c r="AB109" s="275"/>
      <c r="AC109" s="275"/>
      <c r="AD109" s="275"/>
      <c r="AE109" s="275"/>
      <c r="AF109" s="275"/>
      <c r="AG109" s="276"/>
      <c r="AH109" s="277">
        <f>SUM(AH105:AH108)</f>
        <v>43850</v>
      </c>
      <c r="AI109" s="17"/>
      <c r="AJ109" s="176"/>
      <c r="AK109" s="176"/>
    </row>
    <row r="110">
      <c r="A110" s="819" t="s">
        <v>169</v>
      </c>
      <c r="B110" s="820"/>
      <c r="C110" s="820"/>
      <c r="D110" s="820"/>
      <c r="E110" s="820"/>
      <c r="F110" s="820"/>
      <c r="G110" s="820"/>
      <c r="H110" s="820"/>
      <c r="I110" s="820"/>
      <c r="J110" s="820"/>
      <c r="K110" s="820"/>
      <c r="L110" s="820"/>
      <c r="M110" s="820"/>
      <c r="N110" s="820"/>
      <c r="O110" s="820"/>
      <c r="P110" s="820"/>
      <c r="Q110" s="820"/>
      <c r="R110" s="820"/>
      <c r="S110" s="820"/>
      <c r="T110" s="820"/>
      <c r="U110" s="820"/>
      <c r="V110" s="820"/>
      <c r="W110" s="820"/>
      <c r="X110" s="820"/>
      <c r="Y110" s="820"/>
      <c r="Z110" s="820"/>
      <c r="AA110" s="820"/>
      <c r="AB110" s="820"/>
      <c r="AC110" s="820"/>
      <c r="AD110" s="820"/>
      <c r="AE110" s="820"/>
      <c r="AF110" s="820"/>
      <c r="AG110" s="820"/>
      <c r="AH110" s="22"/>
      <c r="AI110" s="17"/>
      <c r="AJ110" s="178"/>
      <c r="AK110" s="178"/>
    </row>
    <row r="111">
      <c r="A111" s="197" t="s">
        <v>170</v>
      </c>
      <c r="B111" s="604">
        <v>2.0</v>
      </c>
      <c r="C111" s="59">
        <v>1.0</v>
      </c>
      <c r="D111" s="59"/>
      <c r="E111" s="59">
        <v>2.0</v>
      </c>
      <c r="F111" s="59">
        <v>4.0</v>
      </c>
      <c r="G111" s="59">
        <v>1.0</v>
      </c>
      <c r="H111" s="51"/>
      <c r="I111" s="59"/>
      <c r="J111" s="59">
        <v>1.0</v>
      </c>
      <c r="K111" s="59"/>
      <c r="L111" s="54"/>
      <c r="M111" s="534"/>
      <c r="N111" s="59">
        <v>2.0</v>
      </c>
      <c r="O111" s="515"/>
      <c r="P111" s="59">
        <v>1.0</v>
      </c>
      <c r="Q111" s="59">
        <v>2.0</v>
      </c>
      <c r="R111" s="59">
        <v>1.0</v>
      </c>
      <c r="S111" s="59">
        <v>1.0</v>
      </c>
      <c r="T111" s="59">
        <v>1.0</v>
      </c>
      <c r="U111" s="59"/>
      <c r="V111" s="515"/>
      <c r="W111" s="48"/>
      <c r="X111" s="59">
        <v>1.0</v>
      </c>
      <c r="Y111" s="611"/>
      <c r="Z111" s="59">
        <v>2.0</v>
      </c>
      <c r="AA111" s="59">
        <v>1.0</v>
      </c>
      <c r="AB111" s="211"/>
      <c r="AC111" s="51"/>
      <c r="AD111" s="54"/>
      <c r="AE111" s="59">
        <v>2.0</v>
      </c>
      <c r="AF111" s="62">
        <f t="shared" ref="AF111:AF117" si="15">SUM(B111:AE111)</f>
        <v>25</v>
      </c>
      <c r="AG111" s="242">
        <v>280.0</v>
      </c>
      <c r="AH111" s="68">
        <f t="shared" ref="AH111:AH117" si="16">AF111*AG111</f>
        <v>7000</v>
      </c>
      <c r="AI111" s="17"/>
      <c r="AJ111" s="178"/>
      <c r="AK111" s="178"/>
    </row>
    <row r="112">
      <c r="A112" s="197" t="s">
        <v>173</v>
      </c>
      <c r="B112" s="669"/>
      <c r="C112" s="54"/>
      <c r="D112" s="54"/>
      <c r="E112" s="54"/>
      <c r="F112" s="54"/>
      <c r="G112" s="54"/>
      <c r="H112" s="51"/>
      <c r="I112" s="54"/>
      <c r="J112" s="54"/>
      <c r="K112" s="54"/>
      <c r="L112" s="54"/>
      <c r="M112" s="534"/>
      <c r="N112" s="54"/>
      <c r="O112" s="51"/>
      <c r="P112" s="46"/>
      <c r="Q112" s="54"/>
      <c r="R112" s="54"/>
      <c r="S112" s="54"/>
      <c r="T112" s="54"/>
      <c r="U112" s="54"/>
      <c r="V112" s="51"/>
      <c r="W112" s="48"/>
      <c r="X112" s="54"/>
      <c r="Y112" s="491"/>
      <c r="Z112" s="54"/>
      <c r="AA112" s="54"/>
      <c r="AB112" s="211"/>
      <c r="AC112" s="51"/>
      <c r="AD112" s="54"/>
      <c r="AE112" s="54"/>
      <c r="AF112" s="62">
        <f t="shared" si="15"/>
        <v>0</v>
      </c>
      <c r="AG112" s="242">
        <v>260.0</v>
      </c>
      <c r="AH112" s="68">
        <f t="shared" si="16"/>
        <v>0</v>
      </c>
      <c r="AI112" s="17"/>
      <c r="AJ112" s="178"/>
      <c r="AK112" s="178"/>
    </row>
    <row r="113">
      <c r="A113" s="243" t="s">
        <v>174</v>
      </c>
      <c r="B113" s="669"/>
      <c r="C113" s="46"/>
      <c r="D113" s="54"/>
      <c r="E113" s="54"/>
      <c r="F113" s="54"/>
      <c r="G113" s="54"/>
      <c r="H113" s="51"/>
      <c r="I113" s="59">
        <v>1.0</v>
      </c>
      <c r="J113" s="59"/>
      <c r="K113" s="54"/>
      <c r="L113" s="54"/>
      <c r="M113" s="534"/>
      <c r="N113" s="54"/>
      <c r="O113" s="51"/>
      <c r="P113" s="46"/>
      <c r="Q113" s="59"/>
      <c r="R113" s="54"/>
      <c r="S113" s="46"/>
      <c r="T113" s="46"/>
      <c r="U113" s="46"/>
      <c r="V113" s="192"/>
      <c r="W113" s="191"/>
      <c r="X113" s="46"/>
      <c r="Y113" s="508"/>
      <c r="Z113" s="46"/>
      <c r="AA113" s="46"/>
      <c r="AB113" s="69"/>
      <c r="AC113" s="192"/>
      <c r="AD113" s="46"/>
      <c r="AE113" s="46"/>
      <c r="AF113" s="62">
        <f t="shared" si="15"/>
        <v>1</v>
      </c>
      <c r="AG113" s="242">
        <v>380.0</v>
      </c>
      <c r="AH113" s="68">
        <f t="shared" si="16"/>
        <v>380</v>
      </c>
      <c r="AI113" s="17"/>
      <c r="AJ113" s="178"/>
      <c r="AK113" s="178"/>
    </row>
    <row r="114">
      <c r="A114" s="243" t="s">
        <v>176</v>
      </c>
      <c r="B114" s="42"/>
      <c r="C114" s="54"/>
      <c r="D114" s="54"/>
      <c r="E114" s="54"/>
      <c r="F114" s="59">
        <v>1.0</v>
      </c>
      <c r="G114" s="49"/>
      <c r="H114" s="51"/>
      <c r="I114" s="59">
        <v>1.0</v>
      </c>
      <c r="J114" s="59"/>
      <c r="K114" s="59">
        <v>50.0</v>
      </c>
      <c r="L114" s="59">
        <v>1.0</v>
      </c>
      <c r="M114" s="534"/>
      <c r="N114" s="54"/>
      <c r="O114" s="51"/>
      <c r="P114" s="493">
        <v>1.0</v>
      </c>
      <c r="Q114" s="54"/>
      <c r="R114" s="54"/>
      <c r="S114" s="46"/>
      <c r="T114" s="46"/>
      <c r="U114" s="46"/>
      <c r="V114" s="515"/>
      <c r="W114" s="191"/>
      <c r="X114" s="46"/>
      <c r="Y114" s="508"/>
      <c r="Z114" s="46"/>
      <c r="AA114" s="46"/>
      <c r="AB114" s="69"/>
      <c r="AC114" s="192"/>
      <c r="AD114" s="46"/>
      <c r="AE114" s="46"/>
      <c r="AF114" s="62">
        <f t="shared" si="15"/>
        <v>54</v>
      </c>
      <c r="AG114" s="242">
        <v>420.0</v>
      </c>
      <c r="AH114" s="68">
        <f t="shared" si="16"/>
        <v>22680</v>
      </c>
      <c r="AI114" s="17"/>
      <c r="AJ114" s="178"/>
      <c r="AK114" s="178"/>
    </row>
    <row r="115">
      <c r="A115" s="197" t="s">
        <v>177</v>
      </c>
      <c r="B115" s="604">
        <v>2.0</v>
      </c>
      <c r="C115" s="54"/>
      <c r="D115" s="46"/>
      <c r="E115" s="54"/>
      <c r="F115" s="59">
        <v>1.0</v>
      </c>
      <c r="G115" s="493">
        <v>1.0</v>
      </c>
      <c r="H115" s="51"/>
      <c r="I115" s="59">
        <v>1.0</v>
      </c>
      <c r="J115" s="54"/>
      <c r="K115" s="59">
        <v>3.0</v>
      </c>
      <c r="L115" s="54"/>
      <c r="M115" s="527"/>
      <c r="N115" s="493">
        <v>1.0</v>
      </c>
      <c r="O115" s="515"/>
      <c r="P115" s="49"/>
      <c r="Q115" s="59"/>
      <c r="R115" s="59"/>
      <c r="S115" s="59">
        <v>1.0</v>
      </c>
      <c r="T115" s="59">
        <v>1.0</v>
      </c>
      <c r="U115" s="46"/>
      <c r="V115" s="192"/>
      <c r="W115" s="530"/>
      <c r="X115" s="59">
        <v>3.0</v>
      </c>
      <c r="Y115" s="611"/>
      <c r="Z115" s="59">
        <v>1.0</v>
      </c>
      <c r="AA115" s="46"/>
      <c r="AB115" s="69"/>
      <c r="AC115" s="192"/>
      <c r="AD115" s="59">
        <v>1.0</v>
      </c>
      <c r="AE115" s="46"/>
      <c r="AF115" s="62">
        <f t="shared" si="15"/>
        <v>16</v>
      </c>
      <c r="AG115" s="242">
        <v>750.0</v>
      </c>
      <c r="AH115" s="68">
        <f t="shared" si="16"/>
        <v>12000</v>
      </c>
      <c r="AI115" s="17"/>
      <c r="AJ115" s="178"/>
      <c r="AK115" s="178"/>
    </row>
    <row r="116">
      <c r="A116" s="197" t="s">
        <v>179</v>
      </c>
      <c r="B116" s="604">
        <v>26.0</v>
      </c>
      <c r="C116" s="59"/>
      <c r="D116" s="59">
        <v>28.0</v>
      </c>
      <c r="E116" s="59">
        <v>23.0</v>
      </c>
      <c r="F116" s="59">
        <v>76.0</v>
      </c>
      <c r="G116" s="59">
        <v>25.0</v>
      </c>
      <c r="H116" s="515"/>
      <c r="I116" s="59">
        <v>37.0</v>
      </c>
      <c r="J116" s="59"/>
      <c r="K116" s="493">
        <v>1.0</v>
      </c>
      <c r="L116" s="59"/>
      <c r="M116" s="793"/>
      <c r="N116" s="54"/>
      <c r="O116" s="515"/>
      <c r="P116" s="59"/>
      <c r="Q116" s="59"/>
      <c r="R116" s="59"/>
      <c r="S116" s="59"/>
      <c r="T116" s="59"/>
      <c r="U116" s="59"/>
      <c r="V116" s="515"/>
      <c r="W116" s="530"/>
      <c r="X116" s="59"/>
      <c r="Y116" s="611"/>
      <c r="Z116" s="54"/>
      <c r="AA116" s="54"/>
      <c r="AB116" s="211"/>
      <c r="AC116" s="51"/>
      <c r="AD116" s="54"/>
      <c r="AE116" s="54"/>
      <c r="AF116" s="62">
        <f t="shared" si="15"/>
        <v>216</v>
      </c>
      <c r="AG116" s="242">
        <v>550.0</v>
      </c>
      <c r="AH116" s="68">
        <f t="shared" si="16"/>
        <v>118800</v>
      </c>
      <c r="AI116" s="17"/>
      <c r="AJ116" s="178"/>
      <c r="AK116" s="178"/>
    </row>
    <row r="117">
      <c r="A117" s="243" t="s">
        <v>348</v>
      </c>
      <c r="B117" s="679">
        <v>12.0</v>
      </c>
      <c r="C117" s="247">
        <v>3.0</v>
      </c>
      <c r="D117" s="247">
        <v>4.0</v>
      </c>
      <c r="E117" s="247">
        <v>2.0</v>
      </c>
      <c r="F117" s="247">
        <v>22.0</v>
      </c>
      <c r="G117" s="247">
        <v>4.0</v>
      </c>
      <c r="H117" s="183"/>
      <c r="I117" s="247">
        <v>11.0</v>
      </c>
      <c r="J117" s="247">
        <v>1.0</v>
      </c>
      <c r="K117" s="577">
        <v>6.0</v>
      </c>
      <c r="L117" s="247">
        <v>7.0</v>
      </c>
      <c r="M117" s="799"/>
      <c r="N117" s="247">
        <v>5.0</v>
      </c>
      <c r="O117" s="579"/>
      <c r="P117" s="247">
        <v>5.0</v>
      </c>
      <c r="Q117" s="247"/>
      <c r="R117" s="247">
        <v>1.0</v>
      </c>
      <c r="S117" s="247">
        <v>1.0</v>
      </c>
      <c r="T117" s="247">
        <v>1.0</v>
      </c>
      <c r="U117" s="247">
        <v>2.0</v>
      </c>
      <c r="V117" s="579"/>
      <c r="W117" s="588"/>
      <c r="X117" s="247">
        <v>2.0</v>
      </c>
      <c r="Y117" s="681"/>
      <c r="Z117" s="184"/>
      <c r="AA117" s="247">
        <v>3.0</v>
      </c>
      <c r="AB117" s="215"/>
      <c r="AC117" s="183"/>
      <c r="AD117" s="247">
        <v>4.0</v>
      </c>
      <c r="AE117" s="247">
        <v>1.0</v>
      </c>
      <c r="AF117" s="62">
        <f t="shared" si="15"/>
        <v>97</v>
      </c>
      <c r="AG117" s="249">
        <v>220.0</v>
      </c>
      <c r="AH117" s="168">
        <f t="shared" si="16"/>
        <v>21340</v>
      </c>
      <c r="AI117" s="17"/>
      <c r="AJ117" s="178"/>
      <c r="AK117" s="178"/>
    </row>
    <row r="118">
      <c r="A118" s="798" t="s">
        <v>45</v>
      </c>
      <c r="B118" s="275"/>
      <c r="C118" s="275"/>
      <c r="D118" s="275"/>
      <c r="E118" s="275"/>
      <c r="F118" s="275"/>
      <c r="G118" s="275"/>
      <c r="H118" s="275"/>
      <c r="I118" s="275"/>
      <c r="J118" s="275"/>
      <c r="K118" s="275"/>
      <c r="L118" s="275"/>
      <c r="M118" s="275"/>
      <c r="N118" s="275"/>
      <c r="O118" s="275"/>
      <c r="P118" s="275"/>
      <c r="Q118" s="275"/>
      <c r="R118" s="275"/>
      <c r="S118" s="275"/>
      <c r="T118" s="275"/>
      <c r="U118" s="275"/>
      <c r="V118" s="275"/>
      <c r="W118" s="275"/>
      <c r="X118" s="275"/>
      <c r="Y118" s="275"/>
      <c r="Z118" s="275"/>
      <c r="AA118" s="275"/>
      <c r="AB118" s="275"/>
      <c r="AC118" s="275"/>
      <c r="AD118" s="275"/>
      <c r="AE118" s="275"/>
      <c r="AF118" s="275"/>
      <c r="AG118" s="276"/>
      <c r="AH118" s="277">
        <f>SUM(AH111:AH117)</f>
        <v>182200</v>
      </c>
      <c r="AI118" s="17"/>
      <c r="AJ118" s="178"/>
      <c r="AK118" s="178"/>
    </row>
    <row r="119">
      <c r="A119" s="24" t="s">
        <v>350</v>
      </c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8"/>
      <c r="AI119" s="17"/>
      <c r="AJ119" s="178"/>
      <c r="AK119" s="178"/>
    </row>
    <row r="120">
      <c r="A120" s="197" t="s">
        <v>191</v>
      </c>
      <c r="B120" s="595">
        <v>18.0</v>
      </c>
      <c r="C120" s="595">
        <v>8.0</v>
      </c>
      <c r="D120" s="59">
        <v>3.0</v>
      </c>
      <c r="E120" s="493">
        <v>5.0</v>
      </c>
      <c r="F120" s="59">
        <v>23.0</v>
      </c>
      <c r="G120" s="493">
        <v>2.0</v>
      </c>
      <c r="H120" s="510"/>
      <c r="I120" s="493">
        <v>12.0</v>
      </c>
      <c r="J120" s="493">
        <v>6.0</v>
      </c>
      <c r="K120" s="493"/>
      <c r="L120" s="493">
        <v>15.0</v>
      </c>
      <c r="M120" s="527"/>
      <c r="N120" s="493">
        <v>15.0</v>
      </c>
      <c r="O120" s="510"/>
      <c r="P120" s="59">
        <v>8.0</v>
      </c>
      <c r="Q120" s="493">
        <v>3.0</v>
      </c>
      <c r="R120" s="59">
        <v>10.0</v>
      </c>
      <c r="S120" s="59">
        <v>4.0</v>
      </c>
      <c r="T120" s="59">
        <v>9.0</v>
      </c>
      <c r="U120" s="59">
        <v>4.0</v>
      </c>
      <c r="V120" s="515"/>
      <c r="W120" s="530"/>
      <c r="X120" s="59">
        <v>32.0</v>
      </c>
      <c r="Y120" s="611"/>
      <c r="Z120" s="59">
        <v>19.0</v>
      </c>
      <c r="AA120" s="59">
        <v>6.0</v>
      </c>
      <c r="AB120" s="69"/>
      <c r="AC120" s="192"/>
      <c r="AD120" s="59">
        <v>4.0</v>
      </c>
      <c r="AE120" s="59">
        <v>6.0</v>
      </c>
      <c r="AF120" s="62">
        <f t="shared" ref="AF120:AF124" si="17">SUM(B120:AE120)</f>
        <v>212</v>
      </c>
      <c r="AG120" s="80">
        <v>50.0</v>
      </c>
      <c r="AH120" s="68">
        <f t="shared" ref="AH120:AH124" si="18">AF120*AG120</f>
        <v>10600</v>
      </c>
      <c r="AI120" s="17"/>
      <c r="AJ120" s="178"/>
      <c r="AK120" s="178"/>
    </row>
    <row r="121">
      <c r="A121" s="197" t="s">
        <v>183</v>
      </c>
      <c r="B121" s="604"/>
      <c r="C121" s="59"/>
      <c r="D121" s="59">
        <v>1.0</v>
      </c>
      <c r="E121" s="59"/>
      <c r="F121" s="54"/>
      <c r="G121" s="59"/>
      <c r="H121" s="515"/>
      <c r="I121" s="59"/>
      <c r="J121" s="59"/>
      <c r="K121" s="493"/>
      <c r="L121" s="493"/>
      <c r="M121" s="527"/>
      <c r="N121" s="49"/>
      <c r="O121" s="515"/>
      <c r="P121" s="46"/>
      <c r="Q121" s="493"/>
      <c r="R121" s="59"/>
      <c r="S121" s="46"/>
      <c r="T121" s="46"/>
      <c r="U121" s="59"/>
      <c r="V121" s="515"/>
      <c r="W121" s="191"/>
      <c r="X121" s="46"/>
      <c r="Y121" s="611"/>
      <c r="Z121" s="46"/>
      <c r="AA121" s="46"/>
      <c r="AB121" s="69"/>
      <c r="AC121" s="192"/>
      <c r="AD121" s="46"/>
      <c r="AE121" s="46"/>
      <c r="AF121" s="62">
        <f t="shared" si="17"/>
        <v>1</v>
      </c>
      <c r="AG121" s="80">
        <v>60.0</v>
      </c>
      <c r="AH121" s="68">
        <f t="shared" si="18"/>
        <v>60</v>
      </c>
      <c r="AI121" s="17"/>
      <c r="AJ121" s="178"/>
      <c r="AK121" s="178"/>
    </row>
    <row r="122">
      <c r="A122" s="197" t="s">
        <v>185</v>
      </c>
      <c r="B122" s="604">
        <v>1.0</v>
      </c>
      <c r="C122" s="595">
        <v>2.0</v>
      </c>
      <c r="D122" s="54"/>
      <c r="E122" s="59"/>
      <c r="F122" s="59"/>
      <c r="G122" s="493"/>
      <c r="H122" s="515"/>
      <c r="I122" s="493"/>
      <c r="J122" s="59"/>
      <c r="K122" s="493"/>
      <c r="L122" s="493"/>
      <c r="M122" s="534"/>
      <c r="N122" s="59"/>
      <c r="O122" s="515"/>
      <c r="P122" s="493"/>
      <c r="Q122" s="59">
        <v>6.0</v>
      </c>
      <c r="R122" s="59"/>
      <c r="S122" s="59"/>
      <c r="T122" s="59">
        <v>1.0</v>
      </c>
      <c r="U122" s="59"/>
      <c r="V122" s="515"/>
      <c r="W122" s="530"/>
      <c r="X122" s="59"/>
      <c r="Y122" s="611"/>
      <c r="Z122" s="59">
        <v>4.0</v>
      </c>
      <c r="AA122" s="59">
        <v>2.0</v>
      </c>
      <c r="AB122" s="211"/>
      <c r="AC122" s="51"/>
      <c r="AD122" s="59">
        <v>2.0</v>
      </c>
      <c r="AE122" s="54"/>
      <c r="AF122" s="62">
        <f t="shared" si="17"/>
        <v>18</v>
      </c>
      <c r="AG122" s="80">
        <v>150.0</v>
      </c>
      <c r="AH122" s="68">
        <f t="shared" si="18"/>
        <v>2700</v>
      </c>
      <c r="AI122" s="17"/>
      <c r="AJ122" s="178"/>
      <c r="AK122" s="178"/>
    </row>
    <row r="123">
      <c r="A123" s="197" t="s">
        <v>186</v>
      </c>
      <c r="B123" s="604"/>
      <c r="C123" s="59">
        <v>2.0</v>
      </c>
      <c r="D123" s="59"/>
      <c r="E123" s="59">
        <v>1.0</v>
      </c>
      <c r="F123" s="54"/>
      <c r="G123" s="59"/>
      <c r="H123" s="51"/>
      <c r="I123" s="59"/>
      <c r="J123" s="59">
        <v>1.0</v>
      </c>
      <c r="K123" s="46"/>
      <c r="L123" s="59">
        <v>3.0</v>
      </c>
      <c r="M123" s="793"/>
      <c r="N123" s="54"/>
      <c r="O123" s="51"/>
      <c r="P123" s="59">
        <v>1.0</v>
      </c>
      <c r="Q123" s="493"/>
      <c r="R123" s="59"/>
      <c r="S123" s="46"/>
      <c r="T123" s="46"/>
      <c r="U123" s="46"/>
      <c r="V123" s="515"/>
      <c r="W123" s="191"/>
      <c r="X123" s="59">
        <v>2.0</v>
      </c>
      <c r="Y123" s="508"/>
      <c r="Z123" s="59">
        <v>2.0</v>
      </c>
      <c r="AA123" s="46"/>
      <c r="AB123" s="69"/>
      <c r="AC123" s="192"/>
      <c r="AD123" s="59">
        <v>1.0</v>
      </c>
      <c r="AE123" s="59">
        <v>1.0</v>
      </c>
      <c r="AF123" s="62">
        <f t="shared" si="17"/>
        <v>14</v>
      </c>
      <c r="AG123" s="80">
        <v>130.0</v>
      </c>
      <c r="AH123" s="68">
        <f t="shared" si="18"/>
        <v>1820</v>
      </c>
      <c r="AI123" s="17"/>
      <c r="AJ123" s="178"/>
      <c r="AK123" s="178"/>
    </row>
    <row r="124">
      <c r="A124" s="243" t="s">
        <v>187</v>
      </c>
      <c r="B124" s="691">
        <v>20.0</v>
      </c>
      <c r="C124" s="691">
        <v>4.0</v>
      </c>
      <c r="D124" s="247">
        <v>5.0</v>
      </c>
      <c r="E124" s="577">
        <v>3.0</v>
      </c>
      <c r="F124" s="247">
        <v>10.0</v>
      </c>
      <c r="G124" s="577">
        <v>3.0</v>
      </c>
      <c r="H124" s="632"/>
      <c r="I124" s="247">
        <v>4.0</v>
      </c>
      <c r="J124" s="577">
        <v>5.0</v>
      </c>
      <c r="K124" s="577">
        <v>7.0</v>
      </c>
      <c r="L124" s="247">
        <v>4.0</v>
      </c>
      <c r="M124" s="799"/>
      <c r="N124" s="247">
        <v>4.0</v>
      </c>
      <c r="O124" s="579"/>
      <c r="P124" s="247">
        <v>6.0</v>
      </c>
      <c r="Q124" s="577">
        <v>1.0</v>
      </c>
      <c r="R124" s="247">
        <v>2.0</v>
      </c>
      <c r="S124" s="247">
        <v>2.0</v>
      </c>
      <c r="T124" s="247">
        <v>3.0</v>
      </c>
      <c r="U124" s="247">
        <v>1.0</v>
      </c>
      <c r="V124" s="579"/>
      <c r="W124" s="588"/>
      <c r="X124" s="247">
        <v>5.0</v>
      </c>
      <c r="Y124" s="681"/>
      <c r="Z124" s="247">
        <v>3.0</v>
      </c>
      <c r="AA124" s="247">
        <v>2.0</v>
      </c>
      <c r="AB124" s="188"/>
      <c r="AC124" s="229"/>
      <c r="AD124" s="181"/>
      <c r="AE124" s="247">
        <v>3.0</v>
      </c>
      <c r="AF124" s="62">
        <f t="shared" si="17"/>
        <v>97</v>
      </c>
      <c r="AG124" s="167">
        <v>1650.0</v>
      </c>
      <c r="AH124" s="168">
        <f t="shared" si="18"/>
        <v>160050</v>
      </c>
      <c r="AI124" s="17"/>
      <c r="AJ124" s="178"/>
      <c r="AK124" s="178"/>
    </row>
    <row r="125">
      <c r="A125" s="798" t="s">
        <v>45</v>
      </c>
      <c r="B125" s="275"/>
      <c r="C125" s="275"/>
      <c r="D125" s="275"/>
      <c r="E125" s="275"/>
      <c r="F125" s="275"/>
      <c r="G125" s="275"/>
      <c r="H125" s="275"/>
      <c r="I125" s="275"/>
      <c r="J125" s="275"/>
      <c r="K125" s="275"/>
      <c r="L125" s="275"/>
      <c r="M125" s="275"/>
      <c r="N125" s="275"/>
      <c r="O125" s="275"/>
      <c r="P125" s="275"/>
      <c r="Q125" s="275"/>
      <c r="R125" s="275"/>
      <c r="S125" s="275"/>
      <c r="T125" s="275"/>
      <c r="U125" s="275"/>
      <c r="V125" s="275"/>
      <c r="W125" s="275"/>
      <c r="X125" s="275"/>
      <c r="Y125" s="275"/>
      <c r="Z125" s="275"/>
      <c r="AA125" s="275"/>
      <c r="AB125" s="275"/>
      <c r="AC125" s="275"/>
      <c r="AD125" s="275"/>
      <c r="AE125" s="275"/>
      <c r="AF125" s="275"/>
      <c r="AG125" s="276"/>
      <c r="AH125" s="277">
        <f>SUM(AH120:AH124)</f>
        <v>175230</v>
      </c>
      <c r="AI125" s="17"/>
      <c r="AJ125" s="178"/>
      <c r="AK125" s="178"/>
    </row>
    <row r="126">
      <c r="A126" s="262" t="s">
        <v>208</v>
      </c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8"/>
      <c r="AI126" s="17"/>
      <c r="AJ126" s="257"/>
      <c r="AK126" s="257"/>
    </row>
    <row r="127">
      <c r="A127" s="142" t="s">
        <v>210</v>
      </c>
      <c r="B127" s="604"/>
      <c r="C127" s="54"/>
      <c r="D127" s="59">
        <v>1.0</v>
      </c>
      <c r="E127" s="54"/>
      <c r="F127" s="59"/>
      <c r="G127" s="54"/>
      <c r="H127" s="515"/>
      <c r="I127" s="49"/>
      <c r="J127" s="54"/>
      <c r="K127" s="54"/>
      <c r="L127" s="493">
        <v>1.0</v>
      </c>
      <c r="M127" s="527"/>
      <c r="N127" s="59">
        <v>1.0</v>
      </c>
      <c r="O127" s="51"/>
      <c r="P127" s="54"/>
      <c r="Q127" s="54"/>
      <c r="R127" s="59"/>
      <c r="S127" s="54"/>
      <c r="T127" s="59"/>
      <c r="U127" s="59"/>
      <c r="V127" s="51"/>
      <c r="W127" s="48"/>
      <c r="X127" s="54"/>
      <c r="Y127" s="611"/>
      <c r="Z127" s="54"/>
      <c r="AA127" s="59">
        <v>3.0</v>
      </c>
      <c r="AB127" s="211"/>
      <c r="AC127" s="51"/>
      <c r="AD127" s="54"/>
      <c r="AE127" s="54"/>
      <c r="AF127" s="62">
        <f t="shared" ref="AF127:AF134" si="19">SUM(B127:AE127)</f>
        <v>6</v>
      </c>
      <c r="AG127" s="80">
        <v>700.0</v>
      </c>
      <c r="AH127" s="68">
        <f t="shared" ref="AH127:AH134" si="20">AF127*AG127</f>
        <v>4200</v>
      </c>
      <c r="AI127" s="17"/>
      <c r="AJ127" s="178"/>
      <c r="AK127" s="178"/>
    </row>
    <row r="128">
      <c r="A128" s="142" t="s">
        <v>213</v>
      </c>
      <c r="B128" s="669"/>
      <c r="C128" s="42"/>
      <c r="D128" s="54"/>
      <c r="E128" s="54"/>
      <c r="F128" s="54"/>
      <c r="G128" s="54"/>
      <c r="H128" s="51"/>
      <c r="I128" s="54"/>
      <c r="J128" s="59"/>
      <c r="K128" s="54"/>
      <c r="L128" s="54"/>
      <c r="M128" s="527"/>
      <c r="N128" s="54"/>
      <c r="O128" s="51"/>
      <c r="P128" s="46"/>
      <c r="Q128" s="54"/>
      <c r="R128" s="54"/>
      <c r="S128" s="59"/>
      <c r="T128" s="54"/>
      <c r="U128" s="54"/>
      <c r="V128" s="51"/>
      <c r="W128" s="48"/>
      <c r="X128" s="54"/>
      <c r="Y128" s="491"/>
      <c r="Z128" s="54"/>
      <c r="AA128" s="54"/>
      <c r="AB128" s="211"/>
      <c r="AC128" s="51"/>
      <c r="AD128" s="54"/>
      <c r="AE128" s="54"/>
      <c r="AF128" s="62">
        <f t="shared" si="19"/>
        <v>0</v>
      </c>
      <c r="AG128" s="80">
        <v>1450.0</v>
      </c>
      <c r="AH128" s="68">
        <f t="shared" si="20"/>
        <v>0</v>
      </c>
      <c r="AI128" s="17"/>
      <c r="AJ128" s="178"/>
      <c r="AK128" s="178"/>
    </row>
    <row r="129">
      <c r="A129" s="142" t="s">
        <v>215</v>
      </c>
      <c r="B129" s="604"/>
      <c r="C129" s="54"/>
      <c r="D129" s="54"/>
      <c r="E129" s="59">
        <v>1.0</v>
      </c>
      <c r="F129" s="54"/>
      <c r="G129" s="49"/>
      <c r="H129" s="51"/>
      <c r="I129" s="54"/>
      <c r="J129" s="54"/>
      <c r="K129" s="54"/>
      <c r="L129" s="46"/>
      <c r="M129" s="534"/>
      <c r="N129" s="46"/>
      <c r="O129" s="51"/>
      <c r="P129" s="54"/>
      <c r="Q129" s="54"/>
      <c r="R129" s="46"/>
      <c r="S129" s="59"/>
      <c r="T129" s="46"/>
      <c r="U129" s="59"/>
      <c r="V129" s="192"/>
      <c r="W129" s="191"/>
      <c r="X129" s="46"/>
      <c r="Y129" s="508"/>
      <c r="Z129" s="46"/>
      <c r="AA129" s="59">
        <v>1.0</v>
      </c>
      <c r="AB129" s="69"/>
      <c r="AC129" s="192"/>
      <c r="AD129" s="46"/>
      <c r="AE129" s="46"/>
      <c r="AF129" s="62">
        <f t="shared" si="19"/>
        <v>2</v>
      </c>
      <c r="AG129" s="80">
        <v>800.0</v>
      </c>
      <c r="AH129" s="68">
        <f t="shared" si="20"/>
        <v>1600</v>
      </c>
      <c r="AI129" s="17"/>
      <c r="AJ129" s="178"/>
      <c r="AK129" s="178"/>
    </row>
    <row r="130">
      <c r="A130" s="142" t="s">
        <v>217</v>
      </c>
      <c r="B130" s="604">
        <v>1.0</v>
      </c>
      <c r="C130" s="54"/>
      <c r="D130" s="59"/>
      <c r="E130" s="46"/>
      <c r="F130" s="59">
        <v>1.0</v>
      </c>
      <c r="G130" s="59">
        <v>1.0</v>
      </c>
      <c r="H130" s="192"/>
      <c r="I130" s="54"/>
      <c r="J130" s="54"/>
      <c r="K130" s="59">
        <v>2.0</v>
      </c>
      <c r="L130" s="59"/>
      <c r="M130" s="534"/>
      <c r="N130" s="59">
        <v>1.0</v>
      </c>
      <c r="O130" s="51"/>
      <c r="P130" s="59">
        <v>2.0</v>
      </c>
      <c r="Q130" s="59"/>
      <c r="R130" s="59"/>
      <c r="S130" s="59"/>
      <c r="T130" s="59">
        <v>1.0</v>
      </c>
      <c r="U130" s="46"/>
      <c r="V130" s="192"/>
      <c r="W130" s="191"/>
      <c r="X130" s="46"/>
      <c r="Y130" s="508"/>
      <c r="Z130" s="46"/>
      <c r="AA130" s="59">
        <v>1.0</v>
      </c>
      <c r="AB130" s="69"/>
      <c r="AC130" s="192"/>
      <c r="AD130" s="46"/>
      <c r="AE130" s="46"/>
      <c r="AF130" s="62">
        <f t="shared" si="19"/>
        <v>10</v>
      </c>
      <c r="AG130" s="80">
        <v>800.0</v>
      </c>
      <c r="AH130" s="68">
        <f t="shared" si="20"/>
        <v>8000</v>
      </c>
      <c r="AI130" s="17"/>
      <c r="AJ130" s="178"/>
      <c r="AK130" s="178"/>
    </row>
    <row r="131">
      <c r="A131" s="142" t="s">
        <v>220</v>
      </c>
      <c r="B131" s="595">
        <v>18.0</v>
      </c>
      <c r="C131" s="595">
        <v>6.0</v>
      </c>
      <c r="D131" s="59">
        <v>95.0</v>
      </c>
      <c r="E131" s="493">
        <v>5.0</v>
      </c>
      <c r="F131" s="59">
        <v>18.0</v>
      </c>
      <c r="G131" s="493">
        <v>9.0</v>
      </c>
      <c r="H131" s="510"/>
      <c r="I131" s="493">
        <v>13.0</v>
      </c>
      <c r="J131" s="59">
        <v>3.0</v>
      </c>
      <c r="K131" s="493">
        <v>4.0</v>
      </c>
      <c r="L131" s="493">
        <v>13.0</v>
      </c>
      <c r="M131" s="527"/>
      <c r="N131" s="59">
        <v>16.0</v>
      </c>
      <c r="O131" s="510"/>
      <c r="P131" s="493">
        <v>7.0</v>
      </c>
      <c r="Q131" s="59">
        <v>2.0</v>
      </c>
      <c r="R131" s="59"/>
      <c r="S131" s="59">
        <v>2.0</v>
      </c>
      <c r="T131" s="59">
        <v>2.0</v>
      </c>
      <c r="U131" s="59">
        <v>1.0</v>
      </c>
      <c r="V131" s="515"/>
      <c r="W131" s="530"/>
      <c r="X131" s="59">
        <v>4.0</v>
      </c>
      <c r="Y131" s="611"/>
      <c r="Z131" s="59">
        <v>7.0</v>
      </c>
      <c r="AA131" s="59">
        <v>2.0</v>
      </c>
      <c r="AB131" s="69"/>
      <c r="AC131" s="192"/>
      <c r="AD131" s="59">
        <v>1.0</v>
      </c>
      <c r="AE131" s="59">
        <v>1.0</v>
      </c>
      <c r="AF131" s="62">
        <f t="shared" si="19"/>
        <v>229</v>
      </c>
      <c r="AG131" s="80">
        <v>260.0</v>
      </c>
      <c r="AH131" s="68">
        <f t="shared" si="20"/>
        <v>59540</v>
      </c>
      <c r="AI131" s="17"/>
      <c r="AJ131" s="178"/>
      <c r="AK131" s="178"/>
    </row>
    <row r="132">
      <c r="A132" s="263" t="s">
        <v>221</v>
      </c>
      <c r="B132" s="679">
        <v>1.0</v>
      </c>
      <c r="C132" s="181"/>
      <c r="D132" s="181"/>
      <c r="E132" s="181"/>
      <c r="F132" s="247">
        <v>1.0</v>
      </c>
      <c r="G132" s="247"/>
      <c r="H132" s="229"/>
      <c r="I132" s="577">
        <v>1.0</v>
      </c>
      <c r="J132" s="184"/>
      <c r="K132" s="577">
        <v>1.0</v>
      </c>
      <c r="L132" s="247">
        <v>1.0</v>
      </c>
      <c r="M132" s="590"/>
      <c r="N132" s="247"/>
      <c r="O132" s="183"/>
      <c r="P132" s="246"/>
      <c r="Q132" s="184"/>
      <c r="R132" s="247">
        <v>1.0</v>
      </c>
      <c r="S132" s="247">
        <v>1.0</v>
      </c>
      <c r="T132" s="247">
        <v>2.0</v>
      </c>
      <c r="U132" s="181"/>
      <c r="V132" s="229"/>
      <c r="W132" s="245"/>
      <c r="X132" s="247">
        <v>1.0</v>
      </c>
      <c r="Y132" s="549"/>
      <c r="Z132" s="181"/>
      <c r="AA132" s="181"/>
      <c r="AB132" s="188"/>
      <c r="AC132" s="229"/>
      <c r="AD132" s="181"/>
      <c r="AE132" s="181"/>
      <c r="AF132" s="62">
        <f t="shared" si="19"/>
        <v>10</v>
      </c>
      <c r="AG132" s="167">
        <v>180.0</v>
      </c>
      <c r="AH132" s="168">
        <f t="shared" si="20"/>
        <v>1800</v>
      </c>
      <c r="AI132" s="17"/>
      <c r="AJ132" s="178"/>
      <c r="AK132" s="178"/>
    </row>
    <row r="133">
      <c r="A133" s="142" t="s">
        <v>368</v>
      </c>
      <c r="B133" s="604">
        <v>2.0</v>
      </c>
      <c r="C133" s="59"/>
      <c r="D133" s="46"/>
      <c r="E133" s="59">
        <v>1.0</v>
      </c>
      <c r="F133" s="59">
        <v>2.0</v>
      </c>
      <c r="G133" s="59">
        <v>1.0</v>
      </c>
      <c r="H133" s="515"/>
      <c r="I133" s="493">
        <v>1.0</v>
      </c>
      <c r="J133" s="59"/>
      <c r="K133" s="493"/>
      <c r="L133" s="59"/>
      <c r="M133" s="527"/>
      <c r="N133" s="59"/>
      <c r="O133" s="515"/>
      <c r="P133" s="493">
        <v>1.0</v>
      </c>
      <c r="Q133" s="59"/>
      <c r="R133" s="59"/>
      <c r="S133" s="59">
        <v>1.0</v>
      </c>
      <c r="T133" s="59">
        <v>1.0</v>
      </c>
      <c r="U133" s="46"/>
      <c r="V133" s="515"/>
      <c r="W133" s="191"/>
      <c r="X133" s="59">
        <v>1.0</v>
      </c>
      <c r="Y133" s="508"/>
      <c r="Z133" s="46"/>
      <c r="AA133" s="59">
        <v>2.0</v>
      </c>
      <c r="AB133" s="69"/>
      <c r="AC133" s="192"/>
      <c r="AD133" s="59">
        <v>1.0</v>
      </c>
      <c r="AE133" s="59">
        <v>1.0</v>
      </c>
      <c r="AF133" s="62">
        <f t="shared" si="19"/>
        <v>15</v>
      </c>
      <c r="AG133" s="80">
        <v>160.0</v>
      </c>
      <c r="AH133" s="68">
        <f t="shared" si="20"/>
        <v>2400</v>
      </c>
      <c r="AI133" s="17"/>
      <c r="AJ133" s="178"/>
      <c r="AK133" s="178"/>
    </row>
    <row r="134">
      <c r="A134" s="263" t="s">
        <v>370</v>
      </c>
      <c r="B134" s="679"/>
      <c r="C134" s="247"/>
      <c r="D134" s="181"/>
      <c r="E134" s="181"/>
      <c r="F134" s="184"/>
      <c r="G134" s="184"/>
      <c r="H134" s="229"/>
      <c r="I134" s="246"/>
      <c r="J134" s="247"/>
      <c r="K134" s="577"/>
      <c r="L134" s="247"/>
      <c r="M134" s="590"/>
      <c r="N134" s="247"/>
      <c r="O134" s="183"/>
      <c r="P134" s="246"/>
      <c r="Q134" s="247">
        <v>1.0</v>
      </c>
      <c r="R134" s="247"/>
      <c r="S134" s="247"/>
      <c r="T134" s="247">
        <v>2.0</v>
      </c>
      <c r="U134" s="247">
        <v>1.0</v>
      </c>
      <c r="V134" s="229"/>
      <c r="W134" s="245"/>
      <c r="X134" s="247">
        <v>1.0</v>
      </c>
      <c r="Y134" s="549"/>
      <c r="Z134" s="181"/>
      <c r="AA134" s="247">
        <v>1.0</v>
      </c>
      <c r="AB134" s="188"/>
      <c r="AC134" s="229"/>
      <c r="AD134" s="181"/>
      <c r="AE134" s="181"/>
      <c r="AF134" s="62">
        <f t="shared" si="19"/>
        <v>6</v>
      </c>
      <c r="AG134" s="167">
        <v>200.0</v>
      </c>
      <c r="AH134" s="168">
        <f t="shared" si="20"/>
        <v>1200</v>
      </c>
      <c r="AI134" s="17"/>
      <c r="AJ134" s="178"/>
      <c r="AK134" s="178"/>
    </row>
    <row r="135">
      <c r="A135" s="798" t="s">
        <v>45</v>
      </c>
      <c r="B135" s="275"/>
      <c r="C135" s="275"/>
      <c r="D135" s="275"/>
      <c r="E135" s="275"/>
      <c r="F135" s="275"/>
      <c r="G135" s="275"/>
      <c r="H135" s="275"/>
      <c r="I135" s="275"/>
      <c r="J135" s="275"/>
      <c r="K135" s="275"/>
      <c r="L135" s="275"/>
      <c r="M135" s="275"/>
      <c r="N135" s="275"/>
      <c r="O135" s="275"/>
      <c r="P135" s="275"/>
      <c r="Q135" s="275"/>
      <c r="R135" s="275"/>
      <c r="S135" s="275"/>
      <c r="T135" s="275"/>
      <c r="U135" s="275"/>
      <c r="V135" s="275"/>
      <c r="W135" s="275"/>
      <c r="X135" s="275"/>
      <c r="Y135" s="275"/>
      <c r="Z135" s="275"/>
      <c r="AA135" s="275"/>
      <c r="AB135" s="275"/>
      <c r="AC135" s="275"/>
      <c r="AD135" s="275"/>
      <c r="AE135" s="275"/>
      <c r="AF135" s="275"/>
      <c r="AG135" s="276"/>
      <c r="AH135" s="277">
        <f>SUM(AH127:AH134)</f>
        <v>78740</v>
      </c>
      <c r="AI135" s="17"/>
      <c r="AJ135" s="178"/>
      <c r="AK135" s="178"/>
    </row>
    <row r="136">
      <c r="A136" s="256" t="s">
        <v>192</v>
      </c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8"/>
      <c r="AI136" s="17"/>
      <c r="AJ136" s="178"/>
      <c r="AK136" s="178"/>
    </row>
    <row r="137">
      <c r="A137" s="258" t="s">
        <v>193</v>
      </c>
      <c r="B137" s="604"/>
      <c r="C137" s="59">
        <v>3.0</v>
      </c>
      <c r="D137" s="59">
        <v>1.0</v>
      </c>
      <c r="E137" s="59">
        <v>2.0</v>
      </c>
      <c r="F137" s="59"/>
      <c r="G137" s="493">
        <v>1.0</v>
      </c>
      <c r="H137" s="515"/>
      <c r="I137" s="59">
        <v>5.0</v>
      </c>
      <c r="J137" s="59">
        <v>1.0</v>
      </c>
      <c r="K137" s="59">
        <v>1.0</v>
      </c>
      <c r="L137" s="59">
        <v>1.0</v>
      </c>
      <c r="M137" s="527"/>
      <c r="N137" s="493">
        <v>3.0</v>
      </c>
      <c r="O137" s="51"/>
      <c r="P137" s="493">
        <v>1.0</v>
      </c>
      <c r="Q137" s="493">
        <v>4.0</v>
      </c>
      <c r="R137" s="59">
        <v>1.0</v>
      </c>
      <c r="S137" s="59">
        <v>1.0</v>
      </c>
      <c r="T137" s="59">
        <v>4.0</v>
      </c>
      <c r="U137" s="59"/>
      <c r="V137" s="515"/>
      <c r="W137" s="530"/>
      <c r="X137" s="59">
        <v>6.0</v>
      </c>
      <c r="Y137" s="611"/>
      <c r="Z137" s="59">
        <v>5.0</v>
      </c>
      <c r="AA137" s="59">
        <v>2.0</v>
      </c>
      <c r="AB137" s="69"/>
      <c r="AC137" s="192"/>
      <c r="AD137" s="59">
        <v>1.0</v>
      </c>
      <c r="AE137" s="59">
        <v>2.0</v>
      </c>
      <c r="AF137" s="62">
        <f t="shared" ref="AF137:AF147" si="21">SUM(B137:AE137)</f>
        <v>45</v>
      </c>
      <c r="AG137" s="80">
        <v>130.0</v>
      </c>
      <c r="AH137" s="68">
        <f t="shared" ref="AH137:AH147" si="22">AF137*AG137</f>
        <v>5850</v>
      </c>
      <c r="AI137" s="17"/>
      <c r="AJ137" s="178"/>
      <c r="AK137" s="178"/>
    </row>
    <row r="138">
      <c r="A138" s="258" t="s">
        <v>201</v>
      </c>
      <c r="B138" s="604">
        <v>2.0</v>
      </c>
      <c r="C138" s="59">
        <v>1.0</v>
      </c>
      <c r="D138" s="59">
        <v>1.0</v>
      </c>
      <c r="E138" s="59">
        <v>2.0</v>
      </c>
      <c r="F138" s="59">
        <v>2.0</v>
      </c>
      <c r="G138" s="493"/>
      <c r="H138" s="515"/>
      <c r="I138" s="493">
        <v>1.0</v>
      </c>
      <c r="J138" s="493">
        <v>2.0</v>
      </c>
      <c r="K138" s="493"/>
      <c r="L138" s="493">
        <v>1.0</v>
      </c>
      <c r="M138" s="527"/>
      <c r="N138" s="493">
        <v>1.0</v>
      </c>
      <c r="O138" s="510"/>
      <c r="P138" s="59">
        <v>26.0</v>
      </c>
      <c r="Q138" s="493"/>
      <c r="R138" s="59">
        <v>6.0</v>
      </c>
      <c r="S138" s="59">
        <v>4.0</v>
      </c>
      <c r="T138" s="59">
        <v>4.0</v>
      </c>
      <c r="U138" s="59"/>
      <c r="V138" s="515"/>
      <c r="W138" s="530"/>
      <c r="X138" s="59">
        <v>3.0</v>
      </c>
      <c r="Y138" s="611"/>
      <c r="Z138" s="59">
        <v>18.0</v>
      </c>
      <c r="AA138" s="59">
        <v>3.0</v>
      </c>
      <c r="AB138" s="69"/>
      <c r="AC138" s="192"/>
      <c r="AD138" s="59">
        <v>1.0</v>
      </c>
      <c r="AE138" s="59">
        <v>1.0</v>
      </c>
      <c r="AF138" s="62">
        <f t="shared" si="21"/>
        <v>79</v>
      </c>
      <c r="AG138" s="80">
        <v>200.0</v>
      </c>
      <c r="AH138" s="68">
        <f t="shared" si="22"/>
        <v>15800</v>
      </c>
      <c r="AI138" s="17"/>
      <c r="AJ138" s="178"/>
      <c r="AK138" s="178"/>
    </row>
    <row r="139">
      <c r="A139" s="258" t="s">
        <v>196</v>
      </c>
      <c r="B139" s="669"/>
      <c r="C139" s="46"/>
      <c r="D139" s="59">
        <v>1.0</v>
      </c>
      <c r="E139" s="59"/>
      <c r="F139" s="54"/>
      <c r="G139" s="59">
        <v>2.0</v>
      </c>
      <c r="H139" s="510"/>
      <c r="I139" s="493"/>
      <c r="J139" s="59">
        <v>9.0</v>
      </c>
      <c r="K139" s="49"/>
      <c r="L139" s="493">
        <v>1.0</v>
      </c>
      <c r="M139" s="534"/>
      <c r="N139" s="59">
        <v>5.0</v>
      </c>
      <c r="O139" s="492"/>
      <c r="P139" s="59">
        <v>3.0</v>
      </c>
      <c r="Q139" s="59">
        <v>1.0</v>
      </c>
      <c r="R139" s="59">
        <v>1.0</v>
      </c>
      <c r="S139" s="59"/>
      <c r="T139" s="59">
        <v>4.0</v>
      </c>
      <c r="U139" s="59"/>
      <c r="V139" s="192"/>
      <c r="W139" s="191"/>
      <c r="X139" s="59">
        <v>3.0</v>
      </c>
      <c r="Y139" s="611"/>
      <c r="Z139" s="46"/>
      <c r="AA139" s="46"/>
      <c r="AB139" s="69"/>
      <c r="AC139" s="192"/>
      <c r="AD139" s="46"/>
      <c r="AE139" s="46"/>
      <c r="AF139" s="62">
        <f t="shared" si="21"/>
        <v>30</v>
      </c>
      <c r="AG139" s="80">
        <v>130.0</v>
      </c>
      <c r="AH139" s="68">
        <f t="shared" si="22"/>
        <v>3900</v>
      </c>
      <c r="AI139" s="17"/>
      <c r="AJ139" s="178"/>
      <c r="AK139" s="178"/>
    </row>
    <row r="140">
      <c r="A140" s="267" t="s">
        <v>360</v>
      </c>
      <c r="B140" s="595">
        <v>2.0</v>
      </c>
      <c r="C140" s="42"/>
      <c r="D140" s="46"/>
      <c r="E140" s="46"/>
      <c r="F140" s="54"/>
      <c r="G140" s="493"/>
      <c r="H140" s="192"/>
      <c r="I140" s="493">
        <v>1.0</v>
      </c>
      <c r="J140" s="59">
        <v>15.0</v>
      </c>
      <c r="K140" s="493"/>
      <c r="L140" s="49"/>
      <c r="M140" s="527"/>
      <c r="N140" s="59"/>
      <c r="O140" s="515"/>
      <c r="P140" s="46"/>
      <c r="Q140" s="493"/>
      <c r="R140" s="59">
        <v>1.0</v>
      </c>
      <c r="S140" s="59">
        <v>3.0</v>
      </c>
      <c r="T140" s="46"/>
      <c r="U140" s="59"/>
      <c r="V140" s="515"/>
      <c r="W140" s="530"/>
      <c r="X140" s="59"/>
      <c r="Y140" s="611"/>
      <c r="Z140" s="46"/>
      <c r="AA140" s="46"/>
      <c r="AB140" s="69"/>
      <c r="AC140" s="192"/>
      <c r="AD140" s="46"/>
      <c r="AE140" s="46"/>
      <c r="AF140" s="62">
        <f t="shared" si="21"/>
        <v>22</v>
      </c>
      <c r="AG140" s="80">
        <v>90.0</v>
      </c>
      <c r="AH140" s="68">
        <f t="shared" si="22"/>
        <v>1980</v>
      </c>
      <c r="AI140" s="17"/>
      <c r="AJ140" s="178"/>
      <c r="AK140" s="178"/>
    </row>
    <row r="141">
      <c r="A141" s="147" t="s">
        <v>199</v>
      </c>
      <c r="B141" s="604">
        <v>2.0</v>
      </c>
      <c r="C141" s="54"/>
      <c r="D141" s="54"/>
      <c r="E141" s="54"/>
      <c r="F141" s="54"/>
      <c r="G141" s="54"/>
      <c r="H141" s="51"/>
      <c r="I141" s="54"/>
      <c r="J141" s="54"/>
      <c r="K141" s="54"/>
      <c r="L141" s="54"/>
      <c r="M141" s="534"/>
      <c r="N141" s="54"/>
      <c r="O141" s="51"/>
      <c r="P141" s="54"/>
      <c r="Q141" s="54"/>
      <c r="R141" s="54"/>
      <c r="S141" s="54"/>
      <c r="T141" s="54"/>
      <c r="U141" s="54"/>
      <c r="V141" s="51"/>
      <c r="W141" s="48"/>
      <c r="X141" s="54"/>
      <c r="Y141" s="491"/>
      <c r="Z141" s="54"/>
      <c r="AA141" s="54"/>
      <c r="AB141" s="211"/>
      <c r="AC141" s="51"/>
      <c r="AD141" s="54"/>
      <c r="AE141" s="54"/>
      <c r="AF141" s="62">
        <f t="shared" si="21"/>
        <v>2</v>
      </c>
      <c r="AG141" s="80">
        <v>90.0</v>
      </c>
      <c r="AH141" s="68">
        <f t="shared" si="22"/>
        <v>180</v>
      </c>
      <c r="AI141" s="17"/>
      <c r="AJ141" s="178"/>
      <c r="AK141" s="178"/>
    </row>
    <row r="142">
      <c r="A142" s="258" t="s">
        <v>203</v>
      </c>
      <c r="B142" s="669"/>
      <c r="C142" s="54"/>
      <c r="D142" s="54"/>
      <c r="E142" s="54"/>
      <c r="F142" s="54"/>
      <c r="G142" s="54"/>
      <c r="H142" s="51"/>
      <c r="I142" s="54"/>
      <c r="J142" s="54"/>
      <c r="K142" s="59">
        <v>1.0</v>
      </c>
      <c r="L142" s="54"/>
      <c r="M142" s="534"/>
      <c r="N142" s="54"/>
      <c r="O142" s="51"/>
      <c r="P142" s="54"/>
      <c r="Q142" s="54"/>
      <c r="R142" s="54"/>
      <c r="S142" s="46"/>
      <c r="T142" s="46"/>
      <c r="U142" s="59">
        <v>1.0</v>
      </c>
      <c r="V142" s="192"/>
      <c r="W142" s="191"/>
      <c r="X142" s="46"/>
      <c r="Y142" s="508"/>
      <c r="Z142" s="46"/>
      <c r="AA142" s="46"/>
      <c r="AB142" s="69"/>
      <c r="AC142" s="192"/>
      <c r="AD142" s="46"/>
      <c r="AE142" s="46"/>
      <c r="AF142" s="62">
        <f t="shared" si="21"/>
        <v>2</v>
      </c>
      <c r="AG142" s="80">
        <v>200.0</v>
      </c>
      <c r="AH142" s="68">
        <f t="shared" si="22"/>
        <v>400</v>
      </c>
      <c r="AI142" s="17"/>
      <c r="AJ142" s="178"/>
      <c r="AK142" s="178"/>
    </row>
    <row r="143">
      <c r="A143" s="258" t="s">
        <v>204</v>
      </c>
      <c r="B143" s="669"/>
      <c r="C143" s="54"/>
      <c r="D143" s="54"/>
      <c r="E143" s="54"/>
      <c r="F143" s="54"/>
      <c r="G143" s="54"/>
      <c r="H143" s="51"/>
      <c r="I143" s="54"/>
      <c r="J143" s="54"/>
      <c r="K143" s="54"/>
      <c r="L143" s="54"/>
      <c r="M143" s="534"/>
      <c r="N143" s="54"/>
      <c r="O143" s="51"/>
      <c r="P143" s="54"/>
      <c r="Q143" s="54"/>
      <c r="R143" s="54"/>
      <c r="S143" s="54"/>
      <c r="T143" s="54"/>
      <c r="U143" s="54"/>
      <c r="V143" s="51"/>
      <c r="W143" s="48"/>
      <c r="X143" s="54"/>
      <c r="Y143" s="491"/>
      <c r="Z143" s="54"/>
      <c r="AA143" s="54"/>
      <c r="AB143" s="211"/>
      <c r="AC143" s="51"/>
      <c r="AD143" s="54"/>
      <c r="AE143" s="54"/>
      <c r="AF143" s="62">
        <f t="shared" si="21"/>
        <v>0</v>
      </c>
      <c r="AG143" s="80">
        <v>600.0</v>
      </c>
      <c r="AH143" s="68">
        <f t="shared" si="22"/>
        <v>0</v>
      </c>
      <c r="AI143" s="17"/>
      <c r="AJ143" s="178"/>
      <c r="AK143" s="178"/>
    </row>
    <row r="144">
      <c r="A144" s="267" t="s">
        <v>225</v>
      </c>
      <c r="B144" s="604">
        <v>3.0</v>
      </c>
      <c r="C144" s="59">
        <v>2.0</v>
      </c>
      <c r="D144" s="59">
        <v>2.0</v>
      </c>
      <c r="E144" s="59"/>
      <c r="F144" s="59">
        <v>9.0</v>
      </c>
      <c r="G144" s="59">
        <v>1.0</v>
      </c>
      <c r="H144" s="515"/>
      <c r="I144" s="59">
        <v>2.0</v>
      </c>
      <c r="J144" s="59">
        <v>2.0</v>
      </c>
      <c r="K144" s="59">
        <v>7.0</v>
      </c>
      <c r="L144" s="59">
        <v>6.0</v>
      </c>
      <c r="M144" s="527"/>
      <c r="N144" s="493">
        <v>4.0</v>
      </c>
      <c r="O144" s="510"/>
      <c r="P144" s="493">
        <v>1.0</v>
      </c>
      <c r="Q144" s="493">
        <v>4.0</v>
      </c>
      <c r="R144" s="59">
        <v>1.0</v>
      </c>
      <c r="S144" s="59">
        <v>1.0</v>
      </c>
      <c r="T144" s="59">
        <v>8.0</v>
      </c>
      <c r="U144" s="59">
        <v>1.0</v>
      </c>
      <c r="V144" s="515"/>
      <c r="W144" s="530"/>
      <c r="X144" s="59">
        <v>4.0</v>
      </c>
      <c r="Y144" s="611"/>
      <c r="Z144" s="59">
        <v>7.0</v>
      </c>
      <c r="AA144" s="59">
        <v>4.0</v>
      </c>
      <c r="AB144" s="69"/>
      <c r="AC144" s="192"/>
      <c r="AD144" s="59">
        <v>2.0</v>
      </c>
      <c r="AE144" s="59">
        <v>2.0</v>
      </c>
      <c r="AF144" s="62">
        <f t="shared" si="21"/>
        <v>73</v>
      </c>
      <c r="AG144" s="80">
        <v>500.0</v>
      </c>
      <c r="AH144" s="68">
        <f t="shared" si="22"/>
        <v>36500</v>
      </c>
      <c r="AI144" s="17"/>
      <c r="AJ144" s="178"/>
      <c r="AK144" s="178"/>
    </row>
    <row r="145">
      <c r="A145" s="258" t="s">
        <v>205</v>
      </c>
      <c r="B145" s="595">
        <v>2.0</v>
      </c>
      <c r="C145" s="595">
        <v>1.0</v>
      </c>
      <c r="D145" s="59">
        <v>1.0</v>
      </c>
      <c r="E145" s="59">
        <v>2.0</v>
      </c>
      <c r="F145" s="59">
        <v>4.0</v>
      </c>
      <c r="G145" s="493">
        <v>1.0</v>
      </c>
      <c r="H145" s="515"/>
      <c r="I145" s="59"/>
      <c r="J145" s="59"/>
      <c r="K145" s="493"/>
      <c r="L145" s="493"/>
      <c r="M145" s="527"/>
      <c r="N145" s="493"/>
      <c r="O145" s="515"/>
      <c r="P145" s="493"/>
      <c r="Q145" s="46"/>
      <c r="R145" s="59">
        <v>4.0</v>
      </c>
      <c r="S145" s="46"/>
      <c r="T145" s="46"/>
      <c r="U145" s="59"/>
      <c r="V145" s="192"/>
      <c r="W145" s="530"/>
      <c r="X145" s="46"/>
      <c r="Y145" s="508"/>
      <c r="Z145" s="59">
        <v>2.0</v>
      </c>
      <c r="AA145" s="59">
        <v>1.0</v>
      </c>
      <c r="AB145" s="69"/>
      <c r="AC145" s="192"/>
      <c r="AD145" s="59">
        <v>1.0</v>
      </c>
      <c r="AE145" s="46"/>
      <c r="AF145" s="62">
        <f t="shared" si="21"/>
        <v>19</v>
      </c>
      <c r="AG145" s="80">
        <v>600.0</v>
      </c>
      <c r="AH145" s="68">
        <f t="shared" si="22"/>
        <v>11400</v>
      </c>
      <c r="AI145" s="17"/>
      <c r="AJ145" s="178"/>
      <c r="AK145" s="178"/>
    </row>
    <row r="146">
      <c r="A146" s="267" t="s">
        <v>206</v>
      </c>
      <c r="B146" s="604"/>
      <c r="C146" s="54"/>
      <c r="D146" s="59"/>
      <c r="E146" s="54"/>
      <c r="F146" s="54"/>
      <c r="G146" s="54"/>
      <c r="H146" s="515"/>
      <c r="I146" s="54"/>
      <c r="J146" s="54"/>
      <c r="K146" s="54"/>
      <c r="L146" s="54"/>
      <c r="M146" s="534"/>
      <c r="N146" s="54"/>
      <c r="O146" s="51"/>
      <c r="P146" s="54"/>
      <c r="Q146" s="54"/>
      <c r="R146" s="54"/>
      <c r="S146" s="54"/>
      <c r="T146" s="54"/>
      <c r="U146" s="54"/>
      <c r="V146" s="51"/>
      <c r="W146" s="48"/>
      <c r="X146" s="54"/>
      <c r="Y146" s="491"/>
      <c r="Z146" s="54"/>
      <c r="AA146" s="54"/>
      <c r="AB146" s="211"/>
      <c r="AC146" s="51"/>
      <c r="AD146" s="54"/>
      <c r="AE146" s="54"/>
      <c r="AF146" s="62">
        <f t="shared" si="21"/>
        <v>0</v>
      </c>
      <c r="AG146" s="80">
        <v>1300.0</v>
      </c>
      <c r="AH146" s="68">
        <f t="shared" si="22"/>
        <v>0</v>
      </c>
      <c r="AI146" s="17"/>
      <c r="AJ146" s="178"/>
      <c r="AK146" s="178"/>
    </row>
    <row r="147">
      <c r="A147" s="259" t="s">
        <v>229</v>
      </c>
      <c r="B147" s="228"/>
      <c r="C147" s="184"/>
      <c r="D147" s="247"/>
      <c r="E147" s="247"/>
      <c r="F147" s="247"/>
      <c r="G147" s="247"/>
      <c r="H147" s="229"/>
      <c r="I147" s="247"/>
      <c r="J147" s="247"/>
      <c r="K147" s="247">
        <v>1.0</v>
      </c>
      <c r="L147" s="246"/>
      <c r="M147" s="561"/>
      <c r="N147" s="184"/>
      <c r="O147" s="183"/>
      <c r="P147" s="247"/>
      <c r="Q147" s="184"/>
      <c r="R147" s="184"/>
      <c r="S147" s="184"/>
      <c r="T147" s="184"/>
      <c r="U147" s="247"/>
      <c r="V147" s="579"/>
      <c r="W147" s="182"/>
      <c r="X147" s="184"/>
      <c r="Y147" s="543"/>
      <c r="Z147" s="184"/>
      <c r="AA147" s="184"/>
      <c r="AB147" s="215"/>
      <c r="AC147" s="183"/>
      <c r="AD147" s="184"/>
      <c r="AE147" s="184"/>
      <c r="AF147" s="62">
        <f t="shared" si="21"/>
        <v>1</v>
      </c>
      <c r="AG147" s="167">
        <v>650.0</v>
      </c>
      <c r="AH147" s="168">
        <f t="shared" si="22"/>
        <v>650</v>
      </c>
      <c r="AI147" s="17"/>
      <c r="AJ147" s="178"/>
      <c r="AK147" s="178"/>
    </row>
    <row r="148">
      <c r="A148" s="798" t="s">
        <v>45</v>
      </c>
      <c r="B148" s="275"/>
      <c r="C148" s="275"/>
      <c r="D148" s="275"/>
      <c r="E148" s="275"/>
      <c r="F148" s="275"/>
      <c r="G148" s="275"/>
      <c r="H148" s="275"/>
      <c r="I148" s="275"/>
      <c r="J148" s="275"/>
      <c r="K148" s="275"/>
      <c r="L148" s="275"/>
      <c r="M148" s="275"/>
      <c r="N148" s="275"/>
      <c r="O148" s="275"/>
      <c r="P148" s="275"/>
      <c r="Q148" s="275"/>
      <c r="R148" s="275"/>
      <c r="S148" s="275"/>
      <c r="T148" s="275"/>
      <c r="U148" s="275"/>
      <c r="V148" s="275"/>
      <c r="W148" s="275"/>
      <c r="X148" s="275"/>
      <c r="Y148" s="275"/>
      <c r="Z148" s="275"/>
      <c r="AA148" s="275"/>
      <c r="AB148" s="275"/>
      <c r="AC148" s="275"/>
      <c r="AD148" s="275"/>
      <c r="AE148" s="275"/>
      <c r="AF148" s="275"/>
      <c r="AG148" s="276"/>
      <c r="AH148" s="277">
        <f>SUM(AH137:AH147)</f>
        <v>76660</v>
      </c>
      <c r="AI148" s="17"/>
      <c r="AJ148" s="178"/>
      <c r="AK148" s="178"/>
    </row>
    <row r="149">
      <c r="A149" s="24" t="s">
        <v>188</v>
      </c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8"/>
      <c r="AI149" s="17"/>
      <c r="AJ149" s="178"/>
      <c r="AK149" s="178"/>
    </row>
    <row r="150">
      <c r="A150" s="252" t="s">
        <v>189</v>
      </c>
      <c r="B150" s="669"/>
      <c r="C150" s="54"/>
      <c r="D150" s="54"/>
      <c r="E150" s="54"/>
      <c r="F150" s="54"/>
      <c r="G150" s="49"/>
      <c r="H150" s="51"/>
      <c r="I150" s="54"/>
      <c r="J150" s="54"/>
      <c r="K150" s="49"/>
      <c r="L150" s="54"/>
      <c r="M150" s="534"/>
      <c r="N150" s="59">
        <v>1.0</v>
      </c>
      <c r="O150" s="51"/>
      <c r="P150" s="54"/>
      <c r="Q150" s="54"/>
      <c r="R150" s="54"/>
      <c r="S150" s="54"/>
      <c r="T150" s="54"/>
      <c r="U150" s="54"/>
      <c r="V150" s="515"/>
      <c r="W150" s="48"/>
      <c r="X150" s="59"/>
      <c r="Y150" s="491"/>
      <c r="Z150" s="54"/>
      <c r="AA150" s="54"/>
      <c r="AB150" s="211"/>
      <c r="AC150" s="51"/>
      <c r="AD150" s="54"/>
      <c r="AE150" s="54"/>
      <c r="AF150" s="62">
        <f t="shared" ref="AF150:AF152" si="23">SUM(B150:AE150)</f>
        <v>1</v>
      </c>
      <c r="AG150" s="80">
        <v>1036.0</v>
      </c>
      <c r="AH150" s="68">
        <f t="shared" ref="AH150:AH152" si="24">AF150*AG150</f>
        <v>1036</v>
      </c>
      <c r="AI150" s="17"/>
      <c r="AJ150" s="178"/>
      <c r="AK150" s="178"/>
    </row>
    <row r="151">
      <c r="A151" s="33" t="s">
        <v>25</v>
      </c>
      <c r="B151" s="669"/>
      <c r="C151" s="54"/>
      <c r="D151" s="46"/>
      <c r="E151" s="54"/>
      <c r="F151" s="54"/>
      <c r="G151" s="54"/>
      <c r="H151" s="51"/>
      <c r="I151" s="54"/>
      <c r="J151" s="54"/>
      <c r="K151" s="54"/>
      <c r="L151" s="54"/>
      <c r="M151" s="534"/>
      <c r="N151" s="54"/>
      <c r="O151" s="51"/>
      <c r="P151" s="59">
        <v>2.0</v>
      </c>
      <c r="Q151" s="54"/>
      <c r="R151" s="54"/>
      <c r="S151" s="59"/>
      <c r="T151" s="59">
        <v>1.0</v>
      </c>
      <c r="U151" s="54"/>
      <c r="V151" s="515"/>
      <c r="W151" s="48"/>
      <c r="X151" s="59">
        <v>1.0</v>
      </c>
      <c r="Y151" s="491"/>
      <c r="Z151" s="54"/>
      <c r="AA151" s="54"/>
      <c r="AB151" s="211"/>
      <c r="AC151" s="51"/>
      <c r="AD151" s="54"/>
      <c r="AE151" s="54"/>
      <c r="AF151" s="62">
        <f t="shared" si="23"/>
        <v>4</v>
      </c>
      <c r="AG151" s="80">
        <v>840.0</v>
      </c>
      <c r="AH151" s="68">
        <f t="shared" si="24"/>
        <v>3360</v>
      </c>
      <c r="AI151" s="17"/>
      <c r="AJ151" s="178"/>
      <c r="AK151" s="178"/>
    </row>
    <row r="152">
      <c r="A152" s="253" t="s">
        <v>17</v>
      </c>
      <c r="B152" s="691">
        <v>1.0</v>
      </c>
      <c r="C152" s="691">
        <v>3.0</v>
      </c>
      <c r="D152" s="247">
        <v>2.0</v>
      </c>
      <c r="E152" s="577">
        <v>2.0</v>
      </c>
      <c r="F152" s="247">
        <v>3.0</v>
      </c>
      <c r="G152" s="247">
        <v>1.0</v>
      </c>
      <c r="H152" s="632"/>
      <c r="I152" s="577">
        <v>2.0</v>
      </c>
      <c r="J152" s="247"/>
      <c r="K152" s="577"/>
      <c r="L152" s="181"/>
      <c r="M152" s="590"/>
      <c r="N152" s="247">
        <v>1.0</v>
      </c>
      <c r="O152" s="579"/>
      <c r="P152" s="577">
        <v>2.0</v>
      </c>
      <c r="Q152" s="247">
        <v>2.0</v>
      </c>
      <c r="R152" s="247"/>
      <c r="S152" s="247">
        <v>2.0</v>
      </c>
      <c r="T152" s="247">
        <v>1.0</v>
      </c>
      <c r="U152" s="247"/>
      <c r="V152" s="579"/>
      <c r="W152" s="588"/>
      <c r="X152" s="247">
        <v>1.0</v>
      </c>
      <c r="Y152" s="681"/>
      <c r="Z152" s="181"/>
      <c r="AA152" s="247">
        <v>1.0</v>
      </c>
      <c r="AB152" s="188"/>
      <c r="AC152" s="229"/>
      <c r="AD152" s="247">
        <v>1.0</v>
      </c>
      <c r="AE152" s="181"/>
      <c r="AF152" s="62">
        <f t="shared" si="23"/>
        <v>25</v>
      </c>
      <c r="AG152" s="167">
        <v>1125.0</v>
      </c>
      <c r="AH152" s="168">
        <f t="shared" si="24"/>
        <v>28125</v>
      </c>
      <c r="AI152" s="17"/>
      <c r="AJ152" s="178"/>
      <c r="AK152" s="178"/>
    </row>
    <row r="153">
      <c r="A153" s="798" t="s">
        <v>45</v>
      </c>
      <c r="B153" s="275"/>
      <c r="C153" s="275"/>
      <c r="D153" s="275"/>
      <c r="E153" s="275"/>
      <c r="F153" s="275"/>
      <c r="G153" s="275"/>
      <c r="H153" s="275"/>
      <c r="I153" s="275"/>
      <c r="J153" s="275"/>
      <c r="K153" s="275"/>
      <c r="L153" s="275"/>
      <c r="M153" s="275"/>
      <c r="N153" s="275"/>
      <c r="O153" s="275"/>
      <c r="P153" s="275"/>
      <c r="Q153" s="275"/>
      <c r="R153" s="275"/>
      <c r="S153" s="275"/>
      <c r="T153" s="275"/>
      <c r="U153" s="275"/>
      <c r="V153" s="275"/>
      <c r="W153" s="275"/>
      <c r="X153" s="275"/>
      <c r="Y153" s="275"/>
      <c r="Z153" s="275"/>
      <c r="AA153" s="275"/>
      <c r="AB153" s="275"/>
      <c r="AC153" s="275"/>
      <c r="AD153" s="275"/>
      <c r="AE153" s="275"/>
      <c r="AF153" s="275"/>
      <c r="AG153" s="276"/>
      <c r="AH153" s="277">
        <f>SUM(AH150:AH152)</f>
        <v>32521</v>
      </c>
      <c r="AI153" s="17"/>
      <c r="AJ153" s="178"/>
      <c r="AK153" s="178"/>
    </row>
    <row r="154">
      <c r="A154" s="24" t="s">
        <v>337</v>
      </c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8"/>
      <c r="AI154" s="17"/>
      <c r="AJ154" s="178"/>
      <c r="AK154" s="178"/>
    </row>
    <row r="155">
      <c r="A155" s="216" t="s">
        <v>138</v>
      </c>
      <c r="B155" s="669"/>
      <c r="C155" s="46"/>
      <c r="D155" s="54"/>
      <c r="E155" s="54"/>
      <c r="F155" s="54"/>
      <c r="G155" s="54"/>
      <c r="H155" s="51"/>
      <c r="I155" s="54"/>
      <c r="J155" s="46"/>
      <c r="K155" s="46"/>
      <c r="L155" s="54"/>
      <c r="M155" s="534"/>
      <c r="N155" s="54"/>
      <c r="O155" s="51"/>
      <c r="P155" s="54"/>
      <c r="Q155" s="46"/>
      <c r="R155" s="54"/>
      <c r="S155" s="54"/>
      <c r="T155" s="54"/>
      <c r="U155" s="54"/>
      <c r="V155" s="51"/>
      <c r="W155" s="48"/>
      <c r="X155" s="54"/>
      <c r="Y155" s="491"/>
      <c r="Z155" s="54"/>
      <c r="AA155" s="54"/>
      <c r="AB155" s="211"/>
      <c r="AC155" s="51"/>
      <c r="AD155" s="54"/>
      <c r="AE155" s="54"/>
      <c r="AF155" s="62">
        <f t="shared" ref="AF155:AF157" si="25">SUM(B155:AE155)</f>
        <v>0</v>
      </c>
      <c r="AG155" s="80">
        <v>220.0</v>
      </c>
      <c r="AH155" s="80">
        <f t="shared" ref="AH155:AH157" si="26">AF155*AG155</f>
        <v>0</v>
      </c>
      <c r="AI155" s="17"/>
      <c r="AJ155" s="155"/>
      <c r="AK155" s="155"/>
    </row>
    <row r="156">
      <c r="A156" s="216" t="s">
        <v>143</v>
      </c>
      <c r="B156" s="595">
        <v>1.0</v>
      </c>
      <c r="C156" s="46"/>
      <c r="D156" s="59">
        <v>1.0</v>
      </c>
      <c r="E156" s="54"/>
      <c r="F156" s="59">
        <v>2.0</v>
      </c>
      <c r="G156" s="54"/>
      <c r="H156" s="515"/>
      <c r="I156" s="54"/>
      <c r="J156" s="46"/>
      <c r="K156" s="59"/>
      <c r="L156" s="54"/>
      <c r="M156" s="793"/>
      <c r="N156" s="46"/>
      <c r="O156" s="51"/>
      <c r="P156" s="46"/>
      <c r="Q156" s="46"/>
      <c r="R156" s="54"/>
      <c r="S156" s="59"/>
      <c r="T156" s="59"/>
      <c r="U156" s="46"/>
      <c r="V156" s="192"/>
      <c r="W156" s="191"/>
      <c r="X156" s="46"/>
      <c r="Y156" s="508"/>
      <c r="Z156" s="46"/>
      <c r="AA156" s="46"/>
      <c r="AB156" s="69"/>
      <c r="AC156" s="192"/>
      <c r="AD156" s="46"/>
      <c r="AE156" s="46"/>
      <c r="AF156" s="62">
        <f t="shared" si="25"/>
        <v>4</v>
      </c>
      <c r="AG156" s="80">
        <v>380.0</v>
      </c>
      <c r="AH156" s="80">
        <f t="shared" si="26"/>
        <v>1520</v>
      </c>
      <c r="AI156" s="17"/>
      <c r="AJ156" s="155"/>
      <c r="AK156" s="155"/>
    </row>
    <row r="157">
      <c r="A157" s="225" t="s">
        <v>333</v>
      </c>
      <c r="B157" s="691">
        <v>1.0</v>
      </c>
      <c r="C157" s="247"/>
      <c r="D157" s="247">
        <v>1.0</v>
      </c>
      <c r="E157" s="247">
        <v>1.0</v>
      </c>
      <c r="F157" s="247">
        <v>1.0</v>
      </c>
      <c r="G157" s="247"/>
      <c r="H157" s="579"/>
      <c r="I157" s="247">
        <v>1.0</v>
      </c>
      <c r="J157" s="247">
        <v>1.0</v>
      </c>
      <c r="K157" s="247"/>
      <c r="L157" s="247"/>
      <c r="M157" s="799"/>
      <c r="N157" s="181"/>
      <c r="O157" s="183"/>
      <c r="P157" s="247"/>
      <c r="Q157" s="247"/>
      <c r="R157" s="247"/>
      <c r="S157" s="247"/>
      <c r="T157" s="247">
        <v>1.0</v>
      </c>
      <c r="U157" s="247"/>
      <c r="V157" s="579"/>
      <c r="W157" s="588"/>
      <c r="X157" s="247">
        <v>1.0</v>
      </c>
      <c r="Y157" s="681"/>
      <c r="Z157" s="181"/>
      <c r="AA157" s="181"/>
      <c r="AB157" s="188"/>
      <c r="AC157" s="229"/>
      <c r="AD157" s="181"/>
      <c r="AE157" s="247">
        <v>1.0</v>
      </c>
      <c r="AF157" s="62">
        <f t="shared" si="25"/>
        <v>9</v>
      </c>
      <c r="AG157" s="167">
        <v>600.0</v>
      </c>
      <c r="AH157" s="167">
        <f t="shared" si="26"/>
        <v>5400</v>
      </c>
      <c r="AI157" s="17"/>
      <c r="AJ157" s="155"/>
      <c r="AK157" s="155"/>
    </row>
    <row r="158">
      <c r="A158" s="798" t="s">
        <v>45</v>
      </c>
      <c r="B158" s="275"/>
      <c r="C158" s="275"/>
      <c r="D158" s="275"/>
      <c r="E158" s="275"/>
      <c r="F158" s="275"/>
      <c r="G158" s="275"/>
      <c r="H158" s="275"/>
      <c r="I158" s="275"/>
      <c r="J158" s="275"/>
      <c r="K158" s="275"/>
      <c r="L158" s="275"/>
      <c r="M158" s="275"/>
      <c r="N158" s="275"/>
      <c r="O158" s="275"/>
      <c r="P158" s="275"/>
      <c r="Q158" s="275"/>
      <c r="R158" s="275"/>
      <c r="S158" s="275"/>
      <c r="T158" s="275"/>
      <c r="U158" s="275"/>
      <c r="V158" s="275"/>
      <c r="W158" s="275"/>
      <c r="X158" s="275"/>
      <c r="Y158" s="275"/>
      <c r="Z158" s="275"/>
      <c r="AA158" s="275"/>
      <c r="AB158" s="275"/>
      <c r="AC158" s="275"/>
      <c r="AD158" s="275"/>
      <c r="AE158" s="275"/>
      <c r="AF158" s="275"/>
      <c r="AG158" s="276"/>
      <c r="AH158" s="277">
        <f>SUM(AH155:AH157)</f>
        <v>6920</v>
      </c>
      <c r="AI158" s="17"/>
      <c r="AJ158" s="176"/>
      <c r="AK158" s="176"/>
    </row>
    <row r="159">
      <c r="A159" s="272" t="s">
        <v>238</v>
      </c>
      <c r="B159" s="134"/>
      <c r="C159" s="134"/>
      <c r="D159" s="134"/>
      <c r="E159" s="134"/>
      <c r="F159" s="134"/>
      <c r="G159" s="134"/>
      <c r="H159" s="134"/>
      <c r="I159" s="134"/>
      <c r="J159" s="134"/>
      <c r="K159" s="134"/>
      <c r="L159" s="134"/>
      <c r="M159" s="134"/>
      <c r="N159" s="134"/>
      <c r="O159" s="134"/>
      <c r="P159" s="134"/>
      <c r="Q159" s="134"/>
      <c r="R159" s="134"/>
      <c r="S159" s="134"/>
      <c r="T159" s="134"/>
      <c r="U159" s="134"/>
      <c r="V159" s="134"/>
      <c r="W159" s="134"/>
      <c r="X159" s="134"/>
      <c r="Y159" s="134"/>
      <c r="Z159" s="134"/>
      <c r="AA159" s="134"/>
      <c r="AB159" s="134"/>
      <c r="AC159" s="134"/>
      <c r="AD159" s="134"/>
      <c r="AE159" s="134"/>
      <c r="AF159" s="134"/>
      <c r="AG159" s="134"/>
      <c r="AH159" s="135"/>
      <c r="AI159" s="17"/>
      <c r="AJ159" s="257"/>
      <c r="AK159" s="257"/>
    </row>
    <row r="160">
      <c r="A160" s="197" t="s">
        <v>260</v>
      </c>
      <c r="B160" s="604">
        <v>10.0</v>
      </c>
      <c r="C160" s="59">
        <v>2.0</v>
      </c>
      <c r="D160" s="59">
        <v>20.0</v>
      </c>
      <c r="E160" s="59">
        <v>4.0</v>
      </c>
      <c r="F160" s="59">
        <v>17.0</v>
      </c>
      <c r="G160" s="59">
        <v>11.0</v>
      </c>
      <c r="H160" s="51"/>
      <c r="I160" s="59">
        <v>21.0</v>
      </c>
      <c r="J160" s="59">
        <v>4.0</v>
      </c>
      <c r="K160" s="59">
        <v>8.0</v>
      </c>
      <c r="L160" s="59">
        <v>11.0</v>
      </c>
      <c r="M160" s="527"/>
      <c r="N160" s="59">
        <v>6.0</v>
      </c>
      <c r="O160" s="515"/>
      <c r="P160" s="493">
        <v>3.0</v>
      </c>
      <c r="Q160" s="59"/>
      <c r="R160" s="59"/>
      <c r="S160" s="59">
        <v>1.0</v>
      </c>
      <c r="T160" s="59"/>
      <c r="U160" s="59">
        <v>1.0</v>
      </c>
      <c r="V160" s="515"/>
      <c r="W160" s="530"/>
      <c r="X160" s="59"/>
      <c r="Y160" s="611"/>
      <c r="Z160" s="59">
        <v>5.0</v>
      </c>
      <c r="AA160" s="59">
        <v>3.0</v>
      </c>
      <c r="AB160" s="69"/>
      <c r="AC160" s="192"/>
      <c r="AD160" s="59">
        <v>2.0</v>
      </c>
      <c r="AE160" s="59">
        <v>1.0</v>
      </c>
      <c r="AF160" s="62">
        <f t="shared" ref="AF160:AF166" si="27">SUM(B160:AE160)</f>
        <v>130</v>
      </c>
      <c r="AG160" s="80">
        <v>350.0</v>
      </c>
      <c r="AH160" s="68">
        <f t="shared" ref="AH160:AH166" si="28">AF160*AG160</f>
        <v>45500</v>
      </c>
      <c r="AI160" s="17"/>
      <c r="AJ160" s="178"/>
      <c r="AK160" s="178"/>
    </row>
    <row r="161">
      <c r="A161" s="197" t="s">
        <v>232</v>
      </c>
      <c r="B161" s="669"/>
      <c r="C161" s="54"/>
      <c r="D161" s="54"/>
      <c r="E161" s="54"/>
      <c r="F161" s="54"/>
      <c r="G161" s="54"/>
      <c r="H161" s="51"/>
      <c r="I161" s="54"/>
      <c r="J161" s="54"/>
      <c r="K161" s="54"/>
      <c r="L161" s="54"/>
      <c r="M161" s="534"/>
      <c r="N161" s="54"/>
      <c r="O161" s="51"/>
      <c r="P161" s="54"/>
      <c r="Q161" s="54"/>
      <c r="R161" s="54"/>
      <c r="S161" s="54"/>
      <c r="T161" s="54"/>
      <c r="U161" s="54"/>
      <c r="V161" s="51"/>
      <c r="W161" s="48"/>
      <c r="X161" s="54"/>
      <c r="Y161" s="491"/>
      <c r="Z161" s="54"/>
      <c r="AA161" s="54"/>
      <c r="AB161" s="211"/>
      <c r="AC161" s="51"/>
      <c r="AD161" s="54"/>
      <c r="AE161" s="54"/>
      <c r="AF161" s="62">
        <f t="shared" si="27"/>
        <v>0</v>
      </c>
      <c r="AG161" s="80">
        <v>130.0</v>
      </c>
      <c r="AH161" s="68">
        <f t="shared" si="28"/>
        <v>0</v>
      </c>
      <c r="AI161" s="17"/>
      <c r="AJ161" s="178"/>
      <c r="AK161" s="178"/>
    </row>
    <row r="162">
      <c r="A162" s="197" t="s">
        <v>234</v>
      </c>
      <c r="B162" s="669"/>
      <c r="C162" s="54"/>
      <c r="D162" s="54"/>
      <c r="E162" s="54"/>
      <c r="F162" s="54"/>
      <c r="G162" s="54"/>
      <c r="H162" s="51"/>
      <c r="I162" s="54"/>
      <c r="J162" s="54"/>
      <c r="K162" s="54"/>
      <c r="L162" s="54"/>
      <c r="M162" s="534"/>
      <c r="N162" s="54"/>
      <c r="O162" s="51"/>
      <c r="P162" s="54"/>
      <c r="Q162" s="54"/>
      <c r="R162" s="54"/>
      <c r="S162" s="54"/>
      <c r="T162" s="54"/>
      <c r="U162" s="54"/>
      <c r="V162" s="51"/>
      <c r="W162" s="48"/>
      <c r="X162" s="54"/>
      <c r="Y162" s="491"/>
      <c r="Z162" s="54"/>
      <c r="AA162" s="54"/>
      <c r="AB162" s="211"/>
      <c r="AC162" s="51"/>
      <c r="AD162" s="54"/>
      <c r="AE162" s="54"/>
      <c r="AF162" s="62">
        <f t="shared" si="27"/>
        <v>0</v>
      </c>
      <c r="AG162" s="80">
        <v>80.0</v>
      </c>
      <c r="AH162" s="68">
        <f t="shared" si="28"/>
        <v>0</v>
      </c>
      <c r="AI162" s="17"/>
      <c r="AJ162" s="178"/>
      <c r="AK162" s="178"/>
    </row>
    <row r="163">
      <c r="A163" s="197" t="s">
        <v>241</v>
      </c>
      <c r="B163" s="604"/>
      <c r="C163" s="46"/>
      <c r="D163" s="46"/>
      <c r="E163" s="46"/>
      <c r="F163" s="59"/>
      <c r="G163" s="493"/>
      <c r="H163" s="192"/>
      <c r="I163" s="493"/>
      <c r="J163" s="493"/>
      <c r="K163" s="59"/>
      <c r="L163" s="59"/>
      <c r="M163" s="527"/>
      <c r="N163" s="59"/>
      <c r="O163" s="510"/>
      <c r="P163" s="49"/>
      <c r="Q163" s="46"/>
      <c r="R163" s="59"/>
      <c r="S163" s="46"/>
      <c r="T163" s="46"/>
      <c r="U163" s="59"/>
      <c r="V163" s="515"/>
      <c r="W163" s="530"/>
      <c r="X163" s="59"/>
      <c r="Y163" s="611"/>
      <c r="Z163" s="46"/>
      <c r="AA163" s="46"/>
      <c r="AB163" s="69"/>
      <c r="AC163" s="192"/>
      <c r="AD163" s="46"/>
      <c r="AE163" s="46"/>
      <c r="AF163" s="62">
        <f t="shared" si="27"/>
        <v>0</v>
      </c>
      <c r="AG163" s="80">
        <v>40.0</v>
      </c>
      <c r="AH163" s="68">
        <f t="shared" si="28"/>
        <v>0</v>
      </c>
      <c r="AI163" s="17"/>
      <c r="AJ163" s="178"/>
      <c r="AK163" s="178"/>
    </row>
    <row r="164">
      <c r="A164" s="197" t="s">
        <v>243</v>
      </c>
      <c r="B164" s="595">
        <v>3.0</v>
      </c>
      <c r="C164" s="59">
        <v>1.0</v>
      </c>
      <c r="D164" s="59">
        <v>14.0</v>
      </c>
      <c r="E164" s="59">
        <v>5.0</v>
      </c>
      <c r="F164" s="59">
        <v>12.0</v>
      </c>
      <c r="G164" s="59">
        <v>4.0</v>
      </c>
      <c r="H164" s="515"/>
      <c r="I164" s="59">
        <v>5.0</v>
      </c>
      <c r="J164" s="59">
        <v>4.0</v>
      </c>
      <c r="K164" s="59"/>
      <c r="L164" s="59">
        <v>1.0</v>
      </c>
      <c r="M164" s="527"/>
      <c r="N164" s="59"/>
      <c r="O164" s="515"/>
      <c r="P164" s="59"/>
      <c r="Q164" s="54"/>
      <c r="R164" s="59"/>
      <c r="S164" s="46"/>
      <c r="T164" s="46"/>
      <c r="U164" s="59"/>
      <c r="V164" s="192"/>
      <c r="W164" s="191"/>
      <c r="X164" s="46"/>
      <c r="Y164" s="611"/>
      <c r="Z164" s="46"/>
      <c r="AA164" s="46"/>
      <c r="AB164" s="69"/>
      <c r="AC164" s="192"/>
      <c r="AD164" s="46"/>
      <c r="AE164" s="46"/>
      <c r="AF164" s="62">
        <f t="shared" si="27"/>
        <v>49</v>
      </c>
      <c r="AG164" s="80">
        <v>120.0</v>
      </c>
      <c r="AH164" s="68">
        <f t="shared" si="28"/>
        <v>5880</v>
      </c>
      <c r="AI164" s="17"/>
      <c r="AJ164" s="178"/>
      <c r="AK164" s="178"/>
    </row>
    <row r="165">
      <c r="A165" s="197" t="s">
        <v>267</v>
      </c>
      <c r="B165" s="604"/>
      <c r="C165" s="59"/>
      <c r="D165" s="59"/>
      <c r="E165" s="54"/>
      <c r="F165" s="59"/>
      <c r="G165" s="59"/>
      <c r="H165" s="515"/>
      <c r="I165" s="59"/>
      <c r="J165" s="59"/>
      <c r="K165" s="59"/>
      <c r="L165" s="54"/>
      <c r="M165" s="527"/>
      <c r="N165" s="59"/>
      <c r="O165" s="515"/>
      <c r="P165" s="59"/>
      <c r="Q165" s="59"/>
      <c r="R165" s="59"/>
      <c r="S165" s="46"/>
      <c r="T165" s="46"/>
      <c r="U165" s="59"/>
      <c r="V165" s="192"/>
      <c r="W165" s="191"/>
      <c r="X165" s="59"/>
      <c r="Y165" s="611"/>
      <c r="Z165" s="46"/>
      <c r="AA165" s="46"/>
      <c r="AB165" s="69"/>
      <c r="AC165" s="192"/>
      <c r="AD165" s="46"/>
      <c r="AE165" s="46"/>
      <c r="AF165" s="62">
        <f t="shared" si="27"/>
        <v>0</v>
      </c>
      <c r="AG165" s="80">
        <v>30.0</v>
      </c>
      <c r="AH165" s="168">
        <f t="shared" si="28"/>
        <v>0</v>
      </c>
      <c r="AI165" s="17"/>
      <c r="AJ165" s="178"/>
      <c r="AK165" s="178"/>
    </row>
    <row r="166">
      <c r="A166" s="243" t="s">
        <v>270</v>
      </c>
      <c r="B166" s="679"/>
      <c r="C166" s="247"/>
      <c r="D166" s="247"/>
      <c r="E166" s="184"/>
      <c r="F166" s="247"/>
      <c r="G166" s="247"/>
      <c r="H166" s="183"/>
      <c r="I166" s="247"/>
      <c r="J166" s="247"/>
      <c r="K166" s="247"/>
      <c r="L166" s="247"/>
      <c r="M166" s="590"/>
      <c r="N166" s="247"/>
      <c r="O166" s="632"/>
      <c r="P166" s="577"/>
      <c r="Q166" s="577"/>
      <c r="R166" s="247"/>
      <c r="S166" s="181"/>
      <c r="T166" s="247"/>
      <c r="U166" s="247"/>
      <c r="V166" s="579"/>
      <c r="W166" s="588"/>
      <c r="X166" s="247"/>
      <c r="Y166" s="681"/>
      <c r="Z166" s="181"/>
      <c r="AA166" s="181"/>
      <c r="AB166" s="188"/>
      <c r="AC166" s="229"/>
      <c r="AD166" s="181"/>
      <c r="AE166" s="181"/>
      <c r="AF166" s="62">
        <f t="shared" si="27"/>
        <v>0</v>
      </c>
      <c r="AG166" s="167">
        <v>200.0</v>
      </c>
      <c r="AH166" s="168">
        <f t="shared" si="28"/>
        <v>0</v>
      </c>
      <c r="AI166" s="17"/>
      <c r="AJ166" s="178"/>
      <c r="AK166" s="178"/>
    </row>
    <row r="167">
      <c r="A167" s="798" t="s">
        <v>45</v>
      </c>
      <c r="B167" s="275"/>
      <c r="C167" s="275"/>
      <c r="D167" s="275"/>
      <c r="E167" s="275"/>
      <c r="F167" s="275"/>
      <c r="G167" s="275"/>
      <c r="H167" s="275"/>
      <c r="I167" s="275"/>
      <c r="J167" s="275"/>
      <c r="K167" s="275"/>
      <c r="L167" s="275"/>
      <c r="M167" s="275"/>
      <c r="N167" s="275"/>
      <c r="O167" s="275"/>
      <c r="P167" s="275"/>
      <c r="Q167" s="275"/>
      <c r="R167" s="275"/>
      <c r="S167" s="275"/>
      <c r="T167" s="275"/>
      <c r="U167" s="275"/>
      <c r="V167" s="275"/>
      <c r="W167" s="275"/>
      <c r="X167" s="275"/>
      <c r="Y167" s="275"/>
      <c r="Z167" s="275"/>
      <c r="AA167" s="275"/>
      <c r="AB167" s="275"/>
      <c r="AC167" s="275"/>
      <c r="AD167" s="275"/>
      <c r="AE167" s="275"/>
      <c r="AF167" s="275"/>
      <c r="AG167" s="276"/>
      <c r="AH167" s="277">
        <f>SUM(AH160:AH166)</f>
        <v>51380</v>
      </c>
      <c r="AI167" s="17"/>
      <c r="AJ167" s="178"/>
      <c r="AK167" s="178"/>
    </row>
    <row r="168">
      <c r="A168" s="307" t="s">
        <v>264</v>
      </c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97"/>
      <c r="AI168" s="17"/>
      <c r="AJ168" s="257"/>
      <c r="AK168" s="257"/>
    </row>
    <row r="169">
      <c r="A169" s="308" t="s">
        <v>265</v>
      </c>
      <c r="B169" s="38"/>
      <c r="C169" s="38"/>
      <c r="D169" s="38"/>
      <c r="E169" s="39">
        <v>1.0</v>
      </c>
      <c r="F169" s="50"/>
      <c r="G169" s="50"/>
      <c r="H169" s="55"/>
      <c r="I169" s="50"/>
      <c r="J169" s="39"/>
      <c r="K169" s="39"/>
      <c r="L169" s="50"/>
      <c r="M169" s="732"/>
      <c r="N169" s="50"/>
      <c r="O169" s="55"/>
      <c r="P169" s="50"/>
      <c r="Q169" s="50"/>
      <c r="R169" s="50"/>
      <c r="S169" s="50"/>
      <c r="T169" s="50"/>
      <c r="U169" s="50"/>
      <c r="V169" s="55"/>
      <c r="W169" s="40"/>
      <c r="X169" s="50"/>
      <c r="Y169" s="56"/>
      <c r="Z169" s="50"/>
      <c r="AA169" s="50"/>
      <c r="AB169" s="364"/>
      <c r="AC169" s="55"/>
      <c r="AD169" s="50"/>
      <c r="AE169" s="50"/>
      <c r="AF169" s="62">
        <f t="shared" ref="AF169:AF174" si="29">SUM(B169:AE169)</f>
        <v>1</v>
      </c>
      <c r="AG169" s="242">
        <v>2100.0</v>
      </c>
      <c r="AH169" s="68">
        <f t="shared" ref="AH169:AH174" si="30">AF169*AG169</f>
        <v>2100</v>
      </c>
      <c r="AI169" s="17"/>
      <c r="AJ169" s="155"/>
      <c r="AK169" s="155"/>
    </row>
    <row r="170">
      <c r="A170" s="308" t="s">
        <v>266</v>
      </c>
      <c r="B170" s="38"/>
      <c r="C170" s="38"/>
      <c r="D170" s="36"/>
      <c r="E170" s="50"/>
      <c r="F170" s="50"/>
      <c r="G170" s="50"/>
      <c r="H170" s="55"/>
      <c r="I170" s="50"/>
      <c r="J170" s="50"/>
      <c r="K170" s="50"/>
      <c r="L170" s="50"/>
      <c r="M170" s="564"/>
      <c r="N170" s="50"/>
      <c r="O170" s="55"/>
      <c r="P170" s="50"/>
      <c r="Q170" s="50"/>
      <c r="R170" s="50"/>
      <c r="S170" s="50"/>
      <c r="T170" s="50"/>
      <c r="U170" s="50"/>
      <c r="V170" s="55"/>
      <c r="W170" s="40"/>
      <c r="X170" s="50"/>
      <c r="Y170" s="56"/>
      <c r="Z170" s="50"/>
      <c r="AA170" s="50"/>
      <c r="AB170" s="364"/>
      <c r="AC170" s="55"/>
      <c r="AD170" s="50"/>
      <c r="AE170" s="50"/>
      <c r="AF170" s="62">
        <f t="shared" si="29"/>
        <v>0</v>
      </c>
      <c r="AG170" s="242">
        <v>2800.0</v>
      </c>
      <c r="AH170" s="68">
        <f t="shared" si="30"/>
        <v>0</v>
      </c>
      <c r="AI170" s="17"/>
      <c r="AJ170" s="155"/>
      <c r="AK170" s="155"/>
    </row>
    <row r="171">
      <c r="A171" s="308" t="s">
        <v>268</v>
      </c>
      <c r="B171" s="38"/>
      <c r="C171" s="38"/>
      <c r="D171" s="38"/>
      <c r="E171" s="50"/>
      <c r="F171" s="50"/>
      <c r="G171" s="50"/>
      <c r="H171" s="55"/>
      <c r="I171" s="50"/>
      <c r="J171" s="39"/>
      <c r="K171" s="50"/>
      <c r="L171" s="50"/>
      <c r="M171" s="564"/>
      <c r="N171" s="50"/>
      <c r="O171" s="45"/>
      <c r="P171" s="50"/>
      <c r="Q171" s="50"/>
      <c r="R171" s="50"/>
      <c r="S171" s="50"/>
      <c r="T171" s="50"/>
      <c r="U171" s="50"/>
      <c r="V171" s="55"/>
      <c r="W171" s="40"/>
      <c r="X171" s="50"/>
      <c r="Y171" s="56"/>
      <c r="Z171" s="50"/>
      <c r="AA171" s="50"/>
      <c r="AB171" s="364"/>
      <c r="AC171" s="55"/>
      <c r="AD171" s="50"/>
      <c r="AE171" s="50"/>
      <c r="AF171" s="62">
        <f t="shared" si="29"/>
        <v>0</v>
      </c>
      <c r="AG171" s="242">
        <v>2800.0</v>
      </c>
      <c r="AH171" s="68">
        <f t="shared" si="30"/>
        <v>0</v>
      </c>
      <c r="AI171" s="17"/>
      <c r="AJ171" s="155"/>
      <c r="AK171" s="155"/>
    </row>
    <row r="172">
      <c r="A172" s="308" t="s">
        <v>269</v>
      </c>
      <c r="B172" s="38"/>
      <c r="C172" s="38"/>
      <c r="D172" s="36"/>
      <c r="E172" s="50"/>
      <c r="F172" s="50"/>
      <c r="G172" s="50"/>
      <c r="H172" s="55"/>
      <c r="I172" s="50"/>
      <c r="J172" s="50"/>
      <c r="K172" s="50"/>
      <c r="L172" s="50"/>
      <c r="M172" s="732"/>
      <c r="N172" s="50"/>
      <c r="O172" s="55"/>
      <c r="P172" s="50"/>
      <c r="Q172" s="50"/>
      <c r="R172" s="50"/>
      <c r="S172" s="50"/>
      <c r="T172" s="50"/>
      <c r="U172" s="50"/>
      <c r="V172" s="55"/>
      <c r="W172" s="40"/>
      <c r="X172" s="50"/>
      <c r="Y172" s="56"/>
      <c r="Z172" s="50"/>
      <c r="AA172" s="50"/>
      <c r="AB172" s="364"/>
      <c r="AC172" s="55"/>
      <c r="AD172" s="50"/>
      <c r="AE172" s="50"/>
      <c r="AF172" s="62">
        <f t="shared" si="29"/>
        <v>0</v>
      </c>
      <c r="AG172" s="242">
        <v>3200.0</v>
      </c>
      <c r="AH172" s="68">
        <f t="shared" si="30"/>
        <v>0</v>
      </c>
      <c r="AI172" s="17"/>
      <c r="AJ172" s="155"/>
      <c r="AK172" s="155"/>
    </row>
    <row r="173">
      <c r="A173" s="308" t="s">
        <v>385</v>
      </c>
      <c r="B173" s="38"/>
      <c r="C173" s="38"/>
      <c r="D173" s="36"/>
      <c r="E173" s="50"/>
      <c r="F173" s="50"/>
      <c r="G173" s="50"/>
      <c r="H173" s="55"/>
      <c r="I173" s="50"/>
      <c r="J173" s="50"/>
      <c r="K173" s="50"/>
      <c r="L173" s="50"/>
      <c r="M173" s="732"/>
      <c r="N173" s="50"/>
      <c r="O173" s="55"/>
      <c r="P173" s="50"/>
      <c r="Q173" s="50"/>
      <c r="R173" s="39"/>
      <c r="S173" s="50"/>
      <c r="T173" s="50"/>
      <c r="U173" s="50"/>
      <c r="V173" s="55"/>
      <c r="W173" s="40"/>
      <c r="X173" s="50"/>
      <c r="Y173" s="56"/>
      <c r="Z173" s="50"/>
      <c r="AA173" s="50"/>
      <c r="AB173" s="364"/>
      <c r="AC173" s="55"/>
      <c r="AD173" s="50"/>
      <c r="AE173" s="50"/>
      <c r="AF173" s="62">
        <f t="shared" si="29"/>
        <v>0</v>
      </c>
      <c r="AG173" s="242">
        <v>2100.0</v>
      </c>
      <c r="AH173" s="68">
        <f t="shared" si="30"/>
        <v>0</v>
      </c>
      <c r="AI173" s="17"/>
      <c r="AJ173" s="155"/>
      <c r="AK173" s="155"/>
    </row>
    <row r="174">
      <c r="A174" s="309" t="s">
        <v>386</v>
      </c>
      <c r="B174" s="172"/>
      <c r="C174" s="172"/>
      <c r="D174" s="158"/>
      <c r="E174" s="159"/>
      <c r="F174" s="159"/>
      <c r="G174" s="159"/>
      <c r="H174" s="163"/>
      <c r="I174" s="159"/>
      <c r="J174" s="159"/>
      <c r="K174" s="159"/>
      <c r="L174" s="159"/>
      <c r="M174" s="734"/>
      <c r="N174" s="159"/>
      <c r="O174" s="163"/>
      <c r="P174" s="159"/>
      <c r="Q174" s="159"/>
      <c r="R174" s="159"/>
      <c r="S174" s="159"/>
      <c r="T174" s="159"/>
      <c r="U174" s="159"/>
      <c r="V174" s="163"/>
      <c r="W174" s="160"/>
      <c r="X174" s="159"/>
      <c r="Y174" s="173"/>
      <c r="Z174" s="159"/>
      <c r="AA174" s="159"/>
      <c r="AB174" s="382"/>
      <c r="AC174" s="163"/>
      <c r="AD174" s="159"/>
      <c r="AE174" s="159"/>
      <c r="AF174" s="62">
        <f t="shared" si="29"/>
        <v>0</v>
      </c>
      <c r="AG174" s="249">
        <v>2500.0</v>
      </c>
      <c r="AH174" s="168">
        <f t="shared" si="30"/>
        <v>0</v>
      </c>
      <c r="AI174" s="17"/>
      <c r="AJ174" s="155"/>
      <c r="AK174" s="155"/>
    </row>
    <row r="175">
      <c r="A175" s="240" t="s">
        <v>45</v>
      </c>
      <c r="B175" s="128"/>
      <c r="C175" s="128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29"/>
      <c r="AH175" s="723">
        <f>SUM(AH169:AH174)</f>
        <v>2100</v>
      </c>
      <c r="AI175" s="17"/>
      <c r="AJ175" s="178"/>
      <c r="AK175" s="178"/>
    </row>
    <row r="176">
      <c r="A176" s="826" t="s">
        <v>352</v>
      </c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97"/>
      <c r="AI176" s="17"/>
      <c r="AJ176" s="239"/>
      <c r="AK176" s="239"/>
    </row>
    <row r="177">
      <c r="A177" s="216" t="s">
        <v>353</v>
      </c>
      <c r="B177" s="623"/>
      <c r="C177" s="623"/>
      <c r="D177" s="623"/>
      <c r="E177" s="623"/>
      <c r="F177" s="623"/>
      <c r="G177" s="623"/>
      <c r="H177" s="625"/>
      <c r="I177" s="623">
        <v>1.0</v>
      </c>
      <c r="J177" s="623">
        <v>1.0</v>
      </c>
      <c r="K177" s="623"/>
      <c r="L177" s="623"/>
      <c r="M177" s="827"/>
      <c r="N177" s="623"/>
      <c r="O177" s="625"/>
      <c r="P177" s="623"/>
      <c r="Q177" s="623"/>
      <c r="R177" s="623"/>
      <c r="S177" s="623"/>
      <c r="T177" s="623"/>
      <c r="U177" s="623"/>
      <c r="V177" s="625"/>
      <c r="W177" s="626"/>
      <c r="X177" s="623"/>
      <c r="Y177" s="622"/>
      <c r="Z177" s="623"/>
      <c r="AA177" s="623"/>
      <c r="AB177" s="828"/>
      <c r="AC177" s="625"/>
      <c r="AD177" s="623"/>
      <c r="AE177" s="623"/>
      <c r="AF177" s="629">
        <f t="shared" ref="AF177:AF179" si="31">SUM(B177:AE177)</f>
        <v>2</v>
      </c>
      <c r="AG177" s="630">
        <v>225.0</v>
      </c>
      <c r="AH177" s="630">
        <f t="shared" ref="AH177:AH179" si="32">AF177*AG177</f>
        <v>450</v>
      </c>
      <c r="AI177" s="17"/>
      <c r="AJ177" s="239"/>
      <c r="AK177" s="239"/>
    </row>
    <row r="178">
      <c r="A178" s="216" t="s">
        <v>354</v>
      </c>
      <c r="B178" s="623"/>
      <c r="C178" s="623"/>
      <c r="D178" s="623"/>
      <c r="E178" s="623"/>
      <c r="F178" s="623">
        <v>2.0</v>
      </c>
      <c r="G178" s="623"/>
      <c r="H178" s="625"/>
      <c r="I178" s="623">
        <v>1.0</v>
      </c>
      <c r="J178" s="623"/>
      <c r="K178" s="623"/>
      <c r="L178" s="623"/>
      <c r="M178" s="827"/>
      <c r="N178" s="623"/>
      <c r="O178" s="625"/>
      <c r="P178" s="623"/>
      <c r="Q178" s="623"/>
      <c r="R178" s="623"/>
      <c r="S178" s="623"/>
      <c r="T178" s="623"/>
      <c r="U178" s="623"/>
      <c r="V178" s="625"/>
      <c r="W178" s="626"/>
      <c r="X178" s="623">
        <v>1.0</v>
      </c>
      <c r="Y178" s="622"/>
      <c r="Z178" s="623">
        <v>3.0</v>
      </c>
      <c r="AA178" s="623"/>
      <c r="AB178" s="828"/>
      <c r="AC178" s="625"/>
      <c r="AD178" s="623"/>
      <c r="AE178" s="623"/>
      <c r="AF178" s="629">
        <f t="shared" si="31"/>
        <v>7</v>
      </c>
      <c r="AG178" s="630">
        <v>45.0</v>
      </c>
      <c r="AH178" s="630">
        <f t="shared" si="32"/>
        <v>315</v>
      </c>
      <c r="AI178" s="17"/>
      <c r="AJ178" s="239"/>
      <c r="AK178" s="239"/>
    </row>
    <row r="179">
      <c r="A179" s="225" t="s">
        <v>355</v>
      </c>
      <c r="B179" s="635"/>
      <c r="C179" s="635"/>
      <c r="D179" s="635"/>
      <c r="E179" s="635">
        <v>171.0</v>
      </c>
      <c r="F179" s="635"/>
      <c r="G179" s="635"/>
      <c r="H179" s="637"/>
      <c r="I179" s="635"/>
      <c r="J179" s="635"/>
      <c r="K179" s="635"/>
      <c r="L179" s="635"/>
      <c r="M179" s="829"/>
      <c r="N179" s="635"/>
      <c r="O179" s="637"/>
      <c r="P179" s="635"/>
      <c r="Q179" s="635"/>
      <c r="R179" s="635"/>
      <c r="S179" s="635"/>
      <c r="T179" s="635"/>
      <c r="U179" s="635"/>
      <c r="V179" s="637"/>
      <c r="W179" s="639"/>
      <c r="X179" s="635"/>
      <c r="Y179" s="634"/>
      <c r="Z179" s="635"/>
      <c r="AA179" s="635"/>
      <c r="AB179" s="831"/>
      <c r="AC179" s="637"/>
      <c r="AD179" s="635"/>
      <c r="AE179" s="635"/>
      <c r="AF179" s="629">
        <f t="shared" si="31"/>
        <v>171</v>
      </c>
      <c r="AG179" s="643">
        <v>320.0</v>
      </c>
      <c r="AH179" s="630">
        <f t="shared" si="32"/>
        <v>54720</v>
      </c>
      <c r="AI179" s="17"/>
      <c r="AJ179" s="239"/>
      <c r="AK179" s="239"/>
    </row>
    <row r="180">
      <c r="A180" s="240" t="s">
        <v>45</v>
      </c>
      <c r="B180" s="128"/>
      <c r="C180" s="128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29"/>
      <c r="AH180" s="728">
        <f>SUM(AH177:AH179)</f>
        <v>55485</v>
      </c>
      <c r="AI180" s="17"/>
      <c r="AJ180" s="239"/>
      <c r="AK180" s="239"/>
    </row>
    <row r="181">
      <c r="A181" s="278" t="s">
        <v>247</v>
      </c>
      <c r="B181" s="275"/>
      <c r="C181" s="275"/>
      <c r="D181" s="275"/>
      <c r="E181" s="275"/>
      <c r="F181" s="275"/>
      <c r="G181" s="275"/>
      <c r="H181" s="275"/>
      <c r="I181" s="275"/>
      <c r="J181" s="275"/>
      <c r="K181" s="275"/>
      <c r="L181" s="275"/>
      <c r="M181" s="275"/>
      <c r="N181" s="275"/>
      <c r="O181" s="275"/>
      <c r="P181" s="275"/>
      <c r="Q181" s="275"/>
      <c r="R181" s="275"/>
      <c r="S181" s="275"/>
      <c r="T181" s="275"/>
      <c r="U181" s="275"/>
      <c r="V181" s="275"/>
      <c r="W181" s="275"/>
      <c r="X181" s="275"/>
      <c r="Y181" s="275"/>
      <c r="Z181" s="275"/>
      <c r="AA181" s="275"/>
      <c r="AB181" s="275"/>
      <c r="AC181" s="275"/>
      <c r="AD181" s="275"/>
      <c r="AE181" s="275"/>
      <c r="AF181" s="275"/>
      <c r="AG181" s="275"/>
      <c r="AH181" s="276"/>
      <c r="AI181" s="17"/>
      <c r="AJ181" s="257"/>
      <c r="AK181" s="257"/>
    </row>
    <row r="182">
      <c r="A182" s="279" t="s">
        <v>248</v>
      </c>
      <c r="B182" s="755"/>
      <c r="C182" s="326"/>
      <c r="D182" s="326"/>
      <c r="E182" s="326"/>
      <c r="F182" s="326"/>
      <c r="G182" s="326"/>
      <c r="H182" s="328"/>
      <c r="I182" s="326"/>
      <c r="J182" s="326"/>
      <c r="K182" s="326"/>
      <c r="L182" s="326"/>
      <c r="M182" s="706"/>
      <c r="N182" s="326"/>
      <c r="O182" s="328"/>
      <c r="P182" s="326"/>
      <c r="Q182" s="326"/>
      <c r="R182" s="326"/>
      <c r="S182" s="326"/>
      <c r="T182" s="326"/>
      <c r="U182" s="326"/>
      <c r="V182" s="328"/>
      <c r="W182" s="327"/>
      <c r="X182" s="326"/>
      <c r="Y182" s="660"/>
      <c r="Z182" s="326"/>
      <c r="AA182" s="326"/>
      <c r="AB182" s="332"/>
      <c r="AC182" s="328"/>
      <c r="AD182" s="326"/>
      <c r="AE182" s="326"/>
      <c r="AF182" s="287">
        <f t="shared" ref="AF182:AF194" si="33">SUM(B182:AE182)</f>
        <v>0</v>
      </c>
      <c r="AG182" s="288">
        <v>1940.0</v>
      </c>
      <c r="AH182" s="289">
        <f t="shared" ref="AH182:AH194" si="34">AF182*AG182</f>
        <v>0</v>
      </c>
      <c r="AI182" s="17"/>
      <c r="AJ182" s="257"/>
      <c r="AK182" s="257"/>
    </row>
    <row r="183">
      <c r="A183" s="279" t="s">
        <v>250</v>
      </c>
      <c r="B183" s="755"/>
      <c r="C183" s="326"/>
      <c r="D183" s="326"/>
      <c r="E183" s="326"/>
      <c r="F183" s="326"/>
      <c r="G183" s="326"/>
      <c r="H183" s="328"/>
      <c r="I183" s="326"/>
      <c r="J183" s="326"/>
      <c r="K183" s="326"/>
      <c r="L183" s="326"/>
      <c r="M183" s="706"/>
      <c r="N183" s="326"/>
      <c r="O183" s="328"/>
      <c r="P183" s="326"/>
      <c r="Q183" s="326"/>
      <c r="R183" s="326"/>
      <c r="S183" s="326"/>
      <c r="T183" s="326"/>
      <c r="U183" s="326"/>
      <c r="V183" s="328"/>
      <c r="W183" s="327"/>
      <c r="X183" s="326"/>
      <c r="Y183" s="762"/>
      <c r="Z183" s="326"/>
      <c r="AA183" s="326"/>
      <c r="AB183" s="332"/>
      <c r="AC183" s="328"/>
      <c r="AD183" s="326"/>
      <c r="AE183" s="326"/>
      <c r="AF183" s="287">
        <f t="shared" si="33"/>
        <v>0</v>
      </c>
      <c r="AG183" s="288">
        <v>1820.0</v>
      </c>
      <c r="AH183" s="289">
        <f t="shared" si="34"/>
        <v>0</v>
      </c>
      <c r="AI183" s="17"/>
      <c r="AJ183" s="257"/>
      <c r="AK183" s="257"/>
    </row>
    <row r="184">
      <c r="A184" s="279" t="s">
        <v>251</v>
      </c>
      <c r="B184" s="755"/>
      <c r="C184" s="326"/>
      <c r="D184" s="336">
        <v>1.0</v>
      </c>
      <c r="E184" s="326"/>
      <c r="F184" s="326"/>
      <c r="G184" s="326"/>
      <c r="H184" s="328"/>
      <c r="I184" s="326"/>
      <c r="J184" s="326"/>
      <c r="K184" s="326"/>
      <c r="L184" s="326"/>
      <c r="M184" s="706"/>
      <c r="N184" s="326"/>
      <c r="O184" s="328"/>
      <c r="P184" s="326"/>
      <c r="Q184" s="326"/>
      <c r="R184" s="326"/>
      <c r="S184" s="326"/>
      <c r="T184" s="326"/>
      <c r="U184" s="326"/>
      <c r="V184" s="328"/>
      <c r="W184" s="327"/>
      <c r="X184" s="326"/>
      <c r="Y184" s="660"/>
      <c r="Z184" s="326"/>
      <c r="AA184" s="326"/>
      <c r="AB184" s="332"/>
      <c r="AC184" s="328"/>
      <c r="AD184" s="326"/>
      <c r="AE184" s="326"/>
      <c r="AF184" s="287">
        <f t="shared" si="33"/>
        <v>1</v>
      </c>
      <c r="AG184" s="288">
        <v>1940.0</v>
      </c>
      <c r="AH184" s="289">
        <f t="shared" si="34"/>
        <v>1940</v>
      </c>
      <c r="AI184" s="17"/>
      <c r="AJ184" s="257"/>
      <c r="AK184" s="257"/>
    </row>
    <row r="185">
      <c r="A185" s="279" t="s">
        <v>253</v>
      </c>
      <c r="B185" s="755"/>
      <c r="C185" s="326"/>
      <c r="D185" s="326"/>
      <c r="E185" s="326"/>
      <c r="F185" s="326"/>
      <c r="G185" s="326"/>
      <c r="H185" s="328"/>
      <c r="I185" s="326"/>
      <c r="J185" s="326"/>
      <c r="K185" s="326"/>
      <c r="L185" s="326"/>
      <c r="M185" s="706"/>
      <c r="N185" s="326"/>
      <c r="O185" s="328"/>
      <c r="P185" s="326"/>
      <c r="Q185" s="326"/>
      <c r="R185" s="326"/>
      <c r="S185" s="326"/>
      <c r="T185" s="326"/>
      <c r="U185" s="326"/>
      <c r="V185" s="328"/>
      <c r="W185" s="327"/>
      <c r="X185" s="336"/>
      <c r="Y185" s="660"/>
      <c r="Z185" s="326"/>
      <c r="AA185" s="326"/>
      <c r="AB185" s="332"/>
      <c r="AC185" s="328"/>
      <c r="AD185" s="326"/>
      <c r="AE185" s="326"/>
      <c r="AF185" s="287">
        <f t="shared" si="33"/>
        <v>0</v>
      </c>
      <c r="AG185" s="288">
        <v>2000.0</v>
      </c>
      <c r="AH185" s="289">
        <f t="shared" si="34"/>
        <v>0</v>
      </c>
      <c r="AI185" s="17"/>
      <c r="AJ185" s="257"/>
      <c r="AK185" s="257"/>
    </row>
    <row r="186">
      <c r="A186" s="279" t="s">
        <v>255</v>
      </c>
      <c r="B186" s="755"/>
      <c r="C186" s="326"/>
      <c r="D186" s="326"/>
      <c r="E186" s="326"/>
      <c r="F186" s="326"/>
      <c r="G186" s="326"/>
      <c r="H186" s="328"/>
      <c r="I186" s="326"/>
      <c r="J186" s="326"/>
      <c r="K186" s="326"/>
      <c r="L186" s="326"/>
      <c r="M186" s="706"/>
      <c r="N186" s="326"/>
      <c r="O186" s="328"/>
      <c r="P186" s="326"/>
      <c r="Q186" s="326"/>
      <c r="R186" s="326"/>
      <c r="S186" s="326"/>
      <c r="T186" s="326"/>
      <c r="U186" s="326"/>
      <c r="V186" s="328"/>
      <c r="W186" s="327"/>
      <c r="X186" s="326"/>
      <c r="Y186" s="660"/>
      <c r="Z186" s="326"/>
      <c r="AA186" s="326"/>
      <c r="AB186" s="332"/>
      <c r="AC186" s="328"/>
      <c r="AD186" s="326"/>
      <c r="AE186" s="326"/>
      <c r="AF186" s="287">
        <f t="shared" si="33"/>
        <v>0</v>
      </c>
      <c r="AG186" s="288">
        <v>2140.0</v>
      </c>
      <c r="AH186" s="289">
        <f t="shared" si="34"/>
        <v>0</v>
      </c>
      <c r="AI186" s="17"/>
      <c r="AJ186" s="257"/>
      <c r="AK186" s="257"/>
    </row>
    <row r="187">
      <c r="A187" s="279" t="s">
        <v>256</v>
      </c>
      <c r="B187" s="755"/>
      <c r="C187" s="326"/>
      <c r="D187" s="326"/>
      <c r="E187" s="326"/>
      <c r="F187" s="326"/>
      <c r="G187" s="326"/>
      <c r="H187" s="328"/>
      <c r="I187" s="326"/>
      <c r="J187" s="326"/>
      <c r="K187" s="326"/>
      <c r="L187" s="326"/>
      <c r="M187" s="706"/>
      <c r="N187" s="326"/>
      <c r="O187" s="328"/>
      <c r="P187" s="326"/>
      <c r="Q187" s="326"/>
      <c r="R187" s="326"/>
      <c r="S187" s="326"/>
      <c r="T187" s="326"/>
      <c r="U187" s="326"/>
      <c r="V187" s="328"/>
      <c r="W187" s="327"/>
      <c r="X187" s="326"/>
      <c r="Y187" s="762"/>
      <c r="Z187" s="326"/>
      <c r="AA187" s="326"/>
      <c r="AB187" s="332"/>
      <c r="AC187" s="328"/>
      <c r="AD187" s="326"/>
      <c r="AE187" s="326"/>
      <c r="AF187" s="287">
        <f t="shared" si="33"/>
        <v>0</v>
      </c>
      <c r="AG187" s="288">
        <v>2500.0</v>
      </c>
      <c r="AH187" s="289">
        <f t="shared" si="34"/>
        <v>0</v>
      </c>
      <c r="AI187" s="17"/>
      <c r="AJ187" s="257"/>
      <c r="AK187" s="257"/>
    </row>
    <row r="188">
      <c r="A188" s="279" t="s">
        <v>279</v>
      </c>
      <c r="B188" s="755"/>
      <c r="C188" s="326"/>
      <c r="D188" s="326"/>
      <c r="E188" s="340"/>
      <c r="F188" s="326"/>
      <c r="G188" s="326"/>
      <c r="H188" s="328"/>
      <c r="I188" s="326"/>
      <c r="J188" s="326"/>
      <c r="K188" s="326"/>
      <c r="L188" s="336"/>
      <c r="M188" s="706"/>
      <c r="N188" s="326"/>
      <c r="O188" s="328"/>
      <c r="P188" s="326"/>
      <c r="Q188" s="326"/>
      <c r="R188" s="326"/>
      <c r="S188" s="326"/>
      <c r="T188" s="326"/>
      <c r="U188" s="326"/>
      <c r="V188" s="328"/>
      <c r="W188" s="327"/>
      <c r="X188" s="326"/>
      <c r="Y188" s="762"/>
      <c r="Z188" s="326"/>
      <c r="AA188" s="326"/>
      <c r="AB188" s="332"/>
      <c r="AC188" s="328"/>
      <c r="AD188" s="326"/>
      <c r="AE188" s="326"/>
      <c r="AF188" s="287">
        <f t="shared" si="33"/>
        <v>0</v>
      </c>
      <c r="AG188" s="288">
        <v>1300.0</v>
      </c>
      <c r="AH188" s="289">
        <f t="shared" si="34"/>
        <v>0</v>
      </c>
      <c r="AI188" s="17"/>
      <c r="AJ188" s="257"/>
      <c r="AK188" s="257"/>
    </row>
    <row r="189">
      <c r="A189" s="279" t="s">
        <v>259</v>
      </c>
      <c r="B189" s="755"/>
      <c r="C189" s="326"/>
      <c r="D189" s="326"/>
      <c r="E189" s="326"/>
      <c r="F189" s="326"/>
      <c r="G189" s="326"/>
      <c r="H189" s="328"/>
      <c r="I189" s="326"/>
      <c r="J189" s="326"/>
      <c r="K189" s="326"/>
      <c r="L189" s="326"/>
      <c r="M189" s="706"/>
      <c r="N189" s="326"/>
      <c r="O189" s="328"/>
      <c r="P189" s="326"/>
      <c r="Q189" s="326"/>
      <c r="R189" s="326"/>
      <c r="S189" s="326"/>
      <c r="T189" s="326"/>
      <c r="U189" s="326"/>
      <c r="V189" s="328"/>
      <c r="W189" s="327"/>
      <c r="X189" s="326"/>
      <c r="Y189" s="660"/>
      <c r="Z189" s="326"/>
      <c r="AA189" s="326"/>
      <c r="AB189" s="332"/>
      <c r="AC189" s="328"/>
      <c r="AD189" s="326"/>
      <c r="AE189" s="326"/>
      <c r="AF189" s="287">
        <f t="shared" si="33"/>
        <v>0</v>
      </c>
      <c r="AG189" s="288">
        <v>2500.0</v>
      </c>
      <c r="AH189" s="289">
        <f t="shared" si="34"/>
        <v>0</v>
      </c>
      <c r="AI189" s="17"/>
      <c r="AJ189" s="257"/>
      <c r="AK189" s="257"/>
    </row>
    <row r="190">
      <c r="A190" s="279" t="s">
        <v>259</v>
      </c>
      <c r="B190" s="755"/>
      <c r="C190" s="326"/>
      <c r="D190" s="326"/>
      <c r="E190" s="326"/>
      <c r="F190" s="326"/>
      <c r="G190" s="326"/>
      <c r="H190" s="328"/>
      <c r="I190" s="326"/>
      <c r="J190" s="326"/>
      <c r="K190" s="326"/>
      <c r="L190" s="326"/>
      <c r="M190" s="706"/>
      <c r="N190" s="326"/>
      <c r="O190" s="328"/>
      <c r="P190" s="326"/>
      <c r="Q190" s="326"/>
      <c r="R190" s="326"/>
      <c r="S190" s="326"/>
      <c r="T190" s="326"/>
      <c r="U190" s="326"/>
      <c r="V190" s="328"/>
      <c r="W190" s="327"/>
      <c r="X190" s="326"/>
      <c r="Y190" s="660"/>
      <c r="Z190" s="326"/>
      <c r="AA190" s="326"/>
      <c r="AB190" s="332"/>
      <c r="AC190" s="328"/>
      <c r="AD190" s="326"/>
      <c r="AE190" s="326"/>
      <c r="AF190" s="287">
        <f t="shared" si="33"/>
        <v>0</v>
      </c>
      <c r="AG190" s="288">
        <v>2600.0</v>
      </c>
      <c r="AH190" s="289">
        <f t="shared" si="34"/>
        <v>0</v>
      </c>
      <c r="AI190" s="17"/>
      <c r="AJ190" s="257"/>
      <c r="AK190" s="257"/>
    </row>
    <row r="191">
      <c r="A191" s="279" t="s">
        <v>261</v>
      </c>
      <c r="B191" s="755"/>
      <c r="C191" s="326"/>
      <c r="D191" s="326"/>
      <c r="E191" s="326"/>
      <c r="F191" s="326"/>
      <c r="G191" s="326"/>
      <c r="H191" s="328"/>
      <c r="I191" s="326"/>
      <c r="J191" s="326"/>
      <c r="K191" s="326"/>
      <c r="L191" s="326"/>
      <c r="M191" s="706"/>
      <c r="N191" s="326"/>
      <c r="O191" s="328"/>
      <c r="P191" s="326"/>
      <c r="Q191" s="326"/>
      <c r="R191" s="326"/>
      <c r="S191" s="326"/>
      <c r="T191" s="326"/>
      <c r="U191" s="326"/>
      <c r="V191" s="328"/>
      <c r="W191" s="327"/>
      <c r="X191" s="326"/>
      <c r="Y191" s="660"/>
      <c r="Z191" s="326"/>
      <c r="AA191" s="326"/>
      <c r="AB191" s="332"/>
      <c r="AC191" s="328"/>
      <c r="AD191" s="326"/>
      <c r="AE191" s="326"/>
      <c r="AF191" s="287">
        <f t="shared" si="33"/>
        <v>0</v>
      </c>
      <c r="AG191" s="288">
        <v>1400.0</v>
      </c>
      <c r="AH191" s="289">
        <f t="shared" si="34"/>
        <v>0</v>
      </c>
      <c r="AI191" s="17"/>
      <c r="AJ191" s="257"/>
      <c r="AK191" s="257"/>
    </row>
    <row r="192">
      <c r="A192" s="279" t="s">
        <v>261</v>
      </c>
      <c r="B192" s="755"/>
      <c r="C192" s="326"/>
      <c r="D192" s="326"/>
      <c r="E192" s="326"/>
      <c r="F192" s="326"/>
      <c r="G192" s="326"/>
      <c r="H192" s="328"/>
      <c r="I192" s="326"/>
      <c r="J192" s="326"/>
      <c r="K192" s="326"/>
      <c r="L192" s="326"/>
      <c r="M192" s="706"/>
      <c r="N192" s="326"/>
      <c r="O192" s="328"/>
      <c r="P192" s="326"/>
      <c r="Q192" s="326"/>
      <c r="R192" s="336"/>
      <c r="S192" s="326"/>
      <c r="T192" s="326"/>
      <c r="U192" s="326"/>
      <c r="V192" s="328"/>
      <c r="W192" s="327"/>
      <c r="X192" s="326"/>
      <c r="Y192" s="660"/>
      <c r="Z192" s="326"/>
      <c r="AA192" s="326"/>
      <c r="AB192" s="332"/>
      <c r="AC192" s="328"/>
      <c r="AD192" s="326"/>
      <c r="AE192" s="326"/>
      <c r="AF192" s="287">
        <f t="shared" si="33"/>
        <v>0</v>
      </c>
      <c r="AG192" s="288">
        <v>1900.0</v>
      </c>
      <c r="AH192" s="289">
        <f t="shared" si="34"/>
        <v>0</v>
      </c>
      <c r="AI192" s="17"/>
      <c r="AJ192" s="257"/>
      <c r="AK192" s="257"/>
    </row>
    <row r="193">
      <c r="A193" s="279" t="s">
        <v>262</v>
      </c>
      <c r="B193" s="755"/>
      <c r="C193" s="326"/>
      <c r="D193" s="326"/>
      <c r="E193" s="326"/>
      <c r="F193" s="326"/>
      <c r="G193" s="326"/>
      <c r="H193" s="328"/>
      <c r="I193" s="326"/>
      <c r="J193" s="326"/>
      <c r="K193" s="326"/>
      <c r="L193" s="326"/>
      <c r="M193" s="706"/>
      <c r="N193" s="326"/>
      <c r="O193" s="328"/>
      <c r="P193" s="326"/>
      <c r="Q193" s="326"/>
      <c r="R193" s="326"/>
      <c r="S193" s="326"/>
      <c r="T193" s="326"/>
      <c r="U193" s="326"/>
      <c r="V193" s="328"/>
      <c r="W193" s="327"/>
      <c r="X193" s="326"/>
      <c r="Y193" s="660"/>
      <c r="Z193" s="326"/>
      <c r="AA193" s="326"/>
      <c r="AB193" s="332"/>
      <c r="AC193" s="328"/>
      <c r="AD193" s="326"/>
      <c r="AE193" s="326"/>
      <c r="AF193" s="287">
        <f t="shared" si="33"/>
        <v>0</v>
      </c>
      <c r="AG193" s="288">
        <v>1300.0</v>
      </c>
      <c r="AH193" s="289">
        <f t="shared" si="34"/>
        <v>0</v>
      </c>
      <c r="AI193" s="17"/>
      <c r="AJ193" s="257"/>
      <c r="AK193" s="257"/>
    </row>
    <row r="194">
      <c r="A194" s="346" t="s">
        <v>262</v>
      </c>
      <c r="B194" s="763"/>
      <c r="C194" s="347"/>
      <c r="D194" s="347"/>
      <c r="E194" s="347"/>
      <c r="F194" s="347"/>
      <c r="G194" s="347"/>
      <c r="H194" s="349"/>
      <c r="I194" s="347"/>
      <c r="J194" s="347"/>
      <c r="K194" s="347"/>
      <c r="L194" s="347"/>
      <c r="M194" s="730"/>
      <c r="N194" s="347"/>
      <c r="O194" s="349"/>
      <c r="P194" s="347"/>
      <c r="Q194" s="347"/>
      <c r="R194" s="347"/>
      <c r="S194" s="347"/>
      <c r="T194" s="347"/>
      <c r="U194" s="347"/>
      <c r="V194" s="349"/>
      <c r="W194" s="348"/>
      <c r="X194" s="347"/>
      <c r="Y194" s="700"/>
      <c r="Z194" s="347"/>
      <c r="AA194" s="347"/>
      <c r="AB194" s="355"/>
      <c r="AC194" s="349"/>
      <c r="AD194" s="347"/>
      <c r="AE194" s="347"/>
      <c r="AF194" s="287">
        <f t="shared" si="33"/>
        <v>0</v>
      </c>
      <c r="AG194" s="357">
        <v>1800.0</v>
      </c>
      <c r="AH194" s="358">
        <f t="shared" si="34"/>
        <v>0</v>
      </c>
      <c r="AI194" s="17"/>
      <c r="AJ194" s="257"/>
      <c r="AK194" s="257"/>
    </row>
    <row r="195">
      <c r="A195" s="254" t="s">
        <v>45</v>
      </c>
      <c r="B195" s="128"/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29"/>
      <c r="AH195" s="362">
        <f>SUM(AH182:AH194)</f>
        <v>1940</v>
      </c>
      <c r="AI195" s="17"/>
      <c r="AJ195" s="257"/>
      <c r="AK195" s="257"/>
    </row>
    <row r="196">
      <c r="A196" s="314"/>
      <c r="B196" s="313"/>
      <c r="C196" s="313"/>
      <c r="D196" s="313"/>
      <c r="E196" s="314"/>
      <c r="F196" s="314"/>
      <c r="G196" s="314"/>
      <c r="H196" s="318"/>
      <c r="I196" s="314"/>
      <c r="J196" s="314"/>
      <c r="K196" s="314"/>
      <c r="L196" s="314"/>
      <c r="M196" s="736"/>
      <c r="N196" s="314"/>
      <c r="O196" s="318"/>
      <c r="P196" s="314"/>
      <c r="Q196" s="314"/>
      <c r="R196" s="314"/>
      <c r="S196" s="314"/>
      <c r="T196" s="314"/>
      <c r="U196" s="314"/>
      <c r="V196" s="318"/>
      <c r="W196" s="315"/>
      <c r="X196" s="314"/>
      <c r="Y196" s="776"/>
      <c r="Z196" s="314"/>
      <c r="AA196" s="314"/>
      <c r="AB196" s="697"/>
      <c r="AC196" s="318"/>
      <c r="AD196" s="314"/>
      <c r="AE196" s="314"/>
      <c r="AF196" s="722" t="s">
        <v>271</v>
      </c>
      <c r="AG196" s="297"/>
      <c r="AH196" s="387">
        <f>AH49+AH53+AH68+AH77+AH84+AH103+AH109+AH118+AH125+AH135+AH148+AH153+AH158+AH167+AH175+AH180+AH195+AH197</f>
        <v>2370351</v>
      </c>
      <c r="AI196" s="322"/>
      <c r="AJ196" s="323"/>
      <c r="AK196" s="323"/>
    </row>
    <row r="197">
      <c r="A197" s="314"/>
      <c r="B197" s="313"/>
      <c r="C197" s="313"/>
      <c r="D197" s="313"/>
      <c r="E197" s="314"/>
      <c r="F197" s="314"/>
      <c r="G197" s="314"/>
      <c r="H197" s="318"/>
      <c r="I197" s="314"/>
      <c r="J197" s="314"/>
      <c r="K197" s="314"/>
      <c r="L197" s="314"/>
      <c r="M197" s="736"/>
      <c r="N197" s="314"/>
      <c r="O197" s="318"/>
      <c r="P197" s="314"/>
      <c r="Q197" s="314"/>
      <c r="R197" s="314"/>
      <c r="S197" s="314"/>
      <c r="T197" s="314"/>
      <c r="U197" s="314"/>
      <c r="V197" s="318"/>
      <c r="W197" s="315"/>
      <c r="X197" s="314"/>
      <c r="Y197" s="776"/>
      <c r="Z197" s="314"/>
      <c r="AA197" s="314"/>
      <c r="AB197" s="697"/>
      <c r="AC197" s="318"/>
      <c r="AD197" s="314"/>
      <c r="AE197" s="314"/>
      <c r="AF197" s="324"/>
      <c r="AG197" s="155"/>
      <c r="AH197" s="155"/>
      <c r="AI197" s="322"/>
      <c r="AJ197" s="155"/>
      <c r="AK197" s="132"/>
    </row>
    <row r="198">
      <c r="A198" s="314"/>
      <c r="B198" s="313"/>
      <c r="C198" s="313"/>
      <c r="D198" s="313"/>
      <c r="E198" s="314"/>
      <c r="F198" s="314"/>
      <c r="G198" s="314"/>
      <c r="H198" s="318"/>
      <c r="I198" s="314"/>
      <c r="J198" s="314"/>
      <c r="K198" s="314"/>
      <c r="L198" s="314"/>
      <c r="M198" s="736"/>
      <c r="N198" s="314"/>
      <c r="O198" s="318"/>
      <c r="P198" s="314"/>
      <c r="Q198" s="314"/>
      <c r="R198" s="314"/>
      <c r="S198" s="314"/>
      <c r="T198" s="314"/>
      <c r="U198" s="314"/>
      <c r="V198" s="318"/>
      <c r="W198" s="315"/>
      <c r="X198" s="314"/>
      <c r="Y198" s="776"/>
      <c r="Z198" s="314"/>
      <c r="AA198" s="314"/>
      <c r="AB198" s="697"/>
      <c r="AC198" s="318"/>
      <c r="AD198" s="314"/>
      <c r="AE198" s="314"/>
      <c r="AF198" s="324"/>
      <c r="AG198" s="155"/>
      <c r="AH198" s="155"/>
      <c r="AI198" s="322"/>
      <c r="AJ198" s="155"/>
      <c r="AK198" s="132"/>
    </row>
    <row r="199">
      <c r="A199" s="314"/>
      <c r="B199" s="313"/>
      <c r="C199" s="313"/>
      <c r="D199" s="313"/>
      <c r="E199" s="314"/>
      <c r="F199" s="314"/>
      <c r="G199" s="314"/>
      <c r="H199" s="318"/>
      <c r="I199" s="314"/>
      <c r="J199" s="314"/>
      <c r="K199" s="314"/>
      <c r="L199" s="314"/>
      <c r="M199" s="736"/>
      <c r="N199" s="314"/>
      <c r="O199" s="318"/>
      <c r="P199" s="314"/>
      <c r="Q199" s="314"/>
      <c r="R199" s="314"/>
      <c r="S199" s="314"/>
      <c r="T199" s="314"/>
      <c r="U199" s="314"/>
      <c r="V199" s="318"/>
      <c r="W199" s="315"/>
      <c r="X199" s="314"/>
      <c r="Y199" s="776"/>
      <c r="Z199" s="314"/>
      <c r="AA199" s="314"/>
      <c r="AB199" s="697"/>
      <c r="AC199" s="318"/>
      <c r="AD199" s="314"/>
      <c r="AE199" s="314"/>
      <c r="AF199" s="324"/>
      <c r="AG199" s="155"/>
      <c r="AH199" s="155"/>
      <c r="AI199" s="322"/>
      <c r="AJ199" s="155"/>
      <c r="AK199" s="132"/>
    </row>
    <row r="200">
      <c r="A200" s="314"/>
      <c r="B200" s="313"/>
      <c r="C200" s="313"/>
      <c r="D200" s="313"/>
      <c r="E200" s="314"/>
      <c r="F200" s="314"/>
      <c r="G200" s="314"/>
      <c r="H200" s="318"/>
      <c r="I200" s="314"/>
      <c r="J200" s="314"/>
      <c r="K200" s="314"/>
      <c r="L200" s="314"/>
      <c r="M200" s="736"/>
      <c r="N200" s="314"/>
      <c r="O200" s="318"/>
      <c r="P200" s="314"/>
      <c r="Q200" s="314"/>
      <c r="R200" s="314"/>
      <c r="S200" s="314"/>
      <c r="T200" s="314"/>
      <c r="U200" s="314"/>
      <c r="V200" s="318"/>
      <c r="W200" s="315"/>
      <c r="X200" s="314"/>
      <c r="Y200" s="776"/>
      <c r="Z200" s="314"/>
      <c r="AA200" s="314"/>
      <c r="AB200" s="697"/>
      <c r="AC200" s="318"/>
      <c r="AD200" s="314"/>
      <c r="AE200" s="314"/>
      <c r="AF200" s="324"/>
      <c r="AG200" s="155"/>
      <c r="AH200" s="155"/>
      <c r="AI200" s="322"/>
      <c r="AJ200" s="155"/>
      <c r="AK200" s="132"/>
    </row>
    <row r="201">
      <c r="A201" s="314"/>
      <c r="B201" s="313"/>
      <c r="C201" s="313"/>
      <c r="D201" s="313"/>
      <c r="E201" s="314"/>
      <c r="F201" s="314"/>
      <c r="G201" s="314"/>
      <c r="H201" s="318"/>
      <c r="I201" s="314"/>
      <c r="J201" s="314"/>
      <c r="K201" s="314"/>
      <c r="L201" s="314"/>
      <c r="M201" s="736"/>
      <c r="N201" s="314"/>
      <c r="O201" s="318"/>
      <c r="P201" s="314"/>
      <c r="Q201" s="314"/>
      <c r="R201" s="314"/>
      <c r="S201" s="314"/>
      <c r="T201" s="314"/>
      <c r="U201" s="314"/>
      <c r="V201" s="318"/>
      <c r="W201" s="315"/>
      <c r="X201" s="314"/>
      <c r="Y201" s="776"/>
      <c r="Z201" s="314"/>
      <c r="AA201" s="314"/>
      <c r="AB201" s="697"/>
      <c r="AC201" s="318"/>
      <c r="AD201" s="314"/>
      <c r="AE201" s="314"/>
      <c r="AF201" s="324"/>
      <c r="AG201" s="155"/>
      <c r="AH201" s="155"/>
      <c r="AI201" s="322"/>
      <c r="AJ201" s="155"/>
      <c r="AK201" s="132"/>
    </row>
    <row r="202">
      <c r="A202" s="314"/>
      <c r="B202" s="313"/>
      <c r="C202" s="313"/>
      <c r="D202" s="313"/>
      <c r="E202" s="314"/>
      <c r="F202" s="314"/>
      <c r="G202" s="314"/>
      <c r="H202" s="318"/>
      <c r="I202" s="314"/>
      <c r="J202" s="314"/>
      <c r="K202" s="314"/>
      <c r="L202" s="314"/>
      <c r="M202" s="736"/>
      <c r="N202" s="314"/>
      <c r="O202" s="318"/>
      <c r="P202" s="314"/>
      <c r="Q202" s="314"/>
      <c r="R202" s="314"/>
      <c r="S202" s="314"/>
      <c r="T202" s="314"/>
      <c r="U202" s="314"/>
      <c r="V202" s="318"/>
      <c r="W202" s="315"/>
      <c r="X202" s="314"/>
      <c r="Y202" s="776"/>
      <c r="Z202" s="314"/>
      <c r="AA202" s="314"/>
      <c r="AB202" s="697"/>
      <c r="AC202" s="318"/>
      <c r="AD202" s="314"/>
      <c r="AE202" s="314"/>
      <c r="AF202" s="324"/>
      <c r="AG202" s="155"/>
      <c r="AH202" s="155"/>
      <c r="AI202" s="322"/>
      <c r="AJ202" s="155"/>
      <c r="AK202" s="132"/>
    </row>
    <row r="203">
      <c r="A203" s="314"/>
      <c r="B203" s="313"/>
      <c r="C203" s="313"/>
      <c r="D203" s="313"/>
      <c r="E203" s="314"/>
      <c r="F203" s="314"/>
      <c r="G203" s="314"/>
      <c r="H203" s="318"/>
      <c r="I203" s="314"/>
      <c r="J203" s="314"/>
      <c r="K203" s="314"/>
      <c r="L203" s="314"/>
      <c r="M203" s="736"/>
      <c r="N203" s="314"/>
      <c r="O203" s="318"/>
      <c r="P203" s="314"/>
      <c r="Q203" s="314"/>
      <c r="R203" s="314"/>
      <c r="S203" s="314"/>
      <c r="T203" s="314"/>
      <c r="U203" s="314"/>
      <c r="V203" s="318"/>
      <c r="W203" s="315"/>
      <c r="X203" s="314"/>
      <c r="Y203" s="776"/>
      <c r="Z203" s="314"/>
      <c r="AA203" s="314"/>
      <c r="AB203" s="697"/>
      <c r="AC203" s="318"/>
      <c r="AD203" s="314"/>
      <c r="AE203" s="314"/>
      <c r="AF203" s="324"/>
      <c r="AG203" s="155"/>
      <c r="AH203" s="155"/>
      <c r="AI203" s="322"/>
      <c r="AJ203" s="155"/>
      <c r="AK203" s="132"/>
    </row>
    <row r="204">
      <c r="A204" s="314"/>
      <c r="B204" s="313"/>
      <c r="C204" s="313"/>
      <c r="D204" s="313"/>
      <c r="E204" s="314"/>
      <c r="F204" s="314"/>
      <c r="G204" s="314"/>
      <c r="H204" s="318"/>
      <c r="I204" s="314"/>
      <c r="J204" s="314"/>
      <c r="K204" s="314"/>
      <c r="L204" s="314"/>
      <c r="M204" s="736"/>
      <c r="N204" s="314"/>
      <c r="O204" s="318"/>
      <c r="P204" s="314"/>
      <c r="Q204" s="314"/>
      <c r="R204" s="314"/>
      <c r="S204" s="314"/>
      <c r="T204" s="314"/>
      <c r="U204" s="314"/>
      <c r="V204" s="318"/>
      <c r="W204" s="315"/>
      <c r="X204" s="314"/>
      <c r="Y204" s="776"/>
      <c r="Z204" s="314"/>
      <c r="AA204" s="314"/>
      <c r="AB204" s="697"/>
      <c r="AC204" s="318"/>
      <c r="AD204" s="314"/>
      <c r="AE204" s="314"/>
      <c r="AF204" s="324"/>
      <c r="AG204" s="155"/>
      <c r="AH204" s="155"/>
      <c r="AI204" s="322"/>
      <c r="AJ204" s="155"/>
      <c r="AK204" s="132"/>
    </row>
    <row r="205">
      <c r="A205" s="314"/>
      <c r="B205" s="313"/>
      <c r="C205" s="313"/>
      <c r="D205" s="313"/>
      <c r="E205" s="314"/>
      <c r="F205" s="314"/>
      <c r="G205" s="314"/>
      <c r="H205" s="318"/>
      <c r="I205" s="314"/>
      <c r="J205" s="314"/>
      <c r="K205" s="314"/>
      <c r="L205" s="314"/>
      <c r="M205" s="736"/>
      <c r="N205" s="314"/>
      <c r="O205" s="318"/>
      <c r="P205" s="314"/>
      <c r="Q205" s="314"/>
      <c r="R205" s="314"/>
      <c r="S205" s="314"/>
      <c r="T205" s="314"/>
      <c r="U205" s="314"/>
      <c r="V205" s="318"/>
      <c r="W205" s="315"/>
      <c r="X205" s="314"/>
      <c r="Y205" s="776"/>
      <c r="Z205" s="314"/>
      <c r="AA205" s="314"/>
      <c r="AB205" s="697"/>
      <c r="AC205" s="318"/>
      <c r="AD205" s="314"/>
      <c r="AE205" s="314"/>
      <c r="AF205" s="324"/>
      <c r="AG205" s="155"/>
      <c r="AH205" s="155"/>
      <c r="AI205" s="322"/>
      <c r="AJ205" s="155"/>
      <c r="AK205" s="132"/>
    </row>
    <row r="206">
      <c r="A206" s="314"/>
      <c r="B206" s="313"/>
      <c r="C206" s="313"/>
      <c r="D206" s="313"/>
      <c r="E206" s="314"/>
      <c r="F206" s="314"/>
      <c r="G206" s="314"/>
      <c r="H206" s="318"/>
      <c r="I206" s="314"/>
      <c r="J206" s="314"/>
      <c r="K206" s="314"/>
      <c r="L206" s="314"/>
      <c r="M206" s="736"/>
      <c r="N206" s="314"/>
      <c r="O206" s="318"/>
      <c r="P206" s="314"/>
      <c r="Q206" s="314"/>
      <c r="R206" s="314"/>
      <c r="S206" s="314"/>
      <c r="T206" s="314"/>
      <c r="U206" s="314"/>
      <c r="V206" s="318"/>
      <c r="W206" s="315"/>
      <c r="X206" s="314"/>
      <c r="Y206" s="776"/>
      <c r="Z206" s="314"/>
      <c r="AA206" s="314"/>
      <c r="AB206" s="697"/>
      <c r="AC206" s="318"/>
      <c r="AD206" s="314"/>
      <c r="AE206" s="314"/>
      <c r="AF206" s="324"/>
      <c r="AG206" s="155"/>
      <c r="AH206" s="155"/>
      <c r="AI206" s="322"/>
      <c r="AJ206" s="155"/>
      <c r="AK206" s="132"/>
    </row>
    <row r="207">
      <c r="A207" s="314"/>
      <c r="B207" s="313"/>
      <c r="C207" s="313"/>
      <c r="D207" s="313"/>
      <c r="E207" s="314"/>
      <c r="F207" s="314"/>
      <c r="G207" s="314"/>
      <c r="H207" s="318"/>
      <c r="I207" s="314"/>
      <c r="J207" s="314"/>
      <c r="K207" s="314"/>
      <c r="L207" s="314"/>
      <c r="M207" s="736"/>
      <c r="N207" s="314"/>
      <c r="O207" s="318"/>
      <c r="P207" s="314"/>
      <c r="Q207" s="314"/>
      <c r="R207" s="314"/>
      <c r="S207" s="314"/>
      <c r="T207" s="314"/>
      <c r="U207" s="314"/>
      <c r="V207" s="318"/>
      <c r="W207" s="315"/>
      <c r="X207" s="314"/>
      <c r="Y207" s="776"/>
      <c r="Z207" s="314"/>
      <c r="AA207" s="314"/>
      <c r="AB207" s="697"/>
      <c r="AC207" s="318"/>
      <c r="AD207" s="314"/>
      <c r="AE207" s="314"/>
      <c r="AF207" s="324"/>
      <c r="AG207" s="155"/>
      <c r="AH207" s="155"/>
      <c r="AI207" s="322"/>
      <c r="AJ207" s="155"/>
      <c r="AK207" s="132"/>
    </row>
    <row r="208">
      <c r="A208" s="314"/>
      <c r="B208" s="313"/>
      <c r="C208" s="313"/>
      <c r="D208" s="313"/>
      <c r="E208" s="314"/>
      <c r="F208" s="314"/>
      <c r="G208" s="314"/>
      <c r="H208" s="318"/>
      <c r="I208" s="314"/>
      <c r="J208" s="314"/>
      <c r="K208" s="314"/>
      <c r="L208" s="314"/>
      <c r="M208" s="736"/>
      <c r="N208" s="314"/>
      <c r="O208" s="318"/>
      <c r="P208" s="314"/>
      <c r="Q208" s="314"/>
      <c r="R208" s="314"/>
      <c r="S208" s="314"/>
      <c r="T208" s="314"/>
      <c r="U208" s="314"/>
      <c r="V208" s="318"/>
      <c r="W208" s="315"/>
      <c r="X208" s="314"/>
      <c r="Y208" s="776"/>
      <c r="Z208" s="314"/>
      <c r="AA208" s="314"/>
      <c r="AB208" s="697"/>
      <c r="AC208" s="318"/>
      <c r="AD208" s="314"/>
      <c r="AE208" s="314"/>
      <c r="AF208" s="324"/>
      <c r="AG208" s="155"/>
      <c r="AH208" s="155"/>
      <c r="AI208" s="322"/>
      <c r="AJ208" s="155"/>
      <c r="AK208" s="132"/>
    </row>
    <row r="209">
      <c r="A209" s="314"/>
      <c r="B209" s="313"/>
      <c r="C209" s="313"/>
      <c r="D209" s="313"/>
      <c r="E209" s="314"/>
      <c r="F209" s="314"/>
      <c r="G209" s="314"/>
      <c r="H209" s="318"/>
      <c r="I209" s="314"/>
      <c r="J209" s="314"/>
      <c r="K209" s="314"/>
      <c r="L209" s="314"/>
      <c r="M209" s="736"/>
      <c r="N209" s="314"/>
      <c r="O209" s="318"/>
      <c r="P209" s="314"/>
      <c r="Q209" s="314"/>
      <c r="R209" s="314"/>
      <c r="S209" s="314"/>
      <c r="T209" s="314"/>
      <c r="U209" s="314"/>
      <c r="V209" s="318"/>
      <c r="W209" s="315"/>
      <c r="X209" s="314"/>
      <c r="Y209" s="776"/>
      <c r="Z209" s="314"/>
      <c r="AA209" s="314"/>
      <c r="AB209" s="697"/>
      <c r="AC209" s="318"/>
      <c r="AD209" s="314"/>
      <c r="AE209" s="314"/>
      <c r="AF209" s="324"/>
      <c r="AG209" s="155"/>
      <c r="AH209" s="155"/>
      <c r="AI209" s="322"/>
      <c r="AJ209" s="155"/>
      <c r="AK209" s="132"/>
    </row>
    <row r="210">
      <c r="A210" s="314"/>
      <c r="B210" s="313"/>
      <c r="C210" s="313"/>
      <c r="D210" s="313"/>
      <c r="E210" s="314"/>
      <c r="F210" s="314"/>
      <c r="G210" s="314"/>
      <c r="H210" s="318"/>
      <c r="I210" s="314"/>
      <c r="J210" s="314"/>
      <c r="K210" s="314"/>
      <c r="L210" s="314"/>
      <c r="M210" s="736"/>
      <c r="N210" s="314"/>
      <c r="O210" s="318"/>
      <c r="P210" s="314"/>
      <c r="Q210" s="314"/>
      <c r="R210" s="314"/>
      <c r="S210" s="314"/>
      <c r="T210" s="314"/>
      <c r="U210" s="314"/>
      <c r="V210" s="318"/>
      <c r="W210" s="315"/>
      <c r="X210" s="314"/>
      <c r="Y210" s="776"/>
      <c r="Z210" s="314"/>
      <c r="AA210" s="314"/>
      <c r="AB210" s="697"/>
      <c r="AC210" s="318"/>
      <c r="AD210" s="314"/>
      <c r="AE210" s="314"/>
      <c r="AF210" s="324"/>
      <c r="AG210" s="155"/>
      <c r="AH210" s="155"/>
      <c r="AI210" s="322"/>
      <c r="AJ210" s="155"/>
      <c r="AK210" s="132"/>
    </row>
    <row r="211">
      <c r="A211" s="314"/>
      <c r="B211" s="313"/>
      <c r="C211" s="313"/>
      <c r="D211" s="313"/>
      <c r="E211" s="314"/>
      <c r="F211" s="314"/>
      <c r="G211" s="314"/>
      <c r="H211" s="318"/>
      <c r="I211" s="314"/>
      <c r="J211" s="314"/>
      <c r="K211" s="314"/>
      <c r="L211" s="314"/>
      <c r="M211" s="736"/>
      <c r="N211" s="314"/>
      <c r="O211" s="318"/>
      <c r="P211" s="314"/>
      <c r="Q211" s="314"/>
      <c r="R211" s="314"/>
      <c r="S211" s="314"/>
      <c r="T211" s="314"/>
      <c r="U211" s="314"/>
      <c r="V211" s="318"/>
      <c r="W211" s="315"/>
      <c r="X211" s="314"/>
      <c r="Y211" s="776"/>
      <c r="Z211" s="314"/>
      <c r="AA211" s="314"/>
      <c r="AB211" s="697"/>
      <c r="AC211" s="318"/>
      <c r="AD211" s="314"/>
      <c r="AE211" s="314"/>
      <c r="AF211" s="324"/>
      <c r="AG211" s="155"/>
      <c r="AH211" s="155"/>
      <c r="AI211" s="322"/>
      <c r="AJ211" s="155"/>
      <c r="AK211" s="132"/>
    </row>
    <row r="212">
      <c r="A212" s="314"/>
      <c r="B212" s="313"/>
      <c r="C212" s="313"/>
      <c r="D212" s="313"/>
      <c r="E212" s="314"/>
      <c r="F212" s="314"/>
      <c r="G212" s="314"/>
      <c r="H212" s="318"/>
      <c r="I212" s="314"/>
      <c r="J212" s="314"/>
      <c r="K212" s="314"/>
      <c r="L212" s="314"/>
      <c r="M212" s="736"/>
      <c r="N212" s="314"/>
      <c r="O212" s="318"/>
      <c r="P212" s="314"/>
      <c r="Q212" s="314"/>
      <c r="R212" s="314"/>
      <c r="S212" s="314"/>
      <c r="T212" s="314"/>
      <c r="U212" s="314"/>
      <c r="V212" s="318"/>
      <c r="W212" s="315"/>
      <c r="X212" s="314"/>
      <c r="Y212" s="776"/>
      <c r="Z212" s="314"/>
      <c r="AA212" s="314"/>
      <c r="AB212" s="697"/>
      <c r="AC212" s="318"/>
      <c r="AD212" s="314"/>
      <c r="AE212" s="314"/>
      <c r="AF212" s="324"/>
      <c r="AG212" s="155"/>
      <c r="AH212" s="155"/>
      <c r="AI212" s="322"/>
      <c r="AJ212" s="155"/>
      <c r="AK212" s="132"/>
    </row>
    <row r="213">
      <c r="A213" s="314"/>
      <c r="B213" s="313"/>
      <c r="C213" s="313"/>
      <c r="D213" s="313"/>
      <c r="E213" s="314"/>
      <c r="F213" s="314"/>
      <c r="G213" s="314"/>
      <c r="H213" s="318"/>
      <c r="I213" s="314"/>
      <c r="J213" s="314"/>
      <c r="K213" s="314"/>
      <c r="L213" s="314"/>
      <c r="M213" s="736"/>
      <c r="N213" s="314"/>
      <c r="O213" s="318"/>
      <c r="P213" s="314"/>
      <c r="Q213" s="314"/>
      <c r="R213" s="314"/>
      <c r="S213" s="314"/>
      <c r="T213" s="314"/>
      <c r="U213" s="314"/>
      <c r="V213" s="318"/>
      <c r="W213" s="315"/>
      <c r="X213" s="314"/>
      <c r="Y213" s="776"/>
      <c r="Z213" s="314"/>
      <c r="AA213" s="314"/>
      <c r="AB213" s="697"/>
      <c r="AC213" s="318"/>
      <c r="AD213" s="314"/>
      <c r="AE213" s="314"/>
      <c r="AF213" s="324"/>
      <c r="AG213" s="155"/>
      <c r="AH213" s="155"/>
      <c r="AI213" s="322"/>
      <c r="AJ213" s="155"/>
      <c r="AK213" s="132"/>
    </row>
    <row r="214">
      <c r="A214" s="314"/>
      <c r="B214" s="313"/>
      <c r="C214" s="313"/>
      <c r="D214" s="313"/>
      <c r="E214" s="314"/>
      <c r="F214" s="314"/>
      <c r="G214" s="314"/>
      <c r="H214" s="318"/>
      <c r="I214" s="314"/>
      <c r="J214" s="314"/>
      <c r="K214" s="314"/>
      <c r="L214" s="314"/>
      <c r="M214" s="736"/>
      <c r="N214" s="314"/>
      <c r="O214" s="318"/>
      <c r="P214" s="314"/>
      <c r="Q214" s="314"/>
      <c r="R214" s="314"/>
      <c r="S214" s="314"/>
      <c r="T214" s="314"/>
      <c r="U214" s="314"/>
      <c r="V214" s="318"/>
      <c r="W214" s="315"/>
      <c r="X214" s="314"/>
      <c r="Y214" s="776"/>
      <c r="Z214" s="314"/>
      <c r="AA214" s="314"/>
      <c r="AB214" s="697"/>
      <c r="AC214" s="318"/>
      <c r="AD214" s="314"/>
      <c r="AE214" s="314"/>
      <c r="AF214" s="324"/>
      <c r="AG214" s="155"/>
      <c r="AH214" s="155"/>
      <c r="AI214" s="322"/>
      <c r="AJ214" s="155"/>
      <c r="AK214" s="132"/>
    </row>
    <row r="215">
      <c r="A215" s="314"/>
      <c r="B215" s="313"/>
      <c r="C215" s="313"/>
      <c r="D215" s="313"/>
      <c r="E215" s="314"/>
      <c r="F215" s="314"/>
      <c r="G215" s="314"/>
      <c r="H215" s="318"/>
      <c r="I215" s="314"/>
      <c r="J215" s="314"/>
      <c r="K215" s="314"/>
      <c r="L215" s="314"/>
      <c r="M215" s="736"/>
      <c r="N215" s="314"/>
      <c r="O215" s="318"/>
      <c r="P215" s="314"/>
      <c r="Q215" s="314"/>
      <c r="R215" s="314"/>
      <c r="S215" s="314"/>
      <c r="T215" s="314"/>
      <c r="U215" s="314"/>
      <c r="V215" s="318"/>
      <c r="W215" s="315"/>
      <c r="X215" s="314"/>
      <c r="Y215" s="776"/>
      <c r="Z215" s="314"/>
      <c r="AA215" s="314"/>
      <c r="AB215" s="697"/>
      <c r="AC215" s="318"/>
      <c r="AD215" s="314"/>
      <c r="AE215" s="314"/>
      <c r="AF215" s="324"/>
      <c r="AG215" s="155"/>
      <c r="AH215" s="155"/>
      <c r="AI215" s="322"/>
      <c r="AJ215" s="155"/>
      <c r="AK215" s="132"/>
    </row>
    <row r="216">
      <c r="A216" s="314"/>
      <c r="B216" s="313"/>
      <c r="C216" s="313"/>
      <c r="D216" s="313"/>
      <c r="E216" s="314"/>
      <c r="F216" s="314"/>
      <c r="G216" s="314"/>
      <c r="H216" s="318"/>
      <c r="I216" s="314"/>
      <c r="J216" s="314"/>
      <c r="K216" s="314"/>
      <c r="L216" s="314"/>
      <c r="M216" s="736"/>
      <c r="N216" s="314"/>
      <c r="O216" s="318"/>
      <c r="P216" s="314"/>
      <c r="Q216" s="314"/>
      <c r="R216" s="314"/>
      <c r="S216" s="314"/>
      <c r="T216" s="314"/>
      <c r="U216" s="314"/>
      <c r="V216" s="318"/>
      <c r="W216" s="315"/>
      <c r="X216" s="314"/>
      <c r="Y216" s="776"/>
      <c r="Z216" s="314"/>
      <c r="AA216" s="314"/>
      <c r="AB216" s="697"/>
      <c r="AC216" s="318"/>
      <c r="AD216" s="314"/>
      <c r="AE216" s="314"/>
      <c r="AF216" s="324"/>
      <c r="AG216" s="155"/>
      <c r="AH216" s="155"/>
      <c r="AI216" s="322"/>
      <c r="AJ216" s="155"/>
      <c r="AK216" s="132"/>
    </row>
    <row r="217">
      <c r="A217" s="314"/>
      <c r="B217" s="313"/>
      <c r="C217" s="313"/>
      <c r="D217" s="313"/>
      <c r="E217" s="314"/>
      <c r="F217" s="314"/>
      <c r="G217" s="314"/>
      <c r="H217" s="318"/>
      <c r="I217" s="314"/>
      <c r="J217" s="314"/>
      <c r="K217" s="314"/>
      <c r="L217" s="314"/>
      <c r="M217" s="736"/>
      <c r="N217" s="314"/>
      <c r="O217" s="318"/>
      <c r="P217" s="314"/>
      <c r="Q217" s="314"/>
      <c r="R217" s="314"/>
      <c r="S217" s="314"/>
      <c r="T217" s="314"/>
      <c r="U217" s="314"/>
      <c r="V217" s="318"/>
      <c r="W217" s="315"/>
      <c r="X217" s="314"/>
      <c r="Y217" s="776"/>
      <c r="Z217" s="314"/>
      <c r="AA217" s="314"/>
      <c r="AB217" s="697"/>
      <c r="AC217" s="318"/>
      <c r="AD217" s="314"/>
      <c r="AE217" s="314"/>
      <c r="AF217" s="324"/>
      <c r="AG217" s="155"/>
      <c r="AH217" s="155"/>
      <c r="AI217" s="322"/>
      <c r="AJ217" s="155"/>
      <c r="AK217" s="132"/>
    </row>
    <row r="218">
      <c r="A218" s="314"/>
      <c r="B218" s="313"/>
      <c r="C218" s="313"/>
      <c r="D218" s="313"/>
      <c r="E218" s="314"/>
      <c r="F218" s="314"/>
      <c r="G218" s="314"/>
      <c r="H218" s="318"/>
      <c r="I218" s="314"/>
      <c r="J218" s="314"/>
      <c r="K218" s="314"/>
      <c r="L218" s="314"/>
      <c r="M218" s="736"/>
      <c r="N218" s="314"/>
      <c r="O218" s="318"/>
      <c r="P218" s="314"/>
      <c r="Q218" s="314"/>
      <c r="R218" s="314"/>
      <c r="S218" s="314"/>
      <c r="T218" s="314"/>
      <c r="U218" s="314"/>
      <c r="V218" s="318"/>
      <c r="W218" s="315"/>
      <c r="X218" s="314"/>
      <c r="Y218" s="776"/>
      <c r="Z218" s="314"/>
      <c r="AA218" s="314"/>
      <c r="AB218" s="697"/>
      <c r="AC218" s="318"/>
      <c r="AD218" s="314"/>
      <c r="AE218" s="314"/>
      <c r="AF218" s="324"/>
      <c r="AG218" s="155"/>
      <c r="AH218" s="155"/>
      <c r="AI218" s="322"/>
      <c r="AJ218" s="155"/>
      <c r="AK218" s="132"/>
    </row>
    <row r="219">
      <c r="A219" s="314"/>
      <c r="B219" s="313"/>
      <c r="C219" s="313"/>
      <c r="D219" s="313"/>
      <c r="E219" s="314"/>
      <c r="F219" s="314"/>
      <c r="G219" s="314"/>
      <c r="H219" s="318"/>
      <c r="I219" s="314"/>
      <c r="J219" s="314"/>
      <c r="K219" s="314"/>
      <c r="L219" s="314"/>
      <c r="M219" s="736"/>
      <c r="N219" s="314"/>
      <c r="O219" s="318"/>
      <c r="P219" s="314"/>
      <c r="Q219" s="314"/>
      <c r="R219" s="314"/>
      <c r="S219" s="314"/>
      <c r="T219" s="314"/>
      <c r="U219" s="314"/>
      <c r="V219" s="318"/>
      <c r="W219" s="315"/>
      <c r="X219" s="314"/>
      <c r="Y219" s="776"/>
      <c r="Z219" s="314"/>
      <c r="AA219" s="314"/>
      <c r="AB219" s="697"/>
      <c r="AC219" s="318"/>
      <c r="AD219" s="314"/>
      <c r="AE219" s="314"/>
      <c r="AF219" s="324"/>
      <c r="AG219" s="155"/>
      <c r="AH219" s="155"/>
      <c r="AI219" s="322"/>
      <c r="AJ219" s="155"/>
      <c r="AK219" s="132"/>
    </row>
    <row r="220">
      <c r="A220" s="314"/>
      <c r="B220" s="313"/>
      <c r="C220" s="313"/>
      <c r="D220" s="313"/>
      <c r="E220" s="314"/>
      <c r="F220" s="314"/>
      <c r="G220" s="314"/>
      <c r="H220" s="318"/>
      <c r="I220" s="314"/>
      <c r="J220" s="314"/>
      <c r="K220" s="314"/>
      <c r="L220" s="314"/>
      <c r="M220" s="736"/>
      <c r="N220" s="314"/>
      <c r="O220" s="318"/>
      <c r="P220" s="314"/>
      <c r="Q220" s="314"/>
      <c r="R220" s="314"/>
      <c r="S220" s="314"/>
      <c r="T220" s="314"/>
      <c r="U220" s="314"/>
      <c r="V220" s="318"/>
      <c r="W220" s="315"/>
      <c r="X220" s="314"/>
      <c r="Y220" s="776"/>
      <c r="Z220" s="314"/>
      <c r="AA220" s="314"/>
      <c r="AB220" s="697"/>
      <c r="AC220" s="318"/>
      <c r="AD220" s="314"/>
      <c r="AE220" s="314"/>
      <c r="AF220" s="324"/>
      <c r="AG220" s="155"/>
      <c r="AH220" s="155"/>
      <c r="AI220" s="322"/>
      <c r="AJ220" s="155"/>
      <c r="AK220" s="132"/>
    </row>
    <row r="221">
      <c r="A221" s="314"/>
      <c r="B221" s="313"/>
      <c r="C221" s="313"/>
      <c r="D221" s="313"/>
      <c r="E221" s="314"/>
      <c r="F221" s="314"/>
      <c r="G221" s="314"/>
      <c r="H221" s="318"/>
      <c r="I221" s="314"/>
      <c r="J221" s="314"/>
      <c r="K221" s="314"/>
      <c r="L221" s="314"/>
      <c r="M221" s="736"/>
      <c r="N221" s="314"/>
      <c r="O221" s="318"/>
      <c r="P221" s="314"/>
      <c r="Q221" s="314"/>
      <c r="R221" s="314"/>
      <c r="S221" s="314"/>
      <c r="T221" s="314"/>
      <c r="U221" s="314"/>
      <c r="V221" s="318"/>
      <c r="W221" s="315"/>
      <c r="X221" s="314"/>
      <c r="Y221" s="776"/>
      <c r="Z221" s="314"/>
      <c r="AA221" s="314"/>
      <c r="AB221" s="697"/>
      <c r="AC221" s="318"/>
      <c r="AD221" s="314"/>
      <c r="AE221" s="314"/>
      <c r="AF221" s="324"/>
      <c r="AG221" s="155"/>
      <c r="AH221" s="155"/>
      <c r="AI221" s="322"/>
      <c r="AJ221" s="155"/>
      <c r="AK221" s="132"/>
    </row>
    <row r="222">
      <c r="A222" s="314"/>
      <c r="B222" s="313"/>
      <c r="C222" s="313"/>
      <c r="D222" s="313"/>
      <c r="E222" s="314"/>
      <c r="F222" s="314"/>
      <c r="G222" s="314"/>
      <c r="H222" s="318"/>
      <c r="I222" s="314"/>
      <c r="J222" s="314"/>
      <c r="K222" s="314"/>
      <c r="L222" s="314"/>
      <c r="M222" s="736"/>
      <c r="N222" s="314"/>
      <c r="O222" s="318"/>
      <c r="P222" s="314"/>
      <c r="Q222" s="314"/>
      <c r="R222" s="314"/>
      <c r="S222" s="314"/>
      <c r="T222" s="314"/>
      <c r="U222" s="314"/>
      <c r="V222" s="318"/>
      <c r="W222" s="315"/>
      <c r="X222" s="314"/>
      <c r="Y222" s="776"/>
      <c r="Z222" s="314"/>
      <c r="AA222" s="314"/>
      <c r="AB222" s="697"/>
      <c r="AC222" s="318"/>
      <c r="AD222" s="314"/>
      <c r="AE222" s="314"/>
      <c r="AF222" s="324"/>
      <c r="AG222" s="155"/>
      <c r="AH222" s="155"/>
      <c r="AI222" s="322"/>
      <c r="AJ222" s="155"/>
      <c r="AK222" s="132"/>
    </row>
    <row r="223">
      <c r="A223" s="314"/>
      <c r="B223" s="313"/>
      <c r="C223" s="313"/>
      <c r="D223" s="313"/>
      <c r="E223" s="314"/>
      <c r="F223" s="314"/>
      <c r="G223" s="314"/>
      <c r="H223" s="318"/>
      <c r="I223" s="314"/>
      <c r="J223" s="314"/>
      <c r="K223" s="314"/>
      <c r="L223" s="314"/>
      <c r="M223" s="736"/>
      <c r="N223" s="314"/>
      <c r="O223" s="318"/>
      <c r="P223" s="314"/>
      <c r="Q223" s="314"/>
      <c r="R223" s="314"/>
      <c r="S223" s="314"/>
      <c r="T223" s="314"/>
      <c r="U223" s="314"/>
      <c r="V223" s="318"/>
      <c r="W223" s="315"/>
      <c r="X223" s="314"/>
      <c r="Y223" s="776"/>
      <c r="Z223" s="314"/>
      <c r="AA223" s="314"/>
      <c r="AB223" s="697"/>
      <c r="AC223" s="318"/>
      <c r="AD223" s="314"/>
      <c r="AE223" s="314"/>
      <c r="AF223" s="324"/>
      <c r="AG223" s="155"/>
      <c r="AH223" s="155"/>
      <c r="AI223" s="322"/>
      <c r="AJ223" s="155"/>
      <c r="AK223" s="132"/>
    </row>
    <row r="224">
      <c r="A224" s="314"/>
      <c r="B224" s="313"/>
      <c r="C224" s="313"/>
      <c r="D224" s="313"/>
      <c r="E224" s="314"/>
      <c r="F224" s="314"/>
      <c r="G224" s="314"/>
      <c r="H224" s="318"/>
      <c r="I224" s="314"/>
      <c r="J224" s="314"/>
      <c r="K224" s="314"/>
      <c r="L224" s="314"/>
      <c r="M224" s="736"/>
      <c r="N224" s="314"/>
      <c r="O224" s="318"/>
      <c r="P224" s="314"/>
      <c r="Q224" s="314"/>
      <c r="R224" s="314"/>
      <c r="S224" s="314"/>
      <c r="T224" s="314"/>
      <c r="U224" s="314"/>
      <c r="V224" s="318"/>
      <c r="W224" s="315"/>
      <c r="X224" s="314"/>
      <c r="Y224" s="776"/>
      <c r="Z224" s="314"/>
      <c r="AA224" s="314"/>
      <c r="AB224" s="697"/>
      <c r="AC224" s="318"/>
      <c r="AD224" s="314"/>
      <c r="AE224" s="314"/>
      <c r="AF224" s="324"/>
      <c r="AG224" s="155"/>
      <c r="AH224" s="155"/>
      <c r="AI224" s="322"/>
      <c r="AJ224" s="155"/>
      <c r="AK224" s="132"/>
    </row>
    <row r="225">
      <c r="A225" s="314"/>
      <c r="B225" s="313"/>
      <c r="C225" s="313"/>
      <c r="D225" s="313"/>
      <c r="E225" s="314"/>
      <c r="F225" s="314"/>
      <c r="G225" s="314"/>
      <c r="H225" s="318"/>
      <c r="I225" s="314"/>
      <c r="J225" s="314"/>
      <c r="K225" s="314"/>
      <c r="L225" s="314"/>
      <c r="M225" s="736"/>
      <c r="N225" s="314"/>
      <c r="O225" s="318"/>
      <c r="P225" s="314"/>
      <c r="Q225" s="314"/>
      <c r="R225" s="314"/>
      <c r="S225" s="314"/>
      <c r="T225" s="314"/>
      <c r="U225" s="314"/>
      <c r="V225" s="318"/>
      <c r="W225" s="315"/>
      <c r="X225" s="314"/>
      <c r="Y225" s="776"/>
      <c r="Z225" s="314"/>
      <c r="AA225" s="314"/>
      <c r="AB225" s="697"/>
      <c r="AC225" s="318"/>
      <c r="AD225" s="314"/>
      <c r="AE225" s="314"/>
      <c r="AF225" s="324"/>
      <c r="AG225" s="155"/>
      <c r="AH225" s="155"/>
      <c r="AI225" s="322"/>
      <c r="AJ225" s="155"/>
      <c r="AK225" s="132"/>
    </row>
    <row r="226">
      <c r="A226" s="314"/>
      <c r="B226" s="313"/>
      <c r="C226" s="313"/>
      <c r="D226" s="313"/>
      <c r="E226" s="314"/>
      <c r="F226" s="314"/>
      <c r="G226" s="314"/>
      <c r="H226" s="318"/>
      <c r="I226" s="314"/>
      <c r="J226" s="314"/>
      <c r="K226" s="314"/>
      <c r="L226" s="314"/>
      <c r="M226" s="736"/>
      <c r="N226" s="314"/>
      <c r="O226" s="318"/>
      <c r="P226" s="314"/>
      <c r="Q226" s="314"/>
      <c r="R226" s="314"/>
      <c r="S226" s="314"/>
      <c r="T226" s="314"/>
      <c r="U226" s="314"/>
      <c r="V226" s="318"/>
      <c r="W226" s="315"/>
      <c r="X226" s="314"/>
      <c r="Y226" s="776"/>
      <c r="Z226" s="314"/>
      <c r="AA226" s="314"/>
      <c r="AB226" s="697"/>
      <c r="AC226" s="318"/>
      <c r="AD226" s="314"/>
      <c r="AE226" s="314"/>
      <c r="AF226" s="324"/>
      <c r="AG226" s="155"/>
      <c r="AH226" s="155"/>
      <c r="AI226" s="322"/>
      <c r="AJ226" s="155"/>
      <c r="AK226" s="132"/>
    </row>
    <row r="227">
      <c r="A227" s="314"/>
      <c r="B227" s="313"/>
      <c r="C227" s="313"/>
      <c r="D227" s="313"/>
      <c r="E227" s="314"/>
      <c r="F227" s="314"/>
      <c r="G227" s="314"/>
      <c r="H227" s="318"/>
      <c r="I227" s="314"/>
      <c r="J227" s="314"/>
      <c r="K227" s="314"/>
      <c r="L227" s="314"/>
      <c r="M227" s="736"/>
      <c r="N227" s="314"/>
      <c r="O227" s="318"/>
      <c r="P227" s="314"/>
      <c r="Q227" s="314"/>
      <c r="R227" s="314"/>
      <c r="S227" s="314"/>
      <c r="T227" s="314"/>
      <c r="U227" s="314"/>
      <c r="V227" s="318"/>
      <c r="W227" s="315"/>
      <c r="X227" s="314"/>
      <c r="Y227" s="776"/>
      <c r="Z227" s="314"/>
      <c r="AA227" s="314"/>
      <c r="AB227" s="697"/>
      <c r="AC227" s="318"/>
      <c r="AD227" s="314"/>
      <c r="AE227" s="314"/>
      <c r="AF227" s="324"/>
      <c r="AG227" s="155"/>
      <c r="AH227" s="155"/>
      <c r="AI227" s="322"/>
      <c r="AJ227" s="155"/>
      <c r="AK227" s="132"/>
    </row>
    <row r="228">
      <c r="A228" s="314"/>
      <c r="B228" s="313"/>
      <c r="C228" s="313"/>
      <c r="D228" s="313"/>
      <c r="E228" s="314"/>
      <c r="F228" s="314"/>
      <c r="G228" s="314"/>
      <c r="H228" s="318"/>
      <c r="I228" s="314"/>
      <c r="J228" s="314"/>
      <c r="K228" s="314"/>
      <c r="L228" s="314"/>
      <c r="M228" s="736"/>
      <c r="N228" s="314"/>
      <c r="O228" s="318"/>
      <c r="P228" s="314"/>
      <c r="Q228" s="314"/>
      <c r="R228" s="314"/>
      <c r="S228" s="314"/>
      <c r="T228" s="314"/>
      <c r="U228" s="314"/>
      <c r="V228" s="318"/>
      <c r="W228" s="315"/>
      <c r="X228" s="314"/>
      <c r="Y228" s="776"/>
      <c r="Z228" s="314"/>
      <c r="AA228" s="314"/>
      <c r="AB228" s="697"/>
      <c r="AC228" s="318"/>
      <c r="AD228" s="314"/>
      <c r="AE228" s="314"/>
      <c r="AF228" s="324"/>
      <c r="AG228" s="155"/>
      <c r="AH228" s="155"/>
      <c r="AI228" s="322"/>
      <c r="AJ228" s="155"/>
      <c r="AK228" s="132"/>
    </row>
    <row r="229">
      <c r="A229" s="314"/>
      <c r="B229" s="313"/>
      <c r="C229" s="313"/>
      <c r="D229" s="313"/>
      <c r="E229" s="314"/>
      <c r="F229" s="314"/>
      <c r="G229" s="314"/>
      <c r="H229" s="318"/>
      <c r="I229" s="314"/>
      <c r="J229" s="314"/>
      <c r="K229" s="314"/>
      <c r="L229" s="314"/>
      <c r="M229" s="736"/>
      <c r="N229" s="314"/>
      <c r="O229" s="318"/>
      <c r="P229" s="314"/>
      <c r="Q229" s="314"/>
      <c r="R229" s="314"/>
      <c r="S229" s="314"/>
      <c r="T229" s="314"/>
      <c r="U229" s="314"/>
      <c r="V229" s="318"/>
      <c r="W229" s="315"/>
      <c r="X229" s="314"/>
      <c r="Y229" s="776"/>
      <c r="Z229" s="314"/>
      <c r="AA229" s="314"/>
      <c r="AB229" s="697"/>
      <c r="AC229" s="318"/>
      <c r="AD229" s="314"/>
      <c r="AE229" s="314"/>
      <c r="AF229" s="324"/>
      <c r="AG229" s="155"/>
      <c r="AH229" s="155"/>
      <c r="AI229" s="322"/>
      <c r="AJ229" s="155"/>
      <c r="AK229" s="132"/>
    </row>
    <row r="230">
      <c r="A230" s="314"/>
      <c r="B230" s="313"/>
      <c r="C230" s="313"/>
      <c r="D230" s="313"/>
      <c r="E230" s="314"/>
      <c r="F230" s="314"/>
      <c r="G230" s="314"/>
      <c r="H230" s="318"/>
      <c r="I230" s="314"/>
      <c r="J230" s="314"/>
      <c r="K230" s="314"/>
      <c r="L230" s="314"/>
      <c r="M230" s="736"/>
      <c r="N230" s="314"/>
      <c r="O230" s="318"/>
      <c r="P230" s="314"/>
      <c r="Q230" s="314"/>
      <c r="R230" s="314"/>
      <c r="S230" s="314"/>
      <c r="T230" s="314"/>
      <c r="U230" s="314"/>
      <c r="V230" s="318"/>
      <c r="W230" s="315"/>
      <c r="X230" s="314"/>
      <c r="Y230" s="776"/>
      <c r="Z230" s="314"/>
      <c r="AA230" s="314"/>
      <c r="AB230" s="697"/>
      <c r="AC230" s="318"/>
      <c r="AD230" s="314"/>
      <c r="AE230" s="314"/>
      <c r="AF230" s="324"/>
      <c r="AG230" s="155"/>
      <c r="AH230" s="155"/>
      <c r="AI230" s="322"/>
      <c r="AJ230" s="155"/>
      <c r="AK230" s="132"/>
    </row>
    <row r="231">
      <c r="A231" s="314"/>
      <c r="B231" s="313"/>
      <c r="C231" s="313"/>
      <c r="D231" s="313"/>
      <c r="E231" s="314"/>
      <c r="F231" s="314"/>
      <c r="G231" s="314"/>
      <c r="H231" s="318"/>
      <c r="I231" s="314"/>
      <c r="J231" s="314"/>
      <c r="K231" s="314"/>
      <c r="L231" s="314"/>
      <c r="M231" s="736"/>
      <c r="N231" s="314"/>
      <c r="O231" s="318"/>
      <c r="P231" s="314"/>
      <c r="Q231" s="314"/>
      <c r="R231" s="314"/>
      <c r="S231" s="314"/>
      <c r="T231" s="314"/>
      <c r="U231" s="314"/>
      <c r="V231" s="318"/>
      <c r="W231" s="315"/>
      <c r="X231" s="314"/>
      <c r="Y231" s="776"/>
      <c r="Z231" s="314"/>
      <c r="AA231" s="314"/>
      <c r="AB231" s="697"/>
      <c r="AC231" s="318"/>
      <c r="AD231" s="314"/>
      <c r="AE231" s="314"/>
      <c r="AF231" s="324"/>
      <c r="AG231" s="155"/>
      <c r="AH231" s="155"/>
      <c r="AI231" s="322"/>
      <c r="AJ231" s="155"/>
      <c r="AK231" s="132"/>
    </row>
    <row r="232">
      <c r="A232" s="314"/>
      <c r="B232" s="313"/>
      <c r="C232" s="313"/>
      <c r="D232" s="313"/>
      <c r="E232" s="314"/>
      <c r="F232" s="314"/>
      <c r="G232" s="314"/>
      <c r="H232" s="318"/>
      <c r="I232" s="314"/>
      <c r="J232" s="314"/>
      <c r="K232" s="314"/>
      <c r="L232" s="314"/>
      <c r="M232" s="736"/>
      <c r="N232" s="314"/>
      <c r="O232" s="318"/>
      <c r="P232" s="314"/>
      <c r="Q232" s="314"/>
      <c r="R232" s="314"/>
      <c r="S232" s="314"/>
      <c r="T232" s="314"/>
      <c r="U232" s="314"/>
      <c r="V232" s="318"/>
      <c r="W232" s="315"/>
      <c r="X232" s="314"/>
      <c r="Y232" s="776"/>
      <c r="Z232" s="314"/>
      <c r="AA232" s="314"/>
      <c r="AB232" s="697"/>
      <c r="AC232" s="318"/>
      <c r="AD232" s="314"/>
      <c r="AE232" s="314"/>
      <c r="AF232" s="324"/>
      <c r="AG232" s="155"/>
      <c r="AH232" s="155"/>
      <c r="AI232" s="322"/>
      <c r="AJ232" s="155"/>
      <c r="AK232" s="132"/>
    </row>
    <row r="233">
      <c r="A233" s="314"/>
      <c r="B233" s="313"/>
      <c r="C233" s="313"/>
      <c r="D233" s="313"/>
      <c r="E233" s="314"/>
      <c r="F233" s="314"/>
      <c r="G233" s="314"/>
      <c r="H233" s="318"/>
      <c r="I233" s="314"/>
      <c r="J233" s="314"/>
      <c r="K233" s="314"/>
      <c r="L233" s="314"/>
      <c r="M233" s="736"/>
      <c r="N233" s="314"/>
      <c r="O233" s="318"/>
      <c r="P233" s="314"/>
      <c r="Q233" s="314"/>
      <c r="R233" s="314"/>
      <c r="S233" s="314"/>
      <c r="T233" s="314"/>
      <c r="U233" s="314"/>
      <c r="V233" s="318"/>
      <c r="W233" s="315"/>
      <c r="X233" s="314"/>
      <c r="Y233" s="776"/>
      <c r="Z233" s="314"/>
      <c r="AA233" s="314"/>
      <c r="AB233" s="697"/>
      <c r="AC233" s="318"/>
      <c r="AD233" s="314"/>
      <c r="AE233" s="314"/>
      <c r="AF233" s="324"/>
      <c r="AG233" s="155"/>
      <c r="AH233" s="155"/>
      <c r="AI233" s="322"/>
      <c r="AJ233" s="155"/>
      <c r="AK233" s="132"/>
    </row>
    <row r="234">
      <c r="A234" s="314"/>
      <c r="B234" s="313"/>
      <c r="C234" s="313"/>
      <c r="D234" s="313"/>
      <c r="E234" s="314"/>
      <c r="F234" s="314"/>
      <c r="G234" s="314"/>
      <c r="H234" s="318"/>
      <c r="I234" s="314"/>
      <c r="J234" s="314"/>
      <c r="K234" s="314"/>
      <c r="L234" s="314"/>
      <c r="M234" s="736"/>
      <c r="N234" s="314"/>
      <c r="O234" s="318"/>
      <c r="P234" s="314"/>
      <c r="Q234" s="314"/>
      <c r="R234" s="314"/>
      <c r="S234" s="314"/>
      <c r="T234" s="314"/>
      <c r="U234" s="314"/>
      <c r="V234" s="318"/>
      <c r="W234" s="315"/>
      <c r="X234" s="314"/>
      <c r="Y234" s="776"/>
      <c r="Z234" s="314"/>
      <c r="AA234" s="314"/>
      <c r="AB234" s="697"/>
      <c r="AC234" s="318"/>
      <c r="AD234" s="314"/>
      <c r="AE234" s="314"/>
      <c r="AF234" s="324"/>
      <c r="AG234" s="155"/>
      <c r="AH234" s="155"/>
      <c r="AI234" s="322"/>
      <c r="AJ234" s="155"/>
      <c r="AK234" s="132"/>
    </row>
    <row r="235">
      <c r="A235" s="314"/>
      <c r="B235" s="313"/>
      <c r="C235" s="313"/>
      <c r="D235" s="313"/>
      <c r="E235" s="314"/>
      <c r="F235" s="314"/>
      <c r="G235" s="314"/>
      <c r="H235" s="318"/>
      <c r="I235" s="314"/>
      <c r="J235" s="314"/>
      <c r="K235" s="314"/>
      <c r="L235" s="314"/>
      <c r="M235" s="736"/>
      <c r="N235" s="314"/>
      <c r="O235" s="318"/>
      <c r="P235" s="314"/>
      <c r="Q235" s="314"/>
      <c r="R235" s="314"/>
      <c r="S235" s="314"/>
      <c r="T235" s="314"/>
      <c r="U235" s="314"/>
      <c r="V235" s="318"/>
      <c r="W235" s="315"/>
      <c r="X235" s="314"/>
      <c r="Y235" s="776"/>
      <c r="Z235" s="314"/>
      <c r="AA235" s="314"/>
      <c r="AB235" s="697"/>
      <c r="AC235" s="318"/>
      <c r="AD235" s="314"/>
      <c r="AE235" s="314"/>
      <c r="AF235" s="324"/>
      <c r="AG235" s="155"/>
      <c r="AH235" s="155"/>
      <c r="AI235" s="322"/>
      <c r="AJ235" s="155"/>
      <c r="AK235" s="132"/>
    </row>
    <row r="236">
      <c r="A236" s="314"/>
      <c r="B236" s="313"/>
      <c r="C236" s="313"/>
      <c r="D236" s="313"/>
      <c r="E236" s="314"/>
      <c r="F236" s="314"/>
      <c r="G236" s="314"/>
      <c r="H236" s="318"/>
      <c r="I236" s="314"/>
      <c r="J236" s="314"/>
      <c r="K236" s="314"/>
      <c r="L236" s="314"/>
      <c r="M236" s="736"/>
      <c r="N236" s="314"/>
      <c r="O236" s="318"/>
      <c r="P236" s="314"/>
      <c r="Q236" s="314"/>
      <c r="R236" s="314"/>
      <c r="S236" s="314"/>
      <c r="T236" s="314"/>
      <c r="U236" s="314"/>
      <c r="V236" s="318"/>
      <c r="W236" s="315"/>
      <c r="X236" s="314"/>
      <c r="Y236" s="776"/>
      <c r="Z236" s="314"/>
      <c r="AA236" s="314"/>
      <c r="AB236" s="697"/>
      <c r="AC236" s="318"/>
      <c r="AD236" s="314"/>
      <c r="AE236" s="314"/>
      <c r="AF236" s="324"/>
      <c r="AG236" s="155"/>
      <c r="AH236" s="155"/>
      <c r="AI236" s="322"/>
      <c r="AJ236" s="155"/>
      <c r="AK236" s="132"/>
    </row>
    <row r="237">
      <c r="A237" s="314"/>
      <c r="B237" s="313"/>
      <c r="C237" s="313"/>
      <c r="D237" s="313"/>
      <c r="E237" s="314"/>
      <c r="F237" s="314"/>
      <c r="G237" s="314"/>
      <c r="H237" s="318"/>
      <c r="I237" s="314"/>
      <c r="J237" s="314"/>
      <c r="K237" s="314"/>
      <c r="L237" s="314"/>
      <c r="M237" s="736"/>
      <c r="N237" s="314"/>
      <c r="O237" s="318"/>
      <c r="P237" s="314"/>
      <c r="Q237" s="314"/>
      <c r="R237" s="314"/>
      <c r="S237" s="314"/>
      <c r="T237" s="314"/>
      <c r="U237" s="314"/>
      <c r="V237" s="318"/>
      <c r="W237" s="315"/>
      <c r="X237" s="314"/>
      <c r="Y237" s="776"/>
      <c r="Z237" s="314"/>
      <c r="AA237" s="314"/>
      <c r="AB237" s="697"/>
      <c r="AC237" s="318"/>
      <c r="AD237" s="314"/>
      <c r="AE237" s="314"/>
      <c r="AF237" s="324"/>
      <c r="AG237" s="155"/>
      <c r="AH237" s="155"/>
      <c r="AI237" s="322"/>
      <c r="AJ237" s="155"/>
      <c r="AK237" s="132"/>
    </row>
    <row r="238">
      <c r="A238" s="314"/>
      <c r="B238" s="313"/>
      <c r="C238" s="313"/>
      <c r="D238" s="313"/>
      <c r="E238" s="314"/>
      <c r="F238" s="314"/>
      <c r="G238" s="314"/>
      <c r="H238" s="318"/>
      <c r="I238" s="314"/>
      <c r="J238" s="314"/>
      <c r="K238" s="314"/>
      <c r="L238" s="314"/>
      <c r="M238" s="736"/>
      <c r="N238" s="314"/>
      <c r="O238" s="318"/>
      <c r="P238" s="314"/>
      <c r="Q238" s="314"/>
      <c r="R238" s="314"/>
      <c r="S238" s="314"/>
      <c r="T238" s="314"/>
      <c r="U238" s="314"/>
      <c r="V238" s="318"/>
      <c r="W238" s="315"/>
      <c r="X238" s="314"/>
      <c r="Y238" s="776"/>
      <c r="Z238" s="314"/>
      <c r="AA238" s="314"/>
      <c r="AB238" s="697"/>
      <c r="AC238" s="318"/>
      <c r="AD238" s="314"/>
      <c r="AE238" s="314"/>
      <c r="AF238" s="324"/>
      <c r="AG238" s="155"/>
      <c r="AH238" s="155"/>
      <c r="AI238" s="322"/>
      <c r="AJ238" s="155"/>
      <c r="AK238" s="132"/>
    </row>
    <row r="239">
      <c r="A239" s="314"/>
      <c r="B239" s="313"/>
      <c r="C239" s="313"/>
      <c r="D239" s="313"/>
      <c r="E239" s="314"/>
      <c r="F239" s="314"/>
      <c r="G239" s="314"/>
      <c r="H239" s="318"/>
      <c r="I239" s="314"/>
      <c r="J239" s="314"/>
      <c r="K239" s="314"/>
      <c r="L239" s="314"/>
      <c r="M239" s="736"/>
      <c r="N239" s="314"/>
      <c r="O239" s="318"/>
      <c r="P239" s="314"/>
      <c r="Q239" s="314"/>
      <c r="R239" s="314"/>
      <c r="S239" s="314"/>
      <c r="T239" s="314"/>
      <c r="U239" s="314"/>
      <c r="V239" s="318"/>
      <c r="W239" s="315"/>
      <c r="X239" s="314"/>
      <c r="Y239" s="776"/>
      <c r="Z239" s="314"/>
      <c r="AA239" s="314"/>
      <c r="AB239" s="697"/>
      <c r="AC239" s="318"/>
      <c r="AD239" s="314"/>
      <c r="AE239" s="314"/>
      <c r="AF239" s="324"/>
      <c r="AG239" s="155"/>
      <c r="AH239" s="155"/>
      <c r="AI239" s="322"/>
      <c r="AJ239" s="155"/>
      <c r="AK239" s="132"/>
    </row>
    <row r="240">
      <c r="A240" s="314"/>
      <c r="B240" s="313"/>
      <c r="C240" s="313"/>
      <c r="D240" s="313"/>
      <c r="E240" s="314"/>
      <c r="F240" s="314"/>
      <c r="G240" s="314"/>
      <c r="H240" s="318"/>
      <c r="I240" s="314"/>
      <c r="J240" s="314"/>
      <c r="K240" s="314"/>
      <c r="L240" s="314"/>
      <c r="M240" s="736"/>
      <c r="N240" s="314"/>
      <c r="O240" s="318"/>
      <c r="P240" s="314"/>
      <c r="Q240" s="314"/>
      <c r="R240" s="314"/>
      <c r="S240" s="314"/>
      <c r="T240" s="314"/>
      <c r="U240" s="314"/>
      <c r="V240" s="318"/>
      <c r="W240" s="315"/>
      <c r="X240" s="314"/>
      <c r="Y240" s="776"/>
      <c r="Z240" s="314"/>
      <c r="AA240" s="314"/>
      <c r="AB240" s="697"/>
      <c r="AC240" s="318"/>
      <c r="AD240" s="314"/>
      <c r="AE240" s="314"/>
      <c r="AF240" s="324"/>
      <c r="AG240" s="155"/>
      <c r="AH240" s="155"/>
      <c r="AI240" s="322"/>
      <c r="AJ240" s="155"/>
      <c r="AK240" s="132"/>
    </row>
    <row r="241">
      <c r="A241" s="314"/>
      <c r="B241" s="313"/>
      <c r="C241" s="313"/>
      <c r="D241" s="313"/>
      <c r="E241" s="314"/>
      <c r="F241" s="314"/>
      <c r="G241" s="314"/>
      <c r="H241" s="318"/>
      <c r="I241" s="314"/>
      <c r="J241" s="314"/>
      <c r="K241" s="314"/>
      <c r="L241" s="314"/>
      <c r="M241" s="736"/>
      <c r="N241" s="314"/>
      <c r="O241" s="318"/>
      <c r="P241" s="314"/>
      <c r="Q241" s="314"/>
      <c r="R241" s="314"/>
      <c r="S241" s="314"/>
      <c r="T241" s="314"/>
      <c r="U241" s="314"/>
      <c r="V241" s="318"/>
      <c r="W241" s="315"/>
      <c r="X241" s="314"/>
      <c r="Y241" s="776"/>
      <c r="Z241" s="314"/>
      <c r="AA241" s="314"/>
      <c r="AB241" s="697"/>
      <c r="AC241" s="318"/>
      <c r="AD241" s="314"/>
      <c r="AE241" s="314"/>
      <c r="AF241" s="324"/>
      <c r="AG241" s="155"/>
      <c r="AH241" s="155"/>
      <c r="AI241" s="322"/>
      <c r="AJ241" s="155"/>
      <c r="AK241" s="132"/>
    </row>
    <row r="242">
      <c r="A242" s="314"/>
      <c r="B242" s="313"/>
      <c r="C242" s="313"/>
      <c r="D242" s="313"/>
      <c r="E242" s="314"/>
      <c r="F242" s="314"/>
      <c r="G242" s="314"/>
      <c r="H242" s="318"/>
      <c r="I242" s="314"/>
      <c r="J242" s="314"/>
      <c r="K242" s="314"/>
      <c r="L242" s="314"/>
      <c r="M242" s="736"/>
      <c r="N242" s="314"/>
      <c r="O242" s="318"/>
      <c r="P242" s="314"/>
      <c r="Q242" s="314"/>
      <c r="R242" s="314"/>
      <c r="S242" s="314"/>
      <c r="T242" s="314"/>
      <c r="U242" s="314"/>
      <c r="V242" s="318"/>
      <c r="W242" s="315"/>
      <c r="X242" s="314"/>
      <c r="Y242" s="776"/>
      <c r="Z242" s="314"/>
      <c r="AA242" s="314"/>
      <c r="AB242" s="697"/>
      <c r="AC242" s="318"/>
      <c r="AD242" s="314"/>
      <c r="AE242" s="314"/>
      <c r="AF242" s="324"/>
      <c r="AG242" s="155"/>
      <c r="AH242" s="155"/>
      <c r="AI242" s="322"/>
      <c r="AJ242" s="155"/>
      <c r="AK242" s="132"/>
    </row>
    <row r="243">
      <c r="A243" s="314"/>
      <c r="B243" s="313"/>
      <c r="C243" s="313"/>
      <c r="D243" s="313"/>
      <c r="E243" s="314"/>
      <c r="F243" s="314"/>
      <c r="G243" s="314"/>
      <c r="H243" s="318"/>
      <c r="I243" s="314"/>
      <c r="J243" s="314"/>
      <c r="K243" s="314"/>
      <c r="L243" s="314"/>
      <c r="M243" s="736"/>
      <c r="N243" s="314"/>
      <c r="O243" s="318"/>
      <c r="P243" s="314"/>
      <c r="Q243" s="314"/>
      <c r="R243" s="314"/>
      <c r="S243" s="314"/>
      <c r="T243" s="314"/>
      <c r="U243" s="314"/>
      <c r="V243" s="318"/>
      <c r="W243" s="315"/>
      <c r="X243" s="314"/>
      <c r="Y243" s="776"/>
      <c r="Z243" s="314"/>
      <c r="AA243" s="314"/>
      <c r="AB243" s="697"/>
      <c r="AC243" s="318"/>
      <c r="AD243" s="314"/>
      <c r="AE243" s="314"/>
      <c r="AF243" s="324"/>
      <c r="AG243" s="155"/>
      <c r="AH243" s="155"/>
      <c r="AI243" s="322"/>
      <c r="AJ243" s="155"/>
      <c r="AK243" s="132"/>
    </row>
    <row r="244">
      <c r="A244" s="314"/>
      <c r="B244" s="313"/>
      <c r="C244" s="313"/>
      <c r="D244" s="313"/>
      <c r="E244" s="314"/>
      <c r="F244" s="314"/>
      <c r="G244" s="314"/>
      <c r="H244" s="318"/>
      <c r="I244" s="314"/>
      <c r="J244" s="314"/>
      <c r="K244" s="314"/>
      <c r="L244" s="314"/>
      <c r="M244" s="736"/>
      <c r="N244" s="314"/>
      <c r="O244" s="318"/>
      <c r="P244" s="314"/>
      <c r="Q244" s="314"/>
      <c r="R244" s="314"/>
      <c r="S244" s="314"/>
      <c r="T244" s="314"/>
      <c r="U244" s="314"/>
      <c r="V244" s="318"/>
      <c r="W244" s="315"/>
      <c r="X244" s="314"/>
      <c r="Y244" s="776"/>
      <c r="Z244" s="314"/>
      <c r="AA244" s="314"/>
      <c r="AB244" s="697"/>
      <c r="AC244" s="318"/>
      <c r="AD244" s="314"/>
      <c r="AE244" s="314"/>
      <c r="AF244" s="324"/>
      <c r="AG244" s="155"/>
      <c r="AH244" s="155"/>
      <c r="AI244" s="322"/>
      <c r="AJ244" s="155"/>
      <c r="AK244" s="132"/>
    </row>
    <row r="245">
      <c r="A245" s="314"/>
      <c r="B245" s="313"/>
      <c r="C245" s="313"/>
      <c r="D245" s="313"/>
      <c r="E245" s="314"/>
      <c r="F245" s="314"/>
      <c r="G245" s="314"/>
      <c r="H245" s="318"/>
      <c r="I245" s="314"/>
      <c r="J245" s="314"/>
      <c r="K245" s="314"/>
      <c r="L245" s="314"/>
      <c r="M245" s="736"/>
      <c r="N245" s="314"/>
      <c r="O245" s="318"/>
      <c r="P245" s="314"/>
      <c r="Q245" s="314"/>
      <c r="R245" s="314"/>
      <c r="S245" s="314"/>
      <c r="T245" s="314"/>
      <c r="U245" s="314"/>
      <c r="V245" s="318"/>
      <c r="W245" s="315"/>
      <c r="X245" s="314"/>
      <c r="Y245" s="776"/>
      <c r="Z245" s="314"/>
      <c r="AA245" s="314"/>
      <c r="AB245" s="697"/>
      <c r="AC245" s="318"/>
      <c r="AD245" s="314"/>
      <c r="AE245" s="314"/>
      <c r="AF245" s="324"/>
      <c r="AG245" s="155"/>
      <c r="AH245" s="155"/>
      <c r="AI245" s="322"/>
      <c r="AJ245" s="155"/>
      <c r="AK245" s="132"/>
    </row>
    <row r="246">
      <c r="A246" s="314"/>
      <c r="B246" s="313"/>
      <c r="C246" s="313"/>
      <c r="D246" s="313"/>
      <c r="E246" s="314"/>
      <c r="F246" s="314"/>
      <c r="G246" s="314"/>
      <c r="H246" s="318"/>
      <c r="I246" s="314"/>
      <c r="J246" s="314"/>
      <c r="K246" s="314"/>
      <c r="L246" s="314"/>
      <c r="M246" s="736"/>
      <c r="N246" s="314"/>
      <c r="O246" s="318"/>
      <c r="P246" s="314"/>
      <c r="Q246" s="314"/>
      <c r="R246" s="314"/>
      <c r="S246" s="314"/>
      <c r="T246" s="314"/>
      <c r="U246" s="314"/>
      <c r="V246" s="318"/>
      <c r="W246" s="315"/>
      <c r="X246" s="314"/>
      <c r="Y246" s="776"/>
      <c r="Z246" s="314"/>
      <c r="AA246" s="314"/>
      <c r="AB246" s="697"/>
      <c r="AC246" s="318"/>
      <c r="AD246" s="314"/>
      <c r="AE246" s="314"/>
      <c r="AF246" s="324"/>
      <c r="AG246" s="155"/>
      <c r="AH246" s="155"/>
      <c r="AI246" s="322"/>
      <c r="AJ246" s="155"/>
      <c r="AK246" s="132"/>
    </row>
    <row r="247">
      <c r="A247" s="314"/>
      <c r="B247" s="313"/>
      <c r="C247" s="313"/>
      <c r="D247" s="313"/>
      <c r="E247" s="314"/>
      <c r="F247" s="314"/>
      <c r="G247" s="314"/>
      <c r="H247" s="318"/>
      <c r="I247" s="314"/>
      <c r="J247" s="314"/>
      <c r="K247" s="314"/>
      <c r="L247" s="314"/>
      <c r="M247" s="736"/>
      <c r="N247" s="314"/>
      <c r="O247" s="318"/>
      <c r="P247" s="314"/>
      <c r="Q247" s="314"/>
      <c r="R247" s="314"/>
      <c r="S247" s="314"/>
      <c r="T247" s="314"/>
      <c r="U247" s="314"/>
      <c r="V247" s="318"/>
      <c r="W247" s="315"/>
      <c r="X247" s="314"/>
      <c r="Y247" s="776"/>
      <c r="Z247" s="314"/>
      <c r="AA247" s="314"/>
      <c r="AB247" s="697"/>
      <c r="AC247" s="318"/>
      <c r="AD247" s="314"/>
      <c r="AE247" s="314"/>
      <c r="AF247" s="324"/>
      <c r="AG247" s="155"/>
      <c r="AH247" s="155"/>
      <c r="AI247" s="322"/>
      <c r="AJ247" s="155"/>
      <c r="AK247" s="132"/>
    </row>
    <row r="248">
      <c r="A248" s="314"/>
      <c r="B248" s="313"/>
      <c r="C248" s="313"/>
      <c r="D248" s="313"/>
      <c r="E248" s="314"/>
      <c r="F248" s="314"/>
      <c r="G248" s="314"/>
      <c r="H248" s="318"/>
      <c r="I248" s="314"/>
      <c r="J248" s="314"/>
      <c r="K248" s="314"/>
      <c r="L248" s="314"/>
      <c r="M248" s="736"/>
      <c r="N248" s="314"/>
      <c r="O248" s="318"/>
      <c r="P248" s="314"/>
      <c r="Q248" s="314"/>
      <c r="R248" s="314"/>
      <c r="S248" s="314"/>
      <c r="T248" s="314"/>
      <c r="U248" s="314"/>
      <c r="V248" s="318"/>
      <c r="W248" s="315"/>
      <c r="X248" s="314"/>
      <c r="Y248" s="776"/>
      <c r="Z248" s="314"/>
      <c r="AA248" s="314"/>
      <c r="AB248" s="697"/>
      <c r="AC248" s="318"/>
      <c r="AD248" s="314"/>
      <c r="AE248" s="314"/>
      <c r="AF248" s="324"/>
      <c r="AG248" s="155"/>
      <c r="AH248" s="155"/>
      <c r="AI248" s="322"/>
      <c r="AJ248" s="155"/>
      <c r="AK248" s="132"/>
    </row>
    <row r="249">
      <c r="A249" s="314"/>
      <c r="B249" s="313"/>
      <c r="C249" s="313"/>
      <c r="D249" s="313"/>
      <c r="E249" s="314"/>
      <c r="F249" s="314"/>
      <c r="G249" s="314"/>
      <c r="H249" s="318"/>
      <c r="I249" s="314"/>
      <c r="J249" s="314"/>
      <c r="K249" s="314"/>
      <c r="L249" s="314"/>
      <c r="M249" s="736"/>
      <c r="N249" s="314"/>
      <c r="O249" s="318"/>
      <c r="P249" s="314"/>
      <c r="Q249" s="314"/>
      <c r="R249" s="314"/>
      <c r="S249" s="314"/>
      <c r="T249" s="314"/>
      <c r="U249" s="314"/>
      <c r="V249" s="318"/>
      <c r="W249" s="315"/>
      <c r="X249" s="314"/>
      <c r="Y249" s="776"/>
      <c r="Z249" s="314"/>
      <c r="AA249" s="314"/>
      <c r="AB249" s="697"/>
      <c r="AC249" s="318"/>
      <c r="AD249" s="314"/>
      <c r="AE249" s="314"/>
      <c r="AF249" s="324"/>
      <c r="AG249" s="155"/>
      <c r="AH249" s="155"/>
      <c r="AI249" s="322"/>
      <c r="AJ249" s="155"/>
      <c r="AK249" s="132"/>
    </row>
    <row r="250">
      <c r="A250" s="314"/>
      <c r="B250" s="313"/>
      <c r="C250" s="313"/>
      <c r="D250" s="313"/>
      <c r="E250" s="314"/>
      <c r="F250" s="314"/>
      <c r="G250" s="314"/>
      <c r="H250" s="318"/>
      <c r="I250" s="314"/>
      <c r="J250" s="314"/>
      <c r="K250" s="314"/>
      <c r="L250" s="314"/>
      <c r="M250" s="736"/>
      <c r="N250" s="314"/>
      <c r="O250" s="318"/>
      <c r="P250" s="314"/>
      <c r="Q250" s="314"/>
      <c r="R250" s="314"/>
      <c r="S250" s="314"/>
      <c r="T250" s="314"/>
      <c r="U250" s="314"/>
      <c r="V250" s="318"/>
      <c r="W250" s="315"/>
      <c r="X250" s="314"/>
      <c r="Y250" s="776"/>
      <c r="Z250" s="314"/>
      <c r="AA250" s="314"/>
      <c r="AB250" s="697"/>
      <c r="AC250" s="318"/>
      <c r="AD250" s="314"/>
      <c r="AE250" s="314"/>
      <c r="AF250" s="324"/>
      <c r="AG250" s="155"/>
      <c r="AH250" s="155"/>
      <c r="AI250" s="322"/>
      <c r="AJ250" s="155"/>
      <c r="AK250" s="132"/>
    </row>
    <row r="251">
      <c r="A251" s="314"/>
      <c r="B251" s="313"/>
      <c r="C251" s="313"/>
      <c r="D251" s="313"/>
      <c r="E251" s="314"/>
      <c r="F251" s="314"/>
      <c r="G251" s="314"/>
      <c r="H251" s="318"/>
      <c r="I251" s="314"/>
      <c r="J251" s="314"/>
      <c r="K251" s="314"/>
      <c r="L251" s="314"/>
      <c r="M251" s="736"/>
      <c r="N251" s="314"/>
      <c r="O251" s="318"/>
      <c r="P251" s="314"/>
      <c r="Q251" s="314"/>
      <c r="R251" s="314"/>
      <c r="S251" s="314"/>
      <c r="T251" s="314"/>
      <c r="U251" s="314"/>
      <c r="V251" s="318"/>
      <c r="W251" s="315"/>
      <c r="X251" s="314"/>
      <c r="Y251" s="776"/>
      <c r="Z251" s="314"/>
      <c r="AA251" s="314"/>
      <c r="AB251" s="697"/>
      <c r="AC251" s="318"/>
      <c r="AD251" s="314"/>
      <c r="AE251" s="314"/>
      <c r="AF251" s="324"/>
      <c r="AG251" s="155"/>
      <c r="AH251" s="155"/>
      <c r="AI251" s="322"/>
      <c r="AJ251" s="155"/>
      <c r="AK251" s="132"/>
    </row>
    <row r="252">
      <c r="A252" s="314"/>
      <c r="B252" s="313"/>
      <c r="C252" s="313"/>
      <c r="D252" s="313"/>
      <c r="E252" s="314"/>
      <c r="F252" s="314"/>
      <c r="G252" s="314"/>
      <c r="H252" s="318"/>
      <c r="I252" s="314"/>
      <c r="J252" s="314"/>
      <c r="K252" s="314"/>
      <c r="L252" s="314"/>
      <c r="M252" s="736"/>
      <c r="N252" s="314"/>
      <c r="O252" s="318"/>
      <c r="P252" s="314"/>
      <c r="Q252" s="314"/>
      <c r="R252" s="314"/>
      <c r="S252" s="314"/>
      <c r="T252" s="314"/>
      <c r="U252" s="314"/>
      <c r="V252" s="318"/>
      <c r="W252" s="315"/>
      <c r="X252" s="314"/>
      <c r="Y252" s="776"/>
      <c r="Z252" s="314"/>
      <c r="AA252" s="314"/>
      <c r="AB252" s="697"/>
      <c r="AC252" s="318"/>
      <c r="AD252" s="314"/>
      <c r="AE252" s="314"/>
      <c r="AF252" s="324"/>
      <c r="AG252" s="155"/>
      <c r="AH252" s="155"/>
      <c r="AI252" s="322"/>
      <c r="AJ252" s="155"/>
      <c r="AK252" s="132"/>
    </row>
    <row r="253">
      <c r="A253" s="314"/>
      <c r="B253" s="313"/>
      <c r="C253" s="313"/>
      <c r="D253" s="313"/>
      <c r="E253" s="314"/>
      <c r="F253" s="314"/>
      <c r="G253" s="314"/>
      <c r="H253" s="318"/>
      <c r="I253" s="314"/>
      <c r="J253" s="314"/>
      <c r="K253" s="314"/>
      <c r="L253" s="314"/>
      <c r="M253" s="736"/>
      <c r="N253" s="314"/>
      <c r="O253" s="318"/>
      <c r="P253" s="314"/>
      <c r="Q253" s="314"/>
      <c r="R253" s="314"/>
      <c r="S253" s="314"/>
      <c r="T253" s="314"/>
      <c r="U253" s="314"/>
      <c r="V253" s="318"/>
      <c r="W253" s="315"/>
      <c r="X253" s="314"/>
      <c r="Y253" s="776"/>
      <c r="Z253" s="314"/>
      <c r="AA253" s="314"/>
      <c r="AB253" s="697"/>
      <c r="AC253" s="318"/>
      <c r="AD253" s="314"/>
      <c r="AE253" s="314"/>
      <c r="AF253" s="324"/>
      <c r="AG253" s="155"/>
      <c r="AH253" s="155"/>
      <c r="AI253" s="322"/>
      <c r="AJ253" s="155"/>
      <c r="AK253" s="132"/>
    </row>
    <row r="254">
      <c r="A254" s="314"/>
      <c r="B254" s="313"/>
      <c r="C254" s="313"/>
      <c r="D254" s="313"/>
      <c r="E254" s="314"/>
      <c r="F254" s="314"/>
      <c r="G254" s="314"/>
      <c r="H254" s="318"/>
      <c r="I254" s="314"/>
      <c r="J254" s="314"/>
      <c r="K254" s="314"/>
      <c r="L254" s="314"/>
      <c r="M254" s="736"/>
      <c r="N254" s="314"/>
      <c r="O254" s="318"/>
      <c r="P254" s="314"/>
      <c r="Q254" s="314"/>
      <c r="R254" s="314"/>
      <c r="S254" s="314"/>
      <c r="T254" s="314"/>
      <c r="U254" s="314"/>
      <c r="V254" s="318"/>
      <c r="W254" s="315"/>
      <c r="X254" s="314"/>
      <c r="Y254" s="776"/>
      <c r="Z254" s="314"/>
      <c r="AA254" s="314"/>
      <c r="AB254" s="697"/>
      <c r="AC254" s="318"/>
      <c r="AD254" s="314"/>
      <c r="AE254" s="314"/>
      <c r="AF254" s="324"/>
      <c r="AG254" s="155"/>
      <c r="AH254" s="155"/>
      <c r="AI254" s="322"/>
      <c r="AJ254" s="155"/>
      <c r="AK254" s="132"/>
    </row>
    <row r="255">
      <c r="A255" s="314"/>
      <c r="B255" s="313"/>
      <c r="C255" s="313"/>
      <c r="D255" s="313"/>
      <c r="E255" s="314"/>
      <c r="F255" s="314"/>
      <c r="G255" s="314"/>
      <c r="H255" s="318"/>
      <c r="I255" s="314"/>
      <c r="J255" s="314"/>
      <c r="K255" s="314"/>
      <c r="L255" s="314"/>
      <c r="M255" s="736"/>
      <c r="N255" s="314"/>
      <c r="O255" s="318"/>
      <c r="P255" s="314"/>
      <c r="Q255" s="314"/>
      <c r="R255" s="314"/>
      <c r="S255" s="314"/>
      <c r="T255" s="314"/>
      <c r="U255" s="314"/>
      <c r="V255" s="318"/>
      <c r="W255" s="315"/>
      <c r="X255" s="314"/>
      <c r="Y255" s="776"/>
      <c r="Z255" s="314"/>
      <c r="AA255" s="314"/>
      <c r="AB255" s="697"/>
      <c r="AC255" s="318"/>
      <c r="AD255" s="314"/>
      <c r="AE255" s="314"/>
      <c r="AF255" s="324"/>
      <c r="AG255" s="155"/>
      <c r="AH255" s="155"/>
      <c r="AI255" s="322"/>
      <c r="AJ255" s="155"/>
      <c r="AK255" s="132"/>
    </row>
    <row r="256">
      <c r="A256" s="314"/>
      <c r="B256" s="313"/>
      <c r="C256" s="313"/>
      <c r="D256" s="313"/>
      <c r="E256" s="314"/>
      <c r="F256" s="314"/>
      <c r="G256" s="314"/>
      <c r="H256" s="318"/>
      <c r="I256" s="314"/>
      <c r="J256" s="314"/>
      <c r="K256" s="314"/>
      <c r="L256" s="314"/>
      <c r="M256" s="736"/>
      <c r="N256" s="314"/>
      <c r="O256" s="318"/>
      <c r="P256" s="314"/>
      <c r="Q256" s="314"/>
      <c r="R256" s="314"/>
      <c r="S256" s="314"/>
      <c r="T256" s="314"/>
      <c r="U256" s="314"/>
      <c r="V256" s="318"/>
      <c r="W256" s="315"/>
      <c r="X256" s="314"/>
      <c r="Y256" s="776"/>
      <c r="Z256" s="314"/>
      <c r="AA256" s="314"/>
      <c r="AB256" s="697"/>
      <c r="AC256" s="318"/>
      <c r="AD256" s="314"/>
      <c r="AE256" s="314"/>
      <c r="AF256" s="324"/>
      <c r="AG256" s="155"/>
      <c r="AH256" s="155"/>
      <c r="AI256" s="322"/>
      <c r="AJ256" s="155"/>
      <c r="AK256" s="132"/>
    </row>
    <row r="257">
      <c r="A257" s="314"/>
      <c r="B257" s="313"/>
      <c r="C257" s="313"/>
      <c r="D257" s="313"/>
      <c r="E257" s="314"/>
      <c r="F257" s="314"/>
      <c r="G257" s="314"/>
      <c r="H257" s="318"/>
      <c r="I257" s="314"/>
      <c r="J257" s="314"/>
      <c r="K257" s="314"/>
      <c r="L257" s="314"/>
      <c r="M257" s="736"/>
      <c r="N257" s="314"/>
      <c r="O257" s="318"/>
      <c r="P257" s="314"/>
      <c r="Q257" s="314"/>
      <c r="R257" s="314"/>
      <c r="S257" s="314"/>
      <c r="T257" s="314"/>
      <c r="U257" s="314"/>
      <c r="V257" s="318"/>
      <c r="W257" s="315"/>
      <c r="X257" s="314"/>
      <c r="Y257" s="776"/>
      <c r="Z257" s="314"/>
      <c r="AA257" s="314"/>
      <c r="AB257" s="697"/>
      <c r="AC257" s="318"/>
      <c r="AD257" s="314"/>
      <c r="AE257" s="314"/>
      <c r="AF257" s="324"/>
      <c r="AG257" s="155"/>
      <c r="AH257" s="155"/>
      <c r="AI257" s="322"/>
      <c r="AJ257" s="155"/>
      <c r="AK257" s="132"/>
    </row>
    <row r="258">
      <c r="A258" s="314"/>
      <c r="B258" s="313"/>
      <c r="C258" s="313"/>
      <c r="D258" s="313"/>
      <c r="E258" s="314"/>
      <c r="F258" s="314"/>
      <c r="G258" s="314"/>
      <c r="H258" s="318"/>
      <c r="I258" s="314"/>
      <c r="J258" s="314"/>
      <c r="K258" s="314"/>
      <c r="L258" s="314"/>
      <c r="M258" s="736"/>
      <c r="N258" s="314"/>
      <c r="O258" s="318"/>
      <c r="P258" s="314"/>
      <c r="Q258" s="314"/>
      <c r="R258" s="314"/>
      <c r="S258" s="314"/>
      <c r="T258" s="314"/>
      <c r="U258" s="314"/>
      <c r="V258" s="318"/>
      <c r="W258" s="315"/>
      <c r="X258" s="314"/>
      <c r="Y258" s="776"/>
      <c r="Z258" s="314"/>
      <c r="AA258" s="314"/>
      <c r="AB258" s="697"/>
      <c r="AC258" s="318"/>
      <c r="AD258" s="314"/>
      <c r="AE258" s="314"/>
      <c r="AF258" s="324"/>
      <c r="AG258" s="155"/>
      <c r="AH258" s="155"/>
      <c r="AI258" s="322"/>
      <c r="AJ258" s="155"/>
      <c r="AK258" s="132"/>
    </row>
    <row r="259">
      <c r="A259" s="314"/>
      <c r="B259" s="313"/>
      <c r="C259" s="313"/>
      <c r="D259" s="313"/>
      <c r="E259" s="314"/>
      <c r="F259" s="314"/>
      <c r="G259" s="314"/>
      <c r="H259" s="318"/>
      <c r="I259" s="314"/>
      <c r="J259" s="314"/>
      <c r="K259" s="314"/>
      <c r="L259" s="314"/>
      <c r="M259" s="736"/>
      <c r="N259" s="314"/>
      <c r="O259" s="318"/>
      <c r="P259" s="314"/>
      <c r="Q259" s="314"/>
      <c r="R259" s="314"/>
      <c r="S259" s="314"/>
      <c r="T259" s="314"/>
      <c r="U259" s="314"/>
      <c r="V259" s="318"/>
      <c r="W259" s="315"/>
      <c r="X259" s="314"/>
      <c r="Y259" s="776"/>
      <c r="Z259" s="314"/>
      <c r="AA259" s="314"/>
      <c r="AB259" s="697"/>
      <c r="AC259" s="318"/>
      <c r="AD259" s="314"/>
      <c r="AE259" s="314"/>
      <c r="AF259" s="324"/>
      <c r="AG259" s="155"/>
      <c r="AH259" s="155"/>
      <c r="AI259" s="322"/>
      <c r="AJ259" s="155"/>
      <c r="AK259" s="132"/>
    </row>
    <row r="260">
      <c r="A260" s="435"/>
      <c r="B260" s="313"/>
      <c r="C260" s="437"/>
      <c r="D260" s="313"/>
      <c r="E260" s="435"/>
      <c r="F260" s="314"/>
      <c r="G260" s="314"/>
      <c r="H260" s="740"/>
      <c r="I260" s="435"/>
      <c r="J260" s="314"/>
      <c r="K260" s="435"/>
      <c r="L260" s="435"/>
      <c r="M260" s="736"/>
      <c r="N260" s="314"/>
      <c r="O260" s="318"/>
      <c r="P260" s="435"/>
      <c r="Q260" s="435"/>
      <c r="R260" s="435"/>
      <c r="S260" s="435"/>
      <c r="T260" s="435"/>
      <c r="U260" s="435"/>
      <c r="V260" s="740"/>
      <c r="W260" s="744"/>
      <c r="X260" s="435"/>
      <c r="Y260" s="781"/>
      <c r="Z260" s="435"/>
      <c r="AA260" s="435"/>
      <c r="AB260" s="743"/>
      <c r="AC260" s="740"/>
      <c r="AD260" s="435"/>
      <c r="AE260" s="435"/>
      <c r="AF260" s="324"/>
      <c r="AG260" s="180"/>
      <c r="AH260" s="155"/>
      <c r="AI260" s="322"/>
      <c r="AJ260" s="155"/>
      <c r="AK260" s="132"/>
    </row>
    <row r="261">
      <c r="A261" s="435"/>
      <c r="B261" s="313"/>
      <c r="C261" s="313"/>
      <c r="D261" s="437"/>
      <c r="E261" s="314"/>
      <c r="F261" s="314"/>
      <c r="G261" s="314"/>
      <c r="H261" s="318"/>
      <c r="I261" s="314"/>
      <c r="J261" s="314"/>
      <c r="K261" s="314"/>
      <c r="L261" s="314"/>
      <c r="M261" s="839"/>
      <c r="N261" s="435"/>
      <c r="O261" s="318"/>
      <c r="P261" s="314"/>
      <c r="Q261" s="314"/>
      <c r="R261" s="314"/>
      <c r="S261" s="314"/>
      <c r="T261" s="314"/>
      <c r="U261" s="314"/>
      <c r="V261" s="318"/>
      <c r="W261" s="315"/>
      <c r="X261" s="314"/>
      <c r="Y261" s="776"/>
      <c r="Z261" s="314"/>
      <c r="AA261" s="314"/>
      <c r="AB261" s="697"/>
      <c r="AC261" s="318"/>
      <c r="AD261" s="314"/>
      <c r="AE261" s="314"/>
      <c r="AF261" s="324"/>
      <c r="AG261" s="180"/>
      <c r="AH261" s="155"/>
      <c r="AI261" s="322"/>
      <c r="AJ261" s="155"/>
      <c r="AK261" s="132"/>
    </row>
    <row r="262">
      <c r="A262" s="435"/>
      <c r="B262" s="437"/>
      <c r="C262" s="437"/>
      <c r="D262" s="437"/>
      <c r="E262" s="435"/>
      <c r="F262" s="314"/>
      <c r="G262" s="314"/>
      <c r="H262" s="318"/>
      <c r="I262" s="435"/>
      <c r="J262" s="435"/>
      <c r="K262" s="435"/>
      <c r="L262" s="435"/>
      <c r="M262" s="839"/>
      <c r="N262" s="435"/>
      <c r="O262" s="318"/>
      <c r="P262" s="435"/>
      <c r="Q262" s="314"/>
      <c r="R262" s="435"/>
      <c r="S262" s="435"/>
      <c r="T262" s="435"/>
      <c r="U262" s="435"/>
      <c r="V262" s="740"/>
      <c r="W262" s="744"/>
      <c r="X262" s="435"/>
      <c r="Y262" s="781"/>
      <c r="Z262" s="435"/>
      <c r="AA262" s="435"/>
      <c r="AB262" s="743"/>
      <c r="AC262" s="740"/>
      <c r="AD262" s="435"/>
      <c r="AE262" s="435"/>
      <c r="AF262" s="324"/>
      <c r="AG262" s="180"/>
      <c r="AH262" s="155"/>
      <c r="AI262" s="322"/>
      <c r="AJ262" s="155"/>
      <c r="AK262" s="132"/>
    </row>
    <row r="263">
      <c r="A263" s="435"/>
      <c r="B263" s="313"/>
      <c r="C263" s="313"/>
      <c r="D263" s="437"/>
      <c r="E263" s="314"/>
      <c r="F263" s="314"/>
      <c r="G263" s="314"/>
      <c r="H263" s="318"/>
      <c r="I263" s="435"/>
      <c r="J263" s="314"/>
      <c r="K263" s="435"/>
      <c r="L263" s="314"/>
      <c r="M263" s="736"/>
      <c r="N263" s="314"/>
      <c r="O263" s="318"/>
      <c r="P263" s="314"/>
      <c r="Q263" s="435"/>
      <c r="R263" s="435"/>
      <c r="S263" s="314"/>
      <c r="T263" s="314"/>
      <c r="U263" s="314"/>
      <c r="V263" s="318"/>
      <c r="W263" s="315"/>
      <c r="X263" s="314"/>
      <c r="Y263" s="776"/>
      <c r="Z263" s="314"/>
      <c r="AA263" s="314"/>
      <c r="AB263" s="697"/>
      <c r="AC263" s="318"/>
      <c r="AD263" s="314"/>
      <c r="AE263" s="314"/>
      <c r="AF263" s="324"/>
      <c r="AG263" s="180"/>
      <c r="AH263" s="155"/>
      <c r="AI263" s="322"/>
      <c r="AJ263" s="155"/>
      <c r="AK263" s="132"/>
    </row>
    <row r="264">
      <c r="A264" s="435"/>
      <c r="B264" s="437"/>
      <c r="C264" s="437"/>
      <c r="D264" s="437"/>
      <c r="E264" s="435"/>
      <c r="F264" s="314"/>
      <c r="G264" s="314"/>
      <c r="H264" s="740"/>
      <c r="I264" s="435"/>
      <c r="J264" s="435"/>
      <c r="K264" s="435"/>
      <c r="L264" s="435"/>
      <c r="M264" s="839"/>
      <c r="N264" s="435"/>
      <c r="O264" s="318"/>
      <c r="P264" s="435"/>
      <c r="Q264" s="435"/>
      <c r="R264" s="435"/>
      <c r="S264" s="435"/>
      <c r="T264" s="435"/>
      <c r="U264" s="435"/>
      <c r="V264" s="740"/>
      <c r="W264" s="744"/>
      <c r="X264" s="435"/>
      <c r="Y264" s="781"/>
      <c r="Z264" s="435"/>
      <c r="AA264" s="435"/>
      <c r="AB264" s="743"/>
      <c r="AC264" s="740"/>
      <c r="AD264" s="435"/>
      <c r="AE264" s="435"/>
      <c r="AF264" s="324"/>
      <c r="AG264" s="180"/>
      <c r="AH264" s="155"/>
      <c r="AI264" s="322"/>
      <c r="AJ264" s="155"/>
      <c r="AK264" s="132"/>
    </row>
    <row r="265">
      <c r="A265" s="435"/>
      <c r="B265" s="437"/>
      <c r="C265" s="313"/>
      <c r="D265" s="437"/>
      <c r="E265" s="314"/>
      <c r="F265" s="314"/>
      <c r="G265" s="314"/>
      <c r="H265" s="318"/>
      <c r="I265" s="314"/>
      <c r="J265" s="314"/>
      <c r="K265" s="435"/>
      <c r="L265" s="314"/>
      <c r="M265" s="736"/>
      <c r="N265" s="314"/>
      <c r="O265" s="318"/>
      <c r="P265" s="314"/>
      <c r="Q265" s="314"/>
      <c r="R265" s="314"/>
      <c r="S265" s="435"/>
      <c r="T265" s="435"/>
      <c r="U265" s="435"/>
      <c r="V265" s="740"/>
      <c r="W265" s="744"/>
      <c r="X265" s="435"/>
      <c r="Y265" s="781"/>
      <c r="Z265" s="435"/>
      <c r="AA265" s="435"/>
      <c r="AB265" s="743"/>
      <c r="AC265" s="740"/>
      <c r="AD265" s="435"/>
      <c r="AE265" s="435"/>
      <c r="AF265" s="324"/>
      <c r="AG265" s="180"/>
      <c r="AH265" s="155"/>
      <c r="AI265" s="322"/>
      <c r="AJ265" s="155"/>
      <c r="AK265" s="132"/>
    </row>
    <row r="266">
      <c r="A266" s="435"/>
      <c r="B266" s="437"/>
      <c r="C266" s="437"/>
      <c r="D266" s="437"/>
      <c r="E266" s="435"/>
      <c r="F266" s="314"/>
      <c r="G266" s="314"/>
      <c r="H266" s="740"/>
      <c r="I266" s="314"/>
      <c r="J266" s="314"/>
      <c r="K266" s="435"/>
      <c r="L266" s="314"/>
      <c r="M266" s="736"/>
      <c r="N266" s="314"/>
      <c r="O266" s="318"/>
      <c r="P266" s="435"/>
      <c r="Q266" s="435"/>
      <c r="R266" s="435"/>
      <c r="S266" s="435"/>
      <c r="T266" s="435"/>
      <c r="U266" s="435"/>
      <c r="V266" s="740"/>
      <c r="W266" s="744"/>
      <c r="X266" s="435"/>
      <c r="Y266" s="781"/>
      <c r="Z266" s="435"/>
      <c r="AA266" s="435"/>
      <c r="AB266" s="743"/>
      <c r="AC266" s="740"/>
      <c r="AD266" s="435"/>
      <c r="AE266" s="435"/>
      <c r="AF266" s="324"/>
      <c r="AG266" s="180"/>
      <c r="AH266" s="155"/>
      <c r="AI266" s="322"/>
      <c r="AJ266" s="155"/>
      <c r="AK266" s="132"/>
    </row>
    <row r="267">
      <c r="A267" s="435"/>
      <c r="B267" s="437"/>
      <c r="C267" s="437"/>
      <c r="D267" s="437"/>
      <c r="E267" s="435"/>
      <c r="F267" s="314"/>
      <c r="G267" s="314"/>
      <c r="H267" s="740"/>
      <c r="I267" s="435"/>
      <c r="J267" s="435"/>
      <c r="K267" s="435"/>
      <c r="L267" s="435"/>
      <c r="M267" s="839"/>
      <c r="N267" s="435"/>
      <c r="O267" s="318"/>
      <c r="P267" s="435"/>
      <c r="Q267" s="435"/>
      <c r="R267" s="435"/>
      <c r="S267" s="435"/>
      <c r="T267" s="435"/>
      <c r="U267" s="435"/>
      <c r="V267" s="740"/>
      <c r="W267" s="744"/>
      <c r="X267" s="435"/>
      <c r="Y267" s="781"/>
      <c r="Z267" s="435"/>
      <c r="AA267" s="435"/>
      <c r="AB267" s="743"/>
      <c r="AC267" s="740"/>
      <c r="AD267" s="435"/>
      <c r="AE267" s="435"/>
      <c r="AF267" s="324"/>
      <c r="AG267" s="180"/>
      <c r="AH267" s="155"/>
      <c r="AI267" s="322"/>
      <c r="AJ267" s="155"/>
      <c r="AK267" s="132"/>
    </row>
    <row r="268">
      <c r="A268" s="435"/>
      <c r="B268" s="313"/>
      <c r="C268" s="313"/>
      <c r="D268" s="313"/>
      <c r="E268" s="435"/>
      <c r="F268" s="314"/>
      <c r="G268" s="314"/>
      <c r="H268" s="740"/>
      <c r="I268" s="314"/>
      <c r="J268" s="314"/>
      <c r="K268" s="314"/>
      <c r="L268" s="314"/>
      <c r="M268" s="736"/>
      <c r="N268" s="314"/>
      <c r="O268" s="318"/>
      <c r="P268" s="314"/>
      <c r="Q268" s="314"/>
      <c r="R268" s="314"/>
      <c r="S268" s="314"/>
      <c r="T268" s="314"/>
      <c r="U268" s="314"/>
      <c r="V268" s="318"/>
      <c r="W268" s="315"/>
      <c r="X268" s="314"/>
      <c r="Y268" s="776"/>
      <c r="Z268" s="314"/>
      <c r="AA268" s="314"/>
      <c r="AB268" s="697"/>
      <c r="AC268" s="318"/>
      <c r="AD268" s="314"/>
      <c r="AE268" s="314"/>
      <c r="AF268" s="324"/>
      <c r="AG268" s="180"/>
      <c r="AH268" s="155"/>
      <c r="AI268" s="322"/>
      <c r="AJ268" s="155"/>
      <c r="AK268" s="132"/>
    </row>
    <row r="269">
      <c r="A269" s="435"/>
      <c r="B269" s="313"/>
      <c r="C269" s="313"/>
      <c r="D269" s="437"/>
      <c r="E269" s="314"/>
      <c r="F269" s="314"/>
      <c r="G269" s="314"/>
      <c r="H269" s="740"/>
      <c r="I269" s="314"/>
      <c r="J269" s="435"/>
      <c r="K269" s="435"/>
      <c r="L269" s="314"/>
      <c r="M269" s="839"/>
      <c r="N269" s="314"/>
      <c r="O269" s="318"/>
      <c r="P269" s="314"/>
      <c r="Q269" s="314"/>
      <c r="R269" s="435"/>
      <c r="S269" s="435"/>
      <c r="T269" s="435"/>
      <c r="U269" s="435"/>
      <c r="V269" s="740"/>
      <c r="W269" s="744"/>
      <c r="X269" s="435"/>
      <c r="Y269" s="781"/>
      <c r="Z269" s="435"/>
      <c r="AA269" s="435"/>
      <c r="AB269" s="743"/>
      <c r="AC269" s="740"/>
      <c r="AD269" s="435"/>
      <c r="AE269" s="435"/>
      <c r="AF269" s="324"/>
      <c r="AG269" s="180"/>
      <c r="AH269" s="155"/>
      <c r="AI269" s="322"/>
      <c r="AJ269" s="155"/>
      <c r="AK269" s="132"/>
    </row>
    <row r="270">
      <c r="A270" s="435"/>
      <c r="B270" s="313"/>
      <c r="C270" s="313"/>
      <c r="D270" s="313"/>
      <c r="E270" s="314"/>
      <c r="F270" s="314"/>
      <c r="G270" s="314"/>
      <c r="H270" s="318"/>
      <c r="I270" s="314"/>
      <c r="J270" s="314"/>
      <c r="K270" s="314"/>
      <c r="L270" s="314"/>
      <c r="M270" s="736"/>
      <c r="N270" s="314"/>
      <c r="O270" s="318"/>
      <c r="P270" s="314"/>
      <c r="Q270" s="435"/>
      <c r="R270" s="314"/>
      <c r="S270" s="435"/>
      <c r="T270" s="435"/>
      <c r="U270" s="435"/>
      <c r="V270" s="740"/>
      <c r="W270" s="744"/>
      <c r="X270" s="435"/>
      <c r="Y270" s="781"/>
      <c r="Z270" s="435"/>
      <c r="AA270" s="435"/>
      <c r="AB270" s="743"/>
      <c r="AC270" s="740"/>
      <c r="AD270" s="435"/>
      <c r="AE270" s="435"/>
      <c r="AF270" s="324"/>
      <c r="AG270" s="180"/>
      <c r="AH270" s="155"/>
      <c r="AI270" s="322"/>
      <c r="AJ270" s="155"/>
      <c r="AK270" s="132"/>
    </row>
    <row r="271">
      <c r="A271" s="435"/>
      <c r="B271" s="437"/>
      <c r="C271" s="313"/>
      <c r="D271" s="313"/>
      <c r="E271" s="314"/>
      <c r="F271" s="314"/>
      <c r="G271" s="314"/>
      <c r="H271" s="740"/>
      <c r="I271" s="314"/>
      <c r="J271" s="435"/>
      <c r="K271" s="435"/>
      <c r="L271" s="314"/>
      <c r="M271" s="736"/>
      <c r="N271" s="435"/>
      <c r="O271" s="318"/>
      <c r="P271" s="314"/>
      <c r="Q271" s="314"/>
      <c r="R271" s="435"/>
      <c r="S271" s="435"/>
      <c r="T271" s="435"/>
      <c r="U271" s="435"/>
      <c r="V271" s="740"/>
      <c r="W271" s="744"/>
      <c r="X271" s="435"/>
      <c r="Y271" s="781"/>
      <c r="Z271" s="435"/>
      <c r="AA271" s="435"/>
      <c r="AB271" s="743"/>
      <c r="AC271" s="740"/>
      <c r="AD271" s="435"/>
      <c r="AE271" s="435"/>
      <c r="AF271" s="324"/>
      <c r="AG271" s="180"/>
      <c r="AH271" s="155"/>
      <c r="AI271" s="322"/>
      <c r="AJ271" s="155"/>
      <c r="AK271" s="132"/>
    </row>
    <row r="272">
      <c r="A272" s="435"/>
      <c r="B272" s="313"/>
      <c r="C272" s="437"/>
      <c r="D272" s="437"/>
      <c r="E272" s="435"/>
      <c r="F272" s="314"/>
      <c r="G272" s="314"/>
      <c r="H272" s="740"/>
      <c r="I272" s="314"/>
      <c r="J272" s="314"/>
      <c r="K272" s="435"/>
      <c r="L272" s="314"/>
      <c r="M272" s="736"/>
      <c r="N272" s="314"/>
      <c r="O272" s="318"/>
      <c r="P272" s="314"/>
      <c r="Q272" s="314"/>
      <c r="R272" s="314"/>
      <c r="S272" s="435"/>
      <c r="T272" s="435"/>
      <c r="U272" s="435"/>
      <c r="V272" s="740"/>
      <c r="W272" s="744"/>
      <c r="X272" s="435"/>
      <c r="Y272" s="781"/>
      <c r="Z272" s="435"/>
      <c r="AA272" s="435"/>
      <c r="AB272" s="743"/>
      <c r="AC272" s="740"/>
      <c r="AD272" s="435"/>
      <c r="AE272" s="435"/>
      <c r="AF272" s="324"/>
      <c r="AG272" s="180"/>
      <c r="AH272" s="155"/>
      <c r="AI272" s="322"/>
      <c r="AJ272" s="155"/>
      <c r="AK272" s="132"/>
    </row>
    <row r="273">
      <c r="A273" s="435"/>
      <c r="B273" s="313"/>
      <c r="C273" s="313"/>
      <c r="D273" s="313"/>
      <c r="E273" s="314"/>
      <c r="F273" s="314"/>
      <c r="G273" s="314"/>
      <c r="H273" s="740"/>
      <c r="I273" s="314"/>
      <c r="J273" s="314"/>
      <c r="K273" s="314"/>
      <c r="L273" s="314"/>
      <c r="M273" s="736"/>
      <c r="N273" s="314"/>
      <c r="O273" s="318"/>
      <c r="P273" s="314"/>
      <c r="Q273" s="314"/>
      <c r="R273" s="435"/>
      <c r="S273" s="314"/>
      <c r="T273" s="314"/>
      <c r="U273" s="314"/>
      <c r="V273" s="318"/>
      <c r="W273" s="315"/>
      <c r="X273" s="314"/>
      <c r="Y273" s="776"/>
      <c r="Z273" s="314"/>
      <c r="AA273" s="314"/>
      <c r="AB273" s="697"/>
      <c r="AC273" s="318"/>
      <c r="AD273" s="314"/>
      <c r="AE273" s="314"/>
      <c r="AF273" s="324"/>
      <c r="AG273" s="180"/>
      <c r="AH273" s="155"/>
      <c r="AI273" s="322"/>
      <c r="AJ273" s="155"/>
      <c r="AK273" s="132"/>
    </row>
    <row r="274">
      <c r="A274" s="435"/>
      <c r="B274" s="437"/>
      <c r="C274" s="437"/>
      <c r="D274" s="437"/>
      <c r="E274" s="435"/>
      <c r="F274" s="314"/>
      <c r="G274" s="314"/>
      <c r="H274" s="740"/>
      <c r="I274" s="435"/>
      <c r="J274" s="435"/>
      <c r="K274" s="435"/>
      <c r="L274" s="435"/>
      <c r="M274" s="839"/>
      <c r="N274" s="435"/>
      <c r="O274" s="318"/>
      <c r="P274" s="435"/>
      <c r="Q274" s="435"/>
      <c r="R274" s="435"/>
      <c r="S274" s="435"/>
      <c r="T274" s="435"/>
      <c r="U274" s="435"/>
      <c r="V274" s="740"/>
      <c r="W274" s="744"/>
      <c r="X274" s="435"/>
      <c r="Y274" s="781"/>
      <c r="Z274" s="435"/>
      <c r="AA274" s="435"/>
      <c r="AB274" s="743"/>
      <c r="AC274" s="740"/>
      <c r="AD274" s="435"/>
      <c r="AE274" s="435"/>
      <c r="AF274" s="324"/>
      <c r="AG274" s="180"/>
      <c r="AH274" s="155"/>
      <c r="AI274" s="322"/>
      <c r="AJ274" s="155"/>
      <c r="AK274" s="132"/>
    </row>
    <row r="275">
      <c r="A275" s="435"/>
      <c r="B275" s="313"/>
      <c r="C275" s="313"/>
      <c r="D275" s="313"/>
      <c r="E275" s="314"/>
      <c r="F275" s="314"/>
      <c r="G275" s="314"/>
      <c r="H275" s="318"/>
      <c r="I275" s="314"/>
      <c r="J275" s="314"/>
      <c r="K275" s="314"/>
      <c r="L275" s="314"/>
      <c r="M275" s="839"/>
      <c r="N275" s="314"/>
      <c r="O275" s="318"/>
      <c r="P275" s="314"/>
      <c r="Q275" s="314"/>
      <c r="R275" s="314"/>
      <c r="S275" s="314"/>
      <c r="T275" s="314"/>
      <c r="U275" s="314"/>
      <c r="V275" s="318"/>
      <c r="W275" s="315"/>
      <c r="X275" s="314"/>
      <c r="Y275" s="776"/>
      <c r="Z275" s="314"/>
      <c r="AA275" s="314"/>
      <c r="AB275" s="697"/>
      <c r="AC275" s="318"/>
      <c r="AD275" s="314"/>
      <c r="AE275" s="314"/>
      <c r="AF275" s="324"/>
      <c r="AG275" s="180"/>
      <c r="AH275" s="155"/>
      <c r="AI275" s="322"/>
      <c r="AJ275" s="155"/>
      <c r="AK275" s="132"/>
    </row>
    <row r="276">
      <c r="A276" s="435"/>
      <c r="B276" s="313"/>
      <c r="C276" s="437"/>
      <c r="D276" s="437"/>
      <c r="E276" s="435"/>
      <c r="F276" s="314"/>
      <c r="G276" s="314"/>
      <c r="H276" s="740"/>
      <c r="I276" s="435"/>
      <c r="J276" s="435"/>
      <c r="K276" s="435"/>
      <c r="L276" s="314"/>
      <c r="M276" s="839"/>
      <c r="N276" s="740"/>
      <c r="O276" s="318"/>
      <c r="P276" s="435"/>
      <c r="Q276" s="435"/>
      <c r="R276" s="435"/>
      <c r="S276" s="435"/>
      <c r="T276" s="435"/>
      <c r="U276" s="435"/>
      <c r="V276" s="740"/>
      <c r="W276" s="744"/>
      <c r="X276" s="435"/>
      <c r="Y276" s="781"/>
      <c r="Z276" s="435"/>
      <c r="AA276" s="435"/>
      <c r="AB276" s="743"/>
      <c r="AC276" s="740"/>
      <c r="AD276" s="435"/>
      <c r="AE276" s="435"/>
      <c r="AF276" s="324"/>
      <c r="AG276" s="180"/>
      <c r="AH276" s="155"/>
      <c r="AI276" s="322"/>
      <c r="AJ276" s="155"/>
      <c r="AK276" s="132"/>
    </row>
    <row r="277">
      <c r="A277" s="435"/>
      <c r="B277" s="437"/>
      <c r="C277" s="437"/>
      <c r="D277" s="313"/>
      <c r="E277" s="435"/>
      <c r="F277" s="314"/>
      <c r="G277" s="314"/>
      <c r="H277" s="740"/>
      <c r="I277" s="435"/>
      <c r="J277" s="314"/>
      <c r="K277" s="435"/>
      <c r="L277" s="435"/>
      <c r="M277" s="736"/>
      <c r="N277" s="740"/>
      <c r="O277" s="318"/>
      <c r="P277" s="435"/>
      <c r="Q277" s="314"/>
      <c r="R277" s="435"/>
      <c r="S277" s="435"/>
      <c r="T277" s="435"/>
      <c r="U277" s="435"/>
      <c r="V277" s="740"/>
      <c r="W277" s="744"/>
      <c r="X277" s="435"/>
      <c r="Y277" s="781"/>
      <c r="Z277" s="435"/>
      <c r="AA277" s="435"/>
      <c r="AB277" s="743"/>
      <c r="AC277" s="740"/>
      <c r="AD277" s="435"/>
      <c r="AE277" s="435"/>
      <c r="AF277" s="324"/>
      <c r="AG277" s="180"/>
      <c r="AH277" s="155"/>
      <c r="AI277" s="322"/>
      <c r="AJ277" s="155"/>
      <c r="AK277" s="132"/>
    </row>
    <row r="278">
      <c r="A278" s="458"/>
      <c r="B278" s="437"/>
      <c r="C278" s="437"/>
      <c r="D278" s="437"/>
      <c r="E278" s="435"/>
      <c r="F278" s="314"/>
      <c r="G278" s="314"/>
      <c r="H278" s="318"/>
      <c r="I278" s="435"/>
      <c r="J278" s="435"/>
      <c r="K278" s="435"/>
      <c r="L278" s="435"/>
      <c r="M278" s="839"/>
      <c r="N278" s="740"/>
      <c r="O278" s="318"/>
      <c r="P278" s="435"/>
      <c r="Q278" s="435"/>
      <c r="R278" s="435"/>
      <c r="S278" s="435"/>
      <c r="T278" s="435"/>
      <c r="U278" s="435"/>
      <c r="V278" s="740"/>
      <c r="W278" s="744"/>
      <c r="X278" s="435"/>
      <c r="Y278" s="781"/>
      <c r="Z278" s="435"/>
      <c r="AA278" s="435"/>
      <c r="AB278" s="743"/>
      <c r="AC278" s="740"/>
      <c r="AD278" s="435"/>
      <c r="AE278" s="435"/>
      <c r="AF278" s="324"/>
      <c r="AG278" s="180"/>
      <c r="AH278" s="155"/>
      <c r="AI278" s="322"/>
      <c r="AJ278" s="155"/>
      <c r="AK278" s="132"/>
    </row>
    <row r="279">
      <c r="A279" s="458"/>
      <c r="B279" s="437"/>
      <c r="C279" s="437"/>
      <c r="D279" s="437"/>
      <c r="E279" s="435"/>
      <c r="F279" s="314"/>
      <c r="G279" s="314"/>
      <c r="H279" s="318"/>
      <c r="I279" s="314"/>
      <c r="J279" s="435"/>
      <c r="K279" s="435"/>
      <c r="L279" s="435"/>
      <c r="M279" s="839"/>
      <c r="N279" s="740"/>
      <c r="O279" s="318"/>
      <c r="P279" s="435"/>
      <c r="Q279" s="435"/>
      <c r="R279" s="435"/>
      <c r="S279" s="435"/>
      <c r="T279" s="435"/>
      <c r="U279" s="435"/>
      <c r="V279" s="740"/>
      <c r="W279" s="744"/>
      <c r="X279" s="435"/>
      <c r="Y279" s="781"/>
      <c r="Z279" s="435"/>
      <c r="AA279" s="435"/>
      <c r="AB279" s="743"/>
      <c r="AC279" s="740"/>
      <c r="AD279" s="435"/>
      <c r="AE279" s="435"/>
      <c r="AF279" s="324"/>
      <c r="AG279" s="180"/>
      <c r="AH279" s="155"/>
      <c r="AI279" s="322"/>
      <c r="AJ279" s="155"/>
      <c r="AK279" s="132"/>
    </row>
    <row r="280">
      <c r="A280" s="458"/>
      <c r="B280" s="437"/>
      <c r="C280" s="437"/>
      <c r="D280" s="437"/>
      <c r="E280" s="314"/>
      <c r="F280" s="314"/>
      <c r="G280" s="314"/>
      <c r="H280" s="318"/>
      <c r="I280" s="435"/>
      <c r="J280" s="435"/>
      <c r="K280" s="435"/>
      <c r="L280" s="435"/>
      <c r="M280" s="839"/>
      <c r="N280" s="740"/>
      <c r="O280" s="318"/>
      <c r="P280" s="435"/>
      <c r="Q280" s="314"/>
      <c r="R280" s="435"/>
      <c r="S280" s="435"/>
      <c r="T280" s="435"/>
      <c r="U280" s="435"/>
      <c r="V280" s="740"/>
      <c r="W280" s="744"/>
      <c r="X280" s="435"/>
      <c r="Y280" s="781"/>
      <c r="Z280" s="435"/>
      <c r="AA280" s="435"/>
      <c r="AB280" s="743"/>
      <c r="AC280" s="740"/>
      <c r="AD280" s="435"/>
      <c r="AE280" s="435"/>
      <c r="AF280" s="324"/>
      <c r="AG280" s="180"/>
      <c r="AH280" s="155"/>
      <c r="AI280" s="322"/>
      <c r="AJ280" s="155"/>
      <c r="AK280" s="132"/>
    </row>
    <row r="281">
      <c r="A281" s="458"/>
      <c r="B281" s="313"/>
      <c r="C281" s="313"/>
      <c r="D281" s="313"/>
      <c r="E281" s="314"/>
      <c r="F281" s="314"/>
      <c r="G281" s="314"/>
      <c r="H281" s="318"/>
      <c r="I281" s="314"/>
      <c r="J281" s="314"/>
      <c r="K281" s="314"/>
      <c r="L281" s="314"/>
      <c r="M281" s="736"/>
      <c r="N281" s="318"/>
      <c r="O281" s="318"/>
      <c r="P281" s="314"/>
      <c r="Q281" s="314"/>
      <c r="R281" s="314"/>
      <c r="S281" s="314"/>
      <c r="T281" s="314"/>
      <c r="U281" s="314"/>
      <c r="V281" s="318"/>
      <c r="W281" s="315"/>
      <c r="X281" s="314"/>
      <c r="Y281" s="776"/>
      <c r="Z281" s="314"/>
      <c r="AA281" s="314"/>
      <c r="AB281" s="697"/>
      <c r="AC281" s="318"/>
      <c r="AD281" s="314"/>
      <c r="AE281" s="314"/>
      <c r="AF281" s="324"/>
      <c r="AG281" s="180"/>
      <c r="AH281" s="155"/>
      <c r="AI281" s="322"/>
      <c r="AJ281" s="155"/>
      <c r="AK281" s="132"/>
    </row>
    <row r="282">
      <c r="A282" s="458"/>
      <c r="B282" s="437"/>
      <c r="C282" s="437"/>
      <c r="D282" s="437"/>
      <c r="E282" s="314"/>
      <c r="F282" s="314"/>
      <c r="G282" s="314"/>
      <c r="H282" s="318"/>
      <c r="I282" s="314"/>
      <c r="J282" s="314"/>
      <c r="K282" s="435"/>
      <c r="L282" s="435"/>
      <c r="M282" s="839"/>
      <c r="N282" s="318"/>
      <c r="O282" s="318"/>
      <c r="P282" s="435"/>
      <c r="Q282" s="435"/>
      <c r="R282" s="435"/>
      <c r="S282" s="435"/>
      <c r="T282" s="435"/>
      <c r="U282" s="435"/>
      <c r="V282" s="740"/>
      <c r="W282" s="744"/>
      <c r="X282" s="435"/>
      <c r="Y282" s="781"/>
      <c r="Z282" s="435"/>
      <c r="AA282" s="435"/>
      <c r="AB282" s="743"/>
      <c r="AC282" s="740"/>
      <c r="AD282" s="435"/>
      <c r="AE282" s="435"/>
      <c r="AF282" s="324"/>
      <c r="AG282" s="180"/>
      <c r="AH282" s="155"/>
      <c r="AI282" s="322"/>
      <c r="AJ282" s="155"/>
      <c r="AK282" s="132"/>
    </row>
    <row r="283">
      <c r="A283" s="458"/>
      <c r="B283" s="313"/>
      <c r="C283" s="313"/>
      <c r="D283" s="437"/>
      <c r="E283" s="314"/>
      <c r="F283" s="314"/>
      <c r="G283" s="314"/>
      <c r="H283" s="318"/>
      <c r="I283" s="314"/>
      <c r="J283" s="314"/>
      <c r="K283" s="314"/>
      <c r="L283" s="314"/>
      <c r="M283" s="736"/>
      <c r="N283" s="318"/>
      <c r="O283" s="318"/>
      <c r="P283" s="314"/>
      <c r="Q283" s="314"/>
      <c r="R283" s="314"/>
      <c r="S283" s="314"/>
      <c r="T283" s="314"/>
      <c r="U283" s="314"/>
      <c r="V283" s="318"/>
      <c r="W283" s="315"/>
      <c r="X283" s="314"/>
      <c r="Y283" s="776"/>
      <c r="Z283" s="314"/>
      <c r="AA283" s="314"/>
      <c r="AB283" s="697"/>
      <c r="AC283" s="318"/>
      <c r="AD283" s="314"/>
      <c r="AE283" s="314"/>
      <c r="AF283" s="324"/>
      <c r="AG283" s="180"/>
      <c r="AH283" s="155"/>
      <c r="AI283" s="322"/>
      <c r="AJ283" s="155"/>
      <c r="AK283" s="132"/>
    </row>
    <row r="284">
      <c r="A284" s="458"/>
      <c r="B284" s="313"/>
      <c r="C284" s="437"/>
      <c r="D284" s="313"/>
      <c r="E284" s="314"/>
      <c r="F284" s="314"/>
      <c r="G284" s="314"/>
      <c r="H284" s="318"/>
      <c r="I284" s="435"/>
      <c r="J284" s="314"/>
      <c r="K284" s="314"/>
      <c r="L284" s="435"/>
      <c r="M284" s="736"/>
      <c r="N284" s="318"/>
      <c r="O284" s="318"/>
      <c r="P284" s="314"/>
      <c r="Q284" s="435"/>
      <c r="R284" s="435"/>
      <c r="S284" s="435"/>
      <c r="T284" s="435"/>
      <c r="U284" s="435"/>
      <c r="V284" s="740"/>
      <c r="W284" s="744"/>
      <c r="X284" s="435"/>
      <c r="Y284" s="781"/>
      <c r="Z284" s="435"/>
      <c r="AA284" s="435"/>
      <c r="AB284" s="743"/>
      <c r="AC284" s="740"/>
      <c r="AD284" s="435"/>
      <c r="AE284" s="435"/>
      <c r="AF284" s="324"/>
      <c r="AG284" s="180"/>
      <c r="AH284" s="155"/>
      <c r="AI284" s="322"/>
      <c r="AJ284" s="155"/>
      <c r="AK284" s="132"/>
    </row>
    <row r="285">
      <c r="A285" s="458"/>
      <c r="B285" s="313"/>
      <c r="C285" s="437"/>
      <c r="D285" s="437"/>
      <c r="E285" s="435"/>
      <c r="F285" s="314"/>
      <c r="G285" s="314"/>
      <c r="H285" s="740"/>
      <c r="I285" s="435"/>
      <c r="J285" s="314"/>
      <c r="K285" s="435"/>
      <c r="L285" s="435"/>
      <c r="M285" s="736"/>
      <c r="N285" s="318"/>
      <c r="O285" s="318"/>
      <c r="P285" s="435"/>
      <c r="Q285" s="435"/>
      <c r="R285" s="435"/>
      <c r="S285" s="435"/>
      <c r="T285" s="435"/>
      <c r="U285" s="435"/>
      <c r="V285" s="740"/>
      <c r="W285" s="744"/>
      <c r="X285" s="435"/>
      <c r="Y285" s="781"/>
      <c r="Z285" s="435"/>
      <c r="AA285" s="435"/>
      <c r="AB285" s="743"/>
      <c r="AC285" s="740"/>
      <c r="AD285" s="435"/>
      <c r="AE285" s="435"/>
      <c r="AF285" s="324"/>
      <c r="AG285" s="180"/>
      <c r="AH285" s="155"/>
      <c r="AI285" s="322"/>
      <c r="AJ285" s="155"/>
      <c r="AK285" s="132"/>
    </row>
    <row r="286">
      <c r="A286" s="458"/>
      <c r="B286" s="313"/>
      <c r="C286" s="437"/>
      <c r="D286" s="437"/>
      <c r="E286" s="314"/>
      <c r="F286" s="314"/>
      <c r="G286" s="314"/>
      <c r="H286" s="318"/>
      <c r="I286" s="314"/>
      <c r="J286" s="314"/>
      <c r="K286" s="435"/>
      <c r="L286" s="314"/>
      <c r="M286" s="736"/>
      <c r="N286" s="318"/>
      <c r="O286" s="318"/>
      <c r="P286" s="314"/>
      <c r="Q286" s="314"/>
      <c r="R286" s="435"/>
      <c r="S286" s="435"/>
      <c r="T286" s="435"/>
      <c r="U286" s="435"/>
      <c r="V286" s="740"/>
      <c r="W286" s="744"/>
      <c r="X286" s="435"/>
      <c r="Y286" s="781"/>
      <c r="Z286" s="435"/>
      <c r="AA286" s="435"/>
      <c r="AB286" s="743"/>
      <c r="AC286" s="740"/>
      <c r="AD286" s="435"/>
      <c r="AE286" s="435"/>
      <c r="AF286" s="324"/>
      <c r="AG286" s="180"/>
      <c r="AH286" s="155"/>
      <c r="AI286" s="322"/>
      <c r="AJ286" s="155"/>
      <c r="AK286" s="132"/>
    </row>
    <row r="287">
      <c r="A287" s="458"/>
      <c r="B287" s="437"/>
      <c r="C287" s="437"/>
      <c r="D287" s="437"/>
      <c r="E287" s="435"/>
      <c r="F287" s="314"/>
      <c r="G287" s="314"/>
      <c r="H287" s="740"/>
      <c r="I287" s="435"/>
      <c r="J287" s="435"/>
      <c r="K287" s="435"/>
      <c r="L287" s="435"/>
      <c r="M287" s="839"/>
      <c r="N287" s="740"/>
      <c r="O287" s="318"/>
      <c r="P287" s="435"/>
      <c r="Q287" s="435"/>
      <c r="R287" s="435"/>
      <c r="S287" s="435"/>
      <c r="T287" s="435"/>
      <c r="U287" s="435"/>
      <c r="V287" s="740"/>
      <c r="W287" s="744"/>
      <c r="X287" s="435"/>
      <c r="Y287" s="781"/>
      <c r="Z287" s="435"/>
      <c r="AA287" s="435"/>
      <c r="AB287" s="743"/>
      <c r="AC287" s="740"/>
      <c r="AD287" s="435"/>
      <c r="AE287" s="435"/>
      <c r="AF287" s="324"/>
      <c r="AG287" s="180"/>
      <c r="AH287" s="155"/>
      <c r="AI287" s="322"/>
      <c r="AJ287" s="155"/>
      <c r="AK287" s="132"/>
    </row>
    <row r="288">
      <c r="A288" s="435"/>
      <c r="B288" s="437"/>
      <c r="C288" s="437"/>
      <c r="D288" s="437"/>
      <c r="E288" s="435"/>
      <c r="F288" s="314"/>
      <c r="G288" s="314"/>
      <c r="H288" s="740"/>
      <c r="I288" s="435"/>
      <c r="J288" s="435"/>
      <c r="K288" s="435"/>
      <c r="L288" s="435"/>
      <c r="M288" s="839"/>
      <c r="N288" s="740"/>
      <c r="O288" s="318"/>
      <c r="P288" s="435"/>
      <c r="Q288" s="435"/>
      <c r="R288" s="435"/>
      <c r="S288" s="435"/>
      <c r="T288" s="435"/>
      <c r="U288" s="435"/>
      <c r="V288" s="740"/>
      <c r="W288" s="744"/>
      <c r="X288" s="435"/>
      <c r="Y288" s="781"/>
      <c r="Z288" s="435"/>
      <c r="AA288" s="435"/>
      <c r="AB288" s="743"/>
      <c r="AC288" s="740"/>
      <c r="AD288" s="435"/>
      <c r="AE288" s="435"/>
      <c r="AF288" s="324"/>
      <c r="AG288" s="180"/>
      <c r="AH288" s="155"/>
      <c r="AI288" s="322"/>
      <c r="AJ288" s="155"/>
      <c r="AK288" s="132"/>
    </row>
    <row r="289">
      <c r="A289" s="474"/>
      <c r="B289" s="437"/>
      <c r="C289" s="437"/>
      <c r="D289" s="437"/>
      <c r="E289" s="435"/>
      <c r="F289" s="314"/>
      <c r="G289" s="314"/>
      <c r="H289" s="740"/>
      <c r="I289" s="435"/>
      <c r="J289" s="435"/>
      <c r="K289" s="435"/>
      <c r="L289" s="435"/>
      <c r="M289" s="839"/>
      <c r="N289" s="740"/>
      <c r="O289" s="318"/>
      <c r="P289" s="435"/>
      <c r="Q289" s="435"/>
      <c r="R289" s="435"/>
      <c r="S289" s="435"/>
      <c r="T289" s="435"/>
      <c r="U289" s="435"/>
      <c r="V289" s="740"/>
      <c r="W289" s="744"/>
      <c r="X289" s="435"/>
      <c r="Y289" s="781"/>
      <c r="Z289" s="435"/>
      <c r="AA289" s="435"/>
      <c r="AB289" s="743"/>
      <c r="AC289" s="740"/>
      <c r="AD289" s="435"/>
      <c r="AE289" s="435"/>
      <c r="AF289" s="324"/>
      <c r="AG289" s="180"/>
      <c r="AH289" s="155"/>
      <c r="AI289" s="322"/>
      <c r="AJ289" s="155"/>
      <c r="AK289" s="132"/>
    </row>
    <row r="290">
      <c r="A290" s="474"/>
      <c r="B290" s="437"/>
      <c r="C290" s="313"/>
      <c r="D290" s="437"/>
      <c r="E290" s="435"/>
      <c r="F290" s="314"/>
      <c r="G290" s="314"/>
      <c r="H290" s="740"/>
      <c r="I290" s="435"/>
      <c r="J290" s="435"/>
      <c r="K290" s="314"/>
      <c r="L290" s="314"/>
      <c r="M290" s="736"/>
      <c r="N290" s="740"/>
      <c r="O290" s="318"/>
      <c r="P290" s="314"/>
      <c r="Q290" s="435"/>
      <c r="R290" s="314"/>
      <c r="S290" s="435"/>
      <c r="T290" s="435"/>
      <c r="U290" s="435"/>
      <c r="V290" s="740"/>
      <c r="W290" s="744"/>
      <c r="X290" s="435"/>
      <c r="Y290" s="781"/>
      <c r="Z290" s="435"/>
      <c r="AA290" s="435"/>
      <c r="AB290" s="743"/>
      <c r="AC290" s="740"/>
      <c r="AD290" s="435"/>
      <c r="AE290" s="435"/>
      <c r="AF290" s="324"/>
      <c r="AG290" s="180"/>
      <c r="AH290" s="155"/>
      <c r="AI290" s="322"/>
      <c r="AJ290" s="155"/>
      <c r="AK290" s="132"/>
    </row>
    <row r="291">
      <c r="A291" s="474"/>
      <c r="B291" s="313"/>
      <c r="C291" s="313"/>
      <c r="D291" s="313"/>
      <c r="E291" s="314"/>
      <c r="F291" s="314"/>
      <c r="G291" s="314"/>
      <c r="H291" s="318"/>
      <c r="I291" s="314"/>
      <c r="J291" s="314"/>
      <c r="K291" s="435"/>
      <c r="L291" s="314"/>
      <c r="M291" s="736"/>
      <c r="N291" s="318"/>
      <c r="O291" s="318"/>
      <c r="P291" s="435"/>
      <c r="Q291" s="314"/>
      <c r="R291" s="314"/>
      <c r="S291" s="314"/>
      <c r="T291" s="314"/>
      <c r="U291" s="314"/>
      <c r="V291" s="318"/>
      <c r="W291" s="315"/>
      <c r="X291" s="314"/>
      <c r="Y291" s="776"/>
      <c r="Z291" s="314"/>
      <c r="AA291" s="314"/>
      <c r="AB291" s="697"/>
      <c r="AC291" s="318"/>
      <c r="AD291" s="314"/>
      <c r="AE291" s="314"/>
      <c r="AF291" s="324"/>
      <c r="AG291" s="180"/>
      <c r="AH291" s="155"/>
      <c r="AI291" s="322"/>
      <c r="AJ291" s="155"/>
      <c r="AK291" s="132"/>
    </row>
    <row r="292">
      <c r="A292" s="474"/>
      <c r="B292" s="313"/>
      <c r="C292" s="437"/>
      <c r="D292" s="437"/>
      <c r="E292" s="314"/>
      <c r="F292" s="314"/>
      <c r="G292" s="314"/>
      <c r="H292" s="318"/>
      <c r="I292" s="435"/>
      <c r="J292" s="314"/>
      <c r="K292" s="314"/>
      <c r="L292" s="314"/>
      <c r="M292" s="736"/>
      <c r="N292" s="318"/>
      <c r="O292" s="318"/>
      <c r="P292" s="314"/>
      <c r="Q292" s="314"/>
      <c r="R292" s="314"/>
      <c r="S292" s="314"/>
      <c r="T292" s="314"/>
      <c r="U292" s="314"/>
      <c r="V292" s="318"/>
      <c r="W292" s="315"/>
      <c r="X292" s="314"/>
      <c r="Y292" s="776"/>
      <c r="Z292" s="314"/>
      <c r="AA292" s="314"/>
      <c r="AB292" s="697"/>
      <c r="AC292" s="318"/>
      <c r="AD292" s="314"/>
      <c r="AE292" s="314"/>
      <c r="AF292" s="324"/>
      <c r="AG292" s="180"/>
      <c r="AH292" s="155"/>
      <c r="AI292" s="322"/>
      <c r="AJ292" s="155"/>
      <c r="AK292" s="132"/>
    </row>
    <row r="293">
      <c r="A293" s="474"/>
      <c r="B293" s="313"/>
      <c r="C293" s="313"/>
      <c r="D293" s="313"/>
      <c r="E293" s="314"/>
      <c r="F293" s="314"/>
      <c r="G293" s="314"/>
      <c r="H293" s="318"/>
      <c r="I293" s="314"/>
      <c r="J293" s="314"/>
      <c r="K293" s="435"/>
      <c r="L293" s="314"/>
      <c r="M293" s="736"/>
      <c r="N293" s="318"/>
      <c r="O293" s="318"/>
      <c r="P293" s="314"/>
      <c r="Q293" s="314"/>
      <c r="R293" s="314"/>
      <c r="S293" s="314"/>
      <c r="T293" s="314"/>
      <c r="U293" s="314"/>
      <c r="V293" s="318"/>
      <c r="W293" s="315"/>
      <c r="X293" s="314"/>
      <c r="Y293" s="776"/>
      <c r="Z293" s="314"/>
      <c r="AA293" s="314"/>
      <c r="AB293" s="697"/>
      <c r="AC293" s="318"/>
      <c r="AD293" s="314"/>
      <c r="AE293" s="314"/>
      <c r="AF293" s="324"/>
      <c r="AG293" s="180"/>
      <c r="AH293" s="155"/>
      <c r="AI293" s="322"/>
      <c r="AJ293" s="155"/>
      <c r="AK293" s="132"/>
    </row>
    <row r="294">
      <c r="A294" s="458"/>
      <c r="B294" s="313"/>
      <c r="C294" s="437"/>
      <c r="D294" s="313"/>
      <c r="E294" s="314"/>
      <c r="F294" s="314"/>
      <c r="G294" s="314"/>
      <c r="H294" s="318"/>
      <c r="I294" s="314"/>
      <c r="J294" s="435"/>
      <c r="K294" s="435"/>
      <c r="L294" s="314"/>
      <c r="M294" s="736"/>
      <c r="N294" s="318"/>
      <c r="O294" s="318"/>
      <c r="P294" s="314"/>
      <c r="Q294" s="314"/>
      <c r="R294" s="314"/>
      <c r="S294" s="314"/>
      <c r="T294" s="314"/>
      <c r="U294" s="314"/>
      <c r="V294" s="318"/>
      <c r="W294" s="315"/>
      <c r="X294" s="314"/>
      <c r="Y294" s="776"/>
      <c r="Z294" s="314"/>
      <c r="AA294" s="314"/>
      <c r="AB294" s="697"/>
      <c r="AC294" s="318"/>
      <c r="AD294" s="314"/>
      <c r="AE294" s="314"/>
      <c r="AF294" s="324"/>
      <c r="AG294" s="180"/>
      <c r="AH294" s="155"/>
      <c r="AI294" s="322"/>
      <c r="AJ294" s="155"/>
      <c r="AK294" s="132"/>
    </row>
    <row r="295">
      <c r="A295" s="435"/>
      <c r="B295" s="313"/>
      <c r="C295" s="437"/>
      <c r="D295" s="437"/>
      <c r="E295" s="435"/>
      <c r="F295" s="314"/>
      <c r="G295" s="314"/>
      <c r="H295" s="740"/>
      <c r="I295" s="314"/>
      <c r="J295" s="314"/>
      <c r="K295" s="435"/>
      <c r="L295" s="314"/>
      <c r="M295" s="839"/>
      <c r="N295" s="740"/>
      <c r="O295" s="318"/>
      <c r="P295" s="314"/>
      <c r="Q295" s="314"/>
      <c r="R295" s="435"/>
      <c r="S295" s="314"/>
      <c r="T295" s="314"/>
      <c r="U295" s="314"/>
      <c r="V295" s="318"/>
      <c r="W295" s="315"/>
      <c r="X295" s="314"/>
      <c r="Y295" s="776"/>
      <c r="Z295" s="314"/>
      <c r="AA295" s="314"/>
      <c r="AB295" s="697"/>
      <c r="AC295" s="318"/>
      <c r="AD295" s="314"/>
      <c r="AE295" s="314"/>
      <c r="AF295" s="324"/>
      <c r="AG295" s="180"/>
      <c r="AH295" s="155"/>
      <c r="AI295" s="322"/>
      <c r="AJ295" s="155"/>
      <c r="AK295" s="132"/>
    </row>
    <row r="296">
      <c r="A296" s="435"/>
      <c r="B296" s="437"/>
      <c r="C296" s="313"/>
      <c r="D296" s="313"/>
      <c r="E296" s="314"/>
      <c r="F296" s="314"/>
      <c r="G296" s="314"/>
      <c r="H296" s="318"/>
      <c r="I296" s="314"/>
      <c r="J296" s="314"/>
      <c r="K296" s="314"/>
      <c r="L296" s="314"/>
      <c r="M296" s="736"/>
      <c r="N296" s="318"/>
      <c r="O296" s="318"/>
      <c r="P296" s="435"/>
      <c r="Q296" s="314"/>
      <c r="R296" s="314"/>
      <c r="S296" s="314"/>
      <c r="T296" s="314"/>
      <c r="U296" s="314"/>
      <c r="V296" s="318"/>
      <c r="W296" s="315"/>
      <c r="X296" s="314"/>
      <c r="Y296" s="776"/>
      <c r="Z296" s="314"/>
      <c r="AA296" s="314"/>
      <c r="AB296" s="697"/>
      <c r="AC296" s="318"/>
      <c r="AD296" s="314"/>
      <c r="AE296" s="314"/>
      <c r="AF296" s="324"/>
      <c r="AG296" s="180"/>
      <c r="AH296" s="155"/>
      <c r="AI296" s="322"/>
      <c r="AJ296" s="155"/>
      <c r="AK296" s="132"/>
    </row>
    <row r="297">
      <c r="A297" s="435"/>
      <c r="B297" s="437"/>
      <c r="C297" s="313"/>
      <c r="D297" s="313"/>
      <c r="E297" s="314"/>
      <c r="F297" s="314"/>
      <c r="G297" s="314"/>
      <c r="H297" s="318"/>
      <c r="I297" s="314"/>
      <c r="J297" s="314"/>
      <c r="K297" s="314"/>
      <c r="L297" s="314"/>
      <c r="M297" s="736"/>
      <c r="N297" s="318"/>
      <c r="O297" s="318"/>
      <c r="P297" s="314"/>
      <c r="Q297" s="435"/>
      <c r="R297" s="314"/>
      <c r="S297" s="435"/>
      <c r="T297" s="435"/>
      <c r="U297" s="435"/>
      <c r="V297" s="740"/>
      <c r="W297" s="744"/>
      <c r="X297" s="435"/>
      <c r="Y297" s="781"/>
      <c r="Z297" s="435"/>
      <c r="AA297" s="435"/>
      <c r="AB297" s="743"/>
      <c r="AC297" s="740"/>
      <c r="AD297" s="435"/>
      <c r="AE297" s="435"/>
      <c r="AF297" s="324"/>
      <c r="AG297" s="180"/>
      <c r="AH297" s="155"/>
      <c r="AI297" s="322"/>
      <c r="AJ297" s="155"/>
      <c r="AK297" s="132"/>
    </row>
    <row r="298">
      <c r="A298" s="435"/>
      <c r="B298" s="313"/>
      <c r="C298" s="437"/>
      <c r="D298" s="313"/>
      <c r="E298" s="314"/>
      <c r="F298" s="314"/>
      <c r="G298" s="314"/>
      <c r="H298" s="318"/>
      <c r="I298" s="314"/>
      <c r="J298" s="314"/>
      <c r="K298" s="314"/>
      <c r="L298" s="314"/>
      <c r="M298" s="736"/>
      <c r="N298" s="318"/>
      <c r="O298" s="318"/>
      <c r="P298" s="314"/>
      <c r="Q298" s="314"/>
      <c r="R298" s="435"/>
      <c r="S298" s="314"/>
      <c r="T298" s="314"/>
      <c r="U298" s="314"/>
      <c r="V298" s="318"/>
      <c r="W298" s="315"/>
      <c r="X298" s="314"/>
      <c r="Y298" s="776"/>
      <c r="Z298" s="314"/>
      <c r="AA298" s="314"/>
      <c r="AB298" s="697"/>
      <c r="AC298" s="318"/>
      <c r="AD298" s="314"/>
      <c r="AE298" s="314"/>
      <c r="AF298" s="324"/>
      <c r="AG298" s="180"/>
      <c r="AH298" s="155"/>
      <c r="AI298" s="322"/>
      <c r="AJ298" s="155"/>
      <c r="AK298" s="132"/>
    </row>
    <row r="299">
      <c r="A299" s="435"/>
      <c r="B299" s="313"/>
      <c r="C299" s="313"/>
      <c r="D299" s="313"/>
      <c r="E299" s="314"/>
      <c r="F299" s="314"/>
      <c r="G299" s="314"/>
      <c r="H299" s="318"/>
      <c r="I299" s="314"/>
      <c r="J299" s="314"/>
      <c r="K299" s="435"/>
      <c r="L299" s="314"/>
      <c r="M299" s="839"/>
      <c r="N299" s="318"/>
      <c r="O299" s="318"/>
      <c r="P299" s="314"/>
      <c r="Q299" s="435"/>
      <c r="R299" s="314"/>
      <c r="S299" s="314"/>
      <c r="T299" s="314"/>
      <c r="U299" s="314"/>
      <c r="V299" s="318"/>
      <c r="W299" s="315"/>
      <c r="X299" s="314"/>
      <c r="Y299" s="776"/>
      <c r="Z299" s="314"/>
      <c r="AA299" s="314"/>
      <c r="AB299" s="697"/>
      <c r="AC299" s="318"/>
      <c r="AD299" s="314"/>
      <c r="AE299" s="314"/>
      <c r="AF299" s="324"/>
      <c r="AG299" s="180"/>
      <c r="AH299" s="155"/>
      <c r="AI299" s="322"/>
      <c r="AJ299" s="155"/>
      <c r="AK299" s="132"/>
    </row>
    <row r="300">
      <c r="A300" s="435"/>
      <c r="B300" s="313"/>
      <c r="C300" s="437"/>
      <c r="D300" s="437"/>
      <c r="E300" s="314"/>
      <c r="F300" s="314"/>
      <c r="G300" s="314"/>
      <c r="H300" s="318"/>
      <c r="I300" s="314"/>
      <c r="J300" s="314"/>
      <c r="K300" s="435"/>
      <c r="L300" s="314"/>
      <c r="M300" s="839"/>
      <c r="N300" s="318"/>
      <c r="O300" s="318"/>
      <c r="P300" s="314"/>
      <c r="Q300" s="435"/>
      <c r="R300" s="314"/>
      <c r="S300" s="314"/>
      <c r="T300" s="314"/>
      <c r="U300" s="314"/>
      <c r="V300" s="318"/>
      <c r="W300" s="315"/>
      <c r="X300" s="314"/>
      <c r="Y300" s="776"/>
      <c r="Z300" s="314"/>
      <c r="AA300" s="314"/>
      <c r="AB300" s="697"/>
      <c r="AC300" s="318"/>
      <c r="AD300" s="314"/>
      <c r="AE300" s="314"/>
      <c r="AF300" s="324"/>
      <c r="AG300" s="180"/>
      <c r="AH300" s="155"/>
      <c r="AI300" s="322"/>
      <c r="AJ300" s="155"/>
      <c r="AK300" s="132"/>
    </row>
    <row r="301">
      <c r="A301" s="476"/>
      <c r="AH301" s="176"/>
      <c r="AI301" s="322"/>
      <c r="AJ301" s="155"/>
      <c r="AK301" s="132"/>
    </row>
    <row r="302">
      <c r="A302" s="178"/>
      <c r="AI302" s="322"/>
      <c r="AJ302" s="155"/>
      <c r="AK302" s="132"/>
    </row>
    <row r="303">
      <c r="A303" s="474"/>
      <c r="B303" s="437"/>
      <c r="C303" s="437"/>
      <c r="D303" s="437"/>
      <c r="E303" s="435"/>
      <c r="F303" s="314"/>
      <c r="G303" s="314"/>
      <c r="H303" s="318"/>
      <c r="I303" s="435"/>
      <c r="J303" s="435"/>
      <c r="K303" s="435"/>
      <c r="L303" s="435"/>
      <c r="M303" s="839"/>
      <c r="N303" s="740"/>
      <c r="O303" s="318"/>
      <c r="P303" s="435"/>
      <c r="Q303" s="435"/>
      <c r="R303" s="435"/>
      <c r="S303" s="435"/>
      <c r="T303" s="435"/>
      <c r="U303" s="435"/>
      <c r="V303" s="740"/>
      <c r="W303" s="744"/>
      <c r="X303" s="435"/>
      <c r="Y303" s="781"/>
      <c r="Z303" s="435"/>
      <c r="AA303" s="435"/>
      <c r="AB303" s="743"/>
      <c r="AC303" s="740"/>
      <c r="AD303" s="435"/>
      <c r="AE303" s="435"/>
      <c r="AF303" s="324"/>
      <c r="AG303" s="180"/>
      <c r="AH303" s="155"/>
      <c r="AI303" s="322"/>
      <c r="AJ303" s="155"/>
      <c r="AK303" s="132"/>
    </row>
    <row r="304">
      <c r="A304" s="474"/>
      <c r="B304" s="313"/>
      <c r="C304" s="437"/>
      <c r="D304" s="437"/>
      <c r="E304" s="435"/>
      <c r="F304" s="314"/>
      <c r="G304" s="314"/>
      <c r="H304" s="740"/>
      <c r="I304" s="314"/>
      <c r="J304" s="435"/>
      <c r="K304" s="435"/>
      <c r="L304" s="435"/>
      <c r="M304" s="736"/>
      <c r="N304" s="318"/>
      <c r="O304" s="318"/>
      <c r="P304" s="435"/>
      <c r="Q304" s="435"/>
      <c r="R304" s="435"/>
      <c r="S304" s="435"/>
      <c r="T304" s="435"/>
      <c r="U304" s="435"/>
      <c r="V304" s="740"/>
      <c r="W304" s="744"/>
      <c r="X304" s="435"/>
      <c r="Y304" s="781"/>
      <c r="Z304" s="435"/>
      <c r="AA304" s="435"/>
      <c r="AB304" s="743"/>
      <c r="AC304" s="740"/>
      <c r="AD304" s="435"/>
      <c r="AE304" s="435"/>
      <c r="AF304" s="324"/>
      <c r="AG304" s="180"/>
      <c r="AH304" s="155"/>
      <c r="AI304" s="322"/>
      <c r="AJ304" s="155"/>
      <c r="AK304" s="132"/>
    </row>
    <row r="305">
      <c r="A305" s="477"/>
      <c r="B305" s="437"/>
      <c r="C305" s="437"/>
      <c r="D305" s="437"/>
      <c r="E305" s="314"/>
      <c r="F305" s="314"/>
      <c r="G305" s="314"/>
      <c r="H305" s="740"/>
      <c r="I305" s="435"/>
      <c r="J305" s="435"/>
      <c r="K305" s="435"/>
      <c r="L305" s="435"/>
      <c r="M305" s="839"/>
      <c r="N305" s="740"/>
      <c r="O305" s="318"/>
      <c r="P305" s="435"/>
      <c r="Q305" s="435"/>
      <c r="R305" s="435"/>
      <c r="S305" s="435"/>
      <c r="T305" s="435"/>
      <c r="U305" s="435"/>
      <c r="V305" s="740"/>
      <c r="W305" s="744"/>
      <c r="X305" s="435"/>
      <c r="Y305" s="781"/>
      <c r="Z305" s="435"/>
      <c r="AA305" s="435"/>
      <c r="AB305" s="743"/>
      <c r="AC305" s="740"/>
      <c r="AD305" s="435"/>
      <c r="AE305" s="435"/>
      <c r="AF305" s="324"/>
      <c r="AG305" s="180"/>
      <c r="AH305" s="155"/>
      <c r="AI305" s="322"/>
      <c r="AJ305" s="155"/>
      <c r="AK305" s="132"/>
    </row>
    <row r="306">
      <c r="A306" s="477"/>
      <c r="B306" s="437"/>
      <c r="C306" s="437"/>
      <c r="D306" s="437"/>
      <c r="E306" s="314"/>
      <c r="F306" s="314"/>
      <c r="G306" s="314"/>
      <c r="H306" s="740"/>
      <c r="I306" s="314"/>
      <c r="J306" s="314"/>
      <c r="K306" s="435"/>
      <c r="L306" s="435"/>
      <c r="M306" s="839"/>
      <c r="N306" s="318"/>
      <c r="O306" s="318"/>
      <c r="P306" s="435"/>
      <c r="Q306" s="435"/>
      <c r="R306" s="435"/>
      <c r="S306" s="435"/>
      <c r="T306" s="435"/>
      <c r="U306" s="435"/>
      <c r="V306" s="740"/>
      <c r="W306" s="744"/>
      <c r="X306" s="435"/>
      <c r="Y306" s="781"/>
      <c r="Z306" s="435"/>
      <c r="AA306" s="435"/>
      <c r="AB306" s="743"/>
      <c r="AC306" s="740"/>
      <c r="AD306" s="435"/>
      <c r="AE306" s="435"/>
      <c r="AF306" s="324"/>
      <c r="AG306" s="180"/>
      <c r="AH306" s="155"/>
      <c r="AI306" s="322"/>
      <c r="AJ306" s="155"/>
      <c r="AK306" s="132"/>
    </row>
    <row r="307">
      <c r="A307" s="477"/>
      <c r="B307" s="437"/>
      <c r="C307" s="437"/>
      <c r="D307" s="437"/>
      <c r="E307" s="435"/>
      <c r="F307" s="314"/>
      <c r="G307" s="314"/>
      <c r="H307" s="740"/>
      <c r="I307" s="435"/>
      <c r="J307" s="435"/>
      <c r="K307" s="435"/>
      <c r="L307" s="435"/>
      <c r="M307" s="839"/>
      <c r="N307" s="740"/>
      <c r="O307" s="318"/>
      <c r="P307" s="435"/>
      <c r="Q307" s="435"/>
      <c r="R307" s="435"/>
      <c r="S307" s="435"/>
      <c r="T307" s="435"/>
      <c r="U307" s="435"/>
      <c r="V307" s="740"/>
      <c r="W307" s="744"/>
      <c r="X307" s="435"/>
      <c r="Y307" s="781"/>
      <c r="Z307" s="435"/>
      <c r="AA307" s="435"/>
      <c r="AB307" s="743"/>
      <c r="AC307" s="740"/>
      <c r="AD307" s="435"/>
      <c r="AE307" s="435"/>
      <c r="AF307" s="324"/>
      <c r="AG307" s="180"/>
      <c r="AH307" s="155"/>
      <c r="AI307" s="322"/>
      <c r="AJ307" s="155"/>
      <c r="AK307" s="132"/>
    </row>
    <row r="308">
      <c r="A308" s="474"/>
      <c r="B308" s="313"/>
      <c r="C308" s="437"/>
      <c r="D308" s="313"/>
      <c r="E308" s="435"/>
      <c r="F308" s="314"/>
      <c r="G308" s="314"/>
      <c r="H308" s="740"/>
      <c r="I308" s="314"/>
      <c r="J308" s="435"/>
      <c r="K308" s="435"/>
      <c r="L308" s="314"/>
      <c r="M308" s="839"/>
      <c r="N308" s="318"/>
      <c r="O308" s="318"/>
      <c r="P308" s="435"/>
      <c r="Q308" s="435"/>
      <c r="R308" s="435"/>
      <c r="S308" s="435"/>
      <c r="T308" s="435"/>
      <c r="U308" s="435"/>
      <c r="V308" s="740"/>
      <c r="W308" s="744"/>
      <c r="X308" s="435"/>
      <c r="Y308" s="781"/>
      <c r="Z308" s="435"/>
      <c r="AA308" s="435"/>
      <c r="AB308" s="743"/>
      <c r="AC308" s="740"/>
      <c r="AD308" s="435"/>
      <c r="AE308" s="435"/>
      <c r="AF308" s="324"/>
      <c r="AG308" s="180"/>
      <c r="AH308" s="155"/>
      <c r="AI308" s="322"/>
      <c r="AJ308" s="155"/>
      <c r="AK308" s="132"/>
    </row>
    <row r="309">
      <c r="A309" s="478"/>
      <c r="B309" s="437"/>
      <c r="C309" s="437"/>
      <c r="D309" s="437"/>
      <c r="E309" s="435"/>
      <c r="F309" s="314"/>
      <c r="G309" s="314"/>
      <c r="H309" s="740"/>
      <c r="I309" s="435"/>
      <c r="J309" s="435"/>
      <c r="K309" s="435"/>
      <c r="L309" s="435"/>
      <c r="M309" s="839"/>
      <c r="N309" s="740"/>
      <c r="O309" s="318"/>
      <c r="P309" s="435"/>
      <c r="Q309" s="435"/>
      <c r="R309" s="435"/>
      <c r="S309" s="435"/>
      <c r="T309" s="435"/>
      <c r="U309" s="435"/>
      <c r="V309" s="740"/>
      <c r="W309" s="744"/>
      <c r="X309" s="435"/>
      <c r="Y309" s="781"/>
      <c r="Z309" s="435"/>
      <c r="AA309" s="435"/>
      <c r="AB309" s="743"/>
      <c r="AC309" s="740"/>
      <c r="AD309" s="435"/>
      <c r="AE309" s="435"/>
      <c r="AF309" s="324"/>
      <c r="AG309" s="180"/>
      <c r="AH309" s="155"/>
      <c r="AI309" s="322"/>
      <c r="AJ309" s="155"/>
      <c r="AK309" s="132"/>
    </row>
    <row r="310">
      <c r="A310" s="478"/>
      <c r="B310" s="437"/>
      <c r="C310" s="437"/>
      <c r="D310" s="437"/>
      <c r="E310" s="435"/>
      <c r="F310" s="314"/>
      <c r="G310" s="314"/>
      <c r="H310" s="740"/>
      <c r="I310" s="435"/>
      <c r="J310" s="435"/>
      <c r="K310" s="435"/>
      <c r="L310" s="435"/>
      <c r="M310" s="839"/>
      <c r="N310" s="740"/>
      <c r="O310" s="318"/>
      <c r="P310" s="435"/>
      <c r="Q310" s="435"/>
      <c r="R310" s="435"/>
      <c r="S310" s="435"/>
      <c r="T310" s="435"/>
      <c r="U310" s="435"/>
      <c r="V310" s="740"/>
      <c r="W310" s="744"/>
      <c r="X310" s="435"/>
      <c r="Y310" s="781"/>
      <c r="Z310" s="435"/>
      <c r="AA310" s="435"/>
      <c r="AB310" s="743"/>
      <c r="AC310" s="740"/>
      <c r="AD310" s="435"/>
      <c r="AE310" s="435"/>
      <c r="AF310" s="324"/>
      <c r="AG310" s="180"/>
      <c r="AH310" s="155"/>
      <c r="AI310" s="322"/>
      <c r="AJ310" s="155"/>
      <c r="AK310" s="132"/>
    </row>
    <row r="311">
      <c r="A311" s="478"/>
      <c r="B311" s="437"/>
      <c r="C311" s="437"/>
      <c r="D311" s="313"/>
      <c r="E311" s="314"/>
      <c r="F311" s="314"/>
      <c r="G311" s="314"/>
      <c r="H311" s="740"/>
      <c r="I311" s="435"/>
      <c r="J311" s="314"/>
      <c r="K311" s="435"/>
      <c r="L311" s="314"/>
      <c r="M311" s="839"/>
      <c r="N311" s="318"/>
      <c r="O311" s="318"/>
      <c r="P311" s="314"/>
      <c r="Q311" s="314"/>
      <c r="R311" s="314"/>
      <c r="S311" s="435"/>
      <c r="T311" s="435"/>
      <c r="U311" s="435"/>
      <c r="V311" s="740"/>
      <c r="W311" s="744"/>
      <c r="X311" s="435"/>
      <c r="Y311" s="781"/>
      <c r="Z311" s="435"/>
      <c r="AA311" s="435"/>
      <c r="AB311" s="743"/>
      <c r="AC311" s="740"/>
      <c r="AD311" s="435"/>
      <c r="AE311" s="435"/>
      <c r="AF311" s="324"/>
      <c r="AG311" s="180"/>
      <c r="AH311" s="155"/>
      <c r="AI311" s="322"/>
      <c r="AJ311" s="155"/>
      <c r="AK311" s="132"/>
    </row>
    <row r="312">
      <c r="A312" s="477"/>
      <c r="B312" s="313"/>
      <c r="C312" s="437"/>
      <c r="D312" s="437"/>
      <c r="E312" s="435"/>
      <c r="F312" s="314"/>
      <c r="G312" s="314"/>
      <c r="H312" s="740"/>
      <c r="I312" s="435"/>
      <c r="J312" s="435"/>
      <c r="K312" s="435"/>
      <c r="L312" s="435"/>
      <c r="M312" s="839"/>
      <c r="N312" s="740"/>
      <c r="O312" s="318"/>
      <c r="P312" s="435"/>
      <c r="Q312" s="435"/>
      <c r="R312" s="435"/>
      <c r="S312" s="435"/>
      <c r="T312" s="435"/>
      <c r="U312" s="435"/>
      <c r="V312" s="740"/>
      <c r="W312" s="744"/>
      <c r="X312" s="435"/>
      <c r="Y312" s="781"/>
      <c r="Z312" s="435"/>
      <c r="AA312" s="435"/>
      <c r="AB312" s="743"/>
      <c r="AC312" s="740"/>
      <c r="AD312" s="435"/>
      <c r="AE312" s="435"/>
      <c r="AF312" s="324"/>
      <c r="AG312" s="180"/>
      <c r="AH312" s="155"/>
      <c r="AI312" s="322"/>
      <c r="AJ312" s="155"/>
      <c r="AK312" s="132"/>
    </row>
    <row r="313">
      <c r="A313" s="477"/>
      <c r="B313" s="313"/>
      <c r="C313" s="313"/>
      <c r="D313" s="313"/>
      <c r="E313" s="314"/>
      <c r="F313" s="314"/>
      <c r="G313" s="314"/>
      <c r="H313" s="740"/>
      <c r="I313" s="314"/>
      <c r="J313" s="314"/>
      <c r="K313" s="314"/>
      <c r="L313" s="314"/>
      <c r="M313" s="736"/>
      <c r="N313" s="740"/>
      <c r="O313" s="318"/>
      <c r="P313" s="314"/>
      <c r="Q313" s="435"/>
      <c r="R313" s="314"/>
      <c r="S313" s="314"/>
      <c r="T313" s="314"/>
      <c r="U313" s="314"/>
      <c r="V313" s="318"/>
      <c r="W313" s="315"/>
      <c r="X313" s="314"/>
      <c r="Y313" s="776"/>
      <c r="Z313" s="314"/>
      <c r="AA313" s="314"/>
      <c r="AB313" s="697"/>
      <c r="AC313" s="318"/>
      <c r="AD313" s="314"/>
      <c r="AE313" s="314"/>
      <c r="AF313" s="324"/>
      <c r="AG313" s="180"/>
      <c r="AH313" s="155"/>
      <c r="AI313" s="322"/>
      <c r="AJ313" s="155"/>
      <c r="AK313" s="132"/>
    </row>
    <row r="314">
      <c r="A314" s="477"/>
      <c r="B314" s="313"/>
      <c r="C314" s="313"/>
      <c r="D314" s="313"/>
      <c r="E314" s="314"/>
      <c r="F314" s="314"/>
      <c r="G314" s="314"/>
      <c r="H314" s="318"/>
      <c r="I314" s="314"/>
      <c r="J314" s="314"/>
      <c r="K314" s="314"/>
      <c r="L314" s="314"/>
      <c r="M314" s="736"/>
      <c r="N314" s="318"/>
      <c r="O314" s="318"/>
      <c r="P314" s="314"/>
      <c r="Q314" s="314"/>
      <c r="R314" s="314"/>
      <c r="S314" s="314"/>
      <c r="T314" s="314"/>
      <c r="U314" s="314"/>
      <c r="V314" s="318"/>
      <c r="W314" s="315"/>
      <c r="X314" s="314"/>
      <c r="Y314" s="776"/>
      <c r="Z314" s="314"/>
      <c r="AA314" s="314"/>
      <c r="AB314" s="697"/>
      <c r="AC314" s="318"/>
      <c r="AD314" s="314"/>
      <c r="AE314" s="314"/>
      <c r="AF314" s="324"/>
      <c r="AG314" s="180"/>
      <c r="AH314" s="155"/>
      <c r="AI314" s="322"/>
      <c r="AJ314" s="155"/>
      <c r="AK314" s="132"/>
    </row>
    <row r="315">
      <c r="A315" s="476"/>
      <c r="AH315" s="176"/>
      <c r="AI315" s="322"/>
      <c r="AJ315" s="155"/>
      <c r="AK315" s="132"/>
    </row>
    <row r="316">
      <c r="A316" s="178"/>
      <c r="AI316" s="322"/>
      <c r="AJ316" s="155"/>
      <c r="AK316" s="132"/>
    </row>
    <row r="317">
      <c r="A317" s="477"/>
      <c r="B317" s="437"/>
      <c r="C317" s="437"/>
      <c r="D317" s="437"/>
      <c r="E317" s="314"/>
      <c r="F317" s="314"/>
      <c r="G317" s="314"/>
      <c r="H317" s="318"/>
      <c r="I317" s="314"/>
      <c r="J317" s="314"/>
      <c r="K317" s="435"/>
      <c r="L317" s="435"/>
      <c r="M317" s="736"/>
      <c r="N317" s="318"/>
      <c r="O317" s="318"/>
      <c r="P317" s="314"/>
      <c r="Q317" s="435"/>
      <c r="R317" s="435"/>
      <c r="S317" s="435"/>
      <c r="T317" s="435"/>
      <c r="U317" s="435"/>
      <c r="V317" s="740"/>
      <c r="W317" s="744"/>
      <c r="X317" s="435"/>
      <c r="Y317" s="781"/>
      <c r="Z317" s="435"/>
      <c r="AA317" s="435"/>
      <c r="AB317" s="743"/>
      <c r="AC317" s="740"/>
      <c r="AD317" s="435"/>
      <c r="AE317" s="435"/>
      <c r="AF317" s="324"/>
      <c r="AG317" s="180"/>
      <c r="AH317" s="155"/>
      <c r="AI317" s="322"/>
      <c r="AJ317" s="155"/>
      <c r="AK317" s="132"/>
    </row>
    <row r="318">
      <c r="A318" s="477"/>
      <c r="B318" s="313"/>
      <c r="C318" s="437"/>
      <c r="D318" s="437"/>
      <c r="E318" s="314"/>
      <c r="F318" s="314"/>
      <c r="G318" s="314"/>
      <c r="H318" s="318"/>
      <c r="I318" s="435"/>
      <c r="J318" s="435"/>
      <c r="K318" s="435"/>
      <c r="L318" s="314"/>
      <c r="M318" s="839"/>
      <c r="N318" s="318"/>
      <c r="O318" s="318"/>
      <c r="P318" s="314"/>
      <c r="Q318" s="435"/>
      <c r="R318" s="435"/>
      <c r="S318" s="435"/>
      <c r="T318" s="435"/>
      <c r="U318" s="435"/>
      <c r="V318" s="740"/>
      <c r="W318" s="744"/>
      <c r="X318" s="435"/>
      <c r="Y318" s="781"/>
      <c r="Z318" s="435"/>
      <c r="AA318" s="435"/>
      <c r="AB318" s="743"/>
      <c r="AC318" s="740"/>
      <c r="AD318" s="435"/>
      <c r="AE318" s="435"/>
      <c r="AF318" s="324"/>
      <c r="AG318" s="180"/>
      <c r="AH318" s="155"/>
      <c r="AI318" s="322"/>
      <c r="AJ318" s="155"/>
      <c r="AK318" s="132"/>
    </row>
    <row r="319">
      <c r="A319" s="477"/>
      <c r="B319" s="313"/>
      <c r="C319" s="437"/>
      <c r="D319" s="437"/>
      <c r="E319" s="435"/>
      <c r="F319" s="314"/>
      <c r="G319" s="314"/>
      <c r="H319" s="740"/>
      <c r="I319" s="314"/>
      <c r="J319" s="314"/>
      <c r="K319" s="435"/>
      <c r="L319" s="314"/>
      <c r="M319" s="839"/>
      <c r="N319" s="740"/>
      <c r="O319" s="318"/>
      <c r="P319" s="435"/>
      <c r="Q319" s="435"/>
      <c r="R319" s="435"/>
      <c r="S319" s="435"/>
      <c r="T319" s="435"/>
      <c r="U319" s="435"/>
      <c r="V319" s="740"/>
      <c r="W319" s="744"/>
      <c r="X319" s="435"/>
      <c r="Y319" s="781"/>
      <c r="Z319" s="435"/>
      <c r="AA319" s="435"/>
      <c r="AB319" s="743"/>
      <c r="AC319" s="740"/>
      <c r="AD319" s="435"/>
      <c r="AE319" s="435"/>
      <c r="AF319" s="324"/>
      <c r="AG319" s="180"/>
      <c r="AH319" s="155"/>
      <c r="AI319" s="322"/>
      <c r="AJ319" s="155"/>
      <c r="AK319" s="132"/>
    </row>
    <row r="320">
      <c r="A320" s="479"/>
      <c r="B320" s="313"/>
      <c r="C320" s="313"/>
      <c r="D320" s="313"/>
      <c r="E320" s="314"/>
      <c r="F320" s="314"/>
      <c r="G320" s="314"/>
      <c r="H320" s="318"/>
      <c r="I320" s="314"/>
      <c r="J320" s="314"/>
      <c r="K320" s="314"/>
      <c r="L320" s="314"/>
      <c r="M320" s="736"/>
      <c r="N320" s="318"/>
      <c r="O320" s="318"/>
      <c r="P320" s="314"/>
      <c r="Q320" s="435"/>
      <c r="R320" s="314"/>
      <c r="S320" s="314"/>
      <c r="T320" s="314"/>
      <c r="U320" s="314"/>
      <c r="V320" s="318"/>
      <c r="W320" s="315"/>
      <c r="X320" s="314"/>
      <c r="Y320" s="776"/>
      <c r="Z320" s="314"/>
      <c r="AA320" s="314"/>
      <c r="AB320" s="697"/>
      <c r="AC320" s="318"/>
      <c r="AD320" s="314"/>
      <c r="AE320" s="314"/>
      <c r="AF320" s="324"/>
      <c r="AG320" s="180"/>
      <c r="AH320" s="155"/>
      <c r="AI320" s="322"/>
      <c r="AJ320" s="155"/>
      <c r="AK320" s="132"/>
    </row>
    <row r="321">
      <c r="A321" s="476"/>
      <c r="AH321" s="176"/>
      <c r="AI321" s="322"/>
      <c r="AJ321" s="155"/>
      <c r="AK321" s="132"/>
    </row>
    <row r="322">
      <c r="A322" s="178"/>
      <c r="AI322" s="322"/>
      <c r="AJ322" s="155"/>
      <c r="AK322" s="132"/>
    </row>
    <row r="323">
      <c r="A323" s="480"/>
      <c r="B323" s="313"/>
      <c r="C323" s="437"/>
      <c r="D323" s="313"/>
      <c r="E323" s="314"/>
      <c r="F323" s="314"/>
      <c r="G323" s="314"/>
      <c r="H323" s="318"/>
      <c r="I323" s="314"/>
      <c r="J323" s="435"/>
      <c r="K323" s="435"/>
      <c r="L323" s="314"/>
      <c r="M323" s="736"/>
      <c r="N323" s="318"/>
      <c r="O323" s="318"/>
      <c r="P323" s="314"/>
      <c r="Q323" s="435"/>
      <c r="R323" s="314"/>
      <c r="S323" s="314"/>
      <c r="T323" s="314"/>
      <c r="U323" s="314"/>
      <c r="V323" s="318"/>
      <c r="W323" s="315"/>
      <c r="X323" s="314"/>
      <c r="Y323" s="776"/>
      <c r="Z323" s="314"/>
      <c r="AA323" s="314"/>
      <c r="AB323" s="697"/>
      <c r="AC323" s="318"/>
      <c r="AD323" s="314"/>
      <c r="AE323" s="314"/>
      <c r="AF323" s="324"/>
      <c r="AG323" s="180"/>
      <c r="AH323" s="180"/>
      <c r="AI323" s="322"/>
      <c r="AJ323" s="155"/>
      <c r="AK323" s="132"/>
    </row>
    <row r="324">
      <c r="A324" s="480"/>
      <c r="B324" s="313"/>
      <c r="C324" s="437"/>
      <c r="D324" s="313"/>
      <c r="E324" s="314"/>
      <c r="F324" s="314"/>
      <c r="G324" s="314"/>
      <c r="H324" s="740"/>
      <c r="I324" s="314"/>
      <c r="J324" s="435"/>
      <c r="K324" s="435"/>
      <c r="L324" s="314"/>
      <c r="M324" s="839"/>
      <c r="N324" s="740"/>
      <c r="O324" s="318"/>
      <c r="P324" s="435"/>
      <c r="Q324" s="435"/>
      <c r="R324" s="314"/>
      <c r="S324" s="435"/>
      <c r="T324" s="435"/>
      <c r="U324" s="435"/>
      <c r="V324" s="740"/>
      <c r="W324" s="744"/>
      <c r="X324" s="435"/>
      <c r="Y324" s="781"/>
      <c r="Z324" s="435"/>
      <c r="AA324" s="435"/>
      <c r="AB324" s="743"/>
      <c r="AC324" s="740"/>
      <c r="AD324" s="435"/>
      <c r="AE324" s="435"/>
      <c r="AF324" s="324"/>
      <c r="AG324" s="180"/>
      <c r="AH324" s="180"/>
      <c r="AI324" s="322"/>
      <c r="AJ324" s="155"/>
      <c r="AK324" s="132"/>
    </row>
    <row r="325">
      <c r="A325" s="476"/>
      <c r="AH325" s="176"/>
      <c r="AI325" s="322"/>
      <c r="AJ325" s="155"/>
      <c r="AK325" s="132"/>
    </row>
    <row r="326">
      <c r="A326" s="178"/>
      <c r="AI326" s="322"/>
      <c r="AJ326" s="155"/>
      <c r="AK326" s="132"/>
    </row>
    <row r="327">
      <c r="A327" s="481"/>
      <c r="B327" s="313"/>
      <c r="C327" s="437"/>
      <c r="D327" s="437"/>
      <c r="E327" s="435"/>
      <c r="F327" s="314"/>
      <c r="G327" s="435"/>
      <c r="H327" s="740"/>
      <c r="I327" s="435"/>
      <c r="J327" s="314"/>
      <c r="K327" s="435"/>
      <c r="L327" s="435"/>
      <c r="M327" s="839"/>
      <c r="N327" s="318"/>
      <c r="O327" s="318"/>
      <c r="P327" s="435"/>
      <c r="Q327" s="435"/>
      <c r="R327" s="435"/>
      <c r="S327" s="435"/>
      <c r="T327" s="435"/>
      <c r="U327" s="435"/>
      <c r="V327" s="740"/>
      <c r="W327" s="744"/>
      <c r="X327" s="435"/>
      <c r="Y327" s="781"/>
      <c r="Z327" s="435"/>
      <c r="AA327" s="435"/>
      <c r="AB327" s="743"/>
      <c r="AC327" s="740"/>
      <c r="AD327" s="435"/>
      <c r="AE327" s="435"/>
      <c r="AF327" s="324"/>
      <c r="AG327" s="180"/>
      <c r="AH327" s="155"/>
      <c r="AI327" s="322"/>
      <c r="AJ327" s="155"/>
      <c r="AK327" s="132"/>
    </row>
    <row r="328">
      <c r="A328" s="435"/>
      <c r="B328" s="313"/>
      <c r="C328" s="437"/>
      <c r="D328" s="437"/>
      <c r="E328" s="314"/>
      <c r="F328" s="314"/>
      <c r="G328" s="314"/>
      <c r="H328" s="740"/>
      <c r="I328" s="314"/>
      <c r="J328" s="435"/>
      <c r="K328" s="435"/>
      <c r="L328" s="314"/>
      <c r="M328" s="736"/>
      <c r="N328" s="318"/>
      <c r="O328" s="318"/>
      <c r="P328" s="435"/>
      <c r="Q328" s="435"/>
      <c r="R328" s="435"/>
      <c r="S328" s="435"/>
      <c r="T328" s="435"/>
      <c r="U328" s="435"/>
      <c r="V328" s="740"/>
      <c r="W328" s="744"/>
      <c r="X328" s="435"/>
      <c r="Y328" s="781"/>
      <c r="Z328" s="435"/>
      <c r="AA328" s="435"/>
      <c r="AB328" s="743"/>
      <c r="AC328" s="740"/>
      <c r="AD328" s="435"/>
      <c r="AE328" s="435"/>
      <c r="AF328" s="324"/>
      <c r="AG328" s="180"/>
      <c r="AH328" s="155"/>
      <c r="AI328" s="322"/>
      <c r="AJ328" s="155"/>
      <c r="AK328" s="132"/>
    </row>
    <row r="329">
      <c r="A329" s="482"/>
      <c r="B329" s="313"/>
      <c r="C329" s="313"/>
      <c r="D329" s="437"/>
      <c r="E329" s="314"/>
      <c r="F329" s="314"/>
      <c r="G329" s="314"/>
      <c r="H329" s="318"/>
      <c r="I329" s="314"/>
      <c r="J329" s="314"/>
      <c r="K329" s="435"/>
      <c r="L329" s="314"/>
      <c r="M329" s="736"/>
      <c r="N329" s="318"/>
      <c r="O329" s="318"/>
      <c r="P329" s="314"/>
      <c r="Q329" s="314"/>
      <c r="R329" s="435"/>
      <c r="S329" s="314"/>
      <c r="T329" s="314"/>
      <c r="U329" s="314"/>
      <c r="V329" s="318"/>
      <c r="W329" s="315"/>
      <c r="X329" s="314"/>
      <c r="Y329" s="776"/>
      <c r="Z329" s="314"/>
      <c r="AA329" s="314"/>
      <c r="AB329" s="697"/>
      <c r="AC329" s="318"/>
      <c r="AD329" s="314"/>
      <c r="AE329" s="314"/>
      <c r="AF329" s="324"/>
      <c r="AG329" s="180"/>
      <c r="AH329" s="155"/>
      <c r="AI329" s="322"/>
      <c r="AJ329" s="155"/>
      <c r="AK329" s="132"/>
    </row>
    <row r="330">
      <c r="A330" s="482"/>
      <c r="B330" s="313"/>
      <c r="C330" s="437"/>
      <c r="D330" s="437"/>
      <c r="E330" s="435"/>
      <c r="F330" s="314"/>
      <c r="G330" s="314"/>
      <c r="H330" s="740"/>
      <c r="I330" s="435"/>
      <c r="J330" s="435"/>
      <c r="K330" s="435"/>
      <c r="L330" s="435"/>
      <c r="M330" s="839"/>
      <c r="N330" s="740"/>
      <c r="O330" s="318"/>
      <c r="P330" s="435"/>
      <c r="Q330" s="435"/>
      <c r="R330" s="435"/>
      <c r="S330" s="435"/>
      <c r="T330" s="435"/>
      <c r="U330" s="435"/>
      <c r="V330" s="740"/>
      <c r="W330" s="744"/>
      <c r="X330" s="435"/>
      <c r="Y330" s="781"/>
      <c r="Z330" s="435"/>
      <c r="AA330" s="435"/>
      <c r="AB330" s="743"/>
      <c r="AC330" s="740"/>
      <c r="AD330" s="435"/>
      <c r="AE330" s="435"/>
      <c r="AF330" s="324"/>
      <c r="AG330" s="180"/>
      <c r="AH330" s="155"/>
      <c r="AI330" s="322"/>
      <c r="AJ330" s="155"/>
      <c r="AK330" s="132"/>
    </row>
    <row r="331">
      <c r="A331" s="314"/>
      <c r="B331" s="313"/>
      <c r="C331" s="313"/>
      <c r="D331" s="313"/>
      <c r="E331" s="314"/>
      <c r="F331" s="314"/>
      <c r="G331" s="314"/>
      <c r="H331" s="318"/>
      <c r="I331" s="314"/>
      <c r="J331" s="314"/>
      <c r="K331" s="314"/>
      <c r="L331" s="314"/>
      <c r="M331" s="736"/>
      <c r="N331" s="318"/>
      <c r="O331" s="318"/>
      <c r="P331" s="314"/>
      <c r="Q331" s="314"/>
      <c r="R331" s="314"/>
      <c r="S331" s="314"/>
      <c r="T331" s="314"/>
      <c r="U331" s="314"/>
      <c r="V331" s="318"/>
      <c r="W331" s="315"/>
      <c r="X331" s="314"/>
      <c r="Y331" s="776"/>
      <c r="Z331" s="314"/>
      <c r="AA331" s="314"/>
      <c r="AB331" s="697"/>
      <c r="AC331" s="318"/>
      <c r="AD331" s="314"/>
      <c r="AE331" s="314"/>
      <c r="AF331" s="483"/>
      <c r="AH331" s="484"/>
      <c r="AI331" s="322"/>
      <c r="AJ331" s="155"/>
      <c r="AK331" s="132"/>
    </row>
    <row r="332">
      <c r="A332" s="314"/>
      <c r="B332" s="313"/>
      <c r="C332" s="313"/>
      <c r="D332" s="313"/>
      <c r="E332" s="314"/>
      <c r="F332" s="314"/>
      <c r="G332" s="314"/>
      <c r="H332" s="318"/>
      <c r="I332" s="314"/>
      <c r="J332" s="314"/>
      <c r="K332" s="314"/>
      <c r="L332" s="314"/>
      <c r="M332" s="736"/>
      <c r="N332" s="318"/>
      <c r="O332" s="318"/>
      <c r="P332" s="314"/>
      <c r="Q332" s="314"/>
      <c r="R332" s="314"/>
      <c r="S332" s="314"/>
      <c r="T332" s="314"/>
      <c r="U332" s="314"/>
      <c r="V332" s="318"/>
      <c r="W332" s="315"/>
      <c r="X332" s="314"/>
      <c r="Y332" s="776"/>
      <c r="Z332" s="314"/>
      <c r="AA332" s="314"/>
      <c r="AB332" s="697"/>
      <c r="AC332" s="318"/>
      <c r="AD332" s="314"/>
      <c r="AE332" s="314"/>
      <c r="AF332" s="324"/>
      <c r="AG332" s="155"/>
      <c r="AH332" s="155"/>
      <c r="AI332" s="322"/>
      <c r="AJ332" s="155"/>
      <c r="AK332" s="132"/>
    </row>
    <row r="333">
      <c r="A333" s="314"/>
      <c r="B333" s="313"/>
      <c r="C333" s="313"/>
      <c r="D333" s="313"/>
      <c r="E333" s="314"/>
      <c r="F333" s="314"/>
      <c r="G333" s="314"/>
      <c r="H333" s="318"/>
      <c r="I333" s="314"/>
      <c r="J333" s="314"/>
      <c r="K333" s="314"/>
      <c r="L333" s="314"/>
      <c r="M333" s="736"/>
      <c r="N333" s="318"/>
      <c r="O333" s="318"/>
      <c r="P333" s="314"/>
      <c r="Q333" s="314"/>
      <c r="R333" s="314"/>
      <c r="S333" s="314"/>
      <c r="T333" s="314"/>
      <c r="U333" s="314"/>
      <c r="V333" s="318"/>
      <c r="W333" s="315"/>
      <c r="X333" s="314"/>
      <c r="Y333" s="776"/>
      <c r="Z333" s="314"/>
      <c r="AA333" s="314"/>
      <c r="AB333" s="697"/>
      <c r="AC333" s="318"/>
      <c r="AD333" s="314"/>
      <c r="AE333" s="314"/>
      <c r="AF333" s="324"/>
      <c r="AG333" s="155"/>
      <c r="AH333" s="155"/>
      <c r="AI333" s="322"/>
      <c r="AJ333" s="155"/>
      <c r="AK333" s="132"/>
    </row>
    <row r="334">
      <c r="A334" s="314"/>
      <c r="B334" s="313"/>
      <c r="C334" s="313"/>
      <c r="D334" s="313"/>
      <c r="E334" s="314"/>
      <c r="F334" s="314"/>
      <c r="G334" s="314"/>
      <c r="H334" s="318"/>
      <c r="I334" s="314"/>
      <c r="J334" s="314"/>
      <c r="K334" s="314"/>
      <c r="L334" s="314"/>
      <c r="M334" s="736"/>
      <c r="N334" s="318"/>
      <c r="O334" s="318"/>
      <c r="P334" s="314"/>
      <c r="Q334" s="314"/>
      <c r="R334" s="314"/>
      <c r="S334" s="314"/>
      <c r="T334" s="314"/>
      <c r="U334" s="314"/>
      <c r="V334" s="318"/>
      <c r="W334" s="315"/>
      <c r="X334" s="314"/>
      <c r="Y334" s="776"/>
      <c r="Z334" s="314"/>
      <c r="AA334" s="314"/>
      <c r="AB334" s="697"/>
      <c r="AC334" s="318"/>
      <c r="AD334" s="314"/>
      <c r="AE334" s="314"/>
      <c r="AF334" s="324"/>
      <c r="AG334" s="155"/>
      <c r="AH334" s="155"/>
      <c r="AI334" s="322"/>
      <c r="AJ334" s="155"/>
      <c r="AK334" s="132"/>
    </row>
    <row r="335">
      <c r="A335" s="314"/>
      <c r="B335" s="313"/>
      <c r="C335" s="313"/>
      <c r="D335" s="313"/>
      <c r="E335" s="314"/>
      <c r="F335" s="314"/>
      <c r="G335" s="314"/>
      <c r="H335" s="318"/>
      <c r="I335" s="314"/>
      <c r="J335" s="314"/>
      <c r="K335" s="314"/>
      <c r="L335" s="314"/>
      <c r="M335" s="736"/>
      <c r="N335" s="318"/>
      <c r="O335" s="318"/>
      <c r="P335" s="314"/>
      <c r="Q335" s="314"/>
      <c r="R335" s="314"/>
      <c r="S335" s="314"/>
      <c r="T335" s="314"/>
      <c r="U335" s="314"/>
      <c r="V335" s="318"/>
      <c r="W335" s="315"/>
      <c r="X335" s="314"/>
      <c r="Y335" s="776"/>
      <c r="Z335" s="314"/>
      <c r="AA335" s="314"/>
      <c r="AB335" s="697"/>
      <c r="AC335" s="318"/>
      <c r="AD335" s="314"/>
      <c r="AE335" s="314"/>
      <c r="AF335" s="324"/>
      <c r="AG335" s="155"/>
      <c r="AH335" s="155"/>
      <c r="AI335" s="322"/>
      <c r="AJ335" s="155"/>
      <c r="AK335" s="132"/>
    </row>
    <row r="336">
      <c r="A336" s="314"/>
      <c r="B336" s="313"/>
      <c r="C336" s="313"/>
      <c r="D336" s="313"/>
      <c r="E336" s="314"/>
      <c r="F336" s="314"/>
      <c r="G336" s="314"/>
      <c r="H336" s="318"/>
      <c r="I336" s="314"/>
      <c r="J336" s="314"/>
      <c r="K336" s="314"/>
      <c r="L336" s="314"/>
      <c r="M336" s="736"/>
      <c r="N336" s="318"/>
      <c r="O336" s="318"/>
      <c r="P336" s="314"/>
      <c r="Q336" s="314"/>
      <c r="R336" s="314"/>
      <c r="S336" s="314"/>
      <c r="T336" s="314"/>
      <c r="U336" s="314"/>
      <c r="V336" s="318"/>
      <c r="W336" s="315"/>
      <c r="X336" s="314"/>
      <c r="Y336" s="776"/>
      <c r="Z336" s="314"/>
      <c r="AA336" s="314"/>
      <c r="AB336" s="697"/>
      <c r="AC336" s="318"/>
      <c r="AD336" s="314"/>
      <c r="AE336" s="314"/>
      <c r="AF336" s="324"/>
      <c r="AG336" s="155"/>
      <c r="AH336" s="155"/>
      <c r="AI336" s="322"/>
      <c r="AJ336" s="155"/>
      <c r="AK336" s="132"/>
    </row>
    <row r="337">
      <c r="A337" s="314"/>
      <c r="B337" s="313"/>
      <c r="C337" s="313"/>
      <c r="D337" s="313"/>
      <c r="E337" s="314"/>
      <c r="F337" s="314"/>
      <c r="G337" s="314"/>
      <c r="H337" s="318"/>
      <c r="I337" s="314"/>
      <c r="J337" s="314"/>
      <c r="K337" s="314"/>
      <c r="L337" s="314"/>
      <c r="M337" s="736"/>
      <c r="N337" s="318"/>
      <c r="O337" s="318"/>
      <c r="P337" s="314"/>
      <c r="Q337" s="314"/>
      <c r="R337" s="314"/>
      <c r="S337" s="314"/>
      <c r="T337" s="314"/>
      <c r="U337" s="314"/>
      <c r="V337" s="318"/>
      <c r="W337" s="315"/>
      <c r="X337" s="314"/>
      <c r="Y337" s="776"/>
      <c r="Z337" s="314"/>
      <c r="AA337" s="314"/>
      <c r="AB337" s="697"/>
      <c r="AC337" s="318"/>
      <c r="AD337" s="314"/>
      <c r="AE337" s="314"/>
      <c r="AF337" s="324"/>
      <c r="AG337" s="155"/>
      <c r="AH337" s="155"/>
      <c r="AI337" s="322"/>
      <c r="AJ337" s="155"/>
      <c r="AK337" s="132"/>
    </row>
    <row r="338">
      <c r="A338" s="314"/>
      <c r="B338" s="313"/>
      <c r="C338" s="313"/>
      <c r="D338" s="313"/>
      <c r="E338" s="314"/>
      <c r="F338" s="314"/>
      <c r="G338" s="314"/>
      <c r="H338" s="318"/>
      <c r="I338" s="314"/>
      <c r="J338" s="314"/>
      <c r="K338" s="314"/>
      <c r="L338" s="314"/>
      <c r="M338" s="736"/>
      <c r="N338" s="318"/>
      <c r="O338" s="318"/>
      <c r="P338" s="314"/>
      <c r="Q338" s="314"/>
      <c r="R338" s="314"/>
      <c r="S338" s="314"/>
      <c r="T338" s="314"/>
      <c r="U338" s="314"/>
      <c r="V338" s="318"/>
      <c r="W338" s="315"/>
      <c r="X338" s="314"/>
      <c r="Y338" s="776"/>
      <c r="Z338" s="314"/>
      <c r="AA338" s="314"/>
      <c r="AB338" s="697"/>
      <c r="AC338" s="318"/>
      <c r="AD338" s="314"/>
      <c r="AE338" s="314"/>
      <c r="AF338" s="324"/>
      <c r="AG338" s="155"/>
      <c r="AH338" s="155"/>
      <c r="AI338" s="322"/>
      <c r="AJ338" s="155"/>
      <c r="AK338" s="132"/>
    </row>
    <row r="339">
      <c r="A339" s="314"/>
      <c r="B339" s="313"/>
      <c r="C339" s="313"/>
      <c r="D339" s="313"/>
      <c r="E339" s="314"/>
      <c r="F339" s="314"/>
      <c r="G339" s="314"/>
      <c r="H339" s="318"/>
      <c r="I339" s="314"/>
      <c r="J339" s="314"/>
      <c r="K339" s="314"/>
      <c r="L339" s="314"/>
      <c r="M339" s="736"/>
      <c r="N339" s="318"/>
      <c r="O339" s="318"/>
      <c r="P339" s="314"/>
      <c r="Q339" s="314"/>
      <c r="R339" s="314"/>
      <c r="S339" s="314"/>
      <c r="T339" s="314"/>
      <c r="U339" s="314"/>
      <c r="V339" s="318"/>
      <c r="W339" s="315"/>
      <c r="X339" s="314"/>
      <c r="Y339" s="776"/>
      <c r="Z339" s="314"/>
      <c r="AA339" s="314"/>
      <c r="AB339" s="697"/>
      <c r="AC339" s="318"/>
      <c r="AD339" s="314"/>
      <c r="AE339" s="314"/>
      <c r="AF339" s="324"/>
      <c r="AG339" s="155"/>
      <c r="AH339" s="155"/>
      <c r="AI339" s="322"/>
      <c r="AJ339" s="155"/>
      <c r="AK339" s="132"/>
    </row>
    <row r="340">
      <c r="A340" s="314"/>
      <c r="B340" s="313"/>
      <c r="C340" s="313"/>
      <c r="D340" s="313"/>
      <c r="E340" s="314"/>
      <c r="F340" s="314"/>
      <c r="G340" s="314"/>
      <c r="H340" s="318"/>
      <c r="I340" s="314"/>
      <c r="J340" s="314"/>
      <c r="K340" s="314"/>
      <c r="L340" s="314"/>
      <c r="M340" s="736"/>
      <c r="N340" s="318"/>
      <c r="O340" s="318"/>
      <c r="P340" s="314"/>
      <c r="Q340" s="314"/>
      <c r="R340" s="314"/>
      <c r="S340" s="314"/>
      <c r="T340" s="314"/>
      <c r="U340" s="314"/>
      <c r="V340" s="318"/>
      <c r="W340" s="315"/>
      <c r="X340" s="314"/>
      <c r="Y340" s="776"/>
      <c r="Z340" s="314"/>
      <c r="AA340" s="314"/>
      <c r="AB340" s="697"/>
      <c r="AC340" s="318"/>
      <c r="AD340" s="314"/>
      <c r="AE340" s="314"/>
      <c r="AF340" s="324"/>
      <c r="AG340" s="155"/>
      <c r="AH340" s="155"/>
      <c r="AI340" s="322"/>
      <c r="AJ340" s="155"/>
      <c r="AK340" s="132"/>
    </row>
    <row r="341">
      <c r="A341" s="314"/>
      <c r="B341" s="313"/>
      <c r="C341" s="313"/>
      <c r="D341" s="313"/>
      <c r="E341" s="314"/>
      <c r="F341" s="314"/>
      <c r="G341" s="314"/>
      <c r="H341" s="318"/>
      <c r="I341" s="314"/>
      <c r="J341" s="314"/>
      <c r="K341" s="314"/>
      <c r="L341" s="314"/>
      <c r="M341" s="736"/>
      <c r="N341" s="318"/>
      <c r="O341" s="318"/>
      <c r="P341" s="314"/>
      <c r="Q341" s="314"/>
      <c r="R341" s="314"/>
      <c r="S341" s="314"/>
      <c r="T341" s="314"/>
      <c r="U341" s="314"/>
      <c r="V341" s="318"/>
      <c r="W341" s="315"/>
      <c r="X341" s="314"/>
      <c r="Y341" s="776"/>
      <c r="Z341" s="314"/>
      <c r="AA341" s="314"/>
      <c r="AB341" s="697"/>
      <c r="AC341" s="318"/>
      <c r="AD341" s="314"/>
      <c r="AE341" s="314"/>
      <c r="AF341" s="324"/>
      <c r="AG341" s="155"/>
      <c r="AH341" s="155"/>
      <c r="AI341" s="322"/>
      <c r="AJ341" s="155"/>
      <c r="AK341" s="132"/>
    </row>
    <row r="342">
      <c r="A342" s="314"/>
      <c r="B342" s="313"/>
      <c r="C342" s="313"/>
      <c r="D342" s="313"/>
      <c r="E342" s="314"/>
      <c r="F342" s="314"/>
      <c r="G342" s="314"/>
      <c r="H342" s="318"/>
      <c r="I342" s="314"/>
      <c r="J342" s="314"/>
      <c r="K342" s="314"/>
      <c r="L342" s="314"/>
      <c r="M342" s="736"/>
      <c r="N342" s="318"/>
      <c r="O342" s="318"/>
      <c r="P342" s="314"/>
      <c r="Q342" s="314"/>
      <c r="R342" s="314"/>
      <c r="S342" s="314"/>
      <c r="T342" s="314"/>
      <c r="U342" s="314"/>
      <c r="V342" s="318"/>
      <c r="W342" s="315"/>
      <c r="X342" s="314"/>
      <c r="Y342" s="776"/>
      <c r="Z342" s="314"/>
      <c r="AA342" s="314"/>
      <c r="AB342" s="697"/>
      <c r="AC342" s="318"/>
      <c r="AD342" s="314"/>
      <c r="AE342" s="314"/>
      <c r="AF342" s="324"/>
      <c r="AG342" s="155"/>
      <c r="AH342" s="155"/>
      <c r="AI342" s="322"/>
      <c r="AJ342" s="155"/>
      <c r="AK342" s="132"/>
    </row>
    <row r="343">
      <c r="A343" s="314"/>
      <c r="B343" s="313"/>
      <c r="C343" s="313"/>
      <c r="D343" s="313"/>
      <c r="E343" s="314"/>
      <c r="F343" s="314"/>
      <c r="G343" s="314"/>
      <c r="H343" s="318"/>
      <c r="I343" s="314"/>
      <c r="J343" s="314"/>
      <c r="K343" s="314"/>
      <c r="L343" s="314"/>
      <c r="M343" s="736"/>
      <c r="N343" s="318"/>
      <c r="O343" s="318"/>
      <c r="P343" s="314"/>
      <c r="Q343" s="314"/>
      <c r="R343" s="314"/>
      <c r="S343" s="314"/>
      <c r="T343" s="314"/>
      <c r="U343" s="314"/>
      <c r="V343" s="318"/>
      <c r="W343" s="315"/>
      <c r="X343" s="314"/>
      <c r="Y343" s="776"/>
      <c r="Z343" s="314"/>
      <c r="AA343" s="314"/>
      <c r="AB343" s="697"/>
      <c r="AC343" s="318"/>
      <c r="AD343" s="314"/>
      <c r="AE343" s="314"/>
      <c r="AF343" s="324"/>
      <c r="AG343" s="155"/>
      <c r="AH343" s="155"/>
      <c r="AI343" s="322"/>
      <c r="AJ343" s="155"/>
      <c r="AK343" s="132"/>
    </row>
    <row r="344">
      <c r="A344" s="314"/>
      <c r="B344" s="313"/>
      <c r="C344" s="313"/>
      <c r="D344" s="313"/>
      <c r="E344" s="314"/>
      <c r="F344" s="314"/>
      <c r="G344" s="314"/>
      <c r="H344" s="318"/>
      <c r="I344" s="314"/>
      <c r="J344" s="314"/>
      <c r="K344" s="314"/>
      <c r="L344" s="314"/>
      <c r="M344" s="736"/>
      <c r="N344" s="318"/>
      <c r="O344" s="318"/>
      <c r="P344" s="314"/>
      <c r="Q344" s="314"/>
      <c r="R344" s="314"/>
      <c r="S344" s="314"/>
      <c r="T344" s="314"/>
      <c r="U344" s="314"/>
      <c r="V344" s="318"/>
      <c r="W344" s="315"/>
      <c r="X344" s="314"/>
      <c r="Y344" s="776"/>
      <c r="Z344" s="314"/>
      <c r="AA344" s="314"/>
      <c r="AB344" s="697"/>
      <c r="AC344" s="318"/>
      <c r="AD344" s="314"/>
      <c r="AE344" s="314"/>
      <c r="AF344" s="324"/>
      <c r="AG344" s="155"/>
      <c r="AH344" s="155"/>
      <c r="AI344" s="322"/>
      <c r="AJ344" s="155"/>
      <c r="AK344" s="132"/>
    </row>
    <row r="345">
      <c r="A345" s="314"/>
      <c r="B345" s="313"/>
      <c r="C345" s="313"/>
      <c r="D345" s="313"/>
      <c r="E345" s="314"/>
      <c r="F345" s="314"/>
      <c r="G345" s="314"/>
      <c r="H345" s="318"/>
      <c r="I345" s="314"/>
      <c r="J345" s="314"/>
      <c r="K345" s="314"/>
      <c r="L345" s="314"/>
      <c r="M345" s="736"/>
      <c r="N345" s="318"/>
      <c r="O345" s="318"/>
      <c r="P345" s="314"/>
      <c r="Q345" s="314"/>
      <c r="R345" s="314"/>
      <c r="S345" s="314"/>
      <c r="T345" s="314"/>
      <c r="U345" s="314"/>
      <c r="V345" s="318"/>
      <c r="W345" s="315"/>
      <c r="X345" s="314"/>
      <c r="Y345" s="776"/>
      <c r="Z345" s="314"/>
      <c r="AA345" s="314"/>
      <c r="AB345" s="697"/>
      <c r="AC345" s="318"/>
      <c r="AD345" s="314"/>
      <c r="AE345" s="314"/>
      <c r="AF345" s="324"/>
      <c r="AG345" s="155"/>
      <c r="AH345" s="155"/>
      <c r="AI345" s="322"/>
      <c r="AJ345" s="155"/>
      <c r="AK345" s="132"/>
    </row>
    <row r="346">
      <c r="A346" s="314"/>
      <c r="B346" s="313"/>
      <c r="C346" s="313"/>
      <c r="D346" s="313"/>
      <c r="E346" s="314"/>
      <c r="F346" s="314"/>
      <c r="G346" s="314"/>
      <c r="H346" s="318"/>
      <c r="I346" s="314"/>
      <c r="J346" s="314"/>
      <c r="K346" s="314"/>
      <c r="L346" s="314"/>
      <c r="M346" s="736"/>
      <c r="N346" s="318"/>
      <c r="O346" s="318"/>
      <c r="P346" s="314"/>
      <c r="Q346" s="314"/>
      <c r="R346" s="314"/>
      <c r="S346" s="314"/>
      <c r="T346" s="314"/>
      <c r="U346" s="314"/>
      <c r="V346" s="318"/>
      <c r="W346" s="315"/>
      <c r="X346" s="314"/>
      <c r="Y346" s="776"/>
      <c r="Z346" s="314"/>
      <c r="AA346" s="314"/>
      <c r="AB346" s="697"/>
      <c r="AC346" s="318"/>
      <c r="AD346" s="314"/>
      <c r="AE346" s="314"/>
      <c r="AF346" s="324"/>
      <c r="AG346" s="155"/>
      <c r="AH346" s="155"/>
      <c r="AI346" s="322"/>
      <c r="AJ346" s="155"/>
      <c r="AK346" s="132"/>
    </row>
    <row r="347">
      <c r="A347" s="314"/>
      <c r="B347" s="313"/>
      <c r="C347" s="313"/>
      <c r="D347" s="313"/>
      <c r="E347" s="314"/>
      <c r="F347" s="314"/>
      <c r="G347" s="314"/>
      <c r="H347" s="318"/>
      <c r="I347" s="314"/>
      <c r="J347" s="314"/>
      <c r="K347" s="314"/>
      <c r="L347" s="314"/>
      <c r="M347" s="736"/>
      <c r="N347" s="318"/>
      <c r="O347" s="318"/>
      <c r="P347" s="314"/>
      <c r="Q347" s="314"/>
      <c r="R347" s="314"/>
      <c r="S347" s="314"/>
      <c r="T347" s="314"/>
      <c r="U347" s="314"/>
      <c r="V347" s="318"/>
      <c r="W347" s="315"/>
      <c r="X347" s="314"/>
      <c r="Y347" s="776"/>
      <c r="Z347" s="314"/>
      <c r="AA347" s="314"/>
      <c r="AB347" s="697"/>
      <c r="AC347" s="318"/>
      <c r="AD347" s="314"/>
      <c r="AE347" s="314"/>
      <c r="AF347" s="324"/>
      <c r="AG347" s="155"/>
      <c r="AH347" s="155"/>
      <c r="AI347" s="322"/>
      <c r="AJ347" s="155"/>
      <c r="AK347" s="132"/>
    </row>
    <row r="348">
      <c r="A348" s="314"/>
      <c r="B348" s="313"/>
      <c r="C348" s="313"/>
      <c r="D348" s="313"/>
      <c r="E348" s="314"/>
      <c r="F348" s="314"/>
      <c r="G348" s="314"/>
      <c r="H348" s="318"/>
      <c r="I348" s="314"/>
      <c r="J348" s="314"/>
      <c r="K348" s="314"/>
      <c r="L348" s="314"/>
      <c r="M348" s="736"/>
      <c r="N348" s="318"/>
      <c r="O348" s="318"/>
      <c r="P348" s="314"/>
      <c r="Q348" s="314"/>
      <c r="R348" s="314"/>
      <c r="S348" s="314"/>
      <c r="T348" s="314"/>
      <c r="U348" s="314"/>
      <c r="V348" s="318"/>
      <c r="W348" s="315"/>
      <c r="X348" s="314"/>
      <c r="Y348" s="776"/>
      <c r="Z348" s="314"/>
      <c r="AA348" s="314"/>
      <c r="AB348" s="697"/>
      <c r="AC348" s="318"/>
      <c r="AD348" s="314"/>
      <c r="AE348" s="314"/>
      <c r="AF348" s="324"/>
      <c r="AG348" s="155"/>
      <c r="AH348" s="155"/>
      <c r="AI348" s="322"/>
      <c r="AJ348" s="155"/>
      <c r="AK348" s="132"/>
    </row>
    <row r="349">
      <c r="A349" s="314"/>
      <c r="B349" s="313"/>
      <c r="C349" s="313"/>
      <c r="D349" s="313"/>
      <c r="E349" s="314"/>
      <c r="F349" s="314"/>
      <c r="G349" s="314"/>
      <c r="H349" s="318"/>
      <c r="I349" s="314"/>
      <c r="J349" s="314"/>
      <c r="K349" s="314"/>
      <c r="L349" s="314"/>
      <c r="M349" s="736"/>
      <c r="N349" s="318"/>
      <c r="O349" s="318"/>
      <c r="P349" s="314"/>
      <c r="Q349" s="314"/>
      <c r="R349" s="314"/>
      <c r="S349" s="314"/>
      <c r="T349" s="314"/>
      <c r="U349" s="314"/>
      <c r="V349" s="318"/>
      <c r="W349" s="315"/>
      <c r="X349" s="314"/>
      <c r="Y349" s="776"/>
      <c r="Z349" s="314"/>
      <c r="AA349" s="314"/>
      <c r="AB349" s="697"/>
      <c r="AC349" s="318"/>
      <c r="AD349" s="314"/>
      <c r="AE349" s="314"/>
      <c r="AF349" s="324"/>
      <c r="AG349" s="155"/>
      <c r="AH349" s="155"/>
      <c r="AI349" s="322"/>
      <c r="AJ349" s="155"/>
      <c r="AK349" s="132"/>
    </row>
    <row r="350">
      <c r="A350" s="314"/>
      <c r="B350" s="313"/>
      <c r="C350" s="313"/>
      <c r="D350" s="313"/>
      <c r="E350" s="314"/>
      <c r="F350" s="314"/>
      <c r="G350" s="314"/>
      <c r="H350" s="318"/>
      <c r="I350" s="314"/>
      <c r="J350" s="314"/>
      <c r="K350" s="314"/>
      <c r="L350" s="314"/>
      <c r="M350" s="736"/>
      <c r="N350" s="318"/>
      <c r="O350" s="318"/>
      <c r="P350" s="314"/>
      <c r="Q350" s="314"/>
      <c r="R350" s="314"/>
      <c r="S350" s="314"/>
      <c r="T350" s="314"/>
      <c r="U350" s="314"/>
      <c r="V350" s="318"/>
      <c r="W350" s="315"/>
      <c r="X350" s="314"/>
      <c r="Y350" s="776"/>
      <c r="Z350" s="314"/>
      <c r="AA350" s="314"/>
      <c r="AB350" s="697"/>
      <c r="AC350" s="318"/>
      <c r="AD350" s="314"/>
      <c r="AE350" s="314"/>
      <c r="AF350" s="324"/>
      <c r="AG350" s="155"/>
      <c r="AH350" s="155"/>
      <c r="AI350" s="322"/>
      <c r="AJ350" s="155"/>
      <c r="AK350" s="132"/>
    </row>
    <row r="351">
      <c r="A351" s="314"/>
      <c r="B351" s="313"/>
      <c r="C351" s="313"/>
      <c r="D351" s="313"/>
      <c r="E351" s="314"/>
      <c r="F351" s="314"/>
      <c r="G351" s="314"/>
      <c r="H351" s="318"/>
      <c r="I351" s="314"/>
      <c r="J351" s="314"/>
      <c r="K351" s="314"/>
      <c r="L351" s="314"/>
      <c r="M351" s="736"/>
      <c r="N351" s="318"/>
      <c r="O351" s="318"/>
      <c r="P351" s="314"/>
      <c r="Q351" s="314"/>
      <c r="R351" s="314"/>
      <c r="S351" s="314"/>
      <c r="T351" s="314"/>
      <c r="U351" s="314"/>
      <c r="V351" s="318"/>
      <c r="W351" s="315"/>
      <c r="X351" s="314"/>
      <c r="Y351" s="776"/>
      <c r="Z351" s="314"/>
      <c r="AA351" s="314"/>
      <c r="AB351" s="697"/>
      <c r="AC351" s="318"/>
      <c r="AD351" s="314"/>
      <c r="AE351" s="314"/>
      <c r="AF351" s="324"/>
      <c r="AG351" s="155"/>
      <c r="AH351" s="155"/>
      <c r="AI351" s="322"/>
      <c r="AJ351" s="155"/>
      <c r="AK351" s="132"/>
    </row>
    <row r="352">
      <c r="A352" s="314"/>
      <c r="B352" s="313"/>
      <c r="C352" s="313"/>
      <c r="D352" s="313"/>
      <c r="E352" s="314"/>
      <c r="F352" s="314"/>
      <c r="G352" s="314"/>
      <c r="H352" s="318"/>
      <c r="I352" s="314"/>
      <c r="J352" s="314"/>
      <c r="K352" s="314"/>
      <c r="L352" s="314"/>
      <c r="M352" s="736"/>
      <c r="N352" s="318"/>
      <c r="O352" s="318"/>
      <c r="P352" s="314"/>
      <c r="Q352" s="314"/>
      <c r="R352" s="314"/>
      <c r="S352" s="314"/>
      <c r="T352" s="314"/>
      <c r="U352" s="314"/>
      <c r="V352" s="318"/>
      <c r="W352" s="315"/>
      <c r="X352" s="314"/>
      <c r="Y352" s="776"/>
      <c r="Z352" s="314"/>
      <c r="AA352" s="314"/>
      <c r="AB352" s="697"/>
      <c r="AC352" s="318"/>
      <c r="AD352" s="314"/>
      <c r="AE352" s="314"/>
      <c r="AF352" s="324"/>
      <c r="AG352" s="155"/>
      <c r="AH352" s="155"/>
      <c r="AI352" s="322"/>
      <c r="AJ352" s="155"/>
      <c r="AK352" s="132"/>
    </row>
    <row r="353">
      <c r="A353" s="314"/>
      <c r="B353" s="313"/>
      <c r="C353" s="313"/>
      <c r="D353" s="313"/>
      <c r="E353" s="314"/>
      <c r="F353" s="314"/>
      <c r="G353" s="314"/>
      <c r="H353" s="318"/>
      <c r="I353" s="314"/>
      <c r="J353" s="314"/>
      <c r="K353" s="314"/>
      <c r="L353" s="314"/>
      <c r="M353" s="736"/>
      <c r="N353" s="318"/>
      <c r="O353" s="318"/>
      <c r="P353" s="314"/>
      <c r="Q353" s="314"/>
      <c r="R353" s="314"/>
      <c r="S353" s="314"/>
      <c r="T353" s="314"/>
      <c r="U353" s="314"/>
      <c r="V353" s="318"/>
      <c r="W353" s="315"/>
      <c r="X353" s="314"/>
      <c r="Y353" s="776"/>
      <c r="Z353" s="314"/>
      <c r="AA353" s="314"/>
      <c r="AB353" s="697"/>
      <c r="AC353" s="318"/>
      <c r="AD353" s="314"/>
      <c r="AE353" s="314"/>
      <c r="AF353" s="324"/>
      <c r="AG353" s="155"/>
      <c r="AH353" s="155"/>
      <c r="AI353" s="322"/>
      <c r="AJ353" s="155"/>
      <c r="AK353" s="132"/>
    </row>
    <row r="354">
      <c r="A354" s="314"/>
      <c r="B354" s="313"/>
      <c r="C354" s="313"/>
      <c r="D354" s="313"/>
      <c r="E354" s="314"/>
      <c r="F354" s="314"/>
      <c r="G354" s="314"/>
      <c r="H354" s="318"/>
      <c r="I354" s="314"/>
      <c r="J354" s="314"/>
      <c r="K354" s="314"/>
      <c r="L354" s="314"/>
      <c r="M354" s="736"/>
      <c r="N354" s="318"/>
      <c r="O354" s="318"/>
      <c r="P354" s="314"/>
      <c r="Q354" s="314"/>
      <c r="R354" s="314"/>
      <c r="S354" s="314"/>
      <c r="T354" s="314"/>
      <c r="U354" s="314"/>
      <c r="V354" s="318"/>
      <c r="W354" s="315"/>
      <c r="X354" s="314"/>
      <c r="Y354" s="776"/>
      <c r="Z354" s="314"/>
      <c r="AA354" s="314"/>
      <c r="AB354" s="697"/>
      <c r="AC354" s="318"/>
      <c r="AD354" s="314"/>
      <c r="AE354" s="314"/>
      <c r="AF354" s="324"/>
      <c r="AG354" s="155"/>
      <c r="AH354" s="155"/>
      <c r="AI354" s="322"/>
      <c r="AJ354" s="155"/>
      <c r="AK354" s="132"/>
    </row>
    <row r="355">
      <c r="A355" s="314"/>
      <c r="B355" s="313"/>
      <c r="C355" s="313"/>
      <c r="D355" s="313"/>
      <c r="E355" s="314"/>
      <c r="F355" s="314"/>
      <c r="G355" s="314"/>
      <c r="H355" s="318"/>
      <c r="I355" s="314"/>
      <c r="J355" s="314"/>
      <c r="K355" s="314"/>
      <c r="L355" s="314"/>
      <c r="M355" s="736"/>
      <c r="N355" s="318"/>
      <c r="O355" s="318"/>
      <c r="P355" s="314"/>
      <c r="Q355" s="314"/>
      <c r="R355" s="314"/>
      <c r="S355" s="314"/>
      <c r="T355" s="314"/>
      <c r="U355" s="314"/>
      <c r="V355" s="318"/>
      <c r="W355" s="315"/>
      <c r="X355" s="314"/>
      <c r="Y355" s="776"/>
      <c r="Z355" s="314"/>
      <c r="AA355" s="314"/>
      <c r="AB355" s="697"/>
      <c r="AC355" s="318"/>
      <c r="AD355" s="314"/>
      <c r="AE355" s="314"/>
      <c r="AF355" s="324"/>
      <c r="AG355" s="155"/>
      <c r="AH355" s="155"/>
      <c r="AI355" s="322"/>
      <c r="AJ355" s="155"/>
      <c r="AK355" s="132"/>
    </row>
    <row r="356">
      <c r="A356" s="314"/>
      <c r="B356" s="313"/>
      <c r="C356" s="313"/>
      <c r="D356" s="313"/>
      <c r="E356" s="314"/>
      <c r="F356" s="314"/>
      <c r="G356" s="314"/>
      <c r="H356" s="318"/>
      <c r="I356" s="314"/>
      <c r="J356" s="314"/>
      <c r="K356" s="314"/>
      <c r="L356" s="314"/>
      <c r="M356" s="736"/>
      <c r="N356" s="318"/>
      <c r="O356" s="318"/>
      <c r="P356" s="314"/>
      <c r="Q356" s="314"/>
      <c r="R356" s="314"/>
      <c r="S356" s="314"/>
      <c r="T356" s="314"/>
      <c r="U356" s="314"/>
      <c r="V356" s="318"/>
      <c r="W356" s="315"/>
      <c r="X356" s="314"/>
      <c r="Y356" s="776"/>
      <c r="Z356" s="314"/>
      <c r="AA356" s="314"/>
      <c r="AB356" s="697"/>
      <c r="AC356" s="318"/>
      <c r="AD356" s="314"/>
      <c r="AE356" s="314"/>
      <c r="AF356" s="324"/>
      <c r="AG356" s="155"/>
      <c r="AH356" s="155"/>
      <c r="AI356" s="322"/>
      <c r="AJ356" s="155"/>
      <c r="AK356" s="132"/>
    </row>
    <row r="357">
      <c r="A357" s="314"/>
      <c r="B357" s="313"/>
      <c r="C357" s="313"/>
      <c r="D357" s="313"/>
      <c r="E357" s="314"/>
      <c r="F357" s="314"/>
      <c r="G357" s="314"/>
      <c r="H357" s="318"/>
      <c r="I357" s="314"/>
      <c r="J357" s="314"/>
      <c r="K357" s="314"/>
      <c r="L357" s="314"/>
      <c r="M357" s="736"/>
      <c r="N357" s="318"/>
      <c r="O357" s="318"/>
      <c r="P357" s="314"/>
      <c r="Q357" s="314"/>
      <c r="R357" s="314"/>
      <c r="S357" s="314"/>
      <c r="T357" s="314"/>
      <c r="U357" s="314"/>
      <c r="V357" s="318"/>
      <c r="W357" s="315"/>
      <c r="X357" s="314"/>
      <c r="Y357" s="776"/>
      <c r="Z357" s="314"/>
      <c r="AA357" s="314"/>
      <c r="AB357" s="697"/>
      <c r="AC357" s="318"/>
      <c r="AD357" s="314"/>
      <c r="AE357" s="314"/>
      <c r="AF357" s="324"/>
      <c r="AG357" s="155"/>
      <c r="AH357" s="155"/>
      <c r="AI357" s="322"/>
      <c r="AJ357" s="155"/>
      <c r="AK357" s="132"/>
    </row>
    <row r="358">
      <c r="A358" s="314"/>
      <c r="B358" s="313"/>
      <c r="C358" s="313"/>
      <c r="D358" s="313"/>
      <c r="E358" s="314"/>
      <c r="F358" s="314"/>
      <c r="G358" s="314"/>
      <c r="H358" s="318"/>
      <c r="I358" s="314"/>
      <c r="J358" s="314"/>
      <c r="K358" s="314"/>
      <c r="L358" s="314"/>
      <c r="M358" s="736"/>
      <c r="N358" s="318"/>
      <c r="O358" s="318"/>
      <c r="P358" s="314"/>
      <c r="Q358" s="314"/>
      <c r="R358" s="314"/>
      <c r="S358" s="314"/>
      <c r="T358" s="314"/>
      <c r="U358" s="314"/>
      <c r="V358" s="318"/>
      <c r="W358" s="315"/>
      <c r="X358" s="314"/>
      <c r="Y358" s="776"/>
      <c r="Z358" s="314"/>
      <c r="AA358" s="314"/>
      <c r="AB358" s="697"/>
      <c r="AC358" s="318"/>
      <c r="AD358" s="314"/>
      <c r="AE358" s="314"/>
      <c r="AF358" s="324"/>
      <c r="AG358" s="155"/>
      <c r="AH358" s="155"/>
      <c r="AI358" s="322"/>
      <c r="AJ358" s="155"/>
      <c r="AK358" s="132"/>
    </row>
    <row r="359">
      <c r="A359" s="314"/>
      <c r="B359" s="313"/>
      <c r="C359" s="313"/>
      <c r="D359" s="313"/>
      <c r="E359" s="314"/>
      <c r="F359" s="314"/>
      <c r="G359" s="314"/>
      <c r="H359" s="318"/>
      <c r="I359" s="314"/>
      <c r="J359" s="314"/>
      <c r="K359" s="314"/>
      <c r="L359" s="314"/>
      <c r="M359" s="736"/>
      <c r="N359" s="318"/>
      <c r="O359" s="318"/>
      <c r="P359" s="314"/>
      <c r="Q359" s="314"/>
      <c r="R359" s="314"/>
      <c r="S359" s="314"/>
      <c r="T359" s="314"/>
      <c r="U359" s="314"/>
      <c r="V359" s="318"/>
      <c r="W359" s="315"/>
      <c r="X359" s="314"/>
      <c r="Y359" s="776"/>
      <c r="Z359" s="314"/>
      <c r="AA359" s="314"/>
      <c r="AB359" s="697"/>
      <c r="AC359" s="318"/>
      <c r="AD359" s="314"/>
      <c r="AE359" s="314"/>
      <c r="AF359" s="324"/>
      <c r="AG359" s="155"/>
      <c r="AH359" s="155"/>
      <c r="AI359" s="322"/>
      <c r="AJ359" s="155"/>
      <c r="AK359" s="132"/>
    </row>
    <row r="360">
      <c r="A360" s="314"/>
      <c r="B360" s="313"/>
      <c r="C360" s="313"/>
      <c r="D360" s="313"/>
      <c r="E360" s="314"/>
      <c r="F360" s="314"/>
      <c r="G360" s="314"/>
      <c r="H360" s="318"/>
      <c r="I360" s="314"/>
      <c r="J360" s="314"/>
      <c r="K360" s="314"/>
      <c r="L360" s="314"/>
      <c r="M360" s="736"/>
      <c r="N360" s="318"/>
      <c r="O360" s="318"/>
      <c r="P360" s="314"/>
      <c r="Q360" s="314"/>
      <c r="R360" s="314"/>
      <c r="S360" s="314"/>
      <c r="T360" s="314"/>
      <c r="U360" s="314"/>
      <c r="V360" s="318"/>
      <c r="W360" s="315"/>
      <c r="X360" s="314"/>
      <c r="Y360" s="776"/>
      <c r="Z360" s="314"/>
      <c r="AA360" s="314"/>
      <c r="AB360" s="697"/>
      <c r="AC360" s="318"/>
      <c r="AD360" s="314"/>
      <c r="AE360" s="314"/>
      <c r="AF360" s="324"/>
      <c r="AG360" s="155"/>
      <c r="AH360" s="155"/>
      <c r="AI360" s="322"/>
      <c r="AJ360" s="155"/>
      <c r="AK360" s="132"/>
    </row>
    <row r="361">
      <c r="A361" s="314"/>
      <c r="B361" s="313"/>
      <c r="C361" s="313"/>
      <c r="D361" s="313"/>
      <c r="E361" s="314"/>
      <c r="F361" s="314"/>
      <c r="G361" s="314"/>
      <c r="H361" s="318"/>
      <c r="I361" s="314"/>
      <c r="J361" s="314"/>
      <c r="K361" s="314"/>
      <c r="L361" s="314"/>
      <c r="M361" s="736"/>
      <c r="N361" s="318"/>
      <c r="O361" s="318"/>
      <c r="P361" s="314"/>
      <c r="Q361" s="314"/>
      <c r="R361" s="314"/>
      <c r="S361" s="314"/>
      <c r="T361" s="314"/>
      <c r="U361" s="314"/>
      <c r="V361" s="318"/>
      <c r="W361" s="315"/>
      <c r="X361" s="314"/>
      <c r="Y361" s="776"/>
      <c r="Z361" s="314"/>
      <c r="AA361" s="314"/>
      <c r="AB361" s="697"/>
      <c r="AC361" s="318"/>
      <c r="AD361" s="314"/>
      <c r="AE361" s="314"/>
      <c r="AF361" s="324"/>
      <c r="AG361" s="155"/>
      <c r="AH361" s="155"/>
      <c r="AI361" s="322"/>
      <c r="AJ361" s="155"/>
      <c r="AK361" s="132"/>
    </row>
    <row r="362">
      <c r="A362" s="314"/>
      <c r="B362" s="313"/>
      <c r="C362" s="313"/>
      <c r="D362" s="313"/>
      <c r="E362" s="314"/>
      <c r="F362" s="314"/>
      <c r="G362" s="314"/>
      <c r="H362" s="318"/>
      <c r="I362" s="314"/>
      <c r="J362" s="314"/>
      <c r="K362" s="314"/>
      <c r="L362" s="314"/>
      <c r="M362" s="736"/>
      <c r="N362" s="318"/>
      <c r="O362" s="318"/>
      <c r="P362" s="314"/>
      <c r="Q362" s="314"/>
      <c r="R362" s="314"/>
      <c r="S362" s="314"/>
      <c r="T362" s="314"/>
      <c r="U362" s="314"/>
      <c r="V362" s="318"/>
      <c r="W362" s="315"/>
      <c r="X362" s="314"/>
      <c r="Y362" s="776"/>
      <c r="Z362" s="314"/>
      <c r="AA362" s="314"/>
      <c r="AB362" s="697"/>
      <c r="AC362" s="318"/>
      <c r="AD362" s="314"/>
      <c r="AE362" s="314"/>
      <c r="AF362" s="324"/>
      <c r="AG362" s="155"/>
      <c r="AH362" s="155"/>
      <c r="AI362" s="322"/>
      <c r="AJ362" s="155"/>
      <c r="AK362" s="132"/>
    </row>
    <row r="363">
      <c r="A363" s="314"/>
      <c r="B363" s="313"/>
      <c r="C363" s="313"/>
      <c r="D363" s="313"/>
      <c r="E363" s="314"/>
      <c r="F363" s="314"/>
      <c r="G363" s="314"/>
      <c r="H363" s="318"/>
      <c r="I363" s="314"/>
      <c r="J363" s="314"/>
      <c r="K363" s="314"/>
      <c r="L363" s="314"/>
      <c r="M363" s="736"/>
      <c r="N363" s="318"/>
      <c r="O363" s="318"/>
      <c r="P363" s="314"/>
      <c r="Q363" s="314"/>
      <c r="R363" s="314"/>
      <c r="S363" s="314"/>
      <c r="T363" s="314"/>
      <c r="U363" s="314"/>
      <c r="V363" s="318"/>
      <c r="W363" s="315"/>
      <c r="X363" s="314"/>
      <c r="Y363" s="776"/>
      <c r="Z363" s="314"/>
      <c r="AA363" s="314"/>
      <c r="AB363" s="697"/>
      <c r="AC363" s="318"/>
      <c r="AD363" s="314"/>
      <c r="AE363" s="314"/>
      <c r="AF363" s="324"/>
      <c r="AG363" s="155"/>
      <c r="AH363" s="155"/>
      <c r="AI363" s="322"/>
      <c r="AJ363" s="155"/>
      <c r="AK363" s="132"/>
    </row>
    <row r="364">
      <c r="A364" s="314"/>
      <c r="B364" s="313"/>
      <c r="C364" s="313"/>
      <c r="D364" s="313"/>
      <c r="E364" s="314"/>
      <c r="F364" s="314"/>
      <c r="G364" s="314"/>
      <c r="H364" s="318"/>
      <c r="I364" s="314"/>
      <c r="J364" s="314"/>
      <c r="K364" s="314"/>
      <c r="L364" s="314"/>
      <c r="M364" s="736"/>
      <c r="N364" s="318"/>
      <c r="O364" s="318"/>
      <c r="P364" s="314"/>
      <c r="Q364" s="314"/>
      <c r="R364" s="314"/>
      <c r="S364" s="314"/>
      <c r="T364" s="314"/>
      <c r="U364" s="314"/>
      <c r="V364" s="318"/>
      <c r="W364" s="315"/>
      <c r="X364" s="314"/>
      <c r="Y364" s="776"/>
      <c r="Z364" s="314"/>
      <c r="AA364" s="314"/>
      <c r="AB364" s="697"/>
      <c r="AC364" s="318"/>
      <c r="AD364" s="314"/>
      <c r="AE364" s="314"/>
      <c r="AF364" s="324"/>
      <c r="AG364" s="155"/>
      <c r="AH364" s="155"/>
      <c r="AI364" s="322"/>
      <c r="AJ364" s="155"/>
      <c r="AK364" s="132"/>
    </row>
    <row r="365">
      <c r="A365" s="314"/>
      <c r="B365" s="313"/>
      <c r="C365" s="313"/>
      <c r="D365" s="313"/>
      <c r="E365" s="314"/>
      <c r="F365" s="314"/>
      <c r="G365" s="314"/>
      <c r="H365" s="318"/>
      <c r="I365" s="314"/>
      <c r="J365" s="314"/>
      <c r="K365" s="314"/>
      <c r="L365" s="314"/>
      <c r="M365" s="736"/>
      <c r="N365" s="318"/>
      <c r="O365" s="318"/>
      <c r="P365" s="314"/>
      <c r="Q365" s="314"/>
      <c r="R365" s="314"/>
      <c r="S365" s="314"/>
      <c r="T365" s="314"/>
      <c r="U365" s="314"/>
      <c r="V365" s="318"/>
      <c r="W365" s="315"/>
      <c r="X365" s="314"/>
      <c r="Y365" s="776"/>
      <c r="Z365" s="314"/>
      <c r="AA365" s="314"/>
      <c r="AB365" s="697"/>
      <c r="AC365" s="318"/>
      <c r="AD365" s="314"/>
      <c r="AE365" s="314"/>
      <c r="AF365" s="324"/>
      <c r="AG365" s="155"/>
      <c r="AH365" s="155"/>
      <c r="AI365" s="322"/>
      <c r="AJ365" s="155"/>
      <c r="AK365" s="132"/>
    </row>
    <row r="366">
      <c r="A366" s="314"/>
      <c r="B366" s="313"/>
      <c r="C366" s="313"/>
      <c r="D366" s="313"/>
      <c r="E366" s="314"/>
      <c r="F366" s="314"/>
      <c r="G366" s="314"/>
      <c r="H366" s="318"/>
      <c r="I366" s="314"/>
      <c r="J366" s="314"/>
      <c r="K366" s="314"/>
      <c r="L366" s="314"/>
      <c r="M366" s="736"/>
      <c r="N366" s="318"/>
      <c r="O366" s="318"/>
      <c r="P366" s="314"/>
      <c r="Q366" s="314"/>
      <c r="R366" s="314"/>
      <c r="S366" s="314"/>
      <c r="T366" s="314"/>
      <c r="U366" s="314"/>
      <c r="V366" s="318"/>
      <c r="W366" s="315"/>
      <c r="X366" s="314"/>
      <c r="Y366" s="776"/>
      <c r="Z366" s="314"/>
      <c r="AA366" s="314"/>
      <c r="AB366" s="697"/>
      <c r="AC366" s="318"/>
      <c r="AD366" s="314"/>
      <c r="AE366" s="314"/>
      <c r="AF366" s="324"/>
      <c r="AG366" s="155"/>
      <c r="AH366" s="155"/>
      <c r="AI366" s="322"/>
      <c r="AJ366" s="155"/>
      <c r="AK366" s="132"/>
    </row>
    <row r="367">
      <c r="A367" s="314"/>
      <c r="B367" s="313"/>
      <c r="C367" s="313"/>
      <c r="D367" s="313"/>
      <c r="E367" s="314"/>
      <c r="F367" s="314"/>
      <c r="G367" s="314"/>
      <c r="H367" s="318"/>
      <c r="I367" s="314"/>
      <c r="J367" s="314"/>
      <c r="K367" s="314"/>
      <c r="L367" s="314"/>
      <c r="M367" s="736"/>
      <c r="N367" s="318"/>
      <c r="O367" s="318"/>
      <c r="P367" s="314"/>
      <c r="Q367" s="314"/>
      <c r="R367" s="314"/>
      <c r="S367" s="314"/>
      <c r="T367" s="314"/>
      <c r="U367" s="314"/>
      <c r="V367" s="318"/>
      <c r="W367" s="315"/>
      <c r="X367" s="314"/>
      <c r="Y367" s="776"/>
      <c r="Z367" s="314"/>
      <c r="AA367" s="314"/>
      <c r="AB367" s="697"/>
      <c r="AC367" s="318"/>
      <c r="AD367" s="314"/>
      <c r="AE367" s="314"/>
      <c r="AF367" s="324"/>
      <c r="AG367" s="155"/>
      <c r="AH367" s="155"/>
      <c r="AI367" s="322"/>
      <c r="AJ367" s="155"/>
      <c r="AK367" s="132"/>
    </row>
    <row r="368">
      <c r="A368" s="314"/>
      <c r="B368" s="313"/>
      <c r="C368" s="313"/>
      <c r="D368" s="313"/>
      <c r="E368" s="314"/>
      <c r="F368" s="314"/>
      <c r="G368" s="314"/>
      <c r="H368" s="318"/>
      <c r="I368" s="314"/>
      <c r="J368" s="314"/>
      <c r="K368" s="314"/>
      <c r="L368" s="314"/>
      <c r="M368" s="736"/>
      <c r="N368" s="318"/>
      <c r="O368" s="318"/>
      <c r="P368" s="314"/>
      <c r="Q368" s="314"/>
      <c r="R368" s="314"/>
      <c r="S368" s="314"/>
      <c r="T368" s="314"/>
      <c r="U368" s="314"/>
      <c r="V368" s="318"/>
      <c r="W368" s="315"/>
      <c r="X368" s="314"/>
      <c r="Y368" s="776"/>
      <c r="Z368" s="314"/>
      <c r="AA368" s="314"/>
      <c r="AB368" s="697"/>
      <c r="AC368" s="318"/>
      <c r="AD368" s="314"/>
      <c r="AE368" s="314"/>
      <c r="AF368" s="324"/>
      <c r="AG368" s="155"/>
      <c r="AH368" s="155"/>
      <c r="AI368" s="322"/>
      <c r="AJ368" s="155"/>
      <c r="AK368" s="132"/>
    </row>
    <row r="369">
      <c r="A369" s="314"/>
      <c r="B369" s="313"/>
      <c r="C369" s="313"/>
      <c r="D369" s="313"/>
      <c r="E369" s="314"/>
      <c r="F369" s="314"/>
      <c r="G369" s="314"/>
      <c r="H369" s="318"/>
      <c r="I369" s="314"/>
      <c r="J369" s="314"/>
      <c r="K369" s="314"/>
      <c r="L369" s="314"/>
      <c r="M369" s="736"/>
      <c r="N369" s="318"/>
      <c r="O369" s="318"/>
      <c r="P369" s="314"/>
      <c r="Q369" s="314"/>
      <c r="R369" s="314"/>
      <c r="S369" s="314"/>
      <c r="T369" s="314"/>
      <c r="U369" s="314"/>
      <c r="V369" s="318"/>
      <c r="W369" s="315"/>
      <c r="X369" s="314"/>
      <c r="Y369" s="776"/>
      <c r="Z369" s="314"/>
      <c r="AA369" s="314"/>
      <c r="AB369" s="697"/>
      <c r="AC369" s="318"/>
      <c r="AD369" s="314"/>
      <c r="AE369" s="314"/>
      <c r="AF369" s="324"/>
      <c r="AG369" s="155"/>
      <c r="AH369" s="155"/>
      <c r="AI369" s="322"/>
      <c r="AJ369" s="155"/>
      <c r="AK369" s="132"/>
    </row>
    <row r="370">
      <c r="A370" s="314"/>
      <c r="B370" s="313"/>
      <c r="C370" s="313"/>
      <c r="D370" s="313"/>
      <c r="E370" s="314"/>
      <c r="F370" s="314"/>
      <c r="G370" s="314"/>
      <c r="H370" s="318"/>
      <c r="I370" s="314"/>
      <c r="J370" s="314"/>
      <c r="K370" s="314"/>
      <c r="L370" s="314"/>
      <c r="M370" s="736"/>
      <c r="N370" s="318"/>
      <c r="O370" s="318"/>
      <c r="P370" s="314"/>
      <c r="Q370" s="314"/>
      <c r="R370" s="314"/>
      <c r="S370" s="314"/>
      <c r="T370" s="314"/>
      <c r="U370" s="314"/>
      <c r="V370" s="318"/>
      <c r="W370" s="315"/>
      <c r="X370" s="314"/>
      <c r="Y370" s="776"/>
      <c r="Z370" s="314"/>
      <c r="AA370" s="314"/>
      <c r="AB370" s="697"/>
      <c r="AC370" s="318"/>
      <c r="AD370" s="314"/>
      <c r="AE370" s="314"/>
      <c r="AF370" s="324"/>
      <c r="AG370" s="155"/>
      <c r="AH370" s="155"/>
      <c r="AI370" s="322"/>
      <c r="AJ370" s="155"/>
      <c r="AK370" s="132"/>
    </row>
    <row r="371">
      <c r="A371" s="314"/>
      <c r="B371" s="313"/>
      <c r="C371" s="313"/>
      <c r="D371" s="313"/>
      <c r="E371" s="314"/>
      <c r="F371" s="314"/>
      <c r="G371" s="314"/>
      <c r="H371" s="318"/>
      <c r="I371" s="314"/>
      <c r="J371" s="314"/>
      <c r="K371" s="314"/>
      <c r="L371" s="314"/>
      <c r="M371" s="736"/>
      <c r="N371" s="318"/>
      <c r="O371" s="318"/>
      <c r="P371" s="314"/>
      <c r="Q371" s="314"/>
      <c r="R371" s="314"/>
      <c r="S371" s="314"/>
      <c r="T371" s="314"/>
      <c r="U371" s="314"/>
      <c r="V371" s="318"/>
      <c r="W371" s="315"/>
      <c r="X371" s="314"/>
      <c r="Y371" s="776"/>
      <c r="Z371" s="314"/>
      <c r="AA371" s="314"/>
      <c r="AB371" s="697"/>
      <c r="AC371" s="318"/>
      <c r="AD371" s="314"/>
      <c r="AE371" s="314"/>
      <c r="AF371" s="324"/>
      <c r="AG371" s="155"/>
      <c r="AH371" s="155"/>
      <c r="AI371" s="322"/>
      <c r="AJ371" s="155"/>
      <c r="AK371" s="132"/>
    </row>
    <row r="372">
      <c r="A372" s="314"/>
      <c r="B372" s="313"/>
      <c r="C372" s="313"/>
      <c r="D372" s="313"/>
      <c r="E372" s="314"/>
      <c r="F372" s="314"/>
      <c r="G372" s="314"/>
      <c r="H372" s="318"/>
      <c r="I372" s="314"/>
      <c r="J372" s="314"/>
      <c r="K372" s="314"/>
      <c r="L372" s="314"/>
      <c r="M372" s="736"/>
      <c r="N372" s="318"/>
      <c r="O372" s="318"/>
      <c r="P372" s="314"/>
      <c r="Q372" s="314"/>
      <c r="R372" s="314"/>
      <c r="S372" s="314"/>
      <c r="T372" s="314"/>
      <c r="U372" s="314"/>
      <c r="V372" s="318"/>
      <c r="W372" s="315"/>
      <c r="X372" s="314"/>
      <c r="Y372" s="776"/>
      <c r="Z372" s="314"/>
      <c r="AA372" s="314"/>
      <c r="AB372" s="697"/>
      <c r="AC372" s="318"/>
      <c r="AD372" s="314"/>
      <c r="AE372" s="314"/>
      <c r="AF372" s="324"/>
      <c r="AG372" s="155"/>
      <c r="AH372" s="155"/>
      <c r="AI372" s="322"/>
      <c r="AJ372" s="155"/>
      <c r="AK372" s="132"/>
    </row>
    <row r="373">
      <c r="A373" s="314"/>
      <c r="B373" s="313"/>
      <c r="C373" s="313"/>
      <c r="D373" s="313"/>
      <c r="E373" s="314"/>
      <c r="F373" s="314"/>
      <c r="G373" s="314"/>
      <c r="H373" s="318"/>
      <c r="I373" s="314"/>
      <c r="J373" s="314"/>
      <c r="K373" s="314"/>
      <c r="L373" s="314"/>
      <c r="M373" s="736"/>
      <c r="N373" s="318"/>
      <c r="O373" s="318"/>
      <c r="P373" s="314"/>
      <c r="Q373" s="314"/>
      <c r="R373" s="314"/>
      <c r="S373" s="314"/>
      <c r="T373" s="314"/>
      <c r="U373" s="314"/>
      <c r="V373" s="318"/>
      <c r="W373" s="315"/>
      <c r="X373" s="314"/>
      <c r="Y373" s="776"/>
      <c r="Z373" s="314"/>
      <c r="AA373" s="314"/>
      <c r="AB373" s="697"/>
      <c r="AC373" s="318"/>
      <c r="AD373" s="314"/>
      <c r="AE373" s="314"/>
      <c r="AF373" s="324"/>
      <c r="AG373" s="155"/>
      <c r="AH373" s="155"/>
      <c r="AI373" s="322"/>
      <c r="AJ373" s="155"/>
      <c r="AK373" s="132"/>
    </row>
    <row r="374">
      <c r="A374" s="314"/>
      <c r="B374" s="313"/>
      <c r="C374" s="313"/>
      <c r="D374" s="313"/>
      <c r="E374" s="314"/>
      <c r="F374" s="314"/>
      <c r="G374" s="314"/>
      <c r="H374" s="318"/>
      <c r="I374" s="314"/>
      <c r="J374" s="314"/>
      <c r="K374" s="314"/>
      <c r="L374" s="314"/>
      <c r="M374" s="736"/>
      <c r="N374" s="318"/>
      <c r="O374" s="318"/>
      <c r="P374" s="314"/>
      <c r="Q374" s="314"/>
      <c r="R374" s="314"/>
      <c r="S374" s="314"/>
      <c r="T374" s="314"/>
      <c r="U374" s="314"/>
      <c r="V374" s="318"/>
      <c r="W374" s="315"/>
      <c r="X374" s="314"/>
      <c r="Y374" s="776"/>
      <c r="Z374" s="314"/>
      <c r="AA374" s="314"/>
      <c r="AB374" s="697"/>
      <c r="AC374" s="318"/>
      <c r="AD374" s="314"/>
      <c r="AE374" s="314"/>
      <c r="AF374" s="324"/>
      <c r="AG374" s="155"/>
      <c r="AH374" s="155"/>
      <c r="AI374" s="322"/>
      <c r="AJ374" s="155"/>
      <c r="AK374" s="132"/>
    </row>
    <row r="375">
      <c r="A375" s="314"/>
      <c r="B375" s="313"/>
      <c r="C375" s="313"/>
      <c r="D375" s="313"/>
      <c r="E375" s="314"/>
      <c r="F375" s="314"/>
      <c r="G375" s="314"/>
      <c r="H375" s="318"/>
      <c r="I375" s="314"/>
      <c r="J375" s="314"/>
      <c r="K375" s="314"/>
      <c r="L375" s="314"/>
      <c r="M375" s="736"/>
      <c r="N375" s="318"/>
      <c r="O375" s="318"/>
      <c r="P375" s="314"/>
      <c r="Q375" s="314"/>
      <c r="R375" s="314"/>
      <c r="S375" s="314"/>
      <c r="T375" s="314"/>
      <c r="U375" s="314"/>
      <c r="V375" s="318"/>
      <c r="W375" s="315"/>
      <c r="X375" s="314"/>
      <c r="Y375" s="776"/>
      <c r="Z375" s="314"/>
      <c r="AA375" s="314"/>
      <c r="AB375" s="697"/>
      <c r="AC375" s="318"/>
      <c r="AD375" s="314"/>
      <c r="AE375" s="314"/>
      <c r="AF375" s="324"/>
      <c r="AG375" s="155"/>
      <c r="AH375" s="155"/>
      <c r="AI375" s="322"/>
      <c r="AJ375" s="155"/>
      <c r="AK375" s="132"/>
    </row>
    <row r="376">
      <c r="A376" s="314"/>
      <c r="B376" s="313"/>
      <c r="C376" s="313"/>
      <c r="D376" s="313"/>
      <c r="E376" s="314"/>
      <c r="F376" s="314"/>
      <c r="G376" s="314"/>
      <c r="H376" s="318"/>
      <c r="I376" s="314"/>
      <c r="J376" s="314"/>
      <c r="K376" s="314"/>
      <c r="L376" s="314"/>
      <c r="M376" s="736"/>
      <c r="N376" s="318"/>
      <c r="O376" s="318"/>
      <c r="P376" s="314"/>
      <c r="Q376" s="314"/>
      <c r="R376" s="314"/>
      <c r="S376" s="314"/>
      <c r="T376" s="314"/>
      <c r="U376" s="314"/>
      <c r="V376" s="318"/>
      <c r="W376" s="315"/>
      <c r="X376" s="314"/>
      <c r="Y376" s="776"/>
      <c r="Z376" s="314"/>
      <c r="AA376" s="314"/>
      <c r="AB376" s="697"/>
      <c r="AC376" s="318"/>
      <c r="AD376" s="314"/>
      <c r="AE376" s="314"/>
      <c r="AF376" s="324"/>
      <c r="AG376" s="155"/>
      <c r="AH376" s="155"/>
      <c r="AI376" s="322"/>
      <c r="AJ376" s="155"/>
      <c r="AK376" s="132"/>
    </row>
    <row r="377">
      <c r="A377" s="314"/>
      <c r="B377" s="313"/>
      <c r="C377" s="313"/>
      <c r="D377" s="313"/>
      <c r="E377" s="314"/>
      <c r="F377" s="314"/>
      <c r="G377" s="314"/>
      <c r="H377" s="318"/>
      <c r="I377" s="314"/>
      <c r="J377" s="314"/>
      <c r="K377" s="314"/>
      <c r="L377" s="314"/>
      <c r="M377" s="736"/>
      <c r="N377" s="318"/>
      <c r="O377" s="318"/>
      <c r="P377" s="314"/>
      <c r="Q377" s="314"/>
      <c r="R377" s="314"/>
      <c r="S377" s="314"/>
      <c r="T377" s="314"/>
      <c r="U377" s="314"/>
      <c r="V377" s="318"/>
      <c r="W377" s="315"/>
      <c r="X377" s="314"/>
      <c r="Y377" s="776"/>
      <c r="Z377" s="314"/>
      <c r="AA377" s="314"/>
      <c r="AB377" s="697"/>
      <c r="AC377" s="318"/>
      <c r="AD377" s="314"/>
      <c r="AE377" s="314"/>
      <c r="AF377" s="324"/>
      <c r="AG377" s="155"/>
      <c r="AH377" s="155"/>
      <c r="AI377" s="322"/>
      <c r="AJ377" s="155"/>
      <c r="AK377" s="132"/>
    </row>
    <row r="378">
      <c r="A378" s="314"/>
      <c r="B378" s="313"/>
      <c r="C378" s="313"/>
      <c r="D378" s="313"/>
      <c r="E378" s="314"/>
      <c r="F378" s="314"/>
      <c r="G378" s="314"/>
      <c r="H378" s="318"/>
      <c r="I378" s="314"/>
      <c r="J378" s="314"/>
      <c r="K378" s="314"/>
      <c r="L378" s="314"/>
      <c r="M378" s="736"/>
      <c r="N378" s="318"/>
      <c r="O378" s="318"/>
      <c r="P378" s="314"/>
      <c r="Q378" s="314"/>
      <c r="R378" s="314"/>
      <c r="S378" s="314"/>
      <c r="T378" s="314"/>
      <c r="U378" s="314"/>
      <c r="V378" s="318"/>
      <c r="W378" s="315"/>
      <c r="X378" s="314"/>
      <c r="Y378" s="776"/>
      <c r="Z378" s="314"/>
      <c r="AA378" s="314"/>
      <c r="AB378" s="697"/>
      <c r="AC378" s="318"/>
      <c r="AD378" s="314"/>
      <c r="AE378" s="314"/>
      <c r="AF378" s="324"/>
      <c r="AG378" s="155"/>
      <c r="AH378" s="155"/>
      <c r="AI378" s="322"/>
      <c r="AJ378" s="155"/>
      <c r="AK378" s="132"/>
    </row>
    <row r="379">
      <c r="A379" s="314"/>
      <c r="B379" s="313"/>
      <c r="C379" s="313"/>
      <c r="D379" s="313"/>
      <c r="E379" s="314"/>
      <c r="F379" s="314"/>
      <c r="G379" s="314"/>
      <c r="H379" s="318"/>
      <c r="I379" s="314"/>
      <c r="J379" s="314"/>
      <c r="K379" s="314"/>
      <c r="L379" s="314"/>
      <c r="M379" s="736"/>
      <c r="N379" s="318"/>
      <c r="O379" s="318"/>
      <c r="P379" s="314"/>
      <c r="Q379" s="314"/>
      <c r="R379" s="314"/>
      <c r="S379" s="314"/>
      <c r="T379" s="314"/>
      <c r="U379" s="314"/>
      <c r="V379" s="318"/>
      <c r="W379" s="315"/>
      <c r="X379" s="314"/>
      <c r="Y379" s="776"/>
      <c r="Z379" s="314"/>
      <c r="AA379" s="314"/>
      <c r="AB379" s="697"/>
      <c r="AC379" s="318"/>
      <c r="AD379" s="314"/>
      <c r="AE379" s="314"/>
      <c r="AF379" s="324"/>
      <c r="AG379" s="155"/>
      <c r="AH379" s="155"/>
      <c r="AI379" s="322"/>
      <c r="AJ379" s="155"/>
      <c r="AK379" s="132"/>
    </row>
    <row r="380">
      <c r="A380" s="314"/>
      <c r="B380" s="313"/>
      <c r="C380" s="313"/>
      <c r="D380" s="313"/>
      <c r="E380" s="314"/>
      <c r="F380" s="314"/>
      <c r="G380" s="314"/>
      <c r="H380" s="318"/>
      <c r="I380" s="314"/>
      <c r="J380" s="314"/>
      <c r="K380" s="314"/>
      <c r="L380" s="314"/>
      <c r="M380" s="736"/>
      <c r="N380" s="318"/>
      <c r="O380" s="318"/>
      <c r="P380" s="314"/>
      <c r="Q380" s="314"/>
      <c r="R380" s="314"/>
      <c r="S380" s="314"/>
      <c r="T380" s="314"/>
      <c r="U380" s="314"/>
      <c r="V380" s="318"/>
      <c r="W380" s="315"/>
      <c r="X380" s="314"/>
      <c r="Y380" s="776"/>
      <c r="Z380" s="314"/>
      <c r="AA380" s="314"/>
      <c r="AB380" s="697"/>
      <c r="AC380" s="318"/>
      <c r="AD380" s="314"/>
      <c r="AE380" s="314"/>
      <c r="AF380" s="324"/>
      <c r="AG380" s="155"/>
      <c r="AH380" s="155"/>
      <c r="AI380" s="322"/>
      <c r="AJ380" s="155"/>
      <c r="AK380" s="132"/>
    </row>
    <row r="381">
      <c r="A381" s="314"/>
      <c r="B381" s="313"/>
      <c r="C381" s="313"/>
      <c r="D381" s="313"/>
      <c r="E381" s="314"/>
      <c r="F381" s="314"/>
      <c r="G381" s="314"/>
      <c r="H381" s="318"/>
      <c r="I381" s="314"/>
      <c r="J381" s="314"/>
      <c r="K381" s="314"/>
      <c r="L381" s="314"/>
      <c r="M381" s="736"/>
      <c r="N381" s="318"/>
      <c r="O381" s="318"/>
      <c r="P381" s="314"/>
      <c r="Q381" s="314"/>
      <c r="R381" s="314"/>
      <c r="S381" s="314"/>
      <c r="T381" s="314"/>
      <c r="U381" s="314"/>
      <c r="V381" s="318"/>
      <c r="W381" s="315"/>
      <c r="X381" s="314"/>
      <c r="Y381" s="776"/>
      <c r="Z381" s="314"/>
      <c r="AA381" s="314"/>
      <c r="AB381" s="697"/>
      <c r="AC381" s="318"/>
      <c r="AD381" s="314"/>
      <c r="AE381" s="314"/>
      <c r="AF381" s="324"/>
      <c r="AG381" s="155"/>
      <c r="AH381" s="155"/>
      <c r="AI381" s="322"/>
      <c r="AJ381" s="155"/>
      <c r="AK381" s="132"/>
    </row>
    <row r="382">
      <c r="A382" s="314"/>
      <c r="B382" s="313"/>
      <c r="C382" s="313"/>
      <c r="D382" s="313"/>
      <c r="E382" s="314"/>
      <c r="F382" s="314"/>
      <c r="G382" s="314"/>
      <c r="H382" s="318"/>
      <c r="I382" s="314"/>
      <c r="J382" s="314"/>
      <c r="K382" s="314"/>
      <c r="L382" s="314"/>
      <c r="M382" s="736"/>
      <c r="N382" s="318"/>
      <c r="O382" s="318"/>
      <c r="P382" s="314"/>
      <c r="Q382" s="314"/>
      <c r="R382" s="314"/>
      <c r="S382" s="314"/>
      <c r="T382" s="314"/>
      <c r="U382" s="314"/>
      <c r="V382" s="318"/>
      <c r="W382" s="315"/>
      <c r="X382" s="314"/>
      <c r="Y382" s="776"/>
      <c r="Z382" s="314"/>
      <c r="AA382" s="314"/>
      <c r="AB382" s="697"/>
      <c r="AC382" s="318"/>
      <c r="AD382" s="314"/>
      <c r="AE382" s="314"/>
      <c r="AF382" s="324"/>
      <c r="AG382" s="155"/>
      <c r="AH382" s="155"/>
      <c r="AI382" s="322"/>
      <c r="AJ382" s="155"/>
      <c r="AK382" s="132"/>
    </row>
    <row r="383">
      <c r="A383" s="314"/>
      <c r="B383" s="313"/>
      <c r="C383" s="313"/>
      <c r="D383" s="313"/>
      <c r="E383" s="314"/>
      <c r="F383" s="314"/>
      <c r="G383" s="314"/>
      <c r="H383" s="318"/>
      <c r="I383" s="314"/>
      <c r="J383" s="314"/>
      <c r="K383" s="314"/>
      <c r="L383" s="314"/>
      <c r="M383" s="736"/>
      <c r="N383" s="318"/>
      <c r="O383" s="318"/>
      <c r="P383" s="314"/>
      <c r="Q383" s="314"/>
      <c r="R383" s="314"/>
      <c r="S383" s="314"/>
      <c r="T383" s="314"/>
      <c r="U383" s="314"/>
      <c r="V383" s="318"/>
      <c r="W383" s="315"/>
      <c r="X383" s="314"/>
      <c r="Y383" s="776"/>
      <c r="Z383" s="314"/>
      <c r="AA383" s="314"/>
      <c r="AB383" s="697"/>
      <c r="AC383" s="318"/>
      <c r="AD383" s="314"/>
      <c r="AE383" s="314"/>
      <c r="AF383" s="324"/>
      <c r="AG383" s="155"/>
      <c r="AH383" s="155"/>
      <c r="AI383" s="322"/>
      <c r="AJ383" s="155"/>
      <c r="AK383" s="132"/>
    </row>
    <row r="384">
      <c r="A384" s="314"/>
      <c r="B384" s="313"/>
      <c r="C384" s="313"/>
      <c r="D384" s="313"/>
      <c r="E384" s="314"/>
      <c r="F384" s="314"/>
      <c r="G384" s="314"/>
      <c r="H384" s="318"/>
      <c r="I384" s="314"/>
      <c r="J384" s="314"/>
      <c r="K384" s="314"/>
      <c r="L384" s="314"/>
      <c r="M384" s="736"/>
      <c r="N384" s="318"/>
      <c r="O384" s="318"/>
      <c r="P384" s="314"/>
      <c r="Q384" s="314"/>
      <c r="R384" s="314"/>
      <c r="S384" s="314"/>
      <c r="T384" s="314"/>
      <c r="U384" s="314"/>
      <c r="V384" s="318"/>
      <c r="W384" s="315"/>
      <c r="X384" s="314"/>
      <c r="Y384" s="776"/>
      <c r="Z384" s="314"/>
      <c r="AA384" s="314"/>
      <c r="AB384" s="697"/>
      <c r="AC384" s="318"/>
      <c r="AD384" s="314"/>
      <c r="AE384" s="314"/>
      <c r="AF384" s="324"/>
      <c r="AG384" s="155"/>
      <c r="AH384" s="155"/>
      <c r="AI384" s="322"/>
      <c r="AJ384" s="155"/>
      <c r="AK384" s="132"/>
    </row>
    <row r="385">
      <c r="A385" s="314"/>
      <c r="B385" s="313"/>
      <c r="C385" s="313"/>
      <c r="D385" s="313"/>
      <c r="E385" s="314"/>
      <c r="F385" s="314"/>
      <c r="G385" s="314"/>
      <c r="H385" s="318"/>
      <c r="I385" s="314"/>
      <c r="J385" s="314"/>
      <c r="K385" s="314"/>
      <c r="L385" s="314"/>
      <c r="M385" s="736"/>
      <c r="N385" s="318"/>
      <c r="O385" s="318"/>
      <c r="P385" s="314"/>
      <c r="Q385" s="314"/>
      <c r="R385" s="314"/>
      <c r="S385" s="314"/>
      <c r="T385" s="314"/>
      <c r="U385" s="314"/>
      <c r="V385" s="318"/>
      <c r="W385" s="315"/>
      <c r="X385" s="314"/>
      <c r="Y385" s="776"/>
      <c r="Z385" s="314"/>
      <c r="AA385" s="314"/>
      <c r="AB385" s="697"/>
      <c r="AC385" s="318"/>
      <c r="AD385" s="314"/>
      <c r="AE385" s="314"/>
      <c r="AF385" s="324"/>
      <c r="AG385" s="155"/>
      <c r="AH385" s="155"/>
      <c r="AI385" s="322"/>
      <c r="AJ385" s="155"/>
      <c r="AK385" s="132"/>
    </row>
    <row r="386">
      <c r="A386" s="314"/>
      <c r="B386" s="313"/>
      <c r="C386" s="313"/>
      <c r="D386" s="313"/>
      <c r="E386" s="314"/>
      <c r="F386" s="314"/>
      <c r="G386" s="314"/>
      <c r="H386" s="318"/>
      <c r="I386" s="314"/>
      <c r="J386" s="314"/>
      <c r="K386" s="314"/>
      <c r="L386" s="314"/>
      <c r="M386" s="736"/>
      <c r="N386" s="318"/>
      <c r="O386" s="318"/>
      <c r="P386" s="314"/>
      <c r="Q386" s="314"/>
      <c r="R386" s="314"/>
      <c r="S386" s="314"/>
      <c r="T386" s="314"/>
      <c r="U386" s="314"/>
      <c r="V386" s="318"/>
      <c r="W386" s="315"/>
      <c r="X386" s="314"/>
      <c r="Y386" s="776"/>
      <c r="Z386" s="314"/>
      <c r="AA386" s="314"/>
      <c r="AB386" s="697"/>
      <c r="AC386" s="318"/>
      <c r="AD386" s="314"/>
      <c r="AE386" s="314"/>
      <c r="AF386" s="324"/>
      <c r="AG386" s="155"/>
      <c r="AH386" s="155"/>
      <c r="AI386" s="322"/>
      <c r="AJ386" s="155"/>
      <c r="AK386" s="132"/>
    </row>
    <row r="387">
      <c r="A387" s="314"/>
      <c r="B387" s="313"/>
      <c r="C387" s="313"/>
      <c r="D387" s="313"/>
      <c r="E387" s="314"/>
      <c r="F387" s="314"/>
      <c r="G387" s="314"/>
      <c r="H387" s="318"/>
      <c r="I387" s="314"/>
      <c r="J387" s="314"/>
      <c r="K387" s="314"/>
      <c r="L387" s="314"/>
      <c r="M387" s="736"/>
      <c r="N387" s="318"/>
      <c r="O387" s="318"/>
      <c r="P387" s="314"/>
      <c r="Q387" s="314"/>
      <c r="R387" s="314"/>
      <c r="S387" s="314"/>
      <c r="T387" s="314"/>
      <c r="U387" s="314"/>
      <c r="V387" s="318"/>
      <c r="W387" s="315"/>
      <c r="X387" s="314"/>
      <c r="Y387" s="776"/>
      <c r="Z387" s="314"/>
      <c r="AA387" s="314"/>
      <c r="AB387" s="697"/>
      <c r="AC387" s="318"/>
      <c r="AD387" s="314"/>
      <c r="AE387" s="314"/>
      <c r="AF387" s="324"/>
      <c r="AG387" s="155"/>
      <c r="AH387" s="155"/>
      <c r="AI387" s="322"/>
      <c r="AJ387" s="155"/>
      <c r="AK387" s="132"/>
    </row>
    <row r="388">
      <c r="A388" s="314"/>
      <c r="B388" s="313"/>
      <c r="C388" s="313"/>
      <c r="D388" s="313"/>
      <c r="E388" s="314"/>
      <c r="F388" s="314"/>
      <c r="G388" s="314"/>
      <c r="H388" s="318"/>
      <c r="I388" s="314"/>
      <c r="J388" s="314"/>
      <c r="K388" s="314"/>
      <c r="L388" s="314"/>
      <c r="M388" s="736"/>
      <c r="N388" s="318"/>
      <c r="O388" s="318"/>
      <c r="P388" s="314"/>
      <c r="Q388" s="314"/>
      <c r="R388" s="314"/>
      <c r="S388" s="314"/>
      <c r="T388" s="314"/>
      <c r="U388" s="314"/>
      <c r="V388" s="318"/>
      <c r="W388" s="315"/>
      <c r="X388" s="314"/>
      <c r="Y388" s="776"/>
      <c r="Z388" s="314"/>
      <c r="AA388" s="314"/>
      <c r="AB388" s="697"/>
      <c r="AC388" s="318"/>
      <c r="AD388" s="314"/>
      <c r="AE388" s="314"/>
      <c r="AF388" s="324"/>
      <c r="AG388" s="155"/>
      <c r="AH388" s="155"/>
      <c r="AI388" s="322"/>
      <c r="AJ388" s="155"/>
      <c r="AK388" s="132"/>
    </row>
    <row r="389">
      <c r="A389" s="314"/>
      <c r="B389" s="313"/>
      <c r="C389" s="313"/>
      <c r="D389" s="313"/>
      <c r="E389" s="314"/>
      <c r="F389" s="314"/>
      <c r="G389" s="314"/>
      <c r="H389" s="318"/>
      <c r="I389" s="314"/>
      <c r="J389" s="314"/>
      <c r="K389" s="314"/>
      <c r="L389" s="314"/>
      <c r="M389" s="736"/>
      <c r="N389" s="318"/>
      <c r="O389" s="318"/>
      <c r="P389" s="314"/>
      <c r="Q389" s="314"/>
      <c r="R389" s="314"/>
      <c r="S389" s="314"/>
      <c r="T389" s="314"/>
      <c r="U389" s="314"/>
      <c r="V389" s="318"/>
      <c r="W389" s="315"/>
      <c r="X389" s="314"/>
      <c r="Y389" s="776"/>
      <c r="Z389" s="314"/>
      <c r="AA389" s="314"/>
      <c r="AB389" s="697"/>
      <c r="AC389" s="318"/>
      <c r="AD389" s="314"/>
      <c r="AE389" s="314"/>
      <c r="AF389" s="324"/>
      <c r="AG389" s="155"/>
      <c r="AH389" s="155"/>
      <c r="AI389" s="322"/>
      <c r="AJ389" s="155"/>
      <c r="AK389" s="132"/>
    </row>
    <row r="390">
      <c r="A390" s="314"/>
      <c r="B390" s="313"/>
      <c r="C390" s="313"/>
      <c r="D390" s="313"/>
      <c r="E390" s="314"/>
      <c r="F390" s="314"/>
      <c r="G390" s="314"/>
      <c r="H390" s="318"/>
      <c r="I390" s="314"/>
      <c r="J390" s="314"/>
      <c r="K390" s="314"/>
      <c r="L390" s="314"/>
      <c r="M390" s="736"/>
      <c r="N390" s="318"/>
      <c r="O390" s="318"/>
      <c r="P390" s="314"/>
      <c r="Q390" s="314"/>
      <c r="R390" s="314"/>
      <c r="S390" s="314"/>
      <c r="T390" s="314"/>
      <c r="U390" s="314"/>
      <c r="V390" s="318"/>
      <c r="W390" s="315"/>
      <c r="X390" s="314"/>
      <c r="Y390" s="776"/>
      <c r="Z390" s="314"/>
      <c r="AA390" s="314"/>
      <c r="AB390" s="697"/>
      <c r="AC390" s="318"/>
      <c r="AD390" s="314"/>
      <c r="AE390" s="314"/>
      <c r="AF390" s="324"/>
      <c r="AG390" s="155"/>
      <c r="AH390" s="155"/>
      <c r="AI390" s="322"/>
      <c r="AJ390" s="155"/>
      <c r="AK390" s="132"/>
    </row>
    <row r="391">
      <c r="A391" s="314"/>
      <c r="B391" s="313"/>
      <c r="C391" s="313"/>
      <c r="D391" s="313"/>
      <c r="E391" s="314"/>
      <c r="F391" s="314"/>
      <c r="G391" s="314"/>
      <c r="H391" s="318"/>
      <c r="I391" s="314"/>
      <c r="J391" s="314"/>
      <c r="K391" s="314"/>
      <c r="L391" s="314"/>
      <c r="M391" s="736"/>
      <c r="N391" s="318"/>
      <c r="O391" s="318"/>
      <c r="P391" s="314"/>
      <c r="Q391" s="314"/>
      <c r="R391" s="314"/>
      <c r="S391" s="314"/>
      <c r="T391" s="314"/>
      <c r="U391" s="314"/>
      <c r="V391" s="318"/>
      <c r="W391" s="315"/>
      <c r="X391" s="314"/>
      <c r="Y391" s="776"/>
      <c r="Z391" s="314"/>
      <c r="AA391" s="314"/>
      <c r="AB391" s="697"/>
      <c r="AC391" s="318"/>
      <c r="AD391" s="314"/>
      <c r="AE391" s="314"/>
      <c r="AF391" s="324"/>
      <c r="AG391" s="155"/>
      <c r="AH391" s="155"/>
      <c r="AI391" s="322"/>
      <c r="AJ391" s="155"/>
      <c r="AK391" s="132"/>
    </row>
    <row r="392">
      <c r="A392" s="314"/>
      <c r="B392" s="313"/>
      <c r="C392" s="313"/>
      <c r="D392" s="313"/>
      <c r="E392" s="314"/>
      <c r="F392" s="314"/>
      <c r="G392" s="314"/>
      <c r="H392" s="318"/>
      <c r="I392" s="314"/>
      <c r="J392" s="314"/>
      <c r="K392" s="314"/>
      <c r="L392" s="314"/>
      <c r="M392" s="736"/>
      <c r="N392" s="318"/>
      <c r="O392" s="318"/>
      <c r="P392" s="314"/>
      <c r="Q392" s="314"/>
      <c r="R392" s="314"/>
      <c r="S392" s="314"/>
      <c r="T392" s="314"/>
      <c r="U392" s="314"/>
      <c r="V392" s="318"/>
      <c r="W392" s="315"/>
      <c r="X392" s="314"/>
      <c r="Y392" s="776"/>
      <c r="Z392" s="314"/>
      <c r="AA392" s="314"/>
      <c r="AB392" s="697"/>
      <c r="AC392" s="318"/>
      <c r="AD392" s="314"/>
      <c r="AE392" s="314"/>
      <c r="AF392" s="324"/>
      <c r="AG392" s="155"/>
      <c r="AH392" s="155"/>
      <c r="AI392" s="322"/>
      <c r="AJ392" s="155"/>
      <c r="AK392" s="132"/>
    </row>
    <row r="393">
      <c r="A393" s="314"/>
      <c r="B393" s="313"/>
      <c r="C393" s="313"/>
      <c r="D393" s="313"/>
      <c r="E393" s="314"/>
      <c r="F393" s="314"/>
      <c r="G393" s="314"/>
      <c r="H393" s="318"/>
      <c r="I393" s="314"/>
      <c r="J393" s="314"/>
      <c r="K393" s="314"/>
      <c r="L393" s="314"/>
      <c r="M393" s="736"/>
      <c r="N393" s="318"/>
      <c r="O393" s="318"/>
      <c r="P393" s="314"/>
      <c r="Q393" s="314"/>
      <c r="R393" s="314"/>
      <c r="S393" s="314"/>
      <c r="T393" s="314"/>
      <c r="U393" s="314"/>
      <c r="V393" s="318"/>
      <c r="W393" s="315"/>
      <c r="X393" s="314"/>
      <c r="Y393" s="776"/>
      <c r="Z393" s="314"/>
      <c r="AA393" s="314"/>
      <c r="AB393" s="697"/>
      <c r="AC393" s="318"/>
      <c r="AD393" s="314"/>
      <c r="AE393" s="314"/>
      <c r="AF393" s="324"/>
      <c r="AG393" s="155"/>
      <c r="AH393" s="155"/>
      <c r="AI393" s="322"/>
      <c r="AJ393" s="155"/>
      <c r="AK393" s="132"/>
    </row>
    <row r="394">
      <c r="A394" s="314"/>
      <c r="B394" s="313"/>
      <c r="C394" s="313"/>
      <c r="D394" s="313"/>
      <c r="E394" s="314"/>
      <c r="F394" s="314"/>
      <c r="G394" s="314"/>
      <c r="H394" s="318"/>
      <c r="I394" s="314"/>
      <c r="J394" s="314"/>
      <c r="K394" s="314"/>
      <c r="L394" s="314"/>
      <c r="M394" s="736"/>
      <c r="N394" s="318"/>
      <c r="O394" s="318"/>
      <c r="P394" s="314"/>
      <c r="Q394" s="314"/>
      <c r="R394" s="314"/>
      <c r="S394" s="314"/>
      <c r="T394" s="314"/>
      <c r="U394" s="314"/>
      <c r="V394" s="318"/>
      <c r="W394" s="315"/>
      <c r="X394" s="314"/>
      <c r="Y394" s="776"/>
      <c r="Z394" s="314"/>
      <c r="AA394" s="314"/>
      <c r="AB394" s="697"/>
      <c r="AC394" s="318"/>
      <c r="AD394" s="314"/>
      <c r="AE394" s="314"/>
      <c r="AF394" s="324"/>
      <c r="AG394" s="155"/>
      <c r="AH394" s="155"/>
      <c r="AI394" s="322"/>
      <c r="AJ394" s="155"/>
      <c r="AK394" s="132"/>
    </row>
    <row r="395">
      <c r="A395" s="435"/>
      <c r="B395" s="313"/>
      <c r="C395" s="437"/>
      <c r="D395" s="313"/>
      <c r="E395" s="435"/>
      <c r="F395" s="314"/>
      <c r="G395" s="314"/>
      <c r="H395" s="740"/>
      <c r="I395" s="435"/>
      <c r="J395" s="314"/>
      <c r="K395" s="435"/>
      <c r="L395" s="435"/>
      <c r="M395" s="736"/>
      <c r="N395" s="318"/>
      <c r="O395" s="318"/>
      <c r="P395" s="435"/>
      <c r="Q395" s="435"/>
      <c r="R395" s="435"/>
      <c r="S395" s="435"/>
      <c r="T395" s="435"/>
      <c r="U395" s="435"/>
      <c r="V395" s="740"/>
      <c r="W395" s="744"/>
      <c r="X395" s="435"/>
      <c r="Y395" s="781"/>
      <c r="Z395" s="435"/>
      <c r="AA395" s="435"/>
      <c r="AB395" s="743"/>
      <c r="AC395" s="740"/>
      <c r="AD395" s="435"/>
      <c r="AE395" s="435"/>
      <c r="AF395" s="324"/>
      <c r="AG395" s="180"/>
      <c r="AH395" s="155"/>
      <c r="AI395" s="322"/>
      <c r="AJ395" s="155"/>
      <c r="AK395" s="132"/>
    </row>
    <row r="396">
      <c r="A396" s="435"/>
      <c r="B396" s="313"/>
      <c r="C396" s="313"/>
      <c r="D396" s="437"/>
      <c r="E396" s="314"/>
      <c r="F396" s="314"/>
      <c r="G396" s="314"/>
      <c r="H396" s="318"/>
      <c r="I396" s="314"/>
      <c r="J396" s="314"/>
      <c r="K396" s="314"/>
      <c r="L396" s="314"/>
      <c r="M396" s="839"/>
      <c r="N396" s="740"/>
      <c r="O396" s="318"/>
      <c r="P396" s="314"/>
      <c r="Q396" s="314"/>
      <c r="R396" s="314"/>
      <c r="S396" s="314"/>
      <c r="T396" s="314"/>
      <c r="U396" s="314"/>
      <c r="V396" s="318"/>
      <c r="W396" s="315"/>
      <c r="X396" s="314"/>
      <c r="Y396" s="776"/>
      <c r="Z396" s="314"/>
      <c r="AA396" s="314"/>
      <c r="AB396" s="697"/>
      <c r="AC396" s="318"/>
      <c r="AD396" s="314"/>
      <c r="AE396" s="314"/>
      <c r="AF396" s="324"/>
      <c r="AG396" s="180"/>
      <c r="AH396" s="155"/>
      <c r="AI396" s="322"/>
      <c r="AJ396" s="155"/>
      <c r="AK396" s="132"/>
    </row>
    <row r="397">
      <c r="A397" s="435"/>
      <c r="B397" s="437"/>
      <c r="C397" s="437"/>
      <c r="D397" s="437"/>
      <c r="E397" s="435"/>
      <c r="F397" s="314"/>
      <c r="G397" s="314"/>
      <c r="H397" s="318"/>
      <c r="I397" s="435"/>
      <c r="J397" s="435"/>
      <c r="K397" s="435"/>
      <c r="L397" s="435"/>
      <c r="M397" s="839"/>
      <c r="N397" s="740"/>
      <c r="O397" s="318"/>
      <c r="P397" s="435"/>
      <c r="Q397" s="314"/>
      <c r="R397" s="435"/>
      <c r="S397" s="435"/>
      <c r="T397" s="435"/>
      <c r="U397" s="435"/>
      <c r="V397" s="740"/>
      <c r="W397" s="744"/>
      <c r="X397" s="435"/>
      <c r="Y397" s="781"/>
      <c r="Z397" s="435"/>
      <c r="AA397" s="435"/>
      <c r="AB397" s="743"/>
      <c r="AC397" s="740"/>
      <c r="AD397" s="435"/>
      <c r="AE397" s="435"/>
      <c r="AF397" s="324"/>
      <c r="AG397" s="180"/>
      <c r="AH397" s="155"/>
      <c r="AI397" s="322"/>
      <c r="AJ397" s="155"/>
      <c r="AK397" s="132"/>
    </row>
    <row r="398">
      <c r="A398" s="435"/>
      <c r="B398" s="313"/>
      <c r="C398" s="313"/>
      <c r="D398" s="437"/>
      <c r="E398" s="314"/>
      <c r="F398" s="314"/>
      <c r="G398" s="314"/>
      <c r="H398" s="318"/>
      <c r="I398" s="435"/>
      <c r="J398" s="314"/>
      <c r="K398" s="435"/>
      <c r="L398" s="314"/>
      <c r="M398" s="736"/>
      <c r="N398" s="318"/>
      <c r="O398" s="318"/>
      <c r="P398" s="314"/>
      <c r="Q398" s="435"/>
      <c r="R398" s="435"/>
      <c r="S398" s="314"/>
      <c r="T398" s="314"/>
      <c r="U398" s="314"/>
      <c r="V398" s="318"/>
      <c r="W398" s="315"/>
      <c r="X398" s="314"/>
      <c r="Y398" s="776"/>
      <c r="Z398" s="314"/>
      <c r="AA398" s="314"/>
      <c r="AB398" s="697"/>
      <c r="AC398" s="318"/>
      <c r="AD398" s="314"/>
      <c r="AE398" s="314"/>
      <c r="AF398" s="324"/>
      <c r="AG398" s="180"/>
      <c r="AH398" s="155"/>
      <c r="AI398" s="322"/>
      <c r="AJ398" s="155"/>
      <c r="AK398" s="132"/>
    </row>
    <row r="399">
      <c r="A399" s="435"/>
      <c r="B399" s="437"/>
      <c r="C399" s="437"/>
      <c r="D399" s="437"/>
      <c r="E399" s="435"/>
      <c r="F399" s="314"/>
      <c r="G399" s="314"/>
      <c r="H399" s="740"/>
      <c r="I399" s="435"/>
      <c r="J399" s="435"/>
      <c r="K399" s="435"/>
      <c r="L399" s="435"/>
      <c r="M399" s="839"/>
      <c r="N399" s="740"/>
      <c r="O399" s="318"/>
      <c r="P399" s="435"/>
      <c r="Q399" s="435"/>
      <c r="R399" s="435"/>
      <c r="S399" s="435"/>
      <c r="T399" s="435"/>
      <c r="U399" s="435"/>
      <c r="V399" s="740"/>
      <c r="W399" s="744"/>
      <c r="X399" s="435"/>
      <c r="Y399" s="781"/>
      <c r="Z399" s="435"/>
      <c r="AA399" s="435"/>
      <c r="AB399" s="743"/>
      <c r="AC399" s="740"/>
      <c r="AD399" s="435"/>
      <c r="AE399" s="435"/>
      <c r="AF399" s="324"/>
      <c r="AG399" s="180"/>
      <c r="AH399" s="155"/>
      <c r="AI399" s="322"/>
      <c r="AJ399" s="155"/>
      <c r="AK399" s="132"/>
    </row>
    <row r="400">
      <c r="A400" s="435"/>
      <c r="B400" s="437"/>
      <c r="C400" s="313"/>
      <c r="D400" s="437"/>
      <c r="E400" s="314"/>
      <c r="F400" s="314"/>
      <c r="G400" s="314"/>
      <c r="H400" s="318"/>
      <c r="I400" s="314"/>
      <c r="J400" s="314"/>
      <c r="K400" s="435"/>
      <c r="L400" s="314"/>
      <c r="M400" s="736"/>
      <c r="N400" s="318"/>
      <c r="O400" s="318"/>
      <c r="P400" s="314"/>
      <c r="Q400" s="314"/>
      <c r="R400" s="314"/>
      <c r="S400" s="435"/>
      <c r="T400" s="435"/>
      <c r="U400" s="435"/>
      <c r="V400" s="740"/>
      <c r="W400" s="744"/>
      <c r="X400" s="435"/>
      <c r="Y400" s="781"/>
      <c r="Z400" s="435"/>
      <c r="AA400" s="435"/>
      <c r="AB400" s="743"/>
      <c r="AC400" s="740"/>
      <c r="AD400" s="435"/>
      <c r="AE400" s="435"/>
      <c r="AF400" s="324"/>
      <c r="AG400" s="180"/>
      <c r="AH400" s="155"/>
      <c r="AI400" s="322"/>
      <c r="AJ400" s="155"/>
      <c r="AK400" s="132"/>
    </row>
    <row r="401">
      <c r="A401" s="435"/>
      <c r="B401" s="437"/>
      <c r="C401" s="437"/>
      <c r="D401" s="437"/>
      <c r="E401" s="435"/>
      <c r="F401" s="314"/>
      <c r="G401" s="314"/>
      <c r="H401" s="740"/>
      <c r="I401" s="314"/>
      <c r="J401" s="314"/>
      <c r="K401" s="435"/>
      <c r="L401" s="314"/>
      <c r="M401" s="736"/>
      <c r="N401" s="318"/>
      <c r="O401" s="318"/>
      <c r="P401" s="435"/>
      <c r="Q401" s="435"/>
      <c r="R401" s="435"/>
      <c r="S401" s="435"/>
      <c r="T401" s="435"/>
      <c r="U401" s="435"/>
      <c r="V401" s="740"/>
      <c r="W401" s="744"/>
      <c r="X401" s="435"/>
      <c r="Y401" s="781"/>
      <c r="Z401" s="435"/>
      <c r="AA401" s="435"/>
      <c r="AB401" s="743"/>
      <c r="AC401" s="740"/>
      <c r="AD401" s="435"/>
      <c r="AE401" s="435"/>
      <c r="AF401" s="324"/>
      <c r="AG401" s="180"/>
      <c r="AH401" s="155"/>
      <c r="AI401" s="322"/>
      <c r="AJ401" s="155"/>
      <c r="AK401" s="132"/>
    </row>
    <row r="402">
      <c r="A402" s="435"/>
      <c r="B402" s="437"/>
      <c r="C402" s="437"/>
      <c r="D402" s="437"/>
      <c r="E402" s="435"/>
      <c r="F402" s="314"/>
      <c r="G402" s="314"/>
      <c r="H402" s="740"/>
      <c r="I402" s="435"/>
      <c r="J402" s="435"/>
      <c r="K402" s="435"/>
      <c r="L402" s="435"/>
      <c r="M402" s="839"/>
      <c r="N402" s="740"/>
      <c r="O402" s="318"/>
      <c r="P402" s="435"/>
      <c r="Q402" s="435"/>
      <c r="R402" s="435"/>
      <c r="S402" s="435"/>
      <c r="T402" s="435"/>
      <c r="U402" s="435"/>
      <c r="V402" s="740"/>
      <c r="W402" s="744"/>
      <c r="X402" s="435"/>
      <c r="Y402" s="781"/>
      <c r="Z402" s="435"/>
      <c r="AA402" s="435"/>
      <c r="AB402" s="743"/>
      <c r="AC402" s="740"/>
      <c r="AD402" s="435"/>
      <c r="AE402" s="435"/>
      <c r="AF402" s="324"/>
      <c r="AG402" s="180"/>
      <c r="AH402" s="155"/>
      <c r="AI402" s="322"/>
      <c r="AJ402" s="155"/>
      <c r="AK402" s="132"/>
    </row>
    <row r="403">
      <c r="A403" s="435"/>
      <c r="B403" s="313"/>
      <c r="C403" s="313"/>
      <c r="D403" s="313"/>
      <c r="E403" s="435"/>
      <c r="F403" s="314"/>
      <c r="G403" s="314"/>
      <c r="H403" s="740"/>
      <c r="I403" s="314"/>
      <c r="J403" s="314"/>
      <c r="K403" s="314"/>
      <c r="L403" s="314"/>
      <c r="M403" s="736"/>
      <c r="N403" s="318"/>
      <c r="O403" s="318"/>
      <c r="P403" s="314"/>
      <c r="Q403" s="314"/>
      <c r="R403" s="314"/>
      <c r="S403" s="314"/>
      <c r="T403" s="314"/>
      <c r="U403" s="314"/>
      <c r="V403" s="318"/>
      <c r="W403" s="315"/>
      <c r="X403" s="314"/>
      <c r="Y403" s="776"/>
      <c r="Z403" s="314"/>
      <c r="AA403" s="314"/>
      <c r="AB403" s="697"/>
      <c r="AC403" s="318"/>
      <c r="AD403" s="314"/>
      <c r="AE403" s="314"/>
      <c r="AF403" s="324"/>
      <c r="AG403" s="180"/>
      <c r="AH403" s="155"/>
      <c r="AI403" s="322"/>
      <c r="AJ403" s="155"/>
      <c r="AK403" s="132"/>
    </row>
    <row r="404">
      <c r="A404" s="435"/>
      <c r="B404" s="313"/>
      <c r="C404" s="313"/>
      <c r="D404" s="437"/>
      <c r="E404" s="314"/>
      <c r="F404" s="314"/>
      <c r="G404" s="314"/>
      <c r="H404" s="740"/>
      <c r="I404" s="314"/>
      <c r="J404" s="435"/>
      <c r="K404" s="435"/>
      <c r="L404" s="314"/>
      <c r="M404" s="839"/>
      <c r="N404" s="318"/>
      <c r="O404" s="318"/>
      <c r="P404" s="314"/>
      <c r="Q404" s="314"/>
      <c r="R404" s="435"/>
      <c r="S404" s="435"/>
      <c r="T404" s="435"/>
      <c r="U404" s="435"/>
      <c r="V404" s="740"/>
      <c r="W404" s="744"/>
      <c r="X404" s="435"/>
      <c r="Y404" s="781"/>
      <c r="Z404" s="435"/>
      <c r="AA404" s="435"/>
      <c r="AB404" s="743"/>
      <c r="AC404" s="740"/>
      <c r="AD404" s="435"/>
      <c r="AE404" s="435"/>
      <c r="AF404" s="324"/>
      <c r="AG404" s="180"/>
      <c r="AH404" s="155"/>
      <c r="AI404" s="322"/>
      <c r="AJ404" s="155"/>
      <c r="AK404" s="132"/>
    </row>
    <row r="405">
      <c r="A405" s="435"/>
      <c r="B405" s="313"/>
      <c r="C405" s="313"/>
      <c r="D405" s="313"/>
      <c r="E405" s="314"/>
      <c r="F405" s="314"/>
      <c r="G405" s="314"/>
      <c r="H405" s="318"/>
      <c r="I405" s="314"/>
      <c r="J405" s="314"/>
      <c r="K405" s="314"/>
      <c r="L405" s="314"/>
      <c r="M405" s="736"/>
      <c r="N405" s="318"/>
      <c r="O405" s="318"/>
      <c r="P405" s="314"/>
      <c r="Q405" s="435"/>
      <c r="R405" s="314"/>
      <c r="S405" s="435"/>
      <c r="T405" s="435"/>
      <c r="U405" s="435"/>
      <c r="V405" s="740"/>
      <c r="W405" s="744"/>
      <c r="X405" s="435"/>
      <c r="Y405" s="781"/>
      <c r="Z405" s="435"/>
      <c r="AA405" s="435"/>
      <c r="AB405" s="743"/>
      <c r="AC405" s="740"/>
      <c r="AD405" s="435"/>
      <c r="AE405" s="435"/>
      <c r="AF405" s="324"/>
      <c r="AG405" s="180"/>
      <c r="AH405" s="155"/>
      <c r="AI405" s="322"/>
      <c r="AJ405" s="155"/>
      <c r="AK405" s="132"/>
    </row>
    <row r="406">
      <c r="A406" s="435"/>
      <c r="B406" s="437"/>
      <c r="C406" s="313"/>
      <c r="D406" s="313"/>
      <c r="E406" s="314"/>
      <c r="F406" s="314"/>
      <c r="G406" s="314"/>
      <c r="H406" s="740"/>
      <c r="I406" s="314"/>
      <c r="J406" s="435"/>
      <c r="K406" s="435"/>
      <c r="L406" s="314"/>
      <c r="M406" s="736"/>
      <c r="N406" s="740"/>
      <c r="O406" s="318"/>
      <c r="P406" s="314"/>
      <c r="Q406" s="314"/>
      <c r="R406" s="435"/>
      <c r="S406" s="435"/>
      <c r="T406" s="435"/>
      <c r="U406" s="435"/>
      <c r="V406" s="740"/>
      <c r="W406" s="744"/>
      <c r="X406" s="435"/>
      <c r="Y406" s="781"/>
      <c r="Z406" s="435"/>
      <c r="AA406" s="435"/>
      <c r="AB406" s="743"/>
      <c r="AC406" s="740"/>
      <c r="AD406" s="435"/>
      <c r="AE406" s="435"/>
      <c r="AF406" s="324"/>
      <c r="AG406" s="180"/>
      <c r="AH406" s="155"/>
      <c r="AI406" s="322"/>
      <c r="AJ406" s="155"/>
      <c r="AK406" s="132"/>
    </row>
    <row r="407">
      <c r="A407" s="435"/>
      <c r="B407" s="313"/>
      <c r="C407" s="437"/>
      <c r="D407" s="437"/>
      <c r="E407" s="435"/>
      <c r="F407" s="314"/>
      <c r="G407" s="314"/>
      <c r="H407" s="740"/>
      <c r="I407" s="314"/>
      <c r="J407" s="314"/>
      <c r="K407" s="435"/>
      <c r="L407" s="314"/>
      <c r="M407" s="736"/>
      <c r="N407" s="318"/>
      <c r="O407" s="318"/>
      <c r="P407" s="314"/>
      <c r="Q407" s="314"/>
      <c r="R407" s="314"/>
      <c r="S407" s="435"/>
      <c r="T407" s="435"/>
      <c r="U407" s="435"/>
      <c r="V407" s="740"/>
      <c r="W407" s="744"/>
      <c r="X407" s="435"/>
      <c r="Y407" s="781"/>
      <c r="Z407" s="435"/>
      <c r="AA407" s="435"/>
      <c r="AB407" s="743"/>
      <c r="AC407" s="740"/>
      <c r="AD407" s="435"/>
      <c r="AE407" s="435"/>
      <c r="AF407" s="324"/>
      <c r="AG407" s="180"/>
      <c r="AH407" s="155"/>
      <c r="AI407" s="322"/>
      <c r="AJ407" s="155"/>
      <c r="AK407" s="132"/>
    </row>
    <row r="408">
      <c r="A408" s="435"/>
      <c r="B408" s="313"/>
      <c r="C408" s="313"/>
      <c r="D408" s="313"/>
      <c r="E408" s="314"/>
      <c r="F408" s="314"/>
      <c r="G408" s="314"/>
      <c r="H408" s="740"/>
      <c r="I408" s="314"/>
      <c r="J408" s="314"/>
      <c r="K408" s="314"/>
      <c r="L408" s="314"/>
      <c r="M408" s="736"/>
      <c r="N408" s="318"/>
      <c r="O408" s="318"/>
      <c r="P408" s="314"/>
      <c r="Q408" s="314"/>
      <c r="R408" s="435"/>
      <c r="S408" s="314"/>
      <c r="T408" s="314"/>
      <c r="U408" s="314"/>
      <c r="V408" s="318"/>
      <c r="W408" s="315"/>
      <c r="X408" s="314"/>
      <c r="Y408" s="776"/>
      <c r="Z408" s="314"/>
      <c r="AA408" s="314"/>
      <c r="AB408" s="697"/>
      <c r="AC408" s="318"/>
      <c r="AD408" s="314"/>
      <c r="AE408" s="314"/>
      <c r="AF408" s="324"/>
      <c r="AG408" s="180"/>
      <c r="AH408" s="155"/>
      <c r="AI408" s="322"/>
      <c r="AJ408" s="155"/>
      <c r="AK408" s="132"/>
    </row>
    <row r="409">
      <c r="A409" s="435"/>
      <c r="B409" s="437"/>
      <c r="C409" s="437"/>
      <c r="D409" s="437"/>
      <c r="E409" s="435"/>
      <c r="F409" s="314"/>
      <c r="G409" s="314"/>
      <c r="H409" s="740"/>
      <c r="I409" s="435"/>
      <c r="J409" s="435"/>
      <c r="K409" s="435"/>
      <c r="L409" s="435"/>
      <c r="M409" s="839"/>
      <c r="N409" s="740"/>
      <c r="O409" s="318"/>
      <c r="P409" s="435"/>
      <c r="Q409" s="435"/>
      <c r="R409" s="435"/>
      <c r="S409" s="435"/>
      <c r="T409" s="435"/>
      <c r="U409" s="435"/>
      <c r="V409" s="740"/>
      <c r="W409" s="744"/>
      <c r="X409" s="435"/>
      <c r="Y409" s="781"/>
      <c r="Z409" s="435"/>
      <c r="AA409" s="435"/>
      <c r="AB409" s="743"/>
      <c r="AC409" s="740"/>
      <c r="AD409" s="435"/>
      <c r="AE409" s="435"/>
      <c r="AF409" s="324"/>
      <c r="AG409" s="180"/>
      <c r="AH409" s="155"/>
      <c r="AI409" s="322"/>
      <c r="AJ409" s="155"/>
      <c r="AK409" s="132"/>
    </row>
    <row r="410">
      <c r="A410" s="435"/>
      <c r="B410" s="313"/>
      <c r="C410" s="313"/>
      <c r="D410" s="313"/>
      <c r="E410" s="314"/>
      <c r="F410" s="314"/>
      <c r="G410" s="314"/>
      <c r="H410" s="318"/>
      <c r="I410" s="314"/>
      <c r="J410" s="314"/>
      <c r="K410" s="314"/>
      <c r="L410" s="314"/>
      <c r="M410" s="839"/>
      <c r="N410" s="318"/>
      <c r="O410" s="318"/>
      <c r="P410" s="314"/>
      <c r="Q410" s="314"/>
      <c r="R410" s="314"/>
      <c r="S410" s="314"/>
      <c r="T410" s="314"/>
      <c r="U410" s="314"/>
      <c r="V410" s="318"/>
      <c r="W410" s="315"/>
      <c r="X410" s="314"/>
      <c r="Y410" s="776"/>
      <c r="Z410" s="314"/>
      <c r="AA410" s="314"/>
      <c r="AB410" s="697"/>
      <c r="AC410" s="318"/>
      <c r="AD410" s="314"/>
      <c r="AE410" s="314"/>
      <c r="AF410" s="324"/>
      <c r="AG410" s="180"/>
      <c r="AH410" s="155"/>
      <c r="AI410" s="322"/>
      <c r="AJ410" s="155"/>
      <c r="AK410" s="132"/>
    </row>
    <row r="411">
      <c r="A411" s="435"/>
      <c r="B411" s="313"/>
      <c r="C411" s="437"/>
      <c r="D411" s="437"/>
      <c r="E411" s="435"/>
      <c r="F411" s="314"/>
      <c r="G411" s="314"/>
      <c r="H411" s="740"/>
      <c r="I411" s="435"/>
      <c r="J411" s="435"/>
      <c r="K411" s="435"/>
      <c r="L411" s="314"/>
      <c r="M411" s="839"/>
      <c r="N411" s="740"/>
      <c r="O411" s="318"/>
      <c r="P411" s="435"/>
      <c r="Q411" s="435"/>
      <c r="R411" s="435"/>
      <c r="S411" s="435"/>
      <c r="T411" s="435"/>
      <c r="U411" s="435"/>
      <c r="V411" s="740"/>
      <c r="W411" s="744"/>
      <c r="X411" s="435"/>
      <c r="Y411" s="781"/>
      <c r="Z411" s="435"/>
      <c r="AA411" s="435"/>
      <c r="AB411" s="743"/>
      <c r="AC411" s="740"/>
      <c r="AD411" s="435"/>
      <c r="AE411" s="435"/>
      <c r="AF411" s="324"/>
      <c r="AG411" s="180"/>
      <c r="AH411" s="155"/>
      <c r="AI411" s="322"/>
      <c r="AJ411" s="155"/>
      <c r="AK411" s="132"/>
    </row>
    <row r="412">
      <c r="A412" s="435"/>
      <c r="B412" s="437"/>
      <c r="C412" s="437"/>
      <c r="D412" s="313"/>
      <c r="E412" s="435"/>
      <c r="F412" s="314"/>
      <c r="G412" s="314"/>
      <c r="H412" s="740"/>
      <c r="I412" s="435"/>
      <c r="J412" s="314"/>
      <c r="K412" s="435"/>
      <c r="L412" s="435"/>
      <c r="M412" s="736"/>
      <c r="N412" s="740"/>
      <c r="O412" s="318"/>
      <c r="P412" s="435"/>
      <c r="Q412" s="314"/>
      <c r="R412" s="435"/>
      <c r="S412" s="435"/>
      <c r="T412" s="435"/>
      <c r="U412" s="435"/>
      <c r="V412" s="740"/>
      <c r="W412" s="744"/>
      <c r="X412" s="435"/>
      <c r="Y412" s="781"/>
      <c r="Z412" s="435"/>
      <c r="AA412" s="435"/>
      <c r="AB412" s="743"/>
      <c r="AC412" s="740"/>
      <c r="AD412" s="435"/>
      <c r="AE412" s="435"/>
      <c r="AF412" s="324"/>
      <c r="AG412" s="180"/>
      <c r="AH412" s="155"/>
      <c r="AI412" s="322"/>
      <c r="AJ412" s="155"/>
      <c r="AK412" s="132"/>
    </row>
    <row r="413">
      <c r="A413" s="458"/>
      <c r="B413" s="437"/>
      <c r="C413" s="437"/>
      <c r="D413" s="437"/>
      <c r="E413" s="435"/>
      <c r="F413" s="314"/>
      <c r="G413" s="314"/>
      <c r="H413" s="318"/>
      <c r="I413" s="435"/>
      <c r="J413" s="435"/>
      <c r="K413" s="435"/>
      <c r="L413" s="435"/>
      <c r="M413" s="839"/>
      <c r="N413" s="740"/>
      <c r="O413" s="318"/>
      <c r="P413" s="435"/>
      <c r="Q413" s="435"/>
      <c r="R413" s="435"/>
      <c r="S413" s="435"/>
      <c r="T413" s="435"/>
      <c r="U413" s="435"/>
      <c r="V413" s="740"/>
      <c r="W413" s="744"/>
      <c r="X413" s="435"/>
      <c r="Y413" s="781"/>
      <c r="Z413" s="435"/>
      <c r="AA413" s="435"/>
      <c r="AB413" s="743"/>
      <c r="AC413" s="740"/>
      <c r="AD413" s="435"/>
      <c r="AE413" s="435"/>
      <c r="AF413" s="324"/>
      <c r="AG413" s="180"/>
      <c r="AH413" s="155"/>
      <c r="AI413" s="322"/>
      <c r="AJ413" s="155"/>
      <c r="AK413" s="132"/>
    </row>
    <row r="414">
      <c r="A414" s="458"/>
      <c r="B414" s="437"/>
      <c r="C414" s="437"/>
      <c r="D414" s="437"/>
      <c r="E414" s="435"/>
      <c r="F414" s="314"/>
      <c r="G414" s="314"/>
      <c r="H414" s="318"/>
      <c r="I414" s="314"/>
      <c r="J414" s="435"/>
      <c r="K414" s="435"/>
      <c r="L414" s="435"/>
      <c r="M414" s="839"/>
      <c r="N414" s="740"/>
      <c r="O414" s="318"/>
      <c r="P414" s="435"/>
      <c r="Q414" s="435"/>
      <c r="R414" s="435"/>
      <c r="S414" s="435"/>
      <c r="T414" s="435"/>
      <c r="U414" s="435"/>
      <c r="V414" s="740"/>
      <c r="W414" s="744"/>
      <c r="X414" s="435"/>
      <c r="Y414" s="781"/>
      <c r="Z414" s="435"/>
      <c r="AA414" s="435"/>
      <c r="AB414" s="743"/>
      <c r="AC414" s="740"/>
      <c r="AD414" s="435"/>
      <c r="AE414" s="435"/>
      <c r="AF414" s="324"/>
      <c r="AG414" s="180"/>
      <c r="AH414" s="155"/>
      <c r="AI414" s="322"/>
      <c r="AJ414" s="155"/>
      <c r="AK414" s="132"/>
    </row>
    <row r="415">
      <c r="A415" s="458"/>
      <c r="B415" s="437"/>
      <c r="C415" s="437"/>
      <c r="D415" s="437"/>
      <c r="E415" s="314"/>
      <c r="F415" s="314"/>
      <c r="G415" s="314"/>
      <c r="H415" s="318"/>
      <c r="I415" s="435"/>
      <c r="J415" s="435"/>
      <c r="K415" s="435"/>
      <c r="L415" s="435"/>
      <c r="M415" s="839"/>
      <c r="N415" s="740"/>
      <c r="O415" s="318"/>
      <c r="P415" s="435"/>
      <c r="Q415" s="314"/>
      <c r="R415" s="435"/>
      <c r="S415" s="435"/>
      <c r="T415" s="435"/>
      <c r="U415" s="435"/>
      <c r="V415" s="740"/>
      <c r="W415" s="744"/>
      <c r="X415" s="435"/>
      <c r="Y415" s="781"/>
      <c r="Z415" s="435"/>
      <c r="AA415" s="435"/>
      <c r="AB415" s="743"/>
      <c r="AC415" s="740"/>
      <c r="AD415" s="435"/>
      <c r="AE415" s="435"/>
      <c r="AF415" s="324"/>
      <c r="AG415" s="180"/>
      <c r="AH415" s="155"/>
      <c r="AI415" s="322"/>
      <c r="AJ415" s="155"/>
      <c r="AK415" s="132"/>
    </row>
    <row r="416">
      <c r="A416" s="458"/>
      <c r="B416" s="313"/>
      <c r="C416" s="313"/>
      <c r="D416" s="313"/>
      <c r="E416" s="314"/>
      <c r="F416" s="314"/>
      <c r="G416" s="314"/>
      <c r="H416" s="318"/>
      <c r="I416" s="314"/>
      <c r="J416" s="314"/>
      <c r="K416" s="314"/>
      <c r="L416" s="314"/>
      <c r="M416" s="736"/>
      <c r="N416" s="318"/>
      <c r="O416" s="318"/>
      <c r="P416" s="314"/>
      <c r="Q416" s="314"/>
      <c r="R416" s="314"/>
      <c r="S416" s="314"/>
      <c r="T416" s="314"/>
      <c r="U416" s="314"/>
      <c r="V416" s="318"/>
      <c r="W416" s="315"/>
      <c r="X416" s="314"/>
      <c r="Y416" s="776"/>
      <c r="Z416" s="314"/>
      <c r="AA416" s="314"/>
      <c r="AB416" s="697"/>
      <c r="AC416" s="318"/>
      <c r="AD416" s="314"/>
      <c r="AE416" s="314"/>
      <c r="AF416" s="324"/>
      <c r="AG416" s="180"/>
      <c r="AH416" s="155"/>
      <c r="AI416" s="322"/>
      <c r="AJ416" s="155"/>
      <c r="AK416" s="132"/>
    </row>
    <row r="417">
      <c r="A417" s="458"/>
      <c r="B417" s="437"/>
      <c r="C417" s="437"/>
      <c r="D417" s="437"/>
      <c r="E417" s="314"/>
      <c r="F417" s="314"/>
      <c r="G417" s="314"/>
      <c r="H417" s="318"/>
      <c r="I417" s="314"/>
      <c r="J417" s="314"/>
      <c r="K417" s="435"/>
      <c r="L417" s="435"/>
      <c r="M417" s="839"/>
      <c r="N417" s="318"/>
      <c r="O417" s="318"/>
      <c r="P417" s="435"/>
      <c r="Q417" s="435"/>
      <c r="R417" s="435"/>
      <c r="S417" s="435"/>
      <c r="T417" s="435"/>
      <c r="U417" s="435"/>
      <c r="V417" s="740"/>
      <c r="W417" s="744"/>
      <c r="X417" s="435"/>
      <c r="Y417" s="781"/>
      <c r="Z417" s="435"/>
      <c r="AA417" s="435"/>
      <c r="AB417" s="743"/>
      <c r="AC417" s="740"/>
      <c r="AD417" s="435"/>
      <c r="AE417" s="435"/>
      <c r="AF417" s="324"/>
      <c r="AG417" s="180"/>
      <c r="AH417" s="155"/>
      <c r="AI417" s="322"/>
      <c r="AJ417" s="155"/>
      <c r="AK417" s="132"/>
    </row>
    <row r="418">
      <c r="A418" s="458"/>
      <c r="B418" s="313"/>
      <c r="C418" s="313"/>
      <c r="D418" s="437"/>
      <c r="E418" s="314"/>
      <c r="F418" s="314"/>
      <c r="G418" s="314"/>
      <c r="H418" s="318"/>
      <c r="I418" s="314"/>
      <c r="J418" s="314"/>
      <c r="K418" s="314"/>
      <c r="L418" s="314"/>
      <c r="M418" s="736"/>
      <c r="N418" s="318"/>
      <c r="O418" s="318"/>
      <c r="P418" s="314"/>
      <c r="Q418" s="314"/>
      <c r="R418" s="314"/>
      <c r="S418" s="314"/>
      <c r="T418" s="314"/>
      <c r="U418" s="314"/>
      <c r="V418" s="318"/>
      <c r="W418" s="315"/>
      <c r="X418" s="314"/>
      <c r="Y418" s="776"/>
      <c r="Z418" s="314"/>
      <c r="AA418" s="314"/>
      <c r="AB418" s="697"/>
      <c r="AC418" s="318"/>
      <c r="AD418" s="314"/>
      <c r="AE418" s="314"/>
      <c r="AF418" s="324"/>
      <c r="AG418" s="180"/>
      <c r="AH418" s="155"/>
      <c r="AI418" s="322"/>
      <c r="AJ418" s="155"/>
      <c r="AK418" s="132"/>
    </row>
    <row r="419">
      <c r="A419" s="458"/>
      <c r="B419" s="313"/>
      <c r="C419" s="437"/>
      <c r="D419" s="313"/>
      <c r="E419" s="314"/>
      <c r="F419" s="314"/>
      <c r="G419" s="314"/>
      <c r="H419" s="318"/>
      <c r="I419" s="435"/>
      <c r="J419" s="314"/>
      <c r="K419" s="314"/>
      <c r="L419" s="435"/>
      <c r="M419" s="736"/>
      <c r="N419" s="318"/>
      <c r="O419" s="318"/>
      <c r="P419" s="314"/>
      <c r="Q419" s="435"/>
      <c r="R419" s="435"/>
      <c r="S419" s="435"/>
      <c r="T419" s="435"/>
      <c r="U419" s="435"/>
      <c r="V419" s="740"/>
      <c r="W419" s="744"/>
      <c r="X419" s="435"/>
      <c r="Y419" s="781"/>
      <c r="Z419" s="435"/>
      <c r="AA419" s="435"/>
      <c r="AB419" s="743"/>
      <c r="AC419" s="740"/>
      <c r="AD419" s="435"/>
      <c r="AE419" s="435"/>
      <c r="AF419" s="324"/>
      <c r="AG419" s="180"/>
      <c r="AH419" s="155"/>
      <c r="AI419" s="322"/>
      <c r="AJ419" s="155"/>
      <c r="AK419" s="132"/>
    </row>
    <row r="420">
      <c r="A420" s="458"/>
      <c r="B420" s="313"/>
      <c r="C420" s="437"/>
      <c r="D420" s="437"/>
      <c r="E420" s="435"/>
      <c r="F420" s="314"/>
      <c r="G420" s="314"/>
      <c r="H420" s="740"/>
      <c r="I420" s="435"/>
      <c r="J420" s="314"/>
      <c r="K420" s="435"/>
      <c r="L420" s="435"/>
      <c r="M420" s="736"/>
      <c r="N420" s="318"/>
      <c r="O420" s="318"/>
      <c r="P420" s="435"/>
      <c r="Q420" s="435"/>
      <c r="R420" s="435"/>
      <c r="S420" s="435"/>
      <c r="T420" s="435"/>
      <c r="U420" s="435"/>
      <c r="V420" s="740"/>
      <c r="W420" s="744"/>
      <c r="X420" s="435"/>
      <c r="Y420" s="781"/>
      <c r="Z420" s="435"/>
      <c r="AA420" s="435"/>
      <c r="AB420" s="743"/>
      <c r="AC420" s="740"/>
      <c r="AD420" s="435"/>
      <c r="AE420" s="435"/>
      <c r="AF420" s="324"/>
      <c r="AG420" s="180"/>
      <c r="AH420" s="155"/>
      <c r="AI420" s="322"/>
      <c r="AJ420" s="155"/>
      <c r="AK420" s="132"/>
    </row>
    <row r="421">
      <c r="A421" s="458"/>
      <c r="B421" s="313"/>
      <c r="C421" s="437"/>
      <c r="D421" s="437"/>
      <c r="E421" s="314"/>
      <c r="F421" s="314"/>
      <c r="G421" s="314"/>
      <c r="H421" s="318"/>
      <c r="I421" s="314"/>
      <c r="J421" s="314"/>
      <c r="K421" s="435"/>
      <c r="L421" s="314"/>
      <c r="M421" s="736"/>
      <c r="N421" s="318"/>
      <c r="O421" s="318"/>
      <c r="P421" s="314"/>
      <c r="Q421" s="314"/>
      <c r="R421" s="435"/>
      <c r="S421" s="435"/>
      <c r="T421" s="435"/>
      <c r="U421" s="435"/>
      <c r="V421" s="740"/>
      <c r="W421" s="744"/>
      <c r="X421" s="435"/>
      <c r="Y421" s="781"/>
      <c r="Z421" s="435"/>
      <c r="AA421" s="435"/>
      <c r="AB421" s="743"/>
      <c r="AC421" s="740"/>
      <c r="AD421" s="435"/>
      <c r="AE421" s="435"/>
      <c r="AF421" s="324"/>
      <c r="AG421" s="180"/>
      <c r="AH421" s="155"/>
      <c r="AI421" s="322"/>
      <c r="AJ421" s="155"/>
      <c r="AK421" s="132"/>
    </row>
    <row r="422">
      <c r="A422" s="458"/>
      <c r="B422" s="437"/>
      <c r="C422" s="437"/>
      <c r="D422" s="437"/>
      <c r="E422" s="435"/>
      <c r="F422" s="314"/>
      <c r="G422" s="314"/>
      <c r="H422" s="740"/>
      <c r="I422" s="435"/>
      <c r="J422" s="435"/>
      <c r="K422" s="435"/>
      <c r="L422" s="435"/>
      <c r="M422" s="839"/>
      <c r="N422" s="740"/>
      <c r="O422" s="318"/>
      <c r="P422" s="435"/>
      <c r="Q422" s="435"/>
      <c r="R422" s="435"/>
      <c r="S422" s="435"/>
      <c r="T422" s="435"/>
      <c r="U422" s="435"/>
      <c r="V422" s="740"/>
      <c r="W422" s="744"/>
      <c r="X422" s="435"/>
      <c r="Y422" s="781"/>
      <c r="Z422" s="435"/>
      <c r="AA422" s="435"/>
      <c r="AB422" s="743"/>
      <c r="AC422" s="740"/>
      <c r="AD422" s="435"/>
      <c r="AE422" s="435"/>
      <c r="AF422" s="324"/>
      <c r="AG422" s="180"/>
      <c r="AH422" s="155"/>
      <c r="AI422" s="322"/>
      <c r="AJ422" s="155"/>
      <c r="AK422" s="132"/>
    </row>
    <row r="423">
      <c r="A423" s="435"/>
      <c r="B423" s="437"/>
      <c r="C423" s="437"/>
      <c r="D423" s="437"/>
      <c r="E423" s="435"/>
      <c r="F423" s="314"/>
      <c r="G423" s="314"/>
      <c r="H423" s="740"/>
      <c r="I423" s="435"/>
      <c r="J423" s="435"/>
      <c r="K423" s="435"/>
      <c r="L423" s="435"/>
      <c r="M423" s="839"/>
      <c r="N423" s="740"/>
      <c r="O423" s="318"/>
      <c r="P423" s="435"/>
      <c r="Q423" s="435"/>
      <c r="R423" s="435"/>
      <c r="S423" s="435"/>
      <c r="T423" s="435"/>
      <c r="U423" s="435"/>
      <c r="V423" s="740"/>
      <c r="W423" s="744"/>
      <c r="X423" s="435"/>
      <c r="Y423" s="781"/>
      <c r="Z423" s="435"/>
      <c r="AA423" s="435"/>
      <c r="AB423" s="743"/>
      <c r="AC423" s="740"/>
      <c r="AD423" s="435"/>
      <c r="AE423" s="435"/>
      <c r="AF423" s="324"/>
      <c r="AG423" s="180"/>
      <c r="AH423" s="155"/>
      <c r="AI423" s="322"/>
      <c r="AJ423" s="155"/>
      <c r="AK423" s="132"/>
    </row>
    <row r="424">
      <c r="A424" s="474"/>
      <c r="B424" s="437"/>
      <c r="C424" s="437"/>
      <c r="D424" s="437"/>
      <c r="E424" s="435"/>
      <c r="F424" s="314"/>
      <c r="G424" s="314"/>
      <c r="H424" s="740"/>
      <c r="I424" s="435"/>
      <c r="J424" s="435"/>
      <c r="K424" s="435"/>
      <c r="L424" s="435"/>
      <c r="M424" s="839"/>
      <c r="N424" s="740"/>
      <c r="O424" s="318"/>
      <c r="P424" s="435"/>
      <c r="Q424" s="435"/>
      <c r="R424" s="435"/>
      <c r="S424" s="435"/>
      <c r="T424" s="435"/>
      <c r="U424" s="435"/>
      <c r="V424" s="740"/>
      <c r="W424" s="744"/>
      <c r="X424" s="435"/>
      <c r="Y424" s="781"/>
      <c r="Z424" s="435"/>
      <c r="AA424" s="435"/>
      <c r="AB424" s="743"/>
      <c r="AC424" s="740"/>
      <c r="AD424" s="435"/>
      <c r="AE424" s="435"/>
      <c r="AF424" s="324"/>
      <c r="AG424" s="180"/>
      <c r="AH424" s="155"/>
      <c r="AI424" s="322"/>
      <c r="AJ424" s="155"/>
      <c r="AK424" s="132"/>
    </row>
    <row r="425">
      <c r="A425" s="474"/>
      <c r="B425" s="437"/>
      <c r="C425" s="313"/>
      <c r="D425" s="437"/>
      <c r="E425" s="435"/>
      <c r="F425" s="314"/>
      <c r="G425" s="314"/>
      <c r="H425" s="740"/>
      <c r="I425" s="435"/>
      <c r="J425" s="435"/>
      <c r="K425" s="314"/>
      <c r="L425" s="314"/>
      <c r="M425" s="736"/>
      <c r="N425" s="740"/>
      <c r="O425" s="318"/>
      <c r="P425" s="314"/>
      <c r="Q425" s="435"/>
      <c r="R425" s="314"/>
      <c r="S425" s="435"/>
      <c r="T425" s="435"/>
      <c r="U425" s="435"/>
      <c r="V425" s="740"/>
      <c r="W425" s="744"/>
      <c r="X425" s="435"/>
      <c r="Y425" s="781"/>
      <c r="Z425" s="435"/>
      <c r="AA425" s="435"/>
      <c r="AB425" s="743"/>
      <c r="AC425" s="740"/>
      <c r="AD425" s="435"/>
      <c r="AE425" s="435"/>
      <c r="AF425" s="324"/>
      <c r="AG425" s="180"/>
      <c r="AH425" s="155"/>
      <c r="AI425" s="322"/>
      <c r="AJ425" s="155"/>
      <c r="AK425" s="132"/>
    </row>
    <row r="426">
      <c r="A426" s="474"/>
      <c r="B426" s="313"/>
      <c r="C426" s="313"/>
      <c r="D426" s="313"/>
      <c r="E426" s="314"/>
      <c r="F426" s="314"/>
      <c r="G426" s="314"/>
      <c r="H426" s="318"/>
      <c r="I426" s="314"/>
      <c r="J426" s="314"/>
      <c r="K426" s="435"/>
      <c r="L426" s="314"/>
      <c r="M426" s="736"/>
      <c r="N426" s="318"/>
      <c r="O426" s="318"/>
      <c r="P426" s="435"/>
      <c r="Q426" s="314"/>
      <c r="R426" s="314"/>
      <c r="S426" s="314"/>
      <c r="T426" s="314"/>
      <c r="U426" s="314"/>
      <c r="V426" s="318"/>
      <c r="W426" s="315"/>
      <c r="X426" s="314"/>
      <c r="Y426" s="776"/>
      <c r="Z426" s="314"/>
      <c r="AA426" s="314"/>
      <c r="AB426" s="697"/>
      <c r="AC426" s="318"/>
      <c r="AD426" s="314"/>
      <c r="AE426" s="314"/>
      <c r="AF426" s="324"/>
      <c r="AG426" s="180"/>
      <c r="AH426" s="155"/>
      <c r="AI426" s="322"/>
      <c r="AJ426" s="155"/>
      <c r="AK426" s="132"/>
    </row>
    <row r="427">
      <c r="A427" s="474"/>
      <c r="B427" s="313"/>
      <c r="C427" s="437"/>
      <c r="D427" s="437"/>
      <c r="E427" s="314"/>
      <c r="F427" s="314"/>
      <c r="G427" s="314"/>
      <c r="H427" s="318"/>
      <c r="I427" s="435"/>
      <c r="J427" s="314"/>
      <c r="K427" s="314"/>
      <c r="L427" s="314"/>
      <c r="M427" s="736"/>
      <c r="N427" s="318"/>
      <c r="O427" s="318"/>
      <c r="P427" s="314"/>
      <c r="Q427" s="314"/>
      <c r="R427" s="314"/>
      <c r="S427" s="314"/>
      <c r="T427" s="314"/>
      <c r="U427" s="314"/>
      <c r="V427" s="318"/>
      <c r="W427" s="315"/>
      <c r="X427" s="314"/>
      <c r="Y427" s="776"/>
      <c r="Z427" s="314"/>
      <c r="AA427" s="314"/>
      <c r="AB427" s="697"/>
      <c r="AC427" s="318"/>
      <c r="AD427" s="314"/>
      <c r="AE427" s="314"/>
      <c r="AF427" s="324"/>
      <c r="AG427" s="180"/>
      <c r="AH427" s="155"/>
      <c r="AI427" s="322"/>
      <c r="AJ427" s="155"/>
      <c r="AK427" s="132"/>
    </row>
    <row r="428">
      <c r="A428" s="474"/>
      <c r="B428" s="313"/>
      <c r="C428" s="313"/>
      <c r="D428" s="313"/>
      <c r="E428" s="314"/>
      <c r="F428" s="314"/>
      <c r="G428" s="314"/>
      <c r="H428" s="318"/>
      <c r="I428" s="314"/>
      <c r="J428" s="314"/>
      <c r="K428" s="435"/>
      <c r="L428" s="314"/>
      <c r="M428" s="736"/>
      <c r="N428" s="318"/>
      <c r="O428" s="318"/>
      <c r="P428" s="314"/>
      <c r="Q428" s="314"/>
      <c r="R428" s="314"/>
      <c r="S428" s="314"/>
      <c r="T428" s="314"/>
      <c r="U428" s="314"/>
      <c r="V428" s="318"/>
      <c r="W428" s="315"/>
      <c r="X428" s="314"/>
      <c r="Y428" s="776"/>
      <c r="Z428" s="314"/>
      <c r="AA428" s="314"/>
      <c r="AB428" s="697"/>
      <c r="AC428" s="318"/>
      <c r="AD428" s="314"/>
      <c r="AE428" s="314"/>
      <c r="AF428" s="324"/>
      <c r="AG428" s="180"/>
      <c r="AH428" s="155"/>
      <c r="AI428" s="322"/>
      <c r="AJ428" s="155"/>
      <c r="AK428" s="132"/>
    </row>
    <row r="429">
      <c r="A429" s="458"/>
      <c r="B429" s="313"/>
      <c r="C429" s="437"/>
      <c r="D429" s="313"/>
      <c r="E429" s="314"/>
      <c r="F429" s="314"/>
      <c r="G429" s="314"/>
      <c r="H429" s="318"/>
      <c r="I429" s="314"/>
      <c r="J429" s="435"/>
      <c r="K429" s="435"/>
      <c r="L429" s="314"/>
      <c r="M429" s="736"/>
      <c r="N429" s="318"/>
      <c r="O429" s="318"/>
      <c r="P429" s="314"/>
      <c r="Q429" s="314"/>
      <c r="R429" s="314"/>
      <c r="S429" s="314"/>
      <c r="T429" s="314"/>
      <c r="U429" s="314"/>
      <c r="V429" s="318"/>
      <c r="W429" s="315"/>
      <c r="X429" s="314"/>
      <c r="Y429" s="776"/>
      <c r="Z429" s="314"/>
      <c r="AA429" s="314"/>
      <c r="AB429" s="697"/>
      <c r="AC429" s="318"/>
      <c r="AD429" s="314"/>
      <c r="AE429" s="314"/>
      <c r="AF429" s="324"/>
      <c r="AG429" s="180"/>
      <c r="AH429" s="155"/>
      <c r="AI429" s="322"/>
      <c r="AJ429" s="155"/>
      <c r="AK429" s="132"/>
    </row>
    <row r="430">
      <c r="A430" s="435"/>
      <c r="B430" s="313"/>
      <c r="C430" s="437"/>
      <c r="D430" s="437"/>
      <c r="E430" s="435"/>
      <c r="F430" s="314"/>
      <c r="G430" s="314"/>
      <c r="H430" s="740"/>
      <c r="I430" s="314"/>
      <c r="J430" s="314"/>
      <c r="K430" s="435"/>
      <c r="L430" s="314"/>
      <c r="M430" s="839"/>
      <c r="N430" s="740"/>
      <c r="O430" s="318"/>
      <c r="P430" s="314"/>
      <c r="Q430" s="314"/>
      <c r="R430" s="435"/>
      <c r="S430" s="314"/>
      <c r="T430" s="314"/>
      <c r="U430" s="314"/>
      <c r="V430" s="318"/>
      <c r="W430" s="315"/>
      <c r="X430" s="314"/>
      <c r="Y430" s="776"/>
      <c r="Z430" s="314"/>
      <c r="AA430" s="314"/>
      <c r="AB430" s="697"/>
      <c r="AC430" s="318"/>
      <c r="AD430" s="314"/>
      <c r="AE430" s="314"/>
      <c r="AF430" s="324"/>
      <c r="AG430" s="180"/>
      <c r="AH430" s="155"/>
      <c r="AI430" s="322"/>
      <c r="AJ430" s="155"/>
      <c r="AK430" s="132"/>
    </row>
    <row r="431">
      <c r="A431" s="435"/>
      <c r="B431" s="437"/>
      <c r="C431" s="313"/>
      <c r="D431" s="313"/>
      <c r="E431" s="314"/>
      <c r="F431" s="314"/>
      <c r="G431" s="314"/>
      <c r="H431" s="318"/>
      <c r="I431" s="314"/>
      <c r="J431" s="314"/>
      <c r="K431" s="314"/>
      <c r="L431" s="314"/>
      <c r="M431" s="736"/>
      <c r="N431" s="318"/>
      <c r="O431" s="318"/>
      <c r="P431" s="435"/>
      <c r="Q431" s="314"/>
      <c r="R431" s="314"/>
      <c r="S431" s="314"/>
      <c r="T431" s="314"/>
      <c r="U431" s="314"/>
      <c r="V431" s="318"/>
      <c r="W431" s="315"/>
      <c r="X431" s="314"/>
      <c r="Y431" s="776"/>
      <c r="Z431" s="314"/>
      <c r="AA431" s="314"/>
      <c r="AB431" s="697"/>
      <c r="AC431" s="318"/>
      <c r="AD431" s="314"/>
      <c r="AE431" s="314"/>
      <c r="AF431" s="324"/>
      <c r="AG431" s="180"/>
      <c r="AH431" s="155"/>
      <c r="AI431" s="322"/>
      <c r="AJ431" s="155"/>
      <c r="AK431" s="132"/>
    </row>
    <row r="432">
      <c r="A432" s="435"/>
      <c r="B432" s="437"/>
      <c r="C432" s="313"/>
      <c r="D432" s="313"/>
      <c r="E432" s="314"/>
      <c r="F432" s="314"/>
      <c r="G432" s="314"/>
      <c r="H432" s="318"/>
      <c r="I432" s="314"/>
      <c r="J432" s="314"/>
      <c r="K432" s="314"/>
      <c r="L432" s="314"/>
      <c r="M432" s="736"/>
      <c r="N432" s="318"/>
      <c r="O432" s="318"/>
      <c r="P432" s="314"/>
      <c r="Q432" s="435"/>
      <c r="R432" s="314"/>
      <c r="S432" s="435"/>
      <c r="T432" s="435"/>
      <c r="U432" s="435"/>
      <c r="V432" s="740"/>
      <c r="W432" s="744"/>
      <c r="X432" s="435"/>
      <c r="Y432" s="781"/>
      <c r="Z432" s="435"/>
      <c r="AA432" s="435"/>
      <c r="AB432" s="743"/>
      <c r="AC432" s="740"/>
      <c r="AD432" s="435"/>
      <c r="AE432" s="435"/>
      <c r="AF432" s="324"/>
      <c r="AG432" s="180"/>
      <c r="AH432" s="155"/>
      <c r="AI432" s="322"/>
      <c r="AJ432" s="155"/>
      <c r="AK432" s="132"/>
    </row>
    <row r="433">
      <c r="A433" s="435"/>
      <c r="B433" s="313"/>
      <c r="C433" s="437"/>
      <c r="D433" s="313"/>
      <c r="E433" s="314"/>
      <c r="F433" s="314"/>
      <c r="G433" s="314"/>
      <c r="H433" s="318"/>
      <c r="I433" s="314"/>
      <c r="J433" s="314"/>
      <c r="K433" s="314"/>
      <c r="L433" s="314"/>
      <c r="M433" s="736"/>
      <c r="N433" s="318"/>
      <c r="O433" s="318"/>
      <c r="P433" s="314"/>
      <c r="Q433" s="314"/>
      <c r="R433" s="435"/>
      <c r="S433" s="314"/>
      <c r="T433" s="314"/>
      <c r="U433" s="314"/>
      <c r="V433" s="318"/>
      <c r="W433" s="315"/>
      <c r="X433" s="314"/>
      <c r="Y433" s="776"/>
      <c r="Z433" s="314"/>
      <c r="AA433" s="314"/>
      <c r="AB433" s="697"/>
      <c r="AC433" s="318"/>
      <c r="AD433" s="314"/>
      <c r="AE433" s="314"/>
      <c r="AF433" s="324"/>
      <c r="AG433" s="180"/>
      <c r="AH433" s="155"/>
      <c r="AI433" s="322"/>
      <c r="AJ433" s="155"/>
      <c r="AK433" s="132"/>
    </row>
    <row r="434">
      <c r="A434" s="435"/>
      <c r="B434" s="313"/>
      <c r="C434" s="313"/>
      <c r="D434" s="313"/>
      <c r="E434" s="314"/>
      <c r="F434" s="314"/>
      <c r="G434" s="314"/>
      <c r="H434" s="318"/>
      <c r="I434" s="314"/>
      <c r="J434" s="314"/>
      <c r="K434" s="435"/>
      <c r="L434" s="314"/>
      <c r="M434" s="839"/>
      <c r="N434" s="318"/>
      <c r="O434" s="318"/>
      <c r="P434" s="314"/>
      <c r="Q434" s="435"/>
      <c r="R434" s="314"/>
      <c r="S434" s="314"/>
      <c r="T434" s="314"/>
      <c r="U434" s="314"/>
      <c r="V434" s="318"/>
      <c r="W434" s="315"/>
      <c r="X434" s="314"/>
      <c r="Y434" s="776"/>
      <c r="Z434" s="314"/>
      <c r="AA434" s="314"/>
      <c r="AB434" s="697"/>
      <c r="AC434" s="318"/>
      <c r="AD434" s="314"/>
      <c r="AE434" s="314"/>
      <c r="AF434" s="324"/>
      <c r="AG434" s="180"/>
      <c r="AH434" s="155"/>
      <c r="AI434" s="322"/>
      <c r="AJ434" s="155"/>
      <c r="AK434" s="132"/>
    </row>
    <row r="435">
      <c r="A435" s="435"/>
      <c r="B435" s="313"/>
      <c r="C435" s="437"/>
      <c r="D435" s="437"/>
      <c r="E435" s="314"/>
      <c r="F435" s="314"/>
      <c r="G435" s="314"/>
      <c r="H435" s="318"/>
      <c r="I435" s="314"/>
      <c r="J435" s="314"/>
      <c r="K435" s="435"/>
      <c r="L435" s="314"/>
      <c r="M435" s="839"/>
      <c r="N435" s="318"/>
      <c r="O435" s="318"/>
      <c r="P435" s="314"/>
      <c r="Q435" s="435"/>
      <c r="R435" s="314"/>
      <c r="S435" s="314"/>
      <c r="T435" s="314"/>
      <c r="U435" s="314"/>
      <c r="V435" s="318"/>
      <c r="W435" s="315"/>
      <c r="X435" s="314"/>
      <c r="Y435" s="776"/>
      <c r="Z435" s="314"/>
      <c r="AA435" s="314"/>
      <c r="AB435" s="697"/>
      <c r="AC435" s="318"/>
      <c r="AD435" s="314"/>
      <c r="AE435" s="314"/>
      <c r="AF435" s="324"/>
      <c r="AG435" s="180"/>
      <c r="AH435" s="155"/>
      <c r="AI435" s="322"/>
      <c r="AJ435" s="155"/>
      <c r="AK435" s="132"/>
    </row>
    <row r="436">
      <c r="A436" s="476"/>
      <c r="AH436" s="176"/>
      <c r="AI436" s="322"/>
      <c r="AJ436" s="155"/>
      <c r="AK436" s="132"/>
    </row>
    <row r="437">
      <c r="A437" s="178"/>
      <c r="AI437" s="322"/>
      <c r="AJ437" s="155"/>
      <c r="AK437" s="132"/>
    </row>
    <row r="438">
      <c r="A438" s="474"/>
      <c r="B438" s="437"/>
      <c r="C438" s="437"/>
      <c r="D438" s="437"/>
      <c r="E438" s="435"/>
      <c r="F438" s="314"/>
      <c r="G438" s="314"/>
      <c r="H438" s="318"/>
      <c r="I438" s="435"/>
      <c r="J438" s="435"/>
      <c r="K438" s="435"/>
      <c r="L438" s="435"/>
      <c r="M438" s="839"/>
      <c r="N438" s="740"/>
      <c r="O438" s="318"/>
      <c r="P438" s="435"/>
      <c r="Q438" s="435"/>
      <c r="R438" s="435"/>
      <c r="S438" s="435"/>
      <c r="T438" s="435"/>
      <c r="U438" s="435"/>
      <c r="V438" s="740"/>
      <c r="W438" s="744"/>
      <c r="X438" s="435"/>
      <c r="Y438" s="781"/>
      <c r="Z438" s="435"/>
      <c r="AA438" s="435"/>
      <c r="AB438" s="743"/>
      <c r="AC438" s="740"/>
      <c r="AD438" s="435"/>
      <c r="AE438" s="435"/>
      <c r="AF438" s="324"/>
      <c r="AG438" s="180"/>
      <c r="AH438" s="155"/>
      <c r="AI438" s="322"/>
      <c r="AJ438" s="155"/>
      <c r="AK438" s="132"/>
    </row>
    <row r="439">
      <c r="A439" s="474"/>
      <c r="B439" s="313"/>
      <c r="C439" s="437"/>
      <c r="D439" s="437"/>
      <c r="E439" s="435"/>
      <c r="F439" s="314"/>
      <c r="G439" s="314"/>
      <c r="H439" s="740"/>
      <c r="I439" s="314"/>
      <c r="J439" s="435"/>
      <c r="K439" s="435"/>
      <c r="L439" s="435"/>
      <c r="M439" s="736"/>
      <c r="N439" s="318"/>
      <c r="O439" s="318"/>
      <c r="P439" s="435"/>
      <c r="Q439" s="435"/>
      <c r="R439" s="435"/>
      <c r="S439" s="435"/>
      <c r="T439" s="435"/>
      <c r="U439" s="435"/>
      <c r="V439" s="740"/>
      <c r="W439" s="744"/>
      <c r="X439" s="435"/>
      <c r="Y439" s="781"/>
      <c r="Z439" s="435"/>
      <c r="AA439" s="435"/>
      <c r="AB439" s="743"/>
      <c r="AC439" s="740"/>
      <c r="AD439" s="435"/>
      <c r="AE439" s="435"/>
      <c r="AF439" s="324"/>
      <c r="AG439" s="180"/>
      <c r="AH439" s="155"/>
      <c r="AI439" s="322"/>
      <c r="AJ439" s="155"/>
      <c r="AK439" s="132"/>
    </row>
    <row r="440">
      <c r="A440" s="477"/>
      <c r="B440" s="437"/>
      <c r="C440" s="437"/>
      <c r="D440" s="437"/>
      <c r="E440" s="314"/>
      <c r="F440" s="314"/>
      <c r="G440" s="314"/>
      <c r="H440" s="740"/>
      <c r="I440" s="435"/>
      <c r="J440" s="435"/>
      <c r="K440" s="435"/>
      <c r="L440" s="435"/>
      <c r="M440" s="839"/>
      <c r="N440" s="740"/>
      <c r="O440" s="318"/>
      <c r="P440" s="435"/>
      <c r="Q440" s="435"/>
      <c r="R440" s="435"/>
      <c r="S440" s="435"/>
      <c r="T440" s="435"/>
      <c r="U440" s="435"/>
      <c r="V440" s="740"/>
      <c r="W440" s="744"/>
      <c r="X440" s="435"/>
      <c r="Y440" s="781"/>
      <c r="Z440" s="435"/>
      <c r="AA440" s="435"/>
      <c r="AB440" s="743"/>
      <c r="AC440" s="740"/>
      <c r="AD440" s="435"/>
      <c r="AE440" s="435"/>
      <c r="AF440" s="324"/>
      <c r="AG440" s="180"/>
      <c r="AH440" s="155"/>
      <c r="AI440" s="322"/>
      <c r="AJ440" s="155"/>
      <c r="AK440" s="132"/>
    </row>
    <row r="441">
      <c r="A441" s="477"/>
      <c r="B441" s="437"/>
      <c r="C441" s="437"/>
      <c r="D441" s="437"/>
      <c r="E441" s="314"/>
      <c r="F441" s="314"/>
      <c r="G441" s="314"/>
      <c r="H441" s="740"/>
      <c r="I441" s="314"/>
      <c r="J441" s="314"/>
      <c r="K441" s="435"/>
      <c r="L441" s="435"/>
      <c r="M441" s="839"/>
      <c r="N441" s="318"/>
      <c r="O441" s="318"/>
      <c r="P441" s="435"/>
      <c r="Q441" s="435"/>
      <c r="R441" s="435"/>
      <c r="S441" s="435"/>
      <c r="T441" s="435"/>
      <c r="U441" s="435"/>
      <c r="V441" s="740"/>
      <c r="W441" s="744"/>
      <c r="X441" s="435"/>
      <c r="Y441" s="781"/>
      <c r="Z441" s="435"/>
      <c r="AA441" s="435"/>
      <c r="AB441" s="743"/>
      <c r="AC441" s="740"/>
      <c r="AD441" s="435"/>
      <c r="AE441" s="435"/>
      <c r="AF441" s="324"/>
      <c r="AG441" s="180"/>
      <c r="AH441" s="155"/>
      <c r="AI441" s="322"/>
      <c r="AJ441" s="155"/>
      <c r="AK441" s="132"/>
    </row>
    <row r="442">
      <c r="A442" s="477"/>
      <c r="B442" s="437"/>
      <c r="C442" s="437"/>
      <c r="D442" s="437"/>
      <c r="E442" s="435"/>
      <c r="F442" s="314"/>
      <c r="G442" s="314"/>
      <c r="H442" s="740"/>
      <c r="I442" s="435"/>
      <c r="J442" s="435"/>
      <c r="K442" s="435"/>
      <c r="L442" s="435"/>
      <c r="M442" s="839"/>
      <c r="N442" s="740"/>
      <c r="O442" s="318"/>
      <c r="P442" s="435"/>
      <c r="Q442" s="435"/>
      <c r="R442" s="435"/>
      <c r="S442" s="435"/>
      <c r="T442" s="435"/>
      <c r="U442" s="435"/>
      <c r="V442" s="740"/>
      <c r="W442" s="744"/>
      <c r="X442" s="435"/>
      <c r="Y442" s="781"/>
      <c r="Z442" s="435"/>
      <c r="AA442" s="435"/>
      <c r="AB442" s="743"/>
      <c r="AC442" s="740"/>
      <c r="AD442" s="435"/>
      <c r="AE442" s="435"/>
      <c r="AF442" s="324"/>
      <c r="AG442" s="180"/>
      <c r="AH442" s="155"/>
      <c r="AI442" s="322"/>
      <c r="AJ442" s="155"/>
      <c r="AK442" s="132"/>
    </row>
    <row r="443">
      <c r="A443" s="474"/>
      <c r="B443" s="313"/>
      <c r="C443" s="437"/>
      <c r="D443" s="313"/>
      <c r="E443" s="435"/>
      <c r="F443" s="314"/>
      <c r="G443" s="314"/>
      <c r="H443" s="740"/>
      <c r="I443" s="314"/>
      <c r="J443" s="435"/>
      <c r="K443" s="435"/>
      <c r="L443" s="314"/>
      <c r="M443" s="839"/>
      <c r="N443" s="318"/>
      <c r="O443" s="318"/>
      <c r="P443" s="435"/>
      <c r="Q443" s="435"/>
      <c r="R443" s="435"/>
      <c r="S443" s="435"/>
      <c r="T443" s="435"/>
      <c r="U443" s="435"/>
      <c r="V443" s="740"/>
      <c r="W443" s="744"/>
      <c r="X443" s="435"/>
      <c r="Y443" s="781"/>
      <c r="Z443" s="435"/>
      <c r="AA443" s="435"/>
      <c r="AB443" s="743"/>
      <c r="AC443" s="740"/>
      <c r="AD443" s="435"/>
      <c r="AE443" s="435"/>
      <c r="AF443" s="324"/>
      <c r="AG443" s="180"/>
      <c r="AH443" s="155"/>
      <c r="AI443" s="322"/>
      <c r="AJ443" s="155"/>
      <c r="AK443" s="132"/>
    </row>
    <row r="444">
      <c r="A444" s="478"/>
      <c r="B444" s="437"/>
      <c r="C444" s="437"/>
      <c r="D444" s="437"/>
      <c r="E444" s="435"/>
      <c r="F444" s="314"/>
      <c r="G444" s="314"/>
      <c r="H444" s="740"/>
      <c r="I444" s="435"/>
      <c r="J444" s="435"/>
      <c r="K444" s="435"/>
      <c r="L444" s="435"/>
      <c r="M444" s="839"/>
      <c r="N444" s="740"/>
      <c r="O444" s="318"/>
      <c r="P444" s="435"/>
      <c r="Q444" s="435"/>
      <c r="R444" s="435"/>
      <c r="S444" s="435"/>
      <c r="T444" s="435"/>
      <c r="U444" s="435"/>
      <c r="V444" s="740"/>
      <c r="W444" s="744"/>
      <c r="X444" s="435"/>
      <c r="Y444" s="781"/>
      <c r="Z444" s="435"/>
      <c r="AA444" s="435"/>
      <c r="AB444" s="743"/>
      <c r="AC444" s="740"/>
      <c r="AD444" s="435"/>
      <c r="AE444" s="435"/>
      <c r="AF444" s="324"/>
      <c r="AG444" s="180"/>
      <c r="AH444" s="155"/>
      <c r="AI444" s="322"/>
      <c r="AJ444" s="155"/>
      <c r="AK444" s="132"/>
    </row>
    <row r="445">
      <c r="A445" s="478"/>
      <c r="B445" s="437"/>
      <c r="C445" s="437"/>
      <c r="D445" s="437"/>
      <c r="E445" s="435"/>
      <c r="F445" s="314"/>
      <c r="G445" s="314"/>
      <c r="H445" s="740"/>
      <c r="I445" s="435"/>
      <c r="J445" s="435"/>
      <c r="K445" s="435"/>
      <c r="L445" s="435"/>
      <c r="M445" s="839"/>
      <c r="N445" s="740"/>
      <c r="O445" s="318"/>
      <c r="P445" s="435"/>
      <c r="Q445" s="435"/>
      <c r="R445" s="435"/>
      <c r="S445" s="435"/>
      <c r="T445" s="435"/>
      <c r="U445" s="435"/>
      <c r="V445" s="740"/>
      <c r="W445" s="744"/>
      <c r="X445" s="435"/>
      <c r="Y445" s="781"/>
      <c r="Z445" s="435"/>
      <c r="AA445" s="435"/>
      <c r="AB445" s="743"/>
      <c r="AC445" s="740"/>
      <c r="AD445" s="435"/>
      <c r="AE445" s="435"/>
      <c r="AF445" s="324"/>
      <c r="AG445" s="180"/>
      <c r="AH445" s="155"/>
      <c r="AI445" s="322"/>
      <c r="AJ445" s="155"/>
      <c r="AK445" s="132"/>
    </row>
    <row r="446">
      <c r="A446" s="478"/>
      <c r="B446" s="437"/>
      <c r="C446" s="437"/>
      <c r="D446" s="313"/>
      <c r="E446" s="314"/>
      <c r="F446" s="314"/>
      <c r="G446" s="314"/>
      <c r="H446" s="740"/>
      <c r="I446" s="435"/>
      <c r="J446" s="314"/>
      <c r="K446" s="435"/>
      <c r="L446" s="314"/>
      <c r="M446" s="839"/>
      <c r="N446" s="318"/>
      <c r="O446" s="318"/>
      <c r="P446" s="314"/>
      <c r="Q446" s="314"/>
      <c r="R446" s="314"/>
      <c r="S446" s="435"/>
      <c r="T446" s="435"/>
      <c r="U446" s="435"/>
      <c r="V446" s="740"/>
      <c r="W446" s="744"/>
      <c r="X446" s="435"/>
      <c r="Y446" s="781"/>
      <c r="Z446" s="435"/>
      <c r="AA446" s="435"/>
      <c r="AB446" s="743"/>
      <c r="AC446" s="740"/>
      <c r="AD446" s="435"/>
      <c r="AE446" s="435"/>
      <c r="AF446" s="324"/>
      <c r="AG446" s="180"/>
      <c r="AH446" s="155"/>
      <c r="AI446" s="322"/>
      <c r="AJ446" s="155"/>
      <c r="AK446" s="132"/>
    </row>
    <row r="447">
      <c r="A447" s="477"/>
      <c r="B447" s="313"/>
      <c r="C447" s="437"/>
      <c r="D447" s="437"/>
      <c r="E447" s="435"/>
      <c r="F447" s="314"/>
      <c r="G447" s="314"/>
      <c r="H447" s="740"/>
      <c r="I447" s="435"/>
      <c r="J447" s="435"/>
      <c r="K447" s="435"/>
      <c r="L447" s="435"/>
      <c r="M447" s="839"/>
      <c r="N447" s="740"/>
      <c r="O447" s="318"/>
      <c r="P447" s="435"/>
      <c r="Q447" s="435"/>
      <c r="R447" s="435"/>
      <c r="S447" s="435"/>
      <c r="T447" s="435"/>
      <c r="U447" s="435"/>
      <c r="V447" s="740"/>
      <c r="W447" s="744"/>
      <c r="X447" s="435"/>
      <c r="Y447" s="781"/>
      <c r="Z447" s="435"/>
      <c r="AA447" s="435"/>
      <c r="AB447" s="743"/>
      <c r="AC447" s="740"/>
      <c r="AD447" s="435"/>
      <c r="AE447" s="435"/>
      <c r="AF447" s="324"/>
      <c r="AG447" s="180"/>
      <c r="AH447" s="155"/>
      <c r="AI447" s="322"/>
      <c r="AJ447" s="155"/>
      <c r="AK447" s="132"/>
    </row>
    <row r="448">
      <c r="A448" s="477"/>
      <c r="B448" s="313"/>
      <c r="C448" s="313"/>
      <c r="D448" s="313"/>
      <c r="E448" s="314"/>
      <c r="F448" s="314"/>
      <c r="G448" s="314"/>
      <c r="H448" s="740"/>
      <c r="I448" s="314"/>
      <c r="J448" s="314"/>
      <c r="K448" s="314"/>
      <c r="L448" s="314"/>
      <c r="M448" s="736"/>
      <c r="N448" s="740"/>
      <c r="O448" s="318"/>
      <c r="P448" s="314"/>
      <c r="Q448" s="435"/>
      <c r="R448" s="314"/>
      <c r="S448" s="314"/>
      <c r="T448" s="314"/>
      <c r="U448" s="314"/>
      <c r="V448" s="318"/>
      <c r="W448" s="315"/>
      <c r="X448" s="314"/>
      <c r="Y448" s="776"/>
      <c r="Z448" s="314"/>
      <c r="AA448" s="314"/>
      <c r="AB448" s="697"/>
      <c r="AC448" s="318"/>
      <c r="AD448" s="314"/>
      <c r="AE448" s="314"/>
      <c r="AF448" s="324"/>
      <c r="AG448" s="180"/>
      <c r="AH448" s="155"/>
      <c r="AI448" s="322"/>
      <c r="AJ448" s="155"/>
      <c r="AK448" s="132"/>
    </row>
    <row r="449">
      <c r="A449" s="477"/>
      <c r="B449" s="313"/>
      <c r="C449" s="313"/>
      <c r="D449" s="313"/>
      <c r="E449" s="314"/>
      <c r="F449" s="314"/>
      <c r="G449" s="314"/>
      <c r="H449" s="318"/>
      <c r="I449" s="314"/>
      <c r="J449" s="314"/>
      <c r="K449" s="314"/>
      <c r="L449" s="314"/>
      <c r="M449" s="736"/>
      <c r="N449" s="318"/>
      <c r="O449" s="318"/>
      <c r="P449" s="314"/>
      <c r="Q449" s="314"/>
      <c r="R449" s="314"/>
      <c r="S449" s="314"/>
      <c r="T449" s="314"/>
      <c r="U449" s="314"/>
      <c r="V449" s="318"/>
      <c r="W449" s="315"/>
      <c r="X449" s="314"/>
      <c r="Y449" s="776"/>
      <c r="Z449" s="314"/>
      <c r="AA449" s="314"/>
      <c r="AB449" s="697"/>
      <c r="AC449" s="318"/>
      <c r="AD449" s="314"/>
      <c r="AE449" s="314"/>
      <c r="AF449" s="324"/>
      <c r="AG449" s="180"/>
      <c r="AH449" s="155"/>
      <c r="AI449" s="322"/>
      <c r="AJ449" s="155"/>
      <c r="AK449" s="132"/>
    </row>
    <row r="450">
      <c r="A450" s="476"/>
      <c r="AH450" s="176"/>
      <c r="AI450" s="322"/>
      <c r="AJ450" s="155"/>
      <c r="AK450" s="132"/>
    </row>
    <row r="451">
      <c r="A451" s="178"/>
      <c r="AI451" s="322"/>
      <c r="AJ451" s="155"/>
      <c r="AK451" s="132"/>
    </row>
    <row r="452">
      <c r="A452" s="477"/>
      <c r="B452" s="437"/>
      <c r="C452" s="437"/>
      <c r="D452" s="437"/>
      <c r="E452" s="314"/>
      <c r="F452" s="314"/>
      <c r="G452" s="314"/>
      <c r="H452" s="318"/>
      <c r="I452" s="314"/>
      <c r="J452" s="314"/>
      <c r="K452" s="435"/>
      <c r="L452" s="435"/>
      <c r="M452" s="736"/>
      <c r="N452" s="318"/>
      <c r="O452" s="318"/>
      <c r="P452" s="314"/>
      <c r="Q452" s="435"/>
      <c r="R452" s="435"/>
      <c r="S452" s="435"/>
      <c r="T452" s="435"/>
      <c r="U452" s="435"/>
      <c r="V452" s="740"/>
      <c r="W452" s="744"/>
      <c r="X452" s="435"/>
      <c r="Y452" s="781"/>
      <c r="Z452" s="435"/>
      <c r="AA452" s="435"/>
      <c r="AB452" s="743"/>
      <c r="AC452" s="740"/>
      <c r="AD452" s="435"/>
      <c r="AE452" s="435"/>
      <c r="AF452" s="324"/>
      <c r="AG452" s="180"/>
      <c r="AH452" s="155"/>
      <c r="AI452" s="322"/>
      <c r="AJ452" s="155"/>
      <c r="AK452" s="132"/>
    </row>
    <row r="453">
      <c r="A453" s="477"/>
      <c r="B453" s="313"/>
      <c r="C453" s="437"/>
      <c r="D453" s="437"/>
      <c r="E453" s="314"/>
      <c r="F453" s="314"/>
      <c r="G453" s="314"/>
      <c r="H453" s="318"/>
      <c r="I453" s="435"/>
      <c r="J453" s="435"/>
      <c r="K453" s="435"/>
      <c r="L453" s="314"/>
      <c r="M453" s="839"/>
      <c r="N453" s="318"/>
      <c r="O453" s="318"/>
      <c r="P453" s="314"/>
      <c r="Q453" s="435"/>
      <c r="R453" s="435"/>
      <c r="S453" s="435"/>
      <c r="T453" s="435"/>
      <c r="U453" s="435"/>
      <c r="V453" s="740"/>
      <c r="W453" s="744"/>
      <c r="X453" s="435"/>
      <c r="Y453" s="781"/>
      <c r="Z453" s="435"/>
      <c r="AA453" s="435"/>
      <c r="AB453" s="743"/>
      <c r="AC453" s="740"/>
      <c r="AD453" s="435"/>
      <c r="AE453" s="435"/>
      <c r="AF453" s="324"/>
      <c r="AG453" s="180"/>
      <c r="AH453" s="155"/>
      <c r="AI453" s="322"/>
      <c r="AJ453" s="155"/>
      <c r="AK453" s="132"/>
    </row>
    <row r="454">
      <c r="A454" s="477"/>
      <c r="B454" s="313"/>
      <c r="C454" s="437"/>
      <c r="D454" s="437"/>
      <c r="E454" s="435"/>
      <c r="F454" s="314"/>
      <c r="G454" s="314"/>
      <c r="H454" s="740"/>
      <c r="I454" s="314"/>
      <c r="J454" s="314"/>
      <c r="K454" s="435"/>
      <c r="L454" s="314"/>
      <c r="M454" s="839"/>
      <c r="N454" s="740"/>
      <c r="O454" s="318"/>
      <c r="P454" s="435"/>
      <c r="Q454" s="435"/>
      <c r="R454" s="435"/>
      <c r="S454" s="435"/>
      <c r="T454" s="435"/>
      <c r="U454" s="435"/>
      <c r="V454" s="740"/>
      <c r="W454" s="744"/>
      <c r="X454" s="435"/>
      <c r="Y454" s="781"/>
      <c r="Z454" s="435"/>
      <c r="AA454" s="435"/>
      <c r="AB454" s="743"/>
      <c r="AC454" s="740"/>
      <c r="AD454" s="435"/>
      <c r="AE454" s="435"/>
      <c r="AF454" s="324"/>
      <c r="AG454" s="180"/>
      <c r="AH454" s="155"/>
      <c r="AI454" s="322"/>
      <c r="AJ454" s="155"/>
      <c r="AK454" s="132"/>
    </row>
    <row r="455">
      <c r="A455" s="479"/>
      <c r="B455" s="313"/>
      <c r="C455" s="313"/>
      <c r="D455" s="313"/>
      <c r="E455" s="314"/>
      <c r="F455" s="314"/>
      <c r="G455" s="314"/>
      <c r="H455" s="318"/>
      <c r="I455" s="314"/>
      <c r="J455" s="314"/>
      <c r="K455" s="314"/>
      <c r="L455" s="314"/>
      <c r="M455" s="736"/>
      <c r="N455" s="318"/>
      <c r="O455" s="318"/>
      <c r="P455" s="314"/>
      <c r="Q455" s="435"/>
      <c r="R455" s="314"/>
      <c r="S455" s="314"/>
      <c r="T455" s="314"/>
      <c r="U455" s="314"/>
      <c r="V455" s="318"/>
      <c r="W455" s="315"/>
      <c r="X455" s="314"/>
      <c r="Y455" s="776"/>
      <c r="Z455" s="314"/>
      <c r="AA455" s="314"/>
      <c r="AB455" s="697"/>
      <c r="AC455" s="318"/>
      <c r="AD455" s="314"/>
      <c r="AE455" s="314"/>
      <c r="AF455" s="324"/>
      <c r="AG455" s="180"/>
      <c r="AH455" s="155"/>
      <c r="AI455" s="322"/>
      <c r="AJ455" s="155"/>
      <c r="AK455" s="132"/>
    </row>
    <row r="456">
      <c r="A456" s="476"/>
      <c r="AH456" s="176"/>
      <c r="AI456" s="322"/>
      <c r="AJ456" s="155"/>
      <c r="AK456" s="132"/>
    </row>
    <row r="457">
      <c r="A457" s="178"/>
      <c r="AI457" s="322"/>
      <c r="AJ457" s="155"/>
      <c r="AK457" s="132"/>
    </row>
    <row r="458">
      <c r="A458" s="480"/>
      <c r="B458" s="313"/>
      <c r="C458" s="437"/>
      <c r="D458" s="313"/>
      <c r="E458" s="314"/>
      <c r="F458" s="314"/>
      <c r="G458" s="314"/>
      <c r="H458" s="318"/>
      <c r="I458" s="314"/>
      <c r="J458" s="435"/>
      <c r="K458" s="435"/>
      <c r="L458" s="314"/>
      <c r="M458" s="736"/>
      <c r="N458" s="318"/>
      <c r="O458" s="318"/>
      <c r="P458" s="314"/>
      <c r="Q458" s="435"/>
      <c r="R458" s="314"/>
      <c r="S458" s="314"/>
      <c r="T458" s="314"/>
      <c r="U458" s="314"/>
      <c r="V458" s="318"/>
      <c r="W458" s="315"/>
      <c r="X458" s="314"/>
      <c r="Y458" s="776"/>
      <c r="Z458" s="314"/>
      <c r="AA458" s="314"/>
      <c r="AB458" s="697"/>
      <c r="AC458" s="318"/>
      <c r="AD458" s="314"/>
      <c r="AE458" s="314"/>
      <c r="AF458" s="324"/>
      <c r="AG458" s="180"/>
      <c r="AH458" s="180"/>
      <c r="AI458" s="322"/>
      <c r="AJ458" s="155"/>
      <c r="AK458" s="132"/>
    </row>
    <row r="459">
      <c r="A459" s="480"/>
      <c r="B459" s="313"/>
      <c r="C459" s="437"/>
      <c r="D459" s="313"/>
      <c r="E459" s="314"/>
      <c r="F459" s="314"/>
      <c r="G459" s="314"/>
      <c r="H459" s="740"/>
      <c r="I459" s="314"/>
      <c r="J459" s="435"/>
      <c r="K459" s="435"/>
      <c r="L459" s="314"/>
      <c r="M459" s="839"/>
      <c r="N459" s="740"/>
      <c r="O459" s="318"/>
      <c r="P459" s="435"/>
      <c r="Q459" s="435"/>
      <c r="R459" s="314"/>
      <c r="S459" s="435"/>
      <c r="T459" s="435"/>
      <c r="U459" s="435"/>
      <c r="V459" s="740"/>
      <c r="W459" s="744"/>
      <c r="X459" s="435"/>
      <c r="Y459" s="781"/>
      <c r="Z459" s="435"/>
      <c r="AA459" s="435"/>
      <c r="AB459" s="743"/>
      <c r="AC459" s="740"/>
      <c r="AD459" s="435"/>
      <c r="AE459" s="435"/>
      <c r="AF459" s="324"/>
      <c r="AG459" s="180"/>
      <c r="AH459" s="180"/>
      <c r="AI459" s="322"/>
      <c r="AJ459" s="132"/>
      <c r="AK459" s="132"/>
    </row>
    <row r="460">
      <c r="A460" s="476"/>
      <c r="AH460" s="176"/>
      <c r="AI460" s="322"/>
      <c r="AJ460" s="132"/>
      <c r="AK460" s="132"/>
    </row>
    <row r="461">
      <c r="A461" s="178"/>
      <c r="AI461" s="322"/>
      <c r="AJ461" s="132"/>
      <c r="AK461" s="132"/>
    </row>
    <row r="462">
      <c r="A462" s="481"/>
      <c r="B462" s="313"/>
      <c r="C462" s="437"/>
      <c r="D462" s="437"/>
      <c r="E462" s="435"/>
      <c r="F462" s="314"/>
      <c r="G462" s="435"/>
      <c r="H462" s="740"/>
      <c r="I462" s="435"/>
      <c r="J462" s="314"/>
      <c r="K462" s="435"/>
      <c r="L462" s="435"/>
      <c r="M462" s="839"/>
      <c r="N462" s="318"/>
      <c r="O462" s="318"/>
      <c r="P462" s="435"/>
      <c r="Q462" s="435"/>
      <c r="R462" s="435"/>
      <c r="S462" s="435"/>
      <c r="T462" s="435"/>
      <c r="U462" s="435"/>
      <c r="V462" s="740"/>
      <c r="W462" s="744"/>
      <c r="X462" s="435"/>
      <c r="Y462" s="781"/>
      <c r="Z462" s="435"/>
      <c r="AA462" s="435"/>
      <c r="AB462" s="743"/>
      <c r="AC462" s="740"/>
      <c r="AD462" s="435"/>
      <c r="AE462" s="435"/>
      <c r="AF462" s="324"/>
      <c r="AG462" s="180"/>
      <c r="AH462" s="155"/>
      <c r="AI462" s="322"/>
      <c r="AJ462" s="132"/>
      <c r="AK462" s="132"/>
    </row>
    <row r="463">
      <c r="A463" s="435"/>
      <c r="B463" s="313"/>
      <c r="C463" s="437"/>
      <c r="D463" s="437"/>
      <c r="E463" s="314"/>
      <c r="F463" s="314"/>
      <c r="G463" s="314"/>
      <c r="H463" s="740"/>
      <c r="I463" s="314"/>
      <c r="J463" s="435"/>
      <c r="K463" s="435"/>
      <c r="L463" s="314"/>
      <c r="M463" s="736"/>
      <c r="N463" s="318"/>
      <c r="O463" s="318"/>
      <c r="P463" s="435"/>
      <c r="Q463" s="435"/>
      <c r="R463" s="435"/>
      <c r="S463" s="435"/>
      <c r="T463" s="435"/>
      <c r="U463" s="435"/>
      <c r="V463" s="740"/>
      <c r="W463" s="744"/>
      <c r="X463" s="435"/>
      <c r="Y463" s="781"/>
      <c r="Z463" s="435"/>
      <c r="AA463" s="435"/>
      <c r="AB463" s="743"/>
      <c r="AC463" s="740"/>
      <c r="AD463" s="435"/>
      <c r="AE463" s="435"/>
      <c r="AF463" s="324"/>
      <c r="AG463" s="180"/>
      <c r="AH463" s="155"/>
      <c r="AI463" s="322"/>
      <c r="AJ463" s="132"/>
      <c r="AK463" s="132"/>
    </row>
    <row r="464">
      <c r="A464" s="482"/>
      <c r="B464" s="313"/>
      <c r="C464" s="313"/>
      <c r="D464" s="437"/>
      <c r="E464" s="314"/>
      <c r="F464" s="314"/>
      <c r="G464" s="314"/>
      <c r="H464" s="318"/>
      <c r="I464" s="314"/>
      <c r="J464" s="314"/>
      <c r="K464" s="435"/>
      <c r="L464" s="314"/>
      <c r="M464" s="736"/>
      <c r="N464" s="318"/>
      <c r="O464" s="318"/>
      <c r="P464" s="314"/>
      <c r="Q464" s="314"/>
      <c r="R464" s="435"/>
      <c r="S464" s="314"/>
      <c r="T464" s="314"/>
      <c r="U464" s="314"/>
      <c r="V464" s="318"/>
      <c r="W464" s="315"/>
      <c r="X464" s="314"/>
      <c r="Y464" s="776"/>
      <c r="Z464" s="314"/>
      <c r="AA464" s="314"/>
      <c r="AB464" s="697"/>
      <c r="AC464" s="318"/>
      <c r="AD464" s="314"/>
      <c r="AE464" s="314"/>
      <c r="AF464" s="324"/>
      <c r="AG464" s="180"/>
      <c r="AH464" s="155"/>
      <c r="AI464" s="322"/>
      <c r="AJ464" s="132"/>
      <c r="AK464" s="132"/>
    </row>
    <row r="465">
      <c r="A465" s="482"/>
      <c r="B465" s="313"/>
      <c r="C465" s="437"/>
      <c r="D465" s="437"/>
      <c r="E465" s="435"/>
      <c r="F465" s="314"/>
      <c r="G465" s="314"/>
      <c r="H465" s="740"/>
      <c r="I465" s="435"/>
      <c r="J465" s="435"/>
      <c r="K465" s="435"/>
      <c r="L465" s="435"/>
      <c r="M465" s="839"/>
      <c r="N465" s="740"/>
      <c r="O465" s="318"/>
      <c r="P465" s="435"/>
      <c r="Q465" s="435"/>
      <c r="R465" s="435"/>
      <c r="S465" s="435"/>
      <c r="T465" s="435"/>
      <c r="U465" s="435"/>
      <c r="V465" s="740"/>
      <c r="W465" s="744"/>
      <c r="X465" s="435"/>
      <c r="Y465" s="781"/>
      <c r="Z465" s="435"/>
      <c r="AA465" s="435"/>
      <c r="AB465" s="743"/>
      <c r="AC465" s="740"/>
      <c r="AD465" s="435"/>
      <c r="AE465" s="435"/>
      <c r="AF465" s="324"/>
      <c r="AG465" s="180"/>
      <c r="AH465" s="155"/>
      <c r="AI465" s="322"/>
      <c r="AJ465" s="132"/>
      <c r="AK465" s="132"/>
    </row>
    <row r="466">
      <c r="A466" s="314"/>
      <c r="B466" s="313"/>
      <c r="C466" s="313"/>
      <c r="D466" s="313"/>
      <c r="E466" s="314"/>
      <c r="F466" s="314"/>
      <c r="G466" s="314"/>
      <c r="H466" s="318"/>
      <c r="I466" s="314"/>
      <c r="J466" s="314"/>
      <c r="K466" s="314"/>
      <c r="L466" s="314"/>
      <c r="M466" s="736"/>
      <c r="N466" s="318"/>
      <c r="O466" s="318"/>
      <c r="P466" s="314"/>
      <c r="Q466" s="314"/>
      <c r="R466" s="314"/>
      <c r="S466" s="314"/>
      <c r="T466" s="314"/>
      <c r="U466" s="314"/>
      <c r="V466" s="318"/>
      <c r="W466" s="315"/>
      <c r="X466" s="314"/>
      <c r="Y466" s="776"/>
      <c r="Z466" s="314"/>
      <c r="AA466" s="314"/>
      <c r="AB466" s="697"/>
      <c r="AC466" s="318"/>
      <c r="AD466" s="314"/>
      <c r="AE466" s="314"/>
      <c r="AF466" s="483"/>
      <c r="AH466" s="484"/>
      <c r="AI466" s="322"/>
      <c r="AJ466" s="132"/>
      <c r="AK466" s="132"/>
    </row>
    <row r="467">
      <c r="A467" s="314"/>
      <c r="B467" s="313"/>
      <c r="C467" s="313"/>
      <c r="D467" s="313"/>
      <c r="E467" s="314"/>
      <c r="F467" s="314"/>
      <c r="G467" s="314"/>
      <c r="H467" s="318"/>
      <c r="I467" s="314"/>
      <c r="J467" s="314"/>
      <c r="K467" s="314"/>
      <c r="L467" s="314"/>
      <c r="M467" s="736"/>
      <c r="N467" s="318"/>
      <c r="O467" s="318"/>
      <c r="P467" s="314"/>
      <c r="Q467" s="314"/>
      <c r="R467" s="314"/>
      <c r="S467" s="314"/>
      <c r="T467" s="314"/>
      <c r="U467" s="314"/>
      <c r="V467" s="318"/>
      <c r="W467" s="315"/>
      <c r="X467" s="314"/>
      <c r="Y467" s="776"/>
      <c r="Z467" s="314"/>
      <c r="AA467" s="314"/>
      <c r="AB467" s="697"/>
      <c r="AC467" s="318"/>
      <c r="AD467" s="314"/>
      <c r="AE467" s="314"/>
      <c r="AF467" s="324"/>
      <c r="AG467" s="155"/>
      <c r="AH467" s="155"/>
      <c r="AI467" s="322"/>
      <c r="AJ467" s="132"/>
      <c r="AK467" s="132"/>
    </row>
    <row r="468">
      <c r="A468" s="314"/>
      <c r="B468" s="313"/>
      <c r="C468" s="313"/>
      <c r="D468" s="313"/>
      <c r="E468" s="314"/>
      <c r="F468" s="314"/>
      <c r="G468" s="314"/>
      <c r="H468" s="318"/>
      <c r="I468" s="314"/>
      <c r="J468" s="314"/>
      <c r="K468" s="314"/>
      <c r="L468" s="314"/>
      <c r="M468" s="736"/>
      <c r="N468" s="318"/>
      <c r="O468" s="318"/>
      <c r="P468" s="314"/>
      <c r="Q468" s="314"/>
      <c r="R468" s="314"/>
      <c r="S468" s="314"/>
      <c r="T468" s="314"/>
      <c r="U468" s="314"/>
      <c r="V468" s="318"/>
      <c r="W468" s="315"/>
      <c r="X468" s="314"/>
      <c r="Y468" s="776"/>
      <c r="Z468" s="314"/>
      <c r="AA468" s="314"/>
      <c r="AB468" s="697"/>
      <c r="AC468" s="318"/>
      <c r="AD468" s="314"/>
      <c r="AE468" s="314"/>
      <c r="AF468" s="324"/>
      <c r="AG468" s="155"/>
      <c r="AH468" s="155"/>
      <c r="AI468" s="322"/>
      <c r="AJ468" s="132"/>
      <c r="AK468" s="132"/>
    </row>
    <row r="469">
      <c r="A469" s="314"/>
      <c r="B469" s="313"/>
      <c r="C469" s="313"/>
      <c r="D469" s="313"/>
      <c r="E469" s="314"/>
      <c r="F469" s="314"/>
      <c r="G469" s="314"/>
      <c r="H469" s="318"/>
      <c r="I469" s="314"/>
      <c r="J469" s="314"/>
      <c r="K469" s="314"/>
      <c r="L469" s="314"/>
      <c r="M469" s="736"/>
      <c r="N469" s="318"/>
      <c r="O469" s="318"/>
      <c r="P469" s="314"/>
      <c r="Q469" s="314"/>
      <c r="R469" s="314"/>
      <c r="S469" s="314"/>
      <c r="T469" s="314"/>
      <c r="U469" s="314"/>
      <c r="V469" s="318"/>
      <c r="W469" s="315"/>
      <c r="X469" s="314"/>
      <c r="Y469" s="776"/>
      <c r="Z469" s="314"/>
      <c r="AA469" s="314"/>
      <c r="AB469" s="697"/>
      <c r="AC469" s="318"/>
      <c r="AD469" s="314"/>
      <c r="AE469" s="314"/>
      <c r="AF469" s="324"/>
      <c r="AG469" s="155"/>
      <c r="AH469" s="155"/>
      <c r="AI469" s="322"/>
      <c r="AJ469" s="132"/>
      <c r="AK469" s="132"/>
    </row>
    <row r="470">
      <c r="A470" s="314"/>
      <c r="B470" s="313"/>
      <c r="C470" s="313"/>
      <c r="D470" s="313"/>
      <c r="E470" s="314"/>
      <c r="F470" s="314"/>
      <c r="G470" s="314"/>
      <c r="H470" s="318"/>
      <c r="I470" s="314"/>
      <c r="J470" s="314"/>
      <c r="K470" s="314"/>
      <c r="L470" s="314"/>
      <c r="M470" s="736"/>
      <c r="N470" s="318"/>
      <c r="O470" s="318"/>
      <c r="P470" s="314"/>
      <c r="Q470" s="314"/>
      <c r="R470" s="314"/>
      <c r="S470" s="314"/>
      <c r="T470" s="314"/>
      <c r="U470" s="314"/>
      <c r="V470" s="318"/>
      <c r="W470" s="315"/>
      <c r="X470" s="314"/>
      <c r="Y470" s="776"/>
      <c r="Z470" s="314"/>
      <c r="AA470" s="314"/>
      <c r="AB470" s="697"/>
      <c r="AC470" s="318"/>
      <c r="AD470" s="314"/>
      <c r="AE470" s="314"/>
      <c r="AF470" s="324"/>
      <c r="AG470" s="155"/>
      <c r="AH470" s="155"/>
      <c r="AI470" s="322"/>
      <c r="AJ470" s="132"/>
      <c r="AK470" s="132"/>
    </row>
    <row r="471">
      <c r="A471" s="314"/>
      <c r="B471" s="313"/>
      <c r="C471" s="313"/>
      <c r="D471" s="313"/>
      <c r="E471" s="314"/>
      <c r="F471" s="314"/>
      <c r="G471" s="314"/>
      <c r="H471" s="318"/>
      <c r="I471" s="314"/>
      <c r="J471" s="314"/>
      <c r="K471" s="314"/>
      <c r="L471" s="314"/>
      <c r="M471" s="736"/>
      <c r="N471" s="318"/>
      <c r="O471" s="318"/>
      <c r="P471" s="314"/>
      <c r="Q471" s="314"/>
      <c r="R471" s="314"/>
      <c r="S471" s="314"/>
      <c r="T471" s="314"/>
      <c r="U471" s="314"/>
      <c r="V471" s="318"/>
      <c r="W471" s="315"/>
      <c r="X471" s="314"/>
      <c r="Y471" s="776"/>
      <c r="Z471" s="314"/>
      <c r="AA471" s="314"/>
      <c r="AB471" s="697"/>
      <c r="AC471" s="318"/>
      <c r="AD471" s="314"/>
      <c r="AE471" s="314"/>
      <c r="AF471" s="324"/>
      <c r="AG471" s="155"/>
      <c r="AH471" s="155"/>
      <c r="AI471" s="322"/>
      <c r="AJ471" s="132"/>
      <c r="AK471" s="132"/>
    </row>
    <row r="472">
      <c r="A472" s="314"/>
      <c r="B472" s="313"/>
      <c r="C472" s="313"/>
      <c r="D472" s="313"/>
      <c r="E472" s="314"/>
      <c r="F472" s="314"/>
      <c r="G472" s="314"/>
      <c r="H472" s="318"/>
      <c r="I472" s="314"/>
      <c r="J472" s="314"/>
      <c r="K472" s="314"/>
      <c r="L472" s="314"/>
      <c r="M472" s="736"/>
      <c r="N472" s="318"/>
      <c r="O472" s="318"/>
      <c r="P472" s="314"/>
      <c r="Q472" s="314"/>
      <c r="R472" s="314"/>
      <c r="S472" s="314"/>
      <c r="T472" s="314"/>
      <c r="U472" s="314"/>
      <c r="V472" s="318"/>
      <c r="W472" s="315"/>
      <c r="X472" s="314"/>
      <c r="Y472" s="776"/>
      <c r="Z472" s="314"/>
      <c r="AA472" s="314"/>
      <c r="AB472" s="697"/>
      <c r="AC472" s="318"/>
      <c r="AD472" s="314"/>
      <c r="AE472" s="314"/>
      <c r="AF472" s="324"/>
      <c r="AG472" s="155"/>
      <c r="AH472" s="155"/>
      <c r="AI472" s="322"/>
      <c r="AJ472" s="132"/>
      <c r="AK472" s="132"/>
    </row>
    <row r="473">
      <c r="A473" s="314"/>
      <c r="B473" s="313"/>
      <c r="C473" s="313"/>
      <c r="D473" s="313"/>
      <c r="E473" s="314"/>
      <c r="F473" s="314"/>
      <c r="G473" s="314"/>
      <c r="H473" s="318"/>
      <c r="I473" s="314"/>
      <c r="J473" s="314"/>
      <c r="K473" s="314"/>
      <c r="L473" s="314"/>
      <c r="M473" s="736"/>
      <c r="N473" s="318"/>
      <c r="O473" s="318"/>
      <c r="P473" s="314"/>
      <c r="Q473" s="314"/>
      <c r="R473" s="314"/>
      <c r="S473" s="314"/>
      <c r="T473" s="314"/>
      <c r="U473" s="314"/>
      <c r="V473" s="318"/>
      <c r="W473" s="315"/>
      <c r="X473" s="314"/>
      <c r="Y473" s="776"/>
      <c r="Z473" s="314"/>
      <c r="AA473" s="314"/>
      <c r="AB473" s="697"/>
      <c r="AC473" s="318"/>
      <c r="AD473" s="314"/>
      <c r="AE473" s="314"/>
      <c r="AF473" s="324"/>
      <c r="AG473" s="155"/>
      <c r="AH473" s="155"/>
      <c r="AI473" s="322"/>
      <c r="AJ473" s="132"/>
      <c r="AK473" s="132"/>
    </row>
    <row r="474">
      <c r="A474" s="314"/>
      <c r="B474" s="313"/>
      <c r="C474" s="313"/>
      <c r="D474" s="313"/>
      <c r="E474" s="314"/>
      <c r="F474" s="314"/>
      <c r="G474" s="314"/>
      <c r="H474" s="318"/>
      <c r="I474" s="314"/>
      <c r="J474" s="314"/>
      <c r="K474" s="314"/>
      <c r="L474" s="314"/>
      <c r="M474" s="736"/>
      <c r="N474" s="318"/>
      <c r="O474" s="318"/>
      <c r="P474" s="314"/>
      <c r="Q474" s="314"/>
      <c r="R474" s="314"/>
      <c r="S474" s="314"/>
      <c r="T474" s="314"/>
      <c r="U474" s="314"/>
      <c r="V474" s="318"/>
      <c r="W474" s="315"/>
      <c r="X474" s="314"/>
      <c r="Y474" s="776"/>
      <c r="Z474" s="314"/>
      <c r="AA474" s="314"/>
      <c r="AB474" s="697"/>
      <c r="AC474" s="318"/>
      <c r="AD474" s="314"/>
      <c r="AE474" s="314"/>
      <c r="AF474" s="324"/>
      <c r="AG474" s="155"/>
      <c r="AH474" s="155"/>
      <c r="AI474" s="322"/>
      <c r="AJ474" s="132"/>
      <c r="AK474" s="132"/>
    </row>
    <row r="475">
      <c r="A475" s="314"/>
      <c r="B475" s="313"/>
      <c r="C475" s="313"/>
      <c r="D475" s="313"/>
      <c r="E475" s="314"/>
      <c r="F475" s="314"/>
      <c r="G475" s="314"/>
      <c r="H475" s="318"/>
      <c r="I475" s="314"/>
      <c r="J475" s="314"/>
      <c r="K475" s="314"/>
      <c r="L475" s="314"/>
      <c r="M475" s="736"/>
      <c r="N475" s="318"/>
      <c r="O475" s="318"/>
      <c r="P475" s="314"/>
      <c r="Q475" s="314"/>
      <c r="R475" s="314"/>
      <c r="S475" s="314"/>
      <c r="T475" s="314"/>
      <c r="U475" s="314"/>
      <c r="V475" s="318"/>
      <c r="W475" s="315"/>
      <c r="X475" s="314"/>
      <c r="Y475" s="776"/>
      <c r="Z475" s="314"/>
      <c r="AA475" s="314"/>
      <c r="AB475" s="697"/>
      <c r="AC475" s="318"/>
      <c r="AD475" s="314"/>
      <c r="AE475" s="314"/>
      <c r="AF475" s="324"/>
      <c r="AG475" s="155"/>
      <c r="AH475" s="155"/>
      <c r="AI475" s="322"/>
      <c r="AJ475" s="132"/>
      <c r="AK475" s="132"/>
    </row>
    <row r="476">
      <c r="A476" s="314"/>
      <c r="B476" s="313"/>
      <c r="C476" s="313"/>
      <c r="D476" s="313"/>
      <c r="E476" s="314"/>
      <c r="F476" s="314"/>
      <c r="G476" s="314"/>
      <c r="H476" s="318"/>
      <c r="I476" s="314"/>
      <c r="J476" s="314"/>
      <c r="K476" s="314"/>
      <c r="L476" s="314"/>
      <c r="M476" s="736"/>
      <c r="N476" s="318"/>
      <c r="O476" s="318"/>
      <c r="P476" s="314"/>
      <c r="Q476" s="314"/>
      <c r="R476" s="314"/>
      <c r="S476" s="314"/>
      <c r="T476" s="314"/>
      <c r="U476" s="314"/>
      <c r="V476" s="318"/>
      <c r="W476" s="315"/>
      <c r="X476" s="314"/>
      <c r="Y476" s="776"/>
      <c r="Z476" s="314"/>
      <c r="AA476" s="314"/>
      <c r="AB476" s="697"/>
      <c r="AC476" s="318"/>
      <c r="AD476" s="314"/>
      <c r="AE476" s="314"/>
      <c r="AF476" s="324"/>
      <c r="AG476" s="155"/>
      <c r="AH476" s="155"/>
      <c r="AI476" s="322"/>
      <c r="AJ476" s="132"/>
      <c r="AK476" s="132"/>
    </row>
    <row r="477">
      <c r="A477" s="314"/>
      <c r="B477" s="313"/>
      <c r="C477" s="313"/>
      <c r="D477" s="313"/>
      <c r="E477" s="314"/>
      <c r="F477" s="314"/>
      <c r="G477" s="314"/>
      <c r="H477" s="318"/>
      <c r="I477" s="314"/>
      <c r="J477" s="314"/>
      <c r="K477" s="314"/>
      <c r="L477" s="314"/>
      <c r="M477" s="736"/>
      <c r="N477" s="318"/>
      <c r="O477" s="318"/>
      <c r="P477" s="314"/>
      <c r="Q477" s="314"/>
      <c r="R477" s="314"/>
      <c r="S477" s="314"/>
      <c r="T477" s="314"/>
      <c r="U477" s="314"/>
      <c r="V477" s="318"/>
      <c r="W477" s="315"/>
      <c r="X477" s="314"/>
      <c r="Y477" s="776"/>
      <c r="Z477" s="314"/>
      <c r="AA477" s="314"/>
      <c r="AB477" s="697"/>
      <c r="AC477" s="318"/>
      <c r="AD477" s="314"/>
      <c r="AE477" s="314"/>
      <c r="AF477" s="324"/>
      <c r="AG477" s="155"/>
      <c r="AH477" s="155"/>
      <c r="AI477" s="322"/>
      <c r="AJ477" s="132"/>
      <c r="AK477" s="132"/>
    </row>
    <row r="478">
      <c r="A478" s="314"/>
      <c r="B478" s="313"/>
      <c r="C478" s="313"/>
      <c r="D478" s="313"/>
      <c r="E478" s="314"/>
      <c r="F478" s="314"/>
      <c r="G478" s="314"/>
      <c r="H478" s="318"/>
      <c r="I478" s="314"/>
      <c r="J478" s="314"/>
      <c r="K478" s="314"/>
      <c r="L478" s="314"/>
      <c r="M478" s="736"/>
      <c r="N478" s="318"/>
      <c r="O478" s="318"/>
      <c r="P478" s="314"/>
      <c r="Q478" s="314"/>
      <c r="R478" s="314"/>
      <c r="S478" s="314"/>
      <c r="T478" s="314"/>
      <c r="U478" s="314"/>
      <c r="V478" s="318"/>
      <c r="W478" s="315"/>
      <c r="X478" s="314"/>
      <c r="Y478" s="776"/>
      <c r="Z478" s="314"/>
      <c r="AA478" s="314"/>
      <c r="AB478" s="697"/>
      <c r="AC478" s="318"/>
      <c r="AD478" s="314"/>
      <c r="AE478" s="314"/>
      <c r="AF478" s="324"/>
      <c r="AG478" s="155"/>
      <c r="AH478" s="155"/>
      <c r="AI478" s="322"/>
      <c r="AJ478" s="132"/>
      <c r="AK478" s="132"/>
    </row>
    <row r="479">
      <c r="A479" s="314"/>
      <c r="B479" s="313"/>
      <c r="C479" s="313"/>
      <c r="D479" s="313"/>
      <c r="E479" s="314"/>
      <c r="F479" s="314"/>
      <c r="G479" s="314"/>
      <c r="H479" s="318"/>
      <c r="I479" s="314"/>
      <c r="J479" s="314"/>
      <c r="K479" s="314"/>
      <c r="L479" s="314"/>
      <c r="M479" s="736"/>
      <c r="N479" s="318"/>
      <c r="O479" s="318"/>
      <c r="P479" s="314"/>
      <c r="Q479" s="314"/>
      <c r="R479" s="314"/>
      <c r="S479" s="314"/>
      <c r="T479" s="314"/>
      <c r="U479" s="314"/>
      <c r="V479" s="318"/>
      <c r="W479" s="315"/>
      <c r="X479" s="314"/>
      <c r="Y479" s="776"/>
      <c r="Z479" s="314"/>
      <c r="AA479" s="314"/>
      <c r="AB479" s="697"/>
      <c r="AC479" s="318"/>
      <c r="AD479" s="314"/>
      <c r="AE479" s="314"/>
      <c r="AF479" s="324"/>
      <c r="AG479" s="155"/>
      <c r="AH479" s="155"/>
      <c r="AI479" s="322"/>
      <c r="AJ479" s="132"/>
      <c r="AK479" s="132"/>
    </row>
    <row r="480">
      <c r="A480" s="314"/>
      <c r="B480" s="313"/>
      <c r="C480" s="313"/>
      <c r="D480" s="313"/>
      <c r="E480" s="314"/>
      <c r="F480" s="314"/>
      <c r="G480" s="314"/>
      <c r="H480" s="318"/>
      <c r="I480" s="314"/>
      <c r="J480" s="314"/>
      <c r="K480" s="314"/>
      <c r="L480" s="314"/>
      <c r="M480" s="736"/>
      <c r="N480" s="318"/>
      <c r="O480" s="318"/>
      <c r="P480" s="314"/>
      <c r="Q480" s="314"/>
      <c r="R480" s="314"/>
      <c r="S480" s="314"/>
      <c r="T480" s="314"/>
      <c r="U480" s="314"/>
      <c r="V480" s="318"/>
      <c r="W480" s="315"/>
      <c r="X480" s="314"/>
      <c r="Y480" s="776"/>
      <c r="Z480" s="314"/>
      <c r="AA480" s="314"/>
      <c r="AB480" s="697"/>
      <c r="AC480" s="318"/>
      <c r="AD480" s="314"/>
      <c r="AE480" s="314"/>
      <c r="AF480" s="324"/>
      <c r="AG480" s="155"/>
      <c r="AH480" s="155"/>
      <c r="AI480" s="322"/>
      <c r="AJ480" s="132"/>
      <c r="AK480" s="132"/>
    </row>
    <row r="481">
      <c r="A481" s="314"/>
      <c r="B481" s="313"/>
      <c r="C481" s="313"/>
      <c r="D481" s="313"/>
      <c r="E481" s="314"/>
      <c r="F481" s="314"/>
      <c r="G481" s="314"/>
      <c r="H481" s="318"/>
      <c r="I481" s="314"/>
      <c r="J481" s="314"/>
      <c r="K481" s="314"/>
      <c r="L481" s="314"/>
      <c r="M481" s="736"/>
      <c r="N481" s="318"/>
      <c r="O481" s="318"/>
      <c r="P481" s="314"/>
      <c r="Q481" s="314"/>
      <c r="R481" s="314"/>
      <c r="S481" s="314"/>
      <c r="T481" s="314"/>
      <c r="U481" s="314"/>
      <c r="V481" s="318"/>
      <c r="W481" s="315"/>
      <c r="X481" s="314"/>
      <c r="Y481" s="776"/>
      <c r="Z481" s="314"/>
      <c r="AA481" s="314"/>
      <c r="AB481" s="697"/>
      <c r="AC481" s="318"/>
      <c r="AD481" s="314"/>
      <c r="AE481" s="314"/>
      <c r="AF481" s="324"/>
      <c r="AG481" s="155"/>
      <c r="AH481" s="155"/>
      <c r="AI481" s="322"/>
      <c r="AJ481" s="132"/>
      <c r="AK481" s="132"/>
    </row>
    <row r="482">
      <c r="A482" s="314"/>
      <c r="B482" s="313"/>
      <c r="C482" s="313"/>
      <c r="D482" s="313"/>
      <c r="E482" s="314"/>
      <c r="F482" s="314"/>
      <c r="G482" s="314"/>
      <c r="H482" s="318"/>
      <c r="I482" s="314"/>
      <c r="J482" s="314"/>
      <c r="K482" s="314"/>
      <c r="L482" s="314"/>
      <c r="M482" s="736"/>
      <c r="N482" s="318"/>
      <c r="O482" s="318"/>
      <c r="P482" s="314"/>
      <c r="Q482" s="314"/>
      <c r="R482" s="314"/>
      <c r="S482" s="314"/>
      <c r="T482" s="314"/>
      <c r="U482" s="314"/>
      <c r="V482" s="318"/>
      <c r="W482" s="315"/>
      <c r="X482" s="314"/>
      <c r="Y482" s="776"/>
      <c r="Z482" s="314"/>
      <c r="AA482" s="314"/>
      <c r="AB482" s="697"/>
      <c r="AC482" s="318"/>
      <c r="AD482" s="314"/>
      <c r="AE482" s="314"/>
      <c r="AF482" s="324"/>
      <c r="AG482" s="155"/>
      <c r="AH482" s="155"/>
      <c r="AI482" s="322"/>
      <c r="AJ482" s="132"/>
      <c r="AK482" s="132"/>
    </row>
    <row r="483">
      <c r="A483" s="314"/>
      <c r="B483" s="313"/>
      <c r="C483" s="313"/>
      <c r="D483" s="313"/>
      <c r="E483" s="314"/>
      <c r="F483" s="314"/>
      <c r="G483" s="314"/>
      <c r="H483" s="318"/>
      <c r="I483" s="314"/>
      <c r="J483" s="314"/>
      <c r="K483" s="314"/>
      <c r="L483" s="314"/>
      <c r="M483" s="736"/>
      <c r="N483" s="318"/>
      <c r="O483" s="318"/>
      <c r="P483" s="314"/>
      <c r="Q483" s="314"/>
      <c r="R483" s="314"/>
      <c r="S483" s="314"/>
      <c r="T483" s="314"/>
      <c r="U483" s="314"/>
      <c r="V483" s="318"/>
      <c r="W483" s="315"/>
      <c r="X483" s="314"/>
      <c r="Y483" s="776"/>
      <c r="Z483" s="314"/>
      <c r="AA483" s="314"/>
      <c r="AB483" s="697"/>
      <c r="AC483" s="318"/>
      <c r="AD483" s="314"/>
      <c r="AE483" s="314"/>
      <c r="AF483" s="324"/>
      <c r="AG483" s="155"/>
      <c r="AH483" s="155"/>
      <c r="AI483" s="322"/>
      <c r="AJ483" s="132"/>
      <c r="AK483" s="132"/>
    </row>
    <row r="484">
      <c r="A484" s="314"/>
      <c r="B484" s="313"/>
      <c r="C484" s="313"/>
      <c r="D484" s="313"/>
      <c r="E484" s="314"/>
      <c r="F484" s="314"/>
      <c r="G484" s="314"/>
      <c r="H484" s="318"/>
      <c r="I484" s="314"/>
      <c r="J484" s="314"/>
      <c r="K484" s="314"/>
      <c r="L484" s="314"/>
      <c r="M484" s="736"/>
      <c r="N484" s="318"/>
      <c r="O484" s="318"/>
      <c r="P484" s="314"/>
      <c r="Q484" s="314"/>
      <c r="R484" s="314"/>
      <c r="S484" s="314"/>
      <c r="T484" s="314"/>
      <c r="U484" s="314"/>
      <c r="V484" s="318"/>
      <c r="W484" s="315"/>
      <c r="X484" s="314"/>
      <c r="Y484" s="776"/>
      <c r="Z484" s="314"/>
      <c r="AA484" s="314"/>
      <c r="AB484" s="697"/>
      <c r="AC484" s="318"/>
      <c r="AD484" s="314"/>
      <c r="AE484" s="314"/>
      <c r="AF484" s="324"/>
      <c r="AG484" s="155"/>
      <c r="AH484" s="155"/>
      <c r="AI484" s="322"/>
      <c r="AJ484" s="132"/>
      <c r="AK484" s="132"/>
    </row>
    <row r="485">
      <c r="A485" s="314"/>
      <c r="B485" s="313"/>
      <c r="C485" s="313"/>
      <c r="D485" s="313"/>
      <c r="E485" s="314"/>
      <c r="F485" s="314"/>
      <c r="G485" s="314"/>
      <c r="H485" s="318"/>
      <c r="I485" s="314"/>
      <c r="J485" s="314"/>
      <c r="K485" s="314"/>
      <c r="L485" s="314"/>
      <c r="M485" s="736"/>
      <c r="N485" s="318"/>
      <c r="O485" s="318"/>
      <c r="P485" s="314"/>
      <c r="Q485" s="314"/>
      <c r="R485" s="314"/>
      <c r="S485" s="314"/>
      <c r="T485" s="314"/>
      <c r="U485" s="314"/>
      <c r="V485" s="318"/>
      <c r="W485" s="315"/>
      <c r="X485" s="314"/>
      <c r="Y485" s="776"/>
      <c r="Z485" s="314"/>
      <c r="AA485" s="314"/>
      <c r="AB485" s="697"/>
      <c r="AC485" s="318"/>
      <c r="AD485" s="314"/>
      <c r="AE485" s="314"/>
      <c r="AF485" s="324"/>
      <c r="AG485" s="155"/>
      <c r="AH485" s="155"/>
      <c r="AI485" s="322"/>
      <c r="AJ485" s="132"/>
      <c r="AK485" s="132"/>
    </row>
    <row r="486">
      <c r="A486" s="314"/>
      <c r="B486" s="313"/>
      <c r="C486" s="313"/>
      <c r="D486" s="313"/>
      <c r="E486" s="314"/>
      <c r="F486" s="314"/>
      <c r="G486" s="314"/>
      <c r="H486" s="318"/>
      <c r="I486" s="314"/>
      <c r="J486" s="314"/>
      <c r="K486" s="314"/>
      <c r="L486" s="314"/>
      <c r="M486" s="736"/>
      <c r="N486" s="318"/>
      <c r="O486" s="318"/>
      <c r="P486" s="314"/>
      <c r="Q486" s="314"/>
      <c r="R486" s="314"/>
      <c r="S486" s="314"/>
      <c r="T486" s="314"/>
      <c r="U486" s="314"/>
      <c r="V486" s="318"/>
      <c r="W486" s="315"/>
      <c r="X486" s="314"/>
      <c r="Y486" s="776"/>
      <c r="Z486" s="314"/>
      <c r="AA486" s="314"/>
      <c r="AB486" s="697"/>
      <c r="AC486" s="318"/>
      <c r="AD486" s="314"/>
      <c r="AE486" s="314"/>
      <c r="AF486" s="324"/>
      <c r="AG486" s="155"/>
      <c r="AH486" s="155"/>
      <c r="AI486" s="322"/>
      <c r="AJ486" s="132"/>
      <c r="AK486" s="132"/>
    </row>
    <row r="487">
      <c r="A487" s="314"/>
      <c r="B487" s="313"/>
      <c r="C487" s="313"/>
      <c r="D487" s="313"/>
      <c r="E487" s="314"/>
      <c r="F487" s="314"/>
      <c r="G487" s="314"/>
      <c r="H487" s="318"/>
      <c r="I487" s="314"/>
      <c r="J487" s="314"/>
      <c r="K487" s="314"/>
      <c r="L487" s="314"/>
      <c r="M487" s="736"/>
      <c r="N487" s="318"/>
      <c r="O487" s="318"/>
      <c r="P487" s="314"/>
      <c r="Q487" s="314"/>
      <c r="R487" s="314"/>
      <c r="S487" s="314"/>
      <c r="T487" s="314"/>
      <c r="U487" s="314"/>
      <c r="V487" s="318"/>
      <c r="W487" s="315"/>
      <c r="X487" s="314"/>
      <c r="Y487" s="776"/>
      <c r="Z487" s="314"/>
      <c r="AA487" s="314"/>
      <c r="AB487" s="697"/>
      <c r="AC487" s="318"/>
      <c r="AD487" s="314"/>
      <c r="AE487" s="314"/>
      <c r="AF487" s="324"/>
      <c r="AG487" s="155"/>
      <c r="AH487" s="155"/>
      <c r="AI487" s="322"/>
      <c r="AJ487" s="132"/>
      <c r="AK487" s="132"/>
    </row>
    <row r="488">
      <c r="A488" s="314"/>
      <c r="B488" s="313"/>
      <c r="C488" s="313"/>
      <c r="D488" s="313"/>
      <c r="E488" s="314"/>
      <c r="F488" s="314"/>
      <c r="G488" s="314"/>
      <c r="H488" s="318"/>
      <c r="I488" s="314"/>
      <c r="J488" s="314"/>
      <c r="K488" s="314"/>
      <c r="L488" s="314"/>
      <c r="M488" s="736"/>
      <c r="N488" s="318"/>
      <c r="O488" s="318"/>
      <c r="P488" s="314"/>
      <c r="Q488" s="314"/>
      <c r="R488" s="314"/>
      <c r="S488" s="314"/>
      <c r="T488" s="314"/>
      <c r="U488" s="314"/>
      <c r="V488" s="318"/>
      <c r="W488" s="315"/>
      <c r="X488" s="314"/>
      <c r="Y488" s="776"/>
      <c r="Z488" s="314"/>
      <c r="AA488" s="314"/>
      <c r="AB488" s="697"/>
      <c r="AC488" s="318"/>
      <c r="AD488" s="314"/>
      <c r="AE488" s="314"/>
      <c r="AF488" s="324"/>
      <c r="AG488" s="155"/>
      <c r="AH488" s="155"/>
      <c r="AI488" s="322"/>
      <c r="AJ488" s="132"/>
      <c r="AK488" s="132"/>
    </row>
    <row r="489">
      <c r="A489" s="314"/>
      <c r="B489" s="313"/>
      <c r="C489" s="313"/>
      <c r="D489" s="313"/>
      <c r="E489" s="314"/>
      <c r="F489" s="314"/>
      <c r="G489" s="314"/>
      <c r="H489" s="318"/>
      <c r="I489" s="314"/>
      <c r="J489" s="314"/>
      <c r="K489" s="314"/>
      <c r="L489" s="314"/>
      <c r="M489" s="736"/>
      <c r="N489" s="318"/>
      <c r="O489" s="318"/>
      <c r="P489" s="314"/>
      <c r="Q489" s="314"/>
      <c r="R489" s="314"/>
      <c r="S489" s="314"/>
      <c r="T489" s="314"/>
      <c r="U489" s="314"/>
      <c r="V489" s="318"/>
      <c r="W489" s="315"/>
      <c r="X489" s="314"/>
      <c r="Y489" s="776"/>
      <c r="Z489" s="314"/>
      <c r="AA489" s="314"/>
      <c r="AB489" s="697"/>
      <c r="AC489" s="318"/>
      <c r="AD489" s="314"/>
      <c r="AE489" s="314"/>
      <c r="AF489" s="324"/>
      <c r="AG489" s="155"/>
      <c r="AH489" s="155"/>
      <c r="AI489" s="322"/>
      <c r="AJ489" s="132"/>
      <c r="AK489" s="132"/>
    </row>
    <row r="490">
      <c r="A490" s="314"/>
      <c r="B490" s="313"/>
      <c r="C490" s="313"/>
      <c r="D490" s="313"/>
      <c r="E490" s="314"/>
      <c r="F490" s="314"/>
      <c r="G490" s="314"/>
      <c r="H490" s="318"/>
      <c r="I490" s="314"/>
      <c r="J490" s="314"/>
      <c r="K490" s="314"/>
      <c r="L490" s="314"/>
      <c r="M490" s="736"/>
      <c r="N490" s="318"/>
      <c r="O490" s="318"/>
      <c r="P490" s="314"/>
      <c r="Q490" s="314"/>
      <c r="R490" s="314"/>
      <c r="S490" s="314"/>
      <c r="T490" s="314"/>
      <c r="U490" s="314"/>
      <c r="V490" s="318"/>
      <c r="W490" s="315"/>
      <c r="X490" s="314"/>
      <c r="Y490" s="776"/>
      <c r="Z490" s="314"/>
      <c r="AA490" s="314"/>
      <c r="AB490" s="697"/>
      <c r="AC490" s="318"/>
      <c r="AD490" s="314"/>
      <c r="AE490" s="314"/>
      <c r="AF490" s="324"/>
      <c r="AG490" s="155"/>
      <c r="AH490" s="155"/>
      <c r="AI490" s="322"/>
      <c r="AJ490" s="132"/>
      <c r="AK490" s="132"/>
    </row>
    <row r="491">
      <c r="A491" s="314"/>
      <c r="B491" s="313"/>
      <c r="C491" s="313"/>
      <c r="D491" s="313"/>
      <c r="E491" s="314"/>
      <c r="F491" s="314"/>
      <c r="G491" s="314"/>
      <c r="H491" s="318"/>
      <c r="I491" s="314"/>
      <c r="J491" s="314"/>
      <c r="K491" s="314"/>
      <c r="L491" s="314"/>
      <c r="M491" s="736"/>
      <c r="N491" s="318"/>
      <c r="O491" s="318"/>
      <c r="P491" s="314"/>
      <c r="Q491" s="314"/>
      <c r="R491" s="314"/>
      <c r="S491" s="314"/>
      <c r="T491" s="314"/>
      <c r="U491" s="314"/>
      <c r="V491" s="318"/>
      <c r="W491" s="315"/>
      <c r="X491" s="314"/>
      <c r="Y491" s="776"/>
      <c r="Z491" s="314"/>
      <c r="AA491" s="314"/>
      <c r="AB491" s="697"/>
      <c r="AC491" s="318"/>
      <c r="AD491" s="314"/>
      <c r="AE491" s="314"/>
      <c r="AF491" s="324"/>
      <c r="AG491" s="155"/>
      <c r="AH491" s="155"/>
      <c r="AI491" s="322"/>
      <c r="AJ491" s="132"/>
      <c r="AK491" s="132"/>
    </row>
    <row r="492">
      <c r="A492" s="314"/>
      <c r="B492" s="313"/>
      <c r="C492" s="313"/>
      <c r="D492" s="313"/>
      <c r="E492" s="314"/>
      <c r="F492" s="314"/>
      <c r="G492" s="314"/>
      <c r="H492" s="318"/>
      <c r="I492" s="314"/>
      <c r="J492" s="314"/>
      <c r="K492" s="314"/>
      <c r="L492" s="314"/>
      <c r="M492" s="736"/>
      <c r="N492" s="318"/>
      <c r="O492" s="318"/>
      <c r="P492" s="314"/>
      <c r="Q492" s="314"/>
      <c r="R492" s="314"/>
      <c r="S492" s="314"/>
      <c r="T492" s="314"/>
      <c r="U492" s="314"/>
      <c r="V492" s="318"/>
      <c r="W492" s="315"/>
      <c r="X492" s="314"/>
      <c r="Y492" s="776"/>
      <c r="Z492" s="314"/>
      <c r="AA492" s="314"/>
      <c r="AB492" s="697"/>
      <c r="AC492" s="318"/>
      <c r="AD492" s="314"/>
      <c r="AE492" s="314"/>
      <c r="AF492" s="324"/>
      <c r="AG492" s="155"/>
      <c r="AH492" s="155"/>
      <c r="AI492" s="322"/>
      <c r="AJ492" s="132"/>
      <c r="AK492" s="132"/>
    </row>
    <row r="493">
      <c r="A493" s="314"/>
      <c r="B493" s="313"/>
      <c r="C493" s="313"/>
      <c r="D493" s="313"/>
      <c r="E493" s="314"/>
      <c r="F493" s="314"/>
      <c r="G493" s="314"/>
      <c r="H493" s="318"/>
      <c r="I493" s="314"/>
      <c r="J493" s="314"/>
      <c r="K493" s="314"/>
      <c r="L493" s="314"/>
      <c r="M493" s="736"/>
      <c r="N493" s="318"/>
      <c r="O493" s="318"/>
      <c r="P493" s="314"/>
      <c r="Q493" s="314"/>
      <c r="R493" s="314"/>
      <c r="S493" s="314"/>
      <c r="T493" s="314"/>
      <c r="U493" s="314"/>
      <c r="V493" s="318"/>
      <c r="W493" s="315"/>
      <c r="X493" s="314"/>
      <c r="Y493" s="776"/>
      <c r="Z493" s="314"/>
      <c r="AA493" s="314"/>
      <c r="AB493" s="697"/>
      <c r="AC493" s="318"/>
      <c r="AD493" s="314"/>
      <c r="AE493" s="314"/>
      <c r="AF493" s="324"/>
      <c r="AG493" s="155"/>
      <c r="AH493" s="155"/>
      <c r="AI493" s="322"/>
      <c r="AJ493" s="132"/>
      <c r="AK493" s="132"/>
    </row>
    <row r="494">
      <c r="A494" s="314"/>
      <c r="B494" s="313"/>
      <c r="C494" s="313"/>
      <c r="D494" s="313"/>
      <c r="E494" s="314"/>
      <c r="F494" s="314"/>
      <c r="G494" s="314"/>
      <c r="H494" s="318"/>
      <c r="I494" s="314"/>
      <c r="J494" s="314"/>
      <c r="K494" s="314"/>
      <c r="L494" s="314"/>
      <c r="M494" s="736"/>
      <c r="N494" s="318"/>
      <c r="O494" s="318"/>
      <c r="P494" s="314"/>
      <c r="Q494" s="314"/>
      <c r="R494" s="314"/>
      <c r="S494" s="314"/>
      <c r="T494" s="314"/>
      <c r="U494" s="314"/>
      <c r="V494" s="318"/>
      <c r="W494" s="315"/>
      <c r="X494" s="314"/>
      <c r="Y494" s="776"/>
      <c r="Z494" s="314"/>
      <c r="AA494" s="314"/>
      <c r="AB494" s="697"/>
      <c r="AC494" s="318"/>
      <c r="AD494" s="314"/>
      <c r="AE494" s="314"/>
      <c r="AF494" s="324"/>
      <c r="AG494" s="155"/>
      <c r="AH494" s="155"/>
      <c r="AI494" s="322"/>
      <c r="AJ494" s="132"/>
      <c r="AK494" s="132"/>
    </row>
    <row r="495">
      <c r="A495" s="314"/>
      <c r="B495" s="313"/>
      <c r="C495" s="313"/>
      <c r="D495" s="313"/>
      <c r="E495" s="314"/>
      <c r="F495" s="314"/>
      <c r="G495" s="314"/>
      <c r="H495" s="318"/>
      <c r="I495" s="314"/>
      <c r="J495" s="314"/>
      <c r="K495" s="314"/>
      <c r="L495" s="314"/>
      <c r="M495" s="736"/>
      <c r="N495" s="318"/>
      <c r="O495" s="318"/>
      <c r="P495" s="314"/>
      <c r="Q495" s="314"/>
      <c r="R495" s="314"/>
      <c r="S495" s="314"/>
      <c r="T495" s="314"/>
      <c r="U495" s="314"/>
      <c r="V495" s="318"/>
      <c r="W495" s="315"/>
      <c r="X495" s="314"/>
      <c r="Y495" s="776"/>
      <c r="Z495" s="314"/>
      <c r="AA495" s="314"/>
      <c r="AB495" s="697"/>
      <c r="AC495" s="318"/>
      <c r="AD495" s="314"/>
      <c r="AE495" s="314"/>
      <c r="AF495" s="324"/>
      <c r="AG495" s="155"/>
      <c r="AH495" s="155"/>
      <c r="AI495" s="322"/>
      <c r="AJ495" s="132"/>
      <c r="AK495" s="132"/>
    </row>
    <row r="496">
      <c r="A496" s="314"/>
      <c r="B496" s="313"/>
      <c r="C496" s="313"/>
      <c r="D496" s="313"/>
      <c r="E496" s="314"/>
      <c r="F496" s="314"/>
      <c r="G496" s="314"/>
      <c r="H496" s="318"/>
      <c r="I496" s="314"/>
      <c r="J496" s="314"/>
      <c r="K496" s="314"/>
      <c r="L496" s="314"/>
      <c r="M496" s="736"/>
      <c r="N496" s="318"/>
      <c r="O496" s="318"/>
      <c r="P496" s="314"/>
      <c r="Q496" s="314"/>
      <c r="R496" s="314"/>
      <c r="S496" s="314"/>
      <c r="T496" s="314"/>
      <c r="U496" s="314"/>
      <c r="V496" s="318"/>
      <c r="W496" s="315"/>
      <c r="X496" s="314"/>
      <c r="Y496" s="776"/>
      <c r="Z496" s="314"/>
      <c r="AA496" s="314"/>
      <c r="AB496" s="697"/>
      <c r="AC496" s="318"/>
      <c r="AD496" s="314"/>
      <c r="AE496" s="314"/>
      <c r="AF496" s="324"/>
      <c r="AG496" s="155"/>
      <c r="AH496" s="155"/>
      <c r="AI496" s="322"/>
      <c r="AJ496" s="132"/>
      <c r="AK496" s="132"/>
    </row>
    <row r="497">
      <c r="A497" s="314"/>
      <c r="B497" s="313"/>
      <c r="C497" s="313"/>
      <c r="D497" s="313"/>
      <c r="E497" s="314"/>
      <c r="F497" s="314"/>
      <c r="G497" s="314"/>
      <c r="H497" s="318"/>
      <c r="I497" s="314"/>
      <c r="J497" s="314"/>
      <c r="K497" s="314"/>
      <c r="L497" s="314"/>
      <c r="M497" s="736"/>
      <c r="N497" s="318"/>
      <c r="O497" s="318"/>
      <c r="P497" s="314"/>
      <c r="Q497" s="314"/>
      <c r="R497" s="314"/>
      <c r="S497" s="314"/>
      <c r="T497" s="314"/>
      <c r="U497" s="314"/>
      <c r="V497" s="318"/>
      <c r="W497" s="315"/>
      <c r="X497" s="314"/>
      <c r="Y497" s="776"/>
      <c r="Z497" s="314"/>
      <c r="AA497" s="314"/>
      <c r="AB497" s="697"/>
      <c r="AC497" s="318"/>
      <c r="AD497" s="314"/>
      <c r="AE497" s="314"/>
      <c r="AF497" s="324"/>
      <c r="AG497" s="155"/>
      <c r="AH497" s="155"/>
      <c r="AI497" s="322"/>
      <c r="AJ497" s="132"/>
      <c r="AK497" s="132"/>
    </row>
    <row r="498">
      <c r="A498" s="314"/>
      <c r="B498" s="313"/>
      <c r="C498" s="313"/>
      <c r="D498" s="313"/>
      <c r="E498" s="314"/>
      <c r="F498" s="314"/>
      <c r="G498" s="314"/>
      <c r="H498" s="318"/>
      <c r="I498" s="314"/>
      <c r="J498" s="314"/>
      <c r="K498" s="314"/>
      <c r="L498" s="314"/>
      <c r="M498" s="736"/>
      <c r="N498" s="318"/>
      <c r="O498" s="318"/>
      <c r="P498" s="314"/>
      <c r="Q498" s="314"/>
      <c r="R498" s="314"/>
      <c r="S498" s="314"/>
      <c r="T498" s="314"/>
      <c r="U498" s="314"/>
      <c r="V498" s="318"/>
      <c r="W498" s="315"/>
      <c r="X498" s="314"/>
      <c r="Y498" s="776"/>
      <c r="Z498" s="314"/>
      <c r="AA498" s="314"/>
      <c r="AB498" s="697"/>
      <c r="AC498" s="318"/>
      <c r="AD498" s="314"/>
      <c r="AE498" s="314"/>
      <c r="AF498" s="324"/>
      <c r="AG498" s="155"/>
      <c r="AH498" s="155"/>
      <c r="AI498" s="322"/>
      <c r="AJ498" s="132"/>
      <c r="AK498" s="132"/>
    </row>
    <row r="499">
      <c r="A499" s="314"/>
      <c r="B499" s="313"/>
      <c r="C499" s="313"/>
      <c r="D499" s="313"/>
      <c r="E499" s="314"/>
      <c r="F499" s="314"/>
      <c r="G499" s="314"/>
      <c r="H499" s="318"/>
      <c r="I499" s="314"/>
      <c r="J499" s="314"/>
      <c r="K499" s="314"/>
      <c r="L499" s="314"/>
      <c r="M499" s="736"/>
      <c r="N499" s="318"/>
      <c r="O499" s="318"/>
      <c r="P499" s="314"/>
      <c r="Q499" s="314"/>
      <c r="R499" s="314"/>
      <c r="S499" s="314"/>
      <c r="T499" s="314"/>
      <c r="U499" s="314"/>
      <c r="V499" s="318"/>
      <c r="W499" s="315"/>
      <c r="X499" s="314"/>
      <c r="Y499" s="776"/>
      <c r="Z499" s="314"/>
      <c r="AA499" s="314"/>
      <c r="AB499" s="697"/>
      <c r="AC499" s="318"/>
      <c r="AD499" s="314"/>
      <c r="AE499" s="314"/>
      <c r="AF499" s="324"/>
      <c r="AG499" s="155"/>
      <c r="AH499" s="155"/>
      <c r="AI499" s="322"/>
      <c r="AJ499" s="132"/>
      <c r="AK499" s="132"/>
    </row>
    <row r="500">
      <c r="A500" s="314"/>
      <c r="B500" s="313"/>
      <c r="C500" s="313"/>
      <c r="D500" s="313"/>
      <c r="E500" s="314"/>
      <c r="F500" s="314"/>
      <c r="G500" s="314"/>
      <c r="H500" s="318"/>
      <c r="I500" s="314"/>
      <c r="J500" s="314"/>
      <c r="K500" s="314"/>
      <c r="L500" s="314"/>
      <c r="M500" s="736"/>
      <c r="N500" s="318"/>
      <c r="O500" s="318"/>
      <c r="P500" s="314"/>
      <c r="Q500" s="314"/>
      <c r="R500" s="314"/>
      <c r="S500" s="314"/>
      <c r="T500" s="314"/>
      <c r="U500" s="314"/>
      <c r="V500" s="318"/>
      <c r="W500" s="315"/>
      <c r="X500" s="314"/>
      <c r="Y500" s="776"/>
      <c r="Z500" s="314"/>
      <c r="AA500" s="314"/>
      <c r="AB500" s="697"/>
      <c r="AC500" s="318"/>
      <c r="AD500" s="314"/>
      <c r="AE500" s="314"/>
      <c r="AF500" s="324"/>
      <c r="AG500" s="155"/>
      <c r="AH500" s="155"/>
      <c r="AI500" s="322"/>
      <c r="AJ500" s="132"/>
      <c r="AK500" s="132"/>
    </row>
    <row r="501">
      <c r="A501" s="314"/>
      <c r="B501" s="313"/>
      <c r="C501" s="313"/>
      <c r="D501" s="313"/>
      <c r="E501" s="314"/>
      <c r="F501" s="314"/>
      <c r="G501" s="314"/>
      <c r="H501" s="318"/>
      <c r="I501" s="314"/>
      <c r="J501" s="314"/>
      <c r="K501" s="314"/>
      <c r="L501" s="314"/>
      <c r="M501" s="736"/>
      <c r="N501" s="318"/>
      <c r="O501" s="318"/>
      <c r="P501" s="314"/>
      <c r="Q501" s="314"/>
      <c r="R501" s="314"/>
      <c r="S501" s="314"/>
      <c r="T501" s="314"/>
      <c r="U501" s="314"/>
      <c r="V501" s="318"/>
      <c r="W501" s="315"/>
      <c r="X501" s="314"/>
      <c r="Y501" s="776"/>
      <c r="Z501" s="314"/>
      <c r="AA501" s="314"/>
      <c r="AB501" s="697"/>
      <c r="AC501" s="318"/>
      <c r="AD501" s="314"/>
      <c r="AE501" s="314"/>
      <c r="AF501" s="324"/>
      <c r="AG501" s="155"/>
      <c r="AH501" s="155"/>
      <c r="AI501" s="322"/>
      <c r="AJ501" s="132"/>
      <c r="AK501" s="132"/>
    </row>
    <row r="502">
      <c r="A502" s="314"/>
      <c r="B502" s="313"/>
      <c r="C502" s="313"/>
      <c r="D502" s="313"/>
      <c r="E502" s="314"/>
      <c r="F502" s="314"/>
      <c r="G502" s="314"/>
      <c r="H502" s="318"/>
      <c r="I502" s="314"/>
      <c r="J502" s="314"/>
      <c r="K502" s="314"/>
      <c r="L502" s="314"/>
      <c r="M502" s="736"/>
      <c r="N502" s="318"/>
      <c r="O502" s="318"/>
      <c r="P502" s="314"/>
      <c r="Q502" s="314"/>
      <c r="R502" s="314"/>
      <c r="S502" s="314"/>
      <c r="T502" s="314"/>
      <c r="U502" s="314"/>
      <c r="V502" s="318"/>
      <c r="W502" s="315"/>
      <c r="X502" s="314"/>
      <c r="Y502" s="776"/>
      <c r="Z502" s="314"/>
      <c r="AA502" s="314"/>
      <c r="AB502" s="697"/>
      <c r="AC502" s="318"/>
      <c r="AD502" s="314"/>
      <c r="AE502" s="314"/>
      <c r="AF502" s="324"/>
      <c r="AG502" s="155"/>
      <c r="AH502" s="155"/>
      <c r="AI502" s="322"/>
      <c r="AJ502" s="132"/>
      <c r="AK502" s="132"/>
    </row>
    <row r="503">
      <c r="A503" s="314"/>
      <c r="B503" s="313"/>
      <c r="C503" s="313"/>
      <c r="D503" s="313"/>
      <c r="E503" s="314"/>
      <c r="F503" s="314"/>
      <c r="G503" s="314"/>
      <c r="H503" s="318"/>
      <c r="I503" s="314"/>
      <c r="J503" s="314"/>
      <c r="K503" s="314"/>
      <c r="L503" s="314"/>
      <c r="M503" s="736"/>
      <c r="N503" s="318"/>
      <c r="O503" s="318"/>
      <c r="P503" s="314"/>
      <c r="Q503" s="314"/>
      <c r="R503" s="314"/>
      <c r="S503" s="314"/>
      <c r="T503" s="314"/>
      <c r="U503" s="314"/>
      <c r="V503" s="318"/>
      <c r="W503" s="315"/>
      <c r="X503" s="314"/>
      <c r="Y503" s="776"/>
      <c r="Z503" s="314"/>
      <c r="AA503" s="314"/>
      <c r="AB503" s="697"/>
      <c r="AC503" s="318"/>
      <c r="AD503" s="314"/>
      <c r="AE503" s="314"/>
      <c r="AF503" s="324"/>
      <c r="AG503" s="155"/>
      <c r="AH503" s="155"/>
      <c r="AI503" s="322"/>
      <c r="AJ503" s="132"/>
      <c r="AK503" s="132"/>
    </row>
    <row r="504">
      <c r="A504" s="314"/>
      <c r="B504" s="313"/>
      <c r="C504" s="313"/>
      <c r="D504" s="313"/>
      <c r="E504" s="314"/>
      <c r="F504" s="314"/>
      <c r="G504" s="314"/>
      <c r="H504" s="318"/>
      <c r="I504" s="314"/>
      <c r="J504" s="314"/>
      <c r="K504" s="314"/>
      <c r="L504" s="314"/>
      <c r="M504" s="736"/>
      <c r="N504" s="318"/>
      <c r="O504" s="318"/>
      <c r="P504" s="314"/>
      <c r="Q504" s="314"/>
      <c r="R504" s="314"/>
      <c r="S504" s="314"/>
      <c r="T504" s="314"/>
      <c r="U504" s="314"/>
      <c r="V504" s="318"/>
      <c r="W504" s="315"/>
      <c r="X504" s="314"/>
      <c r="Y504" s="776"/>
      <c r="Z504" s="314"/>
      <c r="AA504" s="314"/>
      <c r="AB504" s="697"/>
      <c r="AC504" s="318"/>
      <c r="AD504" s="314"/>
      <c r="AE504" s="314"/>
      <c r="AF504" s="324"/>
      <c r="AG504" s="155"/>
      <c r="AH504" s="155"/>
      <c r="AI504" s="322"/>
      <c r="AJ504" s="132"/>
      <c r="AK504" s="132"/>
    </row>
    <row r="505">
      <c r="A505" s="314"/>
      <c r="B505" s="313"/>
      <c r="C505" s="313"/>
      <c r="D505" s="313"/>
      <c r="E505" s="314"/>
      <c r="F505" s="314"/>
      <c r="G505" s="314"/>
      <c r="H505" s="318"/>
      <c r="I505" s="314"/>
      <c r="J505" s="314"/>
      <c r="K505" s="314"/>
      <c r="L505" s="314"/>
      <c r="M505" s="736"/>
      <c r="N505" s="318"/>
      <c r="O505" s="318"/>
      <c r="P505" s="314"/>
      <c r="Q505" s="314"/>
      <c r="R505" s="314"/>
      <c r="S505" s="314"/>
      <c r="T505" s="314"/>
      <c r="U505" s="314"/>
      <c r="V505" s="318"/>
      <c r="W505" s="315"/>
      <c r="X505" s="314"/>
      <c r="Y505" s="776"/>
      <c r="Z505" s="314"/>
      <c r="AA505" s="314"/>
      <c r="AB505" s="697"/>
      <c r="AC505" s="318"/>
      <c r="AD505" s="314"/>
      <c r="AE505" s="314"/>
      <c r="AF505" s="324"/>
      <c r="AG505" s="155"/>
      <c r="AH505" s="155"/>
      <c r="AI505" s="322"/>
      <c r="AJ505" s="132"/>
      <c r="AK505" s="132"/>
    </row>
    <row r="506">
      <c r="A506" s="314"/>
      <c r="B506" s="313"/>
      <c r="C506" s="313"/>
      <c r="D506" s="313"/>
      <c r="E506" s="314"/>
      <c r="F506" s="314"/>
      <c r="G506" s="314"/>
      <c r="H506" s="318"/>
      <c r="I506" s="314"/>
      <c r="J506" s="314"/>
      <c r="K506" s="314"/>
      <c r="L506" s="314"/>
      <c r="M506" s="736"/>
      <c r="N506" s="318"/>
      <c r="O506" s="318"/>
      <c r="P506" s="314"/>
      <c r="Q506" s="314"/>
      <c r="R506" s="314"/>
      <c r="S506" s="314"/>
      <c r="T506" s="314"/>
      <c r="U506" s="314"/>
      <c r="V506" s="318"/>
      <c r="W506" s="315"/>
      <c r="X506" s="314"/>
      <c r="Y506" s="776"/>
      <c r="Z506" s="314"/>
      <c r="AA506" s="314"/>
      <c r="AB506" s="697"/>
      <c r="AC506" s="318"/>
      <c r="AD506" s="314"/>
      <c r="AE506" s="314"/>
      <c r="AF506" s="324"/>
      <c r="AG506" s="155"/>
      <c r="AH506" s="155"/>
      <c r="AI506" s="322"/>
      <c r="AJ506" s="132"/>
      <c r="AK506" s="132"/>
    </row>
    <row r="507">
      <c r="A507" s="314"/>
      <c r="B507" s="313"/>
      <c r="C507" s="313"/>
      <c r="D507" s="313"/>
      <c r="E507" s="314"/>
      <c r="F507" s="314"/>
      <c r="G507" s="314"/>
      <c r="H507" s="318"/>
      <c r="I507" s="314"/>
      <c r="J507" s="314"/>
      <c r="K507" s="314"/>
      <c r="L507" s="314"/>
      <c r="M507" s="736"/>
      <c r="N507" s="318"/>
      <c r="O507" s="318"/>
      <c r="P507" s="314"/>
      <c r="Q507" s="314"/>
      <c r="R507" s="314"/>
      <c r="S507" s="314"/>
      <c r="T507" s="314"/>
      <c r="U507" s="314"/>
      <c r="V507" s="318"/>
      <c r="W507" s="315"/>
      <c r="X507" s="314"/>
      <c r="Y507" s="776"/>
      <c r="Z507" s="314"/>
      <c r="AA507" s="314"/>
      <c r="AB507" s="697"/>
      <c r="AC507" s="318"/>
      <c r="AD507" s="314"/>
      <c r="AE507" s="314"/>
      <c r="AF507" s="324"/>
      <c r="AG507" s="155"/>
      <c r="AH507" s="155"/>
      <c r="AI507" s="322"/>
      <c r="AJ507" s="132"/>
      <c r="AK507" s="132"/>
    </row>
    <row r="508">
      <c r="A508" s="314"/>
      <c r="B508" s="313"/>
      <c r="C508" s="313"/>
      <c r="D508" s="313"/>
      <c r="E508" s="314"/>
      <c r="F508" s="314"/>
      <c r="G508" s="314"/>
      <c r="H508" s="318"/>
      <c r="I508" s="314"/>
      <c r="J508" s="314"/>
      <c r="K508" s="314"/>
      <c r="L508" s="314"/>
      <c r="M508" s="736"/>
      <c r="N508" s="318"/>
      <c r="O508" s="318"/>
      <c r="P508" s="314"/>
      <c r="Q508" s="314"/>
      <c r="R508" s="314"/>
      <c r="S508" s="314"/>
      <c r="T508" s="314"/>
      <c r="U508" s="314"/>
      <c r="V508" s="318"/>
      <c r="W508" s="315"/>
      <c r="X508" s="314"/>
      <c r="Y508" s="776"/>
      <c r="Z508" s="314"/>
      <c r="AA508" s="314"/>
      <c r="AB508" s="697"/>
      <c r="AC508" s="318"/>
      <c r="AD508" s="314"/>
      <c r="AE508" s="314"/>
      <c r="AF508" s="324"/>
      <c r="AG508" s="155"/>
      <c r="AH508" s="155"/>
      <c r="AI508" s="322"/>
      <c r="AJ508" s="132"/>
      <c r="AK508" s="132"/>
    </row>
    <row r="509">
      <c r="A509" s="314"/>
      <c r="B509" s="313"/>
      <c r="C509" s="313"/>
      <c r="D509" s="313"/>
      <c r="E509" s="314"/>
      <c r="F509" s="314"/>
      <c r="G509" s="314"/>
      <c r="H509" s="318"/>
      <c r="I509" s="314"/>
      <c r="J509" s="314"/>
      <c r="K509" s="314"/>
      <c r="L509" s="314"/>
      <c r="M509" s="736"/>
      <c r="N509" s="318"/>
      <c r="O509" s="318"/>
      <c r="P509" s="314"/>
      <c r="Q509" s="314"/>
      <c r="R509" s="314"/>
      <c r="S509" s="314"/>
      <c r="T509" s="314"/>
      <c r="U509" s="314"/>
      <c r="V509" s="318"/>
      <c r="W509" s="315"/>
      <c r="X509" s="314"/>
      <c r="Y509" s="776"/>
      <c r="Z509" s="314"/>
      <c r="AA509" s="314"/>
      <c r="AB509" s="697"/>
      <c r="AC509" s="318"/>
      <c r="AD509" s="314"/>
      <c r="AE509" s="314"/>
      <c r="AF509" s="324"/>
      <c r="AG509" s="155"/>
      <c r="AH509" s="155"/>
      <c r="AI509" s="322"/>
      <c r="AJ509" s="132"/>
      <c r="AK509" s="132"/>
    </row>
    <row r="510">
      <c r="A510" s="314"/>
      <c r="B510" s="313"/>
      <c r="C510" s="313"/>
      <c r="D510" s="313"/>
      <c r="E510" s="314"/>
      <c r="F510" s="314"/>
      <c r="G510" s="314"/>
      <c r="H510" s="318"/>
      <c r="I510" s="314"/>
      <c r="J510" s="314"/>
      <c r="K510" s="314"/>
      <c r="L510" s="314"/>
      <c r="M510" s="736"/>
      <c r="N510" s="318"/>
      <c r="O510" s="318"/>
      <c r="P510" s="314"/>
      <c r="Q510" s="314"/>
      <c r="R510" s="314"/>
      <c r="S510" s="314"/>
      <c r="T510" s="314"/>
      <c r="U510" s="314"/>
      <c r="V510" s="318"/>
      <c r="W510" s="315"/>
      <c r="X510" s="314"/>
      <c r="Y510" s="776"/>
      <c r="Z510" s="314"/>
      <c r="AA510" s="314"/>
      <c r="AB510" s="697"/>
      <c r="AC510" s="318"/>
      <c r="AD510" s="314"/>
      <c r="AE510" s="314"/>
      <c r="AF510" s="324"/>
      <c r="AG510" s="155"/>
      <c r="AH510" s="155"/>
      <c r="AI510" s="322"/>
      <c r="AJ510" s="132"/>
      <c r="AK510" s="132"/>
    </row>
    <row r="511">
      <c r="A511" s="314"/>
      <c r="B511" s="313"/>
      <c r="C511" s="313"/>
      <c r="D511" s="313"/>
      <c r="E511" s="314"/>
      <c r="F511" s="314"/>
      <c r="G511" s="314"/>
      <c r="H511" s="318"/>
      <c r="I511" s="314"/>
      <c r="J511" s="314"/>
      <c r="K511" s="314"/>
      <c r="L511" s="314"/>
      <c r="M511" s="736"/>
      <c r="N511" s="318"/>
      <c r="O511" s="318"/>
      <c r="P511" s="314"/>
      <c r="Q511" s="314"/>
      <c r="R511" s="314"/>
      <c r="S511" s="314"/>
      <c r="T511" s="314"/>
      <c r="U511" s="314"/>
      <c r="V511" s="318"/>
      <c r="W511" s="315"/>
      <c r="X511" s="314"/>
      <c r="Y511" s="776"/>
      <c r="Z511" s="314"/>
      <c r="AA511" s="314"/>
      <c r="AB511" s="697"/>
      <c r="AC511" s="318"/>
      <c r="AD511" s="314"/>
      <c r="AE511" s="314"/>
      <c r="AF511" s="324"/>
      <c r="AG511" s="155"/>
      <c r="AH511" s="155"/>
      <c r="AI511" s="322"/>
      <c r="AJ511" s="132"/>
      <c r="AK511" s="132"/>
    </row>
    <row r="512">
      <c r="A512" s="314"/>
      <c r="B512" s="313"/>
      <c r="C512" s="313"/>
      <c r="D512" s="313"/>
      <c r="E512" s="314"/>
      <c r="F512" s="314"/>
      <c r="G512" s="314"/>
      <c r="H512" s="318"/>
      <c r="I512" s="314"/>
      <c r="J512" s="314"/>
      <c r="K512" s="314"/>
      <c r="L512" s="314"/>
      <c r="M512" s="736"/>
      <c r="N512" s="318"/>
      <c r="O512" s="318"/>
      <c r="P512" s="314"/>
      <c r="Q512" s="314"/>
      <c r="R512" s="314"/>
      <c r="S512" s="314"/>
      <c r="T512" s="314"/>
      <c r="U512" s="314"/>
      <c r="V512" s="318"/>
      <c r="W512" s="315"/>
      <c r="X512" s="314"/>
      <c r="Y512" s="776"/>
      <c r="Z512" s="314"/>
      <c r="AA512" s="314"/>
      <c r="AB512" s="697"/>
      <c r="AC512" s="318"/>
      <c r="AD512" s="314"/>
      <c r="AE512" s="314"/>
      <c r="AF512" s="324"/>
      <c r="AG512" s="155"/>
      <c r="AH512" s="155"/>
      <c r="AI512" s="322"/>
      <c r="AJ512" s="132"/>
      <c r="AK512" s="132"/>
    </row>
    <row r="513">
      <c r="A513" s="314"/>
      <c r="B513" s="313"/>
      <c r="C513" s="313"/>
      <c r="D513" s="313"/>
      <c r="E513" s="314"/>
      <c r="F513" s="314"/>
      <c r="G513" s="314"/>
      <c r="H513" s="318"/>
      <c r="I513" s="314"/>
      <c r="J513" s="314"/>
      <c r="K513" s="314"/>
      <c r="L513" s="314"/>
      <c r="M513" s="736"/>
      <c r="N513" s="318"/>
      <c r="O513" s="318"/>
      <c r="P513" s="314"/>
      <c r="Q513" s="314"/>
      <c r="R513" s="314"/>
      <c r="S513" s="314"/>
      <c r="T513" s="314"/>
      <c r="U513" s="314"/>
      <c r="V513" s="318"/>
      <c r="W513" s="315"/>
      <c r="X513" s="314"/>
      <c r="Y513" s="776"/>
      <c r="Z513" s="314"/>
      <c r="AA513" s="314"/>
      <c r="AB513" s="697"/>
      <c r="AC513" s="318"/>
      <c r="AD513" s="314"/>
      <c r="AE513" s="314"/>
      <c r="AF513" s="324"/>
      <c r="AG513" s="155"/>
      <c r="AH513" s="155"/>
      <c r="AI513" s="322"/>
      <c r="AJ513" s="132"/>
      <c r="AK513" s="132"/>
    </row>
    <row r="514">
      <c r="A514" s="314"/>
      <c r="B514" s="313"/>
      <c r="C514" s="313"/>
      <c r="D514" s="313"/>
      <c r="E514" s="314"/>
      <c r="F514" s="314"/>
      <c r="G514" s="314"/>
      <c r="H514" s="318"/>
      <c r="I514" s="314"/>
      <c r="J514" s="314"/>
      <c r="K514" s="314"/>
      <c r="L514" s="314"/>
      <c r="M514" s="736"/>
      <c r="N514" s="318"/>
      <c r="O514" s="318"/>
      <c r="P514" s="314"/>
      <c r="Q514" s="314"/>
      <c r="R514" s="314"/>
      <c r="S514" s="314"/>
      <c r="T514" s="314"/>
      <c r="U514" s="314"/>
      <c r="V514" s="318"/>
      <c r="W514" s="315"/>
      <c r="X514" s="314"/>
      <c r="Y514" s="776"/>
      <c r="Z514" s="314"/>
      <c r="AA514" s="314"/>
      <c r="AB514" s="697"/>
      <c r="AC514" s="318"/>
      <c r="AD514" s="314"/>
      <c r="AE514" s="314"/>
      <c r="AF514" s="324"/>
      <c r="AG514" s="155"/>
      <c r="AH514" s="155"/>
      <c r="AI514" s="322"/>
      <c r="AJ514" s="132"/>
      <c r="AK514" s="132"/>
    </row>
    <row r="515">
      <c r="A515" s="314"/>
      <c r="B515" s="313"/>
      <c r="C515" s="313"/>
      <c r="D515" s="313"/>
      <c r="E515" s="314"/>
      <c r="F515" s="314"/>
      <c r="G515" s="314"/>
      <c r="H515" s="318"/>
      <c r="I515" s="314"/>
      <c r="J515" s="314"/>
      <c r="K515" s="314"/>
      <c r="L515" s="314"/>
      <c r="M515" s="736"/>
      <c r="N515" s="318"/>
      <c r="O515" s="318"/>
      <c r="P515" s="314"/>
      <c r="Q515" s="314"/>
      <c r="R515" s="314"/>
      <c r="S515" s="314"/>
      <c r="T515" s="314"/>
      <c r="U515" s="314"/>
      <c r="V515" s="318"/>
      <c r="W515" s="315"/>
      <c r="X515" s="314"/>
      <c r="Y515" s="776"/>
      <c r="Z515" s="314"/>
      <c r="AA515" s="314"/>
      <c r="AB515" s="697"/>
      <c r="AC515" s="318"/>
      <c r="AD515" s="314"/>
      <c r="AE515" s="314"/>
      <c r="AF515" s="324"/>
      <c r="AG515" s="155"/>
      <c r="AH515" s="155"/>
      <c r="AI515" s="322"/>
      <c r="AJ515" s="132"/>
      <c r="AK515" s="132"/>
    </row>
    <row r="516">
      <c r="A516" s="314"/>
      <c r="B516" s="313"/>
      <c r="C516" s="313"/>
      <c r="D516" s="313"/>
      <c r="E516" s="314"/>
      <c r="F516" s="314"/>
      <c r="G516" s="314"/>
      <c r="H516" s="318"/>
      <c r="I516" s="314"/>
      <c r="J516" s="314"/>
      <c r="K516" s="314"/>
      <c r="L516" s="314"/>
      <c r="M516" s="736"/>
      <c r="N516" s="318"/>
      <c r="O516" s="318"/>
      <c r="P516" s="314"/>
      <c r="Q516" s="314"/>
      <c r="R516" s="314"/>
      <c r="S516" s="314"/>
      <c r="T516" s="314"/>
      <c r="U516" s="314"/>
      <c r="V516" s="318"/>
      <c r="W516" s="315"/>
      <c r="X516" s="314"/>
      <c r="Y516" s="776"/>
      <c r="Z516" s="314"/>
      <c r="AA516" s="314"/>
      <c r="AB516" s="697"/>
      <c r="AC516" s="318"/>
      <c r="AD516" s="314"/>
      <c r="AE516" s="314"/>
      <c r="AF516" s="324"/>
      <c r="AG516" s="155"/>
      <c r="AH516" s="155"/>
      <c r="AI516" s="322"/>
      <c r="AJ516" s="132"/>
      <c r="AK516" s="132"/>
    </row>
    <row r="517">
      <c r="A517" s="314"/>
      <c r="B517" s="313"/>
      <c r="C517" s="313"/>
      <c r="D517" s="313"/>
      <c r="E517" s="314"/>
      <c r="F517" s="314"/>
      <c r="G517" s="314"/>
      <c r="H517" s="318"/>
      <c r="I517" s="314"/>
      <c r="J517" s="314"/>
      <c r="K517" s="314"/>
      <c r="L517" s="314"/>
      <c r="M517" s="736"/>
      <c r="N517" s="318"/>
      <c r="O517" s="318"/>
      <c r="P517" s="314"/>
      <c r="Q517" s="314"/>
      <c r="R517" s="314"/>
      <c r="S517" s="314"/>
      <c r="T517" s="314"/>
      <c r="U517" s="314"/>
      <c r="V517" s="318"/>
      <c r="W517" s="315"/>
      <c r="X517" s="314"/>
      <c r="Y517" s="776"/>
      <c r="Z517" s="314"/>
      <c r="AA517" s="314"/>
      <c r="AB517" s="697"/>
      <c r="AC517" s="318"/>
      <c r="AD517" s="314"/>
      <c r="AE517" s="314"/>
      <c r="AF517" s="324"/>
      <c r="AG517" s="155"/>
      <c r="AH517" s="155"/>
      <c r="AI517" s="322"/>
      <c r="AJ517" s="132"/>
      <c r="AK517" s="132"/>
    </row>
    <row r="518">
      <c r="A518" s="314"/>
      <c r="B518" s="313"/>
      <c r="C518" s="313"/>
      <c r="D518" s="313"/>
      <c r="E518" s="314"/>
      <c r="F518" s="314"/>
      <c r="G518" s="314"/>
      <c r="H518" s="318"/>
      <c r="I518" s="314"/>
      <c r="J518" s="314"/>
      <c r="K518" s="314"/>
      <c r="L518" s="314"/>
      <c r="M518" s="736"/>
      <c r="N518" s="318"/>
      <c r="O518" s="318"/>
      <c r="P518" s="314"/>
      <c r="Q518" s="314"/>
      <c r="R518" s="314"/>
      <c r="S518" s="314"/>
      <c r="T518" s="314"/>
      <c r="U518" s="314"/>
      <c r="V518" s="318"/>
      <c r="W518" s="315"/>
      <c r="X518" s="314"/>
      <c r="Y518" s="776"/>
      <c r="Z518" s="314"/>
      <c r="AA518" s="314"/>
      <c r="AB518" s="697"/>
      <c r="AC518" s="318"/>
      <c r="AD518" s="314"/>
      <c r="AE518" s="314"/>
      <c r="AF518" s="324"/>
      <c r="AG518" s="155"/>
      <c r="AH518" s="155"/>
      <c r="AI518" s="322"/>
      <c r="AJ518" s="132"/>
      <c r="AK518" s="132"/>
    </row>
    <row r="519">
      <c r="A519" s="314"/>
      <c r="B519" s="313"/>
      <c r="C519" s="313"/>
      <c r="D519" s="313"/>
      <c r="E519" s="314"/>
      <c r="F519" s="314"/>
      <c r="G519" s="314"/>
      <c r="H519" s="318"/>
      <c r="I519" s="314"/>
      <c r="J519" s="314"/>
      <c r="K519" s="314"/>
      <c r="L519" s="314"/>
      <c r="M519" s="736"/>
      <c r="N519" s="318"/>
      <c r="O519" s="318"/>
      <c r="P519" s="314"/>
      <c r="Q519" s="314"/>
      <c r="R519" s="314"/>
      <c r="S519" s="314"/>
      <c r="T519" s="314"/>
      <c r="U519" s="314"/>
      <c r="V519" s="318"/>
      <c r="W519" s="315"/>
      <c r="X519" s="314"/>
      <c r="Y519" s="776"/>
      <c r="Z519" s="314"/>
      <c r="AA519" s="314"/>
      <c r="AB519" s="697"/>
      <c r="AC519" s="318"/>
      <c r="AD519" s="314"/>
      <c r="AE519" s="314"/>
      <c r="AF519" s="324"/>
      <c r="AG519" s="155"/>
      <c r="AH519" s="155"/>
      <c r="AI519" s="322"/>
      <c r="AJ519" s="132"/>
      <c r="AK519" s="132"/>
    </row>
    <row r="520">
      <c r="A520" s="314"/>
      <c r="B520" s="313"/>
      <c r="C520" s="313"/>
      <c r="D520" s="313"/>
      <c r="E520" s="314"/>
      <c r="F520" s="314"/>
      <c r="G520" s="314"/>
      <c r="H520" s="318"/>
      <c r="I520" s="314"/>
      <c r="J520" s="314"/>
      <c r="K520" s="314"/>
      <c r="L520" s="314"/>
      <c r="M520" s="736"/>
      <c r="N520" s="318"/>
      <c r="O520" s="318"/>
      <c r="P520" s="314"/>
      <c r="Q520" s="314"/>
      <c r="R520" s="314"/>
      <c r="S520" s="314"/>
      <c r="T520" s="314"/>
      <c r="U520" s="314"/>
      <c r="V520" s="318"/>
      <c r="W520" s="315"/>
      <c r="X520" s="314"/>
      <c r="Y520" s="776"/>
      <c r="Z520" s="314"/>
      <c r="AA520" s="314"/>
      <c r="AB520" s="697"/>
      <c r="AC520" s="318"/>
      <c r="AD520" s="314"/>
      <c r="AE520" s="314"/>
      <c r="AF520" s="324"/>
      <c r="AG520" s="155"/>
      <c r="AH520" s="155"/>
      <c r="AI520" s="322"/>
      <c r="AJ520" s="132"/>
      <c r="AK520" s="132"/>
    </row>
    <row r="521">
      <c r="A521" s="314"/>
      <c r="B521" s="313"/>
      <c r="C521" s="313"/>
      <c r="D521" s="313"/>
      <c r="E521" s="314"/>
      <c r="F521" s="314"/>
      <c r="G521" s="314"/>
      <c r="H521" s="318"/>
      <c r="I521" s="314"/>
      <c r="J521" s="314"/>
      <c r="K521" s="314"/>
      <c r="L521" s="314"/>
      <c r="M521" s="736"/>
      <c r="N521" s="318"/>
      <c r="O521" s="318"/>
      <c r="P521" s="314"/>
      <c r="Q521" s="314"/>
      <c r="R521" s="314"/>
      <c r="S521" s="314"/>
      <c r="T521" s="314"/>
      <c r="U521" s="314"/>
      <c r="V521" s="318"/>
      <c r="W521" s="315"/>
      <c r="X521" s="314"/>
      <c r="Y521" s="776"/>
      <c r="Z521" s="314"/>
      <c r="AA521" s="314"/>
      <c r="AB521" s="697"/>
      <c r="AC521" s="318"/>
      <c r="AD521" s="314"/>
      <c r="AE521" s="314"/>
      <c r="AF521" s="324"/>
      <c r="AG521" s="155"/>
      <c r="AH521" s="155"/>
      <c r="AI521" s="322"/>
      <c r="AJ521" s="132"/>
      <c r="AK521" s="132"/>
    </row>
    <row r="522">
      <c r="A522" s="314"/>
      <c r="B522" s="313"/>
      <c r="C522" s="313"/>
      <c r="D522" s="313"/>
      <c r="E522" s="314"/>
      <c r="F522" s="314"/>
      <c r="G522" s="314"/>
      <c r="H522" s="318"/>
      <c r="I522" s="314"/>
      <c r="J522" s="314"/>
      <c r="K522" s="314"/>
      <c r="L522" s="314"/>
      <c r="M522" s="736"/>
      <c r="N522" s="318"/>
      <c r="O522" s="318"/>
      <c r="P522" s="314"/>
      <c r="Q522" s="314"/>
      <c r="R522" s="314"/>
      <c r="S522" s="314"/>
      <c r="T522" s="314"/>
      <c r="U522" s="314"/>
      <c r="V522" s="318"/>
      <c r="W522" s="315"/>
      <c r="X522" s="314"/>
      <c r="Y522" s="776"/>
      <c r="Z522" s="314"/>
      <c r="AA522" s="314"/>
      <c r="AB522" s="697"/>
      <c r="AC522" s="318"/>
      <c r="AD522" s="314"/>
      <c r="AE522" s="314"/>
      <c r="AF522" s="324"/>
      <c r="AG522" s="155"/>
      <c r="AH522" s="155"/>
      <c r="AI522" s="322"/>
      <c r="AJ522" s="132"/>
      <c r="AK522" s="132"/>
    </row>
    <row r="523">
      <c r="A523" s="314"/>
      <c r="B523" s="313"/>
      <c r="C523" s="313"/>
      <c r="D523" s="313"/>
      <c r="E523" s="314"/>
      <c r="F523" s="314"/>
      <c r="G523" s="314"/>
      <c r="H523" s="318"/>
      <c r="I523" s="314"/>
      <c r="J523" s="314"/>
      <c r="K523" s="314"/>
      <c r="L523" s="314"/>
      <c r="M523" s="736"/>
      <c r="N523" s="318"/>
      <c r="O523" s="318"/>
      <c r="P523" s="314"/>
      <c r="Q523" s="314"/>
      <c r="R523" s="314"/>
      <c r="S523" s="314"/>
      <c r="T523" s="314"/>
      <c r="U523" s="314"/>
      <c r="V523" s="318"/>
      <c r="W523" s="315"/>
      <c r="X523" s="314"/>
      <c r="Y523" s="776"/>
      <c r="Z523" s="314"/>
      <c r="AA523" s="314"/>
      <c r="AB523" s="697"/>
      <c r="AC523" s="318"/>
      <c r="AD523" s="314"/>
      <c r="AE523" s="314"/>
      <c r="AF523" s="324"/>
      <c r="AG523" s="155"/>
      <c r="AH523" s="155"/>
      <c r="AI523" s="322"/>
      <c r="AJ523" s="132"/>
      <c r="AK523" s="132"/>
    </row>
    <row r="524">
      <c r="A524" s="314"/>
      <c r="B524" s="313"/>
      <c r="C524" s="313"/>
      <c r="D524" s="313"/>
      <c r="E524" s="314"/>
      <c r="F524" s="314"/>
      <c r="G524" s="314"/>
      <c r="H524" s="318"/>
      <c r="I524" s="314"/>
      <c r="J524" s="314"/>
      <c r="K524" s="314"/>
      <c r="L524" s="314"/>
      <c r="M524" s="736"/>
      <c r="N524" s="318"/>
      <c r="O524" s="318"/>
      <c r="P524" s="314"/>
      <c r="Q524" s="314"/>
      <c r="R524" s="314"/>
      <c r="S524" s="314"/>
      <c r="T524" s="314"/>
      <c r="U524" s="314"/>
      <c r="V524" s="318"/>
      <c r="W524" s="315"/>
      <c r="X524" s="314"/>
      <c r="Y524" s="776"/>
      <c r="Z524" s="314"/>
      <c r="AA524" s="314"/>
      <c r="AB524" s="697"/>
      <c r="AC524" s="318"/>
      <c r="AD524" s="314"/>
      <c r="AE524" s="314"/>
      <c r="AF524" s="324"/>
      <c r="AG524" s="155"/>
      <c r="AH524" s="155"/>
      <c r="AI524" s="322"/>
      <c r="AJ524" s="132"/>
      <c r="AK524" s="132"/>
    </row>
    <row r="525">
      <c r="A525" s="314"/>
      <c r="B525" s="313"/>
      <c r="C525" s="313"/>
      <c r="D525" s="313"/>
      <c r="E525" s="314"/>
      <c r="F525" s="314"/>
      <c r="G525" s="314"/>
      <c r="H525" s="318"/>
      <c r="I525" s="314"/>
      <c r="J525" s="314"/>
      <c r="K525" s="314"/>
      <c r="L525" s="314"/>
      <c r="M525" s="736"/>
      <c r="N525" s="318"/>
      <c r="O525" s="318"/>
      <c r="P525" s="314"/>
      <c r="Q525" s="314"/>
      <c r="R525" s="314"/>
      <c r="S525" s="314"/>
      <c r="T525" s="314"/>
      <c r="U525" s="314"/>
      <c r="V525" s="318"/>
      <c r="W525" s="315"/>
      <c r="X525" s="314"/>
      <c r="Y525" s="776"/>
      <c r="Z525" s="314"/>
      <c r="AA525" s="314"/>
      <c r="AB525" s="697"/>
      <c r="AC525" s="318"/>
      <c r="AD525" s="314"/>
      <c r="AE525" s="314"/>
      <c r="AF525" s="324"/>
      <c r="AG525" s="155"/>
      <c r="AH525" s="155"/>
      <c r="AI525" s="322"/>
      <c r="AJ525" s="132"/>
      <c r="AK525" s="132"/>
    </row>
    <row r="526">
      <c r="A526" s="314"/>
      <c r="B526" s="313"/>
      <c r="C526" s="313"/>
      <c r="D526" s="313"/>
      <c r="E526" s="314"/>
      <c r="F526" s="314"/>
      <c r="G526" s="314"/>
      <c r="H526" s="318"/>
      <c r="I526" s="314"/>
      <c r="J526" s="314"/>
      <c r="K526" s="314"/>
      <c r="L526" s="314"/>
      <c r="M526" s="736"/>
      <c r="N526" s="318"/>
      <c r="O526" s="318"/>
      <c r="P526" s="314"/>
      <c r="Q526" s="314"/>
      <c r="R526" s="314"/>
      <c r="S526" s="314"/>
      <c r="T526" s="314"/>
      <c r="U526" s="314"/>
      <c r="V526" s="318"/>
      <c r="W526" s="315"/>
      <c r="X526" s="314"/>
      <c r="Y526" s="776"/>
      <c r="Z526" s="314"/>
      <c r="AA526" s="314"/>
      <c r="AB526" s="697"/>
      <c r="AC526" s="318"/>
      <c r="AD526" s="314"/>
      <c r="AE526" s="314"/>
      <c r="AF526" s="324"/>
      <c r="AG526" s="155"/>
      <c r="AH526" s="155"/>
      <c r="AI526" s="322"/>
      <c r="AJ526" s="132"/>
      <c r="AK526" s="132"/>
    </row>
    <row r="527">
      <c r="A527" s="314"/>
      <c r="B527" s="313"/>
      <c r="C527" s="313"/>
      <c r="D527" s="313"/>
      <c r="E527" s="314"/>
      <c r="F527" s="314"/>
      <c r="G527" s="314"/>
      <c r="H527" s="318"/>
      <c r="I527" s="314"/>
      <c r="J527" s="314"/>
      <c r="K527" s="314"/>
      <c r="L527" s="314"/>
      <c r="M527" s="736"/>
      <c r="N527" s="318"/>
      <c r="O527" s="318"/>
      <c r="P527" s="314"/>
      <c r="Q527" s="314"/>
      <c r="R527" s="314"/>
      <c r="S527" s="314"/>
      <c r="T527" s="314"/>
      <c r="U527" s="314"/>
      <c r="V527" s="318"/>
      <c r="W527" s="315"/>
      <c r="X527" s="314"/>
      <c r="Y527" s="776"/>
      <c r="Z527" s="314"/>
      <c r="AA527" s="314"/>
      <c r="AB527" s="697"/>
      <c r="AC527" s="318"/>
      <c r="AD527" s="314"/>
      <c r="AE527" s="314"/>
      <c r="AF527" s="324"/>
      <c r="AG527" s="155"/>
      <c r="AH527" s="155"/>
      <c r="AI527" s="322"/>
      <c r="AJ527" s="132"/>
      <c r="AK527" s="132"/>
    </row>
    <row r="528">
      <c r="A528" s="314"/>
      <c r="B528" s="313"/>
      <c r="C528" s="313"/>
      <c r="D528" s="313"/>
      <c r="E528" s="314"/>
      <c r="F528" s="314"/>
      <c r="G528" s="314"/>
      <c r="H528" s="318"/>
      <c r="I528" s="314"/>
      <c r="J528" s="314"/>
      <c r="K528" s="314"/>
      <c r="L528" s="314"/>
      <c r="M528" s="736"/>
      <c r="N528" s="318"/>
      <c r="O528" s="318"/>
      <c r="P528" s="314"/>
      <c r="Q528" s="314"/>
      <c r="R528" s="314"/>
      <c r="S528" s="314"/>
      <c r="T528" s="314"/>
      <c r="U528" s="314"/>
      <c r="V528" s="318"/>
      <c r="W528" s="315"/>
      <c r="X528" s="314"/>
      <c r="Y528" s="776"/>
      <c r="Z528" s="314"/>
      <c r="AA528" s="314"/>
      <c r="AB528" s="697"/>
      <c r="AC528" s="318"/>
      <c r="AD528" s="314"/>
      <c r="AE528" s="314"/>
      <c r="AF528" s="324"/>
      <c r="AG528" s="155"/>
      <c r="AH528" s="155"/>
      <c r="AI528" s="322"/>
      <c r="AJ528" s="132"/>
      <c r="AK528" s="132"/>
    </row>
    <row r="529">
      <c r="A529" s="314"/>
      <c r="B529" s="313"/>
      <c r="C529" s="313"/>
      <c r="D529" s="313"/>
      <c r="E529" s="314"/>
      <c r="F529" s="314"/>
      <c r="G529" s="314"/>
      <c r="H529" s="318"/>
      <c r="I529" s="314"/>
      <c r="J529" s="314"/>
      <c r="K529" s="314"/>
      <c r="L529" s="314"/>
      <c r="M529" s="736"/>
      <c r="N529" s="318"/>
      <c r="O529" s="318"/>
      <c r="P529" s="314"/>
      <c r="Q529" s="314"/>
      <c r="R529" s="314"/>
      <c r="S529" s="314"/>
      <c r="T529" s="314"/>
      <c r="U529" s="314"/>
      <c r="V529" s="318"/>
      <c r="W529" s="315"/>
      <c r="X529" s="314"/>
      <c r="Y529" s="776"/>
      <c r="Z529" s="314"/>
      <c r="AA529" s="314"/>
      <c r="AB529" s="697"/>
      <c r="AC529" s="318"/>
      <c r="AD529" s="314"/>
      <c r="AE529" s="314"/>
      <c r="AF529" s="324"/>
      <c r="AG529" s="155"/>
      <c r="AH529" s="155"/>
      <c r="AI529" s="322"/>
      <c r="AJ529" s="132"/>
      <c r="AK529" s="132"/>
    </row>
    <row r="530">
      <c r="A530" s="435"/>
      <c r="B530" s="313"/>
      <c r="C530" s="437"/>
      <c r="D530" s="313"/>
      <c r="E530" s="435"/>
      <c r="F530" s="314"/>
      <c r="G530" s="314"/>
      <c r="H530" s="740"/>
      <c r="I530" s="435"/>
      <c r="J530" s="314"/>
      <c r="K530" s="435"/>
      <c r="L530" s="435"/>
      <c r="M530" s="736"/>
      <c r="N530" s="318"/>
      <c r="O530" s="318"/>
      <c r="P530" s="435"/>
      <c r="Q530" s="435"/>
      <c r="R530" s="435"/>
      <c r="S530" s="435"/>
      <c r="T530" s="435"/>
      <c r="U530" s="435"/>
      <c r="V530" s="740"/>
      <c r="W530" s="744"/>
      <c r="X530" s="435"/>
      <c r="Y530" s="781"/>
      <c r="Z530" s="435"/>
      <c r="AA530" s="435"/>
      <c r="AB530" s="743"/>
      <c r="AC530" s="740"/>
      <c r="AD530" s="435"/>
      <c r="AE530" s="435"/>
      <c r="AF530" s="324"/>
      <c r="AG530" s="180"/>
      <c r="AH530" s="155"/>
      <c r="AI530" s="322"/>
      <c r="AJ530" s="132"/>
      <c r="AK530" s="132"/>
    </row>
    <row r="531">
      <c r="A531" s="435"/>
      <c r="B531" s="313"/>
      <c r="C531" s="313"/>
      <c r="D531" s="437"/>
      <c r="E531" s="314"/>
      <c r="F531" s="314"/>
      <c r="G531" s="314"/>
      <c r="H531" s="318"/>
      <c r="I531" s="314"/>
      <c r="J531" s="314"/>
      <c r="K531" s="314"/>
      <c r="L531" s="314"/>
      <c r="M531" s="839"/>
      <c r="N531" s="740"/>
      <c r="O531" s="318"/>
      <c r="P531" s="314"/>
      <c r="Q531" s="314"/>
      <c r="R531" s="314"/>
      <c r="S531" s="314"/>
      <c r="T531" s="314"/>
      <c r="U531" s="314"/>
      <c r="V531" s="318"/>
      <c r="W531" s="315"/>
      <c r="X531" s="314"/>
      <c r="Y531" s="776"/>
      <c r="Z531" s="314"/>
      <c r="AA531" s="314"/>
      <c r="AB531" s="697"/>
      <c r="AC531" s="318"/>
      <c r="AD531" s="314"/>
      <c r="AE531" s="314"/>
      <c r="AF531" s="324"/>
      <c r="AG531" s="180"/>
      <c r="AH531" s="155"/>
      <c r="AI531" s="322"/>
      <c r="AJ531" s="132"/>
      <c r="AK531" s="132"/>
    </row>
    <row r="532">
      <c r="A532" s="435"/>
      <c r="B532" s="437"/>
      <c r="C532" s="437"/>
      <c r="D532" s="437"/>
      <c r="E532" s="435"/>
      <c r="F532" s="314"/>
      <c r="G532" s="314"/>
      <c r="H532" s="318"/>
      <c r="I532" s="435"/>
      <c r="J532" s="435"/>
      <c r="K532" s="435"/>
      <c r="L532" s="435"/>
      <c r="M532" s="839"/>
      <c r="N532" s="740"/>
      <c r="O532" s="318"/>
      <c r="P532" s="435"/>
      <c r="Q532" s="314"/>
      <c r="R532" s="435"/>
      <c r="S532" s="435"/>
      <c r="T532" s="435"/>
      <c r="U532" s="435"/>
      <c r="V532" s="740"/>
      <c r="W532" s="744"/>
      <c r="X532" s="435"/>
      <c r="Y532" s="781"/>
      <c r="Z532" s="435"/>
      <c r="AA532" s="435"/>
      <c r="AB532" s="743"/>
      <c r="AC532" s="740"/>
      <c r="AD532" s="435"/>
      <c r="AE532" s="435"/>
      <c r="AF532" s="324"/>
      <c r="AG532" s="180"/>
      <c r="AH532" s="155"/>
      <c r="AI532" s="322"/>
      <c r="AJ532" s="132"/>
      <c r="AK532" s="132"/>
    </row>
    <row r="533">
      <c r="A533" s="435"/>
      <c r="B533" s="313"/>
      <c r="C533" s="313"/>
      <c r="D533" s="437"/>
      <c r="E533" s="314"/>
      <c r="F533" s="314"/>
      <c r="G533" s="314"/>
      <c r="H533" s="318"/>
      <c r="I533" s="435"/>
      <c r="J533" s="314"/>
      <c r="K533" s="435"/>
      <c r="L533" s="314"/>
      <c r="M533" s="736"/>
      <c r="N533" s="318"/>
      <c r="O533" s="318"/>
      <c r="P533" s="314"/>
      <c r="Q533" s="435"/>
      <c r="R533" s="435"/>
      <c r="S533" s="314"/>
      <c r="T533" s="314"/>
      <c r="U533" s="314"/>
      <c r="V533" s="318"/>
      <c r="W533" s="315"/>
      <c r="X533" s="314"/>
      <c r="Y533" s="776"/>
      <c r="Z533" s="314"/>
      <c r="AA533" s="314"/>
      <c r="AB533" s="697"/>
      <c r="AC533" s="318"/>
      <c r="AD533" s="314"/>
      <c r="AE533" s="314"/>
      <c r="AF533" s="324"/>
      <c r="AG533" s="180"/>
      <c r="AH533" s="155"/>
      <c r="AI533" s="322"/>
      <c r="AJ533" s="132"/>
      <c r="AK533" s="132"/>
    </row>
    <row r="534">
      <c r="A534" s="435"/>
      <c r="B534" s="437"/>
      <c r="C534" s="437"/>
      <c r="D534" s="437"/>
      <c r="E534" s="435"/>
      <c r="F534" s="314"/>
      <c r="G534" s="314"/>
      <c r="H534" s="740"/>
      <c r="I534" s="435"/>
      <c r="J534" s="435"/>
      <c r="K534" s="435"/>
      <c r="L534" s="435"/>
      <c r="M534" s="839"/>
      <c r="N534" s="740"/>
      <c r="O534" s="318"/>
      <c r="P534" s="435"/>
      <c r="Q534" s="435"/>
      <c r="R534" s="435"/>
      <c r="S534" s="435"/>
      <c r="T534" s="435"/>
      <c r="U534" s="435"/>
      <c r="V534" s="740"/>
      <c r="W534" s="744"/>
      <c r="X534" s="435"/>
      <c r="Y534" s="781"/>
      <c r="Z534" s="435"/>
      <c r="AA534" s="435"/>
      <c r="AB534" s="743"/>
      <c r="AC534" s="740"/>
      <c r="AD534" s="435"/>
      <c r="AE534" s="435"/>
      <c r="AF534" s="324"/>
      <c r="AG534" s="180"/>
      <c r="AH534" s="155"/>
      <c r="AI534" s="322"/>
      <c r="AJ534" s="132"/>
      <c r="AK534" s="132"/>
    </row>
    <row r="535">
      <c r="A535" s="435"/>
      <c r="B535" s="437"/>
      <c r="C535" s="313"/>
      <c r="D535" s="437"/>
      <c r="E535" s="314"/>
      <c r="F535" s="314"/>
      <c r="G535" s="314"/>
      <c r="H535" s="318"/>
      <c r="I535" s="314"/>
      <c r="J535" s="314"/>
      <c r="K535" s="435"/>
      <c r="L535" s="314"/>
      <c r="M535" s="736"/>
      <c r="N535" s="318"/>
      <c r="O535" s="318"/>
      <c r="P535" s="314"/>
      <c r="Q535" s="314"/>
      <c r="R535" s="314"/>
      <c r="S535" s="435"/>
      <c r="T535" s="435"/>
      <c r="U535" s="435"/>
      <c r="V535" s="740"/>
      <c r="W535" s="744"/>
      <c r="X535" s="435"/>
      <c r="Y535" s="781"/>
      <c r="Z535" s="435"/>
      <c r="AA535" s="435"/>
      <c r="AB535" s="743"/>
      <c r="AC535" s="740"/>
      <c r="AD535" s="435"/>
      <c r="AE535" s="435"/>
      <c r="AF535" s="324"/>
      <c r="AG535" s="180"/>
      <c r="AH535" s="155"/>
      <c r="AI535" s="322"/>
      <c r="AJ535" s="132"/>
      <c r="AK535" s="132"/>
    </row>
    <row r="536">
      <c r="A536" s="435"/>
      <c r="B536" s="437"/>
      <c r="C536" s="437"/>
      <c r="D536" s="437"/>
      <c r="E536" s="435"/>
      <c r="F536" s="314"/>
      <c r="G536" s="314"/>
      <c r="H536" s="740"/>
      <c r="I536" s="314"/>
      <c r="J536" s="314"/>
      <c r="K536" s="435"/>
      <c r="L536" s="314"/>
      <c r="M536" s="736"/>
      <c r="N536" s="318"/>
      <c r="O536" s="318"/>
      <c r="P536" s="435"/>
      <c r="Q536" s="435"/>
      <c r="R536" s="435"/>
      <c r="S536" s="435"/>
      <c r="T536" s="435"/>
      <c r="U536" s="435"/>
      <c r="V536" s="740"/>
      <c r="W536" s="744"/>
      <c r="X536" s="435"/>
      <c r="Y536" s="781"/>
      <c r="Z536" s="435"/>
      <c r="AA536" s="435"/>
      <c r="AB536" s="743"/>
      <c r="AC536" s="740"/>
      <c r="AD536" s="435"/>
      <c r="AE536" s="435"/>
      <c r="AF536" s="324"/>
      <c r="AG536" s="180"/>
      <c r="AH536" s="155"/>
      <c r="AI536" s="322"/>
      <c r="AJ536" s="132"/>
      <c r="AK536" s="132"/>
    </row>
    <row r="537">
      <c r="A537" s="435"/>
      <c r="B537" s="437"/>
      <c r="C537" s="437"/>
      <c r="D537" s="437"/>
      <c r="E537" s="435"/>
      <c r="F537" s="314"/>
      <c r="G537" s="314"/>
      <c r="H537" s="740"/>
      <c r="I537" s="435"/>
      <c r="J537" s="435"/>
      <c r="K537" s="435"/>
      <c r="L537" s="435"/>
      <c r="M537" s="839"/>
      <c r="N537" s="740"/>
      <c r="O537" s="318"/>
      <c r="P537" s="435"/>
      <c r="Q537" s="435"/>
      <c r="R537" s="435"/>
      <c r="S537" s="435"/>
      <c r="T537" s="435"/>
      <c r="U537" s="435"/>
      <c r="V537" s="740"/>
      <c r="W537" s="744"/>
      <c r="X537" s="435"/>
      <c r="Y537" s="781"/>
      <c r="Z537" s="435"/>
      <c r="AA537" s="435"/>
      <c r="AB537" s="743"/>
      <c r="AC537" s="740"/>
      <c r="AD537" s="435"/>
      <c r="AE537" s="435"/>
      <c r="AF537" s="324"/>
      <c r="AG537" s="180"/>
      <c r="AH537" s="155"/>
      <c r="AI537" s="322"/>
      <c r="AJ537" s="132"/>
      <c r="AK537" s="132"/>
    </row>
    <row r="538">
      <c r="A538" s="435"/>
      <c r="B538" s="313"/>
      <c r="C538" s="313"/>
      <c r="D538" s="313"/>
      <c r="E538" s="435"/>
      <c r="F538" s="314"/>
      <c r="G538" s="314"/>
      <c r="H538" s="740"/>
      <c r="I538" s="314"/>
      <c r="J538" s="314"/>
      <c r="K538" s="314"/>
      <c r="L538" s="314"/>
      <c r="M538" s="736"/>
      <c r="N538" s="318"/>
      <c r="O538" s="318"/>
      <c r="P538" s="314"/>
      <c r="Q538" s="314"/>
      <c r="R538" s="314"/>
      <c r="S538" s="314"/>
      <c r="T538" s="314"/>
      <c r="U538" s="314"/>
      <c r="V538" s="318"/>
      <c r="W538" s="315"/>
      <c r="X538" s="314"/>
      <c r="Y538" s="776"/>
      <c r="Z538" s="314"/>
      <c r="AA538" s="314"/>
      <c r="AB538" s="697"/>
      <c r="AC538" s="318"/>
      <c r="AD538" s="314"/>
      <c r="AE538" s="314"/>
      <c r="AF538" s="324"/>
      <c r="AG538" s="180"/>
      <c r="AH538" s="155"/>
      <c r="AI538" s="322"/>
      <c r="AJ538" s="132"/>
      <c r="AK538" s="132"/>
    </row>
    <row r="539">
      <c r="A539" s="435"/>
      <c r="B539" s="313"/>
      <c r="C539" s="313"/>
      <c r="D539" s="437"/>
      <c r="E539" s="314"/>
      <c r="F539" s="314"/>
      <c r="G539" s="314"/>
      <c r="H539" s="740"/>
      <c r="I539" s="314"/>
      <c r="J539" s="435"/>
      <c r="K539" s="435"/>
      <c r="L539" s="314"/>
      <c r="M539" s="839"/>
      <c r="N539" s="318"/>
      <c r="O539" s="318"/>
      <c r="P539" s="314"/>
      <c r="Q539" s="314"/>
      <c r="R539" s="435"/>
      <c r="S539" s="435"/>
      <c r="T539" s="435"/>
      <c r="U539" s="435"/>
      <c r="V539" s="740"/>
      <c r="W539" s="744"/>
      <c r="X539" s="435"/>
      <c r="Y539" s="781"/>
      <c r="Z539" s="435"/>
      <c r="AA539" s="435"/>
      <c r="AB539" s="743"/>
      <c r="AC539" s="740"/>
      <c r="AD539" s="435"/>
      <c r="AE539" s="435"/>
      <c r="AF539" s="324"/>
      <c r="AG539" s="180"/>
      <c r="AH539" s="155"/>
      <c r="AI539" s="322"/>
      <c r="AJ539" s="132"/>
      <c r="AK539" s="132"/>
    </row>
    <row r="540">
      <c r="A540" s="435"/>
      <c r="B540" s="313"/>
      <c r="C540" s="313"/>
      <c r="D540" s="313"/>
      <c r="E540" s="314"/>
      <c r="F540" s="314"/>
      <c r="G540" s="314"/>
      <c r="H540" s="318"/>
      <c r="I540" s="314"/>
      <c r="J540" s="314"/>
      <c r="K540" s="314"/>
      <c r="L540" s="314"/>
      <c r="M540" s="736"/>
      <c r="N540" s="318"/>
      <c r="O540" s="318"/>
      <c r="P540" s="314"/>
      <c r="Q540" s="435"/>
      <c r="R540" s="314"/>
      <c r="S540" s="435"/>
      <c r="T540" s="435"/>
      <c r="U540" s="435"/>
      <c r="V540" s="740"/>
      <c r="W540" s="744"/>
      <c r="X540" s="435"/>
      <c r="Y540" s="781"/>
      <c r="Z540" s="435"/>
      <c r="AA540" s="435"/>
      <c r="AB540" s="743"/>
      <c r="AC540" s="740"/>
      <c r="AD540" s="435"/>
      <c r="AE540" s="435"/>
      <c r="AF540" s="324"/>
      <c r="AG540" s="180"/>
      <c r="AH540" s="155"/>
      <c r="AI540" s="322"/>
      <c r="AJ540" s="132"/>
      <c r="AK540" s="132"/>
    </row>
    <row r="541">
      <c r="A541" s="435"/>
      <c r="B541" s="437"/>
      <c r="C541" s="313"/>
      <c r="D541" s="313"/>
      <c r="E541" s="314"/>
      <c r="F541" s="314"/>
      <c r="G541" s="314"/>
      <c r="H541" s="740"/>
      <c r="I541" s="314"/>
      <c r="J541" s="435"/>
      <c r="K541" s="435"/>
      <c r="L541" s="314"/>
      <c r="M541" s="736"/>
      <c r="N541" s="740"/>
      <c r="O541" s="318"/>
      <c r="P541" s="314"/>
      <c r="Q541" s="314"/>
      <c r="R541" s="435"/>
      <c r="S541" s="435"/>
      <c r="T541" s="435"/>
      <c r="U541" s="435"/>
      <c r="V541" s="740"/>
      <c r="W541" s="744"/>
      <c r="X541" s="435"/>
      <c r="Y541" s="781"/>
      <c r="Z541" s="435"/>
      <c r="AA541" s="435"/>
      <c r="AB541" s="743"/>
      <c r="AC541" s="740"/>
      <c r="AD541" s="435"/>
      <c r="AE541" s="435"/>
      <c r="AF541" s="324"/>
      <c r="AG541" s="180"/>
      <c r="AH541" s="155"/>
      <c r="AI541" s="322"/>
      <c r="AJ541" s="132"/>
      <c r="AK541" s="132"/>
    </row>
    <row r="542">
      <c r="A542" s="435"/>
      <c r="B542" s="313"/>
      <c r="C542" s="437"/>
      <c r="D542" s="437"/>
      <c r="E542" s="435"/>
      <c r="F542" s="314"/>
      <c r="G542" s="314"/>
      <c r="H542" s="740"/>
      <c r="I542" s="314"/>
      <c r="J542" s="314"/>
      <c r="K542" s="435"/>
      <c r="L542" s="314"/>
      <c r="M542" s="736"/>
      <c r="N542" s="318"/>
      <c r="O542" s="318"/>
      <c r="P542" s="314"/>
      <c r="Q542" s="314"/>
      <c r="R542" s="314"/>
      <c r="S542" s="435"/>
      <c r="T542" s="435"/>
      <c r="U542" s="435"/>
      <c r="V542" s="740"/>
      <c r="W542" s="744"/>
      <c r="X542" s="435"/>
      <c r="Y542" s="781"/>
      <c r="Z542" s="435"/>
      <c r="AA542" s="435"/>
      <c r="AB542" s="743"/>
      <c r="AC542" s="740"/>
      <c r="AD542" s="435"/>
      <c r="AE542" s="435"/>
      <c r="AF542" s="324"/>
      <c r="AG542" s="180"/>
      <c r="AH542" s="155"/>
      <c r="AI542" s="322"/>
      <c r="AJ542" s="132"/>
      <c r="AK542" s="132"/>
    </row>
    <row r="543">
      <c r="A543" s="435"/>
      <c r="B543" s="313"/>
      <c r="C543" s="313"/>
      <c r="D543" s="313"/>
      <c r="E543" s="314"/>
      <c r="F543" s="314"/>
      <c r="G543" s="314"/>
      <c r="H543" s="740"/>
      <c r="I543" s="314"/>
      <c r="J543" s="314"/>
      <c r="K543" s="314"/>
      <c r="L543" s="314"/>
      <c r="M543" s="736"/>
      <c r="N543" s="318"/>
      <c r="O543" s="318"/>
      <c r="P543" s="314"/>
      <c r="Q543" s="314"/>
      <c r="R543" s="435"/>
      <c r="S543" s="314"/>
      <c r="T543" s="314"/>
      <c r="U543" s="314"/>
      <c r="V543" s="318"/>
      <c r="W543" s="315"/>
      <c r="X543" s="314"/>
      <c r="Y543" s="776"/>
      <c r="Z543" s="314"/>
      <c r="AA543" s="314"/>
      <c r="AB543" s="697"/>
      <c r="AC543" s="318"/>
      <c r="AD543" s="314"/>
      <c r="AE543" s="314"/>
      <c r="AF543" s="324"/>
      <c r="AG543" s="180"/>
      <c r="AH543" s="155"/>
      <c r="AI543" s="322"/>
      <c r="AJ543" s="132"/>
      <c r="AK543" s="132"/>
    </row>
    <row r="544">
      <c r="A544" s="435"/>
      <c r="B544" s="437"/>
      <c r="C544" s="437"/>
      <c r="D544" s="437"/>
      <c r="E544" s="435"/>
      <c r="F544" s="314"/>
      <c r="G544" s="314"/>
      <c r="H544" s="740"/>
      <c r="I544" s="435"/>
      <c r="J544" s="435"/>
      <c r="K544" s="435"/>
      <c r="L544" s="435"/>
      <c r="M544" s="839"/>
      <c r="N544" s="740"/>
      <c r="O544" s="318"/>
      <c r="P544" s="435"/>
      <c r="Q544" s="435"/>
      <c r="R544" s="435"/>
      <c r="S544" s="435"/>
      <c r="T544" s="435"/>
      <c r="U544" s="435"/>
      <c r="V544" s="740"/>
      <c r="W544" s="744"/>
      <c r="X544" s="435"/>
      <c r="Y544" s="781"/>
      <c r="Z544" s="435"/>
      <c r="AA544" s="435"/>
      <c r="AB544" s="743"/>
      <c r="AC544" s="740"/>
      <c r="AD544" s="435"/>
      <c r="AE544" s="435"/>
      <c r="AF544" s="324"/>
      <c r="AG544" s="180"/>
      <c r="AH544" s="155"/>
      <c r="AI544" s="322"/>
      <c r="AJ544" s="132"/>
      <c r="AK544" s="132"/>
    </row>
    <row r="545">
      <c r="A545" s="435"/>
      <c r="B545" s="313"/>
      <c r="C545" s="313"/>
      <c r="D545" s="313"/>
      <c r="E545" s="314"/>
      <c r="F545" s="314"/>
      <c r="G545" s="314"/>
      <c r="H545" s="318"/>
      <c r="I545" s="314"/>
      <c r="J545" s="314"/>
      <c r="K545" s="314"/>
      <c r="L545" s="314"/>
      <c r="M545" s="839"/>
      <c r="N545" s="318"/>
      <c r="O545" s="318"/>
      <c r="P545" s="314"/>
      <c r="Q545" s="314"/>
      <c r="R545" s="314"/>
      <c r="S545" s="314"/>
      <c r="T545" s="314"/>
      <c r="U545" s="314"/>
      <c r="V545" s="318"/>
      <c r="W545" s="315"/>
      <c r="X545" s="314"/>
      <c r="Y545" s="776"/>
      <c r="Z545" s="314"/>
      <c r="AA545" s="314"/>
      <c r="AB545" s="697"/>
      <c r="AC545" s="318"/>
      <c r="AD545" s="314"/>
      <c r="AE545" s="314"/>
      <c r="AF545" s="324"/>
      <c r="AG545" s="180"/>
      <c r="AH545" s="155"/>
      <c r="AI545" s="322"/>
      <c r="AJ545" s="132"/>
      <c r="AK545" s="132"/>
    </row>
    <row r="546">
      <c r="A546" s="435"/>
      <c r="B546" s="313"/>
      <c r="C546" s="437"/>
      <c r="D546" s="437"/>
      <c r="E546" s="435"/>
      <c r="F546" s="314"/>
      <c r="G546" s="314"/>
      <c r="H546" s="740"/>
      <c r="I546" s="435"/>
      <c r="J546" s="435"/>
      <c r="K546" s="435"/>
      <c r="L546" s="314"/>
      <c r="M546" s="839"/>
      <c r="N546" s="740"/>
      <c r="O546" s="318"/>
      <c r="P546" s="435"/>
      <c r="Q546" s="435"/>
      <c r="R546" s="435"/>
      <c r="S546" s="435"/>
      <c r="T546" s="435"/>
      <c r="U546" s="435"/>
      <c r="V546" s="740"/>
      <c r="W546" s="744"/>
      <c r="X546" s="435"/>
      <c r="Y546" s="781"/>
      <c r="Z546" s="435"/>
      <c r="AA546" s="435"/>
      <c r="AB546" s="743"/>
      <c r="AC546" s="740"/>
      <c r="AD546" s="435"/>
      <c r="AE546" s="435"/>
      <c r="AF546" s="324"/>
      <c r="AG546" s="180"/>
      <c r="AH546" s="155"/>
      <c r="AI546" s="322"/>
      <c r="AJ546" s="132"/>
      <c r="AK546" s="132"/>
    </row>
    <row r="547">
      <c r="A547" s="435"/>
      <c r="B547" s="437"/>
      <c r="C547" s="437"/>
      <c r="D547" s="313"/>
      <c r="E547" s="435"/>
      <c r="F547" s="314"/>
      <c r="G547" s="314"/>
      <c r="H547" s="740"/>
      <c r="I547" s="435"/>
      <c r="J547" s="314"/>
      <c r="K547" s="435"/>
      <c r="L547" s="435"/>
      <c r="M547" s="736"/>
      <c r="N547" s="740"/>
      <c r="O547" s="318"/>
      <c r="P547" s="435"/>
      <c r="Q547" s="314"/>
      <c r="R547" s="435"/>
      <c r="S547" s="435"/>
      <c r="T547" s="435"/>
      <c r="U547" s="435"/>
      <c r="V547" s="740"/>
      <c r="W547" s="744"/>
      <c r="X547" s="435"/>
      <c r="Y547" s="781"/>
      <c r="Z547" s="435"/>
      <c r="AA547" s="435"/>
      <c r="AB547" s="743"/>
      <c r="AC547" s="740"/>
      <c r="AD547" s="435"/>
      <c r="AE547" s="435"/>
      <c r="AF547" s="324"/>
      <c r="AG547" s="180"/>
      <c r="AH547" s="155"/>
      <c r="AI547" s="322"/>
      <c r="AJ547" s="132"/>
      <c r="AK547" s="132"/>
    </row>
    <row r="548">
      <c r="A548" s="458"/>
      <c r="B548" s="437"/>
      <c r="C548" s="437"/>
      <c r="D548" s="437"/>
      <c r="E548" s="435"/>
      <c r="F548" s="314"/>
      <c r="G548" s="314"/>
      <c r="H548" s="318"/>
      <c r="I548" s="435"/>
      <c r="J548" s="435"/>
      <c r="K548" s="435"/>
      <c r="L548" s="435"/>
      <c r="M548" s="839"/>
      <c r="N548" s="740"/>
      <c r="O548" s="318"/>
      <c r="P548" s="435"/>
      <c r="Q548" s="435"/>
      <c r="R548" s="435"/>
      <c r="S548" s="435"/>
      <c r="T548" s="435"/>
      <c r="U548" s="435"/>
      <c r="V548" s="740"/>
      <c r="W548" s="744"/>
      <c r="X548" s="435"/>
      <c r="Y548" s="781"/>
      <c r="Z548" s="435"/>
      <c r="AA548" s="435"/>
      <c r="AB548" s="743"/>
      <c r="AC548" s="740"/>
      <c r="AD548" s="435"/>
      <c r="AE548" s="435"/>
      <c r="AF548" s="324"/>
      <c r="AG548" s="180"/>
      <c r="AH548" s="155"/>
      <c r="AI548" s="322"/>
      <c r="AJ548" s="132"/>
      <c r="AK548" s="132"/>
    </row>
    <row r="549">
      <c r="A549" s="458"/>
      <c r="B549" s="437"/>
      <c r="C549" s="437"/>
      <c r="D549" s="437"/>
      <c r="E549" s="435"/>
      <c r="F549" s="314"/>
      <c r="G549" s="314"/>
      <c r="H549" s="318"/>
      <c r="I549" s="314"/>
      <c r="J549" s="435"/>
      <c r="K549" s="435"/>
      <c r="L549" s="435"/>
      <c r="M549" s="839"/>
      <c r="N549" s="740"/>
      <c r="O549" s="318"/>
      <c r="P549" s="435"/>
      <c r="Q549" s="435"/>
      <c r="R549" s="435"/>
      <c r="S549" s="435"/>
      <c r="T549" s="435"/>
      <c r="U549" s="435"/>
      <c r="V549" s="740"/>
      <c r="W549" s="744"/>
      <c r="X549" s="435"/>
      <c r="Y549" s="781"/>
      <c r="Z549" s="435"/>
      <c r="AA549" s="435"/>
      <c r="AB549" s="743"/>
      <c r="AC549" s="740"/>
      <c r="AD549" s="435"/>
      <c r="AE549" s="435"/>
      <c r="AF549" s="324"/>
      <c r="AG549" s="180"/>
      <c r="AH549" s="155"/>
      <c r="AI549" s="322"/>
      <c r="AJ549" s="132"/>
      <c r="AK549" s="132"/>
    </row>
    <row r="550">
      <c r="A550" s="458"/>
      <c r="B550" s="437"/>
      <c r="C550" s="437"/>
      <c r="D550" s="437"/>
      <c r="E550" s="314"/>
      <c r="F550" s="314"/>
      <c r="G550" s="314"/>
      <c r="H550" s="318"/>
      <c r="I550" s="435"/>
      <c r="J550" s="435"/>
      <c r="K550" s="435"/>
      <c r="L550" s="435"/>
      <c r="M550" s="839"/>
      <c r="N550" s="740"/>
      <c r="O550" s="318"/>
      <c r="P550" s="435"/>
      <c r="Q550" s="314"/>
      <c r="R550" s="435"/>
      <c r="S550" s="435"/>
      <c r="T550" s="435"/>
      <c r="U550" s="435"/>
      <c r="V550" s="740"/>
      <c r="W550" s="744"/>
      <c r="X550" s="435"/>
      <c r="Y550" s="781"/>
      <c r="Z550" s="435"/>
      <c r="AA550" s="435"/>
      <c r="AB550" s="743"/>
      <c r="AC550" s="740"/>
      <c r="AD550" s="435"/>
      <c r="AE550" s="435"/>
      <c r="AF550" s="324"/>
      <c r="AG550" s="180"/>
      <c r="AH550" s="155"/>
      <c r="AI550" s="322"/>
      <c r="AJ550" s="132"/>
      <c r="AK550" s="132"/>
    </row>
    <row r="551">
      <c r="A551" s="458"/>
      <c r="B551" s="313"/>
      <c r="C551" s="313"/>
      <c r="D551" s="313"/>
      <c r="E551" s="314"/>
      <c r="F551" s="314"/>
      <c r="G551" s="314"/>
      <c r="H551" s="318"/>
      <c r="I551" s="314"/>
      <c r="J551" s="314"/>
      <c r="K551" s="314"/>
      <c r="L551" s="314"/>
      <c r="M551" s="736"/>
      <c r="N551" s="318"/>
      <c r="O551" s="318"/>
      <c r="P551" s="314"/>
      <c r="Q551" s="314"/>
      <c r="R551" s="314"/>
      <c r="S551" s="314"/>
      <c r="T551" s="314"/>
      <c r="U551" s="314"/>
      <c r="V551" s="318"/>
      <c r="W551" s="315"/>
      <c r="X551" s="314"/>
      <c r="Y551" s="776"/>
      <c r="Z551" s="314"/>
      <c r="AA551" s="314"/>
      <c r="AB551" s="697"/>
      <c r="AC551" s="318"/>
      <c r="AD551" s="314"/>
      <c r="AE551" s="314"/>
      <c r="AF551" s="324"/>
      <c r="AG551" s="180"/>
      <c r="AH551" s="155"/>
      <c r="AI551" s="322"/>
      <c r="AJ551" s="132"/>
      <c r="AK551" s="132"/>
    </row>
    <row r="552">
      <c r="A552" s="458"/>
      <c r="B552" s="437"/>
      <c r="C552" s="437"/>
      <c r="D552" s="437"/>
      <c r="E552" s="314"/>
      <c r="F552" s="314"/>
      <c r="G552" s="314"/>
      <c r="H552" s="318"/>
      <c r="I552" s="314"/>
      <c r="J552" s="314"/>
      <c r="K552" s="435"/>
      <c r="L552" s="435"/>
      <c r="M552" s="839"/>
      <c r="N552" s="318"/>
      <c r="O552" s="318"/>
      <c r="P552" s="435"/>
      <c r="Q552" s="435"/>
      <c r="R552" s="435"/>
      <c r="S552" s="435"/>
      <c r="T552" s="435"/>
      <c r="U552" s="435"/>
      <c r="V552" s="740"/>
      <c r="W552" s="744"/>
      <c r="X552" s="435"/>
      <c r="Y552" s="781"/>
      <c r="Z552" s="435"/>
      <c r="AA552" s="435"/>
      <c r="AB552" s="743"/>
      <c r="AC552" s="740"/>
      <c r="AD552" s="435"/>
      <c r="AE552" s="435"/>
      <c r="AF552" s="324"/>
      <c r="AG552" s="180"/>
      <c r="AH552" s="155"/>
      <c r="AI552" s="322"/>
      <c r="AJ552" s="132"/>
      <c r="AK552" s="132"/>
    </row>
    <row r="553">
      <c r="A553" s="458"/>
      <c r="B553" s="313"/>
      <c r="C553" s="313"/>
      <c r="D553" s="437"/>
      <c r="E553" s="314"/>
      <c r="F553" s="314"/>
      <c r="G553" s="314"/>
      <c r="H553" s="318"/>
      <c r="I553" s="314"/>
      <c r="J553" s="314"/>
      <c r="K553" s="314"/>
      <c r="L553" s="314"/>
      <c r="M553" s="736"/>
      <c r="N553" s="318"/>
      <c r="O553" s="318"/>
      <c r="P553" s="314"/>
      <c r="Q553" s="314"/>
      <c r="R553" s="314"/>
      <c r="S553" s="314"/>
      <c r="T553" s="314"/>
      <c r="U553" s="314"/>
      <c r="V553" s="318"/>
      <c r="W553" s="315"/>
      <c r="X553" s="314"/>
      <c r="Y553" s="776"/>
      <c r="Z553" s="314"/>
      <c r="AA553" s="314"/>
      <c r="AB553" s="697"/>
      <c r="AC553" s="318"/>
      <c r="AD553" s="314"/>
      <c r="AE553" s="314"/>
      <c r="AF553" s="324"/>
      <c r="AG553" s="180"/>
      <c r="AH553" s="155"/>
      <c r="AI553" s="322"/>
      <c r="AJ553" s="132"/>
      <c r="AK553" s="132"/>
    </row>
    <row r="554">
      <c r="A554" s="458"/>
      <c r="B554" s="313"/>
      <c r="C554" s="437"/>
      <c r="D554" s="313"/>
      <c r="E554" s="314"/>
      <c r="F554" s="314"/>
      <c r="G554" s="314"/>
      <c r="H554" s="318"/>
      <c r="I554" s="435"/>
      <c r="J554" s="314"/>
      <c r="K554" s="314"/>
      <c r="L554" s="435"/>
      <c r="M554" s="736"/>
      <c r="N554" s="318"/>
      <c r="O554" s="318"/>
      <c r="P554" s="314"/>
      <c r="Q554" s="435"/>
      <c r="R554" s="435"/>
      <c r="S554" s="435"/>
      <c r="T554" s="435"/>
      <c r="U554" s="435"/>
      <c r="V554" s="740"/>
      <c r="W554" s="744"/>
      <c r="X554" s="435"/>
      <c r="Y554" s="781"/>
      <c r="Z554" s="435"/>
      <c r="AA554" s="435"/>
      <c r="AB554" s="743"/>
      <c r="AC554" s="740"/>
      <c r="AD554" s="435"/>
      <c r="AE554" s="435"/>
      <c r="AF554" s="324"/>
      <c r="AG554" s="180"/>
      <c r="AH554" s="155"/>
      <c r="AI554" s="322"/>
      <c r="AJ554" s="132"/>
      <c r="AK554" s="132"/>
    </row>
    <row r="555">
      <c r="A555" s="458"/>
      <c r="B555" s="313"/>
      <c r="C555" s="437"/>
      <c r="D555" s="437"/>
      <c r="E555" s="435"/>
      <c r="F555" s="314"/>
      <c r="G555" s="314"/>
      <c r="H555" s="740"/>
      <c r="I555" s="435"/>
      <c r="J555" s="314"/>
      <c r="K555" s="435"/>
      <c r="L555" s="435"/>
      <c r="M555" s="736"/>
      <c r="N555" s="318"/>
      <c r="O555" s="318"/>
      <c r="P555" s="435"/>
      <c r="Q555" s="435"/>
      <c r="R555" s="435"/>
      <c r="S555" s="435"/>
      <c r="T555" s="435"/>
      <c r="U555" s="435"/>
      <c r="V555" s="740"/>
      <c r="W555" s="744"/>
      <c r="X555" s="435"/>
      <c r="Y555" s="781"/>
      <c r="Z555" s="435"/>
      <c r="AA555" s="435"/>
      <c r="AB555" s="743"/>
      <c r="AC555" s="740"/>
      <c r="AD555" s="435"/>
      <c r="AE555" s="435"/>
      <c r="AF555" s="324"/>
      <c r="AG555" s="180"/>
      <c r="AH555" s="155"/>
      <c r="AI555" s="322"/>
      <c r="AJ555" s="132"/>
      <c r="AK555" s="132"/>
    </row>
    <row r="556">
      <c r="A556" s="458"/>
      <c r="B556" s="313"/>
      <c r="C556" s="437"/>
      <c r="D556" s="437"/>
      <c r="E556" s="314"/>
      <c r="F556" s="314"/>
      <c r="G556" s="314"/>
      <c r="H556" s="318"/>
      <c r="I556" s="314"/>
      <c r="J556" s="314"/>
      <c r="K556" s="435"/>
      <c r="L556" s="314"/>
      <c r="M556" s="736"/>
      <c r="N556" s="318"/>
      <c r="O556" s="318"/>
      <c r="P556" s="314"/>
      <c r="Q556" s="314"/>
      <c r="R556" s="435"/>
      <c r="S556" s="435"/>
      <c r="T556" s="435"/>
      <c r="U556" s="435"/>
      <c r="V556" s="740"/>
      <c r="W556" s="744"/>
      <c r="X556" s="435"/>
      <c r="Y556" s="781"/>
      <c r="Z556" s="435"/>
      <c r="AA556" s="435"/>
      <c r="AB556" s="743"/>
      <c r="AC556" s="740"/>
      <c r="AD556" s="435"/>
      <c r="AE556" s="435"/>
      <c r="AF556" s="324"/>
      <c r="AG556" s="180"/>
      <c r="AH556" s="155"/>
      <c r="AI556" s="322"/>
      <c r="AJ556" s="132"/>
      <c r="AK556" s="132"/>
    </row>
    <row r="557">
      <c r="A557" s="458"/>
      <c r="B557" s="437"/>
      <c r="C557" s="437"/>
      <c r="D557" s="437"/>
      <c r="E557" s="435"/>
      <c r="F557" s="314"/>
      <c r="G557" s="314"/>
      <c r="H557" s="740"/>
      <c r="I557" s="435"/>
      <c r="J557" s="435"/>
      <c r="K557" s="435"/>
      <c r="L557" s="435"/>
      <c r="M557" s="839"/>
      <c r="N557" s="740"/>
      <c r="O557" s="318"/>
      <c r="P557" s="435"/>
      <c r="Q557" s="435"/>
      <c r="R557" s="435"/>
      <c r="S557" s="435"/>
      <c r="T557" s="435"/>
      <c r="U557" s="435"/>
      <c r="V557" s="740"/>
      <c r="W557" s="744"/>
      <c r="X557" s="435"/>
      <c r="Y557" s="781"/>
      <c r="Z557" s="435"/>
      <c r="AA557" s="435"/>
      <c r="AB557" s="743"/>
      <c r="AC557" s="740"/>
      <c r="AD557" s="435"/>
      <c r="AE557" s="435"/>
      <c r="AF557" s="324"/>
      <c r="AG557" s="180"/>
      <c r="AH557" s="155"/>
      <c r="AI557" s="322"/>
      <c r="AJ557" s="132"/>
      <c r="AK557" s="132"/>
    </row>
    <row r="558">
      <c r="A558" s="435"/>
      <c r="B558" s="437"/>
      <c r="C558" s="437"/>
      <c r="D558" s="437"/>
      <c r="E558" s="435"/>
      <c r="F558" s="314"/>
      <c r="G558" s="314"/>
      <c r="H558" s="740"/>
      <c r="I558" s="435"/>
      <c r="J558" s="435"/>
      <c r="K558" s="435"/>
      <c r="L558" s="435"/>
      <c r="M558" s="839"/>
      <c r="N558" s="740"/>
      <c r="O558" s="318"/>
      <c r="P558" s="435"/>
      <c r="Q558" s="435"/>
      <c r="R558" s="435"/>
      <c r="S558" s="435"/>
      <c r="T558" s="435"/>
      <c r="U558" s="435"/>
      <c r="V558" s="740"/>
      <c r="W558" s="744"/>
      <c r="X558" s="435"/>
      <c r="Y558" s="781"/>
      <c r="Z558" s="435"/>
      <c r="AA558" s="435"/>
      <c r="AB558" s="743"/>
      <c r="AC558" s="740"/>
      <c r="AD558" s="435"/>
      <c r="AE558" s="435"/>
      <c r="AF558" s="324"/>
      <c r="AG558" s="180"/>
      <c r="AH558" s="155"/>
      <c r="AI558" s="322"/>
      <c r="AJ558" s="132"/>
      <c r="AK558" s="132"/>
    </row>
    <row r="559">
      <c r="A559" s="474"/>
      <c r="B559" s="437"/>
      <c r="C559" s="437"/>
      <c r="D559" s="437"/>
      <c r="E559" s="435"/>
      <c r="F559" s="314"/>
      <c r="G559" s="314"/>
      <c r="H559" s="740"/>
      <c r="I559" s="435"/>
      <c r="J559" s="435"/>
      <c r="K559" s="435"/>
      <c r="L559" s="435"/>
      <c r="M559" s="839"/>
      <c r="N559" s="740"/>
      <c r="O559" s="318"/>
      <c r="P559" s="435"/>
      <c r="Q559" s="435"/>
      <c r="R559" s="435"/>
      <c r="S559" s="435"/>
      <c r="T559" s="435"/>
      <c r="U559" s="435"/>
      <c r="V559" s="740"/>
      <c r="W559" s="744"/>
      <c r="X559" s="435"/>
      <c r="Y559" s="781"/>
      <c r="Z559" s="435"/>
      <c r="AA559" s="435"/>
      <c r="AB559" s="743"/>
      <c r="AC559" s="740"/>
      <c r="AD559" s="435"/>
      <c r="AE559" s="435"/>
      <c r="AF559" s="324"/>
      <c r="AG559" s="180"/>
      <c r="AH559" s="155"/>
      <c r="AI559" s="322"/>
      <c r="AJ559" s="132"/>
      <c r="AK559" s="132"/>
    </row>
    <row r="560">
      <c r="A560" s="474"/>
      <c r="B560" s="437"/>
      <c r="C560" s="313"/>
      <c r="D560" s="437"/>
      <c r="E560" s="435"/>
      <c r="F560" s="314"/>
      <c r="G560" s="314"/>
      <c r="H560" s="740"/>
      <c r="I560" s="435"/>
      <c r="J560" s="435"/>
      <c r="K560" s="314"/>
      <c r="L560" s="314"/>
      <c r="M560" s="736"/>
      <c r="N560" s="740"/>
      <c r="O560" s="318"/>
      <c r="P560" s="314"/>
      <c r="Q560" s="435"/>
      <c r="R560" s="314"/>
      <c r="S560" s="435"/>
      <c r="T560" s="435"/>
      <c r="U560" s="435"/>
      <c r="V560" s="740"/>
      <c r="W560" s="744"/>
      <c r="X560" s="435"/>
      <c r="Y560" s="781"/>
      <c r="Z560" s="435"/>
      <c r="AA560" s="435"/>
      <c r="AB560" s="743"/>
      <c r="AC560" s="740"/>
      <c r="AD560" s="435"/>
      <c r="AE560" s="435"/>
      <c r="AF560" s="324"/>
      <c r="AG560" s="180"/>
      <c r="AH560" s="155"/>
      <c r="AI560" s="322"/>
      <c r="AJ560" s="132"/>
      <c r="AK560" s="132"/>
    </row>
    <row r="561">
      <c r="A561" s="474"/>
      <c r="B561" s="313"/>
      <c r="C561" s="313"/>
      <c r="D561" s="313"/>
      <c r="E561" s="314"/>
      <c r="F561" s="314"/>
      <c r="G561" s="314"/>
      <c r="H561" s="318"/>
      <c r="I561" s="314"/>
      <c r="J561" s="314"/>
      <c r="K561" s="435"/>
      <c r="L561" s="314"/>
      <c r="M561" s="736"/>
      <c r="N561" s="318"/>
      <c r="O561" s="318"/>
      <c r="P561" s="435"/>
      <c r="Q561" s="314"/>
      <c r="R561" s="314"/>
      <c r="S561" s="314"/>
      <c r="T561" s="314"/>
      <c r="U561" s="314"/>
      <c r="V561" s="318"/>
      <c r="W561" s="315"/>
      <c r="X561" s="314"/>
      <c r="Y561" s="776"/>
      <c r="Z561" s="314"/>
      <c r="AA561" s="314"/>
      <c r="AB561" s="697"/>
      <c r="AC561" s="318"/>
      <c r="AD561" s="314"/>
      <c r="AE561" s="314"/>
      <c r="AF561" s="324"/>
      <c r="AG561" s="180"/>
      <c r="AH561" s="155"/>
      <c r="AI561" s="322"/>
      <c r="AJ561" s="132"/>
      <c r="AK561" s="132"/>
    </row>
    <row r="562">
      <c r="A562" s="474"/>
      <c r="B562" s="313"/>
      <c r="C562" s="437"/>
      <c r="D562" s="437"/>
      <c r="E562" s="314"/>
      <c r="F562" s="314"/>
      <c r="G562" s="314"/>
      <c r="H562" s="318"/>
      <c r="I562" s="435"/>
      <c r="J562" s="314"/>
      <c r="K562" s="314"/>
      <c r="L562" s="314"/>
      <c r="M562" s="736"/>
      <c r="N562" s="318"/>
      <c r="O562" s="318"/>
      <c r="P562" s="314"/>
      <c r="Q562" s="314"/>
      <c r="R562" s="314"/>
      <c r="S562" s="314"/>
      <c r="T562" s="314"/>
      <c r="U562" s="314"/>
      <c r="V562" s="318"/>
      <c r="W562" s="315"/>
      <c r="X562" s="314"/>
      <c r="Y562" s="776"/>
      <c r="Z562" s="314"/>
      <c r="AA562" s="314"/>
      <c r="AB562" s="697"/>
      <c r="AC562" s="318"/>
      <c r="AD562" s="314"/>
      <c r="AE562" s="314"/>
      <c r="AF562" s="324"/>
      <c r="AG562" s="180"/>
      <c r="AH562" s="155"/>
      <c r="AI562" s="322"/>
      <c r="AJ562" s="132"/>
      <c r="AK562" s="132"/>
    </row>
    <row r="563">
      <c r="A563" s="474"/>
      <c r="B563" s="313"/>
      <c r="C563" s="313"/>
      <c r="D563" s="313"/>
      <c r="E563" s="314"/>
      <c r="F563" s="314"/>
      <c r="G563" s="314"/>
      <c r="H563" s="318"/>
      <c r="I563" s="314"/>
      <c r="J563" s="314"/>
      <c r="K563" s="435"/>
      <c r="L563" s="314"/>
      <c r="M563" s="736"/>
      <c r="N563" s="318"/>
      <c r="O563" s="318"/>
      <c r="P563" s="314"/>
      <c r="Q563" s="314"/>
      <c r="R563" s="314"/>
      <c r="S563" s="314"/>
      <c r="T563" s="314"/>
      <c r="U563" s="314"/>
      <c r="V563" s="318"/>
      <c r="W563" s="315"/>
      <c r="X563" s="314"/>
      <c r="Y563" s="776"/>
      <c r="Z563" s="314"/>
      <c r="AA563" s="314"/>
      <c r="AB563" s="697"/>
      <c r="AC563" s="318"/>
      <c r="AD563" s="314"/>
      <c r="AE563" s="314"/>
      <c r="AF563" s="324"/>
      <c r="AG563" s="180"/>
      <c r="AH563" s="155"/>
      <c r="AI563" s="322"/>
      <c r="AJ563" s="132"/>
      <c r="AK563" s="132"/>
    </row>
    <row r="564">
      <c r="A564" s="458"/>
      <c r="B564" s="313"/>
      <c r="C564" s="437"/>
      <c r="D564" s="313"/>
      <c r="E564" s="314"/>
      <c r="F564" s="314"/>
      <c r="G564" s="314"/>
      <c r="H564" s="318"/>
      <c r="I564" s="314"/>
      <c r="J564" s="435"/>
      <c r="K564" s="435"/>
      <c r="L564" s="314"/>
      <c r="M564" s="736"/>
      <c r="N564" s="318"/>
      <c r="O564" s="318"/>
      <c r="P564" s="314"/>
      <c r="Q564" s="314"/>
      <c r="R564" s="314"/>
      <c r="S564" s="314"/>
      <c r="T564" s="314"/>
      <c r="U564" s="314"/>
      <c r="V564" s="318"/>
      <c r="W564" s="315"/>
      <c r="X564" s="314"/>
      <c r="Y564" s="776"/>
      <c r="Z564" s="314"/>
      <c r="AA564" s="314"/>
      <c r="AB564" s="697"/>
      <c r="AC564" s="318"/>
      <c r="AD564" s="314"/>
      <c r="AE564" s="314"/>
      <c r="AF564" s="324"/>
      <c r="AG564" s="180"/>
      <c r="AH564" s="155"/>
      <c r="AI564" s="322"/>
      <c r="AJ564" s="132"/>
      <c r="AK564" s="132"/>
    </row>
    <row r="565">
      <c r="A565" s="435"/>
      <c r="B565" s="313"/>
      <c r="C565" s="437"/>
      <c r="D565" s="437"/>
      <c r="E565" s="435"/>
      <c r="F565" s="314"/>
      <c r="G565" s="314"/>
      <c r="H565" s="740"/>
      <c r="I565" s="314"/>
      <c r="J565" s="314"/>
      <c r="K565" s="435"/>
      <c r="L565" s="314"/>
      <c r="M565" s="839"/>
      <c r="N565" s="740"/>
      <c r="O565" s="318"/>
      <c r="P565" s="314"/>
      <c r="Q565" s="314"/>
      <c r="R565" s="435"/>
      <c r="S565" s="314"/>
      <c r="T565" s="314"/>
      <c r="U565" s="314"/>
      <c r="V565" s="318"/>
      <c r="W565" s="315"/>
      <c r="X565" s="314"/>
      <c r="Y565" s="776"/>
      <c r="Z565" s="314"/>
      <c r="AA565" s="314"/>
      <c r="AB565" s="697"/>
      <c r="AC565" s="318"/>
      <c r="AD565" s="314"/>
      <c r="AE565" s="314"/>
      <c r="AF565" s="324"/>
      <c r="AG565" s="180"/>
      <c r="AH565" s="155"/>
      <c r="AI565" s="322"/>
      <c r="AJ565" s="132"/>
      <c r="AK565" s="132"/>
    </row>
    <row r="566">
      <c r="A566" s="435"/>
      <c r="B566" s="437"/>
      <c r="C566" s="313"/>
      <c r="D566" s="313"/>
      <c r="E566" s="314"/>
      <c r="F566" s="314"/>
      <c r="G566" s="314"/>
      <c r="H566" s="318"/>
      <c r="I566" s="314"/>
      <c r="J566" s="314"/>
      <c r="K566" s="314"/>
      <c r="L566" s="314"/>
      <c r="M566" s="736"/>
      <c r="N566" s="318"/>
      <c r="O566" s="318"/>
      <c r="P566" s="435"/>
      <c r="Q566" s="314"/>
      <c r="R566" s="314"/>
      <c r="S566" s="314"/>
      <c r="T566" s="314"/>
      <c r="U566" s="314"/>
      <c r="V566" s="318"/>
      <c r="W566" s="315"/>
      <c r="X566" s="314"/>
      <c r="Y566" s="776"/>
      <c r="Z566" s="314"/>
      <c r="AA566" s="314"/>
      <c r="AB566" s="697"/>
      <c r="AC566" s="318"/>
      <c r="AD566" s="314"/>
      <c r="AE566" s="314"/>
      <c r="AF566" s="324"/>
      <c r="AG566" s="180"/>
      <c r="AH566" s="155"/>
      <c r="AI566" s="322"/>
      <c r="AJ566" s="132"/>
      <c r="AK566" s="132"/>
    </row>
    <row r="567">
      <c r="A567" s="435"/>
      <c r="B567" s="437"/>
      <c r="C567" s="313"/>
      <c r="D567" s="313"/>
      <c r="E567" s="314"/>
      <c r="F567" s="314"/>
      <c r="G567" s="314"/>
      <c r="H567" s="318"/>
      <c r="I567" s="314"/>
      <c r="J567" s="314"/>
      <c r="K567" s="314"/>
      <c r="L567" s="314"/>
      <c r="M567" s="736"/>
      <c r="N567" s="318"/>
      <c r="O567" s="318"/>
      <c r="P567" s="314"/>
      <c r="Q567" s="435"/>
      <c r="R567" s="314"/>
      <c r="S567" s="435"/>
      <c r="T567" s="435"/>
      <c r="U567" s="435"/>
      <c r="V567" s="740"/>
      <c r="W567" s="744"/>
      <c r="X567" s="435"/>
      <c r="Y567" s="781"/>
      <c r="Z567" s="435"/>
      <c r="AA567" s="435"/>
      <c r="AB567" s="743"/>
      <c r="AC567" s="740"/>
      <c r="AD567" s="435"/>
      <c r="AE567" s="435"/>
      <c r="AF567" s="324"/>
      <c r="AG567" s="180"/>
      <c r="AH567" s="155"/>
      <c r="AI567" s="322"/>
      <c r="AJ567" s="132"/>
      <c r="AK567" s="132"/>
    </row>
    <row r="568">
      <c r="A568" s="435"/>
      <c r="B568" s="313"/>
      <c r="C568" s="437"/>
      <c r="D568" s="313"/>
      <c r="E568" s="314"/>
      <c r="F568" s="314"/>
      <c r="G568" s="314"/>
      <c r="H568" s="318"/>
      <c r="I568" s="314"/>
      <c r="J568" s="314"/>
      <c r="K568" s="314"/>
      <c r="L568" s="314"/>
      <c r="M568" s="736"/>
      <c r="N568" s="318"/>
      <c r="O568" s="318"/>
      <c r="P568" s="314"/>
      <c r="Q568" s="314"/>
      <c r="R568" s="435"/>
      <c r="S568" s="314"/>
      <c r="T568" s="314"/>
      <c r="U568" s="314"/>
      <c r="V568" s="318"/>
      <c r="W568" s="315"/>
      <c r="X568" s="314"/>
      <c r="Y568" s="776"/>
      <c r="Z568" s="314"/>
      <c r="AA568" s="314"/>
      <c r="AB568" s="697"/>
      <c r="AC568" s="318"/>
      <c r="AD568" s="314"/>
      <c r="AE568" s="314"/>
      <c r="AF568" s="324"/>
      <c r="AG568" s="180"/>
      <c r="AH568" s="155"/>
      <c r="AI568" s="322"/>
      <c r="AJ568" s="132"/>
      <c r="AK568" s="132"/>
    </row>
    <row r="569">
      <c r="A569" s="435"/>
      <c r="B569" s="313"/>
      <c r="C569" s="313"/>
      <c r="D569" s="313"/>
      <c r="E569" s="314"/>
      <c r="F569" s="314"/>
      <c r="G569" s="314"/>
      <c r="H569" s="318"/>
      <c r="I569" s="314"/>
      <c r="J569" s="314"/>
      <c r="K569" s="435"/>
      <c r="L569" s="314"/>
      <c r="M569" s="839"/>
      <c r="N569" s="318"/>
      <c r="O569" s="318"/>
      <c r="P569" s="314"/>
      <c r="Q569" s="435"/>
      <c r="R569" s="314"/>
      <c r="S569" s="314"/>
      <c r="T569" s="314"/>
      <c r="U569" s="314"/>
      <c r="V569" s="318"/>
      <c r="W569" s="315"/>
      <c r="X569" s="314"/>
      <c r="Y569" s="776"/>
      <c r="Z569" s="314"/>
      <c r="AA569" s="314"/>
      <c r="AB569" s="697"/>
      <c r="AC569" s="318"/>
      <c r="AD569" s="314"/>
      <c r="AE569" s="314"/>
      <c r="AF569" s="324"/>
      <c r="AG569" s="180"/>
      <c r="AH569" s="155"/>
      <c r="AI569" s="322"/>
      <c r="AJ569" s="132"/>
      <c r="AK569" s="132"/>
    </row>
    <row r="570">
      <c r="A570" s="435"/>
      <c r="B570" s="313"/>
      <c r="C570" s="437"/>
      <c r="D570" s="437"/>
      <c r="E570" s="314"/>
      <c r="F570" s="314"/>
      <c r="G570" s="314"/>
      <c r="H570" s="318"/>
      <c r="I570" s="314"/>
      <c r="J570" s="314"/>
      <c r="K570" s="435"/>
      <c r="L570" s="314"/>
      <c r="M570" s="839"/>
      <c r="N570" s="318"/>
      <c r="O570" s="318"/>
      <c r="P570" s="314"/>
      <c r="Q570" s="435"/>
      <c r="R570" s="314"/>
      <c r="S570" s="314"/>
      <c r="T570" s="314"/>
      <c r="U570" s="314"/>
      <c r="V570" s="318"/>
      <c r="W570" s="315"/>
      <c r="X570" s="314"/>
      <c r="Y570" s="776"/>
      <c r="Z570" s="314"/>
      <c r="AA570" s="314"/>
      <c r="AB570" s="697"/>
      <c r="AC570" s="318"/>
      <c r="AD570" s="314"/>
      <c r="AE570" s="314"/>
      <c r="AF570" s="324"/>
      <c r="AG570" s="180"/>
      <c r="AH570" s="155"/>
      <c r="AI570" s="322"/>
      <c r="AJ570" s="132"/>
      <c r="AK570" s="132"/>
    </row>
    <row r="571">
      <c r="A571" s="476"/>
      <c r="AH571" s="176"/>
      <c r="AI571" s="322"/>
      <c r="AJ571" s="132"/>
      <c r="AK571" s="132"/>
    </row>
    <row r="572">
      <c r="A572" s="178"/>
      <c r="AI572" s="322"/>
      <c r="AJ572" s="132"/>
      <c r="AK572" s="132"/>
    </row>
    <row r="573">
      <c r="A573" s="474"/>
      <c r="B573" s="437"/>
      <c r="C573" s="437"/>
      <c r="D573" s="437"/>
      <c r="E573" s="435"/>
      <c r="F573" s="314"/>
      <c r="G573" s="314"/>
      <c r="H573" s="318"/>
      <c r="I573" s="435"/>
      <c r="J573" s="435"/>
      <c r="K573" s="435"/>
      <c r="L573" s="435"/>
      <c r="M573" s="839"/>
      <c r="N573" s="740"/>
      <c r="O573" s="318"/>
      <c r="P573" s="435"/>
      <c r="Q573" s="435"/>
      <c r="R573" s="435"/>
      <c r="S573" s="435"/>
      <c r="T573" s="435"/>
      <c r="U573" s="435"/>
      <c r="V573" s="740"/>
      <c r="W573" s="744"/>
      <c r="X573" s="435"/>
      <c r="Y573" s="781"/>
      <c r="Z573" s="435"/>
      <c r="AA573" s="435"/>
      <c r="AB573" s="743"/>
      <c r="AC573" s="740"/>
      <c r="AD573" s="435"/>
      <c r="AE573" s="435"/>
      <c r="AF573" s="324"/>
      <c r="AG573" s="180"/>
      <c r="AH573" s="155"/>
      <c r="AI573" s="322"/>
      <c r="AJ573" s="132"/>
      <c r="AK573" s="132"/>
    </row>
    <row r="574">
      <c r="A574" s="474"/>
      <c r="B574" s="313"/>
      <c r="C574" s="437"/>
      <c r="D574" s="437"/>
      <c r="E574" s="435"/>
      <c r="F574" s="314"/>
      <c r="G574" s="314"/>
      <c r="H574" s="740"/>
      <c r="I574" s="314"/>
      <c r="J574" s="435"/>
      <c r="K574" s="435"/>
      <c r="L574" s="435"/>
      <c r="M574" s="736"/>
      <c r="N574" s="318"/>
      <c r="O574" s="318"/>
      <c r="P574" s="435"/>
      <c r="Q574" s="435"/>
      <c r="R574" s="435"/>
      <c r="S574" s="435"/>
      <c r="T574" s="435"/>
      <c r="U574" s="435"/>
      <c r="V574" s="740"/>
      <c r="W574" s="744"/>
      <c r="X574" s="435"/>
      <c r="Y574" s="781"/>
      <c r="Z574" s="435"/>
      <c r="AA574" s="435"/>
      <c r="AB574" s="743"/>
      <c r="AC574" s="740"/>
      <c r="AD574" s="435"/>
      <c r="AE574" s="435"/>
      <c r="AF574" s="324"/>
      <c r="AG574" s="180"/>
      <c r="AH574" s="155"/>
      <c r="AI574" s="322"/>
      <c r="AJ574" s="132"/>
      <c r="AK574" s="132"/>
    </row>
    <row r="575">
      <c r="A575" s="477"/>
      <c r="B575" s="437"/>
      <c r="C575" s="437"/>
      <c r="D575" s="437"/>
      <c r="E575" s="314"/>
      <c r="F575" s="314"/>
      <c r="G575" s="314"/>
      <c r="H575" s="740"/>
      <c r="I575" s="435"/>
      <c r="J575" s="435"/>
      <c r="K575" s="435"/>
      <c r="L575" s="435"/>
      <c r="M575" s="839"/>
      <c r="N575" s="740"/>
      <c r="O575" s="318"/>
      <c r="P575" s="435"/>
      <c r="Q575" s="435"/>
      <c r="R575" s="435"/>
      <c r="S575" s="435"/>
      <c r="T575" s="435"/>
      <c r="U575" s="435"/>
      <c r="V575" s="740"/>
      <c r="W575" s="744"/>
      <c r="X575" s="435"/>
      <c r="Y575" s="781"/>
      <c r="Z575" s="435"/>
      <c r="AA575" s="435"/>
      <c r="AB575" s="743"/>
      <c r="AC575" s="740"/>
      <c r="AD575" s="435"/>
      <c r="AE575" s="435"/>
      <c r="AF575" s="324"/>
      <c r="AG575" s="180"/>
      <c r="AH575" s="155"/>
      <c r="AI575" s="322"/>
      <c r="AJ575" s="132"/>
      <c r="AK575" s="132"/>
    </row>
    <row r="576">
      <c r="A576" s="477"/>
      <c r="B576" s="437"/>
      <c r="C576" s="437"/>
      <c r="D576" s="437"/>
      <c r="E576" s="314"/>
      <c r="F576" s="314"/>
      <c r="G576" s="314"/>
      <c r="H576" s="740"/>
      <c r="I576" s="314"/>
      <c r="J576" s="314"/>
      <c r="K576" s="435"/>
      <c r="L576" s="435"/>
      <c r="M576" s="839"/>
      <c r="N576" s="318"/>
      <c r="O576" s="318"/>
      <c r="P576" s="435"/>
      <c r="Q576" s="435"/>
      <c r="R576" s="435"/>
      <c r="S576" s="435"/>
      <c r="T576" s="435"/>
      <c r="U576" s="435"/>
      <c r="V576" s="740"/>
      <c r="W576" s="744"/>
      <c r="X576" s="435"/>
      <c r="Y576" s="781"/>
      <c r="Z576" s="435"/>
      <c r="AA576" s="435"/>
      <c r="AB576" s="743"/>
      <c r="AC576" s="740"/>
      <c r="AD576" s="435"/>
      <c r="AE576" s="435"/>
      <c r="AF576" s="324"/>
      <c r="AG576" s="180"/>
      <c r="AH576" s="155"/>
      <c r="AI576" s="322"/>
      <c r="AJ576" s="132"/>
      <c r="AK576" s="132"/>
    </row>
    <row r="577">
      <c r="A577" s="477"/>
      <c r="B577" s="437"/>
      <c r="C577" s="437"/>
      <c r="D577" s="437"/>
      <c r="E577" s="435"/>
      <c r="F577" s="314"/>
      <c r="G577" s="314"/>
      <c r="H577" s="740"/>
      <c r="I577" s="435"/>
      <c r="J577" s="435"/>
      <c r="K577" s="435"/>
      <c r="L577" s="435"/>
      <c r="M577" s="839"/>
      <c r="N577" s="740"/>
      <c r="O577" s="318"/>
      <c r="P577" s="435"/>
      <c r="Q577" s="435"/>
      <c r="R577" s="435"/>
      <c r="S577" s="435"/>
      <c r="T577" s="435"/>
      <c r="U577" s="435"/>
      <c r="V577" s="740"/>
      <c r="W577" s="744"/>
      <c r="X577" s="435"/>
      <c r="Y577" s="781"/>
      <c r="Z577" s="435"/>
      <c r="AA577" s="435"/>
      <c r="AB577" s="743"/>
      <c r="AC577" s="740"/>
      <c r="AD577" s="435"/>
      <c r="AE577" s="435"/>
      <c r="AF577" s="324"/>
      <c r="AG577" s="180"/>
      <c r="AH577" s="155"/>
      <c r="AI577" s="322"/>
      <c r="AJ577" s="132"/>
      <c r="AK577" s="132"/>
    </row>
    <row r="578">
      <c r="A578" s="474"/>
      <c r="B578" s="313"/>
      <c r="C578" s="437"/>
      <c r="D578" s="313"/>
      <c r="E578" s="435"/>
      <c r="F578" s="314"/>
      <c r="G578" s="314"/>
      <c r="H578" s="740"/>
      <c r="I578" s="314"/>
      <c r="J578" s="435"/>
      <c r="K578" s="435"/>
      <c r="L578" s="314"/>
      <c r="M578" s="839"/>
      <c r="N578" s="318"/>
      <c r="O578" s="318"/>
      <c r="P578" s="435"/>
      <c r="Q578" s="435"/>
      <c r="R578" s="435"/>
      <c r="S578" s="435"/>
      <c r="T578" s="435"/>
      <c r="U578" s="435"/>
      <c r="V578" s="740"/>
      <c r="W578" s="744"/>
      <c r="X578" s="435"/>
      <c r="Y578" s="781"/>
      <c r="Z578" s="435"/>
      <c r="AA578" s="435"/>
      <c r="AB578" s="743"/>
      <c r="AC578" s="740"/>
      <c r="AD578" s="435"/>
      <c r="AE578" s="435"/>
      <c r="AF578" s="324"/>
      <c r="AG578" s="180"/>
      <c r="AH578" s="155"/>
      <c r="AI578" s="322"/>
      <c r="AJ578" s="132"/>
      <c r="AK578" s="132"/>
    </row>
    <row r="579">
      <c r="A579" s="478"/>
      <c r="B579" s="437"/>
      <c r="C579" s="437"/>
      <c r="D579" s="437"/>
      <c r="E579" s="435"/>
      <c r="F579" s="314"/>
      <c r="G579" s="314"/>
      <c r="H579" s="740"/>
      <c r="I579" s="435"/>
      <c r="J579" s="435"/>
      <c r="K579" s="435"/>
      <c r="L579" s="435"/>
      <c r="M579" s="839"/>
      <c r="N579" s="740"/>
      <c r="O579" s="318"/>
      <c r="P579" s="435"/>
      <c r="Q579" s="435"/>
      <c r="R579" s="435"/>
      <c r="S579" s="435"/>
      <c r="T579" s="435"/>
      <c r="U579" s="435"/>
      <c r="V579" s="740"/>
      <c r="W579" s="744"/>
      <c r="X579" s="435"/>
      <c r="Y579" s="781"/>
      <c r="Z579" s="435"/>
      <c r="AA579" s="435"/>
      <c r="AB579" s="743"/>
      <c r="AC579" s="740"/>
      <c r="AD579" s="435"/>
      <c r="AE579" s="435"/>
      <c r="AF579" s="324"/>
      <c r="AG579" s="180"/>
      <c r="AH579" s="155"/>
      <c r="AI579" s="322"/>
      <c r="AJ579" s="132"/>
      <c r="AK579" s="132"/>
    </row>
    <row r="580">
      <c r="A580" s="478"/>
      <c r="B580" s="437"/>
      <c r="C580" s="437"/>
      <c r="D580" s="437"/>
      <c r="E580" s="435"/>
      <c r="F580" s="314"/>
      <c r="G580" s="314"/>
      <c r="H580" s="740"/>
      <c r="I580" s="435"/>
      <c r="J580" s="435"/>
      <c r="K580" s="435"/>
      <c r="L580" s="435"/>
      <c r="M580" s="839"/>
      <c r="N580" s="740"/>
      <c r="O580" s="318"/>
      <c r="P580" s="435"/>
      <c r="Q580" s="435"/>
      <c r="R580" s="435"/>
      <c r="S580" s="435"/>
      <c r="T580" s="435"/>
      <c r="U580" s="435"/>
      <c r="V580" s="740"/>
      <c r="W580" s="744"/>
      <c r="X580" s="435"/>
      <c r="Y580" s="781"/>
      <c r="Z580" s="435"/>
      <c r="AA580" s="435"/>
      <c r="AB580" s="743"/>
      <c r="AC580" s="740"/>
      <c r="AD580" s="435"/>
      <c r="AE580" s="435"/>
      <c r="AF580" s="324"/>
      <c r="AG580" s="180"/>
      <c r="AH580" s="155"/>
      <c r="AI580" s="322"/>
      <c r="AJ580" s="132"/>
      <c r="AK580" s="132"/>
    </row>
    <row r="581">
      <c r="A581" s="478"/>
      <c r="B581" s="437"/>
      <c r="C581" s="437"/>
      <c r="D581" s="313"/>
      <c r="E581" s="314"/>
      <c r="F581" s="314"/>
      <c r="G581" s="314"/>
      <c r="H581" s="740"/>
      <c r="I581" s="435"/>
      <c r="J581" s="314"/>
      <c r="K581" s="435"/>
      <c r="L581" s="314"/>
      <c r="M581" s="839"/>
      <c r="N581" s="318"/>
      <c r="O581" s="318"/>
      <c r="P581" s="314"/>
      <c r="Q581" s="314"/>
      <c r="R581" s="314"/>
      <c r="S581" s="435"/>
      <c r="T581" s="435"/>
      <c r="U581" s="435"/>
      <c r="V581" s="740"/>
      <c r="W581" s="744"/>
      <c r="X581" s="435"/>
      <c r="Y581" s="781"/>
      <c r="Z581" s="435"/>
      <c r="AA581" s="435"/>
      <c r="AB581" s="743"/>
      <c r="AC581" s="740"/>
      <c r="AD581" s="435"/>
      <c r="AE581" s="435"/>
      <c r="AF581" s="324"/>
      <c r="AG581" s="180"/>
      <c r="AH581" s="155"/>
      <c r="AI581" s="322"/>
      <c r="AJ581" s="132"/>
      <c r="AK581" s="132"/>
    </row>
    <row r="582">
      <c r="A582" s="477"/>
      <c r="B582" s="313"/>
      <c r="C582" s="437"/>
      <c r="D582" s="437"/>
      <c r="E582" s="435"/>
      <c r="F582" s="314"/>
      <c r="G582" s="314"/>
      <c r="H582" s="740"/>
      <c r="I582" s="435"/>
      <c r="J582" s="435"/>
      <c r="K582" s="435"/>
      <c r="L582" s="435"/>
      <c r="M582" s="839"/>
      <c r="N582" s="740"/>
      <c r="O582" s="318"/>
      <c r="P582" s="435"/>
      <c r="Q582" s="435"/>
      <c r="R582" s="435"/>
      <c r="S582" s="435"/>
      <c r="T582" s="435"/>
      <c r="U582" s="435"/>
      <c r="V582" s="740"/>
      <c r="W582" s="744"/>
      <c r="X582" s="435"/>
      <c r="Y582" s="781"/>
      <c r="Z582" s="435"/>
      <c r="AA582" s="435"/>
      <c r="AB582" s="743"/>
      <c r="AC582" s="740"/>
      <c r="AD582" s="435"/>
      <c r="AE582" s="435"/>
      <c r="AF582" s="324"/>
      <c r="AG582" s="180"/>
      <c r="AH582" s="155"/>
      <c r="AI582" s="322"/>
      <c r="AJ582" s="132"/>
      <c r="AK582" s="132"/>
    </row>
    <row r="583">
      <c r="A583" s="477"/>
      <c r="B583" s="313"/>
      <c r="C583" s="313"/>
      <c r="D583" s="313"/>
      <c r="E583" s="314"/>
      <c r="F583" s="314"/>
      <c r="G583" s="314"/>
      <c r="H583" s="740"/>
      <c r="I583" s="314"/>
      <c r="J583" s="314"/>
      <c r="K583" s="314"/>
      <c r="L583" s="314"/>
      <c r="M583" s="736"/>
      <c r="N583" s="740"/>
      <c r="O583" s="318"/>
      <c r="P583" s="314"/>
      <c r="Q583" s="435"/>
      <c r="R583" s="314"/>
      <c r="S583" s="314"/>
      <c r="T583" s="314"/>
      <c r="U583" s="314"/>
      <c r="V583" s="318"/>
      <c r="W583" s="315"/>
      <c r="X583" s="314"/>
      <c r="Y583" s="776"/>
      <c r="Z583" s="314"/>
      <c r="AA583" s="314"/>
      <c r="AB583" s="697"/>
      <c r="AC583" s="318"/>
      <c r="AD583" s="314"/>
      <c r="AE583" s="314"/>
      <c r="AF583" s="324"/>
      <c r="AG583" s="180"/>
      <c r="AH583" s="155"/>
      <c r="AI583" s="322"/>
      <c r="AJ583" s="132"/>
      <c r="AK583" s="132"/>
    </row>
    <row r="584">
      <c r="A584" s="477"/>
      <c r="B584" s="313"/>
      <c r="C584" s="313"/>
      <c r="D584" s="313"/>
      <c r="E584" s="314"/>
      <c r="F584" s="314"/>
      <c r="G584" s="314"/>
      <c r="H584" s="318"/>
      <c r="I584" s="314"/>
      <c r="J584" s="314"/>
      <c r="K584" s="314"/>
      <c r="L584" s="314"/>
      <c r="M584" s="736"/>
      <c r="N584" s="318"/>
      <c r="O584" s="318"/>
      <c r="P584" s="314"/>
      <c r="Q584" s="314"/>
      <c r="R584" s="314"/>
      <c r="S584" s="314"/>
      <c r="T584" s="314"/>
      <c r="U584" s="314"/>
      <c r="V584" s="318"/>
      <c r="W584" s="315"/>
      <c r="X584" s="314"/>
      <c r="Y584" s="776"/>
      <c r="Z584" s="314"/>
      <c r="AA584" s="314"/>
      <c r="AB584" s="697"/>
      <c r="AC584" s="318"/>
      <c r="AD584" s="314"/>
      <c r="AE584" s="314"/>
      <c r="AF584" s="324"/>
      <c r="AG584" s="180"/>
      <c r="AH584" s="155"/>
      <c r="AI584" s="322"/>
      <c r="AJ584" s="132"/>
      <c r="AK584" s="132"/>
    </row>
    <row r="585">
      <c r="A585" s="476"/>
      <c r="AH585" s="176"/>
      <c r="AI585" s="322"/>
      <c r="AJ585" s="132"/>
      <c r="AK585" s="132"/>
    </row>
    <row r="586">
      <c r="A586" s="178"/>
      <c r="AI586" s="322"/>
      <c r="AJ586" s="132"/>
      <c r="AK586" s="132"/>
    </row>
    <row r="587">
      <c r="A587" s="477"/>
      <c r="B587" s="437"/>
      <c r="C587" s="437"/>
      <c r="D587" s="437"/>
      <c r="E587" s="314"/>
      <c r="F587" s="314"/>
      <c r="G587" s="314"/>
      <c r="H587" s="318"/>
      <c r="I587" s="314"/>
      <c r="J587" s="314"/>
      <c r="K587" s="435"/>
      <c r="L587" s="435"/>
      <c r="M587" s="736"/>
      <c r="N587" s="318"/>
      <c r="O587" s="318"/>
      <c r="P587" s="314"/>
      <c r="Q587" s="435"/>
      <c r="R587" s="435"/>
      <c r="S587" s="435"/>
      <c r="T587" s="435"/>
      <c r="U587" s="435"/>
      <c r="V587" s="740"/>
      <c r="W587" s="744"/>
      <c r="X587" s="435"/>
      <c r="Y587" s="781"/>
      <c r="Z587" s="435"/>
      <c r="AA587" s="435"/>
      <c r="AB587" s="743"/>
      <c r="AC587" s="740"/>
      <c r="AD587" s="435"/>
      <c r="AE587" s="435"/>
      <c r="AF587" s="324"/>
      <c r="AG587" s="180"/>
      <c r="AH587" s="155"/>
      <c r="AI587" s="322"/>
      <c r="AJ587" s="132"/>
      <c r="AK587" s="132"/>
    </row>
    <row r="588">
      <c r="A588" s="477"/>
      <c r="B588" s="313"/>
      <c r="C588" s="437"/>
      <c r="D588" s="437"/>
      <c r="E588" s="314"/>
      <c r="F588" s="314"/>
      <c r="G588" s="314"/>
      <c r="H588" s="318"/>
      <c r="I588" s="435"/>
      <c r="J588" s="435"/>
      <c r="K588" s="435"/>
      <c r="L588" s="314"/>
      <c r="M588" s="839"/>
      <c r="N588" s="318"/>
      <c r="O588" s="318"/>
      <c r="P588" s="314"/>
      <c r="Q588" s="435"/>
      <c r="R588" s="435"/>
      <c r="S588" s="435"/>
      <c r="T588" s="435"/>
      <c r="U588" s="435"/>
      <c r="V588" s="740"/>
      <c r="W588" s="744"/>
      <c r="X588" s="435"/>
      <c r="Y588" s="781"/>
      <c r="Z588" s="435"/>
      <c r="AA588" s="435"/>
      <c r="AB588" s="743"/>
      <c r="AC588" s="740"/>
      <c r="AD588" s="435"/>
      <c r="AE588" s="435"/>
      <c r="AF588" s="324"/>
      <c r="AG588" s="180"/>
      <c r="AH588" s="155"/>
      <c r="AI588" s="322"/>
      <c r="AJ588" s="132"/>
      <c r="AK588" s="132"/>
    </row>
    <row r="589">
      <c r="A589" s="477"/>
      <c r="B589" s="313"/>
      <c r="C589" s="437"/>
      <c r="D589" s="437"/>
      <c r="E589" s="435"/>
      <c r="F589" s="314"/>
      <c r="G589" s="314"/>
      <c r="H589" s="740"/>
      <c r="I589" s="314"/>
      <c r="J589" s="314"/>
      <c r="K589" s="435"/>
      <c r="L589" s="314"/>
      <c r="M589" s="839"/>
      <c r="N589" s="740"/>
      <c r="O589" s="318"/>
      <c r="P589" s="435"/>
      <c r="Q589" s="435"/>
      <c r="R589" s="435"/>
      <c r="S589" s="435"/>
      <c r="T589" s="435"/>
      <c r="U589" s="435"/>
      <c r="V589" s="740"/>
      <c r="W589" s="744"/>
      <c r="X589" s="435"/>
      <c r="Y589" s="781"/>
      <c r="Z589" s="435"/>
      <c r="AA589" s="435"/>
      <c r="AB589" s="743"/>
      <c r="AC589" s="740"/>
      <c r="AD589" s="435"/>
      <c r="AE589" s="435"/>
      <c r="AF589" s="324"/>
      <c r="AG589" s="180"/>
      <c r="AH589" s="155"/>
      <c r="AI589" s="322"/>
      <c r="AJ589" s="132"/>
      <c r="AK589" s="132"/>
    </row>
    <row r="590">
      <c r="A590" s="479"/>
      <c r="B590" s="313"/>
      <c r="C590" s="313"/>
      <c r="D590" s="313"/>
      <c r="E590" s="314"/>
      <c r="F590" s="314"/>
      <c r="G590" s="314"/>
      <c r="H590" s="318"/>
      <c r="I590" s="314"/>
      <c r="J590" s="314"/>
      <c r="K590" s="314"/>
      <c r="L590" s="314"/>
      <c r="M590" s="736"/>
      <c r="N590" s="318"/>
      <c r="O590" s="318"/>
      <c r="P590" s="314"/>
      <c r="Q590" s="435"/>
      <c r="R590" s="314"/>
      <c r="S590" s="314"/>
      <c r="T590" s="314"/>
      <c r="U590" s="314"/>
      <c r="V590" s="318"/>
      <c r="W590" s="315"/>
      <c r="X590" s="314"/>
      <c r="Y590" s="776"/>
      <c r="Z590" s="314"/>
      <c r="AA590" s="314"/>
      <c r="AB590" s="697"/>
      <c r="AC590" s="318"/>
      <c r="AD590" s="314"/>
      <c r="AE590" s="314"/>
      <c r="AF590" s="324"/>
      <c r="AG590" s="180"/>
      <c r="AH590" s="155"/>
      <c r="AI590" s="322"/>
      <c r="AJ590" s="132"/>
      <c r="AK590" s="132"/>
    </row>
    <row r="591">
      <c r="A591" s="476"/>
      <c r="AH591" s="176"/>
      <c r="AI591" s="322"/>
      <c r="AJ591" s="132"/>
      <c r="AK591" s="132"/>
    </row>
    <row r="592">
      <c r="A592" s="178"/>
      <c r="AI592" s="322"/>
      <c r="AJ592" s="132"/>
      <c r="AK592" s="132"/>
    </row>
    <row r="593">
      <c r="A593" s="480"/>
      <c r="B593" s="313"/>
      <c r="C593" s="437"/>
      <c r="D593" s="313"/>
      <c r="E593" s="314"/>
      <c r="F593" s="314"/>
      <c r="G593" s="314"/>
      <c r="H593" s="318"/>
      <c r="I593" s="314"/>
      <c r="J593" s="435"/>
      <c r="K593" s="435"/>
      <c r="L593" s="314"/>
      <c r="M593" s="736"/>
      <c r="N593" s="318"/>
      <c r="O593" s="318"/>
      <c r="P593" s="314"/>
      <c r="Q593" s="435"/>
      <c r="R593" s="314"/>
      <c r="S593" s="314"/>
      <c r="T593" s="314"/>
      <c r="U593" s="314"/>
      <c r="V593" s="318"/>
      <c r="W593" s="315"/>
      <c r="X593" s="314"/>
      <c r="Y593" s="776"/>
      <c r="Z593" s="314"/>
      <c r="AA593" s="314"/>
      <c r="AB593" s="697"/>
      <c r="AC593" s="318"/>
      <c r="AD593" s="314"/>
      <c r="AE593" s="314"/>
      <c r="AF593" s="324"/>
      <c r="AG593" s="180"/>
      <c r="AH593" s="180"/>
      <c r="AI593" s="322"/>
      <c r="AJ593" s="132"/>
      <c r="AK593" s="132"/>
    </row>
    <row r="594">
      <c r="A594" s="480"/>
      <c r="B594" s="313"/>
      <c r="C594" s="437"/>
      <c r="D594" s="313"/>
      <c r="E594" s="314"/>
      <c r="F594" s="314"/>
      <c r="G594" s="314"/>
      <c r="H594" s="740"/>
      <c r="I594" s="314"/>
      <c r="J594" s="435"/>
      <c r="K594" s="435"/>
      <c r="L594" s="314"/>
      <c r="M594" s="839"/>
      <c r="N594" s="740"/>
      <c r="O594" s="318"/>
      <c r="P594" s="435"/>
      <c r="Q594" s="435"/>
      <c r="R594" s="314"/>
      <c r="S594" s="435"/>
      <c r="T594" s="435"/>
      <c r="U594" s="435"/>
      <c r="V594" s="740"/>
      <c r="W594" s="744"/>
      <c r="X594" s="435"/>
      <c r="Y594" s="781"/>
      <c r="Z594" s="435"/>
      <c r="AA594" s="435"/>
      <c r="AB594" s="743"/>
      <c r="AC594" s="740"/>
      <c r="AD594" s="435"/>
      <c r="AE594" s="435"/>
      <c r="AF594" s="324"/>
      <c r="AG594" s="180"/>
      <c r="AH594" s="180"/>
      <c r="AI594" s="322"/>
      <c r="AJ594" s="132"/>
      <c r="AK594" s="132"/>
    </row>
    <row r="595">
      <c r="A595" s="476"/>
      <c r="AH595" s="176"/>
      <c r="AI595" s="322"/>
      <c r="AJ595" s="132"/>
      <c r="AK595" s="132"/>
    </row>
    <row r="596">
      <c r="A596" s="178"/>
      <c r="AI596" s="322"/>
      <c r="AJ596" s="132"/>
      <c r="AK596" s="132"/>
    </row>
    <row r="597">
      <c r="A597" s="481"/>
      <c r="B597" s="313"/>
      <c r="C597" s="437"/>
      <c r="D597" s="437"/>
      <c r="E597" s="435"/>
      <c r="F597" s="314"/>
      <c r="G597" s="435"/>
      <c r="H597" s="740"/>
      <c r="I597" s="435"/>
      <c r="J597" s="314"/>
      <c r="K597" s="435"/>
      <c r="L597" s="435"/>
      <c r="M597" s="839"/>
      <c r="N597" s="318"/>
      <c r="O597" s="318"/>
      <c r="P597" s="435"/>
      <c r="Q597" s="435"/>
      <c r="R597" s="435"/>
      <c r="S597" s="435"/>
      <c r="T597" s="435"/>
      <c r="U597" s="435"/>
      <c r="V597" s="740"/>
      <c r="W597" s="744"/>
      <c r="X597" s="435"/>
      <c r="Y597" s="781"/>
      <c r="Z597" s="435"/>
      <c r="AA597" s="435"/>
      <c r="AB597" s="743"/>
      <c r="AC597" s="740"/>
      <c r="AD597" s="435"/>
      <c r="AE597" s="435"/>
      <c r="AF597" s="324"/>
      <c r="AG597" s="180"/>
      <c r="AH597" s="155"/>
      <c r="AI597" s="322"/>
      <c r="AJ597" s="132"/>
      <c r="AK597" s="132"/>
    </row>
    <row r="598">
      <c r="A598" s="435"/>
      <c r="B598" s="313"/>
      <c r="C598" s="437"/>
      <c r="D598" s="437"/>
      <c r="E598" s="314"/>
      <c r="F598" s="314"/>
      <c r="G598" s="314"/>
      <c r="H598" s="740"/>
      <c r="I598" s="314"/>
      <c r="J598" s="435"/>
      <c r="K598" s="435"/>
      <c r="L598" s="314"/>
      <c r="M598" s="736"/>
      <c r="N598" s="318"/>
      <c r="O598" s="318"/>
      <c r="P598" s="435"/>
      <c r="Q598" s="435"/>
      <c r="R598" s="435"/>
      <c r="S598" s="435"/>
      <c r="T598" s="435"/>
      <c r="U598" s="435"/>
      <c r="V598" s="740"/>
      <c r="W598" s="744"/>
      <c r="X598" s="435"/>
      <c r="Y598" s="781"/>
      <c r="Z598" s="435"/>
      <c r="AA598" s="435"/>
      <c r="AB598" s="743"/>
      <c r="AC598" s="740"/>
      <c r="AD598" s="435"/>
      <c r="AE598" s="435"/>
      <c r="AF598" s="324"/>
      <c r="AG598" s="180"/>
      <c r="AH598" s="155"/>
      <c r="AI598" s="322"/>
      <c r="AJ598" s="132"/>
      <c r="AK598" s="132"/>
    </row>
    <row r="599">
      <c r="A599" s="482"/>
      <c r="B599" s="313"/>
      <c r="C599" s="313"/>
      <c r="D599" s="437"/>
      <c r="E599" s="314"/>
      <c r="F599" s="314"/>
      <c r="G599" s="314"/>
      <c r="H599" s="318"/>
      <c r="I599" s="314"/>
      <c r="J599" s="314"/>
      <c r="K599" s="435"/>
      <c r="L599" s="314"/>
      <c r="M599" s="736"/>
      <c r="N599" s="318"/>
      <c r="O599" s="318"/>
      <c r="P599" s="314"/>
      <c r="Q599" s="314"/>
      <c r="R599" s="435"/>
      <c r="S599" s="314"/>
      <c r="T599" s="314"/>
      <c r="U599" s="314"/>
      <c r="V599" s="318"/>
      <c r="W599" s="315"/>
      <c r="X599" s="314"/>
      <c r="Y599" s="776"/>
      <c r="Z599" s="314"/>
      <c r="AA599" s="314"/>
      <c r="AB599" s="697"/>
      <c r="AC599" s="318"/>
      <c r="AD599" s="314"/>
      <c r="AE599" s="314"/>
      <c r="AF599" s="324"/>
      <c r="AG599" s="180"/>
      <c r="AH599" s="155"/>
      <c r="AI599" s="322"/>
      <c r="AJ599" s="132"/>
      <c r="AK599" s="132"/>
    </row>
    <row r="600">
      <c r="A600" s="482"/>
      <c r="B600" s="313"/>
      <c r="C600" s="437"/>
      <c r="D600" s="437"/>
      <c r="E600" s="435"/>
      <c r="F600" s="314"/>
      <c r="G600" s="314"/>
      <c r="H600" s="740"/>
      <c r="I600" s="435"/>
      <c r="J600" s="435"/>
      <c r="K600" s="435"/>
      <c r="L600" s="435"/>
      <c r="M600" s="839"/>
      <c r="N600" s="740"/>
      <c r="O600" s="318"/>
      <c r="P600" s="435"/>
      <c r="Q600" s="435"/>
      <c r="R600" s="435"/>
      <c r="S600" s="435"/>
      <c r="T600" s="435"/>
      <c r="U600" s="435"/>
      <c r="V600" s="740"/>
      <c r="W600" s="744"/>
      <c r="X600" s="435"/>
      <c r="Y600" s="781"/>
      <c r="Z600" s="435"/>
      <c r="AA600" s="435"/>
      <c r="AB600" s="743"/>
      <c r="AC600" s="740"/>
      <c r="AD600" s="435"/>
      <c r="AE600" s="435"/>
      <c r="AF600" s="324"/>
      <c r="AG600" s="180"/>
      <c r="AH600" s="155"/>
      <c r="AI600" s="322"/>
      <c r="AJ600" s="132"/>
      <c r="AK600" s="132"/>
    </row>
    <row r="601">
      <c r="A601" s="314"/>
      <c r="B601" s="313"/>
      <c r="C601" s="313"/>
      <c r="D601" s="313"/>
      <c r="E601" s="314"/>
      <c r="F601" s="314"/>
      <c r="G601" s="314"/>
      <c r="H601" s="318"/>
      <c r="I601" s="314"/>
      <c r="J601" s="314"/>
      <c r="K601" s="314"/>
      <c r="L601" s="314"/>
      <c r="M601" s="736"/>
      <c r="N601" s="318"/>
      <c r="O601" s="318"/>
      <c r="P601" s="314"/>
      <c r="Q601" s="314"/>
      <c r="R601" s="314"/>
      <c r="S601" s="314"/>
      <c r="T601" s="314"/>
      <c r="U601" s="314"/>
      <c r="V601" s="318"/>
      <c r="W601" s="315"/>
      <c r="X601" s="314"/>
      <c r="Y601" s="776"/>
      <c r="Z601" s="314"/>
      <c r="AA601" s="314"/>
      <c r="AB601" s="697"/>
      <c r="AC601" s="318"/>
      <c r="AD601" s="314"/>
      <c r="AE601" s="314"/>
      <c r="AF601" s="483"/>
      <c r="AH601" s="484"/>
      <c r="AI601" s="322"/>
      <c r="AJ601" s="132"/>
      <c r="AK601" s="132"/>
    </row>
    <row r="602">
      <c r="A602" s="314"/>
      <c r="B602" s="313"/>
      <c r="C602" s="313"/>
      <c r="D602" s="313"/>
      <c r="E602" s="314"/>
      <c r="F602" s="314"/>
      <c r="G602" s="314"/>
      <c r="H602" s="318"/>
      <c r="I602" s="314"/>
      <c r="J602" s="314"/>
      <c r="K602" s="314"/>
      <c r="L602" s="314"/>
      <c r="M602" s="736"/>
      <c r="N602" s="318"/>
      <c r="O602" s="318"/>
      <c r="P602" s="314"/>
      <c r="Q602" s="314"/>
      <c r="R602" s="314"/>
      <c r="S602" s="314"/>
      <c r="T602" s="314"/>
      <c r="U602" s="314"/>
      <c r="V602" s="318"/>
      <c r="W602" s="315"/>
      <c r="X602" s="314"/>
      <c r="Y602" s="776"/>
      <c r="Z602" s="314"/>
      <c r="AA602" s="314"/>
      <c r="AB602" s="697"/>
      <c r="AC602" s="318"/>
      <c r="AD602" s="314"/>
      <c r="AE602" s="314"/>
      <c r="AF602" s="324"/>
      <c r="AG602" s="155"/>
      <c r="AH602" s="155"/>
      <c r="AI602" s="322"/>
      <c r="AJ602" s="132"/>
      <c r="AK602" s="132"/>
    </row>
    <row r="603">
      <c r="A603" s="314"/>
      <c r="B603" s="313"/>
      <c r="C603" s="313"/>
      <c r="D603" s="313"/>
      <c r="E603" s="314"/>
      <c r="F603" s="314"/>
      <c r="G603" s="314"/>
      <c r="H603" s="318"/>
      <c r="I603" s="314"/>
      <c r="J603" s="314"/>
      <c r="K603" s="314"/>
      <c r="L603" s="314"/>
      <c r="M603" s="736"/>
      <c r="N603" s="318"/>
      <c r="O603" s="318"/>
      <c r="P603" s="314"/>
      <c r="Q603" s="314"/>
      <c r="R603" s="314"/>
      <c r="S603" s="314"/>
      <c r="T603" s="314"/>
      <c r="U603" s="314"/>
      <c r="V603" s="318"/>
      <c r="W603" s="315"/>
      <c r="X603" s="314"/>
      <c r="Y603" s="776"/>
      <c r="Z603" s="314"/>
      <c r="AA603" s="314"/>
      <c r="AB603" s="697"/>
      <c r="AC603" s="318"/>
      <c r="AD603" s="314"/>
      <c r="AE603" s="314"/>
      <c r="AF603" s="324"/>
      <c r="AG603" s="155"/>
      <c r="AH603" s="155"/>
      <c r="AI603" s="322"/>
      <c r="AJ603" s="132"/>
      <c r="AK603" s="132"/>
    </row>
    <row r="604">
      <c r="A604" s="314"/>
      <c r="B604" s="313"/>
      <c r="C604" s="313"/>
      <c r="D604" s="313"/>
      <c r="E604" s="314"/>
      <c r="F604" s="314"/>
      <c r="G604" s="314"/>
      <c r="H604" s="318"/>
      <c r="I604" s="314"/>
      <c r="J604" s="314"/>
      <c r="K604" s="314"/>
      <c r="L604" s="314"/>
      <c r="M604" s="736"/>
      <c r="N604" s="318"/>
      <c r="O604" s="318"/>
      <c r="P604" s="314"/>
      <c r="Q604" s="314"/>
      <c r="R604" s="314"/>
      <c r="S604" s="314"/>
      <c r="T604" s="314"/>
      <c r="U604" s="314"/>
      <c r="V604" s="318"/>
      <c r="W604" s="315"/>
      <c r="X604" s="314"/>
      <c r="Y604" s="776"/>
      <c r="Z604" s="314"/>
      <c r="AA604" s="314"/>
      <c r="AB604" s="697"/>
      <c r="AC604" s="318"/>
      <c r="AD604" s="314"/>
      <c r="AE604" s="314"/>
      <c r="AF604" s="324"/>
      <c r="AG604" s="155"/>
      <c r="AH604" s="155"/>
      <c r="AI604" s="322"/>
      <c r="AJ604" s="132"/>
      <c r="AK604" s="132"/>
    </row>
    <row r="605">
      <c r="A605" s="314"/>
      <c r="B605" s="313"/>
      <c r="C605" s="313"/>
      <c r="D605" s="313"/>
      <c r="E605" s="314"/>
      <c r="F605" s="314"/>
      <c r="G605" s="314"/>
      <c r="H605" s="318"/>
      <c r="I605" s="314"/>
      <c r="J605" s="314"/>
      <c r="K605" s="314"/>
      <c r="L605" s="314"/>
      <c r="M605" s="736"/>
      <c r="N605" s="318"/>
      <c r="O605" s="318"/>
      <c r="P605" s="314"/>
      <c r="Q605" s="314"/>
      <c r="R605" s="314"/>
      <c r="S605" s="314"/>
      <c r="T605" s="314"/>
      <c r="U605" s="314"/>
      <c r="V605" s="318"/>
      <c r="W605" s="315"/>
      <c r="X605" s="314"/>
      <c r="Y605" s="776"/>
      <c r="Z605" s="314"/>
      <c r="AA605" s="314"/>
      <c r="AB605" s="697"/>
      <c r="AC605" s="318"/>
      <c r="AD605" s="314"/>
      <c r="AE605" s="314"/>
      <c r="AF605" s="324"/>
      <c r="AG605" s="155"/>
      <c r="AH605" s="155"/>
      <c r="AI605" s="322"/>
      <c r="AJ605" s="132"/>
      <c r="AK605" s="132"/>
    </row>
    <row r="606">
      <c r="A606" s="314"/>
      <c r="B606" s="313"/>
      <c r="C606" s="313"/>
      <c r="D606" s="313"/>
      <c r="E606" s="314"/>
      <c r="F606" s="314"/>
      <c r="G606" s="314"/>
      <c r="H606" s="318"/>
      <c r="I606" s="314"/>
      <c r="J606" s="314"/>
      <c r="K606" s="314"/>
      <c r="L606" s="314"/>
      <c r="M606" s="736"/>
      <c r="N606" s="318"/>
      <c r="O606" s="318"/>
      <c r="P606" s="314"/>
      <c r="Q606" s="314"/>
      <c r="R606" s="314"/>
      <c r="S606" s="314"/>
      <c r="T606" s="314"/>
      <c r="U606" s="314"/>
      <c r="V606" s="318"/>
      <c r="W606" s="315"/>
      <c r="X606" s="314"/>
      <c r="Y606" s="776"/>
      <c r="Z606" s="314"/>
      <c r="AA606" s="314"/>
      <c r="AB606" s="697"/>
      <c r="AC606" s="318"/>
      <c r="AD606" s="314"/>
      <c r="AE606" s="314"/>
      <c r="AF606" s="324"/>
      <c r="AG606" s="155"/>
      <c r="AH606" s="155"/>
      <c r="AI606" s="322"/>
      <c r="AJ606" s="132"/>
      <c r="AK606" s="132"/>
    </row>
    <row r="607">
      <c r="A607" s="314"/>
      <c r="B607" s="313"/>
      <c r="C607" s="313"/>
      <c r="D607" s="313"/>
      <c r="E607" s="314"/>
      <c r="F607" s="314"/>
      <c r="G607" s="314"/>
      <c r="H607" s="318"/>
      <c r="I607" s="314"/>
      <c r="J607" s="314"/>
      <c r="K607" s="314"/>
      <c r="L607" s="314"/>
      <c r="M607" s="736"/>
      <c r="N607" s="318"/>
      <c r="O607" s="318"/>
      <c r="P607" s="314"/>
      <c r="Q607" s="314"/>
      <c r="R607" s="314"/>
      <c r="S607" s="314"/>
      <c r="T607" s="314"/>
      <c r="U607" s="314"/>
      <c r="V607" s="318"/>
      <c r="W607" s="315"/>
      <c r="X607" s="314"/>
      <c r="Y607" s="776"/>
      <c r="Z607" s="314"/>
      <c r="AA607" s="314"/>
      <c r="AB607" s="697"/>
      <c r="AC607" s="318"/>
      <c r="AD607" s="314"/>
      <c r="AE607" s="314"/>
      <c r="AF607" s="324"/>
      <c r="AG607" s="155"/>
      <c r="AH607" s="155"/>
      <c r="AI607" s="322"/>
      <c r="AJ607" s="132"/>
      <c r="AK607" s="132"/>
    </row>
    <row r="608">
      <c r="A608" s="314"/>
      <c r="B608" s="313"/>
      <c r="C608" s="313"/>
      <c r="D608" s="313"/>
      <c r="E608" s="314"/>
      <c r="F608" s="314"/>
      <c r="G608" s="314"/>
      <c r="H608" s="318"/>
      <c r="I608" s="314"/>
      <c r="J608" s="314"/>
      <c r="K608" s="314"/>
      <c r="L608" s="314"/>
      <c r="M608" s="736"/>
      <c r="N608" s="318"/>
      <c r="O608" s="318"/>
      <c r="P608" s="314"/>
      <c r="Q608" s="314"/>
      <c r="R608" s="314"/>
      <c r="S608" s="314"/>
      <c r="T608" s="314"/>
      <c r="U608" s="314"/>
      <c r="V608" s="318"/>
      <c r="W608" s="315"/>
      <c r="X608" s="314"/>
      <c r="Y608" s="776"/>
      <c r="Z608" s="314"/>
      <c r="AA608" s="314"/>
      <c r="AB608" s="697"/>
      <c r="AC608" s="318"/>
      <c r="AD608" s="314"/>
      <c r="AE608" s="314"/>
      <c r="AF608" s="324"/>
      <c r="AG608" s="155"/>
      <c r="AH608" s="155"/>
      <c r="AI608" s="322"/>
      <c r="AJ608" s="132"/>
      <c r="AK608" s="132"/>
    </row>
    <row r="609">
      <c r="A609" s="314"/>
      <c r="B609" s="313"/>
      <c r="C609" s="313"/>
      <c r="D609" s="313"/>
      <c r="E609" s="314"/>
      <c r="F609" s="314"/>
      <c r="G609" s="314"/>
      <c r="H609" s="318"/>
      <c r="I609" s="314"/>
      <c r="J609" s="314"/>
      <c r="K609" s="314"/>
      <c r="L609" s="314"/>
      <c r="M609" s="736"/>
      <c r="N609" s="318"/>
      <c r="O609" s="318"/>
      <c r="P609" s="314"/>
      <c r="Q609" s="314"/>
      <c r="R609" s="314"/>
      <c r="S609" s="314"/>
      <c r="T609" s="314"/>
      <c r="U609" s="314"/>
      <c r="V609" s="318"/>
      <c r="W609" s="315"/>
      <c r="X609" s="314"/>
      <c r="Y609" s="776"/>
      <c r="Z609" s="314"/>
      <c r="AA609" s="314"/>
      <c r="AB609" s="697"/>
      <c r="AC609" s="318"/>
      <c r="AD609" s="314"/>
      <c r="AE609" s="314"/>
      <c r="AF609" s="324"/>
      <c r="AG609" s="155"/>
      <c r="AH609" s="155"/>
      <c r="AI609" s="322"/>
      <c r="AJ609" s="132"/>
      <c r="AK609" s="132"/>
    </row>
    <row r="610">
      <c r="A610" s="314"/>
      <c r="B610" s="313"/>
      <c r="C610" s="313"/>
      <c r="D610" s="313"/>
      <c r="E610" s="314"/>
      <c r="F610" s="314"/>
      <c r="G610" s="314"/>
      <c r="H610" s="318"/>
      <c r="I610" s="314"/>
      <c r="J610" s="314"/>
      <c r="K610" s="314"/>
      <c r="L610" s="314"/>
      <c r="M610" s="736"/>
      <c r="N610" s="318"/>
      <c r="O610" s="318"/>
      <c r="P610" s="314"/>
      <c r="Q610" s="314"/>
      <c r="R610" s="314"/>
      <c r="S610" s="314"/>
      <c r="T610" s="314"/>
      <c r="U610" s="314"/>
      <c r="V610" s="318"/>
      <c r="W610" s="315"/>
      <c r="X610" s="314"/>
      <c r="Y610" s="776"/>
      <c r="Z610" s="314"/>
      <c r="AA610" s="314"/>
      <c r="AB610" s="697"/>
      <c r="AC610" s="318"/>
      <c r="AD610" s="314"/>
      <c r="AE610" s="314"/>
      <c r="AF610" s="324"/>
      <c r="AG610" s="155"/>
      <c r="AH610" s="155"/>
      <c r="AI610" s="322"/>
      <c r="AJ610" s="132"/>
      <c r="AK610" s="132"/>
    </row>
    <row r="611">
      <c r="A611" s="314"/>
      <c r="B611" s="313"/>
      <c r="C611" s="313"/>
      <c r="D611" s="313"/>
      <c r="E611" s="314"/>
      <c r="F611" s="314"/>
      <c r="G611" s="314"/>
      <c r="H611" s="318"/>
      <c r="I611" s="314"/>
      <c r="J611" s="314"/>
      <c r="K611" s="314"/>
      <c r="L611" s="314"/>
      <c r="M611" s="736"/>
      <c r="N611" s="318"/>
      <c r="O611" s="318"/>
      <c r="P611" s="314"/>
      <c r="Q611" s="314"/>
      <c r="R611" s="314"/>
      <c r="S611" s="314"/>
      <c r="T611" s="314"/>
      <c r="U611" s="314"/>
      <c r="V611" s="318"/>
      <c r="W611" s="315"/>
      <c r="X611" s="314"/>
      <c r="Y611" s="776"/>
      <c r="Z611" s="314"/>
      <c r="AA611" s="314"/>
      <c r="AB611" s="697"/>
      <c r="AC611" s="318"/>
      <c r="AD611" s="314"/>
      <c r="AE611" s="314"/>
      <c r="AF611" s="324"/>
      <c r="AG611" s="155"/>
      <c r="AH611" s="155"/>
      <c r="AI611" s="322"/>
      <c r="AJ611" s="132"/>
      <c r="AK611" s="132"/>
    </row>
    <row r="612">
      <c r="A612" s="314"/>
      <c r="B612" s="313"/>
      <c r="C612" s="313"/>
      <c r="D612" s="313"/>
      <c r="E612" s="314"/>
      <c r="F612" s="314"/>
      <c r="G612" s="314"/>
      <c r="H612" s="318"/>
      <c r="I612" s="314"/>
      <c r="J612" s="314"/>
      <c r="K612" s="314"/>
      <c r="L612" s="314"/>
      <c r="M612" s="736"/>
      <c r="N612" s="318"/>
      <c r="O612" s="318"/>
      <c r="P612" s="314"/>
      <c r="Q612" s="314"/>
      <c r="R612" s="314"/>
      <c r="S612" s="314"/>
      <c r="T612" s="314"/>
      <c r="U612" s="314"/>
      <c r="V612" s="318"/>
      <c r="W612" s="315"/>
      <c r="X612" s="314"/>
      <c r="Y612" s="776"/>
      <c r="Z612" s="314"/>
      <c r="AA612" s="314"/>
      <c r="AB612" s="697"/>
      <c r="AC612" s="318"/>
      <c r="AD612" s="314"/>
      <c r="AE612" s="314"/>
      <c r="AF612" s="324"/>
      <c r="AG612" s="155"/>
      <c r="AH612" s="155"/>
      <c r="AI612" s="322"/>
      <c r="AJ612" s="132"/>
      <c r="AK612" s="132"/>
    </row>
    <row r="613">
      <c r="A613" s="314"/>
      <c r="B613" s="313"/>
      <c r="C613" s="313"/>
      <c r="D613" s="313"/>
      <c r="E613" s="314"/>
      <c r="F613" s="314"/>
      <c r="G613" s="314"/>
      <c r="H613" s="318"/>
      <c r="I613" s="314"/>
      <c r="J613" s="314"/>
      <c r="K613" s="314"/>
      <c r="L613" s="314"/>
      <c r="M613" s="736"/>
      <c r="N613" s="318"/>
      <c r="O613" s="318"/>
      <c r="P613" s="314"/>
      <c r="Q613" s="314"/>
      <c r="R613" s="314"/>
      <c r="S613" s="314"/>
      <c r="T613" s="314"/>
      <c r="U613" s="314"/>
      <c r="V613" s="318"/>
      <c r="W613" s="315"/>
      <c r="X613" s="314"/>
      <c r="Y613" s="776"/>
      <c r="Z613" s="314"/>
      <c r="AA613" s="314"/>
      <c r="AB613" s="697"/>
      <c r="AC613" s="318"/>
      <c r="AD613" s="314"/>
      <c r="AE613" s="314"/>
      <c r="AF613" s="324"/>
      <c r="AG613" s="155"/>
      <c r="AH613" s="155"/>
      <c r="AI613" s="322"/>
      <c r="AJ613" s="132"/>
      <c r="AK613" s="132"/>
    </row>
    <row r="614">
      <c r="A614" s="314"/>
      <c r="B614" s="313"/>
      <c r="C614" s="313"/>
      <c r="D614" s="313"/>
      <c r="E614" s="314"/>
      <c r="F614" s="314"/>
      <c r="G614" s="314"/>
      <c r="H614" s="318"/>
      <c r="I614" s="314"/>
      <c r="J614" s="314"/>
      <c r="K614" s="314"/>
      <c r="L614" s="314"/>
      <c r="M614" s="736"/>
      <c r="N614" s="318"/>
      <c r="O614" s="318"/>
      <c r="P614" s="314"/>
      <c r="Q614" s="314"/>
      <c r="R614" s="314"/>
      <c r="S614" s="314"/>
      <c r="T614" s="314"/>
      <c r="U614" s="314"/>
      <c r="V614" s="318"/>
      <c r="W614" s="315"/>
      <c r="X614" s="314"/>
      <c r="Y614" s="776"/>
      <c r="Z614" s="314"/>
      <c r="AA614" s="314"/>
      <c r="AB614" s="697"/>
      <c r="AC614" s="318"/>
      <c r="AD614" s="314"/>
      <c r="AE614" s="314"/>
      <c r="AF614" s="324"/>
      <c r="AG614" s="155"/>
      <c r="AH614" s="155"/>
      <c r="AI614" s="322"/>
      <c r="AJ614" s="132"/>
      <c r="AK614" s="132"/>
    </row>
    <row r="615">
      <c r="A615" s="314"/>
      <c r="B615" s="313"/>
      <c r="C615" s="313"/>
      <c r="D615" s="313"/>
      <c r="E615" s="314"/>
      <c r="F615" s="314"/>
      <c r="G615" s="314"/>
      <c r="H615" s="318"/>
      <c r="I615" s="314"/>
      <c r="J615" s="314"/>
      <c r="K615" s="314"/>
      <c r="L615" s="314"/>
      <c r="M615" s="736"/>
      <c r="N615" s="318"/>
      <c r="O615" s="318"/>
      <c r="P615" s="314"/>
      <c r="Q615" s="314"/>
      <c r="R615" s="314"/>
      <c r="S615" s="314"/>
      <c r="T615" s="314"/>
      <c r="U615" s="314"/>
      <c r="V615" s="318"/>
      <c r="W615" s="315"/>
      <c r="X615" s="314"/>
      <c r="Y615" s="776"/>
      <c r="Z615" s="314"/>
      <c r="AA615" s="314"/>
      <c r="AB615" s="697"/>
      <c r="AC615" s="318"/>
      <c r="AD615" s="314"/>
      <c r="AE615" s="314"/>
      <c r="AF615" s="324"/>
      <c r="AG615" s="155"/>
      <c r="AH615" s="155"/>
      <c r="AI615" s="322"/>
      <c r="AJ615" s="132"/>
      <c r="AK615" s="132"/>
    </row>
    <row r="616">
      <c r="A616" s="314"/>
      <c r="B616" s="313"/>
      <c r="C616" s="313"/>
      <c r="D616" s="313"/>
      <c r="E616" s="314"/>
      <c r="F616" s="314"/>
      <c r="G616" s="314"/>
      <c r="H616" s="318"/>
      <c r="I616" s="314"/>
      <c r="J616" s="314"/>
      <c r="K616" s="314"/>
      <c r="L616" s="314"/>
      <c r="M616" s="736"/>
      <c r="N616" s="318"/>
      <c r="O616" s="318"/>
      <c r="P616" s="314"/>
      <c r="Q616" s="314"/>
      <c r="R616" s="314"/>
      <c r="S616" s="314"/>
      <c r="T616" s="314"/>
      <c r="U616" s="314"/>
      <c r="V616" s="318"/>
      <c r="W616" s="315"/>
      <c r="X616" s="314"/>
      <c r="Y616" s="776"/>
      <c r="Z616" s="314"/>
      <c r="AA616" s="314"/>
      <c r="AB616" s="697"/>
      <c r="AC616" s="318"/>
      <c r="AD616" s="314"/>
      <c r="AE616" s="314"/>
      <c r="AF616" s="487"/>
      <c r="AH616" s="484"/>
      <c r="AI616" s="322"/>
      <c r="AJ616" s="132"/>
      <c r="AK616" s="132"/>
    </row>
    <row r="617">
      <c r="A617" s="314"/>
      <c r="B617" s="313"/>
      <c r="C617" s="313"/>
      <c r="D617" s="313"/>
      <c r="E617" s="314"/>
      <c r="F617" s="314"/>
      <c r="G617" s="314"/>
      <c r="H617" s="318"/>
      <c r="I617" s="314"/>
      <c r="J617" s="314"/>
      <c r="K617" s="314"/>
      <c r="L617" s="314"/>
      <c r="M617" s="736"/>
      <c r="N617" s="318"/>
      <c r="O617" s="318"/>
      <c r="P617" s="314"/>
      <c r="Q617" s="314"/>
      <c r="R617" s="314"/>
      <c r="S617" s="314"/>
      <c r="T617" s="314"/>
      <c r="U617" s="314"/>
      <c r="V617" s="318"/>
      <c r="W617" s="315"/>
      <c r="X617" s="314"/>
      <c r="Y617" s="776"/>
      <c r="Z617" s="314"/>
      <c r="AA617" s="314"/>
      <c r="AB617" s="697"/>
      <c r="AC617" s="318"/>
      <c r="AD617" s="314"/>
      <c r="AE617" s="314"/>
      <c r="AF617" s="324"/>
      <c r="AG617" s="155"/>
      <c r="AH617" s="155"/>
      <c r="AI617" s="322"/>
      <c r="AJ617" s="132"/>
      <c r="AK617" s="132"/>
    </row>
    <row r="618">
      <c r="A618" s="314"/>
      <c r="B618" s="313"/>
      <c r="C618" s="313"/>
      <c r="D618" s="313"/>
      <c r="E618" s="314"/>
      <c r="F618" s="314"/>
      <c r="G618" s="314"/>
      <c r="H618" s="318"/>
      <c r="I618" s="314"/>
      <c r="J618" s="314"/>
      <c r="K618" s="314"/>
      <c r="L618" s="314"/>
      <c r="M618" s="736"/>
      <c r="N618" s="318"/>
      <c r="O618" s="318"/>
      <c r="P618" s="314"/>
      <c r="Q618" s="314"/>
      <c r="R618" s="314"/>
      <c r="S618" s="314"/>
      <c r="T618" s="314"/>
      <c r="U618" s="314"/>
      <c r="V618" s="318"/>
      <c r="W618" s="315"/>
      <c r="X618" s="314"/>
      <c r="Y618" s="776"/>
      <c r="Z618" s="314"/>
      <c r="AA618" s="314"/>
      <c r="AB618" s="697"/>
      <c r="AC618" s="318"/>
      <c r="AD618" s="314"/>
      <c r="AE618" s="314"/>
      <c r="AF618" s="324"/>
      <c r="AG618" s="155"/>
      <c r="AH618" s="155"/>
      <c r="AI618" s="322"/>
      <c r="AJ618" s="132"/>
      <c r="AK618" s="132"/>
    </row>
    <row r="619">
      <c r="A619" s="314"/>
      <c r="B619" s="313"/>
      <c r="C619" s="313"/>
      <c r="D619" s="313"/>
      <c r="E619" s="314"/>
      <c r="F619" s="314"/>
      <c r="G619" s="314"/>
      <c r="H619" s="318"/>
      <c r="I619" s="314"/>
      <c r="J619" s="314"/>
      <c r="K619" s="314"/>
      <c r="L619" s="314"/>
      <c r="M619" s="736"/>
      <c r="N619" s="318"/>
      <c r="O619" s="318"/>
      <c r="P619" s="314"/>
      <c r="Q619" s="314"/>
      <c r="R619" s="314"/>
      <c r="S619" s="314"/>
      <c r="T619" s="314"/>
      <c r="U619" s="314"/>
      <c r="V619" s="318"/>
      <c r="W619" s="315"/>
      <c r="X619" s="314"/>
      <c r="Y619" s="776"/>
      <c r="Z619" s="314"/>
      <c r="AA619" s="314"/>
      <c r="AB619" s="697"/>
      <c r="AC619" s="318"/>
      <c r="AD619" s="314"/>
      <c r="AE619" s="314"/>
      <c r="AF619" s="324"/>
      <c r="AG619" s="155"/>
      <c r="AH619" s="155"/>
      <c r="AI619" s="322"/>
      <c r="AJ619" s="132"/>
      <c r="AK619" s="132"/>
    </row>
    <row r="620">
      <c r="A620" s="314"/>
      <c r="B620" s="313"/>
      <c r="C620" s="313"/>
      <c r="D620" s="313"/>
      <c r="E620" s="314"/>
      <c r="F620" s="314"/>
      <c r="G620" s="314"/>
      <c r="H620" s="318"/>
      <c r="I620" s="314"/>
      <c r="J620" s="314"/>
      <c r="K620" s="314"/>
      <c r="L620" s="314"/>
      <c r="M620" s="736"/>
      <c r="N620" s="318"/>
      <c r="O620" s="318"/>
      <c r="P620" s="314"/>
      <c r="Q620" s="314"/>
      <c r="R620" s="314"/>
      <c r="S620" s="314"/>
      <c r="T620" s="314"/>
      <c r="U620" s="314"/>
      <c r="V620" s="318"/>
      <c r="W620" s="315"/>
      <c r="X620" s="314"/>
      <c r="Y620" s="776"/>
      <c r="Z620" s="314"/>
      <c r="AA620" s="314"/>
      <c r="AB620" s="697"/>
      <c r="AC620" s="318"/>
      <c r="AD620" s="314"/>
      <c r="AE620" s="314"/>
      <c r="AF620" s="324"/>
      <c r="AG620" s="155"/>
      <c r="AH620" s="155"/>
      <c r="AI620" s="322"/>
      <c r="AJ620" s="132"/>
      <c r="AK620" s="132"/>
    </row>
    <row r="621">
      <c r="A621" s="314"/>
      <c r="B621" s="313"/>
      <c r="C621" s="313"/>
      <c r="D621" s="313"/>
      <c r="E621" s="314"/>
      <c r="F621" s="314"/>
      <c r="G621" s="314"/>
      <c r="H621" s="318"/>
      <c r="I621" s="314"/>
      <c r="J621" s="314"/>
      <c r="K621" s="314"/>
      <c r="L621" s="314"/>
      <c r="M621" s="736"/>
      <c r="N621" s="318"/>
      <c r="O621" s="318"/>
      <c r="P621" s="314"/>
      <c r="Q621" s="314"/>
      <c r="R621" s="314"/>
      <c r="S621" s="314"/>
      <c r="T621" s="314"/>
      <c r="U621" s="314"/>
      <c r="V621" s="318"/>
      <c r="W621" s="315"/>
      <c r="X621" s="314"/>
      <c r="Y621" s="776"/>
      <c r="Z621" s="314"/>
      <c r="AA621" s="314"/>
      <c r="AB621" s="697"/>
      <c r="AC621" s="318"/>
      <c r="AD621" s="314"/>
      <c r="AE621" s="314"/>
      <c r="AF621" s="324"/>
      <c r="AG621" s="155"/>
      <c r="AH621" s="155"/>
      <c r="AI621" s="322"/>
      <c r="AJ621" s="132"/>
      <c r="AK621" s="132"/>
    </row>
    <row r="622">
      <c r="A622" s="314"/>
      <c r="B622" s="313"/>
      <c r="C622" s="313"/>
      <c r="D622" s="313"/>
      <c r="E622" s="314"/>
      <c r="F622" s="314"/>
      <c r="G622" s="314"/>
      <c r="H622" s="318"/>
      <c r="I622" s="314"/>
      <c r="J622" s="314"/>
      <c r="K622" s="314"/>
      <c r="L622" s="314"/>
      <c r="M622" s="736"/>
      <c r="N622" s="318"/>
      <c r="O622" s="318"/>
      <c r="P622" s="314"/>
      <c r="Q622" s="314"/>
      <c r="R622" s="314"/>
      <c r="S622" s="314"/>
      <c r="T622" s="314"/>
      <c r="U622" s="314"/>
      <c r="V622" s="318"/>
      <c r="W622" s="315"/>
      <c r="X622" s="314"/>
      <c r="Y622" s="776"/>
      <c r="Z622" s="314"/>
      <c r="AA622" s="314"/>
      <c r="AB622" s="697"/>
      <c r="AC622" s="318"/>
      <c r="AD622" s="314"/>
      <c r="AE622" s="314"/>
      <c r="AF622" s="324"/>
      <c r="AG622" s="155"/>
      <c r="AH622" s="155"/>
      <c r="AI622" s="322"/>
      <c r="AJ622" s="132"/>
      <c r="AK622" s="132"/>
    </row>
    <row r="623">
      <c r="A623" s="314"/>
      <c r="B623" s="313"/>
      <c r="C623" s="313"/>
      <c r="D623" s="313"/>
      <c r="E623" s="314"/>
      <c r="F623" s="314"/>
      <c r="G623" s="314"/>
      <c r="H623" s="318"/>
      <c r="I623" s="314"/>
      <c r="J623" s="314"/>
      <c r="K623" s="314"/>
      <c r="L623" s="314"/>
      <c r="M623" s="736"/>
      <c r="N623" s="318"/>
      <c r="O623" s="318"/>
      <c r="P623" s="314"/>
      <c r="Q623" s="314"/>
      <c r="R623" s="314"/>
      <c r="S623" s="314"/>
      <c r="T623" s="314"/>
      <c r="U623" s="314"/>
      <c r="V623" s="318"/>
      <c r="W623" s="315"/>
      <c r="X623" s="314"/>
      <c r="Y623" s="776"/>
      <c r="Z623" s="314"/>
      <c r="AA623" s="314"/>
      <c r="AB623" s="697"/>
      <c r="AC623" s="318"/>
      <c r="AD623" s="314"/>
      <c r="AE623" s="314"/>
      <c r="AF623" s="324"/>
      <c r="AG623" s="155"/>
      <c r="AH623" s="155"/>
      <c r="AI623" s="322"/>
      <c r="AJ623" s="132"/>
      <c r="AK623" s="132"/>
    </row>
    <row r="624">
      <c r="A624" s="314"/>
      <c r="B624" s="313"/>
      <c r="C624" s="313"/>
      <c r="D624" s="313"/>
      <c r="E624" s="314"/>
      <c r="F624" s="314"/>
      <c r="G624" s="314"/>
      <c r="H624" s="318"/>
      <c r="I624" s="314"/>
      <c r="J624" s="314"/>
      <c r="K624" s="314"/>
      <c r="L624" s="314"/>
      <c r="M624" s="736"/>
      <c r="N624" s="318"/>
      <c r="O624" s="318"/>
      <c r="P624" s="314"/>
      <c r="Q624" s="314"/>
      <c r="R624" s="314"/>
      <c r="S624" s="314"/>
      <c r="T624" s="314"/>
      <c r="U624" s="314"/>
      <c r="V624" s="318"/>
      <c r="W624" s="315"/>
      <c r="X624" s="314"/>
      <c r="Y624" s="776"/>
      <c r="Z624" s="314"/>
      <c r="AA624" s="314"/>
      <c r="AB624" s="697"/>
      <c r="AC624" s="318"/>
      <c r="AD624" s="314"/>
      <c r="AE624" s="314"/>
      <c r="AF624" s="324"/>
      <c r="AG624" s="155"/>
      <c r="AH624" s="155"/>
      <c r="AI624" s="322"/>
      <c r="AJ624" s="132"/>
      <c r="AK624" s="132"/>
    </row>
    <row r="625">
      <c r="A625" s="314"/>
      <c r="B625" s="313"/>
      <c r="C625" s="313"/>
      <c r="D625" s="313"/>
      <c r="E625" s="314"/>
      <c r="F625" s="314"/>
      <c r="G625" s="314"/>
      <c r="H625" s="318"/>
      <c r="I625" s="314"/>
      <c r="J625" s="314"/>
      <c r="K625" s="314"/>
      <c r="L625" s="314"/>
      <c r="M625" s="736"/>
      <c r="N625" s="318"/>
      <c r="O625" s="318"/>
      <c r="P625" s="314"/>
      <c r="Q625" s="314"/>
      <c r="R625" s="314"/>
      <c r="S625" s="314"/>
      <c r="T625" s="314"/>
      <c r="U625" s="314"/>
      <c r="V625" s="318"/>
      <c r="W625" s="315"/>
      <c r="X625" s="314"/>
      <c r="Y625" s="776"/>
      <c r="Z625" s="314"/>
      <c r="AA625" s="314"/>
      <c r="AB625" s="697"/>
      <c r="AC625" s="318"/>
      <c r="AD625" s="314"/>
      <c r="AE625" s="314"/>
      <c r="AF625" s="324"/>
      <c r="AG625" s="155"/>
      <c r="AH625" s="155"/>
      <c r="AI625" s="322"/>
      <c r="AJ625" s="132"/>
      <c r="AK625" s="132"/>
    </row>
    <row r="626">
      <c r="A626" s="314"/>
      <c r="B626" s="313"/>
      <c r="C626" s="313"/>
      <c r="D626" s="313"/>
      <c r="E626" s="314"/>
      <c r="F626" s="314"/>
      <c r="G626" s="314"/>
      <c r="H626" s="318"/>
      <c r="I626" s="314"/>
      <c r="J626" s="314"/>
      <c r="K626" s="314"/>
      <c r="L626" s="314"/>
      <c r="M626" s="736"/>
      <c r="N626" s="318"/>
      <c r="O626" s="318"/>
      <c r="P626" s="314"/>
      <c r="Q626" s="314"/>
      <c r="R626" s="314"/>
      <c r="S626" s="314"/>
      <c r="T626" s="314"/>
      <c r="U626" s="314"/>
      <c r="V626" s="318"/>
      <c r="W626" s="315"/>
      <c r="X626" s="314"/>
      <c r="Y626" s="776"/>
      <c r="Z626" s="314"/>
      <c r="AA626" s="314"/>
      <c r="AB626" s="697"/>
      <c r="AC626" s="318"/>
      <c r="AD626" s="314"/>
      <c r="AE626" s="314"/>
      <c r="AF626" s="324"/>
      <c r="AG626" s="155"/>
      <c r="AH626" s="155"/>
      <c r="AI626" s="322"/>
      <c r="AJ626" s="132"/>
      <c r="AK626" s="132"/>
    </row>
    <row r="627">
      <c r="A627" s="314"/>
      <c r="B627" s="313"/>
      <c r="C627" s="313"/>
      <c r="D627" s="313"/>
      <c r="E627" s="314"/>
      <c r="F627" s="314"/>
      <c r="G627" s="314"/>
      <c r="H627" s="318"/>
      <c r="I627" s="314"/>
      <c r="J627" s="314"/>
      <c r="K627" s="314"/>
      <c r="L627" s="314"/>
      <c r="M627" s="736"/>
      <c r="N627" s="318"/>
      <c r="O627" s="318"/>
      <c r="P627" s="314"/>
      <c r="Q627" s="314"/>
      <c r="R627" s="314"/>
      <c r="S627" s="314"/>
      <c r="T627" s="314"/>
      <c r="U627" s="314"/>
      <c r="V627" s="318"/>
      <c r="W627" s="315"/>
      <c r="X627" s="314"/>
      <c r="Y627" s="776"/>
      <c r="Z627" s="314"/>
      <c r="AA627" s="314"/>
      <c r="AB627" s="697"/>
      <c r="AC627" s="318"/>
      <c r="AD627" s="314"/>
      <c r="AE627" s="314"/>
      <c r="AF627" s="324"/>
      <c r="AG627" s="155"/>
      <c r="AH627" s="155"/>
      <c r="AI627" s="322"/>
      <c r="AJ627" s="132"/>
      <c r="AK627" s="132"/>
    </row>
    <row r="628">
      <c r="A628" s="314"/>
      <c r="B628" s="313"/>
      <c r="C628" s="313"/>
      <c r="D628" s="313"/>
      <c r="E628" s="314"/>
      <c r="F628" s="314"/>
      <c r="G628" s="314"/>
      <c r="H628" s="318"/>
      <c r="I628" s="314"/>
      <c r="J628" s="314"/>
      <c r="K628" s="314"/>
      <c r="L628" s="314"/>
      <c r="M628" s="736"/>
      <c r="N628" s="318"/>
      <c r="O628" s="318"/>
      <c r="P628" s="314"/>
      <c r="Q628" s="314"/>
      <c r="R628" s="314"/>
      <c r="S628" s="314"/>
      <c r="T628" s="314"/>
      <c r="U628" s="314"/>
      <c r="V628" s="318"/>
      <c r="W628" s="315"/>
      <c r="X628" s="314"/>
      <c r="Y628" s="776"/>
      <c r="Z628" s="314"/>
      <c r="AA628" s="314"/>
      <c r="AB628" s="697"/>
      <c r="AC628" s="318"/>
      <c r="AD628" s="314"/>
      <c r="AE628" s="314"/>
      <c r="AF628" s="324"/>
      <c r="AG628" s="155"/>
      <c r="AH628" s="155"/>
      <c r="AI628" s="322"/>
      <c r="AJ628" s="132"/>
      <c r="AK628" s="132"/>
    </row>
    <row r="629">
      <c r="A629" s="314"/>
      <c r="B629" s="313"/>
      <c r="C629" s="313"/>
      <c r="D629" s="313"/>
      <c r="E629" s="314"/>
      <c r="F629" s="314"/>
      <c r="G629" s="314"/>
      <c r="H629" s="318"/>
      <c r="I629" s="314"/>
      <c r="J629" s="314"/>
      <c r="K629" s="314"/>
      <c r="L629" s="314"/>
      <c r="M629" s="736"/>
      <c r="N629" s="318"/>
      <c r="O629" s="318"/>
      <c r="P629" s="314"/>
      <c r="Q629" s="314"/>
      <c r="R629" s="314"/>
      <c r="S629" s="314"/>
      <c r="T629" s="314"/>
      <c r="U629" s="314"/>
      <c r="V629" s="318"/>
      <c r="W629" s="315"/>
      <c r="X629" s="314"/>
      <c r="Y629" s="776"/>
      <c r="Z629" s="314"/>
      <c r="AA629" s="314"/>
      <c r="AB629" s="697"/>
      <c r="AC629" s="318"/>
      <c r="AD629" s="314"/>
      <c r="AE629" s="314"/>
      <c r="AF629" s="324"/>
      <c r="AG629" s="155"/>
      <c r="AH629" s="155"/>
      <c r="AI629" s="322"/>
      <c r="AJ629" s="132"/>
      <c r="AK629" s="132"/>
    </row>
    <row r="630">
      <c r="A630" s="314"/>
      <c r="B630" s="313"/>
      <c r="C630" s="313"/>
      <c r="D630" s="313"/>
      <c r="E630" s="314"/>
      <c r="F630" s="314"/>
      <c r="G630" s="314"/>
      <c r="H630" s="318"/>
      <c r="I630" s="314"/>
      <c r="J630" s="314"/>
      <c r="K630" s="314"/>
      <c r="L630" s="314"/>
      <c r="M630" s="736"/>
      <c r="N630" s="318"/>
      <c r="O630" s="318"/>
      <c r="P630" s="314"/>
      <c r="Q630" s="314"/>
      <c r="R630" s="314"/>
      <c r="S630" s="314"/>
      <c r="T630" s="314"/>
      <c r="U630" s="314"/>
      <c r="V630" s="318"/>
      <c r="W630" s="315"/>
      <c r="X630" s="314"/>
      <c r="Y630" s="776"/>
      <c r="Z630" s="314"/>
      <c r="AA630" s="314"/>
      <c r="AB630" s="697"/>
      <c r="AC630" s="318"/>
      <c r="AD630" s="314"/>
      <c r="AE630" s="314"/>
      <c r="AF630" s="324"/>
      <c r="AG630" s="155"/>
      <c r="AH630" s="155"/>
      <c r="AI630" s="322"/>
      <c r="AJ630" s="132"/>
      <c r="AK630" s="132"/>
    </row>
    <row r="631">
      <c r="A631" s="314"/>
      <c r="B631" s="313"/>
      <c r="C631" s="313"/>
      <c r="D631" s="313"/>
      <c r="E631" s="314"/>
      <c r="F631" s="314"/>
      <c r="G631" s="314"/>
      <c r="H631" s="318"/>
      <c r="I631" s="314"/>
      <c r="J631" s="314"/>
      <c r="K631" s="314"/>
      <c r="L631" s="314"/>
      <c r="M631" s="736"/>
      <c r="N631" s="318"/>
      <c r="O631" s="318"/>
      <c r="P631" s="314"/>
      <c r="Q631" s="314"/>
      <c r="R631" s="314"/>
      <c r="S631" s="314"/>
      <c r="T631" s="314"/>
      <c r="U631" s="314"/>
      <c r="V631" s="318"/>
      <c r="W631" s="315"/>
      <c r="X631" s="314"/>
      <c r="Y631" s="776"/>
      <c r="Z631" s="314"/>
      <c r="AA631" s="314"/>
      <c r="AB631" s="697"/>
      <c r="AC631" s="318"/>
      <c r="AD631" s="314"/>
      <c r="AE631" s="314"/>
      <c r="AF631" s="324"/>
      <c r="AG631" s="155"/>
      <c r="AH631" s="155"/>
      <c r="AI631" s="322"/>
      <c r="AJ631" s="132"/>
      <c r="AK631" s="132"/>
    </row>
    <row r="632">
      <c r="A632" s="314"/>
      <c r="B632" s="313"/>
      <c r="C632" s="313"/>
      <c r="D632" s="313"/>
      <c r="E632" s="314"/>
      <c r="F632" s="314"/>
      <c r="G632" s="314"/>
      <c r="H632" s="318"/>
      <c r="I632" s="314"/>
      <c r="J632" s="314"/>
      <c r="K632" s="314"/>
      <c r="L632" s="314"/>
      <c r="M632" s="736"/>
      <c r="N632" s="318"/>
      <c r="O632" s="318"/>
      <c r="P632" s="314"/>
      <c r="Q632" s="314"/>
      <c r="R632" s="314"/>
      <c r="S632" s="314"/>
      <c r="T632" s="314"/>
      <c r="U632" s="314"/>
      <c r="V632" s="318"/>
      <c r="W632" s="315"/>
      <c r="X632" s="314"/>
      <c r="Y632" s="776"/>
      <c r="Z632" s="314"/>
      <c r="AA632" s="314"/>
      <c r="AB632" s="697"/>
      <c r="AC632" s="318"/>
      <c r="AD632" s="314"/>
      <c r="AE632" s="314"/>
      <c r="AF632" s="324"/>
      <c r="AG632" s="155"/>
      <c r="AH632" s="155"/>
      <c r="AI632" s="322"/>
      <c r="AJ632" s="132"/>
      <c r="AK632" s="132"/>
    </row>
    <row r="633">
      <c r="A633" s="314"/>
      <c r="B633" s="313"/>
      <c r="C633" s="313"/>
      <c r="D633" s="313"/>
      <c r="E633" s="314"/>
      <c r="F633" s="314"/>
      <c r="G633" s="314"/>
      <c r="H633" s="318"/>
      <c r="I633" s="314"/>
      <c r="J633" s="314"/>
      <c r="K633" s="314"/>
      <c r="L633" s="314"/>
      <c r="M633" s="736"/>
      <c r="N633" s="318"/>
      <c r="O633" s="318"/>
      <c r="P633" s="314"/>
      <c r="Q633" s="314"/>
      <c r="R633" s="314"/>
      <c r="S633" s="314"/>
      <c r="T633" s="314"/>
      <c r="U633" s="314"/>
      <c r="V633" s="318"/>
      <c r="W633" s="315"/>
      <c r="X633" s="314"/>
      <c r="Y633" s="776"/>
      <c r="Z633" s="314"/>
      <c r="AA633" s="314"/>
      <c r="AB633" s="697"/>
      <c r="AC633" s="318"/>
      <c r="AD633" s="314"/>
      <c r="AE633" s="314"/>
      <c r="AF633" s="324"/>
      <c r="AG633" s="155"/>
      <c r="AH633" s="155"/>
      <c r="AI633" s="322"/>
      <c r="AJ633" s="132"/>
      <c r="AK633" s="132"/>
    </row>
    <row r="634">
      <c r="A634" s="314"/>
      <c r="B634" s="313"/>
      <c r="C634" s="313"/>
      <c r="D634" s="313"/>
      <c r="E634" s="314"/>
      <c r="F634" s="314"/>
      <c r="G634" s="314"/>
      <c r="H634" s="318"/>
      <c r="I634" s="314"/>
      <c r="J634" s="314"/>
      <c r="K634" s="314"/>
      <c r="L634" s="314"/>
      <c r="M634" s="736"/>
      <c r="N634" s="318"/>
      <c r="O634" s="318"/>
      <c r="P634" s="314"/>
      <c r="Q634" s="314"/>
      <c r="R634" s="314"/>
      <c r="S634" s="314"/>
      <c r="T634" s="314"/>
      <c r="U634" s="314"/>
      <c r="V634" s="318"/>
      <c r="W634" s="315"/>
      <c r="X634" s="314"/>
      <c r="Y634" s="776"/>
      <c r="Z634" s="314"/>
      <c r="AA634" s="314"/>
      <c r="AB634" s="697"/>
      <c r="AC634" s="318"/>
      <c r="AD634" s="314"/>
      <c r="AE634" s="314"/>
      <c r="AF634" s="324"/>
      <c r="AG634" s="155"/>
      <c r="AH634" s="155"/>
      <c r="AI634" s="322"/>
      <c r="AJ634" s="132"/>
      <c r="AK634" s="132"/>
    </row>
    <row r="635">
      <c r="A635" s="314"/>
      <c r="B635" s="313"/>
      <c r="C635" s="313"/>
      <c r="D635" s="313"/>
      <c r="E635" s="314"/>
      <c r="F635" s="314"/>
      <c r="G635" s="314"/>
      <c r="H635" s="318"/>
      <c r="I635" s="314"/>
      <c r="J635" s="314"/>
      <c r="K635" s="314"/>
      <c r="L635" s="314"/>
      <c r="M635" s="736"/>
      <c r="N635" s="318"/>
      <c r="O635" s="318"/>
      <c r="P635" s="314"/>
      <c r="Q635" s="314"/>
      <c r="R635" s="314"/>
      <c r="S635" s="314"/>
      <c r="T635" s="314"/>
      <c r="U635" s="314"/>
      <c r="V635" s="318"/>
      <c r="W635" s="315"/>
      <c r="X635" s="314"/>
      <c r="Y635" s="776"/>
      <c r="Z635" s="314"/>
      <c r="AA635" s="314"/>
      <c r="AB635" s="697"/>
      <c r="AC635" s="318"/>
      <c r="AD635" s="314"/>
      <c r="AE635" s="314"/>
      <c r="AF635" s="324"/>
      <c r="AG635" s="155"/>
      <c r="AH635" s="155"/>
      <c r="AI635" s="322"/>
      <c r="AJ635" s="132"/>
      <c r="AK635" s="132"/>
    </row>
    <row r="636">
      <c r="A636" s="314"/>
      <c r="B636" s="313"/>
      <c r="C636" s="313"/>
      <c r="D636" s="313"/>
      <c r="E636" s="314"/>
      <c r="F636" s="314"/>
      <c r="G636" s="314"/>
      <c r="H636" s="318"/>
      <c r="I636" s="314"/>
      <c r="J636" s="314"/>
      <c r="K636" s="314"/>
      <c r="L636" s="314"/>
      <c r="M636" s="736"/>
      <c r="N636" s="318"/>
      <c r="O636" s="318"/>
      <c r="P636" s="314"/>
      <c r="Q636" s="314"/>
      <c r="R636" s="314"/>
      <c r="S636" s="314"/>
      <c r="T636" s="314"/>
      <c r="U636" s="314"/>
      <c r="V636" s="318"/>
      <c r="W636" s="315"/>
      <c r="X636" s="314"/>
      <c r="Y636" s="776"/>
      <c r="Z636" s="314"/>
      <c r="AA636" s="314"/>
      <c r="AB636" s="697"/>
      <c r="AC636" s="318"/>
      <c r="AD636" s="314"/>
      <c r="AE636" s="314"/>
      <c r="AF636" s="324"/>
      <c r="AG636" s="155"/>
      <c r="AH636" s="155"/>
      <c r="AI636" s="322"/>
      <c r="AJ636" s="132"/>
      <c r="AK636" s="132"/>
    </row>
    <row r="637">
      <c r="A637" s="314"/>
      <c r="B637" s="313"/>
      <c r="C637" s="313"/>
      <c r="D637" s="313"/>
      <c r="E637" s="314"/>
      <c r="F637" s="314"/>
      <c r="G637" s="314"/>
      <c r="H637" s="318"/>
      <c r="I637" s="314"/>
      <c r="J637" s="314"/>
      <c r="K637" s="314"/>
      <c r="L637" s="314"/>
      <c r="M637" s="736"/>
      <c r="N637" s="318"/>
      <c r="O637" s="318"/>
      <c r="P637" s="314"/>
      <c r="Q637" s="314"/>
      <c r="R637" s="314"/>
      <c r="S637" s="314"/>
      <c r="T637" s="314"/>
      <c r="U637" s="314"/>
      <c r="V637" s="318"/>
      <c r="W637" s="315"/>
      <c r="X637" s="314"/>
      <c r="Y637" s="776"/>
      <c r="Z637" s="314"/>
      <c r="AA637" s="314"/>
      <c r="AB637" s="697"/>
      <c r="AC637" s="318"/>
      <c r="AD637" s="314"/>
      <c r="AE637" s="314"/>
      <c r="AF637" s="324"/>
      <c r="AG637" s="155"/>
      <c r="AH637" s="155"/>
      <c r="AI637" s="322"/>
      <c r="AJ637" s="132"/>
      <c r="AK637" s="132"/>
    </row>
    <row r="638">
      <c r="A638" s="314"/>
      <c r="B638" s="313"/>
      <c r="C638" s="313"/>
      <c r="D638" s="313"/>
      <c r="E638" s="314"/>
      <c r="F638" s="314"/>
      <c r="G638" s="314"/>
      <c r="H638" s="318"/>
      <c r="I638" s="314"/>
      <c r="J638" s="314"/>
      <c r="K638" s="314"/>
      <c r="L638" s="314"/>
      <c r="M638" s="736"/>
      <c r="N638" s="318"/>
      <c r="O638" s="318"/>
      <c r="P638" s="314"/>
      <c r="Q638" s="314"/>
      <c r="R638" s="314"/>
      <c r="S638" s="314"/>
      <c r="T638" s="314"/>
      <c r="U638" s="314"/>
      <c r="V638" s="318"/>
      <c r="W638" s="315"/>
      <c r="X638" s="314"/>
      <c r="Y638" s="776"/>
      <c r="Z638" s="314"/>
      <c r="AA638" s="314"/>
      <c r="AB638" s="697"/>
      <c r="AC638" s="318"/>
      <c r="AD638" s="314"/>
      <c r="AE638" s="314"/>
      <c r="AF638" s="324"/>
      <c r="AG638" s="155"/>
      <c r="AH638" s="155"/>
      <c r="AI638" s="322"/>
      <c r="AJ638" s="132"/>
      <c r="AK638" s="132"/>
    </row>
    <row r="639">
      <c r="A639" s="314"/>
      <c r="B639" s="313"/>
      <c r="C639" s="313"/>
      <c r="D639" s="313"/>
      <c r="E639" s="314"/>
      <c r="F639" s="314"/>
      <c r="G639" s="314"/>
      <c r="H639" s="318"/>
      <c r="I639" s="314"/>
      <c r="J639" s="314"/>
      <c r="K639" s="314"/>
      <c r="L639" s="314"/>
      <c r="M639" s="736"/>
      <c r="N639" s="318"/>
      <c r="O639" s="318"/>
      <c r="P639" s="314"/>
      <c r="Q639" s="314"/>
      <c r="R639" s="314"/>
      <c r="S639" s="314"/>
      <c r="T639" s="314"/>
      <c r="U639" s="314"/>
      <c r="V639" s="318"/>
      <c r="W639" s="315"/>
      <c r="X639" s="314"/>
      <c r="Y639" s="776"/>
      <c r="Z639" s="314"/>
      <c r="AA639" s="314"/>
      <c r="AB639" s="697"/>
      <c r="AC639" s="318"/>
      <c r="AD639" s="314"/>
      <c r="AE639" s="314"/>
      <c r="AF639" s="324"/>
      <c r="AG639" s="155"/>
      <c r="AH639" s="155"/>
      <c r="AI639" s="322"/>
      <c r="AJ639" s="132"/>
      <c r="AK639" s="132"/>
    </row>
    <row r="640">
      <c r="A640" s="314"/>
      <c r="B640" s="313"/>
      <c r="C640" s="313"/>
      <c r="D640" s="313"/>
      <c r="E640" s="314"/>
      <c r="F640" s="314"/>
      <c r="G640" s="314"/>
      <c r="H640" s="318"/>
      <c r="I640" s="314"/>
      <c r="J640" s="314"/>
      <c r="K640" s="314"/>
      <c r="L640" s="314"/>
      <c r="M640" s="736"/>
      <c r="N640" s="318"/>
      <c r="O640" s="318"/>
      <c r="P640" s="314"/>
      <c r="Q640" s="314"/>
      <c r="R640" s="314"/>
      <c r="S640" s="314"/>
      <c r="T640" s="314"/>
      <c r="U640" s="314"/>
      <c r="V640" s="318"/>
      <c r="W640" s="315"/>
      <c r="X640" s="314"/>
      <c r="Y640" s="776"/>
      <c r="Z640" s="314"/>
      <c r="AA640" s="314"/>
      <c r="AB640" s="697"/>
      <c r="AC640" s="318"/>
      <c r="AD640" s="314"/>
      <c r="AE640" s="314"/>
      <c r="AF640" s="324"/>
      <c r="AG640" s="155"/>
      <c r="AH640" s="155"/>
      <c r="AI640" s="322"/>
      <c r="AJ640" s="132"/>
      <c r="AK640" s="132"/>
    </row>
    <row r="641">
      <c r="A641" s="314"/>
      <c r="B641" s="313"/>
      <c r="C641" s="313"/>
      <c r="D641" s="313"/>
      <c r="E641" s="314"/>
      <c r="F641" s="314"/>
      <c r="G641" s="314"/>
      <c r="H641" s="318"/>
      <c r="I641" s="314"/>
      <c r="J641" s="314"/>
      <c r="K641" s="314"/>
      <c r="L641" s="314"/>
      <c r="M641" s="736"/>
      <c r="N641" s="318"/>
      <c r="O641" s="318"/>
      <c r="P641" s="314"/>
      <c r="Q641" s="314"/>
      <c r="R641" s="314"/>
      <c r="S641" s="314"/>
      <c r="T641" s="314"/>
      <c r="U641" s="314"/>
      <c r="V641" s="318"/>
      <c r="W641" s="315"/>
      <c r="X641" s="314"/>
      <c r="Y641" s="776"/>
      <c r="Z641" s="314"/>
      <c r="AA641" s="314"/>
      <c r="AB641" s="697"/>
      <c r="AC641" s="318"/>
      <c r="AD641" s="314"/>
      <c r="AE641" s="314"/>
      <c r="AF641" s="324"/>
      <c r="AG641" s="155"/>
      <c r="AH641" s="155"/>
      <c r="AI641" s="322"/>
      <c r="AJ641" s="132"/>
      <c r="AK641" s="132"/>
    </row>
    <row r="642">
      <c r="A642" s="314"/>
      <c r="B642" s="313"/>
      <c r="C642" s="313"/>
      <c r="D642" s="313"/>
      <c r="E642" s="314"/>
      <c r="F642" s="314"/>
      <c r="G642" s="314"/>
      <c r="H642" s="318"/>
      <c r="I642" s="314"/>
      <c r="J642" s="314"/>
      <c r="K642" s="314"/>
      <c r="L642" s="314"/>
      <c r="M642" s="736"/>
      <c r="N642" s="318"/>
      <c r="O642" s="318"/>
      <c r="P642" s="314"/>
      <c r="Q642" s="314"/>
      <c r="R642" s="314"/>
      <c r="S642" s="314"/>
      <c r="T642" s="314"/>
      <c r="U642" s="314"/>
      <c r="V642" s="318"/>
      <c r="W642" s="315"/>
      <c r="X642" s="314"/>
      <c r="Y642" s="776"/>
      <c r="Z642" s="314"/>
      <c r="AA642" s="314"/>
      <c r="AB642" s="697"/>
      <c r="AC642" s="318"/>
      <c r="AD642" s="314"/>
      <c r="AE642" s="314"/>
      <c r="AF642" s="324"/>
      <c r="AG642" s="155"/>
      <c r="AH642" s="155"/>
      <c r="AI642" s="322"/>
      <c r="AJ642" s="132"/>
      <c r="AK642" s="132"/>
    </row>
    <row r="643">
      <c r="A643" s="314"/>
      <c r="B643" s="313"/>
      <c r="C643" s="313"/>
      <c r="D643" s="313"/>
      <c r="E643" s="314"/>
      <c r="F643" s="314"/>
      <c r="G643" s="314"/>
      <c r="H643" s="318"/>
      <c r="I643" s="314"/>
      <c r="J643" s="314"/>
      <c r="K643" s="314"/>
      <c r="L643" s="314"/>
      <c r="M643" s="736"/>
      <c r="N643" s="318"/>
      <c r="O643" s="318"/>
      <c r="P643" s="314"/>
      <c r="Q643" s="314"/>
      <c r="R643" s="314"/>
      <c r="S643" s="314"/>
      <c r="T643" s="314"/>
      <c r="U643" s="314"/>
      <c r="V643" s="318"/>
      <c r="W643" s="315"/>
      <c r="X643" s="314"/>
      <c r="Y643" s="776"/>
      <c r="Z643" s="314"/>
      <c r="AA643" s="314"/>
      <c r="AB643" s="697"/>
      <c r="AC643" s="318"/>
      <c r="AD643" s="314"/>
      <c r="AE643" s="314"/>
      <c r="AF643" s="324"/>
      <c r="AG643" s="155"/>
      <c r="AH643" s="155"/>
      <c r="AI643" s="322"/>
      <c r="AJ643" s="132"/>
      <c r="AK643" s="132"/>
    </row>
    <row r="644">
      <c r="A644" s="314"/>
      <c r="B644" s="313"/>
      <c r="C644" s="313"/>
      <c r="D644" s="313"/>
      <c r="E644" s="314"/>
      <c r="F644" s="314"/>
      <c r="G644" s="314"/>
      <c r="H644" s="318"/>
      <c r="I644" s="314"/>
      <c r="J644" s="314"/>
      <c r="K644" s="314"/>
      <c r="L644" s="314"/>
      <c r="M644" s="736"/>
      <c r="N644" s="318"/>
      <c r="O644" s="318"/>
      <c r="P644" s="314"/>
      <c r="Q644" s="314"/>
      <c r="R644" s="314"/>
      <c r="S644" s="314"/>
      <c r="T644" s="314"/>
      <c r="U644" s="314"/>
      <c r="V644" s="318"/>
      <c r="W644" s="315"/>
      <c r="X644" s="314"/>
      <c r="Y644" s="776"/>
      <c r="Z644" s="314"/>
      <c r="AA644" s="314"/>
      <c r="AB644" s="697"/>
      <c r="AC644" s="318"/>
      <c r="AD644" s="314"/>
      <c r="AE644" s="314"/>
      <c r="AF644" s="324"/>
      <c r="AG644" s="155"/>
      <c r="AH644" s="155"/>
      <c r="AI644" s="322"/>
      <c r="AJ644" s="132"/>
      <c r="AK644" s="132"/>
    </row>
    <row r="645">
      <c r="A645" s="314"/>
      <c r="B645" s="313"/>
      <c r="C645" s="313"/>
      <c r="D645" s="313"/>
      <c r="E645" s="314"/>
      <c r="F645" s="314"/>
      <c r="G645" s="314"/>
      <c r="H645" s="318"/>
      <c r="I645" s="314"/>
      <c r="J645" s="314"/>
      <c r="K645" s="314"/>
      <c r="L645" s="314"/>
      <c r="M645" s="736"/>
      <c r="N645" s="318"/>
      <c r="O645" s="318"/>
      <c r="P645" s="314"/>
      <c r="Q645" s="314"/>
      <c r="R645" s="314"/>
      <c r="S645" s="314"/>
      <c r="T645" s="314"/>
      <c r="U645" s="314"/>
      <c r="V645" s="318"/>
      <c r="W645" s="315"/>
      <c r="X645" s="314"/>
      <c r="Y645" s="776"/>
      <c r="Z645" s="314"/>
      <c r="AA645" s="314"/>
      <c r="AB645" s="697"/>
      <c r="AC645" s="318"/>
      <c r="AD645" s="314"/>
      <c r="AE645" s="314"/>
      <c r="AF645" s="324"/>
      <c r="AG645" s="155"/>
      <c r="AH645" s="155"/>
      <c r="AI645" s="322"/>
      <c r="AJ645" s="132"/>
      <c r="AK645" s="132"/>
    </row>
    <row r="646">
      <c r="A646" s="314"/>
      <c r="B646" s="313"/>
      <c r="C646" s="313"/>
      <c r="D646" s="313"/>
      <c r="E646" s="314"/>
      <c r="F646" s="314"/>
      <c r="G646" s="314"/>
      <c r="H646" s="318"/>
      <c r="I646" s="314"/>
      <c r="J646" s="314"/>
      <c r="K646" s="314"/>
      <c r="L646" s="314"/>
      <c r="M646" s="736"/>
      <c r="N646" s="318"/>
      <c r="O646" s="318"/>
      <c r="P646" s="314"/>
      <c r="Q646" s="314"/>
      <c r="R646" s="314"/>
      <c r="S646" s="314"/>
      <c r="T646" s="314"/>
      <c r="U646" s="314"/>
      <c r="V646" s="318"/>
      <c r="W646" s="315"/>
      <c r="X646" s="314"/>
      <c r="Y646" s="776"/>
      <c r="Z646" s="314"/>
      <c r="AA646" s="314"/>
      <c r="AB646" s="697"/>
      <c r="AC646" s="318"/>
      <c r="AD646" s="314"/>
      <c r="AE646" s="314"/>
      <c r="AF646" s="324"/>
      <c r="AG646" s="155"/>
      <c r="AH646" s="155"/>
      <c r="AI646" s="322"/>
      <c r="AJ646" s="132"/>
      <c r="AK646" s="132"/>
    </row>
    <row r="647">
      <c r="A647" s="314"/>
      <c r="B647" s="313"/>
      <c r="C647" s="313"/>
      <c r="D647" s="313"/>
      <c r="E647" s="314"/>
      <c r="F647" s="314"/>
      <c r="G647" s="314"/>
      <c r="H647" s="318"/>
      <c r="I647" s="314"/>
      <c r="J647" s="314"/>
      <c r="K647" s="314"/>
      <c r="L647" s="314"/>
      <c r="M647" s="736"/>
      <c r="N647" s="318"/>
      <c r="O647" s="318"/>
      <c r="P647" s="314"/>
      <c r="Q647" s="314"/>
      <c r="R647" s="314"/>
      <c r="S647" s="314"/>
      <c r="T647" s="314"/>
      <c r="U647" s="314"/>
      <c r="V647" s="318"/>
      <c r="W647" s="315"/>
      <c r="X647" s="314"/>
      <c r="Y647" s="776"/>
      <c r="Z647" s="314"/>
      <c r="AA647" s="314"/>
      <c r="AB647" s="697"/>
      <c r="AC647" s="318"/>
      <c r="AD647" s="314"/>
      <c r="AE647" s="314"/>
      <c r="AF647" s="324"/>
      <c r="AG647" s="155"/>
      <c r="AH647" s="155"/>
      <c r="AI647" s="322"/>
      <c r="AJ647" s="132"/>
      <c r="AK647" s="132"/>
    </row>
    <row r="648">
      <c r="A648" s="314"/>
      <c r="B648" s="313"/>
      <c r="C648" s="313"/>
      <c r="D648" s="313"/>
      <c r="E648" s="314"/>
      <c r="F648" s="314"/>
      <c r="G648" s="314"/>
      <c r="H648" s="318"/>
      <c r="I648" s="314"/>
      <c r="J648" s="314"/>
      <c r="K648" s="314"/>
      <c r="L648" s="314"/>
      <c r="M648" s="736"/>
      <c r="N648" s="318"/>
      <c r="O648" s="318"/>
      <c r="P648" s="314"/>
      <c r="Q648" s="314"/>
      <c r="R648" s="314"/>
      <c r="S648" s="314"/>
      <c r="T648" s="314"/>
      <c r="U648" s="314"/>
      <c r="V648" s="318"/>
      <c r="W648" s="315"/>
      <c r="X648" s="314"/>
      <c r="Y648" s="776"/>
      <c r="Z648" s="314"/>
      <c r="AA648" s="314"/>
      <c r="AB648" s="697"/>
      <c r="AC648" s="318"/>
      <c r="AD648" s="314"/>
      <c r="AE648" s="314"/>
      <c r="AF648" s="324"/>
      <c r="AG648" s="155"/>
      <c r="AH648" s="155"/>
      <c r="AI648" s="322"/>
      <c r="AJ648" s="132"/>
      <c r="AK648" s="132"/>
    </row>
    <row r="649">
      <c r="A649" s="314"/>
      <c r="B649" s="313"/>
      <c r="C649" s="313"/>
      <c r="D649" s="313"/>
      <c r="E649" s="314"/>
      <c r="F649" s="314"/>
      <c r="G649" s="314"/>
      <c r="H649" s="318"/>
      <c r="I649" s="314"/>
      <c r="J649" s="314"/>
      <c r="K649" s="314"/>
      <c r="L649" s="314"/>
      <c r="M649" s="736"/>
      <c r="N649" s="318"/>
      <c r="O649" s="318"/>
      <c r="P649" s="314"/>
      <c r="Q649" s="314"/>
      <c r="R649" s="314"/>
      <c r="S649" s="314"/>
      <c r="T649" s="314"/>
      <c r="U649" s="314"/>
      <c r="V649" s="318"/>
      <c r="W649" s="315"/>
      <c r="X649" s="314"/>
      <c r="Y649" s="776"/>
      <c r="Z649" s="314"/>
      <c r="AA649" s="314"/>
      <c r="AB649" s="697"/>
      <c r="AC649" s="318"/>
      <c r="AD649" s="314"/>
      <c r="AE649" s="314"/>
      <c r="AF649" s="324"/>
      <c r="AG649" s="155"/>
      <c r="AH649" s="155"/>
      <c r="AI649" s="322"/>
      <c r="AJ649" s="132"/>
      <c r="AK649" s="132"/>
    </row>
    <row r="650">
      <c r="A650" s="314"/>
      <c r="B650" s="313"/>
      <c r="C650" s="313"/>
      <c r="D650" s="313"/>
      <c r="E650" s="314"/>
      <c r="F650" s="314"/>
      <c r="G650" s="314"/>
      <c r="H650" s="318"/>
      <c r="I650" s="314"/>
      <c r="J650" s="314"/>
      <c r="K650" s="314"/>
      <c r="L650" s="314"/>
      <c r="M650" s="736"/>
      <c r="N650" s="318"/>
      <c r="O650" s="318"/>
      <c r="P650" s="314"/>
      <c r="Q650" s="314"/>
      <c r="R650" s="314"/>
      <c r="S650" s="314"/>
      <c r="T650" s="314"/>
      <c r="U650" s="314"/>
      <c r="V650" s="318"/>
      <c r="W650" s="315"/>
      <c r="X650" s="314"/>
      <c r="Y650" s="776"/>
      <c r="Z650" s="314"/>
      <c r="AA650" s="314"/>
      <c r="AB650" s="697"/>
      <c r="AC650" s="318"/>
      <c r="AD650" s="314"/>
      <c r="AE650" s="314"/>
      <c r="AF650" s="324"/>
      <c r="AG650" s="155"/>
      <c r="AH650" s="155"/>
      <c r="AI650" s="322"/>
      <c r="AJ650" s="132"/>
      <c r="AK650" s="132"/>
    </row>
    <row r="651">
      <c r="A651" s="314"/>
      <c r="B651" s="313"/>
      <c r="C651" s="313"/>
      <c r="D651" s="313"/>
      <c r="E651" s="314"/>
      <c r="F651" s="314"/>
      <c r="G651" s="314"/>
      <c r="H651" s="318"/>
      <c r="I651" s="314"/>
      <c r="J651" s="314"/>
      <c r="K651" s="314"/>
      <c r="L651" s="314"/>
      <c r="M651" s="736"/>
      <c r="N651" s="318"/>
      <c r="O651" s="318"/>
      <c r="P651" s="314"/>
      <c r="Q651" s="314"/>
      <c r="R651" s="314"/>
      <c r="S651" s="314"/>
      <c r="T651" s="314"/>
      <c r="U651" s="314"/>
      <c r="V651" s="318"/>
      <c r="W651" s="315"/>
      <c r="X651" s="314"/>
      <c r="Y651" s="776"/>
      <c r="Z651" s="314"/>
      <c r="AA651" s="314"/>
      <c r="AB651" s="697"/>
      <c r="AC651" s="318"/>
      <c r="AD651" s="314"/>
      <c r="AE651" s="314"/>
      <c r="AF651" s="324"/>
      <c r="AG651" s="155"/>
      <c r="AH651" s="155"/>
      <c r="AI651" s="322"/>
      <c r="AJ651" s="132"/>
      <c r="AK651" s="132"/>
    </row>
    <row r="652">
      <c r="A652" s="314"/>
      <c r="B652" s="313"/>
      <c r="C652" s="313"/>
      <c r="D652" s="313"/>
      <c r="E652" s="314"/>
      <c r="F652" s="314"/>
      <c r="G652" s="314"/>
      <c r="H652" s="318"/>
      <c r="I652" s="314"/>
      <c r="J652" s="314"/>
      <c r="K652" s="314"/>
      <c r="L652" s="314"/>
      <c r="M652" s="736"/>
      <c r="N652" s="318"/>
      <c r="O652" s="318"/>
      <c r="P652" s="314"/>
      <c r="Q652" s="314"/>
      <c r="R652" s="314"/>
      <c r="S652" s="314"/>
      <c r="T652" s="314"/>
      <c r="U652" s="314"/>
      <c r="V652" s="318"/>
      <c r="W652" s="315"/>
      <c r="X652" s="314"/>
      <c r="Y652" s="776"/>
      <c r="Z652" s="314"/>
      <c r="AA652" s="314"/>
      <c r="AB652" s="697"/>
      <c r="AC652" s="318"/>
      <c r="AD652" s="314"/>
      <c r="AE652" s="314"/>
      <c r="AF652" s="324"/>
      <c r="AG652" s="155"/>
      <c r="AH652" s="155"/>
      <c r="AI652" s="322"/>
      <c r="AJ652" s="132"/>
      <c r="AK652" s="132"/>
    </row>
    <row r="653">
      <c r="A653" s="314"/>
      <c r="B653" s="313"/>
      <c r="C653" s="313"/>
      <c r="D653" s="313"/>
      <c r="E653" s="314"/>
      <c r="F653" s="314"/>
      <c r="G653" s="314"/>
      <c r="H653" s="318"/>
      <c r="I653" s="314"/>
      <c r="J653" s="314"/>
      <c r="K653" s="314"/>
      <c r="L653" s="314"/>
      <c r="M653" s="736"/>
      <c r="N653" s="318"/>
      <c r="O653" s="318"/>
      <c r="P653" s="314"/>
      <c r="Q653" s="314"/>
      <c r="R653" s="314"/>
      <c r="S653" s="314"/>
      <c r="T653" s="314"/>
      <c r="U653" s="314"/>
      <c r="V653" s="318"/>
      <c r="W653" s="315"/>
      <c r="X653" s="314"/>
      <c r="Y653" s="776"/>
      <c r="Z653" s="314"/>
      <c r="AA653" s="314"/>
      <c r="AB653" s="697"/>
      <c r="AC653" s="318"/>
      <c r="AD653" s="314"/>
      <c r="AE653" s="314"/>
      <c r="AF653" s="324"/>
      <c r="AG653" s="155"/>
      <c r="AH653" s="155"/>
      <c r="AI653" s="322"/>
      <c r="AJ653" s="132"/>
      <c r="AK653" s="132"/>
    </row>
    <row r="654">
      <c r="A654" s="314"/>
      <c r="B654" s="313"/>
      <c r="C654" s="313"/>
      <c r="D654" s="313"/>
      <c r="E654" s="314"/>
      <c r="F654" s="314"/>
      <c r="G654" s="314"/>
      <c r="H654" s="318"/>
      <c r="I654" s="314"/>
      <c r="J654" s="314"/>
      <c r="K654" s="314"/>
      <c r="L654" s="314"/>
      <c r="M654" s="736"/>
      <c r="N654" s="318"/>
      <c r="O654" s="318"/>
      <c r="P654" s="314"/>
      <c r="Q654" s="314"/>
      <c r="R654" s="314"/>
      <c r="S654" s="314"/>
      <c r="T654" s="314"/>
      <c r="U654" s="314"/>
      <c r="V654" s="318"/>
      <c r="W654" s="315"/>
      <c r="X654" s="314"/>
      <c r="Y654" s="776"/>
      <c r="Z654" s="314"/>
      <c r="AA654" s="314"/>
      <c r="AB654" s="697"/>
      <c r="AC654" s="318"/>
      <c r="AD654" s="314"/>
      <c r="AE654" s="314"/>
      <c r="AF654" s="324"/>
      <c r="AG654" s="155"/>
      <c r="AH654" s="155"/>
      <c r="AI654" s="322"/>
      <c r="AJ654" s="132"/>
      <c r="AK654" s="132"/>
    </row>
    <row r="655">
      <c r="A655" s="314"/>
      <c r="B655" s="313"/>
      <c r="C655" s="313"/>
      <c r="D655" s="313"/>
      <c r="E655" s="314"/>
      <c r="F655" s="314"/>
      <c r="G655" s="314"/>
      <c r="H655" s="318"/>
      <c r="I655" s="314"/>
      <c r="J655" s="314"/>
      <c r="K655" s="314"/>
      <c r="L655" s="314"/>
      <c r="M655" s="736"/>
      <c r="N655" s="318"/>
      <c r="O655" s="318"/>
      <c r="P655" s="314"/>
      <c r="Q655" s="314"/>
      <c r="R655" s="314"/>
      <c r="S655" s="314"/>
      <c r="T655" s="314"/>
      <c r="U655" s="314"/>
      <c r="V655" s="318"/>
      <c r="W655" s="315"/>
      <c r="X655" s="314"/>
      <c r="Y655" s="776"/>
      <c r="Z655" s="314"/>
      <c r="AA655" s="314"/>
      <c r="AB655" s="697"/>
      <c r="AC655" s="318"/>
      <c r="AD655" s="314"/>
      <c r="AE655" s="314"/>
      <c r="AF655" s="324"/>
      <c r="AG655" s="155"/>
      <c r="AH655" s="155"/>
      <c r="AI655" s="322"/>
      <c r="AJ655" s="132"/>
      <c r="AK655" s="132"/>
    </row>
    <row r="656">
      <c r="A656" s="314"/>
      <c r="B656" s="313"/>
      <c r="C656" s="313"/>
      <c r="D656" s="313"/>
      <c r="E656" s="314"/>
      <c r="F656" s="314"/>
      <c r="G656" s="314"/>
      <c r="H656" s="318"/>
      <c r="I656" s="314"/>
      <c r="J656" s="314"/>
      <c r="K656" s="314"/>
      <c r="L656" s="314"/>
      <c r="M656" s="736"/>
      <c r="N656" s="318"/>
      <c r="O656" s="318"/>
      <c r="P656" s="314"/>
      <c r="Q656" s="314"/>
      <c r="R656" s="314"/>
      <c r="S656" s="314"/>
      <c r="T656" s="314"/>
      <c r="U656" s="314"/>
      <c r="V656" s="318"/>
      <c r="W656" s="315"/>
      <c r="X656" s="314"/>
      <c r="Y656" s="776"/>
      <c r="Z656" s="314"/>
      <c r="AA656" s="314"/>
      <c r="AB656" s="697"/>
      <c r="AC656" s="318"/>
      <c r="AD656" s="314"/>
      <c r="AE656" s="314"/>
      <c r="AF656" s="324"/>
      <c r="AG656" s="155"/>
      <c r="AH656" s="155"/>
      <c r="AI656" s="322"/>
      <c r="AJ656" s="132"/>
      <c r="AK656" s="132"/>
    </row>
    <row r="657">
      <c r="A657" s="314"/>
      <c r="B657" s="313"/>
      <c r="C657" s="313"/>
      <c r="D657" s="313"/>
      <c r="E657" s="314"/>
      <c r="F657" s="314"/>
      <c r="G657" s="314"/>
      <c r="H657" s="318"/>
      <c r="I657" s="314"/>
      <c r="J657" s="314"/>
      <c r="K657" s="314"/>
      <c r="L657" s="314"/>
      <c r="M657" s="736"/>
      <c r="N657" s="318"/>
      <c r="O657" s="318"/>
      <c r="P657" s="314"/>
      <c r="Q657" s="314"/>
      <c r="R657" s="314"/>
      <c r="S657" s="314"/>
      <c r="T657" s="314"/>
      <c r="U657" s="314"/>
      <c r="V657" s="318"/>
      <c r="W657" s="315"/>
      <c r="X657" s="314"/>
      <c r="Y657" s="776"/>
      <c r="Z657" s="314"/>
      <c r="AA657" s="314"/>
      <c r="AB657" s="697"/>
      <c r="AC657" s="318"/>
      <c r="AD657" s="314"/>
      <c r="AE657" s="314"/>
      <c r="AF657" s="324"/>
      <c r="AG657" s="155"/>
      <c r="AH657" s="155"/>
      <c r="AI657" s="322"/>
      <c r="AJ657" s="132"/>
      <c r="AK657" s="132"/>
    </row>
    <row r="658">
      <c r="A658" s="314"/>
      <c r="B658" s="313"/>
      <c r="C658" s="313"/>
      <c r="D658" s="313"/>
      <c r="E658" s="314"/>
      <c r="F658" s="314"/>
      <c r="G658" s="314"/>
      <c r="H658" s="318"/>
      <c r="I658" s="314"/>
      <c r="J658" s="314"/>
      <c r="K658" s="314"/>
      <c r="L658" s="314"/>
      <c r="M658" s="736"/>
      <c r="N658" s="318"/>
      <c r="O658" s="318"/>
      <c r="P658" s="314"/>
      <c r="Q658" s="314"/>
      <c r="R658" s="314"/>
      <c r="S658" s="314"/>
      <c r="T658" s="314"/>
      <c r="U658" s="314"/>
      <c r="V658" s="318"/>
      <c r="W658" s="315"/>
      <c r="X658" s="314"/>
      <c r="Y658" s="776"/>
      <c r="Z658" s="314"/>
      <c r="AA658" s="314"/>
      <c r="AB658" s="697"/>
      <c r="AC658" s="318"/>
      <c r="AD658" s="314"/>
      <c r="AE658" s="314"/>
      <c r="AF658" s="324"/>
      <c r="AG658" s="155"/>
      <c r="AH658" s="155"/>
      <c r="AI658" s="322"/>
      <c r="AJ658" s="132"/>
      <c r="AK658" s="132"/>
    </row>
    <row r="659">
      <c r="A659" s="314"/>
      <c r="B659" s="313"/>
      <c r="C659" s="313"/>
      <c r="D659" s="313"/>
      <c r="E659" s="314"/>
      <c r="F659" s="314"/>
      <c r="G659" s="314"/>
      <c r="H659" s="318"/>
      <c r="I659" s="314"/>
      <c r="J659" s="314"/>
      <c r="K659" s="314"/>
      <c r="L659" s="314"/>
      <c r="M659" s="736"/>
      <c r="N659" s="318"/>
      <c r="O659" s="318"/>
      <c r="P659" s="314"/>
      <c r="Q659" s="314"/>
      <c r="R659" s="314"/>
      <c r="S659" s="314"/>
      <c r="T659" s="314"/>
      <c r="U659" s="314"/>
      <c r="V659" s="318"/>
      <c r="W659" s="315"/>
      <c r="X659" s="314"/>
      <c r="Y659" s="776"/>
      <c r="Z659" s="314"/>
      <c r="AA659" s="314"/>
      <c r="AB659" s="697"/>
      <c r="AC659" s="318"/>
      <c r="AD659" s="314"/>
      <c r="AE659" s="314"/>
      <c r="AF659" s="324"/>
      <c r="AG659" s="155"/>
      <c r="AH659" s="155"/>
      <c r="AI659" s="322"/>
      <c r="AJ659" s="132"/>
      <c r="AK659" s="132"/>
    </row>
    <row r="660">
      <c r="A660" s="314"/>
      <c r="B660" s="313"/>
      <c r="C660" s="313"/>
      <c r="D660" s="313"/>
      <c r="E660" s="314"/>
      <c r="F660" s="314"/>
      <c r="G660" s="314"/>
      <c r="H660" s="318"/>
      <c r="I660" s="314"/>
      <c r="J660" s="314"/>
      <c r="K660" s="314"/>
      <c r="L660" s="314"/>
      <c r="M660" s="736"/>
      <c r="N660" s="318"/>
      <c r="O660" s="318"/>
      <c r="P660" s="314"/>
      <c r="Q660" s="314"/>
      <c r="R660" s="314"/>
      <c r="S660" s="314"/>
      <c r="T660" s="314"/>
      <c r="U660" s="314"/>
      <c r="V660" s="318"/>
      <c r="W660" s="315"/>
      <c r="X660" s="314"/>
      <c r="Y660" s="776"/>
      <c r="Z660" s="314"/>
      <c r="AA660" s="314"/>
      <c r="AB660" s="697"/>
      <c r="AC660" s="318"/>
      <c r="AD660" s="314"/>
      <c r="AE660" s="314"/>
      <c r="AF660" s="324"/>
      <c r="AG660" s="155"/>
      <c r="AH660" s="155"/>
      <c r="AI660" s="322"/>
      <c r="AJ660" s="132"/>
      <c r="AK660" s="132"/>
    </row>
    <row r="661">
      <c r="A661" s="314"/>
      <c r="B661" s="313"/>
      <c r="C661" s="313"/>
      <c r="D661" s="313"/>
      <c r="E661" s="314"/>
      <c r="F661" s="314"/>
      <c r="G661" s="314"/>
      <c r="H661" s="318"/>
      <c r="I661" s="314"/>
      <c r="J661" s="314"/>
      <c r="K661" s="314"/>
      <c r="L661" s="314"/>
      <c r="M661" s="736"/>
      <c r="N661" s="318"/>
      <c r="O661" s="318"/>
      <c r="P661" s="314"/>
      <c r="Q661" s="314"/>
      <c r="R661" s="314"/>
      <c r="S661" s="314"/>
      <c r="T661" s="314"/>
      <c r="U661" s="314"/>
      <c r="V661" s="318"/>
      <c r="W661" s="315"/>
      <c r="X661" s="314"/>
      <c r="Y661" s="776"/>
      <c r="Z661" s="314"/>
      <c r="AA661" s="314"/>
      <c r="AB661" s="697"/>
      <c r="AC661" s="318"/>
      <c r="AD661" s="314"/>
      <c r="AE661" s="314"/>
      <c r="AF661" s="324"/>
      <c r="AG661" s="155"/>
      <c r="AH661" s="155"/>
      <c r="AI661" s="322"/>
      <c r="AJ661" s="132"/>
      <c r="AK661" s="132"/>
    </row>
    <row r="662">
      <c r="A662" s="314"/>
      <c r="B662" s="313"/>
      <c r="C662" s="313"/>
      <c r="D662" s="313"/>
      <c r="E662" s="314"/>
      <c r="F662" s="314"/>
      <c r="G662" s="314"/>
      <c r="H662" s="318"/>
      <c r="I662" s="314"/>
      <c r="J662" s="314"/>
      <c r="K662" s="314"/>
      <c r="L662" s="314"/>
      <c r="M662" s="736"/>
      <c r="N662" s="318"/>
      <c r="O662" s="318"/>
      <c r="P662" s="314"/>
      <c r="Q662" s="314"/>
      <c r="R662" s="314"/>
      <c r="S662" s="314"/>
      <c r="T662" s="314"/>
      <c r="U662" s="314"/>
      <c r="V662" s="318"/>
      <c r="W662" s="315"/>
      <c r="X662" s="314"/>
      <c r="Y662" s="776"/>
      <c r="Z662" s="314"/>
      <c r="AA662" s="314"/>
      <c r="AB662" s="697"/>
      <c r="AC662" s="318"/>
      <c r="AD662" s="314"/>
      <c r="AE662" s="314"/>
      <c r="AF662" s="324"/>
      <c r="AG662" s="155"/>
      <c r="AH662" s="155"/>
      <c r="AI662" s="322"/>
      <c r="AJ662" s="132"/>
      <c r="AK662" s="132"/>
    </row>
    <row r="663">
      <c r="A663" s="314"/>
      <c r="B663" s="313"/>
      <c r="C663" s="313"/>
      <c r="D663" s="313"/>
      <c r="E663" s="314"/>
      <c r="F663" s="314"/>
      <c r="G663" s="314"/>
      <c r="H663" s="318"/>
      <c r="I663" s="314"/>
      <c r="J663" s="314"/>
      <c r="K663" s="314"/>
      <c r="L663" s="314"/>
      <c r="M663" s="736"/>
      <c r="N663" s="318"/>
      <c r="O663" s="318"/>
      <c r="P663" s="314"/>
      <c r="Q663" s="314"/>
      <c r="R663" s="314"/>
      <c r="S663" s="314"/>
      <c r="T663" s="314"/>
      <c r="U663" s="314"/>
      <c r="V663" s="318"/>
      <c r="W663" s="315"/>
      <c r="X663" s="314"/>
      <c r="Y663" s="776"/>
      <c r="Z663" s="314"/>
      <c r="AA663" s="314"/>
      <c r="AB663" s="697"/>
      <c r="AC663" s="318"/>
      <c r="AD663" s="314"/>
      <c r="AE663" s="314"/>
      <c r="AF663" s="324"/>
      <c r="AG663" s="155"/>
      <c r="AH663" s="155"/>
      <c r="AI663" s="322"/>
      <c r="AJ663" s="132"/>
      <c r="AK663" s="132"/>
    </row>
    <row r="664">
      <c r="A664" s="314"/>
      <c r="B664" s="313"/>
      <c r="C664" s="313"/>
      <c r="D664" s="313"/>
      <c r="E664" s="314"/>
      <c r="F664" s="314"/>
      <c r="G664" s="314"/>
      <c r="H664" s="318"/>
      <c r="I664" s="314"/>
      <c r="J664" s="314"/>
      <c r="K664" s="314"/>
      <c r="L664" s="314"/>
      <c r="M664" s="736"/>
      <c r="N664" s="318"/>
      <c r="O664" s="318"/>
      <c r="P664" s="314"/>
      <c r="Q664" s="314"/>
      <c r="R664" s="314"/>
      <c r="S664" s="314"/>
      <c r="T664" s="314"/>
      <c r="U664" s="314"/>
      <c r="V664" s="318"/>
      <c r="W664" s="315"/>
      <c r="X664" s="314"/>
      <c r="Y664" s="776"/>
      <c r="Z664" s="314"/>
      <c r="AA664" s="314"/>
      <c r="AB664" s="697"/>
      <c r="AC664" s="318"/>
      <c r="AD664" s="314"/>
      <c r="AE664" s="314"/>
      <c r="AF664" s="324"/>
      <c r="AG664" s="155"/>
      <c r="AH664" s="155"/>
      <c r="AI664" s="322"/>
      <c r="AJ664" s="132"/>
      <c r="AK664" s="132"/>
    </row>
    <row r="665">
      <c r="A665" s="314"/>
      <c r="B665" s="313"/>
      <c r="C665" s="313"/>
      <c r="D665" s="313"/>
      <c r="E665" s="314"/>
      <c r="F665" s="314"/>
      <c r="G665" s="314"/>
      <c r="H665" s="318"/>
      <c r="I665" s="314"/>
      <c r="J665" s="314"/>
      <c r="K665" s="314"/>
      <c r="L665" s="314"/>
      <c r="M665" s="736"/>
      <c r="N665" s="318"/>
      <c r="O665" s="318"/>
      <c r="P665" s="314"/>
      <c r="Q665" s="314"/>
      <c r="R665" s="314"/>
      <c r="S665" s="314"/>
      <c r="T665" s="314"/>
      <c r="U665" s="314"/>
      <c r="V665" s="318"/>
      <c r="W665" s="315"/>
      <c r="X665" s="314"/>
      <c r="Y665" s="776"/>
      <c r="Z665" s="314"/>
      <c r="AA665" s="314"/>
      <c r="AB665" s="697"/>
      <c r="AC665" s="318"/>
      <c r="AD665" s="314"/>
      <c r="AE665" s="314"/>
      <c r="AF665" s="324"/>
      <c r="AG665" s="155"/>
      <c r="AH665" s="155"/>
      <c r="AI665" s="322"/>
      <c r="AJ665" s="132"/>
      <c r="AK665" s="132"/>
    </row>
    <row r="666">
      <c r="A666" s="314"/>
      <c r="B666" s="313"/>
      <c r="C666" s="313"/>
      <c r="D666" s="313"/>
      <c r="E666" s="314"/>
      <c r="F666" s="314"/>
      <c r="G666" s="314"/>
      <c r="H666" s="318"/>
      <c r="I666" s="314"/>
      <c r="J666" s="314"/>
      <c r="K666" s="314"/>
      <c r="L666" s="314"/>
      <c r="M666" s="736"/>
      <c r="N666" s="318"/>
      <c r="O666" s="318"/>
      <c r="P666" s="314"/>
      <c r="Q666" s="314"/>
      <c r="R666" s="314"/>
      <c r="S666" s="314"/>
      <c r="T666" s="314"/>
      <c r="U666" s="314"/>
      <c r="V666" s="318"/>
      <c r="W666" s="315"/>
      <c r="X666" s="314"/>
      <c r="Y666" s="776"/>
      <c r="Z666" s="314"/>
      <c r="AA666" s="314"/>
      <c r="AB666" s="697"/>
      <c r="AC666" s="318"/>
      <c r="AD666" s="314"/>
      <c r="AE666" s="314"/>
      <c r="AF666" s="324"/>
      <c r="AG666" s="155"/>
      <c r="AH666" s="155"/>
      <c r="AI666" s="322"/>
      <c r="AJ666" s="132"/>
      <c r="AK666" s="132"/>
    </row>
    <row r="667">
      <c r="A667" s="314"/>
      <c r="B667" s="313"/>
      <c r="C667" s="313"/>
      <c r="D667" s="313"/>
      <c r="E667" s="314"/>
      <c r="F667" s="314"/>
      <c r="G667" s="314"/>
      <c r="H667" s="318"/>
      <c r="I667" s="314"/>
      <c r="J667" s="314"/>
      <c r="K667" s="314"/>
      <c r="L667" s="314"/>
      <c r="M667" s="736"/>
      <c r="N667" s="318"/>
      <c r="O667" s="318"/>
      <c r="P667" s="314"/>
      <c r="Q667" s="314"/>
      <c r="R667" s="314"/>
      <c r="S667" s="314"/>
      <c r="T667" s="314"/>
      <c r="U667" s="314"/>
      <c r="V667" s="318"/>
      <c r="W667" s="315"/>
      <c r="X667" s="314"/>
      <c r="Y667" s="776"/>
      <c r="Z667" s="314"/>
      <c r="AA667" s="314"/>
      <c r="AB667" s="697"/>
      <c r="AC667" s="318"/>
      <c r="AD667" s="314"/>
      <c r="AE667" s="314"/>
      <c r="AF667" s="324"/>
      <c r="AG667" s="155"/>
      <c r="AH667" s="155"/>
      <c r="AI667" s="322"/>
      <c r="AJ667" s="132"/>
      <c r="AK667" s="132"/>
    </row>
    <row r="668">
      <c r="A668" s="314"/>
      <c r="B668" s="313"/>
      <c r="C668" s="313"/>
      <c r="D668" s="313"/>
      <c r="E668" s="314"/>
      <c r="F668" s="314"/>
      <c r="G668" s="314"/>
      <c r="H668" s="318"/>
      <c r="I668" s="314"/>
      <c r="J668" s="314"/>
      <c r="K668" s="314"/>
      <c r="L668" s="314"/>
      <c r="M668" s="736"/>
      <c r="N668" s="318"/>
      <c r="O668" s="318"/>
      <c r="P668" s="314"/>
      <c r="Q668" s="314"/>
      <c r="R668" s="314"/>
      <c r="S668" s="314"/>
      <c r="T668" s="314"/>
      <c r="U668" s="314"/>
      <c r="V668" s="318"/>
      <c r="W668" s="315"/>
      <c r="X668" s="314"/>
      <c r="Y668" s="776"/>
      <c r="Z668" s="314"/>
      <c r="AA668" s="314"/>
      <c r="AB668" s="697"/>
      <c r="AC668" s="318"/>
      <c r="AD668" s="314"/>
      <c r="AE668" s="314"/>
      <c r="AF668" s="324"/>
      <c r="AG668" s="155"/>
      <c r="AH668" s="155"/>
      <c r="AI668" s="322"/>
      <c r="AJ668" s="132"/>
      <c r="AK668" s="132"/>
    </row>
    <row r="669">
      <c r="A669" s="314"/>
      <c r="B669" s="313"/>
      <c r="C669" s="313"/>
      <c r="D669" s="313"/>
      <c r="E669" s="314"/>
      <c r="F669" s="314"/>
      <c r="G669" s="314"/>
      <c r="H669" s="318"/>
      <c r="I669" s="314"/>
      <c r="J669" s="314"/>
      <c r="K669" s="314"/>
      <c r="L669" s="314"/>
      <c r="M669" s="736"/>
      <c r="N669" s="318"/>
      <c r="O669" s="318"/>
      <c r="P669" s="314"/>
      <c r="Q669" s="314"/>
      <c r="R669" s="314"/>
      <c r="S669" s="314"/>
      <c r="T669" s="314"/>
      <c r="U669" s="314"/>
      <c r="V669" s="318"/>
      <c r="W669" s="315"/>
      <c r="X669" s="314"/>
      <c r="Y669" s="776"/>
      <c r="Z669" s="314"/>
      <c r="AA669" s="314"/>
      <c r="AB669" s="697"/>
      <c r="AC669" s="318"/>
      <c r="AD669" s="314"/>
      <c r="AE669" s="314"/>
      <c r="AF669" s="324"/>
      <c r="AG669" s="155"/>
      <c r="AH669" s="155"/>
      <c r="AI669" s="322"/>
      <c r="AJ669" s="132"/>
      <c r="AK669" s="132"/>
    </row>
    <row r="670">
      <c r="A670" s="314"/>
      <c r="B670" s="313"/>
      <c r="C670" s="313"/>
      <c r="D670" s="313"/>
      <c r="E670" s="314"/>
      <c r="F670" s="314"/>
      <c r="G670" s="314"/>
      <c r="H670" s="318"/>
      <c r="I670" s="314"/>
      <c r="J670" s="314"/>
      <c r="K670" s="314"/>
      <c r="L670" s="314"/>
      <c r="M670" s="736"/>
      <c r="N670" s="318"/>
      <c r="O670" s="318"/>
      <c r="P670" s="314"/>
      <c r="Q670" s="314"/>
      <c r="R670" s="314"/>
      <c r="S670" s="314"/>
      <c r="T670" s="314"/>
      <c r="U670" s="314"/>
      <c r="V670" s="318"/>
      <c r="W670" s="315"/>
      <c r="X670" s="314"/>
      <c r="Y670" s="776"/>
      <c r="Z670" s="314"/>
      <c r="AA670" s="314"/>
      <c r="AB670" s="697"/>
      <c r="AC670" s="318"/>
      <c r="AD670" s="314"/>
      <c r="AE670" s="314"/>
      <c r="AF670" s="324"/>
      <c r="AG670" s="155"/>
      <c r="AH670" s="155"/>
      <c r="AI670" s="322"/>
      <c r="AJ670" s="132"/>
      <c r="AK670" s="132"/>
    </row>
    <row r="671">
      <c r="A671" s="314"/>
      <c r="B671" s="313"/>
      <c r="C671" s="313"/>
      <c r="D671" s="313"/>
      <c r="E671" s="314"/>
      <c r="F671" s="314"/>
      <c r="G671" s="314"/>
      <c r="H671" s="318"/>
      <c r="I671" s="314"/>
      <c r="J671" s="314"/>
      <c r="K671" s="314"/>
      <c r="L671" s="314"/>
      <c r="M671" s="736"/>
      <c r="N671" s="318"/>
      <c r="O671" s="318"/>
      <c r="P671" s="314"/>
      <c r="Q671" s="314"/>
      <c r="R671" s="314"/>
      <c r="S671" s="314"/>
      <c r="T671" s="314"/>
      <c r="U671" s="314"/>
      <c r="V671" s="318"/>
      <c r="W671" s="315"/>
      <c r="X671" s="314"/>
      <c r="Y671" s="776"/>
      <c r="Z671" s="314"/>
      <c r="AA671" s="314"/>
      <c r="AB671" s="697"/>
      <c r="AC671" s="318"/>
      <c r="AD671" s="314"/>
      <c r="AE671" s="314"/>
      <c r="AF671" s="324"/>
      <c r="AG671" s="155"/>
      <c r="AH671" s="155"/>
      <c r="AI671" s="322"/>
      <c r="AJ671" s="132"/>
      <c r="AK671" s="132"/>
    </row>
    <row r="672">
      <c r="A672" s="314"/>
      <c r="B672" s="313"/>
      <c r="C672" s="313"/>
      <c r="D672" s="313"/>
      <c r="E672" s="314"/>
      <c r="F672" s="314"/>
      <c r="G672" s="314"/>
      <c r="H672" s="318"/>
      <c r="I672" s="314"/>
      <c r="J672" s="314"/>
      <c r="K672" s="314"/>
      <c r="L672" s="314"/>
      <c r="M672" s="736"/>
      <c r="N672" s="318"/>
      <c r="O672" s="318"/>
      <c r="P672" s="314"/>
      <c r="Q672" s="314"/>
      <c r="R672" s="314"/>
      <c r="S672" s="314"/>
      <c r="T672" s="314"/>
      <c r="U672" s="314"/>
      <c r="V672" s="318"/>
      <c r="W672" s="315"/>
      <c r="X672" s="314"/>
      <c r="Y672" s="776"/>
      <c r="Z672" s="314"/>
      <c r="AA672" s="314"/>
      <c r="AB672" s="697"/>
      <c r="AC672" s="318"/>
      <c r="AD672" s="314"/>
      <c r="AE672" s="314"/>
      <c r="AF672" s="324"/>
      <c r="AG672" s="155"/>
      <c r="AH672" s="155"/>
      <c r="AI672" s="322"/>
      <c r="AJ672" s="132"/>
      <c r="AK672" s="132"/>
    </row>
    <row r="673">
      <c r="A673" s="314"/>
      <c r="B673" s="313"/>
      <c r="C673" s="313"/>
      <c r="D673" s="313"/>
      <c r="E673" s="314"/>
      <c r="F673" s="314"/>
      <c r="G673" s="314"/>
      <c r="H673" s="318"/>
      <c r="I673" s="314"/>
      <c r="J673" s="314"/>
      <c r="K673" s="314"/>
      <c r="L673" s="314"/>
      <c r="M673" s="736"/>
      <c r="N673" s="318"/>
      <c r="O673" s="318"/>
      <c r="P673" s="314"/>
      <c r="Q673" s="314"/>
      <c r="R673" s="314"/>
      <c r="S673" s="314"/>
      <c r="T673" s="314"/>
      <c r="U673" s="314"/>
      <c r="V673" s="318"/>
      <c r="W673" s="315"/>
      <c r="X673" s="314"/>
      <c r="Y673" s="776"/>
      <c r="Z673" s="314"/>
      <c r="AA673" s="314"/>
      <c r="AB673" s="697"/>
      <c r="AC673" s="318"/>
      <c r="AD673" s="314"/>
      <c r="AE673" s="314"/>
      <c r="AF673" s="324"/>
      <c r="AG673" s="155"/>
      <c r="AH673" s="155"/>
      <c r="AI673" s="322"/>
      <c r="AJ673" s="132"/>
      <c r="AK673" s="132"/>
    </row>
    <row r="674">
      <c r="A674" s="314"/>
      <c r="B674" s="313"/>
      <c r="C674" s="313"/>
      <c r="D674" s="313"/>
      <c r="E674" s="314"/>
      <c r="F674" s="314"/>
      <c r="G674" s="314"/>
      <c r="H674" s="318"/>
      <c r="I674" s="314"/>
      <c r="J674" s="314"/>
      <c r="K674" s="314"/>
      <c r="L674" s="314"/>
      <c r="M674" s="736"/>
      <c r="N674" s="318"/>
      <c r="O674" s="318"/>
      <c r="P674" s="314"/>
      <c r="Q674" s="314"/>
      <c r="R674" s="314"/>
      <c r="S674" s="314"/>
      <c r="T674" s="314"/>
      <c r="U674" s="314"/>
      <c r="V674" s="318"/>
      <c r="W674" s="315"/>
      <c r="X674" s="314"/>
      <c r="Y674" s="776"/>
      <c r="Z674" s="314"/>
      <c r="AA674" s="314"/>
      <c r="AB674" s="697"/>
      <c r="AC674" s="318"/>
      <c r="AD674" s="314"/>
      <c r="AE674" s="314"/>
      <c r="AF674" s="324"/>
      <c r="AG674" s="155"/>
      <c r="AH674" s="155"/>
      <c r="AI674" s="322"/>
      <c r="AJ674" s="132"/>
      <c r="AK674" s="132"/>
    </row>
    <row r="675">
      <c r="A675" s="314"/>
      <c r="B675" s="313"/>
      <c r="C675" s="313"/>
      <c r="D675" s="313"/>
      <c r="E675" s="314"/>
      <c r="F675" s="314"/>
      <c r="G675" s="314"/>
      <c r="H675" s="318"/>
      <c r="I675" s="314"/>
      <c r="J675" s="314"/>
      <c r="K675" s="314"/>
      <c r="L675" s="314"/>
      <c r="M675" s="736"/>
      <c r="N675" s="318"/>
      <c r="O675" s="318"/>
      <c r="P675" s="314"/>
      <c r="Q675" s="314"/>
      <c r="R675" s="314"/>
      <c r="S675" s="314"/>
      <c r="T675" s="314"/>
      <c r="U675" s="314"/>
      <c r="V675" s="318"/>
      <c r="W675" s="315"/>
      <c r="X675" s="314"/>
      <c r="Y675" s="776"/>
      <c r="Z675" s="314"/>
      <c r="AA675" s="314"/>
      <c r="AB675" s="697"/>
      <c r="AC675" s="318"/>
      <c r="AD675" s="314"/>
      <c r="AE675" s="314"/>
      <c r="AF675" s="324"/>
      <c r="AG675" s="155"/>
      <c r="AH675" s="155"/>
      <c r="AI675" s="322"/>
      <c r="AJ675" s="132"/>
      <c r="AK675" s="132"/>
    </row>
    <row r="676">
      <c r="A676" s="314"/>
      <c r="B676" s="313"/>
      <c r="C676" s="313"/>
      <c r="D676" s="313"/>
      <c r="E676" s="314"/>
      <c r="F676" s="314"/>
      <c r="G676" s="314"/>
      <c r="H676" s="318"/>
      <c r="I676" s="314"/>
      <c r="J676" s="314"/>
      <c r="K676" s="314"/>
      <c r="L676" s="314"/>
      <c r="M676" s="736"/>
      <c r="N676" s="318"/>
      <c r="O676" s="318"/>
      <c r="P676" s="314"/>
      <c r="Q676" s="314"/>
      <c r="R676" s="314"/>
      <c r="S676" s="314"/>
      <c r="T676" s="314"/>
      <c r="U676" s="314"/>
      <c r="V676" s="318"/>
      <c r="W676" s="315"/>
      <c r="X676" s="314"/>
      <c r="Y676" s="776"/>
      <c r="Z676" s="314"/>
      <c r="AA676" s="314"/>
      <c r="AB676" s="697"/>
      <c r="AC676" s="318"/>
      <c r="AD676" s="314"/>
      <c r="AE676" s="314"/>
      <c r="AF676" s="324"/>
      <c r="AG676" s="155"/>
      <c r="AH676" s="155"/>
      <c r="AI676" s="322"/>
      <c r="AJ676" s="132"/>
      <c r="AK676" s="132"/>
    </row>
    <row r="677">
      <c r="A677" s="314"/>
      <c r="B677" s="313"/>
      <c r="C677" s="313"/>
      <c r="D677" s="313"/>
      <c r="E677" s="314"/>
      <c r="F677" s="314"/>
      <c r="G677" s="314"/>
      <c r="H677" s="318"/>
      <c r="I677" s="314"/>
      <c r="J677" s="314"/>
      <c r="K677" s="314"/>
      <c r="L677" s="314"/>
      <c r="M677" s="736"/>
      <c r="N677" s="318"/>
      <c r="O677" s="318"/>
      <c r="P677" s="314"/>
      <c r="Q677" s="314"/>
      <c r="R677" s="314"/>
      <c r="S677" s="314"/>
      <c r="T677" s="314"/>
      <c r="U677" s="314"/>
      <c r="V677" s="318"/>
      <c r="W677" s="315"/>
      <c r="X677" s="314"/>
      <c r="Y677" s="776"/>
      <c r="Z677" s="314"/>
      <c r="AA677" s="314"/>
      <c r="AB677" s="697"/>
      <c r="AC677" s="318"/>
      <c r="AD677" s="314"/>
      <c r="AE677" s="314"/>
      <c r="AF677" s="324"/>
      <c r="AG677" s="155"/>
      <c r="AH677" s="155"/>
      <c r="AI677" s="322"/>
      <c r="AJ677" s="132"/>
      <c r="AK677" s="132"/>
    </row>
    <row r="678">
      <c r="A678" s="314"/>
      <c r="B678" s="313"/>
      <c r="C678" s="313"/>
      <c r="D678" s="313"/>
      <c r="E678" s="314"/>
      <c r="F678" s="314"/>
      <c r="G678" s="314"/>
      <c r="H678" s="318"/>
      <c r="I678" s="314"/>
      <c r="J678" s="314"/>
      <c r="K678" s="314"/>
      <c r="L678" s="314"/>
      <c r="M678" s="736"/>
      <c r="N678" s="318"/>
      <c r="O678" s="318"/>
      <c r="P678" s="314"/>
      <c r="Q678" s="314"/>
      <c r="R678" s="314"/>
      <c r="S678" s="314"/>
      <c r="T678" s="314"/>
      <c r="U678" s="314"/>
      <c r="V678" s="318"/>
      <c r="W678" s="315"/>
      <c r="X678" s="314"/>
      <c r="Y678" s="776"/>
      <c r="Z678" s="314"/>
      <c r="AA678" s="314"/>
      <c r="AB678" s="697"/>
      <c r="AC678" s="318"/>
      <c r="AD678" s="314"/>
      <c r="AE678" s="314"/>
      <c r="AF678" s="324"/>
      <c r="AG678" s="155"/>
      <c r="AH678" s="155"/>
      <c r="AI678" s="322"/>
      <c r="AJ678" s="132"/>
      <c r="AK678" s="132"/>
    </row>
    <row r="679">
      <c r="A679" s="314"/>
      <c r="B679" s="313"/>
      <c r="C679" s="313"/>
      <c r="D679" s="313"/>
      <c r="E679" s="314"/>
      <c r="F679" s="314"/>
      <c r="G679" s="314"/>
      <c r="H679" s="318"/>
      <c r="I679" s="314"/>
      <c r="J679" s="314"/>
      <c r="K679" s="314"/>
      <c r="L679" s="314"/>
      <c r="M679" s="736"/>
      <c r="N679" s="318"/>
      <c r="O679" s="318"/>
      <c r="P679" s="314"/>
      <c r="Q679" s="314"/>
      <c r="R679" s="314"/>
      <c r="S679" s="314"/>
      <c r="T679" s="314"/>
      <c r="U679" s="314"/>
      <c r="V679" s="318"/>
      <c r="W679" s="315"/>
      <c r="X679" s="314"/>
      <c r="Y679" s="776"/>
      <c r="Z679" s="314"/>
      <c r="AA679" s="314"/>
      <c r="AB679" s="697"/>
      <c r="AC679" s="318"/>
      <c r="AD679" s="314"/>
      <c r="AE679" s="314"/>
      <c r="AF679" s="324"/>
      <c r="AG679" s="155"/>
      <c r="AH679" s="155"/>
      <c r="AI679" s="322"/>
      <c r="AJ679" s="132"/>
      <c r="AK679" s="132"/>
    </row>
    <row r="680">
      <c r="A680" s="435"/>
      <c r="B680" s="313"/>
      <c r="C680" s="437"/>
      <c r="D680" s="313"/>
      <c r="E680" s="435"/>
      <c r="F680" s="314"/>
      <c r="G680" s="314"/>
      <c r="H680" s="740"/>
      <c r="I680" s="435"/>
      <c r="J680" s="314"/>
      <c r="K680" s="435"/>
      <c r="L680" s="435"/>
      <c r="M680" s="736"/>
      <c r="N680" s="318"/>
      <c r="O680" s="318"/>
      <c r="P680" s="435"/>
      <c r="Q680" s="435"/>
      <c r="R680" s="435"/>
      <c r="S680" s="435"/>
      <c r="T680" s="435"/>
      <c r="U680" s="435"/>
      <c r="V680" s="740"/>
      <c r="W680" s="744"/>
      <c r="X680" s="435"/>
      <c r="Y680" s="781"/>
      <c r="Z680" s="435"/>
      <c r="AA680" s="435"/>
      <c r="AB680" s="743"/>
      <c r="AC680" s="740"/>
      <c r="AD680" s="435"/>
      <c r="AE680" s="435"/>
      <c r="AF680" s="324"/>
      <c r="AG680" s="180"/>
      <c r="AH680" s="155"/>
      <c r="AI680" s="322"/>
      <c r="AJ680" s="132"/>
      <c r="AK680" s="132"/>
    </row>
    <row r="681">
      <c r="A681" s="435"/>
      <c r="B681" s="313"/>
      <c r="C681" s="313"/>
      <c r="D681" s="437"/>
      <c r="E681" s="314"/>
      <c r="F681" s="314"/>
      <c r="G681" s="314"/>
      <c r="H681" s="318"/>
      <c r="I681" s="314"/>
      <c r="J681" s="314"/>
      <c r="K681" s="314"/>
      <c r="L681" s="314"/>
      <c r="M681" s="839"/>
      <c r="N681" s="740"/>
      <c r="O681" s="318"/>
      <c r="P681" s="314"/>
      <c r="Q681" s="314"/>
      <c r="R681" s="314"/>
      <c r="S681" s="314"/>
      <c r="T681" s="314"/>
      <c r="U681" s="314"/>
      <c r="V681" s="318"/>
      <c r="W681" s="315"/>
      <c r="X681" s="314"/>
      <c r="Y681" s="776"/>
      <c r="Z681" s="314"/>
      <c r="AA681" s="314"/>
      <c r="AB681" s="697"/>
      <c r="AC681" s="318"/>
      <c r="AD681" s="314"/>
      <c r="AE681" s="314"/>
      <c r="AF681" s="324"/>
      <c r="AG681" s="180"/>
      <c r="AH681" s="155"/>
      <c r="AI681" s="322"/>
      <c r="AJ681" s="132"/>
      <c r="AK681" s="132"/>
    </row>
    <row r="682">
      <c r="A682" s="435"/>
      <c r="B682" s="437"/>
      <c r="C682" s="437"/>
      <c r="D682" s="437"/>
      <c r="E682" s="435"/>
      <c r="F682" s="314"/>
      <c r="G682" s="314"/>
      <c r="H682" s="318"/>
      <c r="I682" s="435"/>
      <c r="J682" s="435"/>
      <c r="K682" s="435"/>
      <c r="L682" s="435"/>
      <c r="M682" s="839"/>
      <c r="N682" s="740"/>
      <c r="O682" s="318"/>
      <c r="P682" s="435"/>
      <c r="Q682" s="314"/>
      <c r="R682" s="435"/>
      <c r="S682" s="435"/>
      <c r="T682" s="435"/>
      <c r="U682" s="435"/>
      <c r="V682" s="740"/>
      <c r="W682" s="744"/>
      <c r="X682" s="435"/>
      <c r="Y682" s="781"/>
      <c r="Z682" s="435"/>
      <c r="AA682" s="435"/>
      <c r="AB682" s="743"/>
      <c r="AC682" s="740"/>
      <c r="AD682" s="435"/>
      <c r="AE682" s="435"/>
      <c r="AF682" s="324"/>
      <c r="AG682" s="180"/>
      <c r="AH682" s="155"/>
      <c r="AI682" s="322"/>
      <c r="AJ682" s="132"/>
      <c r="AK682" s="132"/>
    </row>
    <row r="683">
      <c r="A683" s="435"/>
      <c r="B683" s="313"/>
      <c r="C683" s="313"/>
      <c r="D683" s="437"/>
      <c r="E683" s="314"/>
      <c r="F683" s="314"/>
      <c r="G683" s="314"/>
      <c r="H683" s="318"/>
      <c r="I683" s="435"/>
      <c r="J683" s="314"/>
      <c r="K683" s="435"/>
      <c r="L683" s="314"/>
      <c r="M683" s="736"/>
      <c r="N683" s="318"/>
      <c r="O683" s="318"/>
      <c r="P683" s="314"/>
      <c r="Q683" s="435"/>
      <c r="R683" s="435"/>
      <c r="S683" s="314"/>
      <c r="T683" s="314"/>
      <c r="U683" s="314"/>
      <c r="V683" s="318"/>
      <c r="W683" s="315"/>
      <c r="X683" s="314"/>
      <c r="Y683" s="776"/>
      <c r="Z683" s="314"/>
      <c r="AA683" s="314"/>
      <c r="AB683" s="697"/>
      <c r="AC683" s="318"/>
      <c r="AD683" s="314"/>
      <c r="AE683" s="314"/>
      <c r="AF683" s="324"/>
      <c r="AG683" s="180"/>
      <c r="AH683" s="155"/>
      <c r="AI683" s="322"/>
      <c r="AJ683" s="132"/>
      <c r="AK683" s="132"/>
    </row>
    <row r="684">
      <c r="A684" s="435"/>
      <c r="B684" s="437"/>
      <c r="C684" s="437"/>
      <c r="D684" s="437"/>
      <c r="E684" s="435"/>
      <c r="F684" s="314"/>
      <c r="G684" s="314"/>
      <c r="H684" s="740"/>
      <c r="I684" s="435"/>
      <c r="J684" s="435"/>
      <c r="K684" s="435"/>
      <c r="L684" s="435"/>
      <c r="M684" s="839"/>
      <c r="N684" s="740"/>
      <c r="O684" s="318"/>
      <c r="P684" s="435"/>
      <c r="Q684" s="435"/>
      <c r="R684" s="435"/>
      <c r="S684" s="435"/>
      <c r="T684" s="435"/>
      <c r="U684" s="435"/>
      <c r="V684" s="740"/>
      <c r="W684" s="744"/>
      <c r="X684" s="435"/>
      <c r="Y684" s="781"/>
      <c r="Z684" s="435"/>
      <c r="AA684" s="435"/>
      <c r="AB684" s="743"/>
      <c r="AC684" s="740"/>
      <c r="AD684" s="435"/>
      <c r="AE684" s="435"/>
      <c r="AF684" s="324"/>
      <c r="AG684" s="180"/>
      <c r="AH684" s="155"/>
      <c r="AI684" s="322"/>
      <c r="AJ684" s="132"/>
      <c r="AK684" s="132"/>
    </row>
    <row r="685">
      <c r="A685" s="435"/>
      <c r="B685" s="437"/>
      <c r="C685" s="313"/>
      <c r="D685" s="437"/>
      <c r="E685" s="314"/>
      <c r="F685" s="314"/>
      <c r="G685" s="314"/>
      <c r="H685" s="318"/>
      <c r="I685" s="314"/>
      <c r="J685" s="314"/>
      <c r="K685" s="435"/>
      <c r="L685" s="314"/>
      <c r="M685" s="736"/>
      <c r="N685" s="318"/>
      <c r="O685" s="318"/>
      <c r="P685" s="314"/>
      <c r="Q685" s="314"/>
      <c r="R685" s="314"/>
      <c r="S685" s="435"/>
      <c r="T685" s="435"/>
      <c r="U685" s="435"/>
      <c r="V685" s="740"/>
      <c r="W685" s="744"/>
      <c r="X685" s="435"/>
      <c r="Y685" s="781"/>
      <c r="Z685" s="435"/>
      <c r="AA685" s="435"/>
      <c r="AB685" s="743"/>
      <c r="AC685" s="740"/>
      <c r="AD685" s="435"/>
      <c r="AE685" s="435"/>
      <c r="AF685" s="324"/>
      <c r="AG685" s="180"/>
      <c r="AH685" s="155"/>
      <c r="AI685" s="322"/>
      <c r="AJ685" s="132"/>
      <c r="AK685" s="132"/>
    </row>
    <row r="686">
      <c r="A686" s="435"/>
      <c r="B686" s="437"/>
      <c r="C686" s="437"/>
      <c r="D686" s="437"/>
      <c r="E686" s="435"/>
      <c r="F686" s="314"/>
      <c r="G686" s="314"/>
      <c r="H686" s="740"/>
      <c r="I686" s="314"/>
      <c r="J686" s="314"/>
      <c r="K686" s="435"/>
      <c r="L686" s="314"/>
      <c r="M686" s="736"/>
      <c r="N686" s="318"/>
      <c r="O686" s="318"/>
      <c r="P686" s="435"/>
      <c r="Q686" s="435"/>
      <c r="R686" s="435"/>
      <c r="S686" s="435"/>
      <c r="T686" s="435"/>
      <c r="U686" s="435"/>
      <c r="V686" s="740"/>
      <c r="W686" s="744"/>
      <c r="X686" s="435"/>
      <c r="Y686" s="781"/>
      <c r="Z686" s="435"/>
      <c r="AA686" s="435"/>
      <c r="AB686" s="743"/>
      <c r="AC686" s="740"/>
      <c r="AD686" s="435"/>
      <c r="AE686" s="435"/>
      <c r="AF686" s="324"/>
      <c r="AG686" s="180"/>
      <c r="AH686" s="155"/>
      <c r="AI686" s="322"/>
      <c r="AJ686" s="132"/>
      <c r="AK686" s="132"/>
    </row>
    <row r="687">
      <c r="A687" s="435"/>
      <c r="B687" s="437"/>
      <c r="C687" s="437"/>
      <c r="D687" s="437"/>
      <c r="E687" s="435"/>
      <c r="F687" s="314"/>
      <c r="G687" s="314"/>
      <c r="H687" s="740"/>
      <c r="I687" s="435"/>
      <c r="J687" s="435"/>
      <c r="K687" s="435"/>
      <c r="L687" s="435"/>
      <c r="M687" s="839"/>
      <c r="N687" s="740"/>
      <c r="O687" s="318"/>
      <c r="P687" s="435"/>
      <c r="Q687" s="435"/>
      <c r="R687" s="435"/>
      <c r="S687" s="435"/>
      <c r="T687" s="435"/>
      <c r="U687" s="435"/>
      <c r="V687" s="740"/>
      <c r="W687" s="744"/>
      <c r="X687" s="435"/>
      <c r="Y687" s="781"/>
      <c r="Z687" s="435"/>
      <c r="AA687" s="435"/>
      <c r="AB687" s="743"/>
      <c r="AC687" s="740"/>
      <c r="AD687" s="435"/>
      <c r="AE687" s="435"/>
      <c r="AF687" s="324"/>
      <c r="AG687" s="180"/>
      <c r="AH687" s="155"/>
      <c r="AI687" s="322"/>
      <c r="AJ687" s="132"/>
      <c r="AK687" s="132"/>
    </row>
    <row r="688">
      <c r="A688" s="435"/>
      <c r="B688" s="313"/>
      <c r="C688" s="313"/>
      <c r="D688" s="313"/>
      <c r="E688" s="435"/>
      <c r="F688" s="314"/>
      <c r="G688" s="314"/>
      <c r="H688" s="740"/>
      <c r="I688" s="314"/>
      <c r="J688" s="314"/>
      <c r="K688" s="314"/>
      <c r="L688" s="314"/>
      <c r="M688" s="736"/>
      <c r="N688" s="318"/>
      <c r="O688" s="318"/>
      <c r="P688" s="314"/>
      <c r="Q688" s="314"/>
      <c r="R688" s="314"/>
      <c r="S688" s="314"/>
      <c r="T688" s="314"/>
      <c r="U688" s="314"/>
      <c r="V688" s="318"/>
      <c r="W688" s="315"/>
      <c r="X688" s="314"/>
      <c r="Y688" s="776"/>
      <c r="Z688" s="314"/>
      <c r="AA688" s="314"/>
      <c r="AB688" s="697"/>
      <c r="AC688" s="318"/>
      <c r="AD688" s="314"/>
      <c r="AE688" s="314"/>
      <c r="AF688" s="324"/>
      <c r="AG688" s="180"/>
      <c r="AH688" s="155"/>
      <c r="AI688" s="322"/>
      <c r="AJ688" s="132"/>
      <c r="AK688" s="132"/>
    </row>
    <row r="689">
      <c r="A689" s="435"/>
      <c r="B689" s="313"/>
      <c r="C689" s="313"/>
      <c r="D689" s="437"/>
      <c r="E689" s="314"/>
      <c r="F689" s="314"/>
      <c r="G689" s="314"/>
      <c r="H689" s="740"/>
      <c r="I689" s="314"/>
      <c r="J689" s="435"/>
      <c r="K689" s="435"/>
      <c r="L689" s="314"/>
      <c r="M689" s="839"/>
      <c r="N689" s="318"/>
      <c r="O689" s="318"/>
      <c r="P689" s="314"/>
      <c r="Q689" s="314"/>
      <c r="R689" s="435"/>
      <c r="S689" s="435"/>
      <c r="T689" s="435"/>
      <c r="U689" s="435"/>
      <c r="V689" s="740"/>
      <c r="W689" s="744"/>
      <c r="X689" s="435"/>
      <c r="Y689" s="781"/>
      <c r="Z689" s="435"/>
      <c r="AA689" s="435"/>
      <c r="AB689" s="743"/>
      <c r="AC689" s="740"/>
      <c r="AD689" s="435"/>
      <c r="AE689" s="435"/>
      <c r="AF689" s="324"/>
      <c r="AG689" s="180"/>
      <c r="AH689" s="155"/>
      <c r="AI689" s="322"/>
      <c r="AJ689" s="132"/>
      <c r="AK689" s="132"/>
    </row>
    <row r="690">
      <c r="A690" s="435"/>
      <c r="B690" s="313"/>
      <c r="C690" s="313"/>
      <c r="D690" s="313"/>
      <c r="E690" s="314"/>
      <c r="F690" s="314"/>
      <c r="G690" s="314"/>
      <c r="H690" s="318"/>
      <c r="I690" s="314"/>
      <c r="J690" s="314"/>
      <c r="K690" s="314"/>
      <c r="L690" s="314"/>
      <c r="M690" s="736"/>
      <c r="N690" s="318"/>
      <c r="O690" s="318"/>
      <c r="P690" s="314"/>
      <c r="Q690" s="435"/>
      <c r="R690" s="314"/>
      <c r="S690" s="435"/>
      <c r="T690" s="435"/>
      <c r="U690" s="435"/>
      <c r="V690" s="740"/>
      <c r="W690" s="744"/>
      <c r="X690" s="435"/>
      <c r="Y690" s="781"/>
      <c r="Z690" s="435"/>
      <c r="AA690" s="435"/>
      <c r="AB690" s="743"/>
      <c r="AC690" s="740"/>
      <c r="AD690" s="435"/>
      <c r="AE690" s="435"/>
      <c r="AF690" s="324"/>
      <c r="AG690" s="180"/>
      <c r="AH690" s="155"/>
      <c r="AI690" s="322"/>
      <c r="AJ690" s="132"/>
      <c r="AK690" s="132"/>
    </row>
    <row r="691">
      <c r="A691" s="435"/>
      <c r="B691" s="437"/>
      <c r="C691" s="313"/>
      <c r="D691" s="313"/>
      <c r="E691" s="314"/>
      <c r="F691" s="314"/>
      <c r="G691" s="314"/>
      <c r="H691" s="740"/>
      <c r="I691" s="314"/>
      <c r="J691" s="435"/>
      <c r="K691" s="435"/>
      <c r="L691" s="314"/>
      <c r="M691" s="736"/>
      <c r="N691" s="740"/>
      <c r="O691" s="318"/>
      <c r="P691" s="314"/>
      <c r="Q691" s="314"/>
      <c r="R691" s="435"/>
      <c r="S691" s="435"/>
      <c r="T691" s="435"/>
      <c r="U691" s="435"/>
      <c r="V691" s="740"/>
      <c r="W691" s="744"/>
      <c r="X691" s="435"/>
      <c r="Y691" s="781"/>
      <c r="Z691" s="435"/>
      <c r="AA691" s="435"/>
      <c r="AB691" s="743"/>
      <c r="AC691" s="740"/>
      <c r="AD691" s="435"/>
      <c r="AE691" s="435"/>
      <c r="AF691" s="324"/>
      <c r="AG691" s="180"/>
      <c r="AH691" s="155"/>
      <c r="AI691" s="322"/>
      <c r="AJ691" s="132"/>
      <c r="AK691" s="132"/>
    </row>
    <row r="692">
      <c r="A692" s="435"/>
      <c r="B692" s="313"/>
      <c r="C692" s="437"/>
      <c r="D692" s="437"/>
      <c r="E692" s="435"/>
      <c r="F692" s="314"/>
      <c r="G692" s="314"/>
      <c r="H692" s="740"/>
      <c r="I692" s="314"/>
      <c r="J692" s="314"/>
      <c r="K692" s="435"/>
      <c r="L692" s="314"/>
      <c r="M692" s="736"/>
      <c r="N692" s="318"/>
      <c r="O692" s="318"/>
      <c r="P692" s="314"/>
      <c r="Q692" s="314"/>
      <c r="R692" s="314"/>
      <c r="S692" s="435"/>
      <c r="T692" s="435"/>
      <c r="U692" s="435"/>
      <c r="V692" s="740"/>
      <c r="W692" s="744"/>
      <c r="X692" s="435"/>
      <c r="Y692" s="781"/>
      <c r="Z692" s="435"/>
      <c r="AA692" s="435"/>
      <c r="AB692" s="743"/>
      <c r="AC692" s="740"/>
      <c r="AD692" s="435"/>
      <c r="AE692" s="435"/>
      <c r="AF692" s="324"/>
      <c r="AG692" s="180"/>
      <c r="AH692" s="155"/>
      <c r="AI692" s="322"/>
      <c r="AJ692" s="132"/>
      <c r="AK692" s="132"/>
    </row>
    <row r="693">
      <c r="A693" s="435"/>
      <c r="B693" s="313"/>
      <c r="C693" s="313"/>
      <c r="D693" s="313"/>
      <c r="E693" s="314"/>
      <c r="F693" s="314"/>
      <c r="G693" s="314"/>
      <c r="H693" s="740"/>
      <c r="I693" s="314"/>
      <c r="J693" s="314"/>
      <c r="K693" s="314"/>
      <c r="L693" s="314"/>
      <c r="M693" s="736"/>
      <c r="N693" s="318"/>
      <c r="O693" s="318"/>
      <c r="P693" s="314"/>
      <c r="Q693" s="314"/>
      <c r="R693" s="435"/>
      <c r="S693" s="314"/>
      <c r="T693" s="314"/>
      <c r="U693" s="314"/>
      <c r="V693" s="318"/>
      <c r="W693" s="315"/>
      <c r="X693" s="314"/>
      <c r="Y693" s="776"/>
      <c r="Z693" s="314"/>
      <c r="AA693" s="314"/>
      <c r="AB693" s="697"/>
      <c r="AC693" s="318"/>
      <c r="AD693" s="314"/>
      <c r="AE693" s="314"/>
      <c r="AF693" s="324"/>
      <c r="AG693" s="180"/>
      <c r="AH693" s="155"/>
      <c r="AI693" s="322"/>
      <c r="AJ693" s="132"/>
      <c r="AK693" s="132"/>
    </row>
    <row r="694">
      <c r="A694" s="435"/>
      <c r="B694" s="437"/>
      <c r="C694" s="437"/>
      <c r="D694" s="437"/>
      <c r="E694" s="435"/>
      <c r="F694" s="314"/>
      <c r="G694" s="314"/>
      <c r="H694" s="740"/>
      <c r="I694" s="435"/>
      <c r="J694" s="435"/>
      <c r="K694" s="435"/>
      <c r="L694" s="435"/>
      <c r="M694" s="839"/>
      <c r="N694" s="740"/>
      <c r="O694" s="318"/>
      <c r="P694" s="435"/>
      <c r="Q694" s="435"/>
      <c r="R694" s="435"/>
      <c r="S694" s="435"/>
      <c r="T694" s="435"/>
      <c r="U694" s="435"/>
      <c r="V694" s="740"/>
      <c r="W694" s="744"/>
      <c r="X694" s="435"/>
      <c r="Y694" s="781"/>
      <c r="Z694" s="435"/>
      <c r="AA694" s="435"/>
      <c r="AB694" s="743"/>
      <c r="AC694" s="740"/>
      <c r="AD694" s="435"/>
      <c r="AE694" s="435"/>
      <c r="AF694" s="324"/>
      <c r="AG694" s="180"/>
      <c r="AH694" s="155"/>
      <c r="AI694" s="322"/>
      <c r="AJ694" s="132"/>
      <c r="AK694" s="132"/>
    </row>
    <row r="695">
      <c r="A695" s="435"/>
      <c r="B695" s="313"/>
      <c r="C695" s="313"/>
      <c r="D695" s="313"/>
      <c r="E695" s="314"/>
      <c r="F695" s="314"/>
      <c r="G695" s="314"/>
      <c r="H695" s="318"/>
      <c r="I695" s="314"/>
      <c r="J695" s="314"/>
      <c r="K695" s="314"/>
      <c r="L695" s="314"/>
      <c r="M695" s="839"/>
      <c r="N695" s="318"/>
      <c r="O695" s="318"/>
      <c r="P695" s="314"/>
      <c r="Q695" s="314"/>
      <c r="R695" s="314"/>
      <c r="S695" s="314"/>
      <c r="T695" s="314"/>
      <c r="U695" s="314"/>
      <c r="V695" s="318"/>
      <c r="W695" s="315"/>
      <c r="X695" s="314"/>
      <c r="Y695" s="776"/>
      <c r="Z695" s="314"/>
      <c r="AA695" s="314"/>
      <c r="AB695" s="697"/>
      <c r="AC695" s="318"/>
      <c r="AD695" s="314"/>
      <c r="AE695" s="314"/>
      <c r="AF695" s="324"/>
      <c r="AG695" s="180"/>
      <c r="AH695" s="155"/>
      <c r="AI695" s="322"/>
      <c r="AJ695" s="132"/>
      <c r="AK695" s="132"/>
    </row>
    <row r="696">
      <c r="A696" s="435"/>
      <c r="B696" s="313"/>
      <c r="C696" s="437"/>
      <c r="D696" s="437"/>
      <c r="E696" s="435"/>
      <c r="F696" s="314"/>
      <c r="G696" s="314"/>
      <c r="H696" s="740"/>
      <c r="I696" s="435"/>
      <c r="J696" s="435"/>
      <c r="K696" s="435"/>
      <c r="L696" s="314"/>
      <c r="M696" s="839"/>
      <c r="N696" s="740"/>
      <c r="O696" s="318"/>
      <c r="P696" s="435"/>
      <c r="Q696" s="435"/>
      <c r="R696" s="435"/>
      <c r="S696" s="435"/>
      <c r="T696" s="435"/>
      <c r="U696" s="435"/>
      <c r="V696" s="740"/>
      <c r="W696" s="744"/>
      <c r="X696" s="435"/>
      <c r="Y696" s="781"/>
      <c r="Z696" s="435"/>
      <c r="AA696" s="435"/>
      <c r="AB696" s="743"/>
      <c r="AC696" s="740"/>
      <c r="AD696" s="435"/>
      <c r="AE696" s="435"/>
      <c r="AF696" s="324"/>
      <c r="AG696" s="180"/>
      <c r="AH696" s="155"/>
      <c r="AI696" s="322"/>
      <c r="AJ696" s="132"/>
      <c r="AK696" s="132"/>
    </row>
    <row r="697">
      <c r="A697" s="435"/>
      <c r="B697" s="437"/>
      <c r="C697" s="437"/>
      <c r="D697" s="313"/>
      <c r="E697" s="435"/>
      <c r="F697" s="314"/>
      <c r="G697" s="314"/>
      <c r="H697" s="740"/>
      <c r="I697" s="435"/>
      <c r="J697" s="314"/>
      <c r="K697" s="435"/>
      <c r="L697" s="435"/>
      <c r="M697" s="736"/>
      <c r="N697" s="740"/>
      <c r="O697" s="318"/>
      <c r="P697" s="435"/>
      <c r="Q697" s="314"/>
      <c r="R697" s="435"/>
      <c r="S697" s="435"/>
      <c r="T697" s="435"/>
      <c r="U697" s="435"/>
      <c r="V697" s="740"/>
      <c r="W697" s="744"/>
      <c r="X697" s="435"/>
      <c r="Y697" s="781"/>
      <c r="Z697" s="435"/>
      <c r="AA697" s="435"/>
      <c r="AB697" s="743"/>
      <c r="AC697" s="740"/>
      <c r="AD697" s="435"/>
      <c r="AE697" s="435"/>
      <c r="AF697" s="324"/>
      <c r="AG697" s="180"/>
      <c r="AH697" s="155"/>
      <c r="AI697" s="322"/>
      <c r="AJ697" s="132"/>
      <c r="AK697" s="132"/>
    </row>
    <row r="698">
      <c r="A698" s="458"/>
      <c r="B698" s="437"/>
      <c r="C698" s="437"/>
      <c r="D698" s="437"/>
      <c r="E698" s="435"/>
      <c r="F698" s="314"/>
      <c r="G698" s="314"/>
      <c r="H698" s="318"/>
      <c r="I698" s="435"/>
      <c r="J698" s="435"/>
      <c r="K698" s="435"/>
      <c r="L698" s="435"/>
      <c r="M698" s="839"/>
      <c r="N698" s="740"/>
      <c r="O698" s="318"/>
      <c r="P698" s="435"/>
      <c r="Q698" s="435"/>
      <c r="R698" s="435"/>
      <c r="S698" s="435"/>
      <c r="T698" s="435"/>
      <c r="U698" s="435"/>
      <c r="V698" s="740"/>
      <c r="W698" s="744"/>
      <c r="X698" s="435"/>
      <c r="Y698" s="781"/>
      <c r="Z698" s="435"/>
      <c r="AA698" s="435"/>
      <c r="AB698" s="743"/>
      <c r="AC698" s="740"/>
      <c r="AD698" s="435"/>
      <c r="AE698" s="435"/>
      <c r="AF698" s="324"/>
      <c r="AG698" s="180"/>
      <c r="AH698" s="155"/>
      <c r="AI698" s="322"/>
      <c r="AJ698" s="132"/>
      <c r="AK698" s="132"/>
    </row>
    <row r="699">
      <c r="A699" s="458"/>
      <c r="B699" s="437"/>
      <c r="C699" s="437"/>
      <c r="D699" s="437"/>
      <c r="E699" s="435"/>
      <c r="F699" s="314"/>
      <c r="G699" s="314"/>
      <c r="H699" s="318"/>
      <c r="I699" s="314"/>
      <c r="J699" s="435"/>
      <c r="K699" s="435"/>
      <c r="L699" s="435"/>
      <c r="M699" s="839"/>
      <c r="N699" s="740"/>
      <c r="O699" s="318"/>
      <c r="P699" s="435"/>
      <c r="Q699" s="435"/>
      <c r="R699" s="435"/>
      <c r="S699" s="435"/>
      <c r="T699" s="435"/>
      <c r="U699" s="435"/>
      <c r="V699" s="740"/>
      <c r="W699" s="744"/>
      <c r="X699" s="435"/>
      <c r="Y699" s="781"/>
      <c r="Z699" s="435"/>
      <c r="AA699" s="435"/>
      <c r="AB699" s="743"/>
      <c r="AC699" s="740"/>
      <c r="AD699" s="435"/>
      <c r="AE699" s="435"/>
      <c r="AF699" s="324"/>
      <c r="AG699" s="180"/>
      <c r="AH699" s="155"/>
      <c r="AI699" s="322"/>
      <c r="AJ699" s="132"/>
      <c r="AK699" s="132"/>
    </row>
    <row r="700">
      <c r="A700" s="458"/>
      <c r="B700" s="437"/>
      <c r="C700" s="437"/>
      <c r="D700" s="437"/>
      <c r="E700" s="314"/>
      <c r="F700" s="314"/>
      <c r="G700" s="314"/>
      <c r="H700" s="318"/>
      <c r="I700" s="435"/>
      <c r="J700" s="435"/>
      <c r="K700" s="435"/>
      <c r="L700" s="435"/>
      <c r="M700" s="839"/>
      <c r="N700" s="740"/>
      <c r="O700" s="318"/>
      <c r="P700" s="435"/>
      <c r="Q700" s="314"/>
      <c r="R700" s="435"/>
      <c r="S700" s="435"/>
      <c r="T700" s="435"/>
      <c r="U700" s="435"/>
      <c r="V700" s="740"/>
      <c r="W700" s="744"/>
      <c r="X700" s="435"/>
      <c r="Y700" s="781"/>
      <c r="Z700" s="435"/>
      <c r="AA700" s="435"/>
      <c r="AB700" s="743"/>
      <c r="AC700" s="740"/>
      <c r="AD700" s="435"/>
      <c r="AE700" s="435"/>
      <c r="AF700" s="324"/>
      <c r="AG700" s="180"/>
      <c r="AH700" s="155"/>
      <c r="AI700" s="322"/>
      <c r="AJ700" s="132"/>
      <c r="AK700" s="132"/>
    </row>
    <row r="701">
      <c r="A701" s="458"/>
      <c r="B701" s="313"/>
      <c r="C701" s="313"/>
      <c r="D701" s="313"/>
      <c r="E701" s="314"/>
      <c r="F701" s="314"/>
      <c r="G701" s="314"/>
      <c r="H701" s="318"/>
      <c r="I701" s="314"/>
      <c r="J701" s="314"/>
      <c r="K701" s="314"/>
      <c r="L701" s="314"/>
      <c r="M701" s="736"/>
      <c r="N701" s="318"/>
      <c r="O701" s="318"/>
      <c r="P701" s="314"/>
      <c r="Q701" s="314"/>
      <c r="R701" s="314"/>
      <c r="S701" s="314"/>
      <c r="T701" s="314"/>
      <c r="U701" s="314"/>
      <c r="V701" s="318"/>
      <c r="W701" s="315"/>
      <c r="X701" s="314"/>
      <c r="Y701" s="776"/>
      <c r="Z701" s="314"/>
      <c r="AA701" s="314"/>
      <c r="AB701" s="697"/>
      <c r="AC701" s="318"/>
      <c r="AD701" s="314"/>
      <c r="AE701" s="314"/>
      <c r="AF701" s="324"/>
      <c r="AG701" s="180"/>
      <c r="AH701" s="155"/>
      <c r="AI701" s="322"/>
      <c r="AJ701" s="132"/>
      <c r="AK701" s="132"/>
    </row>
    <row r="702">
      <c r="A702" s="458"/>
      <c r="B702" s="437"/>
      <c r="C702" s="437"/>
      <c r="D702" s="437"/>
      <c r="E702" s="314"/>
      <c r="F702" s="314"/>
      <c r="G702" s="314"/>
      <c r="H702" s="318"/>
      <c r="I702" s="314"/>
      <c r="J702" s="314"/>
      <c r="K702" s="435"/>
      <c r="L702" s="435"/>
      <c r="M702" s="839"/>
      <c r="N702" s="318"/>
      <c r="O702" s="318"/>
      <c r="P702" s="435"/>
      <c r="Q702" s="435"/>
      <c r="R702" s="435"/>
      <c r="S702" s="435"/>
      <c r="T702" s="435"/>
      <c r="U702" s="435"/>
      <c r="V702" s="740"/>
      <c r="W702" s="744"/>
      <c r="X702" s="435"/>
      <c r="Y702" s="781"/>
      <c r="Z702" s="435"/>
      <c r="AA702" s="435"/>
      <c r="AB702" s="743"/>
      <c r="AC702" s="740"/>
      <c r="AD702" s="435"/>
      <c r="AE702" s="435"/>
      <c r="AF702" s="324"/>
      <c r="AG702" s="180"/>
      <c r="AH702" s="155"/>
      <c r="AI702" s="322"/>
      <c r="AJ702" s="132"/>
      <c r="AK702" s="132"/>
    </row>
    <row r="703">
      <c r="A703" s="458"/>
      <c r="B703" s="313"/>
      <c r="C703" s="313"/>
      <c r="D703" s="437"/>
      <c r="E703" s="314"/>
      <c r="F703" s="314"/>
      <c r="G703" s="314"/>
      <c r="H703" s="318"/>
      <c r="I703" s="314"/>
      <c r="J703" s="314"/>
      <c r="K703" s="314"/>
      <c r="L703" s="314"/>
      <c r="M703" s="736"/>
      <c r="N703" s="318"/>
      <c r="O703" s="318"/>
      <c r="P703" s="314"/>
      <c r="Q703" s="314"/>
      <c r="R703" s="314"/>
      <c r="S703" s="314"/>
      <c r="T703" s="314"/>
      <c r="U703" s="314"/>
      <c r="V703" s="318"/>
      <c r="W703" s="315"/>
      <c r="X703" s="314"/>
      <c r="Y703" s="776"/>
      <c r="Z703" s="314"/>
      <c r="AA703" s="314"/>
      <c r="AB703" s="697"/>
      <c r="AC703" s="318"/>
      <c r="AD703" s="314"/>
      <c r="AE703" s="314"/>
      <c r="AF703" s="324"/>
      <c r="AG703" s="180"/>
      <c r="AH703" s="155"/>
      <c r="AI703" s="322"/>
      <c r="AJ703" s="132"/>
      <c r="AK703" s="132"/>
    </row>
    <row r="704">
      <c r="A704" s="458"/>
      <c r="B704" s="313"/>
      <c r="C704" s="437"/>
      <c r="D704" s="313"/>
      <c r="E704" s="314"/>
      <c r="F704" s="314"/>
      <c r="G704" s="314"/>
      <c r="H704" s="318"/>
      <c r="I704" s="435"/>
      <c r="J704" s="314"/>
      <c r="K704" s="314"/>
      <c r="L704" s="435"/>
      <c r="M704" s="736"/>
      <c r="N704" s="318"/>
      <c r="O704" s="318"/>
      <c r="P704" s="314"/>
      <c r="Q704" s="435"/>
      <c r="R704" s="435"/>
      <c r="S704" s="435"/>
      <c r="T704" s="435"/>
      <c r="U704" s="435"/>
      <c r="V704" s="740"/>
      <c r="W704" s="744"/>
      <c r="X704" s="435"/>
      <c r="Y704" s="781"/>
      <c r="Z704" s="435"/>
      <c r="AA704" s="435"/>
      <c r="AB704" s="743"/>
      <c r="AC704" s="740"/>
      <c r="AD704" s="435"/>
      <c r="AE704" s="435"/>
      <c r="AF704" s="324"/>
      <c r="AG704" s="180"/>
      <c r="AH704" s="155"/>
      <c r="AI704" s="322"/>
      <c r="AJ704" s="132"/>
      <c r="AK704" s="132"/>
    </row>
    <row r="705">
      <c r="A705" s="458"/>
      <c r="B705" s="313"/>
      <c r="C705" s="437"/>
      <c r="D705" s="437"/>
      <c r="E705" s="435"/>
      <c r="F705" s="314"/>
      <c r="G705" s="314"/>
      <c r="H705" s="740"/>
      <c r="I705" s="435"/>
      <c r="J705" s="314"/>
      <c r="K705" s="435"/>
      <c r="L705" s="435"/>
      <c r="M705" s="736"/>
      <c r="N705" s="318"/>
      <c r="O705" s="318"/>
      <c r="P705" s="435"/>
      <c r="Q705" s="435"/>
      <c r="R705" s="435"/>
      <c r="S705" s="435"/>
      <c r="T705" s="435"/>
      <c r="U705" s="435"/>
      <c r="V705" s="740"/>
      <c r="W705" s="744"/>
      <c r="X705" s="435"/>
      <c r="Y705" s="781"/>
      <c r="Z705" s="435"/>
      <c r="AA705" s="435"/>
      <c r="AB705" s="743"/>
      <c r="AC705" s="740"/>
      <c r="AD705" s="435"/>
      <c r="AE705" s="435"/>
      <c r="AF705" s="324"/>
      <c r="AG705" s="180"/>
      <c r="AH705" s="155"/>
      <c r="AI705" s="322"/>
      <c r="AJ705" s="132"/>
      <c r="AK705" s="132"/>
    </row>
    <row r="706">
      <c r="A706" s="458"/>
      <c r="B706" s="313"/>
      <c r="C706" s="437"/>
      <c r="D706" s="437"/>
      <c r="E706" s="314"/>
      <c r="F706" s="314"/>
      <c r="G706" s="314"/>
      <c r="H706" s="318"/>
      <c r="I706" s="314"/>
      <c r="J706" s="314"/>
      <c r="K706" s="435"/>
      <c r="L706" s="314"/>
      <c r="M706" s="736"/>
      <c r="N706" s="318"/>
      <c r="O706" s="318"/>
      <c r="P706" s="314"/>
      <c r="Q706" s="314"/>
      <c r="R706" s="435"/>
      <c r="S706" s="435"/>
      <c r="T706" s="435"/>
      <c r="U706" s="435"/>
      <c r="V706" s="740"/>
      <c r="W706" s="744"/>
      <c r="X706" s="435"/>
      <c r="Y706" s="781"/>
      <c r="Z706" s="435"/>
      <c r="AA706" s="435"/>
      <c r="AB706" s="743"/>
      <c r="AC706" s="740"/>
      <c r="AD706" s="435"/>
      <c r="AE706" s="435"/>
      <c r="AF706" s="324"/>
      <c r="AG706" s="180"/>
      <c r="AH706" s="155"/>
      <c r="AI706" s="322"/>
      <c r="AJ706" s="132"/>
      <c r="AK706" s="132"/>
    </row>
    <row r="707">
      <c r="A707" s="458"/>
      <c r="B707" s="437"/>
      <c r="C707" s="437"/>
      <c r="D707" s="437"/>
      <c r="E707" s="435"/>
      <c r="F707" s="314"/>
      <c r="G707" s="314"/>
      <c r="H707" s="740"/>
      <c r="I707" s="435"/>
      <c r="J707" s="435"/>
      <c r="K707" s="435"/>
      <c r="L707" s="435"/>
      <c r="M707" s="839"/>
      <c r="N707" s="740"/>
      <c r="O707" s="318"/>
      <c r="P707" s="435"/>
      <c r="Q707" s="435"/>
      <c r="R707" s="435"/>
      <c r="S707" s="435"/>
      <c r="T707" s="435"/>
      <c r="U707" s="435"/>
      <c r="V707" s="740"/>
      <c r="W707" s="744"/>
      <c r="X707" s="435"/>
      <c r="Y707" s="781"/>
      <c r="Z707" s="435"/>
      <c r="AA707" s="435"/>
      <c r="AB707" s="743"/>
      <c r="AC707" s="740"/>
      <c r="AD707" s="435"/>
      <c r="AE707" s="435"/>
      <c r="AF707" s="324"/>
      <c r="AG707" s="180"/>
      <c r="AH707" s="155"/>
      <c r="AI707" s="322"/>
      <c r="AJ707" s="132"/>
      <c r="AK707" s="132"/>
    </row>
    <row r="708">
      <c r="A708" s="435"/>
      <c r="B708" s="437"/>
      <c r="C708" s="437"/>
      <c r="D708" s="437"/>
      <c r="E708" s="435"/>
      <c r="F708" s="314"/>
      <c r="G708" s="314"/>
      <c r="H708" s="740"/>
      <c r="I708" s="435"/>
      <c r="J708" s="435"/>
      <c r="K708" s="435"/>
      <c r="L708" s="435"/>
      <c r="M708" s="839"/>
      <c r="N708" s="740"/>
      <c r="O708" s="318"/>
      <c r="P708" s="435"/>
      <c r="Q708" s="435"/>
      <c r="R708" s="435"/>
      <c r="S708" s="435"/>
      <c r="T708" s="435"/>
      <c r="U708" s="435"/>
      <c r="V708" s="740"/>
      <c r="W708" s="744"/>
      <c r="X708" s="435"/>
      <c r="Y708" s="781"/>
      <c r="Z708" s="435"/>
      <c r="AA708" s="435"/>
      <c r="AB708" s="743"/>
      <c r="AC708" s="740"/>
      <c r="AD708" s="435"/>
      <c r="AE708" s="435"/>
      <c r="AF708" s="324"/>
      <c r="AG708" s="180"/>
      <c r="AH708" s="155"/>
      <c r="AI708" s="322"/>
      <c r="AJ708" s="132"/>
      <c r="AK708" s="132"/>
    </row>
    <row r="709">
      <c r="A709" s="474"/>
      <c r="B709" s="437"/>
      <c r="C709" s="437"/>
      <c r="D709" s="437"/>
      <c r="E709" s="435"/>
      <c r="F709" s="314"/>
      <c r="G709" s="314"/>
      <c r="H709" s="740"/>
      <c r="I709" s="435"/>
      <c r="J709" s="435"/>
      <c r="K709" s="435"/>
      <c r="L709" s="435"/>
      <c r="M709" s="839"/>
      <c r="N709" s="740"/>
      <c r="O709" s="318"/>
      <c r="P709" s="435"/>
      <c r="Q709" s="435"/>
      <c r="R709" s="435"/>
      <c r="S709" s="435"/>
      <c r="T709" s="435"/>
      <c r="U709" s="435"/>
      <c r="V709" s="740"/>
      <c r="W709" s="744"/>
      <c r="X709" s="435"/>
      <c r="Y709" s="781"/>
      <c r="Z709" s="435"/>
      <c r="AA709" s="435"/>
      <c r="AB709" s="743"/>
      <c r="AC709" s="740"/>
      <c r="AD709" s="435"/>
      <c r="AE709" s="435"/>
      <c r="AF709" s="324"/>
      <c r="AG709" s="180"/>
      <c r="AH709" s="155"/>
      <c r="AI709" s="322"/>
      <c r="AJ709" s="132"/>
      <c r="AK709" s="132"/>
    </row>
    <row r="710">
      <c r="A710" s="474"/>
      <c r="B710" s="437"/>
      <c r="C710" s="313"/>
      <c r="D710" s="437"/>
      <c r="E710" s="435"/>
      <c r="F710" s="314"/>
      <c r="G710" s="314"/>
      <c r="H710" s="740"/>
      <c r="I710" s="435"/>
      <c r="J710" s="435"/>
      <c r="K710" s="314"/>
      <c r="L710" s="314"/>
      <c r="M710" s="736"/>
      <c r="N710" s="740"/>
      <c r="O710" s="318"/>
      <c r="P710" s="314"/>
      <c r="Q710" s="435"/>
      <c r="R710" s="314"/>
      <c r="S710" s="435"/>
      <c r="T710" s="435"/>
      <c r="U710" s="435"/>
      <c r="V710" s="740"/>
      <c r="W710" s="744"/>
      <c r="X710" s="435"/>
      <c r="Y710" s="781"/>
      <c r="Z710" s="435"/>
      <c r="AA710" s="435"/>
      <c r="AB710" s="743"/>
      <c r="AC710" s="740"/>
      <c r="AD710" s="435"/>
      <c r="AE710" s="435"/>
      <c r="AF710" s="324"/>
      <c r="AG710" s="180"/>
      <c r="AH710" s="155"/>
      <c r="AI710" s="322"/>
      <c r="AJ710" s="132"/>
      <c r="AK710" s="132"/>
    </row>
    <row r="711">
      <c r="A711" s="474"/>
      <c r="B711" s="313"/>
      <c r="C711" s="313"/>
      <c r="D711" s="313"/>
      <c r="E711" s="314"/>
      <c r="F711" s="314"/>
      <c r="G711" s="314"/>
      <c r="H711" s="318"/>
      <c r="I711" s="314"/>
      <c r="J711" s="314"/>
      <c r="K711" s="435"/>
      <c r="L711" s="314"/>
      <c r="M711" s="736"/>
      <c r="N711" s="318"/>
      <c r="O711" s="318"/>
      <c r="P711" s="435"/>
      <c r="Q711" s="314"/>
      <c r="R711" s="314"/>
      <c r="S711" s="314"/>
      <c r="T711" s="314"/>
      <c r="U711" s="314"/>
      <c r="V711" s="318"/>
      <c r="W711" s="315"/>
      <c r="X711" s="314"/>
      <c r="Y711" s="776"/>
      <c r="Z711" s="314"/>
      <c r="AA711" s="314"/>
      <c r="AB711" s="697"/>
      <c r="AC711" s="318"/>
      <c r="AD711" s="314"/>
      <c r="AE711" s="314"/>
      <c r="AF711" s="324"/>
      <c r="AG711" s="180"/>
      <c r="AH711" s="155"/>
      <c r="AI711" s="322"/>
      <c r="AJ711" s="132"/>
      <c r="AK711" s="132"/>
    </row>
    <row r="712">
      <c r="A712" s="474"/>
      <c r="B712" s="313"/>
      <c r="C712" s="437"/>
      <c r="D712" s="437"/>
      <c r="E712" s="314"/>
      <c r="F712" s="314"/>
      <c r="G712" s="314"/>
      <c r="H712" s="318"/>
      <c r="I712" s="435"/>
      <c r="J712" s="314"/>
      <c r="K712" s="314"/>
      <c r="L712" s="314"/>
      <c r="M712" s="736"/>
      <c r="N712" s="318"/>
      <c r="O712" s="318"/>
      <c r="P712" s="314"/>
      <c r="Q712" s="314"/>
      <c r="R712" s="314"/>
      <c r="S712" s="314"/>
      <c r="T712" s="314"/>
      <c r="U712" s="314"/>
      <c r="V712" s="318"/>
      <c r="W712" s="315"/>
      <c r="X712" s="314"/>
      <c r="Y712" s="776"/>
      <c r="Z712" s="314"/>
      <c r="AA712" s="314"/>
      <c r="AB712" s="697"/>
      <c r="AC712" s="318"/>
      <c r="AD712" s="314"/>
      <c r="AE712" s="314"/>
      <c r="AF712" s="324"/>
      <c r="AG712" s="180"/>
      <c r="AH712" s="155"/>
      <c r="AI712" s="322"/>
      <c r="AJ712" s="132"/>
      <c r="AK712" s="132"/>
    </row>
    <row r="713">
      <c r="A713" s="474"/>
      <c r="B713" s="313"/>
      <c r="C713" s="313"/>
      <c r="D713" s="313"/>
      <c r="E713" s="314"/>
      <c r="F713" s="314"/>
      <c r="G713" s="314"/>
      <c r="H713" s="318"/>
      <c r="I713" s="314"/>
      <c r="J713" s="314"/>
      <c r="K713" s="435"/>
      <c r="L713" s="314"/>
      <c r="M713" s="736"/>
      <c r="N713" s="318"/>
      <c r="O713" s="318"/>
      <c r="P713" s="314"/>
      <c r="Q713" s="314"/>
      <c r="R713" s="314"/>
      <c r="S713" s="314"/>
      <c r="T713" s="314"/>
      <c r="U713" s="314"/>
      <c r="V713" s="318"/>
      <c r="W713" s="315"/>
      <c r="X713" s="314"/>
      <c r="Y713" s="776"/>
      <c r="Z713" s="314"/>
      <c r="AA713" s="314"/>
      <c r="AB713" s="697"/>
      <c r="AC713" s="318"/>
      <c r="AD713" s="314"/>
      <c r="AE713" s="314"/>
      <c r="AF713" s="324"/>
      <c r="AG713" s="180"/>
      <c r="AH713" s="155"/>
      <c r="AI713" s="322"/>
      <c r="AJ713" s="132"/>
      <c r="AK713" s="132"/>
    </row>
    <row r="714">
      <c r="A714" s="458"/>
      <c r="B714" s="313"/>
      <c r="C714" s="437"/>
      <c r="D714" s="313"/>
      <c r="E714" s="314"/>
      <c r="F714" s="314"/>
      <c r="G714" s="314"/>
      <c r="H714" s="318"/>
      <c r="I714" s="314"/>
      <c r="J714" s="435"/>
      <c r="K714" s="435"/>
      <c r="L714" s="314"/>
      <c r="M714" s="736"/>
      <c r="N714" s="318"/>
      <c r="O714" s="318"/>
      <c r="P714" s="314"/>
      <c r="Q714" s="314"/>
      <c r="R714" s="314"/>
      <c r="S714" s="314"/>
      <c r="T714" s="314"/>
      <c r="U714" s="314"/>
      <c r="V714" s="318"/>
      <c r="W714" s="315"/>
      <c r="X714" s="314"/>
      <c r="Y714" s="776"/>
      <c r="Z714" s="314"/>
      <c r="AA714" s="314"/>
      <c r="AB714" s="697"/>
      <c r="AC714" s="318"/>
      <c r="AD714" s="314"/>
      <c r="AE714" s="314"/>
      <c r="AF714" s="324"/>
      <c r="AG714" s="180"/>
      <c r="AH714" s="155"/>
      <c r="AI714" s="322"/>
      <c r="AJ714" s="132"/>
      <c r="AK714" s="132"/>
    </row>
    <row r="715">
      <c r="A715" s="435"/>
      <c r="B715" s="313"/>
      <c r="C715" s="437"/>
      <c r="D715" s="437"/>
      <c r="E715" s="435"/>
      <c r="F715" s="314"/>
      <c r="G715" s="314"/>
      <c r="H715" s="740"/>
      <c r="I715" s="314"/>
      <c r="J715" s="314"/>
      <c r="K715" s="435"/>
      <c r="L715" s="314"/>
      <c r="M715" s="839"/>
      <c r="N715" s="740"/>
      <c r="O715" s="318"/>
      <c r="P715" s="314"/>
      <c r="Q715" s="314"/>
      <c r="R715" s="435"/>
      <c r="S715" s="314"/>
      <c r="T715" s="314"/>
      <c r="U715" s="314"/>
      <c r="V715" s="318"/>
      <c r="W715" s="315"/>
      <c r="X715" s="314"/>
      <c r="Y715" s="776"/>
      <c r="Z715" s="314"/>
      <c r="AA715" s="314"/>
      <c r="AB715" s="697"/>
      <c r="AC715" s="318"/>
      <c r="AD715" s="314"/>
      <c r="AE715" s="314"/>
      <c r="AF715" s="324"/>
      <c r="AG715" s="180"/>
      <c r="AH715" s="155"/>
      <c r="AI715" s="322"/>
      <c r="AJ715" s="132"/>
      <c r="AK715" s="132"/>
    </row>
    <row r="716">
      <c r="A716" s="435"/>
      <c r="B716" s="437"/>
      <c r="C716" s="313"/>
      <c r="D716" s="313"/>
      <c r="E716" s="314"/>
      <c r="F716" s="314"/>
      <c r="G716" s="314"/>
      <c r="H716" s="318"/>
      <c r="I716" s="314"/>
      <c r="J716" s="314"/>
      <c r="K716" s="314"/>
      <c r="L716" s="314"/>
      <c r="M716" s="736"/>
      <c r="N716" s="318"/>
      <c r="O716" s="318"/>
      <c r="P716" s="435"/>
      <c r="Q716" s="314"/>
      <c r="R716" s="314"/>
      <c r="S716" s="314"/>
      <c r="T716" s="314"/>
      <c r="U716" s="314"/>
      <c r="V716" s="318"/>
      <c r="W716" s="315"/>
      <c r="X716" s="314"/>
      <c r="Y716" s="776"/>
      <c r="Z716" s="314"/>
      <c r="AA716" s="314"/>
      <c r="AB716" s="697"/>
      <c r="AC716" s="318"/>
      <c r="AD716" s="314"/>
      <c r="AE716" s="314"/>
      <c r="AF716" s="324"/>
      <c r="AG716" s="180"/>
      <c r="AH716" s="155"/>
      <c r="AI716" s="322"/>
      <c r="AJ716" s="132"/>
      <c r="AK716" s="132"/>
    </row>
    <row r="717">
      <c r="A717" s="435"/>
      <c r="B717" s="437"/>
      <c r="C717" s="313"/>
      <c r="D717" s="313"/>
      <c r="E717" s="314"/>
      <c r="F717" s="314"/>
      <c r="G717" s="314"/>
      <c r="H717" s="318"/>
      <c r="I717" s="314"/>
      <c r="J717" s="314"/>
      <c r="K717" s="314"/>
      <c r="L717" s="314"/>
      <c r="M717" s="736"/>
      <c r="N717" s="318"/>
      <c r="O717" s="318"/>
      <c r="P717" s="314"/>
      <c r="Q717" s="435"/>
      <c r="R717" s="314"/>
      <c r="S717" s="435"/>
      <c r="T717" s="435"/>
      <c r="U717" s="435"/>
      <c r="V717" s="740"/>
      <c r="W717" s="744"/>
      <c r="X717" s="435"/>
      <c r="Y717" s="781"/>
      <c r="Z717" s="435"/>
      <c r="AA717" s="435"/>
      <c r="AB717" s="743"/>
      <c r="AC717" s="740"/>
      <c r="AD717" s="435"/>
      <c r="AE717" s="435"/>
      <c r="AF717" s="324"/>
      <c r="AG717" s="180"/>
      <c r="AH717" s="155"/>
      <c r="AI717" s="322"/>
      <c r="AJ717" s="132"/>
      <c r="AK717" s="132"/>
    </row>
    <row r="718">
      <c r="A718" s="435"/>
      <c r="B718" s="313"/>
      <c r="C718" s="437"/>
      <c r="D718" s="313"/>
      <c r="E718" s="314"/>
      <c r="F718" s="314"/>
      <c r="G718" s="314"/>
      <c r="H718" s="318"/>
      <c r="I718" s="314"/>
      <c r="J718" s="314"/>
      <c r="K718" s="314"/>
      <c r="L718" s="314"/>
      <c r="M718" s="736"/>
      <c r="N718" s="318"/>
      <c r="O718" s="318"/>
      <c r="P718" s="314"/>
      <c r="Q718" s="314"/>
      <c r="R718" s="435"/>
      <c r="S718" s="314"/>
      <c r="T718" s="314"/>
      <c r="U718" s="314"/>
      <c r="V718" s="318"/>
      <c r="W718" s="315"/>
      <c r="X718" s="314"/>
      <c r="Y718" s="776"/>
      <c r="Z718" s="314"/>
      <c r="AA718" s="314"/>
      <c r="AB718" s="697"/>
      <c r="AC718" s="318"/>
      <c r="AD718" s="314"/>
      <c r="AE718" s="314"/>
      <c r="AF718" s="324"/>
      <c r="AG718" s="180"/>
      <c r="AH718" s="155"/>
      <c r="AI718" s="322"/>
      <c r="AJ718" s="132"/>
      <c r="AK718" s="132"/>
    </row>
    <row r="719">
      <c r="A719" s="435"/>
      <c r="B719" s="313"/>
      <c r="C719" s="313"/>
      <c r="D719" s="313"/>
      <c r="E719" s="314"/>
      <c r="F719" s="314"/>
      <c r="G719" s="314"/>
      <c r="H719" s="318"/>
      <c r="I719" s="314"/>
      <c r="J719" s="314"/>
      <c r="K719" s="435"/>
      <c r="L719" s="314"/>
      <c r="M719" s="839"/>
      <c r="N719" s="318"/>
      <c r="O719" s="318"/>
      <c r="P719" s="314"/>
      <c r="Q719" s="435"/>
      <c r="R719" s="314"/>
      <c r="S719" s="314"/>
      <c r="T719" s="314"/>
      <c r="U719" s="314"/>
      <c r="V719" s="318"/>
      <c r="W719" s="315"/>
      <c r="X719" s="314"/>
      <c r="Y719" s="776"/>
      <c r="Z719" s="314"/>
      <c r="AA719" s="314"/>
      <c r="AB719" s="697"/>
      <c r="AC719" s="318"/>
      <c r="AD719" s="314"/>
      <c r="AE719" s="314"/>
      <c r="AF719" s="324"/>
      <c r="AG719" s="180"/>
      <c r="AH719" s="155"/>
      <c r="AI719" s="322"/>
      <c r="AJ719" s="132"/>
      <c r="AK719" s="132"/>
    </row>
    <row r="720">
      <c r="A720" s="435"/>
      <c r="B720" s="313"/>
      <c r="C720" s="437"/>
      <c r="D720" s="437"/>
      <c r="E720" s="314"/>
      <c r="F720" s="314"/>
      <c r="G720" s="314"/>
      <c r="H720" s="318"/>
      <c r="I720" s="314"/>
      <c r="J720" s="314"/>
      <c r="K720" s="435"/>
      <c r="L720" s="314"/>
      <c r="M720" s="839"/>
      <c r="N720" s="318"/>
      <c r="O720" s="318"/>
      <c r="P720" s="314"/>
      <c r="Q720" s="435"/>
      <c r="R720" s="314"/>
      <c r="S720" s="314"/>
      <c r="T720" s="314"/>
      <c r="U720" s="314"/>
      <c r="V720" s="318"/>
      <c r="W720" s="315"/>
      <c r="X720" s="314"/>
      <c r="Y720" s="776"/>
      <c r="Z720" s="314"/>
      <c r="AA720" s="314"/>
      <c r="AB720" s="697"/>
      <c r="AC720" s="318"/>
      <c r="AD720" s="314"/>
      <c r="AE720" s="314"/>
      <c r="AF720" s="324"/>
      <c r="AG720" s="180"/>
      <c r="AH720" s="155"/>
      <c r="AI720" s="322"/>
      <c r="AJ720" s="132"/>
      <c r="AK720" s="132"/>
    </row>
    <row r="721">
      <c r="A721" s="476"/>
      <c r="AH721" s="176"/>
      <c r="AI721" s="322"/>
      <c r="AJ721" s="132"/>
      <c r="AK721" s="132"/>
    </row>
    <row r="722">
      <c r="A722" s="178"/>
      <c r="AI722" s="322"/>
      <c r="AJ722" s="132"/>
      <c r="AK722" s="132"/>
    </row>
    <row r="723">
      <c r="A723" s="474"/>
      <c r="B723" s="437"/>
      <c r="C723" s="437"/>
      <c r="D723" s="437"/>
      <c r="E723" s="435"/>
      <c r="F723" s="314"/>
      <c r="G723" s="314"/>
      <c r="H723" s="318"/>
      <c r="I723" s="435"/>
      <c r="J723" s="435"/>
      <c r="K723" s="435"/>
      <c r="L723" s="435"/>
      <c r="M723" s="839"/>
      <c r="N723" s="740"/>
      <c r="O723" s="318"/>
      <c r="P723" s="435"/>
      <c r="Q723" s="435"/>
      <c r="R723" s="435"/>
      <c r="S723" s="435"/>
      <c r="T723" s="435"/>
      <c r="U723" s="435"/>
      <c r="V723" s="740"/>
      <c r="W723" s="744"/>
      <c r="X723" s="435"/>
      <c r="Y723" s="781"/>
      <c r="Z723" s="435"/>
      <c r="AA723" s="435"/>
      <c r="AB723" s="743"/>
      <c r="AC723" s="740"/>
      <c r="AD723" s="435"/>
      <c r="AE723" s="435"/>
      <c r="AF723" s="324"/>
      <c r="AG723" s="180"/>
      <c r="AH723" s="155"/>
      <c r="AI723" s="322"/>
      <c r="AJ723" s="132"/>
      <c r="AK723" s="132"/>
    </row>
    <row r="724">
      <c r="A724" s="474"/>
      <c r="B724" s="313"/>
      <c r="C724" s="437"/>
      <c r="D724" s="437"/>
      <c r="E724" s="435"/>
      <c r="F724" s="314"/>
      <c r="G724" s="314"/>
      <c r="H724" s="740"/>
      <c r="I724" s="314"/>
      <c r="J724" s="435"/>
      <c r="K724" s="435"/>
      <c r="L724" s="435"/>
      <c r="M724" s="736"/>
      <c r="N724" s="318"/>
      <c r="O724" s="318"/>
      <c r="P724" s="435"/>
      <c r="Q724" s="435"/>
      <c r="R724" s="435"/>
      <c r="S724" s="435"/>
      <c r="T724" s="435"/>
      <c r="U724" s="435"/>
      <c r="V724" s="740"/>
      <c r="W724" s="744"/>
      <c r="X724" s="435"/>
      <c r="Y724" s="781"/>
      <c r="Z724" s="435"/>
      <c r="AA724" s="435"/>
      <c r="AB724" s="743"/>
      <c r="AC724" s="740"/>
      <c r="AD724" s="435"/>
      <c r="AE724" s="435"/>
      <c r="AF724" s="324"/>
      <c r="AG724" s="180"/>
      <c r="AH724" s="155"/>
      <c r="AI724" s="322"/>
      <c r="AJ724" s="132"/>
      <c r="AK724" s="132"/>
    </row>
    <row r="725">
      <c r="A725" s="477"/>
      <c r="B725" s="437"/>
      <c r="C725" s="437"/>
      <c r="D725" s="437"/>
      <c r="E725" s="314"/>
      <c r="F725" s="314"/>
      <c r="G725" s="314"/>
      <c r="H725" s="740"/>
      <c r="I725" s="435"/>
      <c r="J725" s="435"/>
      <c r="K725" s="435"/>
      <c r="L725" s="435"/>
      <c r="M725" s="839"/>
      <c r="N725" s="740"/>
      <c r="O725" s="318"/>
      <c r="P725" s="435"/>
      <c r="Q725" s="435"/>
      <c r="R725" s="435"/>
      <c r="S725" s="435"/>
      <c r="T725" s="435"/>
      <c r="U725" s="435"/>
      <c r="V725" s="740"/>
      <c r="W725" s="744"/>
      <c r="X725" s="435"/>
      <c r="Y725" s="781"/>
      <c r="Z725" s="435"/>
      <c r="AA725" s="435"/>
      <c r="AB725" s="743"/>
      <c r="AC725" s="740"/>
      <c r="AD725" s="435"/>
      <c r="AE725" s="435"/>
      <c r="AF725" s="324"/>
      <c r="AG725" s="180"/>
      <c r="AH725" s="155"/>
      <c r="AI725" s="322"/>
      <c r="AJ725" s="132"/>
      <c r="AK725" s="132"/>
    </row>
    <row r="726">
      <c r="A726" s="477"/>
      <c r="B726" s="437"/>
      <c r="C726" s="437"/>
      <c r="D726" s="437"/>
      <c r="E726" s="314"/>
      <c r="F726" s="314"/>
      <c r="G726" s="314"/>
      <c r="H726" s="740"/>
      <c r="I726" s="314"/>
      <c r="J726" s="314"/>
      <c r="K726" s="435"/>
      <c r="L726" s="435"/>
      <c r="M726" s="839"/>
      <c r="N726" s="318"/>
      <c r="O726" s="318"/>
      <c r="P726" s="435"/>
      <c r="Q726" s="435"/>
      <c r="R726" s="435"/>
      <c r="S726" s="435"/>
      <c r="T726" s="435"/>
      <c r="U726" s="435"/>
      <c r="V726" s="740"/>
      <c r="W726" s="744"/>
      <c r="X726" s="435"/>
      <c r="Y726" s="781"/>
      <c r="Z726" s="435"/>
      <c r="AA726" s="435"/>
      <c r="AB726" s="743"/>
      <c r="AC726" s="740"/>
      <c r="AD726" s="435"/>
      <c r="AE726" s="435"/>
      <c r="AF726" s="324"/>
      <c r="AG726" s="180"/>
      <c r="AH726" s="155"/>
      <c r="AI726" s="322"/>
      <c r="AJ726" s="132"/>
      <c r="AK726" s="132"/>
    </row>
    <row r="727">
      <c r="A727" s="477"/>
      <c r="B727" s="437"/>
      <c r="C727" s="437"/>
      <c r="D727" s="437"/>
      <c r="E727" s="435"/>
      <c r="F727" s="314"/>
      <c r="G727" s="314"/>
      <c r="H727" s="740"/>
      <c r="I727" s="435"/>
      <c r="J727" s="435"/>
      <c r="K727" s="435"/>
      <c r="L727" s="435"/>
      <c r="M727" s="839"/>
      <c r="N727" s="740"/>
      <c r="O727" s="318"/>
      <c r="P727" s="435"/>
      <c r="Q727" s="435"/>
      <c r="R727" s="435"/>
      <c r="S727" s="435"/>
      <c r="T727" s="435"/>
      <c r="U727" s="435"/>
      <c r="V727" s="740"/>
      <c r="W727" s="744"/>
      <c r="X727" s="435"/>
      <c r="Y727" s="781"/>
      <c r="Z727" s="435"/>
      <c r="AA727" s="435"/>
      <c r="AB727" s="743"/>
      <c r="AC727" s="740"/>
      <c r="AD727" s="435"/>
      <c r="AE727" s="435"/>
      <c r="AF727" s="324"/>
      <c r="AG727" s="180"/>
      <c r="AH727" s="155"/>
      <c r="AI727" s="322"/>
      <c r="AJ727" s="132"/>
      <c r="AK727" s="132"/>
    </row>
    <row r="728">
      <c r="A728" s="474"/>
      <c r="B728" s="313"/>
      <c r="C728" s="437"/>
      <c r="D728" s="313"/>
      <c r="E728" s="435"/>
      <c r="F728" s="314"/>
      <c r="G728" s="314"/>
      <c r="H728" s="740"/>
      <c r="I728" s="314"/>
      <c r="J728" s="435"/>
      <c r="K728" s="435"/>
      <c r="L728" s="314"/>
      <c r="M728" s="839"/>
      <c r="N728" s="318"/>
      <c r="O728" s="318"/>
      <c r="P728" s="435"/>
      <c r="Q728" s="435"/>
      <c r="R728" s="435"/>
      <c r="S728" s="435"/>
      <c r="T728" s="435"/>
      <c r="U728" s="435"/>
      <c r="V728" s="740"/>
      <c r="W728" s="744"/>
      <c r="X728" s="435"/>
      <c r="Y728" s="781"/>
      <c r="Z728" s="435"/>
      <c r="AA728" s="435"/>
      <c r="AB728" s="743"/>
      <c r="AC728" s="740"/>
      <c r="AD728" s="435"/>
      <c r="AE728" s="435"/>
      <c r="AF728" s="324"/>
      <c r="AG728" s="180"/>
      <c r="AH728" s="155"/>
      <c r="AI728" s="322"/>
      <c r="AJ728" s="132"/>
      <c r="AK728" s="132"/>
    </row>
    <row r="729">
      <c r="A729" s="478"/>
      <c r="B729" s="437"/>
      <c r="C729" s="437"/>
      <c r="D729" s="437"/>
      <c r="E729" s="435"/>
      <c r="F729" s="314"/>
      <c r="G729" s="314"/>
      <c r="H729" s="740"/>
      <c r="I729" s="435"/>
      <c r="J729" s="435"/>
      <c r="K729" s="435"/>
      <c r="L729" s="435"/>
      <c r="M729" s="839"/>
      <c r="N729" s="740"/>
      <c r="O729" s="318"/>
      <c r="P729" s="435"/>
      <c r="Q729" s="435"/>
      <c r="R729" s="435"/>
      <c r="S729" s="435"/>
      <c r="T729" s="435"/>
      <c r="U729" s="435"/>
      <c r="V729" s="740"/>
      <c r="W729" s="744"/>
      <c r="X729" s="435"/>
      <c r="Y729" s="781"/>
      <c r="Z729" s="435"/>
      <c r="AA729" s="435"/>
      <c r="AB729" s="743"/>
      <c r="AC729" s="740"/>
      <c r="AD729" s="435"/>
      <c r="AE729" s="435"/>
      <c r="AF729" s="324"/>
      <c r="AG729" s="180"/>
      <c r="AH729" s="155"/>
      <c r="AI729" s="322"/>
      <c r="AJ729" s="132"/>
      <c r="AK729" s="132"/>
    </row>
    <row r="730">
      <c r="A730" s="478"/>
      <c r="B730" s="437"/>
      <c r="C730" s="437"/>
      <c r="D730" s="437"/>
      <c r="E730" s="435"/>
      <c r="F730" s="314"/>
      <c r="G730" s="314"/>
      <c r="H730" s="740"/>
      <c r="I730" s="435"/>
      <c r="J730" s="435"/>
      <c r="K730" s="435"/>
      <c r="L730" s="435"/>
      <c r="M730" s="839"/>
      <c r="N730" s="740"/>
      <c r="O730" s="318"/>
      <c r="P730" s="435"/>
      <c r="Q730" s="435"/>
      <c r="R730" s="435"/>
      <c r="S730" s="435"/>
      <c r="T730" s="435"/>
      <c r="U730" s="435"/>
      <c r="V730" s="740"/>
      <c r="W730" s="744"/>
      <c r="X730" s="435"/>
      <c r="Y730" s="781"/>
      <c r="Z730" s="435"/>
      <c r="AA730" s="435"/>
      <c r="AB730" s="743"/>
      <c r="AC730" s="740"/>
      <c r="AD730" s="435"/>
      <c r="AE730" s="435"/>
      <c r="AF730" s="324"/>
      <c r="AG730" s="180"/>
      <c r="AH730" s="155"/>
      <c r="AI730" s="322"/>
      <c r="AJ730" s="132"/>
      <c r="AK730" s="132"/>
    </row>
    <row r="731">
      <c r="A731" s="478"/>
      <c r="B731" s="437"/>
      <c r="C731" s="437"/>
      <c r="D731" s="313"/>
      <c r="E731" s="314"/>
      <c r="F731" s="314"/>
      <c r="G731" s="314"/>
      <c r="H731" s="740"/>
      <c r="I731" s="435"/>
      <c r="J731" s="314"/>
      <c r="K731" s="435"/>
      <c r="L731" s="314"/>
      <c r="M731" s="839"/>
      <c r="N731" s="318"/>
      <c r="O731" s="318"/>
      <c r="P731" s="314"/>
      <c r="Q731" s="314"/>
      <c r="R731" s="314"/>
      <c r="S731" s="435"/>
      <c r="T731" s="435"/>
      <c r="U731" s="435"/>
      <c r="V731" s="740"/>
      <c r="W731" s="744"/>
      <c r="X731" s="435"/>
      <c r="Y731" s="781"/>
      <c r="Z731" s="435"/>
      <c r="AA731" s="435"/>
      <c r="AB731" s="743"/>
      <c r="AC731" s="740"/>
      <c r="AD731" s="435"/>
      <c r="AE731" s="435"/>
      <c r="AF731" s="324"/>
      <c r="AG731" s="180"/>
      <c r="AH731" s="155"/>
      <c r="AI731" s="322"/>
      <c r="AJ731" s="132"/>
      <c r="AK731" s="132"/>
    </row>
    <row r="732">
      <c r="A732" s="477"/>
      <c r="B732" s="313"/>
      <c r="C732" s="437"/>
      <c r="D732" s="437"/>
      <c r="E732" s="435"/>
      <c r="F732" s="314"/>
      <c r="G732" s="314"/>
      <c r="H732" s="740"/>
      <c r="I732" s="435"/>
      <c r="J732" s="435"/>
      <c r="K732" s="435"/>
      <c r="L732" s="435"/>
      <c r="M732" s="839"/>
      <c r="N732" s="740"/>
      <c r="O732" s="318"/>
      <c r="P732" s="435"/>
      <c r="Q732" s="435"/>
      <c r="R732" s="435"/>
      <c r="S732" s="435"/>
      <c r="T732" s="435"/>
      <c r="U732" s="435"/>
      <c r="V732" s="740"/>
      <c r="W732" s="744"/>
      <c r="X732" s="435"/>
      <c r="Y732" s="781"/>
      <c r="Z732" s="435"/>
      <c r="AA732" s="435"/>
      <c r="AB732" s="743"/>
      <c r="AC732" s="740"/>
      <c r="AD732" s="435"/>
      <c r="AE732" s="435"/>
      <c r="AF732" s="324"/>
      <c r="AG732" s="180"/>
      <c r="AH732" s="155"/>
      <c r="AI732" s="322"/>
      <c r="AJ732" s="132"/>
      <c r="AK732" s="132"/>
    </row>
    <row r="733">
      <c r="A733" s="477"/>
      <c r="B733" s="313"/>
      <c r="C733" s="313"/>
      <c r="D733" s="313"/>
      <c r="E733" s="314"/>
      <c r="F733" s="314"/>
      <c r="G733" s="314"/>
      <c r="H733" s="740"/>
      <c r="I733" s="314"/>
      <c r="J733" s="314"/>
      <c r="K733" s="314"/>
      <c r="L733" s="314"/>
      <c r="M733" s="736"/>
      <c r="N733" s="740"/>
      <c r="O733" s="318"/>
      <c r="P733" s="314"/>
      <c r="Q733" s="435"/>
      <c r="R733" s="314"/>
      <c r="S733" s="314"/>
      <c r="T733" s="314"/>
      <c r="U733" s="314"/>
      <c r="V733" s="318"/>
      <c r="W733" s="315"/>
      <c r="X733" s="314"/>
      <c r="Y733" s="776"/>
      <c r="Z733" s="314"/>
      <c r="AA733" s="314"/>
      <c r="AB733" s="697"/>
      <c r="AC733" s="318"/>
      <c r="AD733" s="314"/>
      <c r="AE733" s="314"/>
      <c r="AF733" s="324"/>
      <c r="AG733" s="180"/>
      <c r="AH733" s="155"/>
      <c r="AI733" s="322"/>
      <c r="AJ733" s="132"/>
      <c r="AK733" s="132"/>
    </row>
    <row r="734">
      <c r="A734" s="477"/>
      <c r="B734" s="313"/>
      <c r="C734" s="313"/>
      <c r="D734" s="313"/>
      <c r="E734" s="314"/>
      <c r="F734" s="314"/>
      <c r="G734" s="314"/>
      <c r="H734" s="318"/>
      <c r="I734" s="314"/>
      <c r="J734" s="314"/>
      <c r="K734" s="314"/>
      <c r="L734" s="314"/>
      <c r="M734" s="736"/>
      <c r="N734" s="318"/>
      <c r="O734" s="318"/>
      <c r="P734" s="314"/>
      <c r="Q734" s="314"/>
      <c r="R734" s="314"/>
      <c r="S734" s="314"/>
      <c r="T734" s="314"/>
      <c r="U734" s="314"/>
      <c r="V734" s="318"/>
      <c r="W734" s="315"/>
      <c r="X734" s="314"/>
      <c r="Y734" s="776"/>
      <c r="Z734" s="314"/>
      <c r="AA734" s="314"/>
      <c r="AB734" s="697"/>
      <c r="AC734" s="318"/>
      <c r="AD734" s="314"/>
      <c r="AE734" s="314"/>
      <c r="AF734" s="324"/>
      <c r="AG734" s="180"/>
      <c r="AH734" s="155"/>
      <c r="AI734" s="322"/>
      <c r="AJ734" s="132"/>
      <c r="AK734" s="132"/>
    </row>
    <row r="735">
      <c r="A735" s="476"/>
      <c r="AH735" s="176"/>
      <c r="AI735" s="322"/>
      <c r="AJ735" s="132"/>
      <c r="AK735" s="132"/>
    </row>
    <row r="736">
      <c r="A736" s="178"/>
      <c r="AI736" s="322"/>
      <c r="AJ736" s="132"/>
      <c r="AK736" s="132"/>
    </row>
    <row r="737">
      <c r="A737" s="477"/>
      <c r="B737" s="437"/>
      <c r="C737" s="437"/>
      <c r="D737" s="437"/>
      <c r="E737" s="314"/>
      <c r="F737" s="314"/>
      <c r="G737" s="314"/>
      <c r="H737" s="318"/>
      <c r="I737" s="314"/>
      <c r="J737" s="314"/>
      <c r="K737" s="435"/>
      <c r="L737" s="435"/>
      <c r="M737" s="736"/>
      <c r="N737" s="318"/>
      <c r="O737" s="318"/>
      <c r="P737" s="314"/>
      <c r="Q737" s="435"/>
      <c r="R737" s="435"/>
      <c r="S737" s="435"/>
      <c r="T737" s="435"/>
      <c r="U737" s="435"/>
      <c r="V737" s="740"/>
      <c r="W737" s="744"/>
      <c r="X737" s="435"/>
      <c r="Y737" s="781"/>
      <c r="Z737" s="435"/>
      <c r="AA737" s="435"/>
      <c r="AB737" s="743"/>
      <c r="AC737" s="740"/>
      <c r="AD737" s="435"/>
      <c r="AE737" s="435"/>
      <c r="AF737" s="324"/>
      <c r="AG737" s="180"/>
      <c r="AH737" s="155"/>
      <c r="AI737" s="322"/>
      <c r="AJ737" s="132"/>
      <c r="AK737" s="132"/>
    </row>
    <row r="738">
      <c r="A738" s="477"/>
      <c r="B738" s="313"/>
      <c r="C738" s="437"/>
      <c r="D738" s="437"/>
      <c r="E738" s="314"/>
      <c r="F738" s="314"/>
      <c r="G738" s="314"/>
      <c r="H738" s="318"/>
      <c r="I738" s="435"/>
      <c r="J738" s="435"/>
      <c r="K738" s="435"/>
      <c r="L738" s="314"/>
      <c r="M738" s="839"/>
      <c r="N738" s="318"/>
      <c r="O738" s="318"/>
      <c r="P738" s="314"/>
      <c r="Q738" s="435"/>
      <c r="R738" s="435"/>
      <c r="S738" s="435"/>
      <c r="T738" s="435"/>
      <c r="U738" s="435"/>
      <c r="V738" s="740"/>
      <c r="W738" s="744"/>
      <c r="X738" s="435"/>
      <c r="Y738" s="781"/>
      <c r="Z738" s="435"/>
      <c r="AA738" s="435"/>
      <c r="AB738" s="743"/>
      <c r="AC738" s="740"/>
      <c r="AD738" s="435"/>
      <c r="AE738" s="435"/>
      <c r="AF738" s="324"/>
      <c r="AG738" s="180"/>
      <c r="AH738" s="155"/>
      <c r="AI738" s="322"/>
      <c r="AJ738" s="132"/>
      <c r="AK738" s="132"/>
    </row>
    <row r="739">
      <c r="A739" s="477"/>
      <c r="B739" s="313"/>
      <c r="C739" s="437"/>
      <c r="D739" s="437"/>
      <c r="E739" s="435"/>
      <c r="F739" s="314"/>
      <c r="G739" s="314"/>
      <c r="H739" s="740"/>
      <c r="I739" s="314"/>
      <c r="J739" s="314"/>
      <c r="K739" s="435"/>
      <c r="L739" s="314"/>
      <c r="M739" s="839"/>
      <c r="N739" s="740"/>
      <c r="O739" s="318"/>
      <c r="P739" s="435"/>
      <c r="Q739" s="435"/>
      <c r="R739" s="435"/>
      <c r="S739" s="435"/>
      <c r="T739" s="435"/>
      <c r="U739" s="435"/>
      <c r="V739" s="740"/>
      <c r="W739" s="744"/>
      <c r="X739" s="435"/>
      <c r="Y739" s="781"/>
      <c r="Z739" s="435"/>
      <c r="AA739" s="435"/>
      <c r="AB739" s="743"/>
      <c r="AC739" s="740"/>
      <c r="AD739" s="435"/>
      <c r="AE739" s="435"/>
      <c r="AF739" s="324"/>
      <c r="AG739" s="180"/>
      <c r="AH739" s="155"/>
      <c r="AI739" s="322"/>
      <c r="AJ739" s="132"/>
      <c r="AK739" s="132"/>
    </row>
    <row r="740">
      <c r="A740" s="479"/>
      <c r="B740" s="313"/>
      <c r="C740" s="313"/>
      <c r="D740" s="313"/>
      <c r="E740" s="314"/>
      <c r="F740" s="314"/>
      <c r="G740" s="314"/>
      <c r="H740" s="318"/>
      <c r="I740" s="314"/>
      <c r="J740" s="314"/>
      <c r="K740" s="314"/>
      <c r="L740" s="314"/>
      <c r="M740" s="736"/>
      <c r="N740" s="318"/>
      <c r="O740" s="318"/>
      <c r="P740" s="314"/>
      <c r="Q740" s="435"/>
      <c r="R740" s="314"/>
      <c r="S740" s="314"/>
      <c r="T740" s="314"/>
      <c r="U740" s="314"/>
      <c r="V740" s="318"/>
      <c r="W740" s="315"/>
      <c r="X740" s="314"/>
      <c r="Y740" s="776"/>
      <c r="Z740" s="314"/>
      <c r="AA740" s="314"/>
      <c r="AB740" s="697"/>
      <c r="AC740" s="318"/>
      <c r="AD740" s="314"/>
      <c r="AE740" s="314"/>
      <c r="AF740" s="324"/>
      <c r="AG740" s="180"/>
      <c r="AH740" s="155"/>
      <c r="AI740" s="322"/>
      <c r="AJ740" s="132"/>
      <c r="AK740" s="132"/>
    </row>
    <row r="741">
      <c r="A741" s="476"/>
      <c r="AH741" s="176"/>
      <c r="AI741" s="322"/>
      <c r="AJ741" s="132"/>
      <c r="AK741" s="132"/>
    </row>
    <row r="742">
      <c r="A742" s="178"/>
      <c r="AI742" s="322"/>
      <c r="AJ742" s="132"/>
      <c r="AK742" s="132"/>
    </row>
    <row r="743">
      <c r="A743" s="480"/>
      <c r="B743" s="313"/>
      <c r="C743" s="437"/>
      <c r="D743" s="313"/>
      <c r="E743" s="314"/>
      <c r="F743" s="314"/>
      <c r="G743" s="314"/>
      <c r="H743" s="318"/>
      <c r="I743" s="314"/>
      <c r="J743" s="435"/>
      <c r="K743" s="435"/>
      <c r="L743" s="314"/>
      <c r="M743" s="736"/>
      <c r="N743" s="318"/>
      <c r="O743" s="318"/>
      <c r="P743" s="314"/>
      <c r="Q743" s="435"/>
      <c r="R743" s="314"/>
      <c r="S743" s="314"/>
      <c r="T743" s="314"/>
      <c r="U743" s="314"/>
      <c r="V743" s="318"/>
      <c r="W743" s="315"/>
      <c r="X743" s="314"/>
      <c r="Y743" s="776"/>
      <c r="Z743" s="314"/>
      <c r="AA743" s="314"/>
      <c r="AB743" s="697"/>
      <c r="AC743" s="318"/>
      <c r="AD743" s="314"/>
      <c r="AE743" s="314"/>
      <c r="AF743" s="324"/>
      <c r="AG743" s="180"/>
      <c r="AH743" s="180"/>
      <c r="AI743" s="322"/>
      <c r="AJ743" s="132"/>
      <c r="AK743" s="132"/>
    </row>
    <row r="744">
      <c r="A744" s="480"/>
      <c r="B744" s="313"/>
      <c r="C744" s="437"/>
      <c r="D744" s="313"/>
      <c r="E744" s="314"/>
      <c r="F744" s="314"/>
      <c r="G744" s="314"/>
      <c r="H744" s="740"/>
      <c r="I744" s="314"/>
      <c r="J744" s="435"/>
      <c r="K744" s="435"/>
      <c r="L744" s="314"/>
      <c r="M744" s="839"/>
      <c r="N744" s="740"/>
      <c r="O744" s="318"/>
      <c r="P744" s="435"/>
      <c r="Q744" s="435"/>
      <c r="R744" s="314"/>
      <c r="S744" s="435"/>
      <c r="T744" s="435"/>
      <c r="U744" s="435"/>
      <c r="V744" s="740"/>
      <c r="W744" s="744"/>
      <c r="X744" s="435"/>
      <c r="Y744" s="781"/>
      <c r="Z744" s="435"/>
      <c r="AA744" s="435"/>
      <c r="AB744" s="743"/>
      <c r="AC744" s="740"/>
      <c r="AD744" s="435"/>
      <c r="AE744" s="435"/>
      <c r="AF744" s="324"/>
      <c r="AG744" s="180"/>
      <c r="AH744" s="180"/>
      <c r="AI744" s="322"/>
      <c r="AJ744" s="132"/>
      <c r="AK744" s="132"/>
    </row>
    <row r="745">
      <c r="A745" s="476"/>
      <c r="AH745" s="176"/>
      <c r="AI745" s="322"/>
      <c r="AJ745" s="132"/>
      <c r="AK745" s="132"/>
    </row>
    <row r="746">
      <c r="A746" s="178"/>
      <c r="AI746" s="322"/>
      <c r="AJ746" s="132"/>
      <c r="AK746" s="132"/>
    </row>
    <row r="747">
      <c r="A747" s="481"/>
      <c r="B747" s="313"/>
      <c r="C747" s="437"/>
      <c r="D747" s="437"/>
      <c r="E747" s="435"/>
      <c r="F747" s="314"/>
      <c r="G747" s="435"/>
      <c r="H747" s="740"/>
      <c r="I747" s="435"/>
      <c r="J747" s="314"/>
      <c r="K747" s="435"/>
      <c r="L747" s="435"/>
      <c r="M747" s="839"/>
      <c r="N747" s="318"/>
      <c r="O747" s="318"/>
      <c r="P747" s="435"/>
      <c r="Q747" s="435"/>
      <c r="R747" s="435"/>
      <c r="S747" s="435"/>
      <c r="T747" s="435"/>
      <c r="U747" s="435"/>
      <c r="V747" s="740"/>
      <c r="W747" s="744"/>
      <c r="X747" s="435"/>
      <c r="Y747" s="781"/>
      <c r="Z747" s="435"/>
      <c r="AA747" s="435"/>
      <c r="AB747" s="743"/>
      <c r="AC747" s="740"/>
      <c r="AD747" s="435"/>
      <c r="AE747" s="435"/>
      <c r="AF747" s="324"/>
      <c r="AG747" s="180"/>
      <c r="AH747" s="155"/>
      <c r="AI747" s="322"/>
      <c r="AJ747" s="132"/>
      <c r="AK747" s="132"/>
    </row>
    <row r="748">
      <c r="A748" s="435"/>
      <c r="B748" s="313"/>
      <c r="C748" s="437"/>
      <c r="D748" s="437"/>
      <c r="E748" s="314"/>
      <c r="F748" s="314"/>
      <c r="G748" s="314"/>
      <c r="H748" s="740"/>
      <c r="I748" s="314"/>
      <c r="J748" s="435"/>
      <c r="K748" s="435"/>
      <c r="L748" s="314"/>
      <c r="M748" s="736"/>
      <c r="N748" s="318"/>
      <c r="O748" s="318"/>
      <c r="P748" s="435"/>
      <c r="Q748" s="435"/>
      <c r="R748" s="435"/>
      <c r="S748" s="435"/>
      <c r="T748" s="435"/>
      <c r="U748" s="435"/>
      <c r="V748" s="740"/>
      <c r="W748" s="744"/>
      <c r="X748" s="435"/>
      <c r="Y748" s="781"/>
      <c r="Z748" s="435"/>
      <c r="AA748" s="435"/>
      <c r="AB748" s="743"/>
      <c r="AC748" s="740"/>
      <c r="AD748" s="435"/>
      <c r="AE748" s="435"/>
      <c r="AF748" s="324"/>
      <c r="AG748" s="180"/>
      <c r="AH748" s="155"/>
      <c r="AI748" s="322"/>
      <c r="AJ748" s="132"/>
      <c r="AK748" s="132"/>
    </row>
    <row r="749">
      <c r="A749" s="482"/>
      <c r="B749" s="313"/>
      <c r="C749" s="313"/>
      <c r="D749" s="437"/>
      <c r="E749" s="314"/>
      <c r="F749" s="314"/>
      <c r="G749" s="314"/>
      <c r="H749" s="318"/>
      <c r="I749" s="314"/>
      <c r="J749" s="314"/>
      <c r="K749" s="435"/>
      <c r="L749" s="314"/>
      <c r="M749" s="736"/>
      <c r="N749" s="318"/>
      <c r="O749" s="318"/>
      <c r="P749" s="314"/>
      <c r="Q749" s="314"/>
      <c r="R749" s="435"/>
      <c r="S749" s="314"/>
      <c r="T749" s="314"/>
      <c r="U749" s="314"/>
      <c r="V749" s="318"/>
      <c r="W749" s="315"/>
      <c r="X749" s="314"/>
      <c r="Y749" s="776"/>
      <c r="Z749" s="314"/>
      <c r="AA749" s="314"/>
      <c r="AB749" s="697"/>
      <c r="AC749" s="318"/>
      <c r="AD749" s="314"/>
      <c r="AE749" s="314"/>
      <c r="AF749" s="324"/>
      <c r="AG749" s="180"/>
      <c r="AH749" s="155"/>
      <c r="AI749" s="322"/>
      <c r="AJ749" s="132"/>
      <c r="AK749" s="132"/>
    </row>
    <row r="750">
      <c r="A750" s="482"/>
      <c r="B750" s="313"/>
      <c r="C750" s="437"/>
      <c r="D750" s="437"/>
      <c r="E750" s="435"/>
      <c r="F750" s="314"/>
      <c r="G750" s="314"/>
      <c r="H750" s="740"/>
      <c r="I750" s="435"/>
      <c r="J750" s="435"/>
      <c r="K750" s="435"/>
      <c r="L750" s="435"/>
      <c r="M750" s="839"/>
      <c r="N750" s="740"/>
      <c r="O750" s="318"/>
      <c r="P750" s="435"/>
      <c r="Q750" s="435"/>
      <c r="R750" s="435"/>
      <c r="S750" s="435"/>
      <c r="T750" s="435"/>
      <c r="U750" s="435"/>
      <c r="V750" s="740"/>
      <c r="W750" s="744"/>
      <c r="X750" s="435"/>
      <c r="Y750" s="781"/>
      <c r="Z750" s="435"/>
      <c r="AA750" s="435"/>
      <c r="AB750" s="743"/>
      <c r="AC750" s="740"/>
      <c r="AD750" s="435"/>
      <c r="AE750" s="435"/>
      <c r="AF750" s="324"/>
      <c r="AG750" s="180"/>
      <c r="AH750" s="155"/>
      <c r="AI750" s="322"/>
      <c r="AJ750" s="132"/>
      <c r="AK750" s="132"/>
    </row>
    <row r="751">
      <c r="A751" s="314"/>
      <c r="B751" s="313"/>
      <c r="C751" s="313"/>
      <c r="D751" s="313"/>
      <c r="E751" s="314"/>
      <c r="F751" s="314"/>
      <c r="G751" s="314"/>
      <c r="H751" s="318"/>
      <c r="I751" s="314"/>
      <c r="J751" s="314"/>
      <c r="K751" s="314"/>
      <c r="L751" s="314"/>
      <c r="M751" s="736"/>
      <c r="N751" s="318"/>
      <c r="O751" s="318"/>
      <c r="P751" s="314"/>
      <c r="Q751" s="314"/>
      <c r="R751" s="314"/>
      <c r="S751" s="314"/>
      <c r="T751" s="314"/>
      <c r="U751" s="314"/>
      <c r="V751" s="318"/>
      <c r="W751" s="315"/>
      <c r="X751" s="314"/>
      <c r="Y751" s="776"/>
      <c r="Z751" s="314"/>
      <c r="AA751" s="314"/>
      <c r="AB751" s="697"/>
      <c r="AC751" s="318"/>
      <c r="AD751" s="314"/>
      <c r="AE751" s="314"/>
      <c r="AF751" s="483"/>
      <c r="AH751" s="484"/>
      <c r="AI751" s="322"/>
      <c r="AJ751" s="132"/>
      <c r="AK751" s="132"/>
    </row>
    <row r="752">
      <c r="A752" s="314"/>
      <c r="B752" s="313"/>
      <c r="C752" s="313"/>
      <c r="D752" s="313"/>
      <c r="E752" s="314"/>
      <c r="F752" s="314"/>
      <c r="G752" s="314"/>
      <c r="H752" s="318"/>
      <c r="I752" s="314"/>
      <c r="J752" s="314"/>
      <c r="K752" s="314"/>
      <c r="L752" s="314"/>
      <c r="M752" s="736"/>
      <c r="N752" s="318"/>
      <c r="O752" s="318"/>
      <c r="P752" s="314"/>
      <c r="Q752" s="314"/>
      <c r="R752" s="314"/>
      <c r="S752" s="314"/>
      <c r="T752" s="314"/>
      <c r="U752" s="314"/>
      <c r="V752" s="318"/>
      <c r="W752" s="315"/>
      <c r="X752" s="314"/>
      <c r="Y752" s="776"/>
      <c r="Z752" s="314"/>
      <c r="AA752" s="314"/>
      <c r="AB752" s="697"/>
      <c r="AC752" s="318"/>
      <c r="AD752" s="314"/>
      <c r="AE752" s="314"/>
      <c r="AF752" s="324"/>
      <c r="AG752" s="155"/>
      <c r="AH752" s="155"/>
      <c r="AI752" s="322"/>
      <c r="AJ752" s="132"/>
      <c r="AK752" s="132"/>
    </row>
    <row r="753">
      <c r="A753" s="314"/>
      <c r="B753" s="313"/>
      <c r="C753" s="313"/>
      <c r="D753" s="313"/>
      <c r="E753" s="314"/>
      <c r="F753" s="314"/>
      <c r="G753" s="314"/>
      <c r="H753" s="318"/>
      <c r="I753" s="314"/>
      <c r="J753" s="314"/>
      <c r="K753" s="314"/>
      <c r="L753" s="314"/>
      <c r="M753" s="736"/>
      <c r="N753" s="318"/>
      <c r="O753" s="318"/>
      <c r="P753" s="314"/>
      <c r="Q753" s="314"/>
      <c r="R753" s="314"/>
      <c r="S753" s="314"/>
      <c r="T753" s="314"/>
      <c r="U753" s="314"/>
      <c r="V753" s="318"/>
      <c r="W753" s="315"/>
      <c r="X753" s="314"/>
      <c r="Y753" s="776"/>
      <c r="Z753" s="314"/>
      <c r="AA753" s="314"/>
      <c r="AB753" s="697"/>
      <c r="AC753" s="318"/>
      <c r="AD753" s="314"/>
      <c r="AE753" s="314"/>
      <c r="AF753" s="324"/>
      <c r="AG753" s="155"/>
      <c r="AH753" s="155"/>
      <c r="AI753" s="322"/>
      <c r="AJ753" s="132"/>
      <c r="AK753" s="132"/>
    </row>
    <row r="754">
      <c r="A754" s="314"/>
      <c r="B754" s="313"/>
      <c r="C754" s="313"/>
      <c r="D754" s="313"/>
      <c r="E754" s="314"/>
      <c r="F754" s="314"/>
      <c r="G754" s="314"/>
      <c r="H754" s="318"/>
      <c r="I754" s="314"/>
      <c r="J754" s="314"/>
      <c r="K754" s="314"/>
      <c r="L754" s="314"/>
      <c r="M754" s="736"/>
      <c r="N754" s="318"/>
      <c r="O754" s="318"/>
      <c r="P754" s="314"/>
      <c r="Q754" s="314"/>
      <c r="R754" s="314"/>
      <c r="S754" s="314"/>
      <c r="T754" s="314"/>
      <c r="U754" s="314"/>
      <c r="V754" s="318"/>
      <c r="W754" s="315"/>
      <c r="X754" s="314"/>
      <c r="Y754" s="776"/>
      <c r="Z754" s="314"/>
      <c r="AA754" s="314"/>
      <c r="AB754" s="697"/>
      <c r="AC754" s="318"/>
      <c r="AD754" s="314"/>
      <c r="AE754" s="314"/>
      <c r="AF754" s="324"/>
      <c r="AG754" s="155"/>
      <c r="AH754" s="155"/>
      <c r="AI754" s="322"/>
      <c r="AJ754" s="132"/>
      <c r="AK754" s="132"/>
    </row>
    <row r="755">
      <c r="A755" s="314"/>
      <c r="B755" s="313"/>
      <c r="C755" s="313"/>
      <c r="D755" s="313"/>
      <c r="E755" s="314"/>
      <c r="F755" s="314"/>
      <c r="G755" s="314"/>
      <c r="H755" s="318"/>
      <c r="I755" s="314"/>
      <c r="J755" s="314"/>
      <c r="K755" s="314"/>
      <c r="L755" s="314"/>
      <c r="M755" s="736"/>
      <c r="N755" s="318"/>
      <c r="O755" s="318"/>
      <c r="P755" s="314"/>
      <c r="Q755" s="314"/>
      <c r="R755" s="314"/>
      <c r="S755" s="314"/>
      <c r="T755" s="314"/>
      <c r="U755" s="314"/>
      <c r="V755" s="318"/>
      <c r="W755" s="315"/>
      <c r="X755" s="314"/>
      <c r="Y755" s="776"/>
      <c r="Z755" s="314"/>
      <c r="AA755" s="314"/>
      <c r="AB755" s="697"/>
      <c r="AC755" s="318"/>
      <c r="AD755" s="314"/>
      <c r="AE755" s="314"/>
      <c r="AF755" s="324"/>
      <c r="AG755" s="155"/>
      <c r="AH755" s="155"/>
      <c r="AI755" s="322"/>
      <c r="AJ755" s="132"/>
      <c r="AK755" s="132"/>
    </row>
    <row r="756">
      <c r="A756" s="314"/>
      <c r="B756" s="313"/>
      <c r="C756" s="313"/>
      <c r="D756" s="313"/>
      <c r="E756" s="314"/>
      <c r="F756" s="314"/>
      <c r="G756" s="314"/>
      <c r="H756" s="318"/>
      <c r="I756" s="314"/>
      <c r="J756" s="314"/>
      <c r="K756" s="314"/>
      <c r="L756" s="314"/>
      <c r="M756" s="736"/>
      <c r="N756" s="318"/>
      <c r="O756" s="318"/>
      <c r="P756" s="314"/>
      <c r="Q756" s="314"/>
      <c r="R756" s="314"/>
      <c r="S756" s="314"/>
      <c r="T756" s="314"/>
      <c r="U756" s="314"/>
      <c r="V756" s="318"/>
      <c r="W756" s="315"/>
      <c r="X756" s="314"/>
      <c r="Y756" s="776"/>
      <c r="Z756" s="314"/>
      <c r="AA756" s="314"/>
      <c r="AB756" s="697"/>
      <c r="AC756" s="318"/>
      <c r="AD756" s="314"/>
      <c r="AE756" s="314"/>
      <c r="AF756" s="324"/>
      <c r="AG756" s="155"/>
      <c r="AH756" s="155"/>
      <c r="AI756" s="322"/>
      <c r="AJ756" s="132"/>
      <c r="AK756" s="132"/>
    </row>
    <row r="757">
      <c r="A757" s="314"/>
      <c r="B757" s="313"/>
      <c r="C757" s="313"/>
      <c r="D757" s="313"/>
      <c r="E757" s="314"/>
      <c r="F757" s="314"/>
      <c r="G757" s="314"/>
      <c r="H757" s="318"/>
      <c r="I757" s="314"/>
      <c r="J757" s="314"/>
      <c r="K757" s="314"/>
      <c r="L757" s="314"/>
      <c r="M757" s="736"/>
      <c r="N757" s="318"/>
      <c r="O757" s="318"/>
      <c r="P757" s="314"/>
      <c r="Q757" s="314"/>
      <c r="R757" s="314"/>
      <c r="S757" s="314"/>
      <c r="T757" s="314"/>
      <c r="U757" s="314"/>
      <c r="V757" s="318"/>
      <c r="W757" s="315"/>
      <c r="X757" s="314"/>
      <c r="Y757" s="776"/>
      <c r="Z757" s="314"/>
      <c r="AA757" s="314"/>
      <c r="AB757" s="697"/>
      <c r="AC757" s="318"/>
      <c r="AD757" s="314"/>
      <c r="AE757" s="314"/>
      <c r="AF757" s="324"/>
      <c r="AG757" s="155"/>
      <c r="AH757" s="155"/>
      <c r="AI757" s="322"/>
      <c r="AJ757" s="132"/>
      <c r="AK757" s="132"/>
    </row>
    <row r="758">
      <c r="A758" s="314"/>
      <c r="B758" s="313"/>
      <c r="C758" s="313"/>
      <c r="D758" s="313"/>
      <c r="E758" s="314"/>
      <c r="F758" s="314"/>
      <c r="G758" s="314"/>
      <c r="H758" s="318"/>
      <c r="I758" s="314"/>
      <c r="J758" s="314"/>
      <c r="K758" s="314"/>
      <c r="L758" s="314"/>
      <c r="M758" s="736"/>
      <c r="N758" s="318"/>
      <c r="O758" s="318"/>
      <c r="P758" s="314"/>
      <c r="Q758" s="314"/>
      <c r="R758" s="314"/>
      <c r="S758" s="314"/>
      <c r="T758" s="314"/>
      <c r="U758" s="314"/>
      <c r="V758" s="318"/>
      <c r="W758" s="315"/>
      <c r="X758" s="314"/>
      <c r="Y758" s="776"/>
      <c r="Z758" s="314"/>
      <c r="AA758" s="314"/>
      <c r="AB758" s="697"/>
      <c r="AC758" s="318"/>
      <c r="AD758" s="314"/>
      <c r="AE758" s="314"/>
      <c r="AF758" s="324"/>
      <c r="AG758" s="155"/>
      <c r="AH758" s="155"/>
      <c r="AI758" s="322"/>
      <c r="AJ758" s="132"/>
      <c r="AK758" s="132"/>
    </row>
    <row r="759">
      <c r="A759" s="314"/>
      <c r="B759" s="313"/>
      <c r="C759" s="313"/>
      <c r="D759" s="313"/>
      <c r="E759" s="314"/>
      <c r="F759" s="314"/>
      <c r="G759" s="314"/>
      <c r="H759" s="318"/>
      <c r="I759" s="314"/>
      <c r="J759" s="314"/>
      <c r="K759" s="314"/>
      <c r="L759" s="314"/>
      <c r="M759" s="736"/>
      <c r="N759" s="318"/>
      <c r="O759" s="318"/>
      <c r="P759" s="314"/>
      <c r="Q759" s="314"/>
      <c r="R759" s="314"/>
      <c r="S759" s="314"/>
      <c r="T759" s="314"/>
      <c r="U759" s="314"/>
      <c r="V759" s="318"/>
      <c r="W759" s="315"/>
      <c r="X759" s="314"/>
      <c r="Y759" s="776"/>
      <c r="Z759" s="314"/>
      <c r="AA759" s="314"/>
      <c r="AB759" s="697"/>
      <c r="AC759" s="318"/>
      <c r="AD759" s="314"/>
      <c r="AE759" s="314"/>
      <c r="AF759" s="324"/>
      <c r="AG759" s="155"/>
      <c r="AH759" s="155"/>
      <c r="AI759" s="322"/>
      <c r="AJ759" s="132"/>
      <c r="AK759" s="132"/>
    </row>
    <row r="760">
      <c r="A760" s="314"/>
      <c r="B760" s="313"/>
      <c r="C760" s="313"/>
      <c r="D760" s="313"/>
      <c r="E760" s="314"/>
      <c r="F760" s="314"/>
      <c r="G760" s="314"/>
      <c r="H760" s="318"/>
      <c r="I760" s="314"/>
      <c r="J760" s="314"/>
      <c r="K760" s="314"/>
      <c r="L760" s="314"/>
      <c r="M760" s="736"/>
      <c r="N760" s="318"/>
      <c r="O760" s="318"/>
      <c r="P760" s="314"/>
      <c r="Q760" s="314"/>
      <c r="R760" s="314"/>
      <c r="S760" s="314"/>
      <c r="T760" s="314"/>
      <c r="U760" s="314"/>
      <c r="V760" s="318"/>
      <c r="W760" s="315"/>
      <c r="X760" s="314"/>
      <c r="Y760" s="776"/>
      <c r="Z760" s="314"/>
      <c r="AA760" s="314"/>
      <c r="AB760" s="697"/>
      <c r="AC760" s="318"/>
      <c r="AD760" s="314"/>
      <c r="AE760" s="314"/>
      <c r="AF760" s="324"/>
      <c r="AG760" s="155"/>
      <c r="AH760" s="155"/>
      <c r="AI760" s="322"/>
      <c r="AJ760" s="132"/>
      <c r="AK760" s="132"/>
    </row>
    <row r="761">
      <c r="A761" s="314"/>
      <c r="B761" s="313"/>
      <c r="C761" s="313"/>
      <c r="D761" s="313"/>
      <c r="E761" s="314"/>
      <c r="F761" s="314"/>
      <c r="G761" s="314"/>
      <c r="H761" s="318"/>
      <c r="I761" s="314"/>
      <c r="J761" s="314"/>
      <c r="K761" s="314"/>
      <c r="L761" s="314"/>
      <c r="M761" s="736"/>
      <c r="N761" s="318"/>
      <c r="O761" s="318"/>
      <c r="P761" s="314"/>
      <c r="Q761" s="314"/>
      <c r="R761" s="314"/>
      <c r="S761" s="314"/>
      <c r="T761" s="314"/>
      <c r="U761" s="314"/>
      <c r="V761" s="318"/>
      <c r="W761" s="315"/>
      <c r="X761" s="314"/>
      <c r="Y761" s="776"/>
      <c r="Z761" s="314"/>
      <c r="AA761" s="314"/>
      <c r="AB761" s="697"/>
      <c r="AC761" s="318"/>
      <c r="AD761" s="314"/>
      <c r="AE761" s="314"/>
      <c r="AF761" s="324"/>
      <c r="AG761" s="155"/>
      <c r="AH761" s="155"/>
      <c r="AI761" s="322"/>
      <c r="AJ761" s="132"/>
      <c r="AK761" s="132"/>
    </row>
    <row r="762">
      <c r="A762" s="314"/>
      <c r="B762" s="313"/>
      <c r="C762" s="313"/>
      <c r="D762" s="313"/>
      <c r="E762" s="314"/>
      <c r="F762" s="314"/>
      <c r="G762" s="314"/>
      <c r="H762" s="318"/>
      <c r="I762" s="314"/>
      <c r="J762" s="314"/>
      <c r="K762" s="314"/>
      <c r="L762" s="314"/>
      <c r="M762" s="736"/>
      <c r="N762" s="318"/>
      <c r="O762" s="318"/>
      <c r="P762" s="314"/>
      <c r="Q762" s="314"/>
      <c r="R762" s="314"/>
      <c r="S762" s="314"/>
      <c r="T762" s="314"/>
      <c r="U762" s="314"/>
      <c r="V762" s="318"/>
      <c r="W762" s="315"/>
      <c r="X762" s="314"/>
      <c r="Y762" s="776"/>
      <c r="Z762" s="314"/>
      <c r="AA762" s="314"/>
      <c r="AB762" s="697"/>
      <c r="AC762" s="318"/>
      <c r="AD762" s="314"/>
      <c r="AE762" s="314"/>
      <c r="AF762" s="324"/>
      <c r="AG762" s="155"/>
      <c r="AH762" s="155"/>
      <c r="AI762" s="322"/>
      <c r="AJ762" s="132"/>
      <c r="AK762" s="132"/>
    </row>
    <row r="763">
      <c r="A763" s="314"/>
      <c r="B763" s="313"/>
      <c r="C763" s="313"/>
      <c r="D763" s="313"/>
      <c r="E763" s="314"/>
      <c r="F763" s="314"/>
      <c r="G763" s="314"/>
      <c r="H763" s="318"/>
      <c r="I763" s="314"/>
      <c r="J763" s="314"/>
      <c r="K763" s="314"/>
      <c r="L763" s="314"/>
      <c r="M763" s="736"/>
      <c r="N763" s="318"/>
      <c r="O763" s="318"/>
      <c r="P763" s="314"/>
      <c r="Q763" s="314"/>
      <c r="R763" s="314"/>
      <c r="S763" s="314"/>
      <c r="T763" s="314"/>
      <c r="U763" s="314"/>
      <c r="V763" s="318"/>
      <c r="W763" s="315"/>
      <c r="X763" s="314"/>
      <c r="Y763" s="776"/>
      <c r="Z763" s="314"/>
      <c r="AA763" s="314"/>
      <c r="AB763" s="697"/>
      <c r="AC763" s="318"/>
      <c r="AD763" s="314"/>
      <c r="AE763" s="314"/>
      <c r="AF763" s="324"/>
      <c r="AG763" s="155"/>
      <c r="AH763" s="155"/>
      <c r="AI763" s="322"/>
      <c r="AJ763" s="132"/>
      <c r="AK763" s="132"/>
    </row>
    <row r="764">
      <c r="A764" s="314"/>
      <c r="B764" s="313"/>
      <c r="C764" s="313"/>
      <c r="D764" s="313"/>
      <c r="E764" s="314"/>
      <c r="F764" s="314"/>
      <c r="G764" s="314"/>
      <c r="H764" s="318"/>
      <c r="I764" s="314"/>
      <c r="J764" s="314"/>
      <c r="K764" s="314"/>
      <c r="L764" s="314"/>
      <c r="M764" s="736"/>
      <c r="N764" s="318"/>
      <c r="O764" s="318"/>
      <c r="P764" s="314"/>
      <c r="Q764" s="314"/>
      <c r="R764" s="314"/>
      <c r="S764" s="314"/>
      <c r="T764" s="314"/>
      <c r="U764" s="314"/>
      <c r="V764" s="318"/>
      <c r="W764" s="315"/>
      <c r="X764" s="314"/>
      <c r="Y764" s="776"/>
      <c r="Z764" s="314"/>
      <c r="AA764" s="314"/>
      <c r="AB764" s="697"/>
      <c r="AC764" s="318"/>
      <c r="AD764" s="314"/>
      <c r="AE764" s="314"/>
      <c r="AF764" s="324"/>
      <c r="AG764" s="155"/>
      <c r="AH764" s="155"/>
      <c r="AI764" s="322"/>
      <c r="AJ764" s="132"/>
      <c r="AK764" s="132"/>
    </row>
    <row r="765">
      <c r="A765" s="314"/>
      <c r="B765" s="313"/>
      <c r="C765" s="313"/>
      <c r="D765" s="313"/>
      <c r="E765" s="314"/>
      <c r="F765" s="314"/>
      <c r="G765" s="314"/>
      <c r="H765" s="318"/>
      <c r="I765" s="314"/>
      <c r="J765" s="314"/>
      <c r="K765" s="314"/>
      <c r="L765" s="314"/>
      <c r="M765" s="736"/>
      <c r="N765" s="318"/>
      <c r="O765" s="318"/>
      <c r="P765" s="314"/>
      <c r="Q765" s="314"/>
      <c r="R765" s="314"/>
      <c r="S765" s="314"/>
      <c r="T765" s="314"/>
      <c r="U765" s="314"/>
      <c r="V765" s="318"/>
      <c r="W765" s="315"/>
      <c r="X765" s="314"/>
      <c r="Y765" s="776"/>
      <c r="Z765" s="314"/>
      <c r="AA765" s="314"/>
      <c r="AB765" s="697"/>
      <c r="AC765" s="318"/>
      <c r="AD765" s="314"/>
      <c r="AE765" s="314"/>
      <c r="AF765" s="324"/>
      <c r="AG765" s="155"/>
      <c r="AH765" s="155"/>
      <c r="AI765" s="322"/>
      <c r="AJ765" s="132"/>
      <c r="AK765" s="132"/>
    </row>
    <row r="766">
      <c r="A766" s="314"/>
      <c r="B766" s="313"/>
      <c r="C766" s="313"/>
      <c r="D766" s="313"/>
      <c r="E766" s="314"/>
      <c r="F766" s="314"/>
      <c r="G766" s="314"/>
      <c r="H766" s="318"/>
      <c r="I766" s="314"/>
      <c r="J766" s="314"/>
      <c r="K766" s="314"/>
      <c r="L766" s="314"/>
      <c r="M766" s="736"/>
      <c r="N766" s="318"/>
      <c r="O766" s="318"/>
      <c r="P766" s="314"/>
      <c r="Q766" s="314"/>
      <c r="R766" s="314"/>
      <c r="S766" s="314"/>
      <c r="T766" s="314"/>
      <c r="U766" s="314"/>
      <c r="V766" s="318"/>
      <c r="W766" s="315"/>
      <c r="X766" s="314"/>
      <c r="Y766" s="776"/>
      <c r="Z766" s="314"/>
      <c r="AA766" s="314"/>
      <c r="AB766" s="697"/>
      <c r="AC766" s="318"/>
      <c r="AD766" s="314"/>
      <c r="AE766" s="314"/>
      <c r="AF766" s="324"/>
      <c r="AG766" s="155"/>
      <c r="AH766" s="155"/>
      <c r="AI766" s="322"/>
      <c r="AJ766" s="132"/>
      <c r="AK766" s="132"/>
    </row>
    <row r="767">
      <c r="A767" s="314"/>
      <c r="B767" s="313"/>
      <c r="C767" s="313"/>
      <c r="D767" s="313"/>
      <c r="E767" s="314"/>
      <c r="F767" s="314"/>
      <c r="G767" s="314"/>
      <c r="H767" s="318"/>
      <c r="I767" s="314"/>
      <c r="J767" s="314"/>
      <c r="K767" s="314"/>
      <c r="L767" s="314"/>
      <c r="M767" s="736"/>
      <c r="N767" s="318"/>
      <c r="O767" s="318"/>
      <c r="P767" s="314"/>
      <c r="Q767" s="314"/>
      <c r="R767" s="314"/>
      <c r="S767" s="314"/>
      <c r="T767" s="314"/>
      <c r="U767" s="314"/>
      <c r="V767" s="318"/>
      <c r="W767" s="315"/>
      <c r="X767" s="314"/>
      <c r="Y767" s="776"/>
      <c r="Z767" s="314"/>
      <c r="AA767" s="314"/>
      <c r="AB767" s="697"/>
      <c r="AC767" s="318"/>
      <c r="AD767" s="314"/>
      <c r="AE767" s="314"/>
      <c r="AF767" s="324"/>
      <c r="AG767" s="155"/>
      <c r="AH767" s="155"/>
      <c r="AI767" s="322"/>
      <c r="AJ767" s="132"/>
      <c r="AK767" s="132"/>
    </row>
    <row r="768">
      <c r="A768" s="314"/>
      <c r="B768" s="313"/>
      <c r="C768" s="313"/>
      <c r="D768" s="313"/>
      <c r="E768" s="314"/>
      <c r="F768" s="314"/>
      <c r="G768" s="314"/>
      <c r="H768" s="318"/>
      <c r="I768" s="314"/>
      <c r="J768" s="314"/>
      <c r="K768" s="314"/>
      <c r="L768" s="314"/>
      <c r="M768" s="736"/>
      <c r="N768" s="318"/>
      <c r="O768" s="318"/>
      <c r="P768" s="314"/>
      <c r="Q768" s="314"/>
      <c r="R768" s="314"/>
      <c r="S768" s="314"/>
      <c r="T768" s="314"/>
      <c r="U768" s="314"/>
      <c r="V768" s="318"/>
      <c r="W768" s="315"/>
      <c r="X768" s="314"/>
      <c r="Y768" s="776"/>
      <c r="Z768" s="314"/>
      <c r="AA768" s="314"/>
      <c r="AB768" s="697"/>
      <c r="AC768" s="318"/>
      <c r="AD768" s="314"/>
      <c r="AE768" s="314"/>
      <c r="AF768" s="324"/>
      <c r="AG768" s="155"/>
      <c r="AH768" s="155"/>
      <c r="AI768" s="322"/>
      <c r="AJ768" s="132"/>
      <c r="AK768" s="132"/>
    </row>
    <row r="769">
      <c r="A769" s="314"/>
      <c r="B769" s="313"/>
      <c r="C769" s="313"/>
      <c r="D769" s="313"/>
      <c r="E769" s="314"/>
      <c r="F769" s="314"/>
      <c r="G769" s="314"/>
      <c r="H769" s="318"/>
      <c r="I769" s="314"/>
      <c r="J769" s="314"/>
      <c r="K769" s="314"/>
      <c r="L769" s="314"/>
      <c r="M769" s="736"/>
      <c r="N769" s="318"/>
      <c r="O769" s="318"/>
      <c r="P769" s="314"/>
      <c r="Q769" s="314"/>
      <c r="R769" s="314"/>
      <c r="S769" s="314"/>
      <c r="T769" s="314"/>
      <c r="U769" s="314"/>
      <c r="V769" s="318"/>
      <c r="W769" s="315"/>
      <c r="X769" s="314"/>
      <c r="Y769" s="776"/>
      <c r="Z769" s="314"/>
      <c r="AA769" s="314"/>
      <c r="AB769" s="697"/>
      <c r="AC769" s="318"/>
      <c r="AD769" s="314"/>
      <c r="AE769" s="314"/>
      <c r="AF769" s="324"/>
      <c r="AG769" s="155"/>
      <c r="AH769" s="155"/>
      <c r="AI769" s="322"/>
      <c r="AJ769" s="132"/>
      <c r="AK769" s="132"/>
    </row>
    <row r="770">
      <c r="A770" s="314"/>
      <c r="B770" s="313"/>
      <c r="C770" s="313"/>
      <c r="D770" s="313"/>
      <c r="E770" s="314"/>
      <c r="F770" s="314"/>
      <c r="G770" s="314"/>
      <c r="H770" s="318"/>
      <c r="I770" s="314"/>
      <c r="J770" s="314"/>
      <c r="K770" s="314"/>
      <c r="L770" s="314"/>
      <c r="M770" s="736"/>
      <c r="N770" s="318"/>
      <c r="O770" s="318"/>
      <c r="P770" s="314"/>
      <c r="Q770" s="314"/>
      <c r="R770" s="314"/>
      <c r="S770" s="314"/>
      <c r="T770" s="314"/>
      <c r="U770" s="314"/>
      <c r="V770" s="318"/>
      <c r="W770" s="315"/>
      <c r="X770" s="314"/>
      <c r="Y770" s="776"/>
      <c r="Z770" s="314"/>
      <c r="AA770" s="314"/>
      <c r="AB770" s="697"/>
      <c r="AC770" s="318"/>
      <c r="AD770" s="314"/>
      <c r="AE770" s="314"/>
      <c r="AF770" s="324"/>
      <c r="AG770" s="155"/>
      <c r="AH770" s="155"/>
      <c r="AI770" s="322"/>
      <c r="AJ770" s="132"/>
      <c r="AK770" s="132"/>
    </row>
    <row r="771">
      <c r="A771" s="314"/>
      <c r="B771" s="313"/>
      <c r="C771" s="313"/>
      <c r="D771" s="313"/>
      <c r="E771" s="314"/>
      <c r="F771" s="314"/>
      <c r="G771" s="314"/>
      <c r="H771" s="318"/>
      <c r="I771" s="314"/>
      <c r="J771" s="314"/>
      <c r="K771" s="314"/>
      <c r="L771" s="314"/>
      <c r="M771" s="736"/>
      <c r="N771" s="318"/>
      <c r="O771" s="318"/>
      <c r="P771" s="314"/>
      <c r="Q771" s="314"/>
      <c r="R771" s="314"/>
      <c r="S771" s="314"/>
      <c r="T771" s="314"/>
      <c r="U771" s="314"/>
      <c r="V771" s="318"/>
      <c r="W771" s="315"/>
      <c r="X771" s="314"/>
      <c r="Y771" s="776"/>
      <c r="Z771" s="314"/>
      <c r="AA771" s="314"/>
      <c r="AB771" s="697"/>
      <c r="AC771" s="318"/>
      <c r="AD771" s="314"/>
      <c r="AE771" s="314"/>
      <c r="AF771" s="324"/>
      <c r="AG771" s="155"/>
      <c r="AH771" s="155"/>
      <c r="AI771" s="322"/>
      <c r="AJ771" s="132"/>
      <c r="AK771" s="132"/>
    </row>
    <row r="772">
      <c r="A772" s="314"/>
      <c r="B772" s="313"/>
      <c r="C772" s="313"/>
      <c r="D772" s="313"/>
      <c r="E772" s="314"/>
      <c r="F772" s="314"/>
      <c r="G772" s="314"/>
      <c r="H772" s="318"/>
      <c r="I772" s="314"/>
      <c r="J772" s="314"/>
      <c r="K772" s="314"/>
      <c r="L772" s="314"/>
      <c r="M772" s="736"/>
      <c r="N772" s="318"/>
      <c r="O772" s="318"/>
      <c r="P772" s="314"/>
      <c r="Q772" s="314"/>
      <c r="R772" s="314"/>
      <c r="S772" s="314"/>
      <c r="T772" s="314"/>
      <c r="U772" s="314"/>
      <c r="V772" s="318"/>
      <c r="W772" s="315"/>
      <c r="X772" s="314"/>
      <c r="Y772" s="776"/>
      <c r="Z772" s="314"/>
      <c r="AA772" s="314"/>
      <c r="AB772" s="697"/>
      <c r="AC772" s="318"/>
      <c r="AD772" s="314"/>
      <c r="AE772" s="314"/>
      <c r="AF772" s="324"/>
      <c r="AG772" s="155"/>
      <c r="AH772" s="155"/>
      <c r="AI772" s="322"/>
      <c r="AJ772" s="132"/>
      <c r="AK772" s="132"/>
    </row>
    <row r="773">
      <c r="A773" s="314"/>
      <c r="B773" s="313"/>
      <c r="C773" s="313"/>
      <c r="D773" s="313"/>
      <c r="E773" s="314"/>
      <c r="F773" s="314"/>
      <c r="G773" s="314"/>
      <c r="H773" s="318"/>
      <c r="I773" s="314"/>
      <c r="J773" s="314"/>
      <c r="K773" s="314"/>
      <c r="L773" s="314"/>
      <c r="M773" s="736"/>
      <c r="N773" s="318"/>
      <c r="O773" s="318"/>
      <c r="P773" s="314"/>
      <c r="Q773" s="314"/>
      <c r="R773" s="314"/>
      <c r="S773" s="314"/>
      <c r="T773" s="314"/>
      <c r="U773" s="314"/>
      <c r="V773" s="318"/>
      <c r="W773" s="315"/>
      <c r="X773" s="314"/>
      <c r="Y773" s="776"/>
      <c r="Z773" s="314"/>
      <c r="AA773" s="314"/>
      <c r="AB773" s="697"/>
      <c r="AC773" s="318"/>
      <c r="AD773" s="314"/>
      <c r="AE773" s="314"/>
      <c r="AF773" s="324"/>
      <c r="AG773" s="155"/>
      <c r="AH773" s="155"/>
      <c r="AI773" s="322"/>
      <c r="AJ773" s="132"/>
      <c r="AK773" s="132"/>
    </row>
    <row r="774">
      <c r="A774" s="314"/>
      <c r="B774" s="313"/>
      <c r="C774" s="313"/>
      <c r="D774" s="313"/>
      <c r="E774" s="314"/>
      <c r="F774" s="314"/>
      <c r="G774" s="314"/>
      <c r="H774" s="318"/>
      <c r="I774" s="314"/>
      <c r="J774" s="314"/>
      <c r="K774" s="314"/>
      <c r="L774" s="314"/>
      <c r="M774" s="736"/>
      <c r="N774" s="318"/>
      <c r="O774" s="318"/>
      <c r="P774" s="314"/>
      <c r="Q774" s="314"/>
      <c r="R774" s="314"/>
      <c r="S774" s="314"/>
      <c r="T774" s="314"/>
      <c r="U774" s="314"/>
      <c r="V774" s="318"/>
      <c r="W774" s="315"/>
      <c r="X774" s="314"/>
      <c r="Y774" s="776"/>
      <c r="Z774" s="314"/>
      <c r="AA774" s="314"/>
      <c r="AB774" s="697"/>
      <c r="AC774" s="318"/>
      <c r="AD774" s="314"/>
      <c r="AE774" s="314"/>
      <c r="AF774" s="324"/>
      <c r="AG774" s="155"/>
      <c r="AH774" s="155"/>
      <c r="AI774" s="322"/>
      <c r="AJ774" s="132"/>
      <c r="AK774" s="132"/>
    </row>
    <row r="775">
      <c r="A775" s="314"/>
      <c r="B775" s="313"/>
      <c r="C775" s="313"/>
      <c r="D775" s="313"/>
      <c r="E775" s="314"/>
      <c r="F775" s="314"/>
      <c r="G775" s="314"/>
      <c r="H775" s="318"/>
      <c r="I775" s="314"/>
      <c r="J775" s="314"/>
      <c r="K775" s="314"/>
      <c r="L775" s="314"/>
      <c r="M775" s="736"/>
      <c r="N775" s="318"/>
      <c r="O775" s="318"/>
      <c r="P775" s="314"/>
      <c r="Q775" s="314"/>
      <c r="R775" s="314"/>
      <c r="S775" s="314"/>
      <c r="T775" s="314"/>
      <c r="U775" s="314"/>
      <c r="V775" s="318"/>
      <c r="W775" s="315"/>
      <c r="X775" s="314"/>
      <c r="Y775" s="776"/>
      <c r="Z775" s="314"/>
      <c r="AA775" s="314"/>
      <c r="AB775" s="697"/>
      <c r="AC775" s="318"/>
      <c r="AD775" s="314"/>
      <c r="AE775" s="314"/>
      <c r="AF775" s="324"/>
      <c r="AG775" s="155"/>
      <c r="AH775" s="155"/>
      <c r="AI775" s="322"/>
      <c r="AJ775" s="132"/>
      <c r="AK775" s="132"/>
    </row>
    <row r="776">
      <c r="A776" s="314"/>
      <c r="B776" s="313"/>
      <c r="C776" s="313"/>
      <c r="D776" s="313"/>
      <c r="E776" s="314"/>
      <c r="F776" s="314"/>
      <c r="G776" s="314"/>
      <c r="H776" s="318"/>
      <c r="I776" s="314"/>
      <c r="J776" s="314"/>
      <c r="K776" s="314"/>
      <c r="L776" s="314"/>
      <c r="M776" s="736"/>
      <c r="N776" s="318"/>
      <c r="O776" s="318"/>
      <c r="P776" s="314"/>
      <c r="Q776" s="314"/>
      <c r="R776" s="314"/>
      <c r="S776" s="314"/>
      <c r="T776" s="314"/>
      <c r="U776" s="314"/>
      <c r="V776" s="318"/>
      <c r="W776" s="315"/>
      <c r="X776" s="314"/>
      <c r="Y776" s="776"/>
      <c r="Z776" s="314"/>
      <c r="AA776" s="314"/>
      <c r="AB776" s="697"/>
      <c r="AC776" s="318"/>
      <c r="AD776" s="314"/>
      <c r="AE776" s="314"/>
      <c r="AF776" s="324"/>
      <c r="AG776" s="155"/>
      <c r="AH776" s="155"/>
      <c r="AI776" s="322"/>
      <c r="AJ776" s="132"/>
      <c r="AK776" s="132"/>
    </row>
    <row r="777">
      <c r="A777" s="314"/>
      <c r="B777" s="313"/>
      <c r="C777" s="313"/>
      <c r="D777" s="313"/>
      <c r="E777" s="314"/>
      <c r="F777" s="314"/>
      <c r="G777" s="314"/>
      <c r="H777" s="318"/>
      <c r="I777" s="314"/>
      <c r="J777" s="314"/>
      <c r="K777" s="314"/>
      <c r="L777" s="314"/>
      <c r="M777" s="736"/>
      <c r="N777" s="318"/>
      <c r="O777" s="318"/>
      <c r="P777" s="314"/>
      <c r="Q777" s="314"/>
      <c r="R777" s="314"/>
      <c r="S777" s="314"/>
      <c r="T777" s="314"/>
      <c r="U777" s="314"/>
      <c r="V777" s="318"/>
      <c r="W777" s="315"/>
      <c r="X777" s="314"/>
      <c r="Y777" s="776"/>
      <c r="Z777" s="314"/>
      <c r="AA777" s="314"/>
      <c r="AB777" s="697"/>
      <c r="AC777" s="318"/>
      <c r="AD777" s="314"/>
      <c r="AE777" s="314"/>
      <c r="AF777" s="324"/>
      <c r="AG777" s="155"/>
      <c r="AH777" s="155"/>
      <c r="AI777" s="322"/>
      <c r="AJ777" s="132"/>
      <c r="AK777" s="132"/>
    </row>
    <row r="778">
      <c r="A778" s="314"/>
      <c r="B778" s="313"/>
      <c r="C778" s="313"/>
      <c r="D778" s="313"/>
      <c r="E778" s="314"/>
      <c r="F778" s="314"/>
      <c r="G778" s="314"/>
      <c r="H778" s="318"/>
      <c r="I778" s="314"/>
      <c r="J778" s="314"/>
      <c r="K778" s="314"/>
      <c r="L778" s="314"/>
      <c r="M778" s="736"/>
      <c r="N778" s="318"/>
      <c r="O778" s="318"/>
      <c r="P778" s="314"/>
      <c r="Q778" s="314"/>
      <c r="R778" s="314"/>
      <c r="S778" s="314"/>
      <c r="T778" s="314"/>
      <c r="U778" s="314"/>
      <c r="V778" s="318"/>
      <c r="W778" s="315"/>
      <c r="X778" s="314"/>
      <c r="Y778" s="776"/>
      <c r="Z778" s="314"/>
      <c r="AA778" s="314"/>
      <c r="AB778" s="697"/>
      <c r="AC778" s="318"/>
      <c r="AD778" s="314"/>
      <c r="AE778" s="314"/>
      <c r="AF778" s="324"/>
      <c r="AG778" s="155"/>
      <c r="AH778" s="155"/>
      <c r="AI778" s="322"/>
      <c r="AJ778" s="132"/>
      <c r="AK778" s="132"/>
    </row>
    <row r="779">
      <c r="A779" s="314"/>
      <c r="B779" s="313"/>
      <c r="C779" s="313"/>
      <c r="D779" s="313"/>
      <c r="E779" s="314"/>
      <c r="F779" s="314"/>
      <c r="G779" s="314"/>
      <c r="H779" s="318"/>
      <c r="I779" s="314"/>
      <c r="J779" s="314"/>
      <c r="K779" s="314"/>
      <c r="L779" s="314"/>
      <c r="M779" s="736"/>
      <c r="N779" s="318"/>
      <c r="O779" s="318"/>
      <c r="P779" s="314"/>
      <c r="Q779" s="314"/>
      <c r="R779" s="314"/>
      <c r="S779" s="314"/>
      <c r="T779" s="314"/>
      <c r="U779" s="314"/>
      <c r="V779" s="318"/>
      <c r="W779" s="315"/>
      <c r="X779" s="314"/>
      <c r="Y779" s="776"/>
      <c r="Z779" s="314"/>
      <c r="AA779" s="314"/>
      <c r="AB779" s="697"/>
      <c r="AC779" s="318"/>
      <c r="AD779" s="314"/>
      <c r="AE779" s="314"/>
      <c r="AF779" s="324"/>
      <c r="AG779" s="155"/>
      <c r="AH779" s="155"/>
      <c r="AI779" s="322"/>
      <c r="AJ779" s="132"/>
      <c r="AK779" s="132"/>
    </row>
    <row r="780">
      <c r="A780" s="314"/>
      <c r="B780" s="313"/>
      <c r="C780" s="313"/>
      <c r="D780" s="313"/>
      <c r="E780" s="314"/>
      <c r="F780" s="314"/>
      <c r="G780" s="314"/>
      <c r="H780" s="318"/>
      <c r="I780" s="314"/>
      <c r="J780" s="314"/>
      <c r="K780" s="314"/>
      <c r="L780" s="314"/>
      <c r="M780" s="736"/>
      <c r="N780" s="318"/>
      <c r="O780" s="318"/>
      <c r="P780" s="314"/>
      <c r="Q780" s="314"/>
      <c r="R780" s="314"/>
      <c r="S780" s="314"/>
      <c r="T780" s="314"/>
      <c r="U780" s="314"/>
      <c r="V780" s="318"/>
      <c r="W780" s="315"/>
      <c r="X780" s="314"/>
      <c r="Y780" s="776"/>
      <c r="Z780" s="314"/>
      <c r="AA780" s="314"/>
      <c r="AB780" s="697"/>
      <c r="AC780" s="318"/>
      <c r="AD780" s="314"/>
      <c r="AE780" s="314"/>
      <c r="AF780" s="324"/>
      <c r="AG780" s="155"/>
      <c r="AH780" s="155"/>
      <c r="AI780" s="322"/>
      <c r="AJ780" s="132"/>
      <c r="AK780" s="132"/>
    </row>
    <row r="781">
      <c r="A781" s="314"/>
      <c r="B781" s="313"/>
      <c r="C781" s="313"/>
      <c r="D781" s="313"/>
      <c r="E781" s="314"/>
      <c r="F781" s="314"/>
      <c r="G781" s="314"/>
      <c r="H781" s="318"/>
      <c r="I781" s="314"/>
      <c r="J781" s="314"/>
      <c r="K781" s="314"/>
      <c r="L781" s="314"/>
      <c r="M781" s="736"/>
      <c r="N781" s="318"/>
      <c r="O781" s="318"/>
      <c r="P781" s="314"/>
      <c r="Q781" s="314"/>
      <c r="R781" s="314"/>
      <c r="S781" s="314"/>
      <c r="T781" s="314"/>
      <c r="U781" s="314"/>
      <c r="V781" s="318"/>
      <c r="W781" s="315"/>
      <c r="X781" s="314"/>
      <c r="Y781" s="776"/>
      <c r="Z781" s="314"/>
      <c r="AA781" s="314"/>
      <c r="AB781" s="697"/>
      <c r="AC781" s="318"/>
      <c r="AD781" s="314"/>
      <c r="AE781" s="314"/>
      <c r="AF781" s="324"/>
      <c r="AG781" s="155"/>
      <c r="AH781" s="155"/>
      <c r="AI781" s="322"/>
      <c r="AJ781" s="132"/>
      <c r="AK781" s="132"/>
    </row>
    <row r="782">
      <c r="A782" s="314"/>
      <c r="B782" s="313"/>
      <c r="C782" s="313"/>
      <c r="D782" s="313"/>
      <c r="E782" s="314"/>
      <c r="F782" s="314"/>
      <c r="G782" s="314"/>
      <c r="H782" s="318"/>
      <c r="I782" s="314"/>
      <c r="J782" s="314"/>
      <c r="K782" s="314"/>
      <c r="L782" s="314"/>
      <c r="M782" s="736"/>
      <c r="N782" s="318"/>
      <c r="O782" s="318"/>
      <c r="P782" s="314"/>
      <c r="Q782" s="314"/>
      <c r="R782" s="314"/>
      <c r="S782" s="314"/>
      <c r="T782" s="314"/>
      <c r="U782" s="314"/>
      <c r="V782" s="318"/>
      <c r="W782" s="315"/>
      <c r="X782" s="314"/>
      <c r="Y782" s="776"/>
      <c r="Z782" s="314"/>
      <c r="AA782" s="314"/>
      <c r="AB782" s="697"/>
      <c r="AC782" s="318"/>
      <c r="AD782" s="314"/>
      <c r="AE782" s="314"/>
      <c r="AF782" s="324"/>
      <c r="AG782" s="155"/>
      <c r="AH782" s="155"/>
      <c r="AI782" s="322"/>
      <c r="AJ782" s="132"/>
      <c r="AK782" s="132"/>
    </row>
    <row r="783">
      <c r="A783" s="314"/>
      <c r="B783" s="313"/>
      <c r="C783" s="313"/>
      <c r="D783" s="313"/>
      <c r="E783" s="314"/>
      <c r="F783" s="314"/>
      <c r="G783" s="314"/>
      <c r="H783" s="318"/>
      <c r="I783" s="314"/>
      <c r="J783" s="314"/>
      <c r="K783" s="314"/>
      <c r="L783" s="314"/>
      <c r="M783" s="736"/>
      <c r="N783" s="318"/>
      <c r="O783" s="318"/>
      <c r="P783" s="314"/>
      <c r="Q783" s="314"/>
      <c r="R783" s="314"/>
      <c r="S783" s="314"/>
      <c r="T783" s="314"/>
      <c r="U783" s="314"/>
      <c r="V783" s="318"/>
      <c r="W783" s="315"/>
      <c r="X783" s="314"/>
      <c r="Y783" s="776"/>
      <c r="Z783" s="314"/>
      <c r="AA783" s="314"/>
      <c r="AB783" s="697"/>
      <c r="AC783" s="318"/>
      <c r="AD783" s="314"/>
      <c r="AE783" s="314"/>
      <c r="AF783" s="324"/>
      <c r="AG783" s="155"/>
      <c r="AH783" s="155"/>
      <c r="AI783" s="322"/>
      <c r="AJ783" s="132"/>
      <c r="AK783" s="132"/>
    </row>
    <row r="784">
      <c r="A784" s="314"/>
      <c r="B784" s="313"/>
      <c r="C784" s="313"/>
      <c r="D784" s="313"/>
      <c r="E784" s="314"/>
      <c r="F784" s="314"/>
      <c r="G784" s="314"/>
      <c r="H784" s="318"/>
      <c r="I784" s="314"/>
      <c r="J784" s="314"/>
      <c r="K784" s="314"/>
      <c r="L784" s="314"/>
      <c r="M784" s="736"/>
      <c r="N784" s="318"/>
      <c r="O784" s="318"/>
      <c r="P784" s="314"/>
      <c r="Q784" s="314"/>
      <c r="R784" s="314"/>
      <c r="S784" s="314"/>
      <c r="T784" s="314"/>
      <c r="U784" s="314"/>
      <c r="V784" s="318"/>
      <c r="W784" s="315"/>
      <c r="X784" s="314"/>
      <c r="Y784" s="776"/>
      <c r="Z784" s="314"/>
      <c r="AA784" s="314"/>
      <c r="AB784" s="697"/>
      <c r="AC784" s="318"/>
      <c r="AD784" s="314"/>
      <c r="AE784" s="314"/>
      <c r="AF784" s="324"/>
      <c r="AG784" s="155"/>
      <c r="AH784" s="155"/>
      <c r="AI784" s="322"/>
      <c r="AJ784" s="132"/>
      <c r="AK784" s="132"/>
    </row>
    <row r="785">
      <c r="A785" s="314"/>
      <c r="B785" s="313"/>
      <c r="C785" s="313"/>
      <c r="D785" s="313"/>
      <c r="E785" s="314"/>
      <c r="F785" s="314"/>
      <c r="G785" s="314"/>
      <c r="H785" s="318"/>
      <c r="I785" s="314"/>
      <c r="J785" s="314"/>
      <c r="K785" s="314"/>
      <c r="L785" s="314"/>
      <c r="M785" s="736"/>
      <c r="N785" s="318"/>
      <c r="O785" s="318"/>
      <c r="P785" s="314"/>
      <c r="Q785" s="314"/>
      <c r="R785" s="314"/>
      <c r="S785" s="314"/>
      <c r="T785" s="314"/>
      <c r="U785" s="314"/>
      <c r="V785" s="318"/>
      <c r="W785" s="315"/>
      <c r="X785" s="314"/>
      <c r="Y785" s="776"/>
      <c r="Z785" s="314"/>
      <c r="AA785" s="314"/>
      <c r="AB785" s="697"/>
      <c r="AC785" s="318"/>
      <c r="AD785" s="314"/>
      <c r="AE785" s="314"/>
      <c r="AF785" s="324"/>
      <c r="AG785" s="155"/>
      <c r="AH785" s="155"/>
      <c r="AI785" s="322"/>
      <c r="AJ785" s="132"/>
      <c r="AK785" s="132"/>
    </row>
    <row r="786">
      <c r="A786" s="314"/>
      <c r="B786" s="313"/>
      <c r="C786" s="313"/>
      <c r="D786" s="313"/>
      <c r="E786" s="314"/>
      <c r="F786" s="314"/>
      <c r="G786" s="314"/>
      <c r="H786" s="318"/>
      <c r="I786" s="314"/>
      <c r="J786" s="314"/>
      <c r="K786" s="314"/>
      <c r="L786" s="314"/>
      <c r="M786" s="736"/>
      <c r="N786" s="318"/>
      <c r="O786" s="318"/>
      <c r="P786" s="314"/>
      <c r="Q786" s="314"/>
      <c r="R786" s="314"/>
      <c r="S786" s="314"/>
      <c r="T786" s="314"/>
      <c r="U786" s="314"/>
      <c r="V786" s="318"/>
      <c r="W786" s="315"/>
      <c r="X786" s="314"/>
      <c r="Y786" s="776"/>
      <c r="Z786" s="314"/>
      <c r="AA786" s="314"/>
      <c r="AB786" s="697"/>
      <c r="AC786" s="318"/>
      <c r="AD786" s="314"/>
      <c r="AE786" s="314"/>
      <c r="AF786" s="324"/>
      <c r="AG786" s="155"/>
      <c r="AH786" s="155"/>
      <c r="AI786" s="322"/>
      <c r="AJ786" s="132"/>
      <c r="AK786" s="132"/>
    </row>
    <row r="787">
      <c r="A787" s="314"/>
      <c r="B787" s="313"/>
      <c r="C787" s="313"/>
      <c r="D787" s="313"/>
      <c r="E787" s="314"/>
      <c r="F787" s="314"/>
      <c r="G787" s="314"/>
      <c r="H787" s="318"/>
      <c r="I787" s="314"/>
      <c r="J787" s="314"/>
      <c r="K787" s="314"/>
      <c r="L787" s="314"/>
      <c r="M787" s="736"/>
      <c r="N787" s="318"/>
      <c r="O787" s="318"/>
      <c r="P787" s="314"/>
      <c r="Q787" s="314"/>
      <c r="R787" s="314"/>
      <c r="S787" s="314"/>
      <c r="T787" s="314"/>
      <c r="U787" s="314"/>
      <c r="V787" s="318"/>
      <c r="W787" s="315"/>
      <c r="X787" s="314"/>
      <c r="Y787" s="776"/>
      <c r="Z787" s="314"/>
      <c r="AA787" s="314"/>
      <c r="AB787" s="697"/>
      <c r="AC787" s="318"/>
      <c r="AD787" s="314"/>
      <c r="AE787" s="314"/>
      <c r="AF787" s="324"/>
      <c r="AG787" s="155"/>
      <c r="AH787" s="155"/>
      <c r="AI787" s="322"/>
      <c r="AJ787" s="132"/>
      <c r="AK787" s="132"/>
    </row>
    <row r="788">
      <c r="A788" s="314"/>
      <c r="B788" s="313"/>
      <c r="C788" s="313"/>
      <c r="D788" s="313"/>
      <c r="E788" s="314"/>
      <c r="F788" s="314"/>
      <c r="G788" s="314"/>
      <c r="H788" s="318"/>
      <c r="I788" s="314"/>
      <c r="J788" s="314"/>
      <c r="K788" s="314"/>
      <c r="L788" s="314"/>
      <c r="M788" s="736"/>
      <c r="N788" s="318"/>
      <c r="O788" s="318"/>
      <c r="P788" s="314"/>
      <c r="Q788" s="314"/>
      <c r="R788" s="314"/>
      <c r="S788" s="314"/>
      <c r="T788" s="314"/>
      <c r="U788" s="314"/>
      <c r="V788" s="318"/>
      <c r="W788" s="315"/>
      <c r="X788" s="314"/>
      <c r="Y788" s="776"/>
      <c r="Z788" s="314"/>
      <c r="AA788" s="314"/>
      <c r="AB788" s="697"/>
      <c r="AC788" s="318"/>
      <c r="AD788" s="314"/>
      <c r="AE788" s="314"/>
      <c r="AF788" s="324"/>
      <c r="AG788" s="155"/>
      <c r="AH788" s="155"/>
      <c r="AI788" s="322"/>
      <c r="AJ788" s="132"/>
      <c r="AK788" s="132"/>
    </row>
    <row r="789">
      <c r="A789" s="314"/>
      <c r="B789" s="313"/>
      <c r="C789" s="313"/>
      <c r="D789" s="313"/>
      <c r="E789" s="314"/>
      <c r="F789" s="314"/>
      <c r="G789" s="314"/>
      <c r="H789" s="318"/>
      <c r="I789" s="314"/>
      <c r="J789" s="314"/>
      <c r="K789" s="314"/>
      <c r="L789" s="314"/>
      <c r="M789" s="736"/>
      <c r="N789" s="318"/>
      <c r="O789" s="318"/>
      <c r="P789" s="314"/>
      <c r="Q789" s="314"/>
      <c r="R789" s="314"/>
      <c r="S789" s="314"/>
      <c r="T789" s="314"/>
      <c r="U789" s="314"/>
      <c r="V789" s="318"/>
      <c r="W789" s="315"/>
      <c r="X789" s="314"/>
      <c r="Y789" s="776"/>
      <c r="Z789" s="314"/>
      <c r="AA789" s="314"/>
      <c r="AB789" s="697"/>
      <c r="AC789" s="318"/>
      <c r="AD789" s="314"/>
      <c r="AE789" s="314"/>
      <c r="AF789" s="324"/>
      <c r="AG789" s="155"/>
      <c r="AH789" s="155"/>
      <c r="AI789" s="322"/>
      <c r="AJ789" s="132"/>
      <c r="AK789" s="132"/>
    </row>
    <row r="790">
      <c r="A790" s="314"/>
      <c r="B790" s="313"/>
      <c r="C790" s="313"/>
      <c r="D790" s="313"/>
      <c r="E790" s="314"/>
      <c r="F790" s="314"/>
      <c r="G790" s="314"/>
      <c r="H790" s="318"/>
      <c r="I790" s="314"/>
      <c r="J790" s="314"/>
      <c r="K790" s="314"/>
      <c r="L790" s="314"/>
      <c r="M790" s="736"/>
      <c r="N790" s="318"/>
      <c r="O790" s="318"/>
      <c r="P790" s="314"/>
      <c r="Q790" s="314"/>
      <c r="R790" s="314"/>
      <c r="S790" s="314"/>
      <c r="T790" s="314"/>
      <c r="U790" s="314"/>
      <c r="V790" s="318"/>
      <c r="W790" s="315"/>
      <c r="X790" s="314"/>
      <c r="Y790" s="776"/>
      <c r="Z790" s="314"/>
      <c r="AA790" s="314"/>
      <c r="AB790" s="697"/>
      <c r="AC790" s="318"/>
      <c r="AD790" s="314"/>
      <c r="AE790" s="314"/>
      <c r="AF790" s="324"/>
      <c r="AG790" s="155"/>
      <c r="AH790" s="155"/>
      <c r="AI790" s="322"/>
      <c r="AJ790" s="132"/>
      <c r="AK790" s="132"/>
    </row>
    <row r="791">
      <c r="A791" s="314"/>
      <c r="B791" s="313"/>
      <c r="C791" s="313"/>
      <c r="D791" s="313"/>
      <c r="E791" s="314"/>
      <c r="F791" s="314"/>
      <c r="G791" s="314"/>
      <c r="H791" s="318"/>
      <c r="I791" s="314"/>
      <c r="J791" s="314"/>
      <c r="K791" s="314"/>
      <c r="L791" s="314"/>
      <c r="M791" s="736"/>
      <c r="N791" s="318"/>
      <c r="O791" s="318"/>
      <c r="P791" s="314"/>
      <c r="Q791" s="314"/>
      <c r="R791" s="314"/>
      <c r="S791" s="314"/>
      <c r="T791" s="314"/>
      <c r="U791" s="314"/>
      <c r="V791" s="318"/>
      <c r="W791" s="315"/>
      <c r="X791" s="314"/>
      <c r="Y791" s="776"/>
      <c r="Z791" s="314"/>
      <c r="AA791" s="314"/>
      <c r="AB791" s="697"/>
      <c r="AC791" s="318"/>
      <c r="AD791" s="314"/>
      <c r="AE791" s="314"/>
      <c r="AF791" s="324"/>
      <c r="AG791" s="155"/>
      <c r="AH791" s="155"/>
      <c r="AI791" s="322"/>
      <c r="AJ791" s="132"/>
      <c r="AK791" s="132"/>
    </row>
    <row r="792">
      <c r="A792" s="314"/>
      <c r="B792" s="313"/>
      <c r="C792" s="313"/>
      <c r="D792" s="313"/>
      <c r="E792" s="314"/>
      <c r="F792" s="314"/>
      <c r="G792" s="314"/>
      <c r="H792" s="318"/>
      <c r="I792" s="314"/>
      <c r="J792" s="314"/>
      <c r="K792" s="314"/>
      <c r="L792" s="314"/>
      <c r="M792" s="736"/>
      <c r="N792" s="318"/>
      <c r="O792" s="318"/>
      <c r="P792" s="314"/>
      <c r="Q792" s="314"/>
      <c r="R792" s="314"/>
      <c r="S792" s="314"/>
      <c r="T792" s="314"/>
      <c r="U792" s="314"/>
      <c r="V792" s="318"/>
      <c r="W792" s="315"/>
      <c r="X792" s="314"/>
      <c r="Y792" s="776"/>
      <c r="Z792" s="314"/>
      <c r="AA792" s="314"/>
      <c r="AB792" s="697"/>
      <c r="AC792" s="318"/>
      <c r="AD792" s="314"/>
      <c r="AE792" s="314"/>
      <c r="AF792" s="324"/>
      <c r="AG792" s="155"/>
      <c r="AH792" s="155"/>
      <c r="AI792" s="322"/>
      <c r="AJ792" s="132"/>
      <c r="AK792" s="132"/>
    </row>
    <row r="793">
      <c r="A793" s="314"/>
      <c r="B793" s="313"/>
      <c r="C793" s="313"/>
      <c r="D793" s="313"/>
      <c r="E793" s="314"/>
      <c r="F793" s="314"/>
      <c r="G793" s="314"/>
      <c r="H793" s="318"/>
      <c r="I793" s="314"/>
      <c r="J793" s="314"/>
      <c r="K793" s="314"/>
      <c r="L793" s="314"/>
      <c r="M793" s="736"/>
      <c r="N793" s="318"/>
      <c r="O793" s="318"/>
      <c r="P793" s="314"/>
      <c r="Q793" s="314"/>
      <c r="R793" s="314"/>
      <c r="S793" s="314"/>
      <c r="T793" s="314"/>
      <c r="U793" s="314"/>
      <c r="V793" s="318"/>
      <c r="W793" s="315"/>
      <c r="X793" s="314"/>
      <c r="Y793" s="776"/>
      <c r="Z793" s="314"/>
      <c r="AA793" s="314"/>
      <c r="AB793" s="697"/>
      <c r="AC793" s="318"/>
      <c r="AD793" s="314"/>
      <c r="AE793" s="314"/>
      <c r="AF793" s="324"/>
      <c r="AG793" s="155"/>
      <c r="AH793" s="155"/>
      <c r="AI793" s="322"/>
      <c r="AJ793" s="132"/>
      <c r="AK793" s="132"/>
    </row>
    <row r="794">
      <c r="A794" s="314"/>
      <c r="B794" s="313"/>
      <c r="C794" s="313"/>
      <c r="D794" s="313"/>
      <c r="E794" s="314"/>
      <c r="F794" s="314"/>
      <c r="G794" s="314"/>
      <c r="H794" s="318"/>
      <c r="I794" s="314"/>
      <c r="J794" s="314"/>
      <c r="K794" s="314"/>
      <c r="L794" s="314"/>
      <c r="M794" s="736"/>
      <c r="N794" s="318"/>
      <c r="O794" s="318"/>
      <c r="P794" s="314"/>
      <c r="Q794" s="314"/>
      <c r="R794" s="314"/>
      <c r="S794" s="314"/>
      <c r="T794" s="314"/>
      <c r="U794" s="314"/>
      <c r="V794" s="318"/>
      <c r="W794" s="315"/>
      <c r="X794" s="314"/>
      <c r="Y794" s="776"/>
      <c r="Z794" s="314"/>
      <c r="AA794" s="314"/>
      <c r="AB794" s="697"/>
      <c r="AC794" s="318"/>
      <c r="AD794" s="314"/>
      <c r="AE794" s="314"/>
      <c r="AF794" s="324"/>
      <c r="AG794" s="155"/>
      <c r="AH794" s="155"/>
      <c r="AI794" s="322"/>
      <c r="AJ794" s="132"/>
      <c r="AK794" s="132"/>
    </row>
    <row r="795">
      <c r="A795" s="314"/>
      <c r="B795" s="313"/>
      <c r="C795" s="313"/>
      <c r="D795" s="313"/>
      <c r="E795" s="314"/>
      <c r="F795" s="314"/>
      <c r="G795" s="314"/>
      <c r="H795" s="318"/>
      <c r="I795" s="314"/>
      <c r="J795" s="314"/>
      <c r="K795" s="314"/>
      <c r="L795" s="314"/>
      <c r="M795" s="736"/>
      <c r="N795" s="318"/>
      <c r="O795" s="318"/>
      <c r="P795" s="314"/>
      <c r="Q795" s="314"/>
      <c r="R795" s="314"/>
      <c r="S795" s="314"/>
      <c r="T795" s="314"/>
      <c r="U795" s="314"/>
      <c r="V795" s="318"/>
      <c r="W795" s="315"/>
      <c r="X795" s="314"/>
      <c r="Y795" s="776"/>
      <c r="Z795" s="314"/>
      <c r="AA795" s="314"/>
      <c r="AB795" s="697"/>
      <c r="AC795" s="318"/>
      <c r="AD795" s="314"/>
      <c r="AE795" s="314"/>
      <c r="AF795" s="324"/>
      <c r="AG795" s="155"/>
      <c r="AH795" s="155"/>
      <c r="AI795" s="322"/>
      <c r="AJ795" s="132"/>
      <c r="AK795" s="132"/>
    </row>
    <row r="796">
      <c r="A796" s="314"/>
      <c r="B796" s="313"/>
      <c r="C796" s="313"/>
      <c r="D796" s="313"/>
      <c r="E796" s="314"/>
      <c r="F796" s="314"/>
      <c r="G796" s="314"/>
      <c r="H796" s="318"/>
      <c r="I796" s="314"/>
      <c r="J796" s="314"/>
      <c r="K796" s="314"/>
      <c r="L796" s="314"/>
      <c r="M796" s="736"/>
      <c r="N796" s="318"/>
      <c r="O796" s="318"/>
      <c r="P796" s="314"/>
      <c r="Q796" s="314"/>
      <c r="R796" s="314"/>
      <c r="S796" s="314"/>
      <c r="T796" s="314"/>
      <c r="U796" s="314"/>
      <c r="V796" s="318"/>
      <c r="W796" s="315"/>
      <c r="X796" s="314"/>
      <c r="Y796" s="776"/>
      <c r="Z796" s="314"/>
      <c r="AA796" s="314"/>
      <c r="AB796" s="697"/>
      <c r="AC796" s="318"/>
      <c r="AD796" s="314"/>
      <c r="AE796" s="314"/>
      <c r="AF796" s="324"/>
      <c r="AG796" s="155"/>
      <c r="AH796" s="155"/>
      <c r="AI796" s="322"/>
      <c r="AJ796" s="132"/>
      <c r="AK796" s="132"/>
    </row>
    <row r="797">
      <c r="A797" s="314"/>
      <c r="B797" s="313"/>
      <c r="C797" s="313"/>
      <c r="D797" s="313"/>
      <c r="E797" s="314"/>
      <c r="F797" s="314"/>
      <c r="G797" s="314"/>
      <c r="H797" s="318"/>
      <c r="I797" s="314"/>
      <c r="J797" s="314"/>
      <c r="K797" s="314"/>
      <c r="L797" s="314"/>
      <c r="M797" s="736"/>
      <c r="N797" s="318"/>
      <c r="O797" s="318"/>
      <c r="P797" s="314"/>
      <c r="Q797" s="314"/>
      <c r="R797" s="314"/>
      <c r="S797" s="314"/>
      <c r="T797" s="314"/>
      <c r="U797" s="314"/>
      <c r="V797" s="318"/>
      <c r="W797" s="315"/>
      <c r="X797" s="314"/>
      <c r="Y797" s="776"/>
      <c r="Z797" s="314"/>
      <c r="AA797" s="314"/>
      <c r="AB797" s="697"/>
      <c r="AC797" s="318"/>
      <c r="AD797" s="314"/>
      <c r="AE797" s="314"/>
      <c r="AF797" s="324"/>
      <c r="AG797" s="155"/>
      <c r="AH797" s="155"/>
      <c r="AI797" s="322"/>
      <c r="AJ797" s="132"/>
      <c r="AK797" s="132"/>
    </row>
    <row r="798">
      <c r="A798" s="314"/>
      <c r="B798" s="313"/>
      <c r="C798" s="313"/>
      <c r="D798" s="313"/>
      <c r="E798" s="314"/>
      <c r="F798" s="314"/>
      <c r="G798" s="314"/>
      <c r="H798" s="318"/>
      <c r="I798" s="314"/>
      <c r="J798" s="314"/>
      <c r="K798" s="314"/>
      <c r="L798" s="314"/>
      <c r="M798" s="736"/>
      <c r="N798" s="318"/>
      <c r="O798" s="318"/>
      <c r="P798" s="314"/>
      <c r="Q798" s="314"/>
      <c r="R798" s="314"/>
      <c r="S798" s="314"/>
      <c r="T798" s="314"/>
      <c r="U798" s="314"/>
      <c r="V798" s="318"/>
      <c r="W798" s="315"/>
      <c r="X798" s="314"/>
      <c r="Y798" s="776"/>
      <c r="Z798" s="314"/>
      <c r="AA798" s="314"/>
      <c r="AB798" s="697"/>
      <c r="AC798" s="318"/>
      <c r="AD798" s="314"/>
      <c r="AE798" s="314"/>
      <c r="AF798" s="324"/>
      <c r="AG798" s="155"/>
      <c r="AH798" s="155"/>
      <c r="AI798" s="322"/>
      <c r="AJ798" s="132"/>
      <c r="AK798" s="132"/>
    </row>
    <row r="799">
      <c r="A799" s="314"/>
      <c r="B799" s="313"/>
      <c r="C799" s="313"/>
      <c r="D799" s="313"/>
      <c r="E799" s="314"/>
      <c r="F799" s="314"/>
      <c r="G799" s="314"/>
      <c r="H799" s="318"/>
      <c r="I799" s="314"/>
      <c r="J799" s="314"/>
      <c r="K799" s="314"/>
      <c r="L799" s="314"/>
      <c r="M799" s="736"/>
      <c r="N799" s="318"/>
      <c r="O799" s="318"/>
      <c r="P799" s="314"/>
      <c r="Q799" s="314"/>
      <c r="R799" s="314"/>
      <c r="S799" s="314"/>
      <c r="T799" s="314"/>
      <c r="U799" s="314"/>
      <c r="V799" s="318"/>
      <c r="W799" s="315"/>
      <c r="X799" s="314"/>
      <c r="Y799" s="776"/>
      <c r="Z799" s="314"/>
      <c r="AA799" s="314"/>
      <c r="AB799" s="697"/>
      <c r="AC799" s="318"/>
      <c r="AD799" s="314"/>
      <c r="AE799" s="314"/>
      <c r="AF799" s="324"/>
      <c r="AG799" s="155"/>
      <c r="AH799" s="155"/>
      <c r="AI799" s="322"/>
      <c r="AJ799" s="132"/>
      <c r="AK799" s="132"/>
    </row>
    <row r="800">
      <c r="A800" s="314"/>
      <c r="B800" s="313"/>
      <c r="C800" s="313"/>
      <c r="D800" s="313"/>
      <c r="E800" s="314"/>
      <c r="F800" s="314"/>
      <c r="G800" s="314"/>
      <c r="H800" s="318"/>
      <c r="I800" s="314"/>
      <c r="J800" s="314"/>
      <c r="K800" s="314"/>
      <c r="L800" s="314"/>
      <c r="M800" s="736"/>
      <c r="N800" s="318"/>
      <c r="O800" s="318"/>
      <c r="P800" s="314"/>
      <c r="Q800" s="314"/>
      <c r="R800" s="314"/>
      <c r="S800" s="314"/>
      <c r="T800" s="314"/>
      <c r="U800" s="314"/>
      <c r="V800" s="318"/>
      <c r="W800" s="315"/>
      <c r="X800" s="314"/>
      <c r="Y800" s="776"/>
      <c r="Z800" s="314"/>
      <c r="AA800" s="314"/>
      <c r="AB800" s="697"/>
      <c r="AC800" s="318"/>
      <c r="AD800" s="314"/>
      <c r="AE800" s="314"/>
      <c r="AF800" s="324"/>
      <c r="AG800" s="155"/>
      <c r="AH800" s="155"/>
      <c r="AI800" s="322"/>
      <c r="AJ800" s="132"/>
      <c r="AK800" s="132"/>
    </row>
    <row r="801">
      <c r="A801" s="314"/>
      <c r="B801" s="313"/>
      <c r="C801" s="313"/>
      <c r="D801" s="313"/>
      <c r="E801" s="314"/>
      <c r="F801" s="314"/>
      <c r="G801" s="314"/>
      <c r="H801" s="318"/>
      <c r="I801" s="314"/>
      <c r="J801" s="314"/>
      <c r="K801" s="314"/>
      <c r="L801" s="314"/>
      <c r="M801" s="736"/>
      <c r="N801" s="318"/>
      <c r="O801" s="318"/>
      <c r="P801" s="314"/>
      <c r="Q801" s="314"/>
      <c r="R801" s="314"/>
      <c r="S801" s="314"/>
      <c r="T801" s="314"/>
      <c r="U801" s="314"/>
      <c r="V801" s="318"/>
      <c r="W801" s="315"/>
      <c r="X801" s="314"/>
      <c r="Y801" s="776"/>
      <c r="Z801" s="314"/>
      <c r="AA801" s="314"/>
      <c r="AB801" s="697"/>
      <c r="AC801" s="318"/>
      <c r="AD801" s="314"/>
      <c r="AE801" s="314"/>
      <c r="AF801" s="324"/>
      <c r="AG801" s="155"/>
      <c r="AH801" s="155"/>
      <c r="AI801" s="322"/>
      <c r="AJ801" s="132"/>
      <c r="AK801" s="132"/>
    </row>
    <row r="802">
      <c r="A802" s="314"/>
      <c r="B802" s="313"/>
      <c r="C802" s="313"/>
      <c r="D802" s="313"/>
      <c r="E802" s="314"/>
      <c r="F802" s="314"/>
      <c r="G802" s="314"/>
      <c r="H802" s="318"/>
      <c r="I802" s="314"/>
      <c r="J802" s="314"/>
      <c r="K802" s="314"/>
      <c r="L802" s="314"/>
      <c r="M802" s="736"/>
      <c r="N802" s="318"/>
      <c r="O802" s="318"/>
      <c r="P802" s="314"/>
      <c r="Q802" s="314"/>
      <c r="R802" s="314"/>
      <c r="S802" s="314"/>
      <c r="T802" s="314"/>
      <c r="U802" s="314"/>
      <c r="V802" s="318"/>
      <c r="W802" s="315"/>
      <c r="X802" s="314"/>
      <c r="Y802" s="776"/>
      <c r="Z802" s="314"/>
      <c r="AA802" s="314"/>
      <c r="AB802" s="697"/>
      <c r="AC802" s="318"/>
      <c r="AD802" s="314"/>
      <c r="AE802" s="314"/>
      <c r="AF802" s="324"/>
      <c r="AG802" s="155"/>
      <c r="AH802" s="155"/>
      <c r="AI802" s="322"/>
      <c r="AJ802" s="132"/>
      <c r="AK802" s="132"/>
    </row>
    <row r="803">
      <c r="A803" s="314"/>
      <c r="B803" s="313"/>
      <c r="C803" s="313"/>
      <c r="D803" s="313"/>
      <c r="E803" s="314"/>
      <c r="F803" s="314"/>
      <c r="G803" s="314"/>
      <c r="H803" s="318"/>
      <c r="I803" s="314"/>
      <c r="J803" s="314"/>
      <c r="K803" s="314"/>
      <c r="L803" s="314"/>
      <c r="M803" s="736"/>
      <c r="N803" s="318"/>
      <c r="O803" s="318"/>
      <c r="P803" s="314"/>
      <c r="Q803" s="314"/>
      <c r="R803" s="314"/>
      <c r="S803" s="314"/>
      <c r="T803" s="314"/>
      <c r="U803" s="314"/>
      <c r="V803" s="318"/>
      <c r="W803" s="315"/>
      <c r="X803" s="314"/>
      <c r="Y803" s="776"/>
      <c r="Z803" s="314"/>
      <c r="AA803" s="314"/>
      <c r="AB803" s="697"/>
      <c r="AC803" s="318"/>
      <c r="AD803" s="314"/>
      <c r="AE803" s="314"/>
      <c r="AF803" s="324"/>
      <c r="AG803" s="155"/>
      <c r="AH803" s="155"/>
      <c r="AI803" s="322"/>
      <c r="AJ803" s="132"/>
      <c r="AK803" s="132"/>
    </row>
    <row r="804">
      <c r="A804" s="314"/>
      <c r="B804" s="313"/>
      <c r="C804" s="313"/>
      <c r="D804" s="313"/>
      <c r="E804" s="314"/>
      <c r="F804" s="314"/>
      <c r="G804" s="314"/>
      <c r="H804" s="318"/>
      <c r="I804" s="314"/>
      <c r="J804" s="314"/>
      <c r="K804" s="314"/>
      <c r="L804" s="314"/>
      <c r="M804" s="736"/>
      <c r="N804" s="318"/>
      <c r="O804" s="318"/>
      <c r="P804" s="314"/>
      <c r="Q804" s="314"/>
      <c r="R804" s="314"/>
      <c r="S804" s="314"/>
      <c r="T804" s="314"/>
      <c r="U804" s="314"/>
      <c r="V804" s="318"/>
      <c r="W804" s="315"/>
      <c r="X804" s="314"/>
      <c r="Y804" s="776"/>
      <c r="Z804" s="314"/>
      <c r="AA804" s="314"/>
      <c r="AB804" s="697"/>
      <c r="AC804" s="318"/>
      <c r="AD804" s="314"/>
      <c r="AE804" s="314"/>
      <c r="AF804" s="324"/>
      <c r="AG804" s="155"/>
      <c r="AH804" s="155"/>
      <c r="AI804" s="322"/>
      <c r="AJ804" s="132"/>
      <c r="AK804" s="132"/>
    </row>
    <row r="805">
      <c r="A805" s="314"/>
      <c r="B805" s="313"/>
      <c r="C805" s="313"/>
      <c r="D805" s="313"/>
      <c r="E805" s="314"/>
      <c r="F805" s="314"/>
      <c r="G805" s="314"/>
      <c r="H805" s="318"/>
      <c r="I805" s="314"/>
      <c r="J805" s="314"/>
      <c r="K805" s="314"/>
      <c r="L805" s="314"/>
      <c r="M805" s="736"/>
      <c r="N805" s="318"/>
      <c r="O805" s="318"/>
      <c r="P805" s="314"/>
      <c r="Q805" s="314"/>
      <c r="R805" s="314"/>
      <c r="S805" s="314"/>
      <c r="T805" s="314"/>
      <c r="U805" s="314"/>
      <c r="V805" s="318"/>
      <c r="W805" s="315"/>
      <c r="X805" s="314"/>
      <c r="Y805" s="776"/>
      <c r="Z805" s="314"/>
      <c r="AA805" s="314"/>
      <c r="AB805" s="697"/>
      <c r="AC805" s="318"/>
      <c r="AD805" s="314"/>
      <c r="AE805" s="314"/>
      <c r="AF805" s="324"/>
      <c r="AG805" s="155"/>
      <c r="AH805" s="155"/>
      <c r="AI805" s="322"/>
      <c r="AJ805" s="132"/>
      <c r="AK805" s="132"/>
    </row>
    <row r="806">
      <c r="A806" s="314"/>
      <c r="B806" s="313"/>
      <c r="C806" s="313"/>
      <c r="D806" s="313"/>
      <c r="E806" s="314"/>
      <c r="F806" s="314"/>
      <c r="G806" s="314"/>
      <c r="H806" s="318"/>
      <c r="I806" s="314"/>
      <c r="J806" s="314"/>
      <c r="K806" s="314"/>
      <c r="L806" s="314"/>
      <c r="M806" s="736"/>
      <c r="N806" s="318"/>
      <c r="O806" s="318"/>
      <c r="P806" s="314"/>
      <c r="Q806" s="314"/>
      <c r="R806" s="314"/>
      <c r="S806" s="314"/>
      <c r="T806" s="314"/>
      <c r="U806" s="314"/>
      <c r="V806" s="318"/>
      <c r="W806" s="315"/>
      <c r="X806" s="314"/>
      <c r="Y806" s="776"/>
      <c r="Z806" s="314"/>
      <c r="AA806" s="314"/>
      <c r="AB806" s="697"/>
      <c r="AC806" s="318"/>
      <c r="AD806" s="314"/>
      <c r="AE806" s="314"/>
      <c r="AF806" s="324"/>
      <c r="AG806" s="155"/>
      <c r="AH806" s="155"/>
      <c r="AI806" s="322"/>
      <c r="AJ806" s="132"/>
      <c r="AK806" s="132"/>
    </row>
    <row r="807">
      <c r="A807" s="314"/>
      <c r="B807" s="313"/>
      <c r="C807" s="313"/>
      <c r="D807" s="313"/>
      <c r="E807" s="314"/>
      <c r="F807" s="314"/>
      <c r="G807" s="314"/>
      <c r="H807" s="318"/>
      <c r="I807" s="314"/>
      <c r="J807" s="314"/>
      <c r="K807" s="314"/>
      <c r="L807" s="314"/>
      <c r="M807" s="736"/>
      <c r="N807" s="318"/>
      <c r="O807" s="318"/>
      <c r="P807" s="314"/>
      <c r="Q807" s="314"/>
      <c r="R807" s="314"/>
      <c r="S807" s="314"/>
      <c r="T807" s="314"/>
      <c r="U807" s="314"/>
      <c r="V807" s="318"/>
      <c r="W807" s="315"/>
      <c r="X807" s="314"/>
      <c r="Y807" s="776"/>
      <c r="Z807" s="314"/>
      <c r="AA807" s="314"/>
      <c r="AB807" s="697"/>
      <c r="AC807" s="318"/>
      <c r="AD807" s="314"/>
      <c r="AE807" s="314"/>
      <c r="AF807" s="324"/>
      <c r="AG807" s="155"/>
      <c r="AH807" s="155"/>
      <c r="AI807" s="322"/>
      <c r="AJ807" s="132"/>
      <c r="AK807" s="132"/>
    </row>
    <row r="808">
      <c r="A808" s="314"/>
      <c r="B808" s="313"/>
      <c r="C808" s="313"/>
      <c r="D808" s="313"/>
      <c r="E808" s="314"/>
      <c r="F808" s="314"/>
      <c r="G808" s="314"/>
      <c r="H808" s="318"/>
      <c r="I808" s="314"/>
      <c r="J808" s="314"/>
      <c r="K808" s="314"/>
      <c r="L808" s="314"/>
      <c r="M808" s="736"/>
      <c r="N808" s="318"/>
      <c r="O808" s="318"/>
      <c r="P808" s="314"/>
      <c r="Q808" s="314"/>
      <c r="R808" s="314"/>
      <c r="S808" s="314"/>
      <c r="T808" s="314"/>
      <c r="U808" s="314"/>
      <c r="V808" s="318"/>
      <c r="W808" s="315"/>
      <c r="X808" s="314"/>
      <c r="Y808" s="776"/>
      <c r="Z808" s="314"/>
      <c r="AA808" s="314"/>
      <c r="AB808" s="697"/>
      <c r="AC808" s="318"/>
      <c r="AD808" s="314"/>
      <c r="AE808" s="314"/>
      <c r="AF808" s="324"/>
      <c r="AG808" s="155"/>
      <c r="AH808" s="155"/>
      <c r="AI808" s="322"/>
      <c r="AJ808" s="132"/>
      <c r="AK808" s="132"/>
    </row>
    <row r="809">
      <c r="A809" s="314"/>
      <c r="B809" s="313"/>
      <c r="C809" s="313"/>
      <c r="D809" s="313"/>
      <c r="E809" s="314"/>
      <c r="F809" s="314"/>
      <c r="G809" s="314"/>
      <c r="H809" s="318"/>
      <c r="I809" s="314"/>
      <c r="J809" s="314"/>
      <c r="K809" s="314"/>
      <c r="L809" s="314"/>
      <c r="M809" s="736"/>
      <c r="N809" s="318"/>
      <c r="O809" s="318"/>
      <c r="P809" s="314"/>
      <c r="Q809" s="314"/>
      <c r="R809" s="314"/>
      <c r="S809" s="314"/>
      <c r="T809" s="314"/>
      <c r="U809" s="314"/>
      <c r="V809" s="318"/>
      <c r="W809" s="315"/>
      <c r="X809" s="314"/>
      <c r="Y809" s="776"/>
      <c r="Z809" s="314"/>
      <c r="AA809" s="314"/>
      <c r="AB809" s="697"/>
      <c r="AC809" s="318"/>
      <c r="AD809" s="314"/>
      <c r="AE809" s="314"/>
      <c r="AF809" s="324"/>
      <c r="AG809" s="155"/>
      <c r="AH809" s="155"/>
      <c r="AI809" s="322"/>
      <c r="AJ809" s="132"/>
      <c r="AK809" s="132"/>
    </row>
    <row r="810">
      <c r="A810" s="314"/>
      <c r="B810" s="313"/>
      <c r="C810" s="313"/>
      <c r="D810" s="313"/>
      <c r="E810" s="314"/>
      <c r="F810" s="314"/>
      <c r="G810" s="314"/>
      <c r="H810" s="318"/>
      <c r="I810" s="314"/>
      <c r="J810" s="314"/>
      <c r="K810" s="314"/>
      <c r="L810" s="314"/>
      <c r="M810" s="736"/>
      <c r="N810" s="318"/>
      <c r="O810" s="318"/>
      <c r="P810" s="314"/>
      <c r="Q810" s="314"/>
      <c r="R810" s="314"/>
      <c r="S810" s="314"/>
      <c r="T810" s="314"/>
      <c r="U810" s="314"/>
      <c r="V810" s="318"/>
      <c r="W810" s="315"/>
      <c r="X810" s="314"/>
      <c r="Y810" s="776"/>
      <c r="Z810" s="314"/>
      <c r="AA810" s="314"/>
      <c r="AB810" s="697"/>
      <c r="AC810" s="318"/>
      <c r="AD810" s="314"/>
      <c r="AE810" s="314"/>
      <c r="AF810" s="324"/>
      <c r="AG810" s="155"/>
      <c r="AH810" s="155"/>
      <c r="AI810" s="322"/>
      <c r="AJ810" s="132"/>
      <c r="AK810" s="132"/>
    </row>
    <row r="811">
      <c r="A811" s="314"/>
      <c r="B811" s="313"/>
      <c r="C811" s="313"/>
      <c r="D811" s="313"/>
      <c r="E811" s="314"/>
      <c r="F811" s="314"/>
      <c r="G811" s="314"/>
      <c r="H811" s="318"/>
      <c r="I811" s="314"/>
      <c r="J811" s="314"/>
      <c r="K811" s="314"/>
      <c r="L811" s="314"/>
      <c r="M811" s="736"/>
      <c r="N811" s="318"/>
      <c r="O811" s="318"/>
      <c r="P811" s="314"/>
      <c r="Q811" s="314"/>
      <c r="R811" s="314"/>
      <c r="S811" s="314"/>
      <c r="T811" s="314"/>
      <c r="U811" s="314"/>
      <c r="V811" s="318"/>
      <c r="W811" s="315"/>
      <c r="X811" s="314"/>
      <c r="Y811" s="776"/>
      <c r="Z811" s="314"/>
      <c r="AA811" s="314"/>
      <c r="AB811" s="697"/>
      <c r="AC811" s="318"/>
      <c r="AD811" s="314"/>
      <c r="AE811" s="314"/>
      <c r="AF811" s="324"/>
      <c r="AG811" s="155"/>
      <c r="AH811" s="155"/>
      <c r="AI811" s="322"/>
      <c r="AJ811" s="132"/>
      <c r="AK811" s="132"/>
    </row>
    <row r="812">
      <c r="A812" s="314"/>
      <c r="B812" s="313"/>
      <c r="C812" s="313"/>
      <c r="D812" s="313"/>
      <c r="E812" s="314"/>
      <c r="F812" s="314"/>
      <c r="G812" s="314"/>
      <c r="H812" s="318"/>
      <c r="I812" s="314"/>
      <c r="J812" s="314"/>
      <c r="K812" s="314"/>
      <c r="L812" s="314"/>
      <c r="M812" s="736"/>
      <c r="N812" s="318"/>
      <c r="O812" s="318"/>
      <c r="P812" s="314"/>
      <c r="Q812" s="314"/>
      <c r="R812" s="314"/>
      <c r="S812" s="314"/>
      <c r="T812" s="314"/>
      <c r="U812" s="314"/>
      <c r="V812" s="318"/>
      <c r="W812" s="315"/>
      <c r="X812" s="314"/>
      <c r="Y812" s="776"/>
      <c r="Z812" s="314"/>
      <c r="AA812" s="314"/>
      <c r="AB812" s="697"/>
      <c r="AC812" s="318"/>
      <c r="AD812" s="314"/>
      <c r="AE812" s="314"/>
      <c r="AF812" s="324"/>
      <c r="AG812" s="155"/>
      <c r="AH812" s="155"/>
      <c r="AI812" s="322"/>
      <c r="AJ812" s="132"/>
      <c r="AK812" s="132"/>
    </row>
    <row r="813">
      <c r="A813" s="314"/>
      <c r="B813" s="313"/>
      <c r="C813" s="313"/>
      <c r="D813" s="313"/>
      <c r="E813" s="314"/>
      <c r="F813" s="314"/>
      <c r="G813" s="314"/>
      <c r="H813" s="318"/>
      <c r="I813" s="314"/>
      <c r="J813" s="314"/>
      <c r="K813" s="314"/>
      <c r="L813" s="314"/>
      <c r="M813" s="736"/>
      <c r="N813" s="318"/>
      <c r="O813" s="318"/>
      <c r="P813" s="314"/>
      <c r="Q813" s="314"/>
      <c r="R813" s="314"/>
      <c r="S813" s="314"/>
      <c r="T813" s="314"/>
      <c r="U813" s="314"/>
      <c r="V813" s="318"/>
      <c r="W813" s="315"/>
      <c r="X813" s="314"/>
      <c r="Y813" s="776"/>
      <c r="Z813" s="314"/>
      <c r="AA813" s="314"/>
      <c r="AB813" s="697"/>
      <c r="AC813" s="318"/>
      <c r="AD813" s="314"/>
      <c r="AE813" s="314"/>
      <c r="AF813" s="324"/>
      <c r="AG813" s="155"/>
      <c r="AH813" s="155"/>
      <c r="AI813" s="322"/>
      <c r="AJ813" s="132"/>
      <c r="AK813" s="132"/>
    </row>
    <row r="814">
      <c r="A814" s="314"/>
      <c r="B814" s="313"/>
      <c r="C814" s="313"/>
      <c r="D814" s="313"/>
      <c r="E814" s="314"/>
      <c r="F814" s="314"/>
      <c r="G814" s="314"/>
      <c r="H814" s="318"/>
      <c r="I814" s="314"/>
      <c r="J814" s="314"/>
      <c r="K814" s="314"/>
      <c r="L814" s="314"/>
      <c r="M814" s="736"/>
      <c r="N814" s="318"/>
      <c r="O814" s="318"/>
      <c r="P814" s="314"/>
      <c r="Q814" s="314"/>
      <c r="R814" s="314"/>
      <c r="S814" s="314"/>
      <c r="T814" s="314"/>
      <c r="U814" s="314"/>
      <c r="V814" s="318"/>
      <c r="W814" s="315"/>
      <c r="X814" s="314"/>
      <c r="Y814" s="776"/>
      <c r="Z814" s="314"/>
      <c r="AA814" s="314"/>
      <c r="AB814" s="697"/>
      <c r="AC814" s="318"/>
      <c r="AD814" s="314"/>
      <c r="AE814" s="314"/>
      <c r="AF814" s="324"/>
      <c r="AG814" s="155"/>
      <c r="AH814" s="155"/>
      <c r="AI814" s="322"/>
      <c r="AJ814" s="132"/>
      <c r="AK814" s="132"/>
    </row>
    <row r="815">
      <c r="A815" s="435"/>
      <c r="B815" s="313"/>
      <c r="C815" s="437"/>
      <c r="D815" s="313"/>
      <c r="E815" s="435"/>
      <c r="F815" s="314"/>
      <c r="G815" s="314"/>
      <c r="H815" s="740"/>
      <c r="I815" s="435"/>
      <c r="J815" s="314"/>
      <c r="K815" s="435"/>
      <c r="L815" s="435"/>
      <c r="M815" s="736"/>
      <c r="N815" s="318"/>
      <c r="O815" s="318"/>
      <c r="P815" s="435"/>
      <c r="Q815" s="435"/>
      <c r="R815" s="435"/>
      <c r="S815" s="435"/>
      <c r="T815" s="435"/>
      <c r="U815" s="435"/>
      <c r="V815" s="740"/>
      <c r="W815" s="744"/>
      <c r="X815" s="435"/>
      <c r="Y815" s="781"/>
      <c r="Z815" s="435"/>
      <c r="AA815" s="435"/>
      <c r="AB815" s="743"/>
      <c r="AC815" s="740"/>
      <c r="AD815" s="435"/>
      <c r="AE815" s="435"/>
      <c r="AF815" s="324"/>
      <c r="AG815" s="180"/>
      <c r="AH815" s="155"/>
      <c r="AI815" s="322"/>
      <c r="AJ815" s="132"/>
      <c r="AK815" s="132"/>
    </row>
    <row r="816">
      <c r="A816" s="435"/>
      <c r="B816" s="313"/>
      <c r="C816" s="313"/>
      <c r="D816" s="437"/>
      <c r="E816" s="314"/>
      <c r="F816" s="314"/>
      <c r="G816" s="314"/>
      <c r="H816" s="318"/>
      <c r="I816" s="314"/>
      <c r="J816" s="314"/>
      <c r="K816" s="314"/>
      <c r="L816" s="314"/>
      <c r="M816" s="839"/>
      <c r="N816" s="740"/>
      <c r="O816" s="318"/>
      <c r="P816" s="314"/>
      <c r="Q816" s="314"/>
      <c r="R816" s="314"/>
      <c r="S816" s="314"/>
      <c r="T816" s="314"/>
      <c r="U816" s="314"/>
      <c r="V816" s="318"/>
      <c r="W816" s="315"/>
      <c r="X816" s="314"/>
      <c r="Y816" s="776"/>
      <c r="Z816" s="314"/>
      <c r="AA816" s="314"/>
      <c r="AB816" s="697"/>
      <c r="AC816" s="318"/>
      <c r="AD816" s="314"/>
      <c r="AE816" s="314"/>
      <c r="AF816" s="324"/>
      <c r="AG816" s="180"/>
      <c r="AH816" s="155"/>
      <c r="AI816" s="322"/>
      <c r="AJ816" s="132"/>
      <c r="AK816" s="132"/>
    </row>
    <row r="817">
      <c r="A817" s="435"/>
      <c r="B817" s="437"/>
      <c r="C817" s="437"/>
      <c r="D817" s="437"/>
      <c r="E817" s="435"/>
      <c r="F817" s="314"/>
      <c r="G817" s="314"/>
      <c r="H817" s="318"/>
      <c r="I817" s="435"/>
      <c r="J817" s="435"/>
      <c r="K817" s="435"/>
      <c r="L817" s="435"/>
      <c r="M817" s="839"/>
      <c r="N817" s="740"/>
      <c r="O817" s="318"/>
      <c r="P817" s="435"/>
      <c r="Q817" s="314"/>
      <c r="R817" s="435"/>
      <c r="S817" s="435"/>
      <c r="T817" s="435"/>
      <c r="U817" s="435"/>
      <c r="V817" s="740"/>
      <c r="W817" s="744"/>
      <c r="X817" s="435"/>
      <c r="Y817" s="781"/>
      <c r="Z817" s="435"/>
      <c r="AA817" s="435"/>
      <c r="AB817" s="743"/>
      <c r="AC817" s="740"/>
      <c r="AD817" s="435"/>
      <c r="AE817" s="435"/>
      <c r="AF817" s="324"/>
      <c r="AG817" s="180"/>
      <c r="AH817" s="155"/>
      <c r="AI817" s="322"/>
      <c r="AJ817" s="132"/>
      <c r="AK817" s="132"/>
    </row>
    <row r="818">
      <c r="A818" s="435"/>
      <c r="B818" s="313"/>
      <c r="C818" s="313"/>
      <c r="D818" s="437"/>
      <c r="E818" s="314"/>
      <c r="F818" s="314"/>
      <c r="G818" s="314"/>
      <c r="H818" s="318"/>
      <c r="I818" s="435"/>
      <c r="J818" s="314"/>
      <c r="K818" s="435"/>
      <c r="L818" s="314"/>
      <c r="M818" s="736"/>
      <c r="N818" s="318"/>
      <c r="O818" s="318"/>
      <c r="P818" s="314"/>
      <c r="Q818" s="435"/>
      <c r="R818" s="435"/>
      <c r="S818" s="314"/>
      <c r="T818" s="314"/>
      <c r="U818" s="314"/>
      <c r="V818" s="318"/>
      <c r="W818" s="315"/>
      <c r="X818" s="314"/>
      <c r="Y818" s="776"/>
      <c r="Z818" s="314"/>
      <c r="AA818" s="314"/>
      <c r="AB818" s="697"/>
      <c r="AC818" s="318"/>
      <c r="AD818" s="314"/>
      <c r="AE818" s="314"/>
      <c r="AF818" s="324"/>
      <c r="AG818" s="180"/>
      <c r="AH818" s="155"/>
      <c r="AI818" s="322"/>
      <c r="AJ818" s="132"/>
      <c r="AK818" s="132"/>
    </row>
    <row r="819">
      <c r="A819" s="435"/>
      <c r="B819" s="437"/>
      <c r="C819" s="437"/>
      <c r="D819" s="437"/>
      <c r="E819" s="435"/>
      <c r="F819" s="314"/>
      <c r="G819" s="314"/>
      <c r="H819" s="740"/>
      <c r="I819" s="435"/>
      <c r="J819" s="435"/>
      <c r="K819" s="435"/>
      <c r="L819" s="435"/>
      <c r="M819" s="839"/>
      <c r="N819" s="740"/>
      <c r="O819" s="318"/>
      <c r="P819" s="435"/>
      <c r="Q819" s="435"/>
      <c r="R819" s="435"/>
      <c r="S819" s="435"/>
      <c r="T819" s="435"/>
      <c r="U819" s="435"/>
      <c r="V819" s="740"/>
      <c r="W819" s="744"/>
      <c r="X819" s="435"/>
      <c r="Y819" s="781"/>
      <c r="Z819" s="435"/>
      <c r="AA819" s="435"/>
      <c r="AB819" s="743"/>
      <c r="AC819" s="740"/>
      <c r="AD819" s="435"/>
      <c r="AE819" s="435"/>
      <c r="AF819" s="324"/>
      <c r="AG819" s="180"/>
      <c r="AH819" s="155"/>
      <c r="AI819" s="322"/>
      <c r="AJ819" s="132"/>
      <c r="AK819" s="132"/>
    </row>
    <row r="820">
      <c r="A820" s="435"/>
      <c r="B820" s="437"/>
      <c r="C820" s="313"/>
      <c r="D820" s="437"/>
      <c r="E820" s="314"/>
      <c r="F820" s="314"/>
      <c r="G820" s="314"/>
      <c r="H820" s="318"/>
      <c r="I820" s="314"/>
      <c r="J820" s="314"/>
      <c r="K820" s="435"/>
      <c r="L820" s="314"/>
      <c r="M820" s="736"/>
      <c r="N820" s="318"/>
      <c r="O820" s="318"/>
      <c r="P820" s="314"/>
      <c r="Q820" s="314"/>
      <c r="R820" s="314"/>
      <c r="S820" s="435"/>
      <c r="T820" s="435"/>
      <c r="U820" s="435"/>
      <c r="V820" s="740"/>
      <c r="W820" s="744"/>
      <c r="X820" s="435"/>
      <c r="Y820" s="781"/>
      <c r="Z820" s="435"/>
      <c r="AA820" s="435"/>
      <c r="AB820" s="743"/>
      <c r="AC820" s="740"/>
      <c r="AD820" s="435"/>
      <c r="AE820" s="435"/>
      <c r="AF820" s="324"/>
      <c r="AG820" s="180"/>
      <c r="AH820" s="155"/>
      <c r="AI820" s="322"/>
      <c r="AJ820" s="132"/>
      <c r="AK820" s="132"/>
    </row>
    <row r="821">
      <c r="A821" s="435"/>
      <c r="B821" s="437"/>
      <c r="C821" s="437"/>
      <c r="D821" s="437"/>
      <c r="E821" s="435"/>
      <c r="F821" s="314"/>
      <c r="G821" s="314"/>
      <c r="H821" s="740"/>
      <c r="I821" s="314"/>
      <c r="J821" s="314"/>
      <c r="K821" s="435"/>
      <c r="L821" s="314"/>
      <c r="M821" s="736"/>
      <c r="N821" s="318"/>
      <c r="O821" s="318"/>
      <c r="P821" s="435"/>
      <c r="Q821" s="435"/>
      <c r="R821" s="435"/>
      <c r="S821" s="435"/>
      <c r="T821" s="435"/>
      <c r="U821" s="435"/>
      <c r="V821" s="740"/>
      <c r="W821" s="744"/>
      <c r="X821" s="435"/>
      <c r="Y821" s="781"/>
      <c r="Z821" s="435"/>
      <c r="AA821" s="435"/>
      <c r="AB821" s="743"/>
      <c r="AC821" s="740"/>
      <c r="AD821" s="435"/>
      <c r="AE821" s="435"/>
      <c r="AF821" s="324"/>
      <c r="AG821" s="180"/>
      <c r="AH821" s="155"/>
      <c r="AI821" s="322"/>
      <c r="AJ821" s="132"/>
      <c r="AK821" s="132"/>
    </row>
    <row r="822">
      <c r="A822" s="435"/>
      <c r="B822" s="437"/>
      <c r="C822" s="437"/>
      <c r="D822" s="437"/>
      <c r="E822" s="435"/>
      <c r="F822" s="314"/>
      <c r="G822" s="314"/>
      <c r="H822" s="740"/>
      <c r="I822" s="435"/>
      <c r="J822" s="435"/>
      <c r="K822" s="435"/>
      <c r="L822" s="435"/>
      <c r="M822" s="839"/>
      <c r="N822" s="740"/>
      <c r="O822" s="318"/>
      <c r="P822" s="435"/>
      <c r="Q822" s="435"/>
      <c r="R822" s="435"/>
      <c r="S822" s="435"/>
      <c r="T822" s="435"/>
      <c r="U822" s="435"/>
      <c r="V822" s="740"/>
      <c r="W822" s="744"/>
      <c r="X822" s="435"/>
      <c r="Y822" s="781"/>
      <c r="Z822" s="435"/>
      <c r="AA822" s="435"/>
      <c r="AB822" s="743"/>
      <c r="AC822" s="740"/>
      <c r="AD822" s="435"/>
      <c r="AE822" s="435"/>
      <c r="AF822" s="324"/>
      <c r="AG822" s="180"/>
      <c r="AH822" s="155"/>
      <c r="AI822" s="322"/>
      <c r="AJ822" s="132"/>
      <c r="AK822" s="132"/>
    </row>
    <row r="823">
      <c r="A823" s="435"/>
      <c r="B823" s="313"/>
      <c r="C823" s="313"/>
      <c r="D823" s="313"/>
      <c r="E823" s="435"/>
      <c r="F823" s="314"/>
      <c r="G823" s="314"/>
      <c r="H823" s="740"/>
      <c r="I823" s="314"/>
      <c r="J823" s="314"/>
      <c r="K823" s="314"/>
      <c r="L823" s="314"/>
      <c r="M823" s="736"/>
      <c r="N823" s="318"/>
      <c r="O823" s="318"/>
      <c r="P823" s="314"/>
      <c r="Q823" s="314"/>
      <c r="R823" s="314"/>
      <c r="S823" s="314"/>
      <c r="T823" s="314"/>
      <c r="U823" s="314"/>
      <c r="V823" s="318"/>
      <c r="W823" s="315"/>
      <c r="X823" s="314"/>
      <c r="Y823" s="776"/>
      <c r="Z823" s="314"/>
      <c r="AA823" s="314"/>
      <c r="AB823" s="697"/>
      <c r="AC823" s="318"/>
      <c r="AD823" s="314"/>
      <c r="AE823" s="314"/>
      <c r="AF823" s="324"/>
      <c r="AG823" s="180"/>
      <c r="AH823" s="155"/>
      <c r="AI823" s="322"/>
      <c r="AJ823" s="132"/>
      <c r="AK823" s="132"/>
    </row>
    <row r="824">
      <c r="A824" s="435"/>
      <c r="B824" s="313"/>
      <c r="C824" s="313"/>
      <c r="D824" s="437"/>
      <c r="E824" s="314"/>
      <c r="F824" s="314"/>
      <c r="G824" s="314"/>
      <c r="H824" s="740"/>
      <c r="I824" s="314"/>
      <c r="J824" s="435"/>
      <c r="K824" s="435"/>
      <c r="L824" s="314"/>
      <c r="M824" s="839"/>
      <c r="N824" s="318"/>
      <c r="O824" s="318"/>
      <c r="P824" s="314"/>
      <c r="Q824" s="314"/>
      <c r="R824" s="435"/>
      <c r="S824" s="435"/>
      <c r="T824" s="435"/>
      <c r="U824" s="435"/>
      <c r="V824" s="740"/>
      <c r="W824" s="744"/>
      <c r="X824" s="435"/>
      <c r="Y824" s="781"/>
      <c r="Z824" s="435"/>
      <c r="AA824" s="435"/>
      <c r="AB824" s="743"/>
      <c r="AC824" s="740"/>
      <c r="AD824" s="435"/>
      <c r="AE824" s="435"/>
      <c r="AF824" s="324"/>
      <c r="AG824" s="180"/>
      <c r="AH824" s="155"/>
      <c r="AI824" s="322"/>
      <c r="AJ824" s="132"/>
      <c r="AK824" s="132"/>
    </row>
    <row r="825">
      <c r="A825" s="435"/>
      <c r="B825" s="313"/>
      <c r="C825" s="313"/>
      <c r="D825" s="313"/>
      <c r="E825" s="314"/>
      <c r="F825" s="314"/>
      <c r="G825" s="314"/>
      <c r="H825" s="318"/>
      <c r="I825" s="314"/>
      <c r="J825" s="314"/>
      <c r="K825" s="314"/>
      <c r="L825" s="314"/>
      <c r="M825" s="736"/>
      <c r="N825" s="318"/>
      <c r="O825" s="318"/>
      <c r="P825" s="314"/>
      <c r="Q825" s="435"/>
      <c r="R825" s="314"/>
      <c r="S825" s="435"/>
      <c r="T825" s="435"/>
      <c r="U825" s="435"/>
      <c r="V825" s="740"/>
      <c r="W825" s="744"/>
      <c r="X825" s="435"/>
      <c r="Y825" s="781"/>
      <c r="Z825" s="435"/>
      <c r="AA825" s="435"/>
      <c r="AB825" s="743"/>
      <c r="AC825" s="740"/>
      <c r="AD825" s="435"/>
      <c r="AE825" s="435"/>
      <c r="AF825" s="324"/>
      <c r="AG825" s="180"/>
      <c r="AH825" s="155"/>
      <c r="AI825" s="322"/>
      <c r="AJ825" s="132"/>
      <c r="AK825" s="132"/>
    </row>
    <row r="826">
      <c r="A826" s="435"/>
      <c r="B826" s="437"/>
      <c r="C826" s="313"/>
      <c r="D826" s="313"/>
      <c r="E826" s="314"/>
      <c r="F826" s="314"/>
      <c r="G826" s="314"/>
      <c r="H826" s="740"/>
      <c r="I826" s="314"/>
      <c r="J826" s="435"/>
      <c r="K826" s="435"/>
      <c r="L826" s="314"/>
      <c r="M826" s="736"/>
      <c r="N826" s="740"/>
      <c r="O826" s="318"/>
      <c r="P826" s="314"/>
      <c r="Q826" s="314"/>
      <c r="R826" s="435"/>
      <c r="S826" s="435"/>
      <c r="T826" s="435"/>
      <c r="U826" s="435"/>
      <c r="V826" s="740"/>
      <c r="W826" s="744"/>
      <c r="X826" s="435"/>
      <c r="Y826" s="781"/>
      <c r="Z826" s="435"/>
      <c r="AA826" s="435"/>
      <c r="AB826" s="743"/>
      <c r="AC826" s="740"/>
      <c r="AD826" s="435"/>
      <c r="AE826" s="435"/>
      <c r="AF826" s="324"/>
      <c r="AG826" s="180"/>
      <c r="AH826" s="155"/>
      <c r="AI826" s="322"/>
      <c r="AJ826" s="132"/>
      <c r="AK826" s="132"/>
    </row>
    <row r="827">
      <c r="A827" s="435"/>
      <c r="B827" s="313"/>
      <c r="C827" s="437"/>
      <c r="D827" s="437"/>
      <c r="E827" s="435"/>
      <c r="F827" s="314"/>
      <c r="G827" s="314"/>
      <c r="H827" s="740"/>
      <c r="I827" s="314"/>
      <c r="J827" s="314"/>
      <c r="K827" s="435"/>
      <c r="L827" s="314"/>
      <c r="M827" s="736"/>
      <c r="N827" s="318"/>
      <c r="O827" s="318"/>
      <c r="P827" s="314"/>
      <c r="Q827" s="314"/>
      <c r="R827" s="314"/>
      <c r="S827" s="435"/>
      <c r="T827" s="435"/>
      <c r="U827" s="435"/>
      <c r="V827" s="740"/>
      <c r="W827" s="744"/>
      <c r="X827" s="435"/>
      <c r="Y827" s="781"/>
      <c r="Z827" s="435"/>
      <c r="AA827" s="435"/>
      <c r="AB827" s="743"/>
      <c r="AC827" s="740"/>
      <c r="AD827" s="435"/>
      <c r="AE827" s="435"/>
      <c r="AF827" s="324"/>
      <c r="AG827" s="180"/>
      <c r="AH827" s="155"/>
      <c r="AI827" s="322"/>
      <c r="AJ827" s="132"/>
      <c r="AK827" s="132"/>
    </row>
    <row r="828">
      <c r="A828" s="435"/>
      <c r="B828" s="313"/>
      <c r="C828" s="313"/>
      <c r="D828" s="313"/>
      <c r="E828" s="314"/>
      <c r="F828" s="314"/>
      <c r="G828" s="314"/>
      <c r="H828" s="740"/>
      <c r="I828" s="314"/>
      <c r="J828" s="314"/>
      <c r="K828" s="314"/>
      <c r="L828" s="314"/>
      <c r="M828" s="736"/>
      <c r="N828" s="318"/>
      <c r="O828" s="318"/>
      <c r="P828" s="314"/>
      <c r="Q828" s="314"/>
      <c r="R828" s="435"/>
      <c r="S828" s="314"/>
      <c r="T828" s="314"/>
      <c r="U828" s="314"/>
      <c r="V828" s="318"/>
      <c r="W828" s="315"/>
      <c r="X828" s="314"/>
      <c r="Y828" s="776"/>
      <c r="Z828" s="314"/>
      <c r="AA828" s="314"/>
      <c r="AB828" s="697"/>
      <c r="AC828" s="318"/>
      <c r="AD828" s="314"/>
      <c r="AE828" s="314"/>
      <c r="AF828" s="324"/>
      <c r="AG828" s="180"/>
      <c r="AH828" s="155"/>
      <c r="AI828" s="322"/>
      <c r="AJ828" s="132"/>
      <c r="AK828" s="132"/>
    </row>
    <row r="829">
      <c r="A829" s="435"/>
      <c r="B829" s="437"/>
      <c r="C829" s="437"/>
      <c r="D829" s="437"/>
      <c r="E829" s="435"/>
      <c r="F829" s="314"/>
      <c r="G829" s="314"/>
      <c r="H829" s="740"/>
      <c r="I829" s="435"/>
      <c r="J829" s="435"/>
      <c r="K829" s="435"/>
      <c r="L829" s="435"/>
      <c r="M829" s="839"/>
      <c r="N829" s="740"/>
      <c r="O829" s="318"/>
      <c r="P829" s="435"/>
      <c r="Q829" s="435"/>
      <c r="R829" s="435"/>
      <c r="S829" s="435"/>
      <c r="T829" s="435"/>
      <c r="U829" s="435"/>
      <c r="V829" s="740"/>
      <c r="W829" s="744"/>
      <c r="X829" s="435"/>
      <c r="Y829" s="781"/>
      <c r="Z829" s="435"/>
      <c r="AA829" s="435"/>
      <c r="AB829" s="743"/>
      <c r="AC829" s="740"/>
      <c r="AD829" s="435"/>
      <c r="AE829" s="435"/>
      <c r="AF829" s="324"/>
      <c r="AG829" s="180"/>
      <c r="AH829" s="155"/>
      <c r="AI829" s="322"/>
      <c r="AJ829" s="132"/>
      <c r="AK829" s="132"/>
    </row>
    <row r="830">
      <c r="A830" s="435"/>
      <c r="B830" s="313"/>
      <c r="C830" s="313"/>
      <c r="D830" s="313"/>
      <c r="E830" s="314"/>
      <c r="F830" s="314"/>
      <c r="G830" s="314"/>
      <c r="H830" s="318"/>
      <c r="I830" s="314"/>
      <c r="J830" s="314"/>
      <c r="K830" s="314"/>
      <c r="L830" s="314"/>
      <c r="M830" s="839"/>
      <c r="N830" s="318"/>
      <c r="O830" s="318"/>
      <c r="P830" s="314"/>
      <c r="Q830" s="314"/>
      <c r="R830" s="314"/>
      <c r="S830" s="314"/>
      <c r="T830" s="314"/>
      <c r="U830" s="314"/>
      <c r="V830" s="318"/>
      <c r="W830" s="315"/>
      <c r="X830" s="314"/>
      <c r="Y830" s="776"/>
      <c r="Z830" s="314"/>
      <c r="AA830" s="314"/>
      <c r="AB830" s="697"/>
      <c r="AC830" s="318"/>
      <c r="AD830" s="314"/>
      <c r="AE830" s="314"/>
      <c r="AF830" s="324"/>
      <c r="AG830" s="180"/>
      <c r="AH830" s="155"/>
      <c r="AI830" s="322"/>
      <c r="AJ830" s="132"/>
      <c r="AK830" s="132"/>
    </row>
    <row r="831">
      <c r="A831" s="435"/>
      <c r="B831" s="313"/>
      <c r="C831" s="437"/>
      <c r="D831" s="437"/>
      <c r="E831" s="435"/>
      <c r="F831" s="314"/>
      <c r="G831" s="314"/>
      <c r="H831" s="740"/>
      <c r="I831" s="435"/>
      <c r="J831" s="435"/>
      <c r="K831" s="435"/>
      <c r="L831" s="314"/>
      <c r="M831" s="839"/>
      <c r="N831" s="740"/>
      <c r="O831" s="318"/>
      <c r="P831" s="435"/>
      <c r="Q831" s="435"/>
      <c r="R831" s="435"/>
      <c r="S831" s="435"/>
      <c r="T831" s="435"/>
      <c r="U831" s="435"/>
      <c r="V831" s="740"/>
      <c r="W831" s="744"/>
      <c r="X831" s="435"/>
      <c r="Y831" s="781"/>
      <c r="Z831" s="435"/>
      <c r="AA831" s="435"/>
      <c r="AB831" s="743"/>
      <c r="AC831" s="740"/>
      <c r="AD831" s="435"/>
      <c r="AE831" s="435"/>
      <c r="AF831" s="324"/>
      <c r="AG831" s="180"/>
      <c r="AH831" s="155"/>
      <c r="AI831" s="322"/>
      <c r="AJ831" s="132"/>
      <c r="AK831" s="132"/>
    </row>
    <row r="832">
      <c r="A832" s="435"/>
      <c r="B832" s="437"/>
      <c r="C832" s="437"/>
      <c r="D832" s="313"/>
      <c r="E832" s="435"/>
      <c r="F832" s="314"/>
      <c r="G832" s="314"/>
      <c r="H832" s="740"/>
      <c r="I832" s="435"/>
      <c r="J832" s="314"/>
      <c r="K832" s="435"/>
      <c r="L832" s="435"/>
      <c r="M832" s="736"/>
      <c r="N832" s="740"/>
      <c r="O832" s="318"/>
      <c r="P832" s="435"/>
      <c r="Q832" s="314"/>
      <c r="R832" s="435"/>
      <c r="S832" s="435"/>
      <c r="T832" s="435"/>
      <c r="U832" s="435"/>
      <c r="V832" s="740"/>
      <c r="W832" s="744"/>
      <c r="X832" s="435"/>
      <c r="Y832" s="781"/>
      <c r="Z832" s="435"/>
      <c r="AA832" s="435"/>
      <c r="AB832" s="743"/>
      <c r="AC832" s="740"/>
      <c r="AD832" s="435"/>
      <c r="AE832" s="435"/>
      <c r="AF832" s="324"/>
      <c r="AG832" s="180"/>
      <c r="AH832" s="155"/>
      <c r="AI832" s="322"/>
      <c r="AJ832" s="132"/>
      <c r="AK832" s="132"/>
    </row>
    <row r="833">
      <c r="A833" s="458"/>
      <c r="B833" s="437"/>
      <c r="C833" s="437"/>
      <c r="D833" s="437"/>
      <c r="E833" s="435"/>
      <c r="F833" s="314"/>
      <c r="G833" s="314"/>
      <c r="H833" s="318"/>
      <c r="I833" s="435"/>
      <c r="J833" s="435"/>
      <c r="K833" s="435"/>
      <c r="L833" s="435"/>
      <c r="M833" s="839"/>
      <c r="N833" s="740"/>
      <c r="O833" s="318"/>
      <c r="P833" s="435"/>
      <c r="Q833" s="435"/>
      <c r="R833" s="435"/>
      <c r="S833" s="435"/>
      <c r="T833" s="435"/>
      <c r="U833" s="435"/>
      <c r="V833" s="740"/>
      <c r="W833" s="744"/>
      <c r="X833" s="435"/>
      <c r="Y833" s="781"/>
      <c r="Z833" s="435"/>
      <c r="AA833" s="435"/>
      <c r="AB833" s="743"/>
      <c r="AC833" s="740"/>
      <c r="AD833" s="435"/>
      <c r="AE833" s="435"/>
      <c r="AF833" s="324"/>
      <c r="AG833" s="180"/>
      <c r="AH833" s="155"/>
      <c r="AI833" s="322"/>
      <c r="AJ833" s="132"/>
      <c r="AK833" s="132"/>
    </row>
    <row r="834">
      <c r="A834" s="458"/>
      <c r="B834" s="437"/>
      <c r="C834" s="437"/>
      <c r="D834" s="437"/>
      <c r="E834" s="435"/>
      <c r="F834" s="314"/>
      <c r="G834" s="314"/>
      <c r="H834" s="318"/>
      <c r="I834" s="314"/>
      <c r="J834" s="435"/>
      <c r="K834" s="435"/>
      <c r="L834" s="435"/>
      <c r="M834" s="839"/>
      <c r="N834" s="740"/>
      <c r="O834" s="318"/>
      <c r="P834" s="435"/>
      <c r="Q834" s="435"/>
      <c r="R834" s="435"/>
      <c r="S834" s="435"/>
      <c r="T834" s="435"/>
      <c r="U834" s="435"/>
      <c r="V834" s="740"/>
      <c r="W834" s="744"/>
      <c r="X834" s="435"/>
      <c r="Y834" s="781"/>
      <c r="Z834" s="435"/>
      <c r="AA834" s="435"/>
      <c r="AB834" s="743"/>
      <c r="AC834" s="740"/>
      <c r="AD834" s="435"/>
      <c r="AE834" s="435"/>
      <c r="AF834" s="324"/>
      <c r="AG834" s="180"/>
      <c r="AH834" s="155"/>
      <c r="AI834" s="322"/>
      <c r="AJ834" s="132"/>
      <c r="AK834" s="132"/>
    </row>
    <row r="835">
      <c r="A835" s="458"/>
      <c r="B835" s="437"/>
      <c r="C835" s="437"/>
      <c r="D835" s="437"/>
      <c r="E835" s="314"/>
      <c r="F835" s="314"/>
      <c r="G835" s="314"/>
      <c r="H835" s="318"/>
      <c r="I835" s="435"/>
      <c r="J835" s="435"/>
      <c r="K835" s="435"/>
      <c r="L835" s="435"/>
      <c r="M835" s="839"/>
      <c r="N835" s="740"/>
      <c r="O835" s="318"/>
      <c r="P835" s="435"/>
      <c r="Q835" s="314"/>
      <c r="R835" s="435"/>
      <c r="S835" s="435"/>
      <c r="T835" s="435"/>
      <c r="U835" s="435"/>
      <c r="V835" s="740"/>
      <c r="W835" s="744"/>
      <c r="X835" s="435"/>
      <c r="Y835" s="781"/>
      <c r="Z835" s="435"/>
      <c r="AA835" s="435"/>
      <c r="AB835" s="743"/>
      <c r="AC835" s="740"/>
      <c r="AD835" s="435"/>
      <c r="AE835" s="435"/>
      <c r="AF835" s="324"/>
      <c r="AG835" s="180"/>
      <c r="AH835" s="155"/>
      <c r="AI835" s="322"/>
      <c r="AJ835" s="132"/>
      <c r="AK835" s="132"/>
    </row>
    <row r="836">
      <c r="A836" s="458"/>
      <c r="B836" s="313"/>
      <c r="C836" s="313"/>
      <c r="D836" s="313"/>
      <c r="E836" s="314"/>
      <c r="F836" s="314"/>
      <c r="G836" s="314"/>
      <c r="H836" s="318"/>
      <c r="I836" s="314"/>
      <c r="J836" s="314"/>
      <c r="K836" s="314"/>
      <c r="L836" s="314"/>
      <c r="M836" s="736"/>
      <c r="N836" s="318"/>
      <c r="O836" s="318"/>
      <c r="P836" s="314"/>
      <c r="Q836" s="314"/>
      <c r="R836" s="314"/>
      <c r="S836" s="314"/>
      <c r="T836" s="314"/>
      <c r="U836" s="314"/>
      <c r="V836" s="318"/>
      <c r="W836" s="315"/>
      <c r="X836" s="314"/>
      <c r="Y836" s="776"/>
      <c r="Z836" s="314"/>
      <c r="AA836" s="314"/>
      <c r="AB836" s="697"/>
      <c r="AC836" s="318"/>
      <c r="AD836" s="314"/>
      <c r="AE836" s="314"/>
      <c r="AF836" s="324"/>
      <c r="AG836" s="180"/>
      <c r="AH836" s="155"/>
      <c r="AI836" s="322"/>
      <c r="AJ836" s="132"/>
      <c r="AK836" s="132"/>
    </row>
    <row r="837">
      <c r="A837" s="458"/>
      <c r="B837" s="437"/>
      <c r="C837" s="437"/>
      <c r="D837" s="437"/>
      <c r="E837" s="314"/>
      <c r="F837" s="314"/>
      <c r="G837" s="314"/>
      <c r="H837" s="318"/>
      <c r="I837" s="314"/>
      <c r="J837" s="314"/>
      <c r="K837" s="435"/>
      <c r="L837" s="435"/>
      <c r="M837" s="839"/>
      <c r="N837" s="318"/>
      <c r="O837" s="318"/>
      <c r="P837" s="435"/>
      <c r="Q837" s="435"/>
      <c r="R837" s="435"/>
      <c r="S837" s="435"/>
      <c r="T837" s="435"/>
      <c r="U837" s="435"/>
      <c r="V837" s="740"/>
      <c r="W837" s="744"/>
      <c r="X837" s="435"/>
      <c r="Y837" s="781"/>
      <c r="Z837" s="435"/>
      <c r="AA837" s="435"/>
      <c r="AB837" s="743"/>
      <c r="AC837" s="740"/>
      <c r="AD837" s="435"/>
      <c r="AE837" s="435"/>
      <c r="AF837" s="324"/>
      <c r="AG837" s="180"/>
      <c r="AH837" s="155"/>
      <c r="AI837" s="322"/>
      <c r="AJ837" s="132"/>
      <c r="AK837" s="132"/>
    </row>
    <row r="838">
      <c r="A838" s="458"/>
      <c r="B838" s="313"/>
      <c r="C838" s="313"/>
      <c r="D838" s="437"/>
      <c r="E838" s="314"/>
      <c r="F838" s="314"/>
      <c r="G838" s="314"/>
      <c r="H838" s="318"/>
      <c r="I838" s="314"/>
      <c r="J838" s="314"/>
      <c r="K838" s="314"/>
      <c r="L838" s="314"/>
      <c r="M838" s="736"/>
      <c r="N838" s="318"/>
      <c r="O838" s="318"/>
      <c r="P838" s="314"/>
      <c r="Q838" s="314"/>
      <c r="R838" s="314"/>
      <c r="S838" s="314"/>
      <c r="T838" s="314"/>
      <c r="U838" s="314"/>
      <c r="V838" s="318"/>
      <c r="W838" s="315"/>
      <c r="X838" s="314"/>
      <c r="Y838" s="776"/>
      <c r="Z838" s="314"/>
      <c r="AA838" s="314"/>
      <c r="AB838" s="697"/>
      <c r="AC838" s="318"/>
      <c r="AD838" s="314"/>
      <c r="AE838" s="314"/>
      <c r="AF838" s="324"/>
      <c r="AG838" s="180"/>
      <c r="AH838" s="155"/>
      <c r="AI838" s="322"/>
      <c r="AJ838" s="132"/>
      <c r="AK838" s="132"/>
    </row>
    <row r="839">
      <c r="A839" s="458"/>
      <c r="B839" s="313"/>
      <c r="C839" s="437"/>
      <c r="D839" s="313"/>
      <c r="E839" s="314"/>
      <c r="F839" s="314"/>
      <c r="G839" s="314"/>
      <c r="H839" s="318"/>
      <c r="I839" s="435"/>
      <c r="J839" s="314"/>
      <c r="K839" s="314"/>
      <c r="L839" s="435"/>
      <c r="M839" s="736"/>
      <c r="N839" s="318"/>
      <c r="O839" s="318"/>
      <c r="P839" s="314"/>
      <c r="Q839" s="435"/>
      <c r="R839" s="435"/>
      <c r="S839" s="435"/>
      <c r="T839" s="435"/>
      <c r="U839" s="435"/>
      <c r="V839" s="740"/>
      <c r="W839" s="744"/>
      <c r="X839" s="435"/>
      <c r="Y839" s="781"/>
      <c r="Z839" s="435"/>
      <c r="AA839" s="435"/>
      <c r="AB839" s="743"/>
      <c r="AC839" s="740"/>
      <c r="AD839" s="435"/>
      <c r="AE839" s="435"/>
      <c r="AF839" s="324"/>
      <c r="AG839" s="180"/>
      <c r="AH839" s="155"/>
      <c r="AI839" s="322"/>
      <c r="AJ839" s="132"/>
      <c r="AK839" s="132"/>
    </row>
    <row r="840">
      <c r="A840" s="458"/>
      <c r="B840" s="313"/>
      <c r="C840" s="437"/>
      <c r="D840" s="437"/>
      <c r="E840" s="435"/>
      <c r="F840" s="314"/>
      <c r="G840" s="314"/>
      <c r="H840" s="740"/>
      <c r="I840" s="435"/>
      <c r="J840" s="314"/>
      <c r="K840" s="435"/>
      <c r="L840" s="435"/>
      <c r="M840" s="736"/>
      <c r="N840" s="318"/>
      <c r="O840" s="318"/>
      <c r="P840" s="435"/>
      <c r="Q840" s="435"/>
      <c r="R840" s="435"/>
      <c r="S840" s="435"/>
      <c r="T840" s="435"/>
      <c r="U840" s="435"/>
      <c r="V840" s="740"/>
      <c r="W840" s="744"/>
      <c r="X840" s="435"/>
      <c r="Y840" s="781"/>
      <c r="Z840" s="435"/>
      <c r="AA840" s="435"/>
      <c r="AB840" s="743"/>
      <c r="AC840" s="740"/>
      <c r="AD840" s="435"/>
      <c r="AE840" s="435"/>
      <c r="AF840" s="324"/>
      <c r="AG840" s="180"/>
      <c r="AH840" s="155"/>
      <c r="AI840" s="322"/>
      <c r="AJ840" s="132"/>
      <c r="AK840" s="132"/>
    </row>
    <row r="841">
      <c r="A841" s="458"/>
      <c r="B841" s="313"/>
      <c r="C841" s="437"/>
      <c r="D841" s="437"/>
      <c r="E841" s="314"/>
      <c r="F841" s="314"/>
      <c r="G841" s="314"/>
      <c r="H841" s="318"/>
      <c r="I841" s="314"/>
      <c r="J841" s="314"/>
      <c r="K841" s="435"/>
      <c r="L841" s="314"/>
      <c r="M841" s="736"/>
      <c r="N841" s="318"/>
      <c r="O841" s="318"/>
      <c r="P841" s="314"/>
      <c r="Q841" s="314"/>
      <c r="R841" s="435"/>
      <c r="S841" s="435"/>
      <c r="T841" s="435"/>
      <c r="U841" s="435"/>
      <c r="V841" s="740"/>
      <c r="W841" s="744"/>
      <c r="X841" s="435"/>
      <c r="Y841" s="781"/>
      <c r="Z841" s="435"/>
      <c r="AA841" s="435"/>
      <c r="AB841" s="743"/>
      <c r="AC841" s="740"/>
      <c r="AD841" s="435"/>
      <c r="AE841" s="435"/>
      <c r="AF841" s="324"/>
      <c r="AG841" s="180"/>
      <c r="AH841" s="155"/>
      <c r="AI841" s="322"/>
      <c r="AJ841" s="132"/>
      <c r="AK841" s="132"/>
    </row>
    <row r="842">
      <c r="A842" s="458"/>
      <c r="B842" s="437"/>
      <c r="C842" s="437"/>
      <c r="D842" s="437"/>
      <c r="E842" s="435"/>
      <c r="F842" s="314"/>
      <c r="G842" s="314"/>
      <c r="H842" s="740"/>
      <c r="I842" s="435"/>
      <c r="J842" s="435"/>
      <c r="K842" s="435"/>
      <c r="L842" s="435"/>
      <c r="M842" s="839"/>
      <c r="N842" s="740"/>
      <c r="O842" s="318"/>
      <c r="P842" s="435"/>
      <c r="Q842" s="435"/>
      <c r="R842" s="435"/>
      <c r="S842" s="435"/>
      <c r="T842" s="435"/>
      <c r="U842" s="435"/>
      <c r="V842" s="740"/>
      <c r="W842" s="744"/>
      <c r="X842" s="435"/>
      <c r="Y842" s="781"/>
      <c r="Z842" s="435"/>
      <c r="AA842" s="435"/>
      <c r="AB842" s="743"/>
      <c r="AC842" s="740"/>
      <c r="AD842" s="435"/>
      <c r="AE842" s="435"/>
      <c r="AF842" s="324"/>
      <c r="AG842" s="180"/>
      <c r="AH842" s="155"/>
      <c r="AI842" s="322"/>
      <c r="AJ842" s="132"/>
      <c r="AK842" s="132"/>
    </row>
    <row r="843">
      <c r="A843" s="435"/>
      <c r="B843" s="437"/>
      <c r="C843" s="437"/>
      <c r="D843" s="437"/>
      <c r="E843" s="435"/>
      <c r="F843" s="314"/>
      <c r="G843" s="314"/>
      <c r="H843" s="740"/>
      <c r="I843" s="435"/>
      <c r="J843" s="435"/>
      <c r="K843" s="435"/>
      <c r="L843" s="435"/>
      <c r="M843" s="839"/>
      <c r="N843" s="740"/>
      <c r="O843" s="318"/>
      <c r="P843" s="435"/>
      <c r="Q843" s="435"/>
      <c r="R843" s="435"/>
      <c r="S843" s="435"/>
      <c r="T843" s="435"/>
      <c r="U843" s="435"/>
      <c r="V843" s="740"/>
      <c r="W843" s="744"/>
      <c r="X843" s="435"/>
      <c r="Y843" s="781"/>
      <c r="Z843" s="435"/>
      <c r="AA843" s="435"/>
      <c r="AB843" s="743"/>
      <c r="AC843" s="740"/>
      <c r="AD843" s="435"/>
      <c r="AE843" s="435"/>
      <c r="AF843" s="324"/>
      <c r="AG843" s="180"/>
      <c r="AH843" s="155"/>
      <c r="AI843" s="322"/>
      <c r="AJ843" s="132"/>
      <c r="AK843" s="132"/>
    </row>
    <row r="844">
      <c r="A844" s="474"/>
      <c r="B844" s="437"/>
      <c r="C844" s="437"/>
      <c r="D844" s="437"/>
      <c r="E844" s="435"/>
      <c r="F844" s="314"/>
      <c r="G844" s="314"/>
      <c r="H844" s="740"/>
      <c r="I844" s="435"/>
      <c r="J844" s="435"/>
      <c r="K844" s="435"/>
      <c r="L844" s="435"/>
      <c r="M844" s="839"/>
      <c r="N844" s="740"/>
      <c r="O844" s="318"/>
      <c r="P844" s="435"/>
      <c r="Q844" s="435"/>
      <c r="R844" s="435"/>
      <c r="S844" s="435"/>
      <c r="T844" s="435"/>
      <c r="U844" s="435"/>
      <c r="V844" s="740"/>
      <c r="W844" s="744"/>
      <c r="X844" s="435"/>
      <c r="Y844" s="781"/>
      <c r="Z844" s="435"/>
      <c r="AA844" s="435"/>
      <c r="AB844" s="743"/>
      <c r="AC844" s="740"/>
      <c r="AD844" s="435"/>
      <c r="AE844" s="435"/>
      <c r="AF844" s="324"/>
      <c r="AG844" s="180"/>
      <c r="AH844" s="155"/>
      <c r="AI844" s="322"/>
      <c r="AJ844" s="132"/>
      <c r="AK844" s="132"/>
    </row>
    <row r="845">
      <c r="A845" s="474"/>
      <c r="B845" s="437"/>
      <c r="C845" s="313"/>
      <c r="D845" s="437"/>
      <c r="E845" s="435"/>
      <c r="F845" s="314"/>
      <c r="G845" s="314"/>
      <c r="H845" s="740"/>
      <c r="I845" s="435"/>
      <c r="J845" s="435"/>
      <c r="K845" s="314"/>
      <c r="L845" s="314"/>
      <c r="M845" s="736"/>
      <c r="N845" s="740"/>
      <c r="O845" s="318"/>
      <c r="P845" s="314"/>
      <c r="Q845" s="435"/>
      <c r="R845" s="314"/>
      <c r="S845" s="435"/>
      <c r="T845" s="435"/>
      <c r="U845" s="435"/>
      <c r="V845" s="740"/>
      <c r="W845" s="744"/>
      <c r="X845" s="435"/>
      <c r="Y845" s="781"/>
      <c r="Z845" s="435"/>
      <c r="AA845" s="435"/>
      <c r="AB845" s="743"/>
      <c r="AC845" s="740"/>
      <c r="AD845" s="435"/>
      <c r="AE845" s="435"/>
      <c r="AF845" s="324"/>
      <c r="AG845" s="180"/>
      <c r="AH845" s="155"/>
      <c r="AI845" s="322"/>
      <c r="AJ845" s="132"/>
      <c r="AK845" s="132"/>
    </row>
    <row r="846">
      <c r="A846" s="474"/>
      <c r="B846" s="313"/>
      <c r="C846" s="313"/>
      <c r="D846" s="313"/>
      <c r="E846" s="314"/>
      <c r="F846" s="314"/>
      <c r="G846" s="314"/>
      <c r="H846" s="318"/>
      <c r="I846" s="314"/>
      <c r="J846" s="314"/>
      <c r="K846" s="435"/>
      <c r="L846" s="314"/>
      <c r="M846" s="736"/>
      <c r="N846" s="318"/>
      <c r="O846" s="318"/>
      <c r="P846" s="435"/>
      <c r="Q846" s="314"/>
      <c r="R846" s="314"/>
      <c r="S846" s="314"/>
      <c r="T846" s="314"/>
      <c r="U846" s="314"/>
      <c r="V846" s="318"/>
      <c r="W846" s="315"/>
      <c r="X846" s="314"/>
      <c r="Y846" s="776"/>
      <c r="Z846" s="314"/>
      <c r="AA846" s="314"/>
      <c r="AB846" s="697"/>
      <c r="AC846" s="318"/>
      <c r="AD846" s="314"/>
      <c r="AE846" s="314"/>
      <c r="AF846" s="324"/>
      <c r="AG846" s="180"/>
      <c r="AH846" s="155"/>
      <c r="AI846" s="322"/>
      <c r="AJ846" s="132"/>
      <c r="AK846" s="132"/>
    </row>
    <row r="847">
      <c r="A847" s="474"/>
      <c r="B847" s="313"/>
      <c r="C847" s="437"/>
      <c r="D847" s="437"/>
      <c r="E847" s="314"/>
      <c r="F847" s="314"/>
      <c r="G847" s="314"/>
      <c r="H847" s="318"/>
      <c r="I847" s="435"/>
      <c r="J847" s="314"/>
      <c r="K847" s="314"/>
      <c r="L847" s="314"/>
      <c r="M847" s="736"/>
      <c r="N847" s="318"/>
      <c r="O847" s="318"/>
      <c r="P847" s="314"/>
      <c r="Q847" s="314"/>
      <c r="R847" s="314"/>
      <c r="S847" s="314"/>
      <c r="T847" s="314"/>
      <c r="U847" s="314"/>
      <c r="V847" s="318"/>
      <c r="W847" s="315"/>
      <c r="X847" s="314"/>
      <c r="Y847" s="776"/>
      <c r="Z847" s="314"/>
      <c r="AA847" s="314"/>
      <c r="AB847" s="697"/>
      <c r="AC847" s="318"/>
      <c r="AD847" s="314"/>
      <c r="AE847" s="314"/>
      <c r="AF847" s="324"/>
      <c r="AG847" s="180"/>
      <c r="AH847" s="155"/>
      <c r="AI847" s="322"/>
      <c r="AJ847" s="132"/>
      <c r="AK847" s="132"/>
    </row>
    <row r="848">
      <c r="A848" s="474"/>
      <c r="B848" s="313"/>
      <c r="C848" s="313"/>
      <c r="D848" s="313"/>
      <c r="E848" s="314"/>
      <c r="F848" s="314"/>
      <c r="G848" s="314"/>
      <c r="H848" s="318"/>
      <c r="I848" s="314"/>
      <c r="J848" s="314"/>
      <c r="K848" s="435"/>
      <c r="L848" s="314"/>
      <c r="M848" s="736"/>
      <c r="N848" s="318"/>
      <c r="O848" s="318"/>
      <c r="P848" s="314"/>
      <c r="Q848" s="314"/>
      <c r="R848" s="314"/>
      <c r="S848" s="314"/>
      <c r="T848" s="314"/>
      <c r="U848" s="314"/>
      <c r="V848" s="318"/>
      <c r="W848" s="315"/>
      <c r="X848" s="314"/>
      <c r="Y848" s="776"/>
      <c r="Z848" s="314"/>
      <c r="AA848" s="314"/>
      <c r="AB848" s="697"/>
      <c r="AC848" s="318"/>
      <c r="AD848" s="314"/>
      <c r="AE848" s="314"/>
      <c r="AF848" s="324"/>
      <c r="AG848" s="180"/>
      <c r="AH848" s="155"/>
      <c r="AI848" s="322"/>
      <c r="AJ848" s="132"/>
      <c r="AK848" s="132"/>
    </row>
    <row r="849">
      <c r="A849" s="458"/>
      <c r="B849" s="313"/>
      <c r="C849" s="437"/>
      <c r="D849" s="313"/>
      <c r="E849" s="314"/>
      <c r="F849" s="314"/>
      <c r="G849" s="314"/>
      <c r="H849" s="318"/>
      <c r="I849" s="314"/>
      <c r="J849" s="435"/>
      <c r="K849" s="435"/>
      <c r="L849" s="314"/>
      <c r="M849" s="736"/>
      <c r="N849" s="318"/>
      <c r="O849" s="318"/>
      <c r="P849" s="314"/>
      <c r="Q849" s="314"/>
      <c r="R849" s="314"/>
      <c r="S849" s="314"/>
      <c r="T849" s="314"/>
      <c r="U849" s="314"/>
      <c r="V849" s="318"/>
      <c r="W849" s="315"/>
      <c r="X849" s="314"/>
      <c r="Y849" s="776"/>
      <c r="Z849" s="314"/>
      <c r="AA849" s="314"/>
      <c r="AB849" s="697"/>
      <c r="AC849" s="318"/>
      <c r="AD849" s="314"/>
      <c r="AE849" s="314"/>
      <c r="AF849" s="324"/>
      <c r="AG849" s="180"/>
      <c r="AH849" s="155"/>
      <c r="AI849" s="322"/>
      <c r="AJ849" s="132"/>
      <c r="AK849" s="132"/>
    </row>
    <row r="850">
      <c r="A850" s="435"/>
      <c r="B850" s="313"/>
      <c r="C850" s="437"/>
      <c r="D850" s="437"/>
      <c r="E850" s="435"/>
      <c r="F850" s="314"/>
      <c r="G850" s="314"/>
      <c r="H850" s="740"/>
      <c r="I850" s="314"/>
      <c r="J850" s="314"/>
      <c r="K850" s="435"/>
      <c r="L850" s="314"/>
      <c r="M850" s="839"/>
      <c r="N850" s="740"/>
      <c r="O850" s="318"/>
      <c r="P850" s="314"/>
      <c r="Q850" s="314"/>
      <c r="R850" s="435"/>
      <c r="S850" s="314"/>
      <c r="T850" s="314"/>
      <c r="U850" s="314"/>
      <c r="V850" s="318"/>
      <c r="W850" s="315"/>
      <c r="X850" s="314"/>
      <c r="Y850" s="776"/>
      <c r="Z850" s="314"/>
      <c r="AA850" s="314"/>
      <c r="AB850" s="697"/>
      <c r="AC850" s="318"/>
      <c r="AD850" s="314"/>
      <c r="AE850" s="314"/>
      <c r="AF850" s="324"/>
      <c r="AG850" s="180"/>
      <c r="AH850" s="155"/>
      <c r="AI850" s="322"/>
      <c r="AJ850" s="132"/>
      <c r="AK850" s="132"/>
    </row>
    <row r="851">
      <c r="A851" s="435"/>
      <c r="B851" s="437"/>
      <c r="C851" s="313"/>
      <c r="D851" s="313"/>
      <c r="E851" s="314"/>
      <c r="F851" s="314"/>
      <c r="G851" s="314"/>
      <c r="H851" s="318"/>
      <c r="I851" s="314"/>
      <c r="J851" s="314"/>
      <c r="K851" s="314"/>
      <c r="L851" s="314"/>
      <c r="M851" s="736"/>
      <c r="N851" s="318"/>
      <c r="O851" s="318"/>
      <c r="P851" s="435"/>
      <c r="Q851" s="314"/>
      <c r="R851" s="314"/>
      <c r="S851" s="314"/>
      <c r="T851" s="314"/>
      <c r="U851" s="314"/>
      <c r="V851" s="318"/>
      <c r="W851" s="315"/>
      <c r="X851" s="314"/>
      <c r="Y851" s="776"/>
      <c r="Z851" s="314"/>
      <c r="AA851" s="314"/>
      <c r="AB851" s="697"/>
      <c r="AC851" s="318"/>
      <c r="AD851" s="314"/>
      <c r="AE851" s="314"/>
      <c r="AF851" s="324"/>
      <c r="AG851" s="180"/>
      <c r="AH851" s="155"/>
      <c r="AI851" s="322"/>
      <c r="AJ851" s="132"/>
      <c r="AK851" s="132"/>
    </row>
    <row r="852">
      <c r="A852" s="435"/>
      <c r="B852" s="437"/>
      <c r="C852" s="313"/>
      <c r="D852" s="313"/>
      <c r="E852" s="314"/>
      <c r="F852" s="314"/>
      <c r="G852" s="314"/>
      <c r="H852" s="318"/>
      <c r="I852" s="314"/>
      <c r="J852" s="314"/>
      <c r="K852" s="314"/>
      <c r="L852" s="314"/>
      <c r="M852" s="736"/>
      <c r="N852" s="318"/>
      <c r="O852" s="318"/>
      <c r="P852" s="314"/>
      <c r="Q852" s="435"/>
      <c r="R852" s="314"/>
      <c r="S852" s="435"/>
      <c r="T852" s="435"/>
      <c r="U852" s="435"/>
      <c r="V852" s="740"/>
      <c r="W852" s="744"/>
      <c r="X852" s="435"/>
      <c r="Y852" s="781"/>
      <c r="Z852" s="435"/>
      <c r="AA852" s="435"/>
      <c r="AB852" s="743"/>
      <c r="AC852" s="740"/>
      <c r="AD852" s="435"/>
      <c r="AE852" s="435"/>
      <c r="AF852" s="324"/>
      <c r="AG852" s="180"/>
      <c r="AH852" s="155"/>
      <c r="AI852" s="322"/>
      <c r="AJ852" s="132"/>
      <c r="AK852" s="132"/>
    </row>
    <row r="853">
      <c r="A853" s="435"/>
      <c r="B853" s="313"/>
      <c r="C853" s="437"/>
      <c r="D853" s="313"/>
      <c r="E853" s="314"/>
      <c r="F853" s="314"/>
      <c r="G853" s="314"/>
      <c r="H853" s="318"/>
      <c r="I853" s="314"/>
      <c r="J853" s="314"/>
      <c r="K853" s="314"/>
      <c r="L853" s="314"/>
      <c r="M853" s="736"/>
      <c r="N853" s="318"/>
      <c r="O853" s="318"/>
      <c r="P853" s="314"/>
      <c r="Q853" s="314"/>
      <c r="R853" s="435"/>
      <c r="S853" s="314"/>
      <c r="T853" s="314"/>
      <c r="U853" s="314"/>
      <c r="V853" s="318"/>
      <c r="W853" s="315"/>
      <c r="X853" s="314"/>
      <c r="Y853" s="776"/>
      <c r="Z853" s="314"/>
      <c r="AA853" s="314"/>
      <c r="AB853" s="697"/>
      <c r="AC853" s="318"/>
      <c r="AD853" s="314"/>
      <c r="AE853" s="314"/>
      <c r="AF853" s="324"/>
      <c r="AG853" s="180"/>
      <c r="AH853" s="155"/>
      <c r="AI853" s="322"/>
      <c r="AJ853" s="132"/>
      <c r="AK853" s="132"/>
    </row>
    <row r="854">
      <c r="A854" s="435"/>
      <c r="B854" s="313"/>
      <c r="C854" s="313"/>
      <c r="D854" s="313"/>
      <c r="E854" s="314"/>
      <c r="F854" s="314"/>
      <c r="G854" s="314"/>
      <c r="H854" s="318"/>
      <c r="I854" s="314"/>
      <c r="J854" s="314"/>
      <c r="K854" s="435"/>
      <c r="L854" s="314"/>
      <c r="M854" s="839"/>
      <c r="N854" s="318"/>
      <c r="O854" s="318"/>
      <c r="P854" s="314"/>
      <c r="Q854" s="435"/>
      <c r="R854" s="314"/>
      <c r="S854" s="314"/>
      <c r="T854" s="314"/>
      <c r="U854" s="314"/>
      <c r="V854" s="318"/>
      <c r="W854" s="315"/>
      <c r="X854" s="314"/>
      <c r="Y854" s="776"/>
      <c r="Z854" s="314"/>
      <c r="AA854" s="314"/>
      <c r="AB854" s="697"/>
      <c r="AC854" s="318"/>
      <c r="AD854" s="314"/>
      <c r="AE854" s="314"/>
      <c r="AF854" s="324"/>
      <c r="AG854" s="180"/>
      <c r="AH854" s="155"/>
      <c r="AI854" s="322"/>
      <c r="AJ854" s="132"/>
      <c r="AK854" s="132"/>
    </row>
    <row r="855">
      <c r="A855" s="435"/>
      <c r="B855" s="313"/>
      <c r="C855" s="437"/>
      <c r="D855" s="437"/>
      <c r="E855" s="314"/>
      <c r="F855" s="314"/>
      <c r="G855" s="314"/>
      <c r="H855" s="318"/>
      <c r="I855" s="314"/>
      <c r="J855" s="314"/>
      <c r="K855" s="435"/>
      <c r="L855" s="314"/>
      <c r="M855" s="839"/>
      <c r="N855" s="318"/>
      <c r="O855" s="318"/>
      <c r="P855" s="314"/>
      <c r="Q855" s="435"/>
      <c r="R855" s="314"/>
      <c r="S855" s="314"/>
      <c r="T855" s="314"/>
      <c r="U855" s="314"/>
      <c r="V855" s="318"/>
      <c r="W855" s="315"/>
      <c r="X855" s="314"/>
      <c r="Y855" s="776"/>
      <c r="Z855" s="314"/>
      <c r="AA855" s="314"/>
      <c r="AB855" s="697"/>
      <c r="AC855" s="318"/>
      <c r="AD855" s="314"/>
      <c r="AE855" s="314"/>
      <c r="AF855" s="324"/>
      <c r="AG855" s="180"/>
      <c r="AH855" s="155"/>
      <c r="AI855" s="322"/>
      <c r="AJ855" s="132"/>
      <c r="AK855" s="132"/>
    </row>
    <row r="856">
      <c r="A856" s="476"/>
      <c r="AH856" s="176"/>
      <c r="AI856" s="322"/>
      <c r="AJ856" s="132"/>
      <c r="AK856" s="132"/>
    </row>
    <row r="857">
      <c r="A857" s="178"/>
      <c r="AI857" s="322"/>
      <c r="AJ857" s="132"/>
      <c r="AK857" s="132"/>
    </row>
    <row r="858">
      <c r="A858" s="474"/>
      <c r="B858" s="437"/>
      <c r="C858" s="437"/>
      <c r="D858" s="437"/>
      <c r="E858" s="435"/>
      <c r="F858" s="314"/>
      <c r="G858" s="314"/>
      <c r="H858" s="318"/>
      <c r="I858" s="435"/>
      <c r="J858" s="435"/>
      <c r="K858" s="435"/>
      <c r="L858" s="435"/>
      <c r="M858" s="839"/>
      <c r="N858" s="740"/>
      <c r="O858" s="318"/>
      <c r="P858" s="435"/>
      <c r="Q858" s="435"/>
      <c r="R858" s="435"/>
      <c r="S858" s="435"/>
      <c r="T858" s="435"/>
      <c r="U858" s="435"/>
      <c r="V858" s="740"/>
      <c r="W858" s="744"/>
      <c r="X858" s="435"/>
      <c r="Y858" s="781"/>
      <c r="Z858" s="435"/>
      <c r="AA858" s="435"/>
      <c r="AB858" s="743"/>
      <c r="AC858" s="740"/>
      <c r="AD858" s="435"/>
      <c r="AE858" s="435"/>
      <c r="AF858" s="324"/>
      <c r="AG858" s="180"/>
      <c r="AH858" s="155"/>
      <c r="AI858" s="322"/>
      <c r="AJ858" s="132"/>
      <c r="AK858" s="132"/>
    </row>
    <row r="859">
      <c r="A859" s="474"/>
      <c r="B859" s="313"/>
      <c r="C859" s="437"/>
      <c r="D859" s="437"/>
      <c r="E859" s="435"/>
      <c r="F859" s="314"/>
      <c r="G859" s="314"/>
      <c r="H859" s="740"/>
      <c r="I859" s="314"/>
      <c r="J859" s="435"/>
      <c r="K859" s="435"/>
      <c r="L859" s="435"/>
      <c r="M859" s="736"/>
      <c r="N859" s="318"/>
      <c r="O859" s="318"/>
      <c r="P859" s="435"/>
      <c r="Q859" s="435"/>
      <c r="R859" s="435"/>
      <c r="S859" s="435"/>
      <c r="T859" s="435"/>
      <c r="U859" s="435"/>
      <c r="V859" s="740"/>
      <c r="W859" s="744"/>
      <c r="X859" s="435"/>
      <c r="Y859" s="781"/>
      <c r="Z859" s="435"/>
      <c r="AA859" s="435"/>
      <c r="AB859" s="743"/>
      <c r="AC859" s="740"/>
      <c r="AD859" s="435"/>
      <c r="AE859" s="435"/>
      <c r="AF859" s="324"/>
      <c r="AG859" s="180"/>
      <c r="AH859" s="155"/>
      <c r="AI859" s="322"/>
      <c r="AJ859" s="132"/>
      <c r="AK859" s="132"/>
    </row>
    <row r="860">
      <c r="A860" s="477"/>
      <c r="B860" s="437"/>
      <c r="C860" s="437"/>
      <c r="D860" s="437"/>
      <c r="E860" s="314"/>
      <c r="F860" s="314"/>
      <c r="G860" s="314"/>
      <c r="H860" s="740"/>
      <c r="I860" s="435"/>
      <c r="J860" s="435"/>
      <c r="K860" s="435"/>
      <c r="L860" s="435"/>
      <c r="M860" s="839"/>
      <c r="N860" s="740"/>
      <c r="O860" s="318"/>
      <c r="P860" s="435"/>
      <c r="Q860" s="435"/>
      <c r="R860" s="435"/>
      <c r="S860" s="435"/>
      <c r="T860" s="435"/>
      <c r="U860" s="435"/>
      <c r="V860" s="740"/>
      <c r="W860" s="744"/>
      <c r="X860" s="435"/>
      <c r="Y860" s="781"/>
      <c r="Z860" s="435"/>
      <c r="AA860" s="435"/>
      <c r="AB860" s="743"/>
      <c r="AC860" s="740"/>
      <c r="AD860" s="435"/>
      <c r="AE860" s="435"/>
      <c r="AF860" s="324"/>
      <c r="AG860" s="180"/>
      <c r="AH860" s="155"/>
      <c r="AI860" s="322"/>
      <c r="AJ860" s="132"/>
      <c r="AK860" s="132"/>
    </row>
    <row r="861">
      <c r="A861" s="477"/>
      <c r="B861" s="437"/>
      <c r="C861" s="437"/>
      <c r="D861" s="437"/>
      <c r="E861" s="314"/>
      <c r="F861" s="314"/>
      <c r="G861" s="314"/>
      <c r="H861" s="740"/>
      <c r="I861" s="314"/>
      <c r="J861" s="314"/>
      <c r="K861" s="435"/>
      <c r="L861" s="435"/>
      <c r="M861" s="839"/>
      <c r="N861" s="318"/>
      <c r="O861" s="318"/>
      <c r="P861" s="435"/>
      <c r="Q861" s="435"/>
      <c r="R861" s="435"/>
      <c r="S861" s="435"/>
      <c r="T861" s="435"/>
      <c r="U861" s="435"/>
      <c r="V861" s="740"/>
      <c r="W861" s="744"/>
      <c r="X861" s="435"/>
      <c r="Y861" s="781"/>
      <c r="Z861" s="435"/>
      <c r="AA861" s="435"/>
      <c r="AB861" s="743"/>
      <c r="AC861" s="740"/>
      <c r="AD861" s="435"/>
      <c r="AE861" s="435"/>
      <c r="AF861" s="324"/>
      <c r="AG861" s="180"/>
      <c r="AH861" s="155"/>
      <c r="AI861" s="322"/>
      <c r="AJ861" s="132"/>
      <c r="AK861" s="132"/>
    </row>
    <row r="862">
      <c r="A862" s="477"/>
      <c r="B862" s="437"/>
      <c r="C862" s="437"/>
      <c r="D862" s="437"/>
      <c r="E862" s="435"/>
      <c r="F862" s="314"/>
      <c r="G862" s="314"/>
      <c r="H862" s="740"/>
      <c r="I862" s="435"/>
      <c r="J862" s="435"/>
      <c r="K862" s="435"/>
      <c r="L862" s="435"/>
      <c r="M862" s="839"/>
      <c r="N862" s="740"/>
      <c r="O862" s="318"/>
      <c r="P862" s="435"/>
      <c r="Q862" s="435"/>
      <c r="R862" s="435"/>
      <c r="S862" s="435"/>
      <c r="T862" s="435"/>
      <c r="U862" s="435"/>
      <c r="V862" s="740"/>
      <c r="W862" s="744"/>
      <c r="X862" s="435"/>
      <c r="Y862" s="781"/>
      <c r="Z862" s="435"/>
      <c r="AA862" s="435"/>
      <c r="AB862" s="743"/>
      <c r="AC862" s="740"/>
      <c r="AD862" s="435"/>
      <c r="AE862" s="435"/>
      <c r="AF862" s="324"/>
      <c r="AG862" s="180"/>
      <c r="AH862" s="155"/>
      <c r="AI862" s="322"/>
      <c r="AJ862" s="132"/>
      <c r="AK862" s="132"/>
    </row>
    <row r="863">
      <c r="A863" s="474"/>
      <c r="B863" s="313"/>
      <c r="C863" s="437"/>
      <c r="D863" s="313"/>
      <c r="E863" s="435"/>
      <c r="F863" s="314"/>
      <c r="G863" s="314"/>
      <c r="H863" s="740"/>
      <c r="I863" s="314"/>
      <c r="J863" s="435"/>
      <c r="K863" s="435"/>
      <c r="L863" s="314"/>
      <c r="M863" s="839"/>
      <c r="N863" s="318"/>
      <c r="O863" s="318"/>
      <c r="P863" s="435"/>
      <c r="Q863" s="435"/>
      <c r="R863" s="435"/>
      <c r="S863" s="435"/>
      <c r="T863" s="435"/>
      <c r="U863" s="435"/>
      <c r="V863" s="740"/>
      <c r="W863" s="744"/>
      <c r="X863" s="435"/>
      <c r="Y863" s="781"/>
      <c r="Z863" s="435"/>
      <c r="AA863" s="435"/>
      <c r="AB863" s="743"/>
      <c r="AC863" s="740"/>
      <c r="AD863" s="435"/>
      <c r="AE863" s="435"/>
      <c r="AF863" s="324"/>
      <c r="AG863" s="180"/>
      <c r="AH863" s="155"/>
      <c r="AI863" s="322"/>
      <c r="AJ863" s="132"/>
      <c r="AK863" s="132"/>
    </row>
    <row r="864">
      <c r="A864" s="478"/>
      <c r="B864" s="437"/>
      <c r="C864" s="437"/>
      <c r="D864" s="437"/>
      <c r="E864" s="435"/>
      <c r="F864" s="314"/>
      <c r="G864" s="314"/>
      <c r="H864" s="740"/>
      <c r="I864" s="435"/>
      <c r="J864" s="435"/>
      <c r="K864" s="435"/>
      <c r="L864" s="435"/>
      <c r="M864" s="839"/>
      <c r="N864" s="740"/>
      <c r="O864" s="318"/>
      <c r="P864" s="435"/>
      <c r="Q864" s="435"/>
      <c r="R864" s="435"/>
      <c r="S864" s="435"/>
      <c r="T864" s="435"/>
      <c r="U864" s="435"/>
      <c r="V864" s="740"/>
      <c r="W864" s="744"/>
      <c r="X864" s="435"/>
      <c r="Y864" s="781"/>
      <c r="Z864" s="435"/>
      <c r="AA864" s="435"/>
      <c r="AB864" s="743"/>
      <c r="AC864" s="740"/>
      <c r="AD864" s="435"/>
      <c r="AE864" s="435"/>
      <c r="AF864" s="324"/>
      <c r="AG864" s="180"/>
      <c r="AH864" s="155"/>
      <c r="AI864" s="322"/>
      <c r="AJ864" s="132"/>
      <c r="AK864" s="132"/>
    </row>
    <row r="865">
      <c r="A865" s="478"/>
      <c r="B865" s="437"/>
      <c r="C865" s="437"/>
      <c r="D865" s="437"/>
      <c r="E865" s="435"/>
      <c r="F865" s="314"/>
      <c r="G865" s="314"/>
      <c r="H865" s="740"/>
      <c r="I865" s="435"/>
      <c r="J865" s="435"/>
      <c r="K865" s="435"/>
      <c r="L865" s="435"/>
      <c r="M865" s="839"/>
      <c r="N865" s="740"/>
      <c r="O865" s="318"/>
      <c r="P865" s="435"/>
      <c r="Q865" s="435"/>
      <c r="R865" s="435"/>
      <c r="S865" s="435"/>
      <c r="T865" s="435"/>
      <c r="U865" s="435"/>
      <c r="V865" s="740"/>
      <c r="W865" s="744"/>
      <c r="X865" s="435"/>
      <c r="Y865" s="781"/>
      <c r="Z865" s="435"/>
      <c r="AA865" s="435"/>
      <c r="AB865" s="743"/>
      <c r="AC865" s="740"/>
      <c r="AD865" s="435"/>
      <c r="AE865" s="435"/>
      <c r="AF865" s="324"/>
      <c r="AG865" s="180"/>
      <c r="AH865" s="155"/>
      <c r="AI865" s="322"/>
      <c r="AJ865" s="132"/>
      <c r="AK865" s="132"/>
    </row>
    <row r="866">
      <c r="A866" s="478"/>
      <c r="B866" s="437"/>
      <c r="C866" s="437"/>
      <c r="D866" s="313"/>
      <c r="E866" s="314"/>
      <c r="F866" s="314"/>
      <c r="G866" s="314"/>
      <c r="H866" s="740"/>
      <c r="I866" s="435"/>
      <c r="J866" s="314"/>
      <c r="K866" s="435"/>
      <c r="L866" s="314"/>
      <c r="M866" s="839"/>
      <c r="N866" s="318"/>
      <c r="O866" s="318"/>
      <c r="P866" s="314"/>
      <c r="Q866" s="314"/>
      <c r="R866" s="314"/>
      <c r="S866" s="435"/>
      <c r="T866" s="435"/>
      <c r="U866" s="435"/>
      <c r="V866" s="740"/>
      <c r="W866" s="744"/>
      <c r="X866" s="435"/>
      <c r="Y866" s="781"/>
      <c r="Z866" s="435"/>
      <c r="AA866" s="435"/>
      <c r="AB866" s="743"/>
      <c r="AC866" s="740"/>
      <c r="AD866" s="435"/>
      <c r="AE866" s="435"/>
      <c r="AF866" s="324"/>
      <c r="AG866" s="180"/>
      <c r="AH866" s="155"/>
      <c r="AI866" s="322"/>
      <c r="AJ866" s="132"/>
      <c r="AK866" s="132"/>
    </row>
    <row r="867">
      <c r="A867" s="477"/>
      <c r="B867" s="313"/>
      <c r="C867" s="437"/>
      <c r="D867" s="437"/>
      <c r="E867" s="435"/>
      <c r="F867" s="314"/>
      <c r="G867" s="314"/>
      <c r="H867" s="740"/>
      <c r="I867" s="435"/>
      <c r="J867" s="435"/>
      <c r="K867" s="435"/>
      <c r="L867" s="435"/>
      <c r="M867" s="839"/>
      <c r="N867" s="740"/>
      <c r="O867" s="318"/>
      <c r="P867" s="435"/>
      <c r="Q867" s="435"/>
      <c r="R867" s="435"/>
      <c r="S867" s="435"/>
      <c r="T867" s="435"/>
      <c r="U867" s="435"/>
      <c r="V867" s="740"/>
      <c r="W867" s="744"/>
      <c r="X867" s="435"/>
      <c r="Y867" s="781"/>
      <c r="Z867" s="435"/>
      <c r="AA867" s="435"/>
      <c r="AB867" s="743"/>
      <c r="AC867" s="740"/>
      <c r="AD867" s="435"/>
      <c r="AE867" s="435"/>
      <c r="AF867" s="324"/>
      <c r="AG867" s="180"/>
      <c r="AH867" s="155"/>
      <c r="AI867" s="322"/>
      <c r="AJ867" s="132"/>
      <c r="AK867" s="132"/>
    </row>
    <row r="868">
      <c r="A868" s="477"/>
      <c r="B868" s="313"/>
      <c r="C868" s="313"/>
      <c r="D868" s="313"/>
      <c r="E868" s="314"/>
      <c r="F868" s="314"/>
      <c r="G868" s="314"/>
      <c r="H868" s="740"/>
      <c r="I868" s="314"/>
      <c r="J868" s="314"/>
      <c r="K868" s="314"/>
      <c r="L868" s="314"/>
      <c r="M868" s="736"/>
      <c r="N868" s="740"/>
      <c r="O868" s="318"/>
      <c r="P868" s="314"/>
      <c r="Q868" s="435"/>
      <c r="R868" s="314"/>
      <c r="S868" s="314"/>
      <c r="T868" s="314"/>
      <c r="U868" s="314"/>
      <c r="V868" s="318"/>
      <c r="W868" s="315"/>
      <c r="X868" s="314"/>
      <c r="Y868" s="776"/>
      <c r="Z868" s="314"/>
      <c r="AA868" s="314"/>
      <c r="AB868" s="697"/>
      <c r="AC868" s="318"/>
      <c r="AD868" s="314"/>
      <c r="AE868" s="314"/>
      <c r="AF868" s="324"/>
      <c r="AG868" s="180"/>
      <c r="AH868" s="155"/>
      <c r="AI868" s="322"/>
      <c r="AJ868" s="132"/>
      <c r="AK868" s="132"/>
    </row>
    <row r="869">
      <c r="A869" s="477"/>
      <c r="B869" s="313"/>
      <c r="C869" s="313"/>
      <c r="D869" s="313"/>
      <c r="E869" s="314"/>
      <c r="F869" s="314"/>
      <c r="G869" s="314"/>
      <c r="H869" s="318"/>
      <c r="I869" s="314"/>
      <c r="J869" s="314"/>
      <c r="K869" s="314"/>
      <c r="L869" s="314"/>
      <c r="M869" s="736"/>
      <c r="N869" s="318"/>
      <c r="O869" s="318"/>
      <c r="P869" s="314"/>
      <c r="Q869" s="314"/>
      <c r="R869" s="314"/>
      <c r="S869" s="314"/>
      <c r="T869" s="314"/>
      <c r="U869" s="314"/>
      <c r="V869" s="318"/>
      <c r="W869" s="315"/>
      <c r="X869" s="314"/>
      <c r="Y869" s="776"/>
      <c r="Z869" s="314"/>
      <c r="AA869" s="314"/>
      <c r="AB869" s="697"/>
      <c r="AC869" s="318"/>
      <c r="AD869" s="314"/>
      <c r="AE869" s="314"/>
      <c r="AF869" s="324"/>
      <c r="AG869" s="180"/>
      <c r="AH869" s="155"/>
      <c r="AI869" s="322"/>
      <c r="AJ869" s="132"/>
      <c r="AK869" s="132"/>
    </row>
    <row r="870">
      <c r="A870" s="476"/>
      <c r="AH870" s="176"/>
      <c r="AI870" s="322"/>
      <c r="AJ870" s="132"/>
      <c r="AK870" s="132"/>
    </row>
    <row r="871">
      <c r="A871" s="178"/>
      <c r="AI871" s="322"/>
      <c r="AJ871" s="132"/>
      <c r="AK871" s="132"/>
    </row>
    <row r="872">
      <c r="A872" s="477"/>
      <c r="B872" s="437"/>
      <c r="C872" s="437"/>
      <c r="D872" s="437"/>
      <c r="E872" s="314"/>
      <c r="F872" s="314"/>
      <c r="G872" s="314"/>
      <c r="H872" s="318"/>
      <c r="I872" s="314"/>
      <c r="J872" s="314"/>
      <c r="K872" s="435"/>
      <c r="L872" s="435"/>
      <c r="M872" s="736"/>
      <c r="N872" s="318"/>
      <c r="O872" s="318"/>
      <c r="P872" s="314"/>
      <c r="Q872" s="435"/>
      <c r="R872" s="435"/>
      <c r="S872" s="435"/>
      <c r="T872" s="435"/>
      <c r="U872" s="435"/>
      <c r="V872" s="740"/>
      <c r="W872" s="744"/>
      <c r="X872" s="435"/>
      <c r="Y872" s="781"/>
      <c r="Z872" s="435"/>
      <c r="AA872" s="435"/>
      <c r="AB872" s="743"/>
      <c r="AC872" s="740"/>
      <c r="AD872" s="435"/>
      <c r="AE872" s="435"/>
      <c r="AF872" s="324"/>
      <c r="AG872" s="180"/>
      <c r="AH872" s="155"/>
      <c r="AI872" s="322"/>
      <c r="AJ872" s="132"/>
      <c r="AK872" s="132"/>
    </row>
    <row r="873">
      <c r="A873" s="477"/>
      <c r="B873" s="313"/>
      <c r="C873" s="437"/>
      <c r="D873" s="437"/>
      <c r="E873" s="314"/>
      <c r="F873" s="314"/>
      <c r="G873" s="314"/>
      <c r="H873" s="318"/>
      <c r="I873" s="435"/>
      <c r="J873" s="435"/>
      <c r="K873" s="435"/>
      <c r="L873" s="314"/>
      <c r="M873" s="839"/>
      <c r="N873" s="318"/>
      <c r="O873" s="318"/>
      <c r="P873" s="314"/>
      <c r="Q873" s="435"/>
      <c r="R873" s="435"/>
      <c r="S873" s="435"/>
      <c r="T873" s="435"/>
      <c r="U873" s="435"/>
      <c r="V873" s="740"/>
      <c r="W873" s="744"/>
      <c r="X873" s="435"/>
      <c r="Y873" s="781"/>
      <c r="Z873" s="435"/>
      <c r="AA873" s="435"/>
      <c r="AB873" s="743"/>
      <c r="AC873" s="740"/>
      <c r="AD873" s="435"/>
      <c r="AE873" s="435"/>
      <c r="AF873" s="324"/>
      <c r="AG873" s="180"/>
      <c r="AH873" s="155"/>
      <c r="AI873" s="322"/>
      <c r="AJ873" s="132"/>
      <c r="AK873" s="132"/>
    </row>
    <row r="874">
      <c r="A874" s="477"/>
      <c r="B874" s="313"/>
      <c r="C874" s="437"/>
      <c r="D874" s="437"/>
      <c r="E874" s="435"/>
      <c r="F874" s="314"/>
      <c r="G874" s="314"/>
      <c r="H874" s="740"/>
      <c r="I874" s="314"/>
      <c r="J874" s="314"/>
      <c r="K874" s="435"/>
      <c r="L874" s="314"/>
      <c r="M874" s="839"/>
      <c r="N874" s="740"/>
      <c r="O874" s="318"/>
      <c r="P874" s="435"/>
      <c r="Q874" s="435"/>
      <c r="R874" s="435"/>
      <c r="S874" s="435"/>
      <c r="T874" s="435"/>
      <c r="U874" s="435"/>
      <c r="V874" s="740"/>
      <c r="W874" s="744"/>
      <c r="X874" s="435"/>
      <c r="Y874" s="781"/>
      <c r="Z874" s="435"/>
      <c r="AA874" s="435"/>
      <c r="AB874" s="743"/>
      <c r="AC874" s="740"/>
      <c r="AD874" s="435"/>
      <c r="AE874" s="435"/>
      <c r="AF874" s="324"/>
      <c r="AG874" s="180"/>
      <c r="AH874" s="155"/>
      <c r="AI874" s="322"/>
      <c r="AJ874" s="132"/>
      <c r="AK874" s="132"/>
    </row>
    <row r="875">
      <c r="A875" s="479"/>
      <c r="B875" s="313"/>
      <c r="C875" s="313"/>
      <c r="D875" s="313"/>
      <c r="E875" s="314"/>
      <c r="F875" s="314"/>
      <c r="G875" s="314"/>
      <c r="H875" s="318"/>
      <c r="I875" s="314"/>
      <c r="J875" s="314"/>
      <c r="K875" s="314"/>
      <c r="L875" s="314"/>
      <c r="M875" s="736"/>
      <c r="N875" s="318"/>
      <c r="O875" s="318"/>
      <c r="P875" s="314"/>
      <c r="Q875" s="435"/>
      <c r="R875" s="314"/>
      <c r="S875" s="314"/>
      <c r="T875" s="314"/>
      <c r="U875" s="314"/>
      <c r="V875" s="318"/>
      <c r="W875" s="315"/>
      <c r="X875" s="314"/>
      <c r="Y875" s="776"/>
      <c r="Z875" s="314"/>
      <c r="AA875" s="314"/>
      <c r="AB875" s="697"/>
      <c r="AC875" s="318"/>
      <c r="AD875" s="314"/>
      <c r="AE875" s="314"/>
      <c r="AF875" s="324"/>
      <c r="AG875" s="180"/>
      <c r="AH875" s="155"/>
      <c r="AI875" s="322"/>
      <c r="AJ875" s="132"/>
      <c r="AK875" s="132"/>
    </row>
    <row r="876">
      <c r="A876" s="476"/>
      <c r="AH876" s="176"/>
      <c r="AI876" s="322"/>
      <c r="AJ876" s="132"/>
      <c r="AK876" s="132"/>
    </row>
    <row r="877">
      <c r="A877" s="178"/>
      <c r="AI877" s="322"/>
      <c r="AJ877" s="132"/>
      <c r="AK877" s="132"/>
    </row>
    <row r="878">
      <c r="A878" s="480"/>
      <c r="B878" s="313"/>
      <c r="C878" s="437"/>
      <c r="D878" s="313"/>
      <c r="E878" s="314"/>
      <c r="F878" s="314"/>
      <c r="G878" s="314"/>
      <c r="H878" s="318"/>
      <c r="I878" s="314"/>
      <c r="J878" s="435"/>
      <c r="K878" s="435"/>
      <c r="L878" s="314"/>
      <c r="M878" s="736"/>
      <c r="N878" s="318"/>
      <c r="O878" s="318"/>
      <c r="P878" s="314"/>
      <c r="Q878" s="435"/>
      <c r="R878" s="314"/>
      <c r="S878" s="314"/>
      <c r="T878" s="314"/>
      <c r="U878" s="314"/>
      <c r="V878" s="318"/>
      <c r="W878" s="315"/>
      <c r="X878" s="314"/>
      <c r="Y878" s="776"/>
      <c r="Z878" s="314"/>
      <c r="AA878" s="314"/>
      <c r="AB878" s="697"/>
      <c r="AC878" s="318"/>
      <c r="AD878" s="314"/>
      <c r="AE878" s="314"/>
      <c r="AF878" s="324"/>
      <c r="AG878" s="180"/>
      <c r="AH878" s="180"/>
      <c r="AI878" s="322"/>
      <c r="AJ878" s="132"/>
      <c r="AK878" s="132"/>
    </row>
    <row r="879">
      <c r="A879" s="480"/>
      <c r="B879" s="313"/>
      <c r="C879" s="437"/>
      <c r="D879" s="313"/>
      <c r="E879" s="314"/>
      <c r="F879" s="314"/>
      <c r="G879" s="314"/>
      <c r="H879" s="740"/>
      <c r="I879" s="314"/>
      <c r="J879" s="435"/>
      <c r="K879" s="435"/>
      <c r="L879" s="314"/>
      <c r="M879" s="839"/>
      <c r="N879" s="740"/>
      <c r="O879" s="318"/>
      <c r="P879" s="435"/>
      <c r="Q879" s="435"/>
      <c r="R879" s="314"/>
      <c r="S879" s="435"/>
      <c r="T879" s="435"/>
      <c r="U879" s="435"/>
      <c r="V879" s="740"/>
      <c r="W879" s="744"/>
      <c r="X879" s="435"/>
      <c r="Y879" s="781"/>
      <c r="Z879" s="435"/>
      <c r="AA879" s="435"/>
      <c r="AB879" s="743"/>
      <c r="AC879" s="740"/>
      <c r="AD879" s="435"/>
      <c r="AE879" s="435"/>
      <c r="AF879" s="324"/>
      <c r="AG879" s="180"/>
      <c r="AH879" s="180"/>
      <c r="AI879" s="322"/>
      <c r="AJ879" s="132"/>
      <c r="AK879" s="132"/>
    </row>
    <row r="880">
      <c r="A880" s="476"/>
      <c r="AH880" s="176"/>
      <c r="AI880" s="322"/>
      <c r="AJ880" s="132"/>
      <c r="AK880" s="132"/>
    </row>
    <row r="881">
      <c r="A881" s="178"/>
      <c r="AI881" s="322"/>
      <c r="AJ881" s="132"/>
      <c r="AK881" s="132"/>
    </row>
    <row r="882">
      <c r="A882" s="481"/>
      <c r="B882" s="313"/>
      <c r="C882" s="437"/>
      <c r="D882" s="437"/>
      <c r="E882" s="435"/>
      <c r="F882" s="314"/>
      <c r="G882" s="435"/>
      <c r="H882" s="740"/>
      <c r="I882" s="435"/>
      <c r="J882" s="314"/>
      <c r="K882" s="435"/>
      <c r="L882" s="435"/>
      <c r="M882" s="839"/>
      <c r="N882" s="318"/>
      <c r="O882" s="318"/>
      <c r="P882" s="435"/>
      <c r="Q882" s="435"/>
      <c r="R882" s="435"/>
      <c r="S882" s="435"/>
      <c r="T882" s="435"/>
      <c r="U882" s="435"/>
      <c r="V882" s="740"/>
      <c r="W882" s="744"/>
      <c r="X882" s="435"/>
      <c r="Y882" s="781"/>
      <c r="Z882" s="435"/>
      <c r="AA882" s="435"/>
      <c r="AB882" s="743"/>
      <c r="AC882" s="740"/>
      <c r="AD882" s="435"/>
      <c r="AE882" s="435"/>
      <c r="AF882" s="324"/>
      <c r="AG882" s="180"/>
      <c r="AH882" s="155"/>
      <c r="AI882" s="322"/>
      <c r="AJ882" s="132"/>
      <c r="AK882" s="132"/>
    </row>
    <row r="883">
      <c r="A883" s="435"/>
      <c r="B883" s="313"/>
      <c r="C883" s="437"/>
      <c r="D883" s="437"/>
      <c r="E883" s="314"/>
      <c r="F883" s="314"/>
      <c r="G883" s="314"/>
      <c r="H883" s="740"/>
      <c r="I883" s="314"/>
      <c r="J883" s="435"/>
      <c r="K883" s="435"/>
      <c r="L883" s="314"/>
      <c r="M883" s="736"/>
      <c r="N883" s="318"/>
      <c r="O883" s="318"/>
      <c r="P883" s="435"/>
      <c r="Q883" s="435"/>
      <c r="R883" s="435"/>
      <c r="S883" s="435"/>
      <c r="T883" s="435"/>
      <c r="U883" s="435"/>
      <c r="V883" s="740"/>
      <c r="W883" s="744"/>
      <c r="X883" s="435"/>
      <c r="Y883" s="781"/>
      <c r="Z883" s="435"/>
      <c r="AA883" s="435"/>
      <c r="AB883" s="743"/>
      <c r="AC883" s="740"/>
      <c r="AD883" s="435"/>
      <c r="AE883" s="435"/>
      <c r="AF883" s="324"/>
      <c r="AG883" s="180"/>
      <c r="AH883" s="155"/>
      <c r="AI883" s="322"/>
      <c r="AJ883" s="132"/>
      <c r="AK883" s="132"/>
    </row>
    <row r="884">
      <c r="A884" s="482"/>
      <c r="B884" s="313"/>
      <c r="C884" s="313"/>
      <c r="D884" s="437"/>
      <c r="E884" s="314"/>
      <c r="F884" s="314"/>
      <c r="G884" s="314"/>
      <c r="H884" s="318"/>
      <c r="I884" s="314"/>
      <c r="J884" s="314"/>
      <c r="K884" s="435"/>
      <c r="L884" s="314"/>
      <c r="M884" s="736"/>
      <c r="N884" s="318"/>
      <c r="O884" s="318"/>
      <c r="P884" s="314"/>
      <c r="Q884" s="314"/>
      <c r="R884" s="435"/>
      <c r="S884" s="314"/>
      <c r="T884" s="314"/>
      <c r="U884" s="314"/>
      <c r="V884" s="318"/>
      <c r="W884" s="315"/>
      <c r="X884" s="314"/>
      <c r="Y884" s="776"/>
      <c r="Z884" s="314"/>
      <c r="AA884" s="314"/>
      <c r="AB884" s="697"/>
      <c r="AC884" s="318"/>
      <c r="AD884" s="314"/>
      <c r="AE884" s="314"/>
      <c r="AF884" s="324"/>
      <c r="AG884" s="180"/>
      <c r="AH884" s="155"/>
      <c r="AI884" s="322"/>
      <c r="AJ884" s="132"/>
      <c r="AK884" s="132"/>
    </row>
    <row r="885">
      <c r="A885" s="482"/>
      <c r="B885" s="313"/>
      <c r="C885" s="437"/>
      <c r="D885" s="437"/>
      <c r="E885" s="435"/>
      <c r="F885" s="314"/>
      <c r="G885" s="314"/>
      <c r="H885" s="740"/>
      <c r="I885" s="435"/>
      <c r="J885" s="435"/>
      <c r="K885" s="435"/>
      <c r="L885" s="435"/>
      <c r="M885" s="839"/>
      <c r="N885" s="740"/>
      <c r="O885" s="318"/>
      <c r="P885" s="435"/>
      <c r="Q885" s="435"/>
      <c r="R885" s="435"/>
      <c r="S885" s="435"/>
      <c r="T885" s="435"/>
      <c r="U885" s="435"/>
      <c r="V885" s="740"/>
      <c r="W885" s="744"/>
      <c r="X885" s="435"/>
      <c r="Y885" s="781"/>
      <c r="Z885" s="435"/>
      <c r="AA885" s="435"/>
      <c r="AB885" s="743"/>
      <c r="AC885" s="740"/>
      <c r="AD885" s="435"/>
      <c r="AE885" s="435"/>
      <c r="AF885" s="324"/>
      <c r="AG885" s="180"/>
      <c r="AH885" s="155"/>
      <c r="AI885" s="322"/>
      <c r="AJ885" s="132"/>
      <c r="AK885" s="132"/>
    </row>
    <row r="886">
      <c r="A886" s="314"/>
      <c r="B886" s="313"/>
      <c r="C886" s="313"/>
      <c r="D886" s="313"/>
      <c r="E886" s="314"/>
      <c r="F886" s="314"/>
      <c r="G886" s="314"/>
      <c r="H886" s="318"/>
      <c r="I886" s="314"/>
      <c r="J886" s="314"/>
      <c r="K886" s="314"/>
      <c r="L886" s="314"/>
      <c r="M886" s="736"/>
      <c r="N886" s="318"/>
      <c r="O886" s="318"/>
      <c r="P886" s="314"/>
      <c r="Q886" s="314"/>
      <c r="R886" s="314"/>
      <c r="S886" s="314"/>
      <c r="T886" s="314"/>
      <c r="U886" s="314"/>
      <c r="V886" s="318"/>
      <c r="W886" s="315"/>
      <c r="X886" s="314"/>
      <c r="Y886" s="776"/>
      <c r="Z886" s="314"/>
      <c r="AA886" s="314"/>
      <c r="AB886" s="697"/>
      <c r="AC886" s="318"/>
      <c r="AD886" s="314"/>
      <c r="AE886" s="314"/>
      <c r="AF886" s="483"/>
      <c r="AH886" s="484"/>
      <c r="AI886" s="322"/>
      <c r="AJ886" s="132"/>
      <c r="AK886" s="132"/>
    </row>
    <row r="887">
      <c r="A887" s="314"/>
      <c r="B887" s="313"/>
      <c r="C887" s="313"/>
      <c r="D887" s="313"/>
      <c r="E887" s="314"/>
      <c r="F887" s="314"/>
      <c r="G887" s="314"/>
      <c r="H887" s="318"/>
      <c r="I887" s="314"/>
      <c r="J887" s="314"/>
      <c r="K887" s="314"/>
      <c r="L887" s="314"/>
      <c r="M887" s="736"/>
      <c r="N887" s="318"/>
      <c r="O887" s="318"/>
      <c r="P887" s="314"/>
      <c r="Q887" s="314"/>
      <c r="R887" s="314"/>
      <c r="S887" s="314"/>
      <c r="T887" s="314"/>
      <c r="U887" s="314"/>
      <c r="V887" s="318"/>
      <c r="W887" s="315"/>
      <c r="X887" s="314"/>
      <c r="Y887" s="776"/>
      <c r="Z887" s="314"/>
      <c r="AA887" s="314"/>
      <c r="AB887" s="697"/>
      <c r="AC887" s="318"/>
      <c r="AD887" s="314"/>
      <c r="AE887" s="314"/>
      <c r="AF887" s="324"/>
      <c r="AG887" s="155"/>
      <c r="AH887" s="155"/>
      <c r="AI887" s="322"/>
      <c r="AJ887" s="132"/>
      <c r="AK887" s="132"/>
    </row>
    <row r="888">
      <c r="A888" s="314"/>
      <c r="B888" s="313"/>
      <c r="C888" s="313"/>
      <c r="D888" s="313"/>
      <c r="E888" s="314"/>
      <c r="F888" s="314"/>
      <c r="G888" s="314"/>
      <c r="H888" s="318"/>
      <c r="I888" s="314"/>
      <c r="J888" s="314"/>
      <c r="K888" s="314"/>
      <c r="L888" s="314"/>
      <c r="M888" s="736"/>
      <c r="N888" s="318"/>
      <c r="O888" s="318"/>
      <c r="P888" s="314"/>
      <c r="Q888" s="314"/>
      <c r="R888" s="314"/>
      <c r="S888" s="314"/>
      <c r="T888" s="314"/>
      <c r="U888" s="314"/>
      <c r="V888" s="318"/>
      <c r="W888" s="315"/>
      <c r="X888" s="314"/>
      <c r="Y888" s="776"/>
      <c r="Z888" s="314"/>
      <c r="AA888" s="314"/>
      <c r="AB888" s="697"/>
      <c r="AC888" s="318"/>
      <c r="AD888" s="314"/>
      <c r="AE888" s="314"/>
      <c r="AF888" s="324"/>
      <c r="AG888" s="155"/>
      <c r="AH888" s="155"/>
      <c r="AI888" s="322"/>
      <c r="AJ888" s="132"/>
      <c r="AK888" s="132"/>
    </row>
    <row r="889">
      <c r="A889" s="314"/>
      <c r="B889" s="313"/>
      <c r="C889" s="313"/>
      <c r="D889" s="313"/>
      <c r="E889" s="314"/>
      <c r="F889" s="314"/>
      <c r="G889" s="314"/>
      <c r="H889" s="318"/>
      <c r="I889" s="314"/>
      <c r="J889" s="314"/>
      <c r="K889" s="314"/>
      <c r="L889" s="314"/>
      <c r="M889" s="736"/>
      <c r="N889" s="318"/>
      <c r="O889" s="318"/>
      <c r="P889" s="314"/>
      <c r="Q889" s="314"/>
      <c r="R889" s="314"/>
      <c r="S889" s="314"/>
      <c r="T889" s="314"/>
      <c r="U889" s="314"/>
      <c r="V889" s="318"/>
      <c r="W889" s="315"/>
      <c r="X889" s="314"/>
      <c r="Y889" s="776"/>
      <c r="Z889" s="314"/>
      <c r="AA889" s="314"/>
      <c r="AB889" s="697"/>
      <c r="AC889" s="318"/>
      <c r="AD889" s="314"/>
      <c r="AE889" s="314"/>
      <c r="AF889" s="324"/>
      <c r="AG889" s="155"/>
      <c r="AH889" s="155"/>
      <c r="AI889" s="322"/>
      <c r="AJ889" s="132"/>
      <c r="AK889" s="132"/>
    </row>
    <row r="890">
      <c r="A890" s="314"/>
      <c r="B890" s="313"/>
      <c r="C890" s="313"/>
      <c r="D890" s="313"/>
      <c r="E890" s="314"/>
      <c r="F890" s="314"/>
      <c r="G890" s="314"/>
      <c r="H890" s="318"/>
      <c r="I890" s="314"/>
      <c r="J890" s="314"/>
      <c r="K890" s="314"/>
      <c r="L890" s="314"/>
      <c r="M890" s="736"/>
      <c r="N890" s="318"/>
      <c r="O890" s="318"/>
      <c r="P890" s="314"/>
      <c r="Q890" s="314"/>
      <c r="R890" s="314"/>
      <c r="S890" s="314"/>
      <c r="T890" s="314"/>
      <c r="U890" s="314"/>
      <c r="V890" s="318"/>
      <c r="W890" s="315"/>
      <c r="X890" s="314"/>
      <c r="Y890" s="776"/>
      <c r="Z890" s="314"/>
      <c r="AA890" s="314"/>
      <c r="AB890" s="697"/>
      <c r="AC890" s="318"/>
      <c r="AD890" s="314"/>
      <c r="AE890" s="314"/>
      <c r="AF890" s="324"/>
      <c r="AG890" s="155"/>
      <c r="AH890" s="155"/>
      <c r="AI890" s="322"/>
      <c r="AJ890" s="132"/>
      <c r="AK890" s="132"/>
    </row>
    <row r="891">
      <c r="A891" s="314"/>
      <c r="B891" s="313"/>
      <c r="C891" s="313"/>
      <c r="D891" s="313"/>
      <c r="E891" s="314"/>
      <c r="F891" s="314"/>
      <c r="G891" s="314"/>
      <c r="H891" s="318"/>
      <c r="I891" s="314"/>
      <c r="J891" s="314"/>
      <c r="K891" s="314"/>
      <c r="L891" s="314"/>
      <c r="M891" s="736"/>
      <c r="N891" s="318"/>
      <c r="O891" s="318"/>
      <c r="P891" s="314"/>
      <c r="Q891" s="314"/>
      <c r="R891" s="314"/>
      <c r="S891" s="314"/>
      <c r="T891" s="314"/>
      <c r="U891" s="314"/>
      <c r="V891" s="318"/>
      <c r="W891" s="315"/>
      <c r="X891" s="314"/>
      <c r="Y891" s="776"/>
      <c r="Z891" s="314"/>
      <c r="AA891" s="314"/>
      <c r="AB891" s="697"/>
      <c r="AC891" s="318"/>
      <c r="AD891" s="314"/>
      <c r="AE891" s="314"/>
      <c r="AF891" s="324"/>
      <c r="AG891" s="155"/>
      <c r="AH891" s="155"/>
      <c r="AI891" s="322"/>
      <c r="AJ891" s="132"/>
      <c r="AK891" s="132"/>
    </row>
    <row r="892">
      <c r="A892" s="314"/>
      <c r="B892" s="313"/>
      <c r="C892" s="313"/>
      <c r="D892" s="313"/>
      <c r="E892" s="314"/>
      <c r="F892" s="314"/>
      <c r="G892" s="314"/>
      <c r="H892" s="318"/>
      <c r="I892" s="314"/>
      <c r="J892" s="314"/>
      <c r="K892" s="314"/>
      <c r="L892" s="314"/>
      <c r="M892" s="736"/>
      <c r="N892" s="318"/>
      <c r="O892" s="318"/>
      <c r="P892" s="314"/>
      <c r="Q892" s="314"/>
      <c r="R892" s="314"/>
      <c r="S892" s="314"/>
      <c r="T892" s="314"/>
      <c r="U892" s="314"/>
      <c r="V892" s="318"/>
      <c r="W892" s="315"/>
      <c r="X892" s="314"/>
      <c r="Y892" s="776"/>
      <c r="Z892" s="314"/>
      <c r="AA892" s="314"/>
      <c r="AB892" s="697"/>
      <c r="AC892" s="318"/>
      <c r="AD892" s="314"/>
      <c r="AE892" s="314"/>
      <c r="AF892" s="324"/>
      <c r="AG892" s="155"/>
      <c r="AH892" s="155"/>
      <c r="AI892" s="322"/>
      <c r="AJ892" s="132"/>
      <c r="AK892" s="132"/>
    </row>
    <row r="893">
      <c r="A893" s="314"/>
      <c r="B893" s="313"/>
      <c r="C893" s="313"/>
      <c r="D893" s="313"/>
      <c r="E893" s="314"/>
      <c r="F893" s="314"/>
      <c r="G893" s="314"/>
      <c r="H893" s="318"/>
      <c r="I893" s="314"/>
      <c r="J893" s="314"/>
      <c r="K893" s="314"/>
      <c r="L893" s="314"/>
      <c r="M893" s="736"/>
      <c r="N893" s="318"/>
      <c r="O893" s="318"/>
      <c r="P893" s="314"/>
      <c r="Q893" s="314"/>
      <c r="R893" s="314"/>
      <c r="S893" s="314"/>
      <c r="T893" s="314"/>
      <c r="U893" s="314"/>
      <c r="V893" s="318"/>
      <c r="W893" s="315"/>
      <c r="X893" s="314"/>
      <c r="Y893" s="776"/>
      <c r="Z893" s="314"/>
      <c r="AA893" s="314"/>
      <c r="AB893" s="697"/>
      <c r="AC893" s="318"/>
      <c r="AD893" s="314"/>
      <c r="AE893" s="314"/>
      <c r="AF893" s="324"/>
      <c r="AG893" s="155"/>
      <c r="AH893" s="155"/>
      <c r="AI893" s="322"/>
      <c r="AJ893" s="132"/>
      <c r="AK893" s="132"/>
    </row>
    <row r="894">
      <c r="A894" s="314"/>
      <c r="B894" s="313"/>
      <c r="C894" s="313"/>
      <c r="D894" s="313"/>
      <c r="E894" s="314"/>
      <c r="F894" s="314"/>
      <c r="G894" s="314"/>
      <c r="H894" s="318"/>
      <c r="I894" s="314"/>
      <c r="J894" s="314"/>
      <c r="K894" s="314"/>
      <c r="L894" s="314"/>
      <c r="M894" s="736"/>
      <c r="N894" s="318"/>
      <c r="O894" s="318"/>
      <c r="P894" s="314"/>
      <c r="Q894" s="314"/>
      <c r="R894" s="314"/>
      <c r="S894" s="314"/>
      <c r="T894" s="314"/>
      <c r="U894" s="314"/>
      <c r="V894" s="318"/>
      <c r="W894" s="315"/>
      <c r="X894" s="314"/>
      <c r="Y894" s="776"/>
      <c r="Z894" s="314"/>
      <c r="AA894" s="314"/>
      <c r="AB894" s="697"/>
      <c r="AC894" s="318"/>
      <c r="AD894" s="314"/>
      <c r="AE894" s="314"/>
      <c r="AF894" s="324"/>
      <c r="AG894" s="155"/>
      <c r="AH894" s="155"/>
      <c r="AI894" s="322"/>
      <c r="AJ894" s="132"/>
      <c r="AK894" s="132"/>
    </row>
    <row r="895">
      <c r="A895" s="314"/>
      <c r="B895" s="313"/>
      <c r="C895" s="313"/>
      <c r="D895" s="313"/>
      <c r="E895" s="314"/>
      <c r="F895" s="314"/>
      <c r="G895" s="314"/>
      <c r="H895" s="318"/>
      <c r="I895" s="314"/>
      <c r="J895" s="314"/>
      <c r="K895" s="314"/>
      <c r="L895" s="314"/>
      <c r="M895" s="736"/>
      <c r="N895" s="318"/>
      <c r="O895" s="318"/>
      <c r="P895" s="314"/>
      <c r="Q895" s="314"/>
      <c r="R895" s="314"/>
      <c r="S895" s="314"/>
      <c r="T895" s="314"/>
      <c r="U895" s="314"/>
      <c r="V895" s="318"/>
      <c r="W895" s="315"/>
      <c r="X895" s="314"/>
      <c r="Y895" s="776"/>
      <c r="Z895" s="314"/>
      <c r="AA895" s="314"/>
      <c r="AB895" s="697"/>
      <c r="AC895" s="318"/>
      <c r="AD895" s="314"/>
      <c r="AE895" s="314"/>
      <c r="AF895" s="324"/>
      <c r="AG895" s="155"/>
      <c r="AH895" s="155"/>
      <c r="AI895" s="322"/>
      <c r="AJ895" s="132"/>
      <c r="AK895" s="132"/>
    </row>
    <row r="896">
      <c r="A896" s="314"/>
      <c r="B896" s="313"/>
      <c r="C896" s="313"/>
      <c r="D896" s="313"/>
      <c r="E896" s="314"/>
      <c r="F896" s="314"/>
      <c r="G896" s="314"/>
      <c r="H896" s="318"/>
      <c r="I896" s="314"/>
      <c r="J896" s="314"/>
      <c r="K896" s="314"/>
      <c r="L896" s="314"/>
      <c r="M896" s="736"/>
      <c r="N896" s="318"/>
      <c r="O896" s="318"/>
      <c r="P896" s="314"/>
      <c r="Q896" s="314"/>
      <c r="R896" s="314"/>
      <c r="S896" s="314"/>
      <c r="T896" s="314"/>
      <c r="U896" s="314"/>
      <c r="V896" s="318"/>
      <c r="W896" s="315"/>
      <c r="X896" s="314"/>
      <c r="Y896" s="776"/>
      <c r="Z896" s="314"/>
      <c r="AA896" s="314"/>
      <c r="AB896" s="697"/>
      <c r="AC896" s="318"/>
      <c r="AD896" s="314"/>
      <c r="AE896" s="314"/>
      <c r="AF896" s="324"/>
      <c r="AG896" s="155"/>
      <c r="AH896" s="155"/>
      <c r="AI896" s="322"/>
      <c r="AJ896" s="132"/>
      <c r="AK896" s="132"/>
    </row>
    <row r="897">
      <c r="A897" s="314"/>
      <c r="B897" s="313"/>
      <c r="C897" s="313"/>
      <c r="D897" s="313"/>
      <c r="E897" s="314"/>
      <c r="F897" s="314"/>
      <c r="G897" s="314"/>
      <c r="H897" s="318"/>
      <c r="I897" s="314"/>
      <c r="J897" s="314"/>
      <c r="K897" s="314"/>
      <c r="L897" s="314"/>
      <c r="M897" s="736"/>
      <c r="N897" s="318"/>
      <c r="O897" s="318"/>
      <c r="P897" s="314"/>
      <c r="Q897" s="314"/>
      <c r="R897" s="314"/>
      <c r="S897" s="314"/>
      <c r="T897" s="314"/>
      <c r="U897" s="314"/>
      <c r="V897" s="318"/>
      <c r="W897" s="315"/>
      <c r="X897" s="314"/>
      <c r="Y897" s="776"/>
      <c r="Z897" s="314"/>
      <c r="AA897" s="314"/>
      <c r="AB897" s="697"/>
      <c r="AC897" s="318"/>
      <c r="AD897" s="314"/>
      <c r="AE897" s="314"/>
      <c r="AF897" s="324"/>
      <c r="AG897" s="155"/>
      <c r="AH897" s="155"/>
      <c r="AI897" s="322"/>
      <c r="AJ897" s="132"/>
      <c r="AK897" s="132"/>
    </row>
    <row r="898">
      <c r="A898" s="314"/>
      <c r="B898" s="313"/>
      <c r="C898" s="313"/>
      <c r="D898" s="313"/>
      <c r="E898" s="314"/>
      <c r="F898" s="314"/>
      <c r="G898" s="314"/>
      <c r="H898" s="318"/>
      <c r="I898" s="314"/>
      <c r="J898" s="314"/>
      <c r="K898" s="314"/>
      <c r="L898" s="314"/>
      <c r="M898" s="736"/>
      <c r="N898" s="318"/>
      <c r="O898" s="318"/>
      <c r="P898" s="314"/>
      <c r="Q898" s="314"/>
      <c r="R898" s="314"/>
      <c r="S898" s="314"/>
      <c r="T898" s="314"/>
      <c r="U898" s="314"/>
      <c r="V898" s="318"/>
      <c r="W898" s="315"/>
      <c r="X898" s="314"/>
      <c r="Y898" s="776"/>
      <c r="Z898" s="314"/>
      <c r="AA898" s="314"/>
      <c r="AB898" s="697"/>
      <c r="AC898" s="318"/>
      <c r="AD898" s="314"/>
      <c r="AE898" s="314"/>
      <c r="AF898" s="324"/>
      <c r="AG898" s="155"/>
      <c r="AH898" s="155"/>
      <c r="AI898" s="322"/>
      <c r="AJ898" s="132"/>
      <c r="AK898" s="132"/>
    </row>
    <row r="899">
      <c r="A899" s="314"/>
      <c r="B899" s="313"/>
      <c r="C899" s="313"/>
      <c r="D899" s="313"/>
      <c r="E899" s="314"/>
      <c r="F899" s="314"/>
      <c r="G899" s="314"/>
      <c r="H899" s="318"/>
      <c r="I899" s="314"/>
      <c r="J899" s="314"/>
      <c r="K899" s="314"/>
      <c r="L899" s="314"/>
      <c r="M899" s="736"/>
      <c r="N899" s="318"/>
      <c r="O899" s="318"/>
      <c r="P899" s="314"/>
      <c r="Q899" s="314"/>
      <c r="R899" s="314"/>
      <c r="S899" s="314"/>
      <c r="T899" s="314"/>
      <c r="U899" s="314"/>
      <c r="V899" s="318"/>
      <c r="W899" s="315"/>
      <c r="X899" s="314"/>
      <c r="Y899" s="776"/>
      <c r="Z899" s="314"/>
      <c r="AA899" s="314"/>
      <c r="AB899" s="697"/>
      <c r="AC899" s="318"/>
      <c r="AD899" s="314"/>
      <c r="AE899" s="314"/>
      <c r="AF899" s="324"/>
      <c r="AG899" s="155"/>
      <c r="AH899" s="155"/>
      <c r="AI899" s="322"/>
      <c r="AJ899" s="132"/>
      <c r="AK899" s="132"/>
    </row>
    <row r="900">
      <c r="A900" s="314"/>
      <c r="B900" s="313"/>
      <c r="C900" s="313"/>
      <c r="D900" s="313"/>
      <c r="E900" s="314"/>
      <c r="F900" s="314"/>
      <c r="G900" s="314"/>
      <c r="H900" s="318"/>
      <c r="I900" s="314"/>
      <c r="J900" s="314"/>
      <c r="K900" s="314"/>
      <c r="L900" s="314"/>
      <c r="M900" s="736"/>
      <c r="N900" s="318"/>
      <c r="O900" s="318"/>
      <c r="P900" s="314"/>
      <c r="Q900" s="314"/>
      <c r="R900" s="314"/>
      <c r="S900" s="314"/>
      <c r="T900" s="314"/>
      <c r="U900" s="314"/>
      <c r="V900" s="318"/>
      <c r="W900" s="315"/>
      <c r="X900" s="314"/>
      <c r="Y900" s="776"/>
      <c r="Z900" s="314"/>
      <c r="AA900" s="314"/>
      <c r="AB900" s="697"/>
      <c r="AC900" s="318"/>
      <c r="AD900" s="314"/>
      <c r="AE900" s="314"/>
      <c r="AF900" s="324"/>
      <c r="AG900" s="155"/>
      <c r="AH900" s="155"/>
      <c r="AI900" s="322"/>
      <c r="AJ900" s="132"/>
      <c r="AK900" s="132"/>
    </row>
    <row r="901">
      <c r="A901" s="314"/>
      <c r="B901" s="313"/>
      <c r="C901" s="313"/>
      <c r="D901" s="313"/>
      <c r="E901" s="314"/>
      <c r="F901" s="314"/>
      <c r="G901" s="314"/>
      <c r="H901" s="318"/>
      <c r="I901" s="314"/>
      <c r="J901" s="314"/>
      <c r="K901" s="314"/>
      <c r="L901" s="314"/>
      <c r="M901" s="736"/>
      <c r="N901" s="318"/>
      <c r="O901" s="318"/>
      <c r="P901" s="314"/>
      <c r="Q901" s="314"/>
      <c r="R901" s="314"/>
      <c r="S901" s="314"/>
      <c r="T901" s="314"/>
      <c r="U901" s="314"/>
      <c r="V901" s="318"/>
      <c r="W901" s="315"/>
      <c r="X901" s="314"/>
      <c r="Y901" s="776"/>
      <c r="Z901" s="314"/>
      <c r="AA901" s="314"/>
      <c r="AB901" s="697"/>
      <c r="AC901" s="318"/>
      <c r="AD901" s="314"/>
      <c r="AE901" s="314"/>
      <c r="AF901" s="324"/>
      <c r="AG901" s="155"/>
      <c r="AH901" s="155"/>
      <c r="AI901" s="322"/>
      <c r="AJ901" s="132"/>
      <c r="AK901" s="132"/>
    </row>
    <row r="902">
      <c r="A902" s="314"/>
      <c r="B902" s="313"/>
      <c r="C902" s="313"/>
      <c r="D902" s="313"/>
      <c r="E902" s="314"/>
      <c r="F902" s="314"/>
      <c r="G902" s="314"/>
      <c r="H902" s="318"/>
      <c r="I902" s="314"/>
      <c r="J902" s="314"/>
      <c r="K902" s="314"/>
      <c r="L902" s="314"/>
      <c r="M902" s="736"/>
      <c r="N902" s="318"/>
      <c r="O902" s="318"/>
      <c r="P902" s="314"/>
      <c r="Q902" s="314"/>
      <c r="R902" s="314"/>
      <c r="S902" s="314"/>
      <c r="T902" s="314"/>
      <c r="U902" s="314"/>
      <c r="V902" s="318"/>
      <c r="W902" s="315"/>
      <c r="X902" s="314"/>
      <c r="Y902" s="776"/>
      <c r="Z902" s="314"/>
      <c r="AA902" s="314"/>
      <c r="AB902" s="697"/>
      <c r="AC902" s="318"/>
      <c r="AD902" s="314"/>
      <c r="AE902" s="314"/>
      <c r="AF902" s="324"/>
      <c r="AG902" s="155"/>
      <c r="AH902" s="155"/>
      <c r="AI902" s="322"/>
      <c r="AJ902" s="132"/>
      <c r="AK902" s="132"/>
    </row>
    <row r="903">
      <c r="A903" s="314"/>
      <c r="B903" s="313"/>
      <c r="C903" s="313"/>
      <c r="D903" s="313"/>
      <c r="E903" s="314"/>
      <c r="F903" s="314"/>
      <c r="G903" s="314"/>
      <c r="H903" s="318"/>
      <c r="I903" s="314"/>
      <c r="J903" s="314"/>
      <c r="K903" s="314"/>
      <c r="L903" s="314"/>
      <c r="M903" s="736"/>
      <c r="N903" s="318"/>
      <c r="O903" s="318"/>
      <c r="P903" s="314"/>
      <c r="Q903" s="314"/>
      <c r="R903" s="314"/>
      <c r="S903" s="314"/>
      <c r="T903" s="314"/>
      <c r="U903" s="314"/>
      <c r="V903" s="318"/>
      <c r="W903" s="315"/>
      <c r="X903" s="314"/>
      <c r="Y903" s="776"/>
      <c r="Z903" s="314"/>
      <c r="AA903" s="314"/>
      <c r="AB903" s="697"/>
      <c r="AC903" s="318"/>
      <c r="AD903" s="314"/>
      <c r="AE903" s="314"/>
      <c r="AF903" s="324"/>
      <c r="AG903" s="155"/>
      <c r="AH903" s="155"/>
      <c r="AI903" s="322"/>
      <c r="AJ903" s="132"/>
      <c r="AK903" s="132"/>
    </row>
    <row r="904">
      <c r="A904" s="314"/>
      <c r="B904" s="313"/>
      <c r="C904" s="313"/>
      <c r="D904" s="313"/>
      <c r="E904" s="314"/>
      <c r="F904" s="314"/>
      <c r="G904" s="314"/>
      <c r="H904" s="318"/>
      <c r="I904" s="314"/>
      <c r="J904" s="314"/>
      <c r="K904" s="314"/>
      <c r="L904" s="314"/>
      <c r="M904" s="736"/>
      <c r="N904" s="318"/>
      <c r="O904" s="318"/>
      <c r="P904" s="314"/>
      <c r="Q904" s="314"/>
      <c r="R904" s="314"/>
      <c r="S904" s="314"/>
      <c r="T904" s="314"/>
      <c r="U904" s="314"/>
      <c r="V904" s="318"/>
      <c r="W904" s="315"/>
      <c r="X904" s="314"/>
      <c r="Y904" s="776"/>
      <c r="Z904" s="314"/>
      <c r="AA904" s="314"/>
      <c r="AB904" s="697"/>
      <c r="AC904" s="318"/>
      <c r="AD904" s="314"/>
      <c r="AE904" s="314"/>
      <c r="AF904" s="324"/>
      <c r="AG904" s="155"/>
      <c r="AH904" s="155"/>
      <c r="AI904" s="322"/>
      <c r="AJ904" s="132"/>
      <c r="AK904" s="132"/>
    </row>
    <row r="905">
      <c r="A905" s="314"/>
      <c r="B905" s="313"/>
      <c r="C905" s="313"/>
      <c r="D905" s="313"/>
      <c r="E905" s="314"/>
      <c r="F905" s="314"/>
      <c r="G905" s="314"/>
      <c r="H905" s="318"/>
      <c r="I905" s="314"/>
      <c r="J905" s="314"/>
      <c r="K905" s="314"/>
      <c r="L905" s="314"/>
      <c r="M905" s="736"/>
      <c r="N905" s="318"/>
      <c r="O905" s="318"/>
      <c r="P905" s="314"/>
      <c r="Q905" s="314"/>
      <c r="R905" s="314"/>
      <c r="S905" s="314"/>
      <c r="T905" s="314"/>
      <c r="U905" s="314"/>
      <c r="V905" s="318"/>
      <c r="W905" s="315"/>
      <c r="X905" s="314"/>
      <c r="Y905" s="776"/>
      <c r="Z905" s="314"/>
      <c r="AA905" s="314"/>
      <c r="AB905" s="697"/>
      <c r="AC905" s="318"/>
      <c r="AD905" s="314"/>
      <c r="AE905" s="314"/>
      <c r="AF905" s="324"/>
      <c r="AG905" s="155"/>
      <c r="AH905" s="155"/>
      <c r="AI905" s="322"/>
      <c r="AJ905" s="132"/>
      <c r="AK905" s="132"/>
    </row>
    <row r="906">
      <c r="A906" s="314"/>
      <c r="B906" s="313"/>
      <c r="C906" s="313"/>
      <c r="D906" s="313"/>
      <c r="E906" s="314"/>
      <c r="F906" s="314"/>
      <c r="G906" s="314"/>
      <c r="H906" s="318"/>
      <c r="I906" s="314"/>
      <c r="J906" s="314"/>
      <c r="K906" s="314"/>
      <c r="L906" s="314"/>
      <c r="M906" s="736"/>
      <c r="N906" s="318"/>
      <c r="O906" s="318"/>
      <c r="P906" s="314"/>
      <c r="Q906" s="314"/>
      <c r="R906" s="314"/>
      <c r="S906" s="314"/>
      <c r="T906" s="314"/>
      <c r="U906" s="314"/>
      <c r="V906" s="318"/>
      <c r="W906" s="315"/>
      <c r="X906" s="314"/>
      <c r="Y906" s="776"/>
      <c r="Z906" s="314"/>
      <c r="AA906" s="314"/>
      <c r="AB906" s="697"/>
      <c r="AC906" s="318"/>
      <c r="AD906" s="314"/>
      <c r="AE906" s="314"/>
      <c r="AF906" s="324"/>
      <c r="AG906" s="155"/>
      <c r="AH906" s="155"/>
      <c r="AI906" s="322"/>
      <c r="AJ906" s="132"/>
      <c r="AK906" s="132"/>
    </row>
    <row r="907">
      <c r="A907" s="314"/>
      <c r="B907" s="313"/>
      <c r="C907" s="313"/>
      <c r="D907" s="313"/>
      <c r="E907" s="314"/>
      <c r="F907" s="314"/>
      <c r="G907" s="314"/>
      <c r="H907" s="318"/>
      <c r="I907" s="314"/>
      <c r="J907" s="314"/>
      <c r="K907" s="314"/>
      <c r="L907" s="314"/>
      <c r="M907" s="736"/>
      <c r="N907" s="318"/>
      <c r="O907" s="318"/>
      <c r="P907" s="314"/>
      <c r="Q907" s="314"/>
      <c r="R907" s="314"/>
      <c r="S907" s="314"/>
      <c r="T907" s="314"/>
      <c r="U907" s="314"/>
      <c r="V907" s="318"/>
      <c r="W907" s="315"/>
      <c r="X907" s="314"/>
      <c r="Y907" s="776"/>
      <c r="Z907" s="314"/>
      <c r="AA907" s="314"/>
      <c r="AB907" s="697"/>
      <c r="AC907" s="318"/>
      <c r="AD907" s="314"/>
      <c r="AE907" s="314"/>
      <c r="AF907" s="324"/>
      <c r="AG907" s="155"/>
      <c r="AH907" s="155"/>
      <c r="AI907" s="322"/>
      <c r="AJ907" s="132"/>
      <c r="AK907" s="132"/>
    </row>
    <row r="908">
      <c r="A908" s="314"/>
      <c r="B908" s="313"/>
      <c r="C908" s="313"/>
      <c r="D908" s="313"/>
      <c r="E908" s="314"/>
      <c r="F908" s="314"/>
      <c r="G908" s="314"/>
      <c r="H908" s="318"/>
      <c r="I908" s="314"/>
      <c r="J908" s="314"/>
      <c r="K908" s="314"/>
      <c r="L908" s="314"/>
      <c r="M908" s="736"/>
      <c r="N908" s="318"/>
      <c r="O908" s="318"/>
      <c r="P908" s="314"/>
      <c r="Q908" s="314"/>
      <c r="R908" s="314"/>
      <c r="S908" s="314"/>
      <c r="T908" s="314"/>
      <c r="U908" s="314"/>
      <c r="V908" s="318"/>
      <c r="W908" s="315"/>
      <c r="X908" s="314"/>
      <c r="Y908" s="776"/>
      <c r="Z908" s="314"/>
      <c r="AA908" s="314"/>
      <c r="AB908" s="697"/>
      <c r="AC908" s="318"/>
      <c r="AD908" s="314"/>
      <c r="AE908" s="314"/>
      <c r="AF908" s="324"/>
      <c r="AG908" s="155"/>
      <c r="AH908" s="155"/>
      <c r="AI908" s="322"/>
      <c r="AJ908" s="132"/>
      <c r="AK908" s="132"/>
    </row>
    <row r="909">
      <c r="A909" s="314"/>
      <c r="B909" s="313"/>
      <c r="C909" s="313"/>
      <c r="D909" s="313"/>
      <c r="E909" s="314"/>
      <c r="F909" s="314"/>
      <c r="G909" s="314"/>
      <c r="H909" s="318"/>
      <c r="I909" s="314"/>
      <c r="J909" s="314"/>
      <c r="K909" s="314"/>
      <c r="L909" s="314"/>
      <c r="M909" s="736"/>
      <c r="N909" s="318"/>
      <c r="O909" s="318"/>
      <c r="P909" s="314"/>
      <c r="Q909" s="314"/>
      <c r="R909" s="314"/>
      <c r="S909" s="314"/>
      <c r="T909" s="314"/>
      <c r="U909" s="314"/>
      <c r="V909" s="318"/>
      <c r="W909" s="315"/>
      <c r="X909" s="314"/>
      <c r="Y909" s="776"/>
      <c r="Z909" s="314"/>
      <c r="AA909" s="314"/>
      <c r="AB909" s="697"/>
      <c r="AC909" s="318"/>
      <c r="AD909" s="314"/>
      <c r="AE909" s="314"/>
      <c r="AF909" s="324"/>
      <c r="AG909" s="155"/>
      <c r="AH909" s="155"/>
      <c r="AI909" s="322"/>
      <c r="AJ909" s="132"/>
      <c r="AK909" s="132"/>
    </row>
    <row r="910">
      <c r="A910" s="314"/>
      <c r="B910" s="313"/>
      <c r="C910" s="313"/>
      <c r="D910" s="313"/>
      <c r="E910" s="314"/>
      <c r="F910" s="314"/>
      <c r="G910" s="314"/>
      <c r="H910" s="318"/>
      <c r="I910" s="314"/>
      <c r="J910" s="314"/>
      <c r="K910" s="314"/>
      <c r="L910" s="314"/>
      <c r="M910" s="736"/>
      <c r="N910" s="318"/>
      <c r="O910" s="318"/>
      <c r="P910" s="314"/>
      <c r="Q910" s="314"/>
      <c r="R910" s="314"/>
      <c r="S910" s="314"/>
      <c r="T910" s="314"/>
      <c r="U910" s="314"/>
      <c r="V910" s="318"/>
      <c r="W910" s="315"/>
      <c r="X910" s="314"/>
      <c r="Y910" s="776"/>
      <c r="Z910" s="314"/>
      <c r="AA910" s="314"/>
      <c r="AB910" s="697"/>
      <c r="AC910" s="318"/>
      <c r="AD910" s="314"/>
      <c r="AE910" s="314"/>
      <c r="AF910" s="324"/>
      <c r="AG910" s="155"/>
      <c r="AH910" s="155"/>
      <c r="AI910" s="322"/>
      <c r="AJ910" s="132"/>
      <c r="AK910" s="132"/>
    </row>
    <row r="911">
      <c r="A911" s="314"/>
      <c r="B911" s="313"/>
      <c r="C911" s="313"/>
      <c r="D911" s="313"/>
      <c r="E911" s="314"/>
      <c r="F911" s="314"/>
      <c r="G911" s="314"/>
      <c r="H911" s="318"/>
      <c r="I911" s="314"/>
      <c r="J911" s="314"/>
      <c r="K911" s="314"/>
      <c r="L911" s="314"/>
      <c r="M911" s="736"/>
      <c r="N911" s="318"/>
      <c r="O911" s="318"/>
      <c r="P911" s="314"/>
      <c r="Q911" s="314"/>
      <c r="R911" s="314"/>
      <c r="S911" s="314"/>
      <c r="T911" s="314"/>
      <c r="U911" s="314"/>
      <c r="V911" s="318"/>
      <c r="W911" s="315"/>
      <c r="X911" s="314"/>
      <c r="Y911" s="776"/>
      <c r="Z911" s="314"/>
      <c r="AA911" s="314"/>
      <c r="AB911" s="697"/>
      <c r="AC911" s="318"/>
      <c r="AD911" s="314"/>
      <c r="AE911" s="314"/>
      <c r="AF911" s="324"/>
      <c r="AG911" s="155"/>
      <c r="AH911" s="155"/>
      <c r="AI911" s="322"/>
      <c r="AJ911" s="132"/>
      <c r="AK911" s="132"/>
    </row>
    <row r="912">
      <c r="A912" s="314"/>
      <c r="B912" s="313"/>
      <c r="C912" s="313"/>
      <c r="D912" s="313"/>
      <c r="E912" s="314"/>
      <c r="F912" s="314"/>
      <c r="G912" s="314"/>
      <c r="H912" s="318"/>
      <c r="I912" s="314"/>
      <c r="J912" s="314"/>
      <c r="K912" s="314"/>
      <c r="L912" s="314"/>
      <c r="M912" s="736"/>
      <c r="N912" s="318"/>
      <c r="O912" s="318"/>
      <c r="P912" s="314"/>
      <c r="Q912" s="314"/>
      <c r="R912" s="314"/>
      <c r="S912" s="314"/>
      <c r="T912" s="314"/>
      <c r="U912" s="314"/>
      <c r="V912" s="318"/>
      <c r="W912" s="315"/>
      <c r="X912" s="314"/>
      <c r="Y912" s="776"/>
      <c r="Z912" s="314"/>
      <c r="AA912" s="314"/>
      <c r="AB912" s="697"/>
      <c r="AC912" s="318"/>
      <c r="AD912" s="314"/>
      <c r="AE912" s="314"/>
      <c r="AF912" s="324"/>
      <c r="AG912" s="155"/>
      <c r="AH912" s="155"/>
      <c r="AI912" s="322"/>
      <c r="AJ912" s="132"/>
      <c r="AK912" s="132"/>
    </row>
    <row r="913">
      <c r="A913" s="314"/>
      <c r="B913" s="313"/>
      <c r="C913" s="313"/>
      <c r="D913" s="313"/>
      <c r="E913" s="314"/>
      <c r="F913" s="314"/>
      <c r="G913" s="314"/>
      <c r="H913" s="318"/>
      <c r="I913" s="314"/>
      <c r="J913" s="314"/>
      <c r="K913" s="314"/>
      <c r="L913" s="314"/>
      <c r="M913" s="736"/>
      <c r="N913" s="318"/>
      <c r="O913" s="318"/>
      <c r="P913" s="314"/>
      <c r="Q913" s="314"/>
      <c r="R913" s="314"/>
      <c r="S913" s="314"/>
      <c r="T913" s="314"/>
      <c r="U913" s="314"/>
      <c r="V913" s="318"/>
      <c r="W913" s="315"/>
      <c r="X913" s="314"/>
      <c r="Y913" s="776"/>
      <c r="Z913" s="314"/>
      <c r="AA913" s="314"/>
      <c r="AB913" s="697"/>
      <c r="AC913" s="318"/>
      <c r="AD913" s="314"/>
      <c r="AE913" s="314"/>
      <c r="AF913" s="324"/>
      <c r="AG913" s="155"/>
      <c r="AH913" s="155"/>
      <c r="AI913" s="322"/>
      <c r="AJ913" s="132"/>
      <c r="AK913" s="132"/>
    </row>
    <row r="914">
      <c r="A914" s="314"/>
      <c r="B914" s="313"/>
      <c r="C914" s="313"/>
      <c r="D914" s="313"/>
      <c r="E914" s="314"/>
      <c r="F914" s="314"/>
      <c r="G914" s="314"/>
      <c r="H914" s="318"/>
      <c r="I914" s="314"/>
      <c r="J914" s="314"/>
      <c r="K914" s="314"/>
      <c r="L914" s="314"/>
      <c r="M914" s="736"/>
      <c r="N914" s="318"/>
      <c r="O914" s="318"/>
      <c r="P914" s="314"/>
      <c r="Q914" s="314"/>
      <c r="R914" s="314"/>
      <c r="S914" s="314"/>
      <c r="T914" s="314"/>
      <c r="U914" s="314"/>
      <c r="V914" s="318"/>
      <c r="W914" s="315"/>
      <c r="X914" s="314"/>
      <c r="Y914" s="776"/>
      <c r="Z914" s="314"/>
      <c r="AA914" s="314"/>
      <c r="AB914" s="697"/>
      <c r="AC914" s="318"/>
      <c r="AD914" s="314"/>
      <c r="AE914" s="314"/>
      <c r="AF914" s="324"/>
      <c r="AG914" s="155"/>
      <c r="AH914" s="155"/>
      <c r="AI914" s="322"/>
      <c r="AJ914" s="132"/>
      <c r="AK914" s="132"/>
    </row>
    <row r="915">
      <c r="A915" s="314"/>
      <c r="B915" s="313"/>
      <c r="C915" s="313"/>
      <c r="D915" s="313"/>
      <c r="E915" s="314"/>
      <c r="F915" s="314"/>
      <c r="G915" s="314"/>
      <c r="H915" s="318"/>
      <c r="I915" s="314"/>
      <c r="J915" s="314"/>
      <c r="K915" s="314"/>
      <c r="L915" s="314"/>
      <c r="M915" s="736"/>
      <c r="N915" s="318"/>
      <c r="O915" s="318"/>
      <c r="P915" s="314"/>
      <c r="Q915" s="314"/>
      <c r="R915" s="314"/>
      <c r="S915" s="314"/>
      <c r="T915" s="314"/>
      <c r="U915" s="314"/>
      <c r="V915" s="318"/>
      <c r="W915" s="315"/>
      <c r="X915" s="314"/>
      <c r="Y915" s="776"/>
      <c r="Z915" s="314"/>
      <c r="AA915" s="314"/>
      <c r="AB915" s="697"/>
      <c r="AC915" s="318"/>
      <c r="AD915" s="314"/>
      <c r="AE915" s="314"/>
      <c r="AF915" s="324"/>
      <c r="AG915" s="155"/>
      <c r="AH915" s="155"/>
      <c r="AI915" s="322"/>
      <c r="AJ915" s="132"/>
      <c r="AK915" s="132"/>
    </row>
    <row r="916">
      <c r="A916" s="314"/>
      <c r="B916" s="313"/>
      <c r="C916" s="313"/>
      <c r="D916" s="313"/>
      <c r="E916" s="314"/>
      <c r="F916" s="314"/>
      <c r="G916" s="314"/>
      <c r="H916" s="318"/>
      <c r="I916" s="314"/>
      <c r="J916" s="314"/>
      <c r="K916" s="314"/>
      <c r="L916" s="314"/>
      <c r="M916" s="736"/>
      <c r="N916" s="318"/>
      <c r="O916" s="318"/>
      <c r="P916" s="314"/>
      <c r="Q916" s="314"/>
      <c r="R916" s="314"/>
      <c r="S916" s="314"/>
      <c r="T916" s="314"/>
      <c r="U916" s="314"/>
      <c r="V916" s="318"/>
      <c r="W916" s="315"/>
      <c r="X916" s="314"/>
      <c r="Y916" s="776"/>
      <c r="Z916" s="314"/>
      <c r="AA916" s="314"/>
      <c r="AB916" s="697"/>
      <c r="AC916" s="318"/>
      <c r="AD916" s="314"/>
      <c r="AE916" s="314"/>
      <c r="AF916" s="324"/>
      <c r="AG916" s="155"/>
      <c r="AH916" s="155"/>
      <c r="AI916" s="322"/>
      <c r="AJ916" s="132"/>
      <c r="AK916" s="132"/>
    </row>
    <row r="917">
      <c r="A917" s="314"/>
      <c r="B917" s="313"/>
      <c r="C917" s="313"/>
      <c r="D917" s="313"/>
      <c r="E917" s="314"/>
      <c r="F917" s="314"/>
      <c r="G917" s="314"/>
      <c r="H917" s="318"/>
      <c r="I917" s="314"/>
      <c r="J917" s="314"/>
      <c r="K917" s="314"/>
      <c r="L917" s="314"/>
      <c r="M917" s="736"/>
      <c r="N917" s="318"/>
      <c r="O917" s="318"/>
      <c r="P917" s="314"/>
      <c r="Q917" s="314"/>
      <c r="R917" s="314"/>
      <c r="S917" s="314"/>
      <c r="T917" s="314"/>
      <c r="U917" s="314"/>
      <c r="V917" s="318"/>
      <c r="W917" s="315"/>
      <c r="X917" s="314"/>
      <c r="Y917" s="776"/>
      <c r="Z917" s="314"/>
      <c r="AA917" s="314"/>
      <c r="AB917" s="697"/>
      <c r="AC917" s="318"/>
      <c r="AD917" s="314"/>
      <c r="AE917" s="314"/>
      <c r="AF917" s="324"/>
      <c r="AG917" s="155"/>
      <c r="AH917" s="155"/>
      <c r="AI917" s="322"/>
      <c r="AJ917" s="132"/>
      <c r="AK917" s="132"/>
    </row>
    <row r="918">
      <c r="A918" s="314"/>
      <c r="B918" s="313"/>
      <c r="C918" s="313"/>
      <c r="D918" s="313"/>
      <c r="E918" s="314"/>
      <c r="F918" s="314"/>
      <c r="G918" s="314"/>
      <c r="H918" s="318"/>
      <c r="I918" s="314"/>
      <c r="J918" s="314"/>
      <c r="K918" s="314"/>
      <c r="L918" s="314"/>
      <c r="M918" s="736"/>
      <c r="N918" s="318"/>
      <c r="O918" s="318"/>
      <c r="P918" s="314"/>
      <c r="Q918" s="314"/>
      <c r="R918" s="314"/>
      <c r="S918" s="314"/>
      <c r="T918" s="314"/>
      <c r="U918" s="314"/>
      <c r="V918" s="318"/>
      <c r="W918" s="315"/>
      <c r="X918" s="314"/>
      <c r="Y918" s="776"/>
      <c r="Z918" s="314"/>
      <c r="AA918" s="314"/>
      <c r="AB918" s="697"/>
      <c r="AC918" s="318"/>
      <c r="AD918" s="314"/>
      <c r="AE918" s="314"/>
      <c r="AF918" s="324"/>
      <c r="AG918" s="155"/>
      <c r="AH918" s="155"/>
      <c r="AI918" s="322"/>
      <c r="AJ918" s="132"/>
      <c r="AK918" s="132"/>
    </row>
    <row r="919">
      <c r="A919" s="314"/>
      <c r="B919" s="313"/>
      <c r="C919" s="313"/>
      <c r="D919" s="313"/>
      <c r="E919" s="314"/>
      <c r="F919" s="314"/>
      <c r="G919" s="314"/>
      <c r="H919" s="318"/>
      <c r="I919" s="314"/>
      <c r="J919" s="314"/>
      <c r="K919" s="314"/>
      <c r="L919" s="314"/>
      <c r="M919" s="736"/>
      <c r="N919" s="318"/>
      <c r="O919" s="318"/>
      <c r="P919" s="314"/>
      <c r="Q919" s="314"/>
      <c r="R919" s="314"/>
      <c r="S919" s="314"/>
      <c r="T919" s="314"/>
      <c r="U919" s="314"/>
      <c r="V919" s="318"/>
      <c r="W919" s="315"/>
      <c r="X919" s="314"/>
      <c r="Y919" s="776"/>
      <c r="Z919" s="314"/>
      <c r="AA919" s="314"/>
      <c r="AB919" s="697"/>
      <c r="AC919" s="318"/>
      <c r="AD919" s="314"/>
      <c r="AE919" s="314"/>
      <c r="AF919" s="324"/>
      <c r="AG919" s="155"/>
      <c r="AH919" s="155"/>
      <c r="AI919" s="322"/>
      <c r="AJ919" s="132"/>
      <c r="AK919" s="132"/>
    </row>
    <row r="920">
      <c r="A920" s="314"/>
      <c r="B920" s="313"/>
      <c r="C920" s="313"/>
      <c r="D920" s="313"/>
      <c r="E920" s="314"/>
      <c r="F920" s="314"/>
      <c r="G920" s="314"/>
      <c r="H920" s="318"/>
      <c r="I920" s="314"/>
      <c r="J920" s="314"/>
      <c r="K920" s="314"/>
      <c r="L920" s="314"/>
      <c r="M920" s="736"/>
      <c r="N920" s="318"/>
      <c r="O920" s="318"/>
      <c r="P920" s="314"/>
      <c r="Q920" s="314"/>
      <c r="R920" s="314"/>
      <c r="S920" s="314"/>
      <c r="T920" s="314"/>
      <c r="U920" s="314"/>
      <c r="V920" s="318"/>
      <c r="W920" s="315"/>
      <c r="X920" s="314"/>
      <c r="Y920" s="776"/>
      <c r="Z920" s="314"/>
      <c r="AA920" s="314"/>
      <c r="AB920" s="697"/>
      <c r="AC920" s="318"/>
      <c r="AD920" s="314"/>
      <c r="AE920" s="314"/>
      <c r="AF920" s="324"/>
      <c r="AG920" s="155"/>
      <c r="AH920" s="155"/>
      <c r="AI920" s="322"/>
      <c r="AJ920" s="132"/>
      <c r="AK920" s="132"/>
    </row>
    <row r="921">
      <c r="A921" s="314"/>
      <c r="B921" s="313"/>
      <c r="C921" s="313"/>
      <c r="D921" s="313"/>
      <c r="E921" s="314"/>
      <c r="F921" s="314"/>
      <c r="G921" s="314"/>
      <c r="H921" s="318"/>
      <c r="I921" s="314"/>
      <c r="J921" s="314"/>
      <c r="K921" s="314"/>
      <c r="L921" s="314"/>
      <c r="M921" s="736"/>
      <c r="N921" s="318"/>
      <c r="O921" s="318"/>
      <c r="P921" s="314"/>
      <c r="Q921" s="314"/>
      <c r="R921" s="314"/>
      <c r="S921" s="314"/>
      <c r="T921" s="314"/>
      <c r="U921" s="314"/>
      <c r="V921" s="318"/>
      <c r="W921" s="315"/>
      <c r="X921" s="314"/>
      <c r="Y921" s="776"/>
      <c r="Z921" s="314"/>
      <c r="AA921" s="314"/>
      <c r="AB921" s="697"/>
      <c r="AC921" s="318"/>
      <c r="AD921" s="314"/>
      <c r="AE921" s="314"/>
      <c r="AF921" s="324"/>
      <c r="AG921" s="155"/>
      <c r="AH921" s="155"/>
      <c r="AI921" s="322"/>
      <c r="AJ921" s="132"/>
      <c r="AK921" s="132"/>
    </row>
    <row r="922">
      <c r="A922" s="314"/>
      <c r="B922" s="313"/>
      <c r="C922" s="313"/>
      <c r="D922" s="313"/>
      <c r="E922" s="314"/>
      <c r="F922" s="314"/>
      <c r="G922" s="314"/>
      <c r="H922" s="318"/>
      <c r="I922" s="314"/>
      <c r="J922" s="314"/>
      <c r="K922" s="314"/>
      <c r="L922" s="314"/>
      <c r="M922" s="736"/>
      <c r="N922" s="318"/>
      <c r="O922" s="318"/>
      <c r="P922" s="314"/>
      <c r="Q922" s="314"/>
      <c r="R922" s="314"/>
      <c r="S922" s="314"/>
      <c r="T922" s="314"/>
      <c r="U922" s="314"/>
      <c r="V922" s="318"/>
      <c r="W922" s="315"/>
      <c r="X922" s="314"/>
      <c r="Y922" s="776"/>
      <c r="Z922" s="314"/>
      <c r="AA922" s="314"/>
      <c r="AB922" s="697"/>
      <c r="AC922" s="318"/>
      <c r="AD922" s="314"/>
      <c r="AE922" s="314"/>
      <c r="AF922" s="324"/>
      <c r="AG922" s="155"/>
      <c r="AH922" s="155"/>
      <c r="AI922" s="322"/>
      <c r="AJ922" s="132"/>
      <c r="AK922" s="132"/>
    </row>
    <row r="923">
      <c r="A923" s="314"/>
      <c r="B923" s="313"/>
      <c r="C923" s="313"/>
      <c r="D923" s="313"/>
      <c r="E923" s="314"/>
      <c r="F923" s="314"/>
      <c r="G923" s="314"/>
      <c r="H923" s="318"/>
      <c r="I923" s="314"/>
      <c r="J923" s="314"/>
      <c r="K923" s="314"/>
      <c r="L923" s="314"/>
      <c r="M923" s="736"/>
      <c r="N923" s="318"/>
      <c r="O923" s="318"/>
      <c r="P923" s="314"/>
      <c r="Q923" s="314"/>
      <c r="R923" s="314"/>
      <c r="S923" s="314"/>
      <c r="T923" s="314"/>
      <c r="U923" s="314"/>
      <c r="V923" s="318"/>
      <c r="W923" s="315"/>
      <c r="X923" s="314"/>
      <c r="Y923" s="776"/>
      <c r="Z923" s="314"/>
      <c r="AA923" s="314"/>
      <c r="AB923" s="697"/>
      <c r="AC923" s="318"/>
      <c r="AD923" s="314"/>
      <c r="AE923" s="314"/>
      <c r="AF923" s="324"/>
      <c r="AG923" s="155"/>
      <c r="AH923" s="155"/>
      <c r="AI923" s="322"/>
      <c r="AJ923" s="132"/>
      <c r="AK923" s="132"/>
    </row>
    <row r="924">
      <c r="A924" s="314"/>
      <c r="B924" s="313"/>
      <c r="C924" s="313"/>
      <c r="D924" s="313"/>
      <c r="E924" s="314"/>
      <c r="F924" s="314"/>
      <c r="G924" s="314"/>
      <c r="H924" s="318"/>
      <c r="I924" s="314"/>
      <c r="J924" s="314"/>
      <c r="K924" s="314"/>
      <c r="L924" s="314"/>
      <c r="M924" s="736"/>
      <c r="N924" s="318"/>
      <c r="O924" s="318"/>
      <c r="P924" s="314"/>
      <c r="Q924" s="314"/>
      <c r="R924" s="314"/>
      <c r="S924" s="314"/>
      <c r="T924" s="314"/>
      <c r="U924" s="314"/>
      <c r="V924" s="318"/>
      <c r="W924" s="315"/>
      <c r="X924" s="314"/>
      <c r="Y924" s="776"/>
      <c r="Z924" s="314"/>
      <c r="AA924" s="314"/>
      <c r="AB924" s="697"/>
      <c r="AC924" s="318"/>
      <c r="AD924" s="314"/>
      <c r="AE924" s="314"/>
      <c r="AF924" s="324"/>
      <c r="AG924" s="155"/>
      <c r="AH924" s="155"/>
      <c r="AI924" s="322"/>
      <c r="AJ924" s="132"/>
      <c r="AK924" s="132"/>
    </row>
    <row r="925">
      <c r="A925" s="314"/>
      <c r="B925" s="313"/>
      <c r="C925" s="313"/>
      <c r="D925" s="313"/>
      <c r="E925" s="314"/>
      <c r="F925" s="314"/>
      <c r="G925" s="314"/>
      <c r="H925" s="318"/>
      <c r="I925" s="314"/>
      <c r="J925" s="314"/>
      <c r="K925" s="314"/>
      <c r="L925" s="314"/>
      <c r="M925" s="736"/>
      <c r="N925" s="318"/>
      <c r="O925" s="318"/>
      <c r="P925" s="314"/>
      <c r="Q925" s="314"/>
      <c r="R925" s="314"/>
      <c r="S925" s="314"/>
      <c r="T925" s="314"/>
      <c r="U925" s="314"/>
      <c r="V925" s="318"/>
      <c r="W925" s="315"/>
      <c r="X925" s="314"/>
      <c r="Y925" s="776"/>
      <c r="Z925" s="314"/>
      <c r="AA925" s="314"/>
      <c r="AB925" s="697"/>
      <c r="AC925" s="318"/>
      <c r="AD925" s="314"/>
      <c r="AE925" s="314"/>
      <c r="AF925" s="324"/>
      <c r="AG925" s="155"/>
      <c r="AH925" s="155"/>
      <c r="AI925" s="322"/>
      <c r="AJ925" s="132"/>
      <c r="AK925" s="132"/>
    </row>
    <row r="926">
      <c r="A926" s="314"/>
      <c r="B926" s="313"/>
      <c r="C926" s="313"/>
      <c r="D926" s="313"/>
      <c r="E926" s="314"/>
      <c r="F926" s="314"/>
      <c r="G926" s="314"/>
      <c r="H926" s="318"/>
      <c r="I926" s="314"/>
      <c r="J926" s="314"/>
      <c r="K926" s="314"/>
      <c r="L926" s="314"/>
      <c r="M926" s="736"/>
      <c r="N926" s="318"/>
      <c r="O926" s="318"/>
      <c r="P926" s="314"/>
      <c r="Q926" s="314"/>
      <c r="R926" s="314"/>
      <c r="S926" s="314"/>
      <c r="T926" s="314"/>
      <c r="U926" s="314"/>
      <c r="V926" s="318"/>
      <c r="W926" s="315"/>
      <c r="X926" s="314"/>
      <c r="Y926" s="776"/>
      <c r="Z926" s="314"/>
      <c r="AA926" s="314"/>
      <c r="AB926" s="697"/>
      <c r="AC926" s="318"/>
      <c r="AD926" s="314"/>
      <c r="AE926" s="314"/>
      <c r="AF926" s="324"/>
      <c r="AG926" s="155"/>
      <c r="AH926" s="155"/>
      <c r="AI926" s="322"/>
      <c r="AJ926" s="132"/>
      <c r="AK926" s="132"/>
    </row>
    <row r="927">
      <c r="A927" s="314"/>
      <c r="B927" s="313"/>
      <c r="C927" s="313"/>
      <c r="D927" s="313"/>
      <c r="E927" s="314"/>
      <c r="F927" s="314"/>
      <c r="G927" s="314"/>
      <c r="H927" s="318"/>
      <c r="I927" s="314"/>
      <c r="J927" s="314"/>
      <c r="K927" s="314"/>
      <c r="L927" s="314"/>
      <c r="M927" s="736"/>
      <c r="N927" s="318"/>
      <c r="O927" s="318"/>
      <c r="P927" s="314"/>
      <c r="Q927" s="314"/>
      <c r="R927" s="314"/>
      <c r="S927" s="314"/>
      <c r="T927" s="314"/>
      <c r="U927" s="314"/>
      <c r="V927" s="318"/>
      <c r="W927" s="315"/>
      <c r="X927" s="314"/>
      <c r="Y927" s="776"/>
      <c r="Z927" s="314"/>
      <c r="AA927" s="314"/>
      <c r="AB927" s="697"/>
      <c r="AC927" s="318"/>
      <c r="AD927" s="314"/>
      <c r="AE927" s="314"/>
      <c r="AF927" s="324"/>
      <c r="AG927" s="155"/>
      <c r="AH927" s="155"/>
      <c r="AI927" s="322"/>
      <c r="AJ927" s="132"/>
      <c r="AK927" s="132"/>
    </row>
    <row r="928">
      <c r="A928" s="314"/>
      <c r="B928" s="313"/>
      <c r="C928" s="313"/>
      <c r="D928" s="313"/>
      <c r="E928" s="314"/>
      <c r="F928" s="314"/>
      <c r="G928" s="314"/>
      <c r="H928" s="318"/>
      <c r="I928" s="314"/>
      <c r="J928" s="314"/>
      <c r="K928" s="314"/>
      <c r="L928" s="314"/>
      <c r="M928" s="736"/>
      <c r="N928" s="318"/>
      <c r="O928" s="318"/>
      <c r="P928" s="314"/>
      <c r="Q928" s="314"/>
      <c r="R928" s="314"/>
      <c r="S928" s="314"/>
      <c r="T928" s="314"/>
      <c r="U928" s="314"/>
      <c r="V928" s="318"/>
      <c r="W928" s="315"/>
      <c r="X928" s="314"/>
      <c r="Y928" s="776"/>
      <c r="Z928" s="314"/>
      <c r="AA928" s="314"/>
      <c r="AB928" s="697"/>
      <c r="AC928" s="318"/>
      <c r="AD928" s="314"/>
      <c r="AE928" s="314"/>
      <c r="AF928" s="324"/>
      <c r="AG928" s="155"/>
      <c r="AH928" s="155"/>
      <c r="AI928" s="322"/>
      <c r="AJ928" s="132"/>
      <c r="AK928" s="132"/>
    </row>
    <row r="929">
      <c r="A929" s="314"/>
      <c r="B929" s="313"/>
      <c r="C929" s="313"/>
      <c r="D929" s="313"/>
      <c r="E929" s="314"/>
      <c r="F929" s="314"/>
      <c r="G929" s="314"/>
      <c r="H929" s="318"/>
      <c r="I929" s="314"/>
      <c r="J929" s="314"/>
      <c r="K929" s="314"/>
      <c r="L929" s="314"/>
      <c r="M929" s="736"/>
      <c r="N929" s="318"/>
      <c r="O929" s="318"/>
      <c r="P929" s="314"/>
      <c r="Q929" s="314"/>
      <c r="R929" s="314"/>
      <c r="S929" s="314"/>
      <c r="T929" s="314"/>
      <c r="U929" s="314"/>
      <c r="V929" s="318"/>
      <c r="W929" s="315"/>
      <c r="X929" s="314"/>
      <c r="Y929" s="776"/>
      <c r="Z929" s="314"/>
      <c r="AA929" s="314"/>
      <c r="AB929" s="697"/>
      <c r="AC929" s="318"/>
      <c r="AD929" s="314"/>
      <c r="AE929" s="314"/>
      <c r="AF929" s="324"/>
      <c r="AG929" s="155"/>
      <c r="AH929" s="155"/>
      <c r="AI929" s="322"/>
      <c r="AJ929" s="132"/>
      <c r="AK929" s="132"/>
    </row>
    <row r="930">
      <c r="A930" s="314"/>
      <c r="B930" s="313"/>
      <c r="C930" s="313"/>
      <c r="D930" s="313"/>
      <c r="E930" s="314"/>
      <c r="F930" s="314"/>
      <c r="G930" s="314"/>
      <c r="H930" s="318"/>
      <c r="I930" s="314"/>
      <c r="J930" s="314"/>
      <c r="K930" s="314"/>
      <c r="L930" s="314"/>
      <c r="M930" s="736"/>
      <c r="N930" s="318"/>
      <c r="O930" s="318"/>
      <c r="P930" s="314"/>
      <c r="Q930" s="314"/>
      <c r="R930" s="314"/>
      <c r="S930" s="314"/>
      <c r="T930" s="314"/>
      <c r="U930" s="314"/>
      <c r="V930" s="318"/>
      <c r="W930" s="315"/>
      <c r="X930" s="314"/>
      <c r="Y930" s="776"/>
      <c r="Z930" s="314"/>
      <c r="AA930" s="314"/>
      <c r="AB930" s="697"/>
      <c r="AC930" s="318"/>
      <c r="AD930" s="314"/>
      <c r="AE930" s="314"/>
      <c r="AF930" s="324"/>
      <c r="AG930" s="155"/>
      <c r="AH930" s="155"/>
      <c r="AI930" s="322"/>
      <c r="AJ930" s="132"/>
      <c r="AK930" s="132"/>
    </row>
    <row r="931">
      <c r="A931" s="314"/>
      <c r="B931" s="313"/>
      <c r="C931" s="313"/>
      <c r="D931" s="313"/>
      <c r="E931" s="314"/>
      <c r="F931" s="314"/>
      <c r="G931" s="314"/>
      <c r="H931" s="318"/>
      <c r="I931" s="314"/>
      <c r="J931" s="314"/>
      <c r="K931" s="314"/>
      <c r="L931" s="314"/>
      <c r="M931" s="736"/>
      <c r="N931" s="318"/>
      <c r="O931" s="318"/>
      <c r="P931" s="314"/>
      <c r="Q931" s="314"/>
      <c r="R931" s="314"/>
      <c r="S931" s="314"/>
      <c r="T931" s="314"/>
      <c r="U931" s="314"/>
      <c r="V931" s="318"/>
      <c r="W931" s="315"/>
      <c r="X931" s="314"/>
      <c r="Y931" s="776"/>
      <c r="Z931" s="314"/>
      <c r="AA931" s="314"/>
      <c r="AB931" s="697"/>
      <c r="AC931" s="318"/>
      <c r="AD931" s="314"/>
      <c r="AE931" s="314"/>
      <c r="AF931" s="324"/>
      <c r="AG931" s="155"/>
      <c r="AH931" s="155"/>
      <c r="AI931" s="322"/>
      <c r="AJ931" s="132"/>
      <c r="AK931" s="132"/>
    </row>
    <row r="932">
      <c r="A932" s="314"/>
      <c r="B932" s="313"/>
      <c r="C932" s="313"/>
      <c r="D932" s="313"/>
      <c r="E932" s="314"/>
      <c r="F932" s="314"/>
      <c r="G932" s="314"/>
      <c r="H932" s="318"/>
      <c r="I932" s="314"/>
      <c r="J932" s="314"/>
      <c r="K932" s="314"/>
      <c r="L932" s="314"/>
      <c r="M932" s="736"/>
      <c r="N932" s="318"/>
      <c r="O932" s="318"/>
      <c r="P932" s="314"/>
      <c r="Q932" s="314"/>
      <c r="R932" s="314"/>
      <c r="S932" s="314"/>
      <c r="T932" s="314"/>
      <c r="U932" s="314"/>
      <c r="V932" s="318"/>
      <c r="W932" s="315"/>
      <c r="X932" s="314"/>
      <c r="Y932" s="776"/>
      <c r="Z932" s="314"/>
      <c r="AA932" s="314"/>
      <c r="AB932" s="697"/>
      <c r="AC932" s="318"/>
      <c r="AD932" s="314"/>
      <c r="AE932" s="314"/>
      <c r="AF932" s="324"/>
      <c r="AG932" s="155"/>
      <c r="AH932" s="155"/>
      <c r="AI932" s="322"/>
      <c r="AJ932" s="132"/>
      <c r="AK932" s="132"/>
    </row>
    <row r="933">
      <c r="A933" s="314"/>
      <c r="B933" s="313"/>
      <c r="C933" s="313"/>
      <c r="D933" s="313"/>
      <c r="E933" s="314"/>
      <c r="F933" s="314"/>
      <c r="G933" s="314"/>
      <c r="H933" s="318"/>
      <c r="I933" s="314"/>
      <c r="J933" s="314"/>
      <c r="K933" s="314"/>
      <c r="L933" s="314"/>
      <c r="M933" s="736"/>
      <c r="N933" s="318"/>
      <c r="O933" s="318"/>
      <c r="P933" s="314"/>
      <c r="Q933" s="314"/>
      <c r="R933" s="314"/>
      <c r="S933" s="314"/>
      <c r="T933" s="314"/>
      <c r="U933" s="314"/>
      <c r="V933" s="318"/>
      <c r="W933" s="315"/>
      <c r="X933" s="314"/>
      <c r="Y933" s="776"/>
      <c r="Z933" s="314"/>
      <c r="AA933" s="314"/>
      <c r="AB933" s="697"/>
      <c r="AC933" s="318"/>
      <c r="AD933" s="314"/>
      <c r="AE933" s="314"/>
      <c r="AF933" s="324"/>
      <c r="AG933" s="155"/>
      <c r="AH933" s="155"/>
      <c r="AI933" s="322"/>
      <c r="AJ933" s="132"/>
      <c r="AK933" s="132"/>
    </row>
    <row r="934">
      <c r="A934" s="314"/>
      <c r="B934" s="313"/>
      <c r="C934" s="313"/>
      <c r="D934" s="313"/>
      <c r="E934" s="314"/>
      <c r="F934" s="314"/>
      <c r="G934" s="314"/>
      <c r="H934" s="318"/>
      <c r="I934" s="314"/>
      <c r="J934" s="314"/>
      <c r="K934" s="314"/>
      <c r="L934" s="314"/>
      <c r="M934" s="736"/>
      <c r="N934" s="318"/>
      <c r="O934" s="318"/>
      <c r="P934" s="314"/>
      <c r="Q934" s="314"/>
      <c r="R934" s="314"/>
      <c r="S934" s="314"/>
      <c r="T934" s="314"/>
      <c r="U934" s="314"/>
      <c r="V934" s="318"/>
      <c r="W934" s="315"/>
      <c r="X934" s="314"/>
      <c r="Y934" s="776"/>
      <c r="Z934" s="314"/>
      <c r="AA934" s="314"/>
      <c r="AB934" s="697"/>
      <c r="AC934" s="318"/>
      <c r="AD934" s="314"/>
      <c r="AE934" s="314"/>
      <c r="AF934" s="324"/>
      <c r="AG934" s="155"/>
      <c r="AH934" s="155"/>
      <c r="AI934" s="322"/>
      <c r="AJ934" s="132"/>
      <c r="AK934" s="132"/>
    </row>
    <row r="935">
      <c r="A935" s="314"/>
      <c r="B935" s="313"/>
      <c r="C935" s="313"/>
      <c r="D935" s="313"/>
      <c r="E935" s="314"/>
      <c r="F935" s="314"/>
      <c r="G935" s="314"/>
      <c r="H935" s="318"/>
      <c r="I935" s="314"/>
      <c r="J935" s="314"/>
      <c r="K935" s="314"/>
      <c r="L935" s="314"/>
      <c r="M935" s="736"/>
      <c r="N935" s="318"/>
      <c r="O935" s="318"/>
      <c r="P935" s="314"/>
      <c r="Q935" s="314"/>
      <c r="R935" s="314"/>
      <c r="S935" s="314"/>
      <c r="T935" s="314"/>
      <c r="U935" s="314"/>
      <c r="V935" s="318"/>
      <c r="W935" s="315"/>
      <c r="X935" s="314"/>
      <c r="Y935" s="776"/>
      <c r="Z935" s="314"/>
      <c r="AA935" s="314"/>
      <c r="AB935" s="697"/>
      <c r="AC935" s="318"/>
      <c r="AD935" s="314"/>
      <c r="AE935" s="314"/>
      <c r="AF935" s="324"/>
      <c r="AG935" s="155"/>
      <c r="AH935" s="155"/>
      <c r="AI935" s="322"/>
      <c r="AJ935" s="132"/>
      <c r="AK935" s="132"/>
    </row>
    <row r="936">
      <c r="A936" s="314"/>
      <c r="B936" s="313"/>
      <c r="C936" s="313"/>
      <c r="D936" s="313"/>
      <c r="E936" s="314"/>
      <c r="F936" s="314"/>
      <c r="G936" s="314"/>
      <c r="H936" s="318"/>
      <c r="I936" s="314"/>
      <c r="J936" s="314"/>
      <c r="K936" s="314"/>
      <c r="L936" s="314"/>
      <c r="M936" s="736"/>
      <c r="N936" s="318"/>
      <c r="O936" s="318"/>
      <c r="P936" s="314"/>
      <c r="Q936" s="314"/>
      <c r="R936" s="314"/>
      <c r="S936" s="314"/>
      <c r="T936" s="314"/>
      <c r="U936" s="314"/>
      <c r="V936" s="318"/>
      <c r="W936" s="315"/>
      <c r="X936" s="314"/>
      <c r="Y936" s="776"/>
      <c r="Z936" s="314"/>
      <c r="AA936" s="314"/>
      <c r="AB936" s="697"/>
      <c r="AC936" s="318"/>
      <c r="AD936" s="314"/>
      <c r="AE936" s="314"/>
      <c r="AF936" s="324"/>
      <c r="AG936" s="155"/>
      <c r="AH936" s="155"/>
      <c r="AI936" s="322"/>
      <c r="AJ936" s="132"/>
      <c r="AK936" s="132"/>
    </row>
    <row r="937">
      <c r="A937" s="314"/>
      <c r="B937" s="313"/>
      <c r="C937" s="313"/>
      <c r="D937" s="313"/>
      <c r="E937" s="314"/>
      <c r="F937" s="314"/>
      <c r="G937" s="314"/>
      <c r="H937" s="318"/>
      <c r="I937" s="314"/>
      <c r="J937" s="314"/>
      <c r="K937" s="314"/>
      <c r="L937" s="314"/>
      <c r="M937" s="736"/>
      <c r="N937" s="318"/>
      <c r="O937" s="318"/>
      <c r="P937" s="314"/>
      <c r="Q937" s="314"/>
      <c r="R937" s="314"/>
      <c r="S937" s="314"/>
      <c r="T937" s="314"/>
      <c r="U937" s="314"/>
      <c r="V937" s="318"/>
      <c r="W937" s="315"/>
      <c r="X937" s="314"/>
      <c r="Y937" s="776"/>
      <c r="Z937" s="314"/>
      <c r="AA937" s="314"/>
      <c r="AB937" s="697"/>
      <c r="AC937" s="318"/>
      <c r="AD937" s="314"/>
      <c r="AE937" s="314"/>
      <c r="AF937" s="324"/>
      <c r="AG937" s="155"/>
      <c r="AH937" s="155"/>
      <c r="AI937" s="322"/>
      <c r="AJ937" s="132"/>
      <c r="AK937" s="132"/>
    </row>
    <row r="938">
      <c r="A938" s="314"/>
      <c r="B938" s="313"/>
      <c r="C938" s="313"/>
      <c r="D938" s="313"/>
      <c r="E938" s="314"/>
      <c r="F938" s="314"/>
      <c r="G938" s="314"/>
      <c r="H938" s="318"/>
      <c r="I938" s="314"/>
      <c r="J938" s="314"/>
      <c r="K938" s="314"/>
      <c r="L938" s="314"/>
      <c r="M938" s="736"/>
      <c r="N938" s="318"/>
      <c r="O938" s="318"/>
      <c r="P938" s="314"/>
      <c r="Q938" s="314"/>
      <c r="R938" s="314"/>
      <c r="S938" s="314"/>
      <c r="T938" s="314"/>
      <c r="U938" s="314"/>
      <c r="V938" s="318"/>
      <c r="W938" s="315"/>
      <c r="X938" s="314"/>
      <c r="Y938" s="776"/>
      <c r="Z938" s="314"/>
      <c r="AA938" s="314"/>
      <c r="AB938" s="697"/>
      <c r="AC938" s="318"/>
      <c r="AD938" s="314"/>
      <c r="AE938" s="314"/>
      <c r="AF938" s="324"/>
      <c r="AG938" s="155"/>
      <c r="AH938" s="155"/>
      <c r="AI938" s="322"/>
      <c r="AJ938" s="132"/>
      <c r="AK938" s="132"/>
    </row>
    <row r="939">
      <c r="A939" s="314"/>
      <c r="B939" s="313"/>
      <c r="C939" s="313"/>
      <c r="D939" s="313"/>
      <c r="E939" s="314"/>
      <c r="F939" s="314"/>
      <c r="G939" s="314"/>
      <c r="H939" s="318"/>
      <c r="I939" s="314"/>
      <c r="J939" s="314"/>
      <c r="K939" s="314"/>
      <c r="L939" s="314"/>
      <c r="M939" s="736"/>
      <c r="N939" s="318"/>
      <c r="O939" s="318"/>
      <c r="P939" s="314"/>
      <c r="Q939" s="314"/>
      <c r="R939" s="314"/>
      <c r="S939" s="314"/>
      <c r="T939" s="314"/>
      <c r="U939" s="314"/>
      <c r="V939" s="318"/>
      <c r="W939" s="315"/>
      <c r="X939" s="314"/>
      <c r="Y939" s="776"/>
      <c r="Z939" s="314"/>
      <c r="AA939" s="314"/>
      <c r="AB939" s="697"/>
      <c r="AC939" s="318"/>
      <c r="AD939" s="314"/>
      <c r="AE939" s="314"/>
      <c r="AF939" s="324"/>
      <c r="AG939" s="155"/>
      <c r="AH939" s="155"/>
      <c r="AI939" s="322"/>
      <c r="AJ939" s="132"/>
      <c r="AK939" s="132"/>
    </row>
    <row r="940">
      <c r="A940" s="314"/>
      <c r="B940" s="313"/>
      <c r="C940" s="313"/>
      <c r="D940" s="313"/>
      <c r="E940" s="314"/>
      <c r="F940" s="314"/>
      <c r="G940" s="314"/>
      <c r="H940" s="318"/>
      <c r="I940" s="314"/>
      <c r="J940" s="314"/>
      <c r="K940" s="314"/>
      <c r="L940" s="314"/>
      <c r="M940" s="736"/>
      <c r="N940" s="318"/>
      <c r="O940" s="318"/>
      <c r="P940" s="314"/>
      <c r="Q940" s="314"/>
      <c r="R940" s="314"/>
      <c r="S940" s="314"/>
      <c r="T940" s="314"/>
      <c r="U940" s="314"/>
      <c r="V940" s="318"/>
      <c r="W940" s="315"/>
      <c r="X940" s="314"/>
      <c r="Y940" s="776"/>
      <c r="Z940" s="314"/>
      <c r="AA940" s="314"/>
      <c r="AB940" s="697"/>
      <c r="AC940" s="318"/>
      <c r="AD940" s="314"/>
      <c r="AE940" s="314"/>
      <c r="AF940" s="324"/>
      <c r="AG940" s="155"/>
      <c r="AH940" s="155"/>
      <c r="AI940" s="322"/>
      <c r="AJ940" s="132"/>
      <c r="AK940" s="132"/>
    </row>
    <row r="941">
      <c r="A941" s="314"/>
      <c r="B941" s="313"/>
      <c r="C941" s="313"/>
      <c r="D941" s="313"/>
      <c r="E941" s="314"/>
      <c r="F941" s="314"/>
      <c r="G941" s="314"/>
      <c r="H941" s="318"/>
      <c r="I941" s="314"/>
      <c r="J941" s="314"/>
      <c r="K941" s="314"/>
      <c r="L941" s="314"/>
      <c r="M941" s="736"/>
      <c r="N941" s="318"/>
      <c r="O941" s="318"/>
      <c r="P941" s="314"/>
      <c r="Q941" s="314"/>
      <c r="R941" s="314"/>
      <c r="S941" s="314"/>
      <c r="T941" s="314"/>
      <c r="U941" s="314"/>
      <c r="V941" s="318"/>
      <c r="W941" s="315"/>
      <c r="X941" s="314"/>
      <c r="Y941" s="776"/>
      <c r="Z941" s="314"/>
      <c r="AA941" s="314"/>
      <c r="AB941" s="697"/>
      <c r="AC941" s="318"/>
      <c r="AD941" s="314"/>
      <c r="AE941" s="314"/>
      <c r="AF941" s="324"/>
      <c r="AG941" s="155"/>
      <c r="AH941" s="155"/>
      <c r="AI941" s="322"/>
      <c r="AJ941" s="132"/>
      <c r="AK941" s="132"/>
    </row>
    <row r="942">
      <c r="A942" s="314"/>
      <c r="B942" s="313"/>
      <c r="C942" s="313"/>
      <c r="D942" s="313"/>
      <c r="E942" s="314"/>
      <c r="F942" s="314"/>
      <c r="G942" s="314"/>
      <c r="H942" s="318"/>
      <c r="I942" s="314"/>
      <c r="J942" s="314"/>
      <c r="K942" s="314"/>
      <c r="L942" s="314"/>
      <c r="M942" s="736"/>
      <c r="N942" s="318"/>
      <c r="O942" s="318"/>
      <c r="P942" s="314"/>
      <c r="Q942" s="314"/>
      <c r="R942" s="314"/>
      <c r="S942" s="314"/>
      <c r="T942" s="314"/>
      <c r="U942" s="314"/>
      <c r="V942" s="318"/>
      <c r="W942" s="315"/>
      <c r="X942" s="314"/>
      <c r="Y942" s="776"/>
      <c r="Z942" s="314"/>
      <c r="AA942" s="314"/>
      <c r="AB942" s="697"/>
      <c r="AC942" s="318"/>
      <c r="AD942" s="314"/>
      <c r="AE942" s="314"/>
      <c r="AF942" s="324"/>
      <c r="AG942" s="155"/>
      <c r="AH942" s="155"/>
      <c r="AI942" s="322"/>
      <c r="AJ942" s="132"/>
      <c r="AK942" s="132"/>
    </row>
    <row r="943">
      <c r="A943" s="314"/>
      <c r="B943" s="313"/>
      <c r="C943" s="313"/>
      <c r="D943" s="313"/>
      <c r="E943" s="314"/>
      <c r="F943" s="314"/>
      <c r="G943" s="314"/>
      <c r="H943" s="318"/>
      <c r="I943" s="314"/>
      <c r="J943" s="314"/>
      <c r="K943" s="314"/>
      <c r="L943" s="314"/>
      <c r="M943" s="736"/>
      <c r="N943" s="318"/>
      <c r="O943" s="318"/>
      <c r="P943" s="314"/>
      <c r="Q943" s="314"/>
      <c r="R943" s="314"/>
      <c r="S943" s="314"/>
      <c r="T943" s="314"/>
      <c r="U943" s="314"/>
      <c r="V943" s="318"/>
      <c r="W943" s="315"/>
      <c r="X943" s="314"/>
      <c r="Y943" s="776"/>
      <c r="Z943" s="314"/>
      <c r="AA943" s="314"/>
      <c r="AB943" s="697"/>
      <c r="AC943" s="318"/>
      <c r="AD943" s="314"/>
      <c r="AE943" s="314"/>
      <c r="AF943" s="324"/>
      <c r="AG943" s="155"/>
      <c r="AH943" s="155"/>
      <c r="AI943" s="322"/>
      <c r="AJ943" s="132"/>
      <c r="AK943" s="132"/>
    </row>
    <row r="944">
      <c r="A944" s="314"/>
      <c r="B944" s="313"/>
      <c r="C944" s="313"/>
      <c r="D944" s="313"/>
      <c r="E944" s="314"/>
      <c r="F944" s="314"/>
      <c r="G944" s="314"/>
      <c r="H944" s="318"/>
      <c r="I944" s="314"/>
      <c r="J944" s="314"/>
      <c r="K944" s="314"/>
      <c r="L944" s="314"/>
      <c r="M944" s="736"/>
      <c r="N944" s="318"/>
      <c r="O944" s="318"/>
      <c r="P944" s="314"/>
      <c r="Q944" s="314"/>
      <c r="R944" s="314"/>
      <c r="S944" s="314"/>
      <c r="T944" s="314"/>
      <c r="U944" s="314"/>
      <c r="V944" s="318"/>
      <c r="W944" s="315"/>
      <c r="X944" s="314"/>
      <c r="Y944" s="776"/>
      <c r="Z944" s="314"/>
      <c r="AA944" s="314"/>
      <c r="AB944" s="697"/>
      <c r="AC944" s="318"/>
      <c r="AD944" s="314"/>
      <c r="AE944" s="314"/>
      <c r="AF944" s="324"/>
      <c r="AG944" s="155"/>
      <c r="AH944" s="155"/>
      <c r="AI944" s="322"/>
      <c r="AJ944" s="132"/>
      <c r="AK944" s="132"/>
    </row>
    <row r="945">
      <c r="A945" s="314"/>
      <c r="B945" s="313"/>
      <c r="C945" s="313"/>
      <c r="D945" s="313"/>
      <c r="E945" s="314"/>
      <c r="F945" s="314"/>
      <c r="G945" s="314"/>
      <c r="H945" s="318"/>
      <c r="I945" s="314"/>
      <c r="J945" s="314"/>
      <c r="K945" s="314"/>
      <c r="L945" s="314"/>
      <c r="M945" s="736"/>
      <c r="N945" s="318"/>
      <c r="O945" s="318"/>
      <c r="P945" s="314"/>
      <c r="Q945" s="314"/>
      <c r="R945" s="314"/>
      <c r="S945" s="314"/>
      <c r="T945" s="314"/>
      <c r="U945" s="314"/>
      <c r="V945" s="318"/>
      <c r="W945" s="315"/>
      <c r="X945" s="314"/>
      <c r="Y945" s="776"/>
      <c r="Z945" s="314"/>
      <c r="AA945" s="314"/>
      <c r="AB945" s="697"/>
      <c r="AC945" s="318"/>
      <c r="AD945" s="314"/>
      <c r="AE945" s="314"/>
      <c r="AF945" s="324"/>
      <c r="AG945" s="155"/>
      <c r="AH945" s="155"/>
      <c r="AI945" s="322"/>
      <c r="AJ945" s="132"/>
      <c r="AK945" s="132"/>
    </row>
    <row r="946">
      <c r="A946" s="314"/>
      <c r="B946" s="313"/>
      <c r="C946" s="313"/>
      <c r="D946" s="313"/>
      <c r="E946" s="314"/>
      <c r="F946" s="314"/>
      <c r="G946" s="314"/>
      <c r="H946" s="318"/>
      <c r="I946" s="314"/>
      <c r="J946" s="314"/>
      <c r="K946" s="314"/>
      <c r="L946" s="314"/>
      <c r="M946" s="736"/>
      <c r="N946" s="318"/>
      <c r="O946" s="318"/>
      <c r="P946" s="314"/>
      <c r="Q946" s="314"/>
      <c r="R946" s="314"/>
      <c r="S946" s="314"/>
      <c r="T946" s="314"/>
      <c r="U946" s="314"/>
      <c r="V946" s="318"/>
      <c r="W946" s="315"/>
      <c r="X946" s="314"/>
      <c r="Y946" s="776"/>
      <c r="Z946" s="314"/>
      <c r="AA946" s="314"/>
      <c r="AB946" s="697"/>
      <c r="AC946" s="318"/>
      <c r="AD946" s="314"/>
      <c r="AE946" s="314"/>
      <c r="AF946" s="324"/>
      <c r="AG946" s="155"/>
      <c r="AH946" s="155"/>
      <c r="AI946" s="322"/>
      <c r="AJ946" s="132"/>
      <c r="AK946" s="132"/>
    </row>
    <row r="947">
      <c r="A947" s="314"/>
      <c r="B947" s="313"/>
      <c r="C947" s="313"/>
      <c r="D947" s="313"/>
      <c r="E947" s="314"/>
      <c r="F947" s="314"/>
      <c r="G947" s="314"/>
      <c r="H947" s="318"/>
      <c r="I947" s="314"/>
      <c r="J947" s="314"/>
      <c r="K947" s="314"/>
      <c r="L947" s="314"/>
      <c r="M947" s="736"/>
      <c r="N947" s="318"/>
      <c r="O947" s="318"/>
      <c r="P947" s="314"/>
      <c r="Q947" s="314"/>
      <c r="R947" s="314"/>
      <c r="S947" s="314"/>
      <c r="T947" s="314"/>
      <c r="U947" s="314"/>
      <c r="V947" s="318"/>
      <c r="W947" s="315"/>
      <c r="X947" s="314"/>
      <c r="Y947" s="776"/>
      <c r="Z947" s="314"/>
      <c r="AA947" s="314"/>
      <c r="AB947" s="697"/>
      <c r="AC947" s="318"/>
      <c r="AD947" s="314"/>
      <c r="AE947" s="314"/>
      <c r="AF947" s="324"/>
      <c r="AG947" s="155"/>
      <c r="AH947" s="155"/>
      <c r="AI947" s="322"/>
      <c r="AJ947" s="132"/>
      <c r="AK947" s="132"/>
    </row>
    <row r="948">
      <c r="A948" s="314"/>
      <c r="B948" s="313"/>
      <c r="C948" s="313"/>
      <c r="D948" s="313"/>
      <c r="E948" s="314"/>
      <c r="F948" s="314"/>
      <c r="G948" s="314"/>
      <c r="H948" s="318"/>
      <c r="I948" s="314"/>
      <c r="J948" s="314"/>
      <c r="K948" s="314"/>
      <c r="L948" s="314"/>
      <c r="M948" s="736"/>
      <c r="N948" s="318"/>
      <c r="O948" s="318"/>
      <c r="P948" s="314"/>
      <c r="Q948" s="314"/>
      <c r="R948" s="314"/>
      <c r="S948" s="314"/>
      <c r="T948" s="314"/>
      <c r="U948" s="314"/>
      <c r="V948" s="318"/>
      <c r="W948" s="315"/>
      <c r="X948" s="314"/>
      <c r="Y948" s="776"/>
      <c r="Z948" s="314"/>
      <c r="AA948" s="314"/>
      <c r="AB948" s="697"/>
      <c r="AC948" s="318"/>
      <c r="AD948" s="314"/>
      <c r="AE948" s="314"/>
      <c r="AF948" s="324"/>
      <c r="AG948" s="155"/>
      <c r="AH948" s="155"/>
      <c r="AI948" s="322"/>
      <c r="AJ948" s="132"/>
      <c r="AK948" s="132"/>
    </row>
    <row r="949">
      <c r="A949" s="314"/>
      <c r="B949" s="313"/>
      <c r="C949" s="313"/>
      <c r="D949" s="313"/>
      <c r="E949" s="314"/>
      <c r="F949" s="314"/>
      <c r="G949" s="314"/>
      <c r="H949" s="318"/>
      <c r="I949" s="314"/>
      <c r="J949" s="314"/>
      <c r="K949" s="314"/>
      <c r="L949" s="314"/>
      <c r="M949" s="736"/>
      <c r="N949" s="318"/>
      <c r="O949" s="318"/>
      <c r="P949" s="314"/>
      <c r="Q949" s="314"/>
      <c r="R949" s="314"/>
      <c r="S949" s="314"/>
      <c r="T949" s="314"/>
      <c r="U949" s="314"/>
      <c r="V949" s="318"/>
      <c r="W949" s="315"/>
      <c r="X949" s="314"/>
      <c r="Y949" s="776"/>
      <c r="Z949" s="314"/>
      <c r="AA949" s="314"/>
      <c r="AB949" s="697"/>
      <c r="AC949" s="318"/>
      <c r="AD949" s="314"/>
      <c r="AE949" s="314"/>
      <c r="AF949" s="324"/>
      <c r="AG949" s="155"/>
      <c r="AH949" s="155"/>
      <c r="AI949" s="322"/>
      <c r="AJ949" s="132"/>
      <c r="AK949" s="132"/>
    </row>
    <row r="950">
      <c r="A950" s="435"/>
      <c r="B950" s="313"/>
      <c r="C950" s="437"/>
      <c r="D950" s="313"/>
      <c r="E950" s="435"/>
      <c r="F950" s="314"/>
      <c r="G950" s="314"/>
      <c r="H950" s="740"/>
      <c r="I950" s="435"/>
      <c r="J950" s="314"/>
      <c r="K950" s="435"/>
      <c r="L950" s="435"/>
      <c r="M950" s="736"/>
      <c r="N950" s="318"/>
      <c r="O950" s="318"/>
      <c r="P950" s="435"/>
      <c r="Q950" s="435"/>
      <c r="R950" s="435"/>
      <c r="S950" s="435"/>
      <c r="T950" s="435"/>
      <c r="U950" s="435"/>
      <c r="V950" s="740"/>
      <c r="W950" s="744"/>
      <c r="X950" s="435"/>
      <c r="Y950" s="781"/>
      <c r="Z950" s="435"/>
      <c r="AA950" s="435"/>
      <c r="AB950" s="743"/>
      <c r="AC950" s="740"/>
      <c r="AD950" s="435"/>
      <c r="AE950" s="435"/>
      <c r="AF950" s="324"/>
      <c r="AG950" s="180"/>
      <c r="AH950" s="155"/>
      <c r="AI950" s="322"/>
      <c r="AJ950" s="132"/>
      <c r="AK950" s="132"/>
    </row>
    <row r="951">
      <c r="A951" s="435"/>
      <c r="B951" s="313"/>
      <c r="C951" s="313"/>
      <c r="D951" s="437"/>
      <c r="E951" s="314"/>
      <c r="F951" s="314"/>
      <c r="G951" s="314"/>
      <c r="H951" s="318"/>
      <c r="I951" s="314"/>
      <c r="J951" s="314"/>
      <c r="K951" s="314"/>
      <c r="L951" s="314"/>
      <c r="M951" s="839"/>
      <c r="N951" s="740"/>
      <c r="O951" s="318"/>
      <c r="P951" s="314"/>
      <c r="Q951" s="314"/>
      <c r="R951" s="314"/>
      <c r="S951" s="314"/>
      <c r="T951" s="314"/>
      <c r="U951" s="314"/>
      <c r="V951" s="318"/>
      <c r="W951" s="315"/>
      <c r="X951" s="314"/>
      <c r="Y951" s="776"/>
      <c r="Z951" s="314"/>
      <c r="AA951" s="314"/>
      <c r="AB951" s="697"/>
      <c r="AC951" s="318"/>
      <c r="AD951" s="314"/>
      <c r="AE951" s="314"/>
      <c r="AF951" s="324"/>
      <c r="AG951" s="180"/>
      <c r="AH951" s="155"/>
      <c r="AI951" s="322"/>
      <c r="AJ951" s="132"/>
      <c r="AK951" s="132"/>
    </row>
    <row r="952">
      <c r="A952" s="435"/>
      <c r="B952" s="437"/>
      <c r="C952" s="437"/>
      <c r="D952" s="437"/>
      <c r="E952" s="435"/>
      <c r="F952" s="314"/>
      <c r="G952" s="314"/>
      <c r="H952" s="318"/>
      <c r="I952" s="435"/>
      <c r="J952" s="435"/>
      <c r="K952" s="435"/>
      <c r="L952" s="435"/>
      <c r="M952" s="839"/>
      <c r="N952" s="740"/>
      <c r="O952" s="318"/>
      <c r="P952" s="435"/>
      <c r="Q952" s="314"/>
      <c r="R952" s="435"/>
      <c r="S952" s="435"/>
      <c r="T952" s="435"/>
      <c r="U952" s="435"/>
      <c r="V952" s="740"/>
      <c r="W952" s="744"/>
      <c r="X952" s="435"/>
      <c r="Y952" s="781"/>
      <c r="Z952" s="435"/>
      <c r="AA952" s="435"/>
      <c r="AB952" s="743"/>
      <c r="AC952" s="740"/>
      <c r="AD952" s="435"/>
      <c r="AE952" s="435"/>
      <c r="AF952" s="324"/>
      <c r="AG952" s="180"/>
      <c r="AH952" s="155"/>
      <c r="AI952" s="322"/>
      <c r="AJ952" s="132"/>
      <c r="AK952" s="132"/>
    </row>
    <row r="953">
      <c r="A953" s="435"/>
      <c r="B953" s="313"/>
      <c r="C953" s="313"/>
      <c r="D953" s="437"/>
      <c r="E953" s="314"/>
      <c r="F953" s="314"/>
      <c r="G953" s="314"/>
      <c r="H953" s="318"/>
      <c r="I953" s="435"/>
      <c r="J953" s="314"/>
      <c r="K953" s="435"/>
      <c r="L953" s="314"/>
      <c r="M953" s="736"/>
      <c r="N953" s="318"/>
      <c r="O953" s="318"/>
      <c r="P953" s="314"/>
      <c r="Q953" s="435"/>
      <c r="R953" s="435"/>
      <c r="S953" s="314"/>
      <c r="T953" s="314"/>
      <c r="U953" s="314"/>
      <c r="V953" s="318"/>
      <c r="W953" s="315"/>
      <c r="X953" s="314"/>
      <c r="Y953" s="776"/>
      <c r="Z953" s="314"/>
      <c r="AA953" s="314"/>
      <c r="AB953" s="697"/>
      <c r="AC953" s="318"/>
      <c r="AD953" s="314"/>
      <c r="AE953" s="314"/>
      <c r="AF953" s="324"/>
      <c r="AG953" s="180"/>
      <c r="AH953" s="155"/>
      <c r="AI953" s="322"/>
      <c r="AJ953" s="132"/>
      <c r="AK953" s="132"/>
    </row>
    <row r="954">
      <c r="A954" s="435"/>
      <c r="B954" s="437"/>
      <c r="C954" s="437"/>
      <c r="D954" s="437"/>
      <c r="E954" s="435"/>
      <c r="F954" s="314"/>
      <c r="G954" s="314"/>
      <c r="H954" s="740"/>
      <c r="I954" s="435"/>
      <c r="J954" s="435"/>
      <c r="K954" s="435"/>
      <c r="L954" s="435"/>
      <c r="M954" s="839"/>
      <c r="N954" s="740"/>
      <c r="O954" s="318"/>
      <c r="P954" s="435"/>
      <c r="Q954" s="435"/>
      <c r="R954" s="435"/>
      <c r="S954" s="435"/>
      <c r="T954" s="435"/>
      <c r="U954" s="435"/>
      <c r="V954" s="740"/>
      <c r="W954" s="744"/>
      <c r="X954" s="435"/>
      <c r="Y954" s="781"/>
      <c r="Z954" s="435"/>
      <c r="AA954" s="435"/>
      <c r="AB954" s="743"/>
      <c r="AC954" s="740"/>
      <c r="AD954" s="435"/>
      <c r="AE954" s="435"/>
      <c r="AF954" s="324"/>
      <c r="AG954" s="180"/>
      <c r="AH954" s="155"/>
      <c r="AI954" s="322"/>
      <c r="AJ954" s="132"/>
      <c r="AK954" s="132"/>
    </row>
    <row r="955">
      <c r="A955" s="435"/>
      <c r="B955" s="437"/>
      <c r="C955" s="313"/>
      <c r="D955" s="437"/>
      <c r="E955" s="314"/>
      <c r="F955" s="314"/>
      <c r="G955" s="314"/>
      <c r="H955" s="318"/>
      <c r="I955" s="314"/>
      <c r="J955" s="314"/>
      <c r="K955" s="435"/>
      <c r="L955" s="314"/>
      <c r="M955" s="736"/>
      <c r="N955" s="318"/>
      <c r="O955" s="318"/>
      <c r="P955" s="314"/>
      <c r="Q955" s="314"/>
      <c r="R955" s="314"/>
      <c r="S955" s="435"/>
      <c r="T955" s="435"/>
      <c r="U955" s="435"/>
      <c r="V955" s="740"/>
      <c r="W955" s="744"/>
      <c r="X955" s="435"/>
      <c r="Y955" s="781"/>
      <c r="Z955" s="435"/>
      <c r="AA955" s="435"/>
      <c r="AB955" s="743"/>
      <c r="AC955" s="740"/>
      <c r="AD955" s="435"/>
      <c r="AE955" s="435"/>
      <c r="AF955" s="324"/>
      <c r="AG955" s="180"/>
      <c r="AH955" s="155"/>
      <c r="AI955" s="322"/>
      <c r="AJ955" s="132"/>
      <c r="AK955" s="132"/>
    </row>
    <row r="956">
      <c r="A956" s="435"/>
      <c r="B956" s="437"/>
      <c r="C956" s="437"/>
      <c r="D956" s="437"/>
      <c r="E956" s="435"/>
      <c r="F956" s="314"/>
      <c r="G956" s="314"/>
      <c r="H956" s="740"/>
      <c r="I956" s="314"/>
      <c r="J956" s="314"/>
      <c r="K956" s="435"/>
      <c r="L956" s="314"/>
      <c r="M956" s="736"/>
      <c r="N956" s="318"/>
      <c r="O956" s="318"/>
      <c r="P956" s="435"/>
      <c r="Q956" s="435"/>
      <c r="R956" s="435"/>
      <c r="S956" s="435"/>
      <c r="T956" s="435"/>
      <c r="U956" s="435"/>
      <c r="V956" s="740"/>
      <c r="W956" s="744"/>
      <c r="X956" s="435"/>
      <c r="Y956" s="781"/>
      <c r="Z956" s="435"/>
      <c r="AA956" s="435"/>
      <c r="AB956" s="743"/>
      <c r="AC956" s="740"/>
      <c r="AD956" s="435"/>
      <c r="AE956" s="435"/>
      <c r="AF956" s="324"/>
      <c r="AG956" s="180"/>
      <c r="AH956" s="155"/>
      <c r="AI956" s="322"/>
      <c r="AJ956" s="132"/>
      <c r="AK956" s="132"/>
    </row>
    <row r="957">
      <c r="A957" s="435"/>
      <c r="B957" s="437"/>
      <c r="C957" s="437"/>
      <c r="D957" s="437"/>
      <c r="E957" s="435"/>
      <c r="F957" s="314"/>
      <c r="G957" s="314"/>
      <c r="H957" s="740"/>
      <c r="I957" s="435"/>
      <c r="J957" s="435"/>
      <c r="K957" s="435"/>
      <c r="L957" s="435"/>
      <c r="M957" s="839"/>
      <c r="N957" s="740"/>
      <c r="O957" s="318"/>
      <c r="P957" s="435"/>
      <c r="Q957" s="435"/>
      <c r="R957" s="435"/>
      <c r="S957" s="435"/>
      <c r="T957" s="435"/>
      <c r="U957" s="435"/>
      <c r="V957" s="740"/>
      <c r="W957" s="744"/>
      <c r="X957" s="435"/>
      <c r="Y957" s="781"/>
      <c r="Z957" s="435"/>
      <c r="AA957" s="435"/>
      <c r="AB957" s="743"/>
      <c r="AC957" s="740"/>
      <c r="AD957" s="435"/>
      <c r="AE957" s="435"/>
      <c r="AF957" s="324"/>
      <c r="AG957" s="180"/>
      <c r="AH957" s="155"/>
      <c r="AI957" s="322"/>
      <c r="AJ957" s="132"/>
      <c r="AK957" s="132"/>
    </row>
    <row r="958">
      <c r="A958" s="435"/>
      <c r="B958" s="313"/>
      <c r="C958" s="313"/>
      <c r="D958" s="313"/>
      <c r="E958" s="435"/>
      <c r="F958" s="314"/>
      <c r="G958" s="314"/>
      <c r="H958" s="740"/>
      <c r="I958" s="314"/>
      <c r="J958" s="314"/>
      <c r="K958" s="314"/>
      <c r="L958" s="314"/>
      <c r="M958" s="736"/>
      <c r="N958" s="318"/>
      <c r="O958" s="318"/>
      <c r="P958" s="314"/>
      <c r="Q958" s="314"/>
      <c r="R958" s="314"/>
      <c r="S958" s="314"/>
      <c r="T958" s="314"/>
      <c r="U958" s="314"/>
      <c r="V958" s="318"/>
      <c r="W958" s="315"/>
      <c r="X958" s="314"/>
      <c r="Y958" s="776"/>
      <c r="Z958" s="314"/>
      <c r="AA958" s="314"/>
      <c r="AB958" s="697"/>
      <c r="AC958" s="318"/>
      <c r="AD958" s="314"/>
      <c r="AE958" s="314"/>
      <c r="AF958" s="324"/>
      <c r="AG958" s="180"/>
      <c r="AH958" s="155"/>
      <c r="AI958" s="322"/>
      <c r="AJ958" s="132"/>
      <c r="AK958" s="132"/>
    </row>
    <row r="959">
      <c r="A959" s="435"/>
      <c r="B959" s="313"/>
      <c r="C959" s="313"/>
      <c r="D959" s="437"/>
      <c r="E959" s="314"/>
      <c r="F959" s="314"/>
      <c r="G959" s="314"/>
      <c r="H959" s="740"/>
      <c r="I959" s="314"/>
      <c r="J959" s="435"/>
      <c r="K959" s="435"/>
      <c r="L959" s="314"/>
      <c r="M959" s="839"/>
      <c r="N959" s="318"/>
      <c r="O959" s="318"/>
      <c r="P959" s="314"/>
      <c r="Q959" s="314"/>
      <c r="R959" s="435"/>
      <c r="S959" s="435"/>
      <c r="T959" s="435"/>
      <c r="U959" s="435"/>
      <c r="V959" s="740"/>
      <c r="W959" s="744"/>
      <c r="X959" s="435"/>
      <c r="Y959" s="781"/>
      <c r="Z959" s="435"/>
      <c r="AA959" s="435"/>
      <c r="AB959" s="743"/>
      <c r="AC959" s="740"/>
      <c r="AD959" s="435"/>
      <c r="AE959" s="435"/>
      <c r="AF959" s="324"/>
      <c r="AG959" s="180"/>
      <c r="AH959" s="155"/>
      <c r="AI959" s="322"/>
      <c r="AJ959" s="132"/>
      <c r="AK959" s="132"/>
    </row>
    <row r="960">
      <c r="A960" s="435"/>
      <c r="B960" s="313"/>
      <c r="C960" s="313"/>
      <c r="D960" s="313"/>
      <c r="E960" s="314"/>
      <c r="F960" s="314"/>
      <c r="G960" s="314"/>
      <c r="H960" s="318"/>
      <c r="I960" s="314"/>
      <c r="J960" s="314"/>
      <c r="K960" s="314"/>
      <c r="L960" s="314"/>
      <c r="M960" s="736"/>
      <c r="N960" s="318"/>
      <c r="O960" s="318"/>
      <c r="P960" s="314"/>
      <c r="Q960" s="435"/>
      <c r="R960" s="314"/>
      <c r="S960" s="435"/>
      <c r="T960" s="435"/>
      <c r="U960" s="435"/>
      <c r="V960" s="740"/>
      <c r="W960" s="744"/>
      <c r="X960" s="435"/>
      <c r="Y960" s="781"/>
      <c r="Z960" s="435"/>
      <c r="AA960" s="435"/>
      <c r="AB960" s="743"/>
      <c r="AC960" s="740"/>
      <c r="AD960" s="435"/>
      <c r="AE960" s="435"/>
      <c r="AF960" s="324"/>
      <c r="AG960" s="180"/>
      <c r="AH960" s="155"/>
      <c r="AI960" s="322"/>
      <c r="AJ960" s="132"/>
      <c r="AK960" s="132"/>
    </row>
    <row r="961">
      <c r="A961" s="435"/>
      <c r="B961" s="437"/>
      <c r="C961" s="313"/>
      <c r="D961" s="313"/>
      <c r="E961" s="314"/>
      <c r="F961" s="314"/>
      <c r="G961" s="314"/>
      <c r="H961" s="740"/>
      <c r="I961" s="314"/>
      <c r="J961" s="435"/>
      <c r="K961" s="435"/>
      <c r="L961" s="314"/>
      <c r="M961" s="736"/>
      <c r="N961" s="740"/>
      <c r="O961" s="318"/>
      <c r="P961" s="314"/>
      <c r="Q961" s="314"/>
      <c r="R961" s="435"/>
      <c r="S961" s="435"/>
      <c r="T961" s="435"/>
      <c r="U961" s="435"/>
      <c r="V961" s="740"/>
      <c r="W961" s="744"/>
      <c r="X961" s="435"/>
      <c r="Y961" s="781"/>
      <c r="Z961" s="435"/>
      <c r="AA961" s="435"/>
      <c r="AB961" s="743"/>
      <c r="AC961" s="740"/>
      <c r="AD961" s="435"/>
      <c r="AE961" s="435"/>
      <c r="AF961" s="324"/>
      <c r="AG961" s="180"/>
      <c r="AH961" s="155"/>
      <c r="AI961" s="322"/>
      <c r="AJ961" s="132"/>
      <c r="AK961" s="132"/>
    </row>
    <row r="962">
      <c r="A962" s="435"/>
      <c r="B962" s="313"/>
      <c r="C962" s="437"/>
      <c r="D962" s="437"/>
      <c r="E962" s="435"/>
      <c r="F962" s="314"/>
      <c r="G962" s="314"/>
      <c r="H962" s="740"/>
      <c r="I962" s="314"/>
      <c r="J962" s="314"/>
      <c r="K962" s="435"/>
      <c r="L962" s="314"/>
      <c r="M962" s="736"/>
      <c r="N962" s="318"/>
      <c r="O962" s="318"/>
      <c r="P962" s="314"/>
      <c r="Q962" s="314"/>
      <c r="R962" s="314"/>
      <c r="S962" s="435"/>
      <c r="T962" s="435"/>
      <c r="U962" s="435"/>
      <c r="V962" s="740"/>
      <c r="W962" s="744"/>
      <c r="X962" s="435"/>
      <c r="Y962" s="781"/>
      <c r="Z962" s="435"/>
      <c r="AA962" s="435"/>
      <c r="AB962" s="743"/>
      <c r="AC962" s="740"/>
      <c r="AD962" s="435"/>
      <c r="AE962" s="435"/>
      <c r="AF962" s="324"/>
      <c r="AG962" s="180"/>
      <c r="AH962" s="155"/>
      <c r="AI962" s="322"/>
      <c r="AJ962" s="132"/>
      <c r="AK962" s="132"/>
    </row>
    <row r="963">
      <c r="A963" s="435"/>
      <c r="B963" s="313"/>
      <c r="C963" s="313"/>
      <c r="D963" s="313"/>
      <c r="E963" s="314"/>
      <c r="F963" s="314"/>
      <c r="G963" s="314"/>
      <c r="H963" s="740"/>
      <c r="I963" s="314"/>
      <c r="J963" s="314"/>
      <c r="K963" s="314"/>
      <c r="L963" s="314"/>
      <c r="M963" s="736"/>
      <c r="N963" s="318"/>
      <c r="O963" s="318"/>
      <c r="P963" s="314"/>
      <c r="Q963" s="314"/>
      <c r="R963" s="435"/>
      <c r="S963" s="314"/>
      <c r="T963" s="314"/>
      <c r="U963" s="314"/>
      <c r="V963" s="318"/>
      <c r="W963" s="315"/>
      <c r="X963" s="314"/>
      <c r="Y963" s="776"/>
      <c r="Z963" s="314"/>
      <c r="AA963" s="314"/>
      <c r="AB963" s="697"/>
      <c r="AC963" s="318"/>
      <c r="AD963" s="314"/>
      <c r="AE963" s="314"/>
      <c r="AF963" s="324"/>
      <c r="AG963" s="180"/>
      <c r="AH963" s="155"/>
      <c r="AI963" s="322"/>
      <c r="AJ963" s="132"/>
      <c r="AK963" s="132"/>
    </row>
    <row r="964">
      <c r="A964" s="435"/>
      <c r="B964" s="437"/>
      <c r="C964" s="437"/>
      <c r="D964" s="437"/>
      <c r="E964" s="435"/>
      <c r="F964" s="314"/>
      <c r="G964" s="314"/>
      <c r="H964" s="740"/>
      <c r="I964" s="435"/>
      <c r="J964" s="435"/>
      <c r="K964" s="435"/>
      <c r="L964" s="435"/>
      <c r="M964" s="839"/>
      <c r="N964" s="740"/>
      <c r="O964" s="318"/>
      <c r="P964" s="435"/>
      <c r="Q964" s="435"/>
      <c r="R964" s="435"/>
      <c r="S964" s="435"/>
      <c r="T964" s="435"/>
      <c r="U964" s="435"/>
      <c r="V964" s="740"/>
      <c r="W964" s="744"/>
      <c r="X964" s="435"/>
      <c r="Y964" s="781"/>
      <c r="Z964" s="435"/>
      <c r="AA964" s="435"/>
      <c r="AB964" s="743"/>
      <c r="AC964" s="740"/>
      <c r="AD964" s="435"/>
      <c r="AE964" s="435"/>
      <c r="AF964" s="324"/>
      <c r="AG964" s="180"/>
      <c r="AH964" s="155"/>
      <c r="AI964" s="322"/>
      <c r="AJ964" s="132"/>
      <c r="AK964" s="132"/>
    </row>
    <row r="965">
      <c r="A965" s="435"/>
      <c r="B965" s="313"/>
      <c r="C965" s="313"/>
      <c r="D965" s="313"/>
      <c r="E965" s="314"/>
      <c r="F965" s="314"/>
      <c r="G965" s="314"/>
      <c r="H965" s="318"/>
      <c r="I965" s="314"/>
      <c r="J965" s="314"/>
      <c r="K965" s="314"/>
      <c r="L965" s="314"/>
      <c r="M965" s="839"/>
      <c r="N965" s="318"/>
      <c r="O965" s="318"/>
      <c r="P965" s="314"/>
      <c r="Q965" s="314"/>
      <c r="R965" s="314"/>
      <c r="S965" s="314"/>
      <c r="T965" s="314"/>
      <c r="U965" s="314"/>
      <c r="V965" s="318"/>
      <c r="W965" s="315"/>
      <c r="X965" s="314"/>
      <c r="Y965" s="776"/>
      <c r="Z965" s="314"/>
      <c r="AA965" s="314"/>
      <c r="AB965" s="697"/>
      <c r="AC965" s="318"/>
      <c r="AD965" s="314"/>
      <c r="AE965" s="314"/>
      <c r="AF965" s="324"/>
      <c r="AG965" s="180"/>
      <c r="AH965" s="155"/>
      <c r="AI965" s="322"/>
      <c r="AJ965" s="132"/>
      <c r="AK965" s="132"/>
    </row>
    <row r="966">
      <c r="A966" s="435"/>
      <c r="B966" s="313"/>
      <c r="C966" s="437"/>
      <c r="D966" s="437"/>
      <c r="E966" s="435"/>
      <c r="F966" s="314"/>
      <c r="G966" s="314"/>
      <c r="H966" s="740"/>
      <c r="I966" s="435"/>
      <c r="J966" s="435"/>
      <c r="K966" s="435"/>
      <c r="L966" s="314"/>
      <c r="M966" s="839"/>
      <c r="N966" s="740"/>
      <c r="O966" s="318"/>
      <c r="P966" s="435"/>
      <c r="Q966" s="435"/>
      <c r="R966" s="435"/>
      <c r="S966" s="435"/>
      <c r="T966" s="435"/>
      <c r="U966" s="435"/>
      <c r="V966" s="740"/>
      <c r="W966" s="744"/>
      <c r="X966" s="435"/>
      <c r="Y966" s="781"/>
      <c r="Z966" s="435"/>
      <c r="AA966" s="435"/>
      <c r="AB966" s="743"/>
      <c r="AC966" s="740"/>
      <c r="AD966" s="435"/>
      <c r="AE966" s="435"/>
      <c r="AF966" s="324"/>
      <c r="AG966" s="180"/>
      <c r="AH966" s="155"/>
      <c r="AI966" s="322"/>
      <c r="AJ966" s="132"/>
      <c r="AK966" s="132"/>
    </row>
    <row r="967">
      <c r="A967" s="435"/>
      <c r="B967" s="437"/>
      <c r="C967" s="437"/>
      <c r="D967" s="313"/>
      <c r="E967" s="435"/>
      <c r="F967" s="314"/>
      <c r="G967" s="314"/>
      <c r="H967" s="740"/>
      <c r="I967" s="435"/>
      <c r="J967" s="314"/>
      <c r="K967" s="435"/>
      <c r="L967" s="435"/>
      <c r="M967" s="736"/>
      <c r="N967" s="740"/>
      <c r="O967" s="318"/>
      <c r="P967" s="435"/>
      <c r="Q967" s="314"/>
      <c r="R967" s="435"/>
      <c r="S967" s="435"/>
      <c r="T967" s="435"/>
      <c r="U967" s="435"/>
      <c r="V967" s="740"/>
      <c r="W967" s="744"/>
      <c r="X967" s="435"/>
      <c r="Y967" s="781"/>
      <c r="Z967" s="435"/>
      <c r="AA967" s="435"/>
      <c r="AB967" s="743"/>
      <c r="AC967" s="740"/>
      <c r="AD967" s="435"/>
      <c r="AE967" s="435"/>
      <c r="AF967" s="324"/>
      <c r="AG967" s="180"/>
      <c r="AH967" s="155"/>
      <c r="AI967" s="322"/>
      <c r="AJ967" s="132"/>
      <c r="AK967" s="132"/>
    </row>
    <row r="968">
      <c r="A968" s="458"/>
      <c r="B968" s="437"/>
      <c r="C968" s="437"/>
      <c r="D968" s="437"/>
      <c r="E968" s="435"/>
      <c r="F968" s="314"/>
      <c r="G968" s="314"/>
      <c r="H968" s="318"/>
      <c r="I968" s="435"/>
      <c r="J968" s="435"/>
      <c r="K968" s="435"/>
      <c r="L968" s="435"/>
      <c r="M968" s="839"/>
      <c r="N968" s="740"/>
      <c r="O968" s="318"/>
      <c r="P968" s="435"/>
      <c r="Q968" s="435"/>
      <c r="R968" s="435"/>
      <c r="S968" s="435"/>
      <c r="T968" s="435"/>
      <c r="U968" s="435"/>
      <c r="V968" s="740"/>
      <c r="W968" s="744"/>
      <c r="X968" s="435"/>
      <c r="Y968" s="781"/>
      <c r="Z968" s="435"/>
      <c r="AA968" s="435"/>
      <c r="AB968" s="743"/>
      <c r="AC968" s="740"/>
      <c r="AD968" s="435"/>
      <c r="AE968" s="435"/>
      <c r="AF968" s="324"/>
      <c r="AG968" s="180"/>
      <c r="AH968" s="155"/>
      <c r="AI968" s="322"/>
      <c r="AJ968" s="132"/>
      <c r="AK968" s="132"/>
    </row>
    <row r="969">
      <c r="A969" s="458"/>
      <c r="B969" s="437"/>
      <c r="C969" s="437"/>
      <c r="D969" s="437"/>
      <c r="E969" s="435"/>
      <c r="F969" s="314"/>
      <c r="G969" s="314"/>
      <c r="H969" s="318"/>
      <c r="I969" s="314"/>
      <c r="J969" s="435"/>
      <c r="K969" s="435"/>
      <c r="L969" s="435"/>
      <c r="M969" s="839"/>
      <c r="N969" s="740"/>
      <c r="O969" s="318"/>
      <c r="P969" s="435"/>
      <c r="Q969" s="435"/>
      <c r="R969" s="435"/>
      <c r="S969" s="435"/>
      <c r="T969" s="435"/>
      <c r="U969" s="435"/>
      <c r="V969" s="740"/>
      <c r="W969" s="744"/>
      <c r="X969" s="435"/>
      <c r="Y969" s="781"/>
      <c r="Z969" s="435"/>
      <c r="AA969" s="435"/>
      <c r="AB969" s="743"/>
      <c r="AC969" s="740"/>
      <c r="AD969" s="435"/>
      <c r="AE969" s="435"/>
      <c r="AF969" s="324"/>
      <c r="AG969" s="180"/>
      <c r="AH969" s="155"/>
      <c r="AI969" s="322"/>
      <c r="AJ969" s="132"/>
      <c r="AK969" s="132"/>
    </row>
    <row r="970">
      <c r="A970" s="458"/>
      <c r="B970" s="437"/>
      <c r="C970" s="437"/>
      <c r="D970" s="437"/>
      <c r="E970" s="314"/>
      <c r="F970" s="314"/>
      <c r="G970" s="314"/>
      <c r="H970" s="318"/>
      <c r="I970" s="435"/>
      <c r="J970" s="435"/>
      <c r="K970" s="435"/>
      <c r="L970" s="435"/>
      <c r="M970" s="839"/>
      <c r="N970" s="740"/>
      <c r="O970" s="318"/>
      <c r="P970" s="435"/>
      <c r="Q970" s="314"/>
      <c r="R970" s="435"/>
      <c r="S970" s="435"/>
      <c r="T970" s="435"/>
      <c r="U970" s="435"/>
      <c r="V970" s="740"/>
      <c r="W970" s="744"/>
      <c r="X970" s="435"/>
      <c r="Y970" s="781"/>
      <c r="Z970" s="435"/>
      <c r="AA970" s="435"/>
      <c r="AB970" s="743"/>
      <c r="AC970" s="740"/>
      <c r="AD970" s="435"/>
      <c r="AE970" s="435"/>
      <c r="AF970" s="324"/>
      <c r="AG970" s="180"/>
      <c r="AH970" s="155"/>
      <c r="AI970" s="322"/>
      <c r="AJ970" s="132"/>
      <c r="AK970" s="132"/>
    </row>
    <row r="971">
      <c r="A971" s="458"/>
      <c r="B971" s="313"/>
      <c r="C971" s="313"/>
      <c r="D971" s="313"/>
      <c r="E971" s="314"/>
      <c r="F971" s="314"/>
      <c r="G971" s="314"/>
      <c r="H971" s="318"/>
      <c r="I971" s="314"/>
      <c r="J971" s="314"/>
      <c r="K971" s="314"/>
      <c r="L971" s="314"/>
      <c r="M971" s="736"/>
      <c r="N971" s="318"/>
      <c r="O971" s="318"/>
      <c r="P971" s="314"/>
      <c r="Q971" s="314"/>
      <c r="R971" s="314"/>
      <c r="S971" s="314"/>
      <c r="T971" s="314"/>
      <c r="U971" s="314"/>
      <c r="V971" s="318"/>
      <c r="W971" s="315"/>
      <c r="X971" s="314"/>
      <c r="Y971" s="776"/>
      <c r="Z971" s="314"/>
      <c r="AA971" s="314"/>
      <c r="AB971" s="697"/>
      <c r="AC971" s="318"/>
      <c r="AD971" s="314"/>
      <c r="AE971" s="314"/>
      <c r="AF971" s="324"/>
      <c r="AG971" s="180"/>
      <c r="AH971" s="155"/>
      <c r="AI971" s="322"/>
      <c r="AJ971" s="132"/>
      <c r="AK971" s="132"/>
    </row>
    <row r="972">
      <c r="A972" s="458"/>
      <c r="B972" s="437"/>
      <c r="C972" s="437"/>
      <c r="D972" s="437"/>
      <c r="E972" s="314"/>
      <c r="F972" s="314"/>
      <c r="G972" s="314"/>
      <c r="H972" s="318"/>
      <c r="I972" s="314"/>
      <c r="J972" s="314"/>
      <c r="K972" s="435"/>
      <c r="L972" s="435"/>
      <c r="M972" s="839"/>
      <c r="N972" s="318"/>
      <c r="O972" s="318"/>
      <c r="P972" s="435"/>
      <c r="Q972" s="435"/>
      <c r="R972" s="435"/>
      <c r="S972" s="435"/>
      <c r="T972" s="435"/>
      <c r="U972" s="435"/>
      <c r="V972" s="740"/>
      <c r="W972" s="744"/>
      <c r="X972" s="435"/>
      <c r="Y972" s="781"/>
      <c r="Z972" s="435"/>
      <c r="AA972" s="435"/>
      <c r="AB972" s="743"/>
      <c r="AC972" s="740"/>
      <c r="AD972" s="435"/>
      <c r="AE972" s="435"/>
      <c r="AF972" s="324"/>
      <c r="AG972" s="180"/>
      <c r="AH972" s="155"/>
      <c r="AI972" s="322"/>
      <c r="AJ972" s="132"/>
      <c r="AK972" s="132"/>
    </row>
    <row r="973">
      <c r="A973" s="458"/>
      <c r="B973" s="313"/>
      <c r="C973" s="313"/>
      <c r="D973" s="437"/>
      <c r="E973" s="314"/>
      <c r="F973" s="314"/>
      <c r="G973" s="314"/>
      <c r="H973" s="318"/>
      <c r="I973" s="314"/>
      <c r="J973" s="314"/>
      <c r="K973" s="314"/>
      <c r="L973" s="314"/>
      <c r="M973" s="736"/>
      <c r="N973" s="318"/>
      <c r="O973" s="318"/>
      <c r="P973" s="314"/>
      <c r="Q973" s="314"/>
      <c r="R973" s="314"/>
      <c r="S973" s="314"/>
      <c r="T973" s="314"/>
      <c r="U973" s="314"/>
      <c r="V973" s="318"/>
      <c r="W973" s="315"/>
      <c r="X973" s="314"/>
      <c r="Y973" s="776"/>
      <c r="Z973" s="314"/>
      <c r="AA973" s="314"/>
      <c r="AB973" s="697"/>
      <c r="AC973" s="318"/>
      <c r="AD973" s="314"/>
      <c r="AE973" s="314"/>
      <c r="AF973" s="324"/>
      <c r="AG973" s="180"/>
      <c r="AH973" s="155"/>
      <c r="AI973" s="322"/>
      <c r="AJ973" s="132"/>
      <c r="AK973" s="132"/>
    </row>
    <row r="974">
      <c r="A974" s="458"/>
      <c r="B974" s="313"/>
      <c r="C974" s="437"/>
      <c r="D974" s="313"/>
      <c r="E974" s="314"/>
      <c r="F974" s="314"/>
      <c r="G974" s="314"/>
      <c r="H974" s="318"/>
      <c r="I974" s="435"/>
      <c r="J974" s="314"/>
      <c r="K974" s="314"/>
      <c r="L974" s="435"/>
      <c r="M974" s="736"/>
      <c r="N974" s="318"/>
      <c r="O974" s="318"/>
      <c r="P974" s="314"/>
      <c r="Q974" s="435"/>
      <c r="R974" s="435"/>
      <c r="S974" s="435"/>
      <c r="T974" s="435"/>
      <c r="U974" s="435"/>
      <c r="V974" s="740"/>
      <c r="W974" s="744"/>
      <c r="X974" s="435"/>
      <c r="Y974" s="781"/>
      <c r="Z974" s="435"/>
      <c r="AA974" s="435"/>
      <c r="AB974" s="743"/>
      <c r="AC974" s="740"/>
      <c r="AD974" s="435"/>
      <c r="AE974" s="435"/>
      <c r="AF974" s="324"/>
      <c r="AG974" s="180"/>
      <c r="AH974" s="155"/>
      <c r="AI974" s="322"/>
      <c r="AJ974" s="132"/>
      <c r="AK974" s="132"/>
    </row>
    <row r="975">
      <c r="A975" s="458"/>
      <c r="B975" s="313"/>
      <c r="C975" s="437"/>
      <c r="D975" s="437"/>
      <c r="E975" s="435"/>
      <c r="F975" s="314"/>
      <c r="G975" s="314"/>
      <c r="H975" s="740"/>
      <c r="I975" s="435"/>
      <c r="J975" s="314"/>
      <c r="K975" s="435"/>
      <c r="L975" s="435"/>
      <c r="M975" s="736"/>
      <c r="N975" s="318"/>
      <c r="O975" s="318"/>
      <c r="P975" s="435"/>
      <c r="Q975" s="435"/>
      <c r="R975" s="435"/>
      <c r="S975" s="435"/>
      <c r="T975" s="435"/>
      <c r="U975" s="435"/>
      <c r="V975" s="740"/>
      <c r="W975" s="744"/>
      <c r="X975" s="435"/>
      <c r="Y975" s="781"/>
      <c r="Z975" s="435"/>
      <c r="AA975" s="435"/>
      <c r="AB975" s="743"/>
      <c r="AC975" s="740"/>
      <c r="AD975" s="435"/>
      <c r="AE975" s="435"/>
      <c r="AF975" s="324"/>
      <c r="AG975" s="180"/>
      <c r="AH975" s="155"/>
      <c r="AI975" s="322"/>
      <c r="AJ975" s="132"/>
      <c r="AK975" s="132"/>
    </row>
    <row r="976">
      <c r="A976" s="458"/>
      <c r="B976" s="313"/>
      <c r="C976" s="437"/>
      <c r="D976" s="437"/>
      <c r="E976" s="314"/>
      <c r="F976" s="314"/>
      <c r="G976" s="314"/>
      <c r="H976" s="318"/>
      <c r="I976" s="314"/>
      <c r="J976" s="314"/>
      <c r="K976" s="435"/>
      <c r="L976" s="314"/>
      <c r="M976" s="736"/>
      <c r="N976" s="318"/>
      <c r="O976" s="318"/>
      <c r="P976" s="314"/>
      <c r="Q976" s="314"/>
      <c r="R976" s="435"/>
      <c r="S976" s="435"/>
      <c r="T976" s="435"/>
      <c r="U976" s="435"/>
      <c r="V976" s="740"/>
      <c r="W976" s="744"/>
      <c r="X976" s="435"/>
      <c r="Y976" s="781"/>
      <c r="Z976" s="435"/>
      <c r="AA976" s="435"/>
      <c r="AB976" s="743"/>
      <c r="AC976" s="740"/>
      <c r="AD976" s="435"/>
      <c r="AE976" s="435"/>
      <c r="AF976" s="324"/>
      <c r="AG976" s="180"/>
      <c r="AH976" s="155"/>
      <c r="AI976" s="322"/>
      <c r="AJ976" s="132"/>
      <c r="AK976" s="132"/>
    </row>
    <row r="977">
      <c r="A977" s="458"/>
      <c r="B977" s="437"/>
      <c r="C977" s="437"/>
      <c r="D977" s="437"/>
      <c r="E977" s="435"/>
      <c r="F977" s="314"/>
      <c r="G977" s="314"/>
      <c r="H977" s="740"/>
      <c r="I977" s="435"/>
      <c r="J977" s="435"/>
      <c r="K977" s="435"/>
      <c r="L977" s="435"/>
      <c r="M977" s="839"/>
      <c r="N977" s="740"/>
      <c r="O977" s="318"/>
      <c r="P977" s="435"/>
      <c r="Q977" s="435"/>
      <c r="R977" s="435"/>
      <c r="S977" s="435"/>
      <c r="T977" s="435"/>
      <c r="U977" s="435"/>
      <c r="V977" s="740"/>
      <c r="W977" s="744"/>
      <c r="X977" s="435"/>
      <c r="Y977" s="781"/>
      <c r="Z977" s="435"/>
      <c r="AA977" s="435"/>
      <c r="AB977" s="743"/>
      <c r="AC977" s="740"/>
      <c r="AD977" s="435"/>
      <c r="AE977" s="435"/>
      <c r="AF977" s="324"/>
      <c r="AG977" s="180"/>
      <c r="AH977" s="155"/>
      <c r="AI977" s="322"/>
      <c r="AJ977" s="132"/>
      <c r="AK977" s="132"/>
    </row>
    <row r="978">
      <c r="A978" s="435"/>
      <c r="B978" s="437"/>
      <c r="C978" s="437"/>
      <c r="D978" s="437"/>
      <c r="E978" s="435"/>
      <c r="F978" s="314"/>
      <c r="G978" s="314"/>
      <c r="H978" s="740"/>
      <c r="I978" s="435"/>
      <c r="J978" s="435"/>
      <c r="K978" s="435"/>
      <c r="L978" s="435"/>
      <c r="M978" s="839"/>
      <c r="N978" s="740"/>
      <c r="O978" s="318"/>
      <c r="P978" s="435"/>
      <c r="Q978" s="435"/>
      <c r="R978" s="435"/>
      <c r="S978" s="435"/>
      <c r="T978" s="435"/>
      <c r="U978" s="435"/>
      <c r="V978" s="740"/>
      <c r="W978" s="744"/>
      <c r="X978" s="435"/>
      <c r="Y978" s="781"/>
      <c r="Z978" s="435"/>
      <c r="AA978" s="435"/>
      <c r="AB978" s="743"/>
      <c r="AC978" s="740"/>
      <c r="AD978" s="435"/>
      <c r="AE978" s="435"/>
      <c r="AF978" s="324"/>
      <c r="AG978" s="180"/>
      <c r="AH978" s="155"/>
      <c r="AI978" s="322"/>
      <c r="AJ978" s="132"/>
      <c r="AK978" s="132"/>
    </row>
    <row r="979">
      <c r="A979" s="474"/>
      <c r="B979" s="437"/>
      <c r="C979" s="437"/>
      <c r="D979" s="437"/>
      <c r="E979" s="435"/>
      <c r="F979" s="314"/>
      <c r="G979" s="314"/>
      <c r="H979" s="740"/>
      <c r="I979" s="435"/>
      <c r="J979" s="435"/>
      <c r="K979" s="435"/>
      <c r="L979" s="435"/>
      <c r="M979" s="839"/>
      <c r="N979" s="740"/>
      <c r="O979" s="318"/>
      <c r="P979" s="435"/>
      <c r="Q979" s="435"/>
      <c r="R979" s="435"/>
      <c r="S979" s="435"/>
      <c r="T979" s="435"/>
      <c r="U979" s="435"/>
      <c r="V979" s="740"/>
      <c r="W979" s="744"/>
      <c r="X979" s="435"/>
      <c r="Y979" s="781"/>
      <c r="Z979" s="435"/>
      <c r="AA979" s="435"/>
      <c r="AB979" s="743"/>
      <c r="AC979" s="740"/>
      <c r="AD979" s="435"/>
      <c r="AE979" s="435"/>
      <c r="AF979" s="324"/>
      <c r="AG979" s="180"/>
      <c r="AH979" s="155"/>
      <c r="AI979" s="322"/>
      <c r="AJ979" s="132"/>
      <c r="AK979" s="132"/>
    </row>
    <row r="980">
      <c r="A980" s="474"/>
      <c r="B980" s="437"/>
      <c r="C980" s="313"/>
      <c r="D980" s="437"/>
      <c r="E980" s="435"/>
      <c r="F980" s="314"/>
      <c r="G980" s="314"/>
      <c r="H980" s="740"/>
      <c r="I980" s="435"/>
      <c r="J980" s="435"/>
      <c r="K980" s="314"/>
      <c r="L980" s="314"/>
      <c r="M980" s="736"/>
      <c r="N980" s="740"/>
      <c r="O980" s="318"/>
      <c r="P980" s="314"/>
      <c r="Q980" s="435"/>
      <c r="R980" s="314"/>
      <c r="S980" s="435"/>
      <c r="T980" s="435"/>
      <c r="U980" s="435"/>
      <c r="V980" s="740"/>
      <c r="W980" s="744"/>
      <c r="X980" s="435"/>
      <c r="Y980" s="781"/>
      <c r="Z980" s="435"/>
      <c r="AA980" s="435"/>
      <c r="AB980" s="743"/>
      <c r="AC980" s="740"/>
      <c r="AD980" s="435"/>
      <c r="AE980" s="435"/>
      <c r="AF980" s="324"/>
      <c r="AG980" s="180"/>
      <c r="AH980" s="155"/>
      <c r="AI980" s="322"/>
      <c r="AJ980" s="132"/>
      <c r="AK980" s="132"/>
    </row>
    <row r="981">
      <c r="A981" s="474"/>
      <c r="B981" s="313"/>
      <c r="C981" s="313"/>
      <c r="D981" s="313"/>
      <c r="E981" s="314"/>
      <c r="F981" s="314"/>
      <c r="G981" s="314"/>
      <c r="H981" s="318"/>
      <c r="I981" s="314"/>
      <c r="J981" s="314"/>
      <c r="K981" s="435"/>
      <c r="L981" s="314"/>
      <c r="M981" s="736"/>
      <c r="N981" s="318"/>
      <c r="O981" s="318"/>
      <c r="P981" s="435"/>
      <c r="Q981" s="314"/>
      <c r="R981" s="314"/>
      <c r="S981" s="314"/>
      <c r="T981" s="314"/>
      <c r="U981" s="314"/>
      <c r="V981" s="318"/>
      <c r="W981" s="315"/>
      <c r="X981" s="314"/>
      <c r="Y981" s="776"/>
      <c r="Z981" s="314"/>
      <c r="AA981" s="314"/>
      <c r="AB981" s="697"/>
      <c r="AC981" s="318"/>
      <c r="AD981" s="314"/>
      <c r="AE981" s="314"/>
      <c r="AF981" s="324"/>
      <c r="AG981" s="180"/>
      <c r="AH981" s="155"/>
      <c r="AI981" s="322"/>
      <c r="AJ981" s="132"/>
      <c r="AK981" s="132"/>
    </row>
    <row r="982">
      <c r="A982" s="474"/>
      <c r="B982" s="313"/>
      <c r="C982" s="437"/>
      <c r="D982" s="437"/>
      <c r="E982" s="314"/>
      <c r="F982" s="314"/>
      <c r="G982" s="314"/>
      <c r="H982" s="318"/>
      <c r="I982" s="435"/>
      <c r="J982" s="314"/>
      <c r="K982" s="314"/>
      <c r="L982" s="314"/>
      <c r="M982" s="736"/>
      <c r="N982" s="318"/>
      <c r="O982" s="318"/>
      <c r="P982" s="314"/>
      <c r="Q982" s="314"/>
      <c r="R982" s="314"/>
      <c r="S982" s="314"/>
      <c r="T982" s="314"/>
      <c r="U982" s="314"/>
      <c r="V982" s="318"/>
      <c r="W982" s="315"/>
      <c r="X982" s="314"/>
      <c r="Y982" s="776"/>
      <c r="Z982" s="314"/>
      <c r="AA982" s="314"/>
      <c r="AB982" s="697"/>
      <c r="AC982" s="318"/>
      <c r="AD982" s="314"/>
      <c r="AE982" s="314"/>
      <c r="AF982" s="324"/>
      <c r="AG982" s="180"/>
      <c r="AH982" s="155"/>
      <c r="AI982" s="322"/>
      <c r="AJ982" s="132"/>
      <c r="AK982" s="132"/>
    </row>
    <row r="983">
      <c r="A983" s="474"/>
      <c r="B983" s="313"/>
      <c r="C983" s="313"/>
      <c r="D983" s="313"/>
      <c r="E983" s="314"/>
      <c r="F983" s="314"/>
      <c r="G983" s="314"/>
      <c r="H983" s="318"/>
      <c r="I983" s="314"/>
      <c r="J983" s="314"/>
      <c r="K983" s="435"/>
      <c r="L983" s="314"/>
      <c r="M983" s="736"/>
      <c r="N983" s="318"/>
      <c r="O983" s="318"/>
      <c r="P983" s="314"/>
      <c r="Q983" s="314"/>
      <c r="R983" s="314"/>
      <c r="S983" s="314"/>
      <c r="T983" s="314"/>
      <c r="U983" s="314"/>
      <c r="V983" s="318"/>
      <c r="W983" s="315"/>
      <c r="X983" s="314"/>
      <c r="Y983" s="776"/>
      <c r="Z983" s="314"/>
      <c r="AA983" s="314"/>
      <c r="AB983" s="697"/>
      <c r="AC983" s="318"/>
      <c r="AD983" s="314"/>
      <c r="AE983" s="314"/>
      <c r="AF983" s="324"/>
      <c r="AG983" s="180"/>
      <c r="AH983" s="155"/>
      <c r="AI983" s="322"/>
      <c r="AJ983" s="132"/>
      <c r="AK983" s="132"/>
    </row>
    <row r="984">
      <c r="A984" s="458"/>
      <c r="B984" s="313"/>
      <c r="C984" s="437"/>
      <c r="D984" s="313"/>
      <c r="E984" s="314"/>
      <c r="F984" s="314"/>
      <c r="G984" s="314"/>
      <c r="H984" s="318"/>
      <c r="I984" s="314"/>
      <c r="J984" s="435"/>
      <c r="K984" s="435"/>
      <c r="L984" s="314"/>
      <c r="M984" s="736"/>
      <c r="N984" s="318"/>
      <c r="O984" s="318"/>
      <c r="P984" s="314"/>
      <c r="Q984" s="314"/>
      <c r="R984" s="314"/>
      <c r="S984" s="314"/>
      <c r="T984" s="314"/>
      <c r="U984" s="314"/>
      <c r="V984" s="318"/>
      <c r="W984" s="315"/>
      <c r="X984" s="314"/>
      <c r="Y984" s="776"/>
      <c r="Z984" s="314"/>
      <c r="AA984" s="314"/>
      <c r="AB984" s="697"/>
      <c r="AC984" s="318"/>
      <c r="AD984" s="314"/>
      <c r="AE984" s="314"/>
      <c r="AF984" s="324"/>
      <c r="AG984" s="180"/>
      <c r="AH984" s="155"/>
      <c r="AI984" s="322"/>
      <c r="AJ984" s="132"/>
      <c r="AK984" s="132"/>
    </row>
    <row r="985">
      <c r="A985" s="435"/>
      <c r="B985" s="313"/>
      <c r="C985" s="437"/>
      <c r="D985" s="437"/>
      <c r="E985" s="435"/>
      <c r="F985" s="314"/>
      <c r="G985" s="314"/>
      <c r="H985" s="740"/>
      <c r="I985" s="314"/>
      <c r="J985" s="314"/>
      <c r="K985" s="435"/>
      <c r="L985" s="314"/>
      <c r="M985" s="839"/>
      <c r="N985" s="740"/>
      <c r="O985" s="318"/>
      <c r="P985" s="314"/>
      <c r="Q985" s="314"/>
      <c r="R985" s="435"/>
      <c r="S985" s="314"/>
      <c r="T985" s="314"/>
      <c r="U985" s="314"/>
      <c r="V985" s="318"/>
      <c r="W985" s="315"/>
      <c r="X985" s="314"/>
      <c r="Y985" s="776"/>
      <c r="Z985" s="314"/>
      <c r="AA985" s="314"/>
      <c r="AB985" s="697"/>
      <c r="AC985" s="318"/>
      <c r="AD985" s="314"/>
      <c r="AE985" s="314"/>
      <c r="AF985" s="324"/>
      <c r="AG985" s="180"/>
      <c r="AH985" s="155"/>
      <c r="AI985" s="322"/>
      <c r="AJ985" s="132"/>
      <c r="AK985" s="132"/>
    </row>
    <row r="986">
      <c r="A986" s="435"/>
      <c r="B986" s="437"/>
      <c r="C986" s="313"/>
      <c r="D986" s="313"/>
      <c r="E986" s="314"/>
      <c r="F986" s="314"/>
      <c r="G986" s="314"/>
      <c r="H986" s="318"/>
      <c r="I986" s="314"/>
      <c r="J986" s="314"/>
      <c r="K986" s="314"/>
      <c r="L986" s="314"/>
      <c r="M986" s="736"/>
      <c r="N986" s="318"/>
      <c r="O986" s="318"/>
      <c r="P986" s="435"/>
      <c r="Q986" s="314"/>
      <c r="R986" s="314"/>
      <c r="S986" s="314"/>
      <c r="T986" s="314"/>
      <c r="U986" s="314"/>
      <c r="V986" s="318"/>
      <c r="W986" s="315"/>
      <c r="X986" s="314"/>
      <c r="Y986" s="776"/>
      <c r="Z986" s="314"/>
      <c r="AA986" s="314"/>
      <c r="AB986" s="697"/>
      <c r="AC986" s="318"/>
      <c r="AD986" s="314"/>
      <c r="AE986" s="314"/>
      <c r="AF986" s="324"/>
      <c r="AG986" s="180"/>
      <c r="AH986" s="155"/>
      <c r="AI986" s="322"/>
      <c r="AJ986" s="132"/>
      <c r="AK986" s="132"/>
    </row>
    <row r="987">
      <c r="A987" s="435"/>
      <c r="B987" s="437"/>
      <c r="C987" s="313"/>
      <c r="D987" s="313"/>
      <c r="E987" s="314"/>
      <c r="F987" s="314"/>
      <c r="G987" s="314"/>
      <c r="H987" s="318"/>
      <c r="I987" s="314"/>
      <c r="J987" s="314"/>
      <c r="K987" s="314"/>
      <c r="L987" s="314"/>
      <c r="M987" s="736"/>
      <c r="N987" s="318"/>
      <c r="O987" s="318"/>
      <c r="P987" s="314"/>
      <c r="Q987" s="435"/>
      <c r="R987" s="314"/>
      <c r="S987" s="435"/>
      <c r="T987" s="435"/>
      <c r="U987" s="435"/>
      <c r="V987" s="740"/>
      <c r="W987" s="744"/>
      <c r="X987" s="435"/>
      <c r="Y987" s="781"/>
      <c r="Z987" s="435"/>
      <c r="AA987" s="435"/>
      <c r="AB987" s="743"/>
      <c r="AC987" s="740"/>
      <c r="AD987" s="435"/>
      <c r="AE987" s="435"/>
      <c r="AF987" s="324"/>
      <c r="AG987" s="180"/>
      <c r="AH987" s="155"/>
      <c r="AI987" s="322"/>
      <c r="AJ987" s="132"/>
      <c r="AK987" s="132"/>
    </row>
    <row r="988">
      <c r="A988" s="435"/>
      <c r="B988" s="313"/>
      <c r="C988" s="437"/>
      <c r="D988" s="313"/>
      <c r="E988" s="314"/>
      <c r="F988" s="314"/>
      <c r="G988" s="314"/>
      <c r="H988" s="318"/>
      <c r="I988" s="314"/>
      <c r="J988" s="314"/>
      <c r="K988" s="314"/>
      <c r="L988" s="314"/>
      <c r="M988" s="736"/>
      <c r="N988" s="318"/>
      <c r="O988" s="318"/>
      <c r="P988" s="314"/>
      <c r="Q988" s="314"/>
      <c r="R988" s="435"/>
      <c r="S988" s="314"/>
      <c r="T988" s="314"/>
      <c r="U988" s="314"/>
      <c r="V988" s="318"/>
      <c r="W988" s="315"/>
      <c r="X988" s="314"/>
      <c r="Y988" s="776"/>
      <c r="Z988" s="314"/>
      <c r="AA988" s="314"/>
      <c r="AB988" s="697"/>
      <c r="AC988" s="318"/>
      <c r="AD988" s="314"/>
      <c r="AE988" s="314"/>
      <c r="AF988" s="324"/>
      <c r="AG988" s="180"/>
      <c r="AH988" s="155"/>
      <c r="AI988" s="322"/>
      <c r="AJ988" s="132"/>
      <c r="AK988" s="132"/>
    </row>
    <row r="989">
      <c r="A989" s="435"/>
      <c r="B989" s="313"/>
      <c r="C989" s="313"/>
      <c r="D989" s="313"/>
      <c r="E989" s="314"/>
      <c r="F989" s="314"/>
      <c r="G989" s="314"/>
      <c r="H989" s="318"/>
      <c r="I989" s="314"/>
      <c r="J989" s="314"/>
      <c r="K989" s="435"/>
      <c r="L989" s="314"/>
      <c r="M989" s="839"/>
      <c r="N989" s="318"/>
      <c r="O989" s="318"/>
      <c r="P989" s="314"/>
      <c r="Q989" s="435"/>
      <c r="R989" s="314"/>
      <c r="S989" s="314"/>
      <c r="T989" s="314"/>
      <c r="U989" s="314"/>
      <c r="V989" s="318"/>
      <c r="W989" s="315"/>
      <c r="X989" s="314"/>
      <c r="Y989" s="776"/>
      <c r="Z989" s="314"/>
      <c r="AA989" s="314"/>
      <c r="AB989" s="697"/>
      <c r="AC989" s="318"/>
      <c r="AD989" s="314"/>
      <c r="AE989" s="314"/>
      <c r="AF989" s="324"/>
      <c r="AG989" s="180"/>
      <c r="AH989" s="155"/>
      <c r="AI989" s="322"/>
      <c r="AJ989" s="132"/>
      <c r="AK989" s="132"/>
    </row>
    <row r="990">
      <c r="A990" s="435"/>
      <c r="B990" s="313"/>
      <c r="C990" s="437"/>
      <c r="D990" s="437"/>
      <c r="E990" s="314"/>
      <c r="F990" s="314"/>
      <c r="G990" s="314"/>
      <c r="H990" s="318"/>
      <c r="I990" s="314"/>
      <c r="J990" s="314"/>
      <c r="K990" s="435"/>
      <c r="L990" s="314"/>
      <c r="M990" s="839"/>
      <c r="N990" s="318"/>
      <c r="O990" s="318"/>
      <c r="P990" s="314"/>
      <c r="Q990" s="435"/>
      <c r="R990" s="314"/>
      <c r="S990" s="314"/>
      <c r="T990" s="314"/>
      <c r="U990" s="314"/>
      <c r="V990" s="318"/>
      <c r="W990" s="315"/>
      <c r="X990" s="314"/>
      <c r="Y990" s="776"/>
      <c r="Z990" s="314"/>
      <c r="AA990" s="314"/>
      <c r="AB990" s="697"/>
      <c r="AC990" s="318"/>
      <c r="AD990" s="314"/>
      <c r="AE990" s="314"/>
      <c r="AF990" s="324"/>
      <c r="AG990" s="180"/>
      <c r="AH990" s="155"/>
      <c r="AI990" s="322"/>
      <c r="AJ990" s="132"/>
      <c r="AK990" s="132"/>
    </row>
    <row r="991">
      <c r="A991" s="476"/>
      <c r="AH991" s="176"/>
      <c r="AI991" s="322"/>
      <c r="AJ991" s="132"/>
      <c r="AK991" s="132"/>
    </row>
    <row r="992">
      <c r="A992" s="178"/>
      <c r="AI992" s="322"/>
      <c r="AJ992" s="132"/>
      <c r="AK992" s="132"/>
    </row>
    <row r="993">
      <c r="A993" s="474"/>
      <c r="B993" s="437"/>
      <c r="C993" s="437"/>
      <c r="D993" s="437"/>
      <c r="E993" s="435"/>
      <c r="F993" s="314"/>
      <c r="G993" s="314"/>
      <c r="H993" s="318"/>
      <c r="I993" s="435"/>
      <c r="J993" s="435"/>
      <c r="K993" s="435"/>
      <c r="L993" s="435"/>
      <c r="M993" s="839"/>
      <c r="N993" s="740"/>
      <c r="O993" s="318"/>
      <c r="P993" s="435"/>
      <c r="Q993" s="435"/>
      <c r="R993" s="435"/>
      <c r="S993" s="435"/>
      <c r="T993" s="435"/>
      <c r="U993" s="435"/>
      <c r="V993" s="740"/>
      <c r="W993" s="744"/>
      <c r="X993" s="435"/>
      <c r="Y993" s="781"/>
      <c r="Z993" s="435"/>
      <c r="AA993" s="435"/>
      <c r="AB993" s="743"/>
      <c r="AC993" s="740"/>
      <c r="AD993" s="435"/>
      <c r="AE993" s="435"/>
      <c r="AF993" s="324"/>
      <c r="AG993" s="180"/>
      <c r="AH993" s="155"/>
      <c r="AI993" s="322"/>
      <c r="AJ993" s="132"/>
      <c r="AK993" s="132"/>
    </row>
    <row r="994">
      <c r="A994" s="474"/>
      <c r="B994" s="313"/>
      <c r="C994" s="437"/>
      <c r="D994" s="437"/>
      <c r="E994" s="435"/>
      <c r="F994" s="314"/>
      <c r="G994" s="314"/>
      <c r="H994" s="740"/>
      <c r="I994" s="314"/>
      <c r="J994" s="435"/>
      <c r="K994" s="435"/>
      <c r="L994" s="435"/>
      <c r="M994" s="736"/>
      <c r="N994" s="318"/>
      <c r="O994" s="318"/>
      <c r="P994" s="435"/>
      <c r="Q994" s="435"/>
      <c r="R994" s="435"/>
      <c r="S994" s="435"/>
      <c r="T994" s="435"/>
      <c r="U994" s="435"/>
      <c r="V994" s="740"/>
      <c r="W994" s="744"/>
      <c r="X994" s="435"/>
      <c r="Y994" s="781"/>
      <c r="Z994" s="435"/>
      <c r="AA994" s="435"/>
      <c r="AB994" s="743"/>
      <c r="AC994" s="740"/>
      <c r="AD994" s="435"/>
      <c r="AE994" s="435"/>
      <c r="AF994" s="324"/>
      <c r="AG994" s="180"/>
      <c r="AH994" s="155"/>
      <c r="AI994" s="322"/>
      <c r="AJ994" s="132"/>
      <c r="AK994" s="132"/>
    </row>
    <row r="995">
      <c r="A995" s="477"/>
      <c r="B995" s="437"/>
      <c r="C995" s="437"/>
      <c r="D995" s="437"/>
      <c r="E995" s="314"/>
      <c r="F995" s="314"/>
      <c r="G995" s="314"/>
      <c r="H995" s="740"/>
      <c r="I995" s="435"/>
      <c r="J995" s="435"/>
      <c r="K995" s="435"/>
      <c r="L995" s="435"/>
      <c r="M995" s="839"/>
      <c r="N995" s="740"/>
      <c r="O995" s="318"/>
      <c r="P995" s="435"/>
      <c r="Q995" s="435"/>
      <c r="R995" s="435"/>
      <c r="S995" s="435"/>
      <c r="T995" s="435"/>
      <c r="U995" s="435"/>
      <c r="V995" s="740"/>
      <c r="W995" s="744"/>
      <c r="X995" s="435"/>
      <c r="Y995" s="781"/>
      <c r="Z995" s="435"/>
      <c r="AA995" s="435"/>
      <c r="AB995" s="743"/>
      <c r="AC995" s="740"/>
      <c r="AD995" s="435"/>
      <c r="AE995" s="435"/>
      <c r="AF995" s="324"/>
      <c r="AG995" s="180"/>
      <c r="AH995" s="155"/>
      <c r="AI995" s="322"/>
      <c r="AJ995" s="132"/>
      <c r="AK995" s="132"/>
    </row>
    <row r="996">
      <c r="A996" s="477"/>
      <c r="B996" s="437"/>
      <c r="C996" s="437"/>
      <c r="D996" s="437"/>
      <c r="E996" s="314"/>
      <c r="F996" s="314"/>
      <c r="G996" s="314"/>
      <c r="H996" s="740"/>
      <c r="I996" s="314"/>
      <c r="J996" s="314"/>
      <c r="K996" s="435"/>
      <c r="L996" s="435"/>
      <c r="M996" s="839"/>
      <c r="N996" s="318"/>
      <c r="O996" s="318"/>
      <c r="P996" s="435"/>
      <c r="Q996" s="435"/>
      <c r="R996" s="435"/>
      <c r="S996" s="435"/>
      <c r="T996" s="435"/>
      <c r="U996" s="435"/>
      <c r="V996" s="740"/>
      <c r="W996" s="744"/>
      <c r="X996" s="435"/>
      <c r="Y996" s="781"/>
      <c r="Z996" s="435"/>
      <c r="AA996" s="435"/>
      <c r="AB996" s="743"/>
      <c r="AC996" s="740"/>
      <c r="AD996" s="435"/>
      <c r="AE996" s="435"/>
      <c r="AF996" s="324"/>
      <c r="AG996" s="180"/>
      <c r="AH996" s="155"/>
      <c r="AI996" s="322"/>
      <c r="AJ996" s="132"/>
      <c r="AK996" s="132"/>
    </row>
    <row r="997">
      <c r="A997" s="477"/>
      <c r="B997" s="437"/>
      <c r="C997" s="437"/>
      <c r="D997" s="437"/>
      <c r="E997" s="435"/>
      <c r="F997" s="314"/>
      <c r="G997" s="314"/>
      <c r="H997" s="740"/>
      <c r="I997" s="435"/>
      <c r="J997" s="435"/>
      <c r="K997" s="435"/>
      <c r="L997" s="435"/>
      <c r="M997" s="839"/>
      <c r="N997" s="740"/>
      <c r="O997" s="318"/>
      <c r="P997" s="435"/>
      <c r="Q997" s="435"/>
      <c r="R997" s="435"/>
      <c r="S997" s="435"/>
      <c r="T997" s="435"/>
      <c r="U997" s="435"/>
      <c r="V997" s="740"/>
      <c r="W997" s="744"/>
      <c r="X997" s="435"/>
      <c r="Y997" s="781"/>
      <c r="Z997" s="435"/>
      <c r="AA997" s="435"/>
      <c r="AB997" s="743"/>
      <c r="AC997" s="740"/>
      <c r="AD997" s="435"/>
      <c r="AE997" s="435"/>
      <c r="AF997" s="324"/>
      <c r="AG997" s="180"/>
      <c r="AH997" s="155"/>
      <c r="AI997" s="322"/>
      <c r="AJ997" s="132"/>
      <c r="AK997" s="132"/>
    </row>
    <row r="998">
      <c r="A998" s="474"/>
      <c r="B998" s="313"/>
      <c r="C998" s="437"/>
      <c r="D998" s="313"/>
      <c r="E998" s="435"/>
      <c r="F998" s="314"/>
      <c r="G998" s="314"/>
      <c r="H998" s="740"/>
      <c r="I998" s="314"/>
      <c r="J998" s="435"/>
      <c r="K998" s="435"/>
      <c r="L998" s="314"/>
      <c r="M998" s="839"/>
      <c r="N998" s="318"/>
      <c r="O998" s="318"/>
      <c r="P998" s="435"/>
      <c r="Q998" s="435"/>
      <c r="R998" s="435"/>
      <c r="S998" s="435"/>
      <c r="T998" s="435"/>
      <c r="U998" s="435"/>
      <c r="V998" s="740"/>
      <c r="W998" s="744"/>
      <c r="X998" s="435"/>
      <c r="Y998" s="781"/>
      <c r="Z998" s="435"/>
      <c r="AA998" s="435"/>
      <c r="AB998" s="743"/>
      <c r="AC998" s="740"/>
      <c r="AD998" s="435"/>
      <c r="AE998" s="435"/>
      <c r="AF998" s="324"/>
      <c r="AG998" s="180"/>
      <c r="AH998" s="155"/>
      <c r="AI998" s="322"/>
      <c r="AJ998" s="132"/>
      <c r="AK998" s="132"/>
    </row>
    <row r="999">
      <c r="A999" s="478"/>
      <c r="B999" s="437"/>
      <c r="C999" s="437"/>
      <c r="D999" s="437"/>
      <c r="E999" s="435"/>
      <c r="F999" s="314"/>
      <c r="G999" s="314"/>
      <c r="H999" s="740"/>
      <c r="I999" s="435"/>
      <c r="J999" s="435"/>
      <c r="K999" s="435"/>
      <c r="L999" s="435"/>
      <c r="M999" s="839"/>
      <c r="N999" s="740"/>
      <c r="O999" s="318"/>
      <c r="P999" s="435"/>
      <c r="Q999" s="435"/>
      <c r="R999" s="435"/>
      <c r="S999" s="435"/>
      <c r="T999" s="435"/>
      <c r="U999" s="435"/>
      <c r="V999" s="740"/>
      <c r="W999" s="744"/>
      <c r="X999" s="435"/>
      <c r="Y999" s="781"/>
      <c r="Z999" s="435"/>
      <c r="AA999" s="435"/>
      <c r="AB999" s="743"/>
      <c r="AC999" s="740"/>
      <c r="AD999" s="435"/>
      <c r="AE999" s="435"/>
      <c r="AF999" s="324"/>
      <c r="AG999" s="180"/>
      <c r="AH999" s="155"/>
      <c r="AI999" s="322"/>
      <c r="AJ999" s="132"/>
      <c r="AK999" s="132"/>
    </row>
    <row r="1000">
      <c r="A1000" s="478"/>
      <c r="B1000" s="437"/>
      <c r="C1000" s="437"/>
      <c r="D1000" s="437"/>
      <c r="E1000" s="435"/>
      <c r="F1000" s="314"/>
      <c r="G1000" s="314"/>
      <c r="H1000" s="740"/>
      <c r="I1000" s="435"/>
      <c r="J1000" s="435"/>
      <c r="K1000" s="435"/>
      <c r="L1000" s="435"/>
      <c r="M1000" s="839"/>
      <c r="N1000" s="740"/>
      <c r="O1000" s="318"/>
      <c r="P1000" s="435"/>
      <c r="Q1000" s="435"/>
      <c r="R1000" s="435"/>
      <c r="S1000" s="435"/>
      <c r="T1000" s="435"/>
      <c r="U1000" s="435"/>
      <c r="V1000" s="740"/>
      <c r="W1000" s="744"/>
      <c r="X1000" s="435"/>
      <c r="Y1000" s="781"/>
      <c r="Z1000" s="435"/>
      <c r="AA1000" s="435"/>
      <c r="AB1000" s="743"/>
      <c r="AC1000" s="740"/>
      <c r="AD1000" s="435"/>
      <c r="AE1000" s="435"/>
      <c r="AF1000" s="324"/>
      <c r="AG1000" s="180"/>
      <c r="AH1000" s="155"/>
      <c r="AI1000" s="322"/>
      <c r="AJ1000" s="132"/>
      <c r="AK1000" s="132"/>
    </row>
    <row r="1001">
      <c r="A1001" s="478"/>
      <c r="B1001" s="437"/>
      <c r="C1001" s="437"/>
      <c r="D1001" s="313"/>
      <c r="E1001" s="314"/>
      <c r="F1001" s="314"/>
      <c r="G1001" s="314"/>
      <c r="H1001" s="740"/>
      <c r="I1001" s="435"/>
      <c r="J1001" s="314"/>
      <c r="K1001" s="435"/>
      <c r="L1001" s="314"/>
      <c r="M1001" s="839"/>
      <c r="N1001" s="318"/>
      <c r="O1001" s="318"/>
      <c r="P1001" s="314"/>
      <c r="Q1001" s="314"/>
      <c r="R1001" s="314"/>
      <c r="S1001" s="435"/>
      <c r="T1001" s="435"/>
      <c r="U1001" s="435"/>
      <c r="V1001" s="740"/>
      <c r="W1001" s="744"/>
      <c r="X1001" s="435"/>
      <c r="Y1001" s="781"/>
      <c r="Z1001" s="435"/>
      <c r="AA1001" s="435"/>
      <c r="AB1001" s="743"/>
      <c r="AC1001" s="740"/>
      <c r="AD1001" s="435"/>
      <c r="AE1001" s="435"/>
      <c r="AF1001" s="324"/>
      <c r="AG1001" s="180"/>
      <c r="AH1001" s="155"/>
      <c r="AI1001" s="322"/>
      <c r="AJ1001" s="132"/>
      <c r="AK1001" s="132"/>
    </row>
    <row r="1002">
      <c r="A1002" s="477"/>
      <c r="B1002" s="313"/>
      <c r="C1002" s="437"/>
      <c r="D1002" s="437"/>
      <c r="E1002" s="435"/>
      <c r="F1002" s="314"/>
      <c r="G1002" s="314"/>
      <c r="H1002" s="740"/>
      <c r="I1002" s="435"/>
      <c r="J1002" s="435"/>
      <c r="K1002" s="435"/>
      <c r="L1002" s="435"/>
      <c r="M1002" s="839"/>
      <c r="N1002" s="740"/>
      <c r="O1002" s="318"/>
      <c r="P1002" s="435"/>
      <c r="Q1002" s="435"/>
      <c r="R1002" s="435"/>
      <c r="S1002" s="435"/>
      <c r="T1002" s="435"/>
      <c r="U1002" s="435"/>
      <c r="V1002" s="740"/>
      <c r="W1002" s="744"/>
      <c r="X1002" s="435"/>
      <c r="Y1002" s="781"/>
      <c r="Z1002" s="435"/>
      <c r="AA1002" s="435"/>
      <c r="AB1002" s="743"/>
      <c r="AC1002" s="740"/>
      <c r="AD1002" s="435"/>
      <c r="AE1002" s="435"/>
      <c r="AF1002" s="324"/>
      <c r="AG1002" s="180"/>
      <c r="AH1002" s="155"/>
      <c r="AI1002" s="322"/>
      <c r="AJ1002" s="132"/>
      <c r="AK1002" s="132"/>
    </row>
    <row r="1003">
      <c r="A1003" s="477"/>
      <c r="B1003" s="313"/>
      <c r="C1003" s="313"/>
      <c r="D1003" s="313"/>
      <c r="E1003" s="314"/>
      <c r="F1003" s="314"/>
      <c r="G1003" s="314"/>
      <c r="H1003" s="740"/>
      <c r="I1003" s="314"/>
      <c r="J1003" s="314"/>
      <c r="K1003" s="314"/>
      <c r="L1003" s="314"/>
      <c r="M1003" s="736"/>
      <c r="N1003" s="740"/>
      <c r="O1003" s="318"/>
      <c r="P1003" s="314"/>
      <c r="Q1003" s="435"/>
      <c r="R1003" s="314"/>
      <c r="S1003" s="314"/>
      <c r="T1003" s="314"/>
      <c r="U1003" s="314"/>
      <c r="V1003" s="318"/>
      <c r="W1003" s="315"/>
      <c r="X1003" s="314"/>
      <c r="Y1003" s="776"/>
      <c r="Z1003" s="314"/>
      <c r="AA1003" s="314"/>
      <c r="AB1003" s="697"/>
      <c r="AC1003" s="318"/>
      <c r="AD1003" s="314"/>
      <c r="AE1003" s="314"/>
      <c r="AF1003" s="324"/>
      <c r="AG1003" s="180"/>
      <c r="AH1003" s="155"/>
      <c r="AI1003" s="322"/>
      <c r="AJ1003" s="132"/>
      <c r="AK1003" s="132"/>
    </row>
    <row r="1004">
      <c r="A1004" s="477"/>
      <c r="B1004" s="313"/>
      <c r="C1004" s="313"/>
      <c r="D1004" s="313"/>
      <c r="E1004" s="314"/>
      <c r="F1004" s="314"/>
      <c r="G1004" s="314"/>
      <c r="H1004" s="318"/>
      <c r="I1004" s="314"/>
      <c r="J1004" s="314"/>
      <c r="K1004" s="314"/>
      <c r="L1004" s="314"/>
      <c r="M1004" s="736"/>
      <c r="N1004" s="318"/>
      <c r="O1004" s="318"/>
      <c r="P1004" s="314"/>
      <c r="Q1004" s="314"/>
      <c r="R1004" s="314"/>
      <c r="S1004" s="314"/>
      <c r="T1004" s="314"/>
      <c r="U1004" s="314"/>
      <c r="V1004" s="318"/>
      <c r="W1004" s="315"/>
      <c r="X1004" s="314"/>
      <c r="Y1004" s="776"/>
      <c r="Z1004" s="314"/>
      <c r="AA1004" s="314"/>
      <c r="AB1004" s="697"/>
      <c r="AC1004" s="318"/>
      <c r="AD1004" s="314"/>
      <c r="AE1004" s="314"/>
      <c r="AF1004" s="324"/>
      <c r="AG1004" s="180"/>
      <c r="AH1004" s="155"/>
      <c r="AI1004" s="322"/>
      <c r="AJ1004" s="132"/>
      <c r="AK1004" s="132"/>
    </row>
    <row r="1005">
      <c r="A1005" s="476"/>
      <c r="AH1005" s="176"/>
      <c r="AI1005" s="322"/>
      <c r="AJ1005" s="132"/>
      <c r="AK1005" s="132"/>
    </row>
    <row r="1006">
      <c r="A1006" s="178"/>
      <c r="AI1006" s="322"/>
      <c r="AJ1006" s="132"/>
      <c r="AK1006" s="132"/>
    </row>
    <row r="1007">
      <c r="A1007" s="477"/>
      <c r="B1007" s="437"/>
      <c r="C1007" s="437"/>
      <c r="D1007" s="437"/>
      <c r="E1007" s="314"/>
      <c r="F1007" s="314"/>
      <c r="G1007" s="314"/>
      <c r="H1007" s="318"/>
      <c r="I1007" s="314"/>
      <c r="J1007" s="314"/>
      <c r="K1007" s="435"/>
      <c r="L1007" s="435"/>
      <c r="M1007" s="736"/>
      <c r="N1007" s="318"/>
      <c r="O1007" s="318"/>
      <c r="P1007" s="314"/>
      <c r="Q1007" s="435"/>
      <c r="R1007" s="435"/>
      <c r="S1007" s="435"/>
      <c r="T1007" s="435"/>
      <c r="U1007" s="435"/>
      <c r="V1007" s="740"/>
      <c r="W1007" s="744"/>
      <c r="X1007" s="435"/>
      <c r="Y1007" s="781"/>
      <c r="Z1007" s="435"/>
      <c r="AA1007" s="435"/>
      <c r="AB1007" s="743"/>
      <c r="AC1007" s="740"/>
      <c r="AD1007" s="435"/>
      <c r="AE1007" s="435"/>
      <c r="AF1007" s="324"/>
      <c r="AG1007" s="180"/>
      <c r="AH1007" s="155"/>
      <c r="AI1007" s="322"/>
      <c r="AJ1007" s="132"/>
      <c r="AK1007" s="132"/>
    </row>
    <row r="1008">
      <c r="A1008" s="477"/>
      <c r="B1008" s="313"/>
      <c r="C1008" s="437"/>
      <c r="D1008" s="437"/>
      <c r="E1008" s="314"/>
      <c r="F1008" s="314"/>
      <c r="G1008" s="314"/>
      <c r="H1008" s="318"/>
      <c r="I1008" s="435"/>
      <c r="J1008" s="435"/>
      <c r="K1008" s="435"/>
      <c r="L1008" s="314"/>
      <c r="M1008" s="839"/>
      <c r="N1008" s="318"/>
      <c r="O1008" s="318"/>
      <c r="P1008" s="314"/>
      <c r="Q1008" s="435"/>
      <c r="R1008" s="435"/>
      <c r="S1008" s="435"/>
      <c r="T1008" s="435"/>
      <c r="U1008" s="435"/>
      <c r="V1008" s="740"/>
      <c r="W1008" s="744"/>
      <c r="X1008" s="435"/>
      <c r="Y1008" s="781"/>
      <c r="Z1008" s="435"/>
      <c r="AA1008" s="435"/>
      <c r="AB1008" s="743"/>
      <c r="AC1008" s="740"/>
      <c r="AD1008" s="435"/>
      <c r="AE1008" s="435"/>
      <c r="AF1008" s="324"/>
      <c r="AG1008" s="180"/>
      <c r="AH1008" s="155"/>
      <c r="AI1008" s="322"/>
      <c r="AJ1008" s="132"/>
      <c r="AK1008" s="132"/>
    </row>
    <row r="1009">
      <c r="A1009" s="477"/>
      <c r="B1009" s="313"/>
      <c r="C1009" s="437"/>
      <c r="D1009" s="437"/>
      <c r="E1009" s="435"/>
      <c r="F1009" s="314"/>
      <c r="G1009" s="314"/>
      <c r="H1009" s="740"/>
      <c r="I1009" s="314"/>
      <c r="J1009" s="314"/>
      <c r="K1009" s="435"/>
      <c r="L1009" s="314"/>
      <c r="M1009" s="839"/>
      <c r="N1009" s="740"/>
      <c r="O1009" s="318"/>
      <c r="P1009" s="435"/>
      <c r="Q1009" s="435"/>
      <c r="R1009" s="435"/>
      <c r="S1009" s="435"/>
      <c r="T1009" s="435"/>
      <c r="U1009" s="435"/>
      <c r="V1009" s="740"/>
      <c r="W1009" s="744"/>
      <c r="X1009" s="435"/>
      <c r="Y1009" s="781"/>
      <c r="Z1009" s="435"/>
      <c r="AA1009" s="435"/>
      <c r="AB1009" s="743"/>
      <c r="AC1009" s="740"/>
      <c r="AD1009" s="435"/>
      <c r="AE1009" s="435"/>
      <c r="AF1009" s="324"/>
      <c r="AG1009" s="180"/>
      <c r="AH1009" s="155"/>
      <c r="AI1009" s="322"/>
      <c r="AJ1009" s="132"/>
      <c r="AK1009" s="132"/>
    </row>
    <row r="1010">
      <c r="A1010" s="479"/>
      <c r="B1010" s="313"/>
      <c r="C1010" s="313"/>
      <c r="D1010" s="313"/>
      <c r="E1010" s="314"/>
      <c r="F1010" s="314"/>
      <c r="G1010" s="314"/>
      <c r="H1010" s="318"/>
      <c r="I1010" s="314"/>
      <c r="J1010" s="314"/>
      <c r="K1010" s="314"/>
      <c r="L1010" s="314"/>
      <c r="M1010" s="736"/>
      <c r="N1010" s="318"/>
      <c r="O1010" s="318"/>
      <c r="P1010" s="314"/>
      <c r="Q1010" s="435"/>
      <c r="R1010" s="314"/>
      <c r="S1010" s="314"/>
      <c r="T1010" s="314"/>
      <c r="U1010" s="314"/>
      <c r="V1010" s="318"/>
      <c r="W1010" s="315"/>
      <c r="X1010" s="314"/>
      <c r="Y1010" s="776"/>
      <c r="Z1010" s="314"/>
      <c r="AA1010" s="314"/>
      <c r="AB1010" s="697"/>
      <c r="AC1010" s="318"/>
      <c r="AD1010" s="314"/>
      <c r="AE1010" s="314"/>
      <c r="AF1010" s="324"/>
      <c r="AG1010" s="180"/>
      <c r="AH1010" s="155"/>
      <c r="AI1010" s="322"/>
      <c r="AJ1010" s="132"/>
      <c r="AK1010" s="132"/>
    </row>
    <row r="1011">
      <c r="A1011" s="476"/>
      <c r="AH1011" s="176"/>
      <c r="AI1011" s="322"/>
      <c r="AJ1011" s="132"/>
      <c r="AK1011" s="132"/>
    </row>
    <row r="1012">
      <c r="A1012" s="178"/>
      <c r="AI1012" s="322"/>
      <c r="AJ1012" s="132"/>
      <c r="AK1012" s="132"/>
    </row>
    <row r="1013">
      <c r="A1013" s="480"/>
      <c r="B1013" s="313"/>
      <c r="C1013" s="437"/>
      <c r="D1013" s="313"/>
      <c r="E1013" s="314"/>
      <c r="F1013" s="314"/>
      <c r="G1013" s="314"/>
      <c r="H1013" s="318"/>
      <c r="I1013" s="314"/>
      <c r="J1013" s="435"/>
      <c r="K1013" s="435"/>
      <c r="L1013" s="314"/>
      <c r="M1013" s="736"/>
      <c r="N1013" s="318"/>
      <c r="O1013" s="318"/>
      <c r="P1013" s="314"/>
      <c r="Q1013" s="435"/>
      <c r="R1013" s="314"/>
      <c r="S1013" s="314"/>
      <c r="T1013" s="314"/>
      <c r="U1013" s="314"/>
      <c r="V1013" s="318"/>
      <c r="W1013" s="315"/>
      <c r="X1013" s="314"/>
      <c r="Y1013" s="776"/>
      <c r="Z1013" s="314"/>
      <c r="AA1013" s="314"/>
      <c r="AB1013" s="697"/>
      <c r="AC1013" s="318"/>
      <c r="AD1013" s="314"/>
      <c r="AE1013" s="314"/>
      <c r="AF1013" s="324"/>
      <c r="AG1013" s="180"/>
      <c r="AH1013" s="180"/>
      <c r="AI1013" s="322"/>
      <c r="AJ1013" s="132"/>
      <c r="AK1013" s="132"/>
    </row>
    <row r="1014">
      <c r="A1014" s="480"/>
      <c r="B1014" s="313"/>
      <c r="C1014" s="437"/>
      <c r="D1014" s="313"/>
      <c r="E1014" s="314"/>
      <c r="F1014" s="314"/>
      <c r="G1014" s="314"/>
      <c r="H1014" s="740"/>
      <c r="I1014" s="314"/>
      <c r="J1014" s="435"/>
      <c r="K1014" s="435"/>
      <c r="L1014" s="314"/>
      <c r="M1014" s="839"/>
      <c r="N1014" s="740"/>
      <c r="O1014" s="318"/>
      <c r="P1014" s="435"/>
      <c r="Q1014" s="435"/>
      <c r="R1014" s="314"/>
      <c r="S1014" s="435"/>
      <c r="T1014" s="435"/>
      <c r="U1014" s="435"/>
      <c r="V1014" s="740"/>
      <c r="W1014" s="744"/>
      <c r="X1014" s="435"/>
      <c r="Y1014" s="781"/>
      <c r="Z1014" s="435"/>
      <c r="AA1014" s="435"/>
      <c r="AB1014" s="743"/>
      <c r="AC1014" s="740"/>
      <c r="AD1014" s="435"/>
      <c r="AE1014" s="435"/>
      <c r="AF1014" s="324"/>
      <c r="AG1014" s="180"/>
      <c r="AH1014" s="180"/>
      <c r="AI1014" s="322"/>
      <c r="AJ1014" s="132"/>
      <c r="AK1014" s="132"/>
    </row>
    <row r="1015">
      <c r="A1015" s="476"/>
      <c r="AH1015" s="176"/>
      <c r="AI1015" s="322"/>
      <c r="AJ1015" s="132"/>
      <c r="AK1015" s="132"/>
    </row>
    <row r="1016">
      <c r="A1016" s="178"/>
      <c r="AI1016" s="322"/>
      <c r="AJ1016" s="132"/>
      <c r="AK1016" s="132"/>
    </row>
    <row r="1017">
      <c r="A1017" s="481"/>
      <c r="B1017" s="313"/>
      <c r="C1017" s="437"/>
      <c r="D1017" s="437"/>
      <c r="E1017" s="435"/>
      <c r="F1017" s="314"/>
      <c r="G1017" s="435"/>
      <c r="H1017" s="740"/>
      <c r="I1017" s="435"/>
      <c r="J1017" s="314"/>
      <c r="K1017" s="435"/>
      <c r="L1017" s="435"/>
      <c r="M1017" s="839"/>
      <c r="N1017" s="318"/>
      <c r="O1017" s="318"/>
      <c r="P1017" s="435"/>
      <c r="Q1017" s="435"/>
      <c r="R1017" s="435"/>
      <c r="S1017" s="435"/>
      <c r="T1017" s="435"/>
      <c r="U1017" s="435"/>
      <c r="V1017" s="740"/>
      <c r="W1017" s="744"/>
      <c r="X1017" s="435"/>
      <c r="Y1017" s="781"/>
      <c r="Z1017" s="435"/>
      <c r="AA1017" s="435"/>
      <c r="AB1017" s="743"/>
      <c r="AC1017" s="740"/>
      <c r="AD1017" s="435"/>
      <c r="AE1017" s="435"/>
      <c r="AF1017" s="324"/>
      <c r="AG1017" s="180"/>
      <c r="AH1017" s="155"/>
      <c r="AI1017" s="322"/>
      <c r="AJ1017" s="132"/>
      <c r="AK1017" s="132"/>
    </row>
    <row r="1018">
      <c r="A1018" s="435"/>
      <c r="B1018" s="313"/>
      <c r="C1018" s="437"/>
      <c r="D1018" s="437"/>
      <c r="E1018" s="314"/>
      <c r="F1018" s="314"/>
      <c r="G1018" s="314"/>
      <c r="H1018" s="740"/>
      <c r="I1018" s="314"/>
      <c r="J1018" s="435"/>
      <c r="K1018" s="435"/>
      <c r="L1018" s="314"/>
      <c r="M1018" s="736"/>
      <c r="N1018" s="318"/>
      <c r="O1018" s="318"/>
      <c r="P1018" s="435"/>
      <c r="Q1018" s="435"/>
      <c r="R1018" s="435"/>
      <c r="S1018" s="435"/>
      <c r="T1018" s="435"/>
      <c r="U1018" s="435"/>
      <c r="V1018" s="740"/>
      <c r="W1018" s="744"/>
      <c r="X1018" s="435"/>
      <c r="Y1018" s="781"/>
      <c r="Z1018" s="435"/>
      <c r="AA1018" s="435"/>
      <c r="AB1018" s="743"/>
      <c r="AC1018" s="740"/>
      <c r="AD1018" s="435"/>
      <c r="AE1018" s="435"/>
      <c r="AF1018" s="324"/>
      <c r="AG1018" s="180"/>
      <c r="AH1018" s="155"/>
      <c r="AI1018" s="322"/>
      <c r="AJ1018" s="132"/>
      <c r="AK1018" s="132"/>
    </row>
    <row r="1019">
      <c r="A1019" s="482"/>
      <c r="B1019" s="313"/>
      <c r="C1019" s="313"/>
      <c r="D1019" s="437"/>
      <c r="E1019" s="314"/>
      <c r="F1019" s="314"/>
      <c r="G1019" s="314"/>
      <c r="H1019" s="318"/>
      <c r="I1019" s="314"/>
      <c r="J1019" s="314"/>
      <c r="K1019" s="435"/>
      <c r="L1019" s="314"/>
      <c r="M1019" s="736"/>
      <c r="N1019" s="318"/>
      <c r="O1019" s="318"/>
      <c r="P1019" s="314"/>
      <c r="Q1019" s="314"/>
      <c r="R1019" s="435"/>
      <c r="S1019" s="314"/>
      <c r="T1019" s="314"/>
      <c r="U1019" s="314"/>
      <c r="V1019" s="318"/>
      <c r="W1019" s="315"/>
      <c r="X1019" s="314"/>
      <c r="Y1019" s="776"/>
      <c r="Z1019" s="314"/>
      <c r="AA1019" s="314"/>
      <c r="AB1019" s="697"/>
      <c r="AC1019" s="318"/>
      <c r="AD1019" s="314"/>
      <c r="AE1019" s="314"/>
      <c r="AF1019" s="324"/>
      <c r="AG1019" s="180"/>
      <c r="AH1019" s="155"/>
      <c r="AI1019" s="322"/>
      <c r="AJ1019" s="132"/>
      <c r="AK1019" s="132"/>
    </row>
    <row r="1020">
      <c r="A1020" s="482"/>
      <c r="B1020" s="313"/>
      <c r="C1020" s="437"/>
      <c r="D1020" s="437"/>
      <c r="E1020" s="435"/>
      <c r="F1020" s="314"/>
      <c r="G1020" s="314"/>
      <c r="H1020" s="740"/>
      <c r="I1020" s="435"/>
      <c r="J1020" s="435"/>
      <c r="K1020" s="435"/>
      <c r="L1020" s="435"/>
      <c r="M1020" s="839"/>
      <c r="N1020" s="740"/>
      <c r="O1020" s="318"/>
      <c r="P1020" s="435"/>
      <c r="Q1020" s="435"/>
      <c r="R1020" s="435"/>
      <c r="S1020" s="435"/>
      <c r="T1020" s="435"/>
      <c r="U1020" s="435"/>
      <c r="V1020" s="740"/>
      <c r="W1020" s="744"/>
      <c r="X1020" s="435"/>
      <c r="Y1020" s="781"/>
      <c r="Z1020" s="435"/>
      <c r="AA1020" s="435"/>
      <c r="AB1020" s="743"/>
      <c r="AC1020" s="740"/>
      <c r="AD1020" s="435"/>
      <c r="AE1020" s="435"/>
      <c r="AF1020" s="324"/>
      <c r="AG1020" s="180"/>
      <c r="AH1020" s="155"/>
      <c r="AI1020" s="322"/>
      <c r="AJ1020" s="132"/>
      <c r="AK1020" s="132"/>
    </row>
    <row r="1021">
      <c r="A1021" s="314"/>
      <c r="B1021" s="313"/>
      <c r="C1021" s="313"/>
      <c r="D1021" s="313"/>
      <c r="E1021" s="314"/>
      <c r="F1021" s="314"/>
      <c r="G1021" s="314"/>
      <c r="H1021" s="318"/>
      <c r="I1021" s="314"/>
      <c r="J1021" s="314"/>
      <c r="K1021" s="314"/>
      <c r="L1021" s="314"/>
      <c r="M1021" s="736"/>
      <c r="N1021" s="318"/>
      <c r="O1021" s="318"/>
      <c r="P1021" s="314"/>
      <c r="Q1021" s="314"/>
      <c r="R1021" s="314"/>
      <c r="S1021" s="314"/>
      <c r="T1021" s="314"/>
      <c r="U1021" s="314"/>
      <c r="V1021" s="318"/>
      <c r="W1021" s="315"/>
      <c r="X1021" s="314"/>
      <c r="Y1021" s="776"/>
      <c r="Z1021" s="314"/>
      <c r="AA1021" s="314"/>
      <c r="AB1021" s="697"/>
      <c r="AC1021" s="318"/>
      <c r="AD1021" s="314"/>
      <c r="AE1021" s="314"/>
      <c r="AF1021" s="483"/>
      <c r="AH1021" s="484"/>
      <c r="AI1021" s="322"/>
      <c r="AJ1021" s="132"/>
      <c r="AK1021" s="132"/>
    </row>
    <row r="1022">
      <c r="A1022" s="314"/>
      <c r="B1022" s="313"/>
      <c r="C1022" s="313"/>
      <c r="D1022" s="313"/>
      <c r="E1022" s="314"/>
      <c r="F1022" s="314"/>
      <c r="G1022" s="314"/>
      <c r="H1022" s="318"/>
      <c r="I1022" s="314"/>
      <c r="J1022" s="314"/>
      <c r="K1022" s="314"/>
      <c r="L1022" s="314"/>
      <c r="M1022" s="736"/>
      <c r="N1022" s="318"/>
      <c r="O1022" s="318"/>
      <c r="P1022" s="314"/>
      <c r="Q1022" s="314"/>
      <c r="R1022" s="314"/>
      <c r="S1022" s="314"/>
      <c r="T1022" s="314"/>
      <c r="U1022" s="314"/>
      <c r="V1022" s="318"/>
      <c r="W1022" s="315"/>
      <c r="X1022" s="314"/>
      <c r="Y1022" s="776"/>
      <c r="Z1022" s="314"/>
      <c r="AA1022" s="314"/>
      <c r="AB1022" s="697"/>
      <c r="AC1022" s="318"/>
      <c r="AD1022" s="314"/>
      <c r="AE1022" s="314"/>
      <c r="AF1022" s="324"/>
      <c r="AG1022" s="155"/>
      <c r="AH1022" s="155"/>
      <c r="AI1022" s="322"/>
      <c r="AJ1022" s="132"/>
      <c r="AK1022" s="132"/>
    </row>
    <row r="1023">
      <c r="A1023" s="314"/>
      <c r="B1023" s="313"/>
      <c r="C1023" s="313"/>
      <c r="D1023" s="313"/>
      <c r="E1023" s="314"/>
      <c r="F1023" s="314"/>
      <c r="G1023" s="314"/>
      <c r="H1023" s="318"/>
      <c r="I1023" s="314"/>
      <c r="J1023" s="314"/>
      <c r="K1023" s="314"/>
      <c r="L1023" s="314"/>
      <c r="M1023" s="736"/>
      <c r="N1023" s="318"/>
      <c r="O1023" s="318"/>
      <c r="P1023" s="314"/>
      <c r="Q1023" s="314"/>
      <c r="R1023" s="314"/>
      <c r="S1023" s="314"/>
      <c r="T1023" s="314"/>
      <c r="U1023" s="314"/>
      <c r="V1023" s="318"/>
      <c r="W1023" s="315"/>
      <c r="X1023" s="314"/>
      <c r="Y1023" s="776"/>
      <c r="Z1023" s="314"/>
      <c r="AA1023" s="314"/>
      <c r="AB1023" s="697"/>
      <c r="AC1023" s="318"/>
      <c r="AD1023" s="314"/>
      <c r="AE1023" s="314"/>
      <c r="AF1023" s="324"/>
      <c r="AG1023" s="155"/>
      <c r="AH1023" s="155"/>
      <c r="AI1023" s="322"/>
      <c r="AJ1023" s="132"/>
      <c r="AK1023" s="132"/>
    </row>
    <row r="1024">
      <c r="A1024" s="314"/>
      <c r="B1024" s="313"/>
      <c r="C1024" s="313"/>
      <c r="D1024" s="313"/>
      <c r="E1024" s="314"/>
      <c r="F1024" s="314"/>
      <c r="G1024" s="314"/>
      <c r="H1024" s="318"/>
      <c r="I1024" s="314"/>
      <c r="J1024" s="314"/>
      <c r="K1024" s="314"/>
      <c r="L1024" s="314"/>
      <c r="M1024" s="736"/>
      <c r="N1024" s="318"/>
      <c r="O1024" s="318"/>
      <c r="P1024" s="314"/>
      <c r="Q1024" s="314"/>
      <c r="R1024" s="314"/>
      <c r="S1024" s="314"/>
      <c r="T1024" s="314"/>
      <c r="U1024" s="314"/>
      <c r="V1024" s="318"/>
      <c r="W1024" s="315"/>
      <c r="X1024" s="314"/>
      <c r="Y1024" s="776"/>
      <c r="Z1024" s="314"/>
      <c r="AA1024" s="314"/>
      <c r="AB1024" s="697"/>
      <c r="AC1024" s="318"/>
      <c r="AD1024" s="314"/>
      <c r="AE1024" s="314"/>
      <c r="AF1024" s="324"/>
      <c r="AG1024" s="155"/>
      <c r="AH1024" s="155"/>
      <c r="AI1024" s="322"/>
      <c r="AJ1024" s="132"/>
      <c r="AK1024" s="132"/>
    </row>
    <row r="1025">
      <c r="A1025" s="314"/>
      <c r="B1025" s="313"/>
      <c r="C1025" s="313"/>
      <c r="D1025" s="313"/>
      <c r="E1025" s="314"/>
      <c r="F1025" s="314"/>
      <c r="G1025" s="314"/>
      <c r="H1025" s="318"/>
      <c r="I1025" s="314"/>
      <c r="J1025" s="314"/>
      <c r="K1025" s="314"/>
      <c r="L1025" s="314"/>
      <c r="M1025" s="736"/>
      <c r="N1025" s="318"/>
      <c r="O1025" s="318"/>
      <c r="P1025" s="314"/>
      <c r="Q1025" s="314"/>
      <c r="R1025" s="314"/>
      <c r="S1025" s="314"/>
      <c r="T1025" s="314"/>
      <c r="U1025" s="314"/>
      <c r="V1025" s="318"/>
      <c r="W1025" s="315"/>
      <c r="X1025" s="314"/>
      <c r="Y1025" s="776"/>
      <c r="Z1025" s="314"/>
      <c r="AA1025" s="314"/>
      <c r="AB1025" s="697"/>
      <c r="AC1025" s="318"/>
      <c r="AD1025" s="314"/>
      <c r="AE1025" s="314"/>
      <c r="AF1025" s="324"/>
      <c r="AG1025" s="155"/>
      <c r="AH1025" s="155"/>
      <c r="AI1025" s="322"/>
      <c r="AJ1025" s="132"/>
      <c r="AK1025" s="132"/>
    </row>
    <row r="1026">
      <c r="A1026" s="314"/>
      <c r="B1026" s="313"/>
      <c r="C1026" s="313"/>
      <c r="D1026" s="313"/>
      <c r="E1026" s="314"/>
      <c r="F1026" s="314"/>
      <c r="G1026" s="314"/>
      <c r="H1026" s="318"/>
      <c r="I1026" s="314"/>
      <c r="J1026" s="314"/>
      <c r="K1026" s="314"/>
      <c r="L1026" s="314"/>
      <c r="M1026" s="736"/>
      <c r="N1026" s="318"/>
      <c r="O1026" s="318"/>
      <c r="P1026" s="314"/>
      <c r="Q1026" s="314"/>
      <c r="R1026" s="314"/>
      <c r="S1026" s="314"/>
      <c r="T1026" s="314"/>
      <c r="U1026" s="314"/>
      <c r="V1026" s="318"/>
      <c r="W1026" s="315"/>
      <c r="X1026" s="314"/>
      <c r="Y1026" s="776"/>
      <c r="Z1026" s="314"/>
      <c r="AA1026" s="314"/>
      <c r="AB1026" s="697"/>
      <c r="AC1026" s="318"/>
      <c r="AD1026" s="314"/>
      <c r="AE1026" s="314"/>
      <c r="AF1026" s="324"/>
      <c r="AG1026" s="155"/>
      <c r="AH1026" s="155"/>
      <c r="AI1026" s="322"/>
      <c r="AJ1026" s="132"/>
      <c r="AK1026" s="132"/>
    </row>
    <row r="1027">
      <c r="A1027" s="314"/>
      <c r="B1027" s="313"/>
      <c r="C1027" s="313"/>
      <c r="D1027" s="313"/>
      <c r="E1027" s="314"/>
      <c r="F1027" s="314"/>
      <c r="G1027" s="314"/>
      <c r="H1027" s="318"/>
      <c r="I1027" s="314"/>
      <c r="J1027" s="314"/>
      <c r="K1027" s="314"/>
      <c r="L1027" s="314"/>
      <c r="M1027" s="736"/>
      <c r="N1027" s="318"/>
      <c r="O1027" s="318"/>
      <c r="P1027" s="314"/>
      <c r="Q1027" s="314"/>
      <c r="R1027" s="314"/>
      <c r="S1027" s="314"/>
      <c r="T1027" s="314"/>
      <c r="U1027" s="314"/>
      <c r="V1027" s="318"/>
      <c r="W1027" s="315"/>
      <c r="X1027" s="314"/>
      <c r="Y1027" s="776"/>
      <c r="Z1027" s="314"/>
      <c r="AA1027" s="314"/>
      <c r="AB1027" s="697"/>
      <c r="AC1027" s="318"/>
      <c r="AD1027" s="314"/>
      <c r="AE1027" s="314"/>
      <c r="AF1027" s="324"/>
      <c r="AG1027" s="155"/>
      <c r="AH1027" s="155"/>
      <c r="AI1027" s="322"/>
      <c r="AJ1027" s="132"/>
      <c r="AK1027" s="132"/>
    </row>
    <row r="1028">
      <c r="A1028" s="314"/>
      <c r="B1028" s="313"/>
      <c r="C1028" s="313"/>
      <c r="D1028" s="313"/>
      <c r="E1028" s="314"/>
      <c r="F1028" s="314"/>
      <c r="G1028" s="314"/>
      <c r="H1028" s="318"/>
      <c r="I1028" s="314"/>
      <c r="J1028" s="314"/>
      <c r="K1028" s="314"/>
      <c r="L1028" s="314"/>
      <c r="M1028" s="736"/>
      <c r="N1028" s="318"/>
      <c r="O1028" s="318"/>
      <c r="P1028" s="314"/>
      <c r="Q1028" s="314"/>
      <c r="R1028" s="314"/>
      <c r="S1028" s="314"/>
      <c r="T1028" s="314"/>
      <c r="U1028" s="314"/>
      <c r="V1028" s="318"/>
      <c r="W1028" s="315"/>
      <c r="X1028" s="314"/>
      <c r="Y1028" s="776"/>
      <c r="Z1028" s="314"/>
      <c r="AA1028" s="314"/>
      <c r="AB1028" s="697"/>
      <c r="AC1028" s="318"/>
      <c r="AD1028" s="314"/>
      <c r="AE1028" s="314"/>
      <c r="AF1028" s="324"/>
      <c r="AG1028" s="155"/>
      <c r="AH1028" s="155"/>
      <c r="AI1028" s="322"/>
      <c r="AJ1028" s="132"/>
      <c r="AK1028" s="132"/>
    </row>
    <row r="1029">
      <c r="A1029" s="314"/>
      <c r="B1029" s="313"/>
      <c r="C1029" s="313"/>
      <c r="D1029" s="313"/>
      <c r="E1029" s="314"/>
      <c r="F1029" s="314"/>
      <c r="G1029" s="314"/>
      <c r="H1029" s="318"/>
      <c r="I1029" s="314"/>
      <c r="J1029" s="314"/>
      <c r="K1029" s="314"/>
      <c r="L1029" s="314"/>
      <c r="M1029" s="736"/>
      <c r="N1029" s="318"/>
      <c r="O1029" s="318"/>
      <c r="P1029" s="314"/>
      <c r="Q1029" s="314"/>
      <c r="R1029" s="314"/>
      <c r="S1029" s="314"/>
      <c r="T1029" s="314"/>
      <c r="U1029" s="314"/>
      <c r="V1029" s="318"/>
      <c r="W1029" s="315"/>
      <c r="X1029" s="314"/>
      <c r="Y1029" s="776"/>
      <c r="Z1029" s="314"/>
      <c r="AA1029" s="314"/>
      <c r="AB1029" s="697"/>
      <c r="AC1029" s="318"/>
      <c r="AD1029" s="314"/>
      <c r="AE1029" s="314"/>
      <c r="AF1029" s="324"/>
      <c r="AG1029" s="155"/>
      <c r="AH1029" s="155"/>
      <c r="AI1029" s="322"/>
      <c r="AJ1029" s="132"/>
      <c r="AK1029" s="132"/>
    </row>
    <row r="1030">
      <c r="A1030" s="314"/>
      <c r="B1030" s="313"/>
      <c r="C1030" s="313"/>
      <c r="D1030" s="313"/>
      <c r="E1030" s="314"/>
      <c r="F1030" s="314"/>
      <c r="G1030" s="314"/>
      <c r="H1030" s="318"/>
      <c r="I1030" s="314"/>
      <c r="J1030" s="314"/>
      <c r="K1030" s="314"/>
      <c r="L1030" s="314"/>
      <c r="M1030" s="736"/>
      <c r="N1030" s="318"/>
      <c r="O1030" s="318"/>
      <c r="P1030" s="314"/>
      <c r="Q1030" s="314"/>
      <c r="R1030" s="314"/>
      <c r="S1030" s="314"/>
      <c r="T1030" s="314"/>
      <c r="U1030" s="314"/>
      <c r="V1030" s="318"/>
      <c r="W1030" s="315"/>
      <c r="X1030" s="314"/>
      <c r="Y1030" s="776"/>
      <c r="Z1030" s="314"/>
      <c r="AA1030" s="314"/>
      <c r="AB1030" s="697"/>
      <c r="AC1030" s="318"/>
      <c r="AD1030" s="314"/>
      <c r="AE1030" s="314"/>
      <c r="AF1030" s="324"/>
      <c r="AG1030" s="155"/>
      <c r="AH1030" s="155"/>
      <c r="AI1030" s="322"/>
      <c r="AJ1030" s="132"/>
      <c r="AK1030" s="132"/>
    </row>
    <row r="1031">
      <c r="A1031" s="314"/>
      <c r="B1031" s="313"/>
      <c r="C1031" s="313"/>
      <c r="D1031" s="313"/>
      <c r="E1031" s="314"/>
      <c r="F1031" s="314"/>
      <c r="G1031" s="314"/>
      <c r="H1031" s="318"/>
      <c r="I1031" s="314"/>
      <c r="J1031" s="314"/>
      <c r="K1031" s="314"/>
      <c r="L1031" s="314"/>
      <c r="M1031" s="736"/>
      <c r="N1031" s="318"/>
      <c r="O1031" s="318"/>
      <c r="P1031" s="314"/>
      <c r="Q1031" s="314"/>
      <c r="R1031" s="314"/>
      <c r="S1031" s="314"/>
      <c r="T1031" s="314"/>
      <c r="U1031" s="314"/>
      <c r="V1031" s="318"/>
      <c r="W1031" s="315"/>
      <c r="X1031" s="314"/>
      <c r="Y1031" s="776"/>
      <c r="Z1031" s="314"/>
      <c r="AA1031" s="314"/>
      <c r="AB1031" s="697"/>
      <c r="AC1031" s="318"/>
      <c r="AD1031" s="314"/>
      <c r="AE1031" s="314"/>
      <c r="AF1031" s="324"/>
      <c r="AG1031" s="155"/>
      <c r="AH1031" s="155"/>
      <c r="AI1031" s="322"/>
      <c r="AJ1031" s="132"/>
      <c r="AK1031" s="132"/>
    </row>
    <row r="1032">
      <c r="A1032" s="314"/>
      <c r="B1032" s="313"/>
      <c r="C1032" s="313"/>
      <c r="D1032" s="313"/>
      <c r="E1032" s="314"/>
      <c r="F1032" s="314"/>
      <c r="G1032" s="314"/>
      <c r="H1032" s="318"/>
      <c r="I1032" s="314"/>
      <c r="J1032" s="314"/>
      <c r="K1032" s="314"/>
      <c r="L1032" s="314"/>
      <c r="M1032" s="736"/>
      <c r="N1032" s="318"/>
      <c r="O1032" s="318"/>
      <c r="P1032" s="314"/>
      <c r="Q1032" s="314"/>
      <c r="R1032" s="314"/>
      <c r="S1032" s="314"/>
      <c r="T1032" s="314"/>
      <c r="U1032" s="314"/>
      <c r="V1032" s="318"/>
      <c r="W1032" s="315"/>
      <c r="X1032" s="314"/>
      <c r="Y1032" s="776"/>
      <c r="Z1032" s="314"/>
      <c r="AA1032" s="314"/>
      <c r="AB1032" s="697"/>
      <c r="AC1032" s="318"/>
      <c r="AD1032" s="314"/>
      <c r="AE1032" s="314"/>
      <c r="AF1032" s="324"/>
      <c r="AG1032" s="155"/>
      <c r="AH1032" s="155"/>
      <c r="AI1032" s="322"/>
      <c r="AJ1032" s="132"/>
      <c r="AK1032" s="132"/>
    </row>
    <row r="1033">
      <c r="A1033" s="314"/>
      <c r="B1033" s="313"/>
      <c r="C1033" s="313"/>
      <c r="D1033" s="313"/>
      <c r="E1033" s="314"/>
      <c r="F1033" s="314"/>
      <c r="G1033" s="314"/>
      <c r="H1033" s="318"/>
      <c r="I1033" s="314"/>
      <c r="J1033" s="314"/>
      <c r="K1033" s="314"/>
      <c r="L1033" s="314"/>
      <c r="M1033" s="736"/>
      <c r="N1033" s="318"/>
      <c r="O1033" s="318"/>
      <c r="P1033" s="314"/>
      <c r="Q1033" s="314"/>
      <c r="R1033" s="314"/>
      <c r="S1033" s="314"/>
      <c r="T1033" s="314"/>
      <c r="U1033" s="314"/>
      <c r="V1033" s="318"/>
      <c r="W1033" s="315"/>
      <c r="X1033" s="314"/>
      <c r="Y1033" s="776"/>
      <c r="Z1033" s="314"/>
      <c r="AA1033" s="314"/>
      <c r="AB1033" s="697"/>
      <c r="AC1033" s="318"/>
      <c r="AD1033" s="314"/>
      <c r="AE1033" s="314"/>
      <c r="AF1033" s="324"/>
      <c r="AG1033" s="155"/>
      <c r="AH1033" s="155"/>
      <c r="AI1033" s="322"/>
      <c r="AJ1033" s="132"/>
      <c r="AK1033" s="132"/>
    </row>
    <row r="1034">
      <c r="A1034" s="314"/>
      <c r="B1034" s="313"/>
      <c r="C1034" s="313"/>
      <c r="D1034" s="313"/>
      <c r="E1034" s="314"/>
      <c r="F1034" s="314"/>
      <c r="G1034" s="314"/>
      <c r="H1034" s="318"/>
      <c r="I1034" s="314"/>
      <c r="J1034" s="314"/>
      <c r="K1034" s="314"/>
      <c r="L1034" s="314"/>
      <c r="M1034" s="736"/>
      <c r="N1034" s="318"/>
      <c r="O1034" s="318"/>
      <c r="P1034" s="314"/>
      <c r="Q1034" s="314"/>
      <c r="R1034" s="314"/>
      <c r="S1034" s="314"/>
      <c r="T1034" s="314"/>
      <c r="U1034" s="314"/>
      <c r="V1034" s="318"/>
      <c r="W1034" s="315"/>
      <c r="X1034" s="314"/>
      <c r="Y1034" s="776"/>
      <c r="Z1034" s="314"/>
      <c r="AA1034" s="314"/>
      <c r="AB1034" s="697"/>
      <c r="AC1034" s="318"/>
      <c r="AD1034" s="314"/>
      <c r="AE1034" s="314"/>
      <c r="AF1034" s="324"/>
      <c r="AG1034" s="155"/>
      <c r="AH1034" s="155"/>
      <c r="AI1034" s="322"/>
      <c r="AJ1034" s="132"/>
      <c r="AK1034" s="132"/>
    </row>
    <row r="1035">
      <c r="A1035" s="314"/>
      <c r="B1035" s="313"/>
      <c r="C1035" s="313"/>
      <c r="D1035" s="313"/>
      <c r="E1035" s="314"/>
      <c r="F1035" s="314"/>
      <c r="G1035" s="314"/>
      <c r="H1035" s="318"/>
      <c r="I1035" s="314"/>
      <c r="J1035" s="314"/>
      <c r="K1035" s="314"/>
      <c r="L1035" s="314"/>
      <c r="M1035" s="736"/>
      <c r="N1035" s="318"/>
      <c r="O1035" s="318"/>
      <c r="P1035" s="314"/>
      <c r="Q1035" s="314"/>
      <c r="R1035" s="314"/>
      <c r="S1035" s="314"/>
      <c r="T1035" s="314"/>
      <c r="U1035" s="314"/>
      <c r="V1035" s="318"/>
      <c r="W1035" s="315"/>
      <c r="X1035" s="314"/>
      <c r="Y1035" s="776"/>
      <c r="Z1035" s="314"/>
      <c r="AA1035" s="314"/>
      <c r="AB1035" s="697"/>
      <c r="AC1035" s="318"/>
      <c r="AD1035" s="314"/>
      <c r="AE1035" s="314"/>
      <c r="AF1035" s="324"/>
      <c r="AG1035" s="155"/>
      <c r="AH1035" s="155"/>
      <c r="AI1035" s="322"/>
      <c r="AJ1035" s="132"/>
      <c r="AK1035" s="132"/>
    </row>
    <row r="1036">
      <c r="A1036" s="314"/>
      <c r="B1036" s="313"/>
      <c r="C1036" s="313"/>
      <c r="D1036" s="313"/>
      <c r="E1036" s="314"/>
      <c r="F1036" s="314"/>
      <c r="G1036" s="314"/>
      <c r="H1036" s="318"/>
      <c r="I1036" s="314"/>
      <c r="J1036" s="314"/>
      <c r="K1036" s="314"/>
      <c r="L1036" s="314"/>
      <c r="M1036" s="736"/>
      <c r="N1036" s="318"/>
      <c r="O1036" s="318"/>
      <c r="P1036" s="314"/>
      <c r="Q1036" s="314"/>
      <c r="R1036" s="314"/>
      <c r="S1036" s="314"/>
      <c r="T1036" s="314"/>
      <c r="U1036" s="314"/>
      <c r="V1036" s="318"/>
      <c r="W1036" s="315"/>
      <c r="X1036" s="314"/>
      <c r="Y1036" s="776"/>
      <c r="Z1036" s="314"/>
      <c r="AA1036" s="314"/>
      <c r="AB1036" s="697"/>
      <c r="AC1036" s="318"/>
      <c r="AD1036" s="314"/>
      <c r="AE1036" s="314"/>
      <c r="AF1036" s="487"/>
      <c r="AH1036" s="484"/>
      <c r="AI1036" s="322"/>
      <c r="AJ1036" s="132"/>
      <c r="AK1036" s="132"/>
    </row>
    <row r="1037">
      <c r="A1037" s="314"/>
      <c r="B1037" s="313"/>
      <c r="C1037" s="313"/>
      <c r="D1037" s="313"/>
      <c r="E1037" s="314"/>
      <c r="F1037" s="314"/>
      <c r="G1037" s="314"/>
      <c r="H1037" s="318"/>
      <c r="I1037" s="314"/>
      <c r="J1037" s="314"/>
      <c r="K1037" s="314"/>
      <c r="L1037" s="314"/>
      <c r="M1037" s="736"/>
      <c r="N1037" s="318"/>
      <c r="O1037" s="318"/>
      <c r="P1037" s="314"/>
      <c r="Q1037" s="314"/>
      <c r="R1037" s="314"/>
      <c r="S1037" s="314"/>
      <c r="T1037" s="314"/>
      <c r="U1037" s="314"/>
      <c r="V1037" s="318"/>
      <c r="W1037" s="315"/>
      <c r="X1037" s="314"/>
      <c r="Y1037" s="776"/>
      <c r="Z1037" s="314"/>
      <c r="AA1037" s="314"/>
      <c r="AB1037" s="697"/>
      <c r="AC1037" s="318"/>
      <c r="AD1037" s="314"/>
      <c r="AE1037" s="314"/>
      <c r="AF1037" s="324"/>
      <c r="AG1037" s="155"/>
      <c r="AH1037" s="155"/>
      <c r="AI1037" s="322"/>
      <c r="AJ1037" s="132"/>
      <c r="AK1037" s="132"/>
    </row>
    <row r="1038">
      <c r="A1038" s="314"/>
      <c r="B1038" s="313"/>
      <c r="C1038" s="313"/>
      <c r="D1038" s="313"/>
      <c r="E1038" s="314"/>
      <c r="F1038" s="314"/>
      <c r="G1038" s="314"/>
      <c r="H1038" s="318"/>
      <c r="I1038" s="314"/>
      <c r="J1038" s="314"/>
      <c r="K1038" s="314"/>
      <c r="L1038" s="314"/>
      <c r="M1038" s="736"/>
      <c r="N1038" s="318"/>
      <c r="O1038" s="318"/>
      <c r="P1038" s="314"/>
      <c r="Q1038" s="314"/>
      <c r="R1038" s="314"/>
      <c r="S1038" s="314"/>
      <c r="T1038" s="314"/>
      <c r="U1038" s="314"/>
      <c r="V1038" s="318"/>
      <c r="W1038" s="315"/>
      <c r="X1038" s="314"/>
      <c r="Y1038" s="776"/>
      <c r="Z1038" s="314"/>
      <c r="AA1038" s="314"/>
      <c r="AB1038" s="697"/>
      <c r="AC1038" s="318"/>
      <c r="AD1038" s="314"/>
      <c r="AE1038" s="314"/>
      <c r="AF1038" s="324"/>
      <c r="AG1038" s="155"/>
      <c r="AH1038" s="155"/>
      <c r="AI1038" s="322"/>
      <c r="AJ1038" s="132"/>
      <c r="AK1038" s="132"/>
    </row>
    <row r="1039">
      <c r="A1039" s="314"/>
      <c r="B1039" s="313"/>
      <c r="C1039" s="313"/>
      <c r="D1039" s="313"/>
      <c r="E1039" s="314"/>
      <c r="F1039" s="314"/>
      <c r="G1039" s="314"/>
      <c r="H1039" s="318"/>
      <c r="I1039" s="314"/>
      <c r="J1039" s="314"/>
      <c r="K1039" s="314"/>
      <c r="L1039" s="314"/>
      <c r="M1039" s="736"/>
      <c r="N1039" s="318"/>
      <c r="O1039" s="318"/>
      <c r="P1039" s="314"/>
      <c r="Q1039" s="314"/>
      <c r="R1039" s="314"/>
      <c r="S1039" s="314"/>
      <c r="T1039" s="314"/>
      <c r="U1039" s="314"/>
      <c r="V1039" s="318"/>
      <c r="W1039" s="315"/>
      <c r="X1039" s="314"/>
      <c r="Y1039" s="776"/>
      <c r="Z1039" s="314"/>
      <c r="AA1039" s="314"/>
      <c r="AB1039" s="697"/>
      <c r="AC1039" s="318"/>
      <c r="AD1039" s="314"/>
      <c r="AE1039" s="314"/>
      <c r="AF1039" s="324"/>
      <c r="AG1039" s="155"/>
      <c r="AH1039" s="155"/>
      <c r="AI1039" s="322"/>
      <c r="AJ1039" s="132"/>
      <c r="AK1039" s="132"/>
    </row>
    <row r="1040">
      <c r="A1040" s="314"/>
      <c r="B1040" s="313"/>
      <c r="C1040" s="313"/>
      <c r="D1040" s="313"/>
      <c r="E1040" s="314"/>
      <c r="F1040" s="314"/>
      <c r="G1040" s="314"/>
      <c r="H1040" s="318"/>
      <c r="I1040" s="314"/>
      <c r="J1040" s="314"/>
      <c r="K1040" s="314"/>
      <c r="L1040" s="314"/>
      <c r="M1040" s="736"/>
      <c r="N1040" s="318"/>
      <c r="O1040" s="318"/>
      <c r="P1040" s="314"/>
      <c r="Q1040" s="314"/>
      <c r="R1040" s="314"/>
      <c r="S1040" s="314"/>
      <c r="T1040" s="314"/>
      <c r="U1040" s="314"/>
      <c r="V1040" s="318"/>
      <c r="W1040" s="315"/>
      <c r="X1040" s="314"/>
      <c r="Y1040" s="776"/>
      <c r="Z1040" s="314"/>
      <c r="AA1040" s="314"/>
      <c r="AB1040" s="697"/>
      <c r="AC1040" s="318"/>
      <c r="AD1040" s="314"/>
      <c r="AE1040" s="314"/>
      <c r="AF1040" s="324"/>
      <c r="AG1040" s="155"/>
      <c r="AH1040" s="155"/>
      <c r="AI1040" s="322"/>
      <c r="AJ1040" s="132"/>
      <c r="AK1040" s="132"/>
    </row>
    <row r="1041">
      <c r="A1041" s="314"/>
      <c r="B1041" s="313"/>
      <c r="C1041" s="313"/>
      <c r="D1041" s="313"/>
      <c r="E1041" s="314"/>
      <c r="F1041" s="314"/>
      <c r="G1041" s="314"/>
      <c r="H1041" s="318"/>
      <c r="I1041" s="314"/>
      <c r="J1041" s="314"/>
      <c r="K1041" s="314"/>
      <c r="L1041" s="314"/>
      <c r="M1041" s="736"/>
      <c r="N1041" s="318"/>
      <c r="O1041" s="318"/>
      <c r="P1041" s="314"/>
      <c r="Q1041" s="314"/>
      <c r="R1041" s="314"/>
      <c r="S1041" s="314"/>
      <c r="T1041" s="314"/>
      <c r="U1041" s="314"/>
      <c r="V1041" s="318"/>
      <c r="W1041" s="315"/>
      <c r="X1041" s="314"/>
      <c r="Y1041" s="776"/>
      <c r="Z1041" s="314"/>
      <c r="AA1041" s="314"/>
      <c r="AB1041" s="697"/>
      <c r="AC1041" s="318"/>
      <c r="AD1041" s="314"/>
      <c r="AE1041" s="314"/>
      <c r="AF1041" s="324"/>
      <c r="AG1041" s="155"/>
      <c r="AH1041" s="155"/>
      <c r="AI1041" s="322"/>
      <c r="AJ1041" s="132"/>
      <c r="AK1041" s="132"/>
    </row>
    <row r="1042">
      <c r="A1042" s="314"/>
      <c r="B1042" s="313"/>
      <c r="C1042" s="313"/>
      <c r="D1042" s="313"/>
      <c r="E1042" s="314"/>
      <c r="F1042" s="314"/>
      <c r="G1042" s="314"/>
      <c r="H1042" s="318"/>
      <c r="I1042" s="314"/>
      <c r="J1042" s="314"/>
      <c r="K1042" s="314"/>
      <c r="L1042" s="314"/>
      <c r="M1042" s="736"/>
      <c r="N1042" s="318"/>
      <c r="O1042" s="318"/>
      <c r="P1042" s="314"/>
      <c r="Q1042" s="314"/>
      <c r="R1042" s="314"/>
      <c r="S1042" s="314"/>
      <c r="T1042" s="314"/>
      <c r="U1042" s="314"/>
      <c r="V1042" s="318"/>
      <c r="W1042" s="315"/>
      <c r="X1042" s="314"/>
      <c r="Y1042" s="776"/>
      <c r="Z1042" s="314"/>
      <c r="AA1042" s="314"/>
      <c r="AB1042" s="697"/>
      <c r="AC1042" s="318"/>
      <c r="AD1042" s="314"/>
      <c r="AE1042" s="314"/>
      <c r="AF1042" s="324"/>
      <c r="AG1042" s="155"/>
      <c r="AH1042" s="155"/>
      <c r="AI1042" s="322"/>
      <c r="AJ1042" s="132"/>
      <c r="AK1042" s="132"/>
    </row>
    <row r="1043">
      <c r="A1043" s="314"/>
      <c r="B1043" s="313"/>
      <c r="C1043" s="313"/>
      <c r="D1043" s="313"/>
      <c r="E1043" s="314"/>
      <c r="F1043" s="314"/>
      <c r="G1043" s="314"/>
      <c r="H1043" s="318"/>
      <c r="I1043" s="314"/>
      <c r="J1043" s="314"/>
      <c r="K1043" s="314"/>
      <c r="L1043" s="314"/>
      <c r="M1043" s="736"/>
      <c r="N1043" s="318"/>
      <c r="O1043" s="318"/>
      <c r="P1043" s="314"/>
      <c r="Q1043" s="314"/>
      <c r="R1043" s="314"/>
      <c r="S1043" s="314"/>
      <c r="T1043" s="314"/>
      <c r="U1043" s="314"/>
      <c r="V1043" s="318"/>
      <c r="W1043" s="315"/>
      <c r="X1043" s="314"/>
      <c r="Y1043" s="776"/>
      <c r="Z1043" s="314"/>
      <c r="AA1043" s="314"/>
      <c r="AB1043" s="697"/>
      <c r="AC1043" s="318"/>
      <c r="AD1043" s="314"/>
      <c r="AE1043" s="314"/>
      <c r="AF1043" s="324"/>
      <c r="AG1043" s="155"/>
      <c r="AH1043" s="155"/>
      <c r="AI1043" s="322"/>
      <c r="AJ1043" s="132"/>
      <c r="AK1043" s="132"/>
    </row>
    <row r="1044">
      <c r="A1044" s="314"/>
      <c r="B1044" s="313"/>
      <c r="C1044" s="313"/>
      <c r="D1044" s="313"/>
      <c r="E1044" s="314"/>
      <c r="F1044" s="314"/>
      <c r="G1044" s="314"/>
      <c r="H1044" s="318"/>
      <c r="I1044" s="314"/>
      <c r="J1044" s="314"/>
      <c r="K1044" s="314"/>
      <c r="L1044" s="314"/>
      <c r="M1044" s="736"/>
      <c r="N1044" s="318"/>
      <c r="O1044" s="318"/>
      <c r="P1044" s="314"/>
      <c r="Q1044" s="314"/>
      <c r="R1044" s="314"/>
      <c r="S1044" s="314"/>
      <c r="T1044" s="314"/>
      <c r="U1044" s="314"/>
      <c r="V1044" s="318"/>
      <c r="W1044" s="315"/>
      <c r="X1044" s="314"/>
      <c r="Y1044" s="776"/>
      <c r="Z1044" s="314"/>
      <c r="AA1044" s="314"/>
      <c r="AB1044" s="697"/>
      <c r="AC1044" s="318"/>
      <c r="AD1044" s="314"/>
      <c r="AE1044" s="314"/>
      <c r="AF1044" s="324"/>
      <c r="AG1044" s="155"/>
      <c r="AH1044" s="155"/>
      <c r="AI1044" s="322"/>
      <c r="AJ1044" s="132"/>
      <c r="AK1044" s="132"/>
    </row>
    <row r="1045">
      <c r="A1045" s="314"/>
      <c r="B1045" s="313"/>
      <c r="C1045" s="313"/>
      <c r="D1045" s="313"/>
      <c r="E1045" s="314"/>
      <c r="F1045" s="314"/>
      <c r="G1045" s="314"/>
      <c r="H1045" s="318"/>
      <c r="I1045" s="314"/>
      <c r="J1045" s="314"/>
      <c r="K1045" s="314"/>
      <c r="L1045" s="314"/>
      <c r="M1045" s="736"/>
      <c r="N1045" s="318"/>
      <c r="O1045" s="318"/>
      <c r="P1045" s="314"/>
      <c r="Q1045" s="314"/>
      <c r="R1045" s="314"/>
      <c r="S1045" s="314"/>
      <c r="T1045" s="314"/>
      <c r="U1045" s="314"/>
      <c r="V1045" s="318"/>
      <c r="W1045" s="315"/>
      <c r="X1045" s="314"/>
      <c r="Y1045" s="776"/>
      <c r="Z1045" s="314"/>
      <c r="AA1045" s="314"/>
      <c r="AB1045" s="697"/>
      <c r="AC1045" s="318"/>
      <c r="AD1045" s="314"/>
      <c r="AE1045" s="314"/>
      <c r="AF1045" s="324"/>
      <c r="AG1045" s="155"/>
      <c r="AH1045" s="155"/>
      <c r="AI1045" s="322"/>
      <c r="AJ1045" s="132"/>
      <c r="AK1045" s="132"/>
    </row>
    <row r="1046">
      <c r="A1046" s="314"/>
      <c r="B1046" s="313"/>
      <c r="C1046" s="313"/>
      <c r="D1046" s="313"/>
      <c r="E1046" s="314"/>
      <c r="F1046" s="314"/>
      <c r="G1046" s="314"/>
      <c r="H1046" s="318"/>
      <c r="I1046" s="314"/>
      <c r="J1046" s="314"/>
      <c r="K1046" s="314"/>
      <c r="L1046" s="314"/>
      <c r="M1046" s="736"/>
      <c r="N1046" s="318"/>
      <c r="O1046" s="318"/>
      <c r="P1046" s="314"/>
      <c r="Q1046" s="314"/>
      <c r="R1046" s="314"/>
      <c r="S1046" s="314"/>
      <c r="T1046" s="314"/>
      <c r="U1046" s="314"/>
      <c r="V1046" s="318"/>
      <c r="W1046" s="315"/>
      <c r="X1046" s="314"/>
      <c r="Y1046" s="776"/>
      <c r="Z1046" s="314"/>
      <c r="AA1046" s="314"/>
      <c r="AB1046" s="697"/>
      <c r="AC1046" s="318"/>
      <c r="AD1046" s="314"/>
      <c r="AE1046" s="314"/>
      <c r="AF1046" s="324"/>
      <c r="AG1046" s="155"/>
      <c r="AH1046" s="155"/>
      <c r="AI1046" s="322"/>
      <c r="AJ1046" s="132"/>
      <c r="AK1046" s="132"/>
    </row>
    <row r="1047">
      <c r="A1047" s="314"/>
      <c r="B1047" s="313"/>
      <c r="C1047" s="313"/>
      <c r="D1047" s="313"/>
      <c r="E1047" s="314"/>
      <c r="F1047" s="314"/>
      <c r="G1047" s="314"/>
      <c r="H1047" s="318"/>
      <c r="I1047" s="314"/>
      <c r="J1047" s="314"/>
      <c r="K1047" s="314"/>
      <c r="L1047" s="314"/>
      <c r="M1047" s="736"/>
      <c r="N1047" s="318"/>
      <c r="O1047" s="318"/>
      <c r="P1047" s="314"/>
      <c r="Q1047" s="314"/>
      <c r="R1047" s="314"/>
      <c r="S1047" s="314"/>
      <c r="T1047" s="314"/>
      <c r="U1047" s="314"/>
      <c r="V1047" s="318"/>
      <c r="W1047" s="315"/>
      <c r="X1047" s="314"/>
      <c r="Y1047" s="776"/>
      <c r="Z1047" s="314"/>
      <c r="AA1047" s="314"/>
      <c r="AB1047" s="697"/>
      <c r="AC1047" s="318"/>
      <c r="AD1047" s="314"/>
      <c r="AE1047" s="314"/>
      <c r="AF1047" s="324"/>
      <c r="AG1047" s="155"/>
      <c r="AH1047" s="155"/>
      <c r="AI1047" s="322"/>
      <c r="AJ1047" s="132"/>
      <c r="AK1047" s="132"/>
    </row>
    <row r="1048">
      <c r="A1048" s="314"/>
      <c r="B1048" s="313"/>
      <c r="C1048" s="313"/>
      <c r="D1048" s="313"/>
      <c r="E1048" s="314"/>
      <c r="F1048" s="314"/>
      <c r="G1048" s="314"/>
      <c r="H1048" s="318"/>
      <c r="I1048" s="314"/>
      <c r="J1048" s="314"/>
      <c r="K1048" s="314"/>
      <c r="L1048" s="314"/>
      <c r="M1048" s="736"/>
      <c r="N1048" s="318"/>
      <c r="O1048" s="318"/>
      <c r="P1048" s="314"/>
      <c r="Q1048" s="314"/>
      <c r="R1048" s="314"/>
      <c r="S1048" s="314"/>
      <c r="T1048" s="314"/>
      <c r="U1048" s="314"/>
      <c r="V1048" s="318"/>
      <c r="W1048" s="315"/>
      <c r="X1048" s="314"/>
      <c r="Y1048" s="776"/>
      <c r="Z1048" s="314"/>
      <c r="AA1048" s="314"/>
      <c r="AB1048" s="697"/>
      <c r="AC1048" s="318"/>
      <c r="AD1048" s="314"/>
      <c r="AE1048" s="314"/>
      <c r="AF1048" s="324"/>
      <c r="AG1048" s="155"/>
      <c r="AH1048" s="155"/>
      <c r="AI1048" s="322"/>
      <c r="AJ1048" s="132"/>
      <c r="AK1048" s="132"/>
    </row>
    <row r="1049">
      <c r="A1049" s="314"/>
      <c r="B1049" s="313"/>
      <c r="C1049" s="313"/>
      <c r="D1049" s="313"/>
      <c r="E1049" s="314"/>
      <c r="F1049" s="314"/>
      <c r="G1049" s="314"/>
      <c r="H1049" s="318"/>
      <c r="I1049" s="314"/>
      <c r="J1049" s="314"/>
      <c r="K1049" s="314"/>
      <c r="L1049" s="314"/>
      <c r="M1049" s="736"/>
      <c r="N1049" s="318"/>
      <c r="O1049" s="318"/>
      <c r="P1049" s="314"/>
      <c r="Q1049" s="314"/>
      <c r="R1049" s="314"/>
      <c r="S1049" s="314"/>
      <c r="T1049" s="314"/>
      <c r="U1049" s="314"/>
      <c r="V1049" s="318"/>
      <c r="W1049" s="315"/>
      <c r="X1049" s="314"/>
      <c r="Y1049" s="776"/>
      <c r="Z1049" s="314"/>
      <c r="AA1049" s="314"/>
      <c r="AB1049" s="697"/>
      <c r="AC1049" s="318"/>
      <c r="AD1049" s="314"/>
      <c r="AE1049" s="314"/>
      <c r="AF1049" s="324"/>
      <c r="AG1049" s="155"/>
      <c r="AH1049" s="155"/>
      <c r="AI1049" s="322"/>
      <c r="AJ1049" s="132"/>
      <c r="AK1049" s="132"/>
    </row>
    <row r="1050">
      <c r="A1050" s="314"/>
      <c r="B1050" s="313"/>
      <c r="C1050" s="313"/>
      <c r="D1050" s="313"/>
      <c r="E1050" s="314"/>
      <c r="F1050" s="314"/>
      <c r="G1050" s="314"/>
      <c r="H1050" s="318"/>
      <c r="I1050" s="314"/>
      <c r="J1050" s="314"/>
      <c r="K1050" s="314"/>
      <c r="L1050" s="314"/>
      <c r="M1050" s="736"/>
      <c r="N1050" s="318"/>
      <c r="O1050" s="318"/>
      <c r="P1050" s="314"/>
      <c r="Q1050" s="314"/>
      <c r="R1050" s="314"/>
      <c r="S1050" s="314"/>
      <c r="T1050" s="314"/>
      <c r="U1050" s="314"/>
      <c r="V1050" s="318"/>
      <c r="W1050" s="315"/>
      <c r="X1050" s="314"/>
      <c r="Y1050" s="776"/>
      <c r="Z1050" s="314"/>
      <c r="AA1050" s="314"/>
      <c r="AB1050" s="697"/>
      <c r="AC1050" s="318"/>
      <c r="AD1050" s="314"/>
      <c r="AE1050" s="314"/>
      <c r="AF1050" s="324"/>
      <c r="AG1050" s="155"/>
      <c r="AH1050" s="155"/>
      <c r="AI1050" s="322"/>
      <c r="AJ1050" s="132"/>
      <c r="AK1050" s="132"/>
    </row>
    <row r="1051">
      <c r="A1051" s="314"/>
      <c r="B1051" s="313"/>
      <c r="C1051" s="313"/>
      <c r="D1051" s="313"/>
      <c r="E1051" s="314"/>
      <c r="F1051" s="314"/>
      <c r="G1051" s="314"/>
      <c r="H1051" s="318"/>
      <c r="I1051" s="314"/>
      <c r="J1051" s="314"/>
      <c r="K1051" s="314"/>
      <c r="L1051" s="314"/>
      <c r="M1051" s="736"/>
      <c r="N1051" s="318"/>
      <c r="O1051" s="318"/>
      <c r="P1051" s="314"/>
      <c r="Q1051" s="314"/>
      <c r="R1051" s="314"/>
      <c r="S1051" s="314"/>
      <c r="T1051" s="314"/>
      <c r="U1051" s="314"/>
      <c r="V1051" s="318"/>
      <c r="W1051" s="315"/>
      <c r="X1051" s="314"/>
      <c r="Y1051" s="776"/>
      <c r="Z1051" s="314"/>
      <c r="AA1051" s="314"/>
      <c r="AB1051" s="697"/>
      <c r="AC1051" s="318"/>
      <c r="AD1051" s="314"/>
      <c r="AE1051" s="314"/>
      <c r="AF1051" s="324"/>
      <c r="AG1051" s="155"/>
      <c r="AH1051" s="155"/>
      <c r="AI1051" s="322"/>
      <c r="AJ1051" s="132"/>
      <c r="AK1051" s="132"/>
    </row>
    <row r="1052">
      <c r="A1052" s="314"/>
      <c r="B1052" s="313"/>
      <c r="C1052" s="313"/>
      <c r="D1052" s="313"/>
      <c r="E1052" s="314"/>
      <c r="F1052" s="314"/>
      <c r="G1052" s="314"/>
      <c r="H1052" s="318"/>
      <c r="I1052" s="314"/>
      <c r="J1052" s="314"/>
      <c r="K1052" s="314"/>
      <c r="L1052" s="314"/>
      <c r="M1052" s="736"/>
      <c r="N1052" s="318"/>
      <c r="O1052" s="318"/>
      <c r="P1052" s="314"/>
      <c r="Q1052" s="314"/>
      <c r="R1052" s="314"/>
      <c r="S1052" s="314"/>
      <c r="T1052" s="314"/>
      <c r="U1052" s="314"/>
      <c r="V1052" s="318"/>
      <c r="W1052" s="315"/>
      <c r="X1052" s="314"/>
      <c r="Y1052" s="776"/>
      <c r="Z1052" s="314"/>
      <c r="AA1052" s="314"/>
      <c r="AB1052" s="697"/>
      <c r="AC1052" s="318"/>
      <c r="AD1052" s="314"/>
      <c r="AE1052" s="314"/>
      <c r="AF1052" s="324"/>
      <c r="AG1052" s="155"/>
      <c r="AH1052" s="155"/>
      <c r="AI1052" s="322"/>
      <c r="AJ1052" s="132"/>
      <c r="AK1052" s="132"/>
    </row>
    <row r="1053">
      <c r="A1053" s="314"/>
      <c r="B1053" s="313"/>
      <c r="C1053" s="313"/>
      <c r="D1053" s="313"/>
      <c r="E1053" s="314"/>
      <c r="F1053" s="314"/>
      <c r="G1053" s="314"/>
      <c r="H1053" s="318"/>
      <c r="I1053" s="314"/>
      <c r="J1053" s="314"/>
      <c r="K1053" s="314"/>
      <c r="L1053" s="314"/>
      <c r="M1053" s="736"/>
      <c r="N1053" s="318"/>
      <c r="O1053" s="318"/>
      <c r="P1053" s="314"/>
      <c r="Q1053" s="314"/>
      <c r="R1053" s="314"/>
      <c r="S1053" s="314"/>
      <c r="T1053" s="314"/>
      <c r="U1053" s="314"/>
      <c r="V1053" s="318"/>
      <c r="W1053" s="315"/>
      <c r="X1053" s="314"/>
      <c r="Y1053" s="776"/>
      <c r="Z1053" s="314"/>
      <c r="AA1053" s="314"/>
      <c r="AB1053" s="697"/>
      <c r="AC1053" s="318"/>
      <c r="AD1053" s="314"/>
      <c r="AE1053" s="314"/>
      <c r="AF1053" s="324"/>
      <c r="AG1053" s="155"/>
      <c r="AH1053" s="155"/>
      <c r="AI1053" s="322"/>
      <c r="AJ1053" s="132"/>
      <c r="AK1053" s="132"/>
    </row>
    <row r="1054">
      <c r="A1054" s="314"/>
      <c r="B1054" s="313"/>
      <c r="C1054" s="313"/>
      <c r="D1054" s="313"/>
      <c r="E1054" s="314"/>
      <c r="F1054" s="314"/>
      <c r="G1054" s="314"/>
      <c r="H1054" s="318"/>
      <c r="I1054" s="314"/>
      <c r="J1054" s="314"/>
      <c r="K1054" s="314"/>
      <c r="L1054" s="314"/>
      <c r="M1054" s="736"/>
      <c r="N1054" s="318"/>
      <c r="O1054" s="318"/>
      <c r="P1054" s="314"/>
      <c r="Q1054" s="314"/>
      <c r="R1054" s="314"/>
      <c r="S1054" s="314"/>
      <c r="T1054" s="314"/>
      <c r="U1054" s="314"/>
      <c r="V1054" s="318"/>
      <c r="W1054" s="315"/>
      <c r="X1054" s="314"/>
      <c r="Y1054" s="776"/>
      <c r="Z1054" s="314"/>
      <c r="AA1054" s="314"/>
      <c r="AB1054" s="697"/>
      <c r="AC1054" s="318"/>
      <c r="AD1054" s="314"/>
      <c r="AE1054" s="314"/>
      <c r="AF1054" s="324"/>
      <c r="AG1054" s="155"/>
      <c r="AH1054" s="155"/>
      <c r="AI1054" s="322"/>
      <c r="AJ1054" s="132"/>
      <c r="AK1054" s="132"/>
    </row>
  </sheetData>
  <mergeCells count="97">
    <mergeCell ref="AF331:AG331"/>
    <mergeCell ref="A436:AG436"/>
    <mergeCell ref="A437:AH437"/>
    <mergeCell ref="A450:AG450"/>
    <mergeCell ref="A451:AH451"/>
    <mergeCell ref="A456:AG456"/>
    <mergeCell ref="A457:AH457"/>
    <mergeCell ref="A460:AG460"/>
    <mergeCell ref="A461:AH461"/>
    <mergeCell ref="AF466:AG466"/>
    <mergeCell ref="A571:AG571"/>
    <mergeCell ref="A572:AH572"/>
    <mergeCell ref="A585:AG585"/>
    <mergeCell ref="A586:AH586"/>
    <mergeCell ref="A591:AG591"/>
    <mergeCell ref="A592:AH592"/>
    <mergeCell ref="A595:AG595"/>
    <mergeCell ref="A596:AH596"/>
    <mergeCell ref="AF601:AG601"/>
    <mergeCell ref="AF616:AG616"/>
    <mergeCell ref="A721:AG721"/>
    <mergeCell ref="A722:AH722"/>
    <mergeCell ref="A735:AG735"/>
    <mergeCell ref="A736:AH736"/>
    <mergeCell ref="A741:AG741"/>
    <mergeCell ref="A742:AH742"/>
    <mergeCell ref="A745:AG745"/>
    <mergeCell ref="A746:AH746"/>
    <mergeCell ref="AF751:AG751"/>
    <mergeCell ref="A856:AG856"/>
    <mergeCell ref="A857:AH857"/>
    <mergeCell ref="A870:AG870"/>
    <mergeCell ref="A871:AH871"/>
    <mergeCell ref="A876:AG876"/>
    <mergeCell ref="A877:AH877"/>
    <mergeCell ref="A1011:AG1011"/>
    <mergeCell ref="A1012:AH1012"/>
    <mergeCell ref="A1015:AG1015"/>
    <mergeCell ref="A1016:AH1016"/>
    <mergeCell ref="AF1021:AG1021"/>
    <mergeCell ref="AF1036:AG1036"/>
    <mergeCell ref="A880:AG880"/>
    <mergeCell ref="A881:AH881"/>
    <mergeCell ref="AF886:AG886"/>
    <mergeCell ref="A991:AG991"/>
    <mergeCell ref="A992:AH992"/>
    <mergeCell ref="A1005:AG1005"/>
    <mergeCell ref="A1006:AH1006"/>
    <mergeCell ref="AJ1:AK1"/>
    <mergeCell ref="A2:AH2"/>
    <mergeCell ref="AJ3:AJ5"/>
    <mergeCell ref="AK3:AK5"/>
    <mergeCell ref="AJ10:AK10"/>
    <mergeCell ref="AJ11:AK11"/>
    <mergeCell ref="AJ12:AK12"/>
    <mergeCell ref="A49:AG49"/>
    <mergeCell ref="A50:AH50"/>
    <mergeCell ref="A53:AG53"/>
    <mergeCell ref="A54:AH54"/>
    <mergeCell ref="A68:AG68"/>
    <mergeCell ref="A69:AH69"/>
    <mergeCell ref="A77:AG77"/>
    <mergeCell ref="A78:AH78"/>
    <mergeCell ref="A84:AG84"/>
    <mergeCell ref="A85:AH85"/>
    <mergeCell ref="A103:AG103"/>
    <mergeCell ref="A104:AH104"/>
    <mergeCell ref="A109:AG109"/>
    <mergeCell ref="A110:AH110"/>
    <mergeCell ref="A118:AG118"/>
    <mergeCell ref="A119:AH119"/>
    <mergeCell ref="A125:AG125"/>
    <mergeCell ref="A126:AH126"/>
    <mergeCell ref="A135:AG135"/>
    <mergeCell ref="A136:AH136"/>
    <mergeCell ref="A148:AG148"/>
    <mergeCell ref="A149:AH149"/>
    <mergeCell ref="A153:AG153"/>
    <mergeCell ref="A154:AH154"/>
    <mergeCell ref="A158:AG158"/>
    <mergeCell ref="A159:AH159"/>
    <mergeCell ref="A167:AG167"/>
    <mergeCell ref="A168:AH168"/>
    <mergeCell ref="A175:AG175"/>
    <mergeCell ref="A176:AH176"/>
    <mergeCell ref="A180:AG180"/>
    <mergeCell ref="A181:AH181"/>
    <mergeCell ref="A195:AG195"/>
    <mergeCell ref="AF196:AG196"/>
    <mergeCell ref="A301:AG301"/>
    <mergeCell ref="A302:AH302"/>
    <mergeCell ref="A315:AG315"/>
    <mergeCell ref="A316:AH316"/>
    <mergeCell ref="A321:AG321"/>
    <mergeCell ref="A322:AH322"/>
    <mergeCell ref="A325:AG325"/>
    <mergeCell ref="A326:AH32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75"/>
    <col customWidth="1" min="2" max="2" width="4.13"/>
    <col customWidth="1" min="3" max="3" width="3.38"/>
    <col customWidth="1" min="4" max="32" width="3.63"/>
    <col customWidth="1" min="33" max="33" width="10.63"/>
    <col customWidth="1" min="34" max="34" width="9.88"/>
    <col customWidth="1" min="35" max="35" width="18.63"/>
    <col customWidth="1" min="36" max="36" width="3.88"/>
    <col customWidth="1" min="37" max="37" width="12.5"/>
    <col customWidth="1" min="38" max="38" width="32.63"/>
  </cols>
  <sheetData>
    <row r="1" ht="50.25" customHeight="1">
      <c r="A1" s="1">
        <v>46208.0</v>
      </c>
      <c r="B1" s="2">
        <v>46204.0</v>
      </c>
      <c r="C1" s="3">
        <v>46205.0</v>
      </c>
      <c r="D1" s="2">
        <v>46206.0</v>
      </c>
      <c r="E1" s="2">
        <v>46207.0</v>
      </c>
      <c r="F1" s="6">
        <v>46208.0</v>
      </c>
      <c r="G1" s="4">
        <v>46209.0</v>
      </c>
      <c r="H1" s="2">
        <v>46210.0</v>
      </c>
      <c r="I1" s="2">
        <v>46211.0</v>
      </c>
      <c r="J1" s="2">
        <v>46212.0</v>
      </c>
      <c r="K1" s="4">
        <v>46213.0</v>
      </c>
      <c r="L1" s="521">
        <v>46214.0</v>
      </c>
      <c r="M1" s="6">
        <v>46215.0</v>
      </c>
      <c r="N1" s="4">
        <v>46216.0</v>
      </c>
      <c r="O1" s="2">
        <v>46217.0</v>
      </c>
      <c r="P1" s="2">
        <v>46218.0</v>
      </c>
      <c r="Q1" s="2">
        <v>46219.0</v>
      </c>
      <c r="R1" s="2">
        <v>46220.0</v>
      </c>
      <c r="S1" s="790">
        <v>46221.0</v>
      </c>
      <c r="T1" s="6">
        <v>46222.0</v>
      </c>
      <c r="U1" s="4">
        <v>46223.0</v>
      </c>
      <c r="V1" s="2">
        <v>46224.0</v>
      </c>
      <c r="W1" s="2">
        <v>46225.0</v>
      </c>
      <c r="X1" s="2">
        <v>46226.0</v>
      </c>
      <c r="Y1" s="2">
        <v>46227.0</v>
      </c>
      <c r="Z1" s="2">
        <v>46228.0</v>
      </c>
      <c r="AA1" s="6">
        <v>46229.0</v>
      </c>
      <c r="AB1" s="4">
        <v>46230.0</v>
      </c>
      <c r="AC1" s="2">
        <v>46231.0</v>
      </c>
      <c r="AD1" s="2">
        <v>46232.0</v>
      </c>
      <c r="AE1" s="2">
        <v>46233.0</v>
      </c>
      <c r="AF1" s="2">
        <v>46234.0</v>
      </c>
      <c r="AG1" s="14" t="s">
        <v>0</v>
      </c>
      <c r="AH1" s="15" t="s">
        <v>1</v>
      </c>
      <c r="AI1" s="15" t="s">
        <v>2</v>
      </c>
      <c r="AJ1" s="17"/>
      <c r="AK1" s="20" t="s">
        <v>3</v>
      </c>
      <c r="AL1" s="22"/>
    </row>
    <row r="2">
      <c r="A2" s="24" t="s">
        <v>4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8"/>
      <c r="AJ2" s="17"/>
      <c r="AK2" s="29"/>
      <c r="AL2" s="31" t="s">
        <v>5</v>
      </c>
    </row>
    <row r="3">
      <c r="A3" s="33" t="s">
        <v>6</v>
      </c>
      <c r="B3" s="595">
        <v>1.0</v>
      </c>
      <c r="C3" s="611"/>
      <c r="D3" s="59">
        <v>43.0</v>
      </c>
      <c r="E3" s="493">
        <v>2.0</v>
      </c>
      <c r="F3" s="515"/>
      <c r="G3" s="530"/>
      <c r="H3" s="493">
        <v>15.0</v>
      </c>
      <c r="I3" s="49"/>
      <c r="J3" s="59"/>
      <c r="K3" s="529"/>
      <c r="L3" s="791"/>
      <c r="M3" s="515"/>
      <c r="N3" s="530"/>
      <c r="O3" s="493"/>
      <c r="P3" s="59"/>
      <c r="Q3" s="59"/>
      <c r="R3" s="59"/>
      <c r="S3" s="792"/>
      <c r="T3" s="515"/>
      <c r="U3" s="530"/>
      <c r="V3" s="493"/>
      <c r="W3" s="59"/>
      <c r="X3" s="59"/>
      <c r="Y3" s="59"/>
      <c r="Z3" s="46"/>
      <c r="AA3" s="192"/>
      <c r="AB3" s="191"/>
      <c r="AC3" s="46"/>
      <c r="AD3" s="46"/>
      <c r="AE3" s="46"/>
      <c r="AF3" s="46"/>
      <c r="AG3" s="62">
        <f t="shared" ref="AG3:AG48" si="1">SUM(B3:AF3)</f>
        <v>61</v>
      </c>
      <c r="AH3" s="65">
        <v>50.0</v>
      </c>
      <c r="AI3" s="68">
        <f t="shared" ref="AI3:AI48" si="2">AG3*AH3</f>
        <v>3050</v>
      </c>
      <c r="AJ3" s="17"/>
      <c r="AK3" s="494"/>
      <c r="AL3" s="532" t="s">
        <v>400</v>
      </c>
    </row>
    <row r="4">
      <c r="A4" s="33" t="s">
        <v>10</v>
      </c>
      <c r="B4" s="604">
        <v>1.0</v>
      </c>
      <c r="C4" s="508"/>
      <c r="D4" s="54"/>
      <c r="E4" s="59"/>
      <c r="F4" s="51"/>
      <c r="G4" s="530"/>
      <c r="H4" s="46"/>
      <c r="I4" s="59">
        <v>1.0</v>
      </c>
      <c r="J4" s="54"/>
      <c r="K4" s="191"/>
      <c r="L4" s="793"/>
      <c r="M4" s="51"/>
      <c r="N4" s="530"/>
      <c r="O4" s="59"/>
      <c r="P4" s="59"/>
      <c r="Q4" s="46"/>
      <c r="R4" s="46"/>
      <c r="S4" s="792"/>
      <c r="T4" s="192"/>
      <c r="U4" s="191"/>
      <c r="V4" s="59"/>
      <c r="W4" s="46"/>
      <c r="X4" s="46"/>
      <c r="Y4" s="46"/>
      <c r="Z4" s="46"/>
      <c r="AA4" s="192"/>
      <c r="AB4" s="191"/>
      <c r="AC4" s="46"/>
      <c r="AD4" s="46"/>
      <c r="AE4" s="46"/>
      <c r="AF4" s="46"/>
      <c r="AG4" s="62">
        <f t="shared" si="1"/>
        <v>2</v>
      </c>
      <c r="AH4" s="80">
        <v>18.0</v>
      </c>
      <c r="AI4" s="68">
        <f t="shared" si="2"/>
        <v>36</v>
      </c>
      <c r="AJ4" s="17"/>
      <c r="AK4" s="81"/>
      <c r="AL4" s="81"/>
    </row>
    <row r="5">
      <c r="A5" s="33" t="s">
        <v>13</v>
      </c>
      <c r="B5" s="595">
        <v>3.0</v>
      </c>
      <c r="C5" s="507"/>
      <c r="D5" s="59">
        <v>7.0</v>
      </c>
      <c r="E5" s="59"/>
      <c r="F5" s="515"/>
      <c r="G5" s="530"/>
      <c r="H5" s="59">
        <v>1.0</v>
      </c>
      <c r="I5" s="493"/>
      <c r="J5" s="493"/>
      <c r="K5" s="529"/>
      <c r="L5" s="791"/>
      <c r="M5" s="515"/>
      <c r="N5" s="529"/>
      <c r="O5" s="493"/>
      <c r="P5" s="59"/>
      <c r="Q5" s="493"/>
      <c r="R5" s="59"/>
      <c r="S5" s="792"/>
      <c r="T5" s="515"/>
      <c r="U5" s="530"/>
      <c r="V5" s="493"/>
      <c r="W5" s="46"/>
      <c r="X5" s="59"/>
      <c r="Y5" s="59"/>
      <c r="Z5" s="46"/>
      <c r="AA5" s="192"/>
      <c r="AB5" s="191"/>
      <c r="AC5" s="46"/>
      <c r="AD5" s="46"/>
      <c r="AE5" s="46"/>
      <c r="AF5" s="46"/>
      <c r="AG5" s="62">
        <f t="shared" si="1"/>
        <v>11</v>
      </c>
      <c r="AH5" s="80">
        <v>200.0</v>
      </c>
      <c r="AI5" s="68">
        <f t="shared" si="2"/>
        <v>2200</v>
      </c>
      <c r="AJ5" s="17"/>
      <c r="AK5" s="91"/>
      <c r="AL5" s="91"/>
    </row>
    <row r="6" ht="18.75" customHeight="1">
      <c r="A6" s="33" t="s">
        <v>16</v>
      </c>
      <c r="B6" s="595"/>
      <c r="C6" s="611"/>
      <c r="D6" s="54"/>
      <c r="E6" s="46"/>
      <c r="F6" s="51"/>
      <c r="G6" s="530"/>
      <c r="H6" s="46"/>
      <c r="I6" s="46"/>
      <c r="J6" s="59"/>
      <c r="K6" s="191"/>
      <c r="L6" s="527"/>
      <c r="M6" s="51"/>
      <c r="N6" s="48"/>
      <c r="O6" s="49"/>
      <c r="P6" s="49"/>
      <c r="Q6" s="46"/>
      <c r="R6" s="59"/>
      <c r="S6" s="794"/>
      <c r="T6" s="192"/>
      <c r="U6" s="530"/>
      <c r="V6" s="46"/>
      <c r="W6" s="46"/>
      <c r="X6" s="59"/>
      <c r="Y6" s="59"/>
      <c r="Z6" s="46"/>
      <c r="AA6" s="192"/>
      <c r="AB6" s="191"/>
      <c r="AC6" s="46"/>
      <c r="AD6" s="46"/>
      <c r="AE6" s="46"/>
      <c r="AF6" s="46"/>
      <c r="AG6" s="62">
        <f t="shared" si="1"/>
        <v>0</v>
      </c>
      <c r="AH6" s="80">
        <v>850.0</v>
      </c>
      <c r="AI6" s="68">
        <f t="shared" si="2"/>
        <v>0</v>
      </c>
      <c r="AJ6" s="17"/>
      <c r="AK6" s="536"/>
      <c r="AL6" s="537" t="s">
        <v>404</v>
      </c>
    </row>
    <row r="7">
      <c r="A7" s="33" t="s">
        <v>19</v>
      </c>
      <c r="B7" s="595">
        <v>5.0</v>
      </c>
      <c r="C7" s="507"/>
      <c r="D7" s="59">
        <v>1.0</v>
      </c>
      <c r="E7" s="493"/>
      <c r="F7" s="515"/>
      <c r="G7" s="529"/>
      <c r="H7" s="493"/>
      <c r="I7" s="493"/>
      <c r="J7" s="493"/>
      <c r="K7" s="529"/>
      <c r="L7" s="527"/>
      <c r="M7" s="515"/>
      <c r="N7" s="530"/>
      <c r="O7" s="59"/>
      <c r="P7" s="59"/>
      <c r="Q7" s="59"/>
      <c r="R7" s="59"/>
      <c r="S7" s="792"/>
      <c r="T7" s="515"/>
      <c r="U7" s="530"/>
      <c r="V7" s="493"/>
      <c r="W7" s="59"/>
      <c r="X7" s="59"/>
      <c r="Y7" s="59"/>
      <c r="Z7" s="46"/>
      <c r="AA7" s="192"/>
      <c r="AB7" s="191"/>
      <c r="AC7" s="46"/>
      <c r="AD7" s="46"/>
      <c r="AE7" s="46"/>
      <c r="AF7" s="46"/>
      <c r="AG7" s="62">
        <f t="shared" si="1"/>
        <v>6</v>
      </c>
      <c r="AH7" s="80">
        <v>180.0</v>
      </c>
      <c r="AI7" s="68">
        <f t="shared" si="2"/>
        <v>1080</v>
      </c>
      <c r="AJ7" s="17"/>
      <c r="AK7" s="787"/>
      <c r="AL7" s="537" t="s">
        <v>394</v>
      </c>
    </row>
    <row r="8" ht="18.0" customHeight="1">
      <c r="A8" s="33" t="s">
        <v>23</v>
      </c>
      <c r="B8" s="595"/>
      <c r="C8" s="611"/>
      <c r="D8" s="59">
        <v>1.0</v>
      </c>
      <c r="E8" s="49"/>
      <c r="F8" s="515"/>
      <c r="G8" s="529"/>
      <c r="H8" s="59"/>
      <c r="I8" s="59">
        <v>4.0</v>
      </c>
      <c r="J8" s="54"/>
      <c r="K8" s="529"/>
      <c r="L8" s="793"/>
      <c r="M8" s="51"/>
      <c r="N8" s="529"/>
      <c r="O8" s="59"/>
      <c r="P8" s="49"/>
      <c r="Q8" s="493"/>
      <c r="R8" s="59"/>
      <c r="S8" s="794"/>
      <c r="T8" s="515"/>
      <c r="U8" s="191"/>
      <c r="V8" s="59"/>
      <c r="W8" s="46"/>
      <c r="X8" s="46"/>
      <c r="Y8" s="46"/>
      <c r="Z8" s="46"/>
      <c r="AA8" s="192"/>
      <c r="AB8" s="191"/>
      <c r="AC8" s="46"/>
      <c r="AD8" s="46"/>
      <c r="AE8" s="46"/>
      <c r="AF8" s="46"/>
      <c r="AG8" s="62">
        <f t="shared" si="1"/>
        <v>5</v>
      </c>
      <c r="AH8" s="80">
        <v>120.0</v>
      </c>
      <c r="AI8" s="68">
        <f t="shared" si="2"/>
        <v>600</v>
      </c>
      <c r="AJ8" s="17"/>
      <c r="AK8" s="123"/>
      <c r="AL8" s="537" t="s">
        <v>395</v>
      </c>
    </row>
    <row r="9">
      <c r="A9" s="33" t="s">
        <v>27</v>
      </c>
      <c r="B9" s="595"/>
      <c r="C9" s="611"/>
      <c r="D9" s="59">
        <v>60.0</v>
      </c>
      <c r="E9" s="59"/>
      <c r="F9" s="515"/>
      <c r="G9" s="547"/>
      <c r="H9" s="493"/>
      <c r="I9" s="493"/>
      <c r="J9" s="59"/>
      <c r="K9" s="529"/>
      <c r="L9" s="793"/>
      <c r="M9" s="51"/>
      <c r="N9" s="529"/>
      <c r="O9" s="46"/>
      <c r="P9" s="46"/>
      <c r="Q9" s="59"/>
      <c r="R9" s="46"/>
      <c r="S9" s="794"/>
      <c r="T9" s="192"/>
      <c r="U9" s="530"/>
      <c r="V9" s="49"/>
      <c r="W9" s="46"/>
      <c r="X9" s="59"/>
      <c r="Y9" s="59"/>
      <c r="Z9" s="46"/>
      <c r="AA9" s="192"/>
      <c r="AB9" s="191"/>
      <c r="AC9" s="46"/>
      <c r="AD9" s="46"/>
      <c r="AE9" s="46"/>
      <c r="AF9" s="46"/>
      <c r="AG9" s="62">
        <f t="shared" si="1"/>
        <v>60</v>
      </c>
      <c r="AH9" s="80">
        <v>160.0</v>
      </c>
      <c r="AI9" s="68">
        <f t="shared" si="2"/>
        <v>9600</v>
      </c>
      <c r="AJ9" s="17"/>
      <c r="AK9" s="796"/>
      <c r="AL9" s="115" t="s">
        <v>405</v>
      </c>
    </row>
    <row r="10">
      <c r="A10" s="33" t="s">
        <v>32</v>
      </c>
      <c r="B10" s="595">
        <v>1.0</v>
      </c>
      <c r="C10" s="516"/>
      <c r="D10" s="59">
        <v>5.0</v>
      </c>
      <c r="E10" s="59">
        <v>1.0</v>
      </c>
      <c r="F10" s="515"/>
      <c r="G10" s="530"/>
      <c r="H10" s="59">
        <v>1.0</v>
      </c>
      <c r="I10" s="493">
        <v>2.0</v>
      </c>
      <c r="J10" s="493"/>
      <c r="K10" s="529"/>
      <c r="L10" s="791"/>
      <c r="M10" s="515"/>
      <c r="N10" s="529"/>
      <c r="O10" s="493"/>
      <c r="P10" s="493"/>
      <c r="Q10" s="493"/>
      <c r="R10" s="59"/>
      <c r="S10" s="792"/>
      <c r="T10" s="515"/>
      <c r="U10" s="530"/>
      <c r="V10" s="493"/>
      <c r="W10" s="59"/>
      <c r="X10" s="59"/>
      <c r="Y10" s="59"/>
      <c r="Z10" s="46"/>
      <c r="AA10" s="192"/>
      <c r="AB10" s="191"/>
      <c r="AC10" s="46"/>
      <c r="AD10" s="46"/>
      <c r="AE10" s="46"/>
      <c r="AF10" s="46"/>
      <c r="AG10" s="62">
        <f t="shared" si="1"/>
        <v>10</v>
      </c>
      <c r="AH10" s="80">
        <v>350.0</v>
      </c>
      <c r="AI10" s="68">
        <f t="shared" si="2"/>
        <v>3500</v>
      </c>
      <c r="AJ10" s="17"/>
      <c r="AK10" s="117" t="s">
        <v>35</v>
      </c>
      <c r="AL10" s="22"/>
    </row>
    <row r="11">
      <c r="A11" s="33" t="s">
        <v>34</v>
      </c>
      <c r="B11" s="618"/>
      <c r="C11" s="508"/>
      <c r="D11" s="54"/>
      <c r="E11" s="46"/>
      <c r="F11" s="51"/>
      <c r="G11" s="48"/>
      <c r="H11" s="46"/>
      <c r="I11" s="46"/>
      <c r="J11" s="54"/>
      <c r="K11" s="538"/>
      <c r="L11" s="797"/>
      <c r="M11" s="51"/>
      <c r="N11" s="48"/>
      <c r="O11" s="46"/>
      <c r="P11" s="46"/>
      <c r="Q11" s="46"/>
      <c r="R11" s="46"/>
      <c r="S11" s="794"/>
      <c r="T11" s="192"/>
      <c r="U11" s="191"/>
      <c r="V11" s="46"/>
      <c r="W11" s="46"/>
      <c r="X11" s="46"/>
      <c r="Y11" s="46"/>
      <c r="Z11" s="46"/>
      <c r="AA11" s="192"/>
      <c r="AB11" s="191"/>
      <c r="AC11" s="46"/>
      <c r="AD11" s="46"/>
      <c r="AE11" s="46"/>
      <c r="AF11" s="46"/>
      <c r="AG11" s="62">
        <f t="shared" si="1"/>
        <v>0</v>
      </c>
      <c r="AH11" s="80">
        <v>350.0</v>
      </c>
      <c r="AI11" s="68">
        <f t="shared" si="2"/>
        <v>0</v>
      </c>
      <c r="AJ11" s="17"/>
      <c r="AK11" s="120" t="s">
        <v>396</v>
      </c>
      <c r="AL11" s="22"/>
    </row>
    <row r="12">
      <c r="A12" s="33" t="s">
        <v>36</v>
      </c>
      <c r="B12" s="604">
        <v>1.0</v>
      </c>
      <c r="C12" s="508"/>
      <c r="D12" s="59">
        <v>2.0</v>
      </c>
      <c r="E12" s="59"/>
      <c r="F12" s="515"/>
      <c r="G12" s="530"/>
      <c r="H12" s="59">
        <v>1.0</v>
      </c>
      <c r="I12" s="59"/>
      <c r="J12" s="59"/>
      <c r="K12" s="530"/>
      <c r="L12" s="791"/>
      <c r="M12" s="515"/>
      <c r="N12" s="48"/>
      <c r="O12" s="59"/>
      <c r="P12" s="49"/>
      <c r="Q12" s="46"/>
      <c r="R12" s="59"/>
      <c r="S12" s="792"/>
      <c r="T12" s="192"/>
      <c r="U12" s="530"/>
      <c r="V12" s="46"/>
      <c r="W12" s="46"/>
      <c r="X12" s="46"/>
      <c r="Y12" s="59"/>
      <c r="Z12" s="46"/>
      <c r="AA12" s="192"/>
      <c r="AB12" s="191"/>
      <c r="AC12" s="46"/>
      <c r="AD12" s="46"/>
      <c r="AE12" s="46"/>
      <c r="AF12" s="46"/>
      <c r="AG12" s="62">
        <f t="shared" si="1"/>
        <v>4</v>
      </c>
      <c r="AH12" s="80">
        <v>1200.0</v>
      </c>
      <c r="AI12" s="68">
        <f t="shared" si="2"/>
        <v>4800</v>
      </c>
      <c r="AJ12" s="17"/>
      <c r="AK12" s="124"/>
    </row>
    <row r="13">
      <c r="A13" s="33" t="s">
        <v>39</v>
      </c>
      <c r="B13" s="618"/>
      <c r="C13" s="611"/>
      <c r="D13" s="59">
        <v>1.0</v>
      </c>
      <c r="E13" s="59"/>
      <c r="F13" s="51"/>
      <c r="G13" s="48"/>
      <c r="H13" s="46"/>
      <c r="I13" s="46"/>
      <c r="J13" s="54"/>
      <c r="K13" s="538"/>
      <c r="L13" s="527"/>
      <c r="M13" s="51"/>
      <c r="N13" s="48"/>
      <c r="O13" s="46"/>
      <c r="P13" s="59"/>
      <c r="Q13" s="46"/>
      <c r="R13" s="46"/>
      <c r="S13" s="792"/>
      <c r="T13" s="192"/>
      <c r="U13" s="191"/>
      <c r="V13" s="46"/>
      <c r="W13" s="46"/>
      <c r="X13" s="59"/>
      <c r="Y13" s="59"/>
      <c r="Z13" s="46"/>
      <c r="AA13" s="192"/>
      <c r="AB13" s="191"/>
      <c r="AC13" s="46"/>
      <c r="AD13" s="46"/>
      <c r="AE13" s="46"/>
      <c r="AF13" s="46"/>
      <c r="AG13" s="62">
        <f t="shared" si="1"/>
        <v>1</v>
      </c>
      <c r="AH13" s="80">
        <v>490.0</v>
      </c>
      <c r="AI13" s="68">
        <f t="shared" si="2"/>
        <v>490</v>
      </c>
      <c r="AJ13" s="17"/>
      <c r="AK13" s="113"/>
      <c r="AL13" s="113"/>
    </row>
    <row r="14">
      <c r="A14" s="33" t="s">
        <v>44</v>
      </c>
      <c r="B14" s="604"/>
      <c r="C14" s="611"/>
      <c r="D14" s="54"/>
      <c r="E14" s="46"/>
      <c r="F14" s="51"/>
      <c r="G14" s="529"/>
      <c r="H14" s="493">
        <v>1.0</v>
      </c>
      <c r="I14" s="493">
        <v>2.0</v>
      </c>
      <c r="J14" s="59"/>
      <c r="K14" s="530"/>
      <c r="L14" s="527"/>
      <c r="M14" s="515"/>
      <c r="N14" s="48"/>
      <c r="O14" s="493"/>
      <c r="P14" s="49"/>
      <c r="Q14" s="59"/>
      <c r="R14" s="46"/>
      <c r="S14" s="792"/>
      <c r="T14" s="192"/>
      <c r="U14" s="191"/>
      <c r="V14" s="493"/>
      <c r="W14" s="59"/>
      <c r="X14" s="46"/>
      <c r="Y14" s="59"/>
      <c r="Z14" s="46"/>
      <c r="AA14" s="192"/>
      <c r="AB14" s="191"/>
      <c r="AC14" s="46"/>
      <c r="AD14" s="46"/>
      <c r="AE14" s="46"/>
      <c r="AF14" s="46"/>
      <c r="AG14" s="62">
        <f t="shared" si="1"/>
        <v>3</v>
      </c>
      <c r="AH14" s="80">
        <v>130.0</v>
      </c>
      <c r="AI14" s="68">
        <f t="shared" si="2"/>
        <v>390</v>
      </c>
      <c r="AJ14" s="17"/>
      <c r="AK14" s="132"/>
      <c r="AL14" s="132"/>
    </row>
    <row r="15">
      <c r="A15" s="33" t="s">
        <v>47</v>
      </c>
      <c r="B15" s="618"/>
      <c r="C15" s="611"/>
      <c r="D15" s="54"/>
      <c r="E15" s="46"/>
      <c r="F15" s="51"/>
      <c r="G15" s="48"/>
      <c r="H15" s="49"/>
      <c r="I15" s="49"/>
      <c r="J15" s="59"/>
      <c r="K15" s="538"/>
      <c r="L15" s="797"/>
      <c r="M15" s="51"/>
      <c r="N15" s="48"/>
      <c r="O15" s="46"/>
      <c r="P15" s="46"/>
      <c r="Q15" s="46"/>
      <c r="R15" s="46"/>
      <c r="S15" s="794"/>
      <c r="T15" s="192"/>
      <c r="U15" s="191"/>
      <c r="V15" s="46"/>
      <c r="W15" s="46"/>
      <c r="X15" s="46"/>
      <c r="Y15" s="46"/>
      <c r="Z15" s="46"/>
      <c r="AA15" s="192"/>
      <c r="AB15" s="191"/>
      <c r="AC15" s="46"/>
      <c r="AD15" s="46"/>
      <c r="AE15" s="46"/>
      <c r="AF15" s="46"/>
      <c r="AG15" s="62">
        <f t="shared" si="1"/>
        <v>0</v>
      </c>
      <c r="AH15" s="80">
        <v>60.0</v>
      </c>
      <c r="AI15" s="68">
        <f t="shared" si="2"/>
        <v>0</v>
      </c>
      <c r="AJ15" s="17"/>
      <c r="AK15" s="132"/>
      <c r="AL15" s="132"/>
    </row>
    <row r="16">
      <c r="A16" s="33" t="s">
        <v>50</v>
      </c>
      <c r="B16" s="604">
        <v>1.0</v>
      </c>
      <c r="C16" s="611"/>
      <c r="D16" s="59">
        <v>1.0</v>
      </c>
      <c r="E16" s="59">
        <v>1.0</v>
      </c>
      <c r="F16" s="51"/>
      <c r="G16" s="48"/>
      <c r="H16" s="59">
        <v>1.0</v>
      </c>
      <c r="I16" s="59">
        <v>4.0</v>
      </c>
      <c r="J16" s="59"/>
      <c r="K16" s="191"/>
      <c r="L16" s="797"/>
      <c r="M16" s="51"/>
      <c r="N16" s="530"/>
      <c r="O16" s="46"/>
      <c r="P16" s="46"/>
      <c r="Q16" s="46"/>
      <c r="R16" s="59"/>
      <c r="S16" s="794"/>
      <c r="T16" s="192"/>
      <c r="U16" s="530"/>
      <c r="V16" s="46"/>
      <c r="W16" s="46"/>
      <c r="X16" s="46"/>
      <c r="Y16" s="59"/>
      <c r="Z16" s="46"/>
      <c r="AA16" s="192"/>
      <c r="AB16" s="191"/>
      <c r="AC16" s="46"/>
      <c r="AD16" s="46"/>
      <c r="AE16" s="46"/>
      <c r="AF16" s="46"/>
      <c r="AG16" s="62">
        <f t="shared" si="1"/>
        <v>8</v>
      </c>
      <c r="AH16" s="80">
        <v>75.0</v>
      </c>
      <c r="AI16" s="68">
        <f t="shared" si="2"/>
        <v>600</v>
      </c>
      <c r="AJ16" s="17"/>
      <c r="AK16" s="132"/>
      <c r="AL16" s="132"/>
    </row>
    <row r="17">
      <c r="A17" s="33" t="s">
        <v>61</v>
      </c>
      <c r="B17" s="604">
        <v>3.0</v>
      </c>
      <c r="C17" s="611"/>
      <c r="D17" s="59">
        <v>4.0</v>
      </c>
      <c r="E17" s="59"/>
      <c r="F17" s="515"/>
      <c r="G17" s="529"/>
      <c r="H17" s="59">
        <v>3.0</v>
      </c>
      <c r="I17" s="493">
        <v>2.0</v>
      </c>
      <c r="J17" s="493"/>
      <c r="K17" s="529"/>
      <c r="L17" s="791"/>
      <c r="M17" s="515"/>
      <c r="N17" s="529"/>
      <c r="O17" s="493"/>
      <c r="P17" s="493"/>
      <c r="Q17" s="493"/>
      <c r="R17" s="59"/>
      <c r="S17" s="792"/>
      <c r="T17" s="515"/>
      <c r="U17" s="530"/>
      <c r="V17" s="493"/>
      <c r="W17" s="59"/>
      <c r="X17" s="59"/>
      <c r="Y17" s="59"/>
      <c r="Z17" s="46"/>
      <c r="AA17" s="192"/>
      <c r="AB17" s="191"/>
      <c r="AC17" s="46"/>
      <c r="AD17" s="46"/>
      <c r="AE17" s="46"/>
      <c r="AF17" s="46"/>
      <c r="AG17" s="62">
        <f t="shared" si="1"/>
        <v>12</v>
      </c>
      <c r="AH17" s="80">
        <v>350.0</v>
      </c>
      <c r="AI17" s="68">
        <f t="shared" si="2"/>
        <v>4200</v>
      </c>
      <c r="AJ17" s="17"/>
      <c r="AK17" s="132"/>
      <c r="AL17" s="132"/>
    </row>
    <row r="18">
      <c r="A18" s="33" t="s">
        <v>55</v>
      </c>
      <c r="B18" s="604"/>
      <c r="C18" s="508"/>
      <c r="D18" s="59">
        <v>3.0</v>
      </c>
      <c r="E18" s="46"/>
      <c r="F18" s="515"/>
      <c r="G18" s="530"/>
      <c r="H18" s="59">
        <v>2.0</v>
      </c>
      <c r="I18" s="46"/>
      <c r="J18" s="59"/>
      <c r="K18" s="530"/>
      <c r="L18" s="527"/>
      <c r="M18" s="515"/>
      <c r="N18" s="530"/>
      <c r="O18" s="59"/>
      <c r="P18" s="46"/>
      <c r="Q18" s="493"/>
      <c r="R18" s="59"/>
      <c r="S18" s="794"/>
      <c r="T18" s="515"/>
      <c r="U18" s="191"/>
      <c r="V18" s="49"/>
      <c r="W18" s="59"/>
      <c r="X18" s="46"/>
      <c r="Y18" s="46"/>
      <c r="Z18" s="46"/>
      <c r="AA18" s="192"/>
      <c r="AB18" s="191"/>
      <c r="AC18" s="46"/>
      <c r="AD18" s="46"/>
      <c r="AE18" s="46"/>
      <c r="AF18" s="46"/>
      <c r="AG18" s="62">
        <f t="shared" si="1"/>
        <v>5</v>
      </c>
      <c r="AH18" s="80">
        <v>250.0</v>
      </c>
      <c r="AI18" s="68">
        <f t="shared" si="2"/>
        <v>1250</v>
      </c>
      <c r="AJ18" s="17"/>
      <c r="AK18" s="132"/>
      <c r="AL18" s="132"/>
    </row>
    <row r="19">
      <c r="A19" s="33" t="s">
        <v>397</v>
      </c>
      <c r="B19" s="604">
        <v>1.0</v>
      </c>
      <c r="C19" s="507"/>
      <c r="D19" s="59">
        <v>3.0</v>
      </c>
      <c r="E19" s="46"/>
      <c r="F19" s="515"/>
      <c r="G19" s="529"/>
      <c r="H19" s="493">
        <v>3.0</v>
      </c>
      <c r="I19" s="59"/>
      <c r="J19" s="493"/>
      <c r="K19" s="529"/>
      <c r="L19" s="527"/>
      <c r="M19" s="515"/>
      <c r="N19" s="529"/>
      <c r="O19" s="59"/>
      <c r="P19" s="493"/>
      <c r="Q19" s="59"/>
      <c r="R19" s="59"/>
      <c r="S19" s="792"/>
      <c r="T19" s="515"/>
      <c r="U19" s="530"/>
      <c r="V19" s="59"/>
      <c r="W19" s="46"/>
      <c r="X19" s="59"/>
      <c r="Y19" s="59"/>
      <c r="Z19" s="46"/>
      <c r="AA19" s="192"/>
      <c r="AB19" s="191"/>
      <c r="AC19" s="46"/>
      <c r="AD19" s="46"/>
      <c r="AE19" s="46"/>
      <c r="AF19" s="46"/>
      <c r="AG19" s="62">
        <f t="shared" si="1"/>
        <v>7</v>
      </c>
      <c r="AH19" s="80">
        <v>750.0</v>
      </c>
      <c r="AI19" s="68">
        <f t="shared" si="2"/>
        <v>5250</v>
      </c>
      <c r="AJ19" s="17"/>
      <c r="AK19" s="132"/>
      <c r="AL19" s="132"/>
    </row>
    <row r="20">
      <c r="A20" s="33" t="s">
        <v>406</v>
      </c>
      <c r="B20" s="604"/>
      <c r="C20" s="507"/>
      <c r="D20" s="59"/>
      <c r="E20" s="46"/>
      <c r="F20" s="515"/>
      <c r="G20" s="529"/>
      <c r="H20" s="493"/>
      <c r="I20" s="59"/>
      <c r="J20" s="493"/>
      <c r="K20" s="529"/>
      <c r="L20" s="527"/>
      <c r="M20" s="515"/>
      <c r="N20" s="529"/>
      <c r="O20" s="59"/>
      <c r="P20" s="493"/>
      <c r="Q20" s="59"/>
      <c r="R20" s="59"/>
      <c r="S20" s="792"/>
      <c r="T20" s="515"/>
      <c r="U20" s="530"/>
      <c r="V20" s="59"/>
      <c r="W20" s="46"/>
      <c r="X20" s="59"/>
      <c r="Y20" s="59"/>
      <c r="Z20" s="46"/>
      <c r="AA20" s="192"/>
      <c r="AB20" s="191"/>
      <c r="AC20" s="46"/>
      <c r="AD20" s="46"/>
      <c r="AE20" s="46"/>
      <c r="AF20" s="46"/>
      <c r="AG20" s="62">
        <f t="shared" si="1"/>
        <v>0</v>
      </c>
      <c r="AH20" s="80">
        <v>399.0</v>
      </c>
      <c r="AI20" s="68">
        <f t="shared" si="2"/>
        <v>0</v>
      </c>
      <c r="AJ20" s="17"/>
      <c r="AK20" s="132"/>
      <c r="AL20" s="132"/>
    </row>
    <row r="21">
      <c r="A21" s="33" t="s">
        <v>399</v>
      </c>
      <c r="B21" s="595"/>
      <c r="C21" s="611"/>
      <c r="D21" s="54"/>
      <c r="E21" s="46"/>
      <c r="F21" s="51"/>
      <c r="G21" s="529"/>
      <c r="H21" s="46"/>
      <c r="I21" s="49"/>
      <c r="J21" s="54"/>
      <c r="K21" s="191"/>
      <c r="L21" s="793"/>
      <c r="M21" s="51"/>
      <c r="N21" s="48"/>
      <c r="O21" s="46"/>
      <c r="P21" s="59"/>
      <c r="Q21" s="46"/>
      <c r="R21" s="46"/>
      <c r="S21" s="794"/>
      <c r="T21" s="192"/>
      <c r="U21" s="191"/>
      <c r="V21" s="46"/>
      <c r="W21" s="46"/>
      <c r="X21" s="46"/>
      <c r="Y21" s="46"/>
      <c r="Z21" s="46"/>
      <c r="AA21" s="192"/>
      <c r="AB21" s="191"/>
      <c r="AC21" s="46"/>
      <c r="AD21" s="46"/>
      <c r="AE21" s="46"/>
      <c r="AF21" s="46"/>
      <c r="AG21" s="62">
        <f t="shared" si="1"/>
        <v>0</v>
      </c>
      <c r="AH21" s="80">
        <v>850.0</v>
      </c>
      <c r="AI21" s="68">
        <f t="shared" si="2"/>
        <v>0</v>
      </c>
      <c r="AJ21" s="17"/>
      <c r="AK21" s="132"/>
      <c r="AL21" s="132"/>
    </row>
    <row r="22">
      <c r="A22" s="33" t="s">
        <v>407</v>
      </c>
      <c r="B22" s="595"/>
      <c r="C22" s="611"/>
      <c r="D22" s="59">
        <v>2.0</v>
      </c>
      <c r="E22" s="46"/>
      <c r="F22" s="51"/>
      <c r="G22" s="529"/>
      <c r="H22" s="59">
        <v>1.0</v>
      </c>
      <c r="I22" s="49"/>
      <c r="J22" s="54"/>
      <c r="K22" s="191"/>
      <c r="L22" s="793"/>
      <c r="M22" s="51"/>
      <c r="N22" s="48"/>
      <c r="O22" s="46"/>
      <c r="P22" s="59"/>
      <c r="Q22" s="46"/>
      <c r="R22" s="46"/>
      <c r="S22" s="794"/>
      <c r="T22" s="192"/>
      <c r="U22" s="191"/>
      <c r="V22" s="46"/>
      <c r="W22" s="46"/>
      <c r="X22" s="46"/>
      <c r="Y22" s="46"/>
      <c r="Z22" s="46"/>
      <c r="AA22" s="192"/>
      <c r="AB22" s="191"/>
      <c r="AC22" s="46"/>
      <c r="AD22" s="46"/>
      <c r="AE22" s="46"/>
      <c r="AF22" s="46"/>
      <c r="AG22" s="62">
        <f t="shared" si="1"/>
        <v>3</v>
      </c>
      <c r="AH22" s="80">
        <v>499.0</v>
      </c>
      <c r="AI22" s="68">
        <f t="shared" si="2"/>
        <v>1497</v>
      </c>
      <c r="AJ22" s="17"/>
      <c r="AK22" s="132"/>
      <c r="AL22" s="132"/>
    </row>
    <row r="23">
      <c r="A23" s="142" t="s">
        <v>63</v>
      </c>
      <c r="B23" s="595">
        <v>6.0</v>
      </c>
      <c r="C23" s="611"/>
      <c r="D23" s="59">
        <v>5.0</v>
      </c>
      <c r="E23" s="493">
        <v>3.0</v>
      </c>
      <c r="F23" s="515"/>
      <c r="G23" s="529"/>
      <c r="H23" s="493">
        <v>4.0</v>
      </c>
      <c r="I23" s="493">
        <v>4.0</v>
      </c>
      <c r="J23" s="493"/>
      <c r="K23" s="529"/>
      <c r="L23" s="791"/>
      <c r="M23" s="515"/>
      <c r="N23" s="529"/>
      <c r="O23" s="493"/>
      <c r="P23" s="49"/>
      <c r="Q23" s="493"/>
      <c r="R23" s="59"/>
      <c r="S23" s="792"/>
      <c r="T23" s="515"/>
      <c r="U23" s="530"/>
      <c r="V23" s="493"/>
      <c r="W23" s="46"/>
      <c r="X23" s="59"/>
      <c r="Y23" s="59"/>
      <c r="Z23" s="46"/>
      <c r="AA23" s="192"/>
      <c r="AB23" s="191"/>
      <c r="AC23" s="46"/>
      <c r="AD23" s="46"/>
      <c r="AE23" s="46"/>
      <c r="AF23" s="46"/>
      <c r="AG23" s="62">
        <f t="shared" si="1"/>
        <v>22</v>
      </c>
      <c r="AH23" s="80">
        <v>25.0</v>
      </c>
      <c r="AI23" s="68">
        <f t="shared" si="2"/>
        <v>550</v>
      </c>
      <c r="AJ23" s="17"/>
      <c r="AK23" s="132"/>
      <c r="AL23" s="132"/>
    </row>
    <row r="24">
      <c r="A24" s="142" t="s">
        <v>66</v>
      </c>
      <c r="B24" s="604">
        <v>3.0</v>
      </c>
      <c r="C24" s="507"/>
      <c r="D24" s="59">
        <v>21.0</v>
      </c>
      <c r="E24" s="493">
        <v>2.0</v>
      </c>
      <c r="F24" s="515"/>
      <c r="G24" s="529"/>
      <c r="H24" s="493">
        <v>4.0</v>
      </c>
      <c r="I24" s="493">
        <v>6.0</v>
      </c>
      <c r="J24" s="493"/>
      <c r="K24" s="529"/>
      <c r="L24" s="791"/>
      <c r="M24" s="515"/>
      <c r="N24" s="529"/>
      <c r="O24" s="493"/>
      <c r="P24" s="49"/>
      <c r="Q24" s="493"/>
      <c r="R24" s="59"/>
      <c r="S24" s="794"/>
      <c r="T24" s="515"/>
      <c r="U24" s="530"/>
      <c r="V24" s="493"/>
      <c r="W24" s="46"/>
      <c r="X24" s="59"/>
      <c r="Y24" s="59"/>
      <c r="Z24" s="46"/>
      <c r="AA24" s="192"/>
      <c r="AB24" s="191"/>
      <c r="AC24" s="46"/>
      <c r="AD24" s="46"/>
      <c r="AE24" s="46"/>
      <c r="AF24" s="46"/>
      <c r="AG24" s="62">
        <f t="shared" si="1"/>
        <v>36</v>
      </c>
      <c r="AH24" s="80">
        <v>30.0</v>
      </c>
      <c r="AI24" s="68">
        <f t="shared" si="2"/>
        <v>1080</v>
      </c>
      <c r="AJ24" s="17"/>
      <c r="AK24" s="132"/>
      <c r="AL24" s="132"/>
    </row>
    <row r="25">
      <c r="A25" s="142" t="s">
        <v>68</v>
      </c>
      <c r="B25" s="595">
        <v>1.0</v>
      </c>
      <c r="C25" s="516"/>
      <c r="D25" s="59">
        <v>10.0</v>
      </c>
      <c r="E25" s="59">
        <v>3.0</v>
      </c>
      <c r="F25" s="515"/>
      <c r="G25" s="529"/>
      <c r="H25" s="493">
        <v>3.0</v>
      </c>
      <c r="I25" s="493">
        <v>3.0</v>
      </c>
      <c r="J25" s="493"/>
      <c r="K25" s="529"/>
      <c r="L25" s="527"/>
      <c r="M25" s="515"/>
      <c r="N25" s="530"/>
      <c r="O25" s="493"/>
      <c r="P25" s="493"/>
      <c r="Q25" s="493"/>
      <c r="R25" s="59"/>
      <c r="S25" s="794"/>
      <c r="T25" s="515"/>
      <c r="U25" s="530"/>
      <c r="V25" s="59"/>
      <c r="W25" s="46"/>
      <c r="X25" s="59"/>
      <c r="Y25" s="59"/>
      <c r="Z25" s="46"/>
      <c r="AA25" s="192"/>
      <c r="AB25" s="191"/>
      <c r="AC25" s="46"/>
      <c r="AD25" s="46"/>
      <c r="AE25" s="46"/>
      <c r="AF25" s="46"/>
      <c r="AG25" s="62">
        <f t="shared" si="1"/>
        <v>20</v>
      </c>
      <c r="AH25" s="80">
        <v>35.0</v>
      </c>
      <c r="AI25" s="68">
        <f t="shared" si="2"/>
        <v>700</v>
      </c>
      <c r="AJ25" s="17"/>
      <c r="AK25" s="132"/>
      <c r="AL25" s="132"/>
    </row>
    <row r="26">
      <c r="A26" s="142" t="s">
        <v>70</v>
      </c>
      <c r="B26" s="618"/>
      <c r="C26" s="508"/>
      <c r="D26" s="54"/>
      <c r="E26" s="46"/>
      <c r="F26" s="51"/>
      <c r="G26" s="48"/>
      <c r="H26" s="46"/>
      <c r="I26" s="46"/>
      <c r="J26" s="54"/>
      <c r="K26" s="191"/>
      <c r="L26" s="793"/>
      <c r="M26" s="51"/>
      <c r="N26" s="48"/>
      <c r="O26" s="46"/>
      <c r="P26" s="46"/>
      <c r="Q26" s="46"/>
      <c r="R26" s="46"/>
      <c r="S26" s="794"/>
      <c r="T26" s="192"/>
      <c r="U26" s="191"/>
      <c r="V26" s="46"/>
      <c r="W26" s="46"/>
      <c r="X26" s="46"/>
      <c r="Y26" s="46"/>
      <c r="Z26" s="46"/>
      <c r="AA26" s="192"/>
      <c r="AB26" s="191"/>
      <c r="AC26" s="46"/>
      <c r="AD26" s="46"/>
      <c r="AE26" s="46"/>
      <c r="AF26" s="46"/>
      <c r="AG26" s="62">
        <f t="shared" si="1"/>
        <v>0</v>
      </c>
      <c r="AH26" s="80">
        <v>130.0</v>
      </c>
      <c r="AI26" s="68">
        <f t="shared" si="2"/>
        <v>0</v>
      </c>
      <c r="AJ26" s="17"/>
      <c r="AK26" s="132"/>
      <c r="AL26" s="132"/>
    </row>
    <row r="27">
      <c r="A27" s="142" t="s">
        <v>72</v>
      </c>
      <c r="B27" s="618"/>
      <c r="C27" s="507"/>
      <c r="D27" s="59"/>
      <c r="E27" s="59"/>
      <c r="F27" s="51"/>
      <c r="G27" s="529"/>
      <c r="H27" s="493"/>
      <c r="I27" s="493"/>
      <c r="J27" s="54"/>
      <c r="K27" s="530"/>
      <c r="L27" s="791"/>
      <c r="M27" s="515"/>
      <c r="N27" s="529"/>
      <c r="O27" s="59"/>
      <c r="P27" s="59"/>
      <c r="Q27" s="59"/>
      <c r="R27" s="59"/>
      <c r="S27" s="794"/>
      <c r="T27" s="192"/>
      <c r="U27" s="530"/>
      <c r="V27" s="493"/>
      <c r="W27" s="59"/>
      <c r="X27" s="46"/>
      <c r="Y27" s="59"/>
      <c r="Z27" s="46"/>
      <c r="AA27" s="192"/>
      <c r="AB27" s="191"/>
      <c r="AC27" s="46"/>
      <c r="AD27" s="46"/>
      <c r="AE27" s="46"/>
      <c r="AF27" s="46"/>
      <c r="AG27" s="62">
        <f t="shared" si="1"/>
        <v>0</v>
      </c>
      <c r="AH27" s="80">
        <v>50.0</v>
      </c>
      <c r="AI27" s="68">
        <f t="shared" si="2"/>
        <v>0</v>
      </c>
      <c r="AJ27" s="17"/>
      <c r="AK27" s="132"/>
      <c r="AL27" s="132"/>
    </row>
    <row r="28">
      <c r="A28" s="142" t="s">
        <v>74</v>
      </c>
      <c r="B28" s="618"/>
      <c r="C28" s="508"/>
      <c r="D28" s="54"/>
      <c r="E28" s="46"/>
      <c r="F28" s="51"/>
      <c r="G28" s="48"/>
      <c r="H28" s="46"/>
      <c r="I28" s="46"/>
      <c r="J28" s="54"/>
      <c r="K28" s="191"/>
      <c r="L28" s="793"/>
      <c r="M28" s="51"/>
      <c r="N28" s="48"/>
      <c r="O28" s="46"/>
      <c r="P28" s="46"/>
      <c r="Q28" s="46"/>
      <c r="R28" s="46"/>
      <c r="S28" s="794"/>
      <c r="T28" s="192"/>
      <c r="U28" s="191"/>
      <c r="V28" s="46"/>
      <c r="W28" s="46"/>
      <c r="X28" s="46"/>
      <c r="Y28" s="46"/>
      <c r="Z28" s="46"/>
      <c r="AA28" s="192"/>
      <c r="AB28" s="191"/>
      <c r="AC28" s="46"/>
      <c r="AD28" s="46"/>
      <c r="AE28" s="46"/>
      <c r="AF28" s="46"/>
      <c r="AG28" s="62">
        <f t="shared" si="1"/>
        <v>0</v>
      </c>
      <c r="AH28" s="80">
        <v>50.0</v>
      </c>
      <c r="AI28" s="68">
        <f t="shared" si="2"/>
        <v>0</v>
      </c>
      <c r="AJ28" s="17"/>
      <c r="AK28" s="132"/>
      <c r="AL28" s="132"/>
    </row>
    <row r="29">
      <c r="A29" s="142" t="s">
        <v>75</v>
      </c>
      <c r="B29" s="604"/>
      <c r="C29" s="611"/>
      <c r="D29" s="54"/>
      <c r="E29" s="46"/>
      <c r="F29" s="515"/>
      <c r="G29" s="530"/>
      <c r="H29" s="46"/>
      <c r="I29" s="49"/>
      <c r="J29" s="54"/>
      <c r="K29" s="530"/>
      <c r="L29" s="793"/>
      <c r="M29" s="51"/>
      <c r="N29" s="48"/>
      <c r="O29" s="46"/>
      <c r="P29" s="59"/>
      <c r="Q29" s="46"/>
      <c r="R29" s="46"/>
      <c r="S29" s="794"/>
      <c r="T29" s="515"/>
      <c r="U29" s="191"/>
      <c r="V29" s="46"/>
      <c r="W29" s="46"/>
      <c r="X29" s="46"/>
      <c r="Y29" s="59"/>
      <c r="Z29" s="46"/>
      <c r="AA29" s="192"/>
      <c r="AB29" s="191"/>
      <c r="AC29" s="46"/>
      <c r="AD29" s="46"/>
      <c r="AE29" s="46"/>
      <c r="AF29" s="46"/>
      <c r="AG29" s="62">
        <f t="shared" si="1"/>
        <v>0</v>
      </c>
      <c r="AH29" s="80">
        <v>35.0</v>
      </c>
      <c r="AI29" s="68">
        <f t="shared" si="2"/>
        <v>0</v>
      </c>
      <c r="AJ29" s="17"/>
      <c r="AK29" s="132"/>
      <c r="AL29" s="132"/>
    </row>
    <row r="30">
      <c r="A30" s="142" t="s">
        <v>77</v>
      </c>
      <c r="B30" s="604"/>
      <c r="C30" s="508"/>
      <c r="D30" s="59"/>
      <c r="E30" s="49"/>
      <c r="F30" s="515"/>
      <c r="G30" s="530"/>
      <c r="H30" s="59">
        <v>1.0</v>
      </c>
      <c r="I30" s="493"/>
      <c r="J30" s="59"/>
      <c r="K30" s="529"/>
      <c r="L30" s="797"/>
      <c r="M30" s="515"/>
      <c r="N30" s="530"/>
      <c r="O30" s="493"/>
      <c r="P30" s="46"/>
      <c r="Q30" s="46"/>
      <c r="R30" s="59"/>
      <c r="S30" s="794"/>
      <c r="T30" s="192"/>
      <c r="U30" s="191"/>
      <c r="V30" s="59"/>
      <c r="W30" s="59"/>
      <c r="X30" s="46"/>
      <c r="Y30" s="59"/>
      <c r="Z30" s="46"/>
      <c r="AA30" s="192"/>
      <c r="AB30" s="191"/>
      <c r="AC30" s="46"/>
      <c r="AD30" s="46"/>
      <c r="AE30" s="46"/>
      <c r="AF30" s="46"/>
      <c r="AG30" s="62">
        <f t="shared" si="1"/>
        <v>1</v>
      </c>
      <c r="AH30" s="80">
        <v>100.0</v>
      </c>
      <c r="AI30" s="68">
        <f t="shared" si="2"/>
        <v>100</v>
      </c>
      <c r="AJ30" s="17"/>
      <c r="AK30" s="132"/>
      <c r="AL30" s="132"/>
    </row>
    <row r="31">
      <c r="A31" s="142" t="s">
        <v>79</v>
      </c>
      <c r="B31" s="604"/>
      <c r="C31" s="508"/>
      <c r="D31" s="54"/>
      <c r="E31" s="46"/>
      <c r="F31" s="51"/>
      <c r="G31" s="48"/>
      <c r="H31" s="46"/>
      <c r="I31" s="46"/>
      <c r="J31" s="54"/>
      <c r="K31" s="191"/>
      <c r="L31" s="793"/>
      <c r="M31" s="51"/>
      <c r="N31" s="48"/>
      <c r="O31" s="46"/>
      <c r="P31" s="46"/>
      <c r="Q31" s="46"/>
      <c r="R31" s="46"/>
      <c r="S31" s="794"/>
      <c r="T31" s="192"/>
      <c r="U31" s="191"/>
      <c r="V31" s="46"/>
      <c r="W31" s="46"/>
      <c r="X31" s="46"/>
      <c r="Y31" s="46"/>
      <c r="Z31" s="46"/>
      <c r="AA31" s="192"/>
      <c r="AB31" s="191"/>
      <c r="AC31" s="46"/>
      <c r="AD31" s="46"/>
      <c r="AE31" s="46"/>
      <c r="AF31" s="46"/>
      <c r="AG31" s="62">
        <f t="shared" si="1"/>
        <v>0</v>
      </c>
      <c r="AH31" s="80">
        <v>20.0</v>
      </c>
      <c r="AI31" s="68">
        <f t="shared" si="2"/>
        <v>0</v>
      </c>
      <c r="AJ31" s="17"/>
      <c r="AK31" s="132"/>
      <c r="AL31" s="132"/>
    </row>
    <row r="32">
      <c r="A32" s="142" t="s">
        <v>82</v>
      </c>
      <c r="B32" s="595">
        <v>2.0</v>
      </c>
      <c r="C32" s="507"/>
      <c r="D32" s="59">
        <v>2.0</v>
      </c>
      <c r="E32" s="493">
        <v>2.0</v>
      </c>
      <c r="F32" s="515"/>
      <c r="G32" s="529"/>
      <c r="H32" s="493">
        <v>3.0</v>
      </c>
      <c r="I32" s="59">
        <v>8.0</v>
      </c>
      <c r="J32" s="493"/>
      <c r="K32" s="529"/>
      <c r="L32" s="791"/>
      <c r="M32" s="515"/>
      <c r="N32" s="529"/>
      <c r="O32" s="493"/>
      <c r="P32" s="493"/>
      <c r="Q32" s="493"/>
      <c r="R32" s="59"/>
      <c r="S32" s="792"/>
      <c r="T32" s="515"/>
      <c r="U32" s="530"/>
      <c r="V32" s="493"/>
      <c r="W32" s="59"/>
      <c r="X32" s="59"/>
      <c r="Y32" s="59"/>
      <c r="Z32" s="46"/>
      <c r="AA32" s="192"/>
      <c r="AB32" s="191"/>
      <c r="AC32" s="46"/>
      <c r="AD32" s="46"/>
      <c r="AE32" s="46"/>
      <c r="AF32" s="46"/>
      <c r="AG32" s="62">
        <f t="shared" si="1"/>
        <v>17</v>
      </c>
      <c r="AH32" s="80">
        <v>40.0</v>
      </c>
      <c r="AI32" s="68">
        <f t="shared" si="2"/>
        <v>680</v>
      </c>
      <c r="AJ32" s="17"/>
      <c r="AK32" s="132"/>
      <c r="AL32" s="132"/>
    </row>
    <row r="33">
      <c r="A33" s="33" t="s">
        <v>85</v>
      </c>
      <c r="B33" s="604">
        <v>4.0</v>
      </c>
      <c r="C33" s="507"/>
      <c r="D33" s="59">
        <v>8.0</v>
      </c>
      <c r="E33" s="493">
        <v>2.0</v>
      </c>
      <c r="F33" s="51"/>
      <c r="G33" s="547"/>
      <c r="H33" s="493">
        <v>6.0</v>
      </c>
      <c r="I33" s="493">
        <v>2.0</v>
      </c>
      <c r="J33" s="59"/>
      <c r="K33" s="530"/>
      <c r="L33" s="797"/>
      <c r="M33" s="515"/>
      <c r="N33" s="547"/>
      <c r="O33" s="493"/>
      <c r="P33" s="493"/>
      <c r="Q33" s="493"/>
      <c r="R33" s="59"/>
      <c r="S33" s="792"/>
      <c r="T33" s="515"/>
      <c r="U33" s="530"/>
      <c r="V33" s="59"/>
      <c r="W33" s="59"/>
      <c r="X33" s="59"/>
      <c r="Y33" s="59"/>
      <c r="Z33" s="46"/>
      <c r="AA33" s="192"/>
      <c r="AB33" s="191"/>
      <c r="AC33" s="46"/>
      <c r="AD33" s="46"/>
      <c r="AE33" s="46"/>
      <c r="AF33" s="46"/>
      <c r="AG33" s="62">
        <f t="shared" si="1"/>
        <v>22</v>
      </c>
      <c r="AH33" s="80">
        <v>80.0</v>
      </c>
      <c r="AI33" s="68">
        <f t="shared" si="2"/>
        <v>1760</v>
      </c>
      <c r="AJ33" s="17"/>
      <c r="AK33" s="132"/>
      <c r="AL33" s="132"/>
    </row>
    <row r="34">
      <c r="A34" s="147" t="s">
        <v>87</v>
      </c>
      <c r="B34" s="595">
        <v>5.0</v>
      </c>
      <c r="C34" s="507"/>
      <c r="D34" s="59">
        <v>4.0</v>
      </c>
      <c r="E34" s="49"/>
      <c r="F34" s="51"/>
      <c r="G34" s="529"/>
      <c r="H34" s="493">
        <v>1.0</v>
      </c>
      <c r="I34" s="493">
        <v>3.0</v>
      </c>
      <c r="J34" s="493"/>
      <c r="K34" s="529"/>
      <c r="L34" s="797"/>
      <c r="M34" s="515"/>
      <c r="N34" s="547"/>
      <c r="O34" s="49"/>
      <c r="P34" s="49"/>
      <c r="Q34" s="493"/>
      <c r="R34" s="59"/>
      <c r="S34" s="794"/>
      <c r="T34" s="192"/>
      <c r="U34" s="191"/>
      <c r="V34" s="493"/>
      <c r="W34" s="46"/>
      <c r="X34" s="59"/>
      <c r="Y34" s="59"/>
      <c r="Z34" s="46"/>
      <c r="AA34" s="192"/>
      <c r="AB34" s="191"/>
      <c r="AC34" s="46"/>
      <c r="AD34" s="46"/>
      <c r="AE34" s="46"/>
      <c r="AF34" s="46"/>
      <c r="AG34" s="62">
        <f t="shared" si="1"/>
        <v>13</v>
      </c>
      <c r="AH34" s="80">
        <v>170.0</v>
      </c>
      <c r="AI34" s="68">
        <f t="shared" si="2"/>
        <v>2210</v>
      </c>
      <c r="AJ34" s="17"/>
      <c r="AK34" s="132"/>
      <c r="AL34" s="132"/>
    </row>
    <row r="35">
      <c r="A35" s="147" t="s">
        <v>89</v>
      </c>
      <c r="B35" s="604">
        <v>3.0</v>
      </c>
      <c r="C35" s="611"/>
      <c r="D35" s="54"/>
      <c r="E35" s="46"/>
      <c r="F35" s="51"/>
      <c r="G35" s="48"/>
      <c r="H35" s="59">
        <v>2.0</v>
      </c>
      <c r="I35" s="493">
        <v>1.0</v>
      </c>
      <c r="J35" s="59"/>
      <c r="K35" s="191"/>
      <c r="L35" s="793"/>
      <c r="M35" s="51"/>
      <c r="N35" s="48"/>
      <c r="O35" s="46"/>
      <c r="P35" s="59"/>
      <c r="Q35" s="59"/>
      <c r="R35" s="46"/>
      <c r="S35" s="794"/>
      <c r="T35" s="192"/>
      <c r="U35" s="191"/>
      <c r="V35" s="59"/>
      <c r="W35" s="46"/>
      <c r="X35" s="46"/>
      <c r="Y35" s="46"/>
      <c r="Z35" s="46"/>
      <c r="AA35" s="192"/>
      <c r="AB35" s="191"/>
      <c r="AC35" s="46"/>
      <c r="AD35" s="46"/>
      <c r="AE35" s="46"/>
      <c r="AF35" s="46"/>
      <c r="AG35" s="62">
        <f t="shared" si="1"/>
        <v>6</v>
      </c>
      <c r="AH35" s="80">
        <v>130.0</v>
      </c>
      <c r="AI35" s="68">
        <f t="shared" si="2"/>
        <v>780</v>
      </c>
      <c r="AJ35" s="17"/>
      <c r="AK35" s="132"/>
      <c r="AL35" s="132"/>
    </row>
    <row r="36">
      <c r="A36" s="147" t="s">
        <v>90</v>
      </c>
      <c r="B36" s="604">
        <v>1.0</v>
      </c>
      <c r="C36" s="508"/>
      <c r="D36" s="59">
        <v>1.0</v>
      </c>
      <c r="E36" s="493">
        <v>1.0</v>
      </c>
      <c r="F36" s="515"/>
      <c r="G36" s="529"/>
      <c r="H36" s="59">
        <v>2.0</v>
      </c>
      <c r="I36" s="493">
        <v>2.0</v>
      </c>
      <c r="J36" s="59"/>
      <c r="K36" s="529"/>
      <c r="L36" s="793"/>
      <c r="M36" s="515"/>
      <c r="N36" s="530"/>
      <c r="O36" s="59"/>
      <c r="P36" s="46"/>
      <c r="Q36" s="493"/>
      <c r="R36" s="59"/>
      <c r="S36" s="794"/>
      <c r="T36" s="192"/>
      <c r="U36" s="191"/>
      <c r="V36" s="49"/>
      <c r="W36" s="46"/>
      <c r="X36" s="46"/>
      <c r="Y36" s="59"/>
      <c r="Z36" s="46"/>
      <c r="AA36" s="192"/>
      <c r="AB36" s="191"/>
      <c r="AC36" s="46"/>
      <c r="AD36" s="46"/>
      <c r="AE36" s="46"/>
      <c r="AF36" s="46"/>
      <c r="AG36" s="62">
        <f t="shared" si="1"/>
        <v>7</v>
      </c>
      <c r="AH36" s="80">
        <v>150.0</v>
      </c>
      <c r="AI36" s="68">
        <f t="shared" si="2"/>
        <v>1050</v>
      </c>
      <c r="AJ36" s="17"/>
      <c r="AK36" s="132"/>
      <c r="AL36" s="132"/>
    </row>
    <row r="37">
      <c r="A37" s="147" t="s">
        <v>93</v>
      </c>
      <c r="B37" s="618"/>
      <c r="C37" s="507"/>
      <c r="D37" s="54"/>
      <c r="E37" s="49"/>
      <c r="F37" s="515"/>
      <c r="G37" s="547"/>
      <c r="H37" s="46"/>
      <c r="I37" s="493">
        <v>1.0</v>
      </c>
      <c r="J37" s="59"/>
      <c r="K37" s="530"/>
      <c r="L37" s="793"/>
      <c r="M37" s="515"/>
      <c r="N37" s="530"/>
      <c r="O37" s="59"/>
      <c r="P37" s="46"/>
      <c r="Q37" s="59"/>
      <c r="R37" s="46"/>
      <c r="S37" s="792"/>
      <c r="T37" s="192"/>
      <c r="U37" s="530"/>
      <c r="V37" s="59"/>
      <c r="W37" s="59"/>
      <c r="X37" s="46"/>
      <c r="Y37" s="59"/>
      <c r="Z37" s="46"/>
      <c r="AA37" s="192"/>
      <c r="AB37" s="191"/>
      <c r="AC37" s="46"/>
      <c r="AD37" s="46"/>
      <c r="AE37" s="46"/>
      <c r="AF37" s="46"/>
      <c r="AG37" s="62">
        <f t="shared" si="1"/>
        <v>1</v>
      </c>
      <c r="AH37" s="80">
        <v>180.0</v>
      </c>
      <c r="AI37" s="68">
        <f t="shared" si="2"/>
        <v>180</v>
      </c>
      <c r="AJ37" s="17"/>
      <c r="AK37" s="132"/>
      <c r="AL37" s="132"/>
    </row>
    <row r="38">
      <c r="A38" s="147" t="s">
        <v>94</v>
      </c>
      <c r="B38" s="618"/>
      <c r="C38" s="508"/>
      <c r="D38" s="59"/>
      <c r="E38" s="46"/>
      <c r="F38" s="51"/>
      <c r="G38" s="529"/>
      <c r="H38" s="59">
        <v>1.0</v>
      </c>
      <c r="I38" s="49"/>
      <c r="J38" s="59"/>
      <c r="K38" s="530"/>
      <c r="L38" s="793"/>
      <c r="M38" s="515"/>
      <c r="N38" s="48"/>
      <c r="O38" s="46"/>
      <c r="P38" s="46"/>
      <c r="Q38" s="59"/>
      <c r="R38" s="46"/>
      <c r="S38" s="792"/>
      <c r="T38" s="192"/>
      <c r="U38" s="191"/>
      <c r="V38" s="46"/>
      <c r="W38" s="46"/>
      <c r="X38" s="46"/>
      <c r="Y38" s="59"/>
      <c r="Z38" s="46"/>
      <c r="AA38" s="192"/>
      <c r="AB38" s="191"/>
      <c r="AC38" s="46"/>
      <c r="AD38" s="46"/>
      <c r="AE38" s="46"/>
      <c r="AF38" s="46"/>
      <c r="AG38" s="62">
        <f t="shared" si="1"/>
        <v>1</v>
      </c>
      <c r="AH38" s="80">
        <v>245.0</v>
      </c>
      <c r="AI38" s="68">
        <f t="shared" si="2"/>
        <v>245</v>
      </c>
      <c r="AJ38" s="17"/>
      <c r="AK38" s="132"/>
      <c r="AL38" s="132"/>
    </row>
    <row r="39">
      <c r="A39" s="142" t="s">
        <v>97</v>
      </c>
      <c r="B39" s="604"/>
      <c r="C39" s="611"/>
      <c r="D39" s="59">
        <v>60.0</v>
      </c>
      <c r="E39" s="46"/>
      <c r="F39" s="51"/>
      <c r="G39" s="530"/>
      <c r="H39" s="46"/>
      <c r="I39" s="59">
        <v>1.0</v>
      </c>
      <c r="J39" s="59"/>
      <c r="K39" s="530"/>
      <c r="L39" s="793"/>
      <c r="M39" s="515"/>
      <c r="N39" s="48"/>
      <c r="O39" s="46"/>
      <c r="P39" s="59"/>
      <c r="Q39" s="46"/>
      <c r="R39" s="46"/>
      <c r="S39" s="792"/>
      <c r="T39" s="515"/>
      <c r="U39" s="530"/>
      <c r="V39" s="59"/>
      <c r="W39" s="59"/>
      <c r="X39" s="59"/>
      <c r="Y39" s="59"/>
      <c r="Z39" s="46"/>
      <c r="AA39" s="192"/>
      <c r="AB39" s="191"/>
      <c r="AC39" s="46"/>
      <c r="AD39" s="46"/>
      <c r="AE39" s="46"/>
      <c r="AF39" s="46"/>
      <c r="AG39" s="62">
        <f t="shared" si="1"/>
        <v>61</v>
      </c>
      <c r="AH39" s="80">
        <v>500.0</v>
      </c>
      <c r="AI39" s="68">
        <f t="shared" si="2"/>
        <v>30500</v>
      </c>
      <c r="AJ39" s="17"/>
      <c r="AK39" s="132"/>
      <c r="AL39" s="132"/>
    </row>
    <row r="40">
      <c r="A40" s="33" t="s">
        <v>99</v>
      </c>
      <c r="B40" s="618"/>
      <c r="C40" s="508"/>
      <c r="D40" s="59"/>
      <c r="E40" s="59"/>
      <c r="F40" s="51"/>
      <c r="G40" s="48"/>
      <c r="H40" s="46"/>
      <c r="I40" s="46"/>
      <c r="J40" s="493"/>
      <c r="K40" s="191"/>
      <c r="L40" s="797"/>
      <c r="M40" s="51"/>
      <c r="N40" s="48"/>
      <c r="O40" s="46"/>
      <c r="P40" s="46"/>
      <c r="Q40" s="46"/>
      <c r="R40" s="59"/>
      <c r="S40" s="794"/>
      <c r="T40" s="192"/>
      <c r="U40" s="530"/>
      <c r="V40" s="59"/>
      <c r="W40" s="59"/>
      <c r="X40" s="46"/>
      <c r="Y40" s="46"/>
      <c r="Z40" s="46"/>
      <c r="AA40" s="192"/>
      <c r="AB40" s="191"/>
      <c r="AC40" s="46"/>
      <c r="AD40" s="46"/>
      <c r="AE40" s="46"/>
      <c r="AF40" s="46"/>
      <c r="AG40" s="62">
        <f t="shared" si="1"/>
        <v>0</v>
      </c>
      <c r="AH40" s="80">
        <v>900.0</v>
      </c>
      <c r="AI40" s="68">
        <f t="shared" si="2"/>
        <v>0</v>
      </c>
      <c r="AJ40" s="17"/>
      <c r="AK40" s="132"/>
      <c r="AL40" s="132"/>
    </row>
    <row r="41">
      <c r="A41" s="33" t="s">
        <v>100</v>
      </c>
      <c r="B41" s="618"/>
      <c r="C41" s="508"/>
      <c r="D41" s="54"/>
      <c r="E41" s="46"/>
      <c r="F41" s="51"/>
      <c r="G41" s="48"/>
      <c r="H41" s="46"/>
      <c r="I41" s="46"/>
      <c r="J41" s="59"/>
      <c r="K41" s="530"/>
      <c r="L41" s="527"/>
      <c r="M41" s="51"/>
      <c r="N41" s="48"/>
      <c r="O41" s="46"/>
      <c r="P41" s="46"/>
      <c r="Q41" s="49"/>
      <c r="R41" s="46"/>
      <c r="S41" s="794"/>
      <c r="T41" s="192"/>
      <c r="U41" s="191"/>
      <c r="V41" s="46"/>
      <c r="W41" s="59"/>
      <c r="X41" s="46"/>
      <c r="Y41" s="46"/>
      <c r="Z41" s="46"/>
      <c r="AA41" s="192"/>
      <c r="AB41" s="191"/>
      <c r="AC41" s="46"/>
      <c r="AD41" s="46"/>
      <c r="AE41" s="46"/>
      <c r="AF41" s="46"/>
      <c r="AG41" s="62">
        <f t="shared" si="1"/>
        <v>0</v>
      </c>
      <c r="AH41" s="80">
        <v>1100.0</v>
      </c>
      <c r="AI41" s="68">
        <f t="shared" si="2"/>
        <v>0</v>
      </c>
      <c r="AJ41" s="17"/>
      <c r="AK41" s="132"/>
      <c r="AL41" s="132"/>
    </row>
    <row r="42">
      <c r="A42" s="33" t="s">
        <v>102</v>
      </c>
      <c r="B42" s="618"/>
      <c r="C42" s="611"/>
      <c r="D42" s="54"/>
      <c r="E42" s="46"/>
      <c r="F42" s="51"/>
      <c r="G42" s="529"/>
      <c r="H42" s="46"/>
      <c r="I42" s="59"/>
      <c r="J42" s="54"/>
      <c r="K42" s="191"/>
      <c r="L42" s="793"/>
      <c r="M42" s="51"/>
      <c r="N42" s="48"/>
      <c r="O42" s="46"/>
      <c r="P42" s="46"/>
      <c r="Q42" s="46"/>
      <c r="R42" s="46"/>
      <c r="S42" s="794"/>
      <c r="T42" s="192"/>
      <c r="U42" s="191"/>
      <c r="V42" s="59"/>
      <c r="W42" s="46"/>
      <c r="X42" s="46"/>
      <c r="Y42" s="46"/>
      <c r="Z42" s="46"/>
      <c r="AA42" s="192"/>
      <c r="AB42" s="191"/>
      <c r="AC42" s="46"/>
      <c r="AD42" s="46"/>
      <c r="AE42" s="46"/>
      <c r="AF42" s="46"/>
      <c r="AG42" s="62">
        <f t="shared" si="1"/>
        <v>0</v>
      </c>
      <c r="AH42" s="80">
        <v>1200.0</v>
      </c>
      <c r="AI42" s="68">
        <f t="shared" si="2"/>
        <v>0</v>
      </c>
      <c r="AJ42" s="17"/>
      <c r="AK42" s="647"/>
      <c r="AL42" s="132"/>
    </row>
    <row r="43">
      <c r="A43" s="33" t="s">
        <v>104</v>
      </c>
      <c r="B43" s="618"/>
      <c r="C43" s="508"/>
      <c r="D43" s="54"/>
      <c r="E43" s="46"/>
      <c r="F43" s="51"/>
      <c r="G43" s="48"/>
      <c r="H43" s="46"/>
      <c r="I43" s="46"/>
      <c r="J43" s="59"/>
      <c r="K43" s="191"/>
      <c r="L43" s="793"/>
      <c r="M43" s="51"/>
      <c r="N43" s="48"/>
      <c r="O43" s="46"/>
      <c r="P43" s="46"/>
      <c r="Q43" s="46"/>
      <c r="R43" s="46"/>
      <c r="S43" s="794"/>
      <c r="T43" s="192"/>
      <c r="U43" s="191"/>
      <c r="V43" s="46"/>
      <c r="W43" s="46"/>
      <c r="X43" s="46"/>
      <c r="Y43" s="46"/>
      <c r="Z43" s="46"/>
      <c r="AA43" s="192"/>
      <c r="AB43" s="191"/>
      <c r="AC43" s="46"/>
      <c r="AD43" s="46"/>
      <c r="AE43" s="46"/>
      <c r="AF43" s="46"/>
      <c r="AG43" s="62">
        <f t="shared" si="1"/>
        <v>0</v>
      </c>
      <c r="AH43" s="80">
        <v>200.0</v>
      </c>
      <c r="AI43" s="68">
        <f t="shared" si="2"/>
        <v>0</v>
      </c>
      <c r="AJ43" s="17"/>
      <c r="AK43" s="132"/>
      <c r="AL43" s="132"/>
    </row>
    <row r="44">
      <c r="A44" s="33" t="s">
        <v>105</v>
      </c>
      <c r="B44" s="618"/>
      <c r="C44" s="508"/>
      <c r="D44" s="54"/>
      <c r="E44" s="46"/>
      <c r="F44" s="51"/>
      <c r="G44" s="48"/>
      <c r="H44" s="46"/>
      <c r="I44" s="59"/>
      <c r="J44" s="59"/>
      <c r="K44" s="191"/>
      <c r="L44" s="793"/>
      <c r="M44" s="51"/>
      <c r="N44" s="48"/>
      <c r="O44" s="46"/>
      <c r="P44" s="46"/>
      <c r="Q44" s="46"/>
      <c r="R44" s="46"/>
      <c r="S44" s="794"/>
      <c r="T44" s="192"/>
      <c r="U44" s="191"/>
      <c r="V44" s="46"/>
      <c r="W44" s="46"/>
      <c r="X44" s="46"/>
      <c r="Y44" s="46"/>
      <c r="Z44" s="46"/>
      <c r="AA44" s="192"/>
      <c r="AB44" s="191"/>
      <c r="AC44" s="46"/>
      <c r="AD44" s="46"/>
      <c r="AE44" s="46"/>
      <c r="AF44" s="46"/>
      <c r="AG44" s="62">
        <f t="shared" si="1"/>
        <v>0</v>
      </c>
      <c r="AH44" s="80">
        <v>500.0</v>
      </c>
      <c r="AI44" s="68">
        <f t="shared" si="2"/>
        <v>0</v>
      </c>
      <c r="AJ44" s="17"/>
      <c r="AK44" s="155"/>
      <c r="AL44" s="155"/>
    </row>
    <row r="45">
      <c r="A45" s="156" t="s">
        <v>107</v>
      </c>
      <c r="B45" s="648"/>
      <c r="C45" s="549"/>
      <c r="D45" s="184"/>
      <c r="E45" s="181"/>
      <c r="F45" s="183"/>
      <c r="G45" s="182"/>
      <c r="H45" s="181"/>
      <c r="I45" s="181"/>
      <c r="J45" s="247"/>
      <c r="K45" s="245"/>
      <c r="L45" s="799"/>
      <c r="M45" s="183"/>
      <c r="N45" s="182"/>
      <c r="O45" s="181"/>
      <c r="P45" s="181"/>
      <c r="Q45" s="181"/>
      <c r="R45" s="181"/>
      <c r="S45" s="800"/>
      <c r="T45" s="229"/>
      <c r="U45" s="245"/>
      <c r="V45" s="181"/>
      <c r="W45" s="181"/>
      <c r="X45" s="181"/>
      <c r="Y45" s="181"/>
      <c r="Z45" s="181"/>
      <c r="AA45" s="229"/>
      <c r="AB45" s="245"/>
      <c r="AC45" s="181"/>
      <c r="AD45" s="181"/>
      <c r="AE45" s="181"/>
      <c r="AF45" s="181"/>
      <c r="AG45" s="62">
        <f t="shared" si="1"/>
        <v>0</v>
      </c>
      <c r="AH45" s="167">
        <v>1000.0</v>
      </c>
      <c r="AI45" s="168">
        <f t="shared" si="2"/>
        <v>0</v>
      </c>
      <c r="AJ45" s="17"/>
      <c r="AK45" s="155"/>
      <c r="AL45" s="155"/>
    </row>
    <row r="46">
      <c r="A46" s="33" t="s">
        <v>401</v>
      </c>
      <c r="B46" s="604">
        <v>2.0</v>
      </c>
      <c r="C46" s="508"/>
      <c r="D46" s="59">
        <v>1.0</v>
      </c>
      <c r="E46" s="46"/>
      <c r="F46" s="51"/>
      <c r="G46" s="48"/>
      <c r="H46" s="59">
        <v>3.0</v>
      </c>
      <c r="I46" s="46"/>
      <c r="J46" s="59"/>
      <c r="K46" s="191"/>
      <c r="L46" s="793"/>
      <c r="M46" s="51"/>
      <c r="N46" s="48"/>
      <c r="O46" s="46"/>
      <c r="P46" s="46"/>
      <c r="Q46" s="46"/>
      <c r="R46" s="46"/>
      <c r="S46" s="794"/>
      <c r="T46" s="192"/>
      <c r="U46" s="191"/>
      <c r="V46" s="46"/>
      <c r="W46" s="46"/>
      <c r="X46" s="46"/>
      <c r="Y46" s="46"/>
      <c r="Z46" s="46"/>
      <c r="AA46" s="192"/>
      <c r="AB46" s="191"/>
      <c r="AC46" s="46"/>
      <c r="AD46" s="46"/>
      <c r="AE46" s="46"/>
      <c r="AF46" s="46"/>
      <c r="AG46" s="62">
        <f t="shared" si="1"/>
        <v>6</v>
      </c>
      <c r="AH46" s="80">
        <v>130.0</v>
      </c>
      <c r="AI46" s="168">
        <f t="shared" si="2"/>
        <v>780</v>
      </c>
      <c r="AJ46" s="17"/>
      <c r="AK46" s="155"/>
      <c r="AL46" s="155"/>
    </row>
    <row r="47">
      <c r="A47" s="33" t="s">
        <v>402</v>
      </c>
      <c r="B47" s="618"/>
      <c r="C47" s="508"/>
      <c r="D47" s="54"/>
      <c r="E47" s="46"/>
      <c r="F47" s="51"/>
      <c r="G47" s="48"/>
      <c r="H47" s="59">
        <v>4.0</v>
      </c>
      <c r="I47" s="46"/>
      <c r="J47" s="59"/>
      <c r="K47" s="191"/>
      <c r="L47" s="793"/>
      <c r="M47" s="51"/>
      <c r="N47" s="48"/>
      <c r="O47" s="46"/>
      <c r="P47" s="46"/>
      <c r="Q47" s="46"/>
      <c r="R47" s="46"/>
      <c r="S47" s="794"/>
      <c r="T47" s="192"/>
      <c r="U47" s="191"/>
      <c r="V47" s="46"/>
      <c r="W47" s="46"/>
      <c r="X47" s="46"/>
      <c r="Y47" s="46"/>
      <c r="Z47" s="46"/>
      <c r="AA47" s="192"/>
      <c r="AB47" s="191"/>
      <c r="AC47" s="46"/>
      <c r="AD47" s="46"/>
      <c r="AE47" s="46"/>
      <c r="AF47" s="46"/>
      <c r="AG47" s="62">
        <f t="shared" si="1"/>
        <v>4</v>
      </c>
      <c r="AH47" s="80">
        <v>150.0</v>
      </c>
      <c r="AI47" s="168">
        <f t="shared" si="2"/>
        <v>600</v>
      </c>
      <c r="AJ47" s="17"/>
      <c r="AK47" s="155"/>
      <c r="AL47" s="155"/>
    </row>
    <row r="48">
      <c r="A48" s="33" t="s">
        <v>403</v>
      </c>
      <c r="B48" s="618"/>
      <c r="C48" s="508"/>
      <c r="D48" s="54"/>
      <c r="E48" s="46"/>
      <c r="F48" s="51"/>
      <c r="G48" s="48"/>
      <c r="H48" s="46"/>
      <c r="I48" s="46"/>
      <c r="J48" s="59"/>
      <c r="K48" s="191"/>
      <c r="L48" s="793"/>
      <c r="M48" s="51"/>
      <c r="N48" s="48"/>
      <c r="O48" s="46"/>
      <c r="P48" s="46"/>
      <c r="Q48" s="46"/>
      <c r="R48" s="46"/>
      <c r="S48" s="794"/>
      <c r="T48" s="192"/>
      <c r="U48" s="191"/>
      <c r="V48" s="46"/>
      <c r="W48" s="46"/>
      <c r="X48" s="46"/>
      <c r="Y48" s="46"/>
      <c r="Z48" s="46"/>
      <c r="AA48" s="192"/>
      <c r="AB48" s="191"/>
      <c r="AC48" s="46"/>
      <c r="AD48" s="46"/>
      <c r="AE48" s="46"/>
      <c r="AF48" s="46"/>
      <c r="AG48" s="62">
        <f t="shared" si="1"/>
        <v>0</v>
      </c>
      <c r="AH48" s="80">
        <v>220.0</v>
      </c>
      <c r="AI48" s="168">
        <f t="shared" si="2"/>
        <v>0</v>
      </c>
      <c r="AJ48" s="17"/>
      <c r="AK48" s="155"/>
      <c r="AL48" s="155"/>
    </row>
    <row r="49">
      <c r="A49" s="169" t="s">
        <v>45</v>
      </c>
      <c r="B49" s="128"/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  <c r="AC49" s="128"/>
      <c r="AD49" s="128"/>
      <c r="AE49" s="128"/>
      <c r="AF49" s="128"/>
      <c r="AG49" s="128"/>
      <c r="AH49" s="129"/>
      <c r="AI49" s="221">
        <f>SUM(AI3:AI48)</f>
        <v>79758</v>
      </c>
      <c r="AJ49" s="17"/>
      <c r="AK49" s="176"/>
      <c r="AL49" s="176"/>
    </row>
    <row r="50">
      <c r="A50" s="24" t="s">
        <v>324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97"/>
      <c r="AJ50" s="17"/>
      <c r="AK50" s="178"/>
      <c r="AL50" s="178"/>
    </row>
    <row r="51">
      <c r="A51" s="554" t="s">
        <v>318</v>
      </c>
      <c r="B51" s="36"/>
      <c r="C51" s="555"/>
      <c r="D51" s="39">
        <v>1.0</v>
      </c>
      <c r="E51" s="39"/>
      <c r="F51" s="45"/>
      <c r="G51" s="565"/>
      <c r="H51" s="39"/>
      <c r="I51" s="39"/>
      <c r="J51" s="39"/>
      <c r="K51" s="565"/>
      <c r="L51" s="564"/>
      <c r="M51" s="45"/>
      <c r="N51" s="565"/>
      <c r="O51" s="39"/>
      <c r="P51" s="39"/>
      <c r="Q51" s="39"/>
      <c r="R51" s="39"/>
      <c r="S51" s="801"/>
      <c r="T51" s="45"/>
      <c r="U51" s="565"/>
      <c r="V51" s="39"/>
      <c r="W51" s="39"/>
      <c r="X51" s="39"/>
      <c r="Y51" s="39"/>
      <c r="Z51" s="39"/>
      <c r="AA51" s="45"/>
      <c r="AB51" s="565"/>
      <c r="AC51" s="39"/>
      <c r="AD51" s="39"/>
      <c r="AE51" s="39"/>
      <c r="AF51" s="39"/>
      <c r="AG51" s="558">
        <f t="shared" ref="AG51:AG52" si="3">SUM(B51:AA51)</f>
        <v>1</v>
      </c>
      <c r="AH51" s="65">
        <v>600.0</v>
      </c>
      <c r="AI51" s="65">
        <f t="shared" ref="AI51:AI52" si="4">AG51*AH51</f>
        <v>600</v>
      </c>
      <c r="AJ51" s="17"/>
      <c r="AK51" s="178"/>
      <c r="AL51" s="178"/>
    </row>
    <row r="52">
      <c r="A52" s="554" t="s">
        <v>320</v>
      </c>
      <c r="B52" s="36"/>
      <c r="C52" s="555"/>
      <c r="D52" s="39"/>
      <c r="E52" s="39"/>
      <c r="F52" s="45"/>
      <c r="G52" s="565"/>
      <c r="H52" s="39"/>
      <c r="I52" s="39"/>
      <c r="J52" s="39"/>
      <c r="K52" s="565"/>
      <c r="L52" s="564"/>
      <c r="M52" s="45"/>
      <c r="N52" s="565"/>
      <c r="O52" s="39"/>
      <c r="P52" s="39"/>
      <c r="Q52" s="39"/>
      <c r="R52" s="39"/>
      <c r="S52" s="801"/>
      <c r="T52" s="45"/>
      <c r="U52" s="565"/>
      <c r="V52" s="39"/>
      <c r="W52" s="39"/>
      <c r="X52" s="39"/>
      <c r="Y52" s="39"/>
      <c r="Z52" s="39"/>
      <c r="AA52" s="45"/>
      <c r="AB52" s="565"/>
      <c r="AC52" s="39"/>
      <c r="AD52" s="39"/>
      <c r="AE52" s="39"/>
      <c r="AF52" s="39"/>
      <c r="AG52" s="558">
        <f t="shared" si="3"/>
        <v>0</v>
      </c>
      <c r="AH52" s="65">
        <v>440.0</v>
      </c>
      <c r="AI52" s="559">
        <f t="shared" si="4"/>
        <v>0</v>
      </c>
      <c r="AJ52" s="17"/>
      <c r="AK52" s="178"/>
      <c r="AL52" s="178"/>
    </row>
    <row r="53">
      <c r="A53" s="169" t="s">
        <v>45</v>
      </c>
      <c r="B53" s="128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  <c r="AB53" s="128"/>
      <c r="AC53" s="128"/>
      <c r="AD53" s="128"/>
      <c r="AE53" s="128"/>
      <c r="AF53" s="128"/>
      <c r="AG53" s="128"/>
      <c r="AH53" s="129"/>
      <c r="AI53" s="238">
        <f>SUM(AI51:AI52)</f>
        <v>600</v>
      </c>
      <c r="AJ53" s="17"/>
      <c r="AK53" s="178"/>
      <c r="AL53" s="178"/>
    </row>
    <row r="54">
      <c r="A54" s="24" t="s">
        <v>110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8"/>
      <c r="AJ54" s="17"/>
      <c r="AK54" s="178"/>
      <c r="AL54" s="178"/>
    </row>
    <row r="55">
      <c r="A55" s="147" t="s">
        <v>92</v>
      </c>
      <c r="B55" s="595">
        <v>12.0</v>
      </c>
      <c r="C55" s="611"/>
      <c r="D55" s="59">
        <v>13.0</v>
      </c>
      <c r="E55" s="493">
        <v>5.0</v>
      </c>
      <c r="F55" s="515"/>
      <c r="G55" s="529"/>
      <c r="H55" s="493">
        <v>29.0</v>
      </c>
      <c r="I55" s="493">
        <v>13.0</v>
      </c>
      <c r="J55" s="493"/>
      <c r="K55" s="529"/>
      <c r="L55" s="791"/>
      <c r="M55" s="515"/>
      <c r="N55" s="529"/>
      <c r="O55" s="493"/>
      <c r="P55" s="493"/>
      <c r="Q55" s="493"/>
      <c r="R55" s="59"/>
      <c r="S55" s="792"/>
      <c r="T55" s="515"/>
      <c r="U55" s="530"/>
      <c r="V55" s="59"/>
      <c r="W55" s="59"/>
      <c r="X55" s="59"/>
      <c r="Y55" s="59"/>
      <c r="Z55" s="46"/>
      <c r="AA55" s="192"/>
      <c r="AB55" s="191"/>
      <c r="AC55" s="46"/>
      <c r="AD55" s="46"/>
      <c r="AE55" s="46"/>
      <c r="AF55" s="46"/>
      <c r="AG55" s="62">
        <f t="shared" ref="AG55:AG67" si="5">SUM(B55:AA55)</f>
        <v>72</v>
      </c>
      <c r="AH55" s="80">
        <v>100.0</v>
      </c>
      <c r="AI55" s="68">
        <f t="shared" ref="AI55:AI67" si="6">AG55*AH55</f>
        <v>7200</v>
      </c>
      <c r="AJ55" s="17"/>
      <c r="AK55" s="155"/>
      <c r="AL55" s="155"/>
    </row>
    <row r="56">
      <c r="A56" s="147" t="s">
        <v>98</v>
      </c>
      <c r="B56" s="595">
        <v>2.0</v>
      </c>
      <c r="C56" s="507"/>
      <c r="D56" s="59">
        <v>4.0</v>
      </c>
      <c r="E56" s="59">
        <v>1.0</v>
      </c>
      <c r="F56" s="515"/>
      <c r="G56" s="530"/>
      <c r="H56" s="493">
        <v>2.0</v>
      </c>
      <c r="I56" s="49"/>
      <c r="J56" s="59"/>
      <c r="K56" s="529"/>
      <c r="L56" s="791"/>
      <c r="M56" s="515"/>
      <c r="N56" s="529"/>
      <c r="O56" s="493"/>
      <c r="P56" s="493"/>
      <c r="Q56" s="493"/>
      <c r="R56" s="59"/>
      <c r="S56" s="792"/>
      <c r="T56" s="515"/>
      <c r="U56" s="530"/>
      <c r="V56" s="59"/>
      <c r="W56" s="59"/>
      <c r="X56" s="59"/>
      <c r="Y56" s="59"/>
      <c r="Z56" s="46"/>
      <c r="AA56" s="192"/>
      <c r="AB56" s="191"/>
      <c r="AC56" s="46"/>
      <c r="AD56" s="46"/>
      <c r="AE56" s="46"/>
      <c r="AF56" s="46"/>
      <c r="AG56" s="62">
        <f t="shared" si="5"/>
        <v>9</v>
      </c>
      <c r="AH56" s="80">
        <v>1000.0</v>
      </c>
      <c r="AI56" s="68">
        <f t="shared" si="6"/>
        <v>9000</v>
      </c>
      <c r="AJ56" s="17"/>
      <c r="AK56" s="155"/>
      <c r="AL56" s="155"/>
    </row>
    <row r="57">
      <c r="A57" s="197" t="s">
        <v>120</v>
      </c>
      <c r="B57" s="595"/>
      <c r="C57" s="611"/>
      <c r="D57" s="59">
        <v>1.0</v>
      </c>
      <c r="E57" s="54"/>
      <c r="F57" s="515"/>
      <c r="G57" s="529"/>
      <c r="H57" s="59"/>
      <c r="I57" s="493"/>
      <c r="J57" s="493"/>
      <c r="K57" s="529"/>
      <c r="L57" s="791"/>
      <c r="M57" s="515"/>
      <c r="N57" s="530"/>
      <c r="O57" s="493"/>
      <c r="P57" s="59"/>
      <c r="Q57" s="493"/>
      <c r="R57" s="59"/>
      <c r="S57" s="792"/>
      <c r="T57" s="515"/>
      <c r="U57" s="530"/>
      <c r="V57" s="59"/>
      <c r="W57" s="46"/>
      <c r="X57" s="59"/>
      <c r="Y57" s="59"/>
      <c r="Z57" s="46"/>
      <c r="AA57" s="192"/>
      <c r="AB57" s="191"/>
      <c r="AC57" s="46"/>
      <c r="AD57" s="46"/>
      <c r="AE57" s="46"/>
      <c r="AF57" s="46"/>
      <c r="AG57" s="62">
        <f t="shared" si="5"/>
        <v>1</v>
      </c>
      <c r="AH57" s="80">
        <v>120.0</v>
      </c>
      <c r="AI57" s="68">
        <f t="shared" si="6"/>
        <v>120</v>
      </c>
      <c r="AJ57" s="17"/>
      <c r="AK57" s="155"/>
      <c r="AL57" s="155"/>
    </row>
    <row r="58">
      <c r="A58" s="197" t="s">
        <v>122</v>
      </c>
      <c r="B58" s="42"/>
      <c r="C58" s="516"/>
      <c r="D58" s="46"/>
      <c r="E58" s="54"/>
      <c r="F58" s="515"/>
      <c r="G58" s="530"/>
      <c r="H58" s="46"/>
      <c r="I58" s="493"/>
      <c r="J58" s="59"/>
      <c r="K58" s="191"/>
      <c r="L58" s="797"/>
      <c r="M58" s="192"/>
      <c r="N58" s="48"/>
      <c r="O58" s="54"/>
      <c r="P58" s="46"/>
      <c r="Q58" s="49"/>
      <c r="R58" s="59"/>
      <c r="S58" s="794"/>
      <c r="T58" s="192"/>
      <c r="U58" s="191"/>
      <c r="V58" s="46"/>
      <c r="W58" s="46"/>
      <c r="X58" s="59"/>
      <c r="Y58" s="46"/>
      <c r="Z58" s="46"/>
      <c r="AA58" s="192"/>
      <c r="AB58" s="191"/>
      <c r="AC58" s="46"/>
      <c r="AD58" s="46"/>
      <c r="AE58" s="46"/>
      <c r="AF58" s="46"/>
      <c r="AG58" s="62">
        <f t="shared" si="5"/>
        <v>0</v>
      </c>
      <c r="AH58" s="80">
        <v>150.0</v>
      </c>
      <c r="AI58" s="68">
        <f t="shared" si="6"/>
        <v>0</v>
      </c>
      <c r="AJ58" s="17"/>
      <c r="AK58" s="155"/>
      <c r="AL58" s="155"/>
    </row>
    <row r="59">
      <c r="A59" s="197" t="s">
        <v>322</v>
      </c>
      <c r="B59" s="595">
        <v>4.0</v>
      </c>
      <c r="C59" s="507"/>
      <c r="D59" s="59">
        <v>13.0</v>
      </c>
      <c r="E59" s="493">
        <v>9.0</v>
      </c>
      <c r="F59" s="515"/>
      <c r="G59" s="529"/>
      <c r="H59" s="493">
        <v>11.0</v>
      </c>
      <c r="I59" s="493">
        <v>8.0</v>
      </c>
      <c r="J59" s="493"/>
      <c r="K59" s="529"/>
      <c r="L59" s="791"/>
      <c r="M59" s="515"/>
      <c r="N59" s="529"/>
      <c r="O59" s="493"/>
      <c r="P59" s="493"/>
      <c r="Q59" s="493"/>
      <c r="R59" s="59"/>
      <c r="S59" s="792"/>
      <c r="T59" s="515"/>
      <c r="U59" s="530"/>
      <c r="V59" s="59"/>
      <c r="W59" s="59"/>
      <c r="X59" s="59"/>
      <c r="Y59" s="59"/>
      <c r="Z59" s="46"/>
      <c r="AA59" s="192"/>
      <c r="AB59" s="191"/>
      <c r="AC59" s="46"/>
      <c r="AD59" s="46"/>
      <c r="AE59" s="46"/>
      <c r="AF59" s="46"/>
      <c r="AG59" s="62">
        <f t="shared" si="5"/>
        <v>45</v>
      </c>
      <c r="AH59" s="80">
        <v>280.0</v>
      </c>
      <c r="AI59" s="68">
        <f t="shared" si="6"/>
        <v>12600</v>
      </c>
      <c r="AJ59" s="17"/>
      <c r="AK59" s="155"/>
      <c r="AL59" s="155"/>
    </row>
    <row r="60">
      <c r="A60" s="197" t="s">
        <v>323</v>
      </c>
      <c r="B60" s="595"/>
      <c r="C60" s="507"/>
      <c r="D60" s="59"/>
      <c r="E60" s="493"/>
      <c r="F60" s="515"/>
      <c r="G60" s="529"/>
      <c r="H60" s="493"/>
      <c r="I60" s="493"/>
      <c r="J60" s="493"/>
      <c r="K60" s="529"/>
      <c r="L60" s="791"/>
      <c r="M60" s="515"/>
      <c r="N60" s="529"/>
      <c r="O60" s="493"/>
      <c r="P60" s="493"/>
      <c r="Q60" s="493"/>
      <c r="R60" s="59"/>
      <c r="S60" s="792"/>
      <c r="T60" s="515"/>
      <c r="U60" s="530"/>
      <c r="V60" s="59"/>
      <c r="W60" s="59"/>
      <c r="X60" s="59"/>
      <c r="Y60" s="59"/>
      <c r="Z60" s="46"/>
      <c r="AA60" s="192"/>
      <c r="AB60" s="191"/>
      <c r="AC60" s="46"/>
      <c r="AD60" s="46"/>
      <c r="AE60" s="46"/>
      <c r="AF60" s="46"/>
      <c r="AG60" s="62">
        <f t="shared" si="5"/>
        <v>0</v>
      </c>
      <c r="AH60" s="80">
        <v>330.0</v>
      </c>
      <c r="AI60" s="68">
        <f t="shared" si="6"/>
        <v>0</v>
      </c>
      <c r="AJ60" s="17"/>
      <c r="AK60" s="155"/>
      <c r="AL60" s="155"/>
    </row>
    <row r="61">
      <c r="A61" s="147" t="s">
        <v>108</v>
      </c>
      <c r="B61" s="595">
        <v>1.0</v>
      </c>
      <c r="C61" s="611"/>
      <c r="D61" s="59">
        <v>1.0</v>
      </c>
      <c r="E61" s="59">
        <v>1.0</v>
      </c>
      <c r="F61" s="515"/>
      <c r="G61" s="530"/>
      <c r="H61" s="59"/>
      <c r="I61" s="493"/>
      <c r="J61" s="493"/>
      <c r="K61" s="529"/>
      <c r="L61" s="527"/>
      <c r="M61" s="192"/>
      <c r="N61" s="530"/>
      <c r="O61" s="49"/>
      <c r="P61" s="493"/>
      <c r="Q61" s="59"/>
      <c r="R61" s="59"/>
      <c r="S61" s="794"/>
      <c r="T61" s="515"/>
      <c r="U61" s="530"/>
      <c r="V61" s="59"/>
      <c r="W61" s="59"/>
      <c r="X61" s="59"/>
      <c r="Y61" s="59"/>
      <c r="Z61" s="46"/>
      <c r="AA61" s="192"/>
      <c r="AB61" s="191"/>
      <c r="AC61" s="46"/>
      <c r="AD61" s="46"/>
      <c r="AE61" s="46"/>
      <c r="AF61" s="46"/>
      <c r="AG61" s="62">
        <f t="shared" si="5"/>
        <v>3</v>
      </c>
      <c r="AH61" s="818">
        <v>900.0</v>
      </c>
      <c r="AI61" s="289">
        <f t="shared" si="6"/>
        <v>2700</v>
      </c>
      <c r="AJ61" s="17"/>
      <c r="AK61" s="155"/>
      <c r="AL61" s="155"/>
    </row>
    <row r="62">
      <c r="A62" s="578" t="s">
        <v>329</v>
      </c>
      <c r="B62" s="595">
        <v>11.0</v>
      </c>
      <c r="C62" s="507"/>
      <c r="D62" s="59">
        <v>55.0</v>
      </c>
      <c r="E62" s="493">
        <v>1.0</v>
      </c>
      <c r="F62" s="515"/>
      <c r="G62" s="529"/>
      <c r="H62" s="493">
        <v>12.0</v>
      </c>
      <c r="I62" s="493">
        <v>17.0</v>
      </c>
      <c r="J62" s="493"/>
      <c r="K62" s="529"/>
      <c r="L62" s="791"/>
      <c r="M62" s="515"/>
      <c r="N62" s="529"/>
      <c r="O62" s="493"/>
      <c r="P62" s="493"/>
      <c r="Q62" s="493"/>
      <c r="R62" s="59"/>
      <c r="S62" s="792"/>
      <c r="T62" s="515"/>
      <c r="U62" s="530"/>
      <c r="V62" s="59"/>
      <c r="W62" s="59"/>
      <c r="X62" s="59"/>
      <c r="Y62" s="59"/>
      <c r="Z62" s="46"/>
      <c r="AA62" s="192"/>
      <c r="AB62" s="191"/>
      <c r="AC62" s="46"/>
      <c r="AD62" s="46"/>
      <c r="AE62" s="46"/>
      <c r="AF62" s="46"/>
      <c r="AG62" s="62">
        <f t="shared" si="5"/>
        <v>96</v>
      </c>
      <c r="AH62" s="818">
        <v>330.0</v>
      </c>
      <c r="AI62" s="289">
        <f t="shared" si="6"/>
        <v>31680</v>
      </c>
      <c r="AJ62" s="17"/>
      <c r="AK62" s="155"/>
      <c r="AL62" s="155"/>
    </row>
    <row r="63">
      <c r="A63" s="198" t="s">
        <v>111</v>
      </c>
      <c r="B63" s="604"/>
      <c r="C63" s="516"/>
      <c r="D63" s="59"/>
      <c r="E63" s="59"/>
      <c r="F63" s="515"/>
      <c r="G63" s="529"/>
      <c r="H63" s="493"/>
      <c r="I63" s="49"/>
      <c r="J63" s="493"/>
      <c r="K63" s="529"/>
      <c r="L63" s="527"/>
      <c r="M63" s="515"/>
      <c r="N63" s="529"/>
      <c r="O63" s="54"/>
      <c r="P63" s="46"/>
      <c r="Q63" s="59"/>
      <c r="R63" s="59"/>
      <c r="S63" s="792"/>
      <c r="T63" s="192"/>
      <c r="U63" s="530"/>
      <c r="V63" s="59"/>
      <c r="W63" s="46"/>
      <c r="X63" s="46"/>
      <c r="Y63" s="59"/>
      <c r="Z63" s="46"/>
      <c r="AA63" s="192"/>
      <c r="AB63" s="191"/>
      <c r="AC63" s="46"/>
      <c r="AD63" s="46"/>
      <c r="AE63" s="46"/>
      <c r="AF63" s="46"/>
      <c r="AG63" s="62">
        <f t="shared" si="5"/>
        <v>0</v>
      </c>
      <c r="AH63" s="818">
        <v>360.0</v>
      </c>
      <c r="AI63" s="289">
        <f t="shared" si="6"/>
        <v>0</v>
      </c>
      <c r="AJ63" s="17"/>
      <c r="AK63" s="155"/>
      <c r="AL63" s="155"/>
    </row>
    <row r="64">
      <c r="A64" s="198" t="s">
        <v>113</v>
      </c>
      <c r="B64" s="618"/>
      <c r="C64" s="516"/>
      <c r="D64" s="54"/>
      <c r="E64" s="54"/>
      <c r="F64" s="51"/>
      <c r="G64" s="530"/>
      <c r="H64" s="49"/>
      <c r="I64" s="46"/>
      <c r="J64" s="54"/>
      <c r="K64" s="529"/>
      <c r="L64" s="534"/>
      <c r="M64" s="515"/>
      <c r="N64" s="538"/>
      <c r="O64" s="493"/>
      <c r="P64" s="54"/>
      <c r="Q64" s="54"/>
      <c r="R64" s="54"/>
      <c r="S64" s="794"/>
      <c r="T64" s="192"/>
      <c r="U64" s="191"/>
      <c r="V64" s="46"/>
      <c r="W64" s="46"/>
      <c r="X64" s="46"/>
      <c r="Y64" s="46"/>
      <c r="Z64" s="46"/>
      <c r="AA64" s="192"/>
      <c r="AB64" s="191"/>
      <c r="AC64" s="46"/>
      <c r="AD64" s="46"/>
      <c r="AE64" s="46"/>
      <c r="AF64" s="46"/>
      <c r="AG64" s="62">
        <f t="shared" si="5"/>
        <v>0</v>
      </c>
      <c r="AH64" s="818">
        <v>380.0</v>
      </c>
      <c r="AI64" s="289">
        <f t="shared" si="6"/>
        <v>0</v>
      </c>
      <c r="AJ64" s="17"/>
      <c r="AK64" s="155"/>
      <c r="AL64" s="155"/>
    </row>
    <row r="65">
      <c r="A65" s="189" t="s">
        <v>114</v>
      </c>
      <c r="B65" s="604">
        <v>3.0</v>
      </c>
      <c r="C65" s="611"/>
      <c r="D65" s="59">
        <v>5.0</v>
      </c>
      <c r="E65" s="59">
        <v>3.0</v>
      </c>
      <c r="F65" s="515"/>
      <c r="G65" s="529"/>
      <c r="H65" s="59">
        <v>7.0</v>
      </c>
      <c r="I65" s="493">
        <v>2.0</v>
      </c>
      <c r="J65" s="493"/>
      <c r="K65" s="529"/>
      <c r="L65" s="527"/>
      <c r="M65" s="515"/>
      <c r="N65" s="529"/>
      <c r="O65" s="493"/>
      <c r="P65" s="493"/>
      <c r="Q65" s="493"/>
      <c r="R65" s="59"/>
      <c r="S65" s="792"/>
      <c r="T65" s="515"/>
      <c r="U65" s="530"/>
      <c r="V65" s="59"/>
      <c r="W65" s="59"/>
      <c r="X65" s="59"/>
      <c r="Y65" s="59"/>
      <c r="Z65" s="46"/>
      <c r="AA65" s="192"/>
      <c r="AB65" s="191"/>
      <c r="AC65" s="46"/>
      <c r="AD65" s="46"/>
      <c r="AE65" s="46"/>
      <c r="AF65" s="46"/>
      <c r="AG65" s="62">
        <f t="shared" si="5"/>
        <v>20</v>
      </c>
      <c r="AH65" s="818">
        <v>280.0</v>
      </c>
      <c r="AI65" s="289">
        <f t="shared" si="6"/>
        <v>5600</v>
      </c>
      <c r="AJ65" s="17"/>
      <c r="AK65" s="155"/>
      <c r="AL65" s="155"/>
    </row>
    <row r="66">
      <c r="A66" s="189" t="s">
        <v>115</v>
      </c>
      <c r="B66" s="669"/>
      <c r="C66" s="491"/>
      <c r="D66" s="54"/>
      <c r="E66" s="54"/>
      <c r="F66" s="51"/>
      <c r="G66" s="48"/>
      <c r="H66" s="46"/>
      <c r="I66" s="54"/>
      <c r="J66" s="54"/>
      <c r="K66" s="48"/>
      <c r="L66" s="534"/>
      <c r="M66" s="51"/>
      <c r="N66" s="191"/>
      <c r="O66" s="54"/>
      <c r="P66" s="54"/>
      <c r="Q66" s="46"/>
      <c r="R66" s="54"/>
      <c r="S66" s="821"/>
      <c r="T66" s="51"/>
      <c r="U66" s="530"/>
      <c r="V66" s="54"/>
      <c r="W66" s="54"/>
      <c r="X66" s="54"/>
      <c r="Y66" s="59"/>
      <c r="Z66" s="54"/>
      <c r="AA66" s="51"/>
      <c r="AB66" s="48"/>
      <c r="AC66" s="54"/>
      <c r="AD66" s="54"/>
      <c r="AE66" s="54"/>
      <c r="AF66" s="54"/>
      <c r="AG66" s="62">
        <f t="shared" si="5"/>
        <v>0</v>
      </c>
      <c r="AH66" s="818">
        <v>330.0</v>
      </c>
      <c r="AI66" s="289">
        <f t="shared" si="6"/>
        <v>0</v>
      </c>
      <c r="AJ66" s="17"/>
      <c r="AK66" s="155"/>
      <c r="AL66" s="155"/>
    </row>
    <row r="67">
      <c r="A67" s="205" t="s">
        <v>119</v>
      </c>
      <c r="B67" s="673"/>
      <c r="C67" s="543"/>
      <c r="D67" s="184"/>
      <c r="E67" s="184"/>
      <c r="F67" s="183"/>
      <c r="G67" s="182"/>
      <c r="H67" s="184"/>
      <c r="I67" s="184"/>
      <c r="J67" s="184"/>
      <c r="K67" s="182"/>
      <c r="L67" s="561"/>
      <c r="M67" s="183"/>
      <c r="N67" s="182"/>
      <c r="O67" s="184"/>
      <c r="P67" s="184"/>
      <c r="Q67" s="184"/>
      <c r="R67" s="184"/>
      <c r="S67" s="822"/>
      <c r="T67" s="183"/>
      <c r="U67" s="182"/>
      <c r="V67" s="184"/>
      <c r="W67" s="184"/>
      <c r="X67" s="184"/>
      <c r="Y67" s="184"/>
      <c r="Z67" s="184"/>
      <c r="AA67" s="183"/>
      <c r="AB67" s="182"/>
      <c r="AC67" s="184"/>
      <c r="AD67" s="184"/>
      <c r="AE67" s="184"/>
      <c r="AF67" s="184"/>
      <c r="AG67" s="166">
        <f t="shared" si="5"/>
        <v>0</v>
      </c>
      <c r="AH67" s="823">
        <v>1250.0</v>
      </c>
      <c r="AI67" s="358">
        <f t="shared" si="6"/>
        <v>0</v>
      </c>
      <c r="AJ67" s="17"/>
      <c r="AK67" s="155"/>
      <c r="AL67" s="155"/>
    </row>
    <row r="68">
      <c r="A68" s="169" t="s">
        <v>45</v>
      </c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8"/>
      <c r="AB68" s="128"/>
      <c r="AC68" s="128"/>
      <c r="AD68" s="128"/>
      <c r="AE68" s="128"/>
      <c r="AF68" s="128"/>
      <c r="AG68" s="128"/>
      <c r="AH68" s="129"/>
      <c r="AI68" s="174">
        <f>SUM(AI55:AI67)</f>
        <v>68900</v>
      </c>
      <c r="AJ68" s="17"/>
      <c r="AK68" s="176"/>
      <c r="AL68" s="176"/>
    </row>
    <row r="69">
      <c r="A69" s="262" t="s">
        <v>223</v>
      </c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8"/>
      <c r="AJ69" s="17"/>
      <c r="AK69" s="178"/>
      <c r="AL69" s="178"/>
    </row>
    <row r="70">
      <c r="A70" s="266" t="s">
        <v>224</v>
      </c>
      <c r="B70" s="595"/>
      <c r="C70" s="507"/>
      <c r="D70" s="59">
        <v>8.0</v>
      </c>
      <c r="E70" s="59">
        <v>3.0</v>
      </c>
      <c r="F70" s="515"/>
      <c r="G70" s="824"/>
      <c r="H70" s="493">
        <v>3.0</v>
      </c>
      <c r="I70" s="493"/>
      <c r="J70" s="493"/>
      <c r="K70" s="529"/>
      <c r="L70" s="527"/>
      <c r="M70" s="515"/>
      <c r="N70" s="529"/>
      <c r="O70" s="59"/>
      <c r="P70" s="493"/>
      <c r="Q70" s="493"/>
      <c r="R70" s="59"/>
      <c r="S70" s="792"/>
      <c r="T70" s="192"/>
      <c r="U70" s="530"/>
      <c r="V70" s="59"/>
      <c r="W70" s="46"/>
      <c r="X70" s="59"/>
      <c r="Y70" s="59"/>
      <c r="Z70" s="46"/>
      <c r="AA70" s="192"/>
      <c r="AB70" s="191"/>
      <c r="AC70" s="46"/>
      <c r="AD70" s="46"/>
      <c r="AE70" s="46"/>
      <c r="AF70" s="46"/>
      <c r="AG70" s="62">
        <f t="shared" ref="AG70:AG77" si="7">SUM(B70:AA70)</f>
        <v>14</v>
      </c>
      <c r="AH70" s="80">
        <v>325.0</v>
      </c>
      <c r="AI70" s="68">
        <f t="shared" ref="AI70:AI77" si="8">AG70*AH70</f>
        <v>4550</v>
      </c>
      <c r="AJ70" s="17"/>
      <c r="AK70" s="178"/>
      <c r="AL70" s="178"/>
    </row>
    <row r="71">
      <c r="A71" s="268" t="s">
        <v>372</v>
      </c>
      <c r="B71" s="595"/>
      <c r="C71" s="516"/>
      <c r="D71" s="59">
        <v>1.0</v>
      </c>
      <c r="E71" s="59">
        <v>1.0</v>
      </c>
      <c r="F71" s="515"/>
      <c r="G71" s="529"/>
      <c r="H71" s="49"/>
      <c r="I71" s="493"/>
      <c r="J71" s="493"/>
      <c r="K71" s="529"/>
      <c r="L71" s="791"/>
      <c r="M71" s="515"/>
      <c r="N71" s="538"/>
      <c r="O71" s="59"/>
      <c r="P71" s="493"/>
      <c r="Q71" s="493"/>
      <c r="R71" s="59"/>
      <c r="S71" s="794"/>
      <c r="T71" s="515"/>
      <c r="U71" s="530"/>
      <c r="V71" s="59"/>
      <c r="W71" s="46"/>
      <c r="X71" s="59"/>
      <c r="Y71" s="59"/>
      <c r="Z71" s="46"/>
      <c r="AA71" s="192"/>
      <c r="AB71" s="191"/>
      <c r="AC71" s="46"/>
      <c r="AD71" s="46"/>
      <c r="AE71" s="46"/>
      <c r="AF71" s="46"/>
      <c r="AG71" s="62">
        <f t="shared" si="7"/>
        <v>2</v>
      </c>
      <c r="AH71" s="80">
        <v>485.0</v>
      </c>
      <c r="AI71" s="68">
        <f t="shared" si="8"/>
        <v>970</v>
      </c>
      <c r="AJ71" s="17"/>
      <c r="AK71" s="178"/>
      <c r="AL71" s="178"/>
    </row>
    <row r="72">
      <c r="A72" s="268" t="s">
        <v>362</v>
      </c>
      <c r="B72" s="595"/>
      <c r="C72" s="507"/>
      <c r="D72" s="59"/>
      <c r="E72" s="46"/>
      <c r="F72" s="515"/>
      <c r="G72" s="529"/>
      <c r="H72" s="493"/>
      <c r="I72" s="493">
        <v>1.0</v>
      </c>
      <c r="J72" s="493"/>
      <c r="K72" s="529"/>
      <c r="L72" s="797"/>
      <c r="M72" s="515"/>
      <c r="N72" s="529"/>
      <c r="O72" s="59"/>
      <c r="P72" s="493"/>
      <c r="Q72" s="493"/>
      <c r="R72" s="59"/>
      <c r="S72" s="792"/>
      <c r="T72" s="515"/>
      <c r="U72" s="530"/>
      <c r="V72" s="59"/>
      <c r="W72" s="46"/>
      <c r="X72" s="59"/>
      <c r="Y72" s="59"/>
      <c r="Z72" s="46"/>
      <c r="AA72" s="192"/>
      <c r="AB72" s="191"/>
      <c r="AC72" s="46"/>
      <c r="AD72" s="46"/>
      <c r="AE72" s="46"/>
      <c r="AF72" s="46"/>
      <c r="AG72" s="62">
        <f t="shared" si="7"/>
        <v>1</v>
      </c>
      <c r="AH72" s="80">
        <v>445.0</v>
      </c>
      <c r="AI72" s="68">
        <f t="shared" si="8"/>
        <v>445</v>
      </c>
      <c r="AJ72" s="17"/>
      <c r="AK72" s="178"/>
      <c r="AL72" s="178"/>
    </row>
    <row r="73">
      <c r="A73" s="268" t="s">
        <v>363</v>
      </c>
      <c r="B73" s="595">
        <v>1.0</v>
      </c>
      <c r="C73" s="516"/>
      <c r="D73" s="59">
        <v>3.0</v>
      </c>
      <c r="E73" s="59">
        <v>2.0</v>
      </c>
      <c r="F73" s="515"/>
      <c r="G73" s="529"/>
      <c r="H73" s="493"/>
      <c r="I73" s="493">
        <v>4.0</v>
      </c>
      <c r="J73" s="493"/>
      <c r="K73" s="529"/>
      <c r="L73" s="791"/>
      <c r="M73" s="515"/>
      <c r="N73" s="529"/>
      <c r="O73" s="59"/>
      <c r="P73" s="493"/>
      <c r="Q73" s="493"/>
      <c r="R73" s="59"/>
      <c r="S73" s="792"/>
      <c r="T73" s="515"/>
      <c r="U73" s="530"/>
      <c r="V73" s="59"/>
      <c r="W73" s="46"/>
      <c r="X73" s="59"/>
      <c r="Y73" s="59"/>
      <c r="Z73" s="46"/>
      <c r="AA73" s="192"/>
      <c r="AB73" s="191"/>
      <c r="AC73" s="46"/>
      <c r="AD73" s="46"/>
      <c r="AE73" s="46"/>
      <c r="AF73" s="46"/>
      <c r="AG73" s="62">
        <f t="shared" si="7"/>
        <v>10</v>
      </c>
      <c r="AH73" s="80">
        <v>485.0</v>
      </c>
      <c r="AI73" s="68">
        <f t="shared" si="8"/>
        <v>4850</v>
      </c>
      <c r="AJ73" s="17"/>
      <c r="AK73" s="178"/>
      <c r="AL73" s="178"/>
    </row>
    <row r="74">
      <c r="A74" s="268" t="s">
        <v>377</v>
      </c>
      <c r="B74" s="595">
        <v>4.0</v>
      </c>
      <c r="C74" s="507"/>
      <c r="D74" s="59">
        <v>2.0</v>
      </c>
      <c r="E74" s="59">
        <v>1.0</v>
      </c>
      <c r="F74" s="515"/>
      <c r="G74" s="529"/>
      <c r="H74" s="493">
        <v>3.0</v>
      </c>
      <c r="I74" s="493"/>
      <c r="J74" s="493"/>
      <c r="K74" s="529"/>
      <c r="L74" s="791"/>
      <c r="M74" s="515"/>
      <c r="N74" s="529"/>
      <c r="O74" s="59"/>
      <c r="P74" s="493"/>
      <c r="Q74" s="493"/>
      <c r="R74" s="59"/>
      <c r="S74" s="792"/>
      <c r="T74" s="515"/>
      <c r="U74" s="530"/>
      <c r="V74" s="59"/>
      <c r="W74" s="46"/>
      <c r="X74" s="59"/>
      <c r="Y74" s="59"/>
      <c r="Z74" s="46"/>
      <c r="AA74" s="192"/>
      <c r="AB74" s="191"/>
      <c r="AC74" s="46"/>
      <c r="AD74" s="46"/>
      <c r="AE74" s="46"/>
      <c r="AF74" s="46"/>
      <c r="AG74" s="62">
        <f t="shared" si="7"/>
        <v>10</v>
      </c>
      <c r="AH74" s="80">
        <v>480.0</v>
      </c>
      <c r="AI74" s="68">
        <f t="shared" si="8"/>
        <v>4800</v>
      </c>
      <c r="AJ74" s="17"/>
      <c r="AK74" s="178"/>
      <c r="AL74" s="178"/>
    </row>
    <row r="75">
      <c r="A75" s="268" t="s">
        <v>378</v>
      </c>
      <c r="B75" s="595"/>
      <c r="C75" s="507"/>
      <c r="D75" s="59"/>
      <c r="E75" s="59"/>
      <c r="F75" s="51"/>
      <c r="G75" s="529"/>
      <c r="H75" s="493"/>
      <c r="I75" s="493"/>
      <c r="J75" s="493"/>
      <c r="K75" s="529"/>
      <c r="L75" s="791"/>
      <c r="M75" s="515"/>
      <c r="N75" s="529"/>
      <c r="O75" s="54"/>
      <c r="P75" s="493"/>
      <c r="Q75" s="493"/>
      <c r="R75" s="59"/>
      <c r="S75" s="792"/>
      <c r="T75" s="515"/>
      <c r="U75" s="530"/>
      <c r="V75" s="59"/>
      <c r="W75" s="46"/>
      <c r="X75" s="59"/>
      <c r="Y75" s="59"/>
      <c r="Z75" s="46"/>
      <c r="AA75" s="192"/>
      <c r="AB75" s="191"/>
      <c r="AC75" s="46"/>
      <c r="AD75" s="46"/>
      <c r="AE75" s="46"/>
      <c r="AF75" s="46"/>
      <c r="AG75" s="62">
        <f t="shared" si="7"/>
        <v>0</v>
      </c>
      <c r="AH75" s="80">
        <v>650.0</v>
      </c>
      <c r="AI75" s="68">
        <f t="shared" si="8"/>
        <v>0</v>
      </c>
      <c r="AJ75" s="17"/>
      <c r="AK75" s="178"/>
      <c r="AL75" s="178"/>
    </row>
    <row r="76">
      <c r="A76" s="268" t="s">
        <v>379</v>
      </c>
      <c r="B76" s="595"/>
      <c r="C76" s="516"/>
      <c r="D76" s="59">
        <v>1.0</v>
      </c>
      <c r="E76" s="59"/>
      <c r="F76" s="51"/>
      <c r="G76" s="529"/>
      <c r="H76" s="493"/>
      <c r="I76" s="49"/>
      <c r="J76" s="49"/>
      <c r="K76" s="529"/>
      <c r="L76" s="791"/>
      <c r="M76" s="515"/>
      <c r="N76" s="529"/>
      <c r="O76" s="54"/>
      <c r="P76" s="49"/>
      <c r="Q76" s="493"/>
      <c r="R76" s="59"/>
      <c r="S76" s="792"/>
      <c r="T76" s="515"/>
      <c r="U76" s="530"/>
      <c r="V76" s="59"/>
      <c r="W76" s="46"/>
      <c r="X76" s="59"/>
      <c r="Y76" s="59"/>
      <c r="Z76" s="46"/>
      <c r="AA76" s="192"/>
      <c r="AB76" s="191"/>
      <c r="AC76" s="46"/>
      <c r="AD76" s="46"/>
      <c r="AE76" s="46"/>
      <c r="AF76" s="46"/>
      <c r="AG76" s="62">
        <f t="shared" si="7"/>
        <v>1</v>
      </c>
      <c r="AH76" s="80">
        <v>700.0</v>
      </c>
      <c r="AI76" s="68">
        <f t="shared" si="8"/>
        <v>700</v>
      </c>
      <c r="AJ76" s="17"/>
      <c r="AK76" s="178"/>
      <c r="AL76" s="178"/>
    </row>
    <row r="77">
      <c r="A77" s="268" t="s">
        <v>409</v>
      </c>
      <c r="B77" s="595"/>
      <c r="C77" s="516"/>
      <c r="D77" s="59"/>
      <c r="E77" s="59"/>
      <c r="F77" s="51"/>
      <c r="G77" s="529"/>
      <c r="H77" s="493"/>
      <c r="I77" s="493">
        <v>1.0</v>
      </c>
      <c r="J77" s="49"/>
      <c r="K77" s="529"/>
      <c r="L77" s="791"/>
      <c r="M77" s="515"/>
      <c r="N77" s="529"/>
      <c r="O77" s="54"/>
      <c r="P77" s="49"/>
      <c r="Q77" s="493"/>
      <c r="R77" s="59"/>
      <c r="S77" s="792"/>
      <c r="T77" s="515"/>
      <c r="U77" s="530"/>
      <c r="V77" s="59"/>
      <c r="W77" s="46"/>
      <c r="X77" s="59"/>
      <c r="Y77" s="59"/>
      <c r="Z77" s="46"/>
      <c r="AA77" s="192"/>
      <c r="AB77" s="191"/>
      <c r="AC77" s="46"/>
      <c r="AD77" s="46"/>
      <c r="AE77" s="46"/>
      <c r="AF77" s="46"/>
      <c r="AG77" s="62">
        <f t="shared" si="7"/>
        <v>1</v>
      </c>
      <c r="AH77" s="80">
        <v>1200.0</v>
      </c>
      <c r="AI77" s="68">
        <f t="shared" si="8"/>
        <v>1200</v>
      </c>
      <c r="AJ77" s="17"/>
      <c r="AK77" s="178"/>
      <c r="AL77" s="178"/>
    </row>
    <row r="78">
      <c r="A78" s="218" t="s">
        <v>45</v>
      </c>
      <c r="B78" s="219"/>
      <c r="C78" s="219"/>
      <c r="D78" s="219"/>
      <c r="E78" s="219"/>
      <c r="F78" s="219"/>
      <c r="G78" s="219"/>
      <c r="H78" s="219"/>
      <c r="I78" s="219"/>
      <c r="J78" s="219"/>
      <c r="K78" s="219"/>
      <c r="L78" s="219"/>
      <c r="M78" s="219"/>
      <c r="N78" s="219"/>
      <c r="O78" s="219"/>
      <c r="P78" s="219"/>
      <c r="Q78" s="219"/>
      <c r="R78" s="219"/>
      <c r="S78" s="219"/>
      <c r="T78" s="219"/>
      <c r="U78" s="219"/>
      <c r="V78" s="219"/>
      <c r="W78" s="219"/>
      <c r="X78" s="219"/>
      <c r="Y78" s="219"/>
      <c r="Z78" s="219"/>
      <c r="AA78" s="219"/>
      <c r="AB78" s="219"/>
      <c r="AC78" s="219"/>
      <c r="AD78" s="219"/>
      <c r="AE78" s="219"/>
      <c r="AF78" s="219"/>
      <c r="AG78" s="219"/>
      <c r="AH78" s="220"/>
      <c r="AI78" s="221">
        <f>SUM(AI70:AI77)</f>
        <v>17515</v>
      </c>
      <c r="AJ78" s="17"/>
      <c r="AK78" s="178"/>
      <c r="AL78" s="178"/>
    </row>
    <row r="79">
      <c r="A79" s="262" t="s">
        <v>230</v>
      </c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8"/>
      <c r="AJ79" s="17"/>
      <c r="AK79" s="178"/>
      <c r="AL79" s="178"/>
    </row>
    <row r="80">
      <c r="A80" s="268" t="s">
        <v>231</v>
      </c>
      <c r="B80" s="595">
        <v>1.0</v>
      </c>
      <c r="C80" s="611"/>
      <c r="D80" s="54"/>
      <c r="E80" s="59"/>
      <c r="F80" s="515"/>
      <c r="G80" s="530"/>
      <c r="H80" s="49"/>
      <c r="I80" s="49"/>
      <c r="J80" s="493"/>
      <c r="K80" s="529"/>
      <c r="L80" s="527"/>
      <c r="M80" s="515"/>
      <c r="N80" s="191"/>
      <c r="O80" s="54"/>
      <c r="P80" s="493"/>
      <c r="Q80" s="493"/>
      <c r="R80" s="46"/>
      <c r="S80" s="792"/>
      <c r="T80" s="515"/>
      <c r="U80" s="530"/>
      <c r="V80" s="59"/>
      <c r="W80" s="46"/>
      <c r="X80" s="59"/>
      <c r="Y80" s="59"/>
      <c r="Z80" s="46"/>
      <c r="AA80" s="192"/>
      <c r="AB80" s="191"/>
      <c r="AC80" s="46"/>
      <c r="AD80" s="46"/>
      <c r="AE80" s="46"/>
      <c r="AF80" s="46"/>
      <c r="AG80" s="62">
        <f t="shared" ref="AG80:AG84" si="9">SUM(B80:AA80)</f>
        <v>1</v>
      </c>
      <c r="AH80" s="80">
        <v>1150.0</v>
      </c>
      <c r="AI80" s="68">
        <f t="shared" ref="AI80:AI84" si="10">AG80*AH80</f>
        <v>1150</v>
      </c>
      <c r="AJ80" s="17"/>
      <c r="AK80" s="178"/>
      <c r="AL80" s="178"/>
    </row>
    <row r="81">
      <c r="A81" s="268" t="s">
        <v>233</v>
      </c>
      <c r="B81" s="595">
        <v>2.0</v>
      </c>
      <c r="C81" s="507"/>
      <c r="D81" s="59">
        <v>3.0</v>
      </c>
      <c r="E81" s="493">
        <v>3.0</v>
      </c>
      <c r="F81" s="515"/>
      <c r="G81" s="529"/>
      <c r="H81" s="493">
        <v>5.0</v>
      </c>
      <c r="I81" s="493">
        <v>5.0</v>
      </c>
      <c r="J81" s="59"/>
      <c r="K81" s="529"/>
      <c r="L81" s="527"/>
      <c r="M81" s="515"/>
      <c r="N81" s="529"/>
      <c r="O81" s="493"/>
      <c r="P81" s="493"/>
      <c r="Q81" s="493"/>
      <c r="R81" s="59"/>
      <c r="S81" s="792"/>
      <c r="T81" s="515"/>
      <c r="U81" s="530"/>
      <c r="V81" s="59"/>
      <c r="W81" s="46"/>
      <c r="X81" s="59"/>
      <c r="Y81" s="59"/>
      <c r="Z81" s="46"/>
      <c r="AA81" s="192"/>
      <c r="AB81" s="191"/>
      <c r="AC81" s="46"/>
      <c r="AD81" s="46"/>
      <c r="AE81" s="46"/>
      <c r="AF81" s="46"/>
      <c r="AG81" s="62">
        <f t="shared" si="9"/>
        <v>18</v>
      </c>
      <c r="AH81" s="80">
        <v>1250.0</v>
      </c>
      <c r="AI81" s="68">
        <f t="shared" si="10"/>
        <v>22500</v>
      </c>
      <c r="AJ81" s="17"/>
      <c r="AK81" s="178"/>
      <c r="AL81" s="178"/>
    </row>
    <row r="82">
      <c r="A82" s="33" t="s">
        <v>375</v>
      </c>
      <c r="B82" s="604">
        <v>3.0</v>
      </c>
      <c r="C82" s="611"/>
      <c r="D82" s="59">
        <v>5.0</v>
      </c>
      <c r="E82" s="59">
        <v>2.0</v>
      </c>
      <c r="F82" s="515"/>
      <c r="G82" s="530"/>
      <c r="H82" s="54"/>
      <c r="I82" s="59">
        <v>1.0</v>
      </c>
      <c r="J82" s="59"/>
      <c r="K82" s="530"/>
      <c r="L82" s="534"/>
      <c r="M82" s="515"/>
      <c r="N82" s="48"/>
      <c r="O82" s="59"/>
      <c r="P82" s="59"/>
      <c r="Q82" s="59"/>
      <c r="R82" s="59"/>
      <c r="S82" s="792"/>
      <c r="T82" s="515"/>
      <c r="U82" s="530"/>
      <c r="V82" s="54"/>
      <c r="W82" s="54"/>
      <c r="X82" s="59"/>
      <c r="Y82" s="59"/>
      <c r="Z82" s="54"/>
      <c r="AA82" s="51"/>
      <c r="AB82" s="48"/>
      <c r="AC82" s="54"/>
      <c r="AD82" s="54"/>
      <c r="AE82" s="54"/>
      <c r="AF82" s="54"/>
      <c r="AG82" s="62">
        <f t="shared" si="9"/>
        <v>11</v>
      </c>
      <c r="AH82" s="80">
        <v>1500.0</v>
      </c>
      <c r="AI82" s="68">
        <f t="shared" si="10"/>
        <v>16500</v>
      </c>
      <c r="AJ82" s="17"/>
      <c r="AK82" s="178"/>
      <c r="AL82" s="178"/>
    </row>
    <row r="83">
      <c r="A83" s="156" t="s">
        <v>383</v>
      </c>
      <c r="B83" s="679"/>
      <c r="C83" s="681"/>
      <c r="D83" s="247">
        <v>3.0</v>
      </c>
      <c r="E83" s="247"/>
      <c r="F83" s="579"/>
      <c r="G83" s="588"/>
      <c r="H83" s="247">
        <v>7.0</v>
      </c>
      <c r="I83" s="247"/>
      <c r="J83" s="247"/>
      <c r="K83" s="588"/>
      <c r="L83" s="561"/>
      <c r="M83" s="579"/>
      <c r="N83" s="182"/>
      <c r="O83" s="184"/>
      <c r="P83" s="184"/>
      <c r="Q83" s="247"/>
      <c r="R83" s="247"/>
      <c r="S83" s="825"/>
      <c r="T83" s="183"/>
      <c r="U83" s="182"/>
      <c r="V83" s="184"/>
      <c r="W83" s="184"/>
      <c r="X83" s="247"/>
      <c r="Y83" s="247"/>
      <c r="Z83" s="184"/>
      <c r="AA83" s="183"/>
      <c r="AB83" s="182"/>
      <c r="AC83" s="184"/>
      <c r="AD83" s="184"/>
      <c r="AE83" s="184"/>
      <c r="AF83" s="184"/>
      <c r="AG83" s="166">
        <f t="shared" si="9"/>
        <v>10</v>
      </c>
      <c r="AH83" s="167">
        <v>80.0</v>
      </c>
      <c r="AI83" s="168">
        <f t="shared" si="10"/>
        <v>800</v>
      </c>
      <c r="AJ83" s="17"/>
      <c r="AK83" s="178"/>
      <c r="AL83" s="178"/>
    </row>
    <row r="84">
      <c r="A84" s="33" t="s">
        <v>382</v>
      </c>
      <c r="B84" s="604">
        <v>5.0</v>
      </c>
      <c r="C84" s="611"/>
      <c r="D84" s="59">
        <v>6.0</v>
      </c>
      <c r="E84" s="59">
        <v>3.0</v>
      </c>
      <c r="F84" s="515"/>
      <c r="G84" s="530"/>
      <c r="H84" s="59">
        <v>5.0</v>
      </c>
      <c r="I84" s="59">
        <v>19.0</v>
      </c>
      <c r="J84" s="59"/>
      <c r="K84" s="530"/>
      <c r="L84" s="534"/>
      <c r="M84" s="515"/>
      <c r="N84" s="48"/>
      <c r="O84" s="54"/>
      <c r="P84" s="59"/>
      <c r="Q84" s="59"/>
      <c r="R84" s="59"/>
      <c r="S84" s="792"/>
      <c r="T84" s="515"/>
      <c r="U84" s="530"/>
      <c r="V84" s="59"/>
      <c r="W84" s="54"/>
      <c r="X84" s="59"/>
      <c r="Y84" s="59"/>
      <c r="Z84" s="54"/>
      <c r="AA84" s="51"/>
      <c r="AB84" s="48"/>
      <c r="AC84" s="54"/>
      <c r="AD84" s="54"/>
      <c r="AE84" s="54"/>
      <c r="AF84" s="54"/>
      <c r="AG84" s="62">
        <f t="shared" si="9"/>
        <v>38</v>
      </c>
      <c r="AH84" s="80">
        <v>120.0</v>
      </c>
      <c r="AI84" s="68">
        <f t="shared" si="10"/>
        <v>4560</v>
      </c>
      <c r="AJ84" s="17"/>
      <c r="AK84" s="178"/>
      <c r="AL84" s="178"/>
    </row>
    <row r="85">
      <c r="A85" s="169" t="s">
        <v>45</v>
      </c>
      <c r="B85" s="128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  <c r="AA85" s="128"/>
      <c r="AB85" s="128"/>
      <c r="AC85" s="128"/>
      <c r="AD85" s="128"/>
      <c r="AE85" s="128"/>
      <c r="AF85" s="128"/>
      <c r="AG85" s="128"/>
      <c r="AH85" s="129"/>
      <c r="AI85" s="174">
        <f>SUM(AI80:AI84)</f>
        <v>45510</v>
      </c>
      <c r="AJ85" s="17"/>
      <c r="AK85" s="178"/>
      <c r="AL85" s="178"/>
    </row>
    <row r="86">
      <c r="A86" s="24" t="s">
        <v>146</v>
      </c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8"/>
      <c r="AJ86" s="17"/>
      <c r="AK86" s="178"/>
      <c r="AL86" s="178"/>
    </row>
    <row r="87">
      <c r="A87" s="223" t="s">
        <v>52</v>
      </c>
      <c r="B87" s="604"/>
      <c r="C87" s="611"/>
      <c r="D87" s="46"/>
      <c r="E87" s="46"/>
      <c r="F87" s="515"/>
      <c r="G87" s="530"/>
      <c r="H87" s="46"/>
      <c r="I87" s="493"/>
      <c r="J87" s="54"/>
      <c r="K87" s="530"/>
      <c r="L87" s="527"/>
      <c r="M87" s="192"/>
      <c r="N87" s="530"/>
      <c r="O87" s="59"/>
      <c r="P87" s="46"/>
      <c r="Q87" s="59"/>
      <c r="R87" s="46"/>
      <c r="S87" s="792"/>
      <c r="T87" s="192"/>
      <c r="U87" s="191"/>
      <c r="V87" s="59"/>
      <c r="W87" s="46"/>
      <c r="X87" s="46"/>
      <c r="Y87" s="46"/>
      <c r="Z87" s="46"/>
      <c r="AA87" s="192"/>
      <c r="AB87" s="191"/>
      <c r="AC87" s="46"/>
      <c r="AD87" s="46"/>
      <c r="AE87" s="46"/>
      <c r="AF87" s="46"/>
      <c r="AG87" s="62">
        <f t="shared" ref="AG87:AG103" si="11">SUM(B87:AA87)</f>
        <v>0</v>
      </c>
      <c r="AH87" s="80">
        <v>1200.0</v>
      </c>
      <c r="AI87" s="68">
        <f t="shared" ref="AI87:AI103" si="12">AG87*AH87</f>
        <v>0</v>
      </c>
      <c r="AJ87" s="17"/>
      <c r="AK87" s="178"/>
      <c r="AL87" s="178"/>
    </row>
    <row r="88">
      <c r="A88" s="33" t="s">
        <v>151</v>
      </c>
      <c r="B88" s="595">
        <v>1.0</v>
      </c>
      <c r="C88" s="516"/>
      <c r="D88" s="46"/>
      <c r="E88" s="54"/>
      <c r="F88" s="515"/>
      <c r="G88" s="530"/>
      <c r="H88" s="46"/>
      <c r="I88" s="59"/>
      <c r="J88" s="46"/>
      <c r="K88" s="530"/>
      <c r="L88" s="527"/>
      <c r="M88" s="515"/>
      <c r="N88" s="530"/>
      <c r="O88" s="54"/>
      <c r="P88" s="46"/>
      <c r="Q88" s="59"/>
      <c r="R88" s="46"/>
      <c r="S88" s="792"/>
      <c r="T88" s="192"/>
      <c r="U88" s="191"/>
      <c r="V88" s="59"/>
      <c r="W88" s="59"/>
      <c r="X88" s="46"/>
      <c r="Y88" s="59"/>
      <c r="Z88" s="46"/>
      <c r="AA88" s="192"/>
      <c r="AB88" s="191"/>
      <c r="AC88" s="46"/>
      <c r="AD88" s="46"/>
      <c r="AE88" s="46"/>
      <c r="AF88" s="46"/>
      <c r="AG88" s="62">
        <f t="shared" si="11"/>
        <v>1</v>
      </c>
      <c r="AH88" s="80">
        <v>1500.0</v>
      </c>
      <c r="AI88" s="68">
        <f t="shared" si="12"/>
        <v>1500</v>
      </c>
      <c r="AJ88" s="17"/>
      <c r="AK88" s="178"/>
      <c r="AL88" s="178"/>
    </row>
    <row r="89">
      <c r="A89" s="226" t="s">
        <v>56</v>
      </c>
      <c r="B89" s="604"/>
      <c r="C89" s="491"/>
      <c r="D89" s="46"/>
      <c r="E89" s="54"/>
      <c r="F89" s="51"/>
      <c r="G89" s="48"/>
      <c r="H89" s="54"/>
      <c r="I89" s="59"/>
      <c r="J89" s="54"/>
      <c r="K89" s="191"/>
      <c r="L89" s="534"/>
      <c r="M89" s="51"/>
      <c r="N89" s="48"/>
      <c r="O89" s="49"/>
      <c r="P89" s="54"/>
      <c r="Q89" s="54"/>
      <c r="R89" s="59"/>
      <c r="S89" s="821"/>
      <c r="T89" s="51"/>
      <c r="U89" s="48"/>
      <c r="V89" s="54"/>
      <c r="W89" s="54"/>
      <c r="X89" s="54"/>
      <c r="Y89" s="54"/>
      <c r="Z89" s="54"/>
      <c r="AA89" s="51"/>
      <c r="AB89" s="48"/>
      <c r="AC89" s="54"/>
      <c r="AD89" s="54"/>
      <c r="AE89" s="54"/>
      <c r="AF89" s="54"/>
      <c r="AG89" s="62">
        <f t="shared" si="11"/>
        <v>0</v>
      </c>
      <c r="AH89" s="80">
        <v>1500.0</v>
      </c>
      <c r="AI89" s="68">
        <f t="shared" si="12"/>
        <v>0</v>
      </c>
      <c r="AJ89" s="17"/>
      <c r="AK89" s="178"/>
      <c r="AL89" s="178"/>
    </row>
    <row r="90">
      <c r="A90" s="226" t="s">
        <v>59</v>
      </c>
      <c r="B90" s="604"/>
      <c r="C90" s="508"/>
      <c r="D90" s="59"/>
      <c r="E90" s="46"/>
      <c r="F90" s="515"/>
      <c r="G90" s="48"/>
      <c r="H90" s="46"/>
      <c r="I90" s="46"/>
      <c r="J90" s="59"/>
      <c r="K90" s="538"/>
      <c r="L90" s="793"/>
      <c r="M90" s="192"/>
      <c r="N90" s="191"/>
      <c r="O90" s="49"/>
      <c r="P90" s="46"/>
      <c r="Q90" s="46"/>
      <c r="R90" s="59"/>
      <c r="S90" s="792"/>
      <c r="T90" s="515"/>
      <c r="U90" s="530"/>
      <c r="V90" s="59"/>
      <c r="W90" s="46"/>
      <c r="X90" s="59"/>
      <c r="Y90" s="46"/>
      <c r="Z90" s="46"/>
      <c r="AA90" s="192"/>
      <c r="AB90" s="191"/>
      <c r="AC90" s="46"/>
      <c r="AD90" s="46"/>
      <c r="AE90" s="46"/>
      <c r="AF90" s="46"/>
      <c r="AG90" s="62">
        <f t="shared" si="11"/>
        <v>0</v>
      </c>
      <c r="AH90" s="80">
        <v>1500.0</v>
      </c>
      <c r="AI90" s="68">
        <f t="shared" si="12"/>
        <v>0</v>
      </c>
      <c r="AJ90" s="17"/>
      <c r="AK90" s="178"/>
      <c r="AL90" s="178"/>
    </row>
    <row r="91">
      <c r="A91" s="226" t="s">
        <v>62</v>
      </c>
      <c r="B91" s="604"/>
      <c r="C91" s="611"/>
      <c r="D91" s="46"/>
      <c r="E91" s="46"/>
      <c r="F91" s="51"/>
      <c r="G91" s="48"/>
      <c r="H91" s="59">
        <v>2.0</v>
      </c>
      <c r="I91" s="46"/>
      <c r="J91" s="54"/>
      <c r="K91" s="538"/>
      <c r="L91" s="793"/>
      <c r="M91" s="515"/>
      <c r="N91" s="191"/>
      <c r="O91" s="54"/>
      <c r="P91" s="46"/>
      <c r="Q91" s="46"/>
      <c r="R91" s="46"/>
      <c r="S91" s="794"/>
      <c r="T91" s="192"/>
      <c r="U91" s="530"/>
      <c r="V91" s="59"/>
      <c r="W91" s="46"/>
      <c r="X91" s="46"/>
      <c r="Y91" s="46"/>
      <c r="Z91" s="46"/>
      <c r="AA91" s="192"/>
      <c r="AB91" s="191"/>
      <c r="AC91" s="46"/>
      <c r="AD91" s="46"/>
      <c r="AE91" s="46"/>
      <c r="AF91" s="46"/>
      <c r="AG91" s="62">
        <f t="shared" si="11"/>
        <v>2</v>
      </c>
      <c r="AH91" s="80">
        <v>1500.0</v>
      </c>
      <c r="AI91" s="68">
        <f t="shared" si="12"/>
        <v>3000</v>
      </c>
      <c r="AJ91" s="17"/>
      <c r="AK91" s="178"/>
      <c r="AL91" s="178"/>
    </row>
    <row r="92">
      <c r="A92" s="226" t="s">
        <v>64</v>
      </c>
      <c r="B92" s="604">
        <v>1.0</v>
      </c>
      <c r="C92" s="611"/>
      <c r="D92" s="59">
        <v>2.0</v>
      </c>
      <c r="E92" s="49"/>
      <c r="F92" s="515"/>
      <c r="G92" s="530"/>
      <c r="H92" s="46"/>
      <c r="I92" s="59">
        <v>2.0</v>
      </c>
      <c r="J92" s="59"/>
      <c r="K92" s="530"/>
      <c r="L92" s="527"/>
      <c r="M92" s="515"/>
      <c r="N92" s="530"/>
      <c r="O92" s="59"/>
      <c r="P92" s="59"/>
      <c r="Q92" s="493"/>
      <c r="R92" s="54"/>
      <c r="S92" s="794"/>
      <c r="T92" s="515"/>
      <c r="U92" s="530"/>
      <c r="V92" s="46"/>
      <c r="W92" s="59"/>
      <c r="X92" s="59"/>
      <c r="Y92" s="59"/>
      <c r="Z92" s="46"/>
      <c r="AA92" s="192"/>
      <c r="AB92" s="191"/>
      <c r="AC92" s="46"/>
      <c r="AD92" s="46"/>
      <c r="AE92" s="46"/>
      <c r="AF92" s="46"/>
      <c r="AG92" s="62">
        <f t="shared" si="11"/>
        <v>5</v>
      </c>
      <c r="AH92" s="80">
        <v>1500.0</v>
      </c>
      <c r="AI92" s="68">
        <f t="shared" si="12"/>
        <v>7500</v>
      </c>
      <c r="AJ92" s="17"/>
      <c r="AK92" s="178"/>
      <c r="AL92" s="178"/>
    </row>
    <row r="93">
      <c r="A93" s="223" t="s">
        <v>54</v>
      </c>
      <c r="B93" s="618"/>
      <c r="C93" s="508"/>
      <c r="D93" s="46"/>
      <c r="E93" s="54"/>
      <c r="F93" s="51"/>
      <c r="G93" s="530"/>
      <c r="H93" s="49"/>
      <c r="I93" s="49"/>
      <c r="J93" s="49"/>
      <c r="K93" s="191"/>
      <c r="L93" s="527"/>
      <c r="M93" s="51"/>
      <c r="N93" s="48"/>
      <c r="O93" s="54"/>
      <c r="P93" s="46"/>
      <c r="Q93" s="493"/>
      <c r="R93" s="59"/>
      <c r="S93" s="794"/>
      <c r="T93" s="515"/>
      <c r="U93" s="191"/>
      <c r="V93" s="59"/>
      <c r="W93" s="46"/>
      <c r="X93" s="46"/>
      <c r="Y93" s="59"/>
      <c r="Z93" s="46"/>
      <c r="AA93" s="192"/>
      <c r="AB93" s="191"/>
      <c r="AC93" s="46"/>
      <c r="AD93" s="46"/>
      <c r="AE93" s="46"/>
      <c r="AF93" s="46"/>
      <c r="AG93" s="62">
        <f t="shared" si="11"/>
        <v>0</v>
      </c>
      <c r="AH93" s="80">
        <v>1500.0</v>
      </c>
      <c r="AI93" s="68">
        <f t="shared" si="12"/>
        <v>0</v>
      </c>
      <c r="AJ93" s="17"/>
      <c r="AK93" s="178"/>
      <c r="AL93" s="178"/>
    </row>
    <row r="94">
      <c r="A94" s="226" t="s">
        <v>159</v>
      </c>
      <c r="B94" s="595">
        <v>1.0</v>
      </c>
      <c r="C94" s="507"/>
      <c r="D94" s="59">
        <v>2.0</v>
      </c>
      <c r="E94" s="54"/>
      <c r="F94" s="515"/>
      <c r="G94" s="530"/>
      <c r="H94" s="59"/>
      <c r="I94" s="493"/>
      <c r="J94" s="493"/>
      <c r="K94" s="530"/>
      <c r="L94" s="791"/>
      <c r="M94" s="515"/>
      <c r="N94" s="530"/>
      <c r="O94" s="493"/>
      <c r="P94" s="49"/>
      <c r="Q94" s="59"/>
      <c r="R94" s="59"/>
      <c r="S94" s="792"/>
      <c r="T94" s="515"/>
      <c r="U94" s="530"/>
      <c r="V94" s="59"/>
      <c r="W94" s="46"/>
      <c r="X94" s="59"/>
      <c r="Y94" s="59"/>
      <c r="Z94" s="46"/>
      <c r="AA94" s="192"/>
      <c r="AB94" s="191"/>
      <c r="AC94" s="46"/>
      <c r="AD94" s="46"/>
      <c r="AE94" s="46"/>
      <c r="AF94" s="46"/>
      <c r="AG94" s="62">
        <f t="shared" si="11"/>
        <v>3</v>
      </c>
      <c r="AH94" s="80">
        <v>1500.0</v>
      </c>
      <c r="AI94" s="68">
        <f t="shared" si="12"/>
        <v>4500</v>
      </c>
      <c r="AJ94" s="17"/>
      <c r="AK94" s="178"/>
      <c r="AL94" s="178"/>
    </row>
    <row r="95">
      <c r="A95" s="226" t="s">
        <v>67</v>
      </c>
      <c r="B95" s="618"/>
      <c r="C95" s="611"/>
      <c r="D95" s="54"/>
      <c r="E95" s="54"/>
      <c r="F95" s="51"/>
      <c r="G95" s="48"/>
      <c r="H95" s="54"/>
      <c r="I95" s="54"/>
      <c r="J95" s="49"/>
      <c r="K95" s="48"/>
      <c r="L95" s="534"/>
      <c r="M95" s="51"/>
      <c r="N95" s="48"/>
      <c r="O95" s="54"/>
      <c r="P95" s="54"/>
      <c r="Q95" s="59"/>
      <c r="R95" s="46"/>
      <c r="S95" s="821"/>
      <c r="T95" s="51"/>
      <c r="U95" s="530"/>
      <c r="V95" s="54"/>
      <c r="W95" s="54"/>
      <c r="X95" s="54"/>
      <c r="Y95" s="54"/>
      <c r="Z95" s="54"/>
      <c r="AA95" s="51"/>
      <c r="AB95" s="48"/>
      <c r="AC95" s="54"/>
      <c r="AD95" s="54"/>
      <c r="AE95" s="54"/>
      <c r="AF95" s="54"/>
      <c r="AG95" s="62">
        <f t="shared" si="11"/>
        <v>0</v>
      </c>
      <c r="AH95" s="80">
        <v>1500.0</v>
      </c>
      <c r="AI95" s="68">
        <f t="shared" si="12"/>
        <v>0</v>
      </c>
      <c r="AJ95" s="17"/>
      <c r="AK95" s="178"/>
      <c r="AL95" s="178"/>
    </row>
    <row r="96">
      <c r="A96" s="223" t="s">
        <v>69</v>
      </c>
      <c r="B96" s="604">
        <v>1.0</v>
      </c>
      <c r="C96" s="516"/>
      <c r="D96" s="59"/>
      <c r="E96" s="54"/>
      <c r="F96" s="515"/>
      <c r="G96" s="530"/>
      <c r="H96" s="59"/>
      <c r="I96" s="54"/>
      <c r="J96" s="59"/>
      <c r="K96" s="191"/>
      <c r="L96" s="527"/>
      <c r="M96" s="51"/>
      <c r="N96" s="48"/>
      <c r="O96" s="493"/>
      <c r="P96" s="49"/>
      <c r="Q96" s="46"/>
      <c r="R96" s="59"/>
      <c r="S96" s="792"/>
      <c r="T96" s="515"/>
      <c r="U96" s="191"/>
      <c r="V96" s="59"/>
      <c r="W96" s="46"/>
      <c r="X96" s="59"/>
      <c r="Y96" s="46"/>
      <c r="Z96" s="46"/>
      <c r="AA96" s="192"/>
      <c r="AB96" s="191"/>
      <c r="AC96" s="46"/>
      <c r="AD96" s="46"/>
      <c r="AE96" s="46"/>
      <c r="AF96" s="46"/>
      <c r="AG96" s="62">
        <f t="shared" si="11"/>
        <v>1</v>
      </c>
      <c r="AH96" s="80">
        <v>600.0</v>
      </c>
      <c r="AI96" s="68">
        <f t="shared" si="12"/>
        <v>600</v>
      </c>
      <c r="AJ96" s="17"/>
      <c r="AK96" s="178"/>
      <c r="AL96" s="178"/>
    </row>
    <row r="97">
      <c r="A97" s="223" t="s">
        <v>71</v>
      </c>
      <c r="B97" s="595">
        <v>2.0</v>
      </c>
      <c r="C97" s="611"/>
      <c r="D97" s="59">
        <v>1.0</v>
      </c>
      <c r="E97" s="493"/>
      <c r="F97" s="515"/>
      <c r="G97" s="530"/>
      <c r="H97" s="493"/>
      <c r="I97" s="493"/>
      <c r="J97" s="493"/>
      <c r="K97" s="529"/>
      <c r="L97" s="791"/>
      <c r="M97" s="515"/>
      <c r="N97" s="529"/>
      <c r="O97" s="493"/>
      <c r="P97" s="59"/>
      <c r="Q97" s="59"/>
      <c r="R97" s="59"/>
      <c r="S97" s="792"/>
      <c r="T97" s="515"/>
      <c r="U97" s="530"/>
      <c r="V97" s="59"/>
      <c r="W97" s="46"/>
      <c r="X97" s="59"/>
      <c r="Y97" s="59"/>
      <c r="Z97" s="46"/>
      <c r="AA97" s="192"/>
      <c r="AB97" s="191"/>
      <c r="AC97" s="46"/>
      <c r="AD97" s="46"/>
      <c r="AE97" s="46"/>
      <c r="AF97" s="46"/>
      <c r="AG97" s="62">
        <f t="shared" si="11"/>
        <v>3</v>
      </c>
      <c r="AH97" s="80">
        <v>500.0</v>
      </c>
      <c r="AI97" s="68">
        <f t="shared" si="12"/>
        <v>1500</v>
      </c>
      <c r="AJ97" s="17"/>
      <c r="AK97" s="178"/>
      <c r="AL97" s="178"/>
    </row>
    <row r="98">
      <c r="A98" s="226" t="s">
        <v>171</v>
      </c>
      <c r="B98" s="595">
        <v>1.0</v>
      </c>
      <c r="C98" s="611"/>
      <c r="D98" s="59">
        <v>8.0</v>
      </c>
      <c r="E98" s="59">
        <v>2.0</v>
      </c>
      <c r="F98" s="515"/>
      <c r="G98" s="529"/>
      <c r="H98" s="59">
        <v>2.0</v>
      </c>
      <c r="I98" s="493">
        <v>10.0</v>
      </c>
      <c r="J98" s="493"/>
      <c r="K98" s="529"/>
      <c r="L98" s="791"/>
      <c r="M98" s="515"/>
      <c r="N98" s="530"/>
      <c r="O98" s="59"/>
      <c r="P98" s="493"/>
      <c r="Q98" s="493"/>
      <c r="R98" s="59"/>
      <c r="S98" s="792"/>
      <c r="T98" s="515"/>
      <c r="U98" s="530"/>
      <c r="V98" s="59"/>
      <c r="W98" s="59"/>
      <c r="X98" s="59"/>
      <c r="Y98" s="59"/>
      <c r="Z98" s="46"/>
      <c r="AA98" s="192"/>
      <c r="AB98" s="191"/>
      <c r="AC98" s="46"/>
      <c r="AD98" s="46"/>
      <c r="AE98" s="46"/>
      <c r="AF98" s="46"/>
      <c r="AG98" s="62">
        <f t="shared" si="11"/>
        <v>23</v>
      </c>
      <c r="AH98" s="80">
        <v>500.0</v>
      </c>
      <c r="AI98" s="68">
        <f t="shared" si="12"/>
        <v>11500</v>
      </c>
      <c r="AJ98" s="17"/>
      <c r="AK98" s="178"/>
      <c r="AL98" s="178"/>
    </row>
    <row r="99">
      <c r="A99" s="226" t="s">
        <v>86</v>
      </c>
      <c r="B99" s="595"/>
      <c r="C99" s="508"/>
      <c r="D99" s="59">
        <v>1.0</v>
      </c>
      <c r="E99" s="46"/>
      <c r="F99" s="515"/>
      <c r="G99" s="530"/>
      <c r="H99" s="54"/>
      <c r="I99" s="493"/>
      <c r="J99" s="49"/>
      <c r="K99" s="191"/>
      <c r="L99" s="791"/>
      <c r="M99" s="515"/>
      <c r="N99" s="530"/>
      <c r="O99" s="54"/>
      <c r="P99" s="59"/>
      <c r="Q99" s="493"/>
      <c r="R99" s="59"/>
      <c r="S99" s="794"/>
      <c r="T99" s="192"/>
      <c r="U99" s="530"/>
      <c r="V99" s="59"/>
      <c r="W99" s="46"/>
      <c r="X99" s="59"/>
      <c r="Y99" s="59"/>
      <c r="Z99" s="46"/>
      <c r="AA99" s="192"/>
      <c r="AB99" s="191"/>
      <c r="AC99" s="46"/>
      <c r="AD99" s="46"/>
      <c r="AE99" s="46"/>
      <c r="AF99" s="46"/>
      <c r="AG99" s="62">
        <f t="shared" si="11"/>
        <v>1</v>
      </c>
      <c r="AH99" s="80">
        <v>500.0</v>
      </c>
      <c r="AI99" s="68">
        <f t="shared" si="12"/>
        <v>500</v>
      </c>
      <c r="AJ99" s="17"/>
      <c r="AK99" s="178"/>
      <c r="AL99" s="178"/>
    </row>
    <row r="100">
      <c r="A100" s="223" t="s">
        <v>80</v>
      </c>
      <c r="B100" s="669"/>
      <c r="C100" s="508"/>
      <c r="D100" s="54"/>
      <c r="E100" s="54"/>
      <c r="F100" s="51"/>
      <c r="G100" s="48"/>
      <c r="H100" s="46"/>
      <c r="I100" s="54"/>
      <c r="J100" s="46"/>
      <c r="K100" s="48"/>
      <c r="L100" s="534"/>
      <c r="M100" s="192"/>
      <c r="N100" s="48"/>
      <c r="O100" s="54"/>
      <c r="P100" s="54"/>
      <c r="Q100" s="54"/>
      <c r="R100" s="54"/>
      <c r="S100" s="821"/>
      <c r="T100" s="51"/>
      <c r="U100" s="48"/>
      <c r="V100" s="54"/>
      <c r="W100" s="54"/>
      <c r="X100" s="54"/>
      <c r="Y100" s="54"/>
      <c r="Z100" s="54"/>
      <c r="AA100" s="51"/>
      <c r="AB100" s="48"/>
      <c r="AC100" s="54"/>
      <c r="AD100" s="54"/>
      <c r="AE100" s="54"/>
      <c r="AF100" s="54"/>
      <c r="AG100" s="62">
        <f t="shared" si="11"/>
        <v>0</v>
      </c>
      <c r="AH100" s="80">
        <v>1500.0</v>
      </c>
      <c r="AI100" s="68">
        <f t="shared" si="12"/>
        <v>0</v>
      </c>
      <c r="AJ100" s="17"/>
      <c r="AK100" s="178"/>
      <c r="AL100" s="178"/>
    </row>
    <row r="101">
      <c r="A101" s="156" t="s">
        <v>164</v>
      </c>
      <c r="B101" s="673"/>
      <c r="C101" s="591"/>
      <c r="D101" s="247">
        <v>1.0</v>
      </c>
      <c r="E101" s="184"/>
      <c r="F101" s="579"/>
      <c r="G101" s="588"/>
      <c r="H101" s="184"/>
      <c r="I101" s="246"/>
      <c r="J101" s="247"/>
      <c r="K101" s="615"/>
      <c r="L101" s="799"/>
      <c r="M101" s="579"/>
      <c r="N101" s="588"/>
      <c r="O101" s="246"/>
      <c r="P101" s="181"/>
      <c r="Q101" s="577"/>
      <c r="R101" s="181"/>
      <c r="S101" s="825"/>
      <c r="T101" s="229"/>
      <c r="U101" s="588"/>
      <c r="V101" s="247"/>
      <c r="W101" s="181"/>
      <c r="X101" s="181"/>
      <c r="Y101" s="247"/>
      <c r="Z101" s="181"/>
      <c r="AA101" s="229"/>
      <c r="AB101" s="245"/>
      <c r="AC101" s="181"/>
      <c r="AD101" s="181"/>
      <c r="AE101" s="181"/>
      <c r="AF101" s="181"/>
      <c r="AG101" s="62">
        <f t="shared" si="11"/>
        <v>1</v>
      </c>
      <c r="AH101" s="167">
        <v>500.0</v>
      </c>
      <c r="AI101" s="168">
        <f t="shared" si="12"/>
        <v>500</v>
      </c>
      <c r="AJ101" s="17"/>
      <c r="AK101" s="178"/>
      <c r="AL101" s="178"/>
    </row>
    <row r="102">
      <c r="A102" s="33" t="s">
        <v>326</v>
      </c>
      <c r="B102" s="604">
        <v>1.0</v>
      </c>
      <c r="C102" s="507"/>
      <c r="D102" s="59">
        <v>4.0</v>
      </c>
      <c r="E102" s="59">
        <v>1.0</v>
      </c>
      <c r="F102" s="579"/>
      <c r="G102" s="530"/>
      <c r="H102" s="59">
        <v>1.0</v>
      </c>
      <c r="I102" s="493">
        <v>1.0</v>
      </c>
      <c r="J102" s="59"/>
      <c r="K102" s="529"/>
      <c r="L102" s="527"/>
      <c r="M102" s="515"/>
      <c r="N102" s="48"/>
      <c r="O102" s="493"/>
      <c r="P102" s="59"/>
      <c r="Q102" s="493"/>
      <c r="R102" s="59"/>
      <c r="S102" s="792"/>
      <c r="T102" s="515"/>
      <c r="U102" s="530"/>
      <c r="V102" s="59"/>
      <c r="W102" s="59"/>
      <c r="X102" s="59"/>
      <c r="Y102" s="59"/>
      <c r="Z102" s="46"/>
      <c r="AA102" s="192"/>
      <c r="AB102" s="191"/>
      <c r="AC102" s="46"/>
      <c r="AD102" s="46"/>
      <c r="AE102" s="46"/>
      <c r="AF102" s="46"/>
      <c r="AG102" s="62">
        <f t="shared" si="11"/>
        <v>8</v>
      </c>
      <c r="AH102" s="80">
        <v>350.0</v>
      </c>
      <c r="AI102" s="168">
        <f t="shared" si="12"/>
        <v>2800</v>
      </c>
      <c r="AJ102" s="17"/>
      <c r="AK102" s="178"/>
      <c r="AL102" s="178"/>
    </row>
    <row r="103">
      <c r="A103" s="156" t="s">
        <v>328</v>
      </c>
      <c r="B103" s="679"/>
      <c r="C103" s="581"/>
      <c r="D103" s="247">
        <v>3.0</v>
      </c>
      <c r="E103" s="184"/>
      <c r="F103" s="579"/>
      <c r="G103" s="588"/>
      <c r="H103" s="184"/>
      <c r="I103" s="577">
        <v>1.0</v>
      </c>
      <c r="J103" s="247"/>
      <c r="K103" s="615"/>
      <c r="L103" s="590"/>
      <c r="M103" s="229"/>
      <c r="N103" s="182"/>
      <c r="O103" s="246"/>
      <c r="P103" s="181"/>
      <c r="Q103" s="577"/>
      <c r="R103" s="247"/>
      <c r="S103" s="825"/>
      <c r="T103" s="579"/>
      <c r="U103" s="588"/>
      <c r="V103" s="247"/>
      <c r="W103" s="181"/>
      <c r="X103" s="181"/>
      <c r="Y103" s="247"/>
      <c r="Z103" s="181"/>
      <c r="AA103" s="229"/>
      <c r="AB103" s="245"/>
      <c r="AC103" s="181"/>
      <c r="AD103" s="181"/>
      <c r="AE103" s="181"/>
      <c r="AF103" s="181"/>
      <c r="AG103" s="166">
        <f t="shared" si="11"/>
        <v>4</v>
      </c>
      <c r="AH103" s="167">
        <v>450.0</v>
      </c>
      <c r="AI103" s="168">
        <f t="shared" si="12"/>
        <v>1800</v>
      </c>
      <c r="AJ103" s="17"/>
      <c r="AK103" s="178"/>
      <c r="AL103" s="178"/>
    </row>
    <row r="104">
      <c r="A104" s="169" t="s">
        <v>45</v>
      </c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28"/>
      <c r="AH104" s="129"/>
      <c r="AI104" s="174">
        <f>SUM(AI87:AI103)</f>
        <v>35700</v>
      </c>
      <c r="AJ104" s="17"/>
      <c r="AK104" s="178"/>
      <c r="AL104" s="178"/>
    </row>
    <row r="105">
      <c r="A105" s="802" t="s">
        <v>127</v>
      </c>
      <c r="AJ105" s="17"/>
      <c r="AK105" s="178"/>
      <c r="AL105" s="178"/>
    </row>
    <row r="106">
      <c r="A106" s="206" t="s">
        <v>128</v>
      </c>
      <c r="B106" s="803"/>
      <c r="C106" s="830"/>
      <c r="D106" s="810"/>
      <c r="E106" s="805"/>
      <c r="F106" s="809"/>
      <c r="G106" s="832"/>
      <c r="H106" s="807"/>
      <c r="I106" s="807"/>
      <c r="J106" s="807"/>
      <c r="K106" s="833"/>
      <c r="L106" s="834"/>
      <c r="M106" s="809"/>
      <c r="N106" s="835"/>
      <c r="O106" s="804"/>
      <c r="P106" s="805"/>
      <c r="Q106" s="836"/>
      <c r="R106" s="804"/>
      <c r="S106" s="837"/>
      <c r="T106" s="809"/>
      <c r="U106" s="835"/>
      <c r="V106" s="804"/>
      <c r="W106" s="810"/>
      <c r="X106" s="804"/>
      <c r="Y106" s="804"/>
      <c r="Z106" s="810"/>
      <c r="AA106" s="814"/>
      <c r="AB106" s="811"/>
      <c r="AC106" s="810"/>
      <c r="AD106" s="810"/>
      <c r="AE106" s="810"/>
      <c r="AF106" s="810"/>
      <c r="AG106" s="815">
        <f t="shared" ref="AG106:AG109" si="13">SUM(B106:AA106)</f>
        <v>0</v>
      </c>
      <c r="AH106" s="816">
        <v>550.0</v>
      </c>
      <c r="AI106" s="817">
        <f t="shared" ref="AI106:AI109" si="14">AG106*AH106</f>
        <v>0</v>
      </c>
      <c r="AJ106" s="17"/>
      <c r="AK106" s="155"/>
      <c r="AL106" s="155"/>
    </row>
    <row r="107">
      <c r="A107" s="189" t="s">
        <v>131</v>
      </c>
      <c r="B107" s="595"/>
      <c r="C107" s="508"/>
      <c r="D107" s="46"/>
      <c r="E107" s="49"/>
      <c r="F107" s="51"/>
      <c r="G107" s="538"/>
      <c r="H107" s="59">
        <v>1.0</v>
      </c>
      <c r="I107" s="46"/>
      <c r="J107" s="46"/>
      <c r="K107" s="529"/>
      <c r="L107" s="534"/>
      <c r="M107" s="515"/>
      <c r="N107" s="48"/>
      <c r="O107" s="59"/>
      <c r="P107" s="54"/>
      <c r="Q107" s="59"/>
      <c r="R107" s="46"/>
      <c r="S107" s="794"/>
      <c r="T107" s="515"/>
      <c r="U107" s="191"/>
      <c r="V107" s="46"/>
      <c r="W107" s="46"/>
      <c r="X107" s="46"/>
      <c r="Y107" s="46"/>
      <c r="Z107" s="46"/>
      <c r="AA107" s="192"/>
      <c r="AB107" s="191"/>
      <c r="AC107" s="46"/>
      <c r="AD107" s="46"/>
      <c r="AE107" s="46"/>
      <c r="AF107" s="46"/>
      <c r="AG107" s="62">
        <f t="shared" si="13"/>
        <v>1</v>
      </c>
      <c r="AH107" s="80">
        <v>350.0</v>
      </c>
      <c r="AI107" s="68">
        <f t="shared" si="14"/>
        <v>350</v>
      </c>
      <c r="AJ107" s="17"/>
      <c r="AK107" s="155"/>
      <c r="AL107" s="155"/>
    </row>
    <row r="108">
      <c r="A108" s="197" t="s">
        <v>331</v>
      </c>
      <c r="B108" s="604"/>
      <c r="C108" s="507"/>
      <c r="D108" s="59"/>
      <c r="E108" s="49"/>
      <c r="F108" s="515"/>
      <c r="G108" s="48"/>
      <c r="H108" s="59">
        <v>1.0</v>
      </c>
      <c r="I108" s="49"/>
      <c r="J108" s="54"/>
      <c r="K108" s="530"/>
      <c r="L108" s="527"/>
      <c r="M108" s="515"/>
      <c r="N108" s="530"/>
      <c r="O108" s="59"/>
      <c r="P108" s="46"/>
      <c r="Q108" s="46"/>
      <c r="R108" s="46"/>
      <c r="S108" s="794"/>
      <c r="T108" s="515"/>
      <c r="U108" s="530"/>
      <c r="V108" s="59"/>
      <c r="W108" s="59"/>
      <c r="X108" s="46"/>
      <c r="Y108" s="46"/>
      <c r="Z108" s="46"/>
      <c r="AA108" s="192"/>
      <c r="AB108" s="191"/>
      <c r="AC108" s="46"/>
      <c r="AD108" s="46"/>
      <c r="AE108" s="46"/>
      <c r="AF108" s="46"/>
      <c r="AG108" s="62">
        <f t="shared" si="13"/>
        <v>1</v>
      </c>
      <c r="AH108" s="80">
        <v>350.0</v>
      </c>
      <c r="AI108" s="68">
        <f t="shared" si="14"/>
        <v>350</v>
      </c>
      <c r="AJ108" s="17"/>
      <c r="AK108" s="155"/>
      <c r="AL108" s="155"/>
    </row>
    <row r="109">
      <c r="A109" s="207" t="s">
        <v>134</v>
      </c>
      <c r="B109" s="679"/>
      <c r="C109" s="681"/>
      <c r="D109" s="247"/>
      <c r="E109" s="184"/>
      <c r="F109" s="579"/>
      <c r="G109" s="588"/>
      <c r="H109" s="184"/>
      <c r="I109" s="247"/>
      <c r="J109" s="247"/>
      <c r="K109" s="588"/>
      <c r="L109" s="590"/>
      <c r="M109" s="579"/>
      <c r="N109" s="588"/>
      <c r="O109" s="247"/>
      <c r="P109" s="247"/>
      <c r="Q109" s="247"/>
      <c r="R109" s="247"/>
      <c r="S109" s="825"/>
      <c r="T109" s="183"/>
      <c r="U109" s="588"/>
      <c r="V109" s="247"/>
      <c r="W109" s="247"/>
      <c r="X109" s="247"/>
      <c r="Y109" s="184"/>
      <c r="Z109" s="184"/>
      <c r="AA109" s="183"/>
      <c r="AB109" s="182"/>
      <c r="AC109" s="184"/>
      <c r="AD109" s="184"/>
      <c r="AE109" s="184"/>
      <c r="AF109" s="184"/>
      <c r="AG109" s="166">
        <f t="shared" si="13"/>
        <v>0</v>
      </c>
      <c r="AH109" s="167">
        <v>350.0</v>
      </c>
      <c r="AI109" s="168">
        <f t="shared" si="14"/>
        <v>0</v>
      </c>
      <c r="AJ109" s="17"/>
      <c r="AK109" s="155"/>
      <c r="AL109" s="155"/>
    </row>
    <row r="110">
      <c r="A110" s="169" t="s">
        <v>45</v>
      </c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28"/>
      <c r="AE110" s="128"/>
      <c r="AF110" s="128"/>
      <c r="AG110" s="128"/>
      <c r="AH110" s="129"/>
      <c r="AI110" s="174">
        <f>SUM(AI106:AI109)</f>
        <v>700</v>
      </c>
      <c r="AJ110" s="17"/>
      <c r="AK110" s="176"/>
      <c r="AL110" s="176"/>
    </row>
    <row r="111">
      <c r="A111" s="838" t="s">
        <v>169</v>
      </c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97"/>
      <c r="AJ111" s="17"/>
      <c r="AK111" s="178"/>
      <c r="AL111" s="178"/>
    </row>
    <row r="112">
      <c r="A112" s="197" t="s">
        <v>170</v>
      </c>
      <c r="B112" s="604"/>
      <c r="C112" s="611"/>
      <c r="D112" s="59">
        <v>2.0</v>
      </c>
      <c r="E112" s="59">
        <v>1.0</v>
      </c>
      <c r="F112" s="515"/>
      <c r="G112" s="48"/>
      <c r="H112" s="59">
        <v>3.0</v>
      </c>
      <c r="I112" s="59">
        <v>1.0</v>
      </c>
      <c r="J112" s="54"/>
      <c r="K112" s="530"/>
      <c r="L112" s="534"/>
      <c r="M112" s="51"/>
      <c r="N112" s="48"/>
      <c r="O112" s="59"/>
      <c r="P112" s="59"/>
      <c r="Q112" s="59"/>
      <c r="R112" s="59"/>
      <c r="S112" s="821"/>
      <c r="T112" s="51"/>
      <c r="U112" s="530"/>
      <c r="V112" s="59"/>
      <c r="W112" s="54"/>
      <c r="X112" s="54"/>
      <c r="Y112" s="59"/>
      <c r="Z112" s="54"/>
      <c r="AA112" s="51"/>
      <c r="AB112" s="48"/>
      <c r="AC112" s="54"/>
      <c r="AD112" s="54"/>
      <c r="AE112" s="54"/>
      <c r="AF112" s="54"/>
      <c r="AG112" s="62">
        <f t="shared" ref="AG112:AG117" si="15">SUM(B112:AA112)</f>
        <v>7</v>
      </c>
      <c r="AH112" s="242">
        <v>280.0</v>
      </c>
      <c r="AI112" s="68">
        <f t="shared" ref="AI112:AI117" si="16">AG112*AH112</f>
        <v>1960</v>
      </c>
      <c r="AJ112" s="17"/>
      <c r="AK112" s="178"/>
      <c r="AL112" s="178"/>
    </row>
    <row r="113">
      <c r="A113" s="197" t="s">
        <v>173</v>
      </c>
      <c r="B113" s="669"/>
      <c r="C113" s="491"/>
      <c r="D113" s="54"/>
      <c r="E113" s="54"/>
      <c r="F113" s="51"/>
      <c r="G113" s="48"/>
      <c r="H113" s="54"/>
      <c r="I113" s="54"/>
      <c r="J113" s="54"/>
      <c r="K113" s="48"/>
      <c r="L113" s="534"/>
      <c r="M113" s="51"/>
      <c r="N113" s="48"/>
      <c r="O113" s="54"/>
      <c r="P113" s="46"/>
      <c r="Q113" s="54"/>
      <c r="R113" s="54"/>
      <c r="S113" s="821"/>
      <c r="T113" s="51"/>
      <c r="U113" s="48"/>
      <c r="V113" s="54"/>
      <c r="W113" s="54"/>
      <c r="X113" s="54"/>
      <c r="Y113" s="54"/>
      <c r="Z113" s="54"/>
      <c r="AA113" s="51"/>
      <c r="AB113" s="48"/>
      <c r="AC113" s="54"/>
      <c r="AD113" s="54"/>
      <c r="AE113" s="54"/>
      <c r="AF113" s="54"/>
      <c r="AG113" s="62">
        <f t="shared" si="15"/>
        <v>0</v>
      </c>
      <c r="AH113" s="242">
        <v>260.0</v>
      </c>
      <c r="AI113" s="68">
        <f t="shared" si="16"/>
        <v>0</v>
      </c>
      <c r="AJ113" s="17"/>
      <c r="AK113" s="178"/>
      <c r="AL113" s="178"/>
    </row>
    <row r="114">
      <c r="A114" s="243" t="s">
        <v>174</v>
      </c>
      <c r="B114" s="669"/>
      <c r="C114" s="508"/>
      <c r="D114" s="54"/>
      <c r="E114" s="54"/>
      <c r="F114" s="51"/>
      <c r="G114" s="48"/>
      <c r="H114" s="54"/>
      <c r="I114" s="59"/>
      <c r="J114" s="59"/>
      <c r="K114" s="48"/>
      <c r="L114" s="534"/>
      <c r="M114" s="51"/>
      <c r="N114" s="48"/>
      <c r="O114" s="54"/>
      <c r="P114" s="46"/>
      <c r="Q114" s="59"/>
      <c r="R114" s="54"/>
      <c r="S114" s="794"/>
      <c r="T114" s="192"/>
      <c r="U114" s="191"/>
      <c r="V114" s="46"/>
      <c r="W114" s="46"/>
      <c r="X114" s="46"/>
      <c r="Y114" s="46"/>
      <c r="Z114" s="46"/>
      <c r="AA114" s="192"/>
      <c r="AB114" s="191"/>
      <c r="AC114" s="46"/>
      <c r="AD114" s="46"/>
      <c r="AE114" s="46"/>
      <c r="AF114" s="46"/>
      <c r="AG114" s="62">
        <f t="shared" si="15"/>
        <v>0</v>
      </c>
      <c r="AH114" s="242">
        <v>265.0</v>
      </c>
      <c r="AI114" s="68">
        <f t="shared" si="16"/>
        <v>0</v>
      </c>
      <c r="AJ114" s="17"/>
      <c r="AK114" s="178"/>
      <c r="AL114" s="178"/>
    </row>
    <row r="115">
      <c r="A115" s="243" t="s">
        <v>176</v>
      </c>
      <c r="B115" s="42"/>
      <c r="C115" s="491"/>
      <c r="D115" s="54"/>
      <c r="E115" s="54"/>
      <c r="F115" s="51"/>
      <c r="G115" s="538"/>
      <c r="H115" s="54"/>
      <c r="I115" s="54"/>
      <c r="J115" s="59"/>
      <c r="K115" s="48"/>
      <c r="L115" s="534"/>
      <c r="M115" s="51"/>
      <c r="N115" s="48"/>
      <c r="O115" s="54"/>
      <c r="P115" s="49"/>
      <c r="Q115" s="54"/>
      <c r="R115" s="54"/>
      <c r="S115" s="794"/>
      <c r="T115" s="192"/>
      <c r="U115" s="191"/>
      <c r="V115" s="59"/>
      <c r="W115" s="46"/>
      <c r="X115" s="46"/>
      <c r="Y115" s="46"/>
      <c r="Z115" s="46"/>
      <c r="AA115" s="192"/>
      <c r="AB115" s="191"/>
      <c r="AC115" s="46"/>
      <c r="AD115" s="46"/>
      <c r="AE115" s="46"/>
      <c r="AF115" s="46"/>
      <c r="AG115" s="62">
        <f t="shared" si="15"/>
        <v>0</v>
      </c>
      <c r="AH115" s="242">
        <v>295.0</v>
      </c>
      <c r="AI115" s="68">
        <f t="shared" si="16"/>
        <v>0</v>
      </c>
      <c r="AJ115" s="17"/>
      <c r="AK115" s="178"/>
      <c r="AL115" s="178"/>
    </row>
    <row r="116">
      <c r="A116" s="197" t="s">
        <v>177</v>
      </c>
      <c r="B116" s="604"/>
      <c r="C116" s="491"/>
      <c r="D116" s="46"/>
      <c r="E116" s="54"/>
      <c r="F116" s="51"/>
      <c r="G116" s="529"/>
      <c r="H116" s="54"/>
      <c r="I116" s="54"/>
      <c r="J116" s="54"/>
      <c r="K116" s="48"/>
      <c r="L116" s="534"/>
      <c r="M116" s="515"/>
      <c r="N116" s="538"/>
      <c r="O116" s="59"/>
      <c r="P116" s="49"/>
      <c r="Q116" s="59"/>
      <c r="R116" s="59"/>
      <c r="S116" s="794"/>
      <c r="T116" s="192"/>
      <c r="U116" s="191"/>
      <c r="V116" s="46"/>
      <c r="W116" s="59"/>
      <c r="X116" s="46"/>
      <c r="Y116" s="59"/>
      <c r="Z116" s="46"/>
      <c r="AA116" s="192"/>
      <c r="AB116" s="191"/>
      <c r="AC116" s="46"/>
      <c r="AD116" s="46"/>
      <c r="AE116" s="46"/>
      <c r="AF116" s="46"/>
      <c r="AG116" s="62">
        <f t="shared" si="15"/>
        <v>0</v>
      </c>
      <c r="AH116" s="242">
        <v>750.0</v>
      </c>
      <c r="AI116" s="68">
        <f t="shared" si="16"/>
        <v>0</v>
      </c>
      <c r="AJ116" s="17"/>
      <c r="AK116" s="178"/>
      <c r="AL116" s="178"/>
    </row>
    <row r="117">
      <c r="A117" s="197" t="s">
        <v>179</v>
      </c>
      <c r="B117" s="604"/>
      <c r="C117" s="611"/>
      <c r="D117" s="59"/>
      <c r="E117" s="59"/>
      <c r="F117" s="515"/>
      <c r="G117" s="530"/>
      <c r="H117" s="59"/>
      <c r="I117" s="59"/>
      <c r="J117" s="59"/>
      <c r="K117" s="529"/>
      <c r="L117" s="527"/>
      <c r="M117" s="192"/>
      <c r="N117" s="48"/>
      <c r="O117" s="59"/>
      <c r="P117" s="59"/>
      <c r="Q117" s="59"/>
      <c r="R117" s="59"/>
      <c r="S117" s="792"/>
      <c r="T117" s="515"/>
      <c r="U117" s="530"/>
      <c r="V117" s="59"/>
      <c r="W117" s="59"/>
      <c r="X117" s="59"/>
      <c r="Y117" s="59"/>
      <c r="Z117" s="54"/>
      <c r="AA117" s="51"/>
      <c r="AB117" s="48"/>
      <c r="AC117" s="54"/>
      <c r="AD117" s="54"/>
      <c r="AE117" s="54"/>
      <c r="AF117" s="54"/>
      <c r="AG117" s="62">
        <f t="shared" si="15"/>
        <v>0</v>
      </c>
      <c r="AH117" s="242">
        <v>550.0</v>
      </c>
      <c r="AI117" s="68">
        <f t="shared" si="16"/>
        <v>0</v>
      </c>
      <c r="AJ117" s="17"/>
      <c r="AK117" s="178"/>
      <c r="AL117" s="178"/>
    </row>
    <row r="118">
      <c r="A118" s="169" t="s">
        <v>45</v>
      </c>
      <c r="B118" s="128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  <c r="AA118" s="128"/>
      <c r="AB118" s="128"/>
      <c r="AC118" s="128"/>
      <c r="AD118" s="128"/>
      <c r="AE118" s="128"/>
      <c r="AF118" s="128"/>
      <c r="AG118" s="128"/>
      <c r="AH118" s="129"/>
      <c r="AI118" s="174">
        <f>SUM(AI112:AI117)</f>
        <v>1960</v>
      </c>
      <c r="AJ118" s="17"/>
      <c r="AK118" s="178"/>
      <c r="AL118" s="178"/>
    </row>
    <row r="119">
      <c r="A119" s="24" t="s">
        <v>350</v>
      </c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8"/>
      <c r="AJ119" s="17"/>
      <c r="AK119" s="178"/>
      <c r="AL119" s="178"/>
    </row>
    <row r="120">
      <c r="A120" s="197" t="s">
        <v>191</v>
      </c>
      <c r="B120" s="595">
        <v>1.0</v>
      </c>
      <c r="C120" s="507"/>
      <c r="D120" s="59">
        <v>72.0</v>
      </c>
      <c r="E120" s="493">
        <v>5.0</v>
      </c>
      <c r="F120" s="515"/>
      <c r="G120" s="529"/>
      <c r="H120" s="493">
        <v>8.0</v>
      </c>
      <c r="I120" s="493">
        <v>5.0</v>
      </c>
      <c r="J120" s="493"/>
      <c r="K120" s="529"/>
      <c r="L120" s="791"/>
      <c r="M120" s="515"/>
      <c r="N120" s="529"/>
      <c r="O120" s="493"/>
      <c r="P120" s="59"/>
      <c r="Q120" s="493"/>
      <c r="R120" s="59"/>
      <c r="S120" s="792"/>
      <c r="T120" s="515"/>
      <c r="U120" s="530"/>
      <c r="V120" s="59"/>
      <c r="W120" s="59"/>
      <c r="X120" s="59"/>
      <c r="Y120" s="59"/>
      <c r="Z120" s="46"/>
      <c r="AA120" s="192"/>
      <c r="AB120" s="191"/>
      <c r="AC120" s="46"/>
      <c r="AD120" s="46"/>
      <c r="AE120" s="46"/>
      <c r="AF120" s="46"/>
      <c r="AG120" s="62">
        <f t="shared" ref="AG120:AG125" si="17">SUM(B120:AA120)</f>
        <v>91</v>
      </c>
      <c r="AH120" s="80">
        <v>50.0</v>
      </c>
      <c r="AI120" s="68">
        <f t="shared" ref="AI120:AI125" si="18">AG120*AH120</f>
        <v>4550</v>
      </c>
      <c r="AJ120" s="17"/>
      <c r="AK120" s="178"/>
      <c r="AL120" s="178"/>
    </row>
    <row r="121">
      <c r="A121" s="197" t="s">
        <v>183</v>
      </c>
      <c r="B121" s="604"/>
      <c r="C121" s="611"/>
      <c r="D121" s="46"/>
      <c r="E121" s="59"/>
      <c r="F121" s="51"/>
      <c r="G121" s="530"/>
      <c r="H121" s="59"/>
      <c r="I121" s="59"/>
      <c r="J121" s="59"/>
      <c r="K121" s="529"/>
      <c r="L121" s="791"/>
      <c r="M121" s="515"/>
      <c r="N121" s="538"/>
      <c r="O121" s="59"/>
      <c r="P121" s="46"/>
      <c r="Q121" s="493"/>
      <c r="R121" s="59"/>
      <c r="S121" s="794"/>
      <c r="T121" s="515"/>
      <c r="U121" s="530"/>
      <c r="V121" s="59"/>
      <c r="W121" s="46"/>
      <c r="X121" s="46"/>
      <c r="Y121" s="59"/>
      <c r="Z121" s="46"/>
      <c r="AA121" s="192"/>
      <c r="AB121" s="191"/>
      <c r="AC121" s="46"/>
      <c r="AD121" s="46"/>
      <c r="AE121" s="46"/>
      <c r="AF121" s="46"/>
      <c r="AG121" s="62">
        <f t="shared" si="17"/>
        <v>0</v>
      </c>
      <c r="AH121" s="80">
        <v>60.0</v>
      </c>
      <c r="AI121" s="68">
        <f t="shared" si="18"/>
        <v>0</v>
      </c>
      <c r="AJ121" s="17"/>
      <c r="AK121" s="178"/>
      <c r="AL121" s="178"/>
    </row>
    <row r="122">
      <c r="A122" s="197" t="s">
        <v>185</v>
      </c>
      <c r="B122" s="604">
        <v>1.0</v>
      </c>
      <c r="C122" s="507"/>
      <c r="D122" s="54"/>
      <c r="E122" s="59"/>
      <c r="F122" s="515"/>
      <c r="G122" s="529"/>
      <c r="H122" s="59"/>
      <c r="I122" s="493"/>
      <c r="J122" s="59"/>
      <c r="K122" s="529"/>
      <c r="L122" s="791"/>
      <c r="M122" s="51"/>
      <c r="N122" s="530"/>
      <c r="O122" s="59"/>
      <c r="P122" s="493"/>
      <c r="Q122" s="59"/>
      <c r="R122" s="59"/>
      <c r="S122" s="792"/>
      <c r="T122" s="515"/>
      <c r="U122" s="530"/>
      <c r="V122" s="59"/>
      <c r="W122" s="59"/>
      <c r="X122" s="59"/>
      <c r="Y122" s="59"/>
      <c r="Z122" s="54"/>
      <c r="AA122" s="51"/>
      <c r="AB122" s="48"/>
      <c r="AC122" s="54"/>
      <c r="AD122" s="54"/>
      <c r="AE122" s="54"/>
      <c r="AF122" s="54"/>
      <c r="AG122" s="62">
        <f t="shared" si="17"/>
        <v>1</v>
      </c>
      <c r="AH122" s="80">
        <v>150.0</v>
      </c>
      <c r="AI122" s="68">
        <f t="shared" si="18"/>
        <v>150</v>
      </c>
      <c r="AJ122" s="17"/>
      <c r="AK122" s="178"/>
      <c r="AL122" s="178"/>
    </row>
    <row r="123">
      <c r="A123" s="197" t="s">
        <v>186</v>
      </c>
      <c r="B123" s="604"/>
      <c r="C123" s="611"/>
      <c r="D123" s="59">
        <v>1.0</v>
      </c>
      <c r="E123" s="59"/>
      <c r="F123" s="51"/>
      <c r="G123" s="530"/>
      <c r="H123" s="54"/>
      <c r="I123" s="59"/>
      <c r="J123" s="59"/>
      <c r="K123" s="191"/>
      <c r="L123" s="793"/>
      <c r="M123" s="192"/>
      <c r="N123" s="48"/>
      <c r="O123" s="54"/>
      <c r="P123" s="59"/>
      <c r="Q123" s="493"/>
      <c r="R123" s="59"/>
      <c r="S123" s="794"/>
      <c r="T123" s="192"/>
      <c r="U123" s="530"/>
      <c r="V123" s="59"/>
      <c r="W123" s="46"/>
      <c r="X123" s="46"/>
      <c r="Y123" s="46"/>
      <c r="Z123" s="46"/>
      <c r="AA123" s="192"/>
      <c r="AB123" s="191"/>
      <c r="AC123" s="46"/>
      <c r="AD123" s="46"/>
      <c r="AE123" s="46"/>
      <c r="AF123" s="46"/>
      <c r="AG123" s="62">
        <f t="shared" si="17"/>
        <v>1</v>
      </c>
      <c r="AH123" s="80">
        <v>130.0</v>
      </c>
      <c r="AI123" s="68">
        <f t="shared" si="18"/>
        <v>130</v>
      </c>
      <c r="AJ123" s="17"/>
      <c r="AK123" s="178"/>
      <c r="AL123" s="178"/>
    </row>
    <row r="124">
      <c r="A124" s="243" t="s">
        <v>187</v>
      </c>
      <c r="B124" s="691">
        <v>3.0</v>
      </c>
      <c r="C124" s="581"/>
      <c r="D124" s="247">
        <v>6.0</v>
      </c>
      <c r="E124" s="577">
        <v>3.0</v>
      </c>
      <c r="F124" s="579"/>
      <c r="G124" s="615"/>
      <c r="H124" s="577">
        <v>2.0</v>
      </c>
      <c r="I124" s="247">
        <v>4.0</v>
      </c>
      <c r="J124" s="577"/>
      <c r="K124" s="615"/>
      <c r="L124" s="590"/>
      <c r="M124" s="229"/>
      <c r="N124" s="245"/>
      <c r="O124" s="247"/>
      <c r="P124" s="247"/>
      <c r="Q124" s="577"/>
      <c r="R124" s="247"/>
      <c r="S124" s="825"/>
      <c r="T124" s="579"/>
      <c r="U124" s="588"/>
      <c r="V124" s="247"/>
      <c r="W124" s="247"/>
      <c r="X124" s="247"/>
      <c r="Y124" s="247"/>
      <c r="Z124" s="181"/>
      <c r="AA124" s="229"/>
      <c r="AB124" s="245"/>
      <c r="AC124" s="181"/>
      <c r="AD124" s="181"/>
      <c r="AE124" s="181"/>
      <c r="AF124" s="181"/>
      <c r="AG124" s="166">
        <f t="shared" si="17"/>
        <v>18</v>
      </c>
      <c r="AH124" s="167">
        <v>1650.0</v>
      </c>
      <c r="AI124" s="168">
        <f t="shared" si="18"/>
        <v>29700</v>
      </c>
      <c r="AJ124" s="17"/>
      <c r="AK124" s="178"/>
      <c r="AL124" s="178"/>
    </row>
    <row r="125">
      <c r="A125" s="243" t="s">
        <v>348</v>
      </c>
      <c r="B125" s="679"/>
      <c r="C125" s="681"/>
      <c r="D125" s="247"/>
      <c r="E125" s="247">
        <v>1.0</v>
      </c>
      <c r="F125" s="579"/>
      <c r="G125" s="588"/>
      <c r="H125" s="247">
        <v>34.0</v>
      </c>
      <c r="I125" s="247"/>
      <c r="J125" s="247"/>
      <c r="K125" s="645"/>
      <c r="L125" s="590"/>
      <c r="M125" s="229"/>
      <c r="N125" s="588"/>
      <c r="O125" s="247"/>
      <c r="P125" s="247"/>
      <c r="Q125" s="247"/>
      <c r="R125" s="247"/>
      <c r="S125" s="825"/>
      <c r="T125" s="183"/>
      <c r="U125" s="182"/>
      <c r="V125" s="247"/>
      <c r="W125" s="247"/>
      <c r="X125" s="184"/>
      <c r="Y125" s="247"/>
      <c r="Z125" s="184"/>
      <c r="AA125" s="183"/>
      <c r="AB125" s="182"/>
      <c r="AC125" s="184"/>
      <c r="AD125" s="184"/>
      <c r="AE125" s="184"/>
      <c r="AF125" s="184"/>
      <c r="AG125" s="166">
        <f t="shared" si="17"/>
        <v>35</v>
      </c>
      <c r="AH125" s="249">
        <v>220.0</v>
      </c>
      <c r="AI125" s="168">
        <f t="shared" si="18"/>
        <v>7700</v>
      </c>
      <c r="AJ125" s="17"/>
      <c r="AK125" s="178"/>
      <c r="AL125" s="178"/>
    </row>
    <row r="126">
      <c r="A126" s="169" t="s">
        <v>45</v>
      </c>
      <c r="B126" s="128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  <c r="AA126" s="128"/>
      <c r="AB126" s="128"/>
      <c r="AC126" s="128"/>
      <c r="AD126" s="128"/>
      <c r="AE126" s="128"/>
      <c r="AF126" s="128"/>
      <c r="AG126" s="128"/>
      <c r="AH126" s="129"/>
      <c r="AI126" s="174">
        <f>SUM(AI120:AI125)</f>
        <v>42230</v>
      </c>
      <c r="AJ126" s="17"/>
      <c r="AK126" s="178"/>
      <c r="AL126" s="178"/>
    </row>
    <row r="127">
      <c r="A127" s="262" t="s">
        <v>208</v>
      </c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8"/>
      <c r="AJ127" s="17"/>
      <c r="AK127" s="257"/>
      <c r="AL127" s="257"/>
    </row>
    <row r="128">
      <c r="A128" s="142" t="s">
        <v>210</v>
      </c>
      <c r="B128" s="604"/>
      <c r="C128" s="491"/>
      <c r="D128" s="54"/>
      <c r="E128" s="54"/>
      <c r="F128" s="515"/>
      <c r="G128" s="48"/>
      <c r="H128" s="59"/>
      <c r="I128" s="49"/>
      <c r="J128" s="54"/>
      <c r="K128" s="48"/>
      <c r="L128" s="797"/>
      <c r="M128" s="515"/>
      <c r="N128" s="48"/>
      <c r="O128" s="54"/>
      <c r="P128" s="54"/>
      <c r="Q128" s="54"/>
      <c r="R128" s="59"/>
      <c r="S128" s="821"/>
      <c r="T128" s="515"/>
      <c r="U128" s="530"/>
      <c r="V128" s="54"/>
      <c r="W128" s="54"/>
      <c r="X128" s="54"/>
      <c r="Y128" s="59"/>
      <c r="Z128" s="54"/>
      <c r="AA128" s="51"/>
      <c r="AB128" s="48"/>
      <c r="AC128" s="54"/>
      <c r="AD128" s="54"/>
      <c r="AE128" s="54"/>
      <c r="AF128" s="54"/>
      <c r="AG128" s="62">
        <f t="shared" ref="AG128:AG135" si="19">SUM(B128:AA128)</f>
        <v>0</v>
      </c>
      <c r="AH128" s="80">
        <v>700.0</v>
      </c>
      <c r="AI128" s="68">
        <f t="shared" ref="AI128:AI135" si="20">AG128*AH128</f>
        <v>0</v>
      </c>
      <c r="AJ128" s="17"/>
      <c r="AK128" s="178"/>
      <c r="AL128" s="178"/>
    </row>
    <row r="129">
      <c r="A129" s="142" t="s">
        <v>213</v>
      </c>
      <c r="B129" s="669"/>
      <c r="C129" s="516"/>
      <c r="D129" s="54"/>
      <c r="E129" s="54"/>
      <c r="F129" s="51"/>
      <c r="G129" s="48"/>
      <c r="H129" s="54"/>
      <c r="I129" s="54"/>
      <c r="J129" s="59"/>
      <c r="K129" s="48"/>
      <c r="L129" s="534"/>
      <c r="M129" s="515"/>
      <c r="N129" s="48"/>
      <c r="O129" s="54"/>
      <c r="P129" s="46"/>
      <c r="Q129" s="54"/>
      <c r="R129" s="54"/>
      <c r="S129" s="792"/>
      <c r="T129" s="51"/>
      <c r="U129" s="48"/>
      <c r="V129" s="54"/>
      <c r="W129" s="54"/>
      <c r="X129" s="54"/>
      <c r="Y129" s="54"/>
      <c r="Z129" s="54"/>
      <c r="AA129" s="51"/>
      <c r="AB129" s="48"/>
      <c r="AC129" s="54"/>
      <c r="AD129" s="54"/>
      <c r="AE129" s="54"/>
      <c r="AF129" s="54"/>
      <c r="AG129" s="62">
        <f t="shared" si="19"/>
        <v>0</v>
      </c>
      <c r="AH129" s="80">
        <v>1450.0</v>
      </c>
      <c r="AI129" s="68">
        <f t="shared" si="20"/>
        <v>0</v>
      </c>
      <c r="AJ129" s="17"/>
      <c r="AK129" s="178"/>
      <c r="AL129" s="178"/>
    </row>
    <row r="130">
      <c r="A130" s="142" t="s">
        <v>215</v>
      </c>
      <c r="B130" s="604"/>
      <c r="C130" s="491"/>
      <c r="D130" s="54"/>
      <c r="E130" s="54"/>
      <c r="F130" s="51"/>
      <c r="G130" s="538"/>
      <c r="H130" s="54"/>
      <c r="I130" s="54"/>
      <c r="J130" s="54"/>
      <c r="K130" s="48"/>
      <c r="L130" s="793"/>
      <c r="M130" s="51"/>
      <c r="N130" s="191"/>
      <c r="O130" s="54"/>
      <c r="P130" s="54"/>
      <c r="Q130" s="54"/>
      <c r="R130" s="46"/>
      <c r="S130" s="792"/>
      <c r="T130" s="192"/>
      <c r="U130" s="530"/>
      <c r="V130" s="46"/>
      <c r="W130" s="46"/>
      <c r="X130" s="46"/>
      <c r="Y130" s="46"/>
      <c r="Z130" s="46"/>
      <c r="AA130" s="192"/>
      <c r="AB130" s="191"/>
      <c r="AC130" s="46"/>
      <c r="AD130" s="46"/>
      <c r="AE130" s="46"/>
      <c r="AF130" s="46"/>
      <c r="AG130" s="62">
        <f t="shared" si="19"/>
        <v>0</v>
      </c>
      <c r="AH130" s="80">
        <v>800.0</v>
      </c>
      <c r="AI130" s="68">
        <f t="shared" si="20"/>
        <v>0</v>
      </c>
      <c r="AJ130" s="17"/>
      <c r="AK130" s="178"/>
      <c r="AL130" s="178"/>
    </row>
    <row r="131">
      <c r="A131" s="142" t="s">
        <v>217</v>
      </c>
      <c r="B131" s="604"/>
      <c r="C131" s="491"/>
      <c r="D131" s="59"/>
      <c r="E131" s="46"/>
      <c r="F131" s="51"/>
      <c r="G131" s="48"/>
      <c r="H131" s="46"/>
      <c r="I131" s="54"/>
      <c r="J131" s="54"/>
      <c r="K131" s="48"/>
      <c r="L131" s="527"/>
      <c r="M131" s="51"/>
      <c r="N131" s="48"/>
      <c r="O131" s="54"/>
      <c r="P131" s="46"/>
      <c r="Q131" s="59"/>
      <c r="R131" s="59"/>
      <c r="S131" s="794"/>
      <c r="T131" s="192"/>
      <c r="U131" s="191"/>
      <c r="V131" s="46"/>
      <c r="W131" s="46"/>
      <c r="X131" s="46"/>
      <c r="Y131" s="46"/>
      <c r="Z131" s="46"/>
      <c r="AA131" s="192"/>
      <c r="AB131" s="191"/>
      <c r="AC131" s="46"/>
      <c r="AD131" s="46"/>
      <c r="AE131" s="46"/>
      <c r="AF131" s="46"/>
      <c r="AG131" s="62">
        <f t="shared" si="19"/>
        <v>0</v>
      </c>
      <c r="AH131" s="80">
        <v>800.0</v>
      </c>
      <c r="AI131" s="68">
        <f t="shared" si="20"/>
        <v>0</v>
      </c>
      <c r="AJ131" s="17"/>
      <c r="AK131" s="178"/>
      <c r="AL131" s="178"/>
    </row>
    <row r="132">
      <c r="A132" s="142" t="s">
        <v>220</v>
      </c>
      <c r="B132" s="595"/>
      <c r="C132" s="507"/>
      <c r="D132" s="59">
        <v>8.0</v>
      </c>
      <c r="E132" s="493">
        <v>1.0</v>
      </c>
      <c r="F132" s="515"/>
      <c r="G132" s="529"/>
      <c r="H132" s="493"/>
      <c r="I132" s="493">
        <v>1.0</v>
      </c>
      <c r="J132" s="46"/>
      <c r="K132" s="529"/>
      <c r="L132" s="791"/>
      <c r="M132" s="515"/>
      <c r="N132" s="530"/>
      <c r="O132" s="493"/>
      <c r="P132" s="493"/>
      <c r="Q132" s="59"/>
      <c r="R132" s="59"/>
      <c r="S132" s="794"/>
      <c r="T132" s="515"/>
      <c r="U132" s="530"/>
      <c r="V132" s="59"/>
      <c r="W132" s="59"/>
      <c r="X132" s="59"/>
      <c r="Y132" s="59"/>
      <c r="Z132" s="46"/>
      <c r="AA132" s="192"/>
      <c r="AB132" s="191"/>
      <c r="AC132" s="46"/>
      <c r="AD132" s="46"/>
      <c r="AE132" s="46"/>
      <c r="AF132" s="46"/>
      <c r="AG132" s="62">
        <f t="shared" si="19"/>
        <v>10</v>
      </c>
      <c r="AH132" s="80">
        <v>260.0</v>
      </c>
      <c r="AI132" s="68">
        <f t="shared" si="20"/>
        <v>2600</v>
      </c>
      <c r="AJ132" s="17"/>
      <c r="AK132" s="178"/>
      <c r="AL132" s="178"/>
    </row>
    <row r="133">
      <c r="A133" s="263" t="s">
        <v>221</v>
      </c>
      <c r="B133" s="679">
        <v>2.0</v>
      </c>
      <c r="C133" s="549"/>
      <c r="D133" s="181"/>
      <c r="E133" s="181"/>
      <c r="F133" s="579"/>
      <c r="G133" s="588"/>
      <c r="H133" s="181"/>
      <c r="I133" s="577">
        <v>1.0</v>
      </c>
      <c r="J133" s="184"/>
      <c r="K133" s="615"/>
      <c r="L133" s="590"/>
      <c r="M133" s="579"/>
      <c r="N133" s="588"/>
      <c r="O133" s="184"/>
      <c r="P133" s="246"/>
      <c r="Q133" s="184"/>
      <c r="R133" s="184"/>
      <c r="S133" s="825"/>
      <c r="T133" s="229"/>
      <c r="U133" s="245"/>
      <c r="V133" s="181"/>
      <c r="W133" s="181"/>
      <c r="X133" s="181"/>
      <c r="Y133" s="181"/>
      <c r="Z133" s="181"/>
      <c r="AA133" s="229"/>
      <c r="AB133" s="245"/>
      <c r="AC133" s="181"/>
      <c r="AD133" s="181"/>
      <c r="AE133" s="181"/>
      <c r="AF133" s="181"/>
      <c r="AG133" s="62">
        <f t="shared" si="19"/>
        <v>3</v>
      </c>
      <c r="AH133" s="167">
        <v>180.0</v>
      </c>
      <c r="AI133" s="168">
        <f t="shared" si="20"/>
        <v>540</v>
      </c>
      <c r="AJ133" s="17"/>
      <c r="AK133" s="178"/>
      <c r="AL133" s="178"/>
    </row>
    <row r="134">
      <c r="A134" s="142" t="s">
        <v>368</v>
      </c>
      <c r="B134" s="604"/>
      <c r="C134" s="611"/>
      <c r="D134" s="59">
        <v>1.0</v>
      </c>
      <c r="E134" s="46"/>
      <c r="F134" s="51"/>
      <c r="G134" s="48"/>
      <c r="H134" s="59"/>
      <c r="I134" s="493"/>
      <c r="J134" s="59"/>
      <c r="K134" s="529"/>
      <c r="L134" s="527"/>
      <c r="M134" s="515"/>
      <c r="N134" s="530"/>
      <c r="O134" s="59"/>
      <c r="P134" s="49"/>
      <c r="Q134" s="59"/>
      <c r="R134" s="59"/>
      <c r="S134" s="792"/>
      <c r="T134" s="192"/>
      <c r="U134" s="191"/>
      <c r="V134" s="59"/>
      <c r="W134" s="46"/>
      <c r="X134" s="46"/>
      <c r="Y134" s="46"/>
      <c r="Z134" s="46"/>
      <c r="AA134" s="192"/>
      <c r="AB134" s="191"/>
      <c r="AC134" s="46"/>
      <c r="AD134" s="46"/>
      <c r="AE134" s="46"/>
      <c r="AF134" s="46"/>
      <c r="AG134" s="62">
        <f t="shared" si="19"/>
        <v>1</v>
      </c>
      <c r="AH134" s="80">
        <v>160.0</v>
      </c>
      <c r="AI134" s="68">
        <f t="shared" si="20"/>
        <v>160</v>
      </c>
      <c r="AJ134" s="17"/>
      <c r="AK134" s="178"/>
      <c r="AL134" s="178"/>
    </row>
    <row r="135">
      <c r="A135" s="263" t="s">
        <v>370</v>
      </c>
      <c r="B135" s="679">
        <v>2.0</v>
      </c>
      <c r="C135" s="681"/>
      <c r="D135" s="181"/>
      <c r="E135" s="181"/>
      <c r="F135" s="183"/>
      <c r="G135" s="182"/>
      <c r="H135" s="181"/>
      <c r="I135" s="246"/>
      <c r="J135" s="247"/>
      <c r="K135" s="615"/>
      <c r="L135" s="590"/>
      <c r="M135" s="579"/>
      <c r="N135" s="588"/>
      <c r="O135" s="184"/>
      <c r="P135" s="246"/>
      <c r="Q135" s="184"/>
      <c r="R135" s="247"/>
      <c r="S135" s="825"/>
      <c r="T135" s="229"/>
      <c r="U135" s="245"/>
      <c r="V135" s="181"/>
      <c r="W135" s="181"/>
      <c r="X135" s="181"/>
      <c r="Y135" s="181"/>
      <c r="Z135" s="181"/>
      <c r="AA135" s="229"/>
      <c r="AB135" s="245"/>
      <c r="AC135" s="181"/>
      <c r="AD135" s="181"/>
      <c r="AE135" s="181"/>
      <c r="AF135" s="181"/>
      <c r="AG135" s="166">
        <f t="shared" si="19"/>
        <v>2</v>
      </c>
      <c r="AH135" s="167">
        <v>200.0</v>
      </c>
      <c r="AI135" s="168">
        <f t="shared" si="20"/>
        <v>400</v>
      </c>
      <c r="AJ135" s="17"/>
      <c r="AK135" s="178"/>
      <c r="AL135" s="178"/>
    </row>
    <row r="136">
      <c r="A136" s="169" t="s">
        <v>45</v>
      </c>
      <c r="B136" s="128"/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28"/>
      <c r="AH136" s="129"/>
      <c r="AI136" s="174">
        <f>SUM(AI128:AI135)</f>
        <v>3700</v>
      </c>
      <c r="AJ136" s="17"/>
      <c r="AK136" s="178"/>
      <c r="AL136" s="178"/>
    </row>
    <row r="137">
      <c r="A137" s="256" t="s">
        <v>192</v>
      </c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8"/>
      <c r="AJ137" s="17"/>
      <c r="AK137" s="178"/>
      <c r="AL137" s="178"/>
    </row>
    <row r="138">
      <c r="A138" s="258" t="s">
        <v>193</v>
      </c>
      <c r="B138" s="604">
        <v>1.0</v>
      </c>
      <c r="C138" s="611"/>
      <c r="D138" s="59"/>
      <c r="E138" s="59"/>
      <c r="F138" s="515"/>
      <c r="G138" s="529"/>
      <c r="H138" s="59"/>
      <c r="I138" s="59"/>
      <c r="J138" s="46"/>
      <c r="K138" s="530"/>
      <c r="L138" s="793"/>
      <c r="M138" s="515"/>
      <c r="N138" s="538"/>
      <c r="O138" s="54"/>
      <c r="P138" s="493"/>
      <c r="Q138" s="493"/>
      <c r="R138" s="46"/>
      <c r="S138" s="792"/>
      <c r="T138" s="192"/>
      <c r="U138" s="530"/>
      <c r="V138" s="59"/>
      <c r="W138" s="59"/>
      <c r="X138" s="59"/>
      <c r="Y138" s="59"/>
      <c r="Z138" s="46"/>
      <c r="AA138" s="192"/>
      <c r="AB138" s="191"/>
      <c r="AC138" s="46"/>
      <c r="AD138" s="46"/>
      <c r="AE138" s="46"/>
      <c r="AF138" s="46"/>
      <c r="AG138" s="62">
        <f t="shared" ref="AG138:AG148" si="21">SUM(B138:AA138)</f>
        <v>1</v>
      </c>
      <c r="AH138" s="80">
        <v>130.0</v>
      </c>
      <c r="AI138" s="68">
        <f t="shared" ref="AI138:AI148" si="22">AG138*AH138</f>
        <v>130</v>
      </c>
      <c r="AJ138" s="17"/>
      <c r="AK138" s="178"/>
      <c r="AL138" s="178"/>
    </row>
    <row r="139">
      <c r="A139" s="258" t="s">
        <v>196</v>
      </c>
      <c r="B139" s="604">
        <v>2.0</v>
      </c>
      <c r="C139" s="508"/>
      <c r="D139" s="54"/>
      <c r="E139" s="59">
        <v>2.0</v>
      </c>
      <c r="F139" s="51"/>
      <c r="G139" s="530"/>
      <c r="H139" s="493">
        <v>1.0</v>
      </c>
      <c r="I139" s="493">
        <v>2.0</v>
      </c>
      <c r="J139" s="46"/>
      <c r="K139" s="538"/>
      <c r="L139" s="797"/>
      <c r="M139" s="51"/>
      <c r="N139" s="48"/>
      <c r="O139" s="49"/>
      <c r="P139" s="59"/>
      <c r="Q139" s="59"/>
      <c r="R139" s="59"/>
      <c r="S139" s="792"/>
      <c r="T139" s="515"/>
      <c r="U139" s="530"/>
      <c r="V139" s="46"/>
      <c r="W139" s="46"/>
      <c r="X139" s="46"/>
      <c r="Y139" s="59"/>
      <c r="Z139" s="46"/>
      <c r="AA139" s="192"/>
      <c r="AB139" s="191"/>
      <c r="AC139" s="46"/>
      <c r="AD139" s="46"/>
      <c r="AE139" s="46"/>
      <c r="AF139" s="46"/>
      <c r="AG139" s="62">
        <f t="shared" si="21"/>
        <v>7</v>
      </c>
      <c r="AH139" s="80">
        <v>130.0</v>
      </c>
      <c r="AI139" s="68">
        <f t="shared" si="22"/>
        <v>910</v>
      </c>
      <c r="AJ139" s="17"/>
      <c r="AK139" s="178"/>
      <c r="AL139" s="178"/>
    </row>
    <row r="140">
      <c r="A140" s="267" t="s">
        <v>360</v>
      </c>
      <c r="B140" s="595"/>
      <c r="C140" s="516"/>
      <c r="D140" s="46"/>
      <c r="E140" s="46"/>
      <c r="F140" s="51"/>
      <c r="G140" s="529"/>
      <c r="H140" s="46"/>
      <c r="I140" s="493"/>
      <c r="J140" s="59"/>
      <c r="K140" s="529"/>
      <c r="L140" s="797"/>
      <c r="M140" s="515"/>
      <c r="N140" s="530"/>
      <c r="O140" s="59"/>
      <c r="P140" s="46"/>
      <c r="Q140" s="493"/>
      <c r="R140" s="59"/>
      <c r="S140" s="794"/>
      <c r="T140" s="515"/>
      <c r="U140" s="530"/>
      <c r="V140" s="59"/>
      <c r="W140" s="59"/>
      <c r="X140" s="59"/>
      <c r="Y140" s="59"/>
      <c r="Z140" s="46"/>
      <c r="AA140" s="192"/>
      <c r="AB140" s="191"/>
      <c r="AC140" s="46"/>
      <c r="AD140" s="46"/>
      <c r="AE140" s="46"/>
      <c r="AF140" s="46"/>
      <c r="AG140" s="62">
        <f t="shared" si="21"/>
        <v>0</v>
      </c>
      <c r="AH140" s="80">
        <v>90.0</v>
      </c>
      <c r="AI140" s="68">
        <f t="shared" si="22"/>
        <v>0</v>
      </c>
      <c r="AJ140" s="17"/>
      <c r="AK140" s="178"/>
      <c r="AL140" s="178"/>
    </row>
    <row r="141">
      <c r="A141" s="147" t="s">
        <v>199</v>
      </c>
      <c r="B141" s="604"/>
      <c r="C141" s="491"/>
      <c r="D141" s="54"/>
      <c r="E141" s="54"/>
      <c r="F141" s="51"/>
      <c r="G141" s="48"/>
      <c r="H141" s="54"/>
      <c r="I141" s="54"/>
      <c r="J141" s="54"/>
      <c r="K141" s="48"/>
      <c r="L141" s="534"/>
      <c r="M141" s="51"/>
      <c r="N141" s="48"/>
      <c r="O141" s="54"/>
      <c r="P141" s="54"/>
      <c r="Q141" s="54"/>
      <c r="R141" s="54"/>
      <c r="S141" s="821"/>
      <c r="T141" s="51"/>
      <c r="U141" s="48"/>
      <c r="V141" s="54"/>
      <c r="W141" s="54"/>
      <c r="X141" s="54"/>
      <c r="Y141" s="54"/>
      <c r="Z141" s="54"/>
      <c r="AA141" s="51"/>
      <c r="AB141" s="48"/>
      <c r="AC141" s="54"/>
      <c r="AD141" s="54"/>
      <c r="AE141" s="54"/>
      <c r="AF141" s="54"/>
      <c r="AG141" s="62">
        <f t="shared" si="21"/>
        <v>0</v>
      </c>
      <c r="AH141" s="80">
        <v>90.0</v>
      </c>
      <c r="AI141" s="68">
        <f t="shared" si="22"/>
        <v>0</v>
      </c>
      <c r="AJ141" s="17"/>
      <c r="AK141" s="178"/>
      <c r="AL141" s="178"/>
    </row>
    <row r="142">
      <c r="A142" s="258" t="s">
        <v>201</v>
      </c>
      <c r="B142" s="604">
        <v>2.0</v>
      </c>
      <c r="C142" s="611"/>
      <c r="D142" s="59">
        <v>5.0</v>
      </c>
      <c r="E142" s="59">
        <v>1.0</v>
      </c>
      <c r="F142" s="515"/>
      <c r="G142" s="529"/>
      <c r="H142" s="59">
        <v>2.0</v>
      </c>
      <c r="I142" s="493">
        <v>1.0</v>
      </c>
      <c r="J142" s="493"/>
      <c r="K142" s="529"/>
      <c r="L142" s="791"/>
      <c r="M142" s="515"/>
      <c r="N142" s="529"/>
      <c r="O142" s="493"/>
      <c r="P142" s="59"/>
      <c r="Q142" s="493"/>
      <c r="R142" s="59"/>
      <c r="S142" s="794"/>
      <c r="T142" s="515"/>
      <c r="U142" s="530"/>
      <c r="V142" s="59"/>
      <c r="W142" s="59"/>
      <c r="X142" s="59"/>
      <c r="Y142" s="59"/>
      <c r="Z142" s="46"/>
      <c r="AA142" s="192"/>
      <c r="AB142" s="191"/>
      <c r="AC142" s="46"/>
      <c r="AD142" s="46"/>
      <c r="AE142" s="46"/>
      <c r="AF142" s="46"/>
      <c r="AG142" s="62">
        <f t="shared" si="21"/>
        <v>11</v>
      </c>
      <c r="AH142" s="80">
        <v>200.0</v>
      </c>
      <c r="AI142" s="68">
        <f t="shared" si="22"/>
        <v>2200</v>
      </c>
      <c r="AJ142" s="17"/>
      <c r="AK142" s="178"/>
      <c r="AL142" s="178"/>
    </row>
    <row r="143">
      <c r="A143" s="258" t="s">
        <v>203</v>
      </c>
      <c r="B143" s="669"/>
      <c r="C143" s="491"/>
      <c r="D143" s="54"/>
      <c r="E143" s="54"/>
      <c r="F143" s="51"/>
      <c r="G143" s="48"/>
      <c r="H143" s="54"/>
      <c r="I143" s="54"/>
      <c r="J143" s="54"/>
      <c r="K143" s="48"/>
      <c r="L143" s="534"/>
      <c r="M143" s="51"/>
      <c r="N143" s="48"/>
      <c r="O143" s="54"/>
      <c r="P143" s="54"/>
      <c r="Q143" s="54"/>
      <c r="R143" s="54"/>
      <c r="S143" s="794"/>
      <c r="T143" s="192"/>
      <c r="U143" s="191"/>
      <c r="V143" s="46"/>
      <c r="W143" s="46"/>
      <c r="X143" s="46"/>
      <c r="Y143" s="46"/>
      <c r="Z143" s="46"/>
      <c r="AA143" s="192"/>
      <c r="AB143" s="191"/>
      <c r="AC143" s="46"/>
      <c r="AD143" s="46"/>
      <c r="AE143" s="46"/>
      <c r="AF143" s="46"/>
      <c r="AG143" s="62">
        <f t="shared" si="21"/>
        <v>0</v>
      </c>
      <c r="AH143" s="80">
        <v>200.0</v>
      </c>
      <c r="AI143" s="68">
        <f t="shared" si="22"/>
        <v>0</v>
      </c>
      <c r="AJ143" s="17"/>
      <c r="AK143" s="178"/>
      <c r="AL143" s="178"/>
    </row>
    <row r="144">
      <c r="A144" s="258" t="s">
        <v>204</v>
      </c>
      <c r="B144" s="669"/>
      <c r="C144" s="491"/>
      <c r="D144" s="54"/>
      <c r="E144" s="54"/>
      <c r="F144" s="51"/>
      <c r="G144" s="48"/>
      <c r="H144" s="54"/>
      <c r="I144" s="54"/>
      <c r="J144" s="54"/>
      <c r="K144" s="48"/>
      <c r="L144" s="534"/>
      <c r="M144" s="51"/>
      <c r="N144" s="48"/>
      <c r="O144" s="54"/>
      <c r="P144" s="54"/>
      <c r="Q144" s="54"/>
      <c r="R144" s="54"/>
      <c r="S144" s="821"/>
      <c r="T144" s="51"/>
      <c r="U144" s="48"/>
      <c r="V144" s="54"/>
      <c r="W144" s="54"/>
      <c r="X144" s="54"/>
      <c r="Y144" s="54"/>
      <c r="Z144" s="54"/>
      <c r="AA144" s="51"/>
      <c r="AB144" s="48"/>
      <c r="AC144" s="54"/>
      <c r="AD144" s="54"/>
      <c r="AE144" s="54"/>
      <c r="AF144" s="54"/>
      <c r="AG144" s="62">
        <f t="shared" si="21"/>
        <v>0</v>
      </c>
      <c r="AH144" s="80">
        <v>600.0</v>
      </c>
      <c r="AI144" s="68">
        <f t="shared" si="22"/>
        <v>0</v>
      </c>
      <c r="AJ144" s="17"/>
      <c r="AK144" s="178"/>
      <c r="AL144" s="178"/>
    </row>
    <row r="145">
      <c r="A145" s="267" t="s">
        <v>225</v>
      </c>
      <c r="B145" s="604">
        <v>1.0</v>
      </c>
      <c r="C145" s="611"/>
      <c r="D145" s="59">
        <v>1.0</v>
      </c>
      <c r="E145" s="59"/>
      <c r="F145" s="515"/>
      <c r="G145" s="530"/>
      <c r="H145" s="59">
        <v>3.0</v>
      </c>
      <c r="I145" s="59">
        <v>1.0</v>
      </c>
      <c r="J145" s="59"/>
      <c r="K145" s="530"/>
      <c r="L145" s="527"/>
      <c r="M145" s="515"/>
      <c r="N145" s="529"/>
      <c r="O145" s="493"/>
      <c r="P145" s="493"/>
      <c r="Q145" s="493"/>
      <c r="R145" s="59"/>
      <c r="S145" s="792"/>
      <c r="T145" s="515"/>
      <c r="U145" s="530"/>
      <c r="V145" s="59"/>
      <c r="W145" s="59"/>
      <c r="X145" s="59"/>
      <c r="Y145" s="59"/>
      <c r="Z145" s="46"/>
      <c r="AA145" s="192"/>
      <c r="AB145" s="191"/>
      <c r="AC145" s="46"/>
      <c r="AD145" s="46"/>
      <c r="AE145" s="46"/>
      <c r="AF145" s="46"/>
      <c r="AG145" s="62">
        <f t="shared" si="21"/>
        <v>6</v>
      </c>
      <c r="AH145" s="80">
        <v>500.0</v>
      </c>
      <c r="AI145" s="68">
        <f t="shared" si="22"/>
        <v>3000</v>
      </c>
      <c r="AJ145" s="17"/>
      <c r="AK145" s="178"/>
      <c r="AL145" s="178"/>
    </row>
    <row r="146">
      <c r="A146" s="258" t="s">
        <v>205</v>
      </c>
      <c r="B146" s="595">
        <v>2.0</v>
      </c>
      <c r="C146" s="507"/>
      <c r="D146" s="59">
        <v>1.0</v>
      </c>
      <c r="E146" s="59"/>
      <c r="F146" s="515"/>
      <c r="G146" s="529"/>
      <c r="H146" s="59">
        <v>4.0</v>
      </c>
      <c r="I146" s="59"/>
      <c r="J146" s="59"/>
      <c r="K146" s="529"/>
      <c r="L146" s="791"/>
      <c r="M146" s="515"/>
      <c r="N146" s="529"/>
      <c r="O146" s="59"/>
      <c r="P146" s="493"/>
      <c r="Q146" s="46"/>
      <c r="R146" s="59"/>
      <c r="S146" s="794"/>
      <c r="T146" s="515"/>
      <c r="U146" s="530"/>
      <c r="V146" s="46"/>
      <c r="W146" s="59"/>
      <c r="X146" s="46"/>
      <c r="Y146" s="46"/>
      <c r="Z146" s="46"/>
      <c r="AA146" s="192"/>
      <c r="AB146" s="191"/>
      <c r="AC146" s="46"/>
      <c r="AD146" s="46"/>
      <c r="AE146" s="46"/>
      <c r="AF146" s="46"/>
      <c r="AG146" s="62">
        <f t="shared" si="21"/>
        <v>7</v>
      </c>
      <c r="AH146" s="80">
        <v>600.0</v>
      </c>
      <c r="AI146" s="68">
        <f t="shared" si="22"/>
        <v>4200</v>
      </c>
      <c r="AJ146" s="17"/>
      <c r="AK146" s="178"/>
      <c r="AL146" s="178"/>
    </row>
    <row r="147">
      <c r="A147" s="267" t="s">
        <v>206</v>
      </c>
      <c r="B147" s="604"/>
      <c r="C147" s="491"/>
      <c r="D147" s="59"/>
      <c r="E147" s="54"/>
      <c r="F147" s="51"/>
      <c r="G147" s="48"/>
      <c r="H147" s="59"/>
      <c r="I147" s="54"/>
      <c r="J147" s="54"/>
      <c r="K147" s="48"/>
      <c r="L147" s="534"/>
      <c r="M147" s="51"/>
      <c r="N147" s="48"/>
      <c r="O147" s="54"/>
      <c r="P147" s="54"/>
      <c r="Q147" s="54"/>
      <c r="R147" s="54"/>
      <c r="S147" s="821"/>
      <c r="T147" s="51"/>
      <c r="U147" s="48"/>
      <c r="V147" s="54"/>
      <c r="W147" s="54"/>
      <c r="X147" s="54"/>
      <c r="Y147" s="54"/>
      <c r="Z147" s="54"/>
      <c r="AA147" s="51"/>
      <c r="AB147" s="48"/>
      <c r="AC147" s="54"/>
      <c r="AD147" s="54"/>
      <c r="AE147" s="54"/>
      <c r="AF147" s="54"/>
      <c r="AG147" s="62">
        <f t="shared" si="21"/>
        <v>0</v>
      </c>
      <c r="AH147" s="80">
        <v>1300.0</v>
      </c>
      <c r="AI147" s="68">
        <f t="shared" si="22"/>
        <v>0</v>
      </c>
      <c r="AJ147" s="17"/>
      <c r="AK147" s="178"/>
      <c r="AL147" s="178"/>
    </row>
    <row r="148">
      <c r="A148" s="259" t="s">
        <v>229</v>
      </c>
      <c r="B148" s="228"/>
      <c r="C148" s="543"/>
      <c r="D148" s="247"/>
      <c r="E148" s="247"/>
      <c r="F148" s="579"/>
      <c r="G148" s="588"/>
      <c r="H148" s="181"/>
      <c r="I148" s="247"/>
      <c r="J148" s="247"/>
      <c r="K148" s="182"/>
      <c r="L148" s="840"/>
      <c r="M148" s="183"/>
      <c r="N148" s="182"/>
      <c r="O148" s="184"/>
      <c r="P148" s="247"/>
      <c r="Q148" s="184"/>
      <c r="R148" s="184"/>
      <c r="S148" s="822"/>
      <c r="T148" s="183"/>
      <c r="U148" s="588"/>
      <c r="V148" s="247"/>
      <c r="W148" s="184"/>
      <c r="X148" s="184"/>
      <c r="Y148" s="184"/>
      <c r="Z148" s="184"/>
      <c r="AA148" s="183"/>
      <c r="AB148" s="182"/>
      <c r="AC148" s="184"/>
      <c r="AD148" s="184"/>
      <c r="AE148" s="184"/>
      <c r="AF148" s="184"/>
      <c r="AG148" s="166">
        <f t="shared" si="21"/>
        <v>0</v>
      </c>
      <c r="AH148" s="167">
        <v>650.0</v>
      </c>
      <c r="AI148" s="168">
        <f t="shared" si="22"/>
        <v>0</v>
      </c>
      <c r="AJ148" s="17"/>
      <c r="AK148" s="178"/>
      <c r="AL148" s="178"/>
    </row>
    <row r="149">
      <c r="A149" s="169" t="s">
        <v>45</v>
      </c>
      <c r="B149" s="128"/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28"/>
      <c r="AH149" s="129"/>
      <c r="AI149" s="174">
        <f>SUM(AI138:AI148)</f>
        <v>10440</v>
      </c>
      <c r="AJ149" s="17"/>
      <c r="AK149" s="178"/>
      <c r="AL149" s="178"/>
    </row>
    <row r="150">
      <c r="A150" s="24" t="s">
        <v>188</v>
      </c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8"/>
      <c r="AJ150" s="17"/>
      <c r="AK150" s="178"/>
      <c r="AL150" s="178"/>
    </row>
    <row r="151">
      <c r="A151" s="252" t="s">
        <v>189</v>
      </c>
      <c r="B151" s="669"/>
      <c r="C151" s="491"/>
      <c r="D151" s="54"/>
      <c r="E151" s="54"/>
      <c r="F151" s="51"/>
      <c r="G151" s="538"/>
      <c r="H151" s="54"/>
      <c r="I151" s="54"/>
      <c r="J151" s="54"/>
      <c r="K151" s="538"/>
      <c r="L151" s="534"/>
      <c r="M151" s="51"/>
      <c r="N151" s="48"/>
      <c r="O151" s="54"/>
      <c r="P151" s="54"/>
      <c r="Q151" s="54"/>
      <c r="R151" s="54"/>
      <c r="S151" s="821"/>
      <c r="T151" s="51"/>
      <c r="U151" s="48"/>
      <c r="V151" s="59"/>
      <c r="W151" s="54"/>
      <c r="X151" s="59"/>
      <c r="Y151" s="54"/>
      <c r="Z151" s="54"/>
      <c r="AA151" s="51"/>
      <c r="AB151" s="48"/>
      <c r="AC151" s="54"/>
      <c r="AD151" s="54"/>
      <c r="AE151" s="54"/>
      <c r="AF151" s="54"/>
      <c r="AG151" s="62">
        <f t="shared" ref="AG151:AG153" si="23">SUM(B151:AA151)</f>
        <v>0</v>
      </c>
      <c r="AH151" s="80">
        <v>1036.0</v>
      </c>
      <c r="AI151" s="68">
        <f t="shared" ref="AI151:AI153" si="24">AG151*AH151</f>
        <v>0</v>
      </c>
      <c r="AJ151" s="17"/>
      <c r="AK151" s="178"/>
      <c r="AL151" s="178"/>
    </row>
    <row r="152">
      <c r="A152" s="33" t="s">
        <v>25</v>
      </c>
      <c r="B152" s="669"/>
      <c r="C152" s="491"/>
      <c r="D152" s="46"/>
      <c r="E152" s="54"/>
      <c r="F152" s="51"/>
      <c r="G152" s="48"/>
      <c r="H152" s="54"/>
      <c r="I152" s="54"/>
      <c r="J152" s="54"/>
      <c r="K152" s="48"/>
      <c r="L152" s="534"/>
      <c r="M152" s="51"/>
      <c r="N152" s="48"/>
      <c r="O152" s="54"/>
      <c r="P152" s="54"/>
      <c r="Q152" s="54"/>
      <c r="R152" s="54"/>
      <c r="S152" s="821"/>
      <c r="T152" s="51"/>
      <c r="U152" s="48"/>
      <c r="V152" s="59"/>
      <c r="W152" s="54"/>
      <c r="X152" s="54"/>
      <c r="Y152" s="54"/>
      <c r="Z152" s="54"/>
      <c r="AA152" s="51"/>
      <c r="AB152" s="48"/>
      <c r="AC152" s="54"/>
      <c r="AD152" s="54"/>
      <c r="AE152" s="54"/>
      <c r="AF152" s="54"/>
      <c r="AG152" s="62">
        <f t="shared" si="23"/>
        <v>0</v>
      </c>
      <c r="AH152" s="80">
        <v>840.0</v>
      </c>
      <c r="AI152" s="68">
        <f t="shared" si="24"/>
        <v>0</v>
      </c>
      <c r="AJ152" s="17"/>
      <c r="AK152" s="178"/>
      <c r="AL152" s="178"/>
    </row>
    <row r="153">
      <c r="A153" s="253" t="s">
        <v>17</v>
      </c>
      <c r="B153" s="691"/>
      <c r="C153" s="581"/>
      <c r="D153" s="247">
        <v>1.0</v>
      </c>
      <c r="E153" s="246"/>
      <c r="F153" s="579"/>
      <c r="G153" s="588"/>
      <c r="H153" s="577"/>
      <c r="I153" s="577">
        <v>1.0</v>
      </c>
      <c r="J153" s="247"/>
      <c r="K153" s="615"/>
      <c r="L153" s="799"/>
      <c r="M153" s="579"/>
      <c r="N153" s="182"/>
      <c r="O153" s="247"/>
      <c r="P153" s="246"/>
      <c r="Q153" s="247"/>
      <c r="R153" s="247"/>
      <c r="S153" s="825"/>
      <c r="T153" s="579"/>
      <c r="U153" s="588"/>
      <c r="V153" s="247"/>
      <c r="W153" s="247"/>
      <c r="X153" s="247"/>
      <c r="Y153" s="247"/>
      <c r="Z153" s="181"/>
      <c r="AA153" s="229"/>
      <c r="AB153" s="245"/>
      <c r="AC153" s="181"/>
      <c r="AD153" s="181"/>
      <c r="AE153" s="181"/>
      <c r="AF153" s="181"/>
      <c r="AG153" s="166">
        <f t="shared" si="23"/>
        <v>2</v>
      </c>
      <c r="AH153" s="167">
        <v>1125.0</v>
      </c>
      <c r="AI153" s="168">
        <f t="shared" si="24"/>
        <v>2250</v>
      </c>
      <c r="AJ153" s="17"/>
      <c r="AK153" s="178"/>
      <c r="AL153" s="178"/>
    </row>
    <row r="154">
      <c r="A154" s="169" t="s">
        <v>45</v>
      </c>
      <c r="B154" s="128"/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28"/>
      <c r="AH154" s="129"/>
      <c r="AI154" s="174">
        <f>SUM(AI151:AI153)</f>
        <v>2250</v>
      </c>
      <c r="AJ154" s="17"/>
      <c r="AK154" s="178"/>
      <c r="AL154" s="178"/>
    </row>
    <row r="155">
      <c r="A155" s="24" t="s">
        <v>337</v>
      </c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8"/>
      <c r="AJ155" s="17"/>
      <c r="AK155" s="178"/>
      <c r="AL155" s="178"/>
    </row>
    <row r="156">
      <c r="A156" s="216" t="s">
        <v>138</v>
      </c>
      <c r="B156" s="669"/>
      <c r="C156" s="508"/>
      <c r="D156" s="54"/>
      <c r="E156" s="54"/>
      <c r="F156" s="51"/>
      <c r="G156" s="48"/>
      <c r="H156" s="54"/>
      <c r="I156" s="54"/>
      <c r="J156" s="46"/>
      <c r="K156" s="191"/>
      <c r="L156" s="534"/>
      <c r="M156" s="51"/>
      <c r="N156" s="48"/>
      <c r="O156" s="54"/>
      <c r="P156" s="54"/>
      <c r="Q156" s="46"/>
      <c r="R156" s="54"/>
      <c r="S156" s="821"/>
      <c r="T156" s="51"/>
      <c r="U156" s="48"/>
      <c r="V156" s="54"/>
      <c r="W156" s="54"/>
      <c r="X156" s="54"/>
      <c r="Y156" s="54"/>
      <c r="Z156" s="54"/>
      <c r="AA156" s="51"/>
      <c r="AB156" s="48"/>
      <c r="AC156" s="54"/>
      <c r="AD156" s="54"/>
      <c r="AE156" s="54"/>
      <c r="AF156" s="54"/>
      <c r="AG156" s="62">
        <f t="shared" ref="AG156:AG158" si="25">SUM(B156:AA156)</f>
        <v>0</v>
      </c>
      <c r="AH156" s="80">
        <v>220.0</v>
      </c>
      <c r="AI156" s="80">
        <f t="shared" ref="AI156:AI158" si="26">AG156*AH156</f>
        <v>0</v>
      </c>
      <c r="AJ156" s="17"/>
      <c r="AK156" s="155"/>
      <c r="AL156" s="155"/>
    </row>
    <row r="157">
      <c r="A157" s="216" t="s">
        <v>143</v>
      </c>
      <c r="B157" s="595"/>
      <c r="C157" s="508"/>
      <c r="D157" s="54"/>
      <c r="E157" s="54"/>
      <c r="F157" s="515"/>
      <c r="G157" s="48"/>
      <c r="H157" s="59"/>
      <c r="I157" s="54"/>
      <c r="J157" s="46"/>
      <c r="K157" s="530"/>
      <c r="L157" s="534"/>
      <c r="M157" s="192"/>
      <c r="N157" s="191"/>
      <c r="O157" s="54"/>
      <c r="P157" s="46"/>
      <c r="Q157" s="46"/>
      <c r="R157" s="54"/>
      <c r="S157" s="792"/>
      <c r="T157" s="515"/>
      <c r="U157" s="191"/>
      <c r="V157" s="46"/>
      <c r="W157" s="46"/>
      <c r="X157" s="46"/>
      <c r="Y157" s="46"/>
      <c r="Z157" s="46"/>
      <c r="AA157" s="192"/>
      <c r="AB157" s="191"/>
      <c r="AC157" s="46"/>
      <c r="AD157" s="46"/>
      <c r="AE157" s="46"/>
      <c r="AF157" s="46"/>
      <c r="AG157" s="62">
        <f t="shared" si="25"/>
        <v>0</v>
      </c>
      <c r="AH157" s="80">
        <v>380.0</v>
      </c>
      <c r="AI157" s="80">
        <f t="shared" si="26"/>
        <v>0</v>
      </c>
      <c r="AJ157" s="17"/>
      <c r="AK157" s="155"/>
      <c r="AL157" s="155"/>
    </row>
    <row r="158">
      <c r="A158" s="225" t="s">
        <v>333</v>
      </c>
      <c r="B158" s="691"/>
      <c r="C158" s="681"/>
      <c r="D158" s="247"/>
      <c r="E158" s="247"/>
      <c r="F158" s="579"/>
      <c r="G158" s="588"/>
      <c r="H158" s="247"/>
      <c r="I158" s="247"/>
      <c r="J158" s="247"/>
      <c r="K158" s="588"/>
      <c r="L158" s="590"/>
      <c r="M158" s="229"/>
      <c r="N158" s="245"/>
      <c r="O158" s="184"/>
      <c r="P158" s="247"/>
      <c r="Q158" s="247"/>
      <c r="R158" s="247"/>
      <c r="S158" s="825"/>
      <c r="T158" s="579"/>
      <c r="U158" s="588"/>
      <c r="V158" s="247"/>
      <c r="W158" s="247"/>
      <c r="X158" s="181"/>
      <c r="Y158" s="247"/>
      <c r="Z158" s="181"/>
      <c r="AA158" s="229"/>
      <c r="AB158" s="245"/>
      <c r="AC158" s="181"/>
      <c r="AD158" s="181"/>
      <c r="AE158" s="181"/>
      <c r="AF158" s="181"/>
      <c r="AG158" s="166">
        <f t="shared" si="25"/>
        <v>0</v>
      </c>
      <c r="AH158" s="167">
        <v>600.0</v>
      </c>
      <c r="AI158" s="167">
        <f t="shared" si="26"/>
        <v>0</v>
      </c>
      <c r="AJ158" s="17"/>
      <c r="AK158" s="155"/>
      <c r="AL158" s="155"/>
    </row>
    <row r="159">
      <c r="A159" s="798" t="s">
        <v>45</v>
      </c>
      <c r="B159" s="275"/>
      <c r="C159" s="275"/>
      <c r="D159" s="275"/>
      <c r="E159" s="275"/>
      <c r="F159" s="275"/>
      <c r="G159" s="275"/>
      <c r="H159" s="275"/>
      <c r="I159" s="275"/>
      <c r="J159" s="275"/>
      <c r="K159" s="275"/>
      <c r="L159" s="275"/>
      <c r="M159" s="275"/>
      <c r="N159" s="275"/>
      <c r="O159" s="275"/>
      <c r="P159" s="275"/>
      <c r="Q159" s="275"/>
      <c r="R159" s="275"/>
      <c r="S159" s="275"/>
      <c r="T159" s="275"/>
      <c r="U159" s="275"/>
      <c r="V159" s="275"/>
      <c r="W159" s="275"/>
      <c r="X159" s="275"/>
      <c r="Y159" s="275"/>
      <c r="Z159" s="275"/>
      <c r="AA159" s="275"/>
      <c r="AB159" s="275"/>
      <c r="AC159" s="275"/>
      <c r="AD159" s="275"/>
      <c r="AE159" s="275"/>
      <c r="AF159" s="275"/>
      <c r="AG159" s="275"/>
      <c r="AH159" s="276"/>
      <c r="AI159" s="277">
        <f>SUM(AI156:AI158)</f>
        <v>0</v>
      </c>
      <c r="AJ159" s="17"/>
      <c r="AK159" s="176"/>
      <c r="AL159" s="176"/>
    </row>
    <row r="160">
      <c r="A160" s="272" t="s">
        <v>238</v>
      </c>
      <c r="B160" s="134"/>
      <c r="C160" s="134"/>
      <c r="D160" s="134"/>
      <c r="E160" s="134"/>
      <c r="F160" s="134"/>
      <c r="G160" s="134"/>
      <c r="H160" s="134"/>
      <c r="I160" s="134"/>
      <c r="J160" s="134"/>
      <c r="K160" s="134"/>
      <c r="L160" s="134"/>
      <c r="M160" s="134"/>
      <c r="N160" s="134"/>
      <c r="O160" s="134"/>
      <c r="P160" s="134"/>
      <c r="Q160" s="134"/>
      <c r="R160" s="134"/>
      <c r="S160" s="134"/>
      <c r="T160" s="134"/>
      <c r="U160" s="134"/>
      <c r="V160" s="134"/>
      <c r="W160" s="134"/>
      <c r="X160" s="134"/>
      <c r="Y160" s="134"/>
      <c r="Z160" s="134"/>
      <c r="AA160" s="134"/>
      <c r="AB160" s="134"/>
      <c r="AC160" s="134"/>
      <c r="AD160" s="134"/>
      <c r="AE160" s="134"/>
      <c r="AF160" s="134"/>
      <c r="AG160" s="134"/>
      <c r="AH160" s="134"/>
      <c r="AI160" s="135"/>
      <c r="AJ160" s="17"/>
      <c r="AK160" s="257"/>
      <c r="AL160" s="257"/>
    </row>
    <row r="161">
      <c r="A161" s="197" t="s">
        <v>260</v>
      </c>
      <c r="B161" s="604">
        <v>3.0</v>
      </c>
      <c r="C161" s="611"/>
      <c r="D161" s="59"/>
      <c r="E161" s="59"/>
      <c r="F161" s="515"/>
      <c r="G161" s="530"/>
      <c r="H161" s="59">
        <v>3.0</v>
      </c>
      <c r="I161" s="59">
        <v>1.0</v>
      </c>
      <c r="J161" s="59"/>
      <c r="K161" s="530"/>
      <c r="L161" s="527"/>
      <c r="M161" s="515"/>
      <c r="N161" s="48"/>
      <c r="O161" s="59"/>
      <c r="P161" s="493"/>
      <c r="Q161" s="59"/>
      <c r="R161" s="59"/>
      <c r="S161" s="792"/>
      <c r="T161" s="515"/>
      <c r="U161" s="530"/>
      <c r="V161" s="59"/>
      <c r="W161" s="59"/>
      <c r="X161" s="59"/>
      <c r="Y161" s="59"/>
      <c r="Z161" s="46"/>
      <c r="AA161" s="192"/>
      <c r="AB161" s="191"/>
      <c r="AC161" s="46"/>
      <c r="AD161" s="46"/>
      <c r="AE161" s="46"/>
      <c r="AF161" s="46"/>
      <c r="AG161" s="62">
        <f t="shared" ref="AG161:AG167" si="27">SUM(B161:AA161)</f>
        <v>7</v>
      </c>
      <c r="AH161" s="80">
        <v>350.0</v>
      </c>
      <c r="AI161" s="68">
        <f t="shared" ref="AI161:AI167" si="28">AG161*AH161</f>
        <v>2450</v>
      </c>
      <c r="AJ161" s="17"/>
      <c r="AK161" s="178"/>
      <c r="AL161" s="178"/>
    </row>
    <row r="162">
      <c r="A162" s="197" t="s">
        <v>232</v>
      </c>
      <c r="B162" s="669"/>
      <c r="C162" s="491"/>
      <c r="D162" s="54"/>
      <c r="E162" s="54"/>
      <c r="F162" s="51"/>
      <c r="G162" s="48"/>
      <c r="H162" s="54"/>
      <c r="I162" s="54"/>
      <c r="J162" s="54"/>
      <c r="K162" s="48"/>
      <c r="L162" s="534"/>
      <c r="M162" s="51"/>
      <c r="N162" s="48"/>
      <c r="O162" s="54"/>
      <c r="P162" s="54"/>
      <c r="Q162" s="54"/>
      <c r="R162" s="54"/>
      <c r="S162" s="821"/>
      <c r="T162" s="51"/>
      <c r="U162" s="48"/>
      <c r="V162" s="54"/>
      <c r="W162" s="54"/>
      <c r="X162" s="54"/>
      <c r="Y162" s="54"/>
      <c r="Z162" s="54"/>
      <c r="AA162" s="51"/>
      <c r="AB162" s="48"/>
      <c r="AC162" s="54"/>
      <c r="AD162" s="54"/>
      <c r="AE162" s="54"/>
      <c r="AF162" s="54"/>
      <c r="AG162" s="62">
        <f t="shared" si="27"/>
        <v>0</v>
      </c>
      <c r="AH162" s="80">
        <v>130.0</v>
      </c>
      <c r="AI162" s="68">
        <f t="shared" si="28"/>
        <v>0</v>
      </c>
      <c r="AJ162" s="17"/>
      <c r="AK162" s="178"/>
      <c r="AL162" s="178"/>
    </row>
    <row r="163">
      <c r="A163" s="197" t="s">
        <v>234</v>
      </c>
      <c r="B163" s="669"/>
      <c r="C163" s="491"/>
      <c r="D163" s="54"/>
      <c r="E163" s="54"/>
      <c r="F163" s="51"/>
      <c r="G163" s="48"/>
      <c r="H163" s="54"/>
      <c r="I163" s="54"/>
      <c r="J163" s="54"/>
      <c r="K163" s="48"/>
      <c r="L163" s="534"/>
      <c r="M163" s="51"/>
      <c r="N163" s="48"/>
      <c r="O163" s="54"/>
      <c r="P163" s="54"/>
      <c r="Q163" s="54"/>
      <c r="R163" s="54"/>
      <c r="S163" s="821"/>
      <c r="T163" s="51"/>
      <c r="U163" s="48"/>
      <c r="V163" s="54"/>
      <c r="W163" s="54"/>
      <c r="X163" s="54"/>
      <c r="Y163" s="54"/>
      <c r="Z163" s="54"/>
      <c r="AA163" s="51"/>
      <c r="AB163" s="48"/>
      <c r="AC163" s="54"/>
      <c r="AD163" s="54"/>
      <c r="AE163" s="54"/>
      <c r="AF163" s="54"/>
      <c r="AG163" s="62">
        <f t="shared" si="27"/>
        <v>0</v>
      </c>
      <c r="AH163" s="80">
        <v>80.0</v>
      </c>
      <c r="AI163" s="68">
        <f t="shared" si="28"/>
        <v>0</v>
      </c>
      <c r="AJ163" s="17"/>
      <c r="AK163" s="178"/>
      <c r="AL163" s="178"/>
    </row>
    <row r="164">
      <c r="A164" s="197" t="s">
        <v>241</v>
      </c>
      <c r="B164" s="604"/>
      <c r="C164" s="508"/>
      <c r="D164" s="46"/>
      <c r="E164" s="46"/>
      <c r="F164" s="515"/>
      <c r="G164" s="529"/>
      <c r="H164" s="46"/>
      <c r="I164" s="493"/>
      <c r="J164" s="493"/>
      <c r="K164" s="530"/>
      <c r="L164" s="527"/>
      <c r="M164" s="515"/>
      <c r="N164" s="530"/>
      <c r="O164" s="493"/>
      <c r="P164" s="49"/>
      <c r="Q164" s="46"/>
      <c r="R164" s="59"/>
      <c r="S164" s="794"/>
      <c r="T164" s="192"/>
      <c r="U164" s="530"/>
      <c r="V164" s="59"/>
      <c r="W164" s="59"/>
      <c r="X164" s="59"/>
      <c r="Y164" s="59"/>
      <c r="Z164" s="46"/>
      <c r="AA164" s="192"/>
      <c r="AB164" s="191"/>
      <c r="AC164" s="46"/>
      <c r="AD164" s="46"/>
      <c r="AE164" s="46"/>
      <c r="AF164" s="46"/>
      <c r="AG164" s="62">
        <f t="shared" si="27"/>
        <v>0</v>
      </c>
      <c r="AH164" s="80">
        <v>40.0</v>
      </c>
      <c r="AI164" s="68">
        <f t="shared" si="28"/>
        <v>0</v>
      </c>
      <c r="AJ164" s="17"/>
      <c r="AK164" s="178"/>
      <c r="AL164" s="178"/>
    </row>
    <row r="165">
      <c r="A165" s="197" t="s">
        <v>243</v>
      </c>
      <c r="B165" s="595"/>
      <c r="C165" s="611"/>
      <c r="D165" s="59"/>
      <c r="E165" s="59"/>
      <c r="F165" s="515"/>
      <c r="G165" s="530"/>
      <c r="H165" s="59"/>
      <c r="I165" s="59"/>
      <c r="J165" s="59"/>
      <c r="K165" s="530"/>
      <c r="L165" s="527"/>
      <c r="M165" s="515"/>
      <c r="N165" s="530"/>
      <c r="O165" s="59"/>
      <c r="P165" s="59"/>
      <c r="Q165" s="54"/>
      <c r="R165" s="59"/>
      <c r="S165" s="794"/>
      <c r="T165" s="192"/>
      <c r="U165" s="530"/>
      <c r="V165" s="46"/>
      <c r="W165" s="46"/>
      <c r="X165" s="46"/>
      <c r="Y165" s="59"/>
      <c r="Z165" s="46"/>
      <c r="AA165" s="192"/>
      <c r="AB165" s="191"/>
      <c r="AC165" s="46"/>
      <c r="AD165" s="46"/>
      <c r="AE165" s="46"/>
      <c r="AF165" s="46"/>
      <c r="AG165" s="62">
        <f t="shared" si="27"/>
        <v>0</v>
      </c>
      <c r="AH165" s="80">
        <v>120.0</v>
      </c>
      <c r="AI165" s="68">
        <f t="shared" si="28"/>
        <v>0</v>
      </c>
      <c r="AJ165" s="17"/>
      <c r="AK165" s="178"/>
      <c r="AL165" s="178"/>
    </row>
    <row r="166">
      <c r="A166" s="197" t="s">
        <v>267</v>
      </c>
      <c r="B166" s="604"/>
      <c r="C166" s="611"/>
      <c r="D166" s="59"/>
      <c r="E166" s="54"/>
      <c r="F166" s="515"/>
      <c r="G166" s="530"/>
      <c r="H166" s="59"/>
      <c r="I166" s="59"/>
      <c r="J166" s="59"/>
      <c r="K166" s="530"/>
      <c r="L166" s="534"/>
      <c r="M166" s="515"/>
      <c r="N166" s="530"/>
      <c r="O166" s="59"/>
      <c r="P166" s="59"/>
      <c r="Q166" s="59"/>
      <c r="R166" s="59"/>
      <c r="S166" s="794"/>
      <c r="T166" s="192"/>
      <c r="U166" s="530"/>
      <c r="V166" s="46"/>
      <c r="W166" s="46"/>
      <c r="X166" s="59"/>
      <c r="Y166" s="59"/>
      <c r="Z166" s="46"/>
      <c r="AA166" s="192"/>
      <c r="AB166" s="191"/>
      <c r="AC166" s="46"/>
      <c r="AD166" s="46"/>
      <c r="AE166" s="46"/>
      <c r="AF166" s="46"/>
      <c r="AG166" s="62">
        <f t="shared" si="27"/>
        <v>0</v>
      </c>
      <c r="AH166" s="80">
        <v>30.0</v>
      </c>
      <c r="AI166" s="168">
        <f t="shared" si="28"/>
        <v>0</v>
      </c>
      <c r="AJ166" s="17"/>
      <c r="AK166" s="178"/>
      <c r="AL166" s="178"/>
    </row>
    <row r="167">
      <c r="A167" s="243" t="s">
        <v>270</v>
      </c>
      <c r="B167" s="679"/>
      <c r="C167" s="681"/>
      <c r="D167" s="247"/>
      <c r="E167" s="184"/>
      <c r="F167" s="579"/>
      <c r="G167" s="588"/>
      <c r="H167" s="184"/>
      <c r="I167" s="247"/>
      <c r="J167" s="247"/>
      <c r="K167" s="588"/>
      <c r="L167" s="590"/>
      <c r="M167" s="579"/>
      <c r="N167" s="588"/>
      <c r="O167" s="577"/>
      <c r="P167" s="577"/>
      <c r="Q167" s="577"/>
      <c r="R167" s="247"/>
      <c r="S167" s="800"/>
      <c r="T167" s="579"/>
      <c r="U167" s="588"/>
      <c r="V167" s="247"/>
      <c r="W167" s="247"/>
      <c r="X167" s="247"/>
      <c r="Y167" s="247"/>
      <c r="Z167" s="181"/>
      <c r="AA167" s="229"/>
      <c r="AB167" s="245"/>
      <c r="AC167" s="181"/>
      <c r="AD167" s="181"/>
      <c r="AE167" s="181"/>
      <c r="AF167" s="181"/>
      <c r="AG167" s="166">
        <f t="shared" si="27"/>
        <v>0</v>
      </c>
      <c r="AH167" s="167">
        <v>200.0</v>
      </c>
      <c r="AI167" s="168">
        <f t="shared" si="28"/>
        <v>0</v>
      </c>
      <c r="AJ167" s="17"/>
      <c r="AK167" s="178"/>
      <c r="AL167" s="178"/>
    </row>
    <row r="168">
      <c r="A168" s="169" t="s">
        <v>45</v>
      </c>
      <c r="B168" s="128"/>
      <c r="C168" s="128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28"/>
      <c r="AH168" s="129"/>
      <c r="AI168" s="174">
        <f>SUM(AI161:AI167)</f>
        <v>2450</v>
      </c>
      <c r="AJ168" s="17"/>
      <c r="AK168" s="178"/>
      <c r="AL168" s="178"/>
    </row>
    <row r="169">
      <c r="A169" s="307" t="s">
        <v>264</v>
      </c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97"/>
      <c r="AJ169" s="17"/>
      <c r="AK169" s="257"/>
      <c r="AL169" s="257"/>
    </row>
    <row r="170">
      <c r="A170" s="308" t="s">
        <v>265</v>
      </c>
      <c r="B170" s="38"/>
      <c r="C170" s="34"/>
      <c r="D170" s="38"/>
      <c r="E170" s="50"/>
      <c r="F170" s="55"/>
      <c r="G170" s="40"/>
      <c r="H170" s="50"/>
      <c r="I170" s="50"/>
      <c r="J170" s="39"/>
      <c r="K170" s="565"/>
      <c r="L170" s="732"/>
      <c r="M170" s="55"/>
      <c r="N170" s="40"/>
      <c r="O170" s="50"/>
      <c r="P170" s="50"/>
      <c r="Q170" s="50"/>
      <c r="R170" s="50"/>
      <c r="S170" s="841"/>
      <c r="T170" s="55"/>
      <c r="U170" s="40"/>
      <c r="V170" s="50"/>
      <c r="W170" s="50"/>
      <c r="X170" s="50"/>
      <c r="Y170" s="50"/>
      <c r="Z170" s="50"/>
      <c r="AA170" s="55"/>
      <c r="AB170" s="40"/>
      <c r="AC170" s="50"/>
      <c r="AD170" s="50"/>
      <c r="AE170" s="50"/>
      <c r="AF170" s="50"/>
      <c r="AG170" s="62">
        <f t="shared" ref="AG170:AG175" si="29">SUM(B170:AA170)</f>
        <v>0</v>
      </c>
      <c r="AH170" s="242">
        <v>2100.0</v>
      </c>
      <c r="AI170" s="68">
        <f t="shared" ref="AI170:AI175" si="30">AG170*AH170</f>
        <v>0</v>
      </c>
      <c r="AJ170" s="17"/>
      <c r="AK170" s="155"/>
      <c r="AL170" s="155"/>
    </row>
    <row r="171">
      <c r="A171" s="308" t="s">
        <v>266</v>
      </c>
      <c r="B171" s="38"/>
      <c r="C171" s="34"/>
      <c r="D171" s="36"/>
      <c r="E171" s="50"/>
      <c r="F171" s="55"/>
      <c r="G171" s="40"/>
      <c r="H171" s="50"/>
      <c r="I171" s="50"/>
      <c r="J171" s="50"/>
      <c r="K171" s="40"/>
      <c r="L171" s="732"/>
      <c r="M171" s="45"/>
      <c r="N171" s="40"/>
      <c r="O171" s="50"/>
      <c r="P171" s="50"/>
      <c r="Q171" s="50"/>
      <c r="R171" s="50"/>
      <c r="S171" s="841"/>
      <c r="T171" s="55"/>
      <c r="U171" s="40"/>
      <c r="V171" s="50"/>
      <c r="W171" s="50"/>
      <c r="X171" s="50"/>
      <c r="Y171" s="50"/>
      <c r="Z171" s="50"/>
      <c r="AA171" s="55"/>
      <c r="AB171" s="40"/>
      <c r="AC171" s="50"/>
      <c r="AD171" s="50"/>
      <c r="AE171" s="50"/>
      <c r="AF171" s="50"/>
      <c r="AG171" s="62">
        <f t="shared" si="29"/>
        <v>0</v>
      </c>
      <c r="AH171" s="242">
        <v>2800.0</v>
      </c>
      <c r="AI171" s="68">
        <f t="shared" si="30"/>
        <v>0</v>
      </c>
      <c r="AJ171" s="17"/>
      <c r="AK171" s="155"/>
      <c r="AL171" s="155"/>
    </row>
    <row r="172">
      <c r="A172" s="308" t="s">
        <v>268</v>
      </c>
      <c r="B172" s="38"/>
      <c r="C172" s="34"/>
      <c r="D172" s="38"/>
      <c r="E172" s="50"/>
      <c r="F172" s="55"/>
      <c r="G172" s="40"/>
      <c r="H172" s="50"/>
      <c r="I172" s="50"/>
      <c r="J172" s="39"/>
      <c r="K172" s="40"/>
      <c r="L172" s="732"/>
      <c r="M172" s="45"/>
      <c r="N172" s="40"/>
      <c r="O172" s="39"/>
      <c r="P172" s="50"/>
      <c r="Q172" s="50"/>
      <c r="R172" s="50"/>
      <c r="S172" s="841"/>
      <c r="T172" s="55"/>
      <c r="U172" s="40"/>
      <c r="V172" s="50"/>
      <c r="W172" s="50"/>
      <c r="X172" s="50"/>
      <c r="Y172" s="50"/>
      <c r="Z172" s="50"/>
      <c r="AA172" s="55"/>
      <c r="AB172" s="40"/>
      <c r="AC172" s="50"/>
      <c r="AD172" s="50"/>
      <c r="AE172" s="50"/>
      <c r="AF172" s="50"/>
      <c r="AG172" s="62">
        <f t="shared" si="29"/>
        <v>0</v>
      </c>
      <c r="AH172" s="242">
        <v>2800.0</v>
      </c>
      <c r="AI172" s="68">
        <f t="shared" si="30"/>
        <v>0</v>
      </c>
      <c r="AJ172" s="17"/>
      <c r="AK172" s="155"/>
      <c r="AL172" s="155"/>
    </row>
    <row r="173">
      <c r="A173" s="308" t="s">
        <v>269</v>
      </c>
      <c r="B173" s="38"/>
      <c r="C173" s="34"/>
      <c r="D173" s="36"/>
      <c r="E173" s="50"/>
      <c r="F173" s="55"/>
      <c r="G173" s="40"/>
      <c r="H173" s="50"/>
      <c r="I173" s="50"/>
      <c r="J173" s="50"/>
      <c r="K173" s="40"/>
      <c r="L173" s="732"/>
      <c r="M173" s="55"/>
      <c r="N173" s="40"/>
      <c r="O173" s="50"/>
      <c r="P173" s="50"/>
      <c r="Q173" s="50"/>
      <c r="R173" s="50"/>
      <c r="S173" s="841"/>
      <c r="T173" s="55"/>
      <c r="U173" s="40"/>
      <c r="V173" s="50"/>
      <c r="W173" s="50"/>
      <c r="X173" s="50"/>
      <c r="Y173" s="50"/>
      <c r="Z173" s="50"/>
      <c r="AA173" s="55"/>
      <c r="AB173" s="40"/>
      <c r="AC173" s="50"/>
      <c r="AD173" s="50"/>
      <c r="AE173" s="50"/>
      <c r="AF173" s="50"/>
      <c r="AG173" s="62">
        <f t="shared" si="29"/>
        <v>0</v>
      </c>
      <c r="AH173" s="242">
        <v>3200.0</v>
      </c>
      <c r="AI173" s="68">
        <f t="shared" si="30"/>
        <v>0</v>
      </c>
      <c r="AJ173" s="17"/>
      <c r="AK173" s="155"/>
      <c r="AL173" s="155"/>
    </row>
    <row r="174">
      <c r="A174" s="308" t="s">
        <v>385</v>
      </c>
      <c r="B174" s="38"/>
      <c r="C174" s="34"/>
      <c r="D174" s="36"/>
      <c r="E174" s="50"/>
      <c r="F174" s="55"/>
      <c r="G174" s="40"/>
      <c r="H174" s="50"/>
      <c r="I174" s="50"/>
      <c r="J174" s="50"/>
      <c r="K174" s="40"/>
      <c r="L174" s="732"/>
      <c r="M174" s="55"/>
      <c r="N174" s="40"/>
      <c r="O174" s="50"/>
      <c r="P174" s="50"/>
      <c r="Q174" s="50"/>
      <c r="R174" s="39"/>
      <c r="S174" s="841"/>
      <c r="T174" s="55"/>
      <c r="U174" s="40"/>
      <c r="V174" s="50"/>
      <c r="W174" s="50"/>
      <c r="X174" s="50"/>
      <c r="Y174" s="50"/>
      <c r="Z174" s="50"/>
      <c r="AA174" s="55"/>
      <c r="AB174" s="40"/>
      <c r="AC174" s="50"/>
      <c r="AD174" s="50"/>
      <c r="AE174" s="50"/>
      <c r="AF174" s="50"/>
      <c r="AG174" s="62">
        <f t="shared" si="29"/>
        <v>0</v>
      </c>
      <c r="AH174" s="242">
        <v>2100.0</v>
      </c>
      <c r="AI174" s="68">
        <f t="shared" si="30"/>
        <v>0</v>
      </c>
      <c r="AJ174" s="17"/>
      <c r="AK174" s="155"/>
      <c r="AL174" s="155"/>
    </row>
    <row r="175">
      <c r="A175" s="309" t="s">
        <v>386</v>
      </c>
      <c r="B175" s="172"/>
      <c r="C175" s="157"/>
      <c r="D175" s="158"/>
      <c r="E175" s="159"/>
      <c r="F175" s="163"/>
      <c r="G175" s="160"/>
      <c r="H175" s="159"/>
      <c r="I175" s="159"/>
      <c r="J175" s="159"/>
      <c r="K175" s="160"/>
      <c r="L175" s="734"/>
      <c r="M175" s="163"/>
      <c r="N175" s="160"/>
      <c r="O175" s="159"/>
      <c r="P175" s="159"/>
      <c r="Q175" s="159"/>
      <c r="R175" s="159"/>
      <c r="S175" s="842"/>
      <c r="T175" s="163"/>
      <c r="U175" s="160"/>
      <c r="V175" s="159"/>
      <c r="W175" s="159"/>
      <c r="X175" s="159"/>
      <c r="Y175" s="159"/>
      <c r="Z175" s="159"/>
      <c r="AA175" s="163"/>
      <c r="AB175" s="160"/>
      <c r="AC175" s="159"/>
      <c r="AD175" s="159"/>
      <c r="AE175" s="159"/>
      <c r="AF175" s="159"/>
      <c r="AG175" s="62">
        <f t="shared" si="29"/>
        <v>0</v>
      </c>
      <c r="AH175" s="249">
        <v>2500.0</v>
      </c>
      <c r="AI175" s="168">
        <f t="shared" si="30"/>
        <v>0</v>
      </c>
      <c r="AJ175" s="17"/>
      <c r="AK175" s="155"/>
      <c r="AL175" s="155"/>
    </row>
    <row r="176">
      <c r="A176" s="240" t="s">
        <v>45</v>
      </c>
      <c r="B176" s="128"/>
      <c r="C176" s="128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28"/>
      <c r="AH176" s="129"/>
      <c r="AI176" s="238">
        <f>SUM(AI170:AI175)</f>
        <v>0</v>
      </c>
      <c r="AJ176" s="17"/>
      <c r="AK176" s="178"/>
      <c r="AL176" s="178"/>
    </row>
    <row r="177">
      <c r="A177" s="826" t="s">
        <v>352</v>
      </c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97"/>
      <c r="AJ177" s="17"/>
      <c r="AK177" s="239"/>
      <c r="AL177" s="239"/>
    </row>
    <row r="178">
      <c r="A178" s="216" t="s">
        <v>353</v>
      </c>
      <c r="B178" s="623"/>
      <c r="C178" s="622"/>
      <c r="D178" s="623"/>
      <c r="E178" s="623"/>
      <c r="F178" s="625"/>
      <c r="G178" s="626"/>
      <c r="H178" s="623">
        <v>1.0</v>
      </c>
      <c r="I178" s="623"/>
      <c r="J178" s="623"/>
      <c r="K178" s="626"/>
      <c r="L178" s="827"/>
      <c r="M178" s="625"/>
      <c r="N178" s="626"/>
      <c r="O178" s="623"/>
      <c r="P178" s="623"/>
      <c r="Q178" s="623"/>
      <c r="R178" s="623"/>
      <c r="S178" s="843"/>
      <c r="T178" s="625"/>
      <c r="U178" s="626"/>
      <c r="V178" s="623"/>
      <c r="W178" s="623"/>
      <c r="X178" s="623"/>
      <c r="Y178" s="623"/>
      <c r="Z178" s="623"/>
      <c r="AA178" s="625"/>
      <c r="AB178" s="626"/>
      <c r="AC178" s="623"/>
      <c r="AD178" s="623"/>
      <c r="AE178" s="623"/>
      <c r="AF178" s="623"/>
      <c r="AG178" s="629">
        <f t="shared" ref="AG178:AG180" si="31">SUM(B178:AA178)</f>
        <v>1</v>
      </c>
      <c r="AH178" s="630">
        <v>225.0</v>
      </c>
      <c r="AI178" s="630">
        <f t="shared" ref="AI178:AI180" si="32">AG178*AH178</f>
        <v>225</v>
      </c>
      <c r="AJ178" s="17"/>
      <c r="AK178" s="239"/>
      <c r="AL178" s="239"/>
    </row>
    <row r="179">
      <c r="A179" s="216" t="s">
        <v>354</v>
      </c>
      <c r="B179" s="623"/>
      <c r="C179" s="622"/>
      <c r="D179" s="623">
        <v>2.0</v>
      </c>
      <c r="E179" s="623">
        <v>1.0</v>
      </c>
      <c r="F179" s="625"/>
      <c r="G179" s="626"/>
      <c r="H179" s="623"/>
      <c r="I179" s="623"/>
      <c r="J179" s="623"/>
      <c r="K179" s="626"/>
      <c r="L179" s="827"/>
      <c r="M179" s="625"/>
      <c r="N179" s="626"/>
      <c r="O179" s="623"/>
      <c r="P179" s="623"/>
      <c r="Q179" s="623"/>
      <c r="R179" s="623"/>
      <c r="S179" s="843"/>
      <c r="T179" s="625"/>
      <c r="U179" s="626"/>
      <c r="V179" s="623"/>
      <c r="W179" s="623"/>
      <c r="X179" s="623"/>
      <c r="Y179" s="623"/>
      <c r="Z179" s="623"/>
      <c r="AA179" s="625"/>
      <c r="AB179" s="626"/>
      <c r="AC179" s="623"/>
      <c r="AD179" s="623"/>
      <c r="AE179" s="623"/>
      <c r="AF179" s="623"/>
      <c r="AG179" s="629">
        <f t="shared" si="31"/>
        <v>3</v>
      </c>
      <c r="AH179" s="630">
        <v>45.0</v>
      </c>
      <c r="AI179" s="630">
        <f t="shared" si="32"/>
        <v>135</v>
      </c>
      <c r="AJ179" s="17"/>
      <c r="AK179" s="239"/>
      <c r="AL179" s="239"/>
    </row>
    <row r="180">
      <c r="A180" s="225" t="s">
        <v>355</v>
      </c>
      <c r="B180" s="635"/>
      <c r="C180" s="634"/>
      <c r="D180" s="635"/>
      <c r="E180" s="635"/>
      <c r="F180" s="637"/>
      <c r="G180" s="639"/>
      <c r="H180" s="635"/>
      <c r="I180" s="635"/>
      <c r="J180" s="635"/>
      <c r="K180" s="639"/>
      <c r="L180" s="829"/>
      <c r="M180" s="637"/>
      <c r="N180" s="639"/>
      <c r="O180" s="635"/>
      <c r="P180" s="635"/>
      <c r="Q180" s="635"/>
      <c r="R180" s="635"/>
      <c r="S180" s="844"/>
      <c r="T180" s="637"/>
      <c r="U180" s="639"/>
      <c r="V180" s="635"/>
      <c r="W180" s="635"/>
      <c r="X180" s="635"/>
      <c r="Y180" s="635"/>
      <c r="Z180" s="635"/>
      <c r="AA180" s="637"/>
      <c r="AB180" s="639"/>
      <c r="AC180" s="635"/>
      <c r="AD180" s="635"/>
      <c r="AE180" s="635"/>
      <c r="AF180" s="635"/>
      <c r="AG180" s="642">
        <f t="shared" si="31"/>
        <v>0</v>
      </c>
      <c r="AH180" s="643">
        <v>320.0</v>
      </c>
      <c r="AI180" s="643">
        <f t="shared" si="32"/>
        <v>0</v>
      </c>
      <c r="AJ180" s="17"/>
      <c r="AK180" s="239"/>
      <c r="AL180" s="239"/>
    </row>
    <row r="181">
      <c r="A181" s="240" t="s">
        <v>45</v>
      </c>
      <c r="B181" s="128"/>
      <c r="C181" s="128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28"/>
      <c r="AH181" s="129"/>
      <c r="AI181" s="644">
        <f>SUM(AI178:AI180)</f>
        <v>360</v>
      </c>
      <c r="AJ181" s="17"/>
      <c r="AK181" s="239"/>
      <c r="AL181" s="239"/>
    </row>
    <row r="182">
      <c r="A182" s="278" t="s">
        <v>247</v>
      </c>
      <c r="B182" s="275"/>
      <c r="C182" s="275"/>
      <c r="D182" s="275"/>
      <c r="E182" s="275"/>
      <c r="F182" s="275"/>
      <c r="G182" s="275"/>
      <c r="H182" s="275"/>
      <c r="I182" s="275"/>
      <c r="J182" s="275"/>
      <c r="K182" s="275"/>
      <c r="L182" s="275"/>
      <c r="M182" s="275"/>
      <c r="N182" s="275"/>
      <c r="O182" s="275"/>
      <c r="P182" s="275"/>
      <c r="Q182" s="275"/>
      <c r="R182" s="275"/>
      <c r="S182" s="275"/>
      <c r="T182" s="275"/>
      <c r="U182" s="275"/>
      <c r="V182" s="275"/>
      <c r="W182" s="275"/>
      <c r="X182" s="275"/>
      <c r="Y182" s="275"/>
      <c r="Z182" s="275"/>
      <c r="AA182" s="275"/>
      <c r="AB182" s="275"/>
      <c r="AC182" s="275"/>
      <c r="AD182" s="275"/>
      <c r="AE182" s="275"/>
      <c r="AF182" s="275"/>
      <c r="AG182" s="275"/>
      <c r="AH182" s="275"/>
      <c r="AI182" s="276"/>
      <c r="AJ182" s="17"/>
      <c r="AK182" s="257"/>
      <c r="AL182" s="257"/>
    </row>
    <row r="183">
      <c r="A183" s="279" t="s">
        <v>248</v>
      </c>
      <c r="B183" s="755"/>
      <c r="C183" s="660"/>
      <c r="D183" s="326"/>
      <c r="E183" s="326"/>
      <c r="F183" s="328"/>
      <c r="G183" s="327"/>
      <c r="H183" s="326"/>
      <c r="I183" s="326"/>
      <c r="J183" s="326"/>
      <c r="K183" s="327"/>
      <c r="L183" s="706"/>
      <c r="M183" s="328"/>
      <c r="N183" s="327"/>
      <c r="O183" s="326"/>
      <c r="P183" s="326"/>
      <c r="Q183" s="326"/>
      <c r="R183" s="326"/>
      <c r="S183" s="845"/>
      <c r="T183" s="328"/>
      <c r="U183" s="327"/>
      <c r="V183" s="326"/>
      <c r="W183" s="326"/>
      <c r="X183" s="326"/>
      <c r="Y183" s="326"/>
      <c r="Z183" s="326"/>
      <c r="AA183" s="328"/>
      <c r="AB183" s="327"/>
      <c r="AC183" s="326"/>
      <c r="AD183" s="326"/>
      <c r="AE183" s="326"/>
      <c r="AF183" s="326"/>
      <c r="AG183" s="287">
        <f t="shared" ref="AG183:AG195" si="33">SUM(B183:AA183)</f>
        <v>0</v>
      </c>
      <c r="AH183" s="288">
        <v>1940.0</v>
      </c>
      <c r="AI183" s="289">
        <f t="shared" ref="AI183:AI195" si="34">AG183*AH183</f>
        <v>0</v>
      </c>
      <c r="AJ183" s="17"/>
      <c r="AK183" s="257"/>
      <c r="AL183" s="257"/>
    </row>
    <row r="184">
      <c r="A184" s="279" t="s">
        <v>250</v>
      </c>
      <c r="B184" s="755"/>
      <c r="C184" s="660"/>
      <c r="D184" s="326"/>
      <c r="E184" s="326"/>
      <c r="F184" s="328"/>
      <c r="G184" s="327"/>
      <c r="H184" s="326"/>
      <c r="I184" s="326"/>
      <c r="J184" s="326"/>
      <c r="K184" s="327"/>
      <c r="L184" s="706"/>
      <c r="M184" s="328"/>
      <c r="N184" s="327"/>
      <c r="O184" s="326"/>
      <c r="P184" s="326"/>
      <c r="Q184" s="326"/>
      <c r="R184" s="326"/>
      <c r="S184" s="845"/>
      <c r="T184" s="328"/>
      <c r="U184" s="327"/>
      <c r="V184" s="326"/>
      <c r="W184" s="326"/>
      <c r="X184" s="326"/>
      <c r="Y184" s="336"/>
      <c r="Z184" s="326"/>
      <c r="AA184" s="328"/>
      <c r="AB184" s="327"/>
      <c r="AC184" s="326"/>
      <c r="AD184" s="326"/>
      <c r="AE184" s="326"/>
      <c r="AF184" s="326"/>
      <c r="AG184" s="287">
        <f t="shared" si="33"/>
        <v>0</v>
      </c>
      <c r="AH184" s="288">
        <v>1820.0</v>
      </c>
      <c r="AI184" s="289">
        <f t="shared" si="34"/>
        <v>0</v>
      </c>
      <c r="AJ184" s="17"/>
      <c r="AK184" s="257"/>
      <c r="AL184" s="257"/>
    </row>
    <row r="185">
      <c r="A185" s="279" t="s">
        <v>251</v>
      </c>
      <c r="B185" s="755"/>
      <c r="C185" s="660"/>
      <c r="D185" s="326"/>
      <c r="E185" s="326"/>
      <c r="F185" s="328"/>
      <c r="G185" s="327"/>
      <c r="H185" s="326"/>
      <c r="I185" s="326"/>
      <c r="J185" s="326"/>
      <c r="K185" s="327"/>
      <c r="L185" s="706"/>
      <c r="M185" s="328"/>
      <c r="N185" s="327"/>
      <c r="O185" s="326"/>
      <c r="P185" s="326"/>
      <c r="Q185" s="326"/>
      <c r="R185" s="326"/>
      <c r="S185" s="845"/>
      <c r="T185" s="328"/>
      <c r="U185" s="327"/>
      <c r="V185" s="326"/>
      <c r="W185" s="326"/>
      <c r="X185" s="326"/>
      <c r="Y185" s="326"/>
      <c r="Z185" s="326"/>
      <c r="AA185" s="328"/>
      <c r="AB185" s="327"/>
      <c r="AC185" s="326"/>
      <c r="AD185" s="326"/>
      <c r="AE185" s="326"/>
      <c r="AF185" s="326"/>
      <c r="AG185" s="287">
        <f t="shared" si="33"/>
        <v>0</v>
      </c>
      <c r="AH185" s="288">
        <v>1940.0</v>
      </c>
      <c r="AI185" s="289">
        <f t="shared" si="34"/>
        <v>0</v>
      </c>
      <c r="AJ185" s="17"/>
      <c r="AK185" s="257"/>
      <c r="AL185" s="257"/>
    </row>
    <row r="186">
      <c r="A186" s="279" t="s">
        <v>253</v>
      </c>
      <c r="B186" s="755"/>
      <c r="C186" s="660"/>
      <c r="D186" s="326"/>
      <c r="E186" s="326"/>
      <c r="F186" s="328"/>
      <c r="G186" s="327"/>
      <c r="H186" s="326"/>
      <c r="I186" s="326"/>
      <c r="J186" s="326"/>
      <c r="K186" s="327"/>
      <c r="L186" s="706"/>
      <c r="M186" s="328"/>
      <c r="N186" s="327"/>
      <c r="O186" s="326"/>
      <c r="P186" s="326"/>
      <c r="Q186" s="326"/>
      <c r="R186" s="326"/>
      <c r="S186" s="845"/>
      <c r="T186" s="328"/>
      <c r="U186" s="327"/>
      <c r="V186" s="326"/>
      <c r="W186" s="326"/>
      <c r="X186" s="336"/>
      <c r="Y186" s="326"/>
      <c r="Z186" s="326"/>
      <c r="AA186" s="328"/>
      <c r="AB186" s="327"/>
      <c r="AC186" s="326"/>
      <c r="AD186" s="326"/>
      <c r="AE186" s="326"/>
      <c r="AF186" s="326"/>
      <c r="AG186" s="287">
        <f t="shared" si="33"/>
        <v>0</v>
      </c>
      <c r="AH186" s="288">
        <v>2000.0</v>
      </c>
      <c r="AI186" s="289">
        <f t="shared" si="34"/>
        <v>0</v>
      </c>
      <c r="AJ186" s="17"/>
      <c r="AK186" s="257"/>
      <c r="AL186" s="257"/>
    </row>
    <row r="187">
      <c r="A187" s="279" t="s">
        <v>255</v>
      </c>
      <c r="B187" s="755"/>
      <c r="C187" s="660"/>
      <c r="D187" s="326"/>
      <c r="E187" s="326"/>
      <c r="F187" s="328"/>
      <c r="G187" s="327"/>
      <c r="H187" s="326"/>
      <c r="I187" s="326"/>
      <c r="J187" s="326"/>
      <c r="K187" s="327"/>
      <c r="L187" s="706"/>
      <c r="M187" s="328"/>
      <c r="N187" s="327"/>
      <c r="O187" s="326"/>
      <c r="P187" s="326"/>
      <c r="Q187" s="326"/>
      <c r="R187" s="326"/>
      <c r="S187" s="845"/>
      <c r="T187" s="328"/>
      <c r="U187" s="327"/>
      <c r="V187" s="326"/>
      <c r="W187" s="326"/>
      <c r="X187" s="326"/>
      <c r="Y187" s="326"/>
      <c r="Z187" s="326"/>
      <c r="AA187" s="328"/>
      <c r="AB187" s="327"/>
      <c r="AC187" s="326"/>
      <c r="AD187" s="326"/>
      <c r="AE187" s="326"/>
      <c r="AF187" s="326"/>
      <c r="AG187" s="287">
        <f t="shared" si="33"/>
        <v>0</v>
      </c>
      <c r="AH187" s="288">
        <v>2140.0</v>
      </c>
      <c r="AI187" s="289">
        <f t="shared" si="34"/>
        <v>0</v>
      </c>
      <c r="AJ187" s="17"/>
      <c r="AK187" s="257"/>
      <c r="AL187" s="257"/>
    </row>
    <row r="188">
      <c r="A188" s="279" t="s">
        <v>256</v>
      </c>
      <c r="B188" s="755"/>
      <c r="C188" s="660"/>
      <c r="D188" s="326"/>
      <c r="E188" s="326"/>
      <c r="F188" s="328"/>
      <c r="G188" s="327"/>
      <c r="H188" s="326"/>
      <c r="I188" s="326"/>
      <c r="J188" s="326"/>
      <c r="K188" s="327"/>
      <c r="L188" s="706"/>
      <c r="M188" s="328"/>
      <c r="N188" s="327"/>
      <c r="O188" s="326"/>
      <c r="P188" s="326"/>
      <c r="Q188" s="326"/>
      <c r="R188" s="326"/>
      <c r="S188" s="845"/>
      <c r="T188" s="328"/>
      <c r="U188" s="327"/>
      <c r="V188" s="326"/>
      <c r="W188" s="326"/>
      <c r="X188" s="326"/>
      <c r="Y188" s="336"/>
      <c r="Z188" s="326"/>
      <c r="AA188" s="328"/>
      <c r="AB188" s="327"/>
      <c r="AC188" s="326"/>
      <c r="AD188" s="326"/>
      <c r="AE188" s="326"/>
      <c r="AF188" s="326"/>
      <c r="AG188" s="287">
        <f t="shared" si="33"/>
        <v>0</v>
      </c>
      <c r="AH188" s="288">
        <v>2500.0</v>
      </c>
      <c r="AI188" s="289">
        <f t="shared" si="34"/>
        <v>0</v>
      </c>
      <c r="AJ188" s="17"/>
      <c r="AK188" s="257"/>
      <c r="AL188" s="257"/>
    </row>
    <row r="189">
      <c r="A189" s="279" t="s">
        <v>279</v>
      </c>
      <c r="B189" s="755"/>
      <c r="C189" s="660"/>
      <c r="D189" s="326"/>
      <c r="E189" s="340"/>
      <c r="F189" s="328"/>
      <c r="G189" s="327"/>
      <c r="H189" s="326"/>
      <c r="I189" s="326"/>
      <c r="J189" s="326"/>
      <c r="K189" s="327"/>
      <c r="L189" s="846"/>
      <c r="M189" s="328"/>
      <c r="N189" s="327"/>
      <c r="O189" s="326"/>
      <c r="P189" s="326"/>
      <c r="Q189" s="326"/>
      <c r="R189" s="326"/>
      <c r="S189" s="845"/>
      <c r="T189" s="328"/>
      <c r="U189" s="327"/>
      <c r="V189" s="326"/>
      <c r="W189" s="326"/>
      <c r="X189" s="326"/>
      <c r="Y189" s="336"/>
      <c r="Z189" s="326"/>
      <c r="AA189" s="328"/>
      <c r="AB189" s="327"/>
      <c r="AC189" s="326"/>
      <c r="AD189" s="326"/>
      <c r="AE189" s="326"/>
      <c r="AF189" s="326"/>
      <c r="AG189" s="287">
        <f t="shared" si="33"/>
        <v>0</v>
      </c>
      <c r="AH189" s="288">
        <v>1300.0</v>
      </c>
      <c r="AI189" s="289">
        <f t="shared" si="34"/>
        <v>0</v>
      </c>
      <c r="AJ189" s="17"/>
      <c r="AK189" s="257"/>
      <c r="AL189" s="257"/>
    </row>
    <row r="190">
      <c r="A190" s="279" t="s">
        <v>259</v>
      </c>
      <c r="B190" s="755"/>
      <c r="C190" s="660"/>
      <c r="D190" s="326"/>
      <c r="E190" s="326"/>
      <c r="F190" s="328"/>
      <c r="G190" s="327"/>
      <c r="H190" s="326"/>
      <c r="I190" s="326"/>
      <c r="J190" s="326"/>
      <c r="K190" s="327"/>
      <c r="L190" s="706"/>
      <c r="M190" s="328"/>
      <c r="N190" s="327"/>
      <c r="O190" s="326"/>
      <c r="P190" s="326"/>
      <c r="Q190" s="326"/>
      <c r="R190" s="326"/>
      <c r="S190" s="845"/>
      <c r="T190" s="328"/>
      <c r="U190" s="327"/>
      <c r="V190" s="326"/>
      <c r="W190" s="326"/>
      <c r="X190" s="326"/>
      <c r="Y190" s="326"/>
      <c r="Z190" s="326"/>
      <c r="AA190" s="328"/>
      <c r="AB190" s="327"/>
      <c r="AC190" s="326"/>
      <c r="AD190" s="326"/>
      <c r="AE190" s="326"/>
      <c r="AF190" s="326"/>
      <c r="AG190" s="287">
        <f t="shared" si="33"/>
        <v>0</v>
      </c>
      <c r="AH190" s="288">
        <v>2500.0</v>
      </c>
      <c r="AI190" s="289">
        <f t="shared" si="34"/>
        <v>0</v>
      </c>
      <c r="AJ190" s="17"/>
      <c r="AK190" s="257"/>
      <c r="AL190" s="257"/>
    </row>
    <row r="191">
      <c r="A191" s="279" t="s">
        <v>259</v>
      </c>
      <c r="B191" s="755"/>
      <c r="C191" s="660"/>
      <c r="D191" s="326"/>
      <c r="E191" s="326"/>
      <c r="F191" s="328"/>
      <c r="G191" s="327"/>
      <c r="H191" s="326"/>
      <c r="I191" s="326"/>
      <c r="J191" s="326"/>
      <c r="K191" s="327"/>
      <c r="L191" s="706"/>
      <c r="M191" s="328"/>
      <c r="N191" s="327"/>
      <c r="O191" s="326"/>
      <c r="P191" s="326"/>
      <c r="Q191" s="326"/>
      <c r="R191" s="326"/>
      <c r="S191" s="845"/>
      <c r="T191" s="328"/>
      <c r="U191" s="327"/>
      <c r="V191" s="326"/>
      <c r="W191" s="326"/>
      <c r="X191" s="326"/>
      <c r="Y191" s="326"/>
      <c r="Z191" s="326"/>
      <c r="AA191" s="328"/>
      <c r="AB191" s="327"/>
      <c r="AC191" s="326"/>
      <c r="AD191" s="326"/>
      <c r="AE191" s="326"/>
      <c r="AF191" s="326"/>
      <c r="AG191" s="287">
        <f t="shared" si="33"/>
        <v>0</v>
      </c>
      <c r="AH191" s="288">
        <v>2600.0</v>
      </c>
      <c r="AI191" s="289">
        <f t="shared" si="34"/>
        <v>0</v>
      </c>
      <c r="AJ191" s="17"/>
      <c r="AK191" s="257"/>
      <c r="AL191" s="257"/>
    </row>
    <row r="192">
      <c r="A192" s="279" t="s">
        <v>261</v>
      </c>
      <c r="B192" s="755"/>
      <c r="C192" s="660"/>
      <c r="D192" s="326"/>
      <c r="E192" s="326"/>
      <c r="F192" s="328"/>
      <c r="G192" s="327"/>
      <c r="H192" s="326"/>
      <c r="I192" s="326"/>
      <c r="J192" s="326"/>
      <c r="K192" s="327"/>
      <c r="L192" s="706"/>
      <c r="M192" s="328"/>
      <c r="N192" s="327"/>
      <c r="O192" s="326"/>
      <c r="P192" s="326"/>
      <c r="Q192" s="326"/>
      <c r="R192" s="326"/>
      <c r="S192" s="845"/>
      <c r="T192" s="328"/>
      <c r="U192" s="327"/>
      <c r="V192" s="326"/>
      <c r="W192" s="326"/>
      <c r="X192" s="326"/>
      <c r="Y192" s="326"/>
      <c r="Z192" s="326"/>
      <c r="AA192" s="328"/>
      <c r="AB192" s="327"/>
      <c r="AC192" s="326"/>
      <c r="AD192" s="326"/>
      <c r="AE192" s="326"/>
      <c r="AF192" s="326"/>
      <c r="AG192" s="287">
        <f t="shared" si="33"/>
        <v>0</v>
      </c>
      <c r="AH192" s="288">
        <v>1400.0</v>
      </c>
      <c r="AI192" s="289">
        <f t="shared" si="34"/>
        <v>0</v>
      </c>
      <c r="AJ192" s="17"/>
      <c r="AK192" s="257"/>
      <c r="AL192" s="257"/>
    </row>
    <row r="193">
      <c r="A193" s="279" t="s">
        <v>261</v>
      </c>
      <c r="B193" s="755"/>
      <c r="C193" s="660"/>
      <c r="D193" s="326"/>
      <c r="E193" s="326"/>
      <c r="F193" s="328"/>
      <c r="G193" s="327"/>
      <c r="H193" s="326"/>
      <c r="I193" s="326"/>
      <c r="J193" s="326"/>
      <c r="K193" s="327"/>
      <c r="L193" s="706"/>
      <c r="M193" s="328"/>
      <c r="N193" s="327"/>
      <c r="O193" s="326"/>
      <c r="P193" s="326"/>
      <c r="Q193" s="326"/>
      <c r="R193" s="336"/>
      <c r="S193" s="845"/>
      <c r="T193" s="328"/>
      <c r="U193" s="327"/>
      <c r="V193" s="326"/>
      <c r="W193" s="326"/>
      <c r="X193" s="326"/>
      <c r="Y193" s="326"/>
      <c r="Z193" s="326"/>
      <c r="AA193" s="328"/>
      <c r="AB193" s="327"/>
      <c r="AC193" s="326"/>
      <c r="AD193" s="326"/>
      <c r="AE193" s="326"/>
      <c r="AF193" s="326"/>
      <c r="AG193" s="287">
        <f t="shared" si="33"/>
        <v>0</v>
      </c>
      <c r="AH193" s="288">
        <v>1900.0</v>
      </c>
      <c r="AI193" s="289">
        <f t="shared" si="34"/>
        <v>0</v>
      </c>
      <c r="AJ193" s="17"/>
      <c r="AK193" s="257"/>
      <c r="AL193" s="257"/>
    </row>
    <row r="194">
      <c r="A194" s="279" t="s">
        <v>262</v>
      </c>
      <c r="B194" s="755"/>
      <c r="C194" s="660"/>
      <c r="D194" s="326"/>
      <c r="E194" s="326"/>
      <c r="F194" s="328"/>
      <c r="G194" s="327"/>
      <c r="H194" s="326"/>
      <c r="I194" s="326"/>
      <c r="J194" s="326"/>
      <c r="K194" s="327"/>
      <c r="L194" s="706"/>
      <c r="M194" s="328"/>
      <c r="N194" s="327"/>
      <c r="O194" s="326"/>
      <c r="P194" s="326"/>
      <c r="Q194" s="326"/>
      <c r="R194" s="326"/>
      <c r="S194" s="845"/>
      <c r="T194" s="328"/>
      <c r="U194" s="327"/>
      <c r="V194" s="326"/>
      <c r="W194" s="326"/>
      <c r="X194" s="326"/>
      <c r="Y194" s="326"/>
      <c r="Z194" s="326"/>
      <c r="AA194" s="328"/>
      <c r="AB194" s="327"/>
      <c r="AC194" s="326"/>
      <c r="AD194" s="326"/>
      <c r="AE194" s="326"/>
      <c r="AF194" s="326"/>
      <c r="AG194" s="287">
        <f t="shared" si="33"/>
        <v>0</v>
      </c>
      <c r="AH194" s="288">
        <v>1300.0</v>
      </c>
      <c r="AI194" s="289">
        <f t="shared" si="34"/>
        <v>0</v>
      </c>
      <c r="AJ194" s="17"/>
      <c r="AK194" s="257"/>
      <c r="AL194" s="257"/>
    </row>
    <row r="195">
      <c r="A195" s="346" t="s">
        <v>262</v>
      </c>
      <c r="B195" s="763"/>
      <c r="C195" s="700"/>
      <c r="D195" s="347"/>
      <c r="E195" s="347"/>
      <c r="F195" s="349"/>
      <c r="G195" s="348"/>
      <c r="H195" s="347"/>
      <c r="I195" s="347"/>
      <c r="J195" s="347"/>
      <c r="K195" s="348"/>
      <c r="L195" s="730"/>
      <c r="M195" s="349"/>
      <c r="N195" s="348"/>
      <c r="O195" s="347"/>
      <c r="P195" s="347"/>
      <c r="Q195" s="347"/>
      <c r="R195" s="347"/>
      <c r="S195" s="847"/>
      <c r="T195" s="349"/>
      <c r="U195" s="348"/>
      <c r="V195" s="347"/>
      <c r="W195" s="347"/>
      <c r="X195" s="347"/>
      <c r="Y195" s="347"/>
      <c r="Z195" s="347"/>
      <c r="AA195" s="349"/>
      <c r="AB195" s="348"/>
      <c r="AC195" s="347"/>
      <c r="AD195" s="347"/>
      <c r="AE195" s="347"/>
      <c r="AF195" s="347"/>
      <c r="AG195" s="287">
        <f t="shared" si="33"/>
        <v>0</v>
      </c>
      <c r="AH195" s="357">
        <v>1800.0</v>
      </c>
      <c r="AI195" s="358">
        <f t="shared" si="34"/>
        <v>0</v>
      </c>
      <c r="AJ195" s="17"/>
      <c r="AK195" s="257"/>
      <c r="AL195" s="257"/>
    </row>
    <row r="196">
      <c r="A196" s="254" t="s">
        <v>45</v>
      </c>
      <c r="B196" s="128"/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28"/>
      <c r="AH196" s="129"/>
      <c r="AI196" s="362">
        <f>SUM(AI183:AI195)</f>
        <v>0</v>
      </c>
      <c r="AJ196" s="17"/>
      <c r="AK196" s="257"/>
      <c r="AL196" s="257"/>
    </row>
    <row r="197">
      <c r="A197" s="314"/>
      <c r="B197" s="313"/>
      <c r="C197" s="312"/>
      <c r="D197" s="313"/>
      <c r="E197" s="314"/>
      <c r="F197" s="318"/>
      <c r="G197" s="315"/>
      <c r="H197" s="314"/>
      <c r="I197" s="314"/>
      <c r="J197" s="314"/>
      <c r="K197" s="315"/>
      <c r="L197" s="736"/>
      <c r="M197" s="318"/>
      <c r="N197" s="315"/>
      <c r="O197" s="314"/>
      <c r="P197" s="314"/>
      <c r="Q197" s="314"/>
      <c r="R197" s="314"/>
      <c r="S197" s="848"/>
      <c r="T197" s="318"/>
      <c r="U197" s="315"/>
      <c r="V197" s="314"/>
      <c r="W197" s="314"/>
      <c r="X197" s="314"/>
      <c r="Y197" s="314"/>
      <c r="Z197" s="314"/>
      <c r="AA197" s="318"/>
      <c r="AB197" s="315"/>
      <c r="AC197" s="314"/>
      <c r="AD197" s="314"/>
      <c r="AE197" s="314"/>
      <c r="AF197" s="314"/>
      <c r="AG197" s="722" t="s">
        <v>271</v>
      </c>
      <c r="AH197" s="297"/>
      <c r="AI197" s="387">
        <f>AI49+AI53+AI68+AI78+AI85+AI104+AI110+AI118+AI126+AI136+AI149+AI154+AI159+AI168+AI176+AI181+AI196+AI198</f>
        <v>312073</v>
      </c>
      <c r="AJ197" s="322"/>
      <c r="AK197" s="323"/>
      <c r="AL197" s="323"/>
    </row>
    <row r="198">
      <c r="A198" s="314"/>
      <c r="B198" s="313"/>
      <c r="C198" s="312"/>
      <c r="D198" s="313"/>
      <c r="E198" s="314"/>
      <c r="F198" s="318"/>
      <c r="G198" s="315"/>
      <c r="H198" s="314"/>
      <c r="I198" s="314"/>
      <c r="J198" s="314"/>
      <c r="K198" s="315"/>
      <c r="L198" s="736"/>
      <c r="M198" s="318"/>
      <c r="N198" s="315"/>
      <c r="O198" s="314"/>
      <c r="P198" s="314"/>
      <c r="Q198" s="314"/>
      <c r="R198" s="314"/>
      <c r="S198" s="848"/>
      <c r="T198" s="318"/>
      <c r="U198" s="315"/>
      <c r="V198" s="314"/>
      <c r="W198" s="314"/>
      <c r="X198" s="314"/>
      <c r="Y198" s="314"/>
      <c r="Z198" s="314"/>
      <c r="AA198" s="318"/>
      <c r="AB198" s="315"/>
      <c r="AC198" s="314"/>
      <c r="AD198" s="314"/>
      <c r="AE198" s="314"/>
      <c r="AF198" s="314"/>
      <c r="AG198" s="324"/>
      <c r="AH198" s="155"/>
      <c r="AI198" s="155"/>
      <c r="AJ198" s="322"/>
      <c r="AK198" s="155"/>
      <c r="AL198" s="132"/>
    </row>
    <row r="199">
      <c r="A199" s="314"/>
      <c r="B199" s="313"/>
      <c r="C199" s="312"/>
      <c r="D199" s="313"/>
      <c r="E199" s="314"/>
      <c r="F199" s="318"/>
      <c r="G199" s="315"/>
      <c r="H199" s="314"/>
      <c r="I199" s="314"/>
      <c r="J199" s="314"/>
      <c r="K199" s="315"/>
      <c r="L199" s="736"/>
      <c r="M199" s="318"/>
      <c r="N199" s="315"/>
      <c r="O199" s="314"/>
      <c r="P199" s="314"/>
      <c r="Q199" s="314"/>
      <c r="R199" s="314"/>
      <c r="S199" s="848"/>
      <c r="T199" s="318"/>
      <c r="U199" s="315"/>
      <c r="V199" s="314"/>
      <c r="W199" s="314"/>
      <c r="X199" s="314"/>
      <c r="Y199" s="314"/>
      <c r="Z199" s="314"/>
      <c r="AA199" s="318"/>
      <c r="AB199" s="315"/>
      <c r="AC199" s="314"/>
      <c r="AD199" s="314"/>
      <c r="AE199" s="314"/>
      <c r="AF199" s="314"/>
      <c r="AG199" s="324"/>
      <c r="AH199" s="155"/>
      <c r="AI199" s="155"/>
      <c r="AJ199" s="322"/>
      <c r="AK199" s="155"/>
      <c r="AL199" s="132"/>
    </row>
    <row r="200">
      <c r="A200" s="314"/>
      <c r="B200" s="313"/>
      <c r="C200" s="312"/>
      <c r="D200" s="313"/>
      <c r="E200" s="314"/>
      <c r="F200" s="318"/>
      <c r="G200" s="315"/>
      <c r="H200" s="314"/>
      <c r="I200" s="314"/>
      <c r="J200" s="314"/>
      <c r="K200" s="315"/>
      <c r="L200" s="736"/>
      <c r="M200" s="318"/>
      <c r="N200" s="315"/>
      <c r="O200" s="314"/>
      <c r="P200" s="314"/>
      <c r="Q200" s="314"/>
      <c r="R200" s="314"/>
      <c r="S200" s="848"/>
      <c r="T200" s="318"/>
      <c r="U200" s="315"/>
      <c r="V200" s="314"/>
      <c r="W200" s="314"/>
      <c r="X200" s="314"/>
      <c r="Y200" s="314"/>
      <c r="Z200" s="314"/>
      <c r="AA200" s="318"/>
      <c r="AB200" s="315"/>
      <c r="AC200" s="314"/>
      <c r="AD200" s="314"/>
      <c r="AE200" s="314"/>
      <c r="AF200" s="314"/>
      <c r="AG200" s="324"/>
      <c r="AH200" s="155"/>
      <c r="AI200" s="155"/>
      <c r="AJ200" s="322"/>
      <c r="AK200" s="155"/>
      <c r="AL200" s="132"/>
    </row>
    <row r="201">
      <c r="A201" s="314"/>
      <c r="B201" s="313"/>
      <c r="C201" s="312"/>
      <c r="D201" s="313"/>
      <c r="E201" s="314"/>
      <c r="F201" s="318"/>
      <c r="G201" s="315"/>
      <c r="H201" s="314"/>
      <c r="I201" s="314"/>
      <c r="J201" s="314"/>
      <c r="K201" s="315"/>
      <c r="L201" s="736"/>
      <c r="M201" s="318"/>
      <c r="N201" s="315"/>
      <c r="O201" s="314"/>
      <c r="P201" s="314"/>
      <c r="Q201" s="314"/>
      <c r="R201" s="314"/>
      <c r="S201" s="848"/>
      <c r="T201" s="318"/>
      <c r="U201" s="315"/>
      <c r="V201" s="314"/>
      <c r="W201" s="314"/>
      <c r="X201" s="314"/>
      <c r="Y201" s="314"/>
      <c r="Z201" s="314"/>
      <c r="AA201" s="318"/>
      <c r="AB201" s="315"/>
      <c r="AC201" s="314"/>
      <c r="AD201" s="314"/>
      <c r="AE201" s="314"/>
      <c r="AF201" s="314"/>
      <c r="AG201" s="324"/>
      <c r="AH201" s="155"/>
      <c r="AI201" s="155"/>
      <c r="AJ201" s="322"/>
      <c r="AK201" s="155"/>
      <c r="AL201" s="132"/>
    </row>
    <row r="202">
      <c r="A202" s="314"/>
      <c r="B202" s="313"/>
      <c r="C202" s="312"/>
      <c r="D202" s="313"/>
      <c r="E202" s="314"/>
      <c r="F202" s="318"/>
      <c r="G202" s="315"/>
      <c r="H202" s="314"/>
      <c r="I202" s="314"/>
      <c r="J202" s="314"/>
      <c r="K202" s="315"/>
      <c r="L202" s="736"/>
      <c r="M202" s="318"/>
      <c r="N202" s="315"/>
      <c r="O202" s="314"/>
      <c r="P202" s="314"/>
      <c r="Q202" s="314"/>
      <c r="R202" s="314"/>
      <c r="S202" s="848"/>
      <c r="T202" s="318"/>
      <c r="U202" s="315"/>
      <c r="V202" s="314"/>
      <c r="W202" s="314"/>
      <c r="X202" s="314"/>
      <c r="Y202" s="314"/>
      <c r="Z202" s="314"/>
      <c r="AA202" s="318"/>
      <c r="AB202" s="315"/>
      <c r="AC202" s="314"/>
      <c r="AD202" s="314"/>
      <c r="AE202" s="314"/>
      <c r="AF202" s="314"/>
      <c r="AG202" s="324"/>
      <c r="AH202" s="155"/>
      <c r="AI202" s="155"/>
      <c r="AJ202" s="322"/>
      <c r="AK202" s="155"/>
      <c r="AL202" s="132"/>
    </row>
    <row r="203">
      <c r="A203" s="314"/>
      <c r="B203" s="313"/>
      <c r="C203" s="312"/>
      <c r="D203" s="313"/>
      <c r="E203" s="314"/>
      <c r="F203" s="318"/>
      <c r="G203" s="315"/>
      <c r="H203" s="314"/>
      <c r="I203" s="314"/>
      <c r="J203" s="314"/>
      <c r="K203" s="315"/>
      <c r="L203" s="736"/>
      <c r="M203" s="318"/>
      <c r="N203" s="315"/>
      <c r="O203" s="314"/>
      <c r="P203" s="314"/>
      <c r="Q203" s="314"/>
      <c r="R203" s="314"/>
      <c r="S203" s="848"/>
      <c r="T203" s="318"/>
      <c r="U203" s="315"/>
      <c r="V203" s="314"/>
      <c r="W203" s="314"/>
      <c r="X203" s="314"/>
      <c r="Y203" s="314"/>
      <c r="Z203" s="314"/>
      <c r="AA203" s="318"/>
      <c r="AB203" s="315"/>
      <c r="AC203" s="314"/>
      <c r="AD203" s="314"/>
      <c r="AE203" s="314"/>
      <c r="AF203" s="314"/>
      <c r="AG203" s="324"/>
      <c r="AH203" s="155"/>
      <c r="AI203" s="155"/>
      <c r="AJ203" s="322"/>
      <c r="AK203" s="155"/>
      <c r="AL203" s="132"/>
    </row>
    <row r="204">
      <c r="A204" s="314"/>
      <c r="B204" s="313"/>
      <c r="C204" s="312"/>
      <c r="D204" s="313"/>
      <c r="E204" s="314"/>
      <c r="F204" s="318"/>
      <c r="G204" s="315"/>
      <c r="H204" s="314"/>
      <c r="I204" s="314"/>
      <c r="J204" s="314"/>
      <c r="K204" s="315"/>
      <c r="L204" s="736"/>
      <c r="M204" s="318"/>
      <c r="N204" s="315"/>
      <c r="O204" s="314"/>
      <c r="P204" s="314"/>
      <c r="Q204" s="314"/>
      <c r="R204" s="314"/>
      <c r="S204" s="848"/>
      <c r="T204" s="318"/>
      <c r="U204" s="315"/>
      <c r="V204" s="314"/>
      <c r="W204" s="314"/>
      <c r="X204" s="314"/>
      <c r="Y204" s="314"/>
      <c r="Z204" s="314"/>
      <c r="AA204" s="318"/>
      <c r="AB204" s="315"/>
      <c r="AC204" s="314"/>
      <c r="AD204" s="314"/>
      <c r="AE204" s="314"/>
      <c r="AF204" s="314"/>
      <c r="AG204" s="324"/>
      <c r="AH204" s="155"/>
      <c r="AI204" s="155"/>
      <c r="AJ204" s="322"/>
      <c r="AK204" s="155"/>
      <c r="AL204" s="132"/>
    </row>
    <row r="205">
      <c r="A205" s="314"/>
      <c r="B205" s="313"/>
      <c r="C205" s="312"/>
      <c r="D205" s="313"/>
      <c r="E205" s="314"/>
      <c r="F205" s="318"/>
      <c r="G205" s="315"/>
      <c r="H205" s="314"/>
      <c r="I205" s="314"/>
      <c r="J205" s="314"/>
      <c r="K205" s="315"/>
      <c r="L205" s="736"/>
      <c r="M205" s="318"/>
      <c r="N205" s="315"/>
      <c r="O205" s="314"/>
      <c r="P205" s="314"/>
      <c r="Q205" s="314"/>
      <c r="R205" s="314"/>
      <c r="S205" s="848"/>
      <c r="T205" s="318"/>
      <c r="U205" s="315"/>
      <c r="V205" s="314"/>
      <c r="W205" s="314"/>
      <c r="X205" s="314"/>
      <c r="Y205" s="314"/>
      <c r="Z205" s="314"/>
      <c r="AA205" s="318"/>
      <c r="AB205" s="315"/>
      <c r="AC205" s="314"/>
      <c r="AD205" s="314"/>
      <c r="AE205" s="314"/>
      <c r="AF205" s="314"/>
      <c r="AG205" s="324"/>
      <c r="AH205" s="155"/>
      <c r="AI205" s="155"/>
      <c r="AJ205" s="322"/>
      <c r="AK205" s="155"/>
      <c r="AL205" s="132"/>
    </row>
    <row r="206">
      <c r="A206" s="314"/>
      <c r="B206" s="313"/>
      <c r="C206" s="312"/>
      <c r="D206" s="313"/>
      <c r="E206" s="314"/>
      <c r="F206" s="318"/>
      <c r="G206" s="315"/>
      <c r="H206" s="314"/>
      <c r="I206" s="314"/>
      <c r="J206" s="314"/>
      <c r="K206" s="315"/>
      <c r="L206" s="736"/>
      <c r="M206" s="318"/>
      <c r="N206" s="315"/>
      <c r="O206" s="314"/>
      <c r="P206" s="314"/>
      <c r="Q206" s="314"/>
      <c r="R206" s="314"/>
      <c r="S206" s="848"/>
      <c r="T206" s="318"/>
      <c r="U206" s="315"/>
      <c r="V206" s="314"/>
      <c r="W206" s="314"/>
      <c r="X206" s="314"/>
      <c r="Y206" s="314"/>
      <c r="Z206" s="314"/>
      <c r="AA206" s="318"/>
      <c r="AB206" s="315"/>
      <c r="AC206" s="314"/>
      <c r="AD206" s="314"/>
      <c r="AE206" s="314"/>
      <c r="AF206" s="314"/>
      <c r="AG206" s="324"/>
      <c r="AH206" s="155"/>
      <c r="AI206" s="155"/>
      <c r="AJ206" s="322"/>
      <c r="AK206" s="155"/>
      <c r="AL206" s="132"/>
    </row>
    <row r="207">
      <c r="A207" s="314"/>
      <c r="B207" s="313"/>
      <c r="C207" s="312"/>
      <c r="D207" s="313"/>
      <c r="E207" s="314"/>
      <c r="F207" s="318"/>
      <c r="G207" s="315"/>
      <c r="H207" s="314"/>
      <c r="I207" s="314"/>
      <c r="J207" s="314"/>
      <c r="K207" s="315"/>
      <c r="L207" s="736"/>
      <c r="M207" s="318"/>
      <c r="N207" s="315"/>
      <c r="O207" s="314"/>
      <c r="P207" s="314"/>
      <c r="Q207" s="314"/>
      <c r="R207" s="314"/>
      <c r="S207" s="848"/>
      <c r="T207" s="318"/>
      <c r="U207" s="315"/>
      <c r="V207" s="314"/>
      <c r="W207" s="314"/>
      <c r="X207" s="314"/>
      <c r="Y207" s="314"/>
      <c r="Z207" s="314"/>
      <c r="AA207" s="318"/>
      <c r="AB207" s="315"/>
      <c r="AC207" s="314"/>
      <c r="AD207" s="314"/>
      <c r="AE207" s="314"/>
      <c r="AF207" s="314"/>
      <c r="AG207" s="324"/>
      <c r="AH207" s="155"/>
      <c r="AI207" s="155"/>
      <c r="AJ207" s="322"/>
      <c r="AK207" s="155"/>
      <c r="AL207" s="132"/>
    </row>
    <row r="208">
      <c r="A208" s="314"/>
      <c r="B208" s="313"/>
      <c r="C208" s="312"/>
      <c r="D208" s="313"/>
      <c r="E208" s="314"/>
      <c r="F208" s="318"/>
      <c r="G208" s="315"/>
      <c r="H208" s="314"/>
      <c r="I208" s="314"/>
      <c r="J208" s="314"/>
      <c r="K208" s="315"/>
      <c r="L208" s="736"/>
      <c r="M208" s="318"/>
      <c r="N208" s="315"/>
      <c r="O208" s="314"/>
      <c r="P208" s="314"/>
      <c r="Q208" s="314"/>
      <c r="R208" s="314"/>
      <c r="S208" s="848"/>
      <c r="T208" s="318"/>
      <c r="U208" s="315"/>
      <c r="V208" s="314"/>
      <c r="W208" s="314"/>
      <c r="X208" s="314"/>
      <c r="Y208" s="314"/>
      <c r="Z208" s="314"/>
      <c r="AA208" s="318"/>
      <c r="AB208" s="315"/>
      <c r="AC208" s="314"/>
      <c r="AD208" s="314"/>
      <c r="AE208" s="314"/>
      <c r="AF208" s="314"/>
      <c r="AG208" s="324"/>
      <c r="AH208" s="155"/>
      <c r="AI208" s="155"/>
      <c r="AJ208" s="322"/>
      <c r="AK208" s="155"/>
      <c r="AL208" s="132"/>
    </row>
    <row r="209">
      <c r="A209" s="314"/>
      <c r="B209" s="313"/>
      <c r="C209" s="312"/>
      <c r="D209" s="313"/>
      <c r="E209" s="314"/>
      <c r="F209" s="318"/>
      <c r="G209" s="315"/>
      <c r="H209" s="314"/>
      <c r="I209" s="314"/>
      <c r="J209" s="314"/>
      <c r="K209" s="315"/>
      <c r="L209" s="736"/>
      <c r="M209" s="318"/>
      <c r="N209" s="315"/>
      <c r="O209" s="314"/>
      <c r="P209" s="314"/>
      <c r="Q209" s="314"/>
      <c r="R209" s="314"/>
      <c r="S209" s="848"/>
      <c r="T209" s="318"/>
      <c r="U209" s="315"/>
      <c r="V209" s="314"/>
      <c r="W209" s="314"/>
      <c r="X209" s="314"/>
      <c r="Y209" s="314"/>
      <c r="Z209" s="314"/>
      <c r="AA209" s="318"/>
      <c r="AB209" s="315"/>
      <c r="AC209" s="314"/>
      <c r="AD209" s="314"/>
      <c r="AE209" s="314"/>
      <c r="AF209" s="314"/>
      <c r="AG209" s="324"/>
      <c r="AH209" s="155"/>
      <c r="AI209" s="155"/>
      <c r="AJ209" s="322"/>
      <c r="AK209" s="155"/>
      <c r="AL209" s="132"/>
    </row>
    <row r="210">
      <c r="A210" s="314"/>
      <c r="B210" s="313"/>
      <c r="C210" s="312"/>
      <c r="D210" s="313"/>
      <c r="E210" s="314"/>
      <c r="F210" s="318"/>
      <c r="G210" s="315"/>
      <c r="H210" s="314"/>
      <c r="I210" s="314"/>
      <c r="J210" s="314"/>
      <c r="K210" s="315"/>
      <c r="L210" s="736"/>
      <c r="M210" s="318"/>
      <c r="N210" s="315"/>
      <c r="O210" s="314"/>
      <c r="P210" s="314"/>
      <c r="Q210" s="314"/>
      <c r="R210" s="314"/>
      <c r="S210" s="848"/>
      <c r="T210" s="318"/>
      <c r="U210" s="315"/>
      <c r="V210" s="314"/>
      <c r="W210" s="314"/>
      <c r="X210" s="314"/>
      <c r="Y210" s="314"/>
      <c r="Z210" s="314"/>
      <c r="AA210" s="318"/>
      <c r="AB210" s="315"/>
      <c r="AC210" s="314"/>
      <c r="AD210" s="314"/>
      <c r="AE210" s="314"/>
      <c r="AF210" s="314"/>
      <c r="AG210" s="324"/>
      <c r="AH210" s="155"/>
      <c r="AI210" s="155"/>
      <c r="AJ210" s="322"/>
      <c r="AK210" s="155"/>
      <c r="AL210" s="132"/>
    </row>
    <row r="211">
      <c r="A211" s="314"/>
      <c r="B211" s="313"/>
      <c r="C211" s="312"/>
      <c r="D211" s="313"/>
      <c r="E211" s="314"/>
      <c r="F211" s="318"/>
      <c r="G211" s="315"/>
      <c r="H211" s="314"/>
      <c r="I211" s="314"/>
      <c r="J211" s="314"/>
      <c r="K211" s="315"/>
      <c r="L211" s="736"/>
      <c r="M211" s="318"/>
      <c r="N211" s="315"/>
      <c r="O211" s="314"/>
      <c r="P211" s="314"/>
      <c r="Q211" s="314"/>
      <c r="R211" s="314"/>
      <c r="S211" s="848"/>
      <c r="T211" s="318"/>
      <c r="U211" s="315"/>
      <c r="V211" s="314"/>
      <c r="W211" s="314"/>
      <c r="X211" s="314"/>
      <c r="Y211" s="314"/>
      <c r="Z211" s="314"/>
      <c r="AA211" s="318"/>
      <c r="AB211" s="315"/>
      <c r="AC211" s="314"/>
      <c r="AD211" s="314"/>
      <c r="AE211" s="314"/>
      <c r="AF211" s="314"/>
      <c r="AG211" s="324"/>
      <c r="AH211" s="155"/>
      <c r="AI211" s="155"/>
      <c r="AJ211" s="322"/>
      <c r="AK211" s="155"/>
      <c r="AL211" s="132"/>
    </row>
    <row r="212">
      <c r="A212" s="314"/>
      <c r="B212" s="313"/>
      <c r="C212" s="312"/>
      <c r="D212" s="313"/>
      <c r="E212" s="314"/>
      <c r="F212" s="318"/>
      <c r="G212" s="315"/>
      <c r="H212" s="314"/>
      <c r="I212" s="314"/>
      <c r="J212" s="314"/>
      <c r="K212" s="315"/>
      <c r="L212" s="736"/>
      <c r="M212" s="318"/>
      <c r="N212" s="315"/>
      <c r="O212" s="314"/>
      <c r="P212" s="314"/>
      <c r="Q212" s="314"/>
      <c r="R212" s="314"/>
      <c r="S212" s="848"/>
      <c r="T212" s="318"/>
      <c r="U212" s="315"/>
      <c r="V212" s="314"/>
      <c r="W212" s="314"/>
      <c r="X212" s="314"/>
      <c r="Y212" s="314"/>
      <c r="Z212" s="314"/>
      <c r="AA212" s="318"/>
      <c r="AB212" s="315"/>
      <c r="AC212" s="314"/>
      <c r="AD212" s="314"/>
      <c r="AE212" s="314"/>
      <c r="AF212" s="314"/>
      <c r="AG212" s="324"/>
      <c r="AH212" s="155"/>
      <c r="AI212" s="155"/>
      <c r="AJ212" s="322"/>
      <c r="AK212" s="155"/>
      <c r="AL212" s="132"/>
    </row>
    <row r="213">
      <c r="A213" s="314"/>
      <c r="B213" s="313"/>
      <c r="C213" s="312"/>
      <c r="D213" s="313"/>
      <c r="E213" s="314"/>
      <c r="F213" s="318"/>
      <c r="G213" s="315"/>
      <c r="H213" s="314"/>
      <c r="I213" s="314"/>
      <c r="J213" s="314"/>
      <c r="K213" s="315"/>
      <c r="L213" s="736"/>
      <c r="M213" s="318"/>
      <c r="N213" s="315"/>
      <c r="O213" s="314"/>
      <c r="P213" s="314"/>
      <c r="Q213" s="314"/>
      <c r="R213" s="314"/>
      <c r="S213" s="848"/>
      <c r="T213" s="318"/>
      <c r="U213" s="315"/>
      <c r="V213" s="314"/>
      <c r="W213" s="314"/>
      <c r="X213" s="314"/>
      <c r="Y213" s="314"/>
      <c r="Z213" s="314"/>
      <c r="AA213" s="318"/>
      <c r="AB213" s="315"/>
      <c r="AC213" s="314"/>
      <c r="AD213" s="314"/>
      <c r="AE213" s="314"/>
      <c r="AF213" s="314"/>
      <c r="AG213" s="324"/>
      <c r="AH213" s="155"/>
      <c r="AI213" s="155"/>
      <c r="AJ213" s="322"/>
      <c r="AK213" s="155"/>
      <c r="AL213" s="132"/>
    </row>
    <row r="214">
      <c r="A214" s="314"/>
      <c r="B214" s="313"/>
      <c r="C214" s="312"/>
      <c r="D214" s="313"/>
      <c r="E214" s="314"/>
      <c r="F214" s="318"/>
      <c r="G214" s="315"/>
      <c r="H214" s="314"/>
      <c r="I214" s="314"/>
      <c r="J214" s="314"/>
      <c r="K214" s="315"/>
      <c r="L214" s="736"/>
      <c r="M214" s="318"/>
      <c r="N214" s="315"/>
      <c r="O214" s="314"/>
      <c r="P214" s="314"/>
      <c r="Q214" s="314"/>
      <c r="R214" s="314"/>
      <c r="S214" s="848"/>
      <c r="T214" s="318"/>
      <c r="U214" s="315"/>
      <c r="V214" s="314"/>
      <c r="W214" s="314"/>
      <c r="X214" s="314"/>
      <c r="Y214" s="314"/>
      <c r="Z214" s="314"/>
      <c r="AA214" s="318"/>
      <c r="AB214" s="315"/>
      <c r="AC214" s="314"/>
      <c r="AD214" s="314"/>
      <c r="AE214" s="314"/>
      <c r="AF214" s="314"/>
      <c r="AG214" s="324"/>
      <c r="AH214" s="155"/>
      <c r="AI214" s="155"/>
      <c r="AJ214" s="322"/>
      <c r="AK214" s="155"/>
      <c r="AL214" s="132"/>
    </row>
    <row r="215">
      <c r="A215" s="314"/>
      <c r="B215" s="313"/>
      <c r="C215" s="312"/>
      <c r="D215" s="313"/>
      <c r="E215" s="314"/>
      <c r="F215" s="318"/>
      <c r="G215" s="315"/>
      <c r="H215" s="314"/>
      <c r="I215" s="314"/>
      <c r="J215" s="314"/>
      <c r="K215" s="315"/>
      <c r="L215" s="736"/>
      <c r="M215" s="318"/>
      <c r="N215" s="315"/>
      <c r="O215" s="314"/>
      <c r="P215" s="314"/>
      <c r="Q215" s="314"/>
      <c r="R215" s="314"/>
      <c r="S215" s="848"/>
      <c r="T215" s="318"/>
      <c r="U215" s="315"/>
      <c r="V215" s="314"/>
      <c r="W215" s="314"/>
      <c r="X215" s="314"/>
      <c r="Y215" s="314"/>
      <c r="Z215" s="314"/>
      <c r="AA215" s="318"/>
      <c r="AB215" s="315"/>
      <c r="AC215" s="314"/>
      <c r="AD215" s="314"/>
      <c r="AE215" s="314"/>
      <c r="AF215" s="314"/>
      <c r="AG215" s="324"/>
      <c r="AH215" s="155"/>
      <c r="AI215" s="155"/>
      <c r="AJ215" s="322"/>
      <c r="AK215" s="155"/>
      <c r="AL215" s="132"/>
    </row>
    <row r="216">
      <c r="A216" s="314"/>
      <c r="B216" s="313"/>
      <c r="C216" s="312"/>
      <c r="D216" s="313"/>
      <c r="E216" s="314"/>
      <c r="F216" s="318"/>
      <c r="G216" s="315"/>
      <c r="H216" s="314"/>
      <c r="I216" s="314"/>
      <c r="J216" s="314"/>
      <c r="K216" s="315"/>
      <c r="L216" s="736"/>
      <c r="M216" s="318"/>
      <c r="N216" s="315"/>
      <c r="O216" s="314"/>
      <c r="P216" s="314"/>
      <c r="Q216" s="314"/>
      <c r="R216" s="314"/>
      <c r="S216" s="848"/>
      <c r="T216" s="318"/>
      <c r="U216" s="315"/>
      <c r="V216" s="314"/>
      <c r="W216" s="314"/>
      <c r="X216" s="314"/>
      <c r="Y216" s="314"/>
      <c r="Z216" s="314"/>
      <c r="AA216" s="318"/>
      <c r="AB216" s="315"/>
      <c r="AC216" s="314"/>
      <c r="AD216" s="314"/>
      <c r="AE216" s="314"/>
      <c r="AF216" s="314"/>
      <c r="AG216" s="324"/>
      <c r="AH216" s="155"/>
      <c r="AI216" s="155"/>
      <c r="AJ216" s="322"/>
      <c r="AK216" s="155"/>
      <c r="AL216" s="132"/>
    </row>
    <row r="217">
      <c r="A217" s="314"/>
      <c r="B217" s="313"/>
      <c r="C217" s="312"/>
      <c r="D217" s="313"/>
      <c r="E217" s="314"/>
      <c r="F217" s="318"/>
      <c r="G217" s="315"/>
      <c r="H217" s="314"/>
      <c r="I217" s="314"/>
      <c r="J217" s="314"/>
      <c r="K217" s="315"/>
      <c r="L217" s="736"/>
      <c r="M217" s="318"/>
      <c r="N217" s="315"/>
      <c r="O217" s="314"/>
      <c r="P217" s="314"/>
      <c r="Q217" s="314"/>
      <c r="R217" s="314"/>
      <c r="S217" s="848"/>
      <c r="T217" s="318"/>
      <c r="U217" s="315"/>
      <c r="V217" s="314"/>
      <c r="W217" s="314"/>
      <c r="X217" s="314"/>
      <c r="Y217" s="314"/>
      <c r="Z217" s="314"/>
      <c r="AA217" s="318"/>
      <c r="AB217" s="315"/>
      <c r="AC217" s="314"/>
      <c r="AD217" s="314"/>
      <c r="AE217" s="314"/>
      <c r="AF217" s="314"/>
      <c r="AG217" s="324"/>
      <c r="AH217" s="155"/>
      <c r="AI217" s="155"/>
      <c r="AJ217" s="322"/>
      <c r="AK217" s="155"/>
      <c r="AL217" s="132"/>
    </row>
    <row r="218">
      <c r="A218" s="314"/>
      <c r="B218" s="313"/>
      <c r="C218" s="312"/>
      <c r="D218" s="313"/>
      <c r="E218" s="314"/>
      <c r="F218" s="318"/>
      <c r="G218" s="315"/>
      <c r="H218" s="314"/>
      <c r="I218" s="314"/>
      <c r="J218" s="314"/>
      <c r="K218" s="315"/>
      <c r="L218" s="736"/>
      <c r="M218" s="318"/>
      <c r="N218" s="315"/>
      <c r="O218" s="314"/>
      <c r="P218" s="314"/>
      <c r="Q218" s="314"/>
      <c r="R218" s="314"/>
      <c r="S218" s="848"/>
      <c r="T218" s="318"/>
      <c r="U218" s="315"/>
      <c r="V218" s="314"/>
      <c r="W218" s="314"/>
      <c r="X218" s="314"/>
      <c r="Y218" s="314"/>
      <c r="Z218" s="314"/>
      <c r="AA218" s="318"/>
      <c r="AB218" s="315"/>
      <c r="AC218" s="314"/>
      <c r="AD218" s="314"/>
      <c r="AE218" s="314"/>
      <c r="AF218" s="314"/>
      <c r="AG218" s="324"/>
      <c r="AH218" s="155"/>
      <c r="AI218" s="155"/>
      <c r="AJ218" s="322"/>
      <c r="AK218" s="155"/>
      <c r="AL218" s="132"/>
    </row>
    <row r="219">
      <c r="A219" s="314"/>
      <c r="B219" s="313"/>
      <c r="C219" s="312"/>
      <c r="D219" s="313"/>
      <c r="E219" s="314"/>
      <c r="F219" s="318"/>
      <c r="G219" s="315"/>
      <c r="H219" s="314"/>
      <c r="I219" s="314"/>
      <c r="J219" s="314"/>
      <c r="K219" s="315"/>
      <c r="L219" s="736"/>
      <c r="M219" s="318"/>
      <c r="N219" s="315"/>
      <c r="O219" s="314"/>
      <c r="P219" s="314"/>
      <c r="Q219" s="314"/>
      <c r="R219" s="314"/>
      <c r="S219" s="848"/>
      <c r="T219" s="318"/>
      <c r="U219" s="315"/>
      <c r="V219" s="314"/>
      <c r="W219" s="314"/>
      <c r="X219" s="314"/>
      <c r="Y219" s="314"/>
      <c r="Z219" s="314"/>
      <c r="AA219" s="318"/>
      <c r="AB219" s="315"/>
      <c r="AC219" s="314"/>
      <c r="AD219" s="314"/>
      <c r="AE219" s="314"/>
      <c r="AF219" s="314"/>
      <c r="AG219" s="324"/>
      <c r="AH219" s="155"/>
      <c r="AI219" s="155"/>
      <c r="AJ219" s="322"/>
      <c r="AK219" s="155"/>
      <c r="AL219" s="132"/>
    </row>
    <row r="220">
      <c r="A220" s="314"/>
      <c r="B220" s="313"/>
      <c r="C220" s="312"/>
      <c r="D220" s="313"/>
      <c r="E220" s="314"/>
      <c r="F220" s="318"/>
      <c r="G220" s="315"/>
      <c r="H220" s="314"/>
      <c r="I220" s="314"/>
      <c r="J220" s="314"/>
      <c r="K220" s="315"/>
      <c r="L220" s="736"/>
      <c r="M220" s="318"/>
      <c r="N220" s="315"/>
      <c r="O220" s="314"/>
      <c r="P220" s="314"/>
      <c r="Q220" s="314"/>
      <c r="R220" s="314"/>
      <c r="S220" s="848"/>
      <c r="T220" s="318"/>
      <c r="U220" s="315"/>
      <c r="V220" s="314"/>
      <c r="W220" s="314"/>
      <c r="X220" s="314"/>
      <c r="Y220" s="314"/>
      <c r="Z220" s="314"/>
      <c r="AA220" s="318"/>
      <c r="AB220" s="315"/>
      <c r="AC220" s="314"/>
      <c r="AD220" s="314"/>
      <c r="AE220" s="314"/>
      <c r="AF220" s="314"/>
      <c r="AG220" s="324"/>
      <c r="AH220" s="155"/>
      <c r="AI220" s="155"/>
      <c r="AJ220" s="322"/>
      <c r="AK220" s="155"/>
      <c r="AL220" s="132"/>
    </row>
    <row r="221">
      <c r="A221" s="314"/>
      <c r="B221" s="313"/>
      <c r="C221" s="312"/>
      <c r="D221" s="313"/>
      <c r="E221" s="314"/>
      <c r="F221" s="318"/>
      <c r="G221" s="315"/>
      <c r="H221" s="314"/>
      <c r="I221" s="314"/>
      <c r="J221" s="314"/>
      <c r="K221" s="315"/>
      <c r="L221" s="736"/>
      <c r="M221" s="318"/>
      <c r="N221" s="315"/>
      <c r="O221" s="314"/>
      <c r="P221" s="314"/>
      <c r="Q221" s="314"/>
      <c r="R221" s="314"/>
      <c r="S221" s="848"/>
      <c r="T221" s="318"/>
      <c r="U221" s="315"/>
      <c r="V221" s="314"/>
      <c r="W221" s="314"/>
      <c r="X221" s="314"/>
      <c r="Y221" s="314"/>
      <c r="Z221" s="314"/>
      <c r="AA221" s="318"/>
      <c r="AB221" s="315"/>
      <c r="AC221" s="314"/>
      <c r="AD221" s="314"/>
      <c r="AE221" s="314"/>
      <c r="AF221" s="314"/>
      <c r="AG221" s="324"/>
      <c r="AH221" s="155"/>
      <c r="AI221" s="155"/>
      <c r="AJ221" s="322"/>
      <c r="AK221" s="155"/>
      <c r="AL221" s="132"/>
    </row>
    <row r="222">
      <c r="A222" s="314"/>
      <c r="B222" s="313"/>
      <c r="C222" s="312"/>
      <c r="D222" s="313"/>
      <c r="E222" s="314"/>
      <c r="F222" s="318"/>
      <c r="G222" s="315"/>
      <c r="H222" s="314"/>
      <c r="I222" s="314"/>
      <c r="J222" s="314"/>
      <c r="K222" s="315"/>
      <c r="L222" s="736"/>
      <c r="M222" s="318"/>
      <c r="N222" s="315"/>
      <c r="O222" s="314"/>
      <c r="P222" s="314"/>
      <c r="Q222" s="314"/>
      <c r="R222" s="314"/>
      <c r="S222" s="848"/>
      <c r="T222" s="318"/>
      <c r="U222" s="315"/>
      <c r="V222" s="314"/>
      <c r="W222" s="314"/>
      <c r="X222" s="314"/>
      <c r="Y222" s="314"/>
      <c r="Z222" s="314"/>
      <c r="AA222" s="318"/>
      <c r="AB222" s="315"/>
      <c r="AC222" s="314"/>
      <c r="AD222" s="314"/>
      <c r="AE222" s="314"/>
      <c r="AF222" s="314"/>
      <c r="AG222" s="324"/>
      <c r="AH222" s="155"/>
      <c r="AI222" s="155"/>
      <c r="AJ222" s="322"/>
      <c r="AK222" s="155"/>
      <c r="AL222" s="132"/>
    </row>
    <row r="223">
      <c r="A223" s="314"/>
      <c r="B223" s="313"/>
      <c r="C223" s="312"/>
      <c r="D223" s="313"/>
      <c r="E223" s="314"/>
      <c r="F223" s="318"/>
      <c r="G223" s="315"/>
      <c r="H223" s="314"/>
      <c r="I223" s="314"/>
      <c r="J223" s="314"/>
      <c r="K223" s="315"/>
      <c r="L223" s="736"/>
      <c r="M223" s="318"/>
      <c r="N223" s="315"/>
      <c r="O223" s="314"/>
      <c r="P223" s="314"/>
      <c r="Q223" s="314"/>
      <c r="R223" s="314"/>
      <c r="S223" s="848"/>
      <c r="T223" s="318"/>
      <c r="U223" s="315"/>
      <c r="V223" s="314"/>
      <c r="W223" s="314"/>
      <c r="X223" s="314"/>
      <c r="Y223" s="314"/>
      <c r="Z223" s="314"/>
      <c r="AA223" s="318"/>
      <c r="AB223" s="315"/>
      <c r="AC223" s="314"/>
      <c r="AD223" s="314"/>
      <c r="AE223" s="314"/>
      <c r="AF223" s="314"/>
      <c r="AG223" s="324"/>
      <c r="AH223" s="155"/>
      <c r="AI223" s="155"/>
      <c r="AJ223" s="322"/>
      <c r="AK223" s="155"/>
      <c r="AL223" s="132"/>
    </row>
    <row r="224">
      <c r="A224" s="314"/>
      <c r="B224" s="313"/>
      <c r="C224" s="312"/>
      <c r="D224" s="313"/>
      <c r="E224" s="314"/>
      <c r="F224" s="318"/>
      <c r="G224" s="315"/>
      <c r="H224" s="314"/>
      <c r="I224" s="314"/>
      <c r="J224" s="314"/>
      <c r="K224" s="315"/>
      <c r="L224" s="736"/>
      <c r="M224" s="318"/>
      <c r="N224" s="315"/>
      <c r="O224" s="314"/>
      <c r="P224" s="314"/>
      <c r="Q224" s="314"/>
      <c r="R224" s="314"/>
      <c r="S224" s="848"/>
      <c r="T224" s="318"/>
      <c r="U224" s="315"/>
      <c r="V224" s="314"/>
      <c r="W224" s="314"/>
      <c r="X224" s="314"/>
      <c r="Y224" s="314"/>
      <c r="Z224" s="314"/>
      <c r="AA224" s="318"/>
      <c r="AB224" s="315"/>
      <c r="AC224" s="314"/>
      <c r="AD224" s="314"/>
      <c r="AE224" s="314"/>
      <c r="AF224" s="314"/>
      <c r="AG224" s="324"/>
      <c r="AH224" s="155"/>
      <c r="AI224" s="155"/>
      <c r="AJ224" s="322"/>
      <c r="AK224" s="155"/>
      <c r="AL224" s="132"/>
    </row>
    <row r="225">
      <c r="A225" s="314"/>
      <c r="B225" s="313"/>
      <c r="C225" s="312"/>
      <c r="D225" s="313"/>
      <c r="E225" s="314"/>
      <c r="F225" s="318"/>
      <c r="G225" s="315"/>
      <c r="H225" s="314"/>
      <c r="I225" s="314"/>
      <c r="J225" s="314"/>
      <c r="K225" s="315"/>
      <c r="L225" s="736"/>
      <c r="M225" s="318"/>
      <c r="N225" s="315"/>
      <c r="O225" s="314"/>
      <c r="P225" s="314"/>
      <c r="Q225" s="314"/>
      <c r="R225" s="314"/>
      <c r="S225" s="848"/>
      <c r="T225" s="318"/>
      <c r="U225" s="315"/>
      <c r="V225" s="314"/>
      <c r="W225" s="314"/>
      <c r="X225" s="314"/>
      <c r="Y225" s="314"/>
      <c r="Z225" s="314"/>
      <c r="AA225" s="318"/>
      <c r="AB225" s="315"/>
      <c r="AC225" s="314"/>
      <c r="AD225" s="314"/>
      <c r="AE225" s="314"/>
      <c r="AF225" s="314"/>
      <c r="AG225" s="324"/>
      <c r="AH225" s="155"/>
      <c r="AI225" s="155"/>
      <c r="AJ225" s="322"/>
      <c r="AK225" s="155"/>
      <c r="AL225" s="132"/>
    </row>
    <row r="226">
      <c r="A226" s="314"/>
      <c r="B226" s="313"/>
      <c r="C226" s="312"/>
      <c r="D226" s="313"/>
      <c r="E226" s="314"/>
      <c r="F226" s="318"/>
      <c r="G226" s="315"/>
      <c r="H226" s="314"/>
      <c r="I226" s="314"/>
      <c r="J226" s="314"/>
      <c r="K226" s="315"/>
      <c r="L226" s="736"/>
      <c r="M226" s="318"/>
      <c r="N226" s="315"/>
      <c r="O226" s="314"/>
      <c r="P226" s="314"/>
      <c r="Q226" s="314"/>
      <c r="R226" s="314"/>
      <c r="S226" s="848"/>
      <c r="T226" s="318"/>
      <c r="U226" s="315"/>
      <c r="V226" s="314"/>
      <c r="W226" s="314"/>
      <c r="X226" s="314"/>
      <c r="Y226" s="314"/>
      <c r="Z226" s="314"/>
      <c r="AA226" s="318"/>
      <c r="AB226" s="315"/>
      <c r="AC226" s="314"/>
      <c r="AD226" s="314"/>
      <c r="AE226" s="314"/>
      <c r="AF226" s="314"/>
      <c r="AG226" s="324"/>
      <c r="AH226" s="155"/>
      <c r="AI226" s="155"/>
      <c r="AJ226" s="322"/>
      <c r="AK226" s="155"/>
      <c r="AL226" s="132"/>
    </row>
    <row r="227">
      <c r="A227" s="314"/>
      <c r="B227" s="313"/>
      <c r="C227" s="312"/>
      <c r="D227" s="313"/>
      <c r="E227" s="314"/>
      <c r="F227" s="318"/>
      <c r="G227" s="315"/>
      <c r="H227" s="314"/>
      <c r="I227" s="314"/>
      <c r="J227" s="314"/>
      <c r="K227" s="315"/>
      <c r="L227" s="736"/>
      <c r="M227" s="318"/>
      <c r="N227" s="315"/>
      <c r="O227" s="314"/>
      <c r="P227" s="314"/>
      <c r="Q227" s="314"/>
      <c r="R227" s="314"/>
      <c r="S227" s="848"/>
      <c r="T227" s="318"/>
      <c r="U227" s="315"/>
      <c r="V227" s="314"/>
      <c r="W227" s="314"/>
      <c r="X227" s="314"/>
      <c r="Y227" s="314"/>
      <c r="Z227" s="314"/>
      <c r="AA227" s="318"/>
      <c r="AB227" s="315"/>
      <c r="AC227" s="314"/>
      <c r="AD227" s="314"/>
      <c r="AE227" s="314"/>
      <c r="AF227" s="314"/>
      <c r="AG227" s="324"/>
      <c r="AH227" s="155"/>
      <c r="AI227" s="155"/>
      <c r="AJ227" s="322"/>
      <c r="AK227" s="155"/>
      <c r="AL227" s="132"/>
    </row>
    <row r="228">
      <c r="A228" s="314"/>
      <c r="B228" s="313"/>
      <c r="C228" s="312"/>
      <c r="D228" s="313"/>
      <c r="E228" s="314"/>
      <c r="F228" s="318"/>
      <c r="G228" s="315"/>
      <c r="H228" s="314"/>
      <c r="I228" s="314"/>
      <c r="J228" s="314"/>
      <c r="K228" s="315"/>
      <c r="L228" s="736"/>
      <c r="M228" s="318"/>
      <c r="N228" s="315"/>
      <c r="O228" s="314"/>
      <c r="P228" s="314"/>
      <c r="Q228" s="314"/>
      <c r="R228" s="314"/>
      <c r="S228" s="848"/>
      <c r="T228" s="318"/>
      <c r="U228" s="315"/>
      <c r="V228" s="314"/>
      <c r="W228" s="314"/>
      <c r="X228" s="314"/>
      <c r="Y228" s="314"/>
      <c r="Z228" s="314"/>
      <c r="AA228" s="318"/>
      <c r="AB228" s="315"/>
      <c r="AC228" s="314"/>
      <c r="AD228" s="314"/>
      <c r="AE228" s="314"/>
      <c r="AF228" s="314"/>
      <c r="AG228" s="324"/>
      <c r="AH228" s="155"/>
      <c r="AI228" s="155"/>
      <c r="AJ228" s="322"/>
      <c r="AK228" s="155"/>
      <c r="AL228" s="132"/>
    </row>
    <row r="229">
      <c r="A229" s="314"/>
      <c r="B229" s="313"/>
      <c r="C229" s="312"/>
      <c r="D229" s="313"/>
      <c r="E229" s="314"/>
      <c r="F229" s="318"/>
      <c r="G229" s="315"/>
      <c r="H229" s="314"/>
      <c r="I229" s="314"/>
      <c r="J229" s="314"/>
      <c r="K229" s="315"/>
      <c r="L229" s="736"/>
      <c r="M229" s="318"/>
      <c r="N229" s="315"/>
      <c r="O229" s="314"/>
      <c r="P229" s="314"/>
      <c r="Q229" s="314"/>
      <c r="R229" s="314"/>
      <c r="S229" s="848"/>
      <c r="T229" s="318"/>
      <c r="U229" s="315"/>
      <c r="V229" s="314"/>
      <c r="W229" s="314"/>
      <c r="X229" s="314"/>
      <c r="Y229" s="314"/>
      <c r="Z229" s="314"/>
      <c r="AA229" s="318"/>
      <c r="AB229" s="315"/>
      <c r="AC229" s="314"/>
      <c r="AD229" s="314"/>
      <c r="AE229" s="314"/>
      <c r="AF229" s="314"/>
      <c r="AG229" s="324"/>
      <c r="AH229" s="155"/>
      <c r="AI229" s="155"/>
      <c r="AJ229" s="322"/>
      <c r="AK229" s="155"/>
      <c r="AL229" s="132"/>
    </row>
    <row r="230">
      <c r="A230" s="314"/>
      <c r="B230" s="313"/>
      <c r="C230" s="312"/>
      <c r="D230" s="313"/>
      <c r="E230" s="314"/>
      <c r="F230" s="318"/>
      <c r="G230" s="315"/>
      <c r="H230" s="314"/>
      <c r="I230" s="314"/>
      <c r="J230" s="314"/>
      <c r="K230" s="315"/>
      <c r="L230" s="736"/>
      <c r="M230" s="318"/>
      <c r="N230" s="315"/>
      <c r="O230" s="314"/>
      <c r="P230" s="314"/>
      <c r="Q230" s="314"/>
      <c r="R230" s="314"/>
      <c r="S230" s="848"/>
      <c r="T230" s="318"/>
      <c r="U230" s="315"/>
      <c r="V230" s="314"/>
      <c r="W230" s="314"/>
      <c r="X230" s="314"/>
      <c r="Y230" s="314"/>
      <c r="Z230" s="314"/>
      <c r="AA230" s="318"/>
      <c r="AB230" s="315"/>
      <c r="AC230" s="314"/>
      <c r="AD230" s="314"/>
      <c r="AE230" s="314"/>
      <c r="AF230" s="314"/>
      <c r="AG230" s="324"/>
      <c r="AH230" s="155"/>
      <c r="AI230" s="155"/>
      <c r="AJ230" s="322"/>
      <c r="AK230" s="155"/>
      <c r="AL230" s="132"/>
    </row>
    <row r="231">
      <c r="A231" s="314"/>
      <c r="B231" s="313"/>
      <c r="C231" s="312"/>
      <c r="D231" s="313"/>
      <c r="E231" s="314"/>
      <c r="F231" s="318"/>
      <c r="G231" s="315"/>
      <c r="H231" s="314"/>
      <c r="I231" s="314"/>
      <c r="J231" s="314"/>
      <c r="K231" s="315"/>
      <c r="L231" s="736"/>
      <c r="M231" s="318"/>
      <c r="N231" s="315"/>
      <c r="O231" s="314"/>
      <c r="P231" s="314"/>
      <c r="Q231" s="314"/>
      <c r="R231" s="314"/>
      <c r="S231" s="848"/>
      <c r="T231" s="318"/>
      <c r="U231" s="315"/>
      <c r="V231" s="314"/>
      <c r="W231" s="314"/>
      <c r="X231" s="314"/>
      <c r="Y231" s="314"/>
      <c r="Z231" s="314"/>
      <c r="AA231" s="318"/>
      <c r="AB231" s="315"/>
      <c r="AC231" s="314"/>
      <c r="AD231" s="314"/>
      <c r="AE231" s="314"/>
      <c r="AF231" s="314"/>
      <c r="AG231" s="324"/>
      <c r="AH231" s="155"/>
      <c r="AI231" s="155"/>
      <c r="AJ231" s="322"/>
      <c r="AK231" s="155"/>
      <c r="AL231" s="132"/>
    </row>
    <row r="232">
      <c r="A232" s="314"/>
      <c r="B232" s="313"/>
      <c r="C232" s="312"/>
      <c r="D232" s="313"/>
      <c r="E232" s="314"/>
      <c r="F232" s="318"/>
      <c r="G232" s="315"/>
      <c r="H232" s="314"/>
      <c r="I232" s="314"/>
      <c r="J232" s="314"/>
      <c r="K232" s="315"/>
      <c r="L232" s="736"/>
      <c r="M232" s="318"/>
      <c r="N232" s="315"/>
      <c r="O232" s="314"/>
      <c r="P232" s="314"/>
      <c r="Q232" s="314"/>
      <c r="R232" s="314"/>
      <c r="S232" s="848"/>
      <c r="T232" s="318"/>
      <c r="U232" s="315"/>
      <c r="V232" s="314"/>
      <c r="W232" s="314"/>
      <c r="X232" s="314"/>
      <c r="Y232" s="314"/>
      <c r="Z232" s="314"/>
      <c r="AA232" s="318"/>
      <c r="AB232" s="315"/>
      <c r="AC232" s="314"/>
      <c r="AD232" s="314"/>
      <c r="AE232" s="314"/>
      <c r="AF232" s="314"/>
      <c r="AG232" s="324"/>
      <c r="AH232" s="155"/>
      <c r="AI232" s="155"/>
      <c r="AJ232" s="322"/>
      <c r="AK232" s="155"/>
      <c r="AL232" s="132"/>
    </row>
    <row r="233">
      <c r="A233" s="314"/>
      <c r="B233" s="313"/>
      <c r="C233" s="312"/>
      <c r="D233" s="313"/>
      <c r="E233" s="314"/>
      <c r="F233" s="318"/>
      <c r="G233" s="315"/>
      <c r="H233" s="314"/>
      <c r="I233" s="314"/>
      <c r="J233" s="314"/>
      <c r="K233" s="315"/>
      <c r="L233" s="736"/>
      <c r="M233" s="318"/>
      <c r="N233" s="315"/>
      <c r="O233" s="314"/>
      <c r="P233" s="314"/>
      <c r="Q233" s="314"/>
      <c r="R233" s="314"/>
      <c r="S233" s="848"/>
      <c r="T233" s="318"/>
      <c r="U233" s="315"/>
      <c r="V233" s="314"/>
      <c r="W233" s="314"/>
      <c r="X233" s="314"/>
      <c r="Y233" s="314"/>
      <c r="Z233" s="314"/>
      <c r="AA233" s="318"/>
      <c r="AB233" s="315"/>
      <c r="AC233" s="314"/>
      <c r="AD233" s="314"/>
      <c r="AE233" s="314"/>
      <c r="AF233" s="314"/>
      <c r="AG233" s="324"/>
      <c r="AH233" s="155"/>
      <c r="AI233" s="155"/>
      <c r="AJ233" s="322"/>
      <c r="AK233" s="155"/>
      <c r="AL233" s="132"/>
    </row>
    <row r="234">
      <c r="A234" s="314"/>
      <c r="B234" s="313"/>
      <c r="C234" s="312"/>
      <c r="D234" s="313"/>
      <c r="E234" s="314"/>
      <c r="F234" s="318"/>
      <c r="G234" s="315"/>
      <c r="H234" s="314"/>
      <c r="I234" s="314"/>
      <c r="J234" s="314"/>
      <c r="K234" s="315"/>
      <c r="L234" s="736"/>
      <c r="M234" s="318"/>
      <c r="N234" s="315"/>
      <c r="O234" s="314"/>
      <c r="P234" s="314"/>
      <c r="Q234" s="314"/>
      <c r="R234" s="314"/>
      <c r="S234" s="848"/>
      <c r="T234" s="318"/>
      <c r="U234" s="315"/>
      <c r="V234" s="314"/>
      <c r="W234" s="314"/>
      <c r="X234" s="314"/>
      <c r="Y234" s="314"/>
      <c r="Z234" s="314"/>
      <c r="AA234" s="318"/>
      <c r="AB234" s="315"/>
      <c r="AC234" s="314"/>
      <c r="AD234" s="314"/>
      <c r="AE234" s="314"/>
      <c r="AF234" s="314"/>
      <c r="AG234" s="324"/>
      <c r="AH234" s="155"/>
      <c r="AI234" s="155"/>
      <c r="AJ234" s="322"/>
      <c r="AK234" s="155"/>
      <c r="AL234" s="132"/>
    </row>
    <row r="235">
      <c r="A235" s="314"/>
      <c r="B235" s="313"/>
      <c r="C235" s="312"/>
      <c r="D235" s="313"/>
      <c r="E235" s="314"/>
      <c r="F235" s="318"/>
      <c r="G235" s="315"/>
      <c r="H235" s="314"/>
      <c r="I235" s="314"/>
      <c r="J235" s="314"/>
      <c r="K235" s="315"/>
      <c r="L235" s="736"/>
      <c r="M235" s="318"/>
      <c r="N235" s="315"/>
      <c r="O235" s="314"/>
      <c r="P235" s="314"/>
      <c r="Q235" s="314"/>
      <c r="R235" s="314"/>
      <c r="S235" s="848"/>
      <c r="T235" s="318"/>
      <c r="U235" s="315"/>
      <c r="V235" s="314"/>
      <c r="W235" s="314"/>
      <c r="X235" s="314"/>
      <c r="Y235" s="314"/>
      <c r="Z235" s="314"/>
      <c r="AA235" s="318"/>
      <c r="AB235" s="315"/>
      <c r="AC235" s="314"/>
      <c r="AD235" s="314"/>
      <c r="AE235" s="314"/>
      <c r="AF235" s="314"/>
      <c r="AG235" s="324"/>
      <c r="AH235" s="155"/>
      <c r="AI235" s="155"/>
      <c r="AJ235" s="322"/>
      <c r="AK235" s="155"/>
      <c r="AL235" s="132"/>
    </row>
    <row r="236">
      <c r="A236" s="314"/>
      <c r="B236" s="313"/>
      <c r="C236" s="312"/>
      <c r="D236" s="313"/>
      <c r="E236" s="314"/>
      <c r="F236" s="318"/>
      <c r="G236" s="315"/>
      <c r="H236" s="314"/>
      <c r="I236" s="314"/>
      <c r="J236" s="314"/>
      <c r="K236" s="315"/>
      <c r="L236" s="736"/>
      <c r="M236" s="318"/>
      <c r="N236" s="315"/>
      <c r="O236" s="314"/>
      <c r="P236" s="314"/>
      <c r="Q236" s="314"/>
      <c r="R236" s="314"/>
      <c r="S236" s="848"/>
      <c r="T236" s="318"/>
      <c r="U236" s="315"/>
      <c r="V236" s="314"/>
      <c r="W236" s="314"/>
      <c r="X236" s="314"/>
      <c r="Y236" s="314"/>
      <c r="Z236" s="314"/>
      <c r="AA236" s="318"/>
      <c r="AB236" s="315"/>
      <c r="AC236" s="314"/>
      <c r="AD236" s="314"/>
      <c r="AE236" s="314"/>
      <c r="AF236" s="314"/>
      <c r="AG236" s="324"/>
      <c r="AH236" s="155"/>
      <c r="AI236" s="155"/>
      <c r="AJ236" s="322"/>
      <c r="AK236" s="155"/>
      <c r="AL236" s="132"/>
    </row>
    <row r="237">
      <c r="A237" s="314"/>
      <c r="B237" s="313"/>
      <c r="C237" s="312"/>
      <c r="D237" s="313"/>
      <c r="E237" s="314"/>
      <c r="F237" s="318"/>
      <c r="G237" s="315"/>
      <c r="H237" s="314"/>
      <c r="I237" s="314"/>
      <c r="J237" s="314"/>
      <c r="K237" s="315"/>
      <c r="L237" s="736"/>
      <c r="M237" s="318"/>
      <c r="N237" s="315"/>
      <c r="O237" s="314"/>
      <c r="P237" s="314"/>
      <c r="Q237" s="314"/>
      <c r="R237" s="314"/>
      <c r="S237" s="848"/>
      <c r="T237" s="318"/>
      <c r="U237" s="315"/>
      <c r="V237" s="314"/>
      <c r="W237" s="314"/>
      <c r="X237" s="314"/>
      <c r="Y237" s="314"/>
      <c r="Z237" s="314"/>
      <c r="AA237" s="318"/>
      <c r="AB237" s="315"/>
      <c r="AC237" s="314"/>
      <c r="AD237" s="314"/>
      <c r="AE237" s="314"/>
      <c r="AF237" s="314"/>
      <c r="AG237" s="324"/>
      <c r="AH237" s="155"/>
      <c r="AI237" s="155"/>
      <c r="AJ237" s="322"/>
      <c r="AK237" s="155"/>
      <c r="AL237" s="132"/>
    </row>
    <row r="238">
      <c r="A238" s="314"/>
      <c r="B238" s="313"/>
      <c r="C238" s="312"/>
      <c r="D238" s="313"/>
      <c r="E238" s="314"/>
      <c r="F238" s="318"/>
      <c r="G238" s="315"/>
      <c r="H238" s="314"/>
      <c r="I238" s="314"/>
      <c r="J238" s="314"/>
      <c r="K238" s="315"/>
      <c r="L238" s="736"/>
      <c r="M238" s="318"/>
      <c r="N238" s="315"/>
      <c r="O238" s="314"/>
      <c r="P238" s="314"/>
      <c r="Q238" s="314"/>
      <c r="R238" s="314"/>
      <c r="S238" s="848"/>
      <c r="T238" s="318"/>
      <c r="U238" s="315"/>
      <c r="V238" s="314"/>
      <c r="W238" s="314"/>
      <c r="X238" s="314"/>
      <c r="Y238" s="314"/>
      <c r="Z238" s="314"/>
      <c r="AA238" s="318"/>
      <c r="AB238" s="315"/>
      <c r="AC238" s="314"/>
      <c r="AD238" s="314"/>
      <c r="AE238" s="314"/>
      <c r="AF238" s="314"/>
      <c r="AG238" s="324"/>
      <c r="AH238" s="155"/>
      <c r="AI238" s="155"/>
      <c r="AJ238" s="322"/>
      <c r="AK238" s="155"/>
      <c r="AL238" s="132"/>
    </row>
    <row r="239">
      <c r="A239" s="314"/>
      <c r="B239" s="313"/>
      <c r="C239" s="312"/>
      <c r="D239" s="313"/>
      <c r="E239" s="314"/>
      <c r="F239" s="318"/>
      <c r="G239" s="315"/>
      <c r="H239" s="314"/>
      <c r="I239" s="314"/>
      <c r="J239" s="314"/>
      <c r="K239" s="315"/>
      <c r="L239" s="736"/>
      <c r="M239" s="318"/>
      <c r="N239" s="315"/>
      <c r="O239" s="314"/>
      <c r="P239" s="314"/>
      <c r="Q239" s="314"/>
      <c r="R239" s="314"/>
      <c r="S239" s="848"/>
      <c r="T239" s="318"/>
      <c r="U239" s="315"/>
      <c r="V239" s="314"/>
      <c r="W239" s="314"/>
      <c r="X239" s="314"/>
      <c r="Y239" s="314"/>
      <c r="Z239" s="314"/>
      <c r="AA239" s="318"/>
      <c r="AB239" s="315"/>
      <c r="AC239" s="314"/>
      <c r="AD239" s="314"/>
      <c r="AE239" s="314"/>
      <c r="AF239" s="314"/>
      <c r="AG239" s="324"/>
      <c r="AH239" s="155"/>
      <c r="AI239" s="155"/>
      <c r="AJ239" s="322"/>
      <c r="AK239" s="155"/>
      <c r="AL239" s="132"/>
    </row>
    <row r="240">
      <c r="A240" s="314"/>
      <c r="B240" s="313"/>
      <c r="C240" s="312"/>
      <c r="D240" s="313"/>
      <c r="E240" s="314"/>
      <c r="F240" s="318"/>
      <c r="G240" s="315"/>
      <c r="H240" s="314"/>
      <c r="I240" s="314"/>
      <c r="J240" s="314"/>
      <c r="K240" s="315"/>
      <c r="L240" s="736"/>
      <c r="M240" s="318"/>
      <c r="N240" s="315"/>
      <c r="O240" s="314"/>
      <c r="P240" s="314"/>
      <c r="Q240" s="314"/>
      <c r="R240" s="314"/>
      <c r="S240" s="848"/>
      <c r="T240" s="318"/>
      <c r="U240" s="315"/>
      <c r="V240" s="314"/>
      <c r="W240" s="314"/>
      <c r="X240" s="314"/>
      <c r="Y240" s="314"/>
      <c r="Z240" s="314"/>
      <c r="AA240" s="318"/>
      <c r="AB240" s="315"/>
      <c r="AC240" s="314"/>
      <c r="AD240" s="314"/>
      <c r="AE240" s="314"/>
      <c r="AF240" s="314"/>
      <c r="AG240" s="324"/>
      <c r="AH240" s="155"/>
      <c r="AI240" s="155"/>
      <c r="AJ240" s="322"/>
      <c r="AK240" s="155"/>
      <c r="AL240" s="132"/>
    </row>
    <row r="241">
      <c r="A241" s="314"/>
      <c r="B241" s="313"/>
      <c r="C241" s="312"/>
      <c r="D241" s="313"/>
      <c r="E241" s="314"/>
      <c r="F241" s="318"/>
      <c r="G241" s="315"/>
      <c r="H241" s="314"/>
      <c r="I241" s="314"/>
      <c r="J241" s="314"/>
      <c r="K241" s="315"/>
      <c r="L241" s="736"/>
      <c r="M241" s="318"/>
      <c r="N241" s="315"/>
      <c r="O241" s="314"/>
      <c r="P241" s="314"/>
      <c r="Q241" s="314"/>
      <c r="R241" s="314"/>
      <c r="S241" s="848"/>
      <c r="T241" s="318"/>
      <c r="U241" s="315"/>
      <c r="V241" s="314"/>
      <c r="W241" s="314"/>
      <c r="X241" s="314"/>
      <c r="Y241" s="314"/>
      <c r="Z241" s="314"/>
      <c r="AA241" s="318"/>
      <c r="AB241" s="315"/>
      <c r="AC241" s="314"/>
      <c r="AD241" s="314"/>
      <c r="AE241" s="314"/>
      <c r="AF241" s="314"/>
      <c r="AG241" s="324"/>
      <c r="AH241" s="155"/>
      <c r="AI241" s="155"/>
      <c r="AJ241" s="322"/>
      <c r="AK241" s="155"/>
      <c r="AL241" s="132"/>
    </row>
    <row r="242">
      <c r="A242" s="314"/>
      <c r="B242" s="313"/>
      <c r="C242" s="312"/>
      <c r="D242" s="313"/>
      <c r="E242" s="314"/>
      <c r="F242" s="318"/>
      <c r="G242" s="315"/>
      <c r="H242" s="314"/>
      <c r="I242" s="314"/>
      <c r="J242" s="314"/>
      <c r="K242" s="315"/>
      <c r="L242" s="736"/>
      <c r="M242" s="318"/>
      <c r="N242" s="315"/>
      <c r="O242" s="314"/>
      <c r="P242" s="314"/>
      <c r="Q242" s="314"/>
      <c r="R242" s="314"/>
      <c r="S242" s="848"/>
      <c r="T242" s="318"/>
      <c r="U242" s="315"/>
      <c r="V242" s="314"/>
      <c r="W242" s="314"/>
      <c r="X242" s="314"/>
      <c r="Y242" s="314"/>
      <c r="Z242" s="314"/>
      <c r="AA242" s="318"/>
      <c r="AB242" s="315"/>
      <c r="AC242" s="314"/>
      <c r="AD242" s="314"/>
      <c r="AE242" s="314"/>
      <c r="AF242" s="314"/>
      <c r="AG242" s="324"/>
      <c r="AH242" s="155"/>
      <c r="AI242" s="155"/>
      <c r="AJ242" s="322"/>
      <c r="AK242" s="155"/>
      <c r="AL242" s="132"/>
    </row>
    <row r="243">
      <c r="A243" s="314"/>
      <c r="B243" s="313"/>
      <c r="C243" s="312"/>
      <c r="D243" s="313"/>
      <c r="E243" s="314"/>
      <c r="F243" s="318"/>
      <c r="G243" s="315"/>
      <c r="H243" s="314"/>
      <c r="I243" s="314"/>
      <c r="J243" s="314"/>
      <c r="K243" s="315"/>
      <c r="L243" s="736"/>
      <c r="M243" s="318"/>
      <c r="N243" s="315"/>
      <c r="O243" s="314"/>
      <c r="P243" s="314"/>
      <c r="Q243" s="314"/>
      <c r="R243" s="314"/>
      <c r="S243" s="848"/>
      <c r="T243" s="318"/>
      <c r="U243" s="315"/>
      <c r="V243" s="314"/>
      <c r="W243" s="314"/>
      <c r="X243" s="314"/>
      <c r="Y243" s="314"/>
      <c r="Z243" s="314"/>
      <c r="AA243" s="318"/>
      <c r="AB243" s="315"/>
      <c r="AC243" s="314"/>
      <c r="AD243" s="314"/>
      <c r="AE243" s="314"/>
      <c r="AF243" s="314"/>
      <c r="AG243" s="324"/>
      <c r="AH243" s="155"/>
      <c r="AI243" s="155"/>
      <c r="AJ243" s="322"/>
      <c r="AK243" s="155"/>
      <c r="AL243" s="132"/>
    </row>
    <row r="244">
      <c r="A244" s="314"/>
      <c r="B244" s="313"/>
      <c r="C244" s="312"/>
      <c r="D244" s="313"/>
      <c r="E244" s="314"/>
      <c r="F244" s="318"/>
      <c r="G244" s="315"/>
      <c r="H244" s="314"/>
      <c r="I244" s="314"/>
      <c r="J244" s="314"/>
      <c r="K244" s="315"/>
      <c r="L244" s="736"/>
      <c r="M244" s="318"/>
      <c r="N244" s="315"/>
      <c r="O244" s="314"/>
      <c r="P244" s="314"/>
      <c r="Q244" s="314"/>
      <c r="R244" s="314"/>
      <c r="S244" s="848"/>
      <c r="T244" s="318"/>
      <c r="U244" s="315"/>
      <c r="V244" s="314"/>
      <c r="W244" s="314"/>
      <c r="X244" s="314"/>
      <c r="Y244" s="314"/>
      <c r="Z244" s="314"/>
      <c r="AA244" s="318"/>
      <c r="AB244" s="315"/>
      <c r="AC244" s="314"/>
      <c r="AD244" s="314"/>
      <c r="AE244" s="314"/>
      <c r="AF244" s="314"/>
      <c r="AG244" s="324"/>
      <c r="AH244" s="155"/>
      <c r="AI244" s="155"/>
      <c r="AJ244" s="322"/>
      <c r="AK244" s="155"/>
      <c r="AL244" s="132"/>
    </row>
    <row r="245">
      <c r="A245" s="314"/>
      <c r="B245" s="313"/>
      <c r="C245" s="312"/>
      <c r="D245" s="313"/>
      <c r="E245" s="314"/>
      <c r="F245" s="318"/>
      <c r="G245" s="315"/>
      <c r="H245" s="314"/>
      <c r="I245" s="314"/>
      <c r="J245" s="314"/>
      <c r="K245" s="315"/>
      <c r="L245" s="736"/>
      <c r="M245" s="318"/>
      <c r="N245" s="315"/>
      <c r="O245" s="314"/>
      <c r="P245" s="314"/>
      <c r="Q245" s="314"/>
      <c r="R245" s="314"/>
      <c r="S245" s="848"/>
      <c r="T245" s="318"/>
      <c r="U245" s="315"/>
      <c r="V245" s="314"/>
      <c r="W245" s="314"/>
      <c r="X245" s="314"/>
      <c r="Y245" s="314"/>
      <c r="Z245" s="314"/>
      <c r="AA245" s="318"/>
      <c r="AB245" s="315"/>
      <c r="AC245" s="314"/>
      <c r="AD245" s="314"/>
      <c r="AE245" s="314"/>
      <c r="AF245" s="314"/>
      <c r="AG245" s="324"/>
      <c r="AH245" s="155"/>
      <c r="AI245" s="155"/>
      <c r="AJ245" s="322"/>
      <c r="AK245" s="155"/>
      <c r="AL245" s="132"/>
    </row>
    <row r="246">
      <c r="A246" s="314"/>
      <c r="B246" s="313"/>
      <c r="C246" s="312"/>
      <c r="D246" s="313"/>
      <c r="E246" s="314"/>
      <c r="F246" s="318"/>
      <c r="G246" s="315"/>
      <c r="H246" s="314"/>
      <c r="I246" s="314"/>
      <c r="J246" s="314"/>
      <c r="K246" s="315"/>
      <c r="L246" s="736"/>
      <c r="M246" s="318"/>
      <c r="N246" s="315"/>
      <c r="O246" s="314"/>
      <c r="P246" s="314"/>
      <c r="Q246" s="314"/>
      <c r="R246" s="314"/>
      <c r="S246" s="848"/>
      <c r="T246" s="318"/>
      <c r="U246" s="315"/>
      <c r="V246" s="314"/>
      <c r="W246" s="314"/>
      <c r="X246" s="314"/>
      <c r="Y246" s="314"/>
      <c r="Z246" s="314"/>
      <c r="AA246" s="318"/>
      <c r="AB246" s="315"/>
      <c r="AC246" s="314"/>
      <c r="AD246" s="314"/>
      <c r="AE246" s="314"/>
      <c r="AF246" s="314"/>
      <c r="AG246" s="324"/>
      <c r="AH246" s="155"/>
      <c r="AI246" s="155"/>
      <c r="AJ246" s="322"/>
      <c r="AK246" s="155"/>
      <c r="AL246" s="132"/>
    </row>
    <row r="247">
      <c r="A247" s="314"/>
      <c r="B247" s="313"/>
      <c r="C247" s="312"/>
      <c r="D247" s="313"/>
      <c r="E247" s="314"/>
      <c r="F247" s="318"/>
      <c r="G247" s="315"/>
      <c r="H247" s="314"/>
      <c r="I247" s="314"/>
      <c r="J247" s="314"/>
      <c r="K247" s="315"/>
      <c r="L247" s="736"/>
      <c r="M247" s="318"/>
      <c r="N247" s="315"/>
      <c r="O247" s="314"/>
      <c r="P247" s="314"/>
      <c r="Q247" s="314"/>
      <c r="R247" s="314"/>
      <c r="S247" s="848"/>
      <c r="T247" s="318"/>
      <c r="U247" s="315"/>
      <c r="V247" s="314"/>
      <c r="W247" s="314"/>
      <c r="X247" s="314"/>
      <c r="Y247" s="314"/>
      <c r="Z247" s="314"/>
      <c r="AA247" s="318"/>
      <c r="AB247" s="315"/>
      <c r="AC247" s="314"/>
      <c r="AD247" s="314"/>
      <c r="AE247" s="314"/>
      <c r="AF247" s="314"/>
      <c r="AG247" s="324"/>
      <c r="AH247" s="155"/>
      <c r="AI247" s="155"/>
      <c r="AJ247" s="322"/>
      <c r="AK247" s="155"/>
      <c r="AL247" s="132"/>
    </row>
    <row r="248">
      <c r="A248" s="314"/>
      <c r="B248" s="313"/>
      <c r="C248" s="312"/>
      <c r="D248" s="313"/>
      <c r="E248" s="314"/>
      <c r="F248" s="318"/>
      <c r="G248" s="315"/>
      <c r="H248" s="314"/>
      <c r="I248" s="314"/>
      <c r="J248" s="314"/>
      <c r="K248" s="315"/>
      <c r="L248" s="736"/>
      <c r="M248" s="318"/>
      <c r="N248" s="315"/>
      <c r="O248" s="314"/>
      <c r="P248" s="314"/>
      <c r="Q248" s="314"/>
      <c r="R248" s="314"/>
      <c r="S248" s="848"/>
      <c r="T248" s="318"/>
      <c r="U248" s="315"/>
      <c r="V248" s="314"/>
      <c r="W248" s="314"/>
      <c r="X248" s="314"/>
      <c r="Y248" s="314"/>
      <c r="Z248" s="314"/>
      <c r="AA248" s="318"/>
      <c r="AB248" s="315"/>
      <c r="AC248" s="314"/>
      <c r="AD248" s="314"/>
      <c r="AE248" s="314"/>
      <c r="AF248" s="314"/>
      <c r="AG248" s="324"/>
      <c r="AH248" s="155"/>
      <c r="AI248" s="155"/>
      <c r="AJ248" s="322"/>
      <c r="AK248" s="155"/>
      <c r="AL248" s="132"/>
    </row>
    <row r="249">
      <c r="A249" s="314"/>
      <c r="B249" s="313"/>
      <c r="C249" s="312"/>
      <c r="D249" s="313"/>
      <c r="E249" s="314"/>
      <c r="F249" s="318"/>
      <c r="G249" s="315"/>
      <c r="H249" s="314"/>
      <c r="I249" s="314"/>
      <c r="J249" s="314"/>
      <c r="K249" s="315"/>
      <c r="L249" s="736"/>
      <c r="M249" s="318"/>
      <c r="N249" s="315"/>
      <c r="O249" s="314"/>
      <c r="P249" s="314"/>
      <c r="Q249" s="314"/>
      <c r="R249" s="314"/>
      <c r="S249" s="848"/>
      <c r="T249" s="318"/>
      <c r="U249" s="315"/>
      <c r="V249" s="314"/>
      <c r="W249" s="314"/>
      <c r="X249" s="314"/>
      <c r="Y249" s="314"/>
      <c r="Z249" s="314"/>
      <c r="AA249" s="318"/>
      <c r="AB249" s="315"/>
      <c r="AC249" s="314"/>
      <c r="AD249" s="314"/>
      <c r="AE249" s="314"/>
      <c r="AF249" s="314"/>
      <c r="AG249" s="324"/>
      <c r="AH249" s="155"/>
      <c r="AI249" s="155"/>
      <c r="AJ249" s="322"/>
      <c r="AK249" s="155"/>
      <c r="AL249" s="132"/>
    </row>
    <row r="250">
      <c r="A250" s="314"/>
      <c r="B250" s="313"/>
      <c r="C250" s="312"/>
      <c r="D250" s="313"/>
      <c r="E250" s="314"/>
      <c r="F250" s="318"/>
      <c r="G250" s="315"/>
      <c r="H250" s="314"/>
      <c r="I250" s="314"/>
      <c r="J250" s="314"/>
      <c r="K250" s="315"/>
      <c r="L250" s="736"/>
      <c r="M250" s="318"/>
      <c r="N250" s="315"/>
      <c r="O250" s="314"/>
      <c r="P250" s="314"/>
      <c r="Q250" s="314"/>
      <c r="R250" s="314"/>
      <c r="S250" s="848"/>
      <c r="T250" s="318"/>
      <c r="U250" s="315"/>
      <c r="V250" s="314"/>
      <c r="W250" s="314"/>
      <c r="X250" s="314"/>
      <c r="Y250" s="314"/>
      <c r="Z250" s="314"/>
      <c r="AA250" s="318"/>
      <c r="AB250" s="315"/>
      <c r="AC250" s="314"/>
      <c r="AD250" s="314"/>
      <c r="AE250" s="314"/>
      <c r="AF250" s="314"/>
      <c r="AG250" s="324"/>
      <c r="AH250" s="155"/>
      <c r="AI250" s="155"/>
      <c r="AJ250" s="322"/>
      <c r="AK250" s="155"/>
      <c r="AL250" s="132"/>
    </row>
    <row r="251">
      <c r="A251" s="314"/>
      <c r="B251" s="313"/>
      <c r="C251" s="312"/>
      <c r="D251" s="313"/>
      <c r="E251" s="314"/>
      <c r="F251" s="318"/>
      <c r="G251" s="315"/>
      <c r="H251" s="314"/>
      <c r="I251" s="314"/>
      <c r="J251" s="314"/>
      <c r="K251" s="315"/>
      <c r="L251" s="736"/>
      <c r="M251" s="318"/>
      <c r="N251" s="315"/>
      <c r="O251" s="314"/>
      <c r="P251" s="314"/>
      <c r="Q251" s="314"/>
      <c r="R251" s="314"/>
      <c r="S251" s="848"/>
      <c r="T251" s="318"/>
      <c r="U251" s="315"/>
      <c r="V251" s="314"/>
      <c r="W251" s="314"/>
      <c r="X251" s="314"/>
      <c r="Y251" s="314"/>
      <c r="Z251" s="314"/>
      <c r="AA251" s="318"/>
      <c r="AB251" s="315"/>
      <c r="AC251" s="314"/>
      <c r="AD251" s="314"/>
      <c r="AE251" s="314"/>
      <c r="AF251" s="314"/>
      <c r="AG251" s="324"/>
      <c r="AH251" s="155"/>
      <c r="AI251" s="155"/>
      <c r="AJ251" s="322"/>
      <c r="AK251" s="155"/>
      <c r="AL251" s="132"/>
    </row>
    <row r="252">
      <c r="A252" s="314"/>
      <c r="B252" s="313"/>
      <c r="C252" s="312"/>
      <c r="D252" s="313"/>
      <c r="E252" s="314"/>
      <c r="F252" s="318"/>
      <c r="G252" s="315"/>
      <c r="H252" s="314"/>
      <c r="I252" s="314"/>
      <c r="J252" s="314"/>
      <c r="K252" s="315"/>
      <c r="L252" s="736"/>
      <c r="M252" s="318"/>
      <c r="N252" s="315"/>
      <c r="O252" s="314"/>
      <c r="P252" s="314"/>
      <c r="Q252" s="314"/>
      <c r="R252" s="314"/>
      <c r="S252" s="848"/>
      <c r="T252" s="318"/>
      <c r="U252" s="315"/>
      <c r="V252" s="314"/>
      <c r="W252" s="314"/>
      <c r="X252" s="314"/>
      <c r="Y252" s="314"/>
      <c r="Z252" s="314"/>
      <c r="AA252" s="318"/>
      <c r="AB252" s="315"/>
      <c r="AC252" s="314"/>
      <c r="AD252" s="314"/>
      <c r="AE252" s="314"/>
      <c r="AF252" s="314"/>
      <c r="AG252" s="324"/>
      <c r="AH252" s="155"/>
      <c r="AI252" s="155"/>
      <c r="AJ252" s="322"/>
      <c r="AK252" s="155"/>
      <c r="AL252" s="132"/>
    </row>
    <row r="253">
      <c r="A253" s="314"/>
      <c r="B253" s="313"/>
      <c r="C253" s="312"/>
      <c r="D253" s="313"/>
      <c r="E253" s="314"/>
      <c r="F253" s="318"/>
      <c r="G253" s="315"/>
      <c r="H253" s="314"/>
      <c r="I253" s="314"/>
      <c r="J253" s="314"/>
      <c r="K253" s="315"/>
      <c r="L253" s="736"/>
      <c r="M253" s="318"/>
      <c r="N253" s="315"/>
      <c r="O253" s="314"/>
      <c r="P253" s="314"/>
      <c r="Q253" s="314"/>
      <c r="R253" s="314"/>
      <c r="S253" s="848"/>
      <c r="T253" s="318"/>
      <c r="U253" s="315"/>
      <c r="V253" s="314"/>
      <c r="W253" s="314"/>
      <c r="X253" s="314"/>
      <c r="Y253" s="314"/>
      <c r="Z253" s="314"/>
      <c r="AA253" s="318"/>
      <c r="AB253" s="315"/>
      <c r="AC253" s="314"/>
      <c r="AD253" s="314"/>
      <c r="AE253" s="314"/>
      <c r="AF253" s="314"/>
      <c r="AG253" s="324"/>
      <c r="AH253" s="155"/>
      <c r="AI253" s="155"/>
      <c r="AJ253" s="322"/>
      <c r="AK253" s="155"/>
      <c r="AL253" s="132"/>
    </row>
    <row r="254">
      <c r="A254" s="314"/>
      <c r="B254" s="313"/>
      <c r="C254" s="312"/>
      <c r="D254" s="313"/>
      <c r="E254" s="314"/>
      <c r="F254" s="318"/>
      <c r="G254" s="315"/>
      <c r="H254" s="314"/>
      <c r="I254" s="314"/>
      <c r="J254" s="314"/>
      <c r="K254" s="315"/>
      <c r="L254" s="736"/>
      <c r="M254" s="318"/>
      <c r="N254" s="315"/>
      <c r="O254" s="314"/>
      <c r="P254" s="314"/>
      <c r="Q254" s="314"/>
      <c r="R254" s="314"/>
      <c r="S254" s="848"/>
      <c r="T254" s="318"/>
      <c r="U254" s="315"/>
      <c r="V254" s="314"/>
      <c r="W254" s="314"/>
      <c r="X254" s="314"/>
      <c r="Y254" s="314"/>
      <c r="Z254" s="314"/>
      <c r="AA254" s="318"/>
      <c r="AB254" s="315"/>
      <c r="AC254" s="314"/>
      <c r="AD254" s="314"/>
      <c r="AE254" s="314"/>
      <c r="AF254" s="314"/>
      <c r="AG254" s="324"/>
      <c r="AH254" s="155"/>
      <c r="AI254" s="155"/>
      <c r="AJ254" s="322"/>
      <c r="AK254" s="155"/>
      <c r="AL254" s="132"/>
    </row>
    <row r="255">
      <c r="A255" s="314"/>
      <c r="B255" s="313"/>
      <c r="C255" s="312"/>
      <c r="D255" s="313"/>
      <c r="E255" s="314"/>
      <c r="F255" s="318"/>
      <c r="G255" s="315"/>
      <c r="H255" s="314"/>
      <c r="I255" s="314"/>
      <c r="J255" s="314"/>
      <c r="K255" s="315"/>
      <c r="L255" s="736"/>
      <c r="M255" s="318"/>
      <c r="N255" s="315"/>
      <c r="O255" s="314"/>
      <c r="P255" s="314"/>
      <c r="Q255" s="314"/>
      <c r="R255" s="314"/>
      <c r="S255" s="848"/>
      <c r="T255" s="318"/>
      <c r="U255" s="315"/>
      <c r="V255" s="314"/>
      <c r="W255" s="314"/>
      <c r="X255" s="314"/>
      <c r="Y255" s="314"/>
      <c r="Z255" s="314"/>
      <c r="AA255" s="318"/>
      <c r="AB255" s="315"/>
      <c r="AC255" s="314"/>
      <c r="AD255" s="314"/>
      <c r="AE255" s="314"/>
      <c r="AF255" s="314"/>
      <c r="AG255" s="324"/>
      <c r="AH255" s="155"/>
      <c r="AI255" s="155"/>
      <c r="AJ255" s="322"/>
      <c r="AK255" s="155"/>
      <c r="AL255" s="132"/>
    </row>
    <row r="256">
      <c r="A256" s="314"/>
      <c r="B256" s="313"/>
      <c r="C256" s="312"/>
      <c r="D256" s="313"/>
      <c r="E256" s="314"/>
      <c r="F256" s="318"/>
      <c r="G256" s="315"/>
      <c r="H256" s="314"/>
      <c r="I256" s="314"/>
      <c r="J256" s="314"/>
      <c r="K256" s="315"/>
      <c r="L256" s="736"/>
      <c r="M256" s="318"/>
      <c r="N256" s="315"/>
      <c r="O256" s="314"/>
      <c r="P256" s="314"/>
      <c r="Q256" s="314"/>
      <c r="R256" s="314"/>
      <c r="S256" s="848"/>
      <c r="T256" s="318"/>
      <c r="U256" s="315"/>
      <c r="V256" s="314"/>
      <c r="W256" s="314"/>
      <c r="X256" s="314"/>
      <c r="Y256" s="314"/>
      <c r="Z256" s="314"/>
      <c r="AA256" s="318"/>
      <c r="AB256" s="315"/>
      <c r="AC256" s="314"/>
      <c r="AD256" s="314"/>
      <c r="AE256" s="314"/>
      <c r="AF256" s="314"/>
      <c r="AG256" s="324"/>
      <c r="AH256" s="155"/>
      <c r="AI256" s="155"/>
      <c r="AJ256" s="322"/>
      <c r="AK256" s="155"/>
      <c r="AL256" s="132"/>
    </row>
    <row r="257">
      <c r="A257" s="314"/>
      <c r="B257" s="313"/>
      <c r="C257" s="312"/>
      <c r="D257" s="313"/>
      <c r="E257" s="314"/>
      <c r="F257" s="318"/>
      <c r="G257" s="315"/>
      <c r="H257" s="314"/>
      <c r="I257" s="314"/>
      <c r="J257" s="314"/>
      <c r="K257" s="315"/>
      <c r="L257" s="736"/>
      <c r="M257" s="318"/>
      <c r="N257" s="315"/>
      <c r="O257" s="314"/>
      <c r="P257" s="314"/>
      <c r="Q257" s="314"/>
      <c r="R257" s="314"/>
      <c r="S257" s="848"/>
      <c r="T257" s="318"/>
      <c r="U257" s="315"/>
      <c r="V257" s="314"/>
      <c r="W257" s="314"/>
      <c r="X257" s="314"/>
      <c r="Y257" s="314"/>
      <c r="Z257" s="314"/>
      <c r="AA257" s="318"/>
      <c r="AB257" s="315"/>
      <c r="AC257" s="314"/>
      <c r="AD257" s="314"/>
      <c r="AE257" s="314"/>
      <c r="AF257" s="314"/>
      <c r="AG257" s="324"/>
      <c r="AH257" s="155"/>
      <c r="AI257" s="155"/>
      <c r="AJ257" s="322"/>
      <c r="AK257" s="155"/>
      <c r="AL257" s="132"/>
    </row>
    <row r="258">
      <c r="A258" s="314"/>
      <c r="B258" s="313"/>
      <c r="C258" s="312"/>
      <c r="D258" s="313"/>
      <c r="E258" s="314"/>
      <c r="F258" s="318"/>
      <c r="G258" s="315"/>
      <c r="H258" s="314"/>
      <c r="I258" s="314"/>
      <c r="J258" s="314"/>
      <c r="K258" s="315"/>
      <c r="L258" s="736"/>
      <c r="M258" s="318"/>
      <c r="N258" s="315"/>
      <c r="O258" s="314"/>
      <c r="P258" s="314"/>
      <c r="Q258" s="314"/>
      <c r="R258" s="314"/>
      <c r="S258" s="848"/>
      <c r="T258" s="318"/>
      <c r="U258" s="315"/>
      <c r="V258" s="314"/>
      <c r="W258" s="314"/>
      <c r="X258" s="314"/>
      <c r="Y258" s="314"/>
      <c r="Z258" s="314"/>
      <c r="AA258" s="318"/>
      <c r="AB258" s="315"/>
      <c r="AC258" s="314"/>
      <c r="AD258" s="314"/>
      <c r="AE258" s="314"/>
      <c r="AF258" s="314"/>
      <c r="AG258" s="324"/>
      <c r="AH258" s="155"/>
      <c r="AI258" s="155"/>
      <c r="AJ258" s="322"/>
      <c r="AK258" s="155"/>
      <c r="AL258" s="132"/>
    </row>
    <row r="259">
      <c r="A259" s="314"/>
      <c r="B259" s="313"/>
      <c r="C259" s="312"/>
      <c r="D259" s="313"/>
      <c r="E259" s="314"/>
      <c r="F259" s="318"/>
      <c r="G259" s="315"/>
      <c r="H259" s="314"/>
      <c r="I259" s="314"/>
      <c r="J259" s="314"/>
      <c r="K259" s="315"/>
      <c r="L259" s="736"/>
      <c r="M259" s="318"/>
      <c r="N259" s="315"/>
      <c r="O259" s="314"/>
      <c r="P259" s="314"/>
      <c r="Q259" s="314"/>
      <c r="R259" s="314"/>
      <c r="S259" s="848"/>
      <c r="T259" s="318"/>
      <c r="U259" s="315"/>
      <c r="V259" s="314"/>
      <c r="W259" s="314"/>
      <c r="X259" s="314"/>
      <c r="Y259" s="314"/>
      <c r="Z259" s="314"/>
      <c r="AA259" s="318"/>
      <c r="AB259" s="315"/>
      <c r="AC259" s="314"/>
      <c r="AD259" s="314"/>
      <c r="AE259" s="314"/>
      <c r="AF259" s="314"/>
      <c r="AG259" s="324"/>
      <c r="AH259" s="155"/>
      <c r="AI259" s="155"/>
      <c r="AJ259" s="322"/>
      <c r="AK259" s="155"/>
      <c r="AL259" s="132"/>
    </row>
    <row r="260">
      <c r="A260" s="314"/>
      <c r="B260" s="313"/>
      <c r="C260" s="312"/>
      <c r="D260" s="313"/>
      <c r="E260" s="314"/>
      <c r="F260" s="318"/>
      <c r="G260" s="315"/>
      <c r="H260" s="314"/>
      <c r="I260" s="314"/>
      <c r="J260" s="314"/>
      <c r="K260" s="315"/>
      <c r="L260" s="736"/>
      <c r="M260" s="318"/>
      <c r="N260" s="315"/>
      <c r="O260" s="314"/>
      <c r="P260" s="314"/>
      <c r="Q260" s="314"/>
      <c r="R260" s="314"/>
      <c r="S260" s="848"/>
      <c r="T260" s="318"/>
      <c r="U260" s="315"/>
      <c r="V260" s="314"/>
      <c r="W260" s="314"/>
      <c r="X260" s="314"/>
      <c r="Y260" s="314"/>
      <c r="Z260" s="314"/>
      <c r="AA260" s="318"/>
      <c r="AB260" s="315"/>
      <c r="AC260" s="314"/>
      <c r="AD260" s="314"/>
      <c r="AE260" s="314"/>
      <c r="AF260" s="314"/>
      <c r="AG260" s="324"/>
      <c r="AH260" s="155"/>
      <c r="AI260" s="155"/>
      <c r="AJ260" s="322"/>
      <c r="AK260" s="155"/>
      <c r="AL260" s="132"/>
    </row>
    <row r="261">
      <c r="A261" s="435"/>
      <c r="B261" s="313"/>
      <c r="C261" s="745"/>
      <c r="D261" s="313"/>
      <c r="E261" s="435"/>
      <c r="F261" s="318"/>
      <c r="G261" s="315"/>
      <c r="H261" s="435"/>
      <c r="I261" s="435"/>
      <c r="J261" s="314"/>
      <c r="K261" s="744"/>
      <c r="L261" s="839"/>
      <c r="M261" s="318"/>
      <c r="N261" s="315"/>
      <c r="O261" s="314"/>
      <c r="P261" s="435"/>
      <c r="Q261" s="435"/>
      <c r="R261" s="435"/>
      <c r="S261" s="849"/>
      <c r="T261" s="740"/>
      <c r="U261" s="744"/>
      <c r="V261" s="435"/>
      <c r="W261" s="435"/>
      <c r="X261" s="435"/>
      <c r="Y261" s="435"/>
      <c r="Z261" s="435"/>
      <c r="AA261" s="740"/>
      <c r="AB261" s="744"/>
      <c r="AC261" s="435"/>
      <c r="AD261" s="435"/>
      <c r="AE261" s="435"/>
      <c r="AF261" s="435"/>
      <c r="AG261" s="324"/>
      <c r="AH261" s="180"/>
      <c r="AI261" s="155"/>
      <c r="AJ261" s="322"/>
      <c r="AK261" s="155"/>
      <c r="AL261" s="132"/>
    </row>
    <row r="262">
      <c r="A262" s="435"/>
      <c r="B262" s="313"/>
      <c r="C262" s="312"/>
      <c r="D262" s="437"/>
      <c r="E262" s="314"/>
      <c r="F262" s="318"/>
      <c r="G262" s="315"/>
      <c r="H262" s="314"/>
      <c r="I262" s="314"/>
      <c r="J262" s="314"/>
      <c r="K262" s="315"/>
      <c r="L262" s="736"/>
      <c r="M262" s="740"/>
      <c r="N262" s="744"/>
      <c r="O262" s="314"/>
      <c r="P262" s="314"/>
      <c r="Q262" s="314"/>
      <c r="R262" s="314"/>
      <c r="S262" s="848"/>
      <c r="T262" s="318"/>
      <c r="U262" s="315"/>
      <c r="V262" s="314"/>
      <c r="W262" s="314"/>
      <c r="X262" s="314"/>
      <c r="Y262" s="314"/>
      <c r="Z262" s="314"/>
      <c r="AA262" s="318"/>
      <c r="AB262" s="315"/>
      <c r="AC262" s="314"/>
      <c r="AD262" s="314"/>
      <c r="AE262" s="314"/>
      <c r="AF262" s="314"/>
      <c r="AG262" s="324"/>
      <c r="AH262" s="180"/>
      <c r="AI262" s="155"/>
      <c r="AJ262" s="322"/>
      <c r="AK262" s="155"/>
      <c r="AL262" s="132"/>
    </row>
    <row r="263">
      <c r="A263" s="435"/>
      <c r="B263" s="437"/>
      <c r="C263" s="745"/>
      <c r="D263" s="437"/>
      <c r="E263" s="435"/>
      <c r="F263" s="318"/>
      <c r="G263" s="315"/>
      <c r="H263" s="314"/>
      <c r="I263" s="435"/>
      <c r="J263" s="435"/>
      <c r="K263" s="744"/>
      <c r="L263" s="839"/>
      <c r="M263" s="740"/>
      <c r="N263" s="744"/>
      <c r="O263" s="314"/>
      <c r="P263" s="435"/>
      <c r="Q263" s="314"/>
      <c r="R263" s="435"/>
      <c r="S263" s="849"/>
      <c r="T263" s="740"/>
      <c r="U263" s="744"/>
      <c r="V263" s="435"/>
      <c r="W263" s="435"/>
      <c r="X263" s="435"/>
      <c r="Y263" s="435"/>
      <c r="Z263" s="435"/>
      <c r="AA263" s="740"/>
      <c r="AB263" s="744"/>
      <c r="AC263" s="435"/>
      <c r="AD263" s="435"/>
      <c r="AE263" s="435"/>
      <c r="AF263" s="435"/>
      <c r="AG263" s="324"/>
      <c r="AH263" s="180"/>
      <c r="AI263" s="155"/>
      <c r="AJ263" s="322"/>
      <c r="AK263" s="155"/>
      <c r="AL263" s="132"/>
    </row>
    <row r="264">
      <c r="A264" s="435"/>
      <c r="B264" s="313"/>
      <c r="C264" s="312"/>
      <c r="D264" s="437"/>
      <c r="E264" s="314"/>
      <c r="F264" s="318"/>
      <c r="G264" s="315"/>
      <c r="H264" s="314"/>
      <c r="I264" s="435"/>
      <c r="J264" s="314"/>
      <c r="K264" s="744"/>
      <c r="L264" s="736"/>
      <c r="M264" s="318"/>
      <c r="N264" s="315"/>
      <c r="O264" s="314"/>
      <c r="P264" s="314"/>
      <c r="Q264" s="435"/>
      <c r="R264" s="435"/>
      <c r="S264" s="848"/>
      <c r="T264" s="318"/>
      <c r="U264" s="315"/>
      <c r="V264" s="314"/>
      <c r="W264" s="314"/>
      <c r="X264" s="314"/>
      <c r="Y264" s="314"/>
      <c r="Z264" s="314"/>
      <c r="AA264" s="318"/>
      <c r="AB264" s="315"/>
      <c r="AC264" s="314"/>
      <c r="AD264" s="314"/>
      <c r="AE264" s="314"/>
      <c r="AF264" s="314"/>
      <c r="AG264" s="324"/>
      <c r="AH264" s="180"/>
      <c r="AI264" s="155"/>
      <c r="AJ264" s="322"/>
      <c r="AK264" s="155"/>
      <c r="AL264" s="132"/>
    </row>
    <row r="265">
      <c r="A265" s="435"/>
      <c r="B265" s="437"/>
      <c r="C265" s="745"/>
      <c r="D265" s="437"/>
      <c r="E265" s="435"/>
      <c r="F265" s="318"/>
      <c r="G265" s="315"/>
      <c r="H265" s="435"/>
      <c r="I265" s="435"/>
      <c r="J265" s="435"/>
      <c r="K265" s="744"/>
      <c r="L265" s="839"/>
      <c r="M265" s="740"/>
      <c r="N265" s="744"/>
      <c r="O265" s="314"/>
      <c r="P265" s="435"/>
      <c r="Q265" s="435"/>
      <c r="R265" s="435"/>
      <c r="S265" s="849"/>
      <c r="T265" s="740"/>
      <c r="U265" s="744"/>
      <c r="V265" s="435"/>
      <c r="W265" s="435"/>
      <c r="X265" s="435"/>
      <c r="Y265" s="435"/>
      <c r="Z265" s="435"/>
      <c r="AA265" s="740"/>
      <c r="AB265" s="744"/>
      <c r="AC265" s="435"/>
      <c r="AD265" s="435"/>
      <c r="AE265" s="435"/>
      <c r="AF265" s="435"/>
      <c r="AG265" s="324"/>
      <c r="AH265" s="180"/>
      <c r="AI265" s="155"/>
      <c r="AJ265" s="322"/>
      <c r="AK265" s="155"/>
      <c r="AL265" s="132"/>
    </row>
    <row r="266">
      <c r="A266" s="435"/>
      <c r="B266" s="437"/>
      <c r="C266" s="312"/>
      <c r="D266" s="437"/>
      <c r="E266" s="314"/>
      <c r="F266" s="318"/>
      <c r="G266" s="315"/>
      <c r="H266" s="314"/>
      <c r="I266" s="314"/>
      <c r="J266" s="314"/>
      <c r="K266" s="744"/>
      <c r="L266" s="736"/>
      <c r="M266" s="318"/>
      <c r="N266" s="315"/>
      <c r="O266" s="314"/>
      <c r="P266" s="314"/>
      <c r="Q266" s="314"/>
      <c r="R266" s="314"/>
      <c r="S266" s="849"/>
      <c r="T266" s="740"/>
      <c r="U266" s="744"/>
      <c r="V266" s="435"/>
      <c r="W266" s="435"/>
      <c r="X266" s="435"/>
      <c r="Y266" s="435"/>
      <c r="Z266" s="435"/>
      <c r="AA266" s="740"/>
      <c r="AB266" s="744"/>
      <c r="AC266" s="435"/>
      <c r="AD266" s="435"/>
      <c r="AE266" s="435"/>
      <c r="AF266" s="435"/>
      <c r="AG266" s="324"/>
      <c r="AH266" s="180"/>
      <c r="AI266" s="155"/>
      <c r="AJ266" s="322"/>
      <c r="AK266" s="155"/>
      <c r="AL266" s="132"/>
    </row>
    <row r="267">
      <c r="A267" s="435"/>
      <c r="B267" s="437"/>
      <c r="C267" s="745"/>
      <c r="D267" s="437"/>
      <c r="E267" s="435"/>
      <c r="F267" s="318"/>
      <c r="G267" s="315"/>
      <c r="H267" s="435"/>
      <c r="I267" s="314"/>
      <c r="J267" s="314"/>
      <c r="K267" s="744"/>
      <c r="L267" s="736"/>
      <c r="M267" s="318"/>
      <c r="N267" s="315"/>
      <c r="O267" s="314"/>
      <c r="P267" s="435"/>
      <c r="Q267" s="435"/>
      <c r="R267" s="435"/>
      <c r="S267" s="849"/>
      <c r="T267" s="740"/>
      <c r="U267" s="744"/>
      <c r="V267" s="435"/>
      <c r="W267" s="435"/>
      <c r="X267" s="435"/>
      <c r="Y267" s="435"/>
      <c r="Z267" s="435"/>
      <c r="AA267" s="740"/>
      <c r="AB267" s="744"/>
      <c r="AC267" s="435"/>
      <c r="AD267" s="435"/>
      <c r="AE267" s="435"/>
      <c r="AF267" s="435"/>
      <c r="AG267" s="324"/>
      <c r="AH267" s="180"/>
      <c r="AI267" s="155"/>
      <c r="AJ267" s="322"/>
      <c r="AK267" s="155"/>
      <c r="AL267" s="132"/>
    </row>
    <row r="268">
      <c r="A268" s="435"/>
      <c r="B268" s="437"/>
      <c r="C268" s="745"/>
      <c r="D268" s="437"/>
      <c r="E268" s="435"/>
      <c r="F268" s="318"/>
      <c r="G268" s="315"/>
      <c r="H268" s="435"/>
      <c r="I268" s="435"/>
      <c r="J268" s="435"/>
      <c r="K268" s="744"/>
      <c r="L268" s="839"/>
      <c r="M268" s="740"/>
      <c r="N268" s="744"/>
      <c r="O268" s="314"/>
      <c r="P268" s="435"/>
      <c r="Q268" s="435"/>
      <c r="R268" s="435"/>
      <c r="S268" s="849"/>
      <c r="T268" s="740"/>
      <c r="U268" s="744"/>
      <c r="V268" s="435"/>
      <c r="W268" s="435"/>
      <c r="X268" s="435"/>
      <c r="Y268" s="435"/>
      <c r="Z268" s="435"/>
      <c r="AA268" s="740"/>
      <c r="AB268" s="744"/>
      <c r="AC268" s="435"/>
      <c r="AD268" s="435"/>
      <c r="AE268" s="435"/>
      <c r="AF268" s="435"/>
      <c r="AG268" s="324"/>
      <c r="AH268" s="180"/>
      <c r="AI268" s="155"/>
      <c r="AJ268" s="322"/>
      <c r="AK268" s="155"/>
      <c r="AL268" s="132"/>
    </row>
    <row r="269">
      <c r="A269" s="435"/>
      <c r="B269" s="313"/>
      <c r="C269" s="312"/>
      <c r="D269" s="313"/>
      <c r="E269" s="435"/>
      <c r="F269" s="318"/>
      <c r="G269" s="315"/>
      <c r="H269" s="435"/>
      <c r="I269" s="314"/>
      <c r="J269" s="314"/>
      <c r="K269" s="315"/>
      <c r="L269" s="736"/>
      <c r="M269" s="318"/>
      <c r="N269" s="315"/>
      <c r="O269" s="314"/>
      <c r="P269" s="314"/>
      <c r="Q269" s="314"/>
      <c r="R269" s="314"/>
      <c r="S269" s="848"/>
      <c r="T269" s="318"/>
      <c r="U269" s="315"/>
      <c r="V269" s="314"/>
      <c r="W269" s="314"/>
      <c r="X269" s="314"/>
      <c r="Y269" s="314"/>
      <c r="Z269" s="314"/>
      <c r="AA269" s="318"/>
      <c r="AB269" s="315"/>
      <c r="AC269" s="314"/>
      <c r="AD269" s="314"/>
      <c r="AE269" s="314"/>
      <c r="AF269" s="314"/>
      <c r="AG269" s="324"/>
      <c r="AH269" s="180"/>
      <c r="AI269" s="155"/>
      <c r="AJ269" s="322"/>
      <c r="AK269" s="155"/>
      <c r="AL269" s="132"/>
    </row>
    <row r="270">
      <c r="A270" s="435"/>
      <c r="B270" s="313"/>
      <c r="C270" s="312"/>
      <c r="D270" s="437"/>
      <c r="E270" s="314"/>
      <c r="F270" s="318"/>
      <c r="G270" s="315"/>
      <c r="H270" s="435"/>
      <c r="I270" s="314"/>
      <c r="J270" s="435"/>
      <c r="K270" s="744"/>
      <c r="L270" s="736"/>
      <c r="M270" s="740"/>
      <c r="N270" s="315"/>
      <c r="O270" s="314"/>
      <c r="P270" s="314"/>
      <c r="Q270" s="314"/>
      <c r="R270" s="435"/>
      <c r="S270" s="849"/>
      <c r="T270" s="740"/>
      <c r="U270" s="744"/>
      <c r="V270" s="435"/>
      <c r="W270" s="435"/>
      <c r="X270" s="435"/>
      <c r="Y270" s="435"/>
      <c r="Z270" s="435"/>
      <c r="AA270" s="740"/>
      <c r="AB270" s="744"/>
      <c r="AC270" s="435"/>
      <c r="AD270" s="435"/>
      <c r="AE270" s="435"/>
      <c r="AF270" s="435"/>
      <c r="AG270" s="324"/>
      <c r="AH270" s="180"/>
      <c r="AI270" s="155"/>
      <c r="AJ270" s="322"/>
      <c r="AK270" s="155"/>
      <c r="AL270" s="132"/>
    </row>
    <row r="271">
      <c r="A271" s="435"/>
      <c r="B271" s="313"/>
      <c r="C271" s="312"/>
      <c r="D271" s="313"/>
      <c r="E271" s="314"/>
      <c r="F271" s="318"/>
      <c r="G271" s="315"/>
      <c r="H271" s="314"/>
      <c r="I271" s="314"/>
      <c r="J271" s="314"/>
      <c r="K271" s="315"/>
      <c r="L271" s="736"/>
      <c r="M271" s="318"/>
      <c r="N271" s="315"/>
      <c r="O271" s="314"/>
      <c r="P271" s="314"/>
      <c r="Q271" s="435"/>
      <c r="R271" s="314"/>
      <c r="S271" s="849"/>
      <c r="T271" s="740"/>
      <c r="U271" s="744"/>
      <c r="V271" s="435"/>
      <c r="W271" s="435"/>
      <c r="X271" s="435"/>
      <c r="Y271" s="435"/>
      <c r="Z271" s="435"/>
      <c r="AA271" s="740"/>
      <c r="AB271" s="744"/>
      <c r="AC271" s="435"/>
      <c r="AD271" s="435"/>
      <c r="AE271" s="435"/>
      <c r="AF271" s="435"/>
      <c r="AG271" s="324"/>
      <c r="AH271" s="180"/>
      <c r="AI271" s="155"/>
      <c r="AJ271" s="322"/>
      <c r="AK271" s="155"/>
      <c r="AL271" s="132"/>
    </row>
    <row r="272">
      <c r="A272" s="435"/>
      <c r="B272" s="437"/>
      <c r="C272" s="312"/>
      <c r="D272" s="313"/>
      <c r="E272" s="314"/>
      <c r="F272" s="318"/>
      <c r="G272" s="315"/>
      <c r="H272" s="435"/>
      <c r="I272" s="314"/>
      <c r="J272" s="435"/>
      <c r="K272" s="744"/>
      <c r="L272" s="736"/>
      <c r="M272" s="318"/>
      <c r="N272" s="744"/>
      <c r="O272" s="314"/>
      <c r="P272" s="314"/>
      <c r="Q272" s="314"/>
      <c r="R272" s="435"/>
      <c r="S272" s="849"/>
      <c r="T272" s="740"/>
      <c r="U272" s="744"/>
      <c r="V272" s="435"/>
      <c r="W272" s="435"/>
      <c r="X272" s="435"/>
      <c r="Y272" s="435"/>
      <c r="Z272" s="435"/>
      <c r="AA272" s="740"/>
      <c r="AB272" s="744"/>
      <c r="AC272" s="435"/>
      <c r="AD272" s="435"/>
      <c r="AE272" s="435"/>
      <c r="AF272" s="435"/>
      <c r="AG272" s="324"/>
      <c r="AH272" s="180"/>
      <c r="AI272" s="155"/>
      <c r="AJ272" s="322"/>
      <c r="AK272" s="155"/>
      <c r="AL272" s="132"/>
    </row>
    <row r="273">
      <c r="A273" s="435"/>
      <c r="B273" s="313"/>
      <c r="C273" s="745"/>
      <c r="D273" s="437"/>
      <c r="E273" s="435"/>
      <c r="F273" s="318"/>
      <c r="G273" s="315"/>
      <c r="H273" s="435"/>
      <c r="I273" s="314"/>
      <c r="J273" s="314"/>
      <c r="K273" s="744"/>
      <c r="L273" s="736"/>
      <c r="M273" s="318"/>
      <c r="N273" s="315"/>
      <c r="O273" s="314"/>
      <c r="P273" s="314"/>
      <c r="Q273" s="314"/>
      <c r="R273" s="314"/>
      <c r="S273" s="849"/>
      <c r="T273" s="740"/>
      <c r="U273" s="744"/>
      <c r="V273" s="435"/>
      <c r="W273" s="435"/>
      <c r="X273" s="435"/>
      <c r="Y273" s="435"/>
      <c r="Z273" s="435"/>
      <c r="AA273" s="740"/>
      <c r="AB273" s="744"/>
      <c r="AC273" s="435"/>
      <c r="AD273" s="435"/>
      <c r="AE273" s="435"/>
      <c r="AF273" s="435"/>
      <c r="AG273" s="324"/>
      <c r="AH273" s="180"/>
      <c r="AI273" s="155"/>
      <c r="AJ273" s="322"/>
      <c r="AK273" s="155"/>
      <c r="AL273" s="132"/>
    </row>
    <row r="274">
      <c r="A274" s="435"/>
      <c r="B274" s="313"/>
      <c r="C274" s="312"/>
      <c r="D274" s="313"/>
      <c r="E274" s="314"/>
      <c r="F274" s="318"/>
      <c r="G274" s="315"/>
      <c r="H274" s="435"/>
      <c r="I274" s="314"/>
      <c r="J274" s="314"/>
      <c r="K274" s="315"/>
      <c r="L274" s="736"/>
      <c r="M274" s="318"/>
      <c r="N274" s="315"/>
      <c r="O274" s="314"/>
      <c r="P274" s="314"/>
      <c r="Q274" s="314"/>
      <c r="R274" s="435"/>
      <c r="S274" s="848"/>
      <c r="T274" s="318"/>
      <c r="U274" s="315"/>
      <c r="V274" s="314"/>
      <c r="W274" s="314"/>
      <c r="X274" s="314"/>
      <c r="Y274" s="314"/>
      <c r="Z274" s="314"/>
      <c r="AA274" s="318"/>
      <c r="AB274" s="315"/>
      <c r="AC274" s="314"/>
      <c r="AD274" s="314"/>
      <c r="AE274" s="314"/>
      <c r="AF274" s="314"/>
      <c r="AG274" s="324"/>
      <c r="AH274" s="180"/>
      <c r="AI274" s="155"/>
      <c r="AJ274" s="322"/>
      <c r="AK274" s="155"/>
      <c r="AL274" s="132"/>
    </row>
    <row r="275">
      <c r="A275" s="435"/>
      <c r="B275" s="437"/>
      <c r="C275" s="745"/>
      <c r="D275" s="437"/>
      <c r="E275" s="435"/>
      <c r="F275" s="318"/>
      <c r="G275" s="315"/>
      <c r="H275" s="435"/>
      <c r="I275" s="435"/>
      <c r="J275" s="435"/>
      <c r="K275" s="744"/>
      <c r="L275" s="839"/>
      <c r="M275" s="740"/>
      <c r="N275" s="744"/>
      <c r="O275" s="314"/>
      <c r="P275" s="435"/>
      <c r="Q275" s="435"/>
      <c r="R275" s="435"/>
      <c r="S275" s="849"/>
      <c r="T275" s="740"/>
      <c r="U275" s="744"/>
      <c r="V275" s="435"/>
      <c r="W275" s="435"/>
      <c r="X275" s="435"/>
      <c r="Y275" s="435"/>
      <c r="Z275" s="435"/>
      <c r="AA275" s="740"/>
      <c r="AB275" s="744"/>
      <c r="AC275" s="435"/>
      <c r="AD275" s="435"/>
      <c r="AE275" s="435"/>
      <c r="AF275" s="435"/>
      <c r="AG275" s="324"/>
      <c r="AH275" s="180"/>
      <c r="AI275" s="155"/>
      <c r="AJ275" s="322"/>
      <c r="AK275" s="155"/>
      <c r="AL275" s="132"/>
    </row>
    <row r="276">
      <c r="A276" s="435"/>
      <c r="B276" s="313"/>
      <c r="C276" s="312"/>
      <c r="D276" s="313"/>
      <c r="E276" s="314"/>
      <c r="F276" s="318"/>
      <c r="G276" s="315"/>
      <c r="H276" s="314"/>
      <c r="I276" s="314"/>
      <c r="J276" s="314"/>
      <c r="K276" s="315"/>
      <c r="L276" s="736"/>
      <c r="M276" s="740"/>
      <c r="N276" s="315"/>
      <c r="O276" s="314"/>
      <c r="P276" s="314"/>
      <c r="Q276" s="314"/>
      <c r="R276" s="314"/>
      <c r="S276" s="848"/>
      <c r="T276" s="318"/>
      <c r="U276" s="315"/>
      <c r="V276" s="314"/>
      <c r="W276" s="314"/>
      <c r="X276" s="314"/>
      <c r="Y276" s="314"/>
      <c r="Z276" s="314"/>
      <c r="AA276" s="318"/>
      <c r="AB276" s="315"/>
      <c r="AC276" s="314"/>
      <c r="AD276" s="314"/>
      <c r="AE276" s="314"/>
      <c r="AF276" s="314"/>
      <c r="AG276" s="324"/>
      <c r="AH276" s="180"/>
      <c r="AI276" s="155"/>
      <c r="AJ276" s="322"/>
      <c r="AK276" s="155"/>
      <c r="AL276" s="132"/>
    </row>
    <row r="277">
      <c r="A277" s="435"/>
      <c r="B277" s="313"/>
      <c r="C277" s="745"/>
      <c r="D277" s="437"/>
      <c r="E277" s="435"/>
      <c r="F277" s="318"/>
      <c r="G277" s="315"/>
      <c r="H277" s="435"/>
      <c r="I277" s="435"/>
      <c r="J277" s="435"/>
      <c r="K277" s="744"/>
      <c r="L277" s="736"/>
      <c r="M277" s="740"/>
      <c r="N277" s="744"/>
      <c r="O277" s="314"/>
      <c r="P277" s="435"/>
      <c r="Q277" s="435"/>
      <c r="R277" s="435"/>
      <c r="S277" s="849"/>
      <c r="T277" s="740"/>
      <c r="U277" s="744"/>
      <c r="V277" s="435"/>
      <c r="W277" s="435"/>
      <c r="X277" s="435"/>
      <c r="Y277" s="435"/>
      <c r="Z277" s="435"/>
      <c r="AA277" s="740"/>
      <c r="AB277" s="744"/>
      <c r="AC277" s="435"/>
      <c r="AD277" s="435"/>
      <c r="AE277" s="435"/>
      <c r="AF277" s="435"/>
      <c r="AG277" s="324"/>
      <c r="AH277" s="180"/>
      <c r="AI277" s="155"/>
      <c r="AJ277" s="322"/>
      <c r="AK277" s="155"/>
      <c r="AL277" s="132"/>
    </row>
    <row r="278">
      <c r="A278" s="435"/>
      <c r="B278" s="437"/>
      <c r="C278" s="745"/>
      <c r="D278" s="313"/>
      <c r="E278" s="435"/>
      <c r="F278" s="318"/>
      <c r="G278" s="315"/>
      <c r="H278" s="435"/>
      <c r="I278" s="435"/>
      <c r="J278" s="314"/>
      <c r="K278" s="744"/>
      <c r="L278" s="839"/>
      <c r="M278" s="318"/>
      <c r="N278" s="744"/>
      <c r="O278" s="314"/>
      <c r="P278" s="435"/>
      <c r="Q278" s="314"/>
      <c r="R278" s="435"/>
      <c r="S278" s="849"/>
      <c r="T278" s="740"/>
      <c r="U278" s="744"/>
      <c r="V278" s="435"/>
      <c r="W278" s="435"/>
      <c r="X278" s="435"/>
      <c r="Y278" s="435"/>
      <c r="Z278" s="435"/>
      <c r="AA278" s="740"/>
      <c r="AB278" s="744"/>
      <c r="AC278" s="435"/>
      <c r="AD278" s="435"/>
      <c r="AE278" s="435"/>
      <c r="AF278" s="435"/>
      <c r="AG278" s="324"/>
      <c r="AH278" s="180"/>
      <c r="AI278" s="155"/>
      <c r="AJ278" s="322"/>
      <c r="AK278" s="155"/>
      <c r="AL278" s="132"/>
    </row>
    <row r="279">
      <c r="A279" s="458"/>
      <c r="B279" s="437"/>
      <c r="C279" s="745"/>
      <c r="D279" s="437"/>
      <c r="E279" s="435"/>
      <c r="F279" s="318"/>
      <c r="G279" s="315"/>
      <c r="H279" s="314"/>
      <c r="I279" s="435"/>
      <c r="J279" s="435"/>
      <c r="K279" s="744"/>
      <c r="L279" s="839"/>
      <c r="M279" s="740"/>
      <c r="N279" s="744"/>
      <c r="O279" s="314"/>
      <c r="P279" s="435"/>
      <c r="Q279" s="435"/>
      <c r="R279" s="435"/>
      <c r="S279" s="849"/>
      <c r="T279" s="740"/>
      <c r="U279" s="744"/>
      <c r="V279" s="435"/>
      <c r="W279" s="435"/>
      <c r="X279" s="435"/>
      <c r="Y279" s="435"/>
      <c r="Z279" s="435"/>
      <c r="AA279" s="740"/>
      <c r="AB279" s="744"/>
      <c r="AC279" s="435"/>
      <c r="AD279" s="435"/>
      <c r="AE279" s="435"/>
      <c r="AF279" s="435"/>
      <c r="AG279" s="324"/>
      <c r="AH279" s="180"/>
      <c r="AI279" s="155"/>
      <c r="AJ279" s="322"/>
      <c r="AK279" s="155"/>
      <c r="AL279" s="132"/>
    </row>
    <row r="280">
      <c r="A280" s="458"/>
      <c r="B280" s="437"/>
      <c r="C280" s="745"/>
      <c r="D280" s="437"/>
      <c r="E280" s="435"/>
      <c r="F280" s="318"/>
      <c r="G280" s="315"/>
      <c r="H280" s="314"/>
      <c r="I280" s="314"/>
      <c r="J280" s="435"/>
      <c r="K280" s="744"/>
      <c r="L280" s="839"/>
      <c r="M280" s="740"/>
      <c r="N280" s="744"/>
      <c r="O280" s="314"/>
      <c r="P280" s="435"/>
      <c r="Q280" s="435"/>
      <c r="R280" s="435"/>
      <c r="S280" s="849"/>
      <c r="T280" s="740"/>
      <c r="U280" s="744"/>
      <c r="V280" s="435"/>
      <c r="W280" s="435"/>
      <c r="X280" s="435"/>
      <c r="Y280" s="435"/>
      <c r="Z280" s="435"/>
      <c r="AA280" s="740"/>
      <c r="AB280" s="744"/>
      <c r="AC280" s="435"/>
      <c r="AD280" s="435"/>
      <c r="AE280" s="435"/>
      <c r="AF280" s="435"/>
      <c r="AG280" s="324"/>
      <c r="AH280" s="180"/>
      <c r="AI280" s="155"/>
      <c r="AJ280" s="322"/>
      <c r="AK280" s="155"/>
      <c r="AL280" s="132"/>
    </row>
    <row r="281">
      <c r="A281" s="458"/>
      <c r="B281" s="437"/>
      <c r="C281" s="745"/>
      <c r="D281" s="437"/>
      <c r="E281" s="314"/>
      <c r="F281" s="318"/>
      <c r="G281" s="315"/>
      <c r="H281" s="314"/>
      <c r="I281" s="435"/>
      <c r="J281" s="435"/>
      <c r="K281" s="744"/>
      <c r="L281" s="839"/>
      <c r="M281" s="740"/>
      <c r="N281" s="744"/>
      <c r="O281" s="314"/>
      <c r="P281" s="435"/>
      <c r="Q281" s="314"/>
      <c r="R281" s="435"/>
      <c r="S281" s="849"/>
      <c r="T281" s="740"/>
      <c r="U281" s="744"/>
      <c r="V281" s="435"/>
      <c r="W281" s="435"/>
      <c r="X281" s="435"/>
      <c r="Y281" s="435"/>
      <c r="Z281" s="435"/>
      <c r="AA281" s="740"/>
      <c r="AB281" s="744"/>
      <c r="AC281" s="435"/>
      <c r="AD281" s="435"/>
      <c r="AE281" s="435"/>
      <c r="AF281" s="435"/>
      <c r="AG281" s="324"/>
      <c r="AH281" s="180"/>
      <c r="AI281" s="155"/>
      <c r="AJ281" s="322"/>
      <c r="AK281" s="155"/>
      <c r="AL281" s="132"/>
    </row>
    <row r="282">
      <c r="A282" s="458"/>
      <c r="B282" s="313"/>
      <c r="C282" s="312"/>
      <c r="D282" s="313"/>
      <c r="E282" s="314"/>
      <c r="F282" s="318"/>
      <c r="G282" s="315"/>
      <c r="H282" s="314"/>
      <c r="I282" s="314"/>
      <c r="J282" s="314"/>
      <c r="K282" s="315"/>
      <c r="L282" s="736"/>
      <c r="M282" s="318"/>
      <c r="N282" s="315"/>
      <c r="O282" s="314"/>
      <c r="P282" s="314"/>
      <c r="Q282" s="314"/>
      <c r="R282" s="314"/>
      <c r="S282" s="848"/>
      <c r="T282" s="318"/>
      <c r="U282" s="315"/>
      <c r="V282" s="314"/>
      <c r="W282" s="314"/>
      <c r="X282" s="314"/>
      <c r="Y282" s="314"/>
      <c r="Z282" s="314"/>
      <c r="AA282" s="318"/>
      <c r="AB282" s="315"/>
      <c r="AC282" s="314"/>
      <c r="AD282" s="314"/>
      <c r="AE282" s="314"/>
      <c r="AF282" s="314"/>
      <c r="AG282" s="324"/>
      <c r="AH282" s="180"/>
      <c r="AI282" s="155"/>
      <c r="AJ282" s="322"/>
      <c r="AK282" s="155"/>
      <c r="AL282" s="132"/>
    </row>
    <row r="283">
      <c r="A283" s="458"/>
      <c r="B283" s="437"/>
      <c r="C283" s="745"/>
      <c r="D283" s="437"/>
      <c r="E283" s="314"/>
      <c r="F283" s="318"/>
      <c r="G283" s="315"/>
      <c r="H283" s="314"/>
      <c r="I283" s="314"/>
      <c r="J283" s="314"/>
      <c r="K283" s="744"/>
      <c r="L283" s="839"/>
      <c r="M283" s="740"/>
      <c r="N283" s="315"/>
      <c r="O283" s="314"/>
      <c r="P283" s="435"/>
      <c r="Q283" s="435"/>
      <c r="R283" s="435"/>
      <c r="S283" s="849"/>
      <c r="T283" s="740"/>
      <c r="U283" s="744"/>
      <c r="V283" s="435"/>
      <c r="W283" s="435"/>
      <c r="X283" s="435"/>
      <c r="Y283" s="435"/>
      <c r="Z283" s="435"/>
      <c r="AA283" s="740"/>
      <c r="AB283" s="744"/>
      <c r="AC283" s="435"/>
      <c r="AD283" s="435"/>
      <c r="AE283" s="435"/>
      <c r="AF283" s="435"/>
      <c r="AG283" s="324"/>
      <c r="AH283" s="180"/>
      <c r="AI283" s="155"/>
      <c r="AJ283" s="322"/>
      <c r="AK283" s="155"/>
      <c r="AL283" s="132"/>
    </row>
    <row r="284">
      <c r="A284" s="458"/>
      <c r="B284" s="313"/>
      <c r="C284" s="312"/>
      <c r="D284" s="437"/>
      <c r="E284" s="314"/>
      <c r="F284" s="318"/>
      <c r="G284" s="315"/>
      <c r="H284" s="314"/>
      <c r="I284" s="314"/>
      <c r="J284" s="314"/>
      <c r="K284" s="315"/>
      <c r="L284" s="736"/>
      <c r="M284" s="318"/>
      <c r="N284" s="315"/>
      <c r="O284" s="314"/>
      <c r="P284" s="314"/>
      <c r="Q284" s="314"/>
      <c r="R284" s="314"/>
      <c r="S284" s="848"/>
      <c r="T284" s="318"/>
      <c r="U284" s="315"/>
      <c r="V284" s="314"/>
      <c r="W284" s="314"/>
      <c r="X284" s="314"/>
      <c r="Y284" s="314"/>
      <c r="Z284" s="314"/>
      <c r="AA284" s="318"/>
      <c r="AB284" s="315"/>
      <c r="AC284" s="314"/>
      <c r="AD284" s="314"/>
      <c r="AE284" s="314"/>
      <c r="AF284" s="314"/>
      <c r="AG284" s="324"/>
      <c r="AH284" s="180"/>
      <c r="AI284" s="155"/>
      <c r="AJ284" s="322"/>
      <c r="AK284" s="155"/>
      <c r="AL284" s="132"/>
    </row>
    <row r="285">
      <c r="A285" s="458"/>
      <c r="B285" s="313"/>
      <c r="C285" s="745"/>
      <c r="D285" s="313"/>
      <c r="E285" s="314"/>
      <c r="F285" s="318"/>
      <c r="G285" s="315"/>
      <c r="H285" s="314"/>
      <c r="I285" s="435"/>
      <c r="J285" s="314"/>
      <c r="K285" s="315"/>
      <c r="L285" s="839"/>
      <c r="M285" s="318"/>
      <c r="N285" s="315"/>
      <c r="O285" s="314"/>
      <c r="P285" s="314"/>
      <c r="Q285" s="435"/>
      <c r="R285" s="435"/>
      <c r="S285" s="849"/>
      <c r="T285" s="740"/>
      <c r="U285" s="744"/>
      <c r="V285" s="435"/>
      <c r="W285" s="435"/>
      <c r="X285" s="435"/>
      <c r="Y285" s="435"/>
      <c r="Z285" s="435"/>
      <c r="AA285" s="740"/>
      <c r="AB285" s="744"/>
      <c r="AC285" s="435"/>
      <c r="AD285" s="435"/>
      <c r="AE285" s="435"/>
      <c r="AF285" s="435"/>
      <c r="AG285" s="324"/>
      <c r="AH285" s="180"/>
      <c r="AI285" s="155"/>
      <c r="AJ285" s="322"/>
      <c r="AK285" s="155"/>
      <c r="AL285" s="132"/>
    </row>
    <row r="286">
      <c r="A286" s="458"/>
      <c r="B286" s="313"/>
      <c r="C286" s="745"/>
      <c r="D286" s="437"/>
      <c r="E286" s="435"/>
      <c r="F286" s="318"/>
      <c r="G286" s="315"/>
      <c r="H286" s="435"/>
      <c r="I286" s="435"/>
      <c r="J286" s="314"/>
      <c r="K286" s="744"/>
      <c r="L286" s="839"/>
      <c r="M286" s="318"/>
      <c r="N286" s="315"/>
      <c r="O286" s="314"/>
      <c r="P286" s="435"/>
      <c r="Q286" s="435"/>
      <c r="R286" s="435"/>
      <c r="S286" s="849"/>
      <c r="T286" s="740"/>
      <c r="U286" s="744"/>
      <c r="V286" s="435"/>
      <c r="W286" s="435"/>
      <c r="X286" s="435"/>
      <c r="Y286" s="435"/>
      <c r="Z286" s="435"/>
      <c r="AA286" s="740"/>
      <c r="AB286" s="744"/>
      <c r="AC286" s="435"/>
      <c r="AD286" s="435"/>
      <c r="AE286" s="435"/>
      <c r="AF286" s="435"/>
      <c r="AG286" s="324"/>
      <c r="AH286" s="180"/>
      <c r="AI286" s="155"/>
      <c r="AJ286" s="322"/>
      <c r="AK286" s="155"/>
      <c r="AL286" s="132"/>
    </row>
    <row r="287">
      <c r="A287" s="458"/>
      <c r="B287" s="313"/>
      <c r="C287" s="745"/>
      <c r="D287" s="437"/>
      <c r="E287" s="314"/>
      <c r="F287" s="318"/>
      <c r="G287" s="315"/>
      <c r="H287" s="314"/>
      <c r="I287" s="314"/>
      <c r="J287" s="314"/>
      <c r="K287" s="744"/>
      <c r="L287" s="736"/>
      <c r="M287" s="318"/>
      <c r="N287" s="315"/>
      <c r="O287" s="314"/>
      <c r="P287" s="314"/>
      <c r="Q287" s="314"/>
      <c r="R287" s="435"/>
      <c r="S287" s="849"/>
      <c r="T287" s="740"/>
      <c r="U287" s="744"/>
      <c r="V287" s="435"/>
      <c r="W287" s="435"/>
      <c r="X287" s="435"/>
      <c r="Y287" s="435"/>
      <c r="Z287" s="435"/>
      <c r="AA287" s="740"/>
      <c r="AB287" s="744"/>
      <c r="AC287" s="435"/>
      <c r="AD287" s="435"/>
      <c r="AE287" s="435"/>
      <c r="AF287" s="435"/>
      <c r="AG287" s="324"/>
      <c r="AH287" s="180"/>
      <c r="AI287" s="155"/>
      <c r="AJ287" s="322"/>
      <c r="AK287" s="155"/>
      <c r="AL287" s="132"/>
    </row>
    <row r="288">
      <c r="A288" s="458"/>
      <c r="B288" s="437"/>
      <c r="C288" s="745"/>
      <c r="D288" s="437"/>
      <c r="E288" s="435"/>
      <c r="F288" s="318"/>
      <c r="G288" s="315"/>
      <c r="H288" s="435"/>
      <c r="I288" s="435"/>
      <c r="J288" s="435"/>
      <c r="K288" s="744"/>
      <c r="L288" s="839"/>
      <c r="M288" s="740"/>
      <c r="N288" s="744"/>
      <c r="O288" s="314"/>
      <c r="P288" s="435"/>
      <c r="Q288" s="435"/>
      <c r="R288" s="435"/>
      <c r="S288" s="849"/>
      <c r="T288" s="740"/>
      <c r="U288" s="744"/>
      <c r="V288" s="435"/>
      <c r="W288" s="435"/>
      <c r="X288" s="435"/>
      <c r="Y288" s="435"/>
      <c r="Z288" s="435"/>
      <c r="AA288" s="740"/>
      <c r="AB288" s="744"/>
      <c r="AC288" s="435"/>
      <c r="AD288" s="435"/>
      <c r="AE288" s="435"/>
      <c r="AF288" s="435"/>
      <c r="AG288" s="324"/>
      <c r="AH288" s="180"/>
      <c r="AI288" s="155"/>
      <c r="AJ288" s="322"/>
      <c r="AK288" s="155"/>
      <c r="AL288" s="132"/>
    </row>
    <row r="289">
      <c r="A289" s="435"/>
      <c r="B289" s="437"/>
      <c r="C289" s="745"/>
      <c r="D289" s="437"/>
      <c r="E289" s="435"/>
      <c r="F289" s="318"/>
      <c r="G289" s="315"/>
      <c r="H289" s="435"/>
      <c r="I289" s="435"/>
      <c r="J289" s="435"/>
      <c r="K289" s="744"/>
      <c r="L289" s="839"/>
      <c r="M289" s="740"/>
      <c r="N289" s="744"/>
      <c r="O289" s="314"/>
      <c r="P289" s="435"/>
      <c r="Q289" s="435"/>
      <c r="R289" s="435"/>
      <c r="S289" s="849"/>
      <c r="T289" s="740"/>
      <c r="U289" s="744"/>
      <c r="V289" s="435"/>
      <c r="W289" s="435"/>
      <c r="X289" s="435"/>
      <c r="Y289" s="435"/>
      <c r="Z289" s="435"/>
      <c r="AA289" s="740"/>
      <c r="AB289" s="744"/>
      <c r="AC289" s="435"/>
      <c r="AD289" s="435"/>
      <c r="AE289" s="435"/>
      <c r="AF289" s="435"/>
      <c r="AG289" s="324"/>
      <c r="AH289" s="180"/>
      <c r="AI289" s="155"/>
      <c r="AJ289" s="322"/>
      <c r="AK289" s="155"/>
      <c r="AL289" s="132"/>
    </row>
    <row r="290">
      <c r="A290" s="474"/>
      <c r="B290" s="437"/>
      <c r="C290" s="745"/>
      <c r="D290" s="437"/>
      <c r="E290" s="435"/>
      <c r="F290" s="318"/>
      <c r="G290" s="315"/>
      <c r="H290" s="435"/>
      <c r="I290" s="435"/>
      <c r="J290" s="435"/>
      <c r="K290" s="744"/>
      <c r="L290" s="839"/>
      <c r="M290" s="740"/>
      <c r="N290" s="744"/>
      <c r="O290" s="314"/>
      <c r="P290" s="435"/>
      <c r="Q290" s="435"/>
      <c r="R290" s="435"/>
      <c r="S290" s="849"/>
      <c r="T290" s="740"/>
      <c r="U290" s="744"/>
      <c r="V290" s="435"/>
      <c r="W290" s="435"/>
      <c r="X290" s="435"/>
      <c r="Y290" s="435"/>
      <c r="Z290" s="435"/>
      <c r="AA290" s="740"/>
      <c r="AB290" s="744"/>
      <c r="AC290" s="435"/>
      <c r="AD290" s="435"/>
      <c r="AE290" s="435"/>
      <c r="AF290" s="435"/>
      <c r="AG290" s="324"/>
      <c r="AH290" s="180"/>
      <c r="AI290" s="155"/>
      <c r="AJ290" s="322"/>
      <c r="AK290" s="155"/>
      <c r="AL290" s="132"/>
    </row>
    <row r="291">
      <c r="A291" s="474"/>
      <c r="B291" s="437"/>
      <c r="C291" s="312"/>
      <c r="D291" s="437"/>
      <c r="E291" s="435"/>
      <c r="F291" s="318"/>
      <c r="G291" s="315"/>
      <c r="H291" s="435"/>
      <c r="I291" s="435"/>
      <c r="J291" s="435"/>
      <c r="K291" s="315"/>
      <c r="L291" s="736"/>
      <c r="M291" s="318"/>
      <c r="N291" s="744"/>
      <c r="O291" s="314"/>
      <c r="P291" s="314"/>
      <c r="Q291" s="435"/>
      <c r="R291" s="314"/>
      <c r="S291" s="849"/>
      <c r="T291" s="740"/>
      <c r="U291" s="744"/>
      <c r="V291" s="435"/>
      <c r="W291" s="435"/>
      <c r="X291" s="435"/>
      <c r="Y291" s="435"/>
      <c r="Z291" s="435"/>
      <c r="AA291" s="740"/>
      <c r="AB291" s="744"/>
      <c r="AC291" s="435"/>
      <c r="AD291" s="435"/>
      <c r="AE291" s="435"/>
      <c r="AF291" s="435"/>
      <c r="AG291" s="324"/>
      <c r="AH291" s="180"/>
      <c r="AI291" s="155"/>
      <c r="AJ291" s="322"/>
      <c r="AK291" s="155"/>
      <c r="AL291" s="132"/>
    </row>
    <row r="292">
      <c r="A292" s="474"/>
      <c r="B292" s="313"/>
      <c r="C292" s="312"/>
      <c r="D292" s="313"/>
      <c r="E292" s="314"/>
      <c r="F292" s="318"/>
      <c r="G292" s="315"/>
      <c r="H292" s="314"/>
      <c r="I292" s="314"/>
      <c r="J292" s="314"/>
      <c r="K292" s="744"/>
      <c r="L292" s="736"/>
      <c r="M292" s="318"/>
      <c r="N292" s="315"/>
      <c r="O292" s="314"/>
      <c r="P292" s="435"/>
      <c r="Q292" s="314"/>
      <c r="R292" s="314"/>
      <c r="S292" s="848"/>
      <c r="T292" s="318"/>
      <c r="U292" s="315"/>
      <c r="V292" s="314"/>
      <c r="W292" s="314"/>
      <c r="X292" s="314"/>
      <c r="Y292" s="314"/>
      <c r="Z292" s="314"/>
      <c r="AA292" s="318"/>
      <c r="AB292" s="315"/>
      <c r="AC292" s="314"/>
      <c r="AD292" s="314"/>
      <c r="AE292" s="314"/>
      <c r="AF292" s="314"/>
      <c r="AG292" s="324"/>
      <c r="AH292" s="180"/>
      <c r="AI292" s="155"/>
      <c r="AJ292" s="322"/>
      <c r="AK292" s="155"/>
      <c r="AL292" s="132"/>
    </row>
    <row r="293">
      <c r="A293" s="474"/>
      <c r="B293" s="313"/>
      <c r="C293" s="745"/>
      <c r="D293" s="437"/>
      <c r="E293" s="314"/>
      <c r="F293" s="318"/>
      <c r="G293" s="315"/>
      <c r="H293" s="314"/>
      <c r="I293" s="435"/>
      <c r="J293" s="314"/>
      <c r="K293" s="315"/>
      <c r="L293" s="736"/>
      <c r="M293" s="318"/>
      <c r="N293" s="315"/>
      <c r="O293" s="314"/>
      <c r="P293" s="314"/>
      <c r="Q293" s="314"/>
      <c r="R293" s="314"/>
      <c r="S293" s="848"/>
      <c r="T293" s="318"/>
      <c r="U293" s="315"/>
      <c r="V293" s="314"/>
      <c r="W293" s="314"/>
      <c r="X293" s="314"/>
      <c r="Y293" s="314"/>
      <c r="Z293" s="314"/>
      <c r="AA293" s="318"/>
      <c r="AB293" s="315"/>
      <c r="AC293" s="314"/>
      <c r="AD293" s="314"/>
      <c r="AE293" s="314"/>
      <c r="AF293" s="314"/>
      <c r="AG293" s="324"/>
      <c r="AH293" s="180"/>
      <c r="AI293" s="155"/>
      <c r="AJ293" s="322"/>
      <c r="AK293" s="155"/>
      <c r="AL293" s="132"/>
    </row>
    <row r="294">
      <c r="A294" s="474"/>
      <c r="B294" s="313"/>
      <c r="C294" s="312"/>
      <c r="D294" s="313"/>
      <c r="E294" s="314"/>
      <c r="F294" s="318"/>
      <c r="G294" s="315"/>
      <c r="H294" s="314"/>
      <c r="I294" s="314"/>
      <c r="J294" s="314"/>
      <c r="K294" s="744"/>
      <c r="L294" s="736"/>
      <c r="M294" s="318"/>
      <c r="N294" s="315"/>
      <c r="O294" s="314"/>
      <c r="P294" s="314"/>
      <c r="Q294" s="314"/>
      <c r="R294" s="314"/>
      <c r="S294" s="848"/>
      <c r="T294" s="318"/>
      <c r="U294" s="315"/>
      <c r="V294" s="314"/>
      <c r="W294" s="314"/>
      <c r="X294" s="314"/>
      <c r="Y294" s="314"/>
      <c r="Z294" s="314"/>
      <c r="AA294" s="318"/>
      <c r="AB294" s="315"/>
      <c r="AC294" s="314"/>
      <c r="AD294" s="314"/>
      <c r="AE294" s="314"/>
      <c r="AF294" s="314"/>
      <c r="AG294" s="324"/>
      <c r="AH294" s="180"/>
      <c r="AI294" s="155"/>
      <c r="AJ294" s="322"/>
      <c r="AK294" s="155"/>
      <c r="AL294" s="132"/>
    </row>
    <row r="295">
      <c r="A295" s="458"/>
      <c r="B295" s="313"/>
      <c r="C295" s="745"/>
      <c r="D295" s="313"/>
      <c r="E295" s="314"/>
      <c r="F295" s="318"/>
      <c r="G295" s="315"/>
      <c r="H295" s="314"/>
      <c r="I295" s="314"/>
      <c r="J295" s="435"/>
      <c r="K295" s="744"/>
      <c r="L295" s="736"/>
      <c r="M295" s="318"/>
      <c r="N295" s="315"/>
      <c r="O295" s="314"/>
      <c r="P295" s="314"/>
      <c r="Q295" s="314"/>
      <c r="R295" s="314"/>
      <c r="S295" s="848"/>
      <c r="T295" s="318"/>
      <c r="U295" s="315"/>
      <c r="V295" s="314"/>
      <c r="W295" s="314"/>
      <c r="X295" s="314"/>
      <c r="Y295" s="314"/>
      <c r="Z295" s="314"/>
      <c r="AA295" s="318"/>
      <c r="AB295" s="315"/>
      <c r="AC295" s="314"/>
      <c r="AD295" s="314"/>
      <c r="AE295" s="314"/>
      <c r="AF295" s="314"/>
      <c r="AG295" s="324"/>
      <c r="AH295" s="180"/>
      <c r="AI295" s="155"/>
      <c r="AJ295" s="322"/>
      <c r="AK295" s="155"/>
      <c r="AL295" s="132"/>
    </row>
    <row r="296">
      <c r="A296" s="435"/>
      <c r="B296" s="313"/>
      <c r="C296" s="745"/>
      <c r="D296" s="437"/>
      <c r="E296" s="435"/>
      <c r="F296" s="318"/>
      <c r="G296" s="315"/>
      <c r="H296" s="435"/>
      <c r="I296" s="314"/>
      <c r="J296" s="314"/>
      <c r="K296" s="744"/>
      <c r="L296" s="736"/>
      <c r="M296" s="740"/>
      <c r="N296" s="744"/>
      <c r="O296" s="314"/>
      <c r="P296" s="314"/>
      <c r="Q296" s="314"/>
      <c r="R296" s="435"/>
      <c r="S296" s="848"/>
      <c r="T296" s="318"/>
      <c r="U296" s="315"/>
      <c r="V296" s="314"/>
      <c r="W296" s="314"/>
      <c r="X296" s="314"/>
      <c r="Y296" s="314"/>
      <c r="Z296" s="314"/>
      <c r="AA296" s="318"/>
      <c r="AB296" s="315"/>
      <c r="AC296" s="314"/>
      <c r="AD296" s="314"/>
      <c r="AE296" s="314"/>
      <c r="AF296" s="314"/>
      <c r="AG296" s="324"/>
      <c r="AH296" s="180"/>
      <c r="AI296" s="155"/>
      <c r="AJ296" s="322"/>
      <c r="AK296" s="155"/>
      <c r="AL296" s="132"/>
    </row>
    <row r="297">
      <c r="A297" s="435"/>
      <c r="B297" s="437"/>
      <c r="C297" s="312"/>
      <c r="D297" s="313"/>
      <c r="E297" s="314"/>
      <c r="F297" s="318"/>
      <c r="G297" s="315"/>
      <c r="H297" s="314"/>
      <c r="I297" s="314"/>
      <c r="J297" s="314"/>
      <c r="K297" s="315"/>
      <c r="L297" s="736"/>
      <c r="M297" s="318"/>
      <c r="N297" s="315"/>
      <c r="O297" s="314"/>
      <c r="P297" s="435"/>
      <c r="Q297" s="314"/>
      <c r="R297" s="314"/>
      <c r="S297" s="848"/>
      <c r="T297" s="318"/>
      <c r="U297" s="315"/>
      <c r="V297" s="314"/>
      <c r="W297" s="314"/>
      <c r="X297" s="314"/>
      <c r="Y297" s="314"/>
      <c r="Z297" s="314"/>
      <c r="AA297" s="318"/>
      <c r="AB297" s="315"/>
      <c r="AC297" s="314"/>
      <c r="AD297" s="314"/>
      <c r="AE297" s="314"/>
      <c r="AF297" s="314"/>
      <c r="AG297" s="324"/>
      <c r="AH297" s="180"/>
      <c r="AI297" s="155"/>
      <c r="AJ297" s="322"/>
      <c r="AK297" s="155"/>
      <c r="AL297" s="132"/>
    </row>
    <row r="298">
      <c r="A298" s="435"/>
      <c r="B298" s="437"/>
      <c r="C298" s="312"/>
      <c r="D298" s="313"/>
      <c r="E298" s="314"/>
      <c r="F298" s="318"/>
      <c r="G298" s="315"/>
      <c r="H298" s="314"/>
      <c r="I298" s="314"/>
      <c r="J298" s="314"/>
      <c r="K298" s="315"/>
      <c r="L298" s="736"/>
      <c r="M298" s="318"/>
      <c r="N298" s="315"/>
      <c r="O298" s="314"/>
      <c r="P298" s="314"/>
      <c r="Q298" s="435"/>
      <c r="R298" s="314"/>
      <c r="S298" s="849"/>
      <c r="T298" s="740"/>
      <c r="U298" s="744"/>
      <c r="V298" s="435"/>
      <c r="W298" s="435"/>
      <c r="X298" s="435"/>
      <c r="Y298" s="435"/>
      <c r="Z298" s="435"/>
      <c r="AA298" s="740"/>
      <c r="AB298" s="744"/>
      <c r="AC298" s="435"/>
      <c r="AD298" s="435"/>
      <c r="AE298" s="435"/>
      <c r="AF298" s="435"/>
      <c r="AG298" s="324"/>
      <c r="AH298" s="180"/>
      <c r="AI298" s="155"/>
      <c r="AJ298" s="322"/>
      <c r="AK298" s="155"/>
      <c r="AL298" s="132"/>
    </row>
    <row r="299">
      <c r="A299" s="435"/>
      <c r="B299" s="313"/>
      <c r="C299" s="745"/>
      <c r="D299" s="313"/>
      <c r="E299" s="314"/>
      <c r="F299" s="318"/>
      <c r="G299" s="315"/>
      <c r="H299" s="314"/>
      <c r="I299" s="314"/>
      <c r="J299" s="314"/>
      <c r="K299" s="315"/>
      <c r="L299" s="736"/>
      <c r="M299" s="318"/>
      <c r="N299" s="315"/>
      <c r="O299" s="314"/>
      <c r="P299" s="314"/>
      <c r="Q299" s="314"/>
      <c r="R299" s="435"/>
      <c r="S299" s="848"/>
      <c r="T299" s="318"/>
      <c r="U299" s="315"/>
      <c r="V299" s="314"/>
      <c r="W299" s="314"/>
      <c r="X299" s="314"/>
      <c r="Y299" s="314"/>
      <c r="Z299" s="314"/>
      <c r="AA299" s="318"/>
      <c r="AB299" s="315"/>
      <c r="AC299" s="314"/>
      <c r="AD299" s="314"/>
      <c r="AE299" s="314"/>
      <c r="AF299" s="314"/>
      <c r="AG299" s="324"/>
      <c r="AH299" s="180"/>
      <c r="AI299" s="155"/>
      <c r="AJ299" s="322"/>
      <c r="AK299" s="155"/>
      <c r="AL299" s="132"/>
    </row>
    <row r="300">
      <c r="A300" s="435"/>
      <c r="B300" s="313"/>
      <c r="C300" s="312"/>
      <c r="D300" s="313"/>
      <c r="E300" s="314"/>
      <c r="F300" s="318"/>
      <c r="G300" s="315"/>
      <c r="H300" s="314"/>
      <c r="I300" s="314"/>
      <c r="J300" s="314"/>
      <c r="K300" s="744"/>
      <c r="L300" s="736"/>
      <c r="M300" s="740"/>
      <c r="N300" s="315"/>
      <c r="O300" s="314"/>
      <c r="P300" s="314"/>
      <c r="Q300" s="435"/>
      <c r="R300" s="314"/>
      <c r="S300" s="848"/>
      <c r="T300" s="318"/>
      <c r="U300" s="315"/>
      <c r="V300" s="314"/>
      <c r="W300" s="314"/>
      <c r="X300" s="314"/>
      <c r="Y300" s="314"/>
      <c r="Z300" s="314"/>
      <c r="AA300" s="318"/>
      <c r="AB300" s="315"/>
      <c r="AC300" s="314"/>
      <c r="AD300" s="314"/>
      <c r="AE300" s="314"/>
      <c r="AF300" s="314"/>
      <c r="AG300" s="324"/>
      <c r="AH300" s="180"/>
      <c r="AI300" s="155"/>
      <c r="AJ300" s="322"/>
      <c r="AK300" s="155"/>
      <c r="AL300" s="132"/>
    </row>
    <row r="301">
      <c r="A301" s="435"/>
      <c r="B301" s="313"/>
      <c r="C301" s="745"/>
      <c r="D301" s="437"/>
      <c r="E301" s="314"/>
      <c r="F301" s="318"/>
      <c r="G301" s="315"/>
      <c r="H301" s="314"/>
      <c r="I301" s="314"/>
      <c r="J301" s="314"/>
      <c r="K301" s="744"/>
      <c r="L301" s="736"/>
      <c r="M301" s="740"/>
      <c r="N301" s="315"/>
      <c r="O301" s="314"/>
      <c r="P301" s="314"/>
      <c r="Q301" s="435"/>
      <c r="R301" s="314"/>
      <c r="S301" s="848"/>
      <c r="T301" s="318"/>
      <c r="U301" s="315"/>
      <c r="V301" s="314"/>
      <c r="W301" s="314"/>
      <c r="X301" s="314"/>
      <c r="Y301" s="314"/>
      <c r="Z301" s="314"/>
      <c r="AA301" s="318"/>
      <c r="AB301" s="315"/>
      <c r="AC301" s="314"/>
      <c r="AD301" s="314"/>
      <c r="AE301" s="314"/>
      <c r="AF301" s="314"/>
      <c r="AG301" s="324"/>
      <c r="AH301" s="180"/>
      <c r="AI301" s="155"/>
      <c r="AJ301" s="322"/>
      <c r="AK301" s="155"/>
      <c r="AL301" s="132"/>
    </row>
    <row r="302">
      <c r="A302" s="476"/>
      <c r="AI302" s="176"/>
      <c r="AJ302" s="322"/>
      <c r="AK302" s="155"/>
      <c r="AL302" s="132"/>
    </row>
    <row r="303">
      <c r="A303" s="178"/>
      <c r="AJ303" s="322"/>
      <c r="AK303" s="155"/>
      <c r="AL303" s="132"/>
    </row>
    <row r="304">
      <c r="A304" s="474"/>
      <c r="B304" s="437"/>
      <c r="C304" s="745"/>
      <c r="D304" s="437"/>
      <c r="E304" s="435"/>
      <c r="F304" s="318"/>
      <c r="G304" s="315"/>
      <c r="H304" s="314"/>
      <c r="I304" s="435"/>
      <c r="J304" s="435"/>
      <c r="K304" s="744"/>
      <c r="L304" s="839"/>
      <c r="M304" s="740"/>
      <c r="N304" s="744"/>
      <c r="O304" s="314"/>
      <c r="P304" s="435"/>
      <c r="Q304" s="435"/>
      <c r="R304" s="435"/>
      <c r="S304" s="849"/>
      <c r="T304" s="740"/>
      <c r="U304" s="744"/>
      <c r="V304" s="435"/>
      <c r="W304" s="435"/>
      <c r="X304" s="435"/>
      <c r="Y304" s="435"/>
      <c r="Z304" s="435"/>
      <c r="AA304" s="740"/>
      <c r="AB304" s="744"/>
      <c r="AC304" s="435"/>
      <c r="AD304" s="435"/>
      <c r="AE304" s="435"/>
      <c r="AF304" s="435"/>
      <c r="AG304" s="324"/>
      <c r="AH304" s="180"/>
      <c r="AI304" s="155"/>
      <c r="AJ304" s="322"/>
      <c r="AK304" s="155"/>
      <c r="AL304" s="132"/>
    </row>
    <row r="305">
      <c r="A305" s="474"/>
      <c r="B305" s="313"/>
      <c r="C305" s="745"/>
      <c r="D305" s="437"/>
      <c r="E305" s="435"/>
      <c r="F305" s="318"/>
      <c r="G305" s="315"/>
      <c r="H305" s="435"/>
      <c r="I305" s="314"/>
      <c r="J305" s="435"/>
      <c r="K305" s="744"/>
      <c r="L305" s="839"/>
      <c r="M305" s="318"/>
      <c r="N305" s="315"/>
      <c r="O305" s="314"/>
      <c r="P305" s="435"/>
      <c r="Q305" s="435"/>
      <c r="R305" s="435"/>
      <c r="S305" s="849"/>
      <c r="T305" s="740"/>
      <c r="U305" s="744"/>
      <c r="V305" s="435"/>
      <c r="W305" s="435"/>
      <c r="X305" s="435"/>
      <c r="Y305" s="435"/>
      <c r="Z305" s="435"/>
      <c r="AA305" s="740"/>
      <c r="AB305" s="744"/>
      <c r="AC305" s="435"/>
      <c r="AD305" s="435"/>
      <c r="AE305" s="435"/>
      <c r="AF305" s="435"/>
      <c r="AG305" s="324"/>
      <c r="AH305" s="180"/>
      <c r="AI305" s="155"/>
      <c r="AJ305" s="322"/>
      <c r="AK305" s="155"/>
      <c r="AL305" s="132"/>
    </row>
    <row r="306">
      <c r="A306" s="477"/>
      <c r="B306" s="437"/>
      <c r="C306" s="745"/>
      <c r="D306" s="437"/>
      <c r="E306" s="314"/>
      <c r="F306" s="318"/>
      <c r="G306" s="315"/>
      <c r="H306" s="435"/>
      <c r="I306" s="435"/>
      <c r="J306" s="435"/>
      <c r="K306" s="744"/>
      <c r="L306" s="839"/>
      <c r="M306" s="740"/>
      <c r="N306" s="744"/>
      <c r="O306" s="314"/>
      <c r="P306" s="435"/>
      <c r="Q306" s="435"/>
      <c r="R306" s="435"/>
      <c r="S306" s="849"/>
      <c r="T306" s="740"/>
      <c r="U306" s="744"/>
      <c r="V306" s="435"/>
      <c r="W306" s="435"/>
      <c r="X306" s="435"/>
      <c r="Y306" s="435"/>
      <c r="Z306" s="435"/>
      <c r="AA306" s="740"/>
      <c r="AB306" s="744"/>
      <c r="AC306" s="435"/>
      <c r="AD306" s="435"/>
      <c r="AE306" s="435"/>
      <c r="AF306" s="435"/>
      <c r="AG306" s="324"/>
      <c r="AH306" s="180"/>
      <c r="AI306" s="155"/>
      <c r="AJ306" s="322"/>
      <c r="AK306" s="155"/>
      <c r="AL306" s="132"/>
    </row>
    <row r="307">
      <c r="A307" s="477"/>
      <c r="B307" s="437"/>
      <c r="C307" s="745"/>
      <c r="D307" s="437"/>
      <c r="E307" s="314"/>
      <c r="F307" s="318"/>
      <c r="G307" s="315"/>
      <c r="H307" s="435"/>
      <c r="I307" s="314"/>
      <c r="J307" s="314"/>
      <c r="K307" s="744"/>
      <c r="L307" s="839"/>
      <c r="M307" s="740"/>
      <c r="N307" s="315"/>
      <c r="O307" s="314"/>
      <c r="P307" s="435"/>
      <c r="Q307" s="435"/>
      <c r="R307" s="435"/>
      <c r="S307" s="849"/>
      <c r="T307" s="740"/>
      <c r="U307" s="744"/>
      <c r="V307" s="435"/>
      <c r="W307" s="435"/>
      <c r="X307" s="435"/>
      <c r="Y307" s="435"/>
      <c r="Z307" s="435"/>
      <c r="AA307" s="740"/>
      <c r="AB307" s="744"/>
      <c r="AC307" s="435"/>
      <c r="AD307" s="435"/>
      <c r="AE307" s="435"/>
      <c r="AF307" s="435"/>
      <c r="AG307" s="324"/>
      <c r="AH307" s="180"/>
      <c r="AI307" s="155"/>
      <c r="AJ307" s="322"/>
      <c r="AK307" s="155"/>
      <c r="AL307" s="132"/>
    </row>
    <row r="308">
      <c r="A308" s="477"/>
      <c r="B308" s="437"/>
      <c r="C308" s="745"/>
      <c r="D308" s="437"/>
      <c r="E308" s="435"/>
      <c r="F308" s="318"/>
      <c r="G308" s="315"/>
      <c r="H308" s="435"/>
      <c r="I308" s="435"/>
      <c r="J308" s="435"/>
      <c r="K308" s="744"/>
      <c r="L308" s="839"/>
      <c r="M308" s="740"/>
      <c r="N308" s="744"/>
      <c r="O308" s="314"/>
      <c r="P308" s="435"/>
      <c r="Q308" s="435"/>
      <c r="R308" s="435"/>
      <c r="S308" s="849"/>
      <c r="T308" s="740"/>
      <c r="U308" s="744"/>
      <c r="V308" s="435"/>
      <c r="W308" s="435"/>
      <c r="X308" s="435"/>
      <c r="Y308" s="435"/>
      <c r="Z308" s="435"/>
      <c r="AA308" s="740"/>
      <c r="AB308" s="744"/>
      <c r="AC308" s="435"/>
      <c r="AD308" s="435"/>
      <c r="AE308" s="435"/>
      <c r="AF308" s="435"/>
      <c r="AG308" s="324"/>
      <c r="AH308" s="180"/>
      <c r="AI308" s="155"/>
      <c r="AJ308" s="322"/>
      <c r="AK308" s="155"/>
      <c r="AL308" s="132"/>
    </row>
    <row r="309">
      <c r="A309" s="474"/>
      <c r="B309" s="313"/>
      <c r="C309" s="745"/>
      <c r="D309" s="313"/>
      <c r="E309" s="435"/>
      <c r="F309" s="318"/>
      <c r="G309" s="315"/>
      <c r="H309" s="435"/>
      <c r="I309" s="314"/>
      <c r="J309" s="435"/>
      <c r="K309" s="744"/>
      <c r="L309" s="736"/>
      <c r="M309" s="740"/>
      <c r="N309" s="315"/>
      <c r="O309" s="314"/>
      <c r="P309" s="435"/>
      <c r="Q309" s="435"/>
      <c r="R309" s="435"/>
      <c r="S309" s="849"/>
      <c r="T309" s="740"/>
      <c r="U309" s="744"/>
      <c r="V309" s="435"/>
      <c r="W309" s="435"/>
      <c r="X309" s="435"/>
      <c r="Y309" s="435"/>
      <c r="Z309" s="435"/>
      <c r="AA309" s="740"/>
      <c r="AB309" s="744"/>
      <c r="AC309" s="435"/>
      <c r="AD309" s="435"/>
      <c r="AE309" s="435"/>
      <c r="AF309" s="435"/>
      <c r="AG309" s="324"/>
      <c r="AH309" s="180"/>
      <c r="AI309" s="155"/>
      <c r="AJ309" s="322"/>
      <c r="AK309" s="155"/>
      <c r="AL309" s="132"/>
    </row>
    <row r="310">
      <c r="A310" s="478"/>
      <c r="B310" s="437"/>
      <c r="C310" s="745"/>
      <c r="D310" s="437"/>
      <c r="E310" s="435"/>
      <c r="F310" s="318"/>
      <c r="G310" s="315"/>
      <c r="H310" s="435"/>
      <c r="I310" s="435"/>
      <c r="J310" s="435"/>
      <c r="K310" s="744"/>
      <c r="L310" s="839"/>
      <c r="M310" s="740"/>
      <c r="N310" s="744"/>
      <c r="O310" s="314"/>
      <c r="P310" s="435"/>
      <c r="Q310" s="435"/>
      <c r="R310" s="435"/>
      <c r="S310" s="849"/>
      <c r="T310" s="740"/>
      <c r="U310" s="744"/>
      <c r="V310" s="435"/>
      <c r="W310" s="435"/>
      <c r="X310" s="435"/>
      <c r="Y310" s="435"/>
      <c r="Z310" s="435"/>
      <c r="AA310" s="740"/>
      <c r="AB310" s="744"/>
      <c r="AC310" s="435"/>
      <c r="AD310" s="435"/>
      <c r="AE310" s="435"/>
      <c r="AF310" s="435"/>
      <c r="AG310" s="324"/>
      <c r="AH310" s="180"/>
      <c r="AI310" s="155"/>
      <c r="AJ310" s="322"/>
      <c r="AK310" s="155"/>
      <c r="AL310" s="132"/>
    </row>
    <row r="311">
      <c r="A311" s="478"/>
      <c r="B311" s="437"/>
      <c r="C311" s="745"/>
      <c r="D311" s="437"/>
      <c r="E311" s="435"/>
      <c r="F311" s="318"/>
      <c r="G311" s="315"/>
      <c r="H311" s="435"/>
      <c r="I311" s="435"/>
      <c r="J311" s="435"/>
      <c r="K311" s="744"/>
      <c r="L311" s="839"/>
      <c r="M311" s="740"/>
      <c r="N311" s="744"/>
      <c r="O311" s="314"/>
      <c r="P311" s="435"/>
      <c r="Q311" s="435"/>
      <c r="R311" s="435"/>
      <c r="S311" s="849"/>
      <c r="T311" s="740"/>
      <c r="U311" s="744"/>
      <c r="V311" s="435"/>
      <c r="W311" s="435"/>
      <c r="X311" s="435"/>
      <c r="Y311" s="435"/>
      <c r="Z311" s="435"/>
      <c r="AA311" s="740"/>
      <c r="AB311" s="744"/>
      <c r="AC311" s="435"/>
      <c r="AD311" s="435"/>
      <c r="AE311" s="435"/>
      <c r="AF311" s="435"/>
      <c r="AG311" s="324"/>
      <c r="AH311" s="180"/>
      <c r="AI311" s="155"/>
      <c r="AJ311" s="322"/>
      <c r="AK311" s="155"/>
      <c r="AL311" s="132"/>
    </row>
    <row r="312">
      <c r="A312" s="478"/>
      <c r="B312" s="437"/>
      <c r="C312" s="745"/>
      <c r="D312" s="313"/>
      <c r="E312" s="314"/>
      <c r="F312" s="318"/>
      <c r="G312" s="315"/>
      <c r="H312" s="435"/>
      <c r="I312" s="435"/>
      <c r="J312" s="314"/>
      <c r="K312" s="744"/>
      <c r="L312" s="736"/>
      <c r="M312" s="740"/>
      <c r="N312" s="315"/>
      <c r="O312" s="314"/>
      <c r="P312" s="314"/>
      <c r="Q312" s="314"/>
      <c r="R312" s="314"/>
      <c r="S312" s="849"/>
      <c r="T312" s="740"/>
      <c r="U312" s="744"/>
      <c r="V312" s="435"/>
      <c r="W312" s="435"/>
      <c r="X312" s="435"/>
      <c r="Y312" s="435"/>
      <c r="Z312" s="435"/>
      <c r="AA312" s="740"/>
      <c r="AB312" s="744"/>
      <c r="AC312" s="435"/>
      <c r="AD312" s="435"/>
      <c r="AE312" s="435"/>
      <c r="AF312" s="435"/>
      <c r="AG312" s="324"/>
      <c r="AH312" s="180"/>
      <c r="AI312" s="155"/>
      <c r="AJ312" s="322"/>
      <c r="AK312" s="155"/>
      <c r="AL312" s="132"/>
    </row>
    <row r="313">
      <c r="A313" s="477"/>
      <c r="B313" s="313"/>
      <c r="C313" s="745"/>
      <c r="D313" s="437"/>
      <c r="E313" s="435"/>
      <c r="F313" s="318"/>
      <c r="G313" s="315"/>
      <c r="H313" s="435"/>
      <c r="I313" s="435"/>
      <c r="J313" s="435"/>
      <c r="K313" s="744"/>
      <c r="L313" s="839"/>
      <c r="M313" s="740"/>
      <c r="N313" s="744"/>
      <c r="O313" s="314"/>
      <c r="P313" s="435"/>
      <c r="Q313" s="435"/>
      <c r="R313" s="435"/>
      <c r="S313" s="849"/>
      <c r="T313" s="740"/>
      <c r="U313" s="744"/>
      <c r="V313" s="435"/>
      <c r="W313" s="435"/>
      <c r="X313" s="435"/>
      <c r="Y313" s="435"/>
      <c r="Z313" s="435"/>
      <c r="AA313" s="740"/>
      <c r="AB313" s="744"/>
      <c r="AC313" s="435"/>
      <c r="AD313" s="435"/>
      <c r="AE313" s="435"/>
      <c r="AF313" s="435"/>
      <c r="AG313" s="324"/>
      <c r="AH313" s="180"/>
      <c r="AI313" s="155"/>
      <c r="AJ313" s="322"/>
      <c r="AK313" s="155"/>
      <c r="AL313" s="132"/>
    </row>
    <row r="314">
      <c r="A314" s="477"/>
      <c r="B314" s="313"/>
      <c r="C314" s="312"/>
      <c r="D314" s="313"/>
      <c r="E314" s="314"/>
      <c r="F314" s="318"/>
      <c r="G314" s="315"/>
      <c r="H314" s="435"/>
      <c r="I314" s="314"/>
      <c r="J314" s="314"/>
      <c r="K314" s="315"/>
      <c r="L314" s="736"/>
      <c r="M314" s="318"/>
      <c r="N314" s="744"/>
      <c r="O314" s="314"/>
      <c r="P314" s="314"/>
      <c r="Q314" s="435"/>
      <c r="R314" s="314"/>
      <c r="S314" s="848"/>
      <c r="T314" s="318"/>
      <c r="U314" s="315"/>
      <c r="V314" s="314"/>
      <c r="W314" s="314"/>
      <c r="X314" s="314"/>
      <c r="Y314" s="314"/>
      <c r="Z314" s="314"/>
      <c r="AA314" s="318"/>
      <c r="AB314" s="315"/>
      <c r="AC314" s="314"/>
      <c r="AD314" s="314"/>
      <c r="AE314" s="314"/>
      <c r="AF314" s="314"/>
      <c r="AG314" s="324"/>
      <c r="AH314" s="180"/>
      <c r="AI314" s="155"/>
      <c r="AJ314" s="322"/>
      <c r="AK314" s="155"/>
      <c r="AL314" s="132"/>
    </row>
    <row r="315">
      <c r="A315" s="477"/>
      <c r="B315" s="313"/>
      <c r="C315" s="312"/>
      <c r="D315" s="313"/>
      <c r="E315" s="314"/>
      <c r="F315" s="318"/>
      <c r="G315" s="315"/>
      <c r="H315" s="314"/>
      <c r="I315" s="314"/>
      <c r="J315" s="314"/>
      <c r="K315" s="315"/>
      <c r="L315" s="736"/>
      <c r="M315" s="318"/>
      <c r="N315" s="315"/>
      <c r="O315" s="314"/>
      <c r="P315" s="314"/>
      <c r="Q315" s="314"/>
      <c r="R315" s="314"/>
      <c r="S315" s="848"/>
      <c r="T315" s="318"/>
      <c r="U315" s="315"/>
      <c r="V315" s="314"/>
      <c r="W315" s="314"/>
      <c r="X315" s="314"/>
      <c r="Y315" s="314"/>
      <c r="Z315" s="314"/>
      <c r="AA315" s="318"/>
      <c r="AB315" s="315"/>
      <c r="AC315" s="314"/>
      <c r="AD315" s="314"/>
      <c r="AE315" s="314"/>
      <c r="AF315" s="314"/>
      <c r="AG315" s="324"/>
      <c r="AH315" s="180"/>
      <c r="AI315" s="155"/>
      <c r="AJ315" s="322"/>
      <c r="AK315" s="155"/>
      <c r="AL315" s="132"/>
    </row>
    <row r="316">
      <c r="A316" s="476"/>
      <c r="AI316" s="176"/>
      <c r="AJ316" s="322"/>
      <c r="AK316" s="155"/>
      <c r="AL316" s="132"/>
    </row>
    <row r="317">
      <c r="A317" s="178"/>
      <c r="AJ317" s="322"/>
      <c r="AK317" s="155"/>
      <c r="AL317" s="132"/>
    </row>
    <row r="318">
      <c r="A318" s="477"/>
      <c r="B318" s="437"/>
      <c r="C318" s="745"/>
      <c r="D318" s="437"/>
      <c r="E318" s="314"/>
      <c r="F318" s="318"/>
      <c r="G318" s="315"/>
      <c r="H318" s="314"/>
      <c r="I318" s="314"/>
      <c r="J318" s="314"/>
      <c r="K318" s="744"/>
      <c r="L318" s="839"/>
      <c r="M318" s="318"/>
      <c r="N318" s="315"/>
      <c r="O318" s="314"/>
      <c r="P318" s="314"/>
      <c r="Q318" s="435"/>
      <c r="R318" s="435"/>
      <c r="S318" s="849"/>
      <c r="T318" s="740"/>
      <c r="U318" s="744"/>
      <c r="V318" s="435"/>
      <c r="W318" s="435"/>
      <c r="X318" s="435"/>
      <c r="Y318" s="435"/>
      <c r="Z318" s="435"/>
      <c r="AA318" s="740"/>
      <c r="AB318" s="744"/>
      <c r="AC318" s="435"/>
      <c r="AD318" s="435"/>
      <c r="AE318" s="435"/>
      <c r="AF318" s="435"/>
      <c r="AG318" s="324"/>
      <c r="AH318" s="180"/>
      <c r="AI318" s="155"/>
      <c r="AJ318" s="322"/>
      <c r="AK318" s="155"/>
      <c r="AL318" s="132"/>
    </row>
    <row r="319">
      <c r="A319" s="477"/>
      <c r="B319" s="313"/>
      <c r="C319" s="745"/>
      <c r="D319" s="437"/>
      <c r="E319" s="314"/>
      <c r="F319" s="318"/>
      <c r="G319" s="315"/>
      <c r="H319" s="314"/>
      <c r="I319" s="435"/>
      <c r="J319" s="435"/>
      <c r="K319" s="744"/>
      <c r="L319" s="736"/>
      <c r="M319" s="740"/>
      <c r="N319" s="315"/>
      <c r="O319" s="314"/>
      <c r="P319" s="314"/>
      <c r="Q319" s="435"/>
      <c r="R319" s="435"/>
      <c r="S319" s="849"/>
      <c r="T319" s="740"/>
      <c r="U319" s="744"/>
      <c r="V319" s="435"/>
      <c r="W319" s="435"/>
      <c r="X319" s="435"/>
      <c r="Y319" s="435"/>
      <c r="Z319" s="435"/>
      <c r="AA319" s="740"/>
      <c r="AB319" s="744"/>
      <c r="AC319" s="435"/>
      <c r="AD319" s="435"/>
      <c r="AE319" s="435"/>
      <c r="AF319" s="435"/>
      <c r="AG319" s="324"/>
      <c r="AH319" s="180"/>
      <c r="AI319" s="155"/>
      <c r="AJ319" s="322"/>
      <c r="AK319" s="155"/>
      <c r="AL319" s="132"/>
    </row>
    <row r="320">
      <c r="A320" s="477"/>
      <c r="B320" s="313"/>
      <c r="C320" s="745"/>
      <c r="D320" s="437"/>
      <c r="E320" s="435"/>
      <c r="F320" s="318"/>
      <c r="G320" s="315"/>
      <c r="H320" s="435"/>
      <c r="I320" s="314"/>
      <c r="J320" s="314"/>
      <c r="K320" s="744"/>
      <c r="L320" s="736"/>
      <c r="M320" s="740"/>
      <c r="N320" s="744"/>
      <c r="O320" s="314"/>
      <c r="P320" s="435"/>
      <c r="Q320" s="435"/>
      <c r="R320" s="435"/>
      <c r="S320" s="849"/>
      <c r="T320" s="740"/>
      <c r="U320" s="744"/>
      <c r="V320" s="435"/>
      <c r="W320" s="435"/>
      <c r="X320" s="435"/>
      <c r="Y320" s="435"/>
      <c r="Z320" s="435"/>
      <c r="AA320" s="740"/>
      <c r="AB320" s="744"/>
      <c r="AC320" s="435"/>
      <c r="AD320" s="435"/>
      <c r="AE320" s="435"/>
      <c r="AF320" s="435"/>
      <c r="AG320" s="324"/>
      <c r="AH320" s="180"/>
      <c r="AI320" s="155"/>
      <c r="AJ320" s="322"/>
      <c r="AK320" s="155"/>
      <c r="AL320" s="132"/>
    </row>
    <row r="321">
      <c r="A321" s="479"/>
      <c r="B321" s="313"/>
      <c r="C321" s="312"/>
      <c r="D321" s="313"/>
      <c r="E321" s="314"/>
      <c r="F321" s="318"/>
      <c r="G321" s="315"/>
      <c r="H321" s="314"/>
      <c r="I321" s="314"/>
      <c r="J321" s="314"/>
      <c r="K321" s="315"/>
      <c r="L321" s="736"/>
      <c r="M321" s="318"/>
      <c r="N321" s="315"/>
      <c r="O321" s="314"/>
      <c r="P321" s="314"/>
      <c r="Q321" s="435"/>
      <c r="R321" s="314"/>
      <c r="S321" s="848"/>
      <c r="T321" s="318"/>
      <c r="U321" s="315"/>
      <c r="V321" s="314"/>
      <c r="W321" s="314"/>
      <c r="X321" s="314"/>
      <c r="Y321" s="314"/>
      <c r="Z321" s="314"/>
      <c r="AA321" s="318"/>
      <c r="AB321" s="315"/>
      <c r="AC321" s="314"/>
      <c r="AD321" s="314"/>
      <c r="AE321" s="314"/>
      <c r="AF321" s="314"/>
      <c r="AG321" s="324"/>
      <c r="AH321" s="180"/>
      <c r="AI321" s="155"/>
      <c r="AJ321" s="322"/>
      <c r="AK321" s="155"/>
      <c r="AL321" s="132"/>
    </row>
    <row r="322">
      <c r="A322" s="476"/>
      <c r="AI322" s="176"/>
      <c r="AJ322" s="322"/>
      <c r="AK322" s="155"/>
      <c r="AL322" s="132"/>
    </row>
    <row r="323">
      <c r="A323" s="178"/>
      <c r="AJ323" s="322"/>
      <c r="AK323" s="155"/>
      <c r="AL323" s="132"/>
    </row>
    <row r="324">
      <c r="A324" s="480"/>
      <c r="B324" s="313"/>
      <c r="C324" s="745"/>
      <c r="D324" s="313"/>
      <c r="E324" s="314"/>
      <c r="F324" s="318"/>
      <c r="G324" s="315"/>
      <c r="H324" s="314"/>
      <c r="I324" s="314"/>
      <c r="J324" s="435"/>
      <c r="K324" s="744"/>
      <c r="L324" s="736"/>
      <c r="M324" s="318"/>
      <c r="N324" s="315"/>
      <c r="O324" s="314"/>
      <c r="P324" s="314"/>
      <c r="Q324" s="435"/>
      <c r="R324" s="314"/>
      <c r="S324" s="848"/>
      <c r="T324" s="318"/>
      <c r="U324" s="315"/>
      <c r="V324" s="314"/>
      <c r="W324" s="314"/>
      <c r="X324" s="314"/>
      <c r="Y324" s="314"/>
      <c r="Z324" s="314"/>
      <c r="AA324" s="318"/>
      <c r="AB324" s="315"/>
      <c r="AC324" s="314"/>
      <c r="AD324" s="314"/>
      <c r="AE324" s="314"/>
      <c r="AF324" s="314"/>
      <c r="AG324" s="324"/>
      <c r="AH324" s="180"/>
      <c r="AI324" s="180"/>
      <c r="AJ324" s="322"/>
      <c r="AK324" s="155"/>
      <c r="AL324" s="132"/>
    </row>
    <row r="325">
      <c r="A325" s="480"/>
      <c r="B325" s="313"/>
      <c r="C325" s="745"/>
      <c r="D325" s="313"/>
      <c r="E325" s="314"/>
      <c r="F325" s="318"/>
      <c r="G325" s="315"/>
      <c r="H325" s="435"/>
      <c r="I325" s="314"/>
      <c r="J325" s="435"/>
      <c r="K325" s="744"/>
      <c r="L325" s="736"/>
      <c r="M325" s="740"/>
      <c r="N325" s="744"/>
      <c r="O325" s="314"/>
      <c r="P325" s="435"/>
      <c r="Q325" s="435"/>
      <c r="R325" s="314"/>
      <c r="S325" s="849"/>
      <c r="T325" s="740"/>
      <c r="U325" s="744"/>
      <c r="V325" s="435"/>
      <c r="W325" s="435"/>
      <c r="X325" s="435"/>
      <c r="Y325" s="435"/>
      <c r="Z325" s="435"/>
      <c r="AA325" s="740"/>
      <c r="AB325" s="744"/>
      <c r="AC325" s="435"/>
      <c r="AD325" s="435"/>
      <c r="AE325" s="435"/>
      <c r="AF325" s="435"/>
      <c r="AG325" s="324"/>
      <c r="AH325" s="180"/>
      <c r="AI325" s="180"/>
      <c r="AJ325" s="322"/>
      <c r="AK325" s="155"/>
      <c r="AL325" s="132"/>
    </row>
    <row r="326">
      <c r="A326" s="476"/>
      <c r="AI326" s="176"/>
      <c r="AJ326" s="322"/>
      <c r="AK326" s="155"/>
      <c r="AL326" s="132"/>
    </row>
    <row r="327">
      <c r="A327" s="178"/>
      <c r="AJ327" s="322"/>
      <c r="AK327" s="155"/>
      <c r="AL327" s="132"/>
    </row>
    <row r="328">
      <c r="A328" s="481"/>
      <c r="B328" s="313"/>
      <c r="C328" s="745"/>
      <c r="D328" s="437"/>
      <c r="E328" s="435"/>
      <c r="F328" s="318"/>
      <c r="G328" s="744"/>
      <c r="H328" s="435"/>
      <c r="I328" s="435"/>
      <c r="J328" s="314"/>
      <c r="K328" s="744"/>
      <c r="L328" s="839"/>
      <c r="M328" s="740"/>
      <c r="N328" s="315"/>
      <c r="O328" s="314"/>
      <c r="P328" s="435"/>
      <c r="Q328" s="435"/>
      <c r="R328" s="435"/>
      <c r="S328" s="849"/>
      <c r="T328" s="740"/>
      <c r="U328" s="744"/>
      <c r="V328" s="435"/>
      <c r="W328" s="435"/>
      <c r="X328" s="435"/>
      <c r="Y328" s="435"/>
      <c r="Z328" s="435"/>
      <c r="AA328" s="740"/>
      <c r="AB328" s="744"/>
      <c r="AC328" s="435"/>
      <c r="AD328" s="435"/>
      <c r="AE328" s="435"/>
      <c r="AF328" s="435"/>
      <c r="AG328" s="324"/>
      <c r="AH328" s="180"/>
      <c r="AI328" s="155"/>
      <c r="AJ328" s="322"/>
      <c r="AK328" s="155"/>
      <c r="AL328" s="132"/>
    </row>
    <row r="329">
      <c r="A329" s="435"/>
      <c r="B329" s="313"/>
      <c r="C329" s="745"/>
      <c r="D329" s="437"/>
      <c r="E329" s="314"/>
      <c r="F329" s="318"/>
      <c r="G329" s="315"/>
      <c r="H329" s="435"/>
      <c r="I329" s="314"/>
      <c r="J329" s="435"/>
      <c r="K329" s="744"/>
      <c r="L329" s="736"/>
      <c r="M329" s="318"/>
      <c r="N329" s="315"/>
      <c r="O329" s="314"/>
      <c r="P329" s="435"/>
      <c r="Q329" s="435"/>
      <c r="R329" s="435"/>
      <c r="S329" s="849"/>
      <c r="T329" s="740"/>
      <c r="U329" s="744"/>
      <c r="V329" s="435"/>
      <c r="W329" s="435"/>
      <c r="X329" s="435"/>
      <c r="Y329" s="435"/>
      <c r="Z329" s="435"/>
      <c r="AA329" s="740"/>
      <c r="AB329" s="744"/>
      <c r="AC329" s="435"/>
      <c r="AD329" s="435"/>
      <c r="AE329" s="435"/>
      <c r="AF329" s="435"/>
      <c r="AG329" s="324"/>
      <c r="AH329" s="180"/>
      <c r="AI329" s="155"/>
      <c r="AJ329" s="322"/>
      <c r="AK329" s="155"/>
      <c r="AL329" s="132"/>
    </row>
    <row r="330">
      <c r="A330" s="482"/>
      <c r="B330" s="313"/>
      <c r="C330" s="312"/>
      <c r="D330" s="437"/>
      <c r="E330" s="314"/>
      <c r="F330" s="318"/>
      <c r="G330" s="315"/>
      <c r="H330" s="314"/>
      <c r="I330" s="314"/>
      <c r="J330" s="314"/>
      <c r="K330" s="744"/>
      <c r="L330" s="736"/>
      <c r="M330" s="318"/>
      <c r="N330" s="315"/>
      <c r="O330" s="314"/>
      <c r="P330" s="314"/>
      <c r="Q330" s="314"/>
      <c r="R330" s="435"/>
      <c r="S330" s="848"/>
      <c r="T330" s="318"/>
      <c r="U330" s="315"/>
      <c r="V330" s="314"/>
      <c r="W330" s="314"/>
      <c r="X330" s="314"/>
      <c r="Y330" s="314"/>
      <c r="Z330" s="314"/>
      <c r="AA330" s="318"/>
      <c r="AB330" s="315"/>
      <c r="AC330" s="314"/>
      <c r="AD330" s="314"/>
      <c r="AE330" s="314"/>
      <c r="AF330" s="314"/>
      <c r="AG330" s="324"/>
      <c r="AH330" s="180"/>
      <c r="AI330" s="155"/>
      <c r="AJ330" s="322"/>
      <c r="AK330" s="155"/>
      <c r="AL330" s="132"/>
    </row>
    <row r="331">
      <c r="A331" s="482"/>
      <c r="B331" s="313"/>
      <c r="C331" s="745"/>
      <c r="D331" s="437"/>
      <c r="E331" s="435"/>
      <c r="F331" s="318"/>
      <c r="G331" s="315"/>
      <c r="H331" s="435"/>
      <c r="I331" s="435"/>
      <c r="J331" s="435"/>
      <c r="K331" s="744"/>
      <c r="L331" s="839"/>
      <c r="M331" s="740"/>
      <c r="N331" s="744"/>
      <c r="O331" s="314"/>
      <c r="P331" s="435"/>
      <c r="Q331" s="435"/>
      <c r="R331" s="435"/>
      <c r="S331" s="849"/>
      <c r="T331" s="740"/>
      <c r="U331" s="744"/>
      <c r="V331" s="435"/>
      <c r="W331" s="435"/>
      <c r="X331" s="435"/>
      <c r="Y331" s="435"/>
      <c r="Z331" s="435"/>
      <c r="AA331" s="740"/>
      <c r="AB331" s="744"/>
      <c r="AC331" s="435"/>
      <c r="AD331" s="435"/>
      <c r="AE331" s="435"/>
      <c r="AF331" s="435"/>
      <c r="AG331" s="324"/>
      <c r="AH331" s="180"/>
      <c r="AI331" s="155"/>
      <c r="AJ331" s="322"/>
      <c r="AK331" s="155"/>
      <c r="AL331" s="132"/>
    </row>
    <row r="332">
      <c r="A332" s="314"/>
      <c r="B332" s="313"/>
      <c r="C332" s="312"/>
      <c r="D332" s="313"/>
      <c r="E332" s="314"/>
      <c r="F332" s="318"/>
      <c r="G332" s="315"/>
      <c r="H332" s="314"/>
      <c r="I332" s="314"/>
      <c r="J332" s="314"/>
      <c r="K332" s="315"/>
      <c r="L332" s="736"/>
      <c r="M332" s="318"/>
      <c r="N332" s="315"/>
      <c r="O332" s="314"/>
      <c r="P332" s="314"/>
      <c r="Q332" s="314"/>
      <c r="R332" s="314"/>
      <c r="S332" s="848"/>
      <c r="T332" s="318"/>
      <c r="U332" s="315"/>
      <c r="V332" s="314"/>
      <c r="W332" s="314"/>
      <c r="X332" s="314"/>
      <c r="Y332" s="314"/>
      <c r="Z332" s="314"/>
      <c r="AA332" s="318"/>
      <c r="AB332" s="315"/>
      <c r="AC332" s="314"/>
      <c r="AD332" s="314"/>
      <c r="AE332" s="314"/>
      <c r="AF332" s="314"/>
      <c r="AG332" s="483"/>
      <c r="AI332" s="484"/>
      <c r="AJ332" s="322"/>
      <c r="AK332" s="155"/>
      <c r="AL332" s="132"/>
    </row>
    <row r="333">
      <c r="A333" s="314"/>
      <c r="B333" s="313"/>
      <c r="C333" s="312"/>
      <c r="D333" s="313"/>
      <c r="E333" s="314"/>
      <c r="F333" s="318"/>
      <c r="G333" s="315"/>
      <c r="H333" s="314"/>
      <c r="I333" s="314"/>
      <c r="J333" s="314"/>
      <c r="K333" s="315"/>
      <c r="L333" s="736"/>
      <c r="M333" s="318"/>
      <c r="N333" s="315"/>
      <c r="O333" s="314"/>
      <c r="P333" s="314"/>
      <c r="Q333" s="314"/>
      <c r="R333" s="314"/>
      <c r="S333" s="848"/>
      <c r="T333" s="318"/>
      <c r="U333" s="315"/>
      <c r="V333" s="314"/>
      <c r="W333" s="314"/>
      <c r="X333" s="314"/>
      <c r="Y333" s="314"/>
      <c r="Z333" s="314"/>
      <c r="AA333" s="318"/>
      <c r="AB333" s="315"/>
      <c r="AC333" s="314"/>
      <c r="AD333" s="314"/>
      <c r="AE333" s="314"/>
      <c r="AF333" s="314"/>
      <c r="AG333" s="324"/>
      <c r="AH333" s="155"/>
      <c r="AI333" s="155"/>
      <c r="AJ333" s="322"/>
      <c r="AK333" s="155"/>
      <c r="AL333" s="132"/>
    </row>
    <row r="334">
      <c r="A334" s="314"/>
      <c r="B334" s="313"/>
      <c r="C334" s="312"/>
      <c r="D334" s="313"/>
      <c r="E334" s="314"/>
      <c r="F334" s="318"/>
      <c r="G334" s="315"/>
      <c r="H334" s="314"/>
      <c r="I334" s="314"/>
      <c r="J334" s="314"/>
      <c r="K334" s="315"/>
      <c r="L334" s="736"/>
      <c r="M334" s="318"/>
      <c r="N334" s="315"/>
      <c r="O334" s="314"/>
      <c r="P334" s="314"/>
      <c r="Q334" s="314"/>
      <c r="R334" s="314"/>
      <c r="S334" s="848"/>
      <c r="T334" s="318"/>
      <c r="U334" s="315"/>
      <c r="V334" s="314"/>
      <c r="W334" s="314"/>
      <c r="X334" s="314"/>
      <c r="Y334" s="314"/>
      <c r="Z334" s="314"/>
      <c r="AA334" s="318"/>
      <c r="AB334" s="315"/>
      <c r="AC334" s="314"/>
      <c r="AD334" s="314"/>
      <c r="AE334" s="314"/>
      <c r="AF334" s="314"/>
      <c r="AG334" s="324"/>
      <c r="AH334" s="155"/>
      <c r="AI334" s="155"/>
      <c r="AJ334" s="322"/>
      <c r="AK334" s="155"/>
      <c r="AL334" s="132"/>
    </row>
    <row r="335">
      <c r="A335" s="314"/>
      <c r="B335" s="313"/>
      <c r="C335" s="312"/>
      <c r="D335" s="313"/>
      <c r="E335" s="314"/>
      <c r="F335" s="318"/>
      <c r="G335" s="315"/>
      <c r="H335" s="314"/>
      <c r="I335" s="314"/>
      <c r="J335" s="314"/>
      <c r="K335" s="315"/>
      <c r="L335" s="736"/>
      <c r="M335" s="318"/>
      <c r="N335" s="315"/>
      <c r="O335" s="314"/>
      <c r="P335" s="314"/>
      <c r="Q335" s="314"/>
      <c r="R335" s="314"/>
      <c r="S335" s="848"/>
      <c r="T335" s="318"/>
      <c r="U335" s="315"/>
      <c r="V335" s="314"/>
      <c r="W335" s="314"/>
      <c r="X335" s="314"/>
      <c r="Y335" s="314"/>
      <c r="Z335" s="314"/>
      <c r="AA335" s="318"/>
      <c r="AB335" s="315"/>
      <c r="AC335" s="314"/>
      <c r="AD335" s="314"/>
      <c r="AE335" s="314"/>
      <c r="AF335" s="314"/>
      <c r="AG335" s="324"/>
      <c r="AH335" s="155"/>
      <c r="AI335" s="155"/>
      <c r="AJ335" s="322"/>
      <c r="AK335" s="155"/>
      <c r="AL335" s="132"/>
    </row>
    <row r="336">
      <c r="A336" s="314"/>
      <c r="B336" s="313"/>
      <c r="C336" s="312"/>
      <c r="D336" s="313"/>
      <c r="E336" s="314"/>
      <c r="F336" s="318"/>
      <c r="G336" s="315"/>
      <c r="H336" s="314"/>
      <c r="I336" s="314"/>
      <c r="J336" s="314"/>
      <c r="K336" s="315"/>
      <c r="L336" s="736"/>
      <c r="M336" s="318"/>
      <c r="N336" s="315"/>
      <c r="O336" s="314"/>
      <c r="P336" s="314"/>
      <c r="Q336" s="314"/>
      <c r="R336" s="314"/>
      <c r="S336" s="848"/>
      <c r="T336" s="318"/>
      <c r="U336" s="315"/>
      <c r="V336" s="314"/>
      <c r="W336" s="314"/>
      <c r="X336" s="314"/>
      <c r="Y336" s="314"/>
      <c r="Z336" s="314"/>
      <c r="AA336" s="318"/>
      <c r="AB336" s="315"/>
      <c r="AC336" s="314"/>
      <c r="AD336" s="314"/>
      <c r="AE336" s="314"/>
      <c r="AF336" s="314"/>
      <c r="AG336" s="324"/>
      <c r="AH336" s="155"/>
      <c r="AI336" s="155"/>
      <c r="AJ336" s="322"/>
      <c r="AK336" s="155"/>
      <c r="AL336" s="132"/>
    </row>
    <row r="337">
      <c r="A337" s="314"/>
      <c r="B337" s="313"/>
      <c r="C337" s="312"/>
      <c r="D337" s="313"/>
      <c r="E337" s="314"/>
      <c r="F337" s="318"/>
      <c r="G337" s="315"/>
      <c r="H337" s="314"/>
      <c r="I337" s="314"/>
      <c r="J337" s="314"/>
      <c r="K337" s="315"/>
      <c r="L337" s="736"/>
      <c r="M337" s="318"/>
      <c r="N337" s="315"/>
      <c r="O337" s="314"/>
      <c r="P337" s="314"/>
      <c r="Q337" s="314"/>
      <c r="R337" s="314"/>
      <c r="S337" s="848"/>
      <c r="T337" s="318"/>
      <c r="U337" s="315"/>
      <c r="V337" s="314"/>
      <c r="W337" s="314"/>
      <c r="X337" s="314"/>
      <c r="Y337" s="314"/>
      <c r="Z337" s="314"/>
      <c r="AA337" s="318"/>
      <c r="AB337" s="315"/>
      <c r="AC337" s="314"/>
      <c r="AD337" s="314"/>
      <c r="AE337" s="314"/>
      <c r="AF337" s="314"/>
      <c r="AG337" s="324"/>
      <c r="AH337" s="155"/>
      <c r="AI337" s="155"/>
      <c r="AJ337" s="322"/>
      <c r="AK337" s="155"/>
      <c r="AL337" s="132"/>
    </row>
    <row r="338">
      <c r="A338" s="314"/>
      <c r="B338" s="313"/>
      <c r="C338" s="312"/>
      <c r="D338" s="313"/>
      <c r="E338" s="314"/>
      <c r="F338" s="318"/>
      <c r="G338" s="315"/>
      <c r="H338" s="314"/>
      <c r="I338" s="314"/>
      <c r="J338" s="314"/>
      <c r="K338" s="315"/>
      <c r="L338" s="736"/>
      <c r="M338" s="318"/>
      <c r="N338" s="315"/>
      <c r="O338" s="314"/>
      <c r="P338" s="314"/>
      <c r="Q338" s="314"/>
      <c r="R338" s="314"/>
      <c r="S338" s="848"/>
      <c r="T338" s="318"/>
      <c r="U338" s="315"/>
      <c r="V338" s="314"/>
      <c r="W338" s="314"/>
      <c r="X338" s="314"/>
      <c r="Y338" s="314"/>
      <c r="Z338" s="314"/>
      <c r="AA338" s="318"/>
      <c r="AB338" s="315"/>
      <c r="AC338" s="314"/>
      <c r="AD338" s="314"/>
      <c r="AE338" s="314"/>
      <c r="AF338" s="314"/>
      <c r="AG338" s="324"/>
      <c r="AH338" s="155"/>
      <c r="AI338" s="155"/>
      <c r="AJ338" s="322"/>
      <c r="AK338" s="155"/>
      <c r="AL338" s="132"/>
    </row>
    <row r="339">
      <c r="A339" s="314"/>
      <c r="B339" s="313"/>
      <c r="C339" s="312"/>
      <c r="D339" s="313"/>
      <c r="E339" s="314"/>
      <c r="F339" s="318"/>
      <c r="G339" s="315"/>
      <c r="H339" s="314"/>
      <c r="I339" s="314"/>
      <c r="J339" s="314"/>
      <c r="K339" s="315"/>
      <c r="L339" s="736"/>
      <c r="M339" s="318"/>
      <c r="N339" s="315"/>
      <c r="O339" s="314"/>
      <c r="P339" s="314"/>
      <c r="Q339" s="314"/>
      <c r="R339" s="314"/>
      <c r="S339" s="848"/>
      <c r="T339" s="318"/>
      <c r="U339" s="315"/>
      <c r="V339" s="314"/>
      <c r="W339" s="314"/>
      <c r="X339" s="314"/>
      <c r="Y339" s="314"/>
      <c r="Z339" s="314"/>
      <c r="AA339" s="318"/>
      <c r="AB339" s="315"/>
      <c r="AC339" s="314"/>
      <c r="AD339" s="314"/>
      <c r="AE339" s="314"/>
      <c r="AF339" s="314"/>
      <c r="AG339" s="324"/>
      <c r="AH339" s="155"/>
      <c r="AI339" s="155"/>
      <c r="AJ339" s="322"/>
      <c r="AK339" s="155"/>
      <c r="AL339" s="132"/>
    </row>
    <row r="340">
      <c r="A340" s="314"/>
      <c r="B340" s="313"/>
      <c r="C340" s="312"/>
      <c r="D340" s="313"/>
      <c r="E340" s="314"/>
      <c r="F340" s="318"/>
      <c r="G340" s="315"/>
      <c r="H340" s="314"/>
      <c r="I340" s="314"/>
      <c r="J340" s="314"/>
      <c r="K340" s="315"/>
      <c r="L340" s="736"/>
      <c r="M340" s="318"/>
      <c r="N340" s="315"/>
      <c r="O340" s="314"/>
      <c r="P340" s="314"/>
      <c r="Q340" s="314"/>
      <c r="R340" s="314"/>
      <c r="S340" s="848"/>
      <c r="T340" s="318"/>
      <c r="U340" s="315"/>
      <c r="V340" s="314"/>
      <c r="W340" s="314"/>
      <c r="X340" s="314"/>
      <c r="Y340" s="314"/>
      <c r="Z340" s="314"/>
      <c r="AA340" s="318"/>
      <c r="AB340" s="315"/>
      <c r="AC340" s="314"/>
      <c r="AD340" s="314"/>
      <c r="AE340" s="314"/>
      <c r="AF340" s="314"/>
      <c r="AG340" s="324"/>
      <c r="AH340" s="155"/>
      <c r="AI340" s="155"/>
      <c r="AJ340" s="322"/>
      <c r="AK340" s="155"/>
      <c r="AL340" s="132"/>
    </row>
    <row r="341">
      <c r="A341" s="314"/>
      <c r="B341" s="313"/>
      <c r="C341" s="312"/>
      <c r="D341" s="313"/>
      <c r="E341" s="314"/>
      <c r="F341" s="318"/>
      <c r="G341" s="315"/>
      <c r="H341" s="314"/>
      <c r="I341" s="314"/>
      <c r="J341" s="314"/>
      <c r="K341" s="315"/>
      <c r="L341" s="736"/>
      <c r="M341" s="318"/>
      <c r="N341" s="315"/>
      <c r="O341" s="314"/>
      <c r="P341" s="314"/>
      <c r="Q341" s="314"/>
      <c r="R341" s="314"/>
      <c r="S341" s="848"/>
      <c r="T341" s="318"/>
      <c r="U341" s="315"/>
      <c r="V341" s="314"/>
      <c r="W341" s="314"/>
      <c r="X341" s="314"/>
      <c r="Y341" s="314"/>
      <c r="Z341" s="314"/>
      <c r="AA341" s="318"/>
      <c r="AB341" s="315"/>
      <c r="AC341" s="314"/>
      <c r="AD341" s="314"/>
      <c r="AE341" s="314"/>
      <c r="AF341" s="314"/>
      <c r="AG341" s="324"/>
      <c r="AH341" s="155"/>
      <c r="AI341" s="155"/>
      <c r="AJ341" s="322"/>
      <c r="AK341" s="155"/>
      <c r="AL341" s="132"/>
    </row>
    <row r="342">
      <c r="A342" s="314"/>
      <c r="B342" s="313"/>
      <c r="C342" s="312"/>
      <c r="D342" s="313"/>
      <c r="E342" s="314"/>
      <c r="F342" s="318"/>
      <c r="G342" s="315"/>
      <c r="H342" s="314"/>
      <c r="I342" s="314"/>
      <c r="J342" s="314"/>
      <c r="K342" s="315"/>
      <c r="L342" s="736"/>
      <c r="M342" s="318"/>
      <c r="N342" s="315"/>
      <c r="O342" s="314"/>
      <c r="P342" s="314"/>
      <c r="Q342" s="314"/>
      <c r="R342" s="314"/>
      <c r="S342" s="848"/>
      <c r="T342" s="318"/>
      <c r="U342" s="315"/>
      <c r="V342" s="314"/>
      <c r="W342" s="314"/>
      <c r="X342" s="314"/>
      <c r="Y342" s="314"/>
      <c r="Z342" s="314"/>
      <c r="AA342" s="318"/>
      <c r="AB342" s="315"/>
      <c r="AC342" s="314"/>
      <c r="AD342" s="314"/>
      <c r="AE342" s="314"/>
      <c r="AF342" s="314"/>
      <c r="AG342" s="324"/>
      <c r="AH342" s="155"/>
      <c r="AI342" s="155"/>
      <c r="AJ342" s="322"/>
      <c r="AK342" s="155"/>
      <c r="AL342" s="132"/>
    </row>
    <row r="343">
      <c r="A343" s="314"/>
      <c r="B343" s="313"/>
      <c r="C343" s="312"/>
      <c r="D343" s="313"/>
      <c r="E343" s="314"/>
      <c r="F343" s="318"/>
      <c r="G343" s="315"/>
      <c r="H343" s="314"/>
      <c r="I343" s="314"/>
      <c r="J343" s="314"/>
      <c r="K343" s="315"/>
      <c r="L343" s="736"/>
      <c r="M343" s="318"/>
      <c r="N343" s="315"/>
      <c r="O343" s="314"/>
      <c r="P343" s="314"/>
      <c r="Q343" s="314"/>
      <c r="R343" s="314"/>
      <c r="S343" s="848"/>
      <c r="T343" s="318"/>
      <c r="U343" s="315"/>
      <c r="V343" s="314"/>
      <c r="W343" s="314"/>
      <c r="X343" s="314"/>
      <c r="Y343" s="314"/>
      <c r="Z343" s="314"/>
      <c r="AA343" s="318"/>
      <c r="AB343" s="315"/>
      <c r="AC343" s="314"/>
      <c r="AD343" s="314"/>
      <c r="AE343" s="314"/>
      <c r="AF343" s="314"/>
      <c r="AG343" s="324"/>
      <c r="AH343" s="155"/>
      <c r="AI343" s="155"/>
      <c r="AJ343" s="322"/>
      <c r="AK343" s="155"/>
      <c r="AL343" s="132"/>
    </row>
    <row r="344">
      <c r="A344" s="314"/>
      <c r="B344" s="313"/>
      <c r="C344" s="312"/>
      <c r="D344" s="313"/>
      <c r="E344" s="314"/>
      <c r="F344" s="318"/>
      <c r="G344" s="315"/>
      <c r="H344" s="314"/>
      <c r="I344" s="314"/>
      <c r="J344" s="314"/>
      <c r="K344" s="315"/>
      <c r="L344" s="736"/>
      <c r="M344" s="318"/>
      <c r="N344" s="315"/>
      <c r="O344" s="314"/>
      <c r="P344" s="314"/>
      <c r="Q344" s="314"/>
      <c r="R344" s="314"/>
      <c r="S344" s="848"/>
      <c r="T344" s="318"/>
      <c r="U344" s="315"/>
      <c r="V344" s="314"/>
      <c r="W344" s="314"/>
      <c r="X344" s="314"/>
      <c r="Y344" s="314"/>
      <c r="Z344" s="314"/>
      <c r="AA344" s="318"/>
      <c r="AB344" s="315"/>
      <c r="AC344" s="314"/>
      <c r="AD344" s="314"/>
      <c r="AE344" s="314"/>
      <c r="AF344" s="314"/>
      <c r="AG344" s="324"/>
      <c r="AH344" s="155"/>
      <c r="AI344" s="155"/>
      <c r="AJ344" s="322"/>
      <c r="AK344" s="155"/>
      <c r="AL344" s="132"/>
    </row>
    <row r="345">
      <c r="A345" s="314"/>
      <c r="B345" s="313"/>
      <c r="C345" s="312"/>
      <c r="D345" s="313"/>
      <c r="E345" s="314"/>
      <c r="F345" s="318"/>
      <c r="G345" s="315"/>
      <c r="H345" s="314"/>
      <c r="I345" s="314"/>
      <c r="J345" s="314"/>
      <c r="K345" s="315"/>
      <c r="L345" s="736"/>
      <c r="M345" s="318"/>
      <c r="N345" s="315"/>
      <c r="O345" s="314"/>
      <c r="P345" s="314"/>
      <c r="Q345" s="314"/>
      <c r="R345" s="314"/>
      <c r="S345" s="848"/>
      <c r="T345" s="318"/>
      <c r="U345" s="315"/>
      <c r="V345" s="314"/>
      <c r="W345" s="314"/>
      <c r="X345" s="314"/>
      <c r="Y345" s="314"/>
      <c r="Z345" s="314"/>
      <c r="AA345" s="318"/>
      <c r="AB345" s="315"/>
      <c r="AC345" s="314"/>
      <c r="AD345" s="314"/>
      <c r="AE345" s="314"/>
      <c r="AF345" s="314"/>
      <c r="AG345" s="324"/>
      <c r="AH345" s="155"/>
      <c r="AI345" s="155"/>
      <c r="AJ345" s="322"/>
      <c r="AK345" s="155"/>
      <c r="AL345" s="132"/>
    </row>
    <row r="346">
      <c r="A346" s="314"/>
      <c r="B346" s="313"/>
      <c r="C346" s="312"/>
      <c r="D346" s="313"/>
      <c r="E346" s="314"/>
      <c r="F346" s="318"/>
      <c r="G346" s="315"/>
      <c r="H346" s="314"/>
      <c r="I346" s="314"/>
      <c r="J346" s="314"/>
      <c r="K346" s="315"/>
      <c r="L346" s="736"/>
      <c r="M346" s="318"/>
      <c r="N346" s="315"/>
      <c r="O346" s="314"/>
      <c r="P346" s="314"/>
      <c r="Q346" s="314"/>
      <c r="R346" s="314"/>
      <c r="S346" s="848"/>
      <c r="T346" s="318"/>
      <c r="U346" s="315"/>
      <c r="V346" s="314"/>
      <c r="W346" s="314"/>
      <c r="X346" s="314"/>
      <c r="Y346" s="314"/>
      <c r="Z346" s="314"/>
      <c r="AA346" s="318"/>
      <c r="AB346" s="315"/>
      <c r="AC346" s="314"/>
      <c r="AD346" s="314"/>
      <c r="AE346" s="314"/>
      <c r="AF346" s="314"/>
      <c r="AG346" s="324"/>
      <c r="AH346" s="155"/>
      <c r="AI346" s="155"/>
      <c r="AJ346" s="322"/>
      <c r="AK346" s="155"/>
      <c r="AL346" s="132"/>
    </row>
    <row r="347">
      <c r="A347" s="314"/>
      <c r="B347" s="313"/>
      <c r="C347" s="312"/>
      <c r="D347" s="313"/>
      <c r="E347" s="314"/>
      <c r="F347" s="318"/>
      <c r="G347" s="315"/>
      <c r="H347" s="314"/>
      <c r="I347" s="314"/>
      <c r="J347" s="314"/>
      <c r="K347" s="315"/>
      <c r="L347" s="736"/>
      <c r="M347" s="318"/>
      <c r="N347" s="315"/>
      <c r="O347" s="314"/>
      <c r="P347" s="314"/>
      <c r="Q347" s="314"/>
      <c r="R347" s="314"/>
      <c r="S347" s="848"/>
      <c r="T347" s="318"/>
      <c r="U347" s="315"/>
      <c r="V347" s="314"/>
      <c r="W347" s="314"/>
      <c r="X347" s="314"/>
      <c r="Y347" s="314"/>
      <c r="Z347" s="314"/>
      <c r="AA347" s="318"/>
      <c r="AB347" s="315"/>
      <c r="AC347" s="314"/>
      <c r="AD347" s="314"/>
      <c r="AE347" s="314"/>
      <c r="AF347" s="314"/>
      <c r="AG347" s="324"/>
      <c r="AH347" s="155"/>
      <c r="AI347" s="155"/>
      <c r="AJ347" s="322"/>
      <c r="AK347" s="155"/>
      <c r="AL347" s="132"/>
    </row>
    <row r="348">
      <c r="A348" s="314"/>
      <c r="B348" s="313"/>
      <c r="C348" s="312"/>
      <c r="D348" s="313"/>
      <c r="E348" s="314"/>
      <c r="F348" s="318"/>
      <c r="G348" s="315"/>
      <c r="H348" s="314"/>
      <c r="I348" s="314"/>
      <c r="J348" s="314"/>
      <c r="K348" s="315"/>
      <c r="L348" s="736"/>
      <c r="M348" s="318"/>
      <c r="N348" s="315"/>
      <c r="O348" s="314"/>
      <c r="P348" s="314"/>
      <c r="Q348" s="314"/>
      <c r="R348" s="314"/>
      <c r="S348" s="848"/>
      <c r="T348" s="318"/>
      <c r="U348" s="315"/>
      <c r="V348" s="314"/>
      <c r="W348" s="314"/>
      <c r="X348" s="314"/>
      <c r="Y348" s="314"/>
      <c r="Z348" s="314"/>
      <c r="AA348" s="318"/>
      <c r="AB348" s="315"/>
      <c r="AC348" s="314"/>
      <c r="AD348" s="314"/>
      <c r="AE348" s="314"/>
      <c r="AF348" s="314"/>
      <c r="AG348" s="324"/>
      <c r="AH348" s="155"/>
      <c r="AI348" s="155"/>
      <c r="AJ348" s="322"/>
      <c r="AK348" s="155"/>
      <c r="AL348" s="132"/>
    </row>
    <row r="349">
      <c r="A349" s="314"/>
      <c r="B349" s="313"/>
      <c r="C349" s="312"/>
      <c r="D349" s="313"/>
      <c r="E349" s="314"/>
      <c r="F349" s="318"/>
      <c r="G349" s="315"/>
      <c r="H349" s="314"/>
      <c r="I349" s="314"/>
      <c r="J349" s="314"/>
      <c r="K349" s="315"/>
      <c r="L349" s="736"/>
      <c r="M349" s="318"/>
      <c r="N349" s="315"/>
      <c r="O349" s="314"/>
      <c r="P349" s="314"/>
      <c r="Q349" s="314"/>
      <c r="R349" s="314"/>
      <c r="S349" s="848"/>
      <c r="T349" s="318"/>
      <c r="U349" s="315"/>
      <c r="V349" s="314"/>
      <c r="W349" s="314"/>
      <c r="X349" s="314"/>
      <c r="Y349" s="314"/>
      <c r="Z349" s="314"/>
      <c r="AA349" s="318"/>
      <c r="AB349" s="315"/>
      <c r="AC349" s="314"/>
      <c r="AD349" s="314"/>
      <c r="AE349" s="314"/>
      <c r="AF349" s="314"/>
      <c r="AG349" s="324"/>
      <c r="AH349" s="155"/>
      <c r="AI349" s="155"/>
      <c r="AJ349" s="322"/>
      <c r="AK349" s="155"/>
      <c r="AL349" s="132"/>
    </row>
    <row r="350">
      <c r="A350" s="314"/>
      <c r="B350" s="313"/>
      <c r="C350" s="312"/>
      <c r="D350" s="313"/>
      <c r="E350" s="314"/>
      <c r="F350" s="318"/>
      <c r="G350" s="315"/>
      <c r="H350" s="314"/>
      <c r="I350" s="314"/>
      <c r="J350" s="314"/>
      <c r="K350" s="315"/>
      <c r="L350" s="736"/>
      <c r="M350" s="318"/>
      <c r="N350" s="315"/>
      <c r="O350" s="314"/>
      <c r="P350" s="314"/>
      <c r="Q350" s="314"/>
      <c r="R350" s="314"/>
      <c r="S350" s="848"/>
      <c r="T350" s="318"/>
      <c r="U350" s="315"/>
      <c r="V350" s="314"/>
      <c r="W350" s="314"/>
      <c r="X350" s="314"/>
      <c r="Y350" s="314"/>
      <c r="Z350" s="314"/>
      <c r="AA350" s="318"/>
      <c r="AB350" s="315"/>
      <c r="AC350" s="314"/>
      <c r="AD350" s="314"/>
      <c r="AE350" s="314"/>
      <c r="AF350" s="314"/>
      <c r="AG350" s="324"/>
      <c r="AH350" s="155"/>
      <c r="AI350" s="155"/>
      <c r="AJ350" s="322"/>
      <c r="AK350" s="155"/>
      <c r="AL350" s="132"/>
    </row>
    <row r="351">
      <c r="A351" s="314"/>
      <c r="B351" s="313"/>
      <c r="C351" s="312"/>
      <c r="D351" s="313"/>
      <c r="E351" s="314"/>
      <c r="F351" s="318"/>
      <c r="G351" s="315"/>
      <c r="H351" s="314"/>
      <c r="I351" s="314"/>
      <c r="J351" s="314"/>
      <c r="K351" s="315"/>
      <c r="L351" s="736"/>
      <c r="M351" s="318"/>
      <c r="N351" s="315"/>
      <c r="O351" s="314"/>
      <c r="P351" s="314"/>
      <c r="Q351" s="314"/>
      <c r="R351" s="314"/>
      <c r="S351" s="848"/>
      <c r="T351" s="318"/>
      <c r="U351" s="315"/>
      <c r="V351" s="314"/>
      <c r="W351" s="314"/>
      <c r="X351" s="314"/>
      <c r="Y351" s="314"/>
      <c r="Z351" s="314"/>
      <c r="AA351" s="318"/>
      <c r="AB351" s="315"/>
      <c r="AC351" s="314"/>
      <c r="AD351" s="314"/>
      <c r="AE351" s="314"/>
      <c r="AF351" s="314"/>
      <c r="AG351" s="324"/>
      <c r="AH351" s="155"/>
      <c r="AI351" s="155"/>
      <c r="AJ351" s="322"/>
      <c r="AK351" s="155"/>
      <c r="AL351" s="132"/>
    </row>
    <row r="352">
      <c r="A352" s="314"/>
      <c r="B352" s="313"/>
      <c r="C352" s="312"/>
      <c r="D352" s="313"/>
      <c r="E352" s="314"/>
      <c r="F352" s="318"/>
      <c r="G352" s="315"/>
      <c r="H352" s="314"/>
      <c r="I352" s="314"/>
      <c r="J352" s="314"/>
      <c r="K352" s="315"/>
      <c r="L352" s="736"/>
      <c r="M352" s="318"/>
      <c r="N352" s="315"/>
      <c r="O352" s="314"/>
      <c r="P352" s="314"/>
      <c r="Q352" s="314"/>
      <c r="R352" s="314"/>
      <c r="S352" s="848"/>
      <c r="T352" s="318"/>
      <c r="U352" s="315"/>
      <c r="V352" s="314"/>
      <c r="W352" s="314"/>
      <c r="X352" s="314"/>
      <c r="Y352" s="314"/>
      <c r="Z352" s="314"/>
      <c r="AA352" s="318"/>
      <c r="AB352" s="315"/>
      <c r="AC352" s="314"/>
      <c r="AD352" s="314"/>
      <c r="AE352" s="314"/>
      <c r="AF352" s="314"/>
      <c r="AG352" s="324"/>
      <c r="AH352" s="155"/>
      <c r="AI352" s="155"/>
      <c r="AJ352" s="322"/>
      <c r="AK352" s="155"/>
      <c r="AL352" s="132"/>
    </row>
    <row r="353">
      <c r="A353" s="314"/>
      <c r="B353" s="313"/>
      <c r="C353" s="312"/>
      <c r="D353" s="313"/>
      <c r="E353" s="314"/>
      <c r="F353" s="318"/>
      <c r="G353" s="315"/>
      <c r="H353" s="314"/>
      <c r="I353" s="314"/>
      <c r="J353" s="314"/>
      <c r="K353" s="315"/>
      <c r="L353" s="736"/>
      <c r="M353" s="318"/>
      <c r="N353" s="315"/>
      <c r="O353" s="314"/>
      <c r="P353" s="314"/>
      <c r="Q353" s="314"/>
      <c r="R353" s="314"/>
      <c r="S353" s="848"/>
      <c r="T353" s="318"/>
      <c r="U353" s="315"/>
      <c r="V353" s="314"/>
      <c r="W353" s="314"/>
      <c r="X353" s="314"/>
      <c r="Y353" s="314"/>
      <c r="Z353" s="314"/>
      <c r="AA353" s="318"/>
      <c r="AB353" s="315"/>
      <c r="AC353" s="314"/>
      <c r="AD353" s="314"/>
      <c r="AE353" s="314"/>
      <c r="AF353" s="314"/>
      <c r="AG353" s="324"/>
      <c r="AH353" s="155"/>
      <c r="AI353" s="155"/>
      <c r="AJ353" s="322"/>
      <c r="AK353" s="155"/>
      <c r="AL353" s="132"/>
    </row>
    <row r="354">
      <c r="A354" s="314"/>
      <c r="B354" s="313"/>
      <c r="C354" s="312"/>
      <c r="D354" s="313"/>
      <c r="E354" s="314"/>
      <c r="F354" s="318"/>
      <c r="G354" s="315"/>
      <c r="H354" s="314"/>
      <c r="I354" s="314"/>
      <c r="J354" s="314"/>
      <c r="K354" s="315"/>
      <c r="L354" s="736"/>
      <c r="M354" s="318"/>
      <c r="N354" s="315"/>
      <c r="O354" s="314"/>
      <c r="P354" s="314"/>
      <c r="Q354" s="314"/>
      <c r="R354" s="314"/>
      <c r="S354" s="848"/>
      <c r="T354" s="318"/>
      <c r="U354" s="315"/>
      <c r="V354" s="314"/>
      <c r="W354" s="314"/>
      <c r="X354" s="314"/>
      <c r="Y354" s="314"/>
      <c r="Z354" s="314"/>
      <c r="AA354" s="318"/>
      <c r="AB354" s="315"/>
      <c r="AC354" s="314"/>
      <c r="AD354" s="314"/>
      <c r="AE354" s="314"/>
      <c r="AF354" s="314"/>
      <c r="AG354" s="324"/>
      <c r="AH354" s="155"/>
      <c r="AI354" s="155"/>
      <c r="AJ354" s="322"/>
      <c r="AK354" s="155"/>
      <c r="AL354" s="132"/>
    </row>
    <row r="355">
      <c r="A355" s="314"/>
      <c r="B355" s="313"/>
      <c r="C355" s="312"/>
      <c r="D355" s="313"/>
      <c r="E355" s="314"/>
      <c r="F355" s="318"/>
      <c r="G355" s="315"/>
      <c r="H355" s="314"/>
      <c r="I355" s="314"/>
      <c r="J355" s="314"/>
      <c r="K355" s="315"/>
      <c r="L355" s="736"/>
      <c r="M355" s="318"/>
      <c r="N355" s="315"/>
      <c r="O355" s="314"/>
      <c r="P355" s="314"/>
      <c r="Q355" s="314"/>
      <c r="R355" s="314"/>
      <c r="S355" s="848"/>
      <c r="T355" s="318"/>
      <c r="U355" s="315"/>
      <c r="V355" s="314"/>
      <c r="W355" s="314"/>
      <c r="X355" s="314"/>
      <c r="Y355" s="314"/>
      <c r="Z355" s="314"/>
      <c r="AA355" s="318"/>
      <c r="AB355" s="315"/>
      <c r="AC355" s="314"/>
      <c r="AD355" s="314"/>
      <c r="AE355" s="314"/>
      <c r="AF355" s="314"/>
      <c r="AG355" s="324"/>
      <c r="AH355" s="155"/>
      <c r="AI355" s="155"/>
      <c r="AJ355" s="322"/>
      <c r="AK355" s="155"/>
      <c r="AL355" s="132"/>
    </row>
    <row r="356">
      <c r="A356" s="314"/>
      <c r="B356" s="313"/>
      <c r="C356" s="312"/>
      <c r="D356" s="313"/>
      <c r="E356" s="314"/>
      <c r="F356" s="318"/>
      <c r="G356" s="315"/>
      <c r="H356" s="314"/>
      <c r="I356" s="314"/>
      <c r="J356" s="314"/>
      <c r="K356" s="315"/>
      <c r="L356" s="736"/>
      <c r="M356" s="318"/>
      <c r="N356" s="315"/>
      <c r="O356" s="314"/>
      <c r="P356" s="314"/>
      <c r="Q356" s="314"/>
      <c r="R356" s="314"/>
      <c r="S356" s="848"/>
      <c r="T356" s="318"/>
      <c r="U356" s="315"/>
      <c r="V356" s="314"/>
      <c r="W356" s="314"/>
      <c r="X356" s="314"/>
      <c r="Y356" s="314"/>
      <c r="Z356" s="314"/>
      <c r="AA356" s="318"/>
      <c r="AB356" s="315"/>
      <c r="AC356" s="314"/>
      <c r="AD356" s="314"/>
      <c r="AE356" s="314"/>
      <c r="AF356" s="314"/>
      <c r="AG356" s="324"/>
      <c r="AH356" s="155"/>
      <c r="AI356" s="155"/>
      <c r="AJ356" s="322"/>
      <c r="AK356" s="155"/>
      <c r="AL356" s="132"/>
    </row>
    <row r="357">
      <c r="A357" s="314"/>
      <c r="B357" s="313"/>
      <c r="C357" s="312"/>
      <c r="D357" s="313"/>
      <c r="E357" s="314"/>
      <c r="F357" s="318"/>
      <c r="G357" s="315"/>
      <c r="H357" s="314"/>
      <c r="I357" s="314"/>
      <c r="J357" s="314"/>
      <c r="K357" s="315"/>
      <c r="L357" s="736"/>
      <c r="M357" s="318"/>
      <c r="N357" s="315"/>
      <c r="O357" s="314"/>
      <c r="P357" s="314"/>
      <c r="Q357" s="314"/>
      <c r="R357" s="314"/>
      <c r="S357" s="848"/>
      <c r="T357" s="318"/>
      <c r="U357" s="315"/>
      <c r="V357" s="314"/>
      <c r="W357" s="314"/>
      <c r="X357" s="314"/>
      <c r="Y357" s="314"/>
      <c r="Z357" s="314"/>
      <c r="AA357" s="318"/>
      <c r="AB357" s="315"/>
      <c r="AC357" s="314"/>
      <c r="AD357" s="314"/>
      <c r="AE357" s="314"/>
      <c r="AF357" s="314"/>
      <c r="AG357" s="324"/>
      <c r="AH357" s="155"/>
      <c r="AI357" s="155"/>
      <c r="AJ357" s="322"/>
      <c r="AK357" s="155"/>
      <c r="AL357" s="132"/>
    </row>
    <row r="358">
      <c r="A358" s="314"/>
      <c r="B358" s="313"/>
      <c r="C358" s="312"/>
      <c r="D358" s="313"/>
      <c r="E358" s="314"/>
      <c r="F358" s="318"/>
      <c r="G358" s="315"/>
      <c r="H358" s="314"/>
      <c r="I358" s="314"/>
      <c r="J358" s="314"/>
      <c r="K358" s="315"/>
      <c r="L358" s="736"/>
      <c r="M358" s="318"/>
      <c r="N358" s="315"/>
      <c r="O358" s="314"/>
      <c r="P358" s="314"/>
      <c r="Q358" s="314"/>
      <c r="R358" s="314"/>
      <c r="S358" s="848"/>
      <c r="T358" s="318"/>
      <c r="U358" s="315"/>
      <c r="V358" s="314"/>
      <c r="W358" s="314"/>
      <c r="X358" s="314"/>
      <c r="Y358" s="314"/>
      <c r="Z358" s="314"/>
      <c r="AA358" s="318"/>
      <c r="AB358" s="315"/>
      <c r="AC358" s="314"/>
      <c r="AD358" s="314"/>
      <c r="AE358" s="314"/>
      <c r="AF358" s="314"/>
      <c r="AG358" s="324"/>
      <c r="AH358" s="155"/>
      <c r="AI358" s="155"/>
      <c r="AJ358" s="322"/>
      <c r="AK358" s="155"/>
      <c r="AL358" s="132"/>
    </row>
    <row r="359">
      <c r="A359" s="314"/>
      <c r="B359" s="313"/>
      <c r="C359" s="312"/>
      <c r="D359" s="313"/>
      <c r="E359" s="314"/>
      <c r="F359" s="318"/>
      <c r="G359" s="315"/>
      <c r="H359" s="314"/>
      <c r="I359" s="314"/>
      <c r="J359" s="314"/>
      <c r="K359" s="315"/>
      <c r="L359" s="736"/>
      <c r="M359" s="318"/>
      <c r="N359" s="315"/>
      <c r="O359" s="314"/>
      <c r="P359" s="314"/>
      <c r="Q359" s="314"/>
      <c r="R359" s="314"/>
      <c r="S359" s="848"/>
      <c r="T359" s="318"/>
      <c r="U359" s="315"/>
      <c r="V359" s="314"/>
      <c r="W359" s="314"/>
      <c r="X359" s="314"/>
      <c r="Y359" s="314"/>
      <c r="Z359" s="314"/>
      <c r="AA359" s="318"/>
      <c r="AB359" s="315"/>
      <c r="AC359" s="314"/>
      <c r="AD359" s="314"/>
      <c r="AE359" s="314"/>
      <c r="AF359" s="314"/>
      <c r="AG359" s="324"/>
      <c r="AH359" s="155"/>
      <c r="AI359" s="155"/>
      <c r="AJ359" s="322"/>
      <c r="AK359" s="155"/>
      <c r="AL359" s="132"/>
    </row>
    <row r="360">
      <c r="A360" s="314"/>
      <c r="B360" s="313"/>
      <c r="C360" s="312"/>
      <c r="D360" s="313"/>
      <c r="E360" s="314"/>
      <c r="F360" s="318"/>
      <c r="G360" s="315"/>
      <c r="H360" s="314"/>
      <c r="I360" s="314"/>
      <c r="J360" s="314"/>
      <c r="K360" s="315"/>
      <c r="L360" s="736"/>
      <c r="M360" s="318"/>
      <c r="N360" s="315"/>
      <c r="O360" s="314"/>
      <c r="P360" s="314"/>
      <c r="Q360" s="314"/>
      <c r="R360" s="314"/>
      <c r="S360" s="848"/>
      <c r="T360" s="318"/>
      <c r="U360" s="315"/>
      <c r="V360" s="314"/>
      <c r="W360" s="314"/>
      <c r="X360" s="314"/>
      <c r="Y360" s="314"/>
      <c r="Z360" s="314"/>
      <c r="AA360" s="318"/>
      <c r="AB360" s="315"/>
      <c r="AC360" s="314"/>
      <c r="AD360" s="314"/>
      <c r="AE360" s="314"/>
      <c r="AF360" s="314"/>
      <c r="AG360" s="324"/>
      <c r="AH360" s="155"/>
      <c r="AI360" s="155"/>
      <c r="AJ360" s="322"/>
      <c r="AK360" s="155"/>
      <c r="AL360" s="132"/>
    </row>
    <row r="361">
      <c r="A361" s="314"/>
      <c r="B361" s="313"/>
      <c r="C361" s="312"/>
      <c r="D361" s="313"/>
      <c r="E361" s="314"/>
      <c r="F361" s="318"/>
      <c r="G361" s="315"/>
      <c r="H361" s="314"/>
      <c r="I361" s="314"/>
      <c r="J361" s="314"/>
      <c r="K361" s="315"/>
      <c r="L361" s="736"/>
      <c r="M361" s="318"/>
      <c r="N361" s="315"/>
      <c r="O361" s="314"/>
      <c r="P361" s="314"/>
      <c r="Q361" s="314"/>
      <c r="R361" s="314"/>
      <c r="S361" s="848"/>
      <c r="T361" s="318"/>
      <c r="U361" s="315"/>
      <c r="V361" s="314"/>
      <c r="W361" s="314"/>
      <c r="X361" s="314"/>
      <c r="Y361" s="314"/>
      <c r="Z361" s="314"/>
      <c r="AA361" s="318"/>
      <c r="AB361" s="315"/>
      <c r="AC361" s="314"/>
      <c r="AD361" s="314"/>
      <c r="AE361" s="314"/>
      <c r="AF361" s="314"/>
      <c r="AG361" s="324"/>
      <c r="AH361" s="155"/>
      <c r="AI361" s="155"/>
      <c r="AJ361" s="322"/>
      <c r="AK361" s="155"/>
      <c r="AL361" s="132"/>
    </row>
    <row r="362">
      <c r="A362" s="314"/>
      <c r="B362" s="313"/>
      <c r="C362" s="312"/>
      <c r="D362" s="313"/>
      <c r="E362" s="314"/>
      <c r="F362" s="318"/>
      <c r="G362" s="315"/>
      <c r="H362" s="314"/>
      <c r="I362" s="314"/>
      <c r="J362" s="314"/>
      <c r="K362" s="315"/>
      <c r="L362" s="736"/>
      <c r="M362" s="318"/>
      <c r="N362" s="315"/>
      <c r="O362" s="314"/>
      <c r="P362" s="314"/>
      <c r="Q362" s="314"/>
      <c r="R362" s="314"/>
      <c r="S362" s="848"/>
      <c r="T362" s="318"/>
      <c r="U362" s="315"/>
      <c r="V362" s="314"/>
      <c r="W362" s="314"/>
      <c r="X362" s="314"/>
      <c r="Y362" s="314"/>
      <c r="Z362" s="314"/>
      <c r="AA362" s="318"/>
      <c r="AB362" s="315"/>
      <c r="AC362" s="314"/>
      <c r="AD362" s="314"/>
      <c r="AE362" s="314"/>
      <c r="AF362" s="314"/>
      <c r="AG362" s="324"/>
      <c r="AH362" s="155"/>
      <c r="AI362" s="155"/>
      <c r="AJ362" s="322"/>
      <c r="AK362" s="155"/>
      <c r="AL362" s="132"/>
    </row>
    <row r="363">
      <c r="A363" s="314"/>
      <c r="B363" s="313"/>
      <c r="C363" s="312"/>
      <c r="D363" s="313"/>
      <c r="E363" s="314"/>
      <c r="F363" s="318"/>
      <c r="G363" s="315"/>
      <c r="H363" s="314"/>
      <c r="I363" s="314"/>
      <c r="J363" s="314"/>
      <c r="K363" s="315"/>
      <c r="L363" s="736"/>
      <c r="M363" s="318"/>
      <c r="N363" s="315"/>
      <c r="O363" s="314"/>
      <c r="P363" s="314"/>
      <c r="Q363" s="314"/>
      <c r="R363" s="314"/>
      <c r="S363" s="848"/>
      <c r="T363" s="318"/>
      <c r="U363" s="315"/>
      <c r="V363" s="314"/>
      <c r="W363" s="314"/>
      <c r="X363" s="314"/>
      <c r="Y363" s="314"/>
      <c r="Z363" s="314"/>
      <c r="AA363" s="318"/>
      <c r="AB363" s="315"/>
      <c r="AC363" s="314"/>
      <c r="AD363" s="314"/>
      <c r="AE363" s="314"/>
      <c r="AF363" s="314"/>
      <c r="AG363" s="324"/>
      <c r="AH363" s="155"/>
      <c r="AI363" s="155"/>
      <c r="AJ363" s="322"/>
      <c r="AK363" s="155"/>
      <c r="AL363" s="132"/>
    </row>
    <row r="364">
      <c r="A364" s="314"/>
      <c r="B364" s="313"/>
      <c r="C364" s="312"/>
      <c r="D364" s="313"/>
      <c r="E364" s="314"/>
      <c r="F364" s="318"/>
      <c r="G364" s="315"/>
      <c r="H364" s="314"/>
      <c r="I364" s="314"/>
      <c r="J364" s="314"/>
      <c r="K364" s="315"/>
      <c r="L364" s="736"/>
      <c r="M364" s="318"/>
      <c r="N364" s="315"/>
      <c r="O364" s="314"/>
      <c r="P364" s="314"/>
      <c r="Q364" s="314"/>
      <c r="R364" s="314"/>
      <c r="S364" s="848"/>
      <c r="T364" s="318"/>
      <c r="U364" s="315"/>
      <c r="V364" s="314"/>
      <c r="W364" s="314"/>
      <c r="X364" s="314"/>
      <c r="Y364" s="314"/>
      <c r="Z364" s="314"/>
      <c r="AA364" s="318"/>
      <c r="AB364" s="315"/>
      <c r="AC364" s="314"/>
      <c r="AD364" s="314"/>
      <c r="AE364" s="314"/>
      <c r="AF364" s="314"/>
      <c r="AG364" s="324"/>
      <c r="AH364" s="155"/>
      <c r="AI364" s="155"/>
      <c r="AJ364" s="322"/>
      <c r="AK364" s="155"/>
      <c r="AL364" s="132"/>
    </row>
    <row r="365">
      <c r="A365" s="314"/>
      <c r="B365" s="313"/>
      <c r="C365" s="312"/>
      <c r="D365" s="313"/>
      <c r="E365" s="314"/>
      <c r="F365" s="318"/>
      <c r="G365" s="315"/>
      <c r="H365" s="314"/>
      <c r="I365" s="314"/>
      <c r="J365" s="314"/>
      <c r="K365" s="315"/>
      <c r="L365" s="736"/>
      <c r="M365" s="318"/>
      <c r="N365" s="315"/>
      <c r="O365" s="314"/>
      <c r="P365" s="314"/>
      <c r="Q365" s="314"/>
      <c r="R365" s="314"/>
      <c r="S365" s="848"/>
      <c r="T365" s="318"/>
      <c r="U365" s="315"/>
      <c r="V365" s="314"/>
      <c r="W365" s="314"/>
      <c r="X365" s="314"/>
      <c r="Y365" s="314"/>
      <c r="Z365" s="314"/>
      <c r="AA365" s="318"/>
      <c r="AB365" s="315"/>
      <c r="AC365" s="314"/>
      <c r="AD365" s="314"/>
      <c r="AE365" s="314"/>
      <c r="AF365" s="314"/>
      <c r="AG365" s="324"/>
      <c r="AH365" s="155"/>
      <c r="AI365" s="155"/>
      <c r="AJ365" s="322"/>
      <c r="AK365" s="155"/>
      <c r="AL365" s="132"/>
    </row>
    <row r="366">
      <c r="A366" s="314"/>
      <c r="B366" s="313"/>
      <c r="C366" s="312"/>
      <c r="D366" s="313"/>
      <c r="E366" s="314"/>
      <c r="F366" s="318"/>
      <c r="G366" s="315"/>
      <c r="H366" s="314"/>
      <c r="I366" s="314"/>
      <c r="J366" s="314"/>
      <c r="K366" s="315"/>
      <c r="L366" s="736"/>
      <c r="M366" s="318"/>
      <c r="N366" s="315"/>
      <c r="O366" s="314"/>
      <c r="P366" s="314"/>
      <c r="Q366" s="314"/>
      <c r="R366" s="314"/>
      <c r="S366" s="848"/>
      <c r="T366" s="318"/>
      <c r="U366" s="315"/>
      <c r="V366" s="314"/>
      <c r="W366" s="314"/>
      <c r="X366" s="314"/>
      <c r="Y366" s="314"/>
      <c r="Z366" s="314"/>
      <c r="AA366" s="318"/>
      <c r="AB366" s="315"/>
      <c r="AC366" s="314"/>
      <c r="AD366" s="314"/>
      <c r="AE366" s="314"/>
      <c r="AF366" s="314"/>
      <c r="AG366" s="324"/>
      <c r="AH366" s="155"/>
      <c r="AI366" s="155"/>
      <c r="AJ366" s="322"/>
      <c r="AK366" s="155"/>
      <c r="AL366" s="132"/>
    </row>
    <row r="367">
      <c r="A367" s="314"/>
      <c r="B367" s="313"/>
      <c r="C367" s="312"/>
      <c r="D367" s="313"/>
      <c r="E367" s="314"/>
      <c r="F367" s="318"/>
      <c r="G367" s="315"/>
      <c r="H367" s="314"/>
      <c r="I367" s="314"/>
      <c r="J367" s="314"/>
      <c r="K367" s="315"/>
      <c r="L367" s="736"/>
      <c r="M367" s="318"/>
      <c r="N367" s="315"/>
      <c r="O367" s="314"/>
      <c r="P367" s="314"/>
      <c r="Q367" s="314"/>
      <c r="R367" s="314"/>
      <c r="S367" s="848"/>
      <c r="T367" s="318"/>
      <c r="U367" s="315"/>
      <c r="V367" s="314"/>
      <c r="W367" s="314"/>
      <c r="X367" s="314"/>
      <c r="Y367" s="314"/>
      <c r="Z367" s="314"/>
      <c r="AA367" s="318"/>
      <c r="AB367" s="315"/>
      <c r="AC367" s="314"/>
      <c r="AD367" s="314"/>
      <c r="AE367" s="314"/>
      <c r="AF367" s="314"/>
      <c r="AG367" s="324"/>
      <c r="AH367" s="155"/>
      <c r="AI367" s="155"/>
      <c r="AJ367" s="322"/>
      <c r="AK367" s="155"/>
      <c r="AL367" s="132"/>
    </row>
    <row r="368">
      <c r="A368" s="314"/>
      <c r="B368" s="313"/>
      <c r="C368" s="312"/>
      <c r="D368" s="313"/>
      <c r="E368" s="314"/>
      <c r="F368" s="318"/>
      <c r="G368" s="315"/>
      <c r="H368" s="314"/>
      <c r="I368" s="314"/>
      <c r="J368" s="314"/>
      <c r="K368" s="315"/>
      <c r="L368" s="736"/>
      <c r="M368" s="318"/>
      <c r="N368" s="315"/>
      <c r="O368" s="314"/>
      <c r="P368" s="314"/>
      <c r="Q368" s="314"/>
      <c r="R368" s="314"/>
      <c r="S368" s="848"/>
      <c r="T368" s="318"/>
      <c r="U368" s="315"/>
      <c r="V368" s="314"/>
      <c r="W368" s="314"/>
      <c r="X368" s="314"/>
      <c r="Y368" s="314"/>
      <c r="Z368" s="314"/>
      <c r="AA368" s="318"/>
      <c r="AB368" s="315"/>
      <c r="AC368" s="314"/>
      <c r="AD368" s="314"/>
      <c r="AE368" s="314"/>
      <c r="AF368" s="314"/>
      <c r="AG368" s="324"/>
      <c r="AH368" s="155"/>
      <c r="AI368" s="155"/>
      <c r="AJ368" s="322"/>
      <c r="AK368" s="155"/>
      <c r="AL368" s="132"/>
    </row>
    <row r="369">
      <c r="A369" s="314"/>
      <c r="B369" s="313"/>
      <c r="C369" s="312"/>
      <c r="D369" s="313"/>
      <c r="E369" s="314"/>
      <c r="F369" s="318"/>
      <c r="G369" s="315"/>
      <c r="H369" s="314"/>
      <c r="I369" s="314"/>
      <c r="J369" s="314"/>
      <c r="K369" s="315"/>
      <c r="L369" s="736"/>
      <c r="M369" s="318"/>
      <c r="N369" s="315"/>
      <c r="O369" s="314"/>
      <c r="P369" s="314"/>
      <c r="Q369" s="314"/>
      <c r="R369" s="314"/>
      <c r="S369" s="848"/>
      <c r="T369" s="318"/>
      <c r="U369" s="315"/>
      <c r="V369" s="314"/>
      <c r="W369" s="314"/>
      <c r="X369" s="314"/>
      <c r="Y369" s="314"/>
      <c r="Z369" s="314"/>
      <c r="AA369" s="318"/>
      <c r="AB369" s="315"/>
      <c r="AC369" s="314"/>
      <c r="AD369" s="314"/>
      <c r="AE369" s="314"/>
      <c r="AF369" s="314"/>
      <c r="AG369" s="324"/>
      <c r="AH369" s="155"/>
      <c r="AI369" s="155"/>
      <c r="AJ369" s="322"/>
      <c r="AK369" s="155"/>
      <c r="AL369" s="132"/>
    </row>
    <row r="370">
      <c r="A370" s="314"/>
      <c r="B370" s="313"/>
      <c r="C370" s="312"/>
      <c r="D370" s="313"/>
      <c r="E370" s="314"/>
      <c r="F370" s="318"/>
      <c r="G370" s="315"/>
      <c r="H370" s="314"/>
      <c r="I370" s="314"/>
      <c r="J370" s="314"/>
      <c r="K370" s="315"/>
      <c r="L370" s="736"/>
      <c r="M370" s="318"/>
      <c r="N370" s="315"/>
      <c r="O370" s="314"/>
      <c r="P370" s="314"/>
      <c r="Q370" s="314"/>
      <c r="R370" s="314"/>
      <c r="S370" s="848"/>
      <c r="T370" s="318"/>
      <c r="U370" s="315"/>
      <c r="V370" s="314"/>
      <c r="W370" s="314"/>
      <c r="X370" s="314"/>
      <c r="Y370" s="314"/>
      <c r="Z370" s="314"/>
      <c r="AA370" s="318"/>
      <c r="AB370" s="315"/>
      <c r="AC370" s="314"/>
      <c r="AD370" s="314"/>
      <c r="AE370" s="314"/>
      <c r="AF370" s="314"/>
      <c r="AG370" s="324"/>
      <c r="AH370" s="155"/>
      <c r="AI370" s="155"/>
      <c r="AJ370" s="322"/>
      <c r="AK370" s="155"/>
      <c r="AL370" s="132"/>
    </row>
    <row r="371">
      <c r="A371" s="314"/>
      <c r="B371" s="313"/>
      <c r="C371" s="312"/>
      <c r="D371" s="313"/>
      <c r="E371" s="314"/>
      <c r="F371" s="318"/>
      <c r="G371" s="315"/>
      <c r="H371" s="314"/>
      <c r="I371" s="314"/>
      <c r="J371" s="314"/>
      <c r="K371" s="315"/>
      <c r="L371" s="736"/>
      <c r="M371" s="318"/>
      <c r="N371" s="315"/>
      <c r="O371" s="314"/>
      <c r="P371" s="314"/>
      <c r="Q371" s="314"/>
      <c r="R371" s="314"/>
      <c r="S371" s="848"/>
      <c r="T371" s="318"/>
      <c r="U371" s="315"/>
      <c r="V371" s="314"/>
      <c r="W371" s="314"/>
      <c r="X371" s="314"/>
      <c r="Y371" s="314"/>
      <c r="Z371" s="314"/>
      <c r="AA371" s="318"/>
      <c r="AB371" s="315"/>
      <c r="AC371" s="314"/>
      <c r="AD371" s="314"/>
      <c r="AE371" s="314"/>
      <c r="AF371" s="314"/>
      <c r="AG371" s="324"/>
      <c r="AH371" s="155"/>
      <c r="AI371" s="155"/>
      <c r="AJ371" s="322"/>
      <c r="AK371" s="155"/>
      <c r="AL371" s="132"/>
    </row>
    <row r="372">
      <c r="A372" s="314"/>
      <c r="B372" s="313"/>
      <c r="C372" s="312"/>
      <c r="D372" s="313"/>
      <c r="E372" s="314"/>
      <c r="F372" s="318"/>
      <c r="G372" s="315"/>
      <c r="H372" s="314"/>
      <c r="I372" s="314"/>
      <c r="J372" s="314"/>
      <c r="K372" s="315"/>
      <c r="L372" s="736"/>
      <c r="M372" s="318"/>
      <c r="N372" s="315"/>
      <c r="O372" s="314"/>
      <c r="P372" s="314"/>
      <c r="Q372" s="314"/>
      <c r="R372" s="314"/>
      <c r="S372" s="848"/>
      <c r="T372" s="318"/>
      <c r="U372" s="315"/>
      <c r="V372" s="314"/>
      <c r="W372" s="314"/>
      <c r="X372" s="314"/>
      <c r="Y372" s="314"/>
      <c r="Z372" s="314"/>
      <c r="AA372" s="318"/>
      <c r="AB372" s="315"/>
      <c r="AC372" s="314"/>
      <c r="AD372" s="314"/>
      <c r="AE372" s="314"/>
      <c r="AF372" s="314"/>
      <c r="AG372" s="324"/>
      <c r="AH372" s="155"/>
      <c r="AI372" s="155"/>
      <c r="AJ372" s="322"/>
      <c r="AK372" s="155"/>
      <c r="AL372" s="132"/>
    </row>
    <row r="373">
      <c r="A373" s="314"/>
      <c r="B373" s="313"/>
      <c r="C373" s="312"/>
      <c r="D373" s="313"/>
      <c r="E373" s="314"/>
      <c r="F373" s="318"/>
      <c r="G373" s="315"/>
      <c r="H373" s="314"/>
      <c r="I373" s="314"/>
      <c r="J373" s="314"/>
      <c r="K373" s="315"/>
      <c r="L373" s="736"/>
      <c r="M373" s="318"/>
      <c r="N373" s="315"/>
      <c r="O373" s="314"/>
      <c r="P373" s="314"/>
      <c r="Q373" s="314"/>
      <c r="R373" s="314"/>
      <c r="S373" s="848"/>
      <c r="T373" s="318"/>
      <c r="U373" s="315"/>
      <c r="V373" s="314"/>
      <c r="W373" s="314"/>
      <c r="X373" s="314"/>
      <c r="Y373" s="314"/>
      <c r="Z373" s="314"/>
      <c r="AA373" s="318"/>
      <c r="AB373" s="315"/>
      <c r="AC373" s="314"/>
      <c r="AD373" s="314"/>
      <c r="AE373" s="314"/>
      <c r="AF373" s="314"/>
      <c r="AG373" s="324"/>
      <c r="AH373" s="155"/>
      <c r="AI373" s="155"/>
      <c r="AJ373" s="322"/>
      <c r="AK373" s="155"/>
      <c r="AL373" s="132"/>
    </row>
    <row r="374">
      <c r="A374" s="314"/>
      <c r="B374" s="313"/>
      <c r="C374" s="312"/>
      <c r="D374" s="313"/>
      <c r="E374" s="314"/>
      <c r="F374" s="318"/>
      <c r="G374" s="315"/>
      <c r="H374" s="314"/>
      <c r="I374" s="314"/>
      <c r="J374" s="314"/>
      <c r="K374" s="315"/>
      <c r="L374" s="736"/>
      <c r="M374" s="318"/>
      <c r="N374" s="315"/>
      <c r="O374" s="314"/>
      <c r="P374" s="314"/>
      <c r="Q374" s="314"/>
      <c r="R374" s="314"/>
      <c r="S374" s="848"/>
      <c r="T374" s="318"/>
      <c r="U374" s="315"/>
      <c r="V374" s="314"/>
      <c r="W374" s="314"/>
      <c r="X374" s="314"/>
      <c r="Y374" s="314"/>
      <c r="Z374" s="314"/>
      <c r="AA374" s="318"/>
      <c r="AB374" s="315"/>
      <c r="AC374" s="314"/>
      <c r="AD374" s="314"/>
      <c r="AE374" s="314"/>
      <c r="AF374" s="314"/>
      <c r="AG374" s="324"/>
      <c r="AH374" s="155"/>
      <c r="AI374" s="155"/>
      <c r="AJ374" s="322"/>
      <c r="AK374" s="155"/>
      <c r="AL374" s="132"/>
    </row>
    <row r="375">
      <c r="A375" s="314"/>
      <c r="B375" s="313"/>
      <c r="C375" s="312"/>
      <c r="D375" s="313"/>
      <c r="E375" s="314"/>
      <c r="F375" s="318"/>
      <c r="G375" s="315"/>
      <c r="H375" s="314"/>
      <c r="I375" s="314"/>
      <c r="J375" s="314"/>
      <c r="K375" s="315"/>
      <c r="L375" s="736"/>
      <c r="M375" s="318"/>
      <c r="N375" s="315"/>
      <c r="O375" s="314"/>
      <c r="P375" s="314"/>
      <c r="Q375" s="314"/>
      <c r="R375" s="314"/>
      <c r="S375" s="848"/>
      <c r="T375" s="318"/>
      <c r="U375" s="315"/>
      <c r="V375" s="314"/>
      <c r="W375" s="314"/>
      <c r="X375" s="314"/>
      <c r="Y375" s="314"/>
      <c r="Z375" s="314"/>
      <c r="AA375" s="318"/>
      <c r="AB375" s="315"/>
      <c r="AC375" s="314"/>
      <c r="AD375" s="314"/>
      <c r="AE375" s="314"/>
      <c r="AF375" s="314"/>
      <c r="AG375" s="324"/>
      <c r="AH375" s="155"/>
      <c r="AI375" s="155"/>
      <c r="AJ375" s="322"/>
      <c r="AK375" s="155"/>
      <c r="AL375" s="132"/>
    </row>
    <row r="376">
      <c r="A376" s="314"/>
      <c r="B376" s="313"/>
      <c r="C376" s="312"/>
      <c r="D376" s="313"/>
      <c r="E376" s="314"/>
      <c r="F376" s="318"/>
      <c r="G376" s="315"/>
      <c r="H376" s="314"/>
      <c r="I376" s="314"/>
      <c r="J376" s="314"/>
      <c r="K376" s="315"/>
      <c r="L376" s="736"/>
      <c r="M376" s="318"/>
      <c r="N376" s="315"/>
      <c r="O376" s="314"/>
      <c r="P376" s="314"/>
      <c r="Q376" s="314"/>
      <c r="R376" s="314"/>
      <c r="S376" s="848"/>
      <c r="T376" s="318"/>
      <c r="U376" s="315"/>
      <c r="V376" s="314"/>
      <c r="W376" s="314"/>
      <c r="X376" s="314"/>
      <c r="Y376" s="314"/>
      <c r="Z376" s="314"/>
      <c r="AA376" s="318"/>
      <c r="AB376" s="315"/>
      <c r="AC376" s="314"/>
      <c r="AD376" s="314"/>
      <c r="AE376" s="314"/>
      <c r="AF376" s="314"/>
      <c r="AG376" s="324"/>
      <c r="AH376" s="155"/>
      <c r="AI376" s="155"/>
      <c r="AJ376" s="322"/>
      <c r="AK376" s="155"/>
      <c r="AL376" s="132"/>
    </row>
    <row r="377">
      <c r="A377" s="314"/>
      <c r="B377" s="313"/>
      <c r="C377" s="312"/>
      <c r="D377" s="313"/>
      <c r="E377" s="314"/>
      <c r="F377" s="318"/>
      <c r="G377" s="315"/>
      <c r="H377" s="314"/>
      <c r="I377" s="314"/>
      <c r="J377" s="314"/>
      <c r="K377" s="315"/>
      <c r="L377" s="736"/>
      <c r="M377" s="318"/>
      <c r="N377" s="315"/>
      <c r="O377" s="314"/>
      <c r="P377" s="314"/>
      <c r="Q377" s="314"/>
      <c r="R377" s="314"/>
      <c r="S377" s="848"/>
      <c r="T377" s="318"/>
      <c r="U377" s="315"/>
      <c r="V377" s="314"/>
      <c r="W377" s="314"/>
      <c r="X377" s="314"/>
      <c r="Y377" s="314"/>
      <c r="Z377" s="314"/>
      <c r="AA377" s="318"/>
      <c r="AB377" s="315"/>
      <c r="AC377" s="314"/>
      <c r="AD377" s="314"/>
      <c r="AE377" s="314"/>
      <c r="AF377" s="314"/>
      <c r="AG377" s="324"/>
      <c r="AH377" s="155"/>
      <c r="AI377" s="155"/>
      <c r="AJ377" s="322"/>
      <c r="AK377" s="155"/>
      <c r="AL377" s="132"/>
    </row>
    <row r="378">
      <c r="A378" s="314"/>
      <c r="B378" s="313"/>
      <c r="C378" s="312"/>
      <c r="D378" s="313"/>
      <c r="E378" s="314"/>
      <c r="F378" s="318"/>
      <c r="G378" s="315"/>
      <c r="H378" s="314"/>
      <c r="I378" s="314"/>
      <c r="J378" s="314"/>
      <c r="K378" s="315"/>
      <c r="L378" s="736"/>
      <c r="M378" s="318"/>
      <c r="N378" s="315"/>
      <c r="O378" s="314"/>
      <c r="P378" s="314"/>
      <c r="Q378" s="314"/>
      <c r="R378" s="314"/>
      <c r="S378" s="848"/>
      <c r="T378" s="318"/>
      <c r="U378" s="315"/>
      <c r="V378" s="314"/>
      <c r="W378" s="314"/>
      <c r="X378" s="314"/>
      <c r="Y378" s="314"/>
      <c r="Z378" s="314"/>
      <c r="AA378" s="318"/>
      <c r="AB378" s="315"/>
      <c r="AC378" s="314"/>
      <c r="AD378" s="314"/>
      <c r="AE378" s="314"/>
      <c r="AF378" s="314"/>
      <c r="AG378" s="324"/>
      <c r="AH378" s="155"/>
      <c r="AI378" s="155"/>
      <c r="AJ378" s="322"/>
      <c r="AK378" s="155"/>
      <c r="AL378" s="132"/>
    </row>
    <row r="379">
      <c r="A379" s="314"/>
      <c r="B379" s="313"/>
      <c r="C379" s="312"/>
      <c r="D379" s="313"/>
      <c r="E379" s="314"/>
      <c r="F379" s="318"/>
      <c r="G379" s="315"/>
      <c r="H379" s="314"/>
      <c r="I379" s="314"/>
      <c r="J379" s="314"/>
      <c r="K379" s="315"/>
      <c r="L379" s="736"/>
      <c r="M379" s="318"/>
      <c r="N379" s="315"/>
      <c r="O379" s="314"/>
      <c r="P379" s="314"/>
      <c r="Q379" s="314"/>
      <c r="R379" s="314"/>
      <c r="S379" s="848"/>
      <c r="T379" s="318"/>
      <c r="U379" s="315"/>
      <c r="V379" s="314"/>
      <c r="W379" s="314"/>
      <c r="X379" s="314"/>
      <c r="Y379" s="314"/>
      <c r="Z379" s="314"/>
      <c r="AA379" s="318"/>
      <c r="AB379" s="315"/>
      <c r="AC379" s="314"/>
      <c r="AD379" s="314"/>
      <c r="AE379" s="314"/>
      <c r="AF379" s="314"/>
      <c r="AG379" s="324"/>
      <c r="AH379" s="155"/>
      <c r="AI379" s="155"/>
      <c r="AJ379" s="322"/>
      <c r="AK379" s="155"/>
      <c r="AL379" s="132"/>
    </row>
    <row r="380">
      <c r="A380" s="314"/>
      <c r="B380" s="313"/>
      <c r="C380" s="312"/>
      <c r="D380" s="313"/>
      <c r="E380" s="314"/>
      <c r="F380" s="318"/>
      <c r="G380" s="315"/>
      <c r="H380" s="314"/>
      <c r="I380" s="314"/>
      <c r="J380" s="314"/>
      <c r="K380" s="315"/>
      <c r="L380" s="736"/>
      <c r="M380" s="318"/>
      <c r="N380" s="315"/>
      <c r="O380" s="314"/>
      <c r="P380" s="314"/>
      <c r="Q380" s="314"/>
      <c r="R380" s="314"/>
      <c r="S380" s="848"/>
      <c r="T380" s="318"/>
      <c r="U380" s="315"/>
      <c r="V380" s="314"/>
      <c r="W380" s="314"/>
      <c r="X380" s="314"/>
      <c r="Y380" s="314"/>
      <c r="Z380" s="314"/>
      <c r="AA380" s="318"/>
      <c r="AB380" s="315"/>
      <c r="AC380" s="314"/>
      <c r="AD380" s="314"/>
      <c r="AE380" s="314"/>
      <c r="AF380" s="314"/>
      <c r="AG380" s="324"/>
      <c r="AH380" s="155"/>
      <c r="AI380" s="155"/>
      <c r="AJ380" s="322"/>
      <c r="AK380" s="155"/>
      <c r="AL380" s="132"/>
    </row>
    <row r="381">
      <c r="A381" s="314"/>
      <c r="B381" s="313"/>
      <c r="C381" s="312"/>
      <c r="D381" s="313"/>
      <c r="E381" s="314"/>
      <c r="F381" s="318"/>
      <c r="G381" s="315"/>
      <c r="H381" s="314"/>
      <c r="I381" s="314"/>
      <c r="J381" s="314"/>
      <c r="K381" s="315"/>
      <c r="L381" s="736"/>
      <c r="M381" s="318"/>
      <c r="N381" s="315"/>
      <c r="O381" s="314"/>
      <c r="P381" s="314"/>
      <c r="Q381" s="314"/>
      <c r="R381" s="314"/>
      <c r="S381" s="848"/>
      <c r="T381" s="318"/>
      <c r="U381" s="315"/>
      <c r="V381" s="314"/>
      <c r="W381" s="314"/>
      <c r="X381" s="314"/>
      <c r="Y381" s="314"/>
      <c r="Z381" s="314"/>
      <c r="AA381" s="318"/>
      <c r="AB381" s="315"/>
      <c r="AC381" s="314"/>
      <c r="AD381" s="314"/>
      <c r="AE381" s="314"/>
      <c r="AF381" s="314"/>
      <c r="AG381" s="324"/>
      <c r="AH381" s="155"/>
      <c r="AI381" s="155"/>
      <c r="AJ381" s="322"/>
      <c r="AK381" s="155"/>
      <c r="AL381" s="132"/>
    </row>
    <row r="382">
      <c r="A382" s="314"/>
      <c r="B382" s="313"/>
      <c r="C382" s="312"/>
      <c r="D382" s="313"/>
      <c r="E382" s="314"/>
      <c r="F382" s="318"/>
      <c r="G382" s="315"/>
      <c r="H382" s="314"/>
      <c r="I382" s="314"/>
      <c r="J382" s="314"/>
      <c r="K382" s="315"/>
      <c r="L382" s="736"/>
      <c r="M382" s="318"/>
      <c r="N382" s="315"/>
      <c r="O382" s="314"/>
      <c r="P382" s="314"/>
      <c r="Q382" s="314"/>
      <c r="R382" s="314"/>
      <c r="S382" s="848"/>
      <c r="T382" s="318"/>
      <c r="U382" s="315"/>
      <c r="V382" s="314"/>
      <c r="W382" s="314"/>
      <c r="X382" s="314"/>
      <c r="Y382" s="314"/>
      <c r="Z382" s="314"/>
      <c r="AA382" s="318"/>
      <c r="AB382" s="315"/>
      <c r="AC382" s="314"/>
      <c r="AD382" s="314"/>
      <c r="AE382" s="314"/>
      <c r="AF382" s="314"/>
      <c r="AG382" s="324"/>
      <c r="AH382" s="155"/>
      <c r="AI382" s="155"/>
      <c r="AJ382" s="322"/>
      <c r="AK382" s="155"/>
      <c r="AL382" s="132"/>
    </row>
    <row r="383">
      <c r="A383" s="314"/>
      <c r="B383" s="313"/>
      <c r="C383" s="312"/>
      <c r="D383" s="313"/>
      <c r="E383" s="314"/>
      <c r="F383" s="318"/>
      <c r="G383" s="315"/>
      <c r="H383" s="314"/>
      <c r="I383" s="314"/>
      <c r="J383" s="314"/>
      <c r="K383" s="315"/>
      <c r="L383" s="736"/>
      <c r="M383" s="318"/>
      <c r="N383" s="315"/>
      <c r="O383" s="314"/>
      <c r="P383" s="314"/>
      <c r="Q383" s="314"/>
      <c r="R383" s="314"/>
      <c r="S383" s="848"/>
      <c r="T383" s="318"/>
      <c r="U383" s="315"/>
      <c r="V383" s="314"/>
      <c r="W383" s="314"/>
      <c r="X383" s="314"/>
      <c r="Y383" s="314"/>
      <c r="Z383" s="314"/>
      <c r="AA383" s="318"/>
      <c r="AB383" s="315"/>
      <c r="AC383" s="314"/>
      <c r="AD383" s="314"/>
      <c r="AE383" s="314"/>
      <c r="AF383" s="314"/>
      <c r="AG383" s="324"/>
      <c r="AH383" s="155"/>
      <c r="AI383" s="155"/>
      <c r="AJ383" s="322"/>
      <c r="AK383" s="155"/>
      <c r="AL383" s="132"/>
    </row>
    <row r="384">
      <c r="A384" s="314"/>
      <c r="B384" s="313"/>
      <c r="C384" s="312"/>
      <c r="D384" s="313"/>
      <c r="E384" s="314"/>
      <c r="F384" s="318"/>
      <c r="G384" s="315"/>
      <c r="H384" s="314"/>
      <c r="I384" s="314"/>
      <c r="J384" s="314"/>
      <c r="K384" s="315"/>
      <c r="L384" s="736"/>
      <c r="M384" s="318"/>
      <c r="N384" s="315"/>
      <c r="O384" s="314"/>
      <c r="P384" s="314"/>
      <c r="Q384" s="314"/>
      <c r="R384" s="314"/>
      <c r="S384" s="848"/>
      <c r="T384" s="318"/>
      <c r="U384" s="315"/>
      <c r="V384" s="314"/>
      <c r="W384" s="314"/>
      <c r="X384" s="314"/>
      <c r="Y384" s="314"/>
      <c r="Z384" s="314"/>
      <c r="AA384" s="318"/>
      <c r="AB384" s="315"/>
      <c r="AC384" s="314"/>
      <c r="AD384" s="314"/>
      <c r="AE384" s="314"/>
      <c r="AF384" s="314"/>
      <c r="AG384" s="324"/>
      <c r="AH384" s="155"/>
      <c r="AI384" s="155"/>
      <c r="AJ384" s="322"/>
      <c r="AK384" s="155"/>
      <c r="AL384" s="132"/>
    </row>
    <row r="385">
      <c r="A385" s="314"/>
      <c r="B385" s="313"/>
      <c r="C385" s="312"/>
      <c r="D385" s="313"/>
      <c r="E385" s="314"/>
      <c r="F385" s="318"/>
      <c r="G385" s="315"/>
      <c r="H385" s="314"/>
      <c r="I385" s="314"/>
      <c r="J385" s="314"/>
      <c r="K385" s="315"/>
      <c r="L385" s="736"/>
      <c r="M385" s="318"/>
      <c r="N385" s="315"/>
      <c r="O385" s="314"/>
      <c r="P385" s="314"/>
      <c r="Q385" s="314"/>
      <c r="R385" s="314"/>
      <c r="S385" s="848"/>
      <c r="T385" s="318"/>
      <c r="U385" s="315"/>
      <c r="V385" s="314"/>
      <c r="W385" s="314"/>
      <c r="X385" s="314"/>
      <c r="Y385" s="314"/>
      <c r="Z385" s="314"/>
      <c r="AA385" s="318"/>
      <c r="AB385" s="315"/>
      <c r="AC385" s="314"/>
      <c r="AD385" s="314"/>
      <c r="AE385" s="314"/>
      <c r="AF385" s="314"/>
      <c r="AG385" s="324"/>
      <c r="AH385" s="155"/>
      <c r="AI385" s="155"/>
      <c r="AJ385" s="322"/>
      <c r="AK385" s="155"/>
      <c r="AL385" s="132"/>
    </row>
    <row r="386">
      <c r="A386" s="314"/>
      <c r="B386" s="313"/>
      <c r="C386" s="312"/>
      <c r="D386" s="313"/>
      <c r="E386" s="314"/>
      <c r="F386" s="318"/>
      <c r="G386" s="315"/>
      <c r="H386" s="314"/>
      <c r="I386" s="314"/>
      <c r="J386" s="314"/>
      <c r="K386" s="315"/>
      <c r="L386" s="736"/>
      <c r="M386" s="318"/>
      <c r="N386" s="315"/>
      <c r="O386" s="314"/>
      <c r="P386" s="314"/>
      <c r="Q386" s="314"/>
      <c r="R386" s="314"/>
      <c r="S386" s="848"/>
      <c r="T386" s="318"/>
      <c r="U386" s="315"/>
      <c r="V386" s="314"/>
      <c r="W386" s="314"/>
      <c r="X386" s="314"/>
      <c r="Y386" s="314"/>
      <c r="Z386" s="314"/>
      <c r="AA386" s="318"/>
      <c r="AB386" s="315"/>
      <c r="AC386" s="314"/>
      <c r="AD386" s="314"/>
      <c r="AE386" s="314"/>
      <c r="AF386" s="314"/>
      <c r="AG386" s="324"/>
      <c r="AH386" s="155"/>
      <c r="AI386" s="155"/>
      <c r="AJ386" s="322"/>
      <c r="AK386" s="155"/>
      <c r="AL386" s="132"/>
    </row>
    <row r="387">
      <c r="A387" s="314"/>
      <c r="B387" s="313"/>
      <c r="C387" s="312"/>
      <c r="D387" s="313"/>
      <c r="E387" s="314"/>
      <c r="F387" s="318"/>
      <c r="G387" s="315"/>
      <c r="H387" s="314"/>
      <c r="I387" s="314"/>
      <c r="J387" s="314"/>
      <c r="K387" s="315"/>
      <c r="L387" s="736"/>
      <c r="M387" s="318"/>
      <c r="N387" s="315"/>
      <c r="O387" s="314"/>
      <c r="P387" s="314"/>
      <c r="Q387" s="314"/>
      <c r="R387" s="314"/>
      <c r="S387" s="848"/>
      <c r="T387" s="318"/>
      <c r="U387" s="315"/>
      <c r="V387" s="314"/>
      <c r="W387" s="314"/>
      <c r="X387" s="314"/>
      <c r="Y387" s="314"/>
      <c r="Z387" s="314"/>
      <c r="AA387" s="318"/>
      <c r="AB387" s="315"/>
      <c r="AC387" s="314"/>
      <c r="AD387" s="314"/>
      <c r="AE387" s="314"/>
      <c r="AF387" s="314"/>
      <c r="AG387" s="324"/>
      <c r="AH387" s="155"/>
      <c r="AI387" s="155"/>
      <c r="AJ387" s="322"/>
      <c r="AK387" s="155"/>
      <c r="AL387" s="132"/>
    </row>
    <row r="388">
      <c r="A388" s="314"/>
      <c r="B388" s="313"/>
      <c r="C388" s="312"/>
      <c r="D388" s="313"/>
      <c r="E388" s="314"/>
      <c r="F388" s="318"/>
      <c r="G388" s="315"/>
      <c r="H388" s="314"/>
      <c r="I388" s="314"/>
      <c r="J388" s="314"/>
      <c r="K388" s="315"/>
      <c r="L388" s="736"/>
      <c r="M388" s="318"/>
      <c r="N388" s="315"/>
      <c r="O388" s="314"/>
      <c r="P388" s="314"/>
      <c r="Q388" s="314"/>
      <c r="R388" s="314"/>
      <c r="S388" s="848"/>
      <c r="T388" s="318"/>
      <c r="U388" s="315"/>
      <c r="V388" s="314"/>
      <c r="W388" s="314"/>
      <c r="X388" s="314"/>
      <c r="Y388" s="314"/>
      <c r="Z388" s="314"/>
      <c r="AA388" s="318"/>
      <c r="AB388" s="315"/>
      <c r="AC388" s="314"/>
      <c r="AD388" s="314"/>
      <c r="AE388" s="314"/>
      <c r="AF388" s="314"/>
      <c r="AG388" s="324"/>
      <c r="AH388" s="155"/>
      <c r="AI388" s="155"/>
      <c r="AJ388" s="322"/>
      <c r="AK388" s="155"/>
      <c r="AL388" s="132"/>
    </row>
    <row r="389">
      <c r="A389" s="314"/>
      <c r="B389" s="313"/>
      <c r="C389" s="312"/>
      <c r="D389" s="313"/>
      <c r="E389" s="314"/>
      <c r="F389" s="318"/>
      <c r="G389" s="315"/>
      <c r="H389" s="314"/>
      <c r="I389" s="314"/>
      <c r="J389" s="314"/>
      <c r="K389" s="315"/>
      <c r="L389" s="736"/>
      <c r="M389" s="318"/>
      <c r="N389" s="315"/>
      <c r="O389" s="314"/>
      <c r="P389" s="314"/>
      <c r="Q389" s="314"/>
      <c r="R389" s="314"/>
      <c r="S389" s="848"/>
      <c r="T389" s="318"/>
      <c r="U389" s="315"/>
      <c r="V389" s="314"/>
      <c r="W389" s="314"/>
      <c r="X389" s="314"/>
      <c r="Y389" s="314"/>
      <c r="Z389" s="314"/>
      <c r="AA389" s="318"/>
      <c r="AB389" s="315"/>
      <c r="AC389" s="314"/>
      <c r="AD389" s="314"/>
      <c r="AE389" s="314"/>
      <c r="AF389" s="314"/>
      <c r="AG389" s="324"/>
      <c r="AH389" s="155"/>
      <c r="AI389" s="155"/>
      <c r="AJ389" s="322"/>
      <c r="AK389" s="155"/>
      <c r="AL389" s="132"/>
    </row>
    <row r="390">
      <c r="A390" s="314"/>
      <c r="B390" s="313"/>
      <c r="C390" s="312"/>
      <c r="D390" s="313"/>
      <c r="E390" s="314"/>
      <c r="F390" s="318"/>
      <c r="G390" s="315"/>
      <c r="H390" s="314"/>
      <c r="I390" s="314"/>
      <c r="J390" s="314"/>
      <c r="K390" s="315"/>
      <c r="L390" s="736"/>
      <c r="M390" s="318"/>
      <c r="N390" s="315"/>
      <c r="O390" s="314"/>
      <c r="P390" s="314"/>
      <c r="Q390" s="314"/>
      <c r="R390" s="314"/>
      <c r="S390" s="848"/>
      <c r="T390" s="318"/>
      <c r="U390" s="315"/>
      <c r="V390" s="314"/>
      <c r="W390" s="314"/>
      <c r="X390" s="314"/>
      <c r="Y390" s="314"/>
      <c r="Z390" s="314"/>
      <c r="AA390" s="318"/>
      <c r="AB390" s="315"/>
      <c r="AC390" s="314"/>
      <c r="AD390" s="314"/>
      <c r="AE390" s="314"/>
      <c r="AF390" s="314"/>
      <c r="AG390" s="324"/>
      <c r="AH390" s="155"/>
      <c r="AI390" s="155"/>
      <c r="AJ390" s="322"/>
      <c r="AK390" s="155"/>
      <c r="AL390" s="132"/>
    </row>
    <row r="391">
      <c r="A391" s="314"/>
      <c r="B391" s="313"/>
      <c r="C391" s="312"/>
      <c r="D391" s="313"/>
      <c r="E391" s="314"/>
      <c r="F391" s="318"/>
      <c r="G391" s="315"/>
      <c r="H391" s="314"/>
      <c r="I391" s="314"/>
      <c r="J391" s="314"/>
      <c r="K391" s="315"/>
      <c r="L391" s="736"/>
      <c r="M391" s="318"/>
      <c r="N391" s="315"/>
      <c r="O391" s="314"/>
      <c r="P391" s="314"/>
      <c r="Q391" s="314"/>
      <c r="R391" s="314"/>
      <c r="S391" s="848"/>
      <c r="T391" s="318"/>
      <c r="U391" s="315"/>
      <c r="V391" s="314"/>
      <c r="W391" s="314"/>
      <c r="X391" s="314"/>
      <c r="Y391" s="314"/>
      <c r="Z391" s="314"/>
      <c r="AA391" s="318"/>
      <c r="AB391" s="315"/>
      <c r="AC391" s="314"/>
      <c r="AD391" s="314"/>
      <c r="AE391" s="314"/>
      <c r="AF391" s="314"/>
      <c r="AG391" s="324"/>
      <c r="AH391" s="155"/>
      <c r="AI391" s="155"/>
      <c r="AJ391" s="322"/>
      <c r="AK391" s="155"/>
      <c r="AL391" s="132"/>
    </row>
    <row r="392">
      <c r="A392" s="314"/>
      <c r="B392" s="313"/>
      <c r="C392" s="312"/>
      <c r="D392" s="313"/>
      <c r="E392" s="314"/>
      <c r="F392" s="318"/>
      <c r="G392" s="315"/>
      <c r="H392" s="314"/>
      <c r="I392" s="314"/>
      <c r="J392" s="314"/>
      <c r="K392" s="315"/>
      <c r="L392" s="736"/>
      <c r="M392" s="318"/>
      <c r="N392" s="315"/>
      <c r="O392" s="314"/>
      <c r="P392" s="314"/>
      <c r="Q392" s="314"/>
      <c r="R392" s="314"/>
      <c r="S392" s="848"/>
      <c r="T392" s="318"/>
      <c r="U392" s="315"/>
      <c r="V392" s="314"/>
      <c r="W392" s="314"/>
      <c r="X392" s="314"/>
      <c r="Y392" s="314"/>
      <c r="Z392" s="314"/>
      <c r="AA392" s="318"/>
      <c r="AB392" s="315"/>
      <c r="AC392" s="314"/>
      <c r="AD392" s="314"/>
      <c r="AE392" s="314"/>
      <c r="AF392" s="314"/>
      <c r="AG392" s="324"/>
      <c r="AH392" s="155"/>
      <c r="AI392" s="155"/>
      <c r="AJ392" s="322"/>
      <c r="AK392" s="155"/>
      <c r="AL392" s="132"/>
    </row>
    <row r="393">
      <c r="A393" s="314"/>
      <c r="B393" s="313"/>
      <c r="C393" s="312"/>
      <c r="D393" s="313"/>
      <c r="E393" s="314"/>
      <c r="F393" s="318"/>
      <c r="G393" s="315"/>
      <c r="H393" s="314"/>
      <c r="I393" s="314"/>
      <c r="J393" s="314"/>
      <c r="K393" s="315"/>
      <c r="L393" s="736"/>
      <c r="M393" s="318"/>
      <c r="N393" s="315"/>
      <c r="O393" s="314"/>
      <c r="P393" s="314"/>
      <c r="Q393" s="314"/>
      <c r="R393" s="314"/>
      <c r="S393" s="848"/>
      <c r="T393" s="318"/>
      <c r="U393" s="315"/>
      <c r="V393" s="314"/>
      <c r="W393" s="314"/>
      <c r="X393" s="314"/>
      <c r="Y393" s="314"/>
      <c r="Z393" s="314"/>
      <c r="AA393" s="318"/>
      <c r="AB393" s="315"/>
      <c r="AC393" s="314"/>
      <c r="AD393" s="314"/>
      <c r="AE393" s="314"/>
      <c r="AF393" s="314"/>
      <c r="AG393" s="324"/>
      <c r="AH393" s="155"/>
      <c r="AI393" s="155"/>
      <c r="AJ393" s="322"/>
      <c r="AK393" s="155"/>
      <c r="AL393" s="132"/>
    </row>
    <row r="394">
      <c r="A394" s="314"/>
      <c r="B394" s="313"/>
      <c r="C394" s="312"/>
      <c r="D394" s="313"/>
      <c r="E394" s="314"/>
      <c r="F394" s="318"/>
      <c r="G394" s="315"/>
      <c r="H394" s="314"/>
      <c r="I394" s="314"/>
      <c r="J394" s="314"/>
      <c r="K394" s="315"/>
      <c r="L394" s="736"/>
      <c r="M394" s="318"/>
      <c r="N394" s="315"/>
      <c r="O394" s="314"/>
      <c r="P394" s="314"/>
      <c r="Q394" s="314"/>
      <c r="R394" s="314"/>
      <c r="S394" s="848"/>
      <c r="T394" s="318"/>
      <c r="U394" s="315"/>
      <c r="V394" s="314"/>
      <c r="W394" s="314"/>
      <c r="X394" s="314"/>
      <c r="Y394" s="314"/>
      <c r="Z394" s="314"/>
      <c r="AA394" s="318"/>
      <c r="AB394" s="315"/>
      <c r="AC394" s="314"/>
      <c r="AD394" s="314"/>
      <c r="AE394" s="314"/>
      <c r="AF394" s="314"/>
      <c r="AG394" s="324"/>
      <c r="AH394" s="155"/>
      <c r="AI394" s="155"/>
      <c r="AJ394" s="322"/>
      <c r="AK394" s="155"/>
      <c r="AL394" s="132"/>
    </row>
    <row r="395">
      <c r="A395" s="314"/>
      <c r="B395" s="313"/>
      <c r="C395" s="312"/>
      <c r="D395" s="313"/>
      <c r="E395" s="314"/>
      <c r="F395" s="318"/>
      <c r="G395" s="315"/>
      <c r="H395" s="314"/>
      <c r="I395" s="314"/>
      <c r="J395" s="314"/>
      <c r="K395" s="315"/>
      <c r="L395" s="736"/>
      <c r="M395" s="318"/>
      <c r="N395" s="315"/>
      <c r="O395" s="314"/>
      <c r="P395" s="314"/>
      <c r="Q395" s="314"/>
      <c r="R395" s="314"/>
      <c r="S395" s="848"/>
      <c r="T395" s="318"/>
      <c r="U395" s="315"/>
      <c r="V395" s="314"/>
      <c r="W395" s="314"/>
      <c r="X395" s="314"/>
      <c r="Y395" s="314"/>
      <c r="Z395" s="314"/>
      <c r="AA395" s="318"/>
      <c r="AB395" s="315"/>
      <c r="AC395" s="314"/>
      <c r="AD395" s="314"/>
      <c r="AE395" s="314"/>
      <c r="AF395" s="314"/>
      <c r="AG395" s="324"/>
      <c r="AH395" s="155"/>
      <c r="AI395" s="155"/>
      <c r="AJ395" s="322"/>
      <c r="AK395" s="155"/>
      <c r="AL395" s="132"/>
    </row>
    <row r="396">
      <c r="A396" s="435"/>
      <c r="B396" s="313"/>
      <c r="C396" s="745"/>
      <c r="D396" s="313"/>
      <c r="E396" s="435"/>
      <c r="F396" s="318"/>
      <c r="G396" s="315"/>
      <c r="H396" s="435"/>
      <c r="I396" s="435"/>
      <c r="J396" s="314"/>
      <c r="K396" s="744"/>
      <c r="L396" s="839"/>
      <c r="M396" s="318"/>
      <c r="N396" s="315"/>
      <c r="O396" s="314"/>
      <c r="P396" s="435"/>
      <c r="Q396" s="435"/>
      <c r="R396" s="435"/>
      <c r="S396" s="849"/>
      <c r="T396" s="740"/>
      <c r="U396" s="744"/>
      <c r="V396" s="435"/>
      <c r="W396" s="435"/>
      <c r="X396" s="435"/>
      <c r="Y396" s="435"/>
      <c r="Z396" s="435"/>
      <c r="AA396" s="740"/>
      <c r="AB396" s="744"/>
      <c r="AC396" s="435"/>
      <c r="AD396" s="435"/>
      <c r="AE396" s="435"/>
      <c r="AF396" s="435"/>
      <c r="AG396" s="324"/>
      <c r="AH396" s="180"/>
      <c r="AI396" s="155"/>
      <c r="AJ396" s="322"/>
      <c r="AK396" s="155"/>
      <c r="AL396" s="132"/>
    </row>
    <row r="397">
      <c r="A397" s="435"/>
      <c r="B397" s="313"/>
      <c r="C397" s="312"/>
      <c r="D397" s="437"/>
      <c r="E397" s="314"/>
      <c r="F397" s="318"/>
      <c r="G397" s="315"/>
      <c r="H397" s="314"/>
      <c r="I397" s="314"/>
      <c r="J397" s="314"/>
      <c r="K397" s="315"/>
      <c r="L397" s="736"/>
      <c r="M397" s="740"/>
      <c r="N397" s="744"/>
      <c r="O397" s="314"/>
      <c r="P397" s="314"/>
      <c r="Q397" s="314"/>
      <c r="R397" s="314"/>
      <c r="S397" s="848"/>
      <c r="T397" s="318"/>
      <c r="U397" s="315"/>
      <c r="V397" s="314"/>
      <c r="W397" s="314"/>
      <c r="X397" s="314"/>
      <c r="Y397" s="314"/>
      <c r="Z397" s="314"/>
      <c r="AA397" s="318"/>
      <c r="AB397" s="315"/>
      <c r="AC397" s="314"/>
      <c r="AD397" s="314"/>
      <c r="AE397" s="314"/>
      <c r="AF397" s="314"/>
      <c r="AG397" s="324"/>
      <c r="AH397" s="180"/>
      <c r="AI397" s="155"/>
      <c r="AJ397" s="322"/>
      <c r="AK397" s="155"/>
      <c r="AL397" s="132"/>
    </row>
    <row r="398">
      <c r="A398" s="435"/>
      <c r="B398" s="437"/>
      <c r="C398" s="745"/>
      <c r="D398" s="437"/>
      <c r="E398" s="435"/>
      <c r="F398" s="318"/>
      <c r="G398" s="315"/>
      <c r="H398" s="314"/>
      <c r="I398" s="435"/>
      <c r="J398" s="435"/>
      <c r="K398" s="744"/>
      <c r="L398" s="839"/>
      <c r="M398" s="740"/>
      <c r="N398" s="744"/>
      <c r="O398" s="314"/>
      <c r="P398" s="435"/>
      <c r="Q398" s="314"/>
      <c r="R398" s="435"/>
      <c r="S398" s="849"/>
      <c r="T398" s="740"/>
      <c r="U398" s="744"/>
      <c r="V398" s="435"/>
      <c r="W398" s="435"/>
      <c r="X398" s="435"/>
      <c r="Y398" s="435"/>
      <c r="Z398" s="435"/>
      <c r="AA398" s="740"/>
      <c r="AB398" s="744"/>
      <c r="AC398" s="435"/>
      <c r="AD398" s="435"/>
      <c r="AE398" s="435"/>
      <c r="AF398" s="435"/>
      <c r="AG398" s="324"/>
      <c r="AH398" s="180"/>
      <c r="AI398" s="155"/>
      <c r="AJ398" s="322"/>
      <c r="AK398" s="155"/>
      <c r="AL398" s="132"/>
    </row>
    <row r="399">
      <c r="A399" s="435"/>
      <c r="B399" s="313"/>
      <c r="C399" s="312"/>
      <c r="D399" s="437"/>
      <c r="E399" s="314"/>
      <c r="F399" s="318"/>
      <c r="G399" s="315"/>
      <c r="H399" s="314"/>
      <c r="I399" s="435"/>
      <c r="J399" s="314"/>
      <c r="K399" s="744"/>
      <c r="L399" s="736"/>
      <c r="M399" s="318"/>
      <c r="N399" s="315"/>
      <c r="O399" s="314"/>
      <c r="P399" s="314"/>
      <c r="Q399" s="435"/>
      <c r="R399" s="435"/>
      <c r="S399" s="848"/>
      <c r="T399" s="318"/>
      <c r="U399" s="315"/>
      <c r="V399" s="314"/>
      <c r="W399" s="314"/>
      <c r="X399" s="314"/>
      <c r="Y399" s="314"/>
      <c r="Z399" s="314"/>
      <c r="AA399" s="318"/>
      <c r="AB399" s="315"/>
      <c r="AC399" s="314"/>
      <c r="AD399" s="314"/>
      <c r="AE399" s="314"/>
      <c r="AF399" s="314"/>
      <c r="AG399" s="324"/>
      <c r="AH399" s="180"/>
      <c r="AI399" s="155"/>
      <c r="AJ399" s="322"/>
      <c r="AK399" s="155"/>
      <c r="AL399" s="132"/>
    </row>
    <row r="400">
      <c r="A400" s="435"/>
      <c r="B400" s="437"/>
      <c r="C400" s="745"/>
      <c r="D400" s="437"/>
      <c r="E400" s="435"/>
      <c r="F400" s="318"/>
      <c r="G400" s="315"/>
      <c r="H400" s="435"/>
      <c r="I400" s="435"/>
      <c r="J400" s="435"/>
      <c r="K400" s="744"/>
      <c r="L400" s="839"/>
      <c r="M400" s="740"/>
      <c r="N400" s="744"/>
      <c r="O400" s="314"/>
      <c r="P400" s="435"/>
      <c r="Q400" s="435"/>
      <c r="R400" s="435"/>
      <c r="S400" s="849"/>
      <c r="T400" s="740"/>
      <c r="U400" s="744"/>
      <c r="V400" s="435"/>
      <c r="W400" s="435"/>
      <c r="X400" s="435"/>
      <c r="Y400" s="435"/>
      <c r="Z400" s="435"/>
      <c r="AA400" s="740"/>
      <c r="AB400" s="744"/>
      <c r="AC400" s="435"/>
      <c r="AD400" s="435"/>
      <c r="AE400" s="435"/>
      <c r="AF400" s="435"/>
      <c r="AG400" s="324"/>
      <c r="AH400" s="180"/>
      <c r="AI400" s="155"/>
      <c r="AJ400" s="322"/>
      <c r="AK400" s="155"/>
      <c r="AL400" s="132"/>
    </row>
    <row r="401">
      <c r="A401" s="435"/>
      <c r="B401" s="437"/>
      <c r="C401" s="312"/>
      <c r="D401" s="437"/>
      <c r="E401" s="314"/>
      <c r="F401" s="318"/>
      <c r="G401" s="315"/>
      <c r="H401" s="314"/>
      <c r="I401" s="314"/>
      <c r="J401" s="314"/>
      <c r="K401" s="744"/>
      <c r="L401" s="736"/>
      <c r="M401" s="318"/>
      <c r="N401" s="315"/>
      <c r="O401" s="314"/>
      <c r="P401" s="314"/>
      <c r="Q401" s="314"/>
      <c r="R401" s="314"/>
      <c r="S401" s="849"/>
      <c r="T401" s="740"/>
      <c r="U401" s="744"/>
      <c r="V401" s="435"/>
      <c r="W401" s="435"/>
      <c r="X401" s="435"/>
      <c r="Y401" s="435"/>
      <c r="Z401" s="435"/>
      <c r="AA401" s="740"/>
      <c r="AB401" s="744"/>
      <c r="AC401" s="435"/>
      <c r="AD401" s="435"/>
      <c r="AE401" s="435"/>
      <c r="AF401" s="435"/>
      <c r="AG401" s="324"/>
      <c r="AH401" s="180"/>
      <c r="AI401" s="155"/>
      <c r="AJ401" s="322"/>
      <c r="AK401" s="155"/>
      <c r="AL401" s="132"/>
    </row>
    <row r="402">
      <c r="A402" s="435"/>
      <c r="B402" s="437"/>
      <c r="C402" s="745"/>
      <c r="D402" s="437"/>
      <c r="E402" s="435"/>
      <c r="F402" s="318"/>
      <c r="G402" s="315"/>
      <c r="H402" s="435"/>
      <c r="I402" s="314"/>
      <c r="J402" s="314"/>
      <c r="K402" s="744"/>
      <c r="L402" s="736"/>
      <c r="M402" s="318"/>
      <c r="N402" s="315"/>
      <c r="O402" s="314"/>
      <c r="P402" s="435"/>
      <c r="Q402" s="435"/>
      <c r="R402" s="435"/>
      <c r="S402" s="849"/>
      <c r="T402" s="740"/>
      <c r="U402" s="744"/>
      <c r="V402" s="435"/>
      <c r="W402" s="435"/>
      <c r="X402" s="435"/>
      <c r="Y402" s="435"/>
      <c r="Z402" s="435"/>
      <c r="AA402" s="740"/>
      <c r="AB402" s="744"/>
      <c r="AC402" s="435"/>
      <c r="AD402" s="435"/>
      <c r="AE402" s="435"/>
      <c r="AF402" s="435"/>
      <c r="AG402" s="324"/>
      <c r="AH402" s="180"/>
      <c r="AI402" s="155"/>
      <c r="AJ402" s="322"/>
      <c r="AK402" s="155"/>
      <c r="AL402" s="132"/>
    </row>
    <row r="403">
      <c r="A403" s="435"/>
      <c r="B403" s="437"/>
      <c r="C403" s="745"/>
      <c r="D403" s="437"/>
      <c r="E403" s="435"/>
      <c r="F403" s="318"/>
      <c r="G403" s="315"/>
      <c r="H403" s="435"/>
      <c r="I403" s="435"/>
      <c r="J403" s="435"/>
      <c r="K403" s="744"/>
      <c r="L403" s="839"/>
      <c r="M403" s="740"/>
      <c r="N403" s="744"/>
      <c r="O403" s="314"/>
      <c r="P403" s="435"/>
      <c r="Q403" s="435"/>
      <c r="R403" s="435"/>
      <c r="S403" s="849"/>
      <c r="T403" s="740"/>
      <c r="U403" s="744"/>
      <c r="V403" s="435"/>
      <c r="W403" s="435"/>
      <c r="X403" s="435"/>
      <c r="Y403" s="435"/>
      <c r="Z403" s="435"/>
      <c r="AA403" s="740"/>
      <c r="AB403" s="744"/>
      <c r="AC403" s="435"/>
      <c r="AD403" s="435"/>
      <c r="AE403" s="435"/>
      <c r="AF403" s="435"/>
      <c r="AG403" s="324"/>
      <c r="AH403" s="180"/>
      <c r="AI403" s="155"/>
      <c r="AJ403" s="322"/>
      <c r="AK403" s="155"/>
      <c r="AL403" s="132"/>
    </row>
    <row r="404">
      <c r="A404" s="435"/>
      <c r="B404" s="313"/>
      <c r="C404" s="312"/>
      <c r="D404" s="313"/>
      <c r="E404" s="435"/>
      <c r="F404" s="318"/>
      <c r="G404" s="315"/>
      <c r="H404" s="435"/>
      <c r="I404" s="314"/>
      <c r="J404" s="314"/>
      <c r="K404" s="315"/>
      <c r="L404" s="736"/>
      <c r="M404" s="318"/>
      <c r="N404" s="315"/>
      <c r="O404" s="314"/>
      <c r="P404" s="314"/>
      <c r="Q404" s="314"/>
      <c r="R404" s="314"/>
      <c r="S404" s="848"/>
      <c r="T404" s="318"/>
      <c r="U404" s="315"/>
      <c r="V404" s="314"/>
      <c r="W404" s="314"/>
      <c r="X404" s="314"/>
      <c r="Y404" s="314"/>
      <c r="Z404" s="314"/>
      <c r="AA404" s="318"/>
      <c r="AB404" s="315"/>
      <c r="AC404" s="314"/>
      <c r="AD404" s="314"/>
      <c r="AE404" s="314"/>
      <c r="AF404" s="314"/>
      <c r="AG404" s="324"/>
      <c r="AH404" s="180"/>
      <c r="AI404" s="155"/>
      <c r="AJ404" s="322"/>
      <c r="AK404" s="155"/>
      <c r="AL404" s="132"/>
    </row>
    <row r="405">
      <c r="A405" s="435"/>
      <c r="B405" s="313"/>
      <c r="C405" s="312"/>
      <c r="D405" s="437"/>
      <c r="E405" s="314"/>
      <c r="F405" s="318"/>
      <c r="G405" s="315"/>
      <c r="H405" s="435"/>
      <c r="I405" s="314"/>
      <c r="J405" s="435"/>
      <c r="K405" s="744"/>
      <c r="L405" s="736"/>
      <c r="M405" s="740"/>
      <c r="N405" s="315"/>
      <c r="O405" s="314"/>
      <c r="P405" s="314"/>
      <c r="Q405" s="314"/>
      <c r="R405" s="435"/>
      <c r="S405" s="849"/>
      <c r="T405" s="740"/>
      <c r="U405" s="744"/>
      <c r="V405" s="435"/>
      <c r="W405" s="435"/>
      <c r="X405" s="435"/>
      <c r="Y405" s="435"/>
      <c r="Z405" s="435"/>
      <c r="AA405" s="740"/>
      <c r="AB405" s="744"/>
      <c r="AC405" s="435"/>
      <c r="AD405" s="435"/>
      <c r="AE405" s="435"/>
      <c r="AF405" s="435"/>
      <c r="AG405" s="324"/>
      <c r="AH405" s="180"/>
      <c r="AI405" s="155"/>
      <c r="AJ405" s="322"/>
      <c r="AK405" s="155"/>
      <c r="AL405" s="132"/>
    </row>
    <row r="406">
      <c r="A406" s="435"/>
      <c r="B406" s="313"/>
      <c r="C406" s="312"/>
      <c r="D406" s="313"/>
      <c r="E406" s="314"/>
      <c r="F406" s="318"/>
      <c r="G406" s="315"/>
      <c r="H406" s="314"/>
      <c r="I406" s="314"/>
      <c r="J406" s="314"/>
      <c r="K406" s="315"/>
      <c r="L406" s="736"/>
      <c r="M406" s="318"/>
      <c r="N406" s="315"/>
      <c r="O406" s="314"/>
      <c r="P406" s="314"/>
      <c r="Q406" s="435"/>
      <c r="R406" s="314"/>
      <c r="S406" s="849"/>
      <c r="T406" s="740"/>
      <c r="U406" s="744"/>
      <c r="V406" s="435"/>
      <c r="W406" s="435"/>
      <c r="X406" s="435"/>
      <c r="Y406" s="435"/>
      <c r="Z406" s="435"/>
      <c r="AA406" s="740"/>
      <c r="AB406" s="744"/>
      <c r="AC406" s="435"/>
      <c r="AD406" s="435"/>
      <c r="AE406" s="435"/>
      <c r="AF406" s="435"/>
      <c r="AG406" s="324"/>
      <c r="AH406" s="180"/>
      <c r="AI406" s="155"/>
      <c r="AJ406" s="322"/>
      <c r="AK406" s="155"/>
      <c r="AL406" s="132"/>
    </row>
    <row r="407">
      <c r="A407" s="435"/>
      <c r="B407" s="437"/>
      <c r="C407" s="312"/>
      <c r="D407" s="313"/>
      <c r="E407" s="314"/>
      <c r="F407" s="318"/>
      <c r="G407" s="315"/>
      <c r="H407" s="435"/>
      <c r="I407" s="314"/>
      <c r="J407" s="435"/>
      <c r="K407" s="744"/>
      <c r="L407" s="736"/>
      <c r="M407" s="318"/>
      <c r="N407" s="744"/>
      <c r="O407" s="314"/>
      <c r="P407" s="314"/>
      <c r="Q407" s="314"/>
      <c r="R407" s="435"/>
      <c r="S407" s="849"/>
      <c r="T407" s="740"/>
      <c r="U407" s="744"/>
      <c r="V407" s="435"/>
      <c r="W407" s="435"/>
      <c r="X407" s="435"/>
      <c r="Y407" s="435"/>
      <c r="Z407" s="435"/>
      <c r="AA407" s="740"/>
      <c r="AB407" s="744"/>
      <c r="AC407" s="435"/>
      <c r="AD407" s="435"/>
      <c r="AE407" s="435"/>
      <c r="AF407" s="435"/>
      <c r="AG407" s="324"/>
      <c r="AH407" s="180"/>
      <c r="AI407" s="155"/>
      <c r="AJ407" s="322"/>
      <c r="AK407" s="155"/>
      <c r="AL407" s="132"/>
    </row>
    <row r="408">
      <c r="A408" s="435"/>
      <c r="B408" s="313"/>
      <c r="C408" s="745"/>
      <c r="D408" s="437"/>
      <c r="E408" s="435"/>
      <c r="F408" s="318"/>
      <c r="G408" s="315"/>
      <c r="H408" s="435"/>
      <c r="I408" s="314"/>
      <c r="J408" s="314"/>
      <c r="K408" s="744"/>
      <c r="L408" s="736"/>
      <c r="M408" s="318"/>
      <c r="N408" s="315"/>
      <c r="O408" s="314"/>
      <c r="P408" s="314"/>
      <c r="Q408" s="314"/>
      <c r="R408" s="314"/>
      <c r="S408" s="849"/>
      <c r="T408" s="740"/>
      <c r="U408" s="744"/>
      <c r="V408" s="435"/>
      <c r="W408" s="435"/>
      <c r="X408" s="435"/>
      <c r="Y408" s="435"/>
      <c r="Z408" s="435"/>
      <c r="AA408" s="740"/>
      <c r="AB408" s="744"/>
      <c r="AC408" s="435"/>
      <c r="AD408" s="435"/>
      <c r="AE408" s="435"/>
      <c r="AF408" s="435"/>
      <c r="AG408" s="324"/>
      <c r="AH408" s="180"/>
      <c r="AI408" s="155"/>
      <c r="AJ408" s="322"/>
      <c r="AK408" s="155"/>
      <c r="AL408" s="132"/>
    </row>
    <row r="409">
      <c r="A409" s="435"/>
      <c r="B409" s="313"/>
      <c r="C409" s="312"/>
      <c r="D409" s="313"/>
      <c r="E409" s="314"/>
      <c r="F409" s="318"/>
      <c r="G409" s="315"/>
      <c r="H409" s="435"/>
      <c r="I409" s="314"/>
      <c r="J409" s="314"/>
      <c r="K409" s="315"/>
      <c r="L409" s="736"/>
      <c r="M409" s="318"/>
      <c r="N409" s="315"/>
      <c r="O409" s="314"/>
      <c r="P409" s="314"/>
      <c r="Q409" s="314"/>
      <c r="R409" s="435"/>
      <c r="S409" s="848"/>
      <c r="T409" s="318"/>
      <c r="U409" s="315"/>
      <c r="V409" s="314"/>
      <c r="W409" s="314"/>
      <c r="X409" s="314"/>
      <c r="Y409" s="314"/>
      <c r="Z409" s="314"/>
      <c r="AA409" s="318"/>
      <c r="AB409" s="315"/>
      <c r="AC409" s="314"/>
      <c r="AD409" s="314"/>
      <c r="AE409" s="314"/>
      <c r="AF409" s="314"/>
      <c r="AG409" s="324"/>
      <c r="AH409" s="180"/>
      <c r="AI409" s="155"/>
      <c r="AJ409" s="322"/>
      <c r="AK409" s="155"/>
      <c r="AL409" s="132"/>
    </row>
    <row r="410">
      <c r="A410" s="435"/>
      <c r="B410" s="437"/>
      <c r="C410" s="745"/>
      <c r="D410" s="437"/>
      <c r="E410" s="435"/>
      <c r="F410" s="318"/>
      <c r="G410" s="315"/>
      <c r="H410" s="435"/>
      <c r="I410" s="435"/>
      <c r="J410" s="435"/>
      <c r="K410" s="744"/>
      <c r="L410" s="839"/>
      <c r="M410" s="740"/>
      <c r="N410" s="744"/>
      <c r="O410" s="314"/>
      <c r="P410" s="435"/>
      <c r="Q410" s="435"/>
      <c r="R410" s="435"/>
      <c r="S410" s="849"/>
      <c r="T410" s="740"/>
      <c r="U410" s="744"/>
      <c r="V410" s="435"/>
      <c r="W410" s="435"/>
      <c r="X410" s="435"/>
      <c r="Y410" s="435"/>
      <c r="Z410" s="435"/>
      <c r="AA410" s="740"/>
      <c r="AB410" s="744"/>
      <c r="AC410" s="435"/>
      <c r="AD410" s="435"/>
      <c r="AE410" s="435"/>
      <c r="AF410" s="435"/>
      <c r="AG410" s="324"/>
      <c r="AH410" s="180"/>
      <c r="AI410" s="155"/>
      <c r="AJ410" s="322"/>
      <c r="AK410" s="155"/>
      <c r="AL410" s="132"/>
    </row>
    <row r="411">
      <c r="A411" s="435"/>
      <c r="B411" s="313"/>
      <c r="C411" s="312"/>
      <c r="D411" s="313"/>
      <c r="E411" s="314"/>
      <c r="F411" s="318"/>
      <c r="G411" s="315"/>
      <c r="H411" s="314"/>
      <c r="I411" s="314"/>
      <c r="J411" s="314"/>
      <c r="K411" s="315"/>
      <c r="L411" s="736"/>
      <c r="M411" s="740"/>
      <c r="N411" s="315"/>
      <c r="O411" s="314"/>
      <c r="P411" s="314"/>
      <c r="Q411" s="314"/>
      <c r="R411" s="314"/>
      <c r="S411" s="848"/>
      <c r="T411" s="318"/>
      <c r="U411" s="315"/>
      <c r="V411" s="314"/>
      <c r="W411" s="314"/>
      <c r="X411" s="314"/>
      <c r="Y411" s="314"/>
      <c r="Z411" s="314"/>
      <c r="AA411" s="318"/>
      <c r="AB411" s="315"/>
      <c r="AC411" s="314"/>
      <c r="AD411" s="314"/>
      <c r="AE411" s="314"/>
      <c r="AF411" s="314"/>
      <c r="AG411" s="324"/>
      <c r="AH411" s="180"/>
      <c r="AI411" s="155"/>
      <c r="AJ411" s="322"/>
      <c r="AK411" s="155"/>
      <c r="AL411" s="132"/>
    </row>
    <row r="412">
      <c r="A412" s="435"/>
      <c r="B412" s="313"/>
      <c r="C412" s="745"/>
      <c r="D412" s="437"/>
      <c r="E412" s="435"/>
      <c r="F412" s="318"/>
      <c r="G412" s="315"/>
      <c r="H412" s="435"/>
      <c r="I412" s="435"/>
      <c r="J412" s="435"/>
      <c r="K412" s="744"/>
      <c r="L412" s="736"/>
      <c r="M412" s="740"/>
      <c r="N412" s="744"/>
      <c r="O412" s="314"/>
      <c r="P412" s="435"/>
      <c r="Q412" s="435"/>
      <c r="R412" s="435"/>
      <c r="S412" s="849"/>
      <c r="T412" s="740"/>
      <c r="U412" s="744"/>
      <c r="V412" s="435"/>
      <c r="W412" s="435"/>
      <c r="X412" s="435"/>
      <c r="Y412" s="435"/>
      <c r="Z412" s="435"/>
      <c r="AA412" s="740"/>
      <c r="AB412" s="744"/>
      <c r="AC412" s="435"/>
      <c r="AD412" s="435"/>
      <c r="AE412" s="435"/>
      <c r="AF412" s="435"/>
      <c r="AG412" s="324"/>
      <c r="AH412" s="180"/>
      <c r="AI412" s="155"/>
      <c r="AJ412" s="322"/>
      <c r="AK412" s="155"/>
      <c r="AL412" s="132"/>
    </row>
    <row r="413">
      <c r="A413" s="435"/>
      <c r="B413" s="437"/>
      <c r="C413" s="745"/>
      <c r="D413" s="313"/>
      <c r="E413" s="435"/>
      <c r="F413" s="318"/>
      <c r="G413" s="315"/>
      <c r="H413" s="435"/>
      <c r="I413" s="435"/>
      <c r="J413" s="314"/>
      <c r="K413" s="744"/>
      <c r="L413" s="839"/>
      <c r="M413" s="318"/>
      <c r="N413" s="744"/>
      <c r="O413" s="314"/>
      <c r="P413" s="435"/>
      <c r="Q413" s="314"/>
      <c r="R413" s="435"/>
      <c r="S413" s="849"/>
      <c r="T413" s="740"/>
      <c r="U413" s="744"/>
      <c r="V413" s="435"/>
      <c r="W413" s="435"/>
      <c r="X413" s="435"/>
      <c r="Y413" s="435"/>
      <c r="Z413" s="435"/>
      <c r="AA413" s="740"/>
      <c r="AB413" s="744"/>
      <c r="AC413" s="435"/>
      <c r="AD413" s="435"/>
      <c r="AE413" s="435"/>
      <c r="AF413" s="435"/>
      <c r="AG413" s="324"/>
      <c r="AH413" s="180"/>
      <c r="AI413" s="155"/>
      <c r="AJ413" s="322"/>
      <c r="AK413" s="155"/>
      <c r="AL413" s="132"/>
    </row>
    <row r="414">
      <c r="A414" s="458"/>
      <c r="B414" s="437"/>
      <c r="C414" s="745"/>
      <c r="D414" s="437"/>
      <c r="E414" s="435"/>
      <c r="F414" s="318"/>
      <c r="G414" s="315"/>
      <c r="H414" s="314"/>
      <c r="I414" s="435"/>
      <c r="J414" s="435"/>
      <c r="K414" s="744"/>
      <c r="L414" s="839"/>
      <c r="M414" s="740"/>
      <c r="N414" s="744"/>
      <c r="O414" s="314"/>
      <c r="P414" s="435"/>
      <c r="Q414" s="435"/>
      <c r="R414" s="435"/>
      <c r="S414" s="849"/>
      <c r="T414" s="740"/>
      <c r="U414" s="744"/>
      <c r="V414" s="435"/>
      <c r="W414" s="435"/>
      <c r="X414" s="435"/>
      <c r="Y414" s="435"/>
      <c r="Z414" s="435"/>
      <c r="AA414" s="740"/>
      <c r="AB414" s="744"/>
      <c r="AC414" s="435"/>
      <c r="AD414" s="435"/>
      <c r="AE414" s="435"/>
      <c r="AF414" s="435"/>
      <c r="AG414" s="324"/>
      <c r="AH414" s="180"/>
      <c r="AI414" s="155"/>
      <c r="AJ414" s="322"/>
      <c r="AK414" s="155"/>
      <c r="AL414" s="132"/>
    </row>
    <row r="415">
      <c r="A415" s="458"/>
      <c r="B415" s="437"/>
      <c r="C415" s="745"/>
      <c r="D415" s="437"/>
      <c r="E415" s="435"/>
      <c r="F415" s="318"/>
      <c r="G415" s="315"/>
      <c r="H415" s="314"/>
      <c r="I415" s="314"/>
      <c r="J415" s="435"/>
      <c r="K415" s="744"/>
      <c r="L415" s="839"/>
      <c r="M415" s="740"/>
      <c r="N415" s="744"/>
      <c r="O415" s="314"/>
      <c r="P415" s="435"/>
      <c r="Q415" s="435"/>
      <c r="R415" s="435"/>
      <c r="S415" s="849"/>
      <c r="T415" s="740"/>
      <c r="U415" s="744"/>
      <c r="V415" s="435"/>
      <c r="W415" s="435"/>
      <c r="X415" s="435"/>
      <c r="Y415" s="435"/>
      <c r="Z415" s="435"/>
      <c r="AA415" s="740"/>
      <c r="AB415" s="744"/>
      <c r="AC415" s="435"/>
      <c r="AD415" s="435"/>
      <c r="AE415" s="435"/>
      <c r="AF415" s="435"/>
      <c r="AG415" s="324"/>
      <c r="AH415" s="180"/>
      <c r="AI415" s="155"/>
      <c r="AJ415" s="322"/>
      <c r="AK415" s="155"/>
      <c r="AL415" s="132"/>
    </row>
    <row r="416">
      <c r="A416" s="458"/>
      <c r="B416" s="437"/>
      <c r="C416" s="745"/>
      <c r="D416" s="437"/>
      <c r="E416" s="314"/>
      <c r="F416" s="318"/>
      <c r="G416" s="315"/>
      <c r="H416" s="314"/>
      <c r="I416" s="435"/>
      <c r="J416" s="435"/>
      <c r="K416" s="744"/>
      <c r="L416" s="839"/>
      <c r="M416" s="740"/>
      <c r="N416" s="744"/>
      <c r="O416" s="314"/>
      <c r="P416" s="435"/>
      <c r="Q416" s="314"/>
      <c r="R416" s="435"/>
      <c r="S416" s="849"/>
      <c r="T416" s="740"/>
      <c r="U416" s="744"/>
      <c r="V416" s="435"/>
      <c r="W416" s="435"/>
      <c r="X416" s="435"/>
      <c r="Y416" s="435"/>
      <c r="Z416" s="435"/>
      <c r="AA416" s="740"/>
      <c r="AB416" s="744"/>
      <c r="AC416" s="435"/>
      <c r="AD416" s="435"/>
      <c r="AE416" s="435"/>
      <c r="AF416" s="435"/>
      <c r="AG416" s="324"/>
      <c r="AH416" s="180"/>
      <c r="AI416" s="155"/>
      <c r="AJ416" s="322"/>
      <c r="AK416" s="155"/>
      <c r="AL416" s="132"/>
    </row>
    <row r="417">
      <c r="A417" s="458"/>
      <c r="B417" s="313"/>
      <c r="C417" s="312"/>
      <c r="D417" s="313"/>
      <c r="E417" s="314"/>
      <c r="F417" s="318"/>
      <c r="G417" s="315"/>
      <c r="H417" s="314"/>
      <c r="I417" s="314"/>
      <c r="J417" s="314"/>
      <c r="K417" s="315"/>
      <c r="L417" s="736"/>
      <c r="M417" s="318"/>
      <c r="N417" s="315"/>
      <c r="O417" s="314"/>
      <c r="P417" s="314"/>
      <c r="Q417" s="314"/>
      <c r="R417" s="314"/>
      <c r="S417" s="848"/>
      <c r="T417" s="318"/>
      <c r="U417" s="315"/>
      <c r="V417" s="314"/>
      <c r="W417" s="314"/>
      <c r="X417" s="314"/>
      <c r="Y417" s="314"/>
      <c r="Z417" s="314"/>
      <c r="AA417" s="318"/>
      <c r="AB417" s="315"/>
      <c r="AC417" s="314"/>
      <c r="AD417" s="314"/>
      <c r="AE417" s="314"/>
      <c r="AF417" s="314"/>
      <c r="AG417" s="324"/>
      <c r="AH417" s="180"/>
      <c r="AI417" s="155"/>
      <c r="AJ417" s="322"/>
      <c r="AK417" s="155"/>
      <c r="AL417" s="132"/>
    </row>
    <row r="418">
      <c r="A418" s="458"/>
      <c r="B418" s="437"/>
      <c r="C418" s="745"/>
      <c r="D418" s="437"/>
      <c r="E418" s="314"/>
      <c r="F418" s="318"/>
      <c r="G418" s="315"/>
      <c r="H418" s="314"/>
      <c r="I418" s="314"/>
      <c r="J418" s="314"/>
      <c r="K418" s="744"/>
      <c r="L418" s="839"/>
      <c r="M418" s="740"/>
      <c r="N418" s="315"/>
      <c r="O418" s="314"/>
      <c r="P418" s="435"/>
      <c r="Q418" s="435"/>
      <c r="R418" s="435"/>
      <c r="S418" s="849"/>
      <c r="T418" s="740"/>
      <c r="U418" s="744"/>
      <c r="V418" s="435"/>
      <c r="W418" s="435"/>
      <c r="X418" s="435"/>
      <c r="Y418" s="435"/>
      <c r="Z418" s="435"/>
      <c r="AA418" s="740"/>
      <c r="AB418" s="744"/>
      <c r="AC418" s="435"/>
      <c r="AD418" s="435"/>
      <c r="AE418" s="435"/>
      <c r="AF418" s="435"/>
      <c r="AG418" s="324"/>
      <c r="AH418" s="180"/>
      <c r="AI418" s="155"/>
      <c r="AJ418" s="322"/>
      <c r="AK418" s="155"/>
      <c r="AL418" s="132"/>
    </row>
    <row r="419">
      <c r="A419" s="458"/>
      <c r="B419" s="313"/>
      <c r="C419" s="312"/>
      <c r="D419" s="437"/>
      <c r="E419" s="314"/>
      <c r="F419" s="318"/>
      <c r="G419" s="315"/>
      <c r="H419" s="314"/>
      <c r="I419" s="314"/>
      <c r="J419" s="314"/>
      <c r="K419" s="315"/>
      <c r="L419" s="736"/>
      <c r="M419" s="318"/>
      <c r="N419" s="315"/>
      <c r="O419" s="314"/>
      <c r="P419" s="314"/>
      <c r="Q419" s="314"/>
      <c r="R419" s="314"/>
      <c r="S419" s="848"/>
      <c r="T419" s="318"/>
      <c r="U419" s="315"/>
      <c r="V419" s="314"/>
      <c r="W419" s="314"/>
      <c r="X419" s="314"/>
      <c r="Y419" s="314"/>
      <c r="Z419" s="314"/>
      <c r="AA419" s="318"/>
      <c r="AB419" s="315"/>
      <c r="AC419" s="314"/>
      <c r="AD419" s="314"/>
      <c r="AE419" s="314"/>
      <c r="AF419" s="314"/>
      <c r="AG419" s="324"/>
      <c r="AH419" s="180"/>
      <c r="AI419" s="155"/>
      <c r="AJ419" s="322"/>
      <c r="AK419" s="155"/>
      <c r="AL419" s="132"/>
    </row>
    <row r="420">
      <c r="A420" s="458"/>
      <c r="B420" s="313"/>
      <c r="C420" s="745"/>
      <c r="D420" s="313"/>
      <c r="E420" s="314"/>
      <c r="F420" s="318"/>
      <c r="G420" s="315"/>
      <c r="H420" s="314"/>
      <c r="I420" s="435"/>
      <c r="J420" s="314"/>
      <c r="K420" s="315"/>
      <c r="L420" s="839"/>
      <c r="M420" s="318"/>
      <c r="N420" s="315"/>
      <c r="O420" s="314"/>
      <c r="P420" s="314"/>
      <c r="Q420" s="435"/>
      <c r="R420" s="435"/>
      <c r="S420" s="849"/>
      <c r="T420" s="740"/>
      <c r="U420" s="744"/>
      <c r="V420" s="435"/>
      <c r="W420" s="435"/>
      <c r="X420" s="435"/>
      <c r="Y420" s="435"/>
      <c r="Z420" s="435"/>
      <c r="AA420" s="740"/>
      <c r="AB420" s="744"/>
      <c r="AC420" s="435"/>
      <c r="AD420" s="435"/>
      <c r="AE420" s="435"/>
      <c r="AF420" s="435"/>
      <c r="AG420" s="324"/>
      <c r="AH420" s="180"/>
      <c r="AI420" s="155"/>
      <c r="AJ420" s="322"/>
      <c r="AK420" s="155"/>
      <c r="AL420" s="132"/>
    </row>
    <row r="421">
      <c r="A421" s="458"/>
      <c r="B421" s="313"/>
      <c r="C421" s="745"/>
      <c r="D421" s="437"/>
      <c r="E421" s="435"/>
      <c r="F421" s="318"/>
      <c r="G421" s="315"/>
      <c r="H421" s="435"/>
      <c r="I421" s="435"/>
      <c r="J421" s="314"/>
      <c r="K421" s="744"/>
      <c r="L421" s="839"/>
      <c r="M421" s="318"/>
      <c r="N421" s="315"/>
      <c r="O421" s="314"/>
      <c r="P421" s="435"/>
      <c r="Q421" s="435"/>
      <c r="R421" s="435"/>
      <c r="S421" s="849"/>
      <c r="T421" s="740"/>
      <c r="U421" s="744"/>
      <c r="V421" s="435"/>
      <c r="W421" s="435"/>
      <c r="X421" s="435"/>
      <c r="Y421" s="435"/>
      <c r="Z421" s="435"/>
      <c r="AA421" s="740"/>
      <c r="AB421" s="744"/>
      <c r="AC421" s="435"/>
      <c r="AD421" s="435"/>
      <c r="AE421" s="435"/>
      <c r="AF421" s="435"/>
      <c r="AG421" s="324"/>
      <c r="AH421" s="180"/>
      <c r="AI421" s="155"/>
      <c r="AJ421" s="322"/>
      <c r="AK421" s="155"/>
      <c r="AL421" s="132"/>
    </row>
    <row r="422">
      <c r="A422" s="458"/>
      <c r="B422" s="313"/>
      <c r="C422" s="745"/>
      <c r="D422" s="437"/>
      <c r="E422" s="314"/>
      <c r="F422" s="318"/>
      <c r="G422" s="315"/>
      <c r="H422" s="314"/>
      <c r="I422" s="314"/>
      <c r="J422" s="314"/>
      <c r="K422" s="744"/>
      <c r="L422" s="736"/>
      <c r="M422" s="318"/>
      <c r="N422" s="315"/>
      <c r="O422" s="314"/>
      <c r="P422" s="314"/>
      <c r="Q422" s="314"/>
      <c r="R422" s="435"/>
      <c r="S422" s="849"/>
      <c r="T422" s="740"/>
      <c r="U422" s="744"/>
      <c r="V422" s="435"/>
      <c r="W422" s="435"/>
      <c r="X422" s="435"/>
      <c r="Y422" s="435"/>
      <c r="Z422" s="435"/>
      <c r="AA422" s="740"/>
      <c r="AB422" s="744"/>
      <c r="AC422" s="435"/>
      <c r="AD422" s="435"/>
      <c r="AE422" s="435"/>
      <c r="AF422" s="435"/>
      <c r="AG422" s="324"/>
      <c r="AH422" s="180"/>
      <c r="AI422" s="155"/>
      <c r="AJ422" s="322"/>
      <c r="AK422" s="155"/>
      <c r="AL422" s="132"/>
    </row>
    <row r="423">
      <c r="A423" s="458"/>
      <c r="B423" s="437"/>
      <c r="C423" s="745"/>
      <c r="D423" s="437"/>
      <c r="E423" s="435"/>
      <c r="F423" s="318"/>
      <c r="G423" s="315"/>
      <c r="H423" s="435"/>
      <c r="I423" s="435"/>
      <c r="J423" s="435"/>
      <c r="K423" s="744"/>
      <c r="L423" s="839"/>
      <c r="M423" s="740"/>
      <c r="N423" s="744"/>
      <c r="O423" s="314"/>
      <c r="P423" s="435"/>
      <c r="Q423" s="435"/>
      <c r="R423" s="435"/>
      <c r="S423" s="849"/>
      <c r="T423" s="740"/>
      <c r="U423" s="744"/>
      <c r="V423" s="435"/>
      <c r="W423" s="435"/>
      <c r="X423" s="435"/>
      <c r="Y423" s="435"/>
      <c r="Z423" s="435"/>
      <c r="AA423" s="740"/>
      <c r="AB423" s="744"/>
      <c r="AC423" s="435"/>
      <c r="AD423" s="435"/>
      <c r="AE423" s="435"/>
      <c r="AF423" s="435"/>
      <c r="AG423" s="324"/>
      <c r="AH423" s="180"/>
      <c r="AI423" s="155"/>
      <c r="AJ423" s="322"/>
      <c r="AK423" s="155"/>
      <c r="AL423" s="132"/>
    </row>
    <row r="424">
      <c r="A424" s="435"/>
      <c r="B424" s="437"/>
      <c r="C424" s="745"/>
      <c r="D424" s="437"/>
      <c r="E424" s="435"/>
      <c r="F424" s="318"/>
      <c r="G424" s="315"/>
      <c r="H424" s="435"/>
      <c r="I424" s="435"/>
      <c r="J424" s="435"/>
      <c r="K424" s="744"/>
      <c r="L424" s="839"/>
      <c r="M424" s="740"/>
      <c r="N424" s="744"/>
      <c r="O424" s="314"/>
      <c r="P424" s="435"/>
      <c r="Q424" s="435"/>
      <c r="R424" s="435"/>
      <c r="S424" s="849"/>
      <c r="T424" s="740"/>
      <c r="U424" s="744"/>
      <c r="V424" s="435"/>
      <c r="W424" s="435"/>
      <c r="X424" s="435"/>
      <c r="Y424" s="435"/>
      <c r="Z424" s="435"/>
      <c r="AA424" s="740"/>
      <c r="AB424" s="744"/>
      <c r="AC424" s="435"/>
      <c r="AD424" s="435"/>
      <c r="AE424" s="435"/>
      <c r="AF424" s="435"/>
      <c r="AG424" s="324"/>
      <c r="AH424" s="180"/>
      <c r="AI424" s="155"/>
      <c r="AJ424" s="322"/>
      <c r="AK424" s="155"/>
      <c r="AL424" s="132"/>
    </row>
    <row r="425">
      <c r="A425" s="474"/>
      <c r="B425" s="437"/>
      <c r="C425" s="745"/>
      <c r="D425" s="437"/>
      <c r="E425" s="435"/>
      <c r="F425" s="318"/>
      <c r="G425" s="315"/>
      <c r="H425" s="435"/>
      <c r="I425" s="435"/>
      <c r="J425" s="435"/>
      <c r="K425" s="744"/>
      <c r="L425" s="839"/>
      <c r="M425" s="740"/>
      <c r="N425" s="744"/>
      <c r="O425" s="314"/>
      <c r="P425" s="435"/>
      <c r="Q425" s="435"/>
      <c r="R425" s="435"/>
      <c r="S425" s="849"/>
      <c r="T425" s="740"/>
      <c r="U425" s="744"/>
      <c r="V425" s="435"/>
      <c r="W425" s="435"/>
      <c r="X425" s="435"/>
      <c r="Y425" s="435"/>
      <c r="Z425" s="435"/>
      <c r="AA425" s="740"/>
      <c r="AB425" s="744"/>
      <c r="AC425" s="435"/>
      <c r="AD425" s="435"/>
      <c r="AE425" s="435"/>
      <c r="AF425" s="435"/>
      <c r="AG425" s="324"/>
      <c r="AH425" s="180"/>
      <c r="AI425" s="155"/>
      <c r="AJ425" s="322"/>
      <c r="AK425" s="155"/>
      <c r="AL425" s="132"/>
    </row>
    <row r="426">
      <c r="A426" s="474"/>
      <c r="B426" s="437"/>
      <c r="C426" s="312"/>
      <c r="D426" s="437"/>
      <c r="E426" s="435"/>
      <c r="F426" s="318"/>
      <c r="G426" s="315"/>
      <c r="H426" s="435"/>
      <c r="I426" s="435"/>
      <c r="J426" s="435"/>
      <c r="K426" s="315"/>
      <c r="L426" s="736"/>
      <c r="M426" s="318"/>
      <c r="N426" s="744"/>
      <c r="O426" s="314"/>
      <c r="P426" s="314"/>
      <c r="Q426" s="435"/>
      <c r="R426" s="314"/>
      <c r="S426" s="849"/>
      <c r="T426" s="740"/>
      <c r="U426" s="744"/>
      <c r="V426" s="435"/>
      <c r="W426" s="435"/>
      <c r="X426" s="435"/>
      <c r="Y426" s="435"/>
      <c r="Z426" s="435"/>
      <c r="AA426" s="740"/>
      <c r="AB426" s="744"/>
      <c r="AC426" s="435"/>
      <c r="AD426" s="435"/>
      <c r="AE426" s="435"/>
      <c r="AF426" s="435"/>
      <c r="AG426" s="324"/>
      <c r="AH426" s="180"/>
      <c r="AI426" s="155"/>
      <c r="AJ426" s="322"/>
      <c r="AK426" s="155"/>
      <c r="AL426" s="132"/>
    </row>
    <row r="427">
      <c r="A427" s="474"/>
      <c r="B427" s="313"/>
      <c r="C427" s="312"/>
      <c r="D427" s="313"/>
      <c r="E427" s="314"/>
      <c r="F427" s="318"/>
      <c r="G427" s="315"/>
      <c r="H427" s="314"/>
      <c r="I427" s="314"/>
      <c r="J427" s="314"/>
      <c r="K427" s="744"/>
      <c r="L427" s="736"/>
      <c r="M427" s="318"/>
      <c r="N427" s="315"/>
      <c r="O427" s="314"/>
      <c r="P427" s="435"/>
      <c r="Q427" s="314"/>
      <c r="R427" s="314"/>
      <c r="S427" s="848"/>
      <c r="T427" s="318"/>
      <c r="U427" s="315"/>
      <c r="V427" s="314"/>
      <c r="W427" s="314"/>
      <c r="X427" s="314"/>
      <c r="Y427" s="314"/>
      <c r="Z427" s="314"/>
      <c r="AA427" s="318"/>
      <c r="AB427" s="315"/>
      <c r="AC427" s="314"/>
      <c r="AD427" s="314"/>
      <c r="AE427" s="314"/>
      <c r="AF427" s="314"/>
      <c r="AG427" s="324"/>
      <c r="AH427" s="180"/>
      <c r="AI427" s="155"/>
      <c r="AJ427" s="322"/>
      <c r="AK427" s="155"/>
      <c r="AL427" s="132"/>
    </row>
    <row r="428">
      <c r="A428" s="474"/>
      <c r="B428" s="313"/>
      <c r="C428" s="745"/>
      <c r="D428" s="437"/>
      <c r="E428" s="314"/>
      <c r="F428" s="318"/>
      <c r="G428" s="315"/>
      <c r="H428" s="314"/>
      <c r="I428" s="435"/>
      <c r="J428" s="314"/>
      <c r="K428" s="315"/>
      <c r="L428" s="736"/>
      <c r="M428" s="318"/>
      <c r="N428" s="315"/>
      <c r="O428" s="314"/>
      <c r="P428" s="314"/>
      <c r="Q428" s="314"/>
      <c r="R428" s="314"/>
      <c r="S428" s="848"/>
      <c r="T428" s="318"/>
      <c r="U428" s="315"/>
      <c r="V428" s="314"/>
      <c r="W428" s="314"/>
      <c r="X428" s="314"/>
      <c r="Y428" s="314"/>
      <c r="Z428" s="314"/>
      <c r="AA428" s="318"/>
      <c r="AB428" s="315"/>
      <c r="AC428" s="314"/>
      <c r="AD428" s="314"/>
      <c r="AE428" s="314"/>
      <c r="AF428" s="314"/>
      <c r="AG428" s="324"/>
      <c r="AH428" s="180"/>
      <c r="AI428" s="155"/>
      <c r="AJ428" s="322"/>
      <c r="AK428" s="155"/>
      <c r="AL428" s="132"/>
    </row>
    <row r="429">
      <c r="A429" s="474"/>
      <c r="B429" s="313"/>
      <c r="C429" s="312"/>
      <c r="D429" s="313"/>
      <c r="E429" s="314"/>
      <c r="F429" s="318"/>
      <c r="G429" s="315"/>
      <c r="H429" s="314"/>
      <c r="I429" s="314"/>
      <c r="J429" s="314"/>
      <c r="K429" s="744"/>
      <c r="L429" s="736"/>
      <c r="M429" s="318"/>
      <c r="N429" s="315"/>
      <c r="O429" s="314"/>
      <c r="P429" s="314"/>
      <c r="Q429" s="314"/>
      <c r="R429" s="314"/>
      <c r="S429" s="848"/>
      <c r="T429" s="318"/>
      <c r="U429" s="315"/>
      <c r="V429" s="314"/>
      <c r="W429" s="314"/>
      <c r="X429" s="314"/>
      <c r="Y429" s="314"/>
      <c r="Z429" s="314"/>
      <c r="AA429" s="318"/>
      <c r="AB429" s="315"/>
      <c r="AC429" s="314"/>
      <c r="AD429" s="314"/>
      <c r="AE429" s="314"/>
      <c r="AF429" s="314"/>
      <c r="AG429" s="324"/>
      <c r="AH429" s="180"/>
      <c r="AI429" s="155"/>
      <c r="AJ429" s="322"/>
      <c r="AK429" s="155"/>
      <c r="AL429" s="132"/>
    </row>
    <row r="430">
      <c r="A430" s="458"/>
      <c r="B430" s="313"/>
      <c r="C430" s="745"/>
      <c r="D430" s="313"/>
      <c r="E430" s="314"/>
      <c r="F430" s="318"/>
      <c r="G430" s="315"/>
      <c r="H430" s="314"/>
      <c r="I430" s="314"/>
      <c r="J430" s="435"/>
      <c r="K430" s="744"/>
      <c r="L430" s="736"/>
      <c r="M430" s="318"/>
      <c r="N430" s="315"/>
      <c r="O430" s="314"/>
      <c r="P430" s="314"/>
      <c r="Q430" s="314"/>
      <c r="R430" s="314"/>
      <c r="S430" s="848"/>
      <c r="T430" s="318"/>
      <c r="U430" s="315"/>
      <c r="V430" s="314"/>
      <c r="W430" s="314"/>
      <c r="X430" s="314"/>
      <c r="Y430" s="314"/>
      <c r="Z430" s="314"/>
      <c r="AA430" s="318"/>
      <c r="AB430" s="315"/>
      <c r="AC430" s="314"/>
      <c r="AD430" s="314"/>
      <c r="AE430" s="314"/>
      <c r="AF430" s="314"/>
      <c r="AG430" s="324"/>
      <c r="AH430" s="180"/>
      <c r="AI430" s="155"/>
      <c r="AJ430" s="322"/>
      <c r="AK430" s="155"/>
      <c r="AL430" s="132"/>
    </row>
    <row r="431">
      <c r="A431" s="435"/>
      <c r="B431" s="313"/>
      <c r="C431" s="745"/>
      <c r="D431" s="437"/>
      <c r="E431" s="435"/>
      <c r="F431" s="318"/>
      <c r="G431" s="315"/>
      <c r="H431" s="435"/>
      <c r="I431" s="314"/>
      <c r="J431" s="314"/>
      <c r="K431" s="744"/>
      <c r="L431" s="736"/>
      <c r="M431" s="740"/>
      <c r="N431" s="744"/>
      <c r="O431" s="314"/>
      <c r="P431" s="314"/>
      <c r="Q431" s="314"/>
      <c r="R431" s="435"/>
      <c r="S431" s="848"/>
      <c r="T431" s="318"/>
      <c r="U431" s="315"/>
      <c r="V431" s="314"/>
      <c r="W431" s="314"/>
      <c r="X431" s="314"/>
      <c r="Y431" s="314"/>
      <c r="Z431" s="314"/>
      <c r="AA431" s="318"/>
      <c r="AB431" s="315"/>
      <c r="AC431" s="314"/>
      <c r="AD431" s="314"/>
      <c r="AE431" s="314"/>
      <c r="AF431" s="314"/>
      <c r="AG431" s="324"/>
      <c r="AH431" s="180"/>
      <c r="AI431" s="155"/>
      <c r="AJ431" s="322"/>
      <c r="AK431" s="155"/>
      <c r="AL431" s="132"/>
    </row>
    <row r="432">
      <c r="A432" s="435"/>
      <c r="B432" s="437"/>
      <c r="C432" s="312"/>
      <c r="D432" s="313"/>
      <c r="E432" s="314"/>
      <c r="F432" s="318"/>
      <c r="G432" s="315"/>
      <c r="H432" s="314"/>
      <c r="I432" s="314"/>
      <c r="J432" s="314"/>
      <c r="K432" s="315"/>
      <c r="L432" s="736"/>
      <c r="M432" s="318"/>
      <c r="N432" s="315"/>
      <c r="O432" s="314"/>
      <c r="P432" s="435"/>
      <c r="Q432" s="314"/>
      <c r="R432" s="314"/>
      <c r="S432" s="848"/>
      <c r="T432" s="318"/>
      <c r="U432" s="315"/>
      <c r="V432" s="314"/>
      <c r="W432" s="314"/>
      <c r="X432" s="314"/>
      <c r="Y432" s="314"/>
      <c r="Z432" s="314"/>
      <c r="AA432" s="318"/>
      <c r="AB432" s="315"/>
      <c r="AC432" s="314"/>
      <c r="AD432" s="314"/>
      <c r="AE432" s="314"/>
      <c r="AF432" s="314"/>
      <c r="AG432" s="324"/>
      <c r="AH432" s="180"/>
      <c r="AI432" s="155"/>
      <c r="AJ432" s="322"/>
      <c r="AK432" s="155"/>
      <c r="AL432" s="132"/>
    </row>
    <row r="433">
      <c r="A433" s="435"/>
      <c r="B433" s="437"/>
      <c r="C433" s="312"/>
      <c r="D433" s="313"/>
      <c r="E433" s="314"/>
      <c r="F433" s="318"/>
      <c r="G433" s="315"/>
      <c r="H433" s="314"/>
      <c r="I433" s="314"/>
      <c r="J433" s="314"/>
      <c r="K433" s="315"/>
      <c r="L433" s="736"/>
      <c r="M433" s="318"/>
      <c r="N433" s="315"/>
      <c r="O433" s="314"/>
      <c r="P433" s="314"/>
      <c r="Q433" s="435"/>
      <c r="R433" s="314"/>
      <c r="S433" s="849"/>
      <c r="T433" s="740"/>
      <c r="U433" s="744"/>
      <c r="V433" s="435"/>
      <c r="W433" s="435"/>
      <c r="X433" s="435"/>
      <c r="Y433" s="435"/>
      <c r="Z433" s="435"/>
      <c r="AA433" s="740"/>
      <c r="AB433" s="744"/>
      <c r="AC433" s="435"/>
      <c r="AD433" s="435"/>
      <c r="AE433" s="435"/>
      <c r="AF433" s="435"/>
      <c r="AG433" s="324"/>
      <c r="AH433" s="180"/>
      <c r="AI433" s="155"/>
      <c r="AJ433" s="322"/>
      <c r="AK433" s="155"/>
      <c r="AL433" s="132"/>
    </row>
    <row r="434">
      <c r="A434" s="435"/>
      <c r="B434" s="313"/>
      <c r="C434" s="745"/>
      <c r="D434" s="313"/>
      <c r="E434" s="314"/>
      <c r="F434" s="318"/>
      <c r="G434" s="315"/>
      <c r="H434" s="314"/>
      <c r="I434" s="314"/>
      <c r="J434" s="314"/>
      <c r="K434" s="315"/>
      <c r="L434" s="736"/>
      <c r="M434" s="318"/>
      <c r="N434" s="315"/>
      <c r="O434" s="314"/>
      <c r="P434" s="314"/>
      <c r="Q434" s="314"/>
      <c r="R434" s="435"/>
      <c r="S434" s="848"/>
      <c r="T434" s="318"/>
      <c r="U434" s="315"/>
      <c r="V434" s="314"/>
      <c r="W434" s="314"/>
      <c r="X434" s="314"/>
      <c r="Y434" s="314"/>
      <c r="Z434" s="314"/>
      <c r="AA434" s="318"/>
      <c r="AB434" s="315"/>
      <c r="AC434" s="314"/>
      <c r="AD434" s="314"/>
      <c r="AE434" s="314"/>
      <c r="AF434" s="314"/>
      <c r="AG434" s="324"/>
      <c r="AH434" s="180"/>
      <c r="AI434" s="155"/>
      <c r="AJ434" s="322"/>
      <c r="AK434" s="155"/>
      <c r="AL434" s="132"/>
    </row>
    <row r="435">
      <c r="A435" s="435"/>
      <c r="B435" s="313"/>
      <c r="C435" s="312"/>
      <c r="D435" s="313"/>
      <c r="E435" s="314"/>
      <c r="F435" s="318"/>
      <c r="G435" s="315"/>
      <c r="H435" s="314"/>
      <c r="I435" s="314"/>
      <c r="J435" s="314"/>
      <c r="K435" s="744"/>
      <c r="L435" s="736"/>
      <c r="M435" s="740"/>
      <c r="N435" s="315"/>
      <c r="O435" s="314"/>
      <c r="P435" s="314"/>
      <c r="Q435" s="435"/>
      <c r="R435" s="314"/>
      <c r="S435" s="848"/>
      <c r="T435" s="318"/>
      <c r="U435" s="315"/>
      <c r="V435" s="314"/>
      <c r="W435" s="314"/>
      <c r="X435" s="314"/>
      <c r="Y435" s="314"/>
      <c r="Z435" s="314"/>
      <c r="AA435" s="318"/>
      <c r="AB435" s="315"/>
      <c r="AC435" s="314"/>
      <c r="AD435" s="314"/>
      <c r="AE435" s="314"/>
      <c r="AF435" s="314"/>
      <c r="AG435" s="324"/>
      <c r="AH435" s="180"/>
      <c r="AI435" s="155"/>
      <c r="AJ435" s="322"/>
      <c r="AK435" s="155"/>
      <c r="AL435" s="132"/>
    </row>
    <row r="436">
      <c r="A436" s="435"/>
      <c r="B436" s="313"/>
      <c r="C436" s="745"/>
      <c r="D436" s="437"/>
      <c r="E436" s="314"/>
      <c r="F436" s="318"/>
      <c r="G436" s="315"/>
      <c r="H436" s="314"/>
      <c r="I436" s="314"/>
      <c r="J436" s="314"/>
      <c r="K436" s="744"/>
      <c r="L436" s="736"/>
      <c r="M436" s="740"/>
      <c r="N436" s="315"/>
      <c r="O436" s="314"/>
      <c r="P436" s="314"/>
      <c r="Q436" s="435"/>
      <c r="R436" s="314"/>
      <c r="S436" s="848"/>
      <c r="T436" s="318"/>
      <c r="U436" s="315"/>
      <c r="V436" s="314"/>
      <c r="W436" s="314"/>
      <c r="X436" s="314"/>
      <c r="Y436" s="314"/>
      <c r="Z436" s="314"/>
      <c r="AA436" s="318"/>
      <c r="AB436" s="315"/>
      <c r="AC436" s="314"/>
      <c r="AD436" s="314"/>
      <c r="AE436" s="314"/>
      <c r="AF436" s="314"/>
      <c r="AG436" s="324"/>
      <c r="AH436" s="180"/>
      <c r="AI436" s="155"/>
      <c r="AJ436" s="322"/>
      <c r="AK436" s="155"/>
      <c r="AL436" s="132"/>
    </row>
    <row r="437">
      <c r="A437" s="476"/>
      <c r="AI437" s="176"/>
      <c r="AJ437" s="322"/>
      <c r="AK437" s="155"/>
      <c r="AL437" s="132"/>
    </row>
    <row r="438">
      <c r="A438" s="178"/>
      <c r="AJ438" s="322"/>
      <c r="AK438" s="155"/>
      <c r="AL438" s="132"/>
    </row>
    <row r="439">
      <c r="A439" s="474"/>
      <c r="B439" s="437"/>
      <c r="C439" s="745"/>
      <c r="D439" s="437"/>
      <c r="E439" s="435"/>
      <c r="F439" s="318"/>
      <c r="G439" s="315"/>
      <c r="H439" s="314"/>
      <c r="I439" s="435"/>
      <c r="J439" s="435"/>
      <c r="K439" s="744"/>
      <c r="L439" s="839"/>
      <c r="M439" s="740"/>
      <c r="N439" s="744"/>
      <c r="O439" s="314"/>
      <c r="P439" s="435"/>
      <c r="Q439" s="435"/>
      <c r="R439" s="435"/>
      <c r="S439" s="849"/>
      <c r="T439" s="740"/>
      <c r="U439" s="744"/>
      <c r="V439" s="435"/>
      <c r="W439" s="435"/>
      <c r="X439" s="435"/>
      <c r="Y439" s="435"/>
      <c r="Z439" s="435"/>
      <c r="AA439" s="740"/>
      <c r="AB439" s="744"/>
      <c r="AC439" s="435"/>
      <c r="AD439" s="435"/>
      <c r="AE439" s="435"/>
      <c r="AF439" s="435"/>
      <c r="AG439" s="324"/>
      <c r="AH439" s="180"/>
      <c r="AI439" s="155"/>
      <c r="AJ439" s="322"/>
      <c r="AK439" s="155"/>
      <c r="AL439" s="132"/>
    </row>
    <row r="440">
      <c r="A440" s="474"/>
      <c r="B440" s="313"/>
      <c r="C440" s="745"/>
      <c r="D440" s="437"/>
      <c r="E440" s="435"/>
      <c r="F440" s="318"/>
      <c r="G440" s="315"/>
      <c r="H440" s="435"/>
      <c r="I440" s="314"/>
      <c r="J440" s="435"/>
      <c r="K440" s="744"/>
      <c r="L440" s="839"/>
      <c r="M440" s="318"/>
      <c r="N440" s="315"/>
      <c r="O440" s="314"/>
      <c r="P440" s="435"/>
      <c r="Q440" s="435"/>
      <c r="R440" s="435"/>
      <c r="S440" s="849"/>
      <c r="T440" s="740"/>
      <c r="U440" s="744"/>
      <c r="V440" s="435"/>
      <c r="W440" s="435"/>
      <c r="X440" s="435"/>
      <c r="Y440" s="435"/>
      <c r="Z440" s="435"/>
      <c r="AA440" s="740"/>
      <c r="AB440" s="744"/>
      <c r="AC440" s="435"/>
      <c r="AD440" s="435"/>
      <c r="AE440" s="435"/>
      <c r="AF440" s="435"/>
      <c r="AG440" s="324"/>
      <c r="AH440" s="180"/>
      <c r="AI440" s="155"/>
      <c r="AJ440" s="322"/>
      <c r="AK440" s="155"/>
      <c r="AL440" s="132"/>
    </row>
    <row r="441">
      <c r="A441" s="477"/>
      <c r="B441" s="437"/>
      <c r="C441" s="745"/>
      <c r="D441" s="437"/>
      <c r="E441" s="314"/>
      <c r="F441" s="318"/>
      <c r="G441" s="315"/>
      <c r="H441" s="435"/>
      <c r="I441" s="435"/>
      <c r="J441" s="435"/>
      <c r="K441" s="744"/>
      <c r="L441" s="839"/>
      <c r="M441" s="740"/>
      <c r="N441" s="744"/>
      <c r="O441" s="314"/>
      <c r="P441" s="435"/>
      <c r="Q441" s="435"/>
      <c r="R441" s="435"/>
      <c r="S441" s="849"/>
      <c r="T441" s="740"/>
      <c r="U441" s="744"/>
      <c r="V441" s="435"/>
      <c r="W441" s="435"/>
      <c r="X441" s="435"/>
      <c r="Y441" s="435"/>
      <c r="Z441" s="435"/>
      <c r="AA441" s="740"/>
      <c r="AB441" s="744"/>
      <c r="AC441" s="435"/>
      <c r="AD441" s="435"/>
      <c r="AE441" s="435"/>
      <c r="AF441" s="435"/>
      <c r="AG441" s="324"/>
      <c r="AH441" s="180"/>
      <c r="AI441" s="155"/>
      <c r="AJ441" s="322"/>
      <c r="AK441" s="155"/>
      <c r="AL441" s="132"/>
    </row>
    <row r="442">
      <c r="A442" s="477"/>
      <c r="B442" s="437"/>
      <c r="C442" s="745"/>
      <c r="D442" s="437"/>
      <c r="E442" s="314"/>
      <c r="F442" s="318"/>
      <c r="G442" s="315"/>
      <c r="H442" s="435"/>
      <c r="I442" s="314"/>
      <c r="J442" s="314"/>
      <c r="K442" s="744"/>
      <c r="L442" s="839"/>
      <c r="M442" s="740"/>
      <c r="N442" s="315"/>
      <c r="O442" s="314"/>
      <c r="P442" s="435"/>
      <c r="Q442" s="435"/>
      <c r="R442" s="435"/>
      <c r="S442" s="849"/>
      <c r="T442" s="740"/>
      <c r="U442" s="744"/>
      <c r="V442" s="435"/>
      <c r="W442" s="435"/>
      <c r="X442" s="435"/>
      <c r="Y442" s="435"/>
      <c r="Z442" s="435"/>
      <c r="AA442" s="740"/>
      <c r="AB442" s="744"/>
      <c r="AC442" s="435"/>
      <c r="AD442" s="435"/>
      <c r="AE442" s="435"/>
      <c r="AF442" s="435"/>
      <c r="AG442" s="324"/>
      <c r="AH442" s="180"/>
      <c r="AI442" s="155"/>
      <c r="AJ442" s="322"/>
      <c r="AK442" s="155"/>
      <c r="AL442" s="132"/>
    </row>
    <row r="443">
      <c r="A443" s="477"/>
      <c r="B443" s="437"/>
      <c r="C443" s="745"/>
      <c r="D443" s="437"/>
      <c r="E443" s="435"/>
      <c r="F443" s="318"/>
      <c r="G443" s="315"/>
      <c r="H443" s="435"/>
      <c r="I443" s="435"/>
      <c r="J443" s="435"/>
      <c r="K443" s="744"/>
      <c r="L443" s="839"/>
      <c r="M443" s="740"/>
      <c r="N443" s="744"/>
      <c r="O443" s="314"/>
      <c r="P443" s="435"/>
      <c r="Q443" s="435"/>
      <c r="R443" s="435"/>
      <c r="S443" s="849"/>
      <c r="T443" s="740"/>
      <c r="U443" s="744"/>
      <c r="V443" s="435"/>
      <c r="W443" s="435"/>
      <c r="X443" s="435"/>
      <c r="Y443" s="435"/>
      <c r="Z443" s="435"/>
      <c r="AA443" s="740"/>
      <c r="AB443" s="744"/>
      <c r="AC443" s="435"/>
      <c r="AD443" s="435"/>
      <c r="AE443" s="435"/>
      <c r="AF443" s="435"/>
      <c r="AG443" s="324"/>
      <c r="AH443" s="180"/>
      <c r="AI443" s="155"/>
      <c r="AJ443" s="322"/>
      <c r="AK443" s="155"/>
      <c r="AL443" s="132"/>
    </row>
    <row r="444">
      <c r="A444" s="474"/>
      <c r="B444" s="313"/>
      <c r="C444" s="745"/>
      <c r="D444" s="313"/>
      <c r="E444" s="435"/>
      <c r="F444" s="318"/>
      <c r="G444" s="315"/>
      <c r="H444" s="435"/>
      <c r="I444" s="314"/>
      <c r="J444" s="435"/>
      <c r="K444" s="744"/>
      <c r="L444" s="736"/>
      <c r="M444" s="740"/>
      <c r="N444" s="315"/>
      <c r="O444" s="314"/>
      <c r="P444" s="435"/>
      <c r="Q444" s="435"/>
      <c r="R444" s="435"/>
      <c r="S444" s="849"/>
      <c r="T444" s="740"/>
      <c r="U444" s="744"/>
      <c r="V444" s="435"/>
      <c r="W444" s="435"/>
      <c r="X444" s="435"/>
      <c r="Y444" s="435"/>
      <c r="Z444" s="435"/>
      <c r="AA444" s="740"/>
      <c r="AB444" s="744"/>
      <c r="AC444" s="435"/>
      <c r="AD444" s="435"/>
      <c r="AE444" s="435"/>
      <c r="AF444" s="435"/>
      <c r="AG444" s="324"/>
      <c r="AH444" s="180"/>
      <c r="AI444" s="155"/>
      <c r="AJ444" s="322"/>
      <c r="AK444" s="155"/>
      <c r="AL444" s="132"/>
    </row>
    <row r="445">
      <c r="A445" s="478"/>
      <c r="B445" s="437"/>
      <c r="C445" s="745"/>
      <c r="D445" s="437"/>
      <c r="E445" s="435"/>
      <c r="F445" s="318"/>
      <c r="G445" s="315"/>
      <c r="H445" s="435"/>
      <c r="I445" s="435"/>
      <c r="J445" s="435"/>
      <c r="K445" s="744"/>
      <c r="L445" s="839"/>
      <c r="M445" s="740"/>
      <c r="N445" s="744"/>
      <c r="O445" s="314"/>
      <c r="P445" s="435"/>
      <c r="Q445" s="435"/>
      <c r="R445" s="435"/>
      <c r="S445" s="849"/>
      <c r="T445" s="740"/>
      <c r="U445" s="744"/>
      <c r="V445" s="435"/>
      <c r="W445" s="435"/>
      <c r="X445" s="435"/>
      <c r="Y445" s="435"/>
      <c r="Z445" s="435"/>
      <c r="AA445" s="740"/>
      <c r="AB445" s="744"/>
      <c r="AC445" s="435"/>
      <c r="AD445" s="435"/>
      <c r="AE445" s="435"/>
      <c r="AF445" s="435"/>
      <c r="AG445" s="324"/>
      <c r="AH445" s="180"/>
      <c r="AI445" s="155"/>
      <c r="AJ445" s="322"/>
      <c r="AK445" s="155"/>
      <c r="AL445" s="132"/>
    </row>
    <row r="446">
      <c r="A446" s="478"/>
      <c r="B446" s="437"/>
      <c r="C446" s="745"/>
      <c r="D446" s="437"/>
      <c r="E446" s="435"/>
      <c r="F446" s="318"/>
      <c r="G446" s="315"/>
      <c r="H446" s="435"/>
      <c r="I446" s="435"/>
      <c r="J446" s="435"/>
      <c r="K446" s="744"/>
      <c r="L446" s="839"/>
      <c r="M446" s="740"/>
      <c r="N446" s="744"/>
      <c r="O446" s="314"/>
      <c r="P446" s="435"/>
      <c r="Q446" s="435"/>
      <c r="R446" s="435"/>
      <c r="S446" s="849"/>
      <c r="T446" s="740"/>
      <c r="U446" s="744"/>
      <c r="V446" s="435"/>
      <c r="W446" s="435"/>
      <c r="X446" s="435"/>
      <c r="Y446" s="435"/>
      <c r="Z446" s="435"/>
      <c r="AA446" s="740"/>
      <c r="AB446" s="744"/>
      <c r="AC446" s="435"/>
      <c r="AD446" s="435"/>
      <c r="AE446" s="435"/>
      <c r="AF446" s="435"/>
      <c r="AG446" s="324"/>
      <c r="AH446" s="180"/>
      <c r="AI446" s="155"/>
      <c r="AJ446" s="322"/>
      <c r="AK446" s="155"/>
      <c r="AL446" s="132"/>
    </row>
    <row r="447">
      <c r="A447" s="478"/>
      <c r="B447" s="437"/>
      <c r="C447" s="745"/>
      <c r="D447" s="313"/>
      <c r="E447" s="314"/>
      <c r="F447" s="318"/>
      <c r="G447" s="315"/>
      <c r="H447" s="435"/>
      <c r="I447" s="435"/>
      <c r="J447" s="314"/>
      <c r="K447" s="744"/>
      <c r="L447" s="736"/>
      <c r="M447" s="740"/>
      <c r="N447" s="315"/>
      <c r="O447" s="314"/>
      <c r="P447" s="314"/>
      <c r="Q447" s="314"/>
      <c r="R447" s="314"/>
      <c r="S447" s="849"/>
      <c r="T447" s="740"/>
      <c r="U447" s="744"/>
      <c r="V447" s="435"/>
      <c r="W447" s="435"/>
      <c r="X447" s="435"/>
      <c r="Y447" s="435"/>
      <c r="Z447" s="435"/>
      <c r="AA447" s="740"/>
      <c r="AB447" s="744"/>
      <c r="AC447" s="435"/>
      <c r="AD447" s="435"/>
      <c r="AE447" s="435"/>
      <c r="AF447" s="435"/>
      <c r="AG447" s="324"/>
      <c r="AH447" s="180"/>
      <c r="AI447" s="155"/>
      <c r="AJ447" s="322"/>
      <c r="AK447" s="155"/>
      <c r="AL447" s="132"/>
    </row>
    <row r="448">
      <c r="A448" s="477"/>
      <c r="B448" s="313"/>
      <c r="C448" s="745"/>
      <c r="D448" s="437"/>
      <c r="E448" s="435"/>
      <c r="F448" s="318"/>
      <c r="G448" s="315"/>
      <c r="H448" s="435"/>
      <c r="I448" s="435"/>
      <c r="J448" s="435"/>
      <c r="K448" s="744"/>
      <c r="L448" s="839"/>
      <c r="M448" s="740"/>
      <c r="N448" s="744"/>
      <c r="O448" s="314"/>
      <c r="P448" s="435"/>
      <c r="Q448" s="435"/>
      <c r="R448" s="435"/>
      <c r="S448" s="849"/>
      <c r="T448" s="740"/>
      <c r="U448" s="744"/>
      <c r="V448" s="435"/>
      <c r="W448" s="435"/>
      <c r="X448" s="435"/>
      <c r="Y448" s="435"/>
      <c r="Z448" s="435"/>
      <c r="AA448" s="740"/>
      <c r="AB448" s="744"/>
      <c r="AC448" s="435"/>
      <c r="AD448" s="435"/>
      <c r="AE448" s="435"/>
      <c r="AF448" s="435"/>
      <c r="AG448" s="324"/>
      <c r="AH448" s="180"/>
      <c r="AI448" s="155"/>
      <c r="AJ448" s="322"/>
      <c r="AK448" s="155"/>
      <c r="AL448" s="132"/>
    </row>
    <row r="449">
      <c r="A449" s="477"/>
      <c r="B449" s="313"/>
      <c r="C449" s="312"/>
      <c r="D449" s="313"/>
      <c r="E449" s="314"/>
      <c r="F449" s="318"/>
      <c r="G449" s="315"/>
      <c r="H449" s="435"/>
      <c r="I449" s="314"/>
      <c r="J449" s="314"/>
      <c r="K449" s="315"/>
      <c r="L449" s="736"/>
      <c r="M449" s="318"/>
      <c r="N449" s="744"/>
      <c r="O449" s="314"/>
      <c r="P449" s="314"/>
      <c r="Q449" s="435"/>
      <c r="R449" s="314"/>
      <c r="S449" s="848"/>
      <c r="T449" s="318"/>
      <c r="U449" s="315"/>
      <c r="V449" s="314"/>
      <c r="W449" s="314"/>
      <c r="X449" s="314"/>
      <c r="Y449" s="314"/>
      <c r="Z449" s="314"/>
      <c r="AA449" s="318"/>
      <c r="AB449" s="315"/>
      <c r="AC449" s="314"/>
      <c r="AD449" s="314"/>
      <c r="AE449" s="314"/>
      <c r="AF449" s="314"/>
      <c r="AG449" s="324"/>
      <c r="AH449" s="180"/>
      <c r="AI449" s="155"/>
      <c r="AJ449" s="322"/>
      <c r="AK449" s="155"/>
      <c r="AL449" s="132"/>
    </row>
    <row r="450">
      <c r="A450" s="477"/>
      <c r="B450" s="313"/>
      <c r="C450" s="312"/>
      <c r="D450" s="313"/>
      <c r="E450" s="314"/>
      <c r="F450" s="318"/>
      <c r="G450" s="315"/>
      <c r="H450" s="314"/>
      <c r="I450" s="314"/>
      <c r="J450" s="314"/>
      <c r="K450" s="315"/>
      <c r="L450" s="736"/>
      <c r="M450" s="318"/>
      <c r="N450" s="315"/>
      <c r="O450" s="314"/>
      <c r="P450" s="314"/>
      <c r="Q450" s="314"/>
      <c r="R450" s="314"/>
      <c r="S450" s="848"/>
      <c r="T450" s="318"/>
      <c r="U450" s="315"/>
      <c r="V450" s="314"/>
      <c r="W450" s="314"/>
      <c r="X450" s="314"/>
      <c r="Y450" s="314"/>
      <c r="Z450" s="314"/>
      <c r="AA450" s="318"/>
      <c r="AB450" s="315"/>
      <c r="AC450" s="314"/>
      <c r="AD450" s="314"/>
      <c r="AE450" s="314"/>
      <c r="AF450" s="314"/>
      <c r="AG450" s="324"/>
      <c r="AH450" s="180"/>
      <c r="AI450" s="155"/>
      <c r="AJ450" s="322"/>
      <c r="AK450" s="155"/>
      <c r="AL450" s="132"/>
    </row>
    <row r="451">
      <c r="A451" s="476"/>
      <c r="AI451" s="176"/>
      <c r="AJ451" s="322"/>
      <c r="AK451" s="155"/>
      <c r="AL451" s="132"/>
    </row>
    <row r="452">
      <c r="A452" s="178"/>
      <c r="AJ452" s="322"/>
      <c r="AK452" s="155"/>
      <c r="AL452" s="132"/>
    </row>
    <row r="453">
      <c r="A453" s="477"/>
      <c r="B453" s="437"/>
      <c r="C453" s="745"/>
      <c r="D453" s="437"/>
      <c r="E453" s="314"/>
      <c r="F453" s="318"/>
      <c r="G453" s="315"/>
      <c r="H453" s="314"/>
      <c r="I453" s="314"/>
      <c r="J453" s="314"/>
      <c r="K453" s="744"/>
      <c r="L453" s="839"/>
      <c r="M453" s="318"/>
      <c r="N453" s="315"/>
      <c r="O453" s="314"/>
      <c r="P453" s="314"/>
      <c r="Q453" s="435"/>
      <c r="R453" s="435"/>
      <c r="S453" s="849"/>
      <c r="T453" s="740"/>
      <c r="U453" s="744"/>
      <c r="V453" s="435"/>
      <c r="W453" s="435"/>
      <c r="X453" s="435"/>
      <c r="Y453" s="435"/>
      <c r="Z453" s="435"/>
      <c r="AA453" s="740"/>
      <c r="AB453" s="744"/>
      <c r="AC453" s="435"/>
      <c r="AD453" s="435"/>
      <c r="AE453" s="435"/>
      <c r="AF453" s="435"/>
      <c r="AG453" s="324"/>
      <c r="AH453" s="180"/>
      <c r="AI453" s="155"/>
      <c r="AJ453" s="322"/>
      <c r="AK453" s="155"/>
      <c r="AL453" s="132"/>
    </row>
    <row r="454">
      <c r="A454" s="477"/>
      <c r="B454" s="313"/>
      <c r="C454" s="745"/>
      <c r="D454" s="437"/>
      <c r="E454" s="314"/>
      <c r="F454" s="318"/>
      <c r="G454" s="315"/>
      <c r="H454" s="314"/>
      <c r="I454" s="435"/>
      <c r="J454" s="435"/>
      <c r="K454" s="744"/>
      <c r="L454" s="736"/>
      <c r="M454" s="740"/>
      <c r="N454" s="315"/>
      <c r="O454" s="314"/>
      <c r="P454" s="314"/>
      <c r="Q454" s="435"/>
      <c r="R454" s="435"/>
      <c r="S454" s="849"/>
      <c r="T454" s="740"/>
      <c r="U454" s="744"/>
      <c r="V454" s="435"/>
      <c r="W454" s="435"/>
      <c r="X454" s="435"/>
      <c r="Y454" s="435"/>
      <c r="Z454" s="435"/>
      <c r="AA454" s="740"/>
      <c r="AB454" s="744"/>
      <c r="AC454" s="435"/>
      <c r="AD454" s="435"/>
      <c r="AE454" s="435"/>
      <c r="AF454" s="435"/>
      <c r="AG454" s="324"/>
      <c r="AH454" s="180"/>
      <c r="AI454" s="155"/>
      <c r="AJ454" s="322"/>
      <c r="AK454" s="155"/>
      <c r="AL454" s="132"/>
    </row>
    <row r="455">
      <c r="A455" s="477"/>
      <c r="B455" s="313"/>
      <c r="C455" s="745"/>
      <c r="D455" s="437"/>
      <c r="E455" s="435"/>
      <c r="F455" s="318"/>
      <c r="G455" s="315"/>
      <c r="H455" s="435"/>
      <c r="I455" s="314"/>
      <c r="J455" s="314"/>
      <c r="K455" s="744"/>
      <c r="L455" s="736"/>
      <c r="M455" s="740"/>
      <c r="N455" s="744"/>
      <c r="O455" s="314"/>
      <c r="P455" s="435"/>
      <c r="Q455" s="435"/>
      <c r="R455" s="435"/>
      <c r="S455" s="849"/>
      <c r="T455" s="740"/>
      <c r="U455" s="744"/>
      <c r="V455" s="435"/>
      <c r="W455" s="435"/>
      <c r="X455" s="435"/>
      <c r="Y455" s="435"/>
      <c r="Z455" s="435"/>
      <c r="AA455" s="740"/>
      <c r="AB455" s="744"/>
      <c r="AC455" s="435"/>
      <c r="AD455" s="435"/>
      <c r="AE455" s="435"/>
      <c r="AF455" s="435"/>
      <c r="AG455" s="324"/>
      <c r="AH455" s="180"/>
      <c r="AI455" s="155"/>
      <c r="AJ455" s="322"/>
      <c r="AK455" s="155"/>
      <c r="AL455" s="132"/>
    </row>
    <row r="456">
      <c r="A456" s="479"/>
      <c r="B456" s="313"/>
      <c r="C456" s="312"/>
      <c r="D456" s="313"/>
      <c r="E456" s="314"/>
      <c r="F456" s="318"/>
      <c r="G456" s="315"/>
      <c r="H456" s="314"/>
      <c r="I456" s="314"/>
      <c r="J456" s="314"/>
      <c r="K456" s="315"/>
      <c r="L456" s="736"/>
      <c r="M456" s="318"/>
      <c r="N456" s="315"/>
      <c r="O456" s="314"/>
      <c r="P456" s="314"/>
      <c r="Q456" s="435"/>
      <c r="R456" s="314"/>
      <c r="S456" s="848"/>
      <c r="T456" s="318"/>
      <c r="U456" s="315"/>
      <c r="V456" s="314"/>
      <c r="W456" s="314"/>
      <c r="X456" s="314"/>
      <c r="Y456" s="314"/>
      <c r="Z456" s="314"/>
      <c r="AA456" s="318"/>
      <c r="AB456" s="315"/>
      <c r="AC456" s="314"/>
      <c r="AD456" s="314"/>
      <c r="AE456" s="314"/>
      <c r="AF456" s="314"/>
      <c r="AG456" s="324"/>
      <c r="AH456" s="180"/>
      <c r="AI456" s="155"/>
      <c r="AJ456" s="322"/>
      <c r="AK456" s="155"/>
      <c r="AL456" s="132"/>
    </row>
    <row r="457">
      <c r="A457" s="476"/>
      <c r="AI457" s="176"/>
      <c r="AJ457" s="322"/>
      <c r="AK457" s="155"/>
      <c r="AL457" s="132"/>
    </row>
    <row r="458">
      <c r="A458" s="178"/>
      <c r="AJ458" s="322"/>
      <c r="AK458" s="155"/>
      <c r="AL458" s="132"/>
    </row>
    <row r="459">
      <c r="A459" s="480"/>
      <c r="B459" s="313"/>
      <c r="C459" s="745"/>
      <c r="D459" s="313"/>
      <c r="E459" s="314"/>
      <c r="F459" s="318"/>
      <c r="G459" s="315"/>
      <c r="H459" s="314"/>
      <c r="I459" s="314"/>
      <c r="J459" s="435"/>
      <c r="K459" s="744"/>
      <c r="L459" s="736"/>
      <c r="M459" s="318"/>
      <c r="N459" s="315"/>
      <c r="O459" s="314"/>
      <c r="P459" s="314"/>
      <c r="Q459" s="435"/>
      <c r="R459" s="314"/>
      <c r="S459" s="848"/>
      <c r="T459" s="318"/>
      <c r="U459" s="315"/>
      <c r="V459" s="314"/>
      <c r="W459" s="314"/>
      <c r="X459" s="314"/>
      <c r="Y459" s="314"/>
      <c r="Z459" s="314"/>
      <c r="AA459" s="318"/>
      <c r="AB459" s="315"/>
      <c r="AC459" s="314"/>
      <c r="AD459" s="314"/>
      <c r="AE459" s="314"/>
      <c r="AF459" s="314"/>
      <c r="AG459" s="324"/>
      <c r="AH459" s="180"/>
      <c r="AI459" s="180"/>
      <c r="AJ459" s="322"/>
      <c r="AK459" s="155"/>
      <c r="AL459" s="132"/>
    </row>
    <row r="460">
      <c r="A460" s="480"/>
      <c r="B460" s="313"/>
      <c r="C460" s="745"/>
      <c r="D460" s="313"/>
      <c r="E460" s="314"/>
      <c r="F460" s="318"/>
      <c r="G460" s="315"/>
      <c r="H460" s="435"/>
      <c r="I460" s="314"/>
      <c r="J460" s="435"/>
      <c r="K460" s="744"/>
      <c r="L460" s="736"/>
      <c r="M460" s="740"/>
      <c r="N460" s="744"/>
      <c r="O460" s="314"/>
      <c r="P460" s="435"/>
      <c r="Q460" s="435"/>
      <c r="R460" s="314"/>
      <c r="S460" s="849"/>
      <c r="T460" s="740"/>
      <c r="U460" s="744"/>
      <c r="V460" s="435"/>
      <c r="W460" s="435"/>
      <c r="X460" s="435"/>
      <c r="Y460" s="435"/>
      <c r="Z460" s="435"/>
      <c r="AA460" s="740"/>
      <c r="AB460" s="744"/>
      <c r="AC460" s="435"/>
      <c r="AD460" s="435"/>
      <c r="AE460" s="435"/>
      <c r="AF460" s="435"/>
      <c r="AG460" s="324"/>
      <c r="AH460" s="180"/>
      <c r="AI460" s="180"/>
      <c r="AJ460" s="322"/>
      <c r="AK460" s="132"/>
      <c r="AL460" s="132"/>
    </row>
    <row r="461">
      <c r="A461" s="476"/>
      <c r="AI461" s="176"/>
      <c r="AJ461" s="322"/>
      <c r="AK461" s="132"/>
      <c r="AL461" s="132"/>
    </row>
    <row r="462">
      <c r="A462" s="178"/>
      <c r="AJ462" s="322"/>
      <c r="AK462" s="132"/>
      <c r="AL462" s="132"/>
    </row>
    <row r="463">
      <c r="A463" s="481"/>
      <c r="B463" s="313"/>
      <c r="C463" s="745"/>
      <c r="D463" s="437"/>
      <c r="E463" s="435"/>
      <c r="F463" s="318"/>
      <c r="G463" s="744"/>
      <c r="H463" s="435"/>
      <c r="I463" s="435"/>
      <c r="J463" s="314"/>
      <c r="K463" s="744"/>
      <c r="L463" s="839"/>
      <c r="M463" s="740"/>
      <c r="N463" s="315"/>
      <c r="O463" s="314"/>
      <c r="P463" s="435"/>
      <c r="Q463" s="435"/>
      <c r="R463" s="435"/>
      <c r="S463" s="849"/>
      <c r="T463" s="740"/>
      <c r="U463" s="744"/>
      <c r="V463" s="435"/>
      <c r="W463" s="435"/>
      <c r="X463" s="435"/>
      <c r="Y463" s="435"/>
      <c r="Z463" s="435"/>
      <c r="AA463" s="740"/>
      <c r="AB463" s="744"/>
      <c r="AC463" s="435"/>
      <c r="AD463" s="435"/>
      <c r="AE463" s="435"/>
      <c r="AF463" s="435"/>
      <c r="AG463" s="324"/>
      <c r="AH463" s="180"/>
      <c r="AI463" s="155"/>
      <c r="AJ463" s="322"/>
      <c r="AK463" s="132"/>
      <c r="AL463" s="132"/>
    </row>
    <row r="464">
      <c r="A464" s="435"/>
      <c r="B464" s="313"/>
      <c r="C464" s="745"/>
      <c r="D464" s="437"/>
      <c r="E464" s="314"/>
      <c r="F464" s="318"/>
      <c r="G464" s="315"/>
      <c r="H464" s="435"/>
      <c r="I464" s="314"/>
      <c r="J464" s="435"/>
      <c r="K464" s="744"/>
      <c r="L464" s="736"/>
      <c r="M464" s="318"/>
      <c r="N464" s="315"/>
      <c r="O464" s="314"/>
      <c r="P464" s="435"/>
      <c r="Q464" s="435"/>
      <c r="R464" s="435"/>
      <c r="S464" s="849"/>
      <c r="T464" s="740"/>
      <c r="U464" s="744"/>
      <c r="V464" s="435"/>
      <c r="W464" s="435"/>
      <c r="X464" s="435"/>
      <c r="Y464" s="435"/>
      <c r="Z464" s="435"/>
      <c r="AA464" s="740"/>
      <c r="AB464" s="744"/>
      <c r="AC464" s="435"/>
      <c r="AD464" s="435"/>
      <c r="AE464" s="435"/>
      <c r="AF464" s="435"/>
      <c r="AG464" s="324"/>
      <c r="AH464" s="180"/>
      <c r="AI464" s="155"/>
      <c r="AJ464" s="322"/>
      <c r="AK464" s="132"/>
      <c r="AL464" s="132"/>
    </row>
    <row r="465">
      <c r="A465" s="482"/>
      <c r="B465" s="313"/>
      <c r="C465" s="312"/>
      <c r="D465" s="437"/>
      <c r="E465" s="314"/>
      <c r="F465" s="318"/>
      <c r="G465" s="315"/>
      <c r="H465" s="314"/>
      <c r="I465" s="314"/>
      <c r="J465" s="314"/>
      <c r="K465" s="744"/>
      <c r="L465" s="736"/>
      <c r="M465" s="318"/>
      <c r="N465" s="315"/>
      <c r="O465" s="314"/>
      <c r="P465" s="314"/>
      <c r="Q465" s="314"/>
      <c r="R465" s="435"/>
      <c r="S465" s="848"/>
      <c r="T465" s="318"/>
      <c r="U465" s="315"/>
      <c r="V465" s="314"/>
      <c r="W465" s="314"/>
      <c r="X465" s="314"/>
      <c r="Y465" s="314"/>
      <c r="Z465" s="314"/>
      <c r="AA465" s="318"/>
      <c r="AB465" s="315"/>
      <c r="AC465" s="314"/>
      <c r="AD465" s="314"/>
      <c r="AE465" s="314"/>
      <c r="AF465" s="314"/>
      <c r="AG465" s="324"/>
      <c r="AH465" s="180"/>
      <c r="AI465" s="155"/>
      <c r="AJ465" s="322"/>
      <c r="AK465" s="132"/>
      <c r="AL465" s="132"/>
    </row>
    <row r="466">
      <c r="A466" s="482"/>
      <c r="B466" s="313"/>
      <c r="C466" s="745"/>
      <c r="D466" s="437"/>
      <c r="E466" s="435"/>
      <c r="F466" s="318"/>
      <c r="G466" s="315"/>
      <c r="H466" s="435"/>
      <c r="I466" s="435"/>
      <c r="J466" s="435"/>
      <c r="K466" s="744"/>
      <c r="L466" s="839"/>
      <c r="M466" s="740"/>
      <c r="N466" s="744"/>
      <c r="O466" s="314"/>
      <c r="P466" s="435"/>
      <c r="Q466" s="435"/>
      <c r="R466" s="435"/>
      <c r="S466" s="849"/>
      <c r="T466" s="740"/>
      <c r="U466" s="744"/>
      <c r="V466" s="435"/>
      <c r="W466" s="435"/>
      <c r="X466" s="435"/>
      <c r="Y466" s="435"/>
      <c r="Z466" s="435"/>
      <c r="AA466" s="740"/>
      <c r="AB466" s="744"/>
      <c r="AC466" s="435"/>
      <c r="AD466" s="435"/>
      <c r="AE466" s="435"/>
      <c r="AF466" s="435"/>
      <c r="AG466" s="324"/>
      <c r="AH466" s="180"/>
      <c r="AI466" s="155"/>
      <c r="AJ466" s="322"/>
      <c r="AK466" s="132"/>
      <c r="AL466" s="132"/>
    </row>
    <row r="467">
      <c r="A467" s="314"/>
      <c r="B467" s="313"/>
      <c r="C467" s="312"/>
      <c r="D467" s="313"/>
      <c r="E467" s="314"/>
      <c r="F467" s="318"/>
      <c r="G467" s="315"/>
      <c r="H467" s="314"/>
      <c r="I467" s="314"/>
      <c r="J467" s="314"/>
      <c r="K467" s="315"/>
      <c r="L467" s="736"/>
      <c r="M467" s="318"/>
      <c r="N467" s="315"/>
      <c r="O467" s="314"/>
      <c r="P467" s="314"/>
      <c r="Q467" s="314"/>
      <c r="R467" s="314"/>
      <c r="S467" s="848"/>
      <c r="T467" s="318"/>
      <c r="U467" s="315"/>
      <c r="V467" s="314"/>
      <c r="W467" s="314"/>
      <c r="X467" s="314"/>
      <c r="Y467" s="314"/>
      <c r="Z467" s="314"/>
      <c r="AA467" s="318"/>
      <c r="AB467" s="315"/>
      <c r="AC467" s="314"/>
      <c r="AD467" s="314"/>
      <c r="AE467" s="314"/>
      <c r="AF467" s="314"/>
      <c r="AG467" s="483"/>
      <c r="AI467" s="484"/>
      <c r="AJ467" s="322"/>
      <c r="AK467" s="132"/>
      <c r="AL467" s="132"/>
    </row>
    <row r="468">
      <c r="A468" s="314"/>
      <c r="B468" s="313"/>
      <c r="C468" s="312"/>
      <c r="D468" s="313"/>
      <c r="E468" s="314"/>
      <c r="F468" s="318"/>
      <c r="G468" s="315"/>
      <c r="H468" s="314"/>
      <c r="I468" s="314"/>
      <c r="J468" s="314"/>
      <c r="K468" s="315"/>
      <c r="L468" s="736"/>
      <c r="M468" s="318"/>
      <c r="N468" s="315"/>
      <c r="O468" s="314"/>
      <c r="P468" s="314"/>
      <c r="Q468" s="314"/>
      <c r="R468" s="314"/>
      <c r="S468" s="848"/>
      <c r="T468" s="318"/>
      <c r="U468" s="315"/>
      <c r="V468" s="314"/>
      <c r="W468" s="314"/>
      <c r="X468" s="314"/>
      <c r="Y468" s="314"/>
      <c r="Z468" s="314"/>
      <c r="AA468" s="318"/>
      <c r="AB468" s="315"/>
      <c r="AC468" s="314"/>
      <c r="AD468" s="314"/>
      <c r="AE468" s="314"/>
      <c r="AF468" s="314"/>
      <c r="AG468" s="324"/>
      <c r="AH468" s="155"/>
      <c r="AI468" s="155"/>
      <c r="AJ468" s="322"/>
      <c r="AK468" s="132"/>
      <c r="AL468" s="132"/>
    </row>
    <row r="469">
      <c r="A469" s="314"/>
      <c r="B469" s="313"/>
      <c r="C469" s="312"/>
      <c r="D469" s="313"/>
      <c r="E469" s="314"/>
      <c r="F469" s="318"/>
      <c r="G469" s="315"/>
      <c r="H469" s="314"/>
      <c r="I469" s="314"/>
      <c r="J469" s="314"/>
      <c r="K469" s="315"/>
      <c r="L469" s="736"/>
      <c r="M469" s="318"/>
      <c r="N469" s="315"/>
      <c r="O469" s="314"/>
      <c r="P469" s="314"/>
      <c r="Q469" s="314"/>
      <c r="R469" s="314"/>
      <c r="S469" s="848"/>
      <c r="T469" s="318"/>
      <c r="U469" s="315"/>
      <c r="V469" s="314"/>
      <c r="W469" s="314"/>
      <c r="X469" s="314"/>
      <c r="Y469" s="314"/>
      <c r="Z469" s="314"/>
      <c r="AA469" s="318"/>
      <c r="AB469" s="315"/>
      <c r="AC469" s="314"/>
      <c r="AD469" s="314"/>
      <c r="AE469" s="314"/>
      <c r="AF469" s="314"/>
      <c r="AG469" s="324"/>
      <c r="AH469" s="155"/>
      <c r="AI469" s="155"/>
      <c r="AJ469" s="322"/>
      <c r="AK469" s="132"/>
      <c r="AL469" s="132"/>
    </row>
    <row r="470">
      <c r="A470" s="314"/>
      <c r="B470" s="313"/>
      <c r="C470" s="312"/>
      <c r="D470" s="313"/>
      <c r="E470" s="314"/>
      <c r="F470" s="318"/>
      <c r="G470" s="315"/>
      <c r="H470" s="314"/>
      <c r="I470" s="314"/>
      <c r="J470" s="314"/>
      <c r="K470" s="315"/>
      <c r="L470" s="736"/>
      <c r="M470" s="318"/>
      <c r="N470" s="315"/>
      <c r="O470" s="314"/>
      <c r="P470" s="314"/>
      <c r="Q470" s="314"/>
      <c r="R470" s="314"/>
      <c r="S470" s="848"/>
      <c r="T470" s="318"/>
      <c r="U470" s="315"/>
      <c r="V470" s="314"/>
      <c r="W470" s="314"/>
      <c r="X470" s="314"/>
      <c r="Y470" s="314"/>
      <c r="Z470" s="314"/>
      <c r="AA470" s="318"/>
      <c r="AB470" s="315"/>
      <c r="AC470" s="314"/>
      <c r="AD470" s="314"/>
      <c r="AE470" s="314"/>
      <c r="AF470" s="314"/>
      <c r="AG470" s="324"/>
      <c r="AH470" s="155"/>
      <c r="AI470" s="155"/>
      <c r="AJ470" s="322"/>
      <c r="AK470" s="132"/>
      <c r="AL470" s="132"/>
    </row>
    <row r="471">
      <c r="A471" s="314"/>
      <c r="B471" s="313"/>
      <c r="C471" s="312"/>
      <c r="D471" s="313"/>
      <c r="E471" s="314"/>
      <c r="F471" s="318"/>
      <c r="G471" s="315"/>
      <c r="H471" s="314"/>
      <c r="I471" s="314"/>
      <c r="J471" s="314"/>
      <c r="K471" s="315"/>
      <c r="L471" s="736"/>
      <c r="M471" s="318"/>
      <c r="N471" s="315"/>
      <c r="O471" s="314"/>
      <c r="P471" s="314"/>
      <c r="Q471" s="314"/>
      <c r="R471" s="314"/>
      <c r="S471" s="848"/>
      <c r="T471" s="318"/>
      <c r="U471" s="315"/>
      <c r="V471" s="314"/>
      <c r="W471" s="314"/>
      <c r="X471" s="314"/>
      <c r="Y471" s="314"/>
      <c r="Z471" s="314"/>
      <c r="AA471" s="318"/>
      <c r="AB471" s="315"/>
      <c r="AC471" s="314"/>
      <c r="AD471" s="314"/>
      <c r="AE471" s="314"/>
      <c r="AF471" s="314"/>
      <c r="AG471" s="324"/>
      <c r="AH471" s="155"/>
      <c r="AI471" s="155"/>
      <c r="AJ471" s="322"/>
      <c r="AK471" s="132"/>
      <c r="AL471" s="132"/>
    </row>
    <row r="472">
      <c r="A472" s="314"/>
      <c r="B472" s="313"/>
      <c r="C472" s="312"/>
      <c r="D472" s="313"/>
      <c r="E472" s="314"/>
      <c r="F472" s="318"/>
      <c r="G472" s="315"/>
      <c r="H472" s="314"/>
      <c r="I472" s="314"/>
      <c r="J472" s="314"/>
      <c r="K472" s="315"/>
      <c r="L472" s="736"/>
      <c r="M472" s="318"/>
      <c r="N472" s="315"/>
      <c r="O472" s="314"/>
      <c r="P472" s="314"/>
      <c r="Q472" s="314"/>
      <c r="R472" s="314"/>
      <c r="S472" s="848"/>
      <c r="T472" s="318"/>
      <c r="U472" s="315"/>
      <c r="V472" s="314"/>
      <c r="W472" s="314"/>
      <c r="X472" s="314"/>
      <c r="Y472" s="314"/>
      <c r="Z472" s="314"/>
      <c r="AA472" s="318"/>
      <c r="AB472" s="315"/>
      <c r="AC472" s="314"/>
      <c r="AD472" s="314"/>
      <c r="AE472" s="314"/>
      <c r="AF472" s="314"/>
      <c r="AG472" s="324"/>
      <c r="AH472" s="155"/>
      <c r="AI472" s="155"/>
      <c r="AJ472" s="322"/>
      <c r="AK472" s="132"/>
      <c r="AL472" s="132"/>
    </row>
    <row r="473">
      <c r="A473" s="314"/>
      <c r="B473" s="313"/>
      <c r="C473" s="312"/>
      <c r="D473" s="313"/>
      <c r="E473" s="314"/>
      <c r="F473" s="318"/>
      <c r="G473" s="315"/>
      <c r="H473" s="314"/>
      <c r="I473" s="314"/>
      <c r="J473" s="314"/>
      <c r="K473" s="315"/>
      <c r="L473" s="736"/>
      <c r="M473" s="318"/>
      <c r="N473" s="315"/>
      <c r="O473" s="314"/>
      <c r="P473" s="314"/>
      <c r="Q473" s="314"/>
      <c r="R473" s="314"/>
      <c r="S473" s="848"/>
      <c r="T473" s="318"/>
      <c r="U473" s="315"/>
      <c r="V473" s="314"/>
      <c r="W473" s="314"/>
      <c r="X473" s="314"/>
      <c r="Y473" s="314"/>
      <c r="Z473" s="314"/>
      <c r="AA473" s="318"/>
      <c r="AB473" s="315"/>
      <c r="AC473" s="314"/>
      <c r="AD473" s="314"/>
      <c r="AE473" s="314"/>
      <c r="AF473" s="314"/>
      <c r="AG473" s="324"/>
      <c r="AH473" s="155"/>
      <c r="AI473" s="155"/>
      <c r="AJ473" s="322"/>
      <c r="AK473" s="132"/>
      <c r="AL473" s="132"/>
    </row>
    <row r="474">
      <c r="A474" s="314"/>
      <c r="B474" s="313"/>
      <c r="C474" s="312"/>
      <c r="D474" s="313"/>
      <c r="E474" s="314"/>
      <c r="F474" s="318"/>
      <c r="G474" s="315"/>
      <c r="H474" s="314"/>
      <c r="I474" s="314"/>
      <c r="J474" s="314"/>
      <c r="K474" s="315"/>
      <c r="L474" s="736"/>
      <c r="M474" s="318"/>
      <c r="N474" s="315"/>
      <c r="O474" s="314"/>
      <c r="P474" s="314"/>
      <c r="Q474" s="314"/>
      <c r="R474" s="314"/>
      <c r="S474" s="848"/>
      <c r="T474" s="318"/>
      <c r="U474" s="315"/>
      <c r="V474" s="314"/>
      <c r="W474" s="314"/>
      <c r="X474" s="314"/>
      <c r="Y474" s="314"/>
      <c r="Z474" s="314"/>
      <c r="AA474" s="318"/>
      <c r="AB474" s="315"/>
      <c r="AC474" s="314"/>
      <c r="AD474" s="314"/>
      <c r="AE474" s="314"/>
      <c r="AF474" s="314"/>
      <c r="AG474" s="324"/>
      <c r="AH474" s="155"/>
      <c r="AI474" s="155"/>
      <c r="AJ474" s="322"/>
      <c r="AK474" s="132"/>
      <c r="AL474" s="132"/>
    </row>
    <row r="475">
      <c r="A475" s="314"/>
      <c r="B475" s="313"/>
      <c r="C475" s="312"/>
      <c r="D475" s="313"/>
      <c r="E475" s="314"/>
      <c r="F475" s="318"/>
      <c r="G475" s="315"/>
      <c r="H475" s="314"/>
      <c r="I475" s="314"/>
      <c r="J475" s="314"/>
      <c r="K475" s="315"/>
      <c r="L475" s="736"/>
      <c r="M475" s="318"/>
      <c r="N475" s="315"/>
      <c r="O475" s="314"/>
      <c r="P475" s="314"/>
      <c r="Q475" s="314"/>
      <c r="R475" s="314"/>
      <c r="S475" s="848"/>
      <c r="T475" s="318"/>
      <c r="U475" s="315"/>
      <c r="V475" s="314"/>
      <c r="W475" s="314"/>
      <c r="X475" s="314"/>
      <c r="Y475" s="314"/>
      <c r="Z475" s="314"/>
      <c r="AA475" s="318"/>
      <c r="AB475" s="315"/>
      <c r="AC475" s="314"/>
      <c r="AD475" s="314"/>
      <c r="AE475" s="314"/>
      <c r="AF475" s="314"/>
      <c r="AG475" s="324"/>
      <c r="AH475" s="155"/>
      <c r="AI475" s="155"/>
      <c r="AJ475" s="322"/>
      <c r="AK475" s="132"/>
      <c r="AL475" s="132"/>
    </row>
    <row r="476">
      <c r="A476" s="314"/>
      <c r="B476" s="313"/>
      <c r="C476" s="312"/>
      <c r="D476" s="313"/>
      <c r="E476" s="314"/>
      <c r="F476" s="318"/>
      <c r="G476" s="315"/>
      <c r="H476" s="314"/>
      <c r="I476" s="314"/>
      <c r="J476" s="314"/>
      <c r="K476" s="315"/>
      <c r="L476" s="736"/>
      <c r="M476" s="318"/>
      <c r="N476" s="315"/>
      <c r="O476" s="314"/>
      <c r="P476" s="314"/>
      <c r="Q476" s="314"/>
      <c r="R476" s="314"/>
      <c r="S476" s="848"/>
      <c r="T476" s="318"/>
      <c r="U476" s="315"/>
      <c r="V476" s="314"/>
      <c r="W476" s="314"/>
      <c r="X476" s="314"/>
      <c r="Y476" s="314"/>
      <c r="Z476" s="314"/>
      <c r="AA476" s="318"/>
      <c r="AB476" s="315"/>
      <c r="AC476" s="314"/>
      <c r="AD476" s="314"/>
      <c r="AE476" s="314"/>
      <c r="AF476" s="314"/>
      <c r="AG476" s="324"/>
      <c r="AH476" s="155"/>
      <c r="AI476" s="155"/>
      <c r="AJ476" s="322"/>
      <c r="AK476" s="132"/>
      <c r="AL476" s="132"/>
    </row>
    <row r="477">
      <c r="A477" s="314"/>
      <c r="B477" s="313"/>
      <c r="C477" s="312"/>
      <c r="D477" s="313"/>
      <c r="E477" s="314"/>
      <c r="F477" s="318"/>
      <c r="G477" s="315"/>
      <c r="H477" s="314"/>
      <c r="I477" s="314"/>
      <c r="J477" s="314"/>
      <c r="K477" s="315"/>
      <c r="L477" s="736"/>
      <c r="M477" s="318"/>
      <c r="N477" s="315"/>
      <c r="O477" s="314"/>
      <c r="P477" s="314"/>
      <c r="Q477" s="314"/>
      <c r="R477" s="314"/>
      <c r="S477" s="848"/>
      <c r="T477" s="318"/>
      <c r="U477" s="315"/>
      <c r="V477" s="314"/>
      <c r="W477" s="314"/>
      <c r="X477" s="314"/>
      <c r="Y477" s="314"/>
      <c r="Z477" s="314"/>
      <c r="AA477" s="318"/>
      <c r="AB477" s="315"/>
      <c r="AC477" s="314"/>
      <c r="AD477" s="314"/>
      <c r="AE477" s="314"/>
      <c r="AF477" s="314"/>
      <c r="AG477" s="324"/>
      <c r="AH477" s="155"/>
      <c r="AI477" s="155"/>
      <c r="AJ477" s="322"/>
      <c r="AK477" s="132"/>
      <c r="AL477" s="132"/>
    </row>
    <row r="478">
      <c r="A478" s="314"/>
      <c r="B478" s="313"/>
      <c r="C478" s="312"/>
      <c r="D478" s="313"/>
      <c r="E478" s="314"/>
      <c r="F478" s="318"/>
      <c r="G478" s="315"/>
      <c r="H478" s="314"/>
      <c r="I478" s="314"/>
      <c r="J478" s="314"/>
      <c r="K478" s="315"/>
      <c r="L478" s="736"/>
      <c r="M478" s="318"/>
      <c r="N478" s="315"/>
      <c r="O478" s="314"/>
      <c r="P478" s="314"/>
      <c r="Q478" s="314"/>
      <c r="R478" s="314"/>
      <c r="S478" s="848"/>
      <c r="T478" s="318"/>
      <c r="U478" s="315"/>
      <c r="V478" s="314"/>
      <c r="W478" s="314"/>
      <c r="X478" s="314"/>
      <c r="Y478" s="314"/>
      <c r="Z478" s="314"/>
      <c r="AA478" s="318"/>
      <c r="AB478" s="315"/>
      <c r="AC478" s="314"/>
      <c r="AD478" s="314"/>
      <c r="AE478" s="314"/>
      <c r="AF478" s="314"/>
      <c r="AG478" s="324"/>
      <c r="AH478" s="155"/>
      <c r="AI478" s="155"/>
      <c r="AJ478" s="322"/>
      <c r="AK478" s="132"/>
      <c r="AL478" s="132"/>
    </row>
    <row r="479">
      <c r="A479" s="314"/>
      <c r="B479" s="313"/>
      <c r="C479" s="312"/>
      <c r="D479" s="313"/>
      <c r="E479" s="314"/>
      <c r="F479" s="318"/>
      <c r="G479" s="315"/>
      <c r="H479" s="314"/>
      <c r="I479" s="314"/>
      <c r="J479" s="314"/>
      <c r="K479" s="315"/>
      <c r="L479" s="736"/>
      <c r="M479" s="318"/>
      <c r="N479" s="315"/>
      <c r="O479" s="314"/>
      <c r="P479" s="314"/>
      <c r="Q479" s="314"/>
      <c r="R479" s="314"/>
      <c r="S479" s="848"/>
      <c r="T479" s="318"/>
      <c r="U479" s="315"/>
      <c r="V479" s="314"/>
      <c r="W479" s="314"/>
      <c r="X479" s="314"/>
      <c r="Y479" s="314"/>
      <c r="Z479" s="314"/>
      <c r="AA479" s="318"/>
      <c r="AB479" s="315"/>
      <c r="AC479" s="314"/>
      <c r="AD479" s="314"/>
      <c r="AE479" s="314"/>
      <c r="AF479" s="314"/>
      <c r="AG479" s="324"/>
      <c r="AH479" s="155"/>
      <c r="AI479" s="155"/>
      <c r="AJ479" s="322"/>
      <c r="AK479" s="132"/>
      <c r="AL479" s="132"/>
    </row>
    <row r="480">
      <c r="A480" s="314"/>
      <c r="B480" s="313"/>
      <c r="C480" s="312"/>
      <c r="D480" s="313"/>
      <c r="E480" s="314"/>
      <c r="F480" s="318"/>
      <c r="G480" s="315"/>
      <c r="H480" s="314"/>
      <c r="I480" s="314"/>
      <c r="J480" s="314"/>
      <c r="K480" s="315"/>
      <c r="L480" s="736"/>
      <c r="M480" s="318"/>
      <c r="N480" s="315"/>
      <c r="O480" s="314"/>
      <c r="P480" s="314"/>
      <c r="Q480" s="314"/>
      <c r="R480" s="314"/>
      <c r="S480" s="848"/>
      <c r="T480" s="318"/>
      <c r="U480" s="315"/>
      <c r="V480" s="314"/>
      <c r="W480" s="314"/>
      <c r="X480" s="314"/>
      <c r="Y480" s="314"/>
      <c r="Z480" s="314"/>
      <c r="AA480" s="318"/>
      <c r="AB480" s="315"/>
      <c r="AC480" s="314"/>
      <c r="AD480" s="314"/>
      <c r="AE480" s="314"/>
      <c r="AF480" s="314"/>
      <c r="AG480" s="324"/>
      <c r="AH480" s="155"/>
      <c r="AI480" s="155"/>
      <c r="AJ480" s="322"/>
      <c r="AK480" s="132"/>
      <c r="AL480" s="132"/>
    </row>
    <row r="481">
      <c r="A481" s="314"/>
      <c r="B481" s="313"/>
      <c r="C481" s="312"/>
      <c r="D481" s="313"/>
      <c r="E481" s="314"/>
      <c r="F481" s="318"/>
      <c r="G481" s="315"/>
      <c r="H481" s="314"/>
      <c r="I481" s="314"/>
      <c r="J481" s="314"/>
      <c r="K481" s="315"/>
      <c r="L481" s="736"/>
      <c r="M481" s="318"/>
      <c r="N481" s="315"/>
      <c r="O481" s="314"/>
      <c r="P481" s="314"/>
      <c r="Q481" s="314"/>
      <c r="R481" s="314"/>
      <c r="S481" s="848"/>
      <c r="T481" s="318"/>
      <c r="U481" s="315"/>
      <c r="V481" s="314"/>
      <c r="W481" s="314"/>
      <c r="X481" s="314"/>
      <c r="Y481" s="314"/>
      <c r="Z481" s="314"/>
      <c r="AA481" s="318"/>
      <c r="AB481" s="315"/>
      <c r="AC481" s="314"/>
      <c r="AD481" s="314"/>
      <c r="AE481" s="314"/>
      <c r="AF481" s="314"/>
      <c r="AG481" s="324"/>
      <c r="AH481" s="155"/>
      <c r="AI481" s="155"/>
      <c r="AJ481" s="322"/>
      <c r="AK481" s="132"/>
      <c r="AL481" s="132"/>
    </row>
    <row r="482">
      <c r="A482" s="314"/>
      <c r="B482" s="313"/>
      <c r="C482" s="312"/>
      <c r="D482" s="313"/>
      <c r="E482" s="314"/>
      <c r="F482" s="318"/>
      <c r="G482" s="315"/>
      <c r="H482" s="314"/>
      <c r="I482" s="314"/>
      <c r="J482" s="314"/>
      <c r="K482" s="315"/>
      <c r="L482" s="736"/>
      <c r="M482" s="318"/>
      <c r="N482" s="315"/>
      <c r="O482" s="314"/>
      <c r="P482" s="314"/>
      <c r="Q482" s="314"/>
      <c r="R482" s="314"/>
      <c r="S482" s="848"/>
      <c r="T482" s="318"/>
      <c r="U482" s="315"/>
      <c r="V482" s="314"/>
      <c r="W482" s="314"/>
      <c r="X482" s="314"/>
      <c r="Y482" s="314"/>
      <c r="Z482" s="314"/>
      <c r="AA482" s="318"/>
      <c r="AB482" s="315"/>
      <c r="AC482" s="314"/>
      <c r="AD482" s="314"/>
      <c r="AE482" s="314"/>
      <c r="AF482" s="314"/>
      <c r="AG482" s="324"/>
      <c r="AH482" s="155"/>
      <c r="AI482" s="155"/>
      <c r="AJ482" s="322"/>
      <c r="AK482" s="132"/>
      <c r="AL482" s="132"/>
    </row>
    <row r="483">
      <c r="A483" s="314"/>
      <c r="B483" s="313"/>
      <c r="C483" s="312"/>
      <c r="D483" s="313"/>
      <c r="E483" s="314"/>
      <c r="F483" s="318"/>
      <c r="G483" s="315"/>
      <c r="H483" s="314"/>
      <c r="I483" s="314"/>
      <c r="J483" s="314"/>
      <c r="K483" s="315"/>
      <c r="L483" s="736"/>
      <c r="M483" s="318"/>
      <c r="N483" s="315"/>
      <c r="O483" s="314"/>
      <c r="P483" s="314"/>
      <c r="Q483" s="314"/>
      <c r="R483" s="314"/>
      <c r="S483" s="848"/>
      <c r="T483" s="318"/>
      <c r="U483" s="315"/>
      <c r="V483" s="314"/>
      <c r="W483" s="314"/>
      <c r="X483" s="314"/>
      <c r="Y483" s="314"/>
      <c r="Z483" s="314"/>
      <c r="AA483" s="318"/>
      <c r="AB483" s="315"/>
      <c r="AC483" s="314"/>
      <c r="AD483" s="314"/>
      <c r="AE483" s="314"/>
      <c r="AF483" s="314"/>
      <c r="AG483" s="324"/>
      <c r="AH483" s="155"/>
      <c r="AI483" s="155"/>
      <c r="AJ483" s="322"/>
      <c r="AK483" s="132"/>
      <c r="AL483" s="132"/>
    </row>
    <row r="484">
      <c r="A484" s="314"/>
      <c r="B484" s="313"/>
      <c r="C484" s="312"/>
      <c r="D484" s="313"/>
      <c r="E484" s="314"/>
      <c r="F484" s="318"/>
      <c r="G484" s="315"/>
      <c r="H484" s="314"/>
      <c r="I484" s="314"/>
      <c r="J484" s="314"/>
      <c r="K484" s="315"/>
      <c r="L484" s="736"/>
      <c r="M484" s="318"/>
      <c r="N484" s="315"/>
      <c r="O484" s="314"/>
      <c r="P484" s="314"/>
      <c r="Q484" s="314"/>
      <c r="R484" s="314"/>
      <c r="S484" s="848"/>
      <c r="T484" s="318"/>
      <c r="U484" s="315"/>
      <c r="V484" s="314"/>
      <c r="W484" s="314"/>
      <c r="X484" s="314"/>
      <c r="Y484" s="314"/>
      <c r="Z484" s="314"/>
      <c r="AA484" s="318"/>
      <c r="AB484" s="315"/>
      <c r="AC484" s="314"/>
      <c r="AD484" s="314"/>
      <c r="AE484" s="314"/>
      <c r="AF484" s="314"/>
      <c r="AG484" s="324"/>
      <c r="AH484" s="155"/>
      <c r="AI484" s="155"/>
      <c r="AJ484" s="322"/>
      <c r="AK484" s="132"/>
      <c r="AL484" s="132"/>
    </row>
    <row r="485">
      <c r="A485" s="314"/>
      <c r="B485" s="313"/>
      <c r="C485" s="312"/>
      <c r="D485" s="313"/>
      <c r="E485" s="314"/>
      <c r="F485" s="318"/>
      <c r="G485" s="315"/>
      <c r="H485" s="314"/>
      <c r="I485" s="314"/>
      <c r="J485" s="314"/>
      <c r="K485" s="315"/>
      <c r="L485" s="736"/>
      <c r="M485" s="318"/>
      <c r="N485" s="315"/>
      <c r="O485" s="314"/>
      <c r="P485" s="314"/>
      <c r="Q485" s="314"/>
      <c r="R485" s="314"/>
      <c r="S485" s="848"/>
      <c r="T485" s="318"/>
      <c r="U485" s="315"/>
      <c r="V485" s="314"/>
      <c r="W485" s="314"/>
      <c r="X485" s="314"/>
      <c r="Y485" s="314"/>
      <c r="Z485" s="314"/>
      <c r="AA485" s="318"/>
      <c r="AB485" s="315"/>
      <c r="AC485" s="314"/>
      <c r="AD485" s="314"/>
      <c r="AE485" s="314"/>
      <c r="AF485" s="314"/>
      <c r="AG485" s="324"/>
      <c r="AH485" s="155"/>
      <c r="AI485" s="155"/>
      <c r="AJ485" s="322"/>
      <c r="AK485" s="132"/>
      <c r="AL485" s="132"/>
    </row>
    <row r="486">
      <c r="A486" s="314"/>
      <c r="B486" s="313"/>
      <c r="C486" s="312"/>
      <c r="D486" s="313"/>
      <c r="E486" s="314"/>
      <c r="F486" s="318"/>
      <c r="G486" s="315"/>
      <c r="H486" s="314"/>
      <c r="I486" s="314"/>
      <c r="J486" s="314"/>
      <c r="K486" s="315"/>
      <c r="L486" s="736"/>
      <c r="M486" s="318"/>
      <c r="N486" s="315"/>
      <c r="O486" s="314"/>
      <c r="P486" s="314"/>
      <c r="Q486" s="314"/>
      <c r="R486" s="314"/>
      <c r="S486" s="848"/>
      <c r="T486" s="318"/>
      <c r="U486" s="315"/>
      <c r="V486" s="314"/>
      <c r="W486" s="314"/>
      <c r="X486" s="314"/>
      <c r="Y486" s="314"/>
      <c r="Z486" s="314"/>
      <c r="AA486" s="318"/>
      <c r="AB486" s="315"/>
      <c r="AC486" s="314"/>
      <c r="AD486" s="314"/>
      <c r="AE486" s="314"/>
      <c r="AF486" s="314"/>
      <c r="AG486" s="324"/>
      <c r="AH486" s="155"/>
      <c r="AI486" s="155"/>
      <c r="AJ486" s="322"/>
      <c r="AK486" s="132"/>
      <c r="AL486" s="132"/>
    </row>
    <row r="487">
      <c r="A487" s="314"/>
      <c r="B487" s="313"/>
      <c r="C487" s="312"/>
      <c r="D487" s="313"/>
      <c r="E487" s="314"/>
      <c r="F487" s="318"/>
      <c r="G487" s="315"/>
      <c r="H487" s="314"/>
      <c r="I487" s="314"/>
      <c r="J487" s="314"/>
      <c r="K487" s="315"/>
      <c r="L487" s="736"/>
      <c r="M487" s="318"/>
      <c r="N487" s="315"/>
      <c r="O487" s="314"/>
      <c r="P487" s="314"/>
      <c r="Q487" s="314"/>
      <c r="R487" s="314"/>
      <c r="S487" s="848"/>
      <c r="T487" s="318"/>
      <c r="U487" s="315"/>
      <c r="V487" s="314"/>
      <c r="W487" s="314"/>
      <c r="X487" s="314"/>
      <c r="Y487" s="314"/>
      <c r="Z487" s="314"/>
      <c r="AA487" s="318"/>
      <c r="AB487" s="315"/>
      <c r="AC487" s="314"/>
      <c r="AD487" s="314"/>
      <c r="AE487" s="314"/>
      <c r="AF487" s="314"/>
      <c r="AG487" s="324"/>
      <c r="AH487" s="155"/>
      <c r="AI487" s="155"/>
      <c r="AJ487" s="322"/>
      <c r="AK487" s="132"/>
      <c r="AL487" s="132"/>
    </row>
    <row r="488">
      <c r="A488" s="314"/>
      <c r="B488" s="313"/>
      <c r="C488" s="312"/>
      <c r="D488" s="313"/>
      <c r="E488" s="314"/>
      <c r="F488" s="318"/>
      <c r="G488" s="315"/>
      <c r="H488" s="314"/>
      <c r="I488" s="314"/>
      <c r="J488" s="314"/>
      <c r="K488" s="315"/>
      <c r="L488" s="736"/>
      <c r="M488" s="318"/>
      <c r="N488" s="315"/>
      <c r="O488" s="314"/>
      <c r="P488" s="314"/>
      <c r="Q488" s="314"/>
      <c r="R488" s="314"/>
      <c r="S488" s="848"/>
      <c r="T488" s="318"/>
      <c r="U488" s="315"/>
      <c r="V488" s="314"/>
      <c r="W488" s="314"/>
      <c r="X488" s="314"/>
      <c r="Y488" s="314"/>
      <c r="Z488" s="314"/>
      <c r="AA488" s="318"/>
      <c r="AB488" s="315"/>
      <c r="AC488" s="314"/>
      <c r="AD488" s="314"/>
      <c r="AE488" s="314"/>
      <c r="AF488" s="314"/>
      <c r="AG488" s="324"/>
      <c r="AH488" s="155"/>
      <c r="AI488" s="155"/>
      <c r="AJ488" s="322"/>
      <c r="AK488" s="132"/>
      <c r="AL488" s="132"/>
    </row>
    <row r="489">
      <c r="A489" s="314"/>
      <c r="B489" s="313"/>
      <c r="C489" s="312"/>
      <c r="D489" s="313"/>
      <c r="E489" s="314"/>
      <c r="F489" s="318"/>
      <c r="G489" s="315"/>
      <c r="H489" s="314"/>
      <c r="I489" s="314"/>
      <c r="J489" s="314"/>
      <c r="K489" s="315"/>
      <c r="L489" s="736"/>
      <c r="M489" s="318"/>
      <c r="N489" s="315"/>
      <c r="O489" s="314"/>
      <c r="P489" s="314"/>
      <c r="Q489" s="314"/>
      <c r="R489" s="314"/>
      <c r="S489" s="848"/>
      <c r="T489" s="318"/>
      <c r="U489" s="315"/>
      <c r="V489" s="314"/>
      <c r="W489" s="314"/>
      <c r="X489" s="314"/>
      <c r="Y489" s="314"/>
      <c r="Z489" s="314"/>
      <c r="AA489" s="318"/>
      <c r="AB489" s="315"/>
      <c r="AC489" s="314"/>
      <c r="AD489" s="314"/>
      <c r="AE489" s="314"/>
      <c r="AF489" s="314"/>
      <c r="AG489" s="324"/>
      <c r="AH489" s="155"/>
      <c r="AI489" s="155"/>
      <c r="AJ489" s="322"/>
      <c r="AK489" s="132"/>
      <c r="AL489" s="132"/>
    </row>
    <row r="490">
      <c r="A490" s="314"/>
      <c r="B490" s="313"/>
      <c r="C490" s="312"/>
      <c r="D490" s="313"/>
      <c r="E490" s="314"/>
      <c r="F490" s="318"/>
      <c r="G490" s="315"/>
      <c r="H490" s="314"/>
      <c r="I490" s="314"/>
      <c r="J490" s="314"/>
      <c r="K490" s="315"/>
      <c r="L490" s="736"/>
      <c r="M490" s="318"/>
      <c r="N490" s="315"/>
      <c r="O490" s="314"/>
      <c r="P490" s="314"/>
      <c r="Q490" s="314"/>
      <c r="R490" s="314"/>
      <c r="S490" s="848"/>
      <c r="T490" s="318"/>
      <c r="U490" s="315"/>
      <c r="V490" s="314"/>
      <c r="W490" s="314"/>
      <c r="X490" s="314"/>
      <c r="Y490" s="314"/>
      <c r="Z490" s="314"/>
      <c r="AA490" s="318"/>
      <c r="AB490" s="315"/>
      <c r="AC490" s="314"/>
      <c r="AD490" s="314"/>
      <c r="AE490" s="314"/>
      <c r="AF490" s="314"/>
      <c r="AG490" s="324"/>
      <c r="AH490" s="155"/>
      <c r="AI490" s="155"/>
      <c r="AJ490" s="322"/>
      <c r="AK490" s="132"/>
      <c r="AL490" s="132"/>
    </row>
    <row r="491">
      <c r="A491" s="314"/>
      <c r="B491" s="313"/>
      <c r="C491" s="312"/>
      <c r="D491" s="313"/>
      <c r="E491" s="314"/>
      <c r="F491" s="318"/>
      <c r="G491" s="315"/>
      <c r="H491" s="314"/>
      <c r="I491" s="314"/>
      <c r="J491" s="314"/>
      <c r="K491" s="315"/>
      <c r="L491" s="736"/>
      <c r="M491" s="318"/>
      <c r="N491" s="315"/>
      <c r="O491" s="314"/>
      <c r="P491" s="314"/>
      <c r="Q491" s="314"/>
      <c r="R491" s="314"/>
      <c r="S491" s="848"/>
      <c r="T491" s="318"/>
      <c r="U491" s="315"/>
      <c r="V491" s="314"/>
      <c r="W491" s="314"/>
      <c r="X491" s="314"/>
      <c r="Y491" s="314"/>
      <c r="Z491" s="314"/>
      <c r="AA491" s="318"/>
      <c r="AB491" s="315"/>
      <c r="AC491" s="314"/>
      <c r="AD491" s="314"/>
      <c r="AE491" s="314"/>
      <c r="AF491" s="314"/>
      <c r="AG491" s="324"/>
      <c r="AH491" s="155"/>
      <c r="AI491" s="155"/>
      <c r="AJ491" s="322"/>
      <c r="AK491" s="132"/>
      <c r="AL491" s="132"/>
    </row>
    <row r="492">
      <c r="A492" s="314"/>
      <c r="B492" s="313"/>
      <c r="C492" s="312"/>
      <c r="D492" s="313"/>
      <c r="E492" s="314"/>
      <c r="F492" s="318"/>
      <c r="G492" s="315"/>
      <c r="H492" s="314"/>
      <c r="I492" s="314"/>
      <c r="J492" s="314"/>
      <c r="K492" s="315"/>
      <c r="L492" s="736"/>
      <c r="M492" s="318"/>
      <c r="N492" s="315"/>
      <c r="O492" s="314"/>
      <c r="P492" s="314"/>
      <c r="Q492" s="314"/>
      <c r="R492" s="314"/>
      <c r="S492" s="848"/>
      <c r="T492" s="318"/>
      <c r="U492" s="315"/>
      <c r="V492" s="314"/>
      <c r="W492" s="314"/>
      <c r="X492" s="314"/>
      <c r="Y492" s="314"/>
      <c r="Z492" s="314"/>
      <c r="AA492" s="318"/>
      <c r="AB492" s="315"/>
      <c r="AC492" s="314"/>
      <c r="AD492" s="314"/>
      <c r="AE492" s="314"/>
      <c r="AF492" s="314"/>
      <c r="AG492" s="324"/>
      <c r="AH492" s="155"/>
      <c r="AI492" s="155"/>
      <c r="AJ492" s="322"/>
      <c r="AK492" s="132"/>
      <c r="AL492" s="132"/>
    </row>
    <row r="493">
      <c r="A493" s="314"/>
      <c r="B493" s="313"/>
      <c r="C493" s="312"/>
      <c r="D493" s="313"/>
      <c r="E493" s="314"/>
      <c r="F493" s="318"/>
      <c r="G493" s="315"/>
      <c r="H493" s="314"/>
      <c r="I493" s="314"/>
      <c r="J493" s="314"/>
      <c r="K493" s="315"/>
      <c r="L493" s="736"/>
      <c r="M493" s="318"/>
      <c r="N493" s="315"/>
      <c r="O493" s="314"/>
      <c r="P493" s="314"/>
      <c r="Q493" s="314"/>
      <c r="R493" s="314"/>
      <c r="S493" s="848"/>
      <c r="T493" s="318"/>
      <c r="U493" s="315"/>
      <c r="V493" s="314"/>
      <c r="W493" s="314"/>
      <c r="X493" s="314"/>
      <c r="Y493" s="314"/>
      <c r="Z493" s="314"/>
      <c r="AA493" s="318"/>
      <c r="AB493" s="315"/>
      <c r="AC493" s="314"/>
      <c r="AD493" s="314"/>
      <c r="AE493" s="314"/>
      <c r="AF493" s="314"/>
      <c r="AG493" s="324"/>
      <c r="AH493" s="155"/>
      <c r="AI493" s="155"/>
      <c r="AJ493" s="322"/>
      <c r="AK493" s="132"/>
      <c r="AL493" s="132"/>
    </row>
    <row r="494">
      <c r="A494" s="314"/>
      <c r="B494" s="313"/>
      <c r="C494" s="312"/>
      <c r="D494" s="313"/>
      <c r="E494" s="314"/>
      <c r="F494" s="318"/>
      <c r="G494" s="315"/>
      <c r="H494" s="314"/>
      <c r="I494" s="314"/>
      <c r="J494" s="314"/>
      <c r="K494" s="315"/>
      <c r="L494" s="736"/>
      <c r="M494" s="318"/>
      <c r="N494" s="315"/>
      <c r="O494" s="314"/>
      <c r="P494" s="314"/>
      <c r="Q494" s="314"/>
      <c r="R494" s="314"/>
      <c r="S494" s="848"/>
      <c r="T494" s="318"/>
      <c r="U494" s="315"/>
      <c r="V494" s="314"/>
      <c r="W494" s="314"/>
      <c r="X494" s="314"/>
      <c r="Y494" s="314"/>
      <c r="Z494" s="314"/>
      <c r="AA494" s="318"/>
      <c r="AB494" s="315"/>
      <c r="AC494" s="314"/>
      <c r="AD494" s="314"/>
      <c r="AE494" s="314"/>
      <c r="AF494" s="314"/>
      <c r="AG494" s="324"/>
      <c r="AH494" s="155"/>
      <c r="AI494" s="155"/>
      <c r="AJ494" s="322"/>
      <c r="AK494" s="132"/>
      <c r="AL494" s="132"/>
    </row>
    <row r="495">
      <c r="A495" s="314"/>
      <c r="B495" s="313"/>
      <c r="C495" s="312"/>
      <c r="D495" s="313"/>
      <c r="E495" s="314"/>
      <c r="F495" s="318"/>
      <c r="G495" s="315"/>
      <c r="H495" s="314"/>
      <c r="I495" s="314"/>
      <c r="J495" s="314"/>
      <c r="K495" s="315"/>
      <c r="L495" s="736"/>
      <c r="M495" s="318"/>
      <c r="N495" s="315"/>
      <c r="O495" s="314"/>
      <c r="P495" s="314"/>
      <c r="Q495" s="314"/>
      <c r="R495" s="314"/>
      <c r="S495" s="848"/>
      <c r="T495" s="318"/>
      <c r="U495" s="315"/>
      <c r="V495" s="314"/>
      <c r="W495" s="314"/>
      <c r="X495" s="314"/>
      <c r="Y495" s="314"/>
      <c r="Z495" s="314"/>
      <c r="AA495" s="318"/>
      <c r="AB495" s="315"/>
      <c r="AC495" s="314"/>
      <c r="AD495" s="314"/>
      <c r="AE495" s="314"/>
      <c r="AF495" s="314"/>
      <c r="AG495" s="324"/>
      <c r="AH495" s="155"/>
      <c r="AI495" s="155"/>
      <c r="AJ495" s="322"/>
      <c r="AK495" s="132"/>
      <c r="AL495" s="132"/>
    </row>
    <row r="496">
      <c r="A496" s="314"/>
      <c r="B496" s="313"/>
      <c r="C496" s="312"/>
      <c r="D496" s="313"/>
      <c r="E496" s="314"/>
      <c r="F496" s="318"/>
      <c r="G496" s="315"/>
      <c r="H496" s="314"/>
      <c r="I496" s="314"/>
      <c r="J496" s="314"/>
      <c r="K496" s="315"/>
      <c r="L496" s="736"/>
      <c r="M496" s="318"/>
      <c r="N496" s="315"/>
      <c r="O496" s="314"/>
      <c r="P496" s="314"/>
      <c r="Q496" s="314"/>
      <c r="R496" s="314"/>
      <c r="S496" s="848"/>
      <c r="T496" s="318"/>
      <c r="U496" s="315"/>
      <c r="V496" s="314"/>
      <c r="W496" s="314"/>
      <c r="X496" s="314"/>
      <c r="Y496" s="314"/>
      <c r="Z496" s="314"/>
      <c r="AA496" s="318"/>
      <c r="AB496" s="315"/>
      <c r="AC496" s="314"/>
      <c r="AD496" s="314"/>
      <c r="AE496" s="314"/>
      <c r="AF496" s="314"/>
      <c r="AG496" s="324"/>
      <c r="AH496" s="155"/>
      <c r="AI496" s="155"/>
      <c r="AJ496" s="322"/>
      <c r="AK496" s="132"/>
      <c r="AL496" s="132"/>
    </row>
    <row r="497">
      <c r="A497" s="314"/>
      <c r="B497" s="313"/>
      <c r="C497" s="312"/>
      <c r="D497" s="313"/>
      <c r="E497" s="314"/>
      <c r="F497" s="318"/>
      <c r="G497" s="315"/>
      <c r="H497" s="314"/>
      <c r="I497" s="314"/>
      <c r="J497" s="314"/>
      <c r="K497" s="315"/>
      <c r="L497" s="736"/>
      <c r="M497" s="318"/>
      <c r="N497" s="315"/>
      <c r="O497" s="314"/>
      <c r="P497" s="314"/>
      <c r="Q497" s="314"/>
      <c r="R497" s="314"/>
      <c r="S497" s="848"/>
      <c r="T497" s="318"/>
      <c r="U497" s="315"/>
      <c r="V497" s="314"/>
      <c r="W497" s="314"/>
      <c r="X497" s="314"/>
      <c r="Y497" s="314"/>
      <c r="Z497" s="314"/>
      <c r="AA497" s="318"/>
      <c r="AB497" s="315"/>
      <c r="AC497" s="314"/>
      <c r="AD497" s="314"/>
      <c r="AE497" s="314"/>
      <c r="AF497" s="314"/>
      <c r="AG497" s="324"/>
      <c r="AH497" s="155"/>
      <c r="AI497" s="155"/>
      <c r="AJ497" s="322"/>
      <c r="AK497" s="132"/>
      <c r="AL497" s="132"/>
    </row>
    <row r="498">
      <c r="A498" s="314"/>
      <c r="B498" s="313"/>
      <c r="C498" s="312"/>
      <c r="D498" s="313"/>
      <c r="E498" s="314"/>
      <c r="F498" s="318"/>
      <c r="G498" s="315"/>
      <c r="H498" s="314"/>
      <c r="I498" s="314"/>
      <c r="J498" s="314"/>
      <c r="K498" s="315"/>
      <c r="L498" s="736"/>
      <c r="M498" s="318"/>
      <c r="N498" s="315"/>
      <c r="O498" s="314"/>
      <c r="P498" s="314"/>
      <c r="Q498" s="314"/>
      <c r="R498" s="314"/>
      <c r="S498" s="848"/>
      <c r="T498" s="318"/>
      <c r="U498" s="315"/>
      <c r="V498" s="314"/>
      <c r="W498" s="314"/>
      <c r="X498" s="314"/>
      <c r="Y498" s="314"/>
      <c r="Z498" s="314"/>
      <c r="AA498" s="318"/>
      <c r="AB498" s="315"/>
      <c r="AC498" s="314"/>
      <c r="AD498" s="314"/>
      <c r="AE498" s="314"/>
      <c r="AF498" s="314"/>
      <c r="AG498" s="324"/>
      <c r="AH498" s="155"/>
      <c r="AI498" s="155"/>
      <c r="AJ498" s="322"/>
      <c r="AK498" s="132"/>
      <c r="AL498" s="132"/>
    </row>
    <row r="499">
      <c r="A499" s="314"/>
      <c r="B499" s="313"/>
      <c r="C499" s="312"/>
      <c r="D499" s="313"/>
      <c r="E499" s="314"/>
      <c r="F499" s="318"/>
      <c r="G499" s="315"/>
      <c r="H499" s="314"/>
      <c r="I499" s="314"/>
      <c r="J499" s="314"/>
      <c r="K499" s="315"/>
      <c r="L499" s="736"/>
      <c r="M499" s="318"/>
      <c r="N499" s="315"/>
      <c r="O499" s="314"/>
      <c r="P499" s="314"/>
      <c r="Q499" s="314"/>
      <c r="R499" s="314"/>
      <c r="S499" s="848"/>
      <c r="T499" s="318"/>
      <c r="U499" s="315"/>
      <c r="V499" s="314"/>
      <c r="W499" s="314"/>
      <c r="X499" s="314"/>
      <c r="Y499" s="314"/>
      <c r="Z499" s="314"/>
      <c r="AA499" s="318"/>
      <c r="AB499" s="315"/>
      <c r="AC499" s="314"/>
      <c r="AD499" s="314"/>
      <c r="AE499" s="314"/>
      <c r="AF499" s="314"/>
      <c r="AG499" s="324"/>
      <c r="AH499" s="155"/>
      <c r="AI499" s="155"/>
      <c r="AJ499" s="322"/>
      <c r="AK499" s="132"/>
      <c r="AL499" s="132"/>
    </row>
    <row r="500">
      <c r="A500" s="314"/>
      <c r="B500" s="313"/>
      <c r="C500" s="312"/>
      <c r="D500" s="313"/>
      <c r="E500" s="314"/>
      <c r="F500" s="318"/>
      <c r="G500" s="315"/>
      <c r="H500" s="314"/>
      <c r="I500" s="314"/>
      <c r="J500" s="314"/>
      <c r="K500" s="315"/>
      <c r="L500" s="736"/>
      <c r="M500" s="318"/>
      <c r="N500" s="315"/>
      <c r="O500" s="314"/>
      <c r="P500" s="314"/>
      <c r="Q500" s="314"/>
      <c r="R500" s="314"/>
      <c r="S500" s="848"/>
      <c r="T500" s="318"/>
      <c r="U500" s="315"/>
      <c r="V500" s="314"/>
      <c r="W500" s="314"/>
      <c r="X500" s="314"/>
      <c r="Y500" s="314"/>
      <c r="Z500" s="314"/>
      <c r="AA500" s="318"/>
      <c r="AB500" s="315"/>
      <c r="AC500" s="314"/>
      <c r="AD500" s="314"/>
      <c r="AE500" s="314"/>
      <c r="AF500" s="314"/>
      <c r="AG500" s="324"/>
      <c r="AH500" s="155"/>
      <c r="AI500" s="155"/>
      <c r="AJ500" s="322"/>
      <c r="AK500" s="132"/>
      <c r="AL500" s="132"/>
    </row>
    <row r="501">
      <c r="A501" s="314"/>
      <c r="B501" s="313"/>
      <c r="C501" s="312"/>
      <c r="D501" s="313"/>
      <c r="E501" s="314"/>
      <c r="F501" s="318"/>
      <c r="G501" s="315"/>
      <c r="H501" s="314"/>
      <c r="I501" s="314"/>
      <c r="J501" s="314"/>
      <c r="K501" s="315"/>
      <c r="L501" s="736"/>
      <c r="M501" s="318"/>
      <c r="N501" s="315"/>
      <c r="O501" s="314"/>
      <c r="P501" s="314"/>
      <c r="Q501" s="314"/>
      <c r="R501" s="314"/>
      <c r="S501" s="848"/>
      <c r="T501" s="318"/>
      <c r="U501" s="315"/>
      <c r="V501" s="314"/>
      <c r="W501" s="314"/>
      <c r="X501" s="314"/>
      <c r="Y501" s="314"/>
      <c r="Z501" s="314"/>
      <c r="AA501" s="318"/>
      <c r="AB501" s="315"/>
      <c r="AC501" s="314"/>
      <c r="AD501" s="314"/>
      <c r="AE501" s="314"/>
      <c r="AF501" s="314"/>
      <c r="AG501" s="324"/>
      <c r="AH501" s="155"/>
      <c r="AI501" s="155"/>
      <c r="AJ501" s="322"/>
      <c r="AK501" s="132"/>
      <c r="AL501" s="132"/>
    </row>
    <row r="502">
      <c r="A502" s="314"/>
      <c r="B502" s="313"/>
      <c r="C502" s="312"/>
      <c r="D502" s="313"/>
      <c r="E502" s="314"/>
      <c r="F502" s="318"/>
      <c r="G502" s="315"/>
      <c r="H502" s="314"/>
      <c r="I502" s="314"/>
      <c r="J502" s="314"/>
      <c r="K502" s="315"/>
      <c r="L502" s="736"/>
      <c r="M502" s="318"/>
      <c r="N502" s="315"/>
      <c r="O502" s="314"/>
      <c r="P502" s="314"/>
      <c r="Q502" s="314"/>
      <c r="R502" s="314"/>
      <c r="S502" s="848"/>
      <c r="T502" s="318"/>
      <c r="U502" s="315"/>
      <c r="V502" s="314"/>
      <c r="W502" s="314"/>
      <c r="X502" s="314"/>
      <c r="Y502" s="314"/>
      <c r="Z502" s="314"/>
      <c r="AA502" s="318"/>
      <c r="AB502" s="315"/>
      <c r="AC502" s="314"/>
      <c r="AD502" s="314"/>
      <c r="AE502" s="314"/>
      <c r="AF502" s="314"/>
      <c r="AG502" s="324"/>
      <c r="AH502" s="155"/>
      <c r="AI502" s="155"/>
      <c r="AJ502" s="322"/>
      <c r="AK502" s="132"/>
      <c r="AL502" s="132"/>
    </row>
    <row r="503">
      <c r="A503" s="314"/>
      <c r="B503" s="313"/>
      <c r="C503" s="312"/>
      <c r="D503" s="313"/>
      <c r="E503" s="314"/>
      <c r="F503" s="318"/>
      <c r="G503" s="315"/>
      <c r="H503" s="314"/>
      <c r="I503" s="314"/>
      <c r="J503" s="314"/>
      <c r="K503" s="315"/>
      <c r="L503" s="736"/>
      <c r="M503" s="318"/>
      <c r="N503" s="315"/>
      <c r="O503" s="314"/>
      <c r="P503" s="314"/>
      <c r="Q503" s="314"/>
      <c r="R503" s="314"/>
      <c r="S503" s="848"/>
      <c r="T503" s="318"/>
      <c r="U503" s="315"/>
      <c r="V503" s="314"/>
      <c r="W503" s="314"/>
      <c r="X503" s="314"/>
      <c r="Y503" s="314"/>
      <c r="Z503" s="314"/>
      <c r="AA503" s="318"/>
      <c r="AB503" s="315"/>
      <c r="AC503" s="314"/>
      <c r="AD503" s="314"/>
      <c r="AE503" s="314"/>
      <c r="AF503" s="314"/>
      <c r="AG503" s="324"/>
      <c r="AH503" s="155"/>
      <c r="AI503" s="155"/>
      <c r="AJ503" s="322"/>
      <c r="AK503" s="132"/>
      <c r="AL503" s="132"/>
    </row>
    <row r="504">
      <c r="A504" s="314"/>
      <c r="B504" s="313"/>
      <c r="C504" s="312"/>
      <c r="D504" s="313"/>
      <c r="E504" s="314"/>
      <c r="F504" s="318"/>
      <c r="G504" s="315"/>
      <c r="H504" s="314"/>
      <c r="I504" s="314"/>
      <c r="J504" s="314"/>
      <c r="K504" s="315"/>
      <c r="L504" s="736"/>
      <c r="M504" s="318"/>
      <c r="N504" s="315"/>
      <c r="O504" s="314"/>
      <c r="P504" s="314"/>
      <c r="Q504" s="314"/>
      <c r="R504" s="314"/>
      <c r="S504" s="848"/>
      <c r="T504" s="318"/>
      <c r="U504" s="315"/>
      <c r="V504" s="314"/>
      <c r="W504" s="314"/>
      <c r="X504" s="314"/>
      <c r="Y504" s="314"/>
      <c r="Z504" s="314"/>
      <c r="AA504" s="318"/>
      <c r="AB504" s="315"/>
      <c r="AC504" s="314"/>
      <c r="AD504" s="314"/>
      <c r="AE504" s="314"/>
      <c r="AF504" s="314"/>
      <c r="AG504" s="324"/>
      <c r="AH504" s="155"/>
      <c r="AI504" s="155"/>
      <c r="AJ504" s="322"/>
      <c r="AK504" s="132"/>
      <c r="AL504" s="132"/>
    </row>
    <row r="505">
      <c r="A505" s="314"/>
      <c r="B505" s="313"/>
      <c r="C505" s="312"/>
      <c r="D505" s="313"/>
      <c r="E505" s="314"/>
      <c r="F505" s="318"/>
      <c r="G505" s="315"/>
      <c r="H505" s="314"/>
      <c r="I505" s="314"/>
      <c r="J505" s="314"/>
      <c r="K505" s="315"/>
      <c r="L505" s="736"/>
      <c r="M505" s="318"/>
      <c r="N505" s="315"/>
      <c r="O505" s="314"/>
      <c r="P505" s="314"/>
      <c r="Q505" s="314"/>
      <c r="R505" s="314"/>
      <c r="S505" s="848"/>
      <c r="T505" s="318"/>
      <c r="U505" s="315"/>
      <c r="V505" s="314"/>
      <c r="W505" s="314"/>
      <c r="X505" s="314"/>
      <c r="Y505" s="314"/>
      <c r="Z505" s="314"/>
      <c r="AA505" s="318"/>
      <c r="AB505" s="315"/>
      <c r="AC505" s="314"/>
      <c r="AD505" s="314"/>
      <c r="AE505" s="314"/>
      <c r="AF505" s="314"/>
      <c r="AG505" s="324"/>
      <c r="AH505" s="155"/>
      <c r="AI505" s="155"/>
      <c r="AJ505" s="322"/>
      <c r="AK505" s="132"/>
      <c r="AL505" s="132"/>
    </row>
    <row r="506">
      <c r="A506" s="314"/>
      <c r="B506" s="313"/>
      <c r="C506" s="312"/>
      <c r="D506" s="313"/>
      <c r="E506" s="314"/>
      <c r="F506" s="318"/>
      <c r="G506" s="315"/>
      <c r="H506" s="314"/>
      <c r="I506" s="314"/>
      <c r="J506" s="314"/>
      <c r="K506" s="315"/>
      <c r="L506" s="736"/>
      <c r="M506" s="318"/>
      <c r="N506" s="315"/>
      <c r="O506" s="314"/>
      <c r="P506" s="314"/>
      <c r="Q506" s="314"/>
      <c r="R506" s="314"/>
      <c r="S506" s="848"/>
      <c r="T506" s="318"/>
      <c r="U506" s="315"/>
      <c r="V506" s="314"/>
      <c r="W506" s="314"/>
      <c r="X506" s="314"/>
      <c r="Y506" s="314"/>
      <c r="Z506" s="314"/>
      <c r="AA506" s="318"/>
      <c r="AB506" s="315"/>
      <c r="AC506" s="314"/>
      <c r="AD506" s="314"/>
      <c r="AE506" s="314"/>
      <c r="AF506" s="314"/>
      <c r="AG506" s="324"/>
      <c r="AH506" s="155"/>
      <c r="AI506" s="155"/>
      <c r="AJ506" s="322"/>
      <c r="AK506" s="132"/>
      <c r="AL506" s="132"/>
    </row>
    <row r="507">
      <c r="A507" s="314"/>
      <c r="B507" s="313"/>
      <c r="C507" s="312"/>
      <c r="D507" s="313"/>
      <c r="E507" s="314"/>
      <c r="F507" s="318"/>
      <c r="G507" s="315"/>
      <c r="H507" s="314"/>
      <c r="I507" s="314"/>
      <c r="J507" s="314"/>
      <c r="K507" s="315"/>
      <c r="L507" s="736"/>
      <c r="M507" s="318"/>
      <c r="N507" s="315"/>
      <c r="O507" s="314"/>
      <c r="P507" s="314"/>
      <c r="Q507" s="314"/>
      <c r="R507" s="314"/>
      <c r="S507" s="848"/>
      <c r="T507" s="318"/>
      <c r="U507" s="315"/>
      <c r="V507" s="314"/>
      <c r="W507" s="314"/>
      <c r="X507" s="314"/>
      <c r="Y507" s="314"/>
      <c r="Z507" s="314"/>
      <c r="AA507" s="318"/>
      <c r="AB507" s="315"/>
      <c r="AC507" s="314"/>
      <c r="AD507" s="314"/>
      <c r="AE507" s="314"/>
      <c r="AF507" s="314"/>
      <c r="AG507" s="324"/>
      <c r="AH507" s="155"/>
      <c r="AI507" s="155"/>
      <c r="AJ507" s="322"/>
      <c r="AK507" s="132"/>
      <c r="AL507" s="132"/>
    </row>
    <row r="508">
      <c r="A508" s="314"/>
      <c r="B508" s="313"/>
      <c r="C508" s="312"/>
      <c r="D508" s="313"/>
      <c r="E508" s="314"/>
      <c r="F508" s="318"/>
      <c r="G508" s="315"/>
      <c r="H508" s="314"/>
      <c r="I508" s="314"/>
      <c r="J508" s="314"/>
      <c r="K508" s="315"/>
      <c r="L508" s="736"/>
      <c r="M508" s="318"/>
      <c r="N508" s="315"/>
      <c r="O508" s="314"/>
      <c r="P508" s="314"/>
      <c r="Q508" s="314"/>
      <c r="R508" s="314"/>
      <c r="S508" s="848"/>
      <c r="T508" s="318"/>
      <c r="U508" s="315"/>
      <c r="V508" s="314"/>
      <c r="W508" s="314"/>
      <c r="X508" s="314"/>
      <c r="Y508" s="314"/>
      <c r="Z508" s="314"/>
      <c r="AA508" s="318"/>
      <c r="AB508" s="315"/>
      <c r="AC508" s="314"/>
      <c r="AD508" s="314"/>
      <c r="AE508" s="314"/>
      <c r="AF508" s="314"/>
      <c r="AG508" s="324"/>
      <c r="AH508" s="155"/>
      <c r="AI508" s="155"/>
      <c r="AJ508" s="322"/>
      <c r="AK508" s="132"/>
      <c r="AL508" s="132"/>
    </row>
    <row r="509">
      <c r="A509" s="314"/>
      <c r="B509" s="313"/>
      <c r="C509" s="312"/>
      <c r="D509" s="313"/>
      <c r="E509" s="314"/>
      <c r="F509" s="318"/>
      <c r="G509" s="315"/>
      <c r="H509" s="314"/>
      <c r="I509" s="314"/>
      <c r="J509" s="314"/>
      <c r="K509" s="315"/>
      <c r="L509" s="736"/>
      <c r="M509" s="318"/>
      <c r="N509" s="315"/>
      <c r="O509" s="314"/>
      <c r="P509" s="314"/>
      <c r="Q509" s="314"/>
      <c r="R509" s="314"/>
      <c r="S509" s="848"/>
      <c r="T509" s="318"/>
      <c r="U509" s="315"/>
      <c r="V509" s="314"/>
      <c r="W509" s="314"/>
      <c r="X509" s="314"/>
      <c r="Y509" s="314"/>
      <c r="Z509" s="314"/>
      <c r="AA509" s="318"/>
      <c r="AB509" s="315"/>
      <c r="AC509" s="314"/>
      <c r="AD509" s="314"/>
      <c r="AE509" s="314"/>
      <c r="AF509" s="314"/>
      <c r="AG509" s="324"/>
      <c r="AH509" s="155"/>
      <c r="AI509" s="155"/>
      <c r="AJ509" s="322"/>
      <c r="AK509" s="132"/>
      <c r="AL509" s="132"/>
    </row>
    <row r="510">
      <c r="A510" s="314"/>
      <c r="B510" s="313"/>
      <c r="C510" s="312"/>
      <c r="D510" s="313"/>
      <c r="E510" s="314"/>
      <c r="F510" s="318"/>
      <c r="G510" s="315"/>
      <c r="H510" s="314"/>
      <c r="I510" s="314"/>
      <c r="J510" s="314"/>
      <c r="K510" s="315"/>
      <c r="L510" s="736"/>
      <c r="M510" s="318"/>
      <c r="N510" s="315"/>
      <c r="O510" s="314"/>
      <c r="P510" s="314"/>
      <c r="Q510" s="314"/>
      <c r="R510" s="314"/>
      <c r="S510" s="848"/>
      <c r="T510" s="318"/>
      <c r="U510" s="315"/>
      <c r="V510" s="314"/>
      <c r="W510" s="314"/>
      <c r="X510" s="314"/>
      <c r="Y510" s="314"/>
      <c r="Z510" s="314"/>
      <c r="AA510" s="318"/>
      <c r="AB510" s="315"/>
      <c r="AC510" s="314"/>
      <c r="AD510" s="314"/>
      <c r="AE510" s="314"/>
      <c r="AF510" s="314"/>
      <c r="AG510" s="324"/>
      <c r="AH510" s="155"/>
      <c r="AI510" s="155"/>
      <c r="AJ510" s="322"/>
      <c r="AK510" s="132"/>
      <c r="AL510" s="132"/>
    </row>
    <row r="511">
      <c r="A511" s="314"/>
      <c r="B511" s="313"/>
      <c r="C511" s="312"/>
      <c r="D511" s="313"/>
      <c r="E511" s="314"/>
      <c r="F511" s="318"/>
      <c r="G511" s="315"/>
      <c r="H511" s="314"/>
      <c r="I511" s="314"/>
      <c r="J511" s="314"/>
      <c r="K511" s="315"/>
      <c r="L511" s="736"/>
      <c r="M511" s="318"/>
      <c r="N511" s="315"/>
      <c r="O511" s="314"/>
      <c r="P511" s="314"/>
      <c r="Q511" s="314"/>
      <c r="R511" s="314"/>
      <c r="S511" s="848"/>
      <c r="T511" s="318"/>
      <c r="U511" s="315"/>
      <c r="V511" s="314"/>
      <c r="W511" s="314"/>
      <c r="X511" s="314"/>
      <c r="Y511" s="314"/>
      <c r="Z511" s="314"/>
      <c r="AA511" s="318"/>
      <c r="AB511" s="315"/>
      <c r="AC511" s="314"/>
      <c r="AD511" s="314"/>
      <c r="AE511" s="314"/>
      <c r="AF511" s="314"/>
      <c r="AG511" s="324"/>
      <c r="AH511" s="155"/>
      <c r="AI511" s="155"/>
      <c r="AJ511" s="322"/>
      <c r="AK511" s="132"/>
      <c r="AL511" s="132"/>
    </row>
    <row r="512">
      <c r="A512" s="314"/>
      <c r="B512" s="313"/>
      <c r="C512" s="312"/>
      <c r="D512" s="313"/>
      <c r="E512" s="314"/>
      <c r="F512" s="318"/>
      <c r="G512" s="315"/>
      <c r="H512" s="314"/>
      <c r="I512" s="314"/>
      <c r="J512" s="314"/>
      <c r="K512" s="315"/>
      <c r="L512" s="736"/>
      <c r="M512" s="318"/>
      <c r="N512" s="315"/>
      <c r="O512" s="314"/>
      <c r="P512" s="314"/>
      <c r="Q512" s="314"/>
      <c r="R512" s="314"/>
      <c r="S512" s="848"/>
      <c r="T512" s="318"/>
      <c r="U512" s="315"/>
      <c r="V512" s="314"/>
      <c r="W512" s="314"/>
      <c r="X512" s="314"/>
      <c r="Y512" s="314"/>
      <c r="Z512" s="314"/>
      <c r="AA512" s="318"/>
      <c r="AB512" s="315"/>
      <c r="AC512" s="314"/>
      <c r="AD512" s="314"/>
      <c r="AE512" s="314"/>
      <c r="AF512" s="314"/>
      <c r="AG512" s="324"/>
      <c r="AH512" s="155"/>
      <c r="AI512" s="155"/>
      <c r="AJ512" s="322"/>
      <c r="AK512" s="132"/>
      <c r="AL512" s="132"/>
    </row>
    <row r="513">
      <c r="A513" s="314"/>
      <c r="B513" s="313"/>
      <c r="C513" s="312"/>
      <c r="D513" s="313"/>
      <c r="E513" s="314"/>
      <c r="F513" s="318"/>
      <c r="G513" s="315"/>
      <c r="H513" s="314"/>
      <c r="I513" s="314"/>
      <c r="J513" s="314"/>
      <c r="K513" s="315"/>
      <c r="L513" s="736"/>
      <c r="M513" s="318"/>
      <c r="N513" s="315"/>
      <c r="O513" s="314"/>
      <c r="P513" s="314"/>
      <c r="Q513" s="314"/>
      <c r="R513" s="314"/>
      <c r="S513" s="848"/>
      <c r="T513" s="318"/>
      <c r="U513" s="315"/>
      <c r="V513" s="314"/>
      <c r="W513" s="314"/>
      <c r="X513" s="314"/>
      <c r="Y513" s="314"/>
      <c r="Z513" s="314"/>
      <c r="AA513" s="318"/>
      <c r="AB513" s="315"/>
      <c r="AC513" s="314"/>
      <c r="AD513" s="314"/>
      <c r="AE513" s="314"/>
      <c r="AF513" s="314"/>
      <c r="AG513" s="324"/>
      <c r="AH513" s="155"/>
      <c r="AI513" s="155"/>
      <c r="AJ513" s="322"/>
      <c r="AK513" s="132"/>
      <c r="AL513" s="132"/>
    </row>
    <row r="514">
      <c r="A514" s="314"/>
      <c r="B514" s="313"/>
      <c r="C514" s="312"/>
      <c r="D514" s="313"/>
      <c r="E514" s="314"/>
      <c r="F514" s="318"/>
      <c r="G514" s="315"/>
      <c r="H514" s="314"/>
      <c r="I514" s="314"/>
      <c r="J514" s="314"/>
      <c r="K514" s="315"/>
      <c r="L514" s="736"/>
      <c r="M514" s="318"/>
      <c r="N514" s="315"/>
      <c r="O514" s="314"/>
      <c r="P514" s="314"/>
      <c r="Q514" s="314"/>
      <c r="R514" s="314"/>
      <c r="S514" s="848"/>
      <c r="T514" s="318"/>
      <c r="U514" s="315"/>
      <c r="V514" s="314"/>
      <c r="W514" s="314"/>
      <c r="X514" s="314"/>
      <c r="Y514" s="314"/>
      <c r="Z514" s="314"/>
      <c r="AA514" s="318"/>
      <c r="AB514" s="315"/>
      <c r="AC514" s="314"/>
      <c r="AD514" s="314"/>
      <c r="AE514" s="314"/>
      <c r="AF514" s="314"/>
      <c r="AG514" s="324"/>
      <c r="AH514" s="155"/>
      <c r="AI514" s="155"/>
      <c r="AJ514" s="322"/>
      <c r="AK514" s="132"/>
      <c r="AL514" s="132"/>
    </row>
    <row r="515">
      <c r="A515" s="314"/>
      <c r="B515" s="313"/>
      <c r="C515" s="312"/>
      <c r="D515" s="313"/>
      <c r="E515" s="314"/>
      <c r="F515" s="318"/>
      <c r="G515" s="315"/>
      <c r="H515" s="314"/>
      <c r="I515" s="314"/>
      <c r="J515" s="314"/>
      <c r="K515" s="315"/>
      <c r="L515" s="736"/>
      <c r="M515" s="318"/>
      <c r="N515" s="315"/>
      <c r="O515" s="314"/>
      <c r="P515" s="314"/>
      <c r="Q515" s="314"/>
      <c r="R515" s="314"/>
      <c r="S515" s="848"/>
      <c r="T515" s="318"/>
      <c r="U515" s="315"/>
      <c r="V515" s="314"/>
      <c r="W515" s="314"/>
      <c r="X515" s="314"/>
      <c r="Y515" s="314"/>
      <c r="Z515" s="314"/>
      <c r="AA515" s="318"/>
      <c r="AB515" s="315"/>
      <c r="AC515" s="314"/>
      <c r="AD515" s="314"/>
      <c r="AE515" s="314"/>
      <c r="AF515" s="314"/>
      <c r="AG515" s="324"/>
      <c r="AH515" s="155"/>
      <c r="AI515" s="155"/>
      <c r="AJ515" s="322"/>
      <c r="AK515" s="132"/>
      <c r="AL515" s="132"/>
    </row>
    <row r="516">
      <c r="A516" s="314"/>
      <c r="B516" s="313"/>
      <c r="C516" s="312"/>
      <c r="D516" s="313"/>
      <c r="E516" s="314"/>
      <c r="F516" s="318"/>
      <c r="G516" s="315"/>
      <c r="H516" s="314"/>
      <c r="I516" s="314"/>
      <c r="J516" s="314"/>
      <c r="K516" s="315"/>
      <c r="L516" s="736"/>
      <c r="M516" s="318"/>
      <c r="N516" s="315"/>
      <c r="O516" s="314"/>
      <c r="P516" s="314"/>
      <c r="Q516" s="314"/>
      <c r="R516" s="314"/>
      <c r="S516" s="848"/>
      <c r="T516" s="318"/>
      <c r="U516" s="315"/>
      <c r="V516" s="314"/>
      <c r="W516" s="314"/>
      <c r="X516" s="314"/>
      <c r="Y516" s="314"/>
      <c r="Z516" s="314"/>
      <c r="AA516" s="318"/>
      <c r="AB516" s="315"/>
      <c r="AC516" s="314"/>
      <c r="AD516" s="314"/>
      <c r="AE516" s="314"/>
      <c r="AF516" s="314"/>
      <c r="AG516" s="324"/>
      <c r="AH516" s="155"/>
      <c r="AI516" s="155"/>
      <c r="AJ516" s="322"/>
      <c r="AK516" s="132"/>
      <c r="AL516" s="132"/>
    </row>
    <row r="517">
      <c r="A517" s="314"/>
      <c r="B517" s="313"/>
      <c r="C517" s="312"/>
      <c r="D517" s="313"/>
      <c r="E517" s="314"/>
      <c r="F517" s="318"/>
      <c r="G517" s="315"/>
      <c r="H517" s="314"/>
      <c r="I517" s="314"/>
      <c r="J517" s="314"/>
      <c r="K517" s="315"/>
      <c r="L517" s="736"/>
      <c r="M517" s="318"/>
      <c r="N517" s="315"/>
      <c r="O517" s="314"/>
      <c r="P517" s="314"/>
      <c r="Q517" s="314"/>
      <c r="R517" s="314"/>
      <c r="S517" s="848"/>
      <c r="T517" s="318"/>
      <c r="U517" s="315"/>
      <c r="V517" s="314"/>
      <c r="W517" s="314"/>
      <c r="X517" s="314"/>
      <c r="Y517" s="314"/>
      <c r="Z517" s="314"/>
      <c r="AA517" s="318"/>
      <c r="AB517" s="315"/>
      <c r="AC517" s="314"/>
      <c r="AD517" s="314"/>
      <c r="AE517" s="314"/>
      <c r="AF517" s="314"/>
      <c r="AG517" s="324"/>
      <c r="AH517" s="155"/>
      <c r="AI517" s="155"/>
      <c r="AJ517" s="322"/>
      <c r="AK517" s="132"/>
      <c r="AL517" s="132"/>
    </row>
    <row r="518">
      <c r="A518" s="314"/>
      <c r="B518" s="313"/>
      <c r="C518" s="312"/>
      <c r="D518" s="313"/>
      <c r="E518" s="314"/>
      <c r="F518" s="318"/>
      <c r="G518" s="315"/>
      <c r="H518" s="314"/>
      <c r="I518" s="314"/>
      <c r="J518" s="314"/>
      <c r="K518" s="315"/>
      <c r="L518" s="736"/>
      <c r="M518" s="318"/>
      <c r="N518" s="315"/>
      <c r="O518" s="314"/>
      <c r="P518" s="314"/>
      <c r="Q518" s="314"/>
      <c r="R518" s="314"/>
      <c r="S518" s="848"/>
      <c r="T518" s="318"/>
      <c r="U518" s="315"/>
      <c r="V518" s="314"/>
      <c r="W518" s="314"/>
      <c r="X518" s="314"/>
      <c r="Y518" s="314"/>
      <c r="Z518" s="314"/>
      <c r="AA518" s="318"/>
      <c r="AB518" s="315"/>
      <c r="AC518" s="314"/>
      <c r="AD518" s="314"/>
      <c r="AE518" s="314"/>
      <c r="AF518" s="314"/>
      <c r="AG518" s="324"/>
      <c r="AH518" s="155"/>
      <c r="AI518" s="155"/>
      <c r="AJ518" s="322"/>
      <c r="AK518" s="132"/>
      <c r="AL518" s="132"/>
    </row>
    <row r="519">
      <c r="A519" s="314"/>
      <c r="B519" s="313"/>
      <c r="C519" s="312"/>
      <c r="D519" s="313"/>
      <c r="E519" s="314"/>
      <c r="F519" s="318"/>
      <c r="G519" s="315"/>
      <c r="H519" s="314"/>
      <c r="I519" s="314"/>
      <c r="J519" s="314"/>
      <c r="K519" s="315"/>
      <c r="L519" s="736"/>
      <c r="M519" s="318"/>
      <c r="N519" s="315"/>
      <c r="O519" s="314"/>
      <c r="P519" s="314"/>
      <c r="Q519" s="314"/>
      <c r="R519" s="314"/>
      <c r="S519" s="848"/>
      <c r="T519" s="318"/>
      <c r="U519" s="315"/>
      <c r="V519" s="314"/>
      <c r="W519" s="314"/>
      <c r="X519" s="314"/>
      <c r="Y519" s="314"/>
      <c r="Z519" s="314"/>
      <c r="AA519" s="318"/>
      <c r="AB519" s="315"/>
      <c r="AC519" s="314"/>
      <c r="AD519" s="314"/>
      <c r="AE519" s="314"/>
      <c r="AF519" s="314"/>
      <c r="AG519" s="324"/>
      <c r="AH519" s="155"/>
      <c r="AI519" s="155"/>
      <c r="AJ519" s="322"/>
      <c r="AK519" s="132"/>
      <c r="AL519" s="132"/>
    </row>
    <row r="520">
      <c r="A520" s="314"/>
      <c r="B520" s="313"/>
      <c r="C520" s="312"/>
      <c r="D520" s="313"/>
      <c r="E520" s="314"/>
      <c r="F520" s="318"/>
      <c r="G520" s="315"/>
      <c r="H520" s="314"/>
      <c r="I520" s="314"/>
      <c r="J520" s="314"/>
      <c r="K520" s="315"/>
      <c r="L520" s="736"/>
      <c r="M520" s="318"/>
      <c r="N520" s="315"/>
      <c r="O520" s="314"/>
      <c r="P520" s="314"/>
      <c r="Q520" s="314"/>
      <c r="R520" s="314"/>
      <c r="S520" s="848"/>
      <c r="T520" s="318"/>
      <c r="U520" s="315"/>
      <c r="V520" s="314"/>
      <c r="W520" s="314"/>
      <c r="X520" s="314"/>
      <c r="Y520" s="314"/>
      <c r="Z520" s="314"/>
      <c r="AA520" s="318"/>
      <c r="AB520" s="315"/>
      <c r="AC520" s="314"/>
      <c r="AD520" s="314"/>
      <c r="AE520" s="314"/>
      <c r="AF520" s="314"/>
      <c r="AG520" s="324"/>
      <c r="AH520" s="155"/>
      <c r="AI520" s="155"/>
      <c r="AJ520" s="322"/>
      <c r="AK520" s="132"/>
      <c r="AL520" s="132"/>
    </row>
    <row r="521">
      <c r="A521" s="314"/>
      <c r="B521" s="313"/>
      <c r="C521" s="312"/>
      <c r="D521" s="313"/>
      <c r="E521" s="314"/>
      <c r="F521" s="318"/>
      <c r="G521" s="315"/>
      <c r="H521" s="314"/>
      <c r="I521" s="314"/>
      <c r="J521" s="314"/>
      <c r="K521" s="315"/>
      <c r="L521" s="736"/>
      <c r="M521" s="318"/>
      <c r="N521" s="315"/>
      <c r="O521" s="314"/>
      <c r="P521" s="314"/>
      <c r="Q521" s="314"/>
      <c r="R521" s="314"/>
      <c r="S521" s="848"/>
      <c r="T521" s="318"/>
      <c r="U521" s="315"/>
      <c r="V521" s="314"/>
      <c r="W521" s="314"/>
      <c r="X521" s="314"/>
      <c r="Y521" s="314"/>
      <c r="Z521" s="314"/>
      <c r="AA521" s="318"/>
      <c r="AB521" s="315"/>
      <c r="AC521" s="314"/>
      <c r="AD521" s="314"/>
      <c r="AE521" s="314"/>
      <c r="AF521" s="314"/>
      <c r="AG521" s="324"/>
      <c r="AH521" s="155"/>
      <c r="AI521" s="155"/>
      <c r="AJ521" s="322"/>
      <c r="AK521" s="132"/>
      <c r="AL521" s="132"/>
    </row>
    <row r="522">
      <c r="A522" s="314"/>
      <c r="B522" s="313"/>
      <c r="C522" s="312"/>
      <c r="D522" s="313"/>
      <c r="E522" s="314"/>
      <c r="F522" s="318"/>
      <c r="G522" s="315"/>
      <c r="H522" s="314"/>
      <c r="I522" s="314"/>
      <c r="J522" s="314"/>
      <c r="K522" s="315"/>
      <c r="L522" s="736"/>
      <c r="M522" s="318"/>
      <c r="N522" s="315"/>
      <c r="O522" s="314"/>
      <c r="P522" s="314"/>
      <c r="Q522" s="314"/>
      <c r="R522" s="314"/>
      <c r="S522" s="848"/>
      <c r="T522" s="318"/>
      <c r="U522" s="315"/>
      <c r="V522" s="314"/>
      <c r="W522" s="314"/>
      <c r="X522" s="314"/>
      <c r="Y522" s="314"/>
      <c r="Z522" s="314"/>
      <c r="AA522" s="318"/>
      <c r="AB522" s="315"/>
      <c r="AC522" s="314"/>
      <c r="AD522" s="314"/>
      <c r="AE522" s="314"/>
      <c r="AF522" s="314"/>
      <c r="AG522" s="324"/>
      <c r="AH522" s="155"/>
      <c r="AI522" s="155"/>
      <c r="AJ522" s="322"/>
      <c r="AK522" s="132"/>
      <c r="AL522" s="132"/>
    </row>
    <row r="523">
      <c r="A523" s="314"/>
      <c r="B523" s="313"/>
      <c r="C523" s="312"/>
      <c r="D523" s="313"/>
      <c r="E523" s="314"/>
      <c r="F523" s="318"/>
      <c r="G523" s="315"/>
      <c r="H523" s="314"/>
      <c r="I523" s="314"/>
      <c r="J523" s="314"/>
      <c r="K523" s="315"/>
      <c r="L523" s="736"/>
      <c r="M523" s="318"/>
      <c r="N523" s="315"/>
      <c r="O523" s="314"/>
      <c r="P523" s="314"/>
      <c r="Q523" s="314"/>
      <c r="R523" s="314"/>
      <c r="S523" s="848"/>
      <c r="T523" s="318"/>
      <c r="U523" s="315"/>
      <c r="V523" s="314"/>
      <c r="W523" s="314"/>
      <c r="X523" s="314"/>
      <c r="Y523" s="314"/>
      <c r="Z523" s="314"/>
      <c r="AA523" s="318"/>
      <c r="AB523" s="315"/>
      <c r="AC523" s="314"/>
      <c r="AD523" s="314"/>
      <c r="AE523" s="314"/>
      <c r="AF523" s="314"/>
      <c r="AG523" s="324"/>
      <c r="AH523" s="155"/>
      <c r="AI523" s="155"/>
      <c r="AJ523" s="322"/>
      <c r="AK523" s="132"/>
      <c r="AL523" s="132"/>
    </row>
    <row r="524">
      <c r="A524" s="314"/>
      <c r="B524" s="313"/>
      <c r="C524" s="312"/>
      <c r="D524" s="313"/>
      <c r="E524" s="314"/>
      <c r="F524" s="318"/>
      <c r="G524" s="315"/>
      <c r="H524" s="314"/>
      <c r="I524" s="314"/>
      <c r="J524" s="314"/>
      <c r="K524" s="315"/>
      <c r="L524" s="736"/>
      <c r="M524" s="318"/>
      <c r="N524" s="315"/>
      <c r="O524" s="314"/>
      <c r="P524" s="314"/>
      <c r="Q524" s="314"/>
      <c r="R524" s="314"/>
      <c r="S524" s="848"/>
      <c r="T524" s="318"/>
      <c r="U524" s="315"/>
      <c r="V524" s="314"/>
      <c r="W524" s="314"/>
      <c r="X524" s="314"/>
      <c r="Y524" s="314"/>
      <c r="Z524" s="314"/>
      <c r="AA524" s="318"/>
      <c r="AB524" s="315"/>
      <c r="AC524" s="314"/>
      <c r="AD524" s="314"/>
      <c r="AE524" s="314"/>
      <c r="AF524" s="314"/>
      <c r="AG524" s="324"/>
      <c r="AH524" s="155"/>
      <c r="AI524" s="155"/>
      <c r="AJ524" s="322"/>
      <c r="AK524" s="132"/>
      <c r="AL524" s="132"/>
    </row>
    <row r="525">
      <c r="A525" s="314"/>
      <c r="B525" s="313"/>
      <c r="C525" s="312"/>
      <c r="D525" s="313"/>
      <c r="E525" s="314"/>
      <c r="F525" s="318"/>
      <c r="G525" s="315"/>
      <c r="H525" s="314"/>
      <c r="I525" s="314"/>
      <c r="J525" s="314"/>
      <c r="K525" s="315"/>
      <c r="L525" s="736"/>
      <c r="M525" s="318"/>
      <c r="N525" s="315"/>
      <c r="O525" s="314"/>
      <c r="P525" s="314"/>
      <c r="Q525" s="314"/>
      <c r="R525" s="314"/>
      <c r="S525" s="848"/>
      <c r="T525" s="318"/>
      <c r="U525" s="315"/>
      <c r="V525" s="314"/>
      <c r="W525" s="314"/>
      <c r="X525" s="314"/>
      <c r="Y525" s="314"/>
      <c r="Z525" s="314"/>
      <c r="AA525" s="318"/>
      <c r="AB525" s="315"/>
      <c r="AC525" s="314"/>
      <c r="AD525" s="314"/>
      <c r="AE525" s="314"/>
      <c r="AF525" s="314"/>
      <c r="AG525" s="324"/>
      <c r="AH525" s="155"/>
      <c r="AI525" s="155"/>
      <c r="AJ525" s="322"/>
      <c r="AK525" s="132"/>
      <c r="AL525" s="132"/>
    </row>
    <row r="526">
      <c r="A526" s="314"/>
      <c r="B526" s="313"/>
      <c r="C526" s="312"/>
      <c r="D526" s="313"/>
      <c r="E526" s="314"/>
      <c r="F526" s="318"/>
      <c r="G526" s="315"/>
      <c r="H526" s="314"/>
      <c r="I526" s="314"/>
      <c r="J526" s="314"/>
      <c r="K526" s="315"/>
      <c r="L526" s="736"/>
      <c r="M526" s="318"/>
      <c r="N526" s="315"/>
      <c r="O526" s="314"/>
      <c r="P526" s="314"/>
      <c r="Q526" s="314"/>
      <c r="R526" s="314"/>
      <c r="S526" s="848"/>
      <c r="T526" s="318"/>
      <c r="U526" s="315"/>
      <c r="V526" s="314"/>
      <c r="W526" s="314"/>
      <c r="X526" s="314"/>
      <c r="Y526" s="314"/>
      <c r="Z526" s="314"/>
      <c r="AA526" s="318"/>
      <c r="AB526" s="315"/>
      <c r="AC526" s="314"/>
      <c r="AD526" s="314"/>
      <c r="AE526" s="314"/>
      <c r="AF526" s="314"/>
      <c r="AG526" s="324"/>
      <c r="AH526" s="155"/>
      <c r="AI526" s="155"/>
      <c r="AJ526" s="322"/>
      <c r="AK526" s="132"/>
      <c r="AL526" s="132"/>
    </row>
    <row r="527">
      <c r="A527" s="314"/>
      <c r="B527" s="313"/>
      <c r="C527" s="312"/>
      <c r="D527" s="313"/>
      <c r="E527" s="314"/>
      <c r="F527" s="318"/>
      <c r="G527" s="315"/>
      <c r="H527" s="314"/>
      <c r="I527" s="314"/>
      <c r="J527" s="314"/>
      <c r="K527" s="315"/>
      <c r="L527" s="736"/>
      <c r="M527" s="318"/>
      <c r="N527" s="315"/>
      <c r="O527" s="314"/>
      <c r="P527" s="314"/>
      <c r="Q527" s="314"/>
      <c r="R527" s="314"/>
      <c r="S527" s="848"/>
      <c r="T527" s="318"/>
      <c r="U527" s="315"/>
      <c r="V527" s="314"/>
      <c r="W527" s="314"/>
      <c r="X527" s="314"/>
      <c r="Y527" s="314"/>
      <c r="Z527" s="314"/>
      <c r="AA527" s="318"/>
      <c r="AB527" s="315"/>
      <c r="AC527" s="314"/>
      <c r="AD527" s="314"/>
      <c r="AE527" s="314"/>
      <c r="AF527" s="314"/>
      <c r="AG527" s="324"/>
      <c r="AH527" s="155"/>
      <c r="AI527" s="155"/>
      <c r="AJ527" s="322"/>
      <c r="AK527" s="132"/>
      <c r="AL527" s="132"/>
    </row>
    <row r="528">
      <c r="A528" s="314"/>
      <c r="B528" s="313"/>
      <c r="C528" s="312"/>
      <c r="D528" s="313"/>
      <c r="E528" s="314"/>
      <c r="F528" s="318"/>
      <c r="G528" s="315"/>
      <c r="H528" s="314"/>
      <c r="I528" s="314"/>
      <c r="J528" s="314"/>
      <c r="K528" s="315"/>
      <c r="L528" s="736"/>
      <c r="M528" s="318"/>
      <c r="N528" s="315"/>
      <c r="O528" s="314"/>
      <c r="P528" s="314"/>
      <c r="Q528" s="314"/>
      <c r="R528" s="314"/>
      <c r="S528" s="848"/>
      <c r="T528" s="318"/>
      <c r="U528" s="315"/>
      <c r="V528" s="314"/>
      <c r="W528" s="314"/>
      <c r="X528" s="314"/>
      <c r="Y528" s="314"/>
      <c r="Z528" s="314"/>
      <c r="AA528" s="318"/>
      <c r="AB528" s="315"/>
      <c r="AC528" s="314"/>
      <c r="AD528" s="314"/>
      <c r="AE528" s="314"/>
      <c r="AF528" s="314"/>
      <c r="AG528" s="324"/>
      <c r="AH528" s="155"/>
      <c r="AI528" s="155"/>
      <c r="AJ528" s="322"/>
      <c r="AK528" s="132"/>
      <c r="AL528" s="132"/>
    </row>
    <row r="529">
      <c r="A529" s="314"/>
      <c r="B529" s="313"/>
      <c r="C529" s="312"/>
      <c r="D529" s="313"/>
      <c r="E529" s="314"/>
      <c r="F529" s="318"/>
      <c r="G529" s="315"/>
      <c r="H529" s="314"/>
      <c r="I529" s="314"/>
      <c r="J529" s="314"/>
      <c r="K529" s="315"/>
      <c r="L529" s="736"/>
      <c r="M529" s="318"/>
      <c r="N529" s="315"/>
      <c r="O529" s="314"/>
      <c r="P529" s="314"/>
      <c r="Q529" s="314"/>
      <c r="R529" s="314"/>
      <c r="S529" s="848"/>
      <c r="T529" s="318"/>
      <c r="U529" s="315"/>
      <c r="V529" s="314"/>
      <c r="W529" s="314"/>
      <c r="X529" s="314"/>
      <c r="Y529" s="314"/>
      <c r="Z529" s="314"/>
      <c r="AA529" s="318"/>
      <c r="AB529" s="315"/>
      <c r="AC529" s="314"/>
      <c r="AD529" s="314"/>
      <c r="AE529" s="314"/>
      <c r="AF529" s="314"/>
      <c r="AG529" s="324"/>
      <c r="AH529" s="155"/>
      <c r="AI529" s="155"/>
      <c r="AJ529" s="322"/>
      <c r="AK529" s="132"/>
      <c r="AL529" s="132"/>
    </row>
    <row r="530">
      <c r="A530" s="314"/>
      <c r="B530" s="313"/>
      <c r="C530" s="312"/>
      <c r="D530" s="313"/>
      <c r="E530" s="314"/>
      <c r="F530" s="318"/>
      <c r="G530" s="315"/>
      <c r="H530" s="314"/>
      <c r="I530" s="314"/>
      <c r="J530" s="314"/>
      <c r="K530" s="315"/>
      <c r="L530" s="736"/>
      <c r="M530" s="318"/>
      <c r="N530" s="315"/>
      <c r="O530" s="314"/>
      <c r="P530" s="314"/>
      <c r="Q530" s="314"/>
      <c r="R530" s="314"/>
      <c r="S530" s="848"/>
      <c r="T530" s="318"/>
      <c r="U530" s="315"/>
      <c r="V530" s="314"/>
      <c r="W530" s="314"/>
      <c r="X530" s="314"/>
      <c r="Y530" s="314"/>
      <c r="Z530" s="314"/>
      <c r="AA530" s="318"/>
      <c r="AB530" s="315"/>
      <c r="AC530" s="314"/>
      <c r="AD530" s="314"/>
      <c r="AE530" s="314"/>
      <c r="AF530" s="314"/>
      <c r="AG530" s="324"/>
      <c r="AH530" s="155"/>
      <c r="AI530" s="155"/>
      <c r="AJ530" s="322"/>
      <c r="AK530" s="132"/>
      <c r="AL530" s="132"/>
    </row>
    <row r="531">
      <c r="A531" s="435"/>
      <c r="B531" s="313"/>
      <c r="C531" s="745"/>
      <c r="D531" s="313"/>
      <c r="E531" s="435"/>
      <c r="F531" s="318"/>
      <c r="G531" s="315"/>
      <c r="H531" s="435"/>
      <c r="I531" s="435"/>
      <c r="J531" s="314"/>
      <c r="K531" s="744"/>
      <c r="L531" s="839"/>
      <c r="M531" s="318"/>
      <c r="N531" s="315"/>
      <c r="O531" s="314"/>
      <c r="P531" s="435"/>
      <c r="Q531" s="435"/>
      <c r="R531" s="435"/>
      <c r="S531" s="849"/>
      <c r="T531" s="740"/>
      <c r="U531" s="744"/>
      <c r="V531" s="435"/>
      <c r="W531" s="435"/>
      <c r="X531" s="435"/>
      <c r="Y531" s="435"/>
      <c r="Z531" s="435"/>
      <c r="AA531" s="740"/>
      <c r="AB531" s="744"/>
      <c r="AC531" s="435"/>
      <c r="AD531" s="435"/>
      <c r="AE531" s="435"/>
      <c r="AF531" s="435"/>
      <c r="AG531" s="324"/>
      <c r="AH531" s="180"/>
      <c r="AI531" s="155"/>
      <c r="AJ531" s="322"/>
      <c r="AK531" s="132"/>
      <c r="AL531" s="132"/>
    </row>
    <row r="532">
      <c r="A532" s="435"/>
      <c r="B532" s="313"/>
      <c r="C532" s="312"/>
      <c r="D532" s="437"/>
      <c r="E532" s="314"/>
      <c r="F532" s="318"/>
      <c r="G532" s="315"/>
      <c r="H532" s="314"/>
      <c r="I532" s="314"/>
      <c r="J532" s="314"/>
      <c r="K532" s="315"/>
      <c r="L532" s="736"/>
      <c r="M532" s="740"/>
      <c r="N532" s="744"/>
      <c r="O532" s="314"/>
      <c r="P532" s="314"/>
      <c r="Q532" s="314"/>
      <c r="R532" s="314"/>
      <c r="S532" s="848"/>
      <c r="T532" s="318"/>
      <c r="U532" s="315"/>
      <c r="V532" s="314"/>
      <c r="W532" s="314"/>
      <c r="X532" s="314"/>
      <c r="Y532" s="314"/>
      <c r="Z532" s="314"/>
      <c r="AA532" s="318"/>
      <c r="AB532" s="315"/>
      <c r="AC532" s="314"/>
      <c r="AD532" s="314"/>
      <c r="AE532" s="314"/>
      <c r="AF532" s="314"/>
      <c r="AG532" s="324"/>
      <c r="AH532" s="180"/>
      <c r="AI532" s="155"/>
      <c r="AJ532" s="322"/>
      <c r="AK532" s="132"/>
      <c r="AL532" s="132"/>
    </row>
    <row r="533">
      <c r="A533" s="435"/>
      <c r="B533" s="437"/>
      <c r="C533" s="745"/>
      <c r="D533" s="437"/>
      <c r="E533" s="435"/>
      <c r="F533" s="318"/>
      <c r="G533" s="315"/>
      <c r="H533" s="314"/>
      <c r="I533" s="435"/>
      <c r="J533" s="435"/>
      <c r="K533" s="744"/>
      <c r="L533" s="839"/>
      <c r="M533" s="740"/>
      <c r="N533" s="744"/>
      <c r="O533" s="314"/>
      <c r="P533" s="435"/>
      <c r="Q533" s="314"/>
      <c r="R533" s="435"/>
      <c r="S533" s="849"/>
      <c r="T533" s="740"/>
      <c r="U533" s="744"/>
      <c r="V533" s="435"/>
      <c r="W533" s="435"/>
      <c r="X533" s="435"/>
      <c r="Y533" s="435"/>
      <c r="Z533" s="435"/>
      <c r="AA533" s="740"/>
      <c r="AB533" s="744"/>
      <c r="AC533" s="435"/>
      <c r="AD533" s="435"/>
      <c r="AE533" s="435"/>
      <c r="AF533" s="435"/>
      <c r="AG533" s="324"/>
      <c r="AH533" s="180"/>
      <c r="AI533" s="155"/>
      <c r="AJ533" s="322"/>
      <c r="AK533" s="132"/>
      <c r="AL533" s="132"/>
    </row>
    <row r="534">
      <c r="A534" s="435"/>
      <c r="B534" s="313"/>
      <c r="C534" s="312"/>
      <c r="D534" s="437"/>
      <c r="E534" s="314"/>
      <c r="F534" s="318"/>
      <c r="G534" s="315"/>
      <c r="H534" s="314"/>
      <c r="I534" s="435"/>
      <c r="J534" s="314"/>
      <c r="K534" s="744"/>
      <c r="L534" s="736"/>
      <c r="M534" s="318"/>
      <c r="N534" s="315"/>
      <c r="O534" s="314"/>
      <c r="P534" s="314"/>
      <c r="Q534" s="435"/>
      <c r="R534" s="435"/>
      <c r="S534" s="848"/>
      <c r="T534" s="318"/>
      <c r="U534" s="315"/>
      <c r="V534" s="314"/>
      <c r="W534" s="314"/>
      <c r="X534" s="314"/>
      <c r="Y534" s="314"/>
      <c r="Z534" s="314"/>
      <c r="AA534" s="318"/>
      <c r="AB534" s="315"/>
      <c r="AC534" s="314"/>
      <c r="AD534" s="314"/>
      <c r="AE534" s="314"/>
      <c r="AF534" s="314"/>
      <c r="AG534" s="324"/>
      <c r="AH534" s="180"/>
      <c r="AI534" s="155"/>
      <c r="AJ534" s="322"/>
      <c r="AK534" s="132"/>
      <c r="AL534" s="132"/>
    </row>
    <row r="535">
      <c r="A535" s="435"/>
      <c r="B535" s="437"/>
      <c r="C535" s="745"/>
      <c r="D535" s="437"/>
      <c r="E535" s="435"/>
      <c r="F535" s="318"/>
      <c r="G535" s="315"/>
      <c r="H535" s="435"/>
      <c r="I535" s="435"/>
      <c r="J535" s="435"/>
      <c r="K535" s="744"/>
      <c r="L535" s="839"/>
      <c r="M535" s="740"/>
      <c r="N535" s="744"/>
      <c r="O535" s="314"/>
      <c r="P535" s="435"/>
      <c r="Q535" s="435"/>
      <c r="R535" s="435"/>
      <c r="S535" s="849"/>
      <c r="T535" s="740"/>
      <c r="U535" s="744"/>
      <c r="V535" s="435"/>
      <c r="W535" s="435"/>
      <c r="X535" s="435"/>
      <c r="Y535" s="435"/>
      <c r="Z535" s="435"/>
      <c r="AA535" s="740"/>
      <c r="AB535" s="744"/>
      <c r="AC535" s="435"/>
      <c r="AD535" s="435"/>
      <c r="AE535" s="435"/>
      <c r="AF535" s="435"/>
      <c r="AG535" s="324"/>
      <c r="AH535" s="180"/>
      <c r="AI535" s="155"/>
      <c r="AJ535" s="322"/>
      <c r="AK535" s="132"/>
      <c r="AL535" s="132"/>
    </row>
    <row r="536">
      <c r="A536" s="435"/>
      <c r="B536" s="437"/>
      <c r="C536" s="312"/>
      <c r="D536" s="437"/>
      <c r="E536" s="314"/>
      <c r="F536" s="318"/>
      <c r="G536" s="315"/>
      <c r="H536" s="314"/>
      <c r="I536" s="314"/>
      <c r="J536" s="314"/>
      <c r="K536" s="744"/>
      <c r="L536" s="736"/>
      <c r="M536" s="318"/>
      <c r="N536" s="315"/>
      <c r="O536" s="314"/>
      <c r="P536" s="314"/>
      <c r="Q536" s="314"/>
      <c r="R536" s="314"/>
      <c r="S536" s="849"/>
      <c r="T536" s="740"/>
      <c r="U536" s="744"/>
      <c r="V536" s="435"/>
      <c r="W536" s="435"/>
      <c r="X536" s="435"/>
      <c r="Y536" s="435"/>
      <c r="Z536" s="435"/>
      <c r="AA536" s="740"/>
      <c r="AB536" s="744"/>
      <c r="AC536" s="435"/>
      <c r="AD536" s="435"/>
      <c r="AE536" s="435"/>
      <c r="AF536" s="435"/>
      <c r="AG536" s="324"/>
      <c r="AH536" s="180"/>
      <c r="AI536" s="155"/>
      <c r="AJ536" s="322"/>
      <c r="AK536" s="132"/>
      <c r="AL536" s="132"/>
    </row>
    <row r="537">
      <c r="A537" s="435"/>
      <c r="B537" s="437"/>
      <c r="C537" s="745"/>
      <c r="D537" s="437"/>
      <c r="E537" s="435"/>
      <c r="F537" s="318"/>
      <c r="G537" s="315"/>
      <c r="H537" s="435"/>
      <c r="I537" s="314"/>
      <c r="J537" s="314"/>
      <c r="K537" s="744"/>
      <c r="L537" s="736"/>
      <c r="M537" s="318"/>
      <c r="N537" s="315"/>
      <c r="O537" s="314"/>
      <c r="P537" s="435"/>
      <c r="Q537" s="435"/>
      <c r="R537" s="435"/>
      <c r="S537" s="849"/>
      <c r="T537" s="740"/>
      <c r="U537" s="744"/>
      <c r="V537" s="435"/>
      <c r="W537" s="435"/>
      <c r="X537" s="435"/>
      <c r="Y537" s="435"/>
      <c r="Z537" s="435"/>
      <c r="AA537" s="740"/>
      <c r="AB537" s="744"/>
      <c r="AC537" s="435"/>
      <c r="AD537" s="435"/>
      <c r="AE537" s="435"/>
      <c r="AF537" s="435"/>
      <c r="AG537" s="324"/>
      <c r="AH537" s="180"/>
      <c r="AI537" s="155"/>
      <c r="AJ537" s="322"/>
      <c r="AK537" s="132"/>
      <c r="AL537" s="132"/>
    </row>
    <row r="538">
      <c r="A538" s="435"/>
      <c r="B538" s="437"/>
      <c r="C538" s="745"/>
      <c r="D538" s="437"/>
      <c r="E538" s="435"/>
      <c r="F538" s="318"/>
      <c r="G538" s="315"/>
      <c r="H538" s="435"/>
      <c r="I538" s="435"/>
      <c r="J538" s="435"/>
      <c r="K538" s="744"/>
      <c r="L538" s="839"/>
      <c r="M538" s="740"/>
      <c r="N538" s="744"/>
      <c r="O538" s="314"/>
      <c r="P538" s="435"/>
      <c r="Q538" s="435"/>
      <c r="R538" s="435"/>
      <c r="S538" s="849"/>
      <c r="T538" s="740"/>
      <c r="U538" s="744"/>
      <c r="V538" s="435"/>
      <c r="W538" s="435"/>
      <c r="X538" s="435"/>
      <c r="Y538" s="435"/>
      <c r="Z538" s="435"/>
      <c r="AA538" s="740"/>
      <c r="AB538" s="744"/>
      <c r="AC538" s="435"/>
      <c r="AD538" s="435"/>
      <c r="AE538" s="435"/>
      <c r="AF538" s="435"/>
      <c r="AG538" s="324"/>
      <c r="AH538" s="180"/>
      <c r="AI538" s="155"/>
      <c r="AJ538" s="322"/>
      <c r="AK538" s="132"/>
      <c r="AL538" s="132"/>
    </row>
    <row r="539">
      <c r="A539" s="435"/>
      <c r="B539" s="313"/>
      <c r="C539" s="312"/>
      <c r="D539" s="313"/>
      <c r="E539" s="435"/>
      <c r="F539" s="318"/>
      <c r="G539" s="315"/>
      <c r="H539" s="435"/>
      <c r="I539" s="314"/>
      <c r="J539" s="314"/>
      <c r="K539" s="315"/>
      <c r="L539" s="736"/>
      <c r="M539" s="318"/>
      <c r="N539" s="315"/>
      <c r="O539" s="314"/>
      <c r="P539" s="314"/>
      <c r="Q539" s="314"/>
      <c r="R539" s="314"/>
      <c r="S539" s="848"/>
      <c r="T539" s="318"/>
      <c r="U539" s="315"/>
      <c r="V539" s="314"/>
      <c r="W539" s="314"/>
      <c r="X539" s="314"/>
      <c r="Y539" s="314"/>
      <c r="Z539" s="314"/>
      <c r="AA539" s="318"/>
      <c r="AB539" s="315"/>
      <c r="AC539" s="314"/>
      <c r="AD539" s="314"/>
      <c r="AE539" s="314"/>
      <c r="AF539" s="314"/>
      <c r="AG539" s="324"/>
      <c r="AH539" s="180"/>
      <c r="AI539" s="155"/>
      <c r="AJ539" s="322"/>
      <c r="AK539" s="132"/>
      <c r="AL539" s="132"/>
    </row>
    <row r="540">
      <c r="A540" s="435"/>
      <c r="B540" s="313"/>
      <c r="C540" s="312"/>
      <c r="D540" s="437"/>
      <c r="E540" s="314"/>
      <c r="F540" s="318"/>
      <c r="G540" s="315"/>
      <c r="H540" s="435"/>
      <c r="I540" s="314"/>
      <c r="J540" s="435"/>
      <c r="K540" s="744"/>
      <c r="L540" s="736"/>
      <c r="M540" s="740"/>
      <c r="N540" s="315"/>
      <c r="O540" s="314"/>
      <c r="P540" s="314"/>
      <c r="Q540" s="314"/>
      <c r="R540" s="435"/>
      <c r="S540" s="849"/>
      <c r="T540" s="740"/>
      <c r="U540" s="744"/>
      <c r="V540" s="435"/>
      <c r="W540" s="435"/>
      <c r="X540" s="435"/>
      <c r="Y540" s="435"/>
      <c r="Z540" s="435"/>
      <c r="AA540" s="740"/>
      <c r="AB540" s="744"/>
      <c r="AC540" s="435"/>
      <c r="AD540" s="435"/>
      <c r="AE540" s="435"/>
      <c r="AF540" s="435"/>
      <c r="AG540" s="324"/>
      <c r="AH540" s="180"/>
      <c r="AI540" s="155"/>
      <c r="AJ540" s="322"/>
      <c r="AK540" s="132"/>
      <c r="AL540" s="132"/>
    </row>
    <row r="541">
      <c r="A541" s="435"/>
      <c r="B541" s="313"/>
      <c r="C541" s="312"/>
      <c r="D541" s="313"/>
      <c r="E541" s="314"/>
      <c r="F541" s="318"/>
      <c r="G541" s="315"/>
      <c r="H541" s="314"/>
      <c r="I541" s="314"/>
      <c r="J541" s="314"/>
      <c r="K541" s="315"/>
      <c r="L541" s="736"/>
      <c r="M541" s="318"/>
      <c r="N541" s="315"/>
      <c r="O541" s="314"/>
      <c r="P541" s="314"/>
      <c r="Q541" s="435"/>
      <c r="R541" s="314"/>
      <c r="S541" s="849"/>
      <c r="T541" s="740"/>
      <c r="U541" s="744"/>
      <c r="V541" s="435"/>
      <c r="W541" s="435"/>
      <c r="X541" s="435"/>
      <c r="Y541" s="435"/>
      <c r="Z541" s="435"/>
      <c r="AA541" s="740"/>
      <c r="AB541" s="744"/>
      <c r="AC541" s="435"/>
      <c r="AD541" s="435"/>
      <c r="AE541" s="435"/>
      <c r="AF541" s="435"/>
      <c r="AG541" s="324"/>
      <c r="AH541" s="180"/>
      <c r="AI541" s="155"/>
      <c r="AJ541" s="322"/>
      <c r="AK541" s="132"/>
      <c r="AL541" s="132"/>
    </row>
    <row r="542">
      <c r="A542" s="435"/>
      <c r="B542" s="437"/>
      <c r="C542" s="312"/>
      <c r="D542" s="313"/>
      <c r="E542" s="314"/>
      <c r="F542" s="318"/>
      <c r="G542" s="315"/>
      <c r="H542" s="435"/>
      <c r="I542" s="314"/>
      <c r="J542" s="435"/>
      <c r="K542" s="744"/>
      <c r="L542" s="736"/>
      <c r="M542" s="318"/>
      <c r="N542" s="744"/>
      <c r="O542" s="314"/>
      <c r="P542" s="314"/>
      <c r="Q542" s="314"/>
      <c r="R542" s="435"/>
      <c r="S542" s="849"/>
      <c r="T542" s="740"/>
      <c r="U542" s="744"/>
      <c r="V542" s="435"/>
      <c r="W542" s="435"/>
      <c r="X542" s="435"/>
      <c r="Y542" s="435"/>
      <c r="Z542" s="435"/>
      <c r="AA542" s="740"/>
      <c r="AB542" s="744"/>
      <c r="AC542" s="435"/>
      <c r="AD542" s="435"/>
      <c r="AE542" s="435"/>
      <c r="AF542" s="435"/>
      <c r="AG542" s="324"/>
      <c r="AH542" s="180"/>
      <c r="AI542" s="155"/>
      <c r="AJ542" s="322"/>
      <c r="AK542" s="132"/>
      <c r="AL542" s="132"/>
    </row>
    <row r="543">
      <c r="A543" s="435"/>
      <c r="B543" s="313"/>
      <c r="C543" s="745"/>
      <c r="D543" s="437"/>
      <c r="E543" s="435"/>
      <c r="F543" s="318"/>
      <c r="G543" s="315"/>
      <c r="H543" s="435"/>
      <c r="I543" s="314"/>
      <c r="J543" s="314"/>
      <c r="K543" s="744"/>
      <c r="L543" s="736"/>
      <c r="M543" s="318"/>
      <c r="N543" s="315"/>
      <c r="O543" s="314"/>
      <c r="P543" s="314"/>
      <c r="Q543" s="314"/>
      <c r="R543" s="314"/>
      <c r="S543" s="849"/>
      <c r="T543" s="740"/>
      <c r="U543" s="744"/>
      <c r="V543" s="435"/>
      <c r="W543" s="435"/>
      <c r="X543" s="435"/>
      <c r="Y543" s="435"/>
      <c r="Z543" s="435"/>
      <c r="AA543" s="740"/>
      <c r="AB543" s="744"/>
      <c r="AC543" s="435"/>
      <c r="AD543" s="435"/>
      <c r="AE543" s="435"/>
      <c r="AF543" s="435"/>
      <c r="AG543" s="324"/>
      <c r="AH543" s="180"/>
      <c r="AI543" s="155"/>
      <c r="AJ543" s="322"/>
      <c r="AK543" s="132"/>
      <c r="AL543" s="132"/>
    </row>
    <row r="544">
      <c r="A544" s="435"/>
      <c r="B544" s="313"/>
      <c r="C544" s="312"/>
      <c r="D544" s="313"/>
      <c r="E544" s="314"/>
      <c r="F544" s="318"/>
      <c r="G544" s="315"/>
      <c r="H544" s="435"/>
      <c r="I544" s="314"/>
      <c r="J544" s="314"/>
      <c r="K544" s="315"/>
      <c r="L544" s="736"/>
      <c r="M544" s="318"/>
      <c r="N544" s="315"/>
      <c r="O544" s="314"/>
      <c r="P544" s="314"/>
      <c r="Q544" s="314"/>
      <c r="R544" s="435"/>
      <c r="S544" s="848"/>
      <c r="T544" s="318"/>
      <c r="U544" s="315"/>
      <c r="V544" s="314"/>
      <c r="W544" s="314"/>
      <c r="X544" s="314"/>
      <c r="Y544" s="314"/>
      <c r="Z544" s="314"/>
      <c r="AA544" s="318"/>
      <c r="AB544" s="315"/>
      <c r="AC544" s="314"/>
      <c r="AD544" s="314"/>
      <c r="AE544" s="314"/>
      <c r="AF544" s="314"/>
      <c r="AG544" s="324"/>
      <c r="AH544" s="180"/>
      <c r="AI544" s="155"/>
      <c r="AJ544" s="322"/>
      <c r="AK544" s="132"/>
      <c r="AL544" s="132"/>
    </row>
    <row r="545">
      <c r="A545" s="435"/>
      <c r="B545" s="437"/>
      <c r="C545" s="745"/>
      <c r="D545" s="437"/>
      <c r="E545" s="435"/>
      <c r="F545" s="318"/>
      <c r="G545" s="315"/>
      <c r="H545" s="435"/>
      <c r="I545" s="435"/>
      <c r="J545" s="435"/>
      <c r="K545" s="744"/>
      <c r="L545" s="839"/>
      <c r="M545" s="740"/>
      <c r="N545" s="744"/>
      <c r="O545" s="314"/>
      <c r="P545" s="435"/>
      <c r="Q545" s="435"/>
      <c r="R545" s="435"/>
      <c r="S545" s="849"/>
      <c r="T545" s="740"/>
      <c r="U545" s="744"/>
      <c r="V545" s="435"/>
      <c r="W545" s="435"/>
      <c r="X545" s="435"/>
      <c r="Y545" s="435"/>
      <c r="Z545" s="435"/>
      <c r="AA545" s="740"/>
      <c r="AB545" s="744"/>
      <c r="AC545" s="435"/>
      <c r="AD545" s="435"/>
      <c r="AE545" s="435"/>
      <c r="AF545" s="435"/>
      <c r="AG545" s="324"/>
      <c r="AH545" s="180"/>
      <c r="AI545" s="155"/>
      <c r="AJ545" s="322"/>
      <c r="AK545" s="132"/>
      <c r="AL545" s="132"/>
    </row>
    <row r="546">
      <c r="A546" s="435"/>
      <c r="B546" s="313"/>
      <c r="C546" s="312"/>
      <c r="D546" s="313"/>
      <c r="E546" s="314"/>
      <c r="F546" s="318"/>
      <c r="G546" s="315"/>
      <c r="H546" s="314"/>
      <c r="I546" s="314"/>
      <c r="J546" s="314"/>
      <c r="K546" s="315"/>
      <c r="L546" s="736"/>
      <c r="M546" s="740"/>
      <c r="N546" s="315"/>
      <c r="O546" s="314"/>
      <c r="P546" s="314"/>
      <c r="Q546" s="314"/>
      <c r="R546" s="314"/>
      <c r="S546" s="848"/>
      <c r="T546" s="318"/>
      <c r="U546" s="315"/>
      <c r="V546" s="314"/>
      <c r="W546" s="314"/>
      <c r="X546" s="314"/>
      <c r="Y546" s="314"/>
      <c r="Z546" s="314"/>
      <c r="AA546" s="318"/>
      <c r="AB546" s="315"/>
      <c r="AC546" s="314"/>
      <c r="AD546" s="314"/>
      <c r="AE546" s="314"/>
      <c r="AF546" s="314"/>
      <c r="AG546" s="324"/>
      <c r="AH546" s="180"/>
      <c r="AI546" s="155"/>
      <c r="AJ546" s="322"/>
      <c r="AK546" s="132"/>
      <c r="AL546" s="132"/>
    </row>
    <row r="547">
      <c r="A547" s="435"/>
      <c r="B547" s="313"/>
      <c r="C547" s="745"/>
      <c r="D547" s="437"/>
      <c r="E547" s="435"/>
      <c r="F547" s="318"/>
      <c r="G547" s="315"/>
      <c r="H547" s="435"/>
      <c r="I547" s="435"/>
      <c r="J547" s="435"/>
      <c r="K547" s="744"/>
      <c r="L547" s="736"/>
      <c r="M547" s="740"/>
      <c r="N547" s="744"/>
      <c r="O547" s="314"/>
      <c r="P547" s="435"/>
      <c r="Q547" s="435"/>
      <c r="R547" s="435"/>
      <c r="S547" s="849"/>
      <c r="T547" s="740"/>
      <c r="U547" s="744"/>
      <c r="V547" s="435"/>
      <c r="W547" s="435"/>
      <c r="X547" s="435"/>
      <c r="Y547" s="435"/>
      <c r="Z547" s="435"/>
      <c r="AA547" s="740"/>
      <c r="AB547" s="744"/>
      <c r="AC547" s="435"/>
      <c r="AD547" s="435"/>
      <c r="AE547" s="435"/>
      <c r="AF547" s="435"/>
      <c r="AG547" s="324"/>
      <c r="AH547" s="180"/>
      <c r="AI547" s="155"/>
      <c r="AJ547" s="322"/>
      <c r="AK547" s="132"/>
      <c r="AL547" s="132"/>
    </row>
    <row r="548">
      <c r="A548" s="435"/>
      <c r="B548" s="437"/>
      <c r="C548" s="745"/>
      <c r="D548" s="313"/>
      <c r="E548" s="435"/>
      <c r="F548" s="318"/>
      <c r="G548" s="315"/>
      <c r="H548" s="435"/>
      <c r="I548" s="435"/>
      <c r="J548" s="314"/>
      <c r="K548" s="744"/>
      <c r="L548" s="839"/>
      <c r="M548" s="318"/>
      <c r="N548" s="744"/>
      <c r="O548" s="314"/>
      <c r="P548" s="435"/>
      <c r="Q548" s="314"/>
      <c r="R548" s="435"/>
      <c r="S548" s="849"/>
      <c r="T548" s="740"/>
      <c r="U548" s="744"/>
      <c r="V548" s="435"/>
      <c r="W548" s="435"/>
      <c r="X548" s="435"/>
      <c r="Y548" s="435"/>
      <c r="Z548" s="435"/>
      <c r="AA548" s="740"/>
      <c r="AB548" s="744"/>
      <c r="AC548" s="435"/>
      <c r="AD548" s="435"/>
      <c r="AE548" s="435"/>
      <c r="AF548" s="435"/>
      <c r="AG548" s="324"/>
      <c r="AH548" s="180"/>
      <c r="AI548" s="155"/>
      <c r="AJ548" s="322"/>
      <c r="AK548" s="132"/>
      <c r="AL548" s="132"/>
    </row>
    <row r="549">
      <c r="A549" s="458"/>
      <c r="B549" s="437"/>
      <c r="C549" s="745"/>
      <c r="D549" s="437"/>
      <c r="E549" s="435"/>
      <c r="F549" s="318"/>
      <c r="G549" s="315"/>
      <c r="H549" s="314"/>
      <c r="I549" s="435"/>
      <c r="J549" s="435"/>
      <c r="K549" s="744"/>
      <c r="L549" s="839"/>
      <c r="M549" s="740"/>
      <c r="N549" s="744"/>
      <c r="O549" s="314"/>
      <c r="P549" s="435"/>
      <c r="Q549" s="435"/>
      <c r="R549" s="435"/>
      <c r="S549" s="849"/>
      <c r="T549" s="740"/>
      <c r="U549" s="744"/>
      <c r="V549" s="435"/>
      <c r="W549" s="435"/>
      <c r="X549" s="435"/>
      <c r="Y549" s="435"/>
      <c r="Z549" s="435"/>
      <c r="AA549" s="740"/>
      <c r="AB549" s="744"/>
      <c r="AC549" s="435"/>
      <c r="AD549" s="435"/>
      <c r="AE549" s="435"/>
      <c r="AF549" s="435"/>
      <c r="AG549" s="324"/>
      <c r="AH549" s="180"/>
      <c r="AI549" s="155"/>
      <c r="AJ549" s="322"/>
      <c r="AK549" s="132"/>
      <c r="AL549" s="132"/>
    </row>
    <row r="550">
      <c r="A550" s="458"/>
      <c r="B550" s="437"/>
      <c r="C550" s="745"/>
      <c r="D550" s="437"/>
      <c r="E550" s="435"/>
      <c r="F550" s="318"/>
      <c r="G550" s="315"/>
      <c r="H550" s="314"/>
      <c r="I550" s="314"/>
      <c r="J550" s="435"/>
      <c r="K550" s="744"/>
      <c r="L550" s="839"/>
      <c r="M550" s="740"/>
      <c r="N550" s="744"/>
      <c r="O550" s="314"/>
      <c r="P550" s="435"/>
      <c r="Q550" s="435"/>
      <c r="R550" s="435"/>
      <c r="S550" s="849"/>
      <c r="T550" s="740"/>
      <c r="U550" s="744"/>
      <c r="V550" s="435"/>
      <c r="W550" s="435"/>
      <c r="X550" s="435"/>
      <c r="Y550" s="435"/>
      <c r="Z550" s="435"/>
      <c r="AA550" s="740"/>
      <c r="AB550" s="744"/>
      <c r="AC550" s="435"/>
      <c r="AD550" s="435"/>
      <c r="AE550" s="435"/>
      <c r="AF550" s="435"/>
      <c r="AG550" s="324"/>
      <c r="AH550" s="180"/>
      <c r="AI550" s="155"/>
      <c r="AJ550" s="322"/>
      <c r="AK550" s="132"/>
      <c r="AL550" s="132"/>
    </row>
    <row r="551">
      <c r="A551" s="458"/>
      <c r="B551" s="437"/>
      <c r="C551" s="745"/>
      <c r="D551" s="437"/>
      <c r="E551" s="314"/>
      <c r="F551" s="318"/>
      <c r="G551" s="315"/>
      <c r="H551" s="314"/>
      <c r="I551" s="435"/>
      <c r="J551" s="435"/>
      <c r="K551" s="744"/>
      <c r="L551" s="839"/>
      <c r="M551" s="740"/>
      <c r="N551" s="744"/>
      <c r="O551" s="314"/>
      <c r="P551" s="435"/>
      <c r="Q551" s="314"/>
      <c r="R551" s="435"/>
      <c r="S551" s="849"/>
      <c r="T551" s="740"/>
      <c r="U551" s="744"/>
      <c r="V551" s="435"/>
      <c r="W551" s="435"/>
      <c r="X551" s="435"/>
      <c r="Y551" s="435"/>
      <c r="Z551" s="435"/>
      <c r="AA551" s="740"/>
      <c r="AB551" s="744"/>
      <c r="AC551" s="435"/>
      <c r="AD551" s="435"/>
      <c r="AE551" s="435"/>
      <c r="AF551" s="435"/>
      <c r="AG551" s="324"/>
      <c r="AH551" s="180"/>
      <c r="AI551" s="155"/>
      <c r="AJ551" s="322"/>
      <c r="AK551" s="132"/>
      <c r="AL551" s="132"/>
    </row>
    <row r="552">
      <c r="A552" s="458"/>
      <c r="B552" s="313"/>
      <c r="C552" s="312"/>
      <c r="D552" s="313"/>
      <c r="E552" s="314"/>
      <c r="F552" s="318"/>
      <c r="G552" s="315"/>
      <c r="H552" s="314"/>
      <c r="I552" s="314"/>
      <c r="J552" s="314"/>
      <c r="K552" s="315"/>
      <c r="L552" s="736"/>
      <c r="M552" s="318"/>
      <c r="N552" s="315"/>
      <c r="O552" s="314"/>
      <c r="P552" s="314"/>
      <c r="Q552" s="314"/>
      <c r="R552" s="314"/>
      <c r="S552" s="848"/>
      <c r="T552" s="318"/>
      <c r="U552" s="315"/>
      <c r="V552" s="314"/>
      <c r="W552" s="314"/>
      <c r="X552" s="314"/>
      <c r="Y552" s="314"/>
      <c r="Z552" s="314"/>
      <c r="AA552" s="318"/>
      <c r="AB552" s="315"/>
      <c r="AC552" s="314"/>
      <c r="AD552" s="314"/>
      <c r="AE552" s="314"/>
      <c r="AF552" s="314"/>
      <c r="AG552" s="324"/>
      <c r="AH552" s="180"/>
      <c r="AI552" s="155"/>
      <c r="AJ552" s="322"/>
      <c r="AK552" s="132"/>
      <c r="AL552" s="132"/>
    </row>
    <row r="553">
      <c r="A553" s="458"/>
      <c r="B553" s="437"/>
      <c r="C553" s="745"/>
      <c r="D553" s="437"/>
      <c r="E553" s="314"/>
      <c r="F553" s="318"/>
      <c r="G553" s="315"/>
      <c r="H553" s="314"/>
      <c r="I553" s="314"/>
      <c r="J553" s="314"/>
      <c r="K553" s="744"/>
      <c r="L553" s="839"/>
      <c r="M553" s="740"/>
      <c r="N553" s="315"/>
      <c r="O553" s="314"/>
      <c r="P553" s="435"/>
      <c r="Q553" s="435"/>
      <c r="R553" s="435"/>
      <c r="S553" s="849"/>
      <c r="T553" s="740"/>
      <c r="U553" s="744"/>
      <c r="V553" s="435"/>
      <c r="W553" s="435"/>
      <c r="X553" s="435"/>
      <c r="Y553" s="435"/>
      <c r="Z553" s="435"/>
      <c r="AA553" s="740"/>
      <c r="AB553" s="744"/>
      <c r="AC553" s="435"/>
      <c r="AD553" s="435"/>
      <c r="AE553" s="435"/>
      <c r="AF553" s="435"/>
      <c r="AG553" s="324"/>
      <c r="AH553" s="180"/>
      <c r="AI553" s="155"/>
      <c r="AJ553" s="322"/>
      <c r="AK553" s="132"/>
      <c r="AL553" s="132"/>
    </row>
    <row r="554">
      <c r="A554" s="458"/>
      <c r="B554" s="313"/>
      <c r="C554" s="312"/>
      <c r="D554" s="437"/>
      <c r="E554" s="314"/>
      <c r="F554" s="318"/>
      <c r="G554" s="315"/>
      <c r="H554" s="314"/>
      <c r="I554" s="314"/>
      <c r="J554" s="314"/>
      <c r="K554" s="315"/>
      <c r="L554" s="736"/>
      <c r="M554" s="318"/>
      <c r="N554" s="315"/>
      <c r="O554" s="314"/>
      <c r="P554" s="314"/>
      <c r="Q554" s="314"/>
      <c r="R554" s="314"/>
      <c r="S554" s="848"/>
      <c r="T554" s="318"/>
      <c r="U554" s="315"/>
      <c r="V554" s="314"/>
      <c r="W554" s="314"/>
      <c r="X554" s="314"/>
      <c r="Y554" s="314"/>
      <c r="Z554" s="314"/>
      <c r="AA554" s="318"/>
      <c r="AB554" s="315"/>
      <c r="AC554" s="314"/>
      <c r="AD554" s="314"/>
      <c r="AE554" s="314"/>
      <c r="AF554" s="314"/>
      <c r="AG554" s="324"/>
      <c r="AH554" s="180"/>
      <c r="AI554" s="155"/>
      <c r="AJ554" s="322"/>
      <c r="AK554" s="132"/>
      <c r="AL554" s="132"/>
    </row>
    <row r="555">
      <c r="A555" s="458"/>
      <c r="B555" s="313"/>
      <c r="C555" s="745"/>
      <c r="D555" s="313"/>
      <c r="E555" s="314"/>
      <c r="F555" s="318"/>
      <c r="G555" s="315"/>
      <c r="H555" s="314"/>
      <c r="I555" s="435"/>
      <c r="J555" s="314"/>
      <c r="K555" s="315"/>
      <c r="L555" s="839"/>
      <c r="M555" s="318"/>
      <c r="N555" s="315"/>
      <c r="O555" s="314"/>
      <c r="P555" s="314"/>
      <c r="Q555" s="435"/>
      <c r="R555" s="435"/>
      <c r="S555" s="849"/>
      <c r="T555" s="740"/>
      <c r="U555" s="744"/>
      <c r="V555" s="435"/>
      <c r="W555" s="435"/>
      <c r="X555" s="435"/>
      <c r="Y555" s="435"/>
      <c r="Z555" s="435"/>
      <c r="AA555" s="740"/>
      <c r="AB555" s="744"/>
      <c r="AC555" s="435"/>
      <c r="AD555" s="435"/>
      <c r="AE555" s="435"/>
      <c r="AF555" s="435"/>
      <c r="AG555" s="324"/>
      <c r="AH555" s="180"/>
      <c r="AI555" s="155"/>
      <c r="AJ555" s="322"/>
      <c r="AK555" s="132"/>
      <c r="AL555" s="132"/>
    </row>
    <row r="556">
      <c r="A556" s="458"/>
      <c r="B556" s="313"/>
      <c r="C556" s="745"/>
      <c r="D556" s="437"/>
      <c r="E556" s="435"/>
      <c r="F556" s="318"/>
      <c r="G556" s="315"/>
      <c r="H556" s="435"/>
      <c r="I556" s="435"/>
      <c r="J556" s="314"/>
      <c r="K556" s="744"/>
      <c r="L556" s="839"/>
      <c r="M556" s="318"/>
      <c r="N556" s="315"/>
      <c r="O556" s="314"/>
      <c r="P556" s="435"/>
      <c r="Q556" s="435"/>
      <c r="R556" s="435"/>
      <c r="S556" s="849"/>
      <c r="T556" s="740"/>
      <c r="U556" s="744"/>
      <c r="V556" s="435"/>
      <c r="W556" s="435"/>
      <c r="X556" s="435"/>
      <c r="Y556" s="435"/>
      <c r="Z556" s="435"/>
      <c r="AA556" s="740"/>
      <c r="AB556" s="744"/>
      <c r="AC556" s="435"/>
      <c r="AD556" s="435"/>
      <c r="AE556" s="435"/>
      <c r="AF556" s="435"/>
      <c r="AG556" s="324"/>
      <c r="AH556" s="180"/>
      <c r="AI556" s="155"/>
      <c r="AJ556" s="322"/>
      <c r="AK556" s="132"/>
      <c r="AL556" s="132"/>
    </row>
    <row r="557">
      <c r="A557" s="458"/>
      <c r="B557" s="313"/>
      <c r="C557" s="745"/>
      <c r="D557" s="437"/>
      <c r="E557" s="314"/>
      <c r="F557" s="318"/>
      <c r="G557" s="315"/>
      <c r="H557" s="314"/>
      <c r="I557" s="314"/>
      <c r="J557" s="314"/>
      <c r="K557" s="744"/>
      <c r="L557" s="736"/>
      <c r="M557" s="318"/>
      <c r="N557" s="315"/>
      <c r="O557" s="314"/>
      <c r="P557" s="314"/>
      <c r="Q557" s="314"/>
      <c r="R557" s="435"/>
      <c r="S557" s="849"/>
      <c r="T557" s="740"/>
      <c r="U557" s="744"/>
      <c r="V557" s="435"/>
      <c r="W557" s="435"/>
      <c r="X557" s="435"/>
      <c r="Y557" s="435"/>
      <c r="Z557" s="435"/>
      <c r="AA557" s="740"/>
      <c r="AB557" s="744"/>
      <c r="AC557" s="435"/>
      <c r="AD557" s="435"/>
      <c r="AE557" s="435"/>
      <c r="AF557" s="435"/>
      <c r="AG557" s="324"/>
      <c r="AH557" s="180"/>
      <c r="AI557" s="155"/>
      <c r="AJ557" s="322"/>
      <c r="AK557" s="132"/>
      <c r="AL557" s="132"/>
    </row>
    <row r="558">
      <c r="A558" s="458"/>
      <c r="B558" s="437"/>
      <c r="C558" s="745"/>
      <c r="D558" s="437"/>
      <c r="E558" s="435"/>
      <c r="F558" s="318"/>
      <c r="G558" s="315"/>
      <c r="H558" s="435"/>
      <c r="I558" s="435"/>
      <c r="J558" s="435"/>
      <c r="K558" s="744"/>
      <c r="L558" s="839"/>
      <c r="M558" s="740"/>
      <c r="N558" s="744"/>
      <c r="O558" s="314"/>
      <c r="P558" s="435"/>
      <c r="Q558" s="435"/>
      <c r="R558" s="435"/>
      <c r="S558" s="849"/>
      <c r="T558" s="740"/>
      <c r="U558" s="744"/>
      <c r="V558" s="435"/>
      <c r="W558" s="435"/>
      <c r="X558" s="435"/>
      <c r="Y558" s="435"/>
      <c r="Z558" s="435"/>
      <c r="AA558" s="740"/>
      <c r="AB558" s="744"/>
      <c r="AC558" s="435"/>
      <c r="AD558" s="435"/>
      <c r="AE558" s="435"/>
      <c r="AF558" s="435"/>
      <c r="AG558" s="324"/>
      <c r="AH558" s="180"/>
      <c r="AI558" s="155"/>
      <c r="AJ558" s="322"/>
      <c r="AK558" s="132"/>
      <c r="AL558" s="132"/>
    </row>
    <row r="559">
      <c r="A559" s="435"/>
      <c r="B559" s="437"/>
      <c r="C559" s="745"/>
      <c r="D559" s="437"/>
      <c r="E559" s="435"/>
      <c r="F559" s="318"/>
      <c r="G559" s="315"/>
      <c r="H559" s="435"/>
      <c r="I559" s="435"/>
      <c r="J559" s="435"/>
      <c r="K559" s="744"/>
      <c r="L559" s="839"/>
      <c r="M559" s="740"/>
      <c r="N559" s="744"/>
      <c r="O559" s="314"/>
      <c r="P559" s="435"/>
      <c r="Q559" s="435"/>
      <c r="R559" s="435"/>
      <c r="S559" s="849"/>
      <c r="T559" s="740"/>
      <c r="U559" s="744"/>
      <c r="V559" s="435"/>
      <c r="W559" s="435"/>
      <c r="X559" s="435"/>
      <c r="Y559" s="435"/>
      <c r="Z559" s="435"/>
      <c r="AA559" s="740"/>
      <c r="AB559" s="744"/>
      <c r="AC559" s="435"/>
      <c r="AD559" s="435"/>
      <c r="AE559" s="435"/>
      <c r="AF559" s="435"/>
      <c r="AG559" s="324"/>
      <c r="AH559" s="180"/>
      <c r="AI559" s="155"/>
      <c r="AJ559" s="322"/>
      <c r="AK559" s="132"/>
      <c r="AL559" s="132"/>
    </row>
    <row r="560">
      <c r="A560" s="474"/>
      <c r="B560" s="437"/>
      <c r="C560" s="745"/>
      <c r="D560" s="437"/>
      <c r="E560" s="435"/>
      <c r="F560" s="318"/>
      <c r="G560" s="315"/>
      <c r="H560" s="435"/>
      <c r="I560" s="435"/>
      <c r="J560" s="435"/>
      <c r="K560" s="744"/>
      <c r="L560" s="839"/>
      <c r="M560" s="740"/>
      <c r="N560" s="744"/>
      <c r="O560" s="314"/>
      <c r="P560" s="435"/>
      <c r="Q560" s="435"/>
      <c r="R560" s="435"/>
      <c r="S560" s="849"/>
      <c r="T560" s="740"/>
      <c r="U560" s="744"/>
      <c r="V560" s="435"/>
      <c r="W560" s="435"/>
      <c r="X560" s="435"/>
      <c r="Y560" s="435"/>
      <c r="Z560" s="435"/>
      <c r="AA560" s="740"/>
      <c r="AB560" s="744"/>
      <c r="AC560" s="435"/>
      <c r="AD560" s="435"/>
      <c r="AE560" s="435"/>
      <c r="AF560" s="435"/>
      <c r="AG560" s="324"/>
      <c r="AH560" s="180"/>
      <c r="AI560" s="155"/>
      <c r="AJ560" s="322"/>
      <c r="AK560" s="132"/>
      <c r="AL560" s="132"/>
    </row>
    <row r="561">
      <c r="A561" s="474"/>
      <c r="B561" s="437"/>
      <c r="C561" s="312"/>
      <c r="D561" s="437"/>
      <c r="E561" s="435"/>
      <c r="F561" s="318"/>
      <c r="G561" s="315"/>
      <c r="H561" s="435"/>
      <c r="I561" s="435"/>
      <c r="J561" s="435"/>
      <c r="K561" s="315"/>
      <c r="L561" s="736"/>
      <c r="M561" s="318"/>
      <c r="N561" s="744"/>
      <c r="O561" s="314"/>
      <c r="P561" s="314"/>
      <c r="Q561" s="435"/>
      <c r="R561" s="314"/>
      <c r="S561" s="849"/>
      <c r="T561" s="740"/>
      <c r="U561" s="744"/>
      <c r="V561" s="435"/>
      <c r="W561" s="435"/>
      <c r="X561" s="435"/>
      <c r="Y561" s="435"/>
      <c r="Z561" s="435"/>
      <c r="AA561" s="740"/>
      <c r="AB561" s="744"/>
      <c r="AC561" s="435"/>
      <c r="AD561" s="435"/>
      <c r="AE561" s="435"/>
      <c r="AF561" s="435"/>
      <c r="AG561" s="324"/>
      <c r="AH561" s="180"/>
      <c r="AI561" s="155"/>
      <c r="AJ561" s="322"/>
      <c r="AK561" s="132"/>
      <c r="AL561" s="132"/>
    </row>
    <row r="562">
      <c r="A562" s="474"/>
      <c r="B562" s="313"/>
      <c r="C562" s="312"/>
      <c r="D562" s="313"/>
      <c r="E562" s="314"/>
      <c r="F562" s="318"/>
      <c r="G562" s="315"/>
      <c r="H562" s="314"/>
      <c r="I562" s="314"/>
      <c r="J562" s="314"/>
      <c r="K562" s="744"/>
      <c r="L562" s="736"/>
      <c r="M562" s="318"/>
      <c r="N562" s="315"/>
      <c r="O562" s="314"/>
      <c r="P562" s="435"/>
      <c r="Q562" s="314"/>
      <c r="R562" s="314"/>
      <c r="S562" s="848"/>
      <c r="T562" s="318"/>
      <c r="U562" s="315"/>
      <c r="V562" s="314"/>
      <c r="W562" s="314"/>
      <c r="X562" s="314"/>
      <c r="Y562" s="314"/>
      <c r="Z562" s="314"/>
      <c r="AA562" s="318"/>
      <c r="AB562" s="315"/>
      <c r="AC562" s="314"/>
      <c r="AD562" s="314"/>
      <c r="AE562" s="314"/>
      <c r="AF562" s="314"/>
      <c r="AG562" s="324"/>
      <c r="AH562" s="180"/>
      <c r="AI562" s="155"/>
      <c r="AJ562" s="322"/>
      <c r="AK562" s="132"/>
      <c r="AL562" s="132"/>
    </row>
    <row r="563">
      <c r="A563" s="474"/>
      <c r="B563" s="313"/>
      <c r="C563" s="745"/>
      <c r="D563" s="437"/>
      <c r="E563" s="314"/>
      <c r="F563" s="318"/>
      <c r="G563" s="315"/>
      <c r="H563" s="314"/>
      <c r="I563" s="435"/>
      <c r="J563" s="314"/>
      <c r="K563" s="315"/>
      <c r="L563" s="736"/>
      <c r="M563" s="318"/>
      <c r="N563" s="315"/>
      <c r="O563" s="314"/>
      <c r="P563" s="314"/>
      <c r="Q563" s="314"/>
      <c r="R563" s="314"/>
      <c r="S563" s="848"/>
      <c r="T563" s="318"/>
      <c r="U563" s="315"/>
      <c r="V563" s="314"/>
      <c r="W563" s="314"/>
      <c r="X563" s="314"/>
      <c r="Y563" s="314"/>
      <c r="Z563" s="314"/>
      <c r="AA563" s="318"/>
      <c r="AB563" s="315"/>
      <c r="AC563" s="314"/>
      <c r="AD563" s="314"/>
      <c r="AE563" s="314"/>
      <c r="AF563" s="314"/>
      <c r="AG563" s="324"/>
      <c r="AH563" s="180"/>
      <c r="AI563" s="155"/>
      <c r="AJ563" s="322"/>
      <c r="AK563" s="132"/>
      <c r="AL563" s="132"/>
    </row>
    <row r="564">
      <c r="A564" s="474"/>
      <c r="B564" s="313"/>
      <c r="C564" s="312"/>
      <c r="D564" s="313"/>
      <c r="E564" s="314"/>
      <c r="F564" s="318"/>
      <c r="G564" s="315"/>
      <c r="H564" s="314"/>
      <c r="I564" s="314"/>
      <c r="J564" s="314"/>
      <c r="K564" s="744"/>
      <c r="L564" s="736"/>
      <c r="M564" s="318"/>
      <c r="N564" s="315"/>
      <c r="O564" s="314"/>
      <c r="P564" s="314"/>
      <c r="Q564" s="314"/>
      <c r="R564" s="314"/>
      <c r="S564" s="848"/>
      <c r="T564" s="318"/>
      <c r="U564" s="315"/>
      <c r="V564" s="314"/>
      <c r="W564" s="314"/>
      <c r="X564" s="314"/>
      <c r="Y564" s="314"/>
      <c r="Z564" s="314"/>
      <c r="AA564" s="318"/>
      <c r="AB564" s="315"/>
      <c r="AC564" s="314"/>
      <c r="AD564" s="314"/>
      <c r="AE564" s="314"/>
      <c r="AF564" s="314"/>
      <c r="AG564" s="324"/>
      <c r="AH564" s="180"/>
      <c r="AI564" s="155"/>
      <c r="AJ564" s="322"/>
      <c r="AK564" s="132"/>
      <c r="AL564" s="132"/>
    </row>
    <row r="565">
      <c r="A565" s="458"/>
      <c r="B565" s="313"/>
      <c r="C565" s="745"/>
      <c r="D565" s="313"/>
      <c r="E565" s="314"/>
      <c r="F565" s="318"/>
      <c r="G565" s="315"/>
      <c r="H565" s="314"/>
      <c r="I565" s="314"/>
      <c r="J565" s="435"/>
      <c r="K565" s="744"/>
      <c r="L565" s="736"/>
      <c r="M565" s="318"/>
      <c r="N565" s="315"/>
      <c r="O565" s="314"/>
      <c r="P565" s="314"/>
      <c r="Q565" s="314"/>
      <c r="R565" s="314"/>
      <c r="S565" s="848"/>
      <c r="T565" s="318"/>
      <c r="U565" s="315"/>
      <c r="V565" s="314"/>
      <c r="W565" s="314"/>
      <c r="X565" s="314"/>
      <c r="Y565" s="314"/>
      <c r="Z565" s="314"/>
      <c r="AA565" s="318"/>
      <c r="AB565" s="315"/>
      <c r="AC565" s="314"/>
      <c r="AD565" s="314"/>
      <c r="AE565" s="314"/>
      <c r="AF565" s="314"/>
      <c r="AG565" s="324"/>
      <c r="AH565" s="180"/>
      <c r="AI565" s="155"/>
      <c r="AJ565" s="322"/>
      <c r="AK565" s="132"/>
      <c r="AL565" s="132"/>
    </row>
    <row r="566">
      <c r="A566" s="435"/>
      <c r="B566" s="313"/>
      <c r="C566" s="745"/>
      <c r="D566" s="437"/>
      <c r="E566" s="435"/>
      <c r="F566" s="318"/>
      <c r="G566" s="315"/>
      <c r="H566" s="435"/>
      <c r="I566" s="314"/>
      <c r="J566" s="314"/>
      <c r="K566" s="744"/>
      <c r="L566" s="736"/>
      <c r="M566" s="740"/>
      <c r="N566" s="744"/>
      <c r="O566" s="314"/>
      <c r="P566" s="314"/>
      <c r="Q566" s="314"/>
      <c r="R566" s="435"/>
      <c r="S566" s="848"/>
      <c r="T566" s="318"/>
      <c r="U566" s="315"/>
      <c r="V566" s="314"/>
      <c r="W566" s="314"/>
      <c r="X566" s="314"/>
      <c r="Y566" s="314"/>
      <c r="Z566" s="314"/>
      <c r="AA566" s="318"/>
      <c r="AB566" s="315"/>
      <c r="AC566" s="314"/>
      <c r="AD566" s="314"/>
      <c r="AE566" s="314"/>
      <c r="AF566" s="314"/>
      <c r="AG566" s="324"/>
      <c r="AH566" s="180"/>
      <c r="AI566" s="155"/>
      <c r="AJ566" s="322"/>
      <c r="AK566" s="132"/>
      <c r="AL566" s="132"/>
    </row>
    <row r="567">
      <c r="A567" s="435"/>
      <c r="B567" s="437"/>
      <c r="C567" s="312"/>
      <c r="D567" s="313"/>
      <c r="E567" s="314"/>
      <c r="F567" s="318"/>
      <c r="G567" s="315"/>
      <c r="H567" s="314"/>
      <c r="I567" s="314"/>
      <c r="J567" s="314"/>
      <c r="K567" s="315"/>
      <c r="L567" s="736"/>
      <c r="M567" s="318"/>
      <c r="N567" s="315"/>
      <c r="O567" s="314"/>
      <c r="P567" s="435"/>
      <c r="Q567" s="314"/>
      <c r="R567" s="314"/>
      <c r="S567" s="848"/>
      <c r="T567" s="318"/>
      <c r="U567" s="315"/>
      <c r="V567" s="314"/>
      <c r="W567" s="314"/>
      <c r="X567" s="314"/>
      <c r="Y567" s="314"/>
      <c r="Z567" s="314"/>
      <c r="AA567" s="318"/>
      <c r="AB567" s="315"/>
      <c r="AC567" s="314"/>
      <c r="AD567" s="314"/>
      <c r="AE567" s="314"/>
      <c r="AF567" s="314"/>
      <c r="AG567" s="324"/>
      <c r="AH567" s="180"/>
      <c r="AI567" s="155"/>
      <c r="AJ567" s="322"/>
      <c r="AK567" s="132"/>
      <c r="AL567" s="132"/>
    </row>
    <row r="568">
      <c r="A568" s="435"/>
      <c r="B568" s="437"/>
      <c r="C568" s="312"/>
      <c r="D568" s="313"/>
      <c r="E568" s="314"/>
      <c r="F568" s="318"/>
      <c r="G568" s="315"/>
      <c r="H568" s="314"/>
      <c r="I568" s="314"/>
      <c r="J568" s="314"/>
      <c r="K568" s="315"/>
      <c r="L568" s="736"/>
      <c r="M568" s="318"/>
      <c r="N568" s="315"/>
      <c r="O568" s="314"/>
      <c r="P568" s="314"/>
      <c r="Q568" s="435"/>
      <c r="R568" s="314"/>
      <c r="S568" s="849"/>
      <c r="T568" s="740"/>
      <c r="U568" s="744"/>
      <c r="V568" s="435"/>
      <c r="W568" s="435"/>
      <c r="X568" s="435"/>
      <c r="Y568" s="435"/>
      <c r="Z568" s="435"/>
      <c r="AA568" s="740"/>
      <c r="AB568" s="744"/>
      <c r="AC568" s="435"/>
      <c r="AD568" s="435"/>
      <c r="AE568" s="435"/>
      <c r="AF568" s="435"/>
      <c r="AG568" s="324"/>
      <c r="AH568" s="180"/>
      <c r="AI568" s="155"/>
      <c r="AJ568" s="322"/>
      <c r="AK568" s="132"/>
      <c r="AL568" s="132"/>
    </row>
    <row r="569">
      <c r="A569" s="435"/>
      <c r="B569" s="313"/>
      <c r="C569" s="745"/>
      <c r="D569" s="313"/>
      <c r="E569" s="314"/>
      <c r="F569" s="318"/>
      <c r="G569" s="315"/>
      <c r="H569" s="314"/>
      <c r="I569" s="314"/>
      <c r="J569" s="314"/>
      <c r="K569" s="315"/>
      <c r="L569" s="736"/>
      <c r="M569" s="318"/>
      <c r="N569" s="315"/>
      <c r="O569" s="314"/>
      <c r="P569" s="314"/>
      <c r="Q569" s="314"/>
      <c r="R569" s="435"/>
      <c r="S569" s="848"/>
      <c r="T569" s="318"/>
      <c r="U569" s="315"/>
      <c r="V569" s="314"/>
      <c r="W569" s="314"/>
      <c r="X569" s="314"/>
      <c r="Y569" s="314"/>
      <c r="Z569" s="314"/>
      <c r="AA569" s="318"/>
      <c r="AB569" s="315"/>
      <c r="AC569" s="314"/>
      <c r="AD569" s="314"/>
      <c r="AE569" s="314"/>
      <c r="AF569" s="314"/>
      <c r="AG569" s="324"/>
      <c r="AH569" s="180"/>
      <c r="AI569" s="155"/>
      <c r="AJ569" s="322"/>
      <c r="AK569" s="132"/>
      <c r="AL569" s="132"/>
    </row>
    <row r="570">
      <c r="A570" s="435"/>
      <c r="B570" s="313"/>
      <c r="C570" s="312"/>
      <c r="D570" s="313"/>
      <c r="E570" s="314"/>
      <c r="F570" s="318"/>
      <c r="G570" s="315"/>
      <c r="H570" s="314"/>
      <c r="I570" s="314"/>
      <c r="J570" s="314"/>
      <c r="K570" s="744"/>
      <c r="L570" s="736"/>
      <c r="M570" s="740"/>
      <c r="N570" s="315"/>
      <c r="O570" s="314"/>
      <c r="P570" s="314"/>
      <c r="Q570" s="435"/>
      <c r="R570" s="314"/>
      <c r="S570" s="848"/>
      <c r="T570" s="318"/>
      <c r="U570" s="315"/>
      <c r="V570" s="314"/>
      <c r="W570" s="314"/>
      <c r="X570" s="314"/>
      <c r="Y570" s="314"/>
      <c r="Z570" s="314"/>
      <c r="AA570" s="318"/>
      <c r="AB570" s="315"/>
      <c r="AC570" s="314"/>
      <c r="AD570" s="314"/>
      <c r="AE570" s="314"/>
      <c r="AF570" s="314"/>
      <c r="AG570" s="324"/>
      <c r="AH570" s="180"/>
      <c r="AI570" s="155"/>
      <c r="AJ570" s="322"/>
      <c r="AK570" s="132"/>
      <c r="AL570" s="132"/>
    </row>
    <row r="571">
      <c r="A571" s="435"/>
      <c r="B571" s="313"/>
      <c r="C571" s="745"/>
      <c r="D571" s="437"/>
      <c r="E571" s="314"/>
      <c r="F571" s="318"/>
      <c r="G571" s="315"/>
      <c r="H571" s="314"/>
      <c r="I571" s="314"/>
      <c r="J571" s="314"/>
      <c r="K571" s="744"/>
      <c r="L571" s="736"/>
      <c r="M571" s="740"/>
      <c r="N571" s="315"/>
      <c r="O571" s="314"/>
      <c r="P571" s="314"/>
      <c r="Q571" s="435"/>
      <c r="R571" s="314"/>
      <c r="S571" s="848"/>
      <c r="T571" s="318"/>
      <c r="U571" s="315"/>
      <c r="V571" s="314"/>
      <c r="W571" s="314"/>
      <c r="X571" s="314"/>
      <c r="Y571" s="314"/>
      <c r="Z571" s="314"/>
      <c r="AA571" s="318"/>
      <c r="AB571" s="315"/>
      <c r="AC571" s="314"/>
      <c r="AD571" s="314"/>
      <c r="AE571" s="314"/>
      <c r="AF571" s="314"/>
      <c r="AG571" s="324"/>
      <c r="AH571" s="180"/>
      <c r="AI571" s="155"/>
      <c r="AJ571" s="322"/>
      <c r="AK571" s="132"/>
      <c r="AL571" s="132"/>
    </row>
    <row r="572">
      <c r="A572" s="476"/>
      <c r="AI572" s="176"/>
      <c r="AJ572" s="322"/>
      <c r="AK572" s="132"/>
      <c r="AL572" s="132"/>
    </row>
    <row r="573">
      <c r="A573" s="178"/>
      <c r="AJ573" s="322"/>
      <c r="AK573" s="132"/>
      <c r="AL573" s="132"/>
    </row>
    <row r="574">
      <c r="A574" s="474"/>
      <c r="B574" s="437"/>
      <c r="C574" s="745"/>
      <c r="D574" s="437"/>
      <c r="E574" s="435"/>
      <c r="F574" s="318"/>
      <c r="G574" s="315"/>
      <c r="H574" s="314"/>
      <c r="I574" s="435"/>
      <c r="J574" s="435"/>
      <c r="K574" s="744"/>
      <c r="L574" s="839"/>
      <c r="M574" s="740"/>
      <c r="N574" s="744"/>
      <c r="O574" s="314"/>
      <c r="P574" s="435"/>
      <c r="Q574" s="435"/>
      <c r="R574" s="435"/>
      <c r="S574" s="849"/>
      <c r="T574" s="740"/>
      <c r="U574" s="744"/>
      <c r="V574" s="435"/>
      <c r="W574" s="435"/>
      <c r="X574" s="435"/>
      <c r="Y574" s="435"/>
      <c r="Z574" s="435"/>
      <c r="AA574" s="740"/>
      <c r="AB574" s="744"/>
      <c r="AC574" s="435"/>
      <c r="AD574" s="435"/>
      <c r="AE574" s="435"/>
      <c r="AF574" s="435"/>
      <c r="AG574" s="324"/>
      <c r="AH574" s="180"/>
      <c r="AI574" s="155"/>
      <c r="AJ574" s="322"/>
      <c r="AK574" s="132"/>
      <c r="AL574" s="132"/>
    </row>
    <row r="575">
      <c r="A575" s="474"/>
      <c r="B575" s="313"/>
      <c r="C575" s="745"/>
      <c r="D575" s="437"/>
      <c r="E575" s="435"/>
      <c r="F575" s="318"/>
      <c r="G575" s="315"/>
      <c r="H575" s="435"/>
      <c r="I575" s="314"/>
      <c r="J575" s="435"/>
      <c r="K575" s="744"/>
      <c r="L575" s="839"/>
      <c r="M575" s="318"/>
      <c r="N575" s="315"/>
      <c r="O575" s="314"/>
      <c r="P575" s="435"/>
      <c r="Q575" s="435"/>
      <c r="R575" s="435"/>
      <c r="S575" s="849"/>
      <c r="T575" s="740"/>
      <c r="U575" s="744"/>
      <c r="V575" s="435"/>
      <c r="W575" s="435"/>
      <c r="X575" s="435"/>
      <c r="Y575" s="435"/>
      <c r="Z575" s="435"/>
      <c r="AA575" s="740"/>
      <c r="AB575" s="744"/>
      <c r="AC575" s="435"/>
      <c r="AD575" s="435"/>
      <c r="AE575" s="435"/>
      <c r="AF575" s="435"/>
      <c r="AG575" s="324"/>
      <c r="AH575" s="180"/>
      <c r="AI575" s="155"/>
      <c r="AJ575" s="322"/>
      <c r="AK575" s="132"/>
      <c r="AL575" s="132"/>
    </row>
    <row r="576">
      <c r="A576" s="477"/>
      <c r="B576" s="437"/>
      <c r="C576" s="745"/>
      <c r="D576" s="437"/>
      <c r="E576" s="314"/>
      <c r="F576" s="318"/>
      <c r="G576" s="315"/>
      <c r="H576" s="435"/>
      <c r="I576" s="435"/>
      <c r="J576" s="435"/>
      <c r="K576" s="744"/>
      <c r="L576" s="839"/>
      <c r="M576" s="740"/>
      <c r="N576" s="744"/>
      <c r="O576" s="314"/>
      <c r="P576" s="435"/>
      <c r="Q576" s="435"/>
      <c r="R576" s="435"/>
      <c r="S576" s="849"/>
      <c r="T576" s="740"/>
      <c r="U576" s="744"/>
      <c r="V576" s="435"/>
      <c r="W576" s="435"/>
      <c r="X576" s="435"/>
      <c r="Y576" s="435"/>
      <c r="Z576" s="435"/>
      <c r="AA576" s="740"/>
      <c r="AB576" s="744"/>
      <c r="AC576" s="435"/>
      <c r="AD576" s="435"/>
      <c r="AE576" s="435"/>
      <c r="AF576" s="435"/>
      <c r="AG576" s="324"/>
      <c r="AH576" s="180"/>
      <c r="AI576" s="155"/>
      <c r="AJ576" s="322"/>
      <c r="AK576" s="132"/>
      <c r="AL576" s="132"/>
    </row>
    <row r="577">
      <c r="A577" s="477"/>
      <c r="B577" s="437"/>
      <c r="C577" s="745"/>
      <c r="D577" s="437"/>
      <c r="E577" s="314"/>
      <c r="F577" s="318"/>
      <c r="G577" s="315"/>
      <c r="H577" s="435"/>
      <c r="I577" s="314"/>
      <c r="J577" s="314"/>
      <c r="K577" s="744"/>
      <c r="L577" s="839"/>
      <c r="M577" s="740"/>
      <c r="N577" s="315"/>
      <c r="O577" s="314"/>
      <c r="P577" s="435"/>
      <c r="Q577" s="435"/>
      <c r="R577" s="435"/>
      <c r="S577" s="849"/>
      <c r="T577" s="740"/>
      <c r="U577" s="744"/>
      <c r="V577" s="435"/>
      <c r="W577" s="435"/>
      <c r="X577" s="435"/>
      <c r="Y577" s="435"/>
      <c r="Z577" s="435"/>
      <c r="AA577" s="740"/>
      <c r="AB577" s="744"/>
      <c r="AC577" s="435"/>
      <c r="AD577" s="435"/>
      <c r="AE577" s="435"/>
      <c r="AF577" s="435"/>
      <c r="AG577" s="324"/>
      <c r="AH577" s="180"/>
      <c r="AI577" s="155"/>
      <c r="AJ577" s="322"/>
      <c r="AK577" s="132"/>
      <c r="AL577" s="132"/>
    </row>
    <row r="578">
      <c r="A578" s="477"/>
      <c r="B578" s="437"/>
      <c r="C578" s="745"/>
      <c r="D578" s="437"/>
      <c r="E578" s="435"/>
      <c r="F578" s="318"/>
      <c r="G578" s="315"/>
      <c r="H578" s="435"/>
      <c r="I578" s="435"/>
      <c r="J578" s="435"/>
      <c r="K578" s="744"/>
      <c r="L578" s="839"/>
      <c r="M578" s="740"/>
      <c r="N578" s="744"/>
      <c r="O578" s="314"/>
      <c r="P578" s="435"/>
      <c r="Q578" s="435"/>
      <c r="R578" s="435"/>
      <c r="S578" s="849"/>
      <c r="T578" s="740"/>
      <c r="U578" s="744"/>
      <c r="V578" s="435"/>
      <c r="W578" s="435"/>
      <c r="X578" s="435"/>
      <c r="Y578" s="435"/>
      <c r="Z578" s="435"/>
      <c r="AA578" s="740"/>
      <c r="AB578" s="744"/>
      <c r="AC578" s="435"/>
      <c r="AD578" s="435"/>
      <c r="AE578" s="435"/>
      <c r="AF578" s="435"/>
      <c r="AG578" s="324"/>
      <c r="AH578" s="180"/>
      <c r="AI578" s="155"/>
      <c r="AJ578" s="322"/>
      <c r="AK578" s="132"/>
      <c r="AL578" s="132"/>
    </row>
    <row r="579">
      <c r="A579" s="474"/>
      <c r="B579" s="313"/>
      <c r="C579" s="745"/>
      <c r="D579" s="313"/>
      <c r="E579" s="435"/>
      <c r="F579" s="318"/>
      <c r="G579" s="315"/>
      <c r="H579" s="435"/>
      <c r="I579" s="314"/>
      <c r="J579" s="435"/>
      <c r="K579" s="744"/>
      <c r="L579" s="736"/>
      <c r="M579" s="740"/>
      <c r="N579" s="315"/>
      <c r="O579" s="314"/>
      <c r="P579" s="435"/>
      <c r="Q579" s="435"/>
      <c r="R579" s="435"/>
      <c r="S579" s="849"/>
      <c r="T579" s="740"/>
      <c r="U579" s="744"/>
      <c r="V579" s="435"/>
      <c r="W579" s="435"/>
      <c r="X579" s="435"/>
      <c r="Y579" s="435"/>
      <c r="Z579" s="435"/>
      <c r="AA579" s="740"/>
      <c r="AB579" s="744"/>
      <c r="AC579" s="435"/>
      <c r="AD579" s="435"/>
      <c r="AE579" s="435"/>
      <c r="AF579" s="435"/>
      <c r="AG579" s="324"/>
      <c r="AH579" s="180"/>
      <c r="AI579" s="155"/>
      <c r="AJ579" s="322"/>
      <c r="AK579" s="132"/>
      <c r="AL579" s="132"/>
    </row>
    <row r="580">
      <c r="A580" s="478"/>
      <c r="B580" s="437"/>
      <c r="C580" s="745"/>
      <c r="D580" s="437"/>
      <c r="E580" s="435"/>
      <c r="F580" s="318"/>
      <c r="G580" s="315"/>
      <c r="H580" s="435"/>
      <c r="I580" s="435"/>
      <c r="J580" s="435"/>
      <c r="K580" s="744"/>
      <c r="L580" s="839"/>
      <c r="M580" s="740"/>
      <c r="N580" s="744"/>
      <c r="O580" s="314"/>
      <c r="P580" s="435"/>
      <c r="Q580" s="435"/>
      <c r="R580" s="435"/>
      <c r="S580" s="849"/>
      <c r="T580" s="740"/>
      <c r="U580" s="744"/>
      <c r="V580" s="435"/>
      <c r="W580" s="435"/>
      <c r="X580" s="435"/>
      <c r="Y580" s="435"/>
      <c r="Z580" s="435"/>
      <c r="AA580" s="740"/>
      <c r="AB580" s="744"/>
      <c r="AC580" s="435"/>
      <c r="AD580" s="435"/>
      <c r="AE580" s="435"/>
      <c r="AF580" s="435"/>
      <c r="AG580" s="324"/>
      <c r="AH580" s="180"/>
      <c r="AI580" s="155"/>
      <c r="AJ580" s="322"/>
      <c r="AK580" s="132"/>
      <c r="AL580" s="132"/>
    </row>
    <row r="581">
      <c r="A581" s="478"/>
      <c r="B581" s="437"/>
      <c r="C581" s="745"/>
      <c r="D581" s="437"/>
      <c r="E581" s="435"/>
      <c r="F581" s="318"/>
      <c r="G581" s="315"/>
      <c r="H581" s="435"/>
      <c r="I581" s="435"/>
      <c r="J581" s="435"/>
      <c r="K581" s="744"/>
      <c r="L581" s="839"/>
      <c r="M581" s="740"/>
      <c r="N581" s="744"/>
      <c r="O581" s="314"/>
      <c r="P581" s="435"/>
      <c r="Q581" s="435"/>
      <c r="R581" s="435"/>
      <c r="S581" s="849"/>
      <c r="T581" s="740"/>
      <c r="U581" s="744"/>
      <c r="V581" s="435"/>
      <c r="W581" s="435"/>
      <c r="X581" s="435"/>
      <c r="Y581" s="435"/>
      <c r="Z581" s="435"/>
      <c r="AA581" s="740"/>
      <c r="AB581" s="744"/>
      <c r="AC581" s="435"/>
      <c r="AD581" s="435"/>
      <c r="AE581" s="435"/>
      <c r="AF581" s="435"/>
      <c r="AG581" s="324"/>
      <c r="AH581" s="180"/>
      <c r="AI581" s="155"/>
      <c r="AJ581" s="322"/>
      <c r="AK581" s="132"/>
      <c r="AL581" s="132"/>
    </row>
    <row r="582">
      <c r="A582" s="478"/>
      <c r="B582" s="437"/>
      <c r="C582" s="745"/>
      <c r="D582" s="313"/>
      <c r="E582" s="314"/>
      <c r="F582" s="318"/>
      <c r="G582" s="315"/>
      <c r="H582" s="435"/>
      <c r="I582" s="435"/>
      <c r="J582" s="314"/>
      <c r="K582" s="744"/>
      <c r="L582" s="736"/>
      <c r="M582" s="740"/>
      <c r="N582" s="315"/>
      <c r="O582" s="314"/>
      <c r="P582" s="314"/>
      <c r="Q582" s="314"/>
      <c r="R582" s="314"/>
      <c r="S582" s="849"/>
      <c r="T582" s="740"/>
      <c r="U582" s="744"/>
      <c r="V582" s="435"/>
      <c r="W582" s="435"/>
      <c r="X582" s="435"/>
      <c r="Y582" s="435"/>
      <c r="Z582" s="435"/>
      <c r="AA582" s="740"/>
      <c r="AB582" s="744"/>
      <c r="AC582" s="435"/>
      <c r="AD582" s="435"/>
      <c r="AE582" s="435"/>
      <c r="AF582" s="435"/>
      <c r="AG582" s="324"/>
      <c r="AH582" s="180"/>
      <c r="AI582" s="155"/>
      <c r="AJ582" s="322"/>
      <c r="AK582" s="132"/>
      <c r="AL582" s="132"/>
    </row>
    <row r="583">
      <c r="A583" s="477"/>
      <c r="B583" s="313"/>
      <c r="C583" s="745"/>
      <c r="D583" s="437"/>
      <c r="E583" s="435"/>
      <c r="F583" s="318"/>
      <c r="G583" s="315"/>
      <c r="H583" s="435"/>
      <c r="I583" s="435"/>
      <c r="J583" s="435"/>
      <c r="K583" s="744"/>
      <c r="L583" s="839"/>
      <c r="M583" s="740"/>
      <c r="N583" s="744"/>
      <c r="O583" s="314"/>
      <c r="P583" s="435"/>
      <c r="Q583" s="435"/>
      <c r="R583" s="435"/>
      <c r="S583" s="849"/>
      <c r="T583" s="740"/>
      <c r="U583" s="744"/>
      <c r="V583" s="435"/>
      <c r="W583" s="435"/>
      <c r="X583" s="435"/>
      <c r="Y583" s="435"/>
      <c r="Z583" s="435"/>
      <c r="AA583" s="740"/>
      <c r="AB583" s="744"/>
      <c r="AC583" s="435"/>
      <c r="AD583" s="435"/>
      <c r="AE583" s="435"/>
      <c r="AF583" s="435"/>
      <c r="AG583" s="324"/>
      <c r="AH583" s="180"/>
      <c r="AI583" s="155"/>
      <c r="AJ583" s="322"/>
      <c r="AK583" s="132"/>
      <c r="AL583" s="132"/>
    </row>
    <row r="584">
      <c r="A584" s="477"/>
      <c r="B584" s="313"/>
      <c r="C584" s="312"/>
      <c r="D584" s="313"/>
      <c r="E584" s="314"/>
      <c r="F584" s="318"/>
      <c r="G584" s="315"/>
      <c r="H584" s="435"/>
      <c r="I584" s="314"/>
      <c r="J584" s="314"/>
      <c r="K584" s="315"/>
      <c r="L584" s="736"/>
      <c r="M584" s="318"/>
      <c r="N584" s="744"/>
      <c r="O584" s="314"/>
      <c r="P584" s="314"/>
      <c r="Q584" s="435"/>
      <c r="R584" s="314"/>
      <c r="S584" s="848"/>
      <c r="T584" s="318"/>
      <c r="U584" s="315"/>
      <c r="V584" s="314"/>
      <c r="W584" s="314"/>
      <c r="X584" s="314"/>
      <c r="Y584" s="314"/>
      <c r="Z584" s="314"/>
      <c r="AA584" s="318"/>
      <c r="AB584" s="315"/>
      <c r="AC584" s="314"/>
      <c r="AD584" s="314"/>
      <c r="AE584" s="314"/>
      <c r="AF584" s="314"/>
      <c r="AG584" s="324"/>
      <c r="AH584" s="180"/>
      <c r="AI584" s="155"/>
      <c r="AJ584" s="322"/>
      <c r="AK584" s="132"/>
      <c r="AL584" s="132"/>
    </row>
    <row r="585">
      <c r="A585" s="477"/>
      <c r="B585" s="313"/>
      <c r="C585" s="312"/>
      <c r="D585" s="313"/>
      <c r="E585" s="314"/>
      <c r="F585" s="318"/>
      <c r="G585" s="315"/>
      <c r="H585" s="314"/>
      <c r="I585" s="314"/>
      <c r="J585" s="314"/>
      <c r="K585" s="315"/>
      <c r="L585" s="736"/>
      <c r="M585" s="318"/>
      <c r="N585" s="315"/>
      <c r="O585" s="314"/>
      <c r="P585" s="314"/>
      <c r="Q585" s="314"/>
      <c r="R585" s="314"/>
      <c r="S585" s="848"/>
      <c r="T585" s="318"/>
      <c r="U585" s="315"/>
      <c r="V585" s="314"/>
      <c r="W585" s="314"/>
      <c r="X585" s="314"/>
      <c r="Y585" s="314"/>
      <c r="Z585" s="314"/>
      <c r="AA585" s="318"/>
      <c r="AB585" s="315"/>
      <c r="AC585" s="314"/>
      <c r="AD585" s="314"/>
      <c r="AE585" s="314"/>
      <c r="AF585" s="314"/>
      <c r="AG585" s="324"/>
      <c r="AH585" s="180"/>
      <c r="AI585" s="155"/>
      <c r="AJ585" s="322"/>
      <c r="AK585" s="132"/>
      <c r="AL585" s="132"/>
    </row>
    <row r="586">
      <c r="A586" s="476"/>
      <c r="AI586" s="176"/>
      <c r="AJ586" s="322"/>
      <c r="AK586" s="132"/>
      <c r="AL586" s="132"/>
    </row>
    <row r="587">
      <c r="A587" s="178"/>
      <c r="AJ587" s="322"/>
      <c r="AK587" s="132"/>
      <c r="AL587" s="132"/>
    </row>
    <row r="588">
      <c r="A588" s="477"/>
      <c r="B588" s="437"/>
      <c r="C588" s="745"/>
      <c r="D588" s="437"/>
      <c r="E588" s="314"/>
      <c r="F588" s="318"/>
      <c r="G588" s="315"/>
      <c r="H588" s="314"/>
      <c r="I588" s="314"/>
      <c r="J588" s="314"/>
      <c r="K588" s="744"/>
      <c r="L588" s="839"/>
      <c r="M588" s="318"/>
      <c r="N588" s="315"/>
      <c r="O588" s="314"/>
      <c r="P588" s="314"/>
      <c r="Q588" s="435"/>
      <c r="R588" s="435"/>
      <c r="S588" s="849"/>
      <c r="T588" s="740"/>
      <c r="U588" s="744"/>
      <c r="V588" s="435"/>
      <c r="W588" s="435"/>
      <c r="X588" s="435"/>
      <c r="Y588" s="435"/>
      <c r="Z588" s="435"/>
      <c r="AA588" s="740"/>
      <c r="AB588" s="744"/>
      <c r="AC588" s="435"/>
      <c r="AD588" s="435"/>
      <c r="AE588" s="435"/>
      <c r="AF588" s="435"/>
      <c r="AG588" s="324"/>
      <c r="AH588" s="180"/>
      <c r="AI588" s="155"/>
      <c r="AJ588" s="322"/>
      <c r="AK588" s="132"/>
      <c r="AL588" s="132"/>
    </row>
    <row r="589">
      <c r="A589" s="477"/>
      <c r="B589" s="313"/>
      <c r="C589" s="745"/>
      <c r="D589" s="437"/>
      <c r="E589" s="314"/>
      <c r="F589" s="318"/>
      <c r="G589" s="315"/>
      <c r="H589" s="314"/>
      <c r="I589" s="435"/>
      <c r="J589" s="435"/>
      <c r="K589" s="744"/>
      <c r="L589" s="736"/>
      <c r="M589" s="740"/>
      <c r="N589" s="315"/>
      <c r="O589" s="314"/>
      <c r="P589" s="314"/>
      <c r="Q589" s="435"/>
      <c r="R589" s="435"/>
      <c r="S589" s="849"/>
      <c r="T589" s="740"/>
      <c r="U589" s="744"/>
      <c r="V589" s="435"/>
      <c r="W589" s="435"/>
      <c r="X589" s="435"/>
      <c r="Y589" s="435"/>
      <c r="Z589" s="435"/>
      <c r="AA589" s="740"/>
      <c r="AB589" s="744"/>
      <c r="AC589" s="435"/>
      <c r="AD589" s="435"/>
      <c r="AE589" s="435"/>
      <c r="AF589" s="435"/>
      <c r="AG589" s="324"/>
      <c r="AH589" s="180"/>
      <c r="AI589" s="155"/>
      <c r="AJ589" s="322"/>
      <c r="AK589" s="132"/>
      <c r="AL589" s="132"/>
    </row>
    <row r="590">
      <c r="A590" s="477"/>
      <c r="B590" s="313"/>
      <c r="C590" s="745"/>
      <c r="D590" s="437"/>
      <c r="E590" s="435"/>
      <c r="F590" s="318"/>
      <c r="G590" s="315"/>
      <c r="H590" s="435"/>
      <c r="I590" s="314"/>
      <c r="J590" s="314"/>
      <c r="K590" s="744"/>
      <c r="L590" s="736"/>
      <c r="M590" s="740"/>
      <c r="N590" s="744"/>
      <c r="O590" s="314"/>
      <c r="P590" s="435"/>
      <c r="Q590" s="435"/>
      <c r="R590" s="435"/>
      <c r="S590" s="849"/>
      <c r="T590" s="740"/>
      <c r="U590" s="744"/>
      <c r="V590" s="435"/>
      <c r="W590" s="435"/>
      <c r="X590" s="435"/>
      <c r="Y590" s="435"/>
      <c r="Z590" s="435"/>
      <c r="AA590" s="740"/>
      <c r="AB590" s="744"/>
      <c r="AC590" s="435"/>
      <c r="AD590" s="435"/>
      <c r="AE590" s="435"/>
      <c r="AF590" s="435"/>
      <c r="AG590" s="324"/>
      <c r="AH590" s="180"/>
      <c r="AI590" s="155"/>
      <c r="AJ590" s="322"/>
      <c r="AK590" s="132"/>
      <c r="AL590" s="132"/>
    </row>
    <row r="591">
      <c r="A591" s="479"/>
      <c r="B591" s="313"/>
      <c r="C591" s="312"/>
      <c r="D591" s="313"/>
      <c r="E591" s="314"/>
      <c r="F591" s="318"/>
      <c r="G591" s="315"/>
      <c r="H591" s="314"/>
      <c r="I591" s="314"/>
      <c r="J591" s="314"/>
      <c r="K591" s="315"/>
      <c r="L591" s="736"/>
      <c r="M591" s="318"/>
      <c r="N591" s="315"/>
      <c r="O591" s="314"/>
      <c r="P591" s="314"/>
      <c r="Q591" s="435"/>
      <c r="R591" s="314"/>
      <c r="S591" s="848"/>
      <c r="T591" s="318"/>
      <c r="U591" s="315"/>
      <c r="V591" s="314"/>
      <c r="W591" s="314"/>
      <c r="X591" s="314"/>
      <c r="Y591" s="314"/>
      <c r="Z591" s="314"/>
      <c r="AA591" s="318"/>
      <c r="AB591" s="315"/>
      <c r="AC591" s="314"/>
      <c r="AD591" s="314"/>
      <c r="AE591" s="314"/>
      <c r="AF591" s="314"/>
      <c r="AG591" s="324"/>
      <c r="AH591" s="180"/>
      <c r="AI591" s="155"/>
      <c r="AJ591" s="322"/>
      <c r="AK591" s="132"/>
      <c r="AL591" s="132"/>
    </row>
    <row r="592">
      <c r="A592" s="476"/>
      <c r="AI592" s="176"/>
      <c r="AJ592" s="322"/>
      <c r="AK592" s="132"/>
      <c r="AL592" s="132"/>
    </row>
    <row r="593">
      <c r="A593" s="178"/>
      <c r="AJ593" s="322"/>
      <c r="AK593" s="132"/>
      <c r="AL593" s="132"/>
    </row>
    <row r="594">
      <c r="A594" s="480"/>
      <c r="B594" s="313"/>
      <c r="C594" s="745"/>
      <c r="D594" s="313"/>
      <c r="E594" s="314"/>
      <c r="F594" s="318"/>
      <c r="G594" s="315"/>
      <c r="H594" s="314"/>
      <c r="I594" s="314"/>
      <c r="J594" s="435"/>
      <c r="K594" s="744"/>
      <c r="L594" s="736"/>
      <c r="M594" s="318"/>
      <c r="N594" s="315"/>
      <c r="O594" s="314"/>
      <c r="P594" s="314"/>
      <c r="Q594" s="435"/>
      <c r="R594" s="314"/>
      <c r="S594" s="848"/>
      <c r="T594" s="318"/>
      <c r="U594" s="315"/>
      <c r="V594" s="314"/>
      <c r="W594" s="314"/>
      <c r="X594" s="314"/>
      <c r="Y594" s="314"/>
      <c r="Z594" s="314"/>
      <c r="AA594" s="318"/>
      <c r="AB594" s="315"/>
      <c r="AC594" s="314"/>
      <c r="AD594" s="314"/>
      <c r="AE594" s="314"/>
      <c r="AF594" s="314"/>
      <c r="AG594" s="324"/>
      <c r="AH594" s="180"/>
      <c r="AI594" s="180"/>
      <c r="AJ594" s="322"/>
      <c r="AK594" s="132"/>
      <c r="AL594" s="132"/>
    </row>
    <row r="595">
      <c r="A595" s="480"/>
      <c r="B595" s="313"/>
      <c r="C595" s="745"/>
      <c r="D595" s="313"/>
      <c r="E595" s="314"/>
      <c r="F595" s="318"/>
      <c r="G595" s="315"/>
      <c r="H595" s="435"/>
      <c r="I595" s="314"/>
      <c r="J595" s="435"/>
      <c r="K595" s="744"/>
      <c r="L595" s="736"/>
      <c r="M595" s="740"/>
      <c r="N595" s="744"/>
      <c r="O595" s="314"/>
      <c r="P595" s="435"/>
      <c r="Q595" s="435"/>
      <c r="R595" s="314"/>
      <c r="S595" s="849"/>
      <c r="T595" s="740"/>
      <c r="U595" s="744"/>
      <c r="V595" s="435"/>
      <c r="W595" s="435"/>
      <c r="X595" s="435"/>
      <c r="Y595" s="435"/>
      <c r="Z595" s="435"/>
      <c r="AA595" s="740"/>
      <c r="AB595" s="744"/>
      <c r="AC595" s="435"/>
      <c r="AD595" s="435"/>
      <c r="AE595" s="435"/>
      <c r="AF595" s="435"/>
      <c r="AG595" s="324"/>
      <c r="AH595" s="180"/>
      <c r="AI595" s="180"/>
      <c r="AJ595" s="322"/>
      <c r="AK595" s="132"/>
      <c r="AL595" s="132"/>
    </row>
    <row r="596">
      <c r="A596" s="476"/>
      <c r="AI596" s="176"/>
      <c r="AJ596" s="322"/>
      <c r="AK596" s="132"/>
      <c r="AL596" s="132"/>
    </row>
    <row r="597">
      <c r="A597" s="178"/>
      <c r="AJ597" s="322"/>
      <c r="AK597" s="132"/>
      <c r="AL597" s="132"/>
    </row>
    <row r="598">
      <c r="A598" s="481"/>
      <c r="B598" s="313"/>
      <c r="C598" s="745"/>
      <c r="D598" s="437"/>
      <c r="E598" s="435"/>
      <c r="F598" s="318"/>
      <c r="G598" s="744"/>
      <c r="H598" s="435"/>
      <c r="I598" s="435"/>
      <c r="J598" s="314"/>
      <c r="K598" s="744"/>
      <c r="L598" s="839"/>
      <c r="M598" s="740"/>
      <c r="N598" s="315"/>
      <c r="O598" s="314"/>
      <c r="P598" s="435"/>
      <c r="Q598" s="435"/>
      <c r="R598" s="435"/>
      <c r="S598" s="849"/>
      <c r="T598" s="740"/>
      <c r="U598" s="744"/>
      <c r="V598" s="435"/>
      <c r="W598" s="435"/>
      <c r="X598" s="435"/>
      <c r="Y598" s="435"/>
      <c r="Z598" s="435"/>
      <c r="AA598" s="740"/>
      <c r="AB598" s="744"/>
      <c r="AC598" s="435"/>
      <c r="AD598" s="435"/>
      <c r="AE598" s="435"/>
      <c r="AF598" s="435"/>
      <c r="AG598" s="324"/>
      <c r="AH598" s="180"/>
      <c r="AI598" s="155"/>
      <c r="AJ598" s="322"/>
      <c r="AK598" s="132"/>
      <c r="AL598" s="132"/>
    </row>
    <row r="599">
      <c r="A599" s="435"/>
      <c r="B599" s="313"/>
      <c r="C599" s="745"/>
      <c r="D599" s="437"/>
      <c r="E599" s="314"/>
      <c r="F599" s="318"/>
      <c r="G599" s="315"/>
      <c r="H599" s="435"/>
      <c r="I599" s="314"/>
      <c r="J599" s="435"/>
      <c r="K599" s="744"/>
      <c r="L599" s="736"/>
      <c r="M599" s="318"/>
      <c r="N599" s="315"/>
      <c r="O599" s="314"/>
      <c r="P599" s="435"/>
      <c r="Q599" s="435"/>
      <c r="R599" s="435"/>
      <c r="S599" s="849"/>
      <c r="T599" s="740"/>
      <c r="U599" s="744"/>
      <c r="V599" s="435"/>
      <c r="W599" s="435"/>
      <c r="X599" s="435"/>
      <c r="Y599" s="435"/>
      <c r="Z599" s="435"/>
      <c r="AA599" s="740"/>
      <c r="AB599" s="744"/>
      <c r="AC599" s="435"/>
      <c r="AD599" s="435"/>
      <c r="AE599" s="435"/>
      <c r="AF599" s="435"/>
      <c r="AG599" s="324"/>
      <c r="AH599" s="180"/>
      <c r="AI599" s="155"/>
      <c r="AJ599" s="322"/>
      <c r="AK599" s="132"/>
      <c r="AL599" s="132"/>
    </row>
    <row r="600">
      <c r="A600" s="482"/>
      <c r="B600" s="313"/>
      <c r="C600" s="312"/>
      <c r="D600" s="437"/>
      <c r="E600" s="314"/>
      <c r="F600" s="318"/>
      <c r="G600" s="315"/>
      <c r="H600" s="314"/>
      <c r="I600" s="314"/>
      <c r="J600" s="314"/>
      <c r="K600" s="744"/>
      <c r="L600" s="736"/>
      <c r="M600" s="318"/>
      <c r="N600" s="315"/>
      <c r="O600" s="314"/>
      <c r="P600" s="314"/>
      <c r="Q600" s="314"/>
      <c r="R600" s="435"/>
      <c r="S600" s="848"/>
      <c r="T600" s="318"/>
      <c r="U600" s="315"/>
      <c r="V600" s="314"/>
      <c r="W600" s="314"/>
      <c r="X600" s="314"/>
      <c r="Y600" s="314"/>
      <c r="Z600" s="314"/>
      <c r="AA600" s="318"/>
      <c r="AB600" s="315"/>
      <c r="AC600" s="314"/>
      <c r="AD600" s="314"/>
      <c r="AE600" s="314"/>
      <c r="AF600" s="314"/>
      <c r="AG600" s="324"/>
      <c r="AH600" s="180"/>
      <c r="AI600" s="155"/>
      <c r="AJ600" s="322"/>
      <c r="AK600" s="132"/>
      <c r="AL600" s="132"/>
    </row>
    <row r="601">
      <c r="A601" s="482"/>
      <c r="B601" s="313"/>
      <c r="C601" s="745"/>
      <c r="D601" s="437"/>
      <c r="E601" s="435"/>
      <c r="F601" s="318"/>
      <c r="G601" s="315"/>
      <c r="H601" s="435"/>
      <c r="I601" s="435"/>
      <c r="J601" s="435"/>
      <c r="K601" s="744"/>
      <c r="L601" s="839"/>
      <c r="M601" s="740"/>
      <c r="N601" s="744"/>
      <c r="O601" s="314"/>
      <c r="P601" s="435"/>
      <c r="Q601" s="435"/>
      <c r="R601" s="435"/>
      <c r="S601" s="849"/>
      <c r="T601" s="740"/>
      <c r="U601" s="744"/>
      <c r="V601" s="435"/>
      <c r="W601" s="435"/>
      <c r="X601" s="435"/>
      <c r="Y601" s="435"/>
      <c r="Z601" s="435"/>
      <c r="AA601" s="740"/>
      <c r="AB601" s="744"/>
      <c r="AC601" s="435"/>
      <c r="AD601" s="435"/>
      <c r="AE601" s="435"/>
      <c r="AF601" s="435"/>
      <c r="AG601" s="324"/>
      <c r="AH601" s="180"/>
      <c r="AI601" s="155"/>
      <c r="AJ601" s="322"/>
      <c r="AK601" s="132"/>
      <c r="AL601" s="132"/>
    </row>
    <row r="602">
      <c r="A602" s="314"/>
      <c r="B602" s="313"/>
      <c r="C602" s="312"/>
      <c r="D602" s="313"/>
      <c r="E602" s="314"/>
      <c r="F602" s="318"/>
      <c r="G602" s="315"/>
      <c r="H602" s="314"/>
      <c r="I602" s="314"/>
      <c r="J602" s="314"/>
      <c r="K602" s="315"/>
      <c r="L602" s="736"/>
      <c r="M602" s="318"/>
      <c r="N602" s="315"/>
      <c r="O602" s="314"/>
      <c r="P602" s="314"/>
      <c r="Q602" s="314"/>
      <c r="R602" s="314"/>
      <c r="S602" s="848"/>
      <c r="T602" s="318"/>
      <c r="U602" s="315"/>
      <c r="V602" s="314"/>
      <c r="W602" s="314"/>
      <c r="X602" s="314"/>
      <c r="Y602" s="314"/>
      <c r="Z602" s="314"/>
      <c r="AA602" s="318"/>
      <c r="AB602" s="315"/>
      <c r="AC602" s="314"/>
      <c r="AD602" s="314"/>
      <c r="AE602" s="314"/>
      <c r="AF602" s="314"/>
      <c r="AG602" s="483"/>
      <c r="AI602" s="484"/>
      <c r="AJ602" s="322"/>
      <c r="AK602" s="132"/>
      <c r="AL602" s="132"/>
    </row>
    <row r="603">
      <c r="A603" s="314"/>
      <c r="B603" s="313"/>
      <c r="C603" s="312"/>
      <c r="D603" s="313"/>
      <c r="E603" s="314"/>
      <c r="F603" s="318"/>
      <c r="G603" s="315"/>
      <c r="H603" s="314"/>
      <c r="I603" s="314"/>
      <c r="J603" s="314"/>
      <c r="K603" s="315"/>
      <c r="L603" s="736"/>
      <c r="M603" s="318"/>
      <c r="N603" s="315"/>
      <c r="O603" s="314"/>
      <c r="P603" s="314"/>
      <c r="Q603" s="314"/>
      <c r="R603" s="314"/>
      <c r="S603" s="848"/>
      <c r="T603" s="318"/>
      <c r="U603" s="315"/>
      <c r="V603" s="314"/>
      <c r="W603" s="314"/>
      <c r="X603" s="314"/>
      <c r="Y603" s="314"/>
      <c r="Z603" s="314"/>
      <c r="AA603" s="318"/>
      <c r="AB603" s="315"/>
      <c r="AC603" s="314"/>
      <c r="AD603" s="314"/>
      <c r="AE603" s="314"/>
      <c r="AF603" s="314"/>
      <c r="AG603" s="324"/>
      <c r="AH603" s="155"/>
      <c r="AI603" s="155"/>
      <c r="AJ603" s="322"/>
      <c r="AK603" s="132"/>
      <c r="AL603" s="132"/>
    </row>
    <row r="604">
      <c r="A604" s="314"/>
      <c r="B604" s="313"/>
      <c r="C604" s="312"/>
      <c r="D604" s="313"/>
      <c r="E604" s="314"/>
      <c r="F604" s="318"/>
      <c r="G604" s="315"/>
      <c r="H604" s="314"/>
      <c r="I604" s="314"/>
      <c r="J604" s="314"/>
      <c r="K604" s="315"/>
      <c r="L604" s="736"/>
      <c r="M604" s="318"/>
      <c r="N604" s="315"/>
      <c r="O604" s="314"/>
      <c r="P604" s="314"/>
      <c r="Q604" s="314"/>
      <c r="R604" s="314"/>
      <c r="S604" s="848"/>
      <c r="T604" s="318"/>
      <c r="U604" s="315"/>
      <c r="V604" s="314"/>
      <c r="W604" s="314"/>
      <c r="X604" s="314"/>
      <c r="Y604" s="314"/>
      <c r="Z604" s="314"/>
      <c r="AA604" s="318"/>
      <c r="AB604" s="315"/>
      <c r="AC604" s="314"/>
      <c r="AD604" s="314"/>
      <c r="AE604" s="314"/>
      <c r="AF604" s="314"/>
      <c r="AG604" s="324"/>
      <c r="AH604" s="155"/>
      <c r="AI604" s="155"/>
      <c r="AJ604" s="322"/>
      <c r="AK604" s="132"/>
      <c r="AL604" s="132"/>
    </row>
    <row r="605">
      <c r="A605" s="314"/>
      <c r="B605" s="313"/>
      <c r="C605" s="312"/>
      <c r="D605" s="313"/>
      <c r="E605" s="314"/>
      <c r="F605" s="318"/>
      <c r="G605" s="315"/>
      <c r="H605" s="314"/>
      <c r="I605" s="314"/>
      <c r="J605" s="314"/>
      <c r="K605" s="315"/>
      <c r="L605" s="736"/>
      <c r="M605" s="318"/>
      <c r="N605" s="315"/>
      <c r="O605" s="314"/>
      <c r="P605" s="314"/>
      <c r="Q605" s="314"/>
      <c r="R605" s="314"/>
      <c r="S605" s="848"/>
      <c r="T605" s="318"/>
      <c r="U605" s="315"/>
      <c r="V605" s="314"/>
      <c r="W605" s="314"/>
      <c r="X605" s="314"/>
      <c r="Y605" s="314"/>
      <c r="Z605" s="314"/>
      <c r="AA605" s="318"/>
      <c r="AB605" s="315"/>
      <c r="AC605" s="314"/>
      <c r="AD605" s="314"/>
      <c r="AE605" s="314"/>
      <c r="AF605" s="314"/>
      <c r="AG605" s="324"/>
      <c r="AH605" s="155"/>
      <c r="AI605" s="155"/>
      <c r="AJ605" s="322"/>
      <c r="AK605" s="132"/>
      <c r="AL605" s="132"/>
    </row>
    <row r="606">
      <c r="A606" s="314"/>
      <c r="B606" s="313"/>
      <c r="C606" s="312"/>
      <c r="D606" s="313"/>
      <c r="E606" s="314"/>
      <c r="F606" s="318"/>
      <c r="G606" s="315"/>
      <c r="H606" s="314"/>
      <c r="I606" s="314"/>
      <c r="J606" s="314"/>
      <c r="K606" s="315"/>
      <c r="L606" s="736"/>
      <c r="M606" s="318"/>
      <c r="N606" s="315"/>
      <c r="O606" s="314"/>
      <c r="P606" s="314"/>
      <c r="Q606" s="314"/>
      <c r="R606" s="314"/>
      <c r="S606" s="848"/>
      <c r="T606" s="318"/>
      <c r="U606" s="315"/>
      <c r="V606" s="314"/>
      <c r="W606" s="314"/>
      <c r="X606" s="314"/>
      <c r="Y606" s="314"/>
      <c r="Z606" s="314"/>
      <c r="AA606" s="318"/>
      <c r="AB606" s="315"/>
      <c r="AC606" s="314"/>
      <c r="AD606" s="314"/>
      <c r="AE606" s="314"/>
      <c r="AF606" s="314"/>
      <c r="AG606" s="324"/>
      <c r="AH606" s="155"/>
      <c r="AI606" s="155"/>
      <c r="AJ606" s="322"/>
      <c r="AK606" s="132"/>
      <c r="AL606" s="132"/>
    </row>
    <row r="607">
      <c r="A607" s="314"/>
      <c r="B607" s="313"/>
      <c r="C607" s="312"/>
      <c r="D607" s="313"/>
      <c r="E607" s="314"/>
      <c r="F607" s="318"/>
      <c r="G607" s="315"/>
      <c r="H607" s="314"/>
      <c r="I607" s="314"/>
      <c r="J607" s="314"/>
      <c r="K607" s="315"/>
      <c r="L607" s="736"/>
      <c r="M607" s="318"/>
      <c r="N607" s="315"/>
      <c r="O607" s="314"/>
      <c r="P607" s="314"/>
      <c r="Q607" s="314"/>
      <c r="R607" s="314"/>
      <c r="S607" s="848"/>
      <c r="T607" s="318"/>
      <c r="U607" s="315"/>
      <c r="V607" s="314"/>
      <c r="W607" s="314"/>
      <c r="X607" s="314"/>
      <c r="Y607" s="314"/>
      <c r="Z607" s="314"/>
      <c r="AA607" s="318"/>
      <c r="AB607" s="315"/>
      <c r="AC607" s="314"/>
      <c r="AD607" s="314"/>
      <c r="AE607" s="314"/>
      <c r="AF607" s="314"/>
      <c r="AG607" s="324"/>
      <c r="AH607" s="155"/>
      <c r="AI607" s="155"/>
      <c r="AJ607" s="322"/>
      <c r="AK607" s="132"/>
      <c r="AL607" s="132"/>
    </row>
    <row r="608">
      <c r="A608" s="314"/>
      <c r="B608" s="313"/>
      <c r="C608" s="312"/>
      <c r="D608" s="313"/>
      <c r="E608" s="314"/>
      <c r="F608" s="318"/>
      <c r="G608" s="315"/>
      <c r="H608" s="314"/>
      <c r="I608" s="314"/>
      <c r="J608" s="314"/>
      <c r="K608" s="315"/>
      <c r="L608" s="736"/>
      <c r="M608" s="318"/>
      <c r="N608" s="315"/>
      <c r="O608" s="314"/>
      <c r="P608" s="314"/>
      <c r="Q608" s="314"/>
      <c r="R608" s="314"/>
      <c r="S608" s="848"/>
      <c r="T608" s="318"/>
      <c r="U608" s="315"/>
      <c r="V608" s="314"/>
      <c r="W608" s="314"/>
      <c r="X608" s="314"/>
      <c r="Y608" s="314"/>
      <c r="Z608" s="314"/>
      <c r="AA608" s="318"/>
      <c r="AB608" s="315"/>
      <c r="AC608" s="314"/>
      <c r="AD608" s="314"/>
      <c r="AE608" s="314"/>
      <c r="AF608" s="314"/>
      <c r="AG608" s="324"/>
      <c r="AH608" s="155"/>
      <c r="AI608" s="155"/>
      <c r="AJ608" s="322"/>
      <c r="AK608" s="132"/>
      <c r="AL608" s="132"/>
    </row>
    <row r="609">
      <c r="A609" s="314"/>
      <c r="B609" s="313"/>
      <c r="C609" s="312"/>
      <c r="D609" s="313"/>
      <c r="E609" s="314"/>
      <c r="F609" s="318"/>
      <c r="G609" s="315"/>
      <c r="H609" s="314"/>
      <c r="I609" s="314"/>
      <c r="J609" s="314"/>
      <c r="K609" s="315"/>
      <c r="L609" s="736"/>
      <c r="M609" s="318"/>
      <c r="N609" s="315"/>
      <c r="O609" s="314"/>
      <c r="P609" s="314"/>
      <c r="Q609" s="314"/>
      <c r="R609" s="314"/>
      <c r="S609" s="848"/>
      <c r="T609" s="318"/>
      <c r="U609" s="315"/>
      <c r="V609" s="314"/>
      <c r="W609" s="314"/>
      <c r="X609" s="314"/>
      <c r="Y609" s="314"/>
      <c r="Z609" s="314"/>
      <c r="AA609" s="318"/>
      <c r="AB609" s="315"/>
      <c r="AC609" s="314"/>
      <c r="AD609" s="314"/>
      <c r="AE609" s="314"/>
      <c r="AF609" s="314"/>
      <c r="AG609" s="324"/>
      <c r="AH609" s="155"/>
      <c r="AI609" s="155"/>
      <c r="AJ609" s="322"/>
      <c r="AK609" s="132"/>
      <c r="AL609" s="132"/>
    </row>
    <row r="610">
      <c r="A610" s="314"/>
      <c r="B610" s="313"/>
      <c r="C610" s="312"/>
      <c r="D610" s="313"/>
      <c r="E610" s="314"/>
      <c r="F610" s="318"/>
      <c r="G610" s="315"/>
      <c r="H610" s="314"/>
      <c r="I610" s="314"/>
      <c r="J610" s="314"/>
      <c r="K610" s="315"/>
      <c r="L610" s="736"/>
      <c r="M610" s="318"/>
      <c r="N610" s="315"/>
      <c r="O610" s="314"/>
      <c r="P610" s="314"/>
      <c r="Q610" s="314"/>
      <c r="R610" s="314"/>
      <c r="S610" s="848"/>
      <c r="T610" s="318"/>
      <c r="U610" s="315"/>
      <c r="V610" s="314"/>
      <c r="W610" s="314"/>
      <c r="X610" s="314"/>
      <c r="Y610" s="314"/>
      <c r="Z610" s="314"/>
      <c r="AA610" s="318"/>
      <c r="AB610" s="315"/>
      <c r="AC610" s="314"/>
      <c r="AD610" s="314"/>
      <c r="AE610" s="314"/>
      <c r="AF610" s="314"/>
      <c r="AG610" s="324"/>
      <c r="AH610" s="155"/>
      <c r="AI610" s="155"/>
      <c r="AJ610" s="322"/>
      <c r="AK610" s="132"/>
      <c r="AL610" s="132"/>
    </row>
    <row r="611">
      <c r="A611" s="314"/>
      <c r="B611" s="313"/>
      <c r="C611" s="312"/>
      <c r="D611" s="313"/>
      <c r="E611" s="314"/>
      <c r="F611" s="318"/>
      <c r="G611" s="315"/>
      <c r="H611" s="314"/>
      <c r="I611" s="314"/>
      <c r="J611" s="314"/>
      <c r="K611" s="315"/>
      <c r="L611" s="736"/>
      <c r="M611" s="318"/>
      <c r="N611" s="315"/>
      <c r="O611" s="314"/>
      <c r="P611" s="314"/>
      <c r="Q611" s="314"/>
      <c r="R611" s="314"/>
      <c r="S611" s="848"/>
      <c r="T611" s="318"/>
      <c r="U611" s="315"/>
      <c r="V611" s="314"/>
      <c r="W611" s="314"/>
      <c r="X611" s="314"/>
      <c r="Y611" s="314"/>
      <c r="Z611" s="314"/>
      <c r="AA611" s="318"/>
      <c r="AB611" s="315"/>
      <c r="AC611" s="314"/>
      <c r="AD611" s="314"/>
      <c r="AE611" s="314"/>
      <c r="AF611" s="314"/>
      <c r="AG611" s="324"/>
      <c r="AH611" s="155"/>
      <c r="AI611" s="155"/>
      <c r="AJ611" s="322"/>
      <c r="AK611" s="132"/>
      <c r="AL611" s="132"/>
    </row>
    <row r="612">
      <c r="A612" s="314"/>
      <c r="B612" s="313"/>
      <c r="C612" s="312"/>
      <c r="D612" s="313"/>
      <c r="E612" s="314"/>
      <c r="F612" s="318"/>
      <c r="G612" s="315"/>
      <c r="H612" s="314"/>
      <c r="I612" s="314"/>
      <c r="J612" s="314"/>
      <c r="K612" s="315"/>
      <c r="L612" s="736"/>
      <c r="M612" s="318"/>
      <c r="N612" s="315"/>
      <c r="O612" s="314"/>
      <c r="P612" s="314"/>
      <c r="Q612" s="314"/>
      <c r="R612" s="314"/>
      <c r="S612" s="848"/>
      <c r="T612" s="318"/>
      <c r="U612" s="315"/>
      <c r="V612" s="314"/>
      <c r="W612" s="314"/>
      <c r="X612" s="314"/>
      <c r="Y612" s="314"/>
      <c r="Z612" s="314"/>
      <c r="AA612" s="318"/>
      <c r="AB612" s="315"/>
      <c r="AC612" s="314"/>
      <c r="AD612" s="314"/>
      <c r="AE612" s="314"/>
      <c r="AF612" s="314"/>
      <c r="AG612" s="324"/>
      <c r="AH612" s="155"/>
      <c r="AI612" s="155"/>
      <c r="AJ612" s="322"/>
      <c r="AK612" s="132"/>
      <c r="AL612" s="132"/>
    </row>
    <row r="613">
      <c r="A613" s="314"/>
      <c r="B613" s="313"/>
      <c r="C613" s="312"/>
      <c r="D613" s="313"/>
      <c r="E613" s="314"/>
      <c r="F613" s="318"/>
      <c r="G613" s="315"/>
      <c r="H613" s="314"/>
      <c r="I613" s="314"/>
      <c r="J613" s="314"/>
      <c r="K613" s="315"/>
      <c r="L613" s="736"/>
      <c r="M613" s="318"/>
      <c r="N613" s="315"/>
      <c r="O613" s="314"/>
      <c r="P613" s="314"/>
      <c r="Q613" s="314"/>
      <c r="R613" s="314"/>
      <c r="S613" s="848"/>
      <c r="T613" s="318"/>
      <c r="U613" s="315"/>
      <c r="V613" s="314"/>
      <c r="W613" s="314"/>
      <c r="X613" s="314"/>
      <c r="Y613" s="314"/>
      <c r="Z613" s="314"/>
      <c r="AA613" s="318"/>
      <c r="AB613" s="315"/>
      <c r="AC613" s="314"/>
      <c r="AD613" s="314"/>
      <c r="AE613" s="314"/>
      <c r="AF613" s="314"/>
      <c r="AG613" s="324"/>
      <c r="AH613" s="155"/>
      <c r="AI613" s="155"/>
      <c r="AJ613" s="322"/>
      <c r="AK613" s="132"/>
      <c r="AL613" s="132"/>
    </row>
    <row r="614">
      <c r="A614" s="314"/>
      <c r="B614" s="313"/>
      <c r="C614" s="312"/>
      <c r="D614" s="313"/>
      <c r="E614" s="314"/>
      <c r="F614" s="318"/>
      <c r="G614" s="315"/>
      <c r="H614" s="314"/>
      <c r="I614" s="314"/>
      <c r="J614" s="314"/>
      <c r="K614" s="315"/>
      <c r="L614" s="736"/>
      <c r="M614" s="318"/>
      <c r="N614" s="315"/>
      <c r="O614" s="314"/>
      <c r="P614" s="314"/>
      <c r="Q614" s="314"/>
      <c r="R614" s="314"/>
      <c r="S614" s="848"/>
      <c r="T614" s="318"/>
      <c r="U614" s="315"/>
      <c r="V614" s="314"/>
      <c r="W614" s="314"/>
      <c r="X614" s="314"/>
      <c r="Y614" s="314"/>
      <c r="Z614" s="314"/>
      <c r="AA614" s="318"/>
      <c r="AB614" s="315"/>
      <c r="AC614" s="314"/>
      <c r="AD614" s="314"/>
      <c r="AE614" s="314"/>
      <c r="AF614" s="314"/>
      <c r="AG614" s="324"/>
      <c r="AH614" s="155"/>
      <c r="AI614" s="155"/>
      <c r="AJ614" s="322"/>
      <c r="AK614" s="132"/>
      <c r="AL614" s="132"/>
    </row>
    <row r="615">
      <c r="A615" s="314"/>
      <c r="B615" s="313"/>
      <c r="C615" s="312"/>
      <c r="D615" s="313"/>
      <c r="E615" s="314"/>
      <c r="F615" s="318"/>
      <c r="G615" s="315"/>
      <c r="H615" s="314"/>
      <c r="I615" s="314"/>
      <c r="J615" s="314"/>
      <c r="K615" s="315"/>
      <c r="L615" s="736"/>
      <c r="M615" s="318"/>
      <c r="N615" s="315"/>
      <c r="O615" s="314"/>
      <c r="P615" s="314"/>
      <c r="Q615" s="314"/>
      <c r="R615" s="314"/>
      <c r="S615" s="848"/>
      <c r="T615" s="318"/>
      <c r="U615" s="315"/>
      <c r="V615" s="314"/>
      <c r="W615" s="314"/>
      <c r="X615" s="314"/>
      <c r="Y615" s="314"/>
      <c r="Z615" s="314"/>
      <c r="AA615" s="318"/>
      <c r="AB615" s="315"/>
      <c r="AC615" s="314"/>
      <c r="AD615" s="314"/>
      <c r="AE615" s="314"/>
      <c r="AF615" s="314"/>
      <c r="AG615" s="324"/>
      <c r="AH615" s="155"/>
      <c r="AI615" s="155"/>
      <c r="AJ615" s="322"/>
      <c r="AK615" s="132"/>
      <c r="AL615" s="132"/>
    </row>
    <row r="616">
      <c r="A616" s="314"/>
      <c r="B616" s="313"/>
      <c r="C616" s="312"/>
      <c r="D616" s="313"/>
      <c r="E616" s="314"/>
      <c r="F616" s="318"/>
      <c r="G616" s="315"/>
      <c r="H616" s="314"/>
      <c r="I616" s="314"/>
      <c r="J616" s="314"/>
      <c r="K616" s="315"/>
      <c r="L616" s="736"/>
      <c r="M616" s="318"/>
      <c r="N616" s="315"/>
      <c r="O616" s="314"/>
      <c r="P616" s="314"/>
      <c r="Q616" s="314"/>
      <c r="R616" s="314"/>
      <c r="S616" s="848"/>
      <c r="T616" s="318"/>
      <c r="U616" s="315"/>
      <c r="V616" s="314"/>
      <c r="W616" s="314"/>
      <c r="X616" s="314"/>
      <c r="Y616" s="314"/>
      <c r="Z616" s="314"/>
      <c r="AA616" s="318"/>
      <c r="AB616" s="315"/>
      <c r="AC616" s="314"/>
      <c r="AD616" s="314"/>
      <c r="AE616" s="314"/>
      <c r="AF616" s="314"/>
      <c r="AG616" s="324"/>
      <c r="AH616" s="155"/>
      <c r="AI616" s="155"/>
      <c r="AJ616" s="322"/>
      <c r="AK616" s="132"/>
      <c r="AL616" s="132"/>
    </row>
    <row r="617">
      <c r="A617" s="314"/>
      <c r="B617" s="313"/>
      <c r="C617" s="312"/>
      <c r="D617" s="313"/>
      <c r="E617" s="314"/>
      <c r="F617" s="318"/>
      <c r="G617" s="315"/>
      <c r="H617" s="314"/>
      <c r="I617" s="314"/>
      <c r="J617" s="314"/>
      <c r="K617" s="315"/>
      <c r="L617" s="736"/>
      <c r="M617" s="318"/>
      <c r="N617" s="315"/>
      <c r="O617" s="314"/>
      <c r="P617" s="314"/>
      <c r="Q617" s="314"/>
      <c r="R617" s="314"/>
      <c r="S617" s="848"/>
      <c r="T617" s="318"/>
      <c r="U617" s="315"/>
      <c r="V617" s="314"/>
      <c r="W617" s="314"/>
      <c r="X617" s="314"/>
      <c r="Y617" s="314"/>
      <c r="Z617" s="314"/>
      <c r="AA617" s="318"/>
      <c r="AB617" s="315"/>
      <c r="AC617" s="314"/>
      <c r="AD617" s="314"/>
      <c r="AE617" s="314"/>
      <c r="AF617" s="314"/>
      <c r="AG617" s="487"/>
      <c r="AI617" s="484"/>
      <c r="AJ617" s="322"/>
      <c r="AK617" s="132"/>
      <c r="AL617" s="132"/>
    </row>
    <row r="618">
      <c r="A618" s="314"/>
      <c r="B618" s="313"/>
      <c r="C618" s="312"/>
      <c r="D618" s="313"/>
      <c r="E618" s="314"/>
      <c r="F618" s="318"/>
      <c r="G618" s="315"/>
      <c r="H618" s="314"/>
      <c r="I618" s="314"/>
      <c r="J618" s="314"/>
      <c r="K618" s="315"/>
      <c r="L618" s="736"/>
      <c r="M618" s="318"/>
      <c r="N618" s="315"/>
      <c r="O618" s="314"/>
      <c r="P618" s="314"/>
      <c r="Q618" s="314"/>
      <c r="R618" s="314"/>
      <c r="S618" s="848"/>
      <c r="T618" s="318"/>
      <c r="U618" s="315"/>
      <c r="V618" s="314"/>
      <c r="W618" s="314"/>
      <c r="X618" s="314"/>
      <c r="Y618" s="314"/>
      <c r="Z618" s="314"/>
      <c r="AA618" s="318"/>
      <c r="AB618" s="315"/>
      <c r="AC618" s="314"/>
      <c r="AD618" s="314"/>
      <c r="AE618" s="314"/>
      <c r="AF618" s="314"/>
      <c r="AG618" s="324"/>
      <c r="AH618" s="155"/>
      <c r="AI618" s="155"/>
      <c r="AJ618" s="322"/>
      <c r="AK618" s="132"/>
      <c r="AL618" s="132"/>
    </row>
    <row r="619">
      <c r="A619" s="314"/>
      <c r="B619" s="313"/>
      <c r="C619" s="312"/>
      <c r="D619" s="313"/>
      <c r="E619" s="314"/>
      <c r="F619" s="318"/>
      <c r="G619" s="315"/>
      <c r="H619" s="314"/>
      <c r="I619" s="314"/>
      <c r="J619" s="314"/>
      <c r="K619" s="315"/>
      <c r="L619" s="736"/>
      <c r="M619" s="318"/>
      <c r="N619" s="315"/>
      <c r="O619" s="314"/>
      <c r="P619" s="314"/>
      <c r="Q619" s="314"/>
      <c r="R619" s="314"/>
      <c r="S619" s="848"/>
      <c r="T619" s="318"/>
      <c r="U619" s="315"/>
      <c r="V619" s="314"/>
      <c r="W619" s="314"/>
      <c r="X619" s="314"/>
      <c r="Y619" s="314"/>
      <c r="Z619" s="314"/>
      <c r="AA619" s="318"/>
      <c r="AB619" s="315"/>
      <c r="AC619" s="314"/>
      <c r="AD619" s="314"/>
      <c r="AE619" s="314"/>
      <c r="AF619" s="314"/>
      <c r="AG619" s="324"/>
      <c r="AH619" s="155"/>
      <c r="AI619" s="155"/>
      <c r="AJ619" s="322"/>
      <c r="AK619" s="132"/>
      <c r="AL619" s="132"/>
    </row>
    <row r="620">
      <c r="A620" s="314"/>
      <c r="B620" s="313"/>
      <c r="C620" s="312"/>
      <c r="D620" s="313"/>
      <c r="E620" s="314"/>
      <c r="F620" s="318"/>
      <c r="G620" s="315"/>
      <c r="H620" s="314"/>
      <c r="I620" s="314"/>
      <c r="J620" s="314"/>
      <c r="K620" s="315"/>
      <c r="L620" s="736"/>
      <c r="M620" s="318"/>
      <c r="N620" s="315"/>
      <c r="O620" s="314"/>
      <c r="P620" s="314"/>
      <c r="Q620" s="314"/>
      <c r="R620" s="314"/>
      <c r="S620" s="848"/>
      <c r="T620" s="318"/>
      <c r="U620" s="315"/>
      <c r="V620" s="314"/>
      <c r="W620" s="314"/>
      <c r="X620" s="314"/>
      <c r="Y620" s="314"/>
      <c r="Z620" s="314"/>
      <c r="AA620" s="318"/>
      <c r="AB620" s="315"/>
      <c r="AC620" s="314"/>
      <c r="AD620" s="314"/>
      <c r="AE620" s="314"/>
      <c r="AF620" s="314"/>
      <c r="AG620" s="324"/>
      <c r="AH620" s="155"/>
      <c r="AI620" s="155"/>
      <c r="AJ620" s="322"/>
      <c r="AK620" s="132"/>
      <c r="AL620" s="132"/>
    </row>
    <row r="621">
      <c r="A621" s="314"/>
      <c r="B621" s="313"/>
      <c r="C621" s="312"/>
      <c r="D621" s="313"/>
      <c r="E621" s="314"/>
      <c r="F621" s="318"/>
      <c r="G621" s="315"/>
      <c r="H621" s="314"/>
      <c r="I621" s="314"/>
      <c r="J621" s="314"/>
      <c r="K621" s="315"/>
      <c r="L621" s="736"/>
      <c r="M621" s="318"/>
      <c r="N621" s="315"/>
      <c r="O621" s="314"/>
      <c r="P621" s="314"/>
      <c r="Q621" s="314"/>
      <c r="R621" s="314"/>
      <c r="S621" s="848"/>
      <c r="T621" s="318"/>
      <c r="U621" s="315"/>
      <c r="V621" s="314"/>
      <c r="W621" s="314"/>
      <c r="X621" s="314"/>
      <c r="Y621" s="314"/>
      <c r="Z621" s="314"/>
      <c r="AA621" s="318"/>
      <c r="AB621" s="315"/>
      <c r="AC621" s="314"/>
      <c r="AD621" s="314"/>
      <c r="AE621" s="314"/>
      <c r="AF621" s="314"/>
      <c r="AG621" s="324"/>
      <c r="AH621" s="155"/>
      <c r="AI621" s="155"/>
      <c r="AJ621" s="322"/>
      <c r="AK621" s="132"/>
      <c r="AL621" s="132"/>
    </row>
    <row r="622">
      <c r="A622" s="314"/>
      <c r="B622" s="313"/>
      <c r="C622" s="312"/>
      <c r="D622" s="313"/>
      <c r="E622" s="314"/>
      <c r="F622" s="318"/>
      <c r="G622" s="315"/>
      <c r="H622" s="314"/>
      <c r="I622" s="314"/>
      <c r="J622" s="314"/>
      <c r="K622" s="315"/>
      <c r="L622" s="736"/>
      <c r="M622" s="318"/>
      <c r="N622" s="315"/>
      <c r="O622" s="314"/>
      <c r="P622" s="314"/>
      <c r="Q622" s="314"/>
      <c r="R622" s="314"/>
      <c r="S622" s="848"/>
      <c r="T622" s="318"/>
      <c r="U622" s="315"/>
      <c r="V622" s="314"/>
      <c r="W622" s="314"/>
      <c r="X622" s="314"/>
      <c r="Y622" s="314"/>
      <c r="Z622" s="314"/>
      <c r="AA622" s="318"/>
      <c r="AB622" s="315"/>
      <c r="AC622" s="314"/>
      <c r="AD622" s="314"/>
      <c r="AE622" s="314"/>
      <c r="AF622" s="314"/>
      <c r="AG622" s="324"/>
      <c r="AH622" s="155"/>
      <c r="AI622" s="155"/>
      <c r="AJ622" s="322"/>
      <c r="AK622" s="132"/>
      <c r="AL622" s="132"/>
    </row>
    <row r="623">
      <c r="A623" s="314"/>
      <c r="B623" s="313"/>
      <c r="C623" s="312"/>
      <c r="D623" s="313"/>
      <c r="E623" s="314"/>
      <c r="F623" s="318"/>
      <c r="G623" s="315"/>
      <c r="H623" s="314"/>
      <c r="I623" s="314"/>
      <c r="J623" s="314"/>
      <c r="K623" s="315"/>
      <c r="L623" s="736"/>
      <c r="M623" s="318"/>
      <c r="N623" s="315"/>
      <c r="O623" s="314"/>
      <c r="P623" s="314"/>
      <c r="Q623" s="314"/>
      <c r="R623" s="314"/>
      <c r="S623" s="848"/>
      <c r="T623" s="318"/>
      <c r="U623" s="315"/>
      <c r="V623" s="314"/>
      <c r="W623" s="314"/>
      <c r="X623" s="314"/>
      <c r="Y623" s="314"/>
      <c r="Z623" s="314"/>
      <c r="AA623" s="318"/>
      <c r="AB623" s="315"/>
      <c r="AC623" s="314"/>
      <c r="AD623" s="314"/>
      <c r="AE623" s="314"/>
      <c r="AF623" s="314"/>
      <c r="AG623" s="324"/>
      <c r="AH623" s="155"/>
      <c r="AI623" s="155"/>
      <c r="AJ623" s="322"/>
      <c r="AK623" s="132"/>
      <c r="AL623" s="132"/>
    </row>
    <row r="624">
      <c r="A624" s="314"/>
      <c r="B624" s="313"/>
      <c r="C624" s="312"/>
      <c r="D624" s="313"/>
      <c r="E624" s="314"/>
      <c r="F624" s="318"/>
      <c r="G624" s="315"/>
      <c r="H624" s="314"/>
      <c r="I624" s="314"/>
      <c r="J624" s="314"/>
      <c r="K624" s="315"/>
      <c r="L624" s="736"/>
      <c r="M624" s="318"/>
      <c r="N624" s="315"/>
      <c r="O624" s="314"/>
      <c r="P624" s="314"/>
      <c r="Q624" s="314"/>
      <c r="R624" s="314"/>
      <c r="S624" s="848"/>
      <c r="T624" s="318"/>
      <c r="U624" s="315"/>
      <c r="V624" s="314"/>
      <c r="W624" s="314"/>
      <c r="X624" s="314"/>
      <c r="Y624" s="314"/>
      <c r="Z624" s="314"/>
      <c r="AA624" s="318"/>
      <c r="AB624" s="315"/>
      <c r="AC624" s="314"/>
      <c r="AD624" s="314"/>
      <c r="AE624" s="314"/>
      <c r="AF624" s="314"/>
      <c r="AG624" s="324"/>
      <c r="AH624" s="155"/>
      <c r="AI624" s="155"/>
      <c r="AJ624" s="322"/>
      <c r="AK624" s="132"/>
      <c r="AL624" s="132"/>
    </row>
    <row r="625">
      <c r="A625" s="314"/>
      <c r="B625" s="313"/>
      <c r="C625" s="312"/>
      <c r="D625" s="313"/>
      <c r="E625" s="314"/>
      <c r="F625" s="318"/>
      <c r="G625" s="315"/>
      <c r="H625" s="314"/>
      <c r="I625" s="314"/>
      <c r="J625" s="314"/>
      <c r="K625" s="315"/>
      <c r="L625" s="736"/>
      <c r="M625" s="318"/>
      <c r="N625" s="315"/>
      <c r="O625" s="314"/>
      <c r="P625" s="314"/>
      <c r="Q625" s="314"/>
      <c r="R625" s="314"/>
      <c r="S625" s="848"/>
      <c r="T625" s="318"/>
      <c r="U625" s="315"/>
      <c r="V625" s="314"/>
      <c r="W625" s="314"/>
      <c r="X625" s="314"/>
      <c r="Y625" s="314"/>
      <c r="Z625" s="314"/>
      <c r="AA625" s="318"/>
      <c r="AB625" s="315"/>
      <c r="AC625" s="314"/>
      <c r="AD625" s="314"/>
      <c r="AE625" s="314"/>
      <c r="AF625" s="314"/>
      <c r="AG625" s="324"/>
      <c r="AH625" s="155"/>
      <c r="AI625" s="155"/>
      <c r="AJ625" s="322"/>
      <c r="AK625" s="132"/>
      <c r="AL625" s="132"/>
    </row>
    <row r="626">
      <c r="A626" s="314"/>
      <c r="B626" s="313"/>
      <c r="C626" s="312"/>
      <c r="D626" s="313"/>
      <c r="E626" s="314"/>
      <c r="F626" s="318"/>
      <c r="G626" s="315"/>
      <c r="H626" s="314"/>
      <c r="I626" s="314"/>
      <c r="J626" s="314"/>
      <c r="K626" s="315"/>
      <c r="L626" s="736"/>
      <c r="M626" s="318"/>
      <c r="N626" s="315"/>
      <c r="O626" s="314"/>
      <c r="P626" s="314"/>
      <c r="Q626" s="314"/>
      <c r="R626" s="314"/>
      <c r="S626" s="848"/>
      <c r="T626" s="318"/>
      <c r="U626" s="315"/>
      <c r="V626" s="314"/>
      <c r="W626" s="314"/>
      <c r="X626" s="314"/>
      <c r="Y626" s="314"/>
      <c r="Z626" s="314"/>
      <c r="AA626" s="318"/>
      <c r="AB626" s="315"/>
      <c r="AC626" s="314"/>
      <c r="AD626" s="314"/>
      <c r="AE626" s="314"/>
      <c r="AF626" s="314"/>
      <c r="AG626" s="324"/>
      <c r="AH626" s="155"/>
      <c r="AI626" s="155"/>
      <c r="AJ626" s="322"/>
      <c r="AK626" s="132"/>
      <c r="AL626" s="132"/>
    </row>
    <row r="627">
      <c r="A627" s="314"/>
      <c r="B627" s="313"/>
      <c r="C627" s="312"/>
      <c r="D627" s="313"/>
      <c r="E627" s="314"/>
      <c r="F627" s="318"/>
      <c r="G627" s="315"/>
      <c r="H627" s="314"/>
      <c r="I627" s="314"/>
      <c r="J627" s="314"/>
      <c r="K627" s="315"/>
      <c r="L627" s="736"/>
      <c r="M627" s="318"/>
      <c r="N627" s="315"/>
      <c r="O627" s="314"/>
      <c r="P627" s="314"/>
      <c r="Q627" s="314"/>
      <c r="R627" s="314"/>
      <c r="S627" s="848"/>
      <c r="T627" s="318"/>
      <c r="U627" s="315"/>
      <c r="V627" s="314"/>
      <c r="W627" s="314"/>
      <c r="X627" s="314"/>
      <c r="Y627" s="314"/>
      <c r="Z627" s="314"/>
      <c r="AA627" s="318"/>
      <c r="AB627" s="315"/>
      <c r="AC627" s="314"/>
      <c r="AD627" s="314"/>
      <c r="AE627" s="314"/>
      <c r="AF627" s="314"/>
      <c r="AG627" s="324"/>
      <c r="AH627" s="155"/>
      <c r="AI627" s="155"/>
      <c r="AJ627" s="322"/>
      <c r="AK627" s="132"/>
      <c r="AL627" s="132"/>
    </row>
    <row r="628">
      <c r="A628" s="314"/>
      <c r="B628" s="313"/>
      <c r="C628" s="312"/>
      <c r="D628" s="313"/>
      <c r="E628" s="314"/>
      <c r="F628" s="318"/>
      <c r="G628" s="315"/>
      <c r="H628" s="314"/>
      <c r="I628" s="314"/>
      <c r="J628" s="314"/>
      <c r="K628" s="315"/>
      <c r="L628" s="736"/>
      <c r="M628" s="318"/>
      <c r="N628" s="315"/>
      <c r="O628" s="314"/>
      <c r="P628" s="314"/>
      <c r="Q628" s="314"/>
      <c r="R628" s="314"/>
      <c r="S628" s="848"/>
      <c r="T628" s="318"/>
      <c r="U628" s="315"/>
      <c r="V628" s="314"/>
      <c r="W628" s="314"/>
      <c r="X628" s="314"/>
      <c r="Y628" s="314"/>
      <c r="Z628" s="314"/>
      <c r="AA628" s="318"/>
      <c r="AB628" s="315"/>
      <c r="AC628" s="314"/>
      <c r="AD628" s="314"/>
      <c r="AE628" s="314"/>
      <c r="AF628" s="314"/>
      <c r="AG628" s="324"/>
      <c r="AH628" s="155"/>
      <c r="AI628" s="155"/>
      <c r="AJ628" s="322"/>
      <c r="AK628" s="132"/>
      <c r="AL628" s="132"/>
    </row>
    <row r="629">
      <c r="A629" s="314"/>
      <c r="B629" s="313"/>
      <c r="C629" s="312"/>
      <c r="D629" s="313"/>
      <c r="E629" s="314"/>
      <c r="F629" s="318"/>
      <c r="G629" s="315"/>
      <c r="H629" s="314"/>
      <c r="I629" s="314"/>
      <c r="J629" s="314"/>
      <c r="K629" s="315"/>
      <c r="L629" s="736"/>
      <c r="M629" s="318"/>
      <c r="N629" s="315"/>
      <c r="O629" s="314"/>
      <c r="P629" s="314"/>
      <c r="Q629" s="314"/>
      <c r="R629" s="314"/>
      <c r="S629" s="848"/>
      <c r="T629" s="318"/>
      <c r="U629" s="315"/>
      <c r="V629" s="314"/>
      <c r="W629" s="314"/>
      <c r="X629" s="314"/>
      <c r="Y629" s="314"/>
      <c r="Z629" s="314"/>
      <c r="AA629" s="318"/>
      <c r="AB629" s="315"/>
      <c r="AC629" s="314"/>
      <c r="AD629" s="314"/>
      <c r="AE629" s="314"/>
      <c r="AF629" s="314"/>
      <c r="AG629" s="324"/>
      <c r="AH629" s="155"/>
      <c r="AI629" s="155"/>
      <c r="AJ629" s="322"/>
      <c r="AK629" s="132"/>
      <c r="AL629" s="132"/>
    </row>
    <row r="630">
      <c r="A630" s="314"/>
      <c r="B630" s="313"/>
      <c r="C630" s="312"/>
      <c r="D630" s="313"/>
      <c r="E630" s="314"/>
      <c r="F630" s="318"/>
      <c r="G630" s="315"/>
      <c r="H630" s="314"/>
      <c r="I630" s="314"/>
      <c r="J630" s="314"/>
      <c r="K630" s="315"/>
      <c r="L630" s="736"/>
      <c r="M630" s="318"/>
      <c r="N630" s="315"/>
      <c r="O630" s="314"/>
      <c r="P630" s="314"/>
      <c r="Q630" s="314"/>
      <c r="R630" s="314"/>
      <c r="S630" s="848"/>
      <c r="T630" s="318"/>
      <c r="U630" s="315"/>
      <c r="V630" s="314"/>
      <c r="W630" s="314"/>
      <c r="X630" s="314"/>
      <c r="Y630" s="314"/>
      <c r="Z630" s="314"/>
      <c r="AA630" s="318"/>
      <c r="AB630" s="315"/>
      <c r="AC630" s="314"/>
      <c r="AD630" s="314"/>
      <c r="AE630" s="314"/>
      <c r="AF630" s="314"/>
      <c r="AG630" s="324"/>
      <c r="AH630" s="155"/>
      <c r="AI630" s="155"/>
      <c r="AJ630" s="322"/>
      <c r="AK630" s="132"/>
      <c r="AL630" s="132"/>
    </row>
    <row r="631">
      <c r="A631" s="314"/>
      <c r="B631" s="313"/>
      <c r="C631" s="312"/>
      <c r="D631" s="313"/>
      <c r="E631" s="314"/>
      <c r="F631" s="318"/>
      <c r="G631" s="315"/>
      <c r="H631" s="314"/>
      <c r="I631" s="314"/>
      <c r="J631" s="314"/>
      <c r="K631" s="315"/>
      <c r="L631" s="736"/>
      <c r="M631" s="318"/>
      <c r="N631" s="315"/>
      <c r="O631" s="314"/>
      <c r="P631" s="314"/>
      <c r="Q631" s="314"/>
      <c r="R631" s="314"/>
      <c r="S631" s="848"/>
      <c r="T631" s="318"/>
      <c r="U631" s="315"/>
      <c r="V631" s="314"/>
      <c r="W631" s="314"/>
      <c r="X631" s="314"/>
      <c r="Y631" s="314"/>
      <c r="Z631" s="314"/>
      <c r="AA631" s="318"/>
      <c r="AB631" s="315"/>
      <c r="AC631" s="314"/>
      <c r="AD631" s="314"/>
      <c r="AE631" s="314"/>
      <c r="AF631" s="314"/>
      <c r="AG631" s="324"/>
      <c r="AH631" s="155"/>
      <c r="AI631" s="155"/>
      <c r="AJ631" s="322"/>
      <c r="AK631" s="132"/>
      <c r="AL631" s="132"/>
    </row>
    <row r="632">
      <c r="A632" s="314"/>
      <c r="B632" s="313"/>
      <c r="C632" s="312"/>
      <c r="D632" s="313"/>
      <c r="E632" s="314"/>
      <c r="F632" s="318"/>
      <c r="G632" s="315"/>
      <c r="H632" s="314"/>
      <c r="I632" s="314"/>
      <c r="J632" s="314"/>
      <c r="K632" s="315"/>
      <c r="L632" s="736"/>
      <c r="M632" s="318"/>
      <c r="N632" s="315"/>
      <c r="O632" s="314"/>
      <c r="P632" s="314"/>
      <c r="Q632" s="314"/>
      <c r="R632" s="314"/>
      <c r="S632" s="848"/>
      <c r="T632" s="318"/>
      <c r="U632" s="315"/>
      <c r="V632" s="314"/>
      <c r="W632" s="314"/>
      <c r="X632" s="314"/>
      <c r="Y632" s="314"/>
      <c r="Z632" s="314"/>
      <c r="AA632" s="318"/>
      <c r="AB632" s="315"/>
      <c r="AC632" s="314"/>
      <c r="AD632" s="314"/>
      <c r="AE632" s="314"/>
      <c r="AF632" s="314"/>
      <c r="AG632" s="324"/>
      <c r="AH632" s="155"/>
      <c r="AI632" s="155"/>
      <c r="AJ632" s="322"/>
      <c r="AK632" s="132"/>
      <c r="AL632" s="132"/>
    </row>
    <row r="633">
      <c r="A633" s="314"/>
      <c r="B633" s="313"/>
      <c r="C633" s="312"/>
      <c r="D633" s="313"/>
      <c r="E633" s="314"/>
      <c r="F633" s="318"/>
      <c r="G633" s="315"/>
      <c r="H633" s="314"/>
      <c r="I633" s="314"/>
      <c r="J633" s="314"/>
      <c r="K633" s="315"/>
      <c r="L633" s="736"/>
      <c r="M633" s="318"/>
      <c r="N633" s="315"/>
      <c r="O633" s="314"/>
      <c r="P633" s="314"/>
      <c r="Q633" s="314"/>
      <c r="R633" s="314"/>
      <c r="S633" s="848"/>
      <c r="T633" s="318"/>
      <c r="U633" s="315"/>
      <c r="V633" s="314"/>
      <c r="W633" s="314"/>
      <c r="X633" s="314"/>
      <c r="Y633" s="314"/>
      <c r="Z633" s="314"/>
      <c r="AA633" s="318"/>
      <c r="AB633" s="315"/>
      <c r="AC633" s="314"/>
      <c r="AD633" s="314"/>
      <c r="AE633" s="314"/>
      <c r="AF633" s="314"/>
      <c r="AG633" s="324"/>
      <c r="AH633" s="155"/>
      <c r="AI633" s="155"/>
      <c r="AJ633" s="322"/>
      <c r="AK633" s="132"/>
      <c r="AL633" s="132"/>
    </row>
    <row r="634">
      <c r="A634" s="314"/>
      <c r="B634" s="313"/>
      <c r="C634" s="312"/>
      <c r="D634" s="313"/>
      <c r="E634" s="314"/>
      <c r="F634" s="318"/>
      <c r="G634" s="315"/>
      <c r="H634" s="314"/>
      <c r="I634" s="314"/>
      <c r="J634" s="314"/>
      <c r="K634" s="315"/>
      <c r="L634" s="736"/>
      <c r="M634" s="318"/>
      <c r="N634" s="315"/>
      <c r="O634" s="314"/>
      <c r="P634" s="314"/>
      <c r="Q634" s="314"/>
      <c r="R634" s="314"/>
      <c r="S634" s="848"/>
      <c r="T634" s="318"/>
      <c r="U634" s="315"/>
      <c r="V634" s="314"/>
      <c r="W634" s="314"/>
      <c r="X634" s="314"/>
      <c r="Y634" s="314"/>
      <c r="Z634" s="314"/>
      <c r="AA634" s="318"/>
      <c r="AB634" s="315"/>
      <c r="AC634" s="314"/>
      <c r="AD634" s="314"/>
      <c r="AE634" s="314"/>
      <c r="AF634" s="314"/>
      <c r="AG634" s="324"/>
      <c r="AH634" s="155"/>
      <c r="AI634" s="155"/>
      <c r="AJ634" s="322"/>
      <c r="AK634" s="132"/>
      <c r="AL634" s="132"/>
    </row>
    <row r="635">
      <c r="A635" s="314"/>
      <c r="B635" s="313"/>
      <c r="C635" s="312"/>
      <c r="D635" s="313"/>
      <c r="E635" s="314"/>
      <c r="F635" s="318"/>
      <c r="G635" s="315"/>
      <c r="H635" s="314"/>
      <c r="I635" s="314"/>
      <c r="J635" s="314"/>
      <c r="K635" s="315"/>
      <c r="L635" s="736"/>
      <c r="M635" s="318"/>
      <c r="N635" s="315"/>
      <c r="O635" s="314"/>
      <c r="P635" s="314"/>
      <c r="Q635" s="314"/>
      <c r="R635" s="314"/>
      <c r="S635" s="848"/>
      <c r="T635" s="318"/>
      <c r="U635" s="315"/>
      <c r="V635" s="314"/>
      <c r="W635" s="314"/>
      <c r="X635" s="314"/>
      <c r="Y635" s="314"/>
      <c r="Z635" s="314"/>
      <c r="AA635" s="318"/>
      <c r="AB635" s="315"/>
      <c r="AC635" s="314"/>
      <c r="AD635" s="314"/>
      <c r="AE635" s="314"/>
      <c r="AF635" s="314"/>
      <c r="AG635" s="324"/>
      <c r="AH635" s="155"/>
      <c r="AI635" s="155"/>
      <c r="AJ635" s="322"/>
      <c r="AK635" s="132"/>
      <c r="AL635" s="132"/>
    </row>
    <row r="636">
      <c r="A636" s="314"/>
      <c r="B636" s="313"/>
      <c r="C636" s="312"/>
      <c r="D636" s="313"/>
      <c r="E636" s="314"/>
      <c r="F636" s="318"/>
      <c r="G636" s="315"/>
      <c r="H636" s="314"/>
      <c r="I636" s="314"/>
      <c r="J636" s="314"/>
      <c r="K636" s="315"/>
      <c r="L636" s="736"/>
      <c r="M636" s="318"/>
      <c r="N636" s="315"/>
      <c r="O636" s="314"/>
      <c r="P636" s="314"/>
      <c r="Q636" s="314"/>
      <c r="R636" s="314"/>
      <c r="S636" s="848"/>
      <c r="T636" s="318"/>
      <c r="U636" s="315"/>
      <c r="V636" s="314"/>
      <c r="W636" s="314"/>
      <c r="X636" s="314"/>
      <c r="Y636" s="314"/>
      <c r="Z636" s="314"/>
      <c r="AA636" s="318"/>
      <c r="AB636" s="315"/>
      <c r="AC636" s="314"/>
      <c r="AD636" s="314"/>
      <c r="AE636" s="314"/>
      <c r="AF636" s="314"/>
      <c r="AG636" s="324"/>
      <c r="AH636" s="155"/>
      <c r="AI636" s="155"/>
      <c r="AJ636" s="322"/>
      <c r="AK636" s="132"/>
      <c r="AL636" s="132"/>
    </row>
    <row r="637">
      <c r="A637" s="314"/>
      <c r="B637" s="313"/>
      <c r="C637" s="312"/>
      <c r="D637" s="313"/>
      <c r="E637" s="314"/>
      <c r="F637" s="318"/>
      <c r="G637" s="315"/>
      <c r="H637" s="314"/>
      <c r="I637" s="314"/>
      <c r="J637" s="314"/>
      <c r="K637" s="315"/>
      <c r="L637" s="736"/>
      <c r="M637" s="318"/>
      <c r="N637" s="315"/>
      <c r="O637" s="314"/>
      <c r="P637" s="314"/>
      <c r="Q637" s="314"/>
      <c r="R637" s="314"/>
      <c r="S637" s="848"/>
      <c r="T637" s="318"/>
      <c r="U637" s="315"/>
      <c r="V637" s="314"/>
      <c r="W637" s="314"/>
      <c r="X637" s="314"/>
      <c r="Y637" s="314"/>
      <c r="Z637" s="314"/>
      <c r="AA637" s="318"/>
      <c r="AB637" s="315"/>
      <c r="AC637" s="314"/>
      <c r="AD637" s="314"/>
      <c r="AE637" s="314"/>
      <c r="AF637" s="314"/>
      <c r="AG637" s="324"/>
      <c r="AH637" s="155"/>
      <c r="AI637" s="155"/>
      <c r="AJ637" s="322"/>
      <c r="AK637" s="132"/>
      <c r="AL637" s="132"/>
    </row>
    <row r="638">
      <c r="A638" s="314"/>
      <c r="B638" s="313"/>
      <c r="C638" s="312"/>
      <c r="D638" s="313"/>
      <c r="E638" s="314"/>
      <c r="F638" s="318"/>
      <c r="G638" s="315"/>
      <c r="H638" s="314"/>
      <c r="I638" s="314"/>
      <c r="J638" s="314"/>
      <c r="K638" s="315"/>
      <c r="L638" s="736"/>
      <c r="M638" s="318"/>
      <c r="N638" s="315"/>
      <c r="O638" s="314"/>
      <c r="P638" s="314"/>
      <c r="Q638" s="314"/>
      <c r="R638" s="314"/>
      <c r="S638" s="848"/>
      <c r="T638" s="318"/>
      <c r="U638" s="315"/>
      <c r="V638" s="314"/>
      <c r="W638" s="314"/>
      <c r="X638" s="314"/>
      <c r="Y638" s="314"/>
      <c r="Z638" s="314"/>
      <c r="AA638" s="318"/>
      <c r="AB638" s="315"/>
      <c r="AC638" s="314"/>
      <c r="AD638" s="314"/>
      <c r="AE638" s="314"/>
      <c r="AF638" s="314"/>
      <c r="AG638" s="324"/>
      <c r="AH638" s="155"/>
      <c r="AI638" s="155"/>
      <c r="AJ638" s="322"/>
      <c r="AK638" s="132"/>
      <c r="AL638" s="132"/>
    </row>
    <row r="639">
      <c r="A639" s="314"/>
      <c r="B639" s="313"/>
      <c r="C639" s="312"/>
      <c r="D639" s="313"/>
      <c r="E639" s="314"/>
      <c r="F639" s="318"/>
      <c r="G639" s="315"/>
      <c r="H639" s="314"/>
      <c r="I639" s="314"/>
      <c r="J639" s="314"/>
      <c r="K639" s="315"/>
      <c r="L639" s="736"/>
      <c r="M639" s="318"/>
      <c r="N639" s="315"/>
      <c r="O639" s="314"/>
      <c r="P639" s="314"/>
      <c r="Q639" s="314"/>
      <c r="R639" s="314"/>
      <c r="S639" s="848"/>
      <c r="T639" s="318"/>
      <c r="U639" s="315"/>
      <c r="V639" s="314"/>
      <c r="W639" s="314"/>
      <c r="X639" s="314"/>
      <c r="Y639" s="314"/>
      <c r="Z639" s="314"/>
      <c r="AA639" s="318"/>
      <c r="AB639" s="315"/>
      <c r="AC639" s="314"/>
      <c r="AD639" s="314"/>
      <c r="AE639" s="314"/>
      <c r="AF639" s="314"/>
      <c r="AG639" s="324"/>
      <c r="AH639" s="155"/>
      <c r="AI639" s="155"/>
      <c r="AJ639" s="322"/>
      <c r="AK639" s="132"/>
      <c r="AL639" s="132"/>
    </row>
    <row r="640">
      <c r="A640" s="314"/>
      <c r="B640" s="313"/>
      <c r="C640" s="312"/>
      <c r="D640" s="313"/>
      <c r="E640" s="314"/>
      <c r="F640" s="318"/>
      <c r="G640" s="315"/>
      <c r="H640" s="314"/>
      <c r="I640" s="314"/>
      <c r="J640" s="314"/>
      <c r="K640" s="315"/>
      <c r="L640" s="736"/>
      <c r="M640" s="318"/>
      <c r="N640" s="315"/>
      <c r="O640" s="314"/>
      <c r="P640" s="314"/>
      <c r="Q640" s="314"/>
      <c r="R640" s="314"/>
      <c r="S640" s="848"/>
      <c r="T640" s="318"/>
      <c r="U640" s="315"/>
      <c r="V640" s="314"/>
      <c r="W640" s="314"/>
      <c r="X640" s="314"/>
      <c r="Y640" s="314"/>
      <c r="Z640" s="314"/>
      <c r="AA640" s="318"/>
      <c r="AB640" s="315"/>
      <c r="AC640" s="314"/>
      <c r="AD640" s="314"/>
      <c r="AE640" s="314"/>
      <c r="AF640" s="314"/>
      <c r="AG640" s="324"/>
      <c r="AH640" s="155"/>
      <c r="AI640" s="155"/>
      <c r="AJ640" s="322"/>
      <c r="AK640" s="132"/>
      <c r="AL640" s="132"/>
    </row>
    <row r="641">
      <c r="A641" s="314"/>
      <c r="B641" s="313"/>
      <c r="C641" s="312"/>
      <c r="D641" s="313"/>
      <c r="E641" s="314"/>
      <c r="F641" s="318"/>
      <c r="G641" s="315"/>
      <c r="H641" s="314"/>
      <c r="I641" s="314"/>
      <c r="J641" s="314"/>
      <c r="K641" s="315"/>
      <c r="L641" s="736"/>
      <c r="M641" s="318"/>
      <c r="N641" s="315"/>
      <c r="O641" s="314"/>
      <c r="P641" s="314"/>
      <c r="Q641" s="314"/>
      <c r="R641" s="314"/>
      <c r="S641" s="848"/>
      <c r="T641" s="318"/>
      <c r="U641" s="315"/>
      <c r="V641" s="314"/>
      <c r="W641" s="314"/>
      <c r="X641" s="314"/>
      <c r="Y641" s="314"/>
      <c r="Z641" s="314"/>
      <c r="AA641" s="318"/>
      <c r="AB641" s="315"/>
      <c r="AC641" s="314"/>
      <c r="AD641" s="314"/>
      <c r="AE641" s="314"/>
      <c r="AF641" s="314"/>
      <c r="AG641" s="324"/>
      <c r="AH641" s="155"/>
      <c r="AI641" s="155"/>
      <c r="AJ641" s="322"/>
      <c r="AK641" s="132"/>
      <c r="AL641" s="132"/>
    </row>
    <row r="642">
      <c r="A642" s="314"/>
      <c r="B642" s="313"/>
      <c r="C642" s="312"/>
      <c r="D642" s="313"/>
      <c r="E642" s="314"/>
      <c r="F642" s="318"/>
      <c r="G642" s="315"/>
      <c r="H642" s="314"/>
      <c r="I642" s="314"/>
      <c r="J642" s="314"/>
      <c r="K642" s="315"/>
      <c r="L642" s="736"/>
      <c r="M642" s="318"/>
      <c r="N642" s="315"/>
      <c r="O642" s="314"/>
      <c r="P642" s="314"/>
      <c r="Q642" s="314"/>
      <c r="R642" s="314"/>
      <c r="S642" s="848"/>
      <c r="T642" s="318"/>
      <c r="U642" s="315"/>
      <c r="V642" s="314"/>
      <c r="W642" s="314"/>
      <c r="X642" s="314"/>
      <c r="Y642" s="314"/>
      <c r="Z642" s="314"/>
      <c r="AA642" s="318"/>
      <c r="AB642" s="315"/>
      <c r="AC642" s="314"/>
      <c r="AD642" s="314"/>
      <c r="AE642" s="314"/>
      <c r="AF642" s="314"/>
      <c r="AG642" s="324"/>
      <c r="AH642" s="155"/>
      <c r="AI642" s="155"/>
      <c r="AJ642" s="322"/>
      <c r="AK642" s="132"/>
      <c r="AL642" s="132"/>
    </row>
    <row r="643">
      <c r="A643" s="314"/>
      <c r="B643" s="313"/>
      <c r="C643" s="312"/>
      <c r="D643" s="313"/>
      <c r="E643" s="314"/>
      <c r="F643" s="318"/>
      <c r="G643" s="315"/>
      <c r="H643" s="314"/>
      <c r="I643" s="314"/>
      <c r="J643" s="314"/>
      <c r="K643" s="315"/>
      <c r="L643" s="736"/>
      <c r="M643" s="318"/>
      <c r="N643" s="315"/>
      <c r="O643" s="314"/>
      <c r="P643" s="314"/>
      <c r="Q643" s="314"/>
      <c r="R643" s="314"/>
      <c r="S643" s="848"/>
      <c r="T643" s="318"/>
      <c r="U643" s="315"/>
      <c r="V643" s="314"/>
      <c r="W643" s="314"/>
      <c r="X643" s="314"/>
      <c r="Y643" s="314"/>
      <c r="Z643" s="314"/>
      <c r="AA643" s="318"/>
      <c r="AB643" s="315"/>
      <c r="AC643" s="314"/>
      <c r="AD643" s="314"/>
      <c r="AE643" s="314"/>
      <c r="AF643" s="314"/>
      <c r="AG643" s="324"/>
      <c r="AH643" s="155"/>
      <c r="AI643" s="155"/>
      <c r="AJ643" s="322"/>
      <c r="AK643" s="132"/>
      <c r="AL643" s="132"/>
    </row>
    <row r="644">
      <c r="A644" s="314"/>
      <c r="B644" s="313"/>
      <c r="C644" s="312"/>
      <c r="D644" s="313"/>
      <c r="E644" s="314"/>
      <c r="F644" s="318"/>
      <c r="G644" s="315"/>
      <c r="H644" s="314"/>
      <c r="I644" s="314"/>
      <c r="J644" s="314"/>
      <c r="K644" s="315"/>
      <c r="L644" s="736"/>
      <c r="M644" s="318"/>
      <c r="N644" s="315"/>
      <c r="O644" s="314"/>
      <c r="P644" s="314"/>
      <c r="Q644" s="314"/>
      <c r="R644" s="314"/>
      <c r="S644" s="848"/>
      <c r="T644" s="318"/>
      <c r="U644" s="315"/>
      <c r="V644" s="314"/>
      <c r="W644" s="314"/>
      <c r="X644" s="314"/>
      <c r="Y644" s="314"/>
      <c r="Z644" s="314"/>
      <c r="AA644" s="318"/>
      <c r="AB644" s="315"/>
      <c r="AC644" s="314"/>
      <c r="AD644" s="314"/>
      <c r="AE644" s="314"/>
      <c r="AF644" s="314"/>
      <c r="AG644" s="324"/>
      <c r="AH644" s="155"/>
      <c r="AI644" s="155"/>
      <c r="AJ644" s="322"/>
      <c r="AK644" s="132"/>
      <c r="AL644" s="132"/>
    </row>
    <row r="645">
      <c r="A645" s="314"/>
      <c r="B645" s="313"/>
      <c r="C645" s="312"/>
      <c r="D645" s="313"/>
      <c r="E645" s="314"/>
      <c r="F645" s="318"/>
      <c r="G645" s="315"/>
      <c r="H645" s="314"/>
      <c r="I645" s="314"/>
      <c r="J645" s="314"/>
      <c r="K645" s="315"/>
      <c r="L645" s="736"/>
      <c r="M645" s="318"/>
      <c r="N645" s="315"/>
      <c r="O645" s="314"/>
      <c r="P645" s="314"/>
      <c r="Q645" s="314"/>
      <c r="R645" s="314"/>
      <c r="S645" s="848"/>
      <c r="T645" s="318"/>
      <c r="U645" s="315"/>
      <c r="V645" s="314"/>
      <c r="W645" s="314"/>
      <c r="X645" s="314"/>
      <c r="Y645" s="314"/>
      <c r="Z645" s="314"/>
      <c r="AA645" s="318"/>
      <c r="AB645" s="315"/>
      <c r="AC645" s="314"/>
      <c r="AD645" s="314"/>
      <c r="AE645" s="314"/>
      <c r="AF645" s="314"/>
      <c r="AG645" s="324"/>
      <c r="AH645" s="155"/>
      <c r="AI645" s="155"/>
      <c r="AJ645" s="322"/>
      <c r="AK645" s="132"/>
      <c r="AL645" s="132"/>
    </row>
    <row r="646">
      <c r="A646" s="314"/>
      <c r="B646" s="313"/>
      <c r="C646" s="312"/>
      <c r="D646" s="313"/>
      <c r="E646" s="314"/>
      <c r="F646" s="318"/>
      <c r="G646" s="315"/>
      <c r="H646" s="314"/>
      <c r="I646" s="314"/>
      <c r="J646" s="314"/>
      <c r="K646" s="315"/>
      <c r="L646" s="736"/>
      <c r="M646" s="318"/>
      <c r="N646" s="315"/>
      <c r="O646" s="314"/>
      <c r="P646" s="314"/>
      <c r="Q646" s="314"/>
      <c r="R646" s="314"/>
      <c r="S646" s="848"/>
      <c r="T646" s="318"/>
      <c r="U646" s="315"/>
      <c r="V646" s="314"/>
      <c r="W646" s="314"/>
      <c r="X646" s="314"/>
      <c r="Y646" s="314"/>
      <c r="Z646" s="314"/>
      <c r="AA646" s="318"/>
      <c r="AB646" s="315"/>
      <c r="AC646" s="314"/>
      <c r="AD646" s="314"/>
      <c r="AE646" s="314"/>
      <c r="AF646" s="314"/>
      <c r="AG646" s="324"/>
      <c r="AH646" s="155"/>
      <c r="AI646" s="155"/>
      <c r="AJ646" s="322"/>
      <c r="AK646" s="132"/>
      <c r="AL646" s="132"/>
    </row>
    <row r="647">
      <c r="A647" s="314"/>
      <c r="B647" s="313"/>
      <c r="C647" s="312"/>
      <c r="D647" s="313"/>
      <c r="E647" s="314"/>
      <c r="F647" s="318"/>
      <c r="G647" s="315"/>
      <c r="H647" s="314"/>
      <c r="I647" s="314"/>
      <c r="J647" s="314"/>
      <c r="K647" s="315"/>
      <c r="L647" s="736"/>
      <c r="M647" s="318"/>
      <c r="N647" s="315"/>
      <c r="O647" s="314"/>
      <c r="P647" s="314"/>
      <c r="Q647" s="314"/>
      <c r="R647" s="314"/>
      <c r="S647" s="848"/>
      <c r="T647" s="318"/>
      <c r="U647" s="315"/>
      <c r="V647" s="314"/>
      <c r="W647" s="314"/>
      <c r="X647" s="314"/>
      <c r="Y647" s="314"/>
      <c r="Z647" s="314"/>
      <c r="AA647" s="318"/>
      <c r="AB647" s="315"/>
      <c r="AC647" s="314"/>
      <c r="AD647" s="314"/>
      <c r="AE647" s="314"/>
      <c r="AF647" s="314"/>
      <c r="AG647" s="324"/>
      <c r="AH647" s="155"/>
      <c r="AI647" s="155"/>
      <c r="AJ647" s="322"/>
      <c r="AK647" s="132"/>
      <c r="AL647" s="132"/>
    </row>
    <row r="648">
      <c r="A648" s="314"/>
      <c r="B648" s="313"/>
      <c r="C648" s="312"/>
      <c r="D648" s="313"/>
      <c r="E648" s="314"/>
      <c r="F648" s="318"/>
      <c r="G648" s="315"/>
      <c r="H648" s="314"/>
      <c r="I648" s="314"/>
      <c r="J648" s="314"/>
      <c r="K648" s="315"/>
      <c r="L648" s="736"/>
      <c r="M648" s="318"/>
      <c r="N648" s="315"/>
      <c r="O648" s="314"/>
      <c r="P648" s="314"/>
      <c r="Q648" s="314"/>
      <c r="R648" s="314"/>
      <c r="S648" s="848"/>
      <c r="T648" s="318"/>
      <c r="U648" s="315"/>
      <c r="V648" s="314"/>
      <c r="W648" s="314"/>
      <c r="X648" s="314"/>
      <c r="Y648" s="314"/>
      <c r="Z648" s="314"/>
      <c r="AA648" s="318"/>
      <c r="AB648" s="315"/>
      <c r="AC648" s="314"/>
      <c r="AD648" s="314"/>
      <c r="AE648" s="314"/>
      <c r="AF648" s="314"/>
      <c r="AG648" s="324"/>
      <c r="AH648" s="155"/>
      <c r="AI648" s="155"/>
      <c r="AJ648" s="322"/>
      <c r="AK648" s="132"/>
      <c r="AL648" s="132"/>
    </row>
    <row r="649">
      <c r="A649" s="314"/>
      <c r="B649" s="313"/>
      <c r="C649" s="312"/>
      <c r="D649" s="313"/>
      <c r="E649" s="314"/>
      <c r="F649" s="318"/>
      <c r="G649" s="315"/>
      <c r="H649" s="314"/>
      <c r="I649" s="314"/>
      <c r="J649" s="314"/>
      <c r="K649" s="315"/>
      <c r="L649" s="736"/>
      <c r="M649" s="318"/>
      <c r="N649" s="315"/>
      <c r="O649" s="314"/>
      <c r="P649" s="314"/>
      <c r="Q649" s="314"/>
      <c r="R649" s="314"/>
      <c r="S649" s="848"/>
      <c r="T649" s="318"/>
      <c r="U649" s="315"/>
      <c r="V649" s="314"/>
      <c r="W649" s="314"/>
      <c r="X649" s="314"/>
      <c r="Y649" s="314"/>
      <c r="Z649" s="314"/>
      <c r="AA649" s="318"/>
      <c r="AB649" s="315"/>
      <c r="AC649" s="314"/>
      <c r="AD649" s="314"/>
      <c r="AE649" s="314"/>
      <c r="AF649" s="314"/>
      <c r="AG649" s="324"/>
      <c r="AH649" s="155"/>
      <c r="AI649" s="155"/>
      <c r="AJ649" s="322"/>
      <c r="AK649" s="132"/>
      <c r="AL649" s="132"/>
    </row>
    <row r="650">
      <c r="A650" s="314"/>
      <c r="B650" s="313"/>
      <c r="C650" s="312"/>
      <c r="D650" s="313"/>
      <c r="E650" s="314"/>
      <c r="F650" s="318"/>
      <c r="G650" s="315"/>
      <c r="H650" s="314"/>
      <c r="I650" s="314"/>
      <c r="J650" s="314"/>
      <c r="K650" s="315"/>
      <c r="L650" s="736"/>
      <c r="M650" s="318"/>
      <c r="N650" s="315"/>
      <c r="O650" s="314"/>
      <c r="P650" s="314"/>
      <c r="Q650" s="314"/>
      <c r="R650" s="314"/>
      <c r="S650" s="848"/>
      <c r="T650" s="318"/>
      <c r="U650" s="315"/>
      <c r="V650" s="314"/>
      <c r="W650" s="314"/>
      <c r="X650" s="314"/>
      <c r="Y650" s="314"/>
      <c r="Z650" s="314"/>
      <c r="AA650" s="318"/>
      <c r="AB650" s="315"/>
      <c r="AC650" s="314"/>
      <c r="AD650" s="314"/>
      <c r="AE650" s="314"/>
      <c r="AF650" s="314"/>
      <c r="AG650" s="324"/>
      <c r="AH650" s="155"/>
      <c r="AI650" s="155"/>
      <c r="AJ650" s="322"/>
      <c r="AK650" s="132"/>
      <c r="AL650" s="132"/>
    </row>
    <row r="651">
      <c r="A651" s="314"/>
      <c r="B651" s="313"/>
      <c r="C651" s="312"/>
      <c r="D651" s="313"/>
      <c r="E651" s="314"/>
      <c r="F651" s="318"/>
      <c r="G651" s="315"/>
      <c r="H651" s="314"/>
      <c r="I651" s="314"/>
      <c r="J651" s="314"/>
      <c r="K651" s="315"/>
      <c r="L651" s="736"/>
      <c r="M651" s="318"/>
      <c r="N651" s="315"/>
      <c r="O651" s="314"/>
      <c r="P651" s="314"/>
      <c r="Q651" s="314"/>
      <c r="R651" s="314"/>
      <c r="S651" s="848"/>
      <c r="T651" s="318"/>
      <c r="U651" s="315"/>
      <c r="V651" s="314"/>
      <c r="W651" s="314"/>
      <c r="X651" s="314"/>
      <c r="Y651" s="314"/>
      <c r="Z651" s="314"/>
      <c r="AA651" s="318"/>
      <c r="AB651" s="315"/>
      <c r="AC651" s="314"/>
      <c r="AD651" s="314"/>
      <c r="AE651" s="314"/>
      <c r="AF651" s="314"/>
      <c r="AG651" s="324"/>
      <c r="AH651" s="155"/>
      <c r="AI651" s="155"/>
      <c r="AJ651" s="322"/>
      <c r="AK651" s="132"/>
      <c r="AL651" s="132"/>
    </row>
    <row r="652">
      <c r="A652" s="314"/>
      <c r="B652" s="313"/>
      <c r="C652" s="312"/>
      <c r="D652" s="313"/>
      <c r="E652" s="314"/>
      <c r="F652" s="318"/>
      <c r="G652" s="315"/>
      <c r="H652" s="314"/>
      <c r="I652" s="314"/>
      <c r="J652" s="314"/>
      <c r="K652" s="315"/>
      <c r="L652" s="736"/>
      <c r="M652" s="318"/>
      <c r="N652" s="315"/>
      <c r="O652" s="314"/>
      <c r="P652" s="314"/>
      <c r="Q652" s="314"/>
      <c r="R652" s="314"/>
      <c r="S652" s="848"/>
      <c r="T652" s="318"/>
      <c r="U652" s="315"/>
      <c r="V652" s="314"/>
      <c r="W652" s="314"/>
      <c r="X652" s="314"/>
      <c r="Y652" s="314"/>
      <c r="Z652" s="314"/>
      <c r="AA652" s="318"/>
      <c r="AB652" s="315"/>
      <c r="AC652" s="314"/>
      <c r="AD652" s="314"/>
      <c r="AE652" s="314"/>
      <c r="AF652" s="314"/>
      <c r="AG652" s="324"/>
      <c r="AH652" s="155"/>
      <c r="AI652" s="155"/>
      <c r="AJ652" s="322"/>
      <c r="AK652" s="132"/>
      <c r="AL652" s="132"/>
    </row>
    <row r="653">
      <c r="A653" s="314"/>
      <c r="B653" s="313"/>
      <c r="C653" s="312"/>
      <c r="D653" s="313"/>
      <c r="E653" s="314"/>
      <c r="F653" s="318"/>
      <c r="G653" s="315"/>
      <c r="H653" s="314"/>
      <c r="I653" s="314"/>
      <c r="J653" s="314"/>
      <c r="K653" s="315"/>
      <c r="L653" s="736"/>
      <c r="M653" s="318"/>
      <c r="N653" s="315"/>
      <c r="O653" s="314"/>
      <c r="P653" s="314"/>
      <c r="Q653" s="314"/>
      <c r="R653" s="314"/>
      <c r="S653" s="848"/>
      <c r="T653" s="318"/>
      <c r="U653" s="315"/>
      <c r="V653" s="314"/>
      <c r="W653" s="314"/>
      <c r="X653" s="314"/>
      <c r="Y653" s="314"/>
      <c r="Z653" s="314"/>
      <c r="AA653" s="318"/>
      <c r="AB653" s="315"/>
      <c r="AC653" s="314"/>
      <c r="AD653" s="314"/>
      <c r="AE653" s="314"/>
      <c r="AF653" s="314"/>
      <c r="AG653" s="324"/>
      <c r="AH653" s="155"/>
      <c r="AI653" s="155"/>
      <c r="AJ653" s="322"/>
      <c r="AK653" s="132"/>
      <c r="AL653" s="132"/>
    </row>
    <row r="654">
      <c r="A654" s="314"/>
      <c r="B654" s="313"/>
      <c r="C654" s="312"/>
      <c r="D654" s="313"/>
      <c r="E654" s="314"/>
      <c r="F654" s="318"/>
      <c r="G654" s="315"/>
      <c r="H654" s="314"/>
      <c r="I654" s="314"/>
      <c r="J654" s="314"/>
      <c r="K654" s="315"/>
      <c r="L654" s="736"/>
      <c r="M654" s="318"/>
      <c r="N654" s="315"/>
      <c r="O654" s="314"/>
      <c r="P654" s="314"/>
      <c r="Q654" s="314"/>
      <c r="R654" s="314"/>
      <c r="S654" s="848"/>
      <c r="T654" s="318"/>
      <c r="U654" s="315"/>
      <c r="V654" s="314"/>
      <c r="W654" s="314"/>
      <c r="X654" s="314"/>
      <c r="Y654" s="314"/>
      <c r="Z654" s="314"/>
      <c r="AA654" s="318"/>
      <c r="AB654" s="315"/>
      <c r="AC654" s="314"/>
      <c r="AD654" s="314"/>
      <c r="AE654" s="314"/>
      <c r="AF654" s="314"/>
      <c r="AG654" s="324"/>
      <c r="AH654" s="155"/>
      <c r="AI654" s="155"/>
      <c r="AJ654" s="322"/>
      <c r="AK654" s="132"/>
      <c r="AL654" s="132"/>
    </row>
    <row r="655">
      <c r="A655" s="314"/>
      <c r="B655" s="313"/>
      <c r="C655" s="312"/>
      <c r="D655" s="313"/>
      <c r="E655" s="314"/>
      <c r="F655" s="318"/>
      <c r="G655" s="315"/>
      <c r="H655" s="314"/>
      <c r="I655" s="314"/>
      <c r="J655" s="314"/>
      <c r="K655" s="315"/>
      <c r="L655" s="736"/>
      <c r="M655" s="318"/>
      <c r="N655" s="315"/>
      <c r="O655" s="314"/>
      <c r="P655" s="314"/>
      <c r="Q655" s="314"/>
      <c r="R655" s="314"/>
      <c r="S655" s="848"/>
      <c r="T655" s="318"/>
      <c r="U655" s="315"/>
      <c r="V655" s="314"/>
      <c r="W655" s="314"/>
      <c r="X655" s="314"/>
      <c r="Y655" s="314"/>
      <c r="Z655" s="314"/>
      <c r="AA655" s="318"/>
      <c r="AB655" s="315"/>
      <c r="AC655" s="314"/>
      <c r="AD655" s="314"/>
      <c r="AE655" s="314"/>
      <c r="AF655" s="314"/>
      <c r="AG655" s="324"/>
      <c r="AH655" s="155"/>
      <c r="AI655" s="155"/>
      <c r="AJ655" s="322"/>
      <c r="AK655" s="132"/>
      <c r="AL655" s="132"/>
    </row>
    <row r="656">
      <c r="A656" s="314"/>
      <c r="B656" s="313"/>
      <c r="C656" s="312"/>
      <c r="D656" s="313"/>
      <c r="E656" s="314"/>
      <c r="F656" s="318"/>
      <c r="G656" s="315"/>
      <c r="H656" s="314"/>
      <c r="I656" s="314"/>
      <c r="J656" s="314"/>
      <c r="K656" s="315"/>
      <c r="L656" s="736"/>
      <c r="M656" s="318"/>
      <c r="N656" s="315"/>
      <c r="O656" s="314"/>
      <c r="P656" s="314"/>
      <c r="Q656" s="314"/>
      <c r="R656" s="314"/>
      <c r="S656" s="848"/>
      <c r="T656" s="318"/>
      <c r="U656" s="315"/>
      <c r="V656" s="314"/>
      <c r="W656" s="314"/>
      <c r="X656" s="314"/>
      <c r="Y656" s="314"/>
      <c r="Z656" s="314"/>
      <c r="AA656" s="318"/>
      <c r="AB656" s="315"/>
      <c r="AC656" s="314"/>
      <c r="AD656" s="314"/>
      <c r="AE656" s="314"/>
      <c r="AF656" s="314"/>
      <c r="AG656" s="324"/>
      <c r="AH656" s="155"/>
      <c r="AI656" s="155"/>
      <c r="AJ656" s="322"/>
      <c r="AK656" s="132"/>
      <c r="AL656" s="132"/>
    </row>
    <row r="657">
      <c r="A657" s="314"/>
      <c r="B657" s="313"/>
      <c r="C657" s="312"/>
      <c r="D657" s="313"/>
      <c r="E657" s="314"/>
      <c r="F657" s="318"/>
      <c r="G657" s="315"/>
      <c r="H657" s="314"/>
      <c r="I657" s="314"/>
      <c r="J657" s="314"/>
      <c r="K657" s="315"/>
      <c r="L657" s="736"/>
      <c r="M657" s="318"/>
      <c r="N657" s="315"/>
      <c r="O657" s="314"/>
      <c r="P657" s="314"/>
      <c r="Q657" s="314"/>
      <c r="R657" s="314"/>
      <c r="S657" s="848"/>
      <c r="T657" s="318"/>
      <c r="U657" s="315"/>
      <c r="V657" s="314"/>
      <c r="W657" s="314"/>
      <c r="X657" s="314"/>
      <c r="Y657" s="314"/>
      <c r="Z657" s="314"/>
      <c r="AA657" s="318"/>
      <c r="AB657" s="315"/>
      <c r="AC657" s="314"/>
      <c r="AD657" s="314"/>
      <c r="AE657" s="314"/>
      <c r="AF657" s="314"/>
      <c r="AG657" s="324"/>
      <c r="AH657" s="155"/>
      <c r="AI657" s="155"/>
      <c r="AJ657" s="322"/>
      <c r="AK657" s="132"/>
      <c r="AL657" s="132"/>
    </row>
    <row r="658">
      <c r="A658" s="314"/>
      <c r="B658" s="313"/>
      <c r="C658" s="312"/>
      <c r="D658" s="313"/>
      <c r="E658" s="314"/>
      <c r="F658" s="318"/>
      <c r="G658" s="315"/>
      <c r="H658" s="314"/>
      <c r="I658" s="314"/>
      <c r="J658" s="314"/>
      <c r="K658" s="315"/>
      <c r="L658" s="736"/>
      <c r="M658" s="318"/>
      <c r="N658" s="315"/>
      <c r="O658" s="314"/>
      <c r="P658" s="314"/>
      <c r="Q658" s="314"/>
      <c r="R658" s="314"/>
      <c r="S658" s="848"/>
      <c r="T658" s="318"/>
      <c r="U658" s="315"/>
      <c r="V658" s="314"/>
      <c r="W658" s="314"/>
      <c r="X658" s="314"/>
      <c r="Y658" s="314"/>
      <c r="Z658" s="314"/>
      <c r="AA658" s="318"/>
      <c r="AB658" s="315"/>
      <c r="AC658" s="314"/>
      <c r="AD658" s="314"/>
      <c r="AE658" s="314"/>
      <c r="AF658" s="314"/>
      <c r="AG658" s="324"/>
      <c r="AH658" s="155"/>
      <c r="AI658" s="155"/>
      <c r="AJ658" s="322"/>
      <c r="AK658" s="132"/>
      <c r="AL658" s="132"/>
    </row>
    <row r="659">
      <c r="A659" s="314"/>
      <c r="B659" s="313"/>
      <c r="C659" s="312"/>
      <c r="D659" s="313"/>
      <c r="E659" s="314"/>
      <c r="F659" s="318"/>
      <c r="G659" s="315"/>
      <c r="H659" s="314"/>
      <c r="I659" s="314"/>
      <c r="J659" s="314"/>
      <c r="K659" s="315"/>
      <c r="L659" s="736"/>
      <c r="M659" s="318"/>
      <c r="N659" s="315"/>
      <c r="O659" s="314"/>
      <c r="P659" s="314"/>
      <c r="Q659" s="314"/>
      <c r="R659" s="314"/>
      <c r="S659" s="848"/>
      <c r="T659" s="318"/>
      <c r="U659" s="315"/>
      <c r="V659" s="314"/>
      <c r="W659" s="314"/>
      <c r="X659" s="314"/>
      <c r="Y659" s="314"/>
      <c r="Z659" s="314"/>
      <c r="AA659" s="318"/>
      <c r="AB659" s="315"/>
      <c r="AC659" s="314"/>
      <c r="AD659" s="314"/>
      <c r="AE659" s="314"/>
      <c r="AF659" s="314"/>
      <c r="AG659" s="324"/>
      <c r="AH659" s="155"/>
      <c r="AI659" s="155"/>
      <c r="AJ659" s="322"/>
      <c r="AK659" s="132"/>
      <c r="AL659" s="132"/>
    </row>
    <row r="660">
      <c r="A660" s="314"/>
      <c r="B660" s="313"/>
      <c r="C660" s="312"/>
      <c r="D660" s="313"/>
      <c r="E660" s="314"/>
      <c r="F660" s="318"/>
      <c r="G660" s="315"/>
      <c r="H660" s="314"/>
      <c r="I660" s="314"/>
      <c r="J660" s="314"/>
      <c r="K660" s="315"/>
      <c r="L660" s="736"/>
      <c r="M660" s="318"/>
      <c r="N660" s="315"/>
      <c r="O660" s="314"/>
      <c r="P660" s="314"/>
      <c r="Q660" s="314"/>
      <c r="R660" s="314"/>
      <c r="S660" s="848"/>
      <c r="T660" s="318"/>
      <c r="U660" s="315"/>
      <c r="V660" s="314"/>
      <c r="W660" s="314"/>
      <c r="X660" s="314"/>
      <c r="Y660" s="314"/>
      <c r="Z660" s="314"/>
      <c r="AA660" s="318"/>
      <c r="AB660" s="315"/>
      <c r="AC660" s="314"/>
      <c r="AD660" s="314"/>
      <c r="AE660" s="314"/>
      <c r="AF660" s="314"/>
      <c r="AG660" s="324"/>
      <c r="AH660" s="155"/>
      <c r="AI660" s="155"/>
      <c r="AJ660" s="322"/>
      <c r="AK660" s="132"/>
      <c r="AL660" s="132"/>
    </row>
    <row r="661">
      <c r="A661" s="314"/>
      <c r="B661" s="313"/>
      <c r="C661" s="312"/>
      <c r="D661" s="313"/>
      <c r="E661" s="314"/>
      <c r="F661" s="318"/>
      <c r="G661" s="315"/>
      <c r="H661" s="314"/>
      <c r="I661" s="314"/>
      <c r="J661" s="314"/>
      <c r="K661" s="315"/>
      <c r="L661" s="736"/>
      <c r="M661" s="318"/>
      <c r="N661" s="315"/>
      <c r="O661" s="314"/>
      <c r="P661" s="314"/>
      <c r="Q661" s="314"/>
      <c r="R661" s="314"/>
      <c r="S661" s="848"/>
      <c r="T661" s="318"/>
      <c r="U661" s="315"/>
      <c r="V661" s="314"/>
      <c r="W661" s="314"/>
      <c r="X661" s="314"/>
      <c r="Y661" s="314"/>
      <c r="Z661" s="314"/>
      <c r="AA661" s="318"/>
      <c r="AB661" s="315"/>
      <c r="AC661" s="314"/>
      <c r="AD661" s="314"/>
      <c r="AE661" s="314"/>
      <c r="AF661" s="314"/>
      <c r="AG661" s="324"/>
      <c r="AH661" s="155"/>
      <c r="AI661" s="155"/>
      <c r="AJ661" s="322"/>
      <c r="AK661" s="132"/>
      <c r="AL661" s="132"/>
    </row>
    <row r="662">
      <c r="A662" s="314"/>
      <c r="B662" s="313"/>
      <c r="C662" s="312"/>
      <c r="D662" s="313"/>
      <c r="E662" s="314"/>
      <c r="F662" s="318"/>
      <c r="G662" s="315"/>
      <c r="H662" s="314"/>
      <c r="I662" s="314"/>
      <c r="J662" s="314"/>
      <c r="K662" s="315"/>
      <c r="L662" s="736"/>
      <c r="M662" s="318"/>
      <c r="N662" s="315"/>
      <c r="O662" s="314"/>
      <c r="P662" s="314"/>
      <c r="Q662" s="314"/>
      <c r="R662" s="314"/>
      <c r="S662" s="848"/>
      <c r="T662" s="318"/>
      <c r="U662" s="315"/>
      <c r="V662" s="314"/>
      <c r="W662" s="314"/>
      <c r="X662" s="314"/>
      <c r="Y662" s="314"/>
      <c r="Z662" s="314"/>
      <c r="AA662" s="318"/>
      <c r="AB662" s="315"/>
      <c r="AC662" s="314"/>
      <c r="AD662" s="314"/>
      <c r="AE662" s="314"/>
      <c r="AF662" s="314"/>
      <c r="AG662" s="324"/>
      <c r="AH662" s="155"/>
      <c r="AI662" s="155"/>
      <c r="AJ662" s="322"/>
      <c r="AK662" s="132"/>
      <c r="AL662" s="132"/>
    </row>
    <row r="663">
      <c r="A663" s="314"/>
      <c r="B663" s="313"/>
      <c r="C663" s="312"/>
      <c r="D663" s="313"/>
      <c r="E663" s="314"/>
      <c r="F663" s="318"/>
      <c r="G663" s="315"/>
      <c r="H663" s="314"/>
      <c r="I663" s="314"/>
      <c r="J663" s="314"/>
      <c r="K663" s="315"/>
      <c r="L663" s="736"/>
      <c r="M663" s="318"/>
      <c r="N663" s="315"/>
      <c r="O663" s="314"/>
      <c r="P663" s="314"/>
      <c r="Q663" s="314"/>
      <c r="R663" s="314"/>
      <c r="S663" s="848"/>
      <c r="T663" s="318"/>
      <c r="U663" s="315"/>
      <c r="V663" s="314"/>
      <c r="W663" s="314"/>
      <c r="X663" s="314"/>
      <c r="Y663" s="314"/>
      <c r="Z663" s="314"/>
      <c r="AA663" s="318"/>
      <c r="AB663" s="315"/>
      <c r="AC663" s="314"/>
      <c r="AD663" s="314"/>
      <c r="AE663" s="314"/>
      <c r="AF663" s="314"/>
      <c r="AG663" s="324"/>
      <c r="AH663" s="155"/>
      <c r="AI663" s="155"/>
      <c r="AJ663" s="322"/>
      <c r="AK663" s="132"/>
      <c r="AL663" s="132"/>
    </row>
    <row r="664">
      <c r="A664" s="314"/>
      <c r="B664" s="313"/>
      <c r="C664" s="312"/>
      <c r="D664" s="313"/>
      <c r="E664" s="314"/>
      <c r="F664" s="318"/>
      <c r="G664" s="315"/>
      <c r="H664" s="314"/>
      <c r="I664" s="314"/>
      <c r="J664" s="314"/>
      <c r="K664" s="315"/>
      <c r="L664" s="736"/>
      <c r="M664" s="318"/>
      <c r="N664" s="315"/>
      <c r="O664" s="314"/>
      <c r="P664" s="314"/>
      <c r="Q664" s="314"/>
      <c r="R664" s="314"/>
      <c r="S664" s="848"/>
      <c r="T664" s="318"/>
      <c r="U664" s="315"/>
      <c r="V664" s="314"/>
      <c r="W664" s="314"/>
      <c r="X664" s="314"/>
      <c r="Y664" s="314"/>
      <c r="Z664" s="314"/>
      <c r="AA664" s="318"/>
      <c r="AB664" s="315"/>
      <c r="AC664" s="314"/>
      <c r="AD664" s="314"/>
      <c r="AE664" s="314"/>
      <c r="AF664" s="314"/>
      <c r="AG664" s="324"/>
      <c r="AH664" s="155"/>
      <c r="AI664" s="155"/>
      <c r="AJ664" s="322"/>
      <c r="AK664" s="132"/>
      <c r="AL664" s="132"/>
    </row>
    <row r="665">
      <c r="A665" s="314"/>
      <c r="B665" s="313"/>
      <c r="C665" s="312"/>
      <c r="D665" s="313"/>
      <c r="E665" s="314"/>
      <c r="F665" s="318"/>
      <c r="G665" s="315"/>
      <c r="H665" s="314"/>
      <c r="I665" s="314"/>
      <c r="J665" s="314"/>
      <c r="K665" s="315"/>
      <c r="L665" s="736"/>
      <c r="M665" s="318"/>
      <c r="N665" s="315"/>
      <c r="O665" s="314"/>
      <c r="P665" s="314"/>
      <c r="Q665" s="314"/>
      <c r="R665" s="314"/>
      <c r="S665" s="848"/>
      <c r="T665" s="318"/>
      <c r="U665" s="315"/>
      <c r="V665" s="314"/>
      <c r="W665" s="314"/>
      <c r="X665" s="314"/>
      <c r="Y665" s="314"/>
      <c r="Z665" s="314"/>
      <c r="AA665" s="318"/>
      <c r="AB665" s="315"/>
      <c r="AC665" s="314"/>
      <c r="AD665" s="314"/>
      <c r="AE665" s="314"/>
      <c r="AF665" s="314"/>
      <c r="AG665" s="324"/>
      <c r="AH665" s="155"/>
      <c r="AI665" s="155"/>
      <c r="AJ665" s="322"/>
      <c r="AK665" s="132"/>
      <c r="AL665" s="132"/>
    </row>
    <row r="666">
      <c r="A666" s="314"/>
      <c r="B666" s="313"/>
      <c r="C666" s="312"/>
      <c r="D666" s="313"/>
      <c r="E666" s="314"/>
      <c r="F666" s="318"/>
      <c r="G666" s="315"/>
      <c r="H666" s="314"/>
      <c r="I666" s="314"/>
      <c r="J666" s="314"/>
      <c r="K666" s="315"/>
      <c r="L666" s="736"/>
      <c r="M666" s="318"/>
      <c r="N666" s="315"/>
      <c r="O666" s="314"/>
      <c r="P666" s="314"/>
      <c r="Q666" s="314"/>
      <c r="R666" s="314"/>
      <c r="S666" s="848"/>
      <c r="T666" s="318"/>
      <c r="U666" s="315"/>
      <c r="V666" s="314"/>
      <c r="W666" s="314"/>
      <c r="X666" s="314"/>
      <c r="Y666" s="314"/>
      <c r="Z666" s="314"/>
      <c r="AA666" s="318"/>
      <c r="AB666" s="315"/>
      <c r="AC666" s="314"/>
      <c r="AD666" s="314"/>
      <c r="AE666" s="314"/>
      <c r="AF666" s="314"/>
      <c r="AG666" s="324"/>
      <c r="AH666" s="155"/>
      <c r="AI666" s="155"/>
      <c r="AJ666" s="322"/>
      <c r="AK666" s="132"/>
      <c r="AL666" s="132"/>
    </row>
    <row r="667">
      <c r="A667" s="314"/>
      <c r="B667" s="313"/>
      <c r="C667" s="312"/>
      <c r="D667" s="313"/>
      <c r="E667" s="314"/>
      <c r="F667" s="318"/>
      <c r="G667" s="315"/>
      <c r="H667" s="314"/>
      <c r="I667" s="314"/>
      <c r="J667" s="314"/>
      <c r="K667" s="315"/>
      <c r="L667" s="736"/>
      <c r="M667" s="318"/>
      <c r="N667" s="315"/>
      <c r="O667" s="314"/>
      <c r="P667" s="314"/>
      <c r="Q667" s="314"/>
      <c r="R667" s="314"/>
      <c r="S667" s="848"/>
      <c r="T667" s="318"/>
      <c r="U667" s="315"/>
      <c r="V667" s="314"/>
      <c r="W667" s="314"/>
      <c r="X667" s="314"/>
      <c r="Y667" s="314"/>
      <c r="Z667" s="314"/>
      <c r="AA667" s="318"/>
      <c r="AB667" s="315"/>
      <c r="AC667" s="314"/>
      <c r="AD667" s="314"/>
      <c r="AE667" s="314"/>
      <c r="AF667" s="314"/>
      <c r="AG667" s="324"/>
      <c r="AH667" s="155"/>
      <c r="AI667" s="155"/>
      <c r="AJ667" s="322"/>
      <c r="AK667" s="132"/>
      <c r="AL667" s="132"/>
    </row>
    <row r="668">
      <c r="A668" s="314"/>
      <c r="B668" s="313"/>
      <c r="C668" s="312"/>
      <c r="D668" s="313"/>
      <c r="E668" s="314"/>
      <c r="F668" s="318"/>
      <c r="G668" s="315"/>
      <c r="H668" s="314"/>
      <c r="I668" s="314"/>
      <c r="J668" s="314"/>
      <c r="K668" s="315"/>
      <c r="L668" s="736"/>
      <c r="M668" s="318"/>
      <c r="N668" s="315"/>
      <c r="O668" s="314"/>
      <c r="P668" s="314"/>
      <c r="Q668" s="314"/>
      <c r="R668" s="314"/>
      <c r="S668" s="848"/>
      <c r="T668" s="318"/>
      <c r="U668" s="315"/>
      <c r="V668" s="314"/>
      <c r="W668" s="314"/>
      <c r="X668" s="314"/>
      <c r="Y668" s="314"/>
      <c r="Z668" s="314"/>
      <c r="AA668" s="318"/>
      <c r="AB668" s="315"/>
      <c r="AC668" s="314"/>
      <c r="AD668" s="314"/>
      <c r="AE668" s="314"/>
      <c r="AF668" s="314"/>
      <c r="AG668" s="324"/>
      <c r="AH668" s="155"/>
      <c r="AI668" s="155"/>
      <c r="AJ668" s="322"/>
      <c r="AK668" s="132"/>
      <c r="AL668" s="132"/>
    </row>
    <row r="669">
      <c r="A669" s="314"/>
      <c r="B669" s="313"/>
      <c r="C669" s="312"/>
      <c r="D669" s="313"/>
      <c r="E669" s="314"/>
      <c r="F669" s="318"/>
      <c r="G669" s="315"/>
      <c r="H669" s="314"/>
      <c r="I669" s="314"/>
      <c r="J669" s="314"/>
      <c r="K669" s="315"/>
      <c r="L669" s="736"/>
      <c r="M669" s="318"/>
      <c r="N669" s="315"/>
      <c r="O669" s="314"/>
      <c r="P669" s="314"/>
      <c r="Q669" s="314"/>
      <c r="R669" s="314"/>
      <c r="S669" s="848"/>
      <c r="T669" s="318"/>
      <c r="U669" s="315"/>
      <c r="V669" s="314"/>
      <c r="W669" s="314"/>
      <c r="X669" s="314"/>
      <c r="Y669" s="314"/>
      <c r="Z669" s="314"/>
      <c r="AA669" s="318"/>
      <c r="AB669" s="315"/>
      <c r="AC669" s="314"/>
      <c r="AD669" s="314"/>
      <c r="AE669" s="314"/>
      <c r="AF669" s="314"/>
      <c r="AG669" s="324"/>
      <c r="AH669" s="155"/>
      <c r="AI669" s="155"/>
      <c r="AJ669" s="322"/>
      <c r="AK669" s="132"/>
      <c r="AL669" s="132"/>
    </row>
    <row r="670">
      <c r="A670" s="314"/>
      <c r="B670" s="313"/>
      <c r="C670" s="312"/>
      <c r="D670" s="313"/>
      <c r="E670" s="314"/>
      <c r="F670" s="318"/>
      <c r="G670" s="315"/>
      <c r="H670" s="314"/>
      <c r="I670" s="314"/>
      <c r="J670" s="314"/>
      <c r="K670" s="315"/>
      <c r="L670" s="736"/>
      <c r="M670" s="318"/>
      <c r="N670" s="315"/>
      <c r="O670" s="314"/>
      <c r="P670" s="314"/>
      <c r="Q670" s="314"/>
      <c r="R670" s="314"/>
      <c r="S670" s="848"/>
      <c r="T670" s="318"/>
      <c r="U670" s="315"/>
      <c r="V670" s="314"/>
      <c r="W670" s="314"/>
      <c r="X670" s="314"/>
      <c r="Y670" s="314"/>
      <c r="Z670" s="314"/>
      <c r="AA670" s="318"/>
      <c r="AB670" s="315"/>
      <c r="AC670" s="314"/>
      <c r="AD670" s="314"/>
      <c r="AE670" s="314"/>
      <c r="AF670" s="314"/>
      <c r="AG670" s="324"/>
      <c r="AH670" s="155"/>
      <c r="AI670" s="155"/>
      <c r="AJ670" s="322"/>
      <c r="AK670" s="132"/>
      <c r="AL670" s="132"/>
    </row>
    <row r="671">
      <c r="A671" s="314"/>
      <c r="B671" s="313"/>
      <c r="C671" s="312"/>
      <c r="D671" s="313"/>
      <c r="E671" s="314"/>
      <c r="F671" s="318"/>
      <c r="G671" s="315"/>
      <c r="H671" s="314"/>
      <c r="I671" s="314"/>
      <c r="J671" s="314"/>
      <c r="K671" s="315"/>
      <c r="L671" s="736"/>
      <c r="M671" s="318"/>
      <c r="N671" s="315"/>
      <c r="O671" s="314"/>
      <c r="P671" s="314"/>
      <c r="Q671" s="314"/>
      <c r="R671" s="314"/>
      <c r="S671" s="848"/>
      <c r="T671" s="318"/>
      <c r="U671" s="315"/>
      <c r="V671" s="314"/>
      <c r="W671" s="314"/>
      <c r="X671" s="314"/>
      <c r="Y671" s="314"/>
      <c r="Z671" s="314"/>
      <c r="AA671" s="318"/>
      <c r="AB671" s="315"/>
      <c r="AC671" s="314"/>
      <c r="AD671" s="314"/>
      <c r="AE671" s="314"/>
      <c r="AF671" s="314"/>
      <c r="AG671" s="324"/>
      <c r="AH671" s="155"/>
      <c r="AI671" s="155"/>
      <c r="AJ671" s="322"/>
      <c r="AK671" s="132"/>
      <c r="AL671" s="132"/>
    </row>
    <row r="672">
      <c r="A672" s="314"/>
      <c r="B672" s="313"/>
      <c r="C672" s="312"/>
      <c r="D672" s="313"/>
      <c r="E672" s="314"/>
      <c r="F672" s="318"/>
      <c r="G672" s="315"/>
      <c r="H672" s="314"/>
      <c r="I672" s="314"/>
      <c r="J672" s="314"/>
      <c r="K672" s="315"/>
      <c r="L672" s="736"/>
      <c r="M672" s="318"/>
      <c r="N672" s="315"/>
      <c r="O672" s="314"/>
      <c r="P672" s="314"/>
      <c r="Q672" s="314"/>
      <c r="R672" s="314"/>
      <c r="S672" s="848"/>
      <c r="T672" s="318"/>
      <c r="U672" s="315"/>
      <c r="V672" s="314"/>
      <c r="W672" s="314"/>
      <c r="X672" s="314"/>
      <c r="Y672" s="314"/>
      <c r="Z672" s="314"/>
      <c r="AA672" s="318"/>
      <c r="AB672" s="315"/>
      <c r="AC672" s="314"/>
      <c r="AD672" s="314"/>
      <c r="AE672" s="314"/>
      <c r="AF672" s="314"/>
      <c r="AG672" s="324"/>
      <c r="AH672" s="155"/>
      <c r="AI672" s="155"/>
      <c r="AJ672" s="322"/>
      <c r="AK672" s="132"/>
      <c r="AL672" s="132"/>
    </row>
    <row r="673">
      <c r="A673" s="314"/>
      <c r="B673" s="313"/>
      <c r="C673" s="312"/>
      <c r="D673" s="313"/>
      <c r="E673" s="314"/>
      <c r="F673" s="318"/>
      <c r="G673" s="315"/>
      <c r="H673" s="314"/>
      <c r="I673" s="314"/>
      <c r="J673" s="314"/>
      <c r="K673" s="315"/>
      <c r="L673" s="736"/>
      <c r="M673" s="318"/>
      <c r="N673" s="315"/>
      <c r="O673" s="314"/>
      <c r="P673" s="314"/>
      <c r="Q673" s="314"/>
      <c r="R673" s="314"/>
      <c r="S673" s="848"/>
      <c r="T673" s="318"/>
      <c r="U673" s="315"/>
      <c r="V673" s="314"/>
      <c r="W673" s="314"/>
      <c r="X673" s="314"/>
      <c r="Y673" s="314"/>
      <c r="Z673" s="314"/>
      <c r="AA673" s="318"/>
      <c r="AB673" s="315"/>
      <c r="AC673" s="314"/>
      <c r="AD673" s="314"/>
      <c r="AE673" s="314"/>
      <c r="AF673" s="314"/>
      <c r="AG673" s="324"/>
      <c r="AH673" s="155"/>
      <c r="AI673" s="155"/>
      <c r="AJ673" s="322"/>
      <c r="AK673" s="132"/>
      <c r="AL673" s="132"/>
    </row>
    <row r="674">
      <c r="A674" s="314"/>
      <c r="B674" s="313"/>
      <c r="C674" s="312"/>
      <c r="D674" s="313"/>
      <c r="E674" s="314"/>
      <c r="F674" s="318"/>
      <c r="G674" s="315"/>
      <c r="H674" s="314"/>
      <c r="I674" s="314"/>
      <c r="J674" s="314"/>
      <c r="K674" s="315"/>
      <c r="L674" s="736"/>
      <c r="M674" s="318"/>
      <c r="N674" s="315"/>
      <c r="O674" s="314"/>
      <c r="P674" s="314"/>
      <c r="Q674" s="314"/>
      <c r="R674" s="314"/>
      <c r="S674" s="848"/>
      <c r="T674" s="318"/>
      <c r="U674" s="315"/>
      <c r="V674" s="314"/>
      <c r="W674" s="314"/>
      <c r="X674" s="314"/>
      <c r="Y674" s="314"/>
      <c r="Z674" s="314"/>
      <c r="AA674" s="318"/>
      <c r="AB674" s="315"/>
      <c r="AC674" s="314"/>
      <c r="AD674" s="314"/>
      <c r="AE674" s="314"/>
      <c r="AF674" s="314"/>
      <c r="AG674" s="324"/>
      <c r="AH674" s="155"/>
      <c r="AI674" s="155"/>
      <c r="AJ674" s="322"/>
      <c r="AK674" s="132"/>
      <c r="AL674" s="132"/>
    </row>
    <row r="675">
      <c r="A675" s="314"/>
      <c r="B675" s="313"/>
      <c r="C675" s="312"/>
      <c r="D675" s="313"/>
      <c r="E675" s="314"/>
      <c r="F675" s="318"/>
      <c r="G675" s="315"/>
      <c r="H675" s="314"/>
      <c r="I675" s="314"/>
      <c r="J675" s="314"/>
      <c r="K675" s="315"/>
      <c r="L675" s="736"/>
      <c r="M675" s="318"/>
      <c r="N675" s="315"/>
      <c r="O675" s="314"/>
      <c r="P675" s="314"/>
      <c r="Q675" s="314"/>
      <c r="R675" s="314"/>
      <c r="S675" s="848"/>
      <c r="T675" s="318"/>
      <c r="U675" s="315"/>
      <c r="V675" s="314"/>
      <c r="W675" s="314"/>
      <c r="X675" s="314"/>
      <c r="Y675" s="314"/>
      <c r="Z675" s="314"/>
      <c r="AA675" s="318"/>
      <c r="AB675" s="315"/>
      <c r="AC675" s="314"/>
      <c r="AD675" s="314"/>
      <c r="AE675" s="314"/>
      <c r="AF675" s="314"/>
      <c r="AG675" s="324"/>
      <c r="AH675" s="155"/>
      <c r="AI675" s="155"/>
      <c r="AJ675" s="322"/>
      <c r="AK675" s="132"/>
      <c r="AL675" s="132"/>
    </row>
    <row r="676">
      <c r="A676" s="314"/>
      <c r="B676" s="313"/>
      <c r="C676" s="312"/>
      <c r="D676" s="313"/>
      <c r="E676" s="314"/>
      <c r="F676" s="318"/>
      <c r="G676" s="315"/>
      <c r="H676" s="314"/>
      <c r="I676" s="314"/>
      <c r="J676" s="314"/>
      <c r="K676" s="315"/>
      <c r="L676" s="736"/>
      <c r="M676" s="318"/>
      <c r="N676" s="315"/>
      <c r="O676" s="314"/>
      <c r="P676" s="314"/>
      <c r="Q676" s="314"/>
      <c r="R676" s="314"/>
      <c r="S676" s="848"/>
      <c r="T676" s="318"/>
      <c r="U676" s="315"/>
      <c r="V676" s="314"/>
      <c r="W676" s="314"/>
      <c r="X676" s="314"/>
      <c r="Y676" s="314"/>
      <c r="Z676" s="314"/>
      <c r="AA676" s="318"/>
      <c r="AB676" s="315"/>
      <c r="AC676" s="314"/>
      <c r="AD676" s="314"/>
      <c r="AE676" s="314"/>
      <c r="AF676" s="314"/>
      <c r="AG676" s="324"/>
      <c r="AH676" s="155"/>
      <c r="AI676" s="155"/>
      <c r="AJ676" s="322"/>
      <c r="AK676" s="132"/>
      <c r="AL676" s="132"/>
    </row>
    <row r="677">
      <c r="A677" s="314"/>
      <c r="B677" s="313"/>
      <c r="C677" s="312"/>
      <c r="D677" s="313"/>
      <c r="E677" s="314"/>
      <c r="F677" s="318"/>
      <c r="G677" s="315"/>
      <c r="H677" s="314"/>
      <c r="I677" s="314"/>
      <c r="J677" s="314"/>
      <c r="K677" s="315"/>
      <c r="L677" s="736"/>
      <c r="M677" s="318"/>
      <c r="N677" s="315"/>
      <c r="O677" s="314"/>
      <c r="P677" s="314"/>
      <c r="Q677" s="314"/>
      <c r="R677" s="314"/>
      <c r="S677" s="848"/>
      <c r="T677" s="318"/>
      <c r="U677" s="315"/>
      <c r="V677" s="314"/>
      <c r="W677" s="314"/>
      <c r="X677" s="314"/>
      <c r="Y677" s="314"/>
      <c r="Z677" s="314"/>
      <c r="AA677" s="318"/>
      <c r="AB677" s="315"/>
      <c r="AC677" s="314"/>
      <c r="AD677" s="314"/>
      <c r="AE677" s="314"/>
      <c r="AF677" s="314"/>
      <c r="AG677" s="324"/>
      <c r="AH677" s="155"/>
      <c r="AI677" s="155"/>
      <c r="AJ677" s="322"/>
      <c r="AK677" s="132"/>
      <c r="AL677" s="132"/>
    </row>
    <row r="678">
      <c r="A678" s="314"/>
      <c r="B678" s="313"/>
      <c r="C678" s="312"/>
      <c r="D678" s="313"/>
      <c r="E678" s="314"/>
      <c r="F678" s="318"/>
      <c r="G678" s="315"/>
      <c r="H678" s="314"/>
      <c r="I678" s="314"/>
      <c r="J678" s="314"/>
      <c r="K678" s="315"/>
      <c r="L678" s="736"/>
      <c r="M678" s="318"/>
      <c r="N678" s="315"/>
      <c r="O678" s="314"/>
      <c r="P678" s="314"/>
      <c r="Q678" s="314"/>
      <c r="R678" s="314"/>
      <c r="S678" s="848"/>
      <c r="T678" s="318"/>
      <c r="U678" s="315"/>
      <c r="V678" s="314"/>
      <c r="W678" s="314"/>
      <c r="X678" s="314"/>
      <c r="Y678" s="314"/>
      <c r="Z678" s="314"/>
      <c r="AA678" s="318"/>
      <c r="AB678" s="315"/>
      <c r="AC678" s="314"/>
      <c r="AD678" s="314"/>
      <c r="AE678" s="314"/>
      <c r="AF678" s="314"/>
      <c r="AG678" s="324"/>
      <c r="AH678" s="155"/>
      <c r="AI678" s="155"/>
      <c r="AJ678" s="322"/>
      <c r="AK678" s="132"/>
      <c r="AL678" s="132"/>
    </row>
    <row r="679">
      <c r="A679" s="314"/>
      <c r="B679" s="313"/>
      <c r="C679" s="312"/>
      <c r="D679" s="313"/>
      <c r="E679" s="314"/>
      <c r="F679" s="318"/>
      <c r="G679" s="315"/>
      <c r="H679" s="314"/>
      <c r="I679" s="314"/>
      <c r="J679" s="314"/>
      <c r="K679" s="315"/>
      <c r="L679" s="736"/>
      <c r="M679" s="318"/>
      <c r="N679" s="315"/>
      <c r="O679" s="314"/>
      <c r="P679" s="314"/>
      <c r="Q679" s="314"/>
      <c r="R679" s="314"/>
      <c r="S679" s="848"/>
      <c r="T679" s="318"/>
      <c r="U679" s="315"/>
      <c r="V679" s="314"/>
      <c r="W679" s="314"/>
      <c r="X679" s="314"/>
      <c r="Y679" s="314"/>
      <c r="Z679" s="314"/>
      <c r="AA679" s="318"/>
      <c r="AB679" s="315"/>
      <c r="AC679" s="314"/>
      <c r="AD679" s="314"/>
      <c r="AE679" s="314"/>
      <c r="AF679" s="314"/>
      <c r="AG679" s="324"/>
      <c r="AH679" s="155"/>
      <c r="AI679" s="155"/>
      <c r="AJ679" s="322"/>
      <c r="AK679" s="132"/>
      <c r="AL679" s="132"/>
    </row>
    <row r="680">
      <c r="A680" s="314"/>
      <c r="B680" s="313"/>
      <c r="C680" s="312"/>
      <c r="D680" s="313"/>
      <c r="E680" s="314"/>
      <c r="F680" s="318"/>
      <c r="G680" s="315"/>
      <c r="H680" s="314"/>
      <c r="I680" s="314"/>
      <c r="J680" s="314"/>
      <c r="K680" s="315"/>
      <c r="L680" s="736"/>
      <c r="M680" s="318"/>
      <c r="N680" s="315"/>
      <c r="O680" s="314"/>
      <c r="P680" s="314"/>
      <c r="Q680" s="314"/>
      <c r="R680" s="314"/>
      <c r="S680" s="848"/>
      <c r="T680" s="318"/>
      <c r="U680" s="315"/>
      <c r="V680" s="314"/>
      <c r="W680" s="314"/>
      <c r="X680" s="314"/>
      <c r="Y680" s="314"/>
      <c r="Z680" s="314"/>
      <c r="AA680" s="318"/>
      <c r="AB680" s="315"/>
      <c r="AC680" s="314"/>
      <c r="AD680" s="314"/>
      <c r="AE680" s="314"/>
      <c r="AF680" s="314"/>
      <c r="AG680" s="324"/>
      <c r="AH680" s="155"/>
      <c r="AI680" s="155"/>
      <c r="AJ680" s="322"/>
      <c r="AK680" s="132"/>
      <c r="AL680" s="132"/>
    </row>
    <row r="681">
      <c r="A681" s="435"/>
      <c r="B681" s="313"/>
      <c r="C681" s="745"/>
      <c r="D681" s="313"/>
      <c r="E681" s="435"/>
      <c r="F681" s="318"/>
      <c r="G681" s="315"/>
      <c r="H681" s="435"/>
      <c r="I681" s="435"/>
      <c r="J681" s="314"/>
      <c r="K681" s="744"/>
      <c r="L681" s="839"/>
      <c r="M681" s="318"/>
      <c r="N681" s="315"/>
      <c r="O681" s="314"/>
      <c r="P681" s="435"/>
      <c r="Q681" s="435"/>
      <c r="R681" s="435"/>
      <c r="S681" s="849"/>
      <c r="T681" s="740"/>
      <c r="U681" s="744"/>
      <c r="V681" s="435"/>
      <c r="W681" s="435"/>
      <c r="X681" s="435"/>
      <c r="Y681" s="435"/>
      <c r="Z681" s="435"/>
      <c r="AA681" s="740"/>
      <c r="AB681" s="744"/>
      <c r="AC681" s="435"/>
      <c r="AD681" s="435"/>
      <c r="AE681" s="435"/>
      <c r="AF681" s="435"/>
      <c r="AG681" s="324"/>
      <c r="AH681" s="180"/>
      <c r="AI681" s="155"/>
      <c r="AJ681" s="322"/>
      <c r="AK681" s="132"/>
      <c r="AL681" s="132"/>
    </row>
    <row r="682">
      <c r="A682" s="435"/>
      <c r="B682" s="313"/>
      <c r="C682" s="312"/>
      <c r="D682" s="437"/>
      <c r="E682" s="314"/>
      <c r="F682" s="318"/>
      <c r="G682" s="315"/>
      <c r="H682" s="314"/>
      <c r="I682" s="314"/>
      <c r="J682" s="314"/>
      <c r="K682" s="315"/>
      <c r="L682" s="736"/>
      <c r="M682" s="740"/>
      <c r="N682" s="744"/>
      <c r="O682" s="314"/>
      <c r="P682" s="314"/>
      <c r="Q682" s="314"/>
      <c r="R682" s="314"/>
      <c r="S682" s="848"/>
      <c r="T682" s="318"/>
      <c r="U682" s="315"/>
      <c r="V682" s="314"/>
      <c r="W682" s="314"/>
      <c r="X682" s="314"/>
      <c r="Y682" s="314"/>
      <c r="Z682" s="314"/>
      <c r="AA682" s="318"/>
      <c r="AB682" s="315"/>
      <c r="AC682" s="314"/>
      <c r="AD682" s="314"/>
      <c r="AE682" s="314"/>
      <c r="AF682" s="314"/>
      <c r="AG682" s="324"/>
      <c r="AH682" s="180"/>
      <c r="AI682" s="155"/>
      <c r="AJ682" s="322"/>
      <c r="AK682" s="132"/>
      <c r="AL682" s="132"/>
    </row>
    <row r="683">
      <c r="A683" s="435"/>
      <c r="B683" s="437"/>
      <c r="C683" s="745"/>
      <c r="D683" s="437"/>
      <c r="E683" s="435"/>
      <c r="F683" s="318"/>
      <c r="G683" s="315"/>
      <c r="H683" s="314"/>
      <c r="I683" s="435"/>
      <c r="J683" s="435"/>
      <c r="K683" s="744"/>
      <c r="L683" s="839"/>
      <c r="M683" s="740"/>
      <c r="N683" s="744"/>
      <c r="O683" s="314"/>
      <c r="P683" s="435"/>
      <c r="Q683" s="314"/>
      <c r="R683" s="435"/>
      <c r="S683" s="849"/>
      <c r="T683" s="740"/>
      <c r="U683" s="744"/>
      <c r="V683" s="435"/>
      <c r="W683" s="435"/>
      <c r="X683" s="435"/>
      <c r="Y683" s="435"/>
      <c r="Z683" s="435"/>
      <c r="AA683" s="740"/>
      <c r="AB683" s="744"/>
      <c r="AC683" s="435"/>
      <c r="AD683" s="435"/>
      <c r="AE683" s="435"/>
      <c r="AF683" s="435"/>
      <c r="AG683" s="324"/>
      <c r="AH683" s="180"/>
      <c r="AI683" s="155"/>
      <c r="AJ683" s="322"/>
      <c r="AK683" s="132"/>
      <c r="AL683" s="132"/>
    </row>
    <row r="684">
      <c r="A684" s="435"/>
      <c r="B684" s="313"/>
      <c r="C684" s="312"/>
      <c r="D684" s="437"/>
      <c r="E684" s="314"/>
      <c r="F684" s="318"/>
      <c r="G684" s="315"/>
      <c r="H684" s="314"/>
      <c r="I684" s="435"/>
      <c r="J684" s="314"/>
      <c r="K684" s="744"/>
      <c r="L684" s="736"/>
      <c r="M684" s="318"/>
      <c r="N684" s="315"/>
      <c r="O684" s="314"/>
      <c r="P684" s="314"/>
      <c r="Q684" s="435"/>
      <c r="R684" s="435"/>
      <c r="S684" s="848"/>
      <c r="T684" s="318"/>
      <c r="U684" s="315"/>
      <c r="V684" s="314"/>
      <c r="W684" s="314"/>
      <c r="X684" s="314"/>
      <c r="Y684" s="314"/>
      <c r="Z684" s="314"/>
      <c r="AA684" s="318"/>
      <c r="AB684" s="315"/>
      <c r="AC684" s="314"/>
      <c r="AD684" s="314"/>
      <c r="AE684" s="314"/>
      <c r="AF684" s="314"/>
      <c r="AG684" s="324"/>
      <c r="AH684" s="180"/>
      <c r="AI684" s="155"/>
      <c r="AJ684" s="322"/>
      <c r="AK684" s="132"/>
      <c r="AL684" s="132"/>
    </row>
    <row r="685">
      <c r="A685" s="435"/>
      <c r="B685" s="437"/>
      <c r="C685" s="745"/>
      <c r="D685" s="437"/>
      <c r="E685" s="435"/>
      <c r="F685" s="318"/>
      <c r="G685" s="315"/>
      <c r="H685" s="435"/>
      <c r="I685" s="435"/>
      <c r="J685" s="435"/>
      <c r="K685" s="744"/>
      <c r="L685" s="839"/>
      <c r="M685" s="740"/>
      <c r="N685" s="744"/>
      <c r="O685" s="314"/>
      <c r="P685" s="435"/>
      <c r="Q685" s="435"/>
      <c r="R685" s="435"/>
      <c r="S685" s="849"/>
      <c r="T685" s="740"/>
      <c r="U685" s="744"/>
      <c r="V685" s="435"/>
      <c r="W685" s="435"/>
      <c r="X685" s="435"/>
      <c r="Y685" s="435"/>
      <c r="Z685" s="435"/>
      <c r="AA685" s="740"/>
      <c r="AB685" s="744"/>
      <c r="AC685" s="435"/>
      <c r="AD685" s="435"/>
      <c r="AE685" s="435"/>
      <c r="AF685" s="435"/>
      <c r="AG685" s="324"/>
      <c r="AH685" s="180"/>
      <c r="AI685" s="155"/>
      <c r="AJ685" s="322"/>
      <c r="AK685" s="132"/>
      <c r="AL685" s="132"/>
    </row>
    <row r="686">
      <c r="A686" s="435"/>
      <c r="B686" s="437"/>
      <c r="C686" s="312"/>
      <c r="D686" s="437"/>
      <c r="E686" s="314"/>
      <c r="F686" s="318"/>
      <c r="G686" s="315"/>
      <c r="H686" s="314"/>
      <c r="I686" s="314"/>
      <c r="J686" s="314"/>
      <c r="K686" s="744"/>
      <c r="L686" s="736"/>
      <c r="M686" s="318"/>
      <c r="N686" s="315"/>
      <c r="O686" s="314"/>
      <c r="P686" s="314"/>
      <c r="Q686" s="314"/>
      <c r="R686" s="314"/>
      <c r="S686" s="849"/>
      <c r="T686" s="740"/>
      <c r="U686" s="744"/>
      <c r="V686" s="435"/>
      <c r="W686" s="435"/>
      <c r="X686" s="435"/>
      <c r="Y686" s="435"/>
      <c r="Z686" s="435"/>
      <c r="AA686" s="740"/>
      <c r="AB686" s="744"/>
      <c r="AC686" s="435"/>
      <c r="AD686" s="435"/>
      <c r="AE686" s="435"/>
      <c r="AF686" s="435"/>
      <c r="AG686" s="324"/>
      <c r="AH686" s="180"/>
      <c r="AI686" s="155"/>
      <c r="AJ686" s="322"/>
      <c r="AK686" s="132"/>
      <c r="AL686" s="132"/>
    </row>
    <row r="687">
      <c r="A687" s="435"/>
      <c r="B687" s="437"/>
      <c r="C687" s="745"/>
      <c r="D687" s="437"/>
      <c r="E687" s="435"/>
      <c r="F687" s="318"/>
      <c r="G687" s="315"/>
      <c r="H687" s="435"/>
      <c r="I687" s="314"/>
      <c r="J687" s="314"/>
      <c r="K687" s="744"/>
      <c r="L687" s="736"/>
      <c r="M687" s="318"/>
      <c r="N687" s="315"/>
      <c r="O687" s="314"/>
      <c r="P687" s="435"/>
      <c r="Q687" s="435"/>
      <c r="R687" s="435"/>
      <c r="S687" s="849"/>
      <c r="T687" s="740"/>
      <c r="U687" s="744"/>
      <c r="V687" s="435"/>
      <c r="W687" s="435"/>
      <c r="X687" s="435"/>
      <c r="Y687" s="435"/>
      <c r="Z687" s="435"/>
      <c r="AA687" s="740"/>
      <c r="AB687" s="744"/>
      <c r="AC687" s="435"/>
      <c r="AD687" s="435"/>
      <c r="AE687" s="435"/>
      <c r="AF687" s="435"/>
      <c r="AG687" s="324"/>
      <c r="AH687" s="180"/>
      <c r="AI687" s="155"/>
      <c r="AJ687" s="322"/>
      <c r="AK687" s="132"/>
      <c r="AL687" s="132"/>
    </row>
    <row r="688">
      <c r="A688" s="435"/>
      <c r="B688" s="437"/>
      <c r="C688" s="745"/>
      <c r="D688" s="437"/>
      <c r="E688" s="435"/>
      <c r="F688" s="318"/>
      <c r="G688" s="315"/>
      <c r="H688" s="435"/>
      <c r="I688" s="435"/>
      <c r="J688" s="435"/>
      <c r="K688" s="744"/>
      <c r="L688" s="839"/>
      <c r="M688" s="740"/>
      <c r="N688" s="744"/>
      <c r="O688" s="314"/>
      <c r="P688" s="435"/>
      <c r="Q688" s="435"/>
      <c r="R688" s="435"/>
      <c r="S688" s="849"/>
      <c r="T688" s="740"/>
      <c r="U688" s="744"/>
      <c r="V688" s="435"/>
      <c r="W688" s="435"/>
      <c r="X688" s="435"/>
      <c r="Y688" s="435"/>
      <c r="Z688" s="435"/>
      <c r="AA688" s="740"/>
      <c r="AB688" s="744"/>
      <c r="AC688" s="435"/>
      <c r="AD688" s="435"/>
      <c r="AE688" s="435"/>
      <c r="AF688" s="435"/>
      <c r="AG688" s="324"/>
      <c r="AH688" s="180"/>
      <c r="AI688" s="155"/>
      <c r="AJ688" s="322"/>
      <c r="AK688" s="132"/>
      <c r="AL688" s="132"/>
    </row>
    <row r="689">
      <c r="A689" s="435"/>
      <c r="B689" s="313"/>
      <c r="C689" s="312"/>
      <c r="D689" s="313"/>
      <c r="E689" s="435"/>
      <c r="F689" s="318"/>
      <c r="G689" s="315"/>
      <c r="H689" s="435"/>
      <c r="I689" s="314"/>
      <c r="J689" s="314"/>
      <c r="K689" s="315"/>
      <c r="L689" s="736"/>
      <c r="M689" s="318"/>
      <c r="N689" s="315"/>
      <c r="O689" s="314"/>
      <c r="P689" s="314"/>
      <c r="Q689" s="314"/>
      <c r="R689" s="314"/>
      <c r="S689" s="848"/>
      <c r="T689" s="318"/>
      <c r="U689" s="315"/>
      <c r="V689" s="314"/>
      <c r="W689" s="314"/>
      <c r="X689" s="314"/>
      <c r="Y689" s="314"/>
      <c r="Z689" s="314"/>
      <c r="AA689" s="318"/>
      <c r="AB689" s="315"/>
      <c r="AC689" s="314"/>
      <c r="AD689" s="314"/>
      <c r="AE689" s="314"/>
      <c r="AF689" s="314"/>
      <c r="AG689" s="324"/>
      <c r="AH689" s="180"/>
      <c r="AI689" s="155"/>
      <c r="AJ689" s="322"/>
      <c r="AK689" s="132"/>
      <c r="AL689" s="132"/>
    </row>
    <row r="690">
      <c r="A690" s="435"/>
      <c r="B690" s="313"/>
      <c r="C690" s="312"/>
      <c r="D690" s="437"/>
      <c r="E690" s="314"/>
      <c r="F690" s="318"/>
      <c r="G690" s="315"/>
      <c r="H690" s="435"/>
      <c r="I690" s="314"/>
      <c r="J690" s="435"/>
      <c r="K690" s="744"/>
      <c r="L690" s="736"/>
      <c r="M690" s="740"/>
      <c r="N690" s="315"/>
      <c r="O690" s="314"/>
      <c r="P690" s="314"/>
      <c r="Q690" s="314"/>
      <c r="R690" s="435"/>
      <c r="S690" s="849"/>
      <c r="T690" s="740"/>
      <c r="U690" s="744"/>
      <c r="V690" s="435"/>
      <c r="W690" s="435"/>
      <c r="X690" s="435"/>
      <c r="Y690" s="435"/>
      <c r="Z690" s="435"/>
      <c r="AA690" s="740"/>
      <c r="AB690" s="744"/>
      <c r="AC690" s="435"/>
      <c r="AD690" s="435"/>
      <c r="AE690" s="435"/>
      <c r="AF690" s="435"/>
      <c r="AG690" s="324"/>
      <c r="AH690" s="180"/>
      <c r="AI690" s="155"/>
      <c r="AJ690" s="322"/>
      <c r="AK690" s="132"/>
      <c r="AL690" s="132"/>
    </row>
    <row r="691">
      <c r="A691" s="435"/>
      <c r="B691" s="313"/>
      <c r="C691" s="312"/>
      <c r="D691" s="313"/>
      <c r="E691" s="314"/>
      <c r="F691" s="318"/>
      <c r="G691" s="315"/>
      <c r="H691" s="314"/>
      <c r="I691" s="314"/>
      <c r="J691" s="314"/>
      <c r="K691" s="315"/>
      <c r="L691" s="736"/>
      <c r="M691" s="318"/>
      <c r="N691" s="315"/>
      <c r="O691" s="314"/>
      <c r="P691" s="314"/>
      <c r="Q691" s="435"/>
      <c r="R691" s="314"/>
      <c r="S691" s="849"/>
      <c r="T691" s="740"/>
      <c r="U691" s="744"/>
      <c r="V691" s="435"/>
      <c r="W691" s="435"/>
      <c r="X691" s="435"/>
      <c r="Y691" s="435"/>
      <c r="Z691" s="435"/>
      <c r="AA691" s="740"/>
      <c r="AB691" s="744"/>
      <c r="AC691" s="435"/>
      <c r="AD691" s="435"/>
      <c r="AE691" s="435"/>
      <c r="AF691" s="435"/>
      <c r="AG691" s="324"/>
      <c r="AH691" s="180"/>
      <c r="AI691" s="155"/>
      <c r="AJ691" s="322"/>
      <c r="AK691" s="132"/>
      <c r="AL691" s="132"/>
    </row>
    <row r="692">
      <c r="A692" s="435"/>
      <c r="B692" s="437"/>
      <c r="C692" s="312"/>
      <c r="D692" s="313"/>
      <c r="E692" s="314"/>
      <c r="F692" s="318"/>
      <c r="G692" s="315"/>
      <c r="H692" s="435"/>
      <c r="I692" s="314"/>
      <c r="J692" s="435"/>
      <c r="K692" s="744"/>
      <c r="L692" s="736"/>
      <c r="M692" s="318"/>
      <c r="N692" s="744"/>
      <c r="O692" s="314"/>
      <c r="P692" s="314"/>
      <c r="Q692" s="314"/>
      <c r="R692" s="435"/>
      <c r="S692" s="849"/>
      <c r="T692" s="740"/>
      <c r="U692" s="744"/>
      <c r="V692" s="435"/>
      <c r="W692" s="435"/>
      <c r="X692" s="435"/>
      <c r="Y692" s="435"/>
      <c r="Z692" s="435"/>
      <c r="AA692" s="740"/>
      <c r="AB692" s="744"/>
      <c r="AC692" s="435"/>
      <c r="AD692" s="435"/>
      <c r="AE692" s="435"/>
      <c r="AF692" s="435"/>
      <c r="AG692" s="324"/>
      <c r="AH692" s="180"/>
      <c r="AI692" s="155"/>
      <c r="AJ692" s="322"/>
      <c r="AK692" s="132"/>
      <c r="AL692" s="132"/>
    </row>
    <row r="693">
      <c r="A693" s="435"/>
      <c r="B693" s="313"/>
      <c r="C693" s="745"/>
      <c r="D693" s="437"/>
      <c r="E693" s="435"/>
      <c r="F693" s="318"/>
      <c r="G693" s="315"/>
      <c r="H693" s="435"/>
      <c r="I693" s="314"/>
      <c r="J693" s="314"/>
      <c r="K693" s="744"/>
      <c r="L693" s="736"/>
      <c r="M693" s="318"/>
      <c r="N693" s="315"/>
      <c r="O693" s="314"/>
      <c r="P693" s="314"/>
      <c r="Q693" s="314"/>
      <c r="R693" s="314"/>
      <c r="S693" s="849"/>
      <c r="T693" s="740"/>
      <c r="U693" s="744"/>
      <c r="V693" s="435"/>
      <c r="W693" s="435"/>
      <c r="X693" s="435"/>
      <c r="Y693" s="435"/>
      <c r="Z693" s="435"/>
      <c r="AA693" s="740"/>
      <c r="AB693" s="744"/>
      <c r="AC693" s="435"/>
      <c r="AD693" s="435"/>
      <c r="AE693" s="435"/>
      <c r="AF693" s="435"/>
      <c r="AG693" s="324"/>
      <c r="AH693" s="180"/>
      <c r="AI693" s="155"/>
      <c r="AJ693" s="322"/>
      <c r="AK693" s="132"/>
      <c r="AL693" s="132"/>
    </row>
    <row r="694">
      <c r="A694" s="435"/>
      <c r="B694" s="313"/>
      <c r="C694" s="312"/>
      <c r="D694" s="313"/>
      <c r="E694" s="314"/>
      <c r="F694" s="318"/>
      <c r="G694" s="315"/>
      <c r="H694" s="435"/>
      <c r="I694" s="314"/>
      <c r="J694" s="314"/>
      <c r="K694" s="315"/>
      <c r="L694" s="736"/>
      <c r="M694" s="318"/>
      <c r="N694" s="315"/>
      <c r="O694" s="314"/>
      <c r="P694" s="314"/>
      <c r="Q694" s="314"/>
      <c r="R694" s="435"/>
      <c r="S694" s="848"/>
      <c r="T694" s="318"/>
      <c r="U694" s="315"/>
      <c r="V694" s="314"/>
      <c r="W694" s="314"/>
      <c r="X694" s="314"/>
      <c r="Y694" s="314"/>
      <c r="Z694" s="314"/>
      <c r="AA694" s="318"/>
      <c r="AB694" s="315"/>
      <c r="AC694" s="314"/>
      <c r="AD694" s="314"/>
      <c r="AE694" s="314"/>
      <c r="AF694" s="314"/>
      <c r="AG694" s="324"/>
      <c r="AH694" s="180"/>
      <c r="AI694" s="155"/>
      <c r="AJ694" s="322"/>
      <c r="AK694" s="132"/>
      <c r="AL694" s="132"/>
    </row>
    <row r="695">
      <c r="A695" s="435"/>
      <c r="B695" s="437"/>
      <c r="C695" s="745"/>
      <c r="D695" s="437"/>
      <c r="E695" s="435"/>
      <c r="F695" s="318"/>
      <c r="G695" s="315"/>
      <c r="H695" s="435"/>
      <c r="I695" s="435"/>
      <c r="J695" s="435"/>
      <c r="K695" s="744"/>
      <c r="L695" s="839"/>
      <c r="M695" s="740"/>
      <c r="N695" s="744"/>
      <c r="O695" s="314"/>
      <c r="P695" s="435"/>
      <c r="Q695" s="435"/>
      <c r="R695" s="435"/>
      <c r="S695" s="849"/>
      <c r="T695" s="740"/>
      <c r="U695" s="744"/>
      <c r="V695" s="435"/>
      <c r="W695" s="435"/>
      <c r="X695" s="435"/>
      <c r="Y695" s="435"/>
      <c r="Z695" s="435"/>
      <c r="AA695" s="740"/>
      <c r="AB695" s="744"/>
      <c r="AC695" s="435"/>
      <c r="AD695" s="435"/>
      <c r="AE695" s="435"/>
      <c r="AF695" s="435"/>
      <c r="AG695" s="324"/>
      <c r="AH695" s="180"/>
      <c r="AI695" s="155"/>
      <c r="AJ695" s="322"/>
      <c r="AK695" s="132"/>
      <c r="AL695" s="132"/>
    </row>
    <row r="696">
      <c r="A696" s="435"/>
      <c r="B696" s="313"/>
      <c r="C696" s="312"/>
      <c r="D696" s="313"/>
      <c r="E696" s="314"/>
      <c r="F696" s="318"/>
      <c r="G696" s="315"/>
      <c r="H696" s="314"/>
      <c r="I696" s="314"/>
      <c r="J696" s="314"/>
      <c r="K696" s="315"/>
      <c r="L696" s="736"/>
      <c r="M696" s="740"/>
      <c r="N696" s="315"/>
      <c r="O696" s="314"/>
      <c r="P696" s="314"/>
      <c r="Q696" s="314"/>
      <c r="R696" s="314"/>
      <c r="S696" s="848"/>
      <c r="T696" s="318"/>
      <c r="U696" s="315"/>
      <c r="V696" s="314"/>
      <c r="W696" s="314"/>
      <c r="X696" s="314"/>
      <c r="Y696" s="314"/>
      <c r="Z696" s="314"/>
      <c r="AA696" s="318"/>
      <c r="AB696" s="315"/>
      <c r="AC696" s="314"/>
      <c r="AD696" s="314"/>
      <c r="AE696" s="314"/>
      <c r="AF696" s="314"/>
      <c r="AG696" s="324"/>
      <c r="AH696" s="180"/>
      <c r="AI696" s="155"/>
      <c r="AJ696" s="322"/>
      <c r="AK696" s="132"/>
      <c r="AL696" s="132"/>
    </row>
    <row r="697">
      <c r="A697" s="435"/>
      <c r="B697" s="313"/>
      <c r="C697" s="745"/>
      <c r="D697" s="437"/>
      <c r="E697" s="435"/>
      <c r="F697" s="318"/>
      <c r="G697" s="315"/>
      <c r="H697" s="435"/>
      <c r="I697" s="435"/>
      <c r="J697" s="435"/>
      <c r="K697" s="744"/>
      <c r="L697" s="736"/>
      <c r="M697" s="740"/>
      <c r="N697" s="744"/>
      <c r="O697" s="314"/>
      <c r="P697" s="435"/>
      <c r="Q697" s="435"/>
      <c r="R697" s="435"/>
      <c r="S697" s="849"/>
      <c r="T697" s="740"/>
      <c r="U697" s="744"/>
      <c r="V697" s="435"/>
      <c r="W697" s="435"/>
      <c r="X697" s="435"/>
      <c r="Y697" s="435"/>
      <c r="Z697" s="435"/>
      <c r="AA697" s="740"/>
      <c r="AB697" s="744"/>
      <c r="AC697" s="435"/>
      <c r="AD697" s="435"/>
      <c r="AE697" s="435"/>
      <c r="AF697" s="435"/>
      <c r="AG697" s="324"/>
      <c r="AH697" s="180"/>
      <c r="AI697" s="155"/>
      <c r="AJ697" s="322"/>
      <c r="AK697" s="132"/>
      <c r="AL697" s="132"/>
    </row>
    <row r="698">
      <c r="A698" s="435"/>
      <c r="B698" s="437"/>
      <c r="C698" s="745"/>
      <c r="D698" s="313"/>
      <c r="E698" s="435"/>
      <c r="F698" s="318"/>
      <c r="G698" s="315"/>
      <c r="H698" s="435"/>
      <c r="I698" s="435"/>
      <c r="J698" s="314"/>
      <c r="K698" s="744"/>
      <c r="L698" s="839"/>
      <c r="M698" s="318"/>
      <c r="N698" s="744"/>
      <c r="O698" s="314"/>
      <c r="P698" s="435"/>
      <c r="Q698" s="314"/>
      <c r="R698" s="435"/>
      <c r="S698" s="849"/>
      <c r="T698" s="740"/>
      <c r="U698" s="744"/>
      <c r="V698" s="435"/>
      <c r="W698" s="435"/>
      <c r="X698" s="435"/>
      <c r="Y698" s="435"/>
      <c r="Z698" s="435"/>
      <c r="AA698" s="740"/>
      <c r="AB698" s="744"/>
      <c r="AC698" s="435"/>
      <c r="AD698" s="435"/>
      <c r="AE698" s="435"/>
      <c r="AF698" s="435"/>
      <c r="AG698" s="324"/>
      <c r="AH698" s="180"/>
      <c r="AI698" s="155"/>
      <c r="AJ698" s="322"/>
      <c r="AK698" s="132"/>
      <c r="AL698" s="132"/>
    </row>
    <row r="699">
      <c r="A699" s="458"/>
      <c r="B699" s="437"/>
      <c r="C699" s="745"/>
      <c r="D699" s="437"/>
      <c r="E699" s="435"/>
      <c r="F699" s="318"/>
      <c r="G699" s="315"/>
      <c r="H699" s="314"/>
      <c r="I699" s="435"/>
      <c r="J699" s="435"/>
      <c r="K699" s="744"/>
      <c r="L699" s="839"/>
      <c r="M699" s="740"/>
      <c r="N699" s="744"/>
      <c r="O699" s="314"/>
      <c r="P699" s="435"/>
      <c r="Q699" s="435"/>
      <c r="R699" s="435"/>
      <c r="S699" s="849"/>
      <c r="T699" s="740"/>
      <c r="U699" s="744"/>
      <c r="V699" s="435"/>
      <c r="W699" s="435"/>
      <c r="X699" s="435"/>
      <c r="Y699" s="435"/>
      <c r="Z699" s="435"/>
      <c r="AA699" s="740"/>
      <c r="AB699" s="744"/>
      <c r="AC699" s="435"/>
      <c r="AD699" s="435"/>
      <c r="AE699" s="435"/>
      <c r="AF699" s="435"/>
      <c r="AG699" s="324"/>
      <c r="AH699" s="180"/>
      <c r="AI699" s="155"/>
      <c r="AJ699" s="322"/>
      <c r="AK699" s="132"/>
      <c r="AL699" s="132"/>
    </row>
    <row r="700">
      <c r="A700" s="458"/>
      <c r="B700" s="437"/>
      <c r="C700" s="745"/>
      <c r="D700" s="437"/>
      <c r="E700" s="435"/>
      <c r="F700" s="318"/>
      <c r="G700" s="315"/>
      <c r="H700" s="314"/>
      <c r="I700" s="314"/>
      <c r="J700" s="435"/>
      <c r="K700" s="744"/>
      <c r="L700" s="839"/>
      <c r="M700" s="740"/>
      <c r="N700" s="744"/>
      <c r="O700" s="314"/>
      <c r="P700" s="435"/>
      <c r="Q700" s="435"/>
      <c r="R700" s="435"/>
      <c r="S700" s="849"/>
      <c r="T700" s="740"/>
      <c r="U700" s="744"/>
      <c r="V700" s="435"/>
      <c r="W700" s="435"/>
      <c r="X700" s="435"/>
      <c r="Y700" s="435"/>
      <c r="Z700" s="435"/>
      <c r="AA700" s="740"/>
      <c r="AB700" s="744"/>
      <c r="AC700" s="435"/>
      <c r="AD700" s="435"/>
      <c r="AE700" s="435"/>
      <c r="AF700" s="435"/>
      <c r="AG700" s="324"/>
      <c r="AH700" s="180"/>
      <c r="AI700" s="155"/>
      <c r="AJ700" s="322"/>
      <c r="AK700" s="132"/>
      <c r="AL700" s="132"/>
    </row>
    <row r="701">
      <c r="A701" s="458"/>
      <c r="B701" s="437"/>
      <c r="C701" s="745"/>
      <c r="D701" s="437"/>
      <c r="E701" s="314"/>
      <c r="F701" s="318"/>
      <c r="G701" s="315"/>
      <c r="H701" s="314"/>
      <c r="I701" s="435"/>
      <c r="J701" s="435"/>
      <c r="K701" s="744"/>
      <c r="L701" s="839"/>
      <c r="M701" s="740"/>
      <c r="N701" s="744"/>
      <c r="O701" s="314"/>
      <c r="P701" s="435"/>
      <c r="Q701" s="314"/>
      <c r="R701" s="435"/>
      <c r="S701" s="849"/>
      <c r="T701" s="740"/>
      <c r="U701" s="744"/>
      <c r="V701" s="435"/>
      <c r="W701" s="435"/>
      <c r="X701" s="435"/>
      <c r="Y701" s="435"/>
      <c r="Z701" s="435"/>
      <c r="AA701" s="740"/>
      <c r="AB701" s="744"/>
      <c r="AC701" s="435"/>
      <c r="AD701" s="435"/>
      <c r="AE701" s="435"/>
      <c r="AF701" s="435"/>
      <c r="AG701" s="324"/>
      <c r="AH701" s="180"/>
      <c r="AI701" s="155"/>
      <c r="AJ701" s="322"/>
      <c r="AK701" s="132"/>
      <c r="AL701" s="132"/>
    </row>
    <row r="702">
      <c r="A702" s="458"/>
      <c r="B702" s="313"/>
      <c r="C702" s="312"/>
      <c r="D702" s="313"/>
      <c r="E702" s="314"/>
      <c r="F702" s="318"/>
      <c r="G702" s="315"/>
      <c r="H702" s="314"/>
      <c r="I702" s="314"/>
      <c r="J702" s="314"/>
      <c r="K702" s="315"/>
      <c r="L702" s="736"/>
      <c r="M702" s="318"/>
      <c r="N702" s="315"/>
      <c r="O702" s="314"/>
      <c r="P702" s="314"/>
      <c r="Q702" s="314"/>
      <c r="R702" s="314"/>
      <c r="S702" s="848"/>
      <c r="T702" s="318"/>
      <c r="U702" s="315"/>
      <c r="V702" s="314"/>
      <c r="W702" s="314"/>
      <c r="X702" s="314"/>
      <c r="Y702" s="314"/>
      <c r="Z702" s="314"/>
      <c r="AA702" s="318"/>
      <c r="AB702" s="315"/>
      <c r="AC702" s="314"/>
      <c r="AD702" s="314"/>
      <c r="AE702" s="314"/>
      <c r="AF702" s="314"/>
      <c r="AG702" s="324"/>
      <c r="AH702" s="180"/>
      <c r="AI702" s="155"/>
      <c r="AJ702" s="322"/>
      <c r="AK702" s="132"/>
      <c r="AL702" s="132"/>
    </row>
    <row r="703">
      <c r="A703" s="458"/>
      <c r="B703" s="437"/>
      <c r="C703" s="745"/>
      <c r="D703" s="437"/>
      <c r="E703" s="314"/>
      <c r="F703" s="318"/>
      <c r="G703" s="315"/>
      <c r="H703" s="314"/>
      <c r="I703" s="314"/>
      <c r="J703" s="314"/>
      <c r="K703" s="744"/>
      <c r="L703" s="839"/>
      <c r="M703" s="740"/>
      <c r="N703" s="315"/>
      <c r="O703" s="314"/>
      <c r="P703" s="435"/>
      <c r="Q703" s="435"/>
      <c r="R703" s="435"/>
      <c r="S703" s="849"/>
      <c r="T703" s="740"/>
      <c r="U703" s="744"/>
      <c r="V703" s="435"/>
      <c r="W703" s="435"/>
      <c r="X703" s="435"/>
      <c r="Y703" s="435"/>
      <c r="Z703" s="435"/>
      <c r="AA703" s="740"/>
      <c r="AB703" s="744"/>
      <c r="AC703" s="435"/>
      <c r="AD703" s="435"/>
      <c r="AE703" s="435"/>
      <c r="AF703" s="435"/>
      <c r="AG703" s="324"/>
      <c r="AH703" s="180"/>
      <c r="AI703" s="155"/>
      <c r="AJ703" s="322"/>
      <c r="AK703" s="132"/>
      <c r="AL703" s="132"/>
    </row>
    <row r="704">
      <c r="A704" s="458"/>
      <c r="B704" s="313"/>
      <c r="C704" s="312"/>
      <c r="D704" s="437"/>
      <c r="E704" s="314"/>
      <c r="F704" s="318"/>
      <c r="G704" s="315"/>
      <c r="H704" s="314"/>
      <c r="I704" s="314"/>
      <c r="J704" s="314"/>
      <c r="K704" s="315"/>
      <c r="L704" s="736"/>
      <c r="M704" s="318"/>
      <c r="N704" s="315"/>
      <c r="O704" s="314"/>
      <c r="P704" s="314"/>
      <c r="Q704" s="314"/>
      <c r="R704" s="314"/>
      <c r="S704" s="848"/>
      <c r="T704" s="318"/>
      <c r="U704" s="315"/>
      <c r="V704" s="314"/>
      <c r="W704" s="314"/>
      <c r="X704" s="314"/>
      <c r="Y704" s="314"/>
      <c r="Z704" s="314"/>
      <c r="AA704" s="318"/>
      <c r="AB704" s="315"/>
      <c r="AC704" s="314"/>
      <c r="AD704" s="314"/>
      <c r="AE704" s="314"/>
      <c r="AF704" s="314"/>
      <c r="AG704" s="324"/>
      <c r="AH704" s="180"/>
      <c r="AI704" s="155"/>
      <c r="AJ704" s="322"/>
      <c r="AK704" s="132"/>
      <c r="AL704" s="132"/>
    </row>
    <row r="705">
      <c r="A705" s="458"/>
      <c r="B705" s="313"/>
      <c r="C705" s="745"/>
      <c r="D705" s="313"/>
      <c r="E705" s="314"/>
      <c r="F705" s="318"/>
      <c r="G705" s="315"/>
      <c r="H705" s="314"/>
      <c r="I705" s="435"/>
      <c r="J705" s="314"/>
      <c r="K705" s="315"/>
      <c r="L705" s="839"/>
      <c r="M705" s="318"/>
      <c r="N705" s="315"/>
      <c r="O705" s="314"/>
      <c r="P705" s="314"/>
      <c r="Q705" s="435"/>
      <c r="R705" s="435"/>
      <c r="S705" s="849"/>
      <c r="T705" s="740"/>
      <c r="U705" s="744"/>
      <c r="V705" s="435"/>
      <c r="W705" s="435"/>
      <c r="X705" s="435"/>
      <c r="Y705" s="435"/>
      <c r="Z705" s="435"/>
      <c r="AA705" s="740"/>
      <c r="AB705" s="744"/>
      <c r="AC705" s="435"/>
      <c r="AD705" s="435"/>
      <c r="AE705" s="435"/>
      <c r="AF705" s="435"/>
      <c r="AG705" s="324"/>
      <c r="AH705" s="180"/>
      <c r="AI705" s="155"/>
      <c r="AJ705" s="322"/>
      <c r="AK705" s="132"/>
      <c r="AL705" s="132"/>
    </row>
    <row r="706">
      <c r="A706" s="458"/>
      <c r="B706" s="313"/>
      <c r="C706" s="745"/>
      <c r="D706" s="437"/>
      <c r="E706" s="435"/>
      <c r="F706" s="318"/>
      <c r="G706" s="315"/>
      <c r="H706" s="435"/>
      <c r="I706" s="435"/>
      <c r="J706" s="314"/>
      <c r="K706" s="744"/>
      <c r="L706" s="839"/>
      <c r="M706" s="318"/>
      <c r="N706" s="315"/>
      <c r="O706" s="314"/>
      <c r="P706" s="435"/>
      <c r="Q706" s="435"/>
      <c r="R706" s="435"/>
      <c r="S706" s="849"/>
      <c r="T706" s="740"/>
      <c r="U706" s="744"/>
      <c r="V706" s="435"/>
      <c r="W706" s="435"/>
      <c r="X706" s="435"/>
      <c r="Y706" s="435"/>
      <c r="Z706" s="435"/>
      <c r="AA706" s="740"/>
      <c r="AB706" s="744"/>
      <c r="AC706" s="435"/>
      <c r="AD706" s="435"/>
      <c r="AE706" s="435"/>
      <c r="AF706" s="435"/>
      <c r="AG706" s="324"/>
      <c r="AH706" s="180"/>
      <c r="AI706" s="155"/>
      <c r="AJ706" s="322"/>
      <c r="AK706" s="132"/>
      <c r="AL706" s="132"/>
    </row>
    <row r="707">
      <c r="A707" s="458"/>
      <c r="B707" s="313"/>
      <c r="C707" s="745"/>
      <c r="D707" s="437"/>
      <c r="E707" s="314"/>
      <c r="F707" s="318"/>
      <c r="G707" s="315"/>
      <c r="H707" s="314"/>
      <c r="I707" s="314"/>
      <c r="J707" s="314"/>
      <c r="K707" s="744"/>
      <c r="L707" s="736"/>
      <c r="M707" s="318"/>
      <c r="N707" s="315"/>
      <c r="O707" s="314"/>
      <c r="P707" s="314"/>
      <c r="Q707" s="314"/>
      <c r="R707" s="435"/>
      <c r="S707" s="849"/>
      <c r="T707" s="740"/>
      <c r="U707" s="744"/>
      <c r="V707" s="435"/>
      <c r="W707" s="435"/>
      <c r="X707" s="435"/>
      <c r="Y707" s="435"/>
      <c r="Z707" s="435"/>
      <c r="AA707" s="740"/>
      <c r="AB707" s="744"/>
      <c r="AC707" s="435"/>
      <c r="AD707" s="435"/>
      <c r="AE707" s="435"/>
      <c r="AF707" s="435"/>
      <c r="AG707" s="324"/>
      <c r="AH707" s="180"/>
      <c r="AI707" s="155"/>
      <c r="AJ707" s="322"/>
      <c r="AK707" s="132"/>
      <c r="AL707" s="132"/>
    </row>
    <row r="708">
      <c r="A708" s="458"/>
      <c r="B708" s="437"/>
      <c r="C708" s="745"/>
      <c r="D708" s="437"/>
      <c r="E708" s="435"/>
      <c r="F708" s="318"/>
      <c r="G708" s="315"/>
      <c r="H708" s="435"/>
      <c r="I708" s="435"/>
      <c r="J708" s="435"/>
      <c r="K708" s="744"/>
      <c r="L708" s="839"/>
      <c r="M708" s="740"/>
      <c r="N708" s="744"/>
      <c r="O708" s="314"/>
      <c r="P708" s="435"/>
      <c r="Q708" s="435"/>
      <c r="R708" s="435"/>
      <c r="S708" s="849"/>
      <c r="T708" s="740"/>
      <c r="U708" s="744"/>
      <c r="V708" s="435"/>
      <c r="W708" s="435"/>
      <c r="X708" s="435"/>
      <c r="Y708" s="435"/>
      <c r="Z708" s="435"/>
      <c r="AA708" s="740"/>
      <c r="AB708" s="744"/>
      <c r="AC708" s="435"/>
      <c r="AD708" s="435"/>
      <c r="AE708" s="435"/>
      <c r="AF708" s="435"/>
      <c r="AG708" s="324"/>
      <c r="AH708" s="180"/>
      <c r="AI708" s="155"/>
      <c r="AJ708" s="322"/>
      <c r="AK708" s="132"/>
      <c r="AL708" s="132"/>
    </row>
    <row r="709">
      <c r="A709" s="435"/>
      <c r="B709" s="437"/>
      <c r="C709" s="745"/>
      <c r="D709" s="437"/>
      <c r="E709" s="435"/>
      <c r="F709" s="318"/>
      <c r="G709" s="315"/>
      <c r="H709" s="435"/>
      <c r="I709" s="435"/>
      <c r="J709" s="435"/>
      <c r="K709" s="744"/>
      <c r="L709" s="839"/>
      <c r="M709" s="740"/>
      <c r="N709" s="744"/>
      <c r="O709" s="314"/>
      <c r="P709" s="435"/>
      <c r="Q709" s="435"/>
      <c r="R709" s="435"/>
      <c r="S709" s="849"/>
      <c r="T709" s="740"/>
      <c r="U709" s="744"/>
      <c r="V709" s="435"/>
      <c r="W709" s="435"/>
      <c r="X709" s="435"/>
      <c r="Y709" s="435"/>
      <c r="Z709" s="435"/>
      <c r="AA709" s="740"/>
      <c r="AB709" s="744"/>
      <c r="AC709" s="435"/>
      <c r="AD709" s="435"/>
      <c r="AE709" s="435"/>
      <c r="AF709" s="435"/>
      <c r="AG709" s="324"/>
      <c r="AH709" s="180"/>
      <c r="AI709" s="155"/>
      <c r="AJ709" s="322"/>
      <c r="AK709" s="132"/>
      <c r="AL709" s="132"/>
    </row>
    <row r="710">
      <c r="A710" s="474"/>
      <c r="B710" s="437"/>
      <c r="C710" s="745"/>
      <c r="D710" s="437"/>
      <c r="E710" s="435"/>
      <c r="F710" s="318"/>
      <c r="G710" s="315"/>
      <c r="H710" s="435"/>
      <c r="I710" s="435"/>
      <c r="J710" s="435"/>
      <c r="K710" s="744"/>
      <c r="L710" s="839"/>
      <c r="M710" s="740"/>
      <c r="N710" s="744"/>
      <c r="O710" s="314"/>
      <c r="P710" s="435"/>
      <c r="Q710" s="435"/>
      <c r="R710" s="435"/>
      <c r="S710" s="849"/>
      <c r="T710" s="740"/>
      <c r="U710" s="744"/>
      <c r="V710" s="435"/>
      <c r="W710" s="435"/>
      <c r="X710" s="435"/>
      <c r="Y710" s="435"/>
      <c r="Z710" s="435"/>
      <c r="AA710" s="740"/>
      <c r="AB710" s="744"/>
      <c r="AC710" s="435"/>
      <c r="AD710" s="435"/>
      <c r="AE710" s="435"/>
      <c r="AF710" s="435"/>
      <c r="AG710" s="324"/>
      <c r="AH710" s="180"/>
      <c r="AI710" s="155"/>
      <c r="AJ710" s="322"/>
      <c r="AK710" s="132"/>
      <c r="AL710" s="132"/>
    </row>
    <row r="711">
      <c r="A711" s="474"/>
      <c r="B711" s="437"/>
      <c r="C711" s="312"/>
      <c r="D711" s="437"/>
      <c r="E711" s="435"/>
      <c r="F711" s="318"/>
      <c r="G711" s="315"/>
      <c r="H711" s="435"/>
      <c r="I711" s="435"/>
      <c r="J711" s="435"/>
      <c r="K711" s="315"/>
      <c r="L711" s="736"/>
      <c r="M711" s="318"/>
      <c r="N711" s="744"/>
      <c r="O711" s="314"/>
      <c r="P711" s="314"/>
      <c r="Q711" s="435"/>
      <c r="R711" s="314"/>
      <c r="S711" s="849"/>
      <c r="T711" s="740"/>
      <c r="U711" s="744"/>
      <c r="V711" s="435"/>
      <c r="W711" s="435"/>
      <c r="X711" s="435"/>
      <c r="Y711" s="435"/>
      <c r="Z711" s="435"/>
      <c r="AA711" s="740"/>
      <c r="AB711" s="744"/>
      <c r="AC711" s="435"/>
      <c r="AD711" s="435"/>
      <c r="AE711" s="435"/>
      <c r="AF711" s="435"/>
      <c r="AG711" s="324"/>
      <c r="AH711" s="180"/>
      <c r="AI711" s="155"/>
      <c r="AJ711" s="322"/>
      <c r="AK711" s="132"/>
      <c r="AL711" s="132"/>
    </row>
    <row r="712">
      <c r="A712" s="474"/>
      <c r="B712" s="313"/>
      <c r="C712" s="312"/>
      <c r="D712" s="313"/>
      <c r="E712" s="314"/>
      <c r="F712" s="318"/>
      <c r="G712" s="315"/>
      <c r="H712" s="314"/>
      <c r="I712" s="314"/>
      <c r="J712" s="314"/>
      <c r="K712" s="744"/>
      <c r="L712" s="736"/>
      <c r="M712" s="318"/>
      <c r="N712" s="315"/>
      <c r="O712" s="314"/>
      <c r="P712" s="435"/>
      <c r="Q712" s="314"/>
      <c r="R712" s="314"/>
      <c r="S712" s="848"/>
      <c r="T712" s="318"/>
      <c r="U712" s="315"/>
      <c r="V712" s="314"/>
      <c r="W712" s="314"/>
      <c r="X712" s="314"/>
      <c r="Y712" s="314"/>
      <c r="Z712" s="314"/>
      <c r="AA712" s="318"/>
      <c r="AB712" s="315"/>
      <c r="AC712" s="314"/>
      <c r="AD712" s="314"/>
      <c r="AE712" s="314"/>
      <c r="AF712" s="314"/>
      <c r="AG712" s="324"/>
      <c r="AH712" s="180"/>
      <c r="AI712" s="155"/>
      <c r="AJ712" s="322"/>
      <c r="AK712" s="132"/>
      <c r="AL712" s="132"/>
    </row>
    <row r="713">
      <c r="A713" s="474"/>
      <c r="B713" s="313"/>
      <c r="C713" s="745"/>
      <c r="D713" s="437"/>
      <c r="E713" s="314"/>
      <c r="F713" s="318"/>
      <c r="G713" s="315"/>
      <c r="H713" s="314"/>
      <c r="I713" s="435"/>
      <c r="J713" s="314"/>
      <c r="K713" s="315"/>
      <c r="L713" s="736"/>
      <c r="M713" s="318"/>
      <c r="N713" s="315"/>
      <c r="O713" s="314"/>
      <c r="P713" s="314"/>
      <c r="Q713" s="314"/>
      <c r="R713" s="314"/>
      <c r="S713" s="848"/>
      <c r="T713" s="318"/>
      <c r="U713" s="315"/>
      <c r="V713" s="314"/>
      <c r="W713" s="314"/>
      <c r="X713" s="314"/>
      <c r="Y713" s="314"/>
      <c r="Z713" s="314"/>
      <c r="AA713" s="318"/>
      <c r="AB713" s="315"/>
      <c r="AC713" s="314"/>
      <c r="AD713" s="314"/>
      <c r="AE713" s="314"/>
      <c r="AF713" s="314"/>
      <c r="AG713" s="324"/>
      <c r="AH713" s="180"/>
      <c r="AI713" s="155"/>
      <c r="AJ713" s="322"/>
      <c r="AK713" s="132"/>
      <c r="AL713" s="132"/>
    </row>
    <row r="714">
      <c r="A714" s="474"/>
      <c r="B714" s="313"/>
      <c r="C714" s="312"/>
      <c r="D714" s="313"/>
      <c r="E714" s="314"/>
      <c r="F714" s="318"/>
      <c r="G714" s="315"/>
      <c r="H714" s="314"/>
      <c r="I714" s="314"/>
      <c r="J714" s="314"/>
      <c r="K714" s="744"/>
      <c r="L714" s="736"/>
      <c r="M714" s="318"/>
      <c r="N714" s="315"/>
      <c r="O714" s="314"/>
      <c r="P714" s="314"/>
      <c r="Q714" s="314"/>
      <c r="R714" s="314"/>
      <c r="S714" s="848"/>
      <c r="T714" s="318"/>
      <c r="U714" s="315"/>
      <c r="V714" s="314"/>
      <c r="W714" s="314"/>
      <c r="X714" s="314"/>
      <c r="Y714" s="314"/>
      <c r="Z714" s="314"/>
      <c r="AA714" s="318"/>
      <c r="AB714" s="315"/>
      <c r="AC714" s="314"/>
      <c r="AD714" s="314"/>
      <c r="AE714" s="314"/>
      <c r="AF714" s="314"/>
      <c r="AG714" s="324"/>
      <c r="AH714" s="180"/>
      <c r="AI714" s="155"/>
      <c r="AJ714" s="322"/>
      <c r="AK714" s="132"/>
      <c r="AL714" s="132"/>
    </row>
    <row r="715">
      <c r="A715" s="458"/>
      <c r="B715" s="313"/>
      <c r="C715" s="745"/>
      <c r="D715" s="313"/>
      <c r="E715" s="314"/>
      <c r="F715" s="318"/>
      <c r="G715" s="315"/>
      <c r="H715" s="314"/>
      <c r="I715" s="314"/>
      <c r="J715" s="435"/>
      <c r="K715" s="744"/>
      <c r="L715" s="736"/>
      <c r="M715" s="318"/>
      <c r="N715" s="315"/>
      <c r="O715" s="314"/>
      <c r="P715" s="314"/>
      <c r="Q715" s="314"/>
      <c r="R715" s="314"/>
      <c r="S715" s="848"/>
      <c r="T715" s="318"/>
      <c r="U715" s="315"/>
      <c r="V715" s="314"/>
      <c r="W715" s="314"/>
      <c r="X715" s="314"/>
      <c r="Y715" s="314"/>
      <c r="Z715" s="314"/>
      <c r="AA715" s="318"/>
      <c r="AB715" s="315"/>
      <c r="AC715" s="314"/>
      <c r="AD715" s="314"/>
      <c r="AE715" s="314"/>
      <c r="AF715" s="314"/>
      <c r="AG715" s="324"/>
      <c r="AH715" s="180"/>
      <c r="AI715" s="155"/>
      <c r="AJ715" s="322"/>
      <c r="AK715" s="132"/>
      <c r="AL715" s="132"/>
    </row>
    <row r="716">
      <c r="A716" s="435"/>
      <c r="B716" s="313"/>
      <c r="C716" s="745"/>
      <c r="D716" s="437"/>
      <c r="E716" s="435"/>
      <c r="F716" s="318"/>
      <c r="G716" s="315"/>
      <c r="H716" s="435"/>
      <c r="I716" s="314"/>
      <c r="J716" s="314"/>
      <c r="K716" s="744"/>
      <c r="L716" s="736"/>
      <c r="M716" s="740"/>
      <c r="N716" s="744"/>
      <c r="O716" s="314"/>
      <c r="P716" s="314"/>
      <c r="Q716" s="314"/>
      <c r="R716" s="435"/>
      <c r="S716" s="848"/>
      <c r="T716" s="318"/>
      <c r="U716" s="315"/>
      <c r="V716" s="314"/>
      <c r="W716" s="314"/>
      <c r="X716" s="314"/>
      <c r="Y716" s="314"/>
      <c r="Z716" s="314"/>
      <c r="AA716" s="318"/>
      <c r="AB716" s="315"/>
      <c r="AC716" s="314"/>
      <c r="AD716" s="314"/>
      <c r="AE716" s="314"/>
      <c r="AF716" s="314"/>
      <c r="AG716" s="324"/>
      <c r="AH716" s="180"/>
      <c r="AI716" s="155"/>
      <c r="AJ716" s="322"/>
      <c r="AK716" s="132"/>
      <c r="AL716" s="132"/>
    </row>
    <row r="717">
      <c r="A717" s="435"/>
      <c r="B717" s="437"/>
      <c r="C717" s="312"/>
      <c r="D717" s="313"/>
      <c r="E717" s="314"/>
      <c r="F717" s="318"/>
      <c r="G717" s="315"/>
      <c r="H717" s="314"/>
      <c r="I717" s="314"/>
      <c r="J717" s="314"/>
      <c r="K717" s="315"/>
      <c r="L717" s="736"/>
      <c r="M717" s="318"/>
      <c r="N717" s="315"/>
      <c r="O717" s="314"/>
      <c r="P717" s="435"/>
      <c r="Q717" s="314"/>
      <c r="R717" s="314"/>
      <c r="S717" s="848"/>
      <c r="T717" s="318"/>
      <c r="U717" s="315"/>
      <c r="V717" s="314"/>
      <c r="W717" s="314"/>
      <c r="X717" s="314"/>
      <c r="Y717" s="314"/>
      <c r="Z717" s="314"/>
      <c r="AA717" s="318"/>
      <c r="AB717" s="315"/>
      <c r="AC717" s="314"/>
      <c r="AD717" s="314"/>
      <c r="AE717" s="314"/>
      <c r="AF717" s="314"/>
      <c r="AG717" s="324"/>
      <c r="AH717" s="180"/>
      <c r="AI717" s="155"/>
      <c r="AJ717" s="322"/>
      <c r="AK717" s="132"/>
      <c r="AL717" s="132"/>
    </row>
    <row r="718">
      <c r="A718" s="435"/>
      <c r="B718" s="437"/>
      <c r="C718" s="312"/>
      <c r="D718" s="313"/>
      <c r="E718" s="314"/>
      <c r="F718" s="318"/>
      <c r="G718" s="315"/>
      <c r="H718" s="314"/>
      <c r="I718" s="314"/>
      <c r="J718" s="314"/>
      <c r="K718" s="315"/>
      <c r="L718" s="736"/>
      <c r="M718" s="318"/>
      <c r="N718" s="315"/>
      <c r="O718" s="314"/>
      <c r="P718" s="314"/>
      <c r="Q718" s="435"/>
      <c r="R718" s="314"/>
      <c r="S718" s="849"/>
      <c r="T718" s="740"/>
      <c r="U718" s="744"/>
      <c r="V718" s="435"/>
      <c r="W718" s="435"/>
      <c r="X718" s="435"/>
      <c r="Y718" s="435"/>
      <c r="Z718" s="435"/>
      <c r="AA718" s="740"/>
      <c r="AB718" s="744"/>
      <c r="AC718" s="435"/>
      <c r="AD718" s="435"/>
      <c r="AE718" s="435"/>
      <c r="AF718" s="435"/>
      <c r="AG718" s="324"/>
      <c r="AH718" s="180"/>
      <c r="AI718" s="155"/>
      <c r="AJ718" s="322"/>
      <c r="AK718" s="132"/>
      <c r="AL718" s="132"/>
    </row>
    <row r="719">
      <c r="A719" s="435"/>
      <c r="B719" s="313"/>
      <c r="C719" s="745"/>
      <c r="D719" s="313"/>
      <c r="E719" s="314"/>
      <c r="F719" s="318"/>
      <c r="G719" s="315"/>
      <c r="H719" s="314"/>
      <c r="I719" s="314"/>
      <c r="J719" s="314"/>
      <c r="K719" s="315"/>
      <c r="L719" s="736"/>
      <c r="M719" s="318"/>
      <c r="N719" s="315"/>
      <c r="O719" s="314"/>
      <c r="P719" s="314"/>
      <c r="Q719" s="314"/>
      <c r="R719" s="435"/>
      <c r="S719" s="848"/>
      <c r="T719" s="318"/>
      <c r="U719" s="315"/>
      <c r="V719" s="314"/>
      <c r="W719" s="314"/>
      <c r="X719" s="314"/>
      <c r="Y719" s="314"/>
      <c r="Z719" s="314"/>
      <c r="AA719" s="318"/>
      <c r="AB719" s="315"/>
      <c r="AC719" s="314"/>
      <c r="AD719" s="314"/>
      <c r="AE719" s="314"/>
      <c r="AF719" s="314"/>
      <c r="AG719" s="324"/>
      <c r="AH719" s="180"/>
      <c r="AI719" s="155"/>
      <c r="AJ719" s="322"/>
      <c r="AK719" s="132"/>
      <c r="AL719" s="132"/>
    </row>
    <row r="720">
      <c r="A720" s="435"/>
      <c r="B720" s="313"/>
      <c r="C720" s="312"/>
      <c r="D720" s="313"/>
      <c r="E720" s="314"/>
      <c r="F720" s="318"/>
      <c r="G720" s="315"/>
      <c r="H720" s="314"/>
      <c r="I720" s="314"/>
      <c r="J720" s="314"/>
      <c r="K720" s="744"/>
      <c r="L720" s="736"/>
      <c r="M720" s="740"/>
      <c r="N720" s="315"/>
      <c r="O720" s="314"/>
      <c r="P720" s="314"/>
      <c r="Q720" s="435"/>
      <c r="R720" s="314"/>
      <c r="S720" s="848"/>
      <c r="T720" s="318"/>
      <c r="U720" s="315"/>
      <c r="V720" s="314"/>
      <c r="W720" s="314"/>
      <c r="X720" s="314"/>
      <c r="Y720" s="314"/>
      <c r="Z720" s="314"/>
      <c r="AA720" s="318"/>
      <c r="AB720" s="315"/>
      <c r="AC720" s="314"/>
      <c r="AD720" s="314"/>
      <c r="AE720" s="314"/>
      <c r="AF720" s="314"/>
      <c r="AG720" s="324"/>
      <c r="AH720" s="180"/>
      <c r="AI720" s="155"/>
      <c r="AJ720" s="322"/>
      <c r="AK720" s="132"/>
      <c r="AL720" s="132"/>
    </row>
    <row r="721">
      <c r="A721" s="435"/>
      <c r="B721" s="313"/>
      <c r="C721" s="745"/>
      <c r="D721" s="437"/>
      <c r="E721" s="314"/>
      <c r="F721" s="318"/>
      <c r="G721" s="315"/>
      <c r="H721" s="314"/>
      <c r="I721" s="314"/>
      <c r="J721" s="314"/>
      <c r="K721" s="744"/>
      <c r="L721" s="736"/>
      <c r="M721" s="740"/>
      <c r="N721" s="315"/>
      <c r="O721" s="314"/>
      <c r="P721" s="314"/>
      <c r="Q721" s="435"/>
      <c r="R721" s="314"/>
      <c r="S721" s="848"/>
      <c r="T721" s="318"/>
      <c r="U721" s="315"/>
      <c r="V721" s="314"/>
      <c r="W721" s="314"/>
      <c r="X721" s="314"/>
      <c r="Y721" s="314"/>
      <c r="Z721" s="314"/>
      <c r="AA721" s="318"/>
      <c r="AB721" s="315"/>
      <c r="AC721" s="314"/>
      <c r="AD721" s="314"/>
      <c r="AE721" s="314"/>
      <c r="AF721" s="314"/>
      <c r="AG721" s="324"/>
      <c r="AH721" s="180"/>
      <c r="AI721" s="155"/>
      <c r="AJ721" s="322"/>
      <c r="AK721" s="132"/>
      <c r="AL721" s="132"/>
    </row>
    <row r="722">
      <c r="A722" s="476"/>
      <c r="AI722" s="176"/>
      <c r="AJ722" s="322"/>
      <c r="AK722" s="132"/>
      <c r="AL722" s="132"/>
    </row>
    <row r="723">
      <c r="A723" s="178"/>
      <c r="AJ723" s="322"/>
      <c r="AK723" s="132"/>
      <c r="AL723" s="132"/>
    </row>
    <row r="724">
      <c r="A724" s="474"/>
      <c r="B724" s="437"/>
      <c r="C724" s="745"/>
      <c r="D724" s="437"/>
      <c r="E724" s="435"/>
      <c r="F724" s="318"/>
      <c r="G724" s="315"/>
      <c r="H724" s="314"/>
      <c r="I724" s="435"/>
      <c r="J724" s="435"/>
      <c r="K724" s="744"/>
      <c r="L724" s="839"/>
      <c r="M724" s="740"/>
      <c r="N724" s="744"/>
      <c r="O724" s="314"/>
      <c r="P724" s="435"/>
      <c r="Q724" s="435"/>
      <c r="R724" s="435"/>
      <c r="S724" s="849"/>
      <c r="T724" s="740"/>
      <c r="U724" s="744"/>
      <c r="V724" s="435"/>
      <c r="W724" s="435"/>
      <c r="X724" s="435"/>
      <c r="Y724" s="435"/>
      <c r="Z724" s="435"/>
      <c r="AA724" s="740"/>
      <c r="AB724" s="744"/>
      <c r="AC724" s="435"/>
      <c r="AD724" s="435"/>
      <c r="AE724" s="435"/>
      <c r="AF724" s="435"/>
      <c r="AG724" s="324"/>
      <c r="AH724" s="180"/>
      <c r="AI724" s="155"/>
      <c r="AJ724" s="322"/>
      <c r="AK724" s="132"/>
      <c r="AL724" s="132"/>
    </row>
    <row r="725">
      <c r="A725" s="474"/>
      <c r="B725" s="313"/>
      <c r="C725" s="745"/>
      <c r="D725" s="437"/>
      <c r="E725" s="435"/>
      <c r="F725" s="318"/>
      <c r="G725" s="315"/>
      <c r="H725" s="435"/>
      <c r="I725" s="314"/>
      <c r="J725" s="435"/>
      <c r="K725" s="744"/>
      <c r="L725" s="839"/>
      <c r="M725" s="318"/>
      <c r="N725" s="315"/>
      <c r="O725" s="314"/>
      <c r="P725" s="435"/>
      <c r="Q725" s="435"/>
      <c r="R725" s="435"/>
      <c r="S725" s="849"/>
      <c r="T725" s="740"/>
      <c r="U725" s="744"/>
      <c r="V725" s="435"/>
      <c r="W725" s="435"/>
      <c r="X725" s="435"/>
      <c r="Y725" s="435"/>
      <c r="Z725" s="435"/>
      <c r="AA725" s="740"/>
      <c r="AB725" s="744"/>
      <c r="AC725" s="435"/>
      <c r="AD725" s="435"/>
      <c r="AE725" s="435"/>
      <c r="AF725" s="435"/>
      <c r="AG725" s="324"/>
      <c r="AH725" s="180"/>
      <c r="AI725" s="155"/>
      <c r="AJ725" s="322"/>
      <c r="AK725" s="132"/>
      <c r="AL725" s="132"/>
    </row>
    <row r="726">
      <c r="A726" s="477"/>
      <c r="B726" s="437"/>
      <c r="C726" s="745"/>
      <c r="D726" s="437"/>
      <c r="E726" s="314"/>
      <c r="F726" s="318"/>
      <c r="G726" s="315"/>
      <c r="H726" s="435"/>
      <c r="I726" s="435"/>
      <c r="J726" s="435"/>
      <c r="K726" s="744"/>
      <c r="L726" s="839"/>
      <c r="M726" s="740"/>
      <c r="N726" s="744"/>
      <c r="O726" s="314"/>
      <c r="P726" s="435"/>
      <c r="Q726" s="435"/>
      <c r="R726" s="435"/>
      <c r="S726" s="849"/>
      <c r="T726" s="740"/>
      <c r="U726" s="744"/>
      <c r="V726" s="435"/>
      <c r="W726" s="435"/>
      <c r="X726" s="435"/>
      <c r="Y726" s="435"/>
      <c r="Z726" s="435"/>
      <c r="AA726" s="740"/>
      <c r="AB726" s="744"/>
      <c r="AC726" s="435"/>
      <c r="AD726" s="435"/>
      <c r="AE726" s="435"/>
      <c r="AF726" s="435"/>
      <c r="AG726" s="324"/>
      <c r="AH726" s="180"/>
      <c r="AI726" s="155"/>
      <c r="AJ726" s="322"/>
      <c r="AK726" s="132"/>
      <c r="AL726" s="132"/>
    </row>
    <row r="727">
      <c r="A727" s="477"/>
      <c r="B727" s="437"/>
      <c r="C727" s="745"/>
      <c r="D727" s="437"/>
      <c r="E727" s="314"/>
      <c r="F727" s="318"/>
      <c r="G727" s="315"/>
      <c r="H727" s="435"/>
      <c r="I727" s="314"/>
      <c r="J727" s="314"/>
      <c r="K727" s="744"/>
      <c r="L727" s="839"/>
      <c r="M727" s="740"/>
      <c r="N727" s="315"/>
      <c r="O727" s="314"/>
      <c r="P727" s="435"/>
      <c r="Q727" s="435"/>
      <c r="R727" s="435"/>
      <c r="S727" s="849"/>
      <c r="T727" s="740"/>
      <c r="U727" s="744"/>
      <c r="V727" s="435"/>
      <c r="W727" s="435"/>
      <c r="X727" s="435"/>
      <c r="Y727" s="435"/>
      <c r="Z727" s="435"/>
      <c r="AA727" s="740"/>
      <c r="AB727" s="744"/>
      <c r="AC727" s="435"/>
      <c r="AD727" s="435"/>
      <c r="AE727" s="435"/>
      <c r="AF727" s="435"/>
      <c r="AG727" s="324"/>
      <c r="AH727" s="180"/>
      <c r="AI727" s="155"/>
      <c r="AJ727" s="322"/>
      <c r="AK727" s="132"/>
      <c r="AL727" s="132"/>
    </row>
    <row r="728">
      <c r="A728" s="477"/>
      <c r="B728" s="437"/>
      <c r="C728" s="745"/>
      <c r="D728" s="437"/>
      <c r="E728" s="435"/>
      <c r="F728" s="318"/>
      <c r="G728" s="315"/>
      <c r="H728" s="435"/>
      <c r="I728" s="435"/>
      <c r="J728" s="435"/>
      <c r="K728" s="744"/>
      <c r="L728" s="839"/>
      <c r="M728" s="740"/>
      <c r="N728" s="744"/>
      <c r="O728" s="314"/>
      <c r="P728" s="435"/>
      <c r="Q728" s="435"/>
      <c r="R728" s="435"/>
      <c r="S728" s="849"/>
      <c r="T728" s="740"/>
      <c r="U728" s="744"/>
      <c r="V728" s="435"/>
      <c r="W728" s="435"/>
      <c r="X728" s="435"/>
      <c r="Y728" s="435"/>
      <c r="Z728" s="435"/>
      <c r="AA728" s="740"/>
      <c r="AB728" s="744"/>
      <c r="AC728" s="435"/>
      <c r="AD728" s="435"/>
      <c r="AE728" s="435"/>
      <c r="AF728" s="435"/>
      <c r="AG728" s="324"/>
      <c r="AH728" s="180"/>
      <c r="AI728" s="155"/>
      <c r="AJ728" s="322"/>
      <c r="AK728" s="132"/>
      <c r="AL728" s="132"/>
    </row>
    <row r="729">
      <c r="A729" s="474"/>
      <c r="B729" s="313"/>
      <c r="C729" s="745"/>
      <c r="D729" s="313"/>
      <c r="E729" s="435"/>
      <c r="F729" s="318"/>
      <c r="G729" s="315"/>
      <c r="H729" s="435"/>
      <c r="I729" s="314"/>
      <c r="J729" s="435"/>
      <c r="K729" s="744"/>
      <c r="L729" s="736"/>
      <c r="M729" s="740"/>
      <c r="N729" s="315"/>
      <c r="O729" s="314"/>
      <c r="P729" s="435"/>
      <c r="Q729" s="435"/>
      <c r="R729" s="435"/>
      <c r="S729" s="849"/>
      <c r="T729" s="740"/>
      <c r="U729" s="744"/>
      <c r="V729" s="435"/>
      <c r="W729" s="435"/>
      <c r="X729" s="435"/>
      <c r="Y729" s="435"/>
      <c r="Z729" s="435"/>
      <c r="AA729" s="740"/>
      <c r="AB729" s="744"/>
      <c r="AC729" s="435"/>
      <c r="AD729" s="435"/>
      <c r="AE729" s="435"/>
      <c r="AF729" s="435"/>
      <c r="AG729" s="324"/>
      <c r="AH729" s="180"/>
      <c r="AI729" s="155"/>
      <c r="AJ729" s="322"/>
      <c r="AK729" s="132"/>
      <c r="AL729" s="132"/>
    </row>
    <row r="730">
      <c r="A730" s="478"/>
      <c r="B730" s="437"/>
      <c r="C730" s="745"/>
      <c r="D730" s="437"/>
      <c r="E730" s="435"/>
      <c r="F730" s="318"/>
      <c r="G730" s="315"/>
      <c r="H730" s="435"/>
      <c r="I730" s="435"/>
      <c r="J730" s="435"/>
      <c r="K730" s="744"/>
      <c r="L730" s="839"/>
      <c r="M730" s="740"/>
      <c r="N730" s="744"/>
      <c r="O730" s="314"/>
      <c r="P730" s="435"/>
      <c r="Q730" s="435"/>
      <c r="R730" s="435"/>
      <c r="S730" s="849"/>
      <c r="T730" s="740"/>
      <c r="U730" s="744"/>
      <c r="V730" s="435"/>
      <c r="W730" s="435"/>
      <c r="X730" s="435"/>
      <c r="Y730" s="435"/>
      <c r="Z730" s="435"/>
      <c r="AA730" s="740"/>
      <c r="AB730" s="744"/>
      <c r="AC730" s="435"/>
      <c r="AD730" s="435"/>
      <c r="AE730" s="435"/>
      <c r="AF730" s="435"/>
      <c r="AG730" s="324"/>
      <c r="AH730" s="180"/>
      <c r="AI730" s="155"/>
      <c r="AJ730" s="322"/>
      <c r="AK730" s="132"/>
      <c r="AL730" s="132"/>
    </row>
    <row r="731">
      <c r="A731" s="478"/>
      <c r="B731" s="437"/>
      <c r="C731" s="745"/>
      <c r="D731" s="437"/>
      <c r="E731" s="435"/>
      <c r="F731" s="318"/>
      <c r="G731" s="315"/>
      <c r="H731" s="435"/>
      <c r="I731" s="435"/>
      <c r="J731" s="435"/>
      <c r="K731" s="744"/>
      <c r="L731" s="839"/>
      <c r="M731" s="740"/>
      <c r="N731" s="744"/>
      <c r="O731" s="314"/>
      <c r="P731" s="435"/>
      <c r="Q731" s="435"/>
      <c r="R731" s="435"/>
      <c r="S731" s="849"/>
      <c r="T731" s="740"/>
      <c r="U731" s="744"/>
      <c r="V731" s="435"/>
      <c r="W731" s="435"/>
      <c r="X731" s="435"/>
      <c r="Y731" s="435"/>
      <c r="Z731" s="435"/>
      <c r="AA731" s="740"/>
      <c r="AB731" s="744"/>
      <c r="AC731" s="435"/>
      <c r="AD731" s="435"/>
      <c r="AE731" s="435"/>
      <c r="AF731" s="435"/>
      <c r="AG731" s="324"/>
      <c r="AH731" s="180"/>
      <c r="AI731" s="155"/>
      <c r="AJ731" s="322"/>
      <c r="AK731" s="132"/>
      <c r="AL731" s="132"/>
    </row>
    <row r="732">
      <c r="A732" s="478"/>
      <c r="B732" s="437"/>
      <c r="C732" s="745"/>
      <c r="D732" s="313"/>
      <c r="E732" s="314"/>
      <c r="F732" s="318"/>
      <c r="G732" s="315"/>
      <c r="H732" s="435"/>
      <c r="I732" s="435"/>
      <c r="J732" s="314"/>
      <c r="K732" s="744"/>
      <c r="L732" s="736"/>
      <c r="M732" s="740"/>
      <c r="N732" s="315"/>
      <c r="O732" s="314"/>
      <c r="P732" s="314"/>
      <c r="Q732" s="314"/>
      <c r="R732" s="314"/>
      <c r="S732" s="849"/>
      <c r="T732" s="740"/>
      <c r="U732" s="744"/>
      <c r="V732" s="435"/>
      <c r="W732" s="435"/>
      <c r="X732" s="435"/>
      <c r="Y732" s="435"/>
      <c r="Z732" s="435"/>
      <c r="AA732" s="740"/>
      <c r="AB732" s="744"/>
      <c r="AC732" s="435"/>
      <c r="AD732" s="435"/>
      <c r="AE732" s="435"/>
      <c r="AF732" s="435"/>
      <c r="AG732" s="324"/>
      <c r="AH732" s="180"/>
      <c r="AI732" s="155"/>
      <c r="AJ732" s="322"/>
      <c r="AK732" s="132"/>
      <c r="AL732" s="132"/>
    </row>
    <row r="733">
      <c r="A733" s="477"/>
      <c r="B733" s="313"/>
      <c r="C733" s="745"/>
      <c r="D733" s="437"/>
      <c r="E733" s="435"/>
      <c r="F733" s="318"/>
      <c r="G733" s="315"/>
      <c r="H733" s="435"/>
      <c r="I733" s="435"/>
      <c r="J733" s="435"/>
      <c r="K733" s="744"/>
      <c r="L733" s="839"/>
      <c r="M733" s="740"/>
      <c r="N733" s="744"/>
      <c r="O733" s="314"/>
      <c r="P733" s="435"/>
      <c r="Q733" s="435"/>
      <c r="R733" s="435"/>
      <c r="S733" s="849"/>
      <c r="T733" s="740"/>
      <c r="U733" s="744"/>
      <c r="V733" s="435"/>
      <c r="W733" s="435"/>
      <c r="X733" s="435"/>
      <c r="Y733" s="435"/>
      <c r="Z733" s="435"/>
      <c r="AA733" s="740"/>
      <c r="AB733" s="744"/>
      <c r="AC733" s="435"/>
      <c r="AD733" s="435"/>
      <c r="AE733" s="435"/>
      <c r="AF733" s="435"/>
      <c r="AG733" s="324"/>
      <c r="AH733" s="180"/>
      <c r="AI733" s="155"/>
      <c r="AJ733" s="322"/>
      <c r="AK733" s="132"/>
      <c r="AL733" s="132"/>
    </row>
    <row r="734">
      <c r="A734" s="477"/>
      <c r="B734" s="313"/>
      <c r="C734" s="312"/>
      <c r="D734" s="313"/>
      <c r="E734" s="314"/>
      <c r="F734" s="318"/>
      <c r="G734" s="315"/>
      <c r="H734" s="435"/>
      <c r="I734" s="314"/>
      <c r="J734" s="314"/>
      <c r="K734" s="315"/>
      <c r="L734" s="736"/>
      <c r="M734" s="318"/>
      <c r="N734" s="744"/>
      <c r="O734" s="314"/>
      <c r="P734" s="314"/>
      <c r="Q734" s="435"/>
      <c r="R734" s="314"/>
      <c r="S734" s="848"/>
      <c r="T734" s="318"/>
      <c r="U734" s="315"/>
      <c r="V734" s="314"/>
      <c r="W734" s="314"/>
      <c r="X734" s="314"/>
      <c r="Y734" s="314"/>
      <c r="Z734" s="314"/>
      <c r="AA734" s="318"/>
      <c r="AB734" s="315"/>
      <c r="AC734" s="314"/>
      <c r="AD734" s="314"/>
      <c r="AE734" s="314"/>
      <c r="AF734" s="314"/>
      <c r="AG734" s="324"/>
      <c r="AH734" s="180"/>
      <c r="AI734" s="155"/>
      <c r="AJ734" s="322"/>
      <c r="AK734" s="132"/>
      <c r="AL734" s="132"/>
    </row>
    <row r="735">
      <c r="A735" s="477"/>
      <c r="B735" s="313"/>
      <c r="C735" s="312"/>
      <c r="D735" s="313"/>
      <c r="E735" s="314"/>
      <c r="F735" s="318"/>
      <c r="G735" s="315"/>
      <c r="H735" s="314"/>
      <c r="I735" s="314"/>
      <c r="J735" s="314"/>
      <c r="K735" s="315"/>
      <c r="L735" s="736"/>
      <c r="M735" s="318"/>
      <c r="N735" s="315"/>
      <c r="O735" s="314"/>
      <c r="P735" s="314"/>
      <c r="Q735" s="314"/>
      <c r="R735" s="314"/>
      <c r="S735" s="848"/>
      <c r="T735" s="318"/>
      <c r="U735" s="315"/>
      <c r="V735" s="314"/>
      <c r="W735" s="314"/>
      <c r="X735" s="314"/>
      <c r="Y735" s="314"/>
      <c r="Z735" s="314"/>
      <c r="AA735" s="318"/>
      <c r="AB735" s="315"/>
      <c r="AC735" s="314"/>
      <c r="AD735" s="314"/>
      <c r="AE735" s="314"/>
      <c r="AF735" s="314"/>
      <c r="AG735" s="324"/>
      <c r="AH735" s="180"/>
      <c r="AI735" s="155"/>
      <c r="AJ735" s="322"/>
      <c r="AK735" s="132"/>
      <c r="AL735" s="132"/>
    </row>
    <row r="736">
      <c r="A736" s="476"/>
      <c r="AI736" s="176"/>
      <c r="AJ736" s="322"/>
      <c r="AK736" s="132"/>
      <c r="AL736" s="132"/>
    </row>
    <row r="737">
      <c r="A737" s="178"/>
      <c r="AJ737" s="322"/>
      <c r="AK737" s="132"/>
      <c r="AL737" s="132"/>
    </row>
    <row r="738">
      <c r="A738" s="477"/>
      <c r="B738" s="437"/>
      <c r="C738" s="745"/>
      <c r="D738" s="437"/>
      <c r="E738" s="314"/>
      <c r="F738" s="318"/>
      <c r="G738" s="315"/>
      <c r="H738" s="314"/>
      <c r="I738" s="314"/>
      <c r="J738" s="314"/>
      <c r="K738" s="744"/>
      <c r="L738" s="839"/>
      <c r="M738" s="318"/>
      <c r="N738" s="315"/>
      <c r="O738" s="314"/>
      <c r="P738" s="314"/>
      <c r="Q738" s="435"/>
      <c r="R738" s="435"/>
      <c r="S738" s="849"/>
      <c r="T738" s="740"/>
      <c r="U738" s="744"/>
      <c r="V738" s="435"/>
      <c r="W738" s="435"/>
      <c r="X738" s="435"/>
      <c r="Y738" s="435"/>
      <c r="Z738" s="435"/>
      <c r="AA738" s="740"/>
      <c r="AB738" s="744"/>
      <c r="AC738" s="435"/>
      <c r="AD738" s="435"/>
      <c r="AE738" s="435"/>
      <c r="AF738" s="435"/>
      <c r="AG738" s="324"/>
      <c r="AH738" s="180"/>
      <c r="AI738" s="155"/>
      <c r="AJ738" s="322"/>
      <c r="AK738" s="132"/>
      <c r="AL738" s="132"/>
    </row>
    <row r="739">
      <c r="A739" s="477"/>
      <c r="B739" s="313"/>
      <c r="C739" s="745"/>
      <c r="D739" s="437"/>
      <c r="E739" s="314"/>
      <c r="F739" s="318"/>
      <c r="G739" s="315"/>
      <c r="H739" s="314"/>
      <c r="I739" s="435"/>
      <c r="J739" s="435"/>
      <c r="K739" s="744"/>
      <c r="L739" s="736"/>
      <c r="M739" s="740"/>
      <c r="N739" s="315"/>
      <c r="O739" s="314"/>
      <c r="P739" s="314"/>
      <c r="Q739" s="435"/>
      <c r="R739" s="435"/>
      <c r="S739" s="849"/>
      <c r="T739" s="740"/>
      <c r="U739" s="744"/>
      <c r="V739" s="435"/>
      <c r="W739" s="435"/>
      <c r="X739" s="435"/>
      <c r="Y739" s="435"/>
      <c r="Z739" s="435"/>
      <c r="AA739" s="740"/>
      <c r="AB739" s="744"/>
      <c r="AC739" s="435"/>
      <c r="AD739" s="435"/>
      <c r="AE739" s="435"/>
      <c r="AF739" s="435"/>
      <c r="AG739" s="324"/>
      <c r="AH739" s="180"/>
      <c r="AI739" s="155"/>
      <c r="AJ739" s="322"/>
      <c r="AK739" s="132"/>
      <c r="AL739" s="132"/>
    </row>
    <row r="740">
      <c r="A740" s="477"/>
      <c r="B740" s="313"/>
      <c r="C740" s="745"/>
      <c r="D740" s="437"/>
      <c r="E740" s="435"/>
      <c r="F740" s="318"/>
      <c r="G740" s="315"/>
      <c r="H740" s="435"/>
      <c r="I740" s="314"/>
      <c r="J740" s="314"/>
      <c r="K740" s="744"/>
      <c r="L740" s="736"/>
      <c r="M740" s="740"/>
      <c r="N740" s="744"/>
      <c r="O740" s="314"/>
      <c r="P740" s="435"/>
      <c r="Q740" s="435"/>
      <c r="R740" s="435"/>
      <c r="S740" s="849"/>
      <c r="T740" s="740"/>
      <c r="U740" s="744"/>
      <c r="V740" s="435"/>
      <c r="W740" s="435"/>
      <c r="X740" s="435"/>
      <c r="Y740" s="435"/>
      <c r="Z740" s="435"/>
      <c r="AA740" s="740"/>
      <c r="AB740" s="744"/>
      <c r="AC740" s="435"/>
      <c r="AD740" s="435"/>
      <c r="AE740" s="435"/>
      <c r="AF740" s="435"/>
      <c r="AG740" s="324"/>
      <c r="AH740" s="180"/>
      <c r="AI740" s="155"/>
      <c r="AJ740" s="322"/>
      <c r="AK740" s="132"/>
      <c r="AL740" s="132"/>
    </row>
    <row r="741">
      <c r="A741" s="479"/>
      <c r="B741" s="313"/>
      <c r="C741" s="312"/>
      <c r="D741" s="313"/>
      <c r="E741" s="314"/>
      <c r="F741" s="318"/>
      <c r="G741" s="315"/>
      <c r="H741" s="314"/>
      <c r="I741" s="314"/>
      <c r="J741" s="314"/>
      <c r="K741" s="315"/>
      <c r="L741" s="736"/>
      <c r="M741" s="318"/>
      <c r="N741" s="315"/>
      <c r="O741" s="314"/>
      <c r="P741" s="314"/>
      <c r="Q741" s="435"/>
      <c r="R741" s="314"/>
      <c r="S741" s="848"/>
      <c r="T741" s="318"/>
      <c r="U741" s="315"/>
      <c r="V741" s="314"/>
      <c r="W741" s="314"/>
      <c r="X741" s="314"/>
      <c r="Y741" s="314"/>
      <c r="Z741" s="314"/>
      <c r="AA741" s="318"/>
      <c r="AB741" s="315"/>
      <c r="AC741" s="314"/>
      <c r="AD741" s="314"/>
      <c r="AE741" s="314"/>
      <c r="AF741" s="314"/>
      <c r="AG741" s="324"/>
      <c r="AH741" s="180"/>
      <c r="AI741" s="155"/>
      <c r="AJ741" s="322"/>
      <c r="AK741" s="132"/>
      <c r="AL741" s="132"/>
    </row>
    <row r="742">
      <c r="A742" s="476"/>
      <c r="AI742" s="176"/>
      <c r="AJ742" s="322"/>
      <c r="AK742" s="132"/>
      <c r="AL742" s="132"/>
    </row>
    <row r="743">
      <c r="A743" s="178"/>
      <c r="AJ743" s="322"/>
      <c r="AK743" s="132"/>
      <c r="AL743" s="132"/>
    </row>
    <row r="744">
      <c r="A744" s="480"/>
      <c r="B744" s="313"/>
      <c r="C744" s="745"/>
      <c r="D744" s="313"/>
      <c r="E744" s="314"/>
      <c r="F744" s="318"/>
      <c r="G744" s="315"/>
      <c r="H744" s="314"/>
      <c r="I744" s="314"/>
      <c r="J744" s="435"/>
      <c r="K744" s="744"/>
      <c r="L744" s="736"/>
      <c r="M744" s="318"/>
      <c r="N744" s="315"/>
      <c r="O744" s="314"/>
      <c r="P744" s="314"/>
      <c r="Q744" s="435"/>
      <c r="R744" s="314"/>
      <c r="S744" s="848"/>
      <c r="T744" s="318"/>
      <c r="U744" s="315"/>
      <c r="V744" s="314"/>
      <c r="W744" s="314"/>
      <c r="X744" s="314"/>
      <c r="Y744" s="314"/>
      <c r="Z744" s="314"/>
      <c r="AA744" s="318"/>
      <c r="AB744" s="315"/>
      <c r="AC744" s="314"/>
      <c r="AD744" s="314"/>
      <c r="AE744" s="314"/>
      <c r="AF744" s="314"/>
      <c r="AG744" s="324"/>
      <c r="AH744" s="180"/>
      <c r="AI744" s="180"/>
      <c r="AJ744" s="322"/>
      <c r="AK744" s="132"/>
      <c r="AL744" s="132"/>
    </row>
    <row r="745">
      <c r="A745" s="480"/>
      <c r="B745" s="313"/>
      <c r="C745" s="745"/>
      <c r="D745" s="313"/>
      <c r="E745" s="314"/>
      <c r="F745" s="318"/>
      <c r="G745" s="315"/>
      <c r="H745" s="435"/>
      <c r="I745" s="314"/>
      <c r="J745" s="435"/>
      <c r="K745" s="744"/>
      <c r="L745" s="736"/>
      <c r="M745" s="740"/>
      <c r="N745" s="744"/>
      <c r="O745" s="314"/>
      <c r="P745" s="435"/>
      <c r="Q745" s="435"/>
      <c r="R745" s="314"/>
      <c r="S745" s="849"/>
      <c r="T745" s="740"/>
      <c r="U745" s="744"/>
      <c r="V745" s="435"/>
      <c r="W745" s="435"/>
      <c r="X745" s="435"/>
      <c r="Y745" s="435"/>
      <c r="Z745" s="435"/>
      <c r="AA745" s="740"/>
      <c r="AB745" s="744"/>
      <c r="AC745" s="435"/>
      <c r="AD745" s="435"/>
      <c r="AE745" s="435"/>
      <c r="AF745" s="435"/>
      <c r="AG745" s="324"/>
      <c r="AH745" s="180"/>
      <c r="AI745" s="180"/>
      <c r="AJ745" s="322"/>
      <c r="AK745" s="132"/>
      <c r="AL745" s="132"/>
    </row>
    <row r="746">
      <c r="A746" s="476"/>
      <c r="AI746" s="176"/>
      <c r="AJ746" s="322"/>
      <c r="AK746" s="132"/>
      <c r="AL746" s="132"/>
    </row>
    <row r="747">
      <c r="A747" s="178"/>
      <c r="AJ747" s="322"/>
      <c r="AK747" s="132"/>
      <c r="AL747" s="132"/>
    </row>
    <row r="748">
      <c r="A748" s="481"/>
      <c r="B748" s="313"/>
      <c r="C748" s="745"/>
      <c r="D748" s="437"/>
      <c r="E748" s="435"/>
      <c r="F748" s="318"/>
      <c r="G748" s="744"/>
      <c r="H748" s="435"/>
      <c r="I748" s="435"/>
      <c r="J748" s="314"/>
      <c r="K748" s="744"/>
      <c r="L748" s="839"/>
      <c r="M748" s="740"/>
      <c r="N748" s="315"/>
      <c r="O748" s="314"/>
      <c r="P748" s="435"/>
      <c r="Q748" s="435"/>
      <c r="R748" s="435"/>
      <c r="S748" s="849"/>
      <c r="T748" s="740"/>
      <c r="U748" s="744"/>
      <c r="V748" s="435"/>
      <c r="W748" s="435"/>
      <c r="X748" s="435"/>
      <c r="Y748" s="435"/>
      <c r="Z748" s="435"/>
      <c r="AA748" s="740"/>
      <c r="AB748" s="744"/>
      <c r="AC748" s="435"/>
      <c r="AD748" s="435"/>
      <c r="AE748" s="435"/>
      <c r="AF748" s="435"/>
      <c r="AG748" s="324"/>
      <c r="AH748" s="180"/>
      <c r="AI748" s="155"/>
      <c r="AJ748" s="322"/>
      <c r="AK748" s="132"/>
      <c r="AL748" s="132"/>
    </row>
    <row r="749">
      <c r="A749" s="435"/>
      <c r="B749" s="313"/>
      <c r="C749" s="745"/>
      <c r="D749" s="437"/>
      <c r="E749" s="314"/>
      <c r="F749" s="318"/>
      <c r="G749" s="315"/>
      <c r="H749" s="435"/>
      <c r="I749" s="314"/>
      <c r="J749" s="435"/>
      <c r="K749" s="744"/>
      <c r="L749" s="736"/>
      <c r="M749" s="318"/>
      <c r="N749" s="315"/>
      <c r="O749" s="314"/>
      <c r="P749" s="435"/>
      <c r="Q749" s="435"/>
      <c r="R749" s="435"/>
      <c r="S749" s="849"/>
      <c r="T749" s="740"/>
      <c r="U749" s="744"/>
      <c r="V749" s="435"/>
      <c r="W749" s="435"/>
      <c r="X749" s="435"/>
      <c r="Y749" s="435"/>
      <c r="Z749" s="435"/>
      <c r="AA749" s="740"/>
      <c r="AB749" s="744"/>
      <c r="AC749" s="435"/>
      <c r="AD749" s="435"/>
      <c r="AE749" s="435"/>
      <c r="AF749" s="435"/>
      <c r="AG749" s="324"/>
      <c r="AH749" s="180"/>
      <c r="AI749" s="155"/>
      <c r="AJ749" s="322"/>
      <c r="AK749" s="132"/>
      <c r="AL749" s="132"/>
    </row>
    <row r="750">
      <c r="A750" s="482"/>
      <c r="B750" s="313"/>
      <c r="C750" s="312"/>
      <c r="D750" s="437"/>
      <c r="E750" s="314"/>
      <c r="F750" s="318"/>
      <c r="G750" s="315"/>
      <c r="H750" s="314"/>
      <c r="I750" s="314"/>
      <c r="J750" s="314"/>
      <c r="K750" s="744"/>
      <c r="L750" s="736"/>
      <c r="M750" s="318"/>
      <c r="N750" s="315"/>
      <c r="O750" s="314"/>
      <c r="P750" s="314"/>
      <c r="Q750" s="314"/>
      <c r="R750" s="435"/>
      <c r="S750" s="848"/>
      <c r="T750" s="318"/>
      <c r="U750" s="315"/>
      <c r="V750" s="314"/>
      <c r="W750" s="314"/>
      <c r="X750" s="314"/>
      <c r="Y750" s="314"/>
      <c r="Z750" s="314"/>
      <c r="AA750" s="318"/>
      <c r="AB750" s="315"/>
      <c r="AC750" s="314"/>
      <c r="AD750" s="314"/>
      <c r="AE750" s="314"/>
      <c r="AF750" s="314"/>
      <c r="AG750" s="324"/>
      <c r="AH750" s="180"/>
      <c r="AI750" s="155"/>
      <c r="AJ750" s="322"/>
      <c r="AK750" s="132"/>
      <c r="AL750" s="132"/>
    </row>
    <row r="751">
      <c r="A751" s="482"/>
      <c r="B751" s="313"/>
      <c r="C751" s="745"/>
      <c r="D751" s="437"/>
      <c r="E751" s="435"/>
      <c r="F751" s="318"/>
      <c r="G751" s="315"/>
      <c r="H751" s="435"/>
      <c r="I751" s="435"/>
      <c r="J751" s="435"/>
      <c r="K751" s="744"/>
      <c r="L751" s="839"/>
      <c r="M751" s="740"/>
      <c r="N751" s="744"/>
      <c r="O751" s="314"/>
      <c r="P751" s="435"/>
      <c r="Q751" s="435"/>
      <c r="R751" s="435"/>
      <c r="S751" s="849"/>
      <c r="T751" s="740"/>
      <c r="U751" s="744"/>
      <c r="V751" s="435"/>
      <c r="W751" s="435"/>
      <c r="X751" s="435"/>
      <c r="Y751" s="435"/>
      <c r="Z751" s="435"/>
      <c r="AA751" s="740"/>
      <c r="AB751" s="744"/>
      <c r="AC751" s="435"/>
      <c r="AD751" s="435"/>
      <c r="AE751" s="435"/>
      <c r="AF751" s="435"/>
      <c r="AG751" s="324"/>
      <c r="AH751" s="180"/>
      <c r="AI751" s="155"/>
      <c r="AJ751" s="322"/>
      <c r="AK751" s="132"/>
      <c r="AL751" s="132"/>
    </row>
    <row r="752">
      <c r="A752" s="314"/>
      <c r="B752" s="313"/>
      <c r="C752" s="312"/>
      <c r="D752" s="313"/>
      <c r="E752" s="314"/>
      <c r="F752" s="318"/>
      <c r="G752" s="315"/>
      <c r="H752" s="314"/>
      <c r="I752" s="314"/>
      <c r="J752" s="314"/>
      <c r="K752" s="315"/>
      <c r="L752" s="736"/>
      <c r="M752" s="318"/>
      <c r="N752" s="315"/>
      <c r="O752" s="314"/>
      <c r="P752" s="314"/>
      <c r="Q752" s="314"/>
      <c r="R752" s="314"/>
      <c r="S752" s="848"/>
      <c r="T752" s="318"/>
      <c r="U752" s="315"/>
      <c r="V752" s="314"/>
      <c r="W752" s="314"/>
      <c r="X752" s="314"/>
      <c r="Y752" s="314"/>
      <c r="Z752" s="314"/>
      <c r="AA752" s="318"/>
      <c r="AB752" s="315"/>
      <c r="AC752" s="314"/>
      <c r="AD752" s="314"/>
      <c r="AE752" s="314"/>
      <c r="AF752" s="314"/>
      <c r="AG752" s="483"/>
      <c r="AI752" s="484"/>
      <c r="AJ752" s="322"/>
      <c r="AK752" s="132"/>
      <c r="AL752" s="132"/>
    </row>
    <row r="753">
      <c r="A753" s="314"/>
      <c r="B753" s="313"/>
      <c r="C753" s="312"/>
      <c r="D753" s="313"/>
      <c r="E753" s="314"/>
      <c r="F753" s="318"/>
      <c r="G753" s="315"/>
      <c r="H753" s="314"/>
      <c r="I753" s="314"/>
      <c r="J753" s="314"/>
      <c r="K753" s="315"/>
      <c r="L753" s="736"/>
      <c r="M753" s="318"/>
      <c r="N753" s="315"/>
      <c r="O753" s="314"/>
      <c r="P753" s="314"/>
      <c r="Q753" s="314"/>
      <c r="R753" s="314"/>
      <c r="S753" s="848"/>
      <c r="T753" s="318"/>
      <c r="U753" s="315"/>
      <c r="V753" s="314"/>
      <c r="W753" s="314"/>
      <c r="X753" s="314"/>
      <c r="Y753" s="314"/>
      <c r="Z753" s="314"/>
      <c r="AA753" s="318"/>
      <c r="AB753" s="315"/>
      <c r="AC753" s="314"/>
      <c r="AD753" s="314"/>
      <c r="AE753" s="314"/>
      <c r="AF753" s="314"/>
      <c r="AG753" s="324"/>
      <c r="AH753" s="155"/>
      <c r="AI753" s="155"/>
      <c r="AJ753" s="322"/>
      <c r="AK753" s="132"/>
      <c r="AL753" s="132"/>
    </row>
    <row r="754">
      <c r="A754" s="314"/>
      <c r="B754" s="313"/>
      <c r="C754" s="312"/>
      <c r="D754" s="313"/>
      <c r="E754" s="314"/>
      <c r="F754" s="318"/>
      <c r="G754" s="315"/>
      <c r="H754" s="314"/>
      <c r="I754" s="314"/>
      <c r="J754" s="314"/>
      <c r="K754" s="315"/>
      <c r="L754" s="736"/>
      <c r="M754" s="318"/>
      <c r="N754" s="315"/>
      <c r="O754" s="314"/>
      <c r="P754" s="314"/>
      <c r="Q754" s="314"/>
      <c r="R754" s="314"/>
      <c r="S754" s="848"/>
      <c r="T754" s="318"/>
      <c r="U754" s="315"/>
      <c r="V754" s="314"/>
      <c r="W754" s="314"/>
      <c r="X754" s="314"/>
      <c r="Y754" s="314"/>
      <c r="Z754" s="314"/>
      <c r="AA754" s="318"/>
      <c r="AB754" s="315"/>
      <c r="AC754" s="314"/>
      <c r="AD754" s="314"/>
      <c r="AE754" s="314"/>
      <c r="AF754" s="314"/>
      <c r="AG754" s="324"/>
      <c r="AH754" s="155"/>
      <c r="AI754" s="155"/>
      <c r="AJ754" s="322"/>
      <c r="AK754" s="132"/>
      <c r="AL754" s="132"/>
    </row>
    <row r="755">
      <c r="A755" s="314"/>
      <c r="B755" s="313"/>
      <c r="C755" s="312"/>
      <c r="D755" s="313"/>
      <c r="E755" s="314"/>
      <c r="F755" s="318"/>
      <c r="G755" s="315"/>
      <c r="H755" s="314"/>
      <c r="I755" s="314"/>
      <c r="J755" s="314"/>
      <c r="K755" s="315"/>
      <c r="L755" s="736"/>
      <c r="M755" s="318"/>
      <c r="N755" s="315"/>
      <c r="O755" s="314"/>
      <c r="P755" s="314"/>
      <c r="Q755" s="314"/>
      <c r="R755" s="314"/>
      <c r="S755" s="848"/>
      <c r="T755" s="318"/>
      <c r="U755" s="315"/>
      <c r="V755" s="314"/>
      <c r="W755" s="314"/>
      <c r="X755" s="314"/>
      <c r="Y755" s="314"/>
      <c r="Z755" s="314"/>
      <c r="AA755" s="318"/>
      <c r="AB755" s="315"/>
      <c r="AC755" s="314"/>
      <c r="AD755" s="314"/>
      <c r="AE755" s="314"/>
      <c r="AF755" s="314"/>
      <c r="AG755" s="324"/>
      <c r="AH755" s="155"/>
      <c r="AI755" s="155"/>
      <c r="AJ755" s="322"/>
      <c r="AK755" s="132"/>
      <c r="AL755" s="132"/>
    </row>
    <row r="756">
      <c r="A756" s="314"/>
      <c r="B756" s="313"/>
      <c r="C756" s="312"/>
      <c r="D756" s="313"/>
      <c r="E756" s="314"/>
      <c r="F756" s="318"/>
      <c r="G756" s="315"/>
      <c r="H756" s="314"/>
      <c r="I756" s="314"/>
      <c r="J756" s="314"/>
      <c r="K756" s="315"/>
      <c r="L756" s="736"/>
      <c r="M756" s="318"/>
      <c r="N756" s="315"/>
      <c r="O756" s="314"/>
      <c r="P756" s="314"/>
      <c r="Q756" s="314"/>
      <c r="R756" s="314"/>
      <c r="S756" s="848"/>
      <c r="T756" s="318"/>
      <c r="U756" s="315"/>
      <c r="V756" s="314"/>
      <c r="W756" s="314"/>
      <c r="X756" s="314"/>
      <c r="Y756" s="314"/>
      <c r="Z756" s="314"/>
      <c r="AA756" s="318"/>
      <c r="AB756" s="315"/>
      <c r="AC756" s="314"/>
      <c r="AD756" s="314"/>
      <c r="AE756" s="314"/>
      <c r="AF756" s="314"/>
      <c r="AG756" s="324"/>
      <c r="AH756" s="155"/>
      <c r="AI756" s="155"/>
      <c r="AJ756" s="322"/>
      <c r="AK756" s="132"/>
      <c r="AL756" s="132"/>
    </row>
    <row r="757">
      <c r="A757" s="314"/>
      <c r="B757" s="313"/>
      <c r="C757" s="312"/>
      <c r="D757" s="313"/>
      <c r="E757" s="314"/>
      <c r="F757" s="318"/>
      <c r="G757" s="315"/>
      <c r="H757" s="314"/>
      <c r="I757" s="314"/>
      <c r="J757" s="314"/>
      <c r="K757" s="315"/>
      <c r="L757" s="736"/>
      <c r="M757" s="318"/>
      <c r="N757" s="315"/>
      <c r="O757" s="314"/>
      <c r="P757" s="314"/>
      <c r="Q757" s="314"/>
      <c r="R757" s="314"/>
      <c r="S757" s="848"/>
      <c r="T757" s="318"/>
      <c r="U757" s="315"/>
      <c r="V757" s="314"/>
      <c r="W757" s="314"/>
      <c r="X757" s="314"/>
      <c r="Y757" s="314"/>
      <c r="Z757" s="314"/>
      <c r="AA757" s="318"/>
      <c r="AB757" s="315"/>
      <c r="AC757" s="314"/>
      <c r="AD757" s="314"/>
      <c r="AE757" s="314"/>
      <c r="AF757" s="314"/>
      <c r="AG757" s="324"/>
      <c r="AH757" s="155"/>
      <c r="AI757" s="155"/>
      <c r="AJ757" s="322"/>
      <c r="AK757" s="132"/>
      <c r="AL757" s="132"/>
    </row>
    <row r="758">
      <c r="A758" s="314"/>
      <c r="B758" s="313"/>
      <c r="C758" s="312"/>
      <c r="D758" s="313"/>
      <c r="E758" s="314"/>
      <c r="F758" s="318"/>
      <c r="G758" s="315"/>
      <c r="H758" s="314"/>
      <c r="I758" s="314"/>
      <c r="J758" s="314"/>
      <c r="K758" s="315"/>
      <c r="L758" s="736"/>
      <c r="M758" s="318"/>
      <c r="N758" s="315"/>
      <c r="O758" s="314"/>
      <c r="P758" s="314"/>
      <c r="Q758" s="314"/>
      <c r="R758" s="314"/>
      <c r="S758" s="848"/>
      <c r="T758" s="318"/>
      <c r="U758" s="315"/>
      <c r="V758" s="314"/>
      <c r="W758" s="314"/>
      <c r="X758" s="314"/>
      <c r="Y758" s="314"/>
      <c r="Z758" s="314"/>
      <c r="AA758" s="318"/>
      <c r="AB758" s="315"/>
      <c r="AC758" s="314"/>
      <c r="AD758" s="314"/>
      <c r="AE758" s="314"/>
      <c r="AF758" s="314"/>
      <c r="AG758" s="324"/>
      <c r="AH758" s="155"/>
      <c r="AI758" s="155"/>
      <c r="AJ758" s="322"/>
      <c r="AK758" s="132"/>
      <c r="AL758" s="132"/>
    </row>
    <row r="759">
      <c r="A759" s="314"/>
      <c r="B759" s="313"/>
      <c r="C759" s="312"/>
      <c r="D759" s="313"/>
      <c r="E759" s="314"/>
      <c r="F759" s="318"/>
      <c r="G759" s="315"/>
      <c r="H759" s="314"/>
      <c r="I759" s="314"/>
      <c r="J759" s="314"/>
      <c r="K759" s="315"/>
      <c r="L759" s="736"/>
      <c r="M759" s="318"/>
      <c r="N759" s="315"/>
      <c r="O759" s="314"/>
      <c r="P759" s="314"/>
      <c r="Q759" s="314"/>
      <c r="R759" s="314"/>
      <c r="S759" s="848"/>
      <c r="T759" s="318"/>
      <c r="U759" s="315"/>
      <c r="V759" s="314"/>
      <c r="W759" s="314"/>
      <c r="X759" s="314"/>
      <c r="Y759" s="314"/>
      <c r="Z759" s="314"/>
      <c r="AA759" s="318"/>
      <c r="AB759" s="315"/>
      <c r="AC759" s="314"/>
      <c r="AD759" s="314"/>
      <c r="AE759" s="314"/>
      <c r="AF759" s="314"/>
      <c r="AG759" s="324"/>
      <c r="AH759" s="155"/>
      <c r="AI759" s="155"/>
      <c r="AJ759" s="322"/>
      <c r="AK759" s="132"/>
      <c r="AL759" s="132"/>
    </row>
    <row r="760">
      <c r="A760" s="314"/>
      <c r="B760" s="313"/>
      <c r="C760" s="312"/>
      <c r="D760" s="313"/>
      <c r="E760" s="314"/>
      <c r="F760" s="318"/>
      <c r="G760" s="315"/>
      <c r="H760" s="314"/>
      <c r="I760" s="314"/>
      <c r="J760" s="314"/>
      <c r="K760" s="315"/>
      <c r="L760" s="736"/>
      <c r="M760" s="318"/>
      <c r="N760" s="315"/>
      <c r="O760" s="314"/>
      <c r="P760" s="314"/>
      <c r="Q760" s="314"/>
      <c r="R760" s="314"/>
      <c r="S760" s="848"/>
      <c r="T760" s="318"/>
      <c r="U760" s="315"/>
      <c r="V760" s="314"/>
      <c r="W760" s="314"/>
      <c r="X760" s="314"/>
      <c r="Y760" s="314"/>
      <c r="Z760" s="314"/>
      <c r="AA760" s="318"/>
      <c r="AB760" s="315"/>
      <c r="AC760" s="314"/>
      <c r="AD760" s="314"/>
      <c r="AE760" s="314"/>
      <c r="AF760" s="314"/>
      <c r="AG760" s="324"/>
      <c r="AH760" s="155"/>
      <c r="AI760" s="155"/>
      <c r="AJ760" s="322"/>
      <c r="AK760" s="132"/>
      <c r="AL760" s="132"/>
    </row>
    <row r="761">
      <c r="A761" s="314"/>
      <c r="B761" s="313"/>
      <c r="C761" s="312"/>
      <c r="D761" s="313"/>
      <c r="E761" s="314"/>
      <c r="F761" s="318"/>
      <c r="G761" s="315"/>
      <c r="H761" s="314"/>
      <c r="I761" s="314"/>
      <c r="J761" s="314"/>
      <c r="K761" s="315"/>
      <c r="L761" s="736"/>
      <c r="M761" s="318"/>
      <c r="N761" s="315"/>
      <c r="O761" s="314"/>
      <c r="P761" s="314"/>
      <c r="Q761" s="314"/>
      <c r="R761" s="314"/>
      <c r="S761" s="848"/>
      <c r="T761" s="318"/>
      <c r="U761" s="315"/>
      <c r="V761" s="314"/>
      <c r="W761" s="314"/>
      <c r="X761" s="314"/>
      <c r="Y761" s="314"/>
      <c r="Z761" s="314"/>
      <c r="AA761" s="318"/>
      <c r="AB761" s="315"/>
      <c r="AC761" s="314"/>
      <c r="AD761" s="314"/>
      <c r="AE761" s="314"/>
      <c r="AF761" s="314"/>
      <c r="AG761" s="324"/>
      <c r="AH761" s="155"/>
      <c r="AI761" s="155"/>
      <c r="AJ761" s="322"/>
      <c r="AK761" s="132"/>
      <c r="AL761" s="132"/>
    </row>
    <row r="762">
      <c r="A762" s="314"/>
      <c r="B762" s="313"/>
      <c r="C762" s="312"/>
      <c r="D762" s="313"/>
      <c r="E762" s="314"/>
      <c r="F762" s="318"/>
      <c r="G762" s="315"/>
      <c r="H762" s="314"/>
      <c r="I762" s="314"/>
      <c r="J762" s="314"/>
      <c r="K762" s="315"/>
      <c r="L762" s="736"/>
      <c r="M762" s="318"/>
      <c r="N762" s="315"/>
      <c r="O762" s="314"/>
      <c r="P762" s="314"/>
      <c r="Q762" s="314"/>
      <c r="R762" s="314"/>
      <c r="S762" s="848"/>
      <c r="T762" s="318"/>
      <c r="U762" s="315"/>
      <c r="V762" s="314"/>
      <c r="W762" s="314"/>
      <c r="X762" s="314"/>
      <c r="Y762" s="314"/>
      <c r="Z762" s="314"/>
      <c r="AA762" s="318"/>
      <c r="AB762" s="315"/>
      <c r="AC762" s="314"/>
      <c r="AD762" s="314"/>
      <c r="AE762" s="314"/>
      <c r="AF762" s="314"/>
      <c r="AG762" s="324"/>
      <c r="AH762" s="155"/>
      <c r="AI762" s="155"/>
      <c r="AJ762" s="322"/>
      <c r="AK762" s="132"/>
      <c r="AL762" s="132"/>
    </row>
    <row r="763">
      <c r="A763" s="314"/>
      <c r="B763" s="313"/>
      <c r="C763" s="312"/>
      <c r="D763" s="313"/>
      <c r="E763" s="314"/>
      <c r="F763" s="318"/>
      <c r="G763" s="315"/>
      <c r="H763" s="314"/>
      <c r="I763" s="314"/>
      <c r="J763" s="314"/>
      <c r="K763" s="315"/>
      <c r="L763" s="736"/>
      <c r="M763" s="318"/>
      <c r="N763" s="315"/>
      <c r="O763" s="314"/>
      <c r="P763" s="314"/>
      <c r="Q763" s="314"/>
      <c r="R763" s="314"/>
      <c r="S763" s="848"/>
      <c r="T763" s="318"/>
      <c r="U763" s="315"/>
      <c r="V763" s="314"/>
      <c r="W763" s="314"/>
      <c r="X763" s="314"/>
      <c r="Y763" s="314"/>
      <c r="Z763" s="314"/>
      <c r="AA763" s="318"/>
      <c r="AB763" s="315"/>
      <c r="AC763" s="314"/>
      <c r="AD763" s="314"/>
      <c r="AE763" s="314"/>
      <c r="AF763" s="314"/>
      <c r="AG763" s="324"/>
      <c r="AH763" s="155"/>
      <c r="AI763" s="155"/>
      <c r="AJ763" s="322"/>
      <c r="AK763" s="132"/>
      <c r="AL763" s="132"/>
    </row>
    <row r="764">
      <c r="A764" s="314"/>
      <c r="B764" s="313"/>
      <c r="C764" s="312"/>
      <c r="D764" s="313"/>
      <c r="E764" s="314"/>
      <c r="F764" s="318"/>
      <c r="G764" s="315"/>
      <c r="H764" s="314"/>
      <c r="I764" s="314"/>
      <c r="J764" s="314"/>
      <c r="K764" s="315"/>
      <c r="L764" s="736"/>
      <c r="M764" s="318"/>
      <c r="N764" s="315"/>
      <c r="O764" s="314"/>
      <c r="P764" s="314"/>
      <c r="Q764" s="314"/>
      <c r="R764" s="314"/>
      <c r="S764" s="848"/>
      <c r="T764" s="318"/>
      <c r="U764" s="315"/>
      <c r="V764" s="314"/>
      <c r="W764" s="314"/>
      <c r="X764" s="314"/>
      <c r="Y764" s="314"/>
      <c r="Z764" s="314"/>
      <c r="AA764" s="318"/>
      <c r="AB764" s="315"/>
      <c r="AC764" s="314"/>
      <c r="AD764" s="314"/>
      <c r="AE764" s="314"/>
      <c r="AF764" s="314"/>
      <c r="AG764" s="324"/>
      <c r="AH764" s="155"/>
      <c r="AI764" s="155"/>
      <c r="AJ764" s="322"/>
      <c r="AK764" s="132"/>
      <c r="AL764" s="132"/>
    </row>
    <row r="765">
      <c r="A765" s="314"/>
      <c r="B765" s="313"/>
      <c r="C765" s="312"/>
      <c r="D765" s="313"/>
      <c r="E765" s="314"/>
      <c r="F765" s="318"/>
      <c r="G765" s="315"/>
      <c r="H765" s="314"/>
      <c r="I765" s="314"/>
      <c r="J765" s="314"/>
      <c r="K765" s="315"/>
      <c r="L765" s="736"/>
      <c r="M765" s="318"/>
      <c r="N765" s="315"/>
      <c r="O765" s="314"/>
      <c r="P765" s="314"/>
      <c r="Q765" s="314"/>
      <c r="R765" s="314"/>
      <c r="S765" s="848"/>
      <c r="T765" s="318"/>
      <c r="U765" s="315"/>
      <c r="V765" s="314"/>
      <c r="W765" s="314"/>
      <c r="X765" s="314"/>
      <c r="Y765" s="314"/>
      <c r="Z765" s="314"/>
      <c r="AA765" s="318"/>
      <c r="AB765" s="315"/>
      <c r="AC765" s="314"/>
      <c r="AD765" s="314"/>
      <c r="AE765" s="314"/>
      <c r="AF765" s="314"/>
      <c r="AG765" s="324"/>
      <c r="AH765" s="155"/>
      <c r="AI765" s="155"/>
      <c r="AJ765" s="322"/>
      <c r="AK765" s="132"/>
      <c r="AL765" s="132"/>
    </row>
    <row r="766">
      <c r="A766" s="314"/>
      <c r="B766" s="313"/>
      <c r="C766" s="312"/>
      <c r="D766" s="313"/>
      <c r="E766" s="314"/>
      <c r="F766" s="318"/>
      <c r="G766" s="315"/>
      <c r="H766" s="314"/>
      <c r="I766" s="314"/>
      <c r="J766" s="314"/>
      <c r="K766" s="315"/>
      <c r="L766" s="736"/>
      <c r="M766" s="318"/>
      <c r="N766" s="315"/>
      <c r="O766" s="314"/>
      <c r="P766" s="314"/>
      <c r="Q766" s="314"/>
      <c r="R766" s="314"/>
      <c r="S766" s="848"/>
      <c r="T766" s="318"/>
      <c r="U766" s="315"/>
      <c r="V766" s="314"/>
      <c r="W766" s="314"/>
      <c r="X766" s="314"/>
      <c r="Y766" s="314"/>
      <c r="Z766" s="314"/>
      <c r="AA766" s="318"/>
      <c r="AB766" s="315"/>
      <c r="AC766" s="314"/>
      <c r="AD766" s="314"/>
      <c r="AE766" s="314"/>
      <c r="AF766" s="314"/>
      <c r="AG766" s="324"/>
      <c r="AH766" s="155"/>
      <c r="AI766" s="155"/>
      <c r="AJ766" s="322"/>
      <c r="AK766" s="132"/>
      <c r="AL766" s="132"/>
    </row>
    <row r="767">
      <c r="A767" s="314"/>
      <c r="B767" s="313"/>
      <c r="C767" s="312"/>
      <c r="D767" s="313"/>
      <c r="E767" s="314"/>
      <c r="F767" s="318"/>
      <c r="G767" s="315"/>
      <c r="H767" s="314"/>
      <c r="I767" s="314"/>
      <c r="J767" s="314"/>
      <c r="K767" s="315"/>
      <c r="L767" s="736"/>
      <c r="M767" s="318"/>
      <c r="N767" s="315"/>
      <c r="O767" s="314"/>
      <c r="P767" s="314"/>
      <c r="Q767" s="314"/>
      <c r="R767" s="314"/>
      <c r="S767" s="848"/>
      <c r="T767" s="318"/>
      <c r="U767" s="315"/>
      <c r="V767" s="314"/>
      <c r="W767" s="314"/>
      <c r="X767" s="314"/>
      <c r="Y767" s="314"/>
      <c r="Z767" s="314"/>
      <c r="AA767" s="318"/>
      <c r="AB767" s="315"/>
      <c r="AC767" s="314"/>
      <c r="AD767" s="314"/>
      <c r="AE767" s="314"/>
      <c r="AF767" s="314"/>
      <c r="AG767" s="324"/>
      <c r="AH767" s="155"/>
      <c r="AI767" s="155"/>
      <c r="AJ767" s="322"/>
      <c r="AK767" s="132"/>
      <c r="AL767" s="132"/>
    </row>
    <row r="768">
      <c r="A768" s="314"/>
      <c r="B768" s="313"/>
      <c r="C768" s="312"/>
      <c r="D768" s="313"/>
      <c r="E768" s="314"/>
      <c r="F768" s="318"/>
      <c r="G768" s="315"/>
      <c r="H768" s="314"/>
      <c r="I768" s="314"/>
      <c r="J768" s="314"/>
      <c r="K768" s="315"/>
      <c r="L768" s="736"/>
      <c r="M768" s="318"/>
      <c r="N768" s="315"/>
      <c r="O768" s="314"/>
      <c r="P768" s="314"/>
      <c r="Q768" s="314"/>
      <c r="R768" s="314"/>
      <c r="S768" s="848"/>
      <c r="T768" s="318"/>
      <c r="U768" s="315"/>
      <c r="V768" s="314"/>
      <c r="W768" s="314"/>
      <c r="X768" s="314"/>
      <c r="Y768" s="314"/>
      <c r="Z768" s="314"/>
      <c r="AA768" s="318"/>
      <c r="AB768" s="315"/>
      <c r="AC768" s="314"/>
      <c r="AD768" s="314"/>
      <c r="AE768" s="314"/>
      <c r="AF768" s="314"/>
      <c r="AG768" s="324"/>
      <c r="AH768" s="155"/>
      <c r="AI768" s="155"/>
      <c r="AJ768" s="322"/>
      <c r="AK768" s="132"/>
      <c r="AL768" s="132"/>
    </row>
    <row r="769">
      <c r="A769" s="314"/>
      <c r="B769" s="313"/>
      <c r="C769" s="312"/>
      <c r="D769" s="313"/>
      <c r="E769" s="314"/>
      <c r="F769" s="318"/>
      <c r="G769" s="315"/>
      <c r="H769" s="314"/>
      <c r="I769" s="314"/>
      <c r="J769" s="314"/>
      <c r="K769" s="315"/>
      <c r="L769" s="736"/>
      <c r="M769" s="318"/>
      <c r="N769" s="315"/>
      <c r="O769" s="314"/>
      <c r="P769" s="314"/>
      <c r="Q769" s="314"/>
      <c r="R769" s="314"/>
      <c r="S769" s="848"/>
      <c r="T769" s="318"/>
      <c r="U769" s="315"/>
      <c r="V769" s="314"/>
      <c r="W769" s="314"/>
      <c r="X769" s="314"/>
      <c r="Y769" s="314"/>
      <c r="Z769" s="314"/>
      <c r="AA769" s="318"/>
      <c r="AB769" s="315"/>
      <c r="AC769" s="314"/>
      <c r="AD769" s="314"/>
      <c r="AE769" s="314"/>
      <c r="AF769" s="314"/>
      <c r="AG769" s="324"/>
      <c r="AH769" s="155"/>
      <c r="AI769" s="155"/>
      <c r="AJ769" s="322"/>
      <c r="AK769" s="132"/>
      <c r="AL769" s="132"/>
    </row>
    <row r="770">
      <c r="A770" s="314"/>
      <c r="B770" s="313"/>
      <c r="C770" s="312"/>
      <c r="D770" s="313"/>
      <c r="E770" s="314"/>
      <c r="F770" s="318"/>
      <c r="G770" s="315"/>
      <c r="H770" s="314"/>
      <c r="I770" s="314"/>
      <c r="J770" s="314"/>
      <c r="K770" s="315"/>
      <c r="L770" s="736"/>
      <c r="M770" s="318"/>
      <c r="N770" s="315"/>
      <c r="O770" s="314"/>
      <c r="P770" s="314"/>
      <c r="Q770" s="314"/>
      <c r="R770" s="314"/>
      <c r="S770" s="848"/>
      <c r="T770" s="318"/>
      <c r="U770" s="315"/>
      <c r="V770" s="314"/>
      <c r="W770" s="314"/>
      <c r="X770" s="314"/>
      <c r="Y770" s="314"/>
      <c r="Z770" s="314"/>
      <c r="AA770" s="318"/>
      <c r="AB770" s="315"/>
      <c r="AC770" s="314"/>
      <c r="AD770" s="314"/>
      <c r="AE770" s="314"/>
      <c r="AF770" s="314"/>
      <c r="AG770" s="324"/>
      <c r="AH770" s="155"/>
      <c r="AI770" s="155"/>
      <c r="AJ770" s="322"/>
      <c r="AK770" s="132"/>
      <c r="AL770" s="132"/>
    </row>
    <row r="771">
      <c r="A771" s="314"/>
      <c r="B771" s="313"/>
      <c r="C771" s="312"/>
      <c r="D771" s="313"/>
      <c r="E771" s="314"/>
      <c r="F771" s="318"/>
      <c r="G771" s="315"/>
      <c r="H771" s="314"/>
      <c r="I771" s="314"/>
      <c r="J771" s="314"/>
      <c r="K771" s="315"/>
      <c r="L771" s="736"/>
      <c r="M771" s="318"/>
      <c r="N771" s="315"/>
      <c r="O771" s="314"/>
      <c r="P771" s="314"/>
      <c r="Q771" s="314"/>
      <c r="R771" s="314"/>
      <c r="S771" s="848"/>
      <c r="T771" s="318"/>
      <c r="U771" s="315"/>
      <c r="V771" s="314"/>
      <c r="W771" s="314"/>
      <c r="X771" s="314"/>
      <c r="Y771" s="314"/>
      <c r="Z771" s="314"/>
      <c r="AA771" s="318"/>
      <c r="AB771" s="315"/>
      <c r="AC771" s="314"/>
      <c r="AD771" s="314"/>
      <c r="AE771" s="314"/>
      <c r="AF771" s="314"/>
      <c r="AG771" s="324"/>
      <c r="AH771" s="155"/>
      <c r="AI771" s="155"/>
      <c r="AJ771" s="322"/>
      <c r="AK771" s="132"/>
      <c r="AL771" s="132"/>
    </row>
    <row r="772">
      <c r="A772" s="314"/>
      <c r="B772" s="313"/>
      <c r="C772" s="312"/>
      <c r="D772" s="313"/>
      <c r="E772" s="314"/>
      <c r="F772" s="318"/>
      <c r="G772" s="315"/>
      <c r="H772" s="314"/>
      <c r="I772" s="314"/>
      <c r="J772" s="314"/>
      <c r="K772" s="315"/>
      <c r="L772" s="736"/>
      <c r="M772" s="318"/>
      <c r="N772" s="315"/>
      <c r="O772" s="314"/>
      <c r="P772" s="314"/>
      <c r="Q772" s="314"/>
      <c r="R772" s="314"/>
      <c r="S772" s="848"/>
      <c r="T772" s="318"/>
      <c r="U772" s="315"/>
      <c r="V772" s="314"/>
      <c r="W772" s="314"/>
      <c r="X772" s="314"/>
      <c r="Y772" s="314"/>
      <c r="Z772" s="314"/>
      <c r="AA772" s="318"/>
      <c r="AB772" s="315"/>
      <c r="AC772" s="314"/>
      <c r="AD772" s="314"/>
      <c r="AE772" s="314"/>
      <c r="AF772" s="314"/>
      <c r="AG772" s="324"/>
      <c r="AH772" s="155"/>
      <c r="AI772" s="155"/>
      <c r="AJ772" s="322"/>
      <c r="AK772" s="132"/>
      <c r="AL772" s="132"/>
    </row>
    <row r="773">
      <c r="A773" s="314"/>
      <c r="B773" s="313"/>
      <c r="C773" s="312"/>
      <c r="D773" s="313"/>
      <c r="E773" s="314"/>
      <c r="F773" s="318"/>
      <c r="G773" s="315"/>
      <c r="H773" s="314"/>
      <c r="I773" s="314"/>
      <c r="J773" s="314"/>
      <c r="K773" s="315"/>
      <c r="L773" s="736"/>
      <c r="M773" s="318"/>
      <c r="N773" s="315"/>
      <c r="O773" s="314"/>
      <c r="P773" s="314"/>
      <c r="Q773" s="314"/>
      <c r="R773" s="314"/>
      <c r="S773" s="848"/>
      <c r="T773" s="318"/>
      <c r="U773" s="315"/>
      <c r="V773" s="314"/>
      <c r="W773" s="314"/>
      <c r="X773" s="314"/>
      <c r="Y773" s="314"/>
      <c r="Z773" s="314"/>
      <c r="AA773" s="318"/>
      <c r="AB773" s="315"/>
      <c r="AC773" s="314"/>
      <c r="AD773" s="314"/>
      <c r="AE773" s="314"/>
      <c r="AF773" s="314"/>
      <c r="AG773" s="324"/>
      <c r="AH773" s="155"/>
      <c r="AI773" s="155"/>
      <c r="AJ773" s="322"/>
      <c r="AK773" s="132"/>
      <c r="AL773" s="132"/>
    </row>
    <row r="774">
      <c r="A774" s="314"/>
      <c r="B774" s="313"/>
      <c r="C774" s="312"/>
      <c r="D774" s="313"/>
      <c r="E774" s="314"/>
      <c r="F774" s="318"/>
      <c r="G774" s="315"/>
      <c r="H774" s="314"/>
      <c r="I774" s="314"/>
      <c r="J774" s="314"/>
      <c r="K774" s="315"/>
      <c r="L774" s="736"/>
      <c r="M774" s="318"/>
      <c r="N774" s="315"/>
      <c r="O774" s="314"/>
      <c r="P774" s="314"/>
      <c r="Q774" s="314"/>
      <c r="R774" s="314"/>
      <c r="S774" s="848"/>
      <c r="T774" s="318"/>
      <c r="U774" s="315"/>
      <c r="V774" s="314"/>
      <c r="W774" s="314"/>
      <c r="X774" s="314"/>
      <c r="Y774" s="314"/>
      <c r="Z774" s="314"/>
      <c r="AA774" s="318"/>
      <c r="AB774" s="315"/>
      <c r="AC774" s="314"/>
      <c r="AD774" s="314"/>
      <c r="AE774" s="314"/>
      <c r="AF774" s="314"/>
      <c r="AG774" s="324"/>
      <c r="AH774" s="155"/>
      <c r="AI774" s="155"/>
      <c r="AJ774" s="322"/>
      <c r="AK774" s="132"/>
      <c r="AL774" s="132"/>
    </row>
    <row r="775">
      <c r="A775" s="314"/>
      <c r="B775" s="313"/>
      <c r="C775" s="312"/>
      <c r="D775" s="313"/>
      <c r="E775" s="314"/>
      <c r="F775" s="318"/>
      <c r="G775" s="315"/>
      <c r="H775" s="314"/>
      <c r="I775" s="314"/>
      <c r="J775" s="314"/>
      <c r="K775" s="315"/>
      <c r="L775" s="736"/>
      <c r="M775" s="318"/>
      <c r="N775" s="315"/>
      <c r="O775" s="314"/>
      <c r="P775" s="314"/>
      <c r="Q775" s="314"/>
      <c r="R775" s="314"/>
      <c r="S775" s="848"/>
      <c r="T775" s="318"/>
      <c r="U775" s="315"/>
      <c r="V775" s="314"/>
      <c r="W775" s="314"/>
      <c r="X775" s="314"/>
      <c r="Y775" s="314"/>
      <c r="Z775" s="314"/>
      <c r="AA775" s="318"/>
      <c r="AB775" s="315"/>
      <c r="AC775" s="314"/>
      <c r="AD775" s="314"/>
      <c r="AE775" s="314"/>
      <c r="AF775" s="314"/>
      <c r="AG775" s="324"/>
      <c r="AH775" s="155"/>
      <c r="AI775" s="155"/>
      <c r="AJ775" s="322"/>
      <c r="AK775" s="132"/>
      <c r="AL775" s="132"/>
    </row>
    <row r="776">
      <c r="A776" s="314"/>
      <c r="B776" s="313"/>
      <c r="C776" s="312"/>
      <c r="D776" s="313"/>
      <c r="E776" s="314"/>
      <c r="F776" s="318"/>
      <c r="G776" s="315"/>
      <c r="H776" s="314"/>
      <c r="I776" s="314"/>
      <c r="J776" s="314"/>
      <c r="K776" s="315"/>
      <c r="L776" s="736"/>
      <c r="M776" s="318"/>
      <c r="N776" s="315"/>
      <c r="O776" s="314"/>
      <c r="P776" s="314"/>
      <c r="Q776" s="314"/>
      <c r="R776" s="314"/>
      <c r="S776" s="848"/>
      <c r="T776" s="318"/>
      <c r="U776" s="315"/>
      <c r="V776" s="314"/>
      <c r="W776" s="314"/>
      <c r="X776" s="314"/>
      <c r="Y776" s="314"/>
      <c r="Z776" s="314"/>
      <c r="AA776" s="318"/>
      <c r="AB776" s="315"/>
      <c r="AC776" s="314"/>
      <c r="AD776" s="314"/>
      <c r="AE776" s="314"/>
      <c r="AF776" s="314"/>
      <c r="AG776" s="324"/>
      <c r="AH776" s="155"/>
      <c r="AI776" s="155"/>
      <c r="AJ776" s="322"/>
      <c r="AK776" s="132"/>
      <c r="AL776" s="132"/>
    </row>
    <row r="777">
      <c r="A777" s="314"/>
      <c r="B777" s="313"/>
      <c r="C777" s="312"/>
      <c r="D777" s="313"/>
      <c r="E777" s="314"/>
      <c r="F777" s="318"/>
      <c r="G777" s="315"/>
      <c r="H777" s="314"/>
      <c r="I777" s="314"/>
      <c r="J777" s="314"/>
      <c r="K777" s="315"/>
      <c r="L777" s="736"/>
      <c r="M777" s="318"/>
      <c r="N777" s="315"/>
      <c r="O777" s="314"/>
      <c r="P777" s="314"/>
      <c r="Q777" s="314"/>
      <c r="R777" s="314"/>
      <c r="S777" s="848"/>
      <c r="T777" s="318"/>
      <c r="U777" s="315"/>
      <c r="V777" s="314"/>
      <c r="W777" s="314"/>
      <c r="X777" s="314"/>
      <c r="Y777" s="314"/>
      <c r="Z777" s="314"/>
      <c r="AA777" s="318"/>
      <c r="AB777" s="315"/>
      <c r="AC777" s="314"/>
      <c r="AD777" s="314"/>
      <c r="AE777" s="314"/>
      <c r="AF777" s="314"/>
      <c r="AG777" s="324"/>
      <c r="AH777" s="155"/>
      <c r="AI777" s="155"/>
      <c r="AJ777" s="322"/>
      <c r="AK777" s="132"/>
      <c r="AL777" s="132"/>
    </row>
    <row r="778">
      <c r="A778" s="314"/>
      <c r="B778" s="313"/>
      <c r="C778" s="312"/>
      <c r="D778" s="313"/>
      <c r="E778" s="314"/>
      <c r="F778" s="318"/>
      <c r="G778" s="315"/>
      <c r="H778" s="314"/>
      <c r="I778" s="314"/>
      <c r="J778" s="314"/>
      <c r="K778" s="315"/>
      <c r="L778" s="736"/>
      <c r="M778" s="318"/>
      <c r="N778" s="315"/>
      <c r="O778" s="314"/>
      <c r="P778" s="314"/>
      <c r="Q778" s="314"/>
      <c r="R778" s="314"/>
      <c r="S778" s="848"/>
      <c r="T778" s="318"/>
      <c r="U778" s="315"/>
      <c r="V778" s="314"/>
      <c r="W778" s="314"/>
      <c r="X778" s="314"/>
      <c r="Y778" s="314"/>
      <c r="Z778" s="314"/>
      <c r="AA778" s="318"/>
      <c r="AB778" s="315"/>
      <c r="AC778" s="314"/>
      <c r="AD778" s="314"/>
      <c r="AE778" s="314"/>
      <c r="AF778" s="314"/>
      <c r="AG778" s="324"/>
      <c r="AH778" s="155"/>
      <c r="AI778" s="155"/>
      <c r="AJ778" s="322"/>
      <c r="AK778" s="132"/>
      <c r="AL778" s="132"/>
    </row>
    <row r="779">
      <c r="A779" s="314"/>
      <c r="B779" s="313"/>
      <c r="C779" s="312"/>
      <c r="D779" s="313"/>
      <c r="E779" s="314"/>
      <c r="F779" s="318"/>
      <c r="G779" s="315"/>
      <c r="H779" s="314"/>
      <c r="I779" s="314"/>
      <c r="J779" s="314"/>
      <c r="K779" s="315"/>
      <c r="L779" s="736"/>
      <c r="M779" s="318"/>
      <c r="N779" s="315"/>
      <c r="O779" s="314"/>
      <c r="P779" s="314"/>
      <c r="Q779" s="314"/>
      <c r="R779" s="314"/>
      <c r="S779" s="848"/>
      <c r="T779" s="318"/>
      <c r="U779" s="315"/>
      <c r="V779" s="314"/>
      <c r="W779" s="314"/>
      <c r="X779" s="314"/>
      <c r="Y779" s="314"/>
      <c r="Z779" s="314"/>
      <c r="AA779" s="318"/>
      <c r="AB779" s="315"/>
      <c r="AC779" s="314"/>
      <c r="AD779" s="314"/>
      <c r="AE779" s="314"/>
      <c r="AF779" s="314"/>
      <c r="AG779" s="324"/>
      <c r="AH779" s="155"/>
      <c r="AI779" s="155"/>
      <c r="AJ779" s="322"/>
      <c r="AK779" s="132"/>
      <c r="AL779" s="132"/>
    </row>
    <row r="780">
      <c r="A780" s="314"/>
      <c r="B780" s="313"/>
      <c r="C780" s="312"/>
      <c r="D780" s="313"/>
      <c r="E780" s="314"/>
      <c r="F780" s="318"/>
      <c r="G780" s="315"/>
      <c r="H780" s="314"/>
      <c r="I780" s="314"/>
      <c r="J780" s="314"/>
      <c r="K780" s="315"/>
      <c r="L780" s="736"/>
      <c r="M780" s="318"/>
      <c r="N780" s="315"/>
      <c r="O780" s="314"/>
      <c r="P780" s="314"/>
      <c r="Q780" s="314"/>
      <c r="R780" s="314"/>
      <c r="S780" s="848"/>
      <c r="T780" s="318"/>
      <c r="U780" s="315"/>
      <c r="V780" s="314"/>
      <c r="W780" s="314"/>
      <c r="X780" s="314"/>
      <c r="Y780" s="314"/>
      <c r="Z780" s="314"/>
      <c r="AA780" s="318"/>
      <c r="AB780" s="315"/>
      <c r="AC780" s="314"/>
      <c r="AD780" s="314"/>
      <c r="AE780" s="314"/>
      <c r="AF780" s="314"/>
      <c r="AG780" s="324"/>
      <c r="AH780" s="155"/>
      <c r="AI780" s="155"/>
      <c r="AJ780" s="322"/>
      <c r="AK780" s="132"/>
      <c r="AL780" s="132"/>
    </row>
    <row r="781">
      <c r="A781" s="314"/>
      <c r="B781" s="313"/>
      <c r="C781" s="312"/>
      <c r="D781" s="313"/>
      <c r="E781" s="314"/>
      <c r="F781" s="318"/>
      <c r="G781" s="315"/>
      <c r="H781" s="314"/>
      <c r="I781" s="314"/>
      <c r="J781" s="314"/>
      <c r="K781" s="315"/>
      <c r="L781" s="736"/>
      <c r="M781" s="318"/>
      <c r="N781" s="315"/>
      <c r="O781" s="314"/>
      <c r="P781" s="314"/>
      <c r="Q781" s="314"/>
      <c r="R781" s="314"/>
      <c r="S781" s="848"/>
      <c r="T781" s="318"/>
      <c r="U781" s="315"/>
      <c r="V781" s="314"/>
      <c r="W781" s="314"/>
      <c r="X781" s="314"/>
      <c r="Y781" s="314"/>
      <c r="Z781" s="314"/>
      <c r="AA781" s="318"/>
      <c r="AB781" s="315"/>
      <c r="AC781" s="314"/>
      <c r="AD781" s="314"/>
      <c r="AE781" s="314"/>
      <c r="AF781" s="314"/>
      <c r="AG781" s="324"/>
      <c r="AH781" s="155"/>
      <c r="AI781" s="155"/>
      <c r="AJ781" s="322"/>
      <c r="AK781" s="132"/>
      <c r="AL781" s="132"/>
    </row>
    <row r="782">
      <c r="A782" s="314"/>
      <c r="B782" s="313"/>
      <c r="C782" s="312"/>
      <c r="D782" s="313"/>
      <c r="E782" s="314"/>
      <c r="F782" s="318"/>
      <c r="G782" s="315"/>
      <c r="H782" s="314"/>
      <c r="I782" s="314"/>
      <c r="J782" s="314"/>
      <c r="K782" s="315"/>
      <c r="L782" s="736"/>
      <c r="M782" s="318"/>
      <c r="N782" s="315"/>
      <c r="O782" s="314"/>
      <c r="P782" s="314"/>
      <c r="Q782" s="314"/>
      <c r="R782" s="314"/>
      <c r="S782" s="848"/>
      <c r="T782" s="318"/>
      <c r="U782" s="315"/>
      <c r="V782" s="314"/>
      <c r="W782" s="314"/>
      <c r="X782" s="314"/>
      <c r="Y782" s="314"/>
      <c r="Z782" s="314"/>
      <c r="AA782" s="318"/>
      <c r="AB782" s="315"/>
      <c r="AC782" s="314"/>
      <c r="AD782" s="314"/>
      <c r="AE782" s="314"/>
      <c r="AF782" s="314"/>
      <c r="AG782" s="324"/>
      <c r="AH782" s="155"/>
      <c r="AI782" s="155"/>
      <c r="AJ782" s="322"/>
      <c r="AK782" s="132"/>
      <c r="AL782" s="132"/>
    </row>
    <row r="783">
      <c r="A783" s="314"/>
      <c r="B783" s="313"/>
      <c r="C783" s="312"/>
      <c r="D783" s="313"/>
      <c r="E783" s="314"/>
      <c r="F783" s="318"/>
      <c r="G783" s="315"/>
      <c r="H783" s="314"/>
      <c r="I783" s="314"/>
      <c r="J783" s="314"/>
      <c r="K783" s="315"/>
      <c r="L783" s="736"/>
      <c r="M783" s="318"/>
      <c r="N783" s="315"/>
      <c r="O783" s="314"/>
      <c r="P783" s="314"/>
      <c r="Q783" s="314"/>
      <c r="R783" s="314"/>
      <c r="S783" s="848"/>
      <c r="T783" s="318"/>
      <c r="U783" s="315"/>
      <c r="V783" s="314"/>
      <c r="W783" s="314"/>
      <c r="X783" s="314"/>
      <c r="Y783" s="314"/>
      <c r="Z783" s="314"/>
      <c r="AA783" s="318"/>
      <c r="AB783" s="315"/>
      <c r="AC783" s="314"/>
      <c r="AD783" s="314"/>
      <c r="AE783" s="314"/>
      <c r="AF783" s="314"/>
      <c r="AG783" s="324"/>
      <c r="AH783" s="155"/>
      <c r="AI783" s="155"/>
      <c r="AJ783" s="322"/>
      <c r="AK783" s="132"/>
      <c r="AL783" s="132"/>
    </row>
    <row r="784">
      <c r="A784" s="314"/>
      <c r="B784" s="313"/>
      <c r="C784" s="312"/>
      <c r="D784" s="313"/>
      <c r="E784" s="314"/>
      <c r="F784" s="318"/>
      <c r="G784" s="315"/>
      <c r="H784" s="314"/>
      <c r="I784" s="314"/>
      <c r="J784" s="314"/>
      <c r="K784" s="315"/>
      <c r="L784" s="736"/>
      <c r="M784" s="318"/>
      <c r="N784" s="315"/>
      <c r="O784" s="314"/>
      <c r="P784" s="314"/>
      <c r="Q784" s="314"/>
      <c r="R784" s="314"/>
      <c r="S784" s="848"/>
      <c r="T784" s="318"/>
      <c r="U784" s="315"/>
      <c r="V784" s="314"/>
      <c r="W784" s="314"/>
      <c r="X784" s="314"/>
      <c r="Y784" s="314"/>
      <c r="Z784" s="314"/>
      <c r="AA784" s="318"/>
      <c r="AB784" s="315"/>
      <c r="AC784" s="314"/>
      <c r="AD784" s="314"/>
      <c r="AE784" s="314"/>
      <c r="AF784" s="314"/>
      <c r="AG784" s="324"/>
      <c r="AH784" s="155"/>
      <c r="AI784" s="155"/>
      <c r="AJ784" s="322"/>
      <c r="AK784" s="132"/>
      <c r="AL784" s="132"/>
    </row>
    <row r="785">
      <c r="A785" s="314"/>
      <c r="B785" s="313"/>
      <c r="C785" s="312"/>
      <c r="D785" s="313"/>
      <c r="E785" s="314"/>
      <c r="F785" s="318"/>
      <c r="G785" s="315"/>
      <c r="H785" s="314"/>
      <c r="I785" s="314"/>
      <c r="J785" s="314"/>
      <c r="K785" s="315"/>
      <c r="L785" s="736"/>
      <c r="M785" s="318"/>
      <c r="N785" s="315"/>
      <c r="O785" s="314"/>
      <c r="P785" s="314"/>
      <c r="Q785" s="314"/>
      <c r="R785" s="314"/>
      <c r="S785" s="848"/>
      <c r="T785" s="318"/>
      <c r="U785" s="315"/>
      <c r="V785" s="314"/>
      <c r="W785" s="314"/>
      <c r="X785" s="314"/>
      <c r="Y785" s="314"/>
      <c r="Z785" s="314"/>
      <c r="AA785" s="318"/>
      <c r="AB785" s="315"/>
      <c r="AC785" s="314"/>
      <c r="AD785" s="314"/>
      <c r="AE785" s="314"/>
      <c r="AF785" s="314"/>
      <c r="AG785" s="324"/>
      <c r="AH785" s="155"/>
      <c r="AI785" s="155"/>
      <c r="AJ785" s="322"/>
      <c r="AK785" s="132"/>
      <c r="AL785" s="132"/>
    </row>
    <row r="786">
      <c r="A786" s="314"/>
      <c r="B786" s="313"/>
      <c r="C786" s="312"/>
      <c r="D786" s="313"/>
      <c r="E786" s="314"/>
      <c r="F786" s="318"/>
      <c r="G786" s="315"/>
      <c r="H786" s="314"/>
      <c r="I786" s="314"/>
      <c r="J786" s="314"/>
      <c r="K786" s="315"/>
      <c r="L786" s="736"/>
      <c r="M786" s="318"/>
      <c r="N786" s="315"/>
      <c r="O786" s="314"/>
      <c r="P786" s="314"/>
      <c r="Q786" s="314"/>
      <c r="R786" s="314"/>
      <c r="S786" s="848"/>
      <c r="T786" s="318"/>
      <c r="U786" s="315"/>
      <c r="V786" s="314"/>
      <c r="W786" s="314"/>
      <c r="X786" s="314"/>
      <c r="Y786" s="314"/>
      <c r="Z786" s="314"/>
      <c r="AA786" s="318"/>
      <c r="AB786" s="315"/>
      <c r="AC786" s="314"/>
      <c r="AD786" s="314"/>
      <c r="AE786" s="314"/>
      <c r="AF786" s="314"/>
      <c r="AG786" s="324"/>
      <c r="AH786" s="155"/>
      <c r="AI786" s="155"/>
      <c r="AJ786" s="322"/>
      <c r="AK786" s="132"/>
      <c r="AL786" s="132"/>
    </row>
    <row r="787">
      <c r="A787" s="314"/>
      <c r="B787" s="313"/>
      <c r="C787" s="312"/>
      <c r="D787" s="313"/>
      <c r="E787" s="314"/>
      <c r="F787" s="318"/>
      <c r="G787" s="315"/>
      <c r="H787" s="314"/>
      <c r="I787" s="314"/>
      <c r="J787" s="314"/>
      <c r="K787" s="315"/>
      <c r="L787" s="736"/>
      <c r="M787" s="318"/>
      <c r="N787" s="315"/>
      <c r="O787" s="314"/>
      <c r="P787" s="314"/>
      <c r="Q787" s="314"/>
      <c r="R787" s="314"/>
      <c r="S787" s="848"/>
      <c r="T787" s="318"/>
      <c r="U787" s="315"/>
      <c r="V787" s="314"/>
      <c r="W787" s="314"/>
      <c r="X787" s="314"/>
      <c r="Y787" s="314"/>
      <c r="Z787" s="314"/>
      <c r="AA787" s="318"/>
      <c r="AB787" s="315"/>
      <c r="AC787" s="314"/>
      <c r="AD787" s="314"/>
      <c r="AE787" s="314"/>
      <c r="AF787" s="314"/>
      <c r="AG787" s="324"/>
      <c r="AH787" s="155"/>
      <c r="AI787" s="155"/>
      <c r="AJ787" s="322"/>
      <c r="AK787" s="132"/>
      <c r="AL787" s="132"/>
    </row>
    <row r="788">
      <c r="A788" s="314"/>
      <c r="B788" s="313"/>
      <c r="C788" s="312"/>
      <c r="D788" s="313"/>
      <c r="E788" s="314"/>
      <c r="F788" s="318"/>
      <c r="G788" s="315"/>
      <c r="H788" s="314"/>
      <c r="I788" s="314"/>
      <c r="J788" s="314"/>
      <c r="K788" s="315"/>
      <c r="L788" s="736"/>
      <c r="M788" s="318"/>
      <c r="N788" s="315"/>
      <c r="O788" s="314"/>
      <c r="P788" s="314"/>
      <c r="Q788" s="314"/>
      <c r="R788" s="314"/>
      <c r="S788" s="848"/>
      <c r="T788" s="318"/>
      <c r="U788" s="315"/>
      <c r="V788" s="314"/>
      <c r="W788" s="314"/>
      <c r="X788" s="314"/>
      <c r="Y788" s="314"/>
      <c r="Z788" s="314"/>
      <c r="AA788" s="318"/>
      <c r="AB788" s="315"/>
      <c r="AC788" s="314"/>
      <c r="AD788" s="314"/>
      <c r="AE788" s="314"/>
      <c r="AF788" s="314"/>
      <c r="AG788" s="324"/>
      <c r="AH788" s="155"/>
      <c r="AI788" s="155"/>
      <c r="AJ788" s="322"/>
      <c r="AK788" s="132"/>
      <c r="AL788" s="132"/>
    </row>
    <row r="789">
      <c r="A789" s="314"/>
      <c r="B789" s="313"/>
      <c r="C789" s="312"/>
      <c r="D789" s="313"/>
      <c r="E789" s="314"/>
      <c r="F789" s="318"/>
      <c r="G789" s="315"/>
      <c r="H789" s="314"/>
      <c r="I789" s="314"/>
      <c r="J789" s="314"/>
      <c r="K789" s="315"/>
      <c r="L789" s="736"/>
      <c r="M789" s="318"/>
      <c r="N789" s="315"/>
      <c r="O789" s="314"/>
      <c r="P789" s="314"/>
      <c r="Q789" s="314"/>
      <c r="R789" s="314"/>
      <c r="S789" s="848"/>
      <c r="T789" s="318"/>
      <c r="U789" s="315"/>
      <c r="V789" s="314"/>
      <c r="W789" s="314"/>
      <c r="X789" s="314"/>
      <c r="Y789" s="314"/>
      <c r="Z789" s="314"/>
      <c r="AA789" s="318"/>
      <c r="AB789" s="315"/>
      <c r="AC789" s="314"/>
      <c r="AD789" s="314"/>
      <c r="AE789" s="314"/>
      <c r="AF789" s="314"/>
      <c r="AG789" s="324"/>
      <c r="AH789" s="155"/>
      <c r="AI789" s="155"/>
      <c r="AJ789" s="322"/>
      <c r="AK789" s="132"/>
      <c r="AL789" s="132"/>
    </row>
    <row r="790">
      <c r="A790" s="314"/>
      <c r="B790" s="313"/>
      <c r="C790" s="312"/>
      <c r="D790" s="313"/>
      <c r="E790" s="314"/>
      <c r="F790" s="318"/>
      <c r="G790" s="315"/>
      <c r="H790" s="314"/>
      <c r="I790" s="314"/>
      <c r="J790" s="314"/>
      <c r="K790" s="315"/>
      <c r="L790" s="736"/>
      <c r="M790" s="318"/>
      <c r="N790" s="315"/>
      <c r="O790" s="314"/>
      <c r="P790" s="314"/>
      <c r="Q790" s="314"/>
      <c r="R790" s="314"/>
      <c r="S790" s="848"/>
      <c r="T790" s="318"/>
      <c r="U790" s="315"/>
      <c r="V790" s="314"/>
      <c r="W790" s="314"/>
      <c r="X790" s="314"/>
      <c r="Y790" s="314"/>
      <c r="Z790" s="314"/>
      <c r="AA790" s="318"/>
      <c r="AB790" s="315"/>
      <c r="AC790" s="314"/>
      <c r="AD790" s="314"/>
      <c r="AE790" s="314"/>
      <c r="AF790" s="314"/>
      <c r="AG790" s="324"/>
      <c r="AH790" s="155"/>
      <c r="AI790" s="155"/>
      <c r="AJ790" s="322"/>
      <c r="AK790" s="132"/>
      <c r="AL790" s="132"/>
    </row>
    <row r="791">
      <c r="A791" s="314"/>
      <c r="B791" s="313"/>
      <c r="C791" s="312"/>
      <c r="D791" s="313"/>
      <c r="E791" s="314"/>
      <c r="F791" s="318"/>
      <c r="G791" s="315"/>
      <c r="H791" s="314"/>
      <c r="I791" s="314"/>
      <c r="J791" s="314"/>
      <c r="K791" s="315"/>
      <c r="L791" s="736"/>
      <c r="M791" s="318"/>
      <c r="N791" s="315"/>
      <c r="O791" s="314"/>
      <c r="P791" s="314"/>
      <c r="Q791" s="314"/>
      <c r="R791" s="314"/>
      <c r="S791" s="848"/>
      <c r="T791" s="318"/>
      <c r="U791" s="315"/>
      <c r="V791" s="314"/>
      <c r="W791" s="314"/>
      <c r="X791" s="314"/>
      <c r="Y791" s="314"/>
      <c r="Z791" s="314"/>
      <c r="AA791" s="318"/>
      <c r="AB791" s="315"/>
      <c r="AC791" s="314"/>
      <c r="AD791" s="314"/>
      <c r="AE791" s="314"/>
      <c r="AF791" s="314"/>
      <c r="AG791" s="324"/>
      <c r="AH791" s="155"/>
      <c r="AI791" s="155"/>
      <c r="AJ791" s="322"/>
      <c r="AK791" s="132"/>
      <c r="AL791" s="132"/>
    </row>
    <row r="792">
      <c r="A792" s="314"/>
      <c r="B792" s="313"/>
      <c r="C792" s="312"/>
      <c r="D792" s="313"/>
      <c r="E792" s="314"/>
      <c r="F792" s="318"/>
      <c r="G792" s="315"/>
      <c r="H792" s="314"/>
      <c r="I792" s="314"/>
      <c r="J792" s="314"/>
      <c r="K792" s="315"/>
      <c r="L792" s="736"/>
      <c r="M792" s="318"/>
      <c r="N792" s="315"/>
      <c r="O792" s="314"/>
      <c r="P792" s="314"/>
      <c r="Q792" s="314"/>
      <c r="R792" s="314"/>
      <c r="S792" s="848"/>
      <c r="T792" s="318"/>
      <c r="U792" s="315"/>
      <c r="V792" s="314"/>
      <c r="W792" s="314"/>
      <c r="X792" s="314"/>
      <c r="Y792" s="314"/>
      <c r="Z792" s="314"/>
      <c r="AA792" s="318"/>
      <c r="AB792" s="315"/>
      <c r="AC792" s="314"/>
      <c r="AD792" s="314"/>
      <c r="AE792" s="314"/>
      <c r="AF792" s="314"/>
      <c r="AG792" s="324"/>
      <c r="AH792" s="155"/>
      <c r="AI792" s="155"/>
      <c r="AJ792" s="322"/>
      <c r="AK792" s="132"/>
      <c r="AL792" s="132"/>
    </row>
    <row r="793">
      <c r="A793" s="314"/>
      <c r="B793" s="313"/>
      <c r="C793" s="312"/>
      <c r="D793" s="313"/>
      <c r="E793" s="314"/>
      <c r="F793" s="318"/>
      <c r="G793" s="315"/>
      <c r="H793" s="314"/>
      <c r="I793" s="314"/>
      <c r="J793" s="314"/>
      <c r="K793" s="315"/>
      <c r="L793" s="736"/>
      <c r="M793" s="318"/>
      <c r="N793" s="315"/>
      <c r="O793" s="314"/>
      <c r="P793" s="314"/>
      <c r="Q793" s="314"/>
      <c r="R793" s="314"/>
      <c r="S793" s="848"/>
      <c r="T793" s="318"/>
      <c r="U793" s="315"/>
      <c r="V793" s="314"/>
      <c r="W793" s="314"/>
      <c r="X793" s="314"/>
      <c r="Y793" s="314"/>
      <c r="Z793" s="314"/>
      <c r="AA793" s="318"/>
      <c r="AB793" s="315"/>
      <c r="AC793" s="314"/>
      <c r="AD793" s="314"/>
      <c r="AE793" s="314"/>
      <c r="AF793" s="314"/>
      <c r="AG793" s="324"/>
      <c r="AH793" s="155"/>
      <c r="AI793" s="155"/>
      <c r="AJ793" s="322"/>
      <c r="AK793" s="132"/>
      <c r="AL793" s="132"/>
    </row>
    <row r="794">
      <c r="A794" s="314"/>
      <c r="B794" s="313"/>
      <c r="C794" s="312"/>
      <c r="D794" s="313"/>
      <c r="E794" s="314"/>
      <c r="F794" s="318"/>
      <c r="G794" s="315"/>
      <c r="H794" s="314"/>
      <c r="I794" s="314"/>
      <c r="J794" s="314"/>
      <c r="K794" s="315"/>
      <c r="L794" s="736"/>
      <c r="M794" s="318"/>
      <c r="N794" s="315"/>
      <c r="O794" s="314"/>
      <c r="P794" s="314"/>
      <c r="Q794" s="314"/>
      <c r="R794" s="314"/>
      <c r="S794" s="848"/>
      <c r="T794" s="318"/>
      <c r="U794" s="315"/>
      <c r="V794" s="314"/>
      <c r="W794" s="314"/>
      <c r="X794" s="314"/>
      <c r="Y794" s="314"/>
      <c r="Z794" s="314"/>
      <c r="AA794" s="318"/>
      <c r="AB794" s="315"/>
      <c r="AC794" s="314"/>
      <c r="AD794" s="314"/>
      <c r="AE794" s="314"/>
      <c r="AF794" s="314"/>
      <c r="AG794" s="324"/>
      <c r="AH794" s="155"/>
      <c r="AI794" s="155"/>
      <c r="AJ794" s="322"/>
      <c r="AK794" s="132"/>
      <c r="AL794" s="132"/>
    </row>
    <row r="795">
      <c r="A795" s="314"/>
      <c r="B795" s="313"/>
      <c r="C795" s="312"/>
      <c r="D795" s="313"/>
      <c r="E795" s="314"/>
      <c r="F795" s="318"/>
      <c r="G795" s="315"/>
      <c r="H795" s="314"/>
      <c r="I795" s="314"/>
      <c r="J795" s="314"/>
      <c r="K795" s="315"/>
      <c r="L795" s="736"/>
      <c r="M795" s="318"/>
      <c r="N795" s="315"/>
      <c r="O795" s="314"/>
      <c r="P795" s="314"/>
      <c r="Q795" s="314"/>
      <c r="R795" s="314"/>
      <c r="S795" s="848"/>
      <c r="T795" s="318"/>
      <c r="U795" s="315"/>
      <c r="V795" s="314"/>
      <c r="W795" s="314"/>
      <c r="X795" s="314"/>
      <c r="Y795" s="314"/>
      <c r="Z795" s="314"/>
      <c r="AA795" s="318"/>
      <c r="AB795" s="315"/>
      <c r="AC795" s="314"/>
      <c r="AD795" s="314"/>
      <c r="AE795" s="314"/>
      <c r="AF795" s="314"/>
      <c r="AG795" s="324"/>
      <c r="AH795" s="155"/>
      <c r="AI795" s="155"/>
      <c r="AJ795" s="322"/>
      <c r="AK795" s="132"/>
      <c r="AL795" s="132"/>
    </row>
    <row r="796">
      <c r="A796" s="314"/>
      <c r="B796" s="313"/>
      <c r="C796" s="312"/>
      <c r="D796" s="313"/>
      <c r="E796" s="314"/>
      <c r="F796" s="318"/>
      <c r="G796" s="315"/>
      <c r="H796" s="314"/>
      <c r="I796" s="314"/>
      <c r="J796" s="314"/>
      <c r="K796" s="315"/>
      <c r="L796" s="736"/>
      <c r="M796" s="318"/>
      <c r="N796" s="315"/>
      <c r="O796" s="314"/>
      <c r="P796" s="314"/>
      <c r="Q796" s="314"/>
      <c r="R796" s="314"/>
      <c r="S796" s="848"/>
      <c r="T796" s="318"/>
      <c r="U796" s="315"/>
      <c r="V796" s="314"/>
      <c r="W796" s="314"/>
      <c r="X796" s="314"/>
      <c r="Y796" s="314"/>
      <c r="Z796" s="314"/>
      <c r="AA796" s="318"/>
      <c r="AB796" s="315"/>
      <c r="AC796" s="314"/>
      <c r="AD796" s="314"/>
      <c r="AE796" s="314"/>
      <c r="AF796" s="314"/>
      <c r="AG796" s="324"/>
      <c r="AH796" s="155"/>
      <c r="AI796" s="155"/>
      <c r="AJ796" s="322"/>
      <c r="AK796" s="132"/>
      <c r="AL796" s="132"/>
    </row>
    <row r="797">
      <c r="A797" s="314"/>
      <c r="B797" s="313"/>
      <c r="C797" s="312"/>
      <c r="D797" s="313"/>
      <c r="E797" s="314"/>
      <c r="F797" s="318"/>
      <c r="G797" s="315"/>
      <c r="H797" s="314"/>
      <c r="I797" s="314"/>
      <c r="J797" s="314"/>
      <c r="K797" s="315"/>
      <c r="L797" s="736"/>
      <c r="M797" s="318"/>
      <c r="N797" s="315"/>
      <c r="O797" s="314"/>
      <c r="P797" s="314"/>
      <c r="Q797" s="314"/>
      <c r="R797" s="314"/>
      <c r="S797" s="848"/>
      <c r="T797" s="318"/>
      <c r="U797" s="315"/>
      <c r="V797" s="314"/>
      <c r="W797" s="314"/>
      <c r="X797" s="314"/>
      <c r="Y797" s="314"/>
      <c r="Z797" s="314"/>
      <c r="AA797" s="318"/>
      <c r="AB797" s="315"/>
      <c r="AC797" s="314"/>
      <c r="AD797" s="314"/>
      <c r="AE797" s="314"/>
      <c r="AF797" s="314"/>
      <c r="AG797" s="324"/>
      <c r="AH797" s="155"/>
      <c r="AI797" s="155"/>
      <c r="AJ797" s="322"/>
      <c r="AK797" s="132"/>
      <c r="AL797" s="132"/>
    </row>
    <row r="798">
      <c r="A798" s="314"/>
      <c r="B798" s="313"/>
      <c r="C798" s="312"/>
      <c r="D798" s="313"/>
      <c r="E798" s="314"/>
      <c r="F798" s="318"/>
      <c r="G798" s="315"/>
      <c r="H798" s="314"/>
      <c r="I798" s="314"/>
      <c r="J798" s="314"/>
      <c r="K798" s="315"/>
      <c r="L798" s="736"/>
      <c r="M798" s="318"/>
      <c r="N798" s="315"/>
      <c r="O798" s="314"/>
      <c r="P798" s="314"/>
      <c r="Q798" s="314"/>
      <c r="R798" s="314"/>
      <c r="S798" s="848"/>
      <c r="T798" s="318"/>
      <c r="U798" s="315"/>
      <c r="V798" s="314"/>
      <c r="W798" s="314"/>
      <c r="X798" s="314"/>
      <c r="Y798" s="314"/>
      <c r="Z798" s="314"/>
      <c r="AA798" s="318"/>
      <c r="AB798" s="315"/>
      <c r="AC798" s="314"/>
      <c r="AD798" s="314"/>
      <c r="AE798" s="314"/>
      <c r="AF798" s="314"/>
      <c r="AG798" s="324"/>
      <c r="AH798" s="155"/>
      <c r="AI798" s="155"/>
      <c r="AJ798" s="322"/>
      <c r="AK798" s="132"/>
      <c r="AL798" s="132"/>
    </row>
    <row r="799">
      <c r="A799" s="314"/>
      <c r="B799" s="313"/>
      <c r="C799" s="312"/>
      <c r="D799" s="313"/>
      <c r="E799" s="314"/>
      <c r="F799" s="318"/>
      <c r="G799" s="315"/>
      <c r="H799" s="314"/>
      <c r="I799" s="314"/>
      <c r="J799" s="314"/>
      <c r="K799" s="315"/>
      <c r="L799" s="736"/>
      <c r="M799" s="318"/>
      <c r="N799" s="315"/>
      <c r="O799" s="314"/>
      <c r="P799" s="314"/>
      <c r="Q799" s="314"/>
      <c r="R799" s="314"/>
      <c r="S799" s="848"/>
      <c r="T799" s="318"/>
      <c r="U799" s="315"/>
      <c r="V799" s="314"/>
      <c r="W799" s="314"/>
      <c r="X799" s="314"/>
      <c r="Y799" s="314"/>
      <c r="Z799" s="314"/>
      <c r="AA799" s="318"/>
      <c r="AB799" s="315"/>
      <c r="AC799" s="314"/>
      <c r="AD799" s="314"/>
      <c r="AE799" s="314"/>
      <c r="AF799" s="314"/>
      <c r="AG799" s="324"/>
      <c r="AH799" s="155"/>
      <c r="AI799" s="155"/>
      <c r="AJ799" s="322"/>
      <c r="AK799" s="132"/>
      <c r="AL799" s="132"/>
    </row>
    <row r="800">
      <c r="A800" s="314"/>
      <c r="B800" s="313"/>
      <c r="C800" s="312"/>
      <c r="D800" s="313"/>
      <c r="E800" s="314"/>
      <c r="F800" s="318"/>
      <c r="G800" s="315"/>
      <c r="H800" s="314"/>
      <c r="I800" s="314"/>
      <c r="J800" s="314"/>
      <c r="K800" s="315"/>
      <c r="L800" s="736"/>
      <c r="M800" s="318"/>
      <c r="N800" s="315"/>
      <c r="O800" s="314"/>
      <c r="P800" s="314"/>
      <c r="Q800" s="314"/>
      <c r="R800" s="314"/>
      <c r="S800" s="848"/>
      <c r="T800" s="318"/>
      <c r="U800" s="315"/>
      <c r="V800" s="314"/>
      <c r="W800" s="314"/>
      <c r="X800" s="314"/>
      <c r="Y800" s="314"/>
      <c r="Z800" s="314"/>
      <c r="AA800" s="318"/>
      <c r="AB800" s="315"/>
      <c r="AC800" s="314"/>
      <c r="AD800" s="314"/>
      <c r="AE800" s="314"/>
      <c r="AF800" s="314"/>
      <c r="AG800" s="324"/>
      <c r="AH800" s="155"/>
      <c r="AI800" s="155"/>
      <c r="AJ800" s="322"/>
      <c r="AK800" s="132"/>
      <c r="AL800" s="132"/>
    </row>
    <row r="801">
      <c r="A801" s="314"/>
      <c r="B801" s="313"/>
      <c r="C801" s="312"/>
      <c r="D801" s="313"/>
      <c r="E801" s="314"/>
      <c r="F801" s="318"/>
      <c r="G801" s="315"/>
      <c r="H801" s="314"/>
      <c r="I801" s="314"/>
      <c r="J801" s="314"/>
      <c r="K801" s="315"/>
      <c r="L801" s="736"/>
      <c r="M801" s="318"/>
      <c r="N801" s="315"/>
      <c r="O801" s="314"/>
      <c r="P801" s="314"/>
      <c r="Q801" s="314"/>
      <c r="R801" s="314"/>
      <c r="S801" s="848"/>
      <c r="T801" s="318"/>
      <c r="U801" s="315"/>
      <c r="V801" s="314"/>
      <c r="W801" s="314"/>
      <c r="X801" s="314"/>
      <c r="Y801" s="314"/>
      <c r="Z801" s="314"/>
      <c r="AA801" s="318"/>
      <c r="AB801" s="315"/>
      <c r="AC801" s="314"/>
      <c r="AD801" s="314"/>
      <c r="AE801" s="314"/>
      <c r="AF801" s="314"/>
      <c r="AG801" s="324"/>
      <c r="AH801" s="155"/>
      <c r="AI801" s="155"/>
      <c r="AJ801" s="322"/>
      <c r="AK801" s="132"/>
      <c r="AL801" s="132"/>
    </row>
    <row r="802">
      <c r="A802" s="314"/>
      <c r="B802" s="313"/>
      <c r="C802" s="312"/>
      <c r="D802" s="313"/>
      <c r="E802" s="314"/>
      <c r="F802" s="318"/>
      <c r="G802" s="315"/>
      <c r="H802" s="314"/>
      <c r="I802" s="314"/>
      <c r="J802" s="314"/>
      <c r="K802" s="315"/>
      <c r="L802" s="736"/>
      <c r="M802" s="318"/>
      <c r="N802" s="315"/>
      <c r="O802" s="314"/>
      <c r="P802" s="314"/>
      <c r="Q802" s="314"/>
      <c r="R802" s="314"/>
      <c r="S802" s="848"/>
      <c r="T802" s="318"/>
      <c r="U802" s="315"/>
      <c r="V802" s="314"/>
      <c r="W802" s="314"/>
      <c r="X802" s="314"/>
      <c r="Y802" s="314"/>
      <c r="Z802" s="314"/>
      <c r="AA802" s="318"/>
      <c r="AB802" s="315"/>
      <c r="AC802" s="314"/>
      <c r="AD802" s="314"/>
      <c r="AE802" s="314"/>
      <c r="AF802" s="314"/>
      <c r="AG802" s="324"/>
      <c r="AH802" s="155"/>
      <c r="AI802" s="155"/>
      <c r="AJ802" s="322"/>
      <c r="AK802" s="132"/>
      <c r="AL802" s="132"/>
    </row>
    <row r="803">
      <c r="A803" s="314"/>
      <c r="B803" s="313"/>
      <c r="C803" s="312"/>
      <c r="D803" s="313"/>
      <c r="E803" s="314"/>
      <c r="F803" s="318"/>
      <c r="G803" s="315"/>
      <c r="H803" s="314"/>
      <c r="I803" s="314"/>
      <c r="J803" s="314"/>
      <c r="K803" s="315"/>
      <c r="L803" s="736"/>
      <c r="M803" s="318"/>
      <c r="N803" s="315"/>
      <c r="O803" s="314"/>
      <c r="P803" s="314"/>
      <c r="Q803" s="314"/>
      <c r="R803" s="314"/>
      <c r="S803" s="848"/>
      <c r="T803" s="318"/>
      <c r="U803" s="315"/>
      <c r="V803" s="314"/>
      <c r="W803" s="314"/>
      <c r="X803" s="314"/>
      <c r="Y803" s="314"/>
      <c r="Z803" s="314"/>
      <c r="AA803" s="318"/>
      <c r="AB803" s="315"/>
      <c r="AC803" s="314"/>
      <c r="AD803" s="314"/>
      <c r="AE803" s="314"/>
      <c r="AF803" s="314"/>
      <c r="AG803" s="324"/>
      <c r="AH803" s="155"/>
      <c r="AI803" s="155"/>
      <c r="AJ803" s="322"/>
      <c r="AK803" s="132"/>
      <c r="AL803" s="132"/>
    </row>
    <row r="804">
      <c r="A804" s="314"/>
      <c r="B804" s="313"/>
      <c r="C804" s="312"/>
      <c r="D804" s="313"/>
      <c r="E804" s="314"/>
      <c r="F804" s="318"/>
      <c r="G804" s="315"/>
      <c r="H804" s="314"/>
      <c r="I804" s="314"/>
      <c r="J804" s="314"/>
      <c r="K804" s="315"/>
      <c r="L804" s="736"/>
      <c r="M804" s="318"/>
      <c r="N804" s="315"/>
      <c r="O804" s="314"/>
      <c r="P804" s="314"/>
      <c r="Q804" s="314"/>
      <c r="R804" s="314"/>
      <c r="S804" s="848"/>
      <c r="T804" s="318"/>
      <c r="U804" s="315"/>
      <c r="V804" s="314"/>
      <c r="W804" s="314"/>
      <c r="X804" s="314"/>
      <c r="Y804" s="314"/>
      <c r="Z804" s="314"/>
      <c r="AA804" s="318"/>
      <c r="AB804" s="315"/>
      <c r="AC804" s="314"/>
      <c r="AD804" s="314"/>
      <c r="AE804" s="314"/>
      <c r="AF804" s="314"/>
      <c r="AG804" s="324"/>
      <c r="AH804" s="155"/>
      <c r="AI804" s="155"/>
      <c r="AJ804" s="322"/>
      <c r="AK804" s="132"/>
      <c r="AL804" s="132"/>
    </row>
    <row r="805">
      <c r="A805" s="314"/>
      <c r="B805" s="313"/>
      <c r="C805" s="312"/>
      <c r="D805" s="313"/>
      <c r="E805" s="314"/>
      <c r="F805" s="318"/>
      <c r="G805" s="315"/>
      <c r="H805" s="314"/>
      <c r="I805" s="314"/>
      <c r="J805" s="314"/>
      <c r="K805" s="315"/>
      <c r="L805" s="736"/>
      <c r="M805" s="318"/>
      <c r="N805" s="315"/>
      <c r="O805" s="314"/>
      <c r="P805" s="314"/>
      <c r="Q805" s="314"/>
      <c r="R805" s="314"/>
      <c r="S805" s="848"/>
      <c r="T805" s="318"/>
      <c r="U805" s="315"/>
      <c r="V805" s="314"/>
      <c r="W805" s="314"/>
      <c r="X805" s="314"/>
      <c r="Y805" s="314"/>
      <c r="Z805" s="314"/>
      <c r="AA805" s="318"/>
      <c r="AB805" s="315"/>
      <c r="AC805" s="314"/>
      <c r="AD805" s="314"/>
      <c r="AE805" s="314"/>
      <c r="AF805" s="314"/>
      <c r="AG805" s="324"/>
      <c r="AH805" s="155"/>
      <c r="AI805" s="155"/>
      <c r="AJ805" s="322"/>
      <c r="AK805" s="132"/>
      <c r="AL805" s="132"/>
    </row>
    <row r="806">
      <c r="A806" s="314"/>
      <c r="B806" s="313"/>
      <c r="C806" s="312"/>
      <c r="D806" s="313"/>
      <c r="E806" s="314"/>
      <c r="F806" s="318"/>
      <c r="G806" s="315"/>
      <c r="H806" s="314"/>
      <c r="I806" s="314"/>
      <c r="J806" s="314"/>
      <c r="K806" s="315"/>
      <c r="L806" s="736"/>
      <c r="M806" s="318"/>
      <c r="N806" s="315"/>
      <c r="O806" s="314"/>
      <c r="P806" s="314"/>
      <c r="Q806" s="314"/>
      <c r="R806" s="314"/>
      <c r="S806" s="848"/>
      <c r="T806" s="318"/>
      <c r="U806" s="315"/>
      <c r="V806" s="314"/>
      <c r="W806" s="314"/>
      <c r="X806" s="314"/>
      <c r="Y806" s="314"/>
      <c r="Z806" s="314"/>
      <c r="AA806" s="318"/>
      <c r="AB806" s="315"/>
      <c r="AC806" s="314"/>
      <c r="AD806" s="314"/>
      <c r="AE806" s="314"/>
      <c r="AF806" s="314"/>
      <c r="AG806" s="324"/>
      <c r="AH806" s="155"/>
      <c r="AI806" s="155"/>
      <c r="AJ806" s="322"/>
      <c r="AK806" s="132"/>
      <c r="AL806" s="132"/>
    </row>
    <row r="807">
      <c r="A807" s="314"/>
      <c r="B807" s="313"/>
      <c r="C807" s="312"/>
      <c r="D807" s="313"/>
      <c r="E807" s="314"/>
      <c r="F807" s="318"/>
      <c r="G807" s="315"/>
      <c r="H807" s="314"/>
      <c r="I807" s="314"/>
      <c r="J807" s="314"/>
      <c r="K807" s="315"/>
      <c r="L807" s="736"/>
      <c r="M807" s="318"/>
      <c r="N807" s="315"/>
      <c r="O807" s="314"/>
      <c r="P807" s="314"/>
      <c r="Q807" s="314"/>
      <c r="R807" s="314"/>
      <c r="S807" s="848"/>
      <c r="T807" s="318"/>
      <c r="U807" s="315"/>
      <c r="V807" s="314"/>
      <c r="W807" s="314"/>
      <c r="X807" s="314"/>
      <c r="Y807" s="314"/>
      <c r="Z807" s="314"/>
      <c r="AA807" s="318"/>
      <c r="AB807" s="315"/>
      <c r="AC807" s="314"/>
      <c r="AD807" s="314"/>
      <c r="AE807" s="314"/>
      <c r="AF807" s="314"/>
      <c r="AG807" s="324"/>
      <c r="AH807" s="155"/>
      <c r="AI807" s="155"/>
      <c r="AJ807" s="322"/>
      <c r="AK807" s="132"/>
      <c r="AL807" s="132"/>
    </row>
    <row r="808">
      <c r="A808" s="314"/>
      <c r="B808" s="313"/>
      <c r="C808" s="312"/>
      <c r="D808" s="313"/>
      <c r="E808" s="314"/>
      <c r="F808" s="318"/>
      <c r="G808" s="315"/>
      <c r="H808" s="314"/>
      <c r="I808" s="314"/>
      <c r="J808" s="314"/>
      <c r="K808" s="315"/>
      <c r="L808" s="736"/>
      <c r="M808" s="318"/>
      <c r="N808" s="315"/>
      <c r="O808" s="314"/>
      <c r="P808" s="314"/>
      <c r="Q808" s="314"/>
      <c r="R808" s="314"/>
      <c r="S808" s="848"/>
      <c r="T808" s="318"/>
      <c r="U808" s="315"/>
      <c r="V808" s="314"/>
      <c r="W808" s="314"/>
      <c r="X808" s="314"/>
      <c r="Y808" s="314"/>
      <c r="Z808" s="314"/>
      <c r="AA808" s="318"/>
      <c r="AB808" s="315"/>
      <c r="AC808" s="314"/>
      <c r="AD808" s="314"/>
      <c r="AE808" s="314"/>
      <c r="AF808" s="314"/>
      <c r="AG808" s="324"/>
      <c r="AH808" s="155"/>
      <c r="AI808" s="155"/>
      <c r="AJ808" s="322"/>
      <c r="AK808" s="132"/>
      <c r="AL808" s="132"/>
    </row>
    <row r="809">
      <c r="A809" s="314"/>
      <c r="B809" s="313"/>
      <c r="C809" s="312"/>
      <c r="D809" s="313"/>
      <c r="E809" s="314"/>
      <c r="F809" s="318"/>
      <c r="G809" s="315"/>
      <c r="H809" s="314"/>
      <c r="I809" s="314"/>
      <c r="J809" s="314"/>
      <c r="K809" s="315"/>
      <c r="L809" s="736"/>
      <c r="M809" s="318"/>
      <c r="N809" s="315"/>
      <c r="O809" s="314"/>
      <c r="P809" s="314"/>
      <c r="Q809" s="314"/>
      <c r="R809" s="314"/>
      <c r="S809" s="848"/>
      <c r="T809" s="318"/>
      <c r="U809" s="315"/>
      <c r="V809" s="314"/>
      <c r="W809" s="314"/>
      <c r="X809" s="314"/>
      <c r="Y809" s="314"/>
      <c r="Z809" s="314"/>
      <c r="AA809" s="318"/>
      <c r="AB809" s="315"/>
      <c r="AC809" s="314"/>
      <c r="AD809" s="314"/>
      <c r="AE809" s="314"/>
      <c r="AF809" s="314"/>
      <c r="AG809" s="324"/>
      <c r="AH809" s="155"/>
      <c r="AI809" s="155"/>
      <c r="AJ809" s="322"/>
      <c r="AK809" s="132"/>
      <c r="AL809" s="132"/>
    </row>
    <row r="810">
      <c r="A810" s="314"/>
      <c r="B810" s="313"/>
      <c r="C810" s="312"/>
      <c r="D810" s="313"/>
      <c r="E810" s="314"/>
      <c r="F810" s="318"/>
      <c r="G810" s="315"/>
      <c r="H810" s="314"/>
      <c r="I810" s="314"/>
      <c r="J810" s="314"/>
      <c r="K810" s="315"/>
      <c r="L810" s="736"/>
      <c r="M810" s="318"/>
      <c r="N810" s="315"/>
      <c r="O810" s="314"/>
      <c r="P810" s="314"/>
      <c r="Q810" s="314"/>
      <c r="R810" s="314"/>
      <c r="S810" s="848"/>
      <c r="T810" s="318"/>
      <c r="U810" s="315"/>
      <c r="V810" s="314"/>
      <c r="W810" s="314"/>
      <c r="X810" s="314"/>
      <c r="Y810" s="314"/>
      <c r="Z810" s="314"/>
      <c r="AA810" s="318"/>
      <c r="AB810" s="315"/>
      <c r="AC810" s="314"/>
      <c r="AD810" s="314"/>
      <c r="AE810" s="314"/>
      <c r="AF810" s="314"/>
      <c r="AG810" s="324"/>
      <c r="AH810" s="155"/>
      <c r="AI810" s="155"/>
      <c r="AJ810" s="322"/>
      <c r="AK810" s="132"/>
      <c r="AL810" s="132"/>
    </row>
    <row r="811">
      <c r="A811" s="314"/>
      <c r="B811" s="313"/>
      <c r="C811" s="312"/>
      <c r="D811" s="313"/>
      <c r="E811" s="314"/>
      <c r="F811" s="318"/>
      <c r="G811" s="315"/>
      <c r="H811" s="314"/>
      <c r="I811" s="314"/>
      <c r="J811" s="314"/>
      <c r="K811" s="315"/>
      <c r="L811" s="736"/>
      <c r="M811" s="318"/>
      <c r="N811" s="315"/>
      <c r="O811" s="314"/>
      <c r="P811" s="314"/>
      <c r="Q811" s="314"/>
      <c r="R811" s="314"/>
      <c r="S811" s="848"/>
      <c r="T811" s="318"/>
      <c r="U811" s="315"/>
      <c r="V811" s="314"/>
      <c r="W811" s="314"/>
      <c r="X811" s="314"/>
      <c r="Y811" s="314"/>
      <c r="Z811" s="314"/>
      <c r="AA811" s="318"/>
      <c r="AB811" s="315"/>
      <c r="AC811" s="314"/>
      <c r="AD811" s="314"/>
      <c r="AE811" s="314"/>
      <c r="AF811" s="314"/>
      <c r="AG811" s="324"/>
      <c r="AH811" s="155"/>
      <c r="AI811" s="155"/>
      <c r="AJ811" s="322"/>
      <c r="AK811" s="132"/>
      <c r="AL811" s="132"/>
    </row>
    <row r="812">
      <c r="A812" s="314"/>
      <c r="B812" s="313"/>
      <c r="C812" s="312"/>
      <c r="D812" s="313"/>
      <c r="E812" s="314"/>
      <c r="F812" s="318"/>
      <c r="G812" s="315"/>
      <c r="H812" s="314"/>
      <c r="I812" s="314"/>
      <c r="J812" s="314"/>
      <c r="K812" s="315"/>
      <c r="L812" s="736"/>
      <c r="M812" s="318"/>
      <c r="N812" s="315"/>
      <c r="O812" s="314"/>
      <c r="P812" s="314"/>
      <c r="Q812" s="314"/>
      <c r="R812" s="314"/>
      <c r="S812" s="848"/>
      <c r="T812" s="318"/>
      <c r="U812" s="315"/>
      <c r="V812" s="314"/>
      <c r="W812" s="314"/>
      <c r="X812" s="314"/>
      <c r="Y812" s="314"/>
      <c r="Z812" s="314"/>
      <c r="AA812" s="318"/>
      <c r="AB812" s="315"/>
      <c r="AC812" s="314"/>
      <c r="AD812" s="314"/>
      <c r="AE812" s="314"/>
      <c r="AF812" s="314"/>
      <c r="AG812" s="324"/>
      <c r="AH812" s="155"/>
      <c r="AI812" s="155"/>
      <c r="AJ812" s="322"/>
      <c r="AK812" s="132"/>
      <c r="AL812" s="132"/>
    </row>
    <row r="813">
      <c r="A813" s="314"/>
      <c r="B813" s="313"/>
      <c r="C813" s="312"/>
      <c r="D813" s="313"/>
      <c r="E813" s="314"/>
      <c r="F813" s="318"/>
      <c r="G813" s="315"/>
      <c r="H813" s="314"/>
      <c r="I813" s="314"/>
      <c r="J813" s="314"/>
      <c r="K813" s="315"/>
      <c r="L813" s="736"/>
      <c r="M813" s="318"/>
      <c r="N813" s="315"/>
      <c r="O813" s="314"/>
      <c r="P813" s="314"/>
      <c r="Q813" s="314"/>
      <c r="R813" s="314"/>
      <c r="S813" s="848"/>
      <c r="T813" s="318"/>
      <c r="U813" s="315"/>
      <c r="V813" s="314"/>
      <c r="W813" s="314"/>
      <c r="X813" s="314"/>
      <c r="Y813" s="314"/>
      <c r="Z813" s="314"/>
      <c r="AA813" s="318"/>
      <c r="AB813" s="315"/>
      <c r="AC813" s="314"/>
      <c r="AD813" s="314"/>
      <c r="AE813" s="314"/>
      <c r="AF813" s="314"/>
      <c r="AG813" s="324"/>
      <c r="AH813" s="155"/>
      <c r="AI813" s="155"/>
      <c r="AJ813" s="322"/>
      <c r="AK813" s="132"/>
      <c r="AL813" s="132"/>
    </row>
    <row r="814">
      <c r="A814" s="314"/>
      <c r="B814" s="313"/>
      <c r="C814" s="312"/>
      <c r="D814" s="313"/>
      <c r="E814" s="314"/>
      <c r="F814" s="318"/>
      <c r="G814" s="315"/>
      <c r="H814" s="314"/>
      <c r="I814" s="314"/>
      <c r="J814" s="314"/>
      <c r="K814" s="315"/>
      <c r="L814" s="736"/>
      <c r="M814" s="318"/>
      <c r="N814" s="315"/>
      <c r="O814" s="314"/>
      <c r="P814" s="314"/>
      <c r="Q814" s="314"/>
      <c r="R814" s="314"/>
      <c r="S814" s="848"/>
      <c r="T814" s="318"/>
      <c r="U814" s="315"/>
      <c r="V814" s="314"/>
      <c r="W814" s="314"/>
      <c r="X814" s="314"/>
      <c r="Y814" s="314"/>
      <c r="Z814" s="314"/>
      <c r="AA814" s="318"/>
      <c r="AB814" s="315"/>
      <c r="AC814" s="314"/>
      <c r="AD814" s="314"/>
      <c r="AE814" s="314"/>
      <c r="AF814" s="314"/>
      <c r="AG814" s="324"/>
      <c r="AH814" s="155"/>
      <c r="AI814" s="155"/>
      <c r="AJ814" s="322"/>
      <c r="AK814" s="132"/>
      <c r="AL814" s="132"/>
    </row>
    <row r="815">
      <c r="A815" s="314"/>
      <c r="B815" s="313"/>
      <c r="C815" s="312"/>
      <c r="D815" s="313"/>
      <c r="E815" s="314"/>
      <c r="F815" s="318"/>
      <c r="G815" s="315"/>
      <c r="H815" s="314"/>
      <c r="I815" s="314"/>
      <c r="J815" s="314"/>
      <c r="K815" s="315"/>
      <c r="L815" s="736"/>
      <c r="M815" s="318"/>
      <c r="N815" s="315"/>
      <c r="O815" s="314"/>
      <c r="P815" s="314"/>
      <c r="Q815" s="314"/>
      <c r="R815" s="314"/>
      <c r="S815" s="848"/>
      <c r="T815" s="318"/>
      <c r="U815" s="315"/>
      <c r="V815" s="314"/>
      <c r="W815" s="314"/>
      <c r="X815" s="314"/>
      <c r="Y815" s="314"/>
      <c r="Z815" s="314"/>
      <c r="AA815" s="318"/>
      <c r="AB815" s="315"/>
      <c r="AC815" s="314"/>
      <c r="AD815" s="314"/>
      <c r="AE815" s="314"/>
      <c r="AF815" s="314"/>
      <c r="AG815" s="324"/>
      <c r="AH815" s="155"/>
      <c r="AI815" s="155"/>
      <c r="AJ815" s="322"/>
      <c r="AK815" s="132"/>
      <c r="AL815" s="132"/>
    </row>
    <row r="816">
      <c r="A816" s="435"/>
      <c r="B816" s="313"/>
      <c r="C816" s="745"/>
      <c r="D816" s="313"/>
      <c r="E816" s="435"/>
      <c r="F816" s="318"/>
      <c r="G816" s="315"/>
      <c r="H816" s="435"/>
      <c r="I816" s="435"/>
      <c r="J816" s="314"/>
      <c r="K816" s="744"/>
      <c r="L816" s="839"/>
      <c r="M816" s="318"/>
      <c r="N816" s="315"/>
      <c r="O816" s="314"/>
      <c r="P816" s="435"/>
      <c r="Q816" s="435"/>
      <c r="R816" s="435"/>
      <c r="S816" s="849"/>
      <c r="T816" s="740"/>
      <c r="U816" s="744"/>
      <c r="V816" s="435"/>
      <c r="W816" s="435"/>
      <c r="X816" s="435"/>
      <c r="Y816" s="435"/>
      <c r="Z816" s="435"/>
      <c r="AA816" s="740"/>
      <c r="AB816" s="744"/>
      <c r="AC816" s="435"/>
      <c r="AD816" s="435"/>
      <c r="AE816" s="435"/>
      <c r="AF816" s="435"/>
      <c r="AG816" s="324"/>
      <c r="AH816" s="180"/>
      <c r="AI816" s="155"/>
      <c r="AJ816" s="322"/>
      <c r="AK816" s="132"/>
      <c r="AL816" s="132"/>
    </row>
    <row r="817">
      <c r="A817" s="435"/>
      <c r="B817" s="313"/>
      <c r="C817" s="312"/>
      <c r="D817" s="437"/>
      <c r="E817" s="314"/>
      <c r="F817" s="318"/>
      <c r="G817" s="315"/>
      <c r="H817" s="314"/>
      <c r="I817" s="314"/>
      <c r="J817" s="314"/>
      <c r="K817" s="315"/>
      <c r="L817" s="736"/>
      <c r="M817" s="740"/>
      <c r="N817" s="744"/>
      <c r="O817" s="314"/>
      <c r="P817" s="314"/>
      <c r="Q817" s="314"/>
      <c r="R817" s="314"/>
      <c r="S817" s="848"/>
      <c r="T817" s="318"/>
      <c r="U817" s="315"/>
      <c r="V817" s="314"/>
      <c r="W817" s="314"/>
      <c r="X817" s="314"/>
      <c r="Y817" s="314"/>
      <c r="Z817" s="314"/>
      <c r="AA817" s="318"/>
      <c r="AB817" s="315"/>
      <c r="AC817" s="314"/>
      <c r="AD817" s="314"/>
      <c r="AE817" s="314"/>
      <c r="AF817" s="314"/>
      <c r="AG817" s="324"/>
      <c r="AH817" s="180"/>
      <c r="AI817" s="155"/>
      <c r="AJ817" s="322"/>
      <c r="AK817" s="132"/>
      <c r="AL817" s="132"/>
    </row>
    <row r="818">
      <c r="A818" s="435"/>
      <c r="B818" s="437"/>
      <c r="C818" s="745"/>
      <c r="D818" s="437"/>
      <c r="E818" s="435"/>
      <c r="F818" s="318"/>
      <c r="G818" s="315"/>
      <c r="H818" s="314"/>
      <c r="I818" s="435"/>
      <c r="J818" s="435"/>
      <c r="K818" s="744"/>
      <c r="L818" s="839"/>
      <c r="M818" s="740"/>
      <c r="N818" s="744"/>
      <c r="O818" s="314"/>
      <c r="P818" s="435"/>
      <c r="Q818" s="314"/>
      <c r="R818" s="435"/>
      <c r="S818" s="849"/>
      <c r="T818" s="740"/>
      <c r="U818" s="744"/>
      <c r="V818" s="435"/>
      <c r="W818" s="435"/>
      <c r="X818" s="435"/>
      <c r="Y818" s="435"/>
      <c r="Z818" s="435"/>
      <c r="AA818" s="740"/>
      <c r="AB818" s="744"/>
      <c r="AC818" s="435"/>
      <c r="AD818" s="435"/>
      <c r="AE818" s="435"/>
      <c r="AF818" s="435"/>
      <c r="AG818" s="324"/>
      <c r="AH818" s="180"/>
      <c r="AI818" s="155"/>
      <c r="AJ818" s="322"/>
      <c r="AK818" s="132"/>
      <c r="AL818" s="132"/>
    </row>
    <row r="819">
      <c r="A819" s="435"/>
      <c r="B819" s="313"/>
      <c r="C819" s="312"/>
      <c r="D819" s="437"/>
      <c r="E819" s="314"/>
      <c r="F819" s="318"/>
      <c r="G819" s="315"/>
      <c r="H819" s="314"/>
      <c r="I819" s="435"/>
      <c r="J819" s="314"/>
      <c r="K819" s="744"/>
      <c r="L819" s="736"/>
      <c r="M819" s="318"/>
      <c r="N819" s="315"/>
      <c r="O819" s="314"/>
      <c r="P819" s="314"/>
      <c r="Q819" s="435"/>
      <c r="R819" s="435"/>
      <c r="S819" s="848"/>
      <c r="T819" s="318"/>
      <c r="U819" s="315"/>
      <c r="V819" s="314"/>
      <c r="W819" s="314"/>
      <c r="X819" s="314"/>
      <c r="Y819" s="314"/>
      <c r="Z819" s="314"/>
      <c r="AA819" s="318"/>
      <c r="AB819" s="315"/>
      <c r="AC819" s="314"/>
      <c r="AD819" s="314"/>
      <c r="AE819" s="314"/>
      <c r="AF819" s="314"/>
      <c r="AG819" s="324"/>
      <c r="AH819" s="180"/>
      <c r="AI819" s="155"/>
      <c r="AJ819" s="322"/>
      <c r="AK819" s="132"/>
      <c r="AL819" s="132"/>
    </row>
    <row r="820">
      <c r="A820" s="435"/>
      <c r="B820" s="437"/>
      <c r="C820" s="745"/>
      <c r="D820" s="437"/>
      <c r="E820" s="435"/>
      <c r="F820" s="318"/>
      <c r="G820" s="315"/>
      <c r="H820" s="435"/>
      <c r="I820" s="435"/>
      <c r="J820" s="435"/>
      <c r="K820" s="744"/>
      <c r="L820" s="839"/>
      <c r="M820" s="740"/>
      <c r="N820" s="744"/>
      <c r="O820" s="314"/>
      <c r="P820" s="435"/>
      <c r="Q820" s="435"/>
      <c r="R820" s="435"/>
      <c r="S820" s="849"/>
      <c r="T820" s="740"/>
      <c r="U820" s="744"/>
      <c r="V820" s="435"/>
      <c r="W820" s="435"/>
      <c r="X820" s="435"/>
      <c r="Y820" s="435"/>
      <c r="Z820" s="435"/>
      <c r="AA820" s="740"/>
      <c r="AB820" s="744"/>
      <c r="AC820" s="435"/>
      <c r="AD820" s="435"/>
      <c r="AE820" s="435"/>
      <c r="AF820" s="435"/>
      <c r="AG820" s="324"/>
      <c r="AH820" s="180"/>
      <c r="AI820" s="155"/>
      <c r="AJ820" s="322"/>
      <c r="AK820" s="132"/>
      <c r="AL820" s="132"/>
    </row>
    <row r="821">
      <c r="A821" s="435"/>
      <c r="B821" s="437"/>
      <c r="C821" s="312"/>
      <c r="D821" s="437"/>
      <c r="E821" s="314"/>
      <c r="F821" s="318"/>
      <c r="G821" s="315"/>
      <c r="H821" s="314"/>
      <c r="I821" s="314"/>
      <c r="J821" s="314"/>
      <c r="K821" s="744"/>
      <c r="L821" s="736"/>
      <c r="M821" s="318"/>
      <c r="N821" s="315"/>
      <c r="O821" s="314"/>
      <c r="P821" s="314"/>
      <c r="Q821" s="314"/>
      <c r="R821" s="314"/>
      <c r="S821" s="849"/>
      <c r="T821" s="740"/>
      <c r="U821" s="744"/>
      <c r="V821" s="435"/>
      <c r="W821" s="435"/>
      <c r="X821" s="435"/>
      <c r="Y821" s="435"/>
      <c r="Z821" s="435"/>
      <c r="AA821" s="740"/>
      <c r="AB821" s="744"/>
      <c r="AC821" s="435"/>
      <c r="AD821" s="435"/>
      <c r="AE821" s="435"/>
      <c r="AF821" s="435"/>
      <c r="AG821" s="324"/>
      <c r="AH821" s="180"/>
      <c r="AI821" s="155"/>
      <c r="AJ821" s="322"/>
      <c r="AK821" s="132"/>
      <c r="AL821" s="132"/>
    </row>
    <row r="822">
      <c r="A822" s="435"/>
      <c r="B822" s="437"/>
      <c r="C822" s="745"/>
      <c r="D822" s="437"/>
      <c r="E822" s="435"/>
      <c r="F822" s="318"/>
      <c r="G822" s="315"/>
      <c r="H822" s="435"/>
      <c r="I822" s="314"/>
      <c r="J822" s="314"/>
      <c r="K822" s="744"/>
      <c r="L822" s="736"/>
      <c r="M822" s="318"/>
      <c r="N822" s="315"/>
      <c r="O822" s="314"/>
      <c r="P822" s="435"/>
      <c r="Q822" s="435"/>
      <c r="R822" s="435"/>
      <c r="S822" s="849"/>
      <c r="T822" s="740"/>
      <c r="U822" s="744"/>
      <c r="V822" s="435"/>
      <c r="W822" s="435"/>
      <c r="X822" s="435"/>
      <c r="Y822" s="435"/>
      <c r="Z822" s="435"/>
      <c r="AA822" s="740"/>
      <c r="AB822" s="744"/>
      <c r="AC822" s="435"/>
      <c r="AD822" s="435"/>
      <c r="AE822" s="435"/>
      <c r="AF822" s="435"/>
      <c r="AG822" s="324"/>
      <c r="AH822" s="180"/>
      <c r="AI822" s="155"/>
      <c r="AJ822" s="322"/>
      <c r="AK822" s="132"/>
      <c r="AL822" s="132"/>
    </row>
    <row r="823">
      <c r="A823" s="435"/>
      <c r="B823" s="437"/>
      <c r="C823" s="745"/>
      <c r="D823" s="437"/>
      <c r="E823" s="435"/>
      <c r="F823" s="318"/>
      <c r="G823" s="315"/>
      <c r="H823" s="435"/>
      <c r="I823" s="435"/>
      <c r="J823" s="435"/>
      <c r="K823" s="744"/>
      <c r="L823" s="839"/>
      <c r="M823" s="740"/>
      <c r="N823" s="744"/>
      <c r="O823" s="314"/>
      <c r="P823" s="435"/>
      <c r="Q823" s="435"/>
      <c r="R823" s="435"/>
      <c r="S823" s="849"/>
      <c r="T823" s="740"/>
      <c r="U823" s="744"/>
      <c r="V823" s="435"/>
      <c r="W823" s="435"/>
      <c r="X823" s="435"/>
      <c r="Y823" s="435"/>
      <c r="Z823" s="435"/>
      <c r="AA823" s="740"/>
      <c r="AB823" s="744"/>
      <c r="AC823" s="435"/>
      <c r="AD823" s="435"/>
      <c r="AE823" s="435"/>
      <c r="AF823" s="435"/>
      <c r="AG823" s="324"/>
      <c r="AH823" s="180"/>
      <c r="AI823" s="155"/>
      <c r="AJ823" s="322"/>
      <c r="AK823" s="132"/>
      <c r="AL823" s="132"/>
    </row>
    <row r="824">
      <c r="A824" s="435"/>
      <c r="B824" s="313"/>
      <c r="C824" s="312"/>
      <c r="D824" s="313"/>
      <c r="E824" s="435"/>
      <c r="F824" s="318"/>
      <c r="G824" s="315"/>
      <c r="H824" s="435"/>
      <c r="I824" s="314"/>
      <c r="J824" s="314"/>
      <c r="K824" s="315"/>
      <c r="L824" s="736"/>
      <c r="M824" s="318"/>
      <c r="N824" s="315"/>
      <c r="O824" s="314"/>
      <c r="P824" s="314"/>
      <c r="Q824" s="314"/>
      <c r="R824" s="314"/>
      <c r="S824" s="848"/>
      <c r="T824" s="318"/>
      <c r="U824" s="315"/>
      <c r="V824" s="314"/>
      <c r="W824" s="314"/>
      <c r="X824" s="314"/>
      <c r="Y824" s="314"/>
      <c r="Z824" s="314"/>
      <c r="AA824" s="318"/>
      <c r="AB824" s="315"/>
      <c r="AC824" s="314"/>
      <c r="AD824" s="314"/>
      <c r="AE824" s="314"/>
      <c r="AF824" s="314"/>
      <c r="AG824" s="324"/>
      <c r="AH824" s="180"/>
      <c r="AI824" s="155"/>
      <c r="AJ824" s="322"/>
      <c r="AK824" s="132"/>
      <c r="AL824" s="132"/>
    </row>
    <row r="825">
      <c r="A825" s="435"/>
      <c r="B825" s="313"/>
      <c r="C825" s="312"/>
      <c r="D825" s="437"/>
      <c r="E825" s="314"/>
      <c r="F825" s="318"/>
      <c r="G825" s="315"/>
      <c r="H825" s="435"/>
      <c r="I825" s="314"/>
      <c r="J825" s="435"/>
      <c r="K825" s="744"/>
      <c r="L825" s="736"/>
      <c r="M825" s="740"/>
      <c r="N825" s="315"/>
      <c r="O825" s="314"/>
      <c r="P825" s="314"/>
      <c r="Q825" s="314"/>
      <c r="R825" s="435"/>
      <c r="S825" s="849"/>
      <c r="T825" s="740"/>
      <c r="U825" s="744"/>
      <c r="V825" s="435"/>
      <c r="W825" s="435"/>
      <c r="X825" s="435"/>
      <c r="Y825" s="435"/>
      <c r="Z825" s="435"/>
      <c r="AA825" s="740"/>
      <c r="AB825" s="744"/>
      <c r="AC825" s="435"/>
      <c r="AD825" s="435"/>
      <c r="AE825" s="435"/>
      <c r="AF825" s="435"/>
      <c r="AG825" s="324"/>
      <c r="AH825" s="180"/>
      <c r="AI825" s="155"/>
      <c r="AJ825" s="322"/>
      <c r="AK825" s="132"/>
      <c r="AL825" s="132"/>
    </row>
    <row r="826">
      <c r="A826" s="435"/>
      <c r="B826" s="313"/>
      <c r="C826" s="312"/>
      <c r="D826" s="313"/>
      <c r="E826" s="314"/>
      <c r="F826" s="318"/>
      <c r="G826" s="315"/>
      <c r="H826" s="314"/>
      <c r="I826" s="314"/>
      <c r="J826" s="314"/>
      <c r="K826" s="315"/>
      <c r="L826" s="736"/>
      <c r="M826" s="318"/>
      <c r="N826" s="315"/>
      <c r="O826" s="314"/>
      <c r="P826" s="314"/>
      <c r="Q826" s="435"/>
      <c r="R826" s="314"/>
      <c r="S826" s="849"/>
      <c r="T826" s="740"/>
      <c r="U826" s="744"/>
      <c r="V826" s="435"/>
      <c r="W826" s="435"/>
      <c r="X826" s="435"/>
      <c r="Y826" s="435"/>
      <c r="Z826" s="435"/>
      <c r="AA826" s="740"/>
      <c r="AB826" s="744"/>
      <c r="AC826" s="435"/>
      <c r="AD826" s="435"/>
      <c r="AE826" s="435"/>
      <c r="AF826" s="435"/>
      <c r="AG826" s="324"/>
      <c r="AH826" s="180"/>
      <c r="AI826" s="155"/>
      <c r="AJ826" s="322"/>
      <c r="AK826" s="132"/>
      <c r="AL826" s="132"/>
    </row>
    <row r="827">
      <c r="A827" s="435"/>
      <c r="B827" s="437"/>
      <c r="C827" s="312"/>
      <c r="D827" s="313"/>
      <c r="E827" s="314"/>
      <c r="F827" s="318"/>
      <c r="G827" s="315"/>
      <c r="H827" s="435"/>
      <c r="I827" s="314"/>
      <c r="J827" s="435"/>
      <c r="K827" s="744"/>
      <c r="L827" s="736"/>
      <c r="M827" s="318"/>
      <c r="N827" s="744"/>
      <c r="O827" s="314"/>
      <c r="P827" s="314"/>
      <c r="Q827" s="314"/>
      <c r="R827" s="435"/>
      <c r="S827" s="849"/>
      <c r="T827" s="740"/>
      <c r="U827" s="744"/>
      <c r="V827" s="435"/>
      <c r="W827" s="435"/>
      <c r="X827" s="435"/>
      <c r="Y827" s="435"/>
      <c r="Z827" s="435"/>
      <c r="AA827" s="740"/>
      <c r="AB827" s="744"/>
      <c r="AC827" s="435"/>
      <c r="AD827" s="435"/>
      <c r="AE827" s="435"/>
      <c r="AF827" s="435"/>
      <c r="AG827" s="324"/>
      <c r="AH827" s="180"/>
      <c r="AI827" s="155"/>
      <c r="AJ827" s="322"/>
      <c r="AK827" s="132"/>
      <c r="AL827" s="132"/>
    </row>
    <row r="828">
      <c r="A828" s="435"/>
      <c r="B828" s="313"/>
      <c r="C828" s="745"/>
      <c r="D828" s="437"/>
      <c r="E828" s="435"/>
      <c r="F828" s="318"/>
      <c r="G828" s="315"/>
      <c r="H828" s="435"/>
      <c r="I828" s="314"/>
      <c r="J828" s="314"/>
      <c r="K828" s="744"/>
      <c r="L828" s="736"/>
      <c r="M828" s="318"/>
      <c r="N828" s="315"/>
      <c r="O828" s="314"/>
      <c r="P828" s="314"/>
      <c r="Q828" s="314"/>
      <c r="R828" s="314"/>
      <c r="S828" s="849"/>
      <c r="T828" s="740"/>
      <c r="U828" s="744"/>
      <c r="V828" s="435"/>
      <c r="W828" s="435"/>
      <c r="X828" s="435"/>
      <c r="Y828" s="435"/>
      <c r="Z828" s="435"/>
      <c r="AA828" s="740"/>
      <c r="AB828" s="744"/>
      <c r="AC828" s="435"/>
      <c r="AD828" s="435"/>
      <c r="AE828" s="435"/>
      <c r="AF828" s="435"/>
      <c r="AG828" s="324"/>
      <c r="AH828" s="180"/>
      <c r="AI828" s="155"/>
      <c r="AJ828" s="322"/>
      <c r="AK828" s="132"/>
      <c r="AL828" s="132"/>
    </row>
    <row r="829">
      <c r="A829" s="435"/>
      <c r="B829" s="313"/>
      <c r="C829" s="312"/>
      <c r="D829" s="313"/>
      <c r="E829" s="314"/>
      <c r="F829" s="318"/>
      <c r="G829" s="315"/>
      <c r="H829" s="435"/>
      <c r="I829" s="314"/>
      <c r="J829" s="314"/>
      <c r="K829" s="315"/>
      <c r="L829" s="736"/>
      <c r="M829" s="318"/>
      <c r="N829" s="315"/>
      <c r="O829" s="314"/>
      <c r="P829" s="314"/>
      <c r="Q829" s="314"/>
      <c r="R829" s="435"/>
      <c r="S829" s="848"/>
      <c r="T829" s="318"/>
      <c r="U829" s="315"/>
      <c r="V829" s="314"/>
      <c r="W829" s="314"/>
      <c r="X829" s="314"/>
      <c r="Y829" s="314"/>
      <c r="Z829" s="314"/>
      <c r="AA829" s="318"/>
      <c r="AB829" s="315"/>
      <c r="AC829" s="314"/>
      <c r="AD829" s="314"/>
      <c r="AE829" s="314"/>
      <c r="AF829" s="314"/>
      <c r="AG829" s="324"/>
      <c r="AH829" s="180"/>
      <c r="AI829" s="155"/>
      <c r="AJ829" s="322"/>
      <c r="AK829" s="132"/>
      <c r="AL829" s="132"/>
    </row>
    <row r="830">
      <c r="A830" s="435"/>
      <c r="B830" s="437"/>
      <c r="C830" s="745"/>
      <c r="D830" s="437"/>
      <c r="E830" s="435"/>
      <c r="F830" s="318"/>
      <c r="G830" s="315"/>
      <c r="H830" s="435"/>
      <c r="I830" s="435"/>
      <c r="J830" s="435"/>
      <c r="K830" s="744"/>
      <c r="L830" s="839"/>
      <c r="M830" s="740"/>
      <c r="N830" s="744"/>
      <c r="O830" s="314"/>
      <c r="P830" s="435"/>
      <c r="Q830" s="435"/>
      <c r="R830" s="435"/>
      <c r="S830" s="849"/>
      <c r="T830" s="740"/>
      <c r="U830" s="744"/>
      <c r="V830" s="435"/>
      <c r="W830" s="435"/>
      <c r="X830" s="435"/>
      <c r="Y830" s="435"/>
      <c r="Z830" s="435"/>
      <c r="AA830" s="740"/>
      <c r="AB830" s="744"/>
      <c r="AC830" s="435"/>
      <c r="AD830" s="435"/>
      <c r="AE830" s="435"/>
      <c r="AF830" s="435"/>
      <c r="AG830" s="324"/>
      <c r="AH830" s="180"/>
      <c r="AI830" s="155"/>
      <c r="AJ830" s="322"/>
      <c r="AK830" s="132"/>
      <c r="AL830" s="132"/>
    </row>
    <row r="831">
      <c r="A831" s="435"/>
      <c r="B831" s="313"/>
      <c r="C831" s="312"/>
      <c r="D831" s="313"/>
      <c r="E831" s="314"/>
      <c r="F831" s="318"/>
      <c r="G831" s="315"/>
      <c r="H831" s="314"/>
      <c r="I831" s="314"/>
      <c r="J831" s="314"/>
      <c r="K831" s="315"/>
      <c r="L831" s="736"/>
      <c r="M831" s="740"/>
      <c r="N831" s="315"/>
      <c r="O831" s="314"/>
      <c r="P831" s="314"/>
      <c r="Q831" s="314"/>
      <c r="R831" s="314"/>
      <c r="S831" s="848"/>
      <c r="T831" s="318"/>
      <c r="U831" s="315"/>
      <c r="V831" s="314"/>
      <c r="W831" s="314"/>
      <c r="X831" s="314"/>
      <c r="Y831" s="314"/>
      <c r="Z831" s="314"/>
      <c r="AA831" s="318"/>
      <c r="AB831" s="315"/>
      <c r="AC831" s="314"/>
      <c r="AD831" s="314"/>
      <c r="AE831" s="314"/>
      <c r="AF831" s="314"/>
      <c r="AG831" s="324"/>
      <c r="AH831" s="180"/>
      <c r="AI831" s="155"/>
      <c r="AJ831" s="322"/>
      <c r="AK831" s="132"/>
      <c r="AL831" s="132"/>
    </row>
    <row r="832">
      <c r="A832" s="435"/>
      <c r="B832" s="313"/>
      <c r="C832" s="745"/>
      <c r="D832" s="437"/>
      <c r="E832" s="435"/>
      <c r="F832" s="318"/>
      <c r="G832" s="315"/>
      <c r="H832" s="435"/>
      <c r="I832" s="435"/>
      <c r="J832" s="435"/>
      <c r="K832" s="744"/>
      <c r="L832" s="736"/>
      <c r="M832" s="740"/>
      <c r="N832" s="744"/>
      <c r="O832" s="314"/>
      <c r="P832" s="435"/>
      <c r="Q832" s="435"/>
      <c r="R832" s="435"/>
      <c r="S832" s="849"/>
      <c r="T832" s="740"/>
      <c r="U832" s="744"/>
      <c r="V832" s="435"/>
      <c r="W832" s="435"/>
      <c r="X832" s="435"/>
      <c r="Y832" s="435"/>
      <c r="Z832" s="435"/>
      <c r="AA832" s="740"/>
      <c r="AB832" s="744"/>
      <c r="AC832" s="435"/>
      <c r="AD832" s="435"/>
      <c r="AE832" s="435"/>
      <c r="AF832" s="435"/>
      <c r="AG832" s="324"/>
      <c r="AH832" s="180"/>
      <c r="AI832" s="155"/>
      <c r="AJ832" s="322"/>
      <c r="AK832" s="132"/>
      <c r="AL832" s="132"/>
    </row>
    <row r="833">
      <c r="A833" s="435"/>
      <c r="B833" s="437"/>
      <c r="C833" s="745"/>
      <c r="D833" s="313"/>
      <c r="E833" s="435"/>
      <c r="F833" s="318"/>
      <c r="G833" s="315"/>
      <c r="H833" s="435"/>
      <c r="I833" s="435"/>
      <c r="J833" s="314"/>
      <c r="K833" s="744"/>
      <c r="L833" s="839"/>
      <c r="M833" s="318"/>
      <c r="N833" s="744"/>
      <c r="O833" s="314"/>
      <c r="P833" s="435"/>
      <c r="Q833" s="314"/>
      <c r="R833" s="435"/>
      <c r="S833" s="849"/>
      <c r="T833" s="740"/>
      <c r="U833" s="744"/>
      <c r="V833" s="435"/>
      <c r="W833" s="435"/>
      <c r="X833" s="435"/>
      <c r="Y833" s="435"/>
      <c r="Z833" s="435"/>
      <c r="AA833" s="740"/>
      <c r="AB833" s="744"/>
      <c r="AC833" s="435"/>
      <c r="AD833" s="435"/>
      <c r="AE833" s="435"/>
      <c r="AF833" s="435"/>
      <c r="AG833" s="324"/>
      <c r="AH833" s="180"/>
      <c r="AI833" s="155"/>
      <c r="AJ833" s="322"/>
      <c r="AK833" s="132"/>
      <c r="AL833" s="132"/>
    </row>
    <row r="834">
      <c r="A834" s="458"/>
      <c r="B834" s="437"/>
      <c r="C834" s="745"/>
      <c r="D834" s="437"/>
      <c r="E834" s="435"/>
      <c r="F834" s="318"/>
      <c r="G834" s="315"/>
      <c r="H834" s="314"/>
      <c r="I834" s="435"/>
      <c r="J834" s="435"/>
      <c r="K834" s="744"/>
      <c r="L834" s="839"/>
      <c r="M834" s="740"/>
      <c r="N834" s="744"/>
      <c r="O834" s="314"/>
      <c r="P834" s="435"/>
      <c r="Q834" s="435"/>
      <c r="R834" s="435"/>
      <c r="S834" s="849"/>
      <c r="T834" s="740"/>
      <c r="U834" s="744"/>
      <c r="V834" s="435"/>
      <c r="W834" s="435"/>
      <c r="X834" s="435"/>
      <c r="Y834" s="435"/>
      <c r="Z834" s="435"/>
      <c r="AA834" s="740"/>
      <c r="AB834" s="744"/>
      <c r="AC834" s="435"/>
      <c r="AD834" s="435"/>
      <c r="AE834" s="435"/>
      <c r="AF834" s="435"/>
      <c r="AG834" s="324"/>
      <c r="AH834" s="180"/>
      <c r="AI834" s="155"/>
      <c r="AJ834" s="322"/>
      <c r="AK834" s="132"/>
      <c r="AL834" s="132"/>
    </row>
    <row r="835">
      <c r="A835" s="458"/>
      <c r="B835" s="437"/>
      <c r="C835" s="745"/>
      <c r="D835" s="437"/>
      <c r="E835" s="435"/>
      <c r="F835" s="318"/>
      <c r="G835" s="315"/>
      <c r="H835" s="314"/>
      <c r="I835" s="314"/>
      <c r="J835" s="435"/>
      <c r="K835" s="744"/>
      <c r="L835" s="839"/>
      <c r="M835" s="740"/>
      <c r="N835" s="744"/>
      <c r="O835" s="314"/>
      <c r="P835" s="435"/>
      <c r="Q835" s="435"/>
      <c r="R835" s="435"/>
      <c r="S835" s="849"/>
      <c r="T835" s="740"/>
      <c r="U835" s="744"/>
      <c r="V835" s="435"/>
      <c r="W835" s="435"/>
      <c r="X835" s="435"/>
      <c r="Y835" s="435"/>
      <c r="Z835" s="435"/>
      <c r="AA835" s="740"/>
      <c r="AB835" s="744"/>
      <c r="AC835" s="435"/>
      <c r="AD835" s="435"/>
      <c r="AE835" s="435"/>
      <c r="AF835" s="435"/>
      <c r="AG835" s="324"/>
      <c r="AH835" s="180"/>
      <c r="AI835" s="155"/>
      <c r="AJ835" s="322"/>
      <c r="AK835" s="132"/>
      <c r="AL835" s="132"/>
    </row>
    <row r="836">
      <c r="A836" s="458"/>
      <c r="B836" s="437"/>
      <c r="C836" s="745"/>
      <c r="D836" s="437"/>
      <c r="E836" s="314"/>
      <c r="F836" s="318"/>
      <c r="G836" s="315"/>
      <c r="H836" s="314"/>
      <c r="I836" s="435"/>
      <c r="J836" s="435"/>
      <c r="K836" s="744"/>
      <c r="L836" s="839"/>
      <c r="M836" s="740"/>
      <c r="N836" s="744"/>
      <c r="O836" s="314"/>
      <c r="P836" s="435"/>
      <c r="Q836" s="314"/>
      <c r="R836" s="435"/>
      <c r="S836" s="849"/>
      <c r="T836" s="740"/>
      <c r="U836" s="744"/>
      <c r="V836" s="435"/>
      <c r="W836" s="435"/>
      <c r="X836" s="435"/>
      <c r="Y836" s="435"/>
      <c r="Z836" s="435"/>
      <c r="AA836" s="740"/>
      <c r="AB836" s="744"/>
      <c r="AC836" s="435"/>
      <c r="AD836" s="435"/>
      <c r="AE836" s="435"/>
      <c r="AF836" s="435"/>
      <c r="AG836" s="324"/>
      <c r="AH836" s="180"/>
      <c r="AI836" s="155"/>
      <c r="AJ836" s="322"/>
      <c r="AK836" s="132"/>
      <c r="AL836" s="132"/>
    </row>
    <row r="837">
      <c r="A837" s="458"/>
      <c r="B837" s="313"/>
      <c r="C837" s="312"/>
      <c r="D837" s="313"/>
      <c r="E837" s="314"/>
      <c r="F837" s="318"/>
      <c r="G837" s="315"/>
      <c r="H837" s="314"/>
      <c r="I837" s="314"/>
      <c r="J837" s="314"/>
      <c r="K837" s="315"/>
      <c r="L837" s="736"/>
      <c r="M837" s="318"/>
      <c r="N837" s="315"/>
      <c r="O837" s="314"/>
      <c r="P837" s="314"/>
      <c r="Q837" s="314"/>
      <c r="R837" s="314"/>
      <c r="S837" s="848"/>
      <c r="T837" s="318"/>
      <c r="U837" s="315"/>
      <c r="V837" s="314"/>
      <c r="W837" s="314"/>
      <c r="X837" s="314"/>
      <c r="Y837" s="314"/>
      <c r="Z837" s="314"/>
      <c r="AA837" s="318"/>
      <c r="AB837" s="315"/>
      <c r="AC837" s="314"/>
      <c r="AD837" s="314"/>
      <c r="AE837" s="314"/>
      <c r="AF837" s="314"/>
      <c r="AG837" s="324"/>
      <c r="AH837" s="180"/>
      <c r="AI837" s="155"/>
      <c r="AJ837" s="322"/>
      <c r="AK837" s="132"/>
      <c r="AL837" s="132"/>
    </row>
    <row r="838">
      <c r="A838" s="458"/>
      <c r="B838" s="437"/>
      <c r="C838" s="745"/>
      <c r="D838" s="437"/>
      <c r="E838" s="314"/>
      <c r="F838" s="318"/>
      <c r="G838" s="315"/>
      <c r="H838" s="314"/>
      <c r="I838" s="314"/>
      <c r="J838" s="314"/>
      <c r="K838" s="744"/>
      <c r="L838" s="839"/>
      <c r="M838" s="740"/>
      <c r="N838" s="315"/>
      <c r="O838" s="314"/>
      <c r="P838" s="435"/>
      <c r="Q838" s="435"/>
      <c r="R838" s="435"/>
      <c r="S838" s="849"/>
      <c r="T838" s="740"/>
      <c r="U838" s="744"/>
      <c r="V838" s="435"/>
      <c r="W838" s="435"/>
      <c r="X838" s="435"/>
      <c r="Y838" s="435"/>
      <c r="Z838" s="435"/>
      <c r="AA838" s="740"/>
      <c r="AB838" s="744"/>
      <c r="AC838" s="435"/>
      <c r="AD838" s="435"/>
      <c r="AE838" s="435"/>
      <c r="AF838" s="435"/>
      <c r="AG838" s="324"/>
      <c r="AH838" s="180"/>
      <c r="AI838" s="155"/>
      <c r="AJ838" s="322"/>
      <c r="AK838" s="132"/>
      <c r="AL838" s="132"/>
    </row>
    <row r="839">
      <c r="A839" s="458"/>
      <c r="B839" s="313"/>
      <c r="C839" s="312"/>
      <c r="D839" s="437"/>
      <c r="E839" s="314"/>
      <c r="F839" s="318"/>
      <c r="G839" s="315"/>
      <c r="H839" s="314"/>
      <c r="I839" s="314"/>
      <c r="J839" s="314"/>
      <c r="K839" s="315"/>
      <c r="L839" s="736"/>
      <c r="M839" s="318"/>
      <c r="N839" s="315"/>
      <c r="O839" s="314"/>
      <c r="P839" s="314"/>
      <c r="Q839" s="314"/>
      <c r="R839" s="314"/>
      <c r="S839" s="848"/>
      <c r="T839" s="318"/>
      <c r="U839" s="315"/>
      <c r="V839" s="314"/>
      <c r="W839" s="314"/>
      <c r="X839" s="314"/>
      <c r="Y839" s="314"/>
      <c r="Z839" s="314"/>
      <c r="AA839" s="318"/>
      <c r="AB839" s="315"/>
      <c r="AC839" s="314"/>
      <c r="AD839" s="314"/>
      <c r="AE839" s="314"/>
      <c r="AF839" s="314"/>
      <c r="AG839" s="324"/>
      <c r="AH839" s="180"/>
      <c r="AI839" s="155"/>
      <c r="AJ839" s="322"/>
      <c r="AK839" s="132"/>
      <c r="AL839" s="132"/>
    </row>
    <row r="840">
      <c r="A840" s="458"/>
      <c r="B840" s="313"/>
      <c r="C840" s="745"/>
      <c r="D840" s="313"/>
      <c r="E840" s="314"/>
      <c r="F840" s="318"/>
      <c r="G840" s="315"/>
      <c r="H840" s="314"/>
      <c r="I840" s="435"/>
      <c r="J840" s="314"/>
      <c r="K840" s="315"/>
      <c r="L840" s="839"/>
      <c r="M840" s="318"/>
      <c r="N840" s="315"/>
      <c r="O840" s="314"/>
      <c r="P840" s="314"/>
      <c r="Q840" s="435"/>
      <c r="R840" s="435"/>
      <c r="S840" s="849"/>
      <c r="T840" s="740"/>
      <c r="U840" s="744"/>
      <c r="V840" s="435"/>
      <c r="W840" s="435"/>
      <c r="X840" s="435"/>
      <c r="Y840" s="435"/>
      <c r="Z840" s="435"/>
      <c r="AA840" s="740"/>
      <c r="AB840" s="744"/>
      <c r="AC840" s="435"/>
      <c r="AD840" s="435"/>
      <c r="AE840" s="435"/>
      <c r="AF840" s="435"/>
      <c r="AG840" s="324"/>
      <c r="AH840" s="180"/>
      <c r="AI840" s="155"/>
      <c r="AJ840" s="322"/>
      <c r="AK840" s="132"/>
      <c r="AL840" s="132"/>
    </row>
    <row r="841">
      <c r="A841" s="458"/>
      <c r="B841" s="313"/>
      <c r="C841" s="745"/>
      <c r="D841" s="437"/>
      <c r="E841" s="435"/>
      <c r="F841" s="318"/>
      <c r="G841" s="315"/>
      <c r="H841" s="435"/>
      <c r="I841" s="435"/>
      <c r="J841" s="314"/>
      <c r="K841" s="744"/>
      <c r="L841" s="839"/>
      <c r="M841" s="318"/>
      <c r="N841" s="315"/>
      <c r="O841" s="314"/>
      <c r="P841" s="435"/>
      <c r="Q841" s="435"/>
      <c r="R841" s="435"/>
      <c r="S841" s="849"/>
      <c r="T841" s="740"/>
      <c r="U841" s="744"/>
      <c r="V841" s="435"/>
      <c r="W841" s="435"/>
      <c r="X841" s="435"/>
      <c r="Y841" s="435"/>
      <c r="Z841" s="435"/>
      <c r="AA841" s="740"/>
      <c r="AB841" s="744"/>
      <c r="AC841" s="435"/>
      <c r="AD841" s="435"/>
      <c r="AE841" s="435"/>
      <c r="AF841" s="435"/>
      <c r="AG841" s="324"/>
      <c r="AH841" s="180"/>
      <c r="AI841" s="155"/>
      <c r="AJ841" s="322"/>
      <c r="AK841" s="132"/>
      <c r="AL841" s="132"/>
    </row>
    <row r="842">
      <c r="A842" s="458"/>
      <c r="B842" s="313"/>
      <c r="C842" s="745"/>
      <c r="D842" s="437"/>
      <c r="E842" s="314"/>
      <c r="F842" s="318"/>
      <c r="G842" s="315"/>
      <c r="H842" s="314"/>
      <c r="I842" s="314"/>
      <c r="J842" s="314"/>
      <c r="K842" s="744"/>
      <c r="L842" s="736"/>
      <c r="M842" s="318"/>
      <c r="N842" s="315"/>
      <c r="O842" s="314"/>
      <c r="P842" s="314"/>
      <c r="Q842" s="314"/>
      <c r="R842" s="435"/>
      <c r="S842" s="849"/>
      <c r="T842" s="740"/>
      <c r="U842" s="744"/>
      <c r="V842" s="435"/>
      <c r="W842" s="435"/>
      <c r="X842" s="435"/>
      <c r="Y842" s="435"/>
      <c r="Z842" s="435"/>
      <c r="AA842" s="740"/>
      <c r="AB842" s="744"/>
      <c r="AC842" s="435"/>
      <c r="AD842" s="435"/>
      <c r="AE842" s="435"/>
      <c r="AF842" s="435"/>
      <c r="AG842" s="324"/>
      <c r="AH842" s="180"/>
      <c r="AI842" s="155"/>
      <c r="AJ842" s="322"/>
      <c r="AK842" s="132"/>
      <c r="AL842" s="132"/>
    </row>
    <row r="843">
      <c r="A843" s="458"/>
      <c r="B843" s="437"/>
      <c r="C843" s="745"/>
      <c r="D843" s="437"/>
      <c r="E843" s="435"/>
      <c r="F843" s="318"/>
      <c r="G843" s="315"/>
      <c r="H843" s="435"/>
      <c r="I843" s="435"/>
      <c r="J843" s="435"/>
      <c r="K843" s="744"/>
      <c r="L843" s="839"/>
      <c r="M843" s="740"/>
      <c r="N843" s="744"/>
      <c r="O843" s="314"/>
      <c r="P843" s="435"/>
      <c r="Q843" s="435"/>
      <c r="R843" s="435"/>
      <c r="S843" s="849"/>
      <c r="T843" s="740"/>
      <c r="U843" s="744"/>
      <c r="V843" s="435"/>
      <c r="W843" s="435"/>
      <c r="X843" s="435"/>
      <c r="Y843" s="435"/>
      <c r="Z843" s="435"/>
      <c r="AA843" s="740"/>
      <c r="AB843" s="744"/>
      <c r="AC843" s="435"/>
      <c r="AD843" s="435"/>
      <c r="AE843" s="435"/>
      <c r="AF843" s="435"/>
      <c r="AG843" s="324"/>
      <c r="AH843" s="180"/>
      <c r="AI843" s="155"/>
      <c r="AJ843" s="322"/>
      <c r="AK843" s="132"/>
      <c r="AL843" s="132"/>
    </row>
    <row r="844">
      <c r="A844" s="435"/>
      <c r="B844" s="437"/>
      <c r="C844" s="745"/>
      <c r="D844" s="437"/>
      <c r="E844" s="435"/>
      <c r="F844" s="318"/>
      <c r="G844" s="315"/>
      <c r="H844" s="435"/>
      <c r="I844" s="435"/>
      <c r="J844" s="435"/>
      <c r="K844" s="744"/>
      <c r="L844" s="839"/>
      <c r="M844" s="740"/>
      <c r="N844" s="744"/>
      <c r="O844" s="314"/>
      <c r="P844" s="435"/>
      <c r="Q844" s="435"/>
      <c r="R844" s="435"/>
      <c r="S844" s="849"/>
      <c r="T844" s="740"/>
      <c r="U844" s="744"/>
      <c r="V844" s="435"/>
      <c r="W844" s="435"/>
      <c r="X844" s="435"/>
      <c r="Y844" s="435"/>
      <c r="Z844" s="435"/>
      <c r="AA844" s="740"/>
      <c r="AB844" s="744"/>
      <c r="AC844" s="435"/>
      <c r="AD844" s="435"/>
      <c r="AE844" s="435"/>
      <c r="AF844" s="435"/>
      <c r="AG844" s="324"/>
      <c r="AH844" s="180"/>
      <c r="AI844" s="155"/>
      <c r="AJ844" s="322"/>
      <c r="AK844" s="132"/>
      <c r="AL844" s="132"/>
    </row>
    <row r="845">
      <c r="A845" s="474"/>
      <c r="B845" s="437"/>
      <c r="C845" s="745"/>
      <c r="D845" s="437"/>
      <c r="E845" s="435"/>
      <c r="F845" s="318"/>
      <c r="G845" s="315"/>
      <c r="H845" s="435"/>
      <c r="I845" s="435"/>
      <c r="J845" s="435"/>
      <c r="K845" s="744"/>
      <c r="L845" s="839"/>
      <c r="M845" s="740"/>
      <c r="N845" s="744"/>
      <c r="O845" s="314"/>
      <c r="P845" s="435"/>
      <c r="Q845" s="435"/>
      <c r="R845" s="435"/>
      <c r="S845" s="849"/>
      <c r="T845" s="740"/>
      <c r="U845" s="744"/>
      <c r="V845" s="435"/>
      <c r="W845" s="435"/>
      <c r="X845" s="435"/>
      <c r="Y845" s="435"/>
      <c r="Z845" s="435"/>
      <c r="AA845" s="740"/>
      <c r="AB845" s="744"/>
      <c r="AC845" s="435"/>
      <c r="AD845" s="435"/>
      <c r="AE845" s="435"/>
      <c r="AF845" s="435"/>
      <c r="AG845" s="324"/>
      <c r="AH845" s="180"/>
      <c r="AI845" s="155"/>
      <c r="AJ845" s="322"/>
      <c r="AK845" s="132"/>
      <c r="AL845" s="132"/>
    </row>
    <row r="846">
      <c r="A846" s="474"/>
      <c r="B846" s="437"/>
      <c r="C846" s="312"/>
      <c r="D846" s="437"/>
      <c r="E846" s="435"/>
      <c r="F846" s="318"/>
      <c r="G846" s="315"/>
      <c r="H846" s="435"/>
      <c r="I846" s="435"/>
      <c r="J846" s="435"/>
      <c r="K846" s="315"/>
      <c r="L846" s="736"/>
      <c r="M846" s="318"/>
      <c r="N846" s="744"/>
      <c r="O846" s="314"/>
      <c r="P846" s="314"/>
      <c r="Q846" s="435"/>
      <c r="R846" s="314"/>
      <c r="S846" s="849"/>
      <c r="T846" s="740"/>
      <c r="U846" s="744"/>
      <c r="V846" s="435"/>
      <c r="W846" s="435"/>
      <c r="X846" s="435"/>
      <c r="Y846" s="435"/>
      <c r="Z846" s="435"/>
      <c r="AA846" s="740"/>
      <c r="AB846" s="744"/>
      <c r="AC846" s="435"/>
      <c r="AD846" s="435"/>
      <c r="AE846" s="435"/>
      <c r="AF846" s="435"/>
      <c r="AG846" s="324"/>
      <c r="AH846" s="180"/>
      <c r="AI846" s="155"/>
      <c r="AJ846" s="322"/>
      <c r="AK846" s="132"/>
      <c r="AL846" s="132"/>
    </row>
    <row r="847">
      <c r="A847" s="474"/>
      <c r="B847" s="313"/>
      <c r="C847" s="312"/>
      <c r="D847" s="313"/>
      <c r="E847" s="314"/>
      <c r="F847" s="318"/>
      <c r="G847" s="315"/>
      <c r="H847" s="314"/>
      <c r="I847" s="314"/>
      <c r="J847" s="314"/>
      <c r="K847" s="744"/>
      <c r="L847" s="736"/>
      <c r="M847" s="318"/>
      <c r="N847" s="315"/>
      <c r="O847" s="314"/>
      <c r="P847" s="435"/>
      <c r="Q847" s="314"/>
      <c r="R847" s="314"/>
      <c r="S847" s="848"/>
      <c r="T847" s="318"/>
      <c r="U847" s="315"/>
      <c r="V847" s="314"/>
      <c r="W847" s="314"/>
      <c r="X847" s="314"/>
      <c r="Y847" s="314"/>
      <c r="Z847" s="314"/>
      <c r="AA847" s="318"/>
      <c r="AB847" s="315"/>
      <c r="AC847" s="314"/>
      <c r="AD847" s="314"/>
      <c r="AE847" s="314"/>
      <c r="AF847" s="314"/>
      <c r="AG847" s="324"/>
      <c r="AH847" s="180"/>
      <c r="AI847" s="155"/>
      <c r="AJ847" s="322"/>
      <c r="AK847" s="132"/>
      <c r="AL847" s="132"/>
    </row>
    <row r="848">
      <c r="A848" s="474"/>
      <c r="B848" s="313"/>
      <c r="C848" s="745"/>
      <c r="D848" s="437"/>
      <c r="E848" s="314"/>
      <c r="F848" s="318"/>
      <c r="G848" s="315"/>
      <c r="H848" s="314"/>
      <c r="I848" s="435"/>
      <c r="J848" s="314"/>
      <c r="K848" s="315"/>
      <c r="L848" s="736"/>
      <c r="M848" s="318"/>
      <c r="N848" s="315"/>
      <c r="O848" s="314"/>
      <c r="P848" s="314"/>
      <c r="Q848" s="314"/>
      <c r="R848" s="314"/>
      <c r="S848" s="848"/>
      <c r="T848" s="318"/>
      <c r="U848" s="315"/>
      <c r="V848" s="314"/>
      <c r="W848" s="314"/>
      <c r="X848" s="314"/>
      <c r="Y848" s="314"/>
      <c r="Z848" s="314"/>
      <c r="AA848" s="318"/>
      <c r="AB848" s="315"/>
      <c r="AC848" s="314"/>
      <c r="AD848" s="314"/>
      <c r="AE848" s="314"/>
      <c r="AF848" s="314"/>
      <c r="AG848" s="324"/>
      <c r="AH848" s="180"/>
      <c r="AI848" s="155"/>
      <c r="AJ848" s="322"/>
      <c r="AK848" s="132"/>
      <c r="AL848" s="132"/>
    </row>
    <row r="849">
      <c r="A849" s="474"/>
      <c r="B849" s="313"/>
      <c r="C849" s="312"/>
      <c r="D849" s="313"/>
      <c r="E849" s="314"/>
      <c r="F849" s="318"/>
      <c r="G849" s="315"/>
      <c r="H849" s="314"/>
      <c r="I849" s="314"/>
      <c r="J849" s="314"/>
      <c r="K849" s="744"/>
      <c r="L849" s="736"/>
      <c r="M849" s="318"/>
      <c r="N849" s="315"/>
      <c r="O849" s="314"/>
      <c r="P849" s="314"/>
      <c r="Q849" s="314"/>
      <c r="R849" s="314"/>
      <c r="S849" s="848"/>
      <c r="T849" s="318"/>
      <c r="U849" s="315"/>
      <c r="V849" s="314"/>
      <c r="W849" s="314"/>
      <c r="X849" s="314"/>
      <c r="Y849" s="314"/>
      <c r="Z849" s="314"/>
      <c r="AA849" s="318"/>
      <c r="AB849" s="315"/>
      <c r="AC849" s="314"/>
      <c r="AD849" s="314"/>
      <c r="AE849" s="314"/>
      <c r="AF849" s="314"/>
      <c r="AG849" s="324"/>
      <c r="AH849" s="180"/>
      <c r="AI849" s="155"/>
      <c r="AJ849" s="322"/>
      <c r="AK849" s="132"/>
      <c r="AL849" s="132"/>
    </row>
    <row r="850">
      <c r="A850" s="458"/>
      <c r="B850" s="313"/>
      <c r="C850" s="745"/>
      <c r="D850" s="313"/>
      <c r="E850" s="314"/>
      <c r="F850" s="318"/>
      <c r="G850" s="315"/>
      <c r="H850" s="314"/>
      <c r="I850" s="314"/>
      <c r="J850" s="435"/>
      <c r="K850" s="744"/>
      <c r="L850" s="736"/>
      <c r="M850" s="318"/>
      <c r="N850" s="315"/>
      <c r="O850" s="314"/>
      <c r="P850" s="314"/>
      <c r="Q850" s="314"/>
      <c r="R850" s="314"/>
      <c r="S850" s="848"/>
      <c r="T850" s="318"/>
      <c r="U850" s="315"/>
      <c r="V850" s="314"/>
      <c r="W850" s="314"/>
      <c r="X850" s="314"/>
      <c r="Y850" s="314"/>
      <c r="Z850" s="314"/>
      <c r="AA850" s="318"/>
      <c r="AB850" s="315"/>
      <c r="AC850" s="314"/>
      <c r="AD850" s="314"/>
      <c r="AE850" s="314"/>
      <c r="AF850" s="314"/>
      <c r="AG850" s="324"/>
      <c r="AH850" s="180"/>
      <c r="AI850" s="155"/>
      <c r="AJ850" s="322"/>
      <c r="AK850" s="132"/>
      <c r="AL850" s="132"/>
    </row>
    <row r="851">
      <c r="A851" s="435"/>
      <c r="B851" s="313"/>
      <c r="C851" s="745"/>
      <c r="D851" s="437"/>
      <c r="E851" s="435"/>
      <c r="F851" s="318"/>
      <c r="G851" s="315"/>
      <c r="H851" s="435"/>
      <c r="I851" s="314"/>
      <c r="J851" s="314"/>
      <c r="K851" s="744"/>
      <c r="L851" s="736"/>
      <c r="M851" s="740"/>
      <c r="N851" s="744"/>
      <c r="O851" s="314"/>
      <c r="P851" s="314"/>
      <c r="Q851" s="314"/>
      <c r="R851" s="435"/>
      <c r="S851" s="848"/>
      <c r="T851" s="318"/>
      <c r="U851" s="315"/>
      <c r="V851" s="314"/>
      <c r="W851" s="314"/>
      <c r="X851" s="314"/>
      <c r="Y851" s="314"/>
      <c r="Z851" s="314"/>
      <c r="AA851" s="318"/>
      <c r="AB851" s="315"/>
      <c r="AC851" s="314"/>
      <c r="AD851" s="314"/>
      <c r="AE851" s="314"/>
      <c r="AF851" s="314"/>
      <c r="AG851" s="324"/>
      <c r="AH851" s="180"/>
      <c r="AI851" s="155"/>
      <c r="AJ851" s="322"/>
      <c r="AK851" s="132"/>
      <c r="AL851" s="132"/>
    </row>
    <row r="852">
      <c r="A852" s="435"/>
      <c r="B852" s="437"/>
      <c r="C852" s="312"/>
      <c r="D852" s="313"/>
      <c r="E852" s="314"/>
      <c r="F852" s="318"/>
      <c r="G852" s="315"/>
      <c r="H852" s="314"/>
      <c r="I852" s="314"/>
      <c r="J852" s="314"/>
      <c r="K852" s="315"/>
      <c r="L852" s="736"/>
      <c r="M852" s="318"/>
      <c r="N852" s="315"/>
      <c r="O852" s="314"/>
      <c r="P852" s="435"/>
      <c r="Q852" s="314"/>
      <c r="R852" s="314"/>
      <c r="S852" s="848"/>
      <c r="T852" s="318"/>
      <c r="U852" s="315"/>
      <c r="V852" s="314"/>
      <c r="W852" s="314"/>
      <c r="X852" s="314"/>
      <c r="Y852" s="314"/>
      <c r="Z852" s="314"/>
      <c r="AA852" s="318"/>
      <c r="AB852" s="315"/>
      <c r="AC852" s="314"/>
      <c r="AD852" s="314"/>
      <c r="AE852" s="314"/>
      <c r="AF852" s="314"/>
      <c r="AG852" s="324"/>
      <c r="AH852" s="180"/>
      <c r="AI852" s="155"/>
      <c r="AJ852" s="322"/>
      <c r="AK852" s="132"/>
      <c r="AL852" s="132"/>
    </row>
    <row r="853">
      <c r="A853" s="435"/>
      <c r="B853" s="437"/>
      <c r="C853" s="312"/>
      <c r="D853" s="313"/>
      <c r="E853" s="314"/>
      <c r="F853" s="318"/>
      <c r="G853" s="315"/>
      <c r="H853" s="314"/>
      <c r="I853" s="314"/>
      <c r="J853" s="314"/>
      <c r="K853" s="315"/>
      <c r="L853" s="736"/>
      <c r="M853" s="318"/>
      <c r="N853" s="315"/>
      <c r="O853" s="314"/>
      <c r="P853" s="314"/>
      <c r="Q853" s="435"/>
      <c r="R853" s="314"/>
      <c r="S853" s="849"/>
      <c r="T853" s="740"/>
      <c r="U853" s="744"/>
      <c r="V853" s="435"/>
      <c r="W853" s="435"/>
      <c r="X853" s="435"/>
      <c r="Y853" s="435"/>
      <c r="Z853" s="435"/>
      <c r="AA853" s="740"/>
      <c r="AB853" s="744"/>
      <c r="AC853" s="435"/>
      <c r="AD853" s="435"/>
      <c r="AE853" s="435"/>
      <c r="AF853" s="435"/>
      <c r="AG853" s="324"/>
      <c r="AH853" s="180"/>
      <c r="AI853" s="155"/>
      <c r="AJ853" s="322"/>
      <c r="AK853" s="132"/>
      <c r="AL853" s="132"/>
    </row>
    <row r="854">
      <c r="A854" s="435"/>
      <c r="B854" s="313"/>
      <c r="C854" s="745"/>
      <c r="D854" s="313"/>
      <c r="E854" s="314"/>
      <c r="F854" s="318"/>
      <c r="G854" s="315"/>
      <c r="H854" s="314"/>
      <c r="I854" s="314"/>
      <c r="J854" s="314"/>
      <c r="K854" s="315"/>
      <c r="L854" s="736"/>
      <c r="M854" s="318"/>
      <c r="N854" s="315"/>
      <c r="O854" s="314"/>
      <c r="P854" s="314"/>
      <c r="Q854" s="314"/>
      <c r="R854" s="435"/>
      <c r="S854" s="848"/>
      <c r="T854" s="318"/>
      <c r="U854" s="315"/>
      <c r="V854" s="314"/>
      <c r="W854" s="314"/>
      <c r="X854" s="314"/>
      <c r="Y854" s="314"/>
      <c r="Z854" s="314"/>
      <c r="AA854" s="318"/>
      <c r="AB854" s="315"/>
      <c r="AC854" s="314"/>
      <c r="AD854" s="314"/>
      <c r="AE854" s="314"/>
      <c r="AF854" s="314"/>
      <c r="AG854" s="324"/>
      <c r="AH854" s="180"/>
      <c r="AI854" s="155"/>
      <c r="AJ854" s="322"/>
      <c r="AK854" s="132"/>
      <c r="AL854" s="132"/>
    </row>
    <row r="855">
      <c r="A855" s="435"/>
      <c r="B855" s="313"/>
      <c r="C855" s="312"/>
      <c r="D855" s="313"/>
      <c r="E855" s="314"/>
      <c r="F855" s="318"/>
      <c r="G855" s="315"/>
      <c r="H855" s="314"/>
      <c r="I855" s="314"/>
      <c r="J855" s="314"/>
      <c r="K855" s="744"/>
      <c r="L855" s="736"/>
      <c r="M855" s="740"/>
      <c r="N855" s="315"/>
      <c r="O855" s="314"/>
      <c r="P855" s="314"/>
      <c r="Q855" s="435"/>
      <c r="R855" s="314"/>
      <c r="S855" s="848"/>
      <c r="T855" s="318"/>
      <c r="U855" s="315"/>
      <c r="V855" s="314"/>
      <c r="W855" s="314"/>
      <c r="X855" s="314"/>
      <c r="Y855" s="314"/>
      <c r="Z855" s="314"/>
      <c r="AA855" s="318"/>
      <c r="AB855" s="315"/>
      <c r="AC855" s="314"/>
      <c r="AD855" s="314"/>
      <c r="AE855" s="314"/>
      <c r="AF855" s="314"/>
      <c r="AG855" s="324"/>
      <c r="AH855" s="180"/>
      <c r="AI855" s="155"/>
      <c r="AJ855" s="322"/>
      <c r="AK855" s="132"/>
      <c r="AL855" s="132"/>
    </row>
    <row r="856">
      <c r="A856" s="435"/>
      <c r="B856" s="313"/>
      <c r="C856" s="745"/>
      <c r="D856" s="437"/>
      <c r="E856" s="314"/>
      <c r="F856" s="318"/>
      <c r="G856" s="315"/>
      <c r="H856" s="314"/>
      <c r="I856" s="314"/>
      <c r="J856" s="314"/>
      <c r="K856" s="744"/>
      <c r="L856" s="736"/>
      <c r="M856" s="740"/>
      <c r="N856" s="315"/>
      <c r="O856" s="314"/>
      <c r="P856" s="314"/>
      <c r="Q856" s="435"/>
      <c r="R856" s="314"/>
      <c r="S856" s="848"/>
      <c r="T856" s="318"/>
      <c r="U856" s="315"/>
      <c r="V856" s="314"/>
      <c r="W856" s="314"/>
      <c r="X856" s="314"/>
      <c r="Y856" s="314"/>
      <c r="Z856" s="314"/>
      <c r="AA856" s="318"/>
      <c r="AB856" s="315"/>
      <c r="AC856" s="314"/>
      <c r="AD856" s="314"/>
      <c r="AE856" s="314"/>
      <c r="AF856" s="314"/>
      <c r="AG856" s="324"/>
      <c r="AH856" s="180"/>
      <c r="AI856" s="155"/>
      <c r="AJ856" s="322"/>
      <c r="AK856" s="132"/>
      <c r="AL856" s="132"/>
    </row>
    <row r="857">
      <c r="A857" s="476"/>
      <c r="AI857" s="176"/>
      <c r="AJ857" s="322"/>
      <c r="AK857" s="132"/>
      <c r="AL857" s="132"/>
    </row>
    <row r="858">
      <c r="A858" s="178"/>
      <c r="AJ858" s="322"/>
      <c r="AK858" s="132"/>
      <c r="AL858" s="132"/>
    </row>
    <row r="859">
      <c r="A859" s="474"/>
      <c r="B859" s="437"/>
      <c r="C859" s="745"/>
      <c r="D859" s="437"/>
      <c r="E859" s="435"/>
      <c r="F859" s="318"/>
      <c r="G859" s="315"/>
      <c r="H859" s="314"/>
      <c r="I859" s="435"/>
      <c r="J859" s="435"/>
      <c r="K859" s="744"/>
      <c r="L859" s="839"/>
      <c r="M859" s="740"/>
      <c r="N859" s="744"/>
      <c r="O859" s="314"/>
      <c r="P859" s="435"/>
      <c r="Q859" s="435"/>
      <c r="R859" s="435"/>
      <c r="S859" s="849"/>
      <c r="T859" s="740"/>
      <c r="U859" s="744"/>
      <c r="V859" s="435"/>
      <c r="W859" s="435"/>
      <c r="X859" s="435"/>
      <c r="Y859" s="435"/>
      <c r="Z859" s="435"/>
      <c r="AA859" s="740"/>
      <c r="AB859" s="744"/>
      <c r="AC859" s="435"/>
      <c r="AD859" s="435"/>
      <c r="AE859" s="435"/>
      <c r="AF859" s="435"/>
      <c r="AG859" s="324"/>
      <c r="AH859" s="180"/>
      <c r="AI859" s="155"/>
      <c r="AJ859" s="322"/>
      <c r="AK859" s="132"/>
      <c r="AL859" s="132"/>
    </row>
    <row r="860">
      <c r="A860" s="474"/>
      <c r="B860" s="313"/>
      <c r="C860" s="745"/>
      <c r="D860" s="437"/>
      <c r="E860" s="435"/>
      <c r="F860" s="318"/>
      <c r="G860" s="315"/>
      <c r="H860" s="435"/>
      <c r="I860" s="314"/>
      <c r="J860" s="435"/>
      <c r="K860" s="744"/>
      <c r="L860" s="839"/>
      <c r="M860" s="318"/>
      <c r="N860" s="315"/>
      <c r="O860" s="314"/>
      <c r="P860" s="435"/>
      <c r="Q860" s="435"/>
      <c r="R860" s="435"/>
      <c r="S860" s="849"/>
      <c r="T860" s="740"/>
      <c r="U860" s="744"/>
      <c r="V860" s="435"/>
      <c r="W860" s="435"/>
      <c r="X860" s="435"/>
      <c r="Y860" s="435"/>
      <c r="Z860" s="435"/>
      <c r="AA860" s="740"/>
      <c r="AB860" s="744"/>
      <c r="AC860" s="435"/>
      <c r="AD860" s="435"/>
      <c r="AE860" s="435"/>
      <c r="AF860" s="435"/>
      <c r="AG860" s="324"/>
      <c r="AH860" s="180"/>
      <c r="AI860" s="155"/>
      <c r="AJ860" s="322"/>
      <c r="AK860" s="132"/>
      <c r="AL860" s="132"/>
    </row>
    <row r="861">
      <c r="A861" s="477"/>
      <c r="B861" s="437"/>
      <c r="C861" s="745"/>
      <c r="D861" s="437"/>
      <c r="E861" s="314"/>
      <c r="F861" s="318"/>
      <c r="G861" s="315"/>
      <c r="H861" s="435"/>
      <c r="I861" s="435"/>
      <c r="J861" s="435"/>
      <c r="K861" s="744"/>
      <c r="L861" s="839"/>
      <c r="M861" s="740"/>
      <c r="N861" s="744"/>
      <c r="O861" s="314"/>
      <c r="P861" s="435"/>
      <c r="Q861" s="435"/>
      <c r="R861" s="435"/>
      <c r="S861" s="849"/>
      <c r="T861" s="740"/>
      <c r="U861" s="744"/>
      <c r="V861" s="435"/>
      <c r="W861" s="435"/>
      <c r="X861" s="435"/>
      <c r="Y861" s="435"/>
      <c r="Z861" s="435"/>
      <c r="AA861" s="740"/>
      <c r="AB861" s="744"/>
      <c r="AC861" s="435"/>
      <c r="AD861" s="435"/>
      <c r="AE861" s="435"/>
      <c r="AF861" s="435"/>
      <c r="AG861" s="324"/>
      <c r="AH861" s="180"/>
      <c r="AI861" s="155"/>
      <c r="AJ861" s="322"/>
      <c r="AK861" s="132"/>
      <c r="AL861" s="132"/>
    </row>
    <row r="862">
      <c r="A862" s="477"/>
      <c r="B862" s="437"/>
      <c r="C862" s="745"/>
      <c r="D862" s="437"/>
      <c r="E862" s="314"/>
      <c r="F862" s="318"/>
      <c r="G862" s="315"/>
      <c r="H862" s="435"/>
      <c r="I862" s="314"/>
      <c r="J862" s="314"/>
      <c r="K862" s="744"/>
      <c r="L862" s="839"/>
      <c r="M862" s="740"/>
      <c r="N862" s="315"/>
      <c r="O862" s="314"/>
      <c r="P862" s="435"/>
      <c r="Q862" s="435"/>
      <c r="R862" s="435"/>
      <c r="S862" s="849"/>
      <c r="T862" s="740"/>
      <c r="U862" s="744"/>
      <c r="V862" s="435"/>
      <c r="W862" s="435"/>
      <c r="X862" s="435"/>
      <c r="Y862" s="435"/>
      <c r="Z862" s="435"/>
      <c r="AA862" s="740"/>
      <c r="AB862" s="744"/>
      <c r="AC862" s="435"/>
      <c r="AD862" s="435"/>
      <c r="AE862" s="435"/>
      <c r="AF862" s="435"/>
      <c r="AG862" s="324"/>
      <c r="AH862" s="180"/>
      <c r="AI862" s="155"/>
      <c r="AJ862" s="322"/>
      <c r="AK862" s="132"/>
      <c r="AL862" s="132"/>
    </row>
    <row r="863">
      <c r="A863" s="477"/>
      <c r="B863" s="437"/>
      <c r="C863" s="745"/>
      <c r="D863" s="437"/>
      <c r="E863" s="435"/>
      <c r="F863" s="318"/>
      <c r="G863" s="315"/>
      <c r="H863" s="435"/>
      <c r="I863" s="435"/>
      <c r="J863" s="435"/>
      <c r="K863" s="744"/>
      <c r="L863" s="839"/>
      <c r="M863" s="740"/>
      <c r="N863" s="744"/>
      <c r="O863" s="314"/>
      <c r="P863" s="435"/>
      <c r="Q863" s="435"/>
      <c r="R863" s="435"/>
      <c r="S863" s="849"/>
      <c r="T863" s="740"/>
      <c r="U863" s="744"/>
      <c r="V863" s="435"/>
      <c r="W863" s="435"/>
      <c r="X863" s="435"/>
      <c r="Y863" s="435"/>
      <c r="Z863" s="435"/>
      <c r="AA863" s="740"/>
      <c r="AB863" s="744"/>
      <c r="AC863" s="435"/>
      <c r="AD863" s="435"/>
      <c r="AE863" s="435"/>
      <c r="AF863" s="435"/>
      <c r="AG863" s="324"/>
      <c r="AH863" s="180"/>
      <c r="AI863" s="155"/>
      <c r="AJ863" s="322"/>
      <c r="AK863" s="132"/>
      <c r="AL863" s="132"/>
    </row>
    <row r="864">
      <c r="A864" s="474"/>
      <c r="B864" s="313"/>
      <c r="C864" s="745"/>
      <c r="D864" s="313"/>
      <c r="E864" s="435"/>
      <c r="F864" s="318"/>
      <c r="G864" s="315"/>
      <c r="H864" s="435"/>
      <c r="I864" s="314"/>
      <c r="J864" s="435"/>
      <c r="K864" s="744"/>
      <c r="L864" s="736"/>
      <c r="M864" s="740"/>
      <c r="N864" s="315"/>
      <c r="O864" s="314"/>
      <c r="P864" s="435"/>
      <c r="Q864" s="435"/>
      <c r="R864" s="435"/>
      <c r="S864" s="849"/>
      <c r="T864" s="740"/>
      <c r="U864" s="744"/>
      <c r="V864" s="435"/>
      <c r="W864" s="435"/>
      <c r="X864" s="435"/>
      <c r="Y864" s="435"/>
      <c r="Z864" s="435"/>
      <c r="AA864" s="740"/>
      <c r="AB864" s="744"/>
      <c r="AC864" s="435"/>
      <c r="AD864" s="435"/>
      <c r="AE864" s="435"/>
      <c r="AF864" s="435"/>
      <c r="AG864" s="324"/>
      <c r="AH864" s="180"/>
      <c r="AI864" s="155"/>
      <c r="AJ864" s="322"/>
      <c r="AK864" s="132"/>
      <c r="AL864" s="132"/>
    </row>
    <row r="865">
      <c r="A865" s="478"/>
      <c r="B865" s="437"/>
      <c r="C865" s="745"/>
      <c r="D865" s="437"/>
      <c r="E865" s="435"/>
      <c r="F865" s="318"/>
      <c r="G865" s="315"/>
      <c r="H865" s="435"/>
      <c r="I865" s="435"/>
      <c r="J865" s="435"/>
      <c r="K865" s="744"/>
      <c r="L865" s="839"/>
      <c r="M865" s="740"/>
      <c r="N865" s="744"/>
      <c r="O865" s="314"/>
      <c r="P865" s="435"/>
      <c r="Q865" s="435"/>
      <c r="R865" s="435"/>
      <c r="S865" s="849"/>
      <c r="T865" s="740"/>
      <c r="U865" s="744"/>
      <c r="V865" s="435"/>
      <c r="W865" s="435"/>
      <c r="X865" s="435"/>
      <c r="Y865" s="435"/>
      <c r="Z865" s="435"/>
      <c r="AA865" s="740"/>
      <c r="AB865" s="744"/>
      <c r="AC865" s="435"/>
      <c r="AD865" s="435"/>
      <c r="AE865" s="435"/>
      <c r="AF865" s="435"/>
      <c r="AG865" s="324"/>
      <c r="AH865" s="180"/>
      <c r="AI865" s="155"/>
      <c r="AJ865" s="322"/>
      <c r="AK865" s="132"/>
      <c r="AL865" s="132"/>
    </row>
    <row r="866">
      <c r="A866" s="478"/>
      <c r="B866" s="437"/>
      <c r="C866" s="745"/>
      <c r="D866" s="437"/>
      <c r="E866" s="435"/>
      <c r="F866" s="318"/>
      <c r="G866" s="315"/>
      <c r="H866" s="435"/>
      <c r="I866" s="435"/>
      <c r="J866" s="435"/>
      <c r="K866" s="744"/>
      <c r="L866" s="839"/>
      <c r="M866" s="740"/>
      <c r="N866" s="744"/>
      <c r="O866" s="314"/>
      <c r="P866" s="435"/>
      <c r="Q866" s="435"/>
      <c r="R866" s="435"/>
      <c r="S866" s="849"/>
      <c r="T866" s="740"/>
      <c r="U866" s="744"/>
      <c r="V866" s="435"/>
      <c r="W866" s="435"/>
      <c r="X866" s="435"/>
      <c r="Y866" s="435"/>
      <c r="Z866" s="435"/>
      <c r="AA866" s="740"/>
      <c r="AB866" s="744"/>
      <c r="AC866" s="435"/>
      <c r="AD866" s="435"/>
      <c r="AE866" s="435"/>
      <c r="AF866" s="435"/>
      <c r="AG866" s="324"/>
      <c r="AH866" s="180"/>
      <c r="AI866" s="155"/>
      <c r="AJ866" s="322"/>
      <c r="AK866" s="132"/>
      <c r="AL866" s="132"/>
    </row>
    <row r="867">
      <c r="A867" s="478"/>
      <c r="B867" s="437"/>
      <c r="C867" s="745"/>
      <c r="D867" s="313"/>
      <c r="E867" s="314"/>
      <c r="F867" s="318"/>
      <c r="G867" s="315"/>
      <c r="H867" s="435"/>
      <c r="I867" s="435"/>
      <c r="J867" s="314"/>
      <c r="K867" s="744"/>
      <c r="L867" s="736"/>
      <c r="M867" s="740"/>
      <c r="N867" s="315"/>
      <c r="O867" s="314"/>
      <c r="P867" s="314"/>
      <c r="Q867" s="314"/>
      <c r="R867" s="314"/>
      <c r="S867" s="849"/>
      <c r="T867" s="740"/>
      <c r="U867" s="744"/>
      <c r="V867" s="435"/>
      <c r="W867" s="435"/>
      <c r="X867" s="435"/>
      <c r="Y867" s="435"/>
      <c r="Z867" s="435"/>
      <c r="AA867" s="740"/>
      <c r="AB867" s="744"/>
      <c r="AC867" s="435"/>
      <c r="AD867" s="435"/>
      <c r="AE867" s="435"/>
      <c r="AF867" s="435"/>
      <c r="AG867" s="324"/>
      <c r="AH867" s="180"/>
      <c r="AI867" s="155"/>
      <c r="AJ867" s="322"/>
      <c r="AK867" s="132"/>
      <c r="AL867" s="132"/>
    </row>
    <row r="868">
      <c r="A868" s="477"/>
      <c r="B868" s="313"/>
      <c r="C868" s="745"/>
      <c r="D868" s="437"/>
      <c r="E868" s="435"/>
      <c r="F868" s="318"/>
      <c r="G868" s="315"/>
      <c r="H868" s="435"/>
      <c r="I868" s="435"/>
      <c r="J868" s="435"/>
      <c r="K868" s="744"/>
      <c r="L868" s="839"/>
      <c r="M868" s="740"/>
      <c r="N868" s="744"/>
      <c r="O868" s="314"/>
      <c r="P868" s="435"/>
      <c r="Q868" s="435"/>
      <c r="R868" s="435"/>
      <c r="S868" s="849"/>
      <c r="T868" s="740"/>
      <c r="U868" s="744"/>
      <c r="V868" s="435"/>
      <c r="W868" s="435"/>
      <c r="X868" s="435"/>
      <c r="Y868" s="435"/>
      <c r="Z868" s="435"/>
      <c r="AA868" s="740"/>
      <c r="AB868" s="744"/>
      <c r="AC868" s="435"/>
      <c r="AD868" s="435"/>
      <c r="AE868" s="435"/>
      <c r="AF868" s="435"/>
      <c r="AG868" s="324"/>
      <c r="AH868" s="180"/>
      <c r="AI868" s="155"/>
      <c r="AJ868" s="322"/>
      <c r="AK868" s="132"/>
      <c r="AL868" s="132"/>
    </row>
    <row r="869">
      <c r="A869" s="477"/>
      <c r="B869" s="313"/>
      <c r="C869" s="312"/>
      <c r="D869" s="313"/>
      <c r="E869" s="314"/>
      <c r="F869" s="318"/>
      <c r="G869" s="315"/>
      <c r="H869" s="435"/>
      <c r="I869" s="314"/>
      <c r="J869" s="314"/>
      <c r="K869" s="315"/>
      <c r="L869" s="736"/>
      <c r="M869" s="318"/>
      <c r="N869" s="744"/>
      <c r="O869" s="314"/>
      <c r="P869" s="314"/>
      <c r="Q869" s="435"/>
      <c r="R869" s="314"/>
      <c r="S869" s="848"/>
      <c r="T869" s="318"/>
      <c r="U869" s="315"/>
      <c r="V869" s="314"/>
      <c r="W869" s="314"/>
      <c r="X869" s="314"/>
      <c r="Y869" s="314"/>
      <c r="Z869" s="314"/>
      <c r="AA869" s="318"/>
      <c r="AB869" s="315"/>
      <c r="AC869" s="314"/>
      <c r="AD869" s="314"/>
      <c r="AE869" s="314"/>
      <c r="AF869" s="314"/>
      <c r="AG869" s="324"/>
      <c r="AH869" s="180"/>
      <c r="AI869" s="155"/>
      <c r="AJ869" s="322"/>
      <c r="AK869" s="132"/>
      <c r="AL869" s="132"/>
    </row>
    <row r="870">
      <c r="A870" s="477"/>
      <c r="B870" s="313"/>
      <c r="C870" s="312"/>
      <c r="D870" s="313"/>
      <c r="E870" s="314"/>
      <c r="F870" s="318"/>
      <c r="G870" s="315"/>
      <c r="H870" s="314"/>
      <c r="I870" s="314"/>
      <c r="J870" s="314"/>
      <c r="K870" s="315"/>
      <c r="L870" s="736"/>
      <c r="M870" s="318"/>
      <c r="N870" s="315"/>
      <c r="O870" s="314"/>
      <c r="P870" s="314"/>
      <c r="Q870" s="314"/>
      <c r="R870" s="314"/>
      <c r="S870" s="848"/>
      <c r="T870" s="318"/>
      <c r="U870" s="315"/>
      <c r="V870" s="314"/>
      <c r="W870" s="314"/>
      <c r="X870" s="314"/>
      <c r="Y870" s="314"/>
      <c r="Z870" s="314"/>
      <c r="AA870" s="318"/>
      <c r="AB870" s="315"/>
      <c r="AC870" s="314"/>
      <c r="AD870" s="314"/>
      <c r="AE870" s="314"/>
      <c r="AF870" s="314"/>
      <c r="AG870" s="324"/>
      <c r="AH870" s="180"/>
      <c r="AI870" s="155"/>
      <c r="AJ870" s="322"/>
      <c r="AK870" s="132"/>
      <c r="AL870" s="132"/>
    </row>
    <row r="871">
      <c r="A871" s="476"/>
      <c r="AI871" s="176"/>
      <c r="AJ871" s="322"/>
      <c r="AK871" s="132"/>
      <c r="AL871" s="132"/>
    </row>
    <row r="872">
      <c r="A872" s="178"/>
      <c r="AJ872" s="322"/>
      <c r="AK872" s="132"/>
      <c r="AL872" s="132"/>
    </row>
    <row r="873">
      <c r="A873" s="477"/>
      <c r="B873" s="437"/>
      <c r="C873" s="745"/>
      <c r="D873" s="437"/>
      <c r="E873" s="314"/>
      <c r="F873" s="318"/>
      <c r="G873" s="315"/>
      <c r="H873" s="314"/>
      <c r="I873" s="314"/>
      <c r="J873" s="314"/>
      <c r="K873" s="744"/>
      <c r="L873" s="839"/>
      <c r="M873" s="318"/>
      <c r="N873" s="315"/>
      <c r="O873" s="314"/>
      <c r="P873" s="314"/>
      <c r="Q873" s="435"/>
      <c r="R873" s="435"/>
      <c r="S873" s="849"/>
      <c r="T873" s="740"/>
      <c r="U873" s="744"/>
      <c r="V873" s="435"/>
      <c r="W873" s="435"/>
      <c r="X873" s="435"/>
      <c r="Y873" s="435"/>
      <c r="Z873" s="435"/>
      <c r="AA873" s="740"/>
      <c r="AB873" s="744"/>
      <c r="AC873" s="435"/>
      <c r="AD873" s="435"/>
      <c r="AE873" s="435"/>
      <c r="AF873" s="435"/>
      <c r="AG873" s="324"/>
      <c r="AH873" s="180"/>
      <c r="AI873" s="155"/>
      <c r="AJ873" s="322"/>
      <c r="AK873" s="132"/>
      <c r="AL873" s="132"/>
    </row>
    <row r="874">
      <c r="A874" s="477"/>
      <c r="B874" s="313"/>
      <c r="C874" s="745"/>
      <c r="D874" s="437"/>
      <c r="E874" s="314"/>
      <c r="F874" s="318"/>
      <c r="G874" s="315"/>
      <c r="H874" s="314"/>
      <c r="I874" s="435"/>
      <c r="J874" s="435"/>
      <c r="K874" s="744"/>
      <c r="L874" s="736"/>
      <c r="M874" s="740"/>
      <c r="N874" s="315"/>
      <c r="O874" s="314"/>
      <c r="P874" s="314"/>
      <c r="Q874" s="435"/>
      <c r="R874" s="435"/>
      <c r="S874" s="849"/>
      <c r="T874" s="740"/>
      <c r="U874" s="744"/>
      <c r="V874" s="435"/>
      <c r="W874" s="435"/>
      <c r="X874" s="435"/>
      <c r="Y874" s="435"/>
      <c r="Z874" s="435"/>
      <c r="AA874" s="740"/>
      <c r="AB874" s="744"/>
      <c r="AC874" s="435"/>
      <c r="AD874" s="435"/>
      <c r="AE874" s="435"/>
      <c r="AF874" s="435"/>
      <c r="AG874" s="324"/>
      <c r="AH874" s="180"/>
      <c r="AI874" s="155"/>
      <c r="AJ874" s="322"/>
      <c r="AK874" s="132"/>
      <c r="AL874" s="132"/>
    </row>
    <row r="875">
      <c r="A875" s="477"/>
      <c r="B875" s="313"/>
      <c r="C875" s="745"/>
      <c r="D875" s="437"/>
      <c r="E875" s="435"/>
      <c r="F875" s="318"/>
      <c r="G875" s="315"/>
      <c r="H875" s="435"/>
      <c r="I875" s="314"/>
      <c r="J875" s="314"/>
      <c r="K875" s="744"/>
      <c r="L875" s="736"/>
      <c r="M875" s="740"/>
      <c r="N875" s="744"/>
      <c r="O875" s="314"/>
      <c r="P875" s="435"/>
      <c r="Q875" s="435"/>
      <c r="R875" s="435"/>
      <c r="S875" s="849"/>
      <c r="T875" s="740"/>
      <c r="U875" s="744"/>
      <c r="V875" s="435"/>
      <c r="W875" s="435"/>
      <c r="X875" s="435"/>
      <c r="Y875" s="435"/>
      <c r="Z875" s="435"/>
      <c r="AA875" s="740"/>
      <c r="AB875" s="744"/>
      <c r="AC875" s="435"/>
      <c r="AD875" s="435"/>
      <c r="AE875" s="435"/>
      <c r="AF875" s="435"/>
      <c r="AG875" s="324"/>
      <c r="AH875" s="180"/>
      <c r="AI875" s="155"/>
      <c r="AJ875" s="322"/>
      <c r="AK875" s="132"/>
      <c r="AL875" s="132"/>
    </row>
    <row r="876">
      <c r="A876" s="479"/>
      <c r="B876" s="313"/>
      <c r="C876" s="312"/>
      <c r="D876" s="313"/>
      <c r="E876" s="314"/>
      <c r="F876" s="318"/>
      <c r="G876" s="315"/>
      <c r="H876" s="314"/>
      <c r="I876" s="314"/>
      <c r="J876" s="314"/>
      <c r="K876" s="315"/>
      <c r="L876" s="736"/>
      <c r="M876" s="318"/>
      <c r="N876" s="315"/>
      <c r="O876" s="314"/>
      <c r="P876" s="314"/>
      <c r="Q876" s="435"/>
      <c r="R876" s="314"/>
      <c r="S876" s="848"/>
      <c r="T876" s="318"/>
      <c r="U876" s="315"/>
      <c r="V876" s="314"/>
      <c r="W876" s="314"/>
      <c r="X876" s="314"/>
      <c r="Y876" s="314"/>
      <c r="Z876" s="314"/>
      <c r="AA876" s="318"/>
      <c r="AB876" s="315"/>
      <c r="AC876" s="314"/>
      <c r="AD876" s="314"/>
      <c r="AE876" s="314"/>
      <c r="AF876" s="314"/>
      <c r="AG876" s="324"/>
      <c r="AH876" s="180"/>
      <c r="AI876" s="155"/>
      <c r="AJ876" s="322"/>
      <c r="AK876" s="132"/>
      <c r="AL876" s="132"/>
    </row>
    <row r="877">
      <c r="A877" s="476"/>
      <c r="AI877" s="176"/>
      <c r="AJ877" s="322"/>
      <c r="AK877" s="132"/>
      <c r="AL877" s="132"/>
    </row>
    <row r="878">
      <c r="A878" s="178"/>
      <c r="AJ878" s="322"/>
      <c r="AK878" s="132"/>
      <c r="AL878" s="132"/>
    </row>
    <row r="879">
      <c r="A879" s="480"/>
      <c r="B879" s="313"/>
      <c r="C879" s="745"/>
      <c r="D879" s="313"/>
      <c r="E879" s="314"/>
      <c r="F879" s="318"/>
      <c r="G879" s="315"/>
      <c r="H879" s="314"/>
      <c r="I879" s="314"/>
      <c r="J879" s="435"/>
      <c r="K879" s="744"/>
      <c r="L879" s="736"/>
      <c r="M879" s="318"/>
      <c r="N879" s="315"/>
      <c r="O879" s="314"/>
      <c r="P879" s="314"/>
      <c r="Q879" s="435"/>
      <c r="R879" s="314"/>
      <c r="S879" s="848"/>
      <c r="T879" s="318"/>
      <c r="U879" s="315"/>
      <c r="V879" s="314"/>
      <c r="W879" s="314"/>
      <c r="X879" s="314"/>
      <c r="Y879" s="314"/>
      <c r="Z879" s="314"/>
      <c r="AA879" s="318"/>
      <c r="AB879" s="315"/>
      <c r="AC879" s="314"/>
      <c r="AD879" s="314"/>
      <c r="AE879" s="314"/>
      <c r="AF879" s="314"/>
      <c r="AG879" s="324"/>
      <c r="AH879" s="180"/>
      <c r="AI879" s="180"/>
      <c r="AJ879" s="322"/>
      <c r="AK879" s="132"/>
      <c r="AL879" s="132"/>
    </row>
    <row r="880">
      <c r="A880" s="480"/>
      <c r="B880" s="313"/>
      <c r="C880" s="745"/>
      <c r="D880" s="313"/>
      <c r="E880" s="314"/>
      <c r="F880" s="318"/>
      <c r="G880" s="315"/>
      <c r="H880" s="435"/>
      <c r="I880" s="314"/>
      <c r="J880" s="435"/>
      <c r="K880" s="744"/>
      <c r="L880" s="736"/>
      <c r="M880" s="740"/>
      <c r="N880" s="744"/>
      <c r="O880" s="314"/>
      <c r="P880" s="435"/>
      <c r="Q880" s="435"/>
      <c r="R880" s="314"/>
      <c r="S880" s="849"/>
      <c r="T880" s="740"/>
      <c r="U880" s="744"/>
      <c r="V880" s="435"/>
      <c r="W880" s="435"/>
      <c r="X880" s="435"/>
      <c r="Y880" s="435"/>
      <c r="Z880" s="435"/>
      <c r="AA880" s="740"/>
      <c r="AB880" s="744"/>
      <c r="AC880" s="435"/>
      <c r="AD880" s="435"/>
      <c r="AE880" s="435"/>
      <c r="AF880" s="435"/>
      <c r="AG880" s="324"/>
      <c r="AH880" s="180"/>
      <c r="AI880" s="180"/>
      <c r="AJ880" s="322"/>
      <c r="AK880" s="132"/>
      <c r="AL880" s="132"/>
    </row>
    <row r="881">
      <c r="A881" s="476"/>
      <c r="AI881" s="176"/>
      <c r="AJ881" s="322"/>
      <c r="AK881" s="132"/>
      <c r="AL881" s="132"/>
    </row>
    <row r="882">
      <c r="A882" s="178"/>
      <c r="AJ882" s="322"/>
      <c r="AK882" s="132"/>
      <c r="AL882" s="132"/>
    </row>
    <row r="883">
      <c r="A883" s="481"/>
      <c r="B883" s="313"/>
      <c r="C883" s="745"/>
      <c r="D883" s="437"/>
      <c r="E883" s="435"/>
      <c r="F883" s="318"/>
      <c r="G883" s="744"/>
      <c r="H883" s="435"/>
      <c r="I883" s="435"/>
      <c r="J883" s="314"/>
      <c r="K883" s="744"/>
      <c r="L883" s="839"/>
      <c r="M883" s="740"/>
      <c r="N883" s="315"/>
      <c r="O883" s="314"/>
      <c r="P883" s="435"/>
      <c r="Q883" s="435"/>
      <c r="R883" s="435"/>
      <c r="S883" s="849"/>
      <c r="T883" s="740"/>
      <c r="U883" s="744"/>
      <c r="V883" s="435"/>
      <c r="W883" s="435"/>
      <c r="X883" s="435"/>
      <c r="Y883" s="435"/>
      <c r="Z883" s="435"/>
      <c r="AA883" s="740"/>
      <c r="AB883" s="744"/>
      <c r="AC883" s="435"/>
      <c r="AD883" s="435"/>
      <c r="AE883" s="435"/>
      <c r="AF883" s="435"/>
      <c r="AG883" s="324"/>
      <c r="AH883" s="180"/>
      <c r="AI883" s="155"/>
      <c r="AJ883" s="322"/>
      <c r="AK883" s="132"/>
      <c r="AL883" s="132"/>
    </row>
    <row r="884">
      <c r="A884" s="435"/>
      <c r="B884" s="313"/>
      <c r="C884" s="745"/>
      <c r="D884" s="437"/>
      <c r="E884" s="314"/>
      <c r="F884" s="318"/>
      <c r="G884" s="315"/>
      <c r="H884" s="435"/>
      <c r="I884" s="314"/>
      <c r="J884" s="435"/>
      <c r="K884" s="744"/>
      <c r="L884" s="736"/>
      <c r="M884" s="318"/>
      <c r="N884" s="315"/>
      <c r="O884" s="314"/>
      <c r="P884" s="435"/>
      <c r="Q884" s="435"/>
      <c r="R884" s="435"/>
      <c r="S884" s="849"/>
      <c r="T884" s="740"/>
      <c r="U884" s="744"/>
      <c r="V884" s="435"/>
      <c r="W884" s="435"/>
      <c r="X884" s="435"/>
      <c r="Y884" s="435"/>
      <c r="Z884" s="435"/>
      <c r="AA884" s="740"/>
      <c r="AB884" s="744"/>
      <c r="AC884" s="435"/>
      <c r="AD884" s="435"/>
      <c r="AE884" s="435"/>
      <c r="AF884" s="435"/>
      <c r="AG884" s="324"/>
      <c r="AH884" s="180"/>
      <c r="AI884" s="155"/>
      <c r="AJ884" s="322"/>
      <c r="AK884" s="132"/>
      <c r="AL884" s="132"/>
    </row>
    <row r="885">
      <c r="A885" s="482"/>
      <c r="B885" s="313"/>
      <c r="C885" s="312"/>
      <c r="D885" s="437"/>
      <c r="E885" s="314"/>
      <c r="F885" s="318"/>
      <c r="G885" s="315"/>
      <c r="H885" s="314"/>
      <c r="I885" s="314"/>
      <c r="J885" s="314"/>
      <c r="K885" s="744"/>
      <c r="L885" s="736"/>
      <c r="M885" s="318"/>
      <c r="N885" s="315"/>
      <c r="O885" s="314"/>
      <c r="P885" s="314"/>
      <c r="Q885" s="314"/>
      <c r="R885" s="435"/>
      <c r="S885" s="848"/>
      <c r="T885" s="318"/>
      <c r="U885" s="315"/>
      <c r="V885" s="314"/>
      <c r="W885" s="314"/>
      <c r="X885" s="314"/>
      <c r="Y885" s="314"/>
      <c r="Z885" s="314"/>
      <c r="AA885" s="318"/>
      <c r="AB885" s="315"/>
      <c r="AC885" s="314"/>
      <c r="AD885" s="314"/>
      <c r="AE885" s="314"/>
      <c r="AF885" s="314"/>
      <c r="AG885" s="324"/>
      <c r="AH885" s="180"/>
      <c r="AI885" s="155"/>
      <c r="AJ885" s="322"/>
      <c r="AK885" s="132"/>
      <c r="AL885" s="132"/>
    </row>
    <row r="886">
      <c r="A886" s="482"/>
      <c r="B886" s="313"/>
      <c r="C886" s="745"/>
      <c r="D886" s="437"/>
      <c r="E886" s="435"/>
      <c r="F886" s="318"/>
      <c r="G886" s="315"/>
      <c r="H886" s="435"/>
      <c r="I886" s="435"/>
      <c r="J886" s="435"/>
      <c r="K886" s="744"/>
      <c r="L886" s="839"/>
      <c r="M886" s="740"/>
      <c r="N886" s="744"/>
      <c r="O886" s="314"/>
      <c r="P886" s="435"/>
      <c r="Q886" s="435"/>
      <c r="R886" s="435"/>
      <c r="S886" s="849"/>
      <c r="T886" s="740"/>
      <c r="U886" s="744"/>
      <c r="V886" s="435"/>
      <c r="W886" s="435"/>
      <c r="X886" s="435"/>
      <c r="Y886" s="435"/>
      <c r="Z886" s="435"/>
      <c r="AA886" s="740"/>
      <c r="AB886" s="744"/>
      <c r="AC886" s="435"/>
      <c r="AD886" s="435"/>
      <c r="AE886" s="435"/>
      <c r="AF886" s="435"/>
      <c r="AG886" s="324"/>
      <c r="AH886" s="180"/>
      <c r="AI886" s="155"/>
      <c r="AJ886" s="322"/>
      <c r="AK886" s="132"/>
      <c r="AL886" s="132"/>
    </row>
    <row r="887">
      <c r="A887" s="314"/>
      <c r="B887" s="313"/>
      <c r="C887" s="312"/>
      <c r="D887" s="313"/>
      <c r="E887" s="314"/>
      <c r="F887" s="318"/>
      <c r="G887" s="315"/>
      <c r="H887" s="314"/>
      <c r="I887" s="314"/>
      <c r="J887" s="314"/>
      <c r="K887" s="315"/>
      <c r="L887" s="736"/>
      <c r="M887" s="318"/>
      <c r="N887" s="315"/>
      <c r="O887" s="314"/>
      <c r="P887" s="314"/>
      <c r="Q887" s="314"/>
      <c r="R887" s="314"/>
      <c r="S887" s="848"/>
      <c r="T887" s="318"/>
      <c r="U887" s="315"/>
      <c r="V887" s="314"/>
      <c r="W887" s="314"/>
      <c r="X887" s="314"/>
      <c r="Y887" s="314"/>
      <c r="Z887" s="314"/>
      <c r="AA887" s="318"/>
      <c r="AB887" s="315"/>
      <c r="AC887" s="314"/>
      <c r="AD887" s="314"/>
      <c r="AE887" s="314"/>
      <c r="AF887" s="314"/>
      <c r="AG887" s="483"/>
      <c r="AI887" s="484"/>
      <c r="AJ887" s="322"/>
      <c r="AK887" s="132"/>
      <c r="AL887" s="132"/>
    </row>
    <row r="888">
      <c r="A888" s="314"/>
      <c r="B888" s="313"/>
      <c r="C888" s="312"/>
      <c r="D888" s="313"/>
      <c r="E888" s="314"/>
      <c r="F888" s="318"/>
      <c r="G888" s="315"/>
      <c r="H888" s="314"/>
      <c r="I888" s="314"/>
      <c r="J888" s="314"/>
      <c r="K888" s="315"/>
      <c r="L888" s="736"/>
      <c r="M888" s="318"/>
      <c r="N888" s="315"/>
      <c r="O888" s="314"/>
      <c r="P888" s="314"/>
      <c r="Q888" s="314"/>
      <c r="R888" s="314"/>
      <c r="S888" s="848"/>
      <c r="T888" s="318"/>
      <c r="U888" s="315"/>
      <c r="V888" s="314"/>
      <c r="W888" s="314"/>
      <c r="X888" s="314"/>
      <c r="Y888" s="314"/>
      <c r="Z888" s="314"/>
      <c r="AA888" s="318"/>
      <c r="AB888" s="315"/>
      <c r="AC888" s="314"/>
      <c r="AD888" s="314"/>
      <c r="AE888" s="314"/>
      <c r="AF888" s="314"/>
      <c r="AG888" s="324"/>
      <c r="AH888" s="155"/>
      <c r="AI888" s="155"/>
      <c r="AJ888" s="322"/>
      <c r="AK888" s="132"/>
      <c r="AL888" s="132"/>
    </row>
    <row r="889">
      <c r="A889" s="314"/>
      <c r="B889" s="313"/>
      <c r="C889" s="312"/>
      <c r="D889" s="313"/>
      <c r="E889" s="314"/>
      <c r="F889" s="318"/>
      <c r="G889" s="315"/>
      <c r="H889" s="314"/>
      <c r="I889" s="314"/>
      <c r="J889" s="314"/>
      <c r="K889" s="315"/>
      <c r="L889" s="736"/>
      <c r="M889" s="318"/>
      <c r="N889" s="315"/>
      <c r="O889" s="314"/>
      <c r="P889" s="314"/>
      <c r="Q889" s="314"/>
      <c r="R889" s="314"/>
      <c r="S889" s="848"/>
      <c r="T889" s="318"/>
      <c r="U889" s="315"/>
      <c r="V889" s="314"/>
      <c r="W889" s="314"/>
      <c r="X889" s="314"/>
      <c r="Y889" s="314"/>
      <c r="Z889" s="314"/>
      <c r="AA889" s="318"/>
      <c r="AB889" s="315"/>
      <c r="AC889" s="314"/>
      <c r="AD889" s="314"/>
      <c r="AE889" s="314"/>
      <c r="AF889" s="314"/>
      <c r="AG889" s="324"/>
      <c r="AH889" s="155"/>
      <c r="AI889" s="155"/>
      <c r="AJ889" s="322"/>
      <c r="AK889" s="132"/>
      <c r="AL889" s="132"/>
    </row>
    <row r="890">
      <c r="A890" s="314"/>
      <c r="B890" s="313"/>
      <c r="C890" s="312"/>
      <c r="D890" s="313"/>
      <c r="E890" s="314"/>
      <c r="F890" s="318"/>
      <c r="G890" s="315"/>
      <c r="H890" s="314"/>
      <c r="I890" s="314"/>
      <c r="J890" s="314"/>
      <c r="K890" s="315"/>
      <c r="L890" s="736"/>
      <c r="M890" s="318"/>
      <c r="N890" s="315"/>
      <c r="O890" s="314"/>
      <c r="P890" s="314"/>
      <c r="Q890" s="314"/>
      <c r="R890" s="314"/>
      <c r="S890" s="848"/>
      <c r="T890" s="318"/>
      <c r="U890" s="315"/>
      <c r="V890" s="314"/>
      <c r="W890" s="314"/>
      <c r="X890" s="314"/>
      <c r="Y890" s="314"/>
      <c r="Z890" s="314"/>
      <c r="AA890" s="318"/>
      <c r="AB890" s="315"/>
      <c r="AC890" s="314"/>
      <c r="AD890" s="314"/>
      <c r="AE890" s="314"/>
      <c r="AF890" s="314"/>
      <c r="AG890" s="324"/>
      <c r="AH890" s="155"/>
      <c r="AI890" s="155"/>
      <c r="AJ890" s="322"/>
      <c r="AK890" s="132"/>
      <c r="AL890" s="132"/>
    </row>
    <row r="891">
      <c r="A891" s="314"/>
      <c r="B891" s="313"/>
      <c r="C891" s="312"/>
      <c r="D891" s="313"/>
      <c r="E891" s="314"/>
      <c r="F891" s="318"/>
      <c r="G891" s="315"/>
      <c r="H891" s="314"/>
      <c r="I891" s="314"/>
      <c r="J891" s="314"/>
      <c r="K891" s="315"/>
      <c r="L891" s="736"/>
      <c r="M891" s="318"/>
      <c r="N891" s="315"/>
      <c r="O891" s="314"/>
      <c r="P891" s="314"/>
      <c r="Q891" s="314"/>
      <c r="R891" s="314"/>
      <c r="S891" s="848"/>
      <c r="T891" s="318"/>
      <c r="U891" s="315"/>
      <c r="V891" s="314"/>
      <c r="W891" s="314"/>
      <c r="X891" s="314"/>
      <c r="Y891" s="314"/>
      <c r="Z891" s="314"/>
      <c r="AA891" s="318"/>
      <c r="AB891" s="315"/>
      <c r="AC891" s="314"/>
      <c r="AD891" s="314"/>
      <c r="AE891" s="314"/>
      <c r="AF891" s="314"/>
      <c r="AG891" s="324"/>
      <c r="AH891" s="155"/>
      <c r="AI891" s="155"/>
      <c r="AJ891" s="322"/>
      <c r="AK891" s="132"/>
      <c r="AL891" s="132"/>
    </row>
    <row r="892">
      <c r="A892" s="314"/>
      <c r="B892" s="313"/>
      <c r="C892" s="312"/>
      <c r="D892" s="313"/>
      <c r="E892" s="314"/>
      <c r="F892" s="318"/>
      <c r="G892" s="315"/>
      <c r="H892" s="314"/>
      <c r="I892" s="314"/>
      <c r="J892" s="314"/>
      <c r="K892" s="315"/>
      <c r="L892" s="736"/>
      <c r="M892" s="318"/>
      <c r="N892" s="315"/>
      <c r="O892" s="314"/>
      <c r="P892" s="314"/>
      <c r="Q892" s="314"/>
      <c r="R892" s="314"/>
      <c r="S892" s="848"/>
      <c r="T892" s="318"/>
      <c r="U892" s="315"/>
      <c r="V892" s="314"/>
      <c r="W892" s="314"/>
      <c r="X892" s="314"/>
      <c r="Y892" s="314"/>
      <c r="Z892" s="314"/>
      <c r="AA892" s="318"/>
      <c r="AB892" s="315"/>
      <c r="AC892" s="314"/>
      <c r="AD892" s="314"/>
      <c r="AE892" s="314"/>
      <c r="AF892" s="314"/>
      <c r="AG892" s="324"/>
      <c r="AH892" s="155"/>
      <c r="AI892" s="155"/>
      <c r="AJ892" s="322"/>
      <c r="AK892" s="132"/>
      <c r="AL892" s="132"/>
    </row>
    <row r="893">
      <c r="A893" s="314"/>
      <c r="B893" s="313"/>
      <c r="C893" s="312"/>
      <c r="D893" s="313"/>
      <c r="E893" s="314"/>
      <c r="F893" s="318"/>
      <c r="G893" s="315"/>
      <c r="H893" s="314"/>
      <c r="I893" s="314"/>
      <c r="J893" s="314"/>
      <c r="K893" s="315"/>
      <c r="L893" s="736"/>
      <c r="M893" s="318"/>
      <c r="N893" s="315"/>
      <c r="O893" s="314"/>
      <c r="P893" s="314"/>
      <c r="Q893" s="314"/>
      <c r="R893" s="314"/>
      <c r="S893" s="848"/>
      <c r="T893" s="318"/>
      <c r="U893" s="315"/>
      <c r="V893" s="314"/>
      <c r="W893" s="314"/>
      <c r="X893" s="314"/>
      <c r="Y893" s="314"/>
      <c r="Z893" s="314"/>
      <c r="AA893" s="318"/>
      <c r="AB893" s="315"/>
      <c r="AC893" s="314"/>
      <c r="AD893" s="314"/>
      <c r="AE893" s="314"/>
      <c r="AF893" s="314"/>
      <c r="AG893" s="324"/>
      <c r="AH893" s="155"/>
      <c r="AI893" s="155"/>
      <c r="AJ893" s="322"/>
      <c r="AK893" s="132"/>
      <c r="AL893" s="132"/>
    </row>
    <row r="894">
      <c r="A894" s="314"/>
      <c r="B894" s="313"/>
      <c r="C894" s="312"/>
      <c r="D894" s="313"/>
      <c r="E894" s="314"/>
      <c r="F894" s="318"/>
      <c r="G894" s="315"/>
      <c r="H894" s="314"/>
      <c r="I894" s="314"/>
      <c r="J894" s="314"/>
      <c r="K894" s="315"/>
      <c r="L894" s="736"/>
      <c r="M894" s="318"/>
      <c r="N894" s="315"/>
      <c r="O894" s="314"/>
      <c r="P894" s="314"/>
      <c r="Q894" s="314"/>
      <c r="R894" s="314"/>
      <c r="S894" s="848"/>
      <c r="T894" s="318"/>
      <c r="U894" s="315"/>
      <c r="V894" s="314"/>
      <c r="W894" s="314"/>
      <c r="X894" s="314"/>
      <c r="Y894" s="314"/>
      <c r="Z894" s="314"/>
      <c r="AA894" s="318"/>
      <c r="AB894" s="315"/>
      <c r="AC894" s="314"/>
      <c r="AD894" s="314"/>
      <c r="AE894" s="314"/>
      <c r="AF894" s="314"/>
      <c r="AG894" s="324"/>
      <c r="AH894" s="155"/>
      <c r="AI894" s="155"/>
      <c r="AJ894" s="322"/>
      <c r="AK894" s="132"/>
      <c r="AL894" s="132"/>
    </row>
    <row r="895">
      <c r="A895" s="314"/>
      <c r="B895" s="313"/>
      <c r="C895" s="312"/>
      <c r="D895" s="313"/>
      <c r="E895" s="314"/>
      <c r="F895" s="318"/>
      <c r="G895" s="315"/>
      <c r="H895" s="314"/>
      <c r="I895" s="314"/>
      <c r="J895" s="314"/>
      <c r="K895" s="315"/>
      <c r="L895" s="736"/>
      <c r="M895" s="318"/>
      <c r="N895" s="315"/>
      <c r="O895" s="314"/>
      <c r="P895" s="314"/>
      <c r="Q895" s="314"/>
      <c r="R895" s="314"/>
      <c r="S895" s="848"/>
      <c r="T895" s="318"/>
      <c r="U895" s="315"/>
      <c r="V895" s="314"/>
      <c r="W895" s="314"/>
      <c r="X895" s="314"/>
      <c r="Y895" s="314"/>
      <c r="Z895" s="314"/>
      <c r="AA895" s="318"/>
      <c r="AB895" s="315"/>
      <c r="AC895" s="314"/>
      <c r="AD895" s="314"/>
      <c r="AE895" s="314"/>
      <c r="AF895" s="314"/>
      <c r="AG895" s="324"/>
      <c r="AH895" s="155"/>
      <c r="AI895" s="155"/>
      <c r="AJ895" s="322"/>
      <c r="AK895" s="132"/>
      <c r="AL895" s="132"/>
    </row>
    <row r="896">
      <c r="A896" s="314"/>
      <c r="B896" s="313"/>
      <c r="C896" s="312"/>
      <c r="D896" s="313"/>
      <c r="E896" s="314"/>
      <c r="F896" s="318"/>
      <c r="G896" s="315"/>
      <c r="H896" s="314"/>
      <c r="I896" s="314"/>
      <c r="J896" s="314"/>
      <c r="K896" s="315"/>
      <c r="L896" s="736"/>
      <c r="M896" s="318"/>
      <c r="N896" s="315"/>
      <c r="O896" s="314"/>
      <c r="P896" s="314"/>
      <c r="Q896" s="314"/>
      <c r="R896" s="314"/>
      <c r="S896" s="848"/>
      <c r="T896" s="318"/>
      <c r="U896" s="315"/>
      <c r="V896" s="314"/>
      <c r="W896" s="314"/>
      <c r="X896" s="314"/>
      <c r="Y896" s="314"/>
      <c r="Z896" s="314"/>
      <c r="AA896" s="318"/>
      <c r="AB896" s="315"/>
      <c r="AC896" s="314"/>
      <c r="AD896" s="314"/>
      <c r="AE896" s="314"/>
      <c r="AF896" s="314"/>
      <c r="AG896" s="324"/>
      <c r="AH896" s="155"/>
      <c r="AI896" s="155"/>
      <c r="AJ896" s="322"/>
      <c r="AK896" s="132"/>
      <c r="AL896" s="132"/>
    </row>
    <row r="897">
      <c r="A897" s="314"/>
      <c r="B897" s="313"/>
      <c r="C897" s="312"/>
      <c r="D897" s="313"/>
      <c r="E897" s="314"/>
      <c r="F897" s="318"/>
      <c r="G897" s="315"/>
      <c r="H897" s="314"/>
      <c r="I897" s="314"/>
      <c r="J897" s="314"/>
      <c r="K897" s="315"/>
      <c r="L897" s="736"/>
      <c r="M897" s="318"/>
      <c r="N897" s="315"/>
      <c r="O897" s="314"/>
      <c r="P897" s="314"/>
      <c r="Q897" s="314"/>
      <c r="R897" s="314"/>
      <c r="S897" s="848"/>
      <c r="T897" s="318"/>
      <c r="U897" s="315"/>
      <c r="V897" s="314"/>
      <c r="W897" s="314"/>
      <c r="X897" s="314"/>
      <c r="Y897" s="314"/>
      <c r="Z897" s="314"/>
      <c r="AA897" s="318"/>
      <c r="AB897" s="315"/>
      <c r="AC897" s="314"/>
      <c r="AD897" s="314"/>
      <c r="AE897" s="314"/>
      <c r="AF897" s="314"/>
      <c r="AG897" s="324"/>
      <c r="AH897" s="155"/>
      <c r="AI897" s="155"/>
      <c r="AJ897" s="322"/>
      <c r="AK897" s="132"/>
      <c r="AL897" s="132"/>
    </row>
    <row r="898">
      <c r="A898" s="314"/>
      <c r="B898" s="313"/>
      <c r="C898" s="312"/>
      <c r="D898" s="313"/>
      <c r="E898" s="314"/>
      <c r="F898" s="318"/>
      <c r="G898" s="315"/>
      <c r="H898" s="314"/>
      <c r="I898" s="314"/>
      <c r="J898" s="314"/>
      <c r="K898" s="315"/>
      <c r="L898" s="736"/>
      <c r="M898" s="318"/>
      <c r="N898" s="315"/>
      <c r="O898" s="314"/>
      <c r="P898" s="314"/>
      <c r="Q898" s="314"/>
      <c r="R898" s="314"/>
      <c r="S898" s="848"/>
      <c r="T898" s="318"/>
      <c r="U898" s="315"/>
      <c r="V898" s="314"/>
      <c r="W898" s="314"/>
      <c r="X898" s="314"/>
      <c r="Y898" s="314"/>
      <c r="Z898" s="314"/>
      <c r="AA898" s="318"/>
      <c r="AB898" s="315"/>
      <c r="AC898" s="314"/>
      <c r="AD898" s="314"/>
      <c r="AE898" s="314"/>
      <c r="AF898" s="314"/>
      <c r="AG898" s="324"/>
      <c r="AH898" s="155"/>
      <c r="AI898" s="155"/>
      <c r="AJ898" s="322"/>
      <c r="AK898" s="132"/>
      <c r="AL898" s="132"/>
    </row>
    <row r="899">
      <c r="A899" s="314"/>
      <c r="B899" s="313"/>
      <c r="C899" s="312"/>
      <c r="D899" s="313"/>
      <c r="E899" s="314"/>
      <c r="F899" s="318"/>
      <c r="G899" s="315"/>
      <c r="H899" s="314"/>
      <c r="I899" s="314"/>
      <c r="J899" s="314"/>
      <c r="K899" s="315"/>
      <c r="L899" s="736"/>
      <c r="M899" s="318"/>
      <c r="N899" s="315"/>
      <c r="O899" s="314"/>
      <c r="P899" s="314"/>
      <c r="Q899" s="314"/>
      <c r="R899" s="314"/>
      <c r="S899" s="848"/>
      <c r="T899" s="318"/>
      <c r="U899" s="315"/>
      <c r="V899" s="314"/>
      <c r="W899" s="314"/>
      <c r="X899" s="314"/>
      <c r="Y899" s="314"/>
      <c r="Z899" s="314"/>
      <c r="AA899" s="318"/>
      <c r="AB899" s="315"/>
      <c r="AC899" s="314"/>
      <c r="AD899" s="314"/>
      <c r="AE899" s="314"/>
      <c r="AF899" s="314"/>
      <c r="AG899" s="324"/>
      <c r="AH899" s="155"/>
      <c r="AI899" s="155"/>
      <c r="AJ899" s="322"/>
      <c r="AK899" s="132"/>
      <c r="AL899" s="132"/>
    </row>
    <row r="900">
      <c r="A900" s="314"/>
      <c r="B900" s="313"/>
      <c r="C900" s="312"/>
      <c r="D900" s="313"/>
      <c r="E900" s="314"/>
      <c r="F900" s="318"/>
      <c r="G900" s="315"/>
      <c r="H900" s="314"/>
      <c r="I900" s="314"/>
      <c r="J900" s="314"/>
      <c r="K900" s="315"/>
      <c r="L900" s="736"/>
      <c r="M900" s="318"/>
      <c r="N900" s="315"/>
      <c r="O900" s="314"/>
      <c r="P900" s="314"/>
      <c r="Q900" s="314"/>
      <c r="R900" s="314"/>
      <c r="S900" s="848"/>
      <c r="T900" s="318"/>
      <c r="U900" s="315"/>
      <c r="V900" s="314"/>
      <c r="W900" s="314"/>
      <c r="X900" s="314"/>
      <c r="Y900" s="314"/>
      <c r="Z900" s="314"/>
      <c r="AA900" s="318"/>
      <c r="AB900" s="315"/>
      <c r="AC900" s="314"/>
      <c r="AD900" s="314"/>
      <c r="AE900" s="314"/>
      <c r="AF900" s="314"/>
      <c r="AG900" s="324"/>
      <c r="AH900" s="155"/>
      <c r="AI900" s="155"/>
      <c r="AJ900" s="322"/>
      <c r="AK900" s="132"/>
      <c r="AL900" s="132"/>
    </row>
    <row r="901">
      <c r="A901" s="314"/>
      <c r="B901" s="313"/>
      <c r="C901" s="312"/>
      <c r="D901" s="313"/>
      <c r="E901" s="314"/>
      <c r="F901" s="318"/>
      <c r="G901" s="315"/>
      <c r="H901" s="314"/>
      <c r="I901" s="314"/>
      <c r="J901" s="314"/>
      <c r="K901" s="315"/>
      <c r="L901" s="736"/>
      <c r="M901" s="318"/>
      <c r="N901" s="315"/>
      <c r="O901" s="314"/>
      <c r="P901" s="314"/>
      <c r="Q901" s="314"/>
      <c r="R901" s="314"/>
      <c r="S901" s="848"/>
      <c r="T901" s="318"/>
      <c r="U901" s="315"/>
      <c r="V901" s="314"/>
      <c r="W901" s="314"/>
      <c r="X901" s="314"/>
      <c r="Y901" s="314"/>
      <c r="Z901" s="314"/>
      <c r="AA901" s="318"/>
      <c r="AB901" s="315"/>
      <c r="AC901" s="314"/>
      <c r="AD901" s="314"/>
      <c r="AE901" s="314"/>
      <c r="AF901" s="314"/>
      <c r="AG901" s="324"/>
      <c r="AH901" s="155"/>
      <c r="AI901" s="155"/>
      <c r="AJ901" s="322"/>
      <c r="AK901" s="132"/>
      <c r="AL901" s="132"/>
    </row>
    <row r="902">
      <c r="A902" s="314"/>
      <c r="B902" s="313"/>
      <c r="C902" s="312"/>
      <c r="D902" s="313"/>
      <c r="E902" s="314"/>
      <c r="F902" s="318"/>
      <c r="G902" s="315"/>
      <c r="H902" s="314"/>
      <c r="I902" s="314"/>
      <c r="J902" s="314"/>
      <c r="K902" s="315"/>
      <c r="L902" s="736"/>
      <c r="M902" s="318"/>
      <c r="N902" s="315"/>
      <c r="O902" s="314"/>
      <c r="P902" s="314"/>
      <c r="Q902" s="314"/>
      <c r="R902" s="314"/>
      <c r="S902" s="848"/>
      <c r="T902" s="318"/>
      <c r="U902" s="315"/>
      <c r="V902" s="314"/>
      <c r="W902" s="314"/>
      <c r="X902" s="314"/>
      <c r="Y902" s="314"/>
      <c r="Z902" s="314"/>
      <c r="AA902" s="318"/>
      <c r="AB902" s="315"/>
      <c r="AC902" s="314"/>
      <c r="AD902" s="314"/>
      <c r="AE902" s="314"/>
      <c r="AF902" s="314"/>
      <c r="AG902" s="324"/>
      <c r="AH902" s="155"/>
      <c r="AI902" s="155"/>
      <c r="AJ902" s="322"/>
      <c r="AK902" s="132"/>
      <c r="AL902" s="132"/>
    </row>
    <row r="903">
      <c r="A903" s="314"/>
      <c r="B903" s="313"/>
      <c r="C903" s="312"/>
      <c r="D903" s="313"/>
      <c r="E903" s="314"/>
      <c r="F903" s="318"/>
      <c r="G903" s="315"/>
      <c r="H903" s="314"/>
      <c r="I903" s="314"/>
      <c r="J903" s="314"/>
      <c r="K903" s="315"/>
      <c r="L903" s="736"/>
      <c r="M903" s="318"/>
      <c r="N903" s="315"/>
      <c r="O903" s="314"/>
      <c r="P903" s="314"/>
      <c r="Q903" s="314"/>
      <c r="R903" s="314"/>
      <c r="S903" s="848"/>
      <c r="T903" s="318"/>
      <c r="U903" s="315"/>
      <c r="V903" s="314"/>
      <c r="W903" s="314"/>
      <c r="X903" s="314"/>
      <c r="Y903" s="314"/>
      <c r="Z903" s="314"/>
      <c r="AA903" s="318"/>
      <c r="AB903" s="315"/>
      <c r="AC903" s="314"/>
      <c r="AD903" s="314"/>
      <c r="AE903" s="314"/>
      <c r="AF903" s="314"/>
      <c r="AG903" s="324"/>
      <c r="AH903" s="155"/>
      <c r="AI903" s="155"/>
      <c r="AJ903" s="322"/>
      <c r="AK903" s="132"/>
      <c r="AL903" s="132"/>
    </row>
    <row r="904">
      <c r="A904" s="314"/>
      <c r="B904" s="313"/>
      <c r="C904" s="312"/>
      <c r="D904" s="313"/>
      <c r="E904" s="314"/>
      <c r="F904" s="318"/>
      <c r="G904" s="315"/>
      <c r="H904" s="314"/>
      <c r="I904" s="314"/>
      <c r="J904" s="314"/>
      <c r="K904" s="315"/>
      <c r="L904" s="736"/>
      <c r="M904" s="318"/>
      <c r="N904" s="315"/>
      <c r="O904" s="314"/>
      <c r="P904" s="314"/>
      <c r="Q904" s="314"/>
      <c r="R904" s="314"/>
      <c r="S904" s="848"/>
      <c r="T904" s="318"/>
      <c r="U904" s="315"/>
      <c r="V904" s="314"/>
      <c r="W904" s="314"/>
      <c r="X904" s="314"/>
      <c r="Y904" s="314"/>
      <c r="Z904" s="314"/>
      <c r="AA904" s="318"/>
      <c r="AB904" s="315"/>
      <c r="AC904" s="314"/>
      <c r="AD904" s="314"/>
      <c r="AE904" s="314"/>
      <c r="AF904" s="314"/>
      <c r="AG904" s="324"/>
      <c r="AH904" s="155"/>
      <c r="AI904" s="155"/>
      <c r="AJ904" s="322"/>
      <c r="AK904" s="132"/>
      <c r="AL904" s="132"/>
    </row>
    <row r="905">
      <c r="A905" s="314"/>
      <c r="B905" s="313"/>
      <c r="C905" s="312"/>
      <c r="D905" s="313"/>
      <c r="E905" s="314"/>
      <c r="F905" s="318"/>
      <c r="G905" s="315"/>
      <c r="H905" s="314"/>
      <c r="I905" s="314"/>
      <c r="J905" s="314"/>
      <c r="K905" s="315"/>
      <c r="L905" s="736"/>
      <c r="M905" s="318"/>
      <c r="N905" s="315"/>
      <c r="O905" s="314"/>
      <c r="P905" s="314"/>
      <c r="Q905" s="314"/>
      <c r="R905" s="314"/>
      <c r="S905" s="848"/>
      <c r="T905" s="318"/>
      <c r="U905" s="315"/>
      <c r="V905" s="314"/>
      <c r="W905" s="314"/>
      <c r="X905" s="314"/>
      <c r="Y905" s="314"/>
      <c r="Z905" s="314"/>
      <c r="AA905" s="318"/>
      <c r="AB905" s="315"/>
      <c r="AC905" s="314"/>
      <c r="AD905" s="314"/>
      <c r="AE905" s="314"/>
      <c r="AF905" s="314"/>
      <c r="AG905" s="324"/>
      <c r="AH905" s="155"/>
      <c r="AI905" s="155"/>
      <c r="AJ905" s="322"/>
      <c r="AK905" s="132"/>
      <c r="AL905" s="132"/>
    </row>
    <row r="906">
      <c r="A906" s="314"/>
      <c r="B906" s="313"/>
      <c r="C906" s="312"/>
      <c r="D906" s="313"/>
      <c r="E906" s="314"/>
      <c r="F906" s="318"/>
      <c r="G906" s="315"/>
      <c r="H906" s="314"/>
      <c r="I906" s="314"/>
      <c r="J906" s="314"/>
      <c r="K906" s="315"/>
      <c r="L906" s="736"/>
      <c r="M906" s="318"/>
      <c r="N906" s="315"/>
      <c r="O906" s="314"/>
      <c r="P906" s="314"/>
      <c r="Q906" s="314"/>
      <c r="R906" s="314"/>
      <c r="S906" s="848"/>
      <c r="T906" s="318"/>
      <c r="U906" s="315"/>
      <c r="V906" s="314"/>
      <c r="W906" s="314"/>
      <c r="X906" s="314"/>
      <c r="Y906" s="314"/>
      <c r="Z906" s="314"/>
      <c r="AA906" s="318"/>
      <c r="AB906" s="315"/>
      <c r="AC906" s="314"/>
      <c r="AD906" s="314"/>
      <c r="AE906" s="314"/>
      <c r="AF906" s="314"/>
      <c r="AG906" s="324"/>
      <c r="AH906" s="155"/>
      <c r="AI906" s="155"/>
      <c r="AJ906" s="322"/>
      <c r="AK906" s="132"/>
      <c r="AL906" s="132"/>
    </row>
    <row r="907">
      <c r="A907" s="314"/>
      <c r="B907" s="313"/>
      <c r="C907" s="312"/>
      <c r="D907" s="313"/>
      <c r="E907" s="314"/>
      <c r="F907" s="318"/>
      <c r="G907" s="315"/>
      <c r="H907" s="314"/>
      <c r="I907" s="314"/>
      <c r="J907" s="314"/>
      <c r="K907" s="315"/>
      <c r="L907" s="736"/>
      <c r="M907" s="318"/>
      <c r="N907" s="315"/>
      <c r="O907" s="314"/>
      <c r="P907" s="314"/>
      <c r="Q907" s="314"/>
      <c r="R907" s="314"/>
      <c r="S907" s="848"/>
      <c r="T907" s="318"/>
      <c r="U907" s="315"/>
      <c r="V907" s="314"/>
      <c r="W907" s="314"/>
      <c r="X907" s="314"/>
      <c r="Y907" s="314"/>
      <c r="Z907" s="314"/>
      <c r="AA907" s="318"/>
      <c r="AB907" s="315"/>
      <c r="AC907" s="314"/>
      <c r="AD907" s="314"/>
      <c r="AE907" s="314"/>
      <c r="AF907" s="314"/>
      <c r="AG907" s="324"/>
      <c r="AH907" s="155"/>
      <c r="AI907" s="155"/>
      <c r="AJ907" s="322"/>
      <c r="AK907" s="132"/>
      <c r="AL907" s="132"/>
    </row>
    <row r="908">
      <c r="A908" s="314"/>
      <c r="B908" s="313"/>
      <c r="C908" s="312"/>
      <c r="D908" s="313"/>
      <c r="E908" s="314"/>
      <c r="F908" s="318"/>
      <c r="G908" s="315"/>
      <c r="H908" s="314"/>
      <c r="I908" s="314"/>
      <c r="J908" s="314"/>
      <c r="K908" s="315"/>
      <c r="L908" s="736"/>
      <c r="M908" s="318"/>
      <c r="N908" s="315"/>
      <c r="O908" s="314"/>
      <c r="P908" s="314"/>
      <c r="Q908" s="314"/>
      <c r="R908" s="314"/>
      <c r="S908" s="848"/>
      <c r="T908" s="318"/>
      <c r="U908" s="315"/>
      <c r="V908" s="314"/>
      <c r="W908" s="314"/>
      <c r="X908" s="314"/>
      <c r="Y908" s="314"/>
      <c r="Z908" s="314"/>
      <c r="AA908" s="318"/>
      <c r="AB908" s="315"/>
      <c r="AC908" s="314"/>
      <c r="AD908" s="314"/>
      <c r="AE908" s="314"/>
      <c r="AF908" s="314"/>
      <c r="AG908" s="324"/>
      <c r="AH908" s="155"/>
      <c r="AI908" s="155"/>
      <c r="AJ908" s="322"/>
      <c r="AK908" s="132"/>
      <c r="AL908" s="132"/>
    </row>
    <row r="909">
      <c r="A909" s="314"/>
      <c r="B909" s="313"/>
      <c r="C909" s="312"/>
      <c r="D909" s="313"/>
      <c r="E909" s="314"/>
      <c r="F909" s="318"/>
      <c r="G909" s="315"/>
      <c r="H909" s="314"/>
      <c r="I909" s="314"/>
      <c r="J909" s="314"/>
      <c r="K909" s="315"/>
      <c r="L909" s="736"/>
      <c r="M909" s="318"/>
      <c r="N909" s="315"/>
      <c r="O909" s="314"/>
      <c r="P909" s="314"/>
      <c r="Q909" s="314"/>
      <c r="R909" s="314"/>
      <c r="S909" s="848"/>
      <c r="T909" s="318"/>
      <c r="U909" s="315"/>
      <c r="V909" s="314"/>
      <c r="W909" s="314"/>
      <c r="X909" s="314"/>
      <c r="Y909" s="314"/>
      <c r="Z909" s="314"/>
      <c r="AA909" s="318"/>
      <c r="AB909" s="315"/>
      <c r="AC909" s="314"/>
      <c r="AD909" s="314"/>
      <c r="AE909" s="314"/>
      <c r="AF909" s="314"/>
      <c r="AG909" s="324"/>
      <c r="AH909" s="155"/>
      <c r="AI909" s="155"/>
      <c r="AJ909" s="322"/>
      <c r="AK909" s="132"/>
      <c r="AL909" s="132"/>
    </row>
    <row r="910">
      <c r="A910" s="314"/>
      <c r="B910" s="313"/>
      <c r="C910" s="312"/>
      <c r="D910" s="313"/>
      <c r="E910" s="314"/>
      <c r="F910" s="318"/>
      <c r="G910" s="315"/>
      <c r="H910" s="314"/>
      <c r="I910" s="314"/>
      <c r="J910" s="314"/>
      <c r="K910" s="315"/>
      <c r="L910" s="736"/>
      <c r="M910" s="318"/>
      <c r="N910" s="315"/>
      <c r="O910" s="314"/>
      <c r="P910" s="314"/>
      <c r="Q910" s="314"/>
      <c r="R910" s="314"/>
      <c r="S910" s="848"/>
      <c r="T910" s="318"/>
      <c r="U910" s="315"/>
      <c r="V910" s="314"/>
      <c r="W910" s="314"/>
      <c r="X910" s="314"/>
      <c r="Y910" s="314"/>
      <c r="Z910" s="314"/>
      <c r="AA910" s="318"/>
      <c r="AB910" s="315"/>
      <c r="AC910" s="314"/>
      <c r="AD910" s="314"/>
      <c r="AE910" s="314"/>
      <c r="AF910" s="314"/>
      <c r="AG910" s="324"/>
      <c r="AH910" s="155"/>
      <c r="AI910" s="155"/>
      <c r="AJ910" s="322"/>
      <c r="AK910" s="132"/>
      <c r="AL910" s="132"/>
    </row>
    <row r="911">
      <c r="A911" s="314"/>
      <c r="B911" s="313"/>
      <c r="C911" s="312"/>
      <c r="D911" s="313"/>
      <c r="E911" s="314"/>
      <c r="F911" s="318"/>
      <c r="G911" s="315"/>
      <c r="H911" s="314"/>
      <c r="I911" s="314"/>
      <c r="J911" s="314"/>
      <c r="K911" s="315"/>
      <c r="L911" s="736"/>
      <c r="M911" s="318"/>
      <c r="N911" s="315"/>
      <c r="O911" s="314"/>
      <c r="P911" s="314"/>
      <c r="Q911" s="314"/>
      <c r="R911" s="314"/>
      <c r="S911" s="848"/>
      <c r="T911" s="318"/>
      <c r="U911" s="315"/>
      <c r="V911" s="314"/>
      <c r="W911" s="314"/>
      <c r="X911" s="314"/>
      <c r="Y911" s="314"/>
      <c r="Z911" s="314"/>
      <c r="AA911" s="318"/>
      <c r="AB911" s="315"/>
      <c r="AC911" s="314"/>
      <c r="AD911" s="314"/>
      <c r="AE911" s="314"/>
      <c r="AF911" s="314"/>
      <c r="AG911" s="324"/>
      <c r="AH911" s="155"/>
      <c r="AI911" s="155"/>
      <c r="AJ911" s="322"/>
      <c r="AK911" s="132"/>
      <c r="AL911" s="132"/>
    </row>
    <row r="912">
      <c r="A912" s="314"/>
      <c r="B912" s="313"/>
      <c r="C912" s="312"/>
      <c r="D912" s="313"/>
      <c r="E912" s="314"/>
      <c r="F912" s="318"/>
      <c r="G912" s="315"/>
      <c r="H912" s="314"/>
      <c r="I912" s="314"/>
      <c r="J912" s="314"/>
      <c r="K912" s="315"/>
      <c r="L912" s="736"/>
      <c r="M912" s="318"/>
      <c r="N912" s="315"/>
      <c r="O912" s="314"/>
      <c r="P912" s="314"/>
      <c r="Q912" s="314"/>
      <c r="R912" s="314"/>
      <c r="S912" s="848"/>
      <c r="T912" s="318"/>
      <c r="U912" s="315"/>
      <c r="V912" s="314"/>
      <c r="W912" s="314"/>
      <c r="X912" s="314"/>
      <c r="Y912" s="314"/>
      <c r="Z912" s="314"/>
      <c r="AA912" s="318"/>
      <c r="AB912" s="315"/>
      <c r="AC912" s="314"/>
      <c r="AD912" s="314"/>
      <c r="AE912" s="314"/>
      <c r="AF912" s="314"/>
      <c r="AG912" s="324"/>
      <c r="AH912" s="155"/>
      <c r="AI912" s="155"/>
      <c r="AJ912" s="322"/>
      <c r="AK912" s="132"/>
      <c r="AL912" s="132"/>
    </row>
    <row r="913">
      <c r="A913" s="314"/>
      <c r="B913" s="313"/>
      <c r="C913" s="312"/>
      <c r="D913" s="313"/>
      <c r="E913" s="314"/>
      <c r="F913" s="318"/>
      <c r="G913" s="315"/>
      <c r="H913" s="314"/>
      <c r="I913" s="314"/>
      <c r="J913" s="314"/>
      <c r="K913" s="315"/>
      <c r="L913" s="736"/>
      <c r="M913" s="318"/>
      <c r="N913" s="315"/>
      <c r="O913" s="314"/>
      <c r="P913" s="314"/>
      <c r="Q913" s="314"/>
      <c r="R913" s="314"/>
      <c r="S913" s="848"/>
      <c r="T913" s="318"/>
      <c r="U913" s="315"/>
      <c r="V913" s="314"/>
      <c r="W913" s="314"/>
      <c r="X913" s="314"/>
      <c r="Y913" s="314"/>
      <c r="Z913" s="314"/>
      <c r="AA913" s="318"/>
      <c r="AB913" s="315"/>
      <c r="AC913" s="314"/>
      <c r="AD913" s="314"/>
      <c r="AE913" s="314"/>
      <c r="AF913" s="314"/>
      <c r="AG913" s="324"/>
      <c r="AH913" s="155"/>
      <c r="AI913" s="155"/>
      <c r="AJ913" s="322"/>
      <c r="AK913" s="132"/>
      <c r="AL913" s="132"/>
    </row>
    <row r="914">
      <c r="A914" s="314"/>
      <c r="B914" s="313"/>
      <c r="C914" s="312"/>
      <c r="D914" s="313"/>
      <c r="E914" s="314"/>
      <c r="F914" s="318"/>
      <c r="G914" s="315"/>
      <c r="H914" s="314"/>
      <c r="I914" s="314"/>
      <c r="J914" s="314"/>
      <c r="K914" s="315"/>
      <c r="L914" s="736"/>
      <c r="M914" s="318"/>
      <c r="N914" s="315"/>
      <c r="O914" s="314"/>
      <c r="P914" s="314"/>
      <c r="Q914" s="314"/>
      <c r="R914" s="314"/>
      <c r="S914" s="848"/>
      <c r="T914" s="318"/>
      <c r="U914" s="315"/>
      <c r="V914" s="314"/>
      <c r="W914" s="314"/>
      <c r="X914" s="314"/>
      <c r="Y914" s="314"/>
      <c r="Z914" s="314"/>
      <c r="AA914" s="318"/>
      <c r="AB914" s="315"/>
      <c r="AC914" s="314"/>
      <c r="AD914" s="314"/>
      <c r="AE914" s="314"/>
      <c r="AF914" s="314"/>
      <c r="AG914" s="324"/>
      <c r="AH914" s="155"/>
      <c r="AI914" s="155"/>
      <c r="AJ914" s="322"/>
      <c r="AK914" s="132"/>
      <c r="AL914" s="132"/>
    </row>
    <row r="915">
      <c r="A915" s="314"/>
      <c r="B915" s="313"/>
      <c r="C915" s="312"/>
      <c r="D915" s="313"/>
      <c r="E915" s="314"/>
      <c r="F915" s="318"/>
      <c r="G915" s="315"/>
      <c r="H915" s="314"/>
      <c r="I915" s="314"/>
      <c r="J915" s="314"/>
      <c r="K915" s="315"/>
      <c r="L915" s="736"/>
      <c r="M915" s="318"/>
      <c r="N915" s="315"/>
      <c r="O915" s="314"/>
      <c r="P915" s="314"/>
      <c r="Q915" s="314"/>
      <c r="R915" s="314"/>
      <c r="S915" s="848"/>
      <c r="T915" s="318"/>
      <c r="U915" s="315"/>
      <c r="V915" s="314"/>
      <c r="W915" s="314"/>
      <c r="X915" s="314"/>
      <c r="Y915" s="314"/>
      <c r="Z915" s="314"/>
      <c r="AA915" s="318"/>
      <c r="AB915" s="315"/>
      <c r="AC915" s="314"/>
      <c r="AD915" s="314"/>
      <c r="AE915" s="314"/>
      <c r="AF915" s="314"/>
      <c r="AG915" s="324"/>
      <c r="AH915" s="155"/>
      <c r="AI915" s="155"/>
      <c r="AJ915" s="322"/>
      <c r="AK915" s="132"/>
      <c r="AL915" s="132"/>
    </row>
    <row r="916">
      <c r="A916" s="314"/>
      <c r="B916" s="313"/>
      <c r="C916" s="312"/>
      <c r="D916" s="313"/>
      <c r="E916" s="314"/>
      <c r="F916" s="318"/>
      <c r="G916" s="315"/>
      <c r="H916" s="314"/>
      <c r="I916" s="314"/>
      <c r="J916" s="314"/>
      <c r="K916" s="315"/>
      <c r="L916" s="736"/>
      <c r="M916" s="318"/>
      <c r="N916" s="315"/>
      <c r="O916" s="314"/>
      <c r="P916" s="314"/>
      <c r="Q916" s="314"/>
      <c r="R916" s="314"/>
      <c r="S916" s="848"/>
      <c r="T916" s="318"/>
      <c r="U916" s="315"/>
      <c r="V916" s="314"/>
      <c r="W916" s="314"/>
      <c r="X916" s="314"/>
      <c r="Y916" s="314"/>
      <c r="Z916" s="314"/>
      <c r="AA916" s="318"/>
      <c r="AB916" s="315"/>
      <c r="AC916" s="314"/>
      <c r="AD916" s="314"/>
      <c r="AE916" s="314"/>
      <c r="AF916" s="314"/>
      <c r="AG916" s="324"/>
      <c r="AH916" s="155"/>
      <c r="AI916" s="155"/>
      <c r="AJ916" s="322"/>
      <c r="AK916" s="132"/>
      <c r="AL916" s="132"/>
    </row>
    <row r="917">
      <c r="A917" s="314"/>
      <c r="B917" s="313"/>
      <c r="C917" s="312"/>
      <c r="D917" s="313"/>
      <c r="E917" s="314"/>
      <c r="F917" s="318"/>
      <c r="G917" s="315"/>
      <c r="H917" s="314"/>
      <c r="I917" s="314"/>
      <c r="J917" s="314"/>
      <c r="K917" s="315"/>
      <c r="L917" s="736"/>
      <c r="M917" s="318"/>
      <c r="N917" s="315"/>
      <c r="O917" s="314"/>
      <c r="P917" s="314"/>
      <c r="Q917" s="314"/>
      <c r="R917" s="314"/>
      <c r="S917" s="848"/>
      <c r="T917" s="318"/>
      <c r="U917" s="315"/>
      <c r="V917" s="314"/>
      <c r="W917" s="314"/>
      <c r="X917" s="314"/>
      <c r="Y917" s="314"/>
      <c r="Z917" s="314"/>
      <c r="AA917" s="318"/>
      <c r="AB917" s="315"/>
      <c r="AC917" s="314"/>
      <c r="AD917" s="314"/>
      <c r="AE917" s="314"/>
      <c r="AF917" s="314"/>
      <c r="AG917" s="324"/>
      <c r="AH917" s="155"/>
      <c r="AI917" s="155"/>
      <c r="AJ917" s="322"/>
      <c r="AK917" s="132"/>
      <c r="AL917" s="132"/>
    </row>
    <row r="918">
      <c r="A918" s="314"/>
      <c r="B918" s="313"/>
      <c r="C918" s="312"/>
      <c r="D918" s="313"/>
      <c r="E918" s="314"/>
      <c r="F918" s="318"/>
      <c r="G918" s="315"/>
      <c r="H918" s="314"/>
      <c r="I918" s="314"/>
      <c r="J918" s="314"/>
      <c r="K918" s="315"/>
      <c r="L918" s="736"/>
      <c r="M918" s="318"/>
      <c r="N918" s="315"/>
      <c r="O918" s="314"/>
      <c r="P918" s="314"/>
      <c r="Q918" s="314"/>
      <c r="R918" s="314"/>
      <c r="S918" s="848"/>
      <c r="T918" s="318"/>
      <c r="U918" s="315"/>
      <c r="V918" s="314"/>
      <c r="W918" s="314"/>
      <c r="X918" s="314"/>
      <c r="Y918" s="314"/>
      <c r="Z918" s="314"/>
      <c r="AA918" s="318"/>
      <c r="AB918" s="315"/>
      <c r="AC918" s="314"/>
      <c r="AD918" s="314"/>
      <c r="AE918" s="314"/>
      <c r="AF918" s="314"/>
      <c r="AG918" s="324"/>
      <c r="AH918" s="155"/>
      <c r="AI918" s="155"/>
      <c r="AJ918" s="322"/>
      <c r="AK918" s="132"/>
      <c r="AL918" s="132"/>
    </row>
    <row r="919">
      <c r="A919" s="314"/>
      <c r="B919" s="313"/>
      <c r="C919" s="312"/>
      <c r="D919" s="313"/>
      <c r="E919" s="314"/>
      <c r="F919" s="318"/>
      <c r="G919" s="315"/>
      <c r="H919" s="314"/>
      <c r="I919" s="314"/>
      <c r="J919" s="314"/>
      <c r="K919" s="315"/>
      <c r="L919" s="736"/>
      <c r="M919" s="318"/>
      <c r="N919" s="315"/>
      <c r="O919" s="314"/>
      <c r="P919" s="314"/>
      <c r="Q919" s="314"/>
      <c r="R919" s="314"/>
      <c r="S919" s="848"/>
      <c r="T919" s="318"/>
      <c r="U919" s="315"/>
      <c r="V919" s="314"/>
      <c r="W919" s="314"/>
      <c r="X919" s="314"/>
      <c r="Y919" s="314"/>
      <c r="Z919" s="314"/>
      <c r="AA919" s="318"/>
      <c r="AB919" s="315"/>
      <c r="AC919" s="314"/>
      <c r="AD919" s="314"/>
      <c r="AE919" s="314"/>
      <c r="AF919" s="314"/>
      <c r="AG919" s="324"/>
      <c r="AH919" s="155"/>
      <c r="AI919" s="155"/>
      <c r="AJ919" s="322"/>
      <c r="AK919" s="132"/>
      <c r="AL919" s="132"/>
    </row>
    <row r="920">
      <c r="A920" s="314"/>
      <c r="B920" s="313"/>
      <c r="C920" s="312"/>
      <c r="D920" s="313"/>
      <c r="E920" s="314"/>
      <c r="F920" s="318"/>
      <c r="G920" s="315"/>
      <c r="H920" s="314"/>
      <c r="I920" s="314"/>
      <c r="J920" s="314"/>
      <c r="K920" s="315"/>
      <c r="L920" s="736"/>
      <c r="M920" s="318"/>
      <c r="N920" s="315"/>
      <c r="O920" s="314"/>
      <c r="P920" s="314"/>
      <c r="Q920" s="314"/>
      <c r="R920" s="314"/>
      <c r="S920" s="848"/>
      <c r="T920" s="318"/>
      <c r="U920" s="315"/>
      <c r="V920" s="314"/>
      <c r="W920" s="314"/>
      <c r="X920" s="314"/>
      <c r="Y920" s="314"/>
      <c r="Z920" s="314"/>
      <c r="AA920" s="318"/>
      <c r="AB920" s="315"/>
      <c r="AC920" s="314"/>
      <c r="AD920" s="314"/>
      <c r="AE920" s="314"/>
      <c r="AF920" s="314"/>
      <c r="AG920" s="324"/>
      <c r="AH920" s="155"/>
      <c r="AI920" s="155"/>
      <c r="AJ920" s="322"/>
      <c r="AK920" s="132"/>
      <c r="AL920" s="132"/>
    </row>
    <row r="921">
      <c r="A921" s="314"/>
      <c r="B921" s="313"/>
      <c r="C921" s="312"/>
      <c r="D921" s="313"/>
      <c r="E921" s="314"/>
      <c r="F921" s="318"/>
      <c r="G921" s="315"/>
      <c r="H921" s="314"/>
      <c r="I921" s="314"/>
      <c r="J921" s="314"/>
      <c r="K921" s="315"/>
      <c r="L921" s="736"/>
      <c r="M921" s="318"/>
      <c r="N921" s="315"/>
      <c r="O921" s="314"/>
      <c r="P921" s="314"/>
      <c r="Q921" s="314"/>
      <c r="R921" s="314"/>
      <c r="S921" s="848"/>
      <c r="T921" s="318"/>
      <c r="U921" s="315"/>
      <c r="V921" s="314"/>
      <c r="W921" s="314"/>
      <c r="X921" s="314"/>
      <c r="Y921" s="314"/>
      <c r="Z921" s="314"/>
      <c r="AA921" s="318"/>
      <c r="AB921" s="315"/>
      <c r="AC921" s="314"/>
      <c r="AD921" s="314"/>
      <c r="AE921" s="314"/>
      <c r="AF921" s="314"/>
      <c r="AG921" s="324"/>
      <c r="AH921" s="155"/>
      <c r="AI921" s="155"/>
      <c r="AJ921" s="322"/>
      <c r="AK921" s="132"/>
      <c r="AL921" s="132"/>
    </row>
    <row r="922">
      <c r="A922" s="314"/>
      <c r="B922" s="313"/>
      <c r="C922" s="312"/>
      <c r="D922" s="313"/>
      <c r="E922" s="314"/>
      <c r="F922" s="318"/>
      <c r="G922" s="315"/>
      <c r="H922" s="314"/>
      <c r="I922" s="314"/>
      <c r="J922" s="314"/>
      <c r="K922" s="315"/>
      <c r="L922" s="736"/>
      <c r="M922" s="318"/>
      <c r="N922" s="315"/>
      <c r="O922" s="314"/>
      <c r="P922" s="314"/>
      <c r="Q922" s="314"/>
      <c r="R922" s="314"/>
      <c r="S922" s="848"/>
      <c r="T922" s="318"/>
      <c r="U922" s="315"/>
      <c r="V922" s="314"/>
      <c r="W922" s="314"/>
      <c r="X922" s="314"/>
      <c r="Y922" s="314"/>
      <c r="Z922" s="314"/>
      <c r="AA922" s="318"/>
      <c r="AB922" s="315"/>
      <c r="AC922" s="314"/>
      <c r="AD922" s="314"/>
      <c r="AE922" s="314"/>
      <c r="AF922" s="314"/>
      <c r="AG922" s="324"/>
      <c r="AH922" s="155"/>
      <c r="AI922" s="155"/>
      <c r="AJ922" s="322"/>
      <c r="AK922" s="132"/>
      <c r="AL922" s="132"/>
    </row>
    <row r="923">
      <c r="A923" s="314"/>
      <c r="B923" s="313"/>
      <c r="C923" s="312"/>
      <c r="D923" s="313"/>
      <c r="E923" s="314"/>
      <c r="F923" s="318"/>
      <c r="G923" s="315"/>
      <c r="H923" s="314"/>
      <c r="I923" s="314"/>
      <c r="J923" s="314"/>
      <c r="K923" s="315"/>
      <c r="L923" s="736"/>
      <c r="M923" s="318"/>
      <c r="N923" s="315"/>
      <c r="O923" s="314"/>
      <c r="P923" s="314"/>
      <c r="Q923" s="314"/>
      <c r="R923" s="314"/>
      <c r="S923" s="848"/>
      <c r="T923" s="318"/>
      <c r="U923" s="315"/>
      <c r="V923" s="314"/>
      <c r="W923" s="314"/>
      <c r="X923" s="314"/>
      <c r="Y923" s="314"/>
      <c r="Z923" s="314"/>
      <c r="AA923" s="318"/>
      <c r="AB923" s="315"/>
      <c r="AC923" s="314"/>
      <c r="AD923" s="314"/>
      <c r="AE923" s="314"/>
      <c r="AF923" s="314"/>
      <c r="AG923" s="324"/>
      <c r="AH923" s="155"/>
      <c r="AI923" s="155"/>
      <c r="AJ923" s="322"/>
      <c r="AK923" s="132"/>
      <c r="AL923" s="132"/>
    </row>
    <row r="924">
      <c r="A924" s="314"/>
      <c r="B924" s="313"/>
      <c r="C924" s="312"/>
      <c r="D924" s="313"/>
      <c r="E924" s="314"/>
      <c r="F924" s="318"/>
      <c r="G924" s="315"/>
      <c r="H924" s="314"/>
      <c r="I924" s="314"/>
      <c r="J924" s="314"/>
      <c r="K924" s="315"/>
      <c r="L924" s="736"/>
      <c r="M924" s="318"/>
      <c r="N924" s="315"/>
      <c r="O924" s="314"/>
      <c r="P924" s="314"/>
      <c r="Q924" s="314"/>
      <c r="R924" s="314"/>
      <c r="S924" s="848"/>
      <c r="T924" s="318"/>
      <c r="U924" s="315"/>
      <c r="V924" s="314"/>
      <c r="W924" s="314"/>
      <c r="X924" s="314"/>
      <c r="Y924" s="314"/>
      <c r="Z924" s="314"/>
      <c r="AA924" s="318"/>
      <c r="AB924" s="315"/>
      <c r="AC924" s="314"/>
      <c r="AD924" s="314"/>
      <c r="AE924" s="314"/>
      <c r="AF924" s="314"/>
      <c r="AG924" s="324"/>
      <c r="AH924" s="155"/>
      <c r="AI924" s="155"/>
      <c r="AJ924" s="322"/>
      <c r="AK924" s="132"/>
      <c r="AL924" s="132"/>
    </row>
    <row r="925">
      <c r="A925" s="314"/>
      <c r="B925" s="313"/>
      <c r="C925" s="312"/>
      <c r="D925" s="313"/>
      <c r="E925" s="314"/>
      <c r="F925" s="318"/>
      <c r="G925" s="315"/>
      <c r="H925" s="314"/>
      <c r="I925" s="314"/>
      <c r="J925" s="314"/>
      <c r="K925" s="315"/>
      <c r="L925" s="736"/>
      <c r="M925" s="318"/>
      <c r="N925" s="315"/>
      <c r="O925" s="314"/>
      <c r="P925" s="314"/>
      <c r="Q925" s="314"/>
      <c r="R925" s="314"/>
      <c r="S925" s="848"/>
      <c r="T925" s="318"/>
      <c r="U925" s="315"/>
      <c r="V925" s="314"/>
      <c r="W925" s="314"/>
      <c r="X925" s="314"/>
      <c r="Y925" s="314"/>
      <c r="Z925" s="314"/>
      <c r="AA925" s="318"/>
      <c r="AB925" s="315"/>
      <c r="AC925" s="314"/>
      <c r="AD925" s="314"/>
      <c r="AE925" s="314"/>
      <c r="AF925" s="314"/>
      <c r="AG925" s="324"/>
      <c r="AH925" s="155"/>
      <c r="AI925" s="155"/>
      <c r="AJ925" s="322"/>
      <c r="AK925" s="132"/>
      <c r="AL925" s="132"/>
    </row>
    <row r="926">
      <c r="A926" s="314"/>
      <c r="B926" s="313"/>
      <c r="C926" s="312"/>
      <c r="D926" s="313"/>
      <c r="E926" s="314"/>
      <c r="F926" s="318"/>
      <c r="G926" s="315"/>
      <c r="H926" s="314"/>
      <c r="I926" s="314"/>
      <c r="J926" s="314"/>
      <c r="K926" s="315"/>
      <c r="L926" s="736"/>
      <c r="M926" s="318"/>
      <c r="N926" s="315"/>
      <c r="O926" s="314"/>
      <c r="P926" s="314"/>
      <c r="Q926" s="314"/>
      <c r="R926" s="314"/>
      <c r="S926" s="848"/>
      <c r="T926" s="318"/>
      <c r="U926" s="315"/>
      <c r="V926" s="314"/>
      <c r="W926" s="314"/>
      <c r="X926" s="314"/>
      <c r="Y926" s="314"/>
      <c r="Z926" s="314"/>
      <c r="AA926" s="318"/>
      <c r="AB926" s="315"/>
      <c r="AC926" s="314"/>
      <c r="AD926" s="314"/>
      <c r="AE926" s="314"/>
      <c r="AF926" s="314"/>
      <c r="AG926" s="324"/>
      <c r="AH926" s="155"/>
      <c r="AI926" s="155"/>
      <c r="AJ926" s="322"/>
      <c r="AK926" s="132"/>
      <c r="AL926" s="132"/>
    </row>
    <row r="927">
      <c r="A927" s="314"/>
      <c r="B927" s="313"/>
      <c r="C927" s="312"/>
      <c r="D927" s="313"/>
      <c r="E927" s="314"/>
      <c r="F927" s="318"/>
      <c r="G927" s="315"/>
      <c r="H927" s="314"/>
      <c r="I927" s="314"/>
      <c r="J927" s="314"/>
      <c r="K927" s="315"/>
      <c r="L927" s="736"/>
      <c r="M927" s="318"/>
      <c r="N927" s="315"/>
      <c r="O927" s="314"/>
      <c r="P927" s="314"/>
      <c r="Q927" s="314"/>
      <c r="R927" s="314"/>
      <c r="S927" s="848"/>
      <c r="T927" s="318"/>
      <c r="U927" s="315"/>
      <c r="V927" s="314"/>
      <c r="W927" s="314"/>
      <c r="X927" s="314"/>
      <c r="Y927" s="314"/>
      <c r="Z927" s="314"/>
      <c r="AA927" s="318"/>
      <c r="AB927" s="315"/>
      <c r="AC927" s="314"/>
      <c r="AD927" s="314"/>
      <c r="AE927" s="314"/>
      <c r="AF927" s="314"/>
      <c r="AG927" s="324"/>
      <c r="AH927" s="155"/>
      <c r="AI927" s="155"/>
      <c r="AJ927" s="322"/>
      <c r="AK927" s="132"/>
      <c r="AL927" s="132"/>
    </row>
    <row r="928">
      <c r="A928" s="314"/>
      <c r="B928" s="313"/>
      <c r="C928" s="312"/>
      <c r="D928" s="313"/>
      <c r="E928" s="314"/>
      <c r="F928" s="318"/>
      <c r="G928" s="315"/>
      <c r="H928" s="314"/>
      <c r="I928" s="314"/>
      <c r="J928" s="314"/>
      <c r="K928" s="315"/>
      <c r="L928" s="736"/>
      <c r="M928" s="318"/>
      <c r="N928" s="315"/>
      <c r="O928" s="314"/>
      <c r="P928" s="314"/>
      <c r="Q928" s="314"/>
      <c r="R928" s="314"/>
      <c r="S928" s="848"/>
      <c r="T928" s="318"/>
      <c r="U928" s="315"/>
      <c r="V928" s="314"/>
      <c r="W928" s="314"/>
      <c r="X928" s="314"/>
      <c r="Y928" s="314"/>
      <c r="Z928" s="314"/>
      <c r="AA928" s="318"/>
      <c r="AB928" s="315"/>
      <c r="AC928" s="314"/>
      <c r="AD928" s="314"/>
      <c r="AE928" s="314"/>
      <c r="AF928" s="314"/>
      <c r="AG928" s="324"/>
      <c r="AH928" s="155"/>
      <c r="AI928" s="155"/>
      <c r="AJ928" s="322"/>
      <c r="AK928" s="132"/>
      <c r="AL928" s="132"/>
    </row>
    <row r="929">
      <c r="A929" s="314"/>
      <c r="B929" s="313"/>
      <c r="C929" s="312"/>
      <c r="D929" s="313"/>
      <c r="E929" s="314"/>
      <c r="F929" s="318"/>
      <c r="G929" s="315"/>
      <c r="H929" s="314"/>
      <c r="I929" s="314"/>
      <c r="J929" s="314"/>
      <c r="K929" s="315"/>
      <c r="L929" s="736"/>
      <c r="M929" s="318"/>
      <c r="N929" s="315"/>
      <c r="O929" s="314"/>
      <c r="P929" s="314"/>
      <c r="Q929" s="314"/>
      <c r="R929" s="314"/>
      <c r="S929" s="848"/>
      <c r="T929" s="318"/>
      <c r="U929" s="315"/>
      <c r="V929" s="314"/>
      <c r="W929" s="314"/>
      <c r="X929" s="314"/>
      <c r="Y929" s="314"/>
      <c r="Z929" s="314"/>
      <c r="AA929" s="318"/>
      <c r="AB929" s="315"/>
      <c r="AC929" s="314"/>
      <c r="AD929" s="314"/>
      <c r="AE929" s="314"/>
      <c r="AF929" s="314"/>
      <c r="AG929" s="324"/>
      <c r="AH929" s="155"/>
      <c r="AI929" s="155"/>
      <c r="AJ929" s="322"/>
      <c r="AK929" s="132"/>
      <c r="AL929" s="132"/>
    </row>
    <row r="930">
      <c r="A930" s="314"/>
      <c r="B930" s="313"/>
      <c r="C930" s="312"/>
      <c r="D930" s="313"/>
      <c r="E930" s="314"/>
      <c r="F930" s="318"/>
      <c r="G930" s="315"/>
      <c r="H930" s="314"/>
      <c r="I930" s="314"/>
      <c r="J930" s="314"/>
      <c r="K930" s="315"/>
      <c r="L930" s="736"/>
      <c r="M930" s="318"/>
      <c r="N930" s="315"/>
      <c r="O930" s="314"/>
      <c r="P930" s="314"/>
      <c r="Q930" s="314"/>
      <c r="R930" s="314"/>
      <c r="S930" s="848"/>
      <c r="T930" s="318"/>
      <c r="U930" s="315"/>
      <c r="V930" s="314"/>
      <c r="W930" s="314"/>
      <c r="X930" s="314"/>
      <c r="Y930" s="314"/>
      <c r="Z930" s="314"/>
      <c r="AA930" s="318"/>
      <c r="AB930" s="315"/>
      <c r="AC930" s="314"/>
      <c r="AD930" s="314"/>
      <c r="AE930" s="314"/>
      <c r="AF930" s="314"/>
      <c r="AG930" s="324"/>
      <c r="AH930" s="155"/>
      <c r="AI930" s="155"/>
      <c r="AJ930" s="322"/>
      <c r="AK930" s="132"/>
      <c r="AL930" s="132"/>
    </row>
    <row r="931">
      <c r="A931" s="314"/>
      <c r="B931" s="313"/>
      <c r="C931" s="312"/>
      <c r="D931" s="313"/>
      <c r="E931" s="314"/>
      <c r="F931" s="318"/>
      <c r="G931" s="315"/>
      <c r="H931" s="314"/>
      <c r="I931" s="314"/>
      <c r="J931" s="314"/>
      <c r="K931" s="315"/>
      <c r="L931" s="736"/>
      <c r="M931" s="318"/>
      <c r="N931" s="315"/>
      <c r="O931" s="314"/>
      <c r="P931" s="314"/>
      <c r="Q931" s="314"/>
      <c r="R931" s="314"/>
      <c r="S931" s="848"/>
      <c r="T931" s="318"/>
      <c r="U931" s="315"/>
      <c r="V931" s="314"/>
      <c r="W931" s="314"/>
      <c r="X931" s="314"/>
      <c r="Y931" s="314"/>
      <c r="Z931" s="314"/>
      <c r="AA931" s="318"/>
      <c r="AB931" s="315"/>
      <c r="AC931" s="314"/>
      <c r="AD931" s="314"/>
      <c r="AE931" s="314"/>
      <c r="AF931" s="314"/>
      <c r="AG931" s="324"/>
      <c r="AH931" s="155"/>
      <c r="AI931" s="155"/>
      <c r="AJ931" s="322"/>
      <c r="AK931" s="132"/>
      <c r="AL931" s="132"/>
    </row>
    <row r="932">
      <c r="A932" s="314"/>
      <c r="B932" s="313"/>
      <c r="C932" s="312"/>
      <c r="D932" s="313"/>
      <c r="E932" s="314"/>
      <c r="F932" s="318"/>
      <c r="G932" s="315"/>
      <c r="H932" s="314"/>
      <c r="I932" s="314"/>
      <c r="J932" s="314"/>
      <c r="K932" s="315"/>
      <c r="L932" s="736"/>
      <c r="M932" s="318"/>
      <c r="N932" s="315"/>
      <c r="O932" s="314"/>
      <c r="P932" s="314"/>
      <c r="Q932" s="314"/>
      <c r="R932" s="314"/>
      <c r="S932" s="848"/>
      <c r="T932" s="318"/>
      <c r="U932" s="315"/>
      <c r="V932" s="314"/>
      <c r="W932" s="314"/>
      <c r="X932" s="314"/>
      <c r="Y932" s="314"/>
      <c r="Z932" s="314"/>
      <c r="AA932" s="318"/>
      <c r="AB932" s="315"/>
      <c r="AC932" s="314"/>
      <c r="AD932" s="314"/>
      <c r="AE932" s="314"/>
      <c r="AF932" s="314"/>
      <c r="AG932" s="324"/>
      <c r="AH932" s="155"/>
      <c r="AI932" s="155"/>
      <c r="AJ932" s="322"/>
      <c r="AK932" s="132"/>
      <c r="AL932" s="132"/>
    </row>
    <row r="933">
      <c r="A933" s="314"/>
      <c r="B933" s="313"/>
      <c r="C933" s="312"/>
      <c r="D933" s="313"/>
      <c r="E933" s="314"/>
      <c r="F933" s="318"/>
      <c r="G933" s="315"/>
      <c r="H933" s="314"/>
      <c r="I933" s="314"/>
      <c r="J933" s="314"/>
      <c r="K933" s="315"/>
      <c r="L933" s="736"/>
      <c r="M933" s="318"/>
      <c r="N933" s="315"/>
      <c r="O933" s="314"/>
      <c r="P933" s="314"/>
      <c r="Q933" s="314"/>
      <c r="R933" s="314"/>
      <c r="S933" s="848"/>
      <c r="T933" s="318"/>
      <c r="U933" s="315"/>
      <c r="V933" s="314"/>
      <c r="W933" s="314"/>
      <c r="X933" s="314"/>
      <c r="Y933" s="314"/>
      <c r="Z933" s="314"/>
      <c r="AA933" s="318"/>
      <c r="AB933" s="315"/>
      <c r="AC933" s="314"/>
      <c r="AD933" s="314"/>
      <c r="AE933" s="314"/>
      <c r="AF933" s="314"/>
      <c r="AG933" s="324"/>
      <c r="AH933" s="155"/>
      <c r="AI933" s="155"/>
      <c r="AJ933" s="322"/>
      <c r="AK933" s="132"/>
      <c r="AL933" s="132"/>
    </row>
    <row r="934">
      <c r="A934" s="314"/>
      <c r="B934" s="313"/>
      <c r="C934" s="312"/>
      <c r="D934" s="313"/>
      <c r="E934" s="314"/>
      <c r="F934" s="318"/>
      <c r="G934" s="315"/>
      <c r="H934" s="314"/>
      <c r="I934" s="314"/>
      <c r="J934" s="314"/>
      <c r="K934" s="315"/>
      <c r="L934" s="736"/>
      <c r="M934" s="318"/>
      <c r="N934" s="315"/>
      <c r="O934" s="314"/>
      <c r="P934" s="314"/>
      <c r="Q934" s="314"/>
      <c r="R934" s="314"/>
      <c r="S934" s="848"/>
      <c r="T934" s="318"/>
      <c r="U934" s="315"/>
      <c r="V934" s="314"/>
      <c r="W934" s="314"/>
      <c r="X934" s="314"/>
      <c r="Y934" s="314"/>
      <c r="Z934" s="314"/>
      <c r="AA934" s="318"/>
      <c r="AB934" s="315"/>
      <c r="AC934" s="314"/>
      <c r="AD934" s="314"/>
      <c r="AE934" s="314"/>
      <c r="AF934" s="314"/>
      <c r="AG934" s="324"/>
      <c r="AH934" s="155"/>
      <c r="AI934" s="155"/>
      <c r="AJ934" s="322"/>
      <c r="AK934" s="132"/>
      <c r="AL934" s="132"/>
    </row>
    <row r="935">
      <c r="A935" s="314"/>
      <c r="B935" s="313"/>
      <c r="C935" s="312"/>
      <c r="D935" s="313"/>
      <c r="E935" s="314"/>
      <c r="F935" s="318"/>
      <c r="G935" s="315"/>
      <c r="H935" s="314"/>
      <c r="I935" s="314"/>
      <c r="J935" s="314"/>
      <c r="K935" s="315"/>
      <c r="L935" s="736"/>
      <c r="M935" s="318"/>
      <c r="N935" s="315"/>
      <c r="O935" s="314"/>
      <c r="P935" s="314"/>
      <c r="Q935" s="314"/>
      <c r="R935" s="314"/>
      <c r="S935" s="848"/>
      <c r="T935" s="318"/>
      <c r="U935" s="315"/>
      <c r="V935" s="314"/>
      <c r="W935" s="314"/>
      <c r="X935" s="314"/>
      <c r="Y935" s="314"/>
      <c r="Z935" s="314"/>
      <c r="AA935" s="318"/>
      <c r="AB935" s="315"/>
      <c r="AC935" s="314"/>
      <c r="AD935" s="314"/>
      <c r="AE935" s="314"/>
      <c r="AF935" s="314"/>
      <c r="AG935" s="324"/>
      <c r="AH935" s="155"/>
      <c r="AI935" s="155"/>
      <c r="AJ935" s="322"/>
      <c r="AK935" s="132"/>
      <c r="AL935" s="132"/>
    </row>
    <row r="936">
      <c r="A936" s="314"/>
      <c r="B936" s="313"/>
      <c r="C936" s="312"/>
      <c r="D936" s="313"/>
      <c r="E936" s="314"/>
      <c r="F936" s="318"/>
      <c r="G936" s="315"/>
      <c r="H936" s="314"/>
      <c r="I936" s="314"/>
      <c r="J936" s="314"/>
      <c r="K936" s="315"/>
      <c r="L936" s="736"/>
      <c r="M936" s="318"/>
      <c r="N936" s="315"/>
      <c r="O936" s="314"/>
      <c r="P936" s="314"/>
      <c r="Q936" s="314"/>
      <c r="R936" s="314"/>
      <c r="S936" s="848"/>
      <c r="T936" s="318"/>
      <c r="U936" s="315"/>
      <c r="V936" s="314"/>
      <c r="W936" s="314"/>
      <c r="X936" s="314"/>
      <c r="Y936" s="314"/>
      <c r="Z936" s="314"/>
      <c r="AA936" s="318"/>
      <c r="AB936" s="315"/>
      <c r="AC936" s="314"/>
      <c r="AD936" s="314"/>
      <c r="AE936" s="314"/>
      <c r="AF936" s="314"/>
      <c r="AG936" s="324"/>
      <c r="AH936" s="155"/>
      <c r="AI936" s="155"/>
      <c r="AJ936" s="322"/>
      <c r="AK936" s="132"/>
      <c r="AL936" s="132"/>
    </row>
    <row r="937">
      <c r="A937" s="314"/>
      <c r="B937" s="313"/>
      <c r="C937" s="312"/>
      <c r="D937" s="313"/>
      <c r="E937" s="314"/>
      <c r="F937" s="318"/>
      <c r="G937" s="315"/>
      <c r="H937" s="314"/>
      <c r="I937" s="314"/>
      <c r="J937" s="314"/>
      <c r="K937" s="315"/>
      <c r="L937" s="736"/>
      <c r="M937" s="318"/>
      <c r="N937" s="315"/>
      <c r="O937" s="314"/>
      <c r="P937" s="314"/>
      <c r="Q937" s="314"/>
      <c r="R937" s="314"/>
      <c r="S937" s="848"/>
      <c r="T937" s="318"/>
      <c r="U937" s="315"/>
      <c r="V937" s="314"/>
      <c r="W937" s="314"/>
      <c r="X937" s="314"/>
      <c r="Y937" s="314"/>
      <c r="Z937" s="314"/>
      <c r="AA937" s="318"/>
      <c r="AB937" s="315"/>
      <c r="AC937" s="314"/>
      <c r="AD937" s="314"/>
      <c r="AE937" s="314"/>
      <c r="AF937" s="314"/>
      <c r="AG937" s="324"/>
      <c r="AH937" s="155"/>
      <c r="AI937" s="155"/>
      <c r="AJ937" s="322"/>
      <c r="AK937" s="132"/>
      <c r="AL937" s="132"/>
    </row>
    <row r="938">
      <c r="A938" s="314"/>
      <c r="B938" s="313"/>
      <c r="C938" s="312"/>
      <c r="D938" s="313"/>
      <c r="E938" s="314"/>
      <c r="F938" s="318"/>
      <c r="G938" s="315"/>
      <c r="H938" s="314"/>
      <c r="I938" s="314"/>
      <c r="J938" s="314"/>
      <c r="K938" s="315"/>
      <c r="L938" s="736"/>
      <c r="M938" s="318"/>
      <c r="N938" s="315"/>
      <c r="O938" s="314"/>
      <c r="P938" s="314"/>
      <c r="Q938" s="314"/>
      <c r="R938" s="314"/>
      <c r="S938" s="848"/>
      <c r="T938" s="318"/>
      <c r="U938" s="315"/>
      <c r="V938" s="314"/>
      <c r="W938" s="314"/>
      <c r="X938" s="314"/>
      <c r="Y938" s="314"/>
      <c r="Z938" s="314"/>
      <c r="AA938" s="318"/>
      <c r="AB938" s="315"/>
      <c r="AC938" s="314"/>
      <c r="AD938" s="314"/>
      <c r="AE938" s="314"/>
      <c r="AF938" s="314"/>
      <c r="AG938" s="324"/>
      <c r="AH938" s="155"/>
      <c r="AI938" s="155"/>
      <c r="AJ938" s="322"/>
      <c r="AK938" s="132"/>
      <c r="AL938" s="132"/>
    </row>
    <row r="939">
      <c r="A939" s="314"/>
      <c r="B939" s="313"/>
      <c r="C939" s="312"/>
      <c r="D939" s="313"/>
      <c r="E939" s="314"/>
      <c r="F939" s="318"/>
      <c r="G939" s="315"/>
      <c r="H939" s="314"/>
      <c r="I939" s="314"/>
      <c r="J939" s="314"/>
      <c r="K939" s="315"/>
      <c r="L939" s="736"/>
      <c r="M939" s="318"/>
      <c r="N939" s="315"/>
      <c r="O939" s="314"/>
      <c r="P939" s="314"/>
      <c r="Q939" s="314"/>
      <c r="R939" s="314"/>
      <c r="S939" s="848"/>
      <c r="T939" s="318"/>
      <c r="U939" s="315"/>
      <c r="V939" s="314"/>
      <c r="W939" s="314"/>
      <c r="X939" s="314"/>
      <c r="Y939" s="314"/>
      <c r="Z939" s="314"/>
      <c r="AA939" s="318"/>
      <c r="AB939" s="315"/>
      <c r="AC939" s="314"/>
      <c r="AD939" s="314"/>
      <c r="AE939" s="314"/>
      <c r="AF939" s="314"/>
      <c r="AG939" s="324"/>
      <c r="AH939" s="155"/>
      <c r="AI939" s="155"/>
      <c r="AJ939" s="322"/>
      <c r="AK939" s="132"/>
      <c r="AL939" s="132"/>
    </row>
    <row r="940">
      <c r="A940" s="314"/>
      <c r="B940" s="313"/>
      <c r="C940" s="312"/>
      <c r="D940" s="313"/>
      <c r="E940" s="314"/>
      <c r="F940" s="318"/>
      <c r="G940" s="315"/>
      <c r="H940" s="314"/>
      <c r="I940" s="314"/>
      <c r="J940" s="314"/>
      <c r="K940" s="315"/>
      <c r="L940" s="736"/>
      <c r="M940" s="318"/>
      <c r="N940" s="315"/>
      <c r="O940" s="314"/>
      <c r="P940" s="314"/>
      <c r="Q940" s="314"/>
      <c r="R940" s="314"/>
      <c r="S940" s="848"/>
      <c r="T940" s="318"/>
      <c r="U940" s="315"/>
      <c r="V940" s="314"/>
      <c r="W940" s="314"/>
      <c r="X940" s="314"/>
      <c r="Y940" s="314"/>
      <c r="Z940" s="314"/>
      <c r="AA940" s="318"/>
      <c r="AB940" s="315"/>
      <c r="AC940" s="314"/>
      <c r="AD940" s="314"/>
      <c r="AE940" s="314"/>
      <c r="AF940" s="314"/>
      <c r="AG940" s="324"/>
      <c r="AH940" s="155"/>
      <c r="AI940" s="155"/>
      <c r="AJ940" s="322"/>
      <c r="AK940" s="132"/>
      <c r="AL940" s="132"/>
    </row>
    <row r="941">
      <c r="A941" s="314"/>
      <c r="B941" s="313"/>
      <c r="C941" s="312"/>
      <c r="D941" s="313"/>
      <c r="E941" s="314"/>
      <c r="F941" s="318"/>
      <c r="G941" s="315"/>
      <c r="H941" s="314"/>
      <c r="I941" s="314"/>
      <c r="J941" s="314"/>
      <c r="K941" s="315"/>
      <c r="L941" s="736"/>
      <c r="M941" s="318"/>
      <c r="N941" s="315"/>
      <c r="O941" s="314"/>
      <c r="P941" s="314"/>
      <c r="Q941" s="314"/>
      <c r="R941" s="314"/>
      <c r="S941" s="848"/>
      <c r="T941" s="318"/>
      <c r="U941" s="315"/>
      <c r="V941" s="314"/>
      <c r="W941" s="314"/>
      <c r="X941" s="314"/>
      <c r="Y941" s="314"/>
      <c r="Z941" s="314"/>
      <c r="AA941" s="318"/>
      <c r="AB941" s="315"/>
      <c r="AC941" s="314"/>
      <c r="AD941" s="314"/>
      <c r="AE941" s="314"/>
      <c r="AF941" s="314"/>
      <c r="AG941" s="324"/>
      <c r="AH941" s="155"/>
      <c r="AI941" s="155"/>
      <c r="AJ941" s="322"/>
      <c r="AK941" s="132"/>
      <c r="AL941" s="132"/>
    </row>
    <row r="942">
      <c r="A942" s="314"/>
      <c r="B942" s="313"/>
      <c r="C942" s="312"/>
      <c r="D942" s="313"/>
      <c r="E942" s="314"/>
      <c r="F942" s="318"/>
      <c r="G942" s="315"/>
      <c r="H942" s="314"/>
      <c r="I942" s="314"/>
      <c r="J942" s="314"/>
      <c r="K942" s="315"/>
      <c r="L942" s="736"/>
      <c r="M942" s="318"/>
      <c r="N942" s="315"/>
      <c r="O942" s="314"/>
      <c r="P942" s="314"/>
      <c r="Q942" s="314"/>
      <c r="R942" s="314"/>
      <c r="S942" s="848"/>
      <c r="T942" s="318"/>
      <c r="U942" s="315"/>
      <c r="V942" s="314"/>
      <c r="W942" s="314"/>
      <c r="X942" s="314"/>
      <c r="Y942" s="314"/>
      <c r="Z942" s="314"/>
      <c r="AA942" s="318"/>
      <c r="AB942" s="315"/>
      <c r="AC942" s="314"/>
      <c r="AD942" s="314"/>
      <c r="AE942" s="314"/>
      <c r="AF942" s="314"/>
      <c r="AG942" s="324"/>
      <c r="AH942" s="155"/>
      <c r="AI942" s="155"/>
      <c r="AJ942" s="322"/>
      <c r="AK942" s="132"/>
      <c r="AL942" s="132"/>
    </row>
    <row r="943">
      <c r="A943" s="314"/>
      <c r="B943" s="313"/>
      <c r="C943" s="312"/>
      <c r="D943" s="313"/>
      <c r="E943" s="314"/>
      <c r="F943" s="318"/>
      <c r="G943" s="315"/>
      <c r="H943" s="314"/>
      <c r="I943" s="314"/>
      <c r="J943" s="314"/>
      <c r="K943" s="315"/>
      <c r="L943" s="736"/>
      <c r="M943" s="318"/>
      <c r="N943" s="315"/>
      <c r="O943" s="314"/>
      <c r="P943" s="314"/>
      <c r="Q943" s="314"/>
      <c r="R943" s="314"/>
      <c r="S943" s="848"/>
      <c r="T943" s="318"/>
      <c r="U943" s="315"/>
      <c r="V943" s="314"/>
      <c r="W943" s="314"/>
      <c r="X943" s="314"/>
      <c r="Y943" s="314"/>
      <c r="Z943" s="314"/>
      <c r="AA943" s="318"/>
      <c r="AB943" s="315"/>
      <c r="AC943" s="314"/>
      <c r="AD943" s="314"/>
      <c r="AE943" s="314"/>
      <c r="AF943" s="314"/>
      <c r="AG943" s="324"/>
      <c r="AH943" s="155"/>
      <c r="AI943" s="155"/>
      <c r="AJ943" s="322"/>
      <c r="AK943" s="132"/>
      <c r="AL943" s="132"/>
    </row>
    <row r="944">
      <c r="A944" s="314"/>
      <c r="B944" s="313"/>
      <c r="C944" s="312"/>
      <c r="D944" s="313"/>
      <c r="E944" s="314"/>
      <c r="F944" s="318"/>
      <c r="G944" s="315"/>
      <c r="H944" s="314"/>
      <c r="I944" s="314"/>
      <c r="J944" s="314"/>
      <c r="K944" s="315"/>
      <c r="L944" s="736"/>
      <c r="M944" s="318"/>
      <c r="N944" s="315"/>
      <c r="O944" s="314"/>
      <c r="P944" s="314"/>
      <c r="Q944" s="314"/>
      <c r="R944" s="314"/>
      <c r="S944" s="848"/>
      <c r="T944" s="318"/>
      <c r="U944" s="315"/>
      <c r="V944" s="314"/>
      <c r="W944" s="314"/>
      <c r="X944" s="314"/>
      <c r="Y944" s="314"/>
      <c r="Z944" s="314"/>
      <c r="AA944" s="318"/>
      <c r="AB944" s="315"/>
      <c r="AC944" s="314"/>
      <c r="AD944" s="314"/>
      <c r="AE944" s="314"/>
      <c r="AF944" s="314"/>
      <c r="AG944" s="324"/>
      <c r="AH944" s="155"/>
      <c r="AI944" s="155"/>
      <c r="AJ944" s="322"/>
      <c r="AK944" s="132"/>
      <c r="AL944" s="132"/>
    </row>
    <row r="945">
      <c r="A945" s="314"/>
      <c r="B945" s="313"/>
      <c r="C945" s="312"/>
      <c r="D945" s="313"/>
      <c r="E945" s="314"/>
      <c r="F945" s="318"/>
      <c r="G945" s="315"/>
      <c r="H945" s="314"/>
      <c r="I945" s="314"/>
      <c r="J945" s="314"/>
      <c r="K945" s="315"/>
      <c r="L945" s="736"/>
      <c r="M945" s="318"/>
      <c r="N945" s="315"/>
      <c r="O945" s="314"/>
      <c r="P945" s="314"/>
      <c r="Q945" s="314"/>
      <c r="R945" s="314"/>
      <c r="S945" s="848"/>
      <c r="T945" s="318"/>
      <c r="U945" s="315"/>
      <c r="V945" s="314"/>
      <c r="W945" s="314"/>
      <c r="X945" s="314"/>
      <c r="Y945" s="314"/>
      <c r="Z945" s="314"/>
      <c r="AA945" s="318"/>
      <c r="AB945" s="315"/>
      <c r="AC945" s="314"/>
      <c r="AD945" s="314"/>
      <c r="AE945" s="314"/>
      <c r="AF945" s="314"/>
      <c r="AG945" s="324"/>
      <c r="AH945" s="155"/>
      <c r="AI945" s="155"/>
      <c r="AJ945" s="322"/>
      <c r="AK945" s="132"/>
      <c r="AL945" s="132"/>
    </row>
    <row r="946">
      <c r="A946" s="314"/>
      <c r="B946" s="313"/>
      <c r="C946" s="312"/>
      <c r="D946" s="313"/>
      <c r="E946" s="314"/>
      <c r="F946" s="318"/>
      <c r="G946" s="315"/>
      <c r="H946" s="314"/>
      <c r="I946" s="314"/>
      <c r="J946" s="314"/>
      <c r="K946" s="315"/>
      <c r="L946" s="736"/>
      <c r="M946" s="318"/>
      <c r="N946" s="315"/>
      <c r="O946" s="314"/>
      <c r="P946" s="314"/>
      <c r="Q946" s="314"/>
      <c r="R946" s="314"/>
      <c r="S946" s="848"/>
      <c r="T946" s="318"/>
      <c r="U946" s="315"/>
      <c r="V946" s="314"/>
      <c r="W946" s="314"/>
      <c r="X946" s="314"/>
      <c r="Y946" s="314"/>
      <c r="Z946" s="314"/>
      <c r="AA946" s="318"/>
      <c r="AB946" s="315"/>
      <c r="AC946" s="314"/>
      <c r="AD946" s="314"/>
      <c r="AE946" s="314"/>
      <c r="AF946" s="314"/>
      <c r="AG946" s="324"/>
      <c r="AH946" s="155"/>
      <c r="AI946" s="155"/>
      <c r="AJ946" s="322"/>
      <c r="AK946" s="132"/>
      <c r="AL946" s="132"/>
    </row>
    <row r="947">
      <c r="A947" s="314"/>
      <c r="B947" s="313"/>
      <c r="C947" s="312"/>
      <c r="D947" s="313"/>
      <c r="E947" s="314"/>
      <c r="F947" s="318"/>
      <c r="G947" s="315"/>
      <c r="H947" s="314"/>
      <c r="I947" s="314"/>
      <c r="J947" s="314"/>
      <c r="K947" s="315"/>
      <c r="L947" s="736"/>
      <c r="M947" s="318"/>
      <c r="N947" s="315"/>
      <c r="O947" s="314"/>
      <c r="P947" s="314"/>
      <c r="Q947" s="314"/>
      <c r="R947" s="314"/>
      <c r="S947" s="848"/>
      <c r="T947" s="318"/>
      <c r="U947" s="315"/>
      <c r="V947" s="314"/>
      <c r="W947" s="314"/>
      <c r="X947" s="314"/>
      <c r="Y947" s="314"/>
      <c r="Z947" s="314"/>
      <c r="AA947" s="318"/>
      <c r="AB947" s="315"/>
      <c r="AC947" s="314"/>
      <c r="AD947" s="314"/>
      <c r="AE947" s="314"/>
      <c r="AF947" s="314"/>
      <c r="AG947" s="324"/>
      <c r="AH947" s="155"/>
      <c r="AI947" s="155"/>
      <c r="AJ947" s="322"/>
      <c r="AK947" s="132"/>
      <c r="AL947" s="132"/>
    </row>
    <row r="948">
      <c r="A948" s="314"/>
      <c r="B948" s="313"/>
      <c r="C948" s="312"/>
      <c r="D948" s="313"/>
      <c r="E948" s="314"/>
      <c r="F948" s="318"/>
      <c r="G948" s="315"/>
      <c r="H948" s="314"/>
      <c r="I948" s="314"/>
      <c r="J948" s="314"/>
      <c r="K948" s="315"/>
      <c r="L948" s="736"/>
      <c r="M948" s="318"/>
      <c r="N948" s="315"/>
      <c r="O948" s="314"/>
      <c r="P948" s="314"/>
      <c r="Q948" s="314"/>
      <c r="R948" s="314"/>
      <c r="S948" s="848"/>
      <c r="T948" s="318"/>
      <c r="U948" s="315"/>
      <c r="V948" s="314"/>
      <c r="W948" s="314"/>
      <c r="X948" s="314"/>
      <c r="Y948" s="314"/>
      <c r="Z948" s="314"/>
      <c r="AA948" s="318"/>
      <c r="AB948" s="315"/>
      <c r="AC948" s="314"/>
      <c r="AD948" s="314"/>
      <c r="AE948" s="314"/>
      <c r="AF948" s="314"/>
      <c r="AG948" s="324"/>
      <c r="AH948" s="155"/>
      <c r="AI948" s="155"/>
      <c r="AJ948" s="322"/>
      <c r="AK948" s="132"/>
      <c r="AL948" s="132"/>
    </row>
    <row r="949">
      <c r="A949" s="314"/>
      <c r="B949" s="313"/>
      <c r="C949" s="312"/>
      <c r="D949" s="313"/>
      <c r="E949" s="314"/>
      <c r="F949" s="318"/>
      <c r="G949" s="315"/>
      <c r="H949" s="314"/>
      <c r="I949" s="314"/>
      <c r="J949" s="314"/>
      <c r="K949" s="315"/>
      <c r="L949" s="736"/>
      <c r="M949" s="318"/>
      <c r="N949" s="315"/>
      <c r="O949" s="314"/>
      <c r="P949" s="314"/>
      <c r="Q949" s="314"/>
      <c r="R949" s="314"/>
      <c r="S949" s="848"/>
      <c r="T949" s="318"/>
      <c r="U949" s="315"/>
      <c r="V949" s="314"/>
      <c r="W949" s="314"/>
      <c r="X949" s="314"/>
      <c r="Y949" s="314"/>
      <c r="Z949" s="314"/>
      <c r="AA949" s="318"/>
      <c r="AB949" s="315"/>
      <c r="AC949" s="314"/>
      <c r="AD949" s="314"/>
      <c r="AE949" s="314"/>
      <c r="AF949" s="314"/>
      <c r="AG949" s="324"/>
      <c r="AH949" s="155"/>
      <c r="AI949" s="155"/>
      <c r="AJ949" s="322"/>
      <c r="AK949" s="132"/>
      <c r="AL949" s="132"/>
    </row>
    <row r="950">
      <c r="A950" s="314"/>
      <c r="B950" s="313"/>
      <c r="C950" s="312"/>
      <c r="D950" s="313"/>
      <c r="E950" s="314"/>
      <c r="F950" s="318"/>
      <c r="G950" s="315"/>
      <c r="H950" s="314"/>
      <c r="I950" s="314"/>
      <c r="J950" s="314"/>
      <c r="K950" s="315"/>
      <c r="L950" s="736"/>
      <c r="M950" s="318"/>
      <c r="N950" s="315"/>
      <c r="O950" s="314"/>
      <c r="P950" s="314"/>
      <c r="Q950" s="314"/>
      <c r="R950" s="314"/>
      <c r="S950" s="848"/>
      <c r="T950" s="318"/>
      <c r="U950" s="315"/>
      <c r="V950" s="314"/>
      <c r="W950" s="314"/>
      <c r="X950" s="314"/>
      <c r="Y950" s="314"/>
      <c r="Z950" s="314"/>
      <c r="AA950" s="318"/>
      <c r="AB950" s="315"/>
      <c r="AC950" s="314"/>
      <c r="AD950" s="314"/>
      <c r="AE950" s="314"/>
      <c r="AF950" s="314"/>
      <c r="AG950" s="324"/>
      <c r="AH950" s="155"/>
      <c r="AI950" s="155"/>
      <c r="AJ950" s="322"/>
      <c r="AK950" s="132"/>
      <c r="AL950" s="132"/>
    </row>
    <row r="951">
      <c r="A951" s="435"/>
      <c r="B951" s="313"/>
      <c r="C951" s="745"/>
      <c r="D951" s="313"/>
      <c r="E951" s="435"/>
      <c r="F951" s="318"/>
      <c r="G951" s="315"/>
      <c r="H951" s="435"/>
      <c r="I951" s="435"/>
      <c r="J951" s="314"/>
      <c r="K951" s="744"/>
      <c r="L951" s="839"/>
      <c r="M951" s="318"/>
      <c r="N951" s="315"/>
      <c r="O951" s="314"/>
      <c r="P951" s="435"/>
      <c r="Q951" s="435"/>
      <c r="R951" s="435"/>
      <c r="S951" s="849"/>
      <c r="T951" s="740"/>
      <c r="U951" s="744"/>
      <c r="V951" s="435"/>
      <c r="W951" s="435"/>
      <c r="X951" s="435"/>
      <c r="Y951" s="435"/>
      <c r="Z951" s="435"/>
      <c r="AA951" s="740"/>
      <c r="AB951" s="744"/>
      <c r="AC951" s="435"/>
      <c r="AD951" s="435"/>
      <c r="AE951" s="435"/>
      <c r="AF951" s="435"/>
      <c r="AG951" s="324"/>
      <c r="AH951" s="180"/>
      <c r="AI951" s="155"/>
      <c r="AJ951" s="322"/>
      <c r="AK951" s="132"/>
      <c r="AL951" s="132"/>
    </row>
    <row r="952">
      <c r="A952" s="435"/>
      <c r="B952" s="313"/>
      <c r="C952" s="312"/>
      <c r="D952" s="437"/>
      <c r="E952" s="314"/>
      <c r="F952" s="318"/>
      <c r="G952" s="315"/>
      <c r="H952" s="314"/>
      <c r="I952" s="314"/>
      <c r="J952" s="314"/>
      <c r="K952" s="315"/>
      <c r="L952" s="736"/>
      <c r="M952" s="740"/>
      <c r="N952" s="744"/>
      <c r="O952" s="314"/>
      <c r="P952" s="314"/>
      <c r="Q952" s="314"/>
      <c r="R952" s="314"/>
      <c r="S952" s="848"/>
      <c r="T952" s="318"/>
      <c r="U952" s="315"/>
      <c r="V952" s="314"/>
      <c r="W952" s="314"/>
      <c r="X952" s="314"/>
      <c r="Y952" s="314"/>
      <c r="Z952" s="314"/>
      <c r="AA952" s="318"/>
      <c r="AB952" s="315"/>
      <c r="AC952" s="314"/>
      <c r="AD952" s="314"/>
      <c r="AE952" s="314"/>
      <c r="AF952" s="314"/>
      <c r="AG952" s="324"/>
      <c r="AH952" s="180"/>
      <c r="AI952" s="155"/>
      <c r="AJ952" s="322"/>
      <c r="AK952" s="132"/>
      <c r="AL952" s="132"/>
    </row>
    <row r="953">
      <c r="A953" s="435"/>
      <c r="B953" s="437"/>
      <c r="C953" s="745"/>
      <c r="D953" s="437"/>
      <c r="E953" s="435"/>
      <c r="F953" s="318"/>
      <c r="G953" s="315"/>
      <c r="H953" s="314"/>
      <c r="I953" s="435"/>
      <c r="J953" s="435"/>
      <c r="K953" s="744"/>
      <c r="L953" s="839"/>
      <c r="M953" s="740"/>
      <c r="N953" s="744"/>
      <c r="O953" s="314"/>
      <c r="P953" s="435"/>
      <c r="Q953" s="314"/>
      <c r="R953" s="435"/>
      <c r="S953" s="849"/>
      <c r="T953" s="740"/>
      <c r="U953" s="744"/>
      <c r="V953" s="435"/>
      <c r="W953" s="435"/>
      <c r="X953" s="435"/>
      <c r="Y953" s="435"/>
      <c r="Z953" s="435"/>
      <c r="AA953" s="740"/>
      <c r="AB953" s="744"/>
      <c r="AC953" s="435"/>
      <c r="AD953" s="435"/>
      <c r="AE953" s="435"/>
      <c r="AF953" s="435"/>
      <c r="AG953" s="324"/>
      <c r="AH953" s="180"/>
      <c r="AI953" s="155"/>
      <c r="AJ953" s="322"/>
      <c r="AK953" s="132"/>
      <c r="AL953" s="132"/>
    </row>
    <row r="954">
      <c r="A954" s="435"/>
      <c r="B954" s="313"/>
      <c r="C954" s="312"/>
      <c r="D954" s="437"/>
      <c r="E954" s="314"/>
      <c r="F954" s="318"/>
      <c r="G954" s="315"/>
      <c r="H954" s="314"/>
      <c r="I954" s="435"/>
      <c r="J954" s="314"/>
      <c r="K954" s="744"/>
      <c r="L954" s="736"/>
      <c r="M954" s="318"/>
      <c r="N954" s="315"/>
      <c r="O954" s="314"/>
      <c r="P954" s="314"/>
      <c r="Q954" s="435"/>
      <c r="R954" s="435"/>
      <c r="S954" s="848"/>
      <c r="T954" s="318"/>
      <c r="U954" s="315"/>
      <c r="V954" s="314"/>
      <c r="W954" s="314"/>
      <c r="X954" s="314"/>
      <c r="Y954" s="314"/>
      <c r="Z954" s="314"/>
      <c r="AA954" s="318"/>
      <c r="AB954" s="315"/>
      <c r="AC954" s="314"/>
      <c r="AD954" s="314"/>
      <c r="AE954" s="314"/>
      <c r="AF954" s="314"/>
      <c r="AG954" s="324"/>
      <c r="AH954" s="180"/>
      <c r="AI954" s="155"/>
      <c r="AJ954" s="322"/>
      <c r="AK954" s="132"/>
      <c r="AL954" s="132"/>
    </row>
    <row r="955">
      <c r="A955" s="435"/>
      <c r="B955" s="437"/>
      <c r="C955" s="745"/>
      <c r="D955" s="437"/>
      <c r="E955" s="435"/>
      <c r="F955" s="318"/>
      <c r="G955" s="315"/>
      <c r="H955" s="435"/>
      <c r="I955" s="435"/>
      <c r="J955" s="435"/>
      <c r="K955" s="744"/>
      <c r="L955" s="839"/>
      <c r="M955" s="740"/>
      <c r="N955" s="744"/>
      <c r="O955" s="314"/>
      <c r="P955" s="435"/>
      <c r="Q955" s="435"/>
      <c r="R955" s="435"/>
      <c r="S955" s="849"/>
      <c r="T955" s="740"/>
      <c r="U955" s="744"/>
      <c r="V955" s="435"/>
      <c r="W955" s="435"/>
      <c r="X955" s="435"/>
      <c r="Y955" s="435"/>
      <c r="Z955" s="435"/>
      <c r="AA955" s="740"/>
      <c r="AB955" s="744"/>
      <c r="AC955" s="435"/>
      <c r="AD955" s="435"/>
      <c r="AE955" s="435"/>
      <c r="AF955" s="435"/>
      <c r="AG955" s="324"/>
      <c r="AH955" s="180"/>
      <c r="AI955" s="155"/>
      <c r="AJ955" s="322"/>
      <c r="AK955" s="132"/>
      <c r="AL955" s="132"/>
    </row>
    <row r="956">
      <c r="A956" s="435"/>
      <c r="B956" s="437"/>
      <c r="C956" s="312"/>
      <c r="D956" s="437"/>
      <c r="E956" s="314"/>
      <c r="F956" s="318"/>
      <c r="G956" s="315"/>
      <c r="H956" s="314"/>
      <c r="I956" s="314"/>
      <c r="J956" s="314"/>
      <c r="K956" s="744"/>
      <c r="L956" s="736"/>
      <c r="M956" s="318"/>
      <c r="N956" s="315"/>
      <c r="O956" s="314"/>
      <c r="P956" s="314"/>
      <c r="Q956" s="314"/>
      <c r="R956" s="314"/>
      <c r="S956" s="849"/>
      <c r="T956" s="740"/>
      <c r="U956" s="744"/>
      <c r="V956" s="435"/>
      <c r="W956" s="435"/>
      <c r="X956" s="435"/>
      <c r="Y956" s="435"/>
      <c r="Z956" s="435"/>
      <c r="AA956" s="740"/>
      <c r="AB956" s="744"/>
      <c r="AC956" s="435"/>
      <c r="AD956" s="435"/>
      <c r="AE956" s="435"/>
      <c r="AF956" s="435"/>
      <c r="AG956" s="324"/>
      <c r="AH956" s="180"/>
      <c r="AI956" s="155"/>
      <c r="AJ956" s="322"/>
      <c r="AK956" s="132"/>
      <c r="AL956" s="132"/>
    </row>
    <row r="957">
      <c r="A957" s="435"/>
      <c r="B957" s="437"/>
      <c r="C957" s="745"/>
      <c r="D957" s="437"/>
      <c r="E957" s="435"/>
      <c r="F957" s="318"/>
      <c r="G957" s="315"/>
      <c r="H957" s="435"/>
      <c r="I957" s="314"/>
      <c r="J957" s="314"/>
      <c r="K957" s="744"/>
      <c r="L957" s="736"/>
      <c r="M957" s="318"/>
      <c r="N957" s="315"/>
      <c r="O957" s="314"/>
      <c r="P957" s="435"/>
      <c r="Q957" s="435"/>
      <c r="R957" s="435"/>
      <c r="S957" s="849"/>
      <c r="T957" s="740"/>
      <c r="U957" s="744"/>
      <c r="V957" s="435"/>
      <c r="W957" s="435"/>
      <c r="X957" s="435"/>
      <c r="Y957" s="435"/>
      <c r="Z957" s="435"/>
      <c r="AA957" s="740"/>
      <c r="AB957" s="744"/>
      <c r="AC957" s="435"/>
      <c r="AD957" s="435"/>
      <c r="AE957" s="435"/>
      <c r="AF957" s="435"/>
      <c r="AG957" s="324"/>
      <c r="AH957" s="180"/>
      <c r="AI957" s="155"/>
      <c r="AJ957" s="322"/>
      <c r="AK957" s="132"/>
      <c r="AL957" s="132"/>
    </row>
    <row r="958">
      <c r="A958" s="435"/>
      <c r="B958" s="437"/>
      <c r="C958" s="745"/>
      <c r="D958" s="437"/>
      <c r="E958" s="435"/>
      <c r="F958" s="318"/>
      <c r="G958" s="315"/>
      <c r="H958" s="435"/>
      <c r="I958" s="435"/>
      <c r="J958" s="435"/>
      <c r="K958" s="744"/>
      <c r="L958" s="839"/>
      <c r="M958" s="740"/>
      <c r="N958" s="744"/>
      <c r="O958" s="314"/>
      <c r="P958" s="435"/>
      <c r="Q958" s="435"/>
      <c r="R958" s="435"/>
      <c r="S958" s="849"/>
      <c r="T958" s="740"/>
      <c r="U958" s="744"/>
      <c r="V958" s="435"/>
      <c r="W958" s="435"/>
      <c r="X958" s="435"/>
      <c r="Y958" s="435"/>
      <c r="Z958" s="435"/>
      <c r="AA958" s="740"/>
      <c r="AB958" s="744"/>
      <c r="AC958" s="435"/>
      <c r="AD958" s="435"/>
      <c r="AE958" s="435"/>
      <c r="AF958" s="435"/>
      <c r="AG958" s="324"/>
      <c r="AH958" s="180"/>
      <c r="AI958" s="155"/>
      <c r="AJ958" s="322"/>
      <c r="AK958" s="132"/>
      <c r="AL958" s="132"/>
    </row>
    <row r="959">
      <c r="A959" s="435"/>
      <c r="B959" s="313"/>
      <c r="C959" s="312"/>
      <c r="D959" s="313"/>
      <c r="E959" s="435"/>
      <c r="F959" s="318"/>
      <c r="G959" s="315"/>
      <c r="H959" s="435"/>
      <c r="I959" s="314"/>
      <c r="J959" s="314"/>
      <c r="K959" s="315"/>
      <c r="L959" s="736"/>
      <c r="M959" s="318"/>
      <c r="N959" s="315"/>
      <c r="O959" s="314"/>
      <c r="P959" s="314"/>
      <c r="Q959" s="314"/>
      <c r="R959" s="314"/>
      <c r="S959" s="848"/>
      <c r="T959" s="318"/>
      <c r="U959" s="315"/>
      <c r="V959" s="314"/>
      <c r="W959" s="314"/>
      <c r="X959" s="314"/>
      <c r="Y959" s="314"/>
      <c r="Z959" s="314"/>
      <c r="AA959" s="318"/>
      <c r="AB959" s="315"/>
      <c r="AC959" s="314"/>
      <c r="AD959" s="314"/>
      <c r="AE959" s="314"/>
      <c r="AF959" s="314"/>
      <c r="AG959" s="324"/>
      <c r="AH959" s="180"/>
      <c r="AI959" s="155"/>
      <c r="AJ959" s="322"/>
      <c r="AK959" s="132"/>
      <c r="AL959" s="132"/>
    </row>
    <row r="960">
      <c r="A960" s="435"/>
      <c r="B960" s="313"/>
      <c r="C960" s="312"/>
      <c r="D960" s="437"/>
      <c r="E960" s="314"/>
      <c r="F960" s="318"/>
      <c r="G960" s="315"/>
      <c r="H960" s="435"/>
      <c r="I960" s="314"/>
      <c r="J960" s="435"/>
      <c r="K960" s="744"/>
      <c r="L960" s="736"/>
      <c r="M960" s="740"/>
      <c r="N960" s="315"/>
      <c r="O960" s="314"/>
      <c r="P960" s="314"/>
      <c r="Q960" s="314"/>
      <c r="R960" s="435"/>
      <c r="S960" s="849"/>
      <c r="T960" s="740"/>
      <c r="U960" s="744"/>
      <c r="V960" s="435"/>
      <c r="W960" s="435"/>
      <c r="X960" s="435"/>
      <c r="Y960" s="435"/>
      <c r="Z960" s="435"/>
      <c r="AA960" s="740"/>
      <c r="AB960" s="744"/>
      <c r="AC960" s="435"/>
      <c r="AD960" s="435"/>
      <c r="AE960" s="435"/>
      <c r="AF960" s="435"/>
      <c r="AG960" s="324"/>
      <c r="AH960" s="180"/>
      <c r="AI960" s="155"/>
      <c r="AJ960" s="322"/>
      <c r="AK960" s="132"/>
      <c r="AL960" s="132"/>
    </row>
    <row r="961">
      <c r="A961" s="435"/>
      <c r="B961" s="313"/>
      <c r="C961" s="312"/>
      <c r="D961" s="313"/>
      <c r="E961" s="314"/>
      <c r="F961" s="318"/>
      <c r="G961" s="315"/>
      <c r="H961" s="314"/>
      <c r="I961" s="314"/>
      <c r="J961" s="314"/>
      <c r="K961" s="315"/>
      <c r="L961" s="736"/>
      <c r="M961" s="318"/>
      <c r="N961" s="315"/>
      <c r="O961" s="314"/>
      <c r="P961" s="314"/>
      <c r="Q961" s="435"/>
      <c r="R961" s="314"/>
      <c r="S961" s="849"/>
      <c r="T961" s="740"/>
      <c r="U961" s="744"/>
      <c r="V961" s="435"/>
      <c r="W961" s="435"/>
      <c r="X961" s="435"/>
      <c r="Y961" s="435"/>
      <c r="Z961" s="435"/>
      <c r="AA961" s="740"/>
      <c r="AB961" s="744"/>
      <c r="AC961" s="435"/>
      <c r="AD961" s="435"/>
      <c r="AE961" s="435"/>
      <c r="AF961" s="435"/>
      <c r="AG961" s="324"/>
      <c r="AH961" s="180"/>
      <c r="AI961" s="155"/>
      <c r="AJ961" s="322"/>
      <c r="AK961" s="132"/>
      <c r="AL961" s="132"/>
    </row>
    <row r="962">
      <c r="A962" s="435"/>
      <c r="B962" s="437"/>
      <c r="C962" s="312"/>
      <c r="D962" s="313"/>
      <c r="E962" s="314"/>
      <c r="F962" s="318"/>
      <c r="G962" s="315"/>
      <c r="H962" s="435"/>
      <c r="I962" s="314"/>
      <c r="J962" s="435"/>
      <c r="K962" s="744"/>
      <c r="L962" s="736"/>
      <c r="M962" s="318"/>
      <c r="N962" s="744"/>
      <c r="O962" s="314"/>
      <c r="P962" s="314"/>
      <c r="Q962" s="314"/>
      <c r="R962" s="435"/>
      <c r="S962" s="849"/>
      <c r="T962" s="740"/>
      <c r="U962" s="744"/>
      <c r="V962" s="435"/>
      <c r="W962" s="435"/>
      <c r="X962" s="435"/>
      <c r="Y962" s="435"/>
      <c r="Z962" s="435"/>
      <c r="AA962" s="740"/>
      <c r="AB962" s="744"/>
      <c r="AC962" s="435"/>
      <c r="AD962" s="435"/>
      <c r="AE962" s="435"/>
      <c r="AF962" s="435"/>
      <c r="AG962" s="324"/>
      <c r="AH962" s="180"/>
      <c r="AI962" s="155"/>
      <c r="AJ962" s="322"/>
      <c r="AK962" s="132"/>
      <c r="AL962" s="132"/>
    </row>
    <row r="963">
      <c r="A963" s="435"/>
      <c r="B963" s="313"/>
      <c r="C963" s="745"/>
      <c r="D963" s="437"/>
      <c r="E963" s="435"/>
      <c r="F963" s="318"/>
      <c r="G963" s="315"/>
      <c r="H963" s="435"/>
      <c r="I963" s="314"/>
      <c r="J963" s="314"/>
      <c r="K963" s="744"/>
      <c r="L963" s="736"/>
      <c r="M963" s="318"/>
      <c r="N963" s="315"/>
      <c r="O963" s="314"/>
      <c r="P963" s="314"/>
      <c r="Q963" s="314"/>
      <c r="R963" s="314"/>
      <c r="S963" s="849"/>
      <c r="T963" s="740"/>
      <c r="U963" s="744"/>
      <c r="V963" s="435"/>
      <c r="W963" s="435"/>
      <c r="X963" s="435"/>
      <c r="Y963" s="435"/>
      <c r="Z963" s="435"/>
      <c r="AA963" s="740"/>
      <c r="AB963" s="744"/>
      <c r="AC963" s="435"/>
      <c r="AD963" s="435"/>
      <c r="AE963" s="435"/>
      <c r="AF963" s="435"/>
      <c r="AG963" s="324"/>
      <c r="AH963" s="180"/>
      <c r="AI963" s="155"/>
      <c r="AJ963" s="322"/>
      <c r="AK963" s="132"/>
      <c r="AL963" s="132"/>
    </row>
    <row r="964">
      <c r="A964" s="435"/>
      <c r="B964" s="313"/>
      <c r="C964" s="312"/>
      <c r="D964" s="313"/>
      <c r="E964" s="314"/>
      <c r="F964" s="318"/>
      <c r="G964" s="315"/>
      <c r="H964" s="435"/>
      <c r="I964" s="314"/>
      <c r="J964" s="314"/>
      <c r="K964" s="315"/>
      <c r="L964" s="736"/>
      <c r="M964" s="318"/>
      <c r="N964" s="315"/>
      <c r="O964" s="314"/>
      <c r="P964" s="314"/>
      <c r="Q964" s="314"/>
      <c r="R964" s="435"/>
      <c r="S964" s="848"/>
      <c r="T964" s="318"/>
      <c r="U964" s="315"/>
      <c r="V964" s="314"/>
      <c r="W964" s="314"/>
      <c r="X964" s="314"/>
      <c r="Y964" s="314"/>
      <c r="Z964" s="314"/>
      <c r="AA964" s="318"/>
      <c r="AB964" s="315"/>
      <c r="AC964" s="314"/>
      <c r="AD964" s="314"/>
      <c r="AE964" s="314"/>
      <c r="AF964" s="314"/>
      <c r="AG964" s="324"/>
      <c r="AH964" s="180"/>
      <c r="AI964" s="155"/>
      <c r="AJ964" s="322"/>
      <c r="AK964" s="132"/>
      <c r="AL964" s="132"/>
    </row>
    <row r="965">
      <c r="A965" s="435"/>
      <c r="B965" s="437"/>
      <c r="C965" s="745"/>
      <c r="D965" s="437"/>
      <c r="E965" s="435"/>
      <c r="F965" s="318"/>
      <c r="G965" s="315"/>
      <c r="H965" s="435"/>
      <c r="I965" s="435"/>
      <c r="J965" s="435"/>
      <c r="K965" s="744"/>
      <c r="L965" s="839"/>
      <c r="M965" s="740"/>
      <c r="N965" s="744"/>
      <c r="O965" s="314"/>
      <c r="P965" s="435"/>
      <c r="Q965" s="435"/>
      <c r="R965" s="435"/>
      <c r="S965" s="849"/>
      <c r="T965" s="740"/>
      <c r="U965" s="744"/>
      <c r="V965" s="435"/>
      <c r="W965" s="435"/>
      <c r="X965" s="435"/>
      <c r="Y965" s="435"/>
      <c r="Z965" s="435"/>
      <c r="AA965" s="740"/>
      <c r="AB965" s="744"/>
      <c r="AC965" s="435"/>
      <c r="AD965" s="435"/>
      <c r="AE965" s="435"/>
      <c r="AF965" s="435"/>
      <c r="AG965" s="324"/>
      <c r="AH965" s="180"/>
      <c r="AI965" s="155"/>
      <c r="AJ965" s="322"/>
      <c r="AK965" s="132"/>
      <c r="AL965" s="132"/>
    </row>
    <row r="966">
      <c r="A966" s="435"/>
      <c r="B966" s="313"/>
      <c r="C966" s="312"/>
      <c r="D966" s="313"/>
      <c r="E966" s="314"/>
      <c r="F966" s="318"/>
      <c r="G966" s="315"/>
      <c r="H966" s="314"/>
      <c r="I966" s="314"/>
      <c r="J966" s="314"/>
      <c r="K966" s="315"/>
      <c r="L966" s="736"/>
      <c r="M966" s="740"/>
      <c r="N966" s="315"/>
      <c r="O966" s="314"/>
      <c r="P966" s="314"/>
      <c r="Q966" s="314"/>
      <c r="R966" s="314"/>
      <c r="S966" s="848"/>
      <c r="T966" s="318"/>
      <c r="U966" s="315"/>
      <c r="V966" s="314"/>
      <c r="W966" s="314"/>
      <c r="X966" s="314"/>
      <c r="Y966" s="314"/>
      <c r="Z966" s="314"/>
      <c r="AA966" s="318"/>
      <c r="AB966" s="315"/>
      <c r="AC966" s="314"/>
      <c r="AD966" s="314"/>
      <c r="AE966" s="314"/>
      <c r="AF966" s="314"/>
      <c r="AG966" s="324"/>
      <c r="AH966" s="180"/>
      <c r="AI966" s="155"/>
      <c r="AJ966" s="322"/>
      <c r="AK966" s="132"/>
      <c r="AL966" s="132"/>
    </row>
    <row r="967">
      <c r="A967" s="435"/>
      <c r="B967" s="313"/>
      <c r="C967" s="745"/>
      <c r="D967" s="437"/>
      <c r="E967" s="435"/>
      <c r="F967" s="318"/>
      <c r="G967" s="315"/>
      <c r="H967" s="435"/>
      <c r="I967" s="435"/>
      <c r="J967" s="435"/>
      <c r="K967" s="744"/>
      <c r="L967" s="736"/>
      <c r="M967" s="740"/>
      <c r="N967" s="744"/>
      <c r="O967" s="314"/>
      <c r="P967" s="435"/>
      <c r="Q967" s="435"/>
      <c r="R967" s="435"/>
      <c r="S967" s="849"/>
      <c r="T967" s="740"/>
      <c r="U967" s="744"/>
      <c r="V967" s="435"/>
      <c r="W967" s="435"/>
      <c r="X967" s="435"/>
      <c r="Y967" s="435"/>
      <c r="Z967" s="435"/>
      <c r="AA967" s="740"/>
      <c r="AB967" s="744"/>
      <c r="AC967" s="435"/>
      <c r="AD967" s="435"/>
      <c r="AE967" s="435"/>
      <c r="AF967" s="435"/>
      <c r="AG967" s="324"/>
      <c r="AH967" s="180"/>
      <c r="AI967" s="155"/>
      <c r="AJ967" s="322"/>
      <c r="AK967" s="132"/>
      <c r="AL967" s="132"/>
    </row>
    <row r="968">
      <c r="A968" s="435"/>
      <c r="B968" s="437"/>
      <c r="C968" s="745"/>
      <c r="D968" s="313"/>
      <c r="E968" s="435"/>
      <c r="F968" s="318"/>
      <c r="G968" s="315"/>
      <c r="H968" s="435"/>
      <c r="I968" s="435"/>
      <c r="J968" s="314"/>
      <c r="K968" s="744"/>
      <c r="L968" s="839"/>
      <c r="M968" s="318"/>
      <c r="N968" s="744"/>
      <c r="O968" s="314"/>
      <c r="P968" s="435"/>
      <c r="Q968" s="314"/>
      <c r="R968" s="435"/>
      <c r="S968" s="849"/>
      <c r="T968" s="740"/>
      <c r="U968" s="744"/>
      <c r="V968" s="435"/>
      <c r="W968" s="435"/>
      <c r="X968" s="435"/>
      <c r="Y968" s="435"/>
      <c r="Z968" s="435"/>
      <c r="AA968" s="740"/>
      <c r="AB968" s="744"/>
      <c r="AC968" s="435"/>
      <c r="AD968" s="435"/>
      <c r="AE968" s="435"/>
      <c r="AF968" s="435"/>
      <c r="AG968" s="324"/>
      <c r="AH968" s="180"/>
      <c r="AI968" s="155"/>
      <c r="AJ968" s="322"/>
      <c r="AK968" s="132"/>
      <c r="AL968" s="132"/>
    </row>
    <row r="969">
      <c r="A969" s="458"/>
      <c r="B969" s="437"/>
      <c r="C969" s="745"/>
      <c r="D969" s="437"/>
      <c r="E969" s="435"/>
      <c r="F969" s="318"/>
      <c r="G969" s="315"/>
      <c r="H969" s="314"/>
      <c r="I969" s="435"/>
      <c r="J969" s="435"/>
      <c r="K969" s="744"/>
      <c r="L969" s="839"/>
      <c r="M969" s="740"/>
      <c r="N969" s="744"/>
      <c r="O969" s="314"/>
      <c r="P969" s="435"/>
      <c r="Q969" s="435"/>
      <c r="R969" s="435"/>
      <c r="S969" s="849"/>
      <c r="T969" s="740"/>
      <c r="U969" s="744"/>
      <c r="V969" s="435"/>
      <c r="W969" s="435"/>
      <c r="X969" s="435"/>
      <c r="Y969" s="435"/>
      <c r="Z969" s="435"/>
      <c r="AA969" s="740"/>
      <c r="AB969" s="744"/>
      <c r="AC969" s="435"/>
      <c r="AD969" s="435"/>
      <c r="AE969" s="435"/>
      <c r="AF969" s="435"/>
      <c r="AG969" s="324"/>
      <c r="AH969" s="180"/>
      <c r="AI969" s="155"/>
      <c r="AJ969" s="322"/>
      <c r="AK969" s="132"/>
      <c r="AL969" s="132"/>
    </row>
    <row r="970">
      <c r="A970" s="458"/>
      <c r="B970" s="437"/>
      <c r="C970" s="745"/>
      <c r="D970" s="437"/>
      <c r="E970" s="435"/>
      <c r="F970" s="318"/>
      <c r="G970" s="315"/>
      <c r="H970" s="314"/>
      <c r="I970" s="314"/>
      <c r="J970" s="435"/>
      <c r="K970" s="744"/>
      <c r="L970" s="839"/>
      <c r="M970" s="740"/>
      <c r="N970" s="744"/>
      <c r="O970" s="314"/>
      <c r="P970" s="435"/>
      <c r="Q970" s="435"/>
      <c r="R970" s="435"/>
      <c r="S970" s="849"/>
      <c r="T970" s="740"/>
      <c r="U970" s="744"/>
      <c r="V970" s="435"/>
      <c r="W970" s="435"/>
      <c r="X970" s="435"/>
      <c r="Y970" s="435"/>
      <c r="Z970" s="435"/>
      <c r="AA970" s="740"/>
      <c r="AB970" s="744"/>
      <c r="AC970" s="435"/>
      <c r="AD970" s="435"/>
      <c r="AE970" s="435"/>
      <c r="AF970" s="435"/>
      <c r="AG970" s="324"/>
      <c r="AH970" s="180"/>
      <c r="AI970" s="155"/>
      <c r="AJ970" s="322"/>
      <c r="AK970" s="132"/>
      <c r="AL970" s="132"/>
    </row>
    <row r="971">
      <c r="A971" s="458"/>
      <c r="B971" s="437"/>
      <c r="C971" s="745"/>
      <c r="D971" s="437"/>
      <c r="E971" s="314"/>
      <c r="F971" s="318"/>
      <c r="G971" s="315"/>
      <c r="H971" s="314"/>
      <c r="I971" s="435"/>
      <c r="J971" s="435"/>
      <c r="K971" s="744"/>
      <c r="L971" s="839"/>
      <c r="M971" s="740"/>
      <c r="N971" s="744"/>
      <c r="O971" s="314"/>
      <c r="P971" s="435"/>
      <c r="Q971" s="314"/>
      <c r="R971" s="435"/>
      <c r="S971" s="849"/>
      <c r="T971" s="740"/>
      <c r="U971" s="744"/>
      <c r="V971" s="435"/>
      <c r="W971" s="435"/>
      <c r="X971" s="435"/>
      <c r="Y971" s="435"/>
      <c r="Z971" s="435"/>
      <c r="AA971" s="740"/>
      <c r="AB971" s="744"/>
      <c r="AC971" s="435"/>
      <c r="AD971" s="435"/>
      <c r="AE971" s="435"/>
      <c r="AF971" s="435"/>
      <c r="AG971" s="324"/>
      <c r="AH971" s="180"/>
      <c r="AI971" s="155"/>
      <c r="AJ971" s="322"/>
      <c r="AK971" s="132"/>
      <c r="AL971" s="132"/>
    </row>
    <row r="972">
      <c r="A972" s="458"/>
      <c r="B972" s="313"/>
      <c r="C972" s="312"/>
      <c r="D972" s="313"/>
      <c r="E972" s="314"/>
      <c r="F972" s="318"/>
      <c r="G972" s="315"/>
      <c r="H972" s="314"/>
      <c r="I972" s="314"/>
      <c r="J972" s="314"/>
      <c r="K972" s="315"/>
      <c r="L972" s="736"/>
      <c r="M972" s="318"/>
      <c r="N972" s="315"/>
      <c r="O972" s="314"/>
      <c r="P972" s="314"/>
      <c r="Q972" s="314"/>
      <c r="R972" s="314"/>
      <c r="S972" s="848"/>
      <c r="T972" s="318"/>
      <c r="U972" s="315"/>
      <c r="V972" s="314"/>
      <c r="W972" s="314"/>
      <c r="X972" s="314"/>
      <c r="Y972" s="314"/>
      <c r="Z972" s="314"/>
      <c r="AA972" s="318"/>
      <c r="AB972" s="315"/>
      <c r="AC972" s="314"/>
      <c r="AD972" s="314"/>
      <c r="AE972" s="314"/>
      <c r="AF972" s="314"/>
      <c r="AG972" s="324"/>
      <c r="AH972" s="180"/>
      <c r="AI972" s="155"/>
      <c r="AJ972" s="322"/>
      <c r="AK972" s="132"/>
      <c r="AL972" s="132"/>
    </row>
    <row r="973">
      <c r="A973" s="458"/>
      <c r="B973" s="437"/>
      <c r="C973" s="745"/>
      <c r="D973" s="437"/>
      <c r="E973" s="314"/>
      <c r="F973" s="318"/>
      <c r="G973" s="315"/>
      <c r="H973" s="314"/>
      <c r="I973" s="314"/>
      <c r="J973" s="314"/>
      <c r="K973" s="744"/>
      <c r="L973" s="839"/>
      <c r="M973" s="740"/>
      <c r="N973" s="315"/>
      <c r="O973" s="314"/>
      <c r="P973" s="435"/>
      <c r="Q973" s="435"/>
      <c r="R973" s="435"/>
      <c r="S973" s="849"/>
      <c r="T973" s="740"/>
      <c r="U973" s="744"/>
      <c r="V973" s="435"/>
      <c r="W973" s="435"/>
      <c r="X973" s="435"/>
      <c r="Y973" s="435"/>
      <c r="Z973" s="435"/>
      <c r="AA973" s="740"/>
      <c r="AB973" s="744"/>
      <c r="AC973" s="435"/>
      <c r="AD973" s="435"/>
      <c r="AE973" s="435"/>
      <c r="AF973" s="435"/>
      <c r="AG973" s="324"/>
      <c r="AH973" s="180"/>
      <c r="AI973" s="155"/>
      <c r="AJ973" s="322"/>
      <c r="AK973" s="132"/>
      <c r="AL973" s="132"/>
    </row>
    <row r="974">
      <c r="A974" s="458"/>
      <c r="B974" s="313"/>
      <c r="C974" s="312"/>
      <c r="D974" s="437"/>
      <c r="E974" s="314"/>
      <c r="F974" s="318"/>
      <c r="G974" s="315"/>
      <c r="H974" s="314"/>
      <c r="I974" s="314"/>
      <c r="J974" s="314"/>
      <c r="K974" s="315"/>
      <c r="L974" s="736"/>
      <c r="M974" s="318"/>
      <c r="N974" s="315"/>
      <c r="O974" s="314"/>
      <c r="P974" s="314"/>
      <c r="Q974" s="314"/>
      <c r="R974" s="314"/>
      <c r="S974" s="848"/>
      <c r="T974" s="318"/>
      <c r="U974" s="315"/>
      <c r="V974" s="314"/>
      <c r="W974" s="314"/>
      <c r="X974" s="314"/>
      <c r="Y974" s="314"/>
      <c r="Z974" s="314"/>
      <c r="AA974" s="318"/>
      <c r="AB974" s="315"/>
      <c r="AC974" s="314"/>
      <c r="AD974" s="314"/>
      <c r="AE974" s="314"/>
      <c r="AF974" s="314"/>
      <c r="AG974" s="324"/>
      <c r="AH974" s="180"/>
      <c r="AI974" s="155"/>
      <c r="AJ974" s="322"/>
      <c r="AK974" s="132"/>
      <c r="AL974" s="132"/>
    </row>
    <row r="975">
      <c r="A975" s="458"/>
      <c r="B975" s="313"/>
      <c r="C975" s="745"/>
      <c r="D975" s="313"/>
      <c r="E975" s="314"/>
      <c r="F975" s="318"/>
      <c r="G975" s="315"/>
      <c r="H975" s="314"/>
      <c r="I975" s="435"/>
      <c r="J975" s="314"/>
      <c r="K975" s="315"/>
      <c r="L975" s="839"/>
      <c r="M975" s="318"/>
      <c r="N975" s="315"/>
      <c r="O975" s="314"/>
      <c r="P975" s="314"/>
      <c r="Q975" s="435"/>
      <c r="R975" s="435"/>
      <c r="S975" s="849"/>
      <c r="T975" s="740"/>
      <c r="U975" s="744"/>
      <c r="V975" s="435"/>
      <c r="W975" s="435"/>
      <c r="X975" s="435"/>
      <c r="Y975" s="435"/>
      <c r="Z975" s="435"/>
      <c r="AA975" s="740"/>
      <c r="AB975" s="744"/>
      <c r="AC975" s="435"/>
      <c r="AD975" s="435"/>
      <c r="AE975" s="435"/>
      <c r="AF975" s="435"/>
      <c r="AG975" s="324"/>
      <c r="AH975" s="180"/>
      <c r="AI975" s="155"/>
      <c r="AJ975" s="322"/>
      <c r="AK975" s="132"/>
      <c r="AL975" s="132"/>
    </row>
    <row r="976">
      <c r="A976" s="458"/>
      <c r="B976" s="313"/>
      <c r="C976" s="745"/>
      <c r="D976" s="437"/>
      <c r="E976" s="435"/>
      <c r="F976" s="318"/>
      <c r="G976" s="315"/>
      <c r="H976" s="435"/>
      <c r="I976" s="435"/>
      <c r="J976" s="314"/>
      <c r="K976" s="744"/>
      <c r="L976" s="839"/>
      <c r="M976" s="318"/>
      <c r="N976" s="315"/>
      <c r="O976" s="314"/>
      <c r="P976" s="435"/>
      <c r="Q976" s="435"/>
      <c r="R976" s="435"/>
      <c r="S976" s="849"/>
      <c r="T976" s="740"/>
      <c r="U976" s="744"/>
      <c r="V976" s="435"/>
      <c r="W976" s="435"/>
      <c r="X976" s="435"/>
      <c r="Y976" s="435"/>
      <c r="Z976" s="435"/>
      <c r="AA976" s="740"/>
      <c r="AB976" s="744"/>
      <c r="AC976" s="435"/>
      <c r="AD976" s="435"/>
      <c r="AE976" s="435"/>
      <c r="AF976" s="435"/>
      <c r="AG976" s="324"/>
      <c r="AH976" s="180"/>
      <c r="AI976" s="155"/>
      <c r="AJ976" s="322"/>
      <c r="AK976" s="132"/>
      <c r="AL976" s="132"/>
    </row>
    <row r="977">
      <c r="A977" s="458"/>
      <c r="B977" s="313"/>
      <c r="C977" s="745"/>
      <c r="D977" s="437"/>
      <c r="E977" s="314"/>
      <c r="F977" s="318"/>
      <c r="G977" s="315"/>
      <c r="H977" s="314"/>
      <c r="I977" s="314"/>
      <c r="J977" s="314"/>
      <c r="K977" s="744"/>
      <c r="L977" s="736"/>
      <c r="M977" s="318"/>
      <c r="N977" s="315"/>
      <c r="O977" s="314"/>
      <c r="P977" s="314"/>
      <c r="Q977" s="314"/>
      <c r="R977" s="435"/>
      <c r="S977" s="849"/>
      <c r="T977" s="740"/>
      <c r="U977" s="744"/>
      <c r="V977" s="435"/>
      <c r="W977" s="435"/>
      <c r="X977" s="435"/>
      <c r="Y977" s="435"/>
      <c r="Z977" s="435"/>
      <c r="AA977" s="740"/>
      <c r="AB977" s="744"/>
      <c r="AC977" s="435"/>
      <c r="AD977" s="435"/>
      <c r="AE977" s="435"/>
      <c r="AF977" s="435"/>
      <c r="AG977" s="324"/>
      <c r="AH977" s="180"/>
      <c r="AI977" s="155"/>
      <c r="AJ977" s="322"/>
      <c r="AK977" s="132"/>
      <c r="AL977" s="132"/>
    </row>
    <row r="978">
      <c r="A978" s="458"/>
      <c r="B978" s="437"/>
      <c r="C978" s="745"/>
      <c r="D978" s="437"/>
      <c r="E978" s="435"/>
      <c r="F978" s="318"/>
      <c r="G978" s="315"/>
      <c r="H978" s="435"/>
      <c r="I978" s="435"/>
      <c r="J978" s="435"/>
      <c r="K978" s="744"/>
      <c r="L978" s="839"/>
      <c r="M978" s="740"/>
      <c r="N978" s="744"/>
      <c r="O978" s="314"/>
      <c r="P978" s="435"/>
      <c r="Q978" s="435"/>
      <c r="R978" s="435"/>
      <c r="S978" s="849"/>
      <c r="T978" s="740"/>
      <c r="U978" s="744"/>
      <c r="V978" s="435"/>
      <c r="W978" s="435"/>
      <c r="X978" s="435"/>
      <c r="Y978" s="435"/>
      <c r="Z978" s="435"/>
      <c r="AA978" s="740"/>
      <c r="AB978" s="744"/>
      <c r="AC978" s="435"/>
      <c r="AD978" s="435"/>
      <c r="AE978" s="435"/>
      <c r="AF978" s="435"/>
      <c r="AG978" s="324"/>
      <c r="AH978" s="180"/>
      <c r="AI978" s="155"/>
      <c r="AJ978" s="322"/>
      <c r="AK978" s="132"/>
      <c r="AL978" s="132"/>
    </row>
    <row r="979">
      <c r="A979" s="435"/>
      <c r="B979" s="437"/>
      <c r="C979" s="745"/>
      <c r="D979" s="437"/>
      <c r="E979" s="435"/>
      <c r="F979" s="318"/>
      <c r="G979" s="315"/>
      <c r="H979" s="435"/>
      <c r="I979" s="435"/>
      <c r="J979" s="435"/>
      <c r="K979" s="744"/>
      <c r="L979" s="839"/>
      <c r="M979" s="740"/>
      <c r="N979" s="744"/>
      <c r="O979" s="314"/>
      <c r="P979" s="435"/>
      <c r="Q979" s="435"/>
      <c r="R979" s="435"/>
      <c r="S979" s="849"/>
      <c r="T979" s="740"/>
      <c r="U979" s="744"/>
      <c r="V979" s="435"/>
      <c r="W979" s="435"/>
      <c r="X979" s="435"/>
      <c r="Y979" s="435"/>
      <c r="Z979" s="435"/>
      <c r="AA979" s="740"/>
      <c r="AB979" s="744"/>
      <c r="AC979" s="435"/>
      <c r="AD979" s="435"/>
      <c r="AE979" s="435"/>
      <c r="AF979" s="435"/>
      <c r="AG979" s="324"/>
      <c r="AH979" s="180"/>
      <c r="AI979" s="155"/>
      <c r="AJ979" s="322"/>
      <c r="AK979" s="132"/>
      <c r="AL979" s="132"/>
    </row>
    <row r="980">
      <c r="A980" s="474"/>
      <c r="B980" s="437"/>
      <c r="C980" s="745"/>
      <c r="D980" s="437"/>
      <c r="E980" s="435"/>
      <c r="F980" s="318"/>
      <c r="G980" s="315"/>
      <c r="H980" s="435"/>
      <c r="I980" s="435"/>
      <c r="J980" s="435"/>
      <c r="K980" s="744"/>
      <c r="L980" s="839"/>
      <c r="M980" s="740"/>
      <c r="N980" s="744"/>
      <c r="O980" s="314"/>
      <c r="P980" s="435"/>
      <c r="Q980" s="435"/>
      <c r="R980" s="435"/>
      <c r="S980" s="849"/>
      <c r="T980" s="740"/>
      <c r="U980" s="744"/>
      <c r="V980" s="435"/>
      <c r="W980" s="435"/>
      <c r="X980" s="435"/>
      <c r="Y980" s="435"/>
      <c r="Z980" s="435"/>
      <c r="AA980" s="740"/>
      <c r="AB980" s="744"/>
      <c r="AC980" s="435"/>
      <c r="AD980" s="435"/>
      <c r="AE980" s="435"/>
      <c r="AF980" s="435"/>
      <c r="AG980" s="324"/>
      <c r="AH980" s="180"/>
      <c r="AI980" s="155"/>
      <c r="AJ980" s="322"/>
      <c r="AK980" s="132"/>
      <c r="AL980" s="132"/>
    </row>
    <row r="981">
      <c r="A981" s="474"/>
      <c r="B981" s="437"/>
      <c r="C981" s="312"/>
      <c r="D981" s="437"/>
      <c r="E981" s="435"/>
      <c r="F981" s="318"/>
      <c r="G981" s="315"/>
      <c r="H981" s="435"/>
      <c r="I981" s="435"/>
      <c r="J981" s="435"/>
      <c r="K981" s="315"/>
      <c r="L981" s="736"/>
      <c r="M981" s="318"/>
      <c r="N981" s="744"/>
      <c r="O981" s="314"/>
      <c r="P981" s="314"/>
      <c r="Q981" s="435"/>
      <c r="R981" s="314"/>
      <c r="S981" s="849"/>
      <c r="T981" s="740"/>
      <c r="U981" s="744"/>
      <c r="V981" s="435"/>
      <c r="W981" s="435"/>
      <c r="X981" s="435"/>
      <c r="Y981" s="435"/>
      <c r="Z981" s="435"/>
      <c r="AA981" s="740"/>
      <c r="AB981" s="744"/>
      <c r="AC981" s="435"/>
      <c r="AD981" s="435"/>
      <c r="AE981" s="435"/>
      <c r="AF981" s="435"/>
      <c r="AG981" s="324"/>
      <c r="AH981" s="180"/>
      <c r="AI981" s="155"/>
      <c r="AJ981" s="322"/>
      <c r="AK981" s="132"/>
      <c r="AL981" s="132"/>
    </row>
    <row r="982">
      <c r="A982" s="474"/>
      <c r="B982" s="313"/>
      <c r="C982" s="312"/>
      <c r="D982" s="313"/>
      <c r="E982" s="314"/>
      <c r="F982" s="318"/>
      <c r="G982" s="315"/>
      <c r="H982" s="314"/>
      <c r="I982" s="314"/>
      <c r="J982" s="314"/>
      <c r="K982" s="744"/>
      <c r="L982" s="736"/>
      <c r="M982" s="318"/>
      <c r="N982" s="315"/>
      <c r="O982" s="314"/>
      <c r="P982" s="435"/>
      <c r="Q982" s="314"/>
      <c r="R982" s="314"/>
      <c r="S982" s="848"/>
      <c r="T982" s="318"/>
      <c r="U982" s="315"/>
      <c r="V982" s="314"/>
      <c r="W982" s="314"/>
      <c r="X982" s="314"/>
      <c r="Y982" s="314"/>
      <c r="Z982" s="314"/>
      <c r="AA982" s="318"/>
      <c r="AB982" s="315"/>
      <c r="AC982" s="314"/>
      <c r="AD982" s="314"/>
      <c r="AE982" s="314"/>
      <c r="AF982" s="314"/>
      <c r="AG982" s="324"/>
      <c r="AH982" s="180"/>
      <c r="AI982" s="155"/>
      <c r="AJ982" s="322"/>
      <c r="AK982" s="132"/>
      <c r="AL982" s="132"/>
    </row>
    <row r="983">
      <c r="A983" s="474"/>
      <c r="B983" s="313"/>
      <c r="C983" s="745"/>
      <c r="D983" s="437"/>
      <c r="E983" s="314"/>
      <c r="F983" s="318"/>
      <c r="G983" s="315"/>
      <c r="H983" s="314"/>
      <c r="I983" s="435"/>
      <c r="J983" s="314"/>
      <c r="K983" s="315"/>
      <c r="L983" s="736"/>
      <c r="M983" s="318"/>
      <c r="N983" s="315"/>
      <c r="O983" s="314"/>
      <c r="P983" s="314"/>
      <c r="Q983" s="314"/>
      <c r="R983" s="314"/>
      <c r="S983" s="848"/>
      <c r="T983" s="318"/>
      <c r="U983" s="315"/>
      <c r="V983" s="314"/>
      <c r="W983" s="314"/>
      <c r="X983" s="314"/>
      <c r="Y983" s="314"/>
      <c r="Z983" s="314"/>
      <c r="AA983" s="318"/>
      <c r="AB983" s="315"/>
      <c r="AC983" s="314"/>
      <c r="AD983" s="314"/>
      <c r="AE983" s="314"/>
      <c r="AF983" s="314"/>
      <c r="AG983" s="324"/>
      <c r="AH983" s="180"/>
      <c r="AI983" s="155"/>
      <c r="AJ983" s="322"/>
      <c r="AK983" s="132"/>
      <c r="AL983" s="132"/>
    </row>
    <row r="984">
      <c r="A984" s="474"/>
      <c r="B984" s="313"/>
      <c r="C984" s="312"/>
      <c r="D984" s="313"/>
      <c r="E984" s="314"/>
      <c r="F984" s="318"/>
      <c r="G984" s="315"/>
      <c r="H984" s="314"/>
      <c r="I984" s="314"/>
      <c r="J984" s="314"/>
      <c r="K984" s="744"/>
      <c r="L984" s="736"/>
      <c r="M984" s="318"/>
      <c r="N984" s="315"/>
      <c r="O984" s="314"/>
      <c r="P984" s="314"/>
      <c r="Q984" s="314"/>
      <c r="R984" s="314"/>
      <c r="S984" s="848"/>
      <c r="T984" s="318"/>
      <c r="U984" s="315"/>
      <c r="V984" s="314"/>
      <c r="W984" s="314"/>
      <c r="X984" s="314"/>
      <c r="Y984" s="314"/>
      <c r="Z984" s="314"/>
      <c r="AA984" s="318"/>
      <c r="AB984" s="315"/>
      <c r="AC984" s="314"/>
      <c r="AD984" s="314"/>
      <c r="AE984" s="314"/>
      <c r="AF984" s="314"/>
      <c r="AG984" s="324"/>
      <c r="AH984" s="180"/>
      <c r="AI984" s="155"/>
      <c r="AJ984" s="322"/>
      <c r="AK984" s="132"/>
      <c r="AL984" s="132"/>
    </row>
    <row r="985">
      <c r="A985" s="458"/>
      <c r="B985" s="313"/>
      <c r="C985" s="745"/>
      <c r="D985" s="313"/>
      <c r="E985" s="314"/>
      <c r="F985" s="318"/>
      <c r="G985" s="315"/>
      <c r="H985" s="314"/>
      <c r="I985" s="314"/>
      <c r="J985" s="435"/>
      <c r="K985" s="744"/>
      <c r="L985" s="736"/>
      <c r="M985" s="318"/>
      <c r="N985" s="315"/>
      <c r="O985" s="314"/>
      <c r="P985" s="314"/>
      <c r="Q985" s="314"/>
      <c r="R985" s="314"/>
      <c r="S985" s="848"/>
      <c r="T985" s="318"/>
      <c r="U985" s="315"/>
      <c r="V985" s="314"/>
      <c r="W985" s="314"/>
      <c r="X985" s="314"/>
      <c r="Y985" s="314"/>
      <c r="Z985" s="314"/>
      <c r="AA985" s="318"/>
      <c r="AB985" s="315"/>
      <c r="AC985" s="314"/>
      <c r="AD985" s="314"/>
      <c r="AE985" s="314"/>
      <c r="AF985" s="314"/>
      <c r="AG985" s="324"/>
      <c r="AH985" s="180"/>
      <c r="AI985" s="155"/>
      <c r="AJ985" s="322"/>
      <c r="AK985" s="132"/>
      <c r="AL985" s="132"/>
    </row>
    <row r="986">
      <c r="A986" s="435"/>
      <c r="B986" s="313"/>
      <c r="C986" s="745"/>
      <c r="D986" s="437"/>
      <c r="E986" s="435"/>
      <c r="F986" s="318"/>
      <c r="G986" s="315"/>
      <c r="H986" s="435"/>
      <c r="I986" s="314"/>
      <c r="J986" s="314"/>
      <c r="K986" s="744"/>
      <c r="L986" s="736"/>
      <c r="M986" s="740"/>
      <c r="N986" s="744"/>
      <c r="O986" s="314"/>
      <c r="P986" s="314"/>
      <c r="Q986" s="314"/>
      <c r="R986" s="435"/>
      <c r="S986" s="848"/>
      <c r="T986" s="318"/>
      <c r="U986" s="315"/>
      <c r="V986" s="314"/>
      <c r="W986" s="314"/>
      <c r="X986" s="314"/>
      <c r="Y986" s="314"/>
      <c r="Z986" s="314"/>
      <c r="AA986" s="318"/>
      <c r="AB986" s="315"/>
      <c r="AC986" s="314"/>
      <c r="AD986" s="314"/>
      <c r="AE986" s="314"/>
      <c r="AF986" s="314"/>
      <c r="AG986" s="324"/>
      <c r="AH986" s="180"/>
      <c r="AI986" s="155"/>
      <c r="AJ986" s="322"/>
      <c r="AK986" s="132"/>
      <c r="AL986" s="132"/>
    </row>
    <row r="987">
      <c r="A987" s="435"/>
      <c r="B987" s="437"/>
      <c r="C987" s="312"/>
      <c r="D987" s="313"/>
      <c r="E987" s="314"/>
      <c r="F987" s="318"/>
      <c r="G987" s="315"/>
      <c r="H987" s="314"/>
      <c r="I987" s="314"/>
      <c r="J987" s="314"/>
      <c r="K987" s="315"/>
      <c r="L987" s="736"/>
      <c r="M987" s="318"/>
      <c r="N987" s="315"/>
      <c r="O987" s="314"/>
      <c r="P987" s="435"/>
      <c r="Q987" s="314"/>
      <c r="R987" s="314"/>
      <c r="S987" s="848"/>
      <c r="T987" s="318"/>
      <c r="U987" s="315"/>
      <c r="V987" s="314"/>
      <c r="W987" s="314"/>
      <c r="X987" s="314"/>
      <c r="Y987" s="314"/>
      <c r="Z987" s="314"/>
      <c r="AA987" s="318"/>
      <c r="AB987" s="315"/>
      <c r="AC987" s="314"/>
      <c r="AD987" s="314"/>
      <c r="AE987" s="314"/>
      <c r="AF987" s="314"/>
      <c r="AG987" s="324"/>
      <c r="AH987" s="180"/>
      <c r="AI987" s="155"/>
      <c r="AJ987" s="322"/>
      <c r="AK987" s="132"/>
      <c r="AL987" s="132"/>
    </row>
    <row r="988">
      <c r="A988" s="435"/>
      <c r="B988" s="437"/>
      <c r="C988" s="312"/>
      <c r="D988" s="313"/>
      <c r="E988" s="314"/>
      <c r="F988" s="318"/>
      <c r="G988" s="315"/>
      <c r="H988" s="314"/>
      <c r="I988" s="314"/>
      <c r="J988" s="314"/>
      <c r="K988" s="315"/>
      <c r="L988" s="736"/>
      <c r="M988" s="318"/>
      <c r="N988" s="315"/>
      <c r="O988" s="314"/>
      <c r="P988" s="314"/>
      <c r="Q988" s="435"/>
      <c r="R988" s="314"/>
      <c r="S988" s="849"/>
      <c r="T988" s="740"/>
      <c r="U988" s="744"/>
      <c r="V988" s="435"/>
      <c r="W988" s="435"/>
      <c r="X988" s="435"/>
      <c r="Y988" s="435"/>
      <c r="Z988" s="435"/>
      <c r="AA988" s="740"/>
      <c r="AB988" s="744"/>
      <c r="AC988" s="435"/>
      <c r="AD988" s="435"/>
      <c r="AE988" s="435"/>
      <c r="AF988" s="435"/>
      <c r="AG988" s="324"/>
      <c r="AH988" s="180"/>
      <c r="AI988" s="155"/>
      <c r="AJ988" s="322"/>
      <c r="AK988" s="132"/>
      <c r="AL988" s="132"/>
    </row>
    <row r="989">
      <c r="A989" s="435"/>
      <c r="B989" s="313"/>
      <c r="C989" s="745"/>
      <c r="D989" s="313"/>
      <c r="E989" s="314"/>
      <c r="F989" s="318"/>
      <c r="G989" s="315"/>
      <c r="H989" s="314"/>
      <c r="I989" s="314"/>
      <c r="J989" s="314"/>
      <c r="K989" s="315"/>
      <c r="L989" s="736"/>
      <c r="M989" s="318"/>
      <c r="N989" s="315"/>
      <c r="O989" s="314"/>
      <c r="P989" s="314"/>
      <c r="Q989" s="314"/>
      <c r="R989" s="435"/>
      <c r="S989" s="848"/>
      <c r="T989" s="318"/>
      <c r="U989" s="315"/>
      <c r="V989" s="314"/>
      <c r="W989" s="314"/>
      <c r="X989" s="314"/>
      <c r="Y989" s="314"/>
      <c r="Z989" s="314"/>
      <c r="AA989" s="318"/>
      <c r="AB989" s="315"/>
      <c r="AC989" s="314"/>
      <c r="AD989" s="314"/>
      <c r="AE989" s="314"/>
      <c r="AF989" s="314"/>
      <c r="AG989" s="324"/>
      <c r="AH989" s="180"/>
      <c r="AI989" s="155"/>
      <c r="AJ989" s="322"/>
      <c r="AK989" s="132"/>
      <c r="AL989" s="132"/>
    </row>
    <row r="990">
      <c r="A990" s="435"/>
      <c r="B990" s="313"/>
      <c r="C990" s="312"/>
      <c r="D990" s="313"/>
      <c r="E990" s="314"/>
      <c r="F990" s="318"/>
      <c r="G990" s="315"/>
      <c r="H990" s="314"/>
      <c r="I990" s="314"/>
      <c r="J990" s="314"/>
      <c r="K990" s="744"/>
      <c r="L990" s="736"/>
      <c r="M990" s="740"/>
      <c r="N990" s="315"/>
      <c r="O990" s="314"/>
      <c r="P990" s="314"/>
      <c r="Q990" s="435"/>
      <c r="R990" s="314"/>
      <c r="S990" s="848"/>
      <c r="T990" s="318"/>
      <c r="U990" s="315"/>
      <c r="V990" s="314"/>
      <c r="W990" s="314"/>
      <c r="X990" s="314"/>
      <c r="Y990" s="314"/>
      <c r="Z990" s="314"/>
      <c r="AA990" s="318"/>
      <c r="AB990" s="315"/>
      <c r="AC990" s="314"/>
      <c r="AD990" s="314"/>
      <c r="AE990" s="314"/>
      <c r="AF990" s="314"/>
      <c r="AG990" s="324"/>
      <c r="AH990" s="180"/>
      <c r="AI990" s="155"/>
      <c r="AJ990" s="322"/>
      <c r="AK990" s="132"/>
      <c r="AL990" s="132"/>
    </row>
    <row r="991">
      <c r="A991" s="435"/>
      <c r="B991" s="313"/>
      <c r="C991" s="745"/>
      <c r="D991" s="437"/>
      <c r="E991" s="314"/>
      <c r="F991" s="318"/>
      <c r="G991" s="315"/>
      <c r="H991" s="314"/>
      <c r="I991" s="314"/>
      <c r="J991" s="314"/>
      <c r="K991" s="744"/>
      <c r="L991" s="736"/>
      <c r="M991" s="740"/>
      <c r="N991" s="315"/>
      <c r="O991" s="314"/>
      <c r="P991" s="314"/>
      <c r="Q991" s="435"/>
      <c r="R991" s="314"/>
      <c r="S991" s="848"/>
      <c r="T991" s="318"/>
      <c r="U991" s="315"/>
      <c r="V991" s="314"/>
      <c r="W991" s="314"/>
      <c r="X991" s="314"/>
      <c r="Y991" s="314"/>
      <c r="Z991" s="314"/>
      <c r="AA991" s="318"/>
      <c r="AB991" s="315"/>
      <c r="AC991" s="314"/>
      <c r="AD991" s="314"/>
      <c r="AE991" s="314"/>
      <c r="AF991" s="314"/>
      <c r="AG991" s="324"/>
      <c r="AH991" s="180"/>
      <c r="AI991" s="155"/>
      <c r="AJ991" s="322"/>
      <c r="AK991" s="132"/>
      <c r="AL991" s="132"/>
    </row>
    <row r="992">
      <c r="A992" s="476"/>
      <c r="AI992" s="176"/>
      <c r="AJ992" s="322"/>
      <c r="AK992" s="132"/>
      <c r="AL992" s="132"/>
    </row>
    <row r="993">
      <c r="A993" s="178"/>
      <c r="AJ993" s="322"/>
      <c r="AK993" s="132"/>
      <c r="AL993" s="132"/>
    </row>
    <row r="994">
      <c r="A994" s="474"/>
      <c r="B994" s="437"/>
      <c r="C994" s="745"/>
      <c r="D994" s="437"/>
      <c r="E994" s="435"/>
      <c r="F994" s="318"/>
      <c r="G994" s="315"/>
      <c r="H994" s="314"/>
      <c r="I994" s="435"/>
      <c r="J994" s="435"/>
      <c r="K994" s="744"/>
      <c r="L994" s="839"/>
      <c r="M994" s="740"/>
      <c r="N994" s="744"/>
      <c r="O994" s="314"/>
      <c r="P994" s="435"/>
      <c r="Q994" s="435"/>
      <c r="R994" s="435"/>
      <c r="S994" s="849"/>
      <c r="T994" s="740"/>
      <c r="U994" s="744"/>
      <c r="V994" s="435"/>
      <c r="W994" s="435"/>
      <c r="X994" s="435"/>
      <c r="Y994" s="435"/>
      <c r="Z994" s="435"/>
      <c r="AA994" s="740"/>
      <c r="AB994" s="744"/>
      <c r="AC994" s="435"/>
      <c r="AD994" s="435"/>
      <c r="AE994" s="435"/>
      <c r="AF994" s="435"/>
      <c r="AG994" s="324"/>
      <c r="AH994" s="180"/>
      <c r="AI994" s="155"/>
      <c r="AJ994" s="322"/>
      <c r="AK994" s="132"/>
      <c r="AL994" s="132"/>
    </row>
    <row r="995">
      <c r="A995" s="474"/>
      <c r="B995" s="313"/>
      <c r="C995" s="745"/>
      <c r="D995" s="437"/>
      <c r="E995" s="435"/>
      <c r="F995" s="318"/>
      <c r="G995" s="315"/>
      <c r="H995" s="435"/>
      <c r="I995" s="314"/>
      <c r="J995" s="435"/>
      <c r="K995" s="744"/>
      <c r="L995" s="839"/>
      <c r="M995" s="318"/>
      <c r="N995" s="315"/>
      <c r="O995" s="314"/>
      <c r="P995" s="435"/>
      <c r="Q995" s="435"/>
      <c r="R995" s="435"/>
      <c r="S995" s="849"/>
      <c r="T995" s="740"/>
      <c r="U995" s="744"/>
      <c r="V995" s="435"/>
      <c r="W995" s="435"/>
      <c r="X995" s="435"/>
      <c r="Y995" s="435"/>
      <c r="Z995" s="435"/>
      <c r="AA995" s="740"/>
      <c r="AB995" s="744"/>
      <c r="AC995" s="435"/>
      <c r="AD995" s="435"/>
      <c r="AE995" s="435"/>
      <c r="AF995" s="435"/>
      <c r="AG995" s="324"/>
      <c r="AH995" s="180"/>
      <c r="AI995" s="155"/>
      <c r="AJ995" s="322"/>
      <c r="AK995" s="132"/>
      <c r="AL995" s="132"/>
    </row>
    <row r="996">
      <c r="A996" s="477"/>
      <c r="B996" s="437"/>
      <c r="C996" s="745"/>
      <c r="D996" s="437"/>
      <c r="E996" s="314"/>
      <c r="F996" s="318"/>
      <c r="G996" s="315"/>
      <c r="H996" s="435"/>
      <c r="I996" s="435"/>
      <c r="J996" s="435"/>
      <c r="K996" s="744"/>
      <c r="L996" s="839"/>
      <c r="M996" s="740"/>
      <c r="N996" s="744"/>
      <c r="O996" s="314"/>
      <c r="P996" s="435"/>
      <c r="Q996" s="435"/>
      <c r="R996" s="435"/>
      <c r="S996" s="849"/>
      <c r="T996" s="740"/>
      <c r="U996" s="744"/>
      <c r="V996" s="435"/>
      <c r="W996" s="435"/>
      <c r="X996" s="435"/>
      <c r="Y996" s="435"/>
      <c r="Z996" s="435"/>
      <c r="AA996" s="740"/>
      <c r="AB996" s="744"/>
      <c r="AC996" s="435"/>
      <c r="AD996" s="435"/>
      <c r="AE996" s="435"/>
      <c r="AF996" s="435"/>
      <c r="AG996" s="324"/>
      <c r="AH996" s="180"/>
      <c r="AI996" s="155"/>
      <c r="AJ996" s="322"/>
      <c r="AK996" s="132"/>
      <c r="AL996" s="132"/>
    </row>
    <row r="997">
      <c r="A997" s="477"/>
      <c r="B997" s="437"/>
      <c r="C997" s="745"/>
      <c r="D997" s="437"/>
      <c r="E997" s="314"/>
      <c r="F997" s="318"/>
      <c r="G997" s="315"/>
      <c r="H997" s="435"/>
      <c r="I997" s="314"/>
      <c r="J997" s="314"/>
      <c r="K997" s="744"/>
      <c r="L997" s="839"/>
      <c r="M997" s="740"/>
      <c r="N997" s="315"/>
      <c r="O997" s="314"/>
      <c r="P997" s="435"/>
      <c r="Q997" s="435"/>
      <c r="R997" s="435"/>
      <c r="S997" s="849"/>
      <c r="T997" s="740"/>
      <c r="U997" s="744"/>
      <c r="V997" s="435"/>
      <c r="W997" s="435"/>
      <c r="X997" s="435"/>
      <c r="Y997" s="435"/>
      <c r="Z997" s="435"/>
      <c r="AA997" s="740"/>
      <c r="AB997" s="744"/>
      <c r="AC997" s="435"/>
      <c r="AD997" s="435"/>
      <c r="AE997" s="435"/>
      <c r="AF997" s="435"/>
      <c r="AG997" s="324"/>
      <c r="AH997" s="180"/>
      <c r="AI997" s="155"/>
      <c r="AJ997" s="322"/>
      <c r="AK997" s="132"/>
      <c r="AL997" s="132"/>
    </row>
    <row r="998">
      <c r="A998" s="477"/>
      <c r="B998" s="437"/>
      <c r="C998" s="745"/>
      <c r="D998" s="437"/>
      <c r="E998" s="435"/>
      <c r="F998" s="318"/>
      <c r="G998" s="315"/>
      <c r="H998" s="435"/>
      <c r="I998" s="435"/>
      <c r="J998" s="435"/>
      <c r="K998" s="744"/>
      <c r="L998" s="839"/>
      <c r="M998" s="740"/>
      <c r="N998" s="744"/>
      <c r="O998" s="314"/>
      <c r="P998" s="435"/>
      <c r="Q998" s="435"/>
      <c r="R998" s="435"/>
      <c r="S998" s="849"/>
      <c r="T998" s="740"/>
      <c r="U998" s="744"/>
      <c r="V998" s="435"/>
      <c r="W998" s="435"/>
      <c r="X998" s="435"/>
      <c r="Y998" s="435"/>
      <c r="Z998" s="435"/>
      <c r="AA998" s="740"/>
      <c r="AB998" s="744"/>
      <c r="AC998" s="435"/>
      <c r="AD998" s="435"/>
      <c r="AE998" s="435"/>
      <c r="AF998" s="435"/>
      <c r="AG998" s="324"/>
      <c r="AH998" s="180"/>
      <c r="AI998" s="155"/>
      <c r="AJ998" s="322"/>
      <c r="AK998" s="132"/>
      <c r="AL998" s="132"/>
    </row>
    <row r="999">
      <c r="A999" s="474"/>
      <c r="B999" s="313"/>
      <c r="C999" s="745"/>
      <c r="D999" s="313"/>
      <c r="E999" s="435"/>
      <c r="F999" s="318"/>
      <c r="G999" s="315"/>
      <c r="H999" s="435"/>
      <c r="I999" s="314"/>
      <c r="J999" s="435"/>
      <c r="K999" s="744"/>
      <c r="L999" s="736"/>
      <c r="M999" s="740"/>
      <c r="N999" s="315"/>
      <c r="O999" s="314"/>
      <c r="P999" s="435"/>
      <c r="Q999" s="435"/>
      <c r="R999" s="435"/>
      <c r="S999" s="849"/>
      <c r="T999" s="740"/>
      <c r="U999" s="744"/>
      <c r="V999" s="435"/>
      <c r="W999" s="435"/>
      <c r="X999" s="435"/>
      <c r="Y999" s="435"/>
      <c r="Z999" s="435"/>
      <c r="AA999" s="740"/>
      <c r="AB999" s="744"/>
      <c r="AC999" s="435"/>
      <c r="AD999" s="435"/>
      <c r="AE999" s="435"/>
      <c r="AF999" s="435"/>
      <c r="AG999" s="324"/>
      <c r="AH999" s="180"/>
      <c r="AI999" s="155"/>
      <c r="AJ999" s="322"/>
      <c r="AK999" s="132"/>
      <c r="AL999" s="132"/>
    </row>
    <row r="1000">
      <c r="A1000" s="478"/>
      <c r="B1000" s="437"/>
      <c r="C1000" s="745"/>
      <c r="D1000" s="437"/>
      <c r="E1000" s="435"/>
      <c r="F1000" s="318"/>
      <c r="G1000" s="315"/>
      <c r="H1000" s="435"/>
      <c r="I1000" s="435"/>
      <c r="J1000" s="435"/>
      <c r="K1000" s="744"/>
      <c r="L1000" s="839"/>
      <c r="M1000" s="740"/>
      <c r="N1000" s="744"/>
      <c r="O1000" s="314"/>
      <c r="P1000" s="435"/>
      <c r="Q1000" s="435"/>
      <c r="R1000" s="435"/>
      <c r="S1000" s="849"/>
      <c r="T1000" s="740"/>
      <c r="U1000" s="744"/>
      <c r="V1000" s="435"/>
      <c r="W1000" s="435"/>
      <c r="X1000" s="435"/>
      <c r="Y1000" s="435"/>
      <c r="Z1000" s="435"/>
      <c r="AA1000" s="740"/>
      <c r="AB1000" s="744"/>
      <c r="AC1000" s="435"/>
      <c r="AD1000" s="435"/>
      <c r="AE1000" s="435"/>
      <c r="AF1000" s="435"/>
      <c r="AG1000" s="324"/>
      <c r="AH1000" s="180"/>
      <c r="AI1000" s="155"/>
      <c r="AJ1000" s="322"/>
      <c r="AK1000" s="132"/>
      <c r="AL1000" s="132"/>
    </row>
    <row r="1001">
      <c r="A1001" s="478"/>
      <c r="B1001" s="437"/>
      <c r="C1001" s="745"/>
      <c r="D1001" s="437"/>
      <c r="E1001" s="435"/>
      <c r="F1001" s="318"/>
      <c r="G1001" s="315"/>
      <c r="H1001" s="435"/>
      <c r="I1001" s="435"/>
      <c r="J1001" s="435"/>
      <c r="K1001" s="744"/>
      <c r="L1001" s="839"/>
      <c r="M1001" s="740"/>
      <c r="N1001" s="744"/>
      <c r="O1001" s="314"/>
      <c r="P1001" s="435"/>
      <c r="Q1001" s="435"/>
      <c r="R1001" s="435"/>
      <c r="S1001" s="849"/>
      <c r="T1001" s="740"/>
      <c r="U1001" s="744"/>
      <c r="V1001" s="435"/>
      <c r="W1001" s="435"/>
      <c r="X1001" s="435"/>
      <c r="Y1001" s="435"/>
      <c r="Z1001" s="435"/>
      <c r="AA1001" s="740"/>
      <c r="AB1001" s="744"/>
      <c r="AC1001" s="435"/>
      <c r="AD1001" s="435"/>
      <c r="AE1001" s="435"/>
      <c r="AF1001" s="435"/>
      <c r="AG1001" s="324"/>
      <c r="AH1001" s="180"/>
      <c r="AI1001" s="155"/>
      <c r="AJ1001" s="322"/>
      <c r="AK1001" s="132"/>
      <c r="AL1001" s="132"/>
    </row>
    <row r="1002">
      <c r="A1002" s="478"/>
      <c r="B1002" s="437"/>
      <c r="C1002" s="745"/>
      <c r="D1002" s="313"/>
      <c r="E1002" s="314"/>
      <c r="F1002" s="318"/>
      <c r="G1002" s="315"/>
      <c r="H1002" s="435"/>
      <c r="I1002" s="435"/>
      <c r="J1002" s="314"/>
      <c r="K1002" s="744"/>
      <c r="L1002" s="736"/>
      <c r="M1002" s="740"/>
      <c r="N1002" s="315"/>
      <c r="O1002" s="314"/>
      <c r="P1002" s="314"/>
      <c r="Q1002" s="314"/>
      <c r="R1002" s="314"/>
      <c r="S1002" s="849"/>
      <c r="T1002" s="740"/>
      <c r="U1002" s="744"/>
      <c r="V1002" s="435"/>
      <c r="W1002" s="435"/>
      <c r="X1002" s="435"/>
      <c r="Y1002" s="435"/>
      <c r="Z1002" s="435"/>
      <c r="AA1002" s="740"/>
      <c r="AB1002" s="744"/>
      <c r="AC1002" s="435"/>
      <c r="AD1002" s="435"/>
      <c r="AE1002" s="435"/>
      <c r="AF1002" s="435"/>
      <c r="AG1002" s="324"/>
      <c r="AH1002" s="180"/>
      <c r="AI1002" s="155"/>
      <c r="AJ1002" s="322"/>
      <c r="AK1002" s="132"/>
      <c r="AL1002" s="132"/>
    </row>
    <row r="1003">
      <c r="A1003" s="477"/>
      <c r="B1003" s="313"/>
      <c r="C1003" s="745"/>
      <c r="D1003" s="437"/>
      <c r="E1003" s="435"/>
      <c r="F1003" s="318"/>
      <c r="G1003" s="315"/>
      <c r="H1003" s="435"/>
      <c r="I1003" s="435"/>
      <c r="J1003" s="435"/>
      <c r="K1003" s="744"/>
      <c r="L1003" s="839"/>
      <c r="M1003" s="740"/>
      <c r="N1003" s="744"/>
      <c r="O1003" s="314"/>
      <c r="P1003" s="435"/>
      <c r="Q1003" s="435"/>
      <c r="R1003" s="435"/>
      <c r="S1003" s="849"/>
      <c r="T1003" s="740"/>
      <c r="U1003" s="744"/>
      <c r="V1003" s="435"/>
      <c r="W1003" s="435"/>
      <c r="X1003" s="435"/>
      <c r="Y1003" s="435"/>
      <c r="Z1003" s="435"/>
      <c r="AA1003" s="740"/>
      <c r="AB1003" s="744"/>
      <c r="AC1003" s="435"/>
      <c r="AD1003" s="435"/>
      <c r="AE1003" s="435"/>
      <c r="AF1003" s="435"/>
      <c r="AG1003" s="324"/>
      <c r="AH1003" s="180"/>
      <c r="AI1003" s="155"/>
      <c r="AJ1003" s="322"/>
      <c r="AK1003" s="132"/>
      <c r="AL1003" s="132"/>
    </row>
    <row r="1004">
      <c r="A1004" s="477"/>
      <c r="B1004" s="313"/>
      <c r="C1004" s="312"/>
      <c r="D1004" s="313"/>
      <c r="E1004" s="314"/>
      <c r="F1004" s="318"/>
      <c r="G1004" s="315"/>
      <c r="H1004" s="435"/>
      <c r="I1004" s="314"/>
      <c r="J1004" s="314"/>
      <c r="K1004" s="315"/>
      <c r="L1004" s="736"/>
      <c r="M1004" s="318"/>
      <c r="N1004" s="744"/>
      <c r="O1004" s="314"/>
      <c r="P1004" s="314"/>
      <c r="Q1004" s="435"/>
      <c r="R1004" s="314"/>
      <c r="S1004" s="848"/>
      <c r="T1004" s="318"/>
      <c r="U1004" s="315"/>
      <c r="V1004" s="314"/>
      <c r="W1004" s="314"/>
      <c r="X1004" s="314"/>
      <c r="Y1004" s="314"/>
      <c r="Z1004" s="314"/>
      <c r="AA1004" s="318"/>
      <c r="AB1004" s="315"/>
      <c r="AC1004" s="314"/>
      <c r="AD1004" s="314"/>
      <c r="AE1004" s="314"/>
      <c r="AF1004" s="314"/>
      <c r="AG1004" s="324"/>
      <c r="AH1004" s="180"/>
      <c r="AI1004" s="155"/>
      <c r="AJ1004" s="322"/>
      <c r="AK1004" s="132"/>
      <c r="AL1004" s="132"/>
    </row>
    <row r="1005">
      <c r="A1005" s="477"/>
      <c r="B1005" s="313"/>
      <c r="C1005" s="312"/>
      <c r="D1005" s="313"/>
      <c r="E1005" s="314"/>
      <c r="F1005" s="318"/>
      <c r="G1005" s="315"/>
      <c r="H1005" s="314"/>
      <c r="I1005" s="314"/>
      <c r="J1005" s="314"/>
      <c r="K1005" s="315"/>
      <c r="L1005" s="736"/>
      <c r="M1005" s="318"/>
      <c r="N1005" s="315"/>
      <c r="O1005" s="314"/>
      <c r="P1005" s="314"/>
      <c r="Q1005" s="314"/>
      <c r="R1005" s="314"/>
      <c r="S1005" s="848"/>
      <c r="T1005" s="318"/>
      <c r="U1005" s="315"/>
      <c r="V1005" s="314"/>
      <c r="W1005" s="314"/>
      <c r="X1005" s="314"/>
      <c r="Y1005" s="314"/>
      <c r="Z1005" s="314"/>
      <c r="AA1005" s="318"/>
      <c r="AB1005" s="315"/>
      <c r="AC1005" s="314"/>
      <c r="AD1005" s="314"/>
      <c r="AE1005" s="314"/>
      <c r="AF1005" s="314"/>
      <c r="AG1005" s="324"/>
      <c r="AH1005" s="180"/>
      <c r="AI1005" s="155"/>
      <c r="AJ1005" s="322"/>
      <c r="AK1005" s="132"/>
      <c r="AL1005" s="132"/>
    </row>
    <row r="1006">
      <c r="A1006" s="476"/>
      <c r="AI1006" s="176"/>
      <c r="AJ1006" s="322"/>
      <c r="AK1006" s="132"/>
      <c r="AL1006" s="132"/>
    </row>
    <row r="1007">
      <c r="A1007" s="178"/>
      <c r="AJ1007" s="322"/>
      <c r="AK1007" s="132"/>
      <c r="AL1007" s="132"/>
    </row>
    <row r="1008">
      <c r="A1008" s="477"/>
      <c r="B1008" s="437"/>
      <c r="C1008" s="745"/>
      <c r="D1008" s="437"/>
      <c r="E1008" s="314"/>
      <c r="F1008" s="318"/>
      <c r="G1008" s="315"/>
      <c r="H1008" s="314"/>
      <c r="I1008" s="314"/>
      <c r="J1008" s="314"/>
      <c r="K1008" s="744"/>
      <c r="L1008" s="839"/>
      <c r="M1008" s="318"/>
      <c r="N1008" s="315"/>
      <c r="O1008" s="314"/>
      <c r="P1008" s="314"/>
      <c r="Q1008" s="435"/>
      <c r="R1008" s="435"/>
      <c r="S1008" s="849"/>
      <c r="T1008" s="740"/>
      <c r="U1008" s="744"/>
      <c r="V1008" s="435"/>
      <c r="W1008" s="435"/>
      <c r="X1008" s="435"/>
      <c r="Y1008" s="435"/>
      <c r="Z1008" s="435"/>
      <c r="AA1008" s="740"/>
      <c r="AB1008" s="744"/>
      <c r="AC1008" s="435"/>
      <c r="AD1008" s="435"/>
      <c r="AE1008" s="435"/>
      <c r="AF1008" s="435"/>
      <c r="AG1008" s="324"/>
      <c r="AH1008" s="180"/>
      <c r="AI1008" s="155"/>
      <c r="AJ1008" s="322"/>
      <c r="AK1008" s="132"/>
      <c r="AL1008" s="132"/>
    </row>
    <row r="1009">
      <c r="A1009" s="477"/>
      <c r="B1009" s="313"/>
      <c r="C1009" s="745"/>
      <c r="D1009" s="437"/>
      <c r="E1009" s="314"/>
      <c r="F1009" s="318"/>
      <c r="G1009" s="315"/>
      <c r="H1009" s="314"/>
      <c r="I1009" s="435"/>
      <c r="J1009" s="435"/>
      <c r="K1009" s="744"/>
      <c r="L1009" s="736"/>
      <c r="M1009" s="740"/>
      <c r="N1009" s="315"/>
      <c r="O1009" s="314"/>
      <c r="P1009" s="314"/>
      <c r="Q1009" s="435"/>
      <c r="R1009" s="435"/>
      <c r="S1009" s="849"/>
      <c r="T1009" s="740"/>
      <c r="U1009" s="744"/>
      <c r="V1009" s="435"/>
      <c r="W1009" s="435"/>
      <c r="X1009" s="435"/>
      <c r="Y1009" s="435"/>
      <c r="Z1009" s="435"/>
      <c r="AA1009" s="740"/>
      <c r="AB1009" s="744"/>
      <c r="AC1009" s="435"/>
      <c r="AD1009" s="435"/>
      <c r="AE1009" s="435"/>
      <c r="AF1009" s="435"/>
      <c r="AG1009" s="324"/>
      <c r="AH1009" s="180"/>
      <c r="AI1009" s="155"/>
      <c r="AJ1009" s="322"/>
      <c r="AK1009" s="132"/>
      <c r="AL1009" s="132"/>
    </row>
    <row r="1010">
      <c r="A1010" s="477"/>
      <c r="B1010" s="313"/>
      <c r="C1010" s="745"/>
      <c r="D1010" s="437"/>
      <c r="E1010" s="435"/>
      <c r="F1010" s="318"/>
      <c r="G1010" s="315"/>
      <c r="H1010" s="435"/>
      <c r="I1010" s="314"/>
      <c r="J1010" s="314"/>
      <c r="K1010" s="744"/>
      <c r="L1010" s="736"/>
      <c r="M1010" s="740"/>
      <c r="N1010" s="744"/>
      <c r="O1010" s="314"/>
      <c r="P1010" s="435"/>
      <c r="Q1010" s="435"/>
      <c r="R1010" s="435"/>
      <c r="S1010" s="849"/>
      <c r="T1010" s="740"/>
      <c r="U1010" s="744"/>
      <c r="V1010" s="435"/>
      <c r="W1010" s="435"/>
      <c r="X1010" s="435"/>
      <c r="Y1010" s="435"/>
      <c r="Z1010" s="435"/>
      <c r="AA1010" s="740"/>
      <c r="AB1010" s="744"/>
      <c r="AC1010" s="435"/>
      <c r="AD1010" s="435"/>
      <c r="AE1010" s="435"/>
      <c r="AF1010" s="435"/>
      <c r="AG1010" s="324"/>
      <c r="AH1010" s="180"/>
      <c r="AI1010" s="155"/>
      <c r="AJ1010" s="322"/>
      <c r="AK1010" s="132"/>
      <c r="AL1010" s="132"/>
    </row>
    <row r="1011">
      <c r="A1011" s="479"/>
      <c r="B1011" s="313"/>
      <c r="C1011" s="312"/>
      <c r="D1011" s="313"/>
      <c r="E1011" s="314"/>
      <c r="F1011" s="318"/>
      <c r="G1011" s="315"/>
      <c r="H1011" s="314"/>
      <c r="I1011" s="314"/>
      <c r="J1011" s="314"/>
      <c r="K1011" s="315"/>
      <c r="L1011" s="736"/>
      <c r="M1011" s="318"/>
      <c r="N1011" s="315"/>
      <c r="O1011" s="314"/>
      <c r="P1011" s="314"/>
      <c r="Q1011" s="435"/>
      <c r="R1011" s="314"/>
      <c r="S1011" s="848"/>
      <c r="T1011" s="318"/>
      <c r="U1011" s="315"/>
      <c r="V1011" s="314"/>
      <c r="W1011" s="314"/>
      <c r="X1011" s="314"/>
      <c r="Y1011" s="314"/>
      <c r="Z1011" s="314"/>
      <c r="AA1011" s="318"/>
      <c r="AB1011" s="315"/>
      <c r="AC1011" s="314"/>
      <c r="AD1011" s="314"/>
      <c r="AE1011" s="314"/>
      <c r="AF1011" s="314"/>
      <c r="AG1011" s="324"/>
      <c r="AH1011" s="180"/>
      <c r="AI1011" s="155"/>
      <c r="AJ1011" s="322"/>
      <c r="AK1011" s="132"/>
      <c r="AL1011" s="132"/>
    </row>
    <row r="1012">
      <c r="A1012" s="476"/>
      <c r="AI1012" s="176"/>
      <c r="AJ1012" s="322"/>
      <c r="AK1012" s="132"/>
      <c r="AL1012" s="132"/>
    </row>
    <row r="1013">
      <c r="A1013" s="178"/>
      <c r="AJ1013" s="322"/>
      <c r="AK1013" s="132"/>
      <c r="AL1013" s="132"/>
    </row>
    <row r="1014">
      <c r="A1014" s="480"/>
      <c r="B1014" s="313"/>
      <c r="C1014" s="745"/>
      <c r="D1014" s="313"/>
      <c r="E1014" s="314"/>
      <c r="F1014" s="318"/>
      <c r="G1014" s="315"/>
      <c r="H1014" s="314"/>
      <c r="I1014" s="314"/>
      <c r="J1014" s="435"/>
      <c r="K1014" s="744"/>
      <c r="L1014" s="736"/>
      <c r="M1014" s="318"/>
      <c r="N1014" s="315"/>
      <c r="O1014" s="314"/>
      <c r="P1014" s="314"/>
      <c r="Q1014" s="435"/>
      <c r="R1014" s="314"/>
      <c r="S1014" s="848"/>
      <c r="T1014" s="318"/>
      <c r="U1014" s="315"/>
      <c r="V1014" s="314"/>
      <c r="W1014" s="314"/>
      <c r="X1014" s="314"/>
      <c r="Y1014" s="314"/>
      <c r="Z1014" s="314"/>
      <c r="AA1014" s="318"/>
      <c r="AB1014" s="315"/>
      <c r="AC1014" s="314"/>
      <c r="AD1014" s="314"/>
      <c r="AE1014" s="314"/>
      <c r="AF1014" s="314"/>
      <c r="AG1014" s="324"/>
      <c r="AH1014" s="180"/>
      <c r="AI1014" s="180"/>
      <c r="AJ1014" s="322"/>
      <c r="AK1014" s="132"/>
      <c r="AL1014" s="132"/>
    </row>
    <row r="1015">
      <c r="A1015" s="480"/>
      <c r="B1015" s="313"/>
      <c r="C1015" s="745"/>
      <c r="D1015" s="313"/>
      <c r="E1015" s="314"/>
      <c r="F1015" s="318"/>
      <c r="G1015" s="315"/>
      <c r="H1015" s="435"/>
      <c r="I1015" s="314"/>
      <c r="J1015" s="435"/>
      <c r="K1015" s="744"/>
      <c r="L1015" s="736"/>
      <c r="M1015" s="740"/>
      <c r="N1015" s="744"/>
      <c r="O1015" s="314"/>
      <c r="P1015" s="435"/>
      <c r="Q1015" s="435"/>
      <c r="R1015" s="314"/>
      <c r="S1015" s="849"/>
      <c r="T1015" s="740"/>
      <c r="U1015" s="744"/>
      <c r="V1015" s="435"/>
      <c r="W1015" s="435"/>
      <c r="X1015" s="435"/>
      <c r="Y1015" s="435"/>
      <c r="Z1015" s="435"/>
      <c r="AA1015" s="740"/>
      <c r="AB1015" s="744"/>
      <c r="AC1015" s="435"/>
      <c r="AD1015" s="435"/>
      <c r="AE1015" s="435"/>
      <c r="AF1015" s="435"/>
      <c r="AG1015" s="324"/>
      <c r="AH1015" s="180"/>
      <c r="AI1015" s="180"/>
      <c r="AJ1015" s="322"/>
      <c r="AK1015" s="132"/>
      <c r="AL1015" s="132"/>
    </row>
    <row r="1016">
      <c r="A1016" s="476"/>
      <c r="AI1016" s="176"/>
      <c r="AJ1016" s="322"/>
      <c r="AK1016" s="132"/>
      <c r="AL1016" s="132"/>
    </row>
    <row r="1017">
      <c r="A1017" s="178"/>
      <c r="AJ1017" s="322"/>
      <c r="AK1017" s="132"/>
      <c r="AL1017" s="132"/>
    </row>
    <row r="1018">
      <c r="A1018" s="481"/>
      <c r="B1018" s="313"/>
      <c r="C1018" s="745"/>
      <c r="D1018" s="437"/>
      <c r="E1018" s="435"/>
      <c r="F1018" s="318"/>
      <c r="G1018" s="744"/>
      <c r="H1018" s="435"/>
      <c r="I1018" s="435"/>
      <c r="J1018" s="314"/>
      <c r="K1018" s="744"/>
      <c r="L1018" s="839"/>
      <c r="M1018" s="740"/>
      <c r="N1018" s="315"/>
      <c r="O1018" s="314"/>
      <c r="P1018" s="435"/>
      <c r="Q1018" s="435"/>
      <c r="R1018" s="435"/>
      <c r="S1018" s="849"/>
      <c r="T1018" s="740"/>
      <c r="U1018" s="744"/>
      <c r="V1018" s="435"/>
      <c r="W1018" s="435"/>
      <c r="X1018" s="435"/>
      <c r="Y1018" s="435"/>
      <c r="Z1018" s="435"/>
      <c r="AA1018" s="740"/>
      <c r="AB1018" s="744"/>
      <c r="AC1018" s="435"/>
      <c r="AD1018" s="435"/>
      <c r="AE1018" s="435"/>
      <c r="AF1018" s="435"/>
      <c r="AG1018" s="324"/>
      <c r="AH1018" s="180"/>
      <c r="AI1018" s="155"/>
      <c r="AJ1018" s="322"/>
      <c r="AK1018" s="132"/>
      <c r="AL1018" s="132"/>
    </row>
    <row r="1019">
      <c r="A1019" s="435"/>
      <c r="B1019" s="313"/>
      <c r="C1019" s="745"/>
      <c r="D1019" s="437"/>
      <c r="E1019" s="314"/>
      <c r="F1019" s="318"/>
      <c r="G1019" s="315"/>
      <c r="H1019" s="435"/>
      <c r="I1019" s="314"/>
      <c r="J1019" s="435"/>
      <c r="K1019" s="744"/>
      <c r="L1019" s="736"/>
      <c r="M1019" s="318"/>
      <c r="N1019" s="315"/>
      <c r="O1019" s="314"/>
      <c r="P1019" s="435"/>
      <c r="Q1019" s="435"/>
      <c r="R1019" s="435"/>
      <c r="S1019" s="849"/>
      <c r="T1019" s="740"/>
      <c r="U1019" s="744"/>
      <c r="V1019" s="435"/>
      <c r="W1019" s="435"/>
      <c r="X1019" s="435"/>
      <c r="Y1019" s="435"/>
      <c r="Z1019" s="435"/>
      <c r="AA1019" s="740"/>
      <c r="AB1019" s="744"/>
      <c r="AC1019" s="435"/>
      <c r="AD1019" s="435"/>
      <c r="AE1019" s="435"/>
      <c r="AF1019" s="435"/>
      <c r="AG1019" s="324"/>
      <c r="AH1019" s="180"/>
      <c r="AI1019" s="155"/>
      <c r="AJ1019" s="322"/>
      <c r="AK1019" s="132"/>
      <c r="AL1019" s="132"/>
    </row>
    <row r="1020">
      <c r="A1020" s="482"/>
      <c r="B1020" s="313"/>
      <c r="C1020" s="312"/>
      <c r="D1020" s="437"/>
      <c r="E1020" s="314"/>
      <c r="F1020" s="318"/>
      <c r="G1020" s="315"/>
      <c r="H1020" s="314"/>
      <c r="I1020" s="314"/>
      <c r="J1020" s="314"/>
      <c r="K1020" s="744"/>
      <c r="L1020" s="736"/>
      <c r="M1020" s="318"/>
      <c r="N1020" s="315"/>
      <c r="O1020" s="314"/>
      <c r="P1020" s="314"/>
      <c r="Q1020" s="314"/>
      <c r="R1020" s="435"/>
      <c r="S1020" s="848"/>
      <c r="T1020" s="318"/>
      <c r="U1020" s="315"/>
      <c r="V1020" s="314"/>
      <c r="W1020" s="314"/>
      <c r="X1020" s="314"/>
      <c r="Y1020" s="314"/>
      <c r="Z1020" s="314"/>
      <c r="AA1020" s="318"/>
      <c r="AB1020" s="315"/>
      <c r="AC1020" s="314"/>
      <c r="AD1020" s="314"/>
      <c r="AE1020" s="314"/>
      <c r="AF1020" s="314"/>
      <c r="AG1020" s="324"/>
      <c r="AH1020" s="180"/>
      <c r="AI1020" s="155"/>
      <c r="AJ1020" s="322"/>
      <c r="AK1020" s="132"/>
      <c r="AL1020" s="132"/>
    </row>
    <row r="1021">
      <c r="A1021" s="482"/>
      <c r="B1021" s="313"/>
      <c r="C1021" s="745"/>
      <c r="D1021" s="437"/>
      <c r="E1021" s="435"/>
      <c r="F1021" s="318"/>
      <c r="G1021" s="315"/>
      <c r="H1021" s="435"/>
      <c r="I1021" s="435"/>
      <c r="J1021" s="435"/>
      <c r="K1021" s="744"/>
      <c r="L1021" s="839"/>
      <c r="M1021" s="740"/>
      <c r="N1021" s="744"/>
      <c r="O1021" s="314"/>
      <c r="P1021" s="435"/>
      <c r="Q1021" s="435"/>
      <c r="R1021" s="435"/>
      <c r="S1021" s="849"/>
      <c r="T1021" s="740"/>
      <c r="U1021" s="744"/>
      <c r="V1021" s="435"/>
      <c r="W1021" s="435"/>
      <c r="X1021" s="435"/>
      <c r="Y1021" s="435"/>
      <c r="Z1021" s="435"/>
      <c r="AA1021" s="740"/>
      <c r="AB1021" s="744"/>
      <c r="AC1021" s="435"/>
      <c r="AD1021" s="435"/>
      <c r="AE1021" s="435"/>
      <c r="AF1021" s="435"/>
      <c r="AG1021" s="324"/>
      <c r="AH1021" s="180"/>
      <c r="AI1021" s="155"/>
      <c r="AJ1021" s="322"/>
      <c r="AK1021" s="132"/>
      <c r="AL1021" s="132"/>
    </row>
    <row r="1022">
      <c r="A1022" s="314"/>
      <c r="B1022" s="313"/>
      <c r="C1022" s="312"/>
      <c r="D1022" s="313"/>
      <c r="E1022" s="314"/>
      <c r="F1022" s="318"/>
      <c r="G1022" s="315"/>
      <c r="H1022" s="314"/>
      <c r="I1022" s="314"/>
      <c r="J1022" s="314"/>
      <c r="K1022" s="315"/>
      <c r="L1022" s="736"/>
      <c r="M1022" s="318"/>
      <c r="N1022" s="315"/>
      <c r="O1022" s="314"/>
      <c r="P1022" s="314"/>
      <c r="Q1022" s="314"/>
      <c r="R1022" s="314"/>
      <c r="S1022" s="848"/>
      <c r="T1022" s="318"/>
      <c r="U1022" s="315"/>
      <c r="V1022" s="314"/>
      <c r="W1022" s="314"/>
      <c r="X1022" s="314"/>
      <c r="Y1022" s="314"/>
      <c r="Z1022" s="314"/>
      <c r="AA1022" s="318"/>
      <c r="AB1022" s="315"/>
      <c r="AC1022" s="314"/>
      <c r="AD1022" s="314"/>
      <c r="AE1022" s="314"/>
      <c r="AF1022" s="314"/>
      <c r="AG1022" s="483"/>
      <c r="AI1022" s="484"/>
      <c r="AJ1022" s="322"/>
      <c r="AK1022" s="132"/>
      <c r="AL1022" s="132"/>
    </row>
    <row r="1023">
      <c r="A1023" s="314"/>
      <c r="B1023" s="313"/>
      <c r="C1023" s="312"/>
      <c r="D1023" s="313"/>
      <c r="E1023" s="314"/>
      <c r="F1023" s="318"/>
      <c r="G1023" s="315"/>
      <c r="H1023" s="314"/>
      <c r="I1023" s="314"/>
      <c r="J1023" s="314"/>
      <c r="K1023" s="315"/>
      <c r="L1023" s="736"/>
      <c r="M1023" s="318"/>
      <c r="N1023" s="315"/>
      <c r="O1023" s="314"/>
      <c r="P1023" s="314"/>
      <c r="Q1023" s="314"/>
      <c r="R1023" s="314"/>
      <c r="S1023" s="848"/>
      <c r="T1023" s="318"/>
      <c r="U1023" s="315"/>
      <c r="V1023" s="314"/>
      <c r="W1023" s="314"/>
      <c r="X1023" s="314"/>
      <c r="Y1023" s="314"/>
      <c r="Z1023" s="314"/>
      <c r="AA1023" s="318"/>
      <c r="AB1023" s="315"/>
      <c r="AC1023" s="314"/>
      <c r="AD1023" s="314"/>
      <c r="AE1023" s="314"/>
      <c r="AF1023" s="314"/>
      <c r="AG1023" s="324"/>
      <c r="AH1023" s="155"/>
      <c r="AI1023" s="155"/>
      <c r="AJ1023" s="322"/>
      <c r="AK1023" s="132"/>
      <c r="AL1023" s="132"/>
    </row>
    <row r="1024">
      <c r="A1024" s="314"/>
      <c r="B1024" s="313"/>
      <c r="C1024" s="312"/>
      <c r="D1024" s="313"/>
      <c r="E1024" s="314"/>
      <c r="F1024" s="318"/>
      <c r="G1024" s="315"/>
      <c r="H1024" s="314"/>
      <c r="I1024" s="314"/>
      <c r="J1024" s="314"/>
      <c r="K1024" s="315"/>
      <c r="L1024" s="736"/>
      <c r="M1024" s="318"/>
      <c r="N1024" s="315"/>
      <c r="O1024" s="314"/>
      <c r="P1024" s="314"/>
      <c r="Q1024" s="314"/>
      <c r="R1024" s="314"/>
      <c r="S1024" s="848"/>
      <c r="T1024" s="318"/>
      <c r="U1024" s="315"/>
      <c r="V1024" s="314"/>
      <c r="W1024" s="314"/>
      <c r="X1024" s="314"/>
      <c r="Y1024" s="314"/>
      <c r="Z1024" s="314"/>
      <c r="AA1024" s="318"/>
      <c r="AB1024" s="315"/>
      <c r="AC1024" s="314"/>
      <c r="AD1024" s="314"/>
      <c r="AE1024" s="314"/>
      <c r="AF1024" s="314"/>
      <c r="AG1024" s="324"/>
      <c r="AH1024" s="155"/>
      <c r="AI1024" s="155"/>
      <c r="AJ1024" s="322"/>
      <c r="AK1024" s="132"/>
      <c r="AL1024" s="132"/>
    </row>
    <row r="1025">
      <c r="A1025" s="314"/>
      <c r="B1025" s="313"/>
      <c r="C1025" s="312"/>
      <c r="D1025" s="313"/>
      <c r="E1025" s="314"/>
      <c r="F1025" s="318"/>
      <c r="G1025" s="315"/>
      <c r="H1025" s="314"/>
      <c r="I1025" s="314"/>
      <c r="J1025" s="314"/>
      <c r="K1025" s="315"/>
      <c r="L1025" s="736"/>
      <c r="M1025" s="318"/>
      <c r="N1025" s="315"/>
      <c r="O1025" s="314"/>
      <c r="P1025" s="314"/>
      <c r="Q1025" s="314"/>
      <c r="R1025" s="314"/>
      <c r="S1025" s="848"/>
      <c r="T1025" s="318"/>
      <c r="U1025" s="315"/>
      <c r="V1025" s="314"/>
      <c r="W1025" s="314"/>
      <c r="X1025" s="314"/>
      <c r="Y1025" s="314"/>
      <c r="Z1025" s="314"/>
      <c r="AA1025" s="318"/>
      <c r="AB1025" s="315"/>
      <c r="AC1025" s="314"/>
      <c r="AD1025" s="314"/>
      <c r="AE1025" s="314"/>
      <c r="AF1025" s="314"/>
      <c r="AG1025" s="324"/>
      <c r="AH1025" s="155"/>
      <c r="AI1025" s="155"/>
      <c r="AJ1025" s="322"/>
      <c r="AK1025" s="132"/>
      <c r="AL1025" s="132"/>
    </row>
    <row r="1026">
      <c r="A1026" s="314"/>
      <c r="B1026" s="313"/>
      <c r="C1026" s="312"/>
      <c r="D1026" s="313"/>
      <c r="E1026" s="314"/>
      <c r="F1026" s="318"/>
      <c r="G1026" s="315"/>
      <c r="H1026" s="314"/>
      <c r="I1026" s="314"/>
      <c r="J1026" s="314"/>
      <c r="K1026" s="315"/>
      <c r="L1026" s="736"/>
      <c r="M1026" s="318"/>
      <c r="N1026" s="315"/>
      <c r="O1026" s="314"/>
      <c r="P1026" s="314"/>
      <c r="Q1026" s="314"/>
      <c r="R1026" s="314"/>
      <c r="S1026" s="848"/>
      <c r="T1026" s="318"/>
      <c r="U1026" s="315"/>
      <c r="V1026" s="314"/>
      <c r="W1026" s="314"/>
      <c r="X1026" s="314"/>
      <c r="Y1026" s="314"/>
      <c r="Z1026" s="314"/>
      <c r="AA1026" s="318"/>
      <c r="AB1026" s="315"/>
      <c r="AC1026" s="314"/>
      <c r="AD1026" s="314"/>
      <c r="AE1026" s="314"/>
      <c r="AF1026" s="314"/>
      <c r="AG1026" s="324"/>
      <c r="AH1026" s="155"/>
      <c r="AI1026" s="155"/>
      <c r="AJ1026" s="322"/>
      <c r="AK1026" s="132"/>
      <c r="AL1026" s="132"/>
    </row>
    <row r="1027">
      <c r="A1027" s="314"/>
      <c r="B1027" s="313"/>
      <c r="C1027" s="312"/>
      <c r="D1027" s="313"/>
      <c r="E1027" s="314"/>
      <c r="F1027" s="318"/>
      <c r="G1027" s="315"/>
      <c r="H1027" s="314"/>
      <c r="I1027" s="314"/>
      <c r="J1027" s="314"/>
      <c r="K1027" s="315"/>
      <c r="L1027" s="736"/>
      <c r="M1027" s="318"/>
      <c r="N1027" s="315"/>
      <c r="O1027" s="314"/>
      <c r="P1027" s="314"/>
      <c r="Q1027" s="314"/>
      <c r="R1027" s="314"/>
      <c r="S1027" s="848"/>
      <c r="T1027" s="318"/>
      <c r="U1027" s="315"/>
      <c r="V1027" s="314"/>
      <c r="W1027" s="314"/>
      <c r="X1027" s="314"/>
      <c r="Y1027" s="314"/>
      <c r="Z1027" s="314"/>
      <c r="AA1027" s="318"/>
      <c r="AB1027" s="315"/>
      <c r="AC1027" s="314"/>
      <c r="AD1027" s="314"/>
      <c r="AE1027" s="314"/>
      <c r="AF1027" s="314"/>
      <c r="AG1027" s="324"/>
      <c r="AH1027" s="155"/>
      <c r="AI1027" s="155"/>
      <c r="AJ1027" s="322"/>
      <c r="AK1027" s="132"/>
      <c r="AL1027" s="132"/>
    </row>
    <row r="1028">
      <c r="A1028" s="314"/>
      <c r="B1028" s="313"/>
      <c r="C1028" s="312"/>
      <c r="D1028" s="313"/>
      <c r="E1028" s="314"/>
      <c r="F1028" s="318"/>
      <c r="G1028" s="315"/>
      <c r="H1028" s="314"/>
      <c r="I1028" s="314"/>
      <c r="J1028" s="314"/>
      <c r="K1028" s="315"/>
      <c r="L1028" s="736"/>
      <c r="M1028" s="318"/>
      <c r="N1028" s="315"/>
      <c r="O1028" s="314"/>
      <c r="P1028" s="314"/>
      <c r="Q1028" s="314"/>
      <c r="R1028" s="314"/>
      <c r="S1028" s="848"/>
      <c r="T1028" s="318"/>
      <c r="U1028" s="315"/>
      <c r="V1028" s="314"/>
      <c r="W1028" s="314"/>
      <c r="X1028" s="314"/>
      <c r="Y1028" s="314"/>
      <c r="Z1028" s="314"/>
      <c r="AA1028" s="318"/>
      <c r="AB1028" s="315"/>
      <c r="AC1028" s="314"/>
      <c r="AD1028" s="314"/>
      <c r="AE1028" s="314"/>
      <c r="AF1028" s="314"/>
      <c r="AG1028" s="324"/>
      <c r="AH1028" s="155"/>
      <c r="AI1028" s="155"/>
      <c r="AJ1028" s="322"/>
      <c r="AK1028" s="132"/>
      <c r="AL1028" s="132"/>
    </row>
    <row r="1029">
      <c r="A1029" s="314"/>
      <c r="B1029" s="313"/>
      <c r="C1029" s="312"/>
      <c r="D1029" s="313"/>
      <c r="E1029" s="314"/>
      <c r="F1029" s="318"/>
      <c r="G1029" s="315"/>
      <c r="H1029" s="314"/>
      <c r="I1029" s="314"/>
      <c r="J1029" s="314"/>
      <c r="K1029" s="315"/>
      <c r="L1029" s="736"/>
      <c r="M1029" s="318"/>
      <c r="N1029" s="315"/>
      <c r="O1029" s="314"/>
      <c r="P1029" s="314"/>
      <c r="Q1029" s="314"/>
      <c r="R1029" s="314"/>
      <c r="S1029" s="848"/>
      <c r="T1029" s="318"/>
      <c r="U1029" s="315"/>
      <c r="V1029" s="314"/>
      <c r="W1029" s="314"/>
      <c r="X1029" s="314"/>
      <c r="Y1029" s="314"/>
      <c r="Z1029" s="314"/>
      <c r="AA1029" s="318"/>
      <c r="AB1029" s="315"/>
      <c r="AC1029" s="314"/>
      <c r="AD1029" s="314"/>
      <c r="AE1029" s="314"/>
      <c r="AF1029" s="314"/>
      <c r="AG1029" s="324"/>
      <c r="AH1029" s="155"/>
      <c r="AI1029" s="155"/>
      <c r="AJ1029" s="322"/>
      <c r="AK1029" s="132"/>
      <c r="AL1029" s="132"/>
    </row>
    <row r="1030">
      <c r="A1030" s="314"/>
      <c r="B1030" s="313"/>
      <c r="C1030" s="312"/>
      <c r="D1030" s="313"/>
      <c r="E1030" s="314"/>
      <c r="F1030" s="318"/>
      <c r="G1030" s="315"/>
      <c r="H1030" s="314"/>
      <c r="I1030" s="314"/>
      <c r="J1030" s="314"/>
      <c r="K1030" s="315"/>
      <c r="L1030" s="736"/>
      <c r="M1030" s="318"/>
      <c r="N1030" s="315"/>
      <c r="O1030" s="314"/>
      <c r="P1030" s="314"/>
      <c r="Q1030" s="314"/>
      <c r="R1030" s="314"/>
      <c r="S1030" s="848"/>
      <c r="T1030" s="318"/>
      <c r="U1030" s="315"/>
      <c r="V1030" s="314"/>
      <c r="W1030" s="314"/>
      <c r="X1030" s="314"/>
      <c r="Y1030" s="314"/>
      <c r="Z1030" s="314"/>
      <c r="AA1030" s="318"/>
      <c r="AB1030" s="315"/>
      <c r="AC1030" s="314"/>
      <c r="AD1030" s="314"/>
      <c r="AE1030" s="314"/>
      <c r="AF1030" s="314"/>
      <c r="AG1030" s="324"/>
      <c r="AH1030" s="155"/>
      <c r="AI1030" s="155"/>
      <c r="AJ1030" s="322"/>
      <c r="AK1030" s="132"/>
      <c r="AL1030" s="132"/>
    </row>
    <row r="1031">
      <c r="A1031" s="314"/>
      <c r="B1031" s="313"/>
      <c r="C1031" s="312"/>
      <c r="D1031" s="313"/>
      <c r="E1031" s="314"/>
      <c r="F1031" s="318"/>
      <c r="G1031" s="315"/>
      <c r="H1031" s="314"/>
      <c r="I1031" s="314"/>
      <c r="J1031" s="314"/>
      <c r="K1031" s="315"/>
      <c r="L1031" s="736"/>
      <c r="M1031" s="318"/>
      <c r="N1031" s="315"/>
      <c r="O1031" s="314"/>
      <c r="P1031" s="314"/>
      <c r="Q1031" s="314"/>
      <c r="R1031" s="314"/>
      <c r="S1031" s="848"/>
      <c r="T1031" s="318"/>
      <c r="U1031" s="315"/>
      <c r="V1031" s="314"/>
      <c r="W1031" s="314"/>
      <c r="X1031" s="314"/>
      <c r="Y1031" s="314"/>
      <c r="Z1031" s="314"/>
      <c r="AA1031" s="318"/>
      <c r="AB1031" s="315"/>
      <c r="AC1031" s="314"/>
      <c r="AD1031" s="314"/>
      <c r="AE1031" s="314"/>
      <c r="AF1031" s="314"/>
      <c r="AG1031" s="324"/>
      <c r="AH1031" s="155"/>
      <c r="AI1031" s="155"/>
      <c r="AJ1031" s="322"/>
      <c r="AK1031" s="132"/>
      <c r="AL1031" s="132"/>
    </row>
    <row r="1032">
      <c r="A1032" s="314"/>
      <c r="B1032" s="313"/>
      <c r="C1032" s="312"/>
      <c r="D1032" s="313"/>
      <c r="E1032" s="314"/>
      <c r="F1032" s="318"/>
      <c r="G1032" s="315"/>
      <c r="H1032" s="314"/>
      <c r="I1032" s="314"/>
      <c r="J1032" s="314"/>
      <c r="K1032" s="315"/>
      <c r="L1032" s="736"/>
      <c r="M1032" s="318"/>
      <c r="N1032" s="315"/>
      <c r="O1032" s="314"/>
      <c r="P1032" s="314"/>
      <c r="Q1032" s="314"/>
      <c r="R1032" s="314"/>
      <c r="S1032" s="848"/>
      <c r="T1032" s="318"/>
      <c r="U1032" s="315"/>
      <c r="V1032" s="314"/>
      <c r="W1032" s="314"/>
      <c r="X1032" s="314"/>
      <c r="Y1032" s="314"/>
      <c r="Z1032" s="314"/>
      <c r="AA1032" s="318"/>
      <c r="AB1032" s="315"/>
      <c r="AC1032" s="314"/>
      <c r="AD1032" s="314"/>
      <c r="AE1032" s="314"/>
      <c r="AF1032" s="314"/>
      <c r="AG1032" s="324"/>
      <c r="AH1032" s="155"/>
      <c r="AI1032" s="155"/>
      <c r="AJ1032" s="322"/>
      <c r="AK1032" s="132"/>
      <c r="AL1032" s="132"/>
    </row>
    <row r="1033">
      <c r="A1033" s="314"/>
      <c r="B1033" s="313"/>
      <c r="C1033" s="312"/>
      <c r="D1033" s="313"/>
      <c r="E1033" s="314"/>
      <c r="F1033" s="318"/>
      <c r="G1033" s="315"/>
      <c r="H1033" s="314"/>
      <c r="I1033" s="314"/>
      <c r="J1033" s="314"/>
      <c r="K1033" s="315"/>
      <c r="L1033" s="736"/>
      <c r="M1033" s="318"/>
      <c r="N1033" s="315"/>
      <c r="O1033" s="314"/>
      <c r="P1033" s="314"/>
      <c r="Q1033" s="314"/>
      <c r="R1033" s="314"/>
      <c r="S1033" s="848"/>
      <c r="T1033" s="318"/>
      <c r="U1033" s="315"/>
      <c r="V1033" s="314"/>
      <c r="W1033" s="314"/>
      <c r="X1033" s="314"/>
      <c r="Y1033" s="314"/>
      <c r="Z1033" s="314"/>
      <c r="AA1033" s="318"/>
      <c r="AB1033" s="315"/>
      <c r="AC1033" s="314"/>
      <c r="AD1033" s="314"/>
      <c r="AE1033" s="314"/>
      <c r="AF1033" s="314"/>
      <c r="AG1033" s="324"/>
      <c r="AH1033" s="155"/>
      <c r="AI1033" s="155"/>
      <c r="AJ1033" s="322"/>
      <c r="AK1033" s="132"/>
      <c r="AL1033" s="132"/>
    </row>
    <row r="1034">
      <c r="A1034" s="314"/>
      <c r="B1034" s="313"/>
      <c r="C1034" s="312"/>
      <c r="D1034" s="313"/>
      <c r="E1034" s="314"/>
      <c r="F1034" s="318"/>
      <c r="G1034" s="315"/>
      <c r="H1034" s="314"/>
      <c r="I1034" s="314"/>
      <c r="J1034" s="314"/>
      <c r="K1034" s="315"/>
      <c r="L1034" s="736"/>
      <c r="M1034" s="318"/>
      <c r="N1034" s="315"/>
      <c r="O1034" s="314"/>
      <c r="P1034" s="314"/>
      <c r="Q1034" s="314"/>
      <c r="R1034" s="314"/>
      <c r="S1034" s="848"/>
      <c r="T1034" s="318"/>
      <c r="U1034" s="315"/>
      <c r="V1034" s="314"/>
      <c r="W1034" s="314"/>
      <c r="X1034" s="314"/>
      <c r="Y1034" s="314"/>
      <c r="Z1034" s="314"/>
      <c r="AA1034" s="318"/>
      <c r="AB1034" s="315"/>
      <c r="AC1034" s="314"/>
      <c r="AD1034" s="314"/>
      <c r="AE1034" s="314"/>
      <c r="AF1034" s="314"/>
      <c r="AG1034" s="324"/>
      <c r="AH1034" s="155"/>
      <c r="AI1034" s="155"/>
      <c r="AJ1034" s="322"/>
      <c r="AK1034" s="132"/>
      <c r="AL1034" s="132"/>
    </row>
    <row r="1035">
      <c r="A1035" s="314"/>
      <c r="B1035" s="313"/>
      <c r="C1035" s="312"/>
      <c r="D1035" s="313"/>
      <c r="E1035" s="314"/>
      <c r="F1035" s="318"/>
      <c r="G1035" s="315"/>
      <c r="H1035" s="314"/>
      <c r="I1035" s="314"/>
      <c r="J1035" s="314"/>
      <c r="K1035" s="315"/>
      <c r="L1035" s="736"/>
      <c r="M1035" s="318"/>
      <c r="N1035" s="315"/>
      <c r="O1035" s="314"/>
      <c r="P1035" s="314"/>
      <c r="Q1035" s="314"/>
      <c r="R1035" s="314"/>
      <c r="S1035" s="848"/>
      <c r="T1035" s="318"/>
      <c r="U1035" s="315"/>
      <c r="V1035" s="314"/>
      <c r="W1035" s="314"/>
      <c r="X1035" s="314"/>
      <c r="Y1035" s="314"/>
      <c r="Z1035" s="314"/>
      <c r="AA1035" s="318"/>
      <c r="AB1035" s="315"/>
      <c r="AC1035" s="314"/>
      <c r="AD1035" s="314"/>
      <c r="AE1035" s="314"/>
      <c r="AF1035" s="314"/>
      <c r="AG1035" s="324"/>
      <c r="AH1035" s="155"/>
      <c r="AI1035" s="155"/>
      <c r="AJ1035" s="322"/>
      <c r="AK1035" s="132"/>
      <c r="AL1035" s="132"/>
    </row>
    <row r="1036">
      <c r="A1036" s="314"/>
      <c r="B1036" s="313"/>
      <c r="C1036" s="312"/>
      <c r="D1036" s="313"/>
      <c r="E1036" s="314"/>
      <c r="F1036" s="318"/>
      <c r="G1036" s="315"/>
      <c r="H1036" s="314"/>
      <c r="I1036" s="314"/>
      <c r="J1036" s="314"/>
      <c r="K1036" s="315"/>
      <c r="L1036" s="736"/>
      <c r="M1036" s="318"/>
      <c r="N1036" s="315"/>
      <c r="O1036" s="314"/>
      <c r="P1036" s="314"/>
      <c r="Q1036" s="314"/>
      <c r="R1036" s="314"/>
      <c r="S1036" s="848"/>
      <c r="T1036" s="318"/>
      <c r="U1036" s="315"/>
      <c r="V1036" s="314"/>
      <c r="W1036" s="314"/>
      <c r="X1036" s="314"/>
      <c r="Y1036" s="314"/>
      <c r="Z1036" s="314"/>
      <c r="AA1036" s="318"/>
      <c r="AB1036" s="315"/>
      <c r="AC1036" s="314"/>
      <c r="AD1036" s="314"/>
      <c r="AE1036" s="314"/>
      <c r="AF1036" s="314"/>
      <c r="AG1036" s="324"/>
      <c r="AH1036" s="155"/>
      <c r="AI1036" s="155"/>
      <c r="AJ1036" s="322"/>
      <c r="AK1036" s="132"/>
      <c r="AL1036" s="132"/>
    </row>
    <row r="1037">
      <c r="A1037" s="314"/>
      <c r="B1037" s="313"/>
      <c r="C1037" s="312"/>
      <c r="D1037" s="313"/>
      <c r="E1037" s="314"/>
      <c r="F1037" s="318"/>
      <c r="G1037" s="315"/>
      <c r="H1037" s="314"/>
      <c r="I1037" s="314"/>
      <c r="J1037" s="314"/>
      <c r="K1037" s="315"/>
      <c r="L1037" s="736"/>
      <c r="M1037" s="318"/>
      <c r="N1037" s="315"/>
      <c r="O1037" s="314"/>
      <c r="P1037" s="314"/>
      <c r="Q1037" s="314"/>
      <c r="R1037" s="314"/>
      <c r="S1037" s="848"/>
      <c r="T1037" s="318"/>
      <c r="U1037" s="315"/>
      <c r="V1037" s="314"/>
      <c r="W1037" s="314"/>
      <c r="X1037" s="314"/>
      <c r="Y1037" s="314"/>
      <c r="Z1037" s="314"/>
      <c r="AA1037" s="318"/>
      <c r="AB1037" s="315"/>
      <c r="AC1037" s="314"/>
      <c r="AD1037" s="314"/>
      <c r="AE1037" s="314"/>
      <c r="AF1037" s="314"/>
      <c r="AG1037" s="487"/>
      <c r="AI1037" s="484"/>
      <c r="AJ1037" s="322"/>
      <c r="AK1037" s="132"/>
      <c r="AL1037" s="132"/>
    </row>
    <row r="1038">
      <c r="A1038" s="314"/>
      <c r="B1038" s="313"/>
      <c r="C1038" s="312"/>
      <c r="D1038" s="313"/>
      <c r="E1038" s="314"/>
      <c r="F1038" s="318"/>
      <c r="G1038" s="315"/>
      <c r="H1038" s="314"/>
      <c r="I1038" s="314"/>
      <c r="J1038" s="314"/>
      <c r="K1038" s="315"/>
      <c r="L1038" s="736"/>
      <c r="M1038" s="318"/>
      <c r="N1038" s="315"/>
      <c r="O1038" s="314"/>
      <c r="P1038" s="314"/>
      <c r="Q1038" s="314"/>
      <c r="R1038" s="314"/>
      <c r="S1038" s="848"/>
      <c r="T1038" s="318"/>
      <c r="U1038" s="315"/>
      <c r="V1038" s="314"/>
      <c r="W1038" s="314"/>
      <c r="X1038" s="314"/>
      <c r="Y1038" s="314"/>
      <c r="Z1038" s="314"/>
      <c r="AA1038" s="318"/>
      <c r="AB1038" s="315"/>
      <c r="AC1038" s="314"/>
      <c r="AD1038" s="314"/>
      <c r="AE1038" s="314"/>
      <c r="AF1038" s="314"/>
      <c r="AG1038" s="324"/>
      <c r="AH1038" s="155"/>
      <c r="AI1038" s="155"/>
      <c r="AJ1038" s="322"/>
      <c r="AK1038" s="132"/>
      <c r="AL1038" s="132"/>
    </row>
    <row r="1039">
      <c r="A1039" s="314"/>
      <c r="B1039" s="313"/>
      <c r="C1039" s="312"/>
      <c r="D1039" s="313"/>
      <c r="E1039" s="314"/>
      <c r="F1039" s="318"/>
      <c r="G1039" s="315"/>
      <c r="H1039" s="314"/>
      <c r="I1039" s="314"/>
      <c r="J1039" s="314"/>
      <c r="K1039" s="315"/>
      <c r="L1039" s="736"/>
      <c r="M1039" s="318"/>
      <c r="N1039" s="315"/>
      <c r="O1039" s="314"/>
      <c r="P1039" s="314"/>
      <c r="Q1039" s="314"/>
      <c r="R1039" s="314"/>
      <c r="S1039" s="848"/>
      <c r="T1039" s="318"/>
      <c r="U1039" s="315"/>
      <c r="V1039" s="314"/>
      <c r="W1039" s="314"/>
      <c r="X1039" s="314"/>
      <c r="Y1039" s="314"/>
      <c r="Z1039" s="314"/>
      <c r="AA1039" s="318"/>
      <c r="AB1039" s="315"/>
      <c r="AC1039" s="314"/>
      <c r="AD1039" s="314"/>
      <c r="AE1039" s="314"/>
      <c r="AF1039" s="314"/>
      <c r="AG1039" s="324"/>
      <c r="AH1039" s="155"/>
      <c r="AI1039" s="155"/>
      <c r="AJ1039" s="322"/>
      <c r="AK1039" s="132"/>
      <c r="AL1039" s="132"/>
    </row>
    <row r="1040">
      <c r="A1040" s="314"/>
      <c r="B1040" s="313"/>
      <c r="C1040" s="312"/>
      <c r="D1040" s="313"/>
      <c r="E1040" s="314"/>
      <c r="F1040" s="318"/>
      <c r="G1040" s="315"/>
      <c r="H1040" s="314"/>
      <c r="I1040" s="314"/>
      <c r="J1040" s="314"/>
      <c r="K1040" s="315"/>
      <c r="L1040" s="736"/>
      <c r="M1040" s="318"/>
      <c r="N1040" s="315"/>
      <c r="O1040" s="314"/>
      <c r="P1040" s="314"/>
      <c r="Q1040" s="314"/>
      <c r="R1040" s="314"/>
      <c r="S1040" s="848"/>
      <c r="T1040" s="318"/>
      <c r="U1040" s="315"/>
      <c r="V1040" s="314"/>
      <c r="W1040" s="314"/>
      <c r="X1040" s="314"/>
      <c r="Y1040" s="314"/>
      <c r="Z1040" s="314"/>
      <c r="AA1040" s="318"/>
      <c r="AB1040" s="315"/>
      <c r="AC1040" s="314"/>
      <c r="AD1040" s="314"/>
      <c r="AE1040" s="314"/>
      <c r="AF1040" s="314"/>
      <c r="AG1040" s="324"/>
      <c r="AH1040" s="155"/>
      <c r="AI1040" s="155"/>
      <c r="AJ1040" s="322"/>
      <c r="AK1040" s="132"/>
      <c r="AL1040" s="132"/>
    </row>
    <row r="1041">
      <c r="A1041" s="314"/>
      <c r="B1041" s="313"/>
      <c r="C1041" s="312"/>
      <c r="D1041" s="313"/>
      <c r="E1041" s="314"/>
      <c r="F1041" s="318"/>
      <c r="G1041" s="315"/>
      <c r="H1041" s="314"/>
      <c r="I1041" s="314"/>
      <c r="J1041" s="314"/>
      <c r="K1041" s="315"/>
      <c r="L1041" s="736"/>
      <c r="M1041" s="318"/>
      <c r="N1041" s="315"/>
      <c r="O1041" s="314"/>
      <c r="P1041" s="314"/>
      <c r="Q1041" s="314"/>
      <c r="R1041" s="314"/>
      <c r="S1041" s="848"/>
      <c r="T1041" s="318"/>
      <c r="U1041" s="315"/>
      <c r="V1041" s="314"/>
      <c r="W1041" s="314"/>
      <c r="X1041" s="314"/>
      <c r="Y1041" s="314"/>
      <c r="Z1041" s="314"/>
      <c r="AA1041" s="318"/>
      <c r="AB1041" s="315"/>
      <c r="AC1041" s="314"/>
      <c r="AD1041" s="314"/>
      <c r="AE1041" s="314"/>
      <c r="AF1041" s="314"/>
      <c r="AG1041" s="324"/>
      <c r="AH1041" s="155"/>
      <c r="AI1041" s="155"/>
      <c r="AJ1041" s="322"/>
      <c r="AK1041" s="132"/>
      <c r="AL1041" s="132"/>
    </row>
    <row r="1042">
      <c r="A1042" s="314"/>
      <c r="B1042" s="313"/>
      <c r="C1042" s="312"/>
      <c r="D1042" s="313"/>
      <c r="E1042" s="314"/>
      <c r="F1042" s="318"/>
      <c r="G1042" s="315"/>
      <c r="H1042" s="314"/>
      <c r="I1042" s="314"/>
      <c r="J1042" s="314"/>
      <c r="K1042" s="315"/>
      <c r="L1042" s="736"/>
      <c r="M1042" s="318"/>
      <c r="N1042" s="315"/>
      <c r="O1042" s="314"/>
      <c r="P1042" s="314"/>
      <c r="Q1042" s="314"/>
      <c r="R1042" s="314"/>
      <c r="S1042" s="848"/>
      <c r="T1042" s="318"/>
      <c r="U1042" s="315"/>
      <c r="V1042" s="314"/>
      <c r="W1042" s="314"/>
      <c r="X1042" s="314"/>
      <c r="Y1042" s="314"/>
      <c r="Z1042" s="314"/>
      <c r="AA1042" s="318"/>
      <c r="AB1042" s="315"/>
      <c r="AC1042" s="314"/>
      <c r="AD1042" s="314"/>
      <c r="AE1042" s="314"/>
      <c r="AF1042" s="314"/>
      <c r="AG1042" s="324"/>
      <c r="AH1042" s="155"/>
      <c r="AI1042" s="155"/>
      <c r="AJ1042" s="322"/>
      <c r="AK1042" s="132"/>
      <c r="AL1042" s="132"/>
    </row>
    <row r="1043">
      <c r="A1043" s="314"/>
      <c r="B1043" s="313"/>
      <c r="C1043" s="312"/>
      <c r="D1043" s="313"/>
      <c r="E1043" s="314"/>
      <c r="F1043" s="318"/>
      <c r="G1043" s="315"/>
      <c r="H1043" s="314"/>
      <c r="I1043" s="314"/>
      <c r="J1043" s="314"/>
      <c r="K1043" s="315"/>
      <c r="L1043" s="736"/>
      <c r="M1043" s="318"/>
      <c r="N1043" s="315"/>
      <c r="O1043" s="314"/>
      <c r="P1043" s="314"/>
      <c r="Q1043" s="314"/>
      <c r="R1043" s="314"/>
      <c r="S1043" s="848"/>
      <c r="T1043" s="318"/>
      <c r="U1043" s="315"/>
      <c r="V1043" s="314"/>
      <c r="W1043" s="314"/>
      <c r="X1043" s="314"/>
      <c r="Y1043" s="314"/>
      <c r="Z1043" s="314"/>
      <c r="AA1043" s="318"/>
      <c r="AB1043" s="315"/>
      <c r="AC1043" s="314"/>
      <c r="AD1043" s="314"/>
      <c r="AE1043" s="314"/>
      <c r="AF1043" s="314"/>
      <c r="AG1043" s="324"/>
      <c r="AH1043" s="155"/>
      <c r="AI1043" s="155"/>
      <c r="AJ1043" s="322"/>
      <c r="AK1043" s="132"/>
      <c r="AL1043" s="132"/>
    </row>
    <row r="1044">
      <c r="A1044" s="314"/>
      <c r="B1044" s="313"/>
      <c r="C1044" s="312"/>
      <c r="D1044" s="313"/>
      <c r="E1044" s="314"/>
      <c r="F1044" s="318"/>
      <c r="G1044" s="315"/>
      <c r="H1044" s="314"/>
      <c r="I1044" s="314"/>
      <c r="J1044" s="314"/>
      <c r="K1044" s="315"/>
      <c r="L1044" s="736"/>
      <c r="M1044" s="318"/>
      <c r="N1044" s="315"/>
      <c r="O1044" s="314"/>
      <c r="P1044" s="314"/>
      <c r="Q1044" s="314"/>
      <c r="R1044" s="314"/>
      <c r="S1044" s="848"/>
      <c r="T1044" s="318"/>
      <c r="U1044" s="315"/>
      <c r="V1044" s="314"/>
      <c r="W1044" s="314"/>
      <c r="X1044" s="314"/>
      <c r="Y1044" s="314"/>
      <c r="Z1044" s="314"/>
      <c r="AA1044" s="318"/>
      <c r="AB1044" s="315"/>
      <c r="AC1044" s="314"/>
      <c r="AD1044" s="314"/>
      <c r="AE1044" s="314"/>
      <c r="AF1044" s="314"/>
      <c r="AG1044" s="324"/>
      <c r="AH1044" s="155"/>
      <c r="AI1044" s="155"/>
      <c r="AJ1044" s="322"/>
      <c r="AK1044" s="132"/>
      <c r="AL1044" s="132"/>
    </row>
    <row r="1045">
      <c r="A1045" s="314"/>
      <c r="B1045" s="313"/>
      <c r="C1045" s="312"/>
      <c r="D1045" s="313"/>
      <c r="E1045" s="314"/>
      <c r="F1045" s="318"/>
      <c r="G1045" s="315"/>
      <c r="H1045" s="314"/>
      <c r="I1045" s="314"/>
      <c r="J1045" s="314"/>
      <c r="K1045" s="315"/>
      <c r="L1045" s="736"/>
      <c r="M1045" s="318"/>
      <c r="N1045" s="315"/>
      <c r="O1045" s="314"/>
      <c r="P1045" s="314"/>
      <c r="Q1045" s="314"/>
      <c r="R1045" s="314"/>
      <c r="S1045" s="848"/>
      <c r="T1045" s="318"/>
      <c r="U1045" s="315"/>
      <c r="V1045" s="314"/>
      <c r="W1045" s="314"/>
      <c r="X1045" s="314"/>
      <c r="Y1045" s="314"/>
      <c r="Z1045" s="314"/>
      <c r="AA1045" s="318"/>
      <c r="AB1045" s="315"/>
      <c r="AC1045" s="314"/>
      <c r="AD1045" s="314"/>
      <c r="AE1045" s="314"/>
      <c r="AF1045" s="314"/>
      <c r="AG1045" s="324"/>
      <c r="AH1045" s="155"/>
      <c r="AI1045" s="155"/>
      <c r="AJ1045" s="322"/>
      <c r="AK1045" s="132"/>
      <c r="AL1045" s="132"/>
    </row>
    <row r="1046">
      <c r="A1046" s="314"/>
      <c r="B1046" s="313"/>
      <c r="C1046" s="312"/>
      <c r="D1046" s="313"/>
      <c r="E1046" s="314"/>
      <c r="F1046" s="318"/>
      <c r="G1046" s="315"/>
      <c r="H1046" s="314"/>
      <c r="I1046" s="314"/>
      <c r="J1046" s="314"/>
      <c r="K1046" s="315"/>
      <c r="L1046" s="736"/>
      <c r="M1046" s="318"/>
      <c r="N1046" s="315"/>
      <c r="O1046" s="314"/>
      <c r="P1046" s="314"/>
      <c r="Q1046" s="314"/>
      <c r="R1046" s="314"/>
      <c r="S1046" s="848"/>
      <c r="T1046" s="318"/>
      <c r="U1046" s="315"/>
      <c r="V1046" s="314"/>
      <c r="W1046" s="314"/>
      <c r="X1046" s="314"/>
      <c r="Y1046" s="314"/>
      <c r="Z1046" s="314"/>
      <c r="AA1046" s="318"/>
      <c r="AB1046" s="315"/>
      <c r="AC1046" s="314"/>
      <c r="AD1046" s="314"/>
      <c r="AE1046" s="314"/>
      <c r="AF1046" s="314"/>
      <c r="AG1046" s="324"/>
      <c r="AH1046" s="155"/>
      <c r="AI1046" s="155"/>
      <c r="AJ1046" s="322"/>
      <c r="AK1046" s="132"/>
      <c r="AL1046" s="132"/>
    </row>
    <row r="1047">
      <c r="A1047" s="314"/>
      <c r="B1047" s="313"/>
      <c r="C1047" s="312"/>
      <c r="D1047" s="313"/>
      <c r="E1047" s="314"/>
      <c r="F1047" s="318"/>
      <c r="G1047" s="315"/>
      <c r="H1047" s="314"/>
      <c r="I1047" s="314"/>
      <c r="J1047" s="314"/>
      <c r="K1047" s="315"/>
      <c r="L1047" s="736"/>
      <c r="M1047" s="318"/>
      <c r="N1047" s="315"/>
      <c r="O1047" s="314"/>
      <c r="P1047" s="314"/>
      <c r="Q1047" s="314"/>
      <c r="R1047" s="314"/>
      <c r="S1047" s="848"/>
      <c r="T1047" s="318"/>
      <c r="U1047" s="315"/>
      <c r="V1047" s="314"/>
      <c r="W1047" s="314"/>
      <c r="X1047" s="314"/>
      <c r="Y1047" s="314"/>
      <c r="Z1047" s="314"/>
      <c r="AA1047" s="318"/>
      <c r="AB1047" s="315"/>
      <c r="AC1047" s="314"/>
      <c r="AD1047" s="314"/>
      <c r="AE1047" s="314"/>
      <c r="AF1047" s="314"/>
      <c r="AG1047" s="324"/>
      <c r="AH1047" s="155"/>
      <c r="AI1047" s="155"/>
      <c r="AJ1047" s="322"/>
      <c r="AK1047" s="132"/>
      <c r="AL1047" s="132"/>
    </row>
    <row r="1048">
      <c r="A1048" s="314"/>
      <c r="B1048" s="313"/>
      <c r="C1048" s="312"/>
      <c r="D1048" s="313"/>
      <c r="E1048" s="314"/>
      <c r="F1048" s="318"/>
      <c r="G1048" s="315"/>
      <c r="H1048" s="314"/>
      <c r="I1048" s="314"/>
      <c r="J1048" s="314"/>
      <c r="K1048" s="315"/>
      <c r="L1048" s="736"/>
      <c r="M1048" s="318"/>
      <c r="N1048" s="315"/>
      <c r="O1048" s="314"/>
      <c r="P1048" s="314"/>
      <c r="Q1048" s="314"/>
      <c r="R1048" s="314"/>
      <c r="S1048" s="848"/>
      <c r="T1048" s="318"/>
      <c r="U1048" s="315"/>
      <c r="V1048" s="314"/>
      <c r="W1048" s="314"/>
      <c r="X1048" s="314"/>
      <c r="Y1048" s="314"/>
      <c r="Z1048" s="314"/>
      <c r="AA1048" s="318"/>
      <c r="AB1048" s="315"/>
      <c r="AC1048" s="314"/>
      <c r="AD1048" s="314"/>
      <c r="AE1048" s="314"/>
      <c r="AF1048" s="314"/>
      <c r="AG1048" s="324"/>
      <c r="AH1048" s="155"/>
      <c r="AI1048" s="155"/>
      <c r="AJ1048" s="322"/>
      <c r="AK1048" s="132"/>
      <c r="AL1048" s="132"/>
    </row>
    <row r="1049">
      <c r="A1049" s="314"/>
      <c r="B1049" s="313"/>
      <c r="C1049" s="312"/>
      <c r="D1049" s="313"/>
      <c r="E1049" s="314"/>
      <c r="F1049" s="318"/>
      <c r="G1049" s="315"/>
      <c r="H1049" s="314"/>
      <c r="I1049" s="314"/>
      <c r="J1049" s="314"/>
      <c r="K1049" s="315"/>
      <c r="L1049" s="736"/>
      <c r="M1049" s="318"/>
      <c r="N1049" s="315"/>
      <c r="O1049" s="314"/>
      <c r="P1049" s="314"/>
      <c r="Q1049" s="314"/>
      <c r="R1049" s="314"/>
      <c r="S1049" s="848"/>
      <c r="T1049" s="318"/>
      <c r="U1049" s="315"/>
      <c r="V1049" s="314"/>
      <c r="W1049" s="314"/>
      <c r="X1049" s="314"/>
      <c r="Y1049" s="314"/>
      <c r="Z1049" s="314"/>
      <c r="AA1049" s="318"/>
      <c r="AB1049" s="315"/>
      <c r="AC1049" s="314"/>
      <c r="AD1049" s="314"/>
      <c r="AE1049" s="314"/>
      <c r="AF1049" s="314"/>
      <c r="AG1049" s="324"/>
      <c r="AH1049" s="155"/>
      <c r="AI1049" s="155"/>
      <c r="AJ1049" s="322"/>
      <c r="AK1049" s="132"/>
      <c r="AL1049" s="132"/>
    </row>
    <row r="1050">
      <c r="A1050" s="314"/>
      <c r="B1050" s="313"/>
      <c r="C1050" s="312"/>
      <c r="D1050" s="313"/>
      <c r="E1050" s="314"/>
      <c r="F1050" s="318"/>
      <c r="G1050" s="315"/>
      <c r="H1050" s="314"/>
      <c r="I1050" s="314"/>
      <c r="J1050" s="314"/>
      <c r="K1050" s="315"/>
      <c r="L1050" s="736"/>
      <c r="M1050" s="318"/>
      <c r="N1050" s="315"/>
      <c r="O1050" s="314"/>
      <c r="P1050" s="314"/>
      <c r="Q1050" s="314"/>
      <c r="R1050" s="314"/>
      <c r="S1050" s="848"/>
      <c r="T1050" s="318"/>
      <c r="U1050" s="315"/>
      <c r="V1050" s="314"/>
      <c r="W1050" s="314"/>
      <c r="X1050" s="314"/>
      <c r="Y1050" s="314"/>
      <c r="Z1050" s="314"/>
      <c r="AA1050" s="318"/>
      <c r="AB1050" s="315"/>
      <c r="AC1050" s="314"/>
      <c r="AD1050" s="314"/>
      <c r="AE1050" s="314"/>
      <c r="AF1050" s="314"/>
      <c r="AG1050" s="324"/>
      <c r="AH1050" s="155"/>
      <c r="AI1050" s="155"/>
      <c r="AJ1050" s="322"/>
      <c r="AK1050" s="132"/>
      <c r="AL1050" s="132"/>
    </row>
    <row r="1051">
      <c r="A1051" s="314"/>
      <c r="B1051" s="313"/>
      <c r="C1051" s="312"/>
      <c r="D1051" s="313"/>
      <c r="E1051" s="314"/>
      <c r="F1051" s="318"/>
      <c r="G1051" s="315"/>
      <c r="H1051" s="314"/>
      <c r="I1051" s="314"/>
      <c r="J1051" s="314"/>
      <c r="K1051" s="315"/>
      <c r="L1051" s="736"/>
      <c r="M1051" s="318"/>
      <c r="N1051" s="315"/>
      <c r="O1051" s="314"/>
      <c r="P1051" s="314"/>
      <c r="Q1051" s="314"/>
      <c r="R1051" s="314"/>
      <c r="S1051" s="848"/>
      <c r="T1051" s="318"/>
      <c r="U1051" s="315"/>
      <c r="V1051" s="314"/>
      <c r="W1051" s="314"/>
      <c r="X1051" s="314"/>
      <c r="Y1051" s="314"/>
      <c r="Z1051" s="314"/>
      <c r="AA1051" s="318"/>
      <c r="AB1051" s="315"/>
      <c r="AC1051" s="314"/>
      <c r="AD1051" s="314"/>
      <c r="AE1051" s="314"/>
      <c r="AF1051" s="314"/>
      <c r="AG1051" s="324"/>
      <c r="AH1051" s="155"/>
      <c r="AI1051" s="155"/>
      <c r="AJ1051" s="322"/>
      <c r="AK1051" s="132"/>
      <c r="AL1051" s="132"/>
    </row>
    <row r="1052">
      <c r="A1052" s="314"/>
      <c r="B1052" s="313"/>
      <c r="C1052" s="312"/>
      <c r="D1052" s="313"/>
      <c r="E1052" s="314"/>
      <c r="F1052" s="318"/>
      <c r="G1052" s="315"/>
      <c r="H1052" s="314"/>
      <c r="I1052" s="314"/>
      <c r="J1052" s="314"/>
      <c r="K1052" s="315"/>
      <c r="L1052" s="736"/>
      <c r="M1052" s="318"/>
      <c r="N1052" s="315"/>
      <c r="O1052" s="314"/>
      <c r="P1052" s="314"/>
      <c r="Q1052" s="314"/>
      <c r="R1052" s="314"/>
      <c r="S1052" s="848"/>
      <c r="T1052" s="318"/>
      <c r="U1052" s="315"/>
      <c r="V1052" s="314"/>
      <c r="W1052" s="314"/>
      <c r="X1052" s="314"/>
      <c r="Y1052" s="314"/>
      <c r="Z1052" s="314"/>
      <c r="AA1052" s="318"/>
      <c r="AB1052" s="315"/>
      <c r="AC1052" s="314"/>
      <c r="AD1052" s="314"/>
      <c r="AE1052" s="314"/>
      <c r="AF1052" s="314"/>
      <c r="AG1052" s="324"/>
      <c r="AH1052" s="155"/>
      <c r="AI1052" s="155"/>
      <c r="AJ1052" s="322"/>
      <c r="AK1052" s="132"/>
      <c r="AL1052" s="132"/>
    </row>
    <row r="1053">
      <c r="A1053" s="314"/>
      <c r="B1053" s="313"/>
      <c r="C1053" s="312"/>
      <c r="D1053" s="313"/>
      <c r="E1053" s="314"/>
      <c r="F1053" s="318"/>
      <c r="G1053" s="315"/>
      <c r="H1053" s="314"/>
      <c r="I1053" s="314"/>
      <c r="J1053" s="314"/>
      <c r="K1053" s="315"/>
      <c r="L1053" s="736"/>
      <c r="M1053" s="318"/>
      <c r="N1053" s="315"/>
      <c r="O1053" s="314"/>
      <c r="P1053" s="314"/>
      <c r="Q1053" s="314"/>
      <c r="R1053" s="314"/>
      <c r="S1053" s="848"/>
      <c r="T1053" s="318"/>
      <c r="U1053" s="315"/>
      <c r="V1053" s="314"/>
      <c r="W1053" s="314"/>
      <c r="X1053" s="314"/>
      <c r="Y1053" s="314"/>
      <c r="Z1053" s="314"/>
      <c r="AA1053" s="318"/>
      <c r="AB1053" s="315"/>
      <c r="AC1053" s="314"/>
      <c r="AD1053" s="314"/>
      <c r="AE1053" s="314"/>
      <c r="AF1053" s="314"/>
      <c r="AG1053" s="324"/>
      <c r="AH1053" s="155"/>
      <c r="AI1053" s="155"/>
      <c r="AJ1053" s="322"/>
      <c r="AK1053" s="132"/>
      <c r="AL1053" s="132"/>
    </row>
    <row r="1054">
      <c r="A1054" s="314"/>
      <c r="B1054" s="313"/>
      <c r="C1054" s="312"/>
      <c r="D1054" s="313"/>
      <c r="E1054" s="314"/>
      <c r="F1054" s="318"/>
      <c r="G1054" s="315"/>
      <c r="H1054" s="314"/>
      <c r="I1054" s="314"/>
      <c r="J1054" s="314"/>
      <c r="K1054" s="315"/>
      <c r="L1054" s="736"/>
      <c r="M1054" s="318"/>
      <c r="N1054" s="315"/>
      <c r="O1054" s="314"/>
      <c r="P1054" s="314"/>
      <c r="Q1054" s="314"/>
      <c r="R1054" s="314"/>
      <c r="S1054" s="848"/>
      <c r="T1054" s="318"/>
      <c r="U1054" s="315"/>
      <c r="V1054" s="314"/>
      <c r="W1054" s="314"/>
      <c r="X1054" s="314"/>
      <c r="Y1054" s="314"/>
      <c r="Z1054" s="314"/>
      <c r="AA1054" s="318"/>
      <c r="AB1054" s="315"/>
      <c r="AC1054" s="314"/>
      <c r="AD1054" s="314"/>
      <c r="AE1054" s="314"/>
      <c r="AF1054" s="314"/>
      <c r="AG1054" s="324"/>
      <c r="AH1054" s="155"/>
      <c r="AI1054" s="155"/>
      <c r="AJ1054" s="322"/>
      <c r="AK1054" s="132"/>
      <c r="AL1054" s="132"/>
    </row>
    <row r="1055">
      <c r="A1055" s="314"/>
      <c r="B1055" s="313"/>
      <c r="C1055" s="312"/>
      <c r="D1055" s="313"/>
      <c r="E1055" s="314"/>
      <c r="F1055" s="318"/>
      <c r="G1055" s="315"/>
      <c r="H1055" s="314"/>
      <c r="I1055" s="314"/>
      <c r="J1055" s="314"/>
      <c r="K1055" s="315"/>
      <c r="L1055" s="736"/>
      <c r="M1055" s="318"/>
      <c r="N1055" s="315"/>
      <c r="O1055" s="314"/>
      <c r="P1055" s="314"/>
      <c r="Q1055" s="314"/>
      <c r="R1055" s="314"/>
      <c r="S1055" s="848"/>
      <c r="T1055" s="318"/>
      <c r="U1055" s="315"/>
      <c r="V1055" s="314"/>
      <c r="W1055" s="314"/>
      <c r="X1055" s="314"/>
      <c r="Y1055" s="314"/>
      <c r="Z1055" s="314"/>
      <c r="AA1055" s="318"/>
      <c r="AB1055" s="315"/>
      <c r="AC1055" s="314"/>
      <c r="AD1055" s="314"/>
      <c r="AE1055" s="314"/>
      <c r="AF1055" s="314"/>
      <c r="AG1055" s="324"/>
      <c r="AH1055" s="155"/>
      <c r="AI1055" s="155"/>
      <c r="AJ1055" s="322"/>
      <c r="AK1055" s="132"/>
      <c r="AL1055" s="132"/>
    </row>
  </sheetData>
  <mergeCells count="97">
    <mergeCell ref="AG332:AH332"/>
    <mergeCell ref="A437:AH437"/>
    <mergeCell ref="A438:AI438"/>
    <mergeCell ref="A451:AH451"/>
    <mergeCell ref="A452:AI452"/>
    <mergeCell ref="A457:AH457"/>
    <mergeCell ref="A458:AI458"/>
    <mergeCell ref="A461:AH461"/>
    <mergeCell ref="A462:AI462"/>
    <mergeCell ref="AG467:AH467"/>
    <mergeCell ref="A572:AH572"/>
    <mergeCell ref="A573:AI573"/>
    <mergeCell ref="A586:AH586"/>
    <mergeCell ref="A587:AI587"/>
    <mergeCell ref="A592:AH592"/>
    <mergeCell ref="A593:AI593"/>
    <mergeCell ref="A596:AH596"/>
    <mergeCell ref="A597:AI597"/>
    <mergeCell ref="AG602:AH602"/>
    <mergeCell ref="AG617:AH617"/>
    <mergeCell ref="A722:AH722"/>
    <mergeCell ref="A723:AI723"/>
    <mergeCell ref="A736:AH736"/>
    <mergeCell ref="A737:AI737"/>
    <mergeCell ref="A742:AH742"/>
    <mergeCell ref="A743:AI743"/>
    <mergeCell ref="A746:AH746"/>
    <mergeCell ref="A747:AI747"/>
    <mergeCell ref="AG752:AH752"/>
    <mergeCell ref="A857:AH857"/>
    <mergeCell ref="A858:AI858"/>
    <mergeCell ref="A871:AH871"/>
    <mergeCell ref="A872:AI872"/>
    <mergeCell ref="A877:AH877"/>
    <mergeCell ref="A878:AI878"/>
    <mergeCell ref="A1012:AH1012"/>
    <mergeCell ref="A1013:AI1013"/>
    <mergeCell ref="A1016:AH1016"/>
    <mergeCell ref="A1017:AI1017"/>
    <mergeCell ref="AG1022:AH1022"/>
    <mergeCell ref="AG1037:AH1037"/>
    <mergeCell ref="A881:AH881"/>
    <mergeCell ref="A882:AI882"/>
    <mergeCell ref="AG887:AH887"/>
    <mergeCell ref="A992:AH992"/>
    <mergeCell ref="A993:AI993"/>
    <mergeCell ref="A1006:AH1006"/>
    <mergeCell ref="A1007:AI1007"/>
    <mergeCell ref="AK1:AL1"/>
    <mergeCell ref="A2:AI2"/>
    <mergeCell ref="AK3:AK5"/>
    <mergeCell ref="AL3:AL5"/>
    <mergeCell ref="AK10:AL10"/>
    <mergeCell ref="AK11:AL11"/>
    <mergeCell ref="AK12:AL12"/>
    <mergeCell ref="A49:AH49"/>
    <mergeCell ref="A50:AI50"/>
    <mergeCell ref="A53:AH53"/>
    <mergeCell ref="A54:AI54"/>
    <mergeCell ref="A68:AH68"/>
    <mergeCell ref="A69:AI69"/>
    <mergeCell ref="A78:AH78"/>
    <mergeCell ref="A79:AI79"/>
    <mergeCell ref="A85:AH85"/>
    <mergeCell ref="A86:AI86"/>
    <mergeCell ref="A104:AH104"/>
    <mergeCell ref="A105:AI105"/>
    <mergeCell ref="A110:AH110"/>
    <mergeCell ref="A111:AI111"/>
    <mergeCell ref="A118:AH118"/>
    <mergeCell ref="A119:AI119"/>
    <mergeCell ref="A126:AH126"/>
    <mergeCell ref="A127:AI127"/>
    <mergeCell ref="A136:AH136"/>
    <mergeCell ref="A137:AI137"/>
    <mergeCell ref="A149:AH149"/>
    <mergeCell ref="A150:AI150"/>
    <mergeCell ref="A154:AH154"/>
    <mergeCell ref="A155:AI155"/>
    <mergeCell ref="A159:AH159"/>
    <mergeCell ref="A160:AI160"/>
    <mergeCell ref="A168:AH168"/>
    <mergeCell ref="A169:AI169"/>
    <mergeCell ref="A176:AH176"/>
    <mergeCell ref="A177:AI177"/>
    <mergeCell ref="A181:AH181"/>
    <mergeCell ref="A182:AI182"/>
    <mergeCell ref="A196:AH196"/>
    <mergeCell ref="AG197:AH197"/>
    <mergeCell ref="A302:AH302"/>
    <mergeCell ref="A303:AI303"/>
    <mergeCell ref="A316:AH316"/>
    <mergeCell ref="A317:AI317"/>
    <mergeCell ref="A322:AH322"/>
    <mergeCell ref="A323:AI323"/>
    <mergeCell ref="A326:AH326"/>
    <mergeCell ref="A327:AI327"/>
  </mergeCells>
  <drawing r:id="rId1"/>
</worksheet>
</file>